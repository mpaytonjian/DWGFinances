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Chase Bank\Angela Main Account\"/>
    </mc:Choice>
  </mc:AlternateContent>
  <xr:revisionPtr revIDLastSave="0" documentId="14_{65D8B1AB-2A60-436C-944D-E7982062245F}" xr6:coauthVersionLast="47" xr6:coauthVersionMax="47" xr10:uidLastSave="{00000000-0000-0000-0000-000000000000}"/>
  <bookViews>
    <workbookView xWindow="-28920" yWindow="4110" windowWidth="29040" windowHeight="15720" xr2:uid="{F75D611B-2CC4-4E40-BCA4-18F24D4EA63D}"/>
  </bookViews>
  <sheets>
    <sheet name="Transaction Summary" sheetId="3" r:id="rId1"/>
    <sheet name="Transfers" sheetId="4" r:id="rId2"/>
    <sheet name="Transaction Details" sheetId="5" r:id="rId3"/>
    <sheet name="Monthly Breakdown" sheetId="6" r:id="rId4"/>
    <sheet name="Category Rules" sheetId="2" r:id="rId5"/>
    <sheet name="Angela_2026_Chase1117_Activity_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6" l="1"/>
  <c r="H53" i="6"/>
  <c r="G53" i="6"/>
  <c r="F53" i="6"/>
  <c r="E53" i="6"/>
  <c r="D53" i="6"/>
  <c r="C53" i="6"/>
  <c r="B53" i="6"/>
  <c r="H52" i="6"/>
  <c r="G52" i="6"/>
  <c r="F52" i="6"/>
  <c r="E52" i="6"/>
  <c r="D52" i="6"/>
  <c r="C52" i="6"/>
  <c r="B52" i="6"/>
  <c r="I52" i="6" s="1"/>
  <c r="H51" i="6"/>
  <c r="G51" i="6"/>
  <c r="F51" i="6"/>
  <c r="E51" i="6"/>
  <c r="D51" i="6"/>
  <c r="C51" i="6"/>
  <c r="B51" i="6"/>
  <c r="I51" i="6" s="1"/>
  <c r="H50" i="6"/>
  <c r="G50" i="6"/>
  <c r="F50" i="6"/>
  <c r="E50" i="6"/>
  <c r="D50" i="6"/>
  <c r="C50" i="6"/>
  <c r="B50" i="6"/>
  <c r="I50" i="6" s="1"/>
  <c r="H49" i="6"/>
  <c r="G49" i="6"/>
  <c r="F49" i="6"/>
  <c r="E49" i="6"/>
  <c r="D49" i="6"/>
  <c r="C49" i="6"/>
  <c r="B49" i="6"/>
  <c r="I49" i="6" s="1"/>
  <c r="H48" i="6"/>
  <c r="G48" i="6"/>
  <c r="F48" i="6"/>
  <c r="E48" i="6"/>
  <c r="D48" i="6"/>
  <c r="C48" i="6"/>
  <c r="B48" i="6"/>
  <c r="I48" i="6" s="1"/>
  <c r="H47" i="6"/>
  <c r="G47" i="6"/>
  <c r="F47" i="6"/>
  <c r="E47" i="6"/>
  <c r="D47" i="6"/>
  <c r="C47" i="6"/>
  <c r="B47" i="6"/>
  <c r="I47" i="6" s="1"/>
  <c r="H46" i="6"/>
  <c r="G46" i="6"/>
  <c r="F46" i="6"/>
  <c r="E46" i="6"/>
  <c r="D46" i="6"/>
  <c r="C46" i="6"/>
  <c r="B46" i="6"/>
  <c r="I46" i="6" s="1"/>
  <c r="H45" i="6"/>
  <c r="G45" i="6"/>
  <c r="F45" i="6"/>
  <c r="E45" i="6"/>
  <c r="D45" i="6"/>
  <c r="C45" i="6"/>
  <c r="B45" i="6"/>
  <c r="I45" i="6" s="1"/>
  <c r="H44" i="6"/>
  <c r="G44" i="6"/>
  <c r="F44" i="6"/>
  <c r="E44" i="6"/>
  <c r="D44" i="6"/>
  <c r="C44" i="6"/>
  <c r="B44" i="6"/>
  <c r="I44" i="6" s="1"/>
  <c r="H43" i="6"/>
  <c r="G43" i="6"/>
  <c r="F43" i="6"/>
  <c r="E43" i="6"/>
  <c r="D43" i="6"/>
  <c r="C43" i="6"/>
  <c r="B43" i="6"/>
  <c r="I43" i="6" s="1"/>
  <c r="H42" i="6"/>
  <c r="G42" i="6"/>
  <c r="F42" i="6"/>
  <c r="E42" i="6"/>
  <c r="D42" i="6"/>
  <c r="C42" i="6"/>
  <c r="B42" i="6"/>
  <c r="I42" i="6" s="1"/>
  <c r="H41" i="6"/>
  <c r="G41" i="6"/>
  <c r="F41" i="6"/>
  <c r="E41" i="6"/>
  <c r="D41" i="6"/>
  <c r="C41" i="6"/>
  <c r="B41" i="6"/>
  <c r="I41" i="6" s="1"/>
  <c r="H40" i="6"/>
  <c r="G40" i="6"/>
  <c r="F40" i="6"/>
  <c r="E40" i="6"/>
  <c r="D40" i="6"/>
  <c r="C40" i="6"/>
  <c r="B40" i="6"/>
  <c r="I40" i="6" s="1"/>
  <c r="H39" i="6"/>
  <c r="G39" i="6"/>
  <c r="F39" i="6"/>
  <c r="E39" i="6"/>
  <c r="D39" i="6"/>
  <c r="C39" i="6"/>
  <c r="B39" i="6"/>
  <c r="I39" i="6" s="1"/>
  <c r="H38" i="6"/>
  <c r="G38" i="6"/>
  <c r="F38" i="6"/>
  <c r="E38" i="6"/>
  <c r="D38" i="6"/>
  <c r="C38" i="6"/>
  <c r="B38" i="6"/>
  <c r="I38" i="6" s="1"/>
  <c r="H37" i="6"/>
  <c r="G37" i="6"/>
  <c r="F37" i="6"/>
  <c r="E37" i="6"/>
  <c r="D37" i="6"/>
  <c r="C37" i="6"/>
  <c r="B37" i="6"/>
  <c r="I37" i="6" s="1"/>
  <c r="H36" i="6"/>
  <c r="G36" i="6"/>
  <c r="F36" i="6"/>
  <c r="E36" i="6"/>
  <c r="D36" i="6"/>
  <c r="C36" i="6"/>
  <c r="B36" i="6"/>
  <c r="I36" i="6" s="1"/>
  <c r="H35" i="6"/>
  <c r="G35" i="6"/>
  <c r="F35" i="6"/>
  <c r="E35" i="6"/>
  <c r="D35" i="6"/>
  <c r="C35" i="6"/>
  <c r="B35" i="6"/>
  <c r="I35" i="6" s="1"/>
  <c r="H34" i="6"/>
  <c r="G34" i="6"/>
  <c r="F34" i="6"/>
  <c r="E34" i="6"/>
  <c r="D34" i="6"/>
  <c r="C34" i="6"/>
  <c r="B34" i="6"/>
  <c r="I34" i="6" s="1"/>
  <c r="H33" i="6"/>
  <c r="G33" i="6"/>
  <c r="F33" i="6"/>
  <c r="E33" i="6"/>
  <c r="D33" i="6"/>
  <c r="C33" i="6"/>
  <c r="B33" i="6"/>
  <c r="I33" i="6" s="1"/>
  <c r="H32" i="6"/>
  <c r="G32" i="6"/>
  <c r="F32" i="6"/>
  <c r="E32" i="6"/>
  <c r="D32" i="6"/>
  <c r="C32" i="6"/>
  <c r="B32" i="6"/>
  <c r="I32" i="6" s="1"/>
  <c r="H31" i="6"/>
  <c r="G31" i="6"/>
  <c r="F31" i="6"/>
  <c r="E31" i="6"/>
  <c r="D31" i="6"/>
  <c r="C31" i="6"/>
  <c r="B31" i="6"/>
  <c r="I31" i="6" s="1"/>
  <c r="H30" i="6"/>
  <c r="G30" i="6"/>
  <c r="F30" i="6"/>
  <c r="E30" i="6"/>
  <c r="D30" i="6"/>
  <c r="C30" i="6"/>
  <c r="B30" i="6"/>
  <c r="I30" i="6" s="1"/>
  <c r="H29" i="6"/>
  <c r="G29" i="6"/>
  <c r="F29" i="6"/>
  <c r="E29" i="6"/>
  <c r="D29" i="6"/>
  <c r="C29" i="6"/>
  <c r="B29" i="6"/>
  <c r="I29" i="6" s="1"/>
  <c r="H28" i="6"/>
  <c r="G28" i="6"/>
  <c r="F28" i="6"/>
  <c r="E28" i="6"/>
  <c r="D28" i="6"/>
  <c r="C28" i="6"/>
  <c r="B28" i="6"/>
  <c r="I28" i="6" s="1"/>
  <c r="H27" i="6"/>
  <c r="G27" i="6"/>
  <c r="F27" i="6"/>
  <c r="E27" i="6"/>
  <c r="D27" i="6"/>
  <c r="C27" i="6"/>
  <c r="B27" i="6"/>
  <c r="I27" i="6" s="1"/>
  <c r="H26" i="6"/>
  <c r="G26" i="6"/>
  <c r="F26" i="6"/>
  <c r="E26" i="6"/>
  <c r="D26" i="6"/>
  <c r="C26" i="6"/>
  <c r="B26" i="6"/>
  <c r="I26" i="6" s="1"/>
  <c r="H25" i="6"/>
  <c r="G25" i="6"/>
  <c r="F25" i="6"/>
  <c r="E25" i="6"/>
  <c r="D25" i="6"/>
  <c r="C25" i="6"/>
  <c r="B25" i="6"/>
  <c r="I25" i="6" s="1"/>
  <c r="H24" i="6"/>
  <c r="G24" i="6"/>
  <c r="F24" i="6"/>
  <c r="E24" i="6"/>
  <c r="D24" i="6"/>
  <c r="C24" i="6"/>
  <c r="B24" i="6"/>
  <c r="I24" i="6" s="1"/>
  <c r="H23" i="6"/>
  <c r="G23" i="6"/>
  <c r="F23" i="6"/>
  <c r="E23" i="6"/>
  <c r="D23" i="6"/>
  <c r="C23" i="6"/>
  <c r="B23" i="6"/>
  <c r="I23" i="6" s="1"/>
  <c r="H22" i="6"/>
  <c r="G22" i="6"/>
  <c r="F22" i="6"/>
  <c r="E22" i="6"/>
  <c r="D22" i="6"/>
  <c r="C22" i="6"/>
  <c r="B22" i="6"/>
  <c r="I22" i="6" s="1"/>
  <c r="H21" i="6"/>
  <c r="G21" i="6"/>
  <c r="F21" i="6"/>
  <c r="E21" i="6"/>
  <c r="D21" i="6"/>
  <c r="C21" i="6"/>
  <c r="B21" i="6"/>
  <c r="I21" i="6" s="1"/>
  <c r="H20" i="6"/>
  <c r="G20" i="6"/>
  <c r="F20" i="6"/>
  <c r="E20" i="6"/>
  <c r="D20" i="6"/>
  <c r="C20" i="6"/>
  <c r="B20" i="6"/>
  <c r="I20" i="6" s="1"/>
  <c r="H19" i="6"/>
  <c r="G19" i="6"/>
  <c r="F19" i="6"/>
  <c r="E19" i="6"/>
  <c r="D19" i="6"/>
  <c r="C19" i="6"/>
  <c r="B19" i="6"/>
  <c r="I19" i="6" s="1"/>
  <c r="H18" i="6"/>
  <c r="G18" i="6"/>
  <c r="F18" i="6"/>
  <c r="E18" i="6"/>
  <c r="D18" i="6"/>
  <c r="C18" i="6"/>
  <c r="B18" i="6"/>
  <c r="I18" i="6" s="1"/>
  <c r="H17" i="6"/>
  <c r="G17" i="6"/>
  <c r="F17" i="6"/>
  <c r="E17" i="6"/>
  <c r="D17" i="6"/>
  <c r="C17" i="6"/>
  <c r="B17" i="6"/>
  <c r="I17" i="6" s="1"/>
  <c r="H16" i="6"/>
  <c r="G16" i="6"/>
  <c r="F16" i="6"/>
  <c r="E16" i="6"/>
  <c r="D16" i="6"/>
  <c r="C16" i="6"/>
  <c r="B16" i="6"/>
  <c r="I16" i="6" s="1"/>
  <c r="H15" i="6"/>
  <c r="G15" i="6"/>
  <c r="F15" i="6"/>
  <c r="E15" i="6"/>
  <c r="D15" i="6"/>
  <c r="C15" i="6"/>
  <c r="B15" i="6"/>
  <c r="I15" i="6" s="1"/>
  <c r="H14" i="6"/>
  <c r="G14" i="6"/>
  <c r="F14" i="6"/>
  <c r="E14" i="6"/>
  <c r="D14" i="6"/>
  <c r="C14" i="6"/>
  <c r="B14" i="6"/>
  <c r="I14" i="6" s="1"/>
  <c r="H13" i="6"/>
  <c r="G13" i="6"/>
  <c r="F13" i="6"/>
  <c r="E13" i="6"/>
  <c r="D13" i="6"/>
  <c r="C13" i="6"/>
  <c r="B13" i="6"/>
  <c r="I13" i="6" s="1"/>
  <c r="H12" i="6"/>
  <c r="G12" i="6"/>
  <c r="F12" i="6"/>
  <c r="E12" i="6"/>
  <c r="D12" i="6"/>
  <c r="C12" i="6"/>
  <c r="B12" i="6"/>
  <c r="I12" i="6" s="1"/>
  <c r="H11" i="6"/>
  <c r="G11" i="6"/>
  <c r="F11" i="6"/>
  <c r="E11" i="6"/>
  <c r="D11" i="6"/>
  <c r="C11" i="6"/>
  <c r="B11" i="6"/>
  <c r="I11" i="6" s="1"/>
  <c r="H10" i="6"/>
  <c r="G10" i="6"/>
  <c r="F10" i="6"/>
  <c r="E10" i="6"/>
  <c r="D10" i="6"/>
  <c r="C10" i="6"/>
  <c r="B10" i="6"/>
  <c r="I10" i="6" s="1"/>
  <c r="H9" i="6"/>
  <c r="G9" i="6"/>
  <c r="F9" i="6"/>
  <c r="E9" i="6"/>
  <c r="D9" i="6"/>
  <c r="C9" i="6"/>
  <c r="B9" i="6"/>
  <c r="I9" i="6" s="1"/>
  <c r="H8" i="6"/>
  <c r="G8" i="6"/>
  <c r="F8" i="6"/>
  <c r="E8" i="6"/>
  <c r="D8" i="6"/>
  <c r="C8" i="6"/>
  <c r="B8" i="6"/>
  <c r="I8" i="6" s="1"/>
  <c r="H7" i="6"/>
  <c r="G7" i="6"/>
  <c r="F7" i="6"/>
  <c r="E7" i="6"/>
  <c r="D7" i="6"/>
  <c r="C7" i="6"/>
  <c r="B7" i="6"/>
  <c r="I7" i="6" s="1"/>
  <c r="H6" i="6"/>
  <c r="G6" i="6"/>
  <c r="F6" i="6"/>
  <c r="E6" i="6"/>
  <c r="D6" i="6"/>
  <c r="C6" i="6"/>
  <c r="B6" i="6"/>
  <c r="I6" i="6" s="1"/>
  <c r="H5" i="6"/>
  <c r="G5" i="6"/>
  <c r="F5" i="6"/>
  <c r="E5" i="6"/>
  <c r="D5" i="6"/>
  <c r="C5" i="6"/>
  <c r="I5" i="6" s="1"/>
  <c r="B5" i="6"/>
  <c r="C4" i="6"/>
  <c r="D4" i="6" s="1"/>
  <c r="E4" i="6" s="1"/>
  <c r="F4" i="6" s="1"/>
  <c r="G4" i="6" s="1"/>
  <c r="H4" i="6" s="1"/>
  <c r="B4" i="6"/>
  <c r="D1371" i="5"/>
  <c r="C1371" i="5"/>
  <c r="B1371" i="5"/>
  <c r="A1371" i="5"/>
  <c r="D1370" i="5"/>
  <c r="C1370" i="5"/>
  <c r="B1370" i="5"/>
  <c r="A1370" i="5"/>
  <c r="D1369" i="5"/>
  <c r="C1369" i="5"/>
  <c r="B1369" i="5"/>
  <c r="A1369" i="5"/>
  <c r="D1368" i="5"/>
  <c r="C1368" i="5"/>
  <c r="B1368" i="5"/>
  <c r="A1368" i="5"/>
  <c r="D1367" i="5"/>
  <c r="C1367" i="5"/>
  <c r="B1367" i="5"/>
  <c r="A1367" i="5"/>
  <c r="D1366" i="5"/>
  <c r="C1366" i="5"/>
  <c r="B1366" i="5"/>
  <c r="A1366" i="5"/>
  <c r="D1365" i="5"/>
  <c r="C1365" i="5"/>
  <c r="B1365" i="5"/>
  <c r="A1365" i="5"/>
  <c r="D1364" i="5"/>
  <c r="C1364" i="5"/>
  <c r="B1364" i="5"/>
  <c r="A1364" i="5"/>
  <c r="D1363" i="5"/>
  <c r="C1363" i="5"/>
  <c r="B1363" i="5"/>
  <c r="A1363" i="5"/>
  <c r="D1362" i="5"/>
  <c r="C1362" i="5"/>
  <c r="B1362" i="5"/>
  <c r="A1362" i="5"/>
  <c r="D1361" i="5"/>
  <c r="C1361" i="5"/>
  <c r="B1361" i="5"/>
  <c r="A1361" i="5"/>
  <c r="D1360" i="5"/>
  <c r="C1360" i="5"/>
  <c r="B1360" i="5"/>
  <c r="A1360" i="5"/>
  <c r="D1359" i="5"/>
  <c r="C1359" i="5"/>
  <c r="B1359" i="5"/>
  <c r="A1359" i="5"/>
  <c r="D1358" i="5"/>
  <c r="C1358" i="5"/>
  <c r="B1358" i="5"/>
  <c r="A1358" i="5"/>
  <c r="D1357" i="5"/>
  <c r="C1357" i="5"/>
  <c r="B1357" i="5"/>
  <c r="A1357" i="5"/>
  <c r="D1356" i="5"/>
  <c r="C1356" i="5"/>
  <c r="B1356" i="5"/>
  <c r="A1356" i="5"/>
  <c r="D1355" i="5"/>
  <c r="C1355" i="5"/>
  <c r="B1355" i="5"/>
  <c r="A1355" i="5"/>
  <c r="D1354" i="5"/>
  <c r="C1354" i="5"/>
  <c r="B1354" i="5"/>
  <c r="A1354" i="5"/>
  <c r="D1353" i="5"/>
  <c r="C1353" i="5"/>
  <c r="B1353" i="5"/>
  <c r="A1353" i="5"/>
  <c r="D1352" i="5"/>
  <c r="C1352" i="5"/>
  <c r="B1352" i="5"/>
  <c r="A1352" i="5"/>
  <c r="D1351" i="5"/>
  <c r="C1351" i="5"/>
  <c r="B1351" i="5"/>
  <c r="A1351" i="5"/>
  <c r="D1350" i="5"/>
  <c r="C1350" i="5"/>
  <c r="B1350" i="5"/>
  <c r="A1350" i="5"/>
  <c r="D1349" i="5"/>
  <c r="C1349" i="5"/>
  <c r="B1349" i="5"/>
  <c r="A1349" i="5"/>
  <c r="D1348" i="5"/>
  <c r="C1348" i="5"/>
  <c r="B1348" i="5"/>
  <c r="A1348" i="5"/>
  <c r="D1347" i="5"/>
  <c r="C1347" i="5"/>
  <c r="B1347" i="5"/>
  <c r="A1347" i="5"/>
  <c r="D1346" i="5"/>
  <c r="C1346" i="5"/>
  <c r="B1346" i="5"/>
  <c r="A1346" i="5"/>
  <c r="D1345" i="5"/>
  <c r="C1345" i="5"/>
  <c r="B1345" i="5"/>
  <c r="A1345" i="5"/>
  <c r="D1344" i="5"/>
  <c r="C1344" i="5"/>
  <c r="B1344" i="5"/>
  <c r="A1344" i="5"/>
  <c r="D1343" i="5"/>
  <c r="C1343" i="5"/>
  <c r="B1343" i="5"/>
  <c r="A1343" i="5"/>
  <c r="D1342" i="5"/>
  <c r="C1342" i="5"/>
  <c r="B1342" i="5"/>
  <c r="A1342" i="5"/>
  <c r="D1341" i="5"/>
  <c r="C1341" i="5"/>
  <c r="B1341" i="5"/>
  <c r="A1341" i="5"/>
  <c r="D1340" i="5"/>
  <c r="C1340" i="5"/>
  <c r="B1340" i="5"/>
  <c r="A1340" i="5"/>
  <c r="D1339" i="5"/>
  <c r="C1339" i="5"/>
  <c r="B1339" i="5"/>
  <c r="A1339" i="5"/>
  <c r="D1338" i="5"/>
  <c r="C1338" i="5"/>
  <c r="B1338" i="5"/>
  <c r="A1338" i="5"/>
  <c r="D1337" i="5"/>
  <c r="C1337" i="5"/>
  <c r="B1337" i="5"/>
  <c r="A1337" i="5"/>
  <c r="D1336" i="5"/>
  <c r="C1336" i="5"/>
  <c r="B1336" i="5"/>
  <c r="A1336" i="5"/>
  <c r="D1335" i="5"/>
  <c r="C1335" i="5"/>
  <c r="B1335" i="5"/>
  <c r="A1335" i="5"/>
  <c r="D1334" i="5"/>
  <c r="C1334" i="5"/>
  <c r="B1334" i="5"/>
  <c r="A1334" i="5"/>
  <c r="D1333" i="5"/>
  <c r="C1333" i="5"/>
  <c r="B1333" i="5"/>
  <c r="A1333" i="5"/>
  <c r="D1332" i="5"/>
  <c r="C1332" i="5"/>
  <c r="B1332" i="5"/>
  <c r="A1332" i="5"/>
  <c r="D1331" i="5"/>
  <c r="C1331" i="5"/>
  <c r="B1331" i="5"/>
  <c r="A1331" i="5"/>
  <c r="D1330" i="5"/>
  <c r="C1330" i="5"/>
  <c r="B1330" i="5"/>
  <c r="A1330" i="5"/>
  <c r="D1329" i="5"/>
  <c r="C1329" i="5"/>
  <c r="B1329" i="5"/>
  <c r="A1329" i="5"/>
  <c r="D1328" i="5"/>
  <c r="C1328" i="5"/>
  <c r="B1328" i="5"/>
  <c r="A1328" i="5"/>
  <c r="D1327" i="5"/>
  <c r="C1327" i="5"/>
  <c r="B1327" i="5"/>
  <c r="A1327" i="5"/>
  <c r="D1326" i="5"/>
  <c r="C1326" i="5"/>
  <c r="B1326" i="5"/>
  <c r="A1326" i="5"/>
  <c r="D1325" i="5"/>
  <c r="C1325" i="5"/>
  <c r="B1325" i="5"/>
  <c r="A1325" i="5"/>
  <c r="D1324" i="5"/>
  <c r="C1324" i="5"/>
  <c r="B1324" i="5"/>
  <c r="A1324" i="5"/>
  <c r="D1323" i="5"/>
  <c r="C1323" i="5"/>
  <c r="B1323" i="5"/>
  <c r="A1323" i="5"/>
  <c r="D1322" i="5"/>
  <c r="C1322" i="5"/>
  <c r="B1322" i="5"/>
  <c r="A1322" i="5"/>
  <c r="D1321" i="5"/>
  <c r="C1321" i="5"/>
  <c r="B1321" i="5"/>
  <c r="A1321" i="5"/>
  <c r="D1320" i="5"/>
  <c r="C1320" i="5"/>
  <c r="B1320" i="5"/>
  <c r="A1320" i="5"/>
  <c r="D1319" i="5"/>
  <c r="C1319" i="5"/>
  <c r="B1319" i="5"/>
  <c r="A1319" i="5"/>
  <c r="D1318" i="5"/>
  <c r="C1318" i="5"/>
  <c r="B1318" i="5"/>
  <c r="A1318" i="5"/>
  <c r="D1317" i="5"/>
  <c r="C1317" i="5"/>
  <c r="B1317" i="5"/>
  <c r="A1317" i="5"/>
  <c r="D1316" i="5"/>
  <c r="C1316" i="5"/>
  <c r="B1316" i="5"/>
  <c r="A1316" i="5"/>
  <c r="D1315" i="5"/>
  <c r="C1315" i="5"/>
  <c r="B1315" i="5"/>
  <c r="A1315" i="5"/>
  <c r="D1314" i="5"/>
  <c r="C1314" i="5"/>
  <c r="B1314" i="5"/>
  <c r="A1314" i="5"/>
  <c r="D1313" i="5"/>
  <c r="C1313" i="5"/>
  <c r="B1313" i="5"/>
  <c r="A1313" i="5"/>
  <c r="D1312" i="5"/>
  <c r="C1312" i="5"/>
  <c r="B1312" i="5"/>
  <c r="A1312" i="5"/>
  <c r="D1311" i="5"/>
  <c r="C1311" i="5"/>
  <c r="B1311" i="5"/>
  <c r="A1311" i="5"/>
  <c r="D1310" i="5"/>
  <c r="C1310" i="5"/>
  <c r="B1310" i="5"/>
  <c r="A1310" i="5"/>
  <c r="D1309" i="5"/>
  <c r="C1309" i="5"/>
  <c r="B1309" i="5"/>
  <c r="A1309" i="5"/>
  <c r="D1308" i="5"/>
  <c r="C1308" i="5"/>
  <c r="B1308" i="5"/>
  <c r="A1308" i="5"/>
  <c r="D1307" i="5"/>
  <c r="C1307" i="5"/>
  <c r="B1307" i="5"/>
  <c r="A1307" i="5"/>
  <c r="D1306" i="5"/>
  <c r="C1306" i="5"/>
  <c r="B1306" i="5"/>
  <c r="A1306" i="5"/>
  <c r="D1305" i="5"/>
  <c r="C1305" i="5"/>
  <c r="B1305" i="5"/>
  <c r="A1305" i="5"/>
  <c r="D1304" i="5"/>
  <c r="C1304" i="5"/>
  <c r="B1304" i="5"/>
  <c r="A1304" i="5"/>
  <c r="D1303" i="5"/>
  <c r="C1303" i="5"/>
  <c r="B1303" i="5"/>
  <c r="A1303" i="5"/>
  <c r="D1302" i="5"/>
  <c r="C1302" i="5"/>
  <c r="B1302" i="5"/>
  <c r="A1302" i="5"/>
  <c r="D1301" i="5"/>
  <c r="C1301" i="5"/>
  <c r="B1301" i="5"/>
  <c r="A1301" i="5"/>
  <c r="D1300" i="5"/>
  <c r="C1300" i="5"/>
  <c r="B1300" i="5"/>
  <c r="A1300" i="5"/>
  <c r="D1299" i="5"/>
  <c r="C1299" i="5"/>
  <c r="B1299" i="5"/>
  <c r="A1299" i="5"/>
  <c r="D1298" i="5"/>
  <c r="C1298" i="5"/>
  <c r="B1298" i="5"/>
  <c r="A1298" i="5"/>
  <c r="D1297" i="5"/>
  <c r="C1297" i="5"/>
  <c r="B1297" i="5"/>
  <c r="A1297" i="5"/>
  <c r="D1296" i="5"/>
  <c r="C1296" i="5"/>
  <c r="B1296" i="5"/>
  <c r="A1296" i="5"/>
  <c r="D1295" i="5"/>
  <c r="C1295" i="5"/>
  <c r="B1295" i="5"/>
  <c r="A1295" i="5"/>
  <c r="D1294" i="5"/>
  <c r="C1294" i="5"/>
  <c r="B1294" i="5"/>
  <c r="A1294" i="5"/>
  <c r="D1293" i="5"/>
  <c r="C1293" i="5"/>
  <c r="B1293" i="5"/>
  <c r="A1293" i="5"/>
  <c r="D1292" i="5"/>
  <c r="C1292" i="5"/>
  <c r="B1292" i="5"/>
  <c r="A1292" i="5"/>
  <c r="D1291" i="5"/>
  <c r="C1291" i="5"/>
  <c r="B1291" i="5"/>
  <c r="A1291" i="5"/>
  <c r="D1290" i="5"/>
  <c r="C1290" i="5"/>
  <c r="B1290" i="5"/>
  <c r="A1290" i="5"/>
  <c r="D1289" i="5"/>
  <c r="C1289" i="5"/>
  <c r="B1289" i="5"/>
  <c r="A1289" i="5"/>
  <c r="D1288" i="5"/>
  <c r="C1288" i="5"/>
  <c r="B1288" i="5"/>
  <c r="A1288" i="5"/>
  <c r="D1287" i="5"/>
  <c r="C1287" i="5"/>
  <c r="B1287" i="5"/>
  <c r="A1287" i="5"/>
  <c r="D1286" i="5"/>
  <c r="C1286" i="5"/>
  <c r="B1286" i="5"/>
  <c r="A1286" i="5"/>
  <c r="D1285" i="5"/>
  <c r="C1285" i="5"/>
  <c r="B1285" i="5"/>
  <c r="A1285" i="5"/>
  <c r="D1284" i="5"/>
  <c r="C1284" i="5"/>
  <c r="B1284" i="5"/>
  <c r="A1284" i="5"/>
  <c r="D1283" i="5"/>
  <c r="C1283" i="5"/>
  <c r="B1283" i="5"/>
  <c r="A1283" i="5"/>
  <c r="D1282" i="5"/>
  <c r="C1282" i="5"/>
  <c r="B1282" i="5"/>
  <c r="A1282" i="5"/>
  <c r="D1281" i="5"/>
  <c r="C1281" i="5"/>
  <c r="B1281" i="5"/>
  <c r="A1281" i="5"/>
  <c r="D1280" i="5"/>
  <c r="C1280" i="5"/>
  <c r="B1280" i="5"/>
  <c r="A1280" i="5"/>
  <c r="D1279" i="5"/>
  <c r="C1279" i="5"/>
  <c r="B1279" i="5"/>
  <c r="A1279" i="5"/>
  <c r="D1278" i="5"/>
  <c r="C1278" i="5"/>
  <c r="B1278" i="5"/>
  <c r="A1278" i="5"/>
  <c r="D1277" i="5"/>
  <c r="C1277" i="5"/>
  <c r="B1277" i="5"/>
  <c r="A1277" i="5"/>
  <c r="D1276" i="5"/>
  <c r="C1276" i="5"/>
  <c r="B1276" i="5"/>
  <c r="A1276" i="5"/>
  <c r="D1275" i="5"/>
  <c r="C1275" i="5"/>
  <c r="B1275" i="5"/>
  <c r="A1275" i="5"/>
  <c r="D1274" i="5"/>
  <c r="C1274" i="5"/>
  <c r="B1274" i="5"/>
  <c r="A1274" i="5"/>
  <c r="D1273" i="5"/>
  <c r="C1273" i="5"/>
  <c r="B1273" i="5"/>
  <c r="A1273" i="5"/>
  <c r="D1272" i="5"/>
  <c r="C1272" i="5"/>
  <c r="B1272" i="5"/>
  <c r="A1272" i="5"/>
  <c r="D1271" i="5"/>
  <c r="C1271" i="5"/>
  <c r="B1271" i="5"/>
  <c r="A1271" i="5"/>
  <c r="D1270" i="5"/>
  <c r="C1270" i="5"/>
  <c r="B1270" i="5"/>
  <c r="A1270" i="5"/>
  <c r="D1269" i="5"/>
  <c r="C1269" i="5"/>
  <c r="B1269" i="5"/>
  <c r="A1269" i="5"/>
  <c r="D1268" i="5"/>
  <c r="C1268" i="5"/>
  <c r="B1268" i="5"/>
  <c r="A1268" i="5"/>
  <c r="D1267" i="5"/>
  <c r="C1267" i="5"/>
  <c r="B1267" i="5"/>
  <c r="A1267" i="5"/>
  <c r="D1266" i="5"/>
  <c r="C1266" i="5"/>
  <c r="B1266" i="5"/>
  <c r="A1266" i="5"/>
  <c r="D1265" i="5"/>
  <c r="C1265" i="5"/>
  <c r="B1265" i="5"/>
  <c r="A1265" i="5"/>
  <c r="D1264" i="5"/>
  <c r="C1264" i="5"/>
  <c r="B1264" i="5"/>
  <c r="A1264" i="5"/>
  <c r="D1263" i="5"/>
  <c r="C1263" i="5"/>
  <c r="B1263" i="5"/>
  <c r="A1263" i="5"/>
  <c r="D1262" i="5"/>
  <c r="C1262" i="5"/>
  <c r="B1262" i="5"/>
  <c r="A1262" i="5"/>
  <c r="D1261" i="5"/>
  <c r="C1261" i="5"/>
  <c r="B1261" i="5"/>
  <c r="A1261" i="5"/>
  <c r="D1260" i="5"/>
  <c r="C1260" i="5"/>
  <c r="B1260" i="5"/>
  <c r="A1260" i="5"/>
  <c r="D1259" i="5"/>
  <c r="C1259" i="5"/>
  <c r="B1259" i="5"/>
  <c r="A1259" i="5"/>
  <c r="D1258" i="5"/>
  <c r="C1258" i="5"/>
  <c r="B1258" i="5"/>
  <c r="A1258" i="5"/>
  <c r="D1257" i="5"/>
  <c r="C1257" i="5"/>
  <c r="B1257" i="5"/>
  <c r="A1257" i="5"/>
  <c r="D1256" i="5"/>
  <c r="C1256" i="5"/>
  <c r="B1256" i="5"/>
  <c r="A1256" i="5"/>
  <c r="D1255" i="5"/>
  <c r="C1255" i="5"/>
  <c r="B1255" i="5"/>
  <c r="A1255" i="5"/>
  <c r="D1254" i="5"/>
  <c r="C1254" i="5"/>
  <c r="B1254" i="5"/>
  <c r="A1254" i="5"/>
  <c r="D1253" i="5"/>
  <c r="C1253" i="5"/>
  <c r="B1253" i="5"/>
  <c r="A1253" i="5"/>
  <c r="D1252" i="5"/>
  <c r="C1252" i="5"/>
  <c r="B1252" i="5"/>
  <c r="A1252" i="5"/>
  <c r="D1251" i="5"/>
  <c r="C1251" i="5"/>
  <c r="B1251" i="5"/>
  <c r="A1251" i="5"/>
  <c r="D1250" i="5"/>
  <c r="C1250" i="5"/>
  <c r="B1250" i="5"/>
  <c r="A1250" i="5"/>
  <c r="D1249" i="5"/>
  <c r="C1249" i="5"/>
  <c r="B1249" i="5"/>
  <c r="A1249" i="5"/>
  <c r="D1248" i="5"/>
  <c r="C1248" i="5"/>
  <c r="B1248" i="5"/>
  <c r="A1248" i="5"/>
  <c r="D1247" i="5"/>
  <c r="C1247" i="5"/>
  <c r="B1247" i="5"/>
  <c r="A1247" i="5"/>
  <c r="D1246" i="5"/>
  <c r="C1246" i="5"/>
  <c r="B1246" i="5"/>
  <c r="A1246" i="5"/>
  <c r="D1245" i="5"/>
  <c r="C1245" i="5"/>
  <c r="B1245" i="5"/>
  <c r="A1245" i="5"/>
  <c r="D1244" i="5"/>
  <c r="C1244" i="5"/>
  <c r="B1244" i="5"/>
  <c r="A1244" i="5"/>
  <c r="D1243" i="5"/>
  <c r="C1243" i="5"/>
  <c r="B1243" i="5"/>
  <c r="A1243" i="5"/>
  <c r="D1242" i="5"/>
  <c r="C1242" i="5"/>
  <c r="B1242" i="5"/>
  <c r="A1242" i="5"/>
  <c r="D1241" i="5"/>
  <c r="C1241" i="5"/>
  <c r="B1241" i="5"/>
  <c r="A1241" i="5"/>
  <c r="D1240" i="5"/>
  <c r="C1240" i="5"/>
  <c r="B1240" i="5"/>
  <c r="A1240" i="5"/>
  <c r="D1239" i="5"/>
  <c r="C1239" i="5"/>
  <c r="B1239" i="5"/>
  <c r="A1239" i="5"/>
  <c r="D1238" i="5"/>
  <c r="C1238" i="5"/>
  <c r="B1238" i="5"/>
  <c r="A1238" i="5"/>
  <c r="D1237" i="5"/>
  <c r="C1237" i="5"/>
  <c r="B1237" i="5"/>
  <c r="A1237" i="5"/>
  <c r="D1236" i="5"/>
  <c r="C1236" i="5"/>
  <c r="B1236" i="5"/>
  <c r="A1236" i="5"/>
  <c r="D1235" i="5"/>
  <c r="C1235" i="5"/>
  <c r="B1235" i="5"/>
  <c r="A1235" i="5"/>
  <c r="D1234" i="5"/>
  <c r="C1234" i="5"/>
  <c r="B1234" i="5"/>
  <c r="A1234" i="5"/>
  <c r="D1233" i="5"/>
  <c r="C1233" i="5"/>
  <c r="B1233" i="5"/>
  <c r="A1233" i="5"/>
  <c r="D1232" i="5"/>
  <c r="C1232" i="5"/>
  <c r="B1232" i="5"/>
  <c r="A1232" i="5"/>
  <c r="D1231" i="5"/>
  <c r="C1231" i="5"/>
  <c r="B1231" i="5"/>
  <c r="A1231" i="5"/>
  <c r="D1230" i="5"/>
  <c r="C1230" i="5"/>
  <c r="B1230" i="5"/>
  <c r="A1230" i="5"/>
  <c r="D1229" i="5"/>
  <c r="C1229" i="5"/>
  <c r="B1229" i="5"/>
  <c r="A1229" i="5"/>
  <c r="D1228" i="5"/>
  <c r="C1228" i="5"/>
  <c r="B1228" i="5"/>
  <c r="A1228" i="5"/>
  <c r="D1227" i="5"/>
  <c r="C1227" i="5"/>
  <c r="B1227" i="5"/>
  <c r="A1227" i="5"/>
  <c r="D1226" i="5"/>
  <c r="C1226" i="5"/>
  <c r="B1226" i="5"/>
  <c r="A1226" i="5"/>
  <c r="D1225" i="5"/>
  <c r="C1225" i="5"/>
  <c r="B1225" i="5"/>
  <c r="A1225" i="5"/>
  <c r="D1224" i="5"/>
  <c r="C1224" i="5"/>
  <c r="B1224" i="5"/>
  <c r="A1224" i="5"/>
  <c r="D1223" i="5"/>
  <c r="C1223" i="5"/>
  <c r="B1223" i="5"/>
  <c r="A1223" i="5"/>
  <c r="D1222" i="5"/>
  <c r="C1222" i="5"/>
  <c r="B1222" i="5"/>
  <c r="A1222" i="5"/>
  <c r="D1221" i="5"/>
  <c r="C1221" i="5"/>
  <c r="B1221" i="5"/>
  <c r="A1221" i="5"/>
  <c r="D1220" i="5"/>
  <c r="C1220" i="5"/>
  <c r="B1220" i="5"/>
  <c r="A1220" i="5"/>
  <c r="D1219" i="5"/>
  <c r="C1219" i="5"/>
  <c r="B1219" i="5"/>
  <c r="A1219" i="5"/>
  <c r="D1218" i="5"/>
  <c r="C1218" i="5"/>
  <c r="B1218" i="5"/>
  <c r="A1218" i="5"/>
  <c r="D1217" i="5"/>
  <c r="C1217" i="5"/>
  <c r="B1217" i="5"/>
  <c r="A1217" i="5"/>
  <c r="D1216" i="5"/>
  <c r="C1216" i="5"/>
  <c r="B1216" i="5"/>
  <c r="A1216" i="5"/>
  <c r="D1215" i="5"/>
  <c r="C1215" i="5"/>
  <c r="B1215" i="5"/>
  <c r="A1215" i="5"/>
  <c r="D1214" i="5"/>
  <c r="C1214" i="5"/>
  <c r="B1214" i="5"/>
  <c r="A1214" i="5"/>
  <c r="D1213" i="5"/>
  <c r="C1213" i="5"/>
  <c r="B1213" i="5"/>
  <c r="A1213" i="5"/>
  <c r="D1212" i="5"/>
  <c r="C1212" i="5"/>
  <c r="B1212" i="5"/>
  <c r="A1212" i="5"/>
  <c r="D1211" i="5"/>
  <c r="C1211" i="5"/>
  <c r="B1211" i="5"/>
  <c r="A1211" i="5"/>
  <c r="D1210" i="5"/>
  <c r="C1210" i="5"/>
  <c r="B1210" i="5"/>
  <c r="A1210" i="5"/>
  <c r="D1209" i="5"/>
  <c r="C1209" i="5"/>
  <c r="B1209" i="5"/>
  <c r="A1209" i="5"/>
  <c r="D1208" i="5"/>
  <c r="C1208" i="5"/>
  <c r="B1208" i="5"/>
  <c r="A1208" i="5"/>
  <c r="D1207" i="5"/>
  <c r="C1207" i="5"/>
  <c r="B1207" i="5"/>
  <c r="A1207" i="5"/>
  <c r="D1206" i="5"/>
  <c r="C1206" i="5"/>
  <c r="B1206" i="5"/>
  <c r="A1206" i="5"/>
  <c r="D1205" i="5"/>
  <c r="C1205" i="5"/>
  <c r="B1205" i="5"/>
  <c r="A1205" i="5"/>
  <c r="D1204" i="5"/>
  <c r="C1204" i="5"/>
  <c r="B1204" i="5"/>
  <c r="A1204" i="5"/>
  <c r="D1203" i="5"/>
  <c r="C1203" i="5"/>
  <c r="B1203" i="5"/>
  <c r="A1203" i="5"/>
  <c r="D1202" i="5"/>
  <c r="C1202" i="5"/>
  <c r="B1202" i="5"/>
  <c r="A1202" i="5"/>
  <c r="D1201" i="5"/>
  <c r="C1201" i="5"/>
  <c r="B1201" i="5"/>
  <c r="A1201" i="5"/>
  <c r="D1200" i="5"/>
  <c r="C1200" i="5"/>
  <c r="B1200" i="5"/>
  <c r="A1200" i="5"/>
  <c r="D1199" i="5"/>
  <c r="C1199" i="5"/>
  <c r="B1199" i="5"/>
  <c r="A1199" i="5"/>
  <c r="D1198" i="5"/>
  <c r="C1198" i="5"/>
  <c r="B1198" i="5"/>
  <c r="A1198" i="5"/>
  <c r="D1197" i="5"/>
  <c r="C1197" i="5"/>
  <c r="B1197" i="5"/>
  <c r="A1197" i="5"/>
  <c r="D1196" i="5"/>
  <c r="C1196" i="5"/>
  <c r="B1196" i="5"/>
  <c r="A1196" i="5"/>
  <c r="D1195" i="5"/>
  <c r="C1195" i="5"/>
  <c r="B1195" i="5"/>
  <c r="A1195" i="5"/>
  <c r="D1194" i="5"/>
  <c r="C1194" i="5"/>
  <c r="B1194" i="5"/>
  <c r="A1194" i="5"/>
  <c r="D1193" i="5"/>
  <c r="C1193" i="5"/>
  <c r="B1193" i="5"/>
  <c r="A1193" i="5"/>
  <c r="D1192" i="5"/>
  <c r="C1192" i="5"/>
  <c r="B1192" i="5"/>
  <c r="A1192" i="5"/>
  <c r="D1191" i="5"/>
  <c r="C1191" i="5"/>
  <c r="B1191" i="5"/>
  <c r="A1191" i="5"/>
  <c r="D1190" i="5"/>
  <c r="C1190" i="5"/>
  <c r="B1190" i="5"/>
  <c r="A1190" i="5"/>
  <c r="D1189" i="5"/>
  <c r="C1189" i="5"/>
  <c r="B1189" i="5"/>
  <c r="A1189" i="5"/>
  <c r="D1188" i="5"/>
  <c r="C1188" i="5"/>
  <c r="B1188" i="5"/>
  <c r="A1188" i="5"/>
  <c r="D1187" i="5"/>
  <c r="C1187" i="5"/>
  <c r="B1187" i="5"/>
  <c r="A1187" i="5"/>
  <c r="D1186" i="5"/>
  <c r="C1186" i="5"/>
  <c r="B1186" i="5"/>
  <c r="A1186" i="5"/>
  <c r="D1185" i="5"/>
  <c r="C1185" i="5"/>
  <c r="B1185" i="5"/>
  <c r="A1185" i="5"/>
  <c r="D1184" i="5"/>
  <c r="C1184" i="5"/>
  <c r="B1184" i="5"/>
  <c r="A1184" i="5"/>
  <c r="D1183" i="5"/>
  <c r="C1183" i="5"/>
  <c r="B1183" i="5"/>
  <c r="A1183" i="5"/>
  <c r="D1182" i="5"/>
  <c r="C1182" i="5"/>
  <c r="B1182" i="5"/>
  <c r="A1182" i="5"/>
  <c r="D1181" i="5"/>
  <c r="C1181" i="5"/>
  <c r="B1181" i="5"/>
  <c r="A1181" i="5"/>
  <c r="D1180" i="5"/>
  <c r="C1180" i="5"/>
  <c r="B1180" i="5"/>
  <c r="A1180" i="5"/>
  <c r="D1179" i="5"/>
  <c r="C1179" i="5"/>
  <c r="B1179" i="5"/>
  <c r="A1179" i="5"/>
  <c r="D1178" i="5"/>
  <c r="C1178" i="5"/>
  <c r="B1178" i="5"/>
  <c r="A1178" i="5"/>
  <c r="D1177" i="5"/>
  <c r="C1177" i="5"/>
  <c r="B1177" i="5"/>
  <c r="A1177" i="5"/>
  <c r="D1176" i="5"/>
  <c r="C1176" i="5"/>
  <c r="B1176" i="5"/>
  <c r="A1176" i="5"/>
  <c r="D1175" i="5"/>
  <c r="C1175" i="5"/>
  <c r="B1175" i="5"/>
  <c r="A1175" i="5"/>
  <c r="D1174" i="5"/>
  <c r="C1174" i="5"/>
  <c r="B1174" i="5"/>
  <c r="A1174" i="5"/>
  <c r="D1173" i="5"/>
  <c r="C1173" i="5"/>
  <c r="B1173" i="5"/>
  <c r="A1173" i="5"/>
  <c r="D1172" i="5"/>
  <c r="C1172" i="5"/>
  <c r="B1172" i="5"/>
  <c r="A1172" i="5"/>
  <c r="D1171" i="5"/>
  <c r="C1171" i="5"/>
  <c r="B1171" i="5"/>
  <c r="A1171" i="5"/>
  <c r="D1170" i="5"/>
  <c r="C1170" i="5"/>
  <c r="B1170" i="5"/>
  <c r="A1170" i="5"/>
  <c r="D1169" i="5"/>
  <c r="C1169" i="5"/>
  <c r="B1169" i="5"/>
  <c r="A1169" i="5"/>
  <c r="D1168" i="5"/>
  <c r="C1168" i="5"/>
  <c r="B1168" i="5"/>
  <c r="A1168" i="5"/>
  <c r="D1167" i="5"/>
  <c r="C1167" i="5"/>
  <c r="B1167" i="5"/>
  <c r="A1167" i="5"/>
  <c r="D1166" i="5"/>
  <c r="C1166" i="5"/>
  <c r="B1166" i="5"/>
  <c r="A1166" i="5"/>
  <c r="D1165" i="5"/>
  <c r="C1165" i="5"/>
  <c r="B1165" i="5"/>
  <c r="A1165" i="5"/>
  <c r="D1164" i="5"/>
  <c r="C1164" i="5"/>
  <c r="B1164" i="5"/>
  <c r="A1164" i="5"/>
  <c r="D1163" i="5"/>
  <c r="C1163" i="5"/>
  <c r="B1163" i="5"/>
  <c r="A1163" i="5"/>
  <c r="D1162" i="5"/>
  <c r="C1162" i="5"/>
  <c r="B1162" i="5"/>
  <c r="A1162" i="5"/>
  <c r="D1161" i="5"/>
  <c r="C1161" i="5"/>
  <c r="B1161" i="5"/>
  <c r="A1161" i="5"/>
  <c r="D1160" i="5"/>
  <c r="C1160" i="5"/>
  <c r="B1160" i="5"/>
  <c r="A1160" i="5"/>
  <c r="D1159" i="5"/>
  <c r="C1159" i="5"/>
  <c r="B1159" i="5"/>
  <c r="A1159" i="5"/>
  <c r="D1158" i="5"/>
  <c r="C1158" i="5"/>
  <c r="B1158" i="5"/>
  <c r="A1158" i="5"/>
  <c r="D1157" i="5"/>
  <c r="C1157" i="5"/>
  <c r="B1157" i="5"/>
  <c r="A1157" i="5"/>
  <c r="D1156" i="5"/>
  <c r="C1156" i="5"/>
  <c r="B1156" i="5"/>
  <c r="A1156" i="5"/>
  <c r="D1155" i="5"/>
  <c r="C1155" i="5"/>
  <c r="B1155" i="5"/>
  <c r="A1155" i="5"/>
  <c r="D1154" i="5"/>
  <c r="C1154" i="5"/>
  <c r="B1154" i="5"/>
  <c r="A1154" i="5"/>
  <c r="D1153" i="5"/>
  <c r="C1153" i="5"/>
  <c r="B1153" i="5"/>
  <c r="A1153" i="5"/>
  <c r="D1152" i="5"/>
  <c r="C1152" i="5"/>
  <c r="B1152" i="5"/>
  <c r="A1152" i="5"/>
  <c r="D1151" i="5"/>
  <c r="C1151" i="5"/>
  <c r="B1151" i="5"/>
  <c r="A1151" i="5"/>
  <c r="D1150" i="5"/>
  <c r="C1150" i="5"/>
  <c r="B1150" i="5"/>
  <c r="A1150" i="5"/>
  <c r="D1149" i="5"/>
  <c r="C1149" i="5"/>
  <c r="B1149" i="5"/>
  <c r="A1149" i="5"/>
  <c r="D1148" i="5"/>
  <c r="C1148" i="5"/>
  <c r="B1148" i="5"/>
  <c r="A1148" i="5"/>
  <c r="D1147" i="5"/>
  <c r="C1147" i="5"/>
  <c r="B1147" i="5"/>
  <c r="A1147" i="5"/>
  <c r="D1146" i="5"/>
  <c r="C1146" i="5"/>
  <c r="B1146" i="5"/>
  <c r="A1146" i="5"/>
  <c r="D1145" i="5"/>
  <c r="C1145" i="5"/>
  <c r="B1145" i="5"/>
  <c r="A1145" i="5"/>
  <c r="D1144" i="5"/>
  <c r="C1144" i="5"/>
  <c r="B1144" i="5"/>
  <c r="A1144" i="5"/>
  <c r="D1143" i="5"/>
  <c r="C1143" i="5"/>
  <c r="B1143" i="5"/>
  <c r="A1143" i="5"/>
  <c r="D1142" i="5"/>
  <c r="C1142" i="5"/>
  <c r="B1142" i="5"/>
  <c r="A1142" i="5"/>
  <c r="D1141" i="5"/>
  <c r="C1141" i="5"/>
  <c r="B1141" i="5"/>
  <c r="A1141" i="5"/>
  <c r="D1140" i="5"/>
  <c r="C1140" i="5"/>
  <c r="B1140" i="5"/>
  <c r="A1140" i="5"/>
  <c r="D1139" i="5"/>
  <c r="C1139" i="5"/>
  <c r="B1139" i="5"/>
  <c r="A1139" i="5"/>
  <c r="D1138" i="5"/>
  <c r="C1138" i="5"/>
  <c r="B1138" i="5"/>
  <c r="A1138" i="5"/>
  <c r="D1137" i="5"/>
  <c r="C1137" i="5"/>
  <c r="B1137" i="5"/>
  <c r="A1137" i="5"/>
  <c r="D1136" i="5"/>
  <c r="C1136" i="5"/>
  <c r="B1136" i="5"/>
  <c r="A1136" i="5"/>
  <c r="D1135" i="5"/>
  <c r="C1135" i="5"/>
  <c r="B1135" i="5"/>
  <c r="A1135" i="5"/>
  <c r="D1134" i="5"/>
  <c r="C1134" i="5"/>
  <c r="B1134" i="5"/>
  <c r="A1134" i="5"/>
  <c r="D1133" i="5"/>
  <c r="C1133" i="5"/>
  <c r="B1133" i="5"/>
  <c r="A1133" i="5"/>
  <c r="D1132" i="5"/>
  <c r="C1132" i="5"/>
  <c r="B1132" i="5"/>
  <c r="A1132" i="5"/>
  <c r="D1131" i="5"/>
  <c r="C1131" i="5"/>
  <c r="B1131" i="5"/>
  <c r="A1131" i="5"/>
  <c r="D1130" i="5"/>
  <c r="C1130" i="5"/>
  <c r="B1130" i="5"/>
  <c r="A1130" i="5"/>
  <c r="D1129" i="5"/>
  <c r="C1129" i="5"/>
  <c r="B1129" i="5"/>
  <c r="A1129" i="5"/>
  <c r="D1128" i="5"/>
  <c r="C1128" i="5"/>
  <c r="B1128" i="5"/>
  <c r="A1128" i="5"/>
  <c r="D1127" i="5"/>
  <c r="C1127" i="5"/>
  <c r="B1127" i="5"/>
  <c r="A1127" i="5"/>
  <c r="D1126" i="5"/>
  <c r="C1126" i="5"/>
  <c r="B1126" i="5"/>
  <c r="A1126" i="5"/>
  <c r="D1125" i="5"/>
  <c r="C1125" i="5"/>
  <c r="B1125" i="5"/>
  <c r="A1125" i="5"/>
  <c r="D1124" i="5"/>
  <c r="C1124" i="5"/>
  <c r="B1124" i="5"/>
  <c r="A1124" i="5"/>
  <c r="D1123" i="5"/>
  <c r="C1123" i="5"/>
  <c r="B1123" i="5"/>
  <c r="A1123" i="5"/>
  <c r="D1122" i="5"/>
  <c r="C1122" i="5"/>
  <c r="B1122" i="5"/>
  <c r="A1122" i="5"/>
  <c r="D1121" i="5"/>
  <c r="C1121" i="5"/>
  <c r="B1121" i="5"/>
  <c r="A1121" i="5"/>
  <c r="D1120" i="5"/>
  <c r="C1120" i="5"/>
  <c r="B1120" i="5"/>
  <c r="A1120" i="5"/>
  <c r="D1119" i="5"/>
  <c r="C1119" i="5"/>
  <c r="B1119" i="5"/>
  <c r="A1119" i="5"/>
  <c r="D1118" i="5"/>
  <c r="C1118" i="5"/>
  <c r="B1118" i="5"/>
  <c r="A1118" i="5"/>
  <c r="D1117" i="5"/>
  <c r="C1117" i="5"/>
  <c r="B1117" i="5"/>
  <c r="A1117" i="5"/>
  <c r="D1116" i="5"/>
  <c r="C1116" i="5"/>
  <c r="B1116" i="5"/>
  <c r="A1116" i="5"/>
  <c r="D1115" i="5"/>
  <c r="C1115" i="5"/>
  <c r="B1115" i="5"/>
  <c r="A1115" i="5"/>
  <c r="D1114" i="5"/>
  <c r="C1114" i="5"/>
  <c r="B1114" i="5"/>
  <c r="A1114" i="5"/>
  <c r="D1113" i="5"/>
  <c r="C1113" i="5"/>
  <c r="B1113" i="5"/>
  <c r="A1113" i="5"/>
  <c r="D1112" i="5"/>
  <c r="C1112" i="5"/>
  <c r="B1112" i="5"/>
  <c r="A1112" i="5"/>
  <c r="D1111" i="5"/>
  <c r="C1111" i="5"/>
  <c r="B1111" i="5"/>
  <c r="A1111" i="5"/>
  <c r="D1110" i="5"/>
  <c r="C1110" i="5"/>
  <c r="B1110" i="5"/>
  <c r="A1110" i="5"/>
  <c r="D1109" i="5"/>
  <c r="C1109" i="5"/>
  <c r="B1109" i="5"/>
  <c r="A1109" i="5"/>
  <c r="D1108" i="5"/>
  <c r="C1108" i="5"/>
  <c r="B1108" i="5"/>
  <c r="A1108" i="5"/>
  <c r="D1107" i="5"/>
  <c r="C1107" i="5"/>
  <c r="B1107" i="5"/>
  <c r="A1107" i="5"/>
  <c r="D1106" i="5"/>
  <c r="C1106" i="5"/>
  <c r="B1106" i="5"/>
  <c r="A1106" i="5"/>
  <c r="D1105" i="5"/>
  <c r="C1105" i="5"/>
  <c r="B1105" i="5"/>
  <c r="A1105" i="5"/>
  <c r="D1104" i="5"/>
  <c r="C1104" i="5"/>
  <c r="B1104" i="5"/>
  <c r="A1104" i="5"/>
  <c r="D1103" i="5"/>
  <c r="C1103" i="5"/>
  <c r="B1103" i="5"/>
  <c r="A1103" i="5"/>
  <c r="D1102" i="5"/>
  <c r="C1102" i="5"/>
  <c r="B1102" i="5"/>
  <c r="A1102" i="5"/>
  <c r="D1101" i="5"/>
  <c r="C1101" i="5"/>
  <c r="B1101" i="5"/>
  <c r="A1101" i="5"/>
  <c r="D1100" i="5"/>
  <c r="C1100" i="5"/>
  <c r="B1100" i="5"/>
  <c r="A1100" i="5"/>
  <c r="D1099" i="5"/>
  <c r="C1099" i="5"/>
  <c r="B1099" i="5"/>
  <c r="A1099" i="5"/>
  <c r="D1098" i="5"/>
  <c r="C1098" i="5"/>
  <c r="B1098" i="5"/>
  <c r="A1098" i="5"/>
  <c r="D1097" i="5"/>
  <c r="C1097" i="5"/>
  <c r="B1097" i="5"/>
  <c r="A1097" i="5"/>
  <c r="D1096" i="5"/>
  <c r="C1096" i="5"/>
  <c r="B1096" i="5"/>
  <c r="A1096" i="5"/>
  <c r="D1095" i="5"/>
  <c r="C1095" i="5"/>
  <c r="B1095" i="5"/>
  <c r="A1095" i="5"/>
  <c r="D1094" i="5"/>
  <c r="C1094" i="5"/>
  <c r="B1094" i="5"/>
  <c r="A1094" i="5"/>
  <c r="D1093" i="5"/>
  <c r="C1093" i="5"/>
  <c r="B1093" i="5"/>
  <c r="A1093" i="5"/>
  <c r="D1092" i="5"/>
  <c r="C1092" i="5"/>
  <c r="B1092" i="5"/>
  <c r="A1092" i="5"/>
  <c r="D1091" i="5"/>
  <c r="C1091" i="5"/>
  <c r="B1091" i="5"/>
  <c r="A1091" i="5"/>
  <c r="D1090" i="5"/>
  <c r="C1090" i="5"/>
  <c r="B1090" i="5"/>
  <c r="A1090" i="5"/>
  <c r="D1089" i="5"/>
  <c r="C1089" i="5"/>
  <c r="B1089" i="5"/>
  <c r="A1089" i="5"/>
  <c r="D1088" i="5"/>
  <c r="C1088" i="5"/>
  <c r="B1088" i="5"/>
  <c r="A1088" i="5"/>
  <c r="D1087" i="5"/>
  <c r="C1087" i="5"/>
  <c r="B1087" i="5"/>
  <c r="A1087" i="5"/>
  <c r="D1086" i="5"/>
  <c r="C1086" i="5"/>
  <c r="B1086" i="5"/>
  <c r="A1086" i="5"/>
  <c r="D1085" i="5"/>
  <c r="C1085" i="5"/>
  <c r="B1085" i="5"/>
  <c r="A1085" i="5"/>
  <c r="D1084" i="5"/>
  <c r="C1084" i="5"/>
  <c r="B1084" i="5"/>
  <c r="A1084" i="5"/>
  <c r="D1083" i="5"/>
  <c r="C1083" i="5"/>
  <c r="B1083" i="5"/>
  <c r="A1083" i="5"/>
  <c r="D1082" i="5"/>
  <c r="C1082" i="5"/>
  <c r="B1082" i="5"/>
  <c r="A1082" i="5"/>
  <c r="D1081" i="5"/>
  <c r="C1081" i="5"/>
  <c r="B1081" i="5"/>
  <c r="A1081" i="5"/>
  <c r="D1080" i="5"/>
  <c r="C1080" i="5"/>
  <c r="B1080" i="5"/>
  <c r="A1080" i="5"/>
  <c r="D1079" i="5"/>
  <c r="C1079" i="5"/>
  <c r="B1079" i="5"/>
  <c r="A1079" i="5"/>
  <c r="D1078" i="5"/>
  <c r="C1078" i="5"/>
  <c r="B1078" i="5"/>
  <c r="A1078" i="5"/>
  <c r="D1077" i="5"/>
  <c r="C1077" i="5"/>
  <c r="B1077" i="5"/>
  <c r="A1077" i="5"/>
  <c r="D1076" i="5"/>
  <c r="C1076" i="5"/>
  <c r="B1076" i="5"/>
  <c r="A1076" i="5"/>
  <c r="D1075" i="5"/>
  <c r="C1075" i="5"/>
  <c r="B1075" i="5"/>
  <c r="A1075" i="5"/>
  <c r="D1074" i="5"/>
  <c r="C1074" i="5"/>
  <c r="B1074" i="5"/>
  <c r="A1074" i="5"/>
  <c r="D1073" i="5"/>
  <c r="C1073" i="5"/>
  <c r="B1073" i="5"/>
  <c r="A1073" i="5"/>
  <c r="D1072" i="5"/>
  <c r="C1072" i="5"/>
  <c r="B1072" i="5"/>
  <c r="A1072" i="5"/>
  <c r="D1071" i="5"/>
  <c r="C1071" i="5"/>
  <c r="B1071" i="5"/>
  <c r="A1071" i="5"/>
  <c r="D1070" i="5"/>
  <c r="C1070" i="5"/>
  <c r="B1070" i="5"/>
  <c r="A1070" i="5"/>
  <c r="D1069" i="5"/>
  <c r="C1069" i="5"/>
  <c r="B1069" i="5"/>
  <c r="A1069" i="5"/>
  <c r="D1068" i="5"/>
  <c r="C1068" i="5"/>
  <c r="B1068" i="5"/>
  <c r="A1068" i="5"/>
  <c r="D1067" i="5"/>
  <c r="C1067" i="5"/>
  <c r="B1067" i="5"/>
  <c r="A1067" i="5"/>
  <c r="D1066" i="5"/>
  <c r="C1066" i="5"/>
  <c r="B1066" i="5"/>
  <c r="A1066" i="5"/>
  <c r="D1065" i="5"/>
  <c r="C1065" i="5"/>
  <c r="B1065" i="5"/>
  <c r="A1065" i="5"/>
  <c r="D1064" i="5"/>
  <c r="C1064" i="5"/>
  <c r="B1064" i="5"/>
  <c r="A1064" i="5"/>
  <c r="D1063" i="5"/>
  <c r="C1063" i="5"/>
  <c r="B1063" i="5"/>
  <c r="A1063" i="5"/>
  <c r="D1062" i="5"/>
  <c r="C1062" i="5"/>
  <c r="B1062" i="5"/>
  <c r="A1062" i="5"/>
  <c r="D1061" i="5"/>
  <c r="C1061" i="5"/>
  <c r="B1061" i="5"/>
  <c r="A1061" i="5"/>
  <c r="D1060" i="5"/>
  <c r="C1060" i="5"/>
  <c r="B1060" i="5"/>
  <c r="A1060" i="5"/>
  <c r="D1059" i="5"/>
  <c r="C1059" i="5"/>
  <c r="B1059" i="5"/>
  <c r="A1059" i="5"/>
  <c r="D1058" i="5"/>
  <c r="C1058" i="5"/>
  <c r="B1058" i="5"/>
  <c r="A1058" i="5"/>
  <c r="D1057" i="5"/>
  <c r="C1057" i="5"/>
  <c r="B1057" i="5"/>
  <c r="A1057" i="5"/>
  <c r="D1056" i="5"/>
  <c r="C1056" i="5"/>
  <c r="B1056" i="5"/>
  <c r="A1056" i="5"/>
  <c r="D1055" i="5"/>
  <c r="C1055" i="5"/>
  <c r="B1055" i="5"/>
  <c r="A1055" i="5"/>
  <c r="D1054" i="5"/>
  <c r="C1054" i="5"/>
  <c r="B1054" i="5"/>
  <c r="A1054" i="5"/>
  <c r="D1053" i="5"/>
  <c r="C1053" i="5"/>
  <c r="B1053" i="5"/>
  <c r="A1053" i="5"/>
  <c r="D1052" i="5"/>
  <c r="C1052" i="5"/>
  <c r="B1052" i="5"/>
  <c r="A1052" i="5"/>
  <c r="D1051" i="5"/>
  <c r="C1051" i="5"/>
  <c r="B1051" i="5"/>
  <c r="A1051" i="5"/>
  <c r="D1050" i="5"/>
  <c r="C1050" i="5"/>
  <c r="B1050" i="5"/>
  <c r="A1050" i="5"/>
  <c r="D1049" i="5"/>
  <c r="C1049" i="5"/>
  <c r="B1049" i="5"/>
  <c r="A1049" i="5"/>
  <c r="D1048" i="5"/>
  <c r="C1048" i="5"/>
  <c r="B1048" i="5"/>
  <c r="A1048" i="5"/>
  <c r="D1047" i="5"/>
  <c r="C1047" i="5"/>
  <c r="B1047" i="5"/>
  <c r="A1047" i="5"/>
  <c r="D1046" i="5"/>
  <c r="C1046" i="5"/>
  <c r="B1046" i="5"/>
  <c r="A1046" i="5"/>
  <c r="D1045" i="5"/>
  <c r="C1045" i="5"/>
  <c r="B1045" i="5"/>
  <c r="A1045" i="5"/>
  <c r="D1044" i="5"/>
  <c r="C1044" i="5"/>
  <c r="B1044" i="5"/>
  <c r="A1044" i="5"/>
  <c r="D1043" i="5"/>
  <c r="C1043" i="5"/>
  <c r="B1043" i="5"/>
  <c r="A1043" i="5"/>
  <c r="D1042" i="5"/>
  <c r="C1042" i="5"/>
  <c r="B1042" i="5"/>
  <c r="A1042" i="5"/>
  <c r="D1041" i="5"/>
  <c r="C1041" i="5"/>
  <c r="B1041" i="5"/>
  <c r="A1041" i="5"/>
  <c r="D1040" i="5"/>
  <c r="C1040" i="5"/>
  <c r="B1040" i="5"/>
  <c r="A1040" i="5"/>
  <c r="D1039" i="5"/>
  <c r="C1039" i="5"/>
  <c r="B1039" i="5"/>
  <c r="A1039" i="5"/>
  <c r="D1038" i="5"/>
  <c r="C1038" i="5"/>
  <c r="B1038" i="5"/>
  <c r="A1038" i="5"/>
  <c r="D1037" i="5"/>
  <c r="C1037" i="5"/>
  <c r="B1037" i="5"/>
  <c r="A1037" i="5"/>
  <c r="D1036" i="5"/>
  <c r="C1036" i="5"/>
  <c r="B1036" i="5"/>
  <c r="A1036" i="5"/>
  <c r="D1035" i="5"/>
  <c r="C1035" i="5"/>
  <c r="B1035" i="5"/>
  <c r="A1035" i="5"/>
  <c r="D1034" i="5"/>
  <c r="C1034" i="5"/>
  <c r="B1034" i="5"/>
  <c r="A1034" i="5"/>
  <c r="D1033" i="5"/>
  <c r="C1033" i="5"/>
  <c r="B1033" i="5"/>
  <c r="A1033" i="5"/>
  <c r="D1032" i="5"/>
  <c r="C1032" i="5"/>
  <c r="B1032" i="5"/>
  <c r="A1032" i="5"/>
  <c r="D1031" i="5"/>
  <c r="C1031" i="5"/>
  <c r="B1031" i="5"/>
  <c r="A1031" i="5"/>
  <c r="D1030" i="5"/>
  <c r="C1030" i="5"/>
  <c r="B1030" i="5"/>
  <c r="A1030" i="5"/>
  <c r="D1029" i="5"/>
  <c r="C1029" i="5"/>
  <c r="B1029" i="5"/>
  <c r="A1029" i="5"/>
  <c r="D1028" i="5"/>
  <c r="C1028" i="5"/>
  <c r="B1028" i="5"/>
  <c r="A1028" i="5"/>
  <c r="D1027" i="5"/>
  <c r="C1027" i="5"/>
  <c r="B1027" i="5"/>
  <c r="A1027" i="5"/>
  <c r="D1026" i="5"/>
  <c r="C1026" i="5"/>
  <c r="B1026" i="5"/>
  <c r="A1026" i="5"/>
  <c r="D1025" i="5"/>
  <c r="C1025" i="5"/>
  <c r="B1025" i="5"/>
  <c r="A1025" i="5"/>
  <c r="D1024" i="5"/>
  <c r="C1024" i="5"/>
  <c r="B1024" i="5"/>
  <c r="A1024" i="5"/>
  <c r="D1023" i="5"/>
  <c r="C1023" i="5"/>
  <c r="B1023" i="5"/>
  <c r="A1023" i="5"/>
  <c r="D1022" i="5"/>
  <c r="C1022" i="5"/>
  <c r="B1022" i="5"/>
  <c r="A1022" i="5"/>
  <c r="D1021" i="5"/>
  <c r="C1021" i="5"/>
  <c r="B1021" i="5"/>
  <c r="A1021" i="5"/>
  <c r="D1020" i="5"/>
  <c r="C1020" i="5"/>
  <c r="B1020" i="5"/>
  <c r="A1020" i="5"/>
  <c r="D1019" i="5"/>
  <c r="C1019" i="5"/>
  <c r="B1019" i="5"/>
  <c r="A1019" i="5"/>
  <c r="D1018" i="5"/>
  <c r="C1018" i="5"/>
  <c r="B1018" i="5"/>
  <c r="A1018" i="5"/>
  <c r="D1017" i="5"/>
  <c r="C1017" i="5"/>
  <c r="B1017" i="5"/>
  <c r="A1017" i="5"/>
  <c r="D1016" i="5"/>
  <c r="C1016" i="5"/>
  <c r="B1016" i="5"/>
  <c r="A1016" i="5"/>
  <c r="D1015" i="5"/>
  <c r="C1015" i="5"/>
  <c r="B1015" i="5"/>
  <c r="A1015" i="5"/>
  <c r="D1014" i="5"/>
  <c r="C1014" i="5"/>
  <c r="B1014" i="5"/>
  <c r="A1014" i="5"/>
  <c r="D1013" i="5"/>
  <c r="C1013" i="5"/>
  <c r="B1013" i="5"/>
  <c r="A1013" i="5"/>
  <c r="D1012" i="5"/>
  <c r="C1012" i="5"/>
  <c r="B1012" i="5"/>
  <c r="A1012" i="5"/>
  <c r="D1011" i="5"/>
  <c r="C1011" i="5"/>
  <c r="B1011" i="5"/>
  <c r="A1011" i="5"/>
  <c r="D1010" i="5"/>
  <c r="C1010" i="5"/>
  <c r="B1010" i="5"/>
  <c r="A1010" i="5"/>
  <c r="D1009" i="5"/>
  <c r="C1009" i="5"/>
  <c r="B1009" i="5"/>
  <c r="A1009" i="5"/>
  <c r="D1008" i="5"/>
  <c r="C1008" i="5"/>
  <c r="B1008" i="5"/>
  <c r="A1008" i="5"/>
  <c r="D1007" i="5"/>
  <c r="C1007" i="5"/>
  <c r="B1007" i="5"/>
  <c r="A1007" i="5"/>
  <c r="D1006" i="5"/>
  <c r="C1006" i="5"/>
  <c r="B1006" i="5"/>
  <c r="A1006" i="5"/>
  <c r="D1005" i="5"/>
  <c r="C1005" i="5"/>
  <c r="B1005" i="5"/>
  <c r="A1005" i="5"/>
  <c r="D1004" i="5"/>
  <c r="C1004" i="5"/>
  <c r="B1004" i="5"/>
  <c r="A1004" i="5"/>
  <c r="D1003" i="5"/>
  <c r="C1003" i="5"/>
  <c r="B1003" i="5"/>
  <c r="A1003" i="5"/>
  <c r="D1002" i="5"/>
  <c r="C1002" i="5"/>
  <c r="B1002" i="5"/>
  <c r="A1002" i="5"/>
  <c r="D1001" i="5"/>
  <c r="C1001" i="5"/>
  <c r="B1001" i="5"/>
  <c r="A1001" i="5"/>
  <c r="D1000" i="5"/>
  <c r="C1000" i="5"/>
  <c r="B1000" i="5"/>
  <c r="A1000" i="5"/>
  <c r="D999" i="5"/>
  <c r="C999" i="5"/>
  <c r="B999" i="5"/>
  <c r="A999" i="5"/>
  <c r="D998" i="5"/>
  <c r="C998" i="5"/>
  <c r="B998" i="5"/>
  <c r="A998" i="5"/>
  <c r="D997" i="5"/>
  <c r="C997" i="5"/>
  <c r="B997" i="5"/>
  <c r="A997" i="5"/>
  <c r="D996" i="5"/>
  <c r="C996" i="5"/>
  <c r="B996" i="5"/>
  <c r="A996" i="5"/>
  <c r="D995" i="5"/>
  <c r="C995" i="5"/>
  <c r="B995" i="5"/>
  <c r="A995" i="5"/>
  <c r="D994" i="5"/>
  <c r="C994" i="5"/>
  <c r="B994" i="5"/>
  <c r="A994" i="5"/>
  <c r="D993" i="5"/>
  <c r="C993" i="5"/>
  <c r="B993" i="5"/>
  <c r="A993" i="5"/>
  <c r="D992" i="5"/>
  <c r="C992" i="5"/>
  <c r="B992" i="5"/>
  <c r="A992" i="5"/>
  <c r="D991" i="5"/>
  <c r="C991" i="5"/>
  <c r="B991" i="5"/>
  <c r="A991" i="5"/>
  <c r="D990" i="5"/>
  <c r="C990" i="5"/>
  <c r="B990" i="5"/>
  <c r="A990" i="5"/>
  <c r="D989" i="5"/>
  <c r="C989" i="5"/>
  <c r="B989" i="5"/>
  <c r="A989" i="5"/>
  <c r="D988" i="5"/>
  <c r="C988" i="5"/>
  <c r="B988" i="5"/>
  <c r="A988" i="5"/>
  <c r="D987" i="5"/>
  <c r="C987" i="5"/>
  <c r="B987" i="5"/>
  <c r="A987" i="5"/>
  <c r="D986" i="5"/>
  <c r="C986" i="5"/>
  <c r="B986" i="5"/>
  <c r="A986" i="5"/>
  <c r="D985" i="5"/>
  <c r="C985" i="5"/>
  <c r="B985" i="5"/>
  <c r="A985" i="5"/>
  <c r="D984" i="5"/>
  <c r="C984" i="5"/>
  <c r="B984" i="5"/>
  <c r="A984" i="5"/>
  <c r="D983" i="5"/>
  <c r="C983" i="5"/>
  <c r="B983" i="5"/>
  <c r="A983" i="5"/>
  <c r="D982" i="5"/>
  <c r="C982" i="5"/>
  <c r="B982" i="5"/>
  <c r="A982" i="5"/>
  <c r="D981" i="5"/>
  <c r="C981" i="5"/>
  <c r="B981" i="5"/>
  <c r="A981" i="5"/>
  <c r="D980" i="5"/>
  <c r="C980" i="5"/>
  <c r="B980" i="5"/>
  <c r="A980" i="5"/>
  <c r="D979" i="5"/>
  <c r="C979" i="5"/>
  <c r="B979" i="5"/>
  <c r="A979" i="5"/>
  <c r="D978" i="5"/>
  <c r="C978" i="5"/>
  <c r="B978" i="5"/>
  <c r="A978" i="5"/>
  <c r="D977" i="5"/>
  <c r="C977" i="5"/>
  <c r="B977" i="5"/>
  <c r="A977" i="5"/>
  <c r="D976" i="5"/>
  <c r="C976" i="5"/>
  <c r="B976" i="5"/>
  <c r="A976" i="5"/>
  <c r="D975" i="5"/>
  <c r="C975" i="5"/>
  <c r="B975" i="5"/>
  <c r="A975" i="5"/>
  <c r="D974" i="5"/>
  <c r="C974" i="5"/>
  <c r="B974" i="5"/>
  <c r="A974" i="5"/>
  <c r="D973" i="5"/>
  <c r="C973" i="5"/>
  <c r="B973" i="5"/>
  <c r="A973" i="5"/>
  <c r="D972" i="5"/>
  <c r="C972" i="5"/>
  <c r="B972" i="5"/>
  <c r="A972" i="5"/>
  <c r="D971" i="5"/>
  <c r="C971" i="5"/>
  <c r="B971" i="5"/>
  <c r="A971" i="5"/>
  <c r="D970" i="5"/>
  <c r="C970" i="5"/>
  <c r="B970" i="5"/>
  <c r="A970" i="5"/>
  <c r="D969" i="5"/>
  <c r="C969" i="5"/>
  <c r="B969" i="5"/>
  <c r="A969" i="5"/>
  <c r="D968" i="5"/>
  <c r="C968" i="5"/>
  <c r="B968" i="5"/>
  <c r="A968" i="5"/>
  <c r="D967" i="5"/>
  <c r="C967" i="5"/>
  <c r="B967" i="5"/>
  <c r="A967" i="5"/>
  <c r="D966" i="5"/>
  <c r="C966" i="5"/>
  <c r="B966" i="5"/>
  <c r="A966" i="5"/>
  <c r="D965" i="5"/>
  <c r="C965" i="5"/>
  <c r="B965" i="5"/>
  <c r="A965" i="5"/>
  <c r="D964" i="5"/>
  <c r="C964" i="5"/>
  <c r="B964" i="5"/>
  <c r="A964" i="5"/>
  <c r="D963" i="5"/>
  <c r="C963" i="5"/>
  <c r="B963" i="5"/>
  <c r="A963" i="5"/>
  <c r="D962" i="5"/>
  <c r="C962" i="5"/>
  <c r="B962" i="5"/>
  <c r="A962" i="5"/>
  <c r="D961" i="5"/>
  <c r="C961" i="5"/>
  <c r="B961" i="5"/>
  <c r="A961" i="5"/>
  <c r="D960" i="5"/>
  <c r="C960" i="5"/>
  <c r="B960" i="5"/>
  <c r="A960" i="5"/>
  <c r="D959" i="5"/>
  <c r="C959" i="5"/>
  <c r="B959" i="5"/>
  <c r="A959" i="5"/>
  <c r="D958" i="5"/>
  <c r="C958" i="5"/>
  <c r="B958" i="5"/>
  <c r="A958" i="5"/>
  <c r="D957" i="5"/>
  <c r="C957" i="5"/>
  <c r="B957" i="5"/>
  <c r="A957" i="5"/>
  <c r="D956" i="5"/>
  <c r="C956" i="5"/>
  <c r="B956" i="5"/>
  <c r="A956" i="5"/>
  <c r="D955" i="5"/>
  <c r="C955" i="5"/>
  <c r="B955" i="5"/>
  <c r="A955" i="5"/>
  <c r="D954" i="5"/>
  <c r="C954" i="5"/>
  <c r="B954" i="5"/>
  <c r="A954" i="5"/>
  <c r="D953" i="5"/>
  <c r="C953" i="5"/>
  <c r="B953" i="5"/>
  <c r="A953" i="5"/>
  <c r="D952" i="5"/>
  <c r="C952" i="5"/>
  <c r="B952" i="5"/>
  <c r="A952" i="5"/>
  <c r="D951" i="5"/>
  <c r="C951" i="5"/>
  <c r="B951" i="5"/>
  <c r="A951" i="5"/>
  <c r="D950" i="5"/>
  <c r="C950" i="5"/>
  <c r="B950" i="5"/>
  <c r="A950" i="5"/>
  <c r="D949" i="5"/>
  <c r="C949" i="5"/>
  <c r="B949" i="5"/>
  <c r="A949" i="5"/>
  <c r="D948" i="5"/>
  <c r="C948" i="5"/>
  <c r="B948" i="5"/>
  <c r="A948" i="5"/>
  <c r="D947" i="5"/>
  <c r="C947" i="5"/>
  <c r="B947" i="5"/>
  <c r="A947" i="5"/>
  <c r="D946" i="5"/>
  <c r="C946" i="5"/>
  <c r="B946" i="5"/>
  <c r="A946" i="5"/>
  <c r="D945" i="5"/>
  <c r="C945" i="5"/>
  <c r="B945" i="5"/>
  <c r="A945" i="5"/>
  <c r="D944" i="5"/>
  <c r="C944" i="5"/>
  <c r="B944" i="5"/>
  <c r="A944" i="5"/>
  <c r="D943" i="5"/>
  <c r="C943" i="5"/>
  <c r="B943" i="5"/>
  <c r="A943" i="5"/>
  <c r="D942" i="5"/>
  <c r="C942" i="5"/>
  <c r="B942" i="5"/>
  <c r="A942" i="5"/>
  <c r="D941" i="5"/>
  <c r="C941" i="5"/>
  <c r="B941" i="5"/>
  <c r="A941" i="5"/>
  <c r="D940" i="5"/>
  <c r="C940" i="5"/>
  <c r="B940" i="5"/>
  <c r="A940" i="5"/>
  <c r="D939" i="5"/>
  <c r="C939" i="5"/>
  <c r="B939" i="5"/>
  <c r="A939" i="5"/>
  <c r="D938" i="5"/>
  <c r="C938" i="5"/>
  <c r="B938" i="5"/>
  <c r="A938" i="5"/>
  <c r="D937" i="5"/>
  <c r="C937" i="5"/>
  <c r="B937" i="5"/>
  <c r="A937" i="5"/>
  <c r="D936" i="5"/>
  <c r="C936" i="5"/>
  <c r="B936" i="5"/>
  <c r="A936" i="5"/>
  <c r="D935" i="5"/>
  <c r="C935" i="5"/>
  <c r="B935" i="5"/>
  <c r="A935" i="5"/>
  <c r="D934" i="5"/>
  <c r="C934" i="5"/>
  <c r="B934" i="5"/>
  <c r="A934" i="5"/>
  <c r="D933" i="5"/>
  <c r="C933" i="5"/>
  <c r="B933" i="5"/>
  <c r="A933" i="5"/>
  <c r="D932" i="5"/>
  <c r="C932" i="5"/>
  <c r="B932" i="5"/>
  <c r="A932" i="5"/>
  <c r="D931" i="5"/>
  <c r="C931" i="5"/>
  <c r="B931" i="5"/>
  <c r="A931" i="5"/>
  <c r="D930" i="5"/>
  <c r="C930" i="5"/>
  <c r="B930" i="5"/>
  <c r="A930" i="5"/>
  <c r="D929" i="5"/>
  <c r="C929" i="5"/>
  <c r="B929" i="5"/>
  <c r="A929" i="5"/>
  <c r="D928" i="5"/>
  <c r="C928" i="5"/>
  <c r="B928" i="5"/>
  <c r="A928" i="5"/>
  <c r="D927" i="5"/>
  <c r="C927" i="5"/>
  <c r="B927" i="5"/>
  <c r="A927" i="5"/>
  <c r="D926" i="5"/>
  <c r="C926" i="5"/>
  <c r="B926" i="5"/>
  <c r="A926" i="5"/>
  <c r="D925" i="5"/>
  <c r="C925" i="5"/>
  <c r="B925" i="5"/>
  <c r="A925" i="5"/>
  <c r="D924" i="5"/>
  <c r="C924" i="5"/>
  <c r="B924" i="5"/>
  <c r="A924" i="5"/>
  <c r="D923" i="5"/>
  <c r="C923" i="5"/>
  <c r="B923" i="5"/>
  <c r="A923" i="5"/>
  <c r="D922" i="5"/>
  <c r="C922" i="5"/>
  <c r="B922" i="5"/>
  <c r="A922" i="5"/>
  <c r="D921" i="5"/>
  <c r="C921" i="5"/>
  <c r="B921" i="5"/>
  <c r="A921" i="5"/>
  <c r="D920" i="5"/>
  <c r="C920" i="5"/>
  <c r="B920" i="5"/>
  <c r="A920" i="5"/>
  <c r="D919" i="5"/>
  <c r="C919" i="5"/>
  <c r="B919" i="5"/>
  <c r="A919" i="5"/>
  <c r="D918" i="5"/>
  <c r="C918" i="5"/>
  <c r="B918" i="5"/>
  <c r="A918" i="5"/>
  <c r="D917" i="5"/>
  <c r="C917" i="5"/>
  <c r="B917" i="5"/>
  <c r="A917" i="5"/>
  <c r="D916" i="5"/>
  <c r="C916" i="5"/>
  <c r="B916" i="5"/>
  <c r="A916" i="5"/>
  <c r="D915" i="5"/>
  <c r="C915" i="5"/>
  <c r="B915" i="5"/>
  <c r="A915" i="5"/>
  <c r="D914" i="5"/>
  <c r="C914" i="5"/>
  <c r="B914" i="5"/>
  <c r="A914" i="5"/>
  <c r="D913" i="5"/>
  <c r="C913" i="5"/>
  <c r="B913" i="5"/>
  <c r="A913" i="5"/>
  <c r="D912" i="5"/>
  <c r="C912" i="5"/>
  <c r="B912" i="5"/>
  <c r="A912" i="5"/>
  <c r="D911" i="5"/>
  <c r="C911" i="5"/>
  <c r="B911" i="5"/>
  <c r="A911" i="5"/>
  <c r="D910" i="5"/>
  <c r="C910" i="5"/>
  <c r="B910" i="5"/>
  <c r="A910" i="5"/>
  <c r="D909" i="5"/>
  <c r="C909" i="5"/>
  <c r="B909" i="5"/>
  <c r="A909" i="5"/>
  <c r="D908" i="5"/>
  <c r="C908" i="5"/>
  <c r="B908" i="5"/>
  <c r="A908" i="5"/>
  <c r="D907" i="5"/>
  <c r="C907" i="5"/>
  <c r="B907" i="5"/>
  <c r="A907" i="5"/>
  <c r="D906" i="5"/>
  <c r="C906" i="5"/>
  <c r="B906" i="5"/>
  <c r="A906" i="5"/>
  <c r="D905" i="5"/>
  <c r="C905" i="5"/>
  <c r="B905" i="5"/>
  <c r="A905" i="5"/>
  <c r="D904" i="5"/>
  <c r="C904" i="5"/>
  <c r="B904" i="5"/>
  <c r="A904" i="5"/>
  <c r="D903" i="5"/>
  <c r="C903" i="5"/>
  <c r="B903" i="5"/>
  <c r="A903" i="5"/>
  <c r="D902" i="5"/>
  <c r="C902" i="5"/>
  <c r="B902" i="5"/>
  <c r="A902" i="5"/>
  <c r="D901" i="5"/>
  <c r="C901" i="5"/>
  <c r="B901" i="5"/>
  <c r="A901" i="5"/>
  <c r="D900" i="5"/>
  <c r="C900" i="5"/>
  <c r="B900" i="5"/>
  <c r="A900" i="5"/>
  <c r="D899" i="5"/>
  <c r="C899" i="5"/>
  <c r="B899" i="5"/>
  <c r="A899" i="5"/>
  <c r="D898" i="5"/>
  <c r="C898" i="5"/>
  <c r="B898" i="5"/>
  <c r="A898" i="5"/>
  <c r="D897" i="5"/>
  <c r="C897" i="5"/>
  <c r="B897" i="5"/>
  <c r="A897" i="5"/>
  <c r="D896" i="5"/>
  <c r="C896" i="5"/>
  <c r="B896" i="5"/>
  <c r="A896" i="5"/>
  <c r="D895" i="5"/>
  <c r="C895" i="5"/>
  <c r="B895" i="5"/>
  <c r="A895" i="5"/>
  <c r="D894" i="5"/>
  <c r="C894" i="5"/>
  <c r="B894" i="5"/>
  <c r="A894" i="5"/>
  <c r="D893" i="5"/>
  <c r="C893" i="5"/>
  <c r="B893" i="5"/>
  <c r="A893" i="5"/>
  <c r="D892" i="5"/>
  <c r="C892" i="5"/>
  <c r="B892" i="5"/>
  <c r="A892" i="5"/>
  <c r="D891" i="5"/>
  <c r="C891" i="5"/>
  <c r="B891" i="5"/>
  <c r="A891" i="5"/>
  <c r="D890" i="5"/>
  <c r="C890" i="5"/>
  <c r="B890" i="5"/>
  <c r="A890" i="5"/>
  <c r="D889" i="5"/>
  <c r="C889" i="5"/>
  <c r="B889" i="5"/>
  <c r="A889" i="5"/>
  <c r="D888" i="5"/>
  <c r="C888" i="5"/>
  <c r="B888" i="5"/>
  <c r="A888" i="5"/>
  <c r="D887" i="5"/>
  <c r="C887" i="5"/>
  <c r="B887" i="5"/>
  <c r="A887" i="5"/>
  <c r="D886" i="5"/>
  <c r="C886" i="5"/>
  <c r="B886" i="5"/>
  <c r="A886" i="5"/>
  <c r="D885" i="5"/>
  <c r="C885" i="5"/>
  <c r="B885" i="5"/>
  <c r="A885" i="5"/>
  <c r="D884" i="5"/>
  <c r="C884" i="5"/>
  <c r="B884" i="5"/>
  <c r="A884" i="5"/>
  <c r="D883" i="5"/>
  <c r="C883" i="5"/>
  <c r="B883" i="5"/>
  <c r="A883" i="5"/>
  <c r="D882" i="5"/>
  <c r="C882" i="5"/>
  <c r="B882" i="5"/>
  <c r="A882" i="5"/>
  <c r="D881" i="5"/>
  <c r="C881" i="5"/>
  <c r="B881" i="5"/>
  <c r="A881" i="5"/>
  <c r="D880" i="5"/>
  <c r="C880" i="5"/>
  <c r="B880" i="5"/>
  <c r="A880" i="5"/>
  <c r="D879" i="5"/>
  <c r="C879" i="5"/>
  <c r="B879" i="5"/>
  <c r="A879" i="5"/>
  <c r="D878" i="5"/>
  <c r="C878" i="5"/>
  <c r="B878" i="5"/>
  <c r="A878" i="5"/>
  <c r="D877" i="5"/>
  <c r="C877" i="5"/>
  <c r="B877" i="5"/>
  <c r="A877" i="5"/>
  <c r="D876" i="5"/>
  <c r="C876" i="5"/>
  <c r="B876" i="5"/>
  <c r="A876" i="5"/>
  <c r="D875" i="5"/>
  <c r="C875" i="5"/>
  <c r="B875" i="5"/>
  <c r="A875" i="5"/>
  <c r="D874" i="5"/>
  <c r="C874" i="5"/>
  <c r="B874" i="5"/>
  <c r="A874" i="5"/>
  <c r="D873" i="5"/>
  <c r="C873" i="5"/>
  <c r="B873" i="5"/>
  <c r="A873" i="5"/>
  <c r="D872" i="5"/>
  <c r="C872" i="5"/>
  <c r="B872" i="5"/>
  <c r="A872" i="5"/>
  <c r="D871" i="5"/>
  <c r="C871" i="5"/>
  <c r="B871" i="5"/>
  <c r="A871" i="5"/>
  <c r="D870" i="5"/>
  <c r="C870" i="5"/>
  <c r="B870" i="5"/>
  <c r="A870" i="5"/>
  <c r="D869" i="5"/>
  <c r="C869" i="5"/>
  <c r="B869" i="5"/>
  <c r="A869" i="5"/>
  <c r="D868" i="5"/>
  <c r="C868" i="5"/>
  <c r="B868" i="5"/>
  <c r="A868" i="5"/>
  <c r="D867" i="5"/>
  <c r="C867" i="5"/>
  <c r="B867" i="5"/>
  <c r="A867" i="5"/>
  <c r="D866" i="5"/>
  <c r="C866" i="5"/>
  <c r="B866" i="5"/>
  <c r="A866" i="5"/>
  <c r="D865" i="5"/>
  <c r="C865" i="5"/>
  <c r="B865" i="5"/>
  <c r="A865" i="5"/>
  <c r="D864" i="5"/>
  <c r="C864" i="5"/>
  <c r="B864" i="5"/>
  <c r="A864" i="5"/>
  <c r="D863" i="5"/>
  <c r="C863" i="5"/>
  <c r="B863" i="5"/>
  <c r="A863" i="5"/>
  <c r="D862" i="5"/>
  <c r="C862" i="5"/>
  <c r="B862" i="5"/>
  <c r="A862" i="5"/>
  <c r="D861" i="5"/>
  <c r="C861" i="5"/>
  <c r="B861" i="5"/>
  <c r="A861" i="5"/>
  <c r="D860" i="5"/>
  <c r="C860" i="5"/>
  <c r="B860" i="5"/>
  <c r="A860" i="5"/>
  <c r="D859" i="5"/>
  <c r="C859" i="5"/>
  <c r="B859" i="5"/>
  <c r="A859" i="5"/>
  <c r="D858" i="5"/>
  <c r="C858" i="5"/>
  <c r="B858" i="5"/>
  <c r="A858" i="5"/>
  <c r="D857" i="5"/>
  <c r="C857" i="5"/>
  <c r="B857" i="5"/>
  <c r="A857" i="5"/>
  <c r="D856" i="5"/>
  <c r="C856" i="5"/>
  <c r="B856" i="5"/>
  <c r="A856" i="5"/>
  <c r="D855" i="5"/>
  <c r="C855" i="5"/>
  <c r="B855" i="5"/>
  <c r="A855" i="5"/>
  <c r="D854" i="5"/>
  <c r="C854" i="5"/>
  <c r="B854" i="5"/>
  <c r="A854" i="5"/>
  <c r="D853" i="5"/>
  <c r="C853" i="5"/>
  <c r="B853" i="5"/>
  <c r="A853" i="5"/>
  <c r="D852" i="5"/>
  <c r="C852" i="5"/>
  <c r="B852" i="5"/>
  <c r="A852" i="5"/>
  <c r="D851" i="5"/>
  <c r="C851" i="5"/>
  <c r="B851" i="5"/>
  <c r="A851" i="5"/>
  <c r="D850" i="5"/>
  <c r="C850" i="5"/>
  <c r="B850" i="5"/>
  <c r="A850" i="5"/>
  <c r="D849" i="5"/>
  <c r="C849" i="5"/>
  <c r="B849" i="5"/>
  <c r="A849" i="5"/>
  <c r="D848" i="5"/>
  <c r="C848" i="5"/>
  <c r="B848" i="5"/>
  <c r="A848" i="5"/>
  <c r="D847" i="5"/>
  <c r="C847" i="5"/>
  <c r="B847" i="5"/>
  <c r="A847" i="5"/>
  <c r="D846" i="5"/>
  <c r="C846" i="5"/>
  <c r="B846" i="5"/>
  <c r="A846" i="5"/>
  <c r="D845" i="5"/>
  <c r="C845" i="5"/>
  <c r="B845" i="5"/>
  <c r="A845" i="5"/>
  <c r="D844" i="5"/>
  <c r="C844" i="5"/>
  <c r="B844" i="5"/>
  <c r="A844" i="5"/>
  <c r="D843" i="5"/>
  <c r="C843" i="5"/>
  <c r="B843" i="5"/>
  <c r="A843" i="5"/>
  <c r="D842" i="5"/>
  <c r="C842" i="5"/>
  <c r="B842" i="5"/>
  <c r="A842" i="5"/>
  <c r="D841" i="5"/>
  <c r="C841" i="5"/>
  <c r="B841" i="5"/>
  <c r="A841" i="5"/>
  <c r="D840" i="5"/>
  <c r="C840" i="5"/>
  <c r="B840" i="5"/>
  <c r="A840" i="5"/>
  <c r="D839" i="5"/>
  <c r="C839" i="5"/>
  <c r="B839" i="5"/>
  <c r="A839" i="5"/>
  <c r="D838" i="5"/>
  <c r="C838" i="5"/>
  <c r="B838" i="5"/>
  <c r="A838" i="5"/>
  <c r="D837" i="5"/>
  <c r="C837" i="5"/>
  <c r="B837" i="5"/>
  <c r="A837" i="5"/>
  <c r="D836" i="5"/>
  <c r="C836" i="5"/>
  <c r="B836" i="5"/>
  <c r="A836" i="5"/>
  <c r="D835" i="5"/>
  <c r="C835" i="5"/>
  <c r="B835" i="5"/>
  <c r="A835" i="5"/>
  <c r="D834" i="5"/>
  <c r="C834" i="5"/>
  <c r="B834" i="5"/>
  <c r="A834" i="5"/>
  <c r="D833" i="5"/>
  <c r="C833" i="5"/>
  <c r="B833" i="5"/>
  <c r="A833" i="5"/>
  <c r="D832" i="5"/>
  <c r="C832" i="5"/>
  <c r="B832" i="5"/>
  <c r="A832" i="5"/>
  <c r="D831" i="5"/>
  <c r="C831" i="5"/>
  <c r="B831" i="5"/>
  <c r="A831" i="5"/>
  <c r="D830" i="5"/>
  <c r="C830" i="5"/>
  <c r="B830" i="5"/>
  <c r="A830" i="5"/>
  <c r="D829" i="5"/>
  <c r="C829" i="5"/>
  <c r="B829" i="5"/>
  <c r="A829" i="5"/>
  <c r="D828" i="5"/>
  <c r="C828" i="5"/>
  <c r="B828" i="5"/>
  <c r="A828" i="5"/>
  <c r="D827" i="5"/>
  <c r="C827" i="5"/>
  <c r="B827" i="5"/>
  <c r="A827" i="5"/>
  <c r="D826" i="5"/>
  <c r="C826" i="5"/>
  <c r="B826" i="5"/>
  <c r="A826" i="5"/>
  <c r="D825" i="5"/>
  <c r="C825" i="5"/>
  <c r="B825" i="5"/>
  <c r="A825" i="5"/>
  <c r="D824" i="5"/>
  <c r="C824" i="5"/>
  <c r="B824" i="5"/>
  <c r="A824" i="5"/>
  <c r="D823" i="5"/>
  <c r="C823" i="5"/>
  <c r="B823" i="5"/>
  <c r="A823" i="5"/>
  <c r="D822" i="5"/>
  <c r="C822" i="5"/>
  <c r="B822" i="5"/>
  <c r="A822" i="5"/>
  <c r="D821" i="5"/>
  <c r="C821" i="5"/>
  <c r="B821" i="5"/>
  <c r="A821" i="5"/>
  <c r="D820" i="5"/>
  <c r="C820" i="5"/>
  <c r="B820" i="5"/>
  <c r="A820" i="5"/>
  <c r="D819" i="5"/>
  <c r="C819" i="5"/>
  <c r="B819" i="5"/>
  <c r="A819" i="5"/>
  <c r="D818" i="5"/>
  <c r="C818" i="5"/>
  <c r="B818" i="5"/>
  <c r="A818" i="5"/>
  <c r="D817" i="5"/>
  <c r="C817" i="5"/>
  <c r="B817" i="5"/>
  <c r="A817" i="5"/>
  <c r="D816" i="5"/>
  <c r="C816" i="5"/>
  <c r="B816" i="5"/>
  <c r="A816" i="5"/>
  <c r="D815" i="5"/>
  <c r="C815" i="5"/>
  <c r="B815" i="5"/>
  <c r="A815" i="5"/>
  <c r="D814" i="5"/>
  <c r="C814" i="5"/>
  <c r="B814" i="5"/>
  <c r="A814" i="5"/>
  <c r="D813" i="5"/>
  <c r="C813" i="5"/>
  <c r="B813" i="5"/>
  <c r="A813" i="5"/>
  <c r="D812" i="5"/>
  <c r="C812" i="5"/>
  <c r="B812" i="5"/>
  <c r="A812" i="5"/>
  <c r="D811" i="5"/>
  <c r="C811" i="5"/>
  <c r="B811" i="5"/>
  <c r="A811" i="5"/>
  <c r="D810" i="5"/>
  <c r="C810" i="5"/>
  <c r="B810" i="5"/>
  <c r="A810" i="5"/>
  <c r="D809" i="5"/>
  <c r="C809" i="5"/>
  <c r="B809" i="5"/>
  <c r="A809" i="5"/>
  <c r="D808" i="5"/>
  <c r="C808" i="5"/>
  <c r="B808" i="5"/>
  <c r="A808" i="5"/>
  <c r="D807" i="5"/>
  <c r="C807" i="5"/>
  <c r="B807" i="5"/>
  <c r="A807" i="5"/>
  <c r="D806" i="5"/>
  <c r="C806" i="5"/>
  <c r="B806" i="5"/>
  <c r="A806" i="5"/>
  <c r="D805" i="5"/>
  <c r="C805" i="5"/>
  <c r="B805" i="5"/>
  <c r="A805" i="5"/>
  <c r="D804" i="5"/>
  <c r="C804" i="5"/>
  <c r="B804" i="5"/>
  <c r="A804" i="5"/>
  <c r="D803" i="5"/>
  <c r="C803" i="5"/>
  <c r="B803" i="5"/>
  <c r="A803" i="5"/>
  <c r="D802" i="5"/>
  <c r="C802" i="5"/>
  <c r="B802" i="5"/>
  <c r="A802" i="5"/>
  <c r="D801" i="5"/>
  <c r="C801" i="5"/>
  <c r="B801" i="5"/>
  <c r="A801" i="5"/>
  <c r="D800" i="5"/>
  <c r="C800" i="5"/>
  <c r="B800" i="5"/>
  <c r="A800" i="5"/>
  <c r="D799" i="5"/>
  <c r="C799" i="5"/>
  <c r="B799" i="5"/>
  <c r="A799" i="5"/>
  <c r="D798" i="5"/>
  <c r="C798" i="5"/>
  <c r="B798" i="5"/>
  <c r="A798" i="5"/>
  <c r="D797" i="5"/>
  <c r="C797" i="5"/>
  <c r="B797" i="5"/>
  <c r="A797" i="5"/>
  <c r="D796" i="5"/>
  <c r="C796" i="5"/>
  <c r="B796" i="5"/>
  <c r="A796" i="5"/>
  <c r="D795" i="5"/>
  <c r="C795" i="5"/>
  <c r="B795" i="5"/>
  <c r="A795" i="5"/>
  <c r="D794" i="5"/>
  <c r="C794" i="5"/>
  <c r="B794" i="5"/>
  <c r="A794" i="5"/>
  <c r="D793" i="5"/>
  <c r="C793" i="5"/>
  <c r="B793" i="5"/>
  <c r="A793" i="5"/>
  <c r="D792" i="5"/>
  <c r="C792" i="5"/>
  <c r="B792" i="5"/>
  <c r="A792" i="5"/>
  <c r="D791" i="5"/>
  <c r="C791" i="5"/>
  <c r="B791" i="5"/>
  <c r="A791" i="5"/>
  <c r="D790" i="5"/>
  <c r="C790" i="5"/>
  <c r="B790" i="5"/>
  <c r="A790" i="5"/>
  <c r="D789" i="5"/>
  <c r="C789" i="5"/>
  <c r="B789" i="5"/>
  <c r="A789" i="5"/>
  <c r="D788" i="5"/>
  <c r="C788" i="5"/>
  <c r="B788" i="5"/>
  <c r="A788" i="5"/>
  <c r="D787" i="5"/>
  <c r="C787" i="5"/>
  <c r="B787" i="5"/>
  <c r="A787" i="5"/>
  <c r="D786" i="5"/>
  <c r="C786" i="5"/>
  <c r="B786" i="5"/>
  <c r="A786" i="5"/>
  <c r="D785" i="5"/>
  <c r="C785" i="5"/>
  <c r="B785" i="5"/>
  <c r="A785" i="5"/>
  <c r="D784" i="5"/>
  <c r="C784" i="5"/>
  <c r="B784" i="5"/>
  <c r="A784" i="5"/>
  <c r="D783" i="5"/>
  <c r="C783" i="5"/>
  <c r="B783" i="5"/>
  <c r="A783" i="5"/>
  <c r="D782" i="5"/>
  <c r="C782" i="5"/>
  <c r="B782" i="5"/>
  <c r="A782" i="5"/>
  <c r="D781" i="5"/>
  <c r="C781" i="5"/>
  <c r="B781" i="5"/>
  <c r="A781" i="5"/>
  <c r="D780" i="5"/>
  <c r="C780" i="5"/>
  <c r="B780" i="5"/>
  <c r="A780" i="5"/>
  <c r="D779" i="5"/>
  <c r="C779" i="5"/>
  <c r="B779" i="5"/>
  <c r="A779" i="5"/>
  <c r="D778" i="5"/>
  <c r="C778" i="5"/>
  <c r="B778" i="5"/>
  <c r="A778" i="5"/>
  <c r="D777" i="5"/>
  <c r="C777" i="5"/>
  <c r="B777" i="5"/>
  <c r="A777" i="5"/>
  <c r="D776" i="5"/>
  <c r="C776" i="5"/>
  <c r="B776" i="5"/>
  <c r="A776" i="5"/>
  <c r="D775" i="5"/>
  <c r="C775" i="5"/>
  <c r="B775" i="5"/>
  <c r="A775" i="5"/>
  <c r="D774" i="5"/>
  <c r="C774" i="5"/>
  <c r="B774" i="5"/>
  <c r="A774" i="5"/>
  <c r="D773" i="5"/>
  <c r="C773" i="5"/>
  <c r="B773" i="5"/>
  <c r="A773" i="5"/>
  <c r="D772" i="5"/>
  <c r="C772" i="5"/>
  <c r="B772" i="5"/>
  <c r="A772" i="5"/>
  <c r="D771" i="5"/>
  <c r="C771" i="5"/>
  <c r="B771" i="5"/>
  <c r="A771" i="5"/>
  <c r="D770" i="5"/>
  <c r="C770" i="5"/>
  <c r="B770" i="5"/>
  <c r="A770" i="5"/>
  <c r="D769" i="5"/>
  <c r="C769" i="5"/>
  <c r="B769" i="5"/>
  <c r="A769" i="5"/>
  <c r="D768" i="5"/>
  <c r="C768" i="5"/>
  <c r="B768" i="5"/>
  <c r="A768" i="5"/>
  <c r="D767" i="5"/>
  <c r="C767" i="5"/>
  <c r="B767" i="5"/>
  <c r="A767" i="5"/>
  <c r="D766" i="5"/>
  <c r="C766" i="5"/>
  <c r="B766" i="5"/>
  <c r="A766" i="5"/>
  <c r="D765" i="5"/>
  <c r="C765" i="5"/>
  <c r="B765" i="5"/>
  <c r="A765" i="5"/>
  <c r="D764" i="5"/>
  <c r="C764" i="5"/>
  <c r="B764" i="5"/>
  <c r="A764" i="5"/>
  <c r="D763" i="5"/>
  <c r="C763" i="5"/>
  <c r="B763" i="5"/>
  <c r="A763" i="5"/>
  <c r="D762" i="5"/>
  <c r="C762" i="5"/>
  <c r="B762" i="5"/>
  <c r="A762" i="5"/>
  <c r="D761" i="5"/>
  <c r="C761" i="5"/>
  <c r="B761" i="5"/>
  <c r="A761" i="5"/>
  <c r="D760" i="5"/>
  <c r="C760" i="5"/>
  <c r="B760" i="5"/>
  <c r="A760" i="5"/>
  <c r="D759" i="5"/>
  <c r="C759" i="5"/>
  <c r="B759" i="5"/>
  <c r="A759" i="5"/>
  <c r="D758" i="5"/>
  <c r="C758" i="5"/>
  <c r="B758" i="5"/>
  <c r="A758" i="5"/>
  <c r="D757" i="5"/>
  <c r="C757" i="5"/>
  <c r="B757" i="5"/>
  <c r="A757" i="5"/>
  <c r="D756" i="5"/>
  <c r="C756" i="5"/>
  <c r="B756" i="5"/>
  <c r="A756" i="5"/>
  <c r="D755" i="5"/>
  <c r="C755" i="5"/>
  <c r="B755" i="5"/>
  <c r="A755" i="5"/>
  <c r="D754" i="5"/>
  <c r="C754" i="5"/>
  <c r="B754" i="5"/>
  <c r="A754" i="5"/>
  <c r="D753" i="5"/>
  <c r="C753" i="5"/>
  <c r="B753" i="5"/>
  <c r="A753" i="5"/>
  <c r="D752" i="5"/>
  <c r="C752" i="5"/>
  <c r="B752" i="5"/>
  <c r="A752" i="5"/>
  <c r="D751" i="5"/>
  <c r="C751" i="5"/>
  <c r="B751" i="5"/>
  <c r="A751" i="5"/>
  <c r="D750" i="5"/>
  <c r="C750" i="5"/>
  <c r="B750" i="5"/>
  <c r="A750" i="5"/>
  <c r="D749" i="5"/>
  <c r="C749" i="5"/>
  <c r="B749" i="5"/>
  <c r="A749" i="5"/>
  <c r="D748" i="5"/>
  <c r="C748" i="5"/>
  <c r="B748" i="5"/>
  <c r="A748" i="5"/>
  <c r="D747" i="5"/>
  <c r="C747" i="5"/>
  <c r="B747" i="5"/>
  <c r="A747" i="5"/>
  <c r="D746" i="5"/>
  <c r="C746" i="5"/>
  <c r="B746" i="5"/>
  <c r="A746" i="5"/>
  <c r="D745" i="5"/>
  <c r="C745" i="5"/>
  <c r="B745" i="5"/>
  <c r="A745" i="5"/>
  <c r="D744" i="5"/>
  <c r="C744" i="5"/>
  <c r="B744" i="5"/>
  <c r="A744" i="5"/>
  <c r="D743" i="5"/>
  <c r="C743" i="5"/>
  <c r="B743" i="5"/>
  <c r="A743" i="5"/>
  <c r="D742" i="5"/>
  <c r="C742" i="5"/>
  <c r="B742" i="5"/>
  <c r="A742" i="5"/>
  <c r="D741" i="5"/>
  <c r="C741" i="5"/>
  <c r="B741" i="5"/>
  <c r="A741" i="5"/>
  <c r="D740" i="5"/>
  <c r="C740" i="5"/>
  <c r="B740" i="5"/>
  <c r="A740" i="5"/>
  <c r="D739" i="5"/>
  <c r="C739" i="5"/>
  <c r="B739" i="5"/>
  <c r="A739" i="5"/>
  <c r="D738" i="5"/>
  <c r="C738" i="5"/>
  <c r="B738" i="5"/>
  <c r="A738" i="5"/>
  <c r="D737" i="5"/>
  <c r="C737" i="5"/>
  <c r="B737" i="5"/>
  <c r="A737" i="5"/>
  <c r="D736" i="5"/>
  <c r="C736" i="5"/>
  <c r="B736" i="5"/>
  <c r="A736" i="5"/>
  <c r="D735" i="5"/>
  <c r="C735" i="5"/>
  <c r="B735" i="5"/>
  <c r="A735" i="5"/>
  <c r="D734" i="5"/>
  <c r="C734" i="5"/>
  <c r="B734" i="5"/>
  <c r="A734" i="5"/>
  <c r="D733" i="5"/>
  <c r="C733" i="5"/>
  <c r="B733" i="5"/>
  <c r="A733" i="5"/>
  <c r="D732" i="5"/>
  <c r="C732" i="5"/>
  <c r="B732" i="5"/>
  <c r="A732" i="5"/>
  <c r="D731" i="5"/>
  <c r="C731" i="5"/>
  <c r="B731" i="5"/>
  <c r="A731" i="5"/>
  <c r="D730" i="5"/>
  <c r="C730" i="5"/>
  <c r="B730" i="5"/>
  <c r="A730" i="5"/>
  <c r="D729" i="5"/>
  <c r="C729" i="5"/>
  <c r="B729" i="5"/>
  <c r="A729" i="5"/>
  <c r="D728" i="5"/>
  <c r="C728" i="5"/>
  <c r="B728" i="5"/>
  <c r="A728" i="5"/>
  <c r="D727" i="5"/>
  <c r="C727" i="5"/>
  <c r="B727" i="5"/>
  <c r="A727" i="5"/>
  <c r="D726" i="5"/>
  <c r="C726" i="5"/>
  <c r="B726" i="5"/>
  <c r="A726" i="5"/>
  <c r="D725" i="5"/>
  <c r="C725" i="5"/>
  <c r="B725" i="5"/>
  <c r="A725" i="5"/>
  <c r="D724" i="5"/>
  <c r="C724" i="5"/>
  <c r="B724" i="5"/>
  <c r="A724" i="5"/>
  <c r="D723" i="5"/>
  <c r="C723" i="5"/>
  <c r="B723" i="5"/>
  <c r="A723" i="5"/>
  <c r="D722" i="5"/>
  <c r="C722" i="5"/>
  <c r="B722" i="5"/>
  <c r="A722" i="5"/>
  <c r="D721" i="5"/>
  <c r="C721" i="5"/>
  <c r="B721" i="5"/>
  <c r="A721" i="5"/>
  <c r="D720" i="5"/>
  <c r="C720" i="5"/>
  <c r="B720" i="5"/>
  <c r="A720" i="5"/>
  <c r="D719" i="5"/>
  <c r="C719" i="5"/>
  <c r="B719" i="5"/>
  <c r="A719" i="5"/>
  <c r="D718" i="5"/>
  <c r="C718" i="5"/>
  <c r="B718" i="5"/>
  <c r="A718" i="5"/>
  <c r="D717" i="5"/>
  <c r="C717" i="5"/>
  <c r="B717" i="5"/>
  <c r="A717" i="5"/>
  <c r="D716" i="5"/>
  <c r="C716" i="5"/>
  <c r="B716" i="5"/>
  <c r="A716" i="5"/>
  <c r="D715" i="5"/>
  <c r="C715" i="5"/>
  <c r="B715" i="5"/>
  <c r="A715" i="5"/>
  <c r="D714" i="5"/>
  <c r="C714" i="5"/>
  <c r="B714" i="5"/>
  <c r="A714" i="5"/>
  <c r="D713" i="5"/>
  <c r="C713" i="5"/>
  <c r="B713" i="5"/>
  <c r="A713" i="5"/>
  <c r="D712" i="5"/>
  <c r="C712" i="5"/>
  <c r="B712" i="5"/>
  <c r="A712" i="5"/>
  <c r="D711" i="5"/>
  <c r="C711" i="5"/>
  <c r="B711" i="5"/>
  <c r="A711" i="5"/>
  <c r="D710" i="5"/>
  <c r="C710" i="5"/>
  <c r="B710" i="5"/>
  <c r="A710" i="5"/>
  <c r="D709" i="5"/>
  <c r="C709" i="5"/>
  <c r="B709" i="5"/>
  <c r="A709" i="5"/>
  <c r="D708" i="5"/>
  <c r="C708" i="5"/>
  <c r="B708" i="5"/>
  <c r="A708" i="5"/>
  <c r="D707" i="5"/>
  <c r="C707" i="5"/>
  <c r="B707" i="5"/>
  <c r="A707" i="5"/>
  <c r="D706" i="5"/>
  <c r="C706" i="5"/>
  <c r="B706" i="5"/>
  <c r="A706" i="5"/>
  <c r="D705" i="5"/>
  <c r="C705" i="5"/>
  <c r="B705" i="5"/>
  <c r="A705" i="5"/>
  <c r="D704" i="5"/>
  <c r="C704" i="5"/>
  <c r="B704" i="5"/>
  <c r="A704" i="5"/>
  <c r="D703" i="5"/>
  <c r="C703" i="5"/>
  <c r="B703" i="5"/>
  <c r="A703" i="5"/>
  <c r="D702" i="5"/>
  <c r="C702" i="5"/>
  <c r="B702" i="5"/>
  <c r="A702" i="5"/>
  <c r="D701" i="5"/>
  <c r="C701" i="5"/>
  <c r="B701" i="5"/>
  <c r="A701" i="5"/>
  <c r="D700" i="5"/>
  <c r="C700" i="5"/>
  <c r="B700" i="5"/>
  <c r="A700" i="5"/>
  <c r="D699" i="5"/>
  <c r="C699" i="5"/>
  <c r="B699" i="5"/>
  <c r="A699" i="5"/>
  <c r="D698" i="5"/>
  <c r="C698" i="5"/>
  <c r="B698" i="5"/>
  <c r="A698" i="5"/>
  <c r="D697" i="5"/>
  <c r="C697" i="5"/>
  <c r="B697" i="5"/>
  <c r="A697" i="5"/>
  <c r="D696" i="5"/>
  <c r="C696" i="5"/>
  <c r="B696" i="5"/>
  <c r="A696" i="5"/>
  <c r="D695" i="5"/>
  <c r="C695" i="5"/>
  <c r="B695" i="5"/>
  <c r="A695" i="5"/>
  <c r="D694" i="5"/>
  <c r="C694" i="5"/>
  <c r="B694" i="5"/>
  <c r="A694" i="5"/>
  <c r="D693" i="5"/>
  <c r="C693" i="5"/>
  <c r="B693" i="5"/>
  <c r="A693" i="5"/>
  <c r="D692" i="5"/>
  <c r="C692" i="5"/>
  <c r="B692" i="5"/>
  <c r="A692" i="5"/>
  <c r="D691" i="5"/>
  <c r="C691" i="5"/>
  <c r="B691" i="5"/>
  <c r="A691" i="5"/>
  <c r="D690" i="5"/>
  <c r="C690" i="5"/>
  <c r="B690" i="5"/>
  <c r="A690" i="5"/>
  <c r="D689" i="5"/>
  <c r="C689" i="5"/>
  <c r="B689" i="5"/>
  <c r="A689" i="5"/>
  <c r="D688" i="5"/>
  <c r="C688" i="5"/>
  <c r="B688" i="5"/>
  <c r="A688" i="5"/>
  <c r="D687" i="5"/>
  <c r="C687" i="5"/>
  <c r="B687" i="5"/>
  <c r="A687" i="5"/>
  <c r="D686" i="5"/>
  <c r="C686" i="5"/>
  <c r="B686" i="5"/>
  <c r="A686" i="5"/>
  <c r="D685" i="5"/>
  <c r="C685" i="5"/>
  <c r="B685" i="5"/>
  <c r="A685" i="5"/>
  <c r="D684" i="5"/>
  <c r="C684" i="5"/>
  <c r="B684" i="5"/>
  <c r="A684" i="5"/>
  <c r="D683" i="5"/>
  <c r="C683" i="5"/>
  <c r="B683" i="5"/>
  <c r="A683" i="5"/>
  <c r="D682" i="5"/>
  <c r="C682" i="5"/>
  <c r="B682" i="5"/>
  <c r="A682" i="5"/>
  <c r="D681" i="5"/>
  <c r="C681" i="5"/>
  <c r="B681" i="5"/>
  <c r="A681" i="5"/>
  <c r="D680" i="5"/>
  <c r="C680" i="5"/>
  <c r="B680" i="5"/>
  <c r="A680" i="5"/>
  <c r="D679" i="5"/>
  <c r="C679" i="5"/>
  <c r="B679" i="5"/>
  <c r="A679" i="5"/>
  <c r="D678" i="5"/>
  <c r="C678" i="5"/>
  <c r="B678" i="5"/>
  <c r="A678" i="5"/>
  <c r="D677" i="5"/>
  <c r="C677" i="5"/>
  <c r="B677" i="5"/>
  <c r="A677" i="5"/>
  <c r="D676" i="5"/>
  <c r="C676" i="5"/>
  <c r="B676" i="5"/>
  <c r="A676" i="5"/>
  <c r="D675" i="5"/>
  <c r="C675" i="5"/>
  <c r="B675" i="5"/>
  <c r="A675" i="5"/>
  <c r="D674" i="5"/>
  <c r="C674" i="5"/>
  <c r="B674" i="5"/>
  <c r="A674" i="5"/>
  <c r="D673" i="5"/>
  <c r="C673" i="5"/>
  <c r="B673" i="5"/>
  <c r="A673" i="5"/>
  <c r="D672" i="5"/>
  <c r="C672" i="5"/>
  <c r="B672" i="5"/>
  <c r="A672" i="5"/>
  <c r="D671" i="5"/>
  <c r="C671" i="5"/>
  <c r="B671" i="5"/>
  <c r="A671" i="5"/>
  <c r="D670" i="5"/>
  <c r="C670" i="5"/>
  <c r="B670" i="5"/>
  <c r="A670" i="5"/>
  <c r="D669" i="5"/>
  <c r="C669" i="5"/>
  <c r="B669" i="5"/>
  <c r="A669" i="5"/>
  <c r="D668" i="5"/>
  <c r="C668" i="5"/>
  <c r="B668" i="5"/>
  <c r="A668" i="5"/>
  <c r="D667" i="5"/>
  <c r="C667" i="5"/>
  <c r="B667" i="5"/>
  <c r="A667" i="5"/>
  <c r="D666" i="5"/>
  <c r="C666" i="5"/>
  <c r="B666" i="5"/>
  <c r="A666" i="5"/>
  <c r="D665" i="5"/>
  <c r="C665" i="5"/>
  <c r="B665" i="5"/>
  <c r="A665" i="5"/>
  <c r="D664" i="5"/>
  <c r="C664" i="5"/>
  <c r="B664" i="5"/>
  <c r="A664" i="5"/>
  <c r="D663" i="5"/>
  <c r="C663" i="5"/>
  <c r="B663" i="5"/>
  <c r="A663" i="5"/>
  <c r="D662" i="5"/>
  <c r="C662" i="5"/>
  <c r="B662" i="5"/>
  <c r="A662" i="5"/>
  <c r="D661" i="5"/>
  <c r="C661" i="5"/>
  <c r="B661" i="5"/>
  <c r="A661" i="5"/>
  <c r="D660" i="5"/>
  <c r="C660" i="5"/>
  <c r="B660" i="5"/>
  <c r="A660" i="5"/>
  <c r="D659" i="5"/>
  <c r="C659" i="5"/>
  <c r="B659" i="5"/>
  <c r="A659" i="5"/>
  <c r="D658" i="5"/>
  <c r="C658" i="5"/>
  <c r="B658" i="5"/>
  <c r="A658" i="5"/>
  <c r="D657" i="5"/>
  <c r="C657" i="5"/>
  <c r="B657" i="5"/>
  <c r="A657" i="5"/>
  <c r="D656" i="5"/>
  <c r="C656" i="5"/>
  <c r="B656" i="5"/>
  <c r="A656" i="5"/>
  <c r="D655" i="5"/>
  <c r="C655" i="5"/>
  <c r="B655" i="5"/>
  <c r="A655" i="5"/>
  <c r="D654" i="5"/>
  <c r="C654" i="5"/>
  <c r="B654" i="5"/>
  <c r="A654" i="5"/>
  <c r="D653" i="5"/>
  <c r="C653" i="5"/>
  <c r="B653" i="5"/>
  <c r="A653" i="5"/>
  <c r="D652" i="5"/>
  <c r="C652" i="5"/>
  <c r="B652" i="5"/>
  <c r="A652" i="5"/>
  <c r="D651" i="5"/>
  <c r="C651" i="5"/>
  <c r="B651" i="5"/>
  <c r="A651" i="5"/>
  <c r="D650" i="5"/>
  <c r="C650" i="5"/>
  <c r="B650" i="5"/>
  <c r="A650" i="5"/>
  <c r="D649" i="5"/>
  <c r="C649" i="5"/>
  <c r="B649" i="5"/>
  <c r="A649" i="5"/>
  <c r="D648" i="5"/>
  <c r="C648" i="5"/>
  <c r="B648" i="5"/>
  <c r="A648" i="5"/>
  <c r="D647" i="5"/>
  <c r="C647" i="5"/>
  <c r="B647" i="5"/>
  <c r="A647" i="5"/>
  <c r="D646" i="5"/>
  <c r="C646" i="5"/>
  <c r="B646" i="5"/>
  <c r="A646" i="5"/>
  <c r="D645" i="5"/>
  <c r="C645" i="5"/>
  <c r="B645" i="5"/>
  <c r="A645" i="5"/>
  <c r="D644" i="5"/>
  <c r="C644" i="5"/>
  <c r="B644" i="5"/>
  <c r="A644" i="5"/>
  <c r="D643" i="5"/>
  <c r="C643" i="5"/>
  <c r="B643" i="5"/>
  <c r="A643" i="5"/>
  <c r="D642" i="5"/>
  <c r="C642" i="5"/>
  <c r="B642" i="5"/>
  <c r="A642" i="5"/>
  <c r="D641" i="5"/>
  <c r="C641" i="5"/>
  <c r="B641" i="5"/>
  <c r="A641" i="5"/>
  <c r="D640" i="5"/>
  <c r="C640" i="5"/>
  <c r="B640" i="5"/>
  <c r="A640" i="5"/>
  <c r="D639" i="5"/>
  <c r="C639" i="5"/>
  <c r="B639" i="5"/>
  <c r="A639" i="5"/>
  <c r="D638" i="5"/>
  <c r="C638" i="5"/>
  <c r="B638" i="5"/>
  <c r="A638" i="5"/>
  <c r="D637" i="5"/>
  <c r="C637" i="5"/>
  <c r="B637" i="5"/>
  <c r="A637" i="5"/>
  <c r="D636" i="5"/>
  <c r="C636" i="5"/>
  <c r="B636" i="5"/>
  <c r="A636" i="5"/>
  <c r="D635" i="5"/>
  <c r="C635" i="5"/>
  <c r="B635" i="5"/>
  <c r="A635" i="5"/>
  <c r="D634" i="5"/>
  <c r="C634" i="5"/>
  <c r="B634" i="5"/>
  <c r="A634" i="5"/>
  <c r="D633" i="5"/>
  <c r="C633" i="5"/>
  <c r="B633" i="5"/>
  <c r="A633" i="5"/>
  <c r="D632" i="5"/>
  <c r="C632" i="5"/>
  <c r="B632" i="5"/>
  <c r="A632" i="5"/>
  <c r="D631" i="5"/>
  <c r="C631" i="5"/>
  <c r="B631" i="5"/>
  <c r="A631" i="5"/>
  <c r="D630" i="5"/>
  <c r="C630" i="5"/>
  <c r="B630" i="5"/>
  <c r="A630" i="5"/>
  <c r="D629" i="5"/>
  <c r="C629" i="5"/>
  <c r="B629" i="5"/>
  <c r="A629" i="5"/>
  <c r="D628" i="5"/>
  <c r="C628" i="5"/>
  <c r="B628" i="5"/>
  <c r="A628" i="5"/>
  <c r="D627" i="5"/>
  <c r="C627" i="5"/>
  <c r="B627" i="5"/>
  <c r="A627" i="5"/>
  <c r="D626" i="5"/>
  <c r="C626" i="5"/>
  <c r="B626" i="5"/>
  <c r="A626" i="5"/>
  <c r="D625" i="5"/>
  <c r="C625" i="5"/>
  <c r="B625" i="5"/>
  <c r="A625" i="5"/>
  <c r="D624" i="5"/>
  <c r="C624" i="5"/>
  <c r="B624" i="5"/>
  <c r="A624" i="5"/>
  <c r="D623" i="5"/>
  <c r="C623" i="5"/>
  <c r="B623" i="5"/>
  <c r="A623" i="5"/>
  <c r="D622" i="5"/>
  <c r="C622" i="5"/>
  <c r="B622" i="5"/>
  <c r="A622" i="5"/>
  <c r="D621" i="5"/>
  <c r="C621" i="5"/>
  <c r="B621" i="5"/>
  <c r="A621" i="5"/>
  <c r="D620" i="5"/>
  <c r="C620" i="5"/>
  <c r="B620" i="5"/>
  <c r="A620" i="5"/>
  <c r="D619" i="5"/>
  <c r="C619" i="5"/>
  <c r="B619" i="5"/>
  <c r="A619" i="5"/>
  <c r="D618" i="5"/>
  <c r="C618" i="5"/>
  <c r="B618" i="5"/>
  <c r="A618" i="5"/>
  <c r="D617" i="5"/>
  <c r="C617" i="5"/>
  <c r="B617" i="5"/>
  <c r="A617" i="5"/>
  <c r="D616" i="5"/>
  <c r="C616" i="5"/>
  <c r="B616" i="5"/>
  <c r="A616" i="5"/>
  <c r="D615" i="5"/>
  <c r="C615" i="5"/>
  <c r="B615" i="5"/>
  <c r="A615" i="5"/>
  <c r="D614" i="5"/>
  <c r="C614" i="5"/>
  <c r="B614" i="5"/>
  <c r="A614" i="5"/>
  <c r="D613" i="5"/>
  <c r="C613" i="5"/>
  <c r="B613" i="5"/>
  <c r="A613" i="5"/>
  <c r="D612" i="5"/>
  <c r="C612" i="5"/>
  <c r="B612" i="5"/>
  <c r="A612" i="5"/>
  <c r="D611" i="5"/>
  <c r="C611" i="5"/>
  <c r="B611" i="5"/>
  <c r="A611" i="5"/>
  <c r="D610" i="5"/>
  <c r="C610" i="5"/>
  <c r="B610" i="5"/>
  <c r="A610" i="5"/>
  <c r="D609" i="5"/>
  <c r="C609" i="5"/>
  <c r="B609" i="5"/>
  <c r="A609" i="5"/>
  <c r="D608" i="5"/>
  <c r="C608" i="5"/>
  <c r="B608" i="5"/>
  <c r="A608" i="5"/>
  <c r="D607" i="5"/>
  <c r="C607" i="5"/>
  <c r="B607" i="5"/>
  <c r="A607" i="5"/>
  <c r="D606" i="5"/>
  <c r="C606" i="5"/>
  <c r="B606" i="5"/>
  <c r="A606" i="5"/>
  <c r="D605" i="5"/>
  <c r="C605" i="5"/>
  <c r="B605" i="5"/>
  <c r="A605" i="5"/>
  <c r="D604" i="5"/>
  <c r="C604" i="5"/>
  <c r="B604" i="5"/>
  <c r="A604" i="5"/>
  <c r="D603" i="5"/>
  <c r="C603" i="5"/>
  <c r="B603" i="5"/>
  <c r="A603" i="5"/>
  <c r="D602" i="5"/>
  <c r="C602" i="5"/>
  <c r="B602" i="5"/>
  <c r="A602" i="5"/>
  <c r="D601" i="5"/>
  <c r="C601" i="5"/>
  <c r="B601" i="5"/>
  <c r="A601" i="5"/>
  <c r="D600" i="5"/>
  <c r="C600" i="5"/>
  <c r="B600" i="5"/>
  <c r="A600" i="5"/>
  <c r="D599" i="5"/>
  <c r="C599" i="5"/>
  <c r="B599" i="5"/>
  <c r="A599" i="5"/>
  <c r="D598" i="5"/>
  <c r="C598" i="5"/>
  <c r="B598" i="5"/>
  <c r="A598" i="5"/>
  <c r="D597" i="5"/>
  <c r="C597" i="5"/>
  <c r="B597" i="5"/>
  <c r="A597" i="5"/>
  <c r="D596" i="5"/>
  <c r="C596" i="5"/>
  <c r="B596" i="5"/>
  <c r="A596" i="5"/>
  <c r="D595" i="5"/>
  <c r="C595" i="5"/>
  <c r="B595" i="5"/>
  <c r="A595" i="5"/>
  <c r="D594" i="5"/>
  <c r="C594" i="5"/>
  <c r="B594" i="5"/>
  <c r="A594" i="5"/>
  <c r="D593" i="5"/>
  <c r="C593" i="5"/>
  <c r="B593" i="5"/>
  <c r="A593" i="5"/>
  <c r="D592" i="5"/>
  <c r="C592" i="5"/>
  <c r="B592" i="5"/>
  <c r="A592" i="5"/>
  <c r="D591" i="5"/>
  <c r="C591" i="5"/>
  <c r="B591" i="5"/>
  <c r="A591" i="5"/>
  <c r="D590" i="5"/>
  <c r="C590" i="5"/>
  <c r="B590" i="5"/>
  <c r="A590" i="5"/>
  <c r="D589" i="5"/>
  <c r="C589" i="5"/>
  <c r="B589" i="5"/>
  <c r="A589" i="5"/>
  <c r="D588" i="5"/>
  <c r="C588" i="5"/>
  <c r="B588" i="5"/>
  <c r="A588" i="5"/>
  <c r="D587" i="5"/>
  <c r="C587" i="5"/>
  <c r="B587" i="5"/>
  <c r="A587" i="5"/>
  <c r="D586" i="5"/>
  <c r="C586" i="5"/>
  <c r="B586" i="5"/>
  <c r="A586" i="5"/>
  <c r="D585" i="5"/>
  <c r="C585" i="5"/>
  <c r="B585" i="5"/>
  <c r="A585" i="5"/>
  <c r="D584" i="5"/>
  <c r="C584" i="5"/>
  <c r="B584" i="5"/>
  <c r="A584" i="5"/>
  <c r="D583" i="5"/>
  <c r="C583" i="5"/>
  <c r="B583" i="5"/>
  <c r="A583" i="5"/>
  <c r="D582" i="5"/>
  <c r="C582" i="5"/>
  <c r="B582" i="5"/>
  <c r="A582" i="5"/>
  <c r="D581" i="5"/>
  <c r="C581" i="5"/>
  <c r="B581" i="5"/>
  <c r="A581" i="5"/>
  <c r="D580" i="5"/>
  <c r="C580" i="5"/>
  <c r="B580" i="5"/>
  <c r="A580" i="5"/>
  <c r="D579" i="5"/>
  <c r="C579" i="5"/>
  <c r="B579" i="5"/>
  <c r="A579" i="5"/>
  <c r="D578" i="5"/>
  <c r="C578" i="5"/>
  <c r="B578" i="5"/>
  <c r="A578" i="5"/>
  <c r="D577" i="5"/>
  <c r="C577" i="5"/>
  <c r="B577" i="5"/>
  <c r="A577" i="5"/>
  <c r="D576" i="5"/>
  <c r="C576" i="5"/>
  <c r="B576" i="5"/>
  <c r="A576" i="5"/>
  <c r="D575" i="5"/>
  <c r="C575" i="5"/>
  <c r="B575" i="5"/>
  <c r="A575" i="5"/>
  <c r="D574" i="5"/>
  <c r="C574" i="5"/>
  <c r="B574" i="5"/>
  <c r="A574" i="5"/>
  <c r="D573" i="5"/>
  <c r="C573" i="5"/>
  <c r="B573" i="5"/>
  <c r="A573" i="5"/>
  <c r="D572" i="5"/>
  <c r="C572" i="5"/>
  <c r="B572" i="5"/>
  <c r="A572" i="5"/>
  <c r="D571" i="5"/>
  <c r="C571" i="5"/>
  <c r="B571" i="5"/>
  <c r="A571" i="5"/>
  <c r="D570" i="5"/>
  <c r="C570" i="5"/>
  <c r="B570" i="5"/>
  <c r="A570" i="5"/>
  <c r="D569" i="5"/>
  <c r="C569" i="5"/>
  <c r="B569" i="5"/>
  <c r="A569" i="5"/>
  <c r="D568" i="5"/>
  <c r="C568" i="5"/>
  <c r="B568" i="5"/>
  <c r="A568" i="5"/>
  <c r="D567" i="5"/>
  <c r="C567" i="5"/>
  <c r="B567" i="5"/>
  <c r="A567" i="5"/>
  <c r="D566" i="5"/>
  <c r="C566" i="5"/>
  <c r="B566" i="5"/>
  <c r="A566" i="5"/>
  <c r="D565" i="5"/>
  <c r="C565" i="5"/>
  <c r="B565" i="5"/>
  <c r="A565" i="5"/>
  <c r="D564" i="5"/>
  <c r="C564" i="5"/>
  <c r="B564" i="5"/>
  <c r="A564" i="5"/>
  <c r="D563" i="5"/>
  <c r="C563" i="5"/>
  <c r="B563" i="5"/>
  <c r="A563" i="5"/>
  <c r="D562" i="5"/>
  <c r="C562" i="5"/>
  <c r="B562" i="5"/>
  <c r="A562" i="5"/>
  <c r="D561" i="5"/>
  <c r="C561" i="5"/>
  <c r="B561" i="5"/>
  <c r="A561" i="5"/>
  <c r="D560" i="5"/>
  <c r="C560" i="5"/>
  <c r="B560" i="5"/>
  <c r="A560" i="5"/>
  <c r="D559" i="5"/>
  <c r="C559" i="5"/>
  <c r="B559" i="5"/>
  <c r="A559" i="5"/>
  <c r="D558" i="5"/>
  <c r="C558" i="5"/>
  <c r="B558" i="5"/>
  <c r="A558" i="5"/>
  <c r="D557" i="5"/>
  <c r="C557" i="5"/>
  <c r="B557" i="5"/>
  <c r="A557" i="5"/>
  <c r="D556" i="5"/>
  <c r="C556" i="5"/>
  <c r="B556" i="5"/>
  <c r="A556" i="5"/>
  <c r="D555" i="5"/>
  <c r="C555" i="5"/>
  <c r="B555" i="5"/>
  <c r="A555" i="5"/>
  <c r="D554" i="5"/>
  <c r="C554" i="5"/>
  <c r="B554" i="5"/>
  <c r="A554" i="5"/>
  <c r="D553" i="5"/>
  <c r="C553" i="5"/>
  <c r="B553" i="5"/>
  <c r="A553" i="5"/>
  <c r="D552" i="5"/>
  <c r="C552" i="5"/>
  <c r="B552" i="5"/>
  <c r="A552" i="5"/>
  <c r="D551" i="5"/>
  <c r="C551" i="5"/>
  <c r="B551" i="5"/>
  <c r="A551" i="5"/>
  <c r="D550" i="5"/>
  <c r="C550" i="5"/>
  <c r="B550" i="5"/>
  <c r="A550" i="5"/>
  <c r="D549" i="5"/>
  <c r="C549" i="5"/>
  <c r="B549" i="5"/>
  <c r="A549" i="5"/>
  <c r="D548" i="5"/>
  <c r="C548" i="5"/>
  <c r="B548" i="5"/>
  <c r="A548" i="5"/>
  <c r="D547" i="5"/>
  <c r="C547" i="5"/>
  <c r="B547" i="5"/>
  <c r="A547" i="5"/>
  <c r="D546" i="5"/>
  <c r="C546" i="5"/>
  <c r="B546" i="5"/>
  <c r="A546" i="5"/>
  <c r="D545" i="5"/>
  <c r="C545" i="5"/>
  <c r="B545" i="5"/>
  <c r="A545" i="5"/>
  <c r="D544" i="5"/>
  <c r="C544" i="5"/>
  <c r="B544" i="5"/>
  <c r="A544" i="5"/>
  <c r="D543" i="5"/>
  <c r="C543" i="5"/>
  <c r="B543" i="5"/>
  <c r="A543" i="5"/>
  <c r="D542" i="5"/>
  <c r="C542" i="5"/>
  <c r="B542" i="5"/>
  <c r="A542" i="5"/>
  <c r="D541" i="5"/>
  <c r="C541" i="5"/>
  <c r="B541" i="5"/>
  <c r="A541" i="5"/>
  <c r="D540" i="5"/>
  <c r="C540" i="5"/>
  <c r="B540" i="5"/>
  <c r="A540" i="5"/>
  <c r="D539" i="5"/>
  <c r="C539" i="5"/>
  <c r="B539" i="5"/>
  <c r="A539" i="5"/>
  <c r="D538" i="5"/>
  <c r="C538" i="5"/>
  <c r="B538" i="5"/>
  <c r="A538" i="5"/>
  <c r="D537" i="5"/>
  <c r="C537" i="5"/>
  <c r="B537" i="5"/>
  <c r="A537" i="5"/>
  <c r="D536" i="5"/>
  <c r="C536" i="5"/>
  <c r="B536" i="5"/>
  <c r="A536" i="5"/>
  <c r="D535" i="5"/>
  <c r="C535" i="5"/>
  <c r="B535" i="5"/>
  <c r="A535" i="5"/>
  <c r="D534" i="5"/>
  <c r="C534" i="5"/>
  <c r="B534" i="5"/>
  <c r="A534" i="5"/>
  <c r="D533" i="5"/>
  <c r="C533" i="5"/>
  <c r="B533" i="5"/>
  <c r="A533" i="5"/>
  <c r="D532" i="5"/>
  <c r="C532" i="5"/>
  <c r="B532" i="5"/>
  <c r="A532" i="5"/>
  <c r="D531" i="5"/>
  <c r="C531" i="5"/>
  <c r="B531" i="5"/>
  <c r="A531" i="5"/>
  <c r="D530" i="5"/>
  <c r="C530" i="5"/>
  <c r="B530" i="5"/>
  <c r="A530" i="5"/>
  <c r="D529" i="5"/>
  <c r="C529" i="5"/>
  <c r="B529" i="5"/>
  <c r="A529" i="5"/>
  <c r="D528" i="5"/>
  <c r="C528" i="5"/>
  <c r="B528" i="5"/>
  <c r="A528" i="5"/>
  <c r="D527" i="5"/>
  <c r="C527" i="5"/>
  <c r="B527" i="5"/>
  <c r="A527" i="5"/>
  <c r="D526" i="5"/>
  <c r="C526" i="5"/>
  <c r="B526" i="5"/>
  <c r="A526" i="5"/>
  <c r="D525" i="5"/>
  <c r="C525" i="5"/>
  <c r="B525" i="5"/>
  <c r="A525" i="5"/>
  <c r="D524" i="5"/>
  <c r="C524" i="5"/>
  <c r="B524" i="5"/>
  <c r="A524" i="5"/>
  <c r="D523" i="5"/>
  <c r="C523" i="5"/>
  <c r="B523" i="5"/>
  <c r="A523" i="5"/>
  <c r="D522" i="5"/>
  <c r="C522" i="5"/>
  <c r="B522" i="5"/>
  <c r="A522" i="5"/>
  <c r="D521" i="5"/>
  <c r="C521" i="5"/>
  <c r="B521" i="5"/>
  <c r="A521" i="5"/>
  <c r="D520" i="5"/>
  <c r="C520" i="5"/>
  <c r="B520" i="5"/>
  <c r="A520" i="5"/>
  <c r="D519" i="5"/>
  <c r="C519" i="5"/>
  <c r="B519" i="5"/>
  <c r="A519" i="5"/>
  <c r="D518" i="5"/>
  <c r="C518" i="5"/>
  <c r="B518" i="5"/>
  <c r="A518" i="5"/>
  <c r="D517" i="5"/>
  <c r="C517" i="5"/>
  <c r="B517" i="5"/>
  <c r="A517" i="5"/>
  <c r="D516" i="5"/>
  <c r="C516" i="5"/>
  <c r="B516" i="5"/>
  <c r="A516" i="5"/>
  <c r="D515" i="5"/>
  <c r="C515" i="5"/>
  <c r="B515" i="5"/>
  <c r="A515" i="5"/>
  <c r="D514" i="5"/>
  <c r="C514" i="5"/>
  <c r="B514" i="5"/>
  <c r="A514" i="5"/>
  <c r="D513" i="5"/>
  <c r="C513" i="5"/>
  <c r="B513" i="5"/>
  <c r="A513" i="5"/>
  <c r="D512" i="5"/>
  <c r="C512" i="5"/>
  <c r="B512" i="5"/>
  <c r="A512" i="5"/>
  <c r="D511" i="5"/>
  <c r="C511" i="5"/>
  <c r="B511" i="5"/>
  <c r="A511" i="5"/>
  <c r="D510" i="5"/>
  <c r="C510" i="5"/>
  <c r="B510" i="5"/>
  <c r="A510" i="5"/>
  <c r="D509" i="5"/>
  <c r="C509" i="5"/>
  <c r="B509" i="5"/>
  <c r="A509" i="5"/>
  <c r="D508" i="5"/>
  <c r="C508" i="5"/>
  <c r="B508" i="5"/>
  <c r="A508" i="5"/>
  <c r="D507" i="5"/>
  <c r="C507" i="5"/>
  <c r="B507" i="5"/>
  <c r="A507" i="5"/>
  <c r="D506" i="5"/>
  <c r="C506" i="5"/>
  <c r="B506" i="5"/>
  <c r="A506" i="5"/>
  <c r="D505" i="5"/>
  <c r="C505" i="5"/>
  <c r="B505" i="5"/>
  <c r="A505" i="5"/>
  <c r="D504" i="5"/>
  <c r="C504" i="5"/>
  <c r="B504" i="5"/>
  <c r="A504" i="5"/>
  <c r="D503" i="5"/>
  <c r="C503" i="5"/>
  <c r="B503" i="5"/>
  <c r="A503" i="5"/>
  <c r="D502" i="5"/>
  <c r="C502" i="5"/>
  <c r="B502" i="5"/>
  <c r="A502" i="5"/>
  <c r="D501" i="5"/>
  <c r="C501" i="5"/>
  <c r="B501" i="5"/>
  <c r="A501" i="5"/>
  <c r="D500" i="5"/>
  <c r="C500" i="5"/>
  <c r="B500" i="5"/>
  <c r="A500" i="5"/>
  <c r="D499" i="5"/>
  <c r="C499" i="5"/>
  <c r="B499" i="5"/>
  <c r="A499" i="5"/>
  <c r="D498" i="5"/>
  <c r="C498" i="5"/>
  <c r="B498" i="5"/>
  <c r="A498" i="5"/>
  <c r="D497" i="5"/>
  <c r="C497" i="5"/>
  <c r="B497" i="5"/>
  <c r="A497" i="5"/>
  <c r="D496" i="5"/>
  <c r="C496" i="5"/>
  <c r="B496" i="5"/>
  <c r="A496" i="5"/>
  <c r="D495" i="5"/>
  <c r="C495" i="5"/>
  <c r="B495" i="5"/>
  <c r="A495" i="5"/>
  <c r="D494" i="5"/>
  <c r="C494" i="5"/>
  <c r="B494" i="5"/>
  <c r="A494" i="5"/>
  <c r="D493" i="5"/>
  <c r="C493" i="5"/>
  <c r="B493" i="5"/>
  <c r="A493" i="5"/>
  <c r="D492" i="5"/>
  <c r="C492" i="5"/>
  <c r="B492" i="5"/>
  <c r="A492" i="5"/>
  <c r="D491" i="5"/>
  <c r="C491" i="5"/>
  <c r="B491" i="5"/>
  <c r="A491" i="5"/>
  <c r="D490" i="5"/>
  <c r="C490" i="5"/>
  <c r="B490" i="5"/>
  <c r="A490" i="5"/>
  <c r="D489" i="5"/>
  <c r="C489" i="5"/>
  <c r="B489" i="5"/>
  <c r="A489" i="5"/>
  <c r="D488" i="5"/>
  <c r="C488" i="5"/>
  <c r="B488" i="5"/>
  <c r="A488" i="5"/>
  <c r="D487" i="5"/>
  <c r="C487" i="5"/>
  <c r="B487" i="5"/>
  <c r="A487" i="5"/>
  <c r="D486" i="5"/>
  <c r="C486" i="5"/>
  <c r="B486" i="5"/>
  <c r="A486" i="5"/>
  <c r="D485" i="5"/>
  <c r="C485" i="5"/>
  <c r="B485" i="5"/>
  <c r="A485" i="5"/>
  <c r="D484" i="5"/>
  <c r="C484" i="5"/>
  <c r="B484" i="5"/>
  <c r="A484" i="5"/>
  <c r="D483" i="5"/>
  <c r="C483" i="5"/>
  <c r="B483" i="5"/>
  <c r="A483" i="5"/>
  <c r="D482" i="5"/>
  <c r="C482" i="5"/>
  <c r="B482" i="5"/>
  <c r="A482" i="5"/>
  <c r="D481" i="5"/>
  <c r="C481" i="5"/>
  <c r="B481" i="5"/>
  <c r="A481" i="5"/>
  <c r="D480" i="5"/>
  <c r="C480" i="5"/>
  <c r="B480" i="5"/>
  <c r="A480" i="5"/>
  <c r="D479" i="5"/>
  <c r="C479" i="5"/>
  <c r="B479" i="5"/>
  <c r="A479" i="5"/>
  <c r="D478" i="5"/>
  <c r="C478" i="5"/>
  <c r="B478" i="5"/>
  <c r="A478" i="5"/>
  <c r="D477" i="5"/>
  <c r="C477" i="5"/>
  <c r="B477" i="5"/>
  <c r="A477" i="5"/>
  <c r="D476" i="5"/>
  <c r="C476" i="5"/>
  <c r="B476" i="5"/>
  <c r="A476" i="5"/>
  <c r="D475" i="5"/>
  <c r="C475" i="5"/>
  <c r="B475" i="5"/>
  <c r="A475" i="5"/>
  <c r="D474" i="5"/>
  <c r="C474" i="5"/>
  <c r="B474" i="5"/>
  <c r="A474" i="5"/>
  <c r="D473" i="5"/>
  <c r="C473" i="5"/>
  <c r="B473" i="5"/>
  <c r="A473" i="5"/>
  <c r="D472" i="5"/>
  <c r="C472" i="5"/>
  <c r="B472" i="5"/>
  <c r="A472" i="5"/>
  <c r="D471" i="5"/>
  <c r="C471" i="5"/>
  <c r="B471" i="5"/>
  <c r="A471" i="5"/>
  <c r="D470" i="5"/>
  <c r="C470" i="5"/>
  <c r="B470" i="5"/>
  <c r="A470" i="5"/>
  <c r="D469" i="5"/>
  <c r="C469" i="5"/>
  <c r="B469" i="5"/>
  <c r="A469" i="5"/>
  <c r="D468" i="5"/>
  <c r="C468" i="5"/>
  <c r="B468" i="5"/>
  <c r="A468" i="5"/>
  <c r="D467" i="5"/>
  <c r="C467" i="5"/>
  <c r="B467" i="5"/>
  <c r="A467" i="5"/>
  <c r="D466" i="5"/>
  <c r="C466" i="5"/>
  <c r="B466" i="5"/>
  <c r="A466" i="5"/>
  <c r="D465" i="5"/>
  <c r="C465" i="5"/>
  <c r="B465" i="5"/>
  <c r="A465" i="5"/>
  <c r="D464" i="5"/>
  <c r="C464" i="5"/>
  <c r="B464" i="5"/>
  <c r="A464" i="5"/>
  <c r="D463" i="5"/>
  <c r="C463" i="5"/>
  <c r="B463" i="5"/>
  <c r="A463" i="5"/>
  <c r="D462" i="5"/>
  <c r="C462" i="5"/>
  <c r="B462" i="5"/>
  <c r="A462" i="5"/>
  <c r="D461" i="5"/>
  <c r="C461" i="5"/>
  <c r="B461" i="5"/>
  <c r="A461" i="5"/>
  <c r="D460" i="5"/>
  <c r="C460" i="5"/>
  <c r="B460" i="5"/>
  <c r="A460" i="5"/>
  <c r="D459" i="5"/>
  <c r="C459" i="5"/>
  <c r="B459" i="5"/>
  <c r="A459" i="5"/>
  <c r="D458" i="5"/>
  <c r="C458" i="5"/>
  <c r="B458" i="5"/>
  <c r="A458" i="5"/>
  <c r="D457" i="5"/>
  <c r="C457" i="5"/>
  <c r="B457" i="5"/>
  <c r="A457" i="5"/>
  <c r="D456" i="5"/>
  <c r="C456" i="5"/>
  <c r="B456" i="5"/>
  <c r="A456" i="5"/>
  <c r="D455" i="5"/>
  <c r="C455" i="5"/>
  <c r="B455" i="5"/>
  <c r="A455" i="5"/>
  <c r="D454" i="5"/>
  <c r="C454" i="5"/>
  <c r="B454" i="5"/>
  <c r="A454" i="5"/>
  <c r="D453" i="5"/>
  <c r="C453" i="5"/>
  <c r="B453" i="5"/>
  <c r="A453" i="5"/>
  <c r="D452" i="5"/>
  <c r="C452" i="5"/>
  <c r="B452" i="5"/>
  <c r="A452" i="5"/>
  <c r="D451" i="5"/>
  <c r="C451" i="5"/>
  <c r="B451" i="5"/>
  <c r="A451" i="5"/>
  <c r="D450" i="5"/>
  <c r="C450" i="5"/>
  <c r="B450" i="5"/>
  <c r="A450" i="5"/>
  <c r="D449" i="5"/>
  <c r="C449" i="5"/>
  <c r="B449" i="5"/>
  <c r="A449" i="5"/>
  <c r="D448" i="5"/>
  <c r="C448" i="5"/>
  <c r="B448" i="5"/>
  <c r="A448" i="5"/>
  <c r="D447" i="5"/>
  <c r="C447" i="5"/>
  <c r="B447" i="5"/>
  <c r="A447" i="5"/>
  <c r="D446" i="5"/>
  <c r="C446" i="5"/>
  <c r="B446" i="5"/>
  <c r="A446" i="5"/>
  <c r="D445" i="5"/>
  <c r="C445" i="5"/>
  <c r="B445" i="5"/>
  <c r="A445" i="5"/>
  <c r="D444" i="5"/>
  <c r="C444" i="5"/>
  <c r="B444" i="5"/>
  <c r="A444" i="5"/>
  <c r="D443" i="5"/>
  <c r="C443" i="5"/>
  <c r="B443" i="5"/>
  <c r="A443" i="5"/>
  <c r="D442" i="5"/>
  <c r="C442" i="5"/>
  <c r="B442" i="5"/>
  <c r="A442" i="5"/>
  <c r="D441" i="5"/>
  <c r="C441" i="5"/>
  <c r="B441" i="5"/>
  <c r="A441" i="5"/>
  <c r="D440" i="5"/>
  <c r="C440" i="5"/>
  <c r="B440" i="5"/>
  <c r="A440" i="5"/>
  <c r="D439" i="5"/>
  <c r="C439" i="5"/>
  <c r="B439" i="5"/>
  <c r="A439" i="5"/>
  <c r="D438" i="5"/>
  <c r="C438" i="5"/>
  <c r="B438" i="5"/>
  <c r="A438" i="5"/>
  <c r="D437" i="5"/>
  <c r="C437" i="5"/>
  <c r="B437" i="5"/>
  <c r="A437" i="5"/>
  <c r="D436" i="5"/>
  <c r="C436" i="5"/>
  <c r="B436" i="5"/>
  <c r="A436" i="5"/>
  <c r="D435" i="5"/>
  <c r="C435" i="5"/>
  <c r="B435" i="5"/>
  <c r="A435" i="5"/>
  <c r="D434" i="5"/>
  <c r="C434" i="5"/>
  <c r="B434" i="5"/>
  <c r="A434" i="5"/>
  <c r="D433" i="5"/>
  <c r="C433" i="5"/>
  <c r="B433" i="5"/>
  <c r="A433" i="5"/>
  <c r="D432" i="5"/>
  <c r="C432" i="5"/>
  <c r="B432" i="5"/>
  <c r="A432" i="5"/>
  <c r="D431" i="5"/>
  <c r="C431" i="5"/>
  <c r="B431" i="5"/>
  <c r="A431" i="5"/>
  <c r="D430" i="5"/>
  <c r="C430" i="5"/>
  <c r="B430" i="5"/>
  <c r="A430" i="5"/>
  <c r="D429" i="5"/>
  <c r="C429" i="5"/>
  <c r="B429" i="5"/>
  <c r="A429" i="5"/>
  <c r="D428" i="5"/>
  <c r="C428" i="5"/>
  <c r="B428" i="5"/>
  <c r="A428" i="5"/>
  <c r="D427" i="5"/>
  <c r="C427" i="5"/>
  <c r="B427" i="5"/>
  <c r="A427" i="5"/>
  <c r="D426" i="5"/>
  <c r="C426" i="5"/>
  <c r="B426" i="5"/>
  <c r="A426" i="5"/>
  <c r="D425" i="5"/>
  <c r="C425" i="5"/>
  <c r="B425" i="5"/>
  <c r="A425" i="5"/>
  <c r="D424" i="5"/>
  <c r="C424" i="5"/>
  <c r="B424" i="5"/>
  <c r="A424" i="5"/>
  <c r="D423" i="5"/>
  <c r="C423" i="5"/>
  <c r="B423" i="5"/>
  <c r="A423" i="5"/>
  <c r="D422" i="5"/>
  <c r="C422" i="5"/>
  <c r="B422" i="5"/>
  <c r="A422" i="5"/>
  <c r="D421" i="5"/>
  <c r="C421" i="5"/>
  <c r="B421" i="5"/>
  <c r="A421" i="5"/>
  <c r="D420" i="5"/>
  <c r="C420" i="5"/>
  <c r="B420" i="5"/>
  <c r="A420" i="5"/>
  <c r="D419" i="5"/>
  <c r="C419" i="5"/>
  <c r="B419" i="5"/>
  <c r="A419" i="5"/>
  <c r="D418" i="5"/>
  <c r="C418" i="5"/>
  <c r="B418" i="5"/>
  <c r="A418" i="5"/>
  <c r="D417" i="5"/>
  <c r="C417" i="5"/>
  <c r="B417" i="5"/>
  <c r="A417" i="5"/>
  <c r="D416" i="5"/>
  <c r="C416" i="5"/>
  <c r="B416" i="5"/>
  <c r="A416" i="5"/>
  <c r="D415" i="5"/>
  <c r="C415" i="5"/>
  <c r="B415" i="5"/>
  <c r="A415" i="5"/>
  <c r="D414" i="5"/>
  <c r="C414" i="5"/>
  <c r="B414" i="5"/>
  <c r="A414" i="5"/>
  <c r="D413" i="5"/>
  <c r="C413" i="5"/>
  <c r="B413" i="5"/>
  <c r="A413" i="5"/>
  <c r="D412" i="5"/>
  <c r="C412" i="5"/>
  <c r="B412" i="5"/>
  <c r="A412" i="5"/>
  <c r="D411" i="5"/>
  <c r="C411" i="5"/>
  <c r="B411" i="5"/>
  <c r="A411" i="5"/>
  <c r="D410" i="5"/>
  <c r="C410" i="5"/>
  <c r="B410" i="5"/>
  <c r="A410" i="5"/>
  <c r="D409" i="5"/>
  <c r="C409" i="5"/>
  <c r="B409" i="5"/>
  <c r="A409" i="5"/>
  <c r="D408" i="5"/>
  <c r="C408" i="5"/>
  <c r="B408" i="5"/>
  <c r="A408" i="5"/>
  <c r="D407" i="5"/>
  <c r="C407" i="5"/>
  <c r="B407" i="5"/>
  <c r="A407" i="5"/>
  <c r="D406" i="5"/>
  <c r="C406" i="5"/>
  <c r="B406" i="5"/>
  <c r="A406" i="5"/>
  <c r="D405" i="5"/>
  <c r="C405" i="5"/>
  <c r="B405" i="5"/>
  <c r="A405" i="5"/>
  <c r="D404" i="5"/>
  <c r="C404" i="5"/>
  <c r="B404" i="5"/>
  <c r="A404" i="5"/>
  <c r="D403" i="5"/>
  <c r="C403" i="5"/>
  <c r="B403" i="5"/>
  <c r="A403" i="5"/>
  <c r="D402" i="5"/>
  <c r="C402" i="5"/>
  <c r="B402" i="5"/>
  <c r="A402" i="5"/>
  <c r="D401" i="5"/>
  <c r="C401" i="5"/>
  <c r="B401" i="5"/>
  <c r="A401" i="5"/>
  <c r="D400" i="5"/>
  <c r="C400" i="5"/>
  <c r="B400" i="5"/>
  <c r="A400" i="5"/>
  <c r="D399" i="5"/>
  <c r="C399" i="5"/>
  <c r="B399" i="5"/>
  <c r="A399" i="5"/>
  <c r="D398" i="5"/>
  <c r="C398" i="5"/>
  <c r="B398" i="5"/>
  <c r="A398" i="5"/>
  <c r="D397" i="5"/>
  <c r="C397" i="5"/>
  <c r="B397" i="5"/>
  <c r="A397" i="5"/>
  <c r="D396" i="5"/>
  <c r="C396" i="5"/>
  <c r="B396" i="5"/>
  <c r="A396" i="5"/>
  <c r="D395" i="5"/>
  <c r="C395" i="5"/>
  <c r="B395" i="5"/>
  <c r="A395" i="5"/>
  <c r="D394" i="5"/>
  <c r="C394" i="5"/>
  <c r="B394" i="5"/>
  <c r="A394" i="5"/>
  <c r="D393" i="5"/>
  <c r="C393" i="5"/>
  <c r="B393" i="5"/>
  <c r="A393" i="5"/>
  <c r="D392" i="5"/>
  <c r="C392" i="5"/>
  <c r="B392" i="5"/>
  <c r="A392" i="5"/>
  <c r="D391" i="5"/>
  <c r="C391" i="5"/>
  <c r="B391" i="5"/>
  <c r="A391" i="5"/>
  <c r="D390" i="5"/>
  <c r="C390" i="5"/>
  <c r="B390" i="5"/>
  <c r="A390" i="5"/>
  <c r="D389" i="5"/>
  <c r="C389" i="5"/>
  <c r="B389" i="5"/>
  <c r="A389" i="5"/>
  <c r="D388" i="5"/>
  <c r="C388" i="5"/>
  <c r="B388" i="5"/>
  <c r="A388" i="5"/>
  <c r="D387" i="5"/>
  <c r="C387" i="5"/>
  <c r="B387" i="5"/>
  <c r="A387" i="5"/>
  <c r="D386" i="5"/>
  <c r="C386" i="5"/>
  <c r="B386" i="5"/>
  <c r="A386" i="5"/>
  <c r="D385" i="5"/>
  <c r="C385" i="5"/>
  <c r="B385" i="5"/>
  <c r="A385" i="5"/>
  <c r="D384" i="5"/>
  <c r="C384" i="5"/>
  <c r="B384" i="5"/>
  <c r="A384" i="5"/>
  <c r="D383" i="5"/>
  <c r="C383" i="5"/>
  <c r="B383" i="5"/>
  <c r="A383" i="5"/>
  <c r="D382" i="5"/>
  <c r="C382" i="5"/>
  <c r="B382" i="5"/>
  <c r="A382" i="5"/>
  <c r="D381" i="5"/>
  <c r="C381" i="5"/>
  <c r="B381" i="5"/>
  <c r="A381" i="5"/>
  <c r="D380" i="5"/>
  <c r="C380" i="5"/>
  <c r="B380" i="5"/>
  <c r="A380" i="5"/>
  <c r="D379" i="5"/>
  <c r="C379" i="5"/>
  <c r="B379" i="5"/>
  <c r="A379" i="5"/>
  <c r="D378" i="5"/>
  <c r="C378" i="5"/>
  <c r="B378" i="5"/>
  <c r="A378" i="5"/>
  <c r="D377" i="5"/>
  <c r="C377" i="5"/>
  <c r="B377" i="5"/>
  <c r="A377" i="5"/>
  <c r="D376" i="5"/>
  <c r="C376" i="5"/>
  <c r="B376" i="5"/>
  <c r="A376" i="5"/>
  <c r="D375" i="5"/>
  <c r="C375" i="5"/>
  <c r="B375" i="5"/>
  <c r="A375" i="5"/>
  <c r="D374" i="5"/>
  <c r="C374" i="5"/>
  <c r="B374" i="5"/>
  <c r="A374" i="5"/>
  <c r="D373" i="5"/>
  <c r="C373" i="5"/>
  <c r="B373" i="5"/>
  <c r="A373" i="5"/>
  <c r="D372" i="5"/>
  <c r="C372" i="5"/>
  <c r="B372" i="5"/>
  <c r="A372" i="5"/>
  <c r="D371" i="5"/>
  <c r="C371" i="5"/>
  <c r="B371" i="5"/>
  <c r="A371" i="5"/>
  <c r="D370" i="5"/>
  <c r="C370" i="5"/>
  <c r="B370" i="5"/>
  <c r="A370" i="5"/>
  <c r="D369" i="5"/>
  <c r="C369" i="5"/>
  <c r="B369" i="5"/>
  <c r="A369" i="5"/>
  <c r="D368" i="5"/>
  <c r="C368" i="5"/>
  <c r="B368" i="5"/>
  <c r="A368" i="5"/>
  <c r="D367" i="5"/>
  <c r="C367" i="5"/>
  <c r="B367" i="5"/>
  <c r="A367" i="5"/>
  <c r="D366" i="5"/>
  <c r="C366" i="5"/>
  <c r="B366" i="5"/>
  <c r="A366" i="5"/>
  <c r="D365" i="5"/>
  <c r="C365" i="5"/>
  <c r="B365" i="5"/>
  <c r="A365" i="5"/>
  <c r="D364" i="5"/>
  <c r="C364" i="5"/>
  <c r="B364" i="5"/>
  <c r="A364" i="5"/>
  <c r="D363" i="5"/>
  <c r="C363" i="5"/>
  <c r="B363" i="5"/>
  <c r="A363" i="5"/>
  <c r="D362" i="5"/>
  <c r="C362" i="5"/>
  <c r="B362" i="5"/>
  <c r="A362" i="5"/>
  <c r="D361" i="5"/>
  <c r="C361" i="5"/>
  <c r="B361" i="5"/>
  <c r="A361" i="5"/>
  <c r="D360" i="5"/>
  <c r="C360" i="5"/>
  <c r="B360" i="5"/>
  <c r="A360" i="5"/>
  <c r="D359" i="5"/>
  <c r="C359" i="5"/>
  <c r="B359" i="5"/>
  <c r="A359" i="5"/>
  <c r="D358" i="5"/>
  <c r="C358" i="5"/>
  <c r="B358" i="5"/>
  <c r="A358" i="5"/>
  <c r="D357" i="5"/>
  <c r="C357" i="5"/>
  <c r="B357" i="5"/>
  <c r="A357" i="5"/>
  <c r="D356" i="5"/>
  <c r="C356" i="5"/>
  <c r="B356" i="5"/>
  <c r="A356" i="5"/>
  <c r="D355" i="5"/>
  <c r="C355" i="5"/>
  <c r="B355" i="5"/>
  <c r="A355" i="5"/>
  <c r="D354" i="5"/>
  <c r="C354" i="5"/>
  <c r="B354" i="5"/>
  <c r="A354" i="5"/>
  <c r="D353" i="5"/>
  <c r="C353" i="5"/>
  <c r="B353" i="5"/>
  <c r="A353" i="5"/>
  <c r="D352" i="5"/>
  <c r="C352" i="5"/>
  <c r="B352" i="5"/>
  <c r="A352" i="5"/>
  <c r="D351" i="5"/>
  <c r="C351" i="5"/>
  <c r="B351" i="5"/>
  <c r="A351" i="5"/>
  <c r="D350" i="5"/>
  <c r="C350" i="5"/>
  <c r="B350" i="5"/>
  <c r="A350" i="5"/>
  <c r="D349" i="5"/>
  <c r="C349" i="5"/>
  <c r="B349" i="5"/>
  <c r="A349" i="5"/>
  <c r="D348" i="5"/>
  <c r="C348" i="5"/>
  <c r="B348" i="5"/>
  <c r="A348" i="5"/>
  <c r="D347" i="5"/>
  <c r="C347" i="5"/>
  <c r="B347" i="5"/>
  <c r="A347" i="5"/>
  <c r="D346" i="5"/>
  <c r="C346" i="5"/>
  <c r="B346" i="5"/>
  <c r="A346" i="5"/>
  <c r="D345" i="5"/>
  <c r="C345" i="5"/>
  <c r="B345" i="5"/>
  <c r="A345" i="5"/>
  <c r="D344" i="5"/>
  <c r="C344" i="5"/>
  <c r="B344" i="5"/>
  <c r="A344" i="5"/>
  <c r="D343" i="5"/>
  <c r="C343" i="5"/>
  <c r="B343" i="5"/>
  <c r="A343" i="5"/>
  <c r="D342" i="5"/>
  <c r="C342" i="5"/>
  <c r="B342" i="5"/>
  <c r="A342" i="5"/>
  <c r="D341" i="5"/>
  <c r="C341" i="5"/>
  <c r="B341" i="5"/>
  <c r="A341" i="5"/>
  <c r="D340" i="5"/>
  <c r="C340" i="5"/>
  <c r="B340" i="5"/>
  <c r="A340" i="5"/>
  <c r="D339" i="5"/>
  <c r="C339" i="5"/>
  <c r="B339" i="5"/>
  <c r="A339" i="5"/>
  <c r="D338" i="5"/>
  <c r="C338" i="5"/>
  <c r="B338" i="5"/>
  <c r="A338" i="5"/>
  <c r="D337" i="5"/>
  <c r="C337" i="5"/>
  <c r="B337" i="5"/>
  <c r="A337" i="5"/>
  <c r="D336" i="5"/>
  <c r="C336" i="5"/>
  <c r="B336" i="5"/>
  <c r="A336" i="5"/>
  <c r="D335" i="5"/>
  <c r="C335" i="5"/>
  <c r="B335" i="5"/>
  <c r="A335" i="5"/>
  <c r="D334" i="5"/>
  <c r="C334" i="5"/>
  <c r="B334" i="5"/>
  <c r="A334" i="5"/>
  <c r="D333" i="5"/>
  <c r="C333" i="5"/>
  <c r="B333" i="5"/>
  <c r="A333" i="5"/>
  <c r="D332" i="5"/>
  <c r="C332" i="5"/>
  <c r="B332" i="5"/>
  <c r="A332" i="5"/>
  <c r="D331" i="5"/>
  <c r="C331" i="5"/>
  <c r="B331" i="5"/>
  <c r="A331" i="5"/>
  <c r="D330" i="5"/>
  <c r="C330" i="5"/>
  <c r="B330" i="5"/>
  <c r="A330" i="5"/>
  <c r="D329" i="5"/>
  <c r="C329" i="5"/>
  <c r="B329" i="5"/>
  <c r="A329" i="5"/>
  <c r="D328" i="5"/>
  <c r="C328" i="5"/>
  <c r="B328" i="5"/>
  <c r="A328" i="5"/>
  <c r="D327" i="5"/>
  <c r="C327" i="5"/>
  <c r="B327" i="5"/>
  <c r="A327" i="5"/>
  <c r="D326" i="5"/>
  <c r="C326" i="5"/>
  <c r="B326" i="5"/>
  <c r="A326" i="5"/>
  <c r="D325" i="5"/>
  <c r="C325" i="5"/>
  <c r="B325" i="5"/>
  <c r="A325" i="5"/>
  <c r="D324" i="5"/>
  <c r="C324" i="5"/>
  <c r="B324" i="5"/>
  <c r="A324" i="5"/>
  <c r="D323" i="5"/>
  <c r="C323" i="5"/>
  <c r="B323" i="5"/>
  <c r="A323" i="5"/>
  <c r="D322" i="5"/>
  <c r="C322" i="5"/>
  <c r="B322" i="5"/>
  <c r="A322" i="5"/>
  <c r="D321" i="5"/>
  <c r="C321" i="5"/>
  <c r="B321" i="5"/>
  <c r="A321" i="5"/>
  <c r="D320" i="5"/>
  <c r="C320" i="5"/>
  <c r="B320" i="5"/>
  <c r="A320" i="5"/>
  <c r="D319" i="5"/>
  <c r="C319" i="5"/>
  <c r="B319" i="5"/>
  <c r="A319" i="5"/>
  <c r="D318" i="5"/>
  <c r="C318" i="5"/>
  <c r="B318" i="5"/>
  <c r="A318" i="5"/>
  <c r="D317" i="5"/>
  <c r="C317" i="5"/>
  <c r="B317" i="5"/>
  <c r="A317" i="5"/>
  <c r="D316" i="5"/>
  <c r="C316" i="5"/>
  <c r="B316" i="5"/>
  <c r="A316" i="5"/>
  <c r="D315" i="5"/>
  <c r="C315" i="5"/>
  <c r="B315" i="5"/>
  <c r="A315" i="5"/>
  <c r="D314" i="5"/>
  <c r="C314" i="5"/>
  <c r="B314" i="5"/>
  <c r="A314" i="5"/>
  <c r="D313" i="5"/>
  <c r="C313" i="5"/>
  <c r="B313" i="5"/>
  <c r="A313" i="5"/>
  <c r="D312" i="5"/>
  <c r="C312" i="5"/>
  <c r="B312" i="5"/>
  <c r="A312" i="5"/>
  <c r="D311" i="5"/>
  <c r="C311" i="5"/>
  <c r="B311" i="5"/>
  <c r="A311" i="5"/>
  <c r="D310" i="5"/>
  <c r="C310" i="5"/>
  <c r="B310" i="5"/>
  <c r="A310" i="5"/>
  <c r="D309" i="5"/>
  <c r="C309" i="5"/>
  <c r="B309" i="5"/>
  <c r="A309" i="5"/>
  <c r="D308" i="5"/>
  <c r="C308" i="5"/>
  <c r="B308" i="5"/>
  <c r="A308" i="5"/>
  <c r="D307" i="5"/>
  <c r="C307" i="5"/>
  <c r="B307" i="5"/>
  <c r="A307" i="5"/>
  <c r="D306" i="5"/>
  <c r="C306" i="5"/>
  <c r="B306" i="5"/>
  <c r="A306" i="5"/>
  <c r="D305" i="5"/>
  <c r="C305" i="5"/>
  <c r="B305" i="5"/>
  <c r="A305" i="5"/>
  <c r="D304" i="5"/>
  <c r="C304" i="5"/>
  <c r="B304" i="5"/>
  <c r="A304" i="5"/>
  <c r="D303" i="5"/>
  <c r="C303" i="5"/>
  <c r="B303" i="5"/>
  <c r="A303" i="5"/>
  <c r="D302" i="5"/>
  <c r="C302" i="5"/>
  <c r="B302" i="5"/>
  <c r="A302" i="5"/>
  <c r="D301" i="5"/>
  <c r="C301" i="5"/>
  <c r="B301" i="5"/>
  <c r="A301" i="5"/>
  <c r="D300" i="5"/>
  <c r="C300" i="5"/>
  <c r="B300" i="5"/>
  <c r="A300" i="5"/>
  <c r="D299" i="5"/>
  <c r="C299" i="5"/>
  <c r="B299" i="5"/>
  <c r="A299" i="5"/>
  <c r="D298" i="5"/>
  <c r="C298" i="5"/>
  <c r="B298" i="5"/>
  <c r="A298" i="5"/>
  <c r="D297" i="5"/>
  <c r="C297" i="5"/>
  <c r="B297" i="5"/>
  <c r="A297" i="5"/>
  <c r="D296" i="5"/>
  <c r="C296" i="5"/>
  <c r="B296" i="5"/>
  <c r="A296" i="5"/>
  <c r="D295" i="5"/>
  <c r="C295" i="5"/>
  <c r="B295" i="5"/>
  <c r="A295" i="5"/>
  <c r="D294" i="5"/>
  <c r="C294" i="5"/>
  <c r="B294" i="5"/>
  <c r="A294" i="5"/>
  <c r="D293" i="5"/>
  <c r="C293" i="5"/>
  <c r="B293" i="5"/>
  <c r="A293" i="5"/>
  <c r="D292" i="5"/>
  <c r="C292" i="5"/>
  <c r="B292" i="5"/>
  <c r="A292" i="5"/>
  <c r="D291" i="5"/>
  <c r="C291" i="5"/>
  <c r="B291" i="5"/>
  <c r="A291" i="5"/>
  <c r="D290" i="5"/>
  <c r="C290" i="5"/>
  <c r="B290" i="5"/>
  <c r="A290" i="5"/>
  <c r="D289" i="5"/>
  <c r="C289" i="5"/>
  <c r="B289" i="5"/>
  <c r="A289" i="5"/>
  <c r="D288" i="5"/>
  <c r="C288" i="5"/>
  <c r="B288" i="5"/>
  <c r="A288" i="5"/>
  <c r="D287" i="5"/>
  <c r="C287" i="5"/>
  <c r="B287" i="5"/>
  <c r="A287" i="5"/>
  <c r="D286" i="5"/>
  <c r="C286" i="5"/>
  <c r="B286" i="5"/>
  <c r="A286" i="5"/>
  <c r="D285" i="5"/>
  <c r="C285" i="5"/>
  <c r="B285" i="5"/>
  <c r="A285" i="5"/>
  <c r="D284" i="5"/>
  <c r="C284" i="5"/>
  <c r="B284" i="5"/>
  <c r="A284" i="5"/>
  <c r="D283" i="5"/>
  <c r="C283" i="5"/>
  <c r="B283" i="5"/>
  <c r="A283" i="5"/>
  <c r="D282" i="5"/>
  <c r="C282" i="5"/>
  <c r="B282" i="5"/>
  <c r="A282" i="5"/>
  <c r="D281" i="5"/>
  <c r="C281" i="5"/>
  <c r="B281" i="5"/>
  <c r="A281" i="5"/>
  <c r="D280" i="5"/>
  <c r="C280" i="5"/>
  <c r="B280" i="5"/>
  <c r="A280" i="5"/>
  <c r="D279" i="5"/>
  <c r="C279" i="5"/>
  <c r="B279" i="5"/>
  <c r="A279" i="5"/>
  <c r="D278" i="5"/>
  <c r="C278" i="5"/>
  <c r="B278" i="5"/>
  <c r="A278" i="5"/>
  <c r="D277" i="5"/>
  <c r="C277" i="5"/>
  <c r="B277" i="5"/>
  <c r="A277" i="5"/>
  <c r="D276" i="5"/>
  <c r="C276" i="5"/>
  <c r="B276" i="5"/>
  <c r="A276" i="5"/>
  <c r="D275" i="5"/>
  <c r="C275" i="5"/>
  <c r="B275" i="5"/>
  <c r="A275" i="5"/>
  <c r="D274" i="5"/>
  <c r="C274" i="5"/>
  <c r="B274" i="5"/>
  <c r="A274" i="5"/>
  <c r="D273" i="5"/>
  <c r="C273" i="5"/>
  <c r="B273" i="5"/>
  <c r="A273" i="5"/>
  <c r="D272" i="5"/>
  <c r="C272" i="5"/>
  <c r="B272" i="5"/>
  <c r="A272" i="5"/>
  <c r="D271" i="5"/>
  <c r="C271" i="5"/>
  <c r="B271" i="5"/>
  <c r="A271" i="5"/>
  <c r="D270" i="5"/>
  <c r="C270" i="5"/>
  <c r="B270" i="5"/>
  <c r="A270" i="5"/>
  <c r="D269" i="5"/>
  <c r="C269" i="5"/>
  <c r="B269" i="5"/>
  <c r="A269" i="5"/>
  <c r="D268" i="5"/>
  <c r="C268" i="5"/>
  <c r="B268" i="5"/>
  <c r="A268" i="5"/>
  <c r="D267" i="5"/>
  <c r="C267" i="5"/>
  <c r="B267" i="5"/>
  <c r="A267" i="5"/>
  <c r="D266" i="5"/>
  <c r="C266" i="5"/>
  <c r="B266" i="5"/>
  <c r="A266" i="5"/>
  <c r="D265" i="5"/>
  <c r="C265" i="5"/>
  <c r="B265" i="5"/>
  <c r="A265" i="5"/>
  <c r="D264" i="5"/>
  <c r="C264" i="5"/>
  <c r="B264" i="5"/>
  <c r="A264" i="5"/>
  <c r="D263" i="5"/>
  <c r="C263" i="5"/>
  <c r="B263" i="5"/>
  <c r="A263" i="5"/>
  <c r="D262" i="5"/>
  <c r="C262" i="5"/>
  <c r="B262" i="5"/>
  <c r="A262" i="5"/>
  <c r="D261" i="5"/>
  <c r="C261" i="5"/>
  <c r="B261" i="5"/>
  <c r="A261" i="5"/>
  <c r="D260" i="5"/>
  <c r="C260" i="5"/>
  <c r="B260" i="5"/>
  <c r="A260" i="5"/>
  <c r="D259" i="5"/>
  <c r="C259" i="5"/>
  <c r="B259" i="5"/>
  <c r="A259" i="5"/>
  <c r="D258" i="5"/>
  <c r="C258" i="5"/>
  <c r="B258" i="5"/>
  <c r="A258" i="5"/>
  <c r="D257" i="5"/>
  <c r="C257" i="5"/>
  <c r="B257" i="5"/>
  <c r="A257" i="5"/>
  <c r="D256" i="5"/>
  <c r="C256" i="5"/>
  <c r="B256" i="5"/>
  <c r="A256" i="5"/>
  <c r="D255" i="5"/>
  <c r="C255" i="5"/>
  <c r="B255" i="5"/>
  <c r="A255" i="5"/>
  <c r="D254" i="5"/>
  <c r="C254" i="5"/>
  <c r="B254" i="5"/>
  <c r="A254" i="5"/>
  <c r="D253" i="5"/>
  <c r="C253" i="5"/>
  <c r="B253" i="5"/>
  <c r="A253" i="5"/>
  <c r="D252" i="5"/>
  <c r="C252" i="5"/>
  <c r="B252" i="5"/>
  <c r="A252" i="5"/>
  <c r="D251" i="5"/>
  <c r="C251" i="5"/>
  <c r="B251" i="5"/>
  <c r="A251" i="5"/>
  <c r="D250" i="5"/>
  <c r="C250" i="5"/>
  <c r="B250" i="5"/>
  <c r="A250" i="5"/>
  <c r="D249" i="5"/>
  <c r="C249" i="5"/>
  <c r="B249" i="5"/>
  <c r="A249" i="5"/>
  <c r="D248" i="5"/>
  <c r="C248" i="5"/>
  <c r="B248" i="5"/>
  <c r="A248" i="5"/>
  <c r="D247" i="5"/>
  <c r="C247" i="5"/>
  <c r="B247" i="5"/>
  <c r="A247" i="5"/>
  <c r="D246" i="5"/>
  <c r="C246" i="5"/>
  <c r="B246" i="5"/>
  <c r="A246" i="5"/>
  <c r="D245" i="5"/>
  <c r="C245" i="5"/>
  <c r="B245" i="5"/>
  <c r="A245" i="5"/>
  <c r="D244" i="5"/>
  <c r="C244" i="5"/>
  <c r="B244" i="5"/>
  <c r="A244" i="5"/>
  <c r="D243" i="5"/>
  <c r="C243" i="5"/>
  <c r="B243" i="5"/>
  <c r="A243" i="5"/>
  <c r="D242" i="5"/>
  <c r="C242" i="5"/>
  <c r="B242" i="5"/>
  <c r="A242" i="5"/>
  <c r="D241" i="5"/>
  <c r="C241" i="5"/>
  <c r="B241" i="5"/>
  <c r="A241" i="5"/>
  <c r="D240" i="5"/>
  <c r="C240" i="5"/>
  <c r="B240" i="5"/>
  <c r="A240" i="5"/>
  <c r="D239" i="5"/>
  <c r="C239" i="5"/>
  <c r="B239" i="5"/>
  <c r="A239" i="5"/>
  <c r="D238" i="5"/>
  <c r="C238" i="5"/>
  <c r="B238" i="5"/>
  <c r="A238" i="5"/>
  <c r="D237" i="5"/>
  <c r="C237" i="5"/>
  <c r="B237" i="5"/>
  <c r="A237" i="5"/>
  <c r="D236" i="5"/>
  <c r="C236" i="5"/>
  <c r="B236" i="5"/>
  <c r="A236" i="5"/>
  <c r="D235" i="5"/>
  <c r="C235" i="5"/>
  <c r="B235" i="5"/>
  <c r="A235" i="5"/>
  <c r="D234" i="5"/>
  <c r="C234" i="5"/>
  <c r="B234" i="5"/>
  <c r="A234" i="5"/>
  <c r="D233" i="5"/>
  <c r="C233" i="5"/>
  <c r="B233" i="5"/>
  <c r="A233" i="5"/>
  <c r="D232" i="5"/>
  <c r="C232" i="5"/>
  <c r="B232" i="5"/>
  <c r="A232" i="5"/>
  <c r="D231" i="5"/>
  <c r="C231" i="5"/>
  <c r="B231" i="5"/>
  <c r="A231" i="5"/>
  <c r="D230" i="5"/>
  <c r="C230" i="5"/>
  <c r="B230" i="5"/>
  <c r="A230" i="5"/>
  <c r="D229" i="5"/>
  <c r="C229" i="5"/>
  <c r="B229" i="5"/>
  <c r="A229" i="5"/>
  <c r="D228" i="5"/>
  <c r="C228" i="5"/>
  <c r="B228" i="5"/>
  <c r="A228" i="5"/>
  <c r="D227" i="5"/>
  <c r="C227" i="5"/>
  <c r="B227" i="5"/>
  <c r="A227" i="5"/>
  <c r="D226" i="5"/>
  <c r="C226" i="5"/>
  <c r="B226" i="5"/>
  <c r="A226" i="5"/>
  <c r="D225" i="5"/>
  <c r="C225" i="5"/>
  <c r="B225" i="5"/>
  <c r="A225" i="5"/>
  <c r="D224" i="5"/>
  <c r="C224" i="5"/>
  <c r="B224" i="5"/>
  <c r="A224" i="5"/>
  <c r="D223" i="5"/>
  <c r="C223" i="5"/>
  <c r="B223" i="5"/>
  <c r="A223" i="5"/>
  <c r="D222" i="5"/>
  <c r="C222" i="5"/>
  <c r="B222" i="5"/>
  <c r="A222" i="5"/>
  <c r="D221" i="5"/>
  <c r="C221" i="5"/>
  <c r="B221" i="5"/>
  <c r="A221" i="5"/>
  <c r="D220" i="5"/>
  <c r="C220" i="5"/>
  <c r="B220" i="5"/>
  <c r="A220" i="5"/>
  <c r="D219" i="5"/>
  <c r="C219" i="5"/>
  <c r="B219" i="5"/>
  <c r="A219" i="5"/>
  <c r="D218" i="5"/>
  <c r="C218" i="5"/>
  <c r="B218" i="5"/>
  <c r="A218" i="5"/>
  <c r="D217" i="5"/>
  <c r="C217" i="5"/>
  <c r="B217" i="5"/>
  <c r="A217" i="5"/>
  <c r="D216" i="5"/>
  <c r="C216" i="5"/>
  <c r="B216" i="5"/>
  <c r="A216" i="5"/>
  <c r="D215" i="5"/>
  <c r="C215" i="5"/>
  <c r="B215" i="5"/>
  <c r="A215" i="5"/>
  <c r="D214" i="5"/>
  <c r="C214" i="5"/>
  <c r="B214" i="5"/>
  <c r="A214" i="5"/>
  <c r="D213" i="5"/>
  <c r="C213" i="5"/>
  <c r="B213" i="5"/>
  <c r="A213" i="5"/>
  <c r="D212" i="5"/>
  <c r="C212" i="5"/>
  <c r="B212" i="5"/>
  <c r="A212" i="5"/>
  <c r="D211" i="5"/>
  <c r="C211" i="5"/>
  <c r="B211" i="5"/>
  <c r="A211" i="5"/>
  <c r="D210" i="5"/>
  <c r="C210" i="5"/>
  <c r="B210" i="5"/>
  <c r="A210" i="5"/>
  <c r="D209" i="5"/>
  <c r="C209" i="5"/>
  <c r="B209" i="5"/>
  <c r="A209" i="5"/>
  <c r="D208" i="5"/>
  <c r="C208" i="5"/>
  <c r="B208" i="5"/>
  <c r="A208" i="5"/>
  <c r="D207" i="5"/>
  <c r="C207" i="5"/>
  <c r="B207" i="5"/>
  <c r="A207" i="5"/>
  <c r="D206" i="5"/>
  <c r="C206" i="5"/>
  <c r="B206" i="5"/>
  <c r="A206" i="5"/>
  <c r="D205" i="5"/>
  <c r="C205" i="5"/>
  <c r="B205" i="5"/>
  <c r="A205" i="5"/>
  <c r="D204" i="5"/>
  <c r="C204" i="5"/>
  <c r="B204" i="5"/>
  <c r="A204" i="5"/>
  <c r="D203" i="5"/>
  <c r="C203" i="5"/>
  <c r="B203" i="5"/>
  <c r="A203" i="5"/>
  <c r="D202" i="5"/>
  <c r="C202" i="5"/>
  <c r="B202" i="5"/>
  <c r="A202" i="5"/>
  <c r="D201" i="5"/>
  <c r="C201" i="5"/>
  <c r="B201" i="5"/>
  <c r="A201" i="5"/>
  <c r="D200" i="5"/>
  <c r="C200" i="5"/>
  <c r="B200" i="5"/>
  <c r="A200" i="5"/>
  <c r="D199" i="5"/>
  <c r="C199" i="5"/>
  <c r="B199" i="5"/>
  <c r="A199" i="5"/>
  <c r="D198" i="5"/>
  <c r="C198" i="5"/>
  <c r="B198" i="5"/>
  <c r="A198" i="5"/>
  <c r="D197" i="5"/>
  <c r="C197" i="5"/>
  <c r="B197" i="5"/>
  <c r="A197" i="5"/>
  <c r="D196" i="5"/>
  <c r="C196" i="5"/>
  <c r="B196" i="5"/>
  <c r="A196" i="5"/>
  <c r="D195" i="5"/>
  <c r="C195" i="5"/>
  <c r="B195" i="5"/>
  <c r="A195" i="5"/>
  <c r="D194" i="5"/>
  <c r="C194" i="5"/>
  <c r="B194" i="5"/>
  <c r="A194" i="5"/>
  <c r="D193" i="5"/>
  <c r="C193" i="5"/>
  <c r="B193" i="5"/>
  <c r="A193" i="5"/>
  <c r="D192" i="5"/>
  <c r="C192" i="5"/>
  <c r="B192" i="5"/>
  <c r="A192" i="5"/>
  <c r="D191" i="5"/>
  <c r="C191" i="5"/>
  <c r="B191" i="5"/>
  <c r="A191" i="5"/>
  <c r="D190" i="5"/>
  <c r="C190" i="5"/>
  <c r="B190" i="5"/>
  <c r="A190" i="5"/>
  <c r="D189" i="5"/>
  <c r="C189" i="5"/>
  <c r="B189" i="5"/>
  <c r="A189" i="5"/>
  <c r="D188" i="5"/>
  <c r="C188" i="5"/>
  <c r="B188" i="5"/>
  <c r="A188" i="5"/>
  <c r="D187" i="5"/>
  <c r="C187" i="5"/>
  <c r="B187" i="5"/>
  <c r="A187" i="5"/>
  <c r="D186" i="5"/>
  <c r="C186" i="5"/>
  <c r="B186" i="5"/>
  <c r="A186" i="5"/>
  <c r="D185" i="5"/>
  <c r="C185" i="5"/>
  <c r="B185" i="5"/>
  <c r="A185" i="5"/>
  <c r="D184" i="5"/>
  <c r="C184" i="5"/>
  <c r="B184" i="5"/>
  <c r="A184" i="5"/>
  <c r="D183" i="5"/>
  <c r="C183" i="5"/>
  <c r="B183" i="5"/>
  <c r="A183" i="5"/>
  <c r="D182" i="5"/>
  <c r="C182" i="5"/>
  <c r="B182" i="5"/>
  <c r="A182" i="5"/>
  <c r="D181" i="5"/>
  <c r="C181" i="5"/>
  <c r="B181" i="5"/>
  <c r="A181" i="5"/>
  <c r="D180" i="5"/>
  <c r="C180" i="5"/>
  <c r="B180" i="5"/>
  <c r="A180" i="5"/>
  <c r="D179" i="5"/>
  <c r="C179" i="5"/>
  <c r="B179" i="5"/>
  <c r="A179" i="5"/>
  <c r="D178" i="5"/>
  <c r="C178" i="5"/>
  <c r="B178" i="5"/>
  <c r="A178" i="5"/>
  <c r="D177" i="5"/>
  <c r="C177" i="5"/>
  <c r="B177" i="5"/>
  <c r="A177" i="5"/>
  <c r="D176" i="5"/>
  <c r="C176" i="5"/>
  <c r="B176" i="5"/>
  <c r="A176" i="5"/>
  <c r="D175" i="5"/>
  <c r="C175" i="5"/>
  <c r="B175" i="5"/>
  <c r="A175" i="5"/>
  <c r="D174" i="5"/>
  <c r="C174" i="5"/>
  <c r="B174" i="5"/>
  <c r="A174" i="5"/>
  <c r="D173" i="5"/>
  <c r="C173" i="5"/>
  <c r="B173" i="5"/>
  <c r="A173" i="5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B8" i="3"/>
  <c r="B10" i="3" s="1"/>
  <c r="B9" i="3"/>
  <c r="C14" i="3" s="1"/>
  <c r="B14" i="3"/>
  <c r="B16" i="3" s="1"/>
  <c r="B15" i="3"/>
  <c r="B21" i="3"/>
  <c r="C21" i="3" s="1"/>
  <c r="B22" i="3"/>
  <c r="C22" i="3" s="1"/>
  <c r="B23" i="3"/>
  <c r="C23" i="3"/>
  <c r="B24" i="3"/>
  <c r="B26" i="3"/>
  <c r="C26" i="3" s="1"/>
  <c r="B27" i="3"/>
  <c r="C27" i="3" s="1"/>
  <c r="B28" i="3"/>
  <c r="C28" i="3" s="1"/>
  <c r="B29" i="3"/>
  <c r="C29" i="3" s="1"/>
  <c r="B30" i="3"/>
  <c r="C30" i="3" s="1"/>
  <c r="B31" i="3"/>
  <c r="C31" i="3" s="1"/>
  <c r="B32" i="3"/>
  <c r="C32" i="3"/>
  <c r="B33" i="3"/>
  <c r="C33" i="3" s="1"/>
  <c r="B34" i="3"/>
  <c r="C34" i="3" s="1"/>
  <c r="B35" i="3"/>
  <c r="C35" i="3" s="1"/>
  <c r="B36" i="3"/>
  <c r="C36" i="3" s="1"/>
  <c r="B39" i="3"/>
  <c r="C39" i="3" s="1"/>
  <c r="B40" i="3"/>
  <c r="C40" i="3" s="1"/>
  <c r="B41" i="3"/>
  <c r="C41" i="3"/>
  <c r="B42" i="3"/>
  <c r="B44" i="3"/>
  <c r="C44" i="3" s="1"/>
  <c r="B45" i="3"/>
  <c r="C45" i="3" s="1"/>
  <c r="B46" i="3"/>
  <c r="C46" i="3" s="1"/>
  <c r="B47" i="3"/>
  <c r="C47" i="3" s="1"/>
  <c r="B48" i="3"/>
  <c r="C48" i="3" s="1"/>
  <c r="B51" i="3"/>
  <c r="B64" i="3" s="1"/>
  <c r="B52" i="3"/>
  <c r="C52" i="3" s="1"/>
  <c r="B53" i="3"/>
  <c r="C53" i="3" s="1"/>
  <c r="B54" i="3"/>
  <c r="C54" i="3" s="1"/>
  <c r="B55" i="3"/>
  <c r="C55" i="3" s="1"/>
  <c r="B56" i="3"/>
  <c r="C56" i="3" s="1"/>
  <c r="B57" i="3"/>
  <c r="C57" i="3" s="1"/>
  <c r="B58" i="3"/>
  <c r="C58" i="3" s="1"/>
  <c r="B59" i="3"/>
  <c r="C59" i="3" s="1"/>
  <c r="B60" i="3"/>
  <c r="C60" i="3" s="1"/>
  <c r="B61" i="3"/>
  <c r="C61" i="3" s="1"/>
  <c r="B62" i="3"/>
  <c r="C62" i="3" s="1"/>
  <c r="B63" i="3"/>
  <c r="C63" i="3" s="1"/>
  <c r="B66" i="3"/>
  <c r="B74" i="3" s="1"/>
  <c r="B67" i="3"/>
  <c r="C67" i="3" s="1"/>
  <c r="B68" i="3"/>
  <c r="C68" i="3" s="1"/>
  <c r="B69" i="3"/>
  <c r="C69" i="3" s="1"/>
  <c r="B70" i="3"/>
  <c r="C70" i="3" s="1"/>
  <c r="B71" i="3"/>
  <c r="C71" i="3" s="1"/>
  <c r="B72" i="3"/>
  <c r="C72" i="3" s="1"/>
  <c r="B73" i="3"/>
  <c r="C73" i="3" s="1"/>
  <c r="B76" i="3"/>
  <c r="C76" i="3" s="1"/>
  <c r="B77" i="3"/>
  <c r="C77" i="3" s="1"/>
  <c r="B78" i="3"/>
  <c r="C78" i="3" s="1"/>
  <c r="B79" i="3"/>
  <c r="C79" i="3" s="1"/>
  <c r="B82" i="3"/>
  <c r="C82" i="3" s="1"/>
  <c r="C83" i="3" s="1"/>
  <c r="D5" i="5"/>
  <c r="C5" i="5"/>
  <c r="B5" i="5"/>
  <c r="A5" i="5"/>
  <c r="B6" i="4"/>
  <c r="B9" i="4" s="1"/>
  <c r="C6" i="4"/>
  <c r="C9" i="4" s="1"/>
  <c r="B7" i="4"/>
  <c r="C7" i="4"/>
  <c r="B8" i="4"/>
  <c r="C8" i="4"/>
  <c r="B11" i="4"/>
  <c r="C11" i="4"/>
  <c r="B12" i="4"/>
  <c r="C12" i="4"/>
  <c r="B13" i="4"/>
  <c r="B22" i="4" s="1"/>
  <c r="C13" i="4"/>
  <c r="B14" i="4"/>
  <c r="C14" i="4"/>
  <c r="B15" i="4"/>
  <c r="C15" i="4"/>
  <c r="C22" i="4" s="1"/>
  <c r="B16" i="4"/>
  <c r="C16" i="4"/>
  <c r="B17" i="4"/>
  <c r="C17" i="4"/>
  <c r="B18" i="4"/>
  <c r="C18" i="4"/>
  <c r="B19" i="4"/>
  <c r="C19" i="4"/>
  <c r="B20" i="4"/>
  <c r="C20" i="4"/>
  <c r="B21" i="4"/>
  <c r="C21" i="4"/>
  <c r="B24" i="4"/>
  <c r="B27" i="4" s="1"/>
  <c r="C24" i="4"/>
  <c r="C27" i="4" s="1"/>
  <c r="B25" i="4"/>
  <c r="C25" i="4"/>
  <c r="B26" i="4"/>
  <c r="C26" i="4"/>
  <c r="C49" i="3" l="1"/>
  <c r="C24" i="3"/>
  <c r="C80" i="3"/>
  <c r="C37" i="3"/>
  <c r="C42" i="3"/>
  <c r="B49" i="3"/>
  <c r="C66" i="3"/>
  <c r="C74" i="3" s="1"/>
  <c r="B80" i="3"/>
  <c r="C51" i="3"/>
  <c r="C64" i="3" s="1"/>
  <c r="B83" i="3"/>
  <c r="B37" i="3"/>
  <c r="B85" i="3" s="1"/>
  <c r="C15" i="3"/>
  <c r="C16" i="3" s="1"/>
  <c r="C29" i="4"/>
  <c r="B29" i="4"/>
  <c r="G1368" i="1" l="1" a="1"/>
  <c r="G1368" i="1" s="1"/>
  <c r="G1367" i="1" a="1"/>
  <c r="G1367" i="1" s="1"/>
  <c r="G1366" i="1" a="1"/>
  <c r="G1366" i="1" s="1"/>
  <c r="G1365" i="1" a="1"/>
  <c r="G1365" i="1" s="1"/>
  <c r="G1364" i="1" a="1"/>
  <c r="G1364" i="1" s="1"/>
  <c r="G1363" i="1" a="1"/>
  <c r="G1363" i="1" s="1"/>
  <c r="G1362" i="1" a="1"/>
  <c r="G1362" i="1" s="1"/>
  <c r="G1361" i="1" a="1"/>
  <c r="G1361" i="1" s="1"/>
  <c r="G1360" i="1" a="1"/>
  <c r="G1360" i="1" s="1"/>
  <c r="G1359" i="1" a="1"/>
  <c r="G1359" i="1" s="1"/>
  <c r="G1356" i="1" a="1"/>
  <c r="G1356" i="1" s="1"/>
  <c r="G1355" i="1" a="1"/>
  <c r="G1355" i="1" s="1"/>
  <c r="G1354" i="1" a="1"/>
  <c r="G1354" i="1" s="1"/>
  <c r="G1353" i="1" a="1"/>
  <c r="G1353" i="1" s="1"/>
  <c r="G1352" i="1" a="1"/>
  <c r="G1352" i="1" s="1"/>
  <c r="G1351" i="1" a="1"/>
  <c r="G1351" i="1" s="1"/>
  <c r="G1350" i="1" a="1"/>
  <c r="G1350" i="1" s="1"/>
  <c r="G1349" i="1" a="1"/>
  <c r="G1349" i="1" s="1"/>
  <c r="G1348" i="1" a="1"/>
  <c r="G1348" i="1" s="1"/>
  <c r="G1347" i="1" a="1"/>
  <c r="G1347" i="1" s="1"/>
  <c r="G1346" i="1" a="1"/>
  <c r="G1346" i="1" s="1"/>
  <c r="G1345" i="1" a="1"/>
  <c r="G1345" i="1" s="1"/>
  <c r="G1344" i="1" a="1"/>
  <c r="G1344" i="1" s="1"/>
  <c r="G1343" i="1" a="1"/>
  <c r="G1343" i="1" s="1"/>
  <c r="G1341" i="1" a="1"/>
  <c r="G1341" i="1" s="1"/>
  <c r="G1340" i="1" a="1"/>
  <c r="G1340" i="1" s="1"/>
  <c r="G1339" i="1" a="1"/>
  <c r="G1339" i="1" s="1"/>
  <c r="G1338" i="1" a="1"/>
  <c r="G1338" i="1" s="1"/>
  <c r="G1337" i="1" a="1"/>
  <c r="G1337" i="1" s="1"/>
  <c r="G1336" i="1" a="1"/>
  <c r="G1336" i="1" s="1"/>
  <c r="G1335" i="1" a="1"/>
  <c r="G1335" i="1" s="1"/>
  <c r="G1334" i="1" a="1"/>
  <c r="G1334" i="1" s="1"/>
  <c r="G1333" i="1" a="1"/>
  <c r="G1333" i="1" s="1"/>
  <c r="G1332" i="1" a="1"/>
  <c r="G1332" i="1" s="1"/>
  <c r="G1331" i="1" a="1"/>
  <c r="G1331" i="1" s="1"/>
  <c r="G1330" i="1" a="1"/>
  <c r="G1330" i="1" s="1"/>
  <c r="G1329" i="1" a="1"/>
  <c r="G1329" i="1" s="1"/>
  <c r="G1328" i="1" a="1"/>
  <c r="G1328" i="1" s="1"/>
  <c r="G1327" i="1" a="1"/>
  <c r="G1327" i="1" s="1"/>
  <c r="G1325" i="1" a="1"/>
  <c r="G1325" i="1" s="1"/>
  <c r="G1324" i="1" a="1"/>
  <c r="G1324" i="1" s="1"/>
  <c r="G1323" i="1" a="1"/>
  <c r="G1323" i="1" s="1"/>
  <c r="G1322" i="1" a="1"/>
  <c r="G1322" i="1" s="1"/>
  <c r="G1321" i="1" a="1"/>
  <c r="G1321" i="1" s="1"/>
  <c r="G1320" i="1" a="1"/>
  <c r="G1320" i="1" s="1"/>
  <c r="G1318" i="1" a="1"/>
  <c r="G1318" i="1" s="1"/>
  <c r="G1317" i="1" a="1"/>
  <c r="G1317" i="1" s="1"/>
  <c r="G1316" i="1" a="1"/>
  <c r="G1316" i="1" s="1"/>
  <c r="G1315" i="1" a="1"/>
  <c r="G1315" i="1" s="1"/>
  <c r="G1314" i="1" a="1"/>
  <c r="G1314" i="1" s="1"/>
  <c r="G1313" i="1" a="1"/>
  <c r="G1313" i="1" s="1"/>
  <c r="G1312" i="1" a="1"/>
  <c r="G1312" i="1" s="1"/>
  <c r="G1311" i="1" a="1"/>
  <c r="G1311" i="1" s="1"/>
  <c r="G1310" i="1" a="1"/>
  <c r="G1310" i="1" s="1"/>
  <c r="G1309" i="1" a="1"/>
  <c r="G1309" i="1" s="1"/>
  <c r="G1308" i="1" a="1"/>
  <c r="G1308" i="1" s="1"/>
  <c r="G1307" i="1" a="1"/>
  <c r="G1307" i="1" s="1"/>
  <c r="G1306" i="1" a="1"/>
  <c r="G1306" i="1" s="1"/>
  <c r="G1305" i="1" a="1"/>
  <c r="G1305" i="1" s="1"/>
  <c r="G1304" i="1" a="1"/>
  <c r="G1304" i="1" s="1"/>
  <c r="G1303" i="1" a="1"/>
  <c r="G1303" i="1" s="1"/>
  <c r="G1302" i="1" a="1"/>
  <c r="G1302" i="1" s="1"/>
  <c r="G1301" i="1" a="1"/>
  <c r="G1301" i="1" s="1"/>
  <c r="G1300" i="1" a="1"/>
  <c r="G1300" i="1" s="1"/>
  <c r="G1299" i="1" a="1"/>
  <c r="G1299" i="1" s="1"/>
  <c r="G1298" i="1" a="1"/>
  <c r="G1298" i="1" s="1"/>
  <c r="G1296" i="1" a="1"/>
  <c r="G1296" i="1" s="1"/>
  <c r="G1295" i="1" a="1"/>
  <c r="G1295" i="1" s="1"/>
  <c r="G1293" i="1" a="1"/>
  <c r="G1293" i="1" s="1"/>
  <c r="G1291" i="1" a="1"/>
  <c r="G1291" i="1" s="1"/>
  <c r="G1288" i="1" a="1"/>
  <c r="G1288" i="1" s="1"/>
  <c r="G1287" i="1" a="1"/>
  <c r="G1287" i="1" s="1"/>
  <c r="G1286" i="1" a="1"/>
  <c r="G1286" i="1" s="1"/>
  <c r="G1285" i="1" a="1"/>
  <c r="G1285" i="1" s="1"/>
  <c r="G1284" i="1" a="1"/>
  <c r="G1284" i="1" s="1"/>
  <c r="G1283" i="1" a="1"/>
  <c r="G1283" i="1" s="1"/>
  <c r="G1282" i="1" a="1"/>
  <c r="G1282" i="1" s="1"/>
  <c r="G1281" i="1" a="1"/>
  <c r="G1281" i="1" s="1"/>
  <c r="G1280" i="1" a="1"/>
  <c r="G1280" i="1" s="1"/>
  <c r="G1279" i="1" a="1"/>
  <c r="G1279" i="1" s="1"/>
  <c r="G1278" i="1" a="1"/>
  <c r="G1278" i="1" s="1"/>
  <c r="G1276" i="1" a="1"/>
  <c r="G1276" i="1" s="1"/>
  <c r="G1275" i="1" a="1"/>
  <c r="G1275" i="1" s="1"/>
  <c r="G1274" i="1" a="1"/>
  <c r="G1274" i="1" s="1"/>
  <c r="G1273" i="1" a="1"/>
  <c r="G1273" i="1" s="1"/>
  <c r="G1272" i="1" a="1"/>
  <c r="G1272" i="1" s="1"/>
  <c r="G1269" i="1" a="1"/>
  <c r="G1269" i="1" s="1"/>
  <c r="G1268" i="1" a="1"/>
  <c r="G1268" i="1" s="1"/>
  <c r="G1267" i="1" a="1"/>
  <c r="G1267" i="1" s="1"/>
  <c r="G1266" i="1" a="1"/>
  <c r="G1266" i="1" s="1"/>
  <c r="G1265" i="1" a="1"/>
  <c r="G1265" i="1" s="1"/>
  <c r="G1263" i="1" a="1"/>
  <c r="G1263" i="1" s="1"/>
  <c r="G1262" i="1" a="1"/>
  <c r="G1262" i="1" s="1"/>
  <c r="G1258" i="1" a="1"/>
  <c r="G1258" i="1" s="1"/>
  <c r="G1256" i="1" a="1"/>
  <c r="G1256" i="1" s="1"/>
  <c r="G1255" i="1" a="1"/>
  <c r="G1255" i="1" s="1"/>
  <c r="G1254" i="1" a="1"/>
  <c r="G1254" i="1" s="1"/>
  <c r="G1253" i="1" a="1"/>
  <c r="G1253" i="1" s="1"/>
  <c r="G1252" i="1" a="1"/>
  <c r="G1252" i="1" s="1"/>
  <c r="G1249" i="1" a="1"/>
  <c r="G1249" i="1" s="1"/>
  <c r="G1246" i="1" a="1"/>
  <c r="G1246" i="1" s="1"/>
  <c r="G1245" i="1" a="1"/>
  <c r="G1245" i="1" s="1"/>
  <c r="G1244" i="1" a="1"/>
  <c r="G1244" i="1" s="1"/>
  <c r="G1243" i="1" a="1"/>
  <c r="G1243" i="1" s="1"/>
  <c r="G1242" i="1" a="1"/>
  <c r="G1242" i="1" s="1"/>
  <c r="G1241" i="1" a="1"/>
  <c r="G1241" i="1" s="1"/>
  <c r="G1240" i="1" a="1"/>
  <c r="G1240" i="1" s="1"/>
  <c r="G1239" i="1" a="1"/>
  <c r="G1239" i="1" s="1"/>
  <c r="G1238" i="1" a="1"/>
  <c r="G1238" i="1" s="1"/>
  <c r="G1237" i="1" a="1"/>
  <c r="G1237" i="1" s="1"/>
  <c r="G1236" i="1" a="1"/>
  <c r="G1236" i="1" s="1"/>
  <c r="G1235" i="1" a="1"/>
  <c r="G1235" i="1" s="1"/>
  <c r="G1234" i="1" a="1"/>
  <c r="G1234" i="1" s="1"/>
  <c r="G1233" i="1" a="1"/>
  <c r="G1233" i="1" s="1"/>
  <c r="G1232" i="1" a="1"/>
  <c r="G1232" i="1" s="1"/>
  <c r="G1231" i="1" a="1"/>
  <c r="G1231" i="1" s="1"/>
  <c r="G1230" i="1" a="1"/>
  <c r="G1230" i="1" s="1"/>
  <c r="G1229" i="1" a="1"/>
  <c r="G1229" i="1" s="1"/>
  <c r="G1228" i="1" a="1"/>
  <c r="G1228" i="1" s="1"/>
  <c r="G1227" i="1" a="1"/>
  <c r="G1227" i="1" s="1"/>
  <c r="G1226" i="1" a="1"/>
  <c r="G1226" i="1" s="1"/>
  <c r="G1225" i="1" a="1"/>
  <c r="G1225" i="1" s="1"/>
  <c r="G1224" i="1" a="1"/>
  <c r="G1224" i="1" s="1"/>
  <c r="G1223" i="1" a="1"/>
  <c r="G1223" i="1" s="1"/>
  <c r="G1222" i="1" a="1"/>
  <c r="G1222" i="1" s="1"/>
  <c r="G1221" i="1" a="1"/>
  <c r="G1221" i="1" s="1"/>
  <c r="G1220" i="1" a="1"/>
  <c r="G1220" i="1" s="1"/>
  <c r="G1219" i="1" a="1"/>
  <c r="G1219" i="1" s="1"/>
  <c r="G1218" i="1" a="1"/>
  <c r="G1218" i="1" s="1"/>
  <c r="G1217" i="1" a="1"/>
  <c r="G1217" i="1" s="1"/>
  <c r="G1216" i="1" a="1"/>
  <c r="G1216" i="1" s="1"/>
  <c r="G1215" i="1" a="1"/>
  <c r="G1215" i="1" s="1"/>
  <c r="G1214" i="1" a="1"/>
  <c r="G1214" i="1" s="1"/>
  <c r="G1213" i="1" a="1"/>
  <c r="G1213" i="1" s="1"/>
  <c r="G1212" i="1" a="1"/>
  <c r="G1212" i="1" s="1"/>
  <c r="G1211" i="1" a="1"/>
  <c r="G1211" i="1" s="1"/>
  <c r="G1210" i="1" a="1"/>
  <c r="G1210" i="1" s="1"/>
  <c r="G1209" i="1" a="1"/>
  <c r="G1209" i="1" s="1"/>
  <c r="G1208" i="1" a="1"/>
  <c r="G1208" i="1" s="1"/>
  <c r="G1207" i="1" a="1"/>
  <c r="G1207" i="1" s="1"/>
  <c r="G1206" i="1" a="1"/>
  <c r="G1206" i="1" s="1"/>
  <c r="G1205" i="1" a="1"/>
  <c r="G1205" i="1" s="1"/>
  <c r="G1204" i="1" a="1"/>
  <c r="G1204" i="1" s="1"/>
  <c r="G1203" i="1" a="1"/>
  <c r="G1203" i="1" s="1"/>
  <c r="G1202" i="1" a="1"/>
  <c r="G1202" i="1" s="1"/>
  <c r="G1201" i="1" a="1"/>
  <c r="G1201" i="1" s="1"/>
  <c r="G1200" i="1" a="1"/>
  <c r="G1200" i="1" s="1"/>
  <c r="G1199" i="1" a="1"/>
  <c r="G1199" i="1" s="1"/>
  <c r="G1198" i="1" a="1"/>
  <c r="G1198" i="1" s="1"/>
  <c r="G1197" i="1" a="1"/>
  <c r="G1197" i="1" s="1"/>
  <c r="G1196" i="1" a="1"/>
  <c r="G1196" i="1" s="1"/>
  <c r="G1194" i="1" a="1"/>
  <c r="G1194" i="1" s="1"/>
  <c r="G1193" i="1" a="1"/>
  <c r="G1193" i="1" s="1"/>
  <c r="G1192" i="1" a="1"/>
  <c r="G1192" i="1" s="1"/>
  <c r="G1191" i="1" a="1"/>
  <c r="G1191" i="1" s="1"/>
  <c r="G1190" i="1" a="1"/>
  <c r="G1190" i="1" s="1"/>
  <c r="G1189" i="1" a="1"/>
  <c r="G1189" i="1" s="1"/>
  <c r="G1188" i="1" a="1"/>
  <c r="G1188" i="1" s="1"/>
  <c r="G1187" i="1" a="1"/>
  <c r="G1187" i="1" s="1"/>
  <c r="G1186" i="1" a="1"/>
  <c r="G1186" i="1" s="1"/>
  <c r="G1185" i="1" a="1"/>
  <c r="G1185" i="1" s="1"/>
  <c r="G1184" i="1" a="1"/>
  <c r="G1184" i="1" s="1"/>
  <c r="G1183" i="1" a="1"/>
  <c r="G1183" i="1" s="1"/>
  <c r="G1182" i="1" a="1"/>
  <c r="G1182" i="1" s="1"/>
  <c r="G1181" i="1" a="1"/>
  <c r="G1181" i="1" s="1"/>
  <c r="G1180" i="1" a="1"/>
  <c r="G1180" i="1" s="1"/>
  <c r="G1179" i="1" a="1"/>
  <c r="G1179" i="1" s="1"/>
  <c r="G1178" i="1" a="1"/>
  <c r="G1178" i="1" s="1"/>
  <c r="G1177" i="1" a="1"/>
  <c r="G1177" i="1" s="1"/>
  <c r="G1176" i="1" a="1"/>
  <c r="G1176" i="1" s="1"/>
  <c r="G1175" i="1" a="1"/>
  <c r="G1175" i="1" s="1"/>
  <c r="G1174" i="1" a="1"/>
  <c r="G1174" i="1" s="1"/>
  <c r="G1173" i="1" a="1"/>
  <c r="G1173" i="1" s="1"/>
  <c r="G1172" i="1" a="1"/>
  <c r="G1172" i="1" s="1"/>
  <c r="G1171" i="1" a="1"/>
  <c r="G1171" i="1" s="1"/>
  <c r="G1170" i="1" a="1"/>
  <c r="G1170" i="1" s="1"/>
  <c r="G1169" i="1" a="1"/>
  <c r="G1169" i="1" s="1"/>
  <c r="G1168" i="1" a="1"/>
  <c r="G1168" i="1" s="1"/>
  <c r="G1167" i="1" a="1"/>
  <c r="G1167" i="1" s="1"/>
  <c r="G1166" i="1" a="1"/>
  <c r="G1166" i="1" s="1"/>
  <c r="G1165" i="1" a="1"/>
  <c r="G1165" i="1" s="1"/>
  <c r="G1164" i="1" a="1"/>
  <c r="G1164" i="1" s="1"/>
  <c r="G1163" i="1" a="1"/>
  <c r="G1163" i="1" s="1"/>
  <c r="G1161" i="1" a="1"/>
  <c r="G1161" i="1" s="1"/>
  <c r="G1160" i="1" a="1"/>
  <c r="G1160" i="1" s="1"/>
  <c r="G1158" i="1" a="1"/>
  <c r="G1158" i="1" s="1"/>
  <c r="G1157" i="1" a="1"/>
  <c r="G1157" i="1" s="1"/>
  <c r="G1155" i="1" a="1"/>
  <c r="G1155" i="1" s="1"/>
  <c r="G1154" i="1" a="1"/>
  <c r="G1154" i="1" s="1"/>
  <c r="G1153" i="1" a="1"/>
  <c r="G1153" i="1" s="1"/>
  <c r="G1152" i="1" a="1"/>
  <c r="G1152" i="1" s="1"/>
  <c r="G1151" i="1" a="1"/>
  <c r="G1151" i="1" s="1"/>
  <c r="G1150" i="1" a="1"/>
  <c r="G1150" i="1" s="1"/>
  <c r="G1149" i="1" a="1"/>
  <c r="G1149" i="1" s="1"/>
  <c r="G1148" i="1" a="1"/>
  <c r="G1148" i="1" s="1"/>
  <c r="G1147" i="1" a="1"/>
  <c r="G1147" i="1" s="1"/>
  <c r="G1146" i="1" a="1"/>
  <c r="G1146" i="1" s="1"/>
  <c r="G1144" i="1" a="1"/>
  <c r="G1144" i="1" s="1"/>
  <c r="G1143" i="1" a="1"/>
  <c r="G1143" i="1" s="1"/>
  <c r="G1141" i="1" a="1"/>
  <c r="G1141" i="1" s="1"/>
  <c r="G1140" i="1" a="1"/>
  <c r="G1140" i="1" s="1"/>
  <c r="G1139" i="1" a="1"/>
  <c r="G1139" i="1" s="1"/>
  <c r="G1138" i="1" a="1"/>
  <c r="G1138" i="1" s="1"/>
  <c r="G1137" i="1" a="1"/>
  <c r="G1137" i="1" s="1"/>
  <c r="G1136" i="1" a="1"/>
  <c r="G1136" i="1" s="1"/>
  <c r="G1135" i="1" a="1"/>
  <c r="G1135" i="1" s="1"/>
  <c r="G1134" i="1" a="1"/>
  <c r="G1134" i="1" s="1"/>
  <c r="G1133" i="1" a="1"/>
  <c r="G1133" i="1" s="1"/>
  <c r="G1132" i="1" a="1"/>
  <c r="G1132" i="1" s="1"/>
  <c r="G1131" i="1" a="1"/>
  <c r="G1131" i="1" s="1"/>
  <c r="G1130" i="1" a="1"/>
  <c r="G1130" i="1" s="1"/>
  <c r="G1129" i="1" a="1"/>
  <c r="G1129" i="1" s="1"/>
  <c r="G1128" i="1" a="1"/>
  <c r="G1128" i="1" s="1"/>
  <c r="G1127" i="1" a="1"/>
  <c r="G1127" i="1" s="1"/>
  <c r="G1126" i="1" a="1"/>
  <c r="G1126" i="1" s="1"/>
  <c r="G1125" i="1" a="1"/>
  <c r="G1125" i="1" s="1"/>
  <c r="G1124" i="1" a="1"/>
  <c r="G1124" i="1" s="1"/>
  <c r="G1123" i="1" a="1"/>
  <c r="G1123" i="1" s="1"/>
  <c r="G1122" i="1" a="1"/>
  <c r="G1122" i="1" s="1"/>
  <c r="G1121" i="1" a="1"/>
  <c r="G1121" i="1" s="1"/>
  <c r="G1120" i="1" a="1"/>
  <c r="G1120" i="1" s="1"/>
  <c r="G1119" i="1" a="1"/>
  <c r="G1119" i="1" s="1"/>
  <c r="G1118" i="1" a="1"/>
  <c r="G1118" i="1" s="1"/>
  <c r="G1117" i="1" a="1"/>
  <c r="G1117" i="1" s="1"/>
  <c r="G1116" i="1" a="1"/>
  <c r="G1116" i="1" s="1"/>
  <c r="G1115" i="1" a="1"/>
  <c r="G1115" i="1" s="1"/>
  <c r="G1114" i="1" a="1"/>
  <c r="G1114" i="1" s="1"/>
  <c r="G1113" i="1" a="1"/>
  <c r="G1113" i="1" s="1"/>
  <c r="G1112" i="1" a="1"/>
  <c r="G1112" i="1" s="1"/>
  <c r="G1111" i="1" a="1"/>
  <c r="G1111" i="1" s="1"/>
  <c r="G1110" i="1" a="1"/>
  <c r="G1110" i="1" s="1"/>
  <c r="G1109" i="1" a="1"/>
  <c r="G1109" i="1" s="1"/>
  <c r="G1108" i="1" a="1"/>
  <c r="G1108" i="1" s="1"/>
  <c r="G1107" i="1" a="1"/>
  <c r="G1107" i="1" s="1"/>
  <c r="G1106" i="1" a="1"/>
  <c r="G1106" i="1" s="1"/>
  <c r="G1105" i="1" a="1"/>
  <c r="G1105" i="1" s="1"/>
  <c r="G1104" i="1" a="1"/>
  <c r="G1104" i="1" s="1"/>
  <c r="G1103" i="1" a="1"/>
  <c r="G1103" i="1" s="1"/>
  <c r="G1102" i="1" a="1"/>
  <c r="G1102" i="1" s="1"/>
  <c r="G1101" i="1" a="1"/>
  <c r="G1101" i="1" s="1"/>
  <c r="G1100" i="1" a="1"/>
  <c r="G1100" i="1" s="1"/>
  <c r="G1099" i="1" a="1"/>
  <c r="G1099" i="1" s="1"/>
  <c r="G1098" i="1" a="1"/>
  <c r="G1098" i="1" s="1"/>
  <c r="G1097" i="1" a="1"/>
  <c r="G1097" i="1" s="1"/>
  <c r="G1096" i="1" a="1"/>
  <c r="G1096" i="1" s="1"/>
  <c r="G1094" i="1" a="1"/>
  <c r="G1094" i="1" s="1"/>
  <c r="G1093" i="1" a="1"/>
  <c r="G1093" i="1" s="1"/>
  <c r="G1092" i="1" a="1"/>
  <c r="G1092" i="1" s="1"/>
  <c r="G1091" i="1" a="1"/>
  <c r="G1091" i="1" s="1"/>
  <c r="G1090" i="1" a="1"/>
  <c r="G1090" i="1" s="1"/>
  <c r="G1089" i="1" a="1"/>
  <c r="G1089" i="1" s="1"/>
  <c r="G1088" i="1" a="1"/>
  <c r="G1088" i="1" s="1"/>
  <c r="G1087" i="1" a="1"/>
  <c r="G1087" i="1" s="1"/>
  <c r="G1086" i="1" a="1"/>
  <c r="G1086" i="1" s="1"/>
  <c r="G1085" i="1" a="1"/>
  <c r="G1085" i="1" s="1"/>
  <c r="G1084" i="1" a="1"/>
  <c r="G1084" i="1" s="1"/>
  <c r="G1083" i="1" a="1"/>
  <c r="G1083" i="1" s="1"/>
  <c r="G1082" i="1" a="1"/>
  <c r="G1082" i="1" s="1"/>
  <c r="G1081" i="1" a="1"/>
  <c r="G1081" i="1" s="1"/>
  <c r="G1080" i="1" a="1"/>
  <c r="G1080" i="1" s="1"/>
  <c r="G1079" i="1" a="1"/>
  <c r="G1079" i="1" s="1"/>
  <c r="G1078" i="1" a="1"/>
  <c r="G1078" i="1" s="1"/>
  <c r="G1077" i="1" a="1"/>
  <c r="G1077" i="1" s="1"/>
  <c r="G1076" i="1" a="1"/>
  <c r="G1076" i="1" s="1"/>
  <c r="G1075" i="1" a="1"/>
  <c r="G1075" i="1" s="1"/>
  <c r="G1074" i="1" a="1"/>
  <c r="G1074" i="1" s="1"/>
  <c r="G1073" i="1" a="1"/>
  <c r="G1073" i="1" s="1"/>
  <c r="G1072" i="1" a="1"/>
  <c r="G1072" i="1" s="1"/>
  <c r="G1071" i="1" a="1"/>
  <c r="G1071" i="1" s="1"/>
  <c r="G1070" i="1" a="1"/>
  <c r="G1070" i="1" s="1"/>
  <c r="G1069" i="1" a="1"/>
  <c r="G1069" i="1" s="1"/>
  <c r="G1068" i="1" a="1"/>
  <c r="G1068" i="1" s="1"/>
  <c r="G1067" i="1" a="1"/>
  <c r="G1067" i="1" s="1"/>
  <c r="G1066" i="1" a="1"/>
  <c r="G1066" i="1" s="1"/>
  <c r="G1065" i="1" a="1"/>
  <c r="G1065" i="1" s="1"/>
  <c r="G1064" i="1" a="1"/>
  <c r="G1064" i="1" s="1"/>
  <c r="G1063" i="1" a="1"/>
  <c r="G1063" i="1" s="1"/>
  <c r="G1062" i="1" a="1"/>
  <c r="G1062" i="1" s="1"/>
  <c r="G1061" i="1" a="1"/>
  <c r="G1061" i="1" s="1"/>
  <c r="G1060" i="1" a="1"/>
  <c r="G1060" i="1" s="1"/>
  <c r="G1059" i="1" a="1"/>
  <c r="G1059" i="1" s="1"/>
  <c r="G1058" i="1" a="1"/>
  <c r="G1058" i="1" s="1"/>
  <c r="G1057" i="1" a="1"/>
  <c r="G1057" i="1" s="1"/>
  <c r="G1056" i="1" a="1"/>
  <c r="G1056" i="1" s="1"/>
  <c r="G1055" i="1" a="1"/>
  <c r="G1055" i="1" s="1"/>
  <c r="G1054" i="1" a="1"/>
  <c r="G1054" i="1" s="1"/>
  <c r="G1053" i="1" a="1"/>
  <c r="G1053" i="1" s="1"/>
  <c r="G1052" i="1" a="1"/>
  <c r="G1052" i="1" s="1"/>
  <c r="G1051" i="1" a="1"/>
  <c r="G1051" i="1" s="1"/>
  <c r="G1050" i="1" a="1"/>
  <c r="G1050" i="1" s="1"/>
  <c r="G1049" i="1" a="1"/>
  <c r="G1049" i="1" s="1"/>
  <c r="G1048" i="1" a="1"/>
  <c r="G1048" i="1" s="1"/>
  <c r="G1047" i="1" a="1"/>
  <c r="G1047" i="1" s="1"/>
  <c r="G1046" i="1" a="1"/>
  <c r="G1046" i="1" s="1"/>
  <c r="G1045" i="1" a="1"/>
  <c r="G1045" i="1" s="1"/>
  <c r="G1044" i="1" a="1"/>
  <c r="G1044" i="1" s="1"/>
  <c r="G1043" i="1" a="1"/>
  <c r="G1043" i="1" s="1"/>
  <c r="G1042" i="1" a="1"/>
  <c r="G1042" i="1" s="1"/>
  <c r="G1041" i="1" a="1"/>
  <c r="G1041" i="1" s="1"/>
  <c r="G1040" i="1" a="1"/>
  <c r="G1040" i="1" s="1"/>
  <c r="G1039" i="1" a="1"/>
  <c r="G1039" i="1" s="1"/>
  <c r="G1038" i="1" a="1"/>
  <c r="G1038" i="1" s="1"/>
  <c r="G1037" i="1" a="1"/>
  <c r="G1037" i="1" s="1"/>
  <c r="G1036" i="1" a="1"/>
  <c r="G1036" i="1" s="1"/>
  <c r="G1035" i="1" a="1"/>
  <c r="G1035" i="1" s="1"/>
  <c r="G1034" i="1" a="1"/>
  <c r="G1034" i="1" s="1"/>
  <c r="G1033" i="1" a="1"/>
  <c r="G1033" i="1" s="1"/>
  <c r="G1032" i="1" a="1"/>
  <c r="G1032" i="1" s="1"/>
  <c r="G1031" i="1" a="1"/>
  <c r="G1031" i="1" s="1"/>
  <c r="G1030" i="1" a="1"/>
  <c r="G1030" i="1" s="1"/>
  <c r="G1029" i="1" a="1"/>
  <c r="G1029" i="1" s="1"/>
  <c r="G1028" i="1" a="1"/>
  <c r="G1028" i="1" s="1"/>
  <c r="G1027" i="1" a="1"/>
  <c r="G1027" i="1" s="1"/>
  <c r="G1026" i="1" a="1"/>
  <c r="G1026" i="1" s="1"/>
  <c r="G1025" i="1" a="1"/>
  <c r="G1025" i="1" s="1"/>
  <c r="G1024" i="1" a="1"/>
  <c r="G1024" i="1" s="1"/>
  <c r="G1023" i="1" a="1"/>
  <c r="G1023" i="1" s="1"/>
  <c r="G1022" i="1" a="1"/>
  <c r="G1022" i="1" s="1"/>
  <c r="G1021" i="1" a="1"/>
  <c r="G1021" i="1" s="1"/>
  <c r="G1020" i="1" a="1"/>
  <c r="G1020" i="1" s="1"/>
  <c r="G1019" i="1" a="1"/>
  <c r="G1019" i="1" s="1"/>
  <c r="G1018" i="1" a="1"/>
  <c r="G1018" i="1" s="1"/>
  <c r="G1017" i="1" a="1"/>
  <c r="G1017" i="1" s="1"/>
  <c r="G1016" i="1" a="1"/>
  <c r="G1016" i="1" s="1"/>
  <c r="G1015" i="1" a="1"/>
  <c r="G1015" i="1" s="1"/>
  <c r="G1014" i="1" a="1"/>
  <c r="G1014" i="1" s="1"/>
  <c r="G1013" i="1" a="1"/>
  <c r="G1013" i="1" s="1"/>
  <c r="G1012" i="1" a="1"/>
  <c r="G1012" i="1" s="1"/>
  <c r="G1011" i="1" a="1"/>
  <c r="G1011" i="1" s="1"/>
  <c r="G1010" i="1" a="1"/>
  <c r="G1010" i="1" s="1"/>
  <c r="G1009" i="1" a="1"/>
  <c r="G1009" i="1" s="1"/>
  <c r="G1008" i="1" a="1"/>
  <c r="G1008" i="1" s="1"/>
  <c r="G1007" i="1" a="1"/>
  <c r="G1007" i="1" s="1"/>
  <c r="G1006" i="1" a="1"/>
  <c r="G1006" i="1" s="1"/>
  <c r="G1005" i="1" a="1"/>
  <c r="G1005" i="1" s="1"/>
  <c r="G1004" i="1" a="1"/>
  <c r="G1004" i="1" s="1"/>
  <c r="G1003" i="1" a="1"/>
  <c r="G1003" i="1" s="1"/>
  <c r="G1002" i="1" a="1"/>
  <c r="G1002" i="1" s="1"/>
  <c r="G1001" i="1" a="1"/>
  <c r="G1001" i="1" s="1"/>
  <c r="G1000" i="1" a="1"/>
  <c r="G1000" i="1" s="1"/>
  <c r="G999" i="1" a="1"/>
  <c r="G999" i="1" s="1"/>
  <c r="G998" i="1" a="1"/>
  <c r="G998" i="1" s="1"/>
  <c r="G997" i="1" a="1"/>
  <c r="G997" i="1" s="1"/>
  <c r="G996" i="1" a="1"/>
  <c r="G996" i="1" s="1"/>
  <c r="G995" i="1" a="1"/>
  <c r="G995" i="1" s="1"/>
  <c r="G994" i="1" a="1"/>
  <c r="G994" i="1" s="1"/>
  <c r="G993" i="1" a="1"/>
  <c r="G993" i="1" s="1"/>
  <c r="G992" i="1" a="1"/>
  <c r="G992" i="1" s="1"/>
  <c r="G991" i="1" a="1"/>
  <c r="G991" i="1" s="1"/>
  <c r="G990" i="1" a="1"/>
  <c r="G990" i="1" s="1"/>
  <c r="G989" i="1" a="1"/>
  <c r="G989" i="1" s="1"/>
  <c r="G988" i="1" a="1"/>
  <c r="G988" i="1" s="1"/>
  <c r="G987" i="1" a="1"/>
  <c r="G987" i="1" s="1"/>
  <c r="G986" i="1" a="1"/>
  <c r="G986" i="1" s="1"/>
  <c r="G985" i="1" a="1"/>
  <c r="G985" i="1" s="1"/>
  <c r="G984" i="1" a="1"/>
  <c r="G984" i="1" s="1"/>
  <c r="G983" i="1" a="1"/>
  <c r="G983" i="1" s="1"/>
  <c r="G982" i="1" a="1"/>
  <c r="G982" i="1" s="1"/>
  <c r="G981" i="1" a="1"/>
  <c r="G981" i="1" s="1"/>
  <c r="G980" i="1" a="1"/>
  <c r="G980" i="1" s="1"/>
  <c r="G979" i="1" a="1"/>
  <c r="G979" i="1" s="1"/>
  <c r="G978" i="1" a="1"/>
  <c r="G978" i="1" s="1"/>
  <c r="G977" i="1" a="1"/>
  <c r="G977" i="1" s="1"/>
  <c r="G976" i="1" a="1"/>
  <c r="G976" i="1" s="1"/>
  <c r="G975" i="1" a="1"/>
  <c r="G975" i="1" s="1"/>
  <c r="G974" i="1" a="1"/>
  <c r="G974" i="1" s="1"/>
  <c r="G973" i="1" a="1"/>
  <c r="G973" i="1" s="1"/>
  <c r="G972" i="1" a="1"/>
  <c r="G972" i="1" s="1"/>
  <c r="G971" i="1" a="1"/>
  <c r="G971" i="1" s="1"/>
  <c r="G970" i="1" a="1"/>
  <c r="G970" i="1" s="1"/>
  <c r="G969" i="1" a="1"/>
  <c r="G969" i="1" s="1"/>
  <c r="G968" i="1" a="1"/>
  <c r="G968" i="1" s="1"/>
  <c r="G967" i="1" a="1"/>
  <c r="G967" i="1" s="1"/>
  <c r="G966" i="1" a="1"/>
  <c r="G966" i="1" s="1"/>
  <c r="G965" i="1" a="1"/>
  <c r="G965" i="1" s="1"/>
  <c r="G964" i="1" a="1"/>
  <c r="G964" i="1" s="1"/>
  <c r="G963" i="1" a="1"/>
  <c r="G963" i="1" s="1"/>
  <c r="G962" i="1" a="1"/>
  <c r="G962" i="1" s="1"/>
  <c r="G961" i="1" a="1"/>
  <c r="G961" i="1" s="1"/>
  <c r="G960" i="1" a="1"/>
  <c r="G960" i="1" s="1"/>
  <c r="G959" i="1" a="1"/>
  <c r="G959" i="1" s="1"/>
  <c r="G958" i="1" a="1"/>
  <c r="G958" i="1" s="1"/>
  <c r="G957" i="1" a="1"/>
  <c r="G957" i="1" s="1"/>
  <c r="G956" i="1" a="1"/>
  <c r="G956" i="1" s="1"/>
  <c r="G955" i="1" a="1"/>
  <c r="G955" i="1" s="1"/>
  <c r="G954" i="1" a="1"/>
  <c r="G954" i="1" s="1"/>
  <c r="G953" i="1" a="1"/>
  <c r="G953" i="1" s="1"/>
  <c r="G952" i="1" a="1"/>
  <c r="G952" i="1" s="1"/>
  <c r="G951" i="1" a="1"/>
  <c r="G951" i="1" s="1"/>
  <c r="G950" i="1" a="1"/>
  <c r="G950" i="1" s="1"/>
  <c r="G949" i="1" a="1"/>
  <c r="G949" i="1" s="1"/>
  <c r="G948" i="1" a="1"/>
  <c r="G948" i="1" s="1"/>
  <c r="G947" i="1" a="1"/>
  <c r="G947" i="1" s="1"/>
  <c r="G946" i="1" a="1"/>
  <c r="G946" i="1" s="1"/>
  <c r="G945" i="1" a="1"/>
  <c r="G945" i="1" s="1"/>
  <c r="G944" i="1" a="1"/>
  <c r="G944" i="1" s="1"/>
  <c r="G943" i="1" a="1"/>
  <c r="G943" i="1" s="1"/>
  <c r="G942" i="1" a="1"/>
  <c r="G942" i="1" s="1"/>
  <c r="G941" i="1" a="1"/>
  <c r="G941" i="1" s="1"/>
  <c r="G940" i="1" a="1"/>
  <c r="G940" i="1" s="1"/>
  <c r="G939" i="1" a="1"/>
  <c r="G939" i="1" s="1"/>
  <c r="G938" i="1" a="1"/>
  <c r="G938" i="1" s="1"/>
  <c r="G937" i="1" a="1"/>
  <c r="G937" i="1" s="1"/>
  <c r="G936" i="1" a="1"/>
  <c r="G936" i="1" s="1"/>
  <c r="G935" i="1" a="1"/>
  <c r="G935" i="1" s="1"/>
  <c r="G934" i="1" a="1"/>
  <c r="G934" i="1" s="1"/>
  <c r="G933" i="1" a="1"/>
  <c r="G933" i="1" s="1"/>
  <c r="G932" i="1" a="1"/>
  <c r="G932" i="1" s="1"/>
  <c r="G931" i="1" a="1"/>
  <c r="G931" i="1" s="1"/>
  <c r="G930" i="1" a="1"/>
  <c r="G930" i="1" s="1"/>
  <c r="G929" i="1" a="1"/>
  <c r="G929" i="1" s="1"/>
  <c r="G928" i="1" a="1"/>
  <c r="G928" i="1" s="1"/>
  <c r="G927" i="1" a="1"/>
  <c r="G927" i="1" s="1"/>
  <c r="G926" i="1" a="1"/>
  <c r="G926" i="1" s="1"/>
  <c r="G925" i="1" a="1"/>
  <c r="G925" i="1" s="1"/>
  <c r="G924" i="1" a="1"/>
  <c r="G924" i="1" s="1"/>
  <c r="G923" i="1" a="1"/>
  <c r="G923" i="1" s="1"/>
  <c r="G922" i="1" a="1"/>
  <c r="G922" i="1" s="1"/>
  <c r="G921" i="1" a="1"/>
  <c r="G921" i="1" s="1"/>
  <c r="G920" i="1" a="1"/>
  <c r="G920" i="1" s="1"/>
  <c r="G919" i="1" a="1"/>
  <c r="G919" i="1" s="1"/>
  <c r="G918" i="1" a="1"/>
  <c r="G918" i="1" s="1"/>
  <c r="G917" i="1" a="1"/>
  <c r="G917" i="1" s="1"/>
  <c r="G916" i="1" a="1"/>
  <c r="G916" i="1" s="1"/>
  <c r="G915" i="1" a="1"/>
  <c r="G915" i="1" s="1"/>
  <c r="G914" i="1" a="1"/>
  <c r="G914" i="1" s="1"/>
  <c r="G913" i="1" a="1"/>
  <c r="G913" i="1" s="1"/>
  <c r="G912" i="1" a="1"/>
  <c r="G912" i="1" s="1"/>
  <c r="G911" i="1" a="1"/>
  <c r="G911" i="1" s="1"/>
  <c r="G910" i="1" a="1"/>
  <c r="G910" i="1" s="1"/>
  <c r="G909" i="1" a="1"/>
  <c r="G909" i="1" s="1"/>
  <c r="G908" i="1" a="1"/>
  <c r="G908" i="1" s="1"/>
  <c r="G907" i="1" a="1"/>
  <c r="G907" i="1" s="1"/>
  <c r="G906" i="1" a="1"/>
  <c r="G906" i="1" s="1"/>
  <c r="G905" i="1" a="1"/>
  <c r="G905" i="1" s="1"/>
  <c r="G904" i="1" a="1"/>
  <c r="G904" i="1" s="1"/>
  <c r="G903" i="1" a="1"/>
  <c r="G903" i="1" s="1"/>
  <c r="G902" i="1" a="1"/>
  <c r="G902" i="1" s="1"/>
  <c r="G901" i="1" a="1"/>
  <c r="G901" i="1" s="1"/>
  <c r="G900" i="1" a="1"/>
  <c r="G900" i="1" s="1"/>
  <c r="G899" i="1" a="1"/>
  <c r="G899" i="1" s="1"/>
  <c r="G898" i="1" a="1"/>
  <c r="G898" i="1" s="1"/>
  <c r="G897" i="1" a="1"/>
  <c r="G897" i="1" s="1"/>
  <c r="G896" i="1" a="1"/>
  <c r="G896" i="1" s="1"/>
  <c r="G895" i="1" a="1"/>
  <c r="G895" i="1" s="1"/>
  <c r="G894" i="1" a="1"/>
  <c r="G894" i="1" s="1"/>
  <c r="G893" i="1" a="1"/>
  <c r="G893" i="1" s="1"/>
  <c r="G892" i="1" a="1"/>
  <c r="G892" i="1" s="1"/>
  <c r="G891" i="1" a="1"/>
  <c r="G891" i="1" s="1"/>
  <c r="G890" i="1" a="1"/>
  <c r="G890" i="1" s="1"/>
  <c r="G889" i="1" a="1"/>
  <c r="G889" i="1" s="1"/>
  <c r="G888" i="1" a="1"/>
  <c r="G888" i="1" s="1"/>
  <c r="G887" i="1" a="1"/>
  <c r="G887" i="1" s="1"/>
  <c r="G886" i="1" a="1"/>
  <c r="G886" i="1" s="1"/>
  <c r="G885" i="1" a="1"/>
  <c r="G885" i="1" s="1"/>
  <c r="G884" i="1" a="1"/>
  <c r="G884" i="1" s="1"/>
  <c r="G883" i="1" a="1"/>
  <c r="G883" i="1" s="1"/>
  <c r="G882" i="1" a="1"/>
  <c r="G882" i="1" s="1"/>
  <c r="G881" i="1" a="1"/>
  <c r="G881" i="1" s="1"/>
  <c r="G880" i="1" a="1"/>
  <c r="G880" i="1" s="1"/>
  <c r="G879" i="1" a="1"/>
  <c r="G879" i="1" s="1"/>
  <c r="G878" i="1" a="1"/>
  <c r="G878" i="1" s="1"/>
  <c r="G877" i="1" a="1"/>
  <c r="G877" i="1" s="1"/>
  <c r="G876" i="1" a="1"/>
  <c r="G876" i="1" s="1"/>
  <c r="G875" i="1" a="1"/>
  <c r="G875" i="1" s="1"/>
  <c r="G874" i="1" a="1"/>
  <c r="G874" i="1" s="1"/>
  <c r="G873" i="1" a="1"/>
  <c r="G873" i="1" s="1"/>
  <c r="G872" i="1" a="1"/>
  <c r="G872" i="1" s="1"/>
  <c r="G871" i="1" a="1"/>
  <c r="G871" i="1" s="1"/>
  <c r="G870" i="1" a="1"/>
  <c r="G870" i="1" s="1"/>
  <c r="G869" i="1" a="1"/>
  <c r="G869" i="1" s="1"/>
  <c r="G868" i="1" a="1"/>
  <c r="G868" i="1" s="1"/>
  <c r="G867" i="1" a="1"/>
  <c r="G867" i="1" s="1"/>
  <c r="G866" i="1" a="1"/>
  <c r="G866" i="1" s="1"/>
  <c r="G865" i="1" a="1"/>
  <c r="G865" i="1" s="1"/>
  <c r="G864" i="1" a="1"/>
  <c r="G864" i="1" s="1"/>
  <c r="G863" i="1" a="1"/>
  <c r="G863" i="1" s="1"/>
  <c r="G862" i="1" a="1"/>
  <c r="G862" i="1" s="1"/>
  <c r="G861" i="1" a="1"/>
  <c r="G861" i="1" s="1"/>
  <c r="G860" i="1" a="1"/>
  <c r="G860" i="1" s="1"/>
  <c r="G859" i="1" a="1"/>
  <c r="G859" i="1" s="1"/>
  <c r="G858" i="1" a="1"/>
  <c r="G858" i="1" s="1"/>
  <c r="G857" i="1" a="1"/>
  <c r="G857" i="1" s="1"/>
  <c r="G856" i="1" a="1"/>
  <c r="G856" i="1" s="1"/>
  <c r="G855" i="1" a="1"/>
  <c r="G855" i="1" s="1"/>
  <c r="G854" i="1" a="1"/>
  <c r="G854" i="1" s="1"/>
  <c r="G853" i="1" a="1"/>
  <c r="G853" i="1" s="1"/>
  <c r="G852" i="1" a="1"/>
  <c r="G852" i="1" s="1"/>
  <c r="G851" i="1" a="1"/>
  <c r="G851" i="1" s="1"/>
  <c r="G850" i="1" a="1"/>
  <c r="G850" i="1" s="1"/>
  <c r="G849" i="1" a="1"/>
  <c r="G849" i="1" s="1"/>
  <c r="G848" i="1" a="1"/>
  <c r="G848" i="1" s="1"/>
  <c r="G847" i="1" a="1"/>
  <c r="G847" i="1" s="1"/>
  <c r="G846" i="1" a="1"/>
  <c r="G846" i="1" s="1"/>
  <c r="G845" i="1" a="1"/>
  <c r="G845" i="1" s="1"/>
  <c r="G844" i="1" a="1"/>
  <c r="G844" i="1" s="1"/>
  <c r="G843" i="1" a="1"/>
  <c r="G843" i="1" s="1"/>
  <c r="G842" i="1" a="1"/>
  <c r="G842" i="1" s="1"/>
  <c r="G841" i="1" a="1"/>
  <c r="G841" i="1" s="1"/>
  <c r="G840" i="1" a="1"/>
  <c r="G840" i="1" s="1"/>
  <c r="G839" i="1" a="1"/>
  <c r="G839" i="1" s="1"/>
  <c r="G838" i="1" a="1"/>
  <c r="G838" i="1" s="1"/>
  <c r="G837" i="1" a="1"/>
  <c r="G837" i="1" s="1"/>
  <c r="G836" i="1" a="1"/>
  <c r="G836" i="1" s="1"/>
  <c r="G835" i="1" a="1"/>
  <c r="G835" i="1" s="1"/>
  <c r="G834" i="1" a="1"/>
  <c r="G834" i="1" s="1"/>
  <c r="G833" i="1" a="1"/>
  <c r="G833" i="1" s="1"/>
  <c r="G832" i="1" a="1"/>
  <c r="G832" i="1" s="1"/>
  <c r="G831" i="1" a="1"/>
  <c r="G831" i="1" s="1"/>
  <c r="G830" i="1" a="1"/>
  <c r="G830" i="1" s="1"/>
  <c r="G829" i="1" a="1"/>
  <c r="G829" i="1" s="1"/>
  <c r="G828" i="1" a="1"/>
  <c r="G828" i="1" s="1"/>
  <c r="G827" i="1" a="1"/>
  <c r="G827" i="1" s="1"/>
  <c r="G826" i="1" a="1"/>
  <c r="G826" i="1" s="1"/>
  <c r="G825" i="1" a="1"/>
  <c r="G825" i="1" s="1"/>
  <c r="G824" i="1" a="1"/>
  <c r="G824" i="1" s="1"/>
  <c r="G823" i="1" a="1"/>
  <c r="G823" i="1" s="1"/>
  <c r="G822" i="1" a="1"/>
  <c r="G822" i="1" s="1"/>
  <c r="G821" i="1" a="1"/>
  <c r="G821" i="1" s="1"/>
  <c r="G820" i="1" a="1"/>
  <c r="G820" i="1" s="1"/>
  <c r="G819" i="1" a="1"/>
  <c r="G819" i="1" s="1"/>
  <c r="G818" i="1" a="1"/>
  <c r="G818" i="1" s="1"/>
  <c r="G817" i="1" a="1"/>
  <c r="G817" i="1" s="1"/>
  <c r="G816" i="1" a="1"/>
  <c r="G816" i="1" s="1"/>
  <c r="G815" i="1" a="1"/>
  <c r="G815" i="1" s="1"/>
  <c r="G814" i="1" a="1"/>
  <c r="G814" i="1" s="1"/>
  <c r="G813" i="1" a="1"/>
  <c r="G813" i="1" s="1"/>
  <c r="G812" i="1" a="1"/>
  <c r="G812" i="1" s="1"/>
  <c r="G811" i="1" a="1"/>
  <c r="G811" i="1" s="1"/>
  <c r="G810" i="1" a="1"/>
  <c r="G810" i="1" s="1"/>
  <c r="G809" i="1" a="1"/>
  <c r="G809" i="1" s="1"/>
  <c r="G808" i="1" a="1"/>
  <c r="G808" i="1" s="1"/>
  <c r="G807" i="1" a="1"/>
  <c r="G807" i="1" s="1"/>
  <c r="G806" i="1" a="1"/>
  <c r="G806" i="1" s="1"/>
  <c r="G805" i="1" a="1"/>
  <c r="G805" i="1" s="1"/>
  <c r="G804" i="1" a="1"/>
  <c r="G804" i="1" s="1"/>
  <c r="G803" i="1" a="1"/>
  <c r="G803" i="1" s="1"/>
  <c r="G802" i="1" a="1"/>
  <c r="G802" i="1" s="1"/>
  <c r="G801" i="1" a="1"/>
  <c r="G801" i="1" s="1"/>
  <c r="G800" i="1" a="1"/>
  <c r="G800" i="1" s="1"/>
  <c r="G799" i="1" a="1"/>
  <c r="G799" i="1" s="1"/>
  <c r="G798" i="1" a="1"/>
  <c r="G798" i="1" s="1"/>
  <c r="G797" i="1" a="1"/>
  <c r="G797" i="1" s="1"/>
  <c r="G796" i="1" a="1"/>
  <c r="G796" i="1" s="1"/>
  <c r="G795" i="1" a="1"/>
  <c r="G795" i="1" s="1"/>
  <c r="G794" i="1" a="1"/>
  <c r="G794" i="1" s="1"/>
  <c r="G793" i="1" a="1"/>
  <c r="G793" i="1" s="1"/>
  <c r="G792" i="1" a="1"/>
  <c r="G792" i="1" s="1"/>
  <c r="G791" i="1" a="1"/>
  <c r="G791" i="1" s="1"/>
  <c r="G790" i="1" a="1"/>
  <c r="G790" i="1" s="1"/>
  <c r="G789" i="1" a="1"/>
  <c r="G789" i="1" s="1"/>
  <c r="G788" i="1" a="1"/>
  <c r="G788" i="1" s="1"/>
  <c r="G787" i="1" a="1"/>
  <c r="G787" i="1" s="1"/>
  <c r="G786" i="1" a="1"/>
  <c r="G786" i="1" s="1"/>
  <c r="G785" i="1" a="1"/>
  <c r="G785" i="1" s="1"/>
  <c r="G784" i="1" a="1"/>
  <c r="G784" i="1" s="1"/>
  <c r="G783" i="1" a="1"/>
  <c r="G783" i="1" s="1"/>
  <c r="G782" i="1" a="1"/>
  <c r="G782" i="1" s="1"/>
  <c r="G781" i="1" a="1"/>
  <c r="G781" i="1" s="1"/>
  <c r="G780" i="1" a="1"/>
  <c r="G780" i="1" s="1"/>
  <c r="G779" i="1" a="1"/>
  <c r="G779" i="1" s="1"/>
  <c r="G778" i="1" a="1"/>
  <c r="G778" i="1" s="1"/>
  <c r="G777" i="1" a="1"/>
  <c r="G777" i="1" s="1"/>
  <c r="G776" i="1" a="1"/>
  <c r="G776" i="1" s="1"/>
  <c r="G775" i="1" a="1"/>
  <c r="G775" i="1" s="1"/>
  <c r="G774" i="1" a="1"/>
  <c r="G774" i="1" s="1"/>
  <c r="G773" i="1" a="1"/>
  <c r="G773" i="1" s="1"/>
  <c r="G772" i="1" a="1"/>
  <c r="G772" i="1" s="1"/>
  <c r="G771" i="1" a="1"/>
  <c r="G771" i="1" s="1"/>
  <c r="G770" i="1" a="1"/>
  <c r="G770" i="1" s="1"/>
  <c r="G769" i="1" a="1"/>
  <c r="G769" i="1" s="1"/>
  <c r="G768" i="1" a="1"/>
  <c r="G768" i="1" s="1"/>
  <c r="G767" i="1" a="1"/>
  <c r="G767" i="1" s="1"/>
  <c r="G766" i="1" a="1"/>
  <c r="G766" i="1" s="1"/>
  <c r="G765" i="1" a="1"/>
  <c r="G765" i="1" s="1"/>
  <c r="G764" i="1" a="1"/>
  <c r="G764" i="1" s="1"/>
  <c r="G763" i="1" a="1"/>
  <c r="G763" i="1" s="1"/>
  <c r="G762" i="1" a="1"/>
  <c r="G762" i="1" s="1"/>
  <c r="G761" i="1" a="1"/>
  <c r="G761" i="1" s="1"/>
  <c r="G760" i="1" a="1"/>
  <c r="G760" i="1" s="1"/>
  <c r="G759" i="1" a="1"/>
  <c r="G759" i="1" s="1"/>
  <c r="G758" i="1" a="1"/>
  <c r="G758" i="1" s="1"/>
  <c r="G757" i="1" a="1"/>
  <c r="G757" i="1" s="1"/>
  <c r="G756" i="1" a="1"/>
  <c r="G756" i="1" s="1"/>
  <c r="G755" i="1" a="1"/>
  <c r="G755" i="1" s="1"/>
  <c r="G754" i="1" a="1"/>
  <c r="G754" i="1" s="1"/>
  <c r="G753" i="1" a="1"/>
  <c r="G753" i="1" s="1"/>
  <c r="G752" i="1" a="1"/>
  <c r="G752" i="1" s="1"/>
  <c r="G751" i="1" a="1"/>
  <c r="G751" i="1" s="1"/>
  <c r="G750" i="1" a="1"/>
  <c r="G750" i="1" s="1"/>
  <c r="G749" i="1" a="1"/>
  <c r="G749" i="1" s="1"/>
  <c r="G748" i="1" a="1"/>
  <c r="G748" i="1" s="1"/>
  <c r="G747" i="1" a="1"/>
  <c r="G747" i="1" s="1"/>
  <c r="G746" i="1" a="1"/>
  <c r="G746" i="1" s="1"/>
  <c r="G745" i="1" a="1"/>
  <c r="G745" i="1" s="1"/>
  <c r="G744" i="1" a="1"/>
  <c r="G744" i="1" s="1"/>
  <c r="G743" i="1" a="1"/>
  <c r="G743" i="1" s="1"/>
  <c r="G742" i="1" a="1"/>
  <c r="G742" i="1" s="1"/>
  <c r="G741" i="1" a="1"/>
  <c r="G741" i="1" s="1"/>
  <c r="G740" i="1" a="1"/>
  <c r="G740" i="1" s="1"/>
  <c r="G739" i="1" a="1"/>
  <c r="G739" i="1" s="1"/>
  <c r="G738" i="1" a="1"/>
  <c r="G738" i="1" s="1"/>
  <c r="G737" i="1" a="1"/>
  <c r="G737" i="1" s="1"/>
  <c r="G736" i="1" a="1"/>
  <c r="G736" i="1" s="1"/>
  <c r="G735" i="1" a="1"/>
  <c r="G735" i="1" s="1"/>
  <c r="G734" i="1" a="1"/>
  <c r="G734" i="1" s="1"/>
  <c r="G733" i="1" a="1"/>
  <c r="G733" i="1" s="1"/>
  <c r="G732" i="1" a="1"/>
  <c r="G732" i="1" s="1"/>
  <c r="G731" i="1" a="1"/>
  <c r="G731" i="1" s="1"/>
  <c r="G730" i="1" a="1"/>
  <c r="G730" i="1" s="1"/>
  <c r="G729" i="1" a="1"/>
  <c r="G729" i="1" s="1"/>
  <c r="G728" i="1" a="1"/>
  <c r="G728" i="1" s="1"/>
  <c r="G727" i="1" a="1"/>
  <c r="G727" i="1" s="1"/>
  <c r="G726" i="1" a="1"/>
  <c r="G726" i="1" s="1"/>
  <c r="G725" i="1" a="1"/>
  <c r="G725" i="1" s="1"/>
  <c r="G724" i="1" a="1"/>
  <c r="G724" i="1" s="1"/>
  <c r="G723" i="1" a="1"/>
  <c r="G723" i="1" s="1"/>
  <c r="G722" i="1" a="1"/>
  <c r="G722" i="1" s="1"/>
  <c r="G721" i="1" a="1"/>
  <c r="G721" i="1" s="1"/>
  <c r="G720" i="1" a="1"/>
  <c r="G720" i="1" s="1"/>
  <c r="G719" i="1" a="1"/>
  <c r="G719" i="1" s="1"/>
  <c r="G718" i="1" a="1"/>
  <c r="G718" i="1" s="1"/>
  <c r="G717" i="1" a="1"/>
  <c r="G717" i="1" s="1"/>
  <c r="G716" i="1" a="1"/>
  <c r="G716" i="1" s="1"/>
  <c r="G715" i="1" a="1"/>
  <c r="G715" i="1" s="1"/>
  <c r="G714" i="1" a="1"/>
  <c r="G714" i="1" s="1"/>
  <c r="G713" i="1" a="1"/>
  <c r="G713" i="1" s="1"/>
  <c r="G712" i="1" a="1"/>
  <c r="G712" i="1" s="1"/>
  <c r="G711" i="1" a="1"/>
  <c r="G711" i="1" s="1"/>
  <c r="G710" i="1" a="1"/>
  <c r="G710" i="1" s="1"/>
  <c r="G709" i="1" a="1"/>
  <c r="G709" i="1" s="1"/>
  <c r="G708" i="1" a="1"/>
  <c r="G708" i="1" s="1"/>
  <c r="G707" i="1" a="1"/>
  <c r="G707" i="1" s="1"/>
  <c r="G706" i="1" a="1"/>
  <c r="G706" i="1" s="1"/>
  <c r="G705" i="1" a="1"/>
  <c r="G705" i="1" s="1"/>
  <c r="G704" i="1" a="1"/>
  <c r="G704" i="1" s="1"/>
  <c r="G703" i="1" a="1"/>
  <c r="G703" i="1" s="1"/>
  <c r="G702" i="1" a="1"/>
  <c r="G702" i="1" s="1"/>
  <c r="G701" i="1" a="1"/>
  <c r="G701" i="1" s="1"/>
  <c r="G700" i="1" a="1"/>
  <c r="G700" i="1" s="1"/>
  <c r="G699" i="1" a="1"/>
  <c r="G699" i="1" s="1"/>
  <c r="G698" i="1" a="1"/>
  <c r="G698" i="1" s="1"/>
  <c r="G697" i="1" a="1"/>
  <c r="G697" i="1" s="1"/>
  <c r="G696" i="1" a="1"/>
  <c r="G696" i="1" s="1"/>
  <c r="G695" i="1" a="1"/>
  <c r="G695" i="1" s="1"/>
  <c r="G694" i="1" a="1"/>
  <c r="G694" i="1" s="1"/>
  <c r="G693" i="1" a="1"/>
  <c r="G693" i="1" s="1"/>
  <c r="G692" i="1" a="1"/>
  <c r="G692" i="1" s="1"/>
  <c r="G691" i="1" a="1"/>
  <c r="G691" i="1" s="1"/>
  <c r="G690" i="1" a="1"/>
  <c r="G690" i="1" s="1"/>
  <c r="G689" i="1" a="1"/>
  <c r="G689" i="1" s="1"/>
  <c r="G688" i="1" a="1"/>
  <c r="G688" i="1" s="1"/>
  <c r="G687" i="1" a="1"/>
  <c r="G687" i="1" s="1"/>
  <c r="G686" i="1" a="1"/>
  <c r="G686" i="1" s="1"/>
  <c r="G685" i="1" a="1"/>
  <c r="G685" i="1" s="1"/>
  <c r="G684" i="1" a="1"/>
  <c r="G684" i="1" s="1"/>
  <c r="G683" i="1" a="1"/>
  <c r="G683" i="1" s="1"/>
  <c r="G682" i="1" a="1"/>
  <c r="G682" i="1" s="1"/>
  <c r="G681" i="1" a="1"/>
  <c r="G681" i="1" s="1"/>
  <c r="G680" i="1" a="1"/>
  <c r="G680" i="1" s="1"/>
  <c r="G679" i="1" a="1"/>
  <c r="G679" i="1" s="1"/>
  <c r="G678" i="1" a="1"/>
  <c r="G678" i="1" s="1"/>
  <c r="G677" i="1" a="1"/>
  <c r="G677" i="1" s="1"/>
  <c r="G676" i="1" a="1"/>
  <c r="G676" i="1" s="1"/>
  <c r="G675" i="1" a="1"/>
  <c r="G675" i="1" s="1"/>
  <c r="G674" i="1" a="1"/>
  <c r="G674" i="1" s="1"/>
  <c r="G673" i="1" a="1"/>
  <c r="G673" i="1" s="1"/>
  <c r="G672" i="1" a="1"/>
  <c r="G672" i="1" s="1"/>
  <c r="G671" i="1" a="1"/>
  <c r="G671" i="1" s="1"/>
  <c r="G670" i="1" a="1"/>
  <c r="G670" i="1" s="1"/>
  <c r="G669" i="1" a="1"/>
  <c r="G669" i="1" s="1"/>
  <c r="G668" i="1" a="1"/>
  <c r="G668" i="1" s="1"/>
  <c r="G667" i="1" a="1"/>
  <c r="G667" i="1" s="1"/>
  <c r="G666" i="1" a="1"/>
  <c r="G666" i="1" s="1"/>
  <c r="G665" i="1" a="1"/>
  <c r="G665" i="1" s="1"/>
  <c r="G664" i="1" a="1"/>
  <c r="G664" i="1" s="1"/>
  <c r="G663" i="1" a="1"/>
  <c r="G663" i="1" s="1"/>
  <c r="G662" i="1" a="1"/>
  <c r="G662" i="1" s="1"/>
  <c r="G661" i="1" a="1"/>
  <c r="G661" i="1" s="1"/>
  <c r="G660" i="1" a="1"/>
  <c r="G660" i="1" s="1"/>
  <c r="G659" i="1" a="1"/>
  <c r="G659" i="1" s="1"/>
  <c r="G658" i="1" a="1"/>
  <c r="G658" i="1" s="1"/>
  <c r="G657" i="1" a="1"/>
  <c r="G657" i="1" s="1"/>
  <c r="G656" i="1" a="1"/>
  <c r="G656" i="1" s="1"/>
  <c r="G655" i="1" a="1"/>
  <c r="G655" i="1" s="1"/>
  <c r="G654" i="1" a="1"/>
  <c r="G654" i="1" s="1"/>
  <c r="G653" i="1" a="1"/>
  <c r="G653" i="1" s="1"/>
  <c r="G652" i="1" a="1"/>
  <c r="G652" i="1" s="1"/>
  <c r="G651" i="1" a="1"/>
  <c r="G651" i="1" s="1"/>
  <c r="G650" i="1" a="1"/>
  <c r="G650" i="1" s="1"/>
  <c r="G649" i="1" a="1"/>
  <c r="G649" i="1" s="1"/>
  <c r="G648" i="1" a="1"/>
  <c r="G648" i="1" s="1"/>
  <c r="G647" i="1" a="1"/>
  <c r="G647" i="1" s="1"/>
  <c r="G646" i="1" a="1"/>
  <c r="G646" i="1" s="1"/>
  <c r="G645" i="1" a="1"/>
  <c r="G645" i="1" s="1"/>
  <c r="G644" i="1" a="1"/>
  <c r="G644" i="1" s="1"/>
  <c r="G643" i="1" a="1"/>
  <c r="G643" i="1" s="1"/>
  <c r="G642" i="1" a="1"/>
  <c r="G642" i="1" s="1"/>
  <c r="G641" i="1" a="1"/>
  <c r="G641" i="1" s="1"/>
  <c r="G640" i="1" a="1"/>
  <c r="G640" i="1" s="1"/>
  <c r="G639" i="1" a="1"/>
  <c r="G639" i="1" s="1"/>
  <c r="G638" i="1" a="1"/>
  <c r="G638" i="1" s="1"/>
  <c r="G637" i="1" a="1"/>
  <c r="G637" i="1" s="1"/>
  <c r="G636" i="1" a="1"/>
  <c r="G636" i="1" s="1"/>
  <c r="G635" i="1" a="1"/>
  <c r="G635" i="1" s="1"/>
  <c r="G634" i="1" a="1"/>
  <c r="G634" i="1" s="1"/>
  <c r="G633" i="1" a="1"/>
  <c r="G633" i="1" s="1"/>
  <c r="G632" i="1" a="1"/>
  <c r="G632" i="1" s="1"/>
  <c r="G631" i="1" a="1"/>
  <c r="G631" i="1" s="1"/>
  <c r="G630" i="1" a="1"/>
  <c r="G630" i="1" s="1"/>
  <c r="G629" i="1" a="1"/>
  <c r="G629" i="1" s="1"/>
  <c r="G628" i="1" a="1"/>
  <c r="G628" i="1" s="1"/>
  <c r="G627" i="1" a="1"/>
  <c r="G627" i="1" s="1"/>
  <c r="G626" i="1" a="1"/>
  <c r="G626" i="1" s="1"/>
  <c r="G625" i="1" a="1"/>
  <c r="G625" i="1" s="1"/>
  <c r="G624" i="1" a="1"/>
  <c r="G624" i="1" s="1"/>
  <c r="G623" i="1" a="1"/>
  <c r="G623" i="1" s="1"/>
  <c r="G622" i="1" a="1"/>
  <c r="G622" i="1" s="1"/>
  <c r="G621" i="1" a="1"/>
  <c r="G621" i="1" s="1"/>
  <c r="G620" i="1" a="1"/>
  <c r="G620" i="1" s="1"/>
  <c r="G619" i="1" a="1"/>
  <c r="G619" i="1" s="1"/>
  <c r="G618" i="1" a="1"/>
  <c r="G618" i="1" s="1"/>
  <c r="G617" i="1" a="1"/>
  <c r="G617" i="1" s="1"/>
  <c r="G616" i="1" a="1"/>
  <c r="G616" i="1" s="1"/>
  <c r="G615" i="1" a="1"/>
  <c r="G615" i="1" s="1"/>
  <c r="G614" i="1" a="1"/>
  <c r="G614" i="1" s="1"/>
  <c r="G613" i="1" a="1"/>
  <c r="G613" i="1" s="1"/>
  <c r="G612" i="1" a="1"/>
  <c r="G612" i="1" s="1"/>
  <c r="G611" i="1" a="1"/>
  <c r="G611" i="1" s="1"/>
  <c r="G610" i="1" a="1"/>
  <c r="G610" i="1" s="1"/>
  <c r="G609" i="1" a="1"/>
  <c r="G609" i="1" s="1"/>
  <c r="G608" i="1" a="1"/>
  <c r="G608" i="1" s="1"/>
  <c r="G607" i="1" a="1"/>
  <c r="G607" i="1" s="1"/>
  <c r="G606" i="1" a="1"/>
  <c r="G606" i="1" s="1"/>
  <c r="G605" i="1" a="1"/>
  <c r="G605" i="1" s="1"/>
  <c r="G604" i="1" a="1"/>
  <c r="G604" i="1" s="1"/>
  <c r="G603" i="1" a="1"/>
  <c r="G603" i="1" s="1"/>
  <c r="G602" i="1" a="1"/>
  <c r="G602" i="1" s="1"/>
  <c r="G601" i="1" a="1"/>
  <c r="G601" i="1" s="1"/>
  <c r="G600" i="1" a="1"/>
  <c r="G600" i="1" s="1"/>
  <c r="G599" i="1" a="1"/>
  <c r="G599" i="1" s="1"/>
  <c r="G598" i="1" a="1"/>
  <c r="G598" i="1" s="1"/>
  <c r="G597" i="1" a="1"/>
  <c r="G597" i="1" s="1"/>
  <c r="G596" i="1" a="1"/>
  <c r="G596" i="1" s="1"/>
  <c r="G595" i="1" a="1"/>
  <c r="G595" i="1" s="1"/>
  <c r="G594" i="1" a="1"/>
  <c r="G594" i="1" s="1"/>
  <c r="G593" i="1" a="1"/>
  <c r="G593" i="1" s="1"/>
  <c r="G592" i="1" a="1"/>
  <c r="G592" i="1" s="1"/>
  <c r="G591" i="1" a="1"/>
  <c r="G591" i="1" s="1"/>
  <c r="G590" i="1" a="1"/>
  <c r="G590" i="1" s="1"/>
  <c r="G589" i="1" a="1"/>
  <c r="G589" i="1" s="1"/>
  <c r="G588" i="1" a="1"/>
  <c r="G588" i="1" s="1"/>
  <c r="G587" i="1" a="1"/>
  <c r="G587" i="1" s="1"/>
  <c r="G586" i="1" a="1"/>
  <c r="G586" i="1" s="1"/>
  <c r="G585" i="1" a="1"/>
  <c r="G585" i="1" s="1"/>
  <c r="G584" i="1" a="1"/>
  <c r="G584" i="1" s="1"/>
  <c r="G583" i="1" a="1"/>
  <c r="G583" i="1" s="1"/>
  <c r="G582" i="1" a="1"/>
  <c r="G582" i="1" s="1"/>
  <c r="G581" i="1" a="1"/>
  <c r="G581" i="1" s="1"/>
  <c r="G580" i="1" a="1"/>
  <c r="G580" i="1" s="1"/>
  <c r="G579" i="1" a="1"/>
  <c r="G579" i="1" s="1"/>
  <c r="G578" i="1" a="1"/>
  <c r="G578" i="1" s="1"/>
  <c r="G577" i="1" a="1"/>
  <c r="G577" i="1" s="1"/>
  <c r="G576" i="1" a="1"/>
  <c r="G576" i="1" s="1"/>
  <c r="G575" i="1" a="1"/>
  <c r="G575" i="1" s="1"/>
  <c r="G574" i="1" a="1"/>
  <c r="G574" i="1" s="1"/>
  <c r="G573" i="1" a="1"/>
  <c r="G573" i="1" s="1"/>
  <c r="G572" i="1" a="1"/>
  <c r="G572" i="1" s="1"/>
  <c r="G571" i="1" a="1"/>
  <c r="G571" i="1" s="1"/>
  <c r="G570" i="1" a="1"/>
  <c r="G570" i="1" s="1"/>
  <c r="G569" i="1" a="1"/>
  <c r="G569" i="1" s="1"/>
  <c r="G568" i="1" a="1"/>
  <c r="G568" i="1" s="1"/>
  <c r="G567" i="1" a="1"/>
  <c r="G567" i="1" s="1"/>
  <c r="G566" i="1" a="1"/>
  <c r="G566" i="1" s="1"/>
  <c r="G565" i="1" a="1"/>
  <c r="G565" i="1" s="1"/>
  <c r="G564" i="1" a="1"/>
  <c r="G564" i="1" s="1"/>
  <c r="G563" i="1" a="1"/>
  <c r="G563" i="1" s="1"/>
  <c r="G562" i="1" a="1"/>
  <c r="G562" i="1" s="1"/>
  <c r="G561" i="1" a="1"/>
  <c r="G561" i="1" s="1"/>
  <c r="G560" i="1" a="1"/>
  <c r="G560" i="1" s="1"/>
  <c r="G559" i="1" a="1"/>
  <c r="G559" i="1" s="1"/>
  <c r="G558" i="1" a="1"/>
  <c r="G558" i="1" s="1"/>
  <c r="G557" i="1" a="1"/>
  <c r="G557" i="1" s="1"/>
  <c r="G556" i="1" a="1"/>
  <c r="G556" i="1" s="1"/>
  <c r="G555" i="1" a="1"/>
  <c r="G555" i="1" s="1"/>
  <c r="G554" i="1" a="1"/>
  <c r="G554" i="1" s="1"/>
  <c r="G553" i="1" a="1"/>
  <c r="G553" i="1" s="1"/>
  <c r="G552" i="1" a="1"/>
  <c r="G552" i="1" s="1"/>
  <c r="G551" i="1" a="1"/>
  <c r="G551" i="1" s="1"/>
  <c r="G550" i="1" a="1"/>
  <c r="G550" i="1" s="1"/>
  <c r="G549" i="1" a="1"/>
  <c r="G549" i="1" s="1"/>
  <c r="G548" i="1" a="1"/>
  <c r="G548" i="1" s="1"/>
  <c r="G547" i="1" a="1"/>
  <c r="G547" i="1" s="1"/>
  <c r="G546" i="1" a="1"/>
  <c r="G546" i="1" s="1"/>
  <c r="G545" i="1" a="1"/>
  <c r="G545" i="1" s="1"/>
  <c r="G544" i="1" a="1"/>
  <c r="G544" i="1" s="1"/>
  <c r="G543" i="1" a="1"/>
  <c r="G543" i="1" s="1"/>
  <c r="G542" i="1" a="1"/>
  <c r="G542" i="1" s="1"/>
  <c r="G541" i="1" a="1"/>
  <c r="G541" i="1" s="1"/>
  <c r="G540" i="1" a="1"/>
  <c r="G540" i="1" s="1"/>
  <c r="G539" i="1" a="1"/>
  <c r="G539" i="1" s="1"/>
  <c r="G538" i="1" a="1"/>
  <c r="G538" i="1" s="1"/>
  <c r="G537" i="1" a="1"/>
  <c r="G537" i="1" s="1"/>
  <c r="G536" i="1" a="1"/>
  <c r="G536" i="1" s="1"/>
  <c r="G535" i="1" a="1"/>
  <c r="G535" i="1" s="1"/>
  <c r="G534" i="1" a="1"/>
  <c r="G534" i="1" s="1"/>
  <c r="G533" i="1" a="1"/>
  <c r="G533" i="1" s="1"/>
  <c r="G532" i="1" a="1"/>
  <c r="G532" i="1" s="1"/>
  <c r="G531" i="1" a="1"/>
  <c r="G531" i="1" s="1"/>
  <c r="G530" i="1" a="1"/>
  <c r="G530" i="1" s="1"/>
  <c r="G529" i="1" a="1"/>
  <c r="G529" i="1" s="1"/>
  <c r="G528" i="1" a="1"/>
  <c r="G528" i="1" s="1"/>
  <c r="G527" i="1" a="1"/>
  <c r="G527" i="1" s="1"/>
  <c r="G526" i="1" a="1"/>
  <c r="G526" i="1" s="1"/>
  <c r="G525" i="1" a="1"/>
  <c r="G525" i="1" s="1"/>
  <c r="G524" i="1" a="1"/>
  <c r="G524" i="1" s="1"/>
  <c r="G523" i="1" a="1"/>
  <c r="G523" i="1" s="1"/>
  <c r="G522" i="1" a="1"/>
  <c r="G522" i="1" s="1"/>
  <c r="G521" i="1" a="1"/>
  <c r="G521" i="1" s="1"/>
  <c r="G520" i="1" a="1"/>
  <c r="G520" i="1" s="1"/>
  <c r="G519" i="1" a="1"/>
  <c r="G519" i="1" s="1"/>
  <c r="G518" i="1" a="1"/>
  <c r="G518" i="1" s="1"/>
  <c r="G517" i="1" a="1"/>
  <c r="G517" i="1" s="1"/>
  <c r="G516" i="1" a="1"/>
  <c r="G516" i="1" s="1"/>
  <c r="G515" i="1" a="1"/>
  <c r="G515" i="1" s="1"/>
  <c r="G514" i="1" a="1"/>
  <c r="G514" i="1" s="1"/>
  <c r="G513" i="1" a="1"/>
  <c r="G513" i="1" s="1"/>
  <c r="G512" i="1" a="1"/>
  <c r="G512" i="1" s="1"/>
  <c r="G511" i="1" a="1"/>
  <c r="G511" i="1" s="1"/>
  <c r="G510" i="1" a="1"/>
  <c r="G510" i="1" s="1"/>
  <c r="G509" i="1" a="1"/>
  <c r="G509" i="1" s="1"/>
  <c r="G508" i="1" a="1"/>
  <c r="G508" i="1" s="1"/>
  <c r="G507" i="1" a="1"/>
  <c r="G507" i="1" s="1"/>
  <c r="G506" i="1" a="1"/>
  <c r="G506" i="1" s="1"/>
  <c r="G505" i="1" a="1"/>
  <c r="G505" i="1" s="1"/>
  <c r="G504" i="1" a="1"/>
  <c r="G504" i="1" s="1"/>
  <c r="G503" i="1" a="1"/>
  <c r="G503" i="1" s="1"/>
  <c r="G502" i="1" a="1"/>
  <c r="G502" i="1" s="1"/>
  <c r="G501" i="1" a="1"/>
  <c r="G501" i="1" s="1"/>
  <c r="G500" i="1" a="1"/>
  <c r="G500" i="1" s="1"/>
  <c r="G499" i="1" a="1"/>
  <c r="G499" i="1" s="1"/>
  <c r="G498" i="1" a="1"/>
  <c r="G498" i="1" s="1"/>
  <c r="G497" i="1" a="1"/>
  <c r="G497" i="1" s="1"/>
  <c r="G496" i="1" a="1"/>
  <c r="G496" i="1" s="1"/>
  <c r="G495" i="1" a="1"/>
  <c r="G495" i="1" s="1"/>
  <c r="G494" i="1" a="1"/>
  <c r="G494" i="1" s="1"/>
  <c r="G493" i="1" a="1"/>
  <c r="G493" i="1" s="1"/>
  <c r="G492" i="1" a="1"/>
  <c r="G492" i="1" s="1"/>
  <c r="G491" i="1" a="1"/>
  <c r="G491" i="1" s="1"/>
  <c r="G490" i="1" a="1"/>
  <c r="G490" i="1" s="1"/>
  <c r="G489" i="1" a="1"/>
  <c r="G489" i="1" s="1"/>
  <c r="G488" i="1" a="1"/>
  <c r="G488" i="1" s="1"/>
  <c r="G487" i="1" a="1"/>
  <c r="G487" i="1" s="1"/>
  <c r="G486" i="1" a="1"/>
  <c r="G486" i="1" s="1"/>
  <c r="G485" i="1" a="1"/>
  <c r="G485" i="1" s="1"/>
  <c r="G484" i="1" a="1"/>
  <c r="G484" i="1" s="1"/>
  <c r="G483" i="1" a="1"/>
  <c r="G483" i="1" s="1"/>
  <c r="G482" i="1" a="1"/>
  <c r="G482" i="1" s="1"/>
  <c r="G481" i="1" a="1"/>
  <c r="G481" i="1" s="1"/>
  <c r="G480" i="1" a="1"/>
  <c r="G480" i="1" s="1"/>
  <c r="G479" i="1" a="1"/>
  <c r="G479" i="1" s="1"/>
  <c r="G478" i="1" a="1"/>
  <c r="G478" i="1" s="1"/>
  <c r="G477" i="1" a="1"/>
  <c r="G477" i="1" s="1"/>
  <c r="G476" i="1" a="1"/>
  <c r="G476" i="1" s="1"/>
  <c r="G475" i="1" a="1"/>
  <c r="G475" i="1" s="1"/>
  <c r="G474" i="1" a="1"/>
  <c r="G474" i="1" s="1"/>
  <c r="G473" i="1" a="1"/>
  <c r="G473" i="1" s="1"/>
  <c r="G472" i="1" a="1"/>
  <c r="G472" i="1" s="1"/>
  <c r="G471" i="1" a="1"/>
  <c r="G471" i="1" s="1"/>
  <c r="G470" i="1" a="1"/>
  <c r="G470" i="1" s="1"/>
  <c r="G469" i="1" a="1"/>
  <c r="G469" i="1" s="1"/>
  <c r="G468" i="1" a="1"/>
  <c r="G468" i="1" s="1"/>
  <c r="G467" i="1" a="1"/>
  <c r="G467" i="1" s="1"/>
  <c r="G466" i="1" a="1"/>
  <c r="G466" i="1" s="1"/>
  <c r="G465" i="1" a="1"/>
  <c r="G465" i="1" s="1"/>
  <c r="G464" i="1" a="1"/>
  <c r="G464" i="1" s="1"/>
  <c r="G463" i="1" a="1"/>
  <c r="G463" i="1" s="1"/>
  <c r="G462" i="1" a="1"/>
  <c r="G462" i="1" s="1"/>
  <c r="G461" i="1" a="1"/>
  <c r="G461" i="1" s="1"/>
  <c r="G460" i="1" a="1"/>
  <c r="G460" i="1" s="1"/>
  <c r="G459" i="1" a="1"/>
  <c r="G459" i="1" s="1"/>
  <c r="G458" i="1" a="1"/>
  <c r="G458" i="1" s="1"/>
  <c r="G457" i="1" a="1"/>
  <c r="G457" i="1" s="1"/>
  <c r="G456" i="1" a="1"/>
  <c r="G456" i="1" s="1"/>
  <c r="G455" i="1" a="1"/>
  <c r="G455" i="1" s="1"/>
  <c r="G454" i="1" a="1"/>
  <c r="G454" i="1" s="1"/>
  <c r="G453" i="1" a="1"/>
  <c r="G453" i="1" s="1"/>
  <c r="G452" i="1" a="1"/>
  <c r="G452" i="1" s="1"/>
  <c r="G451" i="1" a="1"/>
  <c r="G451" i="1" s="1"/>
  <c r="G450" i="1" a="1"/>
  <c r="G450" i="1" s="1"/>
  <c r="G449" i="1" a="1"/>
  <c r="G449" i="1" s="1"/>
  <c r="G448" i="1" a="1"/>
  <c r="G448" i="1" s="1"/>
  <c r="G447" i="1" a="1"/>
  <c r="G447" i="1" s="1"/>
  <c r="G446" i="1" a="1"/>
  <c r="G446" i="1" s="1"/>
  <c r="G445" i="1" a="1"/>
  <c r="G445" i="1" s="1"/>
  <c r="G444" i="1" a="1"/>
  <c r="G444" i="1" s="1"/>
  <c r="G443" i="1" a="1"/>
  <c r="G443" i="1" s="1"/>
  <c r="G442" i="1" a="1"/>
  <c r="G442" i="1" s="1"/>
  <c r="G441" i="1" a="1"/>
  <c r="G441" i="1" s="1"/>
  <c r="G440" i="1" a="1"/>
  <c r="G440" i="1" s="1"/>
  <c r="G439" i="1" a="1"/>
  <c r="G439" i="1" s="1"/>
  <c r="G438" i="1" a="1"/>
  <c r="G438" i="1" s="1"/>
  <c r="G437" i="1" a="1"/>
  <c r="G437" i="1" s="1"/>
  <c r="G436" i="1" a="1"/>
  <c r="G436" i="1" s="1"/>
  <c r="G435" i="1" a="1"/>
  <c r="G435" i="1" s="1"/>
  <c r="G434" i="1" a="1"/>
  <c r="G434" i="1" s="1"/>
  <c r="G433" i="1" a="1"/>
  <c r="G433" i="1" s="1"/>
  <c r="G432" i="1" a="1"/>
  <c r="G432" i="1" s="1"/>
  <c r="G431" i="1" a="1"/>
  <c r="G431" i="1" s="1"/>
  <c r="G430" i="1" a="1"/>
  <c r="G430" i="1" s="1"/>
  <c r="G429" i="1" a="1"/>
  <c r="G429" i="1" s="1"/>
  <c r="G428" i="1" a="1"/>
  <c r="G428" i="1" s="1"/>
  <c r="G427" i="1" a="1"/>
  <c r="G427" i="1" s="1"/>
  <c r="G426" i="1" a="1"/>
  <c r="G426" i="1" s="1"/>
  <c r="G425" i="1" a="1"/>
  <c r="G425" i="1" s="1"/>
  <c r="G424" i="1" a="1"/>
  <c r="G424" i="1" s="1"/>
  <c r="G423" i="1" a="1"/>
  <c r="G423" i="1" s="1"/>
  <c r="G422" i="1" a="1"/>
  <c r="G422" i="1" s="1"/>
  <c r="G421" i="1" a="1"/>
  <c r="G421" i="1" s="1"/>
  <c r="G420" i="1" a="1"/>
  <c r="G420" i="1" s="1"/>
  <c r="G419" i="1" a="1"/>
  <c r="G419" i="1" s="1"/>
  <c r="G418" i="1" a="1"/>
  <c r="G418" i="1" s="1"/>
  <c r="G417" i="1" a="1"/>
  <c r="G417" i="1" s="1"/>
  <c r="G416" i="1" a="1"/>
  <c r="G416" i="1" s="1"/>
  <c r="G415" i="1" a="1"/>
  <c r="G415" i="1" s="1"/>
  <c r="G414" i="1" a="1"/>
  <c r="G414" i="1" s="1"/>
  <c r="G413" i="1" a="1"/>
  <c r="G413" i="1" s="1"/>
  <c r="G412" i="1" a="1"/>
  <c r="G412" i="1" s="1"/>
  <c r="G411" i="1" a="1"/>
  <c r="G411" i="1" s="1"/>
  <c r="G410" i="1" a="1"/>
  <c r="G410" i="1" s="1"/>
  <c r="G409" i="1" a="1"/>
  <c r="G409" i="1" s="1"/>
  <c r="G408" i="1" a="1"/>
  <c r="G408" i="1" s="1"/>
  <c r="G407" i="1" a="1"/>
  <c r="G407" i="1" s="1"/>
  <c r="G406" i="1" a="1"/>
  <c r="G406" i="1" s="1"/>
  <c r="G405" i="1" a="1"/>
  <c r="G405" i="1" s="1"/>
  <c r="G404" i="1" a="1"/>
  <c r="G404" i="1" s="1"/>
  <c r="G403" i="1" a="1"/>
  <c r="G403" i="1" s="1"/>
  <c r="G402" i="1" a="1"/>
  <c r="G402" i="1" s="1"/>
  <c r="G401" i="1" a="1"/>
  <c r="G401" i="1" s="1"/>
  <c r="G400" i="1" a="1"/>
  <c r="G400" i="1" s="1"/>
  <c r="G399" i="1" a="1"/>
  <c r="G399" i="1" s="1"/>
  <c r="G398" i="1" a="1"/>
  <c r="G398" i="1" s="1"/>
  <c r="G397" i="1" a="1"/>
  <c r="G397" i="1" s="1"/>
  <c r="G396" i="1" a="1"/>
  <c r="G396" i="1" s="1"/>
  <c r="G395" i="1" a="1"/>
  <c r="G395" i="1" s="1"/>
  <c r="G394" i="1" a="1"/>
  <c r="G394" i="1" s="1"/>
  <c r="G393" i="1" a="1"/>
  <c r="G393" i="1" s="1"/>
  <c r="G392" i="1" a="1"/>
  <c r="G392" i="1" s="1"/>
  <c r="G391" i="1" a="1"/>
  <c r="G391" i="1" s="1"/>
  <c r="G390" i="1" a="1"/>
  <c r="G390" i="1" s="1"/>
  <c r="G389" i="1" a="1"/>
  <c r="G389" i="1" s="1"/>
  <c r="G388" i="1" a="1"/>
  <c r="G388" i="1" s="1"/>
  <c r="G387" i="1" a="1"/>
  <c r="G387" i="1" s="1"/>
  <c r="G386" i="1" a="1"/>
  <c r="G386" i="1" s="1"/>
  <c r="G385" i="1" a="1"/>
  <c r="G385" i="1" s="1"/>
  <c r="G384" i="1" a="1"/>
  <c r="G384" i="1" s="1"/>
  <c r="G383" i="1" a="1"/>
  <c r="G383" i="1" s="1"/>
  <c r="G382" i="1" a="1"/>
  <c r="G382" i="1" s="1"/>
  <c r="G381" i="1" a="1"/>
  <c r="G381" i="1" s="1"/>
  <c r="G380" i="1" a="1"/>
  <c r="G380" i="1" s="1"/>
  <c r="G379" i="1" a="1"/>
  <c r="G379" i="1" s="1"/>
  <c r="G378" i="1" a="1"/>
  <c r="G378" i="1" s="1"/>
  <c r="G377" i="1" a="1"/>
  <c r="G377" i="1" s="1"/>
  <c r="G376" i="1" a="1"/>
  <c r="G376" i="1" s="1"/>
  <c r="G375" i="1" a="1"/>
  <c r="G375" i="1" s="1"/>
  <c r="G374" i="1" a="1"/>
  <c r="G374" i="1" s="1"/>
  <c r="G373" i="1" a="1"/>
  <c r="G373" i="1" s="1"/>
  <c r="G372" i="1" a="1"/>
  <c r="G372" i="1" s="1"/>
  <c r="G371" i="1" a="1"/>
  <c r="G371" i="1" s="1"/>
  <c r="G370" i="1" a="1"/>
  <c r="G370" i="1" s="1"/>
  <c r="G369" i="1" a="1"/>
  <c r="G369" i="1" s="1"/>
  <c r="G368" i="1" a="1"/>
  <c r="G368" i="1" s="1"/>
  <c r="G367" i="1" a="1"/>
  <c r="G367" i="1" s="1"/>
  <c r="G366" i="1" a="1"/>
  <c r="G366" i="1" s="1"/>
  <c r="G365" i="1" a="1"/>
  <c r="G365" i="1" s="1"/>
  <c r="G364" i="1" a="1"/>
  <c r="G364" i="1" s="1"/>
  <c r="G363" i="1" a="1"/>
  <c r="G363" i="1" s="1"/>
  <c r="G362" i="1" a="1"/>
  <c r="G362" i="1" s="1"/>
  <c r="G361" i="1" a="1"/>
  <c r="G361" i="1" s="1"/>
  <c r="G360" i="1" a="1"/>
  <c r="G360" i="1" s="1"/>
  <c r="G359" i="1" a="1"/>
  <c r="G359" i="1" s="1"/>
  <c r="G358" i="1" a="1"/>
  <c r="G358" i="1" s="1"/>
  <c r="G357" i="1" a="1"/>
  <c r="G357" i="1" s="1"/>
  <c r="G356" i="1" a="1"/>
  <c r="G356" i="1" s="1"/>
  <c r="G355" i="1" a="1"/>
  <c r="G355" i="1" s="1"/>
  <c r="G354" i="1" a="1"/>
  <c r="G354" i="1" s="1"/>
  <c r="G353" i="1" a="1"/>
  <c r="G353" i="1" s="1"/>
  <c r="G352" i="1" a="1"/>
  <c r="G352" i="1" s="1"/>
  <c r="G351" i="1" a="1"/>
  <c r="G351" i="1" s="1"/>
  <c r="G350" i="1" a="1"/>
  <c r="G350" i="1" s="1"/>
  <c r="G349" i="1" a="1"/>
  <c r="G349" i="1" s="1"/>
  <c r="G348" i="1" a="1"/>
  <c r="G348" i="1" s="1"/>
  <c r="G347" i="1" a="1"/>
  <c r="G347" i="1" s="1"/>
  <c r="G346" i="1" a="1"/>
  <c r="G346" i="1" s="1"/>
  <c r="G345" i="1" a="1"/>
  <c r="G345" i="1" s="1"/>
  <c r="G344" i="1" a="1"/>
  <c r="G344" i="1" s="1"/>
  <c r="G343" i="1" a="1"/>
  <c r="G343" i="1" s="1"/>
  <c r="G342" i="1" a="1"/>
  <c r="G342" i="1" s="1"/>
  <c r="G341" i="1" a="1"/>
  <c r="G341" i="1" s="1"/>
  <c r="G340" i="1" a="1"/>
  <c r="G340" i="1" s="1"/>
  <c r="G339" i="1" a="1"/>
  <c r="G339" i="1" s="1"/>
  <c r="G338" i="1" a="1"/>
  <c r="G338" i="1" s="1"/>
  <c r="G337" i="1" a="1"/>
  <c r="G337" i="1" s="1"/>
  <c r="G336" i="1" a="1"/>
  <c r="G336" i="1" s="1"/>
  <c r="G335" i="1" a="1"/>
  <c r="G335" i="1" s="1"/>
  <c r="G334" i="1" a="1"/>
  <c r="G334" i="1" s="1"/>
  <c r="G333" i="1" a="1"/>
  <c r="G333" i="1" s="1"/>
  <c r="G332" i="1" a="1"/>
  <c r="G332" i="1" s="1"/>
  <c r="G331" i="1" a="1"/>
  <c r="G331" i="1" s="1"/>
  <c r="G330" i="1" a="1"/>
  <c r="G330" i="1" s="1"/>
  <c r="G329" i="1" a="1"/>
  <c r="G329" i="1" s="1"/>
  <c r="G328" i="1" a="1"/>
  <c r="G328" i="1" s="1"/>
  <c r="G327" i="1" a="1"/>
  <c r="G327" i="1" s="1"/>
  <c r="G326" i="1" a="1"/>
  <c r="G326" i="1" s="1"/>
  <c r="G325" i="1" a="1"/>
  <c r="G325" i="1" s="1"/>
  <c r="G324" i="1" a="1"/>
  <c r="G324" i="1" s="1"/>
  <c r="G323" i="1" a="1"/>
  <c r="G323" i="1" s="1"/>
  <c r="G322" i="1" a="1"/>
  <c r="G322" i="1" s="1"/>
  <c r="G321" i="1" a="1"/>
  <c r="G321" i="1" s="1"/>
  <c r="G320" i="1" a="1"/>
  <c r="G320" i="1" s="1"/>
  <c r="G319" i="1" a="1"/>
  <c r="G319" i="1" s="1"/>
  <c r="G318" i="1" a="1"/>
  <c r="G318" i="1" s="1"/>
  <c r="G317" i="1" a="1"/>
  <c r="G317" i="1" s="1"/>
  <c r="G316" i="1" a="1"/>
  <c r="G316" i="1" s="1"/>
  <c r="G315" i="1" a="1"/>
  <c r="G315" i="1" s="1"/>
  <c r="G314" i="1" a="1"/>
  <c r="G314" i="1" s="1"/>
  <c r="G313" i="1" a="1"/>
  <c r="G313" i="1" s="1"/>
  <c r="G312" i="1" a="1"/>
  <c r="G312" i="1" s="1"/>
  <c r="G311" i="1" a="1"/>
  <c r="G311" i="1" s="1"/>
  <c r="G310" i="1" a="1"/>
  <c r="G310" i="1" s="1"/>
  <c r="G309" i="1" a="1"/>
  <c r="G309" i="1" s="1"/>
  <c r="G308" i="1" a="1"/>
  <c r="G308" i="1" s="1"/>
  <c r="G307" i="1" a="1"/>
  <c r="G307" i="1" s="1"/>
  <c r="G306" i="1" a="1"/>
  <c r="G306" i="1" s="1"/>
  <c r="G305" i="1" a="1"/>
  <c r="G305" i="1" s="1"/>
  <c r="G304" i="1" a="1"/>
  <c r="G304" i="1" s="1"/>
  <c r="G303" i="1" a="1"/>
  <c r="G303" i="1" s="1"/>
  <c r="G302" i="1" a="1"/>
  <c r="G302" i="1" s="1"/>
  <c r="G301" i="1" a="1"/>
  <c r="G301" i="1" s="1"/>
  <c r="G300" i="1" a="1"/>
  <c r="G300" i="1" s="1"/>
  <c r="G299" i="1" a="1"/>
  <c r="G299" i="1" s="1"/>
  <c r="G298" i="1" a="1"/>
  <c r="G298" i="1" s="1"/>
  <c r="G297" i="1" a="1"/>
  <c r="G297" i="1" s="1"/>
  <c r="G296" i="1" a="1"/>
  <c r="G296" i="1" s="1"/>
  <c r="G295" i="1" a="1"/>
  <c r="G295" i="1" s="1"/>
  <c r="G294" i="1" a="1"/>
  <c r="G294" i="1" s="1"/>
  <c r="G293" i="1" a="1"/>
  <c r="G293" i="1" s="1"/>
  <c r="G292" i="1" a="1"/>
  <c r="G292" i="1" s="1"/>
  <c r="G291" i="1" a="1"/>
  <c r="G291" i="1" s="1"/>
  <c r="G290" i="1" a="1"/>
  <c r="G290" i="1" s="1"/>
  <c r="G289" i="1" a="1"/>
  <c r="G289" i="1" s="1"/>
  <c r="G288" i="1" a="1"/>
  <c r="G288" i="1" s="1"/>
  <c r="G287" i="1" a="1"/>
  <c r="G287" i="1" s="1"/>
  <c r="G286" i="1" a="1"/>
  <c r="G286" i="1" s="1"/>
  <c r="G285" i="1" a="1"/>
  <c r="G285" i="1" s="1"/>
  <c r="G284" i="1" a="1"/>
  <c r="G284" i="1" s="1"/>
  <c r="G283" i="1" a="1"/>
  <c r="G283" i="1" s="1"/>
  <c r="G282" i="1" a="1"/>
  <c r="G282" i="1" s="1"/>
  <c r="G281" i="1" a="1"/>
  <c r="G281" i="1" s="1"/>
  <c r="G280" i="1" a="1"/>
  <c r="G280" i="1" s="1"/>
  <c r="G279" i="1" a="1"/>
  <c r="G279" i="1" s="1"/>
  <c r="G278" i="1" a="1"/>
  <c r="G278" i="1" s="1"/>
  <c r="G277" i="1" a="1"/>
  <c r="G277" i="1" s="1"/>
  <c r="G276" i="1" a="1"/>
  <c r="G276" i="1" s="1"/>
  <c r="G275" i="1" a="1"/>
  <c r="G275" i="1" s="1"/>
  <c r="G274" i="1" a="1"/>
  <c r="G274" i="1" s="1"/>
  <c r="G273" i="1" a="1"/>
  <c r="G273" i="1" s="1"/>
  <c r="G272" i="1" a="1"/>
  <c r="G272" i="1" s="1"/>
  <c r="G271" i="1" a="1"/>
  <c r="G271" i="1" s="1"/>
  <c r="G270" i="1" a="1"/>
  <c r="G270" i="1" s="1"/>
  <c r="G269" i="1" a="1"/>
  <c r="G269" i="1" s="1"/>
  <c r="G268" i="1" a="1"/>
  <c r="G268" i="1" s="1"/>
  <c r="G267" i="1" a="1"/>
  <c r="G267" i="1" s="1"/>
  <c r="G266" i="1" a="1"/>
  <c r="G266" i="1" s="1"/>
  <c r="G265" i="1" a="1"/>
  <c r="G265" i="1" s="1"/>
  <c r="G264" i="1" a="1"/>
  <c r="G264" i="1" s="1"/>
  <c r="G263" i="1" a="1"/>
  <c r="G263" i="1" s="1"/>
  <c r="G262" i="1" a="1"/>
  <c r="G262" i="1" s="1"/>
  <c r="G261" i="1" a="1"/>
  <c r="G261" i="1" s="1"/>
  <c r="G260" i="1" a="1"/>
  <c r="G260" i="1" s="1"/>
  <c r="G259" i="1" a="1"/>
  <c r="G259" i="1" s="1"/>
  <c r="G258" i="1" a="1"/>
  <c r="G258" i="1" s="1"/>
  <c r="G257" i="1" a="1"/>
  <c r="G257" i="1" s="1"/>
  <c r="G256" i="1" a="1"/>
  <c r="G256" i="1" s="1"/>
  <c r="G255" i="1" a="1"/>
  <c r="G255" i="1" s="1"/>
  <c r="G254" i="1" a="1"/>
  <c r="G254" i="1" s="1"/>
  <c r="G253" i="1" a="1"/>
  <c r="G253" i="1" s="1"/>
  <c r="G252" i="1" a="1"/>
  <c r="G252" i="1" s="1"/>
  <c r="G251" i="1" a="1"/>
  <c r="G251" i="1" s="1"/>
  <c r="G250" i="1" a="1"/>
  <c r="G250" i="1" s="1"/>
  <c r="G249" i="1" a="1"/>
  <c r="G249" i="1" s="1"/>
  <c r="G248" i="1" a="1"/>
  <c r="G248" i="1" s="1"/>
  <c r="G247" i="1" a="1"/>
  <c r="G247" i="1" s="1"/>
  <c r="G246" i="1" a="1"/>
  <c r="G246" i="1" s="1"/>
  <c r="G245" i="1" a="1"/>
  <c r="G245" i="1" s="1"/>
  <c r="G244" i="1" a="1"/>
  <c r="G244" i="1" s="1"/>
  <c r="G243" i="1" a="1"/>
  <c r="G243" i="1" s="1"/>
  <c r="G242" i="1" a="1"/>
  <c r="G242" i="1" s="1"/>
  <c r="G241" i="1" a="1"/>
  <c r="G241" i="1" s="1"/>
  <c r="G240" i="1" a="1"/>
  <c r="G240" i="1" s="1"/>
  <c r="G239" i="1" a="1"/>
  <c r="G239" i="1" s="1"/>
  <c r="G238" i="1" a="1"/>
  <c r="G238" i="1" s="1"/>
  <c r="G237" i="1" a="1"/>
  <c r="G237" i="1" s="1"/>
  <c r="G236" i="1" a="1"/>
  <c r="G236" i="1" s="1"/>
  <c r="G235" i="1" a="1"/>
  <c r="G235" i="1" s="1"/>
  <c r="G234" i="1" a="1"/>
  <c r="G234" i="1" s="1"/>
  <c r="G233" i="1" a="1"/>
  <c r="G233" i="1" s="1"/>
  <c r="G232" i="1" a="1"/>
  <c r="G232" i="1" s="1"/>
  <c r="G231" i="1" a="1"/>
  <c r="G231" i="1" s="1"/>
  <c r="G230" i="1" a="1"/>
  <c r="G230" i="1" s="1"/>
  <c r="G229" i="1" a="1"/>
  <c r="G229" i="1" s="1"/>
  <c r="G228" i="1" a="1"/>
  <c r="G228" i="1" s="1"/>
  <c r="G227" i="1" a="1"/>
  <c r="G227" i="1" s="1"/>
  <c r="G226" i="1" a="1"/>
  <c r="G226" i="1" s="1"/>
  <c r="G225" i="1" a="1"/>
  <c r="G225" i="1" s="1"/>
  <c r="G224" i="1" a="1"/>
  <c r="G224" i="1" s="1"/>
  <c r="G223" i="1" a="1"/>
  <c r="G223" i="1" s="1"/>
  <c r="G222" i="1" a="1"/>
  <c r="G222" i="1" s="1"/>
  <c r="G221" i="1" a="1"/>
  <c r="G221" i="1" s="1"/>
  <c r="G220" i="1" a="1"/>
  <c r="G220" i="1" s="1"/>
  <c r="G219" i="1" a="1"/>
  <c r="G219" i="1" s="1"/>
  <c r="G218" i="1" a="1"/>
  <c r="G218" i="1" s="1"/>
  <c r="G217" i="1" a="1"/>
  <c r="G217" i="1" s="1"/>
  <c r="G216" i="1" a="1"/>
  <c r="G216" i="1" s="1"/>
  <c r="G215" i="1" a="1"/>
  <c r="G215" i="1" s="1"/>
  <c r="G214" i="1" a="1"/>
  <c r="G214" i="1" s="1"/>
  <c r="G213" i="1" a="1"/>
  <c r="G213" i="1" s="1"/>
  <c r="G212" i="1" a="1"/>
  <c r="G212" i="1" s="1"/>
  <c r="G211" i="1" a="1"/>
  <c r="G211" i="1" s="1"/>
  <c r="G210" i="1" a="1"/>
  <c r="G210" i="1" s="1"/>
  <c r="G209" i="1" a="1"/>
  <c r="G209" i="1" s="1"/>
  <c r="G208" i="1" a="1"/>
  <c r="G208" i="1" s="1"/>
  <c r="G207" i="1" a="1"/>
  <c r="G207" i="1" s="1"/>
  <c r="G206" i="1" a="1"/>
  <c r="G206" i="1" s="1"/>
  <c r="G205" i="1" a="1"/>
  <c r="G205" i="1" s="1"/>
  <c r="G204" i="1" a="1"/>
  <c r="G204" i="1" s="1"/>
  <c r="G203" i="1" a="1"/>
  <c r="G203" i="1" s="1"/>
  <c r="G202" i="1" a="1"/>
  <c r="G202" i="1" s="1"/>
  <c r="G201" i="1" a="1"/>
  <c r="G201" i="1" s="1"/>
  <c r="G200" i="1" a="1"/>
  <c r="G200" i="1" s="1"/>
  <c r="G199" i="1" a="1"/>
  <c r="G199" i="1" s="1"/>
  <c r="G198" i="1" a="1"/>
  <c r="G198" i="1" s="1"/>
  <c r="G197" i="1" a="1"/>
  <c r="G197" i="1" s="1"/>
  <c r="G196" i="1" a="1"/>
  <c r="G196" i="1" s="1"/>
  <c r="G195" i="1" a="1"/>
  <c r="G195" i="1" s="1"/>
  <c r="G194" i="1" a="1"/>
  <c r="G194" i="1" s="1"/>
  <c r="G193" i="1" a="1"/>
  <c r="G193" i="1" s="1"/>
  <c r="G192" i="1" a="1"/>
  <c r="G192" i="1" s="1"/>
  <c r="G191" i="1" a="1"/>
  <c r="G191" i="1" s="1"/>
  <c r="G190" i="1" a="1"/>
  <c r="G190" i="1" s="1"/>
  <c r="G189" i="1" a="1"/>
  <c r="G189" i="1" s="1"/>
  <c r="G188" i="1" a="1"/>
  <c r="G188" i="1" s="1"/>
  <c r="G187" i="1" a="1"/>
  <c r="G187" i="1" s="1"/>
  <c r="G186" i="1" a="1"/>
  <c r="G186" i="1" s="1"/>
  <c r="G185" i="1" a="1"/>
  <c r="G185" i="1" s="1"/>
  <c r="G184" i="1" a="1"/>
  <c r="G184" i="1" s="1"/>
  <c r="G183" i="1" a="1"/>
  <c r="G183" i="1" s="1"/>
  <c r="G182" i="1" a="1"/>
  <c r="G182" i="1" s="1"/>
  <c r="G181" i="1" a="1"/>
  <c r="G181" i="1" s="1"/>
  <c r="G180" i="1" a="1"/>
  <c r="G180" i="1" s="1"/>
  <c r="G179" i="1" a="1"/>
  <c r="G179" i="1" s="1"/>
  <c r="G178" i="1" a="1"/>
  <c r="G178" i="1" s="1"/>
  <c r="G177" i="1" a="1"/>
  <c r="G177" i="1" s="1"/>
  <c r="G176" i="1" a="1"/>
  <c r="G176" i="1" s="1"/>
  <c r="G175" i="1" a="1"/>
  <c r="G175" i="1" s="1"/>
  <c r="G174" i="1" a="1"/>
  <c r="G174" i="1" s="1"/>
  <c r="G173" i="1" a="1"/>
  <c r="G173" i="1" s="1"/>
  <c r="G172" i="1" a="1"/>
  <c r="G172" i="1" s="1"/>
  <c r="G171" i="1" a="1"/>
  <c r="G171" i="1" s="1"/>
  <c r="G170" i="1" a="1"/>
  <c r="G170" i="1" s="1"/>
  <c r="G169" i="1" a="1"/>
  <c r="G169" i="1" s="1"/>
  <c r="G168" i="1" a="1"/>
  <c r="G168" i="1" s="1"/>
  <c r="G167" i="1" a="1"/>
  <c r="G167" i="1" s="1"/>
  <c r="G166" i="1" a="1"/>
  <c r="G166" i="1" s="1"/>
  <c r="G165" i="1" a="1"/>
  <c r="G165" i="1" s="1"/>
  <c r="G164" i="1" a="1"/>
  <c r="G164" i="1" s="1"/>
  <c r="G163" i="1" a="1"/>
  <c r="G163" i="1" s="1"/>
  <c r="G162" i="1" a="1"/>
  <c r="G162" i="1" s="1"/>
  <c r="G161" i="1" a="1"/>
  <c r="G161" i="1" s="1"/>
  <c r="G160" i="1" a="1"/>
  <c r="G160" i="1" s="1"/>
  <c r="G159" i="1" a="1"/>
  <c r="G159" i="1" s="1"/>
  <c r="G158" i="1" a="1"/>
  <c r="G158" i="1" s="1"/>
  <c r="G157" i="1" a="1"/>
  <c r="G157" i="1" s="1"/>
  <c r="G156" i="1" a="1"/>
  <c r="G156" i="1" s="1"/>
  <c r="G155" i="1" a="1"/>
  <c r="G155" i="1" s="1"/>
  <c r="G154" i="1" a="1"/>
  <c r="G154" i="1" s="1"/>
  <c r="G153" i="1" a="1"/>
  <c r="G153" i="1" s="1"/>
  <c r="G152" i="1" a="1"/>
  <c r="G152" i="1" s="1"/>
  <c r="G151" i="1" a="1"/>
  <c r="G151" i="1" s="1"/>
  <c r="G150" i="1" a="1"/>
  <c r="G150" i="1" s="1"/>
  <c r="G149" i="1" a="1"/>
  <c r="G149" i="1" s="1"/>
  <c r="G148" i="1" a="1"/>
  <c r="G148" i="1" s="1"/>
  <c r="G147" i="1" a="1"/>
  <c r="G147" i="1" s="1"/>
  <c r="G146" i="1" a="1"/>
  <c r="G146" i="1" s="1"/>
  <c r="G145" i="1" a="1"/>
  <c r="G145" i="1" s="1"/>
  <c r="G144" i="1" a="1"/>
  <c r="G144" i="1" s="1"/>
  <c r="G143" i="1" a="1"/>
  <c r="G143" i="1" s="1"/>
  <c r="G142" i="1" a="1"/>
  <c r="G142" i="1" s="1"/>
  <c r="G141" i="1" a="1"/>
  <c r="G141" i="1" s="1"/>
  <c r="G140" i="1" a="1"/>
  <c r="G140" i="1" s="1"/>
  <c r="G139" i="1" a="1"/>
  <c r="G139" i="1" s="1"/>
  <c r="G138" i="1" a="1"/>
  <c r="G138" i="1" s="1"/>
  <c r="G137" i="1" a="1"/>
  <c r="G137" i="1" s="1"/>
  <c r="G136" i="1" a="1"/>
  <c r="G136" i="1" s="1"/>
  <c r="G135" i="1" a="1"/>
  <c r="G135" i="1" s="1"/>
  <c r="G134" i="1" a="1"/>
  <c r="G134" i="1" s="1"/>
  <c r="G133" i="1" a="1"/>
  <c r="G133" i="1" s="1"/>
  <c r="G132" i="1" a="1"/>
  <c r="G132" i="1" s="1"/>
  <c r="G131" i="1" a="1"/>
  <c r="G131" i="1" s="1"/>
  <c r="G130" i="1" a="1"/>
  <c r="G130" i="1" s="1"/>
  <c r="G129" i="1" a="1"/>
  <c r="G129" i="1" s="1"/>
  <c r="G128" i="1" a="1"/>
  <c r="G128" i="1" s="1"/>
  <c r="G127" i="1" a="1"/>
  <c r="G127" i="1" s="1"/>
  <c r="G126" i="1" a="1"/>
  <c r="G126" i="1" s="1"/>
  <c r="G125" i="1" a="1"/>
  <c r="G125" i="1" s="1"/>
  <c r="G124" i="1" a="1"/>
  <c r="G124" i="1" s="1"/>
  <c r="G123" i="1" a="1"/>
  <c r="G123" i="1" s="1"/>
  <c r="G122" i="1" a="1"/>
  <c r="G122" i="1" s="1"/>
  <c r="G121" i="1" a="1"/>
  <c r="G121" i="1" s="1"/>
  <c r="G120" i="1" a="1"/>
  <c r="G120" i="1" s="1"/>
  <c r="G119" i="1" a="1"/>
  <c r="G119" i="1" s="1"/>
  <c r="G118" i="1" a="1"/>
  <c r="G118" i="1" s="1"/>
  <c r="G117" i="1" a="1"/>
  <c r="G117" i="1" s="1"/>
  <c r="G116" i="1" a="1"/>
  <c r="G116" i="1" s="1"/>
  <c r="G115" i="1" a="1"/>
  <c r="G115" i="1" s="1"/>
  <c r="G114" i="1" a="1"/>
  <c r="G114" i="1" s="1"/>
  <c r="G113" i="1" a="1"/>
  <c r="G113" i="1" s="1"/>
  <c r="G112" i="1" a="1"/>
  <c r="G112" i="1" s="1"/>
  <c r="G111" i="1" a="1"/>
  <c r="G111" i="1" s="1"/>
  <c r="G110" i="1" a="1"/>
  <c r="G110" i="1" s="1"/>
  <c r="G109" i="1" a="1"/>
  <c r="G109" i="1" s="1"/>
  <c r="G108" i="1" a="1"/>
  <c r="G108" i="1" s="1"/>
  <c r="G107" i="1" a="1"/>
  <c r="G107" i="1" s="1"/>
  <c r="G106" i="1" a="1"/>
  <c r="G106" i="1" s="1"/>
  <c r="G105" i="1" a="1"/>
  <c r="G105" i="1" s="1"/>
  <c r="G104" i="1" a="1"/>
  <c r="G104" i="1" s="1"/>
  <c r="G103" i="1" a="1"/>
  <c r="G103" i="1" s="1"/>
  <c r="G102" i="1" a="1"/>
  <c r="G102" i="1" s="1"/>
  <c r="G101" i="1" a="1"/>
  <c r="G101" i="1" s="1"/>
  <c r="G100" i="1" a="1"/>
  <c r="G100" i="1" s="1"/>
  <c r="G99" i="1" a="1"/>
  <c r="G99" i="1" s="1"/>
  <c r="G98" i="1" a="1"/>
  <c r="G98" i="1" s="1"/>
  <c r="G97" i="1" a="1"/>
  <c r="G97" i="1" s="1"/>
  <c r="G96" i="1" a="1"/>
  <c r="G96" i="1" s="1"/>
  <c r="G95" i="1" a="1"/>
  <c r="G95" i="1" s="1"/>
  <c r="G94" i="1" a="1"/>
  <c r="G94" i="1" s="1"/>
  <c r="G93" i="1" a="1"/>
  <c r="G93" i="1" s="1"/>
  <c r="G92" i="1" a="1"/>
  <c r="G92" i="1" s="1"/>
  <c r="G91" i="1" a="1"/>
  <c r="G91" i="1" s="1"/>
  <c r="G90" i="1" a="1"/>
  <c r="G90" i="1" s="1"/>
  <c r="G89" i="1" a="1"/>
  <c r="G89" i="1" s="1"/>
  <c r="G88" i="1" a="1"/>
  <c r="G88" i="1" s="1"/>
  <c r="G87" i="1" a="1"/>
  <c r="G87" i="1" s="1"/>
  <c r="G86" i="1" a="1"/>
  <c r="G86" i="1" s="1"/>
  <c r="G85" i="1" a="1"/>
  <c r="G85" i="1" s="1"/>
  <c r="G84" i="1" a="1"/>
  <c r="G84" i="1" s="1"/>
  <c r="G83" i="1" a="1"/>
  <c r="G83" i="1" s="1"/>
  <c r="G82" i="1" a="1"/>
  <c r="G82" i="1" s="1"/>
  <c r="G81" i="1" a="1"/>
  <c r="G81" i="1" s="1"/>
  <c r="G80" i="1" a="1"/>
  <c r="G80" i="1" s="1"/>
  <c r="G79" i="1" a="1"/>
  <c r="G79" i="1" s="1"/>
  <c r="G78" i="1" a="1"/>
  <c r="G78" i="1" s="1"/>
  <c r="G77" i="1" a="1"/>
  <c r="G77" i="1" s="1"/>
  <c r="G76" i="1" a="1"/>
  <c r="G76" i="1" s="1"/>
  <c r="G75" i="1" a="1"/>
  <c r="G75" i="1" s="1"/>
  <c r="G74" i="1" a="1"/>
  <c r="G74" i="1" s="1"/>
  <c r="G73" i="1" a="1"/>
  <c r="G73" i="1" s="1"/>
  <c r="G72" i="1" a="1"/>
  <c r="G72" i="1" s="1"/>
  <c r="G71" i="1" a="1"/>
  <c r="G71" i="1" s="1"/>
  <c r="G70" i="1" a="1"/>
  <c r="G70" i="1" s="1"/>
  <c r="G69" i="1" a="1"/>
  <c r="G69" i="1" s="1"/>
  <c r="G68" i="1" a="1"/>
  <c r="G68" i="1" s="1"/>
  <c r="G67" i="1" a="1"/>
  <c r="G67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G50" i="1" a="1"/>
  <c r="G50" i="1" s="1"/>
  <c r="G49" i="1" a="1"/>
  <c r="G49" i="1" s="1"/>
  <c r="G48" i="1" a="1"/>
  <c r="G48" i="1" s="1"/>
  <c r="G47" i="1" a="1"/>
  <c r="G47" i="1" s="1"/>
  <c r="G46" i="1" a="1"/>
  <c r="G46" i="1" s="1"/>
  <c r="G45" i="1" a="1"/>
  <c r="G45" i="1" s="1"/>
  <c r="G44" i="1" a="1"/>
  <c r="G44" i="1" s="1"/>
  <c r="G43" i="1" a="1"/>
  <c r="G43" i="1" s="1"/>
  <c r="G42" i="1" a="1"/>
  <c r="G42" i="1" s="1"/>
  <c r="G41" i="1" a="1"/>
  <c r="G41" i="1" s="1"/>
  <c r="G40" i="1" a="1"/>
  <c r="G40" i="1" s="1"/>
  <c r="G39" i="1" a="1"/>
  <c r="G39" i="1" s="1"/>
  <c r="G38" i="1" a="1"/>
  <c r="G38" i="1" s="1"/>
  <c r="G37" i="1" a="1"/>
  <c r="G37" i="1" s="1"/>
  <c r="G36" i="1" a="1"/>
  <c r="G36" i="1" s="1"/>
  <c r="G35" i="1" a="1"/>
  <c r="G35" i="1" s="1"/>
  <c r="G34" i="1" a="1"/>
  <c r="G34" i="1" s="1"/>
  <c r="G33" i="1" a="1"/>
  <c r="G33" i="1" s="1"/>
  <c r="G32" i="1" a="1"/>
  <c r="G32" i="1" s="1"/>
  <c r="G31" i="1" a="1"/>
  <c r="G31" i="1" s="1"/>
  <c r="G30" i="1" a="1"/>
  <c r="G30" i="1" s="1"/>
  <c r="G29" i="1" a="1"/>
  <c r="G29" i="1" s="1"/>
  <c r="G28" i="1" a="1"/>
  <c r="G28" i="1" s="1"/>
  <c r="G27" i="1" a="1"/>
  <c r="G27" i="1" s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7" i="1" a="1"/>
  <c r="G7" i="1" s="1"/>
  <c r="G6" i="1" a="1"/>
  <c r="G6" i="1" s="1"/>
  <c r="G5" i="1" a="1"/>
  <c r="G5" i="1" s="1"/>
  <c r="G4" i="1" a="1"/>
  <c r="G4" i="1" s="1"/>
  <c r="G3" i="1" a="1"/>
  <c r="G3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<sst xmlns="http://schemas.openxmlformats.org/spreadsheetml/2006/main" count="4703" uniqueCount="1592">
  <si>
    <t>Details</t>
  </si>
  <si>
    <t>Posting Date</t>
  </si>
  <si>
    <t>Description</t>
  </si>
  <si>
    <t>Amount</t>
  </si>
  <si>
    <t>Type</t>
  </si>
  <si>
    <t>Balance</t>
  </si>
  <si>
    <t>DEBIT</t>
  </si>
  <si>
    <t>POS DEBIT                UBER * EATS PENDING       SAN FRANCISC CA</t>
  </si>
  <si>
    <t>MISC_DEBIT</t>
  </si>
  <si>
    <t xml:space="preserve"> </t>
  </si>
  <si>
    <t>POS DEBIT                6DAYWEIGHT* 6DAYWEIGHT    +18187829038 CA                                                                                                                                                                                                                                                                        0089</t>
  </si>
  <si>
    <t>POS DEBIT                Prime Video Channels     amzn.com/bil  WA                                                                                                                                                                                                                                                                        0360</t>
  </si>
  <si>
    <t>POS DEBIT                Amazon Tips              Amzn.com/bil  WA                                                                                                                                                                                                                                                                        0360</t>
  </si>
  <si>
    <t>UBER   * EATS PENDIN SAN FRANCISCO CA148376  07/07</t>
  </si>
  <si>
    <t>DEBIT_CARD</t>
  </si>
  <si>
    <t>WITHDRAWAL 07/07</t>
  </si>
  <si>
    <t>AMAZON RETA* XR6945C WWW.AMAZON.CO WA        07/07</t>
  </si>
  <si>
    <t>SP VALASTA LLC VALASTA.NET SC                07/06</t>
  </si>
  <si>
    <t>GRANDVIEW CLEANERS LOS ANGELES CA            07/06</t>
  </si>
  <si>
    <t>Amazon Tips*SA10C2A4 Amzn.com/bill WA        07/06</t>
  </si>
  <si>
    <t>AMAZON RETA* WC81L6V WWW.AMAZON.CO WA        07/06</t>
  </si>
  <si>
    <t>AMAZON RETA* TR3I78I WWW.AMAZON.CO WA        07/07</t>
  </si>
  <si>
    <t>AMAZON RETA* 7S20V2V WWW.AMAZON.CO WA        07/07</t>
  </si>
  <si>
    <t>Amazon.com*J13TY12U3 Amzn.com/bill WA        07/06</t>
  </si>
  <si>
    <t>AMAZON RETA* TN0B08X WWW.AMAZON.CO WA        07/06</t>
  </si>
  <si>
    <t>DSLIP</t>
  </si>
  <si>
    <t>DEPOSIT  ID NUMBER 891007</t>
  </si>
  <si>
    <t>DEPOSIT</t>
  </si>
  <si>
    <t>GOOGLE *YouTubePremi g.co/helppay# CA        07/06</t>
  </si>
  <si>
    <t>PSYCHOLOGY TODAY PSYCHOLOGYTOD SD            07/06</t>
  </si>
  <si>
    <t>AMAZON RETA* LR5KR13 WWW.AMAZON.CO WA        07/06</t>
  </si>
  <si>
    <t>Amazon.com*FZ7ZB7T93 Amzn.com/bill WA        07/05</t>
  </si>
  <si>
    <t>UBER   * EATS PENDIN SAN FRANCISCO CA016634  07/04</t>
  </si>
  <si>
    <t>AMAZON MKTPL*AI5BJ94 Amzn.com/bill WA        07/05</t>
  </si>
  <si>
    <t>CVS/PHARMACY #09 09493 MAR VISTA CA  284618  07/04</t>
  </si>
  <si>
    <t>Amazon Tips*N313827D Amzn.com/bill WA        07/03</t>
  </si>
  <si>
    <t>APPLE.COM/BILL 866-712-7753 CA               07/03</t>
  </si>
  <si>
    <t>CREDIT</t>
  </si>
  <si>
    <t>Online Transfer from CHK ...1168 transaction#: 29908753752</t>
  </si>
  <si>
    <t>ACCT_XFER</t>
  </si>
  <si>
    <t>POSHMARK 6504887740 CA                       07/03</t>
  </si>
  <si>
    <t>HANDY J CAR WASH LOS ANGELES CA              07/02</t>
  </si>
  <si>
    <t>BASHAR COMM/BASHARTV BASHAR.ORG CA           07/02</t>
  </si>
  <si>
    <t>AMAZON MKTPL*R46FN6W Amzn.com/bill WA        07/02</t>
  </si>
  <si>
    <t>AMERICAN AIR00175226946 FORT WORTH TX        06/29</t>
  </si>
  <si>
    <t>CVS/PHARMACY #09 09493 MAR VISTA CA  997267  07/02</t>
  </si>
  <si>
    <t>UBER   * EATS PENDIN SAN FRANCISCO CA088759  07/02</t>
  </si>
  <si>
    <t>ATM WITHDRAWAL                       000260  07/0212335 VEN</t>
  </si>
  <si>
    <t>ATM</t>
  </si>
  <si>
    <t>CVS/PHARMACY #09 09493 MAR VISTA CA  280472  07/02</t>
  </si>
  <si>
    <t>Amazon.com*WB45K3Y53 Amzn.com/bill WA        07/02</t>
  </si>
  <si>
    <t>UBER   * EATS PENDIN SAN FRANCISCO CA088408  07/01</t>
  </si>
  <si>
    <t>COSTCO *ANNUAL RENEWA 800-774-2678 WA        07/01</t>
  </si>
  <si>
    <t>TM *DANCING PLAGUE 800-653-8000 CA           07/02</t>
  </si>
  <si>
    <t>eBay O*18-14829-94569 San Jose CA            07/02</t>
  </si>
  <si>
    <t>ANTHROPOLOGIE.COM ANTHROPOLOGIE PA           07/01</t>
  </si>
  <si>
    <t>AMAZON MARK* VN0HF7Y AMAZON.COM/MA WA        07/01</t>
  </si>
  <si>
    <t>AMERICAN AIR00183256376 FORT WORTH TX        06/29</t>
  </si>
  <si>
    <t>AMERICAN AIR00175227588 FORT WORTH TX        06/29</t>
  </si>
  <si>
    <t>Zelle payment from MARY MARGARET TRAHAN 29839835263</t>
  </si>
  <si>
    <t>QUICKPAY_CREDIT</t>
  </si>
  <si>
    <t>Zelle payment from ROSE LI 29839322238</t>
  </si>
  <si>
    <t>AMAZON RETA* BL9XO77S3 SEATTLE WA            06/29</t>
  </si>
  <si>
    <t>Online Transfer to CHK ...6975 transaction#: 29819580180 06/30</t>
  </si>
  <si>
    <t>BLUE SHIELD CALIFORNI 800-393-6130 CA        06/30</t>
  </si>
  <si>
    <t>PENTESTER.COM PENTESTER.COM FL               06/30</t>
  </si>
  <si>
    <t>SP OLYXIR OLYXIR.COM CA                      06/30</t>
  </si>
  <si>
    <t>Amazon Tips*3M32N0E0 Amzn.com/bill WA        06/29</t>
  </si>
  <si>
    <t>AMERICAN AIR00106516145 FORT WORTH TX        06/29</t>
  </si>
  <si>
    <t>Zelle payment from JOE SAUNDERS 29824654044</t>
  </si>
  <si>
    <t>Online Transfer from CHK ...1168 transaction#: 29819579019</t>
  </si>
  <si>
    <t>FOREIGN EXCHANGE RATE ADJUSTMENT FEE         06/27393507-20</t>
  </si>
  <si>
    <t>FEE_TRANSACTION</t>
  </si>
  <si>
    <t>AMAZON RETA* GU9A85D WWW.AMAZON.CO WA        06/29</t>
  </si>
  <si>
    <t>AMAZON RETA* RO6CS3S WWW.AMAZON.CO WA        06/29</t>
  </si>
  <si>
    <t>AMAZON MARK* BS1O08O AMAZON.COM/MA WA        06/29</t>
  </si>
  <si>
    <t>APPLE.COM/BILL 866-712-7753 CA               06/28</t>
  </si>
  <si>
    <t>CVSExtraCare 80074672 800-746-7287 RI        06/28</t>
  </si>
  <si>
    <t>Audible*ZD92Q0IS3 Amzn.com/bill NJ           06/28</t>
  </si>
  <si>
    <t>UBER   * EATS PENDIN SAN FRANCISCO CA137293  06/27</t>
  </si>
  <si>
    <t>Amazon.com*3B7P258H3 Amzn.com/bill WA        06/28</t>
  </si>
  <si>
    <t>Etsy.com*Multiple Shop ETSY.COM NY           06/27</t>
  </si>
  <si>
    <t>POSHMARK 6504887740 CA                       06/27</t>
  </si>
  <si>
    <t>Mutzel Nutrition LLC 866-2510001 WA          06/27</t>
  </si>
  <si>
    <t>393507-2025-178251 WWW. FIRENZE              06/27 Euro       200.14 X 1.143599 (EXCHG RTE)</t>
  </si>
  <si>
    <t>SPACEWEATHERNEWS.COM SPACEWEATHERN CO        06/26</t>
  </si>
  <si>
    <t>NTTA ONLINE 972-818-6882 TX                  06/26</t>
  </si>
  <si>
    <t>Prime Video Channels amzn.com/bill WA        06/26</t>
  </si>
  <si>
    <t>AMAZON RETA* 3Z0TG2Z WWW.AMAZON.CO WA        06/27</t>
  </si>
  <si>
    <t>AMAZON MKTPL*Z16Y00L Amzn.com/bill WA        06/27</t>
  </si>
  <si>
    <t>APPLE CASH SENT MONE 1INFINITELOOP CA        06/27</t>
  </si>
  <si>
    <t>AMERICAN AIR00183256085 FORT WORTH TX        06/25</t>
  </si>
  <si>
    <t>AMERICAN AIR00175225217 FORT WORTH TX        06/25</t>
  </si>
  <si>
    <t>Zelle payment from MARY MARGARET TRAHAN 29803463233</t>
  </si>
  <si>
    <t>Online Payment 29774788280 To SAFECO INSURANCE COMPANY 06/26</t>
  </si>
  <si>
    <t>BILLPAY</t>
  </si>
  <si>
    <t>Online Payment 29774744272 To SOUTHERN CALIFORNIA GAS CO 06/26</t>
  </si>
  <si>
    <t>Online Payment 29774770627 To LOS ANGELES MUNICIPAL SERVICE 06/26</t>
  </si>
  <si>
    <t>Online Payment 29774748173 To FRONTIER TELEPHONE 06/26</t>
  </si>
  <si>
    <t>Online Payment 29774706227 To AMERICAN EDUCATION SERVICES 06/26</t>
  </si>
  <si>
    <t>Online Transfer to CHK ...6975 transaction#: 29774723313 06/26</t>
  </si>
  <si>
    <t>AMAZON RETA* YH8M69L WWW.AMAZON.CO WA        06/26</t>
  </si>
  <si>
    <t>EXPEDIA 73482433432458 EXPEDIA.COM WA        06/26</t>
  </si>
  <si>
    <t>GRANDVIEW CLEANERS LOS ANGELES CA            06/25</t>
  </si>
  <si>
    <t>AMAZON MKTPL*9Q5E18E Amzn.com/bill WA        06/26</t>
  </si>
  <si>
    <t>Zelle payment from TANYA MILLER HNA0K752C3E1</t>
  </si>
  <si>
    <t>PARTNERFI_TO_CHASE</t>
  </si>
  <si>
    <t>Online Transfer from CHK ...1168 transaction#: 29774731269</t>
  </si>
  <si>
    <t>ATM WITHDRAWAL                       006780  06/2512335 VEN</t>
  </si>
  <si>
    <t>Amazon.com*033796A73 Amzn.com/bill WA        06/25</t>
  </si>
  <si>
    <t>TM *HAUNT ME 800-653-8000 CA                 06/25</t>
  </si>
  <si>
    <t>LUKE UNFILTERED WEARECHANGE.O FL             06/25</t>
  </si>
  <si>
    <t>AMAZON PRIME*3M2G959 Amzn.com/bill WA        06/24</t>
  </si>
  <si>
    <t>PAVILIONS #2105 MARINA DEL RE CA             06/24</t>
  </si>
  <si>
    <t>ATT*BILL PAYMENT 800-288-2020 TX             06/24</t>
  </si>
  <si>
    <t>NTTA AUTOCHARGE 972-818-6882 TX              06/24</t>
  </si>
  <si>
    <t>ATM CHECK DEPOSIT 06/25 12335 VENICE BLVD LOS ANGELES CA</t>
  </si>
  <si>
    <t>ATM_DEPOSIT</t>
  </si>
  <si>
    <t>UBER   * EATS PENDIN SAN FRANCISCO CA027289  06/24</t>
  </si>
  <si>
    <t>AMAZON RETA* 9368655 WWW.AMAZON.CO WA        06/24</t>
  </si>
  <si>
    <t>APPLE.COM/BILL 866-712-7753 CA               06/23</t>
  </si>
  <si>
    <t>Amazon Tips*NR6DG7YR Amzn.com/bill WA        06/23</t>
  </si>
  <si>
    <t>AMAZON MARK* 1N82O53 AMAZON.COM/MA WA        06/24</t>
  </si>
  <si>
    <t>Online Transfer from CHK ...1168 transaction#: 29742796206</t>
  </si>
  <si>
    <t>EXPEDIA 73480326774661 EXPEDIA.COM WA        06/23</t>
  </si>
  <si>
    <t>AMAZON MARK* 1J44B5X AMAZON.COM/MA WA        06/23</t>
  </si>
  <si>
    <t>Amazon.com*6P9LF14O3 Amzn.com/bill WA        06/22</t>
  </si>
  <si>
    <t>FRESH PRESSED OLIVE OI 888-9634582 NY        06/22</t>
  </si>
  <si>
    <t>CHECK</t>
  </si>
  <si>
    <t>CHECK 8712  06/22</t>
  </si>
  <si>
    <t>CHECK_PAID</t>
  </si>
  <si>
    <t>AMAZON MARK* 4X1YS51 AMAZON.COM/MA WA        06/22</t>
  </si>
  <si>
    <t>AMAZON MARK* 796DF2C AMAZON.COM/MA WA        06/22</t>
  </si>
  <si>
    <t>AMAZON RETA* V56W58O WWW.AMAZON.CO WA        06/22</t>
  </si>
  <si>
    <t>UBER   * EATS PENDIN SAN FRANCISCO CA027243  06/21</t>
  </si>
  <si>
    <t>POSHMARK 6504887740 CA                       06/21</t>
  </si>
  <si>
    <t>SCRIBD* R680020687 SCRIBD.COM CA             06/20</t>
  </si>
  <si>
    <t>NEXTLINK BROADBAND 855-6985465 TX            06/20</t>
  </si>
  <si>
    <t>AMAZON MARK* 4L90T3B AMAZON.COM/MA WA        06/21</t>
  </si>
  <si>
    <t>AMAZON MARK* 303MY7T AMAZON.COM/MA WA        06/21</t>
  </si>
  <si>
    <t>AMAZON MKTPL*3L6LQ1F Amzn.com/bill WA        06/20</t>
  </si>
  <si>
    <t>AMAZON MARK* 2I9O36D AMAZON.COM/MA WA        06/21</t>
  </si>
  <si>
    <t>EB *BLACKENED SOUL PR 801-413-7200 CA        06/20</t>
  </si>
  <si>
    <t>UBER   * EATS PENDIN SAN FRANCISCO CA016027  06/19</t>
  </si>
  <si>
    <t>SP WELLNESS COMPANY TWC.HEALTH FL            06/19</t>
  </si>
  <si>
    <t>AMAZON MARK* HG8TB8B AMAZON.COM/MA WA        06/20</t>
  </si>
  <si>
    <t>AMAZON MARK* A01YB9H AMAZON.COM/MA WA        06/20</t>
  </si>
  <si>
    <t>Amazon Tips*2Y7HR3UK Amzn.com/bill WA        06/19</t>
  </si>
  <si>
    <t>SP BLUEPRINT.BJ-5353 BLUEPRINT.BRY CA        06/19</t>
  </si>
  <si>
    <t>AMAZON MARK* 763AZ2S AMAZON.COM/MA WA        06/19</t>
  </si>
  <si>
    <t>NTTA AUTOCHARGE 972-818-6882 TX              06/18</t>
  </si>
  <si>
    <t>Online Transfer from CHK ...1168 transaction#: 29706589504</t>
  </si>
  <si>
    <t>Online Transfer from CHK ...1168 transaction#: 29711664423</t>
  </si>
  <si>
    <t>ATM WITHDRAWAL                       005985  06/1812335 VEN</t>
  </si>
  <si>
    <t>ZARA USA INC. ESTADOS UNIDO NY       146036  06/17</t>
  </si>
  <si>
    <t>AMAZON RETA* DG3PM87 WWW.AMAZON.CO WA        06/18</t>
  </si>
  <si>
    <t>AMAZON RETA* W51RC62 WWW.AMAZON.CO WA        06/18</t>
  </si>
  <si>
    <t>Amazon.com*ZJ1KV1MH3 Amzn.com/bill WA        06/18</t>
  </si>
  <si>
    <t>AMAZON MKTPL*4I17B1D Amzn.com/bill WA        06/18</t>
  </si>
  <si>
    <t>LEELA QUANTUM TECH LEELAQ.COM NM             06/17</t>
  </si>
  <si>
    <t>JON RAPPOPORT JONRAPPOPORT. NC               06/17</t>
  </si>
  <si>
    <t>Online Transfer from CHK ...1168 transaction#: 29671442085</t>
  </si>
  <si>
    <t>ATM CHECK DEPOSIT 06/18 12335 VENICE BLVD LOS ANGELES CA</t>
  </si>
  <si>
    <t>LA PHIL HOLLYWOOD BO INFORMATION@L CA        06/16</t>
  </si>
  <si>
    <t>Amazon Tips*CL3NU9HQ Amzn.com/bill WA        06/16</t>
  </si>
  <si>
    <t>SP BLUEPRINT.BJ-5353 BLUEPRINT.BRY CA        06/16</t>
  </si>
  <si>
    <t>PAVILIONS #2105 MARINA DEL RE CA             06/15</t>
  </si>
  <si>
    <t>Amazon.com*C21B38J63 Amzn.com/bill WA        06/15</t>
  </si>
  <si>
    <t>Zelle payment to Britt Magadini JPM99ckzl5em</t>
  </si>
  <si>
    <t>CHASE_TO_PARTNERFI</t>
  </si>
  <si>
    <t>Etsy.com*MICountryCrea ETSY.COM NY           06/15</t>
  </si>
  <si>
    <t>Etsy.com*HerbAndMagic ETSY.COM NY            06/15</t>
  </si>
  <si>
    <t>Etsy.com*ShirtMonsters ETSY.COM NY           06/15</t>
  </si>
  <si>
    <t>SP AURO WELLNESS AUROWELLNESS. CA            06/15</t>
  </si>
  <si>
    <t>AMAZON MKTPL*JO4NX57 Amzn.com/bill WA        06/15</t>
  </si>
  <si>
    <t>Zelle payment to joe saunders 29624105289</t>
  </si>
  <si>
    <t>QUICKPAY_DEBIT</t>
  </si>
  <si>
    <t>AMAZON MARK* 9M04F1B AMAZON.COM/MA WA        06/15</t>
  </si>
  <si>
    <t>AMAZON RETA* BL9XO77 WWW.AMAZON.CO WA        06/15</t>
  </si>
  <si>
    <t>UBER   * EATS PENDIN SAN FRANCISCO CA139001  06/14</t>
  </si>
  <si>
    <t>AMERICAN AI 00126055 United States AZ        06/14</t>
  </si>
  <si>
    <t>AMAZON PRIME*X95IT5U Amzn.com/bill WA        06/14</t>
  </si>
  <si>
    <t>APPLE.COM/BILL 866-712-7753 CA               06/14</t>
  </si>
  <si>
    <t>Prime Video Channels amzn.com/bill WA        06/14</t>
  </si>
  <si>
    <t>AMERICAN AIR00106506576 FORT WORTH TX        06/14</t>
  </si>
  <si>
    <t>AMERICAN AIR00144998914 FORT WORTH TX        06/14</t>
  </si>
  <si>
    <t>WALGREENS STORE 1317 S WEATHERFORD TX747914  06/13</t>
  </si>
  <si>
    <t>Amazon Tips*1E6EP4CT Amzn.com/bill WA        06/13</t>
  </si>
  <si>
    <t>AMAZON MKTPL*5P3XO8Y Amzn.com/bill WA        06/13</t>
  </si>
  <si>
    <t>PANTRY ON MAGNOLIA FORT WORTH TX             06/12</t>
  </si>
  <si>
    <t>AMAZON MKTPL*UM0H41O Amzn.com/bill WA        06/13</t>
  </si>
  <si>
    <t>NTTA ONLINE 972-818-6882 TX                  06/12</t>
  </si>
  <si>
    <t>Amazon.com*Y90A68FF3 Amzn.com/bill WA        06/12</t>
  </si>
  <si>
    <t>Amazon.com*SB0H73R13 Amzn.com/bill WA        06/12</t>
  </si>
  <si>
    <t>Amazon.com*GD8840WR3 Amzn.com/bill WA        06/12</t>
  </si>
  <si>
    <t>STAGE WEST THEATRE 817-784-6378 TX           06/12</t>
  </si>
  <si>
    <t>Amazon Tips*271YC9KH Amzn.com/bill WA        06/12</t>
  </si>
  <si>
    <t>AMAZON MKTPL*TF72E2P Amzn.com/bill WA        06/12</t>
  </si>
  <si>
    <t>AMAZON MKTPL*PG16206 Amzn.com/bill WA        06/13</t>
  </si>
  <si>
    <t>Online Transfer from CHK ...1168 transaction#: 29624118889</t>
  </si>
  <si>
    <t>Online Transfer from CHK ...1168 transaction#: 29633194527</t>
  </si>
  <si>
    <t>Online Transfer from CHK ...1168 transaction#: 29617096887</t>
  </si>
  <si>
    <t>TARGET T-1981 122 E IN WEATHERFORD TX849373  06/12</t>
  </si>
  <si>
    <t>POSHMARK 6504887740 CA                       06/12</t>
  </si>
  <si>
    <t>AMAZON MKTPL*RP0SF1U Amzn.com/bill WA        06/12</t>
  </si>
  <si>
    <t>AMAZON MARK* JR0TF1M AMAZON.COM/MA WA        06/11</t>
  </si>
  <si>
    <t>AMAZON MARK* YP7T11W AMAZON.COM/MA WA        06/11</t>
  </si>
  <si>
    <t>LOTT CLEANERS (MAIN ST WEATHERFORD TX        06/10</t>
  </si>
  <si>
    <t>UBER   * EATS PENDIN SAN FRANCISCO CA136349  06/11</t>
  </si>
  <si>
    <t>Amazon.com*KN86E2CW3 Amzn.com/bill WA        06/11</t>
  </si>
  <si>
    <t>LOTT CLEANERS (MAIN ST WEATHERFORD TX        06/09</t>
  </si>
  <si>
    <t>FANDANGO    * FANDANGO.COM CA                06/10</t>
  </si>
  <si>
    <t>APPLE.COM/BILL 866-712-7753 CA               06/10</t>
  </si>
  <si>
    <t>GOLDEN RULE LLC - ECO 817-771-3864 TX        06/09</t>
  </si>
  <si>
    <t>DD *DOORDASH CHIPOTLE 855-431-0459 CA        06/10</t>
  </si>
  <si>
    <t>SHELL SERVICE STATION WEATHERFORD TX 593334  06/09</t>
  </si>
  <si>
    <t>ATM WITHDRAWAL                       000291  06/09225 E INT</t>
  </si>
  <si>
    <t>POSHMARK 6504887740 CA                       06/09</t>
  </si>
  <si>
    <t>APPLE.COM/BILL 866-712-7753 CA               06/09</t>
  </si>
  <si>
    <t>AMAZON MARK* 3E2X66P AMAZON.COM/MA WA        06/09</t>
  </si>
  <si>
    <t>AMAZON MARK* J58R111 AMAZON.COM/MA WA        06/09</t>
  </si>
  <si>
    <t>AMC 0259 CLEARFORK 8 FORT WORTH TX           06/07</t>
  </si>
  <si>
    <t>Zelle payment from TANYA MILLER HNA0K6O4LPD1</t>
  </si>
  <si>
    <t>Online Transfer from CHK ...1168 transaction#: 29555521399</t>
  </si>
  <si>
    <t>Prime Video Channels amzn.com/bill WA        06/07</t>
  </si>
  <si>
    <t>MID CITIES ANTIQ HURST TX            623053  06/07</t>
  </si>
  <si>
    <t>AMAZON MARK* SI6343M AMAZON.COM/MA WA        06/08</t>
  </si>
  <si>
    <t>GOOGLE *YouTubePremi g.co/helppay# CA        06/06</t>
  </si>
  <si>
    <t>DD *DOORDASH TARGET 855-431-0459 CA          06/06</t>
  </si>
  <si>
    <t>PSYCHOLOGY TODAY PSYCHOLOGYTOD SD            06/06</t>
  </si>
  <si>
    <t>TIES TO THE PAST ANTIQU FORT WORTH TX        06/05</t>
  </si>
  <si>
    <t>L`ARTE NAILS &amp; SPA WEATHERFORD TX            06/04</t>
  </si>
  <si>
    <t>LOTT CLEANERS (MAIN ST WEATHERFORD TX        06/04</t>
  </si>
  <si>
    <t>Zelle payment from ROSE LI 29540981321</t>
  </si>
  <si>
    <t>Online Transfer from CHK ...1168 transaction#: 29529799629</t>
  </si>
  <si>
    <t>AMAZON MKTPL*ON7PK70 Amzn.com/bill WA        06/05</t>
  </si>
  <si>
    <t>SQ *PATRIOT SEPTIC Weatherford TX            06/04</t>
  </si>
  <si>
    <t>AMAZON MARK* TH1J17E AMAZON.COM/MA WA        06/05</t>
  </si>
  <si>
    <t>DD *DOORDASH BLUJASMI 855-431-0459 CA        06/05</t>
  </si>
  <si>
    <t>WITHERSPOONS ANTIQUE MA GRANBURY TX          06/03</t>
  </si>
  <si>
    <t>AFTER SCHOOL AMERICA GRANBURY TX             06/03</t>
  </si>
  <si>
    <t>AMERICAN AIR00174154831 FORT WORTH TX        06/03</t>
  </si>
  <si>
    <t>SP RUMORS RICHMOND RICHMOND VA               06/03</t>
  </si>
  <si>
    <t>NON-CHASE ATM FEE-WITH</t>
  </si>
  <si>
    <t>T J MAXX #1295 WEATHERFORD TX        037073  06/04</t>
  </si>
  <si>
    <t>NON-CHASE ATM WITHDRAW               001821  06/041317 S MA</t>
  </si>
  <si>
    <t>WALGREENS STORE 1317 S WEATHERFORD TX817206  06/04</t>
  </si>
  <si>
    <t>AMAZON RETA* KQ8ZH30 WWW.AMAZON.CO WA        06/04</t>
  </si>
  <si>
    <t>THE C. G. JUNG INSTIT 310-556-1193 CA        06/04</t>
  </si>
  <si>
    <t>TEXAS HEALTHCAREPLLC 817-382-2273 TX         06/03</t>
  </si>
  <si>
    <t>AMAZON MKTPL*D345R9U Amzn.com/bill WA        06/03</t>
  </si>
  <si>
    <t>DD *DOORDASH TARGET 855-431-0459 CA          06/04</t>
  </si>
  <si>
    <t>Online Transfer from CHK ...9335 transaction#: 29493391769</t>
  </si>
  <si>
    <t>AMAZON RETA* WG17J66 WWW.AMAZON.CO WA        06/03</t>
  </si>
  <si>
    <t>AMAZON RETA* 0Z0GR8F WWW.AMAZON.CO WA        06/03</t>
  </si>
  <si>
    <t>AMAZON MARK* H55WU3K AMAZON.COM/MA WA        06/03</t>
  </si>
  <si>
    <t>APPLE.COM/BILL 866-712-7753 CA               06/03</t>
  </si>
  <si>
    <t>AMAZON MARK* EL4O90I AMAZON.COM/MA WA        06/03</t>
  </si>
  <si>
    <t>AMAZON MARK* YN1T68Z AMAZON.COM/MA WA        06/02</t>
  </si>
  <si>
    <t>AMERICAN AIR00174153553 FORT WORTH TX        06/01</t>
  </si>
  <si>
    <t>ORIG CO NAME:PAYPAL                 ORIG ID:PAYPALSI77 DESC DATE:260602 CO ENTRY DESCR:INST XFER SEC:WEB    TRACE#:021000023964704 EED:260602   IND ID:RAYSTARLIGH                  IND NAME:JOHN DUNNING                                                                                                 260602PPZG2M TRN: 1533964704TC</t>
  </si>
  <si>
    <t>ACH_DEBIT</t>
  </si>
  <si>
    <t>ZARA USA INC. ESTADOS UNIDO NY       136972  05/31</t>
  </si>
  <si>
    <t>SP RUMORS RICHMOND SHOPATRUMORS. VA          06/02</t>
  </si>
  <si>
    <t>AMAZON MKTPL*X28NJ1P Amzn.com/bill WA        06/02</t>
  </si>
  <si>
    <t>AMAZON RETA* G92Y004 WWW.AMAZON.CO WA        06/02</t>
  </si>
  <si>
    <t>AMERICAN AIR00106498627 FORT WORTH TX        06/02</t>
  </si>
  <si>
    <t>Zelle payment from MARY MARGARET TRAHAN 29460766339</t>
  </si>
  <si>
    <t>Online Transfer from CHK ...1168 transaction#: 29465360785</t>
  </si>
  <si>
    <t>BLUE SHIELD CALIFORNI 800-393-6130 CA        05/31</t>
  </si>
  <si>
    <t>HOBBYLOBBY WEATHERFORD TX            048781  05/30</t>
  </si>
  <si>
    <t>STARBUCKS STORE 5768 MINERAL WELLS TX        05/30</t>
  </si>
  <si>
    <t>NON-CHASE ATM WITHDRAW               524602  05/302605 S. M</t>
  </si>
  <si>
    <t>QT 1948 OUTSIDE WEATHERFORD TX       223897  05/30</t>
  </si>
  <si>
    <t>Amazon Tips*WP6D65E2 Amzn.com/bill WA        05/30</t>
  </si>
  <si>
    <t>PENTESTER.COM PENTESTER.COM FL               05/30</t>
  </si>
  <si>
    <t>SP VERSO HEALTH VER.SO CA                    05/30</t>
  </si>
  <si>
    <t>IC* INSTACART INSTACART.COM CA               05/30</t>
  </si>
  <si>
    <t>CLASSICALWISDOM.COM CLASSICALWISD FL         05/29</t>
  </si>
  <si>
    <t>SQ *TEXAS GENERAL ST Mineral Wells TX        05/29</t>
  </si>
  <si>
    <t>Merrimac &amp; North Mineral Wells TX            05/29</t>
  </si>
  <si>
    <t>AMAZON RETA* U585815 WWW.AMAZON.CO WA        05/30</t>
  </si>
  <si>
    <t>APPLE.COM/BILL 866-712-7753 CA               05/30</t>
  </si>
  <si>
    <t>Zelle payment from JOE SAUNDERS 29422111861</t>
  </si>
  <si>
    <t>Online Transfer from CHK ...1168 transaction#: 29420901287</t>
  </si>
  <si>
    <t>FANDANGO    * FANDANGO.COM CA                05/29</t>
  </si>
  <si>
    <t>Amazon.com*546GD4QW3 Amzn.com/bill WA        05/29</t>
  </si>
  <si>
    <t>AMAZON MARK* W82HF6L AMAZON.COM/MA WA        05/29</t>
  </si>
  <si>
    <t>AMAZON MARK* 0V41S3P AMAZON.COM/MA WA        05/29</t>
  </si>
  <si>
    <t>CVSExtraCare 80074672 800-746-7287 RI        05/28</t>
  </si>
  <si>
    <t>AMAZON MARK* FW2EF43 AMAZON.COM/MA WA        05/29</t>
  </si>
  <si>
    <t>MEADOWS MUSEUM SHOP SMU.EDU TX               05/28</t>
  </si>
  <si>
    <t>Casa Manana Fort Worth TX                    05/28</t>
  </si>
  <si>
    <t>GOODWILL INDUSTRIES MINERAL WELLS TX         05/27</t>
  </si>
  <si>
    <t>MINERAL WELLS CENTER MINERAL WELLS TX        05/27</t>
  </si>
  <si>
    <t>AMERICAN AIR00183253507 FORT WORTH TX        05/26</t>
  </si>
  <si>
    <t>AMERICAN AIR00174148959 FORT WORTH TX        05/26</t>
  </si>
  <si>
    <t>AMAZON MARK* Y23G67U AMAZON.COM/MA WA        05/27</t>
  </si>
  <si>
    <t>SPACEWEATHERNEWS.COM SPACEWEATHERN CO        05/26</t>
  </si>
  <si>
    <t>UNITED      01643996861 UNITED.COM TX        05/26</t>
  </si>
  <si>
    <t>UNITED      01643996860 UNITED.COM TX        05/26</t>
  </si>
  <si>
    <t>UNITED      016210626 800-864-8331 TX        05/26</t>
  </si>
  <si>
    <t>EXPEDIA 73458511589278 EXPEDIA.COM WA        05/27</t>
  </si>
  <si>
    <t>Prime Video Channels amzn.com/bill WA        05/26</t>
  </si>
  <si>
    <t>SP FAIRCHILDS VINEGA FAIRCHILDSVIN ID        05/26</t>
  </si>
  <si>
    <t>AMAZON MARK* C07P47W AMAZON.COM/MA WA        05/27</t>
  </si>
  <si>
    <t>Zelle payment from MARY MARGARET TRAHAN 29374427286</t>
  </si>
  <si>
    <t>Online Payment 29365428452 To SOUTHERN CALIFORNIA GAS CO 05/26</t>
  </si>
  <si>
    <t>Online Payment 29365432095 To SAFECO INSURANCE COMPANY 05/26</t>
  </si>
  <si>
    <t>Online Payment 29365418722 To FRONTIER TELEPHONE 05/26</t>
  </si>
  <si>
    <t>Online Payment 29365415757 To AMERICAN EDUCATION SERVICES 05/26</t>
  </si>
  <si>
    <t>LUKE UNFILTERED WEARECHANGE.O FL             05/25</t>
  </si>
  <si>
    <t>AMAZON PRIME*X80RY0I Amzn.com/bill WA        05/24</t>
  </si>
  <si>
    <t>AMAZON MKTPL*B30YG12 Amzn.com/bill WA        05/25</t>
  </si>
  <si>
    <t>ATT*BILL PAYMENT 800-288-2020 TX             05/24</t>
  </si>
  <si>
    <t>UBER   * EATS PENDIN SAN FRANCISCO CA136321  05/23</t>
  </si>
  <si>
    <t>FANDANGO    * FANDANGO.COM CA                05/24</t>
  </si>
  <si>
    <t>APPLE.COM/BILL 866-712-7753 CA               05/23</t>
  </si>
  <si>
    <t>AIT* DONATION BRIDGE ACTION-INITIA AZ        05/23</t>
  </si>
  <si>
    <t>SP TIMELINE SHOP.TIMELINE CA                 05/22</t>
  </si>
  <si>
    <t>BASHAR COMM/BASHARTV BASHAR.ORG CA           05/22</t>
  </si>
  <si>
    <t>FREEPEOPLE.COM FREEPEOPLE.CO PA              05/22</t>
  </si>
  <si>
    <t>Zelle payment from MARY MARGARET TRAHAN 29363480134</t>
  </si>
  <si>
    <t>Online Transfer from CHK ...1168 transaction#: 29365516826</t>
  </si>
  <si>
    <t>Online Transfer from CHK ...1168 transaction#: 29347809073</t>
  </si>
  <si>
    <t>PNM*THE TOLLROAD SANTA CLARA CA      717990  05/22</t>
  </si>
  <si>
    <t>Amazon Tips*8D5D69PH Amzn.com/bill WA        05/22</t>
  </si>
  <si>
    <t>SP FARM RIO FARMRIO.COM NY                   05/22</t>
  </si>
  <si>
    <t>GLOBAL-E* UNREAL FUR GLOBAL-E.COM NY         05/22</t>
  </si>
  <si>
    <t>REPUBLIC SERVICES TRA 866-576-5548 AZ        05/21</t>
  </si>
  <si>
    <t>IC* INSTACART INSTACART.COM CA               05/21</t>
  </si>
  <si>
    <t>Amazon.com*BM8KI1NE0 Amzn.com/bill WA        05/21</t>
  </si>
  <si>
    <t>ZARA USA INC. ESTADOS UNIDO NY       136988  05/16</t>
  </si>
  <si>
    <t>DFW AIRPORT PARKING DFW AIRPORT TX           05/20</t>
  </si>
  <si>
    <t>EMERIL'S   CONC 1 MSY KENNER LA              05/20</t>
  </si>
  <si>
    <t>STARBUCKS MAIN WEST MS KENNER LA             05/20</t>
  </si>
  <si>
    <t>MISS CLAUDIA'S VINTA 504-8976310 LA          05/20</t>
  </si>
  <si>
    <t>NEXTLINK BROADBAND 855-6985465 TX            05/20</t>
  </si>
  <si>
    <t>Zara.com 212-3551415 NY                      05/20</t>
  </si>
  <si>
    <t>THE C. G. JUNG INSTIT 310-556-1193 CA        05/21</t>
  </si>
  <si>
    <t>Online Transfer from CHK ...1168 transaction#: 29309160621</t>
  </si>
  <si>
    <t>UBER   *TRIP HELP.UB SAN FRANCISCO CA076832  05/20</t>
  </si>
  <si>
    <t>UBER *TRIP SAN FRANCISCO CA          267177  05/20</t>
  </si>
  <si>
    <t>SCRIBD* R680020687 SCRIBD.COM CA             05/20</t>
  </si>
  <si>
    <t>TST*SHAYA RESTAURANT New Orleans LA          05/19</t>
  </si>
  <si>
    <t>MAGAZINE ANTIQUE MALL NEW ORLEANS LA         05/19</t>
  </si>
  <si>
    <t>OUTOFTHECLOSETTHRIFT NEW ORLEANS LA          05/19</t>
  </si>
  <si>
    <t>AMERICAN AIR00106490183 FORT WORTH TX        05/19</t>
  </si>
  <si>
    <t>AMERICAN AIR00106490178 FORT WORTH TX        05/19</t>
  </si>
  <si>
    <t>AMERICAN AIR00144970281 FORT WORTH TX        05/19</t>
  </si>
  <si>
    <t>TST*THE VINTAGE NOLA New Orleans LA          05/19</t>
  </si>
  <si>
    <t>SQ *SUCRE New Orleans LA                     05/19</t>
  </si>
  <si>
    <t>SQ *NELSON BAY BEADS NEW ORLEANS LA          05/19</t>
  </si>
  <si>
    <t>HENRY HOWARD HOTEL 504-3131577 LA            05/17</t>
  </si>
  <si>
    <t>UBER   *TRIP HELP.UB SAN FRANCISCO CA029407  05/19</t>
  </si>
  <si>
    <t>UBER   *TRIP HELP.UB SAN FRANCISCO CA019435  05/19</t>
  </si>
  <si>
    <t>UBER   *TRIP HELP.UB SAN FRANCISCO CA023036  05/19</t>
  </si>
  <si>
    <t>UBER   *TRIP HELP.UB SAN FRANCISCO CA145532  05/19</t>
  </si>
  <si>
    <t>UBER   *TRIP HELP.UB SAN FRANCISCO CA016933  05/19</t>
  </si>
  <si>
    <t>LS DARK GARDEN UNIQUE 415-4317684 LA         05/19</t>
  </si>
  <si>
    <t>Online Transfer to CHK ...6975 transaction#: 29278507390 05/19</t>
  </si>
  <si>
    <t>Online Transfer to CHK ...6975 transaction#: 29277898873 05/19</t>
  </si>
  <si>
    <t>UBER   *TRIP HELP.UB SAN FRANCISCO CA025625  05/18</t>
  </si>
  <si>
    <t>UBER   *TRIP HELP.UB SAN FRANCISCO CA085229  05/18</t>
  </si>
  <si>
    <t>TST* HOTEL SAINT VINCE NEW ORLEANS LA        05/19</t>
  </si>
  <si>
    <t>SQ *DARK MATTER ODDITI NEW ORLEANS LA        05/18</t>
  </si>
  <si>
    <t>THE CHICORY HOUSE NEW ORLEANS LA             05/18</t>
  </si>
  <si>
    <t>AMAZON MARK* N89J95Z AMAZON.COM/MA WA        05/19</t>
  </si>
  <si>
    <t>Online Transfer from CHK ...1168 transaction#: 29277924467</t>
  </si>
  <si>
    <t>UBER *TRIP SAN FRANCISCO CA          466699  05/18</t>
  </si>
  <si>
    <t>UBER   *TRIP HELP.UB SAN FRANCISCO CA024332  05/18</t>
  </si>
  <si>
    <t>WALGREENS STORE 1801 S NEW ORLEANS LA999330  05/17</t>
  </si>
  <si>
    <t>TST* LUFU NOLA NEW ORLEANS LA                05/17</t>
  </si>
  <si>
    <t>UBER   *TRIP HELP.UB SAN FRANCISCO CA029300  05/17</t>
  </si>
  <si>
    <t>LEELA QUANTUM TECH LEELAQ.COM NM             05/17</t>
  </si>
  <si>
    <t>AA Kiosk0010284676450 Fort Worth TX          05/17</t>
  </si>
  <si>
    <t>ATM WITHDRAWAL                       004849  05/17225 E INT</t>
  </si>
  <si>
    <t>SP ANNA SUI ANNASUI.COM CA                   05/17</t>
  </si>
  <si>
    <t>AMERICAN AIR00106488383 FORT WORTH TX        05/17</t>
  </si>
  <si>
    <t>SP BLUEPRINT.BJ-5353 BLUEPRINT.BRY CA        05/16</t>
  </si>
  <si>
    <t>Amazon.com*BF9OQ9LS0 Amzn.com/bill WA        05/15</t>
  </si>
  <si>
    <t>Amazon.com*HB55O2A53 Amzn.com/bill WA        05/16</t>
  </si>
  <si>
    <t>AMERICAN AIR00144965368 FORT WORTH TX        05/15</t>
  </si>
  <si>
    <t>61 OSTERIA FORT WORTH TX                     05/14</t>
  </si>
  <si>
    <t>HAIGOOD &amp; CAMPBELL LLC 800-7660016 TX        05/14</t>
  </si>
  <si>
    <t>Zelle payment from TANYA MILLER HNA0K60Y5OY4</t>
  </si>
  <si>
    <t>Online Transfer from CHK ...1168 transaction#: 29250942768</t>
  </si>
  <si>
    <t>FILM ALLEY - WEATHERFO WEATHERFORD TX        05/14</t>
  </si>
  <si>
    <t>The Modern Art Museum 817-7389215 TX         05/14</t>
  </si>
  <si>
    <t>AMAZON PRIME*UE4FB2G Amzn.com/bill WA        05/14</t>
  </si>
  <si>
    <t>AMAZON RETA* 5J3FR0O WWW.AMAZON.CO WA        05/14</t>
  </si>
  <si>
    <t>APPLE.COM/BILL 866-712-7753 CA               05/14</t>
  </si>
  <si>
    <t>WALGREENS STORE 1317 S WEATHERFORD TX805050  05/14</t>
  </si>
  <si>
    <t>Prime Video Channels amzn.com/bill WA        05/14</t>
  </si>
  <si>
    <t>PAKRAT ECLECTIBLES GRANBURY TX               05/13</t>
  </si>
  <si>
    <t>VINTAGE ROADS ANTIQUE M GRANBURY TX          05/13</t>
  </si>
  <si>
    <t>GOODWILL INDUSTRIES OF GRANBURY TX           05/13</t>
  </si>
  <si>
    <t>AMAZON MARK* BV87282 AMAZON.COM/MA WA        05/13</t>
  </si>
  <si>
    <t>BENBROOK ANTIQUE MALL BENBROOK TX            05/12</t>
  </si>
  <si>
    <t>AMAZON RETA* 9934V7A WWW.AMAZON.CO WA        05/13</t>
  </si>
  <si>
    <t>AMAZON MKTPL*BF8NS5V Amzn.com/bill WA        05/13</t>
  </si>
  <si>
    <t>AMERICAN AIR00174138728 FORT WORTH TX        05/11</t>
  </si>
  <si>
    <t>AMAZON MARK* BJ2II2R AMAZON.COM/MA WA        05/12</t>
  </si>
  <si>
    <t>HENRY HOWARD HOTEL 504-3131577 LA            05/10</t>
  </si>
  <si>
    <t>Online Transfer from CHK ...1168 transaction#: 29196764714</t>
  </si>
  <si>
    <t>WORLD MARKET  #135 FT. WORTH TX      443399  05/12</t>
  </si>
  <si>
    <t>CENTRAL MARKET #545 FT WORTH TX      044060  05/12</t>
  </si>
  <si>
    <t>ZARA USA INC. ESTADOS UNIDO NY       146631  05/11</t>
  </si>
  <si>
    <t>SP DEXA SCAN NEAR ME DEXASCAN.COM MI         05/12</t>
  </si>
  <si>
    <t>ALL FAMILY HEALTH LLC 561-7176794 FL         05/12</t>
  </si>
  <si>
    <t>AMAZON MARK* BF6K57E AMAZON.COM/MA WA        05/12</t>
  </si>
  <si>
    <t>AMAZON MARK* BF6QS80 AMAZON.COM/MA WA        05/12</t>
  </si>
  <si>
    <t>WWW.BODHILIVE.COM WWW.BODHILIVE NC           05/11</t>
  </si>
  <si>
    <t>AMAZON MARK* BV3BD5M AMAZON.COM/MA WA        05/12</t>
  </si>
  <si>
    <t>Amazon Tips*BF7MB032 Amzn.com/bill WA        05/11</t>
  </si>
  <si>
    <t>AMAZON MKTPL*BF7VC2J Amzn.com/bill WA        05/11</t>
  </si>
  <si>
    <t>AMAZON MARK* BF8VO9A AMAZON.COM/MA WA        05/12</t>
  </si>
  <si>
    <t>AMAZON MKTPL*BF9OQ6J Amzn.com/bill WA        05/11</t>
  </si>
  <si>
    <t>DD *DOORDASH BLUJASMI 855-431-0459 CA        05/12</t>
  </si>
  <si>
    <t>FOREIGN EXCHANGE RATE ADJUSTMENT FEE         05/10DANCINGAS</t>
  </si>
  <si>
    <t>AMAZON MARK* BF7J203 AMAZON.COM/MA WA        05/11</t>
  </si>
  <si>
    <t>AMAZON RETA* BF9AQ2Z WWW.AMAZON.CO WA        05/11</t>
  </si>
  <si>
    <t>AMAZON RETA* BF5A99Z WWW.AMAZON.CO WA        05/11</t>
  </si>
  <si>
    <t>AMAZON RETA* IM0B81Q WWW.AMAZON.CO WA        05/11</t>
  </si>
  <si>
    <t>AMAZON MARK* BV11Y5P AMAZON.COM/MA WA        05/11</t>
  </si>
  <si>
    <t>AMAZON MARK* BV1OO1P AMAZON.COM/MA WA        05/11</t>
  </si>
  <si>
    <t>AMAZON MARK* BV7E721 AMAZON.COM/MA WA        05/11</t>
  </si>
  <si>
    <t>Amazon.com*Q31064EG3 Amzn.com/bill WA        05/11</t>
  </si>
  <si>
    <t>AMAZON MKTPL*BV75K01 Amzn.com/bill WA        05/11</t>
  </si>
  <si>
    <t>AMAZON MARK* BV7727P AMAZON.COM/MA WA        05/11</t>
  </si>
  <si>
    <t>Amazon Tips*6S4O98E8 Amzn.com/bill WA        05/10</t>
  </si>
  <si>
    <t>DANCINGASTROLOGER.COM CRANS                  05/10 Swiss Franc110.00 X 1.289000 (EXCHG RTE)</t>
  </si>
  <si>
    <t>ZARA USA INC. ESTADOS UNIDO NY       076597  05/08</t>
  </si>
  <si>
    <t>TARGET T-1981 122 E IN WEATHERFORD TX344237  05/09</t>
  </si>
  <si>
    <t>DD *DOORDASH CHIPOTLE 855-431-0459 CA        05/11</t>
  </si>
  <si>
    <t>APPLE.COM/BILL 866-712-7753 CA               05/10</t>
  </si>
  <si>
    <t>ANCIENT ORIGINS TIMOLIN                      05/09</t>
  </si>
  <si>
    <t>UBER   * EATS PENDIN SAN FRANCISCO CA149613  05/09</t>
  </si>
  <si>
    <t>Amazon.com*BF3177CB1 Amzn.com/bill WA        05/10</t>
  </si>
  <si>
    <t>Amazon.com*BV4SW99B1 Amzn.com/bill WA        05/09</t>
  </si>
  <si>
    <t>DECEITS KO-FI.COM/DEC CA                     05/09</t>
  </si>
  <si>
    <t>APPLE.COM/BILL 866-712-7753 CA               05/09</t>
  </si>
  <si>
    <t>AMERICAN AIR00106483517 FORT WORTH TX        05/09</t>
  </si>
  <si>
    <t>AMERICAN AIR00144958372 FORT WORTH TX        05/09</t>
  </si>
  <si>
    <t>AMERICAN AIR00106483514 FORT WORTH TX        05/09</t>
  </si>
  <si>
    <t>AMERICAN AIR00144958367 FORT WORTH TX        05/09</t>
  </si>
  <si>
    <t>AMERICAN AIR00106483512 FORT WORTH TX        05/09</t>
  </si>
  <si>
    <t>SP LIFEPROFITNESS LIFEPROFITNES NY           05/08</t>
  </si>
  <si>
    <t>Online Transfer from CHK ...1168 transaction#: 29184329466</t>
  </si>
  <si>
    <t>CVS/PHARMACY #09493 MAR VISTA CA     045252  05/08</t>
  </si>
  <si>
    <t>Prime Video Channels amzn.com/bill WA        05/07</t>
  </si>
  <si>
    <t>AMERICAN AIR00174135058 FORT WORTH TX        05/06</t>
  </si>
  <si>
    <t>Online Transfer from CHK ...1168 transaction#: 29146058585</t>
  </si>
  <si>
    <t>ATM CHECK DEPOSIT 05/08 12335 VENICE BLVD LOS ANGELES CA</t>
  </si>
  <si>
    <t>Amazon Tips*BF4W70AG Amzn.com/bill WA        05/06</t>
  </si>
  <si>
    <t>TST*BEETHOVEN Los Angeles CA                 05/06</t>
  </si>
  <si>
    <t>GOOGLE *YouTubePremi g.co/helppay# CA        05/06</t>
  </si>
  <si>
    <t>PSYCHOLOGY TODAY PSYCHOLOGYTOD SD            05/06</t>
  </si>
  <si>
    <t>MERCEDES BENZ LAGUNA N 949-3473700 CA        05/05</t>
  </si>
  <si>
    <t>Amazon.com*BJ8111BT0 Amzn.com/bill WA        05/05</t>
  </si>
  <si>
    <t>Zelle payment from JOE SAUNDERS 29108543440</t>
  </si>
  <si>
    <t>AMAZON MARK* BV1P20Y AMAZON.COM/MA WA        05/05</t>
  </si>
  <si>
    <t>AMAZON MARK* BJ9ZQ0M AMAZON.COM/MA WA        05/05</t>
  </si>
  <si>
    <t>AMAZON MKTPL*BV21K9W Amzn.com/bill WA        05/04</t>
  </si>
  <si>
    <t>CASABLANCA RESTAURANT VENICE CA              05/03</t>
  </si>
  <si>
    <t>Zelle payment from EUNICE G CHANG 29105640457</t>
  </si>
  <si>
    <t>AMAZON MARK* BV31232B2 SEATTLE WA            05/03</t>
  </si>
  <si>
    <t>UBER   * EATS PENDIN SAN FRANCISCO CA026303  05/04</t>
  </si>
  <si>
    <t>SP MVP-GLOW MVPGLOW.COM NJ                   05/04</t>
  </si>
  <si>
    <t>ORIG CO NAME:PAYPAL                 ORIG ID:PAYPALSI77 DESC DATE:260502 CO ENTRY DESCR:PURCHASE  SEC:WEB    TRACE#:021000025548734 EED:260504   IND ID:OTHERSIDEMI                  IND NAME:JOHN DUNNING                                                                                                 260502PPZYG7 TRN: 1245548734TC</t>
  </si>
  <si>
    <t>UBER * EATS PENDING SAN FRANCISCO CA 554513  05/04</t>
  </si>
  <si>
    <t>COFFEE BEAN &amp; TEA MARINA DEL RE CA           05/03</t>
  </si>
  <si>
    <t>AMAZON MKTPL*BJ2I26E Amzn.com/bill WA        05/04</t>
  </si>
  <si>
    <t>GELSON'S MARKET #29 SANTA MONICA CA          05/03 Purchase $450.66 Cash Back $100.00</t>
  </si>
  <si>
    <t>FANDANGO    * FANDANGO.COM CA                05/03</t>
  </si>
  <si>
    <t>Zelle payment to Leelee 29077042918</t>
  </si>
  <si>
    <t>APPLE.COM/BILL 866-712-7753 CA               05/03</t>
  </si>
  <si>
    <t>AMAZON MARK* BV31232 AMAZON.COM/MA WA        05/03</t>
  </si>
  <si>
    <t>GETYOURGUIDE TICKETS 855-957-1272 NY         05/02</t>
  </si>
  <si>
    <t>AMERICAN AIR00183251292 FORT WORTH TX        05/01</t>
  </si>
  <si>
    <t>AMERICAN AIR00174131058 FORT WORTH TX        05/01</t>
  </si>
  <si>
    <t>AMAZON MKTPL*BJ2CA4M Amzn.com/bill WA        05/01</t>
  </si>
  <si>
    <t>Amazon Tips*BJ6UM3V3 Amzn.com/bill WA        05/01</t>
  </si>
  <si>
    <t>AMAZON MKTPL*BJ27W2X Amzn.com/bill WA        05/01</t>
  </si>
  <si>
    <t>Online Transfer from CHK ...1168 transaction#: 29077017918</t>
  </si>
  <si>
    <t>FOREIGN EXCHANGE RATE ADJUSTMENT FEE         04/30VIHA FINA</t>
  </si>
  <si>
    <t>FANDANGO    * FANDANGO.COM CA                05/01</t>
  </si>
  <si>
    <t>AMAZON MARK* BS6EN67 AMAZON.COM/MA WA        05/01</t>
  </si>
  <si>
    <t>AMAZON RETA* BV75C4M WWW.AMAZON.CO WA        05/01</t>
  </si>
  <si>
    <t>VIHA FINANCE NANAIMO BC                      04/30 CA DOLLAR  39.14 X 0.7317322 (EXCHG RTE)</t>
  </si>
  <si>
    <t>AMAZON MARK* BV8VX8V AMAZON.COM/MA WA        05/01</t>
  </si>
  <si>
    <t>Amazon.com*BS9717SD0 Amzn.com/bill WA        04/30</t>
  </si>
  <si>
    <t>ORIG CO NAME:PAYPAL                 ORIG ID:PAYPALSI77 DESC DATE:260430 CO ENTRY DESCR:PURCHASE  SEC:WEB    TRACE#:021000025768830 EED:260430   IND ID:SPOTIFY*P41F9AB              IND NAME:JOHN DUNNING                                                                                                 260430PPZN49 TRN: 1205768830TC</t>
  </si>
  <si>
    <t>PNM*THE TOLLROAD SANTA CLARA CA      554087  04/30</t>
  </si>
  <si>
    <t>ORIG CO NAME:PAYPAL                 ORIG ID:PAYPALSI77 DESC DATE:260430 CO ENTRY DESCR:PURCHASE  SEC:WEB    TRACE#:021000027391872 EED:260430   IND ID:PSYCHICMARY                  IND NAME:JOHN DUNNING                                                                                                 260430PPZD95 TRN: 1207391872TC</t>
  </si>
  <si>
    <t>BLUE SHIELD CALIFORNI 800-393-6130 CA        04/30</t>
  </si>
  <si>
    <t>PENTESTER.COM PENTESTER.COM FL               04/30</t>
  </si>
  <si>
    <t>AMAZON MARK* BJ0559J AMAZON.COM/MA WA        04/30</t>
  </si>
  <si>
    <t>Etsy.com*Multiple Shop ETSY.COM NY           04/29</t>
  </si>
  <si>
    <t>Etsy.com*NewMoonCerami ETSY.COM NY           04/29</t>
  </si>
  <si>
    <t>Amazon.com*BJ7BS6L11 Amzn.com/bill WA        04/29</t>
  </si>
  <si>
    <t>BESTBUYCOM807172394726 888BESTBUY MN         04/29</t>
  </si>
  <si>
    <t>Online Payment 29012906944 To SAFECO INSURANCE COMPANY 04/29</t>
  </si>
  <si>
    <t>Online Payment 29012906950 To SOUTHERN CALIFORNIA GAS CO 04/29</t>
  </si>
  <si>
    <t>Online Payment 29012906920 To AMERICAN EDUCATION SERVICES 04/29</t>
  </si>
  <si>
    <t>Online Payment 29012906927 To FRONTIER TELEPHONE 04/29</t>
  </si>
  <si>
    <t>Online Transfer to CHK ...6975 transaction#: 29012617735 04/29</t>
  </si>
  <si>
    <t>UBER   * EATS PENDIN SAN FRANCISCO CA146743  04/28</t>
  </si>
  <si>
    <t>AMAZON RETA* BS72H4X WWW.AMAZON.CO WA        04/29</t>
  </si>
  <si>
    <t>EDEN BOTANICALS 707-509-0041 CA              04/28</t>
  </si>
  <si>
    <t>CVSExtraCare 80074672 800-746-7287 RI        04/28</t>
  </si>
  <si>
    <t>Online Transfer from CHK ...1168 transaction#: 29012616655</t>
  </si>
  <si>
    <t>ZARA USA INC. ESTADOS UNIDO NY       136077  04/27</t>
  </si>
  <si>
    <t>APPLE.COM/BILL 866-712-7753 CA               04/28</t>
  </si>
  <si>
    <t>SP AURO WELLNESS AUROWELLNESS. CA            04/28</t>
  </si>
  <si>
    <t>Online Transfer from CHK ...1168 transaction#: 28993634559</t>
  </si>
  <si>
    <t>ORIG CO NAME:PAYPAL                 ORIG ID:PAYPALSI77 DESC DATE:260425 CO ENTRY DESCR:PURCHASE  SEC:WEB    TRACE#:021000028703603 EED:260427   IND ID:TIMOTHYPOOL                  IND NAME:JOHN DUNNING                                                                                                 260425PPZG32 TRN: 1178703603TC</t>
  </si>
  <si>
    <t>ORIG CO NAME:PAYPAL                 ORIG ID:PAYPALSI77 DESC DATE:260425 CO ENTRY DESCR:PURCHASE  SEC:WEB    TRACE#:021000028696244 EED:260427   IND ID:LEAKPROJECT                  IND NAME:JOHN DUNNING                                                                                                 260425PPZG32 TRN: 1178696244TC</t>
  </si>
  <si>
    <t>SPACEWEATHERNEWS.COM SPACEWEATHERN CO        04/26</t>
  </si>
  <si>
    <t>Prime Video Channels amzn.com/bill WA        04/26</t>
  </si>
  <si>
    <t>AMAZON MARK* BS0XV1C AMAZON.COM/MA WA        04/26</t>
  </si>
  <si>
    <t>AMERICAN AIR00174126473 FORT WORTH TX        04/25</t>
  </si>
  <si>
    <t>AMAZON MKTPL*BS9FF5S Amzn.com/bill WA        04/27</t>
  </si>
  <si>
    <t>RATEPUNK US RATEPUNK.COM/ DE                 04/26</t>
  </si>
  <si>
    <t>TST* GJELINA VENICE CA                       04/26</t>
  </si>
  <si>
    <t>AMAZON MARK* BJ8PD0Q AMAZON.COM/MA WA        04/26</t>
  </si>
  <si>
    <t>AMAZON MKTPL*BJ15S4H Amzn.com/bill WA        04/25</t>
  </si>
  <si>
    <t>LUKE UNFILTERED WEARECHANGE.O FL             04/25</t>
  </si>
  <si>
    <t>AMAZON PRIME*RK3X626 Amzn.com/bill WA        04/25</t>
  </si>
  <si>
    <t>AMAZON MARK* BJ94S95 AMAZON.COM/MA WA        04/25</t>
  </si>
  <si>
    <t>GRANDVIEW CLEANERS LOS ANGELES CA            04/24</t>
  </si>
  <si>
    <t>Amazon Tips*BJ9UE9XM Amzn.com/bill WA        04/24</t>
  </si>
  <si>
    <t>ATT*BILL PAYMENT 800-288-2020 TX             04/24</t>
  </si>
  <si>
    <t>AMAZON MKTPL*BJ1072X Amzn.com/bill WA        04/24</t>
  </si>
  <si>
    <t>Zelle payment from TANYA MILLER HNA0K5HDFGSM</t>
  </si>
  <si>
    <t>AMAZON MKTPL*BY8KA9D Amzn.com/bill WA        04/24</t>
  </si>
  <si>
    <t>PAVILIONS #2105 MARINA DEL RE CA             04/23</t>
  </si>
  <si>
    <t>AMAZON MKTPL*BS5TL4J Amzn.com/bill WA        04/24</t>
  </si>
  <si>
    <t>APPLE.COM/BILL 866-712-7753 CA               04/23</t>
  </si>
  <si>
    <t>SP COVEPURE COVEPURE.COM DE                  04/23</t>
  </si>
  <si>
    <t>FREEPEOPLE.COM FREEPEOPLE.CO PA              04/23</t>
  </si>
  <si>
    <t>AMAZON MARK* BJ2VD4P AMAZON.COM/MA WA        04/24</t>
  </si>
  <si>
    <t>AMAZON MARK* BY4SQ2H AMAZON.COM/MA WA        04/23</t>
  </si>
  <si>
    <t>Amazon.com*BY1ZD9H20 Amzn.com/bill WA        04/23</t>
  </si>
  <si>
    <t>Amazon Tips*BY4VJ0Y6 Amzn.com/bill WA        04/22</t>
  </si>
  <si>
    <t>Online Transfer from CHK ...1168 transaction#: 28931879433</t>
  </si>
  <si>
    <t>LISA HO GUINAN, D.M. MARINA DEL RE CA337838  04/22</t>
  </si>
  <si>
    <t>UBER   * EATS PENDIN SAN FRANCISCO CA075553  04/21</t>
  </si>
  <si>
    <t>Etsy.com*Multiple Shop ETSY.COM NY           04/21</t>
  </si>
  <si>
    <t>CENTER FOR STORY &amp; SYM 805-6877171 CA        04/21</t>
  </si>
  <si>
    <t>FRESH PRESSED OLIVE OI 888-9634582 NY        04/21</t>
  </si>
  <si>
    <t>ORIG CO NAME:PAYPAL                 ORIG ID:PAYPALSI77 DESC DATE:260421 CO ENTRY DESCR:INST XFER SEC:WEB    TRACE#:021000024865138 EED:260421   IND ID:RAYSTARLIGH                  IND NAME:JOHN DUNNING                                                                                                 260421PPZJB7 TRN: 1114865138TC</t>
  </si>
  <si>
    <t>ZARA USA INC. ESTADOS UNIDO NY       016825  04/18</t>
  </si>
  <si>
    <t>ATM WITHDRAWAL                       003435  04/2112335 VEN</t>
  </si>
  <si>
    <t>SP BLUEPRINT.BJ-5353 BLUEPRINT.BRY CA        04/21</t>
  </si>
  <si>
    <t>AMAZON MARK* BY4TC83 AMAZON.COM/MA WA        04/21</t>
  </si>
  <si>
    <t>Amazon.com*BS51Y6Y92 Amzn.com/bill WA        04/21</t>
  </si>
  <si>
    <t>NEXTLINK BROADBAND 855-6985465 TX            04/20</t>
  </si>
  <si>
    <t>RUMORS RICH 804-644-2020 VA                  04/21</t>
  </si>
  <si>
    <t>Online Transfer from CHK ...1168 transaction#: 28914431344</t>
  </si>
  <si>
    <t>FOREIGN EXCHANGE RATE ADJUSTMENT FEE         04/16TAP AIRLI</t>
  </si>
  <si>
    <t>Zelle payment to Britt Magadini JPM99cdxxi7r</t>
  </si>
  <si>
    <t>SCRIBD* R680020687 SCRIBD.COM CA             04/20</t>
  </si>
  <si>
    <t>AMAZON RETA* BY2076C WWW.AMAZON.CO WA        04/20</t>
  </si>
  <si>
    <t>CVS/PHARMACY #09493 MAR VISTA CA     034323  04/19</t>
  </si>
  <si>
    <t>SP PHOTOSFORHEADSTON PHOTOSFORHEAD TX        04/19</t>
  </si>
  <si>
    <t>FANDANGO    * FANDANGO.COM CA                04/19</t>
  </si>
  <si>
    <t>Amazon Tips*BS4A55D3 Amzn.com/bill WA        04/19</t>
  </si>
  <si>
    <t>FANDANGO    * FANDANGO.COM CA                04/18</t>
  </si>
  <si>
    <t>AMAZON RETA* B75Z36U WWW.AMAZON.CO WA        04/19</t>
  </si>
  <si>
    <t>AMAZON MARK* BS9Z41Q AMAZON.COM/MA WA        04/19</t>
  </si>
  <si>
    <t>Zelle payment to natalie cordova JPM99cdozb9l</t>
  </si>
  <si>
    <t>Zelle payment to shaffa JPM99cdoz9g2</t>
  </si>
  <si>
    <t>AMAZON MKTPL*B79D30I Amzn.com/bill WA        04/19</t>
  </si>
  <si>
    <t>AMAZON MARK* B795D27 AMAZON.COM/MA WA        04/18</t>
  </si>
  <si>
    <t>AMAZON MARK* B70PI52 AMAZON.COM/MA WA        04/18</t>
  </si>
  <si>
    <t>SP RAJANIMD STORE.RAJANIM OR                 04/18</t>
  </si>
  <si>
    <t>SP ACTIVESKIN REPAIR ACTIVESKINREP CA        04/18</t>
  </si>
  <si>
    <t>AMAZON RETA* BY4N54G WWW.AMAZON.CO WA        04/19</t>
  </si>
  <si>
    <t>Amazon.com*B783I92H0 Amzn.com/bill WA        04/18</t>
  </si>
  <si>
    <t>LEELA QUANTUM TECH LEELAQ.COM NM             04/17</t>
  </si>
  <si>
    <t>TAP AIRLINE 04700187444 LISBOA               04/16 MA Dirham  1921.00 X 0.1084852 (EXCHG RTE)</t>
  </si>
  <si>
    <t>Online Transfer from CHK ...1168 transaction#: 28880170101</t>
  </si>
  <si>
    <t>TAP AIRLINE 04700187444 LISBOA               04/17</t>
  </si>
  <si>
    <t>FOREIGN EXCHANGE RATE ADJUSTMENT FEE         04/16ILLY RAK</t>
  </si>
  <si>
    <t>FOREIGN EXCHANGE RATE ADJUSTMENT FEE         04/16LJ HEPING</t>
  </si>
  <si>
    <t>Panasonic Avionics Corp Irvine CA            04/17</t>
  </si>
  <si>
    <t>LJ HEPING CHEN LISBOA                        04/16 Euro       87.15 X 1.180952 (EXCHG RTE)</t>
  </si>
  <si>
    <t>Amazon Tips*B743B2WE Amzn.com/bill WA        04/16</t>
  </si>
  <si>
    <t>ILLY RAK EURO MARRAKECH                      04/16 Euro       5.00 X 1.180000 (EXCHG RTE)</t>
  </si>
  <si>
    <t>NON-CHASE ATM WITHDRAW               693640  04/16R PORTAS</t>
  </si>
  <si>
    <t>NON-CHASE ATM WITHDRAW               753973  04/16AEROPORTO</t>
  </si>
  <si>
    <t>NON-CHASE ATM WITHDRAW               753699  04/16AEROPORTO</t>
  </si>
  <si>
    <t>Amazon.com*BS5FR1LA2 Amzn.com/bill WA        04/15</t>
  </si>
  <si>
    <t>TAP AIRLINE NEWARK NJ                        04/14</t>
  </si>
  <si>
    <t>FOREIGN EXCHANGE RATE ADJUSTMENT FEE         04/14LABORATOI</t>
  </si>
  <si>
    <t>AMAZON PRIME*YK3MA3G Amzn.com/bill WA        04/14</t>
  </si>
  <si>
    <t>LABORATOIRE VICTORHUGO MARRAKECH             04/14 MA Dirham  1100.00 X 0.1078273 (EXCHG RTE)</t>
  </si>
  <si>
    <t>FOREIGN EXCHANGE RATE ADJUSTMENT FEE         04/13ZEBRI TAH</t>
  </si>
  <si>
    <t>FOREIGN EXCHANGE RATE ADJUSTMENT FEE         04/13HERBORIST</t>
  </si>
  <si>
    <t>FOREIGN EXCHANGE RATE ADJUSTMENT FEE         04/13MOHCINE N</t>
  </si>
  <si>
    <t>APPLE.COM/BILL 866-712-7753 CA               04/14</t>
  </si>
  <si>
    <t>Prime Video Channels amzn.com/bill WA        04/14</t>
  </si>
  <si>
    <t>MOHCINE NMIYCH MARRAKECH                     04/13 MA Dirham  2100.00 X 0.1078619 (EXCHG RTE)</t>
  </si>
  <si>
    <t>HERBORISTRIE BEN DRISS MARRAKECH             04/13 MA Dirham  2000.00 X 0.1078600 (EXCHG RTE)</t>
  </si>
  <si>
    <t>ZEBRI TAHAR MARRAKECH                        04/13 MA Dirham  420.00 X 0.1078571 (EXCHG RTE)</t>
  </si>
  <si>
    <t>FOREIGN EXCHANGE RATE ADJUSTMENT FEE         04/11REPSOL E0</t>
  </si>
  <si>
    <t>FOREIGN EXCHANGE RATE ADJUSTMENT FEE         04/10CRUZ DE E</t>
  </si>
  <si>
    <t>FOREIGN EXCHANGE RATE ADJUSTMENT FEE         04/10HOTEL LOB</t>
  </si>
  <si>
    <t>FOREIGN EXCHANGE RATE ADJUSTMENT FEE         04/10AGRUPACIO</t>
  </si>
  <si>
    <t>FOREIGN EXCHANGE RATE ADJUSTMENT FEE         04/11LISBOA SO</t>
  </si>
  <si>
    <t>AMAZON MKTPL*B72Z18G Amzn.com/bill WA        04/13</t>
  </si>
  <si>
    <t>TAP AIRLINE NEWARK NJ                        04/12</t>
  </si>
  <si>
    <t>LISBOA SOUVENIRS LISBOA                      04/11 Euro       59.00 X 1.174068 (EXCHG RTE)</t>
  </si>
  <si>
    <t>REPSOL E0772 MONTEMOR-O-NO                   04/11 Euro       2.00 X 1.175000 (EXCHG RTE)</t>
  </si>
  <si>
    <t>NON-CHASE ATM WITHDRAW               467771  04/11REPSOL VE</t>
  </si>
  <si>
    <t>EXPEDIA 72073163999186 EXPEDIA.COM WA        04/11</t>
  </si>
  <si>
    <t>EXPEDIA 72073150297564 EXPEDIA.COM WA        04/10</t>
  </si>
  <si>
    <t>CRUZ DE ELVIRA-CATEDRAL GRANADA              04/10 Euro       31.45 X 1.172337 (EXCHG RTE)</t>
  </si>
  <si>
    <t>AGRUPACION DE GUIAS OFI GRANADA              04/10 Euro       56.08 X 1.172432 (EXCHG RTE)</t>
  </si>
  <si>
    <t>HOTEL LOBBY SEVILLA                          04/10 Euro       45.00 X 1.172444 (EXCHG RTE)</t>
  </si>
  <si>
    <t>Zelle payment from JOE SAUNDERS 28811713538</t>
  </si>
  <si>
    <t>NON-CHASE ATM WITHDRAW               773446  04/10100490164</t>
  </si>
  <si>
    <t>APPLE.COM/BILL 866-712-7753 CA               04/10</t>
  </si>
  <si>
    <t>Amazon Tips*BY9FO33M Amzn.com/bill WA        04/09</t>
  </si>
  <si>
    <t>TAP AIRLINE 04725244389 NEW YORK NY          04/09</t>
  </si>
  <si>
    <t>TAP AIRLINE 0470018646 800-2217370 NJ        04/09</t>
  </si>
  <si>
    <t>FOREIGN EXCHANGE RATE ADJUSTMENT FEE         04/08TORRE DE</t>
  </si>
  <si>
    <t>FOREIGN EXCHANGE RATE ADJUSTMENT FEE         04/08FRANCISCO</t>
  </si>
  <si>
    <t>FOREIGN EXCHANGE RATE ADJUSTMENT FEE         04/08UNITED SO</t>
  </si>
  <si>
    <t>FOREIGN EXCHANGE RATE ADJUSTMENT FEE         04/08SOUVENIRS</t>
  </si>
  <si>
    <t>APPLE.COM/BILL 866-712-7753 CA               04/09</t>
  </si>
  <si>
    <t>EXPEDIA 73415711340621 EXPEDIA.COM WA        04/08</t>
  </si>
  <si>
    <t>TAP AIRLINE 0470018646 800-2217370 NJ        04/08</t>
  </si>
  <si>
    <t>Amazon.com*BC32C0D51 Amzn.com/bill WA        04/08</t>
  </si>
  <si>
    <t>UNITED SOUVENIRS CORDOBA                     04/08 Euro       86.50 X 1.160694 (EXCHG RTE)</t>
  </si>
  <si>
    <t>SOUVENIRS SAN RAFAEL CORDOBA                 04/08 Euro       112.00 X 1.160714 (EXCHG RTE)</t>
  </si>
  <si>
    <t>TORRE DE LA CALAHORRA CORDOBA                04/08 Euro       9.00 X 1.161111 (EXCHG RTE)</t>
  </si>
  <si>
    <t>FRANCISCO VILLALBA AVIL ECIJA                04/08 Euro       14.80 X 1.160811 (EXCHG RTE)</t>
  </si>
  <si>
    <t>EXPEDIA 73381337714487 EXPEDIA.COM WA        04/08</t>
  </si>
  <si>
    <t>Online Transfer to CHK ...6975 transaction#: 28750430664 04/08</t>
  </si>
  <si>
    <t>Prime Video Channels amzn.com/bill WA        04/07</t>
  </si>
  <si>
    <t>Online Transfer from CHK ...1168 transaction#: 28750406621</t>
  </si>
  <si>
    <t>FOREIGN EXCHANGE RATE ADJUSTMENT FEE         04/06XARAZARTE</t>
  </si>
  <si>
    <t>FOREIGN EXCHANGE RATE ADJUSTMENT FEE         04/04RESTAURAN</t>
  </si>
  <si>
    <t>FOREIGN EXCHANGE RATE ADJUSTMENT FEE         04/04CENTRO IN</t>
  </si>
  <si>
    <t>NON-CHASE ATM WITHDRAW               139424  04/06CALLE ROD</t>
  </si>
  <si>
    <t>XARAZARTE MONSARAZ MONSARAZ                  04/06 Euro       22.70 X 1.155066 (EXCHG RTE)</t>
  </si>
  <si>
    <t>GOOGLE *YouTubePremi g.co/helppay# CA        04/06</t>
  </si>
  <si>
    <t>PSYCHOLOGY TODAY PSYCHOLOGYTOD SD            04/06</t>
  </si>
  <si>
    <t>NON-CHASE ATM WITHDRAW               416757  04/05PC DO GIR</t>
  </si>
  <si>
    <t>SABOR A ESPANA EVORA                         04/05</t>
  </si>
  <si>
    <t>RESTAURANTE MOMENTOS EVORA                   04/04 Euro       88.25 X 1.155127 (EXCHG RTE)</t>
  </si>
  <si>
    <t>CENTRO INT ALMENDRES N SENHORA DE            04/04 Euro       101.80 X 1.155108 (EXCHG RTE)</t>
  </si>
  <si>
    <t>NON-CHASE ATM WITHDRAW               315193  04/04REPSOL -</t>
  </si>
  <si>
    <t>EXPEDIA 73385366194474 EXPEDIA.COM WA        04/04</t>
  </si>
  <si>
    <t>NON-CHASE ATM WITHDRAW               784129  04/03RUA DO CA</t>
  </si>
  <si>
    <t>NON-CHASE ATM WITHDRAW               782300  04/03RUA DO CA</t>
  </si>
  <si>
    <t>Online Transfer to CHK ...6975 transaction#: 28682193716 04/03</t>
  </si>
  <si>
    <t>TM *PUBLIC IMAGE LTD 800-653-8000 CA         04/03</t>
  </si>
  <si>
    <t>APPLE.COM/BILL 866-712-7753 CA               04/02</t>
  </si>
  <si>
    <t>FOREIGN EXCHANGE RATE ADJUSTMENT FEE         04/01NYX*BRISA</t>
  </si>
  <si>
    <t>FOREIGN EXCHANGE RATE ADJUSTMENT FEE         04/01FORTE DE</t>
  </si>
  <si>
    <t>FOREIGN EXCHANGE RATE ADJUSTMENT FEE         04/01CHOCOLATA</t>
  </si>
  <si>
    <t>FOREIGN EXCHANGE RATE ADJUSTMENT FEE         04/01FORTE SAO</t>
  </si>
  <si>
    <t>UBER   * EATS PENDIN SAN FRANCISCO CA013067  04/02</t>
  </si>
  <si>
    <t>NON-CHASE ATM WITHDRAW               775188  04/02BP-A8 LAN</t>
  </si>
  <si>
    <t>CHOCOLATARIA PRAZER 2510-001 OBID            04/01 Euro       22.60 X 1.156637 (EXCHG RTE)</t>
  </si>
  <si>
    <t>FORTE SAO MIGUEL 2 NAZARE                    04/01 Euro       35.00 X 1.156571 (EXCHG RTE)</t>
  </si>
  <si>
    <t>FORTE DE SAO MIGUEL NAZARE                   04/01 Euro       6.00 X 1.156667 (EXCHG RTE)</t>
  </si>
  <si>
    <t>CASA DIAMANTINA TURI FATIMA                  04/01</t>
  </si>
  <si>
    <t>NYX*BRISAAREASDESERV SaoDomingosde           04/01 Euro       2.45 X 1.155102 (EXCHG RTE)</t>
  </si>
  <si>
    <t>FOREIGN EXCHANGE RATE ADJUSTMENT FEE         03/31FUNDACAO</t>
  </si>
  <si>
    <t>FUNDACAO CULTURSINTR SINTRA                  03/31 Euro       25.00 X 1.152400 (EXCHG RTE)</t>
  </si>
  <si>
    <t>FOREIGN EXCHANGE RATE ADJUSTMENT FEE         03/30FAB CATED</t>
  </si>
  <si>
    <t>FOREIGN EXCHANGE RATE ADJUSTMENT FEE         03/30ESTIMULAR</t>
  </si>
  <si>
    <t>BLUE SHIELD CALIFORNI 800-393-6130 CA        03/31</t>
  </si>
  <si>
    <t>ESTIMULAR SENTIDOS LISBOA                    03/30 Euro       60.00 X 1.154833 (EXCHG RTE)</t>
  </si>
  <si>
    <t>FAB CATEDRAL LX LISBOA                       03/30 Euro       48.00 X 1.155000 (EXCHG RTE)</t>
  </si>
  <si>
    <t>PINGO DOCE 1 DEZEMBR LISBOA                  03/30</t>
  </si>
  <si>
    <t>FOREIGN EXCHANGE RATE ADJUSTMENT FEE         03/29THE GREEN</t>
  </si>
  <si>
    <t xml:space="preserve">CHECK 8711  </t>
  </si>
  <si>
    <t>PENTESTER.COM PENTESTER.COM FL               03/30</t>
  </si>
  <si>
    <t>THE GREEN AFFAIR - SAL LISBOA                03/29 Euro       46.40 X 1.154957 (EXCHG RTE)</t>
  </si>
  <si>
    <t>Amazon Tips*BC4T011R Amzn.com/bill WA        03/29</t>
  </si>
  <si>
    <t>Panasonic Avionics Corp Irvine CA            03/29</t>
  </si>
  <si>
    <t>WILSHIRE &amp; FAIRFAX LOS ANGELES CA    914190  03/28</t>
  </si>
  <si>
    <t>UBER *TRIP HELP.UBER.C 800-5928996 CA        03/28</t>
  </si>
  <si>
    <t>VIATORTRIPADVISOR US 7027495744 CA           03/28</t>
  </si>
  <si>
    <t>APPLE.COM/BILL 866-712-7753 CA               03/28</t>
  </si>
  <si>
    <t>CVSExtraCare 80074672 800-746-7287 RI        03/28</t>
  </si>
  <si>
    <t>AMAZON MARK* BC9ED9N AMAZON.COM/MA WA        03/28</t>
  </si>
  <si>
    <t>UBER   * EATS PENDIN SAN FRANCISCO CA076336  03/27</t>
  </si>
  <si>
    <t>Amazon.com*B56U70B40 Amzn.com/bill WA        03/28</t>
  </si>
  <si>
    <t>AMAZON MARK* B51TA1V AMAZON.COM/MA WA        03/27</t>
  </si>
  <si>
    <t>Online Transfer from CHK ...1168 transaction#: 28600194009</t>
  </si>
  <si>
    <t>CVS/PHARMACY #09493 MAR VISTA CA     029796  03/27</t>
  </si>
  <si>
    <t>AMAZON MARK* B56EK2G AMAZON.COM/MA WA        03/27</t>
  </si>
  <si>
    <t>AMAZON MARK* B51IT5X AMAZON.COM/MA WA        03/27</t>
  </si>
  <si>
    <t>UBER   * EATS PENDIN SAN FRANCISCO CA134408  03/26</t>
  </si>
  <si>
    <t>TST*BLUEYS KITCHEN MAR Los Angeles CA        03/26</t>
  </si>
  <si>
    <t>SPACEWEATHERNEWS.COM SPACEWEATHERN CO        03/26</t>
  </si>
  <si>
    <t>Prime Video Channels amzn.com/bill WA        03/26</t>
  </si>
  <si>
    <t>AMAZON MARK* BG69W3Y AMAZON.COM/MA WA        03/27</t>
  </si>
  <si>
    <t>AMAZON MARK* B57S076 AMAZON.COM/MA WA        03/26</t>
  </si>
  <si>
    <t>AMAZON MARK* B58MR3D AMAZON.COM/MA WA        03/26</t>
  </si>
  <si>
    <t>ATM CHECK DEPOSIT 03/27 12335 VENICE BLVD LOS ANGELES CA</t>
  </si>
  <si>
    <t>AMAZON RETA* BG1KR8I WWW.AMAZON.CO WA        03/26</t>
  </si>
  <si>
    <t>AMAZON MARK* BG0UG1U AMAZON.COM/MA WA        03/26</t>
  </si>
  <si>
    <t>AMAZON MARK* BG0F58U AMAZON.COM/MA WA        03/26</t>
  </si>
  <si>
    <t>AMAZON MARK* B59CC7T AMAZON.COM/MA WA        03/26</t>
  </si>
  <si>
    <t>AMAZON MARK* B52RW08 AMAZON.COM/MA WA        03/26</t>
  </si>
  <si>
    <t>AMAZON RETA* BG19T1D WWW.AMAZON.CO WA        03/25</t>
  </si>
  <si>
    <t>LUKE UNFILTERED WEARECHANGE.O FL             03/25</t>
  </si>
  <si>
    <t>AMAZON PRIME*MC6BC5V Amzn.com/bill WA        03/25</t>
  </si>
  <si>
    <t>ATT*BILL PAYMENT 800-288-2020 TX             03/24</t>
  </si>
  <si>
    <t>AMAZON RETA* B58DF9O WWW.AMAZON.CO WA        03/25</t>
  </si>
  <si>
    <t>CVS/PHARMACY #09493 MAR VISTA CA     018802  03/24</t>
  </si>
  <si>
    <t>ATM WITHDRAWAL                       000809  03/2412335 VEN</t>
  </si>
  <si>
    <t>CVS/PHARMACY #09 09493 MAR VISTA CA  034152  03/24</t>
  </si>
  <si>
    <t>AMAZON MKTPL*BD51X3R Amzn.com/bill WA        03/24</t>
  </si>
  <si>
    <t>AMAZON MKTPL*B55D26A Amzn.com/bill WA        03/24</t>
  </si>
  <si>
    <t>Amazon Tips*B593P5JU Amzn.com/bill WA        03/23</t>
  </si>
  <si>
    <t>APPLE.COM/BILL 866-712-7753 CA               03/23</t>
  </si>
  <si>
    <t>VIRGINATLAIREALO95 HELP.VIRGINAT GA          03/23</t>
  </si>
  <si>
    <t>Online Transfer from CHK ...1168 transaction#: 28554783025</t>
  </si>
  <si>
    <t>ATM CHECK DEPOSIT 03/24 12335 VENICE BLVD LOS ANGELES CA</t>
  </si>
  <si>
    <t>SP VALASTA LLC VALASTA.NET SC                03/23</t>
  </si>
  <si>
    <t>AMAZON MARK* B574P5Z AMAZON.COM/MA WA        03/23</t>
  </si>
  <si>
    <t>AMAZON MARK* BD53532 AMAZON.COM/MA WA        03/23</t>
  </si>
  <si>
    <t>AMAZON MARK* BG80920 AMAZON.COM/MA WA        03/23</t>
  </si>
  <si>
    <t>AMAZON RETA* BD48Z92 WWW.AMAZON.CO WA        03/23</t>
  </si>
  <si>
    <t>AMAZON MARK* BD9AI52 AMAZON.COM/MA WA        03/23</t>
  </si>
  <si>
    <t>ZARA USA INC. ESTADOS UNIDO NY       146534  03/20</t>
  </si>
  <si>
    <t>Online Transfer to CHK ...6975 transaction#: 28532228126 03/23</t>
  </si>
  <si>
    <t>Online Payment 28532220618 To SAFECO INSURANCE COMPANY 03/23</t>
  </si>
  <si>
    <t>Online Payment 28532196405 To FRONTIER TELEPHONE 03/23</t>
  </si>
  <si>
    <t>Online Payment 28532194986 To AMERICAN EDUCATION SERVICES 03/23</t>
  </si>
  <si>
    <t>Online Payment 28532187436 To MERCEDES-BENZ FINANCIAL SERVICES 03/23</t>
  </si>
  <si>
    <t>PNM*THE TOLLROAD SANTA CLARA CA      585697  03/22</t>
  </si>
  <si>
    <t>Amazon.com*BG6B92TH2 Amzn.com/bill WA        03/22</t>
  </si>
  <si>
    <t>TARGET.COM          BROOKLYN PARK MN 512757  03/22</t>
  </si>
  <si>
    <t>UBER * EATS PENDING SAN FRANCISCO CA 675546  03/21</t>
  </si>
  <si>
    <t>TARGET.COM          BROOKLYN PARK MN 392146  03/21</t>
  </si>
  <si>
    <t>TARGET.COM          BROOKLYN PARK MN 511989  03/21</t>
  </si>
  <si>
    <t>AMAZON MARK* BD5TU3B AMAZON.COM/MA WA        03/22</t>
  </si>
  <si>
    <t>AMAZON MARK* BD7RD5B AMAZON.COM/MA WA        03/22</t>
  </si>
  <si>
    <t>AMAZON MARK* BG3W52L AMAZON.COM/MA WA        03/21</t>
  </si>
  <si>
    <t>ToursByLocals Inc. 604-7774141 WY            03/21</t>
  </si>
  <si>
    <t>NEXTLINK BROADBAND 855-6985465 TX            03/20</t>
  </si>
  <si>
    <t>Zelle payment from ROSE LI 28536345490</t>
  </si>
  <si>
    <t>Online Transfer from CHK ...1168 transaction#: 28521606774</t>
  </si>
  <si>
    <t>Online Transfer from CHK ...1168 transaction#: 28532226913</t>
  </si>
  <si>
    <t>SCRIBD* R680020687 SCRIBD.COM CA             03/20</t>
  </si>
  <si>
    <t>AMAZON MARK* BD8CU90 AMAZON.COM/MA WA        03/20</t>
  </si>
  <si>
    <t>TST*BEETHOVEN Los Angeles CA                 03/19</t>
  </si>
  <si>
    <t>CSC PALM SPRINGS TENNI 855-8596983 AZ        03/17</t>
  </si>
  <si>
    <t>ZARA USA INC. ESTADOS UNIDO NY       146490  03/18</t>
  </si>
  <si>
    <t>Amazon Tips*BD2OV75Q Amzn.com/bill WA        03/18</t>
  </si>
  <si>
    <t>Amazon Tips*B59XP5BQ Amzn.com/bill WA        03/18</t>
  </si>
  <si>
    <t>AMAZON MARK* B59LW06 AMAZON.COM/MA WA        03/19</t>
  </si>
  <si>
    <t>SP JEFFREYCAMPBELL JEFFREYCAMPBE CA          03/18</t>
  </si>
  <si>
    <t>SP FARM RIO FARMRIO.COM NY                   03/18</t>
  </si>
  <si>
    <t>LEELA QUANTUM TECH LEELAQ.COM NM             03/17</t>
  </si>
  <si>
    <t>Amazon Retai*BD5EK71 Amzn.com/bill WA        03/17</t>
  </si>
  <si>
    <t>Amazon.com*B55OM5GB2 Amzn.com/bill WA        03/17</t>
  </si>
  <si>
    <t>Zelle payment from TANYA MILLER HNA022DX5B5H</t>
  </si>
  <si>
    <t>TARGET.COM          BROOKLYN PARK MN 581729  03/17</t>
  </si>
  <si>
    <t>AMAZON MARK* BD29Z20 AMAZON.COM/MA WA        03/17</t>
  </si>
  <si>
    <t>SP AURO WELLNESS AUROWELLNESS. CA            03/17</t>
  </si>
  <si>
    <t>APPLE.COM/BILL 866-712-7753 CA               03/16</t>
  </si>
  <si>
    <t>Online Transfer from CHK ...1168 transaction#: 28471503036</t>
  </si>
  <si>
    <t>FOREIGN EXCHANGE RATE ADJUSTMENT FEE         03/15FH* PICTA</t>
  </si>
  <si>
    <t>UBER   * EATS PENDIN SAN FRANCISCO CA079591  03/15</t>
  </si>
  <si>
    <t>ROSS STORES #311 VENICE CA                   03/15</t>
  </si>
  <si>
    <t>TST*BLUEYS KITCHEN MAR Los Angeles CA        03/15</t>
  </si>
  <si>
    <t>Mutzel Nutrition LLC 866-2510001 WA          03/15</t>
  </si>
  <si>
    <t>FH* PICTA TRAVEL CAMPO DE OURI               03/15 Euro       154.50 X 1.153204 (EXCHG RTE)</t>
  </si>
  <si>
    <t>Prime Video Channels amzn.com/bill WA        03/14</t>
  </si>
  <si>
    <t>AMAZON PRIME*D92YA85 Amzn.com/bill WA        03/14</t>
  </si>
  <si>
    <t>APPLE.COM/BILL 866-712-7753 CA               03/14</t>
  </si>
  <si>
    <t>SQ *INN OF THE SEVENTH gosq.com MT           03/14</t>
  </si>
  <si>
    <t>AMAZON MARK* BP7FW2W AMAZON.COM/MA WA        03/14</t>
  </si>
  <si>
    <t>Amazon.com*BD1GV79M2 Amzn.com/bill WA        03/14</t>
  </si>
  <si>
    <t>AMAZON MKTPL*BP8X17G Amzn.com/bill WA        03/14</t>
  </si>
  <si>
    <t>Amazon Tips*BD8I88KD Amzn.com/bill WA        03/13</t>
  </si>
  <si>
    <t>AMAZON MARK* B55QT0J AMAZON.COM/MA WA        03/16</t>
  </si>
  <si>
    <t>AMAZON MKTPL*BP3RE9G Amzn.com/bill WA        03/14</t>
  </si>
  <si>
    <t>Online Transfer from CHK ...1168 transaction#: 28441762407</t>
  </si>
  <si>
    <t>GELSON'S MARKETS #10 MARINA DEL RE CA332878  03/13</t>
  </si>
  <si>
    <t>CVS/PHARMACY #08 088 MARINA DEL RE CA003157  03/13</t>
  </si>
  <si>
    <t>AMAZON MARK* BP7P30K AMAZON.COM/MA WA        03/13</t>
  </si>
  <si>
    <t>TST*TAVERNA AT THE MAR Los Angeles CA        03/12</t>
  </si>
  <si>
    <t>MITSUWA MRKTPLACE SM LOS ANGELES CA          03/12</t>
  </si>
  <si>
    <t>Amazon.com*BD4UY68F2 Amzn.com/bill WA        03/12</t>
  </si>
  <si>
    <t>AMAZON MARK* BP4MK5T AMAZON.COM/MA WA        03/12</t>
  </si>
  <si>
    <t>AMAZON MKTPL*BD0OF6Q Amzn.com/bill WA        03/12</t>
  </si>
  <si>
    <t>AMAZON MARK* BP3609T AMAZON.COM/MA WA        03/12</t>
  </si>
  <si>
    <t>AMAZON MKTPL*BP63N1J Amzn.com/bill WA        03/12</t>
  </si>
  <si>
    <t>TST*BEETHOVEN Los Angeles CA                 03/11</t>
  </si>
  <si>
    <t>COMPLETE EYE CARE CENT LOS ANGELES CA        03/11</t>
  </si>
  <si>
    <t>HANDY J CAR WASH LOS ANGELES CA              03/11</t>
  </si>
  <si>
    <t>AMAZON MARK* BP6S934 AMAZON.COM/MA WA        03/11</t>
  </si>
  <si>
    <t>ATM CHECK DEPOSIT 03/12 12335 VENICE BLVD LOS ANGELES CA</t>
  </si>
  <si>
    <t>ATM WITHDRAWAL                       009708  03/1112335 VEN</t>
  </si>
  <si>
    <t>UBER   * EATS PENDIN SAN FRANCISCO CA014684  03/11</t>
  </si>
  <si>
    <t>AMAZON MARK* BD5GX40 AMAZON.COM/MA WA        03/11</t>
  </si>
  <si>
    <t>FEDEX OFFICE 1015 CI MARINA DEL RE CA        03/10</t>
  </si>
  <si>
    <t>AMAZON MARK* BD86R2A AMAZON.COM/MA WA        03/11</t>
  </si>
  <si>
    <t>Amazon Tips*BD4YA3J4 Amzn.com/bill WA        03/10</t>
  </si>
  <si>
    <t>68160 4962 SPEEDWAY MARINA DEL RE CA 230000  03/10</t>
  </si>
  <si>
    <t>Zimmermann USA, Inc. New York NY             03/10</t>
  </si>
  <si>
    <t>Etsy.com*Multiple Shop ETSY.COM NY           03/10</t>
  </si>
  <si>
    <t>APPLE.COM/BILL 866-712-7753 CA               03/10</t>
  </si>
  <si>
    <t>PAVILIONS #2105 MARINA DEL RE CA             03/09</t>
  </si>
  <si>
    <t>GRANDVIEW CLEANERS LOS ANGELES CA            03/09</t>
  </si>
  <si>
    <t>AMAZON MARK* BE1SH87 AMAZON.COM/MA WA        03/09</t>
  </si>
  <si>
    <t>AMAZON RETA* BP1DI7A WWW.AMAZON.CO WA        03/09</t>
  </si>
  <si>
    <t>AMAZON MARK* BD1UN8N AMAZON.COM/MA WA        03/10</t>
  </si>
  <si>
    <t>AMAZON MKTPL*BE5DH5K Amzn.com/bill WA        03/09</t>
  </si>
  <si>
    <t>AMAZON MKTPL*BD2EY84 Amzn.com/bill WA        03/09</t>
  </si>
  <si>
    <t>Amazon.com*BP2WR8JC1 Amzn.com/bill WA        03/09</t>
  </si>
  <si>
    <t>Zara.com 212-3551415 NY                      03/09</t>
  </si>
  <si>
    <t>Zelle payment from TANYA MILLER HNA0225PMZCA</t>
  </si>
  <si>
    <t>ATM WITHDRAWAL                       009490  03/0912335 VEN</t>
  </si>
  <si>
    <t>AMAZON MKTPL*BE32A7S Amzn.com/bill WA        03/09</t>
  </si>
  <si>
    <t>AMAZON MKTPL*BD9EO8O Amzn.com/bill WA        03/09</t>
  </si>
  <si>
    <t>SP BODYBIO INC. BODYBIO.COM NJ               03/09</t>
  </si>
  <si>
    <t>EXPEDIA 73391838439415 EXPEDIA.COM WA        03/09</t>
  </si>
  <si>
    <t>APPLE.COM/BILL 866-712-7753 CA               03/09</t>
  </si>
  <si>
    <t>AMAZON MARK* BP81P2N AMAZON.COM/MA WA        03/09</t>
  </si>
  <si>
    <t>AMAZON MARK* BP8IU7Y AMAZON.COM/MA WA        03/09</t>
  </si>
  <si>
    <t>AMAZON RETA* BE9I73D WWW.AMAZON.CO WA        03/09</t>
  </si>
  <si>
    <t>AMAZON MARK* BP2AW6F AMAZON.COM/MA WA        03/08</t>
  </si>
  <si>
    <t>UNITED      01643768665 UNITED.COM TX        03/08</t>
  </si>
  <si>
    <t>UNITED      016238213 800-864-8331 TX        03/07</t>
  </si>
  <si>
    <t>AMAZON MARK* BE5Q37B AMAZON.COM/MA WA        03/08</t>
  </si>
  <si>
    <t>UBER   * EATS PENDIN SAN FRANCISCO CA012844  03/07</t>
  </si>
  <si>
    <t>AMAZON MKTPL*BE5E88V Amzn.com/bill WA        03/07</t>
  </si>
  <si>
    <t>Prime Video Channels amzn.com/bill WA        03/07</t>
  </si>
  <si>
    <t>AMAZON MKTPL*BE9TD0S Amzn.com/bill WA        03/09</t>
  </si>
  <si>
    <t>AMAZON MARK* BP3ZD1U AMAZON.COM/MA WA        03/08</t>
  </si>
  <si>
    <t>AMAZON MARK* BE7853G AMAZON.COM/MA WA        03/07</t>
  </si>
  <si>
    <t>MANGO.COM NEW YORK NY                089484  03/06</t>
  </si>
  <si>
    <t>AMAZON MKTPL*BP8I386 Amzn.com/bill WA        03/07</t>
  </si>
  <si>
    <t>AMAZON MKTPL*BE3OK89 Amzn.com/bill WA        03/07</t>
  </si>
  <si>
    <t>AMAZON MARK* BP1IO36 AMAZON.COM/MA WA        03/07</t>
  </si>
  <si>
    <t>AMAZON MARK* BE40D4X AMAZON.COM/MA WA        03/07</t>
  </si>
  <si>
    <t>TST*BLUEYS KITCHEN MAR Los Angeles CA        03/06</t>
  </si>
  <si>
    <t>2418 AMC AMC MARINA MARINA DEL RE CA         03/05</t>
  </si>
  <si>
    <t>Online Transfer from CHK ...1168 transaction#: 28362200172</t>
  </si>
  <si>
    <t>ATM CHECK DEPOSIT 03/09 12335 VENICE BLVD LOS ANGELES CA</t>
  </si>
  <si>
    <t>UBER   * EATS PENDIN SAN FRANCISCO CA132358  03/06</t>
  </si>
  <si>
    <t>GOOGLE *YouTubePremi g.co/helppay# CA        03/06</t>
  </si>
  <si>
    <t>PSYCHOLOGY TODAY PSYCHOLOGYTOD SD            03/06</t>
  </si>
  <si>
    <t>SP OLYXIR OLYXIR.COM CA                      03/05</t>
  </si>
  <si>
    <t>AMAZON MARK* BE7VF66 AMAZON.COM/MA WA        03/06</t>
  </si>
  <si>
    <t>AMAZON MARK* BP9J14X AMAZON.COM/MA WA        03/05</t>
  </si>
  <si>
    <t>Etsy.com*Multiple Shop ETSY.COM NY           03/05</t>
  </si>
  <si>
    <t>AMC 9640 ONLINE 888-440-4262 KS              03/05</t>
  </si>
  <si>
    <t>PAVILIONS #2105 MARINA DEL RE CA             03/04</t>
  </si>
  <si>
    <t>MAMOLO'S FINE PASTRY M 805-4960045 CA        03/04</t>
  </si>
  <si>
    <t>AMAZON MARK* BE4EB35 AMAZON.COM/MA WA        03/05</t>
  </si>
  <si>
    <t>AMAZON MARK* BE1Y004 AMAZON.COM/MA WA        03/05</t>
  </si>
  <si>
    <t>ANTHROPOLOGIE.COM ANTHROPOLOGIE PA           03/05</t>
  </si>
  <si>
    <t>TAP AIRLINE 0470018117 800-2217370 NJ        03/03</t>
  </si>
  <si>
    <t>GELSON'S MARKETS #10 MARINA DEL RE CA626835  03/04</t>
  </si>
  <si>
    <t>SP WELLNESS COMPANY TWC.HEALTH FL            03/04</t>
  </si>
  <si>
    <t>Etsy.com*Multiple Shop ETSY.COM NY           03/03</t>
  </si>
  <si>
    <t>AMAZON MARK* BP6437T AMAZON.COM/MA WA        03/04</t>
  </si>
  <si>
    <t>AMAZON MARK* B97G80W AMAZON.COM/MA WA        03/04</t>
  </si>
  <si>
    <t>QDI*QUEST DIAGNOSTICS 866-697-8378 CA        03/04</t>
  </si>
  <si>
    <t>AMAZON MARK* BP67X3T AMAZON.COM/MA WA        03/04</t>
  </si>
  <si>
    <t>AMAZON MARK* B99135W AMAZON.COM/MA WA        03/04</t>
  </si>
  <si>
    <t>AMAZON MARK* BP7J30A AMAZON.COM/MA WA        03/04</t>
  </si>
  <si>
    <t>AMAZON MARK* B96SL3U AMAZON.COM/MA WA        03/03</t>
  </si>
  <si>
    <t>Zara.com 212-3551415 NY                      03/03</t>
  </si>
  <si>
    <t>AMAZON MKTPL*BP3P65E Amzn.com/bill WA        03/04</t>
  </si>
  <si>
    <t>Online Transfer to CHK ...6975 transaction#: 28293458078 03/03</t>
  </si>
  <si>
    <t>Online Payment 28293382808 To SOUTHERN CALIFORNIA GAS CO 03/03</t>
  </si>
  <si>
    <t>Online Payment 28293381683 To SAFECO INSURANCE COMPANY 03/03</t>
  </si>
  <si>
    <t>Online Payment 28293327084 To FRONTIER TELEPHONE 03/03</t>
  </si>
  <si>
    <t>Online Payment 28293334334 To AMERICAN EDUCATION SERVICES 03/03</t>
  </si>
  <si>
    <t>Online Payment 28293341698 To MERCEDES-BENZ FINANCIAL SERVICES 03/03</t>
  </si>
  <si>
    <t>APPLE.COM/BILL 866-712-7753 CA               03/03</t>
  </si>
  <si>
    <t>AMAZON MARK* B990A07 AMAZON.COM/MA WA        03/03</t>
  </si>
  <si>
    <t>AMAZON MARK* BP5X83Z AMAZON.COM/MA WA        03/03</t>
  </si>
  <si>
    <t>AMAZON MARK* BE9K76E AMAZON.COM/MA WA        03/03</t>
  </si>
  <si>
    <t>SP ANNA SUI ANNASUI.COM NY                   03/02</t>
  </si>
  <si>
    <t>SQ *INN OF THE SEVENTH gosq.com MT           03/02</t>
  </si>
  <si>
    <t>AMAZON MARK* B92B21K AMAZON.COM/MA WA        03/03</t>
  </si>
  <si>
    <t>AMAZON MARK* BP6DB6L AMAZON.COM/MA WA        03/03</t>
  </si>
  <si>
    <t>AMAZON MARK* B98OU02 AMAZON.COM/MA WA        03/03</t>
  </si>
  <si>
    <t>AMAZON MARK* BE49J1E AMAZON.COM/MA WA        03/03</t>
  </si>
  <si>
    <t>AMAZON MARK* BP3HM0F AMAZON.COM/MA WA        03/03</t>
  </si>
  <si>
    <t>AMAZON MARK* BP8J40O AMAZON.COM/MA WA        03/03</t>
  </si>
  <si>
    <t>Online Transfer from CHK ...1168 transaction#: 28293237253</t>
  </si>
  <si>
    <t>FOREIGN EXCHANGE RATE ADJUSTMENT FEE         02/27PARQUES D</t>
  </si>
  <si>
    <t>Online Transfer to CHK ...6975 transaction#: 28268831444 03/02</t>
  </si>
  <si>
    <t>SQ *COLORADO DONUTS Los Angeles CA           03/01</t>
  </si>
  <si>
    <t>TST* CHECKER HALL LOS ANGELES CA             03/02</t>
  </si>
  <si>
    <t>Amazon Tips*BE4W27OA Amzn.com/bill WA        03/01</t>
  </si>
  <si>
    <t>Amazon Tips*BE2K10UI Amzn.com/bill WA        03/01</t>
  </si>
  <si>
    <t>AMAZON MARK* B900U5Y AMAZON.COM/MA WA        03/01</t>
  </si>
  <si>
    <t>SP MCW CARPETBAGS MCWHANDMADE.C CA           03/01</t>
  </si>
  <si>
    <t>EXPEDIA 73385366194474 EXPEDIA.COM WA        03/01</t>
  </si>
  <si>
    <t>AMAZON RETA* B99Q14W WWW.AMAZON.CO WA        03/01</t>
  </si>
  <si>
    <t>AMAZON MARK* B925L3M AMAZON.COM/MA WA        03/01</t>
  </si>
  <si>
    <t>GELSON'S MARKET #29 SANTA MONICA CA          02/28 Purchase $130.59 Cash Back $100.00</t>
  </si>
  <si>
    <t>Amazon.com*BE9MT7S22 Amzn.com/bill WA        02/28</t>
  </si>
  <si>
    <t>AMAZON RETA* BE6YL6K WWW.AMAZON.CO WA        03/01</t>
  </si>
  <si>
    <t>Amazon.com*BE9M32SQ2 Amzn.com/bill WA        02/28</t>
  </si>
  <si>
    <t>SSP*Art Deco Societty 310-6593326 CA         03/01</t>
  </si>
  <si>
    <t>APPLE.COM/BILL 866-712-7753 CA               02/28</t>
  </si>
  <si>
    <t>BLUE SHIELD CALIFORNI 800-393-6130 CA        02/28</t>
  </si>
  <si>
    <t>CVSExtraCare 80074672 800-746-7287 RI        02/28</t>
  </si>
  <si>
    <t>PENTESTER.COM PENTESTER.COM FL               02/28</t>
  </si>
  <si>
    <t>AMAZON MARK* BE9YR0D AMAZON.COM/MA WA        02/28</t>
  </si>
  <si>
    <t>AMAZON MARK* B91AX4K AMAZON.COM/MA WA        02/28</t>
  </si>
  <si>
    <t>AMAZON MARK* B928O4T AMAZON.COM/MA WA        02/28</t>
  </si>
  <si>
    <t>SP BLUEPRINT.BJ-5353 BLUEPRINT.BRY CA        02/28</t>
  </si>
  <si>
    <t>COMPLETE EYE CARE CENT LOS ANGELES CA        02/27</t>
  </si>
  <si>
    <t>TST* CAFE GRATITUDE - V VENICE CA            02/28</t>
  </si>
  <si>
    <t>PARQUES DE SINTRA SINTRA                     02/27 Euro       40.00 X 1.183000 (EXCHG RTE)</t>
  </si>
  <si>
    <t>Online Transfer from CHK ...1168 transaction#: 28278843987</t>
  </si>
  <si>
    <t>THE C. G. JUNG INSTIT 310-556-1193 CA        02/28</t>
  </si>
  <si>
    <t>FOREIGN EXCHANGE RATE ADJUSTMENT FEE         02/27WPT*MEO B</t>
  </si>
  <si>
    <t>VIATORTRIPADVISOR US 7027495744 CA           02/27</t>
  </si>
  <si>
    <t>WPT*MEO Blueticket MEO Blueticke             02/27 Euro       64.43 X 1.183144 (EXCHG RTE)</t>
  </si>
  <si>
    <t>SPACEWEATHERNEWS.COM SPACEWEATHERN CO        02/26</t>
  </si>
  <si>
    <t>Prime Video Channels amzn.com/bill WA        02/26</t>
  </si>
  <si>
    <t>AMAZON MKTPL*B91IP38 Amzn.com/bill WA        02/27</t>
  </si>
  <si>
    <t>UPS*1ZAT4827029348286 800-811-1648 GA        02/26</t>
  </si>
  <si>
    <t>AMAZON MARK* B93R78G AMAZON.COM/MA WA        02/26</t>
  </si>
  <si>
    <t>THE UPS STORE 4398 310-9156580 CA            02/25</t>
  </si>
  <si>
    <t>LADOT METER PARKING LOS ANGELES CA           02/25</t>
  </si>
  <si>
    <t>GRANDVIEW CLEANERS LOS ANGELES CA            02/25</t>
  </si>
  <si>
    <t>COMPLETE EYE CARE CENT LOS ANGELES CA        02/25</t>
  </si>
  <si>
    <t>SSP*Art Deco Societty 310-6593326 CA         02/25</t>
  </si>
  <si>
    <t>AMAZON MKTPL*MY04T3K Amzn.com/bill WA        02/25</t>
  </si>
  <si>
    <t>FOREIGN EXCHANGE RATE ADJUSTMENT FEE         02/25MADERO PA</t>
  </si>
  <si>
    <t>RAINBOW ACRES LOS ANGELES CA         133590  02/25</t>
  </si>
  <si>
    <t>WITHDRAWAL 02/25</t>
  </si>
  <si>
    <t>VIATORTRIPADVISOR US 7027495744 CA           02/25</t>
  </si>
  <si>
    <t>EIGHT SLEEP EIGHTSLEEP.CO NY                 02/25</t>
  </si>
  <si>
    <t>MADERO PARQU88839 SAO PAULO                  02/25 BR Real    10.21 X 0.1949070 (EXCHG RTE)</t>
  </si>
  <si>
    <t>LUKE UNFILTERED WEARECHANGE.O FL             02/25</t>
  </si>
  <si>
    <t>AMAZON PRIME*M15Z877 Amzn.com/bill WA        02/24</t>
  </si>
  <si>
    <t>HEALTHTRACKRX 866-287-3218 TX                02/24</t>
  </si>
  <si>
    <t>ATT*BILL PAYMENT 800-288-2020 TX             02/24</t>
  </si>
  <si>
    <t>AMAZON MKTPL*2O9OM8A Amzn.com/bill WA        02/24</t>
  </si>
  <si>
    <t>AMAZON MKTPL*4V9LA21 Amzn.com/bill WA        02/25</t>
  </si>
  <si>
    <t>AMAZON MARK* BE5YO2N AMAZON.COM/MA WA        02/25</t>
  </si>
  <si>
    <t>Online Transfer from CHK ...9335 transaction#: 28201880160</t>
  </si>
  <si>
    <t>DEPOSIT  ID NUMBER 143174</t>
  </si>
  <si>
    <t>DEPOSIT  ID NUMBER 143168</t>
  </si>
  <si>
    <t>Online Transfer to CHK ...6975 transaction#: 28192481937 02/24</t>
  </si>
  <si>
    <t>EXPEDIA 73381337714487 EXPEDIA.COM WA        02/24</t>
  </si>
  <si>
    <t>AMAZON MKTPL*B95SR1L Amzn.com/bill WA        02/24</t>
  </si>
  <si>
    <t>Amazon.com*FU2GT4KT3 Amzn.com/bill WA        02/24</t>
  </si>
  <si>
    <t>Amazon Tips*7I36J2JR Amzn.com/bill WA        02/23</t>
  </si>
  <si>
    <t>APPLE.COM/BILL 866-712-7753 CA               02/23</t>
  </si>
  <si>
    <t>AMAZON MARK* XR8TK8Z AMAZON.COM/MA WA        02/24</t>
  </si>
  <si>
    <t>AMAZON RETA* BE06T3F WWW.AMAZON.CO WA        02/24</t>
  </si>
  <si>
    <t>AMAZON MKTPL*B92OG6O Amzn.com/bill WA        02/23</t>
  </si>
  <si>
    <t>AMAZON MKTPL*BE87Y6C Amzn.com/bill WA        02/23</t>
  </si>
  <si>
    <t>AMAZON RETA* YD01F1SP3 SEATTLE WA            02/23</t>
  </si>
  <si>
    <t>MCAFEE*AUTORENEWAL 866-622-3911 TX           02/23</t>
  </si>
  <si>
    <t>SP RAJANIMD STORE.RAJANIM OR                 02/23</t>
  </si>
  <si>
    <t>AMAZON MARK* B90TU8W AMAZON.COM/MA WA        02/23</t>
  </si>
  <si>
    <t>AMAZON MARK* AX3CW81 AMAZON.COM/MA WA        02/23</t>
  </si>
  <si>
    <t>AMAZON RETA* 0B8KA8W WWW.AMAZON.CO WA        02/23</t>
  </si>
  <si>
    <t>SP WELLNESS COMPANY TWC.HEALTH FL            02/23</t>
  </si>
  <si>
    <t>Amazon.com*B11W03WN1 Amzn.com/bill WA        02/22</t>
  </si>
  <si>
    <t>REPUBLIC SERVICES TRA 866-576-5548 AZ        02/22</t>
  </si>
  <si>
    <t>EXPEDIA 73379893150469 EXPEDIA.COM WA        02/22</t>
  </si>
  <si>
    <t>EXPEDIA 73379875844234 EXPEDIA.COM WA        02/22</t>
  </si>
  <si>
    <t>EXPEDIA 73379867240273 EXPEDIA.COM WA        02/22</t>
  </si>
  <si>
    <t>EXPEDIA 73379803247427 EXPEDIA.COM WA        02/22</t>
  </si>
  <si>
    <t>EXPEDIA 73379792077658 EXPEDIA.COM WA        02/22</t>
  </si>
  <si>
    <t>EXPEDIA 73378908602881 EXPEDIA.COM WA        02/21</t>
  </si>
  <si>
    <t>VIRGINATLAIR932746939 180-08628621 GA        02/20</t>
  </si>
  <si>
    <t>NEXTLINK BROADBAND 855-6985465 TX            02/20</t>
  </si>
  <si>
    <t>TAP AIR     00000179 WWW.FLYTAP.CO NJ        02/20</t>
  </si>
  <si>
    <t>APPLE CASH SENT MONE 1INFINITELOOP CA        02/20</t>
  </si>
  <si>
    <t>WP*WORDPRESS ET1F1S6 WORDPRESS.COM CA        02/20</t>
  </si>
  <si>
    <t>EXPEDIA 73378489827446 EXPEDIA.COM WA        02/20</t>
  </si>
  <si>
    <t>SCRIBD* R680020687 SCRIBD.COM CA             02/20</t>
  </si>
  <si>
    <t>ALLIANZ EVENT INS ALLIANZINS.US VA           02/20</t>
  </si>
  <si>
    <t>TM *SHE WANTS REVENGE 800-653-8000 CA        02/20</t>
  </si>
  <si>
    <t>FANDANGO    * FANDANGO.COM CA                02/20</t>
  </si>
  <si>
    <t>SP ANNA SUI ANNASUI.COM NY                   02/20</t>
  </si>
  <si>
    <t>PAVILIONS #2105 MARINA DEL RE CA             02/19</t>
  </si>
  <si>
    <t>AMAZON RETA* YD01F1S WWW.AMAZON.CO WA        02/20</t>
  </si>
  <si>
    <t>AMAZON MARK* NU8I74V AMAZON.COM/MA WA        02/19</t>
  </si>
  <si>
    <t>Online Transfer from CHK ...1168 transaction#: 28136530949</t>
  </si>
  <si>
    <t>Online Transfer from CHK ...9335 transaction#: 28137686870</t>
  </si>
  <si>
    <t>Etsy.com*rtistmary ETSY.COM NY               02/19</t>
  </si>
  <si>
    <t>Etsy.com*Multiple Shop ETSY.COM NY           02/19</t>
  </si>
  <si>
    <t>ANTHROPOLOGIE.COM ANTHROPOLOGIE PA           02/19</t>
  </si>
  <si>
    <t>UBER   * EATS PENDIN SAN FRANCISCO CA019518  02/18</t>
  </si>
  <si>
    <t>Mutzel Nutrition LLC 866-2510001 WA          02/18</t>
  </si>
  <si>
    <t>THE C. G. JUNG INSTIT 310-556-1193 CA        02/19</t>
  </si>
  <si>
    <t>Zelle payment from TANYA MILLER HNA021M5X619</t>
  </si>
  <si>
    <t>Online Transfer from CHK ...1168 transaction#: 28131472847</t>
  </si>
  <si>
    <t>UBER   * EATS PENDIN SAN FRANCISCO CA025743  02/18</t>
  </si>
  <si>
    <t>ON A WHIMSY ON-A-WHIMSY.C CA                 02/18</t>
  </si>
  <si>
    <t>SP ANNA SUI ANNASUI.COM NY                   02/18</t>
  </si>
  <si>
    <t>Zelle payment to Britt Magadini JPM99c62u5h4</t>
  </si>
  <si>
    <t>AMAZON MARK* B95DN1L AMAZON.COM/MA WA        02/18</t>
  </si>
  <si>
    <t>THE UPS STORE 4398 310-9156580 CA            02/17</t>
  </si>
  <si>
    <t>LEELA QUANTUM TECH LEELAQ.COM NM             02/17</t>
  </si>
  <si>
    <t>SP AURO WELLNESS AUROWELLNESS. CA            02/17</t>
  </si>
  <si>
    <t>Online Payment 28099217503 To MERCEDES-BENZ FINANCIAL SERVICES 02/17</t>
  </si>
  <si>
    <t>AMAZON MARK* B16N45R AMAZON.COM/MA WA        02/17</t>
  </si>
  <si>
    <t>Amazon Tips*BL76E4UN Amzn.com/bill WA        02/16</t>
  </si>
  <si>
    <t>AMAZON MARK* B187P3R AMAZON.COM/MA WA        02/17</t>
  </si>
  <si>
    <t>SP ANNA SUI ANNASUI.COM NY                   02/16</t>
  </si>
  <si>
    <t>AMAZON RETA* KS46M0G WWW.AMAZON.CO WA        02/15</t>
  </si>
  <si>
    <t>Amazon.com*QT2W73783 Amzn.com/bill WA        02/15</t>
  </si>
  <si>
    <t>MANGO.COM NEW YORK NY                029068  02/15</t>
  </si>
  <si>
    <t>APPLE CASH SENT MONE 1INFINITELOOP CA        02/15</t>
  </si>
  <si>
    <t>Mutzel Nutrition LLC 866-2510001 WA          02/14</t>
  </si>
  <si>
    <t>FANDANGO    * FANDANGO.COM CA                02/14</t>
  </si>
  <si>
    <t>FRONTIER AI WH4EXJ DENVER CO                 02/14</t>
  </si>
  <si>
    <t>SOUTHWES    52674684 SOUTHWEST.COM TX        02/14</t>
  </si>
  <si>
    <t>EXPEDIA 73374341178831 EXPEDIA.COM WA        02/14</t>
  </si>
  <si>
    <t>Zara.com 212-3551415 NY                      02/17</t>
  </si>
  <si>
    <t>AMAZON PRIME*QK0GY1R Amzn.com/bill WA        02/14</t>
  </si>
  <si>
    <t>APPLE COM BILL CUPERTINO CA          862826  02/14</t>
  </si>
  <si>
    <t>Prime Video Channels amzn.com/bill WA        02/14</t>
  </si>
  <si>
    <t>AMAZON MKTPL*W08YA4B Amzn.com/bill WA        02/14</t>
  </si>
  <si>
    <t>AMAZON MKTPL*OZ11N3U Amzn.com/bill WA        02/14</t>
  </si>
  <si>
    <t>Amazon Tips*RK5Y60WY Amzn.com/bill WA        02/13</t>
  </si>
  <si>
    <t>TM *COLD CAVE 800-653-8000 CA                02/14</t>
  </si>
  <si>
    <t>Online Transfer from CHK ...1168 transaction#: 28092314687</t>
  </si>
  <si>
    <t>Amazon.com*2E71C58H3 Amzn.com/bill WA        02/12</t>
  </si>
  <si>
    <t>LEELA QUANTUM TECH LEELAQ.COM NM             02/12</t>
  </si>
  <si>
    <t>Zelle payment from TANYA MILLER HNA021G097HN</t>
  </si>
  <si>
    <t>MACYS   .COM 800-289-6229 OH                 02/11</t>
  </si>
  <si>
    <t>Amazon Tips*EF6P30QL Amzn.com/bill WA        02/11</t>
  </si>
  <si>
    <t>AMAZON MKTPL*NB0DI2E Amzn.com/bill WA        02/11</t>
  </si>
  <si>
    <t>AMAZON MKTPL*3D7UN1N Amzn.com/bill WA        02/11</t>
  </si>
  <si>
    <t>AMAZON MKTPL*HW4X39D Amzn.com/bill WA        02/11</t>
  </si>
  <si>
    <t>Amazon Tips*9Z40N0UM Amzn.com/bill WA        02/10</t>
  </si>
  <si>
    <t>CNP* VOGUE - DIGITAL CONDENAST.COM NY        02/10</t>
  </si>
  <si>
    <t>Online Transfer to CHK ...6975 transaction#: 28016408490 02/10</t>
  </si>
  <si>
    <t>AMAZON MARK* 8Y4Q08G AMAZON.COM/MA WA        02/10</t>
  </si>
  <si>
    <t>Amazon.com*XC33A0EY3 Amzn.com/bill WA        02/09</t>
  </si>
  <si>
    <t>Amazon.com*LA0TR9IZ3 Amzn.com/bill WA        02/09</t>
  </si>
  <si>
    <t>NTTA AUTOCHARGE 972-818-6882 TX              02/09</t>
  </si>
  <si>
    <t>AMAZON MARK* UW3I221 AMAZON.COM/MA WA        02/10</t>
  </si>
  <si>
    <t>AMAZON MKTPL*IG30P45 Amzn.com/bill WA        02/09</t>
  </si>
  <si>
    <t>Zelle payment from G-EUNICE LLC 28023181510</t>
  </si>
  <si>
    <t>ZARA USA INC. ESTADOS UNIDO NY       026837  02/09</t>
  </si>
  <si>
    <t>APPLE COM BILL CUPERTINO CA          653129  02/09</t>
  </si>
  <si>
    <t>AMAZON RETA* 9D7EI8W WWW.AMAZON.CO WA        02/09</t>
  </si>
  <si>
    <t>PACOS TACOS LOS ANGELES CA                   02/08</t>
  </si>
  <si>
    <t>APPLE COM BILL CUPERTINO CA          405639  02/08</t>
  </si>
  <si>
    <t>CVS/PHARMACY #09493 MAR VISTA CA     040965  02/08</t>
  </si>
  <si>
    <t>CVS/PHARMACY #09 09493 MAR VISTA CA  514602  02/08</t>
  </si>
  <si>
    <t>Amazon Tips*3D9UJ01Q Amzn.com/bill WA        02/08</t>
  </si>
  <si>
    <t>Amazon Tips*C522H06H Amzn.com/bill WA        02/08</t>
  </si>
  <si>
    <t>Amazon Tips*X00DX4FS Amzn.com/bill WA        02/08</t>
  </si>
  <si>
    <t>AMAZON MKTPL*RO4KI46 Amzn.com/bill WA        02/09</t>
  </si>
  <si>
    <t>Amazon.com*4Z5YO6QA3 Amzn.com/bill WA        02/08</t>
  </si>
  <si>
    <t>PAVILIONS #2105 MARINA DEL RE CA             02/07</t>
  </si>
  <si>
    <t>Prime Video Channels amzn.com/bill WA        02/07</t>
  </si>
  <si>
    <t>Amazon.com*M97EX7IE3 Amzn.com/bill WA        02/07</t>
  </si>
  <si>
    <t>Amazon.com*3A30K3XC3 Amzn.com/bill WA        02/07</t>
  </si>
  <si>
    <t>UBER   * PENDING SAN FRANCISCO CA    086206  02/06</t>
  </si>
  <si>
    <t>AMAZON MARK* 5604803 AMAZON.COM/MA WA        02/07</t>
  </si>
  <si>
    <t>AMAZON MARK* ML9LO8A AMAZON.COM/MA WA        02/07</t>
  </si>
  <si>
    <t>AMAZON MARK* F12CS8V AMAZON.COM/MA WA        02/07</t>
  </si>
  <si>
    <t>AMAZON RETA* SC0RY2C WWW.AMAZON.CO WA        02/07</t>
  </si>
  <si>
    <t>Amazon.com*6E6S163B3 Amzn.com/bill WA        02/07</t>
  </si>
  <si>
    <t>STARBUCKS TERM B DFW DALLAS TX               02/06</t>
  </si>
  <si>
    <t>AMERICAN AI 00102815828 PHOENIX AZ           02/07</t>
  </si>
  <si>
    <t>AMC 0748 LAKE WORTH 14 FORT WORTH TX         02/05</t>
  </si>
  <si>
    <t>Online Transfer from CHK ...1168 transaction#: 28005408120</t>
  </si>
  <si>
    <t>UBER   * EATS PENDIN SAN FRANCISCO CA148582  02/06</t>
  </si>
  <si>
    <t>GOOGLE *YouTubePremi g.co/helppay# CA        02/06</t>
  </si>
  <si>
    <t>PSYCHOLOGY TODAY PSYCHOLOGYTOD SD            02/06</t>
  </si>
  <si>
    <t>NTTA AUTOCHARGE 972-818-6882 TX              02/05</t>
  </si>
  <si>
    <t>AMAZON MKTPL*IP4699S Amzn.com/bill WA        02/05</t>
  </si>
  <si>
    <t>SHELL SERVICE STATION WEATHERFORD TX 101102  02/05</t>
  </si>
  <si>
    <t>ATM WITHDRAWAL                       005325  02/05225 E INT</t>
  </si>
  <si>
    <t>ATM WITHDRAWAL                       005320  02/05225 E INT</t>
  </si>
  <si>
    <t>AZLE ANTIQUE MAL AZLE TX             016383  02/05</t>
  </si>
  <si>
    <t>T J MAXX #1295 WEATHERFORD TX        014889  02/04</t>
  </si>
  <si>
    <t>BONENANZA BARN BOOKS &amp; GLEN ROSE TX          02/03</t>
  </si>
  <si>
    <t>AMAZON MKTPL*3S19952 Amzn.com/bill WA        02/04</t>
  </si>
  <si>
    <t>Amazon.com*A20B27X53 Amzn.com/bill WA        02/04</t>
  </si>
  <si>
    <t>SQ *BIG DEAL FARMS &amp; AN Glen Rose TX         02/03</t>
  </si>
  <si>
    <t>AMAZON MKTPL*9D5U24U Amzn.com/bill WA        02/04</t>
  </si>
  <si>
    <t>WITHERSPOONS ANTIQUE MA GRANBURY TX          02/03</t>
  </si>
  <si>
    <t>FANDANGO    * FANDANGO.COM CA                02/03</t>
  </si>
  <si>
    <t>Zelle payment from MARY MARGARET TRAHAN 27942980358</t>
  </si>
  <si>
    <t>APPLE.COM/BILL 866-712-7753 CA               02/02</t>
  </si>
  <si>
    <t>AMERICAN AIR00144849199 FORT WORTH TX        02/02</t>
  </si>
  <si>
    <t>Amazon.com*X947A51O3 Amzn.com/bill WA        02/03</t>
  </si>
  <si>
    <t>Online Transfer from CHK ...1168 transaction#: 27936175999</t>
  </si>
  <si>
    <t>HOBBYLOBBY WEATHERFORD TX            045553  02/02</t>
  </si>
  <si>
    <t>SQ *REA COMMERCIAL SECU gosq.com CA          02/02</t>
  </si>
  <si>
    <t>FSP*CAMFT 858-292-2638 CA                    02/01</t>
  </si>
  <si>
    <t>LS LEAVES BOOK AND TE 168-22334832 TX        01/31</t>
  </si>
  <si>
    <t>BENITOS RESTAURANTES FORT WORTH TX           01/31</t>
  </si>
  <si>
    <t>BLUE SHIELD CALIFORNI 800-393-6130 CA        01/31</t>
  </si>
  <si>
    <t>EATZI'S - FT. WORTH FORT WORTH TX            01/30</t>
  </si>
  <si>
    <t>AMERICAN AIR00183243373 FORT WORTH TX        01/30</t>
  </si>
  <si>
    <t>AMERICAN AIR00174063275 FORT WORTH TX        01/30</t>
  </si>
  <si>
    <t>EXPEDIA 73361550876210 EXPEDIA.COM WA        01/30</t>
  </si>
  <si>
    <t>AMERICAN AIR00174060200 FORT WORTH TX        01/31</t>
  </si>
  <si>
    <t>WHOLEFDS FTW #10 3400 FORT WORTH TX  262781  01/30</t>
  </si>
  <si>
    <t>WHOLEFDS FTW #10 3400 FORT WORTH TX  665894  01/30</t>
  </si>
  <si>
    <t>PENTESTER.COM PENTESTER.COM FL               01/30</t>
  </si>
  <si>
    <t>AMAZON MKTPL*GS66X59 Amzn.com/bill WA        01/29</t>
  </si>
  <si>
    <t>TARGET T-1981 WEATHERFORD TX         055121  01/29</t>
  </si>
  <si>
    <t>TARGET T-1981 WEATHERFORD TX         016449  01/29</t>
  </si>
  <si>
    <t>Amazon Tips*4T3A46U7 Amzn.com/bill WA        01/29</t>
  </si>
  <si>
    <t>FILM ALLEY - WEATHERFO WEATHERFORD TX        01/28</t>
  </si>
  <si>
    <t>CVSExtraCare 80074672 800-746-7287 RI        01/28</t>
  </si>
  <si>
    <t>OPC CA FRANCHISE TAX B 800-4874567 AL        01/28</t>
  </si>
  <si>
    <t>CA FRANCHISE TAX BOARD 800-4874567 CA        01/28</t>
  </si>
  <si>
    <t>Zara.com 212-3551415 NY                      01/28</t>
  </si>
  <si>
    <t>APPLE.COM/BILL 866-712-7753 CA               01/28</t>
  </si>
  <si>
    <t>MANGO.COM NEW YORK NY                149477  01/27</t>
  </si>
  <si>
    <t>Amazon.com*8K9604DV3 Amzn.com/bill WA        01/27</t>
  </si>
  <si>
    <t>AMERICAN AIR00183243064 FORT WORTH TX        01/26</t>
  </si>
  <si>
    <t>AMERICAN AIR00174060200 FORT WORTH TX        01/26</t>
  </si>
  <si>
    <t>Online Payment 27845168205 To LOS ANGELES MUNICIPAL SERVICE 01/27</t>
  </si>
  <si>
    <t>Online Payment 27845168623 To SOUTHERN CALIFORNIA GAS CO 01/27</t>
  </si>
  <si>
    <t>Online Payment 27845144246 To SAFECO INSURANCE COMPANY 01/27</t>
  </si>
  <si>
    <t>Online Payment 27845120974 To FRONTIER TELEPHONE 01/27</t>
  </si>
  <si>
    <t>Online Payment 27845139136 To AMERICAN EDUCATION SERVICES 01/27</t>
  </si>
  <si>
    <t>SQ *REA COMMERCIAL SECU gosq.com CA          01/27</t>
  </si>
  <si>
    <t>SPACEWEATHERNEWS.COM SPACEWEATHERN CO        01/26</t>
  </si>
  <si>
    <t>Prime Video Channels amzn.com/bill WA        01/26</t>
  </si>
  <si>
    <t>EXPEDIA 73358196852883 EXPEDIA.COM WA        01/26</t>
  </si>
  <si>
    <t>CSC PALM SPRINGS TENNI 855-8596983 AZ        01/23</t>
  </si>
  <si>
    <t>Online Transfer from CHK ...1168 transaction#: 27845107163</t>
  </si>
  <si>
    <t>EXPEDIA 73356202666221 EXPEDIA.COM NV        01/26</t>
  </si>
  <si>
    <t>UBER *TRIP SAN FRANCISCO CA          805433  01/26</t>
  </si>
  <si>
    <t>AMAZON MKTPL*1O0NR5H Amzn.com/bill WA        01/26</t>
  </si>
  <si>
    <t>LUKE UNFILTERED WEARECHANGE.O FL             01/25</t>
  </si>
  <si>
    <t>AMAZON PRIME*X20F73V Amzn.com/bill WA        01/24</t>
  </si>
  <si>
    <t>Amazon Tips*EE9C3076 Amzn.com/bill WA        01/24</t>
  </si>
  <si>
    <t>ATT*BILL PAYMENT 800-288-2020 TX             01/24</t>
  </si>
  <si>
    <t>Zara.com 212-3551415 NY                      01/24</t>
  </si>
  <si>
    <t>PSVJ   *JPMC FEE 800-420-1663 NC             01/23</t>
  </si>
  <si>
    <t>LA CITY HOUSING ONLIN 844-663-4411 CA        01/23</t>
  </si>
  <si>
    <t>EXPEDIA 73356202666221 EXPEDIA.COM NV        01/24</t>
  </si>
  <si>
    <t>APPLE.COM/BILL 866-712-7753 CA               01/23</t>
  </si>
  <si>
    <t>THE ORIGINAL MEXICAN EA FORT WORTH TX        01/22</t>
  </si>
  <si>
    <t>BENBROOK ANTIQUE MALL BENBROOK TX            01/22</t>
  </si>
  <si>
    <t>APPLE CASH SENT MONE 1INFINITELOOP CA        01/23</t>
  </si>
  <si>
    <t>Zara.com 212-3551415 NY                      01/25</t>
  </si>
  <si>
    <t>GAIA GAIA INC. LOUSIVILLE CO         087749  01/23</t>
  </si>
  <si>
    <t>FSP*KIMBELL ART MUSEUM FORT WORTH TX         01/22</t>
  </si>
  <si>
    <t>AMAZON MKTPL*0L91Q72 Amzn.com/bill WA        01/22</t>
  </si>
  <si>
    <t>Amazon.com*F76TE4NA3 Amzn.com/bill WA        01/23</t>
  </si>
  <si>
    <t>TARGET T-1981 WEATHERFORD TX         039962  01/22</t>
  </si>
  <si>
    <t>SHELL SERVICE STATION WEATHERFORD TX 344040  01/22</t>
  </si>
  <si>
    <t>AMAZON MKTPL*058WA4M Amzn.com/bill WA        01/22</t>
  </si>
  <si>
    <t>AMAZON MKTPL*ZG7NW47 Amzn.com/bill WA        01/22</t>
  </si>
  <si>
    <t>AMAZON MKTPL*0L0NT2V Amzn.com/bill WA        01/22</t>
  </si>
  <si>
    <t>AMAZON MKTPL*VI1SM1B Amzn.com/bill WA        01/21</t>
  </si>
  <si>
    <t>AMAZON MKTPL*PR2DX51 Amzn.com/bill WA        01/21</t>
  </si>
  <si>
    <t>TARGET T-1981 WEATHERFORD TX         039492  01/21</t>
  </si>
  <si>
    <t>THE HOME DEPOT #6515 - WEATHERFORD TX252801  01/21</t>
  </si>
  <si>
    <t>SQ *INN OF THE SEVENTH gosq.com MT           01/21</t>
  </si>
  <si>
    <t>ROSAS CAFE &amp; TORTILLA F FORT WORTH TX        01/20</t>
  </si>
  <si>
    <t>NEXTLINK BROADBAND 855-6985465 TX            01/20</t>
  </si>
  <si>
    <t>AMAZON MKTPL*OM9S83B Amzn.com/bill WA        01/20</t>
  </si>
  <si>
    <t>FEDEX35738400 800-4633339 TN                 01/20</t>
  </si>
  <si>
    <t>Online Transfer from CHK ...1168 transaction#: 27771975389</t>
  </si>
  <si>
    <t>Online Transfer from CHK ...1168 transaction#: 27772070463</t>
  </si>
  <si>
    <t>EXPEDIA 73348826540004 EXPEDIA.COM WA        01/20</t>
  </si>
  <si>
    <t>MONTGOMERY STREE 2601 FORT WORTH TX  422597  01/20</t>
  </si>
  <si>
    <t>HOMEGOODS #1084 WEATHERFORD TX       035056  01/20</t>
  </si>
  <si>
    <t>SCRIBD* R680020687 SCRIBD.COM CA             01/20</t>
  </si>
  <si>
    <t>CINEMARK 1114 ONLINE Fort Worth TX           01/20</t>
  </si>
  <si>
    <t>AMAZON MKTPL*J47II7Z Amzn.com/bill WA        01/20</t>
  </si>
  <si>
    <t>Zelle payment to Leelee 27758084988</t>
  </si>
  <si>
    <t>CENTRAL MARKET #545 FT WORTH TX      768393  01/18</t>
  </si>
  <si>
    <t>WHOLEFDS FTW #10 3400 FORT WORTH TX  442136  01/18</t>
  </si>
  <si>
    <t>SHELL SERVICE STATION WEATHERFORD TX 340832  01/17</t>
  </si>
  <si>
    <t>RIPLEY'S GRAND PRAIR GRAND PRAIRIE TX        01/17</t>
  </si>
  <si>
    <t>LEELA QUANTUM TECH LEELAQ.COM NM             01/17</t>
  </si>
  <si>
    <t>PY *LAS PALMAS LUNCH AN DALLAS TX            01/18</t>
  </si>
  <si>
    <t>2711 FAIRMOUNT, LP DALLAS TX                 01/18</t>
  </si>
  <si>
    <t>AMAZON MKTPL*DQ6JM7W Amzn.com/bill WA        01/17</t>
  </si>
  <si>
    <t>Etsy.com*Multiple Shop ETSY.COM NY           01/16</t>
  </si>
  <si>
    <t>NTTA AUTOCHARGE 972-818-6882 TX              01/16</t>
  </si>
  <si>
    <t>Zara.com 212-3551415 NY                      01/17</t>
  </si>
  <si>
    <t>Online Transfer from CHK ...1168 transaction#: 27743673026</t>
  </si>
  <si>
    <t>LIFETOUCH 952-826-4000 MN                    01/16</t>
  </si>
  <si>
    <t>AMAZON MKTPL*VW78B5C Amzn.com/bill WA        01/16</t>
  </si>
  <si>
    <t>TACKETT COMPOUNDING PH HUDSON OAKS TX        01/15</t>
  </si>
  <si>
    <t>LAKE GRANBURY MED CTR 817-573-2273 TX        01/15</t>
  </si>
  <si>
    <t>CRESCENT DRUGS INC 800-4694343 CA            01/15</t>
  </si>
  <si>
    <t>AMAZON MKTPL*6Z3ZQ7N Amzn.com/bill WA        01/16</t>
  </si>
  <si>
    <t>TARGET T-1981 WEATHERFORD TX         045912  01/15</t>
  </si>
  <si>
    <t>BETTER HEALTH MARKET WEATHERFORD TX  299730  01/15</t>
  </si>
  <si>
    <t>MANGO.COM NEW YORK NY                149343  01/15</t>
  </si>
  <si>
    <t>Prime Video Channels amzn.com/bill WA        01/14</t>
  </si>
  <si>
    <t>SQ *THE ANTI AGING CENT Torrance CA          01/14</t>
  </si>
  <si>
    <t>AMAZON MKTPL*O08PA3A Amzn.com/bill WA        01/15</t>
  </si>
  <si>
    <t>AMAZON PRIME*TX1PZ1F Amzn.com/bill WA        01/14</t>
  </si>
  <si>
    <t>ORANGE SUPERIOR CT WE 800-708-9832 PA        01/14</t>
  </si>
  <si>
    <t>ORANGE CO SUPERIOR CT 800-708-9832 CA        01/14</t>
  </si>
  <si>
    <t>APPLE CASH SENT MONE 1INFINITELOOP CA        01/14</t>
  </si>
  <si>
    <t>AMAZON MKTPL*9J5HJ85 Amzn.com/bill WA        01/15</t>
  </si>
  <si>
    <t>APPLE.COM/BILL 866-712-7753 CA               01/14</t>
  </si>
  <si>
    <t>AMAZON MKTPL*810DL49 Amzn.com/bill WA        01/14</t>
  </si>
  <si>
    <t>AMC 9640 ONLINE 888-440-4262 KS              01/14</t>
  </si>
  <si>
    <t>ZENO'S ON THE SQUARE WEATHERFORD TX          01/14</t>
  </si>
  <si>
    <t>EXPEDIA 73348826540004 EXPEDIA.COM WA        01/13</t>
  </si>
  <si>
    <t>AMAZON MKTPL*JS3301T Amzn.com/bill WA        01/13</t>
  </si>
  <si>
    <t>AMAZON MKTPL*7O0FZ3V Amzn.com/bill WA        01/13</t>
  </si>
  <si>
    <t>AMAZON MKTPL*3639074 Amzn.com/bill WA        01/13</t>
  </si>
  <si>
    <t>FANDANGO    * FANDANGO.COM CA                01/13</t>
  </si>
  <si>
    <t>Kindle Svcs*8Q8KV30Y3 888-802-3080 WA        01/12</t>
  </si>
  <si>
    <t>Amazon.com*4D1PP9CQ3 Amzn.com/bill WA        01/13</t>
  </si>
  <si>
    <t>Kindle Svcs*PG5QH9X73 888-802-3080 WA        01/12</t>
  </si>
  <si>
    <t>Kindle Svcs*RV6OP05U3 888-802-3080 WA        01/12</t>
  </si>
  <si>
    <t>Kindle Svcs*TZ85O2PP3 888-802-3080 WA        01/12</t>
  </si>
  <si>
    <t>Online Transfer from CHK ...1168 transaction#: 27686014571</t>
  </si>
  <si>
    <t>SP MCW CARPETBAGS MCWHANDMADE.C CA           01/12</t>
  </si>
  <si>
    <t>Amazon Tips*B343C1CD Amzn.com/bill WA        01/12</t>
  </si>
  <si>
    <t>WHOLEFDS FTW #10 3400 FORT WORTH TX  395470  01/11</t>
  </si>
  <si>
    <t>CENTRAL MARKET #545 FT WORTH TX      929032  01/11</t>
  </si>
  <si>
    <t>DFW AIRPORT PARKING DFW AIRPORT TX           01/10</t>
  </si>
  <si>
    <t>DD *DOORDASH CHIPOTLE 855-431-0459 CA        01/11</t>
  </si>
  <si>
    <t>AMAZON MKTPL*GH9UZ2M Amzn.com/bill WA        01/11</t>
  </si>
  <si>
    <t>LAX AIRP CROWNS LAX T- LOS ANGELES CA        01/10</t>
  </si>
  <si>
    <t>NON-CHASE ATM WITHDRAW               853529  01/10LAX AIRPO</t>
  </si>
  <si>
    <t>AMERICAN AI 0012600776 LOS ANGELES CA        01/10</t>
  </si>
  <si>
    <t>UBER * EATS PENDING SAN FRANCISCO CA 697440  01/09</t>
  </si>
  <si>
    <t>Amazon.com*TT8A747K3 Amzn.com/bill WA        01/10</t>
  </si>
  <si>
    <t>AMAZON MKTPL*6K9HV4B Amzn.com/bill WA        01/11</t>
  </si>
  <si>
    <t>AMAZON MKTPL*M77K51W Amzn.com/bill WA        01/11</t>
  </si>
  <si>
    <t>Amazon.com*KH01A8WS3 Amzn.com/bill WA        01/10</t>
  </si>
  <si>
    <t>AMAZON MKTPL*BO89V1C Amzn.com/bill WA        01/11</t>
  </si>
  <si>
    <t>APPLE.COM/BILL 866-712-7753 CA               01/10</t>
  </si>
  <si>
    <t>Zara.com 212-3551415 NY                      01/12</t>
  </si>
  <si>
    <t>Prime Video *AB3ML885 888-802-3080 WA        01/09</t>
  </si>
  <si>
    <t>AMAZON MKTPL*6J95K0P Amzn.com/bill WA        01/09</t>
  </si>
  <si>
    <t>APPLE.COM/BILL 866-712-7753 CA               01/09</t>
  </si>
  <si>
    <t>GRANDVIEW CLEANERS LOS ANGELES CA            01/08</t>
  </si>
  <si>
    <t>CVS/PHARMACY #09493 MAR VISTA CA     032307  01/08</t>
  </si>
  <si>
    <t>TM *COLD CAVE 800-653-8000 CA                01/08</t>
  </si>
  <si>
    <t>AMERICAN AIR00144820683 FORT WORTH TX        01/08</t>
  </si>
  <si>
    <t>AMERICAN AIR00144820684 FORT WORTH TX        01/08</t>
  </si>
  <si>
    <t>Prime Video Channels amzn.com/bill WA        01/07</t>
  </si>
  <si>
    <t>SPO*ELCOMPADRERESTAURA LOS ANGELES CA        01/07</t>
  </si>
  <si>
    <t>Online Transfer from CHK ...1168 transaction#: 27630247476</t>
  </si>
  <si>
    <t>Amazon Tips*GW4700WW Amzn.com/bill WA        01/07</t>
  </si>
  <si>
    <t>SP RAJANIMD STORE.RAJANIM OR                 01/07</t>
  </si>
  <si>
    <t>AMAZON MKTPL*VD93Y89 Amzn.com/bill WA        01/06</t>
  </si>
  <si>
    <t>GOOGLE *YouTubePremi g.co/helppay# CA        01/06</t>
  </si>
  <si>
    <t>Amazon.com*YZ19E0833 Amzn.com/bill WA        01/06</t>
  </si>
  <si>
    <t>1720 800-514-3849 NC                         01/05</t>
  </si>
  <si>
    <t>PSYCHOLOGY TODAY PSYCHOLOGYTOD SD            01/06</t>
  </si>
  <si>
    <t>ELEVENLABS.IO ELEVENLABS.IO NY               01/06</t>
  </si>
  <si>
    <t>AMAZON MKTPL*WX37O7W Amzn.com/bill WA        01/05</t>
  </si>
  <si>
    <t>Amazon.com*IB7EV4X63 Amzn.com/bill WA        01/05</t>
  </si>
  <si>
    <t>CVS/PHARMACY #09 09493 MAR VISTA CA  117060  01/04</t>
  </si>
  <si>
    <t>Online Transfer to CHK ...6975 transaction#: 27584626839 01/05</t>
  </si>
  <si>
    <t>AMAZON MKTPL*HF88P3T Amzn.com/bill WA        01/04</t>
  </si>
  <si>
    <t>AMAZON MKTPL*YB0LF8A Amzn.com/bill WA        01/03</t>
  </si>
  <si>
    <t>Amazon.com*JO91W0MC3 Amzn.com/bill WA        01/03</t>
  </si>
  <si>
    <t>Amazon Tips*2M7ET7VI Amzn.com/bill WA        01/03</t>
  </si>
  <si>
    <t>UBER   * PENDING SAN FRANCISCO CA    133267  01/02</t>
  </si>
  <si>
    <t>AMAZON MKTPL*HF22V5M Amzn.com/bill WA        01/03</t>
  </si>
  <si>
    <t>AMC 9640 ONLINE 888-440-4262 KS              01/03</t>
  </si>
  <si>
    <t>GRANDVIEW CLEANERS LOS ANGELES CA            01/02</t>
  </si>
  <si>
    <t>Amazon Tips*MM03F8HG Amzn.com/bill WA        01/02</t>
  </si>
  <si>
    <t>NINOS CORNER 276-9001793 DE                  01/02</t>
  </si>
  <si>
    <t>APPLE.COM/BILL 866-712-7753 CA               01/02</t>
  </si>
  <si>
    <t>AMAZON MKTPL*O81029Z Amzn.com/bill WA        01/03</t>
  </si>
  <si>
    <t>AMAZON MKTPL*PI3XK3F Amzn.com/bill WA        01/03</t>
  </si>
  <si>
    <t>APPLE CASH SENT MONE 1INFINITELOOP CA        01/02</t>
  </si>
  <si>
    <t>Online Transfer from CHK ...1168 transaction#: 27584627654</t>
  </si>
  <si>
    <t>FOREIGN EXCHANGE RATE ADJUSTMENT FEE         12/31SQ *ETERN</t>
  </si>
  <si>
    <t>FOREIGN EXCHANGE RATE ADJUSTMENT FEE         12/30SAVE ON F</t>
  </si>
  <si>
    <t>UBER   *TRIP HELP.UB SAN FRANCISCO CA075263  01/02</t>
  </si>
  <si>
    <t>AMAZON MKTPL*DY8B70B Amzn.com/bill WA        01/02</t>
  </si>
  <si>
    <t>Amazon.com*WX8PY9R13 Amzn.com/bill WA        01/02</t>
  </si>
  <si>
    <t>AMAZON MKTPL*DO1XW6H Amzn.com/bill WA        01/02</t>
  </si>
  <si>
    <t>Amazon.com*QF2KB3MH3 Amzn.com/bill WA        01/02</t>
  </si>
  <si>
    <t>Amazon.com*OP6OW0ZQ3 Amzn.com/bill WA        01/02</t>
  </si>
  <si>
    <t>Amazon.com*U09J31VW3 Amzn.com/bill WA        01/02</t>
  </si>
  <si>
    <t>SP PHOTOSFORHEADSTON PHOTOSFORHEAD TX        01/02</t>
  </si>
  <si>
    <t>SP AURO WELLNESS AUROWELLNESS. CA            01/01</t>
  </si>
  <si>
    <t>AMAZON MKTPL*8035L60 Amzn.com/bill WA        01/01</t>
  </si>
  <si>
    <t>Amazon.com*6U1Y70T83 Amzn.com/bill WA        01/01</t>
  </si>
  <si>
    <t>UBER   *EATS HELP.UB SAN FRANCISCO CA086119  12/31</t>
  </si>
  <si>
    <t>UBER   * EATS PENDIN SAN FRANCISCO CA077842  12/31</t>
  </si>
  <si>
    <t>SQ *ETERNAL ABUNDANCE VANCOUVER BC           12/31 CA DOLLAR  19.06 X 0.7308499 (EXCHG RTE)</t>
  </si>
  <si>
    <t>Amazon.com*4H6HC00K3 Amzn.com/bill WA        01/01</t>
  </si>
  <si>
    <t>Zara.com 212-3551415 NY                      12/31</t>
  </si>
  <si>
    <t>SAVE ON FOODS #999 NORTH VANCOUV BC          12/30 CA DOLLAR  86.76 X 0.7312125 (EXCHG RTE)</t>
  </si>
  <si>
    <t>AMAZON MKTPL*EY5QI24 Amzn.com/bill WA        01/02</t>
  </si>
  <si>
    <t>Online Transfer from CHK ...1168 transaction#: 27551465996</t>
  </si>
  <si>
    <t>Category</t>
  </si>
  <si>
    <t>Personal Travel</t>
  </si>
  <si>
    <t>Personal - Health</t>
  </si>
  <si>
    <t>Personal - Shopping</t>
  </si>
  <si>
    <t>Personal - Entertainment</t>
  </si>
  <si>
    <t>Personal - Food</t>
  </si>
  <si>
    <t>Personal - Car</t>
  </si>
  <si>
    <t>Bank Fees</t>
  </si>
  <si>
    <t>Personal - Court</t>
  </si>
  <si>
    <t>Personal - Subscription</t>
  </si>
  <si>
    <t>Keyword</t>
  </si>
  <si>
    <t>DOORDASH</t>
  </si>
  <si>
    <t>Uber Eats</t>
  </si>
  <si>
    <t>AMAZON</t>
  </si>
  <si>
    <t>Amazon</t>
  </si>
  <si>
    <t>PRIME VIDEO</t>
  </si>
  <si>
    <t>POSHMARK</t>
  </si>
  <si>
    <t>Poshmark</t>
  </si>
  <si>
    <t>GRANDVIEW</t>
  </si>
  <si>
    <t>Personal - Clothing</t>
  </si>
  <si>
    <t>AMERICAN AI</t>
  </si>
  <si>
    <t xml:space="preserve">UNITED  </t>
  </si>
  <si>
    <t>EXPEDIA</t>
  </si>
  <si>
    <t>SEVENTH</t>
  </si>
  <si>
    <t>SOUTHWEST</t>
  </si>
  <si>
    <t>FRONTIER AI</t>
  </si>
  <si>
    <t>Frontier</t>
  </si>
  <si>
    <t>CAMFT</t>
  </si>
  <si>
    <t>Personal - Work</t>
  </si>
  <si>
    <t>BLUE SHIELD</t>
  </si>
  <si>
    <t>Personal - Health Insurance</t>
  </si>
  <si>
    <t>AT&amp;T</t>
  </si>
  <si>
    <t>LEELEE</t>
  </si>
  <si>
    <t>Zelle-Leelee</t>
  </si>
  <si>
    <t>MARY MARGARET TRAHAN</t>
  </si>
  <si>
    <t>Zelle from Mary Margaret Trahan</t>
  </si>
  <si>
    <t>TANYA MILLER</t>
  </si>
  <si>
    <t>Zelle from Tanya Miller</t>
  </si>
  <si>
    <t>ROSE LI</t>
  </si>
  <si>
    <t>Zelle from Rose Li</t>
  </si>
  <si>
    <t>EUNICE G CHANG</t>
  </si>
  <si>
    <t>Zelle from Eunice G Chang</t>
  </si>
  <si>
    <t>G-EUNICE LLC</t>
  </si>
  <si>
    <t>Zelle from G-Eunice LLC</t>
  </si>
  <si>
    <t>BRITT MAGADINI</t>
  </si>
  <si>
    <t>Zelle to Britt Magadini</t>
  </si>
  <si>
    <t>NATALIE CORDOVA</t>
  </si>
  <si>
    <t>Zelle to Natalie Cordova</t>
  </si>
  <si>
    <t>SHAFFA</t>
  </si>
  <si>
    <t>Zelle to Shaffa</t>
  </si>
  <si>
    <t>PALM SPRINGS</t>
  </si>
  <si>
    <t>Palm Springs</t>
  </si>
  <si>
    <t>EXCHANGE RATE</t>
  </si>
  <si>
    <t>Personal Travel - Portugal</t>
  </si>
  <si>
    <t>CHK ...1168</t>
  </si>
  <si>
    <t>Transfer from DWG Capital Group</t>
  </si>
  <si>
    <t>CHK ...6975</t>
  </si>
  <si>
    <t>Transfer to Ava</t>
  </si>
  <si>
    <t>UBER</t>
  </si>
  <si>
    <t>Personal - Uber</t>
  </si>
  <si>
    <t>FEDEX</t>
  </si>
  <si>
    <t>Shipping</t>
  </si>
  <si>
    <t>UPS</t>
  </si>
  <si>
    <t>HANDY J</t>
  </si>
  <si>
    <t>JUNG INSTIT</t>
  </si>
  <si>
    <t>Donation</t>
  </si>
  <si>
    <t>AUDIBLE</t>
  </si>
  <si>
    <t>LA PHIL</t>
  </si>
  <si>
    <t>STAGE WEST THEATRE</t>
  </si>
  <si>
    <t>CASA MANANA</t>
  </si>
  <si>
    <t>KIMBELL ART MUSEUM</t>
  </si>
  <si>
    <t>61 OSTERIA</t>
  </si>
  <si>
    <t>CENTRAL MARKET</t>
  </si>
  <si>
    <t>WHOLEFDS</t>
  </si>
  <si>
    <t>WHOLE FOODS</t>
  </si>
  <si>
    <t>RESTAURANT</t>
  </si>
  <si>
    <t>STARBUCKS</t>
  </si>
  <si>
    <t>MONTGOMERY</t>
  </si>
  <si>
    <t>ROSAS CAFE</t>
  </si>
  <si>
    <t>PAVILIONS</t>
  </si>
  <si>
    <t>PACOS TACOS</t>
  </si>
  <si>
    <t>COSTCO</t>
  </si>
  <si>
    <t>FRESH PRESSED</t>
  </si>
  <si>
    <t>GELSON'S</t>
  </si>
  <si>
    <t>PANTRY ON MAGNOLIA</t>
  </si>
  <si>
    <t>MITSUWA</t>
  </si>
  <si>
    <t>MAMOLO'S</t>
  </si>
  <si>
    <t>COLORADO DONUTS</t>
  </si>
  <si>
    <t>PINGO DOCE</t>
  </si>
  <si>
    <t>SABOR A ESPANA</t>
  </si>
  <si>
    <t>CASA DIAMANTINA</t>
  </si>
  <si>
    <t>ORIGINAL MEXICAN EA</t>
  </si>
  <si>
    <t>COFFEE BEAN</t>
  </si>
  <si>
    <t>FAIRCHILDS VINEGA</t>
  </si>
  <si>
    <t>EXCHG RTE</t>
  </si>
  <si>
    <t>FILM ALLEY</t>
  </si>
  <si>
    <t>MODERN ART</t>
  </si>
  <si>
    <t>AMC</t>
  </si>
  <si>
    <t>FANDANGO</t>
  </si>
  <si>
    <t>CINEMARK</t>
  </si>
  <si>
    <t>COLD CAVE</t>
  </si>
  <si>
    <t>WORLD MARKET</t>
  </si>
  <si>
    <t>ZARA</t>
  </si>
  <si>
    <t>BENBROOK</t>
  </si>
  <si>
    <t>MANGO.COM</t>
  </si>
  <si>
    <t>TARGET</t>
  </si>
  <si>
    <t>ANTIQ</t>
  </si>
  <si>
    <t>HOMEGOODS</t>
  </si>
  <si>
    <t>HOME GOODS</t>
  </si>
  <si>
    <t>MACYS</t>
  </si>
  <si>
    <t>ANNA SUI</t>
  </si>
  <si>
    <t>WHIMSY</t>
  </si>
  <si>
    <t>ANTHROPOLOGIE</t>
  </si>
  <si>
    <t>EBAY</t>
  </si>
  <si>
    <t>OLYXIR</t>
  </si>
  <si>
    <t>MEADOWS MUSEUM</t>
  </si>
  <si>
    <t>T J MAXX</t>
  </si>
  <si>
    <t>HOBBYLOBBY</t>
  </si>
  <si>
    <t>GOODWILL</t>
  </si>
  <si>
    <t>RUMORS RICH</t>
  </si>
  <si>
    <t>TIMELINE SHOP</t>
  </si>
  <si>
    <t>PAKRAT ECLECTIBLES</t>
  </si>
  <si>
    <t>BESTBUYCOM</t>
  </si>
  <si>
    <t>ROSS STORES</t>
  </si>
  <si>
    <t>JEFFREYCAMPBELL</t>
  </si>
  <si>
    <t>MCW CARPETBAGS</t>
  </si>
  <si>
    <t>HOME DEPOT</t>
  </si>
  <si>
    <t>ZIMMERMANN</t>
  </si>
  <si>
    <t>ETSY</t>
  </si>
  <si>
    <t>Etsy</t>
  </si>
  <si>
    <t>MUTZEL</t>
  </si>
  <si>
    <t>CVS</t>
  </si>
  <si>
    <t>ANTI AGING</t>
  </si>
  <si>
    <t>RAJANI</t>
  </si>
  <si>
    <t>BLUEPRINT</t>
  </si>
  <si>
    <t>6DAYWEIGHT</t>
  </si>
  <si>
    <t>VALASTA</t>
  </si>
  <si>
    <t>WELLNESS COMPANY</t>
  </si>
  <si>
    <t>AURO WELLNESS</t>
  </si>
  <si>
    <t>WALGREENS</t>
  </si>
  <si>
    <t>L`ARTE NAILS</t>
  </si>
  <si>
    <t>TEXAS HEALTHCARE</t>
  </si>
  <si>
    <t>VERSO HEALTH</t>
  </si>
  <si>
    <t>DEXA SCAN</t>
  </si>
  <si>
    <t>ALL FAMILY HEALTH</t>
  </si>
  <si>
    <t>LIFEPROFITNESS</t>
  </si>
  <si>
    <t>MVP-GLOW</t>
  </si>
  <si>
    <t>EDEN BOTANICALS</t>
  </si>
  <si>
    <t>COVEPURE</t>
  </si>
  <si>
    <t>LISA HO GUINAN</t>
  </si>
  <si>
    <t>ACTIVESKIN REPAIR</t>
  </si>
  <si>
    <t>COMPLETE EYE CARE</t>
  </si>
  <si>
    <t>BODYBIO</t>
  </si>
  <si>
    <t>QUEST DIAGNOSTICS</t>
  </si>
  <si>
    <t>EIGHT SLEEP</t>
  </si>
  <si>
    <t>HEALTHTRACKRX</t>
  </si>
  <si>
    <t>NTTA</t>
  </si>
  <si>
    <t>SHELL</t>
  </si>
  <si>
    <t xml:space="preserve">QT </t>
  </si>
  <si>
    <t>SPEEDWAY</t>
  </si>
  <si>
    <t>MERCEDES BENZ</t>
  </si>
  <si>
    <t>LADOT METER PARKING</t>
  </si>
  <si>
    <t>GOOGLE</t>
  </si>
  <si>
    <t>YouTube Premium</t>
  </si>
  <si>
    <t>ELEVEN</t>
  </si>
  <si>
    <t>PSYCHOLOGY</t>
  </si>
  <si>
    <t>KINDLE</t>
  </si>
  <si>
    <t>LEELA QUANTUM</t>
  </si>
  <si>
    <t>REA COMMERCIAL</t>
  </si>
  <si>
    <t>SCRIBD</t>
  </si>
  <si>
    <t>PENTESTER.COM</t>
  </si>
  <si>
    <t>LUKE UNFILTERED</t>
  </si>
  <si>
    <t>SPACEWEATHERNEWS</t>
  </si>
  <si>
    <t>BASHAR</t>
  </si>
  <si>
    <t>JON RAPPOPORT</t>
  </si>
  <si>
    <t>CLASSICALWISDOM</t>
  </si>
  <si>
    <t>BODHILIVE</t>
  </si>
  <si>
    <t>ANCIENT ORIGINS</t>
  </si>
  <si>
    <t>KO-FI.COM</t>
  </si>
  <si>
    <t>SPOTIFY</t>
  </si>
  <si>
    <t>TIMOTHYPOOL</t>
  </si>
  <si>
    <t>LEAKPROJECT</t>
  </si>
  <si>
    <t>RATEPUNK</t>
  </si>
  <si>
    <t>MCAFEE</t>
  </si>
  <si>
    <t>WORDPRESS</t>
  </si>
  <si>
    <t>GAIA</t>
  </si>
  <si>
    <t>FREEPEOPLE</t>
  </si>
  <si>
    <t>LOTT CLEANERS</t>
  </si>
  <si>
    <t>FARM RIO</t>
  </si>
  <si>
    <t>UNREAL FUR</t>
  </si>
  <si>
    <t>DARK GARDEN</t>
  </si>
  <si>
    <t>NON-CHASE ATM FEE</t>
  </si>
  <si>
    <t>JPMC FEE</t>
  </si>
  <si>
    <t>DFW AIRPORT PARKING</t>
  </si>
  <si>
    <t>AA KIOSK</t>
  </si>
  <si>
    <t>TAP AIR</t>
  </si>
  <si>
    <t>VIATORTRIPADVISOR</t>
  </si>
  <si>
    <t>VIRGINATLA</t>
  </si>
  <si>
    <t>GETYOURGUIDE</t>
  </si>
  <si>
    <t>TOURSBYLOCALS</t>
  </si>
  <si>
    <t>PANASONIC AVIONICS</t>
  </si>
  <si>
    <t>ALLIANZ EVENT INS</t>
  </si>
  <si>
    <t>PATRIOT SEPTIC</t>
  </si>
  <si>
    <t>Personal - House Bills</t>
  </si>
  <si>
    <t>REPUBLIC SERVICES</t>
  </si>
  <si>
    <t>LA CITY HOUSING</t>
  </si>
  <si>
    <t>Deposit</t>
  </si>
  <si>
    <t>WITHDRAW</t>
  </si>
  <si>
    <t>Withdrawal</t>
  </si>
  <si>
    <t>APPLE</t>
  </si>
  <si>
    <t>Apple</t>
  </si>
  <si>
    <t>ATT~*BILL</t>
  </si>
  <si>
    <t>AIT~* DONATION</t>
  </si>
  <si>
    <t>TM ~*</t>
  </si>
  <si>
    <t>EB ~*</t>
  </si>
  <si>
    <t>SSP~*ART DECO</t>
  </si>
  <si>
    <t>TST~*</t>
  </si>
  <si>
    <t>IC~* INSTACART</t>
  </si>
  <si>
    <t>PNM~*THE TOLLROAD</t>
  </si>
  <si>
    <t>TEXAS GENERAL ST</t>
  </si>
  <si>
    <t>PHOTOSFORHEADSTON</t>
  </si>
  <si>
    <t>CHK ...9335</t>
  </si>
  <si>
    <t>Transfer from Poseidon Asset Group</t>
  </si>
  <si>
    <t>RAYSTARLIGH</t>
  </si>
  <si>
    <t>PayPal ACH - RAYSTARLIGH</t>
  </si>
  <si>
    <t>OTHERSIDEMI</t>
  </si>
  <si>
    <t>PayPal ACH - OTHERSIDEMI</t>
  </si>
  <si>
    <t>PSYCHICMARY</t>
  </si>
  <si>
    <t>PayPal ACH - PSYCHICMARY</t>
  </si>
  <si>
    <t>MINERAL WELLS CENTER</t>
  </si>
  <si>
    <t>GOLDEN RULE LLC</t>
  </si>
  <si>
    <t>AFTER SCHOOL AMERICA</t>
  </si>
  <si>
    <t>Personal - Misc</t>
  </si>
  <si>
    <t>HAIGOOD &amp; CAMPBELL</t>
  </si>
  <si>
    <t>CENTER FOR STORY</t>
  </si>
  <si>
    <t>MERRIMAC &amp; NORTH</t>
  </si>
  <si>
    <t>WILSHIRE &amp; FAIRFAX</t>
  </si>
  <si>
    <t>RAINBOW ACRES</t>
  </si>
  <si>
    <t>Chase Personal Banking — Angela</t>
  </si>
  <si>
    <t>Statement Summary  |  Jan 2, 2026 – Jul 8, 2026</t>
  </si>
  <si>
    <t>Account</t>
  </si>
  <si>
    <t>Angela — Chase 1117</t>
  </si>
  <si>
    <t>Statement Period</t>
  </si>
  <si>
    <t>Jan 2026 – Jul 2026</t>
  </si>
  <si>
    <t>TOTALS</t>
  </si>
  <si>
    <t>Charges (Outflows)</t>
  </si>
  <si>
    <t>Credits &amp; Payments (Inflows)</t>
  </si>
  <si>
    <t>Net Balance</t>
  </si>
  <si>
    <t>ACTIVITY — INFLOWS vs OUTFLOWS</t>
  </si>
  <si>
    <t>Flow</t>
  </si>
  <si>
    <t># Txns</t>
  </si>
  <si>
    <t>Inflows (Credits)</t>
  </si>
  <si>
    <t>Outflows (Charges)</t>
  </si>
  <si>
    <t>Net</t>
  </si>
  <si>
    <t>SPEND BY CATEGORY</t>
  </si>
  <si>
    <t>% of Charges</t>
  </si>
  <si>
    <t>Transfers</t>
  </si>
  <si>
    <t>Subtotal — Transfers</t>
  </si>
  <si>
    <t>Zelle</t>
  </si>
  <si>
    <t>Zelle from Joe Saunders</t>
  </si>
  <si>
    <t>Zelle to Joe Saunders</t>
  </si>
  <si>
    <t>Subtotal — Zelle</t>
  </si>
  <si>
    <t>PayPal ACH</t>
  </si>
  <si>
    <t>Subtotal — PayPal ACH</t>
  </si>
  <si>
    <t>Personal Travel - New Orleans</t>
  </si>
  <si>
    <t>Subtotal — Personal Travel</t>
  </si>
  <si>
    <t>Personal - Everyday</t>
  </si>
  <si>
    <t>Subtotal — Personal - Everyday</t>
  </si>
  <si>
    <t>Brands &amp; Services</t>
  </si>
  <si>
    <t>Subtotal — Brands &amp; Services</t>
  </si>
  <si>
    <t>Bank &amp; Admin</t>
  </si>
  <si>
    <t>Checks Paid</t>
  </si>
  <si>
    <t>Subtotal — Bank &amp; Admin</t>
  </si>
  <si>
    <t>Subtotal — Donation</t>
  </si>
  <si>
    <t>NET — ALL CATEGORIES</t>
  </si>
  <si>
    <t>Transfers  |  Jan 2, 2026 – Jul 8, 2026</t>
  </si>
  <si>
    <t>Transfers (Own Accounts)</t>
  </si>
  <si>
    <t>Subtotal — Transfers (Own Accounts)</t>
  </si>
  <si>
    <t>Zelle (Person-to-Person)</t>
  </si>
  <si>
    <t>Subtotal — Zelle (Person-to-Person)</t>
  </si>
  <si>
    <t>TOTAL — ALL TRANSFERS</t>
  </si>
  <si>
    <t>Transaction Detail  |  Jan 2, 2026 – Jul 8, 2026</t>
  </si>
  <si>
    <t>Date</t>
  </si>
  <si>
    <t>Merchant / Description</t>
  </si>
  <si>
    <t>Monthly Breakdown by Category  |  Jan 2026 – Jul 2026</t>
  </si>
  <si>
    <t>Total</t>
  </si>
  <si>
    <t>TOTAL — ALL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</si>
</sst>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&quot;$&quot;#,##0.00;\(&quot;$&quot;#,##0.00\)"/>
    <numFmt numFmtId="169" formatCode="0.0%"/>
    <numFmt numFmtId="170" formatCode="mm/dd/yyyy"/>
    <numFmt numFmtId="171" formatCode="mmm\ yyyy"/>
    <numFmt numFmtId="172" formatCode="&quot;$&quot;#,##0;\(&quot;$&quot;#,##0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10101"/>
      <name val="Aptos Narrow"/>
      <family val="2"/>
      <scheme val="minor"/>
    </font>
    <font>
      <b/>
      <sz val="11"/>
      <color rgb="FF01010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b/>
      <sz val="10"/>
      <color rgb="FF6B6B6B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 applyFill="1" applyBorder="1"/>
    <xf numFmtId="168" fontId="18" fillId="0" borderId="0" xfId="0" applyNumberFormat="1" applyFont="1" applyFill="1" applyBorder="1"/>
    <xf numFmtId="1" fontId="18" fillId="0" borderId="0" xfId="0" applyNumberFormat="1" applyFont="1" applyFill="1" applyBorder="1"/>
    <xf numFmtId="169" fontId="18" fillId="0" borderId="0" xfId="0" applyNumberFormat="1" applyFont="1" applyFill="1" applyBorder="1"/>
    <xf numFmtId="0" fontId="20" fillId="33" borderId="0" xfId="0" applyFont="1" applyFill="1" applyBorder="1"/>
    <xf numFmtId="0" fontId="21" fillId="33" borderId="0" xfId="0" applyFont="1" applyFill="1" applyBorder="1"/>
    <xf numFmtId="0" fontId="22" fillId="33" borderId="0" xfId="0" applyFont="1" applyFill="1" applyBorder="1"/>
    <xf numFmtId="0" fontId="20" fillId="33" borderId="12" xfId="0" applyFont="1" applyFill="1" applyBorder="1"/>
    <xf numFmtId="168" fontId="20" fillId="33" borderId="12" xfId="0" applyNumberFormat="1" applyFont="1" applyFill="1" applyBorder="1"/>
    <xf numFmtId="0" fontId="23" fillId="0" borderId="0" xfId="0" applyFont="1" applyFill="1" applyBorder="1"/>
    <xf numFmtId="0" fontId="23" fillId="0" borderId="10" xfId="0" applyFont="1" applyFill="1" applyBorder="1"/>
    <xf numFmtId="168" fontId="23" fillId="0" borderId="0" xfId="0" applyNumberFormat="1" applyFont="1" applyFill="1" applyBorder="1"/>
    <xf numFmtId="169" fontId="23" fillId="0" borderId="0" xfId="0" applyNumberFormat="1" applyFont="1" applyFill="1" applyBorder="1"/>
    <xf numFmtId="0" fontId="18" fillId="34" borderId="0" xfId="0" applyFont="1" applyFill="1" applyBorder="1"/>
    <xf numFmtId="168" fontId="18" fillId="34" borderId="0" xfId="0" applyNumberFormat="1" applyFont="1" applyFill="1" applyBorder="1"/>
    <xf numFmtId="0" fontId="24" fillId="34" borderId="0" xfId="0" applyFont="1" applyFill="1" applyBorder="1"/>
    <xf numFmtId="0" fontId="19" fillId="35" borderId="0" xfId="0" applyFont="1" applyFill="1" applyBorder="1"/>
    <xf numFmtId="168" fontId="19" fillId="35" borderId="0" xfId="0" applyNumberFormat="1" applyFont="1" applyFill="1" applyBorder="1"/>
    <xf numFmtId="1" fontId="19" fillId="35" borderId="0" xfId="0" applyNumberFormat="1" applyFont="1" applyFill="1" applyBorder="1"/>
    <xf numFmtId="0" fontId="19" fillId="35" borderId="11" xfId="0" applyFont="1" applyFill="1" applyBorder="1"/>
    <xf numFmtId="168" fontId="19" fillId="35" borderId="11" xfId="0" applyNumberFormat="1" applyFont="1" applyFill="1" applyBorder="1"/>
    <xf numFmtId="169" fontId="19" fillId="35" borderId="11" xfId="0" applyNumberFormat="1" applyFont="1" applyFill="1" applyBorder="1"/>
    <xf numFmtId="1" fontId="20" fillId="33" borderId="12" xfId="0" applyNumberFormat="1" applyFont="1" applyFill="1" applyBorder="1"/>
    <xf numFmtId="1" fontId="23" fillId="0" borderId="0" xfId="0" applyNumberFormat="1" applyFont="1" applyFill="1" applyBorder="1"/>
    <xf numFmtId="1" fontId="19" fillId="35" borderId="11" xfId="0" applyNumberFormat="1" applyFont="1" applyFill="1" applyBorder="1"/>
    <xf numFmtId="170" fontId="18" fillId="0" borderId="0" xfId="0" applyNumberFormat="1" applyFont="1" applyFill="1" applyBorder="1"/>
    <xf numFmtId="0" fontId="18" fillId="0" borderId="0" xfId="0" applyFont="1" applyFill="1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0" borderId="0" xfId="0" applyFont="1" applyFill="1"/>
    <xf numFmtId="171" fontId="23" fillId="0" borderId="0" xfId="0" applyNumberFormat="1" applyFont="1" applyFill="1"/>
    <xf numFmtId="172" fontId="18" fillId="0" borderId="0" xfId="0" applyNumberFormat="1" applyFont="1" applyFill="1"/>
    <xf numFmtId="172" fontId="20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9BFF64-4DB9-4722-85D5-7F3CA05E745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667d8c5-cf17-4928-b345-32e9de59463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5399-5482-4421-9686-5400C60B1CEF}">
  <dimension ref="A1:C1371"/>
  <sheetViews>
    <sheetView tabSelected="1" workbookViewId="0">
      <selection activeCell="G8" sqref="G8"/>
    </sheetView>
  </sheetViews>
  <sheetFormatPr defaultRowHeight="15" x14ac:dyDescent="0.25"/>
  <cols>
    <col min="1" max="1" width="49.5703125" customWidth="1"/>
    <col min="2" max="3" width="21" customWidth="1"/>
  </cols>
  <sheetData>
    <row r="1" spans="1:3" ht="18.75" x14ac:dyDescent="0.3">
      <c r="A1" s="8" t="s">
        <v>1543</v>
      </c>
      <c r="B1" s="8"/>
      <c r="C1" s="8"/>
    </row>
    <row r="2" spans="1:3" x14ac:dyDescent="0.25">
      <c r="A2" s="9" t="s">
        <v>1544</v>
      </c>
      <c r="B2" s="9"/>
      <c r="C2" s="9"/>
    </row>
    <row r="3" spans="1:3" x14ac:dyDescent="0.25">
      <c r="A3" s="3"/>
      <c r="B3" s="3"/>
      <c r="C3" s="3"/>
    </row>
    <row r="4" spans="1:3" x14ac:dyDescent="0.25">
      <c r="A4" s="12" t="s">
        <v>1545</v>
      </c>
      <c r="B4" s="3" t="s">
        <v>1546</v>
      </c>
      <c r="C4" s="12"/>
    </row>
    <row r="5" spans="1:3" x14ac:dyDescent="0.25">
      <c r="A5" s="12" t="s">
        <v>1547</v>
      </c>
      <c r="B5" s="3" t="s">
        <v>1548</v>
      </c>
      <c r="C5" s="12"/>
    </row>
    <row r="6" spans="1:3" x14ac:dyDescent="0.25">
      <c r="A6" s="3"/>
      <c r="B6" s="3"/>
      <c r="C6" s="3"/>
    </row>
    <row r="7" spans="1:3" x14ac:dyDescent="0.25">
      <c r="A7" s="7" t="s">
        <v>1549</v>
      </c>
      <c r="B7" s="7"/>
      <c r="C7" s="7"/>
    </row>
    <row r="8" spans="1:3" x14ac:dyDescent="0.25">
      <c r="A8" s="18" t="s">
        <v>1550</v>
      </c>
      <c r="B8" s="17">
        <f>SUMIF(Angela_2026_Chase1117_Activity_!$D$2:$D$1368,"&lt;0")</f>
        <v>-225740.01999999996</v>
      </c>
      <c r="C8" s="16"/>
    </row>
    <row r="9" spans="1:3" x14ac:dyDescent="0.25">
      <c r="A9" s="18" t="s">
        <v>1551</v>
      </c>
      <c r="B9" s="17">
        <f>SUMIF(Angela_2026_Chase1117_Activity_!$D$2:$D$1368,"&gt;0")</f>
        <v>225286.53999999998</v>
      </c>
      <c r="C9" s="16"/>
    </row>
    <row r="10" spans="1:3" x14ac:dyDescent="0.25">
      <c r="A10" s="19" t="s">
        <v>1552</v>
      </c>
      <c r="B10" s="20">
        <f>B8+B9</f>
        <v>-453.47999999998137</v>
      </c>
      <c r="C10" s="19"/>
    </row>
    <row r="11" spans="1:3" x14ac:dyDescent="0.25">
      <c r="A11" s="3"/>
      <c r="B11" s="3"/>
      <c r="C11" s="3"/>
    </row>
    <row r="12" spans="1:3" x14ac:dyDescent="0.25">
      <c r="A12" s="7" t="s">
        <v>1553</v>
      </c>
      <c r="B12" s="7"/>
      <c r="C12" s="7"/>
    </row>
    <row r="13" spans="1:3" x14ac:dyDescent="0.25">
      <c r="A13" s="13" t="s">
        <v>1554</v>
      </c>
      <c r="B13" s="13" t="s">
        <v>1555</v>
      </c>
      <c r="C13" s="13" t="s">
        <v>3</v>
      </c>
    </row>
    <row r="14" spans="1:3" x14ac:dyDescent="0.25">
      <c r="A14" s="3" t="s">
        <v>1556</v>
      </c>
      <c r="B14" s="5">
        <f>COUNTIF(Angela_2026_Chase1117_Activity_!$D$2:$D$1368,"&gt;0")</f>
        <v>100</v>
      </c>
      <c r="C14" s="4">
        <f>B9</f>
        <v>225286.53999999998</v>
      </c>
    </row>
    <row r="15" spans="1:3" x14ac:dyDescent="0.25">
      <c r="A15" s="3" t="s">
        <v>1557</v>
      </c>
      <c r="B15" s="5">
        <f>COUNTIF(Angela_2026_Chase1117_Activity_!$D$2:$D$1368,"&lt;0")</f>
        <v>1267</v>
      </c>
      <c r="C15" s="4">
        <f>B8</f>
        <v>-225740.01999999996</v>
      </c>
    </row>
    <row r="16" spans="1:3" x14ac:dyDescent="0.25">
      <c r="A16" s="19" t="s">
        <v>1558</v>
      </c>
      <c r="B16" s="21">
        <f>B14+B15</f>
        <v>1367</v>
      </c>
      <c r="C16" s="20">
        <f>C14+C15</f>
        <v>-453.47999999998137</v>
      </c>
    </row>
    <row r="17" spans="1:3" x14ac:dyDescent="0.25">
      <c r="A17" s="3"/>
      <c r="B17" s="3"/>
      <c r="C17" s="3"/>
    </row>
    <row r="18" spans="1:3" x14ac:dyDescent="0.25">
      <c r="A18" s="7" t="s">
        <v>1559</v>
      </c>
      <c r="B18" s="7"/>
      <c r="C18" s="7"/>
    </row>
    <row r="19" spans="1:3" x14ac:dyDescent="0.25">
      <c r="A19" s="13" t="s">
        <v>1305</v>
      </c>
      <c r="B19" s="13" t="s">
        <v>3</v>
      </c>
      <c r="C19" s="13" t="s">
        <v>1560</v>
      </c>
    </row>
    <row r="20" spans="1:3" x14ac:dyDescent="0.25">
      <c r="A20" s="12" t="s">
        <v>1561</v>
      </c>
      <c r="B20" s="12"/>
      <c r="C20" s="12"/>
    </row>
    <row r="21" spans="1:3" x14ac:dyDescent="0.25">
      <c r="A21" s="3" t="s">
        <v>1360</v>
      </c>
      <c r="B21" s="4">
        <f>SUMIF(Angela_2026_Chase1117_Activity_!$G$2:$G$1368,$A21,Angela_2026_Chase1117_Activity_!$D$2:$D$1368)</f>
        <v>181500</v>
      </c>
      <c r="C21" s="6">
        <f>B21/$B$8</f>
        <v>-0.80402225533602789</v>
      </c>
    </row>
    <row r="22" spans="1:3" x14ac:dyDescent="0.25">
      <c r="A22" s="3" t="s">
        <v>1362</v>
      </c>
      <c r="B22" s="4">
        <f>SUMIF(Angela_2026_Chase1117_Activity_!$G$2:$G$1368,$A22,Angela_2026_Chase1117_Activity_!$D$2:$D$1368)</f>
        <v>-8750</v>
      </c>
      <c r="C22" s="6">
        <f>B22/$B$8</f>
        <v>3.8761403494161122E-2</v>
      </c>
    </row>
    <row r="23" spans="1:3" x14ac:dyDescent="0.25">
      <c r="A23" s="3" t="s">
        <v>1527</v>
      </c>
      <c r="B23" s="4">
        <f>SUMIF(Angela_2026_Chase1117_Activity_!$G$2:$G$1368,$A23,Angela_2026_Chase1117_Activity_!$D$2:$D$1368)</f>
        <v>31000</v>
      </c>
      <c r="C23" s="6">
        <f>B23/$B$8</f>
        <v>-0.13732611523645655</v>
      </c>
    </row>
    <row r="24" spans="1:3" x14ac:dyDescent="0.25">
      <c r="A24" s="22" t="s">
        <v>1562</v>
      </c>
      <c r="B24" s="23">
        <f>SUM(B21:B23)</f>
        <v>203750</v>
      </c>
      <c r="C24" s="24">
        <f>SUM(C21:C23)</f>
        <v>-0.90258696707832331</v>
      </c>
    </row>
    <row r="25" spans="1:3" x14ac:dyDescent="0.25">
      <c r="A25" s="12" t="s">
        <v>1563</v>
      </c>
      <c r="B25" s="14"/>
      <c r="C25" s="15"/>
    </row>
    <row r="26" spans="1:3" x14ac:dyDescent="0.25">
      <c r="A26" s="3" t="s">
        <v>1340</v>
      </c>
      <c r="B26" s="4">
        <f>SUMIF(Angela_2026_Chase1117_Activity_!$G$2:$G$1368,$A26,Angela_2026_Chase1117_Activity_!$D$2:$D$1368)</f>
        <v>350</v>
      </c>
      <c r="C26" s="6">
        <f>B26/$B$8</f>
        <v>-1.5504561397664449E-3</v>
      </c>
    </row>
    <row r="27" spans="1:3" x14ac:dyDescent="0.25">
      <c r="A27" s="3" t="s">
        <v>1344</v>
      </c>
      <c r="B27" s="4">
        <f>SUMIF(Angela_2026_Chase1117_Activity_!$G$2:$G$1368,$A27,Angela_2026_Chase1117_Activity_!$D$2:$D$1368)</f>
        <v>1350</v>
      </c>
      <c r="C27" s="6">
        <f>B27/$B$8</f>
        <v>-5.9803308248134301E-3</v>
      </c>
    </row>
    <row r="28" spans="1:3" x14ac:dyDescent="0.25">
      <c r="A28" s="3" t="s">
        <v>1564</v>
      </c>
      <c r="B28" s="4">
        <f>SUMIF(Angela_2026_Chase1117_Activity_!$G$2:$G$1368,$A28,Angela_2026_Chase1117_Activity_!$D$2:$D$1368)</f>
        <v>2000</v>
      </c>
      <c r="C28" s="6">
        <f>B28/$B$8</f>
        <v>-8.8597493700939712E-3</v>
      </c>
    </row>
    <row r="29" spans="1:3" x14ac:dyDescent="0.25">
      <c r="A29" s="3" t="s">
        <v>1565</v>
      </c>
      <c r="B29" s="4">
        <f>SUMIF(Angela_2026_Chase1117_Activity_!$G$2:$G$1368,$A29,Angela_2026_Chase1117_Activity_!$D$2:$D$1368)</f>
        <v>-1000</v>
      </c>
      <c r="C29" s="6">
        <f>B29/$B$8</f>
        <v>4.4298746850469856E-3</v>
      </c>
    </row>
    <row r="30" spans="1:3" x14ac:dyDescent="0.25">
      <c r="A30" s="3" t="s">
        <v>1342</v>
      </c>
      <c r="B30" s="4">
        <f>SUMIF(Angela_2026_Chase1117_Activity_!$G$2:$G$1368,$A30,Angela_2026_Chase1117_Activity_!$D$2:$D$1368)</f>
        <v>800</v>
      </c>
      <c r="C30" s="6">
        <f>B30/$B$8</f>
        <v>-3.5438997480375881E-3</v>
      </c>
    </row>
    <row r="31" spans="1:3" x14ac:dyDescent="0.25">
      <c r="A31" s="3" t="s">
        <v>1350</v>
      </c>
      <c r="B31" s="4">
        <f>SUMIF(Angela_2026_Chase1117_Activity_!$G$2:$G$1368,$A31,Angela_2026_Chase1117_Activity_!$D$2:$D$1368)</f>
        <v>-1100</v>
      </c>
      <c r="C31" s="6">
        <f>B31/$B$8</f>
        <v>4.8728621535516839E-3</v>
      </c>
    </row>
    <row r="32" spans="1:3" x14ac:dyDescent="0.25">
      <c r="A32" s="3" t="s">
        <v>1346</v>
      </c>
      <c r="B32" s="4">
        <f>SUMIF(Angela_2026_Chase1117_Activity_!$G$2:$G$1368,$A32,Angela_2026_Chase1117_Activity_!$D$2:$D$1368)</f>
        <v>175</v>
      </c>
      <c r="C32" s="6">
        <f>B32/$B$8</f>
        <v>-7.7522806988322246E-4</v>
      </c>
    </row>
    <row r="33" spans="1:3" x14ac:dyDescent="0.25">
      <c r="A33" s="3" t="s">
        <v>1348</v>
      </c>
      <c r="B33" s="4">
        <f>SUMIF(Angela_2026_Chase1117_Activity_!$G$2:$G$1368,$A33,Angela_2026_Chase1117_Activity_!$D$2:$D$1368)</f>
        <v>175</v>
      </c>
      <c r="C33" s="6">
        <f>B33/$B$8</f>
        <v>-7.7522806988322246E-4</v>
      </c>
    </row>
    <row r="34" spans="1:3" x14ac:dyDescent="0.25">
      <c r="A34" s="3" t="s">
        <v>1338</v>
      </c>
      <c r="B34" s="4">
        <f>SUMIF(Angela_2026_Chase1117_Activity_!$G$2:$G$1368,$A34,Angela_2026_Chase1117_Activity_!$D$2:$D$1368)</f>
        <v>-1300</v>
      </c>
      <c r="C34" s="6">
        <f>B34/$B$8</f>
        <v>5.7588370905610814E-3</v>
      </c>
    </row>
    <row r="35" spans="1:3" x14ac:dyDescent="0.25">
      <c r="A35" s="3" t="s">
        <v>1352</v>
      </c>
      <c r="B35" s="4">
        <f>SUMIF(Angela_2026_Chase1117_Activity_!$G$2:$G$1368,$A35,Angela_2026_Chase1117_Activity_!$D$2:$D$1368)</f>
        <v>-300</v>
      </c>
      <c r="C35" s="6">
        <f>B35/$B$8</f>
        <v>1.3289624055140955E-3</v>
      </c>
    </row>
    <row r="36" spans="1:3" x14ac:dyDescent="0.25">
      <c r="A36" s="3" t="s">
        <v>1354</v>
      </c>
      <c r="B36" s="4">
        <f>SUMIF(Angela_2026_Chase1117_Activity_!$G$2:$G$1368,$A36,Angela_2026_Chase1117_Activity_!$D$2:$D$1368)</f>
        <v>-300</v>
      </c>
      <c r="C36" s="6">
        <f>B36/$B$8</f>
        <v>1.3289624055140955E-3</v>
      </c>
    </row>
    <row r="37" spans="1:3" x14ac:dyDescent="0.25">
      <c r="A37" s="22" t="s">
        <v>1566</v>
      </c>
      <c r="B37" s="23">
        <f>SUM(B26:B36)</f>
        <v>850</v>
      </c>
      <c r="C37" s="24">
        <f>SUM(C26:C36)</f>
        <v>-3.7653934822899386E-3</v>
      </c>
    </row>
    <row r="38" spans="1:3" x14ac:dyDescent="0.25">
      <c r="A38" s="12" t="s">
        <v>1567</v>
      </c>
      <c r="B38" s="14"/>
      <c r="C38" s="15"/>
    </row>
    <row r="39" spans="1:3" x14ac:dyDescent="0.25">
      <c r="A39" s="3" t="s">
        <v>1529</v>
      </c>
      <c r="B39" s="4">
        <f>SUMIF(Angela_2026_Chase1117_Activity_!$G$2:$G$1368,$A39,Angela_2026_Chase1117_Activity_!$D$2:$D$1368)</f>
        <v>-212.86</v>
      </c>
      <c r="C39" s="6">
        <f>B39/$B$8</f>
        <v>9.4294312545910135E-4</v>
      </c>
    </row>
    <row r="40" spans="1:3" x14ac:dyDescent="0.25">
      <c r="A40" s="3" t="s">
        <v>1531</v>
      </c>
      <c r="B40" s="4">
        <f>SUMIF(Angela_2026_Chase1117_Activity_!$G$2:$G$1368,$A40,Angela_2026_Chase1117_Activity_!$D$2:$D$1368)</f>
        <v>-9.9499999999999993</v>
      </c>
      <c r="C40" s="6">
        <f>B40/$B$8</f>
        <v>4.4077253116217498E-5</v>
      </c>
    </row>
    <row r="41" spans="1:3" x14ac:dyDescent="0.25">
      <c r="A41" s="3" t="s">
        <v>1533</v>
      </c>
      <c r="B41" s="4">
        <f>SUMIF(Angela_2026_Chase1117_Activity_!$G$2:$G$1368,$A41,Angela_2026_Chase1117_Activity_!$D$2:$D$1368)</f>
        <v>-125</v>
      </c>
      <c r="C41" s="6">
        <f>B41/$B$8</f>
        <v>5.537343356308732E-4</v>
      </c>
    </row>
    <row r="42" spans="1:3" x14ac:dyDescent="0.25">
      <c r="A42" s="22" t="s">
        <v>1568</v>
      </c>
      <c r="B42" s="23">
        <f>SUM(B39:B41)</f>
        <v>-347.81</v>
      </c>
      <c r="C42" s="24">
        <f>SUM(C39:C41)</f>
        <v>1.5407547142061921E-3</v>
      </c>
    </row>
    <row r="43" spans="1:3" x14ac:dyDescent="0.25">
      <c r="A43" s="12" t="s">
        <v>1306</v>
      </c>
      <c r="B43" s="14"/>
      <c r="C43" s="15"/>
    </row>
    <row r="44" spans="1:3" x14ac:dyDescent="0.25">
      <c r="A44" s="3" t="s">
        <v>1306</v>
      </c>
      <c r="B44" s="4">
        <f>SUMIF(Angela_2026_Chase1117_Activity_!$G$2:$G$1368,$A44,Angela_2026_Chase1117_Activity_!$D$2:$D$1368)</f>
        <v>-41752.330000000016</v>
      </c>
      <c r="C44" s="6">
        <f>B44/$B$8</f>
        <v>0.18495758970872786</v>
      </c>
    </row>
    <row r="45" spans="1:3" x14ac:dyDescent="0.25">
      <c r="A45" s="3" t="s">
        <v>1358</v>
      </c>
      <c r="B45" s="4">
        <f>SUMIF(Angela_2026_Chase1117_Activity_!$G$2:$G$1368,$A45,Angela_2026_Chase1117_Activity_!$D$2:$D$1368)</f>
        <v>-81.339999999999989</v>
      </c>
      <c r="C45" s="6">
        <f>B45/$B$8</f>
        <v>3.6032600688172176E-4</v>
      </c>
    </row>
    <row r="46" spans="1:3" x14ac:dyDescent="0.25">
      <c r="A46" s="3" t="s">
        <v>1569</v>
      </c>
      <c r="B46" s="4">
        <f>SUMIF(Angela_2026_Chase1117_Activity_!$G$2:$G$1368,$A46,Angela_2026_Chase1117_Activity_!$D$2:$D$1368)</f>
        <v>-3043.85</v>
      </c>
      <c r="C46" s="6">
        <f>B46/$B$8</f>
        <v>1.3483874060080265E-2</v>
      </c>
    </row>
    <row r="47" spans="1:3" x14ac:dyDescent="0.25">
      <c r="A47" s="3" t="s">
        <v>1356</v>
      </c>
      <c r="B47" s="4">
        <f>SUMIF(Angela_2026_Chase1117_Activity_!$G$2:$G$1368,$A47,Angela_2026_Chase1117_Activity_!$D$2:$D$1368)</f>
        <v>-639.13</v>
      </c>
      <c r="C47" s="6">
        <f>B47/$B$8</f>
        <v>2.8312658074540796E-3</v>
      </c>
    </row>
    <row r="48" spans="1:3" x14ac:dyDescent="0.25">
      <c r="A48" s="3" t="s">
        <v>1331</v>
      </c>
      <c r="B48" s="4">
        <f>SUMIF(Angela_2026_Chase1117_Activity_!$G$2:$G$1368,$A48,Angela_2026_Chase1117_Activity_!$D$2:$D$1368)</f>
        <v>-393.96</v>
      </c>
      <c r="C48" s="6">
        <f>B48/$B$8</f>
        <v>1.7451934309211103E-3</v>
      </c>
    </row>
    <row r="49" spans="1:3" x14ac:dyDescent="0.25">
      <c r="A49" s="22" t="s">
        <v>1570</v>
      </c>
      <c r="B49" s="23">
        <f>SUM(B44:B48)</f>
        <v>-45910.610000000008</v>
      </c>
      <c r="C49" s="24">
        <f>SUM(C44:C48)</f>
        <v>0.20337824901406501</v>
      </c>
    </row>
    <row r="50" spans="1:3" x14ac:dyDescent="0.25">
      <c r="A50" s="12" t="s">
        <v>1571</v>
      </c>
      <c r="B50" s="14"/>
      <c r="C50" s="15"/>
    </row>
    <row r="51" spans="1:3" x14ac:dyDescent="0.25">
      <c r="A51" s="3" t="s">
        <v>1307</v>
      </c>
      <c r="B51" s="4">
        <f>SUMIF(Angela_2026_Chase1117_Activity_!$G$2:$G$1368,$A51,Angela_2026_Chase1117_Activity_!$D$2:$D$1368)</f>
        <v>-16867.13</v>
      </c>
      <c r="C51" s="6">
        <f>B51/$B$8</f>
        <v>7.4719272196396569E-2</v>
      </c>
    </row>
    <row r="52" spans="1:3" x14ac:dyDescent="0.25">
      <c r="A52" s="3" t="s">
        <v>1335</v>
      </c>
      <c r="B52" s="4">
        <f>SUMIF(Angela_2026_Chase1117_Activity_!$G$2:$G$1368,$A52,Angela_2026_Chase1117_Activity_!$D$2:$D$1368)</f>
        <v>-7629.54</v>
      </c>
      <c r="C52" s="6">
        <f>B52/$B$8</f>
        <v>3.3797906104553375E-2</v>
      </c>
    </row>
    <row r="53" spans="1:3" x14ac:dyDescent="0.25">
      <c r="A53" s="3" t="s">
        <v>1324</v>
      </c>
      <c r="B53" s="4">
        <f>SUMIF(Angela_2026_Chase1117_Activity_!$G$2:$G$1368,$A53,Angela_2026_Chase1117_Activity_!$D$2:$D$1368)</f>
        <v>-5282.9300000000012</v>
      </c>
      <c r="C53" s="6">
        <f>B53/$B$8</f>
        <v>2.3402717869875276E-2</v>
      </c>
    </row>
    <row r="54" spans="1:3" x14ac:dyDescent="0.25">
      <c r="A54" s="3" t="s">
        <v>1314</v>
      </c>
      <c r="B54" s="4">
        <f>SUMIF(Angela_2026_Chase1117_Activity_!$G$2:$G$1368,$A54,Angela_2026_Chase1117_Activity_!$D$2:$D$1368)</f>
        <v>-2599.2999999999988</v>
      </c>
      <c r="C54" s="6">
        <f>B54/$B$8</f>
        <v>1.1514573268842624E-2</v>
      </c>
    </row>
    <row r="55" spans="1:3" x14ac:dyDescent="0.25">
      <c r="A55" s="3" t="s">
        <v>1311</v>
      </c>
      <c r="B55" s="4">
        <f>SUMIF(Angela_2026_Chase1117_Activity_!$G$2:$G$1368,$A55,Angela_2026_Chase1117_Activity_!$D$2:$D$1368)</f>
        <v>-2531.2299999999996</v>
      </c>
      <c r="C55" s="6">
        <f>B55/$B$8</f>
        <v>1.1213031699031479E-2</v>
      </c>
    </row>
    <row r="56" spans="1:3" x14ac:dyDescent="0.25">
      <c r="A56" s="3" t="s">
        <v>1310</v>
      </c>
      <c r="B56" s="4">
        <f>SUMIF(Angela_2026_Chase1117_Activity_!$G$2:$G$1368,$A56,Angela_2026_Chase1117_Activity_!$D$2:$D$1368)</f>
        <v>-13950.199999999997</v>
      </c>
      <c r="C56" s="6">
        <f>B56/$B$8</f>
        <v>6.1797637831342442E-2</v>
      </c>
    </row>
    <row r="57" spans="1:3" x14ac:dyDescent="0.25">
      <c r="A57" s="3" t="s">
        <v>1309</v>
      </c>
      <c r="B57" s="4">
        <f>SUMIF(Angela_2026_Chase1117_Activity_!$G$2:$G$1368,$A57,Angela_2026_Chase1117_Activity_!$D$2:$D$1368)</f>
        <v>-3391.2199999999993</v>
      </c>
      <c r="C57" s="6">
        <f>B57/$B$8</f>
        <v>1.5022679629425035E-2</v>
      </c>
    </row>
    <row r="58" spans="1:3" x14ac:dyDescent="0.25">
      <c r="A58" s="3" t="s">
        <v>1308</v>
      </c>
      <c r="B58" s="4">
        <f>SUMIF(Angela_2026_Chase1117_Activity_!$G$2:$G$1368,$A58,Angela_2026_Chase1117_Activity_!$D$2:$D$1368)</f>
        <v>-26143.87</v>
      </c>
      <c r="C58" s="6">
        <f>B58/$B$8</f>
        <v>0.11581406788215932</v>
      </c>
    </row>
    <row r="59" spans="1:3" x14ac:dyDescent="0.25">
      <c r="A59" s="3" t="s">
        <v>1508</v>
      </c>
      <c r="B59" s="4">
        <f>SUMIF(Angela_2026_Chase1117_Activity_!$G$2:$G$1368,$A59,Angela_2026_Chase1117_Activity_!$D$2:$D$1368)</f>
        <v>-15812.859999999999</v>
      </c>
      <c r="C59" s="6">
        <f>B59/$B$8</f>
        <v>7.0048988212192062E-2</v>
      </c>
    </row>
    <row r="60" spans="1:3" x14ac:dyDescent="0.25">
      <c r="A60" s="3" t="s">
        <v>1537</v>
      </c>
      <c r="B60" s="4">
        <f>SUMIF(Angela_2026_Chase1117_Activity_!$G$2:$G$1368,$A60,Angela_2026_Chase1117_Activity_!$D$2:$D$1368)</f>
        <v>-923.84000000000015</v>
      </c>
      <c r="C60" s="6">
        <f>B60/$B$8</f>
        <v>4.0924954290338074E-3</v>
      </c>
    </row>
    <row r="61" spans="1:3" x14ac:dyDescent="0.25">
      <c r="A61" s="3" t="s">
        <v>1364</v>
      </c>
      <c r="B61" s="4">
        <f>SUMIF(Angela_2026_Chase1117_Activity_!$G$2:$G$1368,$A61,Angela_2026_Chase1117_Activity_!$D$2:$D$1368)</f>
        <v>-566.11999999999989</v>
      </c>
      <c r="C61" s="6">
        <f>B61/$B$8</f>
        <v>2.507840656698799E-3</v>
      </c>
    </row>
    <row r="62" spans="1:3" x14ac:dyDescent="0.25">
      <c r="A62" s="3" t="s">
        <v>1333</v>
      </c>
      <c r="B62" s="4">
        <f>SUMIF(Angela_2026_Chase1117_Activity_!$G$2:$G$1368,$A62,Angela_2026_Chase1117_Activity_!$D$2:$D$1368)</f>
        <v>-227</v>
      </c>
      <c r="C62" s="6">
        <f>B62/$B$8</f>
        <v>1.0055815535056657E-3</v>
      </c>
    </row>
    <row r="63" spans="1:3" x14ac:dyDescent="0.25">
      <c r="A63" s="3" t="s">
        <v>1313</v>
      </c>
      <c r="B63" s="4">
        <f>SUMIF(Angela_2026_Chase1117_Activity_!$G$2:$G$1368,$A63,Angela_2026_Chase1117_Activity_!$D$2:$D$1368)</f>
        <v>-474.09999999999997</v>
      </c>
      <c r="C63" s="6">
        <f>B63/$B$8</f>
        <v>2.1002035881807755E-3</v>
      </c>
    </row>
    <row r="64" spans="1:3" x14ac:dyDescent="0.25">
      <c r="A64" s="22" t="s">
        <v>1572</v>
      </c>
      <c r="B64" s="23">
        <f>SUM(B51:B63)</f>
        <v>-96399.34</v>
      </c>
      <c r="C64" s="24">
        <f>SUM(C51:C63)</f>
        <v>0.42703699592123717</v>
      </c>
    </row>
    <row r="65" spans="1:3" x14ac:dyDescent="0.25">
      <c r="A65" s="12" t="s">
        <v>1573</v>
      </c>
      <c r="B65" s="14"/>
      <c r="C65" s="15"/>
    </row>
    <row r="66" spans="1:3" x14ac:dyDescent="0.25">
      <c r="A66" s="3" t="s">
        <v>1319</v>
      </c>
      <c r="B66" s="4">
        <f>SUMIF(Angela_2026_Chase1117_Activity_!$G$2:$G$1368,$A66,Angela_2026_Chase1117_Activity_!$D$2:$D$1368)</f>
        <v>-28112.860000000015</v>
      </c>
      <c r="C66" s="6">
        <f>B66/$B$8</f>
        <v>0.12453644683827006</v>
      </c>
    </row>
    <row r="67" spans="1:3" x14ac:dyDescent="0.25">
      <c r="A67" s="3" t="s">
        <v>1322</v>
      </c>
      <c r="B67" s="4">
        <f>SUMIF(Angela_2026_Chase1117_Activity_!$G$2:$G$1368,$A67,Angela_2026_Chase1117_Activity_!$D$2:$D$1368)</f>
        <v>-1169.0900000000001</v>
      </c>
      <c r="C67" s="6">
        <f>B67/$B$8</f>
        <v>5.1789221955415811E-3</v>
      </c>
    </row>
    <row r="68" spans="1:3" x14ac:dyDescent="0.25">
      <c r="A68" s="3" t="s">
        <v>1434</v>
      </c>
      <c r="B68" s="4">
        <f>SUMIF(Angela_2026_Chase1117_Activity_!$G$2:$G$1368,$A68,Angela_2026_Chase1117_Activity_!$D$2:$D$1368)</f>
        <v>-2440.23</v>
      </c>
      <c r="C68" s="6">
        <f>B68/$B$8</f>
        <v>1.0809913102692205E-2</v>
      </c>
    </row>
    <row r="69" spans="1:3" x14ac:dyDescent="0.25">
      <c r="A69" s="3" t="s">
        <v>1468</v>
      </c>
      <c r="B69" s="4">
        <f>SUMIF(Angela_2026_Chase1117_Activity_!$G$2:$G$1368,$A69,Angela_2026_Chase1117_Activity_!$D$2:$D$1368)</f>
        <v>-101.92999999999999</v>
      </c>
      <c r="C69" s="6">
        <f>B69/$B$8</f>
        <v>4.5153712664683919E-4</v>
      </c>
    </row>
    <row r="70" spans="1:3" x14ac:dyDescent="0.25">
      <c r="A70" s="3" t="s">
        <v>1515</v>
      </c>
      <c r="B70" s="4">
        <f>SUMIF(Angela_2026_Chase1117_Activity_!$G$2:$G$1368,$A70,Angela_2026_Chase1117_Activity_!$D$2:$D$1368)</f>
        <v>-4857.6099999999979</v>
      </c>
      <c r="C70" s="6">
        <f>B70/$B$8</f>
        <v>2.1518603568831077E-2</v>
      </c>
    </row>
    <row r="71" spans="1:3" x14ac:dyDescent="0.25">
      <c r="A71" s="3" t="s">
        <v>1336</v>
      </c>
      <c r="B71" s="4">
        <f>SUMIF(Angela_2026_Chase1117_Activity_!$G$2:$G$1368,$A71,Angela_2026_Chase1117_Activity_!$D$2:$D$1368)</f>
        <v>-4471.3999999999996</v>
      </c>
      <c r="C71" s="6">
        <f>B71/$B$8</f>
        <v>1.980774166671909E-2</v>
      </c>
    </row>
    <row r="72" spans="1:3" x14ac:dyDescent="0.25">
      <c r="A72" s="3" t="s">
        <v>1366</v>
      </c>
      <c r="B72" s="4">
        <f>SUMIF(Angela_2026_Chase1117_Activity_!$G$2:$G$1368,$A72,Angela_2026_Chase1117_Activity_!$D$2:$D$1368)</f>
        <v>-236.38</v>
      </c>
      <c r="C72" s="6">
        <f>B72/$B$8</f>
        <v>1.0471337780514063E-3</v>
      </c>
    </row>
    <row r="73" spans="1:3" x14ac:dyDescent="0.25">
      <c r="A73" s="3" t="s">
        <v>1317</v>
      </c>
      <c r="B73" s="4">
        <f>SUMIF(Angela_2026_Chase1117_Activity_!$G$2:$G$1368,$A73,Angela_2026_Chase1117_Activity_!$D$2:$D$1368)</f>
        <v>-2130.44</v>
      </c>
      <c r="C73" s="6">
        <f>B73/$B$8</f>
        <v>9.4375822240115002E-3</v>
      </c>
    </row>
    <row r="74" spans="1:3" x14ac:dyDescent="0.25">
      <c r="A74" s="22" t="s">
        <v>1574</v>
      </c>
      <c r="B74" s="23">
        <f>SUM(B66:B73)</f>
        <v>-43519.940000000017</v>
      </c>
      <c r="C74" s="24">
        <f>SUM(C66:C73)</f>
        <v>0.19278788050076376</v>
      </c>
    </row>
    <row r="75" spans="1:3" x14ac:dyDescent="0.25">
      <c r="A75" s="12" t="s">
        <v>1575</v>
      </c>
      <c r="B75" s="14"/>
      <c r="C75" s="15"/>
    </row>
    <row r="76" spans="1:3" x14ac:dyDescent="0.25">
      <c r="A76" s="3" t="s">
        <v>1312</v>
      </c>
      <c r="B76" s="4">
        <f>SUMIF(Angela_2026_Chase1117_Activity_!$G$2:$G$1368,$A76,Angela_2026_Chase1117_Activity_!$D$2:$D$1368)</f>
        <v>-69.12</v>
      </c>
      <c r="C76" s="6">
        <f>B76/$B$8</f>
        <v>3.0619293823044765E-4</v>
      </c>
    </row>
    <row r="77" spans="1:3" x14ac:dyDescent="0.25">
      <c r="A77" s="3" t="s">
        <v>1576</v>
      </c>
      <c r="B77" s="4">
        <f>SUMIF(Angela_2026_Chase1117_Activity_!$G$2:$G$1368,$A77,Angela_2026_Chase1117_Activity_!$D$2:$D$1368)</f>
        <v>-3400</v>
      </c>
      <c r="C77" s="6">
        <f>B77/$B$8</f>
        <v>1.5061573929159751E-2</v>
      </c>
    </row>
    <row r="78" spans="1:3" x14ac:dyDescent="0.25">
      <c r="A78" s="3" t="s">
        <v>1511</v>
      </c>
      <c r="B78" s="4">
        <f>SUMIF(Angela_2026_Chase1117_Activity_!$G$2:$G$1368,$A78,Angela_2026_Chase1117_Activity_!$D$2:$D$1368)</f>
        <v>5360.2699999999995</v>
      </c>
      <c r="C78" s="6">
        <f>B78/$B$8</f>
        <v>-2.3745324378016804E-2</v>
      </c>
    </row>
    <row r="79" spans="1:3" x14ac:dyDescent="0.25">
      <c r="A79" s="3" t="s">
        <v>1513</v>
      </c>
      <c r="B79" s="4">
        <f>SUMIF(Angela_2026_Chase1117_Activity_!$G$2:$G$1368,$A79,Angela_2026_Chase1117_Activity_!$D$2:$D$1368)</f>
        <v>-20081.929999999997</v>
      </c>
      <c r="C79" s="6">
        <f>B79/$B$8</f>
        <v>8.8960433333885591E-2</v>
      </c>
    </row>
    <row r="80" spans="1:3" x14ac:dyDescent="0.25">
      <c r="A80" s="22" t="s">
        <v>1577</v>
      </c>
      <c r="B80" s="23">
        <f>SUM(B76:B79)</f>
        <v>-18190.78</v>
      </c>
      <c r="C80" s="24">
        <f>SUM(C76:C79)</f>
        <v>8.0582875823258987E-2</v>
      </c>
    </row>
    <row r="81" spans="1:3" x14ac:dyDescent="0.25">
      <c r="A81" s="12" t="s">
        <v>1370</v>
      </c>
      <c r="B81" s="14"/>
      <c r="C81" s="15"/>
    </row>
    <row r="82" spans="1:3" x14ac:dyDescent="0.25">
      <c r="A82" s="3" t="s">
        <v>1370</v>
      </c>
      <c r="B82" s="4">
        <f>SUMIF(Angela_2026_Chase1117_Activity_!$G$2:$G$1368,$A82,Angela_2026_Chase1117_Activity_!$D$2:$D$1368)</f>
        <v>-685</v>
      </c>
      <c r="C82" s="6">
        <f>B82/$B$8</f>
        <v>3.0344641592571849E-3</v>
      </c>
    </row>
    <row r="83" spans="1:3" x14ac:dyDescent="0.25">
      <c r="A83" s="22" t="s">
        <v>1578</v>
      </c>
      <c r="B83" s="23">
        <f>SUM(B82:B82)</f>
        <v>-685</v>
      </c>
      <c r="C83" s="24">
        <f>SUM(C82:C82)</f>
        <v>3.0344641592571849E-3</v>
      </c>
    </row>
    <row r="84" spans="1:3" ht="15.75" thickBot="1" x14ac:dyDescent="0.3">
      <c r="A84" s="3"/>
      <c r="B84" s="4"/>
      <c r="C84" s="3"/>
    </row>
    <row r="85" spans="1:3" ht="15.75" thickTop="1" x14ac:dyDescent="0.25">
      <c r="A85" s="10" t="s">
        <v>1579</v>
      </c>
      <c r="B85" s="11">
        <f>B24+B37+B42+B49+B64+B74+B80+B83</f>
        <v>-453.48000000002503</v>
      </c>
      <c r="C85" s="7"/>
    </row>
    <row r="86" spans="1:3" x14ac:dyDescent="0.25">
      <c r="A86" s="2"/>
    </row>
    <row r="87" spans="1:3" x14ac:dyDescent="0.25">
      <c r="A87" s="2"/>
    </row>
    <row r="88" spans="1:3" x14ac:dyDescent="0.25">
      <c r="A88" s="2"/>
    </row>
    <row r="89" spans="1:3" x14ac:dyDescent="0.25">
      <c r="A89" s="2"/>
    </row>
    <row r="90" spans="1:3" x14ac:dyDescent="0.25">
      <c r="A90" s="2"/>
    </row>
    <row r="91" spans="1:3" x14ac:dyDescent="0.25">
      <c r="A91" s="2"/>
    </row>
    <row r="92" spans="1:3" x14ac:dyDescent="0.25">
      <c r="A92" s="2"/>
    </row>
    <row r="93" spans="1:3" x14ac:dyDescent="0.25">
      <c r="A93" s="2"/>
    </row>
    <row r="94" spans="1:3" x14ac:dyDescent="0.25">
      <c r="A94" s="2"/>
    </row>
    <row r="95" spans="1:3" x14ac:dyDescent="0.25">
      <c r="A95" s="2"/>
    </row>
    <row r="96" spans="1:3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0AA4-C045-4254-ADCB-8A0947269138}">
  <dimension ref="A1:C29"/>
  <sheetViews>
    <sheetView workbookViewId="0"/>
  </sheetViews>
  <sheetFormatPr defaultRowHeight="15" x14ac:dyDescent="0.25"/>
  <cols>
    <col min="1" max="1" width="49.5703125" customWidth="1"/>
    <col min="2" max="3" width="19" customWidth="1"/>
  </cols>
  <sheetData>
    <row r="1" spans="1:3" ht="18.75" x14ac:dyDescent="0.3">
      <c r="A1" s="8" t="s">
        <v>1543</v>
      </c>
      <c r="B1" s="8"/>
      <c r="C1" s="8"/>
    </row>
    <row r="2" spans="1:3" x14ac:dyDescent="0.25">
      <c r="A2" s="9" t="s">
        <v>1580</v>
      </c>
      <c r="B2" s="9"/>
      <c r="C2" s="9"/>
    </row>
    <row r="3" spans="1:3" x14ac:dyDescent="0.25">
      <c r="A3" s="3"/>
      <c r="B3" s="3"/>
      <c r="C3" s="3"/>
    </row>
    <row r="4" spans="1:3" x14ac:dyDescent="0.25">
      <c r="A4" s="13" t="s">
        <v>1305</v>
      </c>
      <c r="B4" s="13" t="s">
        <v>3</v>
      </c>
      <c r="C4" s="13" t="s">
        <v>1555</v>
      </c>
    </row>
    <row r="5" spans="1:3" x14ac:dyDescent="0.25">
      <c r="A5" s="12" t="s">
        <v>1581</v>
      </c>
      <c r="B5" s="12"/>
      <c r="C5" s="12"/>
    </row>
    <row r="6" spans="1:3" x14ac:dyDescent="0.25">
      <c r="A6" s="3" t="s">
        <v>1360</v>
      </c>
      <c r="B6" s="4">
        <f>SUMIF(Angela_2026_Chase1117_Activity_!$G$2:$G$1368,$A6,Angela_2026_Chase1117_Activity_!$D$2:$D$1368)</f>
        <v>181500</v>
      </c>
      <c r="C6" s="5">
        <f>COUNTIF(Angela_2026_Chase1117_Activity_!$G$2:$G$1368,$A6)</f>
        <v>51</v>
      </c>
    </row>
    <row r="7" spans="1:3" x14ac:dyDescent="0.25">
      <c r="A7" s="3" t="s">
        <v>1362</v>
      </c>
      <c r="B7" s="4">
        <f>SUMIF(Angela_2026_Chase1117_Activity_!$G$2:$G$1368,$A7,Angela_2026_Chase1117_Activity_!$D$2:$D$1368)</f>
        <v>-8750</v>
      </c>
      <c r="C7" s="5">
        <f>COUNTIF(Angela_2026_Chase1117_Activity_!$G$2:$G$1368,$A7)</f>
        <v>13</v>
      </c>
    </row>
    <row r="8" spans="1:3" x14ac:dyDescent="0.25">
      <c r="A8" s="3" t="s">
        <v>1527</v>
      </c>
      <c r="B8" s="4">
        <f>SUMIF(Angela_2026_Chase1117_Activity_!$G$2:$G$1368,$A8,Angela_2026_Chase1117_Activity_!$D$2:$D$1368)</f>
        <v>31000</v>
      </c>
      <c r="C8" s="5">
        <f>COUNTIF(Angela_2026_Chase1117_Activity_!$G$2:$G$1368,$A8)</f>
        <v>3</v>
      </c>
    </row>
    <row r="9" spans="1:3" x14ac:dyDescent="0.25">
      <c r="A9" s="22" t="s">
        <v>1582</v>
      </c>
      <c r="B9" s="23">
        <f>SUM(B6:B8)</f>
        <v>203750</v>
      </c>
      <c r="C9" s="27">
        <f>SUM(C6:C8)</f>
        <v>67</v>
      </c>
    </row>
    <row r="10" spans="1:3" x14ac:dyDescent="0.25">
      <c r="A10" s="12" t="s">
        <v>1583</v>
      </c>
      <c r="B10" s="14"/>
      <c r="C10" s="26"/>
    </row>
    <row r="11" spans="1:3" x14ac:dyDescent="0.25">
      <c r="A11" s="3" t="s">
        <v>1340</v>
      </c>
      <c r="B11" s="4">
        <f>SUMIF(Angela_2026_Chase1117_Activity_!$G$2:$G$1368,$A11,Angela_2026_Chase1117_Activity_!$D$2:$D$1368)</f>
        <v>350</v>
      </c>
      <c r="C11" s="5">
        <f>COUNTIF(Angela_2026_Chase1117_Activity_!$G$2:$G$1368,$A11)</f>
        <v>6</v>
      </c>
    </row>
    <row r="12" spans="1:3" x14ac:dyDescent="0.25">
      <c r="A12" s="3" t="s">
        <v>1344</v>
      </c>
      <c r="B12" s="4">
        <f>SUMIF(Angela_2026_Chase1117_Activity_!$G$2:$G$1368,$A12,Angela_2026_Chase1117_Activity_!$D$2:$D$1368)</f>
        <v>1350</v>
      </c>
      <c r="C12" s="5">
        <f>COUNTIF(Angela_2026_Chase1117_Activity_!$G$2:$G$1368,$A12)</f>
        <v>3</v>
      </c>
    </row>
    <row r="13" spans="1:3" x14ac:dyDescent="0.25">
      <c r="A13" s="3" t="s">
        <v>1564</v>
      </c>
      <c r="B13" s="4">
        <f>SUMIF(Angela_2026_Chase1117_Activity_!$G$2:$G$1368,$A13,Angela_2026_Chase1117_Activity_!$D$2:$D$1368)</f>
        <v>2000</v>
      </c>
      <c r="C13" s="5">
        <f>COUNTIF(Angela_2026_Chase1117_Activity_!$G$2:$G$1368,$A13)</f>
        <v>4</v>
      </c>
    </row>
    <row r="14" spans="1:3" x14ac:dyDescent="0.25">
      <c r="A14" s="3" t="s">
        <v>1565</v>
      </c>
      <c r="B14" s="4">
        <f>SUMIF(Angela_2026_Chase1117_Activity_!$G$2:$G$1368,$A14,Angela_2026_Chase1117_Activity_!$D$2:$D$1368)</f>
        <v>-1000</v>
      </c>
      <c r="C14" s="5">
        <f>COUNTIF(Angela_2026_Chase1117_Activity_!$G$2:$G$1368,$A14)</f>
        <v>1</v>
      </c>
    </row>
    <row r="15" spans="1:3" x14ac:dyDescent="0.25">
      <c r="A15" s="3" t="s">
        <v>1342</v>
      </c>
      <c r="B15" s="4">
        <f>SUMIF(Angela_2026_Chase1117_Activity_!$G$2:$G$1368,$A15,Angela_2026_Chase1117_Activity_!$D$2:$D$1368)</f>
        <v>800</v>
      </c>
      <c r="C15" s="5">
        <f>COUNTIF(Angela_2026_Chase1117_Activity_!$G$2:$G$1368,$A15)</f>
        <v>8</v>
      </c>
    </row>
    <row r="16" spans="1:3" x14ac:dyDescent="0.25">
      <c r="A16" s="3" t="s">
        <v>1350</v>
      </c>
      <c r="B16" s="4">
        <f>SUMIF(Angela_2026_Chase1117_Activity_!$G$2:$G$1368,$A16,Angela_2026_Chase1117_Activity_!$D$2:$D$1368)</f>
        <v>-1100</v>
      </c>
      <c r="C16" s="5">
        <f>COUNTIF(Angela_2026_Chase1117_Activity_!$G$2:$G$1368,$A16)</f>
        <v>3</v>
      </c>
    </row>
    <row r="17" spans="1:3" x14ac:dyDescent="0.25">
      <c r="A17" s="3" t="s">
        <v>1346</v>
      </c>
      <c r="B17" s="4">
        <f>SUMIF(Angela_2026_Chase1117_Activity_!$G$2:$G$1368,$A17,Angela_2026_Chase1117_Activity_!$D$2:$D$1368)</f>
        <v>175</v>
      </c>
      <c r="C17" s="5">
        <f>COUNTIF(Angela_2026_Chase1117_Activity_!$G$2:$G$1368,$A17)</f>
        <v>1</v>
      </c>
    </row>
    <row r="18" spans="1:3" x14ac:dyDescent="0.25">
      <c r="A18" s="3" t="s">
        <v>1348</v>
      </c>
      <c r="B18" s="4">
        <f>SUMIF(Angela_2026_Chase1117_Activity_!$G$2:$G$1368,$A18,Angela_2026_Chase1117_Activity_!$D$2:$D$1368)</f>
        <v>175</v>
      </c>
      <c r="C18" s="5">
        <f>COUNTIF(Angela_2026_Chase1117_Activity_!$G$2:$G$1368,$A18)</f>
        <v>1</v>
      </c>
    </row>
    <row r="19" spans="1:3" x14ac:dyDescent="0.25">
      <c r="A19" s="3" t="s">
        <v>1338</v>
      </c>
      <c r="B19" s="4">
        <f>SUMIF(Angela_2026_Chase1117_Activity_!$G$2:$G$1368,$A19,Angela_2026_Chase1117_Activity_!$D$2:$D$1368)</f>
        <v>-1300</v>
      </c>
      <c r="C19" s="5">
        <f>COUNTIF(Angela_2026_Chase1117_Activity_!$G$2:$G$1368,$A19)</f>
        <v>2</v>
      </c>
    </row>
    <row r="20" spans="1:3" x14ac:dyDescent="0.25">
      <c r="A20" s="3" t="s">
        <v>1352</v>
      </c>
      <c r="B20" s="4">
        <f>SUMIF(Angela_2026_Chase1117_Activity_!$G$2:$G$1368,$A20,Angela_2026_Chase1117_Activity_!$D$2:$D$1368)</f>
        <v>-300</v>
      </c>
      <c r="C20" s="5">
        <f>COUNTIF(Angela_2026_Chase1117_Activity_!$G$2:$G$1368,$A20)</f>
        <v>1</v>
      </c>
    </row>
    <row r="21" spans="1:3" x14ac:dyDescent="0.25">
      <c r="A21" s="3" t="s">
        <v>1354</v>
      </c>
      <c r="B21" s="4">
        <f>SUMIF(Angela_2026_Chase1117_Activity_!$G$2:$G$1368,$A21,Angela_2026_Chase1117_Activity_!$D$2:$D$1368)</f>
        <v>-300</v>
      </c>
      <c r="C21" s="5">
        <f>COUNTIF(Angela_2026_Chase1117_Activity_!$G$2:$G$1368,$A21)</f>
        <v>1</v>
      </c>
    </row>
    <row r="22" spans="1:3" x14ac:dyDescent="0.25">
      <c r="A22" s="22" t="s">
        <v>1584</v>
      </c>
      <c r="B22" s="23">
        <f>SUM(B11:B21)</f>
        <v>850</v>
      </c>
      <c r="C22" s="27">
        <f>SUM(C11:C21)</f>
        <v>31</v>
      </c>
    </row>
    <row r="23" spans="1:3" x14ac:dyDescent="0.25">
      <c r="A23" s="12" t="s">
        <v>1567</v>
      </c>
      <c r="B23" s="14"/>
      <c r="C23" s="26"/>
    </row>
    <row r="24" spans="1:3" x14ac:dyDescent="0.25">
      <c r="A24" s="3" t="s">
        <v>1529</v>
      </c>
      <c r="B24" s="4">
        <f>SUMIF(Angela_2026_Chase1117_Activity_!$G$2:$G$1368,$A24,Angela_2026_Chase1117_Activity_!$D$2:$D$1368)</f>
        <v>-212.86</v>
      </c>
      <c r="C24" s="5">
        <f>COUNTIF(Angela_2026_Chase1117_Activity_!$G$2:$G$1368,$A24)</f>
        <v>2</v>
      </c>
    </row>
    <row r="25" spans="1:3" x14ac:dyDescent="0.25">
      <c r="A25" s="3" t="s">
        <v>1531</v>
      </c>
      <c r="B25" s="4">
        <f>SUMIF(Angela_2026_Chase1117_Activity_!$G$2:$G$1368,$A25,Angela_2026_Chase1117_Activity_!$D$2:$D$1368)</f>
        <v>-9.9499999999999993</v>
      </c>
      <c r="C25" s="5">
        <f>COUNTIF(Angela_2026_Chase1117_Activity_!$G$2:$G$1368,$A25)</f>
        <v>1</v>
      </c>
    </row>
    <row r="26" spans="1:3" x14ac:dyDescent="0.25">
      <c r="A26" s="3" t="s">
        <v>1533</v>
      </c>
      <c r="B26" s="4">
        <f>SUMIF(Angela_2026_Chase1117_Activity_!$G$2:$G$1368,$A26,Angela_2026_Chase1117_Activity_!$D$2:$D$1368)</f>
        <v>-125</v>
      </c>
      <c r="C26" s="5">
        <f>COUNTIF(Angela_2026_Chase1117_Activity_!$G$2:$G$1368,$A26)</f>
        <v>1</v>
      </c>
    </row>
    <row r="27" spans="1:3" x14ac:dyDescent="0.25">
      <c r="A27" s="22" t="s">
        <v>1568</v>
      </c>
      <c r="B27" s="23">
        <f>SUM(B24:B26)</f>
        <v>-347.81</v>
      </c>
      <c r="C27" s="27">
        <f>SUM(C24:C26)</f>
        <v>4</v>
      </c>
    </row>
    <row r="28" spans="1:3" ht="15.75" thickBot="1" x14ac:dyDescent="0.3">
      <c r="A28" s="3"/>
      <c r="B28" s="4"/>
      <c r="C28" s="5"/>
    </row>
    <row r="29" spans="1:3" ht="15.75" thickTop="1" x14ac:dyDescent="0.25">
      <c r="A29" s="10" t="s">
        <v>1585</v>
      </c>
      <c r="B29" s="11">
        <f>B9+B22+B27</f>
        <v>204252.19</v>
      </c>
      <c r="C29" s="25">
        <f>C9+C22+C27</f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935D-C5F8-4780-834A-B459201B1853}">
  <dimension ref="A1:D1371"/>
  <sheetViews>
    <sheetView workbookViewId="0"/>
  </sheetViews>
  <sheetFormatPr defaultRowHeight="15" x14ac:dyDescent="0.25"/>
  <cols>
    <col min="1" max="1" width="15.28515625" customWidth="1"/>
    <col min="2" max="2" width="61" customWidth="1"/>
    <col min="3" max="3" width="38.140625" customWidth="1"/>
    <col min="4" max="4" width="17.140625" customWidth="1"/>
  </cols>
  <sheetData>
    <row r="1" spans="1:4" ht="18.75" x14ac:dyDescent="0.3">
      <c r="A1" s="8" t="s">
        <v>1543</v>
      </c>
      <c r="B1" s="8"/>
      <c r="C1" s="8"/>
      <c r="D1" s="8"/>
    </row>
    <row r="2" spans="1:4" x14ac:dyDescent="0.25">
      <c r="A2" s="9" t="s">
        <v>1586</v>
      </c>
      <c r="B2" s="9"/>
      <c r="C2" s="9"/>
      <c r="D2" s="9"/>
    </row>
    <row r="3" spans="1:4" x14ac:dyDescent="0.25">
      <c r="A3" s="3"/>
      <c r="B3" s="3"/>
      <c r="C3" s="3"/>
      <c r="D3" s="3"/>
    </row>
    <row r="4" spans="1:4" x14ac:dyDescent="0.25">
      <c r="A4" s="13" t="s">
        <v>1587</v>
      </c>
      <c r="B4" s="13" t="s">
        <v>1588</v>
      </c>
      <c r="C4" s="13" t="s">
        <v>1305</v>
      </c>
      <c r="D4" s="13" t="s">
        <v>3</v>
      </c>
    </row>
    <row r="5" spans="1:4" x14ac:dyDescent="0.25">
      <c r="A5" s="28">
        <f>Angela_2026_Chase1117_Activity_!B2</f>
        <v>46211</v>
      </c>
      <c r="B5" s="3" t="str">
        <f>Angela_2026_Chase1117_Activity_!C2</f>
        <v>POS DEBIT                UBER * EATS PENDING       SAN FRANCISC CA</v>
      </c>
      <c r="C5" s="3" t="str">
        <f>Angela_2026_Chase1117_Activity_!G2</f>
        <v>Uber Eats</v>
      </c>
      <c r="D5" s="4">
        <f>Angela_2026_Chase1117_Activity_!D2</f>
        <v>-20.54</v>
      </c>
    </row>
    <row r="6" spans="1:4" x14ac:dyDescent="0.25">
      <c r="A6" s="28">
        <f>Angela_2026_Chase1117_Activity_!B3</f>
        <v>46211</v>
      </c>
      <c r="B6" s="3" t="str">
        <f>Angela_2026_Chase1117_Activity_!C3</f>
        <v>POS DEBIT                6DAYWEIGHT* 6DAYWEIGHT    +18187829038 CA                                                                                                                                                                                                                                                                        0089</v>
      </c>
      <c r="C6" s="3" t="str">
        <f>Angela_2026_Chase1117_Activity_!G3</f>
        <v>Personal - Health</v>
      </c>
      <c r="D6" s="4">
        <f>Angela_2026_Chase1117_Activity_!D3</f>
        <v>-395</v>
      </c>
    </row>
    <row r="7" spans="1:4" x14ac:dyDescent="0.25">
      <c r="A7" s="28">
        <f>Angela_2026_Chase1117_Activity_!B4</f>
        <v>46211</v>
      </c>
      <c r="B7" s="3" t="str">
        <f>Angela_2026_Chase1117_Activity_!C4</f>
        <v>POS DEBIT                Prime Video Channels     amzn.com/bil  WA                                                                                                                                                                                                                                                                        0360</v>
      </c>
      <c r="C7" s="3" t="str">
        <f>Angela_2026_Chase1117_Activity_!G4</f>
        <v>Amazon</v>
      </c>
      <c r="D7" s="4">
        <f>Angela_2026_Chase1117_Activity_!D4</f>
        <v>-15.99</v>
      </c>
    </row>
    <row r="8" spans="1:4" x14ac:dyDescent="0.25">
      <c r="A8" s="28">
        <f>Angela_2026_Chase1117_Activity_!B5</f>
        <v>46211</v>
      </c>
      <c r="B8" s="3" t="str">
        <f>Angela_2026_Chase1117_Activity_!C5</f>
        <v>POS DEBIT                Amazon Tips              Amzn.com/bil  WA                                                                                                                                                                                                                                                                        0360</v>
      </c>
      <c r="C8" s="3" t="str">
        <f>Angela_2026_Chase1117_Activity_!G5</f>
        <v>Amazon</v>
      </c>
      <c r="D8" s="4">
        <f>Angela_2026_Chase1117_Activity_!D5</f>
        <v>-15</v>
      </c>
    </row>
    <row r="9" spans="1:4" x14ac:dyDescent="0.25">
      <c r="A9" s="28">
        <f>Angela_2026_Chase1117_Activity_!B6</f>
        <v>46210</v>
      </c>
      <c r="B9" s="3" t="str">
        <f>Angela_2026_Chase1117_Activity_!C6</f>
        <v>UBER   * EATS PENDIN SAN FRANCISCO CA148376  07/07</v>
      </c>
      <c r="C9" s="3" t="str">
        <f>Angela_2026_Chase1117_Activity_!G6</f>
        <v>Uber Eats</v>
      </c>
      <c r="D9" s="4">
        <f>Angela_2026_Chase1117_Activity_!D6</f>
        <v>-27.55</v>
      </c>
    </row>
    <row r="10" spans="1:4" x14ac:dyDescent="0.25">
      <c r="A10" s="28">
        <f>Angela_2026_Chase1117_Activity_!B7</f>
        <v>46210</v>
      </c>
      <c r="B10" s="3" t="str">
        <f>Angela_2026_Chase1117_Activity_!C7</f>
        <v>WITHDRAWAL 07/07</v>
      </c>
      <c r="C10" s="3" t="str">
        <f>Angela_2026_Chase1117_Activity_!G7</f>
        <v>Withdrawal</v>
      </c>
      <c r="D10" s="4">
        <f>Angela_2026_Chase1117_Activity_!D7</f>
        <v>-5000</v>
      </c>
    </row>
    <row r="11" spans="1:4" x14ac:dyDescent="0.25">
      <c r="A11" s="28">
        <f>Angela_2026_Chase1117_Activity_!B8</f>
        <v>46210</v>
      </c>
      <c r="B11" s="3" t="str">
        <f>Angela_2026_Chase1117_Activity_!C8</f>
        <v>AMAZON RETA* XR6945C WWW.AMAZON.CO WA        07/07</v>
      </c>
      <c r="C11" s="3" t="str">
        <f>Angela_2026_Chase1117_Activity_!G8</f>
        <v>Amazon</v>
      </c>
      <c r="D11" s="4">
        <f>Angela_2026_Chase1117_Activity_!D8</f>
        <v>-25.62</v>
      </c>
    </row>
    <row r="12" spans="1:4" x14ac:dyDescent="0.25">
      <c r="A12" s="28">
        <f>Angela_2026_Chase1117_Activity_!B9</f>
        <v>46210</v>
      </c>
      <c r="B12" s="3" t="str">
        <f>Angela_2026_Chase1117_Activity_!C9</f>
        <v>SP VALASTA LLC VALASTA.NET SC                07/06</v>
      </c>
      <c r="C12" s="3" t="str">
        <f>Angela_2026_Chase1117_Activity_!G9</f>
        <v>Personal - Health</v>
      </c>
      <c r="D12" s="4">
        <f>Angela_2026_Chase1117_Activity_!D9</f>
        <v>-430.03</v>
      </c>
    </row>
    <row r="13" spans="1:4" x14ac:dyDescent="0.25">
      <c r="A13" s="28">
        <f>Angela_2026_Chase1117_Activity_!B10</f>
        <v>46210</v>
      </c>
      <c r="B13" s="3" t="str">
        <f>Angela_2026_Chase1117_Activity_!C10</f>
        <v>GRANDVIEW CLEANERS LOS ANGELES CA            07/06</v>
      </c>
      <c r="C13" s="3" t="str">
        <f>Angela_2026_Chase1117_Activity_!G10</f>
        <v>Personal - Clothing</v>
      </c>
      <c r="D13" s="4">
        <f>Angela_2026_Chase1117_Activity_!D10</f>
        <v>-133</v>
      </c>
    </row>
    <row r="14" spans="1:4" x14ac:dyDescent="0.25">
      <c r="A14" s="28">
        <f>Angela_2026_Chase1117_Activity_!B11</f>
        <v>46210</v>
      </c>
      <c r="B14" s="3" t="str">
        <f>Angela_2026_Chase1117_Activity_!C11</f>
        <v>Amazon Tips*SA10C2A4 Amzn.com/bill WA        07/06</v>
      </c>
      <c r="C14" s="3" t="str">
        <f>Angela_2026_Chase1117_Activity_!G11</f>
        <v>Amazon</v>
      </c>
      <c r="D14" s="4">
        <f>Angela_2026_Chase1117_Activity_!D11</f>
        <v>-30</v>
      </c>
    </row>
    <row r="15" spans="1:4" x14ac:dyDescent="0.25">
      <c r="A15" s="28">
        <f>Angela_2026_Chase1117_Activity_!B12</f>
        <v>46210</v>
      </c>
      <c r="B15" s="3" t="str">
        <f>Angela_2026_Chase1117_Activity_!C12</f>
        <v>AMAZON RETA* WC81L6V WWW.AMAZON.CO WA        07/06</v>
      </c>
      <c r="C15" s="3" t="str">
        <f>Angela_2026_Chase1117_Activity_!G12</f>
        <v>Amazon</v>
      </c>
      <c r="D15" s="4">
        <f>Angela_2026_Chase1117_Activity_!D12</f>
        <v>-11.75</v>
      </c>
    </row>
    <row r="16" spans="1:4" x14ac:dyDescent="0.25">
      <c r="A16" s="28">
        <f>Angela_2026_Chase1117_Activity_!B13</f>
        <v>46210</v>
      </c>
      <c r="B16" s="3" t="str">
        <f>Angela_2026_Chase1117_Activity_!C13</f>
        <v>AMAZON RETA* TR3I78I WWW.AMAZON.CO WA        07/07</v>
      </c>
      <c r="C16" s="3" t="str">
        <f>Angela_2026_Chase1117_Activity_!G13</f>
        <v>Amazon</v>
      </c>
      <c r="D16" s="4">
        <f>Angela_2026_Chase1117_Activity_!D13</f>
        <v>-7.75</v>
      </c>
    </row>
    <row r="17" spans="1:4" x14ac:dyDescent="0.25">
      <c r="A17" s="28">
        <f>Angela_2026_Chase1117_Activity_!B14</f>
        <v>46210</v>
      </c>
      <c r="B17" s="3" t="str">
        <f>Angela_2026_Chase1117_Activity_!C14</f>
        <v>AMAZON RETA* 7S20V2V WWW.AMAZON.CO WA        07/07</v>
      </c>
      <c r="C17" s="3" t="str">
        <f>Angela_2026_Chase1117_Activity_!G14</f>
        <v>Amazon</v>
      </c>
      <c r="D17" s="4">
        <f>Angela_2026_Chase1117_Activity_!D14</f>
        <v>-2.98</v>
      </c>
    </row>
    <row r="18" spans="1:4" x14ac:dyDescent="0.25">
      <c r="A18" s="28">
        <f>Angela_2026_Chase1117_Activity_!B15</f>
        <v>46210</v>
      </c>
      <c r="B18" s="3" t="str">
        <f>Angela_2026_Chase1117_Activity_!C15</f>
        <v>Amazon.com*J13TY12U3 Amzn.com/bill WA        07/06</v>
      </c>
      <c r="C18" s="3" t="str">
        <f>Angela_2026_Chase1117_Activity_!G15</f>
        <v>Amazon</v>
      </c>
      <c r="D18" s="4">
        <f>Angela_2026_Chase1117_Activity_!D15</f>
        <v>-77.09</v>
      </c>
    </row>
    <row r="19" spans="1:4" x14ac:dyDescent="0.25">
      <c r="A19" s="28">
        <f>Angela_2026_Chase1117_Activity_!B16</f>
        <v>46210</v>
      </c>
      <c r="B19" s="3" t="str">
        <f>Angela_2026_Chase1117_Activity_!C16</f>
        <v>AMAZON RETA* TN0B08X WWW.AMAZON.CO WA        07/06</v>
      </c>
      <c r="C19" s="3" t="str">
        <f>Angela_2026_Chase1117_Activity_!G16</f>
        <v>Amazon</v>
      </c>
      <c r="D19" s="4">
        <f>Angela_2026_Chase1117_Activity_!D16</f>
        <v>-42.47</v>
      </c>
    </row>
    <row r="20" spans="1:4" x14ac:dyDescent="0.25">
      <c r="A20" s="28">
        <f>Angela_2026_Chase1117_Activity_!B17</f>
        <v>46210</v>
      </c>
      <c r="B20" s="3" t="str">
        <f>Angela_2026_Chase1117_Activity_!C17</f>
        <v>DEPOSIT  ID NUMBER 891007</v>
      </c>
      <c r="C20" s="3" t="str">
        <f>Angela_2026_Chase1117_Activity_!G17</f>
        <v>Deposit</v>
      </c>
      <c r="D20" s="4">
        <f>Angela_2026_Chase1117_Activity_!D17</f>
        <v>120</v>
      </c>
    </row>
    <row r="21" spans="1:4" x14ac:dyDescent="0.25">
      <c r="A21" s="28">
        <f>Angela_2026_Chase1117_Activity_!B18</f>
        <v>46209</v>
      </c>
      <c r="B21" s="3" t="str">
        <f>Angela_2026_Chase1117_Activity_!C18</f>
        <v>GOOGLE *YouTubePremi g.co/helppay# CA        07/06</v>
      </c>
      <c r="C21" s="3" t="str">
        <f>Angela_2026_Chase1117_Activity_!G18</f>
        <v>YouTube Premium</v>
      </c>
      <c r="D21" s="4">
        <f>Angela_2026_Chase1117_Activity_!D18</f>
        <v>-15.99</v>
      </c>
    </row>
    <row r="22" spans="1:4" x14ac:dyDescent="0.25">
      <c r="A22" s="28">
        <f>Angela_2026_Chase1117_Activity_!B19</f>
        <v>46209</v>
      </c>
      <c r="B22" s="3" t="str">
        <f>Angela_2026_Chase1117_Activity_!C19</f>
        <v>PSYCHOLOGY TODAY PSYCHOLOGYTOD SD            07/06</v>
      </c>
      <c r="C22" s="3" t="str">
        <f>Angela_2026_Chase1117_Activity_!G19</f>
        <v>Personal - Subscription</v>
      </c>
      <c r="D22" s="4">
        <f>Angela_2026_Chase1117_Activity_!D19</f>
        <v>-29.95</v>
      </c>
    </row>
    <row r="23" spans="1:4" x14ac:dyDescent="0.25">
      <c r="A23" s="28">
        <f>Angela_2026_Chase1117_Activity_!B20</f>
        <v>46209</v>
      </c>
      <c r="B23" s="3" t="str">
        <f>Angela_2026_Chase1117_Activity_!C20</f>
        <v>AMAZON RETA* LR5KR13 WWW.AMAZON.CO WA        07/06</v>
      </c>
      <c r="C23" s="3" t="str">
        <f>Angela_2026_Chase1117_Activity_!G20</f>
        <v>Amazon</v>
      </c>
      <c r="D23" s="4">
        <f>Angela_2026_Chase1117_Activity_!D20</f>
        <v>-17.87</v>
      </c>
    </row>
    <row r="24" spans="1:4" x14ac:dyDescent="0.25">
      <c r="A24" s="28">
        <f>Angela_2026_Chase1117_Activity_!B21</f>
        <v>46209</v>
      </c>
      <c r="B24" s="3" t="str">
        <f>Angela_2026_Chase1117_Activity_!C21</f>
        <v>Amazon.com*FZ7ZB7T93 Amzn.com/bill WA        07/05</v>
      </c>
      <c r="C24" s="3" t="str">
        <f>Angela_2026_Chase1117_Activity_!G21</f>
        <v>Amazon</v>
      </c>
      <c r="D24" s="4">
        <f>Angela_2026_Chase1117_Activity_!D21</f>
        <v>-228.21</v>
      </c>
    </row>
    <row r="25" spans="1:4" x14ac:dyDescent="0.25">
      <c r="A25" s="28">
        <f>Angela_2026_Chase1117_Activity_!B22</f>
        <v>46209</v>
      </c>
      <c r="B25" s="3" t="str">
        <f>Angela_2026_Chase1117_Activity_!C22</f>
        <v>UBER   * EATS PENDIN SAN FRANCISCO CA016634  07/04</v>
      </c>
      <c r="C25" s="3" t="str">
        <f>Angela_2026_Chase1117_Activity_!G22</f>
        <v>Uber Eats</v>
      </c>
      <c r="D25" s="4">
        <f>Angela_2026_Chase1117_Activity_!D22</f>
        <v>-102.7</v>
      </c>
    </row>
    <row r="26" spans="1:4" x14ac:dyDescent="0.25">
      <c r="A26" s="28">
        <f>Angela_2026_Chase1117_Activity_!B23</f>
        <v>46209</v>
      </c>
      <c r="B26" s="3" t="str">
        <f>Angela_2026_Chase1117_Activity_!C23</f>
        <v>AMAZON MKTPL*AI5BJ94 Amzn.com/bill WA        07/05</v>
      </c>
      <c r="C26" s="3" t="str">
        <f>Angela_2026_Chase1117_Activity_!G23</f>
        <v>Amazon</v>
      </c>
      <c r="D26" s="4">
        <f>Angela_2026_Chase1117_Activity_!D23</f>
        <v>-17.98</v>
      </c>
    </row>
    <row r="27" spans="1:4" x14ac:dyDescent="0.25">
      <c r="A27" s="28">
        <f>Angela_2026_Chase1117_Activity_!B24</f>
        <v>46209</v>
      </c>
      <c r="B27" s="3" t="str">
        <f>Angela_2026_Chase1117_Activity_!C24</f>
        <v>CVS/PHARMACY #09 09493 MAR VISTA CA  284618  07/04</v>
      </c>
      <c r="C27" s="3" t="str">
        <f>Angela_2026_Chase1117_Activity_!G24</f>
        <v>Personal - Health</v>
      </c>
      <c r="D27" s="4">
        <f>Angela_2026_Chase1117_Activity_!D24</f>
        <v>-81.44</v>
      </c>
    </row>
    <row r="28" spans="1:4" x14ac:dyDescent="0.25">
      <c r="A28" s="28">
        <f>Angela_2026_Chase1117_Activity_!B25</f>
        <v>46209</v>
      </c>
      <c r="B28" s="3" t="str">
        <f>Angela_2026_Chase1117_Activity_!C25</f>
        <v>Amazon Tips*N313827D Amzn.com/bill WA        07/03</v>
      </c>
      <c r="C28" s="3" t="str">
        <f>Angela_2026_Chase1117_Activity_!G25</f>
        <v>Amazon</v>
      </c>
      <c r="D28" s="4">
        <f>Angela_2026_Chase1117_Activity_!D25</f>
        <v>-20</v>
      </c>
    </row>
    <row r="29" spans="1:4" x14ac:dyDescent="0.25">
      <c r="A29" s="28">
        <f>Angela_2026_Chase1117_Activity_!B26</f>
        <v>46209</v>
      </c>
      <c r="B29" s="3" t="str">
        <f>Angela_2026_Chase1117_Activity_!C26</f>
        <v>APPLE.COM/BILL 866-712-7753 CA               07/03</v>
      </c>
      <c r="C29" s="3" t="str">
        <f>Angela_2026_Chase1117_Activity_!G26</f>
        <v>Apple</v>
      </c>
      <c r="D29" s="4">
        <f>Angela_2026_Chase1117_Activity_!D26</f>
        <v>-3.99</v>
      </c>
    </row>
    <row r="30" spans="1:4" x14ac:dyDescent="0.25">
      <c r="A30" s="28">
        <f>Angela_2026_Chase1117_Activity_!B27</f>
        <v>46209</v>
      </c>
      <c r="B30" s="3" t="str">
        <f>Angela_2026_Chase1117_Activity_!C27</f>
        <v>Online Transfer from CHK ...1168 transaction#: 29908753752</v>
      </c>
      <c r="C30" s="3" t="str">
        <f>Angela_2026_Chase1117_Activity_!G27</f>
        <v>Transfer from DWG Capital Group</v>
      </c>
      <c r="D30" s="4">
        <f>Angela_2026_Chase1117_Activity_!D27</f>
        <v>5000</v>
      </c>
    </row>
    <row r="31" spans="1:4" x14ac:dyDescent="0.25">
      <c r="A31" s="28">
        <f>Angela_2026_Chase1117_Activity_!B28</f>
        <v>46206</v>
      </c>
      <c r="B31" s="3" t="str">
        <f>Angela_2026_Chase1117_Activity_!C28</f>
        <v>POSHMARK 6504887740 CA                       07/03</v>
      </c>
      <c r="C31" s="3" t="str">
        <f>Angela_2026_Chase1117_Activity_!G28</f>
        <v>Poshmark</v>
      </c>
      <c r="D31" s="4">
        <f>Angela_2026_Chase1117_Activity_!D28</f>
        <v>-55.88</v>
      </c>
    </row>
    <row r="32" spans="1:4" x14ac:dyDescent="0.25">
      <c r="A32" s="28">
        <f>Angela_2026_Chase1117_Activity_!B29</f>
        <v>46206</v>
      </c>
      <c r="B32" s="3" t="str">
        <f>Angela_2026_Chase1117_Activity_!C29</f>
        <v>POSHMARK 6504887740 CA                       07/03</v>
      </c>
      <c r="C32" s="3" t="str">
        <f>Angela_2026_Chase1117_Activity_!G29</f>
        <v>Poshmark</v>
      </c>
      <c r="D32" s="4">
        <f>Angela_2026_Chase1117_Activity_!D29</f>
        <v>-33.93</v>
      </c>
    </row>
    <row r="33" spans="1:4" x14ac:dyDescent="0.25">
      <c r="A33" s="28">
        <f>Angela_2026_Chase1117_Activity_!B30</f>
        <v>46206</v>
      </c>
      <c r="B33" s="3" t="str">
        <f>Angela_2026_Chase1117_Activity_!C30</f>
        <v>POSHMARK 6504887740 CA                       07/03</v>
      </c>
      <c r="C33" s="3" t="str">
        <f>Angela_2026_Chase1117_Activity_!G30</f>
        <v>Poshmark</v>
      </c>
      <c r="D33" s="4">
        <f>Angela_2026_Chase1117_Activity_!D30</f>
        <v>-50.39</v>
      </c>
    </row>
    <row r="34" spans="1:4" x14ac:dyDescent="0.25">
      <c r="A34" s="28">
        <f>Angela_2026_Chase1117_Activity_!B31</f>
        <v>46206</v>
      </c>
      <c r="B34" s="3" t="str">
        <f>Angela_2026_Chase1117_Activity_!C31</f>
        <v>POSHMARK 6504887740 CA                       07/03</v>
      </c>
      <c r="C34" s="3" t="str">
        <f>Angela_2026_Chase1117_Activity_!G31</f>
        <v>Poshmark</v>
      </c>
      <c r="D34" s="4">
        <f>Angela_2026_Chase1117_Activity_!D31</f>
        <v>-94.29</v>
      </c>
    </row>
    <row r="35" spans="1:4" x14ac:dyDescent="0.25">
      <c r="A35" s="28">
        <f>Angela_2026_Chase1117_Activity_!B32</f>
        <v>46206</v>
      </c>
      <c r="B35" s="3" t="str">
        <f>Angela_2026_Chase1117_Activity_!C32</f>
        <v>POSHMARK 6504887740 CA                       07/03</v>
      </c>
      <c r="C35" s="3" t="str">
        <f>Angela_2026_Chase1117_Activity_!G32</f>
        <v>Poshmark</v>
      </c>
      <c r="D35" s="4">
        <f>Angela_2026_Chase1117_Activity_!D32</f>
        <v>-72.34</v>
      </c>
    </row>
    <row r="36" spans="1:4" x14ac:dyDescent="0.25">
      <c r="A36" s="28">
        <f>Angela_2026_Chase1117_Activity_!B33</f>
        <v>46206</v>
      </c>
      <c r="B36" s="3" t="str">
        <f>Angela_2026_Chase1117_Activity_!C33</f>
        <v>POSHMARK 6504887740 CA                       07/03</v>
      </c>
      <c r="C36" s="3" t="str">
        <f>Angela_2026_Chase1117_Activity_!G33</f>
        <v>Poshmark</v>
      </c>
      <c r="D36" s="4">
        <f>Angela_2026_Chase1117_Activity_!D33</f>
        <v>-74.540000000000006</v>
      </c>
    </row>
    <row r="37" spans="1:4" x14ac:dyDescent="0.25">
      <c r="A37" s="28">
        <f>Angela_2026_Chase1117_Activity_!B34</f>
        <v>46206</v>
      </c>
      <c r="B37" s="3" t="str">
        <f>Angela_2026_Chase1117_Activity_!C34</f>
        <v>HANDY J CAR WASH LOS ANGELES CA              07/02</v>
      </c>
      <c r="C37" s="3" t="str">
        <f>Angela_2026_Chase1117_Activity_!G34</f>
        <v>Personal - Car</v>
      </c>
      <c r="D37" s="4">
        <f>Angela_2026_Chase1117_Activity_!D34</f>
        <v>-5.72</v>
      </c>
    </row>
    <row r="38" spans="1:4" x14ac:dyDescent="0.25">
      <c r="A38" s="28">
        <f>Angela_2026_Chase1117_Activity_!B35</f>
        <v>46206</v>
      </c>
      <c r="B38" s="3" t="str">
        <f>Angela_2026_Chase1117_Activity_!C35</f>
        <v>HANDY J CAR WASH LOS ANGELES CA              07/02</v>
      </c>
      <c r="C38" s="3" t="str">
        <f>Angela_2026_Chase1117_Activity_!G35</f>
        <v>Personal - Car</v>
      </c>
      <c r="D38" s="4">
        <f>Angela_2026_Chase1117_Activity_!D35</f>
        <v>-50.45</v>
      </c>
    </row>
    <row r="39" spans="1:4" x14ac:dyDescent="0.25">
      <c r="A39" s="28">
        <f>Angela_2026_Chase1117_Activity_!B36</f>
        <v>46206</v>
      </c>
      <c r="B39" s="3" t="str">
        <f>Angela_2026_Chase1117_Activity_!C36</f>
        <v>BASHAR COMM/BASHARTV BASHAR.ORG CA           07/02</v>
      </c>
      <c r="C39" s="3" t="str">
        <f>Angela_2026_Chase1117_Activity_!G36</f>
        <v>Personal - Subscription</v>
      </c>
      <c r="D39" s="4">
        <f>Angela_2026_Chase1117_Activity_!D36</f>
        <v>-39.99</v>
      </c>
    </row>
    <row r="40" spans="1:4" x14ac:dyDescent="0.25">
      <c r="A40" s="28">
        <f>Angela_2026_Chase1117_Activity_!B37</f>
        <v>46206</v>
      </c>
      <c r="B40" s="3" t="str">
        <f>Angela_2026_Chase1117_Activity_!C37</f>
        <v>BASHAR COMM/BASHARTV BASHAR.ORG CA           07/02</v>
      </c>
      <c r="C40" s="3" t="str">
        <f>Angela_2026_Chase1117_Activity_!G37</f>
        <v>Personal - Subscription</v>
      </c>
      <c r="D40" s="4">
        <f>Angela_2026_Chase1117_Activity_!D37</f>
        <v>-39.99</v>
      </c>
    </row>
    <row r="41" spans="1:4" x14ac:dyDescent="0.25">
      <c r="A41" s="28">
        <f>Angela_2026_Chase1117_Activity_!B38</f>
        <v>46206</v>
      </c>
      <c r="B41" s="3" t="str">
        <f>Angela_2026_Chase1117_Activity_!C38</f>
        <v>BASHAR COMM/BASHARTV BASHAR.ORG CA           07/02</v>
      </c>
      <c r="C41" s="3" t="str">
        <f>Angela_2026_Chase1117_Activity_!G38</f>
        <v>Personal - Subscription</v>
      </c>
      <c r="D41" s="4">
        <f>Angela_2026_Chase1117_Activity_!D38</f>
        <v>-39.99</v>
      </c>
    </row>
    <row r="42" spans="1:4" x14ac:dyDescent="0.25">
      <c r="A42" s="28">
        <f>Angela_2026_Chase1117_Activity_!B39</f>
        <v>46206</v>
      </c>
      <c r="B42" s="3" t="str">
        <f>Angela_2026_Chase1117_Activity_!C39</f>
        <v>AMAZON MKTPL*R46FN6W Amzn.com/bill WA        07/02</v>
      </c>
      <c r="C42" s="3" t="str">
        <f>Angela_2026_Chase1117_Activity_!G39</f>
        <v>Amazon</v>
      </c>
      <c r="D42" s="4">
        <f>Angela_2026_Chase1117_Activity_!D39</f>
        <v>-12.11</v>
      </c>
    </row>
    <row r="43" spans="1:4" x14ac:dyDescent="0.25">
      <c r="A43" s="28">
        <f>Angela_2026_Chase1117_Activity_!B40</f>
        <v>46206</v>
      </c>
      <c r="B43" s="3" t="str">
        <f>Angela_2026_Chase1117_Activity_!C40</f>
        <v>AMERICAN AIR00175226946 FORT WORTH TX        06/29</v>
      </c>
      <c r="C43" s="3" t="str">
        <f>Angela_2026_Chase1117_Activity_!G40</f>
        <v>Personal Travel</v>
      </c>
      <c r="D43" s="4">
        <f>Angela_2026_Chase1117_Activity_!D40</f>
        <v>-55</v>
      </c>
    </row>
    <row r="44" spans="1:4" x14ac:dyDescent="0.25">
      <c r="A44" s="28">
        <f>Angela_2026_Chase1117_Activity_!B41</f>
        <v>46206</v>
      </c>
      <c r="B44" s="3" t="str">
        <f>Angela_2026_Chase1117_Activity_!C41</f>
        <v>AMERICAN AIR00175226946 FORT WORTH TX        06/29</v>
      </c>
      <c r="C44" s="3" t="str">
        <f>Angela_2026_Chase1117_Activity_!G41</f>
        <v>Personal Travel</v>
      </c>
      <c r="D44" s="4">
        <f>Angela_2026_Chase1117_Activity_!D41</f>
        <v>-55</v>
      </c>
    </row>
    <row r="45" spans="1:4" x14ac:dyDescent="0.25">
      <c r="A45" s="28">
        <f>Angela_2026_Chase1117_Activity_!B42</f>
        <v>46205</v>
      </c>
      <c r="B45" s="3" t="str">
        <f>Angela_2026_Chase1117_Activity_!C42</f>
        <v>CVS/PHARMACY #09 09493 MAR VISTA CA  997267  07/02</v>
      </c>
      <c r="C45" s="3" t="str">
        <f>Angela_2026_Chase1117_Activity_!G42</f>
        <v>Personal - Health</v>
      </c>
      <c r="D45" s="4">
        <f>Angela_2026_Chase1117_Activity_!D42</f>
        <v>-161.24</v>
      </c>
    </row>
    <row r="46" spans="1:4" x14ac:dyDescent="0.25">
      <c r="A46" s="28">
        <f>Angela_2026_Chase1117_Activity_!B43</f>
        <v>46205</v>
      </c>
      <c r="B46" s="3" t="str">
        <f>Angela_2026_Chase1117_Activity_!C43</f>
        <v>UBER   * EATS PENDIN SAN FRANCISCO CA088759  07/02</v>
      </c>
      <c r="C46" s="3" t="str">
        <f>Angela_2026_Chase1117_Activity_!G43</f>
        <v>Uber Eats</v>
      </c>
      <c r="D46" s="4">
        <f>Angela_2026_Chase1117_Activity_!D43</f>
        <v>-34.020000000000003</v>
      </c>
    </row>
    <row r="47" spans="1:4" x14ac:dyDescent="0.25">
      <c r="A47" s="28">
        <f>Angela_2026_Chase1117_Activity_!B44</f>
        <v>46205</v>
      </c>
      <c r="B47" s="3" t="str">
        <f>Angela_2026_Chase1117_Activity_!C44</f>
        <v>ATM WITHDRAWAL                       000260  07/0212335 VEN</v>
      </c>
      <c r="C47" s="3" t="str">
        <f>Angela_2026_Chase1117_Activity_!G44</f>
        <v>Withdrawal</v>
      </c>
      <c r="D47" s="4">
        <f>Angela_2026_Chase1117_Activity_!D44</f>
        <v>-1000</v>
      </c>
    </row>
    <row r="48" spans="1:4" x14ac:dyDescent="0.25">
      <c r="A48" s="28">
        <f>Angela_2026_Chase1117_Activity_!B45</f>
        <v>46205</v>
      </c>
      <c r="B48" s="3" t="str">
        <f>Angela_2026_Chase1117_Activity_!C45</f>
        <v>CVS/PHARMACY #09 09493 MAR VISTA CA  280472  07/02</v>
      </c>
      <c r="C48" s="3" t="str">
        <f>Angela_2026_Chase1117_Activity_!G45</f>
        <v>Personal - Health</v>
      </c>
      <c r="D48" s="4">
        <f>Angela_2026_Chase1117_Activity_!D45</f>
        <v>-147.66</v>
      </c>
    </row>
    <row r="49" spans="1:4" x14ac:dyDescent="0.25">
      <c r="A49" s="28">
        <f>Angela_2026_Chase1117_Activity_!B46</f>
        <v>46205</v>
      </c>
      <c r="B49" s="3" t="str">
        <f>Angela_2026_Chase1117_Activity_!C46</f>
        <v>Amazon.com*WB45K3Y53 Amzn.com/bill WA        07/02</v>
      </c>
      <c r="C49" s="3" t="str">
        <f>Angela_2026_Chase1117_Activity_!G46</f>
        <v>Amazon</v>
      </c>
      <c r="D49" s="4">
        <f>Angela_2026_Chase1117_Activity_!D46</f>
        <v>-190.75</v>
      </c>
    </row>
    <row r="50" spans="1:4" x14ac:dyDescent="0.25">
      <c r="A50" s="28">
        <f>Angela_2026_Chase1117_Activity_!B47</f>
        <v>46205</v>
      </c>
      <c r="B50" s="3" t="str">
        <f>Angela_2026_Chase1117_Activity_!C47</f>
        <v>UBER   * EATS PENDIN SAN FRANCISCO CA088408  07/01</v>
      </c>
      <c r="C50" s="3" t="str">
        <f>Angela_2026_Chase1117_Activity_!G47</f>
        <v>Uber Eats</v>
      </c>
      <c r="D50" s="4">
        <f>Angela_2026_Chase1117_Activity_!D47</f>
        <v>-38.46</v>
      </c>
    </row>
    <row r="51" spans="1:4" x14ac:dyDescent="0.25">
      <c r="A51" s="28">
        <f>Angela_2026_Chase1117_Activity_!B48</f>
        <v>46205</v>
      </c>
      <c r="B51" s="3" t="str">
        <f>Angela_2026_Chase1117_Activity_!C48</f>
        <v>COSTCO *ANNUAL RENEWA 800-774-2678 WA        07/01</v>
      </c>
      <c r="C51" s="3" t="str">
        <f>Angela_2026_Chase1117_Activity_!G48</f>
        <v>Personal - Food</v>
      </c>
      <c r="D51" s="4">
        <f>Angela_2026_Chase1117_Activity_!D48</f>
        <v>-65</v>
      </c>
    </row>
    <row r="52" spans="1:4" x14ac:dyDescent="0.25">
      <c r="A52" s="28">
        <f>Angela_2026_Chase1117_Activity_!B49</f>
        <v>46205</v>
      </c>
      <c r="B52" s="3" t="str">
        <f>Angela_2026_Chase1117_Activity_!C49</f>
        <v>TM *DANCING PLAGUE 800-653-8000 CA           07/02</v>
      </c>
      <c r="C52" s="3" t="str">
        <f>Angela_2026_Chase1117_Activity_!G49</f>
        <v>Personal - Entertainment</v>
      </c>
      <c r="D52" s="4">
        <f>Angela_2026_Chase1117_Activity_!D49</f>
        <v>-99.48</v>
      </c>
    </row>
    <row r="53" spans="1:4" x14ac:dyDescent="0.25">
      <c r="A53" s="28">
        <f>Angela_2026_Chase1117_Activity_!B50</f>
        <v>46205</v>
      </c>
      <c r="B53" s="3" t="str">
        <f>Angela_2026_Chase1117_Activity_!C50</f>
        <v>eBay O*18-14829-94569 San Jose CA            07/02</v>
      </c>
      <c r="C53" s="3" t="str">
        <f>Angela_2026_Chase1117_Activity_!G50</f>
        <v>Personal - Shopping</v>
      </c>
      <c r="D53" s="4">
        <f>Angela_2026_Chase1117_Activity_!D50</f>
        <v>-20.93</v>
      </c>
    </row>
    <row r="54" spans="1:4" x14ac:dyDescent="0.25">
      <c r="A54" s="28">
        <f>Angela_2026_Chase1117_Activity_!B51</f>
        <v>46205</v>
      </c>
      <c r="B54" s="3" t="str">
        <f>Angela_2026_Chase1117_Activity_!C51</f>
        <v>ANTHROPOLOGIE.COM ANTHROPOLOGIE PA           07/01</v>
      </c>
      <c r="C54" s="3" t="str">
        <f>Angela_2026_Chase1117_Activity_!G51</f>
        <v>Personal - Shopping</v>
      </c>
      <c r="D54" s="4">
        <f>Angela_2026_Chase1117_Activity_!D51</f>
        <v>-116.25</v>
      </c>
    </row>
    <row r="55" spans="1:4" x14ac:dyDescent="0.25">
      <c r="A55" s="28">
        <f>Angela_2026_Chase1117_Activity_!B52</f>
        <v>46204</v>
      </c>
      <c r="B55" s="3" t="str">
        <f>Angela_2026_Chase1117_Activity_!C52</f>
        <v>AMAZON MARK* VN0HF7Y AMAZON.COM/MA WA        07/01</v>
      </c>
      <c r="C55" s="3" t="str">
        <f>Angela_2026_Chase1117_Activity_!G52</f>
        <v>Amazon</v>
      </c>
      <c r="D55" s="4">
        <f>Angela_2026_Chase1117_Activity_!D52</f>
        <v>-41.66</v>
      </c>
    </row>
    <row r="56" spans="1:4" x14ac:dyDescent="0.25">
      <c r="A56" s="28">
        <f>Angela_2026_Chase1117_Activity_!B53</f>
        <v>46204</v>
      </c>
      <c r="B56" s="3" t="str">
        <f>Angela_2026_Chase1117_Activity_!C53</f>
        <v>AMERICAN AIR00183256376 FORT WORTH TX        06/29</v>
      </c>
      <c r="C56" s="3" t="str">
        <f>Angela_2026_Chase1117_Activity_!G53</f>
        <v>Personal Travel</v>
      </c>
      <c r="D56" s="4">
        <f>Angela_2026_Chase1117_Activity_!D53</f>
        <v>-140.29</v>
      </c>
    </row>
    <row r="57" spans="1:4" x14ac:dyDescent="0.25">
      <c r="A57" s="28">
        <f>Angela_2026_Chase1117_Activity_!B54</f>
        <v>46204</v>
      </c>
      <c r="B57" s="3" t="str">
        <f>Angela_2026_Chase1117_Activity_!C54</f>
        <v>AMERICAN AIR00175227588 FORT WORTH TX        06/29</v>
      </c>
      <c r="C57" s="3" t="str">
        <f>Angela_2026_Chase1117_Activity_!G54</f>
        <v>Personal Travel</v>
      </c>
      <c r="D57" s="4">
        <f>Angela_2026_Chase1117_Activity_!D54</f>
        <v>-601.80999999999995</v>
      </c>
    </row>
    <row r="58" spans="1:4" x14ac:dyDescent="0.25">
      <c r="A58" s="28">
        <f>Angela_2026_Chase1117_Activity_!B55</f>
        <v>46204</v>
      </c>
      <c r="B58" s="3" t="str">
        <f>Angela_2026_Chase1117_Activity_!C55</f>
        <v>Zelle payment from MARY MARGARET TRAHAN 29839835263</v>
      </c>
      <c r="C58" s="3" t="str">
        <f>Angela_2026_Chase1117_Activity_!G55</f>
        <v>Zelle from Mary Margaret Trahan</v>
      </c>
      <c r="D58" s="4">
        <f>Angela_2026_Chase1117_Activity_!D55</f>
        <v>25</v>
      </c>
    </row>
    <row r="59" spans="1:4" x14ac:dyDescent="0.25">
      <c r="A59" s="28">
        <f>Angela_2026_Chase1117_Activity_!B56</f>
        <v>46204</v>
      </c>
      <c r="B59" s="3" t="str">
        <f>Angela_2026_Chase1117_Activity_!C56</f>
        <v>Zelle payment from ROSE LI 29839322238</v>
      </c>
      <c r="C59" s="3" t="str">
        <f>Angela_2026_Chase1117_Activity_!G56</f>
        <v>Zelle from Rose Li</v>
      </c>
      <c r="D59" s="4">
        <f>Angela_2026_Chase1117_Activity_!D56</f>
        <v>450</v>
      </c>
    </row>
    <row r="60" spans="1:4" x14ac:dyDescent="0.25">
      <c r="A60" s="28">
        <f>Angela_2026_Chase1117_Activity_!B57</f>
        <v>46204</v>
      </c>
      <c r="B60" s="3" t="str">
        <f>Angela_2026_Chase1117_Activity_!C57</f>
        <v>AMAZON RETA* BL9XO77S3 SEATTLE WA            06/29</v>
      </c>
      <c r="C60" s="3" t="str">
        <f>Angela_2026_Chase1117_Activity_!G57</f>
        <v>Amazon</v>
      </c>
      <c r="D60" s="4">
        <f>Angela_2026_Chase1117_Activity_!D57</f>
        <v>23.2</v>
      </c>
    </row>
    <row r="61" spans="1:4" x14ac:dyDescent="0.25">
      <c r="A61" s="28">
        <f>Angela_2026_Chase1117_Activity_!B58</f>
        <v>46203</v>
      </c>
      <c r="B61" s="3" t="str">
        <f>Angela_2026_Chase1117_Activity_!C58</f>
        <v>Online Transfer to CHK ...6975 transaction#: 29819580180 06/30</v>
      </c>
      <c r="C61" s="3" t="str">
        <f>Angela_2026_Chase1117_Activity_!G58</f>
        <v>Transfer to Ava</v>
      </c>
      <c r="D61" s="4">
        <f>Angela_2026_Chase1117_Activity_!D58</f>
        <v>-200</v>
      </c>
    </row>
    <row r="62" spans="1:4" x14ac:dyDescent="0.25">
      <c r="A62" s="28">
        <f>Angela_2026_Chase1117_Activity_!B59</f>
        <v>46203</v>
      </c>
      <c r="B62" s="3" t="str">
        <f>Angela_2026_Chase1117_Activity_!C59</f>
        <v>BLUE SHIELD CALIFORNI 800-393-6130 CA        06/30</v>
      </c>
      <c r="C62" s="3" t="str">
        <f>Angela_2026_Chase1117_Activity_!G59</f>
        <v>Personal - Health Insurance</v>
      </c>
      <c r="D62" s="4">
        <f>Angela_2026_Chase1117_Activity_!D59</f>
        <v>-1272.1199999999999</v>
      </c>
    </row>
    <row r="63" spans="1:4" x14ac:dyDescent="0.25">
      <c r="A63" s="28">
        <f>Angela_2026_Chase1117_Activity_!B60</f>
        <v>46203</v>
      </c>
      <c r="B63" s="3" t="str">
        <f>Angela_2026_Chase1117_Activity_!C60</f>
        <v>PENTESTER.COM PENTESTER.COM FL               06/30</v>
      </c>
      <c r="C63" s="3" t="str">
        <f>Angela_2026_Chase1117_Activity_!G60</f>
        <v>Personal - Subscription</v>
      </c>
      <c r="D63" s="4">
        <f>Angela_2026_Chase1117_Activity_!D60</f>
        <v>-19</v>
      </c>
    </row>
    <row r="64" spans="1:4" x14ac:dyDescent="0.25">
      <c r="A64" s="28">
        <f>Angela_2026_Chase1117_Activity_!B61</f>
        <v>46203</v>
      </c>
      <c r="B64" s="3" t="str">
        <f>Angela_2026_Chase1117_Activity_!C61</f>
        <v>SP OLYXIR OLYXIR.COM CA                      06/30</v>
      </c>
      <c r="C64" s="3" t="str">
        <f>Angela_2026_Chase1117_Activity_!G61</f>
        <v>Personal - Shopping</v>
      </c>
      <c r="D64" s="4">
        <f>Angela_2026_Chase1117_Activity_!D61</f>
        <v>-90</v>
      </c>
    </row>
    <row r="65" spans="1:4" x14ac:dyDescent="0.25">
      <c r="A65" s="28">
        <f>Angela_2026_Chase1117_Activity_!B62</f>
        <v>46203</v>
      </c>
      <c r="B65" s="3" t="str">
        <f>Angela_2026_Chase1117_Activity_!C62</f>
        <v>Amazon Tips*3M32N0E0 Amzn.com/bill WA        06/29</v>
      </c>
      <c r="C65" s="3" t="str">
        <f>Angela_2026_Chase1117_Activity_!G62</f>
        <v>Amazon</v>
      </c>
      <c r="D65" s="4">
        <f>Angela_2026_Chase1117_Activity_!D62</f>
        <v>-30</v>
      </c>
    </row>
    <row r="66" spans="1:4" x14ac:dyDescent="0.25">
      <c r="A66" s="28">
        <f>Angela_2026_Chase1117_Activity_!B63</f>
        <v>46203</v>
      </c>
      <c r="B66" s="3" t="str">
        <f>Angela_2026_Chase1117_Activity_!C63</f>
        <v>AMERICAN AIR00106516145 FORT WORTH TX        06/29</v>
      </c>
      <c r="C66" s="3" t="str">
        <f>Angela_2026_Chase1117_Activity_!G63</f>
        <v>Personal Travel</v>
      </c>
      <c r="D66" s="4">
        <f>Angela_2026_Chase1117_Activity_!D63</f>
        <v>-88</v>
      </c>
    </row>
    <row r="67" spans="1:4" x14ac:dyDescent="0.25">
      <c r="A67" s="28">
        <f>Angela_2026_Chase1117_Activity_!B64</f>
        <v>46203</v>
      </c>
      <c r="B67" s="3" t="str">
        <f>Angela_2026_Chase1117_Activity_!C64</f>
        <v>AMERICAN AIR00106516145 FORT WORTH TX        06/29</v>
      </c>
      <c r="C67" s="3" t="str">
        <f>Angela_2026_Chase1117_Activity_!G64</f>
        <v>Personal Travel</v>
      </c>
      <c r="D67" s="4">
        <f>Angela_2026_Chase1117_Activity_!D64</f>
        <v>-92</v>
      </c>
    </row>
    <row r="68" spans="1:4" x14ac:dyDescent="0.25">
      <c r="A68" s="28">
        <f>Angela_2026_Chase1117_Activity_!B65</f>
        <v>46203</v>
      </c>
      <c r="B68" s="3" t="str">
        <f>Angela_2026_Chase1117_Activity_!C65</f>
        <v>Zelle payment from JOE SAUNDERS 29824654044</v>
      </c>
      <c r="C68" s="3" t="str">
        <f>Angela_2026_Chase1117_Activity_!G65</f>
        <v>Zelle from Joe Saunders</v>
      </c>
      <c r="D68" s="4">
        <f>Angela_2026_Chase1117_Activity_!D65</f>
        <v>500</v>
      </c>
    </row>
    <row r="69" spans="1:4" x14ac:dyDescent="0.25">
      <c r="A69" s="28">
        <f>Angela_2026_Chase1117_Activity_!B66</f>
        <v>46203</v>
      </c>
      <c r="B69" s="3" t="str">
        <f>Angela_2026_Chase1117_Activity_!C66</f>
        <v>Online Transfer from CHK ...1168 transaction#: 29819579019</v>
      </c>
      <c r="C69" s="3" t="str">
        <f>Angela_2026_Chase1117_Activity_!G66</f>
        <v>Transfer from DWG Capital Group</v>
      </c>
      <c r="D69" s="4">
        <f>Angela_2026_Chase1117_Activity_!D66</f>
        <v>5000</v>
      </c>
    </row>
    <row r="70" spans="1:4" x14ac:dyDescent="0.25">
      <c r="A70" s="28">
        <f>Angela_2026_Chase1117_Activity_!B67</f>
        <v>46202</v>
      </c>
      <c r="B70" s="3" t="str">
        <f>Angela_2026_Chase1117_Activity_!C67</f>
        <v>FOREIGN EXCHANGE RATE ADJUSTMENT FEE         06/27393507-20</v>
      </c>
      <c r="C70" s="3" t="str">
        <f>Angela_2026_Chase1117_Activity_!G67</f>
        <v>Personal Travel - Portugal</v>
      </c>
      <c r="D70" s="4">
        <f>Angela_2026_Chase1117_Activity_!D67</f>
        <v>-6.86</v>
      </c>
    </row>
    <row r="71" spans="1:4" x14ac:dyDescent="0.25">
      <c r="A71" s="28">
        <f>Angela_2026_Chase1117_Activity_!B68</f>
        <v>46202</v>
      </c>
      <c r="B71" s="3" t="str">
        <f>Angela_2026_Chase1117_Activity_!C68</f>
        <v>AMAZON RETA* GU9A85D WWW.AMAZON.CO WA        06/29</v>
      </c>
      <c r="C71" s="3" t="str">
        <f>Angela_2026_Chase1117_Activity_!G68</f>
        <v>Amazon</v>
      </c>
      <c r="D71" s="4">
        <f>Angela_2026_Chase1117_Activity_!D68</f>
        <v>-56.84</v>
      </c>
    </row>
    <row r="72" spans="1:4" x14ac:dyDescent="0.25">
      <c r="A72" s="28">
        <f>Angela_2026_Chase1117_Activity_!B69</f>
        <v>46202</v>
      </c>
      <c r="B72" s="3" t="str">
        <f>Angela_2026_Chase1117_Activity_!C69</f>
        <v>AMAZON RETA* RO6CS3S WWW.AMAZON.CO WA        06/29</v>
      </c>
      <c r="C72" s="3" t="str">
        <f>Angela_2026_Chase1117_Activity_!G69</f>
        <v>Amazon</v>
      </c>
      <c r="D72" s="4">
        <f>Angela_2026_Chase1117_Activity_!D69</f>
        <v>-27.44</v>
      </c>
    </row>
    <row r="73" spans="1:4" x14ac:dyDescent="0.25">
      <c r="A73" s="28">
        <f>Angela_2026_Chase1117_Activity_!B70</f>
        <v>46202</v>
      </c>
      <c r="B73" s="3" t="str">
        <f>Angela_2026_Chase1117_Activity_!C70</f>
        <v>AMAZON MARK* BS1O08O AMAZON.COM/MA WA        06/29</v>
      </c>
      <c r="C73" s="3" t="str">
        <f>Angela_2026_Chase1117_Activity_!G70</f>
        <v>Amazon</v>
      </c>
      <c r="D73" s="4">
        <f>Angela_2026_Chase1117_Activity_!D70</f>
        <v>-52.65</v>
      </c>
    </row>
    <row r="74" spans="1:4" x14ac:dyDescent="0.25">
      <c r="A74" s="28">
        <f>Angela_2026_Chase1117_Activity_!B71</f>
        <v>46202</v>
      </c>
      <c r="B74" s="3" t="str">
        <f>Angela_2026_Chase1117_Activity_!C71</f>
        <v>APPLE.COM/BILL 866-712-7753 CA               06/28</v>
      </c>
      <c r="C74" s="3" t="str">
        <f>Angela_2026_Chase1117_Activity_!G71</f>
        <v>Apple</v>
      </c>
      <c r="D74" s="4">
        <f>Angela_2026_Chase1117_Activity_!D71</f>
        <v>-5.99</v>
      </c>
    </row>
    <row r="75" spans="1:4" x14ac:dyDescent="0.25">
      <c r="A75" s="28">
        <f>Angela_2026_Chase1117_Activity_!B72</f>
        <v>46202</v>
      </c>
      <c r="B75" s="3" t="str">
        <f>Angela_2026_Chase1117_Activity_!C72</f>
        <v>CVSExtraCare 80074672 800-746-7287 RI        06/28</v>
      </c>
      <c r="C75" s="3" t="str">
        <f>Angela_2026_Chase1117_Activity_!G72</f>
        <v>Personal - Health</v>
      </c>
      <c r="D75" s="4">
        <f>Angela_2026_Chase1117_Activity_!D72</f>
        <v>-5.49</v>
      </c>
    </row>
    <row r="76" spans="1:4" x14ac:dyDescent="0.25">
      <c r="A76" s="28">
        <f>Angela_2026_Chase1117_Activity_!B73</f>
        <v>46202</v>
      </c>
      <c r="B76" s="3" t="str">
        <f>Angela_2026_Chase1117_Activity_!C73</f>
        <v>Audible*ZD92Q0IS3 Amzn.com/bill NJ           06/28</v>
      </c>
      <c r="C76" s="3" t="str">
        <f>Angela_2026_Chase1117_Activity_!G73</f>
        <v>Personal - Entertainment</v>
      </c>
      <c r="D76" s="4">
        <f>Angela_2026_Chase1117_Activity_!D73</f>
        <v>-8.99</v>
      </c>
    </row>
    <row r="77" spans="1:4" x14ac:dyDescent="0.25">
      <c r="A77" s="28">
        <f>Angela_2026_Chase1117_Activity_!B74</f>
        <v>46202</v>
      </c>
      <c r="B77" s="3" t="str">
        <f>Angela_2026_Chase1117_Activity_!C74</f>
        <v>UBER   * EATS PENDIN SAN FRANCISCO CA137293  06/27</v>
      </c>
      <c r="C77" s="3" t="str">
        <f>Angela_2026_Chase1117_Activity_!G74</f>
        <v>Uber Eats</v>
      </c>
      <c r="D77" s="4">
        <f>Angela_2026_Chase1117_Activity_!D74</f>
        <v>-45.29</v>
      </c>
    </row>
    <row r="78" spans="1:4" x14ac:dyDescent="0.25">
      <c r="A78" s="28">
        <f>Angela_2026_Chase1117_Activity_!B75</f>
        <v>46202</v>
      </c>
      <c r="B78" s="3" t="str">
        <f>Angela_2026_Chase1117_Activity_!C75</f>
        <v>Amazon.com*3B7P258H3 Amzn.com/bill WA        06/28</v>
      </c>
      <c r="C78" s="3" t="str">
        <f>Angela_2026_Chase1117_Activity_!G75</f>
        <v>Amazon</v>
      </c>
      <c r="D78" s="4">
        <f>Angela_2026_Chase1117_Activity_!D75</f>
        <v>-530.24</v>
      </c>
    </row>
    <row r="79" spans="1:4" x14ac:dyDescent="0.25">
      <c r="A79" s="28">
        <f>Angela_2026_Chase1117_Activity_!B76</f>
        <v>46202</v>
      </c>
      <c r="B79" s="3" t="str">
        <f>Angela_2026_Chase1117_Activity_!C76</f>
        <v>Etsy.com*Multiple Shop ETSY.COM NY           06/27</v>
      </c>
      <c r="C79" s="3" t="str">
        <f>Angela_2026_Chase1117_Activity_!G76</f>
        <v>Etsy</v>
      </c>
      <c r="D79" s="4">
        <f>Angela_2026_Chase1117_Activity_!D76</f>
        <v>-174.7</v>
      </c>
    </row>
    <row r="80" spans="1:4" x14ac:dyDescent="0.25">
      <c r="A80" s="28">
        <f>Angela_2026_Chase1117_Activity_!B77</f>
        <v>46202</v>
      </c>
      <c r="B80" s="3" t="str">
        <f>Angela_2026_Chase1117_Activity_!C77</f>
        <v>POSHMARK 6504887740 CA                       06/27</v>
      </c>
      <c r="C80" s="3" t="str">
        <f>Angela_2026_Chase1117_Activity_!G77</f>
        <v>Poshmark</v>
      </c>
      <c r="D80" s="4">
        <f>Angela_2026_Chase1117_Activity_!D77</f>
        <v>-28.44</v>
      </c>
    </row>
    <row r="81" spans="1:4" x14ac:dyDescent="0.25">
      <c r="A81" s="28">
        <f>Angela_2026_Chase1117_Activity_!B78</f>
        <v>46202</v>
      </c>
      <c r="B81" s="3" t="str">
        <f>Angela_2026_Chase1117_Activity_!C78</f>
        <v>POSHMARK 6504887740 CA                       06/27</v>
      </c>
      <c r="C81" s="3" t="str">
        <f>Angela_2026_Chase1117_Activity_!G78</f>
        <v>Poshmark</v>
      </c>
      <c r="D81" s="4">
        <f>Angela_2026_Chase1117_Activity_!D78</f>
        <v>-26.25</v>
      </c>
    </row>
    <row r="82" spans="1:4" x14ac:dyDescent="0.25">
      <c r="A82" s="28">
        <f>Angela_2026_Chase1117_Activity_!B79</f>
        <v>46202</v>
      </c>
      <c r="B82" s="3" t="str">
        <f>Angela_2026_Chase1117_Activity_!C79</f>
        <v>POSHMARK 6504887740 CA                       06/27</v>
      </c>
      <c r="C82" s="3" t="str">
        <f>Angela_2026_Chase1117_Activity_!G79</f>
        <v>Poshmark</v>
      </c>
      <c r="D82" s="4">
        <f>Angela_2026_Chase1117_Activity_!D79</f>
        <v>-72.34</v>
      </c>
    </row>
    <row r="83" spans="1:4" x14ac:dyDescent="0.25">
      <c r="A83" s="28">
        <f>Angela_2026_Chase1117_Activity_!B80</f>
        <v>46202</v>
      </c>
      <c r="B83" s="3" t="str">
        <f>Angela_2026_Chase1117_Activity_!C80</f>
        <v>Mutzel Nutrition LLC 866-2510001 WA          06/27</v>
      </c>
      <c r="C83" s="3" t="str">
        <f>Angela_2026_Chase1117_Activity_!G80</f>
        <v>Personal - Health</v>
      </c>
      <c r="D83" s="4">
        <f>Angela_2026_Chase1117_Activity_!D80</f>
        <v>-271.48</v>
      </c>
    </row>
    <row r="84" spans="1:4" x14ac:dyDescent="0.25">
      <c r="A84" s="28">
        <f>Angela_2026_Chase1117_Activity_!B81</f>
        <v>46202</v>
      </c>
      <c r="B84" s="3" t="str">
        <f>Angela_2026_Chase1117_Activity_!C81</f>
        <v>393507-2025-178251 WWW. FIRENZE              06/27 Euro       200.14 X 1.143599 (EXCHG RTE)</v>
      </c>
      <c r="C84" s="3" t="str">
        <f>Angela_2026_Chase1117_Activity_!G81</f>
        <v>Personal Travel</v>
      </c>
      <c r="D84" s="4">
        <f>Angela_2026_Chase1117_Activity_!D81</f>
        <v>-228.88</v>
      </c>
    </row>
    <row r="85" spans="1:4" x14ac:dyDescent="0.25">
      <c r="A85" s="28">
        <f>Angela_2026_Chase1117_Activity_!B82</f>
        <v>46202</v>
      </c>
      <c r="B85" s="3" t="str">
        <f>Angela_2026_Chase1117_Activity_!C82</f>
        <v>SPACEWEATHERNEWS.COM SPACEWEATHERN CO        06/26</v>
      </c>
      <c r="C85" s="3" t="str">
        <f>Angela_2026_Chase1117_Activity_!G82</f>
        <v>Personal - Subscription</v>
      </c>
      <c r="D85" s="4">
        <f>Angela_2026_Chase1117_Activity_!D82</f>
        <v>-5.99</v>
      </c>
    </row>
    <row r="86" spans="1:4" x14ac:dyDescent="0.25">
      <c r="A86" s="28">
        <f>Angela_2026_Chase1117_Activity_!B83</f>
        <v>46202</v>
      </c>
      <c r="B86" s="3" t="str">
        <f>Angela_2026_Chase1117_Activity_!C83</f>
        <v>NTTA ONLINE 972-818-6882 TX                  06/26</v>
      </c>
      <c r="C86" s="3" t="str">
        <f>Angela_2026_Chase1117_Activity_!G83</f>
        <v>Personal - Car</v>
      </c>
      <c r="D86" s="4">
        <f>Angela_2026_Chase1117_Activity_!D83</f>
        <v>-260.18</v>
      </c>
    </row>
    <row r="87" spans="1:4" x14ac:dyDescent="0.25">
      <c r="A87" s="28">
        <f>Angela_2026_Chase1117_Activity_!B84</f>
        <v>46202</v>
      </c>
      <c r="B87" s="3" t="str">
        <f>Angela_2026_Chase1117_Activity_!C84</f>
        <v>Prime Video Channels amzn.com/bill WA        06/26</v>
      </c>
      <c r="C87" s="3" t="str">
        <f>Angela_2026_Chase1117_Activity_!G84</f>
        <v>Amazon</v>
      </c>
      <c r="D87" s="4">
        <f>Angela_2026_Chase1117_Activity_!D84</f>
        <v>-6.99</v>
      </c>
    </row>
    <row r="88" spans="1:4" x14ac:dyDescent="0.25">
      <c r="A88" s="28">
        <f>Angela_2026_Chase1117_Activity_!B85</f>
        <v>46202</v>
      </c>
      <c r="B88" s="3" t="str">
        <f>Angela_2026_Chase1117_Activity_!C85</f>
        <v>AMAZON RETA* 3Z0TG2Z WWW.AMAZON.CO WA        06/27</v>
      </c>
      <c r="C88" s="3" t="str">
        <f>Angela_2026_Chase1117_Activity_!G85</f>
        <v>Amazon</v>
      </c>
      <c r="D88" s="4">
        <f>Angela_2026_Chase1117_Activity_!D85</f>
        <v>-93.84</v>
      </c>
    </row>
    <row r="89" spans="1:4" x14ac:dyDescent="0.25">
      <c r="A89" s="28">
        <f>Angela_2026_Chase1117_Activity_!B86</f>
        <v>46202</v>
      </c>
      <c r="B89" s="3" t="str">
        <f>Angela_2026_Chase1117_Activity_!C86</f>
        <v>AMAZON MKTPL*Z16Y00L Amzn.com/bill WA        06/27</v>
      </c>
      <c r="C89" s="3" t="str">
        <f>Angela_2026_Chase1117_Activity_!G86</f>
        <v>Amazon</v>
      </c>
      <c r="D89" s="4">
        <f>Angela_2026_Chase1117_Activity_!D86</f>
        <v>-36.21</v>
      </c>
    </row>
    <row r="90" spans="1:4" x14ac:dyDescent="0.25">
      <c r="A90" s="28">
        <f>Angela_2026_Chase1117_Activity_!B87</f>
        <v>46202</v>
      </c>
      <c r="B90" s="3" t="str">
        <f>Angela_2026_Chase1117_Activity_!C87</f>
        <v>APPLE CASH SENT MONE 1INFINITELOOP CA        06/27</v>
      </c>
      <c r="C90" s="3" t="str">
        <f>Angela_2026_Chase1117_Activity_!G87</f>
        <v>Apple</v>
      </c>
      <c r="D90" s="4">
        <f>Angela_2026_Chase1117_Activity_!D87</f>
        <v>-101</v>
      </c>
    </row>
    <row r="91" spans="1:4" x14ac:dyDescent="0.25">
      <c r="A91" s="28">
        <f>Angela_2026_Chase1117_Activity_!B88</f>
        <v>46202</v>
      </c>
      <c r="B91" s="3" t="str">
        <f>Angela_2026_Chase1117_Activity_!C88</f>
        <v>AMERICAN AIR00183256085 FORT WORTH TX        06/25</v>
      </c>
      <c r="C91" s="3" t="str">
        <f>Angela_2026_Chase1117_Activity_!G88</f>
        <v>Personal Travel</v>
      </c>
      <c r="D91" s="4">
        <f>Angela_2026_Chase1117_Activity_!D88</f>
        <v>-30.34</v>
      </c>
    </row>
    <row r="92" spans="1:4" x14ac:dyDescent="0.25">
      <c r="A92" s="28">
        <f>Angela_2026_Chase1117_Activity_!B89</f>
        <v>46202</v>
      </c>
      <c r="B92" s="3" t="str">
        <f>Angela_2026_Chase1117_Activity_!C89</f>
        <v>AMERICAN AIR00183256085 FORT WORTH TX        06/25</v>
      </c>
      <c r="C92" s="3" t="str">
        <f>Angela_2026_Chase1117_Activity_!G89</f>
        <v>Personal Travel</v>
      </c>
      <c r="D92" s="4">
        <f>Angela_2026_Chase1117_Activity_!D89</f>
        <v>-30.34</v>
      </c>
    </row>
    <row r="93" spans="1:4" x14ac:dyDescent="0.25">
      <c r="A93" s="28">
        <f>Angela_2026_Chase1117_Activity_!B90</f>
        <v>46202</v>
      </c>
      <c r="B93" s="3" t="str">
        <f>Angela_2026_Chase1117_Activity_!C90</f>
        <v>AMERICAN AIR00175225217 FORT WORTH TX        06/25</v>
      </c>
      <c r="C93" s="3" t="str">
        <f>Angela_2026_Chase1117_Activity_!G90</f>
        <v>Personal Travel</v>
      </c>
      <c r="D93" s="4">
        <f>Angela_2026_Chase1117_Activity_!D90</f>
        <v>-274.39999999999998</v>
      </c>
    </row>
    <row r="94" spans="1:4" x14ac:dyDescent="0.25">
      <c r="A94" s="28">
        <f>Angela_2026_Chase1117_Activity_!B91</f>
        <v>46202</v>
      </c>
      <c r="B94" s="3" t="str">
        <f>Angela_2026_Chase1117_Activity_!C91</f>
        <v>AMERICAN AIR00175225217 FORT WORTH TX        06/25</v>
      </c>
      <c r="C94" s="3" t="str">
        <f>Angela_2026_Chase1117_Activity_!G91</f>
        <v>Personal Travel</v>
      </c>
      <c r="D94" s="4">
        <f>Angela_2026_Chase1117_Activity_!D91</f>
        <v>-274.39999999999998</v>
      </c>
    </row>
    <row r="95" spans="1:4" x14ac:dyDescent="0.25">
      <c r="A95" s="28">
        <f>Angela_2026_Chase1117_Activity_!B92</f>
        <v>46202</v>
      </c>
      <c r="B95" s="3" t="str">
        <f>Angela_2026_Chase1117_Activity_!C92</f>
        <v>Zelle payment from MARY MARGARET TRAHAN 29803463233</v>
      </c>
      <c r="C95" s="3" t="str">
        <f>Angela_2026_Chase1117_Activity_!G92</f>
        <v>Zelle from Mary Margaret Trahan</v>
      </c>
      <c r="D95" s="4">
        <f>Angela_2026_Chase1117_Activity_!D92</f>
        <v>75</v>
      </c>
    </row>
    <row r="96" spans="1:4" x14ac:dyDescent="0.25">
      <c r="A96" s="28">
        <f>Angela_2026_Chase1117_Activity_!B93</f>
        <v>46199</v>
      </c>
      <c r="B96" s="3" t="str">
        <f>Angela_2026_Chase1117_Activity_!C93</f>
        <v>Online Payment 29774788280 To SAFECO INSURANCE COMPANY 06/26</v>
      </c>
      <c r="C96" s="3" t="str">
        <f>Angela_2026_Chase1117_Activity_!G93</f>
        <v>Personal - House Bills</v>
      </c>
      <c r="D96" s="4">
        <f>Angela_2026_Chase1117_Activity_!D93</f>
        <v>-120</v>
      </c>
    </row>
    <row r="97" spans="1:4" x14ac:dyDescent="0.25">
      <c r="A97" s="28">
        <f>Angela_2026_Chase1117_Activity_!B94</f>
        <v>46199</v>
      </c>
      <c r="B97" s="3" t="str">
        <f>Angela_2026_Chase1117_Activity_!C94</f>
        <v>Online Payment 29774744272 To SOUTHERN CALIFORNIA GAS CO 06/26</v>
      </c>
      <c r="C97" s="3" t="str">
        <f>Angela_2026_Chase1117_Activity_!G94</f>
        <v>Personal - House Bills</v>
      </c>
      <c r="D97" s="4">
        <f>Angela_2026_Chase1117_Activity_!D94</f>
        <v>-200</v>
      </c>
    </row>
    <row r="98" spans="1:4" x14ac:dyDescent="0.25">
      <c r="A98" s="28">
        <f>Angela_2026_Chase1117_Activity_!B95</f>
        <v>46199</v>
      </c>
      <c r="B98" s="3" t="str">
        <f>Angela_2026_Chase1117_Activity_!C95</f>
        <v>Online Payment 29774770627 To LOS ANGELES MUNICIPAL SERVICE 06/26</v>
      </c>
      <c r="C98" s="3" t="str">
        <f>Angela_2026_Chase1117_Activity_!G95</f>
        <v>Personal - House Bills</v>
      </c>
      <c r="D98" s="4">
        <f>Angela_2026_Chase1117_Activity_!D95</f>
        <v>-1800</v>
      </c>
    </row>
    <row r="99" spans="1:4" x14ac:dyDescent="0.25">
      <c r="A99" s="28">
        <f>Angela_2026_Chase1117_Activity_!B96</f>
        <v>46199</v>
      </c>
      <c r="B99" s="3" t="str">
        <f>Angela_2026_Chase1117_Activity_!C96</f>
        <v>Online Payment 29774748173 To FRONTIER TELEPHONE 06/26</v>
      </c>
      <c r="C99" s="3" t="str">
        <f>Angela_2026_Chase1117_Activity_!G96</f>
        <v>Personal - House Bills</v>
      </c>
      <c r="D99" s="4">
        <f>Angela_2026_Chase1117_Activity_!D96</f>
        <v>-360</v>
      </c>
    </row>
    <row r="100" spans="1:4" x14ac:dyDescent="0.25">
      <c r="A100" s="28">
        <f>Angela_2026_Chase1117_Activity_!B97</f>
        <v>46199</v>
      </c>
      <c r="B100" s="3" t="str">
        <f>Angela_2026_Chase1117_Activity_!C97</f>
        <v>Online Payment 29774706227 To AMERICAN EDUCATION SERVICES 06/26</v>
      </c>
      <c r="C100" s="3" t="str">
        <f>Angela_2026_Chase1117_Activity_!G97</f>
        <v>Personal - House Bills</v>
      </c>
      <c r="D100" s="4">
        <f>Angela_2026_Chase1117_Activity_!D97</f>
        <v>-600</v>
      </c>
    </row>
    <row r="101" spans="1:4" x14ac:dyDescent="0.25">
      <c r="A101" s="28">
        <f>Angela_2026_Chase1117_Activity_!B98</f>
        <v>46199</v>
      </c>
      <c r="B101" s="3" t="str">
        <f>Angela_2026_Chase1117_Activity_!C98</f>
        <v>Online Transfer to CHK ...6975 transaction#: 29774723313 06/26</v>
      </c>
      <c r="C101" s="3" t="str">
        <f>Angela_2026_Chase1117_Activity_!G98</f>
        <v>Transfer to Ava</v>
      </c>
      <c r="D101" s="4">
        <f>Angela_2026_Chase1117_Activity_!D98</f>
        <v>-1000</v>
      </c>
    </row>
    <row r="102" spans="1:4" x14ac:dyDescent="0.25">
      <c r="A102" s="28">
        <f>Angela_2026_Chase1117_Activity_!B99</f>
        <v>46199</v>
      </c>
      <c r="B102" s="3" t="str">
        <f>Angela_2026_Chase1117_Activity_!C99</f>
        <v>AMAZON RETA* YH8M69L WWW.AMAZON.CO WA        06/26</v>
      </c>
      <c r="C102" s="3" t="str">
        <f>Angela_2026_Chase1117_Activity_!G99</f>
        <v>Amazon</v>
      </c>
      <c r="D102" s="4">
        <f>Angela_2026_Chase1117_Activity_!D99</f>
        <v>-40.71</v>
      </c>
    </row>
    <row r="103" spans="1:4" x14ac:dyDescent="0.25">
      <c r="A103" s="28">
        <f>Angela_2026_Chase1117_Activity_!B100</f>
        <v>46199</v>
      </c>
      <c r="B103" s="3" t="str">
        <f>Angela_2026_Chase1117_Activity_!C100</f>
        <v>EXPEDIA 73482433432458 EXPEDIA.COM WA        06/26</v>
      </c>
      <c r="C103" s="3" t="str">
        <f>Angela_2026_Chase1117_Activity_!G100</f>
        <v>Personal Travel</v>
      </c>
      <c r="D103" s="4">
        <f>Angela_2026_Chase1117_Activity_!D100</f>
        <v>-10.43</v>
      </c>
    </row>
    <row r="104" spans="1:4" x14ac:dyDescent="0.25">
      <c r="A104" s="28">
        <f>Angela_2026_Chase1117_Activity_!B101</f>
        <v>46199</v>
      </c>
      <c r="B104" s="3" t="str">
        <f>Angela_2026_Chase1117_Activity_!C101</f>
        <v>GRANDVIEW CLEANERS LOS ANGELES CA            06/25</v>
      </c>
      <c r="C104" s="3" t="str">
        <f>Angela_2026_Chase1117_Activity_!G101</f>
        <v>Personal - Clothing</v>
      </c>
      <c r="D104" s="4">
        <f>Angela_2026_Chase1117_Activity_!D101</f>
        <v>-105</v>
      </c>
    </row>
    <row r="105" spans="1:4" x14ac:dyDescent="0.25">
      <c r="A105" s="28">
        <f>Angela_2026_Chase1117_Activity_!B102</f>
        <v>46199</v>
      </c>
      <c r="B105" s="3" t="str">
        <f>Angela_2026_Chase1117_Activity_!C102</f>
        <v>AMAZON MKTPL*9Q5E18E Amzn.com/bill WA        06/26</v>
      </c>
      <c r="C105" s="3" t="str">
        <f>Angela_2026_Chase1117_Activity_!G102</f>
        <v>Amazon</v>
      </c>
      <c r="D105" s="4">
        <f>Angela_2026_Chase1117_Activity_!D102</f>
        <v>-23.99</v>
      </c>
    </row>
    <row r="106" spans="1:4" x14ac:dyDescent="0.25">
      <c r="A106" s="28">
        <f>Angela_2026_Chase1117_Activity_!B103</f>
        <v>46199</v>
      </c>
      <c r="B106" s="3" t="str">
        <f>Angela_2026_Chase1117_Activity_!C103</f>
        <v>Zelle payment from TANYA MILLER HNA0K752C3E1</v>
      </c>
      <c r="C106" s="3" t="str">
        <f>Angela_2026_Chase1117_Activity_!G103</f>
        <v>Zelle from Tanya Miller</v>
      </c>
      <c r="D106" s="4">
        <f>Angela_2026_Chase1117_Activity_!D103</f>
        <v>100</v>
      </c>
    </row>
    <row r="107" spans="1:4" x14ac:dyDescent="0.25">
      <c r="A107" s="28">
        <f>Angela_2026_Chase1117_Activity_!B104</f>
        <v>46199</v>
      </c>
      <c r="B107" s="3" t="str">
        <f>Angela_2026_Chase1117_Activity_!C104</f>
        <v>Online Transfer from CHK ...1168 transaction#: 29774731269</v>
      </c>
      <c r="C107" s="3" t="str">
        <f>Angela_2026_Chase1117_Activity_!G104</f>
        <v>Transfer from DWG Capital Group</v>
      </c>
      <c r="D107" s="4">
        <f>Angela_2026_Chase1117_Activity_!D104</f>
        <v>5000</v>
      </c>
    </row>
    <row r="108" spans="1:4" x14ac:dyDescent="0.25">
      <c r="A108" s="28">
        <f>Angela_2026_Chase1117_Activity_!B105</f>
        <v>46198</v>
      </c>
      <c r="B108" s="3" t="str">
        <f>Angela_2026_Chase1117_Activity_!C105</f>
        <v>ATM WITHDRAWAL                       006780  06/2512335 VEN</v>
      </c>
      <c r="C108" s="3" t="str">
        <f>Angela_2026_Chase1117_Activity_!G105</f>
        <v>Withdrawal</v>
      </c>
      <c r="D108" s="4">
        <f>Angela_2026_Chase1117_Activity_!D105</f>
        <v>-500</v>
      </c>
    </row>
    <row r="109" spans="1:4" x14ac:dyDescent="0.25">
      <c r="A109" s="28">
        <f>Angela_2026_Chase1117_Activity_!B106</f>
        <v>46198</v>
      </c>
      <c r="B109" s="3" t="str">
        <f>Angela_2026_Chase1117_Activity_!C106</f>
        <v>Amazon.com*033796A73 Amzn.com/bill WA        06/25</v>
      </c>
      <c r="C109" s="3" t="str">
        <f>Angela_2026_Chase1117_Activity_!G106</f>
        <v>Amazon</v>
      </c>
      <c r="D109" s="4">
        <f>Angela_2026_Chase1117_Activity_!D106</f>
        <v>-9.35</v>
      </c>
    </row>
    <row r="110" spans="1:4" x14ac:dyDescent="0.25">
      <c r="A110" s="28">
        <f>Angela_2026_Chase1117_Activity_!B107</f>
        <v>46198</v>
      </c>
      <c r="B110" s="3" t="str">
        <f>Angela_2026_Chase1117_Activity_!C107</f>
        <v>TM *HAUNT ME 800-653-8000 CA                 06/25</v>
      </c>
      <c r="C110" s="3" t="str">
        <f>Angela_2026_Chase1117_Activity_!G107</f>
        <v>Personal - Entertainment</v>
      </c>
      <c r="D110" s="4">
        <f>Angela_2026_Chase1117_Activity_!D107</f>
        <v>-61.9</v>
      </c>
    </row>
    <row r="111" spans="1:4" x14ac:dyDescent="0.25">
      <c r="A111" s="28">
        <f>Angela_2026_Chase1117_Activity_!B108</f>
        <v>46198</v>
      </c>
      <c r="B111" s="3" t="str">
        <f>Angela_2026_Chase1117_Activity_!C108</f>
        <v>LUKE UNFILTERED WEARECHANGE.O FL             06/25</v>
      </c>
      <c r="C111" s="3" t="str">
        <f>Angela_2026_Chase1117_Activity_!G108</f>
        <v>Personal - Subscription</v>
      </c>
      <c r="D111" s="4">
        <f>Angela_2026_Chase1117_Activity_!D108</f>
        <v>-15</v>
      </c>
    </row>
    <row r="112" spans="1:4" x14ac:dyDescent="0.25">
      <c r="A112" s="28">
        <f>Angela_2026_Chase1117_Activity_!B109</f>
        <v>46198</v>
      </c>
      <c r="B112" s="3" t="str">
        <f>Angela_2026_Chase1117_Activity_!C109</f>
        <v>AMAZON PRIME*3M2G959 Amzn.com/bill WA        06/24</v>
      </c>
      <c r="C112" s="3" t="str">
        <f>Angela_2026_Chase1117_Activity_!G109</f>
        <v>Amazon</v>
      </c>
      <c r="D112" s="4">
        <f>Angela_2026_Chase1117_Activity_!D109</f>
        <v>-16.45</v>
      </c>
    </row>
    <row r="113" spans="1:4" x14ac:dyDescent="0.25">
      <c r="A113" s="28">
        <f>Angela_2026_Chase1117_Activity_!B110</f>
        <v>46198</v>
      </c>
      <c r="B113" s="3" t="str">
        <f>Angela_2026_Chase1117_Activity_!C110</f>
        <v>PAVILIONS #2105 MARINA DEL RE CA             06/24</v>
      </c>
      <c r="C113" s="3" t="str">
        <f>Angela_2026_Chase1117_Activity_!G110</f>
        <v>Personal - Food</v>
      </c>
      <c r="D113" s="4">
        <f>Angela_2026_Chase1117_Activity_!D110</f>
        <v>-418.45</v>
      </c>
    </row>
    <row r="114" spans="1:4" x14ac:dyDescent="0.25">
      <c r="A114" s="28">
        <f>Angela_2026_Chase1117_Activity_!B111</f>
        <v>46198</v>
      </c>
      <c r="B114" s="3" t="str">
        <f>Angela_2026_Chase1117_Activity_!C111</f>
        <v>ATT*BILL PAYMENT 800-288-2020 TX             06/24</v>
      </c>
      <c r="C114" s="3" t="str">
        <f>Angela_2026_Chase1117_Activity_!G111</f>
        <v>AT&amp;T</v>
      </c>
      <c r="D114" s="4">
        <f>Angela_2026_Chase1117_Activity_!D111</f>
        <v>-701.38</v>
      </c>
    </row>
    <row r="115" spans="1:4" x14ac:dyDescent="0.25">
      <c r="A115" s="28">
        <f>Angela_2026_Chase1117_Activity_!B112</f>
        <v>46198</v>
      </c>
      <c r="B115" s="3" t="str">
        <f>Angela_2026_Chase1117_Activity_!C112</f>
        <v>NTTA AUTOCHARGE 972-818-6882 TX              06/24</v>
      </c>
      <c r="C115" s="3" t="str">
        <f>Angela_2026_Chase1117_Activity_!G112</f>
        <v>Personal - Car</v>
      </c>
      <c r="D115" s="4">
        <f>Angela_2026_Chase1117_Activity_!D112</f>
        <v>-40</v>
      </c>
    </row>
    <row r="116" spans="1:4" x14ac:dyDescent="0.25">
      <c r="A116" s="28">
        <f>Angela_2026_Chase1117_Activity_!B113</f>
        <v>46198</v>
      </c>
      <c r="B116" s="3" t="str">
        <f>Angela_2026_Chase1117_Activity_!C113</f>
        <v>ATM CHECK DEPOSIT 06/25 12335 VENICE BLVD LOS ANGELES CA</v>
      </c>
      <c r="C116" s="3" t="str">
        <f>Angela_2026_Chase1117_Activity_!G113</f>
        <v>Deposit</v>
      </c>
      <c r="D116" s="4">
        <f>Angela_2026_Chase1117_Activity_!D113</f>
        <v>1575</v>
      </c>
    </row>
    <row r="117" spans="1:4" x14ac:dyDescent="0.25">
      <c r="A117" s="28">
        <f>Angela_2026_Chase1117_Activity_!B114</f>
        <v>46197</v>
      </c>
      <c r="B117" s="3" t="str">
        <f>Angela_2026_Chase1117_Activity_!C114</f>
        <v>UBER   * EATS PENDIN SAN FRANCISCO CA027289  06/24</v>
      </c>
      <c r="C117" s="3" t="str">
        <f>Angela_2026_Chase1117_Activity_!G114</f>
        <v>Uber Eats</v>
      </c>
      <c r="D117" s="4">
        <f>Angela_2026_Chase1117_Activity_!D114</f>
        <v>-42.37</v>
      </c>
    </row>
    <row r="118" spans="1:4" x14ac:dyDescent="0.25">
      <c r="A118" s="28">
        <f>Angela_2026_Chase1117_Activity_!B115</f>
        <v>46197</v>
      </c>
      <c r="B118" s="3" t="str">
        <f>Angela_2026_Chase1117_Activity_!C115</f>
        <v>AMAZON RETA* 9368655 WWW.AMAZON.CO WA        06/24</v>
      </c>
      <c r="C118" s="3" t="str">
        <f>Angela_2026_Chase1117_Activity_!G115</f>
        <v>Amazon</v>
      </c>
      <c r="D118" s="4">
        <f>Angela_2026_Chase1117_Activity_!D115</f>
        <v>-25.39</v>
      </c>
    </row>
    <row r="119" spans="1:4" x14ac:dyDescent="0.25">
      <c r="A119" s="28">
        <f>Angela_2026_Chase1117_Activity_!B116</f>
        <v>46197</v>
      </c>
      <c r="B119" s="3" t="str">
        <f>Angela_2026_Chase1117_Activity_!C116</f>
        <v>APPLE.COM/BILL 866-712-7753 CA               06/23</v>
      </c>
      <c r="C119" s="3" t="str">
        <f>Angela_2026_Chase1117_Activity_!G116</f>
        <v>Apple</v>
      </c>
      <c r="D119" s="4">
        <f>Angela_2026_Chase1117_Activity_!D116</f>
        <v>-10.99</v>
      </c>
    </row>
    <row r="120" spans="1:4" x14ac:dyDescent="0.25">
      <c r="A120" s="28">
        <f>Angela_2026_Chase1117_Activity_!B117</f>
        <v>46197</v>
      </c>
      <c r="B120" s="3" t="str">
        <f>Angela_2026_Chase1117_Activity_!C117</f>
        <v>Amazon Tips*NR6DG7YR Amzn.com/bill WA        06/23</v>
      </c>
      <c r="C120" s="3" t="str">
        <f>Angela_2026_Chase1117_Activity_!G117</f>
        <v>Amazon</v>
      </c>
      <c r="D120" s="4">
        <f>Angela_2026_Chase1117_Activity_!D117</f>
        <v>-30</v>
      </c>
    </row>
    <row r="121" spans="1:4" x14ac:dyDescent="0.25">
      <c r="A121" s="28">
        <f>Angela_2026_Chase1117_Activity_!B118</f>
        <v>46197</v>
      </c>
      <c r="B121" s="3" t="str">
        <f>Angela_2026_Chase1117_Activity_!C118</f>
        <v>AMAZON MARK* 1N82O53 AMAZON.COM/MA WA        06/24</v>
      </c>
      <c r="C121" s="3" t="str">
        <f>Angela_2026_Chase1117_Activity_!G118</f>
        <v>Amazon</v>
      </c>
      <c r="D121" s="4">
        <f>Angela_2026_Chase1117_Activity_!D118</f>
        <v>-151.41999999999999</v>
      </c>
    </row>
    <row r="122" spans="1:4" x14ac:dyDescent="0.25">
      <c r="A122" s="28">
        <f>Angela_2026_Chase1117_Activity_!B119</f>
        <v>46197</v>
      </c>
      <c r="B122" s="3" t="str">
        <f>Angela_2026_Chase1117_Activity_!C119</f>
        <v>Online Transfer from CHK ...1168 transaction#: 29742796206</v>
      </c>
      <c r="C122" s="3" t="str">
        <f>Angela_2026_Chase1117_Activity_!G119</f>
        <v>Transfer from DWG Capital Group</v>
      </c>
      <c r="D122" s="4">
        <f>Angela_2026_Chase1117_Activity_!D119</f>
        <v>4000</v>
      </c>
    </row>
    <row r="123" spans="1:4" x14ac:dyDescent="0.25">
      <c r="A123" s="28">
        <f>Angela_2026_Chase1117_Activity_!B120</f>
        <v>46196</v>
      </c>
      <c r="B123" s="3" t="str">
        <f>Angela_2026_Chase1117_Activity_!C120</f>
        <v>EXPEDIA 73480326774661 EXPEDIA.COM WA        06/23</v>
      </c>
      <c r="C123" s="3" t="str">
        <f>Angela_2026_Chase1117_Activity_!G120</f>
        <v>Personal Travel</v>
      </c>
      <c r="D123" s="4">
        <f>Angela_2026_Chase1117_Activity_!D120</f>
        <v>-1406.09</v>
      </c>
    </row>
    <row r="124" spans="1:4" x14ac:dyDescent="0.25">
      <c r="A124" s="28">
        <f>Angela_2026_Chase1117_Activity_!B121</f>
        <v>46196</v>
      </c>
      <c r="B124" s="3" t="str">
        <f>Angela_2026_Chase1117_Activity_!C121</f>
        <v>AMAZON MARK* 1J44B5X AMAZON.COM/MA WA        06/23</v>
      </c>
      <c r="C124" s="3" t="str">
        <f>Angela_2026_Chase1117_Activity_!G121</f>
        <v>Amazon</v>
      </c>
      <c r="D124" s="4">
        <f>Angela_2026_Chase1117_Activity_!D121</f>
        <v>-66.7</v>
      </c>
    </row>
    <row r="125" spans="1:4" x14ac:dyDescent="0.25">
      <c r="A125" s="28">
        <f>Angela_2026_Chase1117_Activity_!B122</f>
        <v>46196</v>
      </c>
      <c r="B125" s="3" t="str">
        <f>Angela_2026_Chase1117_Activity_!C122</f>
        <v>Amazon.com*6P9LF14O3 Amzn.com/bill WA        06/22</v>
      </c>
      <c r="C125" s="3" t="str">
        <f>Angela_2026_Chase1117_Activity_!G122</f>
        <v>Amazon</v>
      </c>
      <c r="D125" s="4">
        <f>Angela_2026_Chase1117_Activity_!D122</f>
        <v>-454.81</v>
      </c>
    </row>
    <row r="126" spans="1:4" x14ac:dyDescent="0.25">
      <c r="A126" s="28">
        <f>Angela_2026_Chase1117_Activity_!B123</f>
        <v>46196</v>
      </c>
      <c r="B126" s="3" t="str">
        <f>Angela_2026_Chase1117_Activity_!C123</f>
        <v>FRESH PRESSED OLIVE OI 888-9634582 NY        06/22</v>
      </c>
      <c r="C126" s="3" t="str">
        <f>Angela_2026_Chase1117_Activity_!G123</f>
        <v>Personal - Food</v>
      </c>
      <c r="D126" s="4">
        <f>Angela_2026_Chase1117_Activity_!D123</f>
        <v>-159</v>
      </c>
    </row>
    <row r="127" spans="1:4" x14ac:dyDescent="0.25">
      <c r="A127" s="28">
        <f>Angela_2026_Chase1117_Activity_!B124</f>
        <v>46195</v>
      </c>
      <c r="B127" s="3" t="str">
        <f>Angela_2026_Chase1117_Activity_!C124</f>
        <v>CHECK 8712  06/22</v>
      </c>
      <c r="C127" s="3" t="str">
        <f>Angela_2026_Chase1117_Activity_!G124</f>
        <v>Checks Paid</v>
      </c>
      <c r="D127" s="4">
        <f>Angela_2026_Chase1117_Activity_!D124</f>
        <v>-1200</v>
      </c>
    </row>
    <row r="128" spans="1:4" x14ac:dyDescent="0.25">
      <c r="A128" s="28">
        <f>Angela_2026_Chase1117_Activity_!B125</f>
        <v>46195</v>
      </c>
      <c r="B128" s="3" t="str">
        <f>Angela_2026_Chase1117_Activity_!C125</f>
        <v>AMAZON MARK* 4X1YS51 AMAZON.COM/MA WA        06/22</v>
      </c>
      <c r="C128" s="3" t="str">
        <f>Angela_2026_Chase1117_Activity_!G125</f>
        <v>Amazon</v>
      </c>
      <c r="D128" s="4">
        <f>Angela_2026_Chase1117_Activity_!D125</f>
        <v>-164.21</v>
      </c>
    </row>
    <row r="129" spans="1:4" x14ac:dyDescent="0.25">
      <c r="A129" s="28">
        <f>Angela_2026_Chase1117_Activity_!B126</f>
        <v>46195</v>
      </c>
      <c r="B129" s="3" t="str">
        <f>Angela_2026_Chase1117_Activity_!C126</f>
        <v>AMAZON MARK* 796DF2C AMAZON.COM/MA WA        06/22</v>
      </c>
      <c r="C129" s="3" t="str">
        <f>Angela_2026_Chase1117_Activity_!G126</f>
        <v>Amazon</v>
      </c>
      <c r="D129" s="4">
        <f>Angela_2026_Chase1117_Activity_!D126</f>
        <v>-106.4</v>
      </c>
    </row>
    <row r="130" spans="1:4" x14ac:dyDescent="0.25">
      <c r="A130" s="28">
        <f>Angela_2026_Chase1117_Activity_!B127</f>
        <v>46195</v>
      </c>
      <c r="B130" s="3" t="str">
        <f>Angela_2026_Chase1117_Activity_!C127</f>
        <v>AMAZON RETA* V56W58O WWW.AMAZON.CO WA        06/22</v>
      </c>
      <c r="C130" s="3" t="str">
        <f>Angela_2026_Chase1117_Activity_!G127</f>
        <v>Amazon</v>
      </c>
      <c r="D130" s="4">
        <f>Angela_2026_Chase1117_Activity_!D127</f>
        <v>-14.88</v>
      </c>
    </row>
    <row r="131" spans="1:4" x14ac:dyDescent="0.25">
      <c r="A131" s="28">
        <f>Angela_2026_Chase1117_Activity_!B128</f>
        <v>46195</v>
      </c>
      <c r="B131" s="3" t="str">
        <f>Angela_2026_Chase1117_Activity_!C128</f>
        <v>UBER   * EATS PENDIN SAN FRANCISCO CA027243  06/21</v>
      </c>
      <c r="C131" s="3" t="str">
        <f>Angela_2026_Chase1117_Activity_!G128</f>
        <v>Uber Eats</v>
      </c>
      <c r="D131" s="4">
        <f>Angela_2026_Chase1117_Activity_!D128</f>
        <v>-98.9</v>
      </c>
    </row>
    <row r="132" spans="1:4" x14ac:dyDescent="0.25">
      <c r="A132" s="28">
        <f>Angela_2026_Chase1117_Activity_!B129</f>
        <v>46195</v>
      </c>
      <c r="B132" s="3" t="str">
        <f>Angela_2026_Chase1117_Activity_!C129</f>
        <v>POSHMARK 6504887740 CA                       06/21</v>
      </c>
      <c r="C132" s="3" t="str">
        <f>Angela_2026_Chase1117_Activity_!G129</f>
        <v>Poshmark</v>
      </c>
      <c r="D132" s="4">
        <f>Angela_2026_Chase1117_Activity_!D129</f>
        <v>-32.83</v>
      </c>
    </row>
    <row r="133" spans="1:4" x14ac:dyDescent="0.25">
      <c r="A133" s="28">
        <f>Angela_2026_Chase1117_Activity_!B130</f>
        <v>46195</v>
      </c>
      <c r="B133" s="3" t="str">
        <f>Angela_2026_Chase1117_Activity_!C130</f>
        <v>POSHMARK 6504887740 CA                       06/21</v>
      </c>
      <c r="C133" s="3" t="str">
        <f>Angela_2026_Chase1117_Activity_!G130</f>
        <v>Poshmark</v>
      </c>
      <c r="D133" s="4">
        <f>Angela_2026_Chase1117_Activity_!D130</f>
        <v>-50.39</v>
      </c>
    </row>
    <row r="134" spans="1:4" x14ac:dyDescent="0.25">
      <c r="A134" s="28">
        <f>Angela_2026_Chase1117_Activity_!B131</f>
        <v>46195</v>
      </c>
      <c r="B134" s="3" t="str">
        <f>Angela_2026_Chase1117_Activity_!C131</f>
        <v>POSHMARK 6504887740 CA                       06/21</v>
      </c>
      <c r="C134" s="3" t="str">
        <f>Angela_2026_Chase1117_Activity_!G131</f>
        <v>Poshmark</v>
      </c>
      <c r="D134" s="4">
        <f>Angela_2026_Chase1117_Activity_!D131</f>
        <v>-44.91</v>
      </c>
    </row>
    <row r="135" spans="1:4" x14ac:dyDescent="0.25">
      <c r="A135" s="28">
        <f>Angela_2026_Chase1117_Activity_!B132</f>
        <v>46195</v>
      </c>
      <c r="B135" s="3" t="str">
        <f>Angela_2026_Chase1117_Activity_!C132</f>
        <v>POSHMARK 6504887740 CA                       06/21</v>
      </c>
      <c r="C135" s="3" t="str">
        <f>Angela_2026_Chase1117_Activity_!G132</f>
        <v>Poshmark</v>
      </c>
      <c r="D135" s="4">
        <f>Angela_2026_Chase1117_Activity_!D132</f>
        <v>-39.42</v>
      </c>
    </row>
    <row r="136" spans="1:4" x14ac:dyDescent="0.25">
      <c r="A136" s="28">
        <f>Angela_2026_Chase1117_Activity_!B133</f>
        <v>46195</v>
      </c>
      <c r="B136" s="3" t="str">
        <f>Angela_2026_Chase1117_Activity_!C133</f>
        <v>POSHMARK 6504887740 CA                       06/21</v>
      </c>
      <c r="C136" s="3" t="str">
        <f>Angela_2026_Chase1117_Activity_!G133</f>
        <v>Poshmark</v>
      </c>
      <c r="D136" s="4">
        <f>Angela_2026_Chase1117_Activity_!D133</f>
        <v>-93.2</v>
      </c>
    </row>
    <row r="137" spans="1:4" x14ac:dyDescent="0.25">
      <c r="A137" s="28">
        <f>Angela_2026_Chase1117_Activity_!B134</f>
        <v>46195</v>
      </c>
      <c r="B137" s="3" t="str">
        <f>Angela_2026_Chase1117_Activity_!C134</f>
        <v>SCRIBD* R680020687 SCRIBD.COM CA             06/20</v>
      </c>
      <c r="C137" s="3" t="str">
        <f>Angela_2026_Chase1117_Activity_!G134</f>
        <v>Personal - Subscription</v>
      </c>
      <c r="D137" s="4">
        <f>Angela_2026_Chase1117_Activity_!D134</f>
        <v>-11.99</v>
      </c>
    </row>
    <row r="138" spans="1:4" x14ac:dyDescent="0.25">
      <c r="A138" s="28">
        <f>Angela_2026_Chase1117_Activity_!B135</f>
        <v>46195</v>
      </c>
      <c r="B138" s="3" t="str">
        <f>Angela_2026_Chase1117_Activity_!C135</f>
        <v>NEXTLINK BROADBAND 855-6985465 TX            06/20</v>
      </c>
      <c r="C138" s="3" t="str">
        <f>Angela_2026_Chase1117_Activity_!G135</f>
        <v>Personal - House Bills</v>
      </c>
      <c r="D138" s="4">
        <f>Angela_2026_Chase1117_Activity_!D135</f>
        <v>-149.96</v>
      </c>
    </row>
    <row r="139" spans="1:4" x14ac:dyDescent="0.25">
      <c r="A139" s="28">
        <f>Angela_2026_Chase1117_Activity_!B136</f>
        <v>46195</v>
      </c>
      <c r="B139" s="3" t="str">
        <f>Angela_2026_Chase1117_Activity_!C136</f>
        <v>AMAZON MARK* 4L90T3B AMAZON.COM/MA WA        06/21</v>
      </c>
      <c r="C139" s="3" t="str">
        <f>Angela_2026_Chase1117_Activity_!G136</f>
        <v>Amazon</v>
      </c>
      <c r="D139" s="4">
        <f>Angela_2026_Chase1117_Activity_!D136</f>
        <v>-121.8</v>
      </c>
    </row>
    <row r="140" spans="1:4" x14ac:dyDescent="0.25">
      <c r="A140" s="28">
        <f>Angela_2026_Chase1117_Activity_!B137</f>
        <v>46195</v>
      </c>
      <c r="B140" s="3" t="str">
        <f>Angela_2026_Chase1117_Activity_!C137</f>
        <v>AMAZON MARK* 303MY7T AMAZON.COM/MA WA        06/21</v>
      </c>
      <c r="C140" s="3" t="str">
        <f>Angela_2026_Chase1117_Activity_!G137</f>
        <v>Amazon</v>
      </c>
      <c r="D140" s="4">
        <f>Angela_2026_Chase1117_Activity_!D137</f>
        <v>-29.62</v>
      </c>
    </row>
    <row r="141" spans="1:4" x14ac:dyDescent="0.25">
      <c r="A141" s="28">
        <f>Angela_2026_Chase1117_Activity_!B138</f>
        <v>46195</v>
      </c>
      <c r="B141" s="3" t="str">
        <f>Angela_2026_Chase1117_Activity_!C138</f>
        <v>AMAZON MKTPL*3L6LQ1F Amzn.com/bill WA        06/20</v>
      </c>
      <c r="C141" s="3" t="str">
        <f>Angela_2026_Chase1117_Activity_!G138</f>
        <v>Amazon</v>
      </c>
      <c r="D141" s="4">
        <f>Angela_2026_Chase1117_Activity_!D138</f>
        <v>-49.98</v>
      </c>
    </row>
    <row r="142" spans="1:4" x14ac:dyDescent="0.25">
      <c r="A142" s="28">
        <f>Angela_2026_Chase1117_Activity_!B139</f>
        <v>46195</v>
      </c>
      <c r="B142" s="3" t="str">
        <f>Angela_2026_Chase1117_Activity_!C139</f>
        <v>AMAZON MARK* 2I9O36D AMAZON.COM/MA WA        06/21</v>
      </c>
      <c r="C142" s="3" t="str">
        <f>Angela_2026_Chase1117_Activity_!G139</f>
        <v>Amazon</v>
      </c>
      <c r="D142" s="4">
        <f>Angela_2026_Chase1117_Activity_!D139</f>
        <v>-172.14</v>
      </c>
    </row>
    <row r="143" spans="1:4" x14ac:dyDescent="0.25">
      <c r="A143" s="28">
        <f>Angela_2026_Chase1117_Activity_!B140</f>
        <v>46195</v>
      </c>
      <c r="B143" s="3" t="str">
        <f>Angela_2026_Chase1117_Activity_!C140</f>
        <v>EB *BLACKENED SOUL PR 801-413-7200 CA        06/20</v>
      </c>
      <c r="C143" s="3" t="str">
        <f>Angela_2026_Chase1117_Activity_!G140</f>
        <v>Personal - Entertainment</v>
      </c>
      <c r="D143" s="4">
        <f>Angela_2026_Chase1117_Activity_!D140</f>
        <v>-67.7</v>
      </c>
    </row>
    <row r="144" spans="1:4" x14ac:dyDescent="0.25">
      <c r="A144" s="28">
        <f>Angela_2026_Chase1117_Activity_!B141</f>
        <v>46195</v>
      </c>
      <c r="B144" s="3" t="str">
        <f>Angela_2026_Chase1117_Activity_!C141</f>
        <v>UBER   * EATS PENDIN SAN FRANCISCO CA016027  06/19</v>
      </c>
      <c r="C144" s="3" t="str">
        <f>Angela_2026_Chase1117_Activity_!G141</f>
        <v>Uber Eats</v>
      </c>
      <c r="D144" s="4">
        <f>Angela_2026_Chase1117_Activity_!D141</f>
        <v>-87.35</v>
      </c>
    </row>
    <row r="145" spans="1:4" x14ac:dyDescent="0.25">
      <c r="A145" s="28">
        <f>Angela_2026_Chase1117_Activity_!B142</f>
        <v>46195</v>
      </c>
      <c r="B145" s="3" t="str">
        <f>Angela_2026_Chase1117_Activity_!C142</f>
        <v>SP WELLNESS COMPANY TWC.HEALTH FL            06/19</v>
      </c>
      <c r="C145" s="3" t="str">
        <f>Angela_2026_Chase1117_Activity_!G142</f>
        <v>Personal - Health</v>
      </c>
      <c r="D145" s="4">
        <f>Angela_2026_Chase1117_Activity_!D142</f>
        <v>-269.99</v>
      </c>
    </row>
    <row r="146" spans="1:4" x14ac:dyDescent="0.25">
      <c r="A146" s="28">
        <f>Angela_2026_Chase1117_Activity_!B143</f>
        <v>46195</v>
      </c>
      <c r="B146" s="3" t="str">
        <f>Angela_2026_Chase1117_Activity_!C143</f>
        <v>AMAZON MARK* HG8TB8B AMAZON.COM/MA WA        06/20</v>
      </c>
      <c r="C146" s="3" t="str">
        <f>Angela_2026_Chase1117_Activity_!G143</f>
        <v>Amazon</v>
      </c>
      <c r="D146" s="4">
        <f>Angela_2026_Chase1117_Activity_!D143</f>
        <v>-24.99</v>
      </c>
    </row>
    <row r="147" spans="1:4" x14ac:dyDescent="0.25">
      <c r="A147" s="28">
        <f>Angela_2026_Chase1117_Activity_!B144</f>
        <v>46195</v>
      </c>
      <c r="B147" s="3" t="str">
        <f>Angela_2026_Chase1117_Activity_!C144</f>
        <v>AMAZON MARK* A01YB9H AMAZON.COM/MA WA        06/20</v>
      </c>
      <c r="C147" s="3" t="str">
        <f>Angela_2026_Chase1117_Activity_!G144</f>
        <v>Amazon</v>
      </c>
      <c r="D147" s="4">
        <f>Angela_2026_Chase1117_Activity_!D144</f>
        <v>-53.96</v>
      </c>
    </row>
    <row r="148" spans="1:4" x14ac:dyDescent="0.25">
      <c r="A148" s="28">
        <f>Angela_2026_Chase1117_Activity_!B145</f>
        <v>46195</v>
      </c>
      <c r="B148" s="3" t="str">
        <f>Angela_2026_Chase1117_Activity_!C145</f>
        <v>Amazon Tips*2Y7HR3UK Amzn.com/bill WA        06/19</v>
      </c>
      <c r="C148" s="3" t="str">
        <f>Angela_2026_Chase1117_Activity_!G145</f>
        <v>Amazon</v>
      </c>
      <c r="D148" s="4">
        <f>Angela_2026_Chase1117_Activity_!D145</f>
        <v>-10</v>
      </c>
    </row>
    <row r="149" spans="1:4" x14ac:dyDescent="0.25">
      <c r="A149" s="28">
        <f>Angela_2026_Chase1117_Activity_!B146</f>
        <v>46195</v>
      </c>
      <c r="B149" s="3" t="str">
        <f>Angela_2026_Chase1117_Activity_!C146</f>
        <v>SP BLUEPRINT.BJ-5353 BLUEPRINT.BRY CA        06/19</v>
      </c>
      <c r="C149" s="3" t="str">
        <f>Angela_2026_Chase1117_Activity_!G146</f>
        <v>Personal - Health</v>
      </c>
      <c r="D149" s="4">
        <f>Angela_2026_Chase1117_Activity_!D146</f>
        <v>-87.59</v>
      </c>
    </row>
    <row r="150" spans="1:4" x14ac:dyDescent="0.25">
      <c r="A150" s="28">
        <f>Angela_2026_Chase1117_Activity_!B147</f>
        <v>46195</v>
      </c>
      <c r="B150" s="3" t="str">
        <f>Angela_2026_Chase1117_Activity_!C147</f>
        <v>AMAZON MARK* 763AZ2S AMAZON.COM/MA WA        06/19</v>
      </c>
      <c r="C150" s="3" t="str">
        <f>Angela_2026_Chase1117_Activity_!G147</f>
        <v>Amazon</v>
      </c>
      <c r="D150" s="4">
        <f>Angela_2026_Chase1117_Activity_!D147</f>
        <v>-174.85</v>
      </c>
    </row>
    <row r="151" spans="1:4" x14ac:dyDescent="0.25">
      <c r="A151" s="28">
        <f>Angela_2026_Chase1117_Activity_!B148</f>
        <v>46195</v>
      </c>
      <c r="B151" s="3" t="str">
        <f>Angela_2026_Chase1117_Activity_!C148</f>
        <v>NTTA AUTOCHARGE 972-818-6882 TX              06/18</v>
      </c>
      <c r="C151" s="3" t="str">
        <f>Angela_2026_Chase1117_Activity_!G148</f>
        <v>Personal - Car</v>
      </c>
      <c r="D151" s="4">
        <f>Angela_2026_Chase1117_Activity_!D148</f>
        <v>-40</v>
      </c>
    </row>
    <row r="152" spans="1:4" x14ac:dyDescent="0.25">
      <c r="A152" s="28">
        <f>Angela_2026_Chase1117_Activity_!B149</f>
        <v>46195</v>
      </c>
      <c r="B152" s="3" t="str">
        <f>Angela_2026_Chase1117_Activity_!C149</f>
        <v>Online Transfer from CHK ...1168 transaction#: 29706589504</v>
      </c>
      <c r="C152" s="3" t="str">
        <f>Angela_2026_Chase1117_Activity_!G149</f>
        <v>Transfer from DWG Capital Group</v>
      </c>
      <c r="D152" s="4">
        <f>Angela_2026_Chase1117_Activity_!D149</f>
        <v>1000</v>
      </c>
    </row>
    <row r="153" spans="1:4" x14ac:dyDescent="0.25">
      <c r="A153" s="28">
        <f>Angela_2026_Chase1117_Activity_!B150</f>
        <v>46195</v>
      </c>
      <c r="B153" s="3" t="str">
        <f>Angela_2026_Chase1117_Activity_!C150</f>
        <v>Online Transfer from CHK ...1168 transaction#: 29711664423</v>
      </c>
      <c r="C153" s="3" t="str">
        <f>Angela_2026_Chase1117_Activity_!G150</f>
        <v>Transfer from DWG Capital Group</v>
      </c>
      <c r="D153" s="4">
        <f>Angela_2026_Chase1117_Activity_!D150</f>
        <v>2000</v>
      </c>
    </row>
    <row r="154" spans="1:4" x14ac:dyDescent="0.25">
      <c r="A154" s="28">
        <f>Angela_2026_Chase1117_Activity_!B151</f>
        <v>46191</v>
      </c>
      <c r="B154" s="3" t="str">
        <f>Angela_2026_Chase1117_Activity_!C151</f>
        <v>ATM WITHDRAWAL                       005985  06/1812335 VEN</v>
      </c>
      <c r="C154" s="3" t="str">
        <f>Angela_2026_Chase1117_Activity_!G151</f>
        <v>Withdrawal</v>
      </c>
      <c r="D154" s="4">
        <f>Angela_2026_Chase1117_Activity_!D151</f>
        <v>-500</v>
      </c>
    </row>
    <row r="155" spans="1:4" x14ac:dyDescent="0.25">
      <c r="A155" s="28">
        <f>Angela_2026_Chase1117_Activity_!B152</f>
        <v>46191</v>
      </c>
      <c r="B155" s="3" t="str">
        <f>Angela_2026_Chase1117_Activity_!C152</f>
        <v>ZARA USA INC. ESTADOS UNIDO NY       146036  06/17</v>
      </c>
      <c r="C155" s="3" t="str">
        <f>Angela_2026_Chase1117_Activity_!G152</f>
        <v>Personal - Shopping</v>
      </c>
      <c r="D155" s="4">
        <f>Angela_2026_Chase1117_Activity_!D152</f>
        <v>-453.81</v>
      </c>
    </row>
    <row r="156" spans="1:4" x14ac:dyDescent="0.25">
      <c r="A156" s="28">
        <f>Angela_2026_Chase1117_Activity_!B153</f>
        <v>46191</v>
      </c>
      <c r="B156" s="3" t="str">
        <f>Angela_2026_Chase1117_Activity_!C153</f>
        <v>AMAZON RETA* DG3PM87 WWW.AMAZON.CO WA        06/18</v>
      </c>
      <c r="C156" s="3" t="str">
        <f>Angela_2026_Chase1117_Activity_!G153</f>
        <v>Amazon</v>
      </c>
      <c r="D156" s="4">
        <f>Angela_2026_Chase1117_Activity_!D153</f>
        <v>-25.85</v>
      </c>
    </row>
    <row r="157" spans="1:4" x14ac:dyDescent="0.25">
      <c r="A157" s="28">
        <f>Angela_2026_Chase1117_Activity_!B154</f>
        <v>46191</v>
      </c>
      <c r="B157" s="3" t="str">
        <f>Angela_2026_Chase1117_Activity_!C154</f>
        <v>AMAZON RETA* W51RC62 WWW.AMAZON.CO WA        06/18</v>
      </c>
      <c r="C157" s="3" t="str">
        <f>Angela_2026_Chase1117_Activity_!G154</f>
        <v>Amazon</v>
      </c>
      <c r="D157" s="4">
        <f>Angela_2026_Chase1117_Activity_!D154</f>
        <v>-36.9</v>
      </c>
    </row>
    <row r="158" spans="1:4" x14ac:dyDescent="0.25">
      <c r="A158" s="28">
        <f>Angela_2026_Chase1117_Activity_!B155</f>
        <v>46191</v>
      </c>
      <c r="B158" s="3" t="str">
        <f>Angela_2026_Chase1117_Activity_!C155</f>
        <v>Amazon.com*ZJ1KV1MH3 Amzn.com/bill WA        06/18</v>
      </c>
      <c r="C158" s="3" t="str">
        <f>Angela_2026_Chase1117_Activity_!G155</f>
        <v>Amazon</v>
      </c>
      <c r="D158" s="4">
        <f>Angela_2026_Chase1117_Activity_!D155</f>
        <v>-54.56</v>
      </c>
    </row>
    <row r="159" spans="1:4" x14ac:dyDescent="0.25">
      <c r="A159" s="28">
        <f>Angela_2026_Chase1117_Activity_!B156</f>
        <v>46191</v>
      </c>
      <c r="B159" s="3" t="str">
        <f>Angela_2026_Chase1117_Activity_!C156</f>
        <v>AMAZON MKTPL*4I17B1D Amzn.com/bill WA        06/18</v>
      </c>
      <c r="C159" s="3" t="str">
        <f>Angela_2026_Chase1117_Activity_!G156</f>
        <v>Amazon</v>
      </c>
      <c r="D159" s="4">
        <f>Angela_2026_Chase1117_Activity_!D156</f>
        <v>-14.99</v>
      </c>
    </row>
    <row r="160" spans="1:4" x14ac:dyDescent="0.25">
      <c r="A160" s="28">
        <f>Angela_2026_Chase1117_Activity_!B157</f>
        <v>46191</v>
      </c>
      <c r="B160" s="3" t="str">
        <f>Angela_2026_Chase1117_Activity_!C157</f>
        <v>LEELA QUANTUM TECH LEELAQ.COM NM             06/17</v>
      </c>
      <c r="C160" s="3" t="str">
        <f>Angela_2026_Chase1117_Activity_!G157</f>
        <v>Personal - Subscription</v>
      </c>
      <c r="D160" s="4">
        <f>Angela_2026_Chase1117_Activity_!D157</f>
        <v>-30</v>
      </c>
    </row>
    <row r="161" spans="1:4" x14ac:dyDescent="0.25">
      <c r="A161" s="28">
        <f>Angela_2026_Chase1117_Activity_!B158</f>
        <v>46191</v>
      </c>
      <c r="B161" s="3" t="str">
        <f>Angela_2026_Chase1117_Activity_!C158</f>
        <v>JON RAPPOPORT JONRAPPOPORT. NC               06/17</v>
      </c>
      <c r="C161" s="3" t="str">
        <f>Angela_2026_Chase1117_Activity_!G158</f>
        <v>Personal - Subscription</v>
      </c>
      <c r="D161" s="4">
        <f>Angela_2026_Chase1117_Activity_!D158</f>
        <v>-60</v>
      </c>
    </row>
    <row r="162" spans="1:4" x14ac:dyDescent="0.25">
      <c r="A162" s="28">
        <f>Angela_2026_Chase1117_Activity_!B159</f>
        <v>46191</v>
      </c>
      <c r="B162" s="3" t="str">
        <f>Angela_2026_Chase1117_Activity_!C159</f>
        <v>Online Transfer from CHK ...1168 transaction#: 29671442085</v>
      </c>
      <c r="C162" s="3" t="str">
        <f>Angela_2026_Chase1117_Activity_!G159</f>
        <v>Transfer from DWG Capital Group</v>
      </c>
      <c r="D162" s="4">
        <f>Angela_2026_Chase1117_Activity_!D159</f>
        <v>2000</v>
      </c>
    </row>
    <row r="163" spans="1:4" x14ac:dyDescent="0.25">
      <c r="A163" s="28">
        <f>Angela_2026_Chase1117_Activity_!B160</f>
        <v>46191</v>
      </c>
      <c r="B163" s="3" t="str">
        <f>Angela_2026_Chase1117_Activity_!C160</f>
        <v>ATM CHECK DEPOSIT 06/18 12335 VENICE BLVD LOS ANGELES CA</v>
      </c>
      <c r="C163" s="3" t="str">
        <f>Angela_2026_Chase1117_Activity_!G160</f>
        <v>Deposit</v>
      </c>
      <c r="D163" s="4">
        <f>Angela_2026_Chase1117_Activity_!D160</f>
        <v>588.74</v>
      </c>
    </row>
    <row r="164" spans="1:4" x14ac:dyDescent="0.25">
      <c r="A164" s="28">
        <f>Angela_2026_Chase1117_Activity_!B161</f>
        <v>46190</v>
      </c>
      <c r="B164" s="3" t="str">
        <f>Angela_2026_Chase1117_Activity_!C161</f>
        <v>LA PHIL HOLLYWOOD BO INFORMATION@L CA        06/16</v>
      </c>
      <c r="C164" s="3" t="str">
        <f>Angela_2026_Chase1117_Activity_!G161</f>
        <v>Personal - Entertainment</v>
      </c>
      <c r="D164" s="4">
        <f>Angela_2026_Chase1117_Activity_!D161</f>
        <v>-330</v>
      </c>
    </row>
    <row r="165" spans="1:4" x14ac:dyDescent="0.25">
      <c r="A165" s="28">
        <f>Angela_2026_Chase1117_Activity_!B162</f>
        <v>46190</v>
      </c>
      <c r="B165" s="3" t="str">
        <f>Angela_2026_Chase1117_Activity_!C162</f>
        <v>Amazon Tips*CL3NU9HQ Amzn.com/bill WA        06/16</v>
      </c>
      <c r="C165" s="3" t="str">
        <f>Angela_2026_Chase1117_Activity_!G162</f>
        <v>Amazon</v>
      </c>
      <c r="D165" s="4">
        <f>Angela_2026_Chase1117_Activity_!D162</f>
        <v>-30</v>
      </c>
    </row>
    <row r="166" spans="1:4" x14ac:dyDescent="0.25">
      <c r="A166" s="28">
        <f>Angela_2026_Chase1117_Activity_!B163</f>
        <v>46189</v>
      </c>
      <c r="B166" s="3" t="str">
        <f>Angela_2026_Chase1117_Activity_!C163</f>
        <v>SP BLUEPRINT.BJ-5353 BLUEPRINT.BRY CA        06/16</v>
      </c>
      <c r="C166" s="3" t="str">
        <f>Angela_2026_Chase1117_Activity_!G163</f>
        <v>Personal - Health</v>
      </c>
      <c r="D166" s="4">
        <f>Angela_2026_Chase1117_Activity_!D163</f>
        <v>-161.29</v>
      </c>
    </row>
    <row r="167" spans="1:4" x14ac:dyDescent="0.25">
      <c r="A167" s="28">
        <f>Angela_2026_Chase1117_Activity_!B164</f>
        <v>46189</v>
      </c>
      <c r="B167" s="3" t="str">
        <f>Angela_2026_Chase1117_Activity_!C164</f>
        <v>PAVILIONS #2105 MARINA DEL RE CA             06/15</v>
      </c>
      <c r="C167" s="3" t="str">
        <f>Angela_2026_Chase1117_Activity_!G164</f>
        <v>Personal - Food</v>
      </c>
      <c r="D167" s="4">
        <f>Angela_2026_Chase1117_Activity_!D164</f>
        <v>-653.37</v>
      </c>
    </row>
    <row r="168" spans="1:4" x14ac:dyDescent="0.25">
      <c r="A168" s="28">
        <f>Angela_2026_Chase1117_Activity_!B165</f>
        <v>46189</v>
      </c>
      <c r="B168" s="3" t="str">
        <f>Angela_2026_Chase1117_Activity_!C165</f>
        <v>Amazon.com*C21B38J63 Amzn.com/bill WA        06/15</v>
      </c>
      <c r="C168" s="3" t="str">
        <f>Angela_2026_Chase1117_Activity_!G165</f>
        <v>Amazon</v>
      </c>
      <c r="D168" s="4">
        <f>Angela_2026_Chase1117_Activity_!D165</f>
        <v>-392.84</v>
      </c>
    </row>
    <row r="169" spans="1:4" x14ac:dyDescent="0.25">
      <c r="A169" s="28">
        <f>Angela_2026_Chase1117_Activity_!B166</f>
        <v>46188</v>
      </c>
      <c r="B169" s="3" t="str">
        <f>Angela_2026_Chase1117_Activity_!C166</f>
        <v>Zelle payment to Britt Magadini JPM99ckzl5em</v>
      </c>
      <c r="C169" s="3" t="str">
        <f>Angela_2026_Chase1117_Activity_!G166</f>
        <v>Zelle to Britt Magadini</v>
      </c>
      <c r="D169" s="4">
        <f>Angela_2026_Chase1117_Activity_!D166</f>
        <v>-300</v>
      </c>
    </row>
    <row r="170" spans="1:4" x14ac:dyDescent="0.25">
      <c r="A170" s="28">
        <f>Angela_2026_Chase1117_Activity_!B167</f>
        <v>46188</v>
      </c>
      <c r="B170" s="3" t="str">
        <f>Angela_2026_Chase1117_Activity_!C167</f>
        <v>Etsy.com*MICountryCrea ETSY.COM NY           06/15</v>
      </c>
      <c r="C170" s="3" t="str">
        <f>Angela_2026_Chase1117_Activity_!G167</f>
        <v>Etsy</v>
      </c>
      <c r="D170" s="4">
        <f>Angela_2026_Chase1117_Activity_!D167</f>
        <v>-49.38</v>
      </c>
    </row>
    <row r="171" spans="1:4" x14ac:dyDescent="0.25">
      <c r="A171" s="28">
        <f>Angela_2026_Chase1117_Activity_!B168</f>
        <v>46188</v>
      </c>
      <c r="B171" s="3" t="str">
        <f>Angela_2026_Chase1117_Activity_!C168</f>
        <v>Etsy.com*HerbAndMagic ETSY.COM NY            06/15</v>
      </c>
      <c r="C171" s="3" t="str">
        <f>Angela_2026_Chase1117_Activity_!G168</f>
        <v>Etsy</v>
      </c>
      <c r="D171" s="4">
        <f>Angela_2026_Chase1117_Activity_!D168</f>
        <v>-43.89</v>
      </c>
    </row>
    <row r="172" spans="1:4" x14ac:dyDescent="0.25">
      <c r="A172" s="28">
        <f>Angela_2026_Chase1117_Activity_!B169</f>
        <v>46188</v>
      </c>
      <c r="B172" s="3" t="str">
        <f>Angela_2026_Chase1117_Activity_!C169</f>
        <v>Etsy.com*ShirtMonsters ETSY.COM NY           06/15</v>
      </c>
      <c r="C172" s="3" t="str">
        <f>Angela_2026_Chase1117_Activity_!G169</f>
        <v>Etsy</v>
      </c>
      <c r="D172" s="4">
        <f>Angela_2026_Chase1117_Activity_!D169</f>
        <v>-52.66</v>
      </c>
    </row>
    <row r="173" spans="1:4" x14ac:dyDescent="0.25">
      <c r="A173" s="28">
        <f>Angela_2026_Chase1117_Activity_!B170</f>
        <v>46188</v>
      </c>
      <c r="B173" s="3" t="str">
        <f>Angela_2026_Chase1117_Activity_!C170</f>
        <v>SP AURO WELLNESS AUROWELLNESS. CA            06/15</v>
      </c>
      <c r="C173" s="3" t="str">
        <f>Angela_2026_Chase1117_Activity_!G170</f>
        <v>Personal - Health</v>
      </c>
      <c r="D173" s="4">
        <f>Angela_2026_Chase1117_Activity_!D170</f>
        <v>-687.96</v>
      </c>
    </row>
    <row r="174" spans="1:4" x14ac:dyDescent="0.25">
      <c r="A174" s="28">
        <f>Angela_2026_Chase1117_Activity_!B171</f>
        <v>46188</v>
      </c>
      <c r="B174" s="3" t="str">
        <f>Angela_2026_Chase1117_Activity_!C171</f>
        <v>AMAZON MKTPL*JO4NX57 Amzn.com/bill WA        06/15</v>
      </c>
      <c r="C174" s="3" t="str">
        <f>Angela_2026_Chase1117_Activity_!G171</f>
        <v>Amazon</v>
      </c>
      <c r="D174" s="4">
        <f>Angela_2026_Chase1117_Activity_!D171</f>
        <v>-63.97</v>
      </c>
    </row>
    <row r="175" spans="1:4" x14ac:dyDescent="0.25">
      <c r="A175" s="28">
        <f>Angela_2026_Chase1117_Activity_!B172</f>
        <v>46188</v>
      </c>
      <c r="B175" s="3" t="str">
        <f>Angela_2026_Chase1117_Activity_!C172</f>
        <v>Zelle payment to joe saunders 29624105289</v>
      </c>
      <c r="C175" s="3" t="str">
        <f>Angela_2026_Chase1117_Activity_!G172</f>
        <v>Zelle to Joe Saunders</v>
      </c>
      <c r="D175" s="4">
        <f>Angela_2026_Chase1117_Activity_!D172</f>
        <v>-1000</v>
      </c>
    </row>
    <row r="176" spans="1:4" x14ac:dyDescent="0.25">
      <c r="A176" s="28">
        <f>Angela_2026_Chase1117_Activity_!B173</f>
        <v>46188</v>
      </c>
      <c r="B176" s="3" t="str">
        <f>Angela_2026_Chase1117_Activity_!C173</f>
        <v>AMAZON MARK* 9M04F1B AMAZON.COM/MA WA        06/15</v>
      </c>
      <c r="C176" s="3" t="str">
        <f>Angela_2026_Chase1117_Activity_!G173</f>
        <v>Amazon</v>
      </c>
      <c r="D176" s="4">
        <f>Angela_2026_Chase1117_Activity_!D173</f>
        <v>-89.94</v>
      </c>
    </row>
    <row r="177" spans="1:4" x14ac:dyDescent="0.25">
      <c r="A177" s="28">
        <f>Angela_2026_Chase1117_Activity_!B174</f>
        <v>46188</v>
      </c>
      <c r="B177" s="3" t="str">
        <f>Angela_2026_Chase1117_Activity_!C174</f>
        <v>AMAZON RETA* BL9XO77 WWW.AMAZON.CO WA        06/15</v>
      </c>
      <c r="C177" s="3" t="str">
        <f>Angela_2026_Chase1117_Activity_!G174</f>
        <v>Amazon</v>
      </c>
      <c r="D177" s="4">
        <f>Angela_2026_Chase1117_Activity_!D174</f>
        <v>-23.2</v>
      </c>
    </row>
    <row r="178" spans="1:4" x14ac:dyDescent="0.25">
      <c r="A178" s="28">
        <f>Angela_2026_Chase1117_Activity_!B175</f>
        <v>46188</v>
      </c>
      <c r="B178" s="3" t="str">
        <f>Angela_2026_Chase1117_Activity_!C175</f>
        <v>UBER   * EATS PENDIN SAN FRANCISCO CA139001  06/14</v>
      </c>
      <c r="C178" s="3" t="str">
        <f>Angela_2026_Chase1117_Activity_!G175</f>
        <v>Uber Eats</v>
      </c>
      <c r="D178" s="4">
        <f>Angela_2026_Chase1117_Activity_!D175</f>
        <v>-41.29</v>
      </c>
    </row>
    <row r="179" spans="1:4" x14ac:dyDescent="0.25">
      <c r="A179" s="28">
        <f>Angela_2026_Chase1117_Activity_!B176</f>
        <v>46188</v>
      </c>
      <c r="B179" s="3" t="str">
        <f>Angela_2026_Chase1117_Activity_!C176</f>
        <v>AMERICAN AI 00126055 United States AZ        06/14</v>
      </c>
      <c r="C179" s="3" t="str">
        <f>Angela_2026_Chase1117_Activity_!G176</f>
        <v>Personal Travel</v>
      </c>
      <c r="D179" s="4">
        <f>Angela_2026_Chase1117_Activity_!D176</f>
        <v>-130</v>
      </c>
    </row>
    <row r="180" spans="1:4" x14ac:dyDescent="0.25">
      <c r="A180" s="28">
        <f>Angela_2026_Chase1117_Activity_!B177</f>
        <v>46188</v>
      </c>
      <c r="B180" s="3" t="str">
        <f>Angela_2026_Chase1117_Activity_!C177</f>
        <v>AMAZON PRIME*X95IT5U Amzn.com/bill WA        06/14</v>
      </c>
      <c r="C180" s="3" t="str">
        <f>Angela_2026_Chase1117_Activity_!G177</f>
        <v>Amazon</v>
      </c>
      <c r="D180" s="4">
        <f>Angela_2026_Chase1117_Activity_!D177</f>
        <v>-16.45</v>
      </c>
    </row>
    <row r="181" spans="1:4" x14ac:dyDescent="0.25">
      <c r="A181" s="28">
        <f>Angela_2026_Chase1117_Activity_!B178</f>
        <v>46188</v>
      </c>
      <c r="B181" s="3" t="str">
        <f>Angela_2026_Chase1117_Activity_!C178</f>
        <v>APPLE.COM/BILL 866-712-7753 CA               06/14</v>
      </c>
      <c r="C181" s="3" t="str">
        <f>Angela_2026_Chase1117_Activity_!G178</f>
        <v>Apple</v>
      </c>
      <c r="D181" s="4">
        <f>Angela_2026_Chase1117_Activity_!D178</f>
        <v>-59.99</v>
      </c>
    </row>
    <row r="182" spans="1:4" x14ac:dyDescent="0.25">
      <c r="A182" s="28">
        <f>Angela_2026_Chase1117_Activity_!B179</f>
        <v>46188</v>
      </c>
      <c r="B182" s="3" t="str">
        <f>Angela_2026_Chase1117_Activity_!C179</f>
        <v>Prime Video Channels amzn.com/bill WA        06/14</v>
      </c>
      <c r="C182" s="3" t="str">
        <f>Angela_2026_Chase1117_Activity_!G179</f>
        <v>Amazon</v>
      </c>
      <c r="D182" s="4">
        <f>Angela_2026_Chase1117_Activity_!D179</f>
        <v>-18.489999999999998</v>
      </c>
    </row>
    <row r="183" spans="1:4" x14ac:dyDescent="0.25">
      <c r="A183" s="28">
        <f>Angela_2026_Chase1117_Activity_!B180</f>
        <v>46188</v>
      </c>
      <c r="B183" s="3" t="str">
        <f>Angela_2026_Chase1117_Activity_!C180</f>
        <v>AMERICAN AIR00106506576 FORT WORTH TX        06/14</v>
      </c>
      <c r="C183" s="3" t="str">
        <f>Angela_2026_Chase1117_Activity_!G180</f>
        <v>Personal Travel</v>
      </c>
      <c r="D183" s="4">
        <f>Angela_2026_Chase1117_Activity_!D180</f>
        <v>-39.9</v>
      </c>
    </row>
    <row r="184" spans="1:4" x14ac:dyDescent="0.25">
      <c r="A184" s="28">
        <f>Angela_2026_Chase1117_Activity_!B181</f>
        <v>46188</v>
      </c>
      <c r="B184" s="3" t="str">
        <f>Angela_2026_Chase1117_Activity_!C181</f>
        <v>AMERICAN AIR00144998914 FORT WORTH TX        06/14</v>
      </c>
      <c r="C184" s="3" t="str">
        <f>Angela_2026_Chase1117_Activity_!G181</f>
        <v>Personal Travel</v>
      </c>
      <c r="D184" s="4">
        <f>Angela_2026_Chase1117_Activity_!D181</f>
        <v>-45</v>
      </c>
    </row>
    <row r="185" spans="1:4" x14ac:dyDescent="0.25">
      <c r="A185" s="28">
        <f>Angela_2026_Chase1117_Activity_!B182</f>
        <v>46188</v>
      </c>
      <c r="B185" s="3" t="str">
        <f>Angela_2026_Chase1117_Activity_!C182</f>
        <v>AMERICAN AIR00144998914 FORT WORTH TX        06/14</v>
      </c>
      <c r="C185" s="3" t="str">
        <f>Angela_2026_Chase1117_Activity_!G182</f>
        <v>Personal Travel</v>
      </c>
      <c r="D185" s="4">
        <f>Angela_2026_Chase1117_Activity_!D182</f>
        <v>-55</v>
      </c>
    </row>
    <row r="186" spans="1:4" x14ac:dyDescent="0.25">
      <c r="A186" s="28">
        <f>Angela_2026_Chase1117_Activity_!B183</f>
        <v>46188</v>
      </c>
      <c r="B186" s="3" t="str">
        <f>Angela_2026_Chase1117_Activity_!C183</f>
        <v>WALGREENS STORE 1317 S WEATHERFORD TX747914  06/13</v>
      </c>
      <c r="C186" s="3" t="str">
        <f>Angela_2026_Chase1117_Activity_!G183</f>
        <v>Personal - Health</v>
      </c>
      <c r="D186" s="4">
        <f>Angela_2026_Chase1117_Activity_!D183</f>
        <v>-17.29</v>
      </c>
    </row>
    <row r="187" spans="1:4" x14ac:dyDescent="0.25">
      <c r="A187" s="28">
        <f>Angela_2026_Chase1117_Activity_!B184</f>
        <v>46188</v>
      </c>
      <c r="B187" s="3" t="str">
        <f>Angela_2026_Chase1117_Activity_!C184</f>
        <v>Amazon Tips*1E6EP4CT Amzn.com/bill WA        06/13</v>
      </c>
      <c r="C187" s="3" t="str">
        <f>Angela_2026_Chase1117_Activity_!G184</f>
        <v>Amazon</v>
      </c>
      <c r="D187" s="4">
        <f>Angela_2026_Chase1117_Activity_!D184</f>
        <v>-10</v>
      </c>
    </row>
    <row r="188" spans="1:4" x14ac:dyDescent="0.25">
      <c r="A188" s="28">
        <f>Angela_2026_Chase1117_Activity_!B185</f>
        <v>46188</v>
      </c>
      <c r="B188" s="3" t="str">
        <f>Angela_2026_Chase1117_Activity_!C185</f>
        <v>AMAZON MKTPL*5P3XO8Y Amzn.com/bill WA        06/13</v>
      </c>
      <c r="C188" s="3" t="str">
        <f>Angela_2026_Chase1117_Activity_!G185</f>
        <v>Amazon</v>
      </c>
      <c r="D188" s="4">
        <f>Angela_2026_Chase1117_Activity_!D185</f>
        <v>-13.16</v>
      </c>
    </row>
    <row r="189" spans="1:4" x14ac:dyDescent="0.25">
      <c r="A189" s="28">
        <f>Angela_2026_Chase1117_Activity_!B186</f>
        <v>46188</v>
      </c>
      <c r="B189" s="3" t="str">
        <f>Angela_2026_Chase1117_Activity_!C186</f>
        <v>PANTRY ON MAGNOLIA FORT WORTH TX             06/12</v>
      </c>
      <c r="C189" s="3" t="str">
        <f>Angela_2026_Chase1117_Activity_!G186</f>
        <v>Personal - Food</v>
      </c>
      <c r="D189" s="4">
        <f>Angela_2026_Chase1117_Activity_!D186</f>
        <v>-8.11</v>
      </c>
    </row>
    <row r="190" spans="1:4" x14ac:dyDescent="0.25">
      <c r="A190" s="28">
        <f>Angela_2026_Chase1117_Activity_!B187</f>
        <v>46188</v>
      </c>
      <c r="B190" s="3" t="str">
        <f>Angela_2026_Chase1117_Activity_!C187</f>
        <v>AMAZON MKTPL*UM0H41O Amzn.com/bill WA        06/13</v>
      </c>
      <c r="C190" s="3" t="str">
        <f>Angela_2026_Chase1117_Activity_!G187</f>
        <v>Amazon</v>
      </c>
      <c r="D190" s="4">
        <f>Angela_2026_Chase1117_Activity_!D187</f>
        <v>-17.420000000000002</v>
      </c>
    </row>
    <row r="191" spans="1:4" x14ac:dyDescent="0.25">
      <c r="A191" s="28">
        <f>Angela_2026_Chase1117_Activity_!B188</f>
        <v>46188</v>
      </c>
      <c r="B191" s="3" t="str">
        <f>Angela_2026_Chase1117_Activity_!C188</f>
        <v>NTTA ONLINE 972-818-6882 TX                  06/12</v>
      </c>
      <c r="C191" s="3" t="str">
        <f>Angela_2026_Chase1117_Activity_!G188</f>
        <v>Personal - Car</v>
      </c>
      <c r="D191" s="4">
        <f>Angela_2026_Chase1117_Activity_!D188</f>
        <v>-128.62</v>
      </c>
    </row>
    <row r="192" spans="1:4" x14ac:dyDescent="0.25">
      <c r="A192" s="28">
        <f>Angela_2026_Chase1117_Activity_!B189</f>
        <v>46188</v>
      </c>
      <c r="B192" s="3" t="str">
        <f>Angela_2026_Chase1117_Activity_!C189</f>
        <v>NTTA ONLINE 972-818-6882 TX                  06/12</v>
      </c>
      <c r="C192" s="3" t="str">
        <f>Angela_2026_Chase1117_Activity_!G189</f>
        <v>Personal - Car</v>
      </c>
      <c r="D192" s="4">
        <f>Angela_2026_Chase1117_Activity_!D189</f>
        <v>-40</v>
      </c>
    </row>
    <row r="193" spans="1:4" x14ac:dyDescent="0.25">
      <c r="A193" s="28">
        <f>Angela_2026_Chase1117_Activity_!B190</f>
        <v>46188</v>
      </c>
      <c r="B193" s="3" t="str">
        <f>Angela_2026_Chase1117_Activity_!C190</f>
        <v>Amazon.com*Y90A68FF3 Amzn.com/bill WA        06/12</v>
      </c>
      <c r="C193" s="3" t="str">
        <f>Angela_2026_Chase1117_Activity_!G190</f>
        <v>Amazon</v>
      </c>
      <c r="D193" s="4">
        <f>Angela_2026_Chase1117_Activity_!D190</f>
        <v>-9.91</v>
      </c>
    </row>
    <row r="194" spans="1:4" x14ac:dyDescent="0.25">
      <c r="A194" s="28">
        <f>Angela_2026_Chase1117_Activity_!B191</f>
        <v>46188</v>
      </c>
      <c r="B194" s="3" t="str">
        <f>Angela_2026_Chase1117_Activity_!C191</f>
        <v>Amazon.com*SB0H73R13 Amzn.com/bill WA        06/12</v>
      </c>
      <c r="C194" s="3" t="str">
        <f>Angela_2026_Chase1117_Activity_!G191</f>
        <v>Amazon</v>
      </c>
      <c r="D194" s="4">
        <f>Angela_2026_Chase1117_Activity_!D191</f>
        <v>-220.92</v>
      </c>
    </row>
    <row r="195" spans="1:4" x14ac:dyDescent="0.25">
      <c r="A195" s="28">
        <f>Angela_2026_Chase1117_Activity_!B192</f>
        <v>46188</v>
      </c>
      <c r="B195" s="3" t="str">
        <f>Angela_2026_Chase1117_Activity_!C192</f>
        <v>Amazon.com*GD8840WR3 Amzn.com/bill WA        06/12</v>
      </c>
      <c r="C195" s="3" t="str">
        <f>Angela_2026_Chase1117_Activity_!G192</f>
        <v>Amazon</v>
      </c>
      <c r="D195" s="4">
        <f>Angela_2026_Chase1117_Activity_!D192</f>
        <v>-6.75</v>
      </c>
    </row>
    <row r="196" spans="1:4" x14ac:dyDescent="0.25">
      <c r="A196" s="28">
        <f>Angela_2026_Chase1117_Activity_!B193</f>
        <v>46188</v>
      </c>
      <c r="B196" s="3" t="str">
        <f>Angela_2026_Chase1117_Activity_!C193</f>
        <v>STAGE WEST THEATRE 817-784-6378 TX           06/12</v>
      </c>
      <c r="C196" s="3" t="str">
        <f>Angela_2026_Chase1117_Activity_!G193</f>
        <v>Personal - Entertainment</v>
      </c>
      <c r="D196" s="4">
        <f>Angela_2026_Chase1117_Activity_!D193</f>
        <v>-97</v>
      </c>
    </row>
    <row r="197" spans="1:4" x14ac:dyDescent="0.25">
      <c r="A197" s="28">
        <f>Angela_2026_Chase1117_Activity_!B194</f>
        <v>46188</v>
      </c>
      <c r="B197" s="3" t="str">
        <f>Angela_2026_Chase1117_Activity_!C194</f>
        <v>Amazon Tips*271YC9KH Amzn.com/bill WA        06/12</v>
      </c>
      <c r="C197" s="3" t="str">
        <f>Angela_2026_Chase1117_Activity_!G194</f>
        <v>Amazon</v>
      </c>
      <c r="D197" s="4">
        <f>Angela_2026_Chase1117_Activity_!D194</f>
        <v>-7</v>
      </c>
    </row>
    <row r="198" spans="1:4" x14ac:dyDescent="0.25">
      <c r="A198" s="28">
        <f>Angela_2026_Chase1117_Activity_!B195</f>
        <v>46188</v>
      </c>
      <c r="B198" s="3" t="str">
        <f>Angela_2026_Chase1117_Activity_!C195</f>
        <v>AMAZON MKTPL*TF72E2P Amzn.com/bill WA        06/12</v>
      </c>
      <c r="C198" s="3" t="str">
        <f>Angela_2026_Chase1117_Activity_!G195</f>
        <v>Amazon</v>
      </c>
      <c r="D198" s="4">
        <f>Angela_2026_Chase1117_Activity_!D195</f>
        <v>-24.99</v>
      </c>
    </row>
    <row r="199" spans="1:4" x14ac:dyDescent="0.25">
      <c r="A199" s="28">
        <f>Angela_2026_Chase1117_Activity_!B196</f>
        <v>46188</v>
      </c>
      <c r="B199" s="3" t="str">
        <f>Angela_2026_Chase1117_Activity_!C196</f>
        <v>AMAZON MKTPL*PG16206 Amzn.com/bill WA        06/13</v>
      </c>
      <c r="C199" s="3" t="str">
        <f>Angela_2026_Chase1117_Activity_!G196</f>
        <v>Amazon</v>
      </c>
      <c r="D199" s="4">
        <f>Angela_2026_Chase1117_Activity_!D196</f>
        <v>-47.23</v>
      </c>
    </row>
    <row r="200" spans="1:4" x14ac:dyDescent="0.25">
      <c r="A200" s="28">
        <f>Angela_2026_Chase1117_Activity_!B197</f>
        <v>46188</v>
      </c>
      <c r="B200" s="3" t="str">
        <f>Angela_2026_Chase1117_Activity_!C197</f>
        <v>Online Transfer from CHK ...1168 transaction#: 29624118889</v>
      </c>
      <c r="C200" s="3" t="str">
        <f>Angela_2026_Chase1117_Activity_!G197</f>
        <v>Transfer from DWG Capital Group</v>
      </c>
      <c r="D200" s="4">
        <f>Angela_2026_Chase1117_Activity_!D197</f>
        <v>500</v>
      </c>
    </row>
    <row r="201" spans="1:4" x14ac:dyDescent="0.25">
      <c r="A201" s="28">
        <f>Angela_2026_Chase1117_Activity_!B198</f>
        <v>46188</v>
      </c>
      <c r="B201" s="3" t="str">
        <f>Angela_2026_Chase1117_Activity_!C198</f>
        <v>Online Transfer from CHK ...1168 transaction#: 29633194527</v>
      </c>
      <c r="C201" s="3" t="str">
        <f>Angela_2026_Chase1117_Activity_!G198</f>
        <v>Transfer from DWG Capital Group</v>
      </c>
      <c r="D201" s="4">
        <f>Angela_2026_Chase1117_Activity_!D198</f>
        <v>1000</v>
      </c>
    </row>
    <row r="202" spans="1:4" x14ac:dyDescent="0.25">
      <c r="A202" s="28">
        <f>Angela_2026_Chase1117_Activity_!B199</f>
        <v>46188</v>
      </c>
      <c r="B202" s="3" t="str">
        <f>Angela_2026_Chase1117_Activity_!C199</f>
        <v>Online Transfer from CHK ...1168 transaction#: 29617096887</v>
      </c>
      <c r="C202" s="3" t="str">
        <f>Angela_2026_Chase1117_Activity_!G199</f>
        <v>Transfer from DWG Capital Group</v>
      </c>
      <c r="D202" s="4">
        <f>Angela_2026_Chase1117_Activity_!D199</f>
        <v>3000</v>
      </c>
    </row>
    <row r="203" spans="1:4" x14ac:dyDescent="0.25">
      <c r="A203" s="28">
        <f>Angela_2026_Chase1117_Activity_!B200</f>
        <v>46185</v>
      </c>
      <c r="B203" s="3" t="str">
        <f>Angela_2026_Chase1117_Activity_!C200</f>
        <v>TARGET T-1981 122 E IN WEATHERFORD TX849373  06/12</v>
      </c>
      <c r="C203" s="3" t="str">
        <f>Angela_2026_Chase1117_Activity_!G200</f>
        <v>Personal - Shopping</v>
      </c>
      <c r="D203" s="4">
        <f>Angela_2026_Chase1117_Activity_!D200</f>
        <v>-318.74</v>
      </c>
    </row>
    <row r="204" spans="1:4" x14ac:dyDescent="0.25">
      <c r="A204" s="28">
        <f>Angela_2026_Chase1117_Activity_!B201</f>
        <v>46185</v>
      </c>
      <c r="B204" s="3" t="str">
        <f>Angela_2026_Chase1117_Activity_!C201</f>
        <v>POSHMARK 6504887740 CA                       06/12</v>
      </c>
      <c r="C204" s="3" t="str">
        <f>Angela_2026_Chase1117_Activity_!G201</f>
        <v>Poshmark</v>
      </c>
      <c r="D204" s="4">
        <f>Angela_2026_Chase1117_Activity_!D201</f>
        <v>-70.150000000000006</v>
      </c>
    </row>
    <row r="205" spans="1:4" x14ac:dyDescent="0.25">
      <c r="A205" s="28">
        <f>Angela_2026_Chase1117_Activity_!B202</f>
        <v>46185</v>
      </c>
      <c r="B205" s="3" t="str">
        <f>Angela_2026_Chase1117_Activity_!C202</f>
        <v>POSHMARK 6504887740 CA                       06/12</v>
      </c>
      <c r="C205" s="3" t="str">
        <f>Angela_2026_Chase1117_Activity_!G202</f>
        <v>Poshmark</v>
      </c>
      <c r="D205" s="4">
        <f>Angela_2026_Chase1117_Activity_!D202</f>
        <v>-28.44</v>
      </c>
    </row>
    <row r="206" spans="1:4" x14ac:dyDescent="0.25">
      <c r="A206" s="28">
        <f>Angela_2026_Chase1117_Activity_!B203</f>
        <v>46185</v>
      </c>
      <c r="B206" s="3" t="str">
        <f>Angela_2026_Chase1117_Activity_!C203</f>
        <v>POSHMARK 6504887740 CA                       06/12</v>
      </c>
      <c r="C206" s="3" t="str">
        <f>Angela_2026_Chase1117_Activity_!G203</f>
        <v>Poshmark</v>
      </c>
      <c r="D206" s="4">
        <f>Angela_2026_Chase1117_Activity_!D203</f>
        <v>-33.93</v>
      </c>
    </row>
    <row r="207" spans="1:4" x14ac:dyDescent="0.25">
      <c r="A207" s="28">
        <f>Angela_2026_Chase1117_Activity_!B204</f>
        <v>46185</v>
      </c>
      <c r="B207" s="3" t="str">
        <f>Angela_2026_Chase1117_Activity_!C204</f>
        <v>POSHMARK 6504887740 CA                       06/12</v>
      </c>
      <c r="C207" s="3" t="str">
        <f>Angela_2026_Chase1117_Activity_!G204</f>
        <v>Poshmark</v>
      </c>
      <c r="D207" s="4">
        <f>Angela_2026_Chase1117_Activity_!D204</f>
        <v>-28.44</v>
      </c>
    </row>
    <row r="208" spans="1:4" x14ac:dyDescent="0.25">
      <c r="A208" s="28">
        <f>Angela_2026_Chase1117_Activity_!B205</f>
        <v>46185</v>
      </c>
      <c r="B208" s="3" t="str">
        <f>Angela_2026_Chase1117_Activity_!C205</f>
        <v>AMAZON MKTPL*RP0SF1U Amzn.com/bill WA        06/12</v>
      </c>
      <c r="C208" s="3" t="str">
        <f>Angela_2026_Chase1117_Activity_!G205</f>
        <v>Amazon</v>
      </c>
      <c r="D208" s="4">
        <f>Angela_2026_Chase1117_Activity_!D205</f>
        <v>-21.13</v>
      </c>
    </row>
    <row r="209" spans="1:4" x14ac:dyDescent="0.25">
      <c r="A209" s="28">
        <f>Angela_2026_Chase1117_Activity_!B206</f>
        <v>46185</v>
      </c>
      <c r="B209" s="3" t="str">
        <f>Angela_2026_Chase1117_Activity_!C206</f>
        <v>AMAZON MARK* JR0TF1M AMAZON.COM/MA WA        06/11</v>
      </c>
      <c r="C209" s="3" t="str">
        <f>Angela_2026_Chase1117_Activity_!G206</f>
        <v>Amazon</v>
      </c>
      <c r="D209" s="4">
        <f>Angela_2026_Chase1117_Activity_!D206</f>
        <v>-39.75</v>
      </c>
    </row>
    <row r="210" spans="1:4" x14ac:dyDescent="0.25">
      <c r="A210" s="28">
        <f>Angela_2026_Chase1117_Activity_!B207</f>
        <v>46185</v>
      </c>
      <c r="B210" s="3" t="str">
        <f>Angela_2026_Chase1117_Activity_!C207</f>
        <v>AMAZON MARK* YP7T11W AMAZON.COM/MA WA        06/11</v>
      </c>
      <c r="C210" s="3" t="str">
        <f>Angela_2026_Chase1117_Activity_!G207</f>
        <v>Amazon</v>
      </c>
      <c r="D210" s="4">
        <f>Angela_2026_Chase1117_Activity_!D207</f>
        <v>-53.96</v>
      </c>
    </row>
    <row r="211" spans="1:4" x14ac:dyDescent="0.25">
      <c r="A211" s="28">
        <f>Angela_2026_Chase1117_Activity_!B208</f>
        <v>46185</v>
      </c>
      <c r="B211" s="3" t="str">
        <f>Angela_2026_Chase1117_Activity_!C208</f>
        <v>LOTT CLEANERS (MAIN ST WEATHERFORD TX        06/10</v>
      </c>
      <c r="C211" s="3" t="str">
        <f>Angela_2026_Chase1117_Activity_!G208</f>
        <v>Personal - Clothing</v>
      </c>
      <c r="D211" s="4">
        <f>Angela_2026_Chase1117_Activity_!D208</f>
        <v>-137.71</v>
      </c>
    </row>
    <row r="212" spans="1:4" x14ac:dyDescent="0.25">
      <c r="A212" s="28">
        <f>Angela_2026_Chase1117_Activity_!B209</f>
        <v>46184</v>
      </c>
      <c r="B212" s="3" t="str">
        <f>Angela_2026_Chase1117_Activity_!C209</f>
        <v>UBER   * EATS PENDIN SAN FRANCISCO CA136349  06/11</v>
      </c>
      <c r="C212" s="3" t="str">
        <f>Angela_2026_Chase1117_Activity_!G209</f>
        <v>Uber Eats</v>
      </c>
      <c r="D212" s="4">
        <f>Angela_2026_Chase1117_Activity_!D209</f>
        <v>-67.83</v>
      </c>
    </row>
    <row r="213" spans="1:4" x14ac:dyDescent="0.25">
      <c r="A213" s="28">
        <f>Angela_2026_Chase1117_Activity_!B210</f>
        <v>46184</v>
      </c>
      <c r="B213" s="3" t="str">
        <f>Angela_2026_Chase1117_Activity_!C210</f>
        <v>Amazon.com*KN86E2CW3 Amzn.com/bill WA        06/11</v>
      </c>
      <c r="C213" s="3" t="str">
        <f>Angela_2026_Chase1117_Activity_!G210</f>
        <v>Amazon</v>
      </c>
      <c r="D213" s="4">
        <f>Angela_2026_Chase1117_Activity_!D210</f>
        <v>-85.16</v>
      </c>
    </row>
    <row r="214" spans="1:4" x14ac:dyDescent="0.25">
      <c r="A214" s="28">
        <f>Angela_2026_Chase1117_Activity_!B211</f>
        <v>46184</v>
      </c>
      <c r="B214" s="3" t="str">
        <f>Angela_2026_Chase1117_Activity_!C211</f>
        <v>LOTT CLEANERS (MAIN ST WEATHERFORD TX        06/09</v>
      </c>
      <c r="C214" s="3" t="str">
        <f>Angela_2026_Chase1117_Activity_!G211</f>
        <v>Personal - Clothing</v>
      </c>
      <c r="D214" s="4">
        <f>Angela_2026_Chase1117_Activity_!D211</f>
        <v>-137.59</v>
      </c>
    </row>
    <row r="215" spans="1:4" x14ac:dyDescent="0.25">
      <c r="A215" s="28">
        <f>Angela_2026_Chase1117_Activity_!B212</f>
        <v>46183</v>
      </c>
      <c r="B215" s="3" t="str">
        <f>Angela_2026_Chase1117_Activity_!C212</f>
        <v>FANDANGO    * FANDANGO.COM CA                06/10</v>
      </c>
      <c r="C215" s="3" t="str">
        <f>Angela_2026_Chase1117_Activity_!G212</f>
        <v>Personal - Entertainment</v>
      </c>
      <c r="D215" s="4">
        <f>Angela_2026_Chase1117_Activity_!D212</f>
        <v>-60.76</v>
      </c>
    </row>
    <row r="216" spans="1:4" x14ac:dyDescent="0.25">
      <c r="A216" s="28">
        <f>Angela_2026_Chase1117_Activity_!B213</f>
        <v>46183</v>
      </c>
      <c r="B216" s="3" t="str">
        <f>Angela_2026_Chase1117_Activity_!C213</f>
        <v>APPLE.COM/BILL 866-712-7753 CA               06/10</v>
      </c>
      <c r="C216" s="3" t="str">
        <f>Angela_2026_Chase1117_Activity_!G213</f>
        <v>Apple</v>
      </c>
      <c r="D216" s="4">
        <f>Angela_2026_Chase1117_Activity_!D213</f>
        <v>-12.99</v>
      </c>
    </row>
    <row r="217" spans="1:4" x14ac:dyDescent="0.25">
      <c r="A217" s="28">
        <f>Angela_2026_Chase1117_Activity_!B214</f>
        <v>46183</v>
      </c>
      <c r="B217" s="3" t="str">
        <f>Angela_2026_Chase1117_Activity_!C214</f>
        <v>GOLDEN RULE LLC - ECO 817-771-3864 TX        06/09</v>
      </c>
      <c r="C217" s="3" t="str">
        <f>Angela_2026_Chase1117_Activity_!G214</f>
        <v>Personal - House Bills</v>
      </c>
      <c r="D217" s="4">
        <f>Angela_2026_Chase1117_Activity_!D214</f>
        <v>-654.91</v>
      </c>
    </row>
    <row r="218" spans="1:4" x14ac:dyDescent="0.25">
      <c r="A218" s="28">
        <f>Angela_2026_Chase1117_Activity_!B215</f>
        <v>46183</v>
      </c>
      <c r="B218" s="3" t="str">
        <f>Angela_2026_Chase1117_Activity_!C215</f>
        <v>DD *DOORDASH CHIPOTLE 855-431-0459 CA        06/10</v>
      </c>
      <c r="C218" s="3" t="str">
        <f>Angela_2026_Chase1117_Activity_!G215</f>
        <v>Uber Eats</v>
      </c>
      <c r="D218" s="4">
        <f>Angela_2026_Chase1117_Activity_!D215</f>
        <v>-92.79</v>
      </c>
    </row>
    <row r="219" spans="1:4" x14ac:dyDescent="0.25">
      <c r="A219" s="28">
        <f>Angela_2026_Chase1117_Activity_!B216</f>
        <v>46182</v>
      </c>
      <c r="B219" s="3" t="str">
        <f>Angela_2026_Chase1117_Activity_!C216</f>
        <v>SHELL SERVICE STATION WEATHERFORD TX 593334  06/09</v>
      </c>
      <c r="C219" s="3" t="str">
        <f>Angela_2026_Chase1117_Activity_!G216</f>
        <v>Personal - Car</v>
      </c>
      <c r="D219" s="4">
        <f>Angela_2026_Chase1117_Activity_!D216</f>
        <v>-45.97</v>
      </c>
    </row>
    <row r="220" spans="1:4" x14ac:dyDescent="0.25">
      <c r="A220" s="28">
        <f>Angela_2026_Chase1117_Activity_!B217</f>
        <v>46182</v>
      </c>
      <c r="B220" s="3" t="str">
        <f>Angela_2026_Chase1117_Activity_!C217</f>
        <v>ATM WITHDRAWAL                       000291  06/09225 E INT</v>
      </c>
      <c r="C220" s="3" t="str">
        <f>Angela_2026_Chase1117_Activity_!G217</f>
        <v>Withdrawal</v>
      </c>
      <c r="D220" s="4">
        <f>Angela_2026_Chase1117_Activity_!D217</f>
        <v>-1000</v>
      </c>
    </row>
    <row r="221" spans="1:4" x14ac:dyDescent="0.25">
      <c r="A221" s="28">
        <f>Angela_2026_Chase1117_Activity_!B218</f>
        <v>46182</v>
      </c>
      <c r="B221" s="3" t="str">
        <f>Angela_2026_Chase1117_Activity_!C218</f>
        <v>POSHMARK 6504887740 CA                       06/09</v>
      </c>
      <c r="C221" s="3" t="str">
        <f>Angela_2026_Chase1117_Activity_!G218</f>
        <v>Poshmark</v>
      </c>
      <c r="D221" s="4">
        <f>Angela_2026_Chase1117_Activity_!D218</f>
        <v>-83.32</v>
      </c>
    </row>
    <row r="222" spans="1:4" x14ac:dyDescent="0.25">
      <c r="A222" s="28">
        <f>Angela_2026_Chase1117_Activity_!B219</f>
        <v>46182</v>
      </c>
      <c r="B222" s="3" t="str">
        <f>Angela_2026_Chase1117_Activity_!C219</f>
        <v>POSHMARK 6504887740 CA                       06/09</v>
      </c>
      <c r="C222" s="3" t="str">
        <f>Angela_2026_Chase1117_Activity_!G219</f>
        <v>Poshmark</v>
      </c>
      <c r="D222" s="4">
        <f>Angela_2026_Chase1117_Activity_!D219</f>
        <v>-50.39</v>
      </c>
    </row>
    <row r="223" spans="1:4" x14ac:dyDescent="0.25">
      <c r="A223" s="28">
        <f>Angela_2026_Chase1117_Activity_!B220</f>
        <v>46182</v>
      </c>
      <c r="B223" s="3" t="str">
        <f>Angela_2026_Chase1117_Activity_!C220</f>
        <v>POSHMARK 6504887740 CA                       06/09</v>
      </c>
      <c r="C223" s="3" t="str">
        <f>Angela_2026_Chase1117_Activity_!G220</f>
        <v>Poshmark</v>
      </c>
      <c r="D223" s="4">
        <f>Angela_2026_Chase1117_Activity_!D220</f>
        <v>-105.27</v>
      </c>
    </row>
    <row r="224" spans="1:4" x14ac:dyDescent="0.25">
      <c r="A224" s="28">
        <f>Angela_2026_Chase1117_Activity_!B221</f>
        <v>46182</v>
      </c>
      <c r="B224" s="3" t="str">
        <f>Angela_2026_Chase1117_Activity_!C221</f>
        <v>APPLE.COM/BILL 866-712-7753 CA               06/09</v>
      </c>
      <c r="C224" s="3" t="str">
        <f>Angela_2026_Chase1117_Activity_!G221</f>
        <v>Apple</v>
      </c>
      <c r="D224" s="4">
        <f>Angela_2026_Chase1117_Activity_!D221</f>
        <v>-6.99</v>
      </c>
    </row>
    <row r="225" spans="1:4" x14ac:dyDescent="0.25">
      <c r="A225" s="28">
        <f>Angela_2026_Chase1117_Activity_!B222</f>
        <v>46182</v>
      </c>
      <c r="B225" s="3" t="str">
        <f>Angela_2026_Chase1117_Activity_!C222</f>
        <v>AMAZON MARK* 3E2X66P AMAZON.COM/MA WA        06/09</v>
      </c>
      <c r="C225" s="3" t="str">
        <f>Angela_2026_Chase1117_Activity_!G222</f>
        <v>Amazon</v>
      </c>
      <c r="D225" s="4">
        <f>Angela_2026_Chase1117_Activity_!D222</f>
        <v>-350.15</v>
      </c>
    </row>
    <row r="226" spans="1:4" x14ac:dyDescent="0.25">
      <c r="A226" s="28">
        <f>Angela_2026_Chase1117_Activity_!B223</f>
        <v>46182</v>
      </c>
      <c r="B226" s="3" t="str">
        <f>Angela_2026_Chase1117_Activity_!C223</f>
        <v>AMAZON MARK* J58R111 AMAZON.COM/MA WA        06/09</v>
      </c>
      <c r="C226" s="3" t="str">
        <f>Angela_2026_Chase1117_Activity_!G223</f>
        <v>Amazon</v>
      </c>
      <c r="D226" s="4">
        <f>Angela_2026_Chase1117_Activity_!D223</f>
        <v>-273.95</v>
      </c>
    </row>
    <row r="227" spans="1:4" x14ac:dyDescent="0.25">
      <c r="A227" s="28">
        <f>Angela_2026_Chase1117_Activity_!B224</f>
        <v>46182</v>
      </c>
      <c r="B227" s="3" t="str">
        <f>Angela_2026_Chase1117_Activity_!C224</f>
        <v>AMC 0259 CLEARFORK 8 FORT WORTH TX           06/07</v>
      </c>
      <c r="C227" s="3" t="str">
        <f>Angela_2026_Chase1117_Activity_!G224</f>
        <v>Personal - Entertainment</v>
      </c>
      <c r="D227" s="4">
        <f>Angela_2026_Chase1117_Activity_!D224</f>
        <v>-16.23</v>
      </c>
    </row>
    <row r="228" spans="1:4" x14ac:dyDescent="0.25">
      <c r="A228" s="28">
        <f>Angela_2026_Chase1117_Activity_!B225</f>
        <v>46182</v>
      </c>
      <c r="B228" s="3" t="str">
        <f>Angela_2026_Chase1117_Activity_!C225</f>
        <v>AMC 0259 CLEARFORK 8 FORT WORTH TX           06/07</v>
      </c>
      <c r="C228" s="3" t="str">
        <f>Angela_2026_Chase1117_Activity_!G225</f>
        <v>Personal - Entertainment</v>
      </c>
      <c r="D228" s="4">
        <f>Angela_2026_Chase1117_Activity_!D225</f>
        <v>-43.81</v>
      </c>
    </row>
    <row r="229" spans="1:4" x14ac:dyDescent="0.25">
      <c r="A229" s="28">
        <f>Angela_2026_Chase1117_Activity_!B226</f>
        <v>46182</v>
      </c>
      <c r="B229" s="3" t="str">
        <f>Angela_2026_Chase1117_Activity_!C226</f>
        <v>Zelle payment from TANYA MILLER HNA0K6O4LPD1</v>
      </c>
      <c r="C229" s="3" t="str">
        <f>Angela_2026_Chase1117_Activity_!G226</f>
        <v>Zelle from Tanya Miller</v>
      </c>
      <c r="D229" s="4">
        <f>Angela_2026_Chase1117_Activity_!D226</f>
        <v>100</v>
      </c>
    </row>
    <row r="230" spans="1:4" x14ac:dyDescent="0.25">
      <c r="A230" s="28">
        <f>Angela_2026_Chase1117_Activity_!B227</f>
        <v>46182</v>
      </c>
      <c r="B230" s="3" t="str">
        <f>Angela_2026_Chase1117_Activity_!C227</f>
        <v>Online Transfer from CHK ...1168 transaction#: 29555521399</v>
      </c>
      <c r="C230" s="3" t="str">
        <f>Angela_2026_Chase1117_Activity_!G227</f>
        <v>Transfer from DWG Capital Group</v>
      </c>
      <c r="D230" s="4">
        <f>Angela_2026_Chase1117_Activity_!D227</f>
        <v>2000</v>
      </c>
    </row>
    <row r="231" spans="1:4" x14ac:dyDescent="0.25">
      <c r="A231" s="28">
        <f>Angela_2026_Chase1117_Activity_!B228</f>
        <v>46181</v>
      </c>
      <c r="B231" s="3" t="str">
        <f>Angela_2026_Chase1117_Activity_!C228</f>
        <v>Prime Video Channels amzn.com/bill WA        06/07</v>
      </c>
      <c r="C231" s="3" t="str">
        <f>Angela_2026_Chase1117_Activity_!G228</f>
        <v>Amazon</v>
      </c>
      <c r="D231" s="4">
        <f>Angela_2026_Chase1117_Activity_!D228</f>
        <v>-15.99</v>
      </c>
    </row>
    <row r="232" spans="1:4" x14ac:dyDescent="0.25">
      <c r="A232" s="28">
        <f>Angela_2026_Chase1117_Activity_!B229</f>
        <v>46181</v>
      </c>
      <c r="B232" s="3" t="str">
        <f>Angela_2026_Chase1117_Activity_!C229</f>
        <v>MID CITIES ANTIQ HURST TX            623053  06/07</v>
      </c>
      <c r="C232" s="3" t="str">
        <f>Angela_2026_Chase1117_Activity_!G229</f>
        <v>Personal - Shopping</v>
      </c>
      <c r="D232" s="4">
        <f>Angela_2026_Chase1117_Activity_!D229</f>
        <v>-165.51</v>
      </c>
    </row>
    <row r="233" spans="1:4" x14ac:dyDescent="0.25">
      <c r="A233" s="28">
        <f>Angela_2026_Chase1117_Activity_!B230</f>
        <v>46181</v>
      </c>
      <c r="B233" s="3" t="str">
        <f>Angela_2026_Chase1117_Activity_!C230</f>
        <v>AMAZON MARK* SI6343M AMAZON.COM/MA WA        06/08</v>
      </c>
      <c r="C233" s="3" t="str">
        <f>Angela_2026_Chase1117_Activity_!G230</f>
        <v>Amazon</v>
      </c>
      <c r="D233" s="4">
        <f>Angela_2026_Chase1117_Activity_!D230</f>
        <v>-161.94</v>
      </c>
    </row>
    <row r="234" spans="1:4" x14ac:dyDescent="0.25">
      <c r="A234" s="28">
        <f>Angela_2026_Chase1117_Activity_!B231</f>
        <v>46181</v>
      </c>
      <c r="B234" s="3" t="str">
        <f>Angela_2026_Chase1117_Activity_!C231</f>
        <v>GOOGLE *YouTubePremi g.co/helppay# CA        06/06</v>
      </c>
      <c r="C234" s="3" t="str">
        <f>Angela_2026_Chase1117_Activity_!G231</f>
        <v>YouTube Premium</v>
      </c>
      <c r="D234" s="4">
        <f>Angela_2026_Chase1117_Activity_!D231</f>
        <v>-15.99</v>
      </c>
    </row>
    <row r="235" spans="1:4" x14ac:dyDescent="0.25">
      <c r="A235" s="28">
        <f>Angela_2026_Chase1117_Activity_!B232</f>
        <v>46181</v>
      </c>
      <c r="B235" s="3" t="str">
        <f>Angela_2026_Chase1117_Activity_!C232</f>
        <v>DD *DOORDASH TARGET 855-431-0459 CA          06/06</v>
      </c>
      <c r="C235" s="3" t="str">
        <f>Angela_2026_Chase1117_Activity_!G232</f>
        <v>Uber Eats</v>
      </c>
      <c r="D235" s="4">
        <f>Angela_2026_Chase1117_Activity_!D232</f>
        <v>-99.44</v>
      </c>
    </row>
    <row r="236" spans="1:4" x14ac:dyDescent="0.25">
      <c r="A236" s="28">
        <f>Angela_2026_Chase1117_Activity_!B233</f>
        <v>46181</v>
      </c>
      <c r="B236" s="3" t="str">
        <f>Angela_2026_Chase1117_Activity_!C233</f>
        <v>PSYCHOLOGY TODAY PSYCHOLOGYTOD SD            06/06</v>
      </c>
      <c r="C236" s="3" t="str">
        <f>Angela_2026_Chase1117_Activity_!G233</f>
        <v>Personal - Subscription</v>
      </c>
      <c r="D236" s="4">
        <f>Angela_2026_Chase1117_Activity_!D233</f>
        <v>-29.95</v>
      </c>
    </row>
    <row r="237" spans="1:4" x14ac:dyDescent="0.25">
      <c r="A237" s="28">
        <f>Angela_2026_Chase1117_Activity_!B234</f>
        <v>46181</v>
      </c>
      <c r="B237" s="3" t="str">
        <f>Angela_2026_Chase1117_Activity_!C234</f>
        <v>TIES TO THE PAST ANTIQU FORT WORTH TX        06/05</v>
      </c>
      <c r="C237" s="3" t="str">
        <f>Angela_2026_Chase1117_Activity_!G234</f>
        <v>Personal - Shopping</v>
      </c>
      <c r="D237" s="4">
        <f>Angela_2026_Chase1117_Activity_!D234</f>
        <v>-45.47</v>
      </c>
    </row>
    <row r="238" spans="1:4" x14ac:dyDescent="0.25">
      <c r="A238" s="28">
        <f>Angela_2026_Chase1117_Activity_!B235</f>
        <v>46181</v>
      </c>
      <c r="B238" s="3" t="str">
        <f>Angela_2026_Chase1117_Activity_!C235</f>
        <v>L`ARTE NAILS &amp; SPA WEATHERFORD TX            06/04</v>
      </c>
      <c r="C238" s="3" t="str">
        <f>Angela_2026_Chase1117_Activity_!G235</f>
        <v>Personal - Health</v>
      </c>
      <c r="D238" s="4">
        <f>Angela_2026_Chase1117_Activity_!D235</f>
        <v>-97.85</v>
      </c>
    </row>
    <row r="239" spans="1:4" x14ac:dyDescent="0.25">
      <c r="A239" s="28">
        <f>Angela_2026_Chase1117_Activity_!B236</f>
        <v>46181</v>
      </c>
      <c r="B239" s="3" t="str">
        <f>Angela_2026_Chase1117_Activity_!C236</f>
        <v>LOTT CLEANERS (MAIN ST WEATHERFORD TX        06/04</v>
      </c>
      <c r="C239" s="3" t="str">
        <f>Angela_2026_Chase1117_Activity_!G236</f>
        <v>Personal - Clothing</v>
      </c>
      <c r="D239" s="4">
        <f>Angela_2026_Chase1117_Activity_!D236</f>
        <v>-114.95</v>
      </c>
    </row>
    <row r="240" spans="1:4" x14ac:dyDescent="0.25">
      <c r="A240" s="28">
        <f>Angela_2026_Chase1117_Activity_!B237</f>
        <v>46181</v>
      </c>
      <c r="B240" s="3" t="str">
        <f>Angela_2026_Chase1117_Activity_!C237</f>
        <v>Zelle payment from ROSE LI 29540981321</v>
      </c>
      <c r="C240" s="3" t="str">
        <f>Angela_2026_Chase1117_Activity_!G237</f>
        <v>Zelle from Rose Li</v>
      </c>
      <c r="D240" s="4">
        <f>Angela_2026_Chase1117_Activity_!D237</f>
        <v>450</v>
      </c>
    </row>
    <row r="241" spans="1:4" x14ac:dyDescent="0.25">
      <c r="A241" s="28">
        <f>Angela_2026_Chase1117_Activity_!B238</f>
        <v>46181</v>
      </c>
      <c r="B241" s="3" t="str">
        <f>Angela_2026_Chase1117_Activity_!C238</f>
        <v>Online Transfer from CHK ...1168 transaction#: 29529799629</v>
      </c>
      <c r="C241" s="3" t="str">
        <f>Angela_2026_Chase1117_Activity_!G238</f>
        <v>Transfer from DWG Capital Group</v>
      </c>
      <c r="D241" s="4">
        <f>Angela_2026_Chase1117_Activity_!D238</f>
        <v>3000</v>
      </c>
    </row>
    <row r="242" spans="1:4" x14ac:dyDescent="0.25">
      <c r="A242" s="28">
        <f>Angela_2026_Chase1117_Activity_!B239</f>
        <v>46178</v>
      </c>
      <c r="B242" s="3" t="str">
        <f>Angela_2026_Chase1117_Activity_!C239</f>
        <v>AMAZON MKTPL*ON7PK70 Amzn.com/bill WA        06/05</v>
      </c>
      <c r="C242" s="3" t="str">
        <f>Angela_2026_Chase1117_Activity_!G239</f>
        <v>Amazon</v>
      </c>
      <c r="D242" s="4">
        <f>Angela_2026_Chase1117_Activity_!D239</f>
        <v>-22.09</v>
      </c>
    </row>
    <row r="243" spans="1:4" x14ac:dyDescent="0.25">
      <c r="A243" s="28">
        <f>Angela_2026_Chase1117_Activity_!B240</f>
        <v>46178</v>
      </c>
      <c r="B243" s="3" t="str">
        <f>Angela_2026_Chase1117_Activity_!C240</f>
        <v>SQ *PATRIOT SEPTIC Weatherford TX            06/04</v>
      </c>
      <c r="C243" s="3" t="str">
        <f>Angela_2026_Chase1117_Activity_!G240</f>
        <v>Personal - House Bills</v>
      </c>
      <c r="D243" s="4">
        <f>Angela_2026_Chase1117_Activity_!D240</f>
        <v>-695</v>
      </c>
    </row>
    <row r="244" spans="1:4" x14ac:dyDescent="0.25">
      <c r="A244" s="28">
        <f>Angela_2026_Chase1117_Activity_!B241</f>
        <v>46178</v>
      </c>
      <c r="B244" s="3" t="str">
        <f>Angela_2026_Chase1117_Activity_!C241</f>
        <v>AMAZON MARK* TH1J17E AMAZON.COM/MA WA        06/05</v>
      </c>
      <c r="C244" s="3" t="str">
        <f>Angela_2026_Chase1117_Activity_!G241</f>
        <v>Amazon</v>
      </c>
      <c r="D244" s="4">
        <f>Angela_2026_Chase1117_Activity_!D241</f>
        <v>-94.95</v>
      </c>
    </row>
    <row r="245" spans="1:4" x14ac:dyDescent="0.25">
      <c r="A245" s="28">
        <f>Angela_2026_Chase1117_Activity_!B242</f>
        <v>46178</v>
      </c>
      <c r="B245" s="3" t="str">
        <f>Angela_2026_Chase1117_Activity_!C242</f>
        <v>DD *DOORDASH BLUJASMI 855-431-0459 CA        06/05</v>
      </c>
      <c r="C245" s="3" t="str">
        <f>Angela_2026_Chase1117_Activity_!G242</f>
        <v>Uber Eats</v>
      </c>
      <c r="D245" s="4">
        <f>Angela_2026_Chase1117_Activity_!D242</f>
        <v>-72.55</v>
      </c>
    </row>
    <row r="246" spans="1:4" x14ac:dyDescent="0.25">
      <c r="A246" s="28">
        <f>Angela_2026_Chase1117_Activity_!B243</f>
        <v>46178</v>
      </c>
      <c r="B246" s="3" t="str">
        <f>Angela_2026_Chase1117_Activity_!C243</f>
        <v>WITHERSPOONS ANTIQUE MA GRANBURY TX          06/03</v>
      </c>
      <c r="C246" s="3" t="str">
        <f>Angela_2026_Chase1117_Activity_!G243</f>
        <v>Personal - Shopping</v>
      </c>
      <c r="D246" s="4">
        <f>Angela_2026_Chase1117_Activity_!D243</f>
        <v>-49.36</v>
      </c>
    </row>
    <row r="247" spans="1:4" x14ac:dyDescent="0.25">
      <c r="A247" s="28">
        <f>Angela_2026_Chase1117_Activity_!B244</f>
        <v>46178</v>
      </c>
      <c r="B247" s="3" t="str">
        <f>Angela_2026_Chase1117_Activity_!C244</f>
        <v>AFTER SCHOOL AMERICA GRANBURY TX             06/03</v>
      </c>
      <c r="C247" s="3" t="str">
        <f>Angela_2026_Chase1117_Activity_!G244</f>
        <v>Personal - Misc</v>
      </c>
      <c r="D247" s="4">
        <f>Angela_2026_Chase1117_Activity_!D244</f>
        <v>-21.65</v>
      </c>
    </row>
    <row r="248" spans="1:4" x14ac:dyDescent="0.25">
      <c r="A248" s="28">
        <f>Angela_2026_Chase1117_Activity_!B245</f>
        <v>46178</v>
      </c>
      <c r="B248" s="3" t="str">
        <f>Angela_2026_Chase1117_Activity_!C245</f>
        <v>AMERICAN AIR00174154831 FORT WORTH TX        06/03</v>
      </c>
      <c r="C248" s="3" t="str">
        <f>Angela_2026_Chase1117_Activity_!G245</f>
        <v>Personal Travel</v>
      </c>
      <c r="D248" s="4">
        <f>Angela_2026_Chase1117_Activity_!D245</f>
        <v>-601.80999999999995</v>
      </c>
    </row>
    <row r="249" spans="1:4" x14ac:dyDescent="0.25">
      <c r="A249" s="28">
        <f>Angela_2026_Chase1117_Activity_!B246</f>
        <v>46178</v>
      </c>
      <c r="B249" s="3" t="str">
        <f>Angela_2026_Chase1117_Activity_!C246</f>
        <v>SP RUMORS RICHMOND RICHMOND VA               06/03</v>
      </c>
      <c r="C249" s="3" t="str">
        <f>Angela_2026_Chase1117_Activity_!G246</f>
        <v>Personal - Shopping</v>
      </c>
      <c r="D249" s="4">
        <f>Angela_2026_Chase1117_Activity_!D246</f>
        <v>14.95</v>
      </c>
    </row>
    <row r="250" spans="1:4" x14ac:dyDescent="0.25">
      <c r="A250" s="28">
        <f>Angela_2026_Chase1117_Activity_!B247</f>
        <v>46177</v>
      </c>
      <c r="B250" s="3" t="str">
        <f>Angela_2026_Chase1117_Activity_!C247</f>
        <v>NON-CHASE ATM FEE-WITH</v>
      </c>
      <c r="C250" s="3" t="str">
        <f>Angela_2026_Chase1117_Activity_!G247</f>
        <v>Bank Fees</v>
      </c>
      <c r="D250" s="4">
        <f>Angela_2026_Chase1117_Activity_!D247</f>
        <v>-3</v>
      </c>
    </row>
    <row r="251" spans="1:4" x14ac:dyDescent="0.25">
      <c r="A251" s="28">
        <f>Angela_2026_Chase1117_Activity_!B248</f>
        <v>46177</v>
      </c>
      <c r="B251" s="3" t="str">
        <f>Angela_2026_Chase1117_Activity_!C248</f>
        <v>T J MAXX #1295 WEATHERFORD TX        037073  06/04</v>
      </c>
      <c r="C251" s="3" t="str">
        <f>Angela_2026_Chase1117_Activity_!G248</f>
        <v>Personal - Shopping</v>
      </c>
      <c r="D251" s="4">
        <f>Angela_2026_Chase1117_Activity_!D248</f>
        <v>-389.67</v>
      </c>
    </row>
    <row r="252" spans="1:4" x14ac:dyDescent="0.25">
      <c r="A252" s="28">
        <f>Angela_2026_Chase1117_Activity_!B249</f>
        <v>46177</v>
      </c>
      <c r="B252" s="3" t="str">
        <f>Angela_2026_Chase1117_Activity_!C249</f>
        <v>NON-CHASE ATM WITHDRAW               001821  06/041317 S MA</v>
      </c>
      <c r="C252" s="3" t="str">
        <f>Angela_2026_Chase1117_Activity_!G249</f>
        <v>Withdrawal</v>
      </c>
      <c r="D252" s="4">
        <f>Angela_2026_Chase1117_Activity_!D249</f>
        <v>-203.75</v>
      </c>
    </row>
    <row r="253" spans="1:4" x14ac:dyDescent="0.25">
      <c r="A253" s="28">
        <f>Angela_2026_Chase1117_Activity_!B250</f>
        <v>46177</v>
      </c>
      <c r="B253" s="3" t="str">
        <f>Angela_2026_Chase1117_Activity_!C250</f>
        <v>WALGREENS STORE 1317 S WEATHERFORD TX817206  06/04</v>
      </c>
      <c r="C253" s="3" t="str">
        <f>Angela_2026_Chase1117_Activity_!G250</f>
        <v>Personal - Health</v>
      </c>
      <c r="D253" s="4">
        <f>Angela_2026_Chase1117_Activity_!D250</f>
        <v>-88.41</v>
      </c>
    </row>
    <row r="254" spans="1:4" x14ac:dyDescent="0.25">
      <c r="A254" s="28">
        <f>Angela_2026_Chase1117_Activity_!B251</f>
        <v>46177</v>
      </c>
      <c r="B254" s="3" t="str">
        <f>Angela_2026_Chase1117_Activity_!C251</f>
        <v>AMAZON RETA* KQ8ZH30 WWW.AMAZON.CO WA        06/04</v>
      </c>
      <c r="C254" s="3" t="str">
        <f>Angela_2026_Chase1117_Activity_!G251</f>
        <v>Amazon</v>
      </c>
      <c r="D254" s="4">
        <f>Angela_2026_Chase1117_Activity_!D251</f>
        <v>-181.53</v>
      </c>
    </row>
    <row r="255" spans="1:4" x14ac:dyDescent="0.25">
      <c r="A255" s="28">
        <f>Angela_2026_Chase1117_Activity_!B252</f>
        <v>46177</v>
      </c>
      <c r="B255" s="3" t="str">
        <f>Angela_2026_Chase1117_Activity_!C252</f>
        <v>THE C. G. JUNG INSTIT 310-556-1193 CA        06/04</v>
      </c>
      <c r="C255" s="3" t="str">
        <f>Angela_2026_Chase1117_Activity_!G252</f>
        <v>Donation</v>
      </c>
      <c r="D255" s="4">
        <f>Angela_2026_Chase1117_Activity_!D252</f>
        <v>-90</v>
      </c>
    </row>
    <row r="256" spans="1:4" x14ac:dyDescent="0.25">
      <c r="A256" s="28">
        <f>Angela_2026_Chase1117_Activity_!B253</f>
        <v>46177</v>
      </c>
      <c r="B256" s="3" t="str">
        <f>Angela_2026_Chase1117_Activity_!C253</f>
        <v>THE C. G. JUNG INSTIT 310-556-1193 CA        06/04</v>
      </c>
      <c r="C256" s="3" t="str">
        <f>Angela_2026_Chase1117_Activity_!G253</f>
        <v>Donation</v>
      </c>
      <c r="D256" s="4">
        <f>Angela_2026_Chase1117_Activity_!D253</f>
        <v>-90</v>
      </c>
    </row>
    <row r="257" spans="1:4" x14ac:dyDescent="0.25">
      <c r="A257" s="28">
        <f>Angela_2026_Chase1117_Activity_!B254</f>
        <v>46177</v>
      </c>
      <c r="B257" s="3" t="str">
        <f>Angela_2026_Chase1117_Activity_!C254</f>
        <v>TEXAS HEALTHCAREPLLC 817-382-2273 TX         06/03</v>
      </c>
      <c r="C257" s="3" t="str">
        <f>Angela_2026_Chase1117_Activity_!G254</f>
        <v>Personal - Health</v>
      </c>
      <c r="D257" s="4">
        <f>Angela_2026_Chase1117_Activity_!D254</f>
        <v>-95</v>
      </c>
    </row>
    <row r="258" spans="1:4" x14ac:dyDescent="0.25">
      <c r="A258" s="28">
        <f>Angela_2026_Chase1117_Activity_!B255</f>
        <v>46177</v>
      </c>
      <c r="B258" s="3" t="str">
        <f>Angela_2026_Chase1117_Activity_!C255</f>
        <v>AMAZON MKTPL*D345R9U Amzn.com/bill WA        06/03</v>
      </c>
      <c r="C258" s="3" t="str">
        <f>Angela_2026_Chase1117_Activity_!G255</f>
        <v>Amazon</v>
      </c>
      <c r="D258" s="4">
        <f>Angela_2026_Chase1117_Activity_!D255</f>
        <v>-7.67</v>
      </c>
    </row>
    <row r="259" spans="1:4" x14ac:dyDescent="0.25">
      <c r="A259" s="28">
        <f>Angela_2026_Chase1117_Activity_!B256</f>
        <v>46177</v>
      </c>
      <c r="B259" s="3" t="str">
        <f>Angela_2026_Chase1117_Activity_!C256</f>
        <v>DD *DOORDASH TARGET 855-431-0459 CA          06/04</v>
      </c>
      <c r="C259" s="3" t="str">
        <f>Angela_2026_Chase1117_Activity_!G256</f>
        <v>Uber Eats</v>
      </c>
      <c r="D259" s="4">
        <f>Angela_2026_Chase1117_Activity_!D256</f>
        <v>-50.62</v>
      </c>
    </row>
    <row r="260" spans="1:4" x14ac:dyDescent="0.25">
      <c r="A260" s="28">
        <f>Angela_2026_Chase1117_Activity_!B257</f>
        <v>46177</v>
      </c>
      <c r="B260" s="3" t="str">
        <f>Angela_2026_Chase1117_Activity_!C257</f>
        <v>Online Transfer from CHK ...9335 transaction#: 29493391769</v>
      </c>
      <c r="C260" s="3" t="str">
        <f>Angela_2026_Chase1117_Activity_!G257</f>
        <v>Transfer from Poseidon Asset Group</v>
      </c>
      <c r="D260" s="4">
        <f>Angela_2026_Chase1117_Activity_!D257</f>
        <v>1000</v>
      </c>
    </row>
    <row r="261" spans="1:4" x14ac:dyDescent="0.25">
      <c r="A261" s="28">
        <f>Angela_2026_Chase1117_Activity_!B258</f>
        <v>46176</v>
      </c>
      <c r="B261" s="3" t="str">
        <f>Angela_2026_Chase1117_Activity_!C258</f>
        <v>AMAZON RETA* WG17J66 WWW.AMAZON.CO WA        06/03</v>
      </c>
      <c r="C261" s="3" t="str">
        <f>Angela_2026_Chase1117_Activity_!G258</f>
        <v>Amazon</v>
      </c>
      <c r="D261" s="4">
        <f>Angela_2026_Chase1117_Activity_!D258</f>
        <v>-17.899999999999999</v>
      </c>
    </row>
    <row r="262" spans="1:4" x14ac:dyDescent="0.25">
      <c r="A262" s="28">
        <f>Angela_2026_Chase1117_Activity_!B259</f>
        <v>46176</v>
      </c>
      <c r="B262" s="3" t="str">
        <f>Angela_2026_Chase1117_Activity_!C259</f>
        <v>AMAZON RETA* 0Z0GR8F WWW.AMAZON.CO WA        06/03</v>
      </c>
      <c r="C262" s="3" t="str">
        <f>Angela_2026_Chase1117_Activity_!G259</f>
        <v>Amazon</v>
      </c>
      <c r="D262" s="4">
        <f>Angela_2026_Chase1117_Activity_!D259</f>
        <v>-19.62</v>
      </c>
    </row>
    <row r="263" spans="1:4" x14ac:dyDescent="0.25">
      <c r="A263" s="28">
        <f>Angela_2026_Chase1117_Activity_!B260</f>
        <v>46176</v>
      </c>
      <c r="B263" s="3" t="str">
        <f>Angela_2026_Chase1117_Activity_!C260</f>
        <v>AMAZON MARK* H55WU3K AMAZON.COM/MA WA        06/03</v>
      </c>
      <c r="C263" s="3" t="str">
        <f>Angela_2026_Chase1117_Activity_!G260</f>
        <v>Amazon</v>
      </c>
      <c r="D263" s="4">
        <f>Angela_2026_Chase1117_Activity_!D260</f>
        <v>-19.97</v>
      </c>
    </row>
    <row r="264" spans="1:4" x14ac:dyDescent="0.25">
      <c r="A264" s="28">
        <f>Angela_2026_Chase1117_Activity_!B261</f>
        <v>46176</v>
      </c>
      <c r="B264" s="3" t="str">
        <f>Angela_2026_Chase1117_Activity_!C261</f>
        <v>APPLE.COM/BILL 866-712-7753 CA               06/03</v>
      </c>
      <c r="C264" s="3" t="str">
        <f>Angela_2026_Chase1117_Activity_!G261</f>
        <v>Apple</v>
      </c>
      <c r="D264" s="4">
        <f>Angela_2026_Chase1117_Activity_!D261</f>
        <v>-3.99</v>
      </c>
    </row>
    <row r="265" spans="1:4" x14ac:dyDescent="0.25">
      <c r="A265" s="28">
        <f>Angela_2026_Chase1117_Activity_!B262</f>
        <v>46176</v>
      </c>
      <c r="B265" s="3" t="str">
        <f>Angela_2026_Chase1117_Activity_!C262</f>
        <v>AMAZON MARK* EL4O90I AMAZON.COM/MA WA        06/03</v>
      </c>
      <c r="C265" s="3" t="str">
        <f>Angela_2026_Chase1117_Activity_!G262</f>
        <v>Amazon</v>
      </c>
      <c r="D265" s="4">
        <f>Angela_2026_Chase1117_Activity_!D262</f>
        <v>-70</v>
      </c>
    </row>
    <row r="266" spans="1:4" x14ac:dyDescent="0.25">
      <c r="A266" s="28">
        <f>Angela_2026_Chase1117_Activity_!B263</f>
        <v>46176</v>
      </c>
      <c r="B266" s="3" t="str">
        <f>Angela_2026_Chase1117_Activity_!C263</f>
        <v>AMAZON MARK* YN1T68Z AMAZON.COM/MA WA        06/02</v>
      </c>
      <c r="C266" s="3" t="str">
        <f>Angela_2026_Chase1117_Activity_!G263</f>
        <v>Amazon</v>
      </c>
      <c r="D266" s="4">
        <f>Angela_2026_Chase1117_Activity_!D263</f>
        <v>-162.24</v>
      </c>
    </row>
    <row r="267" spans="1:4" x14ac:dyDescent="0.25">
      <c r="A267" s="28">
        <f>Angela_2026_Chase1117_Activity_!B264</f>
        <v>46176</v>
      </c>
      <c r="B267" s="3" t="str">
        <f>Angela_2026_Chase1117_Activity_!C264</f>
        <v>AMERICAN AIR00174153553 FORT WORTH TX        06/01</v>
      </c>
      <c r="C267" s="3" t="str">
        <f>Angela_2026_Chase1117_Activity_!G264</f>
        <v>Personal Travel</v>
      </c>
      <c r="D267" s="4">
        <f>Angela_2026_Chase1117_Activity_!D264</f>
        <v>-567.4</v>
      </c>
    </row>
    <row r="268" spans="1:4" x14ac:dyDescent="0.25">
      <c r="A268" s="28">
        <f>Angela_2026_Chase1117_Activity_!B265</f>
        <v>46175</v>
      </c>
      <c r="B268" s="3" t="str">
        <f>Angela_2026_Chase1117_Activity_!C265</f>
        <v>ORIG CO NAME:PAYPAL                 ORIG ID:PAYPALSI77 DESC DATE:260602 CO ENTRY DESCR:INST XFER SEC:WEB    TRACE#:021000023964704 EED:260602   IND ID:RAYSTARLIGH                  IND NAME:JOHN DUNNING                                                                                                 260602PPZG2M TRN: 1533964704TC</v>
      </c>
      <c r="C268" s="3" t="str">
        <f>Angela_2026_Chase1117_Activity_!G265</f>
        <v>PayPal ACH - RAYSTARLIGH</v>
      </c>
      <c r="D268" s="4">
        <f>Angela_2026_Chase1117_Activity_!D265</f>
        <v>-95.07</v>
      </c>
    </row>
    <row r="269" spans="1:4" x14ac:dyDescent="0.25">
      <c r="A269" s="28">
        <f>Angela_2026_Chase1117_Activity_!B266</f>
        <v>46175</v>
      </c>
      <c r="B269" s="3" t="str">
        <f>Angela_2026_Chase1117_Activity_!C266</f>
        <v>ZARA USA INC. ESTADOS UNIDO NY       136972  05/31</v>
      </c>
      <c r="C269" s="3" t="str">
        <f>Angela_2026_Chase1117_Activity_!G266</f>
        <v>Personal - Shopping</v>
      </c>
      <c r="D269" s="4">
        <f>Angela_2026_Chase1117_Activity_!D266</f>
        <v>-159.79</v>
      </c>
    </row>
    <row r="270" spans="1:4" x14ac:dyDescent="0.25">
      <c r="A270" s="28">
        <f>Angela_2026_Chase1117_Activity_!B267</f>
        <v>46175</v>
      </c>
      <c r="B270" s="3" t="str">
        <f>Angela_2026_Chase1117_Activity_!C267</f>
        <v>SP RUMORS RICHMOND SHOPATRUMORS. VA          06/02</v>
      </c>
      <c r="C270" s="3" t="str">
        <f>Angela_2026_Chase1117_Activity_!G267</f>
        <v>Personal - Shopping</v>
      </c>
      <c r="D270" s="4">
        <f>Angela_2026_Chase1117_Activity_!D267</f>
        <v>-318.14</v>
      </c>
    </row>
    <row r="271" spans="1:4" x14ac:dyDescent="0.25">
      <c r="A271" s="28">
        <f>Angela_2026_Chase1117_Activity_!B268</f>
        <v>46175</v>
      </c>
      <c r="B271" s="3" t="str">
        <f>Angela_2026_Chase1117_Activity_!C268</f>
        <v>AMAZON MKTPL*X28NJ1P Amzn.com/bill WA        06/02</v>
      </c>
      <c r="C271" s="3" t="str">
        <f>Angela_2026_Chase1117_Activity_!G268</f>
        <v>Amazon</v>
      </c>
      <c r="D271" s="4">
        <f>Angela_2026_Chase1117_Activity_!D268</f>
        <v>-39.99</v>
      </c>
    </row>
    <row r="272" spans="1:4" x14ac:dyDescent="0.25">
      <c r="A272" s="28">
        <f>Angela_2026_Chase1117_Activity_!B269</f>
        <v>46175</v>
      </c>
      <c r="B272" s="3" t="str">
        <f>Angela_2026_Chase1117_Activity_!C269</f>
        <v>AMAZON RETA* G92Y004 WWW.AMAZON.CO WA        06/02</v>
      </c>
      <c r="C272" s="3" t="str">
        <f>Angela_2026_Chase1117_Activity_!G269</f>
        <v>Amazon</v>
      </c>
      <c r="D272" s="4">
        <f>Angela_2026_Chase1117_Activity_!D269</f>
        <v>-20.74</v>
      </c>
    </row>
    <row r="273" spans="1:4" x14ac:dyDescent="0.25">
      <c r="A273" s="28">
        <f>Angela_2026_Chase1117_Activity_!B270</f>
        <v>46175</v>
      </c>
      <c r="B273" s="3" t="str">
        <f>Angela_2026_Chase1117_Activity_!C270</f>
        <v>AMERICAN AIR00106498627 FORT WORTH TX        06/02</v>
      </c>
      <c r="C273" s="3" t="str">
        <f>Angela_2026_Chase1117_Activity_!G270</f>
        <v>Personal Travel</v>
      </c>
      <c r="D273" s="4">
        <f>Angela_2026_Chase1117_Activity_!D270</f>
        <v>-26</v>
      </c>
    </row>
    <row r="274" spans="1:4" x14ac:dyDescent="0.25">
      <c r="A274" s="28">
        <f>Angela_2026_Chase1117_Activity_!B271</f>
        <v>46175</v>
      </c>
      <c r="B274" s="3" t="str">
        <f>Angela_2026_Chase1117_Activity_!C271</f>
        <v>Zelle payment from MARY MARGARET TRAHAN 29460766339</v>
      </c>
      <c r="C274" s="3" t="str">
        <f>Angela_2026_Chase1117_Activity_!G271</f>
        <v>Zelle from Mary Margaret Trahan</v>
      </c>
      <c r="D274" s="4">
        <f>Angela_2026_Chase1117_Activity_!D271</f>
        <v>25</v>
      </c>
    </row>
    <row r="275" spans="1:4" x14ac:dyDescent="0.25">
      <c r="A275" s="28">
        <f>Angela_2026_Chase1117_Activity_!B272</f>
        <v>46175</v>
      </c>
      <c r="B275" s="3" t="str">
        <f>Angela_2026_Chase1117_Activity_!C272</f>
        <v>Online Transfer from CHK ...1168 transaction#: 29465360785</v>
      </c>
      <c r="C275" s="3" t="str">
        <f>Angela_2026_Chase1117_Activity_!G272</f>
        <v>Transfer from DWG Capital Group</v>
      </c>
      <c r="D275" s="4">
        <f>Angela_2026_Chase1117_Activity_!D272</f>
        <v>2000</v>
      </c>
    </row>
    <row r="276" spans="1:4" x14ac:dyDescent="0.25">
      <c r="A276" s="28">
        <f>Angela_2026_Chase1117_Activity_!B273</f>
        <v>46174</v>
      </c>
      <c r="B276" s="3" t="str">
        <f>Angela_2026_Chase1117_Activity_!C273</f>
        <v>NON-CHASE ATM FEE-WITH</v>
      </c>
      <c r="C276" s="3" t="str">
        <f>Angela_2026_Chase1117_Activity_!G273</f>
        <v>Bank Fees</v>
      </c>
      <c r="D276" s="4">
        <f>Angela_2026_Chase1117_Activity_!D273</f>
        <v>-3</v>
      </c>
    </row>
    <row r="277" spans="1:4" x14ac:dyDescent="0.25">
      <c r="A277" s="28">
        <f>Angela_2026_Chase1117_Activity_!B274</f>
        <v>46174</v>
      </c>
      <c r="B277" s="3" t="str">
        <f>Angela_2026_Chase1117_Activity_!C274</f>
        <v>BLUE SHIELD CALIFORNI 800-393-6130 CA        05/31</v>
      </c>
      <c r="C277" s="3" t="str">
        <f>Angela_2026_Chase1117_Activity_!G274</f>
        <v>Personal - Health Insurance</v>
      </c>
      <c r="D277" s="4">
        <f>Angela_2026_Chase1117_Activity_!D274</f>
        <v>-1272.1199999999999</v>
      </c>
    </row>
    <row r="278" spans="1:4" x14ac:dyDescent="0.25">
      <c r="A278" s="28">
        <f>Angela_2026_Chase1117_Activity_!B275</f>
        <v>46174</v>
      </c>
      <c r="B278" s="3" t="str">
        <f>Angela_2026_Chase1117_Activity_!C275</f>
        <v>HOBBYLOBBY WEATHERFORD TX            048781  05/30</v>
      </c>
      <c r="C278" s="3" t="str">
        <f>Angela_2026_Chase1117_Activity_!G275</f>
        <v>Personal - Shopping</v>
      </c>
      <c r="D278" s="4">
        <f>Angela_2026_Chase1117_Activity_!D275</f>
        <v>-31.34</v>
      </c>
    </row>
    <row r="279" spans="1:4" x14ac:dyDescent="0.25">
      <c r="A279" s="28">
        <f>Angela_2026_Chase1117_Activity_!B276</f>
        <v>46174</v>
      </c>
      <c r="B279" s="3" t="str">
        <f>Angela_2026_Chase1117_Activity_!C276</f>
        <v>STARBUCKS STORE 5768 MINERAL WELLS TX        05/30</v>
      </c>
      <c r="C279" s="3" t="str">
        <f>Angela_2026_Chase1117_Activity_!G276</f>
        <v>Personal - Food</v>
      </c>
      <c r="D279" s="4">
        <f>Angela_2026_Chase1117_Activity_!D276</f>
        <v>-8.52</v>
      </c>
    </row>
    <row r="280" spans="1:4" x14ac:dyDescent="0.25">
      <c r="A280" s="28">
        <f>Angela_2026_Chase1117_Activity_!B277</f>
        <v>46174</v>
      </c>
      <c r="B280" s="3" t="str">
        <f>Angela_2026_Chase1117_Activity_!C277</f>
        <v>NON-CHASE ATM WITHDRAW               524602  05/302605 S. M</v>
      </c>
      <c r="C280" s="3" t="str">
        <f>Angela_2026_Chase1117_Activity_!G277</f>
        <v>Withdrawal</v>
      </c>
      <c r="D280" s="4">
        <f>Angela_2026_Chase1117_Activity_!D277</f>
        <v>-303</v>
      </c>
    </row>
    <row r="281" spans="1:4" x14ac:dyDescent="0.25">
      <c r="A281" s="28">
        <f>Angela_2026_Chase1117_Activity_!B278</f>
        <v>46174</v>
      </c>
      <c r="B281" s="3" t="str">
        <f>Angela_2026_Chase1117_Activity_!C278</f>
        <v>QT 1948 OUTSIDE WEATHERFORD TX       223897  05/30</v>
      </c>
      <c r="C281" s="3" t="str">
        <f>Angela_2026_Chase1117_Activity_!G278</f>
        <v>Personal - Car</v>
      </c>
      <c r="D281" s="4">
        <f>Angela_2026_Chase1117_Activity_!D278</f>
        <v>-51.51</v>
      </c>
    </row>
    <row r="282" spans="1:4" x14ac:dyDescent="0.25">
      <c r="A282" s="28">
        <f>Angela_2026_Chase1117_Activity_!B279</f>
        <v>46174</v>
      </c>
      <c r="B282" s="3" t="str">
        <f>Angela_2026_Chase1117_Activity_!C279</f>
        <v>Amazon Tips*WP6D65E2 Amzn.com/bill WA        05/30</v>
      </c>
      <c r="C282" s="3" t="str">
        <f>Angela_2026_Chase1117_Activity_!G279</f>
        <v>Amazon</v>
      </c>
      <c r="D282" s="4">
        <f>Angela_2026_Chase1117_Activity_!D279</f>
        <v>-30</v>
      </c>
    </row>
    <row r="283" spans="1:4" x14ac:dyDescent="0.25">
      <c r="A283" s="28">
        <f>Angela_2026_Chase1117_Activity_!B280</f>
        <v>46174</v>
      </c>
      <c r="B283" s="3" t="str">
        <f>Angela_2026_Chase1117_Activity_!C280</f>
        <v>PENTESTER.COM PENTESTER.COM FL               05/30</v>
      </c>
      <c r="C283" s="3" t="str">
        <f>Angela_2026_Chase1117_Activity_!G280</f>
        <v>Personal - Subscription</v>
      </c>
      <c r="D283" s="4">
        <f>Angela_2026_Chase1117_Activity_!D280</f>
        <v>-19</v>
      </c>
    </row>
    <row r="284" spans="1:4" x14ac:dyDescent="0.25">
      <c r="A284" s="28">
        <f>Angela_2026_Chase1117_Activity_!B281</f>
        <v>46174</v>
      </c>
      <c r="B284" s="3" t="str">
        <f>Angela_2026_Chase1117_Activity_!C281</f>
        <v>SP VERSO HEALTH VER.SO CA                    05/30</v>
      </c>
      <c r="C284" s="3" t="str">
        <f>Angela_2026_Chase1117_Activity_!G281</f>
        <v>Personal - Health</v>
      </c>
      <c r="D284" s="4">
        <f>Angela_2026_Chase1117_Activity_!D281</f>
        <v>-255</v>
      </c>
    </row>
    <row r="285" spans="1:4" x14ac:dyDescent="0.25">
      <c r="A285" s="28">
        <f>Angela_2026_Chase1117_Activity_!B282</f>
        <v>46174</v>
      </c>
      <c r="B285" s="3" t="str">
        <f>Angela_2026_Chase1117_Activity_!C282</f>
        <v>IC* INSTACART INSTACART.COM CA               05/30</v>
      </c>
      <c r="C285" s="3" t="str">
        <f>Angela_2026_Chase1117_Activity_!G282</f>
        <v>Personal - Food</v>
      </c>
      <c r="D285" s="4">
        <f>Angela_2026_Chase1117_Activity_!D282</f>
        <v>-5</v>
      </c>
    </row>
    <row r="286" spans="1:4" x14ac:dyDescent="0.25">
      <c r="A286" s="28">
        <f>Angela_2026_Chase1117_Activity_!B283</f>
        <v>46174</v>
      </c>
      <c r="B286" s="3" t="str">
        <f>Angela_2026_Chase1117_Activity_!C283</f>
        <v>CLASSICALWISDOM.COM CLASSICALWISD FL         05/29</v>
      </c>
      <c r="C286" s="3" t="str">
        <f>Angela_2026_Chase1117_Activity_!G283</f>
        <v>Personal - Subscription</v>
      </c>
      <c r="D286" s="4">
        <f>Angela_2026_Chase1117_Activity_!D283</f>
        <v>-70</v>
      </c>
    </row>
    <row r="287" spans="1:4" x14ac:dyDescent="0.25">
      <c r="A287" s="28">
        <f>Angela_2026_Chase1117_Activity_!B284</f>
        <v>46174</v>
      </c>
      <c r="B287" s="3" t="str">
        <f>Angela_2026_Chase1117_Activity_!C284</f>
        <v>SQ *TEXAS GENERAL ST Mineral Wells TX        05/29</v>
      </c>
      <c r="C287" s="3" t="str">
        <f>Angela_2026_Chase1117_Activity_!G284</f>
        <v>Personal - Shopping</v>
      </c>
      <c r="D287" s="4">
        <f>Angela_2026_Chase1117_Activity_!D284</f>
        <v>-40.85</v>
      </c>
    </row>
    <row r="288" spans="1:4" x14ac:dyDescent="0.25">
      <c r="A288" s="28">
        <f>Angela_2026_Chase1117_Activity_!B285</f>
        <v>46174</v>
      </c>
      <c r="B288" s="3" t="str">
        <f>Angela_2026_Chase1117_Activity_!C285</f>
        <v>Merrimac &amp; North Mineral Wells TX            05/29</v>
      </c>
      <c r="C288" s="3" t="str">
        <f>Angela_2026_Chase1117_Activity_!G285</f>
        <v>Personal - Misc</v>
      </c>
      <c r="D288" s="4">
        <f>Angela_2026_Chase1117_Activity_!D285</f>
        <v>-21.74</v>
      </c>
    </row>
    <row r="289" spans="1:4" x14ac:dyDescent="0.25">
      <c r="A289" s="28">
        <f>Angela_2026_Chase1117_Activity_!B286</f>
        <v>46174</v>
      </c>
      <c r="B289" s="3" t="str">
        <f>Angela_2026_Chase1117_Activity_!C286</f>
        <v>AMAZON RETA* U585815 WWW.AMAZON.CO WA        05/30</v>
      </c>
      <c r="C289" s="3" t="str">
        <f>Angela_2026_Chase1117_Activity_!G286</f>
        <v>Amazon</v>
      </c>
      <c r="D289" s="4">
        <f>Angela_2026_Chase1117_Activity_!D286</f>
        <v>-27.96</v>
      </c>
    </row>
    <row r="290" spans="1:4" x14ac:dyDescent="0.25">
      <c r="A290" s="28">
        <f>Angela_2026_Chase1117_Activity_!B287</f>
        <v>46174</v>
      </c>
      <c r="B290" s="3" t="str">
        <f>Angela_2026_Chase1117_Activity_!C287</f>
        <v>IC* INSTACART INSTACART.COM CA               05/30</v>
      </c>
      <c r="C290" s="3" t="str">
        <f>Angela_2026_Chase1117_Activity_!G287</f>
        <v>Personal - Food</v>
      </c>
      <c r="D290" s="4">
        <f>Angela_2026_Chase1117_Activity_!D287</f>
        <v>-197.9</v>
      </c>
    </row>
    <row r="291" spans="1:4" x14ac:dyDescent="0.25">
      <c r="A291" s="28">
        <f>Angela_2026_Chase1117_Activity_!B288</f>
        <v>46174</v>
      </c>
      <c r="B291" s="3" t="str">
        <f>Angela_2026_Chase1117_Activity_!C288</f>
        <v>APPLE.COM/BILL 866-712-7753 CA               05/30</v>
      </c>
      <c r="C291" s="3" t="str">
        <f>Angela_2026_Chase1117_Activity_!G288</f>
        <v>Apple</v>
      </c>
      <c r="D291" s="4">
        <f>Angela_2026_Chase1117_Activity_!D288</f>
        <v>-5.99</v>
      </c>
    </row>
    <row r="292" spans="1:4" x14ac:dyDescent="0.25">
      <c r="A292" s="28">
        <f>Angela_2026_Chase1117_Activity_!B289</f>
        <v>46174</v>
      </c>
      <c r="B292" s="3" t="str">
        <f>Angela_2026_Chase1117_Activity_!C289</f>
        <v>Zelle payment from JOE SAUNDERS 29422111861</v>
      </c>
      <c r="C292" s="3" t="str">
        <f>Angela_2026_Chase1117_Activity_!G289</f>
        <v>Zelle from Joe Saunders</v>
      </c>
      <c r="D292" s="4">
        <f>Angela_2026_Chase1117_Activity_!D289</f>
        <v>500</v>
      </c>
    </row>
    <row r="293" spans="1:4" x14ac:dyDescent="0.25">
      <c r="A293" s="28">
        <f>Angela_2026_Chase1117_Activity_!B290</f>
        <v>46174</v>
      </c>
      <c r="B293" s="3" t="str">
        <f>Angela_2026_Chase1117_Activity_!C290</f>
        <v>Online Transfer from CHK ...1168 transaction#: 29420901287</v>
      </c>
      <c r="C293" s="3" t="str">
        <f>Angela_2026_Chase1117_Activity_!G290</f>
        <v>Transfer from DWG Capital Group</v>
      </c>
      <c r="D293" s="4">
        <f>Angela_2026_Chase1117_Activity_!D290</f>
        <v>3000</v>
      </c>
    </row>
    <row r="294" spans="1:4" x14ac:dyDescent="0.25">
      <c r="A294" s="28">
        <f>Angela_2026_Chase1117_Activity_!B291</f>
        <v>46171</v>
      </c>
      <c r="B294" s="3" t="str">
        <f>Angela_2026_Chase1117_Activity_!C291</f>
        <v>FANDANGO    * FANDANGO.COM CA                05/29</v>
      </c>
      <c r="C294" s="3" t="str">
        <f>Angela_2026_Chase1117_Activity_!G291</f>
        <v>Personal - Entertainment</v>
      </c>
      <c r="D294" s="4">
        <f>Angela_2026_Chase1117_Activity_!D291</f>
        <v>-30.57</v>
      </c>
    </row>
    <row r="295" spans="1:4" x14ac:dyDescent="0.25">
      <c r="A295" s="28">
        <f>Angela_2026_Chase1117_Activity_!B292</f>
        <v>46171</v>
      </c>
      <c r="B295" s="3" t="str">
        <f>Angela_2026_Chase1117_Activity_!C292</f>
        <v>Amazon.com*546GD4QW3 Amzn.com/bill WA        05/29</v>
      </c>
      <c r="C295" s="3" t="str">
        <f>Angela_2026_Chase1117_Activity_!G292</f>
        <v>Amazon</v>
      </c>
      <c r="D295" s="4">
        <f>Angela_2026_Chase1117_Activity_!D292</f>
        <v>-137.37</v>
      </c>
    </row>
    <row r="296" spans="1:4" x14ac:dyDescent="0.25">
      <c r="A296" s="28">
        <f>Angela_2026_Chase1117_Activity_!B293</f>
        <v>46171</v>
      </c>
      <c r="B296" s="3" t="str">
        <f>Angela_2026_Chase1117_Activity_!C293</f>
        <v>AMAZON MARK* W82HF6L AMAZON.COM/MA WA        05/29</v>
      </c>
      <c r="C296" s="3" t="str">
        <f>Angela_2026_Chase1117_Activity_!G293</f>
        <v>Amazon</v>
      </c>
      <c r="D296" s="4">
        <f>Angela_2026_Chase1117_Activity_!D293</f>
        <v>-118.47</v>
      </c>
    </row>
    <row r="297" spans="1:4" x14ac:dyDescent="0.25">
      <c r="A297" s="28">
        <f>Angela_2026_Chase1117_Activity_!B294</f>
        <v>46171</v>
      </c>
      <c r="B297" s="3" t="str">
        <f>Angela_2026_Chase1117_Activity_!C294</f>
        <v>AMAZON MARK* 0V41S3P AMAZON.COM/MA WA        05/29</v>
      </c>
      <c r="C297" s="3" t="str">
        <f>Angela_2026_Chase1117_Activity_!G294</f>
        <v>Amazon</v>
      </c>
      <c r="D297" s="4">
        <f>Angela_2026_Chase1117_Activity_!D294</f>
        <v>-112</v>
      </c>
    </row>
    <row r="298" spans="1:4" x14ac:dyDescent="0.25">
      <c r="A298" s="28">
        <f>Angela_2026_Chase1117_Activity_!B295</f>
        <v>46171</v>
      </c>
      <c r="B298" s="3" t="str">
        <f>Angela_2026_Chase1117_Activity_!C295</f>
        <v>CVSExtraCare 80074672 800-746-7287 RI        05/28</v>
      </c>
      <c r="C298" s="3" t="str">
        <f>Angela_2026_Chase1117_Activity_!G295</f>
        <v>Personal - Health</v>
      </c>
      <c r="D298" s="4">
        <f>Angela_2026_Chase1117_Activity_!D295</f>
        <v>-5.49</v>
      </c>
    </row>
    <row r="299" spans="1:4" x14ac:dyDescent="0.25">
      <c r="A299" s="28">
        <f>Angela_2026_Chase1117_Activity_!B296</f>
        <v>46171</v>
      </c>
      <c r="B299" s="3" t="str">
        <f>Angela_2026_Chase1117_Activity_!C296</f>
        <v>AMAZON MARK* FW2EF43 AMAZON.COM/MA WA        05/29</v>
      </c>
      <c r="C299" s="3" t="str">
        <f>Angela_2026_Chase1117_Activity_!G296</f>
        <v>Amazon</v>
      </c>
      <c r="D299" s="4">
        <f>Angela_2026_Chase1117_Activity_!D296</f>
        <v>-21.34</v>
      </c>
    </row>
    <row r="300" spans="1:4" x14ac:dyDescent="0.25">
      <c r="A300" s="28">
        <f>Angela_2026_Chase1117_Activity_!B297</f>
        <v>46170</v>
      </c>
      <c r="B300" s="3" t="str">
        <f>Angela_2026_Chase1117_Activity_!C297</f>
        <v>MEADOWS MUSEUM SHOP SMU.EDU TX               05/28</v>
      </c>
      <c r="C300" s="3" t="str">
        <f>Angela_2026_Chase1117_Activity_!G297</f>
        <v>Personal - Shopping</v>
      </c>
      <c r="D300" s="4">
        <f>Angela_2026_Chase1117_Activity_!D297</f>
        <v>-36</v>
      </c>
    </row>
    <row r="301" spans="1:4" x14ac:dyDescent="0.25">
      <c r="A301" s="28">
        <f>Angela_2026_Chase1117_Activity_!B298</f>
        <v>46170</v>
      </c>
      <c r="B301" s="3" t="str">
        <f>Angela_2026_Chase1117_Activity_!C298</f>
        <v>MEADOWS MUSEUM SHOP SMU.EDU TX               05/28</v>
      </c>
      <c r="C301" s="3" t="str">
        <f>Angela_2026_Chase1117_Activity_!G298</f>
        <v>Personal - Shopping</v>
      </c>
      <c r="D301" s="4">
        <f>Angela_2026_Chase1117_Activity_!D298</f>
        <v>-36</v>
      </c>
    </row>
    <row r="302" spans="1:4" x14ac:dyDescent="0.25">
      <c r="A302" s="28">
        <f>Angela_2026_Chase1117_Activity_!B299</f>
        <v>46170</v>
      </c>
      <c r="B302" s="3" t="str">
        <f>Angela_2026_Chase1117_Activity_!C299</f>
        <v>Casa Manana Fort Worth TX                    05/28</v>
      </c>
      <c r="C302" s="3" t="str">
        <f>Angela_2026_Chase1117_Activity_!G299</f>
        <v>Personal - Entertainment</v>
      </c>
      <c r="D302" s="4">
        <f>Angela_2026_Chase1117_Activity_!D299</f>
        <v>-188</v>
      </c>
    </row>
    <row r="303" spans="1:4" x14ac:dyDescent="0.25">
      <c r="A303" s="28">
        <f>Angela_2026_Chase1117_Activity_!B300</f>
        <v>46170</v>
      </c>
      <c r="B303" s="3" t="str">
        <f>Angela_2026_Chase1117_Activity_!C300</f>
        <v>GOODWILL INDUSTRIES MINERAL WELLS TX         05/27</v>
      </c>
      <c r="C303" s="3" t="str">
        <f>Angela_2026_Chase1117_Activity_!G300</f>
        <v>Personal - Shopping</v>
      </c>
      <c r="D303" s="4">
        <f>Angela_2026_Chase1117_Activity_!D300</f>
        <v>-30</v>
      </c>
    </row>
    <row r="304" spans="1:4" x14ac:dyDescent="0.25">
      <c r="A304" s="28">
        <f>Angela_2026_Chase1117_Activity_!B301</f>
        <v>46170</v>
      </c>
      <c r="B304" s="3" t="str">
        <f>Angela_2026_Chase1117_Activity_!C301</f>
        <v>MINERAL WELLS CENTER MINERAL WELLS TX        05/27</v>
      </c>
      <c r="C304" s="3" t="str">
        <f>Angela_2026_Chase1117_Activity_!G301</f>
        <v>Personal - Entertainment</v>
      </c>
      <c r="D304" s="4">
        <f>Angela_2026_Chase1117_Activity_!D301</f>
        <v>-20.63</v>
      </c>
    </row>
    <row r="305" spans="1:4" x14ac:dyDescent="0.25">
      <c r="A305" s="28">
        <f>Angela_2026_Chase1117_Activity_!B302</f>
        <v>46170</v>
      </c>
      <c r="B305" s="3" t="str">
        <f>Angela_2026_Chase1117_Activity_!C302</f>
        <v>AMERICAN AIR00183253507 FORT WORTH TX        05/26</v>
      </c>
      <c r="C305" s="3" t="str">
        <f>Angela_2026_Chase1117_Activity_!G302</f>
        <v>Personal Travel</v>
      </c>
      <c r="D305" s="4">
        <f>Angela_2026_Chase1117_Activity_!D302</f>
        <v>-60.22</v>
      </c>
    </row>
    <row r="306" spans="1:4" x14ac:dyDescent="0.25">
      <c r="A306" s="28">
        <f>Angela_2026_Chase1117_Activity_!B303</f>
        <v>46170</v>
      </c>
      <c r="B306" s="3" t="str">
        <f>Angela_2026_Chase1117_Activity_!C303</f>
        <v>AMERICAN AIR00174148959 FORT WORTH TX        05/26</v>
      </c>
      <c r="C306" s="3" t="str">
        <f>Angela_2026_Chase1117_Activity_!G303</f>
        <v>Personal Travel</v>
      </c>
      <c r="D306" s="4">
        <f>Angela_2026_Chase1117_Activity_!D303</f>
        <v>-507.4</v>
      </c>
    </row>
    <row r="307" spans="1:4" x14ac:dyDescent="0.25">
      <c r="A307" s="28">
        <f>Angela_2026_Chase1117_Activity_!B304</f>
        <v>46170</v>
      </c>
      <c r="B307" s="3" t="str">
        <f>Angela_2026_Chase1117_Activity_!C304</f>
        <v>AMAZON MARK* Y23G67U AMAZON.COM/MA WA        05/27</v>
      </c>
      <c r="C307" s="3" t="str">
        <f>Angela_2026_Chase1117_Activity_!G304</f>
        <v>Amazon</v>
      </c>
      <c r="D307" s="4">
        <f>Angela_2026_Chase1117_Activity_!D304</f>
        <v>-198.36</v>
      </c>
    </row>
    <row r="308" spans="1:4" x14ac:dyDescent="0.25">
      <c r="A308" s="28">
        <f>Angela_2026_Chase1117_Activity_!B305</f>
        <v>46169</v>
      </c>
      <c r="B308" s="3" t="str">
        <f>Angela_2026_Chase1117_Activity_!C305</f>
        <v>SPACEWEATHERNEWS.COM SPACEWEATHERN CO        05/26</v>
      </c>
      <c r="C308" s="3" t="str">
        <f>Angela_2026_Chase1117_Activity_!G305</f>
        <v>Personal - Subscription</v>
      </c>
      <c r="D308" s="4">
        <f>Angela_2026_Chase1117_Activity_!D305</f>
        <v>-5.99</v>
      </c>
    </row>
    <row r="309" spans="1:4" x14ac:dyDescent="0.25">
      <c r="A309" s="28">
        <f>Angela_2026_Chase1117_Activity_!B306</f>
        <v>46169</v>
      </c>
      <c r="B309" s="3" t="str">
        <f>Angela_2026_Chase1117_Activity_!C306</f>
        <v>UNITED      01643996861 UNITED.COM TX        05/26</v>
      </c>
      <c r="C309" s="3" t="str">
        <f>Angela_2026_Chase1117_Activity_!G306</f>
        <v>Personal Travel</v>
      </c>
      <c r="D309" s="4">
        <f>Angela_2026_Chase1117_Activity_!D306</f>
        <v>-64.489999999999995</v>
      </c>
    </row>
    <row r="310" spans="1:4" x14ac:dyDescent="0.25">
      <c r="A310" s="28">
        <f>Angela_2026_Chase1117_Activity_!B307</f>
        <v>46169</v>
      </c>
      <c r="B310" s="3" t="str">
        <f>Angela_2026_Chase1117_Activity_!C307</f>
        <v>UNITED      01643996861 UNITED.COM TX        05/26</v>
      </c>
      <c r="C310" s="3" t="str">
        <f>Angela_2026_Chase1117_Activity_!G307</f>
        <v>Personal Travel</v>
      </c>
      <c r="D310" s="4">
        <f>Angela_2026_Chase1117_Activity_!D307</f>
        <v>-64.489999999999995</v>
      </c>
    </row>
    <row r="311" spans="1:4" x14ac:dyDescent="0.25">
      <c r="A311" s="28">
        <f>Angela_2026_Chase1117_Activity_!B308</f>
        <v>46169</v>
      </c>
      <c r="B311" s="3" t="str">
        <f>Angela_2026_Chase1117_Activity_!C308</f>
        <v>UNITED      01643996860 UNITED.COM TX        05/26</v>
      </c>
      <c r="C311" s="3" t="str">
        <f>Angela_2026_Chase1117_Activity_!G308</f>
        <v>Personal Travel</v>
      </c>
      <c r="D311" s="4">
        <f>Angela_2026_Chase1117_Activity_!D308</f>
        <v>-64.489999999999995</v>
      </c>
    </row>
    <row r="312" spans="1:4" x14ac:dyDescent="0.25">
      <c r="A312" s="28">
        <f>Angela_2026_Chase1117_Activity_!B309</f>
        <v>46169</v>
      </c>
      <c r="B312" s="3" t="str">
        <f>Angela_2026_Chase1117_Activity_!C309</f>
        <v>UNITED      01643996860 UNITED.COM TX        05/26</v>
      </c>
      <c r="C312" s="3" t="str">
        <f>Angela_2026_Chase1117_Activity_!G309</f>
        <v>Personal Travel</v>
      </c>
      <c r="D312" s="4">
        <f>Angela_2026_Chase1117_Activity_!D309</f>
        <v>-64.489999999999995</v>
      </c>
    </row>
    <row r="313" spans="1:4" x14ac:dyDescent="0.25">
      <c r="A313" s="28">
        <f>Angela_2026_Chase1117_Activity_!B310</f>
        <v>46169</v>
      </c>
      <c r="B313" s="3" t="str">
        <f>Angela_2026_Chase1117_Activity_!C310</f>
        <v>UNITED      016210626 800-864-8331 TX        05/26</v>
      </c>
      <c r="C313" s="3" t="str">
        <f>Angela_2026_Chase1117_Activity_!G310</f>
        <v>Personal Travel</v>
      </c>
      <c r="D313" s="4">
        <f>Angela_2026_Chase1117_Activity_!D310</f>
        <v>-169.4</v>
      </c>
    </row>
    <row r="314" spans="1:4" x14ac:dyDescent="0.25">
      <c r="A314" s="28">
        <f>Angela_2026_Chase1117_Activity_!B311</f>
        <v>46169</v>
      </c>
      <c r="B314" s="3" t="str">
        <f>Angela_2026_Chase1117_Activity_!C311</f>
        <v>UNITED      016210626 800-864-8331 TX        05/26</v>
      </c>
      <c r="C314" s="3" t="str">
        <f>Angela_2026_Chase1117_Activity_!G311</f>
        <v>Personal Travel</v>
      </c>
      <c r="D314" s="4">
        <f>Angela_2026_Chase1117_Activity_!D311</f>
        <v>-169.4</v>
      </c>
    </row>
    <row r="315" spans="1:4" x14ac:dyDescent="0.25">
      <c r="A315" s="28">
        <f>Angela_2026_Chase1117_Activity_!B312</f>
        <v>46169</v>
      </c>
      <c r="B315" s="3" t="str">
        <f>Angela_2026_Chase1117_Activity_!C312</f>
        <v>UNITED      016210626 800-864-8331 TX        05/26</v>
      </c>
      <c r="C315" s="3" t="str">
        <f>Angela_2026_Chase1117_Activity_!G312</f>
        <v>Personal Travel</v>
      </c>
      <c r="D315" s="4">
        <f>Angela_2026_Chase1117_Activity_!D312</f>
        <v>-204.4</v>
      </c>
    </row>
    <row r="316" spans="1:4" x14ac:dyDescent="0.25">
      <c r="A316" s="28">
        <f>Angela_2026_Chase1117_Activity_!B313</f>
        <v>46169</v>
      </c>
      <c r="B316" s="3" t="str">
        <f>Angela_2026_Chase1117_Activity_!C313</f>
        <v>UNITED      016210626 800-864-8331 TX        05/26</v>
      </c>
      <c r="C316" s="3" t="str">
        <f>Angela_2026_Chase1117_Activity_!G313</f>
        <v>Personal Travel</v>
      </c>
      <c r="D316" s="4">
        <f>Angela_2026_Chase1117_Activity_!D313</f>
        <v>-204.4</v>
      </c>
    </row>
    <row r="317" spans="1:4" x14ac:dyDescent="0.25">
      <c r="A317" s="28">
        <f>Angela_2026_Chase1117_Activity_!B314</f>
        <v>46169</v>
      </c>
      <c r="B317" s="3" t="str">
        <f>Angela_2026_Chase1117_Activity_!C314</f>
        <v>EXPEDIA 73458511589278 EXPEDIA.COM WA        05/27</v>
      </c>
      <c r="C317" s="3" t="str">
        <f>Angela_2026_Chase1117_Activity_!G314</f>
        <v>Personal Travel</v>
      </c>
      <c r="D317" s="4">
        <f>Angela_2026_Chase1117_Activity_!D314</f>
        <v>-12.88</v>
      </c>
    </row>
    <row r="318" spans="1:4" x14ac:dyDescent="0.25">
      <c r="A318" s="28">
        <f>Angela_2026_Chase1117_Activity_!B315</f>
        <v>46169</v>
      </c>
      <c r="B318" s="3" t="str">
        <f>Angela_2026_Chase1117_Activity_!C315</f>
        <v>Prime Video Channels amzn.com/bill WA        05/26</v>
      </c>
      <c r="C318" s="3" t="str">
        <f>Angela_2026_Chase1117_Activity_!G315</f>
        <v>Amazon</v>
      </c>
      <c r="D318" s="4">
        <f>Angela_2026_Chase1117_Activity_!D315</f>
        <v>-6.99</v>
      </c>
    </row>
    <row r="319" spans="1:4" x14ac:dyDescent="0.25">
      <c r="A319" s="28">
        <f>Angela_2026_Chase1117_Activity_!B316</f>
        <v>46169</v>
      </c>
      <c r="B319" s="3" t="str">
        <f>Angela_2026_Chase1117_Activity_!C316</f>
        <v>SP FAIRCHILDS VINEGA FAIRCHILDSVIN ID        05/26</v>
      </c>
      <c r="C319" s="3" t="str">
        <f>Angela_2026_Chase1117_Activity_!G316</f>
        <v>Personal - Food</v>
      </c>
      <c r="D319" s="4">
        <f>Angela_2026_Chase1117_Activity_!D316</f>
        <v>-44</v>
      </c>
    </row>
    <row r="320" spans="1:4" x14ac:dyDescent="0.25">
      <c r="A320" s="28">
        <f>Angela_2026_Chase1117_Activity_!B317</f>
        <v>46169</v>
      </c>
      <c r="B320" s="3" t="str">
        <f>Angela_2026_Chase1117_Activity_!C317</f>
        <v>AMAZON MARK* C07P47W AMAZON.COM/MA WA        05/27</v>
      </c>
      <c r="C320" s="3" t="str">
        <f>Angela_2026_Chase1117_Activity_!G317</f>
        <v>Amazon</v>
      </c>
      <c r="D320" s="4">
        <f>Angela_2026_Chase1117_Activity_!D317</f>
        <v>-15.37</v>
      </c>
    </row>
    <row r="321" spans="1:4" x14ac:dyDescent="0.25">
      <c r="A321" s="28">
        <f>Angela_2026_Chase1117_Activity_!B318</f>
        <v>46169</v>
      </c>
      <c r="B321" s="3" t="str">
        <f>Angela_2026_Chase1117_Activity_!C318</f>
        <v>Zelle payment from MARY MARGARET TRAHAN 29374427286</v>
      </c>
      <c r="C321" s="3" t="str">
        <f>Angela_2026_Chase1117_Activity_!G318</f>
        <v>Zelle from Mary Margaret Trahan</v>
      </c>
      <c r="D321" s="4">
        <f>Angela_2026_Chase1117_Activity_!D318</f>
        <v>25</v>
      </c>
    </row>
    <row r="322" spans="1:4" x14ac:dyDescent="0.25">
      <c r="A322" s="28">
        <f>Angela_2026_Chase1117_Activity_!B319</f>
        <v>46168</v>
      </c>
      <c r="B322" s="3" t="str">
        <f>Angela_2026_Chase1117_Activity_!C319</f>
        <v>Online Payment 29365428452 To SOUTHERN CALIFORNIA GAS CO 05/26</v>
      </c>
      <c r="C322" s="3" t="str">
        <f>Angela_2026_Chase1117_Activity_!G319</f>
        <v>Personal - House Bills</v>
      </c>
      <c r="D322" s="4">
        <f>Angela_2026_Chase1117_Activity_!D319</f>
        <v>-300</v>
      </c>
    </row>
    <row r="323" spans="1:4" x14ac:dyDescent="0.25">
      <c r="A323" s="28">
        <f>Angela_2026_Chase1117_Activity_!B320</f>
        <v>46168</v>
      </c>
      <c r="B323" s="3" t="str">
        <f>Angela_2026_Chase1117_Activity_!C320</f>
        <v>Online Payment 29365432095 To SAFECO INSURANCE COMPANY 05/26</v>
      </c>
      <c r="C323" s="3" t="str">
        <f>Angela_2026_Chase1117_Activity_!G320</f>
        <v>Personal - House Bills</v>
      </c>
      <c r="D323" s="4">
        <f>Angela_2026_Chase1117_Activity_!D320</f>
        <v>-120</v>
      </c>
    </row>
    <row r="324" spans="1:4" x14ac:dyDescent="0.25">
      <c r="A324" s="28">
        <f>Angela_2026_Chase1117_Activity_!B321</f>
        <v>46168</v>
      </c>
      <c r="B324" s="3" t="str">
        <f>Angela_2026_Chase1117_Activity_!C321</f>
        <v>Online Payment 29365418722 To FRONTIER TELEPHONE 05/26</v>
      </c>
      <c r="C324" s="3" t="str">
        <f>Angela_2026_Chase1117_Activity_!G321</f>
        <v>Personal - House Bills</v>
      </c>
      <c r="D324" s="4">
        <f>Angela_2026_Chase1117_Activity_!D321</f>
        <v>-400</v>
      </c>
    </row>
    <row r="325" spans="1:4" x14ac:dyDescent="0.25">
      <c r="A325" s="28">
        <f>Angela_2026_Chase1117_Activity_!B322</f>
        <v>46168</v>
      </c>
      <c r="B325" s="3" t="str">
        <f>Angela_2026_Chase1117_Activity_!C322</f>
        <v>Online Payment 29365415757 To AMERICAN EDUCATION SERVICES 05/26</v>
      </c>
      <c r="C325" s="3" t="str">
        <f>Angela_2026_Chase1117_Activity_!G322</f>
        <v>Personal - House Bills</v>
      </c>
      <c r="D325" s="4">
        <f>Angela_2026_Chase1117_Activity_!D322</f>
        <v>-600</v>
      </c>
    </row>
    <row r="326" spans="1:4" x14ac:dyDescent="0.25">
      <c r="A326" s="28">
        <f>Angela_2026_Chase1117_Activity_!B323</f>
        <v>46168</v>
      </c>
      <c r="B326" s="3" t="str">
        <f>Angela_2026_Chase1117_Activity_!C323</f>
        <v>LUKE UNFILTERED WEARECHANGE.O FL             05/25</v>
      </c>
      <c r="C326" s="3" t="str">
        <f>Angela_2026_Chase1117_Activity_!G323</f>
        <v>Personal - Subscription</v>
      </c>
      <c r="D326" s="4">
        <f>Angela_2026_Chase1117_Activity_!D323</f>
        <v>-15</v>
      </c>
    </row>
    <row r="327" spans="1:4" x14ac:dyDescent="0.25">
      <c r="A327" s="28">
        <f>Angela_2026_Chase1117_Activity_!B324</f>
        <v>46168</v>
      </c>
      <c r="B327" s="3" t="str">
        <f>Angela_2026_Chase1117_Activity_!C324</f>
        <v>AMAZON PRIME*X80RY0I Amzn.com/bill WA        05/24</v>
      </c>
      <c r="C327" s="3" t="str">
        <f>Angela_2026_Chase1117_Activity_!G324</f>
        <v>Amazon</v>
      </c>
      <c r="D327" s="4">
        <f>Angela_2026_Chase1117_Activity_!D324</f>
        <v>-16.45</v>
      </c>
    </row>
    <row r="328" spans="1:4" x14ac:dyDescent="0.25">
      <c r="A328" s="28">
        <f>Angela_2026_Chase1117_Activity_!B325</f>
        <v>46168</v>
      </c>
      <c r="B328" s="3" t="str">
        <f>Angela_2026_Chase1117_Activity_!C325</f>
        <v>AMAZON MKTPL*B30YG12 Amzn.com/bill WA        05/25</v>
      </c>
      <c r="C328" s="3" t="str">
        <f>Angela_2026_Chase1117_Activity_!G325</f>
        <v>Amazon</v>
      </c>
      <c r="D328" s="4">
        <f>Angela_2026_Chase1117_Activity_!D325</f>
        <v>-35.200000000000003</v>
      </c>
    </row>
    <row r="329" spans="1:4" x14ac:dyDescent="0.25">
      <c r="A329" s="28">
        <f>Angela_2026_Chase1117_Activity_!B326</f>
        <v>46168</v>
      </c>
      <c r="B329" s="3" t="str">
        <f>Angela_2026_Chase1117_Activity_!C326</f>
        <v>ATT*BILL PAYMENT 800-288-2020 TX             05/24</v>
      </c>
      <c r="C329" s="3" t="str">
        <f>Angela_2026_Chase1117_Activity_!G326</f>
        <v>AT&amp;T</v>
      </c>
      <c r="D329" s="4">
        <f>Angela_2026_Chase1117_Activity_!D326</f>
        <v>-895.13</v>
      </c>
    </row>
    <row r="330" spans="1:4" x14ac:dyDescent="0.25">
      <c r="A330" s="28">
        <f>Angela_2026_Chase1117_Activity_!B327</f>
        <v>46168</v>
      </c>
      <c r="B330" s="3" t="str">
        <f>Angela_2026_Chase1117_Activity_!C327</f>
        <v>UBER   * EATS PENDIN SAN FRANCISCO CA136321  05/23</v>
      </c>
      <c r="C330" s="3" t="str">
        <f>Angela_2026_Chase1117_Activity_!G327</f>
        <v>Uber Eats</v>
      </c>
      <c r="D330" s="4">
        <f>Angela_2026_Chase1117_Activity_!D327</f>
        <v>-58.55</v>
      </c>
    </row>
    <row r="331" spans="1:4" x14ac:dyDescent="0.25">
      <c r="A331" s="28">
        <f>Angela_2026_Chase1117_Activity_!B328</f>
        <v>46168</v>
      </c>
      <c r="B331" s="3" t="str">
        <f>Angela_2026_Chase1117_Activity_!C328</f>
        <v>FANDANGO    * FANDANGO.COM CA                05/24</v>
      </c>
      <c r="C331" s="3" t="str">
        <f>Angela_2026_Chase1117_Activity_!G328</f>
        <v>Personal - Entertainment</v>
      </c>
      <c r="D331" s="4">
        <f>Angela_2026_Chase1117_Activity_!D328</f>
        <v>-55.48</v>
      </c>
    </row>
    <row r="332" spans="1:4" x14ac:dyDescent="0.25">
      <c r="A332" s="28">
        <f>Angela_2026_Chase1117_Activity_!B329</f>
        <v>46168</v>
      </c>
      <c r="B332" s="3" t="str">
        <f>Angela_2026_Chase1117_Activity_!C329</f>
        <v>APPLE.COM/BILL 866-712-7753 CA               05/23</v>
      </c>
      <c r="C332" s="3" t="str">
        <f>Angela_2026_Chase1117_Activity_!G329</f>
        <v>Apple</v>
      </c>
      <c r="D332" s="4">
        <f>Angela_2026_Chase1117_Activity_!D329</f>
        <v>-10.99</v>
      </c>
    </row>
    <row r="333" spans="1:4" x14ac:dyDescent="0.25">
      <c r="A333" s="28">
        <f>Angela_2026_Chase1117_Activity_!B330</f>
        <v>46168</v>
      </c>
      <c r="B333" s="3" t="str">
        <f>Angela_2026_Chase1117_Activity_!C330</f>
        <v>AIT* DONATION BRIDGE ACTION-INITIA AZ        05/23</v>
      </c>
      <c r="C333" s="3" t="str">
        <f>Angela_2026_Chase1117_Activity_!G330</f>
        <v>Donation</v>
      </c>
      <c r="D333" s="4">
        <f>Angela_2026_Chase1117_Activity_!D330</f>
        <v>-25</v>
      </c>
    </row>
    <row r="334" spans="1:4" x14ac:dyDescent="0.25">
      <c r="A334" s="28">
        <f>Angela_2026_Chase1117_Activity_!B331</f>
        <v>46168</v>
      </c>
      <c r="B334" s="3" t="str">
        <f>Angela_2026_Chase1117_Activity_!C331</f>
        <v>SP TIMELINE SHOP.TIMELINE CA                 05/22</v>
      </c>
      <c r="C334" s="3" t="str">
        <f>Angela_2026_Chase1117_Activity_!G331</f>
        <v>Personal - Shopping</v>
      </c>
      <c r="D334" s="4">
        <f>Angela_2026_Chase1117_Activity_!D331</f>
        <v>-334.22</v>
      </c>
    </row>
    <row r="335" spans="1:4" x14ac:dyDescent="0.25">
      <c r="A335" s="28">
        <f>Angela_2026_Chase1117_Activity_!B332</f>
        <v>46168</v>
      </c>
      <c r="B335" s="3" t="str">
        <f>Angela_2026_Chase1117_Activity_!C332</f>
        <v>BASHAR COMM/BASHARTV BASHAR.ORG CA           05/22</v>
      </c>
      <c r="C335" s="3" t="str">
        <f>Angela_2026_Chase1117_Activity_!G332</f>
        <v>Personal - Subscription</v>
      </c>
      <c r="D335" s="4">
        <f>Angela_2026_Chase1117_Activity_!D332</f>
        <v>-73.95</v>
      </c>
    </row>
    <row r="336" spans="1:4" x14ac:dyDescent="0.25">
      <c r="A336" s="28">
        <f>Angela_2026_Chase1117_Activity_!B333</f>
        <v>46168</v>
      </c>
      <c r="B336" s="3" t="str">
        <f>Angela_2026_Chase1117_Activity_!C333</f>
        <v>FREEPEOPLE.COM FREEPEOPLE.CO PA              05/22</v>
      </c>
      <c r="C336" s="3" t="str">
        <f>Angela_2026_Chase1117_Activity_!G333</f>
        <v>Personal - Clothing</v>
      </c>
      <c r="D336" s="4">
        <f>Angela_2026_Chase1117_Activity_!D333</f>
        <v>-268.45999999999998</v>
      </c>
    </row>
    <row r="337" spans="1:4" x14ac:dyDescent="0.25">
      <c r="A337" s="28">
        <f>Angela_2026_Chase1117_Activity_!B334</f>
        <v>46168</v>
      </c>
      <c r="B337" s="3" t="str">
        <f>Angela_2026_Chase1117_Activity_!C334</f>
        <v>Zelle payment from MARY MARGARET TRAHAN 29363480134</v>
      </c>
      <c r="C337" s="3" t="str">
        <f>Angela_2026_Chase1117_Activity_!G334</f>
        <v>Zelle from Mary Margaret Trahan</v>
      </c>
      <c r="D337" s="4">
        <f>Angela_2026_Chase1117_Activity_!D334</f>
        <v>50</v>
      </c>
    </row>
    <row r="338" spans="1:4" x14ac:dyDescent="0.25">
      <c r="A338" s="28">
        <f>Angela_2026_Chase1117_Activity_!B335</f>
        <v>46168</v>
      </c>
      <c r="B338" s="3" t="str">
        <f>Angela_2026_Chase1117_Activity_!C335</f>
        <v>Online Transfer from CHK ...1168 transaction#: 29365516826</v>
      </c>
      <c r="C338" s="3" t="str">
        <f>Angela_2026_Chase1117_Activity_!G335</f>
        <v>Transfer from DWG Capital Group</v>
      </c>
      <c r="D338" s="4">
        <f>Angela_2026_Chase1117_Activity_!D335</f>
        <v>1000</v>
      </c>
    </row>
    <row r="339" spans="1:4" x14ac:dyDescent="0.25">
      <c r="A339" s="28">
        <f>Angela_2026_Chase1117_Activity_!B336</f>
        <v>46168</v>
      </c>
      <c r="B339" s="3" t="str">
        <f>Angela_2026_Chase1117_Activity_!C336</f>
        <v>Online Transfer from CHK ...1168 transaction#: 29347809073</v>
      </c>
      <c r="C339" s="3" t="str">
        <f>Angela_2026_Chase1117_Activity_!G336</f>
        <v>Transfer from DWG Capital Group</v>
      </c>
      <c r="D339" s="4">
        <f>Angela_2026_Chase1117_Activity_!D336</f>
        <v>3000</v>
      </c>
    </row>
    <row r="340" spans="1:4" x14ac:dyDescent="0.25">
      <c r="A340" s="28">
        <f>Angela_2026_Chase1117_Activity_!B337</f>
        <v>46164</v>
      </c>
      <c r="B340" s="3" t="str">
        <f>Angela_2026_Chase1117_Activity_!C337</f>
        <v>PNM*THE TOLLROAD SANTA CLARA CA      717990  05/22</v>
      </c>
      <c r="C340" s="3" t="str">
        <f>Angela_2026_Chase1117_Activity_!G337</f>
        <v>Personal - Car</v>
      </c>
      <c r="D340" s="4">
        <f>Angela_2026_Chase1117_Activity_!D337</f>
        <v>-193.24</v>
      </c>
    </row>
    <row r="341" spans="1:4" x14ac:dyDescent="0.25">
      <c r="A341" s="28">
        <f>Angela_2026_Chase1117_Activity_!B338</f>
        <v>46164</v>
      </c>
      <c r="B341" s="3" t="str">
        <f>Angela_2026_Chase1117_Activity_!C338</f>
        <v>Amazon Tips*8D5D69PH Amzn.com/bill WA        05/22</v>
      </c>
      <c r="C341" s="3" t="str">
        <f>Angela_2026_Chase1117_Activity_!G338</f>
        <v>Amazon</v>
      </c>
      <c r="D341" s="4">
        <f>Angela_2026_Chase1117_Activity_!D338</f>
        <v>-30</v>
      </c>
    </row>
    <row r="342" spans="1:4" x14ac:dyDescent="0.25">
      <c r="A342" s="28">
        <f>Angela_2026_Chase1117_Activity_!B339</f>
        <v>46164</v>
      </c>
      <c r="B342" s="3" t="str">
        <f>Angela_2026_Chase1117_Activity_!C339</f>
        <v>SP FARM RIO FARMRIO.COM NY                   05/22</v>
      </c>
      <c r="C342" s="3" t="str">
        <f>Angela_2026_Chase1117_Activity_!G339</f>
        <v>Personal - Clothing</v>
      </c>
      <c r="D342" s="4">
        <f>Angela_2026_Chase1117_Activity_!D339</f>
        <v>-740.03</v>
      </c>
    </row>
    <row r="343" spans="1:4" x14ac:dyDescent="0.25">
      <c r="A343" s="28">
        <f>Angela_2026_Chase1117_Activity_!B340</f>
        <v>46164</v>
      </c>
      <c r="B343" s="3" t="str">
        <f>Angela_2026_Chase1117_Activity_!C340</f>
        <v>GLOBAL-E* UNREAL FUR GLOBAL-E.COM NY         05/22</v>
      </c>
      <c r="C343" s="3" t="str">
        <f>Angela_2026_Chase1117_Activity_!G340</f>
        <v>Personal - Clothing</v>
      </c>
      <c r="D343" s="4">
        <f>Angela_2026_Chase1117_Activity_!D340</f>
        <v>-636.44000000000005</v>
      </c>
    </row>
    <row r="344" spans="1:4" x14ac:dyDescent="0.25">
      <c r="A344" s="28">
        <f>Angela_2026_Chase1117_Activity_!B341</f>
        <v>46164</v>
      </c>
      <c r="B344" s="3" t="str">
        <f>Angela_2026_Chase1117_Activity_!C341</f>
        <v>REPUBLIC SERVICES TRA 866-576-5548 AZ        05/21</v>
      </c>
      <c r="C344" s="3" t="str">
        <f>Angela_2026_Chase1117_Activity_!G341</f>
        <v>Personal - House Bills</v>
      </c>
      <c r="D344" s="4">
        <f>Angela_2026_Chase1117_Activity_!D341</f>
        <v>-238.06</v>
      </c>
    </row>
    <row r="345" spans="1:4" x14ac:dyDescent="0.25">
      <c r="A345" s="28">
        <f>Angela_2026_Chase1117_Activity_!B342</f>
        <v>46163</v>
      </c>
      <c r="B345" s="3" t="str">
        <f>Angela_2026_Chase1117_Activity_!C342</f>
        <v>IC* INSTACART INSTACART.COM CA               05/21</v>
      </c>
      <c r="C345" s="3" t="str">
        <f>Angela_2026_Chase1117_Activity_!G342</f>
        <v>Personal - Food</v>
      </c>
      <c r="D345" s="4">
        <f>Angela_2026_Chase1117_Activity_!D342</f>
        <v>-212.79</v>
      </c>
    </row>
    <row r="346" spans="1:4" x14ac:dyDescent="0.25">
      <c r="A346" s="28">
        <f>Angela_2026_Chase1117_Activity_!B343</f>
        <v>46163</v>
      </c>
      <c r="B346" s="3" t="str">
        <f>Angela_2026_Chase1117_Activity_!C343</f>
        <v>Amazon.com*BM8KI1NE0 Amzn.com/bill WA        05/21</v>
      </c>
      <c r="C346" s="3" t="str">
        <f>Angela_2026_Chase1117_Activity_!G343</f>
        <v>Amazon</v>
      </c>
      <c r="D346" s="4">
        <f>Angela_2026_Chase1117_Activity_!D343</f>
        <v>-210.3</v>
      </c>
    </row>
    <row r="347" spans="1:4" x14ac:dyDescent="0.25">
      <c r="A347" s="28">
        <f>Angela_2026_Chase1117_Activity_!B344</f>
        <v>46163</v>
      </c>
      <c r="B347" s="3" t="str">
        <f>Angela_2026_Chase1117_Activity_!C344</f>
        <v>ZARA USA INC. ESTADOS UNIDO NY       136988  05/16</v>
      </c>
      <c r="C347" s="3" t="str">
        <f>Angela_2026_Chase1117_Activity_!G344</f>
        <v>Personal - Shopping</v>
      </c>
      <c r="D347" s="4">
        <f>Angela_2026_Chase1117_Activity_!D344</f>
        <v>-468.96</v>
      </c>
    </row>
    <row r="348" spans="1:4" x14ac:dyDescent="0.25">
      <c r="A348" s="28">
        <f>Angela_2026_Chase1117_Activity_!B345</f>
        <v>46163</v>
      </c>
      <c r="B348" s="3" t="str">
        <f>Angela_2026_Chase1117_Activity_!C345</f>
        <v>DFW AIRPORT PARKING DFW AIRPORT TX           05/20</v>
      </c>
      <c r="C348" s="3" t="str">
        <f>Angela_2026_Chase1117_Activity_!G345</f>
        <v>Personal Travel</v>
      </c>
      <c r="D348" s="4">
        <f>Angela_2026_Chase1117_Activity_!D345</f>
        <v>-2</v>
      </c>
    </row>
    <row r="349" spans="1:4" x14ac:dyDescent="0.25">
      <c r="A349" s="28">
        <f>Angela_2026_Chase1117_Activity_!B346</f>
        <v>46163</v>
      </c>
      <c r="B349" s="3" t="str">
        <f>Angela_2026_Chase1117_Activity_!C346</f>
        <v>EMERIL'S   CONC 1 MSY KENNER LA              05/20</v>
      </c>
      <c r="C349" s="3" t="str">
        <f>Angela_2026_Chase1117_Activity_!G346</f>
        <v>Personal Travel - New Orleans</v>
      </c>
      <c r="D349" s="4">
        <f>Angela_2026_Chase1117_Activity_!D346</f>
        <v>-5.28</v>
      </c>
    </row>
    <row r="350" spans="1:4" x14ac:dyDescent="0.25">
      <c r="A350" s="28">
        <f>Angela_2026_Chase1117_Activity_!B347</f>
        <v>46163</v>
      </c>
      <c r="B350" s="3" t="str">
        <f>Angela_2026_Chase1117_Activity_!C347</f>
        <v>STARBUCKS MAIN WEST MS KENNER LA             05/20</v>
      </c>
      <c r="C350" s="3" t="str">
        <f>Angela_2026_Chase1117_Activity_!G347</f>
        <v>Personal Travel - New Orleans</v>
      </c>
      <c r="D350" s="4">
        <f>Angela_2026_Chase1117_Activity_!D347</f>
        <v>-17.21</v>
      </c>
    </row>
    <row r="351" spans="1:4" x14ac:dyDescent="0.25">
      <c r="A351" s="28">
        <f>Angela_2026_Chase1117_Activity_!B348</f>
        <v>46163</v>
      </c>
      <c r="B351" s="3" t="str">
        <f>Angela_2026_Chase1117_Activity_!C348</f>
        <v>MISS CLAUDIA'S VINTA 504-8976310 LA          05/20</v>
      </c>
      <c r="C351" s="3" t="str">
        <f>Angela_2026_Chase1117_Activity_!G348</f>
        <v>Personal Travel - New Orleans</v>
      </c>
      <c r="D351" s="4">
        <f>Angela_2026_Chase1117_Activity_!D348</f>
        <v>-173.8</v>
      </c>
    </row>
    <row r="352" spans="1:4" x14ac:dyDescent="0.25">
      <c r="A352" s="28">
        <f>Angela_2026_Chase1117_Activity_!B349</f>
        <v>46163</v>
      </c>
      <c r="B352" s="3" t="str">
        <f>Angela_2026_Chase1117_Activity_!C349</f>
        <v>NEXTLINK BROADBAND 855-6985465 TX            05/20</v>
      </c>
      <c r="C352" s="3" t="str">
        <f>Angela_2026_Chase1117_Activity_!G349</f>
        <v>Personal - House Bills</v>
      </c>
      <c r="D352" s="4">
        <f>Angela_2026_Chase1117_Activity_!D349</f>
        <v>-149.96</v>
      </c>
    </row>
    <row r="353" spans="1:4" x14ac:dyDescent="0.25">
      <c r="A353" s="28">
        <f>Angela_2026_Chase1117_Activity_!B350</f>
        <v>46163</v>
      </c>
      <c r="B353" s="3" t="str">
        <f>Angela_2026_Chase1117_Activity_!C350</f>
        <v>Zara.com 212-3551415 NY                      05/20</v>
      </c>
      <c r="C353" s="3" t="str">
        <f>Angela_2026_Chase1117_Activity_!G350</f>
        <v>Personal - Shopping</v>
      </c>
      <c r="D353" s="4">
        <f>Angela_2026_Chase1117_Activity_!D350</f>
        <v>-95.92</v>
      </c>
    </row>
    <row r="354" spans="1:4" x14ac:dyDescent="0.25">
      <c r="A354" s="28">
        <f>Angela_2026_Chase1117_Activity_!B351</f>
        <v>46163</v>
      </c>
      <c r="B354" s="3" t="str">
        <f>Angela_2026_Chase1117_Activity_!C351</f>
        <v>THE C. G. JUNG INSTIT 310-556-1193 CA        05/21</v>
      </c>
      <c r="C354" s="3" t="str">
        <f>Angela_2026_Chase1117_Activity_!G351</f>
        <v>Donation</v>
      </c>
      <c r="D354" s="4">
        <f>Angela_2026_Chase1117_Activity_!D351</f>
        <v>-270</v>
      </c>
    </row>
    <row r="355" spans="1:4" x14ac:dyDescent="0.25">
      <c r="A355" s="28">
        <f>Angela_2026_Chase1117_Activity_!B352</f>
        <v>46163</v>
      </c>
      <c r="B355" s="3" t="str">
        <f>Angela_2026_Chase1117_Activity_!C352</f>
        <v>Online Transfer from CHK ...1168 transaction#: 29309160621</v>
      </c>
      <c r="C355" s="3" t="str">
        <f>Angela_2026_Chase1117_Activity_!G352</f>
        <v>Transfer from DWG Capital Group</v>
      </c>
      <c r="D355" s="4">
        <f>Angela_2026_Chase1117_Activity_!D352</f>
        <v>2000</v>
      </c>
    </row>
    <row r="356" spans="1:4" x14ac:dyDescent="0.25">
      <c r="A356" s="28">
        <f>Angela_2026_Chase1117_Activity_!B353</f>
        <v>46162</v>
      </c>
      <c r="B356" s="3" t="str">
        <f>Angela_2026_Chase1117_Activity_!C353</f>
        <v>UBER   *TRIP HELP.UB SAN FRANCISCO CA076832  05/20</v>
      </c>
      <c r="C356" s="3" t="str">
        <f>Angela_2026_Chase1117_Activity_!G353</f>
        <v>Personal - Uber</v>
      </c>
      <c r="D356" s="4">
        <f>Angela_2026_Chase1117_Activity_!D353</f>
        <v>-16.329999999999998</v>
      </c>
    </row>
    <row r="357" spans="1:4" x14ac:dyDescent="0.25">
      <c r="A357" s="28">
        <f>Angela_2026_Chase1117_Activity_!B354</f>
        <v>46162</v>
      </c>
      <c r="B357" s="3" t="str">
        <f>Angela_2026_Chase1117_Activity_!C354</f>
        <v>UBER *TRIP SAN FRANCISCO CA          267177  05/20</v>
      </c>
      <c r="C357" s="3" t="str">
        <f>Angela_2026_Chase1117_Activity_!G354</f>
        <v>Personal - Uber</v>
      </c>
      <c r="D357" s="4">
        <f>Angela_2026_Chase1117_Activity_!D354</f>
        <v>-15.38</v>
      </c>
    </row>
    <row r="358" spans="1:4" x14ac:dyDescent="0.25">
      <c r="A358" s="28">
        <f>Angela_2026_Chase1117_Activity_!B355</f>
        <v>46162</v>
      </c>
      <c r="B358" s="3" t="str">
        <f>Angela_2026_Chase1117_Activity_!C355</f>
        <v>SCRIBD* R680020687 SCRIBD.COM CA             05/20</v>
      </c>
      <c r="C358" s="3" t="str">
        <f>Angela_2026_Chase1117_Activity_!G355</f>
        <v>Personal - Subscription</v>
      </c>
      <c r="D358" s="4">
        <f>Angela_2026_Chase1117_Activity_!D355</f>
        <v>-11.99</v>
      </c>
    </row>
    <row r="359" spans="1:4" x14ac:dyDescent="0.25">
      <c r="A359" s="28">
        <f>Angela_2026_Chase1117_Activity_!B356</f>
        <v>46162</v>
      </c>
      <c r="B359" s="3" t="str">
        <f>Angela_2026_Chase1117_Activity_!C356</f>
        <v>TST*SHAYA RESTAURANT New Orleans LA          05/19</v>
      </c>
      <c r="C359" s="3" t="str">
        <f>Angela_2026_Chase1117_Activity_!G356</f>
        <v>Personal Travel - New Orleans</v>
      </c>
      <c r="D359" s="4">
        <f>Angela_2026_Chase1117_Activity_!D356</f>
        <v>-238.02</v>
      </c>
    </row>
    <row r="360" spans="1:4" x14ac:dyDescent="0.25">
      <c r="A360" s="28">
        <f>Angela_2026_Chase1117_Activity_!B357</f>
        <v>46162</v>
      </c>
      <c r="B360" s="3" t="str">
        <f>Angela_2026_Chase1117_Activity_!C357</f>
        <v>MAGAZINE ANTIQUE MALL NEW ORLEANS LA         05/19</v>
      </c>
      <c r="C360" s="3" t="str">
        <f>Angela_2026_Chase1117_Activity_!G357</f>
        <v>Personal Travel - New Orleans</v>
      </c>
      <c r="D360" s="4">
        <f>Angela_2026_Chase1117_Activity_!D357</f>
        <v>-362.51</v>
      </c>
    </row>
    <row r="361" spans="1:4" x14ac:dyDescent="0.25">
      <c r="A361" s="28">
        <f>Angela_2026_Chase1117_Activity_!B358</f>
        <v>46162</v>
      </c>
      <c r="B361" s="3" t="str">
        <f>Angela_2026_Chase1117_Activity_!C358</f>
        <v>OUTOFTHECLOSETTHRIFT NEW ORLEANS LA          05/19</v>
      </c>
      <c r="C361" s="3" t="str">
        <f>Angela_2026_Chase1117_Activity_!G358</f>
        <v>Personal Travel - New Orleans</v>
      </c>
      <c r="D361" s="4">
        <f>Angela_2026_Chase1117_Activity_!D358</f>
        <v>-28</v>
      </c>
    </row>
    <row r="362" spans="1:4" x14ac:dyDescent="0.25">
      <c r="A362" s="28">
        <f>Angela_2026_Chase1117_Activity_!B359</f>
        <v>46162</v>
      </c>
      <c r="B362" s="3" t="str">
        <f>Angela_2026_Chase1117_Activity_!C359</f>
        <v>AMERICAN AIR00106490183 FORT WORTH TX        05/19</v>
      </c>
      <c r="C362" s="3" t="str">
        <f>Angela_2026_Chase1117_Activity_!G359</f>
        <v>Personal Travel</v>
      </c>
      <c r="D362" s="4">
        <f>Angela_2026_Chase1117_Activity_!D359</f>
        <v>-38</v>
      </c>
    </row>
    <row r="363" spans="1:4" x14ac:dyDescent="0.25">
      <c r="A363" s="28">
        <f>Angela_2026_Chase1117_Activity_!B360</f>
        <v>46162</v>
      </c>
      <c r="B363" s="3" t="str">
        <f>Angela_2026_Chase1117_Activity_!C360</f>
        <v>AMERICAN AIR00106490178 FORT WORTH TX        05/19</v>
      </c>
      <c r="C363" s="3" t="str">
        <f>Angela_2026_Chase1117_Activity_!G360</f>
        <v>Personal Travel</v>
      </c>
      <c r="D363" s="4">
        <f>Angela_2026_Chase1117_Activity_!D360</f>
        <v>-28.5</v>
      </c>
    </row>
    <row r="364" spans="1:4" x14ac:dyDescent="0.25">
      <c r="A364" s="28">
        <f>Angela_2026_Chase1117_Activity_!B361</f>
        <v>46162</v>
      </c>
      <c r="B364" s="3" t="str">
        <f>Angela_2026_Chase1117_Activity_!C361</f>
        <v>AMERICAN AIR00106490178 FORT WORTH TX        05/19</v>
      </c>
      <c r="C364" s="3" t="str">
        <f>Angela_2026_Chase1117_Activity_!G361</f>
        <v>Personal Travel</v>
      </c>
      <c r="D364" s="4">
        <f>Angela_2026_Chase1117_Activity_!D361</f>
        <v>-28.5</v>
      </c>
    </row>
    <row r="365" spans="1:4" x14ac:dyDescent="0.25">
      <c r="A365" s="28">
        <f>Angela_2026_Chase1117_Activity_!B362</f>
        <v>46162</v>
      </c>
      <c r="B365" s="3" t="str">
        <f>Angela_2026_Chase1117_Activity_!C362</f>
        <v>AMERICAN AIR00144970281 FORT WORTH TX        05/19</v>
      </c>
      <c r="C365" s="3" t="str">
        <f>Angela_2026_Chase1117_Activity_!G362</f>
        <v>Personal Travel</v>
      </c>
      <c r="D365" s="4">
        <f>Angela_2026_Chase1117_Activity_!D362</f>
        <v>-45</v>
      </c>
    </row>
    <row r="366" spans="1:4" x14ac:dyDescent="0.25">
      <c r="A366" s="28">
        <f>Angela_2026_Chase1117_Activity_!B363</f>
        <v>46162</v>
      </c>
      <c r="B366" s="3" t="str">
        <f>Angela_2026_Chase1117_Activity_!C363</f>
        <v>TST*THE VINTAGE NOLA New Orleans LA          05/19</v>
      </c>
      <c r="C366" s="3" t="str">
        <f>Angela_2026_Chase1117_Activity_!G363</f>
        <v>Personal Travel - New Orleans</v>
      </c>
      <c r="D366" s="4">
        <f>Angela_2026_Chase1117_Activity_!D363</f>
        <v>-16.91</v>
      </c>
    </row>
    <row r="367" spans="1:4" x14ac:dyDescent="0.25">
      <c r="A367" s="28">
        <f>Angela_2026_Chase1117_Activity_!B364</f>
        <v>46162</v>
      </c>
      <c r="B367" s="3" t="str">
        <f>Angela_2026_Chase1117_Activity_!C364</f>
        <v>SQ *SUCRE New Orleans LA                     05/19</v>
      </c>
      <c r="C367" s="3" t="str">
        <f>Angela_2026_Chase1117_Activity_!G364</f>
        <v>Personal Travel - New Orleans</v>
      </c>
      <c r="D367" s="4">
        <f>Angela_2026_Chase1117_Activity_!D364</f>
        <v>-38.24</v>
      </c>
    </row>
    <row r="368" spans="1:4" x14ac:dyDescent="0.25">
      <c r="A368" s="28">
        <f>Angela_2026_Chase1117_Activity_!B365</f>
        <v>46162</v>
      </c>
      <c r="B368" s="3" t="str">
        <f>Angela_2026_Chase1117_Activity_!C365</f>
        <v>MAGAZINE ANTIQUE MALL NEW ORLEANS LA         05/19</v>
      </c>
      <c r="C368" s="3" t="str">
        <f>Angela_2026_Chase1117_Activity_!G365</f>
        <v>Personal Travel - New Orleans</v>
      </c>
      <c r="D368" s="4">
        <f>Angela_2026_Chase1117_Activity_!D365</f>
        <v>-322.89</v>
      </c>
    </row>
    <row r="369" spans="1:4" x14ac:dyDescent="0.25">
      <c r="A369" s="28">
        <f>Angela_2026_Chase1117_Activity_!B366</f>
        <v>46162</v>
      </c>
      <c r="B369" s="3" t="str">
        <f>Angela_2026_Chase1117_Activity_!C366</f>
        <v>SQ *NELSON BAY BEADS NEW ORLEANS LA          05/19</v>
      </c>
      <c r="C369" s="3" t="str">
        <f>Angela_2026_Chase1117_Activity_!G366</f>
        <v>Personal Travel - New Orleans</v>
      </c>
      <c r="D369" s="4">
        <f>Angela_2026_Chase1117_Activity_!D366</f>
        <v>-45.04</v>
      </c>
    </row>
    <row r="370" spans="1:4" x14ac:dyDescent="0.25">
      <c r="A370" s="28">
        <f>Angela_2026_Chase1117_Activity_!B367</f>
        <v>46162</v>
      </c>
      <c r="B370" s="3" t="str">
        <f>Angela_2026_Chase1117_Activity_!C367</f>
        <v>HENRY HOWARD HOTEL 504-3131577 LA            05/17</v>
      </c>
      <c r="C370" s="3" t="str">
        <f>Angela_2026_Chase1117_Activity_!G367</f>
        <v>Personal Travel - New Orleans</v>
      </c>
      <c r="D370" s="4">
        <f>Angela_2026_Chase1117_Activity_!D367</f>
        <v>-496.04</v>
      </c>
    </row>
    <row r="371" spans="1:4" x14ac:dyDescent="0.25">
      <c r="A371" s="28">
        <f>Angela_2026_Chase1117_Activity_!B368</f>
        <v>46161</v>
      </c>
      <c r="B371" s="3" t="str">
        <f>Angela_2026_Chase1117_Activity_!C368</f>
        <v>UBER   *TRIP HELP.UB SAN FRANCISCO CA029407  05/19</v>
      </c>
      <c r="C371" s="3" t="str">
        <f>Angela_2026_Chase1117_Activity_!G368</f>
        <v>Personal - Uber</v>
      </c>
      <c r="D371" s="4">
        <f>Angela_2026_Chase1117_Activity_!D368</f>
        <v>-19.12</v>
      </c>
    </row>
    <row r="372" spans="1:4" x14ac:dyDescent="0.25">
      <c r="A372" s="28">
        <f>Angela_2026_Chase1117_Activity_!B369</f>
        <v>46161</v>
      </c>
      <c r="B372" s="3" t="str">
        <f>Angela_2026_Chase1117_Activity_!C369</f>
        <v>UBER   *TRIP HELP.UB SAN FRANCISCO CA019435  05/19</v>
      </c>
      <c r="C372" s="3" t="str">
        <f>Angela_2026_Chase1117_Activity_!G369</f>
        <v>Personal - Uber</v>
      </c>
      <c r="D372" s="4">
        <f>Angela_2026_Chase1117_Activity_!D369</f>
        <v>-14.44</v>
      </c>
    </row>
    <row r="373" spans="1:4" x14ac:dyDescent="0.25">
      <c r="A373" s="28">
        <f>Angela_2026_Chase1117_Activity_!B370</f>
        <v>46161</v>
      </c>
      <c r="B373" s="3" t="str">
        <f>Angela_2026_Chase1117_Activity_!C370</f>
        <v>UBER   *TRIP HELP.UB SAN FRANCISCO CA023036  05/19</v>
      </c>
      <c r="C373" s="3" t="str">
        <f>Angela_2026_Chase1117_Activity_!G370</f>
        <v>Personal - Uber</v>
      </c>
      <c r="D373" s="4">
        <f>Angela_2026_Chase1117_Activity_!D370</f>
        <v>-47.94</v>
      </c>
    </row>
    <row r="374" spans="1:4" x14ac:dyDescent="0.25">
      <c r="A374" s="28">
        <f>Angela_2026_Chase1117_Activity_!B371</f>
        <v>46161</v>
      </c>
      <c r="B374" s="3" t="str">
        <f>Angela_2026_Chase1117_Activity_!C371</f>
        <v>UBER   *TRIP HELP.UB SAN FRANCISCO CA145532  05/19</v>
      </c>
      <c r="C374" s="3" t="str">
        <f>Angela_2026_Chase1117_Activity_!G371</f>
        <v>Personal - Uber</v>
      </c>
      <c r="D374" s="4">
        <f>Angela_2026_Chase1117_Activity_!D371</f>
        <v>-43.27</v>
      </c>
    </row>
    <row r="375" spans="1:4" x14ac:dyDescent="0.25">
      <c r="A375" s="28">
        <f>Angela_2026_Chase1117_Activity_!B372</f>
        <v>46161</v>
      </c>
      <c r="B375" s="3" t="str">
        <f>Angela_2026_Chase1117_Activity_!C372</f>
        <v>UBER   *TRIP HELP.UB SAN FRANCISCO CA016933  05/19</v>
      </c>
      <c r="C375" s="3" t="str">
        <f>Angela_2026_Chase1117_Activity_!G372</f>
        <v>Personal - Uber</v>
      </c>
      <c r="D375" s="4">
        <f>Angela_2026_Chase1117_Activity_!D372</f>
        <v>-35.78</v>
      </c>
    </row>
    <row r="376" spans="1:4" x14ac:dyDescent="0.25">
      <c r="A376" s="28">
        <f>Angela_2026_Chase1117_Activity_!B373</f>
        <v>46161</v>
      </c>
      <c r="B376" s="3" t="str">
        <f>Angela_2026_Chase1117_Activity_!C373</f>
        <v>LS DARK GARDEN UNIQUE 415-4317684 LA         05/19</v>
      </c>
      <c r="C376" s="3" t="str">
        <f>Angela_2026_Chase1117_Activity_!G373</f>
        <v>Personal - Clothing</v>
      </c>
      <c r="D376" s="4">
        <f>Angela_2026_Chase1117_Activity_!D373</f>
        <v>-75.900000000000006</v>
      </c>
    </row>
    <row r="377" spans="1:4" x14ac:dyDescent="0.25">
      <c r="A377" s="28">
        <f>Angela_2026_Chase1117_Activity_!B374</f>
        <v>46161</v>
      </c>
      <c r="B377" s="3" t="str">
        <f>Angela_2026_Chase1117_Activity_!C374</f>
        <v>Online Transfer to CHK ...6975 transaction#: 29278507390 05/19</v>
      </c>
      <c r="C377" s="3" t="str">
        <f>Angela_2026_Chase1117_Activity_!G374</f>
        <v>Transfer to Ava</v>
      </c>
      <c r="D377" s="4">
        <f>Angela_2026_Chase1117_Activity_!D374</f>
        <v>-200</v>
      </c>
    </row>
    <row r="378" spans="1:4" x14ac:dyDescent="0.25">
      <c r="A378" s="28">
        <f>Angela_2026_Chase1117_Activity_!B375</f>
        <v>46161</v>
      </c>
      <c r="B378" s="3" t="str">
        <f>Angela_2026_Chase1117_Activity_!C375</f>
        <v>Online Transfer to CHK ...6975 transaction#: 29277898873 05/19</v>
      </c>
      <c r="C378" s="3" t="str">
        <f>Angela_2026_Chase1117_Activity_!G375</f>
        <v>Transfer to Ava</v>
      </c>
      <c r="D378" s="4">
        <f>Angela_2026_Chase1117_Activity_!D375</f>
        <v>-400</v>
      </c>
    </row>
    <row r="379" spans="1:4" x14ac:dyDescent="0.25">
      <c r="A379" s="28">
        <f>Angela_2026_Chase1117_Activity_!B376</f>
        <v>46161</v>
      </c>
      <c r="B379" s="3" t="str">
        <f>Angela_2026_Chase1117_Activity_!C376</f>
        <v>UBER   *TRIP HELP.UB SAN FRANCISCO CA025625  05/18</v>
      </c>
      <c r="C379" s="3" t="str">
        <f>Angela_2026_Chase1117_Activity_!G376</f>
        <v>Personal - Uber</v>
      </c>
      <c r="D379" s="4">
        <f>Angela_2026_Chase1117_Activity_!D376</f>
        <v>-14.79</v>
      </c>
    </row>
    <row r="380" spans="1:4" x14ac:dyDescent="0.25">
      <c r="A380" s="28">
        <f>Angela_2026_Chase1117_Activity_!B377</f>
        <v>46161</v>
      </c>
      <c r="B380" s="3" t="str">
        <f>Angela_2026_Chase1117_Activity_!C377</f>
        <v>UBER   *TRIP HELP.UB SAN FRANCISCO CA085229  05/18</v>
      </c>
      <c r="C380" s="3" t="str">
        <f>Angela_2026_Chase1117_Activity_!G377</f>
        <v>Personal - Uber</v>
      </c>
      <c r="D380" s="4">
        <f>Angela_2026_Chase1117_Activity_!D377</f>
        <v>-29.48</v>
      </c>
    </row>
    <row r="381" spans="1:4" x14ac:dyDescent="0.25">
      <c r="A381" s="28">
        <f>Angela_2026_Chase1117_Activity_!B378</f>
        <v>46161</v>
      </c>
      <c r="B381" s="3" t="str">
        <f>Angela_2026_Chase1117_Activity_!C378</f>
        <v>TST* HOTEL SAINT VINCE NEW ORLEANS LA        05/19</v>
      </c>
      <c r="C381" s="3" t="str">
        <f>Angela_2026_Chase1117_Activity_!G378</f>
        <v>Personal Travel - New Orleans</v>
      </c>
      <c r="D381" s="4">
        <f>Angela_2026_Chase1117_Activity_!D378</f>
        <v>-430.5</v>
      </c>
    </row>
    <row r="382" spans="1:4" x14ac:dyDescent="0.25">
      <c r="A382" s="28">
        <f>Angela_2026_Chase1117_Activity_!B379</f>
        <v>46161</v>
      </c>
      <c r="B382" s="3" t="str">
        <f>Angela_2026_Chase1117_Activity_!C379</f>
        <v>SQ *DARK MATTER ODDITI NEW ORLEANS LA        05/18</v>
      </c>
      <c r="C382" s="3" t="str">
        <f>Angela_2026_Chase1117_Activity_!G379</f>
        <v>Personal Travel - New Orleans</v>
      </c>
      <c r="D382" s="4">
        <f>Angela_2026_Chase1117_Activity_!D379</f>
        <v>-24.25</v>
      </c>
    </row>
    <row r="383" spans="1:4" x14ac:dyDescent="0.25">
      <c r="A383" s="28">
        <f>Angela_2026_Chase1117_Activity_!B380</f>
        <v>46161</v>
      </c>
      <c r="B383" s="3" t="str">
        <f>Angela_2026_Chase1117_Activity_!C380</f>
        <v>SQ *DARK MATTER ODDITI NEW ORLEANS LA        05/18</v>
      </c>
      <c r="C383" s="3" t="str">
        <f>Angela_2026_Chase1117_Activity_!G380</f>
        <v>Personal Travel - New Orleans</v>
      </c>
      <c r="D383" s="4">
        <f>Angela_2026_Chase1117_Activity_!D380</f>
        <v>-377.05</v>
      </c>
    </row>
    <row r="384" spans="1:4" x14ac:dyDescent="0.25">
      <c r="A384" s="28">
        <f>Angela_2026_Chase1117_Activity_!B381</f>
        <v>46161</v>
      </c>
      <c r="B384" s="3" t="str">
        <f>Angela_2026_Chase1117_Activity_!C381</f>
        <v>THE CHICORY HOUSE NEW ORLEANS LA             05/18</v>
      </c>
      <c r="C384" s="3" t="str">
        <f>Angela_2026_Chase1117_Activity_!G381</f>
        <v>Personal Travel - New Orleans</v>
      </c>
      <c r="D384" s="4">
        <f>Angela_2026_Chase1117_Activity_!D381</f>
        <v>-23.39</v>
      </c>
    </row>
    <row r="385" spans="1:4" x14ac:dyDescent="0.25">
      <c r="A385" s="28">
        <f>Angela_2026_Chase1117_Activity_!B382</f>
        <v>46161</v>
      </c>
      <c r="B385" s="3" t="str">
        <f>Angela_2026_Chase1117_Activity_!C382</f>
        <v>AMAZON MARK* N89J95Z AMAZON.COM/MA WA        05/19</v>
      </c>
      <c r="C385" s="3" t="str">
        <f>Angela_2026_Chase1117_Activity_!G382</f>
        <v>Amazon</v>
      </c>
      <c r="D385" s="4">
        <f>Angela_2026_Chase1117_Activity_!D382</f>
        <v>-75</v>
      </c>
    </row>
    <row r="386" spans="1:4" x14ac:dyDescent="0.25">
      <c r="A386" s="28">
        <f>Angela_2026_Chase1117_Activity_!B383</f>
        <v>46161</v>
      </c>
      <c r="B386" s="3" t="str">
        <f>Angela_2026_Chase1117_Activity_!C383</f>
        <v>Online Transfer from CHK ...1168 transaction#: 29277924467</v>
      </c>
      <c r="C386" s="3" t="str">
        <f>Angela_2026_Chase1117_Activity_!G383</f>
        <v>Transfer from DWG Capital Group</v>
      </c>
      <c r="D386" s="4">
        <f>Angela_2026_Chase1117_Activity_!D383</f>
        <v>3000</v>
      </c>
    </row>
    <row r="387" spans="1:4" x14ac:dyDescent="0.25">
      <c r="A387" s="28">
        <f>Angela_2026_Chase1117_Activity_!B384</f>
        <v>46160</v>
      </c>
      <c r="B387" s="3" t="str">
        <f>Angela_2026_Chase1117_Activity_!C384</f>
        <v>UBER *TRIP SAN FRANCISCO CA          466699  05/18</v>
      </c>
      <c r="C387" s="3" t="str">
        <f>Angela_2026_Chase1117_Activity_!G384</f>
        <v>Personal - Uber</v>
      </c>
      <c r="D387" s="4">
        <f>Angela_2026_Chase1117_Activity_!D384</f>
        <v>-34.17</v>
      </c>
    </row>
    <row r="388" spans="1:4" x14ac:dyDescent="0.25">
      <c r="A388" s="28">
        <f>Angela_2026_Chase1117_Activity_!B385</f>
        <v>46160</v>
      </c>
      <c r="B388" s="3" t="str">
        <f>Angela_2026_Chase1117_Activity_!C385</f>
        <v>UBER   *TRIP HELP.UB SAN FRANCISCO CA024332  05/18</v>
      </c>
      <c r="C388" s="3" t="str">
        <f>Angela_2026_Chase1117_Activity_!G385</f>
        <v>Personal - Uber</v>
      </c>
      <c r="D388" s="4">
        <f>Angela_2026_Chase1117_Activity_!D385</f>
        <v>-30.7</v>
      </c>
    </row>
    <row r="389" spans="1:4" x14ac:dyDescent="0.25">
      <c r="A389" s="28">
        <f>Angela_2026_Chase1117_Activity_!B386</f>
        <v>46160</v>
      </c>
      <c r="B389" s="3" t="str">
        <f>Angela_2026_Chase1117_Activity_!C386</f>
        <v>WALGREENS STORE 1801 S NEW ORLEANS LA999330  05/17</v>
      </c>
      <c r="C389" s="3" t="str">
        <f>Angela_2026_Chase1117_Activity_!G386</f>
        <v>Personal Travel - New Orleans</v>
      </c>
      <c r="D389" s="4">
        <f>Angela_2026_Chase1117_Activity_!D386</f>
        <v>-16.16</v>
      </c>
    </row>
    <row r="390" spans="1:4" x14ac:dyDescent="0.25">
      <c r="A390" s="28">
        <f>Angela_2026_Chase1117_Activity_!B387</f>
        <v>46160</v>
      </c>
      <c r="B390" s="3" t="str">
        <f>Angela_2026_Chase1117_Activity_!C387</f>
        <v>TST* LUFU NOLA NEW ORLEANS LA                05/17</v>
      </c>
      <c r="C390" s="3" t="str">
        <f>Angela_2026_Chase1117_Activity_!G387</f>
        <v>Personal Travel - New Orleans</v>
      </c>
      <c r="D390" s="4">
        <f>Angela_2026_Chase1117_Activity_!D387</f>
        <v>-160.65</v>
      </c>
    </row>
    <row r="391" spans="1:4" x14ac:dyDescent="0.25">
      <c r="A391" s="28">
        <f>Angela_2026_Chase1117_Activity_!B388</f>
        <v>46160</v>
      </c>
      <c r="B391" s="3" t="str">
        <f>Angela_2026_Chase1117_Activity_!C388</f>
        <v>UBER   *TRIP HELP.UB SAN FRANCISCO CA029300  05/17</v>
      </c>
      <c r="C391" s="3" t="str">
        <f>Angela_2026_Chase1117_Activity_!G388</f>
        <v>Personal - Uber</v>
      </c>
      <c r="D391" s="4">
        <f>Angela_2026_Chase1117_Activity_!D388</f>
        <v>-15.34</v>
      </c>
    </row>
    <row r="392" spans="1:4" x14ac:dyDescent="0.25">
      <c r="A392" s="28">
        <f>Angela_2026_Chase1117_Activity_!B389</f>
        <v>46160</v>
      </c>
      <c r="B392" s="3" t="str">
        <f>Angela_2026_Chase1117_Activity_!C389</f>
        <v>LEELA QUANTUM TECH LEELAQ.COM NM             05/17</v>
      </c>
      <c r="C392" s="3" t="str">
        <f>Angela_2026_Chase1117_Activity_!G389</f>
        <v>Personal - Subscription</v>
      </c>
      <c r="D392" s="4">
        <f>Angela_2026_Chase1117_Activity_!D389</f>
        <v>-30</v>
      </c>
    </row>
    <row r="393" spans="1:4" x14ac:dyDescent="0.25">
      <c r="A393" s="28">
        <f>Angela_2026_Chase1117_Activity_!B390</f>
        <v>46160</v>
      </c>
      <c r="B393" s="3" t="str">
        <f>Angela_2026_Chase1117_Activity_!C390</f>
        <v>AA Kiosk0010284676450 Fort Worth TX          05/17</v>
      </c>
      <c r="C393" s="3" t="str">
        <f>Angela_2026_Chase1117_Activity_!G390</f>
        <v>Personal Travel</v>
      </c>
      <c r="D393" s="4">
        <f>Angela_2026_Chase1117_Activity_!D390</f>
        <v>-50</v>
      </c>
    </row>
    <row r="394" spans="1:4" x14ac:dyDescent="0.25">
      <c r="A394" s="28">
        <f>Angela_2026_Chase1117_Activity_!B391</f>
        <v>46160</v>
      </c>
      <c r="B394" s="3" t="str">
        <f>Angela_2026_Chase1117_Activity_!C391</f>
        <v>ATM WITHDRAWAL                       004849  05/17225 E INT</v>
      </c>
      <c r="C394" s="3" t="str">
        <f>Angela_2026_Chase1117_Activity_!G391</f>
        <v>Withdrawal</v>
      </c>
      <c r="D394" s="4">
        <f>Angela_2026_Chase1117_Activity_!D391</f>
        <v>-500</v>
      </c>
    </row>
    <row r="395" spans="1:4" x14ac:dyDescent="0.25">
      <c r="A395" s="28">
        <f>Angela_2026_Chase1117_Activity_!B392</f>
        <v>46160</v>
      </c>
      <c r="B395" s="3" t="str">
        <f>Angela_2026_Chase1117_Activity_!C392</f>
        <v>SP ANNA SUI ANNASUI.COM CA                   05/17</v>
      </c>
      <c r="C395" s="3" t="str">
        <f>Angela_2026_Chase1117_Activity_!G392</f>
        <v>Personal - Shopping</v>
      </c>
      <c r="D395" s="4">
        <f>Angela_2026_Chase1117_Activity_!D392</f>
        <v>-651.78</v>
      </c>
    </row>
    <row r="396" spans="1:4" x14ac:dyDescent="0.25">
      <c r="A396" s="28">
        <f>Angela_2026_Chase1117_Activity_!B393</f>
        <v>46160</v>
      </c>
      <c r="B396" s="3" t="str">
        <f>Angela_2026_Chase1117_Activity_!C393</f>
        <v>AMERICAN AIR00106488383 FORT WORTH TX        05/17</v>
      </c>
      <c r="C396" s="3" t="str">
        <f>Angela_2026_Chase1117_Activity_!G393</f>
        <v>Personal Travel</v>
      </c>
      <c r="D396" s="4">
        <f>Angela_2026_Chase1117_Activity_!D393</f>
        <v>-39.9</v>
      </c>
    </row>
    <row r="397" spans="1:4" x14ac:dyDescent="0.25">
      <c r="A397" s="28">
        <f>Angela_2026_Chase1117_Activity_!B394</f>
        <v>46160</v>
      </c>
      <c r="B397" s="3" t="str">
        <f>Angela_2026_Chase1117_Activity_!C394</f>
        <v>AMERICAN AIR00106488383 FORT WORTH TX        05/17</v>
      </c>
      <c r="C397" s="3" t="str">
        <f>Angela_2026_Chase1117_Activity_!G394</f>
        <v>Personal Travel</v>
      </c>
      <c r="D397" s="4">
        <f>Angela_2026_Chase1117_Activity_!D394</f>
        <v>-39.9</v>
      </c>
    </row>
    <row r="398" spans="1:4" x14ac:dyDescent="0.25">
      <c r="A398" s="28">
        <f>Angela_2026_Chase1117_Activity_!B395</f>
        <v>46160</v>
      </c>
      <c r="B398" s="3" t="str">
        <f>Angela_2026_Chase1117_Activity_!C395</f>
        <v>SP BLUEPRINT.BJ-5353 BLUEPRINT.BRY CA        05/16</v>
      </c>
      <c r="C398" s="3" t="str">
        <f>Angela_2026_Chase1117_Activity_!G395</f>
        <v>Personal - Health</v>
      </c>
      <c r="D398" s="4">
        <f>Angela_2026_Chase1117_Activity_!D395</f>
        <v>-293.07</v>
      </c>
    </row>
    <row r="399" spans="1:4" x14ac:dyDescent="0.25">
      <c r="A399" s="28">
        <f>Angela_2026_Chase1117_Activity_!B396</f>
        <v>46160</v>
      </c>
      <c r="B399" s="3" t="str">
        <f>Angela_2026_Chase1117_Activity_!C396</f>
        <v>Amazon.com*BF9OQ9LS0 Amzn.com/bill WA        05/15</v>
      </c>
      <c r="C399" s="3" t="str">
        <f>Angela_2026_Chase1117_Activity_!G396</f>
        <v>Amazon</v>
      </c>
      <c r="D399" s="4">
        <f>Angela_2026_Chase1117_Activity_!D396</f>
        <v>-18.14</v>
      </c>
    </row>
    <row r="400" spans="1:4" x14ac:dyDescent="0.25">
      <c r="A400" s="28">
        <f>Angela_2026_Chase1117_Activity_!B397</f>
        <v>46160</v>
      </c>
      <c r="B400" s="3" t="str">
        <f>Angela_2026_Chase1117_Activity_!C397</f>
        <v>Amazon.com*HB55O2A53 Amzn.com/bill WA        05/16</v>
      </c>
      <c r="C400" s="3" t="str">
        <f>Angela_2026_Chase1117_Activity_!G397</f>
        <v>Amazon</v>
      </c>
      <c r="D400" s="4">
        <f>Angela_2026_Chase1117_Activity_!D397</f>
        <v>-47.07</v>
      </c>
    </row>
    <row r="401" spans="1:4" x14ac:dyDescent="0.25">
      <c r="A401" s="28">
        <f>Angela_2026_Chase1117_Activity_!B398</f>
        <v>46160</v>
      </c>
      <c r="B401" s="3" t="str">
        <f>Angela_2026_Chase1117_Activity_!C398</f>
        <v>AMERICAN AIR00144965368 FORT WORTH TX        05/15</v>
      </c>
      <c r="C401" s="3" t="str">
        <f>Angela_2026_Chase1117_Activity_!G398</f>
        <v>Personal Travel</v>
      </c>
      <c r="D401" s="4">
        <f>Angela_2026_Chase1117_Activity_!D398</f>
        <v>-45</v>
      </c>
    </row>
    <row r="402" spans="1:4" x14ac:dyDescent="0.25">
      <c r="A402" s="28">
        <f>Angela_2026_Chase1117_Activity_!B399</f>
        <v>46160</v>
      </c>
      <c r="B402" s="3" t="str">
        <f>Angela_2026_Chase1117_Activity_!C399</f>
        <v>AMERICAN AIR00144965368 FORT WORTH TX        05/15</v>
      </c>
      <c r="C402" s="3" t="str">
        <f>Angela_2026_Chase1117_Activity_!G399</f>
        <v>Personal Travel</v>
      </c>
      <c r="D402" s="4">
        <f>Angela_2026_Chase1117_Activity_!D399</f>
        <v>-45</v>
      </c>
    </row>
    <row r="403" spans="1:4" x14ac:dyDescent="0.25">
      <c r="A403" s="28">
        <f>Angela_2026_Chase1117_Activity_!B400</f>
        <v>46160</v>
      </c>
      <c r="B403" s="3" t="str">
        <f>Angela_2026_Chase1117_Activity_!C400</f>
        <v>61 OSTERIA FORT WORTH TX                     05/14</v>
      </c>
      <c r="C403" s="3" t="str">
        <f>Angela_2026_Chase1117_Activity_!G400</f>
        <v>Personal - Food</v>
      </c>
      <c r="D403" s="4">
        <f>Angela_2026_Chase1117_Activity_!D400</f>
        <v>-460.99</v>
      </c>
    </row>
    <row r="404" spans="1:4" x14ac:dyDescent="0.25">
      <c r="A404" s="28">
        <f>Angela_2026_Chase1117_Activity_!B401</f>
        <v>46160</v>
      </c>
      <c r="B404" s="3" t="str">
        <f>Angela_2026_Chase1117_Activity_!C401</f>
        <v>HAIGOOD &amp; CAMPBELL LLC 800-7660016 TX        05/14</v>
      </c>
      <c r="C404" s="3" t="str">
        <f>Angela_2026_Chase1117_Activity_!G401</f>
        <v>Personal - Misc</v>
      </c>
      <c r="D404" s="4">
        <f>Angela_2026_Chase1117_Activity_!D401</f>
        <v>-259.86</v>
      </c>
    </row>
    <row r="405" spans="1:4" x14ac:dyDescent="0.25">
      <c r="A405" s="28">
        <f>Angela_2026_Chase1117_Activity_!B402</f>
        <v>46160</v>
      </c>
      <c r="B405" s="3" t="str">
        <f>Angela_2026_Chase1117_Activity_!C402</f>
        <v>Zelle payment from TANYA MILLER HNA0K60Y5OY4</v>
      </c>
      <c r="C405" s="3" t="str">
        <f>Angela_2026_Chase1117_Activity_!G402</f>
        <v>Zelle from Tanya Miller</v>
      </c>
      <c r="D405" s="4">
        <f>Angela_2026_Chase1117_Activity_!D402</f>
        <v>100</v>
      </c>
    </row>
    <row r="406" spans="1:4" x14ac:dyDescent="0.25">
      <c r="A406" s="28">
        <f>Angela_2026_Chase1117_Activity_!B403</f>
        <v>46160</v>
      </c>
      <c r="B406" s="3" t="str">
        <f>Angela_2026_Chase1117_Activity_!C403</f>
        <v>Online Transfer from CHK ...1168 transaction#: 29250942768</v>
      </c>
      <c r="C406" s="3" t="str">
        <f>Angela_2026_Chase1117_Activity_!G403</f>
        <v>Transfer from DWG Capital Group</v>
      </c>
      <c r="D406" s="4">
        <f>Angela_2026_Chase1117_Activity_!D403</f>
        <v>3000</v>
      </c>
    </row>
    <row r="407" spans="1:4" x14ac:dyDescent="0.25">
      <c r="A407" s="28">
        <f>Angela_2026_Chase1117_Activity_!B404</f>
        <v>46157</v>
      </c>
      <c r="B407" s="3" t="str">
        <f>Angela_2026_Chase1117_Activity_!C404</f>
        <v>FILM ALLEY - WEATHERFO WEATHERFORD TX        05/14</v>
      </c>
      <c r="C407" s="3" t="str">
        <f>Angela_2026_Chase1117_Activity_!G404</f>
        <v>Personal - Entertainment</v>
      </c>
      <c r="D407" s="4">
        <f>Angela_2026_Chase1117_Activity_!D404</f>
        <v>-33.39</v>
      </c>
    </row>
    <row r="408" spans="1:4" x14ac:dyDescent="0.25">
      <c r="A408" s="28">
        <f>Angela_2026_Chase1117_Activity_!B405</f>
        <v>46157</v>
      </c>
      <c r="B408" s="3" t="str">
        <f>Angela_2026_Chase1117_Activity_!C405</f>
        <v>The Modern Art Museum 817-7389215 TX         05/14</v>
      </c>
      <c r="C408" s="3" t="str">
        <f>Angela_2026_Chase1117_Activity_!G405</f>
        <v>Personal - Entertainment</v>
      </c>
      <c r="D408" s="4">
        <f>Angela_2026_Chase1117_Activity_!D405</f>
        <v>-48</v>
      </c>
    </row>
    <row r="409" spans="1:4" x14ac:dyDescent="0.25">
      <c r="A409" s="28">
        <f>Angela_2026_Chase1117_Activity_!B406</f>
        <v>46157</v>
      </c>
      <c r="B409" s="3" t="str">
        <f>Angela_2026_Chase1117_Activity_!C406</f>
        <v>AMAZON PRIME*UE4FB2G Amzn.com/bill WA        05/14</v>
      </c>
      <c r="C409" s="3" t="str">
        <f>Angela_2026_Chase1117_Activity_!G406</f>
        <v>Amazon</v>
      </c>
      <c r="D409" s="4">
        <f>Angela_2026_Chase1117_Activity_!D406</f>
        <v>-16.45</v>
      </c>
    </row>
    <row r="410" spans="1:4" x14ac:dyDescent="0.25">
      <c r="A410" s="28">
        <f>Angela_2026_Chase1117_Activity_!B407</f>
        <v>46157</v>
      </c>
      <c r="B410" s="3" t="str">
        <f>Angela_2026_Chase1117_Activity_!C407</f>
        <v>AMAZON RETA* 5J3FR0O WWW.AMAZON.CO WA        05/14</v>
      </c>
      <c r="C410" s="3" t="str">
        <f>Angela_2026_Chase1117_Activity_!G407</f>
        <v>Amazon</v>
      </c>
      <c r="D410" s="4">
        <f>Angela_2026_Chase1117_Activity_!D407</f>
        <v>-24.66</v>
      </c>
    </row>
    <row r="411" spans="1:4" x14ac:dyDescent="0.25">
      <c r="A411" s="28">
        <f>Angela_2026_Chase1117_Activity_!B408</f>
        <v>46157</v>
      </c>
      <c r="B411" s="3" t="str">
        <f>Angela_2026_Chase1117_Activity_!C408</f>
        <v>APPLE.COM/BILL 866-712-7753 CA               05/14</v>
      </c>
      <c r="C411" s="3" t="str">
        <f>Angela_2026_Chase1117_Activity_!G408</f>
        <v>Apple</v>
      </c>
      <c r="D411" s="4">
        <f>Angela_2026_Chase1117_Activity_!D408</f>
        <v>-59.99</v>
      </c>
    </row>
    <row r="412" spans="1:4" x14ac:dyDescent="0.25">
      <c r="A412" s="28">
        <f>Angela_2026_Chase1117_Activity_!B409</f>
        <v>46156</v>
      </c>
      <c r="B412" s="3" t="str">
        <f>Angela_2026_Chase1117_Activity_!C409</f>
        <v>WALGREENS STORE 1317 S WEATHERFORD TX805050  05/14</v>
      </c>
      <c r="C412" s="3" t="str">
        <f>Angela_2026_Chase1117_Activity_!G409</f>
        <v>Personal - Health</v>
      </c>
      <c r="D412" s="4">
        <f>Angela_2026_Chase1117_Activity_!D409</f>
        <v>-72.39</v>
      </c>
    </row>
    <row r="413" spans="1:4" x14ac:dyDescent="0.25">
      <c r="A413" s="28">
        <f>Angela_2026_Chase1117_Activity_!B410</f>
        <v>46156</v>
      </c>
      <c r="B413" s="3" t="str">
        <f>Angela_2026_Chase1117_Activity_!C410</f>
        <v>Prime Video Channels amzn.com/bill WA        05/14</v>
      </c>
      <c r="C413" s="3" t="str">
        <f>Angela_2026_Chase1117_Activity_!G410</f>
        <v>Amazon</v>
      </c>
      <c r="D413" s="4">
        <f>Angela_2026_Chase1117_Activity_!D410</f>
        <v>-18.489999999999998</v>
      </c>
    </row>
    <row r="414" spans="1:4" x14ac:dyDescent="0.25">
      <c r="A414" s="28">
        <f>Angela_2026_Chase1117_Activity_!B411</f>
        <v>46156</v>
      </c>
      <c r="B414" s="3" t="str">
        <f>Angela_2026_Chase1117_Activity_!C411</f>
        <v>PAKRAT ECLECTIBLES GRANBURY TX               05/13</v>
      </c>
      <c r="C414" s="3" t="str">
        <f>Angela_2026_Chase1117_Activity_!G411</f>
        <v>Personal - Shopping</v>
      </c>
      <c r="D414" s="4">
        <f>Angela_2026_Chase1117_Activity_!D411</f>
        <v>-328.81</v>
      </c>
    </row>
    <row r="415" spans="1:4" x14ac:dyDescent="0.25">
      <c r="A415" s="28">
        <f>Angela_2026_Chase1117_Activity_!B412</f>
        <v>46156</v>
      </c>
      <c r="B415" s="3" t="str">
        <f>Angela_2026_Chase1117_Activity_!C412</f>
        <v>VINTAGE ROADS ANTIQUE M GRANBURY TX          05/13</v>
      </c>
      <c r="C415" s="3" t="str">
        <f>Angela_2026_Chase1117_Activity_!G412</f>
        <v>Personal - Shopping</v>
      </c>
      <c r="D415" s="4">
        <f>Angela_2026_Chase1117_Activity_!D412</f>
        <v>-156.97</v>
      </c>
    </row>
    <row r="416" spans="1:4" x14ac:dyDescent="0.25">
      <c r="A416" s="28">
        <f>Angela_2026_Chase1117_Activity_!B413</f>
        <v>46156</v>
      </c>
      <c r="B416" s="3" t="str">
        <f>Angela_2026_Chase1117_Activity_!C413</f>
        <v>GOODWILL INDUSTRIES OF GRANBURY TX           05/13</v>
      </c>
      <c r="C416" s="3" t="str">
        <f>Angela_2026_Chase1117_Activity_!G413</f>
        <v>Personal - Shopping</v>
      </c>
      <c r="D416" s="4">
        <f>Angela_2026_Chase1117_Activity_!D413</f>
        <v>-16</v>
      </c>
    </row>
    <row r="417" spans="1:4" x14ac:dyDescent="0.25">
      <c r="A417" s="28">
        <f>Angela_2026_Chase1117_Activity_!B414</f>
        <v>46156</v>
      </c>
      <c r="B417" s="3" t="str">
        <f>Angela_2026_Chase1117_Activity_!C414</f>
        <v>AMAZON MARK* BV87282 AMAZON.COM/MA WA        05/13</v>
      </c>
      <c r="C417" s="3" t="str">
        <f>Angela_2026_Chase1117_Activity_!G414</f>
        <v>Amazon</v>
      </c>
      <c r="D417" s="4">
        <f>Angela_2026_Chase1117_Activity_!D414</f>
        <v>-51.37</v>
      </c>
    </row>
    <row r="418" spans="1:4" x14ac:dyDescent="0.25">
      <c r="A418" s="28">
        <f>Angela_2026_Chase1117_Activity_!B415</f>
        <v>46156</v>
      </c>
      <c r="B418" s="3" t="str">
        <f>Angela_2026_Chase1117_Activity_!C415</f>
        <v>BENBROOK ANTIQUE MALL BENBROOK TX            05/12</v>
      </c>
      <c r="C418" s="3" t="str">
        <f>Angela_2026_Chase1117_Activity_!G415</f>
        <v>Personal - Shopping</v>
      </c>
      <c r="D418" s="4">
        <f>Angela_2026_Chase1117_Activity_!D415</f>
        <v>-764.9</v>
      </c>
    </row>
    <row r="419" spans="1:4" x14ac:dyDescent="0.25">
      <c r="A419" s="28">
        <f>Angela_2026_Chase1117_Activity_!B416</f>
        <v>46156</v>
      </c>
      <c r="B419" s="3" t="str">
        <f>Angela_2026_Chase1117_Activity_!C416</f>
        <v>AMAZON RETA* 9934V7A WWW.AMAZON.CO WA        05/13</v>
      </c>
      <c r="C419" s="3" t="str">
        <f>Angela_2026_Chase1117_Activity_!G416</f>
        <v>Amazon</v>
      </c>
      <c r="D419" s="4">
        <f>Angela_2026_Chase1117_Activity_!D416</f>
        <v>-9.8000000000000007</v>
      </c>
    </row>
    <row r="420" spans="1:4" x14ac:dyDescent="0.25">
      <c r="A420" s="28">
        <f>Angela_2026_Chase1117_Activity_!B417</f>
        <v>46155</v>
      </c>
      <c r="B420" s="3" t="str">
        <f>Angela_2026_Chase1117_Activity_!C417</f>
        <v>AMAZON MKTPL*BF8NS5V Amzn.com/bill WA        05/13</v>
      </c>
      <c r="C420" s="3" t="str">
        <f>Angela_2026_Chase1117_Activity_!G417</f>
        <v>Amazon</v>
      </c>
      <c r="D420" s="4">
        <f>Angela_2026_Chase1117_Activity_!D417</f>
        <v>-14.99</v>
      </c>
    </row>
    <row r="421" spans="1:4" x14ac:dyDescent="0.25">
      <c r="A421" s="28">
        <f>Angela_2026_Chase1117_Activity_!B418</f>
        <v>46155</v>
      </c>
      <c r="B421" s="3" t="str">
        <f>Angela_2026_Chase1117_Activity_!C418</f>
        <v>AMERICAN AIR00174138728 FORT WORTH TX        05/11</v>
      </c>
      <c r="C421" s="3" t="str">
        <f>Angela_2026_Chase1117_Activity_!G418</f>
        <v>Personal Travel</v>
      </c>
      <c r="D421" s="4">
        <f>Angela_2026_Chase1117_Activity_!D418</f>
        <v>-522.4</v>
      </c>
    </row>
    <row r="422" spans="1:4" x14ac:dyDescent="0.25">
      <c r="A422" s="28">
        <f>Angela_2026_Chase1117_Activity_!B419</f>
        <v>46155</v>
      </c>
      <c r="B422" s="3" t="str">
        <f>Angela_2026_Chase1117_Activity_!C419</f>
        <v>AMAZON MARK* BJ2II2R AMAZON.COM/MA WA        05/12</v>
      </c>
      <c r="C422" s="3" t="str">
        <f>Angela_2026_Chase1117_Activity_!G419</f>
        <v>Amazon</v>
      </c>
      <c r="D422" s="4">
        <f>Angela_2026_Chase1117_Activity_!D419</f>
        <v>-219.49</v>
      </c>
    </row>
    <row r="423" spans="1:4" x14ac:dyDescent="0.25">
      <c r="A423" s="28">
        <f>Angela_2026_Chase1117_Activity_!B420</f>
        <v>46155</v>
      </c>
      <c r="B423" s="3" t="str">
        <f>Angela_2026_Chase1117_Activity_!C420</f>
        <v>HENRY HOWARD HOTEL 504-3131577 LA            05/10</v>
      </c>
      <c r="C423" s="3" t="str">
        <f>Angela_2026_Chase1117_Activity_!G420</f>
        <v>Personal Travel - New Orleans</v>
      </c>
      <c r="D423" s="4">
        <f>Angela_2026_Chase1117_Activity_!D420</f>
        <v>-267.91000000000003</v>
      </c>
    </row>
    <row r="424" spans="1:4" x14ac:dyDescent="0.25">
      <c r="A424" s="28">
        <f>Angela_2026_Chase1117_Activity_!B421</f>
        <v>46155</v>
      </c>
      <c r="B424" s="3" t="str">
        <f>Angela_2026_Chase1117_Activity_!C421</f>
        <v>Online Transfer from CHK ...1168 transaction#: 29196764714</v>
      </c>
      <c r="C424" s="3" t="str">
        <f>Angela_2026_Chase1117_Activity_!G421</f>
        <v>Transfer from DWG Capital Group</v>
      </c>
      <c r="D424" s="4">
        <f>Angela_2026_Chase1117_Activity_!D421</f>
        <v>5000</v>
      </c>
    </row>
    <row r="425" spans="1:4" x14ac:dyDescent="0.25">
      <c r="A425" s="28">
        <f>Angela_2026_Chase1117_Activity_!B422</f>
        <v>46154</v>
      </c>
      <c r="B425" s="3" t="str">
        <f>Angela_2026_Chase1117_Activity_!C422</f>
        <v>WORLD MARKET  #135 FT. WORTH TX      443399  05/12</v>
      </c>
      <c r="C425" s="3" t="str">
        <f>Angela_2026_Chase1117_Activity_!G422</f>
        <v>Personal - Shopping</v>
      </c>
      <c r="D425" s="4">
        <f>Angela_2026_Chase1117_Activity_!D422</f>
        <v>-100.56</v>
      </c>
    </row>
    <row r="426" spans="1:4" x14ac:dyDescent="0.25">
      <c r="A426" s="28">
        <f>Angela_2026_Chase1117_Activity_!B423</f>
        <v>46154</v>
      </c>
      <c r="B426" s="3" t="str">
        <f>Angela_2026_Chase1117_Activity_!C423</f>
        <v>CENTRAL MARKET #545 FT WORTH TX      044060  05/12</v>
      </c>
      <c r="C426" s="3" t="str">
        <f>Angela_2026_Chase1117_Activity_!G423</f>
        <v>Personal - Food</v>
      </c>
      <c r="D426" s="4">
        <f>Angela_2026_Chase1117_Activity_!D423</f>
        <v>-766.69</v>
      </c>
    </row>
    <row r="427" spans="1:4" x14ac:dyDescent="0.25">
      <c r="A427" s="28">
        <f>Angela_2026_Chase1117_Activity_!B424</f>
        <v>46154</v>
      </c>
      <c r="B427" s="3" t="str">
        <f>Angela_2026_Chase1117_Activity_!C424</f>
        <v>ZARA USA INC. ESTADOS UNIDO NY       146631  05/11</v>
      </c>
      <c r="C427" s="3" t="str">
        <f>Angela_2026_Chase1117_Activity_!G424</f>
        <v>Personal - Shopping</v>
      </c>
      <c r="D427" s="4">
        <f>Angela_2026_Chase1117_Activity_!D424</f>
        <v>-393.48</v>
      </c>
    </row>
    <row r="428" spans="1:4" x14ac:dyDescent="0.25">
      <c r="A428" s="28">
        <f>Angela_2026_Chase1117_Activity_!B425</f>
        <v>46154</v>
      </c>
      <c r="B428" s="3" t="str">
        <f>Angela_2026_Chase1117_Activity_!C425</f>
        <v>SP DEXA SCAN NEAR ME DEXASCAN.COM MI         05/12</v>
      </c>
      <c r="C428" s="3" t="str">
        <f>Angela_2026_Chase1117_Activity_!G425</f>
        <v>Personal - Health</v>
      </c>
      <c r="D428" s="4">
        <f>Angela_2026_Chase1117_Activity_!D425</f>
        <v>-300</v>
      </c>
    </row>
    <row r="429" spans="1:4" x14ac:dyDescent="0.25">
      <c r="A429" s="28">
        <f>Angela_2026_Chase1117_Activity_!B426</f>
        <v>46154</v>
      </c>
      <c r="B429" s="3" t="str">
        <f>Angela_2026_Chase1117_Activity_!C426</f>
        <v>ALL FAMILY HEALTH LLC 561-7176794 FL         05/12</v>
      </c>
      <c r="C429" s="3" t="str">
        <f>Angela_2026_Chase1117_Activity_!G426</f>
        <v>Personal - Health</v>
      </c>
      <c r="D429" s="4">
        <f>Angela_2026_Chase1117_Activity_!D426</f>
        <v>-1010</v>
      </c>
    </row>
    <row r="430" spans="1:4" x14ac:dyDescent="0.25">
      <c r="A430" s="28">
        <f>Angela_2026_Chase1117_Activity_!B427</f>
        <v>46154</v>
      </c>
      <c r="B430" s="3" t="str">
        <f>Angela_2026_Chase1117_Activity_!C427</f>
        <v>AMAZON MARK* BF6K57E AMAZON.COM/MA WA        05/12</v>
      </c>
      <c r="C430" s="3" t="str">
        <f>Angela_2026_Chase1117_Activity_!G427</f>
        <v>Amazon</v>
      </c>
      <c r="D430" s="4">
        <f>Angela_2026_Chase1117_Activity_!D427</f>
        <v>-59.9</v>
      </c>
    </row>
    <row r="431" spans="1:4" x14ac:dyDescent="0.25">
      <c r="A431" s="28">
        <f>Angela_2026_Chase1117_Activity_!B428</f>
        <v>46154</v>
      </c>
      <c r="B431" s="3" t="str">
        <f>Angela_2026_Chase1117_Activity_!C428</f>
        <v>AMAZON MARK* BF6QS80 AMAZON.COM/MA WA        05/12</v>
      </c>
      <c r="C431" s="3" t="str">
        <f>Angela_2026_Chase1117_Activity_!G428</f>
        <v>Amazon</v>
      </c>
      <c r="D431" s="4">
        <f>Angela_2026_Chase1117_Activity_!D428</f>
        <v>-110.17</v>
      </c>
    </row>
    <row r="432" spans="1:4" x14ac:dyDescent="0.25">
      <c r="A432" s="28">
        <f>Angela_2026_Chase1117_Activity_!B429</f>
        <v>46154</v>
      </c>
      <c r="B432" s="3" t="str">
        <f>Angela_2026_Chase1117_Activity_!C429</f>
        <v>WWW.BODHILIVE.COM WWW.BODHILIVE NC           05/11</v>
      </c>
      <c r="C432" s="3" t="str">
        <f>Angela_2026_Chase1117_Activity_!G429</f>
        <v>Personal - Subscription</v>
      </c>
      <c r="D432" s="4">
        <f>Angela_2026_Chase1117_Activity_!D429</f>
        <v>-99</v>
      </c>
    </row>
    <row r="433" spans="1:4" x14ac:dyDescent="0.25">
      <c r="A433" s="28">
        <f>Angela_2026_Chase1117_Activity_!B430</f>
        <v>46154</v>
      </c>
      <c r="B433" s="3" t="str">
        <f>Angela_2026_Chase1117_Activity_!C430</f>
        <v>AMAZON MARK* BV3BD5M AMAZON.COM/MA WA        05/12</v>
      </c>
      <c r="C433" s="3" t="str">
        <f>Angela_2026_Chase1117_Activity_!G430</f>
        <v>Amazon</v>
      </c>
      <c r="D433" s="4">
        <f>Angela_2026_Chase1117_Activity_!D430</f>
        <v>-29.98</v>
      </c>
    </row>
    <row r="434" spans="1:4" x14ac:dyDescent="0.25">
      <c r="A434" s="28">
        <f>Angela_2026_Chase1117_Activity_!B431</f>
        <v>46154</v>
      </c>
      <c r="B434" s="3" t="str">
        <f>Angela_2026_Chase1117_Activity_!C431</f>
        <v>Amazon Tips*BF7MB032 Amzn.com/bill WA        05/11</v>
      </c>
      <c r="C434" s="3" t="str">
        <f>Angela_2026_Chase1117_Activity_!G431</f>
        <v>Amazon</v>
      </c>
      <c r="D434" s="4">
        <f>Angela_2026_Chase1117_Activity_!D431</f>
        <v>-30</v>
      </c>
    </row>
    <row r="435" spans="1:4" x14ac:dyDescent="0.25">
      <c r="A435" s="28">
        <f>Angela_2026_Chase1117_Activity_!B432</f>
        <v>46154</v>
      </c>
      <c r="B435" s="3" t="str">
        <f>Angela_2026_Chase1117_Activity_!C432</f>
        <v>AMAZON MKTPL*BF7VC2J Amzn.com/bill WA        05/11</v>
      </c>
      <c r="C435" s="3" t="str">
        <f>Angela_2026_Chase1117_Activity_!G432</f>
        <v>Amazon</v>
      </c>
      <c r="D435" s="4">
        <f>Angela_2026_Chase1117_Activity_!D432</f>
        <v>-21.33</v>
      </c>
    </row>
    <row r="436" spans="1:4" x14ac:dyDescent="0.25">
      <c r="A436" s="28">
        <f>Angela_2026_Chase1117_Activity_!B433</f>
        <v>46154</v>
      </c>
      <c r="B436" s="3" t="str">
        <f>Angela_2026_Chase1117_Activity_!C433</f>
        <v>AMAZON MARK* BF8VO9A AMAZON.COM/MA WA        05/12</v>
      </c>
      <c r="C436" s="3" t="str">
        <f>Angela_2026_Chase1117_Activity_!G433</f>
        <v>Amazon</v>
      </c>
      <c r="D436" s="4">
        <f>Angela_2026_Chase1117_Activity_!D433</f>
        <v>-105.15</v>
      </c>
    </row>
    <row r="437" spans="1:4" x14ac:dyDescent="0.25">
      <c r="A437" s="28">
        <f>Angela_2026_Chase1117_Activity_!B434</f>
        <v>46154</v>
      </c>
      <c r="B437" s="3" t="str">
        <f>Angela_2026_Chase1117_Activity_!C434</f>
        <v>AMAZON MKTPL*BF9OQ6J Amzn.com/bill WA        05/11</v>
      </c>
      <c r="C437" s="3" t="str">
        <f>Angela_2026_Chase1117_Activity_!G434</f>
        <v>Amazon</v>
      </c>
      <c r="D437" s="4">
        <f>Angela_2026_Chase1117_Activity_!D434</f>
        <v>-75.319999999999993</v>
      </c>
    </row>
    <row r="438" spans="1:4" x14ac:dyDescent="0.25">
      <c r="A438" s="28">
        <f>Angela_2026_Chase1117_Activity_!B435</f>
        <v>46154</v>
      </c>
      <c r="B438" s="3" t="str">
        <f>Angela_2026_Chase1117_Activity_!C435</f>
        <v>DD *DOORDASH BLUJASMI 855-431-0459 CA        05/12</v>
      </c>
      <c r="C438" s="3" t="str">
        <f>Angela_2026_Chase1117_Activity_!G435</f>
        <v>Uber Eats</v>
      </c>
      <c r="D438" s="4">
        <f>Angela_2026_Chase1117_Activity_!D435</f>
        <v>-67.05</v>
      </c>
    </row>
    <row r="439" spans="1:4" x14ac:dyDescent="0.25">
      <c r="A439" s="28">
        <f>Angela_2026_Chase1117_Activity_!B436</f>
        <v>46153</v>
      </c>
      <c r="B439" s="3" t="str">
        <f>Angela_2026_Chase1117_Activity_!C436</f>
        <v>FOREIGN EXCHANGE RATE ADJUSTMENT FEE         05/10DANCINGAS</v>
      </c>
      <c r="C439" s="3" t="str">
        <f>Angela_2026_Chase1117_Activity_!G436</f>
        <v>Personal Travel - Portugal</v>
      </c>
      <c r="D439" s="4">
        <f>Angela_2026_Chase1117_Activity_!D436</f>
        <v>-4.25</v>
      </c>
    </row>
    <row r="440" spans="1:4" x14ac:dyDescent="0.25">
      <c r="A440" s="28">
        <f>Angela_2026_Chase1117_Activity_!B437</f>
        <v>46153</v>
      </c>
      <c r="B440" s="3" t="str">
        <f>Angela_2026_Chase1117_Activity_!C437</f>
        <v>AMAZON MARK* BF7J203 AMAZON.COM/MA WA        05/11</v>
      </c>
      <c r="C440" s="3" t="str">
        <f>Angela_2026_Chase1117_Activity_!G437</f>
        <v>Amazon</v>
      </c>
      <c r="D440" s="4">
        <f>Angela_2026_Chase1117_Activity_!D437</f>
        <v>-78.98</v>
      </c>
    </row>
    <row r="441" spans="1:4" x14ac:dyDescent="0.25">
      <c r="A441" s="28">
        <f>Angela_2026_Chase1117_Activity_!B438</f>
        <v>46153</v>
      </c>
      <c r="B441" s="3" t="str">
        <f>Angela_2026_Chase1117_Activity_!C438</f>
        <v>AMAZON RETA* BF9AQ2Z WWW.AMAZON.CO WA        05/11</v>
      </c>
      <c r="C441" s="3" t="str">
        <f>Angela_2026_Chase1117_Activity_!G438</f>
        <v>Amazon</v>
      </c>
      <c r="D441" s="4">
        <f>Angela_2026_Chase1117_Activity_!D438</f>
        <v>-90</v>
      </c>
    </row>
    <row r="442" spans="1:4" x14ac:dyDescent="0.25">
      <c r="A442" s="28">
        <f>Angela_2026_Chase1117_Activity_!B439</f>
        <v>46153</v>
      </c>
      <c r="B442" s="3" t="str">
        <f>Angela_2026_Chase1117_Activity_!C439</f>
        <v>AMAZON RETA* BF5A99Z WWW.AMAZON.CO WA        05/11</v>
      </c>
      <c r="C442" s="3" t="str">
        <f>Angela_2026_Chase1117_Activity_!G439</f>
        <v>Amazon</v>
      </c>
      <c r="D442" s="4">
        <f>Angela_2026_Chase1117_Activity_!D439</f>
        <v>-18</v>
      </c>
    </row>
    <row r="443" spans="1:4" x14ac:dyDescent="0.25">
      <c r="A443" s="28">
        <f>Angela_2026_Chase1117_Activity_!B440</f>
        <v>46153</v>
      </c>
      <c r="B443" s="3" t="str">
        <f>Angela_2026_Chase1117_Activity_!C440</f>
        <v>AMAZON RETA* IM0B81Q WWW.AMAZON.CO WA        05/11</v>
      </c>
      <c r="C443" s="3" t="str">
        <f>Angela_2026_Chase1117_Activity_!G440</f>
        <v>Amazon</v>
      </c>
      <c r="D443" s="4">
        <f>Angela_2026_Chase1117_Activity_!D440</f>
        <v>-23.1</v>
      </c>
    </row>
    <row r="444" spans="1:4" x14ac:dyDescent="0.25">
      <c r="A444" s="28">
        <f>Angela_2026_Chase1117_Activity_!B441</f>
        <v>46153</v>
      </c>
      <c r="B444" s="3" t="str">
        <f>Angela_2026_Chase1117_Activity_!C441</f>
        <v>AMAZON MARK* BV11Y5P AMAZON.COM/MA WA        05/11</v>
      </c>
      <c r="C444" s="3" t="str">
        <f>Angela_2026_Chase1117_Activity_!G441</f>
        <v>Amazon</v>
      </c>
      <c r="D444" s="4">
        <f>Angela_2026_Chase1117_Activity_!D441</f>
        <v>-36</v>
      </c>
    </row>
    <row r="445" spans="1:4" x14ac:dyDescent="0.25">
      <c r="A445" s="28">
        <f>Angela_2026_Chase1117_Activity_!B442</f>
        <v>46153</v>
      </c>
      <c r="B445" s="3" t="str">
        <f>Angela_2026_Chase1117_Activity_!C442</f>
        <v>AMAZON MARK* BV1OO1P AMAZON.COM/MA WA        05/11</v>
      </c>
      <c r="C445" s="3" t="str">
        <f>Angela_2026_Chase1117_Activity_!G442</f>
        <v>Amazon</v>
      </c>
      <c r="D445" s="4">
        <f>Angela_2026_Chase1117_Activity_!D442</f>
        <v>-198</v>
      </c>
    </row>
    <row r="446" spans="1:4" x14ac:dyDescent="0.25">
      <c r="A446" s="28">
        <f>Angela_2026_Chase1117_Activity_!B443</f>
        <v>46153</v>
      </c>
      <c r="B446" s="3" t="str">
        <f>Angela_2026_Chase1117_Activity_!C443</f>
        <v>AMAZON MARK* BV7E721 AMAZON.COM/MA WA        05/11</v>
      </c>
      <c r="C446" s="3" t="str">
        <f>Angela_2026_Chase1117_Activity_!G443</f>
        <v>Amazon</v>
      </c>
      <c r="D446" s="4">
        <f>Angela_2026_Chase1117_Activity_!D443</f>
        <v>-37.5</v>
      </c>
    </row>
    <row r="447" spans="1:4" x14ac:dyDescent="0.25">
      <c r="A447" s="28">
        <f>Angela_2026_Chase1117_Activity_!B444</f>
        <v>46153</v>
      </c>
      <c r="B447" s="3" t="str">
        <f>Angela_2026_Chase1117_Activity_!C444</f>
        <v>Amazon.com*Q31064EG3 Amzn.com/bill WA        05/11</v>
      </c>
      <c r="C447" s="3" t="str">
        <f>Angela_2026_Chase1117_Activity_!G444</f>
        <v>Amazon</v>
      </c>
      <c r="D447" s="4">
        <f>Angela_2026_Chase1117_Activity_!D444</f>
        <v>-19.2</v>
      </c>
    </row>
    <row r="448" spans="1:4" x14ac:dyDescent="0.25">
      <c r="A448" s="28">
        <f>Angela_2026_Chase1117_Activity_!B445</f>
        <v>46153</v>
      </c>
      <c r="B448" s="3" t="str">
        <f>Angela_2026_Chase1117_Activity_!C445</f>
        <v>AMAZON MKTPL*BV75K01 Amzn.com/bill WA        05/11</v>
      </c>
      <c r="C448" s="3" t="str">
        <f>Angela_2026_Chase1117_Activity_!G445</f>
        <v>Amazon</v>
      </c>
      <c r="D448" s="4">
        <f>Angela_2026_Chase1117_Activity_!D445</f>
        <v>-154.53</v>
      </c>
    </row>
    <row r="449" spans="1:4" x14ac:dyDescent="0.25">
      <c r="A449" s="28">
        <f>Angela_2026_Chase1117_Activity_!B446</f>
        <v>46153</v>
      </c>
      <c r="B449" s="3" t="str">
        <f>Angela_2026_Chase1117_Activity_!C446</f>
        <v>AMAZON MARK* BV7727P AMAZON.COM/MA WA        05/11</v>
      </c>
      <c r="C449" s="3" t="str">
        <f>Angela_2026_Chase1117_Activity_!G446</f>
        <v>Amazon</v>
      </c>
      <c r="D449" s="4">
        <f>Angela_2026_Chase1117_Activity_!D446</f>
        <v>-192.94</v>
      </c>
    </row>
    <row r="450" spans="1:4" x14ac:dyDescent="0.25">
      <c r="A450" s="28">
        <f>Angela_2026_Chase1117_Activity_!B447</f>
        <v>46153</v>
      </c>
      <c r="B450" s="3" t="str">
        <f>Angela_2026_Chase1117_Activity_!C447</f>
        <v>Amazon Tips*6S4O98E8 Amzn.com/bill WA        05/10</v>
      </c>
      <c r="C450" s="3" t="str">
        <f>Angela_2026_Chase1117_Activity_!G447</f>
        <v>Amazon</v>
      </c>
      <c r="D450" s="4">
        <f>Angela_2026_Chase1117_Activity_!D447</f>
        <v>-20</v>
      </c>
    </row>
    <row r="451" spans="1:4" x14ac:dyDescent="0.25">
      <c r="A451" s="28">
        <f>Angela_2026_Chase1117_Activity_!B448</f>
        <v>46153</v>
      </c>
      <c r="B451" s="3" t="str">
        <f>Angela_2026_Chase1117_Activity_!C448</f>
        <v>DANCINGASTROLOGER.COM CRANS                  05/10 Swiss Franc110.00 X 1.289000 (EXCHG RTE)</v>
      </c>
      <c r="C451" s="3" t="str">
        <f>Angela_2026_Chase1117_Activity_!G448</f>
        <v>Personal Travel</v>
      </c>
      <c r="D451" s="4">
        <f>Angela_2026_Chase1117_Activity_!D448</f>
        <v>-141.79</v>
      </c>
    </row>
    <row r="452" spans="1:4" x14ac:dyDescent="0.25">
      <c r="A452" s="28">
        <f>Angela_2026_Chase1117_Activity_!B449</f>
        <v>46153</v>
      </c>
      <c r="B452" s="3" t="str">
        <f>Angela_2026_Chase1117_Activity_!C449</f>
        <v>ZARA USA INC. ESTADOS UNIDO NY       076597  05/08</v>
      </c>
      <c r="C452" s="3" t="str">
        <f>Angela_2026_Chase1117_Activity_!G449</f>
        <v>Personal - Shopping</v>
      </c>
      <c r="D452" s="4">
        <f>Angela_2026_Chase1117_Activity_!D449</f>
        <v>-753.55</v>
      </c>
    </row>
    <row r="453" spans="1:4" x14ac:dyDescent="0.25">
      <c r="A453" s="28">
        <f>Angela_2026_Chase1117_Activity_!B450</f>
        <v>46153</v>
      </c>
      <c r="B453" s="3" t="str">
        <f>Angela_2026_Chase1117_Activity_!C450</f>
        <v>TARGET T-1981 122 E IN WEATHERFORD TX344237  05/09</v>
      </c>
      <c r="C453" s="3" t="str">
        <f>Angela_2026_Chase1117_Activity_!G450</f>
        <v>Personal - Shopping</v>
      </c>
      <c r="D453" s="4">
        <f>Angela_2026_Chase1117_Activity_!D450</f>
        <v>-224.87</v>
      </c>
    </row>
    <row r="454" spans="1:4" x14ac:dyDescent="0.25">
      <c r="A454" s="28">
        <f>Angela_2026_Chase1117_Activity_!B451</f>
        <v>46153</v>
      </c>
      <c r="B454" s="3" t="str">
        <f>Angela_2026_Chase1117_Activity_!C451</f>
        <v>DD *DOORDASH CHIPOTLE 855-431-0459 CA        05/11</v>
      </c>
      <c r="C454" s="3" t="str">
        <f>Angela_2026_Chase1117_Activity_!G451</f>
        <v>Uber Eats</v>
      </c>
      <c r="D454" s="4">
        <f>Angela_2026_Chase1117_Activity_!D451</f>
        <v>-53.39</v>
      </c>
    </row>
    <row r="455" spans="1:4" x14ac:dyDescent="0.25">
      <c r="A455" s="28">
        <f>Angela_2026_Chase1117_Activity_!B452</f>
        <v>46153</v>
      </c>
      <c r="B455" s="3" t="str">
        <f>Angela_2026_Chase1117_Activity_!C452</f>
        <v>APPLE.COM/BILL 866-712-7753 CA               05/10</v>
      </c>
      <c r="C455" s="3" t="str">
        <f>Angela_2026_Chase1117_Activity_!G452</f>
        <v>Apple</v>
      </c>
      <c r="D455" s="4">
        <f>Angela_2026_Chase1117_Activity_!D452</f>
        <v>-12.99</v>
      </c>
    </row>
    <row r="456" spans="1:4" x14ac:dyDescent="0.25">
      <c r="A456" s="28">
        <f>Angela_2026_Chase1117_Activity_!B453</f>
        <v>46153</v>
      </c>
      <c r="B456" s="3" t="str">
        <f>Angela_2026_Chase1117_Activity_!C453</f>
        <v>ANCIENT ORIGINS TIMOLIN                      05/09</v>
      </c>
      <c r="C456" s="3" t="str">
        <f>Angela_2026_Chase1117_Activity_!G453</f>
        <v>Personal - Subscription</v>
      </c>
      <c r="D456" s="4">
        <f>Angela_2026_Chase1117_Activity_!D453</f>
        <v>-79.95</v>
      </c>
    </row>
    <row r="457" spans="1:4" x14ac:dyDescent="0.25">
      <c r="A457" s="28">
        <f>Angela_2026_Chase1117_Activity_!B454</f>
        <v>46153</v>
      </c>
      <c r="B457" s="3" t="str">
        <f>Angela_2026_Chase1117_Activity_!C454</f>
        <v>UBER   * EATS PENDIN SAN FRANCISCO CA149613  05/09</v>
      </c>
      <c r="C457" s="3" t="str">
        <f>Angela_2026_Chase1117_Activity_!G454</f>
        <v>Uber Eats</v>
      </c>
      <c r="D457" s="4">
        <f>Angela_2026_Chase1117_Activity_!D454</f>
        <v>-41</v>
      </c>
    </row>
    <row r="458" spans="1:4" x14ac:dyDescent="0.25">
      <c r="A458" s="28">
        <f>Angela_2026_Chase1117_Activity_!B455</f>
        <v>46153</v>
      </c>
      <c r="B458" s="3" t="str">
        <f>Angela_2026_Chase1117_Activity_!C455</f>
        <v>Amazon.com*BF3177CB1 Amzn.com/bill WA        05/10</v>
      </c>
      <c r="C458" s="3" t="str">
        <f>Angela_2026_Chase1117_Activity_!G455</f>
        <v>Amazon</v>
      </c>
      <c r="D458" s="4">
        <f>Angela_2026_Chase1117_Activity_!D455</f>
        <v>-154.81</v>
      </c>
    </row>
    <row r="459" spans="1:4" x14ac:dyDescent="0.25">
      <c r="A459" s="28">
        <f>Angela_2026_Chase1117_Activity_!B456</f>
        <v>46153</v>
      </c>
      <c r="B459" s="3" t="str">
        <f>Angela_2026_Chase1117_Activity_!C456</f>
        <v>Amazon.com*BV4SW99B1 Amzn.com/bill WA        05/09</v>
      </c>
      <c r="C459" s="3" t="str">
        <f>Angela_2026_Chase1117_Activity_!G456</f>
        <v>Amazon</v>
      </c>
      <c r="D459" s="4">
        <f>Angela_2026_Chase1117_Activity_!D456</f>
        <v>-83.95</v>
      </c>
    </row>
    <row r="460" spans="1:4" x14ac:dyDescent="0.25">
      <c r="A460" s="28">
        <f>Angela_2026_Chase1117_Activity_!B457</f>
        <v>46153</v>
      </c>
      <c r="B460" s="3" t="str">
        <f>Angela_2026_Chase1117_Activity_!C457</f>
        <v>DECEITS KO-FI.COM/DEC CA                     05/09</v>
      </c>
      <c r="C460" s="3" t="str">
        <f>Angela_2026_Chase1117_Activity_!G457</f>
        <v>Personal - Subscription</v>
      </c>
      <c r="D460" s="4">
        <f>Angela_2026_Chase1117_Activity_!D457</f>
        <v>-200</v>
      </c>
    </row>
    <row r="461" spans="1:4" x14ac:dyDescent="0.25">
      <c r="A461" s="28">
        <f>Angela_2026_Chase1117_Activity_!B458</f>
        <v>46153</v>
      </c>
      <c r="B461" s="3" t="str">
        <f>Angela_2026_Chase1117_Activity_!C458</f>
        <v>APPLE.COM/BILL 866-712-7753 CA               05/09</v>
      </c>
      <c r="C461" s="3" t="str">
        <f>Angela_2026_Chase1117_Activity_!G458</f>
        <v>Apple</v>
      </c>
      <c r="D461" s="4">
        <f>Angela_2026_Chase1117_Activity_!D458</f>
        <v>-6.99</v>
      </c>
    </row>
    <row r="462" spans="1:4" x14ac:dyDescent="0.25">
      <c r="A462" s="28">
        <f>Angela_2026_Chase1117_Activity_!B459</f>
        <v>46153</v>
      </c>
      <c r="B462" s="3" t="str">
        <f>Angela_2026_Chase1117_Activity_!C459</f>
        <v>AMERICAN AIR00106483517 FORT WORTH TX        05/09</v>
      </c>
      <c r="C462" s="3" t="str">
        <f>Angela_2026_Chase1117_Activity_!G459</f>
        <v>Personal Travel</v>
      </c>
      <c r="D462" s="4">
        <f>Angela_2026_Chase1117_Activity_!D459</f>
        <v>-36</v>
      </c>
    </row>
    <row r="463" spans="1:4" x14ac:dyDescent="0.25">
      <c r="A463" s="28">
        <f>Angela_2026_Chase1117_Activity_!B460</f>
        <v>46153</v>
      </c>
      <c r="B463" s="3" t="str">
        <f>Angela_2026_Chase1117_Activity_!C460</f>
        <v>AMERICAN AIR00106483517 FORT WORTH TX        05/09</v>
      </c>
      <c r="C463" s="3" t="str">
        <f>Angela_2026_Chase1117_Activity_!G460</f>
        <v>Personal Travel</v>
      </c>
      <c r="D463" s="4">
        <f>Angela_2026_Chase1117_Activity_!D460</f>
        <v>-36</v>
      </c>
    </row>
    <row r="464" spans="1:4" x14ac:dyDescent="0.25">
      <c r="A464" s="28">
        <f>Angela_2026_Chase1117_Activity_!B461</f>
        <v>46153</v>
      </c>
      <c r="B464" s="3" t="str">
        <f>Angela_2026_Chase1117_Activity_!C461</f>
        <v>AMERICAN AIR00144958372 FORT WORTH TX        05/09</v>
      </c>
      <c r="C464" s="3" t="str">
        <f>Angela_2026_Chase1117_Activity_!G461</f>
        <v>Personal Travel</v>
      </c>
      <c r="D464" s="4">
        <f>Angela_2026_Chase1117_Activity_!D461</f>
        <v>-55</v>
      </c>
    </row>
    <row r="465" spans="1:4" x14ac:dyDescent="0.25">
      <c r="A465" s="28">
        <f>Angela_2026_Chase1117_Activity_!B462</f>
        <v>46153</v>
      </c>
      <c r="B465" s="3" t="str">
        <f>Angela_2026_Chase1117_Activity_!C462</f>
        <v>AMERICAN AIR00106483514 FORT WORTH TX        05/09</v>
      </c>
      <c r="C465" s="3" t="str">
        <f>Angela_2026_Chase1117_Activity_!G462</f>
        <v>Personal Travel</v>
      </c>
      <c r="D465" s="4">
        <f>Angela_2026_Chase1117_Activity_!D462</f>
        <v>-36</v>
      </c>
    </row>
    <row r="466" spans="1:4" x14ac:dyDescent="0.25">
      <c r="A466" s="28">
        <f>Angela_2026_Chase1117_Activity_!B463</f>
        <v>46153</v>
      </c>
      <c r="B466" s="3" t="str">
        <f>Angela_2026_Chase1117_Activity_!C463</f>
        <v>AMERICAN AIR00144958367 FORT WORTH TX        05/09</v>
      </c>
      <c r="C466" s="3" t="str">
        <f>Angela_2026_Chase1117_Activity_!G463</f>
        <v>Personal Travel</v>
      </c>
      <c r="D466" s="4">
        <f>Angela_2026_Chase1117_Activity_!D463</f>
        <v>-45</v>
      </c>
    </row>
    <row r="467" spans="1:4" x14ac:dyDescent="0.25">
      <c r="A467" s="28">
        <f>Angela_2026_Chase1117_Activity_!B464</f>
        <v>46153</v>
      </c>
      <c r="B467" s="3" t="str">
        <f>Angela_2026_Chase1117_Activity_!C464</f>
        <v>AMERICAN AIR00106483512 FORT WORTH TX        05/09</v>
      </c>
      <c r="C467" s="3" t="str">
        <f>Angela_2026_Chase1117_Activity_!G464</f>
        <v>Personal Travel</v>
      </c>
      <c r="D467" s="4">
        <f>Angela_2026_Chase1117_Activity_!D464</f>
        <v>-60</v>
      </c>
    </row>
    <row r="468" spans="1:4" x14ac:dyDescent="0.25">
      <c r="A468" s="28">
        <f>Angela_2026_Chase1117_Activity_!B465</f>
        <v>46153</v>
      </c>
      <c r="B468" s="3" t="str">
        <f>Angela_2026_Chase1117_Activity_!C465</f>
        <v>SP LIFEPROFITNESS LIFEPROFITNES NY           05/08</v>
      </c>
      <c r="C468" s="3" t="str">
        <f>Angela_2026_Chase1117_Activity_!G465</f>
        <v>Personal - Health</v>
      </c>
      <c r="D468" s="4">
        <f>Angela_2026_Chase1117_Activity_!D465</f>
        <v>-216.47</v>
      </c>
    </row>
    <row r="469" spans="1:4" x14ac:dyDescent="0.25">
      <c r="A469" s="28">
        <f>Angela_2026_Chase1117_Activity_!B466</f>
        <v>46153</v>
      </c>
      <c r="B469" s="3" t="str">
        <f>Angela_2026_Chase1117_Activity_!C466</f>
        <v>Online Transfer from CHK ...1168 transaction#: 29184329466</v>
      </c>
      <c r="C469" s="3" t="str">
        <f>Angela_2026_Chase1117_Activity_!G466</f>
        <v>Transfer from DWG Capital Group</v>
      </c>
      <c r="D469" s="4">
        <f>Angela_2026_Chase1117_Activity_!D466</f>
        <v>3000</v>
      </c>
    </row>
    <row r="470" spans="1:4" x14ac:dyDescent="0.25">
      <c r="A470" s="28">
        <f>Angela_2026_Chase1117_Activity_!B467</f>
        <v>46150</v>
      </c>
      <c r="B470" s="3" t="str">
        <f>Angela_2026_Chase1117_Activity_!C467</f>
        <v>CVS/PHARMACY #09493 MAR VISTA CA     045252  05/08</v>
      </c>
      <c r="C470" s="3" t="str">
        <f>Angela_2026_Chase1117_Activity_!G467</f>
        <v>Personal - Health</v>
      </c>
      <c r="D470" s="4">
        <f>Angela_2026_Chase1117_Activity_!D467</f>
        <v>-164.57</v>
      </c>
    </row>
    <row r="471" spans="1:4" x14ac:dyDescent="0.25">
      <c r="A471" s="28">
        <f>Angela_2026_Chase1117_Activity_!B468</f>
        <v>46150</v>
      </c>
      <c r="B471" s="3" t="str">
        <f>Angela_2026_Chase1117_Activity_!C468</f>
        <v>Prime Video Channels amzn.com/bill WA        05/07</v>
      </c>
      <c r="C471" s="3" t="str">
        <f>Angela_2026_Chase1117_Activity_!G468</f>
        <v>Amazon</v>
      </c>
      <c r="D471" s="4">
        <f>Angela_2026_Chase1117_Activity_!D468</f>
        <v>-15.99</v>
      </c>
    </row>
    <row r="472" spans="1:4" x14ac:dyDescent="0.25">
      <c r="A472" s="28">
        <f>Angela_2026_Chase1117_Activity_!B469</f>
        <v>46150</v>
      </c>
      <c r="B472" s="3" t="str">
        <f>Angela_2026_Chase1117_Activity_!C469</f>
        <v>AMERICAN AIR00174135058 FORT WORTH TX        05/06</v>
      </c>
      <c r="C472" s="3" t="str">
        <f>Angela_2026_Chase1117_Activity_!G469</f>
        <v>Personal Travel</v>
      </c>
      <c r="D472" s="4">
        <f>Angela_2026_Chase1117_Activity_!D469</f>
        <v>-463.4</v>
      </c>
    </row>
    <row r="473" spans="1:4" x14ac:dyDescent="0.25">
      <c r="A473" s="28">
        <f>Angela_2026_Chase1117_Activity_!B470</f>
        <v>46150</v>
      </c>
      <c r="B473" s="3" t="str">
        <f>Angela_2026_Chase1117_Activity_!C470</f>
        <v>Online Transfer from CHK ...1168 transaction#: 29146058585</v>
      </c>
      <c r="C473" s="3" t="str">
        <f>Angela_2026_Chase1117_Activity_!G470</f>
        <v>Transfer from DWG Capital Group</v>
      </c>
      <c r="D473" s="4">
        <f>Angela_2026_Chase1117_Activity_!D470</f>
        <v>5000</v>
      </c>
    </row>
    <row r="474" spans="1:4" x14ac:dyDescent="0.25">
      <c r="A474" s="28">
        <f>Angela_2026_Chase1117_Activity_!B471</f>
        <v>46150</v>
      </c>
      <c r="B474" s="3" t="str">
        <f>Angela_2026_Chase1117_Activity_!C471</f>
        <v>ATM CHECK DEPOSIT 05/08 12335 VENICE BLVD LOS ANGELES CA</v>
      </c>
      <c r="C474" s="3" t="str">
        <f>Angela_2026_Chase1117_Activity_!G471</f>
        <v>Deposit</v>
      </c>
      <c r="D474" s="4">
        <f>Angela_2026_Chase1117_Activity_!D471</f>
        <v>337</v>
      </c>
    </row>
    <row r="475" spans="1:4" x14ac:dyDescent="0.25">
      <c r="A475" s="28">
        <f>Angela_2026_Chase1117_Activity_!B472</f>
        <v>46149</v>
      </c>
      <c r="B475" s="3" t="str">
        <f>Angela_2026_Chase1117_Activity_!C472</f>
        <v>Amazon Tips*BF4W70AG Amzn.com/bill WA        05/06</v>
      </c>
      <c r="C475" s="3" t="str">
        <f>Angela_2026_Chase1117_Activity_!G472</f>
        <v>Amazon</v>
      </c>
      <c r="D475" s="4">
        <f>Angela_2026_Chase1117_Activity_!D472</f>
        <v>-10</v>
      </c>
    </row>
    <row r="476" spans="1:4" x14ac:dyDescent="0.25">
      <c r="A476" s="28">
        <f>Angela_2026_Chase1117_Activity_!B473</f>
        <v>46149</v>
      </c>
      <c r="B476" s="3" t="str">
        <f>Angela_2026_Chase1117_Activity_!C473</f>
        <v>TST*BEETHOVEN Los Angeles CA                 05/06</v>
      </c>
      <c r="C476" s="3" t="str">
        <f>Angela_2026_Chase1117_Activity_!G473</f>
        <v>Personal - Food</v>
      </c>
      <c r="D476" s="4">
        <f>Angela_2026_Chase1117_Activity_!D473</f>
        <v>-181.24</v>
      </c>
    </row>
    <row r="477" spans="1:4" x14ac:dyDescent="0.25">
      <c r="A477" s="28">
        <f>Angela_2026_Chase1117_Activity_!B474</f>
        <v>46148</v>
      </c>
      <c r="B477" s="3" t="str">
        <f>Angela_2026_Chase1117_Activity_!C474</f>
        <v>GOOGLE *YouTubePremi g.co/helppay# CA        05/06</v>
      </c>
      <c r="C477" s="3" t="str">
        <f>Angela_2026_Chase1117_Activity_!G474</f>
        <v>YouTube Premium</v>
      </c>
      <c r="D477" s="4">
        <f>Angela_2026_Chase1117_Activity_!D474</f>
        <v>-13.99</v>
      </c>
    </row>
    <row r="478" spans="1:4" x14ac:dyDescent="0.25">
      <c r="A478" s="28">
        <f>Angela_2026_Chase1117_Activity_!B475</f>
        <v>46148</v>
      </c>
      <c r="B478" s="3" t="str">
        <f>Angela_2026_Chase1117_Activity_!C475</f>
        <v>PSYCHOLOGY TODAY PSYCHOLOGYTOD SD            05/06</v>
      </c>
      <c r="C478" s="3" t="str">
        <f>Angela_2026_Chase1117_Activity_!G475</f>
        <v>Personal - Subscription</v>
      </c>
      <c r="D478" s="4">
        <f>Angela_2026_Chase1117_Activity_!D475</f>
        <v>-29.95</v>
      </c>
    </row>
    <row r="479" spans="1:4" x14ac:dyDescent="0.25">
      <c r="A479" s="28">
        <f>Angela_2026_Chase1117_Activity_!B476</f>
        <v>46148</v>
      </c>
      <c r="B479" s="3" t="str">
        <f>Angela_2026_Chase1117_Activity_!C476</f>
        <v>MERCEDES BENZ LAGUNA N 949-3473700 CA        05/05</v>
      </c>
      <c r="C479" s="3" t="str">
        <f>Angela_2026_Chase1117_Activity_!G476</f>
        <v>Personal - Car</v>
      </c>
      <c r="D479" s="4">
        <f>Angela_2026_Chase1117_Activity_!D476</f>
        <v>-1000</v>
      </c>
    </row>
    <row r="480" spans="1:4" x14ac:dyDescent="0.25">
      <c r="A480" s="28">
        <f>Angela_2026_Chase1117_Activity_!B477</f>
        <v>46148</v>
      </c>
      <c r="B480" s="3" t="str">
        <f>Angela_2026_Chase1117_Activity_!C477</f>
        <v>Amazon.com*BJ8111BT0 Amzn.com/bill WA        05/05</v>
      </c>
      <c r="C480" s="3" t="str">
        <f>Angela_2026_Chase1117_Activity_!G477</f>
        <v>Amazon</v>
      </c>
      <c r="D480" s="4">
        <f>Angela_2026_Chase1117_Activity_!D477</f>
        <v>-181.42</v>
      </c>
    </row>
    <row r="481" spans="1:4" x14ac:dyDescent="0.25">
      <c r="A481" s="28">
        <f>Angela_2026_Chase1117_Activity_!B478</f>
        <v>46148</v>
      </c>
      <c r="B481" s="3" t="str">
        <f>Angela_2026_Chase1117_Activity_!C478</f>
        <v>Zelle payment from JOE SAUNDERS 29108543440</v>
      </c>
      <c r="C481" s="3" t="str">
        <f>Angela_2026_Chase1117_Activity_!G478</f>
        <v>Zelle from Joe Saunders</v>
      </c>
      <c r="D481" s="4">
        <f>Angela_2026_Chase1117_Activity_!D478</f>
        <v>500</v>
      </c>
    </row>
    <row r="482" spans="1:4" x14ac:dyDescent="0.25">
      <c r="A482" s="28">
        <f>Angela_2026_Chase1117_Activity_!B479</f>
        <v>46147</v>
      </c>
      <c r="B482" s="3" t="str">
        <f>Angela_2026_Chase1117_Activity_!C479</f>
        <v>AMAZON MARK* BV1P20Y AMAZON.COM/MA WA        05/05</v>
      </c>
      <c r="C482" s="3" t="str">
        <f>Angela_2026_Chase1117_Activity_!G479</f>
        <v>Amazon</v>
      </c>
      <c r="D482" s="4">
        <f>Angela_2026_Chase1117_Activity_!D479</f>
        <v>-100.86</v>
      </c>
    </row>
    <row r="483" spans="1:4" x14ac:dyDescent="0.25">
      <c r="A483" s="28">
        <f>Angela_2026_Chase1117_Activity_!B480</f>
        <v>46147</v>
      </c>
      <c r="B483" s="3" t="str">
        <f>Angela_2026_Chase1117_Activity_!C480</f>
        <v>AMAZON MARK* BJ9ZQ0M AMAZON.COM/MA WA        05/05</v>
      </c>
      <c r="C483" s="3" t="str">
        <f>Angela_2026_Chase1117_Activity_!G480</f>
        <v>Amazon</v>
      </c>
      <c r="D483" s="4">
        <f>Angela_2026_Chase1117_Activity_!D480</f>
        <v>-32.869999999999997</v>
      </c>
    </row>
    <row r="484" spans="1:4" x14ac:dyDescent="0.25">
      <c r="A484" s="28">
        <f>Angela_2026_Chase1117_Activity_!B481</f>
        <v>46147</v>
      </c>
      <c r="B484" s="3" t="str">
        <f>Angela_2026_Chase1117_Activity_!C481</f>
        <v>AMAZON MKTPL*BV21K9W Amzn.com/bill WA        05/04</v>
      </c>
      <c r="C484" s="3" t="str">
        <f>Angela_2026_Chase1117_Activity_!G481</f>
        <v>Amazon</v>
      </c>
      <c r="D484" s="4">
        <f>Angela_2026_Chase1117_Activity_!D481</f>
        <v>-87.79</v>
      </c>
    </row>
    <row r="485" spans="1:4" x14ac:dyDescent="0.25">
      <c r="A485" s="28">
        <f>Angela_2026_Chase1117_Activity_!B482</f>
        <v>46147</v>
      </c>
      <c r="B485" s="3" t="str">
        <f>Angela_2026_Chase1117_Activity_!C482</f>
        <v>CASABLANCA RESTAURANT VENICE CA              05/03</v>
      </c>
      <c r="C485" s="3" t="str">
        <f>Angela_2026_Chase1117_Activity_!G482</f>
        <v>Personal - Food</v>
      </c>
      <c r="D485" s="4">
        <f>Angela_2026_Chase1117_Activity_!D482</f>
        <v>-94.9</v>
      </c>
    </row>
    <row r="486" spans="1:4" x14ac:dyDescent="0.25">
      <c r="A486" s="28">
        <f>Angela_2026_Chase1117_Activity_!B483</f>
        <v>46147</v>
      </c>
      <c r="B486" s="3" t="str">
        <f>Angela_2026_Chase1117_Activity_!C483</f>
        <v>Zelle payment from EUNICE G CHANG 29105640457</v>
      </c>
      <c r="C486" s="3" t="str">
        <f>Angela_2026_Chase1117_Activity_!G483</f>
        <v>Zelle from Eunice G Chang</v>
      </c>
      <c r="D486" s="4">
        <f>Angela_2026_Chase1117_Activity_!D483</f>
        <v>175</v>
      </c>
    </row>
    <row r="487" spans="1:4" x14ac:dyDescent="0.25">
      <c r="A487" s="28">
        <f>Angela_2026_Chase1117_Activity_!B484</f>
        <v>46147</v>
      </c>
      <c r="B487" s="3" t="str">
        <f>Angela_2026_Chase1117_Activity_!C484</f>
        <v>AMAZON MARK* BV31232B2 SEATTLE WA            05/03</v>
      </c>
      <c r="C487" s="3" t="str">
        <f>Angela_2026_Chase1117_Activity_!G484</f>
        <v>Amazon</v>
      </c>
      <c r="D487" s="4">
        <f>Angela_2026_Chase1117_Activity_!D484</f>
        <v>26.63</v>
      </c>
    </row>
    <row r="488" spans="1:4" x14ac:dyDescent="0.25">
      <c r="A488" s="28">
        <f>Angela_2026_Chase1117_Activity_!B485</f>
        <v>46146</v>
      </c>
      <c r="B488" s="3" t="str">
        <f>Angela_2026_Chase1117_Activity_!C485</f>
        <v>UBER   * EATS PENDIN SAN FRANCISCO CA026303  05/04</v>
      </c>
      <c r="C488" s="3" t="str">
        <f>Angela_2026_Chase1117_Activity_!G485</f>
        <v>Uber Eats</v>
      </c>
      <c r="D488" s="4">
        <f>Angela_2026_Chase1117_Activity_!D485</f>
        <v>-67.25</v>
      </c>
    </row>
    <row r="489" spans="1:4" x14ac:dyDescent="0.25">
      <c r="A489" s="28">
        <f>Angela_2026_Chase1117_Activity_!B486</f>
        <v>46146</v>
      </c>
      <c r="B489" s="3" t="str">
        <f>Angela_2026_Chase1117_Activity_!C486</f>
        <v>SP MVP-GLOW MVPGLOW.COM NJ                   05/04</v>
      </c>
      <c r="C489" s="3" t="str">
        <f>Angela_2026_Chase1117_Activity_!G486</f>
        <v>Personal - Health</v>
      </c>
      <c r="D489" s="4">
        <f>Angela_2026_Chase1117_Activity_!D486</f>
        <v>-134.96</v>
      </c>
    </row>
    <row r="490" spans="1:4" x14ac:dyDescent="0.25">
      <c r="A490" s="28">
        <f>Angela_2026_Chase1117_Activity_!B487</f>
        <v>46146</v>
      </c>
      <c r="B490" s="3" t="str">
        <f>Angela_2026_Chase1117_Activity_!C487</f>
        <v>ORIG CO NAME:PAYPAL                 ORIG ID:PAYPALSI77 DESC DATE:260502 CO ENTRY DESCR:PURCHASE  SEC:WEB    TRACE#:021000025548734 EED:260504   IND ID:OTHERSIDEMI                  IND NAME:JOHN DUNNING                                                                                                 260502PPZYG7 TRN: 1245548734TC</v>
      </c>
      <c r="C490" s="3" t="str">
        <f>Angela_2026_Chase1117_Activity_!G487</f>
        <v>PayPal ACH - OTHERSIDEMI</v>
      </c>
      <c r="D490" s="4">
        <f>Angela_2026_Chase1117_Activity_!D487</f>
        <v>-9.9499999999999993</v>
      </c>
    </row>
    <row r="491" spans="1:4" x14ac:dyDescent="0.25">
      <c r="A491" s="28">
        <f>Angela_2026_Chase1117_Activity_!B488</f>
        <v>46146</v>
      </c>
      <c r="B491" s="3" t="str">
        <f>Angela_2026_Chase1117_Activity_!C488</f>
        <v>UBER * EATS PENDING SAN FRANCISCO CA 554513  05/04</v>
      </c>
      <c r="C491" s="3" t="str">
        <f>Angela_2026_Chase1117_Activity_!G488</f>
        <v>Uber Eats</v>
      </c>
      <c r="D491" s="4">
        <f>Angela_2026_Chase1117_Activity_!D488</f>
        <v>-73.63</v>
      </c>
    </row>
    <row r="492" spans="1:4" x14ac:dyDescent="0.25">
      <c r="A492" s="28">
        <f>Angela_2026_Chase1117_Activity_!B489</f>
        <v>46146</v>
      </c>
      <c r="B492" s="3" t="str">
        <f>Angela_2026_Chase1117_Activity_!C489</f>
        <v>COFFEE BEAN &amp; TEA MARINA DEL RE CA           05/03</v>
      </c>
      <c r="C492" s="3" t="str">
        <f>Angela_2026_Chase1117_Activity_!G489</f>
        <v>Personal - Food</v>
      </c>
      <c r="D492" s="4">
        <f>Angela_2026_Chase1117_Activity_!D489</f>
        <v>-17.5</v>
      </c>
    </row>
    <row r="493" spans="1:4" x14ac:dyDescent="0.25">
      <c r="A493" s="28">
        <f>Angela_2026_Chase1117_Activity_!B490</f>
        <v>46146</v>
      </c>
      <c r="B493" s="3" t="str">
        <f>Angela_2026_Chase1117_Activity_!C490</f>
        <v>AMAZON MKTPL*BJ2I26E Amzn.com/bill WA        05/04</v>
      </c>
      <c r="C493" s="3" t="str">
        <f>Angela_2026_Chase1117_Activity_!G490</f>
        <v>Amazon</v>
      </c>
      <c r="D493" s="4">
        <f>Angela_2026_Chase1117_Activity_!D490</f>
        <v>-31.81</v>
      </c>
    </row>
    <row r="494" spans="1:4" x14ac:dyDescent="0.25">
      <c r="A494" s="28">
        <f>Angela_2026_Chase1117_Activity_!B491</f>
        <v>46146</v>
      </c>
      <c r="B494" s="3" t="str">
        <f>Angela_2026_Chase1117_Activity_!C491</f>
        <v>GELSON'S MARKET #29 SANTA MONICA CA          05/03 Purchase $450.66 Cash Back $100.00</v>
      </c>
      <c r="C494" s="3" t="str">
        <f>Angela_2026_Chase1117_Activity_!G491</f>
        <v>Personal - Food</v>
      </c>
      <c r="D494" s="4">
        <f>Angela_2026_Chase1117_Activity_!D491</f>
        <v>-550.66</v>
      </c>
    </row>
    <row r="495" spans="1:4" x14ac:dyDescent="0.25">
      <c r="A495" s="28">
        <f>Angela_2026_Chase1117_Activity_!B492</f>
        <v>46146</v>
      </c>
      <c r="B495" s="3" t="str">
        <f>Angela_2026_Chase1117_Activity_!C492</f>
        <v>FANDANGO    * FANDANGO.COM CA                05/03</v>
      </c>
      <c r="C495" s="3" t="str">
        <f>Angela_2026_Chase1117_Activity_!G492</f>
        <v>Personal - Entertainment</v>
      </c>
      <c r="D495" s="4">
        <f>Angela_2026_Chase1117_Activity_!D492</f>
        <v>-57.54</v>
      </c>
    </row>
    <row r="496" spans="1:4" x14ac:dyDescent="0.25">
      <c r="A496" s="28">
        <f>Angela_2026_Chase1117_Activity_!B493</f>
        <v>46146</v>
      </c>
      <c r="B496" s="3" t="str">
        <f>Angela_2026_Chase1117_Activity_!C493</f>
        <v>Zelle payment to Leelee 29077042918</v>
      </c>
      <c r="C496" s="3" t="str">
        <f>Angela_2026_Chase1117_Activity_!G493</f>
        <v>Zelle-Leelee</v>
      </c>
      <c r="D496" s="4">
        <f>Angela_2026_Chase1117_Activity_!D493</f>
        <v>-600</v>
      </c>
    </row>
    <row r="497" spans="1:4" x14ac:dyDescent="0.25">
      <c r="A497" s="28">
        <f>Angela_2026_Chase1117_Activity_!B494</f>
        <v>46146</v>
      </c>
      <c r="B497" s="3" t="str">
        <f>Angela_2026_Chase1117_Activity_!C494</f>
        <v>APPLE.COM/BILL 866-712-7753 CA               05/03</v>
      </c>
      <c r="C497" s="3" t="str">
        <f>Angela_2026_Chase1117_Activity_!G494</f>
        <v>Apple</v>
      </c>
      <c r="D497" s="4">
        <f>Angela_2026_Chase1117_Activity_!D494</f>
        <v>-3.99</v>
      </c>
    </row>
    <row r="498" spans="1:4" x14ac:dyDescent="0.25">
      <c r="A498" s="28">
        <f>Angela_2026_Chase1117_Activity_!B495</f>
        <v>46146</v>
      </c>
      <c r="B498" s="3" t="str">
        <f>Angela_2026_Chase1117_Activity_!C495</f>
        <v>AMAZON MARK* BV31232 AMAZON.COM/MA WA        05/03</v>
      </c>
      <c r="C498" s="3" t="str">
        <f>Angela_2026_Chase1117_Activity_!G495</f>
        <v>Amazon</v>
      </c>
      <c r="D498" s="4">
        <f>Angela_2026_Chase1117_Activity_!D495</f>
        <v>-97.97</v>
      </c>
    </row>
    <row r="499" spans="1:4" x14ac:dyDescent="0.25">
      <c r="A499" s="28">
        <f>Angela_2026_Chase1117_Activity_!B496</f>
        <v>46146</v>
      </c>
      <c r="B499" s="3" t="str">
        <f>Angela_2026_Chase1117_Activity_!C496</f>
        <v>GETYOURGUIDE TICKETS 855-957-1272 NY         05/02</v>
      </c>
      <c r="C499" s="3" t="str">
        <f>Angela_2026_Chase1117_Activity_!G496</f>
        <v>Personal Travel</v>
      </c>
      <c r="D499" s="4">
        <f>Angela_2026_Chase1117_Activity_!D496</f>
        <v>-105</v>
      </c>
    </row>
    <row r="500" spans="1:4" x14ac:dyDescent="0.25">
      <c r="A500" s="28">
        <f>Angela_2026_Chase1117_Activity_!B497</f>
        <v>46146</v>
      </c>
      <c r="B500" s="3" t="str">
        <f>Angela_2026_Chase1117_Activity_!C497</f>
        <v>AMERICAN AIR00183251292 FORT WORTH TX        05/01</v>
      </c>
      <c r="C500" s="3" t="str">
        <f>Angela_2026_Chase1117_Activity_!G497</f>
        <v>Personal Travel</v>
      </c>
      <c r="D500" s="4">
        <f>Angela_2026_Chase1117_Activity_!D497</f>
        <v>-58.42</v>
      </c>
    </row>
    <row r="501" spans="1:4" x14ac:dyDescent="0.25">
      <c r="A501" s="28">
        <f>Angela_2026_Chase1117_Activity_!B498</f>
        <v>46146</v>
      </c>
      <c r="B501" s="3" t="str">
        <f>Angela_2026_Chase1117_Activity_!C498</f>
        <v>AMERICAN AIR00183251292 FORT WORTH TX        05/01</v>
      </c>
      <c r="C501" s="3" t="str">
        <f>Angela_2026_Chase1117_Activity_!G498</f>
        <v>Personal Travel</v>
      </c>
      <c r="D501" s="4">
        <f>Angela_2026_Chase1117_Activity_!D498</f>
        <v>-66.13</v>
      </c>
    </row>
    <row r="502" spans="1:4" x14ac:dyDescent="0.25">
      <c r="A502" s="28">
        <f>Angela_2026_Chase1117_Activity_!B499</f>
        <v>46146</v>
      </c>
      <c r="B502" s="3" t="str">
        <f>Angela_2026_Chase1117_Activity_!C499</f>
        <v>AMERICAN AIR00174131058 FORT WORTH TX        05/01</v>
      </c>
      <c r="C502" s="3" t="str">
        <f>Angela_2026_Chase1117_Activity_!G499</f>
        <v>Personal Travel</v>
      </c>
      <c r="D502" s="4">
        <f>Angela_2026_Chase1117_Activity_!D499</f>
        <v>-570.79</v>
      </c>
    </row>
    <row r="503" spans="1:4" x14ac:dyDescent="0.25">
      <c r="A503" s="28">
        <f>Angela_2026_Chase1117_Activity_!B500</f>
        <v>46146</v>
      </c>
      <c r="B503" s="3" t="str">
        <f>Angela_2026_Chase1117_Activity_!C500</f>
        <v>AMERICAN AIR00174131058 FORT WORTH TX        05/01</v>
      </c>
      <c r="C503" s="3" t="str">
        <f>Angela_2026_Chase1117_Activity_!G500</f>
        <v>Personal Travel</v>
      </c>
      <c r="D503" s="4">
        <f>Angela_2026_Chase1117_Activity_!D500</f>
        <v>-570.79</v>
      </c>
    </row>
    <row r="504" spans="1:4" x14ac:dyDescent="0.25">
      <c r="A504" s="28">
        <f>Angela_2026_Chase1117_Activity_!B501</f>
        <v>46146</v>
      </c>
      <c r="B504" s="3" t="str">
        <f>Angela_2026_Chase1117_Activity_!C501</f>
        <v>AMAZON MKTPL*BJ2CA4M Amzn.com/bill WA        05/01</v>
      </c>
      <c r="C504" s="3" t="str">
        <f>Angela_2026_Chase1117_Activity_!G501</f>
        <v>Amazon</v>
      </c>
      <c r="D504" s="4">
        <f>Angela_2026_Chase1117_Activity_!D501</f>
        <v>-43.89</v>
      </c>
    </row>
    <row r="505" spans="1:4" x14ac:dyDescent="0.25">
      <c r="A505" s="28">
        <f>Angela_2026_Chase1117_Activity_!B502</f>
        <v>46146</v>
      </c>
      <c r="B505" s="3" t="str">
        <f>Angela_2026_Chase1117_Activity_!C502</f>
        <v>Amazon Tips*BJ6UM3V3 Amzn.com/bill WA        05/01</v>
      </c>
      <c r="C505" s="3" t="str">
        <f>Angela_2026_Chase1117_Activity_!G502</f>
        <v>Amazon</v>
      </c>
      <c r="D505" s="4">
        <f>Angela_2026_Chase1117_Activity_!D502</f>
        <v>-30</v>
      </c>
    </row>
    <row r="506" spans="1:4" x14ac:dyDescent="0.25">
      <c r="A506" s="28">
        <f>Angela_2026_Chase1117_Activity_!B503</f>
        <v>46146</v>
      </c>
      <c r="B506" s="3" t="str">
        <f>Angela_2026_Chase1117_Activity_!C503</f>
        <v>AMAZON MKTPL*BJ27W2X Amzn.com/bill WA        05/01</v>
      </c>
      <c r="C506" s="3" t="str">
        <f>Angela_2026_Chase1117_Activity_!G503</f>
        <v>Amazon</v>
      </c>
      <c r="D506" s="4">
        <f>Angela_2026_Chase1117_Activity_!D503</f>
        <v>-30.71</v>
      </c>
    </row>
    <row r="507" spans="1:4" x14ac:dyDescent="0.25">
      <c r="A507" s="28">
        <f>Angela_2026_Chase1117_Activity_!B504</f>
        <v>46146</v>
      </c>
      <c r="B507" s="3" t="str">
        <f>Angela_2026_Chase1117_Activity_!C504</f>
        <v>Online Transfer from CHK ...1168 transaction#: 29077017918</v>
      </c>
      <c r="C507" s="3" t="str">
        <f>Angela_2026_Chase1117_Activity_!G504</f>
        <v>Transfer from DWG Capital Group</v>
      </c>
      <c r="D507" s="4">
        <f>Angela_2026_Chase1117_Activity_!D504</f>
        <v>3000</v>
      </c>
    </row>
    <row r="508" spans="1:4" x14ac:dyDescent="0.25">
      <c r="A508" s="28">
        <f>Angela_2026_Chase1117_Activity_!B505</f>
        <v>46143</v>
      </c>
      <c r="B508" s="3" t="str">
        <f>Angela_2026_Chase1117_Activity_!C505</f>
        <v>FOREIGN EXCHANGE RATE ADJUSTMENT FEE         04/30VIHA FINA</v>
      </c>
      <c r="C508" s="3" t="str">
        <f>Angela_2026_Chase1117_Activity_!G505</f>
        <v>Personal Travel - Portugal</v>
      </c>
      <c r="D508" s="4">
        <f>Angela_2026_Chase1117_Activity_!D505</f>
        <v>-0.85</v>
      </c>
    </row>
    <row r="509" spans="1:4" x14ac:dyDescent="0.25">
      <c r="A509" s="28">
        <f>Angela_2026_Chase1117_Activity_!B506</f>
        <v>46143</v>
      </c>
      <c r="B509" s="3" t="str">
        <f>Angela_2026_Chase1117_Activity_!C506</f>
        <v>FANDANGO    * FANDANGO.COM CA                05/01</v>
      </c>
      <c r="C509" s="3" t="str">
        <f>Angela_2026_Chase1117_Activity_!G506</f>
        <v>Personal - Entertainment</v>
      </c>
      <c r="D509" s="4">
        <f>Angela_2026_Chase1117_Activity_!D506</f>
        <v>-102.06</v>
      </c>
    </row>
    <row r="510" spans="1:4" x14ac:dyDescent="0.25">
      <c r="A510" s="28">
        <f>Angela_2026_Chase1117_Activity_!B507</f>
        <v>46143</v>
      </c>
      <c r="B510" s="3" t="str">
        <f>Angela_2026_Chase1117_Activity_!C507</f>
        <v>AMAZON MARK* BS6EN67 AMAZON.COM/MA WA        05/01</v>
      </c>
      <c r="C510" s="3" t="str">
        <f>Angela_2026_Chase1117_Activity_!G507</f>
        <v>Amazon</v>
      </c>
      <c r="D510" s="4">
        <f>Angela_2026_Chase1117_Activity_!D507</f>
        <v>-20.84</v>
      </c>
    </row>
    <row r="511" spans="1:4" x14ac:dyDescent="0.25">
      <c r="A511" s="28">
        <f>Angela_2026_Chase1117_Activity_!B508</f>
        <v>46143</v>
      </c>
      <c r="B511" s="3" t="str">
        <f>Angela_2026_Chase1117_Activity_!C508</f>
        <v>AMAZON RETA* BV75C4M WWW.AMAZON.CO WA        05/01</v>
      </c>
      <c r="C511" s="3" t="str">
        <f>Angela_2026_Chase1117_Activity_!G508</f>
        <v>Amazon</v>
      </c>
      <c r="D511" s="4">
        <f>Angela_2026_Chase1117_Activity_!D508</f>
        <v>-25.57</v>
      </c>
    </row>
    <row r="512" spans="1:4" x14ac:dyDescent="0.25">
      <c r="A512" s="28">
        <f>Angela_2026_Chase1117_Activity_!B509</f>
        <v>46143</v>
      </c>
      <c r="B512" s="3" t="str">
        <f>Angela_2026_Chase1117_Activity_!C509</f>
        <v>VIHA FINANCE NANAIMO BC                      04/30 CA DOLLAR  39.14 X 0.7317322 (EXCHG RTE)</v>
      </c>
      <c r="C512" s="3" t="str">
        <f>Angela_2026_Chase1117_Activity_!G509</f>
        <v>Personal Travel</v>
      </c>
      <c r="D512" s="4">
        <f>Angela_2026_Chase1117_Activity_!D509</f>
        <v>-28.64</v>
      </c>
    </row>
    <row r="513" spans="1:4" x14ac:dyDescent="0.25">
      <c r="A513" s="28">
        <f>Angela_2026_Chase1117_Activity_!B510</f>
        <v>46143</v>
      </c>
      <c r="B513" s="3" t="str">
        <f>Angela_2026_Chase1117_Activity_!C510</f>
        <v>AMAZON MARK* BV8VX8V AMAZON.COM/MA WA        05/01</v>
      </c>
      <c r="C513" s="3" t="str">
        <f>Angela_2026_Chase1117_Activity_!G510</f>
        <v>Amazon</v>
      </c>
      <c r="D513" s="4">
        <f>Angela_2026_Chase1117_Activity_!D510</f>
        <v>-82.98</v>
      </c>
    </row>
    <row r="514" spans="1:4" x14ac:dyDescent="0.25">
      <c r="A514" s="28">
        <f>Angela_2026_Chase1117_Activity_!B511</f>
        <v>46143</v>
      </c>
      <c r="B514" s="3" t="str">
        <f>Angela_2026_Chase1117_Activity_!C511</f>
        <v>Amazon.com*BS9717SD0 Amzn.com/bill WA        04/30</v>
      </c>
      <c r="C514" s="3" t="str">
        <f>Angela_2026_Chase1117_Activity_!G511</f>
        <v>Amazon</v>
      </c>
      <c r="D514" s="4">
        <f>Angela_2026_Chase1117_Activity_!D511</f>
        <v>-307.52999999999997</v>
      </c>
    </row>
    <row r="515" spans="1:4" x14ac:dyDescent="0.25">
      <c r="A515" s="28">
        <f>Angela_2026_Chase1117_Activity_!B512</f>
        <v>46142</v>
      </c>
      <c r="B515" s="3" t="str">
        <f>Angela_2026_Chase1117_Activity_!C512</f>
        <v>ORIG CO NAME:PAYPAL                 ORIG ID:PAYPALSI77 DESC DATE:260430 CO ENTRY DESCR:PURCHASE  SEC:WEB    TRACE#:021000025768830 EED:260430   IND ID:SPOTIFY*P41F9AB              IND NAME:JOHN DUNNING                                                                                                 260430PPZN49 TRN: 1205768830TC</v>
      </c>
      <c r="C515" s="3" t="str">
        <f>Angela_2026_Chase1117_Activity_!G512</f>
        <v>Personal - Subscription</v>
      </c>
      <c r="D515" s="4">
        <f>Angela_2026_Chase1117_Activity_!D512</f>
        <v>-12.99</v>
      </c>
    </row>
    <row r="516" spans="1:4" x14ac:dyDescent="0.25">
      <c r="A516" s="28">
        <f>Angela_2026_Chase1117_Activity_!B513</f>
        <v>46142</v>
      </c>
      <c r="B516" s="3" t="str">
        <f>Angela_2026_Chase1117_Activity_!C513</f>
        <v>PNM*THE TOLLROAD SANTA CLARA CA      554087  04/30</v>
      </c>
      <c r="C516" s="3" t="str">
        <f>Angela_2026_Chase1117_Activity_!G513</f>
        <v>Personal - Car</v>
      </c>
      <c r="D516" s="4">
        <f>Angela_2026_Chase1117_Activity_!D513</f>
        <v>-256.70999999999998</v>
      </c>
    </row>
    <row r="517" spans="1:4" x14ac:dyDescent="0.25">
      <c r="A517" s="28">
        <f>Angela_2026_Chase1117_Activity_!B514</f>
        <v>46142</v>
      </c>
      <c r="B517" s="3" t="str">
        <f>Angela_2026_Chase1117_Activity_!C514</f>
        <v>ORIG CO NAME:PAYPAL                 ORIG ID:PAYPALSI77 DESC DATE:260430 CO ENTRY DESCR:PURCHASE  SEC:WEB    TRACE#:021000027391872 EED:260430   IND ID:PSYCHICMARY                  IND NAME:JOHN DUNNING                                                                                                 260430PPZD95 TRN: 1207391872TC</v>
      </c>
      <c r="C517" s="3" t="str">
        <f>Angela_2026_Chase1117_Activity_!G514</f>
        <v>PayPal ACH - PSYCHICMARY</v>
      </c>
      <c r="D517" s="4">
        <f>Angela_2026_Chase1117_Activity_!D514</f>
        <v>-125</v>
      </c>
    </row>
    <row r="518" spans="1:4" x14ac:dyDescent="0.25">
      <c r="A518" s="28">
        <f>Angela_2026_Chase1117_Activity_!B515</f>
        <v>46142</v>
      </c>
      <c r="B518" s="3" t="str">
        <f>Angela_2026_Chase1117_Activity_!C515</f>
        <v>BLUE SHIELD CALIFORNI 800-393-6130 CA        04/30</v>
      </c>
      <c r="C518" s="3" t="str">
        <f>Angela_2026_Chase1117_Activity_!G515</f>
        <v>Personal - Health Insurance</v>
      </c>
      <c r="D518" s="4">
        <f>Angela_2026_Chase1117_Activity_!D515</f>
        <v>-1272.1199999999999</v>
      </c>
    </row>
    <row r="519" spans="1:4" x14ac:dyDescent="0.25">
      <c r="A519" s="28">
        <f>Angela_2026_Chase1117_Activity_!B516</f>
        <v>46142</v>
      </c>
      <c r="B519" s="3" t="str">
        <f>Angela_2026_Chase1117_Activity_!C516</f>
        <v>PENTESTER.COM PENTESTER.COM FL               04/30</v>
      </c>
      <c r="C519" s="3" t="str">
        <f>Angela_2026_Chase1117_Activity_!G516</f>
        <v>Personal - Subscription</v>
      </c>
      <c r="D519" s="4">
        <f>Angela_2026_Chase1117_Activity_!D516</f>
        <v>-19</v>
      </c>
    </row>
    <row r="520" spans="1:4" x14ac:dyDescent="0.25">
      <c r="A520" s="28">
        <f>Angela_2026_Chase1117_Activity_!B517</f>
        <v>46142</v>
      </c>
      <c r="B520" s="3" t="str">
        <f>Angela_2026_Chase1117_Activity_!C517</f>
        <v>AMAZON MARK* BJ0559J AMAZON.COM/MA WA        04/30</v>
      </c>
      <c r="C520" s="3" t="str">
        <f>Angela_2026_Chase1117_Activity_!G517</f>
        <v>Amazon</v>
      </c>
      <c r="D520" s="4">
        <f>Angela_2026_Chase1117_Activity_!D517</f>
        <v>-119.97</v>
      </c>
    </row>
    <row r="521" spans="1:4" x14ac:dyDescent="0.25">
      <c r="A521" s="28">
        <f>Angela_2026_Chase1117_Activity_!B518</f>
        <v>46142</v>
      </c>
      <c r="B521" s="3" t="str">
        <f>Angela_2026_Chase1117_Activity_!C518</f>
        <v>Etsy.com*Multiple Shop ETSY.COM NY           04/29</v>
      </c>
      <c r="C521" s="3" t="str">
        <f>Angela_2026_Chase1117_Activity_!G518</f>
        <v>Etsy</v>
      </c>
      <c r="D521" s="4">
        <f>Angela_2026_Chase1117_Activity_!D518</f>
        <v>-183.73</v>
      </c>
    </row>
    <row r="522" spans="1:4" x14ac:dyDescent="0.25">
      <c r="A522" s="28">
        <f>Angela_2026_Chase1117_Activity_!B519</f>
        <v>46142</v>
      </c>
      <c r="B522" s="3" t="str">
        <f>Angela_2026_Chase1117_Activity_!C519</f>
        <v>Etsy.com*NewMoonCerami ETSY.COM NY           04/29</v>
      </c>
      <c r="C522" s="3" t="str">
        <f>Angela_2026_Chase1117_Activity_!G519</f>
        <v>Etsy</v>
      </c>
      <c r="D522" s="4">
        <f>Angela_2026_Chase1117_Activity_!D519</f>
        <v>-61.92</v>
      </c>
    </row>
    <row r="523" spans="1:4" x14ac:dyDescent="0.25">
      <c r="A523" s="28">
        <f>Angela_2026_Chase1117_Activity_!B520</f>
        <v>46142</v>
      </c>
      <c r="B523" s="3" t="str">
        <f>Angela_2026_Chase1117_Activity_!C520</f>
        <v>Amazon.com*BJ7BS6L11 Amzn.com/bill WA        04/29</v>
      </c>
      <c r="C523" s="3" t="str">
        <f>Angela_2026_Chase1117_Activity_!G520</f>
        <v>Amazon</v>
      </c>
      <c r="D523" s="4">
        <f>Angela_2026_Chase1117_Activity_!D520</f>
        <v>-38.409999999999997</v>
      </c>
    </row>
    <row r="524" spans="1:4" x14ac:dyDescent="0.25">
      <c r="A524" s="28">
        <f>Angela_2026_Chase1117_Activity_!B521</f>
        <v>46142</v>
      </c>
      <c r="B524" s="3" t="str">
        <f>Angela_2026_Chase1117_Activity_!C521</f>
        <v>BESTBUYCOM807172394726 888BESTBUY MN         04/29</v>
      </c>
      <c r="C524" s="3" t="str">
        <f>Angela_2026_Chase1117_Activity_!G521</f>
        <v>Personal - Shopping</v>
      </c>
      <c r="D524" s="4">
        <f>Angela_2026_Chase1117_Activity_!D521</f>
        <v>-300.31</v>
      </c>
    </row>
    <row r="525" spans="1:4" x14ac:dyDescent="0.25">
      <c r="A525" s="28">
        <f>Angela_2026_Chase1117_Activity_!B522</f>
        <v>46141</v>
      </c>
      <c r="B525" s="3" t="str">
        <f>Angela_2026_Chase1117_Activity_!C522</f>
        <v>Online Payment 29012906944 To SAFECO INSURANCE COMPANY 04/29</v>
      </c>
      <c r="C525" s="3" t="str">
        <f>Angela_2026_Chase1117_Activity_!G522</f>
        <v>Personal - House Bills</v>
      </c>
      <c r="D525" s="4">
        <f>Angela_2026_Chase1117_Activity_!D522</f>
        <v>-120</v>
      </c>
    </row>
    <row r="526" spans="1:4" x14ac:dyDescent="0.25">
      <c r="A526" s="28">
        <f>Angela_2026_Chase1117_Activity_!B523</f>
        <v>46141</v>
      </c>
      <c r="B526" s="3" t="str">
        <f>Angela_2026_Chase1117_Activity_!C523</f>
        <v>Online Payment 29012906950 To SOUTHERN CALIFORNIA GAS CO 04/29</v>
      </c>
      <c r="C526" s="3" t="str">
        <f>Angela_2026_Chase1117_Activity_!G523</f>
        <v>Personal - House Bills</v>
      </c>
      <c r="D526" s="4">
        <f>Angela_2026_Chase1117_Activity_!D523</f>
        <v>-250.58</v>
      </c>
    </row>
    <row r="527" spans="1:4" x14ac:dyDescent="0.25">
      <c r="A527" s="28">
        <f>Angela_2026_Chase1117_Activity_!B524</f>
        <v>46141</v>
      </c>
      <c r="B527" s="3" t="str">
        <f>Angela_2026_Chase1117_Activity_!C524</f>
        <v>Online Payment 29012906920 To AMERICAN EDUCATION SERVICES 04/29</v>
      </c>
      <c r="C527" s="3" t="str">
        <f>Angela_2026_Chase1117_Activity_!G524</f>
        <v>Personal - House Bills</v>
      </c>
      <c r="D527" s="4">
        <f>Angela_2026_Chase1117_Activity_!D524</f>
        <v>-600</v>
      </c>
    </row>
    <row r="528" spans="1:4" x14ac:dyDescent="0.25">
      <c r="A528" s="28">
        <f>Angela_2026_Chase1117_Activity_!B525</f>
        <v>46141</v>
      </c>
      <c r="B528" s="3" t="str">
        <f>Angela_2026_Chase1117_Activity_!C525</f>
        <v>Online Payment 29012906927 To FRONTIER TELEPHONE 04/29</v>
      </c>
      <c r="C528" s="3" t="str">
        <f>Angela_2026_Chase1117_Activity_!G525</f>
        <v>Personal - House Bills</v>
      </c>
      <c r="D528" s="4">
        <f>Angela_2026_Chase1117_Activity_!D525</f>
        <v>-400</v>
      </c>
    </row>
    <row r="529" spans="1:4" x14ac:dyDescent="0.25">
      <c r="A529" s="28">
        <f>Angela_2026_Chase1117_Activity_!B526</f>
        <v>46141</v>
      </c>
      <c r="B529" s="3" t="str">
        <f>Angela_2026_Chase1117_Activity_!C526</f>
        <v>Online Transfer to CHK ...6975 transaction#: 29012617735 04/29</v>
      </c>
      <c r="C529" s="3" t="str">
        <f>Angela_2026_Chase1117_Activity_!G526</f>
        <v>Transfer to Ava</v>
      </c>
      <c r="D529" s="4">
        <f>Angela_2026_Chase1117_Activity_!D526</f>
        <v>-1000</v>
      </c>
    </row>
    <row r="530" spans="1:4" x14ac:dyDescent="0.25">
      <c r="A530" s="28">
        <f>Angela_2026_Chase1117_Activity_!B527</f>
        <v>46141</v>
      </c>
      <c r="B530" s="3" t="str">
        <f>Angela_2026_Chase1117_Activity_!C527</f>
        <v>UBER   * EATS PENDIN SAN FRANCISCO CA146743  04/28</v>
      </c>
      <c r="C530" s="3" t="str">
        <f>Angela_2026_Chase1117_Activity_!G527</f>
        <v>Uber Eats</v>
      </c>
      <c r="D530" s="4">
        <f>Angela_2026_Chase1117_Activity_!D527</f>
        <v>-106.35</v>
      </c>
    </row>
    <row r="531" spans="1:4" x14ac:dyDescent="0.25">
      <c r="A531" s="28">
        <f>Angela_2026_Chase1117_Activity_!B528</f>
        <v>46141</v>
      </c>
      <c r="B531" s="3" t="str">
        <f>Angela_2026_Chase1117_Activity_!C528</f>
        <v>AMAZON RETA* BS72H4X WWW.AMAZON.CO WA        04/29</v>
      </c>
      <c r="C531" s="3" t="str">
        <f>Angela_2026_Chase1117_Activity_!G528</f>
        <v>Amazon</v>
      </c>
      <c r="D531" s="4">
        <f>Angela_2026_Chase1117_Activity_!D528</f>
        <v>-22.44</v>
      </c>
    </row>
    <row r="532" spans="1:4" x14ac:dyDescent="0.25">
      <c r="A532" s="28">
        <f>Angela_2026_Chase1117_Activity_!B529</f>
        <v>46141</v>
      </c>
      <c r="B532" s="3" t="str">
        <f>Angela_2026_Chase1117_Activity_!C529</f>
        <v>EDEN BOTANICALS 707-509-0041 CA              04/28</v>
      </c>
      <c r="C532" s="3" t="str">
        <f>Angela_2026_Chase1117_Activity_!G529</f>
        <v>Personal - Health</v>
      </c>
      <c r="D532" s="4">
        <f>Angela_2026_Chase1117_Activity_!D529</f>
        <v>-169.17</v>
      </c>
    </row>
    <row r="533" spans="1:4" x14ac:dyDescent="0.25">
      <c r="A533" s="28">
        <f>Angela_2026_Chase1117_Activity_!B530</f>
        <v>46141</v>
      </c>
      <c r="B533" s="3" t="str">
        <f>Angela_2026_Chase1117_Activity_!C530</f>
        <v>CVSExtraCare 80074672 800-746-7287 RI        04/28</v>
      </c>
      <c r="C533" s="3" t="str">
        <f>Angela_2026_Chase1117_Activity_!G530</f>
        <v>Personal - Health</v>
      </c>
      <c r="D533" s="4">
        <f>Angela_2026_Chase1117_Activity_!D530</f>
        <v>-5.49</v>
      </c>
    </row>
    <row r="534" spans="1:4" x14ac:dyDescent="0.25">
      <c r="A534" s="28">
        <f>Angela_2026_Chase1117_Activity_!B531</f>
        <v>46141</v>
      </c>
      <c r="B534" s="3" t="str">
        <f>Angela_2026_Chase1117_Activity_!C531</f>
        <v>Online Transfer from CHK ...1168 transaction#: 29012616655</v>
      </c>
      <c r="C534" s="3" t="str">
        <f>Angela_2026_Chase1117_Activity_!G531</f>
        <v>Transfer from DWG Capital Group</v>
      </c>
      <c r="D534" s="4">
        <f>Angela_2026_Chase1117_Activity_!D531</f>
        <v>5000</v>
      </c>
    </row>
    <row r="535" spans="1:4" x14ac:dyDescent="0.25">
      <c r="A535" s="28">
        <f>Angela_2026_Chase1117_Activity_!B532</f>
        <v>46140</v>
      </c>
      <c r="B535" s="3" t="str">
        <f>Angela_2026_Chase1117_Activity_!C532</f>
        <v>ZARA USA INC. ESTADOS UNIDO NY       136077  04/27</v>
      </c>
      <c r="C535" s="3" t="str">
        <f>Angela_2026_Chase1117_Activity_!G532</f>
        <v>Personal - Shopping</v>
      </c>
      <c r="D535" s="4">
        <f>Angela_2026_Chase1117_Activity_!D532</f>
        <v>-514.91</v>
      </c>
    </row>
    <row r="536" spans="1:4" x14ac:dyDescent="0.25">
      <c r="A536" s="28">
        <f>Angela_2026_Chase1117_Activity_!B533</f>
        <v>46140</v>
      </c>
      <c r="B536" s="3" t="str">
        <f>Angela_2026_Chase1117_Activity_!C533</f>
        <v>APPLE.COM/BILL 866-712-7753 CA               04/28</v>
      </c>
      <c r="C536" s="3" t="str">
        <f>Angela_2026_Chase1117_Activity_!G533</f>
        <v>Apple</v>
      </c>
      <c r="D536" s="4">
        <f>Angela_2026_Chase1117_Activity_!D533</f>
        <v>-5.99</v>
      </c>
    </row>
    <row r="537" spans="1:4" x14ac:dyDescent="0.25">
      <c r="A537" s="28">
        <f>Angela_2026_Chase1117_Activity_!B534</f>
        <v>46140</v>
      </c>
      <c r="B537" s="3" t="str">
        <f>Angela_2026_Chase1117_Activity_!C534</f>
        <v>SP AURO WELLNESS AUROWELLNESS. CA            04/28</v>
      </c>
      <c r="C537" s="3" t="str">
        <f>Angela_2026_Chase1117_Activity_!G534</f>
        <v>Personal - Health</v>
      </c>
      <c r="D537" s="4">
        <f>Angela_2026_Chase1117_Activity_!D534</f>
        <v>-1028.18</v>
      </c>
    </row>
    <row r="538" spans="1:4" x14ac:dyDescent="0.25">
      <c r="A538" s="28">
        <f>Angela_2026_Chase1117_Activity_!B535</f>
        <v>46140</v>
      </c>
      <c r="B538" s="3" t="str">
        <f>Angela_2026_Chase1117_Activity_!C535</f>
        <v>Online Transfer from CHK ...1168 transaction#: 28993634559</v>
      </c>
      <c r="C538" s="3" t="str">
        <f>Angela_2026_Chase1117_Activity_!G535</f>
        <v>Transfer from DWG Capital Group</v>
      </c>
      <c r="D538" s="4">
        <f>Angela_2026_Chase1117_Activity_!D535</f>
        <v>2000</v>
      </c>
    </row>
    <row r="539" spans="1:4" x14ac:dyDescent="0.25">
      <c r="A539" s="28">
        <f>Angela_2026_Chase1117_Activity_!B536</f>
        <v>46139</v>
      </c>
      <c r="B539" s="3" t="str">
        <f>Angela_2026_Chase1117_Activity_!C536</f>
        <v>ORIG CO NAME:PAYPAL                 ORIG ID:PAYPALSI77 DESC DATE:260425 CO ENTRY DESCR:PURCHASE  SEC:WEB    TRACE#:021000028703603 EED:260427   IND ID:TIMOTHYPOOL                  IND NAME:JOHN DUNNING                                                                                                 260425PPZG32 TRN: 1178703603TC</v>
      </c>
      <c r="C539" s="3" t="str">
        <f>Angela_2026_Chase1117_Activity_!G536</f>
        <v>Personal - Subscription</v>
      </c>
      <c r="D539" s="4">
        <f>Angela_2026_Chase1117_Activity_!D536</f>
        <v>-10</v>
      </c>
    </row>
    <row r="540" spans="1:4" x14ac:dyDescent="0.25">
      <c r="A540" s="28">
        <f>Angela_2026_Chase1117_Activity_!B537</f>
        <v>46139</v>
      </c>
      <c r="B540" s="3" t="str">
        <f>Angela_2026_Chase1117_Activity_!C537</f>
        <v>ORIG CO NAME:PAYPAL                 ORIG ID:PAYPALSI77 DESC DATE:260425 CO ENTRY DESCR:PURCHASE  SEC:WEB    TRACE#:021000028696244 EED:260427   IND ID:LEAKPROJECT                  IND NAME:JOHN DUNNING                                                                                                 260425PPZG32 TRN: 1178696244TC</v>
      </c>
      <c r="C540" s="3" t="str">
        <f>Angela_2026_Chase1117_Activity_!G537</f>
        <v>Personal - Subscription</v>
      </c>
      <c r="D540" s="4">
        <f>Angela_2026_Chase1117_Activity_!D537</f>
        <v>-99.99</v>
      </c>
    </row>
    <row r="541" spans="1:4" x14ac:dyDescent="0.25">
      <c r="A541" s="28">
        <f>Angela_2026_Chase1117_Activity_!B538</f>
        <v>46139</v>
      </c>
      <c r="B541" s="3" t="str">
        <f>Angela_2026_Chase1117_Activity_!C538</f>
        <v>SPACEWEATHERNEWS.COM SPACEWEATHERN CO        04/26</v>
      </c>
      <c r="C541" s="3" t="str">
        <f>Angela_2026_Chase1117_Activity_!G538</f>
        <v>Personal - Subscription</v>
      </c>
      <c r="D541" s="4">
        <f>Angela_2026_Chase1117_Activity_!D538</f>
        <v>-5.99</v>
      </c>
    </row>
    <row r="542" spans="1:4" x14ac:dyDescent="0.25">
      <c r="A542" s="28">
        <f>Angela_2026_Chase1117_Activity_!B539</f>
        <v>46139</v>
      </c>
      <c r="B542" s="3" t="str">
        <f>Angela_2026_Chase1117_Activity_!C539</f>
        <v>Prime Video Channels amzn.com/bill WA        04/26</v>
      </c>
      <c r="C542" s="3" t="str">
        <f>Angela_2026_Chase1117_Activity_!G539</f>
        <v>Amazon</v>
      </c>
      <c r="D542" s="4">
        <f>Angela_2026_Chase1117_Activity_!D539</f>
        <v>-6.99</v>
      </c>
    </row>
    <row r="543" spans="1:4" x14ac:dyDescent="0.25">
      <c r="A543" s="28">
        <f>Angela_2026_Chase1117_Activity_!B540</f>
        <v>46139</v>
      </c>
      <c r="B543" s="3" t="str">
        <f>Angela_2026_Chase1117_Activity_!C540</f>
        <v>AMAZON MARK* BS0XV1C AMAZON.COM/MA WA        04/26</v>
      </c>
      <c r="C543" s="3" t="str">
        <f>Angela_2026_Chase1117_Activity_!G540</f>
        <v>Amazon</v>
      </c>
      <c r="D543" s="4">
        <f>Angela_2026_Chase1117_Activity_!D540</f>
        <v>-20.84</v>
      </c>
    </row>
    <row r="544" spans="1:4" x14ac:dyDescent="0.25">
      <c r="A544" s="28">
        <f>Angela_2026_Chase1117_Activity_!B541</f>
        <v>46139</v>
      </c>
      <c r="B544" s="3" t="str">
        <f>Angela_2026_Chase1117_Activity_!C541</f>
        <v>AMERICAN AIR00174126473 FORT WORTH TX        04/25</v>
      </c>
      <c r="C544" s="3" t="str">
        <f>Angela_2026_Chase1117_Activity_!G541</f>
        <v>Personal Travel</v>
      </c>
      <c r="D544" s="4">
        <f>Angela_2026_Chase1117_Activity_!D541</f>
        <v>-393.4</v>
      </c>
    </row>
    <row r="545" spans="1:4" x14ac:dyDescent="0.25">
      <c r="A545" s="28">
        <f>Angela_2026_Chase1117_Activity_!B542</f>
        <v>46139</v>
      </c>
      <c r="B545" s="3" t="str">
        <f>Angela_2026_Chase1117_Activity_!C542</f>
        <v>AMERICAN AIR00174126473 FORT WORTH TX        04/25</v>
      </c>
      <c r="C545" s="3" t="str">
        <f>Angela_2026_Chase1117_Activity_!G542</f>
        <v>Personal Travel</v>
      </c>
      <c r="D545" s="4">
        <f>Angela_2026_Chase1117_Activity_!D542</f>
        <v>-393.4</v>
      </c>
    </row>
    <row r="546" spans="1:4" x14ac:dyDescent="0.25">
      <c r="A546" s="28">
        <f>Angela_2026_Chase1117_Activity_!B543</f>
        <v>46139</v>
      </c>
      <c r="B546" s="3" t="str">
        <f>Angela_2026_Chase1117_Activity_!C543</f>
        <v>AMAZON MKTPL*BS9FF5S Amzn.com/bill WA        04/27</v>
      </c>
      <c r="C546" s="3" t="str">
        <f>Angela_2026_Chase1117_Activity_!G543</f>
        <v>Amazon</v>
      </c>
      <c r="D546" s="4">
        <f>Angela_2026_Chase1117_Activity_!D543</f>
        <v>-12.11</v>
      </c>
    </row>
    <row r="547" spans="1:4" x14ac:dyDescent="0.25">
      <c r="A547" s="28">
        <f>Angela_2026_Chase1117_Activity_!B544</f>
        <v>46139</v>
      </c>
      <c r="B547" s="3" t="str">
        <f>Angela_2026_Chase1117_Activity_!C544</f>
        <v>RATEPUNK US RATEPUNK.COM/ DE                 04/26</v>
      </c>
      <c r="C547" s="3" t="str">
        <f>Angela_2026_Chase1117_Activity_!G544</f>
        <v>Personal - Subscription</v>
      </c>
      <c r="D547" s="4">
        <f>Angela_2026_Chase1117_Activity_!D544</f>
        <v>-6.99</v>
      </c>
    </row>
    <row r="548" spans="1:4" x14ac:dyDescent="0.25">
      <c r="A548" s="28">
        <f>Angela_2026_Chase1117_Activity_!B545</f>
        <v>46139</v>
      </c>
      <c r="B548" s="3" t="str">
        <f>Angela_2026_Chase1117_Activity_!C545</f>
        <v>RATEPUNK US RATEPUNK.COM/ DE                 04/26</v>
      </c>
      <c r="C548" s="3" t="str">
        <f>Angela_2026_Chase1117_Activity_!G545</f>
        <v>Personal - Subscription</v>
      </c>
      <c r="D548" s="4">
        <f>Angela_2026_Chase1117_Activity_!D545</f>
        <v>-26.99</v>
      </c>
    </row>
    <row r="549" spans="1:4" x14ac:dyDescent="0.25">
      <c r="A549" s="28">
        <f>Angela_2026_Chase1117_Activity_!B546</f>
        <v>46139</v>
      </c>
      <c r="B549" s="3" t="str">
        <f>Angela_2026_Chase1117_Activity_!C546</f>
        <v>RATEPUNK US RATEPUNK.COM/ DE                 04/26</v>
      </c>
      <c r="C549" s="3" t="str">
        <f>Angela_2026_Chase1117_Activity_!G546</f>
        <v>Personal - Subscription</v>
      </c>
      <c r="D549" s="4">
        <f>Angela_2026_Chase1117_Activity_!D546</f>
        <v>-23.99</v>
      </c>
    </row>
    <row r="550" spans="1:4" x14ac:dyDescent="0.25">
      <c r="A550" s="28">
        <f>Angela_2026_Chase1117_Activity_!B547</f>
        <v>46139</v>
      </c>
      <c r="B550" s="3" t="str">
        <f>Angela_2026_Chase1117_Activity_!C547</f>
        <v>TST* GJELINA VENICE CA                       04/26</v>
      </c>
      <c r="C550" s="3" t="str">
        <f>Angela_2026_Chase1117_Activity_!G547</f>
        <v>Personal - Food</v>
      </c>
      <c r="D550" s="4">
        <f>Angela_2026_Chase1117_Activity_!D547</f>
        <v>-360.1</v>
      </c>
    </row>
    <row r="551" spans="1:4" x14ac:dyDescent="0.25">
      <c r="A551" s="28">
        <f>Angela_2026_Chase1117_Activity_!B548</f>
        <v>46139</v>
      </c>
      <c r="B551" s="3" t="str">
        <f>Angela_2026_Chase1117_Activity_!C548</f>
        <v>AMAZON MARK* BJ8PD0Q AMAZON.COM/MA WA        04/26</v>
      </c>
      <c r="C551" s="3" t="str">
        <f>Angela_2026_Chase1117_Activity_!G548</f>
        <v>Amazon</v>
      </c>
      <c r="D551" s="4">
        <f>Angela_2026_Chase1117_Activity_!D548</f>
        <v>-92.75</v>
      </c>
    </row>
    <row r="552" spans="1:4" x14ac:dyDescent="0.25">
      <c r="A552" s="28">
        <f>Angela_2026_Chase1117_Activity_!B549</f>
        <v>46139</v>
      </c>
      <c r="B552" s="3" t="str">
        <f>Angela_2026_Chase1117_Activity_!C549</f>
        <v>AMAZON MKTPL*BJ15S4H Amzn.com/bill WA        04/25</v>
      </c>
      <c r="C552" s="3" t="str">
        <f>Angela_2026_Chase1117_Activity_!G549</f>
        <v>Amazon</v>
      </c>
      <c r="D552" s="4">
        <f>Angela_2026_Chase1117_Activity_!D549</f>
        <v>-23.96</v>
      </c>
    </row>
    <row r="553" spans="1:4" x14ac:dyDescent="0.25">
      <c r="A553" s="28">
        <f>Angela_2026_Chase1117_Activity_!B550</f>
        <v>46139</v>
      </c>
      <c r="B553" s="3" t="str">
        <f>Angela_2026_Chase1117_Activity_!C550</f>
        <v>LUKE UNFILTERED WEARECHANGE.O FL             04/25</v>
      </c>
      <c r="C553" s="3" t="str">
        <f>Angela_2026_Chase1117_Activity_!G550</f>
        <v>Personal - Subscription</v>
      </c>
      <c r="D553" s="4">
        <f>Angela_2026_Chase1117_Activity_!D550</f>
        <v>-15</v>
      </c>
    </row>
    <row r="554" spans="1:4" x14ac:dyDescent="0.25">
      <c r="A554" s="28">
        <f>Angela_2026_Chase1117_Activity_!B551</f>
        <v>46139</v>
      </c>
      <c r="B554" s="3" t="str">
        <f>Angela_2026_Chase1117_Activity_!C551</f>
        <v>AMAZON PRIME*RK3X626 Amzn.com/bill WA        04/25</v>
      </c>
      <c r="C554" s="3" t="str">
        <f>Angela_2026_Chase1117_Activity_!G551</f>
        <v>Amazon</v>
      </c>
      <c r="D554" s="4">
        <f>Angela_2026_Chase1117_Activity_!D551</f>
        <v>-16.45</v>
      </c>
    </row>
    <row r="555" spans="1:4" x14ac:dyDescent="0.25">
      <c r="A555" s="28">
        <f>Angela_2026_Chase1117_Activity_!B552</f>
        <v>46139</v>
      </c>
      <c r="B555" s="3" t="str">
        <f>Angela_2026_Chase1117_Activity_!C552</f>
        <v>AMAZON MARK* BJ94S95 AMAZON.COM/MA WA        04/25</v>
      </c>
      <c r="C555" s="3" t="str">
        <f>Angela_2026_Chase1117_Activity_!G552</f>
        <v>Amazon</v>
      </c>
      <c r="D555" s="4">
        <f>Angela_2026_Chase1117_Activity_!D552</f>
        <v>-53.78</v>
      </c>
    </row>
    <row r="556" spans="1:4" x14ac:dyDescent="0.25">
      <c r="A556" s="28">
        <f>Angela_2026_Chase1117_Activity_!B553</f>
        <v>46139</v>
      </c>
      <c r="B556" s="3" t="str">
        <f>Angela_2026_Chase1117_Activity_!C553</f>
        <v>GRANDVIEW CLEANERS LOS ANGELES CA            04/24</v>
      </c>
      <c r="C556" s="3" t="str">
        <f>Angela_2026_Chase1117_Activity_!G553</f>
        <v>Personal - Clothing</v>
      </c>
      <c r="D556" s="4">
        <f>Angela_2026_Chase1117_Activity_!D553</f>
        <v>-464.28</v>
      </c>
    </row>
    <row r="557" spans="1:4" x14ac:dyDescent="0.25">
      <c r="A557" s="28">
        <f>Angela_2026_Chase1117_Activity_!B554</f>
        <v>46139</v>
      </c>
      <c r="B557" s="3" t="str">
        <f>Angela_2026_Chase1117_Activity_!C554</f>
        <v>Amazon Tips*BJ9UE9XM Amzn.com/bill WA        04/24</v>
      </c>
      <c r="C557" s="3" t="str">
        <f>Angela_2026_Chase1117_Activity_!G554</f>
        <v>Amazon</v>
      </c>
      <c r="D557" s="4">
        <f>Angela_2026_Chase1117_Activity_!D554</f>
        <v>-10</v>
      </c>
    </row>
    <row r="558" spans="1:4" x14ac:dyDescent="0.25">
      <c r="A558" s="28">
        <f>Angela_2026_Chase1117_Activity_!B555</f>
        <v>46139</v>
      </c>
      <c r="B558" s="3" t="str">
        <f>Angela_2026_Chase1117_Activity_!C555</f>
        <v>ATT*BILL PAYMENT 800-288-2020 TX             04/24</v>
      </c>
      <c r="C558" s="3" t="str">
        <f>Angela_2026_Chase1117_Activity_!G555</f>
        <v>AT&amp;T</v>
      </c>
      <c r="D558" s="4">
        <f>Angela_2026_Chase1117_Activity_!D555</f>
        <v>-908.82</v>
      </c>
    </row>
    <row r="559" spans="1:4" x14ac:dyDescent="0.25">
      <c r="A559" s="28">
        <f>Angela_2026_Chase1117_Activity_!B556</f>
        <v>46139</v>
      </c>
      <c r="B559" s="3" t="str">
        <f>Angela_2026_Chase1117_Activity_!C556</f>
        <v>AMAZON MKTPL*BJ1072X Amzn.com/bill WA        04/24</v>
      </c>
      <c r="C559" s="3" t="str">
        <f>Angela_2026_Chase1117_Activity_!G556</f>
        <v>Amazon</v>
      </c>
      <c r="D559" s="4">
        <f>Angela_2026_Chase1117_Activity_!D556</f>
        <v>-44.98</v>
      </c>
    </row>
    <row r="560" spans="1:4" x14ac:dyDescent="0.25">
      <c r="A560" s="28">
        <f>Angela_2026_Chase1117_Activity_!B557</f>
        <v>46139</v>
      </c>
      <c r="B560" s="3" t="str">
        <f>Angela_2026_Chase1117_Activity_!C557</f>
        <v>Zelle payment from TANYA MILLER HNA0K5HDFGSM</v>
      </c>
      <c r="C560" s="3" t="str">
        <f>Angela_2026_Chase1117_Activity_!G557</f>
        <v>Zelle from Tanya Miller</v>
      </c>
      <c r="D560" s="4">
        <f>Angela_2026_Chase1117_Activity_!D557</f>
        <v>100</v>
      </c>
    </row>
    <row r="561" spans="1:4" x14ac:dyDescent="0.25">
      <c r="A561" s="28">
        <f>Angela_2026_Chase1117_Activity_!B558</f>
        <v>46136</v>
      </c>
      <c r="B561" s="3" t="str">
        <f>Angela_2026_Chase1117_Activity_!C558</f>
        <v>AMAZON MKTPL*BY8KA9D Amzn.com/bill WA        04/24</v>
      </c>
      <c r="C561" s="3" t="str">
        <f>Angela_2026_Chase1117_Activity_!G558</f>
        <v>Amazon</v>
      </c>
      <c r="D561" s="4">
        <f>Angela_2026_Chase1117_Activity_!D558</f>
        <v>-105.56</v>
      </c>
    </row>
    <row r="562" spans="1:4" x14ac:dyDescent="0.25">
      <c r="A562" s="28">
        <f>Angela_2026_Chase1117_Activity_!B559</f>
        <v>46136</v>
      </c>
      <c r="B562" s="3" t="str">
        <f>Angela_2026_Chase1117_Activity_!C559</f>
        <v>PAVILIONS #2105 MARINA DEL RE CA             04/23</v>
      </c>
      <c r="C562" s="3" t="str">
        <f>Angela_2026_Chase1117_Activity_!G559</f>
        <v>Personal - Food</v>
      </c>
      <c r="D562" s="4">
        <f>Angela_2026_Chase1117_Activity_!D559</f>
        <v>-686.71</v>
      </c>
    </row>
    <row r="563" spans="1:4" x14ac:dyDescent="0.25">
      <c r="A563" s="28">
        <f>Angela_2026_Chase1117_Activity_!B560</f>
        <v>46136</v>
      </c>
      <c r="B563" s="3" t="str">
        <f>Angela_2026_Chase1117_Activity_!C560</f>
        <v>AMAZON MKTPL*BS5TL4J Amzn.com/bill WA        04/24</v>
      </c>
      <c r="C563" s="3" t="str">
        <f>Angela_2026_Chase1117_Activity_!G560</f>
        <v>Amazon</v>
      </c>
      <c r="D563" s="4">
        <f>Angela_2026_Chase1117_Activity_!D560</f>
        <v>-24.31</v>
      </c>
    </row>
    <row r="564" spans="1:4" x14ac:dyDescent="0.25">
      <c r="A564" s="28">
        <f>Angela_2026_Chase1117_Activity_!B561</f>
        <v>46136</v>
      </c>
      <c r="B564" s="3" t="str">
        <f>Angela_2026_Chase1117_Activity_!C561</f>
        <v>APPLE.COM/BILL 866-712-7753 CA               04/23</v>
      </c>
      <c r="C564" s="3" t="str">
        <f>Angela_2026_Chase1117_Activity_!G561</f>
        <v>Apple</v>
      </c>
      <c r="D564" s="4">
        <f>Angela_2026_Chase1117_Activity_!D561</f>
        <v>-10.99</v>
      </c>
    </row>
    <row r="565" spans="1:4" x14ac:dyDescent="0.25">
      <c r="A565" s="28">
        <f>Angela_2026_Chase1117_Activity_!B562</f>
        <v>46136</v>
      </c>
      <c r="B565" s="3" t="str">
        <f>Angela_2026_Chase1117_Activity_!C562</f>
        <v>SP COVEPURE COVEPURE.COM DE                  04/23</v>
      </c>
      <c r="C565" s="3" t="str">
        <f>Angela_2026_Chase1117_Activity_!G562</f>
        <v>Personal - Health</v>
      </c>
      <c r="D565" s="4">
        <f>Angela_2026_Chase1117_Activity_!D562</f>
        <v>-399</v>
      </c>
    </row>
    <row r="566" spans="1:4" x14ac:dyDescent="0.25">
      <c r="A566" s="28">
        <f>Angela_2026_Chase1117_Activity_!B563</f>
        <v>46136</v>
      </c>
      <c r="B566" s="3" t="str">
        <f>Angela_2026_Chase1117_Activity_!C563</f>
        <v>FREEPEOPLE.COM FREEPEOPLE.CO PA              04/23</v>
      </c>
      <c r="C566" s="3" t="str">
        <f>Angela_2026_Chase1117_Activity_!G563</f>
        <v>Personal - Clothing</v>
      </c>
      <c r="D566" s="4">
        <f>Angela_2026_Chase1117_Activity_!D563</f>
        <v>-250.23</v>
      </c>
    </row>
    <row r="567" spans="1:4" x14ac:dyDescent="0.25">
      <c r="A567" s="28">
        <f>Angela_2026_Chase1117_Activity_!B564</f>
        <v>46136</v>
      </c>
      <c r="B567" s="3" t="str">
        <f>Angela_2026_Chase1117_Activity_!C564</f>
        <v>AMAZON MARK* BJ2VD4P AMAZON.COM/MA WA        04/24</v>
      </c>
      <c r="C567" s="3" t="str">
        <f>Angela_2026_Chase1117_Activity_!G564</f>
        <v>Amazon</v>
      </c>
      <c r="D567" s="4">
        <f>Angela_2026_Chase1117_Activity_!D564</f>
        <v>-184.38</v>
      </c>
    </row>
    <row r="568" spans="1:4" x14ac:dyDescent="0.25">
      <c r="A568" s="28">
        <f>Angela_2026_Chase1117_Activity_!B565</f>
        <v>46135</v>
      </c>
      <c r="B568" s="3" t="str">
        <f>Angela_2026_Chase1117_Activity_!C565</f>
        <v>AMAZON MARK* BY4SQ2H AMAZON.COM/MA WA        04/23</v>
      </c>
      <c r="C568" s="3" t="str">
        <f>Angela_2026_Chase1117_Activity_!G565</f>
        <v>Amazon</v>
      </c>
      <c r="D568" s="4">
        <f>Angela_2026_Chase1117_Activity_!D565</f>
        <v>-25.23</v>
      </c>
    </row>
    <row r="569" spans="1:4" x14ac:dyDescent="0.25">
      <c r="A569" s="28">
        <f>Angela_2026_Chase1117_Activity_!B566</f>
        <v>46135</v>
      </c>
      <c r="B569" s="3" t="str">
        <f>Angela_2026_Chase1117_Activity_!C566</f>
        <v>FREEPEOPLE.COM FREEPEOPLE.CO PA              04/23</v>
      </c>
      <c r="C569" s="3" t="str">
        <f>Angela_2026_Chase1117_Activity_!G566</f>
        <v>Personal - Clothing</v>
      </c>
      <c r="D569" s="4">
        <f>Angela_2026_Chase1117_Activity_!D566</f>
        <v>-430.22</v>
      </c>
    </row>
    <row r="570" spans="1:4" x14ac:dyDescent="0.25">
      <c r="A570" s="28">
        <f>Angela_2026_Chase1117_Activity_!B567</f>
        <v>46135</v>
      </c>
      <c r="B570" s="3" t="str">
        <f>Angela_2026_Chase1117_Activity_!C567</f>
        <v>Amazon.com*BY1ZD9H20 Amzn.com/bill WA        04/23</v>
      </c>
      <c r="C570" s="3" t="str">
        <f>Angela_2026_Chase1117_Activity_!G567</f>
        <v>Amazon</v>
      </c>
      <c r="D570" s="4">
        <f>Angela_2026_Chase1117_Activity_!D567</f>
        <v>-200.92</v>
      </c>
    </row>
    <row r="571" spans="1:4" x14ac:dyDescent="0.25">
      <c r="A571" s="28">
        <f>Angela_2026_Chase1117_Activity_!B568</f>
        <v>46135</v>
      </c>
      <c r="B571" s="3" t="str">
        <f>Angela_2026_Chase1117_Activity_!C568</f>
        <v>Amazon Tips*BY4VJ0Y6 Amzn.com/bill WA        04/22</v>
      </c>
      <c r="C571" s="3" t="str">
        <f>Angela_2026_Chase1117_Activity_!G568</f>
        <v>Amazon</v>
      </c>
      <c r="D571" s="4">
        <f>Angela_2026_Chase1117_Activity_!D568</f>
        <v>-30</v>
      </c>
    </row>
    <row r="572" spans="1:4" x14ac:dyDescent="0.25">
      <c r="A572" s="28">
        <f>Angela_2026_Chase1117_Activity_!B569</f>
        <v>46135</v>
      </c>
      <c r="B572" s="3" t="str">
        <f>Angela_2026_Chase1117_Activity_!C569</f>
        <v>Online Transfer from CHK ...1168 transaction#: 28931879433</v>
      </c>
      <c r="C572" s="3" t="str">
        <f>Angela_2026_Chase1117_Activity_!G569</f>
        <v>Transfer from DWG Capital Group</v>
      </c>
      <c r="D572" s="4">
        <f>Angela_2026_Chase1117_Activity_!D569</f>
        <v>5000</v>
      </c>
    </row>
    <row r="573" spans="1:4" x14ac:dyDescent="0.25">
      <c r="A573" s="28">
        <f>Angela_2026_Chase1117_Activity_!B570</f>
        <v>46134</v>
      </c>
      <c r="B573" s="3" t="str">
        <f>Angela_2026_Chase1117_Activity_!C570</f>
        <v>LISA HO GUINAN, D.M. MARINA DEL RE CA337838  04/22</v>
      </c>
      <c r="C573" s="3" t="str">
        <f>Angela_2026_Chase1117_Activity_!G570</f>
        <v>Personal - Health</v>
      </c>
      <c r="D573" s="4">
        <f>Angela_2026_Chase1117_Activity_!D570</f>
        <v>-165</v>
      </c>
    </row>
    <row r="574" spans="1:4" x14ac:dyDescent="0.25">
      <c r="A574" s="28">
        <f>Angela_2026_Chase1117_Activity_!B571</f>
        <v>46134</v>
      </c>
      <c r="B574" s="3" t="str">
        <f>Angela_2026_Chase1117_Activity_!C571</f>
        <v>UBER   * EATS PENDIN SAN FRANCISCO CA075553  04/21</v>
      </c>
      <c r="C574" s="3" t="str">
        <f>Angela_2026_Chase1117_Activity_!G571</f>
        <v>Uber Eats</v>
      </c>
      <c r="D574" s="4">
        <f>Angela_2026_Chase1117_Activity_!D571</f>
        <v>-36.94</v>
      </c>
    </row>
    <row r="575" spans="1:4" x14ac:dyDescent="0.25">
      <c r="A575" s="28">
        <f>Angela_2026_Chase1117_Activity_!B572</f>
        <v>46134</v>
      </c>
      <c r="B575" s="3" t="str">
        <f>Angela_2026_Chase1117_Activity_!C572</f>
        <v>Etsy.com*Multiple Shop ETSY.COM NY           04/21</v>
      </c>
      <c r="C575" s="3" t="str">
        <f>Angela_2026_Chase1117_Activity_!G572</f>
        <v>Etsy</v>
      </c>
      <c r="D575" s="4">
        <f>Angela_2026_Chase1117_Activity_!D572</f>
        <v>-297.98</v>
      </c>
    </row>
    <row r="576" spans="1:4" x14ac:dyDescent="0.25">
      <c r="A576" s="28">
        <f>Angela_2026_Chase1117_Activity_!B573</f>
        <v>46134</v>
      </c>
      <c r="B576" s="3" t="str">
        <f>Angela_2026_Chase1117_Activity_!C573</f>
        <v>CENTER FOR STORY &amp; SYM 805-6877171 CA        04/21</v>
      </c>
      <c r="C576" s="3" t="str">
        <f>Angela_2026_Chase1117_Activity_!G573</f>
        <v>Personal - Misc</v>
      </c>
      <c r="D576" s="4">
        <f>Angela_2026_Chase1117_Activity_!D573</f>
        <v>-280</v>
      </c>
    </row>
    <row r="577" spans="1:4" x14ac:dyDescent="0.25">
      <c r="A577" s="28">
        <f>Angela_2026_Chase1117_Activity_!B574</f>
        <v>46134</v>
      </c>
      <c r="B577" s="3" t="str">
        <f>Angela_2026_Chase1117_Activity_!C574</f>
        <v>FRESH PRESSED OLIVE OI 888-9634582 NY        04/21</v>
      </c>
      <c r="C577" s="3" t="str">
        <f>Angela_2026_Chase1117_Activity_!G574</f>
        <v>Personal - Food</v>
      </c>
      <c r="D577" s="4">
        <f>Angela_2026_Chase1117_Activity_!D574</f>
        <v>-159</v>
      </c>
    </row>
    <row r="578" spans="1:4" x14ac:dyDescent="0.25">
      <c r="A578" s="28">
        <f>Angela_2026_Chase1117_Activity_!B575</f>
        <v>46133</v>
      </c>
      <c r="B578" s="3" t="str">
        <f>Angela_2026_Chase1117_Activity_!C575</f>
        <v>ORIG CO NAME:PAYPAL                 ORIG ID:PAYPALSI77 DESC DATE:260421 CO ENTRY DESCR:INST XFER SEC:WEB    TRACE#:021000024865138 EED:260421   IND ID:RAYSTARLIGH                  IND NAME:JOHN DUNNING                                                                                                 260421PPZJB7 TRN: 1114865138TC</v>
      </c>
      <c r="C578" s="3" t="str">
        <f>Angela_2026_Chase1117_Activity_!G575</f>
        <v>PayPal ACH - RAYSTARLIGH</v>
      </c>
      <c r="D578" s="4">
        <f>Angela_2026_Chase1117_Activity_!D575</f>
        <v>-117.79</v>
      </c>
    </row>
    <row r="579" spans="1:4" x14ac:dyDescent="0.25">
      <c r="A579" s="28">
        <f>Angela_2026_Chase1117_Activity_!B576</f>
        <v>46133</v>
      </c>
      <c r="B579" s="3" t="str">
        <f>Angela_2026_Chase1117_Activity_!C576</f>
        <v>ZARA USA INC. ESTADOS UNIDO NY       016825  04/18</v>
      </c>
      <c r="C579" s="3" t="str">
        <f>Angela_2026_Chase1117_Activity_!G576</f>
        <v>Personal - Shopping</v>
      </c>
      <c r="D579" s="4">
        <f>Angela_2026_Chase1117_Activity_!D576</f>
        <v>-624.62</v>
      </c>
    </row>
    <row r="580" spans="1:4" x14ac:dyDescent="0.25">
      <c r="A580" s="28">
        <f>Angela_2026_Chase1117_Activity_!B577</f>
        <v>46133</v>
      </c>
      <c r="B580" s="3" t="str">
        <f>Angela_2026_Chase1117_Activity_!C577</f>
        <v>ATM WITHDRAWAL                       003435  04/2112335 VEN</v>
      </c>
      <c r="C580" s="3" t="str">
        <f>Angela_2026_Chase1117_Activity_!G577</f>
        <v>Withdrawal</v>
      </c>
      <c r="D580" s="4">
        <f>Angela_2026_Chase1117_Activity_!D577</f>
        <v>-1000</v>
      </c>
    </row>
    <row r="581" spans="1:4" x14ac:dyDescent="0.25">
      <c r="A581" s="28">
        <f>Angela_2026_Chase1117_Activity_!B578</f>
        <v>46133</v>
      </c>
      <c r="B581" s="3" t="str">
        <f>Angela_2026_Chase1117_Activity_!C578</f>
        <v>SP BLUEPRINT.BJ-5353 BLUEPRINT.BRY CA        04/21</v>
      </c>
      <c r="C581" s="3" t="str">
        <f>Angela_2026_Chase1117_Activity_!G578</f>
        <v>Personal - Health</v>
      </c>
      <c r="D581" s="4">
        <f>Angela_2026_Chase1117_Activity_!D578</f>
        <v>-248.76</v>
      </c>
    </row>
    <row r="582" spans="1:4" x14ac:dyDescent="0.25">
      <c r="A582" s="28">
        <f>Angela_2026_Chase1117_Activity_!B579</f>
        <v>46133</v>
      </c>
      <c r="B582" s="3" t="str">
        <f>Angela_2026_Chase1117_Activity_!C579</f>
        <v>AMAZON MARK* BY4TC83 AMAZON.COM/MA WA        04/21</v>
      </c>
      <c r="C582" s="3" t="str">
        <f>Angela_2026_Chase1117_Activity_!G579</f>
        <v>Amazon</v>
      </c>
      <c r="D582" s="4">
        <f>Angela_2026_Chase1117_Activity_!D579</f>
        <v>-44.97</v>
      </c>
    </row>
    <row r="583" spans="1:4" x14ac:dyDescent="0.25">
      <c r="A583" s="28">
        <f>Angela_2026_Chase1117_Activity_!B580</f>
        <v>46133</v>
      </c>
      <c r="B583" s="3" t="str">
        <f>Angela_2026_Chase1117_Activity_!C580</f>
        <v>Amazon.com*BS51Y6Y92 Amzn.com/bill WA        04/21</v>
      </c>
      <c r="C583" s="3" t="str">
        <f>Angela_2026_Chase1117_Activity_!G580</f>
        <v>Amazon</v>
      </c>
      <c r="D583" s="4">
        <f>Angela_2026_Chase1117_Activity_!D580</f>
        <v>-319.77</v>
      </c>
    </row>
    <row r="584" spans="1:4" x14ac:dyDescent="0.25">
      <c r="A584" s="28">
        <f>Angela_2026_Chase1117_Activity_!B581</f>
        <v>46133</v>
      </c>
      <c r="B584" s="3" t="str">
        <f>Angela_2026_Chase1117_Activity_!C581</f>
        <v>NEXTLINK BROADBAND 855-6985465 TX            04/20</v>
      </c>
      <c r="C584" s="3" t="str">
        <f>Angela_2026_Chase1117_Activity_!G581</f>
        <v>Personal - House Bills</v>
      </c>
      <c r="D584" s="4">
        <f>Angela_2026_Chase1117_Activity_!D581</f>
        <v>-149.96</v>
      </c>
    </row>
    <row r="585" spans="1:4" x14ac:dyDescent="0.25">
      <c r="A585" s="28">
        <f>Angela_2026_Chase1117_Activity_!B582</f>
        <v>46133</v>
      </c>
      <c r="B585" s="3" t="str">
        <f>Angela_2026_Chase1117_Activity_!C582</f>
        <v>RUMORS RICH 804-644-2020 VA                  04/21</v>
      </c>
      <c r="C585" s="3" t="str">
        <f>Angela_2026_Chase1117_Activity_!G582</f>
        <v>Personal - Shopping</v>
      </c>
      <c r="D585" s="4">
        <f>Angela_2026_Chase1117_Activity_!D582</f>
        <v>-79.27</v>
      </c>
    </row>
    <row r="586" spans="1:4" x14ac:dyDescent="0.25">
      <c r="A586" s="28">
        <f>Angela_2026_Chase1117_Activity_!B583</f>
        <v>46133</v>
      </c>
      <c r="B586" s="3" t="str">
        <f>Angela_2026_Chase1117_Activity_!C583</f>
        <v>Online Transfer from CHK ...1168 transaction#: 28914431344</v>
      </c>
      <c r="C586" s="3" t="str">
        <f>Angela_2026_Chase1117_Activity_!G583</f>
        <v>Transfer from DWG Capital Group</v>
      </c>
      <c r="D586" s="4">
        <f>Angela_2026_Chase1117_Activity_!D583</f>
        <v>3000</v>
      </c>
    </row>
    <row r="587" spans="1:4" x14ac:dyDescent="0.25">
      <c r="A587" s="28">
        <f>Angela_2026_Chase1117_Activity_!B584</f>
        <v>46132</v>
      </c>
      <c r="B587" s="3" t="str">
        <f>Angela_2026_Chase1117_Activity_!C584</f>
        <v>FOREIGN EXCHANGE RATE ADJUSTMENT FEE         04/16TAP AIRLI</v>
      </c>
      <c r="C587" s="3" t="str">
        <f>Angela_2026_Chase1117_Activity_!G584</f>
        <v>Personal Travel - Portugal</v>
      </c>
      <c r="D587" s="4">
        <f>Angela_2026_Chase1117_Activity_!D584</f>
        <v>-6.25</v>
      </c>
    </row>
    <row r="588" spans="1:4" x14ac:dyDescent="0.25">
      <c r="A588" s="28">
        <f>Angela_2026_Chase1117_Activity_!B585</f>
        <v>46132</v>
      </c>
      <c r="B588" s="3" t="str">
        <f>Angela_2026_Chase1117_Activity_!C585</f>
        <v>Zelle payment to Britt Magadini JPM99cdxxi7r</v>
      </c>
      <c r="C588" s="3" t="str">
        <f>Angela_2026_Chase1117_Activity_!G585</f>
        <v>Zelle to Britt Magadini</v>
      </c>
      <c r="D588" s="4">
        <f>Angela_2026_Chase1117_Activity_!D585</f>
        <v>-300</v>
      </c>
    </row>
    <row r="589" spans="1:4" x14ac:dyDescent="0.25">
      <c r="A589" s="28">
        <f>Angela_2026_Chase1117_Activity_!B586</f>
        <v>46132</v>
      </c>
      <c r="B589" s="3" t="str">
        <f>Angela_2026_Chase1117_Activity_!C586</f>
        <v>SCRIBD* R680020687 SCRIBD.COM CA             04/20</v>
      </c>
      <c r="C589" s="3" t="str">
        <f>Angela_2026_Chase1117_Activity_!G586</f>
        <v>Personal - Subscription</v>
      </c>
      <c r="D589" s="4">
        <f>Angela_2026_Chase1117_Activity_!D586</f>
        <v>-11.99</v>
      </c>
    </row>
    <row r="590" spans="1:4" x14ac:dyDescent="0.25">
      <c r="A590" s="28">
        <f>Angela_2026_Chase1117_Activity_!B587</f>
        <v>46132</v>
      </c>
      <c r="B590" s="3" t="str">
        <f>Angela_2026_Chase1117_Activity_!C587</f>
        <v>AMAZON RETA* BY2076C WWW.AMAZON.CO WA        04/20</v>
      </c>
      <c r="C590" s="3" t="str">
        <f>Angela_2026_Chase1117_Activity_!G587</f>
        <v>Amazon</v>
      </c>
      <c r="D590" s="4">
        <f>Angela_2026_Chase1117_Activity_!D587</f>
        <v>-32.93</v>
      </c>
    </row>
    <row r="591" spans="1:4" x14ac:dyDescent="0.25">
      <c r="A591" s="28">
        <f>Angela_2026_Chase1117_Activity_!B588</f>
        <v>46132</v>
      </c>
      <c r="B591" s="3" t="str">
        <f>Angela_2026_Chase1117_Activity_!C588</f>
        <v>CVS/PHARMACY #09493 MAR VISTA CA     034323  04/19</v>
      </c>
      <c r="C591" s="3" t="str">
        <f>Angela_2026_Chase1117_Activity_!G588</f>
        <v>Personal - Health</v>
      </c>
      <c r="D591" s="4">
        <f>Angela_2026_Chase1117_Activity_!D588</f>
        <v>-131.66</v>
      </c>
    </row>
    <row r="592" spans="1:4" x14ac:dyDescent="0.25">
      <c r="A592" s="28">
        <f>Angela_2026_Chase1117_Activity_!B589</f>
        <v>46132</v>
      </c>
      <c r="B592" s="3" t="str">
        <f>Angela_2026_Chase1117_Activity_!C589</f>
        <v>SP PHOTOSFORHEADSTON PHOTOSFORHEAD TX        04/19</v>
      </c>
      <c r="C592" s="3" t="str">
        <f>Angela_2026_Chase1117_Activity_!G589</f>
        <v>Personal - Shopping</v>
      </c>
      <c r="D592" s="4">
        <f>Angela_2026_Chase1117_Activity_!D589</f>
        <v>-479.97</v>
      </c>
    </row>
    <row r="593" spans="1:4" x14ac:dyDescent="0.25">
      <c r="A593" s="28">
        <f>Angela_2026_Chase1117_Activity_!B590</f>
        <v>46132</v>
      </c>
      <c r="B593" s="3" t="str">
        <f>Angela_2026_Chase1117_Activity_!C590</f>
        <v>FANDANGO    * FANDANGO.COM CA                04/19</v>
      </c>
      <c r="C593" s="3" t="str">
        <f>Angela_2026_Chase1117_Activity_!G590</f>
        <v>Personal - Entertainment</v>
      </c>
      <c r="D593" s="4">
        <f>Angela_2026_Chase1117_Activity_!D590</f>
        <v>-57.54</v>
      </c>
    </row>
    <row r="594" spans="1:4" x14ac:dyDescent="0.25">
      <c r="A594" s="28">
        <f>Angela_2026_Chase1117_Activity_!B591</f>
        <v>46132</v>
      </c>
      <c r="B594" s="3" t="str">
        <f>Angela_2026_Chase1117_Activity_!C591</f>
        <v>Amazon Tips*BS4A55D3 Amzn.com/bill WA        04/19</v>
      </c>
      <c r="C594" s="3" t="str">
        <f>Angela_2026_Chase1117_Activity_!G591</f>
        <v>Amazon</v>
      </c>
      <c r="D594" s="4">
        <f>Angela_2026_Chase1117_Activity_!D591</f>
        <v>-30</v>
      </c>
    </row>
    <row r="595" spans="1:4" x14ac:dyDescent="0.25">
      <c r="A595" s="28">
        <f>Angela_2026_Chase1117_Activity_!B592</f>
        <v>46132</v>
      </c>
      <c r="B595" s="3" t="str">
        <f>Angela_2026_Chase1117_Activity_!C592</f>
        <v>FANDANGO    * FANDANGO.COM CA                04/18</v>
      </c>
      <c r="C595" s="3" t="str">
        <f>Angela_2026_Chase1117_Activity_!G592</f>
        <v>Personal - Entertainment</v>
      </c>
      <c r="D595" s="4">
        <f>Angela_2026_Chase1117_Activity_!D592</f>
        <v>-53.04</v>
      </c>
    </row>
    <row r="596" spans="1:4" x14ac:dyDescent="0.25">
      <c r="A596" s="28">
        <f>Angela_2026_Chase1117_Activity_!B593</f>
        <v>46132</v>
      </c>
      <c r="B596" s="3" t="str">
        <f>Angela_2026_Chase1117_Activity_!C593</f>
        <v>AMAZON RETA* B75Z36U WWW.AMAZON.CO WA        04/19</v>
      </c>
      <c r="C596" s="3" t="str">
        <f>Angela_2026_Chase1117_Activity_!G593</f>
        <v>Amazon</v>
      </c>
      <c r="D596" s="4">
        <f>Angela_2026_Chase1117_Activity_!D593</f>
        <v>-115.87</v>
      </c>
    </row>
    <row r="597" spans="1:4" x14ac:dyDescent="0.25">
      <c r="A597" s="28">
        <f>Angela_2026_Chase1117_Activity_!B594</f>
        <v>46132</v>
      </c>
      <c r="B597" s="3" t="str">
        <f>Angela_2026_Chase1117_Activity_!C594</f>
        <v>AMAZON MARK* BS9Z41Q AMAZON.COM/MA WA        04/19</v>
      </c>
      <c r="C597" s="3" t="str">
        <f>Angela_2026_Chase1117_Activity_!G594</f>
        <v>Amazon</v>
      </c>
      <c r="D597" s="4">
        <f>Angela_2026_Chase1117_Activity_!D594</f>
        <v>-85.5</v>
      </c>
    </row>
    <row r="598" spans="1:4" x14ac:dyDescent="0.25">
      <c r="A598" s="28">
        <f>Angela_2026_Chase1117_Activity_!B595</f>
        <v>46132</v>
      </c>
      <c r="B598" s="3" t="str">
        <f>Angela_2026_Chase1117_Activity_!C595</f>
        <v>Zelle payment to natalie cordova JPM99cdozb9l</v>
      </c>
      <c r="C598" s="3" t="str">
        <f>Angela_2026_Chase1117_Activity_!G595</f>
        <v>Zelle to Natalie Cordova</v>
      </c>
      <c r="D598" s="4">
        <f>Angela_2026_Chase1117_Activity_!D595</f>
        <v>-300</v>
      </c>
    </row>
    <row r="599" spans="1:4" x14ac:dyDescent="0.25">
      <c r="A599" s="28">
        <f>Angela_2026_Chase1117_Activity_!B596</f>
        <v>46132</v>
      </c>
      <c r="B599" s="3" t="str">
        <f>Angela_2026_Chase1117_Activity_!C596</f>
        <v>Zelle payment to shaffa JPM99cdoz9g2</v>
      </c>
      <c r="C599" s="3" t="str">
        <f>Angela_2026_Chase1117_Activity_!G596</f>
        <v>Zelle to Shaffa</v>
      </c>
      <c r="D599" s="4">
        <f>Angela_2026_Chase1117_Activity_!D596</f>
        <v>-300</v>
      </c>
    </row>
    <row r="600" spans="1:4" x14ac:dyDescent="0.25">
      <c r="A600" s="28">
        <f>Angela_2026_Chase1117_Activity_!B597</f>
        <v>46132</v>
      </c>
      <c r="B600" s="3" t="str">
        <f>Angela_2026_Chase1117_Activity_!C597</f>
        <v>AMAZON MKTPL*B79D30I Amzn.com/bill WA        04/19</v>
      </c>
      <c r="C600" s="3" t="str">
        <f>Angela_2026_Chase1117_Activity_!G597</f>
        <v>Amazon</v>
      </c>
      <c r="D600" s="4">
        <f>Angela_2026_Chase1117_Activity_!D597</f>
        <v>-67.63</v>
      </c>
    </row>
    <row r="601" spans="1:4" x14ac:dyDescent="0.25">
      <c r="A601" s="28">
        <f>Angela_2026_Chase1117_Activity_!B598</f>
        <v>46132</v>
      </c>
      <c r="B601" s="3" t="str">
        <f>Angela_2026_Chase1117_Activity_!C598</f>
        <v>AMAZON MARK* B795D27 AMAZON.COM/MA WA        04/18</v>
      </c>
      <c r="C601" s="3" t="str">
        <f>Angela_2026_Chase1117_Activity_!G598</f>
        <v>Amazon</v>
      </c>
      <c r="D601" s="4">
        <f>Angela_2026_Chase1117_Activity_!D598</f>
        <v>-75.73</v>
      </c>
    </row>
    <row r="602" spans="1:4" x14ac:dyDescent="0.25">
      <c r="A602" s="28">
        <f>Angela_2026_Chase1117_Activity_!B599</f>
        <v>46132</v>
      </c>
      <c r="B602" s="3" t="str">
        <f>Angela_2026_Chase1117_Activity_!C599</f>
        <v>AMAZON MARK* B70PI52 AMAZON.COM/MA WA        04/18</v>
      </c>
      <c r="C602" s="3" t="str">
        <f>Angela_2026_Chase1117_Activity_!G599</f>
        <v>Amazon</v>
      </c>
      <c r="D602" s="4">
        <f>Angela_2026_Chase1117_Activity_!D599</f>
        <v>-70</v>
      </c>
    </row>
    <row r="603" spans="1:4" x14ac:dyDescent="0.25">
      <c r="A603" s="28">
        <f>Angela_2026_Chase1117_Activity_!B600</f>
        <v>46132</v>
      </c>
      <c r="B603" s="3" t="str">
        <f>Angela_2026_Chase1117_Activity_!C600</f>
        <v>SP RAJANIMD STORE.RAJANIM OR                 04/18</v>
      </c>
      <c r="C603" s="3" t="str">
        <f>Angela_2026_Chase1117_Activity_!G600</f>
        <v>Personal - Health</v>
      </c>
      <c r="D603" s="4">
        <f>Angela_2026_Chase1117_Activity_!D600</f>
        <v>-368.01</v>
      </c>
    </row>
    <row r="604" spans="1:4" x14ac:dyDescent="0.25">
      <c r="A604" s="28">
        <f>Angela_2026_Chase1117_Activity_!B601</f>
        <v>46132</v>
      </c>
      <c r="B604" s="3" t="str">
        <f>Angela_2026_Chase1117_Activity_!C601</f>
        <v>SP ACTIVESKIN REPAIR ACTIVESKINREP CA        04/18</v>
      </c>
      <c r="C604" s="3" t="str">
        <f>Angela_2026_Chase1117_Activity_!G601</f>
        <v>Personal - Health</v>
      </c>
      <c r="D604" s="4">
        <f>Angela_2026_Chase1117_Activity_!D601</f>
        <v>-241.3</v>
      </c>
    </row>
    <row r="605" spans="1:4" x14ac:dyDescent="0.25">
      <c r="A605" s="28">
        <f>Angela_2026_Chase1117_Activity_!B602</f>
        <v>46132</v>
      </c>
      <c r="B605" s="3" t="str">
        <f>Angela_2026_Chase1117_Activity_!C602</f>
        <v>AMAZON RETA* BY4N54G WWW.AMAZON.CO WA        04/19</v>
      </c>
      <c r="C605" s="3" t="str">
        <f>Angela_2026_Chase1117_Activity_!G602</f>
        <v>Amazon</v>
      </c>
      <c r="D605" s="4">
        <f>Angela_2026_Chase1117_Activity_!D602</f>
        <v>-548.74</v>
      </c>
    </row>
    <row r="606" spans="1:4" x14ac:dyDescent="0.25">
      <c r="A606" s="28">
        <f>Angela_2026_Chase1117_Activity_!B603</f>
        <v>46132</v>
      </c>
      <c r="B606" s="3" t="str">
        <f>Angela_2026_Chase1117_Activity_!C603</f>
        <v>Amazon.com*B783I92H0 Amzn.com/bill WA        04/18</v>
      </c>
      <c r="C606" s="3" t="str">
        <f>Angela_2026_Chase1117_Activity_!G603</f>
        <v>Amazon</v>
      </c>
      <c r="D606" s="4">
        <f>Angela_2026_Chase1117_Activity_!D603</f>
        <v>-145.52000000000001</v>
      </c>
    </row>
    <row r="607" spans="1:4" x14ac:dyDescent="0.25">
      <c r="A607" s="28">
        <f>Angela_2026_Chase1117_Activity_!B604</f>
        <v>46132</v>
      </c>
      <c r="B607" s="3" t="str">
        <f>Angela_2026_Chase1117_Activity_!C604</f>
        <v>LEELA QUANTUM TECH LEELAQ.COM NM             04/17</v>
      </c>
      <c r="C607" s="3" t="str">
        <f>Angela_2026_Chase1117_Activity_!G604</f>
        <v>Personal - Subscription</v>
      </c>
      <c r="D607" s="4">
        <f>Angela_2026_Chase1117_Activity_!D604</f>
        <v>-30</v>
      </c>
    </row>
    <row r="608" spans="1:4" x14ac:dyDescent="0.25">
      <c r="A608" s="28">
        <f>Angela_2026_Chase1117_Activity_!B605</f>
        <v>46132</v>
      </c>
      <c r="B608" s="3" t="str">
        <f>Angela_2026_Chase1117_Activity_!C605</f>
        <v>TAP AIRLINE 04700187444 LISBOA               04/16 MA Dirham  1921.00 X 0.1084852 (EXCHG RTE)</v>
      </c>
      <c r="C608" s="3" t="str">
        <f>Angela_2026_Chase1117_Activity_!G605</f>
        <v>Personal Travel</v>
      </c>
      <c r="D608" s="4">
        <f>Angela_2026_Chase1117_Activity_!D605</f>
        <v>-208.4</v>
      </c>
    </row>
    <row r="609" spans="1:4" x14ac:dyDescent="0.25">
      <c r="A609" s="28">
        <f>Angela_2026_Chase1117_Activity_!B606</f>
        <v>46132</v>
      </c>
      <c r="B609" s="3" t="str">
        <f>Angela_2026_Chase1117_Activity_!C606</f>
        <v>Online Transfer from CHK ...1168 transaction#: 28880170101</v>
      </c>
      <c r="C609" s="3" t="str">
        <f>Angela_2026_Chase1117_Activity_!G606</f>
        <v>Transfer from DWG Capital Group</v>
      </c>
      <c r="D609" s="4">
        <f>Angela_2026_Chase1117_Activity_!D606</f>
        <v>2000</v>
      </c>
    </row>
    <row r="610" spans="1:4" x14ac:dyDescent="0.25">
      <c r="A610" s="28">
        <f>Angela_2026_Chase1117_Activity_!B607</f>
        <v>46132</v>
      </c>
      <c r="B610" s="3" t="str">
        <f>Angela_2026_Chase1117_Activity_!C607</f>
        <v>TAP AIRLINE 04700187444 LISBOA               04/17</v>
      </c>
      <c r="C610" s="3" t="str">
        <f>Angela_2026_Chase1117_Activity_!G607</f>
        <v>Personal Travel</v>
      </c>
      <c r="D610" s="4">
        <f>Angela_2026_Chase1117_Activity_!D607</f>
        <v>5.54</v>
      </c>
    </row>
    <row r="611" spans="1:4" x14ac:dyDescent="0.25">
      <c r="A611" s="28">
        <f>Angela_2026_Chase1117_Activity_!B608</f>
        <v>46129</v>
      </c>
      <c r="B611" s="3" t="str">
        <f>Angela_2026_Chase1117_Activity_!C608</f>
        <v>FOREIGN EXCHANGE RATE ADJUSTMENT FEE         04/16ILLY RAK</v>
      </c>
      <c r="C611" s="3" t="str">
        <f>Angela_2026_Chase1117_Activity_!G608</f>
        <v>Personal Travel - Portugal</v>
      </c>
      <c r="D611" s="4">
        <f>Angela_2026_Chase1117_Activity_!D608</f>
        <v>-0.17</v>
      </c>
    </row>
    <row r="612" spans="1:4" x14ac:dyDescent="0.25">
      <c r="A612" s="28">
        <f>Angela_2026_Chase1117_Activity_!B609</f>
        <v>46129</v>
      </c>
      <c r="B612" s="3" t="str">
        <f>Angela_2026_Chase1117_Activity_!C609</f>
        <v>FOREIGN EXCHANGE RATE ADJUSTMENT FEE         04/16LJ HEPING</v>
      </c>
      <c r="C612" s="3" t="str">
        <f>Angela_2026_Chase1117_Activity_!G609</f>
        <v>Personal Travel - Portugal</v>
      </c>
      <c r="D612" s="4">
        <f>Angela_2026_Chase1117_Activity_!D609</f>
        <v>-3.08</v>
      </c>
    </row>
    <row r="613" spans="1:4" x14ac:dyDescent="0.25">
      <c r="A613" s="28">
        <f>Angela_2026_Chase1117_Activity_!B610</f>
        <v>46129</v>
      </c>
      <c r="B613" s="3" t="str">
        <f>Angela_2026_Chase1117_Activity_!C610</f>
        <v>Panasonic Avionics Corp Irvine CA            04/17</v>
      </c>
      <c r="C613" s="3" t="str">
        <f>Angela_2026_Chase1117_Activity_!G610</f>
        <v>Personal Travel</v>
      </c>
      <c r="D613" s="4">
        <f>Angela_2026_Chase1117_Activity_!D610</f>
        <v>-35.47</v>
      </c>
    </row>
    <row r="614" spans="1:4" x14ac:dyDescent="0.25">
      <c r="A614" s="28">
        <f>Angela_2026_Chase1117_Activity_!B611</f>
        <v>46129</v>
      </c>
      <c r="B614" s="3" t="str">
        <f>Angela_2026_Chase1117_Activity_!C611</f>
        <v>LJ HEPING CHEN LISBOA                        04/16 Euro       87.15 X 1.180952 (EXCHG RTE)</v>
      </c>
      <c r="C614" s="3" t="str">
        <f>Angela_2026_Chase1117_Activity_!G611</f>
        <v>Personal Travel</v>
      </c>
      <c r="D614" s="4">
        <f>Angela_2026_Chase1117_Activity_!D611</f>
        <v>-102.92</v>
      </c>
    </row>
    <row r="615" spans="1:4" x14ac:dyDescent="0.25">
      <c r="A615" s="28">
        <f>Angela_2026_Chase1117_Activity_!B612</f>
        <v>46129</v>
      </c>
      <c r="B615" s="3" t="str">
        <f>Angela_2026_Chase1117_Activity_!C612</f>
        <v>Amazon Tips*B743B2WE Amzn.com/bill WA        04/16</v>
      </c>
      <c r="C615" s="3" t="str">
        <f>Angela_2026_Chase1117_Activity_!G612</f>
        <v>Amazon</v>
      </c>
      <c r="D615" s="4">
        <f>Angela_2026_Chase1117_Activity_!D612</f>
        <v>-7</v>
      </c>
    </row>
    <row r="616" spans="1:4" x14ac:dyDescent="0.25">
      <c r="A616" s="28">
        <f>Angela_2026_Chase1117_Activity_!B613</f>
        <v>46129</v>
      </c>
      <c r="B616" s="3" t="str">
        <f>Angela_2026_Chase1117_Activity_!C613</f>
        <v>ILLY RAK EURO MARRAKECH                      04/16 Euro       5.00 X 1.180000 (EXCHG RTE)</v>
      </c>
      <c r="C616" s="3" t="str">
        <f>Angela_2026_Chase1117_Activity_!G613</f>
        <v>Personal Travel</v>
      </c>
      <c r="D616" s="4">
        <f>Angela_2026_Chase1117_Activity_!D613</f>
        <v>-5.9</v>
      </c>
    </row>
    <row r="617" spans="1:4" x14ac:dyDescent="0.25">
      <c r="A617" s="28">
        <f>Angela_2026_Chase1117_Activity_!B614</f>
        <v>46128</v>
      </c>
      <c r="B617" s="3" t="str">
        <f>Angela_2026_Chase1117_Activity_!C614</f>
        <v>NON-CHASE ATM FEE-WITH</v>
      </c>
      <c r="C617" s="3" t="str">
        <f>Angela_2026_Chase1117_Activity_!G614</f>
        <v>Bank Fees</v>
      </c>
      <c r="D617" s="4">
        <f>Angela_2026_Chase1117_Activity_!D614</f>
        <v>-5</v>
      </c>
    </row>
    <row r="618" spans="1:4" x14ac:dyDescent="0.25">
      <c r="A618" s="28">
        <f>Angela_2026_Chase1117_Activity_!B615</f>
        <v>46128</v>
      </c>
      <c r="B618" s="3" t="str">
        <f>Angela_2026_Chase1117_Activity_!C615</f>
        <v>NON-CHASE ATM FEE-WITH</v>
      </c>
      <c r="C618" s="3" t="str">
        <f>Angela_2026_Chase1117_Activity_!G615</f>
        <v>Bank Fees</v>
      </c>
      <c r="D618" s="4">
        <f>Angela_2026_Chase1117_Activity_!D615</f>
        <v>-5</v>
      </c>
    </row>
    <row r="619" spans="1:4" x14ac:dyDescent="0.25">
      <c r="A619" s="28">
        <f>Angela_2026_Chase1117_Activity_!B616</f>
        <v>46128</v>
      </c>
      <c r="B619" s="3" t="str">
        <f>Angela_2026_Chase1117_Activity_!C616</f>
        <v>NON-CHASE ATM FEE-WITH</v>
      </c>
      <c r="C619" s="3" t="str">
        <f>Angela_2026_Chase1117_Activity_!G616</f>
        <v>Bank Fees</v>
      </c>
      <c r="D619" s="4">
        <f>Angela_2026_Chase1117_Activity_!D616</f>
        <v>-5</v>
      </c>
    </row>
    <row r="620" spans="1:4" x14ac:dyDescent="0.25">
      <c r="A620" s="28">
        <f>Angela_2026_Chase1117_Activity_!B617</f>
        <v>46128</v>
      </c>
      <c r="B620" s="3" t="str">
        <f>Angela_2026_Chase1117_Activity_!C617</f>
        <v>NON-CHASE ATM WITHDRAW               693640  04/16R PORTAS</v>
      </c>
      <c r="C620" s="3" t="str">
        <f>Angela_2026_Chase1117_Activity_!G617</f>
        <v>Withdrawal</v>
      </c>
      <c r="D620" s="4">
        <f>Angela_2026_Chase1117_Activity_!D617</f>
        <v>-101.74</v>
      </c>
    </row>
    <row r="621" spans="1:4" x14ac:dyDescent="0.25">
      <c r="A621" s="28">
        <f>Angela_2026_Chase1117_Activity_!B618</f>
        <v>46128</v>
      </c>
      <c r="B621" s="3" t="str">
        <f>Angela_2026_Chase1117_Activity_!C618</f>
        <v>NON-CHASE ATM WITHDRAW               753973  04/16AEROPORTO</v>
      </c>
      <c r="C621" s="3" t="str">
        <f>Angela_2026_Chase1117_Activity_!G618</f>
        <v>Withdrawal</v>
      </c>
      <c r="D621" s="4">
        <f>Angela_2026_Chase1117_Activity_!D618</f>
        <v>-134.03</v>
      </c>
    </row>
    <row r="622" spans="1:4" x14ac:dyDescent="0.25">
      <c r="A622" s="28">
        <f>Angela_2026_Chase1117_Activity_!B619</f>
        <v>46128</v>
      </c>
      <c r="B622" s="3" t="str">
        <f>Angela_2026_Chase1117_Activity_!C619</f>
        <v>NON-CHASE ATM WITHDRAW               753699  04/16AEROPORTO</v>
      </c>
      <c r="C622" s="3" t="str">
        <f>Angela_2026_Chase1117_Activity_!G619</f>
        <v>Withdrawal</v>
      </c>
      <c r="D622" s="4">
        <f>Angela_2026_Chase1117_Activity_!D619</f>
        <v>-268.06</v>
      </c>
    </row>
    <row r="623" spans="1:4" x14ac:dyDescent="0.25">
      <c r="A623" s="28">
        <f>Angela_2026_Chase1117_Activity_!B620</f>
        <v>46128</v>
      </c>
      <c r="B623" s="3" t="str">
        <f>Angela_2026_Chase1117_Activity_!C620</f>
        <v>Amazon.com*BS5FR1LA2 Amzn.com/bill WA        04/15</v>
      </c>
      <c r="C623" s="3" t="str">
        <f>Angela_2026_Chase1117_Activity_!G620</f>
        <v>Amazon</v>
      </c>
      <c r="D623" s="4">
        <f>Angela_2026_Chase1117_Activity_!D620</f>
        <v>-91.33</v>
      </c>
    </row>
    <row r="624" spans="1:4" x14ac:dyDescent="0.25">
      <c r="A624" s="28">
        <f>Angela_2026_Chase1117_Activity_!B621</f>
        <v>46128</v>
      </c>
      <c r="B624" s="3" t="str">
        <f>Angela_2026_Chase1117_Activity_!C621</f>
        <v>TAP AIRLINE NEWARK NJ                        04/14</v>
      </c>
      <c r="C624" s="3" t="str">
        <f>Angela_2026_Chase1117_Activity_!G621</f>
        <v>Personal Travel</v>
      </c>
      <c r="D624" s="4">
        <f>Angela_2026_Chase1117_Activity_!D621</f>
        <v>-344</v>
      </c>
    </row>
    <row r="625" spans="1:4" x14ac:dyDescent="0.25">
      <c r="A625" s="28">
        <f>Angela_2026_Chase1117_Activity_!B622</f>
        <v>46127</v>
      </c>
      <c r="B625" s="3" t="str">
        <f>Angela_2026_Chase1117_Activity_!C622</f>
        <v>FOREIGN EXCHANGE RATE ADJUSTMENT FEE         04/14LABORATOI</v>
      </c>
      <c r="C625" s="3" t="str">
        <f>Angela_2026_Chase1117_Activity_!G622</f>
        <v>Personal Travel - Portugal</v>
      </c>
      <c r="D625" s="4">
        <f>Angela_2026_Chase1117_Activity_!D622</f>
        <v>-3.55</v>
      </c>
    </row>
    <row r="626" spans="1:4" x14ac:dyDescent="0.25">
      <c r="A626" s="28">
        <f>Angela_2026_Chase1117_Activity_!B623</f>
        <v>46127</v>
      </c>
      <c r="B626" s="3" t="str">
        <f>Angela_2026_Chase1117_Activity_!C623</f>
        <v>AMAZON PRIME*YK3MA3G Amzn.com/bill WA        04/14</v>
      </c>
      <c r="C626" s="3" t="str">
        <f>Angela_2026_Chase1117_Activity_!G623</f>
        <v>Amazon</v>
      </c>
      <c r="D626" s="4">
        <f>Angela_2026_Chase1117_Activity_!D623</f>
        <v>-16.45</v>
      </c>
    </row>
    <row r="627" spans="1:4" x14ac:dyDescent="0.25">
      <c r="A627" s="28">
        <f>Angela_2026_Chase1117_Activity_!B624</f>
        <v>46127</v>
      </c>
      <c r="B627" s="3" t="str">
        <f>Angela_2026_Chase1117_Activity_!C624</f>
        <v>LABORATOIRE VICTORHUGO MARRAKECH             04/14 MA Dirham  1100.00 X 0.1078273 (EXCHG RTE)</v>
      </c>
      <c r="C627" s="3" t="str">
        <f>Angela_2026_Chase1117_Activity_!G624</f>
        <v>Personal Travel</v>
      </c>
      <c r="D627" s="4">
        <f>Angela_2026_Chase1117_Activity_!D624</f>
        <v>-118.61</v>
      </c>
    </row>
    <row r="628" spans="1:4" x14ac:dyDescent="0.25">
      <c r="A628" s="28">
        <f>Angela_2026_Chase1117_Activity_!B625</f>
        <v>46126</v>
      </c>
      <c r="B628" s="3" t="str">
        <f>Angela_2026_Chase1117_Activity_!C625</f>
        <v>FOREIGN EXCHANGE RATE ADJUSTMENT FEE         04/13ZEBRI TAH</v>
      </c>
      <c r="C628" s="3" t="str">
        <f>Angela_2026_Chase1117_Activity_!G625</f>
        <v>Personal Travel - Portugal</v>
      </c>
      <c r="D628" s="4">
        <f>Angela_2026_Chase1117_Activity_!D625</f>
        <v>-1.35</v>
      </c>
    </row>
    <row r="629" spans="1:4" x14ac:dyDescent="0.25">
      <c r="A629" s="28">
        <f>Angela_2026_Chase1117_Activity_!B626</f>
        <v>46126</v>
      </c>
      <c r="B629" s="3" t="str">
        <f>Angela_2026_Chase1117_Activity_!C626</f>
        <v>FOREIGN EXCHANGE RATE ADJUSTMENT FEE         04/13HERBORIST</v>
      </c>
      <c r="C629" s="3" t="str">
        <f>Angela_2026_Chase1117_Activity_!G626</f>
        <v>Personal Travel - Portugal</v>
      </c>
      <c r="D629" s="4">
        <f>Angela_2026_Chase1117_Activity_!D626</f>
        <v>-6.47</v>
      </c>
    </row>
    <row r="630" spans="1:4" x14ac:dyDescent="0.25">
      <c r="A630" s="28">
        <f>Angela_2026_Chase1117_Activity_!B627</f>
        <v>46126</v>
      </c>
      <c r="B630" s="3" t="str">
        <f>Angela_2026_Chase1117_Activity_!C627</f>
        <v>FOREIGN EXCHANGE RATE ADJUSTMENT FEE         04/13MOHCINE N</v>
      </c>
      <c r="C630" s="3" t="str">
        <f>Angela_2026_Chase1117_Activity_!G627</f>
        <v>Personal Travel - Portugal</v>
      </c>
      <c r="D630" s="4">
        <f>Angela_2026_Chase1117_Activity_!D627</f>
        <v>-6.79</v>
      </c>
    </row>
    <row r="631" spans="1:4" x14ac:dyDescent="0.25">
      <c r="A631" s="28">
        <f>Angela_2026_Chase1117_Activity_!B628</f>
        <v>46126</v>
      </c>
      <c r="B631" s="3" t="str">
        <f>Angela_2026_Chase1117_Activity_!C628</f>
        <v>APPLE.COM/BILL 866-712-7753 CA               04/14</v>
      </c>
      <c r="C631" s="3" t="str">
        <f>Angela_2026_Chase1117_Activity_!G628</f>
        <v>Apple</v>
      </c>
      <c r="D631" s="4">
        <f>Angela_2026_Chase1117_Activity_!D628</f>
        <v>-59.99</v>
      </c>
    </row>
    <row r="632" spans="1:4" x14ac:dyDescent="0.25">
      <c r="A632" s="28">
        <f>Angela_2026_Chase1117_Activity_!B629</f>
        <v>46126</v>
      </c>
      <c r="B632" s="3" t="str">
        <f>Angela_2026_Chase1117_Activity_!C629</f>
        <v>Prime Video Channels amzn.com/bill WA        04/14</v>
      </c>
      <c r="C632" s="3" t="str">
        <f>Angela_2026_Chase1117_Activity_!G629</f>
        <v>Amazon</v>
      </c>
      <c r="D632" s="4">
        <f>Angela_2026_Chase1117_Activity_!D629</f>
        <v>-18.489999999999998</v>
      </c>
    </row>
    <row r="633" spans="1:4" x14ac:dyDescent="0.25">
      <c r="A633" s="28">
        <f>Angela_2026_Chase1117_Activity_!B630</f>
        <v>46126</v>
      </c>
      <c r="B633" s="3" t="str">
        <f>Angela_2026_Chase1117_Activity_!C630</f>
        <v>MOHCINE NMIYCH MARRAKECH                     04/13 MA Dirham  2100.00 X 0.1078619 (EXCHG RTE)</v>
      </c>
      <c r="C633" s="3" t="str">
        <f>Angela_2026_Chase1117_Activity_!G630</f>
        <v>Personal Travel</v>
      </c>
      <c r="D633" s="4">
        <f>Angela_2026_Chase1117_Activity_!D630</f>
        <v>-226.51</v>
      </c>
    </row>
    <row r="634" spans="1:4" x14ac:dyDescent="0.25">
      <c r="A634" s="28">
        <f>Angela_2026_Chase1117_Activity_!B631</f>
        <v>46126</v>
      </c>
      <c r="B634" s="3" t="str">
        <f>Angela_2026_Chase1117_Activity_!C631</f>
        <v>HERBORISTRIE BEN DRISS MARRAKECH             04/13 MA Dirham  2000.00 X 0.1078600 (EXCHG RTE)</v>
      </c>
      <c r="C634" s="3" t="str">
        <f>Angela_2026_Chase1117_Activity_!G631</f>
        <v>Personal Travel</v>
      </c>
      <c r="D634" s="4">
        <f>Angela_2026_Chase1117_Activity_!D631</f>
        <v>-215.72</v>
      </c>
    </row>
    <row r="635" spans="1:4" x14ac:dyDescent="0.25">
      <c r="A635" s="28">
        <f>Angela_2026_Chase1117_Activity_!B632</f>
        <v>46126</v>
      </c>
      <c r="B635" s="3" t="str">
        <f>Angela_2026_Chase1117_Activity_!C632</f>
        <v>ZEBRI TAHAR MARRAKECH                        04/13 MA Dirham  420.00 X 0.1078571 (EXCHG RTE)</v>
      </c>
      <c r="C635" s="3" t="str">
        <f>Angela_2026_Chase1117_Activity_!G632</f>
        <v>Personal Travel</v>
      </c>
      <c r="D635" s="4">
        <f>Angela_2026_Chase1117_Activity_!D632</f>
        <v>-45.3</v>
      </c>
    </row>
    <row r="636" spans="1:4" x14ac:dyDescent="0.25">
      <c r="A636" s="28">
        <f>Angela_2026_Chase1117_Activity_!B633</f>
        <v>46125</v>
      </c>
      <c r="B636" s="3" t="str">
        <f>Angela_2026_Chase1117_Activity_!C633</f>
        <v>FOREIGN EXCHANGE RATE ADJUSTMENT FEE         04/11REPSOL E0</v>
      </c>
      <c r="C636" s="3" t="str">
        <f>Angela_2026_Chase1117_Activity_!G633</f>
        <v>Personal Travel - Portugal</v>
      </c>
      <c r="D636" s="4">
        <f>Angela_2026_Chase1117_Activity_!D633</f>
        <v>-7.0000000000000007E-2</v>
      </c>
    </row>
    <row r="637" spans="1:4" x14ac:dyDescent="0.25">
      <c r="A637" s="28">
        <f>Angela_2026_Chase1117_Activity_!B634</f>
        <v>46125</v>
      </c>
      <c r="B637" s="3" t="str">
        <f>Angela_2026_Chase1117_Activity_!C634</f>
        <v>FOREIGN EXCHANGE RATE ADJUSTMENT FEE         04/10CRUZ DE E</v>
      </c>
      <c r="C637" s="3" t="str">
        <f>Angela_2026_Chase1117_Activity_!G634</f>
        <v>Personal Travel - Portugal</v>
      </c>
      <c r="D637" s="4">
        <f>Angela_2026_Chase1117_Activity_!D634</f>
        <v>-1.1000000000000001</v>
      </c>
    </row>
    <row r="638" spans="1:4" x14ac:dyDescent="0.25">
      <c r="A638" s="28">
        <f>Angela_2026_Chase1117_Activity_!B635</f>
        <v>46125</v>
      </c>
      <c r="B638" s="3" t="str">
        <f>Angela_2026_Chase1117_Activity_!C635</f>
        <v>FOREIGN EXCHANGE RATE ADJUSTMENT FEE         04/10HOTEL LOB</v>
      </c>
      <c r="C638" s="3" t="str">
        <f>Angela_2026_Chase1117_Activity_!G635</f>
        <v>Personal Travel - Portugal</v>
      </c>
      <c r="D638" s="4">
        <f>Angela_2026_Chase1117_Activity_!D635</f>
        <v>-1.58</v>
      </c>
    </row>
    <row r="639" spans="1:4" x14ac:dyDescent="0.25">
      <c r="A639" s="28">
        <f>Angela_2026_Chase1117_Activity_!B636</f>
        <v>46125</v>
      </c>
      <c r="B639" s="3" t="str">
        <f>Angela_2026_Chase1117_Activity_!C636</f>
        <v>FOREIGN EXCHANGE RATE ADJUSTMENT FEE         04/10AGRUPACIO</v>
      </c>
      <c r="C639" s="3" t="str">
        <f>Angela_2026_Chase1117_Activity_!G636</f>
        <v>Personal Travel - Portugal</v>
      </c>
      <c r="D639" s="4">
        <f>Angela_2026_Chase1117_Activity_!D636</f>
        <v>-1.97</v>
      </c>
    </row>
    <row r="640" spans="1:4" x14ac:dyDescent="0.25">
      <c r="A640" s="28">
        <f>Angela_2026_Chase1117_Activity_!B637</f>
        <v>46125</v>
      </c>
      <c r="B640" s="3" t="str">
        <f>Angela_2026_Chase1117_Activity_!C637</f>
        <v>FOREIGN EXCHANGE RATE ADJUSTMENT FEE         04/11LISBOA SO</v>
      </c>
      <c r="C640" s="3" t="str">
        <f>Angela_2026_Chase1117_Activity_!G637</f>
        <v>Personal Travel - Portugal</v>
      </c>
      <c r="D640" s="4">
        <f>Angela_2026_Chase1117_Activity_!D637</f>
        <v>-2.0699999999999998</v>
      </c>
    </row>
    <row r="641" spans="1:4" x14ac:dyDescent="0.25">
      <c r="A641" s="28">
        <f>Angela_2026_Chase1117_Activity_!B638</f>
        <v>46125</v>
      </c>
      <c r="B641" s="3" t="str">
        <f>Angela_2026_Chase1117_Activity_!C638</f>
        <v>NON-CHASE ATM FEE-WITH</v>
      </c>
      <c r="C641" s="3" t="str">
        <f>Angela_2026_Chase1117_Activity_!G638</f>
        <v>Bank Fees</v>
      </c>
      <c r="D641" s="4">
        <f>Angela_2026_Chase1117_Activity_!D638</f>
        <v>-5</v>
      </c>
    </row>
    <row r="642" spans="1:4" x14ac:dyDescent="0.25">
      <c r="A642" s="28">
        <f>Angela_2026_Chase1117_Activity_!B639</f>
        <v>46125</v>
      </c>
      <c r="B642" s="3" t="str">
        <f>Angela_2026_Chase1117_Activity_!C639</f>
        <v>AMAZON MKTPL*B72Z18G Amzn.com/bill WA        04/13</v>
      </c>
      <c r="C642" s="3" t="str">
        <f>Angela_2026_Chase1117_Activity_!G639</f>
        <v>Amazon</v>
      </c>
      <c r="D642" s="4">
        <f>Angela_2026_Chase1117_Activity_!D639</f>
        <v>-17.55</v>
      </c>
    </row>
    <row r="643" spans="1:4" x14ac:dyDescent="0.25">
      <c r="A643" s="28">
        <f>Angela_2026_Chase1117_Activity_!B640</f>
        <v>46125</v>
      </c>
      <c r="B643" s="3" t="str">
        <f>Angela_2026_Chase1117_Activity_!C640</f>
        <v>TAP AIRLINE NEWARK NJ                        04/12</v>
      </c>
      <c r="C643" s="3" t="str">
        <f>Angela_2026_Chase1117_Activity_!G640</f>
        <v>Personal Travel</v>
      </c>
      <c r="D643" s="4">
        <f>Angela_2026_Chase1117_Activity_!D640</f>
        <v>-43</v>
      </c>
    </row>
    <row r="644" spans="1:4" x14ac:dyDescent="0.25">
      <c r="A644" s="28">
        <f>Angela_2026_Chase1117_Activity_!B641</f>
        <v>46125</v>
      </c>
      <c r="B644" s="3" t="str">
        <f>Angela_2026_Chase1117_Activity_!C641</f>
        <v>LISBOA SOUVENIRS LISBOA                      04/11 Euro       59.00 X 1.174068 (EXCHG RTE)</v>
      </c>
      <c r="C644" s="3" t="str">
        <f>Angela_2026_Chase1117_Activity_!G641</f>
        <v>Personal Travel</v>
      </c>
      <c r="D644" s="4">
        <f>Angela_2026_Chase1117_Activity_!D641</f>
        <v>-69.27</v>
      </c>
    </row>
    <row r="645" spans="1:4" x14ac:dyDescent="0.25">
      <c r="A645" s="28">
        <f>Angela_2026_Chase1117_Activity_!B642</f>
        <v>46125</v>
      </c>
      <c r="B645" s="3" t="str">
        <f>Angela_2026_Chase1117_Activity_!C642</f>
        <v>REPSOL E0772 MONTEMOR-O-NO                   04/11 Euro       2.00 X 1.175000 (EXCHG RTE)</v>
      </c>
      <c r="C645" s="3" t="str">
        <f>Angela_2026_Chase1117_Activity_!G642</f>
        <v>Personal Travel</v>
      </c>
      <c r="D645" s="4">
        <f>Angela_2026_Chase1117_Activity_!D642</f>
        <v>-2.35</v>
      </c>
    </row>
    <row r="646" spans="1:4" x14ac:dyDescent="0.25">
      <c r="A646" s="28">
        <f>Angela_2026_Chase1117_Activity_!B643</f>
        <v>46125</v>
      </c>
      <c r="B646" s="3" t="str">
        <f>Angela_2026_Chase1117_Activity_!C643</f>
        <v>NON-CHASE ATM WITHDRAW               467771  04/11REPSOL VE</v>
      </c>
      <c r="C646" s="3" t="str">
        <f>Angela_2026_Chase1117_Activity_!G643</f>
        <v>Withdrawal</v>
      </c>
      <c r="D646" s="4">
        <f>Angela_2026_Chase1117_Activity_!D643</f>
        <v>-266.5</v>
      </c>
    </row>
    <row r="647" spans="1:4" x14ac:dyDescent="0.25">
      <c r="A647" s="28">
        <f>Angela_2026_Chase1117_Activity_!B644</f>
        <v>46125</v>
      </c>
      <c r="B647" s="3" t="str">
        <f>Angela_2026_Chase1117_Activity_!C644</f>
        <v>EXPEDIA 72073163999186 EXPEDIA.COM WA        04/11</v>
      </c>
      <c r="C647" s="3" t="str">
        <f>Angela_2026_Chase1117_Activity_!G644</f>
        <v>Personal Travel</v>
      </c>
      <c r="D647" s="4">
        <f>Angela_2026_Chase1117_Activity_!D644</f>
        <v>-507.44</v>
      </c>
    </row>
    <row r="648" spans="1:4" x14ac:dyDescent="0.25">
      <c r="A648" s="28">
        <f>Angela_2026_Chase1117_Activity_!B645</f>
        <v>46125</v>
      </c>
      <c r="B648" s="3" t="str">
        <f>Angela_2026_Chase1117_Activity_!C645</f>
        <v>EXPEDIA 72073150297564 EXPEDIA.COM WA        04/10</v>
      </c>
      <c r="C648" s="3" t="str">
        <f>Angela_2026_Chase1117_Activity_!G645</f>
        <v>Personal Travel</v>
      </c>
      <c r="D648" s="4">
        <f>Angela_2026_Chase1117_Activity_!D645</f>
        <v>-451.45</v>
      </c>
    </row>
    <row r="649" spans="1:4" x14ac:dyDescent="0.25">
      <c r="A649" s="28">
        <f>Angela_2026_Chase1117_Activity_!B646</f>
        <v>46125</v>
      </c>
      <c r="B649" s="3" t="str">
        <f>Angela_2026_Chase1117_Activity_!C646</f>
        <v>CRUZ DE ELVIRA-CATEDRAL GRANADA              04/10 Euro       31.45 X 1.172337 (EXCHG RTE)</v>
      </c>
      <c r="C649" s="3" t="str">
        <f>Angela_2026_Chase1117_Activity_!G646</f>
        <v>Personal Travel</v>
      </c>
      <c r="D649" s="4">
        <f>Angela_2026_Chase1117_Activity_!D646</f>
        <v>-36.869999999999997</v>
      </c>
    </row>
    <row r="650" spans="1:4" x14ac:dyDescent="0.25">
      <c r="A650" s="28">
        <f>Angela_2026_Chase1117_Activity_!B647</f>
        <v>46125</v>
      </c>
      <c r="B650" s="3" t="str">
        <f>Angela_2026_Chase1117_Activity_!C647</f>
        <v>AGRUPACION DE GUIAS OFI GRANADA              04/10 Euro       56.08 X 1.172432 (EXCHG RTE)</v>
      </c>
      <c r="C650" s="3" t="str">
        <f>Angela_2026_Chase1117_Activity_!G647</f>
        <v>Personal Travel</v>
      </c>
      <c r="D650" s="4">
        <f>Angela_2026_Chase1117_Activity_!D647</f>
        <v>-65.75</v>
      </c>
    </row>
    <row r="651" spans="1:4" x14ac:dyDescent="0.25">
      <c r="A651" s="28">
        <f>Angela_2026_Chase1117_Activity_!B648</f>
        <v>46125</v>
      </c>
      <c r="B651" s="3" t="str">
        <f>Angela_2026_Chase1117_Activity_!C648</f>
        <v>HOTEL LOBBY SEVILLA                          04/10 Euro       45.00 X 1.172444 (EXCHG RTE)</v>
      </c>
      <c r="C651" s="3" t="str">
        <f>Angela_2026_Chase1117_Activity_!G648</f>
        <v>Personal Travel</v>
      </c>
      <c r="D651" s="4">
        <f>Angela_2026_Chase1117_Activity_!D648</f>
        <v>-52.76</v>
      </c>
    </row>
    <row r="652" spans="1:4" x14ac:dyDescent="0.25">
      <c r="A652" s="28">
        <f>Angela_2026_Chase1117_Activity_!B649</f>
        <v>46125</v>
      </c>
      <c r="B652" s="3" t="str">
        <f>Angela_2026_Chase1117_Activity_!C649</f>
        <v>Zelle payment from JOE SAUNDERS 28811713538</v>
      </c>
      <c r="C652" s="3" t="str">
        <f>Angela_2026_Chase1117_Activity_!G649</f>
        <v>Zelle from Joe Saunders</v>
      </c>
      <c r="D652" s="4">
        <f>Angela_2026_Chase1117_Activity_!D649</f>
        <v>500</v>
      </c>
    </row>
    <row r="653" spans="1:4" x14ac:dyDescent="0.25">
      <c r="A653" s="28">
        <f>Angela_2026_Chase1117_Activity_!B650</f>
        <v>46122</v>
      </c>
      <c r="B653" s="3" t="str">
        <f>Angela_2026_Chase1117_Activity_!C650</f>
        <v>NON-CHASE ATM FEE-WITH</v>
      </c>
      <c r="C653" s="3" t="str">
        <f>Angela_2026_Chase1117_Activity_!G650</f>
        <v>Bank Fees</v>
      </c>
      <c r="D653" s="4">
        <f>Angela_2026_Chase1117_Activity_!D650</f>
        <v>-5</v>
      </c>
    </row>
    <row r="654" spans="1:4" x14ac:dyDescent="0.25">
      <c r="A654" s="28">
        <f>Angela_2026_Chase1117_Activity_!B651</f>
        <v>46122</v>
      </c>
      <c r="B654" s="3" t="str">
        <f>Angela_2026_Chase1117_Activity_!C651</f>
        <v>NON-CHASE ATM WITHDRAW               773446  04/10100490164</v>
      </c>
      <c r="C654" s="3" t="str">
        <f>Angela_2026_Chase1117_Activity_!G651</f>
        <v>Withdrawal</v>
      </c>
      <c r="D654" s="4">
        <f>Angela_2026_Chase1117_Activity_!D651</f>
        <v>-399.65</v>
      </c>
    </row>
    <row r="655" spans="1:4" x14ac:dyDescent="0.25">
      <c r="A655" s="28">
        <f>Angela_2026_Chase1117_Activity_!B652</f>
        <v>46122</v>
      </c>
      <c r="B655" s="3" t="str">
        <f>Angela_2026_Chase1117_Activity_!C652</f>
        <v>APPLE.COM/BILL 866-712-7753 CA               04/10</v>
      </c>
      <c r="C655" s="3" t="str">
        <f>Angela_2026_Chase1117_Activity_!G652</f>
        <v>Apple</v>
      </c>
      <c r="D655" s="4">
        <f>Angela_2026_Chase1117_Activity_!D652</f>
        <v>-12.99</v>
      </c>
    </row>
    <row r="656" spans="1:4" x14ac:dyDescent="0.25">
      <c r="A656" s="28">
        <f>Angela_2026_Chase1117_Activity_!B653</f>
        <v>46122</v>
      </c>
      <c r="B656" s="3" t="str">
        <f>Angela_2026_Chase1117_Activity_!C653</f>
        <v>Amazon Tips*BY9FO33M Amzn.com/bill WA        04/09</v>
      </c>
      <c r="C656" s="3" t="str">
        <f>Angela_2026_Chase1117_Activity_!G653</f>
        <v>Amazon</v>
      </c>
      <c r="D656" s="4">
        <f>Angela_2026_Chase1117_Activity_!D653</f>
        <v>-10</v>
      </c>
    </row>
    <row r="657" spans="1:4" x14ac:dyDescent="0.25">
      <c r="A657" s="28">
        <f>Angela_2026_Chase1117_Activity_!B654</f>
        <v>46122</v>
      </c>
      <c r="B657" s="3" t="str">
        <f>Angela_2026_Chase1117_Activity_!C654</f>
        <v>TAP AIRLINE 04725244389 NEW YORK NY          04/09</v>
      </c>
      <c r="C657" s="3" t="str">
        <f>Angela_2026_Chase1117_Activity_!G654</f>
        <v>Personal Travel</v>
      </c>
      <c r="D657" s="4">
        <f>Angela_2026_Chase1117_Activity_!D654</f>
        <v>-614.6</v>
      </c>
    </row>
    <row r="658" spans="1:4" x14ac:dyDescent="0.25">
      <c r="A658" s="28">
        <f>Angela_2026_Chase1117_Activity_!B655</f>
        <v>46122</v>
      </c>
      <c r="B658" s="3" t="str">
        <f>Angela_2026_Chase1117_Activity_!C655</f>
        <v>TAP AIRLINE 04725244389 NEW YORK NY          04/09</v>
      </c>
      <c r="C658" s="3" t="str">
        <f>Angela_2026_Chase1117_Activity_!G655</f>
        <v>Personal Travel</v>
      </c>
      <c r="D658" s="4">
        <f>Angela_2026_Chase1117_Activity_!D655</f>
        <v>-614.6</v>
      </c>
    </row>
    <row r="659" spans="1:4" x14ac:dyDescent="0.25">
      <c r="A659" s="28">
        <f>Angela_2026_Chase1117_Activity_!B656</f>
        <v>46122</v>
      </c>
      <c r="B659" s="3" t="str">
        <f>Angela_2026_Chase1117_Activity_!C656</f>
        <v>TAP AIRLINE 0470018646 800-2217370 NJ        04/09</v>
      </c>
      <c r="C659" s="3" t="str">
        <f>Angela_2026_Chase1117_Activity_!G656</f>
        <v>Personal Travel</v>
      </c>
      <c r="D659" s="4">
        <f>Angela_2026_Chase1117_Activity_!D656</f>
        <v>264.39999999999998</v>
      </c>
    </row>
    <row r="660" spans="1:4" x14ac:dyDescent="0.25">
      <c r="A660" s="28">
        <f>Angela_2026_Chase1117_Activity_!B657</f>
        <v>46121</v>
      </c>
      <c r="B660" s="3" t="str">
        <f>Angela_2026_Chase1117_Activity_!C657</f>
        <v>FOREIGN EXCHANGE RATE ADJUSTMENT FEE         04/08TORRE DE</v>
      </c>
      <c r="C660" s="3" t="str">
        <f>Angela_2026_Chase1117_Activity_!G657</f>
        <v>Personal Travel - Portugal</v>
      </c>
      <c r="D660" s="4">
        <f>Angela_2026_Chase1117_Activity_!D657</f>
        <v>-0.31</v>
      </c>
    </row>
    <row r="661" spans="1:4" x14ac:dyDescent="0.25">
      <c r="A661" s="28">
        <f>Angela_2026_Chase1117_Activity_!B658</f>
        <v>46121</v>
      </c>
      <c r="B661" s="3" t="str">
        <f>Angela_2026_Chase1117_Activity_!C658</f>
        <v>FOREIGN EXCHANGE RATE ADJUSTMENT FEE         04/08FRANCISCO</v>
      </c>
      <c r="C661" s="3" t="str">
        <f>Angela_2026_Chase1117_Activity_!G658</f>
        <v>Personal Travel - Portugal</v>
      </c>
      <c r="D661" s="4">
        <f>Angela_2026_Chase1117_Activity_!D658</f>
        <v>-0.51</v>
      </c>
    </row>
    <row r="662" spans="1:4" x14ac:dyDescent="0.25">
      <c r="A662" s="28">
        <f>Angela_2026_Chase1117_Activity_!B659</f>
        <v>46121</v>
      </c>
      <c r="B662" s="3" t="str">
        <f>Angela_2026_Chase1117_Activity_!C659</f>
        <v>FOREIGN EXCHANGE RATE ADJUSTMENT FEE         04/08UNITED SO</v>
      </c>
      <c r="C662" s="3" t="str">
        <f>Angela_2026_Chase1117_Activity_!G659</f>
        <v>Personal Travel - Portugal</v>
      </c>
      <c r="D662" s="4">
        <f>Angela_2026_Chase1117_Activity_!D659</f>
        <v>-3.01</v>
      </c>
    </row>
    <row r="663" spans="1:4" x14ac:dyDescent="0.25">
      <c r="A663" s="28">
        <f>Angela_2026_Chase1117_Activity_!B660</f>
        <v>46121</v>
      </c>
      <c r="B663" s="3" t="str">
        <f>Angela_2026_Chase1117_Activity_!C660</f>
        <v>FOREIGN EXCHANGE RATE ADJUSTMENT FEE         04/08SOUVENIRS</v>
      </c>
      <c r="C663" s="3" t="str">
        <f>Angela_2026_Chase1117_Activity_!G660</f>
        <v>Personal Travel - Portugal</v>
      </c>
      <c r="D663" s="4">
        <f>Angela_2026_Chase1117_Activity_!D660</f>
        <v>-3.9</v>
      </c>
    </row>
    <row r="664" spans="1:4" x14ac:dyDescent="0.25">
      <c r="A664" s="28">
        <f>Angela_2026_Chase1117_Activity_!B661</f>
        <v>46121</v>
      </c>
      <c r="B664" s="3" t="str">
        <f>Angela_2026_Chase1117_Activity_!C661</f>
        <v>APPLE.COM/BILL 866-712-7753 CA               04/09</v>
      </c>
      <c r="C664" s="3" t="str">
        <f>Angela_2026_Chase1117_Activity_!G661</f>
        <v>Apple</v>
      </c>
      <c r="D664" s="4">
        <f>Angela_2026_Chase1117_Activity_!D661</f>
        <v>-6.99</v>
      </c>
    </row>
    <row r="665" spans="1:4" x14ac:dyDescent="0.25">
      <c r="A665" s="28">
        <f>Angela_2026_Chase1117_Activity_!B662</f>
        <v>46121</v>
      </c>
      <c r="B665" s="3" t="str">
        <f>Angela_2026_Chase1117_Activity_!C662</f>
        <v>EXPEDIA 73415711340621 EXPEDIA.COM WA        04/08</v>
      </c>
      <c r="C665" s="3" t="str">
        <f>Angela_2026_Chase1117_Activity_!G662</f>
        <v>Personal Travel</v>
      </c>
      <c r="D665" s="4">
        <f>Angela_2026_Chase1117_Activity_!D662</f>
        <v>-575.84</v>
      </c>
    </row>
    <row r="666" spans="1:4" x14ac:dyDescent="0.25">
      <c r="A666" s="28">
        <f>Angela_2026_Chase1117_Activity_!B663</f>
        <v>46121</v>
      </c>
      <c r="B666" s="3" t="str">
        <f>Angela_2026_Chase1117_Activity_!C663</f>
        <v>TAP AIRLINE 0470018646 800-2217370 NJ        04/08</v>
      </c>
      <c r="C666" s="3" t="str">
        <f>Angela_2026_Chase1117_Activity_!G663</f>
        <v>Personal Travel</v>
      </c>
      <c r="D666" s="4">
        <f>Angela_2026_Chase1117_Activity_!D663</f>
        <v>-381</v>
      </c>
    </row>
    <row r="667" spans="1:4" x14ac:dyDescent="0.25">
      <c r="A667" s="28">
        <f>Angela_2026_Chase1117_Activity_!B664</f>
        <v>46121</v>
      </c>
      <c r="B667" s="3" t="str">
        <f>Angela_2026_Chase1117_Activity_!C664</f>
        <v>TAP AIRLINE 0470018646 800-2217370 NJ        04/08</v>
      </c>
      <c r="C667" s="3" t="str">
        <f>Angela_2026_Chase1117_Activity_!G664</f>
        <v>Personal Travel</v>
      </c>
      <c r="D667" s="4">
        <f>Angela_2026_Chase1117_Activity_!D664</f>
        <v>-738</v>
      </c>
    </row>
    <row r="668" spans="1:4" x14ac:dyDescent="0.25">
      <c r="A668" s="28">
        <f>Angela_2026_Chase1117_Activity_!B665</f>
        <v>46121</v>
      </c>
      <c r="B668" s="3" t="str">
        <f>Angela_2026_Chase1117_Activity_!C665</f>
        <v>Amazon.com*BC32C0D51 Amzn.com/bill WA        04/08</v>
      </c>
      <c r="C668" s="3" t="str">
        <f>Angela_2026_Chase1117_Activity_!G665</f>
        <v>Amazon</v>
      </c>
      <c r="D668" s="4">
        <f>Angela_2026_Chase1117_Activity_!D665</f>
        <v>-178.33</v>
      </c>
    </row>
    <row r="669" spans="1:4" x14ac:dyDescent="0.25">
      <c r="A669" s="28">
        <f>Angela_2026_Chase1117_Activity_!B666</f>
        <v>46121</v>
      </c>
      <c r="B669" s="3" t="str">
        <f>Angela_2026_Chase1117_Activity_!C666</f>
        <v>UNITED SOUVENIRS CORDOBA                     04/08 Euro       86.50 X 1.160694 (EXCHG RTE)</v>
      </c>
      <c r="C669" s="3" t="str">
        <f>Angela_2026_Chase1117_Activity_!G666</f>
        <v>Personal Travel</v>
      </c>
      <c r="D669" s="4">
        <f>Angela_2026_Chase1117_Activity_!D666</f>
        <v>-100.4</v>
      </c>
    </row>
    <row r="670" spans="1:4" x14ac:dyDescent="0.25">
      <c r="A670" s="28">
        <f>Angela_2026_Chase1117_Activity_!B667</f>
        <v>46121</v>
      </c>
      <c r="B670" s="3" t="str">
        <f>Angela_2026_Chase1117_Activity_!C667</f>
        <v>SOUVENIRS SAN RAFAEL CORDOBA                 04/08 Euro       112.00 X 1.160714 (EXCHG RTE)</v>
      </c>
      <c r="C670" s="3" t="str">
        <f>Angela_2026_Chase1117_Activity_!G667</f>
        <v>Personal Travel</v>
      </c>
      <c r="D670" s="4">
        <f>Angela_2026_Chase1117_Activity_!D667</f>
        <v>-130</v>
      </c>
    </row>
    <row r="671" spans="1:4" x14ac:dyDescent="0.25">
      <c r="A671" s="28">
        <f>Angela_2026_Chase1117_Activity_!B668</f>
        <v>46121</v>
      </c>
      <c r="B671" s="3" t="str">
        <f>Angela_2026_Chase1117_Activity_!C668</f>
        <v>TORRE DE LA CALAHORRA CORDOBA                04/08 Euro       9.00 X 1.161111 (EXCHG RTE)</v>
      </c>
      <c r="C671" s="3" t="str">
        <f>Angela_2026_Chase1117_Activity_!G668</f>
        <v>Personal Travel</v>
      </c>
      <c r="D671" s="4">
        <f>Angela_2026_Chase1117_Activity_!D668</f>
        <v>-10.45</v>
      </c>
    </row>
    <row r="672" spans="1:4" x14ac:dyDescent="0.25">
      <c r="A672" s="28">
        <f>Angela_2026_Chase1117_Activity_!B669</f>
        <v>46121</v>
      </c>
      <c r="B672" s="3" t="str">
        <f>Angela_2026_Chase1117_Activity_!C669</f>
        <v>FRANCISCO VILLALBA AVIL ECIJA                04/08 Euro       14.80 X 1.160811 (EXCHG RTE)</v>
      </c>
      <c r="C672" s="3" t="str">
        <f>Angela_2026_Chase1117_Activity_!G669</f>
        <v>Personal Travel</v>
      </c>
      <c r="D672" s="4">
        <f>Angela_2026_Chase1117_Activity_!D669</f>
        <v>-17.18</v>
      </c>
    </row>
    <row r="673" spans="1:4" x14ac:dyDescent="0.25">
      <c r="A673" s="28">
        <f>Angela_2026_Chase1117_Activity_!B670</f>
        <v>46121</v>
      </c>
      <c r="B673" s="3" t="str">
        <f>Angela_2026_Chase1117_Activity_!C670</f>
        <v>EXPEDIA 73381337714487 EXPEDIA.COM WA        04/08</v>
      </c>
      <c r="C673" s="3" t="str">
        <f>Angela_2026_Chase1117_Activity_!G670</f>
        <v>Personal Travel</v>
      </c>
      <c r="D673" s="4">
        <f>Angela_2026_Chase1117_Activity_!D670</f>
        <v>568.33000000000004</v>
      </c>
    </row>
    <row r="674" spans="1:4" x14ac:dyDescent="0.25">
      <c r="A674" s="28">
        <f>Angela_2026_Chase1117_Activity_!B671</f>
        <v>46120</v>
      </c>
      <c r="B674" s="3" t="str">
        <f>Angela_2026_Chase1117_Activity_!C671</f>
        <v>Online Transfer to CHK ...6975 transaction#: 28750430664 04/08</v>
      </c>
      <c r="C674" s="3" t="str">
        <f>Angela_2026_Chase1117_Activity_!G671</f>
        <v>Transfer to Ava</v>
      </c>
      <c r="D674" s="4">
        <f>Angela_2026_Chase1117_Activity_!D671</f>
        <v>-1000</v>
      </c>
    </row>
    <row r="675" spans="1:4" x14ac:dyDescent="0.25">
      <c r="A675" s="28">
        <f>Angela_2026_Chase1117_Activity_!B672</f>
        <v>46120</v>
      </c>
      <c r="B675" s="3" t="str">
        <f>Angela_2026_Chase1117_Activity_!C672</f>
        <v>Prime Video Channels amzn.com/bill WA        04/07</v>
      </c>
      <c r="C675" s="3" t="str">
        <f>Angela_2026_Chase1117_Activity_!G672</f>
        <v>Amazon</v>
      </c>
      <c r="D675" s="4">
        <f>Angela_2026_Chase1117_Activity_!D672</f>
        <v>-13.99</v>
      </c>
    </row>
    <row r="676" spans="1:4" x14ac:dyDescent="0.25">
      <c r="A676" s="28">
        <f>Angela_2026_Chase1117_Activity_!B673</f>
        <v>46120</v>
      </c>
      <c r="B676" s="3" t="str">
        <f>Angela_2026_Chase1117_Activity_!C673</f>
        <v>Online Transfer from CHK ...1168 transaction#: 28750406621</v>
      </c>
      <c r="C676" s="3" t="str">
        <f>Angela_2026_Chase1117_Activity_!G673</f>
        <v>Transfer from DWG Capital Group</v>
      </c>
      <c r="D676" s="4">
        <f>Angela_2026_Chase1117_Activity_!D673</f>
        <v>3000</v>
      </c>
    </row>
    <row r="677" spans="1:4" x14ac:dyDescent="0.25">
      <c r="A677" s="28">
        <f>Angela_2026_Chase1117_Activity_!B674</f>
        <v>46118</v>
      </c>
      <c r="B677" s="3" t="str">
        <f>Angela_2026_Chase1117_Activity_!C674</f>
        <v>FOREIGN EXCHANGE RATE ADJUSTMENT FEE         04/06XARAZARTE</v>
      </c>
      <c r="C677" s="3" t="str">
        <f>Angela_2026_Chase1117_Activity_!G674</f>
        <v>Personal Travel - Portugal</v>
      </c>
      <c r="D677" s="4">
        <f>Angela_2026_Chase1117_Activity_!D674</f>
        <v>-0.78</v>
      </c>
    </row>
    <row r="678" spans="1:4" x14ac:dyDescent="0.25">
      <c r="A678" s="28">
        <f>Angela_2026_Chase1117_Activity_!B675</f>
        <v>46118</v>
      </c>
      <c r="B678" s="3" t="str">
        <f>Angela_2026_Chase1117_Activity_!C675</f>
        <v>FOREIGN EXCHANGE RATE ADJUSTMENT FEE         04/04RESTAURAN</v>
      </c>
      <c r="C678" s="3" t="str">
        <f>Angela_2026_Chase1117_Activity_!G675</f>
        <v>Personal Travel - Portugal</v>
      </c>
      <c r="D678" s="4">
        <f>Angela_2026_Chase1117_Activity_!D675</f>
        <v>-3.05</v>
      </c>
    </row>
    <row r="679" spans="1:4" x14ac:dyDescent="0.25">
      <c r="A679" s="28">
        <f>Angela_2026_Chase1117_Activity_!B676</f>
        <v>46118</v>
      </c>
      <c r="B679" s="3" t="str">
        <f>Angela_2026_Chase1117_Activity_!C676</f>
        <v>FOREIGN EXCHANGE RATE ADJUSTMENT FEE         04/04CENTRO IN</v>
      </c>
      <c r="C679" s="3" t="str">
        <f>Angela_2026_Chase1117_Activity_!G676</f>
        <v>Personal Travel - Portugal</v>
      </c>
      <c r="D679" s="4">
        <f>Angela_2026_Chase1117_Activity_!D676</f>
        <v>-3.52</v>
      </c>
    </row>
    <row r="680" spans="1:4" x14ac:dyDescent="0.25">
      <c r="A680" s="28">
        <f>Angela_2026_Chase1117_Activity_!B677</f>
        <v>46118</v>
      </c>
      <c r="B680" s="3" t="str">
        <f>Angela_2026_Chase1117_Activity_!C677</f>
        <v>NON-CHASE ATM FEE-WITH</v>
      </c>
      <c r="C680" s="3" t="str">
        <f>Angela_2026_Chase1117_Activity_!G677</f>
        <v>Bank Fees</v>
      </c>
      <c r="D680" s="4">
        <f>Angela_2026_Chase1117_Activity_!D677</f>
        <v>-5</v>
      </c>
    </row>
    <row r="681" spans="1:4" x14ac:dyDescent="0.25">
      <c r="A681" s="28">
        <f>Angela_2026_Chase1117_Activity_!B678</f>
        <v>46118</v>
      </c>
      <c r="B681" s="3" t="str">
        <f>Angela_2026_Chase1117_Activity_!C678</f>
        <v>NON-CHASE ATM FEE-WITH</v>
      </c>
      <c r="C681" s="3" t="str">
        <f>Angela_2026_Chase1117_Activity_!G678</f>
        <v>Bank Fees</v>
      </c>
      <c r="D681" s="4">
        <f>Angela_2026_Chase1117_Activity_!D678</f>
        <v>-5</v>
      </c>
    </row>
    <row r="682" spans="1:4" x14ac:dyDescent="0.25">
      <c r="A682" s="28">
        <f>Angela_2026_Chase1117_Activity_!B679</f>
        <v>46118</v>
      </c>
      <c r="B682" s="3" t="str">
        <f>Angela_2026_Chase1117_Activity_!C679</f>
        <v>NON-CHASE ATM FEE-WITH</v>
      </c>
      <c r="C682" s="3" t="str">
        <f>Angela_2026_Chase1117_Activity_!G679</f>
        <v>Bank Fees</v>
      </c>
      <c r="D682" s="4">
        <f>Angela_2026_Chase1117_Activity_!D679</f>
        <v>-5</v>
      </c>
    </row>
    <row r="683" spans="1:4" x14ac:dyDescent="0.25">
      <c r="A683" s="28">
        <f>Angela_2026_Chase1117_Activity_!B680</f>
        <v>46118</v>
      </c>
      <c r="B683" s="3" t="str">
        <f>Angela_2026_Chase1117_Activity_!C680</f>
        <v>NON-CHASE ATM WITHDRAW               139424  04/06CALLE ROD</v>
      </c>
      <c r="C683" s="3" t="str">
        <f>Angela_2026_Chase1117_Activity_!G680</f>
        <v>Withdrawal</v>
      </c>
      <c r="D683" s="4">
        <f>Angela_2026_Chase1117_Activity_!D680</f>
        <v>-404.91</v>
      </c>
    </row>
    <row r="684" spans="1:4" x14ac:dyDescent="0.25">
      <c r="A684" s="28">
        <f>Angela_2026_Chase1117_Activity_!B681</f>
        <v>46118</v>
      </c>
      <c r="B684" s="3" t="str">
        <f>Angela_2026_Chase1117_Activity_!C681</f>
        <v>XARAZARTE MONSARAZ MONSARAZ                  04/06 Euro       22.70 X 1.155066 (EXCHG RTE)</v>
      </c>
      <c r="C684" s="3" t="str">
        <f>Angela_2026_Chase1117_Activity_!G681</f>
        <v>Personal Travel</v>
      </c>
      <c r="D684" s="4">
        <f>Angela_2026_Chase1117_Activity_!D681</f>
        <v>-26.22</v>
      </c>
    </row>
    <row r="685" spans="1:4" x14ac:dyDescent="0.25">
      <c r="A685" s="28">
        <f>Angela_2026_Chase1117_Activity_!B682</f>
        <v>46118</v>
      </c>
      <c r="B685" s="3" t="str">
        <f>Angela_2026_Chase1117_Activity_!C682</f>
        <v>GOOGLE *YouTubePremi g.co/helppay# CA        04/06</v>
      </c>
      <c r="C685" s="3" t="str">
        <f>Angela_2026_Chase1117_Activity_!G682</f>
        <v>YouTube Premium</v>
      </c>
      <c r="D685" s="4">
        <f>Angela_2026_Chase1117_Activity_!D682</f>
        <v>-13.99</v>
      </c>
    </row>
    <row r="686" spans="1:4" x14ac:dyDescent="0.25">
      <c r="A686" s="28">
        <f>Angela_2026_Chase1117_Activity_!B683</f>
        <v>46118</v>
      </c>
      <c r="B686" s="3" t="str">
        <f>Angela_2026_Chase1117_Activity_!C683</f>
        <v>PSYCHOLOGY TODAY PSYCHOLOGYTOD SD            04/06</v>
      </c>
      <c r="C686" s="3" t="str">
        <f>Angela_2026_Chase1117_Activity_!G683</f>
        <v>Personal - Subscription</v>
      </c>
      <c r="D686" s="4">
        <f>Angela_2026_Chase1117_Activity_!D683</f>
        <v>-29.95</v>
      </c>
    </row>
    <row r="687" spans="1:4" x14ac:dyDescent="0.25">
      <c r="A687" s="28">
        <f>Angela_2026_Chase1117_Activity_!B684</f>
        <v>46118</v>
      </c>
      <c r="B687" s="3" t="str">
        <f>Angela_2026_Chase1117_Activity_!C684</f>
        <v>NON-CHASE ATM WITHDRAW               416757  04/05PC DO GIR</v>
      </c>
      <c r="C687" s="3" t="str">
        <f>Angela_2026_Chase1117_Activity_!G684</f>
        <v>Withdrawal</v>
      </c>
      <c r="D687" s="4">
        <f>Angela_2026_Chase1117_Activity_!D684</f>
        <v>-262.20999999999998</v>
      </c>
    </row>
    <row r="688" spans="1:4" x14ac:dyDescent="0.25">
      <c r="A688" s="28">
        <f>Angela_2026_Chase1117_Activity_!B685</f>
        <v>46118</v>
      </c>
      <c r="B688" s="3" t="str">
        <f>Angela_2026_Chase1117_Activity_!C685</f>
        <v>SABOR A ESPANA EVORA                         04/05</v>
      </c>
      <c r="C688" s="3" t="str">
        <f>Angela_2026_Chase1117_Activity_!G685</f>
        <v>Personal - Food</v>
      </c>
      <c r="D688" s="4">
        <f>Angela_2026_Chase1117_Activity_!D685</f>
        <v>-19.47</v>
      </c>
    </row>
    <row r="689" spans="1:4" x14ac:dyDescent="0.25">
      <c r="A689" s="28">
        <f>Angela_2026_Chase1117_Activity_!B686</f>
        <v>46118</v>
      </c>
      <c r="B689" s="3" t="str">
        <f>Angela_2026_Chase1117_Activity_!C686</f>
        <v>RESTAURANTE MOMENTOS EVORA                   04/04 Euro       88.25 X 1.155127 (EXCHG RTE)</v>
      </c>
      <c r="C689" s="3" t="str">
        <f>Angela_2026_Chase1117_Activity_!G686</f>
        <v>Personal - Food</v>
      </c>
      <c r="D689" s="4">
        <f>Angela_2026_Chase1117_Activity_!D686</f>
        <v>-101.94</v>
      </c>
    </row>
    <row r="690" spans="1:4" x14ac:dyDescent="0.25">
      <c r="A690" s="28">
        <f>Angela_2026_Chase1117_Activity_!B687</f>
        <v>46118</v>
      </c>
      <c r="B690" s="3" t="str">
        <f>Angela_2026_Chase1117_Activity_!C687</f>
        <v>CENTRO INT ALMENDRES N SENHORA DE            04/04 Euro       101.80 X 1.155108 (EXCHG RTE)</v>
      </c>
      <c r="C690" s="3" t="str">
        <f>Angela_2026_Chase1117_Activity_!G687</f>
        <v>Personal Travel</v>
      </c>
      <c r="D690" s="4">
        <f>Angela_2026_Chase1117_Activity_!D687</f>
        <v>-117.59</v>
      </c>
    </row>
    <row r="691" spans="1:4" x14ac:dyDescent="0.25">
      <c r="A691" s="28">
        <f>Angela_2026_Chase1117_Activity_!B688</f>
        <v>46118</v>
      </c>
      <c r="B691" s="3" t="str">
        <f>Angela_2026_Chase1117_Activity_!C688</f>
        <v>NON-CHASE ATM WITHDRAW               315193  04/04REPSOL -</v>
      </c>
      <c r="C691" s="3" t="str">
        <f>Angela_2026_Chase1117_Activity_!G688</f>
        <v>Withdrawal</v>
      </c>
      <c r="D691" s="4">
        <f>Angela_2026_Chase1117_Activity_!D688</f>
        <v>-263.48</v>
      </c>
    </row>
    <row r="692" spans="1:4" x14ac:dyDescent="0.25">
      <c r="A692" s="28">
        <f>Angela_2026_Chase1117_Activity_!B689</f>
        <v>46118</v>
      </c>
      <c r="B692" s="3" t="str">
        <f>Angela_2026_Chase1117_Activity_!C689</f>
        <v>EXPEDIA 73385366194474 EXPEDIA.COM WA        04/04</v>
      </c>
      <c r="C692" s="3" t="str">
        <f>Angela_2026_Chase1117_Activity_!G689</f>
        <v>Personal Travel</v>
      </c>
      <c r="D692" s="4">
        <f>Angela_2026_Chase1117_Activity_!D689</f>
        <v>193.8</v>
      </c>
    </row>
    <row r="693" spans="1:4" x14ac:dyDescent="0.25">
      <c r="A693" s="28">
        <f>Angela_2026_Chase1117_Activity_!B690</f>
        <v>46115</v>
      </c>
      <c r="B693" s="3" t="str">
        <f>Angela_2026_Chase1117_Activity_!C690</f>
        <v>NON-CHASE ATM FEE-WITH</v>
      </c>
      <c r="C693" s="3" t="str">
        <f>Angela_2026_Chase1117_Activity_!G690</f>
        <v>Bank Fees</v>
      </c>
      <c r="D693" s="4">
        <f>Angela_2026_Chase1117_Activity_!D690</f>
        <v>-5</v>
      </c>
    </row>
    <row r="694" spans="1:4" x14ac:dyDescent="0.25">
      <c r="A694" s="28">
        <f>Angela_2026_Chase1117_Activity_!B691</f>
        <v>46115</v>
      </c>
      <c r="B694" s="3" t="str">
        <f>Angela_2026_Chase1117_Activity_!C691</f>
        <v>NON-CHASE ATM FEE-WITH</v>
      </c>
      <c r="C694" s="3" t="str">
        <f>Angela_2026_Chase1117_Activity_!G691</f>
        <v>Bank Fees</v>
      </c>
      <c r="D694" s="4">
        <f>Angela_2026_Chase1117_Activity_!D691</f>
        <v>-5</v>
      </c>
    </row>
    <row r="695" spans="1:4" x14ac:dyDescent="0.25">
      <c r="A695" s="28">
        <f>Angela_2026_Chase1117_Activity_!B692</f>
        <v>46115</v>
      </c>
      <c r="B695" s="3" t="str">
        <f>Angela_2026_Chase1117_Activity_!C692</f>
        <v>NON-CHASE ATM WITHDRAW               784129  04/03RUA DO CA</v>
      </c>
      <c r="C695" s="3" t="str">
        <f>Angela_2026_Chase1117_Activity_!G692</f>
        <v>Withdrawal</v>
      </c>
      <c r="D695" s="4">
        <f>Angela_2026_Chase1117_Activity_!D692</f>
        <v>-100.14</v>
      </c>
    </row>
    <row r="696" spans="1:4" x14ac:dyDescent="0.25">
      <c r="A696" s="28">
        <f>Angela_2026_Chase1117_Activity_!B693</f>
        <v>46115</v>
      </c>
      <c r="B696" s="3" t="str">
        <f>Angela_2026_Chase1117_Activity_!C693</f>
        <v>NON-CHASE ATM WITHDRAW               782300  04/03RUA DO CA</v>
      </c>
      <c r="C696" s="3" t="str">
        <f>Angela_2026_Chase1117_Activity_!G693</f>
        <v>Withdrawal</v>
      </c>
      <c r="D696" s="4">
        <f>Angela_2026_Chase1117_Activity_!D693</f>
        <v>-407.5</v>
      </c>
    </row>
    <row r="697" spans="1:4" x14ac:dyDescent="0.25">
      <c r="A697" s="28">
        <f>Angela_2026_Chase1117_Activity_!B694</f>
        <v>46115</v>
      </c>
      <c r="B697" s="3" t="str">
        <f>Angela_2026_Chase1117_Activity_!C694</f>
        <v>Online Transfer to CHK ...6975 transaction#: 28682193716 04/03</v>
      </c>
      <c r="C697" s="3" t="str">
        <f>Angela_2026_Chase1117_Activity_!G694</f>
        <v>Transfer to Ava</v>
      </c>
      <c r="D697" s="4">
        <f>Angela_2026_Chase1117_Activity_!D694</f>
        <v>-500</v>
      </c>
    </row>
    <row r="698" spans="1:4" x14ac:dyDescent="0.25">
      <c r="A698" s="28">
        <f>Angela_2026_Chase1117_Activity_!B695</f>
        <v>46115</v>
      </c>
      <c r="B698" s="3" t="str">
        <f>Angela_2026_Chase1117_Activity_!C695</f>
        <v>TM *PUBLIC IMAGE LTD 800-653-8000 CA         04/03</v>
      </c>
      <c r="C698" s="3" t="str">
        <f>Angela_2026_Chase1117_Activity_!G695</f>
        <v>Personal - Entertainment</v>
      </c>
      <c r="D698" s="4">
        <f>Angela_2026_Chase1117_Activity_!D695</f>
        <v>-119</v>
      </c>
    </row>
    <row r="699" spans="1:4" x14ac:dyDescent="0.25">
      <c r="A699" s="28">
        <f>Angela_2026_Chase1117_Activity_!B696</f>
        <v>46115</v>
      </c>
      <c r="B699" s="3" t="str">
        <f>Angela_2026_Chase1117_Activity_!C696</f>
        <v>APPLE.COM/BILL 866-712-7753 CA               04/02</v>
      </c>
      <c r="C699" s="3" t="str">
        <f>Angela_2026_Chase1117_Activity_!G696</f>
        <v>Apple</v>
      </c>
      <c r="D699" s="4">
        <f>Angela_2026_Chase1117_Activity_!D696</f>
        <v>-3.99</v>
      </c>
    </row>
    <row r="700" spans="1:4" x14ac:dyDescent="0.25">
      <c r="A700" s="28">
        <f>Angela_2026_Chase1117_Activity_!B697</f>
        <v>46114</v>
      </c>
      <c r="B700" s="3" t="str">
        <f>Angela_2026_Chase1117_Activity_!C697</f>
        <v>FOREIGN EXCHANGE RATE ADJUSTMENT FEE         04/01NYX*BRISA</v>
      </c>
      <c r="C700" s="3" t="str">
        <f>Angela_2026_Chase1117_Activity_!G697</f>
        <v>Personal Travel - Portugal</v>
      </c>
      <c r="D700" s="4">
        <f>Angela_2026_Chase1117_Activity_!D697</f>
        <v>-0.08</v>
      </c>
    </row>
    <row r="701" spans="1:4" x14ac:dyDescent="0.25">
      <c r="A701" s="28">
        <f>Angela_2026_Chase1117_Activity_!B698</f>
        <v>46114</v>
      </c>
      <c r="B701" s="3" t="str">
        <f>Angela_2026_Chase1117_Activity_!C698</f>
        <v>FOREIGN EXCHANGE RATE ADJUSTMENT FEE         04/01FORTE DE</v>
      </c>
      <c r="C701" s="3" t="str">
        <f>Angela_2026_Chase1117_Activity_!G698</f>
        <v>Personal Travel - Portugal</v>
      </c>
      <c r="D701" s="4">
        <f>Angela_2026_Chase1117_Activity_!D698</f>
        <v>-0.2</v>
      </c>
    </row>
    <row r="702" spans="1:4" x14ac:dyDescent="0.25">
      <c r="A702" s="28">
        <f>Angela_2026_Chase1117_Activity_!B699</f>
        <v>46114</v>
      </c>
      <c r="B702" s="3" t="str">
        <f>Angela_2026_Chase1117_Activity_!C699</f>
        <v>FOREIGN EXCHANGE RATE ADJUSTMENT FEE         04/01CHOCOLATA</v>
      </c>
      <c r="C702" s="3" t="str">
        <f>Angela_2026_Chase1117_Activity_!G699</f>
        <v>Personal Travel - Portugal</v>
      </c>
      <c r="D702" s="4">
        <f>Angela_2026_Chase1117_Activity_!D699</f>
        <v>-0.78</v>
      </c>
    </row>
    <row r="703" spans="1:4" x14ac:dyDescent="0.25">
      <c r="A703" s="28">
        <f>Angela_2026_Chase1117_Activity_!B700</f>
        <v>46114</v>
      </c>
      <c r="B703" s="3" t="str">
        <f>Angela_2026_Chase1117_Activity_!C700</f>
        <v>FOREIGN EXCHANGE RATE ADJUSTMENT FEE         04/01FORTE SAO</v>
      </c>
      <c r="C703" s="3" t="str">
        <f>Angela_2026_Chase1117_Activity_!G700</f>
        <v>Personal Travel - Portugal</v>
      </c>
      <c r="D703" s="4">
        <f>Angela_2026_Chase1117_Activity_!D700</f>
        <v>-1.21</v>
      </c>
    </row>
    <row r="704" spans="1:4" x14ac:dyDescent="0.25">
      <c r="A704" s="28">
        <f>Angela_2026_Chase1117_Activity_!B701</f>
        <v>46114</v>
      </c>
      <c r="B704" s="3" t="str">
        <f>Angela_2026_Chase1117_Activity_!C701</f>
        <v>NON-CHASE ATM FEE-WITH</v>
      </c>
      <c r="C704" s="3" t="str">
        <f>Angela_2026_Chase1117_Activity_!G701</f>
        <v>Bank Fees</v>
      </c>
      <c r="D704" s="4">
        <f>Angela_2026_Chase1117_Activity_!D701</f>
        <v>-5</v>
      </c>
    </row>
    <row r="705" spans="1:4" x14ac:dyDescent="0.25">
      <c r="A705" s="28">
        <f>Angela_2026_Chase1117_Activity_!B702</f>
        <v>46114</v>
      </c>
      <c r="B705" s="3" t="str">
        <f>Angela_2026_Chase1117_Activity_!C702</f>
        <v>UBER   * EATS PENDIN SAN FRANCISCO CA013067  04/02</v>
      </c>
      <c r="C705" s="3" t="str">
        <f>Angela_2026_Chase1117_Activity_!G702</f>
        <v>Uber Eats</v>
      </c>
      <c r="D705" s="4">
        <f>Angela_2026_Chase1117_Activity_!D702</f>
        <v>-41.29</v>
      </c>
    </row>
    <row r="706" spans="1:4" x14ac:dyDescent="0.25">
      <c r="A706" s="28">
        <f>Angela_2026_Chase1117_Activity_!B703</f>
        <v>46114</v>
      </c>
      <c r="B706" s="3" t="str">
        <f>Angela_2026_Chase1117_Activity_!C703</f>
        <v>NON-CHASE ATM WITHDRAW               775188  04/02BP-A8 LAN</v>
      </c>
      <c r="C706" s="3" t="str">
        <f>Angela_2026_Chase1117_Activity_!G703</f>
        <v>Withdrawal</v>
      </c>
      <c r="D706" s="4">
        <f>Angela_2026_Chase1117_Activity_!D703</f>
        <v>-263.95999999999998</v>
      </c>
    </row>
    <row r="707" spans="1:4" x14ac:dyDescent="0.25">
      <c r="A707" s="28">
        <f>Angela_2026_Chase1117_Activity_!B704</f>
        <v>46114</v>
      </c>
      <c r="B707" s="3" t="str">
        <f>Angela_2026_Chase1117_Activity_!C704</f>
        <v>CHOCOLATARIA PRAZER 2510-001 OBID            04/01 Euro       22.60 X 1.156637 (EXCHG RTE)</v>
      </c>
      <c r="C707" s="3" t="str">
        <f>Angela_2026_Chase1117_Activity_!G704</f>
        <v>Personal Travel</v>
      </c>
      <c r="D707" s="4">
        <f>Angela_2026_Chase1117_Activity_!D704</f>
        <v>-26.14</v>
      </c>
    </row>
    <row r="708" spans="1:4" x14ac:dyDescent="0.25">
      <c r="A708" s="28">
        <f>Angela_2026_Chase1117_Activity_!B705</f>
        <v>46114</v>
      </c>
      <c r="B708" s="3" t="str">
        <f>Angela_2026_Chase1117_Activity_!C705</f>
        <v>FORTE SAO MIGUEL 2 NAZARE                    04/01 Euro       35.00 X 1.156571 (EXCHG RTE)</v>
      </c>
      <c r="C708" s="3" t="str">
        <f>Angela_2026_Chase1117_Activity_!G705</f>
        <v>Personal Travel</v>
      </c>
      <c r="D708" s="4">
        <f>Angela_2026_Chase1117_Activity_!D705</f>
        <v>-40.479999999999997</v>
      </c>
    </row>
    <row r="709" spans="1:4" x14ac:dyDescent="0.25">
      <c r="A709" s="28">
        <f>Angela_2026_Chase1117_Activity_!B706</f>
        <v>46114</v>
      </c>
      <c r="B709" s="3" t="str">
        <f>Angela_2026_Chase1117_Activity_!C706</f>
        <v>FORTE DE SAO MIGUEL NAZARE                   04/01 Euro       6.00 X 1.156667 (EXCHG RTE)</v>
      </c>
      <c r="C709" s="3" t="str">
        <f>Angela_2026_Chase1117_Activity_!G706</f>
        <v>Personal Travel</v>
      </c>
      <c r="D709" s="4">
        <f>Angela_2026_Chase1117_Activity_!D706</f>
        <v>-6.94</v>
      </c>
    </row>
    <row r="710" spans="1:4" x14ac:dyDescent="0.25">
      <c r="A710" s="28">
        <f>Angela_2026_Chase1117_Activity_!B707</f>
        <v>46114</v>
      </c>
      <c r="B710" s="3" t="str">
        <f>Angela_2026_Chase1117_Activity_!C707</f>
        <v>CASA DIAMANTINA TURI FATIMA                  04/01</v>
      </c>
      <c r="C710" s="3" t="str">
        <f>Angela_2026_Chase1117_Activity_!G707</f>
        <v>Personal - Food</v>
      </c>
      <c r="D710" s="4">
        <f>Angela_2026_Chase1117_Activity_!D707</f>
        <v>-269.08</v>
      </c>
    </row>
    <row r="711" spans="1:4" x14ac:dyDescent="0.25">
      <c r="A711" s="28">
        <f>Angela_2026_Chase1117_Activity_!B708</f>
        <v>46114</v>
      </c>
      <c r="B711" s="3" t="str">
        <f>Angela_2026_Chase1117_Activity_!C708</f>
        <v>NYX*BRISAAREASDESERV SaoDomingosde           04/01 Euro       2.45 X 1.155102 (EXCHG RTE)</v>
      </c>
      <c r="C711" s="3" t="str">
        <f>Angela_2026_Chase1117_Activity_!G708</f>
        <v>Personal Travel</v>
      </c>
      <c r="D711" s="4">
        <f>Angela_2026_Chase1117_Activity_!D708</f>
        <v>-2.83</v>
      </c>
    </row>
    <row r="712" spans="1:4" x14ac:dyDescent="0.25">
      <c r="A712" s="28">
        <f>Angela_2026_Chase1117_Activity_!B709</f>
        <v>46113</v>
      </c>
      <c r="B712" s="3" t="str">
        <f>Angela_2026_Chase1117_Activity_!C709</f>
        <v>FOREIGN EXCHANGE RATE ADJUSTMENT FEE         03/31FUNDACAO</v>
      </c>
      <c r="C712" s="3" t="str">
        <f>Angela_2026_Chase1117_Activity_!G709</f>
        <v>Personal Travel - Portugal</v>
      </c>
      <c r="D712" s="4">
        <f>Angela_2026_Chase1117_Activity_!D709</f>
        <v>-0.86</v>
      </c>
    </row>
    <row r="713" spans="1:4" x14ac:dyDescent="0.25">
      <c r="A713" s="28">
        <f>Angela_2026_Chase1117_Activity_!B710</f>
        <v>46113</v>
      </c>
      <c r="B713" s="3" t="str">
        <f>Angela_2026_Chase1117_Activity_!C710</f>
        <v>FUNDACAO CULTURSINTR SINTRA                  03/31 Euro       25.00 X 1.152400 (EXCHG RTE)</v>
      </c>
      <c r="C713" s="3" t="str">
        <f>Angela_2026_Chase1117_Activity_!G710</f>
        <v>Personal Travel</v>
      </c>
      <c r="D713" s="4">
        <f>Angela_2026_Chase1117_Activity_!D710</f>
        <v>-28.81</v>
      </c>
    </row>
    <row r="714" spans="1:4" x14ac:dyDescent="0.25">
      <c r="A714" s="28">
        <f>Angela_2026_Chase1117_Activity_!B711</f>
        <v>46112</v>
      </c>
      <c r="B714" s="3" t="str">
        <f>Angela_2026_Chase1117_Activity_!C711</f>
        <v>FOREIGN EXCHANGE RATE ADJUSTMENT FEE         03/30FAB CATED</v>
      </c>
      <c r="C714" s="3" t="str">
        <f>Angela_2026_Chase1117_Activity_!G711</f>
        <v>Personal Travel - Portugal</v>
      </c>
      <c r="D714" s="4">
        <f>Angela_2026_Chase1117_Activity_!D711</f>
        <v>-1.66</v>
      </c>
    </row>
    <row r="715" spans="1:4" x14ac:dyDescent="0.25">
      <c r="A715" s="28">
        <f>Angela_2026_Chase1117_Activity_!B712</f>
        <v>46112</v>
      </c>
      <c r="B715" s="3" t="str">
        <f>Angela_2026_Chase1117_Activity_!C712</f>
        <v>FOREIGN EXCHANGE RATE ADJUSTMENT FEE         03/30ESTIMULAR</v>
      </c>
      <c r="C715" s="3" t="str">
        <f>Angela_2026_Chase1117_Activity_!G712</f>
        <v>Personal Travel - Portugal</v>
      </c>
      <c r="D715" s="4">
        <f>Angela_2026_Chase1117_Activity_!D712</f>
        <v>-2.0699999999999998</v>
      </c>
    </row>
    <row r="716" spans="1:4" x14ac:dyDescent="0.25">
      <c r="A716" s="28">
        <f>Angela_2026_Chase1117_Activity_!B713</f>
        <v>46112</v>
      </c>
      <c r="B716" s="3" t="str">
        <f>Angela_2026_Chase1117_Activity_!C713</f>
        <v>BLUE SHIELD CALIFORNI 800-393-6130 CA        03/31</v>
      </c>
      <c r="C716" s="3" t="str">
        <f>Angela_2026_Chase1117_Activity_!G713</f>
        <v>Personal - Health Insurance</v>
      </c>
      <c r="D716" s="4">
        <f>Angela_2026_Chase1117_Activity_!D713</f>
        <v>-1272.1199999999999</v>
      </c>
    </row>
    <row r="717" spans="1:4" x14ac:dyDescent="0.25">
      <c r="A717" s="28">
        <f>Angela_2026_Chase1117_Activity_!B714</f>
        <v>46112</v>
      </c>
      <c r="B717" s="3" t="str">
        <f>Angela_2026_Chase1117_Activity_!C714</f>
        <v>ESTIMULAR SENTIDOS LISBOA                    03/30 Euro       60.00 X 1.154833 (EXCHG RTE)</v>
      </c>
      <c r="C717" s="3" t="str">
        <f>Angela_2026_Chase1117_Activity_!G714</f>
        <v>Personal Travel</v>
      </c>
      <c r="D717" s="4">
        <f>Angela_2026_Chase1117_Activity_!D714</f>
        <v>-69.290000000000006</v>
      </c>
    </row>
    <row r="718" spans="1:4" x14ac:dyDescent="0.25">
      <c r="A718" s="28">
        <f>Angela_2026_Chase1117_Activity_!B715</f>
        <v>46112</v>
      </c>
      <c r="B718" s="3" t="str">
        <f>Angela_2026_Chase1117_Activity_!C715</f>
        <v>FAB CATEDRAL LX LISBOA                       03/30 Euro       48.00 X 1.155000 (EXCHG RTE)</v>
      </c>
      <c r="C718" s="3" t="str">
        <f>Angela_2026_Chase1117_Activity_!G715</f>
        <v>Personal Travel</v>
      </c>
      <c r="D718" s="4">
        <f>Angela_2026_Chase1117_Activity_!D715</f>
        <v>-55.44</v>
      </c>
    </row>
    <row r="719" spans="1:4" x14ac:dyDescent="0.25">
      <c r="A719" s="28">
        <f>Angela_2026_Chase1117_Activity_!B716</f>
        <v>46112</v>
      </c>
      <c r="B719" s="3" t="str">
        <f>Angela_2026_Chase1117_Activity_!C716</f>
        <v>PINGO DOCE 1 DEZEMBR LISBOA                  03/30</v>
      </c>
      <c r="C719" s="3" t="str">
        <f>Angela_2026_Chase1117_Activity_!G716</f>
        <v>Personal - Food</v>
      </c>
      <c r="D719" s="4">
        <f>Angela_2026_Chase1117_Activity_!D716</f>
        <v>-39.880000000000003</v>
      </c>
    </row>
    <row r="720" spans="1:4" x14ac:dyDescent="0.25">
      <c r="A720" s="28">
        <f>Angela_2026_Chase1117_Activity_!B717</f>
        <v>46111</v>
      </c>
      <c r="B720" s="3" t="str">
        <f>Angela_2026_Chase1117_Activity_!C717</f>
        <v>FOREIGN EXCHANGE RATE ADJUSTMENT FEE         03/29THE GREEN</v>
      </c>
      <c r="C720" s="3" t="str">
        <f>Angela_2026_Chase1117_Activity_!G717</f>
        <v>Personal Travel - Portugal</v>
      </c>
      <c r="D720" s="4">
        <f>Angela_2026_Chase1117_Activity_!D717</f>
        <v>-1.6</v>
      </c>
    </row>
    <row r="721" spans="1:4" x14ac:dyDescent="0.25">
      <c r="A721" s="28">
        <f>Angela_2026_Chase1117_Activity_!B718</f>
        <v>46111</v>
      </c>
      <c r="B721" s="3" t="str">
        <f>Angela_2026_Chase1117_Activity_!C718</f>
        <v xml:space="preserve">CHECK 8711  </v>
      </c>
      <c r="C721" s="3" t="str">
        <f>Angela_2026_Chase1117_Activity_!G718</f>
        <v>Checks Paid</v>
      </c>
      <c r="D721" s="4">
        <f>Angela_2026_Chase1117_Activity_!D718</f>
        <v>-2200</v>
      </c>
    </row>
    <row r="722" spans="1:4" x14ac:dyDescent="0.25">
      <c r="A722" s="28">
        <f>Angela_2026_Chase1117_Activity_!B719</f>
        <v>46111</v>
      </c>
      <c r="B722" s="3" t="str">
        <f>Angela_2026_Chase1117_Activity_!C719</f>
        <v>PENTESTER.COM PENTESTER.COM FL               03/30</v>
      </c>
      <c r="C722" s="3" t="str">
        <f>Angela_2026_Chase1117_Activity_!G719</f>
        <v>Personal - Subscription</v>
      </c>
      <c r="D722" s="4">
        <f>Angela_2026_Chase1117_Activity_!D719</f>
        <v>-19</v>
      </c>
    </row>
    <row r="723" spans="1:4" x14ac:dyDescent="0.25">
      <c r="A723" s="28">
        <f>Angela_2026_Chase1117_Activity_!B720</f>
        <v>46111</v>
      </c>
      <c r="B723" s="3" t="str">
        <f>Angela_2026_Chase1117_Activity_!C720</f>
        <v>THE GREEN AFFAIR - SAL LISBOA                03/29 Euro       46.40 X 1.154957 (EXCHG RTE)</v>
      </c>
      <c r="C723" s="3" t="str">
        <f>Angela_2026_Chase1117_Activity_!G720</f>
        <v>Personal Travel</v>
      </c>
      <c r="D723" s="4">
        <f>Angela_2026_Chase1117_Activity_!D720</f>
        <v>-53.59</v>
      </c>
    </row>
    <row r="724" spans="1:4" x14ac:dyDescent="0.25">
      <c r="A724" s="28">
        <f>Angela_2026_Chase1117_Activity_!B721</f>
        <v>46111</v>
      </c>
      <c r="B724" s="3" t="str">
        <f>Angela_2026_Chase1117_Activity_!C721</f>
        <v>Amazon Tips*BC4T011R Amzn.com/bill WA        03/29</v>
      </c>
      <c r="C724" s="3" t="str">
        <f>Angela_2026_Chase1117_Activity_!G721</f>
        <v>Amazon</v>
      </c>
      <c r="D724" s="4">
        <f>Angela_2026_Chase1117_Activity_!D721</f>
        <v>-5</v>
      </c>
    </row>
    <row r="725" spans="1:4" x14ac:dyDescent="0.25">
      <c r="A725" s="28">
        <f>Angela_2026_Chase1117_Activity_!B722</f>
        <v>46111</v>
      </c>
      <c r="B725" s="3" t="str">
        <f>Angela_2026_Chase1117_Activity_!C722</f>
        <v>Panasonic Avionics Corp Irvine CA            03/29</v>
      </c>
      <c r="C725" s="3" t="str">
        <f>Angela_2026_Chase1117_Activity_!G722</f>
        <v>Personal Travel</v>
      </c>
      <c r="D725" s="4">
        <f>Angela_2026_Chase1117_Activity_!D722</f>
        <v>-34.64</v>
      </c>
    </row>
    <row r="726" spans="1:4" x14ac:dyDescent="0.25">
      <c r="A726" s="28">
        <f>Angela_2026_Chase1117_Activity_!B723</f>
        <v>46111</v>
      </c>
      <c r="B726" s="3" t="str">
        <f>Angela_2026_Chase1117_Activity_!C723</f>
        <v>WILSHIRE &amp; FAIRFAX LOS ANGELES CA    914190  03/28</v>
      </c>
      <c r="C726" s="3" t="str">
        <f>Angela_2026_Chase1117_Activity_!G723</f>
        <v>Personal - Misc</v>
      </c>
      <c r="D726" s="4">
        <f>Angela_2026_Chase1117_Activity_!D723</f>
        <v>-66.680000000000007</v>
      </c>
    </row>
    <row r="727" spans="1:4" x14ac:dyDescent="0.25">
      <c r="A727" s="28">
        <f>Angela_2026_Chase1117_Activity_!B724</f>
        <v>46111</v>
      </c>
      <c r="B727" s="3" t="str">
        <f>Angela_2026_Chase1117_Activity_!C724</f>
        <v>UBER *TRIP HELP.UBER.C 800-5928996 CA        03/28</v>
      </c>
      <c r="C727" s="3" t="str">
        <f>Angela_2026_Chase1117_Activity_!G724</f>
        <v>Personal - Uber</v>
      </c>
      <c r="D727" s="4">
        <f>Angela_2026_Chase1117_Activity_!D724</f>
        <v>-14.81</v>
      </c>
    </row>
    <row r="728" spans="1:4" x14ac:dyDescent="0.25">
      <c r="A728" s="28">
        <f>Angela_2026_Chase1117_Activity_!B725</f>
        <v>46111</v>
      </c>
      <c r="B728" s="3" t="str">
        <f>Angela_2026_Chase1117_Activity_!C725</f>
        <v>UBER *TRIP HELP.UBER.C 800-5928996 CA        03/28</v>
      </c>
      <c r="C728" s="3" t="str">
        <f>Angela_2026_Chase1117_Activity_!G725</f>
        <v>Personal - Uber</v>
      </c>
      <c r="D728" s="4">
        <f>Angela_2026_Chase1117_Activity_!D725</f>
        <v>-53.97</v>
      </c>
    </row>
    <row r="729" spans="1:4" x14ac:dyDescent="0.25">
      <c r="A729" s="28">
        <f>Angela_2026_Chase1117_Activity_!B726</f>
        <v>46111</v>
      </c>
      <c r="B729" s="3" t="str">
        <f>Angela_2026_Chase1117_Activity_!C726</f>
        <v>VIATORTRIPADVISOR US 7027495744 CA           03/28</v>
      </c>
      <c r="C729" s="3" t="str">
        <f>Angela_2026_Chase1117_Activity_!G726</f>
        <v>Personal Travel</v>
      </c>
      <c r="D729" s="4">
        <f>Angela_2026_Chase1117_Activity_!D726</f>
        <v>-268.16000000000003</v>
      </c>
    </row>
    <row r="730" spans="1:4" x14ac:dyDescent="0.25">
      <c r="A730" s="28">
        <f>Angela_2026_Chase1117_Activity_!B727</f>
        <v>46111</v>
      </c>
      <c r="B730" s="3" t="str">
        <f>Angela_2026_Chase1117_Activity_!C727</f>
        <v>VIATORTRIPADVISOR US 7027495744 CA           03/28</v>
      </c>
      <c r="C730" s="3" t="str">
        <f>Angela_2026_Chase1117_Activity_!G727</f>
        <v>Personal Travel</v>
      </c>
      <c r="D730" s="4">
        <f>Angela_2026_Chase1117_Activity_!D727</f>
        <v>-493.84</v>
      </c>
    </row>
    <row r="731" spans="1:4" x14ac:dyDescent="0.25">
      <c r="A731" s="28">
        <f>Angela_2026_Chase1117_Activity_!B728</f>
        <v>46111</v>
      </c>
      <c r="B731" s="3" t="str">
        <f>Angela_2026_Chase1117_Activity_!C728</f>
        <v>APPLE.COM/BILL 866-712-7753 CA               03/28</v>
      </c>
      <c r="C731" s="3" t="str">
        <f>Angela_2026_Chase1117_Activity_!G728</f>
        <v>Apple</v>
      </c>
      <c r="D731" s="4">
        <f>Angela_2026_Chase1117_Activity_!D728</f>
        <v>-5.99</v>
      </c>
    </row>
    <row r="732" spans="1:4" x14ac:dyDescent="0.25">
      <c r="A732" s="28">
        <f>Angela_2026_Chase1117_Activity_!B729</f>
        <v>46111</v>
      </c>
      <c r="B732" s="3" t="str">
        <f>Angela_2026_Chase1117_Activity_!C729</f>
        <v>CVSExtraCare 80074672 800-746-7287 RI        03/28</v>
      </c>
      <c r="C732" s="3" t="str">
        <f>Angela_2026_Chase1117_Activity_!G729</f>
        <v>Personal - Health</v>
      </c>
      <c r="D732" s="4">
        <f>Angela_2026_Chase1117_Activity_!D729</f>
        <v>-5.49</v>
      </c>
    </row>
    <row r="733" spans="1:4" x14ac:dyDescent="0.25">
      <c r="A733" s="28">
        <f>Angela_2026_Chase1117_Activity_!B730</f>
        <v>46111</v>
      </c>
      <c r="B733" s="3" t="str">
        <f>Angela_2026_Chase1117_Activity_!C730</f>
        <v>AMAZON MARK* BC9ED9N AMAZON.COM/MA WA        03/28</v>
      </c>
      <c r="C733" s="3" t="str">
        <f>Angela_2026_Chase1117_Activity_!G730</f>
        <v>Amazon</v>
      </c>
      <c r="D733" s="4">
        <f>Angela_2026_Chase1117_Activity_!D730</f>
        <v>-43.35</v>
      </c>
    </row>
    <row r="734" spans="1:4" x14ac:dyDescent="0.25">
      <c r="A734" s="28">
        <f>Angela_2026_Chase1117_Activity_!B731</f>
        <v>46111</v>
      </c>
      <c r="B734" s="3" t="str">
        <f>Angela_2026_Chase1117_Activity_!C731</f>
        <v>UBER   * EATS PENDIN SAN FRANCISCO CA076336  03/27</v>
      </c>
      <c r="C734" s="3" t="str">
        <f>Angela_2026_Chase1117_Activity_!G731</f>
        <v>Uber Eats</v>
      </c>
      <c r="D734" s="4">
        <f>Angela_2026_Chase1117_Activity_!D731</f>
        <v>-67.09</v>
      </c>
    </row>
    <row r="735" spans="1:4" x14ac:dyDescent="0.25">
      <c r="A735" s="28">
        <f>Angela_2026_Chase1117_Activity_!B732</f>
        <v>46111</v>
      </c>
      <c r="B735" s="3" t="str">
        <f>Angela_2026_Chase1117_Activity_!C732</f>
        <v>Amazon.com*B56U70B40 Amzn.com/bill WA        03/28</v>
      </c>
      <c r="C735" s="3" t="str">
        <f>Angela_2026_Chase1117_Activity_!G732</f>
        <v>Amazon</v>
      </c>
      <c r="D735" s="4">
        <f>Angela_2026_Chase1117_Activity_!D732</f>
        <v>-33.159999999999997</v>
      </c>
    </row>
    <row r="736" spans="1:4" x14ac:dyDescent="0.25">
      <c r="A736" s="28">
        <f>Angela_2026_Chase1117_Activity_!B733</f>
        <v>46111</v>
      </c>
      <c r="B736" s="3" t="str">
        <f>Angela_2026_Chase1117_Activity_!C733</f>
        <v>AMAZON MARK* B51TA1V AMAZON.COM/MA WA        03/27</v>
      </c>
      <c r="C736" s="3" t="str">
        <f>Angela_2026_Chase1117_Activity_!G733</f>
        <v>Amazon</v>
      </c>
      <c r="D736" s="4">
        <f>Angela_2026_Chase1117_Activity_!D733</f>
        <v>-127.32</v>
      </c>
    </row>
    <row r="737" spans="1:4" x14ac:dyDescent="0.25">
      <c r="A737" s="28">
        <f>Angela_2026_Chase1117_Activity_!B734</f>
        <v>46111</v>
      </c>
      <c r="B737" s="3" t="str">
        <f>Angela_2026_Chase1117_Activity_!C734</f>
        <v>Online Transfer from CHK ...1168 transaction#: 28600194009</v>
      </c>
      <c r="C737" s="3" t="str">
        <f>Angela_2026_Chase1117_Activity_!G734</f>
        <v>Transfer from DWG Capital Group</v>
      </c>
      <c r="D737" s="4">
        <f>Angela_2026_Chase1117_Activity_!D734</f>
        <v>10000</v>
      </c>
    </row>
    <row r="738" spans="1:4" x14ac:dyDescent="0.25">
      <c r="A738" s="28">
        <f>Angela_2026_Chase1117_Activity_!B735</f>
        <v>46108</v>
      </c>
      <c r="B738" s="3" t="str">
        <f>Angela_2026_Chase1117_Activity_!C735</f>
        <v>CVS/PHARMACY #09493 MAR VISTA CA     029796  03/27</v>
      </c>
      <c r="C738" s="3" t="str">
        <f>Angela_2026_Chase1117_Activity_!G735</f>
        <v>Personal - Health</v>
      </c>
      <c r="D738" s="4">
        <f>Angela_2026_Chase1117_Activity_!D735</f>
        <v>-138.34</v>
      </c>
    </row>
    <row r="739" spans="1:4" x14ac:dyDescent="0.25">
      <c r="A739" s="28">
        <f>Angela_2026_Chase1117_Activity_!B736</f>
        <v>46108</v>
      </c>
      <c r="B739" s="3" t="str">
        <f>Angela_2026_Chase1117_Activity_!C736</f>
        <v>AMAZON MARK* B56EK2G AMAZON.COM/MA WA        03/27</v>
      </c>
      <c r="C739" s="3" t="str">
        <f>Angela_2026_Chase1117_Activity_!G736</f>
        <v>Amazon</v>
      </c>
      <c r="D739" s="4">
        <f>Angela_2026_Chase1117_Activity_!D736</f>
        <v>-35.1</v>
      </c>
    </row>
    <row r="740" spans="1:4" x14ac:dyDescent="0.25">
      <c r="A740" s="28">
        <f>Angela_2026_Chase1117_Activity_!B737</f>
        <v>46108</v>
      </c>
      <c r="B740" s="3" t="str">
        <f>Angela_2026_Chase1117_Activity_!C737</f>
        <v>AMAZON MARK* B51IT5X AMAZON.COM/MA WA        03/27</v>
      </c>
      <c r="C740" s="3" t="str">
        <f>Angela_2026_Chase1117_Activity_!G737</f>
        <v>Amazon</v>
      </c>
      <c r="D740" s="4">
        <f>Angela_2026_Chase1117_Activity_!D737</f>
        <v>-43.89</v>
      </c>
    </row>
    <row r="741" spans="1:4" x14ac:dyDescent="0.25">
      <c r="A741" s="28">
        <f>Angela_2026_Chase1117_Activity_!B738</f>
        <v>46108</v>
      </c>
      <c r="B741" s="3" t="str">
        <f>Angela_2026_Chase1117_Activity_!C738</f>
        <v>UBER   * EATS PENDIN SAN FRANCISCO CA134408  03/26</v>
      </c>
      <c r="C741" s="3" t="str">
        <f>Angela_2026_Chase1117_Activity_!G738</f>
        <v>Uber Eats</v>
      </c>
      <c r="D741" s="4">
        <f>Angela_2026_Chase1117_Activity_!D738</f>
        <v>-57.16</v>
      </c>
    </row>
    <row r="742" spans="1:4" x14ac:dyDescent="0.25">
      <c r="A742" s="28">
        <f>Angela_2026_Chase1117_Activity_!B739</f>
        <v>46108</v>
      </c>
      <c r="B742" s="3" t="str">
        <f>Angela_2026_Chase1117_Activity_!C739</f>
        <v>TST*BLUEYS KITCHEN MAR Los Angeles CA        03/26</v>
      </c>
      <c r="C742" s="3" t="str">
        <f>Angela_2026_Chase1117_Activity_!G739</f>
        <v>Personal - Food</v>
      </c>
      <c r="D742" s="4">
        <f>Angela_2026_Chase1117_Activity_!D739</f>
        <v>-128</v>
      </c>
    </row>
    <row r="743" spans="1:4" x14ac:dyDescent="0.25">
      <c r="A743" s="28">
        <f>Angela_2026_Chase1117_Activity_!B740</f>
        <v>46108</v>
      </c>
      <c r="B743" s="3" t="str">
        <f>Angela_2026_Chase1117_Activity_!C740</f>
        <v>SPACEWEATHERNEWS.COM SPACEWEATHERN CO        03/26</v>
      </c>
      <c r="C743" s="3" t="str">
        <f>Angela_2026_Chase1117_Activity_!G740</f>
        <v>Personal - Subscription</v>
      </c>
      <c r="D743" s="4">
        <f>Angela_2026_Chase1117_Activity_!D740</f>
        <v>-5.99</v>
      </c>
    </row>
    <row r="744" spans="1:4" x14ac:dyDescent="0.25">
      <c r="A744" s="28">
        <f>Angela_2026_Chase1117_Activity_!B741</f>
        <v>46108</v>
      </c>
      <c r="B744" s="3" t="str">
        <f>Angela_2026_Chase1117_Activity_!C741</f>
        <v>Prime Video Channels amzn.com/bill WA        03/26</v>
      </c>
      <c r="C744" s="3" t="str">
        <f>Angela_2026_Chase1117_Activity_!G741</f>
        <v>Amazon</v>
      </c>
      <c r="D744" s="4">
        <f>Angela_2026_Chase1117_Activity_!D741</f>
        <v>-6.99</v>
      </c>
    </row>
    <row r="745" spans="1:4" x14ac:dyDescent="0.25">
      <c r="A745" s="28">
        <f>Angela_2026_Chase1117_Activity_!B742</f>
        <v>46108</v>
      </c>
      <c r="B745" s="3" t="str">
        <f>Angela_2026_Chase1117_Activity_!C742</f>
        <v>AMAZON MARK* BG69W3Y AMAZON.COM/MA WA        03/27</v>
      </c>
      <c r="C745" s="3" t="str">
        <f>Angela_2026_Chase1117_Activity_!G742</f>
        <v>Amazon</v>
      </c>
      <c r="D745" s="4">
        <f>Angela_2026_Chase1117_Activity_!D742</f>
        <v>-32.909999999999997</v>
      </c>
    </row>
    <row r="746" spans="1:4" x14ac:dyDescent="0.25">
      <c r="A746" s="28">
        <f>Angela_2026_Chase1117_Activity_!B743</f>
        <v>46108</v>
      </c>
      <c r="B746" s="3" t="str">
        <f>Angela_2026_Chase1117_Activity_!C743</f>
        <v>AMAZON MARK* B57S076 AMAZON.COM/MA WA        03/26</v>
      </c>
      <c r="C746" s="3" t="str">
        <f>Angela_2026_Chase1117_Activity_!G743</f>
        <v>Amazon</v>
      </c>
      <c r="D746" s="4">
        <f>Angela_2026_Chase1117_Activity_!D743</f>
        <v>-94.01</v>
      </c>
    </row>
    <row r="747" spans="1:4" x14ac:dyDescent="0.25">
      <c r="A747" s="28">
        <f>Angela_2026_Chase1117_Activity_!B744</f>
        <v>46108</v>
      </c>
      <c r="B747" s="3" t="str">
        <f>Angela_2026_Chase1117_Activity_!C744</f>
        <v>AMAZON MARK* B58MR3D AMAZON.COM/MA WA        03/26</v>
      </c>
      <c r="C747" s="3" t="str">
        <f>Angela_2026_Chase1117_Activity_!G744</f>
        <v>Amazon</v>
      </c>
      <c r="D747" s="4">
        <f>Angela_2026_Chase1117_Activity_!D744</f>
        <v>-70.2</v>
      </c>
    </row>
    <row r="748" spans="1:4" x14ac:dyDescent="0.25">
      <c r="A748" s="28">
        <f>Angela_2026_Chase1117_Activity_!B745</f>
        <v>46108</v>
      </c>
      <c r="B748" s="3" t="str">
        <f>Angela_2026_Chase1117_Activity_!C745</f>
        <v>ATM CHECK DEPOSIT 03/27 12335 VENICE BLVD LOS ANGELES CA</v>
      </c>
      <c r="C748" s="3" t="str">
        <f>Angela_2026_Chase1117_Activity_!G745</f>
        <v>Deposit</v>
      </c>
      <c r="D748" s="4">
        <f>Angela_2026_Chase1117_Activity_!D745</f>
        <v>175</v>
      </c>
    </row>
    <row r="749" spans="1:4" x14ac:dyDescent="0.25">
      <c r="A749" s="28">
        <f>Angela_2026_Chase1117_Activity_!B746</f>
        <v>46107</v>
      </c>
      <c r="B749" s="3" t="str">
        <f>Angela_2026_Chase1117_Activity_!C746</f>
        <v>AMAZON RETA* BG1KR8I WWW.AMAZON.CO WA        03/26</v>
      </c>
      <c r="C749" s="3" t="str">
        <f>Angela_2026_Chase1117_Activity_!G746</f>
        <v>Amazon</v>
      </c>
      <c r="D749" s="4">
        <f>Angela_2026_Chase1117_Activity_!D746</f>
        <v>-10.86</v>
      </c>
    </row>
    <row r="750" spans="1:4" x14ac:dyDescent="0.25">
      <c r="A750" s="28">
        <f>Angela_2026_Chase1117_Activity_!B747</f>
        <v>46107</v>
      </c>
      <c r="B750" s="3" t="str">
        <f>Angela_2026_Chase1117_Activity_!C747</f>
        <v>AMAZON MARK* BG0UG1U AMAZON.COM/MA WA        03/26</v>
      </c>
      <c r="C750" s="3" t="str">
        <f>Angela_2026_Chase1117_Activity_!G747</f>
        <v>Amazon</v>
      </c>
      <c r="D750" s="4">
        <f>Angela_2026_Chase1117_Activity_!D747</f>
        <v>-49.81</v>
      </c>
    </row>
    <row r="751" spans="1:4" x14ac:dyDescent="0.25">
      <c r="A751" s="28">
        <f>Angela_2026_Chase1117_Activity_!B748</f>
        <v>46107</v>
      </c>
      <c r="B751" s="3" t="str">
        <f>Angela_2026_Chase1117_Activity_!C748</f>
        <v>AMAZON MARK* BG0F58U AMAZON.COM/MA WA        03/26</v>
      </c>
      <c r="C751" s="3" t="str">
        <f>Angela_2026_Chase1117_Activity_!G748</f>
        <v>Amazon</v>
      </c>
      <c r="D751" s="4">
        <f>Angela_2026_Chase1117_Activity_!D748</f>
        <v>-41.71</v>
      </c>
    </row>
    <row r="752" spans="1:4" x14ac:dyDescent="0.25">
      <c r="A752" s="28">
        <f>Angela_2026_Chase1117_Activity_!B749</f>
        <v>46107</v>
      </c>
      <c r="B752" s="3" t="str">
        <f>Angela_2026_Chase1117_Activity_!C749</f>
        <v>AMAZON MARK* B59CC7T AMAZON.COM/MA WA        03/26</v>
      </c>
      <c r="C752" s="3" t="str">
        <f>Angela_2026_Chase1117_Activity_!G749</f>
        <v>Amazon</v>
      </c>
      <c r="D752" s="4">
        <f>Angela_2026_Chase1117_Activity_!D749</f>
        <v>-65.819999999999993</v>
      </c>
    </row>
    <row r="753" spans="1:4" x14ac:dyDescent="0.25">
      <c r="A753" s="28">
        <f>Angela_2026_Chase1117_Activity_!B750</f>
        <v>46107</v>
      </c>
      <c r="B753" s="3" t="str">
        <f>Angela_2026_Chase1117_Activity_!C750</f>
        <v>AMAZON MARK* B52RW08 AMAZON.COM/MA WA        03/26</v>
      </c>
      <c r="C753" s="3" t="str">
        <f>Angela_2026_Chase1117_Activity_!G750</f>
        <v>Amazon</v>
      </c>
      <c r="D753" s="4">
        <f>Angela_2026_Chase1117_Activity_!D750</f>
        <v>-44.97</v>
      </c>
    </row>
    <row r="754" spans="1:4" x14ac:dyDescent="0.25">
      <c r="A754" s="28">
        <f>Angela_2026_Chase1117_Activity_!B751</f>
        <v>46106</v>
      </c>
      <c r="B754" s="3" t="str">
        <f>Angela_2026_Chase1117_Activity_!C751</f>
        <v>AMAZON RETA* BG19T1D WWW.AMAZON.CO WA        03/25</v>
      </c>
      <c r="C754" s="3" t="str">
        <f>Angela_2026_Chase1117_Activity_!G751</f>
        <v>Amazon</v>
      </c>
      <c r="D754" s="4">
        <f>Angela_2026_Chase1117_Activity_!D751</f>
        <v>-11.76</v>
      </c>
    </row>
    <row r="755" spans="1:4" x14ac:dyDescent="0.25">
      <c r="A755" s="28">
        <f>Angela_2026_Chase1117_Activity_!B752</f>
        <v>46106</v>
      </c>
      <c r="B755" s="3" t="str">
        <f>Angela_2026_Chase1117_Activity_!C752</f>
        <v>LUKE UNFILTERED WEARECHANGE.O FL             03/25</v>
      </c>
      <c r="C755" s="3" t="str">
        <f>Angela_2026_Chase1117_Activity_!G752</f>
        <v>Personal - Subscription</v>
      </c>
      <c r="D755" s="4">
        <f>Angela_2026_Chase1117_Activity_!D752</f>
        <v>-15</v>
      </c>
    </row>
    <row r="756" spans="1:4" x14ac:dyDescent="0.25">
      <c r="A756" s="28">
        <f>Angela_2026_Chase1117_Activity_!B753</f>
        <v>46106</v>
      </c>
      <c r="B756" s="3" t="str">
        <f>Angela_2026_Chase1117_Activity_!C753</f>
        <v>AMAZON PRIME*MC6BC5V Amzn.com/bill WA        03/25</v>
      </c>
      <c r="C756" s="3" t="str">
        <f>Angela_2026_Chase1117_Activity_!G753</f>
        <v>Amazon</v>
      </c>
      <c r="D756" s="4">
        <f>Angela_2026_Chase1117_Activity_!D753</f>
        <v>-16.45</v>
      </c>
    </row>
    <row r="757" spans="1:4" x14ac:dyDescent="0.25">
      <c r="A757" s="28">
        <f>Angela_2026_Chase1117_Activity_!B754</f>
        <v>46106</v>
      </c>
      <c r="B757" s="3" t="str">
        <f>Angela_2026_Chase1117_Activity_!C754</f>
        <v>ATT*BILL PAYMENT 800-288-2020 TX             03/24</v>
      </c>
      <c r="C757" s="3" t="str">
        <f>Angela_2026_Chase1117_Activity_!G754</f>
        <v>AT&amp;T</v>
      </c>
      <c r="D757" s="4">
        <f>Angela_2026_Chase1117_Activity_!D754</f>
        <v>-838.07</v>
      </c>
    </row>
    <row r="758" spans="1:4" x14ac:dyDescent="0.25">
      <c r="A758" s="28">
        <f>Angela_2026_Chase1117_Activity_!B755</f>
        <v>46106</v>
      </c>
      <c r="B758" s="3" t="str">
        <f>Angela_2026_Chase1117_Activity_!C755</f>
        <v>AMAZON RETA* B58DF9O WWW.AMAZON.CO WA        03/25</v>
      </c>
      <c r="C758" s="3" t="str">
        <f>Angela_2026_Chase1117_Activity_!G755</f>
        <v>Amazon</v>
      </c>
      <c r="D758" s="4">
        <f>Angela_2026_Chase1117_Activity_!D755</f>
        <v>-24.13</v>
      </c>
    </row>
    <row r="759" spans="1:4" x14ac:dyDescent="0.25">
      <c r="A759" s="28">
        <f>Angela_2026_Chase1117_Activity_!B756</f>
        <v>46105</v>
      </c>
      <c r="B759" s="3" t="str">
        <f>Angela_2026_Chase1117_Activity_!C756</f>
        <v>CVS/PHARMACY #09493 MAR VISTA CA     018802  03/24</v>
      </c>
      <c r="C759" s="3" t="str">
        <f>Angela_2026_Chase1117_Activity_!G756</f>
        <v>Personal - Health</v>
      </c>
      <c r="D759" s="4">
        <f>Angela_2026_Chase1117_Activity_!D756</f>
        <v>-159.08000000000001</v>
      </c>
    </row>
    <row r="760" spans="1:4" x14ac:dyDescent="0.25">
      <c r="A760" s="28">
        <f>Angela_2026_Chase1117_Activity_!B757</f>
        <v>46105</v>
      </c>
      <c r="B760" s="3" t="str">
        <f>Angela_2026_Chase1117_Activity_!C757</f>
        <v>ATM WITHDRAWAL                       000809  03/2412335 VEN</v>
      </c>
      <c r="C760" s="3" t="str">
        <f>Angela_2026_Chase1117_Activity_!G757</f>
        <v>Withdrawal</v>
      </c>
      <c r="D760" s="4">
        <f>Angela_2026_Chase1117_Activity_!D757</f>
        <v>-300</v>
      </c>
    </row>
    <row r="761" spans="1:4" x14ac:dyDescent="0.25">
      <c r="A761" s="28">
        <f>Angela_2026_Chase1117_Activity_!B758</f>
        <v>46105</v>
      </c>
      <c r="B761" s="3" t="str">
        <f>Angela_2026_Chase1117_Activity_!C758</f>
        <v>CVS/PHARMACY #09 09493 MAR VISTA CA  034152  03/24</v>
      </c>
      <c r="C761" s="3" t="str">
        <f>Angela_2026_Chase1117_Activity_!G758</f>
        <v>Personal - Health</v>
      </c>
      <c r="D761" s="4">
        <f>Angela_2026_Chase1117_Activity_!D758</f>
        <v>-45.91</v>
      </c>
    </row>
    <row r="762" spans="1:4" x14ac:dyDescent="0.25">
      <c r="A762" s="28">
        <f>Angela_2026_Chase1117_Activity_!B759</f>
        <v>46105</v>
      </c>
      <c r="B762" s="3" t="str">
        <f>Angela_2026_Chase1117_Activity_!C759</f>
        <v>AMAZON MKTPL*BD51X3R Amzn.com/bill WA        03/24</v>
      </c>
      <c r="C762" s="3" t="str">
        <f>Angela_2026_Chase1117_Activity_!G759</f>
        <v>Amazon</v>
      </c>
      <c r="D762" s="4">
        <f>Angela_2026_Chase1117_Activity_!D759</f>
        <v>-27.41</v>
      </c>
    </row>
    <row r="763" spans="1:4" x14ac:dyDescent="0.25">
      <c r="A763" s="28">
        <f>Angela_2026_Chase1117_Activity_!B760</f>
        <v>46105</v>
      </c>
      <c r="B763" s="3" t="str">
        <f>Angela_2026_Chase1117_Activity_!C760</f>
        <v>AMAZON MKTPL*B55D26A Amzn.com/bill WA        03/24</v>
      </c>
      <c r="C763" s="3" t="str">
        <f>Angela_2026_Chase1117_Activity_!G760</f>
        <v>Amazon</v>
      </c>
      <c r="D763" s="4">
        <f>Angela_2026_Chase1117_Activity_!D760</f>
        <v>-10.96</v>
      </c>
    </row>
    <row r="764" spans="1:4" x14ac:dyDescent="0.25">
      <c r="A764" s="28">
        <f>Angela_2026_Chase1117_Activity_!B761</f>
        <v>46105</v>
      </c>
      <c r="B764" s="3" t="str">
        <f>Angela_2026_Chase1117_Activity_!C761</f>
        <v>Amazon Tips*B593P5JU Amzn.com/bill WA        03/23</v>
      </c>
      <c r="C764" s="3" t="str">
        <f>Angela_2026_Chase1117_Activity_!G761</f>
        <v>Amazon</v>
      </c>
      <c r="D764" s="4">
        <f>Angela_2026_Chase1117_Activity_!D761</f>
        <v>-20</v>
      </c>
    </row>
    <row r="765" spans="1:4" x14ac:dyDescent="0.25">
      <c r="A765" s="28">
        <f>Angela_2026_Chase1117_Activity_!B762</f>
        <v>46105</v>
      </c>
      <c r="B765" s="3" t="str">
        <f>Angela_2026_Chase1117_Activity_!C762</f>
        <v>APPLE.COM/BILL 866-712-7753 CA               03/23</v>
      </c>
      <c r="C765" s="3" t="str">
        <f>Angela_2026_Chase1117_Activity_!G762</f>
        <v>Apple</v>
      </c>
      <c r="D765" s="4">
        <f>Angela_2026_Chase1117_Activity_!D762</f>
        <v>-10.99</v>
      </c>
    </row>
    <row r="766" spans="1:4" x14ac:dyDescent="0.25">
      <c r="A766" s="28">
        <f>Angela_2026_Chase1117_Activity_!B763</f>
        <v>46105</v>
      </c>
      <c r="B766" s="3" t="str">
        <f>Angela_2026_Chase1117_Activity_!C763</f>
        <v>VIRGINATLAIREALO95 HELP.VIRGINAT GA          03/23</v>
      </c>
      <c r="C766" s="3" t="str">
        <f>Angela_2026_Chase1117_Activity_!G763</f>
        <v>Personal Travel</v>
      </c>
      <c r="D766" s="4">
        <f>Angela_2026_Chase1117_Activity_!D763</f>
        <v>-51.6</v>
      </c>
    </row>
    <row r="767" spans="1:4" x14ac:dyDescent="0.25">
      <c r="A767" s="28">
        <f>Angela_2026_Chase1117_Activity_!B764</f>
        <v>46105</v>
      </c>
      <c r="B767" s="3" t="str">
        <f>Angela_2026_Chase1117_Activity_!C764</f>
        <v>VIRGINATLAIREALO95 HELP.VIRGINAT GA          03/23</v>
      </c>
      <c r="C767" s="3" t="str">
        <f>Angela_2026_Chase1117_Activity_!G764</f>
        <v>Personal Travel</v>
      </c>
      <c r="D767" s="4">
        <f>Angela_2026_Chase1117_Activity_!D764</f>
        <v>-52.92</v>
      </c>
    </row>
    <row r="768" spans="1:4" x14ac:dyDescent="0.25">
      <c r="A768" s="28">
        <f>Angela_2026_Chase1117_Activity_!B765</f>
        <v>46105</v>
      </c>
      <c r="B768" s="3" t="str">
        <f>Angela_2026_Chase1117_Activity_!C765</f>
        <v>Online Transfer from CHK ...1168 transaction#: 28554783025</v>
      </c>
      <c r="C768" s="3" t="str">
        <f>Angela_2026_Chase1117_Activity_!G765</f>
        <v>Transfer from DWG Capital Group</v>
      </c>
      <c r="D768" s="4">
        <f>Angela_2026_Chase1117_Activity_!D765</f>
        <v>2000</v>
      </c>
    </row>
    <row r="769" spans="1:4" x14ac:dyDescent="0.25">
      <c r="A769" s="28">
        <f>Angela_2026_Chase1117_Activity_!B766</f>
        <v>46105</v>
      </c>
      <c r="B769" s="3" t="str">
        <f>Angela_2026_Chase1117_Activity_!C766</f>
        <v>ATM CHECK DEPOSIT 03/24 12335 VENICE BLVD LOS ANGELES CA</v>
      </c>
      <c r="C769" s="3" t="str">
        <f>Angela_2026_Chase1117_Activity_!G766</f>
        <v>Deposit</v>
      </c>
      <c r="D769" s="4">
        <f>Angela_2026_Chase1117_Activity_!D766</f>
        <v>175</v>
      </c>
    </row>
    <row r="770" spans="1:4" x14ac:dyDescent="0.25">
      <c r="A770" s="28">
        <f>Angela_2026_Chase1117_Activity_!B767</f>
        <v>46104</v>
      </c>
      <c r="B770" s="3" t="str">
        <f>Angela_2026_Chase1117_Activity_!C767</f>
        <v>SP VALASTA LLC VALASTA.NET SC                03/23</v>
      </c>
      <c r="C770" s="3" t="str">
        <f>Angela_2026_Chase1117_Activity_!G767</f>
        <v>Personal - Health</v>
      </c>
      <c r="D770" s="4">
        <f>Angela_2026_Chase1117_Activity_!D767</f>
        <v>-270.5</v>
      </c>
    </row>
    <row r="771" spans="1:4" x14ac:dyDescent="0.25">
      <c r="A771" s="28">
        <f>Angela_2026_Chase1117_Activity_!B768</f>
        <v>46104</v>
      </c>
      <c r="B771" s="3" t="str">
        <f>Angela_2026_Chase1117_Activity_!C768</f>
        <v>AMAZON MARK* B574P5Z AMAZON.COM/MA WA        03/23</v>
      </c>
      <c r="C771" s="3" t="str">
        <f>Angela_2026_Chase1117_Activity_!G768</f>
        <v>Amazon</v>
      </c>
      <c r="D771" s="4">
        <f>Angela_2026_Chase1117_Activity_!D768</f>
        <v>-32.909999999999997</v>
      </c>
    </row>
    <row r="772" spans="1:4" x14ac:dyDescent="0.25">
      <c r="A772" s="28">
        <f>Angela_2026_Chase1117_Activity_!B769</f>
        <v>46104</v>
      </c>
      <c r="B772" s="3" t="str">
        <f>Angela_2026_Chase1117_Activity_!C769</f>
        <v>AMAZON MARK* BD53532 AMAZON.COM/MA WA        03/23</v>
      </c>
      <c r="C772" s="3" t="str">
        <f>Angela_2026_Chase1117_Activity_!G769</f>
        <v>Amazon</v>
      </c>
      <c r="D772" s="4">
        <f>Angela_2026_Chase1117_Activity_!D769</f>
        <v>-35.119999999999997</v>
      </c>
    </row>
    <row r="773" spans="1:4" x14ac:dyDescent="0.25">
      <c r="A773" s="28">
        <f>Angela_2026_Chase1117_Activity_!B770</f>
        <v>46104</v>
      </c>
      <c r="B773" s="3" t="str">
        <f>Angela_2026_Chase1117_Activity_!C770</f>
        <v>AMAZON MARK* BG80920 AMAZON.COM/MA WA        03/23</v>
      </c>
      <c r="C773" s="3" t="str">
        <f>Angela_2026_Chase1117_Activity_!G770</f>
        <v>Amazon</v>
      </c>
      <c r="D773" s="4">
        <f>Angela_2026_Chase1117_Activity_!D770</f>
        <v>-53.96</v>
      </c>
    </row>
    <row r="774" spans="1:4" x14ac:dyDescent="0.25">
      <c r="A774" s="28">
        <f>Angela_2026_Chase1117_Activity_!B771</f>
        <v>46104</v>
      </c>
      <c r="B774" s="3" t="str">
        <f>Angela_2026_Chase1117_Activity_!C771</f>
        <v>AMAZON RETA* BD48Z92 WWW.AMAZON.CO WA        03/23</v>
      </c>
      <c r="C774" s="3" t="str">
        <f>Angela_2026_Chase1117_Activity_!G771</f>
        <v>Amazon</v>
      </c>
      <c r="D774" s="4">
        <f>Angela_2026_Chase1117_Activity_!D771</f>
        <v>-59.22</v>
      </c>
    </row>
    <row r="775" spans="1:4" x14ac:dyDescent="0.25">
      <c r="A775" s="28">
        <f>Angela_2026_Chase1117_Activity_!B772</f>
        <v>46104</v>
      </c>
      <c r="B775" s="3" t="str">
        <f>Angela_2026_Chase1117_Activity_!C772</f>
        <v>AMAZON MARK* BD9AI52 AMAZON.COM/MA WA        03/23</v>
      </c>
      <c r="C775" s="3" t="str">
        <f>Angela_2026_Chase1117_Activity_!G772</f>
        <v>Amazon</v>
      </c>
      <c r="D775" s="4">
        <f>Angela_2026_Chase1117_Activity_!D772</f>
        <v>-44.97</v>
      </c>
    </row>
    <row r="776" spans="1:4" x14ac:dyDescent="0.25">
      <c r="A776" s="28">
        <f>Angela_2026_Chase1117_Activity_!B773</f>
        <v>46104</v>
      </c>
      <c r="B776" s="3" t="str">
        <f>Angela_2026_Chase1117_Activity_!C773</f>
        <v>ZARA USA INC. ESTADOS UNIDO NY       146534  03/20</v>
      </c>
      <c r="C776" s="3" t="str">
        <f>Angela_2026_Chase1117_Activity_!G773</f>
        <v>Personal - Shopping</v>
      </c>
      <c r="D776" s="4">
        <f>Angela_2026_Chase1117_Activity_!D773</f>
        <v>-236.5</v>
      </c>
    </row>
    <row r="777" spans="1:4" x14ac:dyDescent="0.25">
      <c r="A777" s="28">
        <f>Angela_2026_Chase1117_Activity_!B774</f>
        <v>46104</v>
      </c>
      <c r="B777" s="3" t="str">
        <f>Angela_2026_Chase1117_Activity_!C774</f>
        <v>Online Transfer to CHK ...6975 transaction#: 28532228126 03/23</v>
      </c>
      <c r="C777" s="3" t="str">
        <f>Angela_2026_Chase1117_Activity_!G774</f>
        <v>Transfer to Ava</v>
      </c>
      <c r="D777" s="4">
        <f>Angela_2026_Chase1117_Activity_!D774</f>
        <v>-2000</v>
      </c>
    </row>
    <row r="778" spans="1:4" x14ac:dyDescent="0.25">
      <c r="A778" s="28">
        <f>Angela_2026_Chase1117_Activity_!B775</f>
        <v>46104</v>
      </c>
      <c r="B778" s="3" t="str">
        <f>Angela_2026_Chase1117_Activity_!C775</f>
        <v>Online Payment 28532220618 To SAFECO INSURANCE COMPANY 03/23</v>
      </c>
      <c r="C778" s="3" t="str">
        <f>Angela_2026_Chase1117_Activity_!G775</f>
        <v>Personal - House Bills</v>
      </c>
      <c r="D778" s="4">
        <f>Angela_2026_Chase1117_Activity_!D775</f>
        <v>-120</v>
      </c>
    </row>
    <row r="779" spans="1:4" x14ac:dyDescent="0.25">
      <c r="A779" s="28">
        <f>Angela_2026_Chase1117_Activity_!B776</f>
        <v>46104</v>
      </c>
      <c r="B779" s="3" t="str">
        <f>Angela_2026_Chase1117_Activity_!C776</f>
        <v>Online Payment 28532196405 To FRONTIER TELEPHONE 03/23</v>
      </c>
      <c r="C779" s="3" t="str">
        <f>Angela_2026_Chase1117_Activity_!G776</f>
        <v>Personal - House Bills</v>
      </c>
      <c r="D779" s="4">
        <f>Angela_2026_Chase1117_Activity_!D776</f>
        <v>-400</v>
      </c>
    </row>
    <row r="780" spans="1:4" x14ac:dyDescent="0.25">
      <c r="A780" s="28">
        <f>Angela_2026_Chase1117_Activity_!B777</f>
        <v>46104</v>
      </c>
      <c r="B780" s="3" t="str">
        <f>Angela_2026_Chase1117_Activity_!C777</f>
        <v>Online Payment 28532194986 To AMERICAN EDUCATION SERVICES 03/23</v>
      </c>
      <c r="C780" s="3" t="str">
        <f>Angela_2026_Chase1117_Activity_!G777</f>
        <v>Personal - House Bills</v>
      </c>
      <c r="D780" s="4">
        <f>Angela_2026_Chase1117_Activity_!D777</f>
        <v>-320</v>
      </c>
    </row>
    <row r="781" spans="1:4" x14ac:dyDescent="0.25">
      <c r="A781" s="28">
        <f>Angela_2026_Chase1117_Activity_!B778</f>
        <v>46104</v>
      </c>
      <c r="B781" s="3" t="str">
        <f>Angela_2026_Chase1117_Activity_!C778</f>
        <v>Online Payment 28532187436 To MERCEDES-BENZ FINANCIAL SERVICES 03/23</v>
      </c>
      <c r="C781" s="3" t="str">
        <f>Angela_2026_Chase1117_Activity_!G778</f>
        <v>Personal - House Bills</v>
      </c>
      <c r="D781" s="4">
        <f>Angela_2026_Chase1117_Activity_!D778</f>
        <v>-700</v>
      </c>
    </row>
    <row r="782" spans="1:4" x14ac:dyDescent="0.25">
      <c r="A782" s="28">
        <f>Angela_2026_Chase1117_Activity_!B779</f>
        <v>46104</v>
      </c>
      <c r="B782" s="3" t="str">
        <f>Angela_2026_Chase1117_Activity_!C779</f>
        <v>PNM*THE TOLLROAD SANTA CLARA CA      585697  03/22</v>
      </c>
      <c r="C782" s="3" t="str">
        <f>Angela_2026_Chase1117_Activity_!G779</f>
        <v>Personal - Car</v>
      </c>
      <c r="D782" s="4">
        <f>Angela_2026_Chase1117_Activity_!D779</f>
        <v>-25.33</v>
      </c>
    </row>
    <row r="783" spans="1:4" x14ac:dyDescent="0.25">
      <c r="A783" s="28">
        <f>Angela_2026_Chase1117_Activity_!B780</f>
        <v>46104</v>
      </c>
      <c r="B783" s="3" t="str">
        <f>Angela_2026_Chase1117_Activity_!C780</f>
        <v>Amazon.com*BG6B92TH2 Amzn.com/bill WA        03/22</v>
      </c>
      <c r="C783" s="3" t="str">
        <f>Angela_2026_Chase1117_Activity_!G780</f>
        <v>Amazon</v>
      </c>
      <c r="D783" s="4">
        <f>Angela_2026_Chase1117_Activity_!D780</f>
        <v>-187.96</v>
      </c>
    </row>
    <row r="784" spans="1:4" x14ac:dyDescent="0.25">
      <c r="A784" s="28">
        <f>Angela_2026_Chase1117_Activity_!B781</f>
        <v>46104</v>
      </c>
      <c r="B784" s="3" t="str">
        <f>Angela_2026_Chase1117_Activity_!C781</f>
        <v>TARGET.COM          BROOKLYN PARK MN 512757  03/22</v>
      </c>
      <c r="C784" s="3" t="str">
        <f>Angela_2026_Chase1117_Activity_!G781</f>
        <v>Personal - Shopping</v>
      </c>
      <c r="D784" s="4">
        <f>Angela_2026_Chase1117_Activity_!D781</f>
        <v>-20</v>
      </c>
    </row>
    <row r="785" spans="1:4" x14ac:dyDescent="0.25">
      <c r="A785" s="28">
        <f>Angela_2026_Chase1117_Activity_!B782</f>
        <v>46104</v>
      </c>
      <c r="B785" s="3" t="str">
        <f>Angela_2026_Chase1117_Activity_!C782</f>
        <v>UBER * EATS PENDING SAN FRANCISCO CA 675546  03/21</v>
      </c>
      <c r="C785" s="3" t="str">
        <f>Angela_2026_Chase1117_Activity_!G782</f>
        <v>Uber Eats</v>
      </c>
      <c r="D785" s="4">
        <f>Angela_2026_Chase1117_Activity_!D782</f>
        <v>-33.61</v>
      </c>
    </row>
    <row r="786" spans="1:4" x14ac:dyDescent="0.25">
      <c r="A786" s="28">
        <f>Angela_2026_Chase1117_Activity_!B783</f>
        <v>46104</v>
      </c>
      <c r="B786" s="3" t="str">
        <f>Angela_2026_Chase1117_Activity_!C783</f>
        <v>TARGET.COM          BROOKLYN PARK MN 392146  03/21</v>
      </c>
      <c r="C786" s="3" t="str">
        <f>Angela_2026_Chase1117_Activity_!G783</f>
        <v>Personal - Shopping</v>
      </c>
      <c r="D786" s="4">
        <f>Angela_2026_Chase1117_Activity_!D783</f>
        <v>-30</v>
      </c>
    </row>
    <row r="787" spans="1:4" x14ac:dyDescent="0.25">
      <c r="A787" s="28">
        <f>Angela_2026_Chase1117_Activity_!B784</f>
        <v>46104</v>
      </c>
      <c r="B787" s="3" t="str">
        <f>Angela_2026_Chase1117_Activity_!C784</f>
        <v>TARGET.COM          BROOKLYN PARK MN 511989  03/21</v>
      </c>
      <c r="C787" s="3" t="str">
        <f>Angela_2026_Chase1117_Activity_!G784</f>
        <v>Personal - Shopping</v>
      </c>
      <c r="D787" s="4">
        <f>Angela_2026_Chase1117_Activity_!D784</f>
        <v>-65.37</v>
      </c>
    </row>
    <row r="788" spans="1:4" x14ac:dyDescent="0.25">
      <c r="A788" s="28">
        <f>Angela_2026_Chase1117_Activity_!B785</f>
        <v>46104</v>
      </c>
      <c r="B788" s="3" t="str">
        <f>Angela_2026_Chase1117_Activity_!C785</f>
        <v>AMAZON MARK* BD5TU3B AMAZON.COM/MA WA        03/22</v>
      </c>
      <c r="C788" s="3" t="str">
        <f>Angela_2026_Chase1117_Activity_!G785</f>
        <v>Amazon</v>
      </c>
      <c r="D788" s="4">
        <f>Angela_2026_Chase1117_Activity_!D785</f>
        <v>-24.15</v>
      </c>
    </row>
    <row r="789" spans="1:4" x14ac:dyDescent="0.25">
      <c r="A789" s="28">
        <f>Angela_2026_Chase1117_Activity_!B786</f>
        <v>46104</v>
      </c>
      <c r="B789" s="3" t="str">
        <f>Angela_2026_Chase1117_Activity_!C786</f>
        <v>AMAZON MARK* BD7RD5B AMAZON.COM/MA WA        03/22</v>
      </c>
      <c r="C789" s="3" t="str">
        <f>Angela_2026_Chase1117_Activity_!G786</f>
        <v>Amazon</v>
      </c>
      <c r="D789" s="4">
        <f>Angela_2026_Chase1117_Activity_!D786</f>
        <v>-24.15</v>
      </c>
    </row>
    <row r="790" spans="1:4" x14ac:dyDescent="0.25">
      <c r="A790" s="28">
        <f>Angela_2026_Chase1117_Activity_!B787</f>
        <v>46104</v>
      </c>
      <c r="B790" s="3" t="str">
        <f>Angela_2026_Chase1117_Activity_!C787</f>
        <v>AMAZON MARK* BG3W52L AMAZON.COM/MA WA        03/21</v>
      </c>
      <c r="C790" s="3" t="str">
        <f>Angela_2026_Chase1117_Activity_!G787</f>
        <v>Amazon</v>
      </c>
      <c r="D790" s="4">
        <f>Angela_2026_Chase1117_Activity_!D787</f>
        <v>-27.14</v>
      </c>
    </row>
    <row r="791" spans="1:4" x14ac:dyDescent="0.25">
      <c r="A791" s="28">
        <f>Angela_2026_Chase1117_Activity_!B788</f>
        <v>46104</v>
      </c>
      <c r="B791" s="3" t="str">
        <f>Angela_2026_Chase1117_Activity_!C788</f>
        <v>ToursByLocals Inc. 604-7774141 WY            03/21</v>
      </c>
      <c r="C791" s="3" t="str">
        <f>Angela_2026_Chase1117_Activity_!G788</f>
        <v>Personal Travel</v>
      </c>
      <c r="D791" s="4">
        <f>Angela_2026_Chase1117_Activity_!D788</f>
        <v>-984.97</v>
      </c>
    </row>
    <row r="792" spans="1:4" x14ac:dyDescent="0.25">
      <c r="A792" s="28">
        <f>Angela_2026_Chase1117_Activity_!B789</f>
        <v>46104</v>
      </c>
      <c r="B792" s="3" t="str">
        <f>Angela_2026_Chase1117_Activity_!C789</f>
        <v>NEXTLINK BROADBAND 855-6985465 TX            03/20</v>
      </c>
      <c r="C792" s="3" t="str">
        <f>Angela_2026_Chase1117_Activity_!G789</f>
        <v>Personal - House Bills</v>
      </c>
      <c r="D792" s="4">
        <f>Angela_2026_Chase1117_Activity_!D789</f>
        <v>-149.96</v>
      </c>
    </row>
    <row r="793" spans="1:4" x14ac:dyDescent="0.25">
      <c r="A793" s="28">
        <f>Angela_2026_Chase1117_Activity_!B790</f>
        <v>46104</v>
      </c>
      <c r="B793" s="3" t="str">
        <f>Angela_2026_Chase1117_Activity_!C790</f>
        <v>Zelle payment from ROSE LI 28536345490</v>
      </c>
      <c r="C793" s="3" t="str">
        <f>Angela_2026_Chase1117_Activity_!G790</f>
        <v>Zelle from Rose Li</v>
      </c>
      <c r="D793" s="4">
        <f>Angela_2026_Chase1117_Activity_!D790</f>
        <v>450</v>
      </c>
    </row>
    <row r="794" spans="1:4" x14ac:dyDescent="0.25">
      <c r="A794" s="28">
        <f>Angela_2026_Chase1117_Activity_!B791</f>
        <v>46104</v>
      </c>
      <c r="B794" s="3" t="str">
        <f>Angela_2026_Chase1117_Activity_!C791</f>
        <v>Online Transfer from CHK ...1168 transaction#: 28521606774</v>
      </c>
      <c r="C794" s="3" t="str">
        <f>Angela_2026_Chase1117_Activity_!G791</f>
        <v>Transfer from DWG Capital Group</v>
      </c>
      <c r="D794" s="4">
        <f>Angela_2026_Chase1117_Activity_!D791</f>
        <v>3000</v>
      </c>
    </row>
    <row r="795" spans="1:4" x14ac:dyDescent="0.25">
      <c r="A795" s="28">
        <f>Angela_2026_Chase1117_Activity_!B792</f>
        <v>46104</v>
      </c>
      <c r="B795" s="3" t="str">
        <f>Angela_2026_Chase1117_Activity_!C792</f>
        <v>Online Transfer from CHK ...1168 transaction#: 28532226913</v>
      </c>
      <c r="C795" s="3" t="str">
        <f>Angela_2026_Chase1117_Activity_!G792</f>
        <v>Transfer from DWG Capital Group</v>
      </c>
      <c r="D795" s="4">
        <f>Angela_2026_Chase1117_Activity_!D792</f>
        <v>5000</v>
      </c>
    </row>
    <row r="796" spans="1:4" x14ac:dyDescent="0.25">
      <c r="A796" s="28">
        <f>Angela_2026_Chase1117_Activity_!B793</f>
        <v>46101</v>
      </c>
      <c r="B796" s="3" t="str">
        <f>Angela_2026_Chase1117_Activity_!C793</f>
        <v>SCRIBD* R680020687 SCRIBD.COM CA             03/20</v>
      </c>
      <c r="C796" s="3" t="str">
        <f>Angela_2026_Chase1117_Activity_!G793</f>
        <v>Personal - Subscription</v>
      </c>
      <c r="D796" s="4">
        <f>Angela_2026_Chase1117_Activity_!D793</f>
        <v>-11.99</v>
      </c>
    </row>
    <row r="797" spans="1:4" x14ac:dyDescent="0.25">
      <c r="A797" s="28">
        <f>Angela_2026_Chase1117_Activity_!B794</f>
        <v>46101</v>
      </c>
      <c r="B797" s="3" t="str">
        <f>Angela_2026_Chase1117_Activity_!C794</f>
        <v>AMAZON MARK* BD8CU90 AMAZON.COM/MA WA        03/20</v>
      </c>
      <c r="C797" s="3" t="str">
        <f>Angela_2026_Chase1117_Activity_!G794</f>
        <v>Amazon</v>
      </c>
      <c r="D797" s="4">
        <f>Angela_2026_Chase1117_Activity_!D794</f>
        <v>-8.77</v>
      </c>
    </row>
    <row r="798" spans="1:4" x14ac:dyDescent="0.25">
      <c r="A798" s="28">
        <f>Angela_2026_Chase1117_Activity_!B795</f>
        <v>46101</v>
      </c>
      <c r="B798" s="3" t="str">
        <f>Angela_2026_Chase1117_Activity_!C795</f>
        <v>TST*BEETHOVEN Los Angeles CA                 03/19</v>
      </c>
      <c r="C798" s="3" t="str">
        <f>Angela_2026_Chase1117_Activity_!G795</f>
        <v>Personal - Food</v>
      </c>
      <c r="D798" s="4">
        <f>Angela_2026_Chase1117_Activity_!D795</f>
        <v>-126</v>
      </c>
    </row>
    <row r="799" spans="1:4" x14ac:dyDescent="0.25">
      <c r="A799" s="28">
        <f>Angela_2026_Chase1117_Activity_!B796</f>
        <v>46101</v>
      </c>
      <c r="B799" s="3" t="str">
        <f>Angela_2026_Chase1117_Activity_!C796</f>
        <v>CSC PALM SPRINGS TENNI 855-8596983 AZ        03/17</v>
      </c>
      <c r="C799" s="3" t="str">
        <f>Angela_2026_Chase1117_Activity_!G796</f>
        <v>Palm Springs</v>
      </c>
      <c r="D799" s="4">
        <f>Angela_2026_Chase1117_Activity_!D796</f>
        <v>-389.27</v>
      </c>
    </row>
    <row r="800" spans="1:4" x14ac:dyDescent="0.25">
      <c r="A800" s="28">
        <f>Angela_2026_Chase1117_Activity_!B797</f>
        <v>46100</v>
      </c>
      <c r="B800" s="3" t="str">
        <f>Angela_2026_Chase1117_Activity_!C797</f>
        <v>ZARA USA INC. ESTADOS UNIDO NY       146490  03/18</v>
      </c>
      <c r="C800" s="3" t="str">
        <f>Angela_2026_Chase1117_Activity_!G797</f>
        <v>Personal - Shopping</v>
      </c>
      <c r="D800" s="4">
        <f>Angela_2026_Chase1117_Activity_!D797</f>
        <v>-336.17</v>
      </c>
    </row>
    <row r="801" spans="1:4" x14ac:dyDescent="0.25">
      <c r="A801" s="28">
        <f>Angela_2026_Chase1117_Activity_!B798</f>
        <v>46100</v>
      </c>
      <c r="B801" s="3" t="str">
        <f>Angela_2026_Chase1117_Activity_!C798</f>
        <v>Amazon Tips*BD2OV75Q Amzn.com/bill WA        03/18</v>
      </c>
      <c r="C801" s="3" t="str">
        <f>Angela_2026_Chase1117_Activity_!G798</f>
        <v>Amazon</v>
      </c>
      <c r="D801" s="4">
        <f>Angela_2026_Chase1117_Activity_!D798</f>
        <v>-10</v>
      </c>
    </row>
    <row r="802" spans="1:4" x14ac:dyDescent="0.25">
      <c r="A802" s="28">
        <f>Angela_2026_Chase1117_Activity_!B799</f>
        <v>46100</v>
      </c>
      <c r="B802" s="3" t="str">
        <f>Angela_2026_Chase1117_Activity_!C799</f>
        <v>Amazon Tips*B59XP5BQ Amzn.com/bill WA        03/18</v>
      </c>
      <c r="C802" s="3" t="str">
        <f>Angela_2026_Chase1117_Activity_!G799</f>
        <v>Amazon</v>
      </c>
      <c r="D802" s="4">
        <f>Angela_2026_Chase1117_Activity_!D799</f>
        <v>-20</v>
      </c>
    </row>
    <row r="803" spans="1:4" x14ac:dyDescent="0.25">
      <c r="A803" s="28">
        <f>Angela_2026_Chase1117_Activity_!B800</f>
        <v>46100</v>
      </c>
      <c r="B803" s="3" t="str">
        <f>Angela_2026_Chase1117_Activity_!C800</f>
        <v>AMAZON MARK* B59LW06 AMAZON.COM/MA WA        03/19</v>
      </c>
      <c r="C803" s="3" t="str">
        <f>Angela_2026_Chase1117_Activity_!G800</f>
        <v>Amazon</v>
      </c>
      <c r="D803" s="4">
        <f>Angela_2026_Chase1117_Activity_!D800</f>
        <v>-97.05</v>
      </c>
    </row>
    <row r="804" spans="1:4" x14ac:dyDescent="0.25">
      <c r="A804" s="28">
        <f>Angela_2026_Chase1117_Activity_!B801</f>
        <v>46099</v>
      </c>
      <c r="B804" s="3" t="str">
        <f>Angela_2026_Chase1117_Activity_!C801</f>
        <v>SP JEFFREYCAMPBELL JEFFREYCAMPBE CA          03/18</v>
      </c>
      <c r="C804" s="3" t="str">
        <f>Angela_2026_Chase1117_Activity_!G801</f>
        <v>Personal - Shopping</v>
      </c>
      <c r="D804" s="4">
        <f>Angela_2026_Chase1117_Activity_!D801</f>
        <v>-104.27</v>
      </c>
    </row>
    <row r="805" spans="1:4" x14ac:dyDescent="0.25">
      <c r="A805" s="28">
        <f>Angela_2026_Chase1117_Activity_!B802</f>
        <v>46099</v>
      </c>
      <c r="B805" s="3" t="str">
        <f>Angela_2026_Chase1117_Activity_!C802</f>
        <v>SP FARM RIO FARMRIO.COM NY                   03/18</v>
      </c>
      <c r="C805" s="3" t="str">
        <f>Angela_2026_Chase1117_Activity_!G802</f>
        <v>Personal - Clothing</v>
      </c>
      <c r="D805" s="4">
        <f>Angela_2026_Chase1117_Activity_!D802</f>
        <v>-468.76</v>
      </c>
    </row>
    <row r="806" spans="1:4" x14ac:dyDescent="0.25">
      <c r="A806" s="28">
        <f>Angela_2026_Chase1117_Activity_!B803</f>
        <v>46099</v>
      </c>
      <c r="B806" s="3" t="str">
        <f>Angela_2026_Chase1117_Activity_!C803</f>
        <v>LEELA QUANTUM TECH LEELAQ.COM NM             03/17</v>
      </c>
      <c r="C806" s="3" t="str">
        <f>Angela_2026_Chase1117_Activity_!G803</f>
        <v>Personal - Subscription</v>
      </c>
      <c r="D806" s="4">
        <f>Angela_2026_Chase1117_Activity_!D803</f>
        <v>-30</v>
      </c>
    </row>
    <row r="807" spans="1:4" x14ac:dyDescent="0.25">
      <c r="A807" s="28">
        <f>Angela_2026_Chase1117_Activity_!B804</f>
        <v>46099</v>
      </c>
      <c r="B807" s="3" t="str">
        <f>Angela_2026_Chase1117_Activity_!C804</f>
        <v>Amazon Retai*BD5EK71 Amzn.com/bill WA        03/17</v>
      </c>
      <c r="C807" s="3" t="str">
        <f>Angela_2026_Chase1117_Activity_!G804</f>
        <v>Amazon</v>
      </c>
      <c r="D807" s="4">
        <f>Angela_2026_Chase1117_Activity_!D804</f>
        <v>-30.36</v>
      </c>
    </row>
    <row r="808" spans="1:4" x14ac:dyDescent="0.25">
      <c r="A808" s="28">
        <f>Angela_2026_Chase1117_Activity_!B805</f>
        <v>46099</v>
      </c>
      <c r="B808" s="3" t="str">
        <f>Angela_2026_Chase1117_Activity_!C805</f>
        <v>Amazon.com*B55OM5GB2 Amzn.com/bill WA        03/17</v>
      </c>
      <c r="C808" s="3" t="str">
        <f>Angela_2026_Chase1117_Activity_!G805</f>
        <v>Amazon</v>
      </c>
      <c r="D808" s="4">
        <f>Angela_2026_Chase1117_Activity_!D805</f>
        <v>-398.35</v>
      </c>
    </row>
    <row r="809" spans="1:4" x14ac:dyDescent="0.25">
      <c r="A809" s="28">
        <f>Angela_2026_Chase1117_Activity_!B806</f>
        <v>46099</v>
      </c>
      <c r="B809" s="3" t="str">
        <f>Angela_2026_Chase1117_Activity_!C806</f>
        <v>Zelle payment from TANYA MILLER HNA022DX5B5H</v>
      </c>
      <c r="C809" s="3" t="str">
        <f>Angela_2026_Chase1117_Activity_!G806</f>
        <v>Zelle from Tanya Miller</v>
      </c>
      <c r="D809" s="4">
        <f>Angela_2026_Chase1117_Activity_!D806</f>
        <v>100</v>
      </c>
    </row>
    <row r="810" spans="1:4" x14ac:dyDescent="0.25">
      <c r="A810" s="28">
        <f>Angela_2026_Chase1117_Activity_!B807</f>
        <v>46098</v>
      </c>
      <c r="B810" s="3" t="str">
        <f>Angela_2026_Chase1117_Activity_!C807</f>
        <v>TARGET.COM          BROOKLYN PARK MN 581729  03/17</v>
      </c>
      <c r="C810" s="3" t="str">
        <f>Angela_2026_Chase1117_Activity_!G807</f>
        <v>Personal - Shopping</v>
      </c>
      <c r="D810" s="4">
        <f>Angela_2026_Chase1117_Activity_!D807</f>
        <v>-10</v>
      </c>
    </row>
    <row r="811" spans="1:4" x14ac:dyDescent="0.25">
      <c r="A811" s="28">
        <f>Angela_2026_Chase1117_Activity_!B808</f>
        <v>46098</v>
      </c>
      <c r="B811" s="3" t="str">
        <f>Angela_2026_Chase1117_Activity_!C808</f>
        <v>TARGET.COM          BROOKLYN PARK MN 581729  03/17</v>
      </c>
      <c r="C811" s="3" t="str">
        <f>Angela_2026_Chase1117_Activity_!G808</f>
        <v>Personal - Shopping</v>
      </c>
      <c r="D811" s="4">
        <f>Angela_2026_Chase1117_Activity_!D808</f>
        <v>-269.97000000000003</v>
      </c>
    </row>
    <row r="812" spans="1:4" x14ac:dyDescent="0.25">
      <c r="A812" s="28">
        <f>Angela_2026_Chase1117_Activity_!B809</f>
        <v>46098</v>
      </c>
      <c r="B812" s="3" t="str">
        <f>Angela_2026_Chase1117_Activity_!C809</f>
        <v>AMAZON MARK* BD29Z20 AMAZON.COM/MA WA        03/17</v>
      </c>
      <c r="C812" s="3" t="str">
        <f>Angela_2026_Chase1117_Activity_!G809</f>
        <v>Amazon</v>
      </c>
      <c r="D812" s="4">
        <f>Angela_2026_Chase1117_Activity_!D809</f>
        <v>-68.459999999999994</v>
      </c>
    </row>
    <row r="813" spans="1:4" x14ac:dyDescent="0.25">
      <c r="A813" s="28">
        <f>Angela_2026_Chase1117_Activity_!B810</f>
        <v>46098</v>
      </c>
      <c r="B813" s="3" t="str">
        <f>Angela_2026_Chase1117_Activity_!C810</f>
        <v>SP AURO WELLNESS AUROWELLNESS. CA            03/17</v>
      </c>
      <c r="C813" s="3" t="str">
        <f>Angela_2026_Chase1117_Activity_!G810</f>
        <v>Personal - Health</v>
      </c>
      <c r="D813" s="4">
        <f>Angela_2026_Chase1117_Activity_!D810</f>
        <v>-350.67</v>
      </c>
    </row>
    <row r="814" spans="1:4" x14ac:dyDescent="0.25">
      <c r="A814" s="28">
        <f>Angela_2026_Chase1117_Activity_!B811</f>
        <v>46098</v>
      </c>
      <c r="B814" s="3" t="str">
        <f>Angela_2026_Chase1117_Activity_!C811</f>
        <v>APPLE.COM/BILL 866-712-7753 CA               03/16</v>
      </c>
      <c r="C814" s="3" t="str">
        <f>Angela_2026_Chase1117_Activity_!G811</f>
        <v>Apple</v>
      </c>
      <c r="D814" s="4">
        <f>Angela_2026_Chase1117_Activity_!D811</f>
        <v>-94.99</v>
      </c>
    </row>
    <row r="815" spans="1:4" x14ac:dyDescent="0.25">
      <c r="A815" s="28">
        <f>Angela_2026_Chase1117_Activity_!B812</f>
        <v>46098</v>
      </c>
      <c r="B815" s="3" t="str">
        <f>Angela_2026_Chase1117_Activity_!C812</f>
        <v>Online Transfer from CHK ...1168 transaction#: 28471503036</v>
      </c>
      <c r="C815" s="3" t="str">
        <f>Angela_2026_Chase1117_Activity_!G812</f>
        <v>Transfer from DWG Capital Group</v>
      </c>
      <c r="D815" s="4">
        <f>Angela_2026_Chase1117_Activity_!D812</f>
        <v>4000</v>
      </c>
    </row>
    <row r="816" spans="1:4" x14ac:dyDescent="0.25">
      <c r="A816" s="28">
        <f>Angela_2026_Chase1117_Activity_!B813</f>
        <v>46097</v>
      </c>
      <c r="B816" s="3" t="str">
        <f>Angela_2026_Chase1117_Activity_!C813</f>
        <v>FOREIGN EXCHANGE RATE ADJUSTMENT FEE         03/15FH* PICTA</v>
      </c>
      <c r="C816" s="3" t="str">
        <f>Angela_2026_Chase1117_Activity_!G813</f>
        <v>Personal Travel - Portugal</v>
      </c>
      <c r="D816" s="4">
        <f>Angela_2026_Chase1117_Activity_!D813</f>
        <v>-5.34</v>
      </c>
    </row>
    <row r="817" spans="1:4" x14ac:dyDescent="0.25">
      <c r="A817" s="28">
        <f>Angela_2026_Chase1117_Activity_!B814</f>
        <v>46097</v>
      </c>
      <c r="B817" s="3" t="str">
        <f>Angela_2026_Chase1117_Activity_!C814</f>
        <v>UBER   * EATS PENDIN SAN FRANCISCO CA079591  03/15</v>
      </c>
      <c r="C817" s="3" t="str">
        <f>Angela_2026_Chase1117_Activity_!G814</f>
        <v>Uber Eats</v>
      </c>
      <c r="D817" s="4">
        <f>Angela_2026_Chase1117_Activity_!D814</f>
        <v>-99.13</v>
      </c>
    </row>
    <row r="818" spans="1:4" x14ac:dyDescent="0.25">
      <c r="A818" s="28">
        <f>Angela_2026_Chase1117_Activity_!B815</f>
        <v>46097</v>
      </c>
      <c r="B818" s="3" t="str">
        <f>Angela_2026_Chase1117_Activity_!C815</f>
        <v>ROSS STORES #311 VENICE CA                   03/15</v>
      </c>
      <c r="C818" s="3" t="str">
        <f>Angela_2026_Chase1117_Activity_!G815</f>
        <v>Personal - Shopping</v>
      </c>
      <c r="D818" s="4">
        <f>Angela_2026_Chase1117_Activity_!D815</f>
        <v>-110.82</v>
      </c>
    </row>
    <row r="819" spans="1:4" x14ac:dyDescent="0.25">
      <c r="A819" s="28">
        <f>Angela_2026_Chase1117_Activity_!B816</f>
        <v>46097</v>
      </c>
      <c r="B819" s="3" t="str">
        <f>Angela_2026_Chase1117_Activity_!C816</f>
        <v>TST*BLUEYS KITCHEN MAR Los Angeles CA        03/15</v>
      </c>
      <c r="C819" s="3" t="str">
        <f>Angela_2026_Chase1117_Activity_!G816</f>
        <v>Personal - Food</v>
      </c>
      <c r="D819" s="4">
        <f>Angela_2026_Chase1117_Activity_!D816</f>
        <v>-29.05</v>
      </c>
    </row>
    <row r="820" spans="1:4" x14ac:dyDescent="0.25">
      <c r="A820" s="28">
        <f>Angela_2026_Chase1117_Activity_!B817</f>
        <v>46097</v>
      </c>
      <c r="B820" s="3" t="str">
        <f>Angela_2026_Chase1117_Activity_!C817</f>
        <v>Mutzel Nutrition LLC 866-2510001 WA          03/15</v>
      </c>
      <c r="C820" s="3" t="str">
        <f>Angela_2026_Chase1117_Activity_!G817</f>
        <v>Personal - Health</v>
      </c>
      <c r="D820" s="4">
        <f>Angela_2026_Chase1117_Activity_!D817</f>
        <v>-92.51</v>
      </c>
    </row>
    <row r="821" spans="1:4" x14ac:dyDescent="0.25">
      <c r="A821" s="28">
        <f>Angela_2026_Chase1117_Activity_!B818</f>
        <v>46097</v>
      </c>
      <c r="B821" s="3" t="str">
        <f>Angela_2026_Chase1117_Activity_!C818</f>
        <v>FH* PICTA TRAVEL CAMPO DE OURI               03/15 Euro       154.50 X 1.153204 (EXCHG RTE)</v>
      </c>
      <c r="C821" s="3" t="str">
        <f>Angela_2026_Chase1117_Activity_!G818</f>
        <v>Personal Travel</v>
      </c>
      <c r="D821" s="4">
        <f>Angela_2026_Chase1117_Activity_!D818</f>
        <v>-178.17</v>
      </c>
    </row>
    <row r="822" spans="1:4" x14ac:dyDescent="0.25">
      <c r="A822" s="28">
        <f>Angela_2026_Chase1117_Activity_!B819</f>
        <v>46097</v>
      </c>
      <c r="B822" s="3" t="str">
        <f>Angela_2026_Chase1117_Activity_!C819</f>
        <v>Prime Video Channels amzn.com/bill WA        03/14</v>
      </c>
      <c r="C822" s="3" t="str">
        <f>Angela_2026_Chase1117_Activity_!G819</f>
        <v>Amazon</v>
      </c>
      <c r="D822" s="4">
        <f>Angela_2026_Chase1117_Activity_!D819</f>
        <v>-18.489999999999998</v>
      </c>
    </row>
    <row r="823" spans="1:4" x14ac:dyDescent="0.25">
      <c r="A823" s="28">
        <f>Angela_2026_Chase1117_Activity_!B820</f>
        <v>46097</v>
      </c>
      <c r="B823" s="3" t="str">
        <f>Angela_2026_Chase1117_Activity_!C820</f>
        <v>AMAZON PRIME*D92YA85 Amzn.com/bill WA        03/14</v>
      </c>
      <c r="C823" s="3" t="str">
        <f>Angela_2026_Chase1117_Activity_!G820</f>
        <v>Amazon</v>
      </c>
      <c r="D823" s="4">
        <f>Angela_2026_Chase1117_Activity_!D820</f>
        <v>-16.45</v>
      </c>
    </row>
    <row r="824" spans="1:4" x14ac:dyDescent="0.25">
      <c r="A824" s="28">
        <f>Angela_2026_Chase1117_Activity_!B821</f>
        <v>46097</v>
      </c>
      <c r="B824" s="3" t="str">
        <f>Angela_2026_Chase1117_Activity_!C821</f>
        <v>APPLE.COM/BILL 866-712-7753 CA               03/14</v>
      </c>
      <c r="C824" s="3" t="str">
        <f>Angela_2026_Chase1117_Activity_!G821</f>
        <v>Apple</v>
      </c>
      <c r="D824" s="4">
        <f>Angela_2026_Chase1117_Activity_!D821</f>
        <v>-59.99</v>
      </c>
    </row>
    <row r="825" spans="1:4" x14ac:dyDescent="0.25">
      <c r="A825" s="28">
        <f>Angela_2026_Chase1117_Activity_!B822</f>
        <v>46097</v>
      </c>
      <c r="B825" s="3" t="str">
        <f>Angela_2026_Chase1117_Activity_!C822</f>
        <v>SQ *INN OF THE SEVENTH gosq.com MT           03/14</v>
      </c>
      <c r="C825" s="3" t="str">
        <f>Angela_2026_Chase1117_Activity_!G822</f>
        <v>Personal Travel</v>
      </c>
      <c r="D825" s="4">
        <f>Angela_2026_Chase1117_Activity_!D822</f>
        <v>-745.38</v>
      </c>
    </row>
    <row r="826" spans="1:4" x14ac:dyDescent="0.25">
      <c r="A826" s="28">
        <f>Angela_2026_Chase1117_Activity_!B823</f>
        <v>46097</v>
      </c>
      <c r="B826" s="3" t="str">
        <f>Angela_2026_Chase1117_Activity_!C823</f>
        <v>AMAZON MARK* BP7FW2W AMAZON.COM/MA WA        03/14</v>
      </c>
      <c r="C826" s="3" t="str">
        <f>Angela_2026_Chase1117_Activity_!G823</f>
        <v>Amazon</v>
      </c>
      <c r="D826" s="4">
        <f>Angela_2026_Chase1117_Activity_!D823</f>
        <v>-7.67</v>
      </c>
    </row>
    <row r="827" spans="1:4" x14ac:dyDescent="0.25">
      <c r="A827" s="28">
        <f>Angela_2026_Chase1117_Activity_!B824</f>
        <v>46097</v>
      </c>
      <c r="B827" s="3" t="str">
        <f>Angela_2026_Chase1117_Activity_!C824</f>
        <v>Amazon.com*BD1GV79M2 Amzn.com/bill WA        03/14</v>
      </c>
      <c r="C827" s="3" t="str">
        <f>Angela_2026_Chase1117_Activity_!G824</f>
        <v>Amazon</v>
      </c>
      <c r="D827" s="4">
        <f>Angela_2026_Chase1117_Activity_!D824</f>
        <v>-18.649999999999999</v>
      </c>
    </row>
    <row r="828" spans="1:4" x14ac:dyDescent="0.25">
      <c r="A828" s="28">
        <f>Angela_2026_Chase1117_Activity_!B825</f>
        <v>46097</v>
      </c>
      <c r="B828" s="3" t="str">
        <f>Angela_2026_Chase1117_Activity_!C825</f>
        <v>AMAZON MKTPL*BP8X17G Amzn.com/bill WA        03/14</v>
      </c>
      <c r="C828" s="3" t="str">
        <f>Angela_2026_Chase1117_Activity_!G825</f>
        <v>Amazon</v>
      </c>
      <c r="D828" s="4">
        <f>Angela_2026_Chase1117_Activity_!D825</f>
        <v>-10.96</v>
      </c>
    </row>
    <row r="829" spans="1:4" x14ac:dyDescent="0.25">
      <c r="A829" s="28">
        <f>Angela_2026_Chase1117_Activity_!B826</f>
        <v>46097</v>
      </c>
      <c r="B829" s="3" t="str">
        <f>Angela_2026_Chase1117_Activity_!C826</f>
        <v>Amazon Tips*BD8I88KD Amzn.com/bill WA        03/13</v>
      </c>
      <c r="C829" s="3" t="str">
        <f>Angela_2026_Chase1117_Activity_!G826</f>
        <v>Amazon</v>
      </c>
      <c r="D829" s="4">
        <f>Angela_2026_Chase1117_Activity_!D826</f>
        <v>-5</v>
      </c>
    </row>
    <row r="830" spans="1:4" x14ac:dyDescent="0.25">
      <c r="A830" s="28">
        <f>Angela_2026_Chase1117_Activity_!B827</f>
        <v>46097</v>
      </c>
      <c r="B830" s="3" t="str">
        <f>Angela_2026_Chase1117_Activity_!C827</f>
        <v>AMAZON MARK* B55QT0J AMAZON.COM/MA WA        03/16</v>
      </c>
      <c r="C830" s="3" t="str">
        <f>Angela_2026_Chase1117_Activity_!G827</f>
        <v>Amazon</v>
      </c>
      <c r="D830" s="4">
        <f>Angela_2026_Chase1117_Activity_!D827</f>
        <v>-61.36</v>
      </c>
    </row>
    <row r="831" spans="1:4" x14ac:dyDescent="0.25">
      <c r="A831" s="28">
        <f>Angela_2026_Chase1117_Activity_!B828</f>
        <v>46097</v>
      </c>
      <c r="B831" s="3" t="str">
        <f>Angela_2026_Chase1117_Activity_!C828</f>
        <v>AMAZON MKTPL*BP3RE9G Amzn.com/bill WA        03/14</v>
      </c>
      <c r="C831" s="3" t="str">
        <f>Angela_2026_Chase1117_Activity_!G828</f>
        <v>Amazon</v>
      </c>
      <c r="D831" s="4">
        <f>Angela_2026_Chase1117_Activity_!D828</f>
        <v>-14.36</v>
      </c>
    </row>
    <row r="832" spans="1:4" x14ac:dyDescent="0.25">
      <c r="A832" s="28">
        <f>Angela_2026_Chase1117_Activity_!B829</f>
        <v>46097</v>
      </c>
      <c r="B832" s="3" t="str">
        <f>Angela_2026_Chase1117_Activity_!C829</f>
        <v>Online Transfer from CHK ...1168 transaction#: 28441762407</v>
      </c>
      <c r="C832" s="3" t="str">
        <f>Angela_2026_Chase1117_Activity_!G829</f>
        <v>Transfer from DWG Capital Group</v>
      </c>
      <c r="D832" s="4">
        <f>Angela_2026_Chase1117_Activity_!D829</f>
        <v>3000</v>
      </c>
    </row>
    <row r="833" spans="1:4" x14ac:dyDescent="0.25">
      <c r="A833" s="28">
        <f>Angela_2026_Chase1117_Activity_!B830</f>
        <v>46094</v>
      </c>
      <c r="B833" s="3" t="str">
        <f>Angela_2026_Chase1117_Activity_!C830</f>
        <v>GELSON'S MARKETS #10 MARINA DEL RE CA332878  03/13</v>
      </c>
      <c r="C833" s="3" t="str">
        <f>Angela_2026_Chase1117_Activity_!G830</f>
        <v>Personal - Food</v>
      </c>
      <c r="D833" s="4">
        <f>Angela_2026_Chase1117_Activity_!D830</f>
        <v>-40.49</v>
      </c>
    </row>
    <row r="834" spans="1:4" x14ac:dyDescent="0.25">
      <c r="A834" s="28">
        <f>Angela_2026_Chase1117_Activity_!B831</f>
        <v>46094</v>
      </c>
      <c r="B834" s="3" t="str">
        <f>Angela_2026_Chase1117_Activity_!C831</f>
        <v>CVS/PHARMACY #08 088 MARINA DEL RE CA003157  03/13</v>
      </c>
      <c r="C834" s="3" t="str">
        <f>Angela_2026_Chase1117_Activity_!G831</f>
        <v>Personal - Health</v>
      </c>
      <c r="D834" s="4">
        <f>Angela_2026_Chase1117_Activity_!D831</f>
        <v>-32.86</v>
      </c>
    </row>
    <row r="835" spans="1:4" x14ac:dyDescent="0.25">
      <c r="A835" s="28">
        <f>Angela_2026_Chase1117_Activity_!B832</f>
        <v>46094</v>
      </c>
      <c r="B835" s="3" t="str">
        <f>Angela_2026_Chase1117_Activity_!C832</f>
        <v>AMAZON MARK* BP7P30K AMAZON.COM/MA WA        03/13</v>
      </c>
      <c r="C835" s="3" t="str">
        <f>Angela_2026_Chase1117_Activity_!G832</f>
        <v>Amazon</v>
      </c>
      <c r="D835" s="4">
        <f>Angela_2026_Chase1117_Activity_!D832</f>
        <v>-8.77</v>
      </c>
    </row>
    <row r="836" spans="1:4" x14ac:dyDescent="0.25">
      <c r="A836" s="28">
        <f>Angela_2026_Chase1117_Activity_!B833</f>
        <v>46094</v>
      </c>
      <c r="B836" s="3" t="str">
        <f>Angela_2026_Chase1117_Activity_!C833</f>
        <v>TST*TAVERNA AT THE MAR Los Angeles CA        03/12</v>
      </c>
      <c r="C836" s="3" t="str">
        <f>Angela_2026_Chase1117_Activity_!G833</f>
        <v>Personal - Food</v>
      </c>
      <c r="D836" s="4">
        <f>Angela_2026_Chase1117_Activity_!D833</f>
        <v>-338.23</v>
      </c>
    </row>
    <row r="837" spans="1:4" x14ac:dyDescent="0.25">
      <c r="A837" s="28">
        <f>Angela_2026_Chase1117_Activity_!B834</f>
        <v>46094</v>
      </c>
      <c r="B837" s="3" t="str">
        <f>Angela_2026_Chase1117_Activity_!C834</f>
        <v>MITSUWA MRKTPLACE SM LOS ANGELES CA          03/12</v>
      </c>
      <c r="C837" s="3" t="str">
        <f>Angela_2026_Chase1117_Activity_!G834</f>
        <v>Personal - Food</v>
      </c>
      <c r="D837" s="4">
        <f>Angela_2026_Chase1117_Activity_!D834</f>
        <v>-18.48</v>
      </c>
    </row>
    <row r="838" spans="1:4" x14ac:dyDescent="0.25">
      <c r="A838" s="28">
        <f>Angela_2026_Chase1117_Activity_!B835</f>
        <v>46094</v>
      </c>
      <c r="B838" s="3" t="str">
        <f>Angela_2026_Chase1117_Activity_!C835</f>
        <v>Amazon.com*BD4UY68F2 Amzn.com/bill WA        03/12</v>
      </c>
      <c r="C838" s="3" t="str">
        <f>Angela_2026_Chase1117_Activity_!G835</f>
        <v>Amazon</v>
      </c>
      <c r="D838" s="4">
        <f>Angela_2026_Chase1117_Activity_!D835</f>
        <v>-65.38</v>
      </c>
    </row>
    <row r="839" spans="1:4" x14ac:dyDescent="0.25">
      <c r="A839" s="28">
        <f>Angela_2026_Chase1117_Activity_!B836</f>
        <v>46094</v>
      </c>
      <c r="B839" s="3" t="str">
        <f>Angela_2026_Chase1117_Activity_!C836</f>
        <v>AMAZON MARK* BP4MK5T AMAZON.COM/MA WA        03/12</v>
      </c>
      <c r="C839" s="3" t="str">
        <f>Angela_2026_Chase1117_Activity_!G836</f>
        <v>Amazon</v>
      </c>
      <c r="D839" s="4">
        <f>Angela_2026_Chase1117_Activity_!D836</f>
        <v>-87.78</v>
      </c>
    </row>
    <row r="840" spans="1:4" x14ac:dyDescent="0.25">
      <c r="A840" s="28">
        <f>Angela_2026_Chase1117_Activity_!B837</f>
        <v>46094</v>
      </c>
      <c r="B840" s="3" t="str">
        <f>Angela_2026_Chase1117_Activity_!C837</f>
        <v>AMAZON MKTPL*BD0OF6Q Amzn.com/bill WA        03/12</v>
      </c>
      <c r="C840" s="3" t="str">
        <f>Angela_2026_Chase1117_Activity_!G837</f>
        <v>Amazon</v>
      </c>
      <c r="D840" s="4">
        <f>Angela_2026_Chase1117_Activity_!D837</f>
        <v>-27.42</v>
      </c>
    </row>
    <row r="841" spans="1:4" x14ac:dyDescent="0.25">
      <c r="A841" s="28">
        <f>Angela_2026_Chase1117_Activity_!B838</f>
        <v>46094</v>
      </c>
      <c r="B841" s="3" t="str">
        <f>Angela_2026_Chase1117_Activity_!C838</f>
        <v>AMAZON MARK* BP3609T AMAZON.COM/MA WA        03/12</v>
      </c>
      <c r="C841" s="3" t="str">
        <f>Angela_2026_Chase1117_Activity_!G838</f>
        <v>Amazon</v>
      </c>
      <c r="D841" s="4">
        <f>Angela_2026_Chase1117_Activity_!D838</f>
        <v>-43.89</v>
      </c>
    </row>
    <row r="842" spans="1:4" x14ac:dyDescent="0.25">
      <c r="A842" s="28">
        <f>Angela_2026_Chase1117_Activity_!B839</f>
        <v>46094</v>
      </c>
      <c r="B842" s="3" t="str">
        <f>Angela_2026_Chase1117_Activity_!C839</f>
        <v>AMAZON MKTPL*BP63N1J Amzn.com/bill WA        03/12</v>
      </c>
      <c r="C842" s="3" t="str">
        <f>Angela_2026_Chase1117_Activity_!G839</f>
        <v>Amazon</v>
      </c>
      <c r="D842" s="4">
        <f>Angela_2026_Chase1117_Activity_!D839</f>
        <v>-89.96</v>
      </c>
    </row>
    <row r="843" spans="1:4" x14ac:dyDescent="0.25">
      <c r="A843" s="28">
        <f>Angela_2026_Chase1117_Activity_!B840</f>
        <v>46093</v>
      </c>
      <c r="B843" s="3" t="str">
        <f>Angela_2026_Chase1117_Activity_!C840</f>
        <v>TST*BEETHOVEN Los Angeles CA                 03/11</v>
      </c>
      <c r="C843" s="3" t="str">
        <f>Angela_2026_Chase1117_Activity_!G840</f>
        <v>Personal - Food</v>
      </c>
      <c r="D843" s="4">
        <f>Angela_2026_Chase1117_Activity_!D840</f>
        <v>-172.51</v>
      </c>
    </row>
    <row r="844" spans="1:4" x14ac:dyDescent="0.25">
      <c r="A844" s="28">
        <f>Angela_2026_Chase1117_Activity_!B841</f>
        <v>46093</v>
      </c>
      <c r="B844" s="3" t="str">
        <f>Angela_2026_Chase1117_Activity_!C841</f>
        <v>COMPLETE EYE CARE CENT LOS ANGELES CA        03/11</v>
      </c>
      <c r="C844" s="3" t="str">
        <f>Angela_2026_Chase1117_Activity_!G841</f>
        <v>Personal - Health</v>
      </c>
      <c r="D844" s="4">
        <f>Angela_2026_Chase1117_Activity_!D841</f>
        <v>-900</v>
      </c>
    </row>
    <row r="845" spans="1:4" x14ac:dyDescent="0.25">
      <c r="A845" s="28">
        <f>Angela_2026_Chase1117_Activity_!B842</f>
        <v>46093</v>
      </c>
      <c r="B845" s="3" t="str">
        <f>Angela_2026_Chase1117_Activity_!C842</f>
        <v>HANDY J CAR WASH LOS ANGELES CA              03/11</v>
      </c>
      <c r="C845" s="3" t="str">
        <f>Angela_2026_Chase1117_Activity_!G842</f>
        <v>Personal - Car</v>
      </c>
      <c r="D845" s="4">
        <f>Angela_2026_Chase1117_Activity_!D842</f>
        <v>-48.49</v>
      </c>
    </row>
    <row r="846" spans="1:4" x14ac:dyDescent="0.25">
      <c r="A846" s="28">
        <f>Angela_2026_Chase1117_Activity_!B843</f>
        <v>46093</v>
      </c>
      <c r="B846" s="3" t="str">
        <f>Angela_2026_Chase1117_Activity_!C843</f>
        <v>AMAZON MARK* BP6S934 AMAZON.COM/MA WA        03/11</v>
      </c>
      <c r="C846" s="3" t="str">
        <f>Angela_2026_Chase1117_Activity_!G843</f>
        <v>Amazon</v>
      </c>
      <c r="D846" s="4">
        <f>Angela_2026_Chase1117_Activity_!D843</f>
        <v>-13.54</v>
      </c>
    </row>
    <row r="847" spans="1:4" x14ac:dyDescent="0.25">
      <c r="A847" s="28">
        <f>Angela_2026_Chase1117_Activity_!B844</f>
        <v>46093</v>
      </c>
      <c r="B847" s="3" t="str">
        <f>Angela_2026_Chase1117_Activity_!C844</f>
        <v>ATM CHECK DEPOSIT 03/12 12335 VENICE BLVD LOS ANGELES CA</v>
      </c>
      <c r="C847" s="3" t="str">
        <f>Angela_2026_Chase1117_Activity_!G844</f>
        <v>Deposit</v>
      </c>
      <c r="D847" s="4">
        <f>Angela_2026_Chase1117_Activity_!D844</f>
        <v>57.33</v>
      </c>
    </row>
    <row r="848" spans="1:4" x14ac:dyDescent="0.25">
      <c r="A848" s="28">
        <f>Angela_2026_Chase1117_Activity_!B845</f>
        <v>46092</v>
      </c>
      <c r="B848" s="3" t="str">
        <f>Angela_2026_Chase1117_Activity_!C845</f>
        <v>ATM WITHDRAWAL                       009708  03/1112335 VEN</v>
      </c>
      <c r="C848" s="3" t="str">
        <f>Angela_2026_Chase1117_Activity_!G845</f>
        <v>Withdrawal</v>
      </c>
      <c r="D848" s="4">
        <f>Angela_2026_Chase1117_Activity_!D845</f>
        <v>-500</v>
      </c>
    </row>
    <row r="849" spans="1:4" x14ac:dyDescent="0.25">
      <c r="A849" s="28">
        <f>Angela_2026_Chase1117_Activity_!B846</f>
        <v>46092</v>
      </c>
      <c r="B849" s="3" t="str">
        <f>Angela_2026_Chase1117_Activity_!C846</f>
        <v>UBER   * EATS PENDIN SAN FRANCISCO CA014684  03/11</v>
      </c>
      <c r="C849" s="3" t="str">
        <f>Angela_2026_Chase1117_Activity_!G846</f>
        <v>Uber Eats</v>
      </c>
      <c r="D849" s="4">
        <f>Angela_2026_Chase1117_Activity_!D846</f>
        <v>-13.98</v>
      </c>
    </row>
    <row r="850" spans="1:4" x14ac:dyDescent="0.25">
      <c r="A850" s="28">
        <f>Angela_2026_Chase1117_Activity_!B847</f>
        <v>46092</v>
      </c>
      <c r="B850" s="3" t="str">
        <f>Angela_2026_Chase1117_Activity_!C847</f>
        <v>AMAZON MARK* BD5GX40 AMAZON.COM/MA WA        03/11</v>
      </c>
      <c r="C850" s="3" t="str">
        <f>Angela_2026_Chase1117_Activity_!G847</f>
        <v>Amazon</v>
      </c>
      <c r="D850" s="4">
        <f>Angela_2026_Chase1117_Activity_!D847</f>
        <v>-20.41</v>
      </c>
    </row>
    <row r="851" spans="1:4" x14ac:dyDescent="0.25">
      <c r="A851" s="28">
        <f>Angela_2026_Chase1117_Activity_!B848</f>
        <v>46092</v>
      </c>
      <c r="B851" s="3" t="str">
        <f>Angela_2026_Chase1117_Activity_!C848</f>
        <v>FEDEX OFFICE 1015 CI MARINA DEL RE CA        03/10</v>
      </c>
      <c r="C851" s="3" t="str">
        <f>Angela_2026_Chase1117_Activity_!G848</f>
        <v>Shipping</v>
      </c>
      <c r="D851" s="4">
        <f>Angela_2026_Chase1117_Activity_!D848</f>
        <v>-67.58</v>
      </c>
    </row>
    <row r="852" spans="1:4" x14ac:dyDescent="0.25">
      <c r="A852" s="28">
        <f>Angela_2026_Chase1117_Activity_!B849</f>
        <v>46092</v>
      </c>
      <c r="B852" s="3" t="str">
        <f>Angela_2026_Chase1117_Activity_!C849</f>
        <v>AMAZON MARK* BD86R2A AMAZON.COM/MA WA        03/11</v>
      </c>
      <c r="C852" s="3" t="str">
        <f>Angela_2026_Chase1117_Activity_!G849</f>
        <v>Amazon</v>
      </c>
      <c r="D852" s="4">
        <f>Angela_2026_Chase1117_Activity_!D849</f>
        <v>-25.22</v>
      </c>
    </row>
    <row r="853" spans="1:4" x14ac:dyDescent="0.25">
      <c r="A853" s="28">
        <f>Angela_2026_Chase1117_Activity_!B850</f>
        <v>46092</v>
      </c>
      <c r="B853" s="3" t="str">
        <f>Angela_2026_Chase1117_Activity_!C850</f>
        <v>Amazon Tips*BD4YA3J4 Amzn.com/bill WA        03/10</v>
      </c>
      <c r="C853" s="3" t="str">
        <f>Angela_2026_Chase1117_Activity_!G850</f>
        <v>Amazon</v>
      </c>
      <c r="D853" s="4">
        <f>Angela_2026_Chase1117_Activity_!D850</f>
        <v>-20</v>
      </c>
    </row>
    <row r="854" spans="1:4" x14ac:dyDescent="0.25">
      <c r="A854" s="28">
        <f>Angela_2026_Chase1117_Activity_!B851</f>
        <v>46091</v>
      </c>
      <c r="B854" s="3" t="str">
        <f>Angela_2026_Chase1117_Activity_!C851</f>
        <v>68160 4962 SPEEDWAY MARINA DEL RE CA 230000  03/10</v>
      </c>
      <c r="C854" s="3" t="str">
        <f>Angela_2026_Chase1117_Activity_!G851</f>
        <v>Personal - Car</v>
      </c>
      <c r="D854" s="4">
        <f>Angela_2026_Chase1117_Activity_!D851</f>
        <v>-73.52</v>
      </c>
    </row>
    <row r="855" spans="1:4" x14ac:dyDescent="0.25">
      <c r="A855" s="28">
        <f>Angela_2026_Chase1117_Activity_!B852</f>
        <v>46091</v>
      </c>
      <c r="B855" s="3" t="str">
        <f>Angela_2026_Chase1117_Activity_!C852</f>
        <v>Zimmermann USA, Inc. New York NY             03/10</v>
      </c>
      <c r="C855" s="3" t="str">
        <f>Angela_2026_Chase1117_Activity_!G852</f>
        <v>Personal - Clothing</v>
      </c>
      <c r="D855" s="4">
        <f>Angela_2026_Chase1117_Activity_!D852</f>
        <v>-404.13</v>
      </c>
    </row>
    <row r="856" spans="1:4" x14ac:dyDescent="0.25">
      <c r="A856" s="28">
        <f>Angela_2026_Chase1117_Activity_!B853</f>
        <v>46091</v>
      </c>
      <c r="B856" s="3" t="str">
        <f>Angela_2026_Chase1117_Activity_!C853</f>
        <v>Etsy.com*Multiple Shop ETSY.COM NY           03/10</v>
      </c>
      <c r="C856" s="3" t="str">
        <f>Angela_2026_Chase1117_Activity_!G853</f>
        <v>Etsy</v>
      </c>
      <c r="D856" s="4">
        <f>Angela_2026_Chase1117_Activity_!D853</f>
        <v>-286.48</v>
      </c>
    </row>
    <row r="857" spans="1:4" x14ac:dyDescent="0.25">
      <c r="A857" s="28">
        <f>Angela_2026_Chase1117_Activity_!B854</f>
        <v>46091</v>
      </c>
      <c r="B857" s="3" t="str">
        <f>Angela_2026_Chase1117_Activity_!C854</f>
        <v>APPLE.COM/BILL 866-712-7753 CA               03/10</v>
      </c>
      <c r="C857" s="3" t="str">
        <f>Angela_2026_Chase1117_Activity_!G854</f>
        <v>Apple</v>
      </c>
      <c r="D857" s="4">
        <f>Angela_2026_Chase1117_Activity_!D854</f>
        <v>-12.99</v>
      </c>
    </row>
    <row r="858" spans="1:4" x14ac:dyDescent="0.25">
      <c r="A858" s="28">
        <f>Angela_2026_Chase1117_Activity_!B855</f>
        <v>46091</v>
      </c>
      <c r="B858" s="3" t="str">
        <f>Angela_2026_Chase1117_Activity_!C855</f>
        <v>PAVILIONS #2105 MARINA DEL RE CA             03/09</v>
      </c>
      <c r="C858" s="3" t="str">
        <f>Angela_2026_Chase1117_Activity_!G855</f>
        <v>Personal - Food</v>
      </c>
      <c r="D858" s="4">
        <f>Angela_2026_Chase1117_Activity_!D855</f>
        <v>-153.47</v>
      </c>
    </row>
    <row r="859" spans="1:4" x14ac:dyDescent="0.25">
      <c r="A859" s="28">
        <f>Angela_2026_Chase1117_Activity_!B856</f>
        <v>46091</v>
      </c>
      <c r="B859" s="3" t="str">
        <f>Angela_2026_Chase1117_Activity_!C856</f>
        <v>GRANDVIEW CLEANERS LOS ANGELES CA            03/09</v>
      </c>
      <c r="C859" s="3" t="str">
        <f>Angela_2026_Chase1117_Activity_!G856</f>
        <v>Personal - Clothing</v>
      </c>
      <c r="D859" s="4">
        <f>Angela_2026_Chase1117_Activity_!D856</f>
        <v>-90</v>
      </c>
    </row>
    <row r="860" spans="1:4" x14ac:dyDescent="0.25">
      <c r="A860" s="28">
        <f>Angela_2026_Chase1117_Activity_!B857</f>
        <v>46091</v>
      </c>
      <c r="B860" s="3" t="str">
        <f>Angela_2026_Chase1117_Activity_!C857</f>
        <v>AMAZON MARK* BE1SH87 AMAZON.COM/MA WA        03/09</v>
      </c>
      <c r="C860" s="3" t="str">
        <f>Angela_2026_Chase1117_Activity_!G857</f>
        <v>Amazon</v>
      </c>
      <c r="D860" s="4">
        <f>Angela_2026_Chase1117_Activity_!D857</f>
        <v>-169.39</v>
      </c>
    </row>
    <row r="861" spans="1:4" x14ac:dyDescent="0.25">
      <c r="A861" s="28">
        <f>Angela_2026_Chase1117_Activity_!B858</f>
        <v>46091</v>
      </c>
      <c r="B861" s="3" t="str">
        <f>Angela_2026_Chase1117_Activity_!C858</f>
        <v>AMAZON RETA* BP1DI7A WWW.AMAZON.CO WA        03/09</v>
      </c>
      <c r="C861" s="3" t="str">
        <f>Angela_2026_Chase1117_Activity_!G858</f>
        <v>Amazon</v>
      </c>
      <c r="D861" s="4">
        <f>Angela_2026_Chase1117_Activity_!D858</f>
        <v>-17.55</v>
      </c>
    </row>
    <row r="862" spans="1:4" x14ac:dyDescent="0.25">
      <c r="A862" s="28">
        <f>Angela_2026_Chase1117_Activity_!B859</f>
        <v>46091</v>
      </c>
      <c r="B862" s="3" t="str">
        <f>Angela_2026_Chase1117_Activity_!C859</f>
        <v>AMAZON MARK* BD1UN8N AMAZON.COM/MA WA        03/10</v>
      </c>
      <c r="C862" s="3" t="str">
        <f>Angela_2026_Chase1117_Activity_!G859</f>
        <v>Amazon</v>
      </c>
      <c r="D862" s="4">
        <f>Angela_2026_Chase1117_Activity_!D859</f>
        <v>-21.9</v>
      </c>
    </row>
    <row r="863" spans="1:4" x14ac:dyDescent="0.25">
      <c r="A863" s="28">
        <f>Angela_2026_Chase1117_Activity_!B860</f>
        <v>46091</v>
      </c>
      <c r="B863" s="3" t="str">
        <f>Angela_2026_Chase1117_Activity_!C860</f>
        <v>AMAZON MKTPL*BE5DH5K Amzn.com/bill WA        03/09</v>
      </c>
      <c r="C863" s="3" t="str">
        <f>Angela_2026_Chase1117_Activity_!G860</f>
        <v>Amazon</v>
      </c>
      <c r="D863" s="4">
        <f>Angela_2026_Chase1117_Activity_!D860</f>
        <v>-41.11</v>
      </c>
    </row>
    <row r="864" spans="1:4" x14ac:dyDescent="0.25">
      <c r="A864" s="28">
        <f>Angela_2026_Chase1117_Activity_!B861</f>
        <v>46091</v>
      </c>
      <c r="B864" s="3" t="str">
        <f>Angela_2026_Chase1117_Activity_!C861</f>
        <v>AMAZON MKTPL*BD2EY84 Amzn.com/bill WA        03/09</v>
      </c>
      <c r="C864" s="3" t="str">
        <f>Angela_2026_Chase1117_Activity_!G861</f>
        <v>Amazon</v>
      </c>
      <c r="D864" s="4">
        <f>Angela_2026_Chase1117_Activity_!D861</f>
        <v>-54.86</v>
      </c>
    </row>
    <row r="865" spans="1:4" x14ac:dyDescent="0.25">
      <c r="A865" s="28">
        <f>Angela_2026_Chase1117_Activity_!B862</f>
        <v>46091</v>
      </c>
      <c r="B865" s="3" t="str">
        <f>Angela_2026_Chase1117_Activity_!C862</f>
        <v>Amazon.com*BP2WR8JC1 Amzn.com/bill WA        03/09</v>
      </c>
      <c r="C865" s="3" t="str">
        <f>Angela_2026_Chase1117_Activity_!G862</f>
        <v>Amazon</v>
      </c>
      <c r="D865" s="4">
        <f>Angela_2026_Chase1117_Activity_!D862</f>
        <v>-432.43</v>
      </c>
    </row>
    <row r="866" spans="1:4" x14ac:dyDescent="0.25">
      <c r="A866" s="28">
        <f>Angela_2026_Chase1117_Activity_!B863</f>
        <v>46091</v>
      </c>
      <c r="B866" s="3" t="str">
        <f>Angela_2026_Chase1117_Activity_!C863</f>
        <v>Zara.com 212-3551415 NY                      03/09</v>
      </c>
      <c r="C866" s="3" t="str">
        <f>Angela_2026_Chase1117_Activity_!G863</f>
        <v>Personal - Shopping</v>
      </c>
      <c r="D866" s="4">
        <f>Angela_2026_Chase1117_Activity_!D863</f>
        <v>-60.17</v>
      </c>
    </row>
    <row r="867" spans="1:4" x14ac:dyDescent="0.25">
      <c r="A867" s="28">
        <f>Angela_2026_Chase1117_Activity_!B864</f>
        <v>46091</v>
      </c>
      <c r="B867" s="3" t="str">
        <f>Angela_2026_Chase1117_Activity_!C864</f>
        <v>Zara.com 212-3551415 NY                      03/09</v>
      </c>
      <c r="C867" s="3" t="str">
        <f>Angela_2026_Chase1117_Activity_!G864</f>
        <v>Personal - Shopping</v>
      </c>
      <c r="D867" s="4">
        <f>Angela_2026_Chase1117_Activity_!D864</f>
        <v>-630.25</v>
      </c>
    </row>
    <row r="868" spans="1:4" x14ac:dyDescent="0.25">
      <c r="A868" s="28">
        <f>Angela_2026_Chase1117_Activity_!B865</f>
        <v>46091</v>
      </c>
      <c r="B868" s="3" t="str">
        <f>Angela_2026_Chase1117_Activity_!C865</f>
        <v>Zelle payment from TANYA MILLER HNA0225PMZCA</v>
      </c>
      <c r="C868" s="3" t="str">
        <f>Angela_2026_Chase1117_Activity_!G865</f>
        <v>Zelle from Tanya Miller</v>
      </c>
      <c r="D868" s="4">
        <f>Angela_2026_Chase1117_Activity_!D865</f>
        <v>100</v>
      </c>
    </row>
    <row r="869" spans="1:4" x14ac:dyDescent="0.25">
      <c r="A869" s="28">
        <f>Angela_2026_Chase1117_Activity_!B866</f>
        <v>46090</v>
      </c>
      <c r="B869" s="3" t="str">
        <f>Angela_2026_Chase1117_Activity_!C866</f>
        <v>ATM WITHDRAWAL                       009490  03/0912335 VEN</v>
      </c>
      <c r="C869" s="3" t="str">
        <f>Angela_2026_Chase1117_Activity_!G866</f>
        <v>Withdrawal</v>
      </c>
      <c r="D869" s="4">
        <f>Angela_2026_Chase1117_Activity_!D866</f>
        <v>-500</v>
      </c>
    </row>
    <row r="870" spans="1:4" x14ac:dyDescent="0.25">
      <c r="A870" s="28">
        <f>Angela_2026_Chase1117_Activity_!B867</f>
        <v>46090</v>
      </c>
      <c r="B870" s="3" t="str">
        <f>Angela_2026_Chase1117_Activity_!C867</f>
        <v>AMAZON MKTPL*BE32A7S Amzn.com/bill WA        03/09</v>
      </c>
      <c r="C870" s="3" t="str">
        <f>Angela_2026_Chase1117_Activity_!G867</f>
        <v>Amazon</v>
      </c>
      <c r="D870" s="4">
        <f>Angela_2026_Chase1117_Activity_!D867</f>
        <v>-164.61</v>
      </c>
    </row>
    <row r="871" spans="1:4" x14ac:dyDescent="0.25">
      <c r="A871" s="28">
        <f>Angela_2026_Chase1117_Activity_!B868</f>
        <v>46090</v>
      </c>
      <c r="B871" s="3" t="str">
        <f>Angela_2026_Chase1117_Activity_!C868</f>
        <v>AMAZON MKTPL*BD9EO8O Amzn.com/bill WA        03/09</v>
      </c>
      <c r="C871" s="3" t="str">
        <f>Angela_2026_Chase1117_Activity_!G868</f>
        <v>Amazon</v>
      </c>
      <c r="D871" s="4">
        <f>Angela_2026_Chase1117_Activity_!D868</f>
        <v>-59.9</v>
      </c>
    </row>
    <row r="872" spans="1:4" x14ac:dyDescent="0.25">
      <c r="A872" s="28">
        <f>Angela_2026_Chase1117_Activity_!B869</f>
        <v>46090</v>
      </c>
      <c r="B872" s="3" t="str">
        <f>Angela_2026_Chase1117_Activity_!C869</f>
        <v>SP BODYBIO INC. BODYBIO.COM NJ               03/09</v>
      </c>
      <c r="C872" s="3" t="str">
        <f>Angela_2026_Chase1117_Activity_!G869</f>
        <v>Personal - Health</v>
      </c>
      <c r="D872" s="4">
        <f>Angela_2026_Chase1117_Activity_!D869</f>
        <v>-133.87</v>
      </c>
    </row>
    <row r="873" spans="1:4" x14ac:dyDescent="0.25">
      <c r="A873" s="28">
        <f>Angela_2026_Chase1117_Activity_!B870</f>
        <v>46090</v>
      </c>
      <c r="B873" s="3" t="str">
        <f>Angela_2026_Chase1117_Activity_!C870</f>
        <v>EXPEDIA 73391838439415 EXPEDIA.COM WA        03/09</v>
      </c>
      <c r="C873" s="3" t="str">
        <f>Angela_2026_Chase1117_Activity_!G870</f>
        <v>Personal Travel</v>
      </c>
      <c r="D873" s="4">
        <f>Angela_2026_Chase1117_Activity_!D870</f>
        <v>-481.84</v>
      </c>
    </row>
    <row r="874" spans="1:4" x14ac:dyDescent="0.25">
      <c r="A874" s="28">
        <f>Angela_2026_Chase1117_Activity_!B871</f>
        <v>46090</v>
      </c>
      <c r="B874" s="3" t="str">
        <f>Angela_2026_Chase1117_Activity_!C871</f>
        <v>APPLE.COM/BILL 866-712-7753 CA               03/09</v>
      </c>
      <c r="C874" s="3" t="str">
        <f>Angela_2026_Chase1117_Activity_!G871</f>
        <v>Apple</v>
      </c>
      <c r="D874" s="4">
        <f>Angela_2026_Chase1117_Activity_!D871</f>
        <v>-6.99</v>
      </c>
    </row>
    <row r="875" spans="1:4" x14ac:dyDescent="0.25">
      <c r="A875" s="28">
        <f>Angela_2026_Chase1117_Activity_!B872</f>
        <v>46090</v>
      </c>
      <c r="B875" s="3" t="str">
        <f>Angela_2026_Chase1117_Activity_!C872</f>
        <v>AMAZON MARK* BP81P2N AMAZON.COM/MA WA        03/09</v>
      </c>
      <c r="C875" s="3" t="str">
        <f>Angela_2026_Chase1117_Activity_!G872</f>
        <v>Amazon</v>
      </c>
      <c r="D875" s="4">
        <f>Angela_2026_Chase1117_Activity_!D872</f>
        <v>-59.17</v>
      </c>
    </row>
    <row r="876" spans="1:4" x14ac:dyDescent="0.25">
      <c r="A876" s="28">
        <f>Angela_2026_Chase1117_Activity_!B873</f>
        <v>46090</v>
      </c>
      <c r="B876" s="3" t="str">
        <f>Angela_2026_Chase1117_Activity_!C873</f>
        <v>AMAZON MARK* BP8IU7Y AMAZON.COM/MA WA        03/09</v>
      </c>
      <c r="C876" s="3" t="str">
        <f>Angela_2026_Chase1117_Activity_!G873</f>
        <v>Amazon</v>
      </c>
      <c r="D876" s="4">
        <f>Angela_2026_Chase1117_Activity_!D873</f>
        <v>-41.71</v>
      </c>
    </row>
    <row r="877" spans="1:4" x14ac:dyDescent="0.25">
      <c r="A877" s="28">
        <f>Angela_2026_Chase1117_Activity_!B874</f>
        <v>46090</v>
      </c>
      <c r="B877" s="3" t="str">
        <f>Angela_2026_Chase1117_Activity_!C874</f>
        <v>AMAZON RETA* BE9I73D WWW.AMAZON.CO WA        03/09</v>
      </c>
      <c r="C877" s="3" t="str">
        <f>Angela_2026_Chase1117_Activity_!G874</f>
        <v>Amazon</v>
      </c>
      <c r="D877" s="4">
        <f>Angela_2026_Chase1117_Activity_!D874</f>
        <v>-27.43</v>
      </c>
    </row>
    <row r="878" spans="1:4" x14ac:dyDescent="0.25">
      <c r="A878" s="28">
        <f>Angela_2026_Chase1117_Activity_!B875</f>
        <v>46090</v>
      </c>
      <c r="B878" s="3" t="str">
        <f>Angela_2026_Chase1117_Activity_!C875</f>
        <v>AMAZON MARK* BP2AW6F AMAZON.COM/MA WA        03/08</v>
      </c>
      <c r="C878" s="3" t="str">
        <f>Angela_2026_Chase1117_Activity_!G875</f>
        <v>Amazon</v>
      </c>
      <c r="D878" s="4">
        <f>Angela_2026_Chase1117_Activity_!D875</f>
        <v>-30.68</v>
      </c>
    </row>
    <row r="879" spans="1:4" x14ac:dyDescent="0.25">
      <c r="A879" s="28">
        <f>Angela_2026_Chase1117_Activity_!B876</f>
        <v>46090</v>
      </c>
      <c r="B879" s="3" t="str">
        <f>Angela_2026_Chase1117_Activity_!C876</f>
        <v>UNITED      01643768665 UNITED.COM TX        03/08</v>
      </c>
      <c r="C879" s="3" t="str">
        <f>Angela_2026_Chase1117_Activity_!G876</f>
        <v>Personal Travel</v>
      </c>
      <c r="D879" s="4">
        <f>Angela_2026_Chase1117_Activity_!D876</f>
        <v>-35.46</v>
      </c>
    </row>
    <row r="880" spans="1:4" x14ac:dyDescent="0.25">
      <c r="A880" s="28">
        <f>Angela_2026_Chase1117_Activity_!B877</f>
        <v>46090</v>
      </c>
      <c r="B880" s="3" t="str">
        <f>Angela_2026_Chase1117_Activity_!C877</f>
        <v>UNITED      01643768665 UNITED.COM TX        03/08</v>
      </c>
      <c r="C880" s="3" t="str">
        <f>Angela_2026_Chase1117_Activity_!G877</f>
        <v>Personal Travel</v>
      </c>
      <c r="D880" s="4">
        <f>Angela_2026_Chase1117_Activity_!D877</f>
        <v>-35.46</v>
      </c>
    </row>
    <row r="881" spans="1:4" x14ac:dyDescent="0.25">
      <c r="A881" s="28">
        <f>Angela_2026_Chase1117_Activity_!B878</f>
        <v>46090</v>
      </c>
      <c r="B881" s="3" t="str">
        <f>Angela_2026_Chase1117_Activity_!C878</f>
        <v>UNITED      01643768665 UNITED.COM TX        03/08</v>
      </c>
      <c r="C881" s="3" t="str">
        <f>Angela_2026_Chase1117_Activity_!G878</f>
        <v>Personal Travel</v>
      </c>
      <c r="D881" s="4">
        <f>Angela_2026_Chase1117_Activity_!D878</f>
        <v>-55.89</v>
      </c>
    </row>
    <row r="882" spans="1:4" x14ac:dyDescent="0.25">
      <c r="A882" s="28">
        <f>Angela_2026_Chase1117_Activity_!B879</f>
        <v>46090</v>
      </c>
      <c r="B882" s="3" t="str">
        <f>Angela_2026_Chase1117_Activity_!C879</f>
        <v>UNITED      01643768665 UNITED.COM TX        03/08</v>
      </c>
      <c r="C882" s="3" t="str">
        <f>Angela_2026_Chase1117_Activity_!G879</f>
        <v>Personal Travel</v>
      </c>
      <c r="D882" s="4">
        <f>Angela_2026_Chase1117_Activity_!D879</f>
        <v>-55.89</v>
      </c>
    </row>
    <row r="883" spans="1:4" x14ac:dyDescent="0.25">
      <c r="A883" s="28">
        <f>Angela_2026_Chase1117_Activity_!B880</f>
        <v>46090</v>
      </c>
      <c r="B883" s="3" t="str">
        <f>Angela_2026_Chase1117_Activity_!C880</f>
        <v>UNITED      016238213 800-864-8331 TX        03/07</v>
      </c>
      <c r="C883" s="3" t="str">
        <f>Angela_2026_Chase1117_Activity_!G880</f>
        <v>Personal Travel</v>
      </c>
      <c r="D883" s="4">
        <f>Angela_2026_Chase1117_Activity_!D880</f>
        <v>-366.8</v>
      </c>
    </row>
    <row r="884" spans="1:4" x14ac:dyDescent="0.25">
      <c r="A884" s="28">
        <f>Angela_2026_Chase1117_Activity_!B881</f>
        <v>46090</v>
      </c>
      <c r="B884" s="3" t="str">
        <f>Angela_2026_Chase1117_Activity_!C881</f>
        <v>UNITED      016238213 800-864-8331 TX        03/07</v>
      </c>
      <c r="C884" s="3" t="str">
        <f>Angela_2026_Chase1117_Activity_!G881</f>
        <v>Personal Travel</v>
      </c>
      <c r="D884" s="4">
        <f>Angela_2026_Chase1117_Activity_!D881</f>
        <v>-366.8</v>
      </c>
    </row>
    <row r="885" spans="1:4" x14ac:dyDescent="0.25">
      <c r="A885" s="28">
        <f>Angela_2026_Chase1117_Activity_!B882</f>
        <v>46090</v>
      </c>
      <c r="B885" s="3" t="str">
        <f>Angela_2026_Chase1117_Activity_!C882</f>
        <v>AMAZON MARK* BE5Q37B AMAZON.COM/MA WA        03/08</v>
      </c>
      <c r="C885" s="3" t="str">
        <f>Angela_2026_Chase1117_Activity_!G882</f>
        <v>Amazon</v>
      </c>
      <c r="D885" s="4">
        <f>Angela_2026_Chase1117_Activity_!D882</f>
        <v>-25.18</v>
      </c>
    </row>
    <row r="886" spans="1:4" x14ac:dyDescent="0.25">
      <c r="A886" s="28">
        <f>Angela_2026_Chase1117_Activity_!B883</f>
        <v>46090</v>
      </c>
      <c r="B886" s="3" t="str">
        <f>Angela_2026_Chase1117_Activity_!C883</f>
        <v>UBER   * EATS PENDIN SAN FRANCISCO CA012844  03/07</v>
      </c>
      <c r="C886" s="3" t="str">
        <f>Angela_2026_Chase1117_Activity_!G883</f>
        <v>Uber Eats</v>
      </c>
      <c r="D886" s="4">
        <f>Angela_2026_Chase1117_Activity_!D883</f>
        <v>-14.32</v>
      </c>
    </row>
    <row r="887" spans="1:4" x14ac:dyDescent="0.25">
      <c r="A887" s="28">
        <f>Angela_2026_Chase1117_Activity_!B884</f>
        <v>46090</v>
      </c>
      <c r="B887" s="3" t="str">
        <f>Angela_2026_Chase1117_Activity_!C884</f>
        <v>AMAZON MKTPL*BE5E88V Amzn.com/bill WA        03/07</v>
      </c>
      <c r="C887" s="3" t="str">
        <f>Angela_2026_Chase1117_Activity_!G884</f>
        <v>Amazon</v>
      </c>
      <c r="D887" s="4">
        <f>Angela_2026_Chase1117_Activity_!D884</f>
        <v>-33.950000000000003</v>
      </c>
    </row>
    <row r="888" spans="1:4" x14ac:dyDescent="0.25">
      <c r="A888" s="28">
        <f>Angela_2026_Chase1117_Activity_!B885</f>
        <v>46090</v>
      </c>
      <c r="B888" s="3" t="str">
        <f>Angela_2026_Chase1117_Activity_!C885</f>
        <v>Prime Video Channels amzn.com/bill WA        03/07</v>
      </c>
      <c r="C888" s="3" t="str">
        <f>Angela_2026_Chase1117_Activity_!G885</f>
        <v>Amazon</v>
      </c>
      <c r="D888" s="4">
        <f>Angela_2026_Chase1117_Activity_!D885</f>
        <v>-13.99</v>
      </c>
    </row>
    <row r="889" spans="1:4" x14ac:dyDescent="0.25">
      <c r="A889" s="28">
        <f>Angela_2026_Chase1117_Activity_!B886</f>
        <v>46090</v>
      </c>
      <c r="B889" s="3" t="str">
        <f>Angela_2026_Chase1117_Activity_!C886</f>
        <v>AMAZON MKTPL*BE9TD0S Amzn.com/bill WA        03/09</v>
      </c>
      <c r="C889" s="3" t="str">
        <f>Angela_2026_Chase1117_Activity_!G886</f>
        <v>Amazon</v>
      </c>
      <c r="D889" s="4">
        <f>Angela_2026_Chase1117_Activity_!D886</f>
        <v>-119.45</v>
      </c>
    </row>
    <row r="890" spans="1:4" x14ac:dyDescent="0.25">
      <c r="A890" s="28">
        <f>Angela_2026_Chase1117_Activity_!B887</f>
        <v>46090</v>
      </c>
      <c r="B890" s="3" t="str">
        <f>Angela_2026_Chase1117_Activity_!C887</f>
        <v>AMAZON MARK* BP3ZD1U AMAZON.COM/MA WA        03/08</v>
      </c>
      <c r="C890" s="3" t="str">
        <f>Angela_2026_Chase1117_Activity_!G887</f>
        <v>Amazon</v>
      </c>
      <c r="D890" s="4">
        <f>Angela_2026_Chase1117_Activity_!D887</f>
        <v>-76.290000000000006</v>
      </c>
    </row>
    <row r="891" spans="1:4" x14ac:dyDescent="0.25">
      <c r="A891" s="28">
        <f>Angela_2026_Chase1117_Activity_!B888</f>
        <v>46090</v>
      </c>
      <c r="B891" s="3" t="str">
        <f>Angela_2026_Chase1117_Activity_!C888</f>
        <v>AMAZON MARK* BE7853G AMAZON.COM/MA WA        03/07</v>
      </c>
      <c r="C891" s="3" t="str">
        <f>Angela_2026_Chase1117_Activity_!G888</f>
        <v>Amazon</v>
      </c>
      <c r="D891" s="4">
        <f>Angela_2026_Chase1117_Activity_!D888</f>
        <v>-19.7</v>
      </c>
    </row>
    <row r="892" spans="1:4" x14ac:dyDescent="0.25">
      <c r="A892" s="28">
        <f>Angela_2026_Chase1117_Activity_!B889</f>
        <v>46090</v>
      </c>
      <c r="B892" s="3" t="str">
        <f>Angela_2026_Chase1117_Activity_!C889</f>
        <v>MANGO.COM NEW YORK NY                089484  03/06</v>
      </c>
      <c r="C892" s="3" t="str">
        <f>Angela_2026_Chase1117_Activity_!G889</f>
        <v>Personal - Shopping</v>
      </c>
      <c r="D892" s="4">
        <f>Angela_2026_Chase1117_Activity_!D889</f>
        <v>-351.17</v>
      </c>
    </row>
    <row r="893" spans="1:4" x14ac:dyDescent="0.25">
      <c r="A893" s="28">
        <f>Angela_2026_Chase1117_Activity_!B890</f>
        <v>46090</v>
      </c>
      <c r="B893" s="3" t="str">
        <f>Angela_2026_Chase1117_Activity_!C890</f>
        <v>AMAZON MKTPL*BP8I386 Amzn.com/bill WA        03/07</v>
      </c>
      <c r="C893" s="3" t="str">
        <f>Angela_2026_Chase1117_Activity_!G890</f>
        <v>Amazon</v>
      </c>
      <c r="D893" s="4">
        <f>Angela_2026_Chase1117_Activity_!D890</f>
        <v>-32.909999999999997</v>
      </c>
    </row>
    <row r="894" spans="1:4" x14ac:dyDescent="0.25">
      <c r="A894" s="28">
        <f>Angela_2026_Chase1117_Activity_!B891</f>
        <v>46090</v>
      </c>
      <c r="B894" s="3" t="str">
        <f>Angela_2026_Chase1117_Activity_!C891</f>
        <v>AMAZON MKTPL*BE3OK89 Amzn.com/bill WA        03/07</v>
      </c>
      <c r="C894" s="3" t="str">
        <f>Angela_2026_Chase1117_Activity_!G891</f>
        <v>Amazon</v>
      </c>
      <c r="D894" s="4">
        <f>Angela_2026_Chase1117_Activity_!D891</f>
        <v>-44.98</v>
      </c>
    </row>
    <row r="895" spans="1:4" x14ac:dyDescent="0.25">
      <c r="A895" s="28">
        <f>Angela_2026_Chase1117_Activity_!B892</f>
        <v>46090</v>
      </c>
      <c r="B895" s="3" t="str">
        <f>Angela_2026_Chase1117_Activity_!C892</f>
        <v>AMAZON MARK* BP1IO36 AMAZON.COM/MA WA        03/07</v>
      </c>
      <c r="C895" s="3" t="str">
        <f>Angela_2026_Chase1117_Activity_!G892</f>
        <v>Amazon</v>
      </c>
      <c r="D895" s="4">
        <f>Angela_2026_Chase1117_Activity_!D892</f>
        <v>-106.43</v>
      </c>
    </row>
    <row r="896" spans="1:4" x14ac:dyDescent="0.25">
      <c r="A896" s="28">
        <f>Angela_2026_Chase1117_Activity_!B893</f>
        <v>46090</v>
      </c>
      <c r="B896" s="3" t="str">
        <f>Angela_2026_Chase1117_Activity_!C893</f>
        <v>AMAZON MARK* BE40D4X AMAZON.COM/MA WA        03/07</v>
      </c>
      <c r="C896" s="3" t="str">
        <f>Angela_2026_Chase1117_Activity_!G893</f>
        <v>Amazon</v>
      </c>
      <c r="D896" s="4">
        <f>Angela_2026_Chase1117_Activity_!D893</f>
        <v>-70</v>
      </c>
    </row>
    <row r="897" spans="1:4" x14ac:dyDescent="0.25">
      <c r="A897" s="28">
        <f>Angela_2026_Chase1117_Activity_!B894</f>
        <v>46090</v>
      </c>
      <c r="B897" s="3" t="str">
        <f>Angela_2026_Chase1117_Activity_!C894</f>
        <v>TST*BLUEYS KITCHEN MAR Los Angeles CA        03/06</v>
      </c>
      <c r="C897" s="3" t="str">
        <f>Angela_2026_Chase1117_Activity_!G894</f>
        <v>Personal - Food</v>
      </c>
      <c r="D897" s="4">
        <f>Angela_2026_Chase1117_Activity_!D894</f>
        <v>-140.31</v>
      </c>
    </row>
    <row r="898" spans="1:4" x14ac:dyDescent="0.25">
      <c r="A898" s="28">
        <f>Angela_2026_Chase1117_Activity_!B895</f>
        <v>46090</v>
      </c>
      <c r="B898" s="3" t="str">
        <f>Angela_2026_Chase1117_Activity_!C895</f>
        <v>2418 AMC AMC MARINA MARINA DEL RE CA         03/05</v>
      </c>
      <c r="C898" s="3" t="str">
        <f>Angela_2026_Chase1117_Activity_!G895</f>
        <v>Personal - Entertainment</v>
      </c>
      <c r="D898" s="4">
        <f>Angela_2026_Chase1117_Activity_!D895</f>
        <v>-21.55</v>
      </c>
    </row>
    <row r="899" spans="1:4" x14ac:dyDescent="0.25">
      <c r="A899" s="28">
        <f>Angela_2026_Chase1117_Activity_!B896</f>
        <v>46090</v>
      </c>
      <c r="B899" s="3" t="str">
        <f>Angela_2026_Chase1117_Activity_!C896</f>
        <v>Online Transfer from CHK ...1168 transaction#: 28362200172</v>
      </c>
      <c r="C899" s="3" t="str">
        <f>Angela_2026_Chase1117_Activity_!G896</f>
        <v>Transfer from DWG Capital Group</v>
      </c>
      <c r="D899" s="4">
        <f>Angela_2026_Chase1117_Activity_!D896</f>
        <v>5000</v>
      </c>
    </row>
    <row r="900" spans="1:4" x14ac:dyDescent="0.25">
      <c r="A900" s="28">
        <f>Angela_2026_Chase1117_Activity_!B897</f>
        <v>46090</v>
      </c>
      <c r="B900" s="3" t="str">
        <f>Angela_2026_Chase1117_Activity_!C897</f>
        <v>ATM CHECK DEPOSIT 03/09 12335 VENICE BLVD LOS ANGELES CA</v>
      </c>
      <c r="C900" s="3" t="str">
        <f>Angela_2026_Chase1117_Activity_!G897</f>
        <v>Deposit</v>
      </c>
      <c r="D900" s="4">
        <f>Angela_2026_Chase1117_Activity_!D897</f>
        <v>1050</v>
      </c>
    </row>
    <row r="901" spans="1:4" x14ac:dyDescent="0.25">
      <c r="A901" s="28">
        <f>Angela_2026_Chase1117_Activity_!B898</f>
        <v>46087</v>
      </c>
      <c r="B901" s="3" t="str">
        <f>Angela_2026_Chase1117_Activity_!C898</f>
        <v>UBER   * EATS PENDIN SAN FRANCISCO CA132358  03/06</v>
      </c>
      <c r="C901" s="3" t="str">
        <f>Angela_2026_Chase1117_Activity_!G898</f>
        <v>Uber Eats</v>
      </c>
      <c r="D901" s="4">
        <f>Angela_2026_Chase1117_Activity_!D898</f>
        <v>-47.7</v>
      </c>
    </row>
    <row r="902" spans="1:4" x14ac:dyDescent="0.25">
      <c r="A902" s="28">
        <f>Angela_2026_Chase1117_Activity_!B899</f>
        <v>46087</v>
      </c>
      <c r="B902" s="3" t="str">
        <f>Angela_2026_Chase1117_Activity_!C899</f>
        <v>GOOGLE *YouTubePremi g.co/helppay# CA        03/06</v>
      </c>
      <c r="C902" s="3" t="str">
        <f>Angela_2026_Chase1117_Activity_!G899</f>
        <v>YouTube Premium</v>
      </c>
      <c r="D902" s="4">
        <f>Angela_2026_Chase1117_Activity_!D899</f>
        <v>-13.99</v>
      </c>
    </row>
    <row r="903" spans="1:4" x14ac:dyDescent="0.25">
      <c r="A903" s="28">
        <f>Angela_2026_Chase1117_Activity_!B900</f>
        <v>46087</v>
      </c>
      <c r="B903" s="3" t="str">
        <f>Angela_2026_Chase1117_Activity_!C900</f>
        <v>PSYCHOLOGY TODAY PSYCHOLOGYTOD SD            03/06</v>
      </c>
      <c r="C903" s="3" t="str">
        <f>Angela_2026_Chase1117_Activity_!G900</f>
        <v>Personal - Subscription</v>
      </c>
      <c r="D903" s="4">
        <f>Angela_2026_Chase1117_Activity_!D900</f>
        <v>-29.95</v>
      </c>
    </row>
    <row r="904" spans="1:4" x14ac:dyDescent="0.25">
      <c r="A904" s="28">
        <f>Angela_2026_Chase1117_Activity_!B901</f>
        <v>46087</v>
      </c>
      <c r="B904" s="3" t="str">
        <f>Angela_2026_Chase1117_Activity_!C901</f>
        <v>SP OLYXIR OLYXIR.COM CA                      03/05</v>
      </c>
      <c r="C904" s="3" t="str">
        <f>Angela_2026_Chase1117_Activity_!G901</f>
        <v>Personal - Shopping</v>
      </c>
      <c r="D904" s="4">
        <f>Angela_2026_Chase1117_Activity_!D901</f>
        <v>-135</v>
      </c>
    </row>
    <row r="905" spans="1:4" x14ac:dyDescent="0.25">
      <c r="A905" s="28">
        <f>Angela_2026_Chase1117_Activity_!B902</f>
        <v>46087</v>
      </c>
      <c r="B905" s="3" t="str">
        <f>Angela_2026_Chase1117_Activity_!C902</f>
        <v>AMAZON MARK* BE7VF66 AMAZON.COM/MA WA        03/06</v>
      </c>
      <c r="C905" s="3" t="str">
        <f>Angela_2026_Chase1117_Activity_!G902</f>
        <v>Amazon</v>
      </c>
      <c r="D905" s="4">
        <f>Angela_2026_Chase1117_Activity_!D902</f>
        <v>-30.68</v>
      </c>
    </row>
    <row r="906" spans="1:4" x14ac:dyDescent="0.25">
      <c r="A906" s="28">
        <f>Angela_2026_Chase1117_Activity_!B903</f>
        <v>46086</v>
      </c>
      <c r="B906" s="3" t="str">
        <f>Angela_2026_Chase1117_Activity_!C903</f>
        <v>AMAZON MARK* BP9J14X AMAZON.COM/MA WA        03/05</v>
      </c>
      <c r="C906" s="3" t="str">
        <f>Angela_2026_Chase1117_Activity_!G903</f>
        <v>Amazon</v>
      </c>
      <c r="D906" s="4">
        <f>Angela_2026_Chase1117_Activity_!D903</f>
        <v>-74.62</v>
      </c>
    </row>
    <row r="907" spans="1:4" x14ac:dyDescent="0.25">
      <c r="A907" s="28">
        <f>Angela_2026_Chase1117_Activity_!B904</f>
        <v>46086</v>
      </c>
      <c r="B907" s="3" t="str">
        <f>Angela_2026_Chase1117_Activity_!C904</f>
        <v>Etsy.com*Multiple Shop ETSY.COM NY           03/05</v>
      </c>
      <c r="C907" s="3" t="str">
        <f>Angela_2026_Chase1117_Activity_!G904</f>
        <v>Etsy</v>
      </c>
      <c r="D907" s="4">
        <f>Angela_2026_Chase1117_Activity_!D904</f>
        <v>-208.69</v>
      </c>
    </row>
    <row r="908" spans="1:4" x14ac:dyDescent="0.25">
      <c r="A908" s="28">
        <f>Angela_2026_Chase1117_Activity_!B905</f>
        <v>46086</v>
      </c>
      <c r="B908" s="3" t="str">
        <f>Angela_2026_Chase1117_Activity_!C905</f>
        <v>AMC 9640 ONLINE 888-440-4262 KS              03/05</v>
      </c>
      <c r="C908" s="3" t="str">
        <f>Angela_2026_Chase1117_Activity_!G905</f>
        <v>Personal - Entertainment</v>
      </c>
      <c r="D908" s="4">
        <f>Angela_2026_Chase1117_Activity_!D905</f>
        <v>-77.94</v>
      </c>
    </row>
    <row r="909" spans="1:4" x14ac:dyDescent="0.25">
      <c r="A909" s="28">
        <f>Angela_2026_Chase1117_Activity_!B906</f>
        <v>46086</v>
      </c>
      <c r="B909" s="3" t="str">
        <f>Angela_2026_Chase1117_Activity_!C906</f>
        <v>PAVILIONS #2105 MARINA DEL RE CA             03/04</v>
      </c>
      <c r="C909" s="3" t="str">
        <f>Angela_2026_Chase1117_Activity_!G906</f>
        <v>Personal - Food</v>
      </c>
      <c r="D909" s="4">
        <f>Angela_2026_Chase1117_Activity_!D906</f>
        <v>-213.57</v>
      </c>
    </row>
    <row r="910" spans="1:4" x14ac:dyDescent="0.25">
      <c r="A910" s="28">
        <f>Angela_2026_Chase1117_Activity_!B907</f>
        <v>46086</v>
      </c>
      <c r="B910" s="3" t="str">
        <f>Angela_2026_Chase1117_Activity_!C907</f>
        <v>MAMOLO'S FINE PASTRY M 805-4960045 CA        03/04</v>
      </c>
      <c r="C910" s="3" t="str">
        <f>Angela_2026_Chase1117_Activity_!G907</f>
        <v>Personal - Food</v>
      </c>
      <c r="D910" s="4">
        <f>Angela_2026_Chase1117_Activity_!D907</f>
        <v>-148.5</v>
      </c>
    </row>
    <row r="911" spans="1:4" x14ac:dyDescent="0.25">
      <c r="A911" s="28">
        <f>Angela_2026_Chase1117_Activity_!B908</f>
        <v>46086</v>
      </c>
      <c r="B911" s="3" t="str">
        <f>Angela_2026_Chase1117_Activity_!C908</f>
        <v>AMAZON MARK* BE4EB35 AMAZON.COM/MA WA        03/05</v>
      </c>
      <c r="C911" s="3" t="str">
        <f>Angela_2026_Chase1117_Activity_!G908</f>
        <v>Amazon</v>
      </c>
      <c r="D911" s="4">
        <f>Angela_2026_Chase1117_Activity_!D908</f>
        <v>-167.92</v>
      </c>
    </row>
    <row r="912" spans="1:4" x14ac:dyDescent="0.25">
      <c r="A912" s="28">
        <f>Angela_2026_Chase1117_Activity_!B909</f>
        <v>46086</v>
      </c>
      <c r="B912" s="3" t="str">
        <f>Angela_2026_Chase1117_Activity_!C909</f>
        <v>AMAZON MARK* BE1Y004 AMAZON.COM/MA WA        03/05</v>
      </c>
      <c r="C912" s="3" t="str">
        <f>Angela_2026_Chase1117_Activity_!G909</f>
        <v>Amazon</v>
      </c>
      <c r="D912" s="4">
        <f>Angela_2026_Chase1117_Activity_!D909</f>
        <v>-72.42</v>
      </c>
    </row>
    <row r="913" spans="1:4" x14ac:dyDescent="0.25">
      <c r="A913" s="28">
        <f>Angela_2026_Chase1117_Activity_!B910</f>
        <v>46086</v>
      </c>
      <c r="B913" s="3" t="str">
        <f>Angela_2026_Chase1117_Activity_!C910</f>
        <v>ANTHROPOLOGIE.COM ANTHROPOLOGIE PA           03/05</v>
      </c>
      <c r="C913" s="3" t="str">
        <f>Angela_2026_Chase1117_Activity_!G910</f>
        <v>Personal - Shopping</v>
      </c>
      <c r="D913" s="4">
        <f>Angela_2026_Chase1117_Activity_!D910</f>
        <v>-405.35</v>
      </c>
    </row>
    <row r="914" spans="1:4" x14ac:dyDescent="0.25">
      <c r="A914" s="28">
        <f>Angela_2026_Chase1117_Activity_!B911</f>
        <v>46086</v>
      </c>
      <c r="B914" s="3" t="str">
        <f>Angela_2026_Chase1117_Activity_!C911</f>
        <v>TAP AIRLINE 0470018117 800-2217370 NJ        03/03</v>
      </c>
      <c r="C914" s="3" t="str">
        <f>Angela_2026_Chase1117_Activity_!G911</f>
        <v>Personal Travel</v>
      </c>
      <c r="D914" s="4">
        <f>Angela_2026_Chase1117_Activity_!D911</f>
        <v>-779</v>
      </c>
    </row>
    <row r="915" spans="1:4" x14ac:dyDescent="0.25">
      <c r="A915" s="28">
        <f>Angela_2026_Chase1117_Activity_!B912</f>
        <v>46085</v>
      </c>
      <c r="B915" s="3" t="str">
        <f>Angela_2026_Chase1117_Activity_!C912</f>
        <v>GELSON'S MARKETS #10 MARINA DEL RE CA626835  03/04</v>
      </c>
      <c r="C915" s="3" t="str">
        <f>Angela_2026_Chase1117_Activity_!G912</f>
        <v>Personal - Food</v>
      </c>
      <c r="D915" s="4">
        <f>Angela_2026_Chase1117_Activity_!D912</f>
        <v>-281.44</v>
      </c>
    </row>
    <row r="916" spans="1:4" x14ac:dyDescent="0.25">
      <c r="A916" s="28">
        <f>Angela_2026_Chase1117_Activity_!B913</f>
        <v>46085</v>
      </c>
      <c r="B916" s="3" t="str">
        <f>Angela_2026_Chase1117_Activity_!C913</f>
        <v>SP WELLNESS COMPANY TWC.HEALTH FL            03/04</v>
      </c>
      <c r="C916" s="3" t="str">
        <f>Angela_2026_Chase1117_Activity_!G913</f>
        <v>Personal - Health</v>
      </c>
      <c r="D916" s="4">
        <f>Angela_2026_Chase1117_Activity_!D913</f>
        <v>-299.99</v>
      </c>
    </row>
    <row r="917" spans="1:4" x14ac:dyDescent="0.25">
      <c r="A917" s="28">
        <f>Angela_2026_Chase1117_Activity_!B914</f>
        <v>46085</v>
      </c>
      <c r="B917" s="3" t="str">
        <f>Angela_2026_Chase1117_Activity_!C914</f>
        <v>Etsy.com*Multiple Shop ETSY.COM NY           03/03</v>
      </c>
      <c r="C917" s="3" t="str">
        <f>Angela_2026_Chase1117_Activity_!G914</f>
        <v>Etsy</v>
      </c>
      <c r="D917" s="4">
        <f>Angela_2026_Chase1117_Activity_!D914</f>
        <v>-342.54</v>
      </c>
    </row>
    <row r="918" spans="1:4" x14ac:dyDescent="0.25">
      <c r="A918" s="28">
        <f>Angela_2026_Chase1117_Activity_!B915</f>
        <v>46085</v>
      </c>
      <c r="B918" s="3" t="str">
        <f>Angela_2026_Chase1117_Activity_!C915</f>
        <v>AMAZON MARK* BP6437T AMAZON.COM/MA WA        03/04</v>
      </c>
      <c r="C918" s="3" t="str">
        <f>Angela_2026_Chase1117_Activity_!G915</f>
        <v>Amazon</v>
      </c>
      <c r="D918" s="4">
        <f>Angela_2026_Chase1117_Activity_!D915</f>
        <v>-32.909999999999997</v>
      </c>
    </row>
    <row r="919" spans="1:4" x14ac:dyDescent="0.25">
      <c r="A919" s="28">
        <f>Angela_2026_Chase1117_Activity_!B916</f>
        <v>46085</v>
      </c>
      <c r="B919" s="3" t="str">
        <f>Angela_2026_Chase1117_Activity_!C916</f>
        <v>AMAZON MARK* B97G80W AMAZON.COM/MA WA        03/04</v>
      </c>
      <c r="C919" s="3" t="str">
        <f>Angela_2026_Chase1117_Activity_!G916</f>
        <v>Amazon</v>
      </c>
      <c r="D919" s="4">
        <f>Angela_2026_Chase1117_Activity_!D916</f>
        <v>-43.89</v>
      </c>
    </row>
    <row r="920" spans="1:4" x14ac:dyDescent="0.25">
      <c r="A920" s="28">
        <f>Angela_2026_Chase1117_Activity_!B917</f>
        <v>46085</v>
      </c>
      <c r="B920" s="3" t="str">
        <f>Angela_2026_Chase1117_Activity_!C917</f>
        <v>QDI*QUEST DIAGNOSTICS 866-697-8378 CA        03/04</v>
      </c>
      <c r="C920" s="3" t="str">
        <f>Angela_2026_Chase1117_Activity_!G917</f>
        <v>Personal - Health</v>
      </c>
      <c r="D920" s="4">
        <f>Angela_2026_Chase1117_Activity_!D917</f>
        <v>-21</v>
      </c>
    </row>
    <row r="921" spans="1:4" x14ac:dyDescent="0.25">
      <c r="A921" s="28">
        <f>Angela_2026_Chase1117_Activity_!B918</f>
        <v>46085</v>
      </c>
      <c r="B921" s="3" t="str">
        <f>Angela_2026_Chase1117_Activity_!C918</f>
        <v>AMAZON MARK* BP67X3T AMAZON.COM/MA WA        03/04</v>
      </c>
      <c r="C921" s="3" t="str">
        <f>Angela_2026_Chase1117_Activity_!G918</f>
        <v>Amazon</v>
      </c>
      <c r="D921" s="4">
        <f>Angela_2026_Chase1117_Activity_!D918</f>
        <v>-29</v>
      </c>
    </row>
    <row r="922" spans="1:4" x14ac:dyDescent="0.25">
      <c r="A922" s="28">
        <f>Angela_2026_Chase1117_Activity_!B919</f>
        <v>46085</v>
      </c>
      <c r="B922" s="3" t="str">
        <f>Angela_2026_Chase1117_Activity_!C919</f>
        <v>AMAZON MARK* B99135W AMAZON.COM/MA WA        03/04</v>
      </c>
      <c r="C922" s="3" t="str">
        <f>Angela_2026_Chase1117_Activity_!G919</f>
        <v>Amazon</v>
      </c>
      <c r="D922" s="4">
        <f>Angela_2026_Chase1117_Activity_!D919</f>
        <v>-63.64</v>
      </c>
    </row>
    <row r="923" spans="1:4" x14ac:dyDescent="0.25">
      <c r="A923" s="28">
        <f>Angela_2026_Chase1117_Activity_!B920</f>
        <v>46085</v>
      </c>
      <c r="B923" s="3" t="str">
        <f>Angela_2026_Chase1117_Activity_!C920</f>
        <v>AMAZON MARK* BP7J30A AMAZON.COM/MA WA        03/04</v>
      </c>
      <c r="C923" s="3" t="str">
        <f>Angela_2026_Chase1117_Activity_!G920</f>
        <v>Amazon</v>
      </c>
      <c r="D923" s="4">
        <f>Angela_2026_Chase1117_Activity_!D920</f>
        <v>-30.99</v>
      </c>
    </row>
    <row r="924" spans="1:4" x14ac:dyDescent="0.25">
      <c r="A924" s="28">
        <f>Angela_2026_Chase1117_Activity_!B921</f>
        <v>46085</v>
      </c>
      <c r="B924" s="3" t="str">
        <f>Angela_2026_Chase1117_Activity_!C921</f>
        <v>AMAZON MARK* B96SL3U AMAZON.COM/MA WA        03/03</v>
      </c>
      <c r="C924" s="3" t="str">
        <f>Angela_2026_Chase1117_Activity_!G921</f>
        <v>Amazon</v>
      </c>
      <c r="D924" s="4">
        <f>Angela_2026_Chase1117_Activity_!D921</f>
        <v>-69.03</v>
      </c>
    </row>
    <row r="925" spans="1:4" x14ac:dyDescent="0.25">
      <c r="A925" s="28">
        <f>Angela_2026_Chase1117_Activity_!B922</f>
        <v>46085</v>
      </c>
      <c r="B925" s="3" t="str">
        <f>Angela_2026_Chase1117_Activity_!C922</f>
        <v>Zara.com 212-3551415 NY                      03/03</v>
      </c>
      <c r="C925" s="3" t="str">
        <f>Angela_2026_Chase1117_Activity_!G922</f>
        <v>Personal - Shopping</v>
      </c>
      <c r="D925" s="4">
        <f>Angela_2026_Chase1117_Activity_!D922</f>
        <v>-381.72</v>
      </c>
    </row>
    <row r="926" spans="1:4" x14ac:dyDescent="0.25">
      <c r="A926" s="28">
        <f>Angela_2026_Chase1117_Activity_!B923</f>
        <v>46085</v>
      </c>
      <c r="B926" s="3" t="str">
        <f>Angela_2026_Chase1117_Activity_!C923</f>
        <v>AMAZON MKTPL*BP3P65E Amzn.com/bill WA        03/04</v>
      </c>
      <c r="C926" s="3" t="str">
        <f>Angela_2026_Chase1117_Activity_!G923</f>
        <v>Amazon</v>
      </c>
      <c r="D926" s="4">
        <f>Angela_2026_Chase1117_Activity_!D923</f>
        <v>-24.13</v>
      </c>
    </row>
    <row r="927" spans="1:4" x14ac:dyDescent="0.25">
      <c r="A927" s="28">
        <f>Angela_2026_Chase1117_Activity_!B924</f>
        <v>46084</v>
      </c>
      <c r="B927" s="3" t="str">
        <f>Angela_2026_Chase1117_Activity_!C924</f>
        <v>Online Transfer to CHK ...6975 transaction#: 28293458078 03/03</v>
      </c>
      <c r="C927" s="3" t="str">
        <f>Angela_2026_Chase1117_Activity_!G924</f>
        <v>Transfer to Ava</v>
      </c>
      <c r="D927" s="4">
        <f>Angela_2026_Chase1117_Activity_!D924</f>
        <v>-600</v>
      </c>
    </row>
    <row r="928" spans="1:4" x14ac:dyDescent="0.25">
      <c r="A928" s="28">
        <f>Angela_2026_Chase1117_Activity_!B925</f>
        <v>46084</v>
      </c>
      <c r="B928" s="3" t="str">
        <f>Angela_2026_Chase1117_Activity_!C925</f>
        <v>Online Payment 28293382808 To SOUTHERN CALIFORNIA GAS CO 03/03</v>
      </c>
      <c r="C928" s="3" t="str">
        <f>Angela_2026_Chase1117_Activity_!G925</f>
        <v>Personal - House Bills</v>
      </c>
      <c r="D928" s="4">
        <f>Angela_2026_Chase1117_Activity_!D925</f>
        <v>-439.85</v>
      </c>
    </row>
    <row r="929" spans="1:4" x14ac:dyDescent="0.25">
      <c r="A929" s="28">
        <f>Angela_2026_Chase1117_Activity_!B926</f>
        <v>46084</v>
      </c>
      <c r="B929" s="3" t="str">
        <f>Angela_2026_Chase1117_Activity_!C926</f>
        <v>Online Payment 28293381683 To SAFECO INSURANCE COMPANY 03/03</v>
      </c>
      <c r="C929" s="3" t="str">
        <f>Angela_2026_Chase1117_Activity_!G926</f>
        <v>Personal - House Bills</v>
      </c>
      <c r="D929" s="4">
        <f>Angela_2026_Chase1117_Activity_!D926</f>
        <v>-120</v>
      </c>
    </row>
    <row r="930" spans="1:4" x14ac:dyDescent="0.25">
      <c r="A930" s="28">
        <f>Angela_2026_Chase1117_Activity_!B927</f>
        <v>46084</v>
      </c>
      <c r="B930" s="3" t="str">
        <f>Angela_2026_Chase1117_Activity_!C927</f>
        <v>Online Payment 28293327084 To FRONTIER TELEPHONE 03/03</v>
      </c>
      <c r="C930" s="3" t="str">
        <f>Angela_2026_Chase1117_Activity_!G927</f>
        <v>Personal - House Bills</v>
      </c>
      <c r="D930" s="4">
        <f>Angela_2026_Chase1117_Activity_!D927</f>
        <v>-327.5</v>
      </c>
    </row>
    <row r="931" spans="1:4" x14ac:dyDescent="0.25">
      <c r="A931" s="28">
        <f>Angela_2026_Chase1117_Activity_!B928</f>
        <v>46084</v>
      </c>
      <c r="B931" s="3" t="str">
        <f>Angela_2026_Chase1117_Activity_!C928</f>
        <v>Online Payment 28293334334 To AMERICAN EDUCATION SERVICES 03/03</v>
      </c>
      <c r="C931" s="3" t="str">
        <f>Angela_2026_Chase1117_Activity_!G928</f>
        <v>Personal - House Bills</v>
      </c>
      <c r="D931" s="4">
        <f>Angela_2026_Chase1117_Activity_!D928</f>
        <v>-320</v>
      </c>
    </row>
    <row r="932" spans="1:4" x14ac:dyDescent="0.25">
      <c r="A932" s="28">
        <f>Angela_2026_Chase1117_Activity_!B929</f>
        <v>46084</v>
      </c>
      <c r="B932" s="3" t="str">
        <f>Angela_2026_Chase1117_Activity_!C929</f>
        <v>Online Payment 28293341698 To MERCEDES-BENZ FINANCIAL SERVICES 03/03</v>
      </c>
      <c r="C932" s="3" t="str">
        <f>Angela_2026_Chase1117_Activity_!G929</f>
        <v>Personal - House Bills</v>
      </c>
      <c r="D932" s="4">
        <f>Angela_2026_Chase1117_Activity_!D929</f>
        <v>-700</v>
      </c>
    </row>
    <row r="933" spans="1:4" x14ac:dyDescent="0.25">
      <c r="A933" s="28">
        <f>Angela_2026_Chase1117_Activity_!B930</f>
        <v>46084</v>
      </c>
      <c r="B933" s="3" t="str">
        <f>Angela_2026_Chase1117_Activity_!C930</f>
        <v>APPLE.COM/BILL 866-712-7753 CA               03/03</v>
      </c>
      <c r="C933" s="3" t="str">
        <f>Angela_2026_Chase1117_Activity_!G930</f>
        <v>Apple</v>
      </c>
      <c r="D933" s="4">
        <f>Angela_2026_Chase1117_Activity_!D930</f>
        <v>-79.989999999999995</v>
      </c>
    </row>
    <row r="934" spans="1:4" x14ac:dyDescent="0.25">
      <c r="A934" s="28">
        <f>Angela_2026_Chase1117_Activity_!B931</f>
        <v>46084</v>
      </c>
      <c r="B934" s="3" t="str">
        <f>Angela_2026_Chase1117_Activity_!C931</f>
        <v>APPLE.COM/BILL 866-712-7753 CA               03/03</v>
      </c>
      <c r="C934" s="3" t="str">
        <f>Angela_2026_Chase1117_Activity_!G931</f>
        <v>Apple</v>
      </c>
      <c r="D934" s="4">
        <f>Angela_2026_Chase1117_Activity_!D931</f>
        <v>-3.99</v>
      </c>
    </row>
    <row r="935" spans="1:4" x14ac:dyDescent="0.25">
      <c r="A935" s="28">
        <f>Angela_2026_Chase1117_Activity_!B932</f>
        <v>46084</v>
      </c>
      <c r="B935" s="3" t="str">
        <f>Angela_2026_Chase1117_Activity_!C932</f>
        <v>AMAZON MARK* B990A07 AMAZON.COM/MA WA        03/03</v>
      </c>
      <c r="C935" s="3" t="str">
        <f>Angela_2026_Chase1117_Activity_!G932</f>
        <v>Amazon</v>
      </c>
      <c r="D935" s="4">
        <f>Angela_2026_Chase1117_Activity_!D932</f>
        <v>-14.16</v>
      </c>
    </row>
    <row r="936" spans="1:4" x14ac:dyDescent="0.25">
      <c r="A936" s="28">
        <f>Angela_2026_Chase1117_Activity_!B933</f>
        <v>46084</v>
      </c>
      <c r="B936" s="3" t="str">
        <f>Angela_2026_Chase1117_Activity_!C933</f>
        <v>AMAZON MARK* BP5X83Z AMAZON.COM/MA WA        03/03</v>
      </c>
      <c r="C936" s="3" t="str">
        <f>Angela_2026_Chase1117_Activity_!G933</f>
        <v>Amazon</v>
      </c>
      <c r="D936" s="4">
        <f>Angela_2026_Chase1117_Activity_!D933</f>
        <v>-17.23</v>
      </c>
    </row>
    <row r="937" spans="1:4" x14ac:dyDescent="0.25">
      <c r="A937" s="28">
        <f>Angela_2026_Chase1117_Activity_!B934</f>
        <v>46084</v>
      </c>
      <c r="B937" s="3" t="str">
        <f>Angela_2026_Chase1117_Activity_!C934</f>
        <v>AMAZON MARK* BE9K76E AMAZON.COM/MA WA        03/03</v>
      </c>
      <c r="C937" s="3" t="str">
        <f>Angela_2026_Chase1117_Activity_!G934</f>
        <v>Amazon</v>
      </c>
      <c r="D937" s="4">
        <f>Angela_2026_Chase1117_Activity_!D934</f>
        <v>-99.46</v>
      </c>
    </row>
    <row r="938" spans="1:4" x14ac:dyDescent="0.25">
      <c r="A938" s="28">
        <f>Angela_2026_Chase1117_Activity_!B935</f>
        <v>46084</v>
      </c>
      <c r="B938" s="3" t="str">
        <f>Angela_2026_Chase1117_Activity_!C935</f>
        <v>SP ANNA SUI ANNASUI.COM NY                   03/02</v>
      </c>
      <c r="C938" s="3" t="str">
        <f>Angela_2026_Chase1117_Activity_!G935</f>
        <v>Personal - Shopping</v>
      </c>
      <c r="D938" s="4">
        <f>Angela_2026_Chase1117_Activity_!D935</f>
        <v>-597.76</v>
      </c>
    </row>
    <row r="939" spans="1:4" x14ac:dyDescent="0.25">
      <c r="A939" s="28">
        <f>Angela_2026_Chase1117_Activity_!B936</f>
        <v>46084</v>
      </c>
      <c r="B939" s="3" t="str">
        <f>Angela_2026_Chase1117_Activity_!C936</f>
        <v>SQ *INN OF THE SEVENTH gosq.com MT           03/02</v>
      </c>
      <c r="C939" s="3" t="str">
        <f>Angela_2026_Chase1117_Activity_!G936</f>
        <v>Personal Travel</v>
      </c>
      <c r="D939" s="4">
        <f>Angela_2026_Chase1117_Activity_!D936</f>
        <v>-3040</v>
      </c>
    </row>
    <row r="940" spans="1:4" x14ac:dyDescent="0.25">
      <c r="A940" s="28">
        <f>Angela_2026_Chase1117_Activity_!B937</f>
        <v>46084</v>
      </c>
      <c r="B940" s="3" t="str">
        <f>Angela_2026_Chase1117_Activity_!C937</f>
        <v>AMAZON MARK* B92B21K AMAZON.COM/MA WA        03/03</v>
      </c>
      <c r="C940" s="3" t="str">
        <f>Angela_2026_Chase1117_Activity_!G937</f>
        <v>Amazon</v>
      </c>
      <c r="D940" s="4">
        <f>Angela_2026_Chase1117_Activity_!D937</f>
        <v>-330.5</v>
      </c>
    </row>
    <row r="941" spans="1:4" x14ac:dyDescent="0.25">
      <c r="A941" s="28">
        <f>Angela_2026_Chase1117_Activity_!B938</f>
        <v>46084</v>
      </c>
      <c r="B941" s="3" t="str">
        <f>Angela_2026_Chase1117_Activity_!C938</f>
        <v>AMAZON MARK* BP6DB6L AMAZON.COM/MA WA        03/03</v>
      </c>
      <c r="C941" s="3" t="str">
        <f>Angela_2026_Chase1117_Activity_!G938</f>
        <v>Amazon</v>
      </c>
      <c r="D941" s="4">
        <f>Angela_2026_Chase1117_Activity_!D938</f>
        <v>-59.15</v>
      </c>
    </row>
    <row r="942" spans="1:4" x14ac:dyDescent="0.25">
      <c r="A942" s="28">
        <f>Angela_2026_Chase1117_Activity_!B939</f>
        <v>46084</v>
      </c>
      <c r="B942" s="3" t="str">
        <f>Angela_2026_Chase1117_Activity_!C939</f>
        <v>AMAZON MARK* B98OU02 AMAZON.COM/MA WA        03/03</v>
      </c>
      <c r="C942" s="3" t="str">
        <f>Angela_2026_Chase1117_Activity_!G939</f>
        <v>Amazon</v>
      </c>
      <c r="D942" s="4">
        <f>Angela_2026_Chase1117_Activity_!D939</f>
        <v>-59.15</v>
      </c>
    </row>
    <row r="943" spans="1:4" x14ac:dyDescent="0.25">
      <c r="A943" s="28">
        <f>Angela_2026_Chase1117_Activity_!B940</f>
        <v>46084</v>
      </c>
      <c r="B943" s="3" t="str">
        <f>Angela_2026_Chase1117_Activity_!C940</f>
        <v>AMAZON MARK* BE49J1E AMAZON.COM/MA WA        03/03</v>
      </c>
      <c r="C943" s="3" t="str">
        <f>Angela_2026_Chase1117_Activity_!G940</f>
        <v>Amazon</v>
      </c>
      <c r="D943" s="4">
        <f>Angela_2026_Chase1117_Activity_!D940</f>
        <v>-240.27</v>
      </c>
    </row>
    <row r="944" spans="1:4" x14ac:dyDescent="0.25">
      <c r="A944" s="28">
        <f>Angela_2026_Chase1117_Activity_!B941</f>
        <v>46084</v>
      </c>
      <c r="B944" s="3" t="str">
        <f>Angela_2026_Chase1117_Activity_!C941</f>
        <v>AMAZON MARK* BP3HM0F AMAZON.COM/MA WA        03/03</v>
      </c>
      <c r="C944" s="3" t="str">
        <f>Angela_2026_Chase1117_Activity_!G941</f>
        <v>Amazon</v>
      </c>
      <c r="D944" s="4">
        <f>Angela_2026_Chase1117_Activity_!D941</f>
        <v>-46.02</v>
      </c>
    </row>
    <row r="945" spans="1:4" x14ac:dyDescent="0.25">
      <c r="A945" s="28">
        <f>Angela_2026_Chase1117_Activity_!B942</f>
        <v>46084</v>
      </c>
      <c r="B945" s="3" t="str">
        <f>Angela_2026_Chase1117_Activity_!C942</f>
        <v>AMAZON MARK* BP8J40O AMAZON.COM/MA WA        03/03</v>
      </c>
      <c r="C945" s="3" t="str">
        <f>Angela_2026_Chase1117_Activity_!G942</f>
        <v>Amazon</v>
      </c>
      <c r="D945" s="4">
        <f>Angela_2026_Chase1117_Activity_!D942</f>
        <v>-27.43</v>
      </c>
    </row>
    <row r="946" spans="1:4" x14ac:dyDescent="0.25">
      <c r="A946" s="28">
        <f>Angela_2026_Chase1117_Activity_!B943</f>
        <v>46084</v>
      </c>
      <c r="B946" s="3" t="str">
        <f>Angela_2026_Chase1117_Activity_!C943</f>
        <v>Online Transfer from CHK ...1168 transaction#: 28293237253</v>
      </c>
      <c r="C946" s="3" t="str">
        <f>Angela_2026_Chase1117_Activity_!G943</f>
        <v>Transfer from DWG Capital Group</v>
      </c>
      <c r="D946" s="4">
        <f>Angela_2026_Chase1117_Activity_!D943</f>
        <v>5000</v>
      </c>
    </row>
    <row r="947" spans="1:4" x14ac:dyDescent="0.25">
      <c r="A947" s="28">
        <f>Angela_2026_Chase1117_Activity_!B944</f>
        <v>46083</v>
      </c>
      <c r="B947" s="3" t="str">
        <f>Angela_2026_Chase1117_Activity_!C944</f>
        <v>FOREIGN EXCHANGE RATE ADJUSTMENT FEE         02/27PARQUES D</v>
      </c>
      <c r="C947" s="3" t="str">
        <f>Angela_2026_Chase1117_Activity_!G944</f>
        <v>Personal Travel - Portugal</v>
      </c>
      <c r="D947" s="4">
        <f>Angela_2026_Chase1117_Activity_!D944</f>
        <v>-1.41</v>
      </c>
    </row>
    <row r="948" spans="1:4" x14ac:dyDescent="0.25">
      <c r="A948" s="28">
        <f>Angela_2026_Chase1117_Activity_!B945</f>
        <v>46083</v>
      </c>
      <c r="B948" s="3" t="str">
        <f>Angela_2026_Chase1117_Activity_!C945</f>
        <v>SP ANNA SUI ANNASUI.COM NY                   03/02</v>
      </c>
      <c r="C948" s="3" t="str">
        <f>Angela_2026_Chase1117_Activity_!G945</f>
        <v>Personal - Shopping</v>
      </c>
      <c r="D948" s="4">
        <f>Angela_2026_Chase1117_Activity_!D945</f>
        <v>-562.76</v>
      </c>
    </row>
    <row r="949" spans="1:4" x14ac:dyDescent="0.25">
      <c r="A949" s="28">
        <f>Angela_2026_Chase1117_Activity_!B946</f>
        <v>46083</v>
      </c>
      <c r="B949" s="3" t="str">
        <f>Angela_2026_Chase1117_Activity_!C946</f>
        <v>Online Transfer to CHK ...6975 transaction#: 28268831444 03/02</v>
      </c>
      <c r="C949" s="3" t="str">
        <f>Angela_2026_Chase1117_Activity_!G946</f>
        <v>Transfer to Ava</v>
      </c>
      <c r="D949" s="4">
        <f>Angela_2026_Chase1117_Activity_!D946</f>
        <v>-1000</v>
      </c>
    </row>
    <row r="950" spans="1:4" x14ac:dyDescent="0.25">
      <c r="A950" s="28">
        <f>Angela_2026_Chase1117_Activity_!B947</f>
        <v>46083</v>
      </c>
      <c r="B950" s="3" t="str">
        <f>Angela_2026_Chase1117_Activity_!C947</f>
        <v>SQ *COLORADO DONUTS Los Angeles CA           03/01</v>
      </c>
      <c r="C950" s="3" t="str">
        <f>Angela_2026_Chase1117_Activity_!G947</f>
        <v>Personal - Food</v>
      </c>
      <c r="D950" s="4">
        <f>Angela_2026_Chase1117_Activity_!D947</f>
        <v>-39.380000000000003</v>
      </c>
    </row>
    <row r="951" spans="1:4" x14ac:dyDescent="0.25">
      <c r="A951" s="28">
        <f>Angela_2026_Chase1117_Activity_!B948</f>
        <v>46083</v>
      </c>
      <c r="B951" s="3" t="str">
        <f>Angela_2026_Chase1117_Activity_!C948</f>
        <v>TST* CHECKER HALL LOS ANGELES CA             03/02</v>
      </c>
      <c r="C951" s="3" t="str">
        <f>Angela_2026_Chase1117_Activity_!G948</f>
        <v>Personal - Food</v>
      </c>
      <c r="D951" s="4">
        <f>Angela_2026_Chase1117_Activity_!D948</f>
        <v>-179.75</v>
      </c>
    </row>
    <row r="952" spans="1:4" x14ac:dyDescent="0.25">
      <c r="A952" s="28">
        <f>Angela_2026_Chase1117_Activity_!B949</f>
        <v>46083</v>
      </c>
      <c r="B952" s="3" t="str">
        <f>Angela_2026_Chase1117_Activity_!C949</f>
        <v>Amazon Tips*BE4W27OA Amzn.com/bill WA        03/01</v>
      </c>
      <c r="C952" s="3" t="str">
        <f>Angela_2026_Chase1117_Activity_!G949</f>
        <v>Amazon</v>
      </c>
      <c r="D952" s="4">
        <f>Angela_2026_Chase1117_Activity_!D949</f>
        <v>-20</v>
      </c>
    </row>
    <row r="953" spans="1:4" x14ac:dyDescent="0.25">
      <c r="A953" s="28">
        <f>Angela_2026_Chase1117_Activity_!B950</f>
        <v>46083</v>
      </c>
      <c r="B953" s="3" t="str">
        <f>Angela_2026_Chase1117_Activity_!C950</f>
        <v>Amazon Tips*BE2K10UI Amzn.com/bill WA        03/01</v>
      </c>
      <c r="C953" s="3" t="str">
        <f>Angela_2026_Chase1117_Activity_!G950</f>
        <v>Amazon</v>
      </c>
      <c r="D953" s="4">
        <f>Angela_2026_Chase1117_Activity_!D950</f>
        <v>-10</v>
      </c>
    </row>
    <row r="954" spans="1:4" x14ac:dyDescent="0.25">
      <c r="A954" s="28">
        <f>Angela_2026_Chase1117_Activity_!B951</f>
        <v>46083</v>
      </c>
      <c r="B954" s="3" t="str">
        <f>Angela_2026_Chase1117_Activity_!C951</f>
        <v>AMAZON MARK* B900U5Y AMAZON.COM/MA WA        03/01</v>
      </c>
      <c r="C954" s="3" t="str">
        <f>Angela_2026_Chase1117_Activity_!G951</f>
        <v>Amazon</v>
      </c>
      <c r="D954" s="4">
        <f>Angela_2026_Chase1117_Activity_!D951</f>
        <v>-26.32</v>
      </c>
    </row>
    <row r="955" spans="1:4" x14ac:dyDescent="0.25">
      <c r="A955" s="28">
        <f>Angela_2026_Chase1117_Activity_!B952</f>
        <v>46083</v>
      </c>
      <c r="B955" s="3" t="str">
        <f>Angela_2026_Chase1117_Activity_!C952</f>
        <v>SP MCW CARPETBAGS MCWHANDMADE.C CA           03/01</v>
      </c>
      <c r="C955" s="3" t="str">
        <f>Angela_2026_Chase1117_Activity_!G952</f>
        <v>Personal - Shopping</v>
      </c>
      <c r="D955" s="4">
        <f>Angela_2026_Chase1117_Activity_!D952</f>
        <v>-167.92</v>
      </c>
    </row>
    <row r="956" spans="1:4" x14ac:dyDescent="0.25">
      <c r="A956" s="28">
        <f>Angela_2026_Chase1117_Activity_!B953</f>
        <v>46083</v>
      </c>
      <c r="B956" s="3" t="str">
        <f>Angela_2026_Chase1117_Activity_!C953</f>
        <v>EXPEDIA 73385366194474 EXPEDIA.COM WA        03/01</v>
      </c>
      <c r="C956" s="3" t="str">
        <f>Angela_2026_Chase1117_Activity_!G953</f>
        <v>Personal Travel</v>
      </c>
      <c r="D956" s="4">
        <f>Angela_2026_Chase1117_Activity_!D953</f>
        <v>-193.8</v>
      </c>
    </row>
    <row r="957" spans="1:4" x14ac:dyDescent="0.25">
      <c r="A957" s="28">
        <f>Angela_2026_Chase1117_Activity_!B954</f>
        <v>46083</v>
      </c>
      <c r="B957" s="3" t="str">
        <f>Angela_2026_Chase1117_Activity_!C954</f>
        <v>AMAZON RETA* B99Q14W WWW.AMAZON.CO WA        03/01</v>
      </c>
      <c r="C957" s="3" t="str">
        <f>Angela_2026_Chase1117_Activity_!G954</f>
        <v>Amazon</v>
      </c>
      <c r="D957" s="4">
        <f>Angela_2026_Chase1117_Activity_!D954</f>
        <v>-22.49</v>
      </c>
    </row>
    <row r="958" spans="1:4" x14ac:dyDescent="0.25">
      <c r="A958" s="28">
        <f>Angela_2026_Chase1117_Activity_!B955</f>
        <v>46083</v>
      </c>
      <c r="B958" s="3" t="str">
        <f>Angela_2026_Chase1117_Activity_!C955</f>
        <v>AMAZON MARK* B925L3M AMAZON.COM/MA WA        03/01</v>
      </c>
      <c r="C958" s="3" t="str">
        <f>Angela_2026_Chase1117_Activity_!G955</f>
        <v>Amazon</v>
      </c>
      <c r="D958" s="4">
        <f>Angela_2026_Chase1117_Activity_!D955</f>
        <v>-385.21</v>
      </c>
    </row>
    <row r="959" spans="1:4" x14ac:dyDescent="0.25">
      <c r="A959" s="28">
        <f>Angela_2026_Chase1117_Activity_!B956</f>
        <v>46083</v>
      </c>
      <c r="B959" s="3" t="str">
        <f>Angela_2026_Chase1117_Activity_!C956</f>
        <v>GELSON'S MARKET #29 SANTA MONICA CA          02/28 Purchase $130.59 Cash Back $100.00</v>
      </c>
      <c r="C959" s="3" t="str">
        <f>Angela_2026_Chase1117_Activity_!G956</f>
        <v>Personal - Food</v>
      </c>
      <c r="D959" s="4">
        <f>Angela_2026_Chase1117_Activity_!D956</f>
        <v>-230.59</v>
      </c>
    </row>
    <row r="960" spans="1:4" x14ac:dyDescent="0.25">
      <c r="A960" s="28">
        <f>Angela_2026_Chase1117_Activity_!B957</f>
        <v>46083</v>
      </c>
      <c r="B960" s="3" t="str">
        <f>Angela_2026_Chase1117_Activity_!C957</f>
        <v>Amazon.com*BE9MT7S22 Amzn.com/bill WA        02/28</v>
      </c>
      <c r="C960" s="3" t="str">
        <f>Angela_2026_Chase1117_Activity_!G957</f>
        <v>Amazon</v>
      </c>
      <c r="D960" s="4">
        <f>Angela_2026_Chase1117_Activity_!D957</f>
        <v>-35.79</v>
      </c>
    </row>
    <row r="961" spans="1:4" x14ac:dyDescent="0.25">
      <c r="A961" s="28">
        <f>Angela_2026_Chase1117_Activity_!B958</f>
        <v>46083</v>
      </c>
      <c r="B961" s="3" t="str">
        <f>Angela_2026_Chase1117_Activity_!C958</f>
        <v>AMAZON RETA* BE6YL6K WWW.AMAZON.CO WA        03/01</v>
      </c>
      <c r="C961" s="3" t="str">
        <f>Angela_2026_Chase1117_Activity_!G958</f>
        <v>Amazon</v>
      </c>
      <c r="D961" s="4">
        <f>Angela_2026_Chase1117_Activity_!D958</f>
        <v>-31.96</v>
      </c>
    </row>
    <row r="962" spans="1:4" x14ac:dyDescent="0.25">
      <c r="A962" s="28">
        <f>Angela_2026_Chase1117_Activity_!B959</f>
        <v>46083</v>
      </c>
      <c r="B962" s="3" t="str">
        <f>Angela_2026_Chase1117_Activity_!C959</f>
        <v>Amazon.com*BE9M32SQ2 Amzn.com/bill WA        02/28</v>
      </c>
      <c r="C962" s="3" t="str">
        <f>Angela_2026_Chase1117_Activity_!G959</f>
        <v>Amazon</v>
      </c>
      <c r="D962" s="4">
        <f>Angela_2026_Chase1117_Activity_!D959</f>
        <v>-280.25</v>
      </c>
    </row>
    <row r="963" spans="1:4" x14ac:dyDescent="0.25">
      <c r="A963" s="28">
        <f>Angela_2026_Chase1117_Activity_!B960</f>
        <v>46083</v>
      </c>
      <c r="B963" s="3" t="str">
        <f>Angela_2026_Chase1117_Activity_!C960</f>
        <v>SSP*Art Deco Societty 310-6593326 CA         03/01</v>
      </c>
      <c r="C963" s="3" t="str">
        <f>Angela_2026_Chase1117_Activity_!G960</f>
        <v>Personal - Entertainment</v>
      </c>
      <c r="D963" s="4">
        <f>Angela_2026_Chase1117_Activity_!D960</f>
        <v>-36.11</v>
      </c>
    </row>
    <row r="964" spans="1:4" x14ac:dyDescent="0.25">
      <c r="A964" s="28">
        <f>Angela_2026_Chase1117_Activity_!B961</f>
        <v>46083</v>
      </c>
      <c r="B964" s="3" t="str">
        <f>Angela_2026_Chase1117_Activity_!C961</f>
        <v>APPLE.COM/BILL 866-712-7753 CA               02/28</v>
      </c>
      <c r="C964" s="3" t="str">
        <f>Angela_2026_Chase1117_Activity_!G961</f>
        <v>Apple</v>
      </c>
      <c r="D964" s="4">
        <f>Angela_2026_Chase1117_Activity_!D961</f>
        <v>-5.99</v>
      </c>
    </row>
    <row r="965" spans="1:4" x14ac:dyDescent="0.25">
      <c r="A965" s="28">
        <f>Angela_2026_Chase1117_Activity_!B962</f>
        <v>46083</v>
      </c>
      <c r="B965" s="3" t="str">
        <f>Angela_2026_Chase1117_Activity_!C962</f>
        <v>BLUE SHIELD CALIFORNI 800-393-6130 CA        02/28</v>
      </c>
      <c r="C965" s="3" t="str">
        <f>Angela_2026_Chase1117_Activity_!G962</f>
        <v>Personal - Health Insurance</v>
      </c>
      <c r="D965" s="4">
        <f>Angela_2026_Chase1117_Activity_!D962</f>
        <v>-1265.76</v>
      </c>
    </row>
    <row r="966" spans="1:4" x14ac:dyDescent="0.25">
      <c r="A966" s="28">
        <f>Angela_2026_Chase1117_Activity_!B963</f>
        <v>46083</v>
      </c>
      <c r="B966" s="3" t="str">
        <f>Angela_2026_Chase1117_Activity_!C963</f>
        <v>CVSExtraCare 80074672 800-746-7287 RI        02/28</v>
      </c>
      <c r="C966" s="3" t="str">
        <f>Angela_2026_Chase1117_Activity_!G963</f>
        <v>Personal - Health</v>
      </c>
      <c r="D966" s="4">
        <f>Angela_2026_Chase1117_Activity_!D963</f>
        <v>-5.49</v>
      </c>
    </row>
    <row r="967" spans="1:4" x14ac:dyDescent="0.25">
      <c r="A967" s="28">
        <f>Angela_2026_Chase1117_Activity_!B964</f>
        <v>46083</v>
      </c>
      <c r="B967" s="3" t="str">
        <f>Angela_2026_Chase1117_Activity_!C964</f>
        <v>PENTESTER.COM PENTESTER.COM FL               02/28</v>
      </c>
      <c r="C967" s="3" t="str">
        <f>Angela_2026_Chase1117_Activity_!G964</f>
        <v>Personal - Subscription</v>
      </c>
      <c r="D967" s="4">
        <f>Angela_2026_Chase1117_Activity_!D964</f>
        <v>-19</v>
      </c>
    </row>
    <row r="968" spans="1:4" x14ac:dyDescent="0.25">
      <c r="A968" s="28">
        <f>Angela_2026_Chase1117_Activity_!B965</f>
        <v>46083</v>
      </c>
      <c r="B968" s="3" t="str">
        <f>Angela_2026_Chase1117_Activity_!C965</f>
        <v>AMAZON MARK* BE9YR0D AMAZON.COM/MA WA        02/28</v>
      </c>
      <c r="C968" s="3" t="str">
        <f>Angela_2026_Chase1117_Activity_!G965</f>
        <v>Amazon</v>
      </c>
      <c r="D968" s="4">
        <f>Angela_2026_Chase1117_Activity_!D965</f>
        <v>-10.96</v>
      </c>
    </row>
    <row r="969" spans="1:4" x14ac:dyDescent="0.25">
      <c r="A969" s="28">
        <f>Angela_2026_Chase1117_Activity_!B966</f>
        <v>46083</v>
      </c>
      <c r="B969" s="3" t="str">
        <f>Angela_2026_Chase1117_Activity_!C966</f>
        <v>AMAZON MARK* B91AX4K AMAZON.COM/MA WA        02/28</v>
      </c>
      <c r="C969" s="3" t="str">
        <f>Angela_2026_Chase1117_Activity_!G966</f>
        <v>Amazon</v>
      </c>
      <c r="D969" s="4">
        <f>Angela_2026_Chase1117_Activity_!D966</f>
        <v>-19.989999999999998</v>
      </c>
    </row>
    <row r="970" spans="1:4" x14ac:dyDescent="0.25">
      <c r="A970" s="28">
        <f>Angela_2026_Chase1117_Activity_!B967</f>
        <v>46083</v>
      </c>
      <c r="B970" s="3" t="str">
        <f>Angela_2026_Chase1117_Activity_!C967</f>
        <v>AMAZON MARK* B928O4T AMAZON.COM/MA WA        02/28</v>
      </c>
      <c r="C970" s="3" t="str">
        <f>Angela_2026_Chase1117_Activity_!G967</f>
        <v>Amazon</v>
      </c>
      <c r="D970" s="4">
        <f>Angela_2026_Chase1117_Activity_!D967</f>
        <v>-75.73</v>
      </c>
    </row>
    <row r="971" spans="1:4" x14ac:dyDescent="0.25">
      <c r="A971" s="28">
        <f>Angela_2026_Chase1117_Activity_!B968</f>
        <v>46083</v>
      </c>
      <c r="B971" s="3" t="str">
        <f>Angela_2026_Chase1117_Activity_!C968</f>
        <v>SP BLUEPRINT.BJ-5353 BLUEPRINT.BRY CA        02/28</v>
      </c>
      <c r="C971" s="3" t="str">
        <f>Angela_2026_Chase1117_Activity_!G968</f>
        <v>Personal - Health</v>
      </c>
      <c r="D971" s="4">
        <f>Angela_2026_Chase1117_Activity_!D968</f>
        <v>-325.41000000000003</v>
      </c>
    </row>
    <row r="972" spans="1:4" x14ac:dyDescent="0.25">
      <c r="A972" s="28">
        <f>Angela_2026_Chase1117_Activity_!B969</f>
        <v>46083</v>
      </c>
      <c r="B972" s="3" t="str">
        <f>Angela_2026_Chase1117_Activity_!C969</f>
        <v>COMPLETE EYE CARE CENT LOS ANGELES CA        02/27</v>
      </c>
      <c r="C972" s="3" t="str">
        <f>Angela_2026_Chase1117_Activity_!G969</f>
        <v>Personal - Health</v>
      </c>
      <c r="D972" s="4">
        <f>Angela_2026_Chase1117_Activity_!D969</f>
        <v>-330</v>
      </c>
    </row>
    <row r="973" spans="1:4" x14ac:dyDescent="0.25">
      <c r="A973" s="28">
        <f>Angela_2026_Chase1117_Activity_!B970</f>
        <v>46083</v>
      </c>
      <c r="B973" s="3" t="str">
        <f>Angela_2026_Chase1117_Activity_!C970</f>
        <v>TST* CAFE GRATITUDE - V VENICE CA            02/28</v>
      </c>
      <c r="C973" s="3" t="str">
        <f>Angela_2026_Chase1117_Activity_!G970</f>
        <v>Personal - Food</v>
      </c>
      <c r="D973" s="4">
        <f>Angela_2026_Chase1117_Activity_!D970</f>
        <v>-134.08000000000001</v>
      </c>
    </row>
    <row r="974" spans="1:4" x14ac:dyDescent="0.25">
      <c r="A974" s="28">
        <f>Angela_2026_Chase1117_Activity_!B971</f>
        <v>46083</v>
      </c>
      <c r="B974" s="3" t="str">
        <f>Angela_2026_Chase1117_Activity_!C971</f>
        <v>PARQUES DE SINTRA SINTRA                     02/27 Euro       40.00 X 1.183000 (EXCHG RTE)</v>
      </c>
      <c r="C974" s="3" t="str">
        <f>Angela_2026_Chase1117_Activity_!G971</f>
        <v>Personal Travel</v>
      </c>
      <c r="D974" s="4">
        <f>Angela_2026_Chase1117_Activity_!D971</f>
        <v>-47.32</v>
      </c>
    </row>
    <row r="975" spans="1:4" x14ac:dyDescent="0.25">
      <c r="A975" s="28">
        <f>Angela_2026_Chase1117_Activity_!B972</f>
        <v>46083</v>
      </c>
      <c r="B975" s="3" t="str">
        <f>Angela_2026_Chase1117_Activity_!C972</f>
        <v>Online Transfer from CHK ...1168 transaction#: 28278843987</v>
      </c>
      <c r="C975" s="3" t="str">
        <f>Angela_2026_Chase1117_Activity_!G972</f>
        <v>Transfer from DWG Capital Group</v>
      </c>
      <c r="D975" s="4">
        <f>Angela_2026_Chase1117_Activity_!D972</f>
        <v>4000</v>
      </c>
    </row>
    <row r="976" spans="1:4" x14ac:dyDescent="0.25">
      <c r="A976" s="28">
        <f>Angela_2026_Chase1117_Activity_!B973</f>
        <v>46083</v>
      </c>
      <c r="B976" s="3" t="str">
        <f>Angela_2026_Chase1117_Activity_!C973</f>
        <v>THE C. G. JUNG INSTIT 310-556-1193 CA        02/28</v>
      </c>
      <c r="C976" s="3" t="str">
        <f>Angela_2026_Chase1117_Activity_!G973</f>
        <v>Donation</v>
      </c>
      <c r="D976" s="4">
        <f>Angela_2026_Chase1117_Activity_!D973</f>
        <v>100</v>
      </c>
    </row>
    <row r="977" spans="1:4" x14ac:dyDescent="0.25">
      <c r="A977" s="28">
        <f>Angela_2026_Chase1117_Activity_!B974</f>
        <v>46080</v>
      </c>
      <c r="B977" s="3" t="str">
        <f>Angela_2026_Chase1117_Activity_!C974</f>
        <v>FOREIGN EXCHANGE RATE ADJUSTMENT FEE         02/27WPT*MEO B</v>
      </c>
      <c r="C977" s="3" t="str">
        <f>Angela_2026_Chase1117_Activity_!G974</f>
        <v>Personal Travel - Portugal</v>
      </c>
      <c r="D977" s="4">
        <f>Angela_2026_Chase1117_Activity_!D974</f>
        <v>-2.2799999999999998</v>
      </c>
    </row>
    <row r="978" spans="1:4" x14ac:dyDescent="0.25">
      <c r="A978" s="28">
        <f>Angela_2026_Chase1117_Activity_!B975</f>
        <v>46080</v>
      </c>
      <c r="B978" s="3" t="str">
        <f>Angela_2026_Chase1117_Activity_!C975</f>
        <v>VIATORTRIPADVISOR US 7027495744 CA           02/27</v>
      </c>
      <c r="C978" s="3" t="str">
        <f>Angela_2026_Chase1117_Activity_!G975</f>
        <v>Personal Travel</v>
      </c>
      <c r="D978" s="4">
        <f>Angela_2026_Chase1117_Activity_!D975</f>
        <v>-384.94</v>
      </c>
    </row>
    <row r="979" spans="1:4" x14ac:dyDescent="0.25">
      <c r="A979" s="28">
        <f>Angela_2026_Chase1117_Activity_!B976</f>
        <v>46080</v>
      </c>
      <c r="B979" s="3" t="str">
        <f>Angela_2026_Chase1117_Activity_!C976</f>
        <v>WPT*MEO Blueticket MEO Blueticke             02/27 Euro       64.43 X 1.183144 (EXCHG RTE)</v>
      </c>
      <c r="C979" s="3" t="str">
        <f>Angela_2026_Chase1117_Activity_!G976</f>
        <v>Personal Travel</v>
      </c>
      <c r="D979" s="4">
        <f>Angela_2026_Chase1117_Activity_!D976</f>
        <v>-76.23</v>
      </c>
    </row>
    <row r="980" spans="1:4" x14ac:dyDescent="0.25">
      <c r="A980" s="28">
        <f>Angela_2026_Chase1117_Activity_!B977</f>
        <v>46080</v>
      </c>
      <c r="B980" s="3" t="str">
        <f>Angela_2026_Chase1117_Activity_!C977</f>
        <v>SPACEWEATHERNEWS.COM SPACEWEATHERN CO        02/26</v>
      </c>
      <c r="C980" s="3" t="str">
        <f>Angela_2026_Chase1117_Activity_!G977</f>
        <v>Personal - Subscription</v>
      </c>
      <c r="D980" s="4">
        <f>Angela_2026_Chase1117_Activity_!D977</f>
        <v>-5.99</v>
      </c>
    </row>
    <row r="981" spans="1:4" x14ac:dyDescent="0.25">
      <c r="A981" s="28">
        <f>Angela_2026_Chase1117_Activity_!B978</f>
        <v>46080</v>
      </c>
      <c r="B981" s="3" t="str">
        <f>Angela_2026_Chase1117_Activity_!C978</f>
        <v>Prime Video Channels amzn.com/bill WA        02/26</v>
      </c>
      <c r="C981" s="3" t="str">
        <f>Angela_2026_Chase1117_Activity_!G978</f>
        <v>Amazon</v>
      </c>
      <c r="D981" s="4">
        <f>Angela_2026_Chase1117_Activity_!D978</f>
        <v>-6.99</v>
      </c>
    </row>
    <row r="982" spans="1:4" x14ac:dyDescent="0.25">
      <c r="A982" s="28">
        <f>Angela_2026_Chase1117_Activity_!B979</f>
        <v>46080</v>
      </c>
      <c r="B982" s="3" t="str">
        <f>Angela_2026_Chase1117_Activity_!C979</f>
        <v>AMAZON MKTPL*B91IP38 Amzn.com/bill WA        02/27</v>
      </c>
      <c r="C982" s="3" t="str">
        <f>Angela_2026_Chase1117_Activity_!G979</f>
        <v>Amazon</v>
      </c>
      <c r="D982" s="4">
        <f>Angela_2026_Chase1117_Activity_!D979</f>
        <v>-76.97</v>
      </c>
    </row>
    <row r="983" spans="1:4" x14ac:dyDescent="0.25">
      <c r="A983" s="28">
        <f>Angela_2026_Chase1117_Activity_!B980</f>
        <v>46079</v>
      </c>
      <c r="B983" s="3" t="str">
        <f>Angela_2026_Chase1117_Activity_!C980</f>
        <v>UPS*1ZAT4827029348286 800-811-1648 GA        02/26</v>
      </c>
      <c r="C983" s="3" t="str">
        <f>Angela_2026_Chase1117_Activity_!G980</f>
        <v>Shipping</v>
      </c>
      <c r="D983" s="4">
        <f>Angela_2026_Chase1117_Activity_!D980</f>
        <v>-92.12</v>
      </c>
    </row>
    <row r="984" spans="1:4" x14ac:dyDescent="0.25">
      <c r="A984" s="28">
        <f>Angela_2026_Chase1117_Activity_!B981</f>
        <v>46079</v>
      </c>
      <c r="B984" s="3" t="str">
        <f>Angela_2026_Chase1117_Activity_!C981</f>
        <v>AMAZON MARK* B93R78G AMAZON.COM/MA WA        02/26</v>
      </c>
      <c r="C984" s="3" t="str">
        <f>Angela_2026_Chase1117_Activity_!G981</f>
        <v>Amazon</v>
      </c>
      <c r="D984" s="4">
        <f>Angela_2026_Chase1117_Activity_!D981</f>
        <v>-37.25</v>
      </c>
    </row>
    <row r="985" spans="1:4" x14ac:dyDescent="0.25">
      <c r="A985" s="28">
        <f>Angela_2026_Chase1117_Activity_!B982</f>
        <v>46079</v>
      </c>
      <c r="B985" s="3" t="str">
        <f>Angela_2026_Chase1117_Activity_!C982</f>
        <v>THE UPS STORE 4398 310-9156580 CA            02/25</v>
      </c>
      <c r="C985" s="3" t="str">
        <f>Angela_2026_Chase1117_Activity_!G982</f>
        <v>Shipping</v>
      </c>
      <c r="D985" s="4">
        <f>Angela_2026_Chase1117_Activity_!D982</f>
        <v>-17.8</v>
      </c>
    </row>
    <row r="986" spans="1:4" x14ac:dyDescent="0.25">
      <c r="A986" s="28">
        <f>Angela_2026_Chase1117_Activity_!B983</f>
        <v>46079</v>
      </c>
      <c r="B986" s="3" t="str">
        <f>Angela_2026_Chase1117_Activity_!C983</f>
        <v>LADOT METER PARKING LOS ANGELES CA           02/25</v>
      </c>
      <c r="C986" s="3" t="str">
        <f>Angela_2026_Chase1117_Activity_!G983</f>
        <v>Personal - Car</v>
      </c>
      <c r="D986" s="4">
        <f>Angela_2026_Chase1117_Activity_!D983</f>
        <v>-1</v>
      </c>
    </row>
    <row r="987" spans="1:4" x14ac:dyDescent="0.25">
      <c r="A987" s="28">
        <f>Angela_2026_Chase1117_Activity_!B984</f>
        <v>46079</v>
      </c>
      <c r="B987" s="3" t="str">
        <f>Angela_2026_Chase1117_Activity_!C984</f>
        <v>GRANDVIEW CLEANERS LOS ANGELES CA            02/25</v>
      </c>
      <c r="C987" s="3" t="str">
        <f>Angela_2026_Chase1117_Activity_!G984</f>
        <v>Personal - Clothing</v>
      </c>
      <c r="D987" s="4">
        <f>Angela_2026_Chase1117_Activity_!D984</f>
        <v>-349.93</v>
      </c>
    </row>
    <row r="988" spans="1:4" x14ac:dyDescent="0.25">
      <c r="A988" s="28">
        <f>Angela_2026_Chase1117_Activity_!B985</f>
        <v>46079</v>
      </c>
      <c r="B988" s="3" t="str">
        <f>Angela_2026_Chase1117_Activity_!C985</f>
        <v>COMPLETE EYE CARE CENT LOS ANGELES CA        02/25</v>
      </c>
      <c r="C988" s="3" t="str">
        <f>Angela_2026_Chase1117_Activity_!G985</f>
        <v>Personal - Health</v>
      </c>
      <c r="D988" s="4">
        <f>Angela_2026_Chase1117_Activity_!D985</f>
        <v>-570</v>
      </c>
    </row>
    <row r="989" spans="1:4" x14ac:dyDescent="0.25">
      <c r="A989" s="28">
        <f>Angela_2026_Chase1117_Activity_!B986</f>
        <v>46079</v>
      </c>
      <c r="B989" s="3" t="str">
        <f>Angela_2026_Chase1117_Activity_!C986</f>
        <v>SSP*Art Deco Societty 310-6593326 CA         02/25</v>
      </c>
      <c r="C989" s="3" t="str">
        <f>Angela_2026_Chase1117_Activity_!G986</f>
        <v>Personal - Entertainment</v>
      </c>
      <c r="D989" s="4">
        <f>Angela_2026_Chase1117_Activity_!D986</f>
        <v>-72.22</v>
      </c>
    </row>
    <row r="990" spans="1:4" x14ac:dyDescent="0.25">
      <c r="A990" s="28">
        <f>Angela_2026_Chase1117_Activity_!B987</f>
        <v>46079</v>
      </c>
      <c r="B990" s="3" t="str">
        <f>Angela_2026_Chase1117_Activity_!C987</f>
        <v>AMAZON MKTPL*MY04T3K Amzn.com/bill WA        02/25</v>
      </c>
      <c r="C990" s="3" t="str">
        <f>Angela_2026_Chase1117_Activity_!G987</f>
        <v>Amazon</v>
      </c>
      <c r="D990" s="4">
        <f>Angela_2026_Chase1117_Activity_!D987</f>
        <v>-24.13</v>
      </c>
    </row>
    <row r="991" spans="1:4" x14ac:dyDescent="0.25">
      <c r="A991" s="28">
        <f>Angela_2026_Chase1117_Activity_!B988</f>
        <v>46078</v>
      </c>
      <c r="B991" s="3" t="str">
        <f>Angela_2026_Chase1117_Activity_!C988</f>
        <v>FOREIGN EXCHANGE RATE ADJUSTMENT FEE         02/25MADERO PA</v>
      </c>
      <c r="C991" s="3" t="str">
        <f>Angela_2026_Chase1117_Activity_!G988</f>
        <v>Personal Travel - Portugal</v>
      </c>
      <c r="D991" s="4">
        <f>Angela_2026_Chase1117_Activity_!D988</f>
        <v>-0.05</v>
      </c>
    </row>
    <row r="992" spans="1:4" x14ac:dyDescent="0.25">
      <c r="A992" s="28">
        <f>Angela_2026_Chase1117_Activity_!B989</f>
        <v>46078</v>
      </c>
      <c r="B992" s="3" t="str">
        <f>Angela_2026_Chase1117_Activity_!C989</f>
        <v>RAINBOW ACRES LOS ANGELES CA         133590  02/25</v>
      </c>
      <c r="C992" s="3" t="str">
        <f>Angela_2026_Chase1117_Activity_!G989</f>
        <v>Personal - Misc</v>
      </c>
      <c r="D992" s="4">
        <f>Angela_2026_Chase1117_Activity_!D989</f>
        <v>-273.91000000000003</v>
      </c>
    </row>
    <row r="993" spans="1:4" x14ac:dyDescent="0.25">
      <c r="A993" s="28">
        <f>Angela_2026_Chase1117_Activity_!B990</f>
        <v>46078</v>
      </c>
      <c r="B993" s="3" t="str">
        <f>Angela_2026_Chase1117_Activity_!C990</f>
        <v>WITHDRAWAL 02/25</v>
      </c>
      <c r="C993" s="3" t="str">
        <f>Angela_2026_Chase1117_Activity_!G990</f>
        <v>Withdrawal</v>
      </c>
      <c r="D993" s="4">
        <f>Angela_2026_Chase1117_Activity_!D990</f>
        <v>-4600</v>
      </c>
    </row>
    <row r="994" spans="1:4" x14ac:dyDescent="0.25">
      <c r="A994" s="28">
        <f>Angela_2026_Chase1117_Activity_!B991</f>
        <v>46078</v>
      </c>
      <c r="B994" s="3" t="str">
        <f>Angela_2026_Chase1117_Activity_!C991</f>
        <v>VIATORTRIPADVISOR US 7027495744 CA           02/25</v>
      </c>
      <c r="C994" s="3" t="str">
        <f>Angela_2026_Chase1117_Activity_!G991</f>
        <v>Personal Travel</v>
      </c>
      <c r="D994" s="4">
        <f>Angela_2026_Chase1117_Activity_!D991</f>
        <v>-511.24</v>
      </c>
    </row>
    <row r="995" spans="1:4" x14ac:dyDescent="0.25">
      <c r="A995" s="28">
        <f>Angela_2026_Chase1117_Activity_!B992</f>
        <v>46078</v>
      </c>
      <c r="B995" s="3" t="str">
        <f>Angela_2026_Chase1117_Activity_!C992</f>
        <v>EIGHT SLEEP EIGHTSLEEP.CO NY                 02/25</v>
      </c>
      <c r="C995" s="3" t="str">
        <f>Angela_2026_Chase1117_Activity_!G992</f>
        <v>Personal - Health</v>
      </c>
      <c r="D995" s="4">
        <f>Angela_2026_Chase1117_Activity_!D992</f>
        <v>-108.66</v>
      </c>
    </row>
    <row r="996" spans="1:4" x14ac:dyDescent="0.25">
      <c r="A996" s="28">
        <f>Angela_2026_Chase1117_Activity_!B993</f>
        <v>46078</v>
      </c>
      <c r="B996" s="3" t="str">
        <f>Angela_2026_Chase1117_Activity_!C993</f>
        <v>MADERO PARQU88839 SAO PAULO                  02/25 BR Real    10.21 X 0.1949070 (EXCHG RTE)</v>
      </c>
      <c r="C996" s="3" t="str">
        <f>Angela_2026_Chase1117_Activity_!G993</f>
        <v>Personal Travel</v>
      </c>
      <c r="D996" s="4">
        <f>Angela_2026_Chase1117_Activity_!D993</f>
        <v>-1.99</v>
      </c>
    </row>
    <row r="997" spans="1:4" x14ac:dyDescent="0.25">
      <c r="A997" s="28">
        <f>Angela_2026_Chase1117_Activity_!B994</f>
        <v>46078</v>
      </c>
      <c r="B997" s="3" t="str">
        <f>Angela_2026_Chase1117_Activity_!C994</f>
        <v>LUKE UNFILTERED WEARECHANGE.O FL             02/25</v>
      </c>
      <c r="C997" s="3" t="str">
        <f>Angela_2026_Chase1117_Activity_!G994</f>
        <v>Personal - Subscription</v>
      </c>
      <c r="D997" s="4">
        <f>Angela_2026_Chase1117_Activity_!D994</f>
        <v>-15</v>
      </c>
    </row>
    <row r="998" spans="1:4" x14ac:dyDescent="0.25">
      <c r="A998" s="28">
        <f>Angela_2026_Chase1117_Activity_!B995</f>
        <v>46078</v>
      </c>
      <c r="B998" s="3" t="str">
        <f>Angela_2026_Chase1117_Activity_!C995</f>
        <v>AMAZON PRIME*M15Z877 Amzn.com/bill WA        02/24</v>
      </c>
      <c r="C998" s="3" t="str">
        <f>Angela_2026_Chase1117_Activity_!G995</f>
        <v>Amazon</v>
      </c>
      <c r="D998" s="4">
        <f>Angela_2026_Chase1117_Activity_!D995</f>
        <v>-16.45</v>
      </c>
    </row>
    <row r="999" spans="1:4" x14ac:dyDescent="0.25">
      <c r="A999" s="28">
        <f>Angela_2026_Chase1117_Activity_!B996</f>
        <v>46078</v>
      </c>
      <c r="B999" s="3" t="str">
        <f>Angela_2026_Chase1117_Activity_!C996</f>
        <v>HEALTHTRACKRX 866-287-3218 TX                02/24</v>
      </c>
      <c r="C999" s="3" t="str">
        <f>Angela_2026_Chase1117_Activity_!G996</f>
        <v>Personal - Health</v>
      </c>
      <c r="D999" s="4">
        <f>Angela_2026_Chase1117_Activity_!D996</f>
        <v>-40</v>
      </c>
    </row>
    <row r="1000" spans="1:4" x14ac:dyDescent="0.25">
      <c r="A1000" s="28">
        <f>Angela_2026_Chase1117_Activity_!B997</f>
        <v>46078</v>
      </c>
      <c r="B1000" s="3" t="str">
        <f>Angela_2026_Chase1117_Activity_!C997</f>
        <v>ATT*BILL PAYMENT 800-288-2020 TX             02/24</v>
      </c>
      <c r="C1000" s="3" t="str">
        <f>Angela_2026_Chase1117_Activity_!G997</f>
        <v>AT&amp;T</v>
      </c>
      <c r="D1000" s="4">
        <f>Angela_2026_Chase1117_Activity_!D997</f>
        <v>-555.02</v>
      </c>
    </row>
    <row r="1001" spans="1:4" x14ac:dyDescent="0.25">
      <c r="A1001" s="28">
        <f>Angela_2026_Chase1117_Activity_!B998</f>
        <v>46078</v>
      </c>
      <c r="B1001" s="3" t="str">
        <f>Angela_2026_Chase1117_Activity_!C998</f>
        <v>AMAZON MKTPL*2O9OM8A Amzn.com/bill WA        02/24</v>
      </c>
      <c r="C1001" s="3" t="str">
        <f>Angela_2026_Chase1117_Activity_!G998</f>
        <v>Amazon</v>
      </c>
      <c r="D1001" s="4">
        <f>Angela_2026_Chase1117_Activity_!D998</f>
        <v>-89.96</v>
      </c>
    </row>
    <row r="1002" spans="1:4" x14ac:dyDescent="0.25">
      <c r="A1002" s="28">
        <f>Angela_2026_Chase1117_Activity_!B999</f>
        <v>46078</v>
      </c>
      <c r="B1002" s="3" t="str">
        <f>Angela_2026_Chase1117_Activity_!C999</f>
        <v>AMAZON MKTPL*4V9LA21 Amzn.com/bill WA        02/25</v>
      </c>
      <c r="C1002" s="3" t="str">
        <f>Angela_2026_Chase1117_Activity_!G999</f>
        <v>Amazon</v>
      </c>
      <c r="D1002" s="4">
        <f>Angela_2026_Chase1117_Activity_!D999</f>
        <v>-19.73</v>
      </c>
    </row>
    <row r="1003" spans="1:4" x14ac:dyDescent="0.25">
      <c r="A1003" s="28">
        <f>Angela_2026_Chase1117_Activity_!B1000</f>
        <v>46078</v>
      </c>
      <c r="B1003" s="3" t="str">
        <f>Angela_2026_Chase1117_Activity_!C1000</f>
        <v>AMAZON MARK* BE5YO2N AMAZON.COM/MA WA        02/25</v>
      </c>
      <c r="C1003" s="3" t="str">
        <f>Angela_2026_Chase1117_Activity_!G1000</f>
        <v>Amazon</v>
      </c>
      <c r="D1003" s="4">
        <f>Angela_2026_Chase1117_Activity_!D1000</f>
        <v>-73.39</v>
      </c>
    </row>
    <row r="1004" spans="1:4" x14ac:dyDescent="0.25">
      <c r="A1004" s="28">
        <f>Angela_2026_Chase1117_Activity_!B1001</f>
        <v>46078</v>
      </c>
      <c r="B1004" s="3" t="str">
        <f>Angela_2026_Chase1117_Activity_!C1001</f>
        <v>Online Transfer from CHK ...9335 transaction#: 28201880160</v>
      </c>
      <c r="C1004" s="3" t="str">
        <f>Angela_2026_Chase1117_Activity_!G1001</f>
        <v>Transfer from Poseidon Asset Group</v>
      </c>
      <c r="D1004" s="4">
        <f>Angela_2026_Chase1117_Activity_!D1001</f>
        <v>10000</v>
      </c>
    </row>
    <row r="1005" spans="1:4" x14ac:dyDescent="0.25">
      <c r="A1005" s="28">
        <f>Angela_2026_Chase1117_Activity_!B1002</f>
        <v>46078</v>
      </c>
      <c r="B1005" s="3" t="str">
        <f>Angela_2026_Chase1117_Activity_!C1002</f>
        <v>DEPOSIT  ID NUMBER 143174</v>
      </c>
      <c r="C1005" s="3" t="str">
        <f>Angela_2026_Chase1117_Activity_!G1002</f>
        <v>Deposit</v>
      </c>
      <c r="D1005" s="4">
        <f>Angela_2026_Chase1117_Activity_!D1002</f>
        <v>57.2</v>
      </c>
    </row>
    <row r="1006" spans="1:4" x14ac:dyDescent="0.25">
      <c r="A1006" s="28">
        <f>Angela_2026_Chase1117_Activity_!B1003</f>
        <v>46078</v>
      </c>
      <c r="B1006" s="3" t="str">
        <f>Angela_2026_Chase1117_Activity_!C1003</f>
        <v>DEPOSIT  ID NUMBER 143168</v>
      </c>
      <c r="C1006" s="3" t="str">
        <f>Angela_2026_Chase1117_Activity_!G1003</f>
        <v>Deposit</v>
      </c>
      <c r="D1006" s="4">
        <f>Angela_2026_Chase1117_Activity_!D1003</f>
        <v>1225</v>
      </c>
    </row>
    <row r="1007" spans="1:4" x14ac:dyDescent="0.25">
      <c r="A1007" s="28">
        <f>Angela_2026_Chase1117_Activity_!B1004</f>
        <v>46077</v>
      </c>
      <c r="B1007" s="3" t="str">
        <f>Angela_2026_Chase1117_Activity_!C1004</f>
        <v>Online Transfer to CHK ...6975 transaction#: 28192481937 02/24</v>
      </c>
      <c r="C1007" s="3" t="str">
        <f>Angela_2026_Chase1117_Activity_!G1004</f>
        <v>Transfer to Ava</v>
      </c>
      <c r="D1007" s="4">
        <f>Angela_2026_Chase1117_Activity_!D1004</f>
        <v>-100</v>
      </c>
    </row>
    <row r="1008" spans="1:4" x14ac:dyDescent="0.25">
      <c r="A1008" s="28">
        <f>Angela_2026_Chase1117_Activity_!B1005</f>
        <v>46077</v>
      </c>
      <c r="B1008" s="3" t="str">
        <f>Angela_2026_Chase1117_Activity_!C1005</f>
        <v>EXPEDIA 73381337714487 EXPEDIA.COM WA        02/24</v>
      </c>
      <c r="C1008" s="3" t="str">
        <f>Angela_2026_Chase1117_Activity_!G1005</f>
        <v>Personal Travel</v>
      </c>
      <c r="D1008" s="4">
        <f>Angela_2026_Chase1117_Activity_!D1005</f>
        <v>-1136.6600000000001</v>
      </c>
    </row>
    <row r="1009" spans="1:4" x14ac:dyDescent="0.25">
      <c r="A1009" s="28">
        <f>Angela_2026_Chase1117_Activity_!B1006</f>
        <v>46077</v>
      </c>
      <c r="B1009" s="3" t="str">
        <f>Angela_2026_Chase1117_Activity_!C1006</f>
        <v>AMAZON MKTPL*B95SR1L Amzn.com/bill WA        02/24</v>
      </c>
      <c r="C1009" s="3" t="str">
        <f>Angela_2026_Chase1117_Activity_!G1006</f>
        <v>Amazon</v>
      </c>
      <c r="D1009" s="4">
        <f>Angela_2026_Chase1117_Activity_!D1006</f>
        <v>-100.94</v>
      </c>
    </row>
    <row r="1010" spans="1:4" x14ac:dyDescent="0.25">
      <c r="A1010" s="28">
        <f>Angela_2026_Chase1117_Activity_!B1007</f>
        <v>46077</v>
      </c>
      <c r="B1010" s="3" t="str">
        <f>Angela_2026_Chase1117_Activity_!C1007</f>
        <v>Amazon.com*FU2GT4KT3 Amzn.com/bill WA        02/24</v>
      </c>
      <c r="C1010" s="3" t="str">
        <f>Angela_2026_Chase1117_Activity_!G1007</f>
        <v>Amazon</v>
      </c>
      <c r="D1010" s="4">
        <f>Angela_2026_Chase1117_Activity_!D1007</f>
        <v>-21.95</v>
      </c>
    </row>
    <row r="1011" spans="1:4" x14ac:dyDescent="0.25">
      <c r="A1011" s="28">
        <f>Angela_2026_Chase1117_Activity_!B1008</f>
        <v>46077</v>
      </c>
      <c r="B1011" s="3" t="str">
        <f>Angela_2026_Chase1117_Activity_!C1008</f>
        <v>Amazon Tips*7I36J2JR Amzn.com/bill WA        02/23</v>
      </c>
      <c r="C1011" s="3" t="str">
        <f>Angela_2026_Chase1117_Activity_!G1008</f>
        <v>Amazon</v>
      </c>
      <c r="D1011" s="4">
        <f>Angela_2026_Chase1117_Activity_!D1008</f>
        <v>-20</v>
      </c>
    </row>
    <row r="1012" spans="1:4" x14ac:dyDescent="0.25">
      <c r="A1012" s="28">
        <f>Angela_2026_Chase1117_Activity_!B1009</f>
        <v>46077</v>
      </c>
      <c r="B1012" s="3" t="str">
        <f>Angela_2026_Chase1117_Activity_!C1009</f>
        <v>APPLE.COM/BILL 866-712-7753 CA               02/23</v>
      </c>
      <c r="C1012" s="3" t="str">
        <f>Angela_2026_Chase1117_Activity_!G1009</f>
        <v>Apple</v>
      </c>
      <c r="D1012" s="4">
        <f>Angela_2026_Chase1117_Activity_!D1009</f>
        <v>-10.99</v>
      </c>
    </row>
    <row r="1013" spans="1:4" x14ac:dyDescent="0.25">
      <c r="A1013" s="28">
        <f>Angela_2026_Chase1117_Activity_!B1010</f>
        <v>46077</v>
      </c>
      <c r="B1013" s="3" t="str">
        <f>Angela_2026_Chase1117_Activity_!C1010</f>
        <v>AMAZON MARK* XR8TK8Z AMAZON.COM/MA WA        02/24</v>
      </c>
      <c r="C1013" s="3" t="str">
        <f>Angela_2026_Chase1117_Activity_!G1010</f>
        <v>Amazon</v>
      </c>
      <c r="D1013" s="4">
        <f>Angela_2026_Chase1117_Activity_!D1010</f>
        <v>-69.739999999999995</v>
      </c>
    </row>
    <row r="1014" spans="1:4" x14ac:dyDescent="0.25">
      <c r="A1014" s="28">
        <f>Angela_2026_Chase1117_Activity_!B1011</f>
        <v>46077</v>
      </c>
      <c r="B1014" s="3" t="str">
        <f>Angela_2026_Chase1117_Activity_!C1011</f>
        <v>AMAZON RETA* BE06T3F WWW.AMAZON.CO WA        02/24</v>
      </c>
      <c r="C1014" s="3" t="str">
        <f>Angela_2026_Chase1117_Activity_!G1011</f>
        <v>Amazon</v>
      </c>
      <c r="D1014" s="4">
        <f>Angela_2026_Chase1117_Activity_!D1011</f>
        <v>-37.06</v>
      </c>
    </row>
    <row r="1015" spans="1:4" x14ac:dyDescent="0.25">
      <c r="A1015" s="28">
        <f>Angela_2026_Chase1117_Activity_!B1012</f>
        <v>46077</v>
      </c>
      <c r="B1015" s="3" t="str">
        <f>Angela_2026_Chase1117_Activity_!C1012</f>
        <v>AMAZON MKTPL*B92OG6O Amzn.com/bill WA        02/23</v>
      </c>
      <c r="C1015" s="3" t="str">
        <f>Angela_2026_Chase1117_Activity_!G1012</f>
        <v>Amazon</v>
      </c>
      <c r="D1015" s="4">
        <f>Angela_2026_Chase1117_Activity_!D1012</f>
        <v>-85.58</v>
      </c>
    </row>
    <row r="1016" spans="1:4" x14ac:dyDescent="0.25">
      <c r="A1016" s="28">
        <f>Angela_2026_Chase1117_Activity_!B1013</f>
        <v>46077</v>
      </c>
      <c r="B1016" s="3" t="str">
        <f>Angela_2026_Chase1117_Activity_!C1013</f>
        <v>AMAZON MKTPL*BE87Y6C Amzn.com/bill WA        02/23</v>
      </c>
      <c r="C1016" s="3" t="str">
        <f>Angela_2026_Chase1117_Activity_!G1013</f>
        <v>Amazon</v>
      </c>
      <c r="D1016" s="4">
        <f>Angela_2026_Chase1117_Activity_!D1013</f>
        <v>-174.47</v>
      </c>
    </row>
    <row r="1017" spans="1:4" x14ac:dyDescent="0.25">
      <c r="A1017" s="28">
        <f>Angela_2026_Chase1117_Activity_!B1014</f>
        <v>46077</v>
      </c>
      <c r="B1017" s="3" t="str">
        <f>Angela_2026_Chase1117_Activity_!C1014</f>
        <v>AMAZON RETA* YD01F1SP3 SEATTLE WA            02/23</v>
      </c>
      <c r="C1017" s="3" t="str">
        <f>Angela_2026_Chase1117_Activity_!G1014</f>
        <v>Amazon</v>
      </c>
      <c r="D1017" s="4">
        <f>Angela_2026_Chase1117_Activity_!D1014</f>
        <v>31.77</v>
      </c>
    </row>
    <row r="1018" spans="1:4" x14ac:dyDescent="0.25">
      <c r="A1018" s="28">
        <f>Angela_2026_Chase1117_Activity_!B1015</f>
        <v>46076</v>
      </c>
      <c r="B1018" s="3" t="str">
        <f>Angela_2026_Chase1117_Activity_!C1015</f>
        <v>MCAFEE*AUTORENEWAL 866-622-3911 TX           02/23</v>
      </c>
      <c r="C1018" s="3" t="str">
        <f>Angela_2026_Chase1117_Activity_!G1015</f>
        <v>Personal - Subscription</v>
      </c>
      <c r="D1018" s="4">
        <f>Angela_2026_Chase1117_Activity_!D1015</f>
        <v>-279.99</v>
      </c>
    </row>
    <row r="1019" spans="1:4" x14ac:dyDescent="0.25">
      <c r="A1019" s="28">
        <f>Angela_2026_Chase1117_Activity_!B1016</f>
        <v>46076</v>
      </c>
      <c r="B1019" s="3" t="str">
        <f>Angela_2026_Chase1117_Activity_!C1016</f>
        <v>SP RAJANIMD STORE.RAJANIM OR                 02/23</v>
      </c>
      <c r="C1019" s="3" t="str">
        <f>Angela_2026_Chase1117_Activity_!G1016</f>
        <v>Personal - Health</v>
      </c>
      <c r="D1019" s="4">
        <f>Angela_2026_Chase1117_Activity_!D1016</f>
        <v>-257.04000000000002</v>
      </c>
    </row>
    <row r="1020" spans="1:4" x14ac:dyDescent="0.25">
      <c r="A1020" s="28">
        <f>Angela_2026_Chase1117_Activity_!B1017</f>
        <v>46076</v>
      </c>
      <c r="B1020" s="3" t="str">
        <f>Angela_2026_Chase1117_Activity_!C1017</f>
        <v>AMAZON MARK* B90TU8W AMAZON.COM/MA WA        02/23</v>
      </c>
      <c r="C1020" s="3" t="str">
        <f>Angela_2026_Chase1117_Activity_!G1017</f>
        <v>Amazon</v>
      </c>
      <c r="D1020" s="4">
        <f>Angela_2026_Chase1117_Activity_!D1017</f>
        <v>-166.28</v>
      </c>
    </row>
    <row r="1021" spans="1:4" x14ac:dyDescent="0.25">
      <c r="A1021" s="28">
        <f>Angela_2026_Chase1117_Activity_!B1018</f>
        <v>46076</v>
      </c>
      <c r="B1021" s="3" t="str">
        <f>Angela_2026_Chase1117_Activity_!C1018</f>
        <v>AMAZON MARK* AX3CW81 AMAZON.COM/MA WA        02/23</v>
      </c>
      <c r="C1021" s="3" t="str">
        <f>Angela_2026_Chase1117_Activity_!G1018</f>
        <v>Amazon</v>
      </c>
      <c r="D1021" s="4">
        <f>Angela_2026_Chase1117_Activity_!D1018</f>
        <v>-147.02000000000001</v>
      </c>
    </row>
    <row r="1022" spans="1:4" x14ac:dyDescent="0.25">
      <c r="A1022" s="28">
        <f>Angela_2026_Chase1117_Activity_!B1019</f>
        <v>46076</v>
      </c>
      <c r="B1022" s="3" t="str">
        <f>Angela_2026_Chase1117_Activity_!C1019</f>
        <v>AMAZON RETA* 0B8KA8W WWW.AMAZON.CO WA        02/23</v>
      </c>
      <c r="C1022" s="3" t="str">
        <f>Angela_2026_Chase1117_Activity_!G1019</f>
        <v>Amazon</v>
      </c>
      <c r="D1022" s="4">
        <f>Angela_2026_Chase1117_Activity_!D1019</f>
        <v>-22.2</v>
      </c>
    </row>
    <row r="1023" spans="1:4" x14ac:dyDescent="0.25">
      <c r="A1023" s="28">
        <f>Angela_2026_Chase1117_Activity_!B1020</f>
        <v>46076</v>
      </c>
      <c r="B1023" s="3" t="str">
        <f>Angela_2026_Chase1117_Activity_!C1020</f>
        <v>SP WELLNESS COMPANY TWC.HEALTH FL            02/23</v>
      </c>
      <c r="C1023" s="3" t="str">
        <f>Angela_2026_Chase1117_Activity_!G1020</f>
        <v>Personal - Health</v>
      </c>
      <c r="D1023" s="4">
        <f>Angela_2026_Chase1117_Activity_!D1020</f>
        <v>-1149.96</v>
      </c>
    </row>
    <row r="1024" spans="1:4" x14ac:dyDescent="0.25">
      <c r="A1024" s="28">
        <f>Angela_2026_Chase1117_Activity_!B1021</f>
        <v>46076</v>
      </c>
      <c r="B1024" s="3" t="str">
        <f>Angela_2026_Chase1117_Activity_!C1021</f>
        <v>Amazon.com*B11W03WN1 Amzn.com/bill WA        02/22</v>
      </c>
      <c r="C1024" s="3" t="str">
        <f>Angela_2026_Chase1117_Activity_!G1021</f>
        <v>Amazon</v>
      </c>
      <c r="D1024" s="4">
        <f>Angela_2026_Chase1117_Activity_!D1021</f>
        <v>-333.29</v>
      </c>
    </row>
    <row r="1025" spans="1:4" x14ac:dyDescent="0.25">
      <c r="A1025" s="28">
        <f>Angela_2026_Chase1117_Activity_!B1022</f>
        <v>46076</v>
      </c>
      <c r="B1025" s="3" t="str">
        <f>Angela_2026_Chase1117_Activity_!C1022</f>
        <v>REPUBLIC SERVICES TRA 866-576-5548 AZ        02/22</v>
      </c>
      <c r="C1025" s="3" t="str">
        <f>Angela_2026_Chase1117_Activity_!G1022</f>
        <v>Personal - House Bills</v>
      </c>
      <c r="D1025" s="4">
        <f>Angela_2026_Chase1117_Activity_!D1022</f>
        <v>-212.87</v>
      </c>
    </row>
    <row r="1026" spans="1:4" x14ac:dyDescent="0.25">
      <c r="A1026" s="28">
        <f>Angela_2026_Chase1117_Activity_!B1023</f>
        <v>46076</v>
      </c>
      <c r="B1026" s="3" t="str">
        <f>Angela_2026_Chase1117_Activity_!C1023</f>
        <v>EXPEDIA 73379893150469 EXPEDIA.COM WA        02/22</v>
      </c>
      <c r="C1026" s="3" t="str">
        <f>Angela_2026_Chase1117_Activity_!G1023</f>
        <v>Personal Travel</v>
      </c>
      <c r="D1026" s="4">
        <f>Angela_2026_Chase1117_Activity_!D1023</f>
        <v>-2439.3000000000002</v>
      </c>
    </row>
    <row r="1027" spans="1:4" x14ac:dyDescent="0.25">
      <c r="A1027" s="28">
        <f>Angela_2026_Chase1117_Activity_!B1024</f>
        <v>46076</v>
      </c>
      <c r="B1027" s="3" t="str">
        <f>Angela_2026_Chase1117_Activity_!C1024</f>
        <v>EXPEDIA 73379875844234 EXPEDIA.COM WA        02/22</v>
      </c>
      <c r="C1027" s="3" t="str">
        <f>Angela_2026_Chase1117_Activity_!G1024</f>
        <v>Personal Travel</v>
      </c>
      <c r="D1027" s="4">
        <f>Angela_2026_Chase1117_Activity_!D1024</f>
        <v>-1161.9000000000001</v>
      </c>
    </row>
    <row r="1028" spans="1:4" x14ac:dyDescent="0.25">
      <c r="A1028" s="28">
        <f>Angela_2026_Chase1117_Activity_!B1025</f>
        <v>46076</v>
      </c>
      <c r="B1028" s="3" t="str">
        <f>Angela_2026_Chase1117_Activity_!C1025</f>
        <v>EXPEDIA 73379867240273 EXPEDIA.COM WA        02/22</v>
      </c>
      <c r="C1028" s="3" t="str">
        <f>Angela_2026_Chase1117_Activity_!G1025</f>
        <v>Personal Travel</v>
      </c>
      <c r="D1028" s="4">
        <f>Angela_2026_Chase1117_Activity_!D1025</f>
        <v>-1285.8900000000001</v>
      </c>
    </row>
    <row r="1029" spans="1:4" x14ac:dyDescent="0.25">
      <c r="A1029" s="28">
        <f>Angela_2026_Chase1117_Activity_!B1026</f>
        <v>46076</v>
      </c>
      <c r="B1029" s="3" t="str">
        <f>Angela_2026_Chase1117_Activity_!C1026</f>
        <v>EXPEDIA 73379803247427 EXPEDIA.COM WA        02/22</v>
      </c>
      <c r="C1029" s="3" t="str">
        <f>Angela_2026_Chase1117_Activity_!G1026</f>
        <v>Personal Travel</v>
      </c>
      <c r="D1029" s="4">
        <f>Angela_2026_Chase1117_Activity_!D1026</f>
        <v>-741.34</v>
      </c>
    </row>
    <row r="1030" spans="1:4" x14ac:dyDescent="0.25">
      <c r="A1030" s="28">
        <f>Angela_2026_Chase1117_Activity_!B1027</f>
        <v>46076</v>
      </c>
      <c r="B1030" s="3" t="str">
        <f>Angela_2026_Chase1117_Activity_!C1027</f>
        <v>EXPEDIA 73379792077658 EXPEDIA.COM WA        02/22</v>
      </c>
      <c r="C1030" s="3" t="str">
        <f>Angela_2026_Chase1117_Activity_!G1027</f>
        <v>Personal Travel</v>
      </c>
      <c r="D1030" s="4">
        <f>Angela_2026_Chase1117_Activity_!D1027</f>
        <v>-1787.5</v>
      </c>
    </row>
    <row r="1031" spans="1:4" x14ac:dyDescent="0.25">
      <c r="A1031" s="28">
        <f>Angela_2026_Chase1117_Activity_!B1028</f>
        <v>46076</v>
      </c>
      <c r="B1031" s="3" t="str">
        <f>Angela_2026_Chase1117_Activity_!C1028</f>
        <v>EXPEDIA 73378908602881 EXPEDIA.COM WA        02/21</v>
      </c>
      <c r="C1031" s="3" t="str">
        <f>Angela_2026_Chase1117_Activity_!G1028</f>
        <v>Personal Travel</v>
      </c>
      <c r="D1031" s="4">
        <f>Angela_2026_Chase1117_Activity_!D1028</f>
        <v>-296.91000000000003</v>
      </c>
    </row>
    <row r="1032" spans="1:4" x14ac:dyDescent="0.25">
      <c r="A1032" s="28">
        <f>Angela_2026_Chase1117_Activity_!B1029</f>
        <v>46076</v>
      </c>
      <c r="B1032" s="3" t="str">
        <f>Angela_2026_Chase1117_Activity_!C1029</f>
        <v>VIRGINATLAIR932746939 180-08628621 GA        02/20</v>
      </c>
      <c r="C1032" s="3" t="str">
        <f>Angela_2026_Chase1117_Activity_!G1029</f>
        <v>Personal Travel</v>
      </c>
      <c r="D1032" s="4">
        <f>Angela_2026_Chase1117_Activity_!D1029</f>
        <v>-890.13</v>
      </c>
    </row>
    <row r="1033" spans="1:4" x14ac:dyDescent="0.25">
      <c r="A1033" s="28">
        <f>Angela_2026_Chase1117_Activity_!B1030</f>
        <v>46076</v>
      </c>
      <c r="B1033" s="3" t="str">
        <f>Angela_2026_Chase1117_Activity_!C1030</f>
        <v>NEXTLINK BROADBAND 855-6985465 TX            02/20</v>
      </c>
      <c r="C1033" s="3" t="str">
        <f>Angela_2026_Chase1117_Activity_!G1030</f>
        <v>Personal - House Bills</v>
      </c>
      <c r="D1033" s="4">
        <f>Angela_2026_Chase1117_Activity_!D1030</f>
        <v>-149.96</v>
      </c>
    </row>
    <row r="1034" spans="1:4" x14ac:dyDescent="0.25">
      <c r="A1034" s="28">
        <f>Angela_2026_Chase1117_Activity_!B1031</f>
        <v>46076</v>
      </c>
      <c r="B1034" s="3" t="str">
        <f>Angela_2026_Chase1117_Activity_!C1031</f>
        <v>TAP AIR     00000179 WWW.FLYTAP.CO NJ        02/20</v>
      </c>
      <c r="C1034" s="3" t="str">
        <f>Angela_2026_Chase1117_Activity_!G1031</f>
        <v>Personal Travel</v>
      </c>
      <c r="D1034" s="4">
        <f>Angela_2026_Chase1117_Activity_!D1031</f>
        <v>-1679.86</v>
      </c>
    </row>
    <row r="1035" spans="1:4" x14ac:dyDescent="0.25">
      <c r="A1035" s="28">
        <f>Angela_2026_Chase1117_Activity_!B1032</f>
        <v>46076</v>
      </c>
      <c r="B1035" s="3" t="str">
        <f>Angela_2026_Chase1117_Activity_!C1032</f>
        <v>APPLE CASH SENT MONE 1INFINITELOOP CA        02/20</v>
      </c>
      <c r="C1035" s="3" t="str">
        <f>Angela_2026_Chase1117_Activity_!G1032</f>
        <v>Apple</v>
      </c>
      <c r="D1035" s="4">
        <f>Angela_2026_Chase1117_Activity_!D1032</f>
        <v>-1000</v>
      </c>
    </row>
    <row r="1036" spans="1:4" x14ac:dyDescent="0.25">
      <c r="A1036" s="28">
        <f>Angela_2026_Chase1117_Activity_!B1033</f>
        <v>46076</v>
      </c>
      <c r="B1036" s="3" t="str">
        <f>Angela_2026_Chase1117_Activity_!C1033</f>
        <v>APPLE CASH SENT MONE 1INFINITELOOP CA        02/20</v>
      </c>
      <c r="C1036" s="3" t="str">
        <f>Angela_2026_Chase1117_Activity_!G1033</f>
        <v>Apple</v>
      </c>
      <c r="D1036" s="4">
        <f>Angela_2026_Chase1117_Activity_!D1033</f>
        <v>-1000</v>
      </c>
    </row>
    <row r="1037" spans="1:4" x14ac:dyDescent="0.25">
      <c r="A1037" s="28">
        <f>Angela_2026_Chase1117_Activity_!B1034</f>
        <v>46073</v>
      </c>
      <c r="B1037" s="3" t="str">
        <f>Angela_2026_Chase1117_Activity_!C1034</f>
        <v>WP*WORDPRESS ET1F1S6 WORDPRESS.COM CA        02/20</v>
      </c>
      <c r="C1037" s="3" t="str">
        <f>Angela_2026_Chase1117_Activity_!G1034</f>
        <v>Personal - Subscription</v>
      </c>
      <c r="D1037" s="4">
        <f>Angela_2026_Chase1117_Activity_!D1034</f>
        <v>-96</v>
      </c>
    </row>
    <row r="1038" spans="1:4" x14ac:dyDescent="0.25">
      <c r="A1038" s="28">
        <f>Angela_2026_Chase1117_Activity_!B1035</f>
        <v>46073</v>
      </c>
      <c r="B1038" s="3" t="str">
        <f>Angela_2026_Chase1117_Activity_!C1035</f>
        <v>EXPEDIA 73378489827446 EXPEDIA.COM WA        02/20</v>
      </c>
      <c r="C1038" s="3" t="str">
        <f>Angela_2026_Chase1117_Activity_!G1035</f>
        <v>Personal Travel</v>
      </c>
      <c r="D1038" s="4">
        <f>Angela_2026_Chase1117_Activity_!D1035</f>
        <v>-3583</v>
      </c>
    </row>
    <row r="1039" spans="1:4" x14ac:dyDescent="0.25">
      <c r="A1039" s="28">
        <f>Angela_2026_Chase1117_Activity_!B1036</f>
        <v>46073</v>
      </c>
      <c r="B1039" s="3" t="str">
        <f>Angela_2026_Chase1117_Activity_!C1036</f>
        <v>SCRIBD* R680020687 SCRIBD.COM CA             02/20</v>
      </c>
      <c r="C1039" s="3" t="str">
        <f>Angela_2026_Chase1117_Activity_!G1036</f>
        <v>Personal - Subscription</v>
      </c>
      <c r="D1039" s="4">
        <f>Angela_2026_Chase1117_Activity_!D1036</f>
        <v>-11.99</v>
      </c>
    </row>
    <row r="1040" spans="1:4" x14ac:dyDescent="0.25">
      <c r="A1040" s="28">
        <f>Angela_2026_Chase1117_Activity_!B1037</f>
        <v>46073</v>
      </c>
      <c r="B1040" s="3" t="str">
        <f>Angela_2026_Chase1117_Activity_!C1037</f>
        <v>ALLIANZ EVENT INS ALLIANZINS.US VA           02/20</v>
      </c>
      <c r="C1040" s="3" t="str">
        <f>Angela_2026_Chase1117_Activity_!G1037</f>
        <v>Personal Travel</v>
      </c>
      <c r="D1040" s="4">
        <f>Angela_2026_Chase1117_Activity_!D1037</f>
        <v>-46</v>
      </c>
    </row>
    <row r="1041" spans="1:4" x14ac:dyDescent="0.25">
      <c r="A1041" s="28">
        <f>Angela_2026_Chase1117_Activity_!B1038</f>
        <v>46073</v>
      </c>
      <c r="B1041" s="3" t="str">
        <f>Angela_2026_Chase1117_Activity_!C1038</f>
        <v>TM *SHE WANTS REVENGE 800-653-8000 CA        02/20</v>
      </c>
      <c r="C1041" s="3" t="str">
        <f>Angela_2026_Chase1117_Activity_!G1038</f>
        <v>Personal - Entertainment</v>
      </c>
      <c r="D1041" s="4">
        <f>Angela_2026_Chase1117_Activity_!D1038</f>
        <v>-530.20000000000005</v>
      </c>
    </row>
    <row r="1042" spans="1:4" x14ac:dyDescent="0.25">
      <c r="A1042" s="28">
        <f>Angela_2026_Chase1117_Activity_!B1039</f>
        <v>46073</v>
      </c>
      <c r="B1042" s="3" t="str">
        <f>Angela_2026_Chase1117_Activity_!C1039</f>
        <v>FANDANGO    * FANDANGO.COM CA                02/20</v>
      </c>
      <c r="C1042" s="3" t="str">
        <f>Angela_2026_Chase1117_Activity_!G1039</f>
        <v>Personal - Entertainment</v>
      </c>
      <c r="D1042" s="4">
        <f>Angela_2026_Chase1117_Activity_!D1039</f>
        <v>-70.72</v>
      </c>
    </row>
    <row r="1043" spans="1:4" x14ac:dyDescent="0.25">
      <c r="A1043" s="28">
        <f>Angela_2026_Chase1117_Activity_!B1040</f>
        <v>46073</v>
      </c>
      <c r="B1043" s="3" t="str">
        <f>Angela_2026_Chase1117_Activity_!C1040</f>
        <v>SP ANNA SUI ANNASUI.COM NY                   02/20</v>
      </c>
      <c r="C1043" s="3" t="str">
        <f>Angela_2026_Chase1117_Activity_!G1040</f>
        <v>Personal - Shopping</v>
      </c>
      <c r="D1043" s="4">
        <f>Angela_2026_Chase1117_Activity_!D1040</f>
        <v>-964</v>
      </c>
    </row>
    <row r="1044" spans="1:4" x14ac:dyDescent="0.25">
      <c r="A1044" s="28">
        <f>Angela_2026_Chase1117_Activity_!B1041</f>
        <v>46073</v>
      </c>
      <c r="B1044" s="3" t="str">
        <f>Angela_2026_Chase1117_Activity_!C1041</f>
        <v>PAVILIONS #2105 MARINA DEL RE CA             02/19</v>
      </c>
      <c r="C1044" s="3" t="str">
        <f>Angela_2026_Chase1117_Activity_!G1041</f>
        <v>Personal - Food</v>
      </c>
      <c r="D1044" s="4">
        <f>Angela_2026_Chase1117_Activity_!D1041</f>
        <v>-657.94</v>
      </c>
    </row>
    <row r="1045" spans="1:4" x14ac:dyDescent="0.25">
      <c r="A1045" s="28">
        <f>Angela_2026_Chase1117_Activity_!B1042</f>
        <v>46073</v>
      </c>
      <c r="B1045" s="3" t="str">
        <f>Angela_2026_Chase1117_Activity_!C1042</f>
        <v>AMAZON RETA* YD01F1S WWW.AMAZON.CO WA        02/20</v>
      </c>
      <c r="C1045" s="3" t="str">
        <f>Angela_2026_Chase1117_Activity_!G1042</f>
        <v>Amazon</v>
      </c>
      <c r="D1045" s="4">
        <f>Angela_2026_Chase1117_Activity_!D1042</f>
        <v>-69.849999999999994</v>
      </c>
    </row>
    <row r="1046" spans="1:4" x14ac:dyDescent="0.25">
      <c r="A1046" s="28">
        <f>Angela_2026_Chase1117_Activity_!B1043</f>
        <v>46073</v>
      </c>
      <c r="B1046" s="3" t="str">
        <f>Angela_2026_Chase1117_Activity_!C1043</f>
        <v>AMAZON MARK* NU8I74V AMAZON.COM/MA WA        02/19</v>
      </c>
      <c r="C1046" s="3" t="str">
        <f>Angela_2026_Chase1117_Activity_!G1043</f>
        <v>Amazon</v>
      </c>
      <c r="D1046" s="4">
        <f>Angela_2026_Chase1117_Activity_!D1043</f>
        <v>-58.76</v>
      </c>
    </row>
    <row r="1047" spans="1:4" x14ac:dyDescent="0.25">
      <c r="A1047" s="28">
        <f>Angela_2026_Chase1117_Activity_!B1044</f>
        <v>46073</v>
      </c>
      <c r="B1047" s="3" t="str">
        <f>Angela_2026_Chase1117_Activity_!C1044</f>
        <v>Online Transfer from CHK ...1168 transaction#: 28136530949</v>
      </c>
      <c r="C1047" s="3" t="str">
        <f>Angela_2026_Chase1117_Activity_!G1044</f>
        <v>Transfer from DWG Capital Group</v>
      </c>
      <c r="D1047" s="4">
        <f>Angela_2026_Chase1117_Activity_!D1044</f>
        <v>2000</v>
      </c>
    </row>
    <row r="1048" spans="1:4" x14ac:dyDescent="0.25">
      <c r="A1048" s="28">
        <f>Angela_2026_Chase1117_Activity_!B1045</f>
        <v>46073</v>
      </c>
      <c r="B1048" s="3" t="str">
        <f>Angela_2026_Chase1117_Activity_!C1045</f>
        <v>Online Transfer from CHK ...9335 transaction#: 28137686870</v>
      </c>
      <c r="C1048" s="3" t="str">
        <f>Angela_2026_Chase1117_Activity_!G1045</f>
        <v>Transfer from Poseidon Asset Group</v>
      </c>
      <c r="D1048" s="4">
        <f>Angela_2026_Chase1117_Activity_!D1045</f>
        <v>20000</v>
      </c>
    </row>
    <row r="1049" spans="1:4" x14ac:dyDescent="0.25">
      <c r="A1049" s="28">
        <f>Angela_2026_Chase1117_Activity_!B1046</f>
        <v>46072</v>
      </c>
      <c r="B1049" s="3" t="str">
        <f>Angela_2026_Chase1117_Activity_!C1046</f>
        <v>Etsy.com*rtistmary ETSY.COM NY               02/19</v>
      </c>
      <c r="C1049" s="3" t="str">
        <f>Angela_2026_Chase1117_Activity_!G1046</f>
        <v>Etsy</v>
      </c>
      <c r="D1049" s="4">
        <f>Angela_2026_Chase1117_Activity_!D1046</f>
        <v>-138.12</v>
      </c>
    </row>
    <row r="1050" spans="1:4" x14ac:dyDescent="0.25">
      <c r="A1050" s="28">
        <f>Angela_2026_Chase1117_Activity_!B1047</f>
        <v>46072</v>
      </c>
      <c r="B1050" s="3" t="str">
        <f>Angela_2026_Chase1117_Activity_!C1047</f>
        <v>Etsy.com*Multiple Shop ETSY.COM NY           02/19</v>
      </c>
      <c r="C1050" s="3" t="str">
        <f>Angela_2026_Chase1117_Activity_!G1047</f>
        <v>Etsy</v>
      </c>
      <c r="D1050" s="4">
        <f>Angela_2026_Chase1117_Activity_!D1047</f>
        <v>-157.97</v>
      </c>
    </row>
    <row r="1051" spans="1:4" x14ac:dyDescent="0.25">
      <c r="A1051" s="28">
        <f>Angela_2026_Chase1117_Activity_!B1048</f>
        <v>46072</v>
      </c>
      <c r="B1051" s="3" t="str">
        <f>Angela_2026_Chase1117_Activity_!C1048</f>
        <v>ANTHROPOLOGIE.COM ANTHROPOLOGIE PA           02/19</v>
      </c>
      <c r="C1051" s="3" t="str">
        <f>Angela_2026_Chase1117_Activity_!G1048</f>
        <v>Personal - Shopping</v>
      </c>
      <c r="D1051" s="4">
        <f>Angela_2026_Chase1117_Activity_!D1048</f>
        <v>-409.66</v>
      </c>
    </row>
    <row r="1052" spans="1:4" x14ac:dyDescent="0.25">
      <c r="A1052" s="28">
        <f>Angela_2026_Chase1117_Activity_!B1049</f>
        <v>46072</v>
      </c>
      <c r="B1052" s="3" t="str">
        <f>Angela_2026_Chase1117_Activity_!C1049</f>
        <v>UBER   * EATS PENDIN SAN FRANCISCO CA019518  02/18</v>
      </c>
      <c r="C1052" s="3" t="str">
        <f>Angela_2026_Chase1117_Activity_!G1049</f>
        <v>Uber Eats</v>
      </c>
      <c r="D1052" s="4">
        <f>Angela_2026_Chase1117_Activity_!D1049</f>
        <v>-30.07</v>
      </c>
    </row>
    <row r="1053" spans="1:4" x14ac:dyDescent="0.25">
      <c r="A1053" s="28">
        <f>Angela_2026_Chase1117_Activity_!B1050</f>
        <v>46072</v>
      </c>
      <c r="B1053" s="3" t="str">
        <f>Angela_2026_Chase1117_Activity_!C1050</f>
        <v>Mutzel Nutrition LLC 866-2510001 WA          02/18</v>
      </c>
      <c r="C1053" s="3" t="str">
        <f>Angela_2026_Chase1117_Activity_!G1050</f>
        <v>Personal - Health</v>
      </c>
      <c r="D1053" s="4">
        <f>Angela_2026_Chase1117_Activity_!D1050</f>
        <v>-251.36</v>
      </c>
    </row>
    <row r="1054" spans="1:4" x14ac:dyDescent="0.25">
      <c r="A1054" s="28">
        <f>Angela_2026_Chase1117_Activity_!B1051</f>
        <v>46072</v>
      </c>
      <c r="B1054" s="3" t="str">
        <f>Angela_2026_Chase1117_Activity_!C1051</f>
        <v>THE C. G. JUNG INSTIT 310-556-1193 CA        02/19</v>
      </c>
      <c r="C1054" s="3" t="str">
        <f>Angela_2026_Chase1117_Activity_!G1051</f>
        <v>Donation</v>
      </c>
      <c r="D1054" s="4">
        <f>Angela_2026_Chase1117_Activity_!D1051</f>
        <v>-310</v>
      </c>
    </row>
    <row r="1055" spans="1:4" x14ac:dyDescent="0.25">
      <c r="A1055" s="28">
        <f>Angela_2026_Chase1117_Activity_!B1052</f>
        <v>46072</v>
      </c>
      <c r="B1055" s="3" t="str">
        <f>Angela_2026_Chase1117_Activity_!C1052</f>
        <v>Zelle payment from TANYA MILLER HNA021M5X619</v>
      </c>
      <c r="C1055" s="3" t="str">
        <f>Angela_2026_Chase1117_Activity_!G1052</f>
        <v>Zelle from Tanya Miller</v>
      </c>
      <c r="D1055" s="4">
        <f>Angela_2026_Chase1117_Activity_!D1052</f>
        <v>100</v>
      </c>
    </row>
    <row r="1056" spans="1:4" x14ac:dyDescent="0.25">
      <c r="A1056" s="28">
        <f>Angela_2026_Chase1117_Activity_!B1053</f>
        <v>46072</v>
      </c>
      <c r="B1056" s="3" t="str">
        <f>Angela_2026_Chase1117_Activity_!C1053</f>
        <v>Online Transfer from CHK ...1168 transaction#: 28131472847</v>
      </c>
      <c r="C1056" s="3" t="str">
        <f>Angela_2026_Chase1117_Activity_!G1053</f>
        <v>Transfer from DWG Capital Group</v>
      </c>
      <c r="D1056" s="4">
        <f>Angela_2026_Chase1117_Activity_!D1053</f>
        <v>5000</v>
      </c>
    </row>
    <row r="1057" spans="1:4" x14ac:dyDescent="0.25">
      <c r="A1057" s="28">
        <f>Angela_2026_Chase1117_Activity_!B1054</f>
        <v>46071</v>
      </c>
      <c r="B1057" s="3" t="str">
        <f>Angela_2026_Chase1117_Activity_!C1054</f>
        <v>UBER   * EATS PENDIN SAN FRANCISCO CA025743  02/18</v>
      </c>
      <c r="C1057" s="3" t="str">
        <f>Angela_2026_Chase1117_Activity_!G1054</f>
        <v>Uber Eats</v>
      </c>
      <c r="D1057" s="4">
        <f>Angela_2026_Chase1117_Activity_!D1054</f>
        <v>-32.340000000000003</v>
      </c>
    </row>
    <row r="1058" spans="1:4" x14ac:dyDescent="0.25">
      <c r="A1058" s="28">
        <f>Angela_2026_Chase1117_Activity_!B1055</f>
        <v>46071</v>
      </c>
      <c r="B1058" s="3" t="str">
        <f>Angela_2026_Chase1117_Activity_!C1055</f>
        <v>ON A WHIMSY ON-A-WHIMSY.C CA                 02/18</v>
      </c>
      <c r="C1058" s="3" t="str">
        <f>Angela_2026_Chase1117_Activity_!G1055</f>
        <v>Personal - Shopping</v>
      </c>
      <c r="D1058" s="4">
        <f>Angela_2026_Chase1117_Activity_!D1055</f>
        <v>-1510</v>
      </c>
    </row>
    <row r="1059" spans="1:4" x14ac:dyDescent="0.25">
      <c r="A1059" s="28">
        <f>Angela_2026_Chase1117_Activity_!B1056</f>
        <v>46071</v>
      </c>
      <c r="B1059" s="3" t="str">
        <f>Angela_2026_Chase1117_Activity_!C1056</f>
        <v>SP ANNA SUI ANNASUI.COM NY                   02/18</v>
      </c>
      <c r="C1059" s="3" t="str">
        <f>Angela_2026_Chase1117_Activity_!G1056</f>
        <v>Personal - Shopping</v>
      </c>
      <c r="D1059" s="4">
        <f>Angela_2026_Chase1117_Activity_!D1056</f>
        <v>-588</v>
      </c>
    </row>
    <row r="1060" spans="1:4" x14ac:dyDescent="0.25">
      <c r="A1060" s="28">
        <f>Angela_2026_Chase1117_Activity_!B1057</f>
        <v>46071</v>
      </c>
      <c r="B1060" s="3" t="str">
        <f>Angela_2026_Chase1117_Activity_!C1057</f>
        <v>Zelle payment to Britt Magadini JPM99c62u5h4</v>
      </c>
      <c r="C1060" s="3" t="str">
        <f>Angela_2026_Chase1117_Activity_!G1057</f>
        <v>Zelle to Britt Magadini</v>
      </c>
      <c r="D1060" s="4">
        <f>Angela_2026_Chase1117_Activity_!D1057</f>
        <v>-500</v>
      </c>
    </row>
    <row r="1061" spans="1:4" x14ac:dyDescent="0.25">
      <c r="A1061" s="28">
        <f>Angela_2026_Chase1117_Activity_!B1058</f>
        <v>46071</v>
      </c>
      <c r="B1061" s="3" t="str">
        <f>Angela_2026_Chase1117_Activity_!C1058</f>
        <v>AMAZON MARK* B95DN1L AMAZON.COM/MA WA        02/18</v>
      </c>
      <c r="C1061" s="3" t="str">
        <f>Angela_2026_Chase1117_Activity_!G1058</f>
        <v>Amazon</v>
      </c>
      <c r="D1061" s="4">
        <f>Angela_2026_Chase1117_Activity_!D1058</f>
        <v>-52.37</v>
      </c>
    </row>
    <row r="1062" spans="1:4" x14ac:dyDescent="0.25">
      <c r="A1062" s="28">
        <f>Angela_2026_Chase1117_Activity_!B1059</f>
        <v>46071</v>
      </c>
      <c r="B1062" s="3" t="str">
        <f>Angela_2026_Chase1117_Activity_!C1059</f>
        <v>THE UPS STORE 4398 310-9156580 CA            02/17</v>
      </c>
      <c r="C1062" s="3" t="str">
        <f>Angela_2026_Chase1117_Activity_!G1059</f>
        <v>Shipping</v>
      </c>
      <c r="D1062" s="4">
        <f>Angela_2026_Chase1117_Activity_!D1059</f>
        <v>-50.48</v>
      </c>
    </row>
    <row r="1063" spans="1:4" x14ac:dyDescent="0.25">
      <c r="A1063" s="28">
        <f>Angela_2026_Chase1117_Activity_!B1060</f>
        <v>46071</v>
      </c>
      <c r="B1063" s="3" t="str">
        <f>Angela_2026_Chase1117_Activity_!C1060</f>
        <v>LEELA QUANTUM TECH LEELAQ.COM NM             02/17</v>
      </c>
      <c r="C1063" s="3" t="str">
        <f>Angela_2026_Chase1117_Activity_!G1060</f>
        <v>Personal - Subscription</v>
      </c>
      <c r="D1063" s="4">
        <f>Angela_2026_Chase1117_Activity_!D1060</f>
        <v>-30</v>
      </c>
    </row>
    <row r="1064" spans="1:4" x14ac:dyDescent="0.25">
      <c r="A1064" s="28">
        <f>Angela_2026_Chase1117_Activity_!B1061</f>
        <v>46070</v>
      </c>
      <c r="B1064" s="3" t="str">
        <f>Angela_2026_Chase1117_Activity_!C1061</f>
        <v>SP AURO WELLNESS AUROWELLNESS. CA            02/17</v>
      </c>
      <c r="C1064" s="3" t="str">
        <f>Angela_2026_Chase1117_Activity_!G1061</f>
        <v>Personal - Health</v>
      </c>
      <c r="D1064" s="4">
        <f>Angela_2026_Chase1117_Activity_!D1061</f>
        <v>-487.24</v>
      </c>
    </row>
    <row r="1065" spans="1:4" x14ac:dyDescent="0.25">
      <c r="A1065" s="28">
        <f>Angela_2026_Chase1117_Activity_!B1062</f>
        <v>46070</v>
      </c>
      <c r="B1065" s="3" t="str">
        <f>Angela_2026_Chase1117_Activity_!C1062</f>
        <v>Online Payment 28099217503 To MERCEDES-BENZ FINANCIAL SERVICES 02/17</v>
      </c>
      <c r="C1065" s="3" t="str">
        <f>Angela_2026_Chase1117_Activity_!G1062</f>
        <v>Personal - House Bills</v>
      </c>
      <c r="D1065" s="4">
        <f>Angela_2026_Chase1117_Activity_!D1062</f>
        <v>-640</v>
      </c>
    </row>
    <row r="1066" spans="1:4" x14ac:dyDescent="0.25">
      <c r="A1066" s="28">
        <f>Angela_2026_Chase1117_Activity_!B1063</f>
        <v>46070</v>
      </c>
      <c r="B1066" s="3" t="str">
        <f>Angela_2026_Chase1117_Activity_!C1063</f>
        <v>AMAZON MARK* B16N45R AMAZON.COM/MA WA        02/17</v>
      </c>
      <c r="C1066" s="3" t="str">
        <f>Angela_2026_Chase1117_Activity_!G1063</f>
        <v>Amazon</v>
      </c>
      <c r="D1066" s="4">
        <f>Angela_2026_Chase1117_Activity_!D1063</f>
        <v>-131.85</v>
      </c>
    </row>
    <row r="1067" spans="1:4" x14ac:dyDescent="0.25">
      <c r="A1067" s="28">
        <f>Angela_2026_Chase1117_Activity_!B1064</f>
        <v>46070</v>
      </c>
      <c r="B1067" s="3" t="str">
        <f>Angela_2026_Chase1117_Activity_!C1064</f>
        <v>Amazon Tips*BL76E4UN Amzn.com/bill WA        02/16</v>
      </c>
      <c r="C1067" s="3" t="str">
        <f>Angela_2026_Chase1117_Activity_!G1064</f>
        <v>Amazon</v>
      </c>
      <c r="D1067" s="4">
        <f>Angela_2026_Chase1117_Activity_!D1064</f>
        <v>-20</v>
      </c>
    </row>
    <row r="1068" spans="1:4" x14ac:dyDescent="0.25">
      <c r="A1068" s="28">
        <f>Angela_2026_Chase1117_Activity_!B1065</f>
        <v>46070</v>
      </c>
      <c r="B1068" s="3" t="str">
        <f>Angela_2026_Chase1117_Activity_!C1065</f>
        <v>AMAZON MARK* B187P3R AMAZON.COM/MA WA        02/17</v>
      </c>
      <c r="C1068" s="3" t="str">
        <f>Angela_2026_Chase1117_Activity_!G1065</f>
        <v>Amazon</v>
      </c>
      <c r="D1068" s="4">
        <f>Angela_2026_Chase1117_Activity_!D1065</f>
        <v>-60.35</v>
      </c>
    </row>
    <row r="1069" spans="1:4" x14ac:dyDescent="0.25">
      <c r="A1069" s="28">
        <f>Angela_2026_Chase1117_Activity_!B1066</f>
        <v>46070</v>
      </c>
      <c r="B1069" s="3" t="str">
        <f>Angela_2026_Chase1117_Activity_!C1066</f>
        <v>SP ANNA SUI ANNASUI.COM NY                   02/16</v>
      </c>
      <c r="C1069" s="3" t="str">
        <f>Angela_2026_Chase1117_Activity_!G1066</f>
        <v>Personal - Shopping</v>
      </c>
      <c r="D1069" s="4">
        <f>Angela_2026_Chase1117_Activity_!D1066</f>
        <v>-1365.34</v>
      </c>
    </row>
    <row r="1070" spans="1:4" x14ac:dyDescent="0.25">
      <c r="A1070" s="28">
        <f>Angela_2026_Chase1117_Activity_!B1067</f>
        <v>46070</v>
      </c>
      <c r="B1070" s="3" t="str">
        <f>Angela_2026_Chase1117_Activity_!C1067</f>
        <v>AMAZON RETA* KS46M0G WWW.AMAZON.CO WA        02/15</v>
      </c>
      <c r="C1070" s="3" t="str">
        <f>Angela_2026_Chase1117_Activity_!G1067</f>
        <v>Amazon</v>
      </c>
      <c r="D1070" s="4">
        <f>Angela_2026_Chase1117_Activity_!D1067</f>
        <v>-51.26</v>
      </c>
    </row>
    <row r="1071" spans="1:4" x14ac:dyDescent="0.25">
      <c r="A1071" s="28">
        <f>Angela_2026_Chase1117_Activity_!B1068</f>
        <v>46070</v>
      </c>
      <c r="B1071" s="3" t="str">
        <f>Angela_2026_Chase1117_Activity_!C1068</f>
        <v>Amazon.com*QT2W73783 Amzn.com/bill WA        02/15</v>
      </c>
      <c r="C1071" s="3" t="str">
        <f>Angela_2026_Chase1117_Activity_!G1068</f>
        <v>Amazon</v>
      </c>
      <c r="D1071" s="4">
        <f>Angela_2026_Chase1117_Activity_!D1068</f>
        <v>-44.57</v>
      </c>
    </row>
    <row r="1072" spans="1:4" x14ac:dyDescent="0.25">
      <c r="A1072" s="28">
        <f>Angela_2026_Chase1117_Activity_!B1069</f>
        <v>46070</v>
      </c>
      <c r="B1072" s="3" t="str">
        <f>Angela_2026_Chase1117_Activity_!C1069</f>
        <v>MANGO.COM NEW YORK NY                029068  02/15</v>
      </c>
      <c r="C1072" s="3" t="str">
        <f>Angela_2026_Chase1117_Activity_!G1069</f>
        <v>Personal - Shopping</v>
      </c>
      <c r="D1072" s="4">
        <f>Angela_2026_Chase1117_Activity_!D1069</f>
        <v>-211.14</v>
      </c>
    </row>
    <row r="1073" spans="1:4" x14ac:dyDescent="0.25">
      <c r="A1073" s="28">
        <f>Angela_2026_Chase1117_Activity_!B1070</f>
        <v>46070</v>
      </c>
      <c r="B1073" s="3" t="str">
        <f>Angela_2026_Chase1117_Activity_!C1070</f>
        <v>APPLE CASH SENT MONE 1INFINITELOOP CA        02/15</v>
      </c>
      <c r="C1073" s="3" t="str">
        <f>Angela_2026_Chase1117_Activity_!G1070</f>
        <v>Apple</v>
      </c>
      <c r="D1073" s="4">
        <f>Angela_2026_Chase1117_Activity_!D1070</f>
        <v>-1000</v>
      </c>
    </row>
    <row r="1074" spans="1:4" x14ac:dyDescent="0.25">
      <c r="A1074" s="28">
        <f>Angela_2026_Chase1117_Activity_!B1071</f>
        <v>46070</v>
      </c>
      <c r="B1074" s="3" t="str">
        <f>Angela_2026_Chase1117_Activity_!C1071</f>
        <v>Mutzel Nutrition LLC 866-2510001 WA          02/14</v>
      </c>
      <c r="C1074" s="3" t="str">
        <f>Angela_2026_Chase1117_Activity_!G1071</f>
        <v>Personal - Health</v>
      </c>
      <c r="D1074" s="4">
        <f>Angela_2026_Chase1117_Activity_!D1071</f>
        <v>-91.56</v>
      </c>
    </row>
    <row r="1075" spans="1:4" x14ac:dyDescent="0.25">
      <c r="A1075" s="28">
        <f>Angela_2026_Chase1117_Activity_!B1072</f>
        <v>46070</v>
      </c>
      <c r="B1075" s="3" t="str">
        <f>Angela_2026_Chase1117_Activity_!C1072</f>
        <v>FANDANGO    * FANDANGO.COM CA                02/14</v>
      </c>
      <c r="C1075" s="3" t="str">
        <f>Angela_2026_Chase1117_Activity_!G1072</f>
        <v>Personal - Entertainment</v>
      </c>
      <c r="D1075" s="4">
        <f>Angela_2026_Chase1117_Activity_!D1072</f>
        <v>-84.7</v>
      </c>
    </row>
    <row r="1076" spans="1:4" x14ac:dyDescent="0.25">
      <c r="A1076" s="28">
        <f>Angela_2026_Chase1117_Activity_!B1073</f>
        <v>46070</v>
      </c>
      <c r="B1076" s="3" t="str">
        <f>Angela_2026_Chase1117_Activity_!C1073</f>
        <v>FRONTIER AI WH4EXJ DENVER CO                 02/14</v>
      </c>
      <c r="C1076" s="3" t="str">
        <f>Angela_2026_Chase1117_Activity_!G1073</f>
        <v>Frontier</v>
      </c>
      <c r="D1076" s="4">
        <f>Angela_2026_Chase1117_Activity_!D1073</f>
        <v>-393.96</v>
      </c>
    </row>
    <row r="1077" spans="1:4" x14ac:dyDescent="0.25">
      <c r="A1077" s="28">
        <f>Angela_2026_Chase1117_Activity_!B1074</f>
        <v>46070</v>
      </c>
      <c r="B1077" s="3" t="str">
        <f>Angela_2026_Chase1117_Activity_!C1074</f>
        <v>SOUTHWES    52674684 SOUTHWEST.COM TX        02/14</v>
      </c>
      <c r="C1077" s="3" t="str">
        <f>Angela_2026_Chase1117_Activity_!G1074</f>
        <v>Personal Travel</v>
      </c>
      <c r="D1077" s="4">
        <f>Angela_2026_Chase1117_Activity_!D1074</f>
        <v>-118.4</v>
      </c>
    </row>
    <row r="1078" spans="1:4" x14ac:dyDescent="0.25">
      <c r="A1078" s="28">
        <f>Angela_2026_Chase1117_Activity_!B1075</f>
        <v>46070</v>
      </c>
      <c r="B1078" s="3" t="str">
        <f>Angela_2026_Chase1117_Activity_!C1075</f>
        <v>SOUTHWES    52674684 SOUTHWEST.COM TX        02/14</v>
      </c>
      <c r="C1078" s="3" t="str">
        <f>Angela_2026_Chase1117_Activity_!G1075</f>
        <v>Personal Travel</v>
      </c>
      <c r="D1078" s="4">
        <f>Angela_2026_Chase1117_Activity_!D1075</f>
        <v>-118.4</v>
      </c>
    </row>
    <row r="1079" spans="1:4" x14ac:dyDescent="0.25">
      <c r="A1079" s="28">
        <f>Angela_2026_Chase1117_Activity_!B1076</f>
        <v>46070</v>
      </c>
      <c r="B1079" s="3" t="str">
        <f>Angela_2026_Chase1117_Activity_!C1076</f>
        <v>EXPEDIA 73374341178831 EXPEDIA.COM WA        02/14</v>
      </c>
      <c r="C1079" s="3" t="str">
        <f>Angela_2026_Chase1117_Activity_!G1076</f>
        <v>Personal Travel</v>
      </c>
      <c r="D1079" s="4">
        <f>Angela_2026_Chase1117_Activity_!D1076</f>
        <v>-0.9</v>
      </c>
    </row>
    <row r="1080" spans="1:4" x14ac:dyDescent="0.25">
      <c r="A1080" s="28">
        <f>Angela_2026_Chase1117_Activity_!B1077</f>
        <v>46070</v>
      </c>
      <c r="B1080" s="3" t="str">
        <f>Angela_2026_Chase1117_Activity_!C1077</f>
        <v>Zara.com 212-3551415 NY                      02/17</v>
      </c>
      <c r="C1080" s="3" t="str">
        <f>Angela_2026_Chase1117_Activity_!G1077</f>
        <v>Personal - Shopping</v>
      </c>
      <c r="D1080" s="4">
        <f>Angela_2026_Chase1117_Activity_!D1077</f>
        <v>-235.6</v>
      </c>
    </row>
    <row r="1081" spans="1:4" x14ac:dyDescent="0.25">
      <c r="A1081" s="28">
        <f>Angela_2026_Chase1117_Activity_!B1078</f>
        <v>46070</v>
      </c>
      <c r="B1081" s="3" t="str">
        <f>Angela_2026_Chase1117_Activity_!C1078</f>
        <v>AMAZON PRIME*QK0GY1R Amzn.com/bill WA        02/14</v>
      </c>
      <c r="C1081" s="3" t="str">
        <f>Angela_2026_Chase1117_Activity_!G1078</f>
        <v>Amazon</v>
      </c>
      <c r="D1081" s="4">
        <f>Angela_2026_Chase1117_Activity_!D1078</f>
        <v>-16.45</v>
      </c>
    </row>
    <row r="1082" spans="1:4" x14ac:dyDescent="0.25">
      <c r="A1082" s="28">
        <f>Angela_2026_Chase1117_Activity_!B1079</f>
        <v>46070</v>
      </c>
      <c r="B1082" s="3" t="str">
        <f>Angela_2026_Chase1117_Activity_!C1079</f>
        <v>APPLE COM BILL CUPERTINO CA          862826  02/14</v>
      </c>
      <c r="C1082" s="3" t="str">
        <f>Angela_2026_Chase1117_Activity_!G1079</f>
        <v>Apple</v>
      </c>
      <c r="D1082" s="4">
        <f>Angela_2026_Chase1117_Activity_!D1079</f>
        <v>-59.99</v>
      </c>
    </row>
    <row r="1083" spans="1:4" x14ac:dyDescent="0.25">
      <c r="A1083" s="28">
        <f>Angela_2026_Chase1117_Activity_!B1080</f>
        <v>46070</v>
      </c>
      <c r="B1083" s="3" t="str">
        <f>Angela_2026_Chase1117_Activity_!C1080</f>
        <v>Prime Video Channels amzn.com/bill WA        02/14</v>
      </c>
      <c r="C1083" s="3" t="str">
        <f>Angela_2026_Chase1117_Activity_!G1080</f>
        <v>Amazon</v>
      </c>
      <c r="D1083" s="4">
        <f>Angela_2026_Chase1117_Activity_!D1080</f>
        <v>-18.489999999999998</v>
      </c>
    </row>
    <row r="1084" spans="1:4" x14ac:dyDescent="0.25">
      <c r="A1084" s="28">
        <f>Angela_2026_Chase1117_Activity_!B1081</f>
        <v>46070</v>
      </c>
      <c r="B1084" s="3" t="str">
        <f>Angela_2026_Chase1117_Activity_!C1081</f>
        <v>AMAZON MKTPL*W08YA4B Amzn.com/bill WA        02/14</v>
      </c>
      <c r="C1084" s="3" t="str">
        <f>Angela_2026_Chase1117_Activity_!G1081</f>
        <v>Amazon</v>
      </c>
      <c r="D1084" s="4">
        <f>Angela_2026_Chase1117_Activity_!D1081</f>
        <v>-14.16</v>
      </c>
    </row>
    <row r="1085" spans="1:4" x14ac:dyDescent="0.25">
      <c r="A1085" s="28">
        <f>Angela_2026_Chase1117_Activity_!B1082</f>
        <v>46070</v>
      </c>
      <c r="B1085" s="3" t="str">
        <f>Angela_2026_Chase1117_Activity_!C1082</f>
        <v>AMAZON MKTPL*OZ11N3U Amzn.com/bill WA        02/14</v>
      </c>
      <c r="C1085" s="3" t="str">
        <f>Angela_2026_Chase1117_Activity_!G1082</f>
        <v>Amazon</v>
      </c>
      <c r="D1085" s="4">
        <f>Angela_2026_Chase1117_Activity_!D1082</f>
        <v>-17.399999999999999</v>
      </c>
    </row>
    <row r="1086" spans="1:4" x14ac:dyDescent="0.25">
      <c r="A1086" s="28">
        <f>Angela_2026_Chase1117_Activity_!B1083</f>
        <v>46070</v>
      </c>
      <c r="B1086" s="3" t="str">
        <f>Angela_2026_Chase1117_Activity_!C1083</f>
        <v>Amazon Tips*RK5Y60WY Amzn.com/bill WA        02/13</v>
      </c>
      <c r="C1086" s="3" t="str">
        <f>Angela_2026_Chase1117_Activity_!G1083</f>
        <v>Amazon</v>
      </c>
      <c r="D1086" s="4">
        <f>Angela_2026_Chase1117_Activity_!D1083</f>
        <v>-10</v>
      </c>
    </row>
    <row r="1087" spans="1:4" x14ac:dyDescent="0.25">
      <c r="A1087" s="28">
        <f>Angela_2026_Chase1117_Activity_!B1084</f>
        <v>46070</v>
      </c>
      <c r="B1087" s="3" t="str">
        <f>Angela_2026_Chase1117_Activity_!C1084</f>
        <v>TM *COLD CAVE 800-653-8000 CA                02/14</v>
      </c>
      <c r="C1087" s="3" t="str">
        <f>Angela_2026_Chase1117_Activity_!G1084</f>
        <v>Personal - Entertainment</v>
      </c>
      <c r="D1087" s="4">
        <f>Angela_2026_Chase1117_Activity_!D1084</f>
        <v>-48.6</v>
      </c>
    </row>
    <row r="1088" spans="1:4" x14ac:dyDescent="0.25">
      <c r="A1088" s="28">
        <f>Angela_2026_Chase1117_Activity_!B1085</f>
        <v>46070</v>
      </c>
      <c r="B1088" s="3" t="str">
        <f>Angela_2026_Chase1117_Activity_!C1085</f>
        <v>Online Transfer from CHK ...1168 transaction#: 28092314687</v>
      </c>
      <c r="C1088" s="3" t="str">
        <f>Angela_2026_Chase1117_Activity_!G1085</f>
        <v>Transfer from DWG Capital Group</v>
      </c>
      <c r="D1088" s="4">
        <f>Angela_2026_Chase1117_Activity_!D1085</f>
        <v>10000</v>
      </c>
    </row>
    <row r="1089" spans="1:4" x14ac:dyDescent="0.25">
      <c r="A1089" s="28">
        <f>Angela_2026_Chase1117_Activity_!B1086</f>
        <v>46066</v>
      </c>
      <c r="B1089" s="3" t="str">
        <f>Angela_2026_Chase1117_Activity_!C1086</f>
        <v>Amazon.com*2E71C58H3 Amzn.com/bill WA        02/12</v>
      </c>
      <c r="C1089" s="3" t="str">
        <f>Angela_2026_Chase1117_Activity_!G1086</f>
        <v>Amazon</v>
      </c>
      <c r="D1089" s="4">
        <f>Angela_2026_Chase1117_Activity_!D1086</f>
        <v>-198.36</v>
      </c>
    </row>
    <row r="1090" spans="1:4" x14ac:dyDescent="0.25">
      <c r="A1090" s="28">
        <f>Angela_2026_Chase1117_Activity_!B1087</f>
        <v>46066</v>
      </c>
      <c r="B1090" s="3" t="str">
        <f>Angela_2026_Chase1117_Activity_!C1087</f>
        <v>LEELA QUANTUM TECH LEELAQ.COM NM             02/12</v>
      </c>
      <c r="C1090" s="3" t="str">
        <f>Angela_2026_Chase1117_Activity_!G1087</f>
        <v>Personal - Subscription</v>
      </c>
      <c r="D1090" s="4">
        <f>Angela_2026_Chase1117_Activity_!D1087</f>
        <v>-157</v>
      </c>
    </row>
    <row r="1091" spans="1:4" x14ac:dyDescent="0.25">
      <c r="A1091" s="28">
        <f>Angela_2026_Chase1117_Activity_!B1088</f>
        <v>46066</v>
      </c>
      <c r="B1091" s="3" t="str">
        <f>Angela_2026_Chase1117_Activity_!C1088</f>
        <v>Zelle payment from TANYA MILLER HNA021G097HN</v>
      </c>
      <c r="C1091" s="3" t="str">
        <f>Angela_2026_Chase1117_Activity_!G1088</f>
        <v>Zelle from Tanya Miller</v>
      </c>
      <c r="D1091" s="4">
        <f>Angela_2026_Chase1117_Activity_!D1088</f>
        <v>100</v>
      </c>
    </row>
    <row r="1092" spans="1:4" x14ac:dyDescent="0.25">
      <c r="A1092" s="28">
        <f>Angela_2026_Chase1117_Activity_!B1089</f>
        <v>46065</v>
      </c>
      <c r="B1092" s="3" t="str">
        <f>Angela_2026_Chase1117_Activity_!C1089</f>
        <v>MACYS   .COM 800-289-6229 OH                 02/11</v>
      </c>
      <c r="C1092" s="3" t="str">
        <f>Angela_2026_Chase1117_Activity_!G1089</f>
        <v>Personal - Shopping</v>
      </c>
      <c r="D1092" s="4">
        <f>Angela_2026_Chase1117_Activity_!D1089</f>
        <v>-609.83000000000004</v>
      </c>
    </row>
    <row r="1093" spans="1:4" x14ac:dyDescent="0.25">
      <c r="A1093" s="28">
        <f>Angela_2026_Chase1117_Activity_!B1090</f>
        <v>46064</v>
      </c>
      <c r="B1093" s="3" t="str">
        <f>Angela_2026_Chase1117_Activity_!C1090</f>
        <v>Amazon Tips*EF6P30QL Amzn.com/bill WA        02/11</v>
      </c>
      <c r="C1093" s="3" t="str">
        <f>Angela_2026_Chase1117_Activity_!G1090</f>
        <v>Amazon</v>
      </c>
      <c r="D1093" s="4">
        <f>Angela_2026_Chase1117_Activity_!D1090</f>
        <v>-5</v>
      </c>
    </row>
    <row r="1094" spans="1:4" x14ac:dyDescent="0.25">
      <c r="A1094" s="28">
        <f>Angela_2026_Chase1117_Activity_!B1091</f>
        <v>46064</v>
      </c>
      <c r="B1094" s="3" t="str">
        <f>Angela_2026_Chase1117_Activity_!C1091</f>
        <v>AMAZON MKTPL*NB0DI2E Amzn.com/bill WA        02/11</v>
      </c>
      <c r="C1094" s="3" t="str">
        <f>Angela_2026_Chase1117_Activity_!G1091</f>
        <v>Amazon</v>
      </c>
      <c r="D1094" s="4">
        <f>Angela_2026_Chase1117_Activity_!D1091</f>
        <v>-11.95</v>
      </c>
    </row>
    <row r="1095" spans="1:4" x14ac:dyDescent="0.25">
      <c r="A1095" s="28">
        <f>Angela_2026_Chase1117_Activity_!B1092</f>
        <v>46064</v>
      </c>
      <c r="B1095" s="3" t="str">
        <f>Angela_2026_Chase1117_Activity_!C1092</f>
        <v>AMAZON MKTPL*3D7UN1N Amzn.com/bill WA        02/11</v>
      </c>
      <c r="C1095" s="3" t="str">
        <f>Angela_2026_Chase1117_Activity_!G1092</f>
        <v>Amazon</v>
      </c>
      <c r="D1095" s="4">
        <f>Angela_2026_Chase1117_Activity_!D1092</f>
        <v>-32.83</v>
      </c>
    </row>
    <row r="1096" spans="1:4" x14ac:dyDescent="0.25">
      <c r="A1096" s="28">
        <f>Angela_2026_Chase1117_Activity_!B1093</f>
        <v>46064</v>
      </c>
      <c r="B1096" s="3" t="str">
        <f>Angela_2026_Chase1117_Activity_!C1093</f>
        <v>AMAZON MKTPL*HW4X39D Amzn.com/bill WA        02/11</v>
      </c>
      <c r="C1096" s="3" t="str">
        <f>Angela_2026_Chase1117_Activity_!G1093</f>
        <v>Amazon</v>
      </c>
      <c r="D1096" s="4">
        <f>Angela_2026_Chase1117_Activity_!D1093</f>
        <v>-18.420000000000002</v>
      </c>
    </row>
    <row r="1097" spans="1:4" x14ac:dyDescent="0.25">
      <c r="A1097" s="28">
        <f>Angela_2026_Chase1117_Activity_!B1094</f>
        <v>46064</v>
      </c>
      <c r="B1097" s="3" t="str">
        <f>Angela_2026_Chase1117_Activity_!C1094</f>
        <v>Amazon Tips*9Z40N0UM Amzn.com/bill WA        02/10</v>
      </c>
      <c r="C1097" s="3" t="str">
        <f>Angela_2026_Chase1117_Activity_!G1094</f>
        <v>Amazon</v>
      </c>
      <c r="D1097" s="4">
        <f>Angela_2026_Chase1117_Activity_!D1094</f>
        <v>-15</v>
      </c>
    </row>
    <row r="1098" spans="1:4" x14ac:dyDescent="0.25">
      <c r="A1098" s="28">
        <f>Angela_2026_Chase1117_Activity_!B1095</f>
        <v>46063</v>
      </c>
      <c r="B1098" s="3" t="str">
        <f>Angela_2026_Chase1117_Activity_!C1095</f>
        <v>CNP* VOGUE - DIGITAL CONDENAST.COM NY        02/10</v>
      </c>
      <c r="C1098" s="3" t="str">
        <f>Angela_2026_Chase1117_Activity_!G1095</f>
        <v>Personal - Shopping</v>
      </c>
      <c r="D1098" s="4">
        <f>Angela_2026_Chase1117_Activity_!D1095</f>
        <v>-24.99</v>
      </c>
    </row>
    <row r="1099" spans="1:4" x14ac:dyDescent="0.25">
      <c r="A1099" s="28">
        <f>Angela_2026_Chase1117_Activity_!B1096</f>
        <v>46063</v>
      </c>
      <c r="B1099" s="3" t="str">
        <f>Angela_2026_Chase1117_Activity_!C1096</f>
        <v>Online Transfer to CHK ...6975 transaction#: 28016408490 02/10</v>
      </c>
      <c r="C1099" s="3" t="str">
        <f>Angela_2026_Chase1117_Activity_!G1096</f>
        <v>Transfer to Ava</v>
      </c>
      <c r="D1099" s="4">
        <f>Angela_2026_Chase1117_Activity_!D1096</f>
        <v>-250</v>
      </c>
    </row>
    <row r="1100" spans="1:4" x14ac:dyDescent="0.25">
      <c r="A1100" s="28">
        <f>Angela_2026_Chase1117_Activity_!B1097</f>
        <v>46063</v>
      </c>
      <c r="B1100" s="3" t="str">
        <f>Angela_2026_Chase1117_Activity_!C1097</f>
        <v>AMAZON MARK* 8Y4Q08G AMAZON.COM/MA WA        02/10</v>
      </c>
      <c r="C1100" s="3" t="str">
        <f>Angela_2026_Chase1117_Activity_!G1097</f>
        <v>Amazon</v>
      </c>
      <c r="D1100" s="4">
        <f>Angela_2026_Chase1117_Activity_!D1097</f>
        <v>-69.08</v>
      </c>
    </row>
    <row r="1101" spans="1:4" x14ac:dyDescent="0.25">
      <c r="A1101" s="28">
        <f>Angela_2026_Chase1117_Activity_!B1098</f>
        <v>46063</v>
      </c>
      <c r="B1101" s="3" t="str">
        <f>Angela_2026_Chase1117_Activity_!C1098</f>
        <v>Amazon.com*XC33A0EY3 Amzn.com/bill WA        02/09</v>
      </c>
      <c r="C1101" s="3" t="str">
        <f>Angela_2026_Chase1117_Activity_!G1098</f>
        <v>Amazon</v>
      </c>
      <c r="D1101" s="4">
        <f>Angela_2026_Chase1117_Activity_!D1098</f>
        <v>-31.46</v>
      </c>
    </row>
    <row r="1102" spans="1:4" x14ac:dyDescent="0.25">
      <c r="A1102" s="28">
        <f>Angela_2026_Chase1117_Activity_!B1099</f>
        <v>46063</v>
      </c>
      <c r="B1102" s="3" t="str">
        <f>Angela_2026_Chase1117_Activity_!C1099</f>
        <v>Amazon.com*LA0TR9IZ3 Amzn.com/bill WA        02/09</v>
      </c>
      <c r="C1102" s="3" t="str">
        <f>Angela_2026_Chase1117_Activity_!G1099</f>
        <v>Amazon</v>
      </c>
      <c r="D1102" s="4">
        <f>Angela_2026_Chase1117_Activity_!D1099</f>
        <v>-104.95</v>
      </c>
    </row>
    <row r="1103" spans="1:4" x14ac:dyDescent="0.25">
      <c r="A1103" s="28">
        <f>Angela_2026_Chase1117_Activity_!B1100</f>
        <v>46063</v>
      </c>
      <c r="B1103" s="3" t="str">
        <f>Angela_2026_Chase1117_Activity_!C1100</f>
        <v>NTTA AUTOCHARGE 972-818-6882 TX              02/09</v>
      </c>
      <c r="C1103" s="3" t="str">
        <f>Angela_2026_Chase1117_Activity_!G1100</f>
        <v>Personal - Car</v>
      </c>
      <c r="D1103" s="4">
        <f>Angela_2026_Chase1117_Activity_!D1100</f>
        <v>-40</v>
      </c>
    </row>
    <row r="1104" spans="1:4" x14ac:dyDescent="0.25">
      <c r="A1104" s="28">
        <f>Angela_2026_Chase1117_Activity_!B1101</f>
        <v>46063</v>
      </c>
      <c r="B1104" s="3" t="str">
        <f>Angela_2026_Chase1117_Activity_!C1101</f>
        <v>AMAZON MARK* UW3I221 AMAZON.COM/MA WA        02/10</v>
      </c>
      <c r="C1104" s="3" t="str">
        <f>Angela_2026_Chase1117_Activity_!G1101</f>
        <v>Amazon</v>
      </c>
      <c r="D1104" s="4">
        <f>Angela_2026_Chase1117_Activity_!D1101</f>
        <v>-140.82</v>
      </c>
    </row>
    <row r="1105" spans="1:4" x14ac:dyDescent="0.25">
      <c r="A1105" s="28">
        <f>Angela_2026_Chase1117_Activity_!B1102</f>
        <v>46063</v>
      </c>
      <c r="B1105" s="3" t="str">
        <f>Angela_2026_Chase1117_Activity_!C1102</f>
        <v>AMAZON MKTPL*IG30P45 Amzn.com/bill WA        02/09</v>
      </c>
      <c r="C1105" s="3" t="str">
        <f>Angela_2026_Chase1117_Activity_!G1102</f>
        <v>Amazon</v>
      </c>
      <c r="D1105" s="4">
        <f>Angela_2026_Chase1117_Activity_!D1102</f>
        <v>-112.45</v>
      </c>
    </row>
    <row r="1106" spans="1:4" x14ac:dyDescent="0.25">
      <c r="A1106" s="28">
        <f>Angela_2026_Chase1117_Activity_!B1103</f>
        <v>46063</v>
      </c>
      <c r="B1106" s="3" t="str">
        <f>Angela_2026_Chase1117_Activity_!C1103</f>
        <v>Zelle payment from G-EUNICE LLC 28023181510</v>
      </c>
      <c r="C1106" s="3" t="str">
        <f>Angela_2026_Chase1117_Activity_!G1103</f>
        <v>Zelle from G-Eunice LLC</v>
      </c>
      <c r="D1106" s="4">
        <f>Angela_2026_Chase1117_Activity_!D1103</f>
        <v>175</v>
      </c>
    </row>
    <row r="1107" spans="1:4" x14ac:dyDescent="0.25">
      <c r="A1107" s="28">
        <f>Angela_2026_Chase1117_Activity_!B1104</f>
        <v>46062</v>
      </c>
      <c r="B1107" s="3" t="str">
        <f>Angela_2026_Chase1117_Activity_!C1104</f>
        <v>ZARA USA INC. ESTADOS UNIDO NY       026837  02/09</v>
      </c>
      <c r="C1107" s="3" t="str">
        <f>Angela_2026_Chase1117_Activity_!G1104</f>
        <v>Personal - Shopping</v>
      </c>
      <c r="D1107" s="4">
        <f>Angela_2026_Chase1117_Activity_!D1104</f>
        <v>-826.35</v>
      </c>
    </row>
    <row r="1108" spans="1:4" x14ac:dyDescent="0.25">
      <c r="A1108" s="28">
        <f>Angela_2026_Chase1117_Activity_!B1105</f>
        <v>46062</v>
      </c>
      <c r="B1108" s="3" t="str">
        <f>Angela_2026_Chase1117_Activity_!C1105</f>
        <v>APPLE COM BILL CUPERTINO CA          653129  02/09</v>
      </c>
      <c r="C1108" s="3" t="str">
        <f>Angela_2026_Chase1117_Activity_!G1105</f>
        <v>Apple</v>
      </c>
      <c r="D1108" s="4">
        <f>Angela_2026_Chase1117_Activity_!D1105</f>
        <v>-12.99</v>
      </c>
    </row>
    <row r="1109" spans="1:4" x14ac:dyDescent="0.25">
      <c r="A1109" s="28">
        <f>Angela_2026_Chase1117_Activity_!B1106</f>
        <v>46062</v>
      </c>
      <c r="B1109" s="3" t="str">
        <f>Angela_2026_Chase1117_Activity_!C1106</f>
        <v>AMAZON RETA* 9D7EI8W WWW.AMAZON.CO WA        02/09</v>
      </c>
      <c r="C1109" s="3" t="str">
        <f>Angela_2026_Chase1117_Activity_!G1106</f>
        <v>Amazon</v>
      </c>
      <c r="D1109" s="4">
        <f>Angela_2026_Chase1117_Activity_!D1106</f>
        <v>-15.16</v>
      </c>
    </row>
    <row r="1110" spans="1:4" x14ac:dyDescent="0.25">
      <c r="A1110" s="28">
        <f>Angela_2026_Chase1117_Activity_!B1107</f>
        <v>46062</v>
      </c>
      <c r="B1110" s="3" t="str">
        <f>Angela_2026_Chase1117_Activity_!C1107</f>
        <v>PACOS TACOS LOS ANGELES CA                   02/08</v>
      </c>
      <c r="C1110" s="3" t="str">
        <f>Angela_2026_Chase1117_Activity_!G1107</f>
        <v>Personal - Food</v>
      </c>
      <c r="D1110" s="4">
        <f>Angela_2026_Chase1117_Activity_!D1107</f>
        <v>-128.35</v>
      </c>
    </row>
    <row r="1111" spans="1:4" x14ac:dyDescent="0.25">
      <c r="A1111" s="28">
        <f>Angela_2026_Chase1117_Activity_!B1108</f>
        <v>46062</v>
      </c>
      <c r="B1111" s="3" t="str">
        <f>Angela_2026_Chase1117_Activity_!C1108</f>
        <v>APPLE COM BILL CUPERTINO CA          405639  02/08</v>
      </c>
      <c r="C1111" s="3" t="str">
        <f>Angela_2026_Chase1117_Activity_!G1108</f>
        <v>Apple</v>
      </c>
      <c r="D1111" s="4">
        <f>Angela_2026_Chase1117_Activity_!D1108</f>
        <v>-6.99</v>
      </c>
    </row>
    <row r="1112" spans="1:4" x14ac:dyDescent="0.25">
      <c r="A1112" s="28">
        <f>Angela_2026_Chase1117_Activity_!B1109</f>
        <v>46062</v>
      </c>
      <c r="B1112" s="3" t="str">
        <f>Angela_2026_Chase1117_Activity_!C1109</f>
        <v>CVS/PHARMACY #09493 MAR VISTA CA     040965  02/08</v>
      </c>
      <c r="C1112" s="3" t="str">
        <f>Angela_2026_Chase1117_Activity_!G1109</f>
        <v>Personal - Health</v>
      </c>
      <c r="D1112" s="4">
        <f>Angela_2026_Chase1117_Activity_!D1109</f>
        <v>-76.790000000000006</v>
      </c>
    </row>
    <row r="1113" spans="1:4" x14ac:dyDescent="0.25">
      <c r="A1113" s="28">
        <f>Angela_2026_Chase1117_Activity_!B1110</f>
        <v>46062</v>
      </c>
      <c r="B1113" s="3" t="str">
        <f>Angela_2026_Chase1117_Activity_!C1110</f>
        <v>CVS/PHARMACY #09 09493 MAR VISTA CA  514602  02/08</v>
      </c>
      <c r="C1113" s="3" t="str">
        <f>Angela_2026_Chase1117_Activity_!G1110</f>
        <v>Personal - Health</v>
      </c>
      <c r="D1113" s="4">
        <f>Angela_2026_Chase1117_Activity_!D1110</f>
        <v>-22.95</v>
      </c>
    </row>
    <row r="1114" spans="1:4" x14ac:dyDescent="0.25">
      <c r="A1114" s="28">
        <f>Angela_2026_Chase1117_Activity_!B1111</f>
        <v>46062</v>
      </c>
      <c r="B1114" s="3" t="str">
        <f>Angela_2026_Chase1117_Activity_!C1111</f>
        <v>Amazon Tips*3D9UJ01Q Amzn.com/bill WA        02/08</v>
      </c>
      <c r="C1114" s="3" t="str">
        <f>Angela_2026_Chase1117_Activity_!G1111</f>
        <v>Amazon</v>
      </c>
      <c r="D1114" s="4">
        <f>Angela_2026_Chase1117_Activity_!D1111</f>
        <v>-5</v>
      </c>
    </row>
    <row r="1115" spans="1:4" x14ac:dyDescent="0.25">
      <c r="A1115" s="28">
        <f>Angela_2026_Chase1117_Activity_!B1112</f>
        <v>46062</v>
      </c>
      <c r="B1115" s="3" t="str">
        <f>Angela_2026_Chase1117_Activity_!C1112</f>
        <v>Amazon Tips*C522H06H Amzn.com/bill WA        02/08</v>
      </c>
      <c r="C1115" s="3" t="str">
        <f>Angela_2026_Chase1117_Activity_!G1112</f>
        <v>Amazon</v>
      </c>
      <c r="D1115" s="4">
        <f>Angela_2026_Chase1117_Activity_!D1112</f>
        <v>-20</v>
      </c>
    </row>
    <row r="1116" spans="1:4" x14ac:dyDescent="0.25">
      <c r="A1116" s="28">
        <f>Angela_2026_Chase1117_Activity_!B1113</f>
        <v>46062</v>
      </c>
      <c r="B1116" s="3" t="str">
        <f>Angela_2026_Chase1117_Activity_!C1113</f>
        <v>Amazon Tips*X00DX4FS Amzn.com/bill WA        02/08</v>
      </c>
      <c r="C1116" s="3" t="str">
        <f>Angela_2026_Chase1117_Activity_!G1113</f>
        <v>Amazon</v>
      </c>
      <c r="D1116" s="4">
        <f>Angela_2026_Chase1117_Activity_!D1113</f>
        <v>-20</v>
      </c>
    </row>
    <row r="1117" spans="1:4" x14ac:dyDescent="0.25">
      <c r="A1117" s="28">
        <f>Angela_2026_Chase1117_Activity_!B1114</f>
        <v>46062</v>
      </c>
      <c r="B1117" s="3" t="str">
        <f>Angela_2026_Chase1117_Activity_!C1114</f>
        <v>AMAZON MKTPL*RO4KI46 Amzn.com/bill WA        02/09</v>
      </c>
      <c r="C1117" s="3" t="str">
        <f>Angela_2026_Chase1117_Activity_!G1114</f>
        <v>Amazon</v>
      </c>
      <c r="D1117" s="4">
        <f>Angela_2026_Chase1117_Activity_!D1114</f>
        <v>-19.2</v>
      </c>
    </row>
    <row r="1118" spans="1:4" x14ac:dyDescent="0.25">
      <c r="A1118" s="28">
        <f>Angela_2026_Chase1117_Activity_!B1115</f>
        <v>46062</v>
      </c>
      <c r="B1118" s="3" t="str">
        <f>Angela_2026_Chase1117_Activity_!C1115</f>
        <v>Amazon.com*4Z5YO6QA3 Amzn.com/bill WA        02/08</v>
      </c>
      <c r="C1118" s="3" t="str">
        <f>Angela_2026_Chase1117_Activity_!G1115</f>
        <v>Amazon</v>
      </c>
      <c r="D1118" s="4">
        <f>Angela_2026_Chase1117_Activity_!D1115</f>
        <v>-20.81</v>
      </c>
    </row>
    <row r="1119" spans="1:4" x14ac:dyDescent="0.25">
      <c r="A1119" s="28">
        <f>Angela_2026_Chase1117_Activity_!B1116</f>
        <v>46062</v>
      </c>
      <c r="B1119" s="3" t="str">
        <f>Angela_2026_Chase1117_Activity_!C1116</f>
        <v>PAVILIONS #2105 MARINA DEL RE CA             02/07</v>
      </c>
      <c r="C1119" s="3" t="str">
        <f>Angela_2026_Chase1117_Activity_!G1116</f>
        <v>Personal - Food</v>
      </c>
      <c r="D1119" s="4">
        <f>Angela_2026_Chase1117_Activity_!D1116</f>
        <v>-644.19000000000005</v>
      </c>
    </row>
    <row r="1120" spans="1:4" x14ac:dyDescent="0.25">
      <c r="A1120" s="28">
        <f>Angela_2026_Chase1117_Activity_!B1117</f>
        <v>46062</v>
      </c>
      <c r="B1120" s="3" t="str">
        <f>Angela_2026_Chase1117_Activity_!C1117</f>
        <v>Prime Video Channels amzn.com/bill WA        02/07</v>
      </c>
      <c r="C1120" s="3" t="str">
        <f>Angela_2026_Chase1117_Activity_!G1117</f>
        <v>Amazon</v>
      </c>
      <c r="D1120" s="4">
        <f>Angela_2026_Chase1117_Activity_!D1117</f>
        <v>-13.99</v>
      </c>
    </row>
    <row r="1121" spans="1:4" x14ac:dyDescent="0.25">
      <c r="A1121" s="28">
        <f>Angela_2026_Chase1117_Activity_!B1118</f>
        <v>46062</v>
      </c>
      <c r="B1121" s="3" t="str">
        <f>Angela_2026_Chase1117_Activity_!C1118</f>
        <v>Amazon.com*M97EX7IE3 Amzn.com/bill WA        02/07</v>
      </c>
      <c r="C1121" s="3" t="str">
        <f>Angela_2026_Chase1117_Activity_!G1118</f>
        <v>Amazon</v>
      </c>
      <c r="D1121" s="4">
        <f>Angela_2026_Chase1117_Activity_!D1118</f>
        <v>-37.11</v>
      </c>
    </row>
    <row r="1122" spans="1:4" x14ac:dyDescent="0.25">
      <c r="A1122" s="28">
        <f>Angela_2026_Chase1117_Activity_!B1119</f>
        <v>46062</v>
      </c>
      <c r="B1122" s="3" t="str">
        <f>Angela_2026_Chase1117_Activity_!C1119</f>
        <v>Amazon.com*3A30K3XC3 Amzn.com/bill WA        02/07</v>
      </c>
      <c r="C1122" s="3" t="str">
        <f>Angela_2026_Chase1117_Activity_!G1119</f>
        <v>Amazon</v>
      </c>
      <c r="D1122" s="4">
        <f>Angela_2026_Chase1117_Activity_!D1119</f>
        <v>-63.22</v>
      </c>
    </row>
    <row r="1123" spans="1:4" x14ac:dyDescent="0.25">
      <c r="A1123" s="28">
        <f>Angela_2026_Chase1117_Activity_!B1120</f>
        <v>46062</v>
      </c>
      <c r="B1123" s="3" t="str">
        <f>Angela_2026_Chase1117_Activity_!C1120</f>
        <v>UBER   * PENDING SAN FRANCISCO CA    086206  02/06</v>
      </c>
      <c r="C1123" s="3" t="str">
        <f>Angela_2026_Chase1117_Activity_!G1120</f>
        <v>Personal - Uber</v>
      </c>
      <c r="D1123" s="4">
        <f>Angela_2026_Chase1117_Activity_!D1120</f>
        <v>-47.53</v>
      </c>
    </row>
    <row r="1124" spans="1:4" x14ac:dyDescent="0.25">
      <c r="A1124" s="28">
        <f>Angela_2026_Chase1117_Activity_!B1121</f>
        <v>46062</v>
      </c>
      <c r="B1124" s="3" t="str">
        <f>Angela_2026_Chase1117_Activity_!C1121</f>
        <v>AMAZON MARK* 5604803 AMAZON.COM/MA WA        02/07</v>
      </c>
      <c r="C1124" s="3" t="str">
        <f>Angela_2026_Chase1117_Activity_!G1121</f>
        <v>Amazon</v>
      </c>
      <c r="D1124" s="4">
        <f>Angela_2026_Chase1117_Activity_!D1121</f>
        <v>-33</v>
      </c>
    </row>
    <row r="1125" spans="1:4" x14ac:dyDescent="0.25">
      <c r="A1125" s="28">
        <f>Angela_2026_Chase1117_Activity_!B1122</f>
        <v>46062</v>
      </c>
      <c r="B1125" s="3" t="str">
        <f>Angela_2026_Chase1117_Activity_!C1122</f>
        <v>AMAZON MARK* ML9LO8A AMAZON.COM/MA WA        02/07</v>
      </c>
      <c r="C1125" s="3" t="str">
        <f>Angela_2026_Chase1117_Activity_!G1122</f>
        <v>Amazon</v>
      </c>
      <c r="D1125" s="4">
        <f>Angela_2026_Chase1117_Activity_!D1122</f>
        <v>-44.98</v>
      </c>
    </row>
    <row r="1126" spans="1:4" x14ac:dyDescent="0.25">
      <c r="A1126" s="28">
        <f>Angela_2026_Chase1117_Activity_!B1123</f>
        <v>46062</v>
      </c>
      <c r="B1126" s="3" t="str">
        <f>Angela_2026_Chase1117_Activity_!C1123</f>
        <v>AMAZON MARK* F12CS8V AMAZON.COM/MA WA        02/07</v>
      </c>
      <c r="C1126" s="3" t="str">
        <f>Angela_2026_Chase1117_Activity_!G1123</f>
        <v>Amazon</v>
      </c>
      <c r="D1126" s="4">
        <f>Angela_2026_Chase1117_Activity_!D1123</f>
        <v>-101.99</v>
      </c>
    </row>
    <row r="1127" spans="1:4" x14ac:dyDescent="0.25">
      <c r="A1127" s="28">
        <f>Angela_2026_Chase1117_Activity_!B1124</f>
        <v>46062</v>
      </c>
      <c r="B1127" s="3" t="str">
        <f>Angela_2026_Chase1117_Activity_!C1124</f>
        <v>AMAZON RETA* SC0RY2C WWW.AMAZON.CO WA        02/07</v>
      </c>
      <c r="C1127" s="3" t="str">
        <f>Angela_2026_Chase1117_Activity_!G1124</f>
        <v>Amazon</v>
      </c>
      <c r="D1127" s="4">
        <f>Angela_2026_Chase1117_Activity_!D1124</f>
        <v>-20.72</v>
      </c>
    </row>
    <row r="1128" spans="1:4" x14ac:dyDescent="0.25">
      <c r="A1128" s="28">
        <f>Angela_2026_Chase1117_Activity_!B1125</f>
        <v>46062</v>
      </c>
      <c r="B1128" s="3" t="str">
        <f>Angela_2026_Chase1117_Activity_!C1125</f>
        <v>Amazon.com*6E6S163B3 Amzn.com/bill WA        02/07</v>
      </c>
      <c r="C1128" s="3" t="str">
        <f>Angela_2026_Chase1117_Activity_!G1125</f>
        <v>Amazon</v>
      </c>
      <c r="D1128" s="4">
        <f>Angela_2026_Chase1117_Activity_!D1125</f>
        <v>-286.20999999999998</v>
      </c>
    </row>
    <row r="1129" spans="1:4" x14ac:dyDescent="0.25">
      <c r="A1129" s="28">
        <f>Angela_2026_Chase1117_Activity_!B1126</f>
        <v>46062</v>
      </c>
      <c r="B1129" s="3" t="str">
        <f>Angela_2026_Chase1117_Activity_!C1126</f>
        <v>STARBUCKS TERM B DFW DALLAS TX               02/06</v>
      </c>
      <c r="C1129" s="3" t="str">
        <f>Angela_2026_Chase1117_Activity_!G1126</f>
        <v>Personal - Food</v>
      </c>
      <c r="D1129" s="4">
        <f>Angela_2026_Chase1117_Activity_!D1126</f>
        <v>-13.53</v>
      </c>
    </row>
    <row r="1130" spans="1:4" x14ac:dyDescent="0.25">
      <c r="A1130" s="28">
        <f>Angela_2026_Chase1117_Activity_!B1127</f>
        <v>46062</v>
      </c>
      <c r="B1130" s="3" t="str">
        <f>Angela_2026_Chase1117_Activity_!C1127</f>
        <v>AMERICAN AI 00102815828 PHOENIX AZ           02/07</v>
      </c>
      <c r="C1130" s="3" t="str">
        <f>Angela_2026_Chase1117_Activity_!G1127</f>
        <v>Personal Travel</v>
      </c>
      <c r="D1130" s="4">
        <f>Angela_2026_Chase1117_Activity_!D1127</f>
        <v>-45</v>
      </c>
    </row>
    <row r="1131" spans="1:4" x14ac:dyDescent="0.25">
      <c r="A1131" s="28">
        <f>Angela_2026_Chase1117_Activity_!B1128</f>
        <v>46062</v>
      </c>
      <c r="B1131" s="3" t="str">
        <f>Angela_2026_Chase1117_Activity_!C1128</f>
        <v>AMC 0748 LAKE WORTH 14 FORT WORTH TX         02/05</v>
      </c>
      <c r="C1131" s="3" t="str">
        <f>Angela_2026_Chase1117_Activity_!G1128</f>
        <v>Personal - Entertainment</v>
      </c>
      <c r="D1131" s="4">
        <f>Angela_2026_Chase1117_Activity_!D1128</f>
        <v>-11.14</v>
      </c>
    </row>
    <row r="1132" spans="1:4" x14ac:dyDescent="0.25">
      <c r="A1132" s="28">
        <f>Angela_2026_Chase1117_Activity_!B1129</f>
        <v>46062</v>
      </c>
      <c r="B1132" s="3" t="str">
        <f>Angela_2026_Chase1117_Activity_!C1129</f>
        <v>AMC 0748 LAKE WORTH 14 FORT WORTH TX         02/05</v>
      </c>
      <c r="C1132" s="3" t="str">
        <f>Angela_2026_Chase1117_Activity_!G1129</f>
        <v>Personal - Entertainment</v>
      </c>
      <c r="D1132" s="4">
        <f>Angela_2026_Chase1117_Activity_!D1129</f>
        <v>-5.4</v>
      </c>
    </row>
    <row r="1133" spans="1:4" x14ac:dyDescent="0.25">
      <c r="A1133" s="28">
        <f>Angela_2026_Chase1117_Activity_!B1130</f>
        <v>46062</v>
      </c>
      <c r="B1133" s="3" t="str">
        <f>Angela_2026_Chase1117_Activity_!C1130</f>
        <v>AMC 0748 LAKE WORTH 14 FORT WORTH TX         02/05</v>
      </c>
      <c r="C1133" s="3" t="str">
        <f>Angela_2026_Chase1117_Activity_!G1130</f>
        <v>Personal - Entertainment</v>
      </c>
      <c r="D1133" s="4">
        <f>Angela_2026_Chase1117_Activity_!D1130</f>
        <v>-27.13</v>
      </c>
    </row>
    <row r="1134" spans="1:4" x14ac:dyDescent="0.25">
      <c r="A1134" s="28">
        <f>Angela_2026_Chase1117_Activity_!B1131</f>
        <v>46062</v>
      </c>
      <c r="B1134" s="3" t="str">
        <f>Angela_2026_Chase1117_Activity_!C1131</f>
        <v>Online Transfer from CHK ...1168 transaction#: 28005408120</v>
      </c>
      <c r="C1134" s="3" t="str">
        <f>Angela_2026_Chase1117_Activity_!G1131</f>
        <v>Transfer from DWG Capital Group</v>
      </c>
      <c r="D1134" s="4">
        <f>Angela_2026_Chase1117_Activity_!D1131</f>
        <v>3000</v>
      </c>
    </row>
    <row r="1135" spans="1:4" x14ac:dyDescent="0.25">
      <c r="A1135" s="28">
        <f>Angela_2026_Chase1117_Activity_!B1132</f>
        <v>46059</v>
      </c>
      <c r="B1135" s="3" t="str">
        <f>Angela_2026_Chase1117_Activity_!C1132</f>
        <v>UBER   * EATS PENDIN SAN FRANCISCO CA148582  02/06</v>
      </c>
      <c r="C1135" s="3" t="str">
        <f>Angela_2026_Chase1117_Activity_!G1132</f>
        <v>Uber Eats</v>
      </c>
      <c r="D1135" s="4">
        <f>Angela_2026_Chase1117_Activity_!D1132</f>
        <v>-67.77</v>
      </c>
    </row>
    <row r="1136" spans="1:4" x14ac:dyDescent="0.25">
      <c r="A1136" s="28">
        <f>Angela_2026_Chase1117_Activity_!B1133</f>
        <v>46059</v>
      </c>
      <c r="B1136" s="3" t="str">
        <f>Angela_2026_Chase1117_Activity_!C1133</f>
        <v>GOOGLE *YouTubePremi g.co/helppay# CA        02/06</v>
      </c>
      <c r="C1136" s="3" t="str">
        <f>Angela_2026_Chase1117_Activity_!G1133</f>
        <v>YouTube Premium</v>
      </c>
      <c r="D1136" s="4">
        <f>Angela_2026_Chase1117_Activity_!D1133</f>
        <v>-13.99</v>
      </c>
    </row>
    <row r="1137" spans="1:4" x14ac:dyDescent="0.25">
      <c r="A1137" s="28">
        <f>Angela_2026_Chase1117_Activity_!B1134</f>
        <v>46059</v>
      </c>
      <c r="B1137" s="3" t="str">
        <f>Angela_2026_Chase1117_Activity_!C1134</f>
        <v>PSYCHOLOGY TODAY PSYCHOLOGYTOD SD            02/06</v>
      </c>
      <c r="C1137" s="3" t="str">
        <f>Angela_2026_Chase1117_Activity_!G1134</f>
        <v>Personal - Subscription</v>
      </c>
      <c r="D1137" s="4">
        <f>Angela_2026_Chase1117_Activity_!D1134</f>
        <v>-29.95</v>
      </c>
    </row>
    <row r="1138" spans="1:4" x14ac:dyDescent="0.25">
      <c r="A1138" s="28">
        <f>Angela_2026_Chase1117_Activity_!B1135</f>
        <v>46059</v>
      </c>
      <c r="B1138" s="3" t="str">
        <f>Angela_2026_Chase1117_Activity_!C1135</f>
        <v>NTTA AUTOCHARGE 972-818-6882 TX              02/05</v>
      </c>
      <c r="C1138" s="3" t="str">
        <f>Angela_2026_Chase1117_Activity_!G1135</f>
        <v>Personal - Car</v>
      </c>
      <c r="D1138" s="4">
        <f>Angela_2026_Chase1117_Activity_!D1135</f>
        <v>-40</v>
      </c>
    </row>
    <row r="1139" spans="1:4" x14ac:dyDescent="0.25">
      <c r="A1139" s="28">
        <f>Angela_2026_Chase1117_Activity_!B1136</f>
        <v>46059</v>
      </c>
      <c r="B1139" s="3" t="str">
        <f>Angela_2026_Chase1117_Activity_!C1136</f>
        <v>AMAZON MKTPL*IP4699S Amzn.com/bill WA        02/05</v>
      </c>
      <c r="C1139" s="3" t="str">
        <f>Angela_2026_Chase1117_Activity_!G1136</f>
        <v>Amazon</v>
      </c>
      <c r="D1139" s="4">
        <f>Angela_2026_Chase1117_Activity_!D1136</f>
        <v>-96.53</v>
      </c>
    </row>
    <row r="1140" spans="1:4" x14ac:dyDescent="0.25">
      <c r="A1140" s="28">
        <f>Angela_2026_Chase1117_Activity_!B1137</f>
        <v>46058</v>
      </c>
      <c r="B1140" s="3" t="str">
        <f>Angela_2026_Chase1117_Activity_!C1137</f>
        <v>SHELL SERVICE STATION WEATHERFORD TX 101102  02/05</v>
      </c>
      <c r="C1140" s="3" t="str">
        <f>Angela_2026_Chase1117_Activity_!G1137</f>
        <v>Personal - Car</v>
      </c>
      <c r="D1140" s="4">
        <f>Angela_2026_Chase1117_Activity_!D1137</f>
        <v>-52.56</v>
      </c>
    </row>
    <row r="1141" spans="1:4" x14ac:dyDescent="0.25">
      <c r="A1141" s="28">
        <f>Angela_2026_Chase1117_Activity_!B1138</f>
        <v>46058</v>
      </c>
      <c r="B1141" s="3" t="str">
        <f>Angela_2026_Chase1117_Activity_!C1138</f>
        <v>ATM WITHDRAWAL                       005325  02/05225 E INT</v>
      </c>
      <c r="C1141" s="3" t="str">
        <f>Angela_2026_Chase1117_Activity_!G1138</f>
        <v>Withdrawal</v>
      </c>
      <c r="D1141" s="4">
        <f>Angela_2026_Chase1117_Activity_!D1138</f>
        <v>-400</v>
      </c>
    </row>
    <row r="1142" spans="1:4" x14ac:dyDescent="0.25">
      <c r="A1142" s="28">
        <f>Angela_2026_Chase1117_Activity_!B1139</f>
        <v>46058</v>
      </c>
      <c r="B1142" s="3" t="str">
        <f>Angela_2026_Chase1117_Activity_!C1139</f>
        <v>ATM WITHDRAWAL                       005320  02/05225 E INT</v>
      </c>
      <c r="C1142" s="3" t="str">
        <f>Angela_2026_Chase1117_Activity_!G1139</f>
        <v>Withdrawal</v>
      </c>
      <c r="D1142" s="4">
        <f>Angela_2026_Chase1117_Activity_!D1139</f>
        <v>-600</v>
      </c>
    </row>
    <row r="1143" spans="1:4" x14ac:dyDescent="0.25">
      <c r="A1143" s="28">
        <f>Angela_2026_Chase1117_Activity_!B1140</f>
        <v>46058</v>
      </c>
      <c r="B1143" s="3" t="str">
        <f>Angela_2026_Chase1117_Activity_!C1140</f>
        <v>AZLE ANTIQUE MAL AZLE TX             016383  02/05</v>
      </c>
      <c r="C1143" s="3" t="str">
        <f>Angela_2026_Chase1117_Activity_!G1140</f>
        <v>Personal - Shopping</v>
      </c>
      <c r="D1143" s="4">
        <f>Angela_2026_Chase1117_Activity_!D1140</f>
        <v>-326.22000000000003</v>
      </c>
    </row>
    <row r="1144" spans="1:4" x14ac:dyDescent="0.25">
      <c r="A1144" s="28">
        <f>Angela_2026_Chase1117_Activity_!B1141</f>
        <v>46057</v>
      </c>
      <c r="B1144" s="3" t="str">
        <f>Angela_2026_Chase1117_Activity_!C1141</f>
        <v>T J MAXX #1295 WEATHERFORD TX        014889  02/04</v>
      </c>
      <c r="C1144" s="3" t="str">
        <f>Angela_2026_Chase1117_Activity_!G1141</f>
        <v>Personal - Shopping</v>
      </c>
      <c r="D1144" s="4">
        <f>Angela_2026_Chase1117_Activity_!D1141</f>
        <v>-129.88999999999999</v>
      </c>
    </row>
    <row r="1145" spans="1:4" x14ac:dyDescent="0.25">
      <c r="A1145" s="28">
        <f>Angela_2026_Chase1117_Activity_!B1142</f>
        <v>46057</v>
      </c>
      <c r="B1145" s="3" t="str">
        <f>Angela_2026_Chase1117_Activity_!C1142</f>
        <v>BONENANZA BARN BOOKS &amp; GLEN ROSE TX          02/03</v>
      </c>
      <c r="C1145" s="3" t="str">
        <f>Angela_2026_Chase1117_Activity_!G1142</f>
        <v>Personal - Shopping</v>
      </c>
      <c r="D1145" s="4">
        <f>Angela_2026_Chase1117_Activity_!D1142</f>
        <v>-33.619999999999997</v>
      </c>
    </row>
    <row r="1146" spans="1:4" x14ac:dyDescent="0.25">
      <c r="A1146" s="28">
        <f>Angela_2026_Chase1117_Activity_!B1143</f>
        <v>46057</v>
      </c>
      <c r="B1146" s="3" t="str">
        <f>Angela_2026_Chase1117_Activity_!C1143</f>
        <v>AMAZON MKTPL*3S19952 Amzn.com/bill WA        02/04</v>
      </c>
      <c r="C1146" s="3" t="str">
        <f>Angela_2026_Chase1117_Activity_!G1143</f>
        <v>Amazon</v>
      </c>
      <c r="D1146" s="4">
        <f>Angela_2026_Chase1117_Activity_!D1143</f>
        <v>-10.42</v>
      </c>
    </row>
    <row r="1147" spans="1:4" x14ac:dyDescent="0.25">
      <c r="A1147" s="28">
        <f>Angela_2026_Chase1117_Activity_!B1144</f>
        <v>46057</v>
      </c>
      <c r="B1147" s="3" t="str">
        <f>Angela_2026_Chase1117_Activity_!C1144</f>
        <v>Amazon.com*A20B27X53 Amzn.com/bill WA        02/04</v>
      </c>
      <c r="C1147" s="3" t="str">
        <f>Angela_2026_Chase1117_Activity_!G1144</f>
        <v>Amazon</v>
      </c>
      <c r="D1147" s="4">
        <f>Angela_2026_Chase1117_Activity_!D1144</f>
        <v>-9.83</v>
      </c>
    </row>
    <row r="1148" spans="1:4" x14ac:dyDescent="0.25">
      <c r="A1148" s="28">
        <f>Angela_2026_Chase1117_Activity_!B1145</f>
        <v>46057</v>
      </c>
      <c r="B1148" s="3" t="str">
        <f>Angela_2026_Chase1117_Activity_!C1145</f>
        <v>SQ *BIG DEAL FARMS &amp; AN Glen Rose TX         02/03</v>
      </c>
      <c r="C1148" s="3" t="str">
        <f>Angela_2026_Chase1117_Activity_!G1145</f>
        <v>Personal - Shopping</v>
      </c>
      <c r="D1148" s="4">
        <f>Angela_2026_Chase1117_Activity_!D1145</f>
        <v>-156.63999999999999</v>
      </c>
    </row>
    <row r="1149" spans="1:4" x14ac:dyDescent="0.25">
      <c r="A1149" s="28">
        <f>Angela_2026_Chase1117_Activity_!B1146</f>
        <v>46057</v>
      </c>
      <c r="B1149" s="3" t="str">
        <f>Angela_2026_Chase1117_Activity_!C1146</f>
        <v>AMAZON MKTPL*9D5U24U Amzn.com/bill WA        02/04</v>
      </c>
      <c r="C1149" s="3" t="str">
        <f>Angela_2026_Chase1117_Activity_!G1146</f>
        <v>Amazon</v>
      </c>
      <c r="D1149" s="4">
        <f>Angela_2026_Chase1117_Activity_!D1146</f>
        <v>-10.66</v>
      </c>
    </row>
    <row r="1150" spans="1:4" x14ac:dyDescent="0.25">
      <c r="A1150" s="28">
        <f>Angela_2026_Chase1117_Activity_!B1147</f>
        <v>46057</v>
      </c>
      <c r="B1150" s="3" t="str">
        <f>Angela_2026_Chase1117_Activity_!C1147</f>
        <v>WITHERSPOONS ANTIQUE MA GRANBURY TX          02/03</v>
      </c>
      <c r="C1150" s="3" t="str">
        <f>Angela_2026_Chase1117_Activity_!G1147</f>
        <v>Personal - Shopping</v>
      </c>
      <c r="D1150" s="4">
        <f>Angela_2026_Chase1117_Activity_!D1147</f>
        <v>-176.98</v>
      </c>
    </row>
    <row r="1151" spans="1:4" x14ac:dyDescent="0.25">
      <c r="A1151" s="28">
        <f>Angela_2026_Chase1117_Activity_!B1148</f>
        <v>46057</v>
      </c>
      <c r="B1151" s="3" t="str">
        <f>Angela_2026_Chase1117_Activity_!C1148</f>
        <v>FANDANGO    * FANDANGO.COM CA                02/03</v>
      </c>
      <c r="C1151" s="3" t="str">
        <f>Angela_2026_Chase1117_Activity_!G1148</f>
        <v>Personal - Entertainment</v>
      </c>
      <c r="D1151" s="4">
        <f>Angela_2026_Chase1117_Activity_!D1148</f>
        <v>-43.36</v>
      </c>
    </row>
    <row r="1152" spans="1:4" x14ac:dyDescent="0.25">
      <c r="A1152" s="28">
        <f>Angela_2026_Chase1117_Activity_!B1149</f>
        <v>46057</v>
      </c>
      <c r="B1152" s="3" t="str">
        <f>Angela_2026_Chase1117_Activity_!C1149</f>
        <v>Zelle payment from MARY MARGARET TRAHAN 27942980358</v>
      </c>
      <c r="C1152" s="3" t="str">
        <f>Angela_2026_Chase1117_Activity_!G1149</f>
        <v>Zelle from Mary Margaret Trahan</v>
      </c>
      <c r="D1152" s="4">
        <f>Angela_2026_Chase1117_Activity_!D1149</f>
        <v>150</v>
      </c>
    </row>
    <row r="1153" spans="1:4" x14ac:dyDescent="0.25">
      <c r="A1153" s="28">
        <f>Angela_2026_Chase1117_Activity_!B1150</f>
        <v>46056</v>
      </c>
      <c r="B1153" s="3" t="str">
        <f>Angela_2026_Chase1117_Activity_!C1150</f>
        <v>APPLE.COM/BILL 866-712-7753 CA               02/02</v>
      </c>
      <c r="C1153" s="3" t="str">
        <f>Angela_2026_Chase1117_Activity_!G1150</f>
        <v>Apple</v>
      </c>
      <c r="D1153" s="4">
        <f>Angela_2026_Chase1117_Activity_!D1150</f>
        <v>-3.99</v>
      </c>
    </row>
    <row r="1154" spans="1:4" x14ac:dyDescent="0.25">
      <c r="A1154" s="28">
        <f>Angela_2026_Chase1117_Activity_!B1151</f>
        <v>46056</v>
      </c>
      <c r="B1154" s="3" t="str">
        <f>Angela_2026_Chase1117_Activity_!C1151</f>
        <v>AMERICAN AIR00144849199 FORT WORTH TX        02/02</v>
      </c>
      <c r="C1154" s="3" t="str">
        <f>Angela_2026_Chase1117_Activity_!G1151</f>
        <v>Personal Travel</v>
      </c>
      <c r="D1154" s="4">
        <f>Angela_2026_Chase1117_Activity_!D1151</f>
        <v>-35</v>
      </c>
    </row>
    <row r="1155" spans="1:4" x14ac:dyDescent="0.25">
      <c r="A1155" s="28">
        <f>Angela_2026_Chase1117_Activity_!B1152</f>
        <v>46056</v>
      </c>
      <c r="B1155" s="3" t="str">
        <f>Angela_2026_Chase1117_Activity_!C1152</f>
        <v>AMERICAN AIR00144849199 FORT WORTH TX        02/02</v>
      </c>
      <c r="C1155" s="3" t="str">
        <f>Angela_2026_Chase1117_Activity_!G1152</f>
        <v>Personal Travel</v>
      </c>
      <c r="D1155" s="4">
        <f>Angela_2026_Chase1117_Activity_!D1152</f>
        <v>-35</v>
      </c>
    </row>
    <row r="1156" spans="1:4" x14ac:dyDescent="0.25">
      <c r="A1156" s="28">
        <f>Angela_2026_Chase1117_Activity_!B1153</f>
        <v>46056</v>
      </c>
      <c r="B1156" s="3" t="str">
        <f>Angela_2026_Chase1117_Activity_!C1153</f>
        <v>AMERICAN AIR00144849199 FORT WORTH TX        02/02</v>
      </c>
      <c r="C1156" s="3" t="str">
        <f>Angela_2026_Chase1117_Activity_!G1153</f>
        <v>Personal Travel</v>
      </c>
      <c r="D1156" s="4">
        <f>Angela_2026_Chase1117_Activity_!D1153</f>
        <v>-35</v>
      </c>
    </row>
    <row r="1157" spans="1:4" x14ac:dyDescent="0.25">
      <c r="A1157" s="28">
        <f>Angela_2026_Chase1117_Activity_!B1154</f>
        <v>46056</v>
      </c>
      <c r="B1157" s="3" t="str">
        <f>Angela_2026_Chase1117_Activity_!C1154</f>
        <v>Amazon.com*X947A51O3 Amzn.com/bill WA        02/03</v>
      </c>
      <c r="C1157" s="3" t="str">
        <f>Angela_2026_Chase1117_Activity_!G1154</f>
        <v>Amazon</v>
      </c>
      <c r="D1157" s="4">
        <f>Angela_2026_Chase1117_Activity_!D1154</f>
        <v>-37.31</v>
      </c>
    </row>
    <row r="1158" spans="1:4" x14ac:dyDescent="0.25">
      <c r="A1158" s="28">
        <f>Angela_2026_Chase1117_Activity_!B1155</f>
        <v>46056</v>
      </c>
      <c r="B1158" s="3" t="str">
        <f>Angela_2026_Chase1117_Activity_!C1155</f>
        <v>Online Transfer from CHK ...1168 transaction#: 27936175999</v>
      </c>
      <c r="C1158" s="3" t="str">
        <f>Angela_2026_Chase1117_Activity_!G1155</f>
        <v>Transfer from DWG Capital Group</v>
      </c>
      <c r="D1158" s="4">
        <f>Angela_2026_Chase1117_Activity_!D1155</f>
        <v>2000</v>
      </c>
    </row>
    <row r="1159" spans="1:4" x14ac:dyDescent="0.25">
      <c r="A1159" s="28">
        <f>Angela_2026_Chase1117_Activity_!B1156</f>
        <v>46055</v>
      </c>
      <c r="B1159" s="3" t="str">
        <f>Angela_2026_Chase1117_Activity_!C1156</f>
        <v>HOBBYLOBBY WEATHERFORD TX            045553  02/02</v>
      </c>
      <c r="C1159" s="3" t="str">
        <f>Angela_2026_Chase1117_Activity_!G1156</f>
        <v>Personal - Shopping</v>
      </c>
      <c r="D1159" s="4">
        <f>Angela_2026_Chase1117_Activity_!D1156</f>
        <v>-21.49</v>
      </c>
    </row>
    <row r="1160" spans="1:4" x14ac:dyDescent="0.25">
      <c r="A1160" s="28">
        <f>Angela_2026_Chase1117_Activity_!B1157</f>
        <v>46055</v>
      </c>
      <c r="B1160" s="3" t="str">
        <f>Angela_2026_Chase1117_Activity_!C1157</f>
        <v>SQ *REA COMMERCIAL SECU gosq.com CA          02/02</v>
      </c>
      <c r="C1160" s="3" t="str">
        <f>Angela_2026_Chase1117_Activity_!G1157</f>
        <v>Personal - Subscription</v>
      </c>
      <c r="D1160" s="4">
        <f>Angela_2026_Chase1117_Activity_!D1157</f>
        <v>-100</v>
      </c>
    </row>
    <row r="1161" spans="1:4" x14ac:dyDescent="0.25">
      <c r="A1161" s="28">
        <f>Angela_2026_Chase1117_Activity_!B1158</f>
        <v>46055</v>
      </c>
      <c r="B1161" s="3" t="str">
        <f>Angela_2026_Chase1117_Activity_!C1158</f>
        <v>FSP*CAMFT 858-292-2638 CA                    02/01</v>
      </c>
      <c r="C1161" s="3" t="str">
        <f>Angela_2026_Chase1117_Activity_!G1158</f>
        <v>Personal - Work</v>
      </c>
      <c r="D1161" s="4">
        <f>Angela_2026_Chase1117_Activity_!D1158</f>
        <v>-227</v>
      </c>
    </row>
    <row r="1162" spans="1:4" x14ac:dyDescent="0.25">
      <c r="A1162" s="28">
        <f>Angela_2026_Chase1117_Activity_!B1159</f>
        <v>46055</v>
      </c>
      <c r="B1162" s="3" t="str">
        <f>Angela_2026_Chase1117_Activity_!C1159</f>
        <v>LS LEAVES BOOK AND TE 168-22334832 TX        01/31</v>
      </c>
      <c r="C1162" s="3" t="str">
        <f>Angela_2026_Chase1117_Activity_!G1159</f>
        <v>Personal - Shopping</v>
      </c>
      <c r="D1162" s="4">
        <f>Angela_2026_Chase1117_Activity_!D1159</f>
        <v>-30.64</v>
      </c>
    </row>
    <row r="1163" spans="1:4" x14ac:dyDescent="0.25">
      <c r="A1163" s="28">
        <f>Angela_2026_Chase1117_Activity_!B1160</f>
        <v>46055</v>
      </c>
      <c r="B1163" s="3" t="str">
        <f>Angela_2026_Chase1117_Activity_!C1160</f>
        <v>BENITOS RESTAURANTES FORT WORTH TX           01/31</v>
      </c>
      <c r="C1163" s="3" t="str">
        <f>Angela_2026_Chase1117_Activity_!G1160</f>
        <v>Personal - Food</v>
      </c>
      <c r="D1163" s="4">
        <f>Angela_2026_Chase1117_Activity_!D1160</f>
        <v>-99.65</v>
      </c>
    </row>
    <row r="1164" spans="1:4" x14ac:dyDescent="0.25">
      <c r="A1164" s="28">
        <f>Angela_2026_Chase1117_Activity_!B1161</f>
        <v>46055</v>
      </c>
      <c r="B1164" s="3" t="str">
        <f>Angela_2026_Chase1117_Activity_!C1161</f>
        <v>BLUE SHIELD CALIFORNI 800-393-6130 CA        01/31</v>
      </c>
      <c r="C1164" s="3" t="str">
        <f>Angela_2026_Chase1117_Activity_!G1161</f>
        <v>Personal - Health Insurance</v>
      </c>
      <c r="D1164" s="4">
        <f>Angela_2026_Chase1117_Activity_!D1161</f>
        <v>-1275.3</v>
      </c>
    </row>
    <row r="1165" spans="1:4" x14ac:dyDescent="0.25">
      <c r="A1165" s="28">
        <f>Angela_2026_Chase1117_Activity_!B1162</f>
        <v>46055</v>
      </c>
      <c r="B1165" s="3" t="str">
        <f>Angela_2026_Chase1117_Activity_!C1162</f>
        <v>EATZI'S - FT. WORTH FORT WORTH TX            01/30</v>
      </c>
      <c r="C1165" s="3" t="str">
        <f>Angela_2026_Chase1117_Activity_!G1162</f>
        <v>Personal - Food</v>
      </c>
      <c r="D1165" s="4">
        <f>Angela_2026_Chase1117_Activity_!D1162</f>
        <v>-95.74</v>
      </c>
    </row>
    <row r="1166" spans="1:4" x14ac:dyDescent="0.25">
      <c r="A1166" s="28">
        <f>Angela_2026_Chase1117_Activity_!B1163</f>
        <v>46055</v>
      </c>
      <c r="B1166" s="3" t="str">
        <f>Angela_2026_Chase1117_Activity_!C1163</f>
        <v>AMERICAN AIR00183243373 FORT WORTH TX        01/30</v>
      </c>
      <c r="C1166" s="3" t="str">
        <f>Angela_2026_Chase1117_Activity_!G1163</f>
        <v>Personal Travel</v>
      </c>
      <c r="D1166" s="4">
        <f>Angela_2026_Chase1117_Activity_!D1163</f>
        <v>-29.03</v>
      </c>
    </row>
    <row r="1167" spans="1:4" x14ac:dyDescent="0.25">
      <c r="A1167" s="28">
        <f>Angela_2026_Chase1117_Activity_!B1164</f>
        <v>46055</v>
      </c>
      <c r="B1167" s="3" t="str">
        <f>Angela_2026_Chase1117_Activity_!C1164</f>
        <v>AMERICAN AIR00183243373 FORT WORTH TX        01/30</v>
      </c>
      <c r="C1167" s="3" t="str">
        <f>Angela_2026_Chase1117_Activity_!G1164</f>
        <v>Personal Travel</v>
      </c>
      <c r="D1167" s="4">
        <f>Angela_2026_Chase1117_Activity_!D1164</f>
        <v>-38.409999999999997</v>
      </c>
    </row>
    <row r="1168" spans="1:4" x14ac:dyDescent="0.25">
      <c r="A1168" s="28">
        <f>Angela_2026_Chase1117_Activity_!B1165</f>
        <v>46055</v>
      </c>
      <c r="B1168" s="3" t="str">
        <f>Angela_2026_Chase1117_Activity_!C1165</f>
        <v>AMERICAN AIR00183243373 FORT WORTH TX        01/30</v>
      </c>
      <c r="C1168" s="3" t="str">
        <f>Angela_2026_Chase1117_Activity_!G1165</f>
        <v>Personal Travel</v>
      </c>
      <c r="D1168" s="4">
        <f>Angela_2026_Chase1117_Activity_!D1165</f>
        <v>-38.409999999999997</v>
      </c>
    </row>
    <row r="1169" spans="1:4" x14ac:dyDescent="0.25">
      <c r="A1169" s="28">
        <f>Angela_2026_Chase1117_Activity_!B1166</f>
        <v>46055</v>
      </c>
      <c r="B1169" s="3" t="str">
        <f>Angela_2026_Chase1117_Activity_!C1166</f>
        <v>AMERICAN AIR00174063275 FORT WORTH TX        01/30</v>
      </c>
      <c r="C1169" s="3" t="str">
        <f>Angela_2026_Chase1117_Activity_!G1166</f>
        <v>Personal Travel</v>
      </c>
      <c r="D1169" s="4">
        <f>Angela_2026_Chase1117_Activity_!D1166</f>
        <v>-274.39999999999998</v>
      </c>
    </row>
    <row r="1170" spans="1:4" x14ac:dyDescent="0.25">
      <c r="A1170" s="28">
        <f>Angela_2026_Chase1117_Activity_!B1167</f>
        <v>46055</v>
      </c>
      <c r="B1170" s="3" t="str">
        <f>Angela_2026_Chase1117_Activity_!C1167</f>
        <v>AMERICAN AIR00174063275 FORT WORTH TX        01/30</v>
      </c>
      <c r="C1170" s="3" t="str">
        <f>Angela_2026_Chase1117_Activity_!G1167</f>
        <v>Personal Travel</v>
      </c>
      <c r="D1170" s="4">
        <f>Angela_2026_Chase1117_Activity_!D1167</f>
        <v>-274.39999999999998</v>
      </c>
    </row>
    <row r="1171" spans="1:4" x14ac:dyDescent="0.25">
      <c r="A1171" s="28">
        <f>Angela_2026_Chase1117_Activity_!B1168</f>
        <v>46055</v>
      </c>
      <c r="B1171" s="3" t="str">
        <f>Angela_2026_Chase1117_Activity_!C1168</f>
        <v>AMERICAN AIR00174063275 FORT WORTH TX        01/30</v>
      </c>
      <c r="C1171" s="3" t="str">
        <f>Angela_2026_Chase1117_Activity_!G1168</f>
        <v>Personal Travel</v>
      </c>
      <c r="D1171" s="4">
        <f>Angela_2026_Chase1117_Activity_!D1168</f>
        <v>-274.39999999999998</v>
      </c>
    </row>
    <row r="1172" spans="1:4" x14ac:dyDescent="0.25">
      <c r="A1172" s="28">
        <f>Angela_2026_Chase1117_Activity_!B1169</f>
        <v>46055</v>
      </c>
      <c r="B1172" s="3" t="str">
        <f>Angela_2026_Chase1117_Activity_!C1169</f>
        <v>EXPEDIA 73361550876210 EXPEDIA.COM WA        01/30</v>
      </c>
      <c r="C1172" s="3" t="str">
        <f>Angela_2026_Chase1117_Activity_!G1169</f>
        <v>Personal Travel</v>
      </c>
      <c r="D1172" s="4">
        <f>Angela_2026_Chase1117_Activity_!D1169</f>
        <v>-32.53</v>
      </c>
    </row>
    <row r="1173" spans="1:4" x14ac:dyDescent="0.25">
      <c r="A1173" s="28">
        <f>Angela_2026_Chase1117_Activity_!B1170</f>
        <v>46055</v>
      </c>
      <c r="B1173" s="3" t="str">
        <f>Angela_2026_Chase1117_Activity_!C1170</f>
        <v>AMERICAN AIR00174060200 FORT WORTH TX        01/31</v>
      </c>
      <c r="C1173" s="3" t="str">
        <f>Angela_2026_Chase1117_Activity_!G1170</f>
        <v>Personal Travel</v>
      </c>
      <c r="D1173" s="4">
        <f>Angela_2026_Chase1117_Activity_!D1170</f>
        <v>418.47</v>
      </c>
    </row>
    <row r="1174" spans="1:4" x14ac:dyDescent="0.25">
      <c r="A1174" s="28">
        <f>Angela_2026_Chase1117_Activity_!B1171</f>
        <v>46052</v>
      </c>
      <c r="B1174" s="3" t="str">
        <f>Angela_2026_Chase1117_Activity_!C1171</f>
        <v>WHOLEFDS FTW #10 3400 FORT WORTH TX  262781  01/30</v>
      </c>
      <c r="C1174" s="3" t="str">
        <f>Angela_2026_Chase1117_Activity_!G1171</f>
        <v>Personal - Food</v>
      </c>
      <c r="D1174" s="4">
        <f>Angela_2026_Chase1117_Activity_!D1171</f>
        <v>-587.14</v>
      </c>
    </row>
    <row r="1175" spans="1:4" x14ac:dyDescent="0.25">
      <c r="A1175" s="28">
        <f>Angela_2026_Chase1117_Activity_!B1172</f>
        <v>46052</v>
      </c>
      <c r="B1175" s="3" t="str">
        <f>Angela_2026_Chase1117_Activity_!C1172</f>
        <v>WHOLEFDS FTW #10 3400 FORT WORTH TX  665894  01/30</v>
      </c>
      <c r="C1175" s="3" t="str">
        <f>Angela_2026_Chase1117_Activity_!G1172</f>
        <v>Personal - Food</v>
      </c>
      <c r="D1175" s="4">
        <f>Angela_2026_Chase1117_Activity_!D1172</f>
        <v>-11.5</v>
      </c>
    </row>
    <row r="1176" spans="1:4" x14ac:dyDescent="0.25">
      <c r="A1176" s="28">
        <f>Angela_2026_Chase1117_Activity_!B1173</f>
        <v>46052</v>
      </c>
      <c r="B1176" s="3" t="str">
        <f>Angela_2026_Chase1117_Activity_!C1173</f>
        <v>PENTESTER.COM PENTESTER.COM FL               01/30</v>
      </c>
      <c r="C1176" s="3" t="str">
        <f>Angela_2026_Chase1117_Activity_!G1173</f>
        <v>Personal - Subscription</v>
      </c>
      <c r="D1176" s="4">
        <f>Angela_2026_Chase1117_Activity_!D1173</f>
        <v>-19</v>
      </c>
    </row>
    <row r="1177" spans="1:4" x14ac:dyDescent="0.25">
      <c r="A1177" s="28">
        <f>Angela_2026_Chase1117_Activity_!B1174</f>
        <v>46052</v>
      </c>
      <c r="B1177" s="3" t="str">
        <f>Angela_2026_Chase1117_Activity_!C1174</f>
        <v>AMAZON MKTPL*GS66X59 Amzn.com/bill WA        01/29</v>
      </c>
      <c r="C1177" s="3" t="str">
        <f>Angela_2026_Chase1117_Activity_!G1174</f>
        <v>Amazon</v>
      </c>
      <c r="D1177" s="4">
        <f>Angela_2026_Chase1117_Activity_!D1174</f>
        <v>-44.98</v>
      </c>
    </row>
    <row r="1178" spans="1:4" x14ac:dyDescent="0.25">
      <c r="A1178" s="28">
        <f>Angela_2026_Chase1117_Activity_!B1175</f>
        <v>46051</v>
      </c>
      <c r="B1178" s="3" t="str">
        <f>Angela_2026_Chase1117_Activity_!C1175</f>
        <v>TARGET T-1981 WEATHERFORD TX         055121  01/29</v>
      </c>
      <c r="C1178" s="3" t="str">
        <f>Angela_2026_Chase1117_Activity_!G1175</f>
        <v>Personal - Shopping</v>
      </c>
      <c r="D1178" s="4">
        <f>Angela_2026_Chase1117_Activity_!D1175</f>
        <v>-292.14</v>
      </c>
    </row>
    <row r="1179" spans="1:4" x14ac:dyDescent="0.25">
      <c r="A1179" s="28">
        <f>Angela_2026_Chase1117_Activity_!B1176</f>
        <v>46051</v>
      </c>
      <c r="B1179" s="3" t="str">
        <f>Angela_2026_Chase1117_Activity_!C1176</f>
        <v>TARGET T-1981 WEATHERFORD TX         016449  01/29</v>
      </c>
      <c r="C1179" s="3" t="str">
        <f>Angela_2026_Chase1117_Activity_!G1176</f>
        <v>Personal - Shopping</v>
      </c>
      <c r="D1179" s="4">
        <f>Angela_2026_Chase1117_Activity_!D1176</f>
        <v>-3.3</v>
      </c>
    </row>
    <row r="1180" spans="1:4" x14ac:dyDescent="0.25">
      <c r="A1180" s="28">
        <f>Angela_2026_Chase1117_Activity_!B1177</f>
        <v>46051</v>
      </c>
      <c r="B1180" s="3" t="str">
        <f>Angela_2026_Chase1117_Activity_!C1177</f>
        <v>Amazon Tips*4T3A46U7 Amzn.com/bill WA        01/29</v>
      </c>
      <c r="C1180" s="3" t="str">
        <f>Angela_2026_Chase1117_Activity_!G1177</f>
        <v>Amazon</v>
      </c>
      <c r="D1180" s="4">
        <f>Angela_2026_Chase1117_Activity_!D1177</f>
        <v>-20</v>
      </c>
    </row>
    <row r="1181" spans="1:4" x14ac:dyDescent="0.25">
      <c r="A1181" s="28">
        <f>Angela_2026_Chase1117_Activity_!B1178</f>
        <v>46051</v>
      </c>
      <c r="B1181" s="3" t="str">
        <f>Angela_2026_Chase1117_Activity_!C1178</f>
        <v>FILM ALLEY - WEATHERFO WEATHERFORD TX        01/28</v>
      </c>
      <c r="C1181" s="3" t="str">
        <f>Angela_2026_Chase1117_Activity_!G1178</f>
        <v>Personal - Entertainment</v>
      </c>
      <c r="D1181" s="4">
        <f>Angela_2026_Chase1117_Activity_!D1178</f>
        <v>-33.39</v>
      </c>
    </row>
    <row r="1182" spans="1:4" x14ac:dyDescent="0.25">
      <c r="A1182" s="28">
        <f>Angela_2026_Chase1117_Activity_!B1179</f>
        <v>46051</v>
      </c>
      <c r="B1182" s="3" t="str">
        <f>Angela_2026_Chase1117_Activity_!C1179</f>
        <v>CVSExtraCare 80074672 800-746-7287 RI        01/28</v>
      </c>
      <c r="C1182" s="3" t="str">
        <f>Angela_2026_Chase1117_Activity_!G1179</f>
        <v>Personal - Health</v>
      </c>
      <c r="D1182" s="4">
        <f>Angela_2026_Chase1117_Activity_!D1179</f>
        <v>-5.49</v>
      </c>
    </row>
    <row r="1183" spans="1:4" x14ac:dyDescent="0.25">
      <c r="A1183" s="28">
        <f>Angela_2026_Chase1117_Activity_!B1180</f>
        <v>46051</v>
      </c>
      <c r="B1183" s="3" t="str">
        <f>Angela_2026_Chase1117_Activity_!C1180</f>
        <v>OPC CA FRANCHISE TAX B 800-4874567 AL        01/28</v>
      </c>
      <c r="C1183" s="3" t="str">
        <f>Angela_2026_Chase1117_Activity_!G1180</f>
        <v>Personal - House Bills</v>
      </c>
      <c r="D1183" s="4">
        <f>Angela_2026_Chase1117_Activity_!D1180</f>
        <v>-1.32</v>
      </c>
    </row>
    <row r="1184" spans="1:4" x14ac:dyDescent="0.25">
      <c r="A1184" s="28">
        <f>Angela_2026_Chase1117_Activity_!B1181</f>
        <v>46051</v>
      </c>
      <c r="B1184" s="3" t="str">
        <f>Angela_2026_Chase1117_Activity_!C1181</f>
        <v>CA FRANCHISE TAX BOARD 800-4874567 CA        01/28</v>
      </c>
      <c r="C1184" s="3" t="str">
        <f>Angela_2026_Chase1117_Activity_!G1181</f>
        <v>Personal - House Bills</v>
      </c>
      <c r="D1184" s="4">
        <f>Angela_2026_Chase1117_Activity_!D1181</f>
        <v>-57.33</v>
      </c>
    </row>
    <row r="1185" spans="1:4" x14ac:dyDescent="0.25">
      <c r="A1185" s="28">
        <f>Angela_2026_Chase1117_Activity_!B1182</f>
        <v>46051</v>
      </c>
      <c r="B1185" s="3" t="str">
        <f>Angela_2026_Chase1117_Activity_!C1182</f>
        <v>Zara.com 212-3551415 NY                      01/28</v>
      </c>
      <c r="C1185" s="3" t="str">
        <f>Angela_2026_Chase1117_Activity_!G1182</f>
        <v>Personal - Shopping</v>
      </c>
      <c r="D1185" s="4">
        <f>Angela_2026_Chase1117_Activity_!D1182</f>
        <v>21.3</v>
      </c>
    </row>
    <row r="1186" spans="1:4" x14ac:dyDescent="0.25">
      <c r="A1186" s="28">
        <f>Angela_2026_Chase1117_Activity_!B1183</f>
        <v>46050</v>
      </c>
      <c r="B1186" s="3" t="str">
        <f>Angela_2026_Chase1117_Activity_!C1183</f>
        <v>APPLE.COM/BILL 866-712-7753 CA               01/28</v>
      </c>
      <c r="C1186" s="3" t="str">
        <f>Angela_2026_Chase1117_Activity_!G1183</f>
        <v>Apple</v>
      </c>
      <c r="D1186" s="4">
        <f>Angela_2026_Chase1117_Activity_!D1183</f>
        <v>-5.99</v>
      </c>
    </row>
    <row r="1187" spans="1:4" x14ac:dyDescent="0.25">
      <c r="A1187" s="28">
        <f>Angela_2026_Chase1117_Activity_!B1184</f>
        <v>46050</v>
      </c>
      <c r="B1187" s="3" t="str">
        <f>Angela_2026_Chase1117_Activity_!C1184</f>
        <v>MANGO.COM NEW YORK NY                149477  01/27</v>
      </c>
      <c r="C1187" s="3" t="str">
        <f>Angela_2026_Chase1117_Activity_!G1184</f>
        <v>Personal - Shopping</v>
      </c>
      <c r="D1187" s="4">
        <f>Angela_2026_Chase1117_Activity_!D1184</f>
        <v>-340.19</v>
      </c>
    </row>
    <row r="1188" spans="1:4" x14ac:dyDescent="0.25">
      <c r="A1188" s="28">
        <f>Angela_2026_Chase1117_Activity_!B1185</f>
        <v>46050</v>
      </c>
      <c r="B1188" s="3" t="str">
        <f>Angela_2026_Chase1117_Activity_!C1185</f>
        <v>Amazon.com*8K9604DV3 Amzn.com/bill WA        01/27</v>
      </c>
      <c r="C1188" s="3" t="str">
        <f>Angela_2026_Chase1117_Activity_!G1185</f>
        <v>Amazon</v>
      </c>
      <c r="D1188" s="4">
        <f>Angela_2026_Chase1117_Activity_!D1185</f>
        <v>-157.30000000000001</v>
      </c>
    </row>
    <row r="1189" spans="1:4" x14ac:dyDescent="0.25">
      <c r="A1189" s="28">
        <f>Angela_2026_Chase1117_Activity_!B1186</f>
        <v>46050</v>
      </c>
      <c r="B1189" s="3" t="str">
        <f>Angela_2026_Chase1117_Activity_!C1186</f>
        <v>AMERICAN AIR00183243064 FORT WORTH TX        01/26</v>
      </c>
      <c r="C1189" s="3" t="str">
        <f>Angela_2026_Chase1117_Activity_!G1186</f>
        <v>Personal Travel</v>
      </c>
      <c r="D1189" s="4">
        <f>Angela_2026_Chase1117_Activity_!D1186</f>
        <v>-24.94</v>
      </c>
    </row>
    <row r="1190" spans="1:4" x14ac:dyDescent="0.25">
      <c r="A1190" s="28">
        <f>Angela_2026_Chase1117_Activity_!B1187</f>
        <v>46050</v>
      </c>
      <c r="B1190" s="3" t="str">
        <f>Angela_2026_Chase1117_Activity_!C1187</f>
        <v>AMERICAN AIR00174060200 FORT WORTH TX        01/26</v>
      </c>
      <c r="C1190" s="3" t="str">
        <f>Angela_2026_Chase1117_Activity_!G1187</f>
        <v>Personal Travel</v>
      </c>
      <c r="D1190" s="4">
        <f>Angela_2026_Chase1117_Activity_!D1187</f>
        <v>-418.47</v>
      </c>
    </row>
    <row r="1191" spans="1:4" x14ac:dyDescent="0.25">
      <c r="A1191" s="28">
        <f>Angela_2026_Chase1117_Activity_!B1188</f>
        <v>46049</v>
      </c>
      <c r="B1191" s="3" t="str">
        <f>Angela_2026_Chase1117_Activity_!C1188</f>
        <v>Online Payment 27845168205 To LOS ANGELES MUNICIPAL SERVICE 01/27</v>
      </c>
      <c r="C1191" s="3" t="str">
        <f>Angela_2026_Chase1117_Activity_!G1188</f>
        <v>Personal - House Bills</v>
      </c>
      <c r="D1191" s="4">
        <f>Angela_2026_Chase1117_Activity_!D1188</f>
        <v>-1700</v>
      </c>
    </row>
    <row r="1192" spans="1:4" x14ac:dyDescent="0.25">
      <c r="A1192" s="28">
        <f>Angela_2026_Chase1117_Activity_!B1189</f>
        <v>46049</v>
      </c>
      <c r="B1192" s="3" t="str">
        <f>Angela_2026_Chase1117_Activity_!C1189</f>
        <v>Online Payment 27845168623 To SOUTHERN CALIFORNIA GAS CO 01/27</v>
      </c>
      <c r="C1192" s="3" t="str">
        <f>Angela_2026_Chase1117_Activity_!G1189</f>
        <v>Personal - House Bills</v>
      </c>
      <c r="D1192" s="4">
        <f>Angela_2026_Chase1117_Activity_!D1189</f>
        <v>-400</v>
      </c>
    </row>
    <row r="1193" spans="1:4" x14ac:dyDescent="0.25">
      <c r="A1193" s="28">
        <f>Angela_2026_Chase1117_Activity_!B1190</f>
        <v>46049</v>
      </c>
      <c r="B1193" s="3" t="str">
        <f>Angela_2026_Chase1117_Activity_!C1190</f>
        <v>Online Payment 27845144246 To SAFECO INSURANCE COMPANY 01/27</v>
      </c>
      <c r="C1193" s="3" t="str">
        <f>Angela_2026_Chase1117_Activity_!G1190</f>
        <v>Personal - House Bills</v>
      </c>
      <c r="D1193" s="4">
        <f>Angela_2026_Chase1117_Activity_!D1190</f>
        <v>-120</v>
      </c>
    </row>
    <row r="1194" spans="1:4" x14ac:dyDescent="0.25">
      <c r="A1194" s="28">
        <f>Angela_2026_Chase1117_Activity_!B1191</f>
        <v>46049</v>
      </c>
      <c r="B1194" s="3" t="str">
        <f>Angela_2026_Chase1117_Activity_!C1191</f>
        <v>Online Payment 27845120974 To FRONTIER TELEPHONE 01/27</v>
      </c>
      <c r="C1194" s="3" t="str">
        <f>Angela_2026_Chase1117_Activity_!G1191</f>
        <v>Personal - House Bills</v>
      </c>
      <c r="D1194" s="4">
        <f>Angela_2026_Chase1117_Activity_!D1191</f>
        <v>-350</v>
      </c>
    </row>
    <row r="1195" spans="1:4" x14ac:dyDescent="0.25">
      <c r="A1195" s="28">
        <f>Angela_2026_Chase1117_Activity_!B1192</f>
        <v>46049</v>
      </c>
      <c r="B1195" s="3" t="str">
        <f>Angela_2026_Chase1117_Activity_!C1192</f>
        <v>Online Payment 27845139136 To AMERICAN EDUCATION SERVICES 01/27</v>
      </c>
      <c r="C1195" s="3" t="str">
        <f>Angela_2026_Chase1117_Activity_!G1192</f>
        <v>Personal - House Bills</v>
      </c>
      <c r="D1195" s="4">
        <f>Angela_2026_Chase1117_Activity_!D1192</f>
        <v>-320</v>
      </c>
    </row>
    <row r="1196" spans="1:4" x14ac:dyDescent="0.25">
      <c r="A1196" s="28">
        <f>Angela_2026_Chase1117_Activity_!B1193</f>
        <v>46049</v>
      </c>
      <c r="B1196" s="3" t="str">
        <f>Angela_2026_Chase1117_Activity_!C1193</f>
        <v>SQ *REA COMMERCIAL SECU gosq.com CA          01/27</v>
      </c>
      <c r="C1196" s="3" t="str">
        <f>Angela_2026_Chase1117_Activity_!G1193</f>
        <v>Personal - Subscription</v>
      </c>
      <c r="D1196" s="4">
        <f>Angela_2026_Chase1117_Activity_!D1193</f>
        <v>-100</v>
      </c>
    </row>
    <row r="1197" spans="1:4" x14ac:dyDescent="0.25">
      <c r="A1197" s="28">
        <f>Angela_2026_Chase1117_Activity_!B1194</f>
        <v>46049</v>
      </c>
      <c r="B1197" s="3" t="str">
        <f>Angela_2026_Chase1117_Activity_!C1194</f>
        <v>SQ *REA COMMERCIAL SECU gosq.com CA          01/27</v>
      </c>
      <c r="C1197" s="3" t="str">
        <f>Angela_2026_Chase1117_Activity_!G1194</f>
        <v>Personal - Subscription</v>
      </c>
      <c r="D1197" s="4">
        <f>Angela_2026_Chase1117_Activity_!D1194</f>
        <v>-100</v>
      </c>
    </row>
    <row r="1198" spans="1:4" x14ac:dyDescent="0.25">
      <c r="A1198" s="28">
        <f>Angela_2026_Chase1117_Activity_!B1195</f>
        <v>46049</v>
      </c>
      <c r="B1198" s="3" t="str">
        <f>Angela_2026_Chase1117_Activity_!C1195</f>
        <v>SPACEWEATHERNEWS.COM SPACEWEATHERN CO        01/26</v>
      </c>
      <c r="C1198" s="3" t="str">
        <f>Angela_2026_Chase1117_Activity_!G1195</f>
        <v>Personal - Subscription</v>
      </c>
      <c r="D1198" s="4">
        <f>Angela_2026_Chase1117_Activity_!D1195</f>
        <v>-5.99</v>
      </c>
    </row>
    <row r="1199" spans="1:4" x14ac:dyDescent="0.25">
      <c r="A1199" s="28">
        <f>Angela_2026_Chase1117_Activity_!B1196</f>
        <v>46049</v>
      </c>
      <c r="B1199" s="3" t="str">
        <f>Angela_2026_Chase1117_Activity_!C1196</f>
        <v>Prime Video Channels amzn.com/bill WA        01/26</v>
      </c>
      <c r="C1199" s="3" t="str">
        <f>Angela_2026_Chase1117_Activity_!G1196</f>
        <v>Amazon</v>
      </c>
      <c r="D1199" s="4">
        <f>Angela_2026_Chase1117_Activity_!D1196</f>
        <v>-6.99</v>
      </c>
    </row>
    <row r="1200" spans="1:4" x14ac:dyDescent="0.25">
      <c r="A1200" s="28">
        <f>Angela_2026_Chase1117_Activity_!B1197</f>
        <v>46049</v>
      </c>
      <c r="B1200" s="3" t="str">
        <f>Angela_2026_Chase1117_Activity_!C1197</f>
        <v>EXPEDIA 73358196852883 EXPEDIA.COM WA        01/26</v>
      </c>
      <c r="C1200" s="3" t="str">
        <f>Angela_2026_Chase1117_Activity_!G1197</f>
        <v>Personal Travel</v>
      </c>
      <c r="D1200" s="4">
        <f>Angela_2026_Chase1117_Activity_!D1197</f>
        <v>-18.75</v>
      </c>
    </row>
    <row r="1201" spans="1:4" x14ac:dyDescent="0.25">
      <c r="A1201" s="28">
        <f>Angela_2026_Chase1117_Activity_!B1198</f>
        <v>46049</v>
      </c>
      <c r="B1201" s="3" t="str">
        <f>Angela_2026_Chase1117_Activity_!C1198</f>
        <v>CSC PALM SPRINGS TENNI 855-8596983 AZ        01/23</v>
      </c>
      <c r="C1201" s="3" t="str">
        <f>Angela_2026_Chase1117_Activity_!G1198</f>
        <v>Palm Springs</v>
      </c>
      <c r="D1201" s="4">
        <f>Angela_2026_Chase1117_Activity_!D1198</f>
        <v>-249.86</v>
      </c>
    </row>
    <row r="1202" spans="1:4" x14ac:dyDescent="0.25">
      <c r="A1202" s="28">
        <f>Angela_2026_Chase1117_Activity_!B1199</f>
        <v>46049</v>
      </c>
      <c r="B1202" s="3" t="str">
        <f>Angela_2026_Chase1117_Activity_!C1199</f>
        <v>Online Transfer from CHK ...1168 transaction#: 27845107163</v>
      </c>
      <c r="C1202" s="3" t="str">
        <f>Angela_2026_Chase1117_Activity_!G1199</f>
        <v>Transfer from DWG Capital Group</v>
      </c>
      <c r="D1202" s="4">
        <f>Angela_2026_Chase1117_Activity_!D1199</f>
        <v>5000</v>
      </c>
    </row>
    <row r="1203" spans="1:4" x14ac:dyDescent="0.25">
      <c r="A1203" s="28">
        <f>Angela_2026_Chase1117_Activity_!B1200</f>
        <v>46049</v>
      </c>
      <c r="B1203" s="3" t="str">
        <f>Angela_2026_Chase1117_Activity_!C1200</f>
        <v>EXPEDIA 73356202666221 EXPEDIA.COM NV        01/26</v>
      </c>
      <c r="C1203" s="3" t="str">
        <f>Angela_2026_Chase1117_Activity_!G1200</f>
        <v>Personal Travel</v>
      </c>
      <c r="D1203" s="4">
        <f>Angela_2026_Chase1117_Activity_!D1200</f>
        <v>16.43</v>
      </c>
    </row>
    <row r="1204" spans="1:4" x14ac:dyDescent="0.25">
      <c r="A1204" s="28">
        <f>Angela_2026_Chase1117_Activity_!B1201</f>
        <v>46048</v>
      </c>
      <c r="B1204" s="3" t="str">
        <f>Angela_2026_Chase1117_Activity_!C1201</f>
        <v>UBER *TRIP SAN FRANCISCO CA          805433  01/26</v>
      </c>
      <c r="C1204" s="3" t="str">
        <f>Angela_2026_Chase1117_Activity_!G1201</f>
        <v>Personal - Uber</v>
      </c>
      <c r="D1204" s="4">
        <f>Angela_2026_Chase1117_Activity_!D1201</f>
        <v>-10</v>
      </c>
    </row>
    <row r="1205" spans="1:4" x14ac:dyDescent="0.25">
      <c r="A1205" s="28">
        <f>Angela_2026_Chase1117_Activity_!B1202</f>
        <v>46048</v>
      </c>
      <c r="B1205" s="3" t="str">
        <f>Angela_2026_Chase1117_Activity_!C1202</f>
        <v>AMAZON MKTPL*1O0NR5H Amzn.com/bill WA        01/26</v>
      </c>
      <c r="C1205" s="3" t="str">
        <f>Angela_2026_Chase1117_Activity_!G1202</f>
        <v>Amazon</v>
      </c>
      <c r="D1205" s="4">
        <f>Angela_2026_Chase1117_Activity_!D1202</f>
        <v>-83.41</v>
      </c>
    </row>
    <row r="1206" spans="1:4" x14ac:dyDescent="0.25">
      <c r="A1206" s="28">
        <f>Angela_2026_Chase1117_Activity_!B1203</f>
        <v>46048</v>
      </c>
      <c r="B1206" s="3" t="str">
        <f>Angela_2026_Chase1117_Activity_!C1203</f>
        <v>LUKE UNFILTERED WEARECHANGE.O FL             01/25</v>
      </c>
      <c r="C1206" s="3" t="str">
        <f>Angela_2026_Chase1117_Activity_!G1203</f>
        <v>Personal - Subscription</v>
      </c>
      <c r="D1206" s="4">
        <f>Angela_2026_Chase1117_Activity_!D1203</f>
        <v>-15</v>
      </c>
    </row>
    <row r="1207" spans="1:4" x14ac:dyDescent="0.25">
      <c r="A1207" s="28">
        <f>Angela_2026_Chase1117_Activity_!B1204</f>
        <v>46048</v>
      </c>
      <c r="B1207" s="3" t="str">
        <f>Angela_2026_Chase1117_Activity_!C1204</f>
        <v>AMAZON PRIME*X20F73V Amzn.com/bill WA        01/24</v>
      </c>
      <c r="C1207" s="3" t="str">
        <f>Angela_2026_Chase1117_Activity_!G1204</f>
        <v>Amazon</v>
      </c>
      <c r="D1207" s="4">
        <f>Angela_2026_Chase1117_Activity_!D1204</f>
        <v>-16.45</v>
      </c>
    </row>
    <row r="1208" spans="1:4" x14ac:dyDescent="0.25">
      <c r="A1208" s="28">
        <f>Angela_2026_Chase1117_Activity_!B1205</f>
        <v>46048</v>
      </c>
      <c r="B1208" s="3" t="str">
        <f>Angela_2026_Chase1117_Activity_!C1205</f>
        <v>Amazon Tips*EE9C3076 Amzn.com/bill WA        01/24</v>
      </c>
      <c r="C1208" s="3" t="str">
        <f>Angela_2026_Chase1117_Activity_!G1205</f>
        <v>Amazon</v>
      </c>
      <c r="D1208" s="4">
        <f>Angela_2026_Chase1117_Activity_!D1205</f>
        <v>-10</v>
      </c>
    </row>
    <row r="1209" spans="1:4" x14ac:dyDescent="0.25">
      <c r="A1209" s="28">
        <f>Angela_2026_Chase1117_Activity_!B1206</f>
        <v>46048</v>
      </c>
      <c r="B1209" s="3" t="str">
        <f>Angela_2026_Chase1117_Activity_!C1206</f>
        <v>ATT*BILL PAYMENT 800-288-2020 TX             01/24</v>
      </c>
      <c r="C1209" s="3" t="str">
        <f>Angela_2026_Chase1117_Activity_!G1206</f>
        <v>AT&amp;T</v>
      </c>
      <c r="D1209" s="4">
        <f>Angela_2026_Chase1117_Activity_!D1206</f>
        <v>-572.98</v>
      </c>
    </row>
    <row r="1210" spans="1:4" x14ac:dyDescent="0.25">
      <c r="A1210" s="28">
        <f>Angela_2026_Chase1117_Activity_!B1207</f>
        <v>46048</v>
      </c>
      <c r="B1210" s="3" t="str">
        <f>Angela_2026_Chase1117_Activity_!C1207</f>
        <v>Zara.com 212-3551415 NY                      01/24</v>
      </c>
      <c r="C1210" s="3" t="str">
        <f>Angela_2026_Chase1117_Activity_!G1207</f>
        <v>Personal - Shopping</v>
      </c>
      <c r="D1210" s="4">
        <f>Angela_2026_Chase1117_Activity_!D1207</f>
        <v>-424.6</v>
      </c>
    </row>
    <row r="1211" spans="1:4" x14ac:dyDescent="0.25">
      <c r="A1211" s="28">
        <f>Angela_2026_Chase1117_Activity_!B1208</f>
        <v>46048</v>
      </c>
      <c r="B1211" s="3" t="str">
        <f>Angela_2026_Chase1117_Activity_!C1208</f>
        <v>PSVJ   *JPMC FEE 800-420-1663 NC             01/23</v>
      </c>
      <c r="C1211" s="3" t="str">
        <f>Angela_2026_Chase1117_Activity_!G1208</f>
        <v>Bank Fees</v>
      </c>
      <c r="D1211" s="4">
        <f>Angela_2026_Chase1117_Activity_!D1208</f>
        <v>-5.12</v>
      </c>
    </row>
    <row r="1212" spans="1:4" x14ac:dyDescent="0.25">
      <c r="A1212" s="28">
        <f>Angela_2026_Chase1117_Activity_!B1209</f>
        <v>46048</v>
      </c>
      <c r="B1212" s="3" t="str">
        <f>Angela_2026_Chase1117_Activity_!C1209</f>
        <v>LA CITY HOUSING ONLIN 844-663-4411 CA        01/23</v>
      </c>
      <c r="C1212" s="3" t="str">
        <f>Angela_2026_Chase1117_Activity_!G1209</f>
        <v>Personal - House Bills</v>
      </c>
      <c r="D1212" s="4">
        <f>Angela_2026_Chase1117_Activity_!D1209</f>
        <v>-205.68</v>
      </c>
    </row>
    <row r="1213" spans="1:4" x14ac:dyDescent="0.25">
      <c r="A1213" s="28">
        <f>Angela_2026_Chase1117_Activity_!B1210</f>
        <v>46048</v>
      </c>
      <c r="B1213" s="3" t="str">
        <f>Angela_2026_Chase1117_Activity_!C1210</f>
        <v>EXPEDIA 73356202666221 EXPEDIA.COM NV        01/24</v>
      </c>
      <c r="C1213" s="3" t="str">
        <f>Angela_2026_Chase1117_Activity_!G1210</f>
        <v>Personal Travel</v>
      </c>
      <c r="D1213" s="4">
        <f>Angela_2026_Chase1117_Activity_!D1210</f>
        <v>-16.43</v>
      </c>
    </row>
    <row r="1214" spans="1:4" x14ac:dyDescent="0.25">
      <c r="A1214" s="28">
        <f>Angela_2026_Chase1117_Activity_!B1211</f>
        <v>46048</v>
      </c>
      <c r="B1214" s="3" t="str">
        <f>Angela_2026_Chase1117_Activity_!C1211</f>
        <v>APPLE.COM/BILL 866-712-7753 CA               01/23</v>
      </c>
      <c r="C1214" s="3" t="str">
        <f>Angela_2026_Chase1117_Activity_!G1211</f>
        <v>Apple</v>
      </c>
      <c r="D1214" s="4">
        <f>Angela_2026_Chase1117_Activity_!D1211</f>
        <v>-10.99</v>
      </c>
    </row>
    <row r="1215" spans="1:4" x14ac:dyDescent="0.25">
      <c r="A1215" s="28">
        <f>Angela_2026_Chase1117_Activity_!B1212</f>
        <v>46048</v>
      </c>
      <c r="B1215" s="3" t="str">
        <f>Angela_2026_Chase1117_Activity_!C1212</f>
        <v>THE ORIGINAL MEXICAN EA FORT WORTH TX        01/22</v>
      </c>
      <c r="C1215" s="3" t="str">
        <f>Angela_2026_Chase1117_Activity_!G1212</f>
        <v>Personal - Food</v>
      </c>
      <c r="D1215" s="4">
        <f>Angela_2026_Chase1117_Activity_!D1212</f>
        <v>-149.11000000000001</v>
      </c>
    </row>
    <row r="1216" spans="1:4" x14ac:dyDescent="0.25">
      <c r="A1216" s="28">
        <f>Angela_2026_Chase1117_Activity_!B1213</f>
        <v>46048</v>
      </c>
      <c r="B1216" s="3" t="str">
        <f>Angela_2026_Chase1117_Activity_!C1213</f>
        <v>BENBROOK ANTIQUE MALL BENBROOK TX            01/22</v>
      </c>
      <c r="C1216" s="3" t="str">
        <f>Angela_2026_Chase1117_Activity_!G1213</f>
        <v>Personal - Shopping</v>
      </c>
      <c r="D1216" s="4">
        <f>Angela_2026_Chase1117_Activity_!D1213</f>
        <v>-108.24</v>
      </c>
    </row>
    <row r="1217" spans="1:4" x14ac:dyDescent="0.25">
      <c r="A1217" s="28">
        <f>Angela_2026_Chase1117_Activity_!B1214</f>
        <v>46048</v>
      </c>
      <c r="B1217" s="3" t="str">
        <f>Angela_2026_Chase1117_Activity_!C1214</f>
        <v>BENBROOK ANTIQUE MALL BENBROOK TX            01/22</v>
      </c>
      <c r="C1217" s="3" t="str">
        <f>Angela_2026_Chase1117_Activity_!G1214</f>
        <v>Personal - Shopping</v>
      </c>
      <c r="D1217" s="4">
        <f>Angela_2026_Chase1117_Activity_!D1214</f>
        <v>-534.44000000000005</v>
      </c>
    </row>
    <row r="1218" spans="1:4" x14ac:dyDescent="0.25">
      <c r="A1218" s="28">
        <f>Angela_2026_Chase1117_Activity_!B1215</f>
        <v>46048</v>
      </c>
      <c r="B1218" s="3" t="str">
        <f>Angela_2026_Chase1117_Activity_!C1215</f>
        <v>APPLE CASH SENT MONE 1INFINITELOOP CA        01/23</v>
      </c>
      <c r="C1218" s="3" t="str">
        <f>Angela_2026_Chase1117_Activity_!G1215</f>
        <v>Apple</v>
      </c>
      <c r="D1218" s="4">
        <f>Angela_2026_Chase1117_Activity_!D1215</f>
        <v>-500</v>
      </c>
    </row>
    <row r="1219" spans="1:4" x14ac:dyDescent="0.25">
      <c r="A1219" s="28">
        <f>Angela_2026_Chase1117_Activity_!B1216</f>
        <v>46048</v>
      </c>
      <c r="B1219" s="3" t="str">
        <f>Angela_2026_Chase1117_Activity_!C1216</f>
        <v>Zara.com 212-3551415 NY                      01/25</v>
      </c>
      <c r="C1219" s="3" t="str">
        <f>Angela_2026_Chase1117_Activity_!G1216</f>
        <v>Personal - Shopping</v>
      </c>
      <c r="D1219" s="4">
        <f>Angela_2026_Chase1117_Activity_!D1216</f>
        <v>-244.99</v>
      </c>
    </row>
    <row r="1220" spans="1:4" x14ac:dyDescent="0.25">
      <c r="A1220" s="28">
        <f>Angela_2026_Chase1117_Activity_!B1217</f>
        <v>46045</v>
      </c>
      <c r="B1220" s="3" t="str">
        <f>Angela_2026_Chase1117_Activity_!C1217</f>
        <v>GAIA GAIA INC. LOUSIVILLE CO         087749  01/23</v>
      </c>
      <c r="C1220" s="3" t="str">
        <f>Angela_2026_Chase1117_Activity_!G1217</f>
        <v>Personal - Subscription</v>
      </c>
      <c r="D1220" s="4">
        <f>Angela_2026_Chase1117_Activity_!D1217</f>
        <v>-119</v>
      </c>
    </row>
    <row r="1221" spans="1:4" x14ac:dyDescent="0.25">
      <c r="A1221" s="28">
        <f>Angela_2026_Chase1117_Activity_!B1218</f>
        <v>46045</v>
      </c>
      <c r="B1221" s="3" t="str">
        <f>Angela_2026_Chase1117_Activity_!C1218</f>
        <v>FSP*KIMBELL ART MUSEUM FORT WORTH TX         01/22</v>
      </c>
      <c r="C1221" s="3" t="str">
        <f>Angela_2026_Chase1117_Activity_!G1218</f>
        <v>Personal - Entertainment</v>
      </c>
      <c r="D1221" s="4">
        <f>Angela_2026_Chase1117_Activity_!D1218</f>
        <v>-18.399999999999999</v>
      </c>
    </row>
    <row r="1222" spans="1:4" x14ac:dyDescent="0.25">
      <c r="A1222" s="28">
        <f>Angela_2026_Chase1117_Activity_!B1219</f>
        <v>46045</v>
      </c>
      <c r="B1222" s="3" t="str">
        <f>Angela_2026_Chase1117_Activity_!C1219</f>
        <v>AMAZON MKTPL*0L91Q72 Amzn.com/bill WA        01/22</v>
      </c>
      <c r="C1222" s="3" t="str">
        <f>Angela_2026_Chase1117_Activity_!G1219</f>
        <v>Amazon</v>
      </c>
      <c r="D1222" s="4">
        <f>Angela_2026_Chase1117_Activity_!D1219</f>
        <v>-84.51</v>
      </c>
    </row>
    <row r="1223" spans="1:4" x14ac:dyDescent="0.25">
      <c r="A1223" s="28">
        <f>Angela_2026_Chase1117_Activity_!B1220</f>
        <v>46045</v>
      </c>
      <c r="B1223" s="3" t="str">
        <f>Angela_2026_Chase1117_Activity_!C1220</f>
        <v>Amazon.com*F76TE4NA3 Amzn.com/bill WA        01/23</v>
      </c>
      <c r="C1223" s="3" t="str">
        <f>Angela_2026_Chase1117_Activity_!G1220</f>
        <v>Amazon</v>
      </c>
      <c r="D1223" s="4">
        <f>Angela_2026_Chase1117_Activity_!D1220</f>
        <v>-191.85</v>
      </c>
    </row>
    <row r="1224" spans="1:4" x14ac:dyDescent="0.25">
      <c r="A1224" s="28">
        <f>Angela_2026_Chase1117_Activity_!B1221</f>
        <v>46044</v>
      </c>
      <c r="B1224" s="3" t="str">
        <f>Angela_2026_Chase1117_Activity_!C1221</f>
        <v>TARGET T-1981 WEATHERFORD TX         039962  01/22</v>
      </c>
      <c r="C1224" s="3" t="str">
        <f>Angela_2026_Chase1117_Activity_!G1221</f>
        <v>Personal - Shopping</v>
      </c>
      <c r="D1224" s="4">
        <f>Angela_2026_Chase1117_Activity_!D1221</f>
        <v>-237.07</v>
      </c>
    </row>
    <row r="1225" spans="1:4" x14ac:dyDescent="0.25">
      <c r="A1225" s="28">
        <f>Angela_2026_Chase1117_Activity_!B1222</f>
        <v>46044</v>
      </c>
      <c r="B1225" s="3" t="str">
        <f>Angela_2026_Chase1117_Activity_!C1222</f>
        <v>SHELL SERVICE STATION WEATHERFORD TX 344040  01/22</v>
      </c>
      <c r="C1225" s="3" t="str">
        <f>Angela_2026_Chase1117_Activity_!G1222</f>
        <v>Personal - Car</v>
      </c>
      <c r="D1225" s="4">
        <f>Angela_2026_Chase1117_Activity_!D1222</f>
        <v>-40.479999999999997</v>
      </c>
    </row>
    <row r="1226" spans="1:4" x14ac:dyDescent="0.25">
      <c r="A1226" s="28">
        <f>Angela_2026_Chase1117_Activity_!B1223</f>
        <v>46044</v>
      </c>
      <c r="B1226" s="3" t="str">
        <f>Angela_2026_Chase1117_Activity_!C1223</f>
        <v>AMAZON MKTPL*058WA4M Amzn.com/bill WA        01/22</v>
      </c>
      <c r="C1226" s="3" t="str">
        <f>Angela_2026_Chase1117_Activity_!G1223</f>
        <v>Amazon</v>
      </c>
      <c r="D1226" s="4">
        <f>Angela_2026_Chase1117_Activity_!D1223</f>
        <v>-144.84</v>
      </c>
    </row>
    <row r="1227" spans="1:4" x14ac:dyDescent="0.25">
      <c r="A1227" s="28">
        <f>Angela_2026_Chase1117_Activity_!B1224</f>
        <v>46044</v>
      </c>
      <c r="B1227" s="3" t="str">
        <f>Angela_2026_Chase1117_Activity_!C1224</f>
        <v>AMAZON MKTPL*ZG7NW47 Amzn.com/bill WA        01/22</v>
      </c>
      <c r="C1227" s="3" t="str">
        <f>Angela_2026_Chase1117_Activity_!G1224</f>
        <v>Amazon</v>
      </c>
      <c r="D1227" s="4">
        <f>Angela_2026_Chase1117_Activity_!D1224</f>
        <v>-24.95</v>
      </c>
    </row>
    <row r="1228" spans="1:4" x14ac:dyDescent="0.25">
      <c r="A1228" s="28">
        <f>Angela_2026_Chase1117_Activity_!B1225</f>
        <v>46044</v>
      </c>
      <c r="B1228" s="3" t="str">
        <f>Angela_2026_Chase1117_Activity_!C1225</f>
        <v>AMAZON MKTPL*0L0NT2V Amzn.com/bill WA        01/22</v>
      </c>
      <c r="C1228" s="3" t="str">
        <f>Angela_2026_Chase1117_Activity_!G1225</f>
        <v>Amazon</v>
      </c>
      <c r="D1228" s="4">
        <f>Angela_2026_Chase1117_Activity_!D1225</f>
        <v>-74.62</v>
      </c>
    </row>
    <row r="1229" spans="1:4" x14ac:dyDescent="0.25">
      <c r="A1229" s="28">
        <f>Angela_2026_Chase1117_Activity_!B1226</f>
        <v>46044</v>
      </c>
      <c r="B1229" s="3" t="str">
        <f>Angela_2026_Chase1117_Activity_!C1226</f>
        <v>AMAZON MKTPL*VI1SM1B Amzn.com/bill WA        01/21</v>
      </c>
      <c r="C1229" s="3" t="str">
        <f>Angela_2026_Chase1117_Activity_!G1226</f>
        <v>Amazon</v>
      </c>
      <c r="D1229" s="4">
        <f>Angela_2026_Chase1117_Activity_!D1226</f>
        <v>-57.21</v>
      </c>
    </row>
    <row r="1230" spans="1:4" x14ac:dyDescent="0.25">
      <c r="A1230" s="28">
        <f>Angela_2026_Chase1117_Activity_!B1227</f>
        <v>46044</v>
      </c>
      <c r="B1230" s="3" t="str">
        <f>Angela_2026_Chase1117_Activity_!C1227</f>
        <v>AMAZON MKTPL*PR2DX51 Amzn.com/bill WA        01/21</v>
      </c>
      <c r="C1230" s="3" t="str">
        <f>Angela_2026_Chase1117_Activity_!G1227</f>
        <v>Amazon</v>
      </c>
      <c r="D1230" s="4">
        <f>Angela_2026_Chase1117_Activity_!D1227</f>
        <v>-318.45999999999998</v>
      </c>
    </row>
    <row r="1231" spans="1:4" x14ac:dyDescent="0.25">
      <c r="A1231" s="28">
        <f>Angela_2026_Chase1117_Activity_!B1228</f>
        <v>46043</v>
      </c>
      <c r="B1231" s="3" t="str">
        <f>Angela_2026_Chase1117_Activity_!C1228</f>
        <v>TARGET T-1981 WEATHERFORD TX         039492  01/21</v>
      </c>
      <c r="C1231" s="3" t="str">
        <f>Angela_2026_Chase1117_Activity_!G1228</f>
        <v>Personal - Shopping</v>
      </c>
      <c r="D1231" s="4">
        <f>Angela_2026_Chase1117_Activity_!D1228</f>
        <v>-220.69</v>
      </c>
    </row>
    <row r="1232" spans="1:4" x14ac:dyDescent="0.25">
      <c r="A1232" s="28">
        <f>Angela_2026_Chase1117_Activity_!B1229</f>
        <v>46043</v>
      </c>
      <c r="B1232" s="3" t="str">
        <f>Angela_2026_Chase1117_Activity_!C1229</f>
        <v>THE HOME DEPOT #6515 - WEATHERFORD TX252801  01/21</v>
      </c>
      <c r="C1232" s="3" t="str">
        <f>Angela_2026_Chase1117_Activity_!G1229</f>
        <v>Personal - Shopping</v>
      </c>
      <c r="D1232" s="4">
        <f>Angela_2026_Chase1117_Activity_!D1229</f>
        <v>-403.98</v>
      </c>
    </row>
    <row r="1233" spans="1:4" x14ac:dyDescent="0.25">
      <c r="A1233" s="28">
        <f>Angela_2026_Chase1117_Activity_!B1230</f>
        <v>46043</v>
      </c>
      <c r="B1233" s="3" t="str">
        <f>Angela_2026_Chase1117_Activity_!C1230</f>
        <v>SQ *INN OF THE SEVENTH gosq.com MT           01/21</v>
      </c>
      <c r="C1233" s="3" t="str">
        <f>Angela_2026_Chase1117_Activity_!G1230</f>
        <v>Personal Travel</v>
      </c>
      <c r="D1233" s="4">
        <f>Angela_2026_Chase1117_Activity_!D1230</f>
        <v>-350</v>
      </c>
    </row>
    <row r="1234" spans="1:4" x14ac:dyDescent="0.25">
      <c r="A1234" s="28">
        <f>Angela_2026_Chase1117_Activity_!B1231</f>
        <v>46043</v>
      </c>
      <c r="B1234" s="3" t="str">
        <f>Angela_2026_Chase1117_Activity_!C1231</f>
        <v>ROSAS CAFE &amp; TORTILLA F FORT WORTH TX        01/20</v>
      </c>
      <c r="C1234" s="3" t="str">
        <f>Angela_2026_Chase1117_Activity_!G1231</f>
        <v>Personal - Food</v>
      </c>
      <c r="D1234" s="4">
        <f>Angela_2026_Chase1117_Activity_!D1231</f>
        <v>-23.71</v>
      </c>
    </row>
    <row r="1235" spans="1:4" x14ac:dyDescent="0.25">
      <c r="A1235" s="28">
        <f>Angela_2026_Chase1117_Activity_!B1232</f>
        <v>46043</v>
      </c>
      <c r="B1235" s="3" t="str">
        <f>Angela_2026_Chase1117_Activity_!C1232</f>
        <v>NEXTLINK BROADBAND 855-6985465 TX            01/20</v>
      </c>
      <c r="C1235" s="3" t="str">
        <f>Angela_2026_Chase1117_Activity_!G1232</f>
        <v>Personal - House Bills</v>
      </c>
      <c r="D1235" s="4">
        <f>Angela_2026_Chase1117_Activity_!D1232</f>
        <v>-149.96</v>
      </c>
    </row>
    <row r="1236" spans="1:4" x14ac:dyDescent="0.25">
      <c r="A1236" s="28">
        <f>Angela_2026_Chase1117_Activity_!B1233</f>
        <v>46043</v>
      </c>
      <c r="B1236" s="3" t="str">
        <f>Angela_2026_Chase1117_Activity_!C1233</f>
        <v>AMAZON MKTPL*OM9S83B Amzn.com/bill WA        01/20</v>
      </c>
      <c r="C1236" s="3" t="str">
        <f>Angela_2026_Chase1117_Activity_!G1233</f>
        <v>Amazon</v>
      </c>
      <c r="D1236" s="4">
        <f>Angela_2026_Chase1117_Activity_!D1233</f>
        <v>-48.98</v>
      </c>
    </row>
    <row r="1237" spans="1:4" x14ac:dyDescent="0.25">
      <c r="A1237" s="28">
        <f>Angela_2026_Chase1117_Activity_!B1234</f>
        <v>46043</v>
      </c>
      <c r="B1237" s="3" t="str">
        <f>Angela_2026_Chase1117_Activity_!C1234</f>
        <v>FEDEX35738400 800-4633339 TN                 01/20</v>
      </c>
      <c r="C1237" s="3" t="str">
        <f>Angela_2026_Chase1117_Activity_!G1234</f>
        <v>Shipping</v>
      </c>
      <c r="D1237" s="4">
        <f>Angela_2026_Chase1117_Activity_!D1234</f>
        <v>-8.4</v>
      </c>
    </row>
    <row r="1238" spans="1:4" x14ac:dyDescent="0.25">
      <c r="A1238" s="28">
        <f>Angela_2026_Chase1117_Activity_!B1235</f>
        <v>46043</v>
      </c>
      <c r="B1238" s="3" t="str">
        <f>Angela_2026_Chase1117_Activity_!C1235</f>
        <v>Online Transfer from CHK ...1168 transaction#: 27771975389</v>
      </c>
      <c r="C1238" s="3" t="str">
        <f>Angela_2026_Chase1117_Activity_!G1235</f>
        <v>Transfer from DWG Capital Group</v>
      </c>
      <c r="D1238" s="4">
        <f>Angela_2026_Chase1117_Activity_!D1235</f>
        <v>5000</v>
      </c>
    </row>
    <row r="1239" spans="1:4" x14ac:dyDescent="0.25">
      <c r="A1239" s="28">
        <f>Angela_2026_Chase1117_Activity_!B1236</f>
        <v>46043</v>
      </c>
      <c r="B1239" s="3" t="str">
        <f>Angela_2026_Chase1117_Activity_!C1236</f>
        <v>Online Transfer from CHK ...1168 transaction#: 27772070463</v>
      </c>
      <c r="C1239" s="3" t="str">
        <f>Angela_2026_Chase1117_Activity_!G1236</f>
        <v>Transfer from DWG Capital Group</v>
      </c>
      <c r="D1239" s="4">
        <f>Angela_2026_Chase1117_Activity_!D1236</f>
        <v>5000</v>
      </c>
    </row>
    <row r="1240" spans="1:4" x14ac:dyDescent="0.25">
      <c r="A1240" s="28">
        <f>Angela_2026_Chase1117_Activity_!B1237</f>
        <v>46043</v>
      </c>
      <c r="B1240" s="3" t="str">
        <f>Angela_2026_Chase1117_Activity_!C1237</f>
        <v>EXPEDIA 73348826540004 EXPEDIA.COM WA        01/20</v>
      </c>
      <c r="C1240" s="3" t="str">
        <f>Angela_2026_Chase1117_Activity_!G1237</f>
        <v>Personal Travel</v>
      </c>
      <c r="D1240" s="4">
        <f>Angela_2026_Chase1117_Activity_!D1237</f>
        <v>891.45</v>
      </c>
    </row>
    <row r="1241" spans="1:4" x14ac:dyDescent="0.25">
      <c r="A1241" s="28">
        <f>Angela_2026_Chase1117_Activity_!B1238</f>
        <v>46042</v>
      </c>
      <c r="B1241" s="3" t="str">
        <f>Angela_2026_Chase1117_Activity_!C1238</f>
        <v>MONTGOMERY STREE 2601 FORT WORTH TX  422597  01/20</v>
      </c>
      <c r="C1241" s="3" t="str">
        <f>Angela_2026_Chase1117_Activity_!G1238</f>
        <v>Personal - Food</v>
      </c>
      <c r="D1241" s="4">
        <f>Angela_2026_Chase1117_Activity_!D1238</f>
        <v>-350.73</v>
      </c>
    </row>
    <row r="1242" spans="1:4" x14ac:dyDescent="0.25">
      <c r="A1242" s="28">
        <f>Angela_2026_Chase1117_Activity_!B1239</f>
        <v>46042</v>
      </c>
      <c r="B1242" s="3" t="str">
        <f>Angela_2026_Chase1117_Activity_!C1239</f>
        <v>HOMEGOODS #1084 WEATHERFORD TX       035056  01/20</v>
      </c>
      <c r="C1242" s="3" t="str">
        <f>Angela_2026_Chase1117_Activity_!G1239</f>
        <v>Personal - Shopping</v>
      </c>
      <c r="D1242" s="4">
        <f>Angela_2026_Chase1117_Activity_!D1239</f>
        <v>-186.4</v>
      </c>
    </row>
    <row r="1243" spans="1:4" x14ac:dyDescent="0.25">
      <c r="A1243" s="28">
        <f>Angela_2026_Chase1117_Activity_!B1240</f>
        <v>46042</v>
      </c>
      <c r="B1243" s="3" t="str">
        <f>Angela_2026_Chase1117_Activity_!C1240</f>
        <v>SCRIBD* R680020687 SCRIBD.COM CA             01/20</v>
      </c>
      <c r="C1243" s="3" t="str">
        <f>Angela_2026_Chase1117_Activity_!G1240</f>
        <v>Personal - Subscription</v>
      </c>
      <c r="D1243" s="4">
        <f>Angela_2026_Chase1117_Activity_!D1240</f>
        <v>-11.99</v>
      </c>
    </row>
    <row r="1244" spans="1:4" x14ac:dyDescent="0.25">
      <c r="A1244" s="28">
        <f>Angela_2026_Chase1117_Activity_!B1241</f>
        <v>46042</v>
      </c>
      <c r="B1244" s="3" t="str">
        <f>Angela_2026_Chase1117_Activity_!C1241</f>
        <v>CINEMARK 1114 ONLINE Fort Worth TX           01/20</v>
      </c>
      <c r="C1244" s="3" t="str">
        <f>Angela_2026_Chase1117_Activity_!G1241</f>
        <v>Personal - Entertainment</v>
      </c>
      <c r="D1244" s="4">
        <f>Angela_2026_Chase1117_Activity_!D1241</f>
        <v>-25.95</v>
      </c>
    </row>
    <row r="1245" spans="1:4" x14ac:dyDescent="0.25">
      <c r="A1245" s="28">
        <f>Angela_2026_Chase1117_Activity_!B1242</f>
        <v>46042</v>
      </c>
      <c r="B1245" s="3" t="str">
        <f>Angela_2026_Chase1117_Activity_!C1242</f>
        <v>AMAZON MKTPL*J47II7Z Amzn.com/bill WA        01/20</v>
      </c>
      <c r="C1245" s="3" t="str">
        <f>Angela_2026_Chase1117_Activity_!G1242</f>
        <v>Amazon</v>
      </c>
      <c r="D1245" s="4">
        <f>Angela_2026_Chase1117_Activity_!D1242</f>
        <v>-9.0399999999999991</v>
      </c>
    </row>
    <row r="1246" spans="1:4" x14ac:dyDescent="0.25">
      <c r="A1246" s="28">
        <f>Angela_2026_Chase1117_Activity_!B1243</f>
        <v>46042</v>
      </c>
      <c r="B1246" s="3" t="str">
        <f>Angela_2026_Chase1117_Activity_!C1243</f>
        <v>Zelle payment to Leelee 27758084988</v>
      </c>
      <c r="C1246" s="3" t="str">
        <f>Angela_2026_Chase1117_Activity_!G1243</f>
        <v>Zelle-Leelee</v>
      </c>
      <c r="D1246" s="4">
        <f>Angela_2026_Chase1117_Activity_!D1243</f>
        <v>-700</v>
      </c>
    </row>
    <row r="1247" spans="1:4" x14ac:dyDescent="0.25">
      <c r="A1247" s="28">
        <f>Angela_2026_Chase1117_Activity_!B1244</f>
        <v>46042</v>
      </c>
      <c r="B1247" s="3" t="str">
        <f>Angela_2026_Chase1117_Activity_!C1244</f>
        <v>CENTRAL MARKET #545 FT WORTH TX      768393  01/18</v>
      </c>
      <c r="C1247" s="3" t="str">
        <f>Angela_2026_Chase1117_Activity_!G1244</f>
        <v>Personal - Food</v>
      </c>
      <c r="D1247" s="4">
        <f>Angela_2026_Chase1117_Activity_!D1244</f>
        <v>-322.98</v>
      </c>
    </row>
    <row r="1248" spans="1:4" x14ac:dyDescent="0.25">
      <c r="A1248" s="28">
        <f>Angela_2026_Chase1117_Activity_!B1245</f>
        <v>46042</v>
      </c>
      <c r="B1248" s="3" t="str">
        <f>Angela_2026_Chase1117_Activity_!C1245</f>
        <v>WHOLEFDS FTW #10 3400 FORT WORTH TX  442136  01/18</v>
      </c>
      <c r="C1248" s="3" t="str">
        <f>Angela_2026_Chase1117_Activity_!G1245</f>
        <v>Personal - Food</v>
      </c>
      <c r="D1248" s="4">
        <f>Angela_2026_Chase1117_Activity_!D1245</f>
        <v>-540.04</v>
      </c>
    </row>
    <row r="1249" spans="1:4" x14ac:dyDescent="0.25">
      <c r="A1249" s="28">
        <f>Angela_2026_Chase1117_Activity_!B1246</f>
        <v>46042</v>
      </c>
      <c r="B1249" s="3" t="str">
        <f>Angela_2026_Chase1117_Activity_!C1246</f>
        <v>SHELL SERVICE STATION WEATHERFORD TX 340832  01/17</v>
      </c>
      <c r="C1249" s="3" t="str">
        <f>Angela_2026_Chase1117_Activity_!G1246</f>
        <v>Personal - Car</v>
      </c>
      <c r="D1249" s="4">
        <f>Angela_2026_Chase1117_Activity_!D1246</f>
        <v>-54.45</v>
      </c>
    </row>
    <row r="1250" spans="1:4" x14ac:dyDescent="0.25">
      <c r="A1250" s="28">
        <f>Angela_2026_Chase1117_Activity_!B1247</f>
        <v>46042</v>
      </c>
      <c r="B1250" s="3" t="str">
        <f>Angela_2026_Chase1117_Activity_!C1247</f>
        <v>RIPLEY'S GRAND PRAIR GRAND PRAIRIE TX        01/17</v>
      </c>
      <c r="C1250" s="3" t="str">
        <f>Angela_2026_Chase1117_Activity_!G1247</f>
        <v>Personal - Entertainment</v>
      </c>
      <c r="D1250" s="4">
        <f>Angela_2026_Chase1117_Activity_!D1247</f>
        <v>-89.75</v>
      </c>
    </row>
    <row r="1251" spans="1:4" x14ac:dyDescent="0.25">
      <c r="A1251" s="28">
        <f>Angela_2026_Chase1117_Activity_!B1248</f>
        <v>46042</v>
      </c>
      <c r="B1251" s="3" t="str">
        <f>Angela_2026_Chase1117_Activity_!C1248</f>
        <v>RIPLEY'S GRAND PRAIR GRAND PRAIRIE TX        01/17</v>
      </c>
      <c r="C1251" s="3" t="str">
        <f>Angela_2026_Chase1117_Activity_!G1248</f>
        <v>Personal - Entertainment</v>
      </c>
      <c r="D1251" s="4">
        <f>Angela_2026_Chase1117_Activity_!D1248</f>
        <v>-97.39</v>
      </c>
    </row>
    <row r="1252" spans="1:4" x14ac:dyDescent="0.25">
      <c r="A1252" s="28">
        <f>Angela_2026_Chase1117_Activity_!B1249</f>
        <v>46042</v>
      </c>
      <c r="B1252" s="3" t="str">
        <f>Angela_2026_Chase1117_Activity_!C1249</f>
        <v>LEELA QUANTUM TECH LEELAQ.COM NM             01/17</v>
      </c>
      <c r="C1252" s="3" t="str">
        <f>Angela_2026_Chase1117_Activity_!G1249</f>
        <v>Personal - Subscription</v>
      </c>
      <c r="D1252" s="4">
        <f>Angela_2026_Chase1117_Activity_!D1249</f>
        <v>-30</v>
      </c>
    </row>
    <row r="1253" spans="1:4" x14ac:dyDescent="0.25">
      <c r="A1253" s="28">
        <f>Angela_2026_Chase1117_Activity_!B1250</f>
        <v>46042</v>
      </c>
      <c r="B1253" s="3" t="str">
        <f>Angela_2026_Chase1117_Activity_!C1250</f>
        <v>PY *LAS PALMAS LUNCH AN DALLAS TX            01/18</v>
      </c>
      <c r="C1253" s="3" t="str">
        <f>Angela_2026_Chase1117_Activity_!G1250</f>
        <v>Personal - Food</v>
      </c>
      <c r="D1253" s="4">
        <f>Angela_2026_Chase1117_Activity_!D1250</f>
        <v>-188.83</v>
      </c>
    </row>
    <row r="1254" spans="1:4" x14ac:dyDescent="0.25">
      <c r="A1254" s="28">
        <f>Angela_2026_Chase1117_Activity_!B1251</f>
        <v>46042</v>
      </c>
      <c r="B1254" s="3" t="str">
        <f>Angela_2026_Chase1117_Activity_!C1251</f>
        <v>2711 FAIRMOUNT, LP DALLAS TX                 01/18</v>
      </c>
      <c r="C1254" s="3" t="str">
        <f>Angela_2026_Chase1117_Activity_!G1251</f>
        <v>Personal - Food</v>
      </c>
      <c r="D1254" s="4">
        <f>Angela_2026_Chase1117_Activity_!D1251</f>
        <v>-15</v>
      </c>
    </row>
    <row r="1255" spans="1:4" x14ac:dyDescent="0.25">
      <c r="A1255" s="28">
        <f>Angela_2026_Chase1117_Activity_!B1252</f>
        <v>46042</v>
      </c>
      <c r="B1255" s="3" t="str">
        <f>Angela_2026_Chase1117_Activity_!C1252</f>
        <v>AMAZON MKTPL*DQ6JM7W Amzn.com/bill WA        01/17</v>
      </c>
      <c r="C1255" s="3" t="str">
        <f>Angela_2026_Chase1117_Activity_!G1252</f>
        <v>Amazon</v>
      </c>
      <c r="D1255" s="4">
        <f>Angela_2026_Chase1117_Activity_!D1252</f>
        <v>-58.7</v>
      </c>
    </row>
    <row r="1256" spans="1:4" x14ac:dyDescent="0.25">
      <c r="A1256" s="28">
        <f>Angela_2026_Chase1117_Activity_!B1253</f>
        <v>46042</v>
      </c>
      <c r="B1256" s="3" t="str">
        <f>Angela_2026_Chase1117_Activity_!C1253</f>
        <v>Etsy.com*Multiple Shop ETSY.COM NY           01/16</v>
      </c>
      <c r="C1256" s="3" t="str">
        <f>Angela_2026_Chase1117_Activity_!G1253</f>
        <v>Etsy</v>
      </c>
      <c r="D1256" s="4">
        <f>Angela_2026_Chase1117_Activity_!D1253</f>
        <v>-442.17</v>
      </c>
    </row>
    <row r="1257" spans="1:4" x14ac:dyDescent="0.25">
      <c r="A1257" s="28">
        <f>Angela_2026_Chase1117_Activity_!B1254</f>
        <v>46042</v>
      </c>
      <c r="B1257" s="3" t="str">
        <f>Angela_2026_Chase1117_Activity_!C1254</f>
        <v>NTTA AUTOCHARGE 972-818-6882 TX              01/16</v>
      </c>
      <c r="C1257" s="3" t="str">
        <f>Angela_2026_Chase1117_Activity_!G1254</f>
        <v>Personal - Car</v>
      </c>
      <c r="D1257" s="4">
        <f>Angela_2026_Chase1117_Activity_!D1254</f>
        <v>-40</v>
      </c>
    </row>
    <row r="1258" spans="1:4" x14ac:dyDescent="0.25">
      <c r="A1258" s="28">
        <f>Angela_2026_Chase1117_Activity_!B1255</f>
        <v>46042</v>
      </c>
      <c r="B1258" s="3" t="str">
        <f>Angela_2026_Chase1117_Activity_!C1255</f>
        <v>Zara.com 212-3551415 NY                      01/17</v>
      </c>
      <c r="C1258" s="3" t="str">
        <f>Angela_2026_Chase1117_Activity_!G1255</f>
        <v>Personal - Shopping</v>
      </c>
      <c r="D1258" s="4">
        <f>Angela_2026_Chase1117_Activity_!D1255</f>
        <v>-592.75</v>
      </c>
    </row>
    <row r="1259" spans="1:4" x14ac:dyDescent="0.25">
      <c r="A1259" s="28">
        <f>Angela_2026_Chase1117_Activity_!B1256</f>
        <v>46042</v>
      </c>
      <c r="B1259" s="3" t="str">
        <f>Angela_2026_Chase1117_Activity_!C1256</f>
        <v>Online Transfer from CHK ...1168 transaction#: 27743673026</v>
      </c>
      <c r="C1259" s="3" t="str">
        <f>Angela_2026_Chase1117_Activity_!G1256</f>
        <v>Transfer from DWG Capital Group</v>
      </c>
      <c r="D1259" s="4">
        <f>Angela_2026_Chase1117_Activity_!D1256</f>
        <v>4000</v>
      </c>
    </row>
    <row r="1260" spans="1:4" x14ac:dyDescent="0.25">
      <c r="A1260" s="28">
        <f>Angela_2026_Chase1117_Activity_!B1257</f>
        <v>46038</v>
      </c>
      <c r="B1260" s="3" t="str">
        <f>Angela_2026_Chase1117_Activity_!C1257</f>
        <v>LIFETOUCH 952-826-4000 MN                    01/16</v>
      </c>
      <c r="C1260" s="3" t="str">
        <f>Angela_2026_Chase1117_Activity_!G1257</f>
        <v>Personal - Shopping</v>
      </c>
      <c r="D1260" s="4">
        <f>Angela_2026_Chase1117_Activity_!D1257</f>
        <v>-62.03</v>
      </c>
    </row>
    <row r="1261" spans="1:4" x14ac:dyDescent="0.25">
      <c r="A1261" s="28">
        <f>Angela_2026_Chase1117_Activity_!B1258</f>
        <v>46038</v>
      </c>
      <c r="B1261" s="3" t="str">
        <f>Angela_2026_Chase1117_Activity_!C1258</f>
        <v>AMAZON MKTPL*VW78B5C Amzn.com/bill WA        01/16</v>
      </c>
      <c r="C1261" s="3" t="str">
        <f>Angela_2026_Chase1117_Activity_!G1258</f>
        <v>Amazon</v>
      </c>
      <c r="D1261" s="4">
        <f>Angela_2026_Chase1117_Activity_!D1258</f>
        <v>-156.4</v>
      </c>
    </row>
    <row r="1262" spans="1:4" x14ac:dyDescent="0.25">
      <c r="A1262" s="28">
        <f>Angela_2026_Chase1117_Activity_!B1259</f>
        <v>46038</v>
      </c>
      <c r="B1262" s="3" t="str">
        <f>Angela_2026_Chase1117_Activity_!C1259</f>
        <v>TACKETT COMPOUNDING PH HUDSON OAKS TX        01/15</v>
      </c>
      <c r="C1262" s="3" t="str">
        <f>Angela_2026_Chase1117_Activity_!G1259</f>
        <v>Personal - Health</v>
      </c>
      <c r="D1262" s="4">
        <f>Angela_2026_Chase1117_Activity_!D1259</f>
        <v>-143.41</v>
      </c>
    </row>
    <row r="1263" spans="1:4" x14ac:dyDescent="0.25">
      <c r="A1263" s="28">
        <f>Angela_2026_Chase1117_Activity_!B1260</f>
        <v>46038</v>
      </c>
      <c r="B1263" s="3" t="str">
        <f>Angela_2026_Chase1117_Activity_!C1260</f>
        <v>LAKE GRANBURY MED CTR 817-573-2273 TX        01/15</v>
      </c>
      <c r="C1263" s="3" t="str">
        <f>Angela_2026_Chase1117_Activity_!G1260</f>
        <v>Personal - Health</v>
      </c>
      <c r="D1263" s="4">
        <f>Angela_2026_Chase1117_Activity_!D1260</f>
        <v>-178.45</v>
      </c>
    </row>
    <row r="1264" spans="1:4" x14ac:dyDescent="0.25">
      <c r="A1264" s="28">
        <f>Angela_2026_Chase1117_Activity_!B1261</f>
        <v>46038</v>
      </c>
      <c r="B1264" s="3" t="str">
        <f>Angela_2026_Chase1117_Activity_!C1261</f>
        <v>CRESCENT DRUGS INC 800-4694343 CA            01/15</v>
      </c>
      <c r="C1264" s="3" t="str">
        <f>Angela_2026_Chase1117_Activity_!G1261</f>
        <v>Personal - Health</v>
      </c>
      <c r="D1264" s="4">
        <f>Angela_2026_Chase1117_Activity_!D1261</f>
        <v>-225.49</v>
      </c>
    </row>
    <row r="1265" spans="1:4" x14ac:dyDescent="0.25">
      <c r="A1265" s="28">
        <f>Angela_2026_Chase1117_Activity_!B1262</f>
        <v>46038</v>
      </c>
      <c r="B1265" s="3" t="str">
        <f>Angela_2026_Chase1117_Activity_!C1262</f>
        <v>AMAZON MKTPL*6Z3ZQ7N Amzn.com/bill WA        01/16</v>
      </c>
      <c r="C1265" s="3" t="str">
        <f>Angela_2026_Chase1117_Activity_!G1262</f>
        <v>Amazon</v>
      </c>
      <c r="D1265" s="4">
        <f>Angela_2026_Chase1117_Activity_!D1262</f>
        <v>-67.47</v>
      </c>
    </row>
    <row r="1266" spans="1:4" x14ac:dyDescent="0.25">
      <c r="A1266" s="28">
        <f>Angela_2026_Chase1117_Activity_!B1263</f>
        <v>46037</v>
      </c>
      <c r="B1266" s="3" t="str">
        <f>Angela_2026_Chase1117_Activity_!C1263</f>
        <v>TARGET T-1981 WEATHERFORD TX         045912  01/15</v>
      </c>
      <c r="C1266" s="3" t="str">
        <f>Angela_2026_Chase1117_Activity_!G1263</f>
        <v>Personal - Shopping</v>
      </c>
      <c r="D1266" s="4">
        <f>Angela_2026_Chase1117_Activity_!D1263</f>
        <v>-375.57</v>
      </c>
    </row>
    <row r="1267" spans="1:4" x14ac:dyDescent="0.25">
      <c r="A1267" s="28">
        <f>Angela_2026_Chase1117_Activity_!B1264</f>
        <v>46037</v>
      </c>
      <c r="B1267" s="3" t="str">
        <f>Angela_2026_Chase1117_Activity_!C1264</f>
        <v>BETTER HEALTH MARKET WEATHERFORD TX  299730  01/15</v>
      </c>
      <c r="C1267" s="3" t="str">
        <f>Angela_2026_Chase1117_Activity_!G1264</f>
        <v>Personal - Food</v>
      </c>
      <c r="D1267" s="4">
        <f>Angela_2026_Chase1117_Activity_!D1264</f>
        <v>-36.549999999999997</v>
      </c>
    </row>
    <row r="1268" spans="1:4" x14ac:dyDescent="0.25">
      <c r="A1268" s="28">
        <f>Angela_2026_Chase1117_Activity_!B1265</f>
        <v>46037</v>
      </c>
      <c r="B1268" s="3" t="str">
        <f>Angela_2026_Chase1117_Activity_!C1265</f>
        <v>MANGO.COM NEW YORK NY                149343  01/15</v>
      </c>
      <c r="C1268" s="3" t="str">
        <f>Angela_2026_Chase1117_Activity_!G1265</f>
        <v>Personal - Shopping</v>
      </c>
      <c r="D1268" s="4">
        <f>Angela_2026_Chase1117_Activity_!D1265</f>
        <v>-346.46</v>
      </c>
    </row>
    <row r="1269" spans="1:4" x14ac:dyDescent="0.25">
      <c r="A1269" s="28">
        <f>Angela_2026_Chase1117_Activity_!B1266</f>
        <v>46037</v>
      </c>
      <c r="B1269" s="3" t="str">
        <f>Angela_2026_Chase1117_Activity_!C1266</f>
        <v>Prime Video Channels amzn.com/bill WA        01/14</v>
      </c>
      <c r="C1269" s="3" t="str">
        <f>Angela_2026_Chase1117_Activity_!G1266</f>
        <v>Amazon</v>
      </c>
      <c r="D1269" s="4">
        <f>Angela_2026_Chase1117_Activity_!D1266</f>
        <v>-18.489999999999998</v>
      </c>
    </row>
    <row r="1270" spans="1:4" x14ac:dyDescent="0.25">
      <c r="A1270" s="28">
        <f>Angela_2026_Chase1117_Activity_!B1267</f>
        <v>46037</v>
      </c>
      <c r="B1270" s="3" t="str">
        <f>Angela_2026_Chase1117_Activity_!C1267</f>
        <v>SQ *THE ANTI AGING CENT Torrance CA          01/14</v>
      </c>
      <c r="C1270" s="3" t="str">
        <f>Angela_2026_Chase1117_Activity_!G1267</f>
        <v>Personal - Health</v>
      </c>
      <c r="D1270" s="4">
        <f>Angela_2026_Chase1117_Activity_!D1267</f>
        <v>-350</v>
      </c>
    </row>
    <row r="1271" spans="1:4" x14ac:dyDescent="0.25">
      <c r="A1271" s="28">
        <f>Angela_2026_Chase1117_Activity_!B1268</f>
        <v>46037</v>
      </c>
      <c r="B1271" s="3" t="str">
        <f>Angela_2026_Chase1117_Activity_!C1268</f>
        <v>AMAZON MKTPL*O08PA3A Amzn.com/bill WA        01/15</v>
      </c>
      <c r="C1271" s="3" t="str">
        <f>Angela_2026_Chase1117_Activity_!G1268</f>
        <v>Amazon</v>
      </c>
      <c r="D1271" s="4">
        <f>Angela_2026_Chase1117_Activity_!D1268</f>
        <v>-47.9</v>
      </c>
    </row>
    <row r="1272" spans="1:4" x14ac:dyDescent="0.25">
      <c r="A1272" s="28">
        <f>Angela_2026_Chase1117_Activity_!B1269</f>
        <v>46037</v>
      </c>
      <c r="B1272" s="3" t="str">
        <f>Angela_2026_Chase1117_Activity_!C1269</f>
        <v>AMAZON PRIME*TX1PZ1F Amzn.com/bill WA        01/14</v>
      </c>
      <c r="C1272" s="3" t="str">
        <f>Angela_2026_Chase1117_Activity_!G1269</f>
        <v>Amazon</v>
      </c>
      <c r="D1272" s="4">
        <f>Angela_2026_Chase1117_Activity_!D1269</f>
        <v>-16.45</v>
      </c>
    </row>
    <row r="1273" spans="1:4" x14ac:dyDescent="0.25">
      <c r="A1273" s="28">
        <f>Angela_2026_Chase1117_Activity_!B1270</f>
        <v>46037</v>
      </c>
      <c r="B1273" s="3" t="str">
        <f>Angela_2026_Chase1117_Activity_!C1270</f>
        <v>ORANGE SUPERIOR CT WE 800-708-9832 PA        01/14</v>
      </c>
      <c r="C1273" s="3" t="str">
        <f>Angela_2026_Chase1117_Activity_!G1270</f>
        <v>Personal - Court</v>
      </c>
      <c r="D1273" s="4">
        <f>Angela_2026_Chase1117_Activity_!D1270</f>
        <v>-6.2</v>
      </c>
    </row>
    <row r="1274" spans="1:4" x14ac:dyDescent="0.25">
      <c r="A1274" s="28">
        <f>Angela_2026_Chase1117_Activity_!B1271</f>
        <v>46037</v>
      </c>
      <c r="B1274" s="3" t="str">
        <f>Angela_2026_Chase1117_Activity_!C1271</f>
        <v>ORANGE CO SUPERIOR CT 800-708-9832 CA        01/14</v>
      </c>
      <c r="C1274" s="3" t="str">
        <f>Angela_2026_Chase1117_Activity_!G1271</f>
        <v>Personal - Court</v>
      </c>
      <c r="D1274" s="4">
        <f>Angela_2026_Chase1117_Activity_!D1271</f>
        <v>-467.9</v>
      </c>
    </row>
    <row r="1275" spans="1:4" x14ac:dyDescent="0.25">
      <c r="A1275" s="28">
        <f>Angela_2026_Chase1117_Activity_!B1272</f>
        <v>46037</v>
      </c>
      <c r="B1275" s="3" t="str">
        <f>Angela_2026_Chase1117_Activity_!C1272</f>
        <v>APPLE CASH SENT MONE 1INFINITELOOP CA        01/14</v>
      </c>
      <c r="C1275" s="3" t="str">
        <f>Angela_2026_Chase1117_Activity_!G1272</f>
        <v>Apple</v>
      </c>
      <c r="D1275" s="4">
        <f>Angela_2026_Chase1117_Activity_!D1272</f>
        <v>-250</v>
      </c>
    </row>
    <row r="1276" spans="1:4" x14ac:dyDescent="0.25">
      <c r="A1276" s="28">
        <f>Angela_2026_Chase1117_Activity_!B1273</f>
        <v>46037</v>
      </c>
      <c r="B1276" s="3" t="str">
        <f>Angela_2026_Chase1117_Activity_!C1273</f>
        <v>AMAZON MKTPL*9J5HJ85 Amzn.com/bill WA        01/15</v>
      </c>
      <c r="C1276" s="3" t="str">
        <f>Angela_2026_Chase1117_Activity_!G1273</f>
        <v>Amazon</v>
      </c>
      <c r="D1276" s="4">
        <f>Angela_2026_Chase1117_Activity_!D1273</f>
        <v>-53.16</v>
      </c>
    </row>
    <row r="1277" spans="1:4" x14ac:dyDescent="0.25">
      <c r="A1277" s="28">
        <f>Angela_2026_Chase1117_Activity_!B1274</f>
        <v>46036</v>
      </c>
      <c r="B1277" s="3" t="str">
        <f>Angela_2026_Chase1117_Activity_!C1274</f>
        <v>APPLE.COM/BILL 866-712-7753 CA               01/14</v>
      </c>
      <c r="C1277" s="3" t="str">
        <f>Angela_2026_Chase1117_Activity_!G1274</f>
        <v>Apple</v>
      </c>
      <c r="D1277" s="4">
        <f>Angela_2026_Chase1117_Activity_!D1274</f>
        <v>-59.99</v>
      </c>
    </row>
    <row r="1278" spans="1:4" x14ac:dyDescent="0.25">
      <c r="A1278" s="28">
        <f>Angela_2026_Chase1117_Activity_!B1275</f>
        <v>46036</v>
      </c>
      <c r="B1278" s="3" t="str">
        <f>Angela_2026_Chase1117_Activity_!C1275</f>
        <v>AMAZON MKTPL*810DL49 Amzn.com/bill WA        01/14</v>
      </c>
      <c r="C1278" s="3" t="str">
        <f>Angela_2026_Chase1117_Activity_!G1275</f>
        <v>Amazon</v>
      </c>
      <c r="D1278" s="4">
        <f>Angela_2026_Chase1117_Activity_!D1275</f>
        <v>-126.63</v>
      </c>
    </row>
    <row r="1279" spans="1:4" x14ac:dyDescent="0.25">
      <c r="A1279" s="28">
        <f>Angela_2026_Chase1117_Activity_!B1276</f>
        <v>46036</v>
      </c>
      <c r="B1279" s="3" t="str">
        <f>Angela_2026_Chase1117_Activity_!C1276</f>
        <v>AMC 9640 ONLINE 888-440-4262 KS              01/14</v>
      </c>
      <c r="C1279" s="3" t="str">
        <f>Angela_2026_Chase1117_Activity_!G1276</f>
        <v>Personal - Entertainment</v>
      </c>
      <c r="D1279" s="4">
        <f>Angela_2026_Chase1117_Activity_!D1276</f>
        <v>-50.92</v>
      </c>
    </row>
    <row r="1280" spans="1:4" x14ac:dyDescent="0.25">
      <c r="A1280" s="28">
        <f>Angela_2026_Chase1117_Activity_!B1277</f>
        <v>46036</v>
      </c>
      <c r="B1280" s="3" t="str">
        <f>Angela_2026_Chase1117_Activity_!C1277</f>
        <v>ZENO'S ON THE SQUARE WEATHERFORD TX          01/14</v>
      </c>
      <c r="C1280" s="3" t="str">
        <f>Angela_2026_Chase1117_Activity_!G1277</f>
        <v>Personal - Food</v>
      </c>
      <c r="D1280" s="4">
        <f>Angela_2026_Chase1117_Activity_!D1277</f>
        <v>-785.84</v>
      </c>
    </row>
    <row r="1281" spans="1:4" x14ac:dyDescent="0.25">
      <c r="A1281" s="28">
        <f>Angela_2026_Chase1117_Activity_!B1278</f>
        <v>46036</v>
      </c>
      <c r="B1281" s="3" t="str">
        <f>Angela_2026_Chase1117_Activity_!C1278</f>
        <v>EXPEDIA 73348826540004 EXPEDIA.COM WA        01/13</v>
      </c>
      <c r="C1281" s="3" t="str">
        <f>Angela_2026_Chase1117_Activity_!G1278</f>
        <v>Personal Travel</v>
      </c>
      <c r="D1281" s="4">
        <f>Angela_2026_Chase1117_Activity_!D1278</f>
        <v>-891.45</v>
      </c>
    </row>
    <row r="1282" spans="1:4" x14ac:dyDescent="0.25">
      <c r="A1282" s="28">
        <f>Angela_2026_Chase1117_Activity_!B1279</f>
        <v>46036</v>
      </c>
      <c r="B1282" s="3" t="str">
        <f>Angela_2026_Chase1117_Activity_!C1279</f>
        <v>AMAZON MKTPL*JS3301T Amzn.com/bill WA        01/13</v>
      </c>
      <c r="C1282" s="3" t="str">
        <f>Angela_2026_Chase1117_Activity_!G1279</f>
        <v>Amazon</v>
      </c>
      <c r="D1282" s="4">
        <f>Angela_2026_Chase1117_Activity_!D1279</f>
        <v>-9.6</v>
      </c>
    </row>
    <row r="1283" spans="1:4" x14ac:dyDescent="0.25">
      <c r="A1283" s="28">
        <f>Angela_2026_Chase1117_Activity_!B1280</f>
        <v>46036</v>
      </c>
      <c r="B1283" s="3" t="str">
        <f>Angela_2026_Chase1117_Activity_!C1280</f>
        <v>AMAZON MKTPL*7O0FZ3V Amzn.com/bill WA        01/13</v>
      </c>
      <c r="C1283" s="3" t="str">
        <f>Angela_2026_Chase1117_Activity_!G1280</f>
        <v>Amazon</v>
      </c>
      <c r="D1283" s="4">
        <f>Angela_2026_Chase1117_Activity_!D1280</f>
        <v>-26.49</v>
      </c>
    </row>
    <row r="1284" spans="1:4" x14ac:dyDescent="0.25">
      <c r="A1284" s="28">
        <f>Angela_2026_Chase1117_Activity_!B1281</f>
        <v>46036</v>
      </c>
      <c r="B1284" s="3" t="str">
        <f>Angela_2026_Chase1117_Activity_!C1281</f>
        <v>AMAZON MKTPL*3639074 Amzn.com/bill WA        01/13</v>
      </c>
      <c r="C1284" s="3" t="str">
        <f>Angela_2026_Chase1117_Activity_!G1281</f>
        <v>Amazon</v>
      </c>
      <c r="D1284" s="4">
        <f>Angela_2026_Chase1117_Activity_!D1281</f>
        <v>-51.19</v>
      </c>
    </row>
    <row r="1285" spans="1:4" x14ac:dyDescent="0.25">
      <c r="A1285" s="28">
        <f>Angela_2026_Chase1117_Activity_!B1282</f>
        <v>46035</v>
      </c>
      <c r="B1285" s="3" t="str">
        <f>Angela_2026_Chase1117_Activity_!C1282</f>
        <v>FANDANGO    * FANDANGO.COM CA                01/13</v>
      </c>
      <c r="C1285" s="3" t="str">
        <f>Angela_2026_Chase1117_Activity_!G1282</f>
        <v>Personal - Entertainment</v>
      </c>
      <c r="D1285" s="4">
        <f>Angela_2026_Chase1117_Activity_!D1282</f>
        <v>-40.76</v>
      </c>
    </row>
    <row r="1286" spans="1:4" x14ac:dyDescent="0.25">
      <c r="A1286" s="28">
        <f>Angela_2026_Chase1117_Activity_!B1283</f>
        <v>46035</v>
      </c>
      <c r="B1286" s="3" t="str">
        <f>Angela_2026_Chase1117_Activity_!C1283</f>
        <v>Kindle Svcs*8Q8KV30Y3 888-802-3080 WA        01/12</v>
      </c>
      <c r="C1286" s="3" t="str">
        <f>Angela_2026_Chase1117_Activity_!G1283</f>
        <v>Personal - Subscription</v>
      </c>
      <c r="D1286" s="4">
        <f>Angela_2026_Chase1117_Activity_!D1283</f>
        <v>-9.99</v>
      </c>
    </row>
    <row r="1287" spans="1:4" x14ac:dyDescent="0.25">
      <c r="A1287" s="28">
        <f>Angela_2026_Chase1117_Activity_!B1284</f>
        <v>46035</v>
      </c>
      <c r="B1287" s="3" t="str">
        <f>Angela_2026_Chase1117_Activity_!C1284</f>
        <v>Amazon.com*4D1PP9CQ3 Amzn.com/bill WA        01/13</v>
      </c>
      <c r="C1287" s="3" t="str">
        <f>Angela_2026_Chase1117_Activity_!G1284</f>
        <v>Amazon</v>
      </c>
      <c r="D1287" s="4">
        <f>Angela_2026_Chase1117_Activity_!D1284</f>
        <v>-10.93</v>
      </c>
    </row>
    <row r="1288" spans="1:4" x14ac:dyDescent="0.25">
      <c r="A1288" s="28">
        <f>Angela_2026_Chase1117_Activity_!B1285</f>
        <v>46035</v>
      </c>
      <c r="B1288" s="3" t="str">
        <f>Angela_2026_Chase1117_Activity_!C1285</f>
        <v>Kindle Svcs*PG5QH9X73 888-802-3080 WA        01/12</v>
      </c>
      <c r="C1288" s="3" t="str">
        <f>Angela_2026_Chase1117_Activity_!G1285</f>
        <v>Personal - Subscription</v>
      </c>
      <c r="D1288" s="4">
        <f>Angela_2026_Chase1117_Activity_!D1285</f>
        <v>-9.99</v>
      </c>
    </row>
    <row r="1289" spans="1:4" x14ac:dyDescent="0.25">
      <c r="A1289" s="28">
        <f>Angela_2026_Chase1117_Activity_!B1286</f>
        <v>46035</v>
      </c>
      <c r="B1289" s="3" t="str">
        <f>Angela_2026_Chase1117_Activity_!C1286</f>
        <v>Kindle Svcs*RV6OP05U3 888-802-3080 WA        01/12</v>
      </c>
      <c r="C1289" s="3" t="str">
        <f>Angela_2026_Chase1117_Activity_!G1286</f>
        <v>Personal - Subscription</v>
      </c>
      <c r="D1289" s="4">
        <f>Angela_2026_Chase1117_Activity_!D1286</f>
        <v>-9.99</v>
      </c>
    </row>
    <row r="1290" spans="1:4" x14ac:dyDescent="0.25">
      <c r="A1290" s="28">
        <f>Angela_2026_Chase1117_Activity_!B1287</f>
        <v>46035</v>
      </c>
      <c r="B1290" s="3" t="str">
        <f>Angela_2026_Chase1117_Activity_!C1287</f>
        <v>Kindle Svcs*TZ85O2PP3 888-802-3080 WA        01/12</v>
      </c>
      <c r="C1290" s="3" t="str">
        <f>Angela_2026_Chase1117_Activity_!G1287</f>
        <v>Personal - Subscription</v>
      </c>
      <c r="D1290" s="4">
        <f>Angela_2026_Chase1117_Activity_!D1287</f>
        <v>-9.99</v>
      </c>
    </row>
    <row r="1291" spans="1:4" x14ac:dyDescent="0.25">
      <c r="A1291" s="28">
        <f>Angela_2026_Chase1117_Activity_!B1288</f>
        <v>46035</v>
      </c>
      <c r="B1291" s="3" t="str">
        <f>Angela_2026_Chase1117_Activity_!C1288</f>
        <v>Online Transfer from CHK ...1168 transaction#: 27686014571</v>
      </c>
      <c r="C1291" s="3" t="str">
        <f>Angela_2026_Chase1117_Activity_!G1288</f>
        <v>Transfer from DWG Capital Group</v>
      </c>
      <c r="D1291" s="4">
        <f>Angela_2026_Chase1117_Activity_!D1288</f>
        <v>5000</v>
      </c>
    </row>
    <row r="1292" spans="1:4" x14ac:dyDescent="0.25">
      <c r="A1292" s="28">
        <f>Angela_2026_Chase1117_Activity_!B1289</f>
        <v>46034</v>
      </c>
      <c r="B1292" s="3" t="str">
        <f>Angela_2026_Chase1117_Activity_!C1289</f>
        <v>NON-CHASE ATM FEE-WITH</v>
      </c>
      <c r="C1292" s="3" t="str">
        <f>Angela_2026_Chase1117_Activity_!G1289</f>
        <v>Bank Fees</v>
      </c>
      <c r="D1292" s="4">
        <f>Angela_2026_Chase1117_Activity_!D1289</f>
        <v>-3</v>
      </c>
    </row>
    <row r="1293" spans="1:4" x14ac:dyDescent="0.25">
      <c r="A1293" s="28">
        <f>Angela_2026_Chase1117_Activity_!B1290</f>
        <v>46034</v>
      </c>
      <c r="B1293" s="3" t="str">
        <f>Angela_2026_Chase1117_Activity_!C1290</f>
        <v>SP MCW CARPETBAGS MCWHANDMADE.C CA           01/12</v>
      </c>
      <c r="C1293" s="3" t="str">
        <f>Angela_2026_Chase1117_Activity_!G1290</f>
        <v>Personal - Shopping</v>
      </c>
      <c r="D1293" s="4">
        <f>Angela_2026_Chase1117_Activity_!D1290</f>
        <v>-185</v>
      </c>
    </row>
    <row r="1294" spans="1:4" x14ac:dyDescent="0.25">
      <c r="A1294" s="28">
        <f>Angela_2026_Chase1117_Activity_!B1291</f>
        <v>46034</v>
      </c>
      <c r="B1294" s="3" t="str">
        <f>Angela_2026_Chase1117_Activity_!C1291</f>
        <v>Amazon Tips*B343C1CD Amzn.com/bill WA        01/12</v>
      </c>
      <c r="C1294" s="3" t="str">
        <f>Angela_2026_Chase1117_Activity_!G1291</f>
        <v>Amazon</v>
      </c>
      <c r="D1294" s="4">
        <f>Angela_2026_Chase1117_Activity_!D1291</f>
        <v>-20</v>
      </c>
    </row>
    <row r="1295" spans="1:4" x14ac:dyDescent="0.25">
      <c r="A1295" s="28">
        <f>Angela_2026_Chase1117_Activity_!B1292</f>
        <v>46034</v>
      </c>
      <c r="B1295" s="3" t="str">
        <f>Angela_2026_Chase1117_Activity_!C1292</f>
        <v>WHOLEFDS FTW #10 3400 FORT WORTH TX  395470  01/11</v>
      </c>
      <c r="C1295" s="3" t="str">
        <f>Angela_2026_Chase1117_Activity_!G1292</f>
        <v>Personal - Food</v>
      </c>
      <c r="D1295" s="4">
        <f>Angela_2026_Chase1117_Activity_!D1292</f>
        <v>-448.8</v>
      </c>
    </row>
    <row r="1296" spans="1:4" x14ac:dyDescent="0.25">
      <c r="A1296" s="28">
        <f>Angela_2026_Chase1117_Activity_!B1293</f>
        <v>46034</v>
      </c>
      <c r="B1296" s="3" t="str">
        <f>Angela_2026_Chase1117_Activity_!C1293</f>
        <v>CENTRAL MARKET #545 FT WORTH TX      929032  01/11</v>
      </c>
      <c r="C1296" s="3" t="str">
        <f>Angela_2026_Chase1117_Activity_!G1293</f>
        <v>Personal - Food</v>
      </c>
      <c r="D1296" s="4">
        <f>Angela_2026_Chase1117_Activity_!D1293</f>
        <v>-860.95</v>
      </c>
    </row>
    <row r="1297" spans="1:4" x14ac:dyDescent="0.25">
      <c r="A1297" s="28">
        <f>Angela_2026_Chase1117_Activity_!B1294</f>
        <v>46034</v>
      </c>
      <c r="B1297" s="3" t="str">
        <f>Angela_2026_Chase1117_Activity_!C1294</f>
        <v>DFW AIRPORT PARKING DFW AIRPORT TX           01/10</v>
      </c>
      <c r="C1297" s="3" t="str">
        <f>Angela_2026_Chase1117_Activity_!G1294</f>
        <v>Personal - Car</v>
      </c>
      <c r="D1297" s="4">
        <f>Angela_2026_Chase1117_Activity_!D1294</f>
        <v>-3</v>
      </c>
    </row>
    <row r="1298" spans="1:4" x14ac:dyDescent="0.25">
      <c r="A1298" s="28">
        <f>Angela_2026_Chase1117_Activity_!B1295</f>
        <v>46034</v>
      </c>
      <c r="B1298" s="3" t="str">
        <f>Angela_2026_Chase1117_Activity_!C1295</f>
        <v>DD *DOORDASH CHIPOTLE 855-431-0459 CA        01/11</v>
      </c>
      <c r="C1298" s="3" t="str">
        <f>Angela_2026_Chase1117_Activity_!G1295</f>
        <v>Uber Eats</v>
      </c>
      <c r="D1298" s="4">
        <f>Angela_2026_Chase1117_Activity_!D1295</f>
        <v>-49.93</v>
      </c>
    </row>
    <row r="1299" spans="1:4" x14ac:dyDescent="0.25">
      <c r="A1299" s="28">
        <f>Angela_2026_Chase1117_Activity_!B1296</f>
        <v>46034</v>
      </c>
      <c r="B1299" s="3" t="str">
        <f>Angela_2026_Chase1117_Activity_!C1296</f>
        <v>AMAZON MKTPL*GH9UZ2M Amzn.com/bill WA        01/11</v>
      </c>
      <c r="C1299" s="3" t="str">
        <f>Angela_2026_Chase1117_Activity_!G1296</f>
        <v>Amazon</v>
      </c>
      <c r="D1299" s="4">
        <f>Angela_2026_Chase1117_Activity_!D1296</f>
        <v>-353.99</v>
      </c>
    </row>
    <row r="1300" spans="1:4" x14ac:dyDescent="0.25">
      <c r="A1300" s="28">
        <f>Angela_2026_Chase1117_Activity_!B1297</f>
        <v>46034</v>
      </c>
      <c r="B1300" s="3" t="str">
        <f>Angela_2026_Chase1117_Activity_!C1297</f>
        <v>LAX AIRP CROWNS LAX T- LOS ANGELES CA        01/10</v>
      </c>
      <c r="C1300" s="3" t="str">
        <f>Angela_2026_Chase1117_Activity_!G1297</f>
        <v>Personal - Food</v>
      </c>
      <c r="D1300" s="4">
        <f>Angela_2026_Chase1117_Activity_!D1297</f>
        <v>-8.58</v>
      </c>
    </row>
    <row r="1301" spans="1:4" x14ac:dyDescent="0.25">
      <c r="A1301" s="28">
        <f>Angela_2026_Chase1117_Activity_!B1298</f>
        <v>46034</v>
      </c>
      <c r="B1301" s="3" t="str">
        <f>Angela_2026_Chase1117_Activity_!C1298</f>
        <v>NON-CHASE ATM WITHDRAW               853529  01/10LAX AIRPO</v>
      </c>
      <c r="C1301" s="3" t="str">
        <f>Angela_2026_Chase1117_Activity_!G1298</f>
        <v>Withdrawal</v>
      </c>
      <c r="D1301" s="4">
        <f>Angela_2026_Chase1117_Activity_!D1298</f>
        <v>-303</v>
      </c>
    </row>
    <row r="1302" spans="1:4" x14ac:dyDescent="0.25">
      <c r="A1302" s="28">
        <f>Angela_2026_Chase1117_Activity_!B1299</f>
        <v>46034</v>
      </c>
      <c r="B1302" s="3" t="str">
        <f>Angela_2026_Chase1117_Activity_!C1299</f>
        <v>AMERICAN AI 0012600776 LOS ANGELES CA        01/10</v>
      </c>
      <c r="C1302" s="3" t="str">
        <f>Angela_2026_Chase1117_Activity_!G1299</f>
        <v>Personal Travel</v>
      </c>
      <c r="D1302" s="4">
        <f>Angela_2026_Chase1117_Activity_!D1299</f>
        <v>-100</v>
      </c>
    </row>
    <row r="1303" spans="1:4" x14ac:dyDescent="0.25">
      <c r="A1303" s="28">
        <f>Angela_2026_Chase1117_Activity_!B1300</f>
        <v>46034</v>
      </c>
      <c r="B1303" s="3" t="str">
        <f>Angela_2026_Chase1117_Activity_!C1300</f>
        <v>UBER * EATS PENDING SAN FRANCISCO CA 697440  01/09</v>
      </c>
      <c r="C1303" s="3" t="str">
        <f>Angela_2026_Chase1117_Activity_!G1300</f>
        <v>Uber Eats</v>
      </c>
      <c r="D1303" s="4">
        <f>Angela_2026_Chase1117_Activity_!D1300</f>
        <v>-47.89</v>
      </c>
    </row>
    <row r="1304" spans="1:4" x14ac:dyDescent="0.25">
      <c r="A1304" s="28">
        <f>Angela_2026_Chase1117_Activity_!B1301</f>
        <v>46034</v>
      </c>
      <c r="B1304" s="3" t="str">
        <f>Angela_2026_Chase1117_Activity_!C1301</f>
        <v>Amazon.com*TT8A747K3 Amzn.com/bill WA        01/10</v>
      </c>
      <c r="C1304" s="3" t="str">
        <f>Angela_2026_Chase1117_Activity_!G1301</f>
        <v>Amazon</v>
      </c>
      <c r="D1304" s="4">
        <f>Angela_2026_Chase1117_Activity_!D1301</f>
        <v>-13.98</v>
      </c>
    </row>
    <row r="1305" spans="1:4" x14ac:dyDescent="0.25">
      <c r="A1305" s="28">
        <f>Angela_2026_Chase1117_Activity_!B1302</f>
        <v>46034</v>
      </c>
      <c r="B1305" s="3" t="str">
        <f>Angela_2026_Chase1117_Activity_!C1302</f>
        <v>AMAZON MKTPL*6K9HV4B Amzn.com/bill WA        01/11</v>
      </c>
      <c r="C1305" s="3" t="str">
        <f>Angela_2026_Chase1117_Activity_!G1302</f>
        <v>Amazon</v>
      </c>
      <c r="D1305" s="4">
        <f>Angela_2026_Chase1117_Activity_!D1302</f>
        <v>-213</v>
      </c>
    </row>
    <row r="1306" spans="1:4" x14ac:dyDescent="0.25">
      <c r="A1306" s="28">
        <f>Angela_2026_Chase1117_Activity_!B1303</f>
        <v>46034</v>
      </c>
      <c r="B1306" s="3" t="str">
        <f>Angela_2026_Chase1117_Activity_!C1303</f>
        <v>AMAZON MKTPL*M77K51W Amzn.com/bill WA        01/11</v>
      </c>
      <c r="C1306" s="3" t="str">
        <f>Angela_2026_Chase1117_Activity_!G1303</f>
        <v>Amazon</v>
      </c>
      <c r="D1306" s="4">
        <f>Angela_2026_Chase1117_Activity_!D1303</f>
        <v>-34</v>
      </c>
    </row>
    <row r="1307" spans="1:4" x14ac:dyDescent="0.25">
      <c r="A1307" s="28">
        <f>Angela_2026_Chase1117_Activity_!B1304</f>
        <v>46034</v>
      </c>
      <c r="B1307" s="3" t="str">
        <f>Angela_2026_Chase1117_Activity_!C1304</f>
        <v>Amazon.com*KH01A8WS3 Amzn.com/bill WA        01/10</v>
      </c>
      <c r="C1307" s="3" t="str">
        <f>Angela_2026_Chase1117_Activity_!G1304</f>
        <v>Amazon</v>
      </c>
      <c r="D1307" s="4">
        <f>Angela_2026_Chase1117_Activity_!D1304</f>
        <v>-173.08</v>
      </c>
    </row>
    <row r="1308" spans="1:4" x14ac:dyDescent="0.25">
      <c r="A1308" s="28">
        <f>Angela_2026_Chase1117_Activity_!B1305</f>
        <v>46034</v>
      </c>
      <c r="B1308" s="3" t="str">
        <f>Angela_2026_Chase1117_Activity_!C1305</f>
        <v>AMAZON MKTPL*BO89V1C Amzn.com/bill WA        01/11</v>
      </c>
      <c r="C1308" s="3" t="str">
        <f>Angela_2026_Chase1117_Activity_!G1305</f>
        <v>Amazon</v>
      </c>
      <c r="D1308" s="4">
        <f>Angela_2026_Chase1117_Activity_!D1305</f>
        <v>-528.34</v>
      </c>
    </row>
    <row r="1309" spans="1:4" x14ac:dyDescent="0.25">
      <c r="A1309" s="28">
        <f>Angela_2026_Chase1117_Activity_!B1306</f>
        <v>46034</v>
      </c>
      <c r="B1309" s="3" t="str">
        <f>Angela_2026_Chase1117_Activity_!C1306</f>
        <v>APPLE.COM/BILL 866-712-7753 CA               01/10</v>
      </c>
      <c r="C1309" s="3" t="str">
        <f>Angela_2026_Chase1117_Activity_!G1306</f>
        <v>Apple</v>
      </c>
      <c r="D1309" s="4">
        <f>Angela_2026_Chase1117_Activity_!D1306</f>
        <v>-12.99</v>
      </c>
    </row>
    <row r="1310" spans="1:4" x14ac:dyDescent="0.25">
      <c r="A1310" s="28">
        <f>Angela_2026_Chase1117_Activity_!B1307</f>
        <v>46034</v>
      </c>
      <c r="B1310" s="3" t="str">
        <f>Angela_2026_Chase1117_Activity_!C1307</f>
        <v>Zara.com 212-3551415 NY                      01/12</v>
      </c>
      <c r="C1310" s="3" t="str">
        <f>Angela_2026_Chase1117_Activity_!G1307</f>
        <v>Personal - Shopping</v>
      </c>
      <c r="D1310" s="4">
        <f>Angela_2026_Chase1117_Activity_!D1307</f>
        <v>-470.96</v>
      </c>
    </row>
    <row r="1311" spans="1:4" x14ac:dyDescent="0.25">
      <c r="A1311" s="28">
        <f>Angela_2026_Chase1117_Activity_!B1308</f>
        <v>46031</v>
      </c>
      <c r="B1311" s="3" t="str">
        <f>Angela_2026_Chase1117_Activity_!C1308</f>
        <v>Prime Video *AB3ML885 888-802-3080 WA        01/09</v>
      </c>
      <c r="C1311" s="3" t="str">
        <f>Angela_2026_Chase1117_Activity_!G1308</f>
        <v>Amazon</v>
      </c>
      <c r="D1311" s="4">
        <f>Angela_2026_Chase1117_Activity_!D1308</f>
        <v>-4.99</v>
      </c>
    </row>
    <row r="1312" spans="1:4" x14ac:dyDescent="0.25">
      <c r="A1312" s="28">
        <f>Angela_2026_Chase1117_Activity_!B1309</f>
        <v>46031</v>
      </c>
      <c r="B1312" s="3" t="str">
        <f>Angela_2026_Chase1117_Activity_!C1309</f>
        <v>AMAZON MKTPL*6J95K0P Amzn.com/bill WA        01/09</v>
      </c>
      <c r="C1312" s="3" t="str">
        <f>Angela_2026_Chase1117_Activity_!G1309</f>
        <v>Amazon</v>
      </c>
      <c r="D1312" s="4">
        <f>Angela_2026_Chase1117_Activity_!D1309</f>
        <v>-20.83</v>
      </c>
    </row>
    <row r="1313" spans="1:4" x14ac:dyDescent="0.25">
      <c r="A1313" s="28">
        <f>Angela_2026_Chase1117_Activity_!B1310</f>
        <v>46031</v>
      </c>
      <c r="B1313" s="3" t="str">
        <f>Angela_2026_Chase1117_Activity_!C1310</f>
        <v>APPLE.COM/BILL 866-712-7753 CA               01/09</v>
      </c>
      <c r="C1313" s="3" t="str">
        <f>Angela_2026_Chase1117_Activity_!G1310</f>
        <v>Apple</v>
      </c>
      <c r="D1313" s="4">
        <f>Angela_2026_Chase1117_Activity_!D1310</f>
        <v>-6.99</v>
      </c>
    </row>
    <row r="1314" spans="1:4" x14ac:dyDescent="0.25">
      <c r="A1314" s="28">
        <f>Angela_2026_Chase1117_Activity_!B1311</f>
        <v>46031</v>
      </c>
      <c r="B1314" s="3" t="str">
        <f>Angela_2026_Chase1117_Activity_!C1311</f>
        <v>GRANDVIEW CLEANERS LOS ANGELES CA            01/08</v>
      </c>
      <c r="C1314" s="3" t="str">
        <f>Angela_2026_Chase1117_Activity_!G1311</f>
        <v>Personal - Clothing</v>
      </c>
      <c r="D1314" s="4">
        <f>Angela_2026_Chase1117_Activity_!D1311</f>
        <v>-316.3</v>
      </c>
    </row>
    <row r="1315" spans="1:4" x14ac:dyDescent="0.25">
      <c r="A1315" s="28">
        <f>Angela_2026_Chase1117_Activity_!B1312</f>
        <v>46030</v>
      </c>
      <c r="B1315" s="3" t="str">
        <f>Angela_2026_Chase1117_Activity_!C1312</f>
        <v>CVS/PHARMACY #09493 MAR VISTA CA     032307  01/08</v>
      </c>
      <c r="C1315" s="3" t="str">
        <f>Angela_2026_Chase1117_Activity_!G1312</f>
        <v>Personal - Health</v>
      </c>
      <c r="D1315" s="4">
        <f>Angela_2026_Chase1117_Activity_!D1312</f>
        <v>-138.32</v>
      </c>
    </row>
    <row r="1316" spans="1:4" x14ac:dyDescent="0.25">
      <c r="A1316" s="28">
        <f>Angela_2026_Chase1117_Activity_!B1313</f>
        <v>46030</v>
      </c>
      <c r="B1316" s="3" t="str">
        <f>Angela_2026_Chase1117_Activity_!C1313</f>
        <v>TM *COLD CAVE 800-653-8000 CA                01/08</v>
      </c>
      <c r="C1316" s="3" t="str">
        <f>Angela_2026_Chase1117_Activity_!G1313</f>
        <v>Personal - Entertainment</v>
      </c>
      <c r="D1316" s="4">
        <f>Angela_2026_Chase1117_Activity_!D1313</f>
        <v>-97.2</v>
      </c>
    </row>
    <row r="1317" spans="1:4" x14ac:dyDescent="0.25">
      <c r="A1317" s="28">
        <f>Angela_2026_Chase1117_Activity_!B1314</f>
        <v>46030</v>
      </c>
      <c r="B1317" s="3" t="str">
        <f>Angela_2026_Chase1117_Activity_!C1314</f>
        <v>AMERICAN AIR00144820683 FORT WORTH TX        01/08</v>
      </c>
      <c r="C1317" s="3" t="str">
        <f>Angela_2026_Chase1117_Activity_!G1314</f>
        <v>Personal Travel</v>
      </c>
      <c r="D1317" s="4">
        <f>Angela_2026_Chase1117_Activity_!D1314</f>
        <v>-35</v>
      </c>
    </row>
    <row r="1318" spans="1:4" x14ac:dyDescent="0.25">
      <c r="A1318" s="28">
        <f>Angela_2026_Chase1117_Activity_!B1315</f>
        <v>46030</v>
      </c>
      <c r="B1318" s="3" t="str">
        <f>Angela_2026_Chase1117_Activity_!C1315</f>
        <v>AMERICAN AIR00144820683 FORT WORTH TX        01/08</v>
      </c>
      <c r="C1318" s="3" t="str">
        <f>Angela_2026_Chase1117_Activity_!G1315</f>
        <v>Personal Travel</v>
      </c>
      <c r="D1318" s="4">
        <f>Angela_2026_Chase1117_Activity_!D1315</f>
        <v>-35</v>
      </c>
    </row>
    <row r="1319" spans="1:4" x14ac:dyDescent="0.25">
      <c r="A1319" s="28">
        <f>Angela_2026_Chase1117_Activity_!B1316</f>
        <v>46030</v>
      </c>
      <c r="B1319" s="3" t="str">
        <f>Angela_2026_Chase1117_Activity_!C1316</f>
        <v>AMERICAN AIR00144820684 FORT WORTH TX        01/08</v>
      </c>
      <c r="C1319" s="3" t="str">
        <f>Angela_2026_Chase1117_Activity_!G1316</f>
        <v>Personal Travel</v>
      </c>
      <c r="D1319" s="4">
        <f>Angela_2026_Chase1117_Activity_!D1316</f>
        <v>-35</v>
      </c>
    </row>
    <row r="1320" spans="1:4" x14ac:dyDescent="0.25">
      <c r="A1320" s="28">
        <f>Angela_2026_Chase1117_Activity_!B1317</f>
        <v>46030</v>
      </c>
      <c r="B1320" s="3" t="str">
        <f>Angela_2026_Chase1117_Activity_!C1317</f>
        <v>AMERICAN AIR00144820683 FORT WORTH TX        01/08</v>
      </c>
      <c r="C1320" s="3" t="str">
        <f>Angela_2026_Chase1117_Activity_!G1317</f>
        <v>Personal Travel</v>
      </c>
      <c r="D1320" s="4">
        <f>Angela_2026_Chase1117_Activity_!D1317</f>
        <v>-45</v>
      </c>
    </row>
    <row r="1321" spans="1:4" x14ac:dyDescent="0.25">
      <c r="A1321" s="28">
        <f>Angela_2026_Chase1117_Activity_!B1318</f>
        <v>46030</v>
      </c>
      <c r="B1321" s="3" t="str">
        <f>Angela_2026_Chase1117_Activity_!C1318</f>
        <v>Prime Video Channels amzn.com/bill WA        01/07</v>
      </c>
      <c r="C1321" s="3" t="str">
        <f>Angela_2026_Chase1117_Activity_!G1318</f>
        <v>Amazon</v>
      </c>
      <c r="D1321" s="4">
        <f>Angela_2026_Chase1117_Activity_!D1318</f>
        <v>-13.99</v>
      </c>
    </row>
    <row r="1322" spans="1:4" x14ac:dyDescent="0.25">
      <c r="A1322" s="28">
        <f>Angela_2026_Chase1117_Activity_!B1319</f>
        <v>46030</v>
      </c>
      <c r="B1322" s="3" t="str">
        <f>Angela_2026_Chase1117_Activity_!C1319</f>
        <v>SPO*ELCOMPADRERESTAURA LOS ANGELES CA        01/07</v>
      </c>
      <c r="C1322" s="3" t="str">
        <f>Angela_2026_Chase1117_Activity_!G1319</f>
        <v>Personal - Food</v>
      </c>
      <c r="D1322" s="4">
        <f>Angela_2026_Chase1117_Activity_!D1319</f>
        <v>-126.89</v>
      </c>
    </row>
    <row r="1323" spans="1:4" x14ac:dyDescent="0.25">
      <c r="A1323" s="28">
        <f>Angela_2026_Chase1117_Activity_!B1320</f>
        <v>46030</v>
      </c>
      <c r="B1323" s="3" t="str">
        <f>Angela_2026_Chase1117_Activity_!C1320</f>
        <v>Online Transfer from CHK ...1168 transaction#: 27630247476</v>
      </c>
      <c r="C1323" s="3" t="str">
        <f>Angela_2026_Chase1117_Activity_!G1320</f>
        <v>Transfer from DWG Capital Group</v>
      </c>
      <c r="D1323" s="4">
        <f>Angela_2026_Chase1117_Activity_!D1320</f>
        <v>2000</v>
      </c>
    </row>
    <row r="1324" spans="1:4" x14ac:dyDescent="0.25">
      <c r="A1324" s="28">
        <f>Angela_2026_Chase1117_Activity_!B1321</f>
        <v>46029</v>
      </c>
      <c r="B1324" s="3" t="str">
        <f>Angela_2026_Chase1117_Activity_!C1321</f>
        <v>Amazon Tips*GW4700WW Amzn.com/bill WA        01/07</v>
      </c>
      <c r="C1324" s="3" t="str">
        <f>Angela_2026_Chase1117_Activity_!G1321</f>
        <v>Amazon</v>
      </c>
      <c r="D1324" s="4">
        <f>Angela_2026_Chase1117_Activity_!D1321</f>
        <v>-20</v>
      </c>
    </row>
    <row r="1325" spans="1:4" x14ac:dyDescent="0.25">
      <c r="A1325" s="28">
        <f>Angela_2026_Chase1117_Activity_!B1322</f>
        <v>46029</v>
      </c>
      <c r="B1325" s="3" t="str">
        <f>Angela_2026_Chase1117_Activity_!C1322</f>
        <v>SP RAJANIMD STORE.RAJANIM OR                 01/07</v>
      </c>
      <c r="C1325" s="3" t="str">
        <f>Angela_2026_Chase1117_Activity_!G1322</f>
        <v>Personal - Health</v>
      </c>
      <c r="D1325" s="4">
        <f>Angela_2026_Chase1117_Activity_!D1322</f>
        <v>-192.24</v>
      </c>
    </row>
    <row r="1326" spans="1:4" x14ac:dyDescent="0.25">
      <c r="A1326" s="28">
        <f>Angela_2026_Chase1117_Activity_!B1323</f>
        <v>46029</v>
      </c>
      <c r="B1326" s="3" t="str">
        <f>Angela_2026_Chase1117_Activity_!C1323</f>
        <v>AMAZON MKTPL*VD93Y89 Amzn.com/bill WA        01/06</v>
      </c>
      <c r="C1326" s="3" t="str">
        <f>Angela_2026_Chase1117_Activity_!G1323</f>
        <v>Amazon</v>
      </c>
      <c r="D1326" s="4">
        <f>Angela_2026_Chase1117_Activity_!D1323</f>
        <v>-39.07</v>
      </c>
    </row>
    <row r="1327" spans="1:4" x14ac:dyDescent="0.25">
      <c r="A1327" s="28">
        <f>Angela_2026_Chase1117_Activity_!B1324</f>
        <v>46028</v>
      </c>
      <c r="B1327" s="3" t="str">
        <f>Angela_2026_Chase1117_Activity_!C1324</f>
        <v>GOOGLE *YouTubePremi g.co/helppay# CA        01/06</v>
      </c>
      <c r="C1327" s="3" t="str">
        <f>Angela_2026_Chase1117_Activity_!G1324</f>
        <v>YouTube Premium</v>
      </c>
      <c r="D1327" s="4">
        <f>Angela_2026_Chase1117_Activity_!D1324</f>
        <v>-13.99</v>
      </c>
    </row>
    <row r="1328" spans="1:4" x14ac:dyDescent="0.25">
      <c r="A1328" s="28">
        <f>Angela_2026_Chase1117_Activity_!B1325</f>
        <v>46028</v>
      </c>
      <c r="B1328" s="3" t="str">
        <f>Angela_2026_Chase1117_Activity_!C1325</f>
        <v>Amazon.com*YZ19E0833 Amzn.com/bill WA        01/06</v>
      </c>
      <c r="C1328" s="3" t="str">
        <f>Angela_2026_Chase1117_Activity_!G1325</f>
        <v>Amazon</v>
      </c>
      <c r="D1328" s="4">
        <f>Angela_2026_Chase1117_Activity_!D1325</f>
        <v>-94.97</v>
      </c>
    </row>
    <row r="1329" spans="1:4" x14ac:dyDescent="0.25">
      <c r="A1329" s="28">
        <f>Angela_2026_Chase1117_Activity_!B1326</f>
        <v>46028</v>
      </c>
      <c r="B1329" s="3" t="str">
        <f>Angela_2026_Chase1117_Activity_!C1326</f>
        <v>1720 800-514-3849 NC                         01/05</v>
      </c>
      <c r="C1329" s="3" t="str">
        <f>Angela_2026_Chase1117_Activity_!G1326</f>
        <v>Personal - Entertainment</v>
      </c>
      <c r="D1329" s="4">
        <f>Angela_2026_Chase1117_Activity_!D1326</f>
        <v>-254.55</v>
      </c>
    </row>
    <row r="1330" spans="1:4" x14ac:dyDescent="0.25">
      <c r="A1330" s="28">
        <f>Angela_2026_Chase1117_Activity_!B1327</f>
        <v>46028</v>
      </c>
      <c r="B1330" s="3" t="str">
        <f>Angela_2026_Chase1117_Activity_!C1327</f>
        <v>PSYCHOLOGY TODAY PSYCHOLOGYTOD SD            01/06</v>
      </c>
      <c r="C1330" s="3" t="str">
        <f>Angela_2026_Chase1117_Activity_!G1327</f>
        <v>Personal - Subscription</v>
      </c>
      <c r="D1330" s="4">
        <f>Angela_2026_Chase1117_Activity_!D1327</f>
        <v>-29.95</v>
      </c>
    </row>
    <row r="1331" spans="1:4" x14ac:dyDescent="0.25">
      <c r="A1331" s="28">
        <f>Angela_2026_Chase1117_Activity_!B1328</f>
        <v>46028</v>
      </c>
      <c r="B1331" s="3" t="str">
        <f>Angela_2026_Chase1117_Activity_!C1328</f>
        <v>ELEVENLABS.IO ELEVENLABS.IO NY               01/06</v>
      </c>
      <c r="C1331" s="3" t="str">
        <f>Angela_2026_Chase1117_Activity_!G1328</f>
        <v>Personal - Subscription</v>
      </c>
      <c r="D1331" s="4">
        <f>Angela_2026_Chase1117_Activity_!D1328</f>
        <v>-22</v>
      </c>
    </row>
    <row r="1332" spans="1:4" x14ac:dyDescent="0.25">
      <c r="A1332" s="28">
        <f>Angela_2026_Chase1117_Activity_!B1329</f>
        <v>46027</v>
      </c>
      <c r="B1332" s="3" t="str">
        <f>Angela_2026_Chase1117_Activity_!C1329</f>
        <v>AMAZON MKTPL*WX37O7W Amzn.com/bill WA        01/05</v>
      </c>
      <c r="C1332" s="3" t="str">
        <f>Angela_2026_Chase1117_Activity_!G1329</f>
        <v>Amazon</v>
      </c>
      <c r="D1332" s="4">
        <f>Angela_2026_Chase1117_Activity_!D1329</f>
        <v>-8.77</v>
      </c>
    </row>
    <row r="1333" spans="1:4" x14ac:dyDescent="0.25">
      <c r="A1333" s="28">
        <f>Angela_2026_Chase1117_Activity_!B1330</f>
        <v>46027</v>
      </c>
      <c r="B1333" s="3" t="str">
        <f>Angela_2026_Chase1117_Activity_!C1330</f>
        <v>Amazon.com*IB7EV4X63 Amzn.com/bill WA        01/05</v>
      </c>
      <c r="C1333" s="3" t="str">
        <f>Angela_2026_Chase1117_Activity_!G1330</f>
        <v>Amazon</v>
      </c>
      <c r="D1333" s="4">
        <f>Angela_2026_Chase1117_Activity_!D1330</f>
        <v>-13.16</v>
      </c>
    </row>
    <row r="1334" spans="1:4" x14ac:dyDescent="0.25">
      <c r="A1334" s="28">
        <f>Angela_2026_Chase1117_Activity_!B1331</f>
        <v>46027</v>
      </c>
      <c r="B1334" s="3" t="str">
        <f>Angela_2026_Chase1117_Activity_!C1331</f>
        <v>CVS/PHARMACY #09 09493 MAR VISTA CA  117060  01/04</v>
      </c>
      <c r="C1334" s="3" t="str">
        <f>Angela_2026_Chase1117_Activity_!G1331</f>
        <v>Personal - Health</v>
      </c>
      <c r="D1334" s="4">
        <f>Angela_2026_Chase1117_Activity_!D1331</f>
        <v>-232.63</v>
      </c>
    </row>
    <row r="1335" spans="1:4" x14ac:dyDescent="0.25">
      <c r="A1335" s="28">
        <f>Angela_2026_Chase1117_Activity_!B1332</f>
        <v>46027</v>
      </c>
      <c r="B1335" s="3" t="str">
        <f>Angela_2026_Chase1117_Activity_!C1332</f>
        <v>Online Transfer to CHK ...6975 transaction#: 27584626839 01/05</v>
      </c>
      <c r="C1335" s="3" t="str">
        <f>Angela_2026_Chase1117_Activity_!G1332</f>
        <v>Transfer to Ava</v>
      </c>
      <c r="D1335" s="4">
        <f>Angela_2026_Chase1117_Activity_!D1332</f>
        <v>-500</v>
      </c>
    </row>
    <row r="1336" spans="1:4" x14ac:dyDescent="0.25">
      <c r="A1336" s="28">
        <f>Angela_2026_Chase1117_Activity_!B1333</f>
        <v>46027</v>
      </c>
      <c r="B1336" s="3" t="str">
        <f>Angela_2026_Chase1117_Activity_!C1333</f>
        <v>AMAZON MKTPL*HF88P3T Amzn.com/bill WA        01/04</v>
      </c>
      <c r="C1336" s="3" t="str">
        <f>Angela_2026_Chase1117_Activity_!G1333</f>
        <v>Amazon</v>
      </c>
      <c r="D1336" s="4">
        <f>Angela_2026_Chase1117_Activity_!D1333</f>
        <v>-92.73</v>
      </c>
    </row>
    <row r="1337" spans="1:4" x14ac:dyDescent="0.25">
      <c r="A1337" s="28">
        <f>Angela_2026_Chase1117_Activity_!B1334</f>
        <v>46027</v>
      </c>
      <c r="B1337" s="3" t="str">
        <f>Angela_2026_Chase1117_Activity_!C1334</f>
        <v>AMAZON MKTPL*YB0LF8A Amzn.com/bill WA        01/03</v>
      </c>
      <c r="C1337" s="3" t="str">
        <f>Angela_2026_Chase1117_Activity_!G1334</f>
        <v>Amazon</v>
      </c>
      <c r="D1337" s="4">
        <f>Angela_2026_Chase1117_Activity_!D1334</f>
        <v>-274.38</v>
      </c>
    </row>
    <row r="1338" spans="1:4" x14ac:dyDescent="0.25">
      <c r="A1338" s="28">
        <f>Angela_2026_Chase1117_Activity_!B1335</f>
        <v>46027</v>
      </c>
      <c r="B1338" s="3" t="str">
        <f>Angela_2026_Chase1117_Activity_!C1335</f>
        <v>Amazon.com*JO91W0MC3 Amzn.com/bill WA        01/03</v>
      </c>
      <c r="C1338" s="3" t="str">
        <f>Angela_2026_Chase1117_Activity_!G1335</f>
        <v>Amazon</v>
      </c>
      <c r="D1338" s="4">
        <f>Angela_2026_Chase1117_Activity_!D1335</f>
        <v>-25.23</v>
      </c>
    </row>
    <row r="1339" spans="1:4" x14ac:dyDescent="0.25">
      <c r="A1339" s="28">
        <f>Angela_2026_Chase1117_Activity_!B1336</f>
        <v>46027</v>
      </c>
      <c r="B1339" s="3" t="str">
        <f>Angela_2026_Chase1117_Activity_!C1336</f>
        <v>Amazon Tips*2M7ET7VI Amzn.com/bill WA        01/03</v>
      </c>
      <c r="C1339" s="3" t="str">
        <f>Angela_2026_Chase1117_Activity_!G1336</f>
        <v>Amazon</v>
      </c>
      <c r="D1339" s="4">
        <f>Angela_2026_Chase1117_Activity_!D1336</f>
        <v>-20</v>
      </c>
    </row>
    <row r="1340" spans="1:4" x14ac:dyDescent="0.25">
      <c r="A1340" s="28">
        <f>Angela_2026_Chase1117_Activity_!B1337</f>
        <v>46027</v>
      </c>
      <c r="B1340" s="3" t="str">
        <f>Angela_2026_Chase1117_Activity_!C1337</f>
        <v>UBER   * PENDING SAN FRANCISCO CA    133267  01/02</v>
      </c>
      <c r="C1340" s="3" t="str">
        <f>Angela_2026_Chase1117_Activity_!G1337</f>
        <v>Personal - Uber</v>
      </c>
      <c r="D1340" s="4">
        <f>Angela_2026_Chase1117_Activity_!D1337</f>
        <v>-47.76</v>
      </c>
    </row>
    <row r="1341" spans="1:4" x14ac:dyDescent="0.25">
      <c r="A1341" s="28">
        <f>Angela_2026_Chase1117_Activity_!B1338</f>
        <v>46027</v>
      </c>
      <c r="B1341" s="3" t="str">
        <f>Angela_2026_Chase1117_Activity_!C1338</f>
        <v>AMAZON MKTPL*HF22V5M Amzn.com/bill WA        01/03</v>
      </c>
      <c r="C1341" s="3" t="str">
        <f>Angela_2026_Chase1117_Activity_!G1338</f>
        <v>Amazon</v>
      </c>
      <c r="D1341" s="4">
        <f>Angela_2026_Chase1117_Activity_!D1338</f>
        <v>-13.14</v>
      </c>
    </row>
    <row r="1342" spans="1:4" x14ac:dyDescent="0.25">
      <c r="A1342" s="28">
        <f>Angela_2026_Chase1117_Activity_!B1339</f>
        <v>46027</v>
      </c>
      <c r="B1342" s="3" t="str">
        <f>Angela_2026_Chase1117_Activity_!C1339</f>
        <v>AMC 9640 ONLINE 888-440-4262 KS              01/03</v>
      </c>
      <c r="C1342" s="3" t="str">
        <f>Angela_2026_Chase1117_Activity_!G1339</f>
        <v>Personal - Entertainment</v>
      </c>
      <c r="D1342" s="4">
        <f>Angela_2026_Chase1117_Activity_!D1339</f>
        <v>-102.72</v>
      </c>
    </row>
    <row r="1343" spans="1:4" x14ac:dyDescent="0.25">
      <c r="A1343" s="28">
        <f>Angela_2026_Chase1117_Activity_!B1340</f>
        <v>46027</v>
      </c>
      <c r="B1343" s="3" t="str">
        <f>Angela_2026_Chase1117_Activity_!C1340</f>
        <v>GRANDVIEW CLEANERS LOS ANGELES CA            01/02</v>
      </c>
      <c r="C1343" s="3" t="str">
        <f>Angela_2026_Chase1117_Activity_!G1340</f>
        <v>Personal - Clothing</v>
      </c>
      <c r="D1343" s="4">
        <f>Angela_2026_Chase1117_Activity_!D1340</f>
        <v>-160</v>
      </c>
    </row>
    <row r="1344" spans="1:4" x14ac:dyDescent="0.25">
      <c r="A1344" s="28">
        <f>Angela_2026_Chase1117_Activity_!B1341</f>
        <v>46027</v>
      </c>
      <c r="B1344" s="3" t="str">
        <f>Angela_2026_Chase1117_Activity_!C1341</f>
        <v>Amazon Tips*MM03F8HG Amzn.com/bill WA        01/02</v>
      </c>
      <c r="C1344" s="3" t="str">
        <f>Angela_2026_Chase1117_Activity_!G1341</f>
        <v>Amazon</v>
      </c>
      <c r="D1344" s="4">
        <f>Angela_2026_Chase1117_Activity_!D1341</f>
        <v>-20</v>
      </c>
    </row>
    <row r="1345" spans="1:4" x14ac:dyDescent="0.25">
      <c r="A1345" s="28">
        <f>Angela_2026_Chase1117_Activity_!B1342</f>
        <v>46027</v>
      </c>
      <c r="B1345" s="3" t="str">
        <f>Angela_2026_Chase1117_Activity_!C1342</f>
        <v>NINOS CORNER 276-9001793 DE                  01/02</v>
      </c>
      <c r="C1345" s="3" t="str">
        <f>Angela_2026_Chase1117_Activity_!G1342</f>
        <v>Personal - Shopping</v>
      </c>
      <c r="D1345" s="4">
        <f>Angela_2026_Chase1117_Activity_!D1342</f>
        <v>-49.99</v>
      </c>
    </row>
    <row r="1346" spans="1:4" x14ac:dyDescent="0.25">
      <c r="A1346" s="28">
        <f>Angela_2026_Chase1117_Activity_!B1343</f>
        <v>46027</v>
      </c>
      <c r="B1346" s="3" t="str">
        <f>Angela_2026_Chase1117_Activity_!C1343</f>
        <v>APPLE.COM/BILL 866-712-7753 CA               01/02</v>
      </c>
      <c r="C1346" s="3" t="str">
        <f>Angela_2026_Chase1117_Activity_!G1343</f>
        <v>Apple</v>
      </c>
      <c r="D1346" s="4">
        <f>Angela_2026_Chase1117_Activity_!D1343</f>
        <v>-3.99</v>
      </c>
    </row>
    <row r="1347" spans="1:4" x14ac:dyDescent="0.25">
      <c r="A1347" s="28">
        <f>Angela_2026_Chase1117_Activity_!B1344</f>
        <v>46027</v>
      </c>
      <c r="B1347" s="3" t="str">
        <f>Angela_2026_Chase1117_Activity_!C1344</f>
        <v>AMAZON MKTPL*O81029Z Amzn.com/bill WA        01/03</v>
      </c>
      <c r="C1347" s="3" t="str">
        <f>Angela_2026_Chase1117_Activity_!G1344</f>
        <v>Amazon</v>
      </c>
      <c r="D1347" s="4">
        <f>Angela_2026_Chase1117_Activity_!D1344</f>
        <v>-125.77</v>
      </c>
    </row>
    <row r="1348" spans="1:4" x14ac:dyDescent="0.25">
      <c r="A1348" s="28">
        <f>Angela_2026_Chase1117_Activity_!B1345</f>
        <v>46027</v>
      </c>
      <c r="B1348" s="3" t="str">
        <f>Angela_2026_Chase1117_Activity_!C1345</f>
        <v>AMAZON MKTPL*PI3XK3F Amzn.com/bill WA        01/03</v>
      </c>
      <c r="C1348" s="3" t="str">
        <f>Angela_2026_Chase1117_Activity_!G1345</f>
        <v>Amazon</v>
      </c>
      <c r="D1348" s="4">
        <f>Angela_2026_Chase1117_Activity_!D1345</f>
        <v>-49.36</v>
      </c>
    </row>
    <row r="1349" spans="1:4" x14ac:dyDescent="0.25">
      <c r="A1349" s="28">
        <f>Angela_2026_Chase1117_Activity_!B1346</f>
        <v>46027</v>
      </c>
      <c r="B1349" s="3" t="str">
        <f>Angela_2026_Chase1117_Activity_!C1346</f>
        <v>APPLE CASH SENT MONE 1INFINITELOOP CA        01/02</v>
      </c>
      <c r="C1349" s="3" t="str">
        <f>Angela_2026_Chase1117_Activity_!G1346</f>
        <v>Apple</v>
      </c>
      <c r="D1349" s="4">
        <f>Angela_2026_Chase1117_Activity_!D1346</f>
        <v>-222</v>
      </c>
    </row>
    <row r="1350" spans="1:4" x14ac:dyDescent="0.25">
      <c r="A1350" s="28">
        <f>Angela_2026_Chase1117_Activity_!B1347</f>
        <v>46027</v>
      </c>
      <c r="B1350" s="3" t="str">
        <f>Angela_2026_Chase1117_Activity_!C1347</f>
        <v>Online Transfer from CHK ...1168 transaction#: 27584627654</v>
      </c>
      <c r="C1350" s="3" t="str">
        <f>Angela_2026_Chase1117_Activity_!G1347</f>
        <v>Transfer from DWG Capital Group</v>
      </c>
      <c r="D1350" s="4">
        <f>Angela_2026_Chase1117_Activity_!D1347</f>
        <v>1000</v>
      </c>
    </row>
    <row r="1351" spans="1:4" x14ac:dyDescent="0.25">
      <c r="A1351" s="28">
        <f>Angela_2026_Chase1117_Activity_!B1348</f>
        <v>46024</v>
      </c>
      <c r="B1351" s="3" t="str">
        <f>Angela_2026_Chase1117_Activity_!C1348</f>
        <v>FOREIGN EXCHANGE RATE ADJUSTMENT FEE         12/31SQ *ETERN</v>
      </c>
      <c r="C1351" s="3" t="str">
        <f>Angela_2026_Chase1117_Activity_!G1348</f>
        <v>Personal Travel - Portugal</v>
      </c>
      <c r="D1351" s="4">
        <f>Angela_2026_Chase1117_Activity_!D1348</f>
        <v>-0.41</v>
      </c>
    </row>
    <row r="1352" spans="1:4" x14ac:dyDescent="0.25">
      <c r="A1352" s="28">
        <f>Angela_2026_Chase1117_Activity_!B1349</f>
        <v>46024</v>
      </c>
      <c r="B1352" s="3" t="str">
        <f>Angela_2026_Chase1117_Activity_!C1349</f>
        <v>FOREIGN EXCHANGE RATE ADJUSTMENT FEE         12/30SAVE ON F</v>
      </c>
      <c r="C1352" s="3" t="str">
        <f>Angela_2026_Chase1117_Activity_!G1349</f>
        <v>Personal Travel - Portugal</v>
      </c>
      <c r="D1352" s="4">
        <f>Angela_2026_Chase1117_Activity_!D1349</f>
        <v>-1.9</v>
      </c>
    </row>
    <row r="1353" spans="1:4" x14ac:dyDescent="0.25">
      <c r="A1353" s="28">
        <f>Angela_2026_Chase1117_Activity_!B1350</f>
        <v>46024</v>
      </c>
      <c r="B1353" s="3" t="str">
        <f>Angela_2026_Chase1117_Activity_!C1350</f>
        <v>UBER   *TRIP HELP.UB SAN FRANCISCO CA075263  01/02</v>
      </c>
      <c r="C1353" s="3" t="str">
        <f>Angela_2026_Chase1117_Activity_!G1350</f>
        <v>Personal - Uber</v>
      </c>
      <c r="D1353" s="4">
        <f>Angela_2026_Chase1117_Activity_!D1350</f>
        <v>-75.31</v>
      </c>
    </row>
    <row r="1354" spans="1:4" x14ac:dyDescent="0.25">
      <c r="A1354" s="28">
        <f>Angela_2026_Chase1117_Activity_!B1351</f>
        <v>46024</v>
      </c>
      <c r="B1354" s="3" t="str">
        <f>Angela_2026_Chase1117_Activity_!C1351</f>
        <v>AMAZON MKTPL*DY8B70B Amzn.com/bill WA        01/02</v>
      </c>
      <c r="C1354" s="3" t="str">
        <f>Angela_2026_Chase1117_Activity_!G1351</f>
        <v>Amazon</v>
      </c>
      <c r="D1354" s="4">
        <f>Angela_2026_Chase1117_Activity_!D1351</f>
        <v>-42.8</v>
      </c>
    </row>
    <row r="1355" spans="1:4" x14ac:dyDescent="0.25">
      <c r="A1355" s="28">
        <f>Angela_2026_Chase1117_Activity_!B1352</f>
        <v>46024</v>
      </c>
      <c r="B1355" s="3" t="str">
        <f>Angela_2026_Chase1117_Activity_!C1352</f>
        <v>Amazon.com*WX8PY9R13 Amzn.com/bill WA        01/02</v>
      </c>
      <c r="C1355" s="3" t="str">
        <f>Angela_2026_Chase1117_Activity_!G1352</f>
        <v>Amazon</v>
      </c>
      <c r="D1355" s="4">
        <f>Angela_2026_Chase1117_Activity_!D1352</f>
        <v>-47.19</v>
      </c>
    </row>
    <row r="1356" spans="1:4" x14ac:dyDescent="0.25">
      <c r="A1356" s="28">
        <f>Angela_2026_Chase1117_Activity_!B1353</f>
        <v>46024</v>
      </c>
      <c r="B1356" s="3" t="str">
        <f>Angela_2026_Chase1117_Activity_!C1353</f>
        <v>AMAZON MKTPL*DO1XW6H Amzn.com/bill WA        01/02</v>
      </c>
      <c r="C1356" s="3" t="str">
        <f>Angela_2026_Chase1117_Activity_!G1353</f>
        <v>Amazon</v>
      </c>
      <c r="D1356" s="4">
        <f>Angela_2026_Chase1117_Activity_!D1353</f>
        <v>-28.28</v>
      </c>
    </row>
    <row r="1357" spans="1:4" x14ac:dyDescent="0.25">
      <c r="A1357" s="28">
        <f>Angela_2026_Chase1117_Activity_!B1354</f>
        <v>46024</v>
      </c>
      <c r="B1357" s="3" t="str">
        <f>Angela_2026_Chase1117_Activity_!C1354</f>
        <v>Amazon.com*QF2KB3MH3 Amzn.com/bill WA        01/02</v>
      </c>
      <c r="C1357" s="3" t="str">
        <f>Angela_2026_Chase1117_Activity_!G1354</f>
        <v>Amazon</v>
      </c>
      <c r="D1357" s="4">
        <f>Angela_2026_Chase1117_Activity_!D1354</f>
        <v>-17.96</v>
      </c>
    </row>
    <row r="1358" spans="1:4" x14ac:dyDescent="0.25">
      <c r="A1358" s="28">
        <f>Angela_2026_Chase1117_Activity_!B1355</f>
        <v>46024</v>
      </c>
      <c r="B1358" s="3" t="str">
        <f>Angela_2026_Chase1117_Activity_!C1355</f>
        <v>Amazon.com*OP6OW0ZQ3 Amzn.com/bill WA        01/02</v>
      </c>
      <c r="C1358" s="3" t="str">
        <f>Angela_2026_Chase1117_Activity_!G1355</f>
        <v>Amazon</v>
      </c>
      <c r="D1358" s="4">
        <f>Angela_2026_Chase1117_Activity_!D1355</f>
        <v>-4.99</v>
      </c>
    </row>
    <row r="1359" spans="1:4" x14ac:dyDescent="0.25">
      <c r="A1359" s="28">
        <f>Angela_2026_Chase1117_Activity_!B1356</f>
        <v>46024</v>
      </c>
      <c r="B1359" s="3" t="str">
        <f>Angela_2026_Chase1117_Activity_!C1356</f>
        <v>Amazon.com*U09J31VW3 Amzn.com/bill WA        01/02</v>
      </c>
      <c r="C1359" s="3" t="str">
        <f>Angela_2026_Chase1117_Activity_!G1356</f>
        <v>Amazon</v>
      </c>
      <c r="D1359" s="4">
        <f>Angela_2026_Chase1117_Activity_!D1356</f>
        <v>-132.28</v>
      </c>
    </row>
    <row r="1360" spans="1:4" x14ac:dyDescent="0.25">
      <c r="A1360" s="28">
        <f>Angela_2026_Chase1117_Activity_!B1357</f>
        <v>46024</v>
      </c>
      <c r="B1360" s="3" t="str">
        <f>Angela_2026_Chase1117_Activity_!C1357</f>
        <v>SP PHOTOSFORHEADSTON PHOTOSFORHEAD TX        01/02</v>
      </c>
      <c r="C1360" s="3" t="str">
        <f>Angela_2026_Chase1117_Activity_!G1357</f>
        <v>Personal - Shopping</v>
      </c>
      <c r="D1360" s="4">
        <f>Angela_2026_Chase1117_Activity_!D1357</f>
        <v>-170.49</v>
      </c>
    </row>
    <row r="1361" spans="1:4" x14ac:dyDescent="0.25">
      <c r="A1361" s="28">
        <f>Angela_2026_Chase1117_Activity_!B1358</f>
        <v>46024</v>
      </c>
      <c r="B1361" s="3" t="str">
        <f>Angela_2026_Chase1117_Activity_!C1358</f>
        <v>SP AURO WELLNESS AUROWELLNESS. CA            01/01</v>
      </c>
      <c r="C1361" s="3" t="str">
        <f>Angela_2026_Chase1117_Activity_!G1358</f>
        <v>Personal - Health</v>
      </c>
      <c r="D1361" s="4">
        <f>Angela_2026_Chase1117_Activity_!D1358</f>
        <v>-1028.18</v>
      </c>
    </row>
    <row r="1362" spans="1:4" x14ac:dyDescent="0.25">
      <c r="A1362" s="28">
        <f>Angela_2026_Chase1117_Activity_!B1359</f>
        <v>46024</v>
      </c>
      <c r="B1362" s="3" t="str">
        <f>Angela_2026_Chase1117_Activity_!C1359</f>
        <v>AMAZON MKTPL*8035L60 Amzn.com/bill WA        01/01</v>
      </c>
      <c r="C1362" s="3" t="str">
        <f>Angela_2026_Chase1117_Activity_!G1359</f>
        <v>Amazon</v>
      </c>
      <c r="D1362" s="4">
        <f>Angela_2026_Chase1117_Activity_!D1359</f>
        <v>-76.63</v>
      </c>
    </row>
    <row r="1363" spans="1:4" x14ac:dyDescent="0.25">
      <c r="A1363" s="28">
        <f>Angela_2026_Chase1117_Activity_!B1360</f>
        <v>46024</v>
      </c>
      <c r="B1363" s="3" t="str">
        <f>Angela_2026_Chase1117_Activity_!C1360</f>
        <v>Amazon.com*6U1Y70T83 Amzn.com/bill WA        01/01</v>
      </c>
      <c r="C1363" s="3" t="str">
        <f>Angela_2026_Chase1117_Activity_!G1360</f>
        <v>Amazon</v>
      </c>
      <c r="D1363" s="4">
        <f>Angela_2026_Chase1117_Activity_!D1360</f>
        <v>-92.08</v>
      </c>
    </row>
    <row r="1364" spans="1:4" x14ac:dyDescent="0.25">
      <c r="A1364" s="28">
        <f>Angela_2026_Chase1117_Activity_!B1361</f>
        <v>46024</v>
      </c>
      <c r="B1364" s="3" t="str">
        <f>Angela_2026_Chase1117_Activity_!C1361</f>
        <v>UBER   *EATS HELP.UB SAN FRANCISCO CA086119  12/31</v>
      </c>
      <c r="C1364" s="3" t="str">
        <f>Angela_2026_Chase1117_Activity_!G1361</f>
        <v>Uber Eats</v>
      </c>
      <c r="D1364" s="4">
        <f>Angela_2026_Chase1117_Activity_!D1361</f>
        <v>-20</v>
      </c>
    </row>
    <row r="1365" spans="1:4" x14ac:dyDescent="0.25">
      <c r="A1365" s="28">
        <f>Angela_2026_Chase1117_Activity_!B1362</f>
        <v>46024</v>
      </c>
      <c r="B1365" s="3" t="str">
        <f>Angela_2026_Chase1117_Activity_!C1362</f>
        <v>UBER   * EATS PENDIN SAN FRANCISCO CA077842  12/31</v>
      </c>
      <c r="C1365" s="3" t="str">
        <f>Angela_2026_Chase1117_Activity_!G1362</f>
        <v>Uber Eats</v>
      </c>
      <c r="D1365" s="4">
        <f>Angela_2026_Chase1117_Activity_!D1362</f>
        <v>-82.3</v>
      </c>
    </row>
    <row r="1366" spans="1:4" x14ac:dyDescent="0.25">
      <c r="A1366" s="28">
        <f>Angela_2026_Chase1117_Activity_!B1363</f>
        <v>46024</v>
      </c>
      <c r="B1366" s="3" t="str">
        <f>Angela_2026_Chase1117_Activity_!C1363</f>
        <v>SQ *ETERNAL ABUNDANCE VANCOUVER BC           12/31 CA DOLLAR  19.06 X 0.7308499 (EXCHG RTE)</v>
      </c>
      <c r="C1366" s="3" t="str">
        <f>Angela_2026_Chase1117_Activity_!G1363</f>
        <v>Personal Travel</v>
      </c>
      <c r="D1366" s="4">
        <f>Angela_2026_Chase1117_Activity_!D1363</f>
        <v>-13.93</v>
      </c>
    </row>
    <row r="1367" spans="1:4" x14ac:dyDescent="0.25">
      <c r="A1367" s="28">
        <f>Angela_2026_Chase1117_Activity_!B1364</f>
        <v>46024</v>
      </c>
      <c r="B1367" s="3" t="str">
        <f>Angela_2026_Chase1117_Activity_!C1364</f>
        <v>Amazon.com*4H6HC00K3 Amzn.com/bill WA        01/01</v>
      </c>
      <c r="C1367" s="3" t="str">
        <f>Angela_2026_Chase1117_Activity_!G1364</f>
        <v>Amazon</v>
      </c>
      <c r="D1367" s="4">
        <f>Angela_2026_Chase1117_Activity_!D1364</f>
        <v>-164.61</v>
      </c>
    </row>
    <row r="1368" spans="1:4" x14ac:dyDescent="0.25">
      <c r="A1368" s="28">
        <f>Angela_2026_Chase1117_Activity_!B1365</f>
        <v>46024</v>
      </c>
      <c r="B1368" s="3" t="str">
        <f>Angela_2026_Chase1117_Activity_!C1365</f>
        <v>Zara.com 212-3551415 NY                      12/31</v>
      </c>
      <c r="C1368" s="3" t="str">
        <f>Angela_2026_Chase1117_Activity_!G1365</f>
        <v>Personal - Shopping</v>
      </c>
      <c r="D1368" s="4">
        <f>Angela_2026_Chase1117_Activity_!D1365</f>
        <v>-244.28</v>
      </c>
    </row>
    <row r="1369" spans="1:4" x14ac:dyDescent="0.25">
      <c r="A1369" s="28">
        <f>Angela_2026_Chase1117_Activity_!B1366</f>
        <v>46024</v>
      </c>
      <c r="B1369" s="3" t="str">
        <f>Angela_2026_Chase1117_Activity_!C1366</f>
        <v>SAVE ON FOODS #999 NORTH VANCOUV BC          12/30 CA DOLLAR  86.76 X 0.7312125 (EXCHG RTE)</v>
      </c>
      <c r="C1369" s="3" t="str">
        <f>Angela_2026_Chase1117_Activity_!G1366</f>
        <v>Personal Travel</v>
      </c>
      <c r="D1369" s="4">
        <f>Angela_2026_Chase1117_Activity_!D1366</f>
        <v>-63.44</v>
      </c>
    </row>
    <row r="1370" spans="1:4" x14ac:dyDescent="0.25">
      <c r="A1370" s="28">
        <f>Angela_2026_Chase1117_Activity_!B1367</f>
        <v>46024</v>
      </c>
      <c r="B1370" s="3" t="str">
        <f>Angela_2026_Chase1117_Activity_!C1367</f>
        <v>AMAZON MKTPL*EY5QI24 Amzn.com/bill WA        01/02</v>
      </c>
      <c r="C1370" s="3" t="str">
        <f>Angela_2026_Chase1117_Activity_!G1367</f>
        <v>Amazon</v>
      </c>
      <c r="D1370" s="4">
        <f>Angela_2026_Chase1117_Activity_!D1367</f>
        <v>-40.25</v>
      </c>
    </row>
    <row r="1371" spans="1:4" x14ac:dyDescent="0.25">
      <c r="A1371" s="28">
        <f>Angela_2026_Chase1117_Activity_!B1368</f>
        <v>46024</v>
      </c>
      <c r="B1371" s="3" t="str">
        <f>Angela_2026_Chase1117_Activity_!C1368</f>
        <v>Online Transfer from CHK ...1168 transaction#: 27551465996</v>
      </c>
      <c r="C1371" s="3" t="str">
        <f>Angela_2026_Chase1117_Activity_!G1368</f>
        <v>Transfer from DWG Capital Group</v>
      </c>
      <c r="D1371" s="4">
        <f>Angela_2026_Chase1117_Activity_!D1368</f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7131-1AD5-4CCF-BA2F-66E50AEEAB42}">
  <dimension ref="A1:I53"/>
  <sheetViews>
    <sheetView topLeftCell="A3" workbookViewId="0">
      <selection activeCell="J10" sqref="J10"/>
    </sheetView>
  </sheetViews>
  <sheetFormatPr defaultRowHeight="15" x14ac:dyDescent="0.25"/>
  <cols>
    <col min="1" max="1" width="41.85546875" customWidth="1"/>
    <col min="2" max="9" width="15.5703125" customWidth="1"/>
  </cols>
  <sheetData>
    <row r="1" spans="1:9" ht="18.75" x14ac:dyDescent="0.3">
      <c r="A1" s="31" t="s">
        <v>1543</v>
      </c>
      <c r="B1" s="31"/>
      <c r="C1" s="31"/>
      <c r="D1" s="31"/>
      <c r="E1" s="31"/>
      <c r="F1" s="31"/>
      <c r="G1" s="31"/>
      <c r="H1" s="31"/>
      <c r="I1" s="31"/>
    </row>
    <row r="2" spans="1:9" x14ac:dyDescent="0.25">
      <c r="A2" s="32" t="s">
        <v>1589</v>
      </c>
      <c r="B2" s="32"/>
      <c r="C2" s="32"/>
      <c r="D2" s="32"/>
      <c r="E2" s="32"/>
      <c r="F2" s="32"/>
      <c r="G2" s="32"/>
      <c r="H2" s="32"/>
      <c r="I2" s="32"/>
    </row>
    <row r="3" spans="1:9" x14ac:dyDescent="0.25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3" t="s">
        <v>1305</v>
      </c>
      <c r="B4" s="34">
        <f>DATE(2026,1,1)</f>
        <v>46023</v>
      </c>
      <c r="C4" s="34">
        <f>EDATE(B4,1)</f>
        <v>46054</v>
      </c>
      <c r="D4" s="34">
        <f>EDATE(C4,1)</f>
        <v>46082</v>
      </c>
      <c r="E4" s="34">
        <f>EDATE(D4,1)</f>
        <v>46113</v>
      </c>
      <c r="F4" s="34">
        <f>EDATE(E4,1)</f>
        <v>46143</v>
      </c>
      <c r="G4" s="34">
        <f>EDATE(F4,1)</f>
        <v>46174</v>
      </c>
      <c r="H4" s="34">
        <f>EDATE(G4,1)</f>
        <v>46204</v>
      </c>
      <c r="I4" s="33" t="s">
        <v>1590</v>
      </c>
    </row>
    <row r="5" spans="1:9" x14ac:dyDescent="0.25">
      <c r="A5" s="29" t="s">
        <v>1360</v>
      </c>
      <c r="B5" s="35">
        <f>SUMIFS(Angela_2026_Chase1117_Activity_!$D$2:$D$1368,Angela_2026_Chase1117_Activity_!$B$2:$B$1368,"&gt;="&amp;B$4,Angela_2026_Chase1117_Activity_!$B$2:$B$1368,"&lt;="&amp;EOMONTH(B$4,0),Angela_2026_Chase1117_Activity_!$G$2:$G$1368,$A5)</f>
        <v>32000</v>
      </c>
      <c r="C5" s="35">
        <f>SUMIFS(Angela_2026_Chase1117_Activity_!$D$2:$D$1368,Angela_2026_Chase1117_Activity_!$B$2:$B$1368,"&gt;="&amp;C$4,Angela_2026_Chase1117_Activity_!$B$2:$B$1368,"&lt;="&amp;EOMONTH(C$4,0),Angela_2026_Chase1117_Activity_!$G$2:$G$1368,$A5)</f>
        <v>22000</v>
      </c>
      <c r="D5" s="35">
        <f>SUMIFS(Angela_2026_Chase1117_Activity_!$D$2:$D$1368,Angela_2026_Chase1117_Activity_!$B$2:$B$1368,"&gt;="&amp;D$4,Angela_2026_Chase1117_Activity_!$B$2:$B$1368,"&lt;="&amp;EOMONTH(D$4,0),Angela_2026_Chase1117_Activity_!$G$2:$G$1368,$A5)</f>
        <v>41000</v>
      </c>
      <c r="E5" s="35">
        <f>SUMIFS(Angela_2026_Chase1117_Activity_!$D$2:$D$1368,Angela_2026_Chase1117_Activity_!$B$2:$B$1368,"&gt;="&amp;E$4,Angela_2026_Chase1117_Activity_!$B$2:$B$1368,"&lt;="&amp;EOMONTH(E$4,0),Angela_2026_Chase1117_Activity_!$G$2:$G$1368,$A5)</f>
        <v>20000</v>
      </c>
      <c r="F5" s="35">
        <f>SUMIFS(Angela_2026_Chase1117_Activity_!$D$2:$D$1368,Angela_2026_Chase1117_Activity_!$B$2:$B$1368,"&gt;="&amp;F$4,Angela_2026_Chase1117_Activity_!$B$2:$B$1368,"&lt;="&amp;EOMONTH(F$4,0),Angela_2026_Chase1117_Activity_!$G$2:$G$1368,$A5)</f>
        <v>28000</v>
      </c>
      <c r="G5" s="35">
        <f>SUMIFS(Angela_2026_Chase1117_Activity_!$D$2:$D$1368,Angela_2026_Chase1117_Activity_!$B$2:$B$1368,"&gt;="&amp;G$4,Angela_2026_Chase1117_Activity_!$B$2:$B$1368,"&lt;="&amp;EOMONTH(G$4,0),Angela_2026_Chase1117_Activity_!$G$2:$G$1368,$A5)</f>
        <v>33500</v>
      </c>
      <c r="H5" s="35">
        <f>SUMIFS(Angela_2026_Chase1117_Activity_!$D$2:$D$1368,Angela_2026_Chase1117_Activity_!$B$2:$B$1368,"&gt;="&amp;H$4,Angela_2026_Chase1117_Activity_!$B$2:$B$1368,"&lt;="&amp;EOMONTH(H$4,0),Angela_2026_Chase1117_Activity_!$G$2:$G$1368,$A5)</f>
        <v>5000</v>
      </c>
      <c r="I5" s="35">
        <f>SUM(B5:H5)</f>
        <v>181500</v>
      </c>
    </row>
    <row r="6" spans="1:9" x14ac:dyDescent="0.25">
      <c r="A6" s="29" t="s">
        <v>1362</v>
      </c>
      <c r="B6" s="35">
        <f>SUMIFS(Angela_2026_Chase1117_Activity_!$D$2:$D$1368,Angela_2026_Chase1117_Activity_!$B$2:$B$1368,"&gt;="&amp;B$4,Angela_2026_Chase1117_Activity_!$B$2:$B$1368,"&lt;="&amp;EOMONTH(B$4,0),Angela_2026_Chase1117_Activity_!$G$2:$G$1368,$A6)</f>
        <v>-500</v>
      </c>
      <c r="C6" s="35">
        <f>SUMIFS(Angela_2026_Chase1117_Activity_!$D$2:$D$1368,Angela_2026_Chase1117_Activity_!$B$2:$B$1368,"&gt;="&amp;C$4,Angela_2026_Chase1117_Activity_!$B$2:$B$1368,"&lt;="&amp;EOMONTH(C$4,0),Angela_2026_Chase1117_Activity_!$G$2:$G$1368,$A6)</f>
        <v>-350</v>
      </c>
      <c r="D6" s="35">
        <f>SUMIFS(Angela_2026_Chase1117_Activity_!$D$2:$D$1368,Angela_2026_Chase1117_Activity_!$B$2:$B$1368,"&gt;="&amp;D$4,Angela_2026_Chase1117_Activity_!$B$2:$B$1368,"&lt;="&amp;EOMONTH(D$4,0),Angela_2026_Chase1117_Activity_!$G$2:$G$1368,$A6)</f>
        <v>-3600</v>
      </c>
      <c r="E6" s="35">
        <f>SUMIFS(Angela_2026_Chase1117_Activity_!$D$2:$D$1368,Angela_2026_Chase1117_Activity_!$B$2:$B$1368,"&gt;="&amp;E$4,Angela_2026_Chase1117_Activity_!$B$2:$B$1368,"&lt;="&amp;EOMONTH(E$4,0),Angela_2026_Chase1117_Activity_!$G$2:$G$1368,$A6)</f>
        <v>-2500</v>
      </c>
      <c r="F6" s="35">
        <f>SUMIFS(Angela_2026_Chase1117_Activity_!$D$2:$D$1368,Angela_2026_Chase1117_Activity_!$B$2:$B$1368,"&gt;="&amp;F$4,Angela_2026_Chase1117_Activity_!$B$2:$B$1368,"&lt;="&amp;EOMONTH(F$4,0),Angela_2026_Chase1117_Activity_!$G$2:$G$1368,$A6)</f>
        <v>-600</v>
      </c>
      <c r="G6" s="35">
        <f>SUMIFS(Angela_2026_Chase1117_Activity_!$D$2:$D$1368,Angela_2026_Chase1117_Activity_!$B$2:$B$1368,"&gt;="&amp;G$4,Angela_2026_Chase1117_Activity_!$B$2:$B$1368,"&lt;="&amp;EOMONTH(G$4,0),Angela_2026_Chase1117_Activity_!$G$2:$G$1368,$A6)</f>
        <v>-1200</v>
      </c>
      <c r="H6" s="35">
        <f>SUMIFS(Angela_2026_Chase1117_Activity_!$D$2:$D$1368,Angela_2026_Chase1117_Activity_!$B$2:$B$1368,"&gt;="&amp;H$4,Angela_2026_Chase1117_Activity_!$B$2:$B$1368,"&lt;="&amp;EOMONTH(H$4,0),Angela_2026_Chase1117_Activity_!$G$2:$G$1368,$A6)</f>
        <v>0</v>
      </c>
      <c r="I6" s="35">
        <f t="shared" ref="I6:I52" si="0">SUM(B6:H6)</f>
        <v>-8750</v>
      </c>
    </row>
    <row r="7" spans="1:9" x14ac:dyDescent="0.25">
      <c r="A7" s="29" t="s">
        <v>1527</v>
      </c>
      <c r="B7" s="35">
        <f>SUMIFS(Angela_2026_Chase1117_Activity_!$D$2:$D$1368,Angela_2026_Chase1117_Activity_!$B$2:$B$1368,"&gt;="&amp;B$4,Angela_2026_Chase1117_Activity_!$B$2:$B$1368,"&lt;="&amp;EOMONTH(B$4,0),Angela_2026_Chase1117_Activity_!$G$2:$G$1368,$A7)</f>
        <v>0</v>
      </c>
      <c r="C7" s="35">
        <f>SUMIFS(Angela_2026_Chase1117_Activity_!$D$2:$D$1368,Angela_2026_Chase1117_Activity_!$B$2:$B$1368,"&gt;="&amp;C$4,Angela_2026_Chase1117_Activity_!$B$2:$B$1368,"&lt;="&amp;EOMONTH(C$4,0),Angela_2026_Chase1117_Activity_!$G$2:$G$1368,$A7)</f>
        <v>30000</v>
      </c>
      <c r="D7" s="35">
        <f>SUMIFS(Angela_2026_Chase1117_Activity_!$D$2:$D$1368,Angela_2026_Chase1117_Activity_!$B$2:$B$1368,"&gt;="&amp;D$4,Angela_2026_Chase1117_Activity_!$B$2:$B$1368,"&lt;="&amp;EOMONTH(D$4,0),Angela_2026_Chase1117_Activity_!$G$2:$G$1368,$A7)</f>
        <v>0</v>
      </c>
      <c r="E7" s="35">
        <f>SUMIFS(Angela_2026_Chase1117_Activity_!$D$2:$D$1368,Angela_2026_Chase1117_Activity_!$B$2:$B$1368,"&gt;="&amp;E$4,Angela_2026_Chase1117_Activity_!$B$2:$B$1368,"&lt;="&amp;EOMONTH(E$4,0),Angela_2026_Chase1117_Activity_!$G$2:$G$1368,$A7)</f>
        <v>0</v>
      </c>
      <c r="F7" s="35">
        <f>SUMIFS(Angela_2026_Chase1117_Activity_!$D$2:$D$1368,Angela_2026_Chase1117_Activity_!$B$2:$B$1368,"&gt;="&amp;F$4,Angela_2026_Chase1117_Activity_!$B$2:$B$1368,"&lt;="&amp;EOMONTH(F$4,0),Angela_2026_Chase1117_Activity_!$G$2:$G$1368,$A7)</f>
        <v>0</v>
      </c>
      <c r="G7" s="35">
        <f>SUMIFS(Angela_2026_Chase1117_Activity_!$D$2:$D$1368,Angela_2026_Chase1117_Activity_!$B$2:$B$1368,"&gt;="&amp;G$4,Angela_2026_Chase1117_Activity_!$B$2:$B$1368,"&lt;="&amp;EOMONTH(G$4,0),Angela_2026_Chase1117_Activity_!$G$2:$G$1368,$A7)</f>
        <v>1000</v>
      </c>
      <c r="H7" s="35">
        <f>SUMIFS(Angela_2026_Chase1117_Activity_!$D$2:$D$1368,Angela_2026_Chase1117_Activity_!$B$2:$B$1368,"&gt;="&amp;H$4,Angela_2026_Chase1117_Activity_!$B$2:$B$1368,"&lt;="&amp;EOMONTH(H$4,0),Angela_2026_Chase1117_Activity_!$G$2:$G$1368,$A7)</f>
        <v>0</v>
      </c>
      <c r="I7" s="35">
        <f t="shared" si="0"/>
        <v>31000</v>
      </c>
    </row>
    <row r="8" spans="1:9" x14ac:dyDescent="0.25">
      <c r="A8" s="29" t="s">
        <v>1340</v>
      </c>
      <c r="B8" s="35">
        <f>SUMIFS(Angela_2026_Chase1117_Activity_!$D$2:$D$1368,Angela_2026_Chase1117_Activity_!$B$2:$B$1368,"&gt;="&amp;B$4,Angela_2026_Chase1117_Activity_!$B$2:$B$1368,"&lt;="&amp;EOMONTH(B$4,0),Angela_2026_Chase1117_Activity_!$G$2:$G$1368,$A8)</f>
        <v>0</v>
      </c>
      <c r="C8" s="35">
        <f>SUMIFS(Angela_2026_Chase1117_Activity_!$D$2:$D$1368,Angela_2026_Chase1117_Activity_!$B$2:$B$1368,"&gt;="&amp;C$4,Angela_2026_Chase1117_Activity_!$B$2:$B$1368,"&lt;="&amp;EOMONTH(C$4,0),Angela_2026_Chase1117_Activity_!$G$2:$G$1368,$A8)</f>
        <v>150</v>
      </c>
      <c r="D8" s="35">
        <f>SUMIFS(Angela_2026_Chase1117_Activity_!$D$2:$D$1368,Angela_2026_Chase1117_Activity_!$B$2:$B$1368,"&gt;="&amp;D$4,Angela_2026_Chase1117_Activity_!$B$2:$B$1368,"&lt;="&amp;EOMONTH(D$4,0),Angela_2026_Chase1117_Activity_!$G$2:$G$1368,$A8)</f>
        <v>0</v>
      </c>
      <c r="E8" s="35">
        <f>SUMIFS(Angela_2026_Chase1117_Activity_!$D$2:$D$1368,Angela_2026_Chase1117_Activity_!$B$2:$B$1368,"&gt;="&amp;E$4,Angela_2026_Chase1117_Activity_!$B$2:$B$1368,"&lt;="&amp;EOMONTH(E$4,0),Angela_2026_Chase1117_Activity_!$G$2:$G$1368,$A8)</f>
        <v>0</v>
      </c>
      <c r="F8" s="35">
        <f>SUMIFS(Angela_2026_Chase1117_Activity_!$D$2:$D$1368,Angela_2026_Chase1117_Activity_!$B$2:$B$1368,"&gt;="&amp;F$4,Angela_2026_Chase1117_Activity_!$B$2:$B$1368,"&lt;="&amp;EOMONTH(F$4,0),Angela_2026_Chase1117_Activity_!$G$2:$G$1368,$A8)</f>
        <v>75</v>
      </c>
      <c r="G8" s="35">
        <f>SUMIFS(Angela_2026_Chase1117_Activity_!$D$2:$D$1368,Angela_2026_Chase1117_Activity_!$B$2:$B$1368,"&gt;="&amp;G$4,Angela_2026_Chase1117_Activity_!$B$2:$B$1368,"&lt;="&amp;EOMONTH(G$4,0),Angela_2026_Chase1117_Activity_!$G$2:$G$1368,$A8)</f>
        <v>100</v>
      </c>
      <c r="H8" s="35">
        <f>SUMIFS(Angela_2026_Chase1117_Activity_!$D$2:$D$1368,Angela_2026_Chase1117_Activity_!$B$2:$B$1368,"&gt;="&amp;H$4,Angela_2026_Chase1117_Activity_!$B$2:$B$1368,"&lt;="&amp;EOMONTH(H$4,0),Angela_2026_Chase1117_Activity_!$G$2:$G$1368,$A8)</f>
        <v>25</v>
      </c>
      <c r="I8" s="35">
        <f t="shared" si="0"/>
        <v>350</v>
      </c>
    </row>
    <row r="9" spans="1:9" x14ac:dyDescent="0.25">
      <c r="A9" s="29" t="s">
        <v>1344</v>
      </c>
      <c r="B9" s="35">
        <f>SUMIFS(Angela_2026_Chase1117_Activity_!$D$2:$D$1368,Angela_2026_Chase1117_Activity_!$B$2:$B$1368,"&gt;="&amp;B$4,Angela_2026_Chase1117_Activity_!$B$2:$B$1368,"&lt;="&amp;EOMONTH(B$4,0),Angela_2026_Chase1117_Activity_!$G$2:$G$1368,$A9)</f>
        <v>0</v>
      </c>
      <c r="C9" s="35">
        <f>SUMIFS(Angela_2026_Chase1117_Activity_!$D$2:$D$1368,Angela_2026_Chase1117_Activity_!$B$2:$B$1368,"&gt;="&amp;C$4,Angela_2026_Chase1117_Activity_!$B$2:$B$1368,"&lt;="&amp;EOMONTH(C$4,0),Angela_2026_Chase1117_Activity_!$G$2:$G$1368,$A9)</f>
        <v>0</v>
      </c>
      <c r="D9" s="35">
        <f>SUMIFS(Angela_2026_Chase1117_Activity_!$D$2:$D$1368,Angela_2026_Chase1117_Activity_!$B$2:$B$1368,"&gt;="&amp;D$4,Angela_2026_Chase1117_Activity_!$B$2:$B$1368,"&lt;="&amp;EOMONTH(D$4,0),Angela_2026_Chase1117_Activity_!$G$2:$G$1368,$A9)</f>
        <v>450</v>
      </c>
      <c r="E9" s="35">
        <f>SUMIFS(Angela_2026_Chase1117_Activity_!$D$2:$D$1368,Angela_2026_Chase1117_Activity_!$B$2:$B$1368,"&gt;="&amp;E$4,Angela_2026_Chase1117_Activity_!$B$2:$B$1368,"&lt;="&amp;EOMONTH(E$4,0),Angela_2026_Chase1117_Activity_!$G$2:$G$1368,$A9)</f>
        <v>0</v>
      </c>
      <c r="F9" s="35">
        <f>SUMIFS(Angela_2026_Chase1117_Activity_!$D$2:$D$1368,Angela_2026_Chase1117_Activity_!$B$2:$B$1368,"&gt;="&amp;F$4,Angela_2026_Chase1117_Activity_!$B$2:$B$1368,"&lt;="&amp;EOMONTH(F$4,0),Angela_2026_Chase1117_Activity_!$G$2:$G$1368,$A9)</f>
        <v>0</v>
      </c>
      <c r="G9" s="35">
        <f>SUMIFS(Angela_2026_Chase1117_Activity_!$D$2:$D$1368,Angela_2026_Chase1117_Activity_!$B$2:$B$1368,"&gt;="&amp;G$4,Angela_2026_Chase1117_Activity_!$B$2:$B$1368,"&lt;="&amp;EOMONTH(G$4,0),Angela_2026_Chase1117_Activity_!$G$2:$G$1368,$A9)</f>
        <v>450</v>
      </c>
      <c r="H9" s="35">
        <f>SUMIFS(Angela_2026_Chase1117_Activity_!$D$2:$D$1368,Angela_2026_Chase1117_Activity_!$B$2:$B$1368,"&gt;="&amp;H$4,Angela_2026_Chase1117_Activity_!$B$2:$B$1368,"&lt;="&amp;EOMONTH(H$4,0),Angela_2026_Chase1117_Activity_!$G$2:$G$1368,$A9)</f>
        <v>450</v>
      </c>
      <c r="I9" s="35">
        <f t="shared" si="0"/>
        <v>1350</v>
      </c>
    </row>
    <row r="10" spans="1:9" x14ac:dyDescent="0.25">
      <c r="A10" s="29" t="s">
        <v>1564</v>
      </c>
      <c r="B10" s="35">
        <f>SUMIFS(Angela_2026_Chase1117_Activity_!$D$2:$D$1368,Angela_2026_Chase1117_Activity_!$B$2:$B$1368,"&gt;="&amp;B$4,Angela_2026_Chase1117_Activity_!$B$2:$B$1368,"&lt;="&amp;EOMONTH(B$4,0),Angela_2026_Chase1117_Activity_!$G$2:$G$1368,$A10)</f>
        <v>0</v>
      </c>
      <c r="C10" s="35">
        <f>SUMIFS(Angela_2026_Chase1117_Activity_!$D$2:$D$1368,Angela_2026_Chase1117_Activity_!$B$2:$B$1368,"&gt;="&amp;C$4,Angela_2026_Chase1117_Activity_!$B$2:$B$1368,"&lt;="&amp;EOMONTH(C$4,0),Angela_2026_Chase1117_Activity_!$G$2:$G$1368,$A10)</f>
        <v>0</v>
      </c>
      <c r="D10" s="35">
        <f>SUMIFS(Angela_2026_Chase1117_Activity_!$D$2:$D$1368,Angela_2026_Chase1117_Activity_!$B$2:$B$1368,"&gt;="&amp;D$4,Angela_2026_Chase1117_Activity_!$B$2:$B$1368,"&lt;="&amp;EOMONTH(D$4,0),Angela_2026_Chase1117_Activity_!$G$2:$G$1368,$A10)</f>
        <v>0</v>
      </c>
      <c r="E10" s="35">
        <f>SUMIFS(Angela_2026_Chase1117_Activity_!$D$2:$D$1368,Angela_2026_Chase1117_Activity_!$B$2:$B$1368,"&gt;="&amp;E$4,Angela_2026_Chase1117_Activity_!$B$2:$B$1368,"&lt;="&amp;EOMONTH(E$4,0),Angela_2026_Chase1117_Activity_!$G$2:$G$1368,$A10)</f>
        <v>500</v>
      </c>
      <c r="F10" s="35">
        <f>SUMIFS(Angela_2026_Chase1117_Activity_!$D$2:$D$1368,Angela_2026_Chase1117_Activity_!$B$2:$B$1368,"&gt;="&amp;F$4,Angela_2026_Chase1117_Activity_!$B$2:$B$1368,"&lt;="&amp;EOMONTH(F$4,0),Angela_2026_Chase1117_Activity_!$G$2:$G$1368,$A10)</f>
        <v>500</v>
      </c>
      <c r="G10" s="35">
        <f>SUMIFS(Angela_2026_Chase1117_Activity_!$D$2:$D$1368,Angela_2026_Chase1117_Activity_!$B$2:$B$1368,"&gt;="&amp;G$4,Angela_2026_Chase1117_Activity_!$B$2:$B$1368,"&lt;="&amp;EOMONTH(G$4,0),Angela_2026_Chase1117_Activity_!$G$2:$G$1368,$A10)</f>
        <v>1000</v>
      </c>
      <c r="H10" s="35">
        <f>SUMIFS(Angela_2026_Chase1117_Activity_!$D$2:$D$1368,Angela_2026_Chase1117_Activity_!$B$2:$B$1368,"&gt;="&amp;H$4,Angela_2026_Chase1117_Activity_!$B$2:$B$1368,"&lt;="&amp;EOMONTH(H$4,0),Angela_2026_Chase1117_Activity_!$G$2:$G$1368,$A10)</f>
        <v>0</v>
      </c>
      <c r="I10" s="35">
        <f t="shared" si="0"/>
        <v>2000</v>
      </c>
    </row>
    <row r="11" spans="1:9" x14ac:dyDescent="0.25">
      <c r="A11" s="29" t="s">
        <v>1565</v>
      </c>
      <c r="B11" s="35">
        <f>SUMIFS(Angela_2026_Chase1117_Activity_!$D$2:$D$1368,Angela_2026_Chase1117_Activity_!$B$2:$B$1368,"&gt;="&amp;B$4,Angela_2026_Chase1117_Activity_!$B$2:$B$1368,"&lt;="&amp;EOMONTH(B$4,0),Angela_2026_Chase1117_Activity_!$G$2:$G$1368,$A11)</f>
        <v>0</v>
      </c>
      <c r="C11" s="35">
        <f>SUMIFS(Angela_2026_Chase1117_Activity_!$D$2:$D$1368,Angela_2026_Chase1117_Activity_!$B$2:$B$1368,"&gt;="&amp;C$4,Angela_2026_Chase1117_Activity_!$B$2:$B$1368,"&lt;="&amp;EOMONTH(C$4,0),Angela_2026_Chase1117_Activity_!$G$2:$G$1368,$A11)</f>
        <v>0</v>
      </c>
      <c r="D11" s="35">
        <f>SUMIFS(Angela_2026_Chase1117_Activity_!$D$2:$D$1368,Angela_2026_Chase1117_Activity_!$B$2:$B$1368,"&gt;="&amp;D$4,Angela_2026_Chase1117_Activity_!$B$2:$B$1368,"&lt;="&amp;EOMONTH(D$4,0),Angela_2026_Chase1117_Activity_!$G$2:$G$1368,$A11)</f>
        <v>0</v>
      </c>
      <c r="E11" s="35">
        <f>SUMIFS(Angela_2026_Chase1117_Activity_!$D$2:$D$1368,Angela_2026_Chase1117_Activity_!$B$2:$B$1368,"&gt;="&amp;E$4,Angela_2026_Chase1117_Activity_!$B$2:$B$1368,"&lt;="&amp;EOMONTH(E$4,0),Angela_2026_Chase1117_Activity_!$G$2:$G$1368,$A11)</f>
        <v>0</v>
      </c>
      <c r="F11" s="35">
        <f>SUMIFS(Angela_2026_Chase1117_Activity_!$D$2:$D$1368,Angela_2026_Chase1117_Activity_!$B$2:$B$1368,"&gt;="&amp;F$4,Angela_2026_Chase1117_Activity_!$B$2:$B$1368,"&lt;="&amp;EOMONTH(F$4,0),Angela_2026_Chase1117_Activity_!$G$2:$G$1368,$A11)</f>
        <v>0</v>
      </c>
      <c r="G11" s="35">
        <f>SUMIFS(Angela_2026_Chase1117_Activity_!$D$2:$D$1368,Angela_2026_Chase1117_Activity_!$B$2:$B$1368,"&gt;="&amp;G$4,Angela_2026_Chase1117_Activity_!$B$2:$B$1368,"&lt;="&amp;EOMONTH(G$4,0),Angela_2026_Chase1117_Activity_!$G$2:$G$1368,$A11)</f>
        <v>-1000</v>
      </c>
      <c r="H11" s="35">
        <f>SUMIFS(Angela_2026_Chase1117_Activity_!$D$2:$D$1368,Angela_2026_Chase1117_Activity_!$B$2:$B$1368,"&gt;="&amp;H$4,Angela_2026_Chase1117_Activity_!$B$2:$B$1368,"&lt;="&amp;EOMONTH(H$4,0),Angela_2026_Chase1117_Activity_!$G$2:$G$1368,$A11)</f>
        <v>0</v>
      </c>
      <c r="I11" s="35">
        <f t="shared" si="0"/>
        <v>-1000</v>
      </c>
    </row>
    <row r="12" spans="1:9" x14ac:dyDescent="0.25">
      <c r="A12" s="29" t="s">
        <v>1342</v>
      </c>
      <c r="B12" s="35">
        <f>SUMIFS(Angela_2026_Chase1117_Activity_!$D$2:$D$1368,Angela_2026_Chase1117_Activity_!$B$2:$B$1368,"&gt;="&amp;B$4,Angela_2026_Chase1117_Activity_!$B$2:$B$1368,"&lt;="&amp;EOMONTH(B$4,0),Angela_2026_Chase1117_Activity_!$G$2:$G$1368,$A12)</f>
        <v>0</v>
      </c>
      <c r="C12" s="35">
        <f>SUMIFS(Angela_2026_Chase1117_Activity_!$D$2:$D$1368,Angela_2026_Chase1117_Activity_!$B$2:$B$1368,"&gt;="&amp;C$4,Angela_2026_Chase1117_Activity_!$B$2:$B$1368,"&lt;="&amp;EOMONTH(C$4,0),Angela_2026_Chase1117_Activity_!$G$2:$G$1368,$A12)</f>
        <v>200</v>
      </c>
      <c r="D12" s="35">
        <f>SUMIFS(Angela_2026_Chase1117_Activity_!$D$2:$D$1368,Angela_2026_Chase1117_Activity_!$B$2:$B$1368,"&gt;="&amp;D$4,Angela_2026_Chase1117_Activity_!$B$2:$B$1368,"&lt;="&amp;EOMONTH(D$4,0),Angela_2026_Chase1117_Activity_!$G$2:$G$1368,$A12)</f>
        <v>200</v>
      </c>
      <c r="E12" s="35">
        <f>SUMIFS(Angela_2026_Chase1117_Activity_!$D$2:$D$1368,Angela_2026_Chase1117_Activity_!$B$2:$B$1368,"&gt;="&amp;E$4,Angela_2026_Chase1117_Activity_!$B$2:$B$1368,"&lt;="&amp;EOMONTH(E$4,0),Angela_2026_Chase1117_Activity_!$G$2:$G$1368,$A12)</f>
        <v>100</v>
      </c>
      <c r="F12" s="35">
        <f>SUMIFS(Angela_2026_Chase1117_Activity_!$D$2:$D$1368,Angela_2026_Chase1117_Activity_!$B$2:$B$1368,"&gt;="&amp;F$4,Angela_2026_Chase1117_Activity_!$B$2:$B$1368,"&lt;="&amp;EOMONTH(F$4,0),Angela_2026_Chase1117_Activity_!$G$2:$G$1368,$A12)</f>
        <v>100</v>
      </c>
      <c r="G12" s="35">
        <f>SUMIFS(Angela_2026_Chase1117_Activity_!$D$2:$D$1368,Angela_2026_Chase1117_Activity_!$B$2:$B$1368,"&gt;="&amp;G$4,Angela_2026_Chase1117_Activity_!$B$2:$B$1368,"&lt;="&amp;EOMONTH(G$4,0),Angela_2026_Chase1117_Activity_!$G$2:$G$1368,$A12)</f>
        <v>200</v>
      </c>
      <c r="H12" s="35">
        <f>SUMIFS(Angela_2026_Chase1117_Activity_!$D$2:$D$1368,Angela_2026_Chase1117_Activity_!$B$2:$B$1368,"&gt;="&amp;H$4,Angela_2026_Chase1117_Activity_!$B$2:$B$1368,"&lt;="&amp;EOMONTH(H$4,0),Angela_2026_Chase1117_Activity_!$G$2:$G$1368,$A12)</f>
        <v>0</v>
      </c>
      <c r="I12" s="35">
        <f t="shared" si="0"/>
        <v>800</v>
      </c>
    </row>
    <row r="13" spans="1:9" x14ac:dyDescent="0.25">
      <c r="A13" s="29" t="s">
        <v>1350</v>
      </c>
      <c r="B13" s="35">
        <f>SUMIFS(Angela_2026_Chase1117_Activity_!$D$2:$D$1368,Angela_2026_Chase1117_Activity_!$B$2:$B$1368,"&gt;="&amp;B$4,Angela_2026_Chase1117_Activity_!$B$2:$B$1368,"&lt;="&amp;EOMONTH(B$4,0),Angela_2026_Chase1117_Activity_!$G$2:$G$1368,$A13)</f>
        <v>0</v>
      </c>
      <c r="C13" s="35">
        <f>SUMIFS(Angela_2026_Chase1117_Activity_!$D$2:$D$1368,Angela_2026_Chase1117_Activity_!$B$2:$B$1368,"&gt;="&amp;C$4,Angela_2026_Chase1117_Activity_!$B$2:$B$1368,"&lt;="&amp;EOMONTH(C$4,0),Angela_2026_Chase1117_Activity_!$G$2:$G$1368,$A13)</f>
        <v>-500</v>
      </c>
      <c r="D13" s="35">
        <f>SUMIFS(Angela_2026_Chase1117_Activity_!$D$2:$D$1368,Angela_2026_Chase1117_Activity_!$B$2:$B$1368,"&gt;="&amp;D$4,Angela_2026_Chase1117_Activity_!$B$2:$B$1368,"&lt;="&amp;EOMONTH(D$4,0),Angela_2026_Chase1117_Activity_!$G$2:$G$1368,$A13)</f>
        <v>0</v>
      </c>
      <c r="E13" s="35">
        <f>SUMIFS(Angela_2026_Chase1117_Activity_!$D$2:$D$1368,Angela_2026_Chase1117_Activity_!$B$2:$B$1368,"&gt;="&amp;E$4,Angela_2026_Chase1117_Activity_!$B$2:$B$1368,"&lt;="&amp;EOMONTH(E$4,0),Angela_2026_Chase1117_Activity_!$G$2:$G$1368,$A13)</f>
        <v>-300</v>
      </c>
      <c r="F13" s="35">
        <f>SUMIFS(Angela_2026_Chase1117_Activity_!$D$2:$D$1368,Angela_2026_Chase1117_Activity_!$B$2:$B$1368,"&gt;="&amp;F$4,Angela_2026_Chase1117_Activity_!$B$2:$B$1368,"&lt;="&amp;EOMONTH(F$4,0),Angela_2026_Chase1117_Activity_!$G$2:$G$1368,$A13)</f>
        <v>0</v>
      </c>
      <c r="G13" s="35">
        <f>SUMIFS(Angela_2026_Chase1117_Activity_!$D$2:$D$1368,Angela_2026_Chase1117_Activity_!$B$2:$B$1368,"&gt;="&amp;G$4,Angela_2026_Chase1117_Activity_!$B$2:$B$1368,"&lt;="&amp;EOMONTH(G$4,0),Angela_2026_Chase1117_Activity_!$G$2:$G$1368,$A13)</f>
        <v>-300</v>
      </c>
      <c r="H13" s="35">
        <f>SUMIFS(Angela_2026_Chase1117_Activity_!$D$2:$D$1368,Angela_2026_Chase1117_Activity_!$B$2:$B$1368,"&gt;="&amp;H$4,Angela_2026_Chase1117_Activity_!$B$2:$B$1368,"&lt;="&amp;EOMONTH(H$4,0),Angela_2026_Chase1117_Activity_!$G$2:$G$1368,$A13)</f>
        <v>0</v>
      </c>
      <c r="I13" s="35">
        <f t="shared" si="0"/>
        <v>-1100</v>
      </c>
    </row>
    <row r="14" spans="1:9" x14ac:dyDescent="0.25">
      <c r="A14" s="29" t="s">
        <v>1346</v>
      </c>
      <c r="B14" s="35">
        <f>SUMIFS(Angela_2026_Chase1117_Activity_!$D$2:$D$1368,Angela_2026_Chase1117_Activity_!$B$2:$B$1368,"&gt;="&amp;B$4,Angela_2026_Chase1117_Activity_!$B$2:$B$1368,"&lt;="&amp;EOMONTH(B$4,0),Angela_2026_Chase1117_Activity_!$G$2:$G$1368,$A14)</f>
        <v>0</v>
      </c>
      <c r="C14" s="35">
        <f>SUMIFS(Angela_2026_Chase1117_Activity_!$D$2:$D$1368,Angela_2026_Chase1117_Activity_!$B$2:$B$1368,"&gt;="&amp;C$4,Angela_2026_Chase1117_Activity_!$B$2:$B$1368,"&lt;="&amp;EOMONTH(C$4,0),Angela_2026_Chase1117_Activity_!$G$2:$G$1368,$A14)</f>
        <v>0</v>
      </c>
      <c r="D14" s="35">
        <f>SUMIFS(Angela_2026_Chase1117_Activity_!$D$2:$D$1368,Angela_2026_Chase1117_Activity_!$B$2:$B$1368,"&gt;="&amp;D$4,Angela_2026_Chase1117_Activity_!$B$2:$B$1368,"&lt;="&amp;EOMONTH(D$4,0),Angela_2026_Chase1117_Activity_!$G$2:$G$1368,$A14)</f>
        <v>0</v>
      </c>
      <c r="E14" s="35">
        <f>SUMIFS(Angela_2026_Chase1117_Activity_!$D$2:$D$1368,Angela_2026_Chase1117_Activity_!$B$2:$B$1368,"&gt;="&amp;E$4,Angela_2026_Chase1117_Activity_!$B$2:$B$1368,"&lt;="&amp;EOMONTH(E$4,0),Angela_2026_Chase1117_Activity_!$G$2:$G$1368,$A14)</f>
        <v>0</v>
      </c>
      <c r="F14" s="35">
        <f>SUMIFS(Angela_2026_Chase1117_Activity_!$D$2:$D$1368,Angela_2026_Chase1117_Activity_!$B$2:$B$1368,"&gt;="&amp;F$4,Angela_2026_Chase1117_Activity_!$B$2:$B$1368,"&lt;="&amp;EOMONTH(F$4,0),Angela_2026_Chase1117_Activity_!$G$2:$G$1368,$A14)</f>
        <v>175</v>
      </c>
      <c r="G14" s="35">
        <f>SUMIFS(Angela_2026_Chase1117_Activity_!$D$2:$D$1368,Angela_2026_Chase1117_Activity_!$B$2:$B$1368,"&gt;="&amp;G$4,Angela_2026_Chase1117_Activity_!$B$2:$B$1368,"&lt;="&amp;EOMONTH(G$4,0),Angela_2026_Chase1117_Activity_!$G$2:$G$1368,$A14)</f>
        <v>0</v>
      </c>
      <c r="H14" s="35">
        <f>SUMIFS(Angela_2026_Chase1117_Activity_!$D$2:$D$1368,Angela_2026_Chase1117_Activity_!$B$2:$B$1368,"&gt;="&amp;H$4,Angela_2026_Chase1117_Activity_!$B$2:$B$1368,"&lt;="&amp;EOMONTH(H$4,0),Angela_2026_Chase1117_Activity_!$G$2:$G$1368,$A14)</f>
        <v>0</v>
      </c>
      <c r="I14" s="35">
        <f t="shared" si="0"/>
        <v>175</v>
      </c>
    </row>
    <row r="15" spans="1:9" x14ac:dyDescent="0.25">
      <c r="A15" s="29" t="s">
        <v>1348</v>
      </c>
      <c r="B15" s="35">
        <f>SUMIFS(Angela_2026_Chase1117_Activity_!$D$2:$D$1368,Angela_2026_Chase1117_Activity_!$B$2:$B$1368,"&gt;="&amp;B$4,Angela_2026_Chase1117_Activity_!$B$2:$B$1368,"&lt;="&amp;EOMONTH(B$4,0),Angela_2026_Chase1117_Activity_!$G$2:$G$1368,$A15)</f>
        <v>0</v>
      </c>
      <c r="C15" s="35">
        <f>SUMIFS(Angela_2026_Chase1117_Activity_!$D$2:$D$1368,Angela_2026_Chase1117_Activity_!$B$2:$B$1368,"&gt;="&amp;C$4,Angela_2026_Chase1117_Activity_!$B$2:$B$1368,"&lt;="&amp;EOMONTH(C$4,0),Angela_2026_Chase1117_Activity_!$G$2:$G$1368,$A15)</f>
        <v>175</v>
      </c>
      <c r="D15" s="35">
        <f>SUMIFS(Angela_2026_Chase1117_Activity_!$D$2:$D$1368,Angela_2026_Chase1117_Activity_!$B$2:$B$1368,"&gt;="&amp;D$4,Angela_2026_Chase1117_Activity_!$B$2:$B$1368,"&lt;="&amp;EOMONTH(D$4,0),Angela_2026_Chase1117_Activity_!$G$2:$G$1368,$A15)</f>
        <v>0</v>
      </c>
      <c r="E15" s="35">
        <f>SUMIFS(Angela_2026_Chase1117_Activity_!$D$2:$D$1368,Angela_2026_Chase1117_Activity_!$B$2:$B$1368,"&gt;="&amp;E$4,Angela_2026_Chase1117_Activity_!$B$2:$B$1368,"&lt;="&amp;EOMONTH(E$4,0),Angela_2026_Chase1117_Activity_!$G$2:$G$1368,$A15)</f>
        <v>0</v>
      </c>
      <c r="F15" s="35">
        <f>SUMIFS(Angela_2026_Chase1117_Activity_!$D$2:$D$1368,Angela_2026_Chase1117_Activity_!$B$2:$B$1368,"&gt;="&amp;F$4,Angela_2026_Chase1117_Activity_!$B$2:$B$1368,"&lt;="&amp;EOMONTH(F$4,0),Angela_2026_Chase1117_Activity_!$G$2:$G$1368,$A15)</f>
        <v>0</v>
      </c>
      <c r="G15" s="35">
        <f>SUMIFS(Angela_2026_Chase1117_Activity_!$D$2:$D$1368,Angela_2026_Chase1117_Activity_!$B$2:$B$1368,"&gt;="&amp;G$4,Angela_2026_Chase1117_Activity_!$B$2:$B$1368,"&lt;="&amp;EOMONTH(G$4,0),Angela_2026_Chase1117_Activity_!$G$2:$G$1368,$A15)</f>
        <v>0</v>
      </c>
      <c r="H15" s="35">
        <f>SUMIFS(Angela_2026_Chase1117_Activity_!$D$2:$D$1368,Angela_2026_Chase1117_Activity_!$B$2:$B$1368,"&gt;="&amp;H$4,Angela_2026_Chase1117_Activity_!$B$2:$B$1368,"&lt;="&amp;EOMONTH(H$4,0),Angela_2026_Chase1117_Activity_!$G$2:$G$1368,$A15)</f>
        <v>0</v>
      </c>
      <c r="I15" s="35">
        <f t="shared" si="0"/>
        <v>175</v>
      </c>
    </row>
    <row r="16" spans="1:9" x14ac:dyDescent="0.25">
      <c r="A16" s="29" t="s">
        <v>1338</v>
      </c>
      <c r="B16" s="35">
        <f>SUMIFS(Angela_2026_Chase1117_Activity_!$D$2:$D$1368,Angela_2026_Chase1117_Activity_!$B$2:$B$1368,"&gt;="&amp;B$4,Angela_2026_Chase1117_Activity_!$B$2:$B$1368,"&lt;="&amp;EOMONTH(B$4,0),Angela_2026_Chase1117_Activity_!$G$2:$G$1368,$A16)</f>
        <v>-700</v>
      </c>
      <c r="C16" s="35">
        <f>SUMIFS(Angela_2026_Chase1117_Activity_!$D$2:$D$1368,Angela_2026_Chase1117_Activity_!$B$2:$B$1368,"&gt;="&amp;C$4,Angela_2026_Chase1117_Activity_!$B$2:$B$1368,"&lt;="&amp;EOMONTH(C$4,0),Angela_2026_Chase1117_Activity_!$G$2:$G$1368,$A16)</f>
        <v>0</v>
      </c>
      <c r="D16" s="35">
        <f>SUMIFS(Angela_2026_Chase1117_Activity_!$D$2:$D$1368,Angela_2026_Chase1117_Activity_!$B$2:$B$1368,"&gt;="&amp;D$4,Angela_2026_Chase1117_Activity_!$B$2:$B$1368,"&lt;="&amp;EOMONTH(D$4,0),Angela_2026_Chase1117_Activity_!$G$2:$G$1368,$A16)</f>
        <v>0</v>
      </c>
      <c r="E16" s="35">
        <f>SUMIFS(Angela_2026_Chase1117_Activity_!$D$2:$D$1368,Angela_2026_Chase1117_Activity_!$B$2:$B$1368,"&gt;="&amp;E$4,Angela_2026_Chase1117_Activity_!$B$2:$B$1368,"&lt;="&amp;EOMONTH(E$4,0),Angela_2026_Chase1117_Activity_!$G$2:$G$1368,$A16)</f>
        <v>0</v>
      </c>
      <c r="F16" s="35">
        <f>SUMIFS(Angela_2026_Chase1117_Activity_!$D$2:$D$1368,Angela_2026_Chase1117_Activity_!$B$2:$B$1368,"&gt;="&amp;F$4,Angela_2026_Chase1117_Activity_!$B$2:$B$1368,"&lt;="&amp;EOMONTH(F$4,0),Angela_2026_Chase1117_Activity_!$G$2:$G$1368,$A16)</f>
        <v>-600</v>
      </c>
      <c r="G16" s="35">
        <f>SUMIFS(Angela_2026_Chase1117_Activity_!$D$2:$D$1368,Angela_2026_Chase1117_Activity_!$B$2:$B$1368,"&gt;="&amp;G$4,Angela_2026_Chase1117_Activity_!$B$2:$B$1368,"&lt;="&amp;EOMONTH(G$4,0),Angela_2026_Chase1117_Activity_!$G$2:$G$1368,$A16)</f>
        <v>0</v>
      </c>
      <c r="H16" s="35">
        <f>SUMIFS(Angela_2026_Chase1117_Activity_!$D$2:$D$1368,Angela_2026_Chase1117_Activity_!$B$2:$B$1368,"&gt;="&amp;H$4,Angela_2026_Chase1117_Activity_!$B$2:$B$1368,"&lt;="&amp;EOMONTH(H$4,0),Angela_2026_Chase1117_Activity_!$G$2:$G$1368,$A16)</f>
        <v>0</v>
      </c>
      <c r="I16" s="35">
        <f t="shared" si="0"/>
        <v>-1300</v>
      </c>
    </row>
    <row r="17" spans="1:9" x14ac:dyDescent="0.25">
      <c r="A17" s="29" t="s">
        <v>1352</v>
      </c>
      <c r="B17" s="35">
        <f>SUMIFS(Angela_2026_Chase1117_Activity_!$D$2:$D$1368,Angela_2026_Chase1117_Activity_!$B$2:$B$1368,"&gt;="&amp;B$4,Angela_2026_Chase1117_Activity_!$B$2:$B$1368,"&lt;="&amp;EOMONTH(B$4,0),Angela_2026_Chase1117_Activity_!$G$2:$G$1368,$A17)</f>
        <v>0</v>
      </c>
      <c r="C17" s="35">
        <f>SUMIFS(Angela_2026_Chase1117_Activity_!$D$2:$D$1368,Angela_2026_Chase1117_Activity_!$B$2:$B$1368,"&gt;="&amp;C$4,Angela_2026_Chase1117_Activity_!$B$2:$B$1368,"&lt;="&amp;EOMONTH(C$4,0),Angela_2026_Chase1117_Activity_!$G$2:$G$1368,$A17)</f>
        <v>0</v>
      </c>
      <c r="D17" s="35">
        <f>SUMIFS(Angela_2026_Chase1117_Activity_!$D$2:$D$1368,Angela_2026_Chase1117_Activity_!$B$2:$B$1368,"&gt;="&amp;D$4,Angela_2026_Chase1117_Activity_!$B$2:$B$1368,"&lt;="&amp;EOMONTH(D$4,0),Angela_2026_Chase1117_Activity_!$G$2:$G$1368,$A17)</f>
        <v>0</v>
      </c>
      <c r="E17" s="35">
        <f>SUMIFS(Angela_2026_Chase1117_Activity_!$D$2:$D$1368,Angela_2026_Chase1117_Activity_!$B$2:$B$1368,"&gt;="&amp;E$4,Angela_2026_Chase1117_Activity_!$B$2:$B$1368,"&lt;="&amp;EOMONTH(E$4,0),Angela_2026_Chase1117_Activity_!$G$2:$G$1368,$A17)</f>
        <v>-300</v>
      </c>
      <c r="F17" s="35">
        <f>SUMIFS(Angela_2026_Chase1117_Activity_!$D$2:$D$1368,Angela_2026_Chase1117_Activity_!$B$2:$B$1368,"&gt;="&amp;F$4,Angela_2026_Chase1117_Activity_!$B$2:$B$1368,"&lt;="&amp;EOMONTH(F$4,0),Angela_2026_Chase1117_Activity_!$G$2:$G$1368,$A17)</f>
        <v>0</v>
      </c>
      <c r="G17" s="35">
        <f>SUMIFS(Angela_2026_Chase1117_Activity_!$D$2:$D$1368,Angela_2026_Chase1117_Activity_!$B$2:$B$1368,"&gt;="&amp;G$4,Angela_2026_Chase1117_Activity_!$B$2:$B$1368,"&lt;="&amp;EOMONTH(G$4,0),Angela_2026_Chase1117_Activity_!$G$2:$G$1368,$A17)</f>
        <v>0</v>
      </c>
      <c r="H17" s="35">
        <f>SUMIFS(Angela_2026_Chase1117_Activity_!$D$2:$D$1368,Angela_2026_Chase1117_Activity_!$B$2:$B$1368,"&gt;="&amp;H$4,Angela_2026_Chase1117_Activity_!$B$2:$B$1368,"&lt;="&amp;EOMONTH(H$4,0),Angela_2026_Chase1117_Activity_!$G$2:$G$1368,$A17)</f>
        <v>0</v>
      </c>
      <c r="I17" s="35">
        <f t="shared" si="0"/>
        <v>-300</v>
      </c>
    </row>
    <row r="18" spans="1:9" x14ac:dyDescent="0.25">
      <c r="A18" s="29" t="s">
        <v>1354</v>
      </c>
      <c r="B18" s="35">
        <f>SUMIFS(Angela_2026_Chase1117_Activity_!$D$2:$D$1368,Angela_2026_Chase1117_Activity_!$B$2:$B$1368,"&gt;="&amp;B$4,Angela_2026_Chase1117_Activity_!$B$2:$B$1368,"&lt;="&amp;EOMONTH(B$4,0),Angela_2026_Chase1117_Activity_!$G$2:$G$1368,$A18)</f>
        <v>0</v>
      </c>
      <c r="C18" s="35">
        <f>SUMIFS(Angela_2026_Chase1117_Activity_!$D$2:$D$1368,Angela_2026_Chase1117_Activity_!$B$2:$B$1368,"&gt;="&amp;C$4,Angela_2026_Chase1117_Activity_!$B$2:$B$1368,"&lt;="&amp;EOMONTH(C$4,0),Angela_2026_Chase1117_Activity_!$G$2:$G$1368,$A18)</f>
        <v>0</v>
      </c>
      <c r="D18" s="35">
        <f>SUMIFS(Angela_2026_Chase1117_Activity_!$D$2:$D$1368,Angela_2026_Chase1117_Activity_!$B$2:$B$1368,"&gt;="&amp;D$4,Angela_2026_Chase1117_Activity_!$B$2:$B$1368,"&lt;="&amp;EOMONTH(D$4,0),Angela_2026_Chase1117_Activity_!$G$2:$G$1368,$A18)</f>
        <v>0</v>
      </c>
      <c r="E18" s="35">
        <f>SUMIFS(Angela_2026_Chase1117_Activity_!$D$2:$D$1368,Angela_2026_Chase1117_Activity_!$B$2:$B$1368,"&gt;="&amp;E$4,Angela_2026_Chase1117_Activity_!$B$2:$B$1368,"&lt;="&amp;EOMONTH(E$4,0),Angela_2026_Chase1117_Activity_!$G$2:$G$1368,$A18)</f>
        <v>-300</v>
      </c>
      <c r="F18" s="35">
        <f>SUMIFS(Angela_2026_Chase1117_Activity_!$D$2:$D$1368,Angela_2026_Chase1117_Activity_!$B$2:$B$1368,"&gt;="&amp;F$4,Angela_2026_Chase1117_Activity_!$B$2:$B$1368,"&lt;="&amp;EOMONTH(F$4,0),Angela_2026_Chase1117_Activity_!$G$2:$G$1368,$A18)</f>
        <v>0</v>
      </c>
      <c r="G18" s="35">
        <f>SUMIFS(Angela_2026_Chase1117_Activity_!$D$2:$D$1368,Angela_2026_Chase1117_Activity_!$B$2:$B$1368,"&gt;="&amp;G$4,Angela_2026_Chase1117_Activity_!$B$2:$B$1368,"&lt;="&amp;EOMONTH(G$4,0),Angela_2026_Chase1117_Activity_!$G$2:$G$1368,$A18)</f>
        <v>0</v>
      </c>
      <c r="H18" s="35">
        <f>SUMIFS(Angela_2026_Chase1117_Activity_!$D$2:$D$1368,Angela_2026_Chase1117_Activity_!$B$2:$B$1368,"&gt;="&amp;H$4,Angela_2026_Chase1117_Activity_!$B$2:$B$1368,"&lt;="&amp;EOMONTH(H$4,0),Angela_2026_Chase1117_Activity_!$G$2:$G$1368,$A18)</f>
        <v>0</v>
      </c>
      <c r="I18" s="35">
        <f t="shared" si="0"/>
        <v>-300</v>
      </c>
    </row>
    <row r="19" spans="1:9" x14ac:dyDescent="0.25">
      <c r="A19" s="29" t="s">
        <v>1529</v>
      </c>
      <c r="B19" s="35">
        <f>SUMIFS(Angela_2026_Chase1117_Activity_!$D$2:$D$1368,Angela_2026_Chase1117_Activity_!$B$2:$B$1368,"&gt;="&amp;B$4,Angela_2026_Chase1117_Activity_!$B$2:$B$1368,"&lt;="&amp;EOMONTH(B$4,0),Angela_2026_Chase1117_Activity_!$G$2:$G$1368,$A19)</f>
        <v>0</v>
      </c>
      <c r="C19" s="35">
        <f>SUMIFS(Angela_2026_Chase1117_Activity_!$D$2:$D$1368,Angela_2026_Chase1117_Activity_!$B$2:$B$1368,"&gt;="&amp;C$4,Angela_2026_Chase1117_Activity_!$B$2:$B$1368,"&lt;="&amp;EOMONTH(C$4,0),Angela_2026_Chase1117_Activity_!$G$2:$G$1368,$A19)</f>
        <v>0</v>
      </c>
      <c r="D19" s="35">
        <f>SUMIFS(Angela_2026_Chase1117_Activity_!$D$2:$D$1368,Angela_2026_Chase1117_Activity_!$B$2:$B$1368,"&gt;="&amp;D$4,Angela_2026_Chase1117_Activity_!$B$2:$B$1368,"&lt;="&amp;EOMONTH(D$4,0),Angela_2026_Chase1117_Activity_!$G$2:$G$1368,$A19)</f>
        <v>0</v>
      </c>
      <c r="E19" s="35">
        <f>SUMIFS(Angela_2026_Chase1117_Activity_!$D$2:$D$1368,Angela_2026_Chase1117_Activity_!$B$2:$B$1368,"&gt;="&amp;E$4,Angela_2026_Chase1117_Activity_!$B$2:$B$1368,"&lt;="&amp;EOMONTH(E$4,0),Angela_2026_Chase1117_Activity_!$G$2:$G$1368,$A19)</f>
        <v>-117.79</v>
      </c>
      <c r="F19" s="35">
        <f>SUMIFS(Angela_2026_Chase1117_Activity_!$D$2:$D$1368,Angela_2026_Chase1117_Activity_!$B$2:$B$1368,"&gt;="&amp;F$4,Angela_2026_Chase1117_Activity_!$B$2:$B$1368,"&lt;="&amp;EOMONTH(F$4,0),Angela_2026_Chase1117_Activity_!$G$2:$G$1368,$A19)</f>
        <v>0</v>
      </c>
      <c r="G19" s="35">
        <f>SUMIFS(Angela_2026_Chase1117_Activity_!$D$2:$D$1368,Angela_2026_Chase1117_Activity_!$B$2:$B$1368,"&gt;="&amp;G$4,Angela_2026_Chase1117_Activity_!$B$2:$B$1368,"&lt;="&amp;EOMONTH(G$4,0),Angela_2026_Chase1117_Activity_!$G$2:$G$1368,$A19)</f>
        <v>-95.07</v>
      </c>
      <c r="H19" s="35">
        <f>SUMIFS(Angela_2026_Chase1117_Activity_!$D$2:$D$1368,Angela_2026_Chase1117_Activity_!$B$2:$B$1368,"&gt;="&amp;H$4,Angela_2026_Chase1117_Activity_!$B$2:$B$1368,"&lt;="&amp;EOMONTH(H$4,0),Angela_2026_Chase1117_Activity_!$G$2:$G$1368,$A19)</f>
        <v>0</v>
      </c>
      <c r="I19" s="35">
        <f t="shared" si="0"/>
        <v>-212.86</v>
      </c>
    </row>
    <row r="20" spans="1:9" x14ac:dyDescent="0.25">
      <c r="A20" s="29" t="s">
        <v>1531</v>
      </c>
      <c r="B20" s="35">
        <f>SUMIFS(Angela_2026_Chase1117_Activity_!$D$2:$D$1368,Angela_2026_Chase1117_Activity_!$B$2:$B$1368,"&gt;="&amp;B$4,Angela_2026_Chase1117_Activity_!$B$2:$B$1368,"&lt;="&amp;EOMONTH(B$4,0),Angela_2026_Chase1117_Activity_!$G$2:$G$1368,$A20)</f>
        <v>0</v>
      </c>
      <c r="C20" s="35">
        <f>SUMIFS(Angela_2026_Chase1117_Activity_!$D$2:$D$1368,Angela_2026_Chase1117_Activity_!$B$2:$B$1368,"&gt;="&amp;C$4,Angela_2026_Chase1117_Activity_!$B$2:$B$1368,"&lt;="&amp;EOMONTH(C$4,0),Angela_2026_Chase1117_Activity_!$G$2:$G$1368,$A20)</f>
        <v>0</v>
      </c>
      <c r="D20" s="35">
        <f>SUMIFS(Angela_2026_Chase1117_Activity_!$D$2:$D$1368,Angela_2026_Chase1117_Activity_!$B$2:$B$1368,"&gt;="&amp;D$4,Angela_2026_Chase1117_Activity_!$B$2:$B$1368,"&lt;="&amp;EOMONTH(D$4,0),Angela_2026_Chase1117_Activity_!$G$2:$G$1368,$A20)</f>
        <v>0</v>
      </c>
      <c r="E20" s="35">
        <f>SUMIFS(Angela_2026_Chase1117_Activity_!$D$2:$D$1368,Angela_2026_Chase1117_Activity_!$B$2:$B$1368,"&gt;="&amp;E$4,Angela_2026_Chase1117_Activity_!$B$2:$B$1368,"&lt;="&amp;EOMONTH(E$4,0),Angela_2026_Chase1117_Activity_!$G$2:$G$1368,$A20)</f>
        <v>0</v>
      </c>
      <c r="F20" s="35">
        <f>SUMIFS(Angela_2026_Chase1117_Activity_!$D$2:$D$1368,Angela_2026_Chase1117_Activity_!$B$2:$B$1368,"&gt;="&amp;F$4,Angela_2026_Chase1117_Activity_!$B$2:$B$1368,"&lt;="&amp;EOMONTH(F$4,0),Angela_2026_Chase1117_Activity_!$G$2:$G$1368,$A20)</f>
        <v>-9.9499999999999993</v>
      </c>
      <c r="G20" s="35">
        <f>SUMIFS(Angela_2026_Chase1117_Activity_!$D$2:$D$1368,Angela_2026_Chase1117_Activity_!$B$2:$B$1368,"&gt;="&amp;G$4,Angela_2026_Chase1117_Activity_!$B$2:$B$1368,"&lt;="&amp;EOMONTH(G$4,0),Angela_2026_Chase1117_Activity_!$G$2:$G$1368,$A20)</f>
        <v>0</v>
      </c>
      <c r="H20" s="35">
        <f>SUMIFS(Angela_2026_Chase1117_Activity_!$D$2:$D$1368,Angela_2026_Chase1117_Activity_!$B$2:$B$1368,"&gt;="&amp;H$4,Angela_2026_Chase1117_Activity_!$B$2:$B$1368,"&lt;="&amp;EOMONTH(H$4,0),Angela_2026_Chase1117_Activity_!$G$2:$G$1368,$A20)</f>
        <v>0</v>
      </c>
      <c r="I20" s="35">
        <f t="shared" si="0"/>
        <v>-9.9499999999999993</v>
      </c>
    </row>
    <row r="21" spans="1:9" x14ac:dyDescent="0.25">
      <c r="A21" s="29" t="s">
        <v>1533</v>
      </c>
      <c r="B21" s="35">
        <f>SUMIFS(Angela_2026_Chase1117_Activity_!$D$2:$D$1368,Angela_2026_Chase1117_Activity_!$B$2:$B$1368,"&gt;="&amp;B$4,Angela_2026_Chase1117_Activity_!$B$2:$B$1368,"&lt;="&amp;EOMONTH(B$4,0),Angela_2026_Chase1117_Activity_!$G$2:$G$1368,$A21)</f>
        <v>0</v>
      </c>
      <c r="C21" s="35">
        <f>SUMIFS(Angela_2026_Chase1117_Activity_!$D$2:$D$1368,Angela_2026_Chase1117_Activity_!$B$2:$B$1368,"&gt;="&amp;C$4,Angela_2026_Chase1117_Activity_!$B$2:$B$1368,"&lt;="&amp;EOMONTH(C$4,0),Angela_2026_Chase1117_Activity_!$G$2:$G$1368,$A21)</f>
        <v>0</v>
      </c>
      <c r="D21" s="35">
        <f>SUMIFS(Angela_2026_Chase1117_Activity_!$D$2:$D$1368,Angela_2026_Chase1117_Activity_!$B$2:$B$1368,"&gt;="&amp;D$4,Angela_2026_Chase1117_Activity_!$B$2:$B$1368,"&lt;="&amp;EOMONTH(D$4,0),Angela_2026_Chase1117_Activity_!$G$2:$G$1368,$A21)</f>
        <v>0</v>
      </c>
      <c r="E21" s="35">
        <f>SUMIFS(Angela_2026_Chase1117_Activity_!$D$2:$D$1368,Angela_2026_Chase1117_Activity_!$B$2:$B$1368,"&gt;="&amp;E$4,Angela_2026_Chase1117_Activity_!$B$2:$B$1368,"&lt;="&amp;EOMONTH(E$4,0),Angela_2026_Chase1117_Activity_!$G$2:$G$1368,$A21)</f>
        <v>-125</v>
      </c>
      <c r="F21" s="35">
        <f>SUMIFS(Angela_2026_Chase1117_Activity_!$D$2:$D$1368,Angela_2026_Chase1117_Activity_!$B$2:$B$1368,"&gt;="&amp;F$4,Angela_2026_Chase1117_Activity_!$B$2:$B$1368,"&lt;="&amp;EOMONTH(F$4,0),Angela_2026_Chase1117_Activity_!$G$2:$G$1368,$A21)</f>
        <v>0</v>
      </c>
      <c r="G21" s="35">
        <f>SUMIFS(Angela_2026_Chase1117_Activity_!$D$2:$D$1368,Angela_2026_Chase1117_Activity_!$B$2:$B$1368,"&gt;="&amp;G$4,Angela_2026_Chase1117_Activity_!$B$2:$B$1368,"&lt;="&amp;EOMONTH(G$4,0),Angela_2026_Chase1117_Activity_!$G$2:$G$1368,$A21)</f>
        <v>0</v>
      </c>
      <c r="H21" s="35">
        <f>SUMIFS(Angela_2026_Chase1117_Activity_!$D$2:$D$1368,Angela_2026_Chase1117_Activity_!$B$2:$B$1368,"&gt;="&amp;H$4,Angela_2026_Chase1117_Activity_!$B$2:$B$1368,"&lt;="&amp;EOMONTH(H$4,0),Angela_2026_Chase1117_Activity_!$G$2:$G$1368,$A21)</f>
        <v>0</v>
      </c>
      <c r="I21" s="35">
        <f t="shared" si="0"/>
        <v>-125</v>
      </c>
    </row>
    <row r="22" spans="1:9" x14ac:dyDescent="0.25">
      <c r="A22" s="29" t="s">
        <v>1306</v>
      </c>
      <c r="B22" s="35">
        <f>SUMIFS(Angela_2026_Chase1117_Activity_!$D$2:$D$1368,Angela_2026_Chase1117_Activity_!$B$2:$B$1368,"&gt;="&amp;B$4,Angela_2026_Chase1117_Activity_!$B$2:$B$1368,"&lt;="&amp;EOMONTH(B$4,0),Angela_2026_Chase1117_Activity_!$G$2:$G$1368,$A22)</f>
        <v>-1139.5300000000002</v>
      </c>
      <c r="C22" s="35">
        <f>SUMIFS(Angela_2026_Chase1117_Activity_!$D$2:$D$1368,Angela_2026_Chase1117_Activity_!$B$2:$B$1368,"&gt;="&amp;C$4,Angela_2026_Chase1117_Activity_!$B$2:$B$1368,"&lt;="&amp;EOMONTH(C$4,0),Angela_2026_Chase1117_Activity_!$G$2:$G$1368,$A22)</f>
        <v>-16953.7</v>
      </c>
      <c r="D22" s="35">
        <f>SUMIFS(Angela_2026_Chase1117_Activity_!$D$2:$D$1368,Angela_2026_Chase1117_Activity_!$B$2:$B$1368,"&gt;="&amp;D$4,Angela_2026_Chase1117_Activity_!$B$2:$B$1368,"&lt;="&amp;EOMONTH(D$4,0),Angela_2026_Chase1117_Activity_!$G$2:$G$1368,$A22)</f>
        <v>-8446.2599999999984</v>
      </c>
      <c r="E22" s="35">
        <f>SUMIFS(Angela_2026_Chase1117_Activity_!$D$2:$D$1368,Angela_2026_Chase1117_Activity_!$B$2:$B$1368,"&gt;="&amp;E$4,Angela_2026_Chase1117_Activity_!$B$2:$B$1368,"&lt;="&amp;EOMONTH(E$4,0),Angela_2026_Chase1117_Activity_!$G$2:$G$1368,$A22)</f>
        <v>-5717.5300000000007</v>
      </c>
      <c r="F22" s="35">
        <f>SUMIFS(Angela_2026_Chase1117_Activity_!$D$2:$D$1368,Angela_2026_Chase1117_Activity_!$B$2:$B$1368,"&gt;="&amp;F$4,Angela_2026_Chase1117_Activity_!$B$2:$B$1368,"&lt;="&amp;EOMONTH(F$4,0),Angela_2026_Chase1117_Activity_!$G$2:$G$1368,$A22)</f>
        <v>-4743.2200000000012</v>
      </c>
      <c r="G22" s="35">
        <f>SUMIFS(Angela_2026_Chase1117_Activity_!$D$2:$D$1368,Angela_2026_Chase1117_Activity_!$B$2:$B$1368,"&gt;="&amp;G$4,Angela_2026_Chase1117_Activity_!$B$2:$B$1368,"&lt;="&amp;EOMONTH(G$4,0),Angela_2026_Chase1117_Activity_!$G$2:$G$1368,$A22)</f>
        <v>-3899.9900000000002</v>
      </c>
      <c r="H22" s="35">
        <f>SUMIFS(Angela_2026_Chase1117_Activity_!$D$2:$D$1368,Angela_2026_Chase1117_Activity_!$B$2:$B$1368,"&gt;="&amp;H$4,Angela_2026_Chase1117_Activity_!$B$2:$B$1368,"&lt;="&amp;EOMONTH(H$4,0),Angela_2026_Chase1117_Activity_!$G$2:$G$1368,$A22)</f>
        <v>-852.09999999999991</v>
      </c>
      <c r="I22" s="35">
        <f t="shared" si="0"/>
        <v>-41752.329999999994</v>
      </c>
    </row>
    <row r="23" spans="1:9" x14ac:dyDescent="0.25">
      <c r="A23" s="29" t="s">
        <v>1358</v>
      </c>
      <c r="B23" s="35">
        <f>SUMIFS(Angela_2026_Chase1117_Activity_!$D$2:$D$1368,Angela_2026_Chase1117_Activity_!$B$2:$B$1368,"&gt;="&amp;B$4,Angela_2026_Chase1117_Activity_!$B$2:$B$1368,"&lt;="&amp;EOMONTH(B$4,0),Angela_2026_Chase1117_Activity_!$G$2:$G$1368,$A23)</f>
        <v>-2.31</v>
      </c>
      <c r="C23" s="35">
        <f>SUMIFS(Angela_2026_Chase1117_Activity_!$D$2:$D$1368,Angela_2026_Chase1117_Activity_!$B$2:$B$1368,"&gt;="&amp;C$4,Angela_2026_Chase1117_Activity_!$B$2:$B$1368,"&lt;="&amp;EOMONTH(C$4,0),Angela_2026_Chase1117_Activity_!$G$2:$G$1368,$A23)</f>
        <v>-2.3299999999999996</v>
      </c>
      <c r="D23" s="35">
        <f>SUMIFS(Angela_2026_Chase1117_Activity_!$D$2:$D$1368,Angela_2026_Chase1117_Activity_!$B$2:$B$1368,"&gt;="&amp;D$4,Angela_2026_Chase1117_Activity_!$B$2:$B$1368,"&lt;="&amp;EOMONTH(D$4,0),Angela_2026_Chase1117_Activity_!$G$2:$G$1368,$A23)</f>
        <v>-12.08</v>
      </c>
      <c r="E23" s="35">
        <f>SUMIFS(Angela_2026_Chase1117_Activity_!$D$2:$D$1368,Angela_2026_Chase1117_Activity_!$B$2:$B$1368,"&gt;="&amp;E$4,Angela_2026_Chase1117_Activity_!$B$2:$B$1368,"&lt;="&amp;EOMONTH(E$4,0),Angela_2026_Chase1117_Activity_!$G$2:$G$1368,$A23)</f>
        <v>-52.660000000000004</v>
      </c>
      <c r="F23" s="35">
        <f>SUMIFS(Angela_2026_Chase1117_Activity_!$D$2:$D$1368,Angela_2026_Chase1117_Activity_!$B$2:$B$1368,"&gt;="&amp;F$4,Angela_2026_Chase1117_Activity_!$B$2:$B$1368,"&lt;="&amp;EOMONTH(F$4,0),Angela_2026_Chase1117_Activity_!$G$2:$G$1368,$A23)</f>
        <v>-5.0999999999999996</v>
      </c>
      <c r="G23" s="35">
        <f>SUMIFS(Angela_2026_Chase1117_Activity_!$D$2:$D$1368,Angela_2026_Chase1117_Activity_!$B$2:$B$1368,"&gt;="&amp;G$4,Angela_2026_Chase1117_Activity_!$B$2:$B$1368,"&lt;="&amp;EOMONTH(G$4,0),Angela_2026_Chase1117_Activity_!$G$2:$G$1368,$A23)</f>
        <v>-6.86</v>
      </c>
      <c r="H23" s="35">
        <f>SUMIFS(Angela_2026_Chase1117_Activity_!$D$2:$D$1368,Angela_2026_Chase1117_Activity_!$B$2:$B$1368,"&gt;="&amp;H$4,Angela_2026_Chase1117_Activity_!$B$2:$B$1368,"&lt;="&amp;EOMONTH(H$4,0),Angela_2026_Chase1117_Activity_!$G$2:$G$1368,$A23)</f>
        <v>0</v>
      </c>
      <c r="I23" s="35">
        <f t="shared" si="0"/>
        <v>-81.339999999999989</v>
      </c>
    </row>
    <row r="24" spans="1:9" x14ac:dyDescent="0.25">
      <c r="A24" s="29" t="s">
        <v>1569</v>
      </c>
      <c r="B24" s="35">
        <f>SUMIFS(Angela_2026_Chase1117_Activity_!$D$2:$D$1368,Angela_2026_Chase1117_Activity_!$B$2:$B$1368,"&gt;="&amp;B$4,Angela_2026_Chase1117_Activity_!$B$2:$B$1368,"&lt;="&amp;EOMONTH(B$4,0),Angela_2026_Chase1117_Activity_!$G$2:$G$1368,$A24)</f>
        <v>0</v>
      </c>
      <c r="C24" s="35">
        <f>SUMIFS(Angela_2026_Chase1117_Activity_!$D$2:$D$1368,Angela_2026_Chase1117_Activity_!$B$2:$B$1368,"&gt;="&amp;C$4,Angela_2026_Chase1117_Activity_!$B$2:$B$1368,"&lt;="&amp;EOMONTH(C$4,0),Angela_2026_Chase1117_Activity_!$G$2:$G$1368,$A24)</f>
        <v>0</v>
      </c>
      <c r="D24" s="35">
        <f>SUMIFS(Angela_2026_Chase1117_Activity_!$D$2:$D$1368,Angela_2026_Chase1117_Activity_!$B$2:$B$1368,"&gt;="&amp;D$4,Angela_2026_Chase1117_Activity_!$B$2:$B$1368,"&lt;="&amp;EOMONTH(D$4,0),Angela_2026_Chase1117_Activity_!$G$2:$G$1368,$A24)</f>
        <v>0</v>
      </c>
      <c r="E24" s="35">
        <f>SUMIFS(Angela_2026_Chase1117_Activity_!$D$2:$D$1368,Angela_2026_Chase1117_Activity_!$B$2:$B$1368,"&gt;="&amp;E$4,Angela_2026_Chase1117_Activity_!$B$2:$B$1368,"&lt;="&amp;EOMONTH(E$4,0),Angela_2026_Chase1117_Activity_!$G$2:$G$1368,$A24)</f>
        <v>0</v>
      </c>
      <c r="F24" s="35">
        <f>SUMIFS(Angela_2026_Chase1117_Activity_!$D$2:$D$1368,Angela_2026_Chase1117_Activity_!$B$2:$B$1368,"&gt;="&amp;F$4,Angela_2026_Chase1117_Activity_!$B$2:$B$1368,"&lt;="&amp;EOMONTH(F$4,0),Angela_2026_Chase1117_Activity_!$G$2:$G$1368,$A24)</f>
        <v>-3043.85</v>
      </c>
      <c r="G24" s="35">
        <f>SUMIFS(Angela_2026_Chase1117_Activity_!$D$2:$D$1368,Angela_2026_Chase1117_Activity_!$B$2:$B$1368,"&gt;="&amp;G$4,Angela_2026_Chase1117_Activity_!$B$2:$B$1368,"&lt;="&amp;EOMONTH(G$4,0),Angela_2026_Chase1117_Activity_!$G$2:$G$1368,$A24)</f>
        <v>0</v>
      </c>
      <c r="H24" s="35">
        <f>SUMIFS(Angela_2026_Chase1117_Activity_!$D$2:$D$1368,Angela_2026_Chase1117_Activity_!$B$2:$B$1368,"&gt;="&amp;H$4,Angela_2026_Chase1117_Activity_!$B$2:$B$1368,"&lt;="&amp;EOMONTH(H$4,0),Angela_2026_Chase1117_Activity_!$G$2:$G$1368,$A24)</f>
        <v>0</v>
      </c>
      <c r="I24" s="35">
        <f t="shared" si="0"/>
        <v>-3043.85</v>
      </c>
    </row>
    <row r="25" spans="1:9" x14ac:dyDescent="0.25">
      <c r="A25" s="29" t="s">
        <v>1356</v>
      </c>
      <c r="B25" s="35">
        <f>SUMIFS(Angela_2026_Chase1117_Activity_!$D$2:$D$1368,Angela_2026_Chase1117_Activity_!$B$2:$B$1368,"&gt;="&amp;B$4,Angela_2026_Chase1117_Activity_!$B$2:$B$1368,"&lt;="&amp;EOMONTH(B$4,0),Angela_2026_Chase1117_Activity_!$G$2:$G$1368,$A25)</f>
        <v>-249.86</v>
      </c>
      <c r="C25" s="35">
        <f>SUMIFS(Angela_2026_Chase1117_Activity_!$D$2:$D$1368,Angela_2026_Chase1117_Activity_!$B$2:$B$1368,"&gt;="&amp;C$4,Angela_2026_Chase1117_Activity_!$B$2:$B$1368,"&lt;="&amp;EOMONTH(C$4,0),Angela_2026_Chase1117_Activity_!$G$2:$G$1368,$A25)</f>
        <v>0</v>
      </c>
      <c r="D25" s="35">
        <f>SUMIFS(Angela_2026_Chase1117_Activity_!$D$2:$D$1368,Angela_2026_Chase1117_Activity_!$B$2:$B$1368,"&gt;="&amp;D$4,Angela_2026_Chase1117_Activity_!$B$2:$B$1368,"&lt;="&amp;EOMONTH(D$4,0),Angela_2026_Chase1117_Activity_!$G$2:$G$1368,$A25)</f>
        <v>-389.27</v>
      </c>
      <c r="E25" s="35">
        <f>SUMIFS(Angela_2026_Chase1117_Activity_!$D$2:$D$1368,Angela_2026_Chase1117_Activity_!$B$2:$B$1368,"&gt;="&amp;E$4,Angela_2026_Chase1117_Activity_!$B$2:$B$1368,"&lt;="&amp;EOMONTH(E$4,0),Angela_2026_Chase1117_Activity_!$G$2:$G$1368,$A25)</f>
        <v>0</v>
      </c>
      <c r="F25" s="35">
        <f>SUMIFS(Angela_2026_Chase1117_Activity_!$D$2:$D$1368,Angela_2026_Chase1117_Activity_!$B$2:$B$1368,"&gt;="&amp;F$4,Angela_2026_Chase1117_Activity_!$B$2:$B$1368,"&lt;="&amp;EOMONTH(F$4,0),Angela_2026_Chase1117_Activity_!$G$2:$G$1368,$A25)</f>
        <v>0</v>
      </c>
      <c r="G25" s="35">
        <f>SUMIFS(Angela_2026_Chase1117_Activity_!$D$2:$D$1368,Angela_2026_Chase1117_Activity_!$B$2:$B$1368,"&gt;="&amp;G$4,Angela_2026_Chase1117_Activity_!$B$2:$B$1368,"&lt;="&amp;EOMONTH(G$4,0),Angela_2026_Chase1117_Activity_!$G$2:$G$1368,$A25)</f>
        <v>0</v>
      </c>
      <c r="H25" s="35">
        <f>SUMIFS(Angela_2026_Chase1117_Activity_!$D$2:$D$1368,Angela_2026_Chase1117_Activity_!$B$2:$B$1368,"&gt;="&amp;H$4,Angela_2026_Chase1117_Activity_!$B$2:$B$1368,"&lt;="&amp;EOMONTH(H$4,0),Angela_2026_Chase1117_Activity_!$G$2:$G$1368,$A25)</f>
        <v>0</v>
      </c>
      <c r="I25" s="35">
        <f t="shared" si="0"/>
        <v>-639.13</v>
      </c>
    </row>
    <row r="26" spans="1:9" x14ac:dyDescent="0.25">
      <c r="A26" s="29" t="s">
        <v>1331</v>
      </c>
      <c r="B26" s="35">
        <f>SUMIFS(Angela_2026_Chase1117_Activity_!$D$2:$D$1368,Angela_2026_Chase1117_Activity_!$B$2:$B$1368,"&gt;="&amp;B$4,Angela_2026_Chase1117_Activity_!$B$2:$B$1368,"&lt;="&amp;EOMONTH(B$4,0),Angela_2026_Chase1117_Activity_!$G$2:$G$1368,$A26)</f>
        <v>0</v>
      </c>
      <c r="C26" s="35">
        <f>SUMIFS(Angela_2026_Chase1117_Activity_!$D$2:$D$1368,Angela_2026_Chase1117_Activity_!$B$2:$B$1368,"&gt;="&amp;C$4,Angela_2026_Chase1117_Activity_!$B$2:$B$1368,"&lt;="&amp;EOMONTH(C$4,0),Angela_2026_Chase1117_Activity_!$G$2:$G$1368,$A26)</f>
        <v>-393.96</v>
      </c>
      <c r="D26" s="35">
        <f>SUMIFS(Angela_2026_Chase1117_Activity_!$D$2:$D$1368,Angela_2026_Chase1117_Activity_!$B$2:$B$1368,"&gt;="&amp;D$4,Angela_2026_Chase1117_Activity_!$B$2:$B$1368,"&lt;="&amp;EOMONTH(D$4,0),Angela_2026_Chase1117_Activity_!$G$2:$G$1368,$A26)</f>
        <v>0</v>
      </c>
      <c r="E26" s="35">
        <f>SUMIFS(Angela_2026_Chase1117_Activity_!$D$2:$D$1368,Angela_2026_Chase1117_Activity_!$B$2:$B$1368,"&gt;="&amp;E$4,Angela_2026_Chase1117_Activity_!$B$2:$B$1368,"&lt;="&amp;EOMONTH(E$4,0),Angela_2026_Chase1117_Activity_!$G$2:$G$1368,$A26)</f>
        <v>0</v>
      </c>
      <c r="F26" s="35">
        <f>SUMIFS(Angela_2026_Chase1117_Activity_!$D$2:$D$1368,Angela_2026_Chase1117_Activity_!$B$2:$B$1368,"&gt;="&amp;F$4,Angela_2026_Chase1117_Activity_!$B$2:$B$1368,"&lt;="&amp;EOMONTH(F$4,0),Angela_2026_Chase1117_Activity_!$G$2:$G$1368,$A26)</f>
        <v>0</v>
      </c>
      <c r="G26" s="35">
        <f>SUMIFS(Angela_2026_Chase1117_Activity_!$D$2:$D$1368,Angela_2026_Chase1117_Activity_!$B$2:$B$1368,"&gt;="&amp;G$4,Angela_2026_Chase1117_Activity_!$B$2:$B$1368,"&lt;="&amp;EOMONTH(G$4,0),Angela_2026_Chase1117_Activity_!$G$2:$G$1368,$A26)</f>
        <v>0</v>
      </c>
      <c r="H26" s="35">
        <f>SUMIFS(Angela_2026_Chase1117_Activity_!$D$2:$D$1368,Angela_2026_Chase1117_Activity_!$B$2:$B$1368,"&gt;="&amp;H$4,Angela_2026_Chase1117_Activity_!$B$2:$B$1368,"&lt;="&amp;EOMONTH(H$4,0),Angela_2026_Chase1117_Activity_!$G$2:$G$1368,$A26)</f>
        <v>0</v>
      </c>
      <c r="I26" s="35">
        <f t="shared" si="0"/>
        <v>-393.96</v>
      </c>
    </row>
    <row r="27" spans="1:9" x14ac:dyDescent="0.25">
      <c r="A27" s="29" t="s">
        <v>1307</v>
      </c>
      <c r="B27" s="35">
        <f>SUMIFS(Angela_2026_Chase1117_Activity_!$D$2:$D$1368,Angela_2026_Chase1117_Activity_!$B$2:$B$1368,"&gt;="&amp;B$4,Angela_2026_Chase1117_Activity_!$B$2:$B$1368,"&lt;="&amp;EOMONTH(B$4,0),Angela_2026_Chase1117_Activity_!$G$2:$G$1368,$A27)</f>
        <v>-2494.21</v>
      </c>
      <c r="C27" s="35">
        <f>SUMIFS(Angela_2026_Chase1117_Activity_!$D$2:$D$1368,Angela_2026_Chase1117_Activity_!$B$2:$B$1368,"&gt;="&amp;C$4,Angela_2026_Chase1117_Activity_!$B$2:$B$1368,"&lt;="&amp;EOMONTH(C$4,0),Angela_2026_Chase1117_Activity_!$G$2:$G$1368,$A27)</f>
        <v>-3055.56</v>
      </c>
      <c r="D27" s="35">
        <f>SUMIFS(Angela_2026_Chase1117_Activity_!$D$2:$D$1368,Angela_2026_Chase1117_Activity_!$B$2:$B$1368,"&gt;="&amp;D$4,Angela_2026_Chase1117_Activity_!$B$2:$B$1368,"&lt;="&amp;EOMONTH(D$4,0),Angela_2026_Chase1117_Activity_!$G$2:$G$1368,$A27)</f>
        <v>-3111.12</v>
      </c>
      <c r="E27" s="35">
        <f>SUMIFS(Angela_2026_Chase1117_Activity_!$D$2:$D$1368,Angela_2026_Chase1117_Activity_!$B$2:$B$1368,"&gt;="&amp;E$4,Angela_2026_Chase1117_Activity_!$B$2:$B$1368,"&lt;="&amp;EOMONTH(E$4,0),Angela_2026_Chase1117_Activity_!$G$2:$G$1368,$A27)</f>
        <v>-2756.5700000000006</v>
      </c>
      <c r="F27" s="35">
        <f>SUMIFS(Angela_2026_Chase1117_Activity_!$D$2:$D$1368,Angela_2026_Chase1117_Activity_!$B$2:$B$1368,"&gt;="&amp;F$4,Angela_2026_Chase1117_Activity_!$B$2:$B$1368,"&lt;="&amp;EOMONTH(F$4,0),Angela_2026_Chase1117_Activity_!$G$2:$G$1368,$A27)</f>
        <v>-2196.9500000000003</v>
      </c>
      <c r="G27" s="35">
        <f>SUMIFS(Angela_2026_Chase1117_Activity_!$D$2:$D$1368,Angela_2026_Chase1117_Activity_!$B$2:$B$1368,"&gt;="&amp;G$4,Angela_2026_Chase1117_Activity_!$B$2:$B$1368,"&lt;="&amp;EOMONTH(G$4,0),Angela_2026_Chase1117_Activity_!$G$2:$G$1368,$A27)</f>
        <v>-2037.3500000000001</v>
      </c>
      <c r="H27" s="35">
        <f>SUMIFS(Angela_2026_Chase1117_Activity_!$D$2:$D$1368,Angela_2026_Chase1117_Activity_!$B$2:$B$1368,"&gt;="&amp;H$4,Angela_2026_Chase1117_Activity_!$B$2:$B$1368,"&lt;="&amp;EOMONTH(H$4,0),Angela_2026_Chase1117_Activity_!$G$2:$G$1368,$A27)</f>
        <v>-1215.3700000000001</v>
      </c>
      <c r="I27" s="35">
        <f t="shared" si="0"/>
        <v>-16867.13</v>
      </c>
    </row>
    <row r="28" spans="1:9" x14ac:dyDescent="0.25">
      <c r="A28" s="29" t="s">
        <v>1335</v>
      </c>
      <c r="B28" s="35">
        <f>SUMIFS(Angela_2026_Chase1117_Activity_!$D$2:$D$1368,Angela_2026_Chase1117_Activity_!$B$2:$B$1368,"&gt;="&amp;B$4,Angela_2026_Chase1117_Activity_!$B$2:$B$1368,"&lt;="&amp;EOMONTH(B$4,0),Angela_2026_Chase1117_Activity_!$G$2:$G$1368,$A28)</f>
        <v>0</v>
      </c>
      <c r="C28" s="35">
        <f>SUMIFS(Angela_2026_Chase1117_Activity_!$D$2:$D$1368,Angela_2026_Chase1117_Activity_!$B$2:$B$1368,"&gt;="&amp;C$4,Angela_2026_Chase1117_Activity_!$B$2:$B$1368,"&lt;="&amp;EOMONTH(C$4,0),Angela_2026_Chase1117_Activity_!$G$2:$G$1368,$A28)</f>
        <v>-1275.3</v>
      </c>
      <c r="D28" s="35">
        <f>SUMIFS(Angela_2026_Chase1117_Activity_!$D$2:$D$1368,Angela_2026_Chase1117_Activity_!$B$2:$B$1368,"&gt;="&amp;D$4,Angela_2026_Chase1117_Activity_!$B$2:$B$1368,"&lt;="&amp;EOMONTH(D$4,0),Angela_2026_Chase1117_Activity_!$G$2:$G$1368,$A28)</f>
        <v>-2537.88</v>
      </c>
      <c r="E28" s="35">
        <f>SUMIFS(Angela_2026_Chase1117_Activity_!$D$2:$D$1368,Angela_2026_Chase1117_Activity_!$B$2:$B$1368,"&gt;="&amp;E$4,Angela_2026_Chase1117_Activity_!$B$2:$B$1368,"&lt;="&amp;EOMONTH(E$4,0),Angela_2026_Chase1117_Activity_!$G$2:$G$1368,$A28)</f>
        <v>-1272.1199999999999</v>
      </c>
      <c r="F28" s="35">
        <f>SUMIFS(Angela_2026_Chase1117_Activity_!$D$2:$D$1368,Angela_2026_Chase1117_Activity_!$B$2:$B$1368,"&gt;="&amp;F$4,Angela_2026_Chase1117_Activity_!$B$2:$B$1368,"&lt;="&amp;EOMONTH(F$4,0),Angela_2026_Chase1117_Activity_!$G$2:$G$1368,$A28)</f>
        <v>0</v>
      </c>
      <c r="G28" s="35">
        <f>SUMIFS(Angela_2026_Chase1117_Activity_!$D$2:$D$1368,Angela_2026_Chase1117_Activity_!$B$2:$B$1368,"&gt;="&amp;G$4,Angela_2026_Chase1117_Activity_!$B$2:$B$1368,"&lt;="&amp;EOMONTH(G$4,0),Angela_2026_Chase1117_Activity_!$G$2:$G$1368,$A28)</f>
        <v>-2544.2399999999998</v>
      </c>
      <c r="H28" s="35">
        <f>SUMIFS(Angela_2026_Chase1117_Activity_!$D$2:$D$1368,Angela_2026_Chase1117_Activity_!$B$2:$B$1368,"&gt;="&amp;H$4,Angela_2026_Chase1117_Activity_!$B$2:$B$1368,"&lt;="&amp;EOMONTH(H$4,0),Angela_2026_Chase1117_Activity_!$G$2:$G$1368,$A28)</f>
        <v>0</v>
      </c>
      <c r="I28" s="35">
        <f t="shared" si="0"/>
        <v>-7629.54</v>
      </c>
    </row>
    <row r="29" spans="1:9" x14ac:dyDescent="0.25">
      <c r="A29" s="29" t="s">
        <v>1324</v>
      </c>
      <c r="B29" s="35">
        <f>SUMIFS(Angela_2026_Chase1117_Activity_!$D$2:$D$1368,Angela_2026_Chase1117_Activity_!$B$2:$B$1368,"&gt;="&amp;B$4,Angela_2026_Chase1117_Activity_!$B$2:$B$1368,"&lt;="&amp;EOMONTH(B$4,0),Angela_2026_Chase1117_Activity_!$G$2:$G$1368,$A29)</f>
        <v>-476.3</v>
      </c>
      <c r="C29" s="35">
        <f>SUMIFS(Angela_2026_Chase1117_Activity_!$D$2:$D$1368,Angela_2026_Chase1117_Activity_!$B$2:$B$1368,"&gt;="&amp;C$4,Angela_2026_Chase1117_Activity_!$B$2:$B$1368,"&lt;="&amp;EOMONTH(C$4,0),Angela_2026_Chase1117_Activity_!$G$2:$G$1368,$A29)</f>
        <v>-349.93</v>
      </c>
      <c r="D29" s="35">
        <f>SUMIFS(Angela_2026_Chase1117_Activity_!$D$2:$D$1368,Angela_2026_Chase1117_Activity_!$B$2:$B$1368,"&gt;="&amp;D$4,Angela_2026_Chase1117_Activity_!$B$2:$B$1368,"&lt;="&amp;EOMONTH(D$4,0),Angela_2026_Chase1117_Activity_!$G$2:$G$1368,$A29)</f>
        <v>-962.89</v>
      </c>
      <c r="E29" s="35">
        <f>SUMIFS(Angela_2026_Chase1117_Activity_!$D$2:$D$1368,Angela_2026_Chase1117_Activity_!$B$2:$B$1368,"&gt;="&amp;E$4,Angela_2026_Chase1117_Activity_!$B$2:$B$1368,"&lt;="&amp;EOMONTH(E$4,0),Angela_2026_Chase1117_Activity_!$G$2:$G$1368,$A29)</f>
        <v>-1144.73</v>
      </c>
      <c r="F29" s="35">
        <f>SUMIFS(Angela_2026_Chase1117_Activity_!$D$2:$D$1368,Angela_2026_Chase1117_Activity_!$B$2:$B$1368,"&gt;="&amp;F$4,Angela_2026_Chase1117_Activity_!$B$2:$B$1368,"&lt;="&amp;EOMONTH(F$4,0),Angela_2026_Chase1117_Activity_!$G$2:$G$1368,$A29)</f>
        <v>-1720.8300000000002</v>
      </c>
      <c r="G29" s="35">
        <f>SUMIFS(Angela_2026_Chase1117_Activity_!$D$2:$D$1368,Angela_2026_Chase1117_Activity_!$B$2:$B$1368,"&gt;="&amp;G$4,Angela_2026_Chase1117_Activity_!$B$2:$B$1368,"&lt;="&amp;EOMONTH(G$4,0),Angela_2026_Chase1117_Activity_!$G$2:$G$1368,$A29)</f>
        <v>-495.25</v>
      </c>
      <c r="H29" s="35">
        <f>SUMIFS(Angela_2026_Chase1117_Activity_!$D$2:$D$1368,Angela_2026_Chase1117_Activity_!$B$2:$B$1368,"&gt;="&amp;H$4,Angela_2026_Chase1117_Activity_!$B$2:$B$1368,"&lt;="&amp;EOMONTH(H$4,0),Angela_2026_Chase1117_Activity_!$G$2:$G$1368,$A29)</f>
        <v>-133</v>
      </c>
      <c r="I29" s="35">
        <f t="shared" si="0"/>
        <v>-5282.93</v>
      </c>
    </row>
    <row r="30" spans="1:9" x14ac:dyDescent="0.25">
      <c r="A30" s="29" t="s">
        <v>1314</v>
      </c>
      <c r="B30" s="35">
        <f>SUMIFS(Angela_2026_Chase1117_Activity_!$D$2:$D$1368,Angela_2026_Chase1117_Activity_!$B$2:$B$1368,"&gt;="&amp;B$4,Angela_2026_Chase1117_Activity_!$B$2:$B$1368,"&lt;="&amp;EOMONTH(B$4,0),Angela_2026_Chase1117_Activity_!$G$2:$G$1368,$A30)</f>
        <v>-492.89000000000004</v>
      </c>
      <c r="C30" s="35">
        <f>SUMIFS(Angela_2026_Chase1117_Activity_!$D$2:$D$1368,Angela_2026_Chase1117_Activity_!$B$2:$B$1368,"&gt;="&amp;C$4,Angela_2026_Chase1117_Activity_!$B$2:$B$1368,"&lt;="&amp;EOMONTH(C$4,0),Angela_2026_Chase1117_Activity_!$G$2:$G$1368,$A30)</f>
        <v>-725.92000000000007</v>
      </c>
      <c r="D30" s="35">
        <f>SUMIFS(Angela_2026_Chase1117_Activity_!$D$2:$D$1368,Angela_2026_Chase1117_Activity_!$B$2:$B$1368,"&gt;="&amp;D$4,Angela_2026_Chase1117_Activity_!$B$2:$B$1368,"&lt;="&amp;EOMONTH(D$4,0),Angela_2026_Chase1117_Activity_!$G$2:$G$1368,$A30)</f>
        <v>-130.93</v>
      </c>
      <c r="E30" s="35">
        <f>SUMIFS(Angela_2026_Chase1117_Activity_!$D$2:$D$1368,Angela_2026_Chase1117_Activity_!$B$2:$B$1368,"&gt;="&amp;E$4,Angela_2026_Chase1117_Activity_!$B$2:$B$1368,"&lt;="&amp;EOMONTH(E$4,0),Angela_2026_Chase1117_Activity_!$G$2:$G$1368,$A30)</f>
        <v>-292.88000000000005</v>
      </c>
      <c r="F30" s="35">
        <f>SUMIFS(Angela_2026_Chase1117_Activity_!$D$2:$D$1368,Angela_2026_Chase1117_Activity_!$B$2:$B$1368,"&gt;="&amp;F$4,Angela_2026_Chase1117_Activity_!$B$2:$B$1368,"&lt;="&amp;EOMONTH(F$4,0),Angela_2026_Chase1117_Activity_!$G$2:$G$1368,$A30)</f>
        <v>-545.83000000000004</v>
      </c>
      <c r="G30" s="35">
        <f>SUMIFS(Angela_2026_Chase1117_Activity_!$D$2:$D$1368,Angela_2026_Chase1117_Activity_!$B$2:$B$1368,"&gt;="&amp;G$4,Angela_2026_Chase1117_Activity_!$B$2:$B$1368,"&lt;="&amp;EOMONTH(G$4,0),Angela_2026_Chase1117_Activity_!$G$2:$G$1368,$A30)</f>
        <v>-260.93</v>
      </c>
      <c r="H30" s="35">
        <f>SUMIFS(Angela_2026_Chase1117_Activity_!$D$2:$D$1368,Angela_2026_Chase1117_Activity_!$B$2:$B$1368,"&gt;="&amp;H$4,Angela_2026_Chase1117_Activity_!$B$2:$B$1368,"&lt;="&amp;EOMONTH(H$4,0),Angela_2026_Chase1117_Activity_!$G$2:$G$1368,$A30)</f>
        <v>-149.92000000000002</v>
      </c>
      <c r="I30" s="35">
        <f t="shared" si="0"/>
        <v>-2599.3000000000002</v>
      </c>
    </row>
    <row r="31" spans="1:9" x14ac:dyDescent="0.25">
      <c r="A31" s="29" t="s">
        <v>1311</v>
      </c>
      <c r="B31" s="35">
        <f>SUMIFS(Angela_2026_Chase1117_Activity_!$D$2:$D$1368,Angela_2026_Chase1117_Activity_!$B$2:$B$1368,"&gt;="&amp;B$4,Angela_2026_Chase1117_Activity_!$B$2:$B$1368,"&lt;="&amp;EOMONTH(B$4,0),Angela_2026_Chase1117_Activity_!$G$2:$G$1368,$A31)</f>
        <v>-137.93</v>
      </c>
      <c r="C31" s="35">
        <f>SUMIFS(Angela_2026_Chase1117_Activity_!$D$2:$D$1368,Angela_2026_Chase1117_Activity_!$B$2:$B$1368,"&gt;="&amp;C$4,Angela_2026_Chase1117_Activity_!$B$2:$B$1368,"&lt;="&amp;EOMONTH(C$4,0),Angela_2026_Chase1117_Activity_!$G$2:$G$1368,$A31)</f>
        <v>-133.56</v>
      </c>
      <c r="D31" s="35">
        <f>SUMIFS(Angela_2026_Chase1117_Activity_!$D$2:$D$1368,Angela_2026_Chase1117_Activity_!$B$2:$B$1368,"&gt;="&amp;D$4,Angela_2026_Chase1117_Activity_!$B$2:$B$1368,"&lt;="&amp;EOMONTH(D$4,0),Angela_2026_Chase1117_Activity_!$G$2:$G$1368,$A31)</f>
        <v>-147.33999999999997</v>
      </c>
      <c r="E31" s="35">
        <f>SUMIFS(Angela_2026_Chase1117_Activity_!$D$2:$D$1368,Angela_2026_Chase1117_Activity_!$B$2:$B$1368,"&gt;="&amp;E$4,Angela_2026_Chase1117_Activity_!$B$2:$B$1368,"&lt;="&amp;EOMONTH(E$4,0),Angela_2026_Chase1117_Activity_!$G$2:$G$1368,$A31)</f>
        <v>-256.70999999999998</v>
      </c>
      <c r="F31" s="35">
        <f>SUMIFS(Angela_2026_Chase1117_Activity_!$D$2:$D$1368,Angela_2026_Chase1117_Activity_!$B$2:$B$1368,"&gt;="&amp;F$4,Angela_2026_Chase1117_Activity_!$B$2:$B$1368,"&lt;="&amp;EOMONTH(F$4,0),Angela_2026_Chase1117_Activity_!$G$2:$G$1368,$A31)</f>
        <v>-1193.24</v>
      </c>
      <c r="G31" s="35">
        <f>SUMIFS(Angela_2026_Chase1117_Activity_!$D$2:$D$1368,Angela_2026_Chase1117_Activity_!$B$2:$B$1368,"&gt;="&amp;G$4,Angela_2026_Chase1117_Activity_!$B$2:$B$1368,"&lt;="&amp;EOMONTH(G$4,0),Angela_2026_Chase1117_Activity_!$G$2:$G$1368,$A31)</f>
        <v>-606.28</v>
      </c>
      <c r="H31" s="35">
        <f>SUMIFS(Angela_2026_Chase1117_Activity_!$D$2:$D$1368,Angela_2026_Chase1117_Activity_!$B$2:$B$1368,"&gt;="&amp;H$4,Angela_2026_Chase1117_Activity_!$B$2:$B$1368,"&lt;="&amp;EOMONTH(H$4,0),Angela_2026_Chase1117_Activity_!$G$2:$G$1368,$A31)</f>
        <v>-56.17</v>
      </c>
      <c r="I31" s="35">
        <f t="shared" si="0"/>
        <v>-2531.23</v>
      </c>
    </row>
    <row r="32" spans="1:9" x14ac:dyDescent="0.25">
      <c r="A32" s="29" t="s">
        <v>1310</v>
      </c>
      <c r="B32" s="35">
        <f>SUMIFS(Angela_2026_Chase1117_Activity_!$D$2:$D$1368,Angela_2026_Chase1117_Activity_!$B$2:$B$1368,"&gt;="&amp;B$4,Angela_2026_Chase1117_Activity_!$B$2:$B$1368,"&lt;="&amp;EOMONTH(B$4,0),Angela_2026_Chase1117_Activity_!$G$2:$G$1368,$A32)</f>
        <v>-4456.6500000000005</v>
      </c>
      <c r="C32" s="35">
        <f>SUMIFS(Angela_2026_Chase1117_Activity_!$D$2:$D$1368,Angela_2026_Chase1117_Activity_!$B$2:$B$1368,"&gt;="&amp;C$4,Angela_2026_Chase1117_Activity_!$B$2:$B$1368,"&lt;="&amp;EOMONTH(C$4,0),Angela_2026_Chase1117_Activity_!$G$2:$G$1368,$A32)</f>
        <v>-1639.4</v>
      </c>
      <c r="D32" s="35">
        <f>SUMIFS(Angela_2026_Chase1117_Activity_!$D$2:$D$1368,Angela_2026_Chase1117_Activity_!$B$2:$B$1368,"&gt;="&amp;D$4,Angela_2026_Chase1117_Activity_!$B$2:$B$1368,"&lt;="&amp;EOMONTH(D$4,0),Angela_2026_Chase1117_Activity_!$G$2:$G$1368,$A32)</f>
        <v>-2413.7300000000005</v>
      </c>
      <c r="E32" s="35">
        <f>SUMIFS(Angela_2026_Chase1117_Activity_!$D$2:$D$1368,Angela_2026_Chase1117_Activity_!$B$2:$B$1368,"&gt;="&amp;E$4,Angela_2026_Chase1117_Activity_!$B$2:$B$1368,"&lt;="&amp;EOMONTH(E$4,0),Angela_2026_Chase1117_Activity_!$G$2:$G$1368,$A32)</f>
        <v>-1596.3</v>
      </c>
      <c r="F32" s="35">
        <f>SUMIFS(Angela_2026_Chase1117_Activity_!$D$2:$D$1368,Angela_2026_Chase1117_Activity_!$B$2:$B$1368,"&gt;="&amp;F$4,Angela_2026_Chase1117_Activity_!$B$2:$B$1368,"&lt;="&amp;EOMONTH(F$4,0),Angela_2026_Chase1117_Activity_!$G$2:$G$1368,$A32)</f>
        <v>-2328.77</v>
      </c>
      <c r="G32" s="35">
        <f>SUMIFS(Angela_2026_Chase1117_Activity_!$D$2:$D$1368,Angela_2026_Chase1117_Activity_!$B$2:$B$1368,"&gt;="&amp;G$4,Angela_2026_Chase1117_Activity_!$B$2:$B$1368,"&lt;="&amp;EOMONTH(G$4,0),Angela_2026_Chase1117_Activity_!$G$2:$G$1368,$A32)</f>
        <v>-1450.3500000000001</v>
      </c>
      <c r="H32" s="35">
        <f>SUMIFS(Angela_2026_Chase1117_Activity_!$D$2:$D$1368,Angela_2026_Chase1117_Activity_!$B$2:$B$1368,"&gt;="&amp;H$4,Angela_2026_Chase1117_Activity_!$B$2:$B$1368,"&lt;="&amp;EOMONTH(H$4,0),Angela_2026_Chase1117_Activity_!$G$2:$G$1368,$A32)</f>
        <v>-65</v>
      </c>
      <c r="I32" s="35">
        <f t="shared" si="0"/>
        <v>-13950.200000000003</v>
      </c>
    </row>
    <row r="33" spans="1:9" x14ac:dyDescent="0.25">
      <c r="A33" s="29" t="s">
        <v>1309</v>
      </c>
      <c r="B33" s="35">
        <f>SUMIFS(Angela_2026_Chase1117_Activity_!$D$2:$D$1368,Angela_2026_Chase1117_Activity_!$B$2:$B$1368,"&gt;="&amp;B$4,Angela_2026_Chase1117_Activity_!$B$2:$B$1368,"&lt;="&amp;EOMONTH(B$4,0),Angela_2026_Chase1117_Activity_!$G$2:$G$1368,$A33)</f>
        <v>-811.03</v>
      </c>
      <c r="C33" s="35">
        <f>SUMIFS(Angela_2026_Chase1117_Activity_!$D$2:$D$1368,Angela_2026_Chase1117_Activity_!$B$2:$B$1368,"&gt;="&amp;C$4,Angela_2026_Chase1117_Activity_!$B$2:$B$1368,"&lt;="&amp;EOMONTH(C$4,0),Angela_2026_Chase1117_Activity_!$G$2:$G$1368,$A33)</f>
        <v>-893.47000000000014</v>
      </c>
      <c r="D33" s="35">
        <f>SUMIFS(Angela_2026_Chase1117_Activity_!$D$2:$D$1368,Angela_2026_Chase1117_Activity_!$B$2:$B$1368,"&gt;="&amp;D$4,Angela_2026_Chase1117_Activity_!$B$2:$B$1368,"&lt;="&amp;EOMONTH(D$4,0),Angela_2026_Chase1117_Activity_!$G$2:$G$1368,$A33)</f>
        <v>-135.6</v>
      </c>
      <c r="E33" s="35">
        <f>SUMIFS(Angela_2026_Chase1117_Activity_!$D$2:$D$1368,Angela_2026_Chase1117_Activity_!$B$2:$B$1368,"&gt;="&amp;E$4,Angela_2026_Chase1117_Activity_!$B$2:$B$1368,"&lt;="&amp;EOMONTH(E$4,0),Angela_2026_Chase1117_Activity_!$G$2:$G$1368,$A33)</f>
        <v>-229.57999999999998</v>
      </c>
      <c r="F33" s="35">
        <f>SUMIFS(Angela_2026_Chase1117_Activity_!$D$2:$D$1368,Angela_2026_Chase1117_Activity_!$B$2:$B$1368,"&gt;="&amp;F$4,Angela_2026_Chase1117_Activity_!$B$2:$B$1368,"&lt;="&amp;EOMONTH(F$4,0),Angela_2026_Chase1117_Activity_!$G$2:$G$1368,$A33)</f>
        <v>-535.67000000000007</v>
      </c>
      <c r="G33" s="35">
        <f>SUMIFS(Angela_2026_Chase1117_Activity_!$D$2:$D$1368,Angela_2026_Chase1117_Activity_!$B$2:$B$1368,"&gt;="&amp;G$4,Angela_2026_Chase1117_Activity_!$B$2:$B$1368,"&lt;="&amp;EOMONTH(G$4,0),Angela_2026_Chase1117_Activity_!$G$2:$G$1368,$A33)</f>
        <v>-686.3900000000001</v>
      </c>
      <c r="H33" s="35">
        <f>SUMIFS(Angela_2026_Chase1117_Activity_!$D$2:$D$1368,Angela_2026_Chase1117_Activity_!$B$2:$B$1368,"&gt;="&amp;H$4,Angela_2026_Chase1117_Activity_!$B$2:$B$1368,"&lt;="&amp;EOMONTH(H$4,0),Angela_2026_Chase1117_Activity_!$G$2:$G$1368,$A33)</f>
        <v>-99.48</v>
      </c>
      <c r="I33" s="35">
        <f t="shared" si="0"/>
        <v>-3391.22</v>
      </c>
    </row>
    <row r="34" spans="1:9" x14ac:dyDescent="0.25">
      <c r="A34" s="29" t="s">
        <v>1308</v>
      </c>
      <c r="B34" s="35">
        <f>SUMIFS(Angela_2026_Chase1117_Activity_!$D$2:$D$1368,Angela_2026_Chase1117_Activity_!$B$2:$B$1368,"&gt;="&amp;B$4,Angela_2026_Chase1117_Activity_!$B$2:$B$1368,"&lt;="&amp;EOMONTH(B$4,0),Angela_2026_Chase1117_Activity_!$G$2:$G$1368,$A34)</f>
        <v>-5472.2699999999995</v>
      </c>
      <c r="C34" s="35">
        <f>SUMIFS(Angela_2026_Chase1117_Activity_!$D$2:$D$1368,Angela_2026_Chase1117_Activity_!$B$2:$B$1368,"&gt;="&amp;C$4,Angela_2026_Chase1117_Activity_!$B$2:$B$1368,"&lt;="&amp;EOMONTH(C$4,0),Angela_2026_Chase1117_Activity_!$G$2:$G$1368,$A34)</f>
        <v>-7620.3900000000012</v>
      </c>
      <c r="D34" s="35">
        <f>SUMIFS(Angela_2026_Chase1117_Activity_!$D$2:$D$1368,Angela_2026_Chase1117_Activity_!$B$2:$B$1368,"&gt;="&amp;D$4,Angela_2026_Chase1117_Activity_!$B$2:$B$1368,"&lt;="&amp;EOMONTH(D$4,0),Angela_2026_Chase1117_Activity_!$G$2:$G$1368,$A34)</f>
        <v>-4475.2000000000007</v>
      </c>
      <c r="E34" s="35">
        <f>SUMIFS(Angela_2026_Chase1117_Activity_!$D$2:$D$1368,Angela_2026_Chase1117_Activity_!$B$2:$B$1368,"&gt;="&amp;E$4,Angela_2026_Chase1117_Activity_!$B$2:$B$1368,"&lt;="&amp;EOMONTH(E$4,0),Angela_2026_Chase1117_Activity_!$G$2:$G$1368,$A34)</f>
        <v>-1999.0800000000002</v>
      </c>
      <c r="F34" s="35">
        <f>SUMIFS(Angela_2026_Chase1117_Activity_!$D$2:$D$1368,Angela_2026_Chase1117_Activity_!$B$2:$B$1368,"&gt;="&amp;F$4,Angela_2026_Chase1117_Activity_!$B$2:$B$1368,"&lt;="&amp;EOMONTH(F$4,0),Angela_2026_Chase1117_Activity_!$G$2:$G$1368,$A34)</f>
        <v>-4392.0199999999995</v>
      </c>
      <c r="G34" s="35">
        <f>SUMIFS(Angela_2026_Chase1117_Activity_!$D$2:$D$1368,Angela_2026_Chase1117_Activity_!$B$2:$B$1368,"&gt;="&amp;G$4,Angela_2026_Chase1117_Activity_!$B$2:$B$1368,"&lt;="&amp;EOMONTH(G$4,0),Angela_2026_Chase1117_Activity_!$G$2:$G$1368,$A34)</f>
        <v>-2047.7299999999998</v>
      </c>
      <c r="H34" s="35">
        <f>SUMIFS(Angela_2026_Chase1117_Activity_!$D$2:$D$1368,Angela_2026_Chase1117_Activity_!$B$2:$B$1368,"&gt;="&amp;H$4,Angela_2026_Chase1117_Activity_!$B$2:$B$1368,"&lt;="&amp;EOMONTH(H$4,0),Angela_2026_Chase1117_Activity_!$G$2:$G$1368,$A34)</f>
        <v>-137.18</v>
      </c>
      <c r="I34" s="35">
        <f t="shared" si="0"/>
        <v>-26143.870000000003</v>
      </c>
    </row>
    <row r="35" spans="1:9" x14ac:dyDescent="0.25">
      <c r="A35" s="29" t="s">
        <v>1508</v>
      </c>
      <c r="B35" s="35">
        <f>SUMIFS(Angela_2026_Chase1117_Activity_!$D$2:$D$1368,Angela_2026_Chase1117_Activity_!$B$2:$B$1368,"&gt;="&amp;B$4,Angela_2026_Chase1117_Activity_!$B$2:$B$1368,"&lt;="&amp;EOMONTH(B$4,0),Angela_2026_Chase1117_Activity_!$G$2:$G$1368,$A35)</f>
        <v>-3304.29</v>
      </c>
      <c r="C35" s="35">
        <f>SUMIFS(Angela_2026_Chase1117_Activity_!$D$2:$D$1368,Angela_2026_Chase1117_Activity_!$B$2:$B$1368,"&gt;="&amp;C$4,Angela_2026_Chase1117_Activity_!$B$2:$B$1368,"&lt;="&amp;EOMONTH(C$4,0),Angela_2026_Chase1117_Activity_!$G$2:$G$1368,$A35)</f>
        <v>-1002.83</v>
      </c>
      <c r="D35" s="35">
        <f>SUMIFS(Angela_2026_Chase1117_Activity_!$D$2:$D$1368,Angela_2026_Chase1117_Activity_!$B$2:$B$1368,"&gt;="&amp;D$4,Angela_2026_Chase1117_Activity_!$B$2:$B$1368,"&lt;="&amp;EOMONTH(D$4,0),Angela_2026_Chase1117_Activity_!$G$2:$G$1368,$A35)</f>
        <v>-3597.31</v>
      </c>
      <c r="E35" s="35">
        <f>SUMIFS(Angela_2026_Chase1117_Activity_!$D$2:$D$1368,Angela_2026_Chase1117_Activity_!$B$2:$B$1368,"&gt;="&amp;E$4,Angela_2026_Chase1117_Activity_!$B$2:$B$1368,"&lt;="&amp;EOMONTH(E$4,0),Angela_2026_Chase1117_Activity_!$G$2:$G$1368,$A35)</f>
        <v>-1520.54</v>
      </c>
      <c r="F35" s="35">
        <f>SUMIFS(Angela_2026_Chase1117_Activity_!$D$2:$D$1368,Angela_2026_Chase1117_Activity_!$B$2:$B$1368,"&gt;="&amp;F$4,Angela_2026_Chase1117_Activity_!$B$2:$B$1368,"&lt;="&amp;EOMONTH(F$4,0),Angela_2026_Chase1117_Activity_!$G$2:$G$1368,$A35)</f>
        <v>-1808.02</v>
      </c>
      <c r="G35" s="35">
        <f>SUMIFS(Angela_2026_Chase1117_Activity_!$D$2:$D$1368,Angela_2026_Chase1117_Activity_!$B$2:$B$1368,"&gt;="&amp;G$4,Angela_2026_Chase1117_Activity_!$B$2:$B$1368,"&lt;="&amp;EOMONTH(G$4,0),Angela_2026_Chase1117_Activity_!$G$2:$G$1368,$A35)</f>
        <v>-4579.87</v>
      </c>
      <c r="H35" s="35">
        <f>SUMIFS(Angela_2026_Chase1117_Activity_!$D$2:$D$1368,Angela_2026_Chase1117_Activity_!$B$2:$B$1368,"&gt;="&amp;H$4,Angela_2026_Chase1117_Activity_!$B$2:$B$1368,"&lt;="&amp;EOMONTH(H$4,0),Angela_2026_Chase1117_Activity_!$G$2:$G$1368,$A35)</f>
        <v>0</v>
      </c>
      <c r="I35" s="35">
        <f t="shared" si="0"/>
        <v>-15812.86</v>
      </c>
    </row>
    <row r="36" spans="1:9" x14ac:dyDescent="0.25">
      <c r="A36" s="29" t="s">
        <v>1537</v>
      </c>
      <c r="B36" s="35">
        <f>SUMIFS(Angela_2026_Chase1117_Activity_!$D$2:$D$1368,Angela_2026_Chase1117_Activity_!$B$2:$B$1368,"&gt;="&amp;B$4,Angela_2026_Chase1117_Activity_!$B$2:$B$1368,"&lt;="&amp;EOMONTH(B$4,0),Angela_2026_Chase1117_Activity_!$G$2:$G$1368,$A36)</f>
        <v>0</v>
      </c>
      <c r="C36" s="35">
        <f>SUMIFS(Angela_2026_Chase1117_Activity_!$D$2:$D$1368,Angela_2026_Chase1117_Activity_!$B$2:$B$1368,"&gt;="&amp;C$4,Angela_2026_Chase1117_Activity_!$B$2:$B$1368,"&lt;="&amp;EOMONTH(C$4,0),Angela_2026_Chase1117_Activity_!$G$2:$G$1368,$A36)</f>
        <v>-273.91000000000003</v>
      </c>
      <c r="D36" s="35">
        <f>SUMIFS(Angela_2026_Chase1117_Activity_!$D$2:$D$1368,Angela_2026_Chase1117_Activity_!$B$2:$B$1368,"&gt;="&amp;D$4,Angela_2026_Chase1117_Activity_!$B$2:$B$1368,"&lt;="&amp;EOMONTH(D$4,0),Angela_2026_Chase1117_Activity_!$G$2:$G$1368,$A36)</f>
        <v>-66.680000000000007</v>
      </c>
      <c r="E36" s="35">
        <f>SUMIFS(Angela_2026_Chase1117_Activity_!$D$2:$D$1368,Angela_2026_Chase1117_Activity_!$B$2:$B$1368,"&gt;="&amp;E$4,Angela_2026_Chase1117_Activity_!$B$2:$B$1368,"&lt;="&amp;EOMONTH(E$4,0),Angela_2026_Chase1117_Activity_!$G$2:$G$1368,$A36)</f>
        <v>-280</v>
      </c>
      <c r="F36" s="35">
        <f>SUMIFS(Angela_2026_Chase1117_Activity_!$D$2:$D$1368,Angela_2026_Chase1117_Activity_!$B$2:$B$1368,"&gt;="&amp;F$4,Angela_2026_Chase1117_Activity_!$B$2:$B$1368,"&lt;="&amp;EOMONTH(F$4,0),Angela_2026_Chase1117_Activity_!$G$2:$G$1368,$A36)</f>
        <v>-259.86</v>
      </c>
      <c r="G36" s="35">
        <f>SUMIFS(Angela_2026_Chase1117_Activity_!$D$2:$D$1368,Angela_2026_Chase1117_Activity_!$B$2:$B$1368,"&gt;="&amp;G$4,Angela_2026_Chase1117_Activity_!$B$2:$B$1368,"&lt;="&amp;EOMONTH(G$4,0),Angela_2026_Chase1117_Activity_!$G$2:$G$1368,$A36)</f>
        <v>-43.39</v>
      </c>
      <c r="H36" s="35">
        <f>SUMIFS(Angela_2026_Chase1117_Activity_!$D$2:$D$1368,Angela_2026_Chase1117_Activity_!$B$2:$B$1368,"&gt;="&amp;H$4,Angela_2026_Chase1117_Activity_!$B$2:$B$1368,"&lt;="&amp;EOMONTH(H$4,0),Angela_2026_Chase1117_Activity_!$G$2:$G$1368,$A36)</f>
        <v>0</v>
      </c>
      <c r="I36" s="35">
        <f t="shared" si="0"/>
        <v>-923.84</v>
      </c>
    </row>
    <row r="37" spans="1:9" x14ac:dyDescent="0.25">
      <c r="A37" s="29" t="s">
        <v>1364</v>
      </c>
      <c r="B37" s="35">
        <f>SUMIFS(Angela_2026_Chase1117_Activity_!$D$2:$D$1368,Angela_2026_Chase1117_Activity_!$B$2:$B$1368,"&gt;="&amp;B$4,Angela_2026_Chase1117_Activity_!$B$2:$B$1368,"&lt;="&amp;EOMONTH(B$4,0),Angela_2026_Chase1117_Activity_!$G$2:$G$1368,$A37)</f>
        <v>-133.07</v>
      </c>
      <c r="C37" s="35">
        <f>SUMIFS(Angela_2026_Chase1117_Activity_!$D$2:$D$1368,Angela_2026_Chase1117_Activity_!$B$2:$B$1368,"&gt;="&amp;C$4,Angela_2026_Chase1117_Activity_!$B$2:$B$1368,"&lt;="&amp;EOMONTH(C$4,0),Angela_2026_Chase1117_Activity_!$G$2:$G$1368,$A37)</f>
        <v>-47.53</v>
      </c>
      <c r="D37" s="35">
        <f>SUMIFS(Angela_2026_Chase1117_Activity_!$D$2:$D$1368,Angela_2026_Chase1117_Activity_!$B$2:$B$1368,"&gt;="&amp;D$4,Angela_2026_Chase1117_Activity_!$B$2:$B$1368,"&lt;="&amp;EOMONTH(D$4,0),Angela_2026_Chase1117_Activity_!$G$2:$G$1368,$A37)</f>
        <v>-68.78</v>
      </c>
      <c r="E37" s="35">
        <f>SUMIFS(Angela_2026_Chase1117_Activity_!$D$2:$D$1368,Angela_2026_Chase1117_Activity_!$B$2:$B$1368,"&gt;="&amp;E$4,Angela_2026_Chase1117_Activity_!$B$2:$B$1368,"&lt;="&amp;EOMONTH(E$4,0),Angela_2026_Chase1117_Activity_!$G$2:$G$1368,$A37)</f>
        <v>0</v>
      </c>
      <c r="F37" s="35">
        <f>SUMIFS(Angela_2026_Chase1117_Activity_!$D$2:$D$1368,Angela_2026_Chase1117_Activity_!$B$2:$B$1368,"&gt;="&amp;F$4,Angela_2026_Chase1117_Activity_!$B$2:$B$1368,"&lt;="&amp;EOMONTH(F$4,0),Angela_2026_Chase1117_Activity_!$G$2:$G$1368,$A37)</f>
        <v>-316.73999999999995</v>
      </c>
      <c r="G37" s="35">
        <f>SUMIFS(Angela_2026_Chase1117_Activity_!$D$2:$D$1368,Angela_2026_Chase1117_Activity_!$B$2:$B$1368,"&gt;="&amp;G$4,Angela_2026_Chase1117_Activity_!$B$2:$B$1368,"&lt;="&amp;EOMONTH(G$4,0),Angela_2026_Chase1117_Activity_!$G$2:$G$1368,$A37)</f>
        <v>0</v>
      </c>
      <c r="H37" s="35">
        <f>SUMIFS(Angela_2026_Chase1117_Activity_!$D$2:$D$1368,Angela_2026_Chase1117_Activity_!$B$2:$B$1368,"&gt;="&amp;H$4,Angela_2026_Chase1117_Activity_!$B$2:$B$1368,"&lt;="&amp;EOMONTH(H$4,0),Angela_2026_Chase1117_Activity_!$G$2:$G$1368,$A37)</f>
        <v>0</v>
      </c>
      <c r="I37" s="35">
        <f t="shared" si="0"/>
        <v>-566.11999999999989</v>
      </c>
    </row>
    <row r="38" spans="1:9" x14ac:dyDescent="0.25">
      <c r="A38" s="29" t="s">
        <v>1333</v>
      </c>
      <c r="B38" s="35">
        <f>SUMIFS(Angela_2026_Chase1117_Activity_!$D$2:$D$1368,Angela_2026_Chase1117_Activity_!$B$2:$B$1368,"&gt;="&amp;B$4,Angela_2026_Chase1117_Activity_!$B$2:$B$1368,"&lt;="&amp;EOMONTH(B$4,0),Angela_2026_Chase1117_Activity_!$G$2:$G$1368,$A38)</f>
        <v>0</v>
      </c>
      <c r="C38" s="35">
        <f>SUMIFS(Angela_2026_Chase1117_Activity_!$D$2:$D$1368,Angela_2026_Chase1117_Activity_!$B$2:$B$1368,"&gt;="&amp;C$4,Angela_2026_Chase1117_Activity_!$B$2:$B$1368,"&lt;="&amp;EOMONTH(C$4,0),Angela_2026_Chase1117_Activity_!$G$2:$G$1368,$A38)</f>
        <v>-227</v>
      </c>
      <c r="D38" s="35">
        <f>SUMIFS(Angela_2026_Chase1117_Activity_!$D$2:$D$1368,Angela_2026_Chase1117_Activity_!$B$2:$B$1368,"&gt;="&amp;D$4,Angela_2026_Chase1117_Activity_!$B$2:$B$1368,"&lt;="&amp;EOMONTH(D$4,0),Angela_2026_Chase1117_Activity_!$G$2:$G$1368,$A38)</f>
        <v>0</v>
      </c>
      <c r="E38" s="35">
        <f>SUMIFS(Angela_2026_Chase1117_Activity_!$D$2:$D$1368,Angela_2026_Chase1117_Activity_!$B$2:$B$1368,"&gt;="&amp;E$4,Angela_2026_Chase1117_Activity_!$B$2:$B$1368,"&lt;="&amp;EOMONTH(E$4,0),Angela_2026_Chase1117_Activity_!$G$2:$G$1368,$A38)</f>
        <v>0</v>
      </c>
      <c r="F38" s="35">
        <f>SUMIFS(Angela_2026_Chase1117_Activity_!$D$2:$D$1368,Angela_2026_Chase1117_Activity_!$B$2:$B$1368,"&gt;="&amp;F$4,Angela_2026_Chase1117_Activity_!$B$2:$B$1368,"&lt;="&amp;EOMONTH(F$4,0),Angela_2026_Chase1117_Activity_!$G$2:$G$1368,$A38)</f>
        <v>0</v>
      </c>
      <c r="G38" s="35">
        <f>SUMIFS(Angela_2026_Chase1117_Activity_!$D$2:$D$1368,Angela_2026_Chase1117_Activity_!$B$2:$B$1368,"&gt;="&amp;G$4,Angela_2026_Chase1117_Activity_!$B$2:$B$1368,"&lt;="&amp;EOMONTH(G$4,0),Angela_2026_Chase1117_Activity_!$G$2:$G$1368,$A38)</f>
        <v>0</v>
      </c>
      <c r="H38" s="35">
        <f>SUMIFS(Angela_2026_Chase1117_Activity_!$D$2:$D$1368,Angela_2026_Chase1117_Activity_!$B$2:$B$1368,"&gt;="&amp;H$4,Angela_2026_Chase1117_Activity_!$B$2:$B$1368,"&lt;="&amp;EOMONTH(H$4,0),Angela_2026_Chase1117_Activity_!$G$2:$G$1368,$A38)</f>
        <v>0</v>
      </c>
      <c r="I38" s="35">
        <f t="shared" si="0"/>
        <v>-227</v>
      </c>
    </row>
    <row r="39" spans="1:9" x14ac:dyDescent="0.25">
      <c r="A39" s="29" t="s">
        <v>1313</v>
      </c>
      <c r="B39" s="35">
        <f>SUMIFS(Angela_2026_Chase1117_Activity_!$D$2:$D$1368,Angela_2026_Chase1117_Activity_!$B$2:$B$1368,"&gt;="&amp;B$4,Angela_2026_Chase1117_Activity_!$B$2:$B$1368,"&lt;="&amp;EOMONTH(B$4,0),Angela_2026_Chase1117_Activity_!$G$2:$G$1368,$A39)</f>
        <v>-474.09999999999997</v>
      </c>
      <c r="C39" s="35">
        <f>SUMIFS(Angela_2026_Chase1117_Activity_!$D$2:$D$1368,Angela_2026_Chase1117_Activity_!$B$2:$B$1368,"&gt;="&amp;C$4,Angela_2026_Chase1117_Activity_!$B$2:$B$1368,"&lt;="&amp;EOMONTH(C$4,0),Angela_2026_Chase1117_Activity_!$G$2:$G$1368,$A39)</f>
        <v>0</v>
      </c>
      <c r="D39" s="35">
        <f>SUMIFS(Angela_2026_Chase1117_Activity_!$D$2:$D$1368,Angela_2026_Chase1117_Activity_!$B$2:$B$1368,"&gt;="&amp;D$4,Angela_2026_Chase1117_Activity_!$B$2:$B$1368,"&lt;="&amp;EOMONTH(D$4,0),Angela_2026_Chase1117_Activity_!$G$2:$G$1368,$A39)</f>
        <v>0</v>
      </c>
      <c r="E39" s="35">
        <f>SUMIFS(Angela_2026_Chase1117_Activity_!$D$2:$D$1368,Angela_2026_Chase1117_Activity_!$B$2:$B$1368,"&gt;="&amp;E$4,Angela_2026_Chase1117_Activity_!$B$2:$B$1368,"&lt;="&amp;EOMONTH(E$4,0),Angela_2026_Chase1117_Activity_!$G$2:$G$1368,$A39)</f>
        <v>0</v>
      </c>
      <c r="F39" s="35">
        <f>SUMIFS(Angela_2026_Chase1117_Activity_!$D$2:$D$1368,Angela_2026_Chase1117_Activity_!$B$2:$B$1368,"&gt;="&amp;F$4,Angela_2026_Chase1117_Activity_!$B$2:$B$1368,"&lt;="&amp;EOMONTH(F$4,0),Angela_2026_Chase1117_Activity_!$G$2:$G$1368,$A39)</f>
        <v>0</v>
      </c>
      <c r="G39" s="35">
        <f>SUMIFS(Angela_2026_Chase1117_Activity_!$D$2:$D$1368,Angela_2026_Chase1117_Activity_!$B$2:$B$1368,"&gt;="&amp;G$4,Angela_2026_Chase1117_Activity_!$B$2:$B$1368,"&lt;="&amp;EOMONTH(G$4,0),Angela_2026_Chase1117_Activity_!$G$2:$G$1368,$A39)</f>
        <v>0</v>
      </c>
      <c r="H39" s="35">
        <f>SUMIFS(Angela_2026_Chase1117_Activity_!$D$2:$D$1368,Angela_2026_Chase1117_Activity_!$B$2:$B$1368,"&gt;="&amp;H$4,Angela_2026_Chase1117_Activity_!$B$2:$B$1368,"&lt;="&amp;EOMONTH(H$4,0),Angela_2026_Chase1117_Activity_!$G$2:$G$1368,$A39)</f>
        <v>0</v>
      </c>
      <c r="I39" s="35">
        <f t="shared" si="0"/>
        <v>-474.09999999999997</v>
      </c>
    </row>
    <row r="40" spans="1:9" x14ac:dyDescent="0.25">
      <c r="A40" s="29" t="s">
        <v>1319</v>
      </c>
      <c r="B40" s="35">
        <f>SUMIFS(Angela_2026_Chase1117_Activity_!$D$2:$D$1368,Angela_2026_Chase1117_Activity_!$B$2:$B$1368,"&gt;="&amp;B$4,Angela_2026_Chase1117_Activity_!$B$2:$B$1368,"&lt;="&amp;EOMONTH(B$4,0),Angela_2026_Chase1117_Activity_!$G$2:$G$1368,$A40)</f>
        <v>-4756.8499999999985</v>
      </c>
      <c r="C40" s="35">
        <f>SUMIFS(Angela_2026_Chase1117_Activity_!$D$2:$D$1368,Angela_2026_Chase1117_Activity_!$B$2:$B$1368,"&gt;="&amp;C$4,Angela_2026_Chase1117_Activity_!$B$2:$B$1368,"&lt;="&amp;EOMONTH(C$4,0),Angela_2026_Chase1117_Activity_!$G$2:$G$1368,$A40)</f>
        <v>-3663.5999999999985</v>
      </c>
      <c r="D40" s="35">
        <f>SUMIFS(Angela_2026_Chase1117_Activity_!$D$2:$D$1368,Angela_2026_Chase1117_Activity_!$B$2:$B$1368,"&gt;="&amp;D$4,Angela_2026_Chase1117_Activity_!$B$2:$B$1368,"&lt;="&amp;EOMONTH(D$4,0),Angela_2026_Chase1117_Activity_!$G$2:$G$1368,$A40)</f>
        <v>-6608.6099999999988</v>
      </c>
      <c r="E40" s="35">
        <f>SUMIFS(Angela_2026_Chase1117_Activity_!$D$2:$D$1368,Angela_2026_Chase1117_Activity_!$B$2:$B$1368,"&gt;="&amp;E$4,Angela_2026_Chase1117_Activity_!$B$2:$B$1368,"&lt;="&amp;EOMONTH(E$4,0),Angela_2026_Chase1117_Activity_!$G$2:$G$1368,$A40)</f>
        <v>-2922.8799999999997</v>
      </c>
      <c r="F40" s="35">
        <f>SUMIFS(Angela_2026_Chase1117_Activity_!$D$2:$D$1368,Angela_2026_Chase1117_Activity_!$B$2:$B$1368,"&gt;="&amp;F$4,Angela_2026_Chase1117_Activity_!$B$2:$B$1368,"&lt;="&amp;EOMONTH(F$4,0),Angela_2026_Chase1117_Activity_!$G$2:$G$1368,$A40)</f>
        <v>-4009.7699999999995</v>
      </c>
      <c r="G40" s="35">
        <f>SUMIFS(Angela_2026_Chase1117_Activity_!$D$2:$D$1368,Angela_2026_Chase1117_Activity_!$B$2:$B$1368,"&gt;="&amp;G$4,Angela_2026_Chase1117_Activity_!$B$2:$B$1368,"&lt;="&amp;EOMONTH(G$4,0),Angela_2026_Chase1117_Activity_!$G$2:$G$1368,$A40)</f>
        <v>-5417.1199999999972</v>
      </c>
      <c r="H40" s="35">
        <f>SUMIFS(Angela_2026_Chase1117_Activity_!$D$2:$D$1368,Angela_2026_Chase1117_Activity_!$B$2:$B$1368,"&gt;="&amp;H$4,Angela_2026_Chase1117_Activity_!$B$2:$B$1368,"&lt;="&amp;EOMONTH(H$4,0),Angela_2026_Chase1117_Activity_!$G$2:$G$1368,$A40)</f>
        <v>-734.03</v>
      </c>
      <c r="I40" s="35">
        <f t="shared" si="0"/>
        <v>-28112.859999999993</v>
      </c>
    </row>
    <row r="41" spans="1:9" x14ac:dyDescent="0.25">
      <c r="A41" s="29" t="s">
        <v>1322</v>
      </c>
      <c r="B41" s="35">
        <f>SUMIFS(Angela_2026_Chase1117_Activity_!$D$2:$D$1368,Angela_2026_Chase1117_Activity_!$B$2:$B$1368,"&gt;="&amp;B$4,Angela_2026_Chase1117_Activity_!$B$2:$B$1368,"&lt;="&amp;EOMONTH(B$4,0),Angela_2026_Chase1117_Activity_!$G$2:$G$1368,$A41)</f>
        <v>0</v>
      </c>
      <c r="C41" s="35">
        <f>SUMIFS(Angela_2026_Chase1117_Activity_!$D$2:$D$1368,Angela_2026_Chase1117_Activity_!$B$2:$B$1368,"&gt;="&amp;C$4,Angela_2026_Chase1117_Activity_!$B$2:$B$1368,"&lt;="&amp;EOMONTH(C$4,0),Angela_2026_Chase1117_Activity_!$G$2:$G$1368,$A41)</f>
        <v>0</v>
      </c>
      <c r="D41" s="35">
        <f>SUMIFS(Angela_2026_Chase1117_Activity_!$D$2:$D$1368,Angela_2026_Chase1117_Activity_!$B$2:$B$1368,"&gt;="&amp;D$4,Angela_2026_Chase1117_Activity_!$B$2:$B$1368,"&lt;="&amp;EOMONTH(D$4,0),Angela_2026_Chase1117_Activity_!$G$2:$G$1368,$A41)</f>
        <v>0</v>
      </c>
      <c r="E41" s="35">
        <f>SUMIFS(Angela_2026_Chase1117_Activity_!$D$2:$D$1368,Angela_2026_Chase1117_Activity_!$B$2:$B$1368,"&gt;="&amp;E$4,Angela_2026_Chase1117_Activity_!$B$2:$B$1368,"&lt;="&amp;EOMONTH(E$4,0),Angela_2026_Chase1117_Activity_!$G$2:$G$1368,$A41)</f>
        <v>0</v>
      </c>
      <c r="F41" s="35">
        <f>SUMIFS(Angela_2026_Chase1117_Activity_!$D$2:$D$1368,Angela_2026_Chase1117_Activity_!$B$2:$B$1368,"&gt;="&amp;F$4,Angela_2026_Chase1117_Activity_!$B$2:$B$1368,"&lt;="&amp;EOMONTH(F$4,0),Angela_2026_Chase1117_Activity_!$G$2:$G$1368,$A41)</f>
        <v>0</v>
      </c>
      <c r="G41" s="35">
        <f>SUMIFS(Angela_2026_Chase1117_Activity_!$D$2:$D$1368,Angela_2026_Chase1117_Activity_!$B$2:$B$1368,"&gt;="&amp;G$4,Angela_2026_Chase1117_Activity_!$B$2:$B$1368,"&lt;="&amp;EOMONTH(G$4,0),Angela_2026_Chase1117_Activity_!$G$2:$G$1368,$A41)</f>
        <v>-787.71999999999991</v>
      </c>
      <c r="H41" s="35">
        <f>SUMIFS(Angela_2026_Chase1117_Activity_!$D$2:$D$1368,Angela_2026_Chase1117_Activity_!$B$2:$B$1368,"&gt;="&amp;H$4,Angela_2026_Chase1117_Activity_!$B$2:$B$1368,"&lt;="&amp;EOMONTH(H$4,0),Angela_2026_Chase1117_Activity_!$G$2:$G$1368,$A41)</f>
        <v>-381.37000000000006</v>
      </c>
      <c r="I41" s="35">
        <f t="shared" si="0"/>
        <v>-1169.0899999999999</v>
      </c>
    </row>
    <row r="42" spans="1:9" x14ac:dyDescent="0.25">
      <c r="A42" s="29" t="s">
        <v>1434</v>
      </c>
      <c r="B42" s="35">
        <f>SUMIFS(Angela_2026_Chase1117_Activity_!$D$2:$D$1368,Angela_2026_Chase1117_Activity_!$B$2:$B$1368,"&gt;="&amp;B$4,Angela_2026_Chase1117_Activity_!$B$2:$B$1368,"&lt;="&amp;EOMONTH(B$4,0),Angela_2026_Chase1117_Activity_!$G$2:$G$1368,$A42)</f>
        <v>-442.17</v>
      </c>
      <c r="C42" s="35">
        <f>SUMIFS(Angela_2026_Chase1117_Activity_!$D$2:$D$1368,Angela_2026_Chase1117_Activity_!$B$2:$B$1368,"&gt;="&amp;C$4,Angela_2026_Chase1117_Activity_!$B$2:$B$1368,"&lt;="&amp;EOMONTH(C$4,0),Angela_2026_Chase1117_Activity_!$G$2:$G$1368,$A42)</f>
        <v>-296.09000000000003</v>
      </c>
      <c r="D42" s="35">
        <f>SUMIFS(Angela_2026_Chase1117_Activity_!$D$2:$D$1368,Angela_2026_Chase1117_Activity_!$B$2:$B$1368,"&gt;="&amp;D$4,Angela_2026_Chase1117_Activity_!$B$2:$B$1368,"&lt;="&amp;EOMONTH(D$4,0),Angela_2026_Chase1117_Activity_!$G$2:$G$1368,$A42)</f>
        <v>-837.71</v>
      </c>
      <c r="E42" s="35">
        <f>SUMIFS(Angela_2026_Chase1117_Activity_!$D$2:$D$1368,Angela_2026_Chase1117_Activity_!$B$2:$B$1368,"&gt;="&amp;E$4,Angela_2026_Chase1117_Activity_!$B$2:$B$1368,"&lt;="&amp;EOMONTH(E$4,0),Angela_2026_Chase1117_Activity_!$G$2:$G$1368,$A42)</f>
        <v>-543.63</v>
      </c>
      <c r="F42" s="35">
        <f>SUMIFS(Angela_2026_Chase1117_Activity_!$D$2:$D$1368,Angela_2026_Chase1117_Activity_!$B$2:$B$1368,"&gt;="&amp;F$4,Angela_2026_Chase1117_Activity_!$B$2:$B$1368,"&lt;="&amp;EOMONTH(F$4,0),Angela_2026_Chase1117_Activity_!$G$2:$G$1368,$A42)</f>
        <v>0</v>
      </c>
      <c r="G42" s="35">
        <f>SUMIFS(Angela_2026_Chase1117_Activity_!$D$2:$D$1368,Angela_2026_Chase1117_Activity_!$B$2:$B$1368,"&gt;="&amp;G$4,Angela_2026_Chase1117_Activity_!$B$2:$B$1368,"&lt;="&amp;EOMONTH(G$4,0),Angela_2026_Chase1117_Activity_!$G$2:$G$1368,$A42)</f>
        <v>-320.63</v>
      </c>
      <c r="H42" s="35">
        <f>SUMIFS(Angela_2026_Chase1117_Activity_!$D$2:$D$1368,Angela_2026_Chase1117_Activity_!$B$2:$B$1368,"&gt;="&amp;H$4,Angela_2026_Chase1117_Activity_!$B$2:$B$1368,"&lt;="&amp;EOMONTH(H$4,0),Angela_2026_Chase1117_Activity_!$G$2:$G$1368,$A42)</f>
        <v>0</v>
      </c>
      <c r="I42" s="35">
        <f t="shared" si="0"/>
        <v>-2440.23</v>
      </c>
    </row>
    <row r="43" spans="1:9" x14ac:dyDescent="0.25">
      <c r="A43" s="29" t="s">
        <v>1468</v>
      </c>
      <c r="B43" s="35">
        <f>SUMIFS(Angela_2026_Chase1117_Activity_!$D$2:$D$1368,Angela_2026_Chase1117_Activity_!$B$2:$B$1368,"&gt;="&amp;B$4,Angela_2026_Chase1117_Activity_!$B$2:$B$1368,"&lt;="&amp;EOMONTH(B$4,0),Angela_2026_Chase1117_Activity_!$G$2:$G$1368,$A43)</f>
        <v>-13.99</v>
      </c>
      <c r="C43" s="35">
        <f>SUMIFS(Angela_2026_Chase1117_Activity_!$D$2:$D$1368,Angela_2026_Chase1117_Activity_!$B$2:$B$1368,"&gt;="&amp;C$4,Angela_2026_Chase1117_Activity_!$B$2:$B$1368,"&lt;="&amp;EOMONTH(C$4,0),Angela_2026_Chase1117_Activity_!$G$2:$G$1368,$A43)</f>
        <v>-13.99</v>
      </c>
      <c r="D43" s="35">
        <f>SUMIFS(Angela_2026_Chase1117_Activity_!$D$2:$D$1368,Angela_2026_Chase1117_Activity_!$B$2:$B$1368,"&gt;="&amp;D$4,Angela_2026_Chase1117_Activity_!$B$2:$B$1368,"&lt;="&amp;EOMONTH(D$4,0),Angela_2026_Chase1117_Activity_!$G$2:$G$1368,$A43)</f>
        <v>-13.99</v>
      </c>
      <c r="E43" s="35">
        <f>SUMIFS(Angela_2026_Chase1117_Activity_!$D$2:$D$1368,Angela_2026_Chase1117_Activity_!$B$2:$B$1368,"&gt;="&amp;E$4,Angela_2026_Chase1117_Activity_!$B$2:$B$1368,"&lt;="&amp;EOMONTH(E$4,0),Angela_2026_Chase1117_Activity_!$G$2:$G$1368,$A43)</f>
        <v>-13.99</v>
      </c>
      <c r="F43" s="35">
        <f>SUMIFS(Angela_2026_Chase1117_Activity_!$D$2:$D$1368,Angela_2026_Chase1117_Activity_!$B$2:$B$1368,"&gt;="&amp;F$4,Angela_2026_Chase1117_Activity_!$B$2:$B$1368,"&lt;="&amp;EOMONTH(F$4,0),Angela_2026_Chase1117_Activity_!$G$2:$G$1368,$A43)</f>
        <v>-13.99</v>
      </c>
      <c r="G43" s="35">
        <f>SUMIFS(Angela_2026_Chase1117_Activity_!$D$2:$D$1368,Angela_2026_Chase1117_Activity_!$B$2:$B$1368,"&gt;="&amp;G$4,Angela_2026_Chase1117_Activity_!$B$2:$B$1368,"&lt;="&amp;EOMONTH(G$4,0),Angela_2026_Chase1117_Activity_!$G$2:$G$1368,$A43)</f>
        <v>-15.99</v>
      </c>
      <c r="H43" s="35">
        <f>SUMIFS(Angela_2026_Chase1117_Activity_!$D$2:$D$1368,Angela_2026_Chase1117_Activity_!$B$2:$B$1368,"&gt;="&amp;H$4,Angela_2026_Chase1117_Activity_!$B$2:$B$1368,"&lt;="&amp;EOMONTH(H$4,0),Angela_2026_Chase1117_Activity_!$G$2:$G$1368,$A43)</f>
        <v>-15.99</v>
      </c>
      <c r="I43" s="35">
        <f t="shared" si="0"/>
        <v>-101.92999999999999</v>
      </c>
    </row>
    <row r="44" spans="1:9" x14ac:dyDescent="0.25">
      <c r="A44" s="29" t="s">
        <v>1515</v>
      </c>
      <c r="B44" s="35">
        <f>SUMIFS(Angela_2026_Chase1117_Activity_!$D$2:$D$1368,Angela_2026_Chase1117_Activity_!$B$2:$B$1368,"&gt;="&amp;B$4,Angela_2026_Chase1117_Activity_!$B$2:$B$1368,"&lt;="&amp;EOMONTH(B$4,0),Angela_2026_Chase1117_Activity_!$G$2:$G$1368,$A44)</f>
        <v>-1072.94</v>
      </c>
      <c r="C44" s="35">
        <f>SUMIFS(Angela_2026_Chase1117_Activity_!$D$2:$D$1368,Angela_2026_Chase1117_Activity_!$B$2:$B$1368,"&gt;="&amp;C$4,Angela_2026_Chase1117_Activity_!$B$2:$B$1368,"&lt;="&amp;EOMONTH(C$4,0),Angela_2026_Chase1117_Activity_!$G$2:$G$1368,$A44)</f>
        <v>-3094.9499999999989</v>
      </c>
      <c r="D44" s="35">
        <f>SUMIFS(Angela_2026_Chase1117_Activity_!$D$2:$D$1368,Angela_2026_Chase1117_Activity_!$B$2:$B$1368,"&gt;="&amp;D$4,Angela_2026_Chase1117_Activity_!$B$2:$B$1368,"&lt;="&amp;EOMONTH(D$4,0),Angela_2026_Chase1117_Activity_!$G$2:$G$1368,$A44)</f>
        <v>-281.91000000000003</v>
      </c>
      <c r="E44" s="35">
        <f>SUMIFS(Angela_2026_Chase1117_Activity_!$D$2:$D$1368,Angela_2026_Chase1117_Activity_!$B$2:$B$1368,"&gt;="&amp;E$4,Angela_2026_Chase1117_Activity_!$B$2:$B$1368,"&lt;="&amp;EOMONTH(E$4,0),Angela_2026_Chase1117_Activity_!$G$2:$G$1368,$A44)</f>
        <v>-100.93999999999998</v>
      </c>
      <c r="F44" s="35">
        <f>SUMIFS(Angela_2026_Chase1117_Activity_!$D$2:$D$1368,Angela_2026_Chase1117_Activity_!$B$2:$B$1368,"&gt;="&amp;F$4,Angela_2026_Chase1117_Activity_!$B$2:$B$1368,"&lt;="&amp;EOMONTH(F$4,0),Angela_2026_Chase1117_Activity_!$G$2:$G$1368,$A44)</f>
        <v>-94.949999999999989</v>
      </c>
      <c r="G44" s="35">
        <f>SUMIFS(Angela_2026_Chase1117_Activity_!$D$2:$D$1368,Angela_2026_Chase1117_Activity_!$B$2:$B$1368,"&gt;="&amp;G$4,Angela_2026_Chase1117_Activity_!$B$2:$B$1368,"&lt;="&amp;EOMONTH(G$4,0),Angela_2026_Chase1117_Activity_!$G$2:$G$1368,$A44)</f>
        <v>-207.93000000000004</v>
      </c>
      <c r="H44" s="35">
        <f>SUMIFS(Angela_2026_Chase1117_Activity_!$D$2:$D$1368,Angela_2026_Chase1117_Activity_!$B$2:$B$1368,"&gt;="&amp;H$4,Angela_2026_Chase1117_Activity_!$B$2:$B$1368,"&lt;="&amp;EOMONTH(H$4,0),Angela_2026_Chase1117_Activity_!$G$2:$G$1368,$A44)</f>
        <v>-3.99</v>
      </c>
      <c r="I44" s="35">
        <f t="shared" si="0"/>
        <v>-4857.6099999999988</v>
      </c>
    </row>
    <row r="45" spans="1:9" x14ac:dyDescent="0.25">
      <c r="A45" s="29" t="s">
        <v>1336</v>
      </c>
      <c r="B45" s="35">
        <f>SUMIFS(Angela_2026_Chase1117_Activity_!$D$2:$D$1368,Angela_2026_Chase1117_Activity_!$B$2:$B$1368,"&gt;="&amp;B$4,Angela_2026_Chase1117_Activity_!$B$2:$B$1368,"&lt;="&amp;EOMONTH(B$4,0),Angela_2026_Chase1117_Activity_!$G$2:$G$1368,$A45)</f>
        <v>-572.98</v>
      </c>
      <c r="C45" s="35">
        <f>SUMIFS(Angela_2026_Chase1117_Activity_!$D$2:$D$1368,Angela_2026_Chase1117_Activity_!$B$2:$B$1368,"&gt;="&amp;C$4,Angela_2026_Chase1117_Activity_!$B$2:$B$1368,"&lt;="&amp;EOMONTH(C$4,0),Angela_2026_Chase1117_Activity_!$G$2:$G$1368,$A45)</f>
        <v>-555.02</v>
      </c>
      <c r="D45" s="35">
        <f>SUMIFS(Angela_2026_Chase1117_Activity_!$D$2:$D$1368,Angela_2026_Chase1117_Activity_!$B$2:$B$1368,"&gt;="&amp;D$4,Angela_2026_Chase1117_Activity_!$B$2:$B$1368,"&lt;="&amp;EOMONTH(D$4,0),Angela_2026_Chase1117_Activity_!$G$2:$G$1368,$A45)</f>
        <v>-838.07</v>
      </c>
      <c r="E45" s="35">
        <f>SUMIFS(Angela_2026_Chase1117_Activity_!$D$2:$D$1368,Angela_2026_Chase1117_Activity_!$B$2:$B$1368,"&gt;="&amp;E$4,Angela_2026_Chase1117_Activity_!$B$2:$B$1368,"&lt;="&amp;EOMONTH(E$4,0),Angela_2026_Chase1117_Activity_!$G$2:$G$1368,$A45)</f>
        <v>-908.82</v>
      </c>
      <c r="F45" s="35">
        <f>SUMIFS(Angela_2026_Chase1117_Activity_!$D$2:$D$1368,Angela_2026_Chase1117_Activity_!$B$2:$B$1368,"&gt;="&amp;F$4,Angela_2026_Chase1117_Activity_!$B$2:$B$1368,"&lt;="&amp;EOMONTH(F$4,0),Angela_2026_Chase1117_Activity_!$G$2:$G$1368,$A45)</f>
        <v>-895.13</v>
      </c>
      <c r="G45" s="35">
        <f>SUMIFS(Angela_2026_Chase1117_Activity_!$D$2:$D$1368,Angela_2026_Chase1117_Activity_!$B$2:$B$1368,"&gt;="&amp;G$4,Angela_2026_Chase1117_Activity_!$B$2:$B$1368,"&lt;="&amp;EOMONTH(G$4,0),Angela_2026_Chase1117_Activity_!$G$2:$G$1368,$A45)</f>
        <v>-701.38</v>
      </c>
      <c r="H45" s="35">
        <f>SUMIFS(Angela_2026_Chase1117_Activity_!$D$2:$D$1368,Angela_2026_Chase1117_Activity_!$B$2:$B$1368,"&gt;="&amp;H$4,Angela_2026_Chase1117_Activity_!$B$2:$B$1368,"&lt;="&amp;EOMONTH(H$4,0),Angela_2026_Chase1117_Activity_!$G$2:$G$1368,$A45)</f>
        <v>0</v>
      </c>
      <c r="I45" s="35">
        <f t="shared" si="0"/>
        <v>-4471.4000000000005</v>
      </c>
    </row>
    <row r="46" spans="1:9" x14ac:dyDescent="0.25">
      <c r="A46" s="29" t="s">
        <v>1366</v>
      </c>
      <c r="B46" s="35">
        <f>SUMIFS(Angela_2026_Chase1117_Activity_!$D$2:$D$1368,Angela_2026_Chase1117_Activity_!$B$2:$B$1368,"&gt;="&amp;B$4,Angela_2026_Chase1117_Activity_!$B$2:$B$1368,"&lt;="&amp;EOMONTH(B$4,0),Angela_2026_Chase1117_Activity_!$G$2:$G$1368,$A46)</f>
        <v>-8.4</v>
      </c>
      <c r="C46" s="35">
        <f>SUMIFS(Angela_2026_Chase1117_Activity_!$D$2:$D$1368,Angela_2026_Chase1117_Activity_!$B$2:$B$1368,"&gt;="&amp;C$4,Angela_2026_Chase1117_Activity_!$B$2:$B$1368,"&lt;="&amp;EOMONTH(C$4,0),Angela_2026_Chase1117_Activity_!$G$2:$G$1368,$A46)</f>
        <v>-160.4</v>
      </c>
      <c r="D46" s="35">
        <f>SUMIFS(Angela_2026_Chase1117_Activity_!$D$2:$D$1368,Angela_2026_Chase1117_Activity_!$B$2:$B$1368,"&gt;="&amp;D$4,Angela_2026_Chase1117_Activity_!$B$2:$B$1368,"&lt;="&amp;EOMONTH(D$4,0),Angela_2026_Chase1117_Activity_!$G$2:$G$1368,$A46)</f>
        <v>-67.58</v>
      </c>
      <c r="E46" s="35">
        <f>SUMIFS(Angela_2026_Chase1117_Activity_!$D$2:$D$1368,Angela_2026_Chase1117_Activity_!$B$2:$B$1368,"&gt;="&amp;E$4,Angela_2026_Chase1117_Activity_!$B$2:$B$1368,"&lt;="&amp;EOMONTH(E$4,0),Angela_2026_Chase1117_Activity_!$G$2:$G$1368,$A46)</f>
        <v>0</v>
      </c>
      <c r="F46" s="35">
        <f>SUMIFS(Angela_2026_Chase1117_Activity_!$D$2:$D$1368,Angela_2026_Chase1117_Activity_!$B$2:$B$1368,"&gt;="&amp;F$4,Angela_2026_Chase1117_Activity_!$B$2:$B$1368,"&lt;="&amp;EOMONTH(F$4,0),Angela_2026_Chase1117_Activity_!$G$2:$G$1368,$A46)</f>
        <v>0</v>
      </c>
      <c r="G46" s="35">
        <f>SUMIFS(Angela_2026_Chase1117_Activity_!$D$2:$D$1368,Angela_2026_Chase1117_Activity_!$B$2:$B$1368,"&gt;="&amp;G$4,Angela_2026_Chase1117_Activity_!$B$2:$B$1368,"&lt;="&amp;EOMONTH(G$4,0),Angela_2026_Chase1117_Activity_!$G$2:$G$1368,$A46)</f>
        <v>0</v>
      </c>
      <c r="H46" s="35">
        <f>SUMIFS(Angela_2026_Chase1117_Activity_!$D$2:$D$1368,Angela_2026_Chase1117_Activity_!$B$2:$B$1368,"&gt;="&amp;H$4,Angela_2026_Chase1117_Activity_!$B$2:$B$1368,"&lt;="&amp;EOMONTH(H$4,0),Angela_2026_Chase1117_Activity_!$G$2:$G$1368,$A46)</f>
        <v>0</v>
      </c>
      <c r="I46" s="35">
        <f t="shared" si="0"/>
        <v>-236.38</v>
      </c>
    </row>
    <row r="47" spans="1:9" x14ac:dyDescent="0.25">
      <c r="A47" s="29" t="s">
        <v>1317</v>
      </c>
      <c r="B47" s="35">
        <f>SUMIFS(Angela_2026_Chase1117_Activity_!$D$2:$D$1368,Angela_2026_Chase1117_Activity_!$B$2:$B$1368,"&gt;="&amp;B$4,Angela_2026_Chase1117_Activity_!$B$2:$B$1368,"&lt;="&amp;EOMONTH(B$4,0),Angela_2026_Chase1117_Activity_!$G$2:$G$1368,$A47)</f>
        <v>-200.12</v>
      </c>
      <c r="C47" s="35">
        <f>SUMIFS(Angela_2026_Chase1117_Activity_!$D$2:$D$1368,Angela_2026_Chase1117_Activity_!$B$2:$B$1368,"&gt;="&amp;C$4,Angela_2026_Chase1117_Activity_!$B$2:$B$1368,"&lt;="&amp;EOMONTH(C$4,0),Angela_2026_Chase1117_Activity_!$G$2:$G$1368,$A47)</f>
        <v>-130.18</v>
      </c>
      <c r="D47" s="35">
        <f>SUMIFS(Angela_2026_Chase1117_Activity_!$D$2:$D$1368,Angela_2026_Chase1117_Activity_!$B$2:$B$1368,"&gt;="&amp;D$4,Angela_2026_Chase1117_Activity_!$B$2:$B$1368,"&lt;="&amp;EOMONTH(D$4,0),Angela_2026_Chase1117_Activity_!$G$2:$G$1368,$A47)</f>
        <v>-332.99</v>
      </c>
      <c r="E47" s="35">
        <f>SUMIFS(Angela_2026_Chase1117_Activity_!$D$2:$D$1368,Angela_2026_Chase1117_Activity_!$B$2:$B$1368,"&gt;="&amp;E$4,Angela_2026_Chase1117_Activity_!$B$2:$B$1368,"&lt;="&amp;EOMONTH(E$4,0),Angela_2026_Chase1117_Activity_!$G$2:$G$1368,$A47)</f>
        <v>-184.57999999999998</v>
      </c>
      <c r="F47" s="35">
        <f>SUMIFS(Angela_2026_Chase1117_Activity_!$D$2:$D$1368,Angela_2026_Chase1117_Activity_!$B$2:$B$1368,"&gt;="&amp;F$4,Angela_2026_Chase1117_Activity_!$B$2:$B$1368,"&lt;="&amp;EOMONTH(F$4,0),Angela_2026_Chase1117_Activity_!$G$2:$G$1368,$A47)</f>
        <v>-360.87</v>
      </c>
      <c r="G47" s="35">
        <f>SUMIFS(Angela_2026_Chase1117_Activity_!$D$2:$D$1368,Angela_2026_Chase1117_Activity_!$B$2:$B$1368,"&gt;="&amp;G$4,Angela_2026_Chase1117_Activity_!$B$2:$B$1368,"&lt;="&amp;EOMONTH(G$4,0),Angela_2026_Chase1117_Activity_!$G$2:$G$1368,$A47)</f>
        <v>-698.43</v>
      </c>
      <c r="H47" s="35">
        <f>SUMIFS(Angela_2026_Chase1117_Activity_!$D$2:$D$1368,Angela_2026_Chase1117_Activity_!$B$2:$B$1368,"&gt;="&amp;H$4,Angela_2026_Chase1117_Activity_!$B$2:$B$1368,"&lt;="&amp;EOMONTH(H$4,0),Angela_2026_Chase1117_Activity_!$G$2:$G$1368,$A47)</f>
        <v>-223.27000000000004</v>
      </c>
      <c r="I47" s="35">
        <f t="shared" si="0"/>
        <v>-2130.4399999999996</v>
      </c>
    </row>
    <row r="48" spans="1:9" x14ac:dyDescent="0.25">
      <c r="A48" s="29" t="s">
        <v>1312</v>
      </c>
      <c r="B48" s="35">
        <f>SUMIFS(Angela_2026_Chase1117_Activity_!$D$2:$D$1368,Angela_2026_Chase1117_Activity_!$B$2:$B$1368,"&gt;="&amp;B$4,Angela_2026_Chase1117_Activity_!$B$2:$B$1368,"&lt;="&amp;EOMONTH(B$4,0),Angela_2026_Chase1117_Activity_!$G$2:$G$1368,$A48)</f>
        <v>-8.120000000000001</v>
      </c>
      <c r="C48" s="35">
        <f>SUMIFS(Angela_2026_Chase1117_Activity_!$D$2:$D$1368,Angela_2026_Chase1117_Activity_!$B$2:$B$1368,"&gt;="&amp;C$4,Angela_2026_Chase1117_Activity_!$B$2:$B$1368,"&lt;="&amp;EOMONTH(C$4,0),Angela_2026_Chase1117_Activity_!$G$2:$G$1368,$A48)</f>
        <v>0</v>
      </c>
      <c r="D48" s="35">
        <f>SUMIFS(Angela_2026_Chase1117_Activity_!$D$2:$D$1368,Angela_2026_Chase1117_Activity_!$B$2:$B$1368,"&gt;="&amp;D$4,Angela_2026_Chase1117_Activity_!$B$2:$B$1368,"&lt;="&amp;EOMONTH(D$4,0),Angela_2026_Chase1117_Activity_!$G$2:$G$1368,$A48)</f>
        <v>0</v>
      </c>
      <c r="E48" s="35">
        <f>SUMIFS(Angela_2026_Chase1117_Activity_!$D$2:$D$1368,Angela_2026_Chase1117_Activity_!$B$2:$B$1368,"&gt;="&amp;E$4,Angela_2026_Chase1117_Activity_!$B$2:$B$1368,"&lt;="&amp;EOMONTH(E$4,0),Angela_2026_Chase1117_Activity_!$G$2:$G$1368,$A48)</f>
        <v>-55</v>
      </c>
      <c r="F48" s="35">
        <f>SUMIFS(Angela_2026_Chase1117_Activity_!$D$2:$D$1368,Angela_2026_Chase1117_Activity_!$B$2:$B$1368,"&gt;="&amp;F$4,Angela_2026_Chase1117_Activity_!$B$2:$B$1368,"&lt;="&amp;EOMONTH(F$4,0),Angela_2026_Chase1117_Activity_!$G$2:$G$1368,$A48)</f>
        <v>0</v>
      </c>
      <c r="G48" s="35">
        <f>SUMIFS(Angela_2026_Chase1117_Activity_!$D$2:$D$1368,Angela_2026_Chase1117_Activity_!$B$2:$B$1368,"&gt;="&amp;G$4,Angela_2026_Chase1117_Activity_!$B$2:$B$1368,"&lt;="&amp;EOMONTH(G$4,0),Angela_2026_Chase1117_Activity_!$G$2:$G$1368,$A48)</f>
        <v>-6</v>
      </c>
      <c r="H48" s="35">
        <f>SUMIFS(Angela_2026_Chase1117_Activity_!$D$2:$D$1368,Angela_2026_Chase1117_Activity_!$B$2:$B$1368,"&gt;="&amp;H$4,Angela_2026_Chase1117_Activity_!$B$2:$B$1368,"&lt;="&amp;EOMONTH(H$4,0),Angela_2026_Chase1117_Activity_!$G$2:$G$1368,$A48)</f>
        <v>0</v>
      </c>
      <c r="I48" s="35">
        <f t="shared" si="0"/>
        <v>-69.12</v>
      </c>
    </row>
    <row r="49" spans="1:9" x14ac:dyDescent="0.25">
      <c r="A49" s="29" t="s">
        <v>1576</v>
      </c>
      <c r="B49" s="35">
        <f>SUMIFS(Angela_2026_Chase1117_Activity_!$D$2:$D$1368,Angela_2026_Chase1117_Activity_!$B$2:$B$1368,"&gt;="&amp;B$4,Angela_2026_Chase1117_Activity_!$B$2:$B$1368,"&lt;="&amp;EOMONTH(B$4,0),Angela_2026_Chase1117_Activity_!$G$2:$G$1368,$A49)</f>
        <v>0</v>
      </c>
      <c r="C49" s="35">
        <f>SUMIFS(Angela_2026_Chase1117_Activity_!$D$2:$D$1368,Angela_2026_Chase1117_Activity_!$B$2:$B$1368,"&gt;="&amp;C$4,Angela_2026_Chase1117_Activity_!$B$2:$B$1368,"&lt;="&amp;EOMONTH(C$4,0),Angela_2026_Chase1117_Activity_!$G$2:$G$1368,$A49)</f>
        <v>0</v>
      </c>
      <c r="D49" s="35">
        <f>SUMIFS(Angela_2026_Chase1117_Activity_!$D$2:$D$1368,Angela_2026_Chase1117_Activity_!$B$2:$B$1368,"&gt;="&amp;D$4,Angela_2026_Chase1117_Activity_!$B$2:$B$1368,"&lt;="&amp;EOMONTH(D$4,0),Angela_2026_Chase1117_Activity_!$G$2:$G$1368,$A49)</f>
        <v>-2200</v>
      </c>
      <c r="E49" s="35">
        <f>SUMIFS(Angela_2026_Chase1117_Activity_!$D$2:$D$1368,Angela_2026_Chase1117_Activity_!$B$2:$B$1368,"&gt;="&amp;E$4,Angela_2026_Chase1117_Activity_!$B$2:$B$1368,"&lt;="&amp;EOMONTH(E$4,0),Angela_2026_Chase1117_Activity_!$G$2:$G$1368,$A49)</f>
        <v>0</v>
      </c>
      <c r="F49" s="35">
        <f>SUMIFS(Angela_2026_Chase1117_Activity_!$D$2:$D$1368,Angela_2026_Chase1117_Activity_!$B$2:$B$1368,"&gt;="&amp;F$4,Angela_2026_Chase1117_Activity_!$B$2:$B$1368,"&lt;="&amp;EOMONTH(F$4,0),Angela_2026_Chase1117_Activity_!$G$2:$G$1368,$A49)</f>
        <v>0</v>
      </c>
      <c r="G49" s="35">
        <f>SUMIFS(Angela_2026_Chase1117_Activity_!$D$2:$D$1368,Angela_2026_Chase1117_Activity_!$B$2:$B$1368,"&gt;="&amp;G$4,Angela_2026_Chase1117_Activity_!$B$2:$B$1368,"&lt;="&amp;EOMONTH(G$4,0),Angela_2026_Chase1117_Activity_!$G$2:$G$1368,$A49)</f>
        <v>-1200</v>
      </c>
      <c r="H49" s="35">
        <f>SUMIFS(Angela_2026_Chase1117_Activity_!$D$2:$D$1368,Angela_2026_Chase1117_Activity_!$B$2:$B$1368,"&gt;="&amp;H$4,Angela_2026_Chase1117_Activity_!$B$2:$B$1368,"&lt;="&amp;EOMONTH(H$4,0),Angela_2026_Chase1117_Activity_!$G$2:$G$1368,$A49)</f>
        <v>0</v>
      </c>
      <c r="I49" s="35">
        <f t="shared" si="0"/>
        <v>-3400</v>
      </c>
    </row>
    <row r="50" spans="1:9" x14ac:dyDescent="0.25">
      <c r="A50" s="29" t="s">
        <v>1511</v>
      </c>
      <c r="B50" s="35">
        <f>SUMIFS(Angela_2026_Chase1117_Activity_!$D$2:$D$1368,Angela_2026_Chase1117_Activity_!$B$2:$B$1368,"&gt;="&amp;B$4,Angela_2026_Chase1117_Activity_!$B$2:$B$1368,"&lt;="&amp;EOMONTH(B$4,0),Angela_2026_Chase1117_Activity_!$G$2:$G$1368,$A50)</f>
        <v>0</v>
      </c>
      <c r="C50" s="35">
        <f>SUMIFS(Angela_2026_Chase1117_Activity_!$D$2:$D$1368,Angela_2026_Chase1117_Activity_!$B$2:$B$1368,"&gt;="&amp;C$4,Angela_2026_Chase1117_Activity_!$B$2:$B$1368,"&lt;="&amp;EOMONTH(C$4,0),Angela_2026_Chase1117_Activity_!$G$2:$G$1368,$A50)</f>
        <v>1282.2</v>
      </c>
      <c r="D50" s="35">
        <f>SUMIFS(Angela_2026_Chase1117_Activity_!$D$2:$D$1368,Angela_2026_Chase1117_Activity_!$B$2:$B$1368,"&gt;="&amp;D$4,Angela_2026_Chase1117_Activity_!$B$2:$B$1368,"&lt;="&amp;EOMONTH(D$4,0),Angela_2026_Chase1117_Activity_!$G$2:$G$1368,$A50)</f>
        <v>1457.33</v>
      </c>
      <c r="E50" s="35">
        <f>SUMIFS(Angela_2026_Chase1117_Activity_!$D$2:$D$1368,Angela_2026_Chase1117_Activity_!$B$2:$B$1368,"&gt;="&amp;E$4,Angela_2026_Chase1117_Activity_!$B$2:$B$1368,"&lt;="&amp;EOMONTH(E$4,0),Angela_2026_Chase1117_Activity_!$G$2:$G$1368,$A50)</f>
        <v>0</v>
      </c>
      <c r="F50" s="35">
        <f>SUMIFS(Angela_2026_Chase1117_Activity_!$D$2:$D$1368,Angela_2026_Chase1117_Activity_!$B$2:$B$1368,"&gt;="&amp;F$4,Angela_2026_Chase1117_Activity_!$B$2:$B$1368,"&lt;="&amp;EOMONTH(F$4,0),Angela_2026_Chase1117_Activity_!$G$2:$G$1368,$A50)</f>
        <v>337</v>
      </c>
      <c r="G50" s="35">
        <f>SUMIFS(Angela_2026_Chase1117_Activity_!$D$2:$D$1368,Angela_2026_Chase1117_Activity_!$B$2:$B$1368,"&gt;="&amp;G$4,Angela_2026_Chase1117_Activity_!$B$2:$B$1368,"&lt;="&amp;EOMONTH(G$4,0),Angela_2026_Chase1117_Activity_!$G$2:$G$1368,$A50)</f>
        <v>2163.7399999999998</v>
      </c>
      <c r="H50" s="35">
        <f>SUMIFS(Angela_2026_Chase1117_Activity_!$D$2:$D$1368,Angela_2026_Chase1117_Activity_!$B$2:$B$1368,"&gt;="&amp;H$4,Angela_2026_Chase1117_Activity_!$B$2:$B$1368,"&lt;="&amp;EOMONTH(H$4,0),Angela_2026_Chase1117_Activity_!$G$2:$G$1368,$A50)</f>
        <v>120</v>
      </c>
      <c r="I50" s="35">
        <f t="shared" si="0"/>
        <v>5360.2699999999995</v>
      </c>
    </row>
    <row r="51" spans="1:9" x14ac:dyDescent="0.25">
      <c r="A51" s="29" t="s">
        <v>1513</v>
      </c>
      <c r="B51" s="35">
        <f>SUMIFS(Angela_2026_Chase1117_Activity_!$D$2:$D$1368,Angela_2026_Chase1117_Activity_!$B$2:$B$1368,"&gt;="&amp;B$4,Angela_2026_Chase1117_Activity_!$B$2:$B$1368,"&lt;="&amp;EOMONTH(B$4,0),Angela_2026_Chase1117_Activity_!$G$2:$G$1368,$A51)</f>
        <v>-303</v>
      </c>
      <c r="C51" s="35">
        <f>SUMIFS(Angela_2026_Chase1117_Activity_!$D$2:$D$1368,Angela_2026_Chase1117_Activity_!$B$2:$B$1368,"&gt;="&amp;C$4,Angela_2026_Chase1117_Activity_!$B$2:$B$1368,"&lt;="&amp;EOMONTH(C$4,0),Angela_2026_Chase1117_Activity_!$G$2:$G$1368,$A51)</f>
        <v>-5600</v>
      </c>
      <c r="D51" s="35">
        <f>SUMIFS(Angela_2026_Chase1117_Activity_!$D$2:$D$1368,Angela_2026_Chase1117_Activity_!$B$2:$B$1368,"&gt;="&amp;D$4,Angela_2026_Chase1117_Activity_!$B$2:$B$1368,"&lt;="&amp;EOMONTH(D$4,0),Angela_2026_Chase1117_Activity_!$G$2:$G$1368,$A51)</f>
        <v>-1300</v>
      </c>
      <c r="E51" s="35">
        <f>SUMIFS(Angela_2026_Chase1117_Activity_!$D$2:$D$1368,Angela_2026_Chase1117_Activity_!$B$2:$B$1368,"&gt;="&amp;E$4,Angela_2026_Chase1117_Activity_!$B$2:$B$1368,"&lt;="&amp;EOMONTH(E$4,0),Angela_2026_Chase1117_Activity_!$G$2:$G$1368,$A51)</f>
        <v>-3872.18</v>
      </c>
      <c r="F51" s="35">
        <f>SUMIFS(Angela_2026_Chase1117_Activity_!$D$2:$D$1368,Angela_2026_Chase1117_Activity_!$B$2:$B$1368,"&gt;="&amp;F$4,Angela_2026_Chase1117_Activity_!$B$2:$B$1368,"&lt;="&amp;EOMONTH(F$4,0),Angela_2026_Chase1117_Activity_!$G$2:$G$1368,$A51)</f>
        <v>-500</v>
      </c>
      <c r="G51" s="35">
        <f>SUMIFS(Angela_2026_Chase1117_Activity_!$D$2:$D$1368,Angela_2026_Chase1117_Activity_!$B$2:$B$1368,"&gt;="&amp;G$4,Angela_2026_Chase1117_Activity_!$B$2:$B$1368,"&lt;="&amp;EOMONTH(G$4,0),Angela_2026_Chase1117_Activity_!$G$2:$G$1368,$A51)</f>
        <v>-2506.75</v>
      </c>
      <c r="H51" s="35">
        <f>SUMIFS(Angela_2026_Chase1117_Activity_!$D$2:$D$1368,Angela_2026_Chase1117_Activity_!$B$2:$B$1368,"&gt;="&amp;H$4,Angela_2026_Chase1117_Activity_!$B$2:$B$1368,"&lt;="&amp;EOMONTH(H$4,0),Angela_2026_Chase1117_Activity_!$G$2:$G$1368,$A51)</f>
        <v>-6000</v>
      </c>
      <c r="I51" s="35">
        <f t="shared" si="0"/>
        <v>-20081.93</v>
      </c>
    </row>
    <row r="52" spans="1:9" x14ac:dyDescent="0.25">
      <c r="A52" s="29" t="s">
        <v>1370</v>
      </c>
      <c r="B52" s="35">
        <f>SUMIFS(Angela_2026_Chase1117_Activity_!$D$2:$D$1368,Angela_2026_Chase1117_Activity_!$B$2:$B$1368,"&gt;="&amp;B$4,Angela_2026_Chase1117_Activity_!$B$2:$B$1368,"&lt;="&amp;EOMONTH(B$4,0),Angela_2026_Chase1117_Activity_!$G$2:$G$1368,$A52)</f>
        <v>0</v>
      </c>
      <c r="C52" s="35">
        <f>SUMIFS(Angela_2026_Chase1117_Activity_!$D$2:$D$1368,Angela_2026_Chase1117_Activity_!$B$2:$B$1368,"&gt;="&amp;C$4,Angela_2026_Chase1117_Activity_!$B$2:$B$1368,"&lt;="&amp;EOMONTH(C$4,0),Angela_2026_Chase1117_Activity_!$G$2:$G$1368,$A52)</f>
        <v>-310</v>
      </c>
      <c r="D52" s="35">
        <f>SUMIFS(Angela_2026_Chase1117_Activity_!$D$2:$D$1368,Angela_2026_Chase1117_Activity_!$B$2:$B$1368,"&gt;="&amp;D$4,Angela_2026_Chase1117_Activity_!$B$2:$B$1368,"&lt;="&amp;EOMONTH(D$4,0),Angela_2026_Chase1117_Activity_!$G$2:$G$1368,$A52)</f>
        <v>100</v>
      </c>
      <c r="E52" s="35">
        <f>SUMIFS(Angela_2026_Chase1117_Activity_!$D$2:$D$1368,Angela_2026_Chase1117_Activity_!$B$2:$B$1368,"&gt;="&amp;E$4,Angela_2026_Chase1117_Activity_!$B$2:$B$1368,"&lt;="&amp;EOMONTH(E$4,0),Angela_2026_Chase1117_Activity_!$G$2:$G$1368,$A52)</f>
        <v>0</v>
      </c>
      <c r="F52" s="35">
        <f>SUMIFS(Angela_2026_Chase1117_Activity_!$D$2:$D$1368,Angela_2026_Chase1117_Activity_!$B$2:$B$1368,"&gt;="&amp;F$4,Angela_2026_Chase1117_Activity_!$B$2:$B$1368,"&lt;="&amp;EOMONTH(F$4,0),Angela_2026_Chase1117_Activity_!$G$2:$G$1368,$A52)</f>
        <v>-295</v>
      </c>
      <c r="G52" s="35">
        <f>SUMIFS(Angela_2026_Chase1117_Activity_!$D$2:$D$1368,Angela_2026_Chase1117_Activity_!$B$2:$B$1368,"&gt;="&amp;G$4,Angela_2026_Chase1117_Activity_!$B$2:$B$1368,"&lt;="&amp;EOMONTH(G$4,0),Angela_2026_Chase1117_Activity_!$G$2:$G$1368,$A52)</f>
        <v>-180</v>
      </c>
      <c r="H52" s="35">
        <f>SUMIFS(Angela_2026_Chase1117_Activity_!$D$2:$D$1368,Angela_2026_Chase1117_Activity_!$B$2:$B$1368,"&gt;="&amp;H$4,Angela_2026_Chase1117_Activity_!$B$2:$B$1368,"&lt;="&amp;EOMONTH(H$4,0),Angela_2026_Chase1117_Activity_!$G$2:$G$1368,$A52)</f>
        <v>0</v>
      </c>
      <c r="I52" s="35">
        <f t="shared" si="0"/>
        <v>-685</v>
      </c>
    </row>
    <row r="53" spans="1:9" x14ac:dyDescent="0.25">
      <c r="A53" s="30" t="s">
        <v>1591</v>
      </c>
      <c r="B53" s="36">
        <f>SUM(B5:B52)</f>
        <v>3776.9900000000016</v>
      </c>
      <c r="C53" s="36">
        <f>SUM(C5:C52)</f>
        <v>4538.1799999999985</v>
      </c>
      <c r="D53" s="36">
        <f>SUM(D5:D52)</f>
        <v>631.40000000000146</v>
      </c>
      <c r="E53" s="36">
        <f>SUM(E5:E52)</f>
        <v>-8763.5100000000039</v>
      </c>
      <c r="F53" s="36">
        <f>SUM(F5:F52)</f>
        <v>-1282.7599999999979</v>
      </c>
      <c r="G53" s="36">
        <f>SUM(G5:G52)</f>
        <v>5118.0900000000065</v>
      </c>
      <c r="H53" s="36">
        <f>SUM(H5:H52)</f>
        <v>-4471.8700000000008</v>
      </c>
      <c r="I53" s="36">
        <f>SUM(I5:I52)</f>
        <v>-453.47999999998865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35F6-7D30-4610-8F09-98185551A398}">
  <dimension ref="A1:B194"/>
  <sheetViews>
    <sheetView topLeftCell="A61" workbookViewId="0"/>
  </sheetViews>
  <sheetFormatPr defaultRowHeight="15" x14ac:dyDescent="0.25"/>
  <cols>
    <col min="1" max="1" width="34.42578125" customWidth="1"/>
    <col min="2" max="2" width="32.7109375" customWidth="1"/>
  </cols>
  <sheetData>
    <row r="1" spans="1:2" x14ac:dyDescent="0.25">
      <c r="A1" s="2" t="s">
        <v>1315</v>
      </c>
      <c r="B1" s="2" t="s">
        <v>1305</v>
      </c>
    </row>
    <row r="2" spans="1:2" x14ac:dyDescent="0.25">
      <c r="A2" t="s">
        <v>1316</v>
      </c>
      <c r="B2" t="s">
        <v>1317</v>
      </c>
    </row>
    <row r="3" spans="1:2" x14ac:dyDescent="0.25">
      <c r="A3" t="s">
        <v>1318</v>
      </c>
      <c r="B3" t="s">
        <v>1319</v>
      </c>
    </row>
    <row r="4" spans="1:2" x14ac:dyDescent="0.25">
      <c r="A4" t="s">
        <v>1320</v>
      </c>
      <c r="B4" t="s">
        <v>1319</v>
      </c>
    </row>
    <row r="5" spans="1:2" x14ac:dyDescent="0.25">
      <c r="A5" t="s">
        <v>1321</v>
      </c>
      <c r="B5" t="s">
        <v>1322</v>
      </c>
    </row>
    <row r="6" spans="1:2" x14ac:dyDescent="0.25">
      <c r="A6" t="s">
        <v>1323</v>
      </c>
      <c r="B6" t="s">
        <v>1324</v>
      </c>
    </row>
    <row r="7" spans="1:2" x14ac:dyDescent="0.25">
      <c r="A7" t="s">
        <v>1325</v>
      </c>
      <c r="B7" t="s">
        <v>1306</v>
      </c>
    </row>
    <row r="8" spans="1:2" x14ac:dyDescent="0.25">
      <c r="A8" t="s">
        <v>1326</v>
      </c>
      <c r="B8" t="s">
        <v>1306</v>
      </c>
    </row>
    <row r="9" spans="1:2" x14ac:dyDescent="0.25">
      <c r="A9" t="s">
        <v>1327</v>
      </c>
      <c r="B9" t="s">
        <v>1306</v>
      </c>
    </row>
    <row r="10" spans="1:2" x14ac:dyDescent="0.25">
      <c r="A10" t="s">
        <v>1328</v>
      </c>
      <c r="B10" t="s">
        <v>1306</v>
      </c>
    </row>
    <row r="11" spans="1:2" x14ac:dyDescent="0.25">
      <c r="A11" t="s">
        <v>1329</v>
      </c>
      <c r="B11" t="s">
        <v>1306</v>
      </c>
    </row>
    <row r="12" spans="1:2" x14ac:dyDescent="0.25">
      <c r="A12" t="s">
        <v>1330</v>
      </c>
      <c r="B12" t="s">
        <v>1331</v>
      </c>
    </row>
    <row r="13" spans="1:2" x14ac:dyDescent="0.25">
      <c r="A13" t="s">
        <v>1332</v>
      </c>
      <c r="B13" t="s">
        <v>1333</v>
      </c>
    </row>
    <row r="14" spans="1:2" x14ac:dyDescent="0.25">
      <c r="A14" t="s">
        <v>1334</v>
      </c>
      <c r="B14" t="s">
        <v>1335</v>
      </c>
    </row>
    <row r="15" spans="1:2" x14ac:dyDescent="0.25">
      <c r="A15" t="s">
        <v>1516</v>
      </c>
      <c r="B15" t="s">
        <v>1336</v>
      </c>
    </row>
    <row r="16" spans="1:2" x14ac:dyDescent="0.25">
      <c r="A16" t="s">
        <v>1337</v>
      </c>
      <c r="B16" t="s">
        <v>1338</v>
      </c>
    </row>
    <row r="17" spans="1:2" x14ac:dyDescent="0.25">
      <c r="A17" t="s">
        <v>1339</v>
      </c>
      <c r="B17" t="s">
        <v>1340</v>
      </c>
    </row>
    <row r="18" spans="1:2" x14ac:dyDescent="0.25">
      <c r="A18" t="s">
        <v>1341</v>
      </c>
      <c r="B18" t="s">
        <v>1342</v>
      </c>
    </row>
    <row r="19" spans="1:2" x14ac:dyDescent="0.25">
      <c r="A19" t="s">
        <v>1343</v>
      </c>
      <c r="B19" t="s">
        <v>1344</v>
      </c>
    </row>
    <row r="20" spans="1:2" x14ac:dyDescent="0.25">
      <c r="A20" t="s">
        <v>1345</v>
      </c>
      <c r="B20" t="s">
        <v>1346</v>
      </c>
    </row>
    <row r="21" spans="1:2" x14ac:dyDescent="0.25">
      <c r="A21" t="s">
        <v>1347</v>
      </c>
      <c r="B21" t="s">
        <v>1348</v>
      </c>
    </row>
    <row r="22" spans="1:2" x14ac:dyDescent="0.25">
      <c r="A22" t="s">
        <v>1349</v>
      </c>
      <c r="B22" t="s">
        <v>1350</v>
      </c>
    </row>
    <row r="23" spans="1:2" x14ac:dyDescent="0.25">
      <c r="A23" t="s">
        <v>1351</v>
      </c>
      <c r="B23" t="s">
        <v>1352</v>
      </c>
    </row>
    <row r="24" spans="1:2" x14ac:dyDescent="0.25">
      <c r="A24" t="s">
        <v>1353</v>
      </c>
      <c r="B24" t="s">
        <v>1354</v>
      </c>
    </row>
    <row r="25" spans="1:2" x14ac:dyDescent="0.25">
      <c r="A25" t="s">
        <v>1355</v>
      </c>
      <c r="B25" t="s">
        <v>1356</v>
      </c>
    </row>
    <row r="26" spans="1:2" x14ac:dyDescent="0.25">
      <c r="A26" t="s">
        <v>1357</v>
      </c>
      <c r="B26" t="s">
        <v>1358</v>
      </c>
    </row>
    <row r="27" spans="1:2" x14ac:dyDescent="0.25">
      <c r="A27" t="s">
        <v>1359</v>
      </c>
      <c r="B27" t="s">
        <v>1360</v>
      </c>
    </row>
    <row r="28" spans="1:2" x14ac:dyDescent="0.25">
      <c r="A28" t="s">
        <v>1361</v>
      </c>
      <c r="B28" t="s">
        <v>1362</v>
      </c>
    </row>
    <row r="29" spans="1:2" x14ac:dyDescent="0.25">
      <c r="A29" t="s">
        <v>1363</v>
      </c>
      <c r="B29" t="s">
        <v>1364</v>
      </c>
    </row>
    <row r="30" spans="1:2" x14ac:dyDescent="0.25">
      <c r="A30" t="s">
        <v>1365</v>
      </c>
      <c r="B30" t="s">
        <v>1366</v>
      </c>
    </row>
    <row r="31" spans="1:2" x14ac:dyDescent="0.25">
      <c r="A31" t="s">
        <v>1367</v>
      </c>
      <c r="B31" t="s">
        <v>1366</v>
      </c>
    </row>
    <row r="32" spans="1:2" x14ac:dyDescent="0.25">
      <c r="A32" t="s">
        <v>1368</v>
      </c>
      <c r="B32" t="s">
        <v>1311</v>
      </c>
    </row>
    <row r="33" spans="1:2" x14ac:dyDescent="0.25">
      <c r="A33" t="s">
        <v>1369</v>
      </c>
      <c r="B33" t="s">
        <v>1370</v>
      </c>
    </row>
    <row r="34" spans="1:2" x14ac:dyDescent="0.25">
      <c r="A34" t="s">
        <v>1517</v>
      </c>
      <c r="B34" t="s">
        <v>1370</v>
      </c>
    </row>
    <row r="35" spans="1:2" x14ac:dyDescent="0.25">
      <c r="A35" t="s">
        <v>1371</v>
      </c>
      <c r="B35" t="s">
        <v>1309</v>
      </c>
    </row>
    <row r="36" spans="1:2" x14ac:dyDescent="0.25">
      <c r="A36" t="s">
        <v>1518</v>
      </c>
      <c r="B36" t="s">
        <v>1309</v>
      </c>
    </row>
    <row r="37" spans="1:2" x14ac:dyDescent="0.25">
      <c r="A37" t="s">
        <v>1519</v>
      </c>
      <c r="B37" t="s">
        <v>1309</v>
      </c>
    </row>
    <row r="38" spans="1:2" x14ac:dyDescent="0.25">
      <c r="A38" t="s">
        <v>1372</v>
      </c>
      <c r="B38" t="s">
        <v>1309</v>
      </c>
    </row>
    <row r="39" spans="1:2" x14ac:dyDescent="0.25">
      <c r="A39" t="s">
        <v>1373</v>
      </c>
      <c r="B39" t="s">
        <v>1309</v>
      </c>
    </row>
    <row r="40" spans="1:2" x14ac:dyDescent="0.25">
      <c r="A40" t="s">
        <v>1374</v>
      </c>
      <c r="B40" t="s">
        <v>1309</v>
      </c>
    </row>
    <row r="41" spans="1:2" x14ac:dyDescent="0.25">
      <c r="A41" t="s">
        <v>1520</v>
      </c>
      <c r="B41" t="s">
        <v>1309</v>
      </c>
    </row>
    <row r="42" spans="1:2" x14ac:dyDescent="0.25">
      <c r="A42" t="s">
        <v>1375</v>
      </c>
      <c r="B42" t="s">
        <v>1309</v>
      </c>
    </row>
    <row r="43" spans="1:2" x14ac:dyDescent="0.25">
      <c r="A43" t="s">
        <v>1376</v>
      </c>
      <c r="B43" t="s">
        <v>1310</v>
      </c>
    </row>
    <row r="44" spans="1:2" x14ac:dyDescent="0.25">
      <c r="A44" t="s">
        <v>1377</v>
      </c>
      <c r="B44" t="s">
        <v>1310</v>
      </c>
    </row>
    <row r="45" spans="1:2" x14ac:dyDescent="0.25">
      <c r="A45" t="s">
        <v>1378</v>
      </c>
      <c r="B45" t="s">
        <v>1310</v>
      </c>
    </row>
    <row r="46" spans="1:2" x14ac:dyDescent="0.25">
      <c r="A46" t="s">
        <v>1379</v>
      </c>
      <c r="B46" t="s">
        <v>1310</v>
      </c>
    </row>
    <row r="47" spans="1:2" x14ac:dyDescent="0.25">
      <c r="A47" t="s">
        <v>1380</v>
      </c>
      <c r="B47" t="s">
        <v>1310</v>
      </c>
    </row>
    <row r="48" spans="1:2" x14ac:dyDescent="0.25">
      <c r="A48" t="s">
        <v>1381</v>
      </c>
      <c r="B48" t="s">
        <v>1310</v>
      </c>
    </row>
    <row r="49" spans="1:2" x14ac:dyDescent="0.25">
      <c r="A49" t="s">
        <v>1382</v>
      </c>
      <c r="B49" t="s">
        <v>1310</v>
      </c>
    </row>
    <row r="50" spans="1:2" x14ac:dyDescent="0.25">
      <c r="A50" t="s">
        <v>1383</v>
      </c>
      <c r="B50" t="s">
        <v>1310</v>
      </c>
    </row>
    <row r="51" spans="1:2" x14ac:dyDescent="0.25">
      <c r="A51" t="s">
        <v>1384</v>
      </c>
      <c r="B51" t="s">
        <v>1310</v>
      </c>
    </row>
    <row r="52" spans="1:2" x14ac:dyDescent="0.25">
      <c r="A52" t="s">
        <v>1385</v>
      </c>
      <c r="B52" t="s">
        <v>1310</v>
      </c>
    </row>
    <row r="53" spans="1:2" x14ac:dyDescent="0.25">
      <c r="A53" t="s">
        <v>1386</v>
      </c>
      <c r="B53" t="s">
        <v>1310</v>
      </c>
    </row>
    <row r="54" spans="1:2" x14ac:dyDescent="0.25">
      <c r="A54" t="s">
        <v>1387</v>
      </c>
      <c r="B54" t="s">
        <v>1310</v>
      </c>
    </row>
    <row r="55" spans="1:2" x14ac:dyDescent="0.25">
      <c r="A55" t="s">
        <v>1521</v>
      </c>
      <c r="B55" t="s">
        <v>1310</v>
      </c>
    </row>
    <row r="56" spans="1:2" x14ac:dyDescent="0.25">
      <c r="A56" t="s">
        <v>1522</v>
      </c>
      <c r="B56" t="s">
        <v>1310</v>
      </c>
    </row>
    <row r="57" spans="1:2" x14ac:dyDescent="0.25">
      <c r="A57" t="s">
        <v>1388</v>
      </c>
      <c r="B57" t="s">
        <v>1310</v>
      </c>
    </row>
    <row r="58" spans="1:2" x14ac:dyDescent="0.25">
      <c r="A58" t="s">
        <v>1389</v>
      </c>
      <c r="B58" t="s">
        <v>1310</v>
      </c>
    </row>
    <row r="59" spans="1:2" x14ac:dyDescent="0.25">
      <c r="A59" t="s">
        <v>1390</v>
      </c>
      <c r="B59" t="s">
        <v>1310</v>
      </c>
    </row>
    <row r="60" spans="1:2" x14ac:dyDescent="0.25">
      <c r="A60" t="s">
        <v>1391</v>
      </c>
      <c r="B60" t="s">
        <v>1310</v>
      </c>
    </row>
    <row r="61" spans="1:2" x14ac:dyDescent="0.25">
      <c r="A61" t="s">
        <v>1392</v>
      </c>
      <c r="B61" t="s">
        <v>1310</v>
      </c>
    </row>
    <row r="62" spans="1:2" x14ac:dyDescent="0.25">
      <c r="A62" t="s">
        <v>1393</v>
      </c>
      <c r="B62" t="s">
        <v>1310</v>
      </c>
    </row>
    <row r="63" spans="1:2" x14ac:dyDescent="0.25">
      <c r="A63" t="s">
        <v>1394</v>
      </c>
      <c r="B63" t="s">
        <v>1310</v>
      </c>
    </row>
    <row r="64" spans="1:2" x14ac:dyDescent="0.25">
      <c r="A64" t="s">
        <v>1395</v>
      </c>
      <c r="B64" t="s">
        <v>1310</v>
      </c>
    </row>
    <row r="65" spans="1:2" x14ac:dyDescent="0.25">
      <c r="A65" t="s">
        <v>1396</v>
      </c>
      <c r="B65" t="s">
        <v>1310</v>
      </c>
    </row>
    <row r="66" spans="1:2" x14ac:dyDescent="0.25">
      <c r="A66" t="s">
        <v>1397</v>
      </c>
      <c r="B66" t="s">
        <v>1310</v>
      </c>
    </row>
    <row r="67" spans="1:2" x14ac:dyDescent="0.25">
      <c r="A67" t="s">
        <v>1398</v>
      </c>
      <c r="B67" t="s">
        <v>1310</v>
      </c>
    </row>
    <row r="68" spans="1:2" x14ac:dyDescent="0.25">
      <c r="A68" t="s">
        <v>1399</v>
      </c>
      <c r="B68" t="s">
        <v>1306</v>
      </c>
    </row>
    <row r="69" spans="1:2" x14ac:dyDescent="0.25">
      <c r="A69" t="s">
        <v>1400</v>
      </c>
      <c r="B69" t="s">
        <v>1309</v>
      </c>
    </row>
    <row r="70" spans="1:2" x14ac:dyDescent="0.25">
      <c r="A70" t="s">
        <v>1401</v>
      </c>
      <c r="B70" t="s">
        <v>1309</v>
      </c>
    </row>
    <row r="71" spans="1:2" x14ac:dyDescent="0.25">
      <c r="A71" t="s">
        <v>1402</v>
      </c>
      <c r="B71" t="s">
        <v>1309</v>
      </c>
    </row>
    <row r="72" spans="1:2" x14ac:dyDescent="0.25">
      <c r="A72" t="s">
        <v>1403</v>
      </c>
      <c r="B72" t="s">
        <v>1309</v>
      </c>
    </row>
    <row r="73" spans="1:2" x14ac:dyDescent="0.25">
      <c r="A73" t="s">
        <v>1404</v>
      </c>
      <c r="B73" t="s">
        <v>1309</v>
      </c>
    </row>
    <row r="74" spans="1:2" x14ac:dyDescent="0.25">
      <c r="A74" t="s">
        <v>1405</v>
      </c>
      <c r="B74" t="s">
        <v>1309</v>
      </c>
    </row>
    <row r="75" spans="1:2" x14ac:dyDescent="0.25">
      <c r="A75" t="s">
        <v>1406</v>
      </c>
      <c r="B75" t="s">
        <v>1308</v>
      </c>
    </row>
    <row r="76" spans="1:2" x14ac:dyDescent="0.25">
      <c r="A76" t="s">
        <v>1407</v>
      </c>
      <c r="B76" t="s">
        <v>1308</v>
      </c>
    </row>
    <row r="77" spans="1:2" x14ac:dyDescent="0.25">
      <c r="A77" t="s">
        <v>1408</v>
      </c>
      <c r="B77" t="s">
        <v>1308</v>
      </c>
    </row>
    <row r="78" spans="1:2" x14ac:dyDescent="0.25">
      <c r="A78" t="s">
        <v>1409</v>
      </c>
      <c r="B78" t="s">
        <v>1308</v>
      </c>
    </row>
    <row r="79" spans="1:2" x14ac:dyDescent="0.25">
      <c r="A79" t="s">
        <v>1410</v>
      </c>
      <c r="B79" t="s">
        <v>1308</v>
      </c>
    </row>
    <row r="80" spans="1:2" x14ac:dyDescent="0.25">
      <c r="A80" t="s">
        <v>1411</v>
      </c>
      <c r="B80" t="s">
        <v>1308</v>
      </c>
    </row>
    <row r="81" spans="1:2" x14ac:dyDescent="0.25">
      <c r="A81" t="s">
        <v>1412</v>
      </c>
      <c r="B81" t="s">
        <v>1308</v>
      </c>
    </row>
    <row r="82" spans="1:2" x14ac:dyDescent="0.25">
      <c r="A82" t="s">
        <v>1413</v>
      </c>
      <c r="B82" t="s">
        <v>1308</v>
      </c>
    </row>
    <row r="83" spans="1:2" x14ac:dyDescent="0.25">
      <c r="A83" t="s">
        <v>1414</v>
      </c>
      <c r="B83" t="s">
        <v>1308</v>
      </c>
    </row>
    <row r="84" spans="1:2" x14ac:dyDescent="0.25">
      <c r="A84" t="s">
        <v>1415</v>
      </c>
      <c r="B84" t="s">
        <v>1308</v>
      </c>
    </row>
    <row r="85" spans="1:2" x14ac:dyDescent="0.25">
      <c r="A85" t="s">
        <v>1416</v>
      </c>
      <c r="B85" t="s">
        <v>1308</v>
      </c>
    </row>
    <row r="86" spans="1:2" x14ac:dyDescent="0.25">
      <c r="A86" t="s">
        <v>1417</v>
      </c>
      <c r="B86" t="s">
        <v>1308</v>
      </c>
    </row>
    <row r="87" spans="1:2" x14ac:dyDescent="0.25">
      <c r="A87" t="s">
        <v>1418</v>
      </c>
      <c r="B87" t="s">
        <v>1308</v>
      </c>
    </row>
    <row r="88" spans="1:2" x14ac:dyDescent="0.25">
      <c r="A88" t="s">
        <v>1419</v>
      </c>
      <c r="B88" t="s">
        <v>1308</v>
      </c>
    </row>
    <row r="89" spans="1:2" x14ac:dyDescent="0.25">
      <c r="A89" t="s">
        <v>1420</v>
      </c>
      <c r="B89" t="s">
        <v>1308</v>
      </c>
    </row>
    <row r="90" spans="1:2" x14ac:dyDescent="0.25">
      <c r="A90" t="s">
        <v>1421</v>
      </c>
      <c r="B90" t="s">
        <v>1308</v>
      </c>
    </row>
    <row r="91" spans="1:2" x14ac:dyDescent="0.25">
      <c r="A91" t="s">
        <v>1422</v>
      </c>
      <c r="B91" t="s">
        <v>1308</v>
      </c>
    </row>
    <row r="92" spans="1:2" x14ac:dyDescent="0.25">
      <c r="A92" t="s">
        <v>1423</v>
      </c>
      <c r="B92" t="s">
        <v>1308</v>
      </c>
    </row>
    <row r="93" spans="1:2" x14ac:dyDescent="0.25">
      <c r="A93" t="s">
        <v>1424</v>
      </c>
      <c r="B93" t="s">
        <v>1308</v>
      </c>
    </row>
    <row r="94" spans="1:2" x14ac:dyDescent="0.25">
      <c r="A94" t="s">
        <v>1425</v>
      </c>
      <c r="B94" t="s">
        <v>1308</v>
      </c>
    </row>
    <row r="95" spans="1:2" x14ac:dyDescent="0.25">
      <c r="A95" t="s">
        <v>1426</v>
      </c>
      <c r="B95" t="s">
        <v>1308</v>
      </c>
    </row>
    <row r="96" spans="1:2" x14ac:dyDescent="0.25">
      <c r="A96" t="s">
        <v>1427</v>
      </c>
      <c r="B96" t="s">
        <v>1308</v>
      </c>
    </row>
    <row r="97" spans="1:2" x14ac:dyDescent="0.25">
      <c r="A97" t="s">
        <v>1428</v>
      </c>
      <c r="B97" t="s">
        <v>1308</v>
      </c>
    </row>
    <row r="98" spans="1:2" x14ac:dyDescent="0.25">
      <c r="A98" t="s">
        <v>1429</v>
      </c>
      <c r="B98" t="s">
        <v>1308</v>
      </c>
    </row>
    <row r="99" spans="1:2" x14ac:dyDescent="0.25">
      <c r="A99" t="s">
        <v>1430</v>
      </c>
      <c r="B99" t="s">
        <v>1308</v>
      </c>
    </row>
    <row r="100" spans="1:2" x14ac:dyDescent="0.25">
      <c r="A100" t="s">
        <v>1431</v>
      </c>
      <c r="B100" t="s">
        <v>1308</v>
      </c>
    </row>
    <row r="101" spans="1:2" x14ac:dyDescent="0.25">
      <c r="A101" t="s">
        <v>1432</v>
      </c>
      <c r="B101" t="s">
        <v>1324</v>
      </c>
    </row>
    <row r="102" spans="1:2" x14ac:dyDescent="0.25">
      <c r="A102" t="s">
        <v>1433</v>
      </c>
      <c r="B102" t="s">
        <v>1434</v>
      </c>
    </row>
    <row r="103" spans="1:2" x14ac:dyDescent="0.25">
      <c r="A103" t="s">
        <v>1435</v>
      </c>
      <c r="B103" t="s">
        <v>1307</v>
      </c>
    </row>
    <row r="104" spans="1:2" x14ac:dyDescent="0.25">
      <c r="A104" t="s">
        <v>1436</v>
      </c>
      <c r="B104" t="s">
        <v>1307</v>
      </c>
    </row>
    <row r="105" spans="1:2" x14ac:dyDescent="0.25">
      <c r="A105" t="s">
        <v>1437</v>
      </c>
      <c r="B105" t="s">
        <v>1307</v>
      </c>
    </row>
    <row r="106" spans="1:2" x14ac:dyDescent="0.25">
      <c r="A106" t="s">
        <v>1438</v>
      </c>
      <c r="B106" t="s">
        <v>1307</v>
      </c>
    </row>
    <row r="107" spans="1:2" x14ac:dyDescent="0.25">
      <c r="A107" t="s">
        <v>1439</v>
      </c>
      <c r="B107" t="s">
        <v>1307</v>
      </c>
    </row>
    <row r="108" spans="1:2" x14ac:dyDescent="0.25">
      <c r="A108" t="s">
        <v>1440</v>
      </c>
      <c r="B108" t="s">
        <v>1307</v>
      </c>
    </row>
    <row r="109" spans="1:2" x14ac:dyDescent="0.25">
      <c r="A109" t="s">
        <v>1441</v>
      </c>
      <c r="B109" t="s">
        <v>1307</v>
      </c>
    </row>
    <row r="110" spans="1:2" x14ac:dyDescent="0.25">
      <c r="A110" t="s">
        <v>1442</v>
      </c>
      <c r="B110" t="s">
        <v>1307</v>
      </c>
    </row>
    <row r="111" spans="1:2" x14ac:dyDescent="0.25">
      <c r="A111" t="s">
        <v>1443</v>
      </c>
      <c r="B111" t="s">
        <v>1307</v>
      </c>
    </row>
    <row r="112" spans="1:2" x14ac:dyDescent="0.25">
      <c r="A112" t="s">
        <v>1444</v>
      </c>
      <c r="B112" t="s">
        <v>1307</v>
      </c>
    </row>
    <row r="113" spans="1:2" x14ac:dyDescent="0.25">
      <c r="A113" t="s">
        <v>1445</v>
      </c>
      <c r="B113" t="s">
        <v>1307</v>
      </c>
    </row>
    <row r="114" spans="1:2" x14ac:dyDescent="0.25">
      <c r="A114" t="s">
        <v>1446</v>
      </c>
      <c r="B114" t="s">
        <v>1307</v>
      </c>
    </row>
    <row r="115" spans="1:2" x14ac:dyDescent="0.25">
      <c r="A115" t="s">
        <v>1447</v>
      </c>
      <c r="B115" t="s">
        <v>1307</v>
      </c>
    </row>
    <row r="116" spans="1:2" x14ac:dyDescent="0.25">
      <c r="A116" t="s">
        <v>1448</v>
      </c>
      <c r="B116" t="s">
        <v>1307</v>
      </c>
    </row>
    <row r="117" spans="1:2" x14ac:dyDescent="0.25">
      <c r="A117" t="s">
        <v>1449</v>
      </c>
      <c r="B117" t="s">
        <v>1307</v>
      </c>
    </row>
    <row r="118" spans="1:2" x14ac:dyDescent="0.25">
      <c r="A118" t="s">
        <v>1450</v>
      </c>
      <c r="B118" t="s">
        <v>1307</v>
      </c>
    </row>
    <row r="119" spans="1:2" x14ac:dyDescent="0.25">
      <c r="A119" t="s">
        <v>1451</v>
      </c>
      <c r="B119" t="s">
        <v>1307</v>
      </c>
    </row>
    <row r="120" spans="1:2" x14ac:dyDescent="0.25">
      <c r="A120" t="s">
        <v>1452</v>
      </c>
      <c r="B120" t="s">
        <v>1307</v>
      </c>
    </row>
    <row r="121" spans="1:2" x14ac:dyDescent="0.25">
      <c r="A121" t="s">
        <v>1453</v>
      </c>
      <c r="B121" t="s">
        <v>1307</v>
      </c>
    </row>
    <row r="122" spans="1:2" x14ac:dyDescent="0.25">
      <c r="A122" t="s">
        <v>1454</v>
      </c>
      <c r="B122" t="s">
        <v>1307</v>
      </c>
    </row>
    <row r="123" spans="1:2" x14ac:dyDescent="0.25">
      <c r="A123" t="s">
        <v>1455</v>
      </c>
      <c r="B123" t="s">
        <v>1307</v>
      </c>
    </row>
    <row r="124" spans="1:2" x14ac:dyDescent="0.25">
      <c r="A124" t="s">
        <v>1456</v>
      </c>
      <c r="B124" t="s">
        <v>1307</v>
      </c>
    </row>
    <row r="125" spans="1:2" x14ac:dyDescent="0.25">
      <c r="A125" t="s">
        <v>1457</v>
      </c>
      <c r="B125" t="s">
        <v>1307</v>
      </c>
    </row>
    <row r="126" spans="1:2" x14ac:dyDescent="0.25">
      <c r="A126" t="s">
        <v>1458</v>
      </c>
      <c r="B126" t="s">
        <v>1307</v>
      </c>
    </row>
    <row r="127" spans="1:2" x14ac:dyDescent="0.25">
      <c r="A127" t="s">
        <v>1459</v>
      </c>
      <c r="B127" t="s">
        <v>1307</v>
      </c>
    </row>
    <row r="128" spans="1:2" x14ac:dyDescent="0.25">
      <c r="A128" t="s">
        <v>1460</v>
      </c>
      <c r="B128" t="s">
        <v>1307</v>
      </c>
    </row>
    <row r="129" spans="1:2" x14ac:dyDescent="0.25">
      <c r="A129" t="s">
        <v>1461</v>
      </c>
      <c r="B129" t="s">
        <v>1311</v>
      </c>
    </row>
    <row r="130" spans="1:2" x14ac:dyDescent="0.25">
      <c r="A130" t="s">
        <v>1462</v>
      </c>
      <c r="B130" t="s">
        <v>1311</v>
      </c>
    </row>
    <row r="131" spans="1:2" x14ac:dyDescent="0.25">
      <c r="A131" t="s">
        <v>1463</v>
      </c>
      <c r="B131" t="s">
        <v>1311</v>
      </c>
    </row>
    <row r="132" spans="1:2" x14ac:dyDescent="0.25">
      <c r="A132" t="s">
        <v>1464</v>
      </c>
      <c r="B132" t="s">
        <v>1311</v>
      </c>
    </row>
    <row r="133" spans="1:2" x14ac:dyDescent="0.25">
      <c r="A133" t="s">
        <v>1523</v>
      </c>
      <c r="B133" t="s">
        <v>1311</v>
      </c>
    </row>
    <row r="134" spans="1:2" x14ac:dyDescent="0.25">
      <c r="A134" t="s">
        <v>1465</v>
      </c>
      <c r="B134" t="s">
        <v>1311</v>
      </c>
    </row>
    <row r="135" spans="1:2" x14ac:dyDescent="0.25">
      <c r="A135" t="s">
        <v>1466</v>
      </c>
      <c r="B135" t="s">
        <v>1311</v>
      </c>
    </row>
    <row r="136" spans="1:2" x14ac:dyDescent="0.25">
      <c r="A136" t="s">
        <v>1467</v>
      </c>
      <c r="B136" t="s">
        <v>1468</v>
      </c>
    </row>
    <row r="137" spans="1:2" x14ac:dyDescent="0.25">
      <c r="A137" t="s">
        <v>1469</v>
      </c>
      <c r="B137" t="s">
        <v>1314</v>
      </c>
    </row>
    <row r="138" spans="1:2" x14ac:dyDescent="0.25">
      <c r="A138" t="s">
        <v>1470</v>
      </c>
      <c r="B138" t="s">
        <v>1314</v>
      </c>
    </row>
    <row r="139" spans="1:2" x14ac:dyDescent="0.25">
      <c r="A139" t="s">
        <v>1471</v>
      </c>
      <c r="B139" t="s">
        <v>1314</v>
      </c>
    </row>
    <row r="140" spans="1:2" x14ac:dyDescent="0.25">
      <c r="A140" t="s">
        <v>1472</v>
      </c>
      <c r="B140" t="s">
        <v>1314</v>
      </c>
    </row>
    <row r="141" spans="1:2" x14ac:dyDescent="0.25">
      <c r="A141" t="s">
        <v>1473</v>
      </c>
      <c r="B141" t="s">
        <v>1314</v>
      </c>
    </row>
    <row r="142" spans="1:2" x14ac:dyDescent="0.25">
      <c r="A142" t="s">
        <v>1474</v>
      </c>
      <c r="B142" t="s">
        <v>1314</v>
      </c>
    </row>
    <row r="143" spans="1:2" x14ac:dyDescent="0.25">
      <c r="A143" t="s">
        <v>1475</v>
      </c>
      <c r="B143" t="s">
        <v>1314</v>
      </c>
    </row>
    <row r="144" spans="1:2" x14ac:dyDescent="0.25">
      <c r="A144" t="s">
        <v>1476</v>
      </c>
      <c r="B144" t="s">
        <v>1314</v>
      </c>
    </row>
    <row r="145" spans="1:2" x14ac:dyDescent="0.25">
      <c r="A145" t="s">
        <v>1477</v>
      </c>
      <c r="B145" t="s">
        <v>1314</v>
      </c>
    </row>
    <row r="146" spans="1:2" x14ac:dyDescent="0.25">
      <c r="A146" t="s">
        <v>1478</v>
      </c>
      <c r="B146" t="s">
        <v>1314</v>
      </c>
    </row>
    <row r="147" spans="1:2" x14ac:dyDescent="0.25">
      <c r="A147" t="s">
        <v>1479</v>
      </c>
      <c r="B147" t="s">
        <v>1314</v>
      </c>
    </row>
    <row r="148" spans="1:2" x14ac:dyDescent="0.25">
      <c r="A148" t="s">
        <v>1480</v>
      </c>
      <c r="B148" t="s">
        <v>1314</v>
      </c>
    </row>
    <row r="149" spans="1:2" x14ac:dyDescent="0.25">
      <c r="A149" t="s">
        <v>1481</v>
      </c>
      <c r="B149" t="s">
        <v>1314</v>
      </c>
    </row>
    <row r="150" spans="1:2" x14ac:dyDescent="0.25">
      <c r="A150" t="s">
        <v>1482</v>
      </c>
      <c r="B150" t="s">
        <v>1314</v>
      </c>
    </row>
    <row r="151" spans="1:2" x14ac:dyDescent="0.25">
      <c r="A151" t="s">
        <v>1483</v>
      </c>
      <c r="B151" t="s">
        <v>1314</v>
      </c>
    </row>
    <row r="152" spans="1:2" x14ac:dyDescent="0.25">
      <c r="A152" t="s">
        <v>1484</v>
      </c>
      <c r="B152" t="s">
        <v>1314</v>
      </c>
    </row>
    <row r="153" spans="1:2" x14ac:dyDescent="0.25">
      <c r="A153" t="s">
        <v>1485</v>
      </c>
      <c r="B153" t="s">
        <v>1314</v>
      </c>
    </row>
    <row r="154" spans="1:2" x14ac:dyDescent="0.25">
      <c r="A154" t="s">
        <v>1486</v>
      </c>
      <c r="B154" t="s">
        <v>1314</v>
      </c>
    </row>
    <row r="155" spans="1:2" x14ac:dyDescent="0.25">
      <c r="A155" t="s">
        <v>1487</v>
      </c>
      <c r="B155" t="s">
        <v>1314</v>
      </c>
    </row>
    <row r="156" spans="1:2" x14ac:dyDescent="0.25">
      <c r="A156" t="s">
        <v>1488</v>
      </c>
      <c r="B156" t="s">
        <v>1314</v>
      </c>
    </row>
    <row r="157" spans="1:2" x14ac:dyDescent="0.25">
      <c r="A157" t="s">
        <v>1489</v>
      </c>
      <c r="B157" t="s">
        <v>1314</v>
      </c>
    </row>
    <row r="158" spans="1:2" x14ac:dyDescent="0.25">
      <c r="A158" t="s">
        <v>1490</v>
      </c>
      <c r="B158" t="s">
        <v>1314</v>
      </c>
    </row>
    <row r="159" spans="1:2" x14ac:dyDescent="0.25">
      <c r="A159" t="s">
        <v>1491</v>
      </c>
      <c r="B159" t="s">
        <v>1324</v>
      </c>
    </row>
    <row r="160" spans="1:2" x14ac:dyDescent="0.25">
      <c r="A160" t="s">
        <v>1492</v>
      </c>
      <c r="B160" t="s">
        <v>1324</v>
      </c>
    </row>
    <row r="161" spans="1:2" x14ac:dyDescent="0.25">
      <c r="A161" t="s">
        <v>1493</v>
      </c>
      <c r="B161" t="s">
        <v>1324</v>
      </c>
    </row>
    <row r="162" spans="1:2" x14ac:dyDescent="0.25">
      <c r="A162" t="s">
        <v>1494</v>
      </c>
      <c r="B162" t="s">
        <v>1324</v>
      </c>
    </row>
    <row r="163" spans="1:2" x14ac:dyDescent="0.25">
      <c r="A163" t="s">
        <v>1495</v>
      </c>
      <c r="B163" t="s">
        <v>1324</v>
      </c>
    </row>
    <row r="164" spans="1:2" x14ac:dyDescent="0.25">
      <c r="A164" t="s">
        <v>1496</v>
      </c>
      <c r="B164" t="s">
        <v>1312</v>
      </c>
    </row>
    <row r="165" spans="1:2" x14ac:dyDescent="0.25">
      <c r="A165" t="s">
        <v>1497</v>
      </c>
      <c r="B165" t="s">
        <v>1312</v>
      </c>
    </row>
    <row r="166" spans="1:2" x14ac:dyDescent="0.25">
      <c r="A166" t="s">
        <v>1498</v>
      </c>
      <c r="B166" t="s">
        <v>1306</v>
      </c>
    </row>
    <row r="167" spans="1:2" x14ac:dyDescent="0.25">
      <c r="A167" t="s">
        <v>1499</v>
      </c>
      <c r="B167" t="s">
        <v>1306</v>
      </c>
    </row>
    <row r="168" spans="1:2" x14ac:dyDescent="0.25">
      <c r="A168" t="s">
        <v>1500</v>
      </c>
      <c r="B168" t="s">
        <v>1306</v>
      </c>
    </row>
    <row r="169" spans="1:2" x14ac:dyDescent="0.25">
      <c r="A169" t="s">
        <v>1501</v>
      </c>
      <c r="B169" t="s">
        <v>1306</v>
      </c>
    </row>
    <row r="170" spans="1:2" x14ac:dyDescent="0.25">
      <c r="A170" t="s">
        <v>1502</v>
      </c>
      <c r="B170" t="s">
        <v>1306</v>
      </c>
    </row>
    <row r="171" spans="1:2" x14ac:dyDescent="0.25">
      <c r="A171" t="s">
        <v>1503</v>
      </c>
      <c r="B171" t="s">
        <v>1306</v>
      </c>
    </row>
    <row r="172" spans="1:2" x14ac:dyDescent="0.25">
      <c r="A172" t="s">
        <v>1504</v>
      </c>
      <c r="B172" t="s">
        <v>1306</v>
      </c>
    </row>
    <row r="173" spans="1:2" x14ac:dyDescent="0.25">
      <c r="A173" t="s">
        <v>1505</v>
      </c>
      <c r="B173" t="s">
        <v>1306</v>
      </c>
    </row>
    <row r="174" spans="1:2" x14ac:dyDescent="0.25">
      <c r="A174" t="s">
        <v>1506</v>
      </c>
      <c r="B174" t="s">
        <v>1306</v>
      </c>
    </row>
    <row r="175" spans="1:2" x14ac:dyDescent="0.25">
      <c r="A175" t="s">
        <v>1507</v>
      </c>
      <c r="B175" t="s">
        <v>1508</v>
      </c>
    </row>
    <row r="176" spans="1:2" x14ac:dyDescent="0.25">
      <c r="A176" t="s">
        <v>1509</v>
      </c>
      <c r="B176" t="s">
        <v>1508</v>
      </c>
    </row>
    <row r="177" spans="1:2" x14ac:dyDescent="0.25">
      <c r="A177" t="s">
        <v>1510</v>
      </c>
      <c r="B177" t="s">
        <v>1508</v>
      </c>
    </row>
    <row r="178" spans="1:2" x14ac:dyDescent="0.25">
      <c r="A178" t="s">
        <v>27</v>
      </c>
      <c r="B178" t="s">
        <v>1511</v>
      </c>
    </row>
    <row r="179" spans="1:2" x14ac:dyDescent="0.25">
      <c r="A179" t="s">
        <v>1512</v>
      </c>
      <c r="B179" t="s">
        <v>1513</v>
      </c>
    </row>
    <row r="180" spans="1:2" x14ac:dyDescent="0.25">
      <c r="A180" t="s">
        <v>1514</v>
      </c>
      <c r="B180" t="s">
        <v>1515</v>
      </c>
    </row>
    <row r="181" spans="1:2" x14ac:dyDescent="0.25">
      <c r="A181" t="s">
        <v>1524</v>
      </c>
      <c r="B181" t="s">
        <v>1308</v>
      </c>
    </row>
    <row r="182" spans="1:2" x14ac:dyDescent="0.25">
      <c r="A182" t="s">
        <v>1525</v>
      </c>
      <c r="B182" t="s">
        <v>1308</v>
      </c>
    </row>
    <row r="183" spans="1:2" x14ac:dyDescent="0.25">
      <c r="A183" t="s">
        <v>1526</v>
      </c>
      <c r="B183" t="s">
        <v>1527</v>
      </c>
    </row>
    <row r="184" spans="1:2" x14ac:dyDescent="0.25">
      <c r="A184" t="s">
        <v>1528</v>
      </c>
      <c r="B184" t="s">
        <v>1529</v>
      </c>
    </row>
    <row r="185" spans="1:2" x14ac:dyDescent="0.25">
      <c r="A185" t="s">
        <v>1530</v>
      </c>
      <c r="B185" t="s">
        <v>1531</v>
      </c>
    </row>
    <row r="186" spans="1:2" x14ac:dyDescent="0.25">
      <c r="A186" t="s">
        <v>1532</v>
      </c>
      <c r="B186" t="s">
        <v>1533</v>
      </c>
    </row>
    <row r="187" spans="1:2" x14ac:dyDescent="0.25">
      <c r="A187" t="s">
        <v>1534</v>
      </c>
      <c r="B187" t="s">
        <v>1309</v>
      </c>
    </row>
    <row r="188" spans="1:2" x14ac:dyDescent="0.25">
      <c r="A188" t="s">
        <v>1535</v>
      </c>
      <c r="B188" t="s">
        <v>1508</v>
      </c>
    </row>
    <row r="189" spans="1:2" x14ac:dyDescent="0.25">
      <c r="A189" t="s">
        <v>1536</v>
      </c>
      <c r="B189" t="s">
        <v>1537</v>
      </c>
    </row>
    <row r="190" spans="1:2" x14ac:dyDescent="0.25">
      <c r="A190" t="s">
        <v>1538</v>
      </c>
      <c r="B190" t="s">
        <v>1537</v>
      </c>
    </row>
    <row r="191" spans="1:2" x14ac:dyDescent="0.25">
      <c r="A191" t="s">
        <v>1539</v>
      </c>
      <c r="B191" t="s">
        <v>1537</v>
      </c>
    </row>
    <row r="192" spans="1:2" x14ac:dyDescent="0.25">
      <c r="A192" t="s">
        <v>1540</v>
      </c>
      <c r="B192" t="s">
        <v>1537</v>
      </c>
    </row>
    <row r="193" spans="1:2" x14ac:dyDescent="0.25">
      <c r="A193" t="s">
        <v>1541</v>
      </c>
      <c r="B193" t="s">
        <v>1537</v>
      </c>
    </row>
    <row r="194" spans="1:2" x14ac:dyDescent="0.25">
      <c r="A194" t="s">
        <v>1542</v>
      </c>
      <c r="B194" t="s">
        <v>1537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ED5D-1AF3-4F06-BCC3-D4B1348D13F7}">
  <dimension ref="A1:G1368"/>
  <sheetViews>
    <sheetView topLeftCell="B689" workbookViewId="0">
      <selection activeCell="I722" sqref="I722"/>
    </sheetView>
  </sheetViews>
  <sheetFormatPr defaultRowHeight="15" x14ac:dyDescent="0.25"/>
  <cols>
    <col min="1" max="1" width="19" customWidth="1"/>
    <col min="2" max="2" width="17.28515625" customWidth="1"/>
    <col min="3" max="3" width="74.140625" customWidth="1"/>
    <col min="4" max="4" width="12.28515625" customWidth="1"/>
    <col min="5" max="5" width="16.85546875" customWidth="1"/>
    <col min="6" max="6" width="11.140625" customWidth="1"/>
    <col min="7" max="7" width="4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1305</v>
      </c>
    </row>
    <row r="2" spans="1:7" x14ac:dyDescent="0.25">
      <c r="A2" t="s">
        <v>6</v>
      </c>
      <c r="B2" s="1">
        <v>46211</v>
      </c>
      <c r="C2" t="s">
        <v>7</v>
      </c>
      <c r="D2">
        <v>-20.54</v>
      </c>
      <c r="E2" t="s">
        <v>8</v>
      </c>
      <c r="F2" t="s">
        <v>9</v>
      </c>
      <c r="G2" t="str" cm="1">
        <f t="array" ref="G2">IF(AND(ISNUMBER(SEARCH("UBER",C2)),ISNUMBER(SEARCH("EATS",C2))),"Uber Eats",IF(LEFT(C2,6)="CHECK ","Checks Paid",IF(OR(E2="BILLPAY",ISNUMBER(SEARCH("FRANCHISE TAX",C2)),ISNUMBER(SEARCH("NEXTLINK",C2))),"Personal - House Bills",IF(AND(ISNUMBER(SEARCH("PAYMENT FROM",C2)),ISNUMBER(SEARCH("JOE SAUNDERS",C2))),"Zelle from Joe Saunders",IF(AND(ISNUMBER(SEARCH("PAYMENT TO",C2)),ISNUMBER(SEARCH("JOE SAUNDERS",C2))),"Zelle to Joe Saunders",IF(OR(ISNUMBER(SEARCH("NEW ORLEANS",C2)),ISNUMBER(SEARCH("KENNER",C2)),ISNUMBER(SEARCH("HENRY HOWARD",C2)),ISNUMBER(SEARCH("MISS CLAUDIA",C2))),"Personal Travel - New Orleans",IFERROR(INDEX('Category Rules'!$B$2:$B$194,MATCH(TRUE,ISNUMBER(SEARCH('Category Rules'!$A$2:$A$194,C2)),0)),"")))))))</f>
        <v>Uber Eats</v>
      </c>
    </row>
    <row r="3" spans="1:7" x14ac:dyDescent="0.25">
      <c r="A3" t="s">
        <v>6</v>
      </c>
      <c r="B3" s="1">
        <v>46211</v>
      </c>
      <c r="C3" t="s">
        <v>10</v>
      </c>
      <c r="D3">
        <v>-395</v>
      </c>
      <c r="E3" t="s">
        <v>8</v>
      </c>
      <c r="F3" t="s">
        <v>9</v>
      </c>
      <c r="G3" t="str" cm="1">
        <f t="array" ref="G3">IF(AND(ISNUMBER(SEARCH("UBER",C3)),ISNUMBER(SEARCH("EATS",C3))),"Uber Eats",IF(LEFT(C3,6)="CHECK ","Checks Paid",IF(OR(E3="BILLPAY",ISNUMBER(SEARCH("FRANCHISE TAX",C3)),ISNUMBER(SEARCH("NEXTLINK",C3))),"Personal - House Bills",IF(AND(ISNUMBER(SEARCH("PAYMENT FROM",C3)),ISNUMBER(SEARCH("JOE SAUNDERS",C3))),"Zelle from Joe Saunders",IF(AND(ISNUMBER(SEARCH("PAYMENT TO",C3)),ISNUMBER(SEARCH("JOE SAUNDERS",C3))),"Zelle to Joe Saunders",IF(OR(ISNUMBER(SEARCH("NEW ORLEANS",C3)),ISNUMBER(SEARCH("KENNER",C3)),ISNUMBER(SEARCH("HENRY HOWARD",C3)),ISNUMBER(SEARCH("MISS CLAUDIA",C3))),"Personal Travel - New Orleans",IFERROR(INDEX('Category Rules'!$B$2:$B$194,MATCH(TRUE,ISNUMBER(SEARCH('Category Rules'!$A$2:$A$194,C3)),0)),"")))))))</f>
        <v>Personal - Health</v>
      </c>
    </row>
    <row r="4" spans="1:7" x14ac:dyDescent="0.25">
      <c r="A4" t="s">
        <v>6</v>
      </c>
      <c r="B4" s="1">
        <v>46211</v>
      </c>
      <c r="C4" t="s">
        <v>11</v>
      </c>
      <c r="D4">
        <v>-15.99</v>
      </c>
      <c r="E4" t="s">
        <v>8</v>
      </c>
      <c r="F4" t="s">
        <v>9</v>
      </c>
      <c r="G4" t="str" cm="1">
        <f t="array" ref="G4">IF(AND(ISNUMBER(SEARCH("UBER",C4)),ISNUMBER(SEARCH("EATS",C4))),"Uber Eats",IF(LEFT(C4,6)="CHECK ","Checks Paid",IF(OR(E4="BILLPAY",ISNUMBER(SEARCH("FRANCHISE TAX",C4)),ISNUMBER(SEARCH("NEXTLINK",C4))),"Personal - House Bills",IF(AND(ISNUMBER(SEARCH("PAYMENT FROM",C4)),ISNUMBER(SEARCH("JOE SAUNDERS",C4))),"Zelle from Joe Saunders",IF(AND(ISNUMBER(SEARCH("PAYMENT TO",C4)),ISNUMBER(SEARCH("JOE SAUNDERS",C4))),"Zelle to Joe Saunders",IF(OR(ISNUMBER(SEARCH("NEW ORLEANS",C4)),ISNUMBER(SEARCH("KENNER",C4)),ISNUMBER(SEARCH("HENRY HOWARD",C4)),ISNUMBER(SEARCH("MISS CLAUDIA",C4))),"Personal Travel - New Orleans",IFERROR(INDEX('Category Rules'!$B$2:$B$194,MATCH(TRUE,ISNUMBER(SEARCH('Category Rules'!$A$2:$A$194,C4)),0)),"")))))))</f>
        <v>Amazon</v>
      </c>
    </row>
    <row r="5" spans="1:7" x14ac:dyDescent="0.25">
      <c r="A5" t="s">
        <v>6</v>
      </c>
      <c r="B5" s="1">
        <v>46211</v>
      </c>
      <c r="C5" t="s">
        <v>12</v>
      </c>
      <c r="D5">
        <v>-15</v>
      </c>
      <c r="E5" t="s">
        <v>8</v>
      </c>
      <c r="F5" t="s">
        <v>9</v>
      </c>
      <c r="G5" t="str" cm="1">
        <f t="array" ref="G5">IF(AND(ISNUMBER(SEARCH("UBER",C5)),ISNUMBER(SEARCH("EATS",C5))),"Uber Eats",IF(LEFT(C5,6)="CHECK ","Checks Paid",IF(OR(E5="BILLPAY",ISNUMBER(SEARCH("FRANCHISE TAX",C5)),ISNUMBER(SEARCH("NEXTLINK",C5))),"Personal - House Bills",IF(AND(ISNUMBER(SEARCH("PAYMENT FROM",C5)),ISNUMBER(SEARCH("JOE SAUNDERS",C5))),"Zelle from Joe Saunders",IF(AND(ISNUMBER(SEARCH("PAYMENT TO",C5)),ISNUMBER(SEARCH("JOE SAUNDERS",C5))),"Zelle to Joe Saunders",IF(OR(ISNUMBER(SEARCH("NEW ORLEANS",C5)),ISNUMBER(SEARCH("KENNER",C5)),ISNUMBER(SEARCH("HENRY HOWARD",C5)),ISNUMBER(SEARCH("MISS CLAUDIA",C5))),"Personal Travel - New Orleans",IFERROR(INDEX('Category Rules'!$B$2:$B$194,MATCH(TRUE,ISNUMBER(SEARCH('Category Rules'!$A$2:$A$194,C5)),0)),"")))))))</f>
        <v>Amazon</v>
      </c>
    </row>
    <row r="6" spans="1:7" x14ac:dyDescent="0.25">
      <c r="A6" t="s">
        <v>6</v>
      </c>
      <c r="B6" s="1">
        <v>46210</v>
      </c>
      <c r="C6" t="s">
        <v>13</v>
      </c>
      <c r="D6">
        <v>-27.55</v>
      </c>
      <c r="E6" t="s">
        <v>14</v>
      </c>
      <c r="F6">
        <v>1542.75</v>
      </c>
      <c r="G6" t="str" cm="1">
        <f t="array" ref="G6">IF(AND(ISNUMBER(SEARCH("UBER",C6)),ISNUMBER(SEARCH("EATS",C6))),"Uber Eats",IF(LEFT(C6,6)="CHECK ","Checks Paid",IF(OR(E6="BILLPAY",ISNUMBER(SEARCH("FRANCHISE TAX",C6)),ISNUMBER(SEARCH("NEXTLINK",C6))),"Personal - House Bills",IF(AND(ISNUMBER(SEARCH("PAYMENT FROM",C6)),ISNUMBER(SEARCH("JOE SAUNDERS",C6))),"Zelle from Joe Saunders",IF(AND(ISNUMBER(SEARCH("PAYMENT TO",C6)),ISNUMBER(SEARCH("JOE SAUNDERS",C6))),"Zelle to Joe Saunders",IF(OR(ISNUMBER(SEARCH("NEW ORLEANS",C6)),ISNUMBER(SEARCH("KENNER",C6)),ISNUMBER(SEARCH("HENRY HOWARD",C6)),ISNUMBER(SEARCH("MISS CLAUDIA",C6))),"Personal Travel - New Orleans",IFERROR(INDEX('Category Rules'!$B$2:$B$194,MATCH(TRUE,ISNUMBER(SEARCH('Category Rules'!$A$2:$A$194,C6)),0)),"")))))))</f>
        <v>Uber Eats</v>
      </c>
    </row>
    <row r="7" spans="1:7" x14ac:dyDescent="0.25">
      <c r="A7" t="s">
        <v>6</v>
      </c>
      <c r="B7" s="1">
        <v>46210</v>
      </c>
      <c r="C7" t="s">
        <v>15</v>
      </c>
      <c r="D7">
        <v>-5000</v>
      </c>
      <c r="E7" t="s">
        <v>8</v>
      </c>
      <c r="F7">
        <v>1570.3</v>
      </c>
      <c r="G7" t="str" cm="1">
        <f t="array" ref="G7">IF(AND(ISNUMBER(SEARCH("UBER",C7)),ISNUMBER(SEARCH("EATS",C7))),"Uber Eats",IF(LEFT(C7,6)="CHECK ","Checks Paid",IF(OR(E7="BILLPAY",ISNUMBER(SEARCH("FRANCHISE TAX",C7)),ISNUMBER(SEARCH("NEXTLINK",C7))),"Personal - House Bills",IF(AND(ISNUMBER(SEARCH("PAYMENT FROM",C7)),ISNUMBER(SEARCH("JOE SAUNDERS",C7))),"Zelle from Joe Saunders",IF(AND(ISNUMBER(SEARCH("PAYMENT TO",C7)),ISNUMBER(SEARCH("JOE SAUNDERS",C7))),"Zelle to Joe Saunders",IF(OR(ISNUMBER(SEARCH("NEW ORLEANS",C7)),ISNUMBER(SEARCH("KENNER",C7)),ISNUMBER(SEARCH("HENRY HOWARD",C7)),ISNUMBER(SEARCH("MISS CLAUDIA",C7))),"Personal Travel - New Orleans",IFERROR(INDEX('Category Rules'!$B$2:$B$194,MATCH(TRUE,ISNUMBER(SEARCH('Category Rules'!$A$2:$A$194,C7)),0)),"")))))))</f>
        <v>Withdrawal</v>
      </c>
    </row>
    <row r="8" spans="1:7" x14ac:dyDescent="0.25">
      <c r="A8" t="s">
        <v>6</v>
      </c>
      <c r="B8" s="1">
        <v>46210</v>
      </c>
      <c r="C8" t="s">
        <v>16</v>
      </c>
      <c r="D8">
        <v>-25.62</v>
      </c>
      <c r="E8" t="s">
        <v>14</v>
      </c>
      <c r="F8">
        <v>6570.3</v>
      </c>
      <c r="G8" t="str" cm="1">
        <f t="array" ref="G8">IF(AND(ISNUMBER(SEARCH("UBER",C8)),ISNUMBER(SEARCH("EATS",C8))),"Uber Eats",IF(LEFT(C8,6)="CHECK ","Checks Paid",IF(OR(E8="BILLPAY",ISNUMBER(SEARCH("FRANCHISE TAX",C8)),ISNUMBER(SEARCH("NEXTLINK",C8))),"Personal - House Bills",IF(AND(ISNUMBER(SEARCH("PAYMENT FROM",C8)),ISNUMBER(SEARCH("JOE SAUNDERS",C8))),"Zelle from Joe Saunders",IF(AND(ISNUMBER(SEARCH("PAYMENT TO",C8)),ISNUMBER(SEARCH("JOE SAUNDERS",C8))),"Zelle to Joe Saunders",IF(OR(ISNUMBER(SEARCH("NEW ORLEANS",C8)),ISNUMBER(SEARCH("KENNER",C8)),ISNUMBER(SEARCH("HENRY HOWARD",C8)),ISNUMBER(SEARCH("MISS CLAUDIA",C8))),"Personal Travel - New Orleans",IFERROR(INDEX('Category Rules'!$B$2:$B$194,MATCH(TRUE,ISNUMBER(SEARCH('Category Rules'!$A$2:$A$194,C8)),0)),"")))))))</f>
        <v>Amazon</v>
      </c>
    </row>
    <row r="9" spans="1:7" x14ac:dyDescent="0.25">
      <c r="A9" t="s">
        <v>6</v>
      </c>
      <c r="B9" s="1">
        <v>46210</v>
      </c>
      <c r="C9" t="s">
        <v>17</v>
      </c>
      <c r="D9">
        <v>-430.03</v>
      </c>
      <c r="E9" t="s">
        <v>14</v>
      </c>
      <c r="F9">
        <v>6595.92</v>
      </c>
      <c r="G9" t="str" cm="1">
        <f t="array" ref="G9">IF(AND(ISNUMBER(SEARCH("UBER",C9)),ISNUMBER(SEARCH("EATS",C9))),"Uber Eats",IF(LEFT(C9,6)="CHECK ","Checks Paid",IF(OR(E9="BILLPAY",ISNUMBER(SEARCH("FRANCHISE TAX",C9)),ISNUMBER(SEARCH("NEXTLINK",C9))),"Personal - House Bills",IF(AND(ISNUMBER(SEARCH("PAYMENT FROM",C9)),ISNUMBER(SEARCH("JOE SAUNDERS",C9))),"Zelle from Joe Saunders",IF(AND(ISNUMBER(SEARCH("PAYMENT TO",C9)),ISNUMBER(SEARCH("JOE SAUNDERS",C9))),"Zelle to Joe Saunders",IF(OR(ISNUMBER(SEARCH("NEW ORLEANS",C9)),ISNUMBER(SEARCH("KENNER",C9)),ISNUMBER(SEARCH("HENRY HOWARD",C9)),ISNUMBER(SEARCH("MISS CLAUDIA",C9))),"Personal Travel - New Orleans",IFERROR(INDEX('Category Rules'!$B$2:$B$194,MATCH(TRUE,ISNUMBER(SEARCH('Category Rules'!$A$2:$A$194,C9)),0)),"")))))))</f>
        <v>Personal - Health</v>
      </c>
    </row>
    <row r="10" spans="1:7" x14ac:dyDescent="0.25">
      <c r="A10" t="s">
        <v>6</v>
      </c>
      <c r="B10" s="1">
        <v>46210</v>
      </c>
      <c r="C10" t="s">
        <v>18</v>
      </c>
      <c r="D10">
        <v>-133</v>
      </c>
      <c r="E10" t="s">
        <v>14</v>
      </c>
      <c r="F10">
        <v>7025.95</v>
      </c>
      <c r="G10" t="str" cm="1">
        <f t="array" ref="G10">IF(AND(ISNUMBER(SEARCH("UBER",C10)),ISNUMBER(SEARCH("EATS",C10))),"Uber Eats",IF(LEFT(C10,6)="CHECK ","Checks Paid",IF(OR(E10="BILLPAY",ISNUMBER(SEARCH("FRANCHISE TAX",C10)),ISNUMBER(SEARCH("NEXTLINK",C10))),"Personal - House Bills",IF(AND(ISNUMBER(SEARCH("PAYMENT FROM",C10)),ISNUMBER(SEARCH("JOE SAUNDERS",C10))),"Zelle from Joe Saunders",IF(AND(ISNUMBER(SEARCH("PAYMENT TO",C10)),ISNUMBER(SEARCH("JOE SAUNDERS",C10))),"Zelle to Joe Saunders",IF(OR(ISNUMBER(SEARCH("NEW ORLEANS",C10)),ISNUMBER(SEARCH("KENNER",C10)),ISNUMBER(SEARCH("HENRY HOWARD",C10)),ISNUMBER(SEARCH("MISS CLAUDIA",C10))),"Personal Travel - New Orleans",IFERROR(INDEX('Category Rules'!$B$2:$B$194,MATCH(TRUE,ISNUMBER(SEARCH('Category Rules'!$A$2:$A$194,C10)),0)),"")))))))</f>
        <v>Personal - Clothing</v>
      </c>
    </row>
    <row r="11" spans="1:7" x14ac:dyDescent="0.25">
      <c r="A11" t="s">
        <v>6</v>
      </c>
      <c r="B11" s="1">
        <v>46210</v>
      </c>
      <c r="C11" t="s">
        <v>19</v>
      </c>
      <c r="D11">
        <v>-30</v>
      </c>
      <c r="E11" t="s">
        <v>14</v>
      </c>
      <c r="F11">
        <v>7158.95</v>
      </c>
      <c r="G11" t="str" cm="1">
        <f t="array" ref="G11">IF(AND(ISNUMBER(SEARCH("UBER",C11)),ISNUMBER(SEARCH("EATS",C11))),"Uber Eats",IF(LEFT(C11,6)="CHECK ","Checks Paid",IF(OR(E11="BILLPAY",ISNUMBER(SEARCH("FRANCHISE TAX",C11)),ISNUMBER(SEARCH("NEXTLINK",C11))),"Personal - House Bills",IF(AND(ISNUMBER(SEARCH("PAYMENT FROM",C11)),ISNUMBER(SEARCH("JOE SAUNDERS",C11))),"Zelle from Joe Saunders",IF(AND(ISNUMBER(SEARCH("PAYMENT TO",C11)),ISNUMBER(SEARCH("JOE SAUNDERS",C11))),"Zelle to Joe Saunders",IF(OR(ISNUMBER(SEARCH("NEW ORLEANS",C11)),ISNUMBER(SEARCH("KENNER",C11)),ISNUMBER(SEARCH("HENRY HOWARD",C11)),ISNUMBER(SEARCH("MISS CLAUDIA",C11))),"Personal Travel - New Orleans",IFERROR(INDEX('Category Rules'!$B$2:$B$194,MATCH(TRUE,ISNUMBER(SEARCH('Category Rules'!$A$2:$A$194,C11)),0)),"")))))))</f>
        <v>Amazon</v>
      </c>
    </row>
    <row r="12" spans="1:7" x14ac:dyDescent="0.25">
      <c r="A12" t="s">
        <v>6</v>
      </c>
      <c r="B12" s="1">
        <v>46210</v>
      </c>
      <c r="C12" t="s">
        <v>20</v>
      </c>
      <c r="D12">
        <v>-11.75</v>
      </c>
      <c r="E12" t="s">
        <v>14</v>
      </c>
      <c r="F12">
        <v>7188.95</v>
      </c>
      <c r="G12" t="str" cm="1">
        <f t="array" ref="G12">IF(AND(ISNUMBER(SEARCH("UBER",C12)),ISNUMBER(SEARCH("EATS",C12))),"Uber Eats",IF(LEFT(C12,6)="CHECK ","Checks Paid",IF(OR(E12="BILLPAY",ISNUMBER(SEARCH("FRANCHISE TAX",C12)),ISNUMBER(SEARCH("NEXTLINK",C12))),"Personal - House Bills",IF(AND(ISNUMBER(SEARCH("PAYMENT FROM",C12)),ISNUMBER(SEARCH("JOE SAUNDERS",C12))),"Zelle from Joe Saunders",IF(AND(ISNUMBER(SEARCH("PAYMENT TO",C12)),ISNUMBER(SEARCH("JOE SAUNDERS",C12))),"Zelle to Joe Saunders",IF(OR(ISNUMBER(SEARCH("NEW ORLEANS",C12)),ISNUMBER(SEARCH("KENNER",C12)),ISNUMBER(SEARCH("HENRY HOWARD",C12)),ISNUMBER(SEARCH("MISS CLAUDIA",C12))),"Personal Travel - New Orleans",IFERROR(INDEX('Category Rules'!$B$2:$B$194,MATCH(TRUE,ISNUMBER(SEARCH('Category Rules'!$A$2:$A$194,C12)),0)),"")))))))</f>
        <v>Amazon</v>
      </c>
    </row>
    <row r="13" spans="1:7" x14ac:dyDescent="0.25">
      <c r="A13" t="s">
        <v>6</v>
      </c>
      <c r="B13" s="1">
        <v>46210</v>
      </c>
      <c r="C13" t="s">
        <v>21</v>
      </c>
      <c r="D13">
        <v>-7.75</v>
      </c>
      <c r="E13" t="s">
        <v>14</v>
      </c>
      <c r="F13">
        <v>7200.7</v>
      </c>
      <c r="G13" t="str" cm="1">
        <f t="array" ref="G13">IF(AND(ISNUMBER(SEARCH("UBER",C13)),ISNUMBER(SEARCH("EATS",C13))),"Uber Eats",IF(LEFT(C13,6)="CHECK ","Checks Paid",IF(OR(E13="BILLPAY",ISNUMBER(SEARCH("FRANCHISE TAX",C13)),ISNUMBER(SEARCH("NEXTLINK",C13))),"Personal - House Bills",IF(AND(ISNUMBER(SEARCH("PAYMENT FROM",C13)),ISNUMBER(SEARCH("JOE SAUNDERS",C13))),"Zelle from Joe Saunders",IF(AND(ISNUMBER(SEARCH("PAYMENT TO",C13)),ISNUMBER(SEARCH("JOE SAUNDERS",C13))),"Zelle to Joe Saunders",IF(OR(ISNUMBER(SEARCH("NEW ORLEANS",C13)),ISNUMBER(SEARCH("KENNER",C13)),ISNUMBER(SEARCH("HENRY HOWARD",C13)),ISNUMBER(SEARCH("MISS CLAUDIA",C13))),"Personal Travel - New Orleans",IFERROR(INDEX('Category Rules'!$B$2:$B$194,MATCH(TRUE,ISNUMBER(SEARCH('Category Rules'!$A$2:$A$194,C13)),0)),"")))))))</f>
        <v>Amazon</v>
      </c>
    </row>
    <row r="14" spans="1:7" x14ac:dyDescent="0.25">
      <c r="A14" t="s">
        <v>6</v>
      </c>
      <c r="B14" s="1">
        <v>46210</v>
      </c>
      <c r="C14" t="s">
        <v>22</v>
      </c>
      <c r="D14">
        <v>-2.98</v>
      </c>
      <c r="E14" t="s">
        <v>14</v>
      </c>
      <c r="F14">
        <v>7208.45</v>
      </c>
      <c r="G14" t="str" cm="1">
        <f t="array" ref="G14">IF(AND(ISNUMBER(SEARCH("UBER",C14)),ISNUMBER(SEARCH("EATS",C14))),"Uber Eats",IF(LEFT(C14,6)="CHECK ","Checks Paid",IF(OR(E14="BILLPAY",ISNUMBER(SEARCH("FRANCHISE TAX",C14)),ISNUMBER(SEARCH("NEXTLINK",C14))),"Personal - House Bills",IF(AND(ISNUMBER(SEARCH("PAYMENT FROM",C14)),ISNUMBER(SEARCH("JOE SAUNDERS",C14))),"Zelle from Joe Saunders",IF(AND(ISNUMBER(SEARCH("PAYMENT TO",C14)),ISNUMBER(SEARCH("JOE SAUNDERS",C14))),"Zelle to Joe Saunders",IF(OR(ISNUMBER(SEARCH("NEW ORLEANS",C14)),ISNUMBER(SEARCH("KENNER",C14)),ISNUMBER(SEARCH("HENRY HOWARD",C14)),ISNUMBER(SEARCH("MISS CLAUDIA",C14))),"Personal Travel - New Orleans",IFERROR(INDEX('Category Rules'!$B$2:$B$194,MATCH(TRUE,ISNUMBER(SEARCH('Category Rules'!$A$2:$A$194,C14)),0)),"")))))))</f>
        <v>Amazon</v>
      </c>
    </row>
    <row r="15" spans="1:7" x14ac:dyDescent="0.25">
      <c r="A15" t="s">
        <v>6</v>
      </c>
      <c r="B15" s="1">
        <v>46210</v>
      </c>
      <c r="C15" t="s">
        <v>23</v>
      </c>
      <c r="D15">
        <v>-77.09</v>
      </c>
      <c r="E15" t="s">
        <v>14</v>
      </c>
      <c r="F15">
        <v>7211.43</v>
      </c>
      <c r="G15" t="str" cm="1">
        <f t="array" ref="G15">IF(AND(ISNUMBER(SEARCH("UBER",C15)),ISNUMBER(SEARCH("EATS",C15))),"Uber Eats",IF(LEFT(C15,6)="CHECK ","Checks Paid",IF(OR(E15="BILLPAY",ISNUMBER(SEARCH("FRANCHISE TAX",C15)),ISNUMBER(SEARCH("NEXTLINK",C15))),"Personal - House Bills",IF(AND(ISNUMBER(SEARCH("PAYMENT FROM",C15)),ISNUMBER(SEARCH("JOE SAUNDERS",C15))),"Zelle from Joe Saunders",IF(AND(ISNUMBER(SEARCH("PAYMENT TO",C15)),ISNUMBER(SEARCH("JOE SAUNDERS",C15))),"Zelle to Joe Saunders",IF(OR(ISNUMBER(SEARCH("NEW ORLEANS",C15)),ISNUMBER(SEARCH("KENNER",C15)),ISNUMBER(SEARCH("HENRY HOWARD",C15)),ISNUMBER(SEARCH("MISS CLAUDIA",C15))),"Personal Travel - New Orleans",IFERROR(INDEX('Category Rules'!$B$2:$B$194,MATCH(TRUE,ISNUMBER(SEARCH('Category Rules'!$A$2:$A$194,C15)),0)),"")))))))</f>
        <v>Amazon</v>
      </c>
    </row>
    <row r="16" spans="1:7" x14ac:dyDescent="0.25">
      <c r="A16" t="s">
        <v>6</v>
      </c>
      <c r="B16" s="1">
        <v>46210</v>
      </c>
      <c r="C16" t="s">
        <v>24</v>
      </c>
      <c r="D16">
        <v>-42.47</v>
      </c>
      <c r="E16" t="s">
        <v>14</v>
      </c>
      <c r="F16">
        <v>7288.52</v>
      </c>
      <c r="G16" t="str" cm="1">
        <f t="array" ref="G16">IF(AND(ISNUMBER(SEARCH("UBER",C16)),ISNUMBER(SEARCH("EATS",C16))),"Uber Eats",IF(LEFT(C16,6)="CHECK ","Checks Paid",IF(OR(E16="BILLPAY",ISNUMBER(SEARCH("FRANCHISE TAX",C16)),ISNUMBER(SEARCH("NEXTLINK",C16))),"Personal - House Bills",IF(AND(ISNUMBER(SEARCH("PAYMENT FROM",C16)),ISNUMBER(SEARCH("JOE SAUNDERS",C16))),"Zelle from Joe Saunders",IF(AND(ISNUMBER(SEARCH("PAYMENT TO",C16)),ISNUMBER(SEARCH("JOE SAUNDERS",C16))),"Zelle to Joe Saunders",IF(OR(ISNUMBER(SEARCH("NEW ORLEANS",C16)),ISNUMBER(SEARCH("KENNER",C16)),ISNUMBER(SEARCH("HENRY HOWARD",C16)),ISNUMBER(SEARCH("MISS CLAUDIA",C16))),"Personal Travel - New Orleans",IFERROR(INDEX('Category Rules'!$B$2:$B$194,MATCH(TRUE,ISNUMBER(SEARCH('Category Rules'!$A$2:$A$194,C16)),0)),"")))))))</f>
        <v>Amazon</v>
      </c>
    </row>
    <row r="17" spans="1:7" x14ac:dyDescent="0.25">
      <c r="A17" t="s">
        <v>25</v>
      </c>
      <c r="B17" s="1">
        <v>46210</v>
      </c>
      <c r="C17" t="s">
        <v>26</v>
      </c>
      <c r="D17">
        <v>120</v>
      </c>
      <c r="E17" t="s">
        <v>27</v>
      </c>
      <c r="F17">
        <v>7330.99</v>
      </c>
      <c r="G17" t="str" cm="1">
        <f t="array" ref="G17">IF(AND(ISNUMBER(SEARCH("UBER",C17)),ISNUMBER(SEARCH("EATS",C17))),"Uber Eats",IF(LEFT(C17,6)="CHECK ","Checks Paid",IF(OR(E17="BILLPAY",ISNUMBER(SEARCH("FRANCHISE TAX",C17)),ISNUMBER(SEARCH("NEXTLINK",C17))),"Personal - House Bills",IF(AND(ISNUMBER(SEARCH("PAYMENT FROM",C17)),ISNUMBER(SEARCH("JOE SAUNDERS",C17))),"Zelle from Joe Saunders",IF(AND(ISNUMBER(SEARCH("PAYMENT TO",C17)),ISNUMBER(SEARCH("JOE SAUNDERS",C17))),"Zelle to Joe Saunders",IF(OR(ISNUMBER(SEARCH("NEW ORLEANS",C17)),ISNUMBER(SEARCH("KENNER",C17)),ISNUMBER(SEARCH("HENRY HOWARD",C17)),ISNUMBER(SEARCH("MISS CLAUDIA",C17))),"Personal Travel - New Orleans",IFERROR(INDEX('Category Rules'!$B$2:$B$194,MATCH(TRUE,ISNUMBER(SEARCH('Category Rules'!$A$2:$A$194,C17)),0)),"")))))))</f>
        <v>Deposit</v>
      </c>
    </row>
    <row r="18" spans="1:7" x14ac:dyDescent="0.25">
      <c r="A18" t="s">
        <v>6</v>
      </c>
      <c r="B18" s="1">
        <v>46209</v>
      </c>
      <c r="C18" t="s">
        <v>28</v>
      </c>
      <c r="D18">
        <v>-15.99</v>
      </c>
      <c r="E18" t="s">
        <v>14</v>
      </c>
      <c r="F18">
        <v>7210.99</v>
      </c>
      <c r="G18" t="str" cm="1">
        <f t="array" ref="G18">IF(AND(ISNUMBER(SEARCH("UBER",C18)),ISNUMBER(SEARCH("EATS",C18))),"Uber Eats",IF(LEFT(C18,6)="CHECK ","Checks Paid",IF(OR(E18="BILLPAY",ISNUMBER(SEARCH("FRANCHISE TAX",C18)),ISNUMBER(SEARCH("NEXTLINK",C18))),"Personal - House Bills",IF(AND(ISNUMBER(SEARCH("PAYMENT FROM",C18)),ISNUMBER(SEARCH("JOE SAUNDERS",C18))),"Zelle from Joe Saunders",IF(AND(ISNUMBER(SEARCH("PAYMENT TO",C18)),ISNUMBER(SEARCH("JOE SAUNDERS",C18))),"Zelle to Joe Saunders",IF(OR(ISNUMBER(SEARCH("NEW ORLEANS",C18)),ISNUMBER(SEARCH("KENNER",C18)),ISNUMBER(SEARCH("HENRY HOWARD",C18)),ISNUMBER(SEARCH("MISS CLAUDIA",C18))),"Personal Travel - New Orleans",IFERROR(INDEX('Category Rules'!$B$2:$B$194,MATCH(TRUE,ISNUMBER(SEARCH('Category Rules'!$A$2:$A$194,C18)),0)),"")))))))</f>
        <v>YouTube Premium</v>
      </c>
    </row>
    <row r="19" spans="1:7" x14ac:dyDescent="0.25">
      <c r="A19" t="s">
        <v>6</v>
      </c>
      <c r="B19" s="1">
        <v>46209</v>
      </c>
      <c r="C19" t="s">
        <v>29</v>
      </c>
      <c r="D19">
        <v>-29.95</v>
      </c>
      <c r="E19" t="s">
        <v>14</v>
      </c>
      <c r="F19">
        <v>7226.98</v>
      </c>
      <c r="G19" t="str" cm="1">
        <f t="array" ref="G19">IF(AND(ISNUMBER(SEARCH("UBER",C19)),ISNUMBER(SEARCH("EATS",C19))),"Uber Eats",IF(LEFT(C19,6)="CHECK ","Checks Paid",IF(OR(E19="BILLPAY",ISNUMBER(SEARCH("FRANCHISE TAX",C19)),ISNUMBER(SEARCH("NEXTLINK",C19))),"Personal - House Bills",IF(AND(ISNUMBER(SEARCH("PAYMENT FROM",C19)),ISNUMBER(SEARCH("JOE SAUNDERS",C19))),"Zelle from Joe Saunders",IF(AND(ISNUMBER(SEARCH("PAYMENT TO",C19)),ISNUMBER(SEARCH("JOE SAUNDERS",C19))),"Zelle to Joe Saunders",IF(OR(ISNUMBER(SEARCH("NEW ORLEANS",C19)),ISNUMBER(SEARCH("KENNER",C19)),ISNUMBER(SEARCH("HENRY HOWARD",C19)),ISNUMBER(SEARCH("MISS CLAUDIA",C19))),"Personal Travel - New Orleans",IFERROR(INDEX('Category Rules'!$B$2:$B$194,MATCH(TRUE,ISNUMBER(SEARCH('Category Rules'!$A$2:$A$194,C19)),0)),"")))))))</f>
        <v>Personal - Subscription</v>
      </c>
    </row>
    <row r="20" spans="1:7" x14ac:dyDescent="0.25">
      <c r="A20" t="s">
        <v>6</v>
      </c>
      <c r="B20" s="1">
        <v>46209</v>
      </c>
      <c r="C20" t="s">
        <v>30</v>
      </c>
      <c r="D20">
        <v>-17.87</v>
      </c>
      <c r="E20" t="s">
        <v>14</v>
      </c>
      <c r="F20">
        <v>7256.93</v>
      </c>
      <c r="G20" t="str" cm="1">
        <f t="array" ref="G20">IF(AND(ISNUMBER(SEARCH("UBER",C20)),ISNUMBER(SEARCH("EATS",C20))),"Uber Eats",IF(LEFT(C20,6)="CHECK ","Checks Paid",IF(OR(E20="BILLPAY",ISNUMBER(SEARCH("FRANCHISE TAX",C20)),ISNUMBER(SEARCH("NEXTLINK",C20))),"Personal - House Bills",IF(AND(ISNUMBER(SEARCH("PAYMENT FROM",C20)),ISNUMBER(SEARCH("JOE SAUNDERS",C20))),"Zelle from Joe Saunders",IF(AND(ISNUMBER(SEARCH("PAYMENT TO",C20)),ISNUMBER(SEARCH("JOE SAUNDERS",C20))),"Zelle to Joe Saunders",IF(OR(ISNUMBER(SEARCH("NEW ORLEANS",C20)),ISNUMBER(SEARCH("KENNER",C20)),ISNUMBER(SEARCH("HENRY HOWARD",C20)),ISNUMBER(SEARCH("MISS CLAUDIA",C20))),"Personal Travel - New Orleans",IFERROR(INDEX('Category Rules'!$B$2:$B$194,MATCH(TRUE,ISNUMBER(SEARCH('Category Rules'!$A$2:$A$194,C20)),0)),"")))))))</f>
        <v>Amazon</v>
      </c>
    </row>
    <row r="21" spans="1:7" x14ac:dyDescent="0.25">
      <c r="A21" t="s">
        <v>6</v>
      </c>
      <c r="B21" s="1">
        <v>46209</v>
      </c>
      <c r="C21" t="s">
        <v>31</v>
      </c>
      <c r="D21">
        <v>-228.21</v>
      </c>
      <c r="E21" t="s">
        <v>14</v>
      </c>
      <c r="F21">
        <v>7274.8</v>
      </c>
      <c r="G21" t="str" cm="1">
        <f t="array" ref="G21">IF(AND(ISNUMBER(SEARCH("UBER",C21)),ISNUMBER(SEARCH("EATS",C21))),"Uber Eats",IF(LEFT(C21,6)="CHECK ","Checks Paid",IF(OR(E21="BILLPAY",ISNUMBER(SEARCH("FRANCHISE TAX",C21)),ISNUMBER(SEARCH("NEXTLINK",C21))),"Personal - House Bills",IF(AND(ISNUMBER(SEARCH("PAYMENT FROM",C21)),ISNUMBER(SEARCH("JOE SAUNDERS",C21))),"Zelle from Joe Saunders",IF(AND(ISNUMBER(SEARCH("PAYMENT TO",C21)),ISNUMBER(SEARCH("JOE SAUNDERS",C21))),"Zelle to Joe Saunders",IF(OR(ISNUMBER(SEARCH("NEW ORLEANS",C21)),ISNUMBER(SEARCH("KENNER",C21)),ISNUMBER(SEARCH("HENRY HOWARD",C21)),ISNUMBER(SEARCH("MISS CLAUDIA",C21))),"Personal Travel - New Orleans",IFERROR(INDEX('Category Rules'!$B$2:$B$194,MATCH(TRUE,ISNUMBER(SEARCH('Category Rules'!$A$2:$A$194,C21)),0)),"")))))))</f>
        <v>Amazon</v>
      </c>
    </row>
    <row r="22" spans="1:7" x14ac:dyDescent="0.25">
      <c r="A22" t="s">
        <v>6</v>
      </c>
      <c r="B22" s="1">
        <v>46209</v>
      </c>
      <c r="C22" t="s">
        <v>32</v>
      </c>
      <c r="D22">
        <v>-102.7</v>
      </c>
      <c r="E22" t="s">
        <v>14</v>
      </c>
      <c r="F22">
        <v>7503.01</v>
      </c>
      <c r="G22" t="str" cm="1">
        <f t="array" ref="G22">IF(AND(ISNUMBER(SEARCH("UBER",C22)),ISNUMBER(SEARCH("EATS",C22))),"Uber Eats",IF(LEFT(C22,6)="CHECK ","Checks Paid",IF(OR(E22="BILLPAY",ISNUMBER(SEARCH("FRANCHISE TAX",C22)),ISNUMBER(SEARCH("NEXTLINK",C22))),"Personal - House Bills",IF(AND(ISNUMBER(SEARCH("PAYMENT FROM",C22)),ISNUMBER(SEARCH("JOE SAUNDERS",C22))),"Zelle from Joe Saunders",IF(AND(ISNUMBER(SEARCH("PAYMENT TO",C22)),ISNUMBER(SEARCH("JOE SAUNDERS",C22))),"Zelle to Joe Saunders",IF(OR(ISNUMBER(SEARCH("NEW ORLEANS",C22)),ISNUMBER(SEARCH("KENNER",C22)),ISNUMBER(SEARCH("HENRY HOWARD",C22)),ISNUMBER(SEARCH("MISS CLAUDIA",C22))),"Personal Travel - New Orleans",IFERROR(INDEX('Category Rules'!$B$2:$B$194,MATCH(TRUE,ISNUMBER(SEARCH('Category Rules'!$A$2:$A$194,C22)),0)),"")))))))</f>
        <v>Uber Eats</v>
      </c>
    </row>
    <row r="23" spans="1:7" x14ac:dyDescent="0.25">
      <c r="A23" t="s">
        <v>6</v>
      </c>
      <c r="B23" s="1">
        <v>46209</v>
      </c>
      <c r="C23" t="s">
        <v>33</v>
      </c>
      <c r="D23">
        <v>-17.98</v>
      </c>
      <c r="E23" t="s">
        <v>14</v>
      </c>
      <c r="F23">
        <v>7605.71</v>
      </c>
      <c r="G23" t="str" cm="1">
        <f t="array" ref="G23">IF(AND(ISNUMBER(SEARCH("UBER",C23)),ISNUMBER(SEARCH("EATS",C23))),"Uber Eats",IF(LEFT(C23,6)="CHECK ","Checks Paid",IF(OR(E23="BILLPAY",ISNUMBER(SEARCH("FRANCHISE TAX",C23)),ISNUMBER(SEARCH("NEXTLINK",C23))),"Personal - House Bills",IF(AND(ISNUMBER(SEARCH("PAYMENT FROM",C23)),ISNUMBER(SEARCH("JOE SAUNDERS",C23))),"Zelle from Joe Saunders",IF(AND(ISNUMBER(SEARCH("PAYMENT TO",C23)),ISNUMBER(SEARCH("JOE SAUNDERS",C23))),"Zelle to Joe Saunders",IF(OR(ISNUMBER(SEARCH("NEW ORLEANS",C23)),ISNUMBER(SEARCH("KENNER",C23)),ISNUMBER(SEARCH("HENRY HOWARD",C23)),ISNUMBER(SEARCH("MISS CLAUDIA",C23))),"Personal Travel - New Orleans",IFERROR(INDEX('Category Rules'!$B$2:$B$194,MATCH(TRUE,ISNUMBER(SEARCH('Category Rules'!$A$2:$A$194,C23)),0)),"")))))))</f>
        <v>Amazon</v>
      </c>
    </row>
    <row r="24" spans="1:7" x14ac:dyDescent="0.25">
      <c r="A24" t="s">
        <v>6</v>
      </c>
      <c r="B24" s="1">
        <v>46209</v>
      </c>
      <c r="C24" t="s">
        <v>34</v>
      </c>
      <c r="D24">
        <v>-81.44</v>
      </c>
      <c r="E24" t="s">
        <v>14</v>
      </c>
      <c r="F24">
        <v>7623.69</v>
      </c>
      <c r="G24" t="str" cm="1">
        <f t="array" ref="G24">IF(AND(ISNUMBER(SEARCH("UBER",C24)),ISNUMBER(SEARCH("EATS",C24))),"Uber Eats",IF(LEFT(C24,6)="CHECK ","Checks Paid",IF(OR(E24="BILLPAY",ISNUMBER(SEARCH("FRANCHISE TAX",C24)),ISNUMBER(SEARCH("NEXTLINK",C24))),"Personal - House Bills",IF(AND(ISNUMBER(SEARCH("PAYMENT FROM",C24)),ISNUMBER(SEARCH("JOE SAUNDERS",C24))),"Zelle from Joe Saunders",IF(AND(ISNUMBER(SEARCH("PAYMENT TO",C24)),ISNUMBER(SEARCH("JOE SAUNDERS",C24))),"Zelle to Joe Saunders",IF(OR(ISNUMBER(SEARCH("NEW ORLEANS",C24)),ISNUMBER(SEARCH("KENNER",C24)),ISNUMBER(SEARCH("HENRY HOWARD",C24)),ISNUMBER(SEARCH("MISS CLAUDIA",C24))),"Personal Travel - New Orleans",IFERROR(INDEX('Category Rules'!$B$2:$B$194,MATCH(TRUE,ISNUMBER(SEARCH('Category Rules'!$A$2:$A$194,C24)),0)),"")))))))</f>
        <v>Personal - Health</v>
      </c>
    </row>
    <row r="25" spans="1:7" x14ac:dyDescent="0.25">
      <c r="A25" t="s">
        <v>6</v>
      </c>
      <c r="B25" s="1">
        <v>46209</v>
      </c>
      <c r="C25" t="s">
        <v>35</v>
      </c>
      <c r="D25">
        <v>-20</v>
      </c>
      <c r="E25" t="s">
        <v>14</v>
      </c>
      <c r="F25">
        <v>7705.13</v>
      </c>
      <c r="G25" t="str" cm="1">
        <f t="array" ref="G25">IF(AND(ISNUMBER(SEARCH("UBER",C25)),ISNUMBER(SEARCH("EATS",C25))),"Uber Eats",IF(LEFT(C25,6)="CHECK ","Checks Paid",IF(OR(E25="BILLPAY",ISNUMBER(SEARCH("FRANCHISE TAX",C25)),ISNUMBER(SEARCH("NEXTLINK",C25))),"Personal - House Bills",IF(AND(ISNUMBER(SEARCH("PAYMENT FROM",C25)),ISNUMBER(SEARCH("JOE SAUNDERS",C25))),"Zelle from Joe Saunders",IF(AND(ISNUMBER(SEARCH("PAYMENT TO",C25)),ISNUMBER(SEARCH("JOE SAUNDERS",C25))),"Zelle to Joe Saunders",IF(OR(ISNUMBER(SEARCH("NEW ORLEANS",C25)),ISNUMBER(SEARCH("KENNER",C25)),ISNUMBER(SEARCH("HENRY HOWARD",C25)),ISNUMBER(SEARCH("MISS CLAUDIA",C25))),"Personal Travel - New Orleans",IFERROR(INDEX('Category Rules'!$B$2:$B$194,MATCH(TRUE,ISNUMBER(SEARCH('Category Rules'!$A$2:$A$194,C25)),0)),"")))))))</f>
        <v>Amazon</v>
      </c>
    </row>
    <row r="26" spans="1:7" x14ac:dyDescent="0.25">
      <c r="A26" t="s">
        <v>6</v>
      </c>
      <c r="B26" s="1">
        <v>46209</v>
      </c>
      <c r="C26" t="s">
        <v>36</v>
      </c>
      <c r="D26">
        <v>-3.99</v>
      </c>
      <c r="E26" t="s">
        <v>14</v>
      </c>
      <c r="F26">
        <v>7725.13</v>
      </c>
      <c r="G26" t="str" cm="1">
        <f t="array" ref="G26">IF(AND(ISNUMBER(SEARCH("UBER",C26)),ISNUMBER(SEARCH("EATS",C26))),"Uber Eats",IF(LEFT(C26,6)="CHECK ","Checks Paid",IF(OR(E26="BILLPAY",ISNUMBER(SEARCH("FRANCHISE TAX",C26)),ISNUMBER(SEARCH("NEXTLINK",C26))),"Personal - House Bills",IF(AND(ISNUMBER(SEARCH("PAYMENT FROM",C26)),ISNUMBER(SEARCH("JOE SAUNDERS",C26))),"Zelle from Joe Saunders",IF(AND(ISNUMBER(SEARCH("PAYMENT TO",C26)),ISNUMBER(SEARCH("JOE SAUNDERS",C26))),"Zelle to Joe Saunders",IF(OR(ISNUMBER(SEARCH("NEW ORLEANS",C26)),ISNUMBER(SEARCH("KENNER",C26)),ISNUMBER(SEARCH("HENRY HOWARD",C26)),ISNUMBER(SEARCH("MISS CLAUDIA",C26))),"Personal Travel - New Orleans",IFERROR(INDEX('Category Rules'!$B$2:$B$194,MATCH(TRUE,ISNUMBER(SEARCH('Category Rules'!$A$2:$A$194,C26)),0)),"")))))))</f>
        <v>Apple</v>
      </c>
    </row>
    <row r="27" spans="1:7" x14ac:dyDescent="0.25">
      <c r="A27" t="s">
        <v>37</v>
      </c>
      <c r="B27" s="1">
        <v>46209</v>
      </c>
      <c r="C27" t="s">
        <v>38</v>
      </c>
      <c r="D27">
        <v>5000</v>
      </c>
      <c r="E27" t="s">
        <v>39</v>
      </c>
      <c r="F27">
        <v>7729.12</v>
      </c>
      <c r="G27" t="str" cm="1">
        <f t="array" ref="G27">IF(AND(ISNUMBER(SEARCH("UBER",C27)),ISNUMBER(SEARCH("EATS",C27))),"Uber Eats",IF(LEFT(C27,6)="CHECK ","Checks Paid",IF(OR(E27="BILLPAY",ISNUMBER(SEARCH("FRANCHISE TAX",C27)),ISNUMBER(SEARCH("NEXTLINK",C27))),"Personal - House Bills",IF(AND(ISNUMBER(SEARCH("PAYMENT FROM",C27)),ISNUMBER(SEARCH("JOE SAUNDERS",C27))),"Zelle from Joe Saunders",IF(AND(ISNUMBER(SEARCH("PAYMENT TO",C27)),ISNUMBER(SEARCH("JOE SAUNDERS",C27))),"Zelle to Joe Saunders",IF(OR(ISNUMBER(SEARCH("NEW ORLEANS",C27)),ISNUMBER(SEARCH("KENNER",C27)),ISNUMBER(SEARCH("HENRY HOWARD",C27)),ISNUMBER(SEARCH("MISS CLAUDIA",C27))),"Personal Travel - New Orleans",IFERROR(INDEX('Category Rules'!$B$2:$B$194,MATCH(TRUE,ISNUMBER(SEARCH('Category Rules'!$A$2:$A$194,C27)),0)),"")))))))</f>
        <v>Transfer from DWG Capital Group</v>
      </c>
    </row>
    <row r="28" spans="1:7" x14ac:dyDescent="0.25">
      <c r="A28" t="s">
        <v>6</v>
      </c>
      <c r="B28" s="1">
        <v>46206</v>
      </c>
      <c r="C28" t="s">
        <v>40</v>
      </c>
      <c r="D28">
        <v>-55.88</v>
      </c>
      <c r="E28" t="s">
        <v>14</v>
      </c>
      <c r="F28">
        <v>2729.12</v>
      </c>
      <c r="G28" t="str" cm="1">
        <f t="array" ref="G28">IF(AND(ISNUMBER(SEARCH("UBER",C28)),ISNUMBER(SEARCH("EATS",C28))),"Uber Eats",IF(LEFT(C28,6)="CHECK ","Checks Paid",IF(OR(E28="BILLPAY",ISNUMBER(SEARCH("FRANCHISE TAX",C28)),ISNUMBER(SEARCH("NEXTLINK",C28))),"Personal - House Bills",IF(AND(ISNUMBER(SEARCH("PAYMENT FROM",C28)),ISNUMBER(SEARCH("JOE SAUNDERS",C28))),"Zelle from Joe Saunders",IF(AND(ISNUMBER(SEARCH("PAYMENT TO",C28)),ISNUMBER(SEARCH("JOE SAUNDERS",C28))),"Zelle to Joe Saunders",IF(OR(ISNUMBER(SEARCH("NEW ORLEANS",C28)),ISNUMBER(SEARCH("KENNER",C28)),ISNUMBER(SEARCH("HENRY HOWARD",C28)),ISNUMBER(SEARCH("MISS CLAUDIA",C28))),"Personal Travel - New Orleans",IFERROR(INDEX('Category Rules'!$B$2:$B$194,MATCH(TRUE,ISNUMBER(SEARCH('Category Rules'!$A$2:$A$194,C28)),0)),"")))))))</f>
        <v>Poshmark</v>
      </c>
    </row>
    <row r="29" spans="1:7" x14ac:dyDescent="0.25">
      <c r="A29" t="s">
        <v>6</v>
      </c>
      <c r="B29" s="1">
        <v>46206</v>
      </c>
      <c r="C29" t="s">
        <v>40</v>
      </c>
      <c r="D29">
        <v>-33.93</v>
      </c>
      <c r="E29" t="s">
        <v>14</v>
      </c>
      <c r="F29">
        <v>2785</v>
      </c>
      <c r="G29" t="str" cm="1">
        <f t="array" ref="G29">IF(AND(ISNUMBER(SEARCH("UBER",C29)),ISNUMBER(SEARCH("EATS",C29))),"Uber Eats",IF(LEFT(C29,6)="CHECK ","Checks Paid",IF(OR(E29="BILLPAY",ISNUMBER(SEARCH("FRANCHISE TAX",C29)),ISNUMBER(SEARCH("NEXTLINK",C29))),"Personal - House Bills",IF(AND(ISNUMBER(SEARCH("PAYMENT FROM",C29)),ISNUMBER(SEARCH("JOE SAUNDERS",C29))),"Zelle from Joe Saunders",IF(AND(ISNUMBER(SEARCH("PAYMENT TO",C29)),ISNUMBER(SEARCH("JOE SAUNDERS",C29))),"Zelle to Joe Saunders",IF(OR(ISNUMBER(SEARCH("NEW ORLEANS",C29)),ISNUMBER(SEARCH("KENNER",C29)),ISNUMBER(SEARCH("HENRY HOWARD",C29)),ISNUMBER(SEARCH("MISS CLAUDIA",C29))),"Personal Travel - New Orleans",IFERROR(INDEX('Category Rules'!$B$2:$B$194,MATCH(TRUE,ISNUMBER(SEARCH('Category Rules'!$A$2:$A$194,C29)),0)),"")))))))</f>
        <v>Poshmark</v>
      </c>
    </row>
    <row r="30" spans="1:7" x14ac:dyDescent="0.25">
      <c r="A30" t="s">
        <v>6</v>
      </c>
      <c r="B30" s="1">
        <v>46206</v>
      </c>
      <c r="C30" t="s">
        <v>40</v>
      </c>
      <c r="D30">
        <v>-50.39</v>
      </c>
      <c r="E30" t="s">
        <v>14</v>
      </c>
      <c r="F30">
        <v>2818.93</v>
      </c>
      <c r="G30" t="str" cm="1">
        <f t="array" ref="G30">IF(AND(ISNUMBER(SEARCH("UBER",C30)),ISNUMBER(SEARCH("EATS",C30))),"Uber Eats",IF(LEFT(C30,6)="CHECK ","Checks Paid",IF(OR(E30="BILLPAY",ISNUMBER(SEARCH("FRANCHISE TAX",C30)),ISNUMBER(SEARCH("NEXTLINK",C30))),"Personal - House Bills",IF(AND(ISNUMBER(SEARCH("PAYMENT FROM",C30)),ISNUMBER(SEARCH("JOE SAUNDERS",C30))),"Zelle from Joe Saunders",IF(AND(ISNUMBER(SEARCH("PAYMENT TO",C30)),ISNUMBER(SEARCH("JOE SAUNDERS",C30))),"Zelle to Joe Saunders",IF(OR(ISNUMBER(SEARCH("NEW ORLEANS",C30)),ISNUMBER(SEARCH("KENNER",C30)),ISNUMBER(SEARCH("HENRY HOWARD",C30)),ISNUMBER(SEARCH("MISS CLAUDIA",C30))),"Personal Travel - New Orleans",IFERROR(INDEX('Category Rules'!$B$2:$B$194,MATCH(TRUE,ISNUMBER(SEARCH('Category Rules'!$A$2:$A$194,C30)),0)),"")))))))</f>
        <v>Poshmark</v>
      </c>
    </row>
    <row r="31" spans="1:7" x14ac:dyDescent="0.25">
      <c r="A31" t="s">
        <v>6</v>
      </c>
      <c r="B31" s="1">
        <v>46206</v>
      </c>
      <c r="C31" t="s">
        <v>40</v>
      </c>
      <c r="D31">
        <v>-94.29</v>
      </c>
      <c r="E31" t="s">
        <v>14</v>
      </c>
      <c r="F31">
        <v>2869.32</v>
      </c>
      <c r="G31" t="str" cm="1">
        <f t="array" ref="G31">IF(AND(ISNUMBER(SEARCH("UBER",C31)),ISNUMBER(SEARCH("EATS",C31))),"Uber Eats",IF(LEFT(C31,6)="CHECK ","Checks Paid",IF(OR(E31="BILLPAY",ISNUMBER(SEARCH("FRANCHISE TAX",C31)),ISNUMBER(SEARCH("NEXTLINK",C31))),"Personal - House Bills",IF(AND(ISNUMBER(SEARCH("PAYMENT FROM",C31)),ISNUMBER(SEARCH("JOE SAUNDERS",C31))),"Zelle from Joe Saunders",IF(AND(ISNUMBER(SEARCH("PAYMENT TO",C31)),ISNUMBER(SEARCH("JOE SAUNDERS",C31))),"Zelle to Joe Saunders",IF(OR(ISNUMBER(SEARCH("NEW ORLEANS",C31)),ISNUMBER(SEARCH("KENNER",C31)),ISNUMBER(SEARCH("HENRY HOWARD",C31)),ISNUMBER(SEARCH("MISS CLAUDIA",C31))),"Personal Travel - New Orleans",IFERROR(INDEX('Category Rules'!$B$2:$B$194,MATCH(TRUE,ISNUMBER(SEARCH('Category Rules'!$A$2:$A$194,C31)),0)),"")))))))</f>
        <v>Poshmark</v>
      </c>
    </row>
    <row r="32" spans="1:7" x14ac:dyDescent="0.25">
      <c r="A32" t="s">
        <v>6</v>
      </c>
      <c r="B32" s="1">
        <v>46206</v>
      </c>
      <c r="C32" t="s">
        <v>40</v>
      </c>
      <c r="D32">
        <v>-72.34</v>
      </c>
      <c r="E32" t="s">
        <v>14</v>
      </c>
      <c r="F32">
        <v>2963.61</v>
      </c>
      <c r="G32" t="str" cm="1">
        <f t="array" ref="G32">IF(AND(ISNUMBER(SEARCH("UBER",C32)),ISNUMBER(SEARCH("EATS",C32))),"Uber Eats",IF(LEFT(C32,6)="CHECK ","Checks Paid",IF(OR(E32="BILLPAY",ISNUMBER(SEARCH("FRANCHISE TAX",C32)),ISNUMBER(SEARCH("NEXTLINK",C32))),"Personal - House Bills",IF(AND(ISNUMBER(SEARCH("PAYMENT FROM",C32)),ISNUMBER(SEARCH("JOE SAUNDERS",C32))),"Zelle from Joe Saunders",IF(AND(ISNUMBER(SEARCH("PAYMENT TO",C32)),ISNUMBER(SEARCH("JOE SAUNDERS",C32))),"Zelle to Joe Saunders",IF(OR(ISNUMBER(SEARCH("NEW ORLEANS",C32)),ISNUMBER(SEARCH("KENNER",C32)),ISNUMBER(SEARCH("HENRY HOWARD",C32)),ISNUMBER(SEARCH("MISS CLAUDIA",C32))),"Personal Travel - New Orleans",IFERROR(INDEX('Category Rules'!$B$2:$B$194,MATCH(TRUE,ISNUMBER(SEARCH('Category Rules'!$A$2:$A$194,C32)),0)),"")))))))</f>
        <v>Poshmark</v>
      </c>
    </row>
    <row r="33" spans="1:7" x14ac:dyDescent="0.25">
      <c r="A33" t="s">
        <v>6</v>
      </c>
      <c r="B33" s="1">
        <v>46206</v>
      </c>
      <c r="C33" t="s">
        <v>40</v>
      </c>
      <c r="D33">
        <v>-74.540000000000006</v>
      </c>
      <c r="E33" t="s">
        <v>14</v>
      </c>
      <c r="F33">
        <v>3035.95</v>
      </c>
      <c r="G33" t="str" cm="1">
        <f t="array" ref="G33">IF(AND(ISNUMBER(SEARCH("UBER",C33)),ISNUMBER(SEARCH("EATS",C33))),"Uber Eats",IF(LEFT(C33,6)="CHECK ","Checks Paid",IF(OR(E33="BILLPAY",ISNUMBER(SEARCH("FRANCHISE TAX",C33)),ISNUMBER(SEARCH("NEXTLINK",C33))),"Personal - House Bills",IF(AND(ISNUMBER(SEARCH("PAYMENT FROM",C33)),ISNUMBER(SEARCH("JOE SAUNDERS",C33))),"Zelle from Joe Saunders",IF(AND(ISNUMBER(SEARCH("PAYMENT TO",C33)),ISNUMBER(SEARCH("JOE SAUNDERS",C33))),"Zelle to Joe Saunders",IF(OR(ISNUMBER(SEARCH("NEW ORLEANS",C33)),ISNUMBER(SEARCH("KENNER",C33)),ISNUMBER(SEARCH("HENRY HOWARD",C33)),ISNUMBER(SEARCH("MISS CLAUDIA",C33))),"Personal Travel - New Orleans",IFERROR(INDEX('Category Rules'!$B$2:$B$194,MATCH(TRUE,ISNUMBER(SEARCH('Category Rules'!$A$2:$A$194,C33)),0)),"")))))))</f>
        <v>Poshmark</v>
      </c>
    </row>
    <row r="34" spans="1:7" x14ac:dyDescent="0.25">
      <c r="A34" t="s">
        <v>6</v>
      </c>
      <c r="B34" s="1">
        <v>46206</v>
      </c>
      <c r="C34" t="s">
        <v>41</v>
      </c>
      <c r="D34">
        <v>-5.72</v>
      </c>
      <c r="E34" t="s">
        <v>14</v>
      </c>
      <c r="F34">
        <v>3110.49</v>
      </c>
      <c r="G34" t="str" cm="1">
        <f t="array" ref="G34">IF(AND(ISNUMBER(SEARCH("UBER",C34)),ISNUMBER(SEARCH("EATS",C34))),"Uber Eats",IF(LEFT(C34,6)="CHECK ","Checks Paid",IF(OR(E34="BILLPAY",ISNUMBER(SEARCH("FRANCHISE TAX",C34)),ISNUMBER(SEARCH("NEXTLINK",C34))),"Personal - House Bills",IF(AND(ISNUMBER(SEARCH("PAYMENT FROM",C34)),ISNUMBER(SEARCH("JOE SAUNDERS",C34))),"Zelle from Joe Saunders",IF(AND(ISNUMBER(SEARCH("PAYMENT TO",C34)),ISNUMBER(SEARCH("JOE SAUNDERS",C34))),"Zelle to Joe Saunders",IF(OR(ISNUMBER(SEARCH("NEW ORLEANS",C34)),ISNUMBER(SEARCH("KENNER",C34)),ISNUMBER(SEARCH("HENRY HOWARD",C34)),ISNUMBER(SEARCH("MISS CLAUDIA",C34))),"Personal Travel - New Orleans",IFERROR(INDEX('Category Rules'!$B$2:$B$194,MATCH(TRUE,ISNUMBER(SEARCH('Category Rules'!$A$2:$A$194,C34)),0)),"")))))))</f>
        <v>Personal - Car</v>
      </c>
    </row>
    <row r="35" spans="1:7" x14ac:dyDescent="0.25">
      <c r="A35" t="s">
        <v>6</v>
      </c>
      <c r="B35" s="1">
        <v>46206</v>
      </c>
      <c r="C35" t="s">
        <v>41</v>
      </c>
      <c r="D35">
        <v>-50.45</v>
      </c>
      <c r="E35" t="s">
        <v>14</v>
      </c>
      <c r="F35">
        <v>3116.21</v>
      </c>
      <c r="G35" t="str" cm="1">
        <f t="array" ref="G35">IF(AND(ISNUMBER(SEARCH("UBER",C35)),ISNUMBER(SEARCH("EATS",C35))),"Uber Eats",IF(LEFT(C35,6)="CHECK ","Checks Paid",IF(OR(E35="BILLPAY",ISNUMBER(SEARCH("FRANCHISE TAX",C35)),ISNUMBER(SEARCH("NEXTLINK",C35))),"Personal - House Bills",IF(AND(ISNUMBER(SEARCH("PAYMENT FROM",C35)),ISNUMBER(SEARCH("JOE SAUNDERS",C35))),"Zelle from Joe Saunders",IF(AND(ISNUMBER(SEARCH("PAYMENT TO",C35)),ISNUMBER(SEARCH("JOE SAUNDERS",C35))),"Zelle to Joe Saunders",IF(OR(ISNUMBER(SEARCH("NEW ORLEANS",C35)),ISNUMBER(SEARCH("KENNER",C35)),ISNUMBER(SEARCH("HENRY HOWARD",C35)),ISNUMBER(SEARCH("MISS CLAUDIA",C35))),"Personal Travel - New Orleans",IFERROR(INDEX('Category Rules'!$B$2:$B$194,MATCH(TRUE,ISNUMBER(SEARCH('Category Rules'!$A$2:$A$194,C35)),0)),"")))))))</f>
        <v>Personal - Car</v>
      </c>
    </row>
    <row r="36" spans="1:7" x14ac:dyDescent="0.25">
      <c r="A36" t="s">
        <v>6</v>
      </c>
      <c r="B36" s="1">
        <v>46206</v>
      </c>
      <c r="C36" t="s">
        <v>42</v>
      </c>
      <c r="D36">
        <v>-39.99</v>
      </c>
      <c r="E36" t="s">
        <v>14</v>
      </c>
      <c r="F36">
        <v>3166.66</v>
      </c>
      <c r="G36" t="str" cm="1">
        <f t="array" ref="G36">IF(AND(ISNUMBER(SEARCH("UBER",C36)),ISNUMBER(SEARCH("EATS",C36))),"Uber Eats",IF(LEFT(C36,6)="CHECK ","Checks Paid",IF(OR(E36="BILLPAY",ISNUMBER(SEARCH("FRANCHISE TAX",C36)),ISNUMBER(SEARCH("NEXTLINK",C36))),"Personal - House Bills",IF(AND(ISNUMBER(SEARCH("PAYMENT FROM",C36)),ISNUMBER(SEARCH("JOE SAUNDERS",C36))),"Zelle from Joe Saunders",IF(AND(ISNUMBER(SEARCH("PAYMENT TO",C36)),ISNUMBER(SEARCH("JOE SAUNDERS",C36))),"Zelle to Joe Saunders",IF(OR(ISNUMBER(SEARCH("NEW ORLEANS",C36)),ISNUMBER(SEARCH("KENNER",C36)),ISNUMBER(SEARCH("HENRY HOWARD",C36)),ISNUMBER(SEARCH("MISS CLAUDIA",C36))),"Personal Travel - New Orleans",IFERROR(INDEX('Category Rules'!$B$2:$B$194,MATCH(TRUE,ISNUMBER(SEARCH('Category Rules'!$A$2:$A$194,C36)),0)),"")))))))</f>
        <v>Personal - Subscription</v>
      </c>
    </row>
    <row r="37" spans="1:7" x14ac:dyDescent="0.25">
      <c r="A37" t="s">
        <v>6</v>
      </c>
      <c r="B37" s="1">
        <v>46206</v>
      </c>
      <c r="C37" t="s">
        <v>42</v>
      </c>
      <c r="D37">
        <v>-39.99</v>
      </c>
      <c r="E37" t="s">
        <v>14</v>
      </c>
      <c r="F37">
        <v>3206.65</v>
      </c>
      <c r="G37" t="str" cm="1">
        <f t="array" ref="G37">IF(AND(ISNUMBER(SEARCH("UBER",C37)),ISNUMBER(SEARCH("EATS",C37))),"Uber Eats",IF(LEFT(C37,6)="CHECK ","Checks Paid",IF(OR(E37="BILLPAY",ISNUMBER(SEARCH("FRANCHISE TAX",C37)),ISNUMBER(SEARCH("NEXTLINK",C37))),"Personal - House Bills",IF(AND(ISNUMBER(SEARCH("PAYMENT FROM",C37)),ISNUMBER(SEARCH("JOE SAUNDERS",C37))),"Zelle from Joe Saunders",IF(AND(ISNUMBER(SEARCH("PAYMENT TO",C37)),ISNUMBER(SEARCH("JOE SAUNDERS",C37))),"Zelle to Joe Saunders",IF(OR(ISNUMBER(SEARCH("NEW ORLEANS",C37)),ISNUMBER(SEARCH("KENNER",C37)),ISNUMBER(SEARCH("HENRY HOWARD",C37)),ISNUMBER(SEARCH("MISS CLAUDIA",C37))),"Personal Travel - New Orleans",IFERROR(INDEX('Category Rules'!$B$2:$B$194,MATCH(TRUE,ISNUMBER(SEARCH('Category Rules'!$A$2:$A$194,C37)),0)),"")))))))</f>
        <v>Personal - Subscription</v>
      </c>
    </row>
    <row r="38" spans="1:7" x14ac:dyDescent="0.25">
      <c r="A38" t="s">
        <v>6</v>
      </c>
      <c r="B38" s="1">
        <v>46206</v>
      </c>
      <c r="C38" t="s">
        <v>42</v>
      </c>
      <c r="D38">
        <v>-39.99</v>
      </c>
      <c r="E38" t="s">
        <v>14</v>
      </c>
      <c r="F38">
        <v>3246.64</v>
      </c>
      <c r="G38" t="str" cm="1">
        <f t="array" ref="G38">IF(AND(ISNUMBER(SEARCH("UBER",C38)),ISNUMBER(SEARCH("EATS",C38))),"Uber Eats",IF(LEFT(C38,6)="CHECK ","Checks Paid",IF(OR(E38="BILLPAY",ISNUMBER(SEARCH("FRANCHISE TAX",C38)),ISNUMBER(SEARCH("NEXTLINK",C38))),"Personal - House Bills",IF(AND(ISNUMBER(SEARCH("PAYMENT FROM",C38)),ISNUMBER(SEARCH("JOE SAUNDERS",C38))),"Zelle from Joe Saunders",IF(AND(ISNUMBER(SEARCH("PAYMENT TO",C38)),ISNUMBER(SEARCH("JOE SAUNDERS",C38))),"Zelle to Joe Saunders",IF(OR(ISNUMBER(SEARCH("NEW ORLEANS",C38)),ISNUMBER(SEARCH("KENNER",C38)),ISNUMBER(SEARCH("HENRY HOWARD",C38)),ISNUMBER(SEARCH("MISS CLAUDIA",C38))),"Personal Travel - New Orleans",IFERROR(INDEX('Category Rules'!$B$2:$B$194,MATCH(TRUE,ISNUMBER(SEARCH('Category Rules'!$A$2:$A$194,C38)),0)),"")))))))</f>
        <v>Personal - Subscription</v>
      </c>
    </row>
    <row r="39" spans="1:7" x14ac:dyDescent="0.25">
      <c r="A39" t="s">
        <v>6</v>
      </c>
      <c r="B39" s="1">
        <v>46206</v>
      </c>
      <c r="C39" t="s">
        <v>43</v>
      </c>
      <c r="D39">
        <v>-12.11</v>
      </c>
      <c r="E39" t="s">
        <v>14</v>
      </c>
      <c r="F39">
        <v>3286.63</v>
      </c>
      <c r="G39" t="str" cm="1">
        <f t="array" ref="G39">IF(AND(ISNUMBER(SEARCH("UBER",C39)),ISNUMBER(SEARCH("EATS",C39))),"Uber Eats",IF(LEFT(C39,6)="CHECK ","Checks Paid",IF(OR(E39="BILLPAY",ISNUMBER(SEARCH("FRANCHISE TAX",C39)),ISNUMBER(SEARCH("NEXTLINK",C39))),"Personal - House Bills",IF(AND(ISNUMBER(SEARCH("PAYMENT FROM",C39)),ISNUMBER(SEARCH("JOE SAUNDERS",C39))),"Zelle from Joe Saunders",IF(AND(ISNUMBER(SEARCH("PAYMENT TO",C39)),ISNUMBER(SEARCH("JOE SAUNDERS",C39))),"Zelle to Joe Saunders",IF(OR(ISNUMBER(SEARCH("NEW ORLEANS",C39)),ISNUMBER(SEARCH("KENNER",C39)),ISNUMBER(SEARCH("HENRY HOWARD",C39)),ISNUMBER(SEARCH("MISS CLAUDIA",C39))),"Personal Travel - New Orleans",IFERROR(INDEX('Category Rules'!$B$2:$B$194,MATCH(TRUE,ISNUMBER(SEARCH('Category Rules'!$A$2:$A$194,C39)),0)),"")))))))</f>
        <v>Amazon</v>
      </c>
    </row>
    <row r="40" spans="1:7" x14ac:dyDescent="0.25">
      <c r="A40" t="s">
        <v>6</v>
      </c>
      <c r="B40" s="1">
        <v>46206</v>
      </c>
      <c r="C40" t="s">
        <v>44</v>
      </c>
      <c r="D40">
        <v>-55</v>
      </c>
      <c r="E40" t="s">
        <v>14</v>
      </c>
      <c r="F40">
        <v>3298.74</v>
      </c>
      <c r="G40" t="str" cm="1">
        <f t="array" ref="G40">IF(AND(ISNUMBER(SEARCH("UBER",C40)),ISNUMBER(SEARCH("EATS",C40))),"Uber Eats",IF(LEFT(C40,6)="CHECK ","Checks Paid",IF(OR(E40="BILLPAY",ISNUMBER(SEARCH("FRANCHISE TAX",C40)),ISNUMBER(SEARCH("NEXTLINK",C40))),"Personal - House Bills",IF(AND(ISNUMBER(SEARCH("PAYMENT FROM",C40)),ISNUMBER(SEARCH("JOE SAUNDERS",C40))),"Zelle from Joe Saunders",IF(AND(ISNUMBER(SEARCH("PAYMENT TO",C40)),ISNUMBER(SEARCH("JOE SAUNDERS",C40))),"Zelle to Joe Saunders",IF(OR(ISNUMBER(SEARCH("NEW ORLEANS",C40)),ISNUMBER(SEARCH("KENNER",C40)),ISNUMBER(SEARCH("HENRY HOWARD",C40)),ISNUMBER(SEARCH("MISS CLAUDIA",C40))),"Personal Travel - New Orleans",IFERROR(INDEX('Category Rules'!$B$2:$B$194,MATCH(TRUE,ISNUMBER(SEARCH('Category Rules'!$A$2:$A$194,C40)),0)),"")))))))</f>
        <v>Personal Travel</v>
      </c>
    </row>
    <row r="41" spans="1:7" x14ac:dyDescent="0.25">
      <c r="A41" t="s">
        <v>6</v>
      </c>
      <c r="B41" s="1">
        <v>46206</v>
      </c>
      <c r="C41" t="s">
        <v>44</v>
      </c>
      <c r="D41">
        <v>-55</v>
      </c>
      <c r="E41" t="s">
        <v>14</v>
      </c>
      <c r="F41">
        <v>3353.74</v>
      </c>
      <c r="G41" t="str" cm="1">
        <f t="array" ref="G41">IF(AND(ISNUMBER(SEARCH("UBER",C41)),ISNUMBER(SEARCH("EATS",C41))),"Uber Eats",IF(LEFT(C41,6)="CHECK ","Checks Paid",IF(OR(E41="BILLPAY",ISNUMBER(SEARCH("FRANCHISE TAX",C41)),ISNUMBER(SEARCH("NEXTLINK",C41))),"Personal - House Bills",IF(AND(ISNUMBER(SEARCH("PAYMENT FROM",C41)),ISNUMBER(SEARCH("JOE SAUNDERS",C41))),"Zelle from Joe Saunders",IF(AND(ISNUMBER(SEARCH("PAYMENT TO",C41)),ISNUMBER(SEARCH("JOE SAUNDERS",C41))),"Zelle to Joe Saunders",IF(OR(ISNUMBER(SEARCH("NEW ORLEANS",C41)),ISNUMBER(SEARCH("KENNER",C41)),ISNUMBER(SEARCH("HENRY HOWARD",C41)),ISNUMBER(SEARCH("MISS CLAUDIA",C41))),"Personal Travel - New Orleans",IFERROR(INDEX('Category Rules'!$B$2:$B$194,MATCH(TRUE,ISNUMBER(SEARCH('Category Rules'!$A$2:$A$194,C41)),0)),"")))))))</f>
        <v>Personal Travel</v>
      </c>
    </row>
    <row r="42" spans="1:7" x14ac:dyDescent="0.25">
      <c r="A42" t="s">
        <v>6</v>
      </c>
      <c r="B42" s="1">
        <v>46205</v>
      </c>
      <c r="C42" t="s">
        <v>45</v>
      </c>
      <c r="D42">
        <v>-161.24</v>
      </c>
      <c r="E42" t="s">
        <v>14</v>
      </c>
      <c r="F42">
        <v>3408.74</v>
      </c>
      <c r="G42" t="str" cm="1">
        <f t="array" ref="G42">IF(AND(ISNUMBER(SEARCH("UBER",C42)),ISNUMBER(SEARCH("EATS",C42))),"Uber Eats",IF(LEFT(C42,6)="CHECK ","Checks Paid",IF(OR(E42="BILLPAY",ISNUMBER(SEARCH("FRANCHISE TAX",C42)),ISNUMBER(SEARCH("NEXTLINK",C42))),"Personal - House Bills",IF(AND(ISNUMBER(SEARCH("PAYMENT FROM",C42)),ISNUMBER(SEARCH("JOE SAUNDERS",C42))),"Zelle from Joe Saunders",IF(AND(ISNUMBER(SEARCH("PAYMENT TO",C42)),ISNUMBER(SEARCH("JOE SAUNDERS",C42))),"Zelle to Joe Saunders",IF(OR(ISNUMBER(SEARCH("NEW ORLEANS",C42)),ISNUMBER(SEARCH("KENNER",C42)),ISNUMBER(SEARCH("HENRY HOWARD",C42)),ISNUMBER(SEARCH("MISS CLAUDIA",C42))),"Personal Travel - New Orleans",IFERROR(INDEX('Category Rules'!$B$2:$B$194,MATCH(TRUE,ISNUMBER(SEARCH('Category Rules'!$A$2:$A$194,C42)),0)),"")))))))</f>
        <v>Personal - Health</v>
      </c>
    </row>
    <row r="43" spans="1:7" x14ac:dyDescent="0.25">
      <c r="A43" t="s">
        <v>6</v>
      </c>
      <c r="B43" s="1">
        <v>46205</v>
      </c>
      <c r="C43" t="s">
        <v>46</v>
      </c>
      <c r="D43">
        <v>-34.020000000000003</v>
      </c>
      <c r="E43" t="s">
        <v>14</v>
      </c>
      <c r="F43">
        <v>3569.98</v>
      </c>
      <c r="G43" t="str" cm="1">
        <f t="array" ref="G43">IF(AND(ISNUMBER(SEARCH("UBER",C43)),ISNUMBER(SEARCH("EATS",C43))),"Uber Eats",IF(LEFT(C43,6)="CHECK ","Checks Paid",IF(OR(E43="BILLPAY",ISNUMBER(SEARCH("FRANCHISE TAX",C43)),ISNUMBER(SEARCH("NEXTLINK",C43))),"Personal - House Bills",IF(AND(ISNUMBER(SEARCH("PAYMENT FROM",C43)),ISNUMBER(SEARCH("JOE SAUNDERS",C43))),"Zelle from Joe Saunders",IF(AND(ISNUMBER(SEARCH("PAYMENT TO",C43)),ISNUMBER(SEARCH("JOE SAUNDERS",C43))),"Zelle to Joe Saunders",IF(OR(ISNUMBER(SEARCH("NEW ORLEANS",C43)),ISNUMBER(SEARCH("KENNER",C43)),ISNUMBER(SEARCH("HENRY HOWARD",C43)),ISNUMBER(SEARCH("MISS CLAUDIA",C43))),"Personal Travel - New Orleans",IFERROR(INDEX('Category Rules'!$B$2:$B$194,MATCH(TRUE,ISNUMBER(SEARCH('Category Rules'!$A$2:$A$194,C43)),0)),"")))))))</f>
        <v>Uber Eats</v>
      </c>
    </row>
    <row r="44" spans="1:7" x14ac:dyDescent="0.25">
      <c r="A44" t="s">
        <v>6</v>
      </c>
      <c r="B44" s="1">
        <v>46205</v>
      </c>
      <c r="C44" t="s">
        <v>47</v>
      </c>
      <c r="D44">
        <v>-1000</v>
      </c>
      <c r="E44" t="s">
        <v>48</v>
      </c>
      <c r="F44">
        <v>3604</v>
      </c>
      <c r="G44" t="str" cm="1">
        <f t="array" ref="G44">IF(AND(ISNUMBER(SEARCH("UBER",C44)),ISNUMBER(SEARCH("EATS",C44))),"Uber Eats",IF(LEFT(C44,6)="CHECK ","Checks Paid",IF(OR(E44="BILLPAY",ISNUMBER(SEARCH("FRANCHISE TAX",C44)),ISNUMBER(SEARCH("NEXTLINK",C44))),"Personal - House Bills",IF(AND(ISNUMBER(SEARCH("PAYMENT FROM",C44)),ISNUMBER(SEARCH("JOE SAUNDERS",C44))),"Zelle from Joe Saunders",IF(AND(ISNUMBER(SEARCH("PAYMENT TO",C44)),ISNUMBER(SEARCH("JOE SAUNDERS",C44))),"Zelle to Joe Saunders",IF(OR(ISNUMBER(SEARCH("NEW ORLEANS",C44)),ISNUMBER(SEARCH("KENNER",C44)),ISNUMBER(SEARCH("HENRY HOWARD",C44)),ISNUMBER(SEARCH("MISS CLAUDIA",C44))),"Personal Travel - New Orleans",IFERROR(INDEX('Category Rules'!$B$2:$B$194,MATCH(TRUE,ISNUMBER(SEARCH('Category Rules'!$A$2:$A$194,C44)),0)),"")))))))</f>
        <v>Withdrawal</v>
      </c>
    </row>
    <row r="45" spans="1:7" x14ac:dyDescent="0.25">
      <c r="A45" t="s">
        <v>6</v>
      </c>
      <c r="B45" s="1">
        <v>46205</v>
      </c>
      <c r="C45" t="s">
        <v>49</v>
      </c>
      <c r="D45">
        <v>-147.66</v>
      </c>
      <c r="E45" t="s">
        <v>14</v>
      </c>
      <c r="F45">
        <v>4604</v>
      </c>
      <c r="G45" t="str" cm="1">
        <f t="array" ref="G45">IF(AND(ISNUMBER(SEARCH("UBER",C45)),ISNUMBER(SEARCH("EATS",C45))),"Uber Eats",IF(LEFT(C45,6)="CHECK ","Checks Paid",IF(OR(E45="BILLPAY",ISNUMBER(SEARCH("FRANCHISE TAX",C45)),ISNUMBER(SEARCH("NEXTLINK",C45))),"Personal - House Bills",IF(AND(ISNUMBER(SEARCH("PAYMENT FROM",C45)),ISNUMBER(SEARCH("JOE SAUNDERS",C45))),"Zelle from Joe Saunders",IF(AND(ISNUMBER(SEARCH("PAYMENT TO",C45)),ISNUMBER(SEARCH("JOE SAUNDERS",C45))),"Zelle to Joe Saunders",IF(OR(ISNUMBER(SEARCH("NEW ORLEANS",C45)),ISNUMBER(SEARCH("KENNER",C45)),ISNUMBER(SEARCH("HENRY HOWARD",C45)),ISNUMBER(SEARCH("MISS CLAUDIA",C45))),"Personal Travel - New Orleans",IFERROR(INDEX('Category Rules'!$B$2:$B$194,MATCH(TRUE,ISNUMBER(SEARCH('Category Rules'!$A$2:$A$194,C45)),0)),"")))))))</f>
        <v>Personal - Health</v>
      </c>
    </row>
    <row r="46" spans="1:7" x14ac:dyDescent="0.25">
      <c r="A46" t="s">
        <v>6</v>
      </c>
      <c r="B46" s="1">
        <v>46205</v>
      </c>
      <c r="C46" t="s">
        <v>50</v>
      </c>
      <c r="D46">
        <v>-190.75</v>
      </c>
      <c r="E46" t="s">
        <v>14</v>
      </c>
      <c r="F46">
        <v>4751.66</v>
      </c>
      <c r="G46" t="str" cm="1">
        <f t="array" ref="G46">IF(AND(ISNUMBER(SEARCH("UBER",C46)),ISNUMBER(SEARCH("EATS",C46))),"Uber Eats",IF(LEFT(C46,6)="CHECK ","Checks Paid",IF(OR(E46="BILLPAY",ISNUMBER(SEARCH("FRANCHISE TAX",C46)),ISNUMBER(SEARCH("NEXTLINK",C46))),"Personal - House Bills",IF(AND(ISNUMBER(SEARCH("PAYMENT FROM",C46)),ISNUMBER(SEARCH("JOE SAUNDERS",C46))),"Zelle from Joe Saunders",IF(AND(ISNUMBER(SEARCH("PAYMENT TO",C46)),ISNUMBER(SEARCH("JOE SAUNDERS",C46))),"Zelle to Joe Saunders",IF(OR(ISNUMBER(SEARCH("NEW ORLEANS",C46)),ISNUMBER(SEARCH("KENNER",C46)),ISNUMBER(SEARCH("HENRY HOWARD",C46)),ISNUMBER(SEARCH("MISS CLAUDIA",C46))),"Personal Travel - New Orleans",IFERROR(INDEX('Category Rules'!$B$2:$B$194,MATCH(TRUE,ISNUMBER(SEARCH('Category Rules'!$A$2:$A$194,C46)),0)),"")))))))</f>
        <v>Amazon</v>
      </c>
    </row>
    <row r="47" spans="1:7" x14ac:dyDescent="0.25">
      <c r="A47" t="s">
        <v>6</v>
      </c>
      <c r="B47" s="1">
        <v>46205</v>
      </c>
      <c r="C47" t="s">
        <v>51</v>
      </c>
      <c r="D47">
        <v>-38.46</v>
      </c>
      <c r="E47" t="s">
        <v>14</v>
      </c>
      <c r="F47">
        <v>4942.41</v>
      </c>
      <c r="G47" t="str" cm="1">
        <f t="array" ref="G47">IF(AND(ISNUMBER(SEARCH("UBER",C47)),ISNUMBER(SEARCH("EATS",C47))),"Uber Eats",IF(LEFT(C47,6)="CHECK ","Checks Paid",IF(OR(E47="BILLPAY",ISNUMBER(SEARCH("FRANCHISE TAX",C47)),ISNUMBER(SEARCH("NEXTLINK",C47))),"Personal - House Bills",IF(AND(ISNUMBER(SEARCH("PAYMENT FROM",C47)),ISNUMBER(SEARCH("JOE SAUNDERS",C47))),"Zelle from Joe Saunders",IF(AND(ISNUMBER(SEARCH("PAYMENT TO",C47)),ISNUMBER(SEARCH("JOE SAUNDERS",C47))),"Zelle to Joe Saunders",IF(OR(ISNUMBER(SEARCH("NEW ORLEANS",C47)),ISNUMBER(SEARCH("KENNER",C47)),ISNUMBER(SEARCH("HENRY HOWARD",C47)),ISNUMBER(SEARCH("MISS CLAUDIA",C47))),"Personal Travel - New Orleans",IFERROR(INDEX('Category Rules'!$B$2:$B$194,MATCH(TRUE,ISNUMBER(SEARCH('Category Rules'!$A$2:$A$194,C47)),0)),"")))))))</f>
        <v>Uber Eats</v>
      </c>
    </row>
    <row r="48" spans="1:7" x14ac:dyDescent="0.25">
      <c r="A48" t="s">
        <v>6</v>
      </c>
      <c r="B48" s="1">
        <v>46205</v>
      </c>
      <c r="C48" t="s">
        <v>52</v>
      </c>
      <c r="D48">
        <v>-65</v>
      </c>
      <c r="E48" t="s">
        <v>14</v>
      </c>
      <c r="F48">
        <v>4980.87</v>
      </c>
      <c r="G48" t="str" cm="1">
        <f t="array" ref="G48">IF(AND(ISNUMBER(SEARCH("UBER",C48)),ISNUMBER(SEARCH("EATS",C48))),"Uber Eats",IF(LEFT(C48,6)="CHECK ","Checks Paid",IF(OR(E48="BILLPAY",ISNUMBER(SEARCH("FRANCHISE TAX",C48)),ISNUMBER(SEARCH("NEXTLINK",C48))),"Personal - House Bills",IF(AND(ISNUMBER(SEARCH("PAYMENT FROM",C48)),ISNUMBER(SEARCH("JOE SAUNDERS",C48))),"Zelle from Joe Saunders",IF(AND(ISNUMBER(SEARCH("PAYMENT TO",C48)),ISNUMBER(SEARCH("JOE SAUNDERS",C48))),"Zelle to Joe Saunders",IF(OR(ISNUMBER(SEARCH("NEW ORLEANS",C48)),ISNUMBER(SEARCH("KENNER",C48)),ISNUMBER(SEARCH("HENRY HOWARD",C48)),ISNUMBER(SEARCH("MISS CLAUDIA",C48))),"Personal Travel - New Orleans",IFERROR(INDEX('Category Rules'!$B$2:$B$194,MATCH(TRUE,ISNUMBER(SEARCH('Category Rules'!$A$2:$A$194,C48)),0)),"")))))))</f>
        <v>Personal - Food</v>
      </c>
    </row>
    <row r="49" spans="1:7" x14ac:dyDescent="0.25">
      <c r="A49" t="s">
        <v>6</v>
      </c>
      <c r="B49" s="1">
        <v>46205</v>
      </c>
      <c r="C49" t="s">
        <v>53</v>
      </c>
      <c r="D49">
        <v>-99.48</v>
      </c>
      <c r="E49" t="s">
        <v>14</v>
      </c>
      <c r="F49">
        <v>5045.87</v>
      </c>
      <c r="G49" t="str" cm="1">
        <f t="array" ref="G49">IF(AND(ISNUMBER(SEARCH("UBER",C49)),ISNUMBER(SEARCH("EATS",C49))),"Uber Eats",IF(LEFT(C49,6)="CHECK ","Checks Paid",IF(OR(E49="BILLPAY",ISNUMBER(SEARCH("FRANCHISE TAX",C49)),ISNUMBER(SEARCH("NEXTLINK",C49))),"Personal - House Bills",IF(AND(ISNUMBER(SEARCH("PAYMENT FROM",C49)),ISNUMBER(SEARCH("JOE SAUNDERS",C49))),"Zelle from Joe Saunders",IF(AND(ISNUMBER(SEARCH("PAYMENT TO",C49)),ISNUMBER(SEARCH("JOE SAUNDERS",C49))),"Zelle to Joe Saunders",IF(OR(ISNUMBER(SEARCH("NEW ORLEANS",C49)),ISNUMBER(SEARCH("KENNER",C49)),ISNUMBER(SEARCH("HENRY HOWARD",C49)),ISNUMBER(SEARCH("MISS CLAUDIA",C49))),"Personal Travel - New Orleans",IFERROR(INDEX('Category Rules'!$B$2:$B$194,MATCH(TRUE,ISNUMBER(SEARCH('Category Rules'!$A$2:$A$194,C49)),0)),"")))))))</f>
        <v>Personal - Entertainment</v>
      </c>
    </row>
    <row r="50" spans="1:7" x14ac:dyDescent="0.25">
      <c r="A50" t="s">
        <v>6</v>
      </c>
      <c r="B50" s="1">
        <v>46205</v>
      </c>
      <c r="C50" t="s">
        <v>54</v>
      </c>
      <c r="D50">
        <v>-20.93</v>
      </c>
      <c r="E50" t="s">
        <v>14</v>
      </c>
      <c r="F50">
        <v>5145.3500000000004</v>
      </c>
      <c r="G50" t="str" cm="1">
        <f t="array" ref="G50">IF(AND(ISNUMBER(SEARCH("UBER",C50)),ISNUMBER(SEARCH("EATS",C50))),"Uber Eats",IF(LEFT(C50,6)="CHECK ","Checks Paid",IF(OR(E50="BILLPAY",ISNUMBER(SEARCH("FRANCHISE TAX",C50)),ISNUMBER(SEARCH("NEXTLINK",C50))),"Personal - House Bills",IF(AND(ISNUMBER(SEARCH("PAYMENT FROM",C50)),ISNUMBER(SEARCH("JOE SAUNDERS",C50))),"Zelle from Joe Saunders",IF(AND(ISNUMBER(SEARCH("PAYMENT TO",C50)),ISNUMBER(SEARCH("JOE SAUNDERS",C50))),"Zelle to Joe Saunders",IF(OR(ISNUMBER(SEARCH("NEW ORLEANS",C50)),ISNUMBER(SEARCH("KENNER",C50)),ISNUMBER(SEARCH("HENRY HOWARD",C50)),ISNUMBER(SEARCH("MISS CLAUDIA",C50))),"Personal Travel - New Orleans",IFERROR(INDEX('Category Rules'!$B$2:$B$194,MATCH(TRUE,ISNUMBER(SEARCH('Category Rules'!$A$2:$A$194,C50)),0)),"")))))))</f>
        <v>Personal - Shopping</v>
      </c>
    </row>
    <row r="51" spans="1:7" x14ac:dyDescent="0.25">
      <c r="A51" t="s">
        <v>6</v>
      </c>
      <c r="B51" s="1">
        <v>46205</v>
      </c>
      <c r="C51" t="s">
        <v>55</v>
      </c>
      <c r="D51">
        <v>-116.25</v>
      </c>
      <c r="E51" t="s">
        <v>14</v>
      </c>
      <c r="F51">
        <v>5166.28</v>
      </c>
      <c r="G51" t="str" cm="1">
        <f t="array" ref="G51">IF(AND(ISNUMBER(SEARCH("UBER",C51)),ISNUMBER(SEARCH("EATS",C51))),"Uber Eats",IF(LEFT(C51,6)="CHECK ","Checks Paid",IF(OR(E51="BILLPAY",ISNUMBER(SEARCH("FRANCHISE TAX",C51)),ISNUMBER(SEARCH("NEXTLINK",C51))),"Personal - House Bills",IF(AND(ISNUMBER(SEARCH("PAYMENT FROM",C51)),ISNUMBER(SEARCH("JOE SAUNDERS",C51))),"Zelle from Joe Saunders",IF(AND(ISNUMBER(SEARCH("PAYMENT TO",C51)),ISNUMBER(SEARCH("JOE SAUNDERS",C51))),"Zelle to Joe Saunders",IF(OR(ISNUMBER(SEARCH("NEW ORLEANS",C51)),ISNUMBER(SEARCH("KENNER",C51)),ISNUMBER(SEARCH("HENRY HOWARD",C51)),ISNUMBER(SEARCH("MISS CLAUDIA",C51))),"Personal Travel - New Orleans",IFERROR(INDEX('Category Rules'!$B$2:$B$194,MATCH(TRUE,ISNUMBER(SEARCH('Category Rules'!$A$2:$A$194,C51)),0)),"")))))))</f>
        <v>Personal - Shopping</v>
      </c>
    </row>
    <row r="52" spans="1:7" x14ac:dyDescent="0.25">
      <c r="A52" t="s">
        <v>6</v>
      </c>
      <c r="B52" s="1">
        <v>46204</v>
      </c>
      <c r="C52" t="s">
        <v>56</v>
      </c>
      <c r="D52">
        <v>-41.66</v>
      </c>
      <c r="E52" t="s">
        <v>14</v>
      </c>
      <c r="F52">
        <v>5282.53</v>
      </c>
      <c r="G52" t="str" cm="1">
        <f t="array" ref="G52">IF(AND(ISNUMBER(SEARCH("UBER",C52)),ISNUMBER(SEARCH("EATS",C52))),"Uber Eats",IF(LEFT(C52,6)="CHECK ","Checks Paid",IF(OR(E52="BILLPAY",ISNUMBER(SEARCH("FRANCHISE TAX",C52)),ISNUMBER(SEARCH("NEXTLINK",C52))),"Personal - House Bills",IF(AND(ISNUMBER(SEARCH("PAYMENT FROM",C52)),ISNUMBER(SEARCH("JOE SAUNDERS",C52))),"Zelle from Joe Saunders",IF(AND(ISNUMBER(SEARCH("PAYMENT TO",C52)),ISNUMBER(SEARCH("JOE SAUNDERS",C52))),"Zelle to Joe Saunders",IF(OR(ISNUMBER(SEARCH("NEW ORLEANS",C52)),ISNUMBER(SEARCH("KENNER",C52)),ISNUMBER(SEARCH("HENRY HOWARD",C52)),ISNUMBER(SEARCH("MISS CLAUDIA",C52))),"Personal Travel - New Orleans",IFERROR(INDEX('Category Rules'!$B$2:$B$194,MATCH(TRUE,ISNUMBER(SEARCH('Category Rules'!$A$2:$A$194,C52)),0)),"")))))))</f>
        <v>Amazon</v>
      </c>
    </row>
    <row r="53" spans="1:7" x14ac:dyDescent="0.25">
      <c r="A53" t="s">
        <v>6</v>
      </c>
      <c r="B53" s="1">
        <v>46204</v>
      </c>
      <c r="C53" t="s">
        <v>57</v>
      </c>
      <c r="D53">
        <v>-140.29</v>
      </c>
      <c r="E53" t="s">
        <v>14</v>
      </c>
      <c r="F53">
        <v>5324.19</v>
      </c>
      <c r="G53" t="str" cm="1">
        <f t="array" ref="G53">IF(AND(ISNUMBER(SEARCH("UBER",C53)),ISNUMBER(SEARCH("EATS",C53))),"Uber Eats",IF(LEFT(C53,6)="CHECK ","Checks Paid",IF(OR(E53="BILLPAY",ISNUMBER(SEARCH("FRANCHISE TAX",C53)),ISNUMBER(SEARCH("NEXTLINK",C53))),"Personal - House Bills",IF(AND(ISNUMBER(SEARCH("PAYMENT FROM",C53)),ISNUMBER(SEARCH("JOE SAUNDERS",C53))),"Zelle from Joe Saunders",IF(AND(ISNUMBER(SEARCH("PAYMENT TO",C53)),ISNUMBER(SEARCH("JOE SAUNDERS",C53))),"Zelle to Joe Saunders",IF(OR(ISNUMBER(SEARCH("NEW ORLEANS",C53)),ISNUMBER(SEARCH("KENNER",C53)),ISNUMBER(SEARCH("HENRY HOWARD",C53)),ISNUMBER(SEARCH("MISS CLAUDIA",C53))),"Personal Travel - New Orleans",IFERROR(INDEX('Category Rules'!$B$2:$B$194,MATCH(TRUE,ISNUMBER(SEARCH('Category Rules'!$A$2:$A$194,C53)),0)),"")))))))</f>
        <v>Personal Travel</v>
      </c>
    </row>
    <row r="54" spans="1:7" x14ac:dyDescent="0.25">
      <c r="A54" t="s">
        <v>6</v>
      </c>
      <c r="B54" s="1">
        <v>46204</v>
      </c>
      <c r="C54" t="s">
        <v>58</v>
      </c>
      <c r="D54">
        <v>-601.80999999999995</v>
      </c>
      <c r="E54" t="s">
        <v>14</v>
      </c>
      <c r="F54">
        <v>5464.48</v>
      </c>
      <c r="G54" t="str" cm="1">
        <f t="array" ref="G54">IF(AND(ISNUMBER(SEARCH("UBER",C54)),ISNUMBER(SEARCH("EATS",C54))),"Uber Eats",IF(LEFT(C54,6)="CHECK ","Checks Paid",IF(OR(E54="BILLPAY",ISNUMBER(SEARCH("FRANCHISE TAX",C54)),ISNUMBER(SEARCH("NEXTLINK",C54))),"Personal - House Bills",IF(AND(ISNUMBER(SEARCH("PAYMENT FROM",C54)),ISNUMBER(SEARCH("JOE SAUNDERS",C54))),"Zelle from Joe Saunders",IF(AND(ISNUMBER(SEARCH("PAYMENT TO",C54)),ISNUMBER(SEARCH("JOE SAUNDERS",C54))),"Zelle to Joe Saunders",IF(OR(ISNUMBER(SEARCH("NEW ORLEANS",C54)),ISNUMBER(SEARCH("KENNER",C54)),ISNUMBER(SEARCH("HENRY HOWARD",C54)),ISNUMBER(SEARCH("MISS CLAUDIA",C54))),"Personal Travel - New Orleans",IFERROR(INDEX('Category Rules'!$B$2:$B$194,MATCH(TRUE,ISNUMBER(SEARCH('Category Rules'!$A$2:$A$194,C54)),0)),"")))))))</f>
        <v>Personal Travel</v>
      </c>
    </row>
    <row r="55" spans="1:7" x14ac:dyDescent="0.25">
      <c r="A55" t="s">
        <v>37</v>
      </c>
      <c r="B55" s="1">
        <v>46204</v>
      </c>
      <c r="C55" t="s">
        <v>59</v>
      </c>
      <c r="D55">
        <v>25</v>
      </c>
      <c r="E55" t="s">
        <v>60</v>
      </c>
      <c r="F55">
        <v>6066.29</v>
      </c>
      <c r="G55" t="str" cm="1">
        <f t="array" ref="G55">IF(AND(ISNUMBER(SEARCH("UBER",C55)),ISNUMBER(SEARCH("EATS",C55))),"Uber Eats",IF(LEFT(C55,6)="CHECK ","Checks Paid",IF(OR(E55="BILLPAY",ISNUMBER(SEARCH("FRANCHISE TAX",C55)),ISNUMBER(SEARCH("NEXTLINK",C55))),"Personal - House Bills",IF(AND(ISNUMBER(SEARCH("PAYMENT FROM",C55)),ISNUMBER(SEARCH("JOE SAUNDERS",C55))),"Zelle from Joe Saunders",IF(AND(ISNUMBER(SEARCH("PAYMENT TO",C55)),ISNUMBER(SEARCH("JOE SAUNDERS",C55))),"Zelle to Joe Saunders",IF(OR(ISNUMBER(SEARCH("NEW ORLEANS",C55)),ISNUMBER(SEARCH("KENNER",C55)),ISNUMBER(SEARCH("HENRY HOWARD",C55)),ISNUMBER(SEARCH("MISS CLAUDIA",C55))),"Personal Travel - New Orleans",IFERROR(INDEX('Category Rules'!$B$2:$B$194,MATCH(TRUE,ISNUMBER(SEARCH('Category Rules'!$A$2:$A$194,C55)),0)),"")))))))</f>
        <v>Zelle from Mary Margaret Trahan</v>
      </c>
    </row>
    <row r="56" spans="1:7" x14ac:dyDescent="0.25">
      <c r="A56" t="s">
        <v>37</v>
      </c>
      <c r="B56" s="1">
        <v>46204</v>
      </c>
      <c r="C56" t="s">
        <v>61</v>
      </c>
      <c r="D56">
        <v>450</v>
      </c>
      <c r="E56" t="s">
        <v>60</v>
      </c>
      <c r="F56">
        <v>6041.29</v>
      </c>
      <c r="G56" t="str" cm="1">
        <f t="array" ref="G56">IF(AND(ISNUMBER(SEARCH("UBER",C56)),ISNUMBER(SEARCH("EATS",C56))),"Uber Eats",IF(LEFT(C56,6)="CHECK ","Checks Paid",IF(OR(E56="BILLPAY",ISNUMBER(SEARCH("FRANCHISE TAX",C56)),ISNUMBER(SEARCH("NEXTLINK",C56))),"Personal - House Bills",IF(AND(ISNUMBER(SEARCH("PAYMENT FROM",C56)),ISNUMBER(SEARCH("JOE SAUNDERS",C56))),"Zelle from Joe Saunders",IF(AND(ISNUMBER(SEARCH("PAYMENT TO",C56)),ISNUMBER(SEARCH("JOE SAUNDERS",C56))),"Zelle to Joe Saunders",IF(OR(ISNUMBER(SEARCH("NEW ORLEANS",C56)),ISNUMBER(SEARCH("KENNER",C56)),ISNUMBER(SEARCH("HENRY HOWARD",C56)),ISNUMBER(SEARCH("MISS CLAUDIA",C56))),"Personal Travel - New Orleans",IFERROR(INDEX('Category Rules'!$B$2:$B$194,MATCH(TRUE,ISNUMBER(SEARCH('Category Rules'!$A$2:$A$194,C56)),0)),"")))))))</f>
        <v>Zelle from Rose Li</v>
      </c>
    </row>
    <row r="57" spans="1:7" x14ac:dyDescent="0.25">
      <c r="A57" t="s">
        <v>6</v>
      </c>
      <c r="B57" s="1">
        <v>46204</v>
      </c>
      <c r="C57" t="s">
        <v>62</v>
      </c>
      <c r="D57">
        <v>23.2</v>
      </c>
      <c r="E57" t="s">
        <v>14</v>
      </c>
      <c r="F57">
        <v>5591.29</v>
      </c>
      <c r="G57" t="str" cm="1">
        <f t="array" ref="G57">IF(AND(ISNUMBER(SEARCH("UBER",C57)),ISNUMBER(SEARCH("EATS",C57))),"Uber Eats",IF(LEFT(C57,6)="CHECK ","Checks Paid",IF(OR(E57="BILLPAY",ISNUMBER(SEARCH("FRANCHISE TAX",C57)),ISNUMBER(SEARCH("NEXTLINK",C57))),"Personal - House Bills",IF(AND(ISNUMBER(SEARCH("PAYMENT FROM",C57)),ISNUMBER(SEARCH("JOE SAUNDERS",C57))),"Zelle from Joe Saunders",IF(AND(ISNUMBER(SEARCH("PAYMENT TO",C57)),ISNUMBER(SEARCH("JOE SAUNDERS",C57))),"Zelle to Joe Saunders",IF(OR(ISNUMBER(SEARCH("NEW ORLEANS",C57)),ISNUMBER(SEARCH("KENNER",C57)),ISNUMBER(SEARCH("HENRY HOWARD",C57)),ISNUMBER(SEARCH("MISS CLAUDIA",C57))),"Personal Travel - New Orleans",IFERROR(INDEX('Category Rules'!$B$2:$B$194,MATCH(TRUE,ISNUMBER(SEARCH('Category Rules'!$A$2:$A$194,C57)),0)),"")))))))</f>
        <v>Amazon</v>
      </c>
    </row>
    <row r="58" spans="1:7" x14ac:dyDescent="0.25">
      <c r="A58" t="s">
        <v>6</v>
      </c>
      <c r="B58" s="1">
        <v>46203</v>
      </c>
      <c r="C58" t="s">
        <v>63</v>
      </c>
      <c r="D58">
        <v>-200</v>
      </c>
      <c r="E58" t="s">
        <v>39</v>
      </c>
      <c r="F58">
        <v>5568.09</v>
      </c>
      <c r="G58" t="str" cm="1">
        <f t="array" ref="G58">IF(AND(ISNUMBER(SEARCH("UBER",C58)),ISNUMBER(SEARCH("EATS",C58))),"Uber Eats",IF(LEFT(C58,6)="CHECK ","Checks Paid",IF(OR(E58="BILLPAY",ISNUMBER(SEARCH("FRANCHISE TAX",C58)),ISNUMBER(SEARCH("NEXTLINK",C58))),"Personal - House Bills",IF(AND(ISNUMBER(SEARCH("PAYMENT FROM",C58)),ISNUMBER(SEARCH("JOE SAUNDERS",C58))),"Zelle from Joe Saunders",IF(AND(ISNUMBER(SEARCH("PAYMENT TO",C58)),ISNUMBER(SEARCH("JOE SAUNDERS",C58))),"Zelle to Joe Saunders",IF(OR(ISNUMBER(SEARCH("NEW ORLEANS",C58)),ISNUMBER(SEARCH("KENNER",C58)),ISNUMBER(SEARCH("HENRY HOWARD",C58)),ISNUMBER(SEARCH("MISS CLAUDIA",C58))),"Personal Travel - New Orleans",IFERROR(INDEX('Category Rules'!$B$2:$B$194,MATCH(TRUE,ISNUMBER(SEARCH('Category Rules'!$A$2:$A$194,C58)),0)),"")))))))</f>
        <v>Transfer to Ava</v>
      </c>
    </row>
    <row r="59" spans="1:7" x14ac:dyDescent="0.25">
      <c r="A59" t="s">
        <v>6</v>
      </c>
      <c r="B59" s="1">
        <v>46203</v>
      </c>
      <c r="C59" t="s">
        <v>64</v>
      </c>
      <c r="D59">
        <v>-1272.1199999999999</v>
      </c>
      <c r="E59" t="s">
        <v>14</v>
      </c>
      <c r="F59">
        <v>5768.09</v>
      </c>
      <c r="G59" t="str" cm="1">
        <f t="array" ref="G59">IF(AND(ISNUMBER(SEARCH("UBER",C59)),ISNUMBER(SEARCH("EATS",C59))),"Uber Eats",IF(LEFT(C59,6)="CHECK ","Checks Paid",IF(OR(E59="BILLPAY",ISNUMBER(SEARCH("FRANCHISE TAX",C59)),ISNUMBER(SEARCH("NEXTLINK",C59))),"Personal - House Bills",IF(AND(ISNUMBER(SEARCH("PAYMENT FROM",C59)),ISNUMBER(SEARCH("JOE SAUNDERS",C59))),"Zelle from Joe Saunders",IF(AND(ISNUMBER(SEARCH("PAYMENT TO",C59)),ISNUMBER(SEARCH("JOE SAUNDERS",C59))),"Zelle to Joe Saunders",IF(OR(ISNUMBER(SEARCH("NEW ORLEANS",C59)),ISNUMBER(SEARCH("KENNER",C59)),ISNUMBER(SEARCH("HENRY HOWARD",C59)),ISNUMBER(SEARCH("MISS CLAUDIA",C59))),"Personal Travel - New Orleans",IFERROR(INDEX('Category Rules'!$B$2:$B$194,MATCH(TRUE,ISNUMBER(SEARCH('Category Rules'!$A$2:$A$194,C59)),0)),"")))))))</f>
        <v>Personal - Health Insurance</v>
      </c>
    </row>
    <row r="60" spans="1:7" x14ac:dyDescent="0.25">
      <c r="A60" t="s">
        <v>6</v>
      </c>
      <c r="B60" s="1">
        <v>46203</v>
      </c>
      <c r="C60" t="s">
        <v>65</v>
      </c>
      <c r="D60">
        <v>-19</v>
      </c>
      <c r="E60" t="s">
        <v>14</v>
      </c>
      <c r="F60">
        <v>7040.21</v>
      </c>
      <c r="G60" t="str" cm="1">
        <f t="array" ref="G60">IF(AND(ISNUMBER(SEARCH("UBER",C60)),ISNUMBER(SEARCH("EATS",C60))),"Uber Eats",IF(LEFT(C60,6)="CHECK ","Checks Paid",IF(OR(E60="BILLPAY",ISNUMBER(SEARCH("FRANCHISE TAX",C60)),ISNUMBER(SEARCH("NEXTLINK",C60))),"Personal - House Bills",IF(AND(ISNUMBER(SEARCH("PAYMENT FROM",C60)),ISNUMBER(SEARCH("JOE SAUNDERS",C60))),"Zelle from Joe Saunders",IF(AND(ISNUMBER(SEARCH("PAYMENT TO",C60)),ISNUMBER(SEARCH("JOE SAUNDERS",C60))),"Zelle to Joe Saunders",IF(OR(ISNUMBER(SEARCH("NEW ORLEANS",C60)),ISNUMBER(SEARCH("KENNER",C60)),ISNUMBER(SEARCH("HENRY HOWARD",C60)),ISNUMBER(SEARCH("MISS CLAUDIA",C60))),"Personal Travel - New Orleans",IFERROR(INDEX('Category Rules'!$B$2:$B$194,MATCH(TRUE,ISNUMBER(SEARCH('Category Rules'!$A$2:$A$194,C60)),0)),"")))))))</f>
        <v>Personal - Subscription</v>
      </c>
    </row>
    <row r="61" spans="1:7" x14ac:dyDescent="0.25">
      <c r="A61" t="s">
        <v>6</v>
      </c>
      <c r="B61" s="1">
        <v>46203</v>
      </c>
      <c r="C61" t="s">
        <v>66</v>
      </c>
      <c r="D61">
        <v>-90</v>
      </c>
      <c r="E61" t="s">
        <v>14</v>
      </c>
      <c r="F61">
        <v>7059.21</v>
      </c>
      <c r="G61" t="str" cm="1">
        <f t="array" ref="G61">IF(AND(ISNUMBER(SEARCH("UBER",C61)),ISNUMBER(SEARCH("EATS",C61))),"Uber Eats",IF(LEFT(C61,6)="CHECK ","Checks Paid",IF(OR(E61="BILLPAY",ISNUMBER(SEARCH("FRANCHISE TAX",C61)),ISNUMBER(SEARCH("NEXTLINK",C61))),"Personal - House Bills",IF(AND(ISNUMBER(SEARCH("PAYMENT FROM",C61)),ISNUMBER(SEARCH("JOE SAUNDERS",C61))),"Zelle from Joe Saunders",IF(AND(ISNUMBER(SEARCH("PAYMENT TO",C61)),ISNUMBER(SEARCH("JOE SAUNDERS",C61))),"Zelle to Joe Saunders",IF(OR(ISNUMBER(SEARCH("NEW ORLEANS",C61)),ISNUMBER(SEARCH("KENNER",C61)),ISNUMBER(SEARCH("HENRY HOWARD",C61)),ISNUMBER(SEARCH("MISS CLAUDIA",C61))),"Personal Travel - New Orleans",IFERROR(INDEX('Category Rules'!$B$2:$B$194,MATCH(TRUE,ISNUMBER(SEARCH('Category Rules'!$A$2:$A$194,C61)),0)),"")))))))</f>
        <v>Personal - Shopping</v>
      </c>
    </row>
    <row r="62" spans="1:7" x14ac:dyDescent="0.25">
      <c r="A62" t="s">
        <v>6</v>
      </c>
      <c r="B62" s="1">
        <v>46203</v>
      </c>
      <c r="C62" t="s">
        <v>67</v>
      </c>
      <c r="D62">
        <v>-30</v>
      </c>
      <c r="E62" t="s">
        <v>14</v>
      </c>
      <c r="F62">
        <v>7149.21</v>
      </c>
      <c r="G62" t="str" cm="1">
        <f t="array" ref="G62">IF(AND(ISNUMBER(SEARCH("UBER",C62)),ISNUMBER(SEARCH("EATS",C62))),"Uber Eats",IF(LEFT(C62,6)="CHECK ","Checks Paid",IF(OR(E62="BILLPAY",ISNUMBER(SEARCH("FRANCHISE TAX",C62)),ISNUMBER(SEARCH("NEXTLINK",C62))),"Personal - House Bills",IF(AND(ISNUMBER(SEARCH("PAYMENT FROM",C62)),ISNUMBER(SEARCH("JOE SAUNDERS",C62))),"Zelle from Joe Saunders",IF(AND(ISNUMBER(SEARCH("PAYMENT TO",C62)),ISNUMBER(SEARCH("JOE SAUNDERS",C62))),"Zelle to Joe Saunders",IF(OR(ISNUMBER(SEARCH("NEW ORLEANS",C62)),ISNUMBER(SEARCH("KENNER",C62)),ISNUMBER(SEARCH("HENRY HOWARD",C62)),ISNUMBER(SEARCH("MISS CLAUDIA",C62))),"Personal Travel - New Orleans",IFERROR(INDEX('Category Rules'!$B$2:$B$194,MATCH(TRUE,ISNUMBER(SEARCH('Category Rules'!$A$2:$A$194,C62)),0)),"")))))))</f>
        <v>Amazon</v>
      </c>
    </row>
    <row r="63" spans="1:7" x14ac:dyDescent="0.25">
      <c r="A63" t="s">
        <v>6</v>
      </c>
      <c r="B63" s="1">
        <v>46203</v>
      </c>
      <c r="C63" t="s">
        <v>68</v>
      </c>
      <c r="D63">
        <v>-88</v>
      </c>
      <c r="E63" t="s">
        <v>14</v>
      </c>
      <c r="F63">
        <v>7179.21</v>
      </c>
      <c r="G63" t="str" cm="1">
        <f t="array" ref="G63">IF(AND(ISNUMBER(SEARCH("UBER",C63)),ISNUMBER(SEARCH("EATS",C63))),"Uber Eats",IF(LEFT(C63,6)="CHECK ","Checks Paid",IF(OR(E63="BILLPAY",ISNUMBER(SEARCH("FRANCHISE TAX",C63)),ISNUMBER(SEARCH("NEXTLINK",C63))),"Personal - House Bills",IF(AND(ISNUMBER(SEARCH("PAYMENT FROM",C63)),ISNUMBER(SEARCH("JOE SAUNDERS",C63))),"Zelle from Joe Saunders",IF(AND(ISNUMBER(SEARCH("PAYMENT TO",C63)),ISNUMBER(SEARCH("JOE SAUNDERS",C63))),"Zelle to Joe Saunders",IF(OR(ISNUMBER(SEARCH("NEW ORLEANS",C63)),ISNUMBER(SEARCH("KENNER",C63)),ISNUMBER(SEARCH("HENRY HOWARD",C63)),ISNUMBER(SEARCH("MISS CLAUDIA",C63))),"Personal Travel - New Orleans",IFERROR(INDEX('Category Rules'!$B$2:$B$194,MATCH(TRUE,ISNUMBER(SEARCH('Category Rules'!$A$2:$A$194,C63)),0)),"")))))))</f>
        <v>Personal Travel</v>
      </c>
    </row>
    <row r="64" spans="1:7" x14ac:dyDescent="0.25">
      <c r="A64" t="s">
        <v>6</v>
      </c>
      <c r="B64" s="1">
        <v>46203</v>
      </c>
      <c r="C64" t="s">
        <v>68</v>
      </c>
      <c r="D64">
        <v>-92</v>
      </c>
      <c r="E64" t="s">
        <v>14</v>
      </c>
      <c r="F64">
        <v>7267.21</v>
      </c>
      <c r="G64" t="str" cm="1">
        <f t="array" ref="G64">IF(AND(ISNUMBER(SEARCH("UBER",C64)),ISNUMBER(SEARCH("EATS",C64))),"Uber Eats",IF(LEFT(C64,6)="CHECK ","Checks Paid",IF(OR(E64="BILLPAY",ISNUMBER(SEARCH("FRANCHISE TAX",C64)),ISNUMBER(SEARCH("NEXTLINK",C64))),"Personal - House Bills",IF(AND(ISNUMBER(SEARCH("PAYMENT FROM",C64)),ISNUMBER(SEARCH("JOE SAUNDERS",C64))),"Zelle from Joe Saunders",IF(AND(ISNUMBER(SEARCH("PAYMENT TO",C64)),ISNUMBER(SEARCH("JOE SAUNDERS",C64))),"Zelle to Joe Saunders",IF(OR(ISNUMBER(SEARCH("NEW ORLEANS",C64)),ISNUMBER(SEARCH("KENNER",C64)),ISNUMBER(SEARCH("HENRY HOWARD",C64)),ISNUMBER(SEARCH("MISS CLAUDIA",C64))),"Personal Travel - New Orleans",IFERROR(INDEX('Category Rules'!$B$2:$B$194,MATCH(TRUE,ISNUMBER(SEARCH('Category Rules'!$A$2:$A$194,C64)),0)),"")))))))</f>
        <v>Personal Travel</v>
      </c>
    </row>
    <row r="65" spans="1:7" x14ac:dyDescent="0.25">
      <c r="A65" t="s">
        <v>37</v>
      </c>
      <c r="B65" s="1">
        <v>46203</v>
      </c>
      <c r="C65" t="s">
        <v>69</v>
      </c>
      <c r="D65">
        <v>500</v>
      </c>
      <c r="E65" t="s">
        <v>60</v>
      </c>
      <c r="F65">
        <v>7359.21</v>
      </c>
      <c r="G65" t="str" cm="1">
        <f t="array" ref="G65">IF(AND(ISNUMBER(SEARCH("UBER",C65)),ISNUMBER(SEARCH("EATS",C65))),"Uber Eats",IF(LEFT(C65,6)="CHECK ","Checks Paid",IF(OR(E65="BILLPAY",ISNUMBER(SEARCH("FRANCHISE TAX",C65)),ISNUMBER(SEARCH("NEXTLINK",C65))),"Personal - House Bills",IF(AND(ISNUMBER(SEARCH("PAYMENT FROM",C65)),ISNUMBER(SEARCH("JOE SAUNDERS",C65))),"Zelle from Joe Saunders",IF(AND(ISNUMBER(SEARCH("PAYMENT TO",C65)),ISNUMBER(SEARCH("JOE SAUNDERS",C65))),"Zelle to Joe Saunders",IF(OR(ISNUMBER(SEARCH("NEW ORLEANS",C65)),ISNUMBER(SEARCH("KENNER",C65)),ISNUMBER(SEARCH("HENRY HOWARD",C65)),ISNUMBER(SEARCH("MISS CLAUDIA",C65))),"Personal Travel - New Orleans",IFERROR(INDEX('Category Rules'!$B$2:$B$194,MATCH(TRUE,ISNUMBER(SEARCH('Category Rules'!$A$2:$A$194,C65)),0)),"")))))))</f>
        <v>Zelle from Joe Saunders</v>
      </c>
    </row>
    <row r="66" spans="1:7" x14ac:dyDescent="0.25">
      <c r="A66" t="s">
        <v>37</v>
      </c>
      <c r="B66" s="1">
        <v>46203</v>
      </c>
      <c r="C66" t="s">
        <v>70</v>
      </c>
      <c r="D66">
        <v>5000</v>
      </c>
      <c r="E66" t="s">
        <v>39</v>
      </c>
      <c r="F66">
        <v>6859.21</v>
      </c>
      <c r="G66" t="str" cm="1">
        <f t="array" ref="G66">IF(AND(ISNUMBER(SEARCH("UBER",C66)),ISNUMBER(SEARCH("EATS",C66))),"Uber Eats",IF(LEFT(C66,6)="CHECK ","Checks Paid",IF(OR(E66="BILLPAY",ISNUMBER(SEARCH("FRANCHISE TAX",C66)),ISNUMBER(SEARCH("NEXTLINK",C66))),"Personal - House Bills",IF(AND(ISNUMBER(SEARCH("PAYMENT FROM",C66)),ISNUMBER(SEARCH("JOE SAUNDERS",C66))),"Zelle from Joe Saunders",IF(AND(ISNUMBER(SEARCH("PAYMENT TO",C66)),ISNUMBER(SEARCH("JOE SAUNDERS",C66))),"Zelle to Joe Saunders",IF(OR(ISNUMBER(SEARCH("NEW ORLEANS",C66)),ISNUMBER(SEARCH("KENNER",C66)),ISNUMBER(SEARCH("HENRY HOWARD",C66)),ISNUMBER(SEARCH("MISS CLAUDIA",C66))),"Personal Travel - New Orleans",IFERROR(INDEX('Category Rules'!$B$2:$B$194,MATCH(TRUE,ISNUMBER(SEARCH('Category Rules'!$A$2:$A$194,C66)),0)),"")))))))</f>
        <v>Transfer from DWG Capital Group</v>
      </c>
    </row>
    <row r="67" spans="1:7" x14ac:dyDescent="0.25">
      <c r="A67" t="s">
        <v>6</v>
      </c>
      <c r="B67" s="1">
        <v>46202</v>
      </c>
      <c r="C67" t="s">
        <v>71</v>
      </c>
      <c r="D67">
        <v>-6.86</v>
      </c>
      <c r="E67" t="s">
        <v>72</v>
      </c>
      <c r="F67">
        <v>1859.21</v>
      </c>
      <c r="G67" t="str" cm="1">
        <f t="array" ref="G67">IF(AND(ISNUMBER(SEARCH("UBER",C67)),ISNUMBER(SEARCH("EATS",C67))),"Uber Eats",IF(LEFT(C67,6)="CHECK ","Checks Paid",IF(OR(E67="BILLPAY",ISNUMBER(SEARCH("FRANCHISE TAX",C67)),ISNUMBER(SEARCH("NEXTLINK",C67))),"Personal - House Bills",IF(AND(ISNUMBER(SEARCH("PAYMENT FROM",C67)),ISNUMBER(SEARCH("JOE SAUNDERS",C67))),"Zelle from Joe Saunders",IF(AND(ISNUMBER(SEARCH("PAYMENT TO",C67)),ISNUMBER(SEARCH("JOE SAUNDERS",C67))),"Zelle to Joe Saunders",IF(OR(ISNUMBER(SEARCH("NEW ORLEANS",C67)),ISNUMBER(SEARCH("KENNER",C67)),ISNUMBER(SEARCH("HENRY HOWARD",C67)),ISNUMBER(SEARCH("MISS CLAUDIA",C67))),"Personal Travel - New Orleans",IFERROR(INDEX('Category Rules'!$B$2:$B$194,MATCH(TRUE,ISNUMBER(SEARCH('Category Rules'!$A$2:$A$194,C67)),0)),"")))))))</f>
        <v>Personal Travel - Portugal</v>
      </c>
    </row>
    <row r="68" spans="1:7" x14ac:dyDescent="0.25">
      <c r="A68" t="s">
        <v>6</v>
      </c>
      <c r="B68" s="1">
        <v>46202</v>
      </c>
      <c r="C68" t="s">
        <v>73</v>
      </c>
      <c r="D68">
        <v>-56.84</v>
      </c>
      <c r="E68" t="s">
        <v>14</v>
      </c>
      <c r="F68">
        <v>1866.07</v>
      </c>
      <c r="G68" t="str" cm="1">
        <f t="array" ref="G68">IF(AND(ISNUMBER(SEARCH("UBER",C68)),ISNUMBER(SEARCH("EATS",C68))),"Uber Eats",IF(LEFT(C68,6)="CHECK ","Checks Paid",IF(OR(E68="BILLPAY",ISNUMBER(SEARCH("FRANCHISE TAX",C68)),ISNUMBER(SEARCH("NEXTLINK",C68))),"Personal - House Bills",IF(AND(ISNUMBER(SEARCH("PAYMENT FROM",C68)),ISNUMBER(SEARCH("JOE SAUNDERS",C68))),"Zelle from Joe Saunders",IF(AND(ISNUMBER(SEARCH("PAYMENT TO",C68)),ISNUMBER(SEARCH("JOE SAUNDERS",C68))),"Zelle to Joe Saunders",IF(OR(ISNUMBER(SEARCH("NEW ORLEANS",C68)),ISNUMBER(SEARCH("KENNER",C68)),ISNUMBER(SEARCH("HENRY HOWARD",C68)),ISNUMBER(SEARCH("MISS CLAUDIA",C68))),"Personal Travel - New Orleans",IFERROR(INDEX('Category Rules'!$B$2:$B$194,MATCH(TRUE,ISNUMBER(SEARCH('Category Rules'!$A$2:$A$194,C68)),0)),"")))))))</f>
        <v>Amazon</v>
      </c>
    </row>
    <row r="69" spans="1:7" x14ac:dyDescent="0.25">
      <c r="A69" t="s">
        <v>6</v>
      </c>
      <c r="B69" s="1">
        <v>46202</v>
      </c>
      <c r="C69" t="s">
        <v>74</v>
      </c>
      <c r="D69">
        <v>-27.44</v>
      </c>
      <c r="E69" t="s">
        <v>14</v>
      </c>
      <c r="F69">
        <v>1922.91</v>
      </c>
      <c r="G69" t="str" cm="1">
        <f t="array" ref="G69">IF(AND(ISNUMBER(SEARCH("UBER",C69)),ISNUMBER(SEARCH("EATS",C69))),"Uber Eats",IF(LEFT(C69,6)="CHECK ","Checks Paid",IF(OR(E69="BILLPAY",ISNUMBER(SEARCH("FRANCHISE TAX",C69)),ISNUMBER(SEARCH("NEXTLINK",C69))),"Personal - House Bills",IF(AND(ISNUMBER(SEARCH("PAYMENT FROM",C69)),ISNUMBER(SEARCH("JOE SAUNDERS",C69))),"Zelle from Joe Saunders",IF(AND(ISNUMBER(SEARCH("PAYMENT TO",C69)),ISNUMBER(SEARCH("JOE SAUNDERS",C69))),"Zelle to Joe Saunders",IF(OR(ISNUMBER(SEARCH("NEW ORLEANS",C69)),ISNUMBER(SEARCH("KENNER",C69)),ISNUMBER(SEARCH("HENRY HOWARD",C69)),ISNUMBER(SEARCH("MISS CLAUDIA",C69))),"Personal Travel - New Orleans",IFERROR(INDEX('Category Rules'!$B$2:$B$194,MATCH(TRUE,ISNUMBER(SEARCH('Category Rules'!$A$2:$A$194,C69)),0)),"")))))))</f>
        <v>Amazon</v>
      </c>
    </row>
    <row r="70" spans="1:7" x14ac:dyDescent="0.25">
      <c r="A70" t="s">
        <v>6</v>
      </c>
      <c r="B70" s="1">
        <v>46202</v>
      </c>
      <c r="C70" t="s">
        <v>75</v>
      </c>
      <c r="D70">
        <v>-52.65</v>
      </c>
      <c r="E70" t="s">
        <v>14</v>
      </c>
      <c r="F70">
        <v>1950.35</v>
      </c>
      <c r="G70" t="str" cm="1">
        <f t="array" ref="G70">IF(AND(ISNUMBER(SEARCH("UBER",C70)),ISNUMBER(SEARCH("EATS",C70))),"Uber Eats",IF(LEFT(C70,6)="CHECK ","Checks Paid",IF(OR(E70="BILLPAY",ISNUMBER(SEARCH("FRANCHISE TAX",C70)),ISNUMBER(SEARCH("NEXTLINK",C70))),"Personal - House Bills",IF(AND(ISNUMBER(SEARCH("PAYMENT FROM",C70)),ISNUMBER(SEARCH("JOE SAUNDERS",C70))),"Zelle from Joe Saunders",IF(AND(ISNUMBER(SEARCH("PAYMENT TO",C70)),ISNUMBER(SEARCH("JOE SAUNDERS",C70))),"Zelle to Joe Saunders",IF(OR(ISNUMBER(SEARCH("NEW ORLEANS",C70)),ISNUMBER(SEARCH("KENNER",C70)),ISNUMBER(SEARCH("HENRY HOWARD",C70)),ISNUMBER(SEARCH("MISS CLAUDIA",C70))),"Personal Travel - New Orleans",IFERROR(INDEX('Category Rules'!$B$2:$B$194,MATCH(TRUE,ISNUMBER(SEARCH('Category Rules'!$A$2:$A$194,C70)),0)),"")))))))</f>
        <v>Amazon</v>
      </c>
    </row>
    <row r="71" spans="1:7" x14ac:dyDescent="0.25">
      <c r="A71" t="s">
        <v>6</v>
      </c>
      <c r="B71" s="1">
        <v>46202</v>
      </c>
      <c r="C71" t="s">
        <v>76</v>
      </c>
      <c r="D71">
        <v>-5.99</v>
      </c>
      <c r="E71" t="s">
        <v>14</v>
      </c>
      <c r="F71">
        <v>2003</v>
      </c>
      <c r="G71" t="str" cm="1">
        <f t="array" ref="G71">IF(AND(ISNUMBER(SEARCH("UBER",C71)),ISNUMBER(SEARCH("EATS",C71))),"Uber Eats",IF(LEFT(C71,6)="CHECK ","Checks Paid",IF(OR(E71="BILLPAY",ISNUMBER(SEARCH("FRANCHISE TAX",C71)),ISNUMBER(SEARCH("NEXTLINK",C71))),"Personal - House Bills",IF(AND(ISNUMBER(SEARCH("PAYMENT FROM",C71)),ISNUMBER(SEARCH("JOE SAUNDERS",C71))),"Zelle from Joe Saunders",IF(AND(ISNUMBER(SEARCH("PAYMENT TO",C71)),ISNUMBER(SEARCH("JOE SAUNDERS",C71))),"Zelle to Joe Saunders",IF(OR(ISNUMBER(SEARCH("NEW ORLEANS",C71)),ISNUMBER(SEARCH("KENNER",C71)),ISNUMBER(SEARCH("HENRY HOWARD",C71)),ISNUMBER(SEARCH("MISS CLAUDIA",C71))),"Personal Travel - New Orleans",IFERROR(INDEX('Category Rules'!$B$2:$B$194,MATCH(TRUE,ISNUMBER(SEARCH('Category Rules'!$A$2:$A$194,C71)),0)),"")))))))</f>
        <v>Apple</v>
      </c>
    </row>
    <row r="72" spans="1:7" x14ac:dyDescent="0.25">
      <c r="A72" t="s">
        <v>6</v>
      </c>
      <c r="B72" s="1">
        <v>46202</v>
      </c>
      <c r="C72" t="s">
        <v>77</v>
      </c>
      <c r="D72">
        <v>-5.49</v>
      </c>
      <c r="E72" t="s">
        <v>14</v>
      </c>
      <c r="F72">
        <v>2008.99</v>
      </c>
      <c r="G72" t="str" cm="1">
        <f t="array" ref="G72">IF(AND(ISNUMBER(SEARCH("UBER",C72)),ISNUMBER(SEARCH("EATS",C72))),"Uber Eats",IF(LEFT(C72,6)="CHECK ","Checks Paid",IF(OR(E72="BILLPAY",ISNUMBER(SEARCH("FRANCHISE TAX",C72)),ISNUMBER(SEARCH("NEXTLINK",C72))),"Personal - House Bills",IF(AND(ISNUMBER(SEARCH("PAYMENT FROM",C72)),ISNUMBER(SEARCH("JOE SAUNDERS",C72))),"Zelle from Joe Saunders",IF(AND(ISNUMBER(SEARCH("PAYMENT TO",C72)),ISNUMBER(SEARCH("JOE SAUNDERS",C72))),"Zelle to Joe Saunders",IF(OR(ISNUMBER(SEARCH("NEW ORLEANS",C72)),ISNUMBER(SEARCH("KENNER",C72)),ISNUMBER(SEARCH("HENRY HOWARD",C72)),ISNUMBER(SEARCH("MISS CLAUDIA",C72))),"Personal Travel - New Orleans",IFERROR(INDEX('Category Rules'!$B$2:$B$194,MATCH(TRUE,ISNUMBER(SEARCH('Category Rules'!$A$2:$A$194,C72)),0)),"")))))))</f>
        <v>Personal - Health</v>
      </c>
    </row>
    <row r="73" spans="1:7" x14ac:dyDescent="0.25">
      <c r="A73" t="s">
        <v>6</v>
      </c>
      <c r="B73" s="1">
        <v>46202</v>
      </c>
      <c r="C73" t="s">
        <v>78</v>
      </c>
      <c r="D73">
        <v>-8.99</v>
      </c>
      <c r="E73" t="s">
        <v>14</v>
      </c>
      <c r="F73">
        <v>2014.48</v>
      </c>
      <c r="G73" t="str" cm="1">
        <f t="array" ref="G73">IF(AND(ISNUMBER(SEARCH("UBER",C73)),ISNUMBER(SEARCH("EATS",C73))),"Uber Eats",IF(LEFT(C73,6)="CHECK ","Checks Paid",IF(OR(E73="BILLPAY",ISNUMBER(SEARCH("FRANCHISE TAX",C73)),ISNUMBER(SEARCH("NEXTLINK",C73))),"Personal - House Bills",IF(AND(ISNUMBER(SEARCH("PAYMENT FROM",C73)),ISNUMBER(SEARCH("JOE SAUNDERS",C73))),"Zelle from Joe Saunders",IF(AND(ISNUMBER(SEARCH("PAYMENT TO",C73)),ISNUMBER(SEARCH("JOE SAUNDERS",C73))),"Zelle to Joe Saunders",IF(OR(ISNUMBER(SEARCH("NEW ORLEANS",C73)),ISNUMBER(SEARCH("KENNER",C73)),ISNUMBER(SEARCH("HENRY HOWARD",C73)),ISNUMBER(SEARCH("MISS CLAUDIA",C73))),"Personal Travel - New Orleans",IFERROR(INDEX('Category Rules'!$B$2:$B$194,MATCH(TRUE,ISNUMBER(SEARCH('Category Rules'!$A$2:$A$194,C73)),0)),"")))))))</f>
        <v>Personal - Entertainment</v>
      </c>
    </row>
    <row r="74" spans="1:7" x14ac:dyDescent="0.25">
      <c r="A74" t="s">
        <v>6</v>
      </c>
      <c r="B74" s="1">
        <v>46202</v>
      </c>
      <c r="C74" t="s">
        <v>79</v>
      </c>
      <c r="D74">
        <v>-45.29</v>
      </c>
      <c r="E74" t="s">
        <v>14</v>
      </c>
      <c r="F74">
        <v>2023.47</v>
      </c>
      <c r="G74" t="str" cm="1">
        <f t="array" ref="G74">IF(AND(ISNUMBER(SEARCH("UBER",C74)),ISNUMBER(SEARCH("EATS",C74))),"Uber Eats",IF(LEFT(C74,6)="CHECK ","Checks Paid",IF(OR(E74="BILLPAY",ISNUMBER(SEARCH("FRANCHISE TAX",C74)),ISNUMBER(SEARCH("NEXTLINK",C74))),"Personal - House Bills",IF(AND(ISNUMBER(SEARCH("PAYMENT FROM",C74)),ISNUMBER(SEARCH("JOE SAUNDERS",C74))),"Zelle from Joe Saunders",IF(AND(ISNUMBER(SEARCH("PAYMENT TO",C74)),ISNUMBER(SEARCH("JOE SAUNDERS",C74))),"Zelle to Joe Saunders",IF(OR(ISNUMBER(SEARCH("NEW ORLEANS",C74)),ISNUMBER(SEARCH("KENNER",C74)),ISNUMBER(SEARCH("HENRY HOWARD",C74)),ISNUMBER(SEARCH("MISS CLAUDIA",C74))),"Personal Travel - New Orleans",IFERROR(INDEX('Category Rules'!$B$2:$B$194,MATCH(TRUE,ISNUMBER(SEARCH('Category Rules'!$A$2:$A$194,C74)),0)),"")))))))</f>
        <v>Uber Eats</v>
      </c>
    </row>
    <row r="75" spans="1:7" x14ac:dyDescent="0.25">
      <c r="A75" t="s">
        <v>6</v>
      </c>
      <c r="B75" s="1">
        <v>46202</v>
      </c>
      <c r="C75" t="s">
        <v>80</v>
      </c>
      <c r="D75">
        <v>-530.24</v>
      </c>
      <c r="E75" t="s">
        <v>14</v>
      </c>
      <c r="F75">
        <v>2068.7600000000002</v>
      </c>
      <c r="G75" t="str" cm="1">
        <f t="array" ref="G75">IF(AND(ISNUMBER(SEARCH("UBER",C75)),ISNUMBER(SEARCH("EATS",C75))),"Uber Eats",IF(LEFT(C75,6)="CHECK ","Checks Paid",IF(OR(E75="BILLPAY",ISNUMBER(SEARCH("FRANCHISE TAX",C75)),ISNUMBER(SEARCH("NEXTLINK",C75))),"Personal - House Bills",IF(AND(ISNUMBER(SEARCH("PAYMENT FROM",C75)),ISNUMBER(SEARCH("JOE SAUNDERS",C75))),"Zelle from Joe Saunders",IF(AND(ISNUMBER(SEARCH("PAYMENT TO",C75)),ISNUMBER(SEARCH("JOE SAUNDERS",C75))),"Zelle to Joe Saunders",IF(OR(ISNUMBER(SEARCH("NEW ORLEANS",C75)),ISNUMBER(SEARCH("KENNER",C75)),ISNUMBER(SEARCH("HENRY HOWARD",C75)),ISNUMBER(SEARCH("MISS CLAUDIA",C75))),"Personal Travel - New Orleans",IFERROR(INDEX('Category Rules'!$B$2:$B$194,MATCH(TRUE,ISNUMBER(SEARCH('Category Rules'!$A$2:$A$194,C75)),0)),"")))))))</f>
        <v>Amazon</v>
      </c>
    </row>
    <row r="76" spans="1:7" x14ac:dyDescent="0.25">
      <c r="A76" t="s">
        <v>6</v>
      </c>
      <c r="B76" s="1">
        <v>46202</v>
      </c>
      <c r="C76" t="s">
        <v>81</v>
      </c>
      <c r="D76">
        <v>-174.7</v>
      </c>
      <c r="E76" t="s">
        <v>14</v>
      </c>
      <c r="F76">
        <v>2599</v>
      </c>
      <c r="G76" t="str" cm="1">
        <f t="array" ref="G76">IF(AND(ISNUMBER(SEARCH("UBER",C76)),ISNUMBER(SEARCH("EATS",C76))),"Uber Eats",IF(LEFT(C76,6)="CHECK ","Checks Paid",IF(OR(E76="BILLPAY",ISNUMBER(SEARCH("FRANCHISE TAX",C76)),ISNUMBER(SEARCH("NEXTLINK",C76))),"Personal - House Bills",IF(AND(ISNUMBER(SEARCH("PAYMENT FROM",C76)),ISNUMBER(SEARCH("JOE SAUNDERS",C76))),"Zelle from Joe Saunders",IF(AND(ISNUMBER(SEARCH("PAYMENT TO",C76)),ISNUMBER(SEARCH("JOE SAUNDERS",C76))),"Zelle to Joe Saunders",IF(OR(ISNUMBER(SEARCH("NEW ORLEANS",C76)),ISNUMBER(SEARCH("KENNER",C76)),ISNUMBER(SEARCH("HENRY HOWARD",C76)),ISNUMBER(SEARCH("MISS CLAUDIA",C76))),"Personal Travel - New Orleans",IFERROR(INDEX('Category Rules'!$B$2:$B$194,MATCH(TRUE,ISNUMBER(SEARCH('Category Rules'!$A$2:$A$194,C76)),0)),"")))))))</f>
        <v>Etsy</v>
      </c>
    </row>
    <row r="77" spans="1:7" x14ac:dyDescent="0.25">
      <c r="A77" t="s">
        <v>6</v>
      </c>
      <c r="B77" s="1">
        <v>46202</v>
      </c>
      <c r="C77" t="s">
        <v>82</v>
      </c>
      <c r="D77">
        <v>-28.44</v>
      </c>
      <c r="E77" t="s">
        <v>14</v>
      </c>
      <c r="F77">
        <v>2773.7</v>
      </c>
      <c r="G77" t="str" cm="1">
        <f t="array" ref="G77">IF(AND(ISNUMBER(SEARCH("UBER",C77)),ISNUMBER(SEARCH("EATS",C77))),"Uber Eats",IF(LEFT(C77,6)="CHECK ","Checks Paid",IF(OR(E77="BILLPAY",ISNUMBER(SEARCH("FRANCHISE TAX",C77)),ISNUMBER(SEARCH("NEXTLINK",C77))),"Personal - House Bills",IF(AND(ISNUMBER(SEARCH("PAYMENT FROM",C77)),ISNUMBER(SEARCH("JOE SAUNDERS",C77))),"Zelle from Joe Saunders",IF(AND(ISNUMBER(SEARCH("PAYMENT TO",C77)),ISNUMBER(SEARCH("JOE SAUNDERS",C77))),"Zelle to Joe Saunders",IF(OR(ISNUMBER(SEARCH("NEW ORLEANS",C77)),ISNUMBER(SEARCH("KENNER",C77)),ISNUMBER(SEARCH("HENRY HOWARD",C77)),ISNUMBER(SEARCH("MISS CLAUDIA",C77))),"Personal Travel - New Orleans",IFERROR(INDEX('Category Rules'!$B$2:$B$194,MATCH(TRUE,ISNUMBER(SEARCH('Category Rules'!$A$2:$A$194,C77)),0)),"")))))))</f>
        <v>Poshmark</v>
      </c>
    </row>
    <row r="78" spans="1:7" x14ac:dyDescent="0.25">
      <c r="A78" t="s">
        <v>6</v>
      </c>
      <c r="B78" s="1">
        <v>46202</v>
      </c>
      <c r="C78" t="s">
        <v>82</v>
      </c>
      <c r="D78">
        <v>-26.25</v>
      </c>
      <c r="E78" t="s">
        <v>14</v>
      </c>
      <c r="F78">
        <v>2802.14</v>
      </c>
      <c r="G78" t="str" cm="1">
        <f t="array" ref="G78">IF(AND(ISNUMBER(SEARCH("UBER",C78)),ISNUMBER(SEARCH("EATS",C78))),"Uber Eats",IF(LEFT(C78,6)="CHECK ","Checks Paid",IF(OR(E78="BILLPAY",ISNUMBER(SEARCH("FRANCHISE TAX",C78)),ISNUMBER(SEARCH("NEXTLINK",C78))),"Personal - House Bills",IF(AND(ISNUMBER(SEARCH("PAYMENT FROM",C78)),ISNUMBER(SEARCH("JOE SAUNDERS",C78))),"Zelle from Joe Saunders",IF(AND(ISNUMBER(SEARCH("PAYMENT TO",C78)),ISNUMBER(SEARCH("JOE SAUNDERS",C78))),"Zelle to Joe Saunders",IF(OR(ISNUMBER(SEARCH("NEW ORLEANS",C78)),ISNUMBER(SEARCH("KENNER",C78)),ISNUMBER(SEARCH("HENRY HOWARD",C78)),ISNUMBER(SEARCH("MISS CLAUDIA",C78))),"Personal Travel - New Orleans",IFERROR(INDEX('Category Rules'!$B$2:$B$194,MATCH(TRUE,ISNUMBER(SEARCH('Category Rules'!$A$2:$A$194,C78)),0)),"")))))))</f>
        <v>Poshmark</v>
      </c>
    </row>
    <row r="79" spans="1:7" x14ac:dyDescent="0.25">
      <c r="A79" t="s">
        <v>6</v>
      </c>
      <c r="B79" s="1">
        <v>46202</v>
      </c>
      <c r="C79" t="s">
        <v>82</v>
      </c>
      <c r="D79">
        <v>-72.34</v>
      </c>
      <c r="E79" t="s">
        <v>14</v>
      </c>
      <c r="F79">
        <v>2828.39</v>
      </c>
      <c r="G79" t="str" cm="1">
        <f t="array" ref="G79">IF(AND(ISNUMBER(SEARCH("UBER",C79)),ISNUMBER(SEARCH("EATS",C79))),"Uber Eats",IF(LEFT(C79,6)="CHECK ","Checks Paid",IF(OR(E79="BILLPAY",ISNUMBER(SEARCH("FRANCHISE TAX",C79)),ISNUMBER(SEARCH("NEXTLINK",C79))),"Personal - House Bills",IF(AND(ISNUMBER(SEARCH("PAYMENT FROM",C79)),ISNUMBER(SEARCH("JOE SAUNDERS",C79))),"Zelle from Joe Saunders",IF(AND(ISNUMBER(SEARCH("PAYMENT TO",C79)),ISNUMBER(SEARCH("JOE SAUNDERS",C79))),"Zelle to Joe Saunders",IF(OR(ISNUMBER(SEARCH("NEW ORLEANS",C79)),ISNUMBER(SEARCH("KENNER",C79)),ISNUMBER(SEARCH("HENRY HOWARD",C79)),ISNUMBER(SEARCH("MISS CLAUDIA",C79))),"Personal Travel - New Orleans",IFERROR(INDEX('Category Rules'!$B$2:$B$194,MATCH(TRUE,ISNUMBER(SEARCH('Category Rules'!$A$2:$A$194,C79)),0)),"")))))))</f>
        <v>Poshmark</v>
      </c>
    </row>
    <row r="80" spans="1:7" x14ac:dyDescent="0.25">
      <c r="A80" t="s">
        <v>6</v>
      </c>
      <c r="B80" s="1">
        <v>46202</v>
      </c>
      <c r="C80" t="s">
        <v>83</v>
      </c>
      <c r="D80">
        <v>-271.48</v>
      </c>
      <c r="E80" t="s">
        <v>14</v>
      </c>
      <c r="F80">
        <v>2900.73</v>
      </c>
      <c r="G80" t="str" cm="1">
        <f t="array" ref="G80">IF(AND(ISNUMBER(SEARCH("UBER",C80)),ISNUMBER(SEARCH("EATS",C80))),"Uber Eats",IF(LEFT(C80,6)="CHECK ","Checks Paid",IF(OR(E80="BILLPAY",ISNUMBER(SEARCH("FRANCHISE TAX",C80)),ISNUMBER(SEARCH("NEXTLINK",C80))),"Personal - House Bills",IF(AND(ISNUMBER(SEARCH("PAYMENT FROM",C80)),ISNUMBER(SEARCH("JOE SAUNDERS",C80))),"Zelle from Joe Saunders",IF(AND(ISNUMBER(SEARCH("PAYMENT TO",C80)),ISNUMBER(SEARCH("JOE SAUNDERS",C80))),"Zelle to Joe Saunders",IF(OR(ISNUMBER(SEARCH("NEW ORLEANS",C80)),ISNUMBER(SEARCH("KENNER",C80)),ISNUMBER(SEARCH("HENRY HOWARD",C80)),ISNUMBER(SEARCH("MISS CLAUDIA",C80))),"Personal Travel - New Orleans",IFERROR(INDEX('Category Rules'!$B$2:$B$194,MATCH(TRUE,ISNUMBER(SEARCH('Category Rules'!$A$2:$A$194,C80)),0)),"")))))))</f>
        <v>Personal - Health</v>
      </c>
    </row>
    <row r="81" spans="1:7" x14ac:dyDescent="0.25">
      <c r="A81" t="s">
        <v>6</v>
      </c>
      <c r="B81" s="1">
        <v>46202</v>
      </c>
      <c r="C81" t="s">
        <v>84</v>
      </c>
      <c r="D81">
        <v>-228.88</v>
      </c>
      <c r="E81" t="s">
        <v>14</v>
      </c>
      <c r="F81">
        <v>3172.21</v>
      </c>
      <c r="G81" t="str" cm="1">
        <f t="array" ref="G81">IF(AND(ISNUMBER(SEARCH("UBER",C81)),ISNUMBER(SEARCH("EATS",C81))),"Uber Eats",IF(LEFT(C81,6)="CHECK ","Checks Paid",IF(OR(E81="BILLPAY",ISNUMBER(SEARCH("FRANCHISE TAX",C81)),ISNUMBER(SEARCH("NEXTLINK",C81))),"Personal - House Bills",IF(AND(ISNUMBER(SEARCH("PAYMENT FROM",C81)),ISNUMBER(SEARCH("JOE SAUNDERS",C81))),"Zelle from Joe Saunders",IF(AND(ISNUMBER(SEARCH("PAYMENT TO",C81)),ISNUMBER(SEARCH("JOE SAUNDERS",C81))),"Zelle to Joe Saunders",IF(OR(ISNUMBER(SEARCH("NEW ORLEANS",C81)),ISNUMBER(SEARCH("KENNER",C81)),ISNUMBER(SEARCH("HENRY HOWARD",C81)),ISNUMBER(SEARCH("MISS CLAUDIA",C81))),"Personal Travel - New Orleans",IFERROR(INDEX('Category Rules'!$B$2:$B$194,MATCH(TRUE,ISNUMBER(SEARCH('Category Rules'!$A$2:$A$194,C81)),0)),"")))))))</f>
        <v>Personal Travel</v>
      </c>
    </row>
    <row r="82" spans="1:7" x14ac:dyDescent="0.25">
      <c r="A82" t="s">
        <v>6</v>
      </c>
      <c r="B82" s="1">
        <v>46202</v>
      </c>
      <c r="C82" t="s">
        <v>85</v>
      </c>
      <c r="D82">
        <v>-5.99</v>
      </c>
      <c r="E82" t="s">
        <v>14</v>
      </c>
      <c r="F82">
        <v>3401.09</v>
      </c>
      <c r="G82" t="str" cm="1">
        <f t="array" ref="G82">IF(AND(ISNUMBER(SEARCH("UBER",C82)),ISNUMBER(SEARCH("EATS",C82))),"Uber Eats",IF(LEFT(C82,6)="CHECK ","Checks Paid",IF(OR(E82="BILLPAY",ISNUMBER(SEARCH("FRANCHISE TAX",C82)),ISNUMBER(SEARCH("NEXTLINK",C82))),"Personal - House Bills",IF(AND(ISNUMBER(SEARCH("PAYMENT FROM",C82)),ISNUMBER(SEARCH("JOE SAUNDERS",C82))),"Zelle from Joe Saunders",IF(AND(ISNUMBER(SEARCH("PAYMENT TO",C82)),ISNUMBER(SEARCH("JOE SAUNDERS",C82))),"Zelle to Joe Saunders",IF(OR(ISNUMBER(SEARCH("NEW ORLEANS",C82)),ISNUMBER(SEARCH("KENNER",C82)),ISNUMBER(SEARCH("HENRY HOWARD",C82)),ISNUMBER(SEARCH("MISS CLAUDIA",C82))),"Personal Travel - New Orleans",IFERROR(INDEX('Category Rules'!$B$2:$B$194,MATCH(TRUE,ISNUMBER(SEARCH('Category Rules'!$A$2:$A$194,C82)),0)),"")))))))</f>
        <v>Personal - Subscription</v>
      </c>
    </row>
    <row r="83" spans="1:7" x14ac:dyDescent="0.25">
      <c r="A83" t="s">
        <v>6</v>
      </c>
      <c r="B83" s="1">
        <v>46202</v>
      </c>
      <c r="C83" t="s">
        <v>86</v>
      </c>
      <c r="D83">
        <v>-260.18</v>
      </c>
      <c r="E83" t="s">
        <v>14</v>
      </c>
      <c r="F83">
        <v>3407.08</v>
      </c>
      <c r="G83" t="str" cm="1">
        <f t="array" ref="G83">IF(AND(ISNUMBER(SEARCH("UBER",C83)),ISNUMBER(SEARCH("EATS",C83))),"Uber Eats",IF(LEFT(C83,6)="CHECK ","Checks Paid",IF(OR(E83="BILLPAY",ISNUMBER(SEARCH("FRANCHISE TAX",C83)),ISNUMBER(SEARCH("NEXTLINK",C83))),"Personal - House Bills",IF(AND(ISNUMBER(SEARCH("PAYMENT FROM",C83)),ISNUMBER(SEARCH("JOE SAUNDERS",C83))),"Zelle from Joe Saunders",IF(AND(ISNUMBER(SEARCH("PAYMENT TO",C83)),ISNUMBER(SEARCH("JOE SAUNDERS",C83))),"Zelle to Joe Saunders",IF(OR(ISNUMBER(SEARCH("NEW ORLEANS",C83)),ISNUMBER(SEARCH("KENNER",C83)),ISNUMBER(SEARCH("HENRY HOWARD",C83)),ISNUMBER(SEARCH("MISS CLAUDIA",C83))),"Personal Travel - New Orleans",IFERROR(INDEX('Category Rules'!$B$2:$B$194,MATCH(TRUE,ISNUMBER(SEARCH('Category Rules'!$A$2:$A$194,C83)),0)),"")))))))</f>
        <v>Personal - Car</v>
      </c>
    </row>
    <row r="84" spans="1:7" x14ac:dyDescent="0.25">
      <c r="A84" t="s">
        <v>6</v>
      </c>
      <c r="B84" s="1">
        <v>46202</v>
      </c>
      <c r="C84" t="s">
        <v>87</v>
      </c>
      <c r="D84">
        <v>-6.99</v>
      </c>
      <c r="E84" t="s">
        <v>14</v>
      </c>
      <c r="F84">
        <v>3667.26</v>
      </c>
      <c r="G84" t="str" cm="1">
        <f t="array" ref="G84">IF(AND(ISNUMBER(SEARCH("UBER",C84)),ISNUMBER(SEARCH("EATS",C84))),"Uber Eats",IF(LEFT(C84,6)="CHECK ","Checks Paid",IF(OR(E84="BILLPAY",ISNUMBER(SEARCH("FRANCHISE TAX",C84)),ISNUMBER(SEARCH("NEXTLINK",C84))),"Personal - House Bills",IF(AND(ISNUMBER(SEARCH("PAYMENT FROM",C84)),ISNUMBER(SEARCH("JOE SAUNDERS",C84))),"Zelle from Joe Saunders",IF(AND(ISNUMBER(SEARCH("PAYMENT TO",C84)),ISNUMBER(SEARCH("JOE SAUNDERS",C84))),"Zelle to Joe Saunders",IF(OR(ISNUMBER(SEARCH("NEW ORLEANS",C84)),ISNUMBER(SEARCH("KENNER",C84)),ISNUMBER(SEARCH("HENRY HOWARD",C84)),ISNUMBER(SEARCH("MISS CLAUDIA",C84))),"Personal Travel - New Orleans",IFERROR(INDEX('Category Rules'!$B$2:$B$194,MATCH(TRUE,ISNUMBER(SEARCH('Category Rules'!$A$2:$A$194,C84)),0)),"")))))))</f>
        <v>Amazon</v>
      </c>
    </row>
    <row r="85" spans="1:7" x14ac:dyDescent="0.25">
      <c r="A85" t="s">
        <v>6</v>
      </c>
      <c r="B85" s="1">
        <v>46202</v>
      </c>
      <c r="C85" t="s">
        <v>88</v>
      </c>
      <c r="D85">
        <v>-93.84</v>
      </c>
      <c r="E85" t="s">
        <v>14</v>
      </c>
      <c r="F85">
        <v>3674.25</v>
      </c>
      <c r="G85" t="str" cm="1">
        <f t="array" ref="G85">IF(AND(ISNUMBER(SEARCH("UBER",C85)),ISNUMBER(SEARCH("EATS",C85))),"Uber Eats",IF(LEFT(C85,6)="CHECK ","Checks Paid",IF(OR(E85="BILLPAY",ISNUMBER(SEARCH("FRANCHISE TAX",C85)),ISNUMBER(SEARCH("NEXTLINK",C85))),"Personal - House Bills",IF(AND(ISNUMBER(SEARCH("PAYMENT FROM",C85)),ISNUMBER(SEARCH("JOE SAUNDERS",C85))),"Zelle from Joe Saunders",IF(AND(ISNUMBER(SEARCH("PAYMENT TO",C85)),ISNUMBER(SEARCH("JOE SAUNDERS",C85))),"Zelle to Joe Saunders",IF(OR(ISNUMBER(SEARCH("NEW ORLEANS",C85)),ISNUMBER(SEARCH("KENNER",C85)),ISNUMBER(SEARCH("HENRY HOWARD",C85)),ISNUMBER(SEARCH("MISS CLAUDIA",C85))),"Personal Travel - New Orleans",IFERROR(INDEX('Category Rules'!$B$2:$B$194,MATCH(TRUE,ISNUMBER(SEARCH('Category Rules'!$A$2:$A$194,C85)),0)),"")))))))</f>
        <v>Amazon</v>
      </c>
    </row>
    <row r="86" spans="1:7" x14ac:dyDescent="0.25">
      <c r="A86" t="s">
        <v>6</v>
      </c>
      <c r="B86" s="1">
        <v>46202</v>
      </c>
      <c r="C86" t="s">
        <v>89</v>
      </c>
      <c r="D86">
        <v>-36.21</v>
      </c>
      <c r="E86" t="s">
        <v>14</v>
      </c>
      <c r="F86">
        <v>3768.09</v>
      </c>
      <c r="G86" t="str" cm="1">
        <f t="array" ref="G86">IF(AND(ISNUMBER(SEARCH("UBER",C86)),ISNUMBER(SEARCH("EATS",C86))),"Uber Eats",IF(LEFT(C86,6)="CHECK ","Checks Paid",IF(OR(E86="BILLPAY",ISNUMBER(SEARCH("FRANCHISE TAX",C86)),ISNUMBER(SEARCH("NEXTLINK",C86))),"Personal - House Bills",IF(AND(ISNUMBER(SEARCH("PAYMENT FROM",C86)),ISNUMBER(SEARCH("JOE SAUNDERS",C86))),"Zelle from Joe Saunders",IF(AND(ISNUMBER(SEARCH("PAYMENT TO",C86)),ISNUMBER(SEARCH("JOE SAUNDERS",C86))),"Zelle to Joe Saunders",IF(OR(ISNUMBER(SEARCH("NEW ORLEANS",C86)),ISNUMBER(SEARCH("KENNER",C86)),ISNUMBER(SEARCH("HENRY HOWARD",C86)),ISNUMBER(SEARCH("MISS CLAUDIA",C86))),"Personal Travel - New Orleans",IFERROR(INDEX('Category Rules'!$B$2:$B$194,MATCH(TRUE,ISNUMBER(SEARCH('Category Rules'!$A$2:$A$194,C86)),0)),"")))))))</f>
        <v>Amazon</v>
      </c>
    </row>
    <row r="87" spans="1:7" x14ac:dyDescent="0.25">
      <c r="A87" t="s">
        <v>6</v>
      </c>
      <c r="B87" s="1">
        <v>46202</v>
      </c>
      <c r="C87" t="s">
        <v>90</v>
      </c>
      <c r="D87">
        <v>-101</v>
      </c>
      <c r="E87" t="s">
        <v>14</v>
      </c>
      <c r="F87">
        <v>3804.3</v>
      </c>
      <c r="G87" t="str" cm="1">
        <f t="array" ref="G87">IF(AND(ISNUMBER(SEARCH("UBER",C87)),ISNUMBER(SEARCH("EATS",C87))),"Uber Eats",IF(LEFT(C87,6)="CHECK ","Checks Paid",IF(OR(E87="BILLPAY",ISNUMBER(SEARCH("FRANCHISE TAX",C87)),ISNUMBER(SEARCH("NEXTLINK",C87))),"Personal - House Bills",IF(AND(ISNUMBER(SEARCH("PAYMENT FROM",C87)),ISNUMBER(SEARCH("JOE SAUNDERS",C87))),"Zelle from Joe Saunders",IF(AND(ISNUMBER(SEARCH("PAYMENT TO",C87)),ISNUMBER(SEARCH("JOE SAUNDERS",C87))),"Zelle to Joe Saunders",IF(OR(ISNUMBER(SEARCH("NEW ORLEANS",C87)),ISNUMBER(SEARCH("KENNER",C87)),ISNUMBER(SEARCH("HENRY HOWARD",C87)),ISNUMBER(SEARCH("MISS CLAUDIA",C87))),"Personal Travel - New Orleans",IFERROR(INDEX('Category Rules'!$B$2:$B$194,MATCH(TRUE,ISNUMBER(SEARCH('Category Rules'!$A$2:$A$194,C87)),0)),"")))))))</f>
        <v>Apple</v>
      </c>
    </row>
    <row r="88" spans="1:7" x14ac:dyDescent="0.25">
      <c r="A88" t="s">
        <v>6</v>
      </c>
      <c r="B88" s="1">
        <v>46202</v>
      </c>
      <c r="C88" t="s">
        <v>91</v>
      </c>
      <c r="D88">
        <v>-30.34</v>
      </c>
      <c r="E88" t="s">
        <v>14</v>
      </c>
      <c r="F88">
        <v>3905.3</v>
      </c>
      <c r="G88" t="str" cm="1">
        <f t="array" ref="G88">IF(AND(ISNUMBER(SEARCH("UBER",C88)),ISNUMBER(SEARCH("EATS",C88))),"Uber Eats",IF(LEFT(C88,6)="CHECK ","Checks Paid",IF(OR(E88="BILLPAY",ISNUMBER(SEARCH("FRANCHISE TAX",C88)),ISNUMBER(SEARCH("NEXTLINK",C88))),"Personal - House Bills",IF(AND(ISNUMBER(SEARCH("PAYMENT FROM",C88)),ISNUMBER(SEARCH("JOE SAUNDERS",C88))),"Zelle from Joe Saunders",IF(AND(ISNUMBER(SEARCH("PAYMENT TO",C88)),ISNUMBER(SEARCH("JOE SAUNDERS",C88))),"Zelle to Joe Saunders",IF(OR(ISNUMBER(SEARCH("NEW ORLEANS",C88)),ISNUMBER(SEARCH("KENNER",C88)),ISNUMBER(SEARCH("HENRY HOWARD",C88)),ISNUMBER(SEARCH("MISS CLAUDIA",C88))),"Personal Travel - New Orleans",IFERROR(INDEX('Category Rules'!$B$2:$B$194,MATCH(TRUE,ISNUMBER(SEARCH('Category Rules'!$A$2:$A$194,C88)),0)),"")))))))</f>
        <v>Personal Travel</v>
      </c>
    </row>
    <row r="89" spans="1:7" x14ac:dyDescent="0.25">
      <c r="A89" t="s">
        <v>6</v>
      </c>
      <c r="B89" s="1">
        <v>46202</v>
      </c>
      <c r="C89" t="s">
        <v>91</v>
      </c>
      <c r="D89">
        <v>-30.34</v>
      </c>
      <c r="E89" t="s">
        <v>14</v>
      </c>
      <c r="F89">
        <v>3935.64</v>
      </c>
      <c r="G89" t="str" cm="1">
        <f t="array" ref="G89">IF(AND(ISNUMBER(SEARCH("UBER",C89)),ISNUMBER(SEARCH("EATS",C89))),"Uber Eats",IF(LEFT(C89,6)="CHECK ","Checks Paid",IF(OR(E89="BILLPAY",ISNUMBER(SEARCH("FRANCHISE TAX",C89)),ISNUMBER(SEARCH("NEXTLINK",C89))),"Personal - House Bills",IF(AND(ISNUMBER(SEARCH("PAYMENT FROM",C89)),ISNUMBER(SEARCH("JOE SAUNDERS",C89))),"Zelle from Joe Saunders",IF(AND(ISNUMBER(SEARCH("PAYMENT TO",C89)),ISNUMBER(SEARCH("JOE SAUNDERS",C89))),"Zelle to Joe Saunders",IF(OR(ISNUMBER(SEARCH("NEW ORLEANS",C89)),ISNUMBER(SEARCH("KENNER",C89)),ISNUMBER(SEARCH("HENRY HOWARD",C89)),ISNUMBER(SEARCH("MISS CLAUDIA",C89))),"Personal Travel - New Orleans",IFERROR(INDEX('Category Rules'!$B$2:$B$194,MATCH(TRUE,ISNUMBER(SEARCH('Category Rules'!$A$2:$A$194,C89)),0)),"")))))))</f>
        <v>Personal Travel</v>
      </c>
    </row>
    <row r="90" spans="1:7" x14ac:dyDescent="0.25">
      <c r="A90" t="s">
        <v>6</v>
      </c>
      <c r="B90" s="1">
        <v>46202</v>
      </c>
      <c r="C90" t="s">
        <v>92</v>
      </c>
      <c r="D90">
        <v>-274.39999999999998</v>
      </c>
      <c r="E90" t="s">
        <v>14</v>
      </c>
      <c r="F90">
        <v>3965.98</v>
      </c>
      <c r="G90" t="str" cm="1">
        <f t="array" ref="G90">IF(AND(ISNUMBER(SEARCH("UBER",C90)),ISNUMBER(SEARCH("EATS",C90))),"Uber Eats",IF(LEFT(C90,6)="CHECK ","Checks Paid",IF(OR(E90="BILLPAY",ISNUMBER(SEARCH("FRANCHISE TAX",C90)),ISNUMBER(SEARCH("NEXTLINK",C90))),"Personal - House Bills",IF(AND(ISNUMBER(SEARCH("PAYMENT FROM",C90)),ISNUMBER(SEARCH("JOE SAUNDERS",C90))),"Zelle from Joe Saunders",IF(AND(ISNUMBER(SEARCH("PAYMENT TO",C90)),ISNUMBER(SEARCH("JOE SAUNDERS",C90))),"Zelle to Joe Saunders",IF(OR(ISNUMBER(SEARCH("NEW ORLEANS",C90)),ISNUMBER(SEARCH("KENNER",C90)),ISNUMBER(SEARCH("HENRY HOWARD",C90)),ISNUMBER(SEARCH("MISS CLAUDIA",C90))),"Personal Travel - New Orleans",IFERROR(INDEX('Category Rules'!$B$2:$B$194,MATCH(TRUE,ISNUMBER(SEARCH('Category Rules'!$A$2:$A$194,C90)),0)),"")))))))</f>
        <v>Personal Travel</v>
      </c>
    </row>
    <row r="91" spans="1:7" x14ac:dyDescent="0.25">
      <c r="A91" t="s">
        <v>6</v>
      </c>
      <c r="B91" s="1">
        <v>46202</v>
      </c>
      <c r="C91" t="s">
        <v>92</v>
      </c>
      <c r="D91">
        <v>-274.39999999999998</v>
      </c>
      <c r="E91" t="s">
        <v>14</v>
      </c>
      <c r="F91">
        <v>4240.38</v>
      </c>
      <c r="G91" t="str" cm="1">
        <f t="array" ref="G91">IF(AND(ISNUMBER(SEARCH("UBER",C91)),ISNUMBER(SEARCH("EATS",C91))),"Uber Eats",IF(LEFT(C91,6)="CHECK ","Checks Paid",IF(OR(E91="BILLPAY",ISNUMBER(SEARCH("FRANCHISE TAX",C91)),ISNUMBER(SEARCH("NEXTLINK",C91))),"Personal - House Bills",IF(AND(ISNUMBER(SEARCH("PAYMENT FROM",C91)),ISNUMBER(SEARCH("JOE SAUNDERS",C91))),"Zelle from Joe Saunders",IF(AND(ISNUMBER(SEARCH("PAYMENT TO",C91)),ISNUMBER(SEARCH("JOE SAUNDERS",C91))),"Zelle to Joe Saunders",IF(OR(ISNUMBER(SEARCH("NEW ORLEANS",C91)),ISNUMBER(SEARCH("KENNER",C91)),ISNUMBER(SEARCH("HENRY HOWARD",C91)),ISNUMBER(SEARCH("MISS CLAUDIA",C91))),"Personal Travel - New Orleans",IFERROR(INDEX('Category Rules'!$B$2:$B$194,MATCH(TRUE,ISNUMBER(SEARCH('Category Rules'!$A$2:$A$194,C91)),0)),"")))))))</f>
        <v>Personal Travel</v>
      </c>
    </row>
    <row r="92" spans="1:7" x14ac:dyDescent="0.25">
      <c r="A92" t="s">
        <v>37</v>
      </c>
      <c r="B92" s="1">
        <v>46202</v>
      </c>
      <c r="C92" t="s">
        <v>93</v>
      </c>
      <c r="D92">
        <v>75</v>
      </c>
      <c r="E92" t="s">
        <v>60</v>
      </c>
      <c r="F92">
        <v>4514.78</v>
      </c>
      <c r="G92" t="str" cm="1">
        <f t="array" ref="G92">IF(AND(ISNUMBER(SEARCH("UBER",C92)),ISNUMBER(SEARCH("EATS",C92))),"Uber Eats",IF(LEFT(C92,6)="CHECK ","Checks Paid",IF(OR(E92="BILLPAY",ISNUMBER(SEARCH("FRANCHISE TAX",C92)),ISNUMBER(SEARCH("NEXTLINK",C92))),"Personal - House Bills",IF(AND(ISNUMBER(SEARCH("PAYMENT FROM",C92)),ISNUMBER(SEARCH("JOE SAUNDERS",C92))),"Zelle from Joe Saunders",IF(AND(ISNUMBER(SEARCH("PAYMENT TO",C92)),ISNUMBER(SEARCH("JOE SAUNDERS",C92))),"Zelle to Joe Saunders",IF(OR(ISNUMBER(SEARCH("NEW ORLEANS",C92)),ISNUMBER(SEARCH("KENNER",C92)),ISNUMBER(SEARCH("HENRY HOWARD",C92)),ISNUMBER(SEARCH("MISS CLAUDIA",C92))),"Personal Travel - New Orleans",IFERROR(INDEX('Category Rules'!$B$2:$B$194,MATCH(TRUE,ISNUMBER(SEARCH('Category Rules'!$A$2:$A$194,C92)),0)),"")))))))</f>
        <v>Zelle from Mary Margaret Trahan</v>
      </c>
    </row>
    <row r="93" spans="1:7" x14ac:dyDescent="0.25">
      <c r="A93" t="s">
        <v>6</v>
      </c>
      <c r="B93" s="1">
        <v>46199</v>
      </c>
      <c r="C93" t="s">
        <v>94</v>
      </c>
      <c r="D93">
        <v>-120</v>
      </c>
      <c r="E93" t="s">
        <v>95</v>
      </c>
      <c r="F93">
        <v>4439.78</v>
      </c>
      <c r="G93" t="str" cm="1">
        <f t="array" ref="G93">IF(AND(ISNUMBER(SEARCH("UBER",C93)),ISNUMBER(SEARCH("EATS",C93))),"Uber Eats",IF(LEFT(C93,6)="CHECK ","Checks Paid",IF(OR(E93="BILLPAY",ISNUMBER(SEARCH("FRANCHISE TAX",C93)),ISNUMBER(SEARCH("NEXTLINK",C93))),"Personal - House Bills",IF(AND(ISNUMBER(SEARCH("PAYMENT FROM",C93)),ISNUMBER(SEARCH("JOE SAUNDERS",C93))),"Zelle from Joe Saunders",IF(AND(ISNUMBER(SEARCH("PAYMENT TO",C93)),ISNUMBER(SEARCH("JOE SAUNDERS",C93))),"Zelle to Joe Saunders",IF(OR(ISNUMBER(SEARCH("NEW ORLEANS",C93)),ISNUMBER(SEARCH("KENNER",C93)),ISNUMBER(SEARCH("HENRY HOWARD",C93)),ISNUMBER(SEARCH("MISS CLAUDIA",C93))),"Personal Travel - New Orleans",IFERROR(INDEX('Category Rules'!$B$2:$B$194,MATCH(TRUE,ISNUMBER(SEARCH('Category Rules'!$A$2:$A$194,C93)),0)),"")))))))</f>
        <v>Personal - House Bills</v>
      </c>
    </row>
    <row r="94" spans="1:7" x14ac:dyDescent="0.25">
      <c r="A94" t="s">
        <v>6</v>
      </c>
      <c r="B94" s="1">
        <v>46199</v>
      </c>
      <c r="C94" t="s">
        <v>96</v>
      </c>
      <c r="D94">
        <v>-200</v>
      </c>
      <c r="E94" t="s">
        <v>95</v>
      </c>
      <c r="F94">
        <v>4559.78</v>
      </c>
      <c r="G94" t="str" cm="1">
        <f t="array" ref="G94">IF(AND(ISNUMBER(SEARCH("UBER",C94)),ISNUMBER(SEARCH("EATS",C94))),"Uber Eats",IF(LEFT(C94,6)="CHECK ","Checks Paid",IF(OR(E94="BILLPAY",ISNUMBER(SEARCH("FRANCHISE TAX",C94)),ISNUMBER(SEARCH("NEXTLINK",C94))),"Personal - House Bills",IF(AND(ISNUMBER(SEARCH("PAYMENT FROM",C94)),ISNUMBER(SEARCH("JOE SAUNDERS",C94))),"Zelle from Joe Saunders",IF(AND(ISNUMBER(SEARCH("PAYMENT TO",C94)),ISNUMBER(SEARCH("JOE SAUNDERS",C94))),"Zelle to Joe Saunders",IF(OR(ISNUMBER(SEARCH("NEW ORLEANS",C94)),ISNUMBER(SEARCH("KENNER",C94)),ISNUMBER(SEARCH("HENRY HOWARD",C94)),ISNUMBER(SEARCH("MISS CLAUDIA",C94))),"Personal Travel - New Orleans",IFERROR(INDEX('Category Rules'!$B$2:$B$194,MATCH(TRUE,ISNUMBER(SEARCH('Category Rules'!$A$2:$A$194,C94)),0)),"")))))))</f>
        <v>Personal - House Bills</v>
      </c>
    </row>
    <row r="95" spans="1:7" x14ac:dyDescent="0.25">
      <c r="A95" t="s">
        <v>6</v>
      </c>
      <c r="B95" s="1">
        <v>46199</v>
      </c>
      <c r="C95" t="s">
        <v>97</v>
      </c>
      <c r="D95">
        <v>-1800</v>
      </c>
      <c r="E95" t="s">
        <v>95</v>
      </c>
      <c r="F95">
        <v>4759.78</v>
      </c>
      <c r="G95" t="str" cm="1">
        <f t="array" ref="G95">IF(AND(ISNUMBER(SEARCH("UBER",C95)),ISNUMBER(SEARCH("EATS",C95))),"Uber Eats",IF(LEFT(C95,6)="CHECK ","Checks Paid",IF(OR(E95="BILLPAY",ISNUMBER(SEARCH("FRANCHISE TAX",C95)),ISNUMBER(SEARCH("NEXTLINK",C95))),"Personal - House Bills",IF(AND(ISNUMBER(SEARCH("PAYMENT FROM",C95)),ISNUMBER(SEARCH("JOE SAUNDERS",C95))),"Zelle from Joe Saunders",IF(AND(ISNUMBER(SEARCH("PAYMENT TO",C95)),ISNUMBER(SEARCH("JOE SAUNDERS",C95))),"Zelle to Joe Saunders",IF(OR(ISNUMBER(SEARCH("NEW ORLEANS",C95)),ISNUMBER(SEARCH("KENNER",C95)),ISNUMBER(SEARCH("HENRY HOWARD",C95)),ISNUMBER(SEARCH("MISS CLAUDIA",C95))),"Personal Travel - New Orleans",IFERROR(INDEX('Category Rules'!$B$2:$B$194,MATCH(TRUE,ISNUMBER(SEARCH('Category Rules'!$A$2:$A$194,C95)),0)),"")))))))</f>
        <v>Personal - House Bills</v>
      </c>
    </row>
    <row r="96" spans="1:7" x14ac:dyDescent="0.25">
      <c r="A96" t="s">
        <v>6</v>
      </c>
      <c r="B96" s="1">
        <v>46199</v>
      </c>
      <c r="C96" t="s">
        <v>98</v>
      </c>
      <c r="D96">
        <v>-360</v>
      </c>
      <c r="E96" t="s">
        <v>95</v>
      </c>
      <c r="F96">
        <v>6559.78</v>
      </c>
      <c r="G96" t="str" cm="1">
        <f t="array" ref="G96">IF(AND(ISNUMBER(SEARCH("UBER",C96)),ISNUMBER(SEARCH("EATS",C96))),"Uber Eats",IF(LEFT(C96,6)="CHECK ","Checks Paid",IF(OR(E96="BILLPAY",ISNUMBER(SEARCH("FRANCHISE TAX",C96)),ISNUMBER(SEARCH("NEXTLINK",C96))),"Personal - House Bills",IF(AND(ISNUMBER(SEARCH("PAYMENT FROM",C96)),ISNUMBER(SEARCH("JOE SAUNDERS",C96))),"Zelle from Joe Saunders",IF(AND(ISNUMBER(SEARCH("PAYMENT TO",C96)),ISNUMBER(SEARCH("JOE SAUNDERS",C96))),"Zelle to Joe Saunders",IF(OR(ISNUMBER(SEARCH("NEW ORLEANS",C96)),ISNUMBER(SEARCH("KENNER",C96)),ISNUMBER(SEARCH("HENRY HOWARD",C96)),ISNUMBER(SEARCH("MISS CLAUDIA",C96))),"Personal Travel - New Orleans",IFERROR(INDEX('Category Rules'!$B$2:$B$194,MATCH(TRUE,ISNUMBER(SEARCH('Category Rules'!$A$2:$A$194,C96)),0)),"")))))))</f>
        <v>Personal - House Bills</v>
      </c>
    </row>
    <row r="97" spans="1:7" x14ac:dyDescent="0.25">
      <c r="A97" t="s">
        <v>6</v>
      </c>
      <c r="B97" s="1">
        <v>46199</v>
      </c>
      <c r="C97" t="s">
        <v>99</v>
      </c>
      <c r="D97">
        <v>-600</v>
      </c>
      <c r="E97" t="s">
        <v>95</v>
      </c>
      <c r="F97">
        <v>6919.78</v>
      </c>
      <c r="G97" t="str" cm="1">
        <f t="array" ref="G97">IF(AND(ISNUMBER(SEARCH("UBER",C97)),ISNUMBER(SEARCH("EATS",C97))),"Uber Eats",IF(LEFT(C97,6)="CHECK ","Checks Paid",IF(OR(E97="BILLPAY",ISNUMBER(SEARCH("FRANCHISE TAX",C97)),ISNUMBER(SEARCH("NEXTLINK",C97))),"Personal - House Bills",IF(AND(ISNUMBER(SEARCH("PAYMENT FROM",C97)),ISNUMBER(SEARCH("JOE SAUNDERS",C97))),"Zelle from Joe Saunders",IF(AND(ISNUMBER(SEARCH("PAYMENT TO",C97)),ISNUMBER(SEARCH("JOE SAUNDERS",C97))),"Zelle to Joe Saunders",IF(OR(ISNUMBER(SEARCH("NEW ORLEANS",C97)),ISNUMBER(SEARCH("KENNER",C97)),ISNUMBER(SEARCH("HENRY HOWARD",C97)),ISNUMBER(SEARCH("MISS CLAUDIA",C97))),"Personal Travel - New Orleans",IFERROR(INDEX('Category Rules'!$B$2:$B$194,MATCH(TRUE,ISNUMBER(SEARCH('Category Rules'!$A$2:$A$194,C97)),0)),"")))))))</f>
        <v>Personal - House Bills</v>
      </c>
    </row>
    <row r="98" spans="1:7" x14ac:dyDescent="0.25">
      <c r="A98" t="s">
        <v>6</v>
      </c>
      <c r="B98" s="1">
        <v>46199</v>
      </c>
      <c r="C98" t="s">
        <v>100</v>
      </c>
      <c r="D98">
        <v>-1000</v>
      </c>
      <c r="E98" t="s">
        <v>39</v>
      </c>
      <c r="F98">
        <v>7519.78</v>
      </c>
      <c r="G98" t="str" cm="1">
        <f t="array" ref="G98">IF(AND(ISNUMBER(SEARCH("UBER",C98)),ISNUMBER(SEARCH("EATS",C98))),"Uber Eats",IF(LEFT(C98,6)="CHECK ","Checks Paid",IF(OR(E98="BILLPAY",ISNUMBER(SEARCH("FRANCHISE TAX",C98)),ISNUMBER(SEARCH("NEXTLINK",C98))),"Personal - House Bills",IF(AND(ISNUMBER(SEARCH("PAYMENT FROM",C98)),ISNUMBER(SEARCH("JOE SAUNDERS",C98))),"Zelle from Joe Saunders",IF(AND(ISNUMBER(SEARCH("PAYMENT TO",C98)),ISNUMBER(SEARCH("JOE SAUNDERS",C98))),"Zelle to Joe Saunders",IF(OR(ISNUMBER(SEARCH("NEW ORLEANS",C98)),ISNUMBER(SEARCH("KENNER",C98)),ISNUMBER(SEARCH("HENRY HOWARD",C98)),ISNUMBER(SEARCH("MISS CLAUDIA",C98))),"Personal Travel - New Orleans",IFERROR(INDEX('Category Rules'!$B$2:$B$194,MATCH(TRUE,ISNUMBER(SEARCH('Category Rules'!$A$2:$A$194,C98)),0)),"")))))))</f>
        <v>Transfer to Ava</v>
      </c>
    </row>
    <row r="99" spans="1:7" x14ac:dyDescent="0.25">
      <c r="A99" t="s">
        <v>6</v>
      </c>
      <c r="B99" s="1">
        <v>46199</v>
      </c>
      <c r="C99" t="s">
        <v>101</v>
      </c>
      <c r="D99">
        <v>-40.71</v>
      </c>
      <c r="E99" t="s">
        <v>14</v>
      </c>
      <c r="F99">
        <v>8519.7800000000007</v>
      </c>
      <c r="G99" t="str" cm="1">
        <f t="array" ref="G99">IF(AND(ISNUMBER(SEARCH("UBER",C99)),ISNUMBER(SEARCH("EATS",C99))),"Uber Eats",IF(LEFT(C99,6)="CHECK ","Checks Paid",IF(OR(E99="BILLPAY",ISNUMBER(SEARCH("FRANCHISE TAX",C99)),ISNUMBER(SEARCH("NEXTLINK",C99))),"Personal - House Bills",IF(AND(ISNUMBER(SEARCH("PAYMENT FROM",C99)),ISNUMBER(SEARCH("JOE SAUNDERS",C99))),"Zelle from Joe Saunders",IF(AND(ISNUMBER(SEARCH("PAYMENT TO",C99)),ISNUMBER(SEARCH("JOE SAUNDERS",C99))),"Zelle to Joe Saunders",IF(OR(ISNUMBER(SEARCH("NEW ORLEANS",C99)),ISNUMBER(SEARCH("KENNER",C99)),ISNUMBER(SEARCH("HENRY HOWARD",C99)),ISNUMBER(SEARCH("MISS CLAUDIA",C99))),"Personal Travel - New Orleans",IFERROR(INDEX('Category Rules'!$B$2:$B$194,MATCH(TRUE,ISNUMBER(SEARCH('Category Rules'!$A$2:$A$194,C99)),0)),"")))))))</f>
        <v>Amazon</v>
      </c>
    </row>
    <row r="100" spans="1:7" x14ac:dyDescent="0.25">
      <c r="A100" t="s">
        <v>6</v>
      </c>
      <c r="B100" s="1">
        <v>46199</v>
      </c>
      <c r="C100" t="s">
        <v>102</v>
      </c>
      <c r="D100">
        <v>-10.43</v>
      </c>
      <c r="E100" t="s">
        <v>14</v>
      </c>
      <c r="F100">
        <v>8560.49</v>
      </c>
      <c r="G100" t="str" cm="1">
        <f t="array" ref="G100">IF(AND(ISNUMBER(SEARCH("UBER",C100)),ISNUMBER(SEARCH("EATS",C100))),"Uber Eats",IF(LEFT(C100,6)="CHECK ","Checks Paid",IF(OR(E100="BILLPAY",ISNUMBER(SEARCH("FRANCHISE TAX",C100)),ISNUMBER(SEARCH("NEXTLINK",C100))),"Personal - House Bills",IF(AND(ISNUMBER(SEARCH("PAYMENT FROM",C100)),ISNUMBER(SEARCH("JOE SAUNDERS",C100))),"Zelle from Joe Saunders",IF(AND(ISNUMBER(SEARCH("PAYMENT TO",C100)),ISNUMBER(SEARCH("JOE SAUNDERS",C100))),"Zelle to Joe Saunders",IF(OR(ISNUMBER(SEARCH("NEW ORLEANS",C100)),ISNUMBER(SEARCH("KENNER",C100)),ISNUMBER(SEARCH("HENRY HOWARD",C100)),ISNUMBER(SEARCH("MISS CLAUDIA",C100))),"Personal Travel - New Orleans",IFERROR(INDEX('Category Rules'!$B$2:$B$194,MATCH(TRUE,ISNUMBER(SEARCH('Category Rules'!$A$2:$A$194,C100)),0)),"")))))))</f>
        <v>Personal Travel</v>
      </c>
    </row>
    <row r="101" spans="1:7" x14ac:dyDescent="0.25">
      <c r="A101" t="s">
        <v>6</v>
      </c>
      <c r="B101" s="1">
        <v>46199</v>
      </c>
      <c r="C101" t="s">
        <v>103</v>
      </c>
      <c r="D101">
        <v>-105</v>
      </c>
      <c r="E101" t="s">
        <v>14</v>
      </c>
      <c r="F101">
        <v>8570.92</v>
      </c>
      <c r="G101" t="str" cm="1">
        <f t="array" ref="G101">IF(AND(ISNUMBER(SEARCH("UBER",C101)),ISNUMBER(SEARCH("EATS",C101))),"Uber Eats",IF(LEFT(C101,6)="CHECK ","Checks Paid",IF(OR(E101="BILLPAY",ISNUMBER(SEARCH("FRANCHISE TAX",C101)),ISNUMBER(SEARCH("NEXTLINK",C101))),"Personal - House Bills",IF(AND(ISNUMBER(SEARCH("PAYMENT FROM",C101)),ISNUMBER(SEARCH("JOE SAUNDERS",C101))),"Zelle from Joe Saunders",IF(AND(ISNUMBER(SEARCH("PAYMENT TO",C101)),ISNUMBER(SEARCH("JOE SAUNDERS",C101))),"Zelle to Joe Saunders",IF(OR(ISNUMBER(SEARCH("NEW ORLEANS",C101)),ISNUMBER(SEARCH("KENNER",C101)),ISNUMBER(SEARCH("HENRY HOWARD",C101)),ISNUMBER(SEARCH("MISS CLAUDIA",C101))),"Personal Travel - New Orleans",IFERROR(INDEX('Category Rules'!$B$2:$B$194,MATCH(TRUE,ISNUMBER(SEARCH('Category Rules'!$A$2:$A$194,C101)),0)),"")))))))</f>
        <v>Personal - Clothing</v>
      </c>
    </row>
    <row r="102" spans="1:7" x14ac:dyDescent="0.25">
      <c r="A102" t="s">
        <v>6</v>
      </c>
      <c r="B102" s="1">
        <v>46199</v>
      </c>
      <c r="C102" t="s">
        <v>104</v>
      </c>
      <c r="D102">
        <v>-23.99</v>
      </c>
      <c r="E102" t="s">
        <v>14</v>
      </c>
      <c r="F102">
        <v>8675.92</v>
      </c>
      <c r="G102" t="str" cm="1">
        <f t="array" ref="G102">IF(AND(ISNUMBER(SEARCH("UBER",C102)),ISNUMBER(SEARCH("EATS",C102))),"Uber Eats",IF(LEFT(C102,6)="CHECK ","Checks Paid",IF(OR(E102="BILLPAY",ISNUMBER(SEARCH("FRANCHISE TAX",C102)),ISNUMBER(SEARCH("NEXTLINK",C102))),"Personal - House Bills",IF(AND(ISNUMBER(SEARCH("PAYMENT FROM",C102)),ISNUMBER(SEARCH("JOE SAUNDERS",C102))),"Zelle from Joe Saunders",IF(AND(ISNUMBER(SEARCH("PAYMENT TO",C102)),ISNUMBER(SEARCH("JOE SAUNDERS",C102))),"Zelle to Joe Saunders",IF(OR(ISNUMBER(SEARCH("NEW ORLEANS",C102)),ISNUMBER(SEARCH("KENNER",C102)),ISNUMBER(SEARCH("HENRY HOWARD",C102)),ISNUMBER(SEARCH("MISS CLAUDIA",C102))),"Personal Travel - New Orleans",IFERROR(INDEX('Category Rules'!$B$2:$B$194,MATCH(TRUE,ISNUMBER(SEARCH('Category Rules'!$A$2:$A$194,C102)),0)),"")))))))</f>
        <v>Amazon</v>
      </c>
    </row>
    <row r="103" spans="1:7" x14ac:dyDescent="0.25">
      <c r="A103" t="s">
        <v>37</v>
      </c>
      <c r="B103" s="1">
        <v>46199</v>
      </c>
      <c r="C103" t="s">
        <v>105</v>
      </c>
      <c r="D103">
        <v>100</v>
      </c>
      <c r="E103" t="s">
        <v>106</v>
      </c>
      <c r="F103">
        <v>8699.91</v>
      </c>
      <c r="G103" t="str" cm="1">
        <f t="array" ref="G103">IF(AND(ISNUMBER(SEARCH("UBER",C103)),ISNUMBER(SEARCH("EATS",C103))),"Uber Eats",IF(LEFT(C103,6)="CHECK ","Checks Paid",IF(OR(E103="BILLPAY",ISNUMBER(SEARCH("FRANCHISE TAX",C103)),ISNUMBER(SEARCH("NEXTLINK",C103))),"Personal - House Bills",IF(AND(ISNUMBER(SEARCH("PAYMENT FROM",C103)),ISNUMBER(SEARCH("JOE SAUNDERS",C103))),"Zelle from Joe Saunders",IF(AND(ISNUMBER(SEARCH("PAYMENT TO",C103)),ISNUMBER(SEARCH("JOE SAUNDERS",C103))),"Zelle to Joe Saunders",IF(OR(ISNUMBER(SEARCH("NEW ORLEANS",C103)),ISNUMBER(SEARCH("KENNER",C103)),ISNUMBER(SEARCH("HENRY HOWARD",C103)),ISNUMBER(SEARCH("MISS CLAUDIA",C103))),"Personal Travel - New Orleans",IFERROR(INDEX('Category Rules'!$B$2:$B$194,MATCH(TRUE,ISNUMBER(SEARCH('Category Rules'!$A$2:$A$194,C103)),0)),"")))))))</f>
        <v>Zelle from Tanya Miller</v>
      </c>
    </row>
    <row r="104" spans="1:7" x14ac:dyDescent="0.25">
      <c r="A104" t="s">
        <v>37</v>
      </c>
      <c r="B104" s="1">
        <v>46199</v>
      </c>
      <c r="C104" t="s">
        <v>107</v>
      </c>
      <c r="D104">
        <v>5000</v>
      </c>
      <c r="E104" t="s">
        <v>39</v>
      </c>
      <c r="F104">
        <v>8599.91</v>
      </c>
      <c r="G104" t="str" cm="1">
        <f t="array" ref="G104">IF(AND(ISNUMBER(SEARCH("UBER",C104)),ISNUMBER(SEARCH("EATS",C104))),"Uber Eats",IF(LEFT(C104,6)="CHECK ","Checks Paid",IF(OR(E104="BILLPAY",ISNUMBER(SEARCH("FRANCHISE TAX",C104)),ISNUMBER(SEARCH("NEXTLINK",C104))),"Personal - House Bills",IF(AND(ISNUMBER(SEARCH("PAYMENT FROM",C104)),ISNUMBER(SEARCH("JOE SAUNDERS",C104))),"Zelle from Joe Saunders",IF(AND(ISNUMBER(SEARCH("PAYMENT TO",C104)),ISNUMBER(SEARCH("JOE SAUNDERS",C104))),"Zelle to Joe Saunders",IF(OR(ISNUMBER(SEARCH("NEW ORLEANS",C104)),ISNUMBER(SEARCH("KENNER",C104)),ISNUMBER(SEARCH("HENRY HOWARD",C104)),ISNUMBER(SEARCH("MISS CLAUDIA",C104))),"Personal Travel - New Orleans",IFERROR(INDEX('Category Rules'!$B$2:$B$194,MATCH(TRUE,ISNUMBER(SEARCH('Category Rules'!$A$2:$A$194,C104)),0)),"")))))))</f>
        <v>Transfer from DWG Capital Group</v>
      </c>
    </row>
    <row r="105" spans="1:7" x14ac:dyDescent="0.25">
      <c r="A105" t="s">
        <v>6</v>
      </c>
      <c r="B105" s="1">
        <v>46198</v>
      </c>
      <c r="C105" t="s">
        <v>108</v>
      </c>
      <c r="D105">
        <v>-500</v>
      </c>
      <c r="E105" t="s">
        <v>48</v>
      </c>
      <c r="F105">
        <v>3599.91</v>
      </c>
      <c r="G105" t="str" cm="1">
        <f t="array" ref="G105">IF(AND(ISNUMBER(SEARCH("UBER",C105)),ISNUMBER(SEARCH("EATS",C105))),"Uber Eats",IF(LEFT(C105,6)="CHECK ","Checks Paid",IF(OR(E105="BILLPAY",ISNUMBER(SEARCH("FRANCHISE TAX",C105)),ISNUMBER(SEARCH("NEXTLINK",C105))),"Personal - House Bills",IF(AND(ISNUMBER(SEARCH("PAYMENT FROM",C105)),ISNUMBER(SEARCH("JOE SAUNDERS",C105))),"Zelle from Joe Saunders",IF(AND(ISNUMBER(SEARCH("PAYMENT TO",C105)),ISNUMBER(SEARCH("JOE SAUNDERS",C105))),"Zelle to Joe Saunders",IF(OR(ISNUMBER(SEARCH("NEW ORLEANS",C105)),ISNUMBER(SEARCH("KENNER",C105)),ISNUMBER(SEARCH("HENRY HOWARD",C105)),ISNUMBER(SEARCH("MISS CLAUDIA",C105))),"Personal Travel - New Orleans",IFERROR(INDEX('Category Rules'!$B$2:$B$194,MATCH(TRUE,ISNUMBER(SEARCH('Category Rules'!$A$2:$A$194,C105)),0)),"")))))))</f>
        <v>Withdrawal</v>
      </c>
    </row>
    <row r="106" spans="1:7" x14ac:dyDescent="0.25">
      <c r="A106" t="s">
        <v>6</v>
      </c>
      <c r="B106" s="1">
        <v>46198</v>
      </c>
      <c r="C106" t="s">
        <v>109</v>
      </c>
      <c r="D106">
        <v>-9.35</v>
      </c>
      <c r="E106" t="s">
        <v>14</v>
      </c>
      <c r="F106">
        <v>4099.91</v>
      </c>
      <c r="G106" t="str" cm="1">
        <f t="array" ref="G106">IF(AND(ISNUMBER(SEARCH("UBER",C106)),ISNUMBER(SEARCH("EATS",C106))),"Uber Eats",IF(LEFT(C106,6)="CHECK ","Checks Paid",IF(OR(E106="BILLPAY",ISNUMBER(SEARCH("FRANCHISE TAX",C106)),ISNUMBER(SEARCH("NEXTLINK",C106))),"Personal - House Bills",IF(AND(ISNUMBER(SEARCH("PAYMENT FROM",C106)),ISNUMBER(SEARCH("JOE SAUNDERS",C106))),"Zelle from Joe Saunders",IF(AND(ISNUMBER(SEARCH("PAYMENT TO",C106)),ISNUMBER(SEARCH("JOE SAUNDERS",C106))),"Zelle to Joe Saunders",IF(OR(ISNUMBER(SEARCH("NEW ORLEANS",C106)),ISNUMBER(SEARCH("KENNER",C106)),ISNUMBER(SEARCH("HENRY HOWARD",C106)),ISNUMBER(SEARCH("MISS CLAUDIA",C106))),"Personal Travel - New Orleans",IFERROR(INDEX('Category Rules'!$B$2:$B$194,MATCH(TRUE,ISNUMBER(SEARCH('Category Rules'!$A$2:$A$194,C106)),0)),"")))))))</f>
        <v>Amazon</v>
      </c>
    </row>
    <row r="107" spans="1:7" x14ac:dyDescent="0.25">
      <c r="A107" t="s">
        <v>6</v>
      </c>
      <c r="B107" s="1">
        <v>46198</v>
      </c>
      <c r="C107" t="s">
        <v>110</v>
      </c>
      <c r="D107">
        <v>-61.9</v>
      </c>
      <c r="E107" t="s">
        <v>14</v>
      </c>
      <c r="F107">
        <v>4109.26</v>
      </c>
      <c r="G107" t="str" cm="1">
        <f t="array" ref="G107">IF(AND(ISNUMBER(SEARCH("UBER",C107)),ISNUMBER(SEARCH("EATS",C107))),"Uber Eats",IF(LEFT(C107,6)="CHECK ","Checks Paid",IF(OR(E107="BILLPAY",ISNUMBER(SEARCH("FRANCHISE TAX",C107)),ISNUMBER(SEARCH("NEXTLINK",C107))),"Personal - House Bills",IF(AND(ISNUMBER(SEARCH("PAYMENT FROM",C107)),ISNUMBER(SEARCH("JOE SAUNDERS",C107))),"Zelle from Joe Saunders",IF(AND(ISNUMBER(SEARCH("PAYMENT TO",C107)),ISNUMBER(SEARCH("JOE SAUNDERS",C107))),"Zelle to Joe Saunders",IF(OR(ISNUMBER(SEARCH("NEW ORLEANS",C107)),ISNUMBER(SEARCH("KENNER",C107)),ISNUMBER(SEARCH("HENRY HOWARD",C107)),ISNUMBER(SEARCH("MISS CLAUDIA",C107))),"Personal Travel - New Orleans",IFERROR(INDEX('Category Rules'!$B$2:$B$194,MATCH(TRUE,ISNUMBER(SEARCH('Category Rules'!$A$2:$A$194,C107)),0)),"")))))))</f>
        <v>Personal - Entertainment</v>
      </c>
    </row>
    <row r="108" spans="1:7" x14ac:dyDescent="0.25">
      <c r="A108" t="s">
        <v>6</v>
      </c>
      <c r="B108" s="1">
        <v>46198</v>
      </c>
      <c r="C108" t="s">
        <v>111</v>
      </c>
      <c r="D108">
        <v>-15</v>
      </c>
      <c r="E108" t="s">
        <v>14</v>
      </c>
      <c r="F108">
        <v>4171.16</v>
      </c>
      <c r="G108" t="str" cm="1">
        <f t="array" ref="G108">IF(AND(ISNUMBER(SEARCH("UBER",C108)),ISNUMBER(SEARCH("EATS",C108))),"Uber Eats",IF(LEFT(C108,6)="CHECK ","Checks Paid",IF(OR(E108="BILLPAY",ISNUMBER(SEARCH("FRANCHISE TAX",C108)),ISNUMBER(SEARCH("NEXTLINK",C108))),"Personal - House Bills",IF(AND(ISNUMBER(SEARCH("PAYMENT FROM",C108)),ISNUMBER(SEARCH("JOE SAUNDERS",C108))),"Zelle from Joe Saunders",IF(AND(ISNUMBER(SEARCH("PAYMENT TO",C108)),ISNUMBER(SEARCH("JOE SAUNDERS",C108))),"Zelle to Joe Saunders",IF(OR(ISNUMBER(SEARCH("NEW ORLEANS",C108)),ISNUMBER(SEARCH("KENNER",C108)),ISNUMBER(SEARCH("HENRY HOWARD",C108)),ISNUMBER(SEARCH("MISS CLAUDIA",C108))),"Personal Travel - New Orleans",IFERROR(INDEX('Category Rules'!$B$2:$B$194,MATCH(TRUE,ISNUMBER(SEARCH('Category Rules'!$A$2:$A$194,C108)),0)),"")))))))</f>
        <v>Personal - Subscription</v>
      </c>
    </row>
    <row r="109" spans="1:7" x14ac:dyDescent="0.25">
      <c r="A109" t="s">
        <v>6</v>
      </c>
      <c r="B109" s="1">
        <v>46198</v>
      </c>
      <c r="C109" t="s">
        <v>112</v>
      </c>
      <c r="D109">
        <v>-16.45</v>
      </c>
      <c r="E109" t="s">
        <v>14</v>
      </c>
      <c r="F109">
        <v>4186.16</v>
      </c>
      <c r="G109" t="str" cm="1">
        <f t="array" ref="G109">IF(AND(ISNUMBER(SEARCH("UBER",C109)),ISNUMBER(SEARCH("EATS",C109))),"Uber Eats",IF(LEFT(C109,6)="CHECK ","Checks Paid",IF(OR(E109="BILLPAY",ISNUMBER(SEARCH("FRANCHISE TAX",C109)),ISNUMBER(SEARCH("NEXTLINK",C109))),"Personal - House Bills",IF(AND(ISNUMBER(SEARCH("PAYMENT FROM",C109)),ISNUMBER(SEARCH("JOE SAUNDERS",C109))),"Zelle from Joe Saunders",IF(AND(ISNUMBER(SEARCH("PAYMENT TO",C109)),ISNUMBER(SEARCH("JOE SAUNDERS",C109))),"Zelle to Joe Saunders",IF(OR(ISNUMBER(SEARCH("NEW ORLEANS",C109)),ISNUMBER(SEARCH("KENNER",C109)),ISNUMBER(SEARCH("HENRY HOWARD",C109)),ISNUMBER(SEARCH("MISS CLAUDIA",C109))),"Personal Travel - New Orleans",IFERROR(INDEX('Category Rules'!$B$2:$B$194,MATCH(TRUE,ISNUMBER(SEARCH('Category Rules'!$A$2:$A$194,C109)),0)),"")))))))</f>
        <v>Amazon</v>
      </c>
    </row>
    <row r="110" spans="1:7" x14ac:dyDescent="0.25">
      <c r="A110" t="s">
        <v>6</v>
      </c>
      <c r="B110" s="1">
        <v>46198</v>
      </c>
      <c r="C110" t="s">
        <v>113</v>
      </c>
      <c r="D110">
        <v>-418.45</v>
      </c>
      <c r="E110" t="s">
        <v>14</v>
      </c>
      <c r="F110">
        <v>4202.6099999999997</v>
      </c>
      <c r="G110" t="str" cm="1">
        <f t="array" ref="G110">IF(AND(ISNUMBER(SEARCH("UBER",C110)),ISNUMBER(SEARCH("EATS",C110))),"Uber Eats",IF(LEFT(C110,6)="CHECK ","Checks Paid",IF(OR(E110="BILLPAY",ISNUMBER(SEARCH("FRANCHISE TAX",C110)),ISNUMBER(SEARCH("NEXTLINK",C110))),"Personal - House Bills",IF(AND(ISNUMBER(SEARCH("PAYMENT FROM",C110)),ISNUMBER(SEARCH("JOE SAUNDERS",C110))),"Zelle from Joe Saunders",IF(AND(ISNUMBER(SEARCH("PAYMENT TO",C110)),ISNUMBER(SEARCH("JOE SAUNDERS",C110))),"Zelle to Joe Saunders",IF(OR(ISNUMBER(SEARCH("NEW ORLEANS",C110)),ISNUMBER(SEARCH("KENNER",C110)),ISNUMBER(SEARCH("HENRY HOWARD",C110)),ISNUMBER(SEARCH("MISS CLAUDIA",C110))),"Personal Travel - New Orleans",IFERROR(INDEX('Category Rules'!$B$2:$B$194,MATCH(TRUE,ISNUMBER(SEARCH('Category Rules'!$A$2:$A$194,C110)),0)),"")))))))</f>
        <v>Personal - Food</v>
      </c>
    </row>
    <row r="111" spans="1:7" x14ac:dyDescent="0.25">
      <c r="A111" t="s">
        <v>6</v>
      </c>
      <c r="B111" s="1">
        <v>46198</v>
      </c>
      <c r="C111" t="s">
        <v>114</v>
      </c>
      <c r="D111">
        <v>-701.38</v>
      </c>
      <c r="E111" t="s">
        <v>14</v>
      </c>
      <c r="F111">
        <v>4621.0600000000004</v>
      </c>
      <c r="G111" t="str" cm="1">
        <f t="array" ref="G111">IF(AND(ISNUMBER(SEARCH("UBER",C111)),ISNUMBER(SEARCH("EATS",C111))),"Uber Eats",IF(LEFT(C111,6)="CHECK ","Checks Paid",IF(OR(E111="BILLPAY",ISNUMBER(SEARCH("FRANCHISE TAX",C111)),ISNUMBER(SEARCH("NEXTLINK",C111))),"Personal - House Bills",IF(AND(ISNUMBER(SEARCH("PAYMENT FROM",C111)),ISNUMBER(SEARCH("JOE SAUNDERS",C111))),"Zelle from Joe Saunders",IF(AND(ISNUMBER(SEARCH("PAYMENT TO",C111)),ISNUMBER(SEARCH("JOE SAUNDERS",C111))),"Zelle to Joe Saunders",IF(OR(ISNUMBER(SEARCH("NEW ORLEANS",C111)),ISNUMBER(SEARCH("KENNER",C111)),ISNUMBER(SEARCH("HENRY HOWARD",C111)),ISNUMBER(SEARCH("MISS CLAUDIA",C111))),"Personal Travel - New Orleans",IFERROR(INDEX('Category Rules'!$B$2:$B$194,MATCH(TRUE,ISNUMBER(SEARCH('Category Rules'!$A$2:$A$194,C111)),0)),"")))))))</f>
        <v>AT&amp;T</v>
      </c>
    </row>
    <row r="112" spans="1:7" x14ac:dyDescent="0.25">
      <c r="A112" t="s">
        <v>6</v>
      </c>
      <c r="B112" s="1">
        <v>46198</v>
      </c>
      <c r="C112" t="s">
        <v>115</v>
      </c>
      <c r="D112">
        <v>-40</v>
      </c>
      <c r="E112" t="s">
        <v>14</v>
      </c>
      <c r="F112">
        <v>5322.44</v>
      </c>
      <c r="G112" t="str" cm="1">
        <f t="array" ref="G112">IF(AND(ISNUMBER(SEARCH("UBER",C112)),ISNUMBER(SEARCH("EATS",C112))),"Uber Eats",IF(LEFT(C112,6)="CHECK ","Checks Paid",IF(OR(E112="BILLPAY",ISNUMBER(SEARCH("FRANCHISE TAX",C112)),ISNUMBER(SEARCH("NEXTLINK",C112))),"Personal - House Bills",IF(AND(ISNUMBER(SEARCH("PAYMENT FROM",C112)),ISNUMBER(SEARCH("JOE SAUNDERS",C112))),"Zelle from Joe Saunders",IF(AND(ISNUMBER(SEARCH("PAYMENT TO",C112)),ISNUMBER(SEARCH("JOE SAUNDERS",C112))),"Zelle to Joe Saunders",IF(OR(ISNUMBER(SEARCH("NEW ORLEANS",C112)),ISNUMBER(SEARCH("KENNER",C112)),ISNUMBER(SEARCH("HENRY HOWARD",C112)),ISNUMBER(SEARCH("MISS CLAUDIA",C112))),"Personal Travel - New Orleans",IFERROR(INDEX('Category Rules'!$B$2:$B$194,MATCH(TRUE,ISNUMBER(SEARCH('Category Rules'!$A$2:$A$194,C112)),0)),"")))))))</f>
        <v>Personal - Car</v>
      </c>
    </row>
    <row r="113" spans="1:7" x14ac:dyDescent="0.25">
      <c r="A113" t="s">
        <v>37</v>
      </c>
      <c r="B113" s="1">
        <v>46198</v>
      </c>
      <c r="C113" t="s">
        <v>116</v>
      </c>
      <c r="D113">
        <v>1575</v>
      </c>
      <c r="E113" t="s">
        <v>117</v>
      </c>
      <c r="F113">
        <v>5362.44</v>
      </c>
      <c r="G113" t="str" cm="1">
        <f t="array" ref="G113">IF(AND(ISNUMBER(SEARCH("UBER",C113)),ISNUMBER(SEARCH("EATS",C113))),"Uber Eats",IF(LEFT(C113,6)="CHECK ","Checks Paid",IF(OR(E113="BILLPAY",ISNUMBER(SEARCH("FRANCHISE TAX",C113)),ISNUMBER(SEARCH("NEXTLINK",C113))),"Personal - House Bills",IF(AND(ISNUMBER(SEARCH("PAYMENT FROM",C113)),ISNUMBER(SEARCH("JOE SAUNDERS",C113))),"Zelle from Joe Saunders",IF(AND(ISNUMBER(SEARCH("PAYMENT TO",C113)),ISNUMBER(SEARCH("JOE SAUNDERS",C113))),"Zelle to Joe Saunders",IF(OR(ISNUMBER(SEARCH("NEW ORLEANS",C113)),ISNUMBER(SEARCH("KENNER",C113)),ISNUMBER(SEARCH("HENRY HOWARD",C113)),ISNUMBER(SEARCH("MISS CLAUDIA",C113))),"Personal Travel - New Orleans",IFERROR(INDEX('Category Rules'!$B$2:$B$194,MATCH(TRUE,ISNUMBER(SEARCH('Category Rules'!$A$2:$A$194,C113)),0)),"")))))))</f>
        <v>Deposit</v>
      </c>
    </row>
    <row r="114" spans="1:7" x14ac:dyDescent="0.25">
      <c r="A114" t="s">
        <v>6</v>
      </c>
      <c r="B114" s="1">
        <v>46197</v>
      </c>
      <c r="C114" t="s">
        <v>118</v>
      </c>
      <c r="D114">
        <v>-42.37</v>
      </c>
      <c r="E114" t="s">
        <v>14</v>
      </c>
      <c r="F114">
        <v>3787.44</v>
      </c>
      <c r="G114" t="str" cm="1">
        <f t="array" ref="G114">IF(AND(ISNUMBER(SEARCH("UBER",C114)),ISNUMBER(SEARCH("EATS",C114))),"Uber Eats",IF(LEFT(C114,6)="CHECK ","Checks Paid",IF(OR(E114="BILLPAY",ISNUMBER(SEARCH("FRANCHISE TAX",C114)),ISNUMBER(SEARCH("NEXTLINK",C114))),"Personal - House Bills",IF(AND(ISNUMBER(SEARCH("PAYMENT FROM",C114)),ISNUMBER(SEARCH("JOE SAUNDERS",C114))),"Zelle from Joe Saunders",IF(AND(ISNUMBER(SEARCH("PAYMENT TO",C114)),ISNUMBER(SEARCH("JOE SAUNDERS",C114))),"Zelle to Joe Saunders",IF(OR(ISNUMBER(SEARCH("NEW ORLEANS",C114)),ISNUMBER(SEARCH("KENNER",C114)),ISNUMBER(SEARCH("HENRY HOWARD",C114)),ISNUMBER(SEARCH("MISS CLAUDIA",C114))),"Personal Travel - New Orleans",IFERROR(INDEX('Category Rules'!$B$2:$B$194,MATCH(TRUE,ISNUMBER(SEARCH('Category Rules'!$A$2:$A$194,C114)),0)),"")))))))</f>
        <v>Uber Eats</v>
      </c>
    </row>
    <row r="115" spans="1:7" x14ac:dyDescent="0.25">
      <c r="A115" t="s">
        <v>6</v>
      </c>
      <c r="B115" s="1">
        <v>46197</v>
      </c>
      <c r="C115" t="s">
        <v>119</v>
      </c>
      <c r="D115">
        <v>-25.39</v>
      </c>
      <c r="E115" t="s">
        <v>14</v>
      </c>
      <c r="F115">
        <v>3829.81</v>
      </c>
      <c r="G115" t="str" cm="1">
        <f t="array" ref="G115">IF(AND(ISNUMBER(SEARCH("UBER",C115)),ISNUMBER(SEARCH("EATS",C115))),"Uber Eats",IF(LEFT(C115,6)="CHECK ","Checks Paid",IF(OR(E115="BILLPAY",ISNUMBER(SEARCH("FRANCHISE TAX",C115)),ISNUMBER(SEARCH("NEXTLINK",C115))),"Personal - House Bills",IF(AND(ISNUMBER(SEARCH("PAYMENT FROM",C115)),ISNUMBER(SEARCH("JOE SAUNDERS",C115))),"Zelle from Joe Saunders",IF(AND(ISNUMBER(SEARCH("PAYMENT TO",C115)),ISNUMBER(SEARCH("JOE SAUNDERS",C115))),"Zelle to Joe Saunders",IF(OR(ISNUMBER(SEARCH("NEW ORLEANS",C115)),ISNUMBER(SEARCH("KENNER",C115)),ISNUMBER(SEARCH("HENRY HOWARD",C115)),ISNUMBER(SEARCH("MISS CLAUDIA",C115))),"Personal Travel - New Orleans",IFERROR(INDEX('Category Rules'!$B$2:$B$194,MATCH(TRUE,ISNUMBER(SEARCH('Category Rules'!$A$2:$A$194,C115)),0)),"")))))))</f>
        <v>Amazon</v>
      </c>
    </row>
    <row r="116" spans="1:7" x14ac:dyDescent="0.25">
      <c r="A116" t="s">
        <v>6</v>
      </c>
      <c r="B116" s="1">
        <v>46197</v>
      </c>
      <c r="C116" t="s">
        <v>120</v>
      </c>
      <c r="D116">
        <v>-10.99</v>
      </c>
      <c r="E116" t="s">
        <v>14</v>
      </c>
      <c r="F116">
        <v>3855.2</v>
      </c>
      <c r="G116" t="str" cm="1">
        <f t="array" ref="G116">IF(AND(ISNUMBER(SEARCH("UBER",C116)),ISNUMBER(SEARCH("EATS",C116))),"Uber Eats",IF(LEFT(C116,6)="CHECK ","Checks Paid",IF(OR(E116="BILLPAY",ISNUMBER(SEARCH("FRANCHISE TAX",C116)),ISNUMBER(SEARCH("NEXTLINK",C116))),"Personal - House Bills",IF(AND(ISNUMBER(SEARCH("PAYMENT FROM",C116)),ISNUMBER(SEARCH("JOE SAUNDERS",C116))),"Zelle from Joe Saunders",IF(AND(ISNUMBER(SEARCH("PAYMENT TO",C116)),ISNUMBER(SEARCH("JOE SAUNDERS",C116))),"Zelle to Joe Saunders",IF(OR(ISNUMBER(SEARCH("NEW ORLEANS",C116)),ISNUMBER(SEARCH("KENNER",C116)),ISNUMBER(SEARCH("HENRY HOWARD",C116)),ISNUMBER(SEARCH("MISS CLAUDIA",C116))),"Personal Travel - New Orleans",IFERROR(INDEX('Category Rules'!$B$2:$B$194,MATCH(TRUE,ISNUMBER(SEARCH('Category Rules'!$A$2:$A$194,C116)),0)),"")))))))</f>
        <v>Apple</v>
      </c>
    </row>
    <row r="117" spans="1:7" x14ac:dyDescent="0.25">
      <c r="A117" t="s">
        <v>6</v>
      </c>
      <c r="B117" s="1">
        <v>46197</v>
      </c>
      <c r="C117" t="s">
        <v>121</v>
      </c>
      <c r="D117">
        <v>-30</v>
      </c>
      <c r="E117" t="s">
        <v>14</v>
      </c>
      <c r="F117">
        <v>3866.19</v>
      </c>
      <c r="G117" t="str" cm="1">
        <f t="array" ref="G117">IF(AND(ISNUMBER(SEARCH("UBER",C117)),ISNUMBER(SEARCH("EATS",C117))),"Uber Eats",IF(LEFT(C117,6)="CHECK ","Checks Paid",IF(OR(E117="BILLPAY",ISNUMBER(SEARCH("FRANCHISE TAX",C117)),ISNUMBER(SEARCH("NEXTLINK",C117))),"Personal - House Bills",IF(AND(ISNUMBER(SEARCH("PAYMENT FROM",C117)),ISNUMBER(SEARCH("JOE SAUNDERS",C117))),"Zelle from Joe Saunders",IF(AND(ISNUMBER(SEARCH("PAYMENT TO",C117)),ISNUMBER(SEARCH("JOE SAUNDERS",C117))),"Zelle to Joe Saunders",IF(OR(ISNUMBER(SEARCH("NEW ORLEANS",C117)),ISNUMBER(SEARCH("KENNER",C117)),ISNUMBER(SEARCH("HENRY HOWARD",C117)),ISNUMBER(SEARCH("MISS CLAUDIA",C117))),"Personal Travel - New Orleans",IFERROR(INDEX('Category Rules'!$B$2:$B$194,MATCH(TRUE,ISNUMBER(SEARCH('Category Rules'!$A$2:$A$194,C117)),0)),"")))))))</f>
        <v>Amazon</v>
      </c>
    </row>
    <row r="118" spans="1:7" x14ac:dyDescent="0.25">
      <c r="A118" t="s">
        <v>6</v>
      </c>
      <c r="B118" s="1">
        <v>46197</v>
      </c>
      <c r="C118" t="s">
        <v>122</v>
      </c>
      <c r="D118">
        <v>-151.41999999999999</v>
      </c>
      <c r="E118" t="s">
        <v>14</v>
      </c>
      <c r="F118">
        <v>3896.19</v>
      </c>
      <c r="G118" t="str" cm="1">
        <f t="array" ref="G118">IF(AND(ISNUMBER(SEARCH("UBER",C118)),ISNUMBER(SEARCH("EATS",C118))),"Uber Eats",IF(LEFT(C118,6)="CHECK ","Checks Paid",IF(OR(E118="BILLPAY",ISNUMBER(SEARCH("FRANCHISE TAX",C118)),ISNUMBER(SEARCH("NEXTLINK",C118))),"Personal - House Bills",IF(AND(ISNUMBER(SEARCH("PAYMENT FROM",C118)),ISNUMBER(SEARCH("JOE SAUNDERS",C118))),"Zelle from Joe Saunders",IF(AND(ISNUMBER(SEARCH("PAYMENT TO",C118)),ISNUMBER(SEARCH("JOE SAUNDERS",C118))),"Zelle to Joe Saunders",IF(OR(ISNUMBER(SEARCH("NEW ORLEANS",C118)),ISNUMBER(SEARCH("KENNER",C118)),ISNUMBER(SEARCH("HENRY HOWARD",C118)),ISNUMBER(SEARCH("MISS CLAUDIA",C118))),"Personal Travel - New Orleans",IFERROR(INDEX('Category Rules'!$B$2:$B$194,MATCH(TRUE,ISNUMBER(SEARCH('Category Rules'!$A$2:$A$194,C118)),0)),"")))))))</f>
        <v>Amazon</v>
      </c>
    </row>
    <row r="119" spans="1:7" x14ac:dyDescent="0.25">
      <c r="A119" t="s">
        <v>37</v>
      </c>
      <c r="B119" s="1">
        <v>46197</v>
      </c>
      <c r="C119" t="s">
        <v>123</v>
      </c>
      <c r="D119">
        <v>4000</v>
      </c>
      <c r="E119" t="s">
        <v>39</v>
      </c>
      <c r="F119">
        <v>4047.61</v>
      </c>
      <c r="G119" t="str" cm="1">
        <f t="array" ref="G119">IF(AND(ISNUMBER(SEARCH("UBER",C119)),ISNUMBER(SEARCH("EATS",C119))),"Uber Eats",IF(LEFT(C119,6)="CHECK ","Checks Paid",IF(OR(E119="BILLPAY",ISNUMBER(SEARCH("FRANCHISE TAX",C119)),ISNUMBER(SEARCH("NEXTLINK",C119))),"Personal - House Bills",IF(AND(ISNUMBER(SEARCH("PAYMENT FROM",C119)),ISNUMBER(SEARCH("JOE SAUNDERS",C119))),"Zelle from Joe Saunders",IF(AND(ISNUMBER(SEARCH("PAYMENT TO",C119)),ISNUMBER(SEARCH("JOE SAUNDERS",C119))),"Zelle to Joe Saunders",IF(OR(ISNUMBER(SEARCH("NEW ORLEANS",C119)),ISNUMBER(SEARCH("KENNER",C119)),ISNUMBER(SEARCH("HENRY HOWARD",C119)),ISNUMBER(SEARCH("MISS CLAUDIA",C119))),"Personal Travel - New Orleans",IFERROR(INDEX('Category Rules'!$B$2:$B$194,MATCH(TRUE,ISNUMBER(SEARCH('Category Rules'!$A$2:$A$194,C119)),0)),"")))))))</f>
        <v>Transfer from DWG Capital Group</v>
      </c>
    </row>
    <row r="120" spans="1:7" x14ac:dyDescent="0.25">
      <c r="A120" t="s">
        <v>6</v>
      </c>
      <c r="B120" s="1">
        <v>46196</v>
      </c>
      <c r="C120" t="s">
        <v>124</v>
      </c>
      <c r="D120">
        <v>-1406.09</v>
      </c>
      <c r="E120" t="s">
        <v>14</v>
      </c>
      <c r="F120">
        <v>47.61</v>
      </c>
      <c r="G120" t="str" cm="1">
        <f t="array" ref="G120">IF(AND(ISNUMBER(SEARCH("UBER",C120)),ISNUMBER(SEARCH("EATS",C120))),"Uber Eats",IF(LEFT(C120,6)="CHECK ","Checks Paid",IF(OR(E120="BILLPAY",ISNUMBER(SEARCH("FRANCHISE TAX",C120)),ISNUMBER(SEARCH("NEXTLINK",C120))),"Personal - House Bills",IF(AND(ISNUMBER(SEARCH("PAYMENT FROM",C120)),ISNUMBER(SEARCH("JOE SAUNDERS",C120))),"Zelle from Joe Saunders",IF(AND(ISNUMBER(SEARCH("PAYMENT TO",C120)),ISNUMBER(SEARCH("JOE SAUNDERS",C120))),"Zelle to Joe Saunders",IF(OR(ISNUMBER(SEARCH("NEW ORLEANS",C120)),ISNUMBER(SEARCH("KENNER",C120)),ISNUMBER(SEARCH("HENRY HOWARD",C120)),ISNUMBER(SEARCH("MISS CLAUDIA",C120))),"Personal Travel - New Orleans",IFERROR(INDEX('Category Rules'!$B$2:$B$194,MATCH(TRUE,ISNUMBER(SEARCH('Category Rules'!$A$2:$A$194,C120)),0)),"")))))))</f>
        <v>Personal Travel</v>
      </c>
    </row>
    <row r="121" spans="1:7" x14ac:dyDescent="0.25">
      <c r="A121" t="s">
        <v>6</v>
      </c>
      <c r="B121" s="1">
        <v>46196</v>
      </c>
      <c r="C121" t="s">
        <v>125</v>
      </c>
      <c r="D121">
        <v>-66.7</v>
      </c>
      <c r="E121" t="s">
        <v>14</v>
      </c>
      <c r="F121">
        <v>1453.7</v>
      </c>
      <c r="G121" t="str" cm="1">
        <f t="array" ref="G121">IF(AND(ISNUMBER(SEARCH("UBER",C121)),ISNUMBER(SEARCH("EATS",C121))),"Uber Eats",IF(LEFT(C121,6)="CHECK ","Checks Paid",IF(OR(E121="BILLPAY",ISNUMBER(SEARCH("FRANCHISE TAX",C121)),ISNUMBER(SEARCH("NEXTLINK",C121))),"Personal - House Bills",IF(AND(ISNUMBER(SEARCH("PAYMENT FROM",C121)),ISNUMBER(SEARCH("JOE SAUNDERS",C121))),"Zelle from Joe Saunders",IF(AND(ISNUMBER(SEARCH("PAYMENT TO",C121)),ISNUMBER(SEARCH("JOE SAUNDERS",C121))),"Zelle to Joe Saunders",IF(OR(ISNUMBER(SEARCH("NEW ORLEANS",C121)),ISNUMBER(SEARCH("KENNER",C121)),ISNUMBER(SEARCH("HENRY HOWARD",C121)),ISNUMBER(SEARCH("MISS CLAUDIA",C121))),"Personal Travel - New Orleans",IFERROR(INDEX('Category Rules'!$B$2:$B$194,MATCH(TRUE,ISNUMBER(SEARCH('Category Rules'!$A$2:$A$194,C121)),0)),"")))))))</f>
        <v>Amazon</v>
      </c>
    </row>
    <row r="122" spans="1:7" x14ac:dyDescent="0.25">
      <c r="A122" t="s">
        <v>6</v>
      </c>
      <c r="B122" s="1">
        <v>46196</v>
      </c>
      <c r="C122" t="s">
        <v>126</v>
      </c>
      <c r="D122">
        <v>-454.81</v>
      </c>
      <c r="E122" t="s">
        <v>14</v>
      </c>
      <c r="F122">
        <v>1520.4</v>
      </c>
      <c r="G122" t="str" cm="1">
        <f t="array" ref="G122">IF(AND(ISNUMBER(SEARCH("UBER",C122)),ISNUMBER(SEARCH("EATS",C122))),"Uber Eats",IF(LEFT(C122,6)="CHECK ","Checks Paid",IF(OR(E122="BILLPAY",ISNUMBER(SEARCH("FRANCHISE TAX",C122)),ISNUMBER(SEARCH("NEXTLINK",C122))),"Personal - House Bills",IF(AND(ISNUMBER(SEARCH("PAYMENT FROM",C122)),ISNUMBER(SEARCH("JOE SAUNDERS",C122))),"Zelle from Joe Saunders",IF(AND(ISNUMBER(SEARCH("PAYMENT TO",C122)),ISNUMBER(SEARCH("JOE SAUNDERS",C122))),"Zelle to Joe Saunders",IF(OR(ISNUMBER(SEARCH("NEW ORLEANS",C122)),ISNUMBER(SEARCH("KENNER",C122)),ISNUMBER(SEARCH("HENRY HOWARD",C122)),ISNUMBER(SEARCH("MISS CLAUDIA",C122))),"Personal Travel - New Orleans",IFERROR(INDEX('Category Rules'!$B$2:$B$194,MATCH(TRUE,ISNUMBER(SEARCH('Category Rules'!$A$2:$A$194,C122)),0)),"")))))))</f>
        <v>Amazon</v>
      </c>
    </row>
    <row r="123" spans="1:7" x14ac:dyDescent="0.25">
      <c r="A123" t="s">
        <v>6</v>
      </c>
      <c r="B123" s="1">
        <v>46196</v>
      </c>
      <c r="C123" t="s">
        <v>127</v>
      </c>
      <c r="D123">
        <v>-159</v>
      </c>
      <c r="E123" t="s">
        <v>14</v>
      </c>
      <c r="F123">
        <v>1975.21</v>
      </c>
      <c r="G123" t="str" cm="1">
        <f t="array" ref="G123">IF(AND(ISNUMBER(SEARCH("UBER",C123)),ISNUMBER(SEARCH("EATS",C123))),"Uber Eats",IF(LEFT(C123,6)="CHECK ","Checks Paid",IF(OR(E123="BILLPAY",ISNUMBER(SEARCH("FRANCHISE TAX",C123)),ISNUMBER(SEARCH("NEXTLINK",C123))),"Personal - House Bills",IF(AND(ISNUMBER(SEARCH("PAYMENT FROM",C123)),ISNUMBER(SEARCH("JOE SAUNDERS",C123))),"Zelle from Joe Saunders",IF(AND(ISNUMBER(SEARCH("PAYMENT TO",C123)),ISNUMBER(SEARCH("JOE SAUNDERS",C123))),"Zelle to Joe Saunders",IF(OR(ISNUMBER(SEARCH("NEW ORLEANS",C123)),ISNUMBER(SEARCH("KENNER",C123)),ISNUMBER(SEARCH("HENRY HOWARD",C123)),ISNUMBER(SEARCH("MISS CLAUDIA",C123))),"Personal Travel - New Orleans",IFERROR(INDEX('Category Rules'!$B$2:$B$194,MATCH(TRUE,ISNUMBER(SEARCH('Category Rules'!$A$2:$A$194,C123)),0)),"")))))))</f>
        <v>Personal - Food</v>
      </c>
    </row>
    <row r="124" spans="1:7" x14ac:dyDescent="0.25">
      <c r="A124" t="s">
        <v>128</v>
      </c>
      <c r="B124" s="1">
        <v>46195</v>
      </c>
      <c r="C124" t="s">
        <v>129</v>
      </c>
      <c r="D124">
        <v>-1200</v>
      </c>
      <c r="E124" t="s">
        <v>130</v>
      </c>
      <c r="F124">
        <v>2134.21</v>
      </c>
      <c r="G124" t="str" cm="1">
        <f t="array" ref="G124">IF(AND(ISNUMBER(SEARCH("UBER",C124)),ISNUMBER(SEARCH("EATS",C124))),"Uber Eats",IF(LEFT(C124,6)="CHECK ","Checks Paid",IF(OR(E124="BILLPAY",ISNUMBER(SEARCH("FRANCHISE TAX",C124)),ISNUMBER(SEARCH("NEXTLINK",C124))),"Personal - House Bills",IF(AND(ISNUMBER(SEARCH("PAYMENT FROM",C124)),ISNUMBER(SEARCH("JOE SAUNDERS",C124))),"Zelle from Joe Saunders",IF(AND(ISNUMBER(SEARCH("PAYMENT TO",C124)),ISNUMBER(SEARCH("JOE SAUNDERS",C124))),"Zelle to Joe Saunders",IF(OR(ISNUMBER(SEARCH("NEW ORLEANS",C124)),ISNUMBER(SEARCH("KENNER",C124)),ISNUMBER(SEARCH("HENRY HOWARD",C124)),ISNUMBER(SEARCH("MISS CLAUDIA",C124))),"Personal Travel - New Orleans",IFERROR(INDEX('Category Rules'!$B$2:$B$194,MATCH(TRUE,ISNUMBER(SEARCH('Category Rules'!$A$2:$A$194,C124)),0)),"")))))))</f>
        <v>Checks Paid</v>
      </c>
    </row>
    <row r="125" spans="1:7" x14ac:dyDescent="0.25">
      <c r="A125" t="s">
        <v>6</v>
      </c>
      <c r="B125" s="1">
        <v>46195</v>
      </c>
      <c r="C125" t="s">
        <v>131</v>
      </c>
      <c r="D125">
        <v>-164.21</v>
      </c>
      <c r="E125" t="s">
        <v>14</v>
      </c>
      <c r="F125">
        <v>3334.21</v>
      </c>
      <c r="G125" t="str" cm="1">
        <f t="array" ref="G125">IF(AND(ISNUMBER(SEARCH("UBER",C125)),ISNUMBER(SEARCH("EATS",C125))),"Uber Eats",IF(LEFT(C125,6)="CHECK ","Checks Paid",IF(OR(E125="BILLPAY",ISNUMBER(SEARCH("FRANCHISE TAX",C125)),ISNUMBER(SEARCH("NEXTLINK",C125))),"Personal - House Bills",IF(AND(ISNUMBER(SEARCH("PAYMENT FROM",C125)),ISNUMBER(SEARCH("JOE SAUNDERS",C125))),"Zelle from Joe Saunders",IF(AND(ISNUMBER(SEARCH("PAYMENT TO",C125)),ISNUMBER(SEARCH("JOE SAUNDERS",C125))),"Zelle to Joe Saunders",IF(OR(ISNUMBER(SEARCH("NEW ORLEANS",C125)),ISNUMBER(SEARCH("KENNER",C125)),ISNUMBER(SEARCH("HENRY HOWARD",C125)),ISNUMBER(SEARCH("MISS CLAUDIA",C125))),"Personal Travel - New Orleans",IFERROR(INDEX('Category Rules'!$B$2:$B$194,MATCH(TRUE,ISNUMBER(SEARCH('Category Rules'!$A$2:$A$194,C125)),0)),"")))))))</f>
        <v>Amazon</v>
      </c>
    </row>
    <row r="126" spans="1:7" x14ac:dyDescent="0.25">
      <c r="A126" t="s">
        <v>6</v>
      </c>
      <c r="B126" s="1">
        <v>46195</v>
      </c>
      <c r="C126" t="s">
        <v>132</v>
      </c>
      <c r="D126">
        <v>-106.4</v>
      </c>
      <c r="E126" t="s">
        <v>14</v>
      </c>
      <c r="F126">
        <v>3498.42</v>
      </c>
      <c r="G126" t="str" cm="1">
        <f t="array" ref="G126">IF(AND(ISNUMBER(SEARCH("UBER",C126)),ISNUMBER(SEARCH("EATS",C126))),"Uber Eats",IF(LEFT(C126,6)="CHECK ","Checks Paid",IF(OR(E126="BILLPAY",ISNUMBER(SEARCH("FRANCHISE TAX",C126)),ISNUMBER(SEARCH("NEXTLINK",C126))),"Personal - House Bills",IF(AND(ISNUMBER(SEARCH("PAYMENT FROM",C126)),ISNUMBER(SEARCH("JOE SAUNDERS",C126))),"Zelle from Joe Saunders",IF(AND(ISNUMBER(SEARCH("PAYMENT TO",C126)),ISNUMBER(SEARCH("JOE SAUNDERS",C126))),"Zelle to Joe Saunders",IF(OR(ISNUMBER(SEARCH("NEW ORLEANS",C126)),ISNUMBER(SEARCH("KENNER",C126)),ISNUMBER(SEARCH("HENRY HOWARD",C126)),ISNUMBER(SEARCH("MISS CLAUDIA",C126))),"Personal Travel - New Orleans",IFERROR(INDEX('Category Rules'!$B$2:$B$194,MATCH(TRUE,ISNUMBER(SEARCH('Category Rules'!$A$2:$A$194,C126)),0)),"")))))))</f>
        <v>Amazon</v>
      </c>
    </row>
    <row r="127" spans="1:7" x14ac:dyDescent="0.25">
      <c r="A127" t="s">
        <v>6</v>
      </c>
      <c r="B127" s="1">
        <v>46195</v>
      </c>
      <c r="C127" t="s">
        <v>133</v>
      </c>
      <c r="D127">
        <v>-14.88</v>
      </c>
      <c r="E127" t="s">
        <v>14</v>
      </c>
      <c r="F127">
        <v>3604.82</v>
      </c>
      <c r="G127" t="str" cm="1">
        <f t="array" ref="G127">IF(AND(ISNUMBER(SEARCH("UBER",C127)),ISNUMBER(SEARCH("EATS",C127))),"Uber Eats",IF(LEFT(C127,6)="CHECK ","Checks Paid",IF(OR(E127="BILLPAY",ISNUMBER(SEARCH("FRANCHISE TAX",C127)),ISNUMBER(SEARCH("NEXTLINK",C127))),"Personal - House Bills",IF(AND(ISNUMBER(SEARCH("PAYMENT FROM",C127)),ISNUMBER(SEARCH("JOE SAUNDERS",C127))),"Zelle from Joe Saunders",IF(AND(ISNUMBER(SEARCH("PAYMENT TO",C127)),ISNUMBER(SEARCH("JOE SAUNDERS",C127))),"Zelle to Joe Saunders",IF(OR(ISNUMBER(SEARCH("NEW ORLEANS",C127)),ISNUMBER(SEARCH("KENNER",C127)),ISNUMBER(SEARCH("HENRY HOWARD",C127)),ISNUMBER(SEARCH("MISS CLAUDIA",C127))),"Personal Travel - New Orleans",IFERROR(INDEX('Category Rules'!$B$2:$B$194,MATCH(TRUE,ISNUMBER(SEARCH('Category Rules'!$A$2:$A$194,C127)),0)),"")))))))</f>
        <v>Amazon</v>
      </c>
    </row>
    <row r="128" spans="1:7" x14ac:dyDescent="0.25">
      <c r="A128" t="s">
        <v>6</v>
      </c>
      <c r="B128" s="1">
        <v>46195</v>
      </c>
      <c r="C128" t="s">
        <v>134</v>
      </c>
      <c r="D128">
        <v>-98.9</v>
      </c>
      <c r="E128" t="s">
        <v>14</v>
      </c>
      <c r="F128">
        <v>3619.7</v>
      </c>
      <c r="G128" t="str" cm="1">
        <f t="array" ref="G128">IF(AND(ISNUMBER(SEARCH("UBER",C128)),ISNUMBER(SEARCH("EATS",C128))),"Uber Eats",IF(LEFT(C128,6)="CHECK ","Checks Paid",IF(OR(E128="BILLPAY",ISNUMBER(SEARCH("FRANCHISE TAX",C128)),ISNUMBER(SEARCH("NEXTLINK",C128))),"Personal - House Bills",IF(AND(ISNUMBER(SEARCH("PAYMENT FROM",C128)),ISNUMBER(SEARCH("JOE SAUNDERS",C128))),"Zelle from Joe Saunders",IF(AND(ISNUMBER(SEARCH("PAYMENT TO",C128)),ISNUMBER(SEARCH("JOE SAUNDERS",C128))),"Zelle to Joe Saunders",IF(OR(ISNUMBER(SEARCH("NEW ORLEANS",C128)),ISNUMBER(SEARCH("KENNER",C128)),ISNUMBER(SEARCH("HENRY HOWARD",C128)),ISNUMBER(SEARCH("MISS CLAUDIA",C128))),"Personal Travel - New Orleans",IFERROR(INDEX('Category Rules'!$B$2:$B$194,MATCH(TRUE,ISNUMBER(SEARCH('Category Rules'!$A$2:$A$194,C128)),0)),"")))))))</f>
        <v>Uber Eats</v>
      </c>
    </row>
    <row r="129" spans="1:7" x14ac:dyDescent="0.25">
      <c r="A129" t="s">
        <v>6</v>
      </c>
      <c r="B129" s="1">
        <v>46195</v>
      </c>
      <c r="C129" t="s">
        <v>135</v>
      </c>
      <c r="D129">
        <v>-32.83</v>
      </c>
      <c r="E129" t="s">
        <v>14</v>
      </c>
      <c r="F129">
        <v>3718.6</v>
      </c>
      <c r="G129" t="str" cm="1">
        <f t="array" ref="G129">IF(AND(ISNUMBER(SEARCH("UBER",C129)),ISNUMBER(SEARCH("EATS",C129))),"Uber Eats",IF(LEFT(C129,6)="CHECK ","Checks Paid",IF(OR(E129="BILLPAY",ISNUMBER(SEARCH("FRANCHISE TAX",C129)),ISNUMBER(SEARCH("NEXTLINK",C129))),"Personal - House Bills",IF(AND(ISNUMBER(SEARCH("PAYMENT FROM",C129)),ISNUMBER(SEARCH("JOE SAUNDERS",C129))),"Zelle from Joe Saunders",IF(AND(ISNUMBER(SEARCH("PAYMENT TO",C129)),ISNUMBER(SEARCH("JOE SAUNDERS",C129))),"Zelle to Joe Saunders",IF(OR(ISNUMBER(SEARCH("NEW ORLEANS",C129)),ISNUMBER(SEARCH("KENNER",C129)),ISNUMBER(SEARCH("HENRY HOWARD",C129)),ISNUMBER(SEARCH("MISS CLAUDIA",C129))),"Personal Travel - New Orleans",IFERROR(INDEX('Category Rules'!$B$2:$B$194,MATCH(TRUE,ISNUMBER(SEARCH('Category Rules'!$A$2:$A$194,C129)),0)),"")))))))</f>
        <v>Poshmark</v>
      </c>
    </row>
    <row r="130" spans="1:7" x14ac:dyDescent="0.25">
      <c r="A130" t="s">
        <v>6</v>
      </c>
      <c r="B130" s="1">
        <v>46195</v>
      </c>
      <c r="C130" t="s">
        <v>135</v>
      </c>
      <c r="D130">
        <v>-50.39</v>
      </c>
      <c r="E130" t="s">
        <v>14</v>
      </c>
      <c r="F130">
        <v>3751.43</v>
      </c>
      <c r="G130" t="str" cm="1">
        <f t="array" ref="G130">IF(AND(ISNUMBER(SEARCH("UBER",C130)),ISNUMBER(SEARCH("EATS",C130))),"Uber Eats",IF(LEFT(C130,6)="CHECK ","Checks Paid",IF(OR(E130="BILLPAY",ISNUMBER(SEARCH("FRANCHISE TAX",C130)),ISNUMBER(SEARCH("NEXTLINK",C130))),"Personal - House Bills",IF(AND(ISNUMBER(SEARCH("PAYMENT FROM",C130)),ISNUMBER(SEARCH("JOE SAUNDERS",C130))),"Zelle from Joe Saunders",IF(AND(ISNUMBER(SEARCH("PAYMENT TO",C130)),ISNUMBER(SEARCH("JOE SAUNDERS",C130))),"Zelle to Joe Saunders",IF(OR(ISNUMBER(SEARCH("NEW ORLEANS",C130)),ISNUMBER(SEARCH("KENNER",C130)),ISNUMBER(SEARCH("HENRY HOWARD",C130)),ISNUMBER(SEARCH("MISS CLAUDIA",C130))),"Personal Travel - New Orleans",IFERROR(INDEX('Category Rules'!$B$2:$B$194,MATCH(TRUE,ISNUMBER(SEARCH('Category Rules'!$A$2:$A$194,C130)),0)),"")))))))</f>
        <v>Poshmark</v>
      </c>
    </row>
    <row r="131" spans="1:7" x14ac:dyDescent="0.25">
      <c r="A131" t="s">
        <v>6</v>
      </c>
      <c r="B131" s="1">
        <v>46195</v>
      </c>
      <c r="C131" t="s">
        <v>135</v>
      </c>
      <c r="D131">
        <v>-44.91</v>
      </c>
      <c r="E131" t="s">
        <v>14</v>
      </c>
      <c r="F131">
        <v>3801.82</v>
      </c>
      <c r="G131" t="str" cm="1">
        <f t="array" ref="G131">IF(AND(ISNUMBER(SEARCH("UBER",C131)),ISNUMBER(SEARCH("EATS",C131))),"Uber Eats",IF(LEFT(C131,6)="CHECK ","Checks Paid",IF(OR(E131="BILLPAY",ISNUMBER(SEARCH("FRANCHISE TAX",C131)),ISNUMBER(SEARCH("NEXTLINK",C131))),"Personal - House Bills",IF(AND(ISNUMBER(SEARCH("PAYMENT FROM",C131)),ISNUMBER(SEARCH("JOE SAUNDERS",C131))),"Zelle from Joe Saunders",IF(AND(ISNUMBER(SEARCH("PAYMENT TO",C131)),ISNUMBER(SEARCH("JOE SAUNDERS",C131))),"Zelle to Joe Saunders",IF(OR(ISNUMBER(SEARCH("NEW ORLEANS",C131)),ISNUMBER(SEARCH("KENNER",C131)),ISNUMBER(SEARCH("HENRY HOWARD",C131)),ISNUMBER(SEARCH("MISS CLAUDIA",C131))),"Personal Travel - New Orleans",IFERROR(INDEX('Category Rules'!$B$2:$B$194,MATCH(TRUE,ISNUMBER(SEARCH('Category Rules'!$A$2:$A$194,C131)),0)),"")))))))</f>
        <v>Poshmark</v>
      </c>
    </row>
    <row r="132" spans="1:7" x14ac:dyDescent="0.25">
      <c r="A132" t="s">
        <v>6</v>
      </c>
      <c r="B132" s="1">
        <v>46195</v>
      </c>
      <c r="C132" t="s">
        <v>135</v>
      </c>
      <c r="D132">
        <v>-39.42</v>
      </c>
      <c r="E132" t="s">
        <v>14</v>
      </c>
      <c r="F132">
        <v>3846.73</v>
      </c>
      <c r="G132" t="str" cm="1">
        <f t="array" ref="G132">IF(AND(ISNUMBER(SEARCH("UBER",C132)),ISNUMBER(SEARCH("EATS",C132))),"Uber Eats",IF(LEFT(C132,6)="CHECK ","Checks Paid",IF(OR(E132="BILLPAY",ISNUMBER(SEARCH("FRANCHISE TAX",C132)),ISNUMBER(SEARCH("NEXTLINK",C132))),"Personal - House Bills",IF(AND(ISNUMBER(SEARCH("PAYMENT FROM",C132)),ISNUMBER(SEARCH("JOE SAUNDERS",C132))),"Zelle from Joe Saunders",IF(AND(ISNUMBER(SEARCH("PAYMENT TO",C132)),ISNUMBER(SEARCH("JOE SAUNDERS",C132))),"Zelle to Joe Saunders",IF(OR(ISNUMBER(SEARCH("NEW ORLEANS",C132)),ISNUMBER(SEARCH("KENNER",C132)),ISNUMBER(SEARCH("HENRY HOWARD",C132)),ISNUMBER(SEARCH("MISS CLAUDIA",C132))),"Personal Travel - New Orleans",IFERROR(INDEX('Category Rules'!$B$2:$B$194,MATCH(TRUE,ISNUMBER(SEARCH('Category Rules'!$A$2:$A$194,C132)),0)),"")))))))</f>
        <v>Poshmark</v>
      </c>
    </row>
    <row r="133" spans="1:7" x14ac:dyDescent="0.25">
      <c r="A133" t="s">
        <v>6</v>
      </c>
      <c r="B133" s="1">
        <v>46195</v>
      </c>
      <c r="C133" t="s">
        <v>135</v>
      </c>
      <c r="D133">
        <v>-93.2</v>
      </c>
      <c r="E133" t="s">
        <v>14</v>
      </c>
      <c r="F133">
        <v>3886.15</v>
      </c>
      <c r="G133" t="str" cm="1">
        <f t="array" ref="G133">IF(AND(ISNUMBER(SEARCH("UBER",C133)),ISNUMBER(SEARCH("EATS",C133))),"Uber Eats",IF(LEFT(C133,6)="CHECK ","Checks Paid",IF(OR(E133="BILLPAY",ISNUMBER(SEARCH("FRANCHISE TAX",C133)),ISNUMBER(SEARCH("NEXTLINK",C133))),"Personal - House Bills",IF(AND(ISNUMBER(SEARCH("PAYMENT FROM",C133)),ISNUMBER(SEARCH("JOE SAUNDERS",C133))),"Zelle from Joe Saunders",IF(AND(ISNUMBER(SEARCH("PAYMENT TO",C133)),ISNUMBER(SEARCH("JOE SAUNDERS",C133))),"Zelle to Joe Saunders",IF(OR(ISNUMBER(SEARCH("NEW ORLEANS",C133)),ISNUMBER(SEARCH("KENNER",C133)),ISNUMBER(SEARCH("HENRY HOWARD",C133)),ISNUMBER(SEARCH("MISS CLAUDIA",C133))),"Personal Travel - New Orleans",IFERROR(INDEX('Category Rules'!$B$2:$B$194,MATCH(TRUE,ISNUMBER(SEARCH('Category Rules'!$A$2:$A$194,C133)),0)),"")))))))</f>
        <v>Poshmark</v>
      </c>
    </row>
    <row r="134" spans="1:7" x14ac:dyDescent="0.25">
      <c r="A134" t="s">
        <v>6</v>
      </c>
      <c r="B134" s="1">
        <v>46195</v>
      </c>
      <c r="C134" t="s">
        <v>136</v>
      </c>
      <c r="D134">
        <v>-11.99</v>
      </c>
      <c r="E134" t="s">
        <v>14</v>
      </c>
      <c r="F134">
        <v>3979.35</v>
      </c>
      <c r="G134" t="str" cm="1">
        <f t="array" ref="G134">IF(AND(ISNUMBER(SEARCH("UBER",C134)),ISNUMBER(SEARCH("EATS",C134))),"Uber Eats",IF(LEFT(C134,6)="CHECK ","Checks Paid",IF(OR(E134="BILLPAY",ISNUMBER(SEARCH("FRANCHISE TAX",C134)),ISNUMBER(SEARCH("NEXTLINK",C134))),"Personal - House Bills",IF(AND(ISNUMBER(SEARCH("PAYMENT FROM",C134)),ISNUMBER(SEARCH("JOE SAUNDERS",C134))),"Zelle from Joe Saunders",IF(AND(ISNUMBER(SEARCH("PAYMENT TO",C134)),ISNUMBER(SEARCH("JOE SAUNDERS",C134))),"Zelle to Joe Saunders",IF(OR(ISNUMBER(SEARCH("NEW ORLEANS",C134)),ISNUMBER(SEARCH("KENNER",C134)),ISNUMBER(SEARCH("HENRY HOWARD",C134)),ISNUMBER(SEARCH("MISS CLAUDIA",C134))),"Personal Travel - New Orleans",IFERROR(INDEX('Category Rules'!$B$2:$B$194,MATCH(TRUE,ISNUMBER(SEARCH('Category Rules'!$A$2:$A$194,C134)),0)),"")))))))</f>
        <v>Personal - Subscription</v>
      </c>
    </row>
    <row r="135" spans="1:7" x14ac:dyDescent="0.25">
      <c r="A135" t="s">
        <v>6</v>
      </c>
      <c r="B135" s="1">
        <v>46195</v>
      </c>
      <c r="C135" t="s">
        <v>137</v>
      </c>
      <c r="D135">
        <v>-149.96</v>
      </c>
      <c r="E135" t="s">
        <v>14</v>
      </c>
      <c r="F135">
        <v>3991.34</v>
      </c>
      <c r="G135" t="str" cm="1">
        <f t="array" ref="G135">IF(AND(ISNUMBER(SEARCH("UBER",C135)),ISNUMBER(SEARCH("EATS",C135))),"Uber Eats",IF(LEFT(C135,6)="CHECK ","Checks Paid",IF(OR(E135="BILLPAY",ISNUMBER(SEARCH("FRANCHISE TAX",C135)),ISNUMBER(SEARCH("NEXTLINK",C135))),"Personal - House Bills",IF(AND(ISNUMBER(SEARCH("PAYMENT FROM",C135)),ISNUMBER(SEARCH("JOE SAUNDERS",C135))),"Zelle from Joe Saunders",IF(AND(ISNUMBER(SEARCH("PAYMENT TO",C135)),ISNUMBER(SEARCH("JOE SAUNDERS",C135))),"Zelle to Joe Saunders",IF(OR(ISNUMBER(SEARCH("NEW ORLEANS",C135)),ISNUMBER(SEARCH("KENNER",C135)),ISNUMBER(SEARCH("HENRY HOWARD",C135)),ISNUMBER(SEARCH("MISS CLAUDIA",C135))),"Personal Travel - New Orleans",IFERROR(INDEX('Category Rules'!$B$2:$B$194,MATCH(TRUE,ISNUMBER(SEARCH('Category Rules'!$A$2:$A$194,C135)),0)),"")))))))</f>
        <v>Personal - House Bills</v>
      </c>
    </row>
    <row r="136" spans="1:7" x14ac:dyDescent="0.25">
      <c r="A136" t="s">
        <v>6</v>
      </c>
      <c r="B136" s="1">
        <v>46195</v>
      </c>
      <c r="C136" t="s">
        <v>138</v>
      </c>
      <c r="D136">
        <v>-121.8</v>
      </c>
      <c r="E136" t="s">
        <v>14</v>
      </c>
      <c r="F136">
        <v>4141.3</v>
      </c>
      <c r="G136" t="str" cm="1">
        <f t="array" ref="G136">IF(AND(ISNUMBER(SEARCH("UBER",C136)),ISNUMBER(SEARCH("EATS",C136))),"Uber Eats",IF(LEFT(C136,6)="CHECK ","Checks Paid",IF(OR(E136="BILLPAY",ISNUMBER(SEARCH("FRANCHISE TAX",C136)),ISNUMBER(SEARCH("NEXTLINK",C136))),"Personal - House Bills",IF(AND(ISNUMBER(SEARCH("PAYMENT FROM",C136)),ISNUMBER(SEARCH("JOE SAUNDERS",C136))),"Zelle from Joe Saunders",IF(AND(ISNUMBER(SEARCH("PAYMENT TO",C136)),ISNUMBER(SEARCH("JOE SAUNDERS",C136))),"Zelle to Joe Saunders",IF(OR(ISNUMBER(SEARCH("NEW ORLEANS",C136)),ISNUMBER(SEARCH("KENNER",C136)),ISNUMBER(SEARCH("HENRY HOWARD",C136)),ISNUMBER(SEARCH("MISS CLAUDIA",C136))),"Personal Travel - New Orleans",IFERROR(INDEX('Category Rules'!$B$2:$B$194,MATCH(TRUE,ISNUMBER(SEARCH('Category Rules'!$A$2:$A$194,C136)),0)),"")))))))</f>
        <v>Amazon</v>
      </c>
    </row>
    <row r="137" spans="1:7" x14ac:dyDescent="0.25">
      <c r="A137" t="s">
        <v>6</v>
      </c>
      <c r="B137" s="1">
        <v>46195</v>
      </c>
      <c r="C137" t="s">
        <v>139</v>
      </c>
      <c r="D137">
        <v>-29.62</v>
      </c>
      <c r="E137" t="s">
        <v>14</v>
      </c>
      <c r="F137">
        <v>4263.1000000000004</v>
      </c>
      <c r="G137" t="str" cm="1">
        <f t="array" ref="G137">IF(AND(ISNUMBER(SEARCH("UBER",C137)),ISNUMBER(SEARCH("EATS",C137))),"Uber Eats",IF(LEFT(C137,6)="CHECK ","Checks Paid",IF(OR(E137="BILLPAY",ISNUMBER(SEARCH("FRANCHISE TAX",C137)),ISNUMBER(SEARCH("NEXTLINK",C137))),"Personal - House Bills",IF(AND(ISNUMBER(SEARCH("PAYMENT FROM",C137)),ISNUMBER(SEARCH("JOE SAUNDERS",C137))),"Zelle from Joe Saunders",IF(AND(ISNUMBER(SEARCH("PAYMENT TO",C137)),ISNUMBER(SEARCH("JOE SAUNDERS",C137))),"Zelle to Joe Saunders",IF(OR(ISNUMBER(SEARCH("NEW ORLEANS",C137)),ISNUMBER(SEARCH("KENNER",C137)),ISNUMBER(SEARCH("HENRY HOWARD",C137)),ISNUMBER(SEARCH("MISS CLAUDIA",C137))),"Personal Travel - New Orleans",IFERROR(INDEX('Category Rules'!$B$2:$B$194,MATCH(TRUE,ISNUMBER(SEARCH('Category Rules'!$A$2:$A$194,C137)),0)),"")))))))</f>
        <v>Amazon</v>
      </c>
    </row>
    <row r="138" spans="1:7" x14ac:dyDescent="0.25">
      <c r="A138" t="s">
        <v>6</v>
      </c>
      <c r="B138" s="1">
        <v>46195</v>
      </c>
      <c r="C138" t="s">
        <v>140</v>
      </c>
      <c r="D138">
        <v>-49.98</v>
      </c>
      <c r="E138" t="s">
        <v>14</v>
      </c>
      <c r="F138">
        <v>4292.72</v>
      </c>
      <c r="G138" t="str" cm="1">
        <f t="array" ref="G138">IF(AND(ISNUMBER(SEARCH("UBER",C138)),ISNUMBER(SEARCH("EATS",C138))),"Uber Eats",IF(LEFT(C138,6)="CHECK ","Checks Paid",IF(OR(E138="BILLPAY",ISNUMBER(SEARCH("FRANCHISE TAX",C138)),ISNUMBER(SEARCH("NEXTLINK",C138))),"Personal - House Bills",IF(AND(ISNUMBER(SEARCH("PAYMENT FROM",C138)),ISNUMBER(SEARCH("JOE SAUNDERS",C138))),"Zelle from Joe Saunders",IF(AND(ISNUMBER(SEARCH("PAYMENT TO",C138)),ISNUMBER(SEARCH("JOE SAUNDERS",C138))),"Zelle to Joe Saunders",IF(OR(ISNUMBER(SEARCH("NEW ORLEANS",C138)),ISNUMBER(SEARCH("KENNER",C138)),ISNUMBER(SEARCH("HENRY HOWARD",C138)),ISNUMBER(SEARCH("MISS CLAUDIA",C138))),"Personal Travel - New Orleans",IFERROR(INDEX('Category Rules'!$B$2:$B$194,MATCH(TRUE,ISNUMBER(SEARCH('Category Rules'!$A$2:$A$194,C138)),0)),"")))))))</f>
        <v>Amazon</v>
      </c>
    </row>
    <row r="139" spans="1:7" x14ac:dyDescent="0.25">
      <c r="A139" t="s">
        <v>6</v>
      </c>
      <c r="B139" s="1">
        <v>46195</v>
      </c>
      <c r="C139" t="s">
        <v>141</v>
      </c>
      <c r="D139">
        <v>-172.14</v>
      </c>
      <c r="E139" t="s">
        <v>14</v>
      </c>
      <c r="F139">
        <v>4342.7</v>
      </c>
      <c r="G139" t="str" cm="1">
        <f t="array" ref="G139">IF(AND(ISNUMBER(SEARCH("UBER",C139)),ISNUMBER(SEARCH("EATS",C139))),"Uber Eats",IF(LEFT(C139,6)="CHECK ","Checks Paid",IF(OR(E139="BILLPAY",ISNUMBER(SEARCH("FRANCHISE TAX",C139)),ISNUMBER(SEARCH("NEXTLINK",C139))),"Personal - House Bills",IF(AND(ISNUMBER(SEARCH("PAYMENT FROM",C139)),ISNUMBER(SEARCH("JOE SAUNDERS",C139))),"Zelle from Joe Saunders",IF(AND(ISNUMBER(SEARCH("PAYMENT TO",C139)),ISNUMBER(SEARCH("JOE SAUNDERS",C139))),"Zelle to Joe Saunders",IF(OR(ISNUMBER(SEARCH("NEW ORLEANS",C139)),ISNUMBER(SEARCH("KENNER",C139)),ISNUMBER(SEARCH("HENRY HOWARD",C139)),ISNUMBER(SEARCH("MISS CLAUDIA",C139))),"Personal Travel - New Orleans",IFERROR(INDEX('Category Rules'!$B$2:$B$194,MATCH(TRUE,ISNUMBER(SEARCH('Category Rules'!$A$2:$A$194,C139)),0)),"")))))))</f>
        <v>Amazon</v>
      </c>
    </row>
    <row r="140" spans="1:7" x14ac:dyDescent="0.25">
      <c r="A140" t="s">
        <v>6</v>
      </c>
      <c r="B140" s="1">
        <v>46195</v>
      </c>
      <c r="C140" t="s">
        <v>142</v>
      </c>
      <c r="D140">
        <v>-67.7</v>
      </c>
      <c r="E140" t="s">
        <v>14</v>
      </c>
      <c r="F140">
        <v>4514.84</v>
      </c>
      <c r="G140" t="str" cm="1">
        <f t="array" ref="G140">IF(AND(ISNUMBER(SEARCH("UBER",C140)),ISNUMBER(SEARCH("EATS",C140))),"Uber Eats",IF(LEFT(C140,6)="CHECK ","Checks Paid",IF(OR(E140="BILLPAY",ISNUMBER(SEARCH("FRANCHISE TAX",C140)),ISNUMBER(SEARCH("NEXTLINK",C140))),"Personal - House Bills",IF(AND(ISNUMBER(SEARCH("PAYMENT FROM",C140)),ISNUMBER(SEARCH("JOE SAUNDERS",C140))),"Zelle from Joe Saunders",IF(AND(ISNUMBER(SEARCH("PAYMENT TO",C140)),ISNUMBER(SEARCH("JOE SAUNDERS",C140))),"Zelle to Joe Saunders",IF(OR(ISNUMBER(SEARCH("NEW ORLEANS",C140)),ISNUMBER(SEARCH("KENNER",C140)),ISNUMBER(SEARCH("HENRY HOWARD",C140)),ISNUMBER(SEARCH("MISS CLAUDIA",C140))),"Personal Travel - New Orleans",IFERROR(INDEX('Category Rules'!$B$2:$B$194,MATCH(TRUE,ISNUMBER(SEARCH('Category Rules'!$A$2:$A$194,C140)),0)),"")))))))</f>
        <v>Personal - Entertainment</v>
      </c>
    </row>
    <row r="141" spans="1:7" x14ac:dyDescent="0.25">
      <c r="A141" t="s">
        <v>6</v>
      </c>
      <c r="B141" s="1">
        <v>46195</v>
      </c>
      <c r="C141" t="s">
        <v>143</v>
      </c>
      <c r="D141">
        <v>-87.35</v>
      </c>
      <c r="E141" t="s">
        <v>14</v>
      </c>
      <c r="F141">
        <v>4582.54</v>
      </c>
      <c r="G141" t="str" cm="1">
        <f t="array" ref="G141">IF(AND(ISNUMBER(SEARCH("UBER",C141)),ISNUMBER(SEARCH("EATS",C141))),"Uber Eats",IF(LEFT(C141,6)="CHECK ","Checks Paid",IF(OR(E141="BILLPAY",ISNUMBER(SEARCH("FRANCHISE TAX",C141)),ISNUMBER(SEARCH("NEXTLINK",C141))),"Personal - House Bills",IF(AND(ISNUMBER(SEARCH("PAYMENT FROM",C141)),ISNUMBER(SEARCH("JOE SAUNDERS",C141))),"Zelle from Joe Saunders",IF(AND(ISNUMBER(SEARCH("PAYMENT TO",C141)),ISNUMBER(SEARCH("JOE SAUNDERS",C141))),"Zelle to Joe Saunders",IF(OR(ISNUMBER(SEARCH("NEW ORLEANS",C141)),ISNUMBER(SEARCH("KENNER",C141)),ISNUMBER(SEARCH("HENRY HOWARD",C141)),ISNUMBER(SEARCH("MISS CLAUDIA",C141))),"Personal Travel - New Orleans",IFERROR(INDEX('Category Rules'!$B$2:$B$194,MATCH(TRUE,ISNUMBER(SEARCH('Category Rules'!$A$2:$A$194,C141)),0)),"")))))))</f>
        <v>Uber Eats</v>
      </c>
    </row>
    <row r="142" spans="1:7" x14ac:dyDescent="0.25">
      <c r="A142" t="s">
        <v>6</v>
      </c>
      <c r="B142" s="1">
        <v>46195</v>
      </c>
      <c r="C142" t="s">
        <v>144</v>
      </c>
      <c r="D142">
        <v>-269.99</v>
      </c>
      <c r="E142" t="s">
        <v>14</v>
      </c>
      <c r="F142">
        <v>4669.8900000000003</v>
      </c>
      <c r="G142" t="str" cm="1">
        <f t="array" ref="G142">IF(AND(ISNUMBER(SEARCH("UBER",C142)),ISNUMBER(SEARCH("EATS",C142))),"Uber Eats",IF(LEFT(C142,6)="CHECK ","Checks Paid",IF(OR(E142="BILLPAY",ISNUMBER(SEARCH("FRANCHISE TAX",C142)),ISNUMBER(SEARCH("NEXTLINK",C142))),"Personal - House Bills",IF(AND(ISNUMBER(SEARCH("PAYMENT FROM",C142)),ISNUMBER(SEARCH("JOE SAUNDERS",C142))),"Zelle from Joe Saunders",IF(AND(ISNUMBER(SEARCH("PAYMENT TO",C142)),ISNUMBER(SEARCH("JOE SAUNDERS",C142))),"Zelle to Joe Saunders",IF(OR(ISNUMBER(SEARCH("NEW ORLEANS",C142)),ISNUMBER(SEARCH("KENNER",C142)),ISNUMBER(SEARCH("HENRY HOWARD",C142)),ISNUMBER(SEARCH("MISS CLAUDIA",C142))),"Personal Travel - New Orleans",IFERROR(INDEX('Category Rules'!$B$2:$B$194,MATCH(TRUE,ISNUMBER(SEARCH('Category Rules'!$A$2:$A$194,C142)),0)),"")))))))</f>
        <v>Personal - Health</v>
      </c>
    </row>
    <row r="143" spans="1:7" x14ac:dyDescent="0.25">
      <c r="A143" t="s">
        <v>6</v>
      </c>
      <c r="B143" s="1">
        <v>46195</v>
      </c>
      <c r="C143" t="s">
        <v>145</v>
      </c>
      <c r="D143">
        <v>-24.99</v>
      </c>
      <c r="E143" t="s">
        <v>14</v>
      </c>
      <c r="F143">
        <v>4939.88</v>
      </c>
      <c r="G143" t="str" cm="1">
        <f t="array" ref="G143">IF(AND(ISNUMBER(SEARCH("UBER",C143)),ISNUMBER(SEARCH("EATS",C143))),"Uber Eats",IF(LEFT(C143,6)="CHECK ","Checks Paid",IF(OR(E143="BILLPAY",ISNUMBER(SEARCH("FRANCHISE TAX",C143)),ISNUMBER(SEARCH("NEXTLINK",C143))),"Personal - House Bills",IF(AND(ISNUMBER(SEARCH("PAYMENT FROM",C143)),ISNUMBER(SEARCH("JOE SAUNDERS",C143))),"Zelle from Joe Saunders",IF(AND(ISNUMBER(SEARCH("PAYMENT TO",C143)),ISNUMBER(SEARCH("JOE SAUNDERS",C143))),"Zelle to Joe Saunders",IF(OR(ISNUMBER(SEARCH("NEW ORLEANS",C143)),ISNUMBER(SEARCH("KENNER",C143)),ISNUMBER(SEARCH("HENRY HOWARD",C143)),ISNUMBER(SEARCH("MISS CLAUDIA",C143))),"Personal Travel - New Orleans",IFERROR(INDEX('Category Rules'!$B$2:$B$194,MATCH(TRUE,ISNUMBER(SEARCH('Category Rules'!$A$2:$A$194,C143)),0)),"")))))))</f>
        <v>Amazon</v>
      </c>
    </row>
    <row r="144" spans="1:7" x14ac:dyDescent="0.25">
      <c r="A144" t="s">
        <v>6</v>
      </c>
      <c r="B144" s="1">
        <v>46195</v>
      </c>
      <c r="C144" t="s">
        <v>146</v>
      </c>
      <c r="D144">
        <v>-53.96</v>
      </c>
      <c r="E144" t="s">
        <v>14</v>
      </c>
      <c r="F144">
        <v>4964.87</v>
      </c>
      <c r="G144" t="str" cm="1">
        <f t="array" ref="G144">IF(AND(ISNUMBER(SEARCH("UBER",C144)),ISNUMBER(SEARCH("EATS",C144))),"Uber Eats",IF(LEFT(C144,6)="CHECK ","Checks Paid",IF(OR(E144="BILLPAY",ISNUMBER(SEARCH("FRANCHISE TAX",C144)),ISNUMBER(SEARCH("NEXTLINK",C144))),"Personal - House Bills",IF(AND(ISNUMBER(SEARCH("PAYMENT FROM",C144)),ISNUMBER(SEARCH("JOE SAUNDERS",C144))),"Zelle from Joe Saunders",IF(AND(ISNUMBER(SEARCH("PAYMENT TO",C144)),ISNUMBER(SEARCH("JOE SAUNDERS",C144))),"Zelle to Joe Saunders",IF(OR(ISNUMBER(SEARCH("NEW ORLEANS",C144)),ISNUMBER(SEARCH("KENNER",C144)),ISNUMBER(SEARCH("HENRY HOWARD",C144)),ISNUMBER(SEARCH("MISS CLAUDIA",C144))),"Personal Travel - New Orleans",IFERROR(INDEX('Category Rules'!$B$2:$B$194,MATCH(TRUE,ISNUMBER(SEARCH('Category Rules'!$A$2:$A$194,C144)),0)),"")))))))</f>
        <v>Amazon</v>
      </c>
    </row>
    <row r="145" spans="1:7" x14ac:dyDescent="0.25">
      <c r="A145" t="s">
        <v>6</v>
      </c>
      <c r="B145" s="1">
        <v>46195</v>
      </c>
      <c r="C145" t="s">
        <v>147</v>
      </c>
      <c r="D145">
        <v>-10</v>
      </c>
      <c r="E145" t="s">
        <v>14</v>
      </c>
      <c r="F145">
        <v>5018.83</v>
      </c>
      <c r="G145" t="str" cm="1">
        <f t="array" ref="G145">IF(AND(ISNUMBER(SEARCH("UBER",C145)),ISNUMBER(SEARCH("EATS",C145))),"Uber Eats",IF(LEFT(C145,6)="CHECK ","Checks Paid",IF(OR(E145="BILLPAY",ISNUMBER(SEARCH("FRANCHISE TAX",C145)),ISNUMBER(SEARCH("NEXTLINK",C145))),"Personal - House Bills",IF(AND(ISNUMBER(SEARCH("PAYMENT FROM",C145)),ISNUMBER(SEARCH("JOE SAUNDERS",C145))),"Zelle from Joe Saunders",IF(AND(ISNUMBER(SEARCH("PAYMENT TO",C145)),ISNUMBER(SEARCH("JOE SAUNDERS",C145))),"Zelle to Joe Saunders",IF(OR(ISNUMBER(SEARCH("NEW ORLEANS",C145)),ISNUMBER(SEARCH("KENNER",C145)),ISNUMBER(SEARCH("HENRY HOWARD",C145)),ISNUMBER(SEARCH("MISS CLAUDIA",C145))),"Personal Travel - New Orleans",IFERROR(INDEX('Category Rules'!$B$2:$B$194,MATCH(TRUE,ISNUMBER(SEARCH('Category Rules'!$A$2:$A$194,C145)),0)),"")))))))</f>
        <v>Amazon</v>
      </c>
    </row>
    <row r="146" spans="1:7" x14ac:dyDescent="0.25">
      <c r="A146" t="s">
        <v>6</v>
      </c>
      <c r="B146" s="1">
        <v>46195</v>
      </c>
      <c r="C146" t="s">
        <v>148</v>
      </c>
      <c r="D146">
        <v>-87.59</v>
      </c>
      <c r="E146" t="s">
        <v>14</v>
      </c>
      <c r="F146">
        <v>5028.83</v>
      </c>
      <c r="G146" t="str" cm="1">
        <f t="array" ref="G146">IF(AND(ISNUMBER(SEARCH("UBER",C146)),ISNUMBER(SEARCH("EATS",C146))),"Uber Eats",IF(LEFT(C146,6)="CHECK ","Checks Paid",IF(OR(E146="BILLPAY",ISNUMBER(SEARCH("FRANCHISE TAX",C146)),ISNUMBER(SEARCH("NEXTLINK",C146))),"Personal - House Bills",IF(AND(ISNUMBER(SEARCH("PAYMENT FROM",C146)),ISNUMBER(SEARCH("JOE SAUNDERS",C146))),"Zelle from Joe Saunders",IF(AND(ISNUMBER(SEARCH("PAYMENT TO",C146)),ISNUMBER(SEARCH("JOE SAUNDERS",C146))),"Zelle to Joe Saunders",IF(OR(ISNUMBER(SEARCH("NEW ORLEANS",C146)),ISNUMBER(SEARCH("KENNER",C146)),ISNUMBER(SEARCH("HENRY HOWARD",C146)),ISNUMBER(SEARCH("MISS CLAUDIA",C146))),"Personal Travel - New Orleans",IFERROR(INDEX('Category Rules'!$B$2:$B$194,MATCH(TRUE,ISNUMBER(SEARCH('Category Rules'!$A$2:$A$194,C146)),0)),"")))))))</f>
        <v>Personal - Health</v>
      </c>
    </row>
    <row r="147" spans="1:7" x14ac:dyDescent="0.25">
      <c r="A147" t="s">
        <v>6</v>
      </c>
      <c r="B147" s="1">
        <v>46195</v>
      </c>
      <c r="C147" t="s">
        <v>149</v>
      </c>
      <c r="D147">
        <v>-174.85</v>
      </c>
      <c r="E147" t="s">
        <v>14</v>
      </c>
      <c r="F147">
        <v>5116.42</v>
      </c>
      <c r="G147" t="str" cm="1">
        <f t="array" ref="G147">IF(AND(ISNUMBER(SEARCH("UBER",C147)),ISNUMBER(SEARCH("EATS",C147))),"Uber Eats",IF(LEFT(C147,6)="CHECK ","Checks Paid",IF(OR(E147="BILLPAY",ISNUMBER(SEARCH("FRANCHISE TAX",C147)),ISNUMBER(SEARCH("NEXTLINK",C147))),"Personal - House Bills",IF(AND(ISNUMBER(SEARCH("PAYMENT FROM",C147)),ISNUMBER(SEARCH("JOE SAUNDERS",C147))),"Zelle from Joe Saunders",IF(AND(ISNUMBER(SEARCH("PAYMENT TO",C147)),ISNUMBER(SEARCH("JOE SAUNDERS",C147))),"Zelle to Joe Saunders",IF(OR(ISNUMBER(SEARCH("NEW ORLEANS",C147)),ISNUMBER(SEARCH("KENNER",C147)),ISNUMBER(SEARCH("HENRY HOWARD",C147)),ISNUMBER(SEARCH("MISS CLAUDIA",C147))),"Personal Travel - New Orleans",IFERROR(INDEX('Category Rules'!$B$2:$B$194,MATCH(TRUE,ISNUMBER(SEARCH('Category Rules'!$A$2:$A$194,C147)),0)),"")))))))</f>
        <v>Amazon</v>
      </c>
    </row>
    <row r="148" spans="1:7" x14ac:dyDescent="0.25">
      <c r="A148" t="s">
        <v>6</v>
      </c>
      <c r="B148" s="1">
        <v>46195</v>
      </c>
      <c r="C148" t="s">
        <v>150</v>
      </c>
      <c r="D148">
        <v>-40</v>
      </c>
      <c r="E148" t="s">
        <v>14</v>
      </c>
      <c r="F148">
        <v>5291.27</v>
      </c>
      <c r="G148" t="str" cm="1">
        <f t="array" ref="G148">IF(AND(ISNUMBER(SEARCH("UBER",C148)),ISNUMBER(SEARCH("EATS",C148))),"Uber Eats",IF(LEFT(C148,6)="CHECK ","Checks Paid",IF(OR(E148="BILLPAY",ISNUMBER(SEARCH("FRANCHISE TAX",C148)),ISNUMBER(SEARCH("NEXTLINK",C148))),"Personal - House Bills",IF(AND(ISNUMBER(SEARCH("PAYMENT FROM",C148)),ISNUMBER(SEARCH("JOE SAUNDERS",C148))),"Zelle from Joe Saunders",IF(AND(ISNUMBER(SEARCH("PAYMENT TO",C148)),ISNUMBER(SEARCH("JOE SAUNDERS",C148))),"Zelle to Joe Saunders",IF(OR(ISNUMBER(SEARCH("NEW ORLEANS",C148)),ISNUMBER(SEARCH("KENNER",C148)),ISNUMBER(SEARCH("HENRY HOWARD",C148)),ISNUMBER(SEARCH("MISS CLAUDIA",C148))),"Personal Travel - New Orleans",IFERROR(INDEX('Category Rules'!$B$2:$B$194,MATCH(TRUE,ISNUMBER(SEARCH('Category Rules'!$A$2:$A$194,C148)),0)),"")))))))</f>
        <v>Personal - Car</v>
      </c>
    </row>
    <row r="149" spans="1:7" x14ac:dyDescent="0.25">
      <c r="A149" t="s">
        <v>37</v>
      </c>
      <c r="B149" s="1">
        <v>46195</v>
      </c>
      <c r="C149" t="s">
        <v>151</v>
      </c>
      <c r="D149">
        <v>1000</v>
      </c>
      <c r="E149" t="s">
        <v>39</v>
      </c>
      <c r="F149">
        <v>5331.27</v>
      </c>
      <c r="G149" t="str" cm="1">
        <f t="array" ref="G149">IF(AND(ISNUMBER(SEARCH("UBER",C149)),ISNUMBER(SEARCH("EATS",C149))),"Uber Eats",IF(LEFT(C149,6)="CHECK ","Checks Paid",IF(OR(E149="BILLPAY",ISNUMBER(SEARCH("FRANCHISE TAX",C149)),ISNUMBER(SEARCH("NEXTLINK",C149))),"Personal - House Bills",IF(AND(ISNUMBER(SEARCH("PAYMENT FROM",C149)),ISNUMBER(SEARCH("JOE SAUNDERS",C149))),"Zelle from Joe Saunders",IF(AND(ISNUMBER(SEARCH("PAYMENT TO",C149)),ISNUMBER(SEARCH("JOE SAUNDERS",C149))),"Zelle to Joe Saunders",IF(OR(ISNUMBER(SEARCH("NEW ORLEANS",C149)),ISNUMBER(SEARCH("KENNER",C149)),ISNUMBER(SEARCH("HENRY HOWARD",C149)),ISNUMBER(SEARCH("MISS CLAUDIA",C149))),"Personal Travel - New Orleans",IFERROR(INDEX('Category Rules'!$B$2:$B$194,MATCH(TRUE,ISNUMBER(SEARCH('Category Rules'!$A$2:$A$194,C149)),0)),"")))))))</f>
        <v>Transfer from DWG Capital Group</v>
      </c>
    </row>
    <row r="150" spans="1:7" x14ac:dyDescent="0.25">
      <c r="A150" t="s">
        <v>37</v>
      </c>
      <c r="B150" s="1">
        <v>46195</v>
      </c>
      <c r="C150" t="s">
        <v>152</v>
      </c>
      <c r="D150">
        <v>2000</v>
      </c>
      <c r="E150" t="s">
        <v>39</v>
      </c>
      <c r="F150">
        <v>4331.2700000000004</v>
      </c>
      <c r="G150" t="str" cm="1">
        <f t="array" ref="G150">IF(AND(ISNUMBER(SEARCH("UBER",C150)),ISNUMBER(SEARCH("EATS",C150))),"Uber Eats",IF(LEFT(C150,6)="CHECK ","Checks Paid",IF(OR(E150="BILLPAY",ISNUMBER(SEARCH("FRANCHISE TAX",C150)),ISNUMBER(SEARCH("NEXTLINK",C150))),"Personal - House Bills",IF(AND(ISNUMBER(SEARCH("PAYMENT FROM",C150)),ISNUMBER(SEARCH("JOE SAUNDERS",C150))),"Zelle from Joe Saunders",IF(AND(ISNUMBER(SEARCH("PAYMENT TO",C150)),ISNUMBER(SEARCH("JOE SAUNDERS",C150))),"Zelle to Joe Saunders",IF(OR(ISNUMBER(SEARCH("NEW ORLEANS",C150)),ISNUMBER(SEARCH("KENNER",C150)),ISNUMBER(SEARCH("HENRY HOWARD",C150)),ISNUMBER(SEARCH("MISS CLAUDIA",C150))),"Personal Travel - New Orleans",IFERROR(INDEX('Category Rules'!$B$2:$B$194,MATCH(TRUE,ISNUMBER(SEARCH('Category Rules'!$A$2:$A$194,C150)),0)),"")))))))</f>
        <v>Transfer from DWG Capital Group</v>
      </c>
    </row>
    <row r="151" spans="1:7" x14ac:dyDescent="0.25">
      <c r="A151" t="s">
        <v>6</v>
      </c>
      <c r="B151" s="1">
        <v>46191</v>
      </c>
      <c r="C151" t="s">
        <v>153</v>
      </c>
      <c r="D151">
        <v>-500</v>
      </c>
      <c r="E151" t="s">
        <v>48</v>
      </c>
      <c r="F151">
        <v>2331.27</v>
      </c>
      <c r="G151" t="str" cm="1">
        <f t="array" ref="G151">IF(AND(ISNUMBER(SEARCH("UBER",C151)),ISNUMBER(SEARCH("EATS",C151))),"Uber Eats",IF(LEFT(C151,6)="CHECK ","Checks Paid",IF(OR(E151="BILLPAY",ISNUMBER(SEARCH("FRANCHISE TAX",C151)),ISNUMBER(SEARCH("NEXTLINK",C151))),"Personal - House Bills",IF(AND(ISNUMBER(SEARCH("PAYMENT FROM",C151)),ISNUMBER(SEARCH("JOE SAUNDERS",C151))),"Zelle from Joe Saunders",IF(AND(ISNUMBER(SEARCH("PAYMENT TO",C151)),ISNUMBER(SEARCH("JOE SAUNDERS",C151))),"Zelle to Joe Saunders",IF(OR(ISNUMBER(SEARCH("NEW ORLEANS",C151)),ISNUMBER(SEARCH("KENNER",C151)),ISNUMBER(SEARCH("HENRY HOWARD",C151)),ISNUMBER(SEARCH("MISS CLAUDIA",C151))),"Personal Travel - New Orleans",IFERROR(INDEX('Category Rules'!$B$2:$B$194,MATCH(TRUE,ISNUMBER(SEARCH('Category Rules'!$A$2:$A$194,C151)),0)),"")))))))</f>
        <v>Withdrawal</v>
      </c>
    </row>
    <row r="152" spans="1:7" x14ac:dyDescent="0.25">
      <c r="A152" t="s">
        <v>6</v>
      </c>
      <c r="B152" s="1">
        <v>46191</v>
      </c>
      <c r="C152" t="s">
        <v>154</v>
      </c>
      <c r="D152">
        <v>-453.81</v>
      </c>
      <c r="E152" t="s">
        <v>14</v>
      </c>
      <c r="F152">
        <v>2831.27</v>
      </c>
      <c r="G152" t="str" cm="1">
        <f t="array" ref="G152">IF(AND(ISNUMBER(SEARCH("UBER",C152)),ISNUMBER(SEARCH("EATS",C152))),"Uber Eats",IF(LEFT(C152,6)="CHECK ","Checks Paid",IF(OR(E152="BILLPAY",ISNUMBER(SEARCH("FRANCHISE TAX",C152)),ISNUMBER(SEARCH("NEXTLINK",C152))),"Personal - House Bills",IF(AND(ISNUMBER(SEARCH("PAYMENT FROM",C152)),ISNUMBER(SEARCH("JOE SAUNDERS",C152))),"Zelle from Joe Saunders",IF(AND(ISNUMBER(SEARCH("PAYMENT TO",C152)),ISNUMBER(SEARCH("JOE SAUNDERS",C152))),"Zelle to Joe Saunders",IF(OR(ISNUMBER(SEARCH("NEW ORLEANS",C152)),ISNUMBER(SEARCH("KENNER",C152)),ISNUMBER(SEARCH("HENRY HOWARD",C152)),ISNUMBER(SEARCH("MISS CLAUDIA",C152))),"Personal Travel - New Orleans",IFERROR(INDEX('Category Rules'!$B$2:$B$194,MATCH(TRUE,ISNUMBER(SEARCH('Category Rules'!$A$2:$A$194,C152)),0)),"")))))))</f>
        <v>Personal - Shopping</v>
      </c>
    </row>
    <row r="153" spans="1:7" x14ac:dyDescent="0.25">
      <c r="A153" t="s">
        <v>6</v>
      </c>
      <c r="B153" s="1">
        <v>46191</v>
      </c>
      <c r="C153" t="s">
        <v>155</v>
      </c>
      <c r="D153">
        <v>-25.85</v>
      </c>
      <c r="E153" t="s">
        <v>14</v>
      </c>
      <c r="F153">
        <v>3285.08</v>
      </c>
      <c r="G153" t="str" cm="1">
        <f t="array" ref="G153">IF(AND(ISNUMBER(SEARCH("UBER",C153)),ISNUMBER(SEARCH("EATS",C153))),"Uber Eats",IF(LEFT(C153,6)="CHECK ","Checks Paid",IF(OR(E153="BILLPAY",ISNUMBER(SEARCH("FRANCHISE TAX",C153)),ISNUMBER(SEARCH("NEXTLINK",C153))),"Personal - House Bills",IF(AND(ISNUMBER(SEARCH("PAYMENT FROM",C153)),ISNUMBER(SEARCH("JOE SAUNDERS",C153))),"Zelle from Joe Saunders",IF(AND(ISNUMBER(SEARCH("PAYMENT TO",C153)),ISNUMBER(SEARCH("JOE SAUNDERS",C153))),"Zelle to Joe Saunders",IF(OR(ISNUMBER(SEARCH("NEW ORLEANS",C153)),ISNUMBER(SEARCH("KENNER",C153)),ISNUMBER(SEARCH("HENRY HOWARD",C153)),ISNUMBER(SEARCH("MISS CLAUDIA",C153))),"Personal Travel - New Orleans",IFERROR(INDEX('Category Rules'!$B$2:$B$194,MATCH(TRUE,ISNUMBER(SEARCH('Category Rules'!$A$2:$A$194,C153)),0)),"")))))))</f>
        <v>Amazon</v>
      </c>
    </row>
    <row r="154" spans="1:7" x14ac:dyDescent="0.25">
      <c r="A154" t="s">
        <v>6</v>
      </c>
      <c r="B154" s="1">
        <v>46191</v>
      </c>
      <c r="C154" t="s">
        <v>156</v>
      </c>
      <c r="D154">
        <v>-36.9</v>
      </c>
      <c r="E154" t="s">
        <v>14</v>
      </c>
      <c r="F154">
        <v>3310.93</v>
      </c>
      <c r="G154" t="str" cm="1">
        <f t="array" ref="G154">IF(AND(ISNUMBER(SEARCH("UBER",C154)),ISNUMBER(SEARCH("EATS",C154))),"Uber Eats",IF(LEFT(C154,6)="CHECK ","Checks Paid",IF(OR(E154="BILLPAY",ISNUMBER(SEARCH("FRANCHISE TAX",C154)),ISNUMBER(SEARCH("NEXTLINK",C154))),"Personal - House Bills",IF(AND(ISNUMBER(SEARCH("PAYMENT FROM",C154)),ISNUMBER(SEARCH("JOE SAUNDERS",C154))),"Zelle from Joe Saunders",IF(AND(ISNUMBER(SEARCH("PAYMENT TO",C154)),ISNUMBER(SEARCH("JOE SAUNDERS",C154))),"Zelle to Joe Saunders",IF(OR(ISNUMBER(SEARCH("NEW ORLEANS",C154)),ISNUMBER(SEARCH("KENNER",C154)),ISNUMBER(SEARCH("HENRY HOWARD",C154)),ISNUMBER(SEARCH("MISS CLAUDIA",C154))),"Personal Travel - New Orleans",IFERROR(INDEX('Category Rules'!$B$2:$B$194,MATCH(TRUE,ISNUMBER(SEARCH('Category Rules'!$A$2:$A$194,C154)),0)),"")))))))</f>
        <v>Amazon</v>
      </c>
    </row>
    <row r="155" spans="1:7" x14ac:dyDescent="0.25">
      <c r="A155" t="s">
        <v>6</v>
      </c>
      <c r="B155" s="1">
        <v>46191</v>
      </c>
      <c r="C155" t="s">
        <v>157</v>
      </c>
      <c r="D155">
        <v>-54.56</v>
      </c>
      <c r="E155" t="s">
        <v>14</v>
      </c>
      <c r="F155">
        <v>3347.83</v>
      </c>
      <c r="G155" t="str" cm="1">
        <f t="array" ref="G155">IF(AND(ISNUMBER(SEARCH("UBER",C155)),ISNUMBER(SEARCH("EATS",C155))),"Uber Eats",IF(LEFT(C155,6)="CHECK ","Checks Paid",IF(OR(E155="BILLPAY",ISNUMBER(SEARCH("FRANCHISE TAX",C155)),ISNUMBER(SEARCH("NEXTLINK",C155))),"Personal - House Bills",IF(AND(ISNUMBER(SEARCH("PAYMENT FROM",C155)),ISNUMBER(SEARCH("JOE SAUNDERS",C155))),"Zelle from Joe Saunders",IF(AND(ISNUMBER(SEARCH("PAYMENT TO",C155)),ISNUMBER(SEARCH("JOE SAUNDERS",C155))),"Zelle to Joe Saunders",IF(OR(ISNUMBER(SEARCH("NEW ORLEANS",C155)),ISNUMBER(SEARCH("KENNER",C155)),ISNUMBER(SEARCH("HENRY HOWARD",C155)),ISNUMBER(SEARCH("MISS CLAUDIA",C155))),"Personal Travel - New Orleans",IFERROR(INDEX('Category Rules'!$B$2:$B$194,MATCH(TRUE,ISNUMBER(SEARCH('Category Rules'!$A$2:$A$194,C155)),0)),"")))))))</f>
        <v>Amazon</v>
      </c>
    </row>
    <row r="156" spans="1:7" x14ac:dyDescent="0.25">
      <c r="A156" t="s">
        <v>6</v>
      </c>
      <c r="B156" s="1">
        <v>46191</v>
      </c>
      <c r="C156" t="s">
        <v>158</v>
      </c>
      <c r="D156">
        <v>-14.99</v>
      </c>
      <c r="E156" t="s">
        <v>14</v>
      </c>
      <c r="F156">
        <v>3402.39</v>
      </c>
      <c r="G156" t="str" cm="1">
        <f t="array" ref="G156">IF(AND(ISNUMBER(SEARCH("UBER",C156)),ISNUMBER(SEARCH("EATS",C156))),"Uber Eats",IF(LEFT(C156,6)="CHECK ","Checks Paid",IF(OR(E156="BILLPAY",ISNUMBER(SEARCH("FRANCHISE TAX",C156)),ISNUMBER(SEARCH("NEXTLINK",C156))),"Personal - House Bills",IF(AND(ISNUMBER(SEARCH("PAYMENT FROM",C156)),ISNUMBER(SEARCH("JOE SAUNDERS",C156))),"Zelle from Joe Saunders",IF(AND(ISNUMBER(SEARCH("PAYMENT TO",C156)),ISNUMBER(SEARCH("JOE SAUNDERS",C156))),"Zelle to Joe Saunders",IF(OR(ISNUMBER(SEARCH("NEW ORLEANS",C156)),ISNUMBER(SEARCH("KENNER",C156)),ISNUMBER(SEARCH("HENRY HOWARD",C156)),ISNUMBER(SEARCH("MISS CLAUDIA",C156))),"Personal Travel - New Orleans",IFERROR(INDEX('Category Rules'!$B$2:$B$194,MATCH(TRUE,ISNUMBER(SEARCH('Category Rules'!$A$2:$A$194,C156)),0)),"")))))))</f>
        <v>Amazon</v>
      </c>
    </row>
    <row r="157" spans="1:7" x14ac:dyDescent="0.25">
      <c r="A157" t="s">
        <v>6</v>
      </c>
      <c r="B157" s="1">
        <v>46191</v>
      </c>
      <c r="C157" t="s">
        <v>159</v>
      </c>
      <c r="D157">
        <v>-30</v>
      </c>
      <c r="E157" t="s">
        <v>14</v>
      </c>
      <c r="F157">
        <v>3417.38</v>
      </c>
      <c r="G157" t="str" cm="1">
        <f t="array" ref="G157">IF(AND(ISNUMBER(SEARCH("UBER",C157)),ISNUMBER(SEARCH("EATS",C157))),"Uber Eats",IF(LEFT(C157,6)="CHECK ","Checks Paid",IF(OR(E157="BILLPAY",ISNUMBER(SEARCH("FRANCHISE TAX",C157)),ISNUMBER(SEARCH("NEXTLINK",C157))),"Personal - House Bills",IF(AND(ISNUMBER(SEARCH("PAYMENT FROM",C157)),ISNUMBER(SEARCH("JOE SAUNDERS",C157))),"Zelle from Joe Saunders",IF(AND(ISNUMBER(SEARCH("PAYMENT TO",C157)),ISNUMBER(SEARCH("JOE SAUNDERS",C157))),"Zelle to Joe Saunders",IF(OR(ISNUMBER(SEARCH("NEW ORLEANS",C157)),ISNUMBER(SEARCH("KENNER",C157)),ISNUMBER(SEARCH("HENRY HOWARD",C157)),ISNUMBER(SEARCH("MISS CLAUDIA",C157))),"Personal Travel - New Orleans",IFERROR(INDEX('Category Rules'!$B$2:$B$194,MATCH(TRUE,ISNUMBER(SEARCH('Category Rules'!$A$2:$A$194,C157)),0)),"")))))))</f>
        <v>Personal - Subscription</v>
      </c>
    </row>
    <row r="158" spans="1:7" x14ac:dyDescent="0.25">
      <c r="A158" t="s">
        <v>6</v>
      </c>
      <c r="B158" s="1">
        <v>46191</v>
      </c>
      <c r="C158" t="s">
        <v>160</v>
      </c>
      <c r="D158">
        <v>-60</v>
      </c>
      <c r="E158" t="s">
        <v>14</v>
      </c>
      <c r="F158">
        <v>3447.38</v>
      </c>
      <c r="G158" t="str" cm="1">
        <f t="array" ref="G158">IF(AND(ISNUMBER(SEARCH("UBER",C158)),ISNUMBER(SEARCH("EATS",C158))),"Uber Eats",IF(LEFT(C158,6)="CHECK ","Checks Paid",IF(OR(E158="BILLPAY",ISNUMBER(SEARCH("FRANCHISE TAX",C158)),ISNUMBER(SEARCH("NEXTLINK",C158))),"Personal - House Bills",IF(AND(ISNUMBER(SEARCH("PAYMENT FROM",C158)),ISNUMBER(SEARCH("JOE SAUNDERS",C158))),"Zelle from Joe Saunders",IF(AND(ISNUMBER(SEARCH("PAYMENT TO",C158)),ISNUMBER(SEARCH("JOE SAUNDERS",C158))),"Zelle to Joe Saunders",IF(OR(ISNUMBER(SEARCH("NEW ORLEANS",C158)),ISNUMBER(SEARCH("KENNER",C158)),ISNUMBER(SEARCH("HENRY HOWARD",C158)),ISNUMBER(SEARCH("MISS CLAUDIA",C158))),"Personal Travel - New Orleans",IFERROR(INDEX('Category Rules'!$B$2:$B$194,MATCH(TRUE,ISNUMBER(SEARCH('Category Rules'!$A$2:$A$194,C158)),0)),"")))))))</f>
        <v>Personal - Subscription</v>
      </c>
    </row>
    <row r="159" spans="1:7" x14ac:dyDescent="0.25">
      <c r="A159" t="s">
        <v>37</v>
      </c>
      <c r="B159" s="1">
        <v>46191</v>
      </c>
      <c r="C159" t="s">
        <v>161</v>
      </c>
      <c r="D159">
        <v>2000</v>
      </c>
      <c r="E159" t="s">
        <v>39</v>
      </c>
      <c r="F159">
        <v>3507.38</v>
      </c>
      <c r="G159" t="str" cm="1">
        <f t="array" ref="G159">IF(AND(ISNUMBER(SEARCH("UBER",C159)),ISNUMBER(SEARCH("EATS",C159))),"Uber Eats",IF(LEFT(C159,6)="CHECK ","Checks Paid",IF(OR(E159="BILLPAY",ISNUMBER(SEARCH("FRANCHISE TAX",C159)),ISNUMBER(SEARCH("NEXTLINK",C159))),"Personal - House Bills",IF(AND(ISNUMBER(SEARCH("PAYMENT FROM",C159)),ISNUMBER(SEARCH("JOE SAUNDERS",C159))),"Zelle from Joe Saunders",IF(AND(ISNUMBER(SEARCH("PAYMENT TO",C159)),ISNUMBER(SEARCH("JOE SAUNDERS",C159))),"Zelle to Joe Saunders",IF(OR(ISNUMBER(SEARCH("NEW ORLEANS",C159)),ISNUMBER(SEARCH("KENNER",C159)),ISNUMBER(SEARCH("HENRY HOWARD",C159)),ISNUMBER(SEARCH("MISS CLAUDIA",C159))),"Personal Travel - New Orleans",IFERROR(INDEX('Category Rules'!$B$2:$B$194,MATCH(TRUE,ISNUMBER(SEARCH('Category Rules'!$A$2:$A$194,C159)),0)),"")))))))</f>
        <v>Transfer from DWG Capital Group</v>
      </c>
    </row>
    <row r="160" spans="1:7" x14ac:dyDescent="0.25">
      <c r="A160" t="s">
        <v>37</v>
      </c>
      <c r="B160" s="1">
        <v>46191</v>
      </c>
      <c r="C160" t="s">
        <v>162</v>
      </c>
      <c r="D160">
        <v>588.74</v>
      </c>
      <c r="E160" t="s">
        <v>117</v>
      </c>
      <c r="F160">
        <v>1507.38</v>
      </c>
      <c r="G160" t="str" cm="1">
        <f t="array" ref="G160">IF(AND(ISNUMBER(SEARCH("UBER",C160)),ISNUMBER(SEARCH("EATS",C160))),"Uber Eats",IF(LEFT(C160,6)="CHECK ","Checks Paid",IF(OR(E160="BILLPAY",ISNUMBER(SEARCH("FRANCHISE TAX",C160)),ISNUMBER(SEARCH("NEXTLINK",C160))),"Personal - House Bills",IF(AND(ISNUMBER(SEARCH("PAYMENT FROM",C160)),ISNUMBER(SEARCH("JOE SAUNDERS",C160))),"Zelle from Joe Saunders",IF(AND(ISNUMBER(SEARCH("PAYMENT TO",C160)),ISNUMBER(SEARCH("JOE SAUNDERS",C160))),"Zelle to Joe Saunders",IF(OR(ISNUMBER(SEARCH("NEW ORLEANS",C160)),ISNUMBER(SEARCH("KENNER",C160)),ISNUMBER(SEARCH("HENRY HOWARD",C160)),ISNUMBER(SEARCH("MISS CLAUDIA",C160))),"Personal Travel - New Orleans",IFERROR(INDEX('Category Rules'!$B$2:$B$194,MATCH(TRUE,ISNUMBER(SEARCH('Category Rules'!$A$2:$A$194,C160)),0)),"")))))))</f>
        <v>Deposit</v>
      </c>
    </row>
    <row r="161" spans="1:7" x14ac:dyDescent="0.25">
      <c r="A161" t="s">
        <v>6</v>
      </c>
      <c r="B161" s="1">
        <v>46190</v>
      </c>
      <c r="C161" t="s">
        <v>163</v>
      </c>
      <c r="D161">
        <v>-330</v>
      </c>
      <c r="E161" t="s">
        <v>14</v>
      </c>
      <c r="F161">
        <v>918.64</v>
      </c>
      <c r="G161" t="str" cm="1">
        <f t="array" ref="G161">IF(AND(ISNUMBER(SEARCH("UBER",C161)),ISNUMBER(SEARCH("EATS",C161))),"Uber Eats",IF(LEFT(C161,6)="CHECK ","Checks Paid",IF(OR(E161="BILLPAY",ISNUMBER(SEARCH("FRANCHISE TAX",C161)),ISNUMBER(SEARCH("NEXTLINK",C161))),"Personal - House Bills",IF(AND(ISNUMBER(SEARCH("PAYMENT FROM",C161)),ISNUMBER(SEARCH("JOE SAUNDERS",C161))),"Zelle from Joe Saunders",IF(AND(ISNUMBER(SEARCH("PAYMENT TO",C161)),ISNUMBER(SEARCH("JOE SAUNDERS",C161))),"Zelle to Joe Saunders",IF(OR(ISNUMBER(SEARCH("NEW ORLEANS",C161)),ISNUMBER(SEARCH("KENNER",C161)),ISNUMBER(SEARCH("HENRY HOWARD",C161)),ISNUMBER(SEARCH("MISS CLAUDIA",C161))),"Personal Travel - New Orleans",IFERROR(INDEX('Category Rules'!$B$2:$B$194,MATCH(TRUE,ISNUMBER(SEARCH('Category Rules'!$A$2:$A$194,C161)),0)),"")))))))</f>
        <v>Personal - Entertainment</v>
      </c>
    </row>
    <row r="162" spans="1:7" x14ac:dyDescent="0.25">
      <c r="A162" t="s">
        <v>6</v>
      </c>
      <c r="B162" s="1">
        <v>46190</v>
      </c>
      <c r="C162" t="s">
        <v>164</v>
      </c>
      <c r="D162">
        <v>-30</v>
      </c>
      <c r="E162" t="s">
        <v>14</v>
      </c>
      <c r="F162">
        <v>1248.6400000000001</v>
      </c>
      <c r="G162" t="str" cm="1">
        <f t="array" ref="G162">IF(AND(ISNUMBER(SEARCH("UBER",C162)),ISNUMBER(SEARCH("EATS",C162))),"Uber Eats",IF(LEFT(C162,6)="CHECK ","Checks Paid",IF(OR(E162="BILLPAY",ISNUMBER(SEARCH("FRANCHISE TAX",C162)),ISNUMBER(SEARCH("NEXTLINK",C162))),"Personal - House Bills",IF(AND(ISNUMBER(SEARCH("PAYMENT FROM",C162)),ISNUMBER(SEARCH("JOE SAUNDERS",C162))),"Zelle from Joe Saunders",IF(AND(ISNUMBER(SEARCH("PAYMENT TO",C162)),ISNUMBER(SEARCH("JOE SAUNDERS",C162))),"Zelle to Joe Saunders",IF(OR(ISNUMBER(SEARCH("NEW ORLEANS",C162)),ISNUMBER(SEARCH("KENNER",C162)),ISNUMBER(SEARCH("HENRY HOWARD",C162)),ISNUMBER(SEARCH("MISS CLAUDIA",C162))),"Personal Travel - New Orleans",IFERROR(INDEX('Category Rules'!$B$2:$B$194,MATCH(TRUE,ISNUMBER(SEARCH('Category Rules'!$A$2:$A$194,C162)),0)),"")))))))</f>
        <v>Amazon</v>
      </c>
    </row>
    <row r="163" spans="1:7" x14ac:dyDescent="0.25">
      <c r="A163" t="s">
        <v>6</v>
      </c>
      <c r="B163" s="1">
        <v>46189</v>
      </c>
      <c r="C163" t="s">
        <v>165</v>
      </c>
      <c r="D163">
        <v>-161.29</v>
      </c>
      <c r="E163" t="s">
        <v>14</v>
      </c>
      <c r="F163">
        <v>1278.6400000000001</v>
      </c>
      <c r="G163" t="str" cm="1">
        <f t="array" ref="G163">IF(AND(ISNUMBER(SEARCH("UBER",C163)),ISNUMBER(SEARCH("EATS",C163))),"Uber Eats",IF(LEFT(C163,6)="CHECK ","Checks Paid",IF(OR(E163="BILLPAY",ISNUMBER(SEARCH("FRANCHISE TAX",C163)),ISNUMBER(SEARCH("NEXTLINK",C163))),"Personal - House Bills",IF(AND(ISNUMBER(SEARCH("PAYMENT FROM",C163)),ISNUMBER(SEARCH("JOE SAUNDERS",C163))),"Zelle from Joe Saunders",IF(AND(ISNUMBER(SEARCH("PAYMENT TO",C163)),ISNUMBER(SEARCH("JOE SAUNDERS",C163))),"Zelle to Joe Saunders",IF(OR(ISNUMBER(SEARCH("NEW ORLEANS",C163)),ISNUMBER(SEARCH("KENNER",C163)),ISNUMBER(SEARCH("HENRY HOWARD",C163)),ISNUMBER(SEARCH("MISS CLAUDIA",C163))),"Personal Travel - New Orleans",IFERROR(INDEX('Category Rules'!$B$2:$B$194,MATCH(TRUE,ISNUMBER(SEARCH('Category Rules'!$A$2:$A$194,C163)),0)),"")))))))</f>
        <v>Personal - Health</v>
      </c>
    </row>
    <row r="164" spans="1:7" x14ac:dyDescent="0.25">
      <c r="A164" t="s">
        <v>6</v>
      </c>
      <c r="B164" s="1">
        <v>46189</v>
      </c>
      <c r="C164" t="s">
        <v>166</v>
      </c>
      <c r="D164">
        <v>-653.37</v>
      </c>
      <c r="E164" t="s">
        <v>14</v>
      </c>
      <c r="F164">
        <v>1439.93</v>
      </c>
      <c r="G164" t="str" cm="1">
        <f t="array" ref="G164">IF(AND(ISNUMBER(SEARCH("UBER",C164)),ISNUMBER(SEARCH("EATS",C164))),"Uber Eats",IF(LEFT(C164,6)="CHECK ","Checks Paid",IF(OR(E164="BILLPAY",ISNUMBER(SEARCH("FRANCHISE TAX",C164)),ISNUMBER(SEARCH("NEXTLINK",C164))),"Personal - House Bills",IF(AND(ISNUMBER(SEARCH("PAYMENT FROM",C164)),ISNUMBER(SEARCH("JOE SAUNDERS",C164))),"Zelle from Joe Saunders",IF(AND(ISNUMBER(SEARCH("PAYMENT TO",C164)),ISNUMBER(SEARCH("JOE SAUNDERS",C164))),"Zelle to Joe Saunders",IF(OR(ISNUMBER(SEARCH("NEW ORLEANS",C164)),ISNUMBER(SEARCH("KENNER",C164)),ISNUMBER(SEARCH("HENRY HOWARD",C164)),ISNUMBER(SEARCH("MISS CLAUDIA",C164))),"Personal Travel - New Orleans",IFERROR(INDEX('Category Rules'!$B$2:$B$194,MATCH(TRUE,ISNUMBER(SEARCH('Category Rules'!$A$2:$A$194,C164)),0)),"")))))))</f>
        <v>Personal - Food</v>
      </c>
    </row>
    <row r="165" spans="1:7" x14ac:dyDescent="0.25">
      <c r="A165" t="s">
        <v>6</v>
      </c>
      <c r="B165" s="1">
        <v>46189</v>
      </c>
      <c r="C165" t="s">
        <v>167</v>
      </c>
      <c r="D165">
        <v>-392.84</v>
      </c>
      <c r="E165" t="s">
        <v>14</v>
      </c>
      <c r="F165">
        <v>2093.3000000000002</v>
      </c>
      <c r="G165" t="str" cm="1">
        <f t="array" ref="G165">IF(AND(ISNUMBER(SEARCH("UBER",C165)),ISNUMBER(SEARCH("EATS",C165))),"Uber Eats",IF(LEFT(C165,6)="CHECK ","Checks Paid",IF(OR(E165="BILLPAY",ISNUMBER(SEARCH("FRANCHISE TAX",C165)),ISNUMBER(SEARCH("NEXTLINK",C165))),"Personal - House Bills",IF(AND(ISNUMBER(SEARCH("PAYMENT FROM",C165)),ISNUMBER(SEARCH("JOE SAUNDERS",C165))),"Zelle from Joe Saunders",IF(AND(ISNUMBER(SEARCH("PAYMENT TO",C165)),ISNUMBER(SEARCH("JOE SAUNDERS",C165))),"Zelle to Joe Saunders",IF(OR(ISNUMBER(SEARCH("NEW ORLEANS",C165)),ISNUMBER(SEARCH("KENNER",C165)),ISNUMBER(SEARCH("HENRY HOWARD",C165)),ISNUMBER(SEARCH("MISS CLAUDIA",C165))),"Personal Travel - New Orleans",IFERROR(INDEX('Category Rules'!$B$2:$B$194,MATCH(TRUE,ISNUMBER(SEARCH('Category Rules'!$A$2:$A$194,C165)),0)),"")))))))</f>
        <v>Amazon</v>
      </c>
    </row>
    <row r="166" spans="1:7" x14ac:dyDescent="0.25">
      <c r="A166" t="s">
        <v>6</v>
      </c>
      <c r="B166" s="1">
        <v>46188</v>
      </c>
      <c r="C166" t="s">
        <v>168</v>
      </c>
      <c r="D166">
        <v>-300</v>
      </c>
      <c r="E166" t="s">
        <v>169</v>
      </c>
      <c r="F166">
        <v>2486.14</v>
      </c>
      <c r="G166" t="str" cm="1">
        <f t="array" ref="G166">IF(AND(ISNUMBER(SEARCH("UBER",C166)),ISNUMBER(SEARCH("EATS",C166))),"Uber Eats",IF(LEFT(C166,6)="CHECK ","Checks Paid",IF(OR(E166="BILLPAY",ISNUMBER(SEARCH("FRANCHISE TAX",C166)),ISNUMBER(SEARCH("NEXTLINK",C166))),"Personal - House Bills",IF(AND(ISNUMBER(SEARCH("PAYMENT FROM",C166)),ISNUMBER(SEARCH("JOE SAUNDERS",C166))),"Zelle from Joe Saunders",IF(AND(ISNUMBER(SEARCH("PAYMENT TO",C166)),ISNUMBER(SEARCH("JOE SAUNDERS",C166))),"Zelle to Joe Saunders",IF(OR(ISNUMBER(SEARCH("NEW ORLEANS",C166)),ISNUMBER(SEARCH("KENNER",C166)),ISNUMBER(SEARCH("HENRY HOWARD",C166)),ISNUMBER(SEARCH("MISS CLAUDIA",C166))),"Personal Travel - New Orleans",IFERROR(INDEX('Category Rules'!$B$2:$B$194,MATCH(TRUE,ISNUMBER(SEARCH('Category Rules'!$A$2:$A$194,C166)),0)),"")))))))</f>
        <v>Zelle to Britt Magadini</v>
      </c>
    </row>
    <row r="167" spans="1:7" x14ac:dyDescent="0.25">
      <c r="A167" t="s">
        <v>6</v>
      </c>
      <c r="B167" s="1">
        <v>46188</v>
      </c>
      <c r="C167" t="s">
        <v>170</v>
      </c>
      <c r="D167">
        <v>-49.38</v>
      </c>
      <c r="E167" t="s">
        <v>14</v>
      </c>
      <c r="F167">
        <v>2786.14</v>
      </c>
      <c r="G167" t="str" cm="1">
        <f t="array" ref="G167">IF(AND(ISNUMBER(SEARCH("UBER",C167)),ISNUMBER(SEARCH("EATS",C167))),"Uber Eats",IF(LEFT(C167,6)="CHECK ","Checks Paid",IF(OR(E167="BILLPAY",ISNUMBER(SEARCH("FRANCHISE TAX",C167)),ISNUMBER(SEARCH("NEXTLINK",C167))),"Personal - House Bills",IF(AND(ISNUMBER(SEARCH("PAYMENT FROM",C167)),ISNUMBER(SEARCH("JOE SAUNDERS",C167))),"Zelle from Joe Saunders",IF(AND(ISNUMBER(SEARCH("PAYMENT TO",C167)),ISNUMBER(SEARCH("JOE SAUNDERS",C167))),"Zelle to Joe Saunders",IF(OR(ISNUMBER(SEARCH("NEW ORLEANS",C167)),ISNUMBER(SEARCH("KENNER",C167)),ISNUMBER(SEARCH("HENRY HOWARD",C167)),ISNUMBER(SEARCH("MISS CLAUDIA",C167))),"Personal Travel - New Orleans",IFERROR(INDEX('Category Rules'!$B$2:$B$194,MATCH(TRUE,ISNUMBER(SEARCH('Category Rules'!$A$2:$A$194,C167)),0)),"")))))))</f>
        <v>Etsy</v>
      </c>
    </row>
    <row r="168" spans="1:7" x14ac:dyDescent="0.25">
      <c r="A168" t="s">
        <v>6</v>
      </c>
      <c r="B168" s="1">
        <v>46188</v>
      </c>
      <c r="C168" t="s">
        <v>171</v>
      </c>
      <c r="D168">
        <v>-43.89</v>
      </c>
      <c r="E168" t="s">
        <v>14</v>
      </c>
      <c r="F168">
        <v>2835.52</v>
      </c>
      <c r="G168" t="str" cm="1">
        <f t="array" ref="G168">IF(AND(ISNUMBER(SEARCH("UBER",C168)),ISNUMBER(SEARCH("EATS",C168))),"Uber Eats",IF(LEFT(C168,6)="CHECK ","Checks Paid",IF(OR(E168="BILLPAY",ISNUMBER(SEARCH("FRANCHISE TAX",C168)),ISNUMBER(SEARCH("NEXTLINK",C168))),"Personal - House Bills",IF(AND(ISNUMBER(SEARCH("PAYMENT FROM",C168)),ISNUMBER(SEARCH("JOE SAUNDERS",C168))),"Zelle from Joe Saunders",IF(AND(ISNUMBER(SEARCH("PAYMENT TO",C168)),ISNUMBER(SEARCH("JOE SAUNDERS",C168))),"Zelle to Joe Saunders",IF(OR(ISNUMBER(SEARCH("NEW ORLEANS",C168)),ISNUMBER(SEARCH("KENNER",C168)),ISNUMBER(SEARCH("HENRY HOWARD",C168)),ISNUMBER(SEARCH("MISS CLAUDIA",C168))),"Personal Travel - New Orleans",IFERROR(INDEX('Category Rules'!$B$2:$B$194,MATCH(TRUE,ISNUMBER(SEARCH('Category Rules'!$A$2:$A$194,C168)),0)),"")))))))</f>
        <v>Etsy</v>
      </c>
    </row>
    <row r="169" spans="1:7" x14ac:dyDescent="0.25">
      <c r="A169" t="s">
        <v>6</v>
      </c>
      <c r="B169" s="1">
        <v>46188</v>
      </c>
      <c r="C169" t="s">
        <v>172</v>
      </c>
      <c r="D169">
        <v>-52.66</v>
      </c>
      <c r="E169" t="s">
        <v>14</v>
      </c>
      <c r="F169">
        <v>2879.41</v>
      </c>
      <c r="G169" t="str" cm="1">
        <f t="array" ref="G169">IF(AND(ISNUMBER(SEARCH("UBER",C169)),ISNUMBER(SEARCH("EATS",C169))),"Uber Eats",IF(LEFT(C169,6)="CHECK ","Checks Paid",IF(OR(E169="BILLPAY",ISNUMBER(SEARCH("FRANCHISE TAX",C169)),ISNUMBER(SEARCH("NEXTLINK",C169))),"Personal - House Bills",IF(AND(ISNUMBER(SEARCH("PAYMENT FROM",C169)),ISNUMBER(SEARCH("JOE SAUNDERS",C169))),"Zelle from Joe Saunders",IF(AND(ISNUMBER(SEARCH("PAYMENT TO",C169)),ISNUMBER(SEARCH("JOE SAUNDERS",C169))),"Zelle to Joe Saunders",IF(OR(ISNUMBER(SEARCH("NEW ORLEANS",C169)),ISNUMBER(SEARCH("KENNER",C169)),ISNUMBER(SEARCH("HENRY HOWARD",C169)),ISNUMBER(SEARCH("MISS CLAUDIA",C169))),"Personal Travel - New Orleans",IFERROR(INDEX('Category Rules'!$B$2:$B$194,MATCH(TRUE,ISNUMBER(SEARCH('Category Rules'!$A$2:$A$194,C169)),0)),"")))))))</f>
        <v>Etsy</v>
      </c>
    </row>
    <row r="170" spans="1:7" x14ac:dyDescent="0.25">
      <c r="A170" t="s">
        <v>6</v>
      </c>
      <c r="B170" s="1">
        <v>46188</v>
      </c>
      <c r="C170" t="s">
        <v>173</v>
      </c>
      <c r="D170">
        <v>-687.96</v>
      </c>
      <c r="E170" t="s">
        <v>14</v>
      </c>
      <c r="F170">
        <v>2932.07</v>
      </c>
      <c r="G170" t="str" cm="1">
        <f t="array" ref="G170">IF(AND(ISNUMBER(SEARCH("UBER",C170)),ISNUMBER(SEARCH("EATS",C170))),"Uber Eats",IF(LEFT(C170,6)="CHECK ","Checks Paid",IF(OR(E170="BILLPAY",ISNUMBER(SEARCH("FRANCHISE TAX",C170)),ISNUMBER(SEARCH("NEXTLINK",C170))),"Personal - House Bills",IF(AND(ISNUMBER(SEARCH("PAYMENT FROM",C170)),ISNUMBER(SEARCH("JOE SAUNDERS",C170))),"Zelle from Joe Saunders",IF(AND(ISNUMBER(SEARCH("PAYMENT TO",C170)),ISNUMBER(SEARCH("JOE SAUNDERS",C170))),"Zelle to Joe Saunders",IF(OR(ISNUMBER(SEARCH("NEW ORLEANS",C170)),ISNUMBER(SEARCH("KENNER",C170)),ISNUMBER(SEARCH("HENRY HOWARD",C170)),ISNUMBER(SEARCH("MISS CLAUDIA",C170))),"Personal Travel - New Orleans",IFERROR(INDEX('Category Rules'!$B$2:$B$194,MATCH(TRUE,ISNUMBER(SEARCH('Category Rules'!$A$2:$A$194,C170)),0)),"")))))))</f>
        <v>Personal - Health</v>
      </c>
    </row>
    <row r="171" spans="1:7" x14ac:dyDescent="0.25">
      <c r="A171" t="s">
        <v>6</v>
      </c>
      <c r="B171" s="1">
        <v>46188</v>
      </c>
      <c r="C171" t="s">
        <v>174</v>
      </c>
      <c r="D171">
        <v>-63.97</v>
      </c>
      <c r="E171" t="s">
        <v>14</v>
      </c>
      <c r="F171">
        <v>3620.03</v>
      </c>
      <c r="G171" t="str" cm="1">
        <f t="array" ref="G171">IF(AND(ISNUMBER(SEARCH("UBER",C171)),ISNUMBER(SEARCH("EATS",C171))),"Uber Eats",IF(LEFT(C171,6)="CHECK ","Checks Paid",IF(OR(E171="BILLPAY",ISNUMBER(SEARCH("FRANCHISE TAX",C171)),ISNUMBER(SEARCH("NEXTLINK",C171))),"Personal - House Bills",IF(AND(ISNUMBER(SEARCH("PAYMENT FROM",C171)),ISNUMBER(SEARCH("JOE SAUNDERS",C171))),"Zelle from Joe Saunders",IF(AND(ISNUMBER(SEARCH("PAYMENT TO",C171)),ISNUMBER(SEARCH("JOE SAUNDERS",C171))),"Zelle to Joe Saunders",IF(OR(ISNUMBER(SEARCH("NEW ORLEANS",C171)),ISNUMBER(SEARCH("KENNER",C171)),ISNUMBER(SEARCH("HENRY HOWARD",C171)),ISNUMBER(SEARCH("MISS CLAUDIA",C171))),"Personal Travel - New Orleans",IFERROR(INDEX('Category Rules'!$B$2:$B$194,MATCH(TRUE,ISNUMBER(SEARCH('Category Rules'!$A$2:$A$194,C171)),0)),"")))))))</f>
        <v>Amazon</v>
      </c>
    </row>
    <row r="172" spans="1:7" x14ac:dyDescent="0.25">
      <c r="A172" t="s">
        <v>6</v>
      </c>
      <c r="B172" s="1">
        <v>46188</v>
      </c>
      <c r="C172" t="s">
        <v>175</v>
      </c>
      <c r="D172">
        <v>-1000</v>
      </c>
      <c r="E172" t="s">
        <v>176</v>
      </c>
      <c r="F172">
        <v>3684</v>
      </c>
      <c r="G172" t="str" cm="1">
        <f t="array" ref="G172">IF(AND(ISNUMBER(SEARCH("UBER",C172)),ISNUMBER(SEARCH("EATS",C172))),"Uber Eats",IF(LEFT(C172,6)="CHECK ","Checks Paid",IF(OR(E172="BILLPAY",ISNUMBER(SEARCH("FRANCHISE TAX",C172)),ISNUMBER(SEARCH("NEXTLINK",C172))),"Personal - House Bills",IF(AND(ISNUMBER(SEARCH("PAYMENT FROM",C172)),ISNUMBER(SEARCH("JOE SAUNDERS",C172))),"Zelle from Joe Saunders",IF(AND(ISNUMBER(SEARCH("PAYMENT TO",C172)),ISNUMBER(SEARCH("JOE SAUNDERS",C172))),"Zelle to Joe Saunders",IF(OR(ISNUMBER(SEARCH("NEW ORLEANS",C172)),ISNUMBER(SEARCH("KENNER",C172)),ISNUMBER(SEARCH("HENRY HOWARD",C172)),ISNUMBER(SEARCH("MISS CLAUDIA",C172))),"Personal Travel - New Orleans",IFERROR(INDEX('Category Rules'!$B$2:$B$194,MATCH(TRUE,ISNUMBER(SEARCH('Category Rules'!$A$2:$A$194,C172)),0)),"")))))))</f>
        <v>Zelle to Joe Saunders</v>
      </c>
    </row>
    <row r="173" spans="1:7" x14ac:dyDescent="0.25">
      <c r="A173" t="s">
        <v>6</v>
      </c>
      <c r="B173" s="1">
        <v>46188</v>
      </c>
      <c r="C173" t="s">
        <v>177</v>
      </c>
      <c r="D173">
        <v>-89.94</v>
      </c>
      <c r="E173" t="s">
        <v>14</v>
      </c>
      <c r="F173">
        <v>4684</v>
      </c>
      <c r="G173" t="str" cm="1">
        <f t="array" ref="G173">IF(AND(ISNUMBER(SEARCH("UBER",C173)),ISNUMBER(SEARCH("EATS",C173))),"Uber Eats",IF(LEFT(C173,6)="CHECK ","Checks Paid",IF(OR(E173="BILLPAY",ISNUMBER(SEARCH("FRANCHISE TAX",C173)),ISNUMBER(SEARCH("NEXTLINK",C173))),"Personal - House Bills",IF(AND(ISNUMBER(SEARCH("PAYMENT FROM",C173)),ISNUMBER(SEARCH("JOE SAUNDERS",C173))),"Zelle from Joe Saunders",IF(AND(ISNUMBER(SEARCH("PAYMENT TO",C173)),ISNUMBER(SEARCH("JOE SAUNDERS",C173))),"Zelle to Joe Saunders",IF(OR(ISNUMBER(SEARCH("NEW ORLEANS",C173)),ISNUMBER(SEARCH("KENNER",C173)),ISNUMBER(SEARCH("HENRY HOWARD",C173)),ISNUMBER(SEARCH("MISS CLAUDIA",C173))),"Personal Travel - New Orleans",IFERROR(INDEX('Category Rules'!$B$2:$B$194,MATCH(TRUE,ISNUMBER(SEARCH('Category Rules'!$A$2:$A$194,C173)),0)),"")))))))</f>
        <v>Amazon</v>
      </c>
    </row>
    <row r="174" spans="1:7" x14ac:dyDescent="0.25">
      <c r="A174" t="s">
        <v>6</v>
      </c>
      <c r="B174" s="1">
        <v>46188</v>
      </c>
      <c r="C174" t="s">
        <v>178</v>
      </c>
      <c r="D174">
        <v>-23.2</v>
      </c>
      <c r="E174" t="s">
        <v>14</v>
      </c>
      <c r="F174">
        <v>4773.9399999999996</v>
      </c>
      <c r="G174" t="str" cm="1">
        <f t="array" ref="G174">IF(AND(ISNUMBER(SEARCH("UBER",C174)),ISNUMBER(SEARCH("EATS",C174))),"Uber Eats",IF(LEFT(C174,6)="CHECK ","Checks Paid",IF(OR(E174="BILLPAY",ISNUMBER(SEARCH("FRANCHISE TAX",C174)),ISNUMBER(SEARCH("NEXTLINK",C174))),"Personal - House Bills",IF(AND(ISNUMBER(SEARCH("PAYMENT FROM",C174)),ISNUMBER(SEARCH("JOE SAUNDERS",C174))),"Zelle from Joe Saunders",IF(AND(ISNUMBER(SEARCH("PAYMENT TO",C174)),ISNUMBER(SEARCH("JOE SAUNDERS",C174))),"Zelle to Joe Saunders",IF(OR(ISNUMBER(SEARCH("NEW ORLEANS",C174)),ISNUMBER(SEARCH("KENNER",C174)),ISNUMBER(SEARCH("HENRY HOWARD",C174)),ISNUMBER(SEARCH("MISS CLAUDIA",C174))),"Personal Travel - New Orleans",IFERROR(INDEX('Category Rules'!$B$2:$B$194,MATCH(TRUE,ISNUMBER(SEARCH('Category Rules'!$A$2:$A$194,C174)),0)),"")))))))</f>
        <v>Amazon</v>
      </c>
    </row>
    <row r="175" spans="1:7" x14ac:dyDescent="0.25">
      <c r="A175" t="s">
        <v>6</v>
      </c>
      <c r="B175" s="1">
        <v>46188</v>
      </c>
      <c r="C175" t="s">
        <v>179</v>
      </c>
      <c r="D175">
        <v>-41.29</v>
      </c>
      <c r="E175" t="s">
        <v>14</v>
      </c>
      <c r="F175">
        <v>4797.1400000000003</v>
      </c>
      <c r="G175" t="str" cm="1">
        <f t="array" ref="G175">IF(AND(ISNUMBER(SEARCH("UBER",C175)),ISNUMBER(SEARCH("EATS",C175))),"Uber Eats",IF(LEFT(C175,6)="CHECK ","Checks Paid",IF(OR(E175="BILLPAY",ISNUMBER(SEARCH("FRANCHISE TAX",C175)),ISNUMBER(SEARCH("NEXTLINK",C175))),"Personal - House Bills",IF(AND(ISNUMBER(SEARCH("PAYMENT FROM",C175)),ISNUMBER(SEARCH("JOE SAUNDERS",C175))),"Zelle from Joe Saunders",IF(AND(ISNUMBER(SEARCH("PAYMENT TO",C175)),ISNUMBER(SEARCH("JOE SAUNDERS",C175))),"Zelle to Joe Saunders",IF(OR(ISNUMBER(SEARCH("NEW ORLEANS",C175)),ISNUMBER(SEARCH("KENNER",C175)),ISNUMBER(SEARCH("HENRY HOWARD",C175)),ISNUMBER(SEARCH("MISS CLAUDIA",C175))),"Personal Travel - New Orleans",IFERROR(INDEX('Category Rules'!$B$2:$B$194,MATCH(TRUE,ISNUMBER(SEARCH('Category Rules'!$A$2:$A$194,C175)),0)),"")))))))</f>
        <v>Uber Eats</v>
      </c>
    </row>
    <row r="176" spans="1:7" x14ac:dyDescent="0.25">
      <c r="A176" t="s">
        <v>6</v>
      </c>
      <c r="B176" s="1">
        <v>46188</v>
      </c>
      <c r="C176" t="s">
        <v>180</v>
      </c>
      <c r="D176">
        <v>-130</v>
      </c>
      <c r="E176" t="s">
        <v>14</v>
      </c>
      <c r="F176">
        <v>4838.43</v>
      </c>
      <c r="G176" t="str" cm="1">
        <f t="array" ref="G176">IF(AND(ISNUMBER(SEARCH("UBER",C176)),ISNUMBER(SEARCH("EATS",C176))),"Uber Eats",IF(LEFT(C176,6)="CHECK ","Checks Paid",IF(OR(E176="BILLPAY",ISNUMBER(SEARCH("FRANCHISE TAX",C176)),ISNUMBER(SEARCH("NEXTLINK",C176))),"Personal - House Bills",IF(AND(ISNUMBER(SEARCH("PAYMENT FROM",C176)),ISNUMBER(SEARCH("JOE SAUNDERS",C176))),"Zelle from Joe Saunders",IF(AND(ISNUMBER(SEARCH("PAYMENT TO",C176)),ISNUMBER(SEARCH("JOE SAUNDERS",C176))),"Zelle to Joe Saunders",IF(OR(ISNUMBER(SEARCH("NEW ORLEANS",C176)),ISNUMBER(SEARCH("KENNER",C176)),ISNUMBER(SEARCH("HENRY HOWARD",C176)),ISNUMBER(SEARCH("MISS CLAUDIA",C176))),"Personal Travel - New Orleans",IFERROR(INDEX('Category Rules'!$B$2:$B$194,MATCH(TRUE,ISNUMBER(SEARCH('Category Rules'!$A$2:$A$194,C176)),0)),"")))))))</f>
        <v>Personal Travel</v>
      </c>
    </row>
    <row r="177" spans="1:7" x14ac:dyDescent="0.25">
      <c r="A177" t="s">
        <v>6</v>
      </c>
      <c r="B177" s="1">
        <v>46188</v>
      </c>
      <c r="C177" t="s">
        <v>181</v>
      </c>
      <c r="D177">
        <v>-16.45</v>
      </c>
      <c r="E177" t="s">
        <v>14</v>
      </c>
      <c r="F177">
        <v>4968.43</v>
      </c>
      <c r="G177" t="str" cm="1">
        <f t="array" ref="G177">IF(AND(ISNUMBER(SEARCH("UBER",C177)),ISNUMBER(SEARCH("EATS",C177))),"Uber Eats",IF(LEFT(C177,6)="CHECK ","Checks Paid",IF(OR(E177="BILLPAY",ISNUMBER(SEARCH("FRANCHISE TAX",C177)),ISNUMBER(SEARCH("NEXTLINK",C177))),"Personal - House Bills",IF(AND(ISNUMBER(SEARCH("PAYMENT FROM",C177)),ISNUMBER(SEARCH("JOE SAUNDERS",C177))),"Zelle from Joe Saunders",IF(AND(ISNUMBER(SEARCH("PAYMENT TO",C177)),ISNUMBER(SEARCH("JOE SAUNDERS",C177))),"Zelle to Joe Saunders",IF(OR(ISNUMBER(SEARCH("NEW ORLEANS",C177)),ISNUMBER(SEARCH("KENNER",C177)),ISNUMBER(SEARCH("HENRY HOWARD",C177)),ISNUMBER(SEARCH("MISS CLAUDIA",C177))),"Personal Travel - New Orleans",IFERROR(INDEX('Category Rules'!$B$2:$B$194,MATCH(TRUE,ISNUMBER(SEARCH('Category Rules'!$A$2:$A$194,C177)),0)),"")))))))</f>
        <v>Amazon</v>
      </c>
    </row>
    <row r="178" spans="1:7" x14ac:dyDescent="0.25">
      <c r="A178" t="s">
        <v>6</v>
      </c>
      <c r="B178" s="1">
        <v>46188</v>
      </c>
      <c r="C178" t="s">
        <v>182</v>
      </c>
      <c r="D178">
        <v>-59.99</v>
      </c>
      <c r="E178" t="s">
        <v>14</v>
      </c>
      <c r="F178">
        <v>4984.88</v>
      </c>
      <c r="G178" t="str" cm="1">
        <f t="array" ref="G178">IF(AND(ISNUMBER(SEARCH("UBER",C178)),ISNUMBER(SEARCH("EATS",C178))),"Uber Eats",IF(LEFT(C178,6)="CHECK ","Checks Paid",IF(OR(E178="BILLPAY",ISNUMBER(SEARCH("FRANCHISE TAX",C178)),ISNUMBER(SEARCH("NEXTLINK",C178))),"Personal - House Bills",IF(AND(ISNUMBER(SEARCH("PAYMENT FROM",C178)),ISNUMBER(SEARCH("JOE SAUNDERS",C178))),"Zelle from Joe Saunders",IF(AND(ISNUMBER(SEARCH("PAYMENT TO",C178)),ISNUMBER(SEARCH("JOE SAUNDERS",C178))),"Zelle to Joe Saunders",IF(OR(ISNUMBER(SEARCH("NEW ORLEANS",C178)),ISNUMBER(SEARCH("KENNER",C178)),ISNUMBER(SEARCH("HENRY HOWARD",C178)),ISNUMBER(SEARCH("MISS CLAUDIA",C178))),"Personal Travel - New Orleans",IFERROR(INDEX('Category Rules'!$B$2:$B$194,MATCH(TRUE,ISNUMBER(SEARCH('Category Rules'!$A$2:$A$194,C178)),0)),"")))))))</f>
        <v>Apple</v>
      </c>
    </row>
    <row r="179" spans="1:7" x14ac:dyDescent="0.25">
      <c r="A179" t="s">
        <v>6</v>
      </c>
      <c r="B179" s="1">
        <v>46188</v>
      </c>
      <c r="C179" t="s">
        <v>183</v>
      </c>
      <c r="D179">
        <v>-18.489999999999998</v>
      </c>
      <c r="E179" t="s">
        <v>14</v>
      </c>
      <c r="F179">
        <v>5044.87</v>
      </c>
      <c r="G179" t="str" cm="1">
        <f t="array" ref="G179">IF(AND(ISNUMBER(SEARCH("UBER",C179)),ISNUMBER(SEARCH("EATS",C179))),"Uber Eats",IF(LEFT(C179,6)="CHECK ","Checks Paid",IF(OR(E179="BILLPAY",ISNUMBER(SEARCH("FRANCHISE TAX",C179)),ISNUMBER(SEARCH("NEXTLINK",C179))),"Personal - House Bills",IF(AND(ISNUMBER(SEARCH("PAYMENT FROM",C179)),ISNUMBER(SEARCH("JOE SAUNDERS",C179))),"Zelle from Joe Saunders",IF(AND(ISNUMBER(SEARCH("PAYMENT TO",C179)),ISNUMBER(SEARCH("JOE SAUNDERS",C179))),"Zelle to Joe Saunders",IF(OR(ISNUMBER(SEARCH("NEW ORLEANS",C179)),ISNUMBER(SEARCH("KENNER",C179)),ISNUMBER(SEARCH("HENRY HOWARD",C179)),ISNUMBER(SEARCH("MISS CLAUDIA",C179))),"Personal Travel - New Orleans",IFERROR(INDEX('Category Rules'!$B$2:$B$194,MATCH(TRUE,ISNUMBER(SEARCH('Category Rules'!$A$2:$A$194,C179)),0)),"")))))))</f>
        <v>Amazon</v>
      </c>
    </row>
    <row r="180" spans="1:7" x14ac:dyDescent="0.25">
      <c r="A180" t="s">
        <v>6</v>
      </c>
      <c r="B180" s="1">
        <v>46188</v>
      </c>
      <c r="C180" t="s">
        <v>184</v>
      </c>
      <c r="D180">
        <v>-39.9</v>
      </c>
      <c r="E180" t="s">
        <v>14</v>
      </c>
      <c r="F180">
        <v>5063.3599999999997</v>
      </c>
      <c r="G180" t="str" cm="1">
        <f t="array" ref="G180">IF(AND(ISNUMBER(SEARCH("UBER",C180)),ISNUMBER(SEARCH("EATS",C180))),"Uber Eats",IF(LEFT(C180,6)="CHECK ","Checks Paid",IF(OR(E180="BILLPAY",ISNUMBER(SEARCH("FRANCHISE TAX",C180)),ISNUMBER(SEARCH("NEXTLINK",C180))),"Personal - House Bills",IF(AND(ISNUMBER(SEARCH("PAYMENT FROM",C180)),ISNUMBER(SEARCH("JOE SAUNDERS",C180))),"Zelle from Joe Saunders",IF(AND(ISNUMBER(SEARCH("PAYMENT TO",C180)),ISNUMBER(SEARCH("JOE SAUNDERS",C180))),"Zelle to Joe Saunders",IF(OR(ISNUMBER(SEARCH("NEW ORLEANS",C180)),ISNUMBER(SEARCH("KENNER",C180)),ISNUMBER(SEARCH("HENRY HOWARD",C180)),ISNUMBER(SEARCH("MISS CLAUDIA",C180))),"Personal Travel - New Orleans",IFERROR(INDEX('Category Rules'!$B$2:$B$194,MATCH(TRUE,ISNUMBER(SEARCH('Category Rules'!$A$2:$A$194,C180)),0)),"")))))))</f>
        <v>Personal Travel</v>
      </c>
    </row>
    <row r="181" spans="1:7" x14ac:dyDescent="0.25">
      <c r="A181" t="s">
        <v>6</v>
      </c>
      <c r="B181" s="1">
        <v>46188</v>
      </c>
      <c r="C181" t="s">
        <v>185</v>
      </c>
      <c r="D181">
        <v>-45</v>
      </c>
      <c r="E181" t="s">
        <v>14</v>
      </c>
      <c r="F181">
        <v>5103.26</v>
      </c>
      <c r="G181" t="str" cm="1">
        <f t="array" ref="G181">IF(AND(ISNUMBER(SEARCH("UBER",C181)),ISNUMBER(SEARCH("EATS",C181))),"Uber Eats",IF(LEFT(C181,6)="CHECK ","Checks Paid",IF(OR(E181="BILLPAY",ISNUMBER(SEARCH("FRANCHISE TAX",C181)),ISNUMBER(SEARCH("NEXTLINK",C181))),"Personal - House Bills",IF(AND(ISNUMBER(SEARCH("PAYMENT FROM",C181)),ISNUMBER(SEARCH("JOE SAUNDERS",C181))),"Zelle from Joe Saunders",IF(AND(ISNUMBER(SEARCH("PAYMENT TO",C181)),ISNUMBER(SEARCH("JOE SAUNDERS",C181))),"Zelle to Joe Saunders",IF(OR(ISNUMBER(SEARCH("NEW ORLEANS",C181)),ISNUMBER(SEARCH("KENNER",C181)),ISNUMBER(SEARCH("HENRY HOWARD",C181)),ISNUMBER(SEARCH("MISS CLAUDIA",C181))),"Personal Travel - New Orleans",IFERROR(INDEX('Category Rules'!$B$2:$B$194,MATCH(TRUE,ISNUMBER(SEARCH('Category Rules'!$A$2:$A$194,C181)),0)),"")))))))</f>
        <v>Personal Travel</v>
      </c>
    </row>
    <row r="182" spans="1:7" x14ac:dyDescent="0.25">
      <c r="A182" t="s">
        <v>6</v>
      </c>
      <c r="B182" s="1">
        <v>46188</v>
      </c>
      <c r="C182" t="s">
        <v>185</v>
      </c>
      <c r="D182">
        <v>-55</v>
      </c>
      <c r="E182" t="s">
        <v>14</v>
      </c>
      <c r="F182">
        <v>5148.26</v>
      </c>
      <c r="G182" t="str" cm="1">
        <f t="array" ref="G182">IF(AND(ISNUMBER(SEARCH("UBER",C182)),ISNUMBER(SEARCH("EATS",C182))),"Uber Eats",IF(LEFT(C182,6)="CHECK ","Checks Paid",IF(OR(E182="BILLPAY",ISNUMBER(SEARCH("FRANCHISE TAX",C182)),ISNUMBER(SEARCH("NEXTLINK",C182))),"Personal - House Bills",IF(AND(ISNUMBER(SEARCH("PAYMENT FROM",C182)),ISNUMBER(SEARCH("JOE SAUNDERS",C182))),"Zelle from Joe Saunders",IF(AND(ISNUMBER(SEARCH("PAYMENT TO",C182)),ISNUMBER(SEARCH("JOE SAUNDERS",C182))),"Zelle to Joe Saunders",IF(OR(ISNUMBER(SEARCH("NEW ORLEANS",C182)),ISNUMBER(SEARCH("KENNER",C182)),ISNUMBER(SEARCH("HENRY HOWARD",C182)),ISNUMBER(SEARCH("MISS CLAUDIA",C182))),"Personal Travel - New Orleans",IFERROR(INDEX('Category Rules'!$B$2:$B$194,MATCH(TRUE,ISNUMBER(SEARCH('Category Rules'!$A$2:$A$194,C182)),0)),"")))))))</f>
        <v>Personal Travel</v>
      </c>
    </row>
    <row r="183" spans="1:7" x14ac:dyDescent="0.25">
      <c r="A183" t="s">
        <v>6</v>
      </c>
      <c r="B183" s="1">
        <v>46188</v>
      </c>
      <c r="C183" t="s">
        <v>186</v>
      </c>
      <c r="D183">
        <v>-17.29</v>
      </c>
      <c r="E183" t="s">
        <v>14</v>
      </c>
      <c r="F183">
        <v>5203.26</v>
      </c>
      <c r="G183" t="str" cm="1">
        <f t="array" ref="G183">IF(AND(ISNUMBER(SEARCH("UBER",C183)),ISNUMBER(SEARCH("EATS",C183))),"Uber Eats",IF(LEFT(C183,6)="CHECK ","Checks Paid",IF(OR(E183="BILLPAY",ISNUMBER(SEARCH("FRANCHISE TAX",C183)),ISNUMBER(SEARCH("NEXTLINK",C183))),"Personal - House Bills",IF(AND(ISNUMBER(SEARCH("PAYMENT FROM",C183)),ISNUMBER(SEARCH("JOE SAUNDERS",C183))),"Zelle from Joe Saunders",IF(AND(ISNUMBER(SEARCH("PAYMENT TO",C183)),ISNUMBER(SEARCH("JOE SAUNDERS",C183))),"Zelle to Joe Saunders",IF(OR(ISNUMBER(SEARCH("NEW ORLEANS",C183)),ISNUMBER(SEARCH("KENNER",C183)),ISNUMBER(SEARCH("HENRY HOWARD",C183)),ISNUMBER(SEARCH("MISS CLAUDIA",C183))),"Personal Travel - New Orleans",IFERROR(INDEX('Category Rules'!$B$2:$B$194,MATCH(TRUE,ISNUMBER(SEARCH('Category Rules'!$A$2:$A$194,C183)),0)),"")))))))</f>
        <v>Personal - Health</v>
      </c>
    </row>
    <row r="184" spans="1:7" x14ac:dyDescent="0.25">
      <c r="A184" t="s">
        <v>6</v>
      </c>
      <c r="B184" s="1">
        <v>46188</v>
      </c>
      <c r="C184" t="s">
        <v>187</v>
      </c>
      <c r="D184">
        <v>-10</v>
      </c>
      <c r="E184" t="s">
        <v>14</v>
      </c>
      <c r="F184">
        <v>5220.55</v>
      </c>
      <c r="G184" t="str" cm="1">
        <f t="array" ref="G184">IF(AND(ISNUMBER(SEARCH("UBER",C184)),ISNUMBER(SEARCH("EATS",C184))),"Uber Eats",IF(LEFT(C184,6)="CHECK ","Checks Paid",IF(OR(E184="BILLPAY",ISNUMBER(SEARCH("FRANCHISE TAX",C184)),ISNUMBER(SEARCH("NEXTLINK",C184))),"Personal - House Bills",IF(AND(ISNUMBER(SEARCH("PAYMENT FROM",C184)),ISNUMBER(SEARCH("JOE SAUNDERS",C184))),"Zelle from Joe Saunders",IF(AND(ISNUMBER(SEARCH("PAYMENT TO",C184)),ISNUMBER(SEARCH("JOE SAUNDERS",C184))),"Zelle to Joe Saunders",IF(OR(ISNUMBER(SEARCH("NEW ORLEANS",C184)),ISNUMBER(SEARCH("KENNER",C184)),ISNUMBER(SEARCH("HENRY HOWARD",C184)),ISNUMBER(SEARCH("MISS CLAUDIA",C184))),"Personal Travel - New Orleans",IFERROR(INDEX('Category Rules'!$B$2:$B$194,MATCH(TRUE,ISNUMBER(SEARCH('Category Rules'!$A$2:$A$194,C184)),0)),"")))))))</f>
        <v>Amazon</v>
      </c>
    </row>
    <row r="185" spans="1:7" x14ac:dyDescent="0.25">
      <c r="A185" t="s">
        <v>6</v>
      </c>
      <c r="B185" s="1">
        <v>46188</v>
      </c>
      <c r="C185" t="s">
        <v>188</v>
      </c>
      <c r="D185">
        <v>-13.16</v>
      </c>
      <c r="E185" t="s">
        <v>14</v>
      </c>
      <c r="F185">
        <v>5230.55</v>
      </c>
      <c r="G185" t="str" cm="1">
        <f t="array" ref="G185">IF(AND(ISNUMBER(SEARCH("UBER",C185)),ISNUMBER(SEARCH("EATS",C185))),"Uber Eats",IF(LEFT(C185,6)="CHECK ","Checks Paid",IF(OR(E185="BILLPAY",ISNUMBER(SEARCH("FRANCHISE TAX",C185)),ISNUMBER(SEARCH("NEXTLINK",C185))),"Personal - House Bills",IF(AND(ISNUMBER(SEARCH("PAYMENT FROM",C185)),ISNUMBER(SEARCH("JOE SAUNDERS",C185))),"Zelle from Joe Saunders",IF(AND(ISNUMBER(SEARCH("PAYMENT TO",C185)),ISNUMBER(SEARCH("JOE SAUNDERS",C185))),"Zelle to Joe Saunders",IF(OR(ISNUMBER(SEARCH("NEW ORLEANS",C185)),ISNUMBER(SEARCH("KENNER",C185)),ISNUMBER(SEARCH("HENRY HOWARD",C185)),ISNUMBER(SEARCH("MISS CLAUDIA",C185))),"Personal Travel - New Orleans",IFERROR(INDEX('Category Rules'!$B$2:$B$194,MATCH(TRUE,ISNUMBER(SEARCH('Category Rules'!$A$2:$A$194,C185)),0)),"")))))))</f>
        <v>Amazon</v>
      </c>
    </row>
    <row r="186" spans="1:7" x14ac:dyDescent="0.25">
      <c r="A186" t="s">
        <v>6</v>
      </c>
      <c r="B186" s="1">
        <v>46188</v>
      </c>
      <c r="C186" t="s">
        <v>189</v>
      </c>
      <c r="D186">
        <v>-8.11</v>
      </c>
      <c r="E186" t="s">
        <v>14</v>
      </c>
      <c r="F186">
        <v>5243.71</v>
      </c>
      <c r="G186" t="str" cm="1">
        <f t="array" ref="G186">IF(AND(ISNUMBER(SEARCH("UBER",C186)),ISNUMBER(SEARCH("EATS",C186))),"Uber Eats",IF(LEFT(C186,6)="CHECK ","Checks Paid",IF(OR(E186="BILLPAY",ISNUMBER(SEARCH("FRANCHISE TAX",C186)),ISNUMBER(SEARCH("NEXTLINK",C186))),"Personal - House Bills",IF(AND(ISNUMBER(SEARCH("PAYMENT FROM",C186)),ISNUMBER(SEARCH("JOE SAUNDERS",C186))),"Zelle from Joe Saunders",IF(AND(ISNUMBER(SEARCH("PAYMENT TO",C186)),ISNUMBER(SEARCH("JOE SAUNDERS",C186))),"Zelle to Joe Saunders",IF(OR(ISNUMBER(SEARCH("NEW ORLEANS",C186)),ISNUMBER(SEARCH("KENNER",C186)),ISNUMBER(SEARCH("HENRY HOWARD",C186)),ISNUMBER(SEARCH("MISS CLAUDIA",C186))),"Personal Travel - New Orleans",IFERROR(INDEX('Category Rules'!$B$2:$B$194,MATCH(TRUE,ISNUMBER(SEARCH('Category Rules'!$A$2:$A$194,C186)),0)),"")))))))</f>
        <v>Personal - Food</v>
      </c>
    </row>
    <row r="187" spans="1:7" x14ac:dyDescent="0.25">
      <c r="A187" t="s">
        <v>6</v>
      </c>
      <c r="B187" s="1">
        <v>46188</v>
      </c>
      <c r="C187" t="s">
        <v>190</v>
      </c>
      <c r="D187">
        <v>-17.420000000000002</v>
      </c>
      <c r="E187" t="s">
        <v>14</v>
      </c>
      <c r="F187">
        <v>5251.82</v>
      </c>
      <c r="G187" t="str" cm="1">
        <f t="array" ref="G187">IF(AND(ISNUMBER(SEARCH("UBER",C187)),ISNUMBER(SEARCH("EATS",C187))),"Uber Eats",IF(LEFT(C187,6)="CHECK ","Checks Paid",IF(OR(E187="BILLPAY",ISNUMBER(SEARCH("FRANCHISE TAX",C187)),ISNUMBER(SEARCH("NEXTLINK",C187))),"Personal - House Bills",IF(AND(ISNUMBER(SEARCH("PAYMENT FROM",C187)),ISNUMBER(SEARCH("JOE SAUNDERS",C187))),"Zelle from Joe Saunders",IF(AND(ISNUMBER(SEARCH("PAYMENT TO",C187)),ISNUMBER(SEARCH("JOE SAUNDERS",C187))),"Zelle to Joe Saunders",IF(OR(ISNUMBER(SEARCH("NEW ORLEANS",C187)),ISNUMBER(SEARCH("KENNER",C187)),ISNUMBER(SEARCH("HENRY HOWARD",C187)),ISNUMBER(SEARCH("MISS CLAUDIA",C187))),"Personal Travel - New Orleans",IFERROR(INDEX('Category Rules'!$B$2:$B$194,MATCH(TRUE,ISNUMBER(SEARCH('Category Rules'!$A$2:$A$194,C187)),0)),"")))))))</f>
        <v>Amazon</v>
      </c>
    </row>
    <row r="188" spans="1:7" x14ac:dyDescent="0.25">
      <c r="A188" t="s">
        <v>6</v>
      </c>
      <c r="B188" s="1">
        <v>46188</v>
      </c>
      <c r="C188" t="s">
        <v>191</v>
      </c>
      <c r="D188">
        <v>-128.62</v>
      </c>
      <c r="E188" t="s">
        <v>14</v>
      </c>
      <c r="F188">
        <v>5269.24</v>
      </c>
      <c r="G188" t="str" cm="1">
        <f t="array" ref="G188">IF(AND(ISNUMBER(SEARCH("UBER",C188)),ISNUMBER(SEARCH("EATS",C188))),"Uber Eats",IF(LEFT(C188,6)="CHECK ","Checks Paid",IF(OR(E188="BILLPAY",ISNUMBER(SEARCH("FRANCHISE TAX",C188)),ISNUMBER(SEARCH("NEXTLINK",C188))),"Personal - House Bills",IF(AND(ISNUMBER(SEARCH("PAYMENT FROM",C188)),ISNUMBER(SEARCH("JOE SAUNDERS",C188))),"Zelle from Joe Saunders",IF(AND(ISNUMBER(SEARCH("PAYMENT TO",C188)),ISNUMBER(SEARCH("JOE SAUNDERS",C188))),"Zelle to Joe Saunders",IF(OR(ISNUMBER(SEARCH("NEW ORLEANS",C188)),ISNUMBER(SEARCH("KENNER",C188)),ISNUMBER(SEARCH("HENRY HOWARD",C188)),ISNUMBER(SEARCH("MISS CLAUDIA",C188))),"Personal Travel - New Orleans",IFERROR(INDEX('Category Rules'!$B$2:$B$194,MATCH(TRUE,ISNUMBER(SEARCH('Category Rules'!$A$2:$A$194,C188)),0)),"")))))))</f>
        <v>Personal - Car</v>
      </c>
    </row>
    <row r="189" spans="1:7" x14ac:dyDescent="0.25">
      <c r="A189" t="s">
        <v>6</v>
      </c>
      <c r="B189" s="1">
        <v>46188</v>
      </c>
      <c r="C189" t="s">
        <v>191</v>
      </c>
      <c r="D189">
        <v>-40</v>
      </c>
      <c r="E189" t="s">
        <v>14</v>
      </c>
      <c r="F189">
        <v>5397.86</v>
      </c>
      <c r="G189" t="str" cm="1">
        <f t="array" ref="G189">IF(AND(ISNUMBER(SEARCH("UBER",C189)),ISNUMBER(SEARCH("EATS",C189))),"Uber Eats",IF(LEFT(C189,6)="CHECK ","Checks Paid",IF(OR(E189="BILLPAY",ISNUMBER(SEARCH("FRANCHISE TAX",C189)),ISNUMBER(SEARCH("NEXTLINK",C189))),"Personal - House Bills",IF(AND(ISNUMBER(SEARCH("PAYMENT FROM",C189)),ISNUMBER(SEARCH("JOE SAUNDERS",C189))),"Zelle from Joe Saunders",IF(AND(ISNUMBER(SEARCH("PAYMENT TO",C189)),ISNUMBER(SEARCH("JOE SAUNDERS",C189))),"Zelle to Joe Saunders",IF(OR(ISNUMBER(SEARCH("NEW ORLEANS",C189)),ISNUMBER(SEARCH("KENNER",C189)),ISNUMBER(SEARCH("HENRY HOWARD",C189)),ISNUMBER(SEARCH("MISS CLAUDIA",C189))),"Personal Travel - New Orleans",IFERROR(INDEX('Category Rules'!$B$2:$B$194,MATCH(TRUE,ISNUMBER(SEARCH('Category Rules'!$A$2:$A$194,C189)),0)),"")))))))</f>
        <v>Personal - Car</v>
      </c>
    </row>
    <row r="190" spans="1:7" x14ac:dyDescent="0.25">
      <c r="A190" t="s">
        <v>6</v>
      </c>
      <c r="B190" s="1">
        <v>46188</v>
      </c>
      <c r="C190" t="s">
        <v>192</v>
      </c>
      <c r="D190">
        <v>-9.91</v>
      </c>
      <c r="E190" t="s">
        <v>14</v>
      </c>
      <c r="F190">
        <v>5437.86</v>
      </c>
      <c r="G190" t="str" cm="1">
        <f t="array" ref="G190">IF(AND(ISNUMBER(SEARCH("UBER",C190)),ISNUMBER(SEARCH("EATS",C190))),"Uber Eats",IF(LEFT(C190,6)="CHECK ","Checks Paid",IF(OR(E190="BILLPAY",ISNUMBER(SEARCH("FRANCHISE TAX",C190)),ISNUMBER(SEARCH("NEXTLINK",C190))),"Personal - House Bills",IF(AND(ISNUMBER(SEARCH("PAYMENT FROM",C190)),ISNUMBER(SEARCH("JOE SAUNDERS",C190))),"Zelle from Joe Saunders",IF(AND(ISNUMBER(SEARCH("PAYMENT TO",C190)),ISNUMBER(SEARCH("JOE SAUNDERS",C190))),"Zelle to Joe Saunders",IF(OR(ISNUMBER(SEARCH("NEW ORLEANS",C190)),ISNUMBER(SEARCH("KENNER",C190)),ISNUMBER(SEARCH("HENRY HOWARD",C190)),ISNUMBER(SEARCH("MISS CLAUDIA",C190))),"Personal Travel - New Orleans",IFERROR(INDEX('Category Rules'!$B$2:$B$194,MATCH(TRUE,ISNUMBER(SEARCH('Category Rules'!$A$2:$A$194,C190)),0)),"")))))))</f>
        <v>Amazon</v>
      </c>
    </row>
    <row r="191" spans="1:7" x14ac:dyDescent="0.25">
      <c r="A191" t="s">
        <v>6</v>
      </c>
      <c r="B191" s="1">
        <v>46188</v>
      </c>
      <c r="C191" t="s">
        <v>193</v>
      </c>
      <c r="D191">
        <v>-220.92</v>
      </c>
      <c r="E191" t="s">
        <v>14</v>
      </c>
      <c r="F191">
        <v>5447.77</v>
      </c>
      <c r="G191" t="str" cm="1">
        <f t="array" ref="G191">IF(AND(ISNUMBER(SEARCH("UBER",C191)),ISNUMBER(SEARCH("EATS",C191))),"Uber Eats",IF(LEFT(C191,6)="CHECK ","Checks Paid",IF(OR(E191="BILLPAY",ISNUMBER(SEARCH("FRANCHISE TAX",C191)),ISNUMBER(SEARCH("NEXTLINK",C191))),"Personal - House Bills",IF(AND(ISNUMBER(SEARCH("PAYMENT FROM",C191)),ISNUMBER(SEARCH("JOE SAUNDERS",C191))),"Zelle from Joe Saunders",IF(AND(ISNUMBER(SEARCH("PAYMENT TO",C191)),ISNUMBER(SEARCH("JOE SAUNDERS",C191))),"Zelle to Joe Saunders",IF(OR(ISNUMBER(SEARCH("NEW ORLEANS",C191)),ISNUMBER(SEARCH("KENNER",C191)),ISNUMBER(SEARCH("HENRY HOWARD",C191)),ISNUMBER(SEARCH("MISS CLAUDIA",C191))),"Personal Travel - New Orleans",IFERROR(INDEX('Category Rules'!$B$2:$B$194,MATCH(TRUE,ISNUMBER(SEARCH('Category Rules'!$A$2:$A$194,C191)),0)),"")))))))</f>
        <v>Amazon</v>
      </c>
    </row>
    <row r="192" spans="1:7" x14ac:dyDescent="0.25">
      <c r="A192" t="s">
        <v>6</v>
      </c>
      <c r="B192" s="1">
        <v>46188</v>
      </c>
      <c r="C192" t="s">
        <v>194</v>
      </c>
      <c r="D192">
        <v>-6.75</v>
      </c>
      <c r="E192" t="s">
        <v>14</v>
      </c>
      <c r="F192">
        <v>5668.69</v>
      </c>
      <c r="G192" t="str" cm="1">
        <f t="array" ref="G192">IF(AND(ISNUMBER(SEARCH("UBER",C192)),ISNUMBER(SEARCH("EATS",C192))),"Uber Eats",IF(LEFT(C192,6)="CHECK ","Checks Paid",IF(OR(E192="BILLPAY",ISNUMBER(SEARCH("FRANCHISE TAX",C192)),ISNUMBER(SEARCH("NEXTLINK",C192))),"Personal - House Bills",IF(AND(ISNUMBER(SEARCH("PAYMENT FROM",C192)),ISNUMBER(SEARCH("JOE SAUNDERS",C192))),"Zelle from Joe Saunders",IF(AND(ISNUMBER(SEARCH("PAYMENT TO",C192)),ISNUMBER(SEARCH("JOE SAUNDERS",C192))),"Zelle to Joe Saunders",IF(OR(ISNUMBER(SEARCH("NEW ORLEANS",C192)),ISNUMBER(SEARCH("KENNER",C192)),ISNUMBER(SEARCH("HENRY HOWARD",C192)),ISNUMBER(SEARCH("MISS CLAUDIA",C192))),"Personal Travel - New Orleans",IFERROR(INDEX('Category Rules'!$B$2:$B$194,MATCH(TRUE,ISNUMBER(SEARCH('Category Rules'!$A$2:$A$194,C192)),0)),"")))))))</f>
        <v>Amazon</v>
      </c>
    </row>
    <row r="193" spans="1:7" x14ac:dyDescent="0.25">
      <c r="A193" t="s">
        <v>6</v>
      </c>
      <c r="B193" s="1">
        <v>46188</v>
      </c>
      <c r="C193" t="s">
        <v>195</v>
      </c>
      <c r="D193">
        <v>-97</v>
      </c>
      <c r="E193" t="s">
        <v>14</v>
      </c>
      <c r="F193">
        <v>5675.44</v>
      </c>
      <c r="G193" t="str" cm="1">
        <f t="array" ref="G193">IF(AND(ISNUMBER(SEARCH("UBER",C193)),ISNUMBER(SEARCH("EATS",C193))),"Uber Eats",IF(LEFT(C193,6)="CHECK ","Checks Paid",IF(OR(E193="BILLPAY",ISNUMBER(SEARCH("FRANCHISE TAX",C193)),ISNUMBER(SEARCH("NEXTLINK",C193))),"Personal - House Bills",IF(AND(ISNUMBER(SEARCH("PAYMENT FROM",C193)),ISNUMBER(SEARCH("JOE SAUNDERS",C193))),"Zelle from Joe Saunders",IF(AND(ISNUMBER(SEARCH("PAYMENT TO",C193)),ISNUMBER(SEARCH("JOE SAUNDERS",C193))),"Zelle to Joe Saunders",IF(OR(ISNUMBER(SEARCH("NEW ORLEANS",C193)),ISNUMBER(SEARCH("KENNER",C193)),ISNUMBER(SEARCH("HENRY HOWARD",C193)),ISNUMBER(SEARCH("MISS CLAUDIA",C193))),"Personal Travel - New Orleans",IFERROR(INDEX('Category Rules'!$B$2:$B$194,MATCH(TRUE,ISNUMBER(SEARCH('Category Rules'!$A$2:$A$194,C193)),0)),"")))))))</f>
        <v>Personal - Entertainment</v>
      </c>
    </row>
    <row r="194" spans="1:7" x14ac:dyDescent="0.25">
      <c r="A194" t="s">
        <v>6</v>
      </c>
      <c r="B194" s="1">
        <v>46188</v>
      </c>
      <c r="C194" t="s">
        <v>196</v>
      </c>
      <c r="D194">
        <v>-7</v>
      </c>
      <c r="E194" t="s">
        <v>14</v>
      </c>
      <c r="F194">
        <v>5772.44</v>
      </c>
      <c r="G194" t="str" cm="1">
        <f t="array" ref="G194">IF(AND(ISNUMBER(SEARCH("UBER",C194)),ISNUMBER(SEARCH("EATS",C194))),"Uber Eats",IF(LEFT(C194,6)="CHECK ","Checks Paid",IF(OR(E194="BILLPAY",ISNUMBER(SEARCH("FRANCHISE TAX",C194)),ISNUMBER(SEARCH("NEXTLINK",C194))),"Personal - House Bills",IF(AND(ISNUMBER(SEARCH("PAYMENT FROM",C194)),ISNUMBER(SEARCH("JOE SAUNDERS",C194))),"Zelle from Joe Saunders",IF(AND(ISNUMBER(SEARCH("PAYMENT TO",C194)),ISNUMBER(SEARCH("JOE SAUNDERS",C194))),"Zelle to Joe Saunders",IF(OR(ISNUMBER(SEARCH("NEW ORLEANS",C194)),ISNUMBER(SEARCH("KENNER",C194)),ISNUMBER(SEARCH("HENRY HOWARD",C194)),ISNUMBER(SEARCH("MISS CLAUDIA",C194))),"Personal Travel - New Orleans",IFERROR(INDEX('Category Rules'!$B$2:$B$194,MATCH(TRUE,ISNUMBER(SEARCH('Category Rules'!$A$2:$A$194,C194)),0)),"")))))))</f>
        <v>Amazon</v>
      </c>
    </row>
    <row r="195" spans="1:7" x14ac:dyDescent="0.25">
      <c r="A195" t="s">
        <v>6</v>
      </c>
      <c r="B195" s="1">
        <v>46188</v>
      </c>
      <c r="C195" t="s">
        <v>197</v>
      </c>
      <c r="D195">
        <v>-24.99</v>
      </c>
      <c r="E195" t="s">
        <v>14</v>
      </c>
      <c r="F195">
        <v>5779.44</v>
      </c>
      <c r="G195" t="str" cm="1">
        <f t="array" ref="G195">IF(AND(ISNUMBER(SEARCH("UBER",C195)),ISNUMBER(SEARCH("EATS",C195))),"Uber Eats",IF(LEFT(C195,6)="CHECK ","Checks Paid",IF(OR(E195="BILLPAY",ISNUMBER(SEARCH("FRANCHISE TAX",C195)),ISNUMBER(SEARCH("NEXTLINK",C195))),"Personal - House Bills",IF(AND(ISNUMBER(SEARCH("PAYMENT FROM",C195)),ISNUMBER(SEARCH("JOE SAUNDERS",C195))),"Zelle from Joe Saunders",IF(AND(ISNUMBER(SEARCH("PAYMENT TO",C195)),ISNUMBER(SEARCH("JOE SAUNDERS",C195))),"Zelle to Joe Saunders",IF(OR(ISNUMBER(SEARCH("NEW ORLEANS",C195)),ISNUMBER(SEARCH("KENNER",C195)),ISNUMBER(SEARCH("HENRY HOWARD",C195)),ISNUMBER(SEARCH("MISS CLAUDIA",C195))),"Personal Travel - New Orleans",IFERROR(INDEX('Category Rules'!$B$2:$B$194,MATCH(TRUE,ISNUMBER(SEARCH('Category Rules'!$A$2:$A$194,C195)),0)),"")))))))</f>
        <v>Amazon</v>
      </c>
    </row>
    <row r="196" spans="1:7" x14ac:dyDescent="0.25">
      <c r="A196" t="s">
        <v>6</v>
      </c>
      <c r="B196" s="1">
        <v>46188</v>
      </c>
      <c r="C196" t="s">
        <v>198</v>
      </c>
      <c r="D196">
        <v>-47.23</v>
      </c>
      <c r="E196" t="s">
        <v>14</v>
      </c>
      <c r="F196">
        <v>5804.43</v>
      </c>
      <c r="G196" t="str" cm="1">
        <f t="array" ref="G196">IF(AND(ISNUMBER(SEARCH("UBER",C196)),ISNUMBER(SEARCH("EATS",C196))),"Uber Eats",IF(LEFT(C196,6)="CHECK ","Checks Paid",IF(OR(E196="BILLPAY",ISNUMBER(SEARCH("FRANCHISE TAX",C196)),ISNUMBER(SEARCH("NEXTLINK",C196))),"Personal - House Bills",IF(AND(ISNUMBER(SEARCH("PAYMENT FROM",C196)),ISNUMBER(SEARCH("JOE SAUNDERS",C196))),"Zelle from Joe Saunders",IF(AND(ISNUMBER(SEARCH("PAYMENT TO",C196)),ISNUMBER(SEARCH("JOE SAUNDERS",C196))),"Zelle to Joe Saunders",IF(OR(ISNUMBER(SEARCH("NEW ORLEANS",C196)),ISNUMBER(SEARCH("KENNER",C196)),ISNUMBER(SEARCH("HENRY HOWARD",C196)),ISNUMBER(SEARCH("MISS CLAUDIA",C196))),"Personal Travel - New Orleans",IFERROR(INDEX('Category Rules'!$B$2:$B$194,MATCH(TRUE,ISNUMBER(SEARCH('Category Rules'!$A$2:$A$194,C196)),0)),"")))))))</f>
        <v>Amazon</v>
      </c>
    </row>
    <row r="197" spans="1:7" x14ac:dyDescent="0.25">
      <c r="A197" t="s">
        <v>37</v>
      </c>
      <c r="B197" s="1">
        <v>46188</v>
      </c>
      <c r="C197" t="s">
        <v>199</v>
      </c>
      <c r="D197">
        <v>500</v>
      </c>
      <c r="E197" t="s">
        <v>39</v>
      </c>
      <c r="F197">
        <v>5851.66</v>
      </c>
      <c r="G197" t="str" cm="1">
        <f t="array" ref="G197">IF(AND(ISNUMBER(SEARCH("UBER",C197)),ISNUMBER(SEARCH("EATS",C197))),"Uber Eats",IF(LEFT(C197,6)="CHECK ","Checks Paid",IF(OR(E197="BILLPAY",ISNUMBER(SEARCH("FRANCHISE TAX",C197)),ISNUMBER(SEARCH("NEXTLINK",C197))),"Personal - House Bills",IF(AND(ISNUMBER(SEARCH("PAYMENT FROM",C197)),ISNUMBER(SEARCH("JOE SAUNDERS",C197))),"Zelle from Joe Saunders",IF(AND(ISNUMBER(SEARCH("PAYMENT TO",C197)),ISNUMBER(SEARCH("JOE SAUNDERS",C197))),"Zelle to Joe Saunders",IF(OR(ISNUMBER(SEARCH("NEW ORLEANS",C197)),ISNUMBER(SEARCH("KENNER",C197)),ISNUMBER(SEARCH("HENRY HOWARD",C197)),ISNUMBER(SEARCH("MISS CLAUDIA",C197))),"Personal Travel - New Orleans",IFERROR(INDEX('Category Rules'!$B$2:$B$194,MATCH(TRUE,ISNUMBER(SEARCH('Category Rules'!$A$2:$A$194,C197)),0)),"")))))))</f>
        <v>Transfer from DWG Capital Group</v>
      </c>
    </row>
    <row r="198" spans="1:7" x14ac:dyDescent="0.25">
      <c r="A198" t="s">
        <v>37</v>
      </c>
      <c r="B198" s="1">
        <v>46188</v>
      </c>
      <c r="C198" t="s">
        <v>200</v>
      </c>
      <c r="D198">
        <v>1000</v>
      </c>
      <c r="E198" t="s">
        <v>39</v>
      </c>
      <c r="F198">
        <v>5351.66</v>
      </c>
      <c r="G198" t="str" cm="1">
        <f t="array" ref="G198">IF(AND(ISNUMBER(SEARCH("UBER",C198)),ISNUMBER(SEARCH("EATS",C198))),"Uber Eats",IF(LEFT(C198,6)="CHECK ","Checks Paid",IF(OR(E198="BILLPAY",ISNUMBER(SEARCH("FRANCHISE TAX",C198)),ISNUMBER(SEARCH("NEXTLINK",C198))),"Personal - House Bills",IF(AND(ISNUMBER(SEARCH("PAYMENT FROM",C198)),ISNUMBER(SEARCH("JOE SAUNDERS",C198))),"Zelle from Joe Saunders",IF(AND(ISNUMBER(SEARCH("PAYMENT TO",C198)),ISNUMBER(SEARCH("JOE SAUNDERS",C198))),"Zelle to Joe Saunders",IF(OR(ISNUMBER(SEARCH("NEW ORLEANS",C198)),ISNUMBER(SEARCH("KENNER",C198)),ISNUMBER(SEARCH("HENRY HOWARD",C198)),ISNUMBER(SEARCH("MISS CLAUDIA",C198))),"Personal Travel - New Orleans",IFERROR(INDEX('Category Rules'!$B$2:$B$194,MATCH(TRUE,ISNUMBER(SEARCH('Category Rules'!$A$2:$A$194,C198)),0)),"")))))))</f>
        <v>Transfer from DWG Capital Group</v>
      </c>
    </row>
    <row r="199" spans="1:7" x14ac:dyDescent="0.25">
      <c r="A199" t="s">
        <v>37</v>
      </c>
      <c r="B199" s="1">
        <v>46188</v>
      </c>
      <c r="C199" t="s">
        <v>201</v>
      </c>
      <c r="D199">
        <v>3000</v>
      </c>
      <c r="E199" t="s">
        <v>39</v>
      </c>
      <c r="F199">
        <v>4351.66</v>
      </c>
      <c r="G199" t="str" cm="1">
        <f t="array" ref="G199">IF(AND(ISNUMBER(SEARCH("UBER",C199)),ISNUMBER(SEARCH("EATS",C199))),"Uber Eats",IF(LEFT(C199,6)="CHECK ","Checks Paid",IF(OR(E199="BILLPAY",ISNUMBER(SEARCH("FRANCHISE TAX",C199)),ISNUMBER(SEARCH("NEXTLINK",C199))),"Personal - House Bills",IF(AND(ISNUMBER(SEARCH("PAYMENT FROM",C199)),ISNUMBER(SEARCH("JOE SAUNDERS",C199))),"Zelle from Joe Saunders",IF(AND(ISNUMBER(SEARCH("PAYMENT TO",C199)),ISNUMBER(SEARCH("JOE SAUNDERS",C199))),"Zelle to Joe Saunders",IF(OR(ISNUMBER(SEARCH("NEW ORLEANS",C199)),ISNUMBER(SEARCH("KENNER",C199)),ISNUMBER(SEARCH("HENRY HOWARD",C199)),ISNUMBER(SEARCH("MISS CLAUDIA",C199))),"Personal Travel - New Orleans",IFERROR(INDEX('Category Rules'!$B$2:$B$194,MATCH(TRUE,ISNUMBER(SEARCH('Category Rules'!$A$2:$A$194,C199)),0)),"")))))))</f>
        <v>Transfer from DWG Capital Group</v>
      </c>
    </row>
    <row r="200" spans="1:7" x14ac:dyDescent="0.25">
      <c r="A200" t="s">
        <v>6</v>
      </c>
      <c r="B200" s="1">
        <v>46185</v>
      </c>
      <c r="C200" t="s">
        <v>202</v>
      </c>
      <c r="D200">
        <v>-318.74</v>
      </c>
      <c r="E200" t="s">
        <v>14</v>
      </c>
      <c r="F200">
        <v>1351.66</v>
      </c>
      <c r="G200" t="str" cm="1">
        <f t="array" ref="G200">IF(AND(ISNUMBER(SEARCH("UBER",C200)),ISNUMBER(SEARCH("EATS",C200))),"Uber Eats",IF(LEFT(C200,6)="CHECK ","Checks Paid",IF(OR(E200="BILLPAY",ISNUMBER(SEARCH("FRANCHISE TAX",C200)),ISNUMBER(SEARCH("NEXTLINK",C200))),"Personal - House Bills",IF(AND(ISNUMBER(SEARCH("PAYMENT FROM",C200)),ISNUMBER(SEARCH("JOE SAUNDERS",C200))),"Zelle from Joe Saunders",IF(AND(ISNUMBER(SEARCH("PAYMENT TO",C200)),ISNUMBER(SEARCH("JOE SAUNDERS",C200))),"Zelle to Joe Saunders",IF(OR(ISNUMBER(SEARCH("NEW ORLEANS",C200)),ISNUMBER(SEARCH("KENNER",C200)),ISNUMBER(SEARCH("HENRY HOWARD",C200)),ISNUMBER(SEARCH("MISS CLAUDIA",C200))),"Personal Travel - New Orleans",IFERROR(INDEX('Category Rules'!$B$2:$B$194,MATCH(TRUE,ISNUMBER(SEARCH('Category Rules'!$A$2:$A$194,C200)),0)),"")))))))</f>
        <v>Personal - Shopping</v>
      </c>
    </row>
    <row r="201" spans="1:7" x14ac:dyDescent="0.25">
      <c r="A201" t="s">
        <v>6</v>
      </c>
      <c r="B201" s="1">
        <v>46185</v>
      </c>
      <c r="C201" t="s">
        <v>203</v>
      </c>
      <c r="D201">
        <v>-70.150000000000006</v>
      </c>
      <c r="E201" t="s">
        <v>14</v>
      </c>
      <c r="F201">
        <v>1670.4</v>
      </c>
      <c r="G201" t="str" cm="1">
        <f t="array" ref="G201">IF(AND(ISNUMBER(SEARCH("UBER",C201)),ISNUMBER(SEARCH("EATS",C201))),"Uber Eats",IF(LEFT(C201,6)="CHECK ","Checks Paid",IF(OR(E201="BILLPAY",ISNUMBER(SEARCH("FRANCHISE TAX",C201)),ISNUMBER(SEARCH("NEXTLINK",C201))),"Personal - House Bills",IF(AND(ISNUMBER(SEARCH("PAYMENT FROM",C201)),ISNUMBER(SEARCH("JOE SAUNDERS",C201))),"Zelle from Joe Saunders",IF(AND(ISNUMBER(SEARCH("PAYMENT TO",C201)),ISNUMBER(SEARCH("JOE SAUNDERS",C201))),"Zelle to Joe Saunders",IF(OR(ISNUMBER(SEARCH("NEW ORLEANS",C201)),ISNUMBER(SEARCH("KENNER",C201)),ISNUMBER(SEARCH("HENRY HOWARD",C201)),ISNUMBER(SEARCH("MISS CLAUDIA",C201))),"Personal Travel - New Orleans",IFERROR(INDEX('Category Rules'!$B$2:$B$194,MATCH(TRUE,ISNUMBER(SEARCH('Category Rules'!$A$2:$A$194,C201)),0)),"")))))))</f>
        <v>Poshmark</v>
      </c>
    </row>
    <row r="202" spans="1:7" x14ac:dyDescent="0.25">
      <c r="A202" t="s">
        <v>6</v>
      </c>
      <c r="B202" s="1">
        <v>46185</v>
      </c>
      <c r="C202" t="s">
        <v>203</v>
      </c>
      <c r="D202">
        <v>-28.44</v>
      </c>
      <c r="E202" t="s">
        <v>14</v>
      </c>
      <c r="F202">
        <v>1740.55</v>
      </c>
      <c r="G202" t="str" cm="1">
        <f t="array" ref="G202">IF(AND(ISNUMBER(SEARCH("UBER",C202)),ISNUMBER(SEARCH("EATS",C202))),"Uber Eats",IF(LEFT(C202,6)="CHECK ","Checks Paid",IF(OR(E202="BILLPAY",ISNUMBER(SEARCH("FRANCHISE TAX",C202)),ISNUMBER(SEARCH("NEXTLINK",C202))),"Personal - House Bills",IF(AND(ISNUMBER(SEARCH("PAYMENT FROM",C202)),ISNUMBER(SEARCH("JOE SAUNDERS",C202))),"Zelle from Joe Saunders",IF(AND(ISNUMBER(SEARCH("PAYMENT TO",C202)),ISNUMBER(SEARCH("JOE SAUNDERS",C202))),"Zelle to Joe Saunders",IF(OR(ISNUMBER(SEARCH("NEW ORLEANS",C202)),ISNUMBER(SEARCH("KENNER",C202)),ISNUMBER(SEARCH("HENRY HOWARD",C202)),ISNUMBER(SEARCH("MISS CLAUDIA",C202))),"Personal Travel - New Orleans",IFERROR(INDEX('Category Rules'!$B$2:$B$194,MATCH(TRUE,ISNUMBER(SEARCH('Category Rules'!$A$2:$A$194,C202)),0)),"")))))))</f>
        <v>Poshmark</v>
      </c>
    </row>
    <row r="203" spans="1:7" x14ac:dyDescent="0.25">
      <c r="A203" t="s">
        <v>6</v>
      </c>
      <c r="B203" s="1">
        <v>46185</v>
      </c>
      <c r="C203" t="s">
        <v>203</v>
      </c>
      <c r="D203">
        <v>-33.93</v>
      </c>
      <c r="E203" t="s">
        <v>14</v>
      </c>
      <c r="F203">
        <v>1768.99</v>
      </c>
      <c r="G203" t="str" cm="1">
        <f t="array" ref="G203">IF(AND(ISNUMBER(SEARCH("UBER",C203)),ISNUMBER(SEARCH("EATS",C203))),"Uber Eats",IF(LEFT(C203,6)="CHECK ","Checks Paid",IF(OR(E203="BILLPAY",ISNUMBER(SEARCH("FRANCHISE TAX",C203)),ISNUMBER(SEARCH("NEXTLINK",C203))),"Personal - House Bills",IF(AND(ISNUMBER(SEARCH("PAYMENT FROM",C203)),ISNUMBER(SEARCH("JOE SAUNDERS",C203))),"Zelle from Joe Saunders",IF(AND(ISNUMBER(SEARCH("PAYMENT TO",C203)),ISNUMBER(SEARCH("JOE SAUNDERS",C203))),"Zelle to Joe Saunders",IF(OR(ISNUMBER(SEARCH("NEW ORLEANS",C203)),ISNUMBER(SEARCH("KENNER",C203)),ISNUMBER(SEARCH("HENRY HOWARD",C203)),ISNUMBER(SEARCH("MISS CLAUDIA",C203))),"Personal Travel - New Orleans",IFERROR(INDEX('Category Rules'!$B$2:$B$194,MATCH(TRUE,ISNUMBER(SEARCH('Category Rules'!$A$2:$A$194,C203)),0)),"")))))))</f>
        <v>Poshmark</v>
      </c>
    </row>
    <row r="204" spans="1:7" x14ac:dyDescent="0.25">
      <c r="A204" t="s">
        <v>6</v>
      </c>
      <c r="B204" s="1">
        <v>46185</v>
      </c>
      <c r="C204" t="s">
        <v>203</v>
      </c>
      <c r="D204">
        <v>-28.44</v>
      </c>
      <c r="E204" t="s">
        <v>14</v>
      </c>
      <c r="F204">
        <v>1802.92</v>
      </c>
      <c r="G204" t="str" cm="1">
        <f t="array" ref="G204">IF(AND(ISNUMBER(SEARCH("UBER",C204)),ISNUMBER(SEARCH("EATS",C204))),"Uber Eats",IF(LEFT(C204,6)="CHECK ","Checks Paid",IF(OR(E204="BILLPAY",ISNUMBER(SEARCH("FRANCHISE TAX",C204)),ISNUMBER(SEARCH("NEXTLINK",C204))),"Personal - House Bills",IF(AND(ISNUMBER(SEARCH("PAYMENT FROM",C204)),ISNUMBER(SEARCH("JOE SAUNDERS",C204))),"Zelle from Joe Saunders",IF(AND(ISNUMBER(SEARCH("PAYMENT TO",C204)),ISNUMBER(SEARCH("JOE SAUNDERS",C204))),"Zelle to Joe Saunders",IF(OR(ISNUMBER(SEARCH("NEW ORLEANS",C204)),ISNUMBER(SEARCH("KENNER",C204)),ISNUMBER(SEARCH("HENRY HOWARD",C204)),ISNUMBER(SEARCH("MISS CLAUDIA",C204))),"Personal Travel - New Orleans",IFERROR(INDEX('Category Rules'!$B$2:$B$194,MATCH(TRUE,ISNUMBER(SEARCH('Category Rules'!$A$2:$A$194,C204)),0)),"")))))))</f>
        <v>Poshmark</v>
      </c>
    </row>
    <row r="205" spans="1:7" x14ac:dyDescent="0.25">
      <c r="A205" t="s">
        <v>6</v>
      </c>
      <c r="B205" s="1">
        <v>46185</v>
      </c>
      <c r="C205" t="s">
        <v>204</v>
      </c>
      <c r="D205">
        <v>-21.13</v>
      </c>
      <c r="E205" t="s">
        <v>14</v>
      </c>
      <c r="F205">
        <v>1831.36</v>
      </c>
      <c r="G205" t="str" cm="1">
        <f t="array" ref="G205">IF(AND(ISNUMBER(SEARCH("UBER",C205)),ISNUMBER(SEARCH("EATS",C205))),"Uber Eats",IF(LEFT(C205,6)="CHECK ","Checks Paid",IF(OR(E205="BILLPAY",ISNUMBER(SEARCH("FRANCHISE TAX",C205)),ISNUMBER(SEARCH("NEXTLINK",C205))),"Personal - House Bills",IF(AND(ISNUMBER(SEARCH("PAYMENT FROM",C205)),ISNUMBER(SEARCH("JOE SAUNDERS",C205))),"Zelle from Joe Saunders",IF(AND(ISNUMBER(SEARCH("PAYMENT TO",C205)),ISNUMBER(SEARCH("JOE SAUNDERS",C205))),"Zelle to Joe Saunders",IF(OR(ISNUMBER(SEARCH("NEW ORLEANS",C205)),ISNUMBER(SEARCH("KENNER",C205)),ISNUMBER(SEARCH("HENRY HOWARD",C205)),ISNUMBER(SEARCH("MISS CLAUDIA",C205))),"Personal Travel - New Orleans",IFERROR(INDEX('Category Rules'!$B$2:$B$194,MATCH(TRUE,ISNUMBER(SEARCH('Category Rules'!$A$2:$A$194,C205)),0)),"")))))))</f>
        <v>Amazon</v>
      </c>
    </row>
    <row r="206" spans="1:7" x14ac:dyDescent="0.25">
      <c r="A206" t="s">
        <v>6</v>
      </c>
      <c r="B206" s="1">
        <v>46185</v>
      </c>
      <c r="C206" t="s">
        <v>205</v>
      </c>
      <c r="D206">
        <v>-39.75</v>
      </c>
      <c r="E206" t="s">
        <v>14</v>
      </c>
      <c r="F206">
        <v>1852.49</v>
      </c>
      <c r="G206" t="str" cm="1">
        <f t="array" ref="G206">IF(AND(ISNUMBER(SEARCH("UBER",C206)),ISNUMBER(SEARCH("EATS",C206))),"Uber Eats",IF(LEFT(C206,6)="CHECK ","Checks Paid",IF(OR(E206="BILLPAY",ISNUMBER(SEARCH("FRANCHISE TAX",C206)),ISNUMBER(SEARCH("NEXTLINK",C206))),"Personal - House Bills",IF(AND(ISNUMBER(SEARCH("PAYMENT FROM",C206)),ISNUMBER(SEARCH("JOE SAUNDERS",C206))),"Zelle from Joe Saunders",IF(AND(ISNUMBER(SEARCH("PAYMENT TO",C206)),ISNUMBER(SEARCH("JOE SAUNDERS",C206))),"Zelle to Joe Saunders",IF(OR(ISNUMBER(SEARCH("NEW ORLEANS",C206)),ISNUMBER(SEARCH("KENNER",C206)),ISNUMBER(SEARCH("HENRY HOWARD",C206)),ISNUMBER(SEARCH("MISS CLAUDIA",C206))),"Personal Travel - New Orleans",IFERROR(INDEX('Category Rules'!$B$2:$B$194,MATCH(TRUE,ISNUMBER(SEARCH('Category Rules'!$A$2:$A$194,C206)),0)),"")))))))</f>
        <v>Amazon</v>
      </c>
    </row>
    <row r="207" spans="1:7" x14ac:dyDescent="0.25">
      <c r="A207" t="s">
        <v>6</v>
      </c>
      <c r="B207" s="1">
        <v>46185</v>
      </c>
      <c r="C207" t="s">
        <v>206</v>
      </c>
      <c r="D207">
        <v>-53.96</v>
      </c>
      <c r="E207" t="s">
        <v>14</v>
      </c>
      <c r="F207">
        <v>1892.24</v>
      </c>
      <c r="G207" t="str" cm="1">
        <f t="array" ref="G207">IF(AND(ISNUMBER(SEARCH("UBER",C207)),ISNUMBER(SEARCH("EATS",C207))),"Uber Eats",IF(LEFT(C207,6)="CHECK ","Checks Paid",IF(OR(E207="BILLPAY",ISNUMBER(SEARCH("FRANCHISE TAX",C207)),ISNUMBER(SEARCH("NEXTLINK",C207))),"Personal - House Bills",IF(AND(ISNUMBER(SEARCH("PAYMENT FROM",C207)),ISNUMBER(SEARCH("JOE SAUNDERS",C207))),"Zelle from Joe Saunders",IF(AND(ISNUMBER(SEARCH("PAYMENT TO",C207)),ISNUMBER(SEARCH("JOE SAUNDERS",C207))),"Zelle to Joe Saunders",IF(OR(ISNUMBER(SEARCH("NEW ORLEANS",C207)),ISNUMBER(SEARCH("KENNER",C207)),ISNUMBER(SEARCH("HENRY HOWARD",C207)),ISNUMBER(SEARCH("MISS CLAUDIA",C207))),"Personal Travel - New Orleans",IFERROR(INDEX('Category Rules'!$B$2:$B$194,MATCH(TRUE,ISNUMBER(SEARCH('Category Rules'!$A$2:$A$194,C207)),0)),"")))))))</f>
        <v>Amazon</v>
      </c>
    </row>
    <row r="208" spans="1:7" x14ac:dyDescent="0.25">
      <c r="A208" t="s">
        <v>6</v>
      </c>
      <c r="B208" s="1">
        <v>46185</v>
      </c>
      <c r="C208" t="s">
        <v>207</v>
      </c>
      <c r="D208">
        <v>-137.71</v>
      </c>
      <c r="E208" t="s">
        <v>14</v>
      </c>
      <c r="F208">
        <v>1946.2</v>
      </c>
      <c r="G208" t="str" cm="1">
        <f t="array" ref="G208">IF(AND(ISNUMBER(SEARCH("UBER",C208)),ISNUMBER(SEARCH("EATS",C208))),"Uber Eats",IF(LEFT(C208,6)="CHECK ","Checks Paid",IF(OR(E208="BILLPAY",ISNUMBER(SEARCH("FRANCHISE TAX",C208)),ISNUMBER(SEARCH("NEXTLINK",C208))),"Personal - House Bills",IF(AND(ISNUMBER(SEARCH("PAYMENT FROM",C208)),ISNUMBER(SEARCH("JOE SAUNDERS",C208))),"Zelle from Joe Saunders",IF(AND(ISNUMBER(SEARCH("PAYMENT TO",C208)),ISNUMBER(SEARCH("JOE SAUNDERS",C208))),"Zelle to Joe Saunders",IF(OR(ISNUMBER(SEARCH("NEW ORLEANS",C208)),ISNUMBER(SEARCH("KENNER",C208)),ISNUMBER(SEARCH("HENRY HOWARD",C208)),ISNUMBER(SEARCH("MISS CLAUDIA",C208))),"Personal Travel - New Orleans",IFERROR(INDEX('Category Rules'!$B$2:$B$194,MATCH(TRUE,ISNUMBER(SEARCH('Category Rules'!$A$2:$A$194,C208)),0)),"")))))))</f>
        <v>Personal - Clothing</v>
      </c>
    </row>
    <row r="209" spans="1:7" x14ac:dyDescent="0.25">
      <c r="A209" t="s">
        <v>6</v>
      </c>
      <c r="B209" s="1">
        <v>46184</v>
      </c>
      <c r="C209" t="s">
        <v>208</v>
      </c>
      <c r="D209">
        <v>-67.83</v>
      </c>
      <c r="E209" t="s">
        <v>14</v>
      </c>
      <c r="F209">
        <v>2083.91</v>
      </c>
      <c r="G209" t="str" cm="1">
        <f t="array" ref="G209">IF(AND(ISNUMBER(SEARCH("UBER",C209)),ISNUMBER(SEARCH("EATS",C209))),"Uber Eats",IF(LEFT(C209,6)="CHECK ","Checks Paid",IF(OR(E209="BILLPAY",ISNUMBER(SEARCH("FRANCHISE TAX",C209)),ISNUMBER(SEARCH("NEXTLINK",C209))),"Personal - House Bills",IF(AND(ISNUMBER(SEARCH("PAYMENT FROM",C209)),ISNUMBER(SEARCH("JOE SAUNDERS",C209))),"Zelle from Joe Saunders",IF(AND(ISNUMBER(SEARCH("PAYMENT TO",C209)),ISNUMBER(SEARCH("JOE SAUNDERS",C209))),"Zelle to Joe Saunders",IF(OR(ISNUMBER(SEARCH("NEW ORLEANS",C209)),ISNUMBER(SEARCH("KENNER",C209)),ISNUMBER(SEARCH("HENRY HOWARD",C209)),ISNUMBER(SEARCH("MISS CLAUDIA",C209))),"Personal Travel - New Orleans",IFERROR(INDEX('Category Rules'!$B$2:$B$194,MATCH(TRUE,ISNUMBER(SEARCH('Category Rules'!$A$2:$A$194,C209)),0)),"")))))))</f>
        <v>Uber Eats</v>
      </c>
    </row>
    <row r="210" spans="1:7" x14ac:dyDescent="0.25">
      <c r="A210" t="s">
        <v>6</v>
      </c>
      <c r="B210" s="1">
        <v>46184</v>
      </c>
      <c r="C210" t="s">
        <v>209</v>
      </c>
      <c r="D210">
        <v>-85.16</v>
      </c>
      <c r="E210" t="s">
        <v>14</v>
      </c>
      <c r="F210">
        <v>2151.7399999999998</v>
      </c>
      <c r="G210" t="str" cm="1">
        <f t="array" ref="G210">IF(AND(ISNUMBER(SEARCH("UBER",C210)),ISNUMBER(SEARCH("EATS",C210))),"Uber Eats",IF(LEFT(C210,6)="CHECK ","Checks Paid",IF(OR(E210="BILLPAY",ISNUMBER(SEARCH("FRANCHISE TAX",C210)),ISNUMBER(SEARCH("NEXTLINK",C210))),"Personal - House Bills",IF(AND(ISNUMBER(SEARCH("PAYMENT FROM",C210)),ISNUMBER(SEARCH("JOE SAUNDERS",C210))),"Zelle from Joe Saunders",IF(AND(ISNUMBER(SEARCH("PAYMENT TO",C210)),ISNUMBER(SEARCH("JOE SAUNDERS",C210))),"Zelle to Joe Saunders",IF(OR(ISNUMBER(SEARCH("NEW ORLEANS",C210)),ISNUMBER(SEARCH("KENNER",C210)),ISNUMBER(SEARCH("HENRY HOWARD",C210)),ISNUMBER(SEARCH("MISS CLAUDIA",C210))),"Personal Travel - New Orleans",IFERROR(INDEX('Category Rules'!$B$2:$B$194,MATCH(TRUE,ISNUMBER(SEARCH('Category Rules'!$A$2:$A$194,C210)),0)),"")))))))</f>
        <v>Amazon</v>
      </c>
    </row>
    <row r="211" spans="1:7" x14ac:dyDescent="0.25">
      <c r="A211" t="s">
        <v>6</v>
      </c>
      <c r="B211" s="1">
        <v>46184</v>
      </c>
      <c r="C211" t="s">
        <v>210</v>
      </c>
      <c r="D211">
        <v>-137.59</v>
      </c>
      <c r="E211" t="s">
        <v>14</v>
      </c>
      <c r="F211">
        <v>2236.9</v>
      </c>
      <c r="G211" t="str" cm="1">
        <f t="array" ref="G211">IF(AND(ISNUMBER(SEARCH("UBER",C211)),ISNUMBER(SEARCH("EATS",C211))),"Uber Eats",IF(LEFT(C211,6)="CHECK ","Checks Paid",IF(OR(E211="BILLPAY",ISNUMBER(SEARCH("FRANCHISE TAX",C211)),ISNUMBER(SEARCH("NEXTLINK",C211))),"Personal - House Bills",IF(AND(ISNUMBER(SEARCH("PAYMENT FROM",C211)),ISNUMBER(SEARCH("JOE SAUNDERS",C211))),"Zelle from Joe Saunders",IF(AND(ISNUMBER(SEARCH("PAYMENT TO",C211)),ISNUMBER(SEARCH("JOE SAUNDERS",C211))),"Zelle to Joe Saunders",IF(OR(ISNUMBER(SEARCH("NEW ORLEANS",C211)),ISNUMBER(SEARCH("KENNER",C211)),ISNUMBER(SEARCH("HENRY HOWARD",C211)),ISNUMBER(SEARCH("MISS CLAUDIA",C211))),"Personal Travel - New Orleans",IFERROR(INDEX('Category Rules'!$B$2:$B$194,MATCH(TRUE,ISNUMBER(SEARCH('Category Rules'!$A$2:$A$194,C211)),0)),"")))))))</f>
        <v>Personal - Clothing</v>
      </c>
    </row>
    <row r="212" spans="1:7" x14ac:dyDescent="0.25">
      <c r="A212" t="s">
        <v>6</v>
      </c>
      <c r="B212" s="1">
        <v>46183</v>
      </c>
      <c r="C212" t="s">
        <v>211</v>
      </c>
      <c r="D212">
        <v>-60.76</v>
      </c>
      <c r="E212" t="s">
        <v>14</v>
      </c>
      <c r="F212">
        <v>2374.4899999999998</v>
      </c>
      <c r="G212" t="str" cm="1">
        <f t="array" ref="G212">IF(AND(ISNUMBER(SEARCH("UBER",C212)),ISNUMBER(SEARCH("EATS",C212))),"Uber Eats",IF(LEFT(C212,6)="CHECK ","Checks Paid",IF(OR(E212="BILLPAY",ISNUMBER(SEARCH("FRANCHISE TAX",C212)),ISNUMBER(SEARCH("NEXTLINK",C212))),"Personal - House Bills",IF(AND(ISNUMBER(SEARCH("PAYMENT FROM",C212)),ISNUMBER(SEARCH("JOE SAUNDERS",C212))),"Zelle from Joe Saunders",IF(AND(ISNUMBER(SEARCH("PAYMENT TO",C212)),ISNUMBER(SEARCH("JOE SAUNDERS",C212))),"Zelle to Joe Saunders",IF(OR(ISNUMBER(SEARCH("NEW ORLEANS",C212)),ISNUMBER(SEARCH("KENNER",C212)),ISNUMBER(SEARCH("HENRY HOWARD",C212)),ISNUMBER(SEARCH("MISS CLAUDIA",C212))),"Personal Travel - New Orleans",IFERROR(INDEX('Category Rules'!$B$2:$B$194,MATCH(TRUE,ISNUMBER(SEARCH('Category Rules'!$A$2:$A$194,C212)),0)),"")))))))</f>
        <v>Personal - Entertainment</v>
      </c>
    </row>
    <row r="213" spans="1:7" x14ac:dyDescent="0.25">
      <c r="A213" t="s">
        <v>6</v>
      </c>
      <c r="B213" s="1">
        <v>46183</v>
      </c>
      <c r="C213" t="s">
        <v>212</v>
      </c>
      <c r="D213">
        <v>-12.99</v>
      </c>
      <c r="E213" t="s">
        <v>14</v>
      </c>
      <c r="F213">
        <v>2435.25</v>
      </c>
      <c r="G213" t="str" cm="1">
        <f t="array" ref="G213">IF(AND(ISNUMBER(SEARCH("UBER",C213)),ISNUMBER(SEARCH("EATS",C213))),"Uber Eats",IF(LEFT(C213,6)="CHECK ","Checks Paid",IF(OR(E213="BILLPAY",ISNUMBER(SEARCH("FRANCHISE TAX",C213)),ISNUMBER(SEARCH("NEXTLINK",C213))),"Personal - House Bills",IF(AND(ISNUMBER(SEARCH("PAYMENT FROM",C213)),ISNUMBER(SEARCH("JOE SAUNDERS",C213))),"Zelle from Joe Saunders",IF(AND(ISNUMBER(SEARCH("PAYMENT TO",C213)),ISNUMBER(SEARCH("JOE SAUNDERS",C213))),"Zelle to Joe Saunders",IF(OR(ISNUMBER(SEARCH("NEW ORLEANS",C213)),ISNUMBER(SEARCH("KENNER",C213)),ISNUMBER(SEARCH("HENRY HOWARD",C213)),ISNUMBER(SEARCH("MISS CLAUDIA",C213))),"Personal Travel - New Orleans",IFERROR(INDEX('Category Rules'!$B$2:$B$194,MATCH(TRUE,ISNUMBER(SEARCH('Category Rules'!$A$2:$A$194,C213)),0)),"")))))))</f>
        <v>Apple</v>
      </c>
    </row>
    <row r="214" spans="1:7" x14ac:dyDescent="0.25">
      <c r="A214" t="s">
        <v>6</v>
      </c>
      <c r="B214" s="1">
        <v>46183</v>
      </c>
      <c r="C214" t="s">
        <v>213</v>
      </c>
      <c r="D214">
        <v>-654.91</v>
      </c>
      <c r="E214" t="s">
        <v>14</v>
      </c>
      <c r="F214">
        <v>2448.2399999999998</v>
      </c>
      <c r="G214" t="str" cm="1">
        <f t="array" ref="G214">IF(AND(ISNUMBER(SEARCH("UBER",C214)),ISNUMBER(SEARCH("EATS",C214))),"Uber Eats",IF(LEFT(C214,6)="CHECK ","Checks Paid",IF(OR(E214="BILLPAY",ISNUMBER(SEARCH("FRANCHISE TAX",C214)),ISNUMBER(SEARCH("NEXTLINK",C214))),"Personal - House Bills",IF(AND(ISNUMBER(SEARCH("PAYMENT FROM",C214)),ISNUMBER(SEARCH("JOE SAUNDERS",C214))),"Zelle from Joe Saunders",IF(AND(ISNUMBER(SEARCH("PAYMENT TO",C214)),ISNUMBER(SEARCH("JOE SAUNDERS",C214))),"Zelle to Joe Saunders",IF(OR(ISNUMBER(SEARCH("NEW ORLEANS",C214)),ISNUMBER(SEARCH("KENNER",C214)),ISNUMBER(SEARCH("HENRY HOWARD",C214)),ISNUMBER(SEARCH("MISS CLAUDIA",C214))),"Personal Travel - New Orleans",IFERROR(INDEX('Category Rules'!$B$2:$B$194,MATCH(TRUE,ISNUMBER(SEARCH('Category Rules'!$A$2:$A$194,C214)),0)),"")))))))</f>
        <v>Personal - House Bills</v>
      </c>
    </row>
    <row r="215" spans="1:7" x14ac:dyDescent="0.25">
      <c r="A215" t="s">
        <v>6</v>
      </c>
      <c r="B215" s="1">
        <v>46183</v>
      </c>
      <c r="C215" t="s">
        <v>214</v>
      </c>
      <c r="D215">
        <v>-92.79</v>
      </c>
      <c r="E215" t="s">
        <v>14</v>
      </c>
      <c r="F215">
        <v>3103.15</v>
      </c>
      <c r="G215" t="str" cm="1">
        <f t="array" ref="G215">IF(AND(ISNUMBER(SEARCH("UBER",C215)),ISNUMBER(SEARCH("EATS",C215))),"Uber Eats",IF(LEFT(C215,6)="CHECK ","Checks Paid",IF(OR(E215="BILLPAY",ISNUMBER(SEARCH("FRANCHISE TAX",C215)),ISNUMBER(SEARCH("NEXTLINK",C215))),"Personal - House Bills",IF(AND(ISNUMBER(SEARCH("PAYMENT FROM",C215)),ISNUMBER(SEARCH("JOE SAUNDERS",C215))),"Zelle from Joe Saunders",IF(AND(ISNUMBER(SEARCH("PAYMENT TO",C215)),ISNUMBER(SEARCH("JOE SAUNDERS",C215))),"Zelle to Joe Saunders",IF(OR(ISNUMBER(SEARCH("NEW ORLEANS",C215)),ISNUMBER(SEARCH("KENNER",C215)),ISNUMBER(SEARCH("HENRY HOWARD",C215)),ISNUMBER(SEARCH("MISS CLAUDIA",C215))),"Personal Travel - New Orleans",IFERROR(INDEX('Category Rules'!$B$2:$B$194,MATCH(TRUE,ISNUMBER(SEARCH('Category Rules'!$A$2:$A$194,C215)),0)),"")))))))</f>
        <v>Uber Eats</v>
      </c>
    </row>
    <row r="216" spans="1:7" x14ac:dyDescent="0.25">
      <c r="A216" t="s">
        <v>6</v>
      </c>
      <c r="B216" s="1">
        <v>46182</v>
      </c>
      <c r="C216" t="s">
        <v>215</v>
      </c>
      <c r="D216">
        <v>-45.97</v>
      </c>
      <c r="E216" t="s">
        <v>14</v>
      </c>
      <c r="F216">
        <v>3195.94</v>
      </c>
      <c r="G216" t="str" cm="1">
        <f t="array" ref="G216">IF(AND(ISNUMBER(SEARCH("UBER",C216)),ISNUMBER(SEARCH("EATS",C216))),"Uber Eats",IF(LEFT(C216,6)="CHECK ","Checks Paid",IF(OR(E216="BILLPAY",ISNUMBER(SEARCH("FRANCHISE TAX",C216)),ISNUMBER(SEARCH("NEXTLINK",C216))),"Personal - House Bills",IF(AND(ISNUMBER(SEARCH("PAYMENT FROM",C216)),ISNUMBER(SEARCH("JOE SAUNDERS",C216))),"Zelle from Joe Saunders",IF(AND(ISNUMBER(SEARCH("PAYMENT TO",C216)),ISNUMBER(SEARCH("JOE SAUNDERS",C216))),"Zelle to Joe Saunders",IF(OR(ISNUMBER(SEARCH("NEW ORLEANS",C216)),ISNUMBER(SEARCH("KENNER",C216)),ISNUMBER(SEARCH("HENRY HOWARD",C216)),ISNUMBER(SEARCH("MISS CLAUDIA",C216))),"Personal Travel - New Orleans",IFERROR(INDEX('Category Rules'!$B$2:$B$194,MATCH(TRUE,ISNUMBER(SEARCH('Category Rules'!$A$2:$A$194,C216)),0)),"")))))))</f>
        <v>Personal - Car</v>
      </c>
    </row>
    <row r="217" spans="1:7" x14ac:dyDescent="0.25">
      <c r="A217" t="s">
        <v>6</v>
      </c>
      <c r="B217" s="1">
        <v>46182</v>
      </c>
      <c r="C217" t="s">
        <v>216</v>
      </c>
      <c r="D217">
        <v>-1000</v>
      </c>
      <c r="E217" t="s">
        <v>48</v>
      </c>
      <c r="F217">
        <v>3241.91</v>
      </c>
      <c r="G217" t="str" cm="1">
        <f t="array" ref="G217">IF(AND(ISNUMBER(SEARCH("UBER",C217)),ISNUMBER(SEARCH("EATS",C217))),"Uber Eats",IF(LEFT(C217,6)="CHECK ","Checks Paid",IF(OR(E217="BILLPAY",ISNUMBER(SEARCH("FRANCHISE TAX",C217)),ISNUMBER(SEARCH("NEXTLINK",C217))),"Personal - House Bills",IF(AND(ISNUMBER(SEARCH("PAYMENT FROM",C217)),ISNUMBER(SEARCH("JOE SAUNDERS",C217))),"Zelle from Joe Saunders",IF(AND(ISNUMBER(SEARCH("PAYMENT TO",C217)),ISNUMBER(SEARCH("JOE SAUNDERS",C217))),"Zelle to Joe Saunders",IF(OR(ISNUMBER(SEARCH("NEW ORLEANS",C217)),ISNUMBER(SEARCH("KENNER",C217)),ISNUMBER(SEARCH("HENRY HOWARD",C217)),ISNUMBER(SEARCH("MISS CLAUDIA",C217))),"Personal Travel - New Orleans",IFERROR(INDEX('Category Rules'!$B$2:$B$194,MATCH(TRUE,ISNUMBER(SEARCH('Category Rules'!$A$2:$A$194,C217)),0)),"")))))))</f>
        <v>Withdrawal</v>
      </c>
    </row>
    <row r="218" spans="1:7" x14ac:dyDescent="0.25">
      <c r="A218" t="s">
        <v>6</v>
      </c>
      <c r="B218" s="1">
        <v>46182</v>
      </c>
      <c r="C218" t="s">
        <v>217</v>
      </c>
      <c r="D218">
        <v>-83.32</v>
      </c>
      <c r="E218" t="s">
        <v>14</v>
      </c>
      <c r="F218">
        <v>4241.91</v>
      </c>
      <c r="G218" t="str" cm="1">
        <f t="array" ref="G218">IF(AND(ISNUMBER(SEARCH("UBER",C218)),ISNUMBER(SEARCH("EATS",C218))),"Uber Eats",IF(LEFT(C218,6)="CHECK ","Checks Paid",IF(OR(E218="BILLPAY",ISNUMBER(SEARCH("FRANCHISE TAX",C218)),ISNUMBER(SEARCH("NEXTLINK",C218))),"Personal - House Bills",IF(AND(ISNUMBER(SEARCH("PAYMENT FROM",C218)),ISNUMBER(SEARCH("JOE SAUNDERS",C218))),"Zelle from Joe Saunders",IF(AND(ISNUMBER(SEARCH("PAYMENT TO",C218)),ISNUMBER(SEARCH("JOE SAUNDERS",C218))),"Zelle to Joe Saunders",IF(OR(ISNUMBER(SEARCH("NEW ORLEANS",C218)),ISNUMBER(SEARCH("KENNER",C218)),ISNUMBER(SEARCH("HENRY HOWARD",C218)),ISNUMBER(SEARCH("MISS CLAUDIA",C218))),"Personal Travel - New Orleans",IFERROR(INDEX('Category Rules'!$B$2:$B$194,MATCH(TRUE,ISNUMBER(SEARCH('Category Rules'!$A$2:$A$194,C218)),0)),"")))))))</f>
        <v>Poshmark</v>
      </c>
    </row>
    <row r="219" spans="1:7" x14ac:dyDescent="0.25">
      <c r="A219" t="s">
        <v>6</v>
      </c>
      <c r="B219" s="1">
        <v>46182</v>
      </c>
      <c r="C219" t="s">
        <v>217</v>
      </c>
      <c r="D219">
        <v>-50.39</v>
      </c>
      <c r="E219" t="s">
        <v>14</v>
      </c>
      <c r="F219">
        <v>4325.2299999999996</v>
      </c>
      <c r="G219" t="str" cm="1">
        <f t="array" ref="G219">IF(AND(ISNUMBER(SEARCH("UBER",C219)),ISNUMBER(SEARCH("EATS",C219))),"Uber Eats",IF(LEFT(C219,6)="CHECK ","Checks Paid",IF(OR(E219="BILLPAY",ISNUMBER(SEARCH("FRANCHISE TAX",C219)),ISNUMBER(SEARCH("NEXTLINK",C219))),"Personal - House Bills",IF(AND(ISNUMBER(SEARCH("PAYMENT FROM",C219)),ISNUMBER(SEARCH("JOE SAUNDERS",C219))),"Zelle from Joe Saunders",IF(AND(ISNUMBER(SEARCH("PAYMENT TO",C219)),ISNUMBER(SEARCH("JOE SAUNDERS",C219))),"Zelle to Joe Saunders",IF(OR(ISNUMBER(SEARCH("NEW ORLEANS",C219)),ISNUMBER(SEARCH("KENNER",C219)),ISNUMBER(SEARCH("HENRY HOWARD",C219)),ISNUMBER(SEARCH("MISS CLAUDIA",C219))),"Personal Travel - New Orleans",IFERROR(INDEX('Category Rules'!$B$2:$B$194,MATCH(TRUE,ISNUMBER(SEARCH('Category Rules'!$A$2:$A$194,C219)),0)),"")))))))</f>
        <v>Poshmark</v>
      </c>
    </row>
    <row r="220" spans="1:7" x14ac:dyDescent="0.25">
      <c r="A220" t="s">
        <v>6</v>
      </c>
      <c r="B220" s="1">
        <v>46182</v>
      </c>
      <c r="C220" t="s">
        <v>217</v>
      </c>
      <c r="D220">
        <v>-105.27</v>
      </c>
      <c r="E220" t="s">
        <v>14</v>
      </c>
      <c r="F220">
        <v>4375.62</v>
      </c>
      <c r="G220" t="str" cm="1">
        <f t="array" ref="G220">IF(AND(ISNUMBER(SEARCH("UBER",C220)),ISNUMBER(SEARCH("EATS",C220))),"Uber Eats",IF(LEFT(C220,6)="CHECK ","Checks Paid",IF(OR(E220="BILLPAY",ISNUMBER(SEARCH("FRANCHISE TAX",C220)),ISNUMBER(SEARCH("NEXTLINK",C220))),"Personal - House Bills",IF(AND(ISNUMBER(SEARCH("PAYMENT FROM",C220)),ISNUMBER(SEARCH("JOE SAUNDERS",C220))),"Zelle from Joe Saunders",IF(AND(ISNUMBER(SEARCH("PAYMENT TO",C220)),ISNUMBER(SEARCH("JOE SAUNDERS",C220))),"Zelle to Joe Saunders",IF(OR(ISNUMBER(SEARCH("NEW ORLEANS",C220)),ISNUMBER(SEARCH("KENNER",C220)),ISNUMBER(SEARCH("HENRY HOWARD",C220)),ISNUMBER(SEARCH("MISS CLAUDIA",C220))),"Personal Travel - New Orleans",IFERROR(INDEX('Category Rules'!$B$2:$B$194,MATCH(TRUE,ISNUMBER(SEARCH('Category Rules'!$A$2:$A$194,C220)),0)),"")))))))</f>
        <v>Poshmark</v>
      </c>
    </row>
    <row r="221" spans="1:7" x14ac:dyDescent="0.25">
      <c r="A221" t="s">
        <v>6</v>
      </c>
      <c r="B221" s="1">
        <v>46182</v>
      </c>
      <c r="C221" t="s">
        <v>218</v>
      </c>
      <c r="D221">
        <v>-6.99</v>
      </c>
      <c r="E221" t="s">
        <v>14</v>
      </c>
      <c r="F221">
        <v>4480.8900000000003</v>
      </c>
      <c r="G221" t="str" cm="1">
        <f t="array" ref="G221">IF(AND(ISNUMBER(SEARCH("UBER",C221)),ISNUMBER(SEARCH("EATS",C221))),"Uber Eats",IF(LEFT(C221,6)="CHECK ","Checks Paid",IF(OR(E221="BILLPAY",ISNUMBER(SEARCH("FRANCHISE TAX",C221)),ISNUMBER(SEARCH("NEXTLINK",C221))),"Personal - House Bills",IF(AND(ISNUMBER(SEARCH("PAYMENT FROM",C221)),ISNUMBER(SEARCH("JOE SAUNDERS",C221))),"Zelle from Joe Saunders",IF(AND(ISNUMBER(SEARCH("PAYMENT TO",C221)),ISNUMBER(SEARCH("JOE SAUNDERS",C221))),"Zelle to Joe Saunders",IF(OR(ISNUMBER(SEARCH("NEW ORLEANS",C221)),ISNUMBER(SEARCH("KENNER",C221)),ISNUMBER(SEARCH("HENRY HOWARD",C221)),ISNUMBER(SEARCH("MISS CLAUDIA",C221))),"Personal Travel - New Orleans",IFERROR(INDEX('Category Rules'!$B$2:$B$194,MATCH(TRUE,ISNUMBER(SEARCH('Category Rules'!$A$2:$A$194,C221)),0)),"")))))))</f>
        <v>Apple</v>
      </c>
    </row>
    <row r="222" spans="1:7" x14ac:dyDescent="0.25">
      <c r="A222" t="s">
        <v>6</v>
      </c>
      <c r="B222" s="1">
        <v>46182</v>
      </c>
      <c r="C222" t="s">
        <v>219</v>
      </c>
      <c r="D222">
        <v>-350.15</v>
      </c>
      <c r="E222" t="s">
        <v>14</v>
      </c>
      <c r="F222">
        <v>4487.88</v>
      </c>
      <c r="G222" t="str" cm="1">
        <f t="array" ref="G222">IF(AND(ISNUMBER(SEARCH("UBER",C222)),ISNUMBER(SEARCH("EATS",C222))),"Uber Eats",IF(LEFT(C222,6)="CHECK ","Checks Paid",IF(OR(E222="BILLPAY",ISNUMBER(SEARCH("FRANCHISE TAX",C222)),ISNUMBER(SEARCH("NEXTLINK",C222))),"Personal - House Bills",IF(AND(ISNUMBER(SEARCH("PAYMENT FROM",C222)),ISNUMBER(SEARCH("JOE SAUNDERS",C222))),"Zelle from Joe Saunders",IF(AND(ISNUMBER(SEARCH("PAYMENT TO",C222)),ISNUMBER(SEARCH("JOE SAUNDERS",C222))),"Zelle to Joe Saunders",IF(OR(ISNUMBER(SEARCH("NEW ORLEANS",C222)),ISNUMBER(SEARCH("KENNER",C222)),ISNUMBER(SEARCH("HENRY HOWARD",C222)),ISNUMBER(SEARCH("MISS CLAUDIA",C222))),"Personal Travel - New Orleans",IFERROR(INDEX('Category Rules'!$B$2:$B$194,MATCH(TRUE,ISNUMBER(SEARCH('Category Rules'!$A$2:$A$194,C222)),0)),"")))))))</f>
        <v>Amazon</v>
      </c>
    </row>
    <row r="223" spans="1:7" x14ac:dyDescent="0.25">
      <c r="A223" t="s">
        <v>6</v>
      </c>
      <c r="B223" s="1">
        <v>46182</v>
      </c>
      <c r="C223" t="s">
        <v>220</v>
      </c>
      <c r="D223">
        <v>-273.95</v>
      </c>
      <c r="E223" t="s">
        <v>14</v>
      </c>
      <c r="F223">
        <v>4838.03</v>
      </c>
      <c r="G223" t="str" cm="1">
        <f t="array" ref="G223">IF(AND(ISNUMBER(SEARCH("UBER",C223)),ISNUMBER(SEARCH("EATS",C223))),"Uber Eats",IF(LEFT(C223,6)="CHECK ","Checks Paid",IF(OR(E223="BILLPAY",ISNUMBER(SEARCH("FRANCHISE TAX",C223)),ISNUMBER(SEARCH("NEXTLINK",C223))),"Personal - House Bills",IF(AND(ISNUMBER(SEARCH("PAYMENT FROM",C223)),ISNUMBER(SEARCH("JOE SAUNDERS",C223))),"Zelle from Joe Saunders",IF(AND(ISNUMBER(SEARCH("PAYMENT TO",C223)),ISNUMBER(SEARCH("JOE SAUNDERS",C223))),"Zelle to Joe Saunders",IF(OR(ISNUMBER(SEARCH("NEW ORLEANS",C223)),ISNUMBER(SEARCH("KENNER",C223)),ISNUMBER(SEARCH("HENRY HOWARD",C223)),ISNUMBER(SEARCH("MISS CLAUDIA",C223))),"Personal Travel - New Orleans",IFERROR(INDEX('Category Rules'!$B$2:$B$194,MATCH(TRUE,ISNUMBER(SEARCH('Category Rules'!$A$2:$A$194,C223)),0)),"")))))))</f>
        <v>Amazon</v>
      </c>
    </row>
    <row r="224" spans="1:7" x14ac:dyDescent="0.25">
      <c r="A224" t="s">
        <v>6</v>
      </c>
      <c r="B224" s="1">
        <v>46182</v>
      </c>
      <c r="C224" t="s">
        <v>221</v>
      </c>
      <c r="D224">
        <v>-16.23</v>
      </c>
      <c r="E224" t="s">
        <v>14</v>
      </c>
      <c r="F224">
        <v>5111.9799999999996</v>
      </c>
      <c r="G224" t="str" cm="1">
        <f t="array" ref="G224">IF(AND(ISNUMBER(SEARCH("UBER",C224)),ISNUMBER(SEARCH("EATS",C224))),"Uber Eats",IF(LEFT(C224,6)="CHECK ","Checks Paid",IF(OR(E224="BILLPAY",ISNUMBER(SEARCH("FRANCHISE TAX",C224)),ISNUMBER(SEARCH("NEXTLINK",C224))),"Personal - House Bills",IF(AND(ISNUMBER(SEARCH("PAYMENT FROM",C224)),ISNUMBER(SEARCH("JOE SAUNDERS",C224))),"Zelle from Joe Saunders",IF(AND(ISNUMBER(SEARCH("PAYMENT TO",C224)),ISNUMBER(SEARCH("JOE SAUNDERS",C224))),"Zelle to Joe Saunders",IF(OR(ISNUMBER(SEARCH("NEW ORLEANS",C224)),ISNUMBER(SEARCH("KENNER",C224)),ISNUMBER(SEARCH("HENRY HOWARD",C224)),ISNUMBER(SEARCH("MISS CLAUDIA",C224))),"Personal Travel - New Orleans",IFERROR(INDEX('Category Rules'!$B$2:$B$194,MATCH(TRUE,ISNUMBER(SEARCH('Category Rules'!$A$2:$A$194,C224)),0)),"")))))))</f>
        <v>Personal - Entertainment</v>
      </c>
    </row>
    <row r="225" spans="1:7" x14ac:dyDescent="0.25">
      <c r="A225" t="s">
        <v>6</v>
      </c>
      <c r="B225" s="1">
        <v>46182</v>
      </c>
      <c r="C225" t="s">
        <v>221</v>
      </c>
      <c r="D225">
        <v>-43.81</v>
      </c>
      <c r="E225" t="s">
        <v>14</v>
      </c>
      <c r="F225">
        <v>5128.21</v>
      </c>
      <c r="G225" t="str" cm="1">
        <f t="array" ref="G225">IF(AND(ISNUMBER(SEARCH("UBER",C225)),ISNUMBER(SEARCH("EATS",C225))),"Uber Eats",IF(LEFT(C225,6)="CHECK ","Checks Paid",IF(OR(E225="BILLPAY",ISNUMBER(SEARCH("FRANCHISE TAX",C225)),ISNUMBER(SEARCH("NEXTLINK",C225))),"Personal - House Bills",IF(AND(ISNUMBER(SEARCH("PAYMENT FROM",C225)),ISNUMBER(SEARCH("JOE SAUNDERS",C225))),"Zelle from Joe Saunders",IF(AND(ISNUMBER(SEARCH("PAYMENT TO",C225)),ISNUMBER(SEARCH("JOE SAUNDERS",C225))),"Zelle to Joe Saunders",IF(OR(ISNUMBER(SEARCH("NEW ORLEANS",C225)),ISNUMBER(SEARCH("KENNER",C225)),ISNUMBER(SEARCH("HENRY HOWARD",C225)),ISNUMBER(SEARCH("MISS CLAUDIA",C225))),"Personal Travel - New Orleans",IFERROR(INDEX('Category Rules'!$B$2:$B$194,MATCH(TRUE,ISNUMBER(SEARCH('Category Rules'!$A$2:$A$194,C225)),0)),"")))))))</f>
        <v>Personal - Entertainment</v>
      </c>
    </row>
    <row r="226" spans="1:7" x14ac:dyDescent="0.25">
      <c r="A226" t="s">
        <v>37</v>
      </c>
      <c r="B226" s="1">
        <v>46182</v>
      </c>
      <c r="C226" t="s">
        <v>222</v>
      </c>
      <c r="D226">
        <v>100</v>
      </c>
      <c r="E226" t="s">
        <v>106</v>
      </c>
      <c r="F226">
        <v>5172.0200000000004</v>
      </c>
      <c r="G226" t="str" cm="1">
        <f t="array" ref="G226">IF(AND(ISNUMBER(SEARCH("UBER",C226)),ISNUMBER(SEARCH("EATS",C226))),"Uber Eats",IF(LEFT(C226,6)="CHECK ","Checks Paid",IF(OR(E226="BILLPAY",ISNUMBER(SEARCH("FRANCHISE TAX",C226)),ISNUMBER(SEARCH("NEXTLINK",C226))),"Personal - House Bills",IF(AND(ISNUMBER(SEARCH("PAYMENT FROM",C226)),ISNUMBER(SEARCH("JOE SAUNDERS",C226))),"Zelle from Joe Saunders",IF(AND(ISNUMBER(SEARCH("PAYMENT TO",C226)),ISNUMBER(SEARCH("JOE SAUNDERS",C226))),"Zelle to Joe Saunders",IF(OR(ISNUMBER(SEARCH("NEW ORLEANS",C226)),ISNUMBER(SEARCH("KENNER",C226)),ISNUMBER(SEARCH("HENRY HOWARD",C226)),ISNUMBER(SEARCH("MISS CLAUDIA",C226))),"Personal Travel - New Orleans",IFERROR(INDEX('Category Rules'!$B$2:$B$194,MATCH(TRUE,ISNUMBER(SEARCH('Category Rules'!$A$2:$A$194,C226)),0)),"")))))))</f>
        <v>Zelle from Tanya Miller</v>
      </c>
    </row>
    <row r="227" spans="1:7" x14ac:dyDescent="0.25">
      <c r="A227" t="s">
        <v>37</v>
      </c>
      <c r="B227" s="1">
        <v>46182</v>
      </c>
      <c r="C227" t="s">
        <v>223</v>
      </c>
      <c r="D227">
        <v>2000</v>
      </c>
      <c r="E227" t="s">
        <v>39</v>
      </c>
      <c r="F227">
        <v>5072.0200000000004</v>
      </c>
      <c r="G227" t="str" cm="1">
        <f t="array" ref="G227">IF(AND(ISNUMBER(SEARCH("UBER",C227)),ISNUMBER(SEARCH("EATS",C227))),"Uber Eats",IF(LEFT(C227,6)="CHECK ","Checks Paid",IF(OR(E227="BILLPAY",ISNUMBER(SEARCH("FRANCHISE TAX",C227)),ISNUMBER(SEARCH("NEXTLINK",C227))),"Personal - House Bills",IF(AND(ISNUMBER(SEARCH("PAYMENT FROM",C227)),ISNUMBER(SEARCH("JOE SAUNDERS",C227))),"Zelle from Joe Saunders",IF(AND(ISNUMBER(SEARCH("PAYMENT TO",C227)),ISNUMBER(SEARCH("JOE SAUNDERS",C227))),"Zelle to Joe Saunders",IF(OR(ISNUMBER(SEARCH("NEW ORLEANS",C227)),ISNUMBER(SEARCH("KENNER",C227)),ISNUMBER(SEARCH("HENRY HOWARD",C227)),ISNUMBER(SEARCH("MISS CLAUDIA",C227))),"Personal Travel - New Orleans",IFERROR(INDEX('Category Rules'!$B$2:$B$194,MATCH(TRUE,ISNUMBER(SEARCH('Category Rules'!$A$2:$A$194,C227)),0)),"")))))))</f>
        <v>Transfer from DWG Capital Group</v>
      </c>
    </row>
    <row r="228" spans="1:7" x14ac:dyDescent="0.25">
      <c r="A228" t="s">
        <v>6</v>
      </c>
      <c r="B228" s="1">
        <v>46181</v>
      </c>
      <c r="C228" t="s">
        <v>224</v>
      </c>
      <c r="D228">
        <v>-15.99</v>
      </c>
      <c r="E228" t="s">
        <v>14</v>
      </c>
      <c r="F228">
        <v>3072.02</v>
      </c>
      <c r="G228" t="str" cm="1">
        <f t="array" ref="G228">IF(AND(ISNUMBER(SEARCH("UBER",C228)),ISNUMBER(SEARCH("EATS",C228))),"Uber Eats",IF(LEFT(C228,6)="CHECK ","Checks Paid",IF(OR(E228="BILLPAY",ISNUMBER(SEARCH("FRANCHISE TAX",C228)),ISNUMBER(SEARCH("NEXTLINK",C228))),"Personal - House Bills",IF(AND(ISNUMBER(SEARCH("PAYMENT FROM",C228)),ISNUMBER(SEARCH("JOE SAUNDERS",C228))),"Zelle from Joe Saunders",IF(AND(ISNUMBER(SEARCH("PAYMENT TO",C228)),ISNUMBER(SEARCH("JOE SAUNDERS",C228))),"Zelle to Joe Saunders",IF(OR(ISNUMBER(SEARCH("NEW ORLEANS",C228)),ISNUMBER(SEARCH("KENNER",C228)),ISNUMBER(SEARCH("HENRY HOWARD",C228)),ISNUMBER(SEARCH("MISS CLAUDIA",C228))),"Personal Travel - New Orleans",IFERROR(INDEX('Category Rules'!$B$2:$B$194,MATCH(TRUE,ISNUMBER(SEARCH('Category Rules'!$A$2:$A$194,C228)),0)),"")))))))</f>
        <v>Amazon</v>
      </c>
    </row>
    <row r="229" spans="1:7" x14ac:dyDescent="0.25">
      <c r="A229" t="s">
        <v>6</v>
      </c>
      <c r="B229" s="1">
        <v>46181</v>
      </c>
      <c r="C229" t="s">
        <v>225</v>
      </c>
      <c r="D229">
        <v>-165.51</v>
      </c>
      <c r="E229" t="s">
        <v>14</v>
      </c>
      <c r="F229">
        <v>3088.01</v>
      </c>
      <c r="G229" t="str" cm="1">
        <f t="array" ref="G229">IF(AND(ISNUMBER(SEARCH("UBER",C229)),ISNUMBER(SEARCH("EATS",C229))),"Uber Eats",IF(LEFT(C229,6)="CHECK ","Checks Paid",IF(OR(E229="BILLPAY",ISNUMBER(SEARCH("FRANCHISE TAX",C229)),ISNUMBER(SEARCH("NEXTLINK",C229))),"Personal - House Bills",IF(AND(ISNUMBER(SEARCH("PAYMENT FROM",C229)),ISNUMBER(SEARCH("JOE SAUNDERS",C229))),"Zelle from Joe Saunders",IF(AND(ISNUMBER(SEARCH("PAYMENT TO",C229)),ISNUMBER(SEARCH("JOE SAUNDERS",C229))),"Zelle to Joe Saunders",IF(OR(ISNUMBER(SEARCH("NEW ORLEANS",C229)),ISNUMBER(SEARCH("KENNER",C229)),ISNUMBER(SEARCH("HENRY HOWARD",C229)),ISNUMBER(SEARCH("MISS CLAUDIA",C229))),"Personal Travel - New Orleans",IFERROR(INDEX('Category Rules'!$B$2:$B$194,MATCH(TRUE,ISNUMBER(SEARCH('Category Rules'!$A$2:$A$194,C229)),0)),"")))))))</f>
        <v>Personal - Shopping</v>
      </c>
    </row>
    <row r="230" spans="1:7" x14ac:dyDescent="0.25">
      <c r="A230" t="s">
        <v>6</v>
      </c>
      <c r="B230" s="1">
        <v>46181</v>
      </c>
      <c r="C230" t="s">
        <v>226</v>
      </c>
      <c r="D230">
        <v>-161.94</v>
      </c>
      <c r="E230" t="s">
        <v>14</v>
      </c>
      <c r="F230">
        <v>3253.52</v>
      </c>
      <c r="G230" t="str" cm="1">
        <f t="array" ref="G230">IF(AND(ISNUMBER(SEARCH("UBER",C230)),ISNUMBER(SEARCH("EATS",C230))),"Uber Eats",IF(LEFT(C230,6)="CHECK ","Checks Paid",IF(OR(E230="BILLPAY",ISNUMBER(SEARCH("FRANCHISE TAX",C230)),ISNUMBER(SEARCH("NEXTLINK",C230))),"Personal - House Bills",IF(AND(ISNUMBER(SEARCH("PAYMENT FROM",C230)),ISNUMBER(SEARCH("JOE SAUNDERS",C230))),"Zelle from Joe Saunders",IF(AND(ISNUMBER(SEARCH("PAYMENT TO",C230)),ISNUMBER(SEARCH("JOE SAUNDERS",C230))),"Zelle to Joe Saunders",IF(OR(ISNUMBER(SEARCH("NEW ORLEANS",C230)),ISNUMBER(SEARCH("KENNER",C230)),ISNUMBER(SEARCH("HENRY HOWARD",C230)),ISNUMBER(SEARCH("MISS CLAUDIA",C230))),"Personal Travel - New Orleans",IFERROR(INDEX('Category Rules'!$B$2:$B$194,MATCH(TRUE,ISNUMBER(SEARCH('Category Rules'!$A$2:$A$194,C230)),0)),"")))))))</f>
        <v>Amazon</v>
      </c>
    </row>
    <row r="231" spans="1:7" x14ac:dyDescent="0.25">
      <c r="A231" t="s">
        <v>6</v>
      </c>
      <c r="B231" s="1">
        <v>46181</v>
      </c>
      <c r="C231" t="s">
        <v>227</v>
      </c>
      <c r="D231">
        <v>-15.99</v>
      </c>
      <c r="E231" t="s">
        <v>14</v>
      </c>
      <c r="F231">
        <v>3415.46</v>
      </c>
      <c r="G231" t="str" cm="1">
        <f t="array" ref="G231">IF(AND(ISNUMBER(SEARCH("UBER",C231)),ISNUMBER(SEARCH("EATS",C231))),"Uber Eats",IF(LEFT(C231,6)="CHECK ","Checks Paid",IF(OR(E231="BILLPAY",ISNUMBER(SEARCH("FRANCHISE TAX",C231)),ISNUMBER(SEARCH("NEXTLINK",C231))),"Personal - House Bills",IF(AND(ISNUMBER(SEARCH("PAYMENT FROM",C231)),ISNUMBER(SEARCH("JOE SAUNDERS",C231))),"Zelle from Joe Saunders",IF(AND(ISNUMBER(SEARCH("PAYMENT TO",C231)),ISNUMBER(SEARCH("JOE SAUNDERS",C231))),"Zelle to Joe Saunders",IF(OR(ISNUMBER(SEARCH("NEW ORLEANS",C231)),ISNUMBER(SEARCH("KENNER",C231)),ISNUMBER(SEARCH("HENRY HOWARD",C231)),ISNUMBER(SEARCH("MISS CLAUDIA",C231))),"Personal Travel - New Orleans",IFERROR(INDEX('Category Rules'!$B$2:$B$194,MATCH(TRUE,ISNUMBER(SEARCH('Category Rules'!$A$2:$A$194,C231)),0)),"")))))))</f>
        <v>YouTube Premium</v>
      </c>
    </row>
    <row r="232" spans="1:7" x14ac:dyDescent="0.25">
      <c r="A232" t="s">
        <v>6</v>
      </c>
      <c r="B232" s="1">
        <v>46181</v>
      </c>
      <c r="C232" t="s">
        <v>228</v>
      </c>
      <c r="D232">
        <v>-99.44</v>
      </c>
      <c r="E232" t="s">
        <v>14</v>
      </c>
      <c r="F232">
        <v>3431.45</v>
      </c>
      <c r="G232" t="str" cm="1">
        <f t="array" ref="G232">IF(AND(ISNUMBER(SEARCH("UBER",C232)),ISNUMBER(SEARCH("EATS",C232))),"Uber Eats",IF(LEFT(C232,6)="CHECK ","Checks Paid",IF(OR(E232="BILLPAY",ISNUMBER(SEARCH("FRANCHISE TAX",C232)),ISNUMBER(SEARCH("NEXTLINK",C232))),"Personal - House Bills",IF(AND(ISNUMBER(SEARCH("PAYMENT FROM",C232)),ISNUMBER(SEARCH("JOE SAUNDERS",C232))),"Zelle from Joe Saunders",IF(AND(ISNUMBER(SEARCH("PAYMENT TO",C232)),ISNUMBER(SEARCH("JOE SAUNDERS",C232))),"Zelle to Joe Saunders",IF(OR(ISNUMBER(SEARCH("NEW ORLEANS",C232)),ISNUMBER(SEARCH("KENNER",C232)),ISNUMBER(SEARCH("HENRY HOWARD",C232)),ISNUMBER(SEARCH("MISS CLAUDIA",C232))),"Personal Travel - New Orleans",IFERROR(INDEX('Category Rules'!$B$2:$B$194,MATCH(TRUE,ISNUMBER(SEARCH('Category Rules'!$A$2:$A$194,C232)),0)),"")))))))</f>
        <v>Uber Eats</v>
      </c>
    </row>
    <row r="233" spans="1:7" x14ac:dyDescent="0.25">
      <c r="A233" t="s">
        <v>6</v>
      </c>
      <c r="B233" s="1">
        <v>46181</v>
      </c>
      <c r="C233" t="s">
        <v>229</v>
      </c>
      <c r="D233">
        <v>-29.95</v>
      </c>
      <c r="E233" t="s">
        <v>14</v>
      </c>
      <c r="F233">
        <v>3530.89</v>
      </c>
      <c r="G233" t="str" cm="1">
        <f t="array" ref="G233">IF(AND(ISNUMBER(SEARCH("UBER",C233)),ISNUMBER(SEARCH("EATS",C233))),"Uber Eats",IF(LEFT(C233,6)="CHECK ","Checks Paid",IF(OR(E233="BILLPAY",ISNUMBER(SEARCH("FRANCHISE TAX",C233)),ISNUMBER(SEARCH("NEXTLINK",C233))),"Personal - House Bills",IF(AND(ISNUMBER(SEARCH("PAYMENT FROM",C233)),ISNUMBER(SEARCH("JOE SAUNDERS",C233))),"Zelle from Joe Saunders",IF(AND(ISNUMBER(SEARCH("PAYMENT TO",C233)),ISNUMBER(SEARCH("JOE SAUNDERS",C233))),"Zelle to Joe Saunders",IF(OR(ISNUMBER(SEARCH("NEW ORLEANS",C233)),ISNUMBER(SEARCH("KENNER",C233)),ISNUMBER(SEARCH("HENRY HOWARD",C233)),ISNUMBER(SEARCH("MISS CLAUDIA",C233))),"Personal Travel - New Orleans",IFERROR(INDEX('Category Rules'!$B$2:$B$194,MATCH(TRUE,ISNUMBER(SEARCH('Category Rules'!$A$2:$A$194,C233)),0)),"")))))))</f>
        <v>Personal - Subscription</v>
      </c>
    </row>
    <row r="234" spans="1:7" x14ac:dyDescent="0.25">
      <c r="A234" t="s">
        <v>6</v>
      </c>
      <c r="B234" s="1">
        <v>46181</v>
      </c>
      <c r="C234" t="s">
        <v>230</v>
      </c>
      <c r="D234">
        <v>-45.47</v>
      </c>
      <c r="E234" t="s">
        <v>14</v>
      </c>
      <c r="F234">
        <v>3560.84</v>
      </c>
      <c r="G234" t="str" cm="1">
        <f t="array" ref="G234">IF(AND(ISNUMBER(SEARCH("UBER",C234)),ISNUMBER(SEARCH("EATS",C234))),"Uber Eats",IF(LEFT(C234,6)="CHECK ","Checks Paid",IF(OR(E234="BILLPAY",ISNUMBER(SEARCH("FRANCHISE TAX",C234)),ISNUMBER(SEARCH("NEXTLINK",C234))),"Personal - House Bills",IF(AND(ISNUMBER(SEARCH("PAYMENT FROM",C234)),ISNUMBER(SEARCH("JOE SAUNDERS",C234))),"Zelle from Joe Saunders",IF(AND(ISNUMBER(SEARCH("PAYMENT TO",C234)),ISNUMBER(SEARCH("JOE SAUNDERS",C234))),"Zelle to Joe Saunders",IF(OR(ISNUMBER(SEARCH("NEW ORLEANS",C234)),ISNUMBER(SEARCH("KENNER",C234)),ISNUMBER(SEARCH("HENRY HOWARD",C234)),ISNUMBER(SEARCH("MISS CLAUDIA",C234))),"Personal Travel - New Orleans",IFERROR(INDEX('Category Rules'!$B$2:$B$194,MATCH(TRUE,ISNUMBER(SEARCH('Category Rules'!$A$2:$A$194,C234)),0)),"")))))))</f>
        <v>Personal - Shopping</v>
      </c>
    </row>
    <row r="235" spans="1:7" x14ac:dyDescent="0.25">
      <c r="A235" t="s">
        <v>6</v>
      </c>
      <c r="B235" s="1">
        <v>46181</v>
      </c>
      <c r="C235" t="s">
        <v>231</v>
      </c>
      <c r="D235">
        <v>-97.85</v>
      </c>
      <c r="E235" t="s">
        <v>14</v>
      </c>
      <c r="F235">
        <v>3606.31</v>
      </c>
      <c r="G235" t="str" cm="1">
        <f t="array" ref="G235">IF(AND(ISNUMBER(SEARCH("UBER",C235)),ISNUMBER(SEARCH("EATS",C235))),"Uber Eats",IF(LEFT(C235,6)="CHECK ","Checks Paid",IF(OR(E235="BILLPAY",ISNUMBER(SEARCH("FRANCHISE TAX",C235)),ISNUMBER(SEARCH("NEXTLINK",C235))),"Personal - House Bills",IF(AND(ISNUMBER(SEARCH("PAYMENT FROM",C235)),ISNUMBER(SEARCH("JOE SAUNDERS",C235))),"Zelle from Joe Saunders",IF(AND(ISNUMBER(SEARCH("PAYMENT TO",C235)),ISNUMBER(SEARCH("JOE SAUNDERS",C235))),"Zelle to Joe Saunders",IF(OR(ISNUMBER(SEARCH("NEW ORLEANS",C235)),ISNUMBER(SEARCH("KENNER",C235)),ISNUMBER(SEARCH("HENRY HOWARD",C235)),ISNUMBER(SEARCH("MISS CLAUDIA",C235))),"Personal Travel - New Orleans",IFERROR(INDEX('Category Rules'!$B$2:$B$194,MATCH(TRUE,ISNUMBER(SEARCH('Category Rules'!$A$2:$A$194,C235)),0)),"")))))))</f>
        <v>Personal - Health</v>
      </c>
    </row>
    <row r="236" spans="1:7" x14ac:dyDescent="0.25">
      <c r="A236" t="s">
        <v>6</v>
      </c>
      <c r="B236" s="1">
        <v>46181</v>
      </c>
      <c r="C236" t="s">
        <v>232</v>
      </c>
      <c r="D236">
        <v>-114.95</v>
      </c>
      <c r="E236" t="s">
        <v>14</v>
      </c>
      <c r="F236">
        <v>3704.16</v>
      </c>
      <c r="G236" t="str" cm="1">
        <f t="array" ref="G236">IF(AND(ISNUMBER(SEARCH("UBER",C236)),ISNUMBER(SEARCH("EATS",C236))),"Uber Eats",IF(LEFT(C236,6)="CHECK ","Checks Paid",IF(OR(E236="BILLPAY",ISNUMBER(SEARCH("FRANCHISE TAX",C236)),ISNUMBER(SEARCH("NEXTLINK",C236))),"Personal - House Bills",IF(AND(ISNUMBER(SEARCH("PAYMENT FROM",C236)),ISNUMBER(SEARCH("JOE SAUNDERS",C236))),"Zelle from Joe Saunders",IF(AND(ISNUMBER(SEARCH("PAYMENT TO",C236)),ISNUMBER(SEARCH("JOE SAUNDERS",C236))),"Zelle to Joe Saunders",IF(OR(ISNUMBER(SEARCH("NEW ORLEANS",C236)),ISNUMBER(SEARCH("KENNER",C236)),ISNUMBER(SEARCH("HENRY HOWARD",C236)),ISNUMBER(SEARCH("MISS CLAUDIA",C236))),"Personal Travel - New Orleans",IFERROR(INDEX('Category Rules'!$B$2:$B$194,MATCH(TRUE,ISNUMBER(SEARCH('Category Rules'!$A$2:$A$194,C236)),0)),"")))))))</f>
        <v>Personal - Clothing</v>
      </c>
    </row>
    <row r="237" spans="1:7" x14ac:dyDescent="0.25">
      <c r="A237" t="s">
        <v>37</v>
      </c>
      <c r="B237" s="1">
        <v>46181</v>
      </c>
      <c r="C237" t="s">
        <v>233</v>
      </c>
      <c r="D237">
        <v>450</v>
      </c>
      <c r="E237" t="s">
        <v>60</v>
      </c>
      <c r="F237">
        <v>3819.11</v>
      </c>
      <c r="G237" t="str" cm="1">
        <f t="array" ref="G237">IF(AND(ISNUMBER(SEARCH("UBER",C237)),ISNUMBER(SEARCH("EATS",C237))),"Uber Eats",IF(LEFT(C237,6)="CHECK ","Checks Paid",IF(OR(E237="BILLPAY",ISNUMBER(SEARCH("FRANCHISE TAX",C237)),ISNUMBER(SEARCH("NEXTLINK",C237))),"Personal - House Bills",IF(AND(ISNUMBER(SEARCH("PAYMENT FROM",C237)),ISNUMBER(SEARCH("JOE SAUNDERS",C237))),"Zelle from Joe Saunders",IF(AND(ISNUMBER(SEARCH("PAYMENT TO",C237)),ISNUMBER(SEARCH("JOE SAUNDERS",C237))),"Zelle to Joe Saunders",IF(OR(ISNUMBER(SEARCH("NEW ORLEANS",C237)),ISNUMBER(SEARCH("KENNER",C237)),ISNUMBER(SEARCH("HENRY HOWARD",C237)),ISNUMBER(SEARCH("MISS CLAUDIA",C237))),"Personal Travel - New Orleans",IFERROR(INDEX('Category Rules'!$B$2:$B$194,MATCH(TRUE,ISNUMBER(SEARCH('Category Rules'!$A$2:$A$194,C237)),0)),"")))))))</f>
        <v>Zelle from Rose Li</v>
      </c>
    </row>
    <row r="238" spans="1:7" x14ac:dyDescent="0.25">
      <c r="A238" t="s">
        <v>37</v>
      </c>
      <c r="B238" s="1">
        <v>46181</v>
      </c>
      <c r="C238" t="s">
        <v>234</v>
      </c>
      <c r="D238">
        <v>3000</v>
      </c>
      <c r="E238" t="s">
        <v>39</v>
      </c>
      <c r="F238">
        <v>3369.11</v>
      </c>
      <c r="G238" t="str" cm="1">
        <f t="array" ref="G238">IF(AND(ISNUMBER(SEARCH("UBER",C238)),ISNUMBER(SEARCH("EATS",C238))),"Uber Eats",IF(LEFT(C238,6)="CHECK ","Checks Paid",IF(OR(E238="BILLPAY",ISNUMBER(SEARCH("FRANCHISE TAX",C238)),ISNUMBER(SEARCH("NEXTLINK",C238))),"Personal - House Bills",IF(AND(ISNUMBER(SEARCH("PAYMENT FROM",C238)),ISNUMBER(SEARCH("JOE SAUNDERS",C238))),"Zelle from Joe Saunders",IF(AND(ISNUMBER(SEARCH("PAYMENT TO",C238)),ISNUMBER(SEARCH("JOE SAUNDERS",C238))),"Zelle to Joe Saunders",IF(OR(ISNUMBER(SEARCH("NEW ORLEANS",C238)),ISNUMBER(SEARCH("KENNER",C238)),ISNUMBER(SEARCH("HENRY HOWARD",C238)),ISNUMBER(SEARCH("MISS CLAUDIA",C238))),"Personal Travel - New Orleans",IFERROR(INDEX('Category Rules'!$B$2:$B$194,MATCH(TRUE,ISNUMBER(SEARCH('Category Rules'!$A$2:$A$194,C238)),0)),"")))))))</f>
        <v>Transfer from DWG Capital Group</v>
      </c>
    </row>
    <row r="239" spans="1:7" x14ac:dyDescent="0.25">
      <c r="A239" t="s">
        <v>6</v>
      </c>
      <c r="B239" s="1">
        <v>46178</v>
      </c>
      <c r="C239" t="s">
        <v>235</v>
      </c>
      <c r="D239">
        <v>-22.09</v>
      </c>
      <c r="E239" t="s">
        <v>14</v>
      </c>
      <c r="F239">
        <v>369.11</v>
      </c>
      <c r="G239" t="str" cm="1">
        <f t="array" ref="G239">IF(AND(ISNUMBER(SEARCH("UBER",C239)),ISNUMBER(SEARCH("EATS",C239))),"Uber Eats",IF(LEFT(C239,6)="CHECK ","Checks Paid",IF(OR(E239="BILLPAY",ISNUMBER(SEARCH("FRANCHISE TAX",C239)),ISNUMBER(SEARCH("NEXTLINK",C239))),"Personal - House Bills",IF(AND(ISNUMBER(SEARCH("PAYMENT FROM",C239)),ISNUMBER(SEARCH("JOE SAUNDERS",C239))),"Zelle from Joe Saunders",IF(AND(ISNUMBER(SEARCH("PAYMENT TO",C239)),ISNUMBER(SEARCH("JOE SAUNDERS",C239))),"Zelle to Joe Saunders",IF(OR(ISNUMBER(SEARCH("NEW ORLEANS",C239)),ISNUMBER(SEARCH("KENNER",C239)),ISNUMBER(SEARCH("HENRY HOWARD",C239)),ISNUMBER(SEARCH("MISS CLAUDIA",C239))),"Personal Travel - New Orleans",IFERROR(INDEX('Category Rules'!$B$2:$B$194,MATCH(TRUE,ISNUMBER(SEARCH('Category Rules'!$A$2:$A$194,C239)),0)),"")))))))</f>
        <v>Amazon</v>
      </c>
    </row>
    <row r="240" spans="1:7" x14ac:dyDescent="0.25">
      <c r="A240" t="s">
        <v>6</v>
      </c>
      <c r="B240" s="1">
        <v>46178</v>
      </c>
      <c r="C240" t="s">
        <v>236</v>
      </c>
      <c r="D240">
        <v>-695</v>
      </c>
      <c r="E240" t="s">
        <v>14</v>
      </c>
      <c r="F240">
        <v>391.2</v>
      </c>
      <c r="G240" t="str" cm="1">
        <f t="array" ref="G240">IF(AND(ISNUMBER(SEARCH("UBER",C240)),ISNUMBER(SEARCH("EATS",C240))),"Uber Eats",IF(LEFT(C240,6)="CHECK ","Checks Paid",IF(OR(E240="BILLPAY",ISNUMBER(SEARCH("FRANCHISE TAX",C240)),ISNUMBER(SEARCH("NEXTLINK",C240))),"Personal - House Bills",IF(AND(ISNUMBER(SEARCH("PAYMENT FROM",C240)),ISNUMBER(SEARCH("JOE SAUNDERS",C240))),"Zelle from Joe Saunders",IF(AND(ISNUMBER(SEARCH("PAYMENT TO",C240)),ISNUMBER(SEARCH("JOE SAUNDERS",C240))),"Zelle to Joe Saunders",IF(OR(ISNUMBER(SEARCH("NEW ORLEANS",C240)),ISNUMBER(SEARCH("KENNER",C240)),ISNUMBER(SEARCH("HENRY HOWARD",C240)),ISNUMBER(SEARCH("MISS CLAUDIA",C240))),"Personal Travel - New Orleans",IFERROR(INDEX('Category Rules'!$B$2:$B$194,MATCH(TRUE,ISNUMBER(SEARCH('Category Rules'!$A$2:$A$194,C240)),0)),"")))))))</f>
        <v>Personal - House Bills</v>
      </c>
    </row>
    <row r="241" spans="1:7" x14ac:dyDescent="0.25">
      <c r="A241" t="s">
        <v>6</v>
      </c>
      <c r="B241" s="1">
        <v>46178</v>
      </c>
      <c r="C241" t="s">
        <v>237</v>
      </c>
      <c r="D241">
        <v>-94.95</v>
      </c>
      <c r="E241" t="s">
        <v>14</v>
      </c>
      <c r="F241">
        <v>1086.2</v>
      </c>
      <c r="G241" t="str" cm="1">
        <f t="array" ref="G241">IF(AND(ISNUMBER(SEARCH("UBER",C241)),ISNUMBER(SEARCH("EATS",C241))),"Uber Eats",IF(LEFT(C241,6)="CHECK ","Checks Paid",IF(OR(E241="BILLPAY",ISNUMBER(SEARCH("FRANCHISE TAX",C241)),ISNUMBER(SEARCH("NEXTLINK",C241))),"Personal - House Bills",IF(AND(ISNUMBER(SEARCH("PAYMENT FROM",C241)),ISNUMBER(SEARCH("JOE SAUNDERS",C241))),"Zelle from Joe Saunders",IF(AND(ISNUMBER(SEARCH("PAYMENT TO",C241)),ISNUMBER(SEARCH("JOE SAUNDERS",C241))),"Zelle to Joe Saunders",IF(OR(ISNUMBER(SEARCH("NEW ORLEANS",C241)),ISNUMBER(SEARCH("KENNER",C241)),ISNUMBER(SEARCH("HENRY HOWARD",C241)),ISNUMBER(SEARCH("MISS CLAUDIA",C241))),"Personal Travel - New Orleans",IFERROR(INDEX('Category Rules'!$B$2:$B$194,MATCH(TRUE,ISNUMBER(SEARCH('Category Rules'!$A$2:$A$194,C241)),0)),"")))))))</f>
        <v>Amazon</v>
      </c>
    </row>
    <row r="242" spans="1:7" x14ac:dyDescent="0.25">
      <c r="A242" t="s">
        <v>6</v>
      </c>
      <c r="B242" s="1">
        <v>46178</v>
      </c>
      <c r="C242" t="s">
        <v>238</v>
      </c>
      <c r="D242">
        <v>-72.55</v>
      </c>
      <c r="E242" t="s">
        <v>14</v>
      </c>
      <c r="F242">
        <v>1181.1500000000001</v>
      </c>
      <c r="G242" t="str" cm="1">
        <f t="array" ref="G242">IF(AND(ISNUMBER(SEARCH("UBER",C242)),ISNUMBER(SEARCH("EATS",C242))),"Uber Eats",IF(LEFT(C242,6)="CHECK ","Checks Paid",IF(OR(E242="BILLPAY",ISNUMBER(SEARCH("FRANCHISE TAX",C242)),ISNUMBER(SEARCH("NEXTLINK",C242))),"Personal - House Bills",IF(AND(ISNUMBER(SEARCH("PAYMENT FROM",C242)),ISNUMBER(SEARCH("JOE SAUNDERS",C242))),"Zelle from Joe Saunders",IF(AND(ISNUMBER(SEARCH("PAYMENT TO",C242)),ISNUMBER(SEARCH("JOE SAUNDERS",C242))),"Zelle to Joe Saunders",IF(OR(ISNUMBER(SEARCH("NEW ORLEANS",C242)),ISNUMBER(SEARCH("KENNER",C242)),ISNUMBER(SEARCH("HENRY HOWARD",C242)),ISNUMBER(SEARCH("MISS CLAUDIA",C242))),"Personal Travel - New Orleans",IFERROR(INDEX('Category Rules'!$B$2:$B$194,MATCH(TRUE,ISNUMBER(SEARCH('Category Rules'!$A$2:$A$194,C242)),0)),"")))))))</f>
        <v>Uber Eats</v>
      </c>
    </row>
    <row r="243" spans="1:7" x14ac:dyDescent="0.25">
      <c r="A243" t="s">
        <v>6</v>
      </c>
      <c r="B243" s="1">
        <v>46178</v>
      </c>
      <c r="C243" t="s">
        <v>239</v>
      </c>
      <c r="D243">
        <v>-49.36</v>
      </c>
      <c r="E243" t="s">
        <v>14</v>
      </c>
      <c r="F243">
        <v>1253.7</v>
      </c>
      <c r="G243" t="str" cm="1">
        <f t="array" ref="G243">IF(AND(ISNUMBER(SEARCH("UBER",C243)),ISNUMBER(SEARCH("EATS",C243))),"Uber Eats",IF(LEFT(C243,6)="CHECK ","Checks Paid",IF(OR(E243="BILLPAY",ISNUMBER(SEARCH("FRANCHISE TAX",C243)),ISNUMBER(SEARCH("NEXTLINK",C243))),"Personal - House Bills",IF(AND(ISNUMBER(SEARCH("PAYMENT FROM",C243)),ISNUMBER(SEARCH("JOE SAUNDERS",C243))),"Zelle from Joe Saunders",IF(AND(ISNUMBER(SEARCH("PAYMENT TO",C243)),ISNUMBER(SEARCH("JOE SAUNDERS",C243))),"Zelle to Joe Saunders",IF(OR(ISNUMBER(SEARCH("NEW ORLEANS",C243)),ISNUMBER(SEARCH("KENNER",C243)),ISNUMBER(SEARCH("HENRY HOWARD",C243)),ISNUMBER(SEARCH("MISS CLAUDIA",C243))),"Personal Travel - New Orleans",IFERROR(INDEX('Category Rules'!$B$2:$B$194,MATCH(TRUE,ISNUMBER(SEARCH('Category Rules'!$A$2:$A$194,C243)),0)),"")))))))</f>
        <v>Personal - Shopping</v>
      </c>
    </row>
    <row r="244" spans="1:7" x14ac:dyDescent="0.25">
      <c r="A244" t="s">
        <v>6</v>
      </c>
      <c r="B244" s="1">
        <v>46178</v>
      </c>
      <c r="C244" t="s">
        <v>240</v>
      </c>
      <c r="D244">
        <v>-21.65</v>
      </c>
      <c r="E244" t="s">
        <v>14</v>
      </c>
      <c r="F244">
        <v>1303.06</v>
      </c>
      <c r="G244" t="str" cm="1">
        <f t="array" ref="G244">IF(AND(ISNUMBER(SEARCH("UBER",C244)),ISNUMBER(SEARCH("EATS",C244))),"Uber Eats",IF(LEFT(C244,6)="CHECK ","Checks Paid",IF(OR(E244="BILLPAY",ISNUMBER(SEARCH("FRANCHISE TAX",C244)),ISNUMBER(SEARCH("NEXTLINK",C244))),"Personal - House Bills",IF(AND(ISNUMBER(SEARCH("PAYMENT FROM",C244)),ISNUMBER(SEARCH("JOE SAUNDERS",C244))),"Zelle from Joe Saunders",IF(AND(ISNUMBER(SEARCH("PAYMENT TO",C244)),ISNUMBER(SEARCH("JOE SAUNDERS",C244))),"Zelle to Joe Saunders",IF(OR(ISNUMBER(SEARCH("NEW ORLEANS",C244)),ISNUMBER(SEARCH("KENNER",C244)),ISNUMBER(SEARCH("HENRY HOWARD",C244)),ISNUMBER(SEARCH("MISS CLAUDIA",C244))),"Personal Travel - New Orleans",IFERROR(INDEX('Category Rules'!$B$2:$B$194,MATCH(TRUE,ISNUMBER(SEARCH('Category Rules'!$A$2:$A$194,C244)),0)),"")))))))</f>
        <v>Personal - Misc</v>
      </c>
    </row>
    <row r="245" spans="1:7" x14ac:dyDescent="0.25">
      <c r="A245" t="s">
        <v>6</v>
      </c>
      <c r="B245" s="1">
        <v>46178</v>
      </c>
      <c r="C245" t="s">
        <v>241</v>
      </c>
      <c r="D245">
        <v>-601.80999999999995</v>
      </c>
      <c r="E245" t="s">
        <v>14</v>
      </c>
      <c r="F245">
        <v>1324.71</v>
      </c>
      <c r="G245" t="str" cm="1">
        <f t="array" ref="G245">IF(AND(ISNUMBER(SEARCH("UBER",C245)),ISNUMBER(SEARCH("EATS",C245))),"Uber Eats",IF(LEFT(C245,6)="CHECK ","Checks Paid",IF(OR(E245="BILLPAY",ISNUMBER(SEARCH("FRANCHISE TAX",C245)),ISNUMBER(SEARCH("NEXTLINK",C245))),"Personal - House Bills",IF(AND(ISNUMBER(SEARCH("PAYMENT FROM",C245)),ISNUMBER(SEARCH("JOE SAUNDERS",C245))),"Zelle from Joe Saunders",IF(AND(ISNUMBER(SEARCH("PAYMENT TO",C245)),ISNUMBER(SEARCH("JOE SAUNDERS",C245))),"Zelle to Joe Saunders",IF(OR(ISNUMBER(SEARCH("NEW ORLEANS",C245)),ISNUMBER(SEARCH("KENNER",C245)),ISNUMBER(SEARCH("HENRY HOWARD",C245)),ISNUMBER(SEARCH("MISS CLAUDIA",C245))),"Personal Travel - New Orleans",IFERROR(INDEX('Category Rules'!$B$2:$B$194,MATCH(TRUE,ISNUMBER(SEARCH('Category Rules'!$A$2:$A$194,C245)),0)),"")))))))</f>
        <v>Personal Travel</v>
      </c>
    </row>
    <row r="246" spans="1:7" x14ac:dyDescent="0.25">
      <c r="A246" t="s">
        <v>6</v>
      </c>
      <c r="B246" s="1">
        <v>46178</v>
      </c>
      <c r="C246" t="s">
        <v>242</v>
      </c>
      <c r="D246">
        <v>14.95</v>
      </c>
      <c r="E246" t="s">
        <v>14</v>
      </c>
      <c r="F246">
        <v>1926.52</v>
      </c>
      <c r="G246" t="str" cm="1">
        <f t="array" ref="G246">IF(AND(ISNUMBER(SEARCH("UBER",C246)),ISNUMBER(SEARCH("EATS",C246))),"Uber Eats",IF(LEFT(C246,6)="CHECK ","Checks Paid",IF(OR(E246="BILLPAY",ISNUMBER(SEARCH("FRANCHISE TAX",C246)),ISNUMBER(SEARCH("NEXTLINK",C246))),"Personal - House Bills",IF(AND(ISNUMBER(SEARCH("PAYMENT FROM",C246)),ISNUMBER(SEARCH("JOE SAUNDERS",C246))),"Zelle from Joe Saunders",IF(AND(ISNUMBER(SEARCH("PAYMENT TO",C246)),ISNUMBER(SEARCH("JOE SAUNDERS",C246))),"Zelle to Joe Saunders",IF(OR(ISNUMBER(SEARCH("NEW ORLEANS",C246)),ISNUMBER(SEARCH("KENNER",C246)),ISNUMBER(SEARCH("HENRY HOWARD",C246)),ISNUMBER(SEARCH("MISS CLAUDIA",C246))),"Personal Travel - New Orleans",IFERROR(INDEX('Category Rules'!$B$2:$B$194,MATCH(TRUE,ISNUMBER(SEARCH('Category Rules'!$A$2:$A$194,C246)),0)),"")))))))</f>
        <v>Personal - Shopping</v>
      </c>
    </row>
    <row r="247" spans="1:7" x14ac:dyDescent="0.25">
      <c r="A247" t="s">
        <v>6</v>
      </c>
      <c r="B247" s="1">
        <v>46177</v>
      </c>
      <c r="C247" t="s">
        <v>243</v>
      </c>
      <c r="D247">
        <v>-3</v>
      </c>
      <c r="E247" t="s">
        <v>72</v>
      </c>
      <c r="F247">
        <v>1911.57</v>
      </c>
      <c r="G247" t="str" cm="1">
        <f t="array" ref="G247">IF(AND(ISNUMBER(SEARCH("UBER",C247)),ISNUMBER(SEARCH("EATS",C247))),"Uber Eats",IF(LEFT(C247,6)="CHECK ","Checks Paid",IF(OR(E247="BILLPAY",ISNUMBER(SEARCH("FRANCHISE TAX",C247)),ISNUMBER(SEARCH("NEXTLINK",C247))),"Personal - House Bills",IF(AND(ISNUMBER(SEARCH("PAYMENT FROM",C247)),ISNUMBER(SEARCH("JOE SAUNDERS",C247))),"Zelle from Joe Saunders",IF(AND(ISNUMBER(SEARCH("PAYMENT TO",C247)),ISNUMBER(SEARCH("JOE SAUNDERS",C247))),"Zelle to Joe Saunders",IF(OR(ISNUMBER(SEARCH("NEW ORLEANS",C247)),ISNUMBER(SEARCH("KENNER",C247)),ISNUMBER(SEARCH("HENRY HOWARD",C247)),ISNUMBER(SEARCH("MISS CLAUDIA",C247))),"Personal Travel - New Orleans",IFERROR(INDEX('Category Rules'!$B$2:$B$194,MATCH(TRUE,ISNUMBER(SEARCH('Category Rules'!$A$2:$A$194,C247)),0)),"")))))))</f>
        <v>Bank Fees</v>
      </c>
    </row>
    <row r="248" spans="1:7" x14ac:dyDescent="0.25">
      <c r="A248" t="s">
        <v>6</v>
      </c>
      <c r="B248" s="1">
        <v>46177</v>
      </c>
      <c r="C248" t="s">
        <v>244</v>
      </c>
      <c r="D248">
        <v>-389.67</v>
      </c>
      <c r="E248" t="s">
        <v>14</v>
      </c>
      <c r="F248">
        <v>1914.57</v>
      </c>
      <c r="G248" t="str" cm="1">
        <f t="array" ref="G248">IF(AND(ISNUMBER(SEARCH("UBER",C248)),ISNUMBER(SEARCH("EATS",C248))),"Uber Eats",IF(LEFT(C248,6)="CHECK ","Checks Paid",IF(OR(E248="BILLPAY",ISNUMBER(SEARCH("FRANCHISE TAX",C248)),ISNUMBER(SEARCH("NEXTLINK",C248))),"Personal - House Bills",IF(AND(ISNUMBER(SEARCH("PAYMENT FROM",C248)),ISNUMBER(SEARCH("JOE SAUNDERS",C248))),"Zelle from Joe Saunders",IF(AND(ISNUMBER(SEARCH("PAYMENT TO",C248)),ISNUMBER(SEARCH("JOE SAUNDERS",C248))),"Zelle to Joe Saunders",IF(OR(ISNUMBER(SEARCH("NEW ORLEANS",C248)),ISNUMBER(SEARCH("KENNER",C248)),ISNUMBER(SEARCH("HENRY HOWARD",C248)),ISNUMBER(SEARCH("MISS CLAUDIA",C248))),"Personal Travel - New Orleans",IFERROR(INDEX('Category Rules'!$B$2:$B$194,MATCH(TRUE,ISNUMBER(SEARCH('Category Rules'!$A$2:$A$194,C248)),0)),"")))))))</f>
        <v>Personal - Shopping</v>
      </c>
    </row>
    <row r="249" spans="1:7" x14ac:dyDescent="0.25">
      <c r="A249" t="s">
        <v>6</v>
      </c>
      <c r="B249" s="1">
        <v>46177</v>
      </c>
      <c r="C249" t="s">
        <v>245</v>
      </c>
      <c r="D249">
        <v>-203.75</v>
      </c>
      <c r="E249" t="s">
        <v>48</v>
      </c>
      <c r="F249">
        <v>2304.2399999999998</v>
      </c>
      <c r="G249" t="str" cm="1">
        <f t="array" ref="G249">IF(AND(ISNUMBER(SEARCH("UBER",C249)),ISNUMBER(SEARCH("EATS",C249))),"Uber Eats",IF(LEFT(C249,6)="CHECK ","Checks Paid",IF(OR(E249="BILLPAY",ISNUMBER(SEARCH("FRANCHISE TAX",C249)),ISNUMBER(SEARCH("NEXTLINK",C249))),"Personal - House Bills",IF(AND(ISNUMBER(SEARCH("PAYMENT FROM",C249)),ISNUMBER(SEARCH("JOE SAUNDERS",C249))),"Zelle from Joe Saunders",IF(AND(ISNUMBER(SEARCH("PAYMENT TO",C249)),ISNUMBER(SEARCH("JOE SAUNDERS",C249))),"Zelle to Joe Saunders",IF(OR(ISNUMBER(SEARCH("NEW ORLEANS",C249)),ISNUMBER(SEARCH("KENNER",C249)),ISNUMBER(SEARCH("HENRY HOWARD",C249)),ISNUMBER(SEARCH("MISS CLAUDIA",C249))),"Personal Travel - New Orleans",IFERROR(INDEX('Category Rules'!$B$2:$B$194,MATCH(TRUE,ISNUMBER(SEARCH('Category Rules'!$A$2:$A$194,C249)),0)),"")))))))</f>
        <v>Withdrawal</v>
      </c>
    </row>
    <row r="250" spans="1:7" x14ac:dyDescent="0.25">
      <c r="A250" t="s">
        <v>6</v>
      </c>
      <c r="B250" s="1">
        <v>46177</v>
      </c>
      <c r="C250" t="s">
        <v>246</v>
      </c>
      <c r="D250">
        <v>-88.41</v>
      </c>
      <c r="E250" t="s">
        <v>14</v>
      </c>
      <c r="F250">
        <v>2507.9899999999998</v>
      </c>
      <c r="G250" t="str" cm="1">
        <f t="array" ref="G250">IF(AND(ISNUMBER(SEARCH("UBER",C250)),ISNUMBER(SEARCH("EATS",C250))),"Uber Eats",IF(LEFT(C250,6)="CHECK ","Checks Paid",IF(OR(E250="BILLPAY",ISNUMBER(SEARCH("FRANCHISE TAX",C250)),ISNUMBER(SEARCH("NEXTLINK",C250))),"Personal - House Bills",IF(AND(ISNUMBER(SEARCH("PAYMENT FROM",C250)),ISNUMBER(SEARCH("JOE SAUNDERS",C250))),"Zelle from Joe Saunders",IF(AND(ISNUMBER(SEARCH("PAYMENT TO",C250)),ISNUMBER(SEARCH("JOE SAUNDERS",C250))),"Zelle to Joe Saunders",IF(OR(ISNUMBER(SEARCH("NEW ORLEANS",C250)),ISNUMBER(SEARCH("KENNER",C250)),ISNUMBER(SEARCH("HENRY HOWARD",C250)),ISNUMBER(SEARCH("MISS CLAUDIA",C250))),"Personal Travel - New Orleans",IFERROR(INDEX('Category Rules'!$B$2:$B$194,MATCH(TRUE,ISNUMBER(SEARCH('Category Rules'!$A$2:$A$194,C250)),0)),"")))))))</f>
        <v>Personal - Health</v>
      </c>
    </row>
    <row r="251" spans="1:7" x14ac:dyDescent="0.25">
      <c r="A251" t="s">
        <v>6</v>
      </c>
      <c r="B251" s="1">
        <v>46177</v>
      </c>
      <c r="C251" t="s">
        <v>247</v>
      </c>
      <c r="D251">
        <v>-181.53</v>
      </c>
      <c r="E251" t="s">
        <v>14</v>
      </c>
      <c r="F251">
        <v>2596.4</v>
      </c>
      <c r="G251" t="str" cm="1">
        <f t="array" ref="G251">IF(AND(ISNUMBER(SEARCH("UBER",C251)),ISNUMBER(SEARCH("EATS",C251))),"Uber Eats",IF(LEFT(C251,6)="CHECK ","Checks Paid",IF(OR(E251="BILLPAY",ISNUMBER(SEARCH("FRANCHISE TAX",C251)),ISNUMBER(SEARCH("NEXTLINK",C251))),"Personal - House Bills",IF(AND(ISNUMBER(SEARCH("PAYMENT FROM",C251)),ISNUMBER(SEARCH("JOE SAUNDERS",C251))),"Zelle from Joe Saunders",IF(AND(ISNUMBER(SEARCH("PAYMENT TO",C251)),ISNUMBER(SEARCH("JOE SAUNDERS",C251))),"Zelle to Joe Saunders",IF(OR(ISNUMBER(SEARCH("NEW ORLEANS",C251)),ISNUMBER(SEARCH("KENNER",C251)),ISNUMBER(SEARCH("HENRY HOWARD",C251)),ISNUMBER(SEARCH("MISS CLAUDIA",C251))),"Personal Travel - New Orleans",IFERROR(INDEX('Category Rules'!$B$2:$B$194,MATCH(TRUE,ISNUMBER(SEARCH('Category Rules'!$A$2:$A$194,C251)),0)),"")))))))</f>
        <v>Amazon</v>
      </c>
    </row>
    <row r="252" spans="1:7" x14ac:dyDescent="0.25">
      <c r="A252" t="s">
        <v>6</v>
      </c>
      <c r="B252" s="1">
        <v>46177</v>
      </c>
      <c r="C252" t="s">
        <v>248</v>
      </c>
      <c r="D252">
        <v>-90</v>
      </c>
      <c r="E252" t="s">
        <v>14</v>
      </c>
      <c r="F252">
        <v>2777.93</v>
      </c>
      <c r="G252" t="str" cm="1">
        <f t="array" ref="G252">IF(AND(ISNUMBER(SEARCH("UBER",C252)),ISNUMBER(SEARCH("EATS",C252))),"Uber Eats",IF(LEFT(C252,6)="CHECK ","Checks Paid",IF(OR(E252="BILLPAY",ISNUMBER(SEARCH("FRANCHISE TAX",C252)),ISNUMBER(SEARCH("NEXTLINK",C252))),"Personal - House Bills",IF(AND(ISNUMBER(SEARCH("PAYMENT FROM",C252)),ISNUMBER(SEARCH("JOE SAUNDERS",C252))),"Zelle from Joe Saunders",IF(AND(ISNUMBER(SEARCH("PAYMENT TO",C252)),ISNUMBER(SEARCH("JOE SAUNDERS",C252))),"Zelle to Joe Saunders",IF(OR(ISNUMBER(SEARCH("NEW ORLEANS",C252)),ISNUMBER(SEARCH("KENNER",C252)),ISNUMBER(SEARCH("HENRY HOWARD",C252)),ISNUMBER(SEARCH("MISS CLAUDIA",C252))),"Personal Travel - New Orleans",IFERROR(INDEX('Category Rules'!$B$2:$B$194,MATCH(TRUE,ISNUMBER(SEARCH('Category Rules'!$A$2:$A$194,C252)),0)),"")))))))</f>
        <v>Donation</v>
      </c>
    </row>
    <row r="253" spans="1:7" x14ac:dyDescent="0.25">
      <c r="A253" t="s">
        <v>6</v>
      </c>
      <c r="B253" s="1">
        <v>46177</v>
      </c>
      <c r="C253" t="s">
        <v>248</v>
      </c>
      <c r="D253">
        <v>-90</v>
      </c>
      <c r="E253" t="s">
        <v>14</v>
      </c>
      <c r="F253">
        <v>2867.93</v>
      </c>
      <c r="G253" t="str" cm="1">
        <f t="array" ref="G253">IF(AND(ISNUMBER(SEARCH("UBER",C253)),ISNUMBER(SEARCH("EATS",C253))),"Uber Eats",IF(LEFT(C253,6)="CHECK ","Checks Paid",IF(OR(E253="BILLPAY",ISNUMBER(SEARCH("FRANCHISE TAX",C253)),ISNUMBER(SEARCH("NEXTLINK",C253))),"Personal - House Bills",IF(AND(ISNUMBER(SEARCH("PAYMENT FROM",C253)),ISNUMBER(SEARCH("JOE SAUNDERS",C253))),"Zelle from Joe Saunders",IF(AND(ISNUMBER(SEARCH("PAYMENT TO",C253)),ISNUMBER(SEARCH("JOE SAUNDERS",C253))),"Zelle to Joe Saunders",IF(OR(ISNUMBER(SEARCH("NEW ORLEANS",C253)),ISNUMBER(SEARCH("KENNER",C253)),ISNUMBER(SEARCH("HENRY HOWARD",C253)),ISNUMBER(SEARCH("MISS CLAUDIA",C253))),"Personal Travel - New Orleans",IFERROR(INDEX('Category Rules'!$B$2:$B$194,MATCH(TRUE,ISNUMBER(SEARCH('Category Rules'!$A$2:$A$194,C253)),0)),"")))))))</f>
        <v>Donation</v>
      </c>
    </row>
    <row r="254" spans="1:7" x14ac:dyDescent="0.25">
      <c r="A254" t="s">
        <v>6</v>
      </c>
      <c r="B254" s="1">
        <v>46177</v>
      </c>
      <c r="C254" t="s">
        <v>249</v>
      </c>
      <c r="D254">
        <v>-95</v>
      </c>
      <c r="E254" t="s">
        <v>14</v>
      </c>
      <c r="F254">
        <v>2957.93</v>
      </c>
      <c r="G254" t="str" cm="1">
        <f t="array" ref="G254">IF(AND(ISNUMBER(SEARCH("UBER",C254)),ISNUMBER(SEARCH("EATS",C254))),"Uber Eats",IF(LEFT(C254,6)="CHECK ","Checks Paid",IF(OR(E254="BILLPAY",ISNUMBER(SEARCH("FRANCHISE TAX",C254)),ISNUMBER(SEARCH("NEXTLINK",C254))),"Personal - House Bills",IF(AND(ISNUMBER(SEARCH("PAYMENT FROM",C254)),ISNUMBER(SEARCH("JOE SAUNDERS",C254))),"Zelle from Joe Saunders",IF(AND(ISNUMBER(SEARCH("PAYMENT TO",C254)),ISNUMBER(SEARCH("JOE SAUNDERS",C254))),"Zelle to Joe Saunders",IF(OR(ISNUMBER(SEARCH("NEW ORLEANS",C254)),ISNUMBER(SEARCH("KENNER",C254)),ISNUMBER(SEARCH("HENRY HOWARD",C254)),ISNUMBER(SEARCH("MISS CLAUDIA",C254))),"Personal Travel - New Orleans",IFERROR(INDEX('Category Rules'!$B$2:$B$194,MATCH(TRUE,ISNUMBER(SEARCH('Category Rules'!$A$2:$A$194,C254)),0)),"")))))))</f>
        <v>Personal - Health</v>
      </c>
    </row>
    <row r="255" spans="1:7" x14ac:dyDescent="0.25">
      <c r="A255" t="s">
        <v>6</v>
      </c>
      <c r="B255" s="1">
        <v>46177</v>
      </c>
      <c r="C255" t="s">
        <v>250</v>
      </c>
      <c r="D255">
        <v>-7.67</v>
      </c>
      <c r="E255" t="s">
        <v>14</v>
      </c>
      <c r="F255">
        <v>3052.93</v>
      </c>
      <c r="G255" t="str" cm="1">
        <f t="array" ref="G255">IF(AND(ISNUMBER(SEARCH("UBER",C255)),ISNUMBER(SEARCH("EATS",C255))),"Uber Eats",IF(LEFT(C255,6)="CHECK ","Checks Paid",IF(OR(E255="BILLPAY",ISNUMBER(SEARCH("FRANCHISE TAX",C255)),ISNUMBER(SEARCH("NEXTLINK",C255))),"Personal - House Bills",IF(AND(ISNUMBER(SEARCH("PAYMENT FROM",C255)),ISNUMBER(SEARCH("JOE SAUNDERS",C255))),"Zelle from Joe Saunders",IF(AND(ISNUMBER(SEARCH("PAYMENT TO",C255)),ISNUMBER(SEARCH("JOE SAUNDERS",C255))),"Zelle to Joe Saunders",IF(OR(ISNUMBER(SEARCH("NEW ORLEANS",C255)),ISNUMBER(SEARCH("KENNER",C255)),ISNUMBER(SEARCH("HENRY HOWARD",C255)),ISNUMBER(SEARCH("MISS CLAUDIA",C255))),"Personal Travel - New Orleans",IFERROR(INDEX('Category Rules'!$B$2:$B$194,MATCH(TRUE,ISNUMBER(SEARCH('Category Rules'!$A$2:$A$194,C255)),0)),"")))))))</f>
        <v>Amazon</v>
      </c>
    </row>
    <row r="256" spans="1:7" x14ac:dyDescent="0.25">
      <c r="A256" t="s">
        <v>6</v>
      </c>
      <c r="B256" s="1">
        <v>46177</v>
      </c>
      <c r="C256" t="s">
        <v>251</v>
      </c>
      <c r="D256">
        <v>-50.62</v>
      </c>
      <c r="E256" t="s">
        <v>14</v>
      </c>
      <c r="F256">
        <v>3060.6</v>
      </c>
      <c r="G256" t="str" cm="1">
        <f t="array" ref="G256">IF(AND(ISNUMBER(SEARCH("UBER",C256)),ISNUMBER(SEARCH("EATS",C256))),"Uber Eats",IF(LEFT(C256,6)="CHECK ","Checks Paid",IF(OR(E256="BILLPAY",ISNUMBER(SEARCH("FRANCHISE TAX",C256)),ISNUMBER(SEARCH("NEXTLINK",C256))),"Personal - House Bills",IF(AND(ISNUMBER(SEARCH("PAYMENT FROM",C256)),ISNUMBER(SEARCH("JOE SAUNDERS",C256))),"Zelle from Joe Saunders",IF(AND(ISNUMBER(SEARCH("PAYMENT TO",C256)),ISNUMBER(SEARCH("JOE SAUNDERS",C256))),"Zelle to Joe Saunders",IF(OR(ISNUMBER(SEARCH("NEW ORLEANS",C256)),ISNUMBER(SEARCH("KENNER",C256)),ISNUMBER(SEARCH("HENRY HOWARD",C256)),ISNUMBER(SEARCH("MISS CLAUDIA",C256))),"Personal Travel - New Orleans",IFERROR(INDEX('Category Rules'!$B$2:$B$194,MATCH(TRUE,ISNUMBER(SEARCH('Category Rules'!$A$2:$A$194,C256)),0)),"")))))))</f>
        <v>Uber Eats</v>
      </c>
    </row>
    <row r="257" spans="1:7" x14ac:dyDescent="0.25">
      <c r="A257" t="s">
        <v>37</v>
      </c>
      <c r="B257" s="1">
        <v>46177</v>
      </c>
      <c r="C257" t="s">
        <v>252</v>
      </c>
      <c r="D257">
        <v>1000</v>
      </c>
      <c r="E257" t="s">
        <v>39</v>
      </c>
      <c r="F257">
        <v>3111.22</v>
      </c>
      <c r="G257" t="str" cm="1">
        <f t="array" ref="G257">IF(AND(ISNUMBER(SEARCH("UBER",C257)),ISNUMBER(SEARCH("EATS",C257))),"Uber Eats",IF(LEFT(C257,6)="CHECK ","Checks Paid",IF(OR(E257="BILLPAY",ISNUMBER(SEARCH("FRANCHISE TAX",C257)),ISNUMBER(SEARCH("NEXTLINK",C257))),"Personal - House Bills",IF(AND(ISNUMBER(SEARCH("PAYMENT FROM",C257)),ISNUMBER(SEARCH("JOE SAUNDERS",C257))),"Zelle from Joe Saunders",IF(AND(ISNUMBER(SEARCH("PAYMENT TO",C257)),ISNUMBER(SEARCH("JOE SAUNDERS",C257))),"Zelle to Joe Saunders",IF(OR(ISNUMBER(SEARCH("NEW ORLEANS",C257)),ISNUMBER(SEARCH("KENNER",C257)),ISNUMBER(SEARCH("HENRY HOWARD",C257)),ISNUMBER(SEARCH("MISS CLAUDIA",C257))),"Personal Travel - New Orleans",IFERROR(INDEX('Category Rules'!$B$2:$B$194,MATCH(TRUE,ISNUMBER(SEARCH('Category Rules'!$A$2:$A$194,C257)),0)),"")))))))</f>
        <v>Transfer from Poseidon Asset Group</v>
      </c>
    </row>
    <row r="258" spans="1:7" x14ac:dyDescent="0.25">
      <c r="A258" t="s">
        <v>6</v>
      </c>
      <c r="B258" s="1">
        <v>46176</v>
      </c>
      <c r="C258" t="s">
        <v>253</v>
      </c>
      <c r="D258">
        <v>-17.899999999999999</v>
      </c>
      <c r="E258" t="s">
        <v>14</v>
      </c>
      <c r="F258">
        <v>2111.2199999999998</v>
      </c>
      <c r="G258" t="str" cm="1">
        <f t="array" ref="G258">IF(AND(ISNUMBER(SEARCH("UBER",C258)),ISNUMBER(SEARCH("EATS",C258))),"Uber Eats",IF(LEFT(C258,6)="CHECK ","Checks Paid",IF(OR(E258="BILLPAY",ISNUMBER(SEARCH("FRANCHISE TAX",C258)),ISNUMBER(SEARCH("NEXTLINK",C258))),"Personal - House Bills",IF(AND(ISNUMBER(SEARCH("PAYMENT FROM",C258)),ISNUMBER(SEARCH("JOE SAUNDERS",C258))),"Zelle from Joe Saunders",IF(AND(ISNUMBER(SEARCH("PAYMENT TO",C258)),ISNUMBER(SEARCH("JOE SAUNDERS",C258))),"Zelle to Joe Saunders",IF(OR(ISNUMBER(SEARCH("NEW ORLEANS",C258)),ISNUMBER(SEARCH("KENNER",C258)),ISNUMBER(SEARCH("HENRY HOWARD",C258)),ISNUMBER(SEARCH("MISS CLAUDIA",C258))),"Personal Travel - New Orleans",IFERROR(INDEX('Category Rules'!$B$2:$B$194,MATCH(TRUE,ISNUMBER(SEARCH('Category Rules'!$A$2:$A$194,C258)),0)),"")))))))</f>
        <v>Amazon</v>
      </c>
    </row>
    <row r="259" spans="1:7" x14ac:dyDescent="0.25">
      <c r="A259" t="s">
        <v>6</v>
      </c>
      <c r="B259" s="1">
        <v>46176</v>
      </c>
      <c r="C259" t="s">
        <v>254</v>
      </c>
      <c r="D259">
        <v>-19.62</v>
      </c>
      <c r="E259" t="s">
        <v>14</v>
      </c>
      <c r="F259">
        <v>2129.12</v>
      </c>
      <c r="G259" t="str" cm="1">
        <f t="array" ref="G259">IF(AND(ISNUMBER(SEARCH("UBER",C259)),ISNUMBER(SEARCH("EATS",C259))),"Uber Eats",IF(LEFT(C259,6)="CHECK ","Checks Paid",IF(OR(E259="BILLPAY",ISNUMBER(SEARCH("FRANCHISE TAX",C259)),ISNUMBER(SEARCH("NEXTLINK",C259))),"Personal - House Bills",IF(AND(ISNUMBER(SEARCH("PAYMENT FROM",C259)),ISNUMBER(SEARCH("JOE SAUNDERS",C259))),"Zelle from Joe Saunders",IF(AND(ISNUMBER(SEARCH("PAYMENT TO",C259)),ISNUMBER(SEARCH("JOE SAUNDERS",C259))),"Zelle to Joe Saunders",IF(OR(ISNUMBER(SEARCH("NEW ORLEANS",C259)),ISNUMBER(SEARCH("KENNER",C259)),ISNUMBER(SEARCH("HENRY HOWARD",C259)),ISNUMBER(SEARCH("MISS CLAUDIA",C259))),"Personal Travel - New Orleans",IFERROR(INDEX('Category Rules'!$B$2:$B$194,MATCH(TRUE,ISNUMBER(SEARCH('Category Rules'!$A$2:$A$194,C259)),0)),"")))))))</f>
        <v>Amazon</v>
      </c>
    </row>
    <row r="260" spans="1:7" x14ac:dyDescent="0.25">
      <c r="A260" t="s">
        <v>6</v>
      </c>
      <c r="B260" s="1">
        <v>46176</v>
      </c>
      <c r="C260" t="s">
        <v>255</v>
      </c>
      <c r="D260">
        <v>-19.97</v>
      </c>
      <c r="E260" t="s">
        <v>14</v>
      </c>
      <c r="F260">
        <v>2148.7399999999998</v>
      </c>
      <c r="G260" t="str" cm="1">
        <f t="array" ref="G260">IF(AND(ISNUMBER(SEARCH("UBER",C260)),ISNUMBER(SEARCH("EATS",C260))),"Uber Eats",IF(LEFT(C260,6)="CHECK ","Checks Paid",IF(OR(E260="BILLPAY",ISNUMBER(SEARCH("FRANCHISE TAX",C260)),ISNUMBER(SEARCH("NEXTLINK",C260))),"Personal - House Bills",IF(AND(ISNUMBER(SEARCH("PAYMENT FROM",C260)),ISNUMBER(SEARCH("JOE SAUNDERS",C260))),"Zelle from Joe Saunders",IF(AND(ISNUMBER(SEARCH("PAYMENT TO",C260)),ISNUMBER(SEARCH("JOE SAUNDERS",C260))),"Zelle to Joe Saunders",IF(OR(ISNUMBER(SEARCH("NEW ORLEANS",C260)),ISNUMBER(SEARCH("KENNER",C260)),ISNUMBER(SEARCH("HENRY HOWARD",C260)),ISNUMBER(SEARCH("MISS CLAUDIA",C260))),"Personal Travel - New Orleans",IFERROR(INDEX('Category Rules'!$B$2:$B$194,MATCH(TRUE,ISNUMBER(SEARCH('Category Rules'!$A$2:$A$194,C260)),0)),"")))))))</f>
        <v>Amazon</v>
      </c>
    </row>
    <row r="261" spans="1:7" x14ac:dyDescent="0.25">
      <c r="A261" t="s">
        <v>6</v>
      </c>
      <c r="B261" s="1">
        <v>46176</v>
      </c>
      <c r="C261" t="s">
        <v>256</v>
      </c>
      <c r="D261">
        <v>-3.99</v>
      </c>
      <c r="E261" t="s">
        <v>14</v>
      </c>
      <c r="F261">
        <v>2168.71</v>
      </c>
      <c r="G261" t="str" cm="1">
        <f t="array" ref="G261">IF(AND(ISNUMBER(SEARCH("UBER",C261)),ISNUMBER(SEARCH("EATS",C261))),"Uber Eats",IF(LEFT(C261,6)="CHECK ","Checks Paid",IF(OR(E261="BILLPAY",ISNUMBER(SEARCH("FRANCHISE TAX",C261)),ISNUMBER(SEARCH("NEXTLINK",C261))),"Personal - House Bills",IF(AND(ISNUMBER(SEARCH("PAYMENT FROM",C261)),ISNUMBER(SEARCH("JOE SAUNDERS",C261))),"Zelle from Joe Saunders",IF(AND(ISNUMBER(SEARCH("PAYMENT TO",C261)),ISNUMBER(SEARCH("JOE SAUNDERS",C261))),"Zelle to Joe Saunders",IF(OR(ISNUMBER(SEARCH("NEW ORLEANS",C261)),ISNUMBER(SEARCH("KENNER",C261)),ISNUMBER(SEARCH("HENRY HOWARD",C261)),ISNUMBER(SEARCH("MISS CLAUDIA",C261))),"Personal Travel - New Orleans",IFERROR(INDEX('Category Rules'!$B$2:$B$194,MATCH(TRUE,ISNUMBER(SEARCH('Category Rules'!$A$2:$A$194,C261)),0)),"")))))))</f>
        <v>Apple</v>
      </c>
    </row>
    <row r="262" spans="1:7" x14ac:dyDescent="0.25">
      <c r="A262" t="s">
        <v>6</v>
      </c>
      <c r="B262" s="1">
        <v>46176</v>
      </c>
      <c r="C262" t="s">
        <v>257</v>
      </c>
      <c r="D262">
        <v>-70</v>
      </c>
      <c r="E262" t="s">
        <v>14</v>
      </c>
      <c r="F262">
        <v>2172.6999999999998</v>
      </c>
      <c r="G262" t="str" cm="1">
        <f t="array" ref="G262">IF(AND(ISNUMBER(SEARCH("UBER",C262)),ISNUMBER(SEARCH("EATS",C262))),"Uber Eats",IF(LEFT(C262,6)="CHECK ","Checks Paid",IF(OR(E262="BILLPAY",ISNUMBER(SEARCH("FRANCHISE TAX",C262)),ISNUMBER(SEARCH("NEXTLINK",C262))),"Personal - House Bills",IF(AND(ISNUMBER(SEARCH("PAYMENT FROM",C262)),ISNUMBER(SEARCH("JOE SAUNDERS",C262))),"Zelle from Joe Saunders",IF(AND(ISNUMBER(SEARCH("PAYMENT TO",C262)),ISNUMBER(SEARCH("JOE SAUNDERS",C262))),"Zelle to Joe Saunders",IF(OR(ISNUMBER(SEARCH("NEW ORLEANS",C262)),ISNUMBER(SEARCH("KENNER",C262)),ISNUMBER(SEARCH("HENRY HOWARD",C262)),ISNUMBER(SEARCH("MISS CLAUDIA",C262))),"Personal Travel - New Orleans",IFERROR(INDEX('Category Rules'!$B$2:$B$194,MATCH(TRUE,ISNUMBER(SEARCH('Category Rules'!$A$2:$A$194,C262)),0)),"")))))))</f>
        <v>Amazon</v>
      </c>
    </row>
    <row r="263" spans="1:7" x14ac:dyDescent="0.25">
      <c r="A263" t="s">
        <v>6</v>
      </c>
      <c r="B263" s="1">
        <v>46176</v>
      </c>
      <c r="C263" t="s">
        <v>258</v>
      </c>
      <c r="D263">
        <v>-162.24</v>
      </c>
      <c r="E263" t="s">
        <v>14</v>
      </c>
      <c r="F263">
        <v>2242.6999999999998</v>
      </c>
      <c r="G263" t="str" cm="1">
        <f t="array" ref="G263">IF(AND(ISNUMBER(SEARCH("UBER",C263)),ISNUMBER(SEARCH("EATS",C263))),"Uber Eats",IF(LEFT(C263,6)="CHECK ","Checks Paid",IF(OR(E263="BILLPAY",ISNUMBER(SEARCH("FRANCHISE TAX",C263)),ISNUMBER(SEARCH("NEXTLINK",C263))),"Personal - House Bills",IF(AND(ISNUMBER(SEARCH("PAYMENT FROM",C263)),ISNUMBER(SEARCH("JOE SAUNDERS",C263))),"Zelle from Joe Saunders",IF(AND(ISNUMBER(SEARCH("PAYMENT TO",C263)),ISNUMBER(SEARCH("JOE SAUNDERS",C263))),"Zelle to Joe Saunders",IF(OR(ISNUMBER(SEARCH("NEW ORLEANS",C263)),ISNUMBER(SEARCH("KENNER",C263)),ISNUMBER(SEARCH("HENRY HOWARD",C263)),ISNUMBER(SEARCH("MISS CLAUDIA",C263))),"Personal Travel - New Orleans",IFERROR(INDEX('Category Rules'!$B$2:$B$194,MATCH(TRUE,ISNUMBER(SEARCH('Category Rules'!$A$2:$A$194,C263)),0)),"")))))))</f>
        <v>Amazon</v>
      </c>
    </row>
    <row r="264" spans="1:7" x14ac:dyDescent="0.25">
      <c r="A264" t="s">
        <v>6</v>
      </c>
      <c r="B264" s="1">
        <v>46176</v>
      </c>
      <c r="C264" t="s">
        <v>259</v>
      </c>
      <c r="D264">
        <v>-567.4</v>
      </c>
      <c r="E264" t="s">
        <v>14</v>
      </c>
      <c r="F264">
        <v>2404.94</v>
      </c>
      <c r="G264" t="str" cm="1">
        <f t="array" ref="G264">IF(AND(ISNUMBER(SEARCH("UBER",C264)),ISNUMBER(SEARCH("EATS",C264))),"Uber Eats",IF(LEFT(C264,6)="CHECK ","Checks Paid",IF(OR(E264="BILLPAY",ISNUMBER(SEARCH("FRANCHISE TAX",C264)),ISNUMBER(SEARCH("NEXTLINK",C264))),"Personal - House Bills",IF(AND(ISNUMBER(SEARCH("PAYMENT FROM",C264)),ISNUMBER(SEARCH("JOE SAUNDERS",C264))),"Zelle from Joe Saunders",IF(AND(ISNUMBER(SEARCH("PAYMENT TO",C264)),ISNUMBER(SEARCH("JOE SAUNDERS",C264))),"Zelle to Joe Saunders",IF(OR(ISNUMBER(SEARCH("NEW ORLEANS",C264)),ISNUMBER(SEARCH("KENNER",C264)),ISNUMBER(SEARCH("HENRY HOWARD",C264)),ISNUMBER(SEARCH("MISS CLAUDIA",C264))),"Personal Travel - New Orleans",IFERROR(INDEX('Category Rules'!$B$2:$B$194,MATCH(TRUE,ISNUMBER(SEARCH('Category Rules'!$A$2:$A$194,C264)),0)),"")))))))</f>
        <v>Personal Travel</v>
      </c>
    </row>
    <row r="265" spans="1:7" x14ac:dyDescent="0.25">
      <c r="A265" t="s">
        <v>6</v>
      </c>
      <c r="B265" s="1">
        <v>46175</v>
      </c>
      <c r="C265" t="s">
        <v>260</v>
      </c>
      <c r="D265">
        <v>-95.07</v>
      </c>
      <c r="E265" t="s">
        <v>261</v>
      </c>
      <c r="F265">
        <v>2972.34</v>
      </c>
      <c r="G265" t="str" cm="1">
        <f t="array" ref="G265">IF(AND(ISNUMBER(SEARCH("UBER",C265)),ISNUMBER(SEARCH("EATS",C265))),"Uber Eats",IF(LEFT(C265,6)="CHECK ","Checks Paid",IF(OR(E265="BILLPAY",ISNUMBER(SEARCH("FRANCHISE TAX",C265)),ISNUMBER(SEARCH("NEXTLINK",C265))),"Personal - House Bills",IF(AND(ISNUMBER(SEARCH("PAYMENT FROM",C265)),ISNUMBER(SEARCH("JOE SAUNDERS",C265))),"Zelle from Joe Saunders",IF(AND(ISNUMBER(SEARCH("PAYMENT TO",C265)),ISNUMBER(SEARCH("JOE SAUNDERS",C265))),"Zelle to Joe Saunders",IF(OR(ISNUMBER(SEARCH("NEW ORLEANS",C265)),ISNUMBER(SEARCH("KENNER",C265)),ISNUMBER(SEARCH("HENRY HOWARD",C265)),ISNUMBER(SEARCH("MISS CLAUDIA",C265))),"Personal Travel - New Orleans",IFERROR(INDEX('Category Rules'!$B$2:$B$194,MATCH(TRUE,ISNUMBER(SEARCH('Category Rules'!$A$2:$A$194,C265)),0)),"")))))))</f>
        <v>PayPal ACH - RAYSTARLIGH</v>
      </c>
    </row>
    <row r="266" spans="1:7" x14ac:dyDescent="0.25">
      <c r="A266" t="s">
        <v>6</v>
      </c>
      <c r="B266" s="1">
        <v>46175</v>
      </c>
      <c r="C266" t="s">
        <v>262</v>
      </c>
      <c r="D266">
        <v>-159.79</v>
      </c>
      <c r="E266" t="s">
        <v>14</v>
      </c>
      <c r="F266">
        <v>3067.41</v>
      </c>
      <c r="G266" t="str" cm="1">
        <f t="array" ref="G266">IF(AND(ISNUMBER(SEARCH("UBER",C266)),ISNUMBER(SEARCH("EATS",C266))),"Uber Eats",IF(LEFT(C266,6)="CHECK ","Checks Paid",IF(OR(E266="BILLPAY",ISNUMBER(SEARCH("FRANCHISE TAX",C266)),ISNUMBER(SEARCH("NEXTLINK",C266))),"Personal - House Bills",IF(AND(ISNUMBER(SEARCH("PAYMENT FROM",C266)),ISNUMBER(SEARCH("JOE SAUNDERS",C266))),"Zelle from Joe Saunders",IF(AND(ISNUMBER(SEARCH("PAYMENT TO",C266)),ISNUMBER(SEARCH("JOE SAUNDERS",C266))),"Zelle to Joe Saunders",IF(OR(ISNUMBER(SEARCH("NEW ORLEANS",C266)),ISNUMBER(SEARCH("KENNER",C266)),ISNUMBER(SEARCH("HENRY HOWARD",C266)),ISNUMBER(SEARCH("MISS CLAUDIA",C266))),"Personal Travel - New Orleans",IFERROR(INDEX('Category Rules'!$B$2:$B$194,MATCH(TRUE,ISNUMBER(SEARCH('Category Rules'!$A$2:$A$194,C266)),0)),"")))))))</f>
        <v>Personal - Shopping</v>
      </c>
    </row>
    <row r="267" spans="1:7" x14ac:dyDescent="0.25">
      <c r="A267" t="s">
        <v>6</v>
      </c>
      <c r="B267" s="1">
        <v>46175</v>
      </c>
      <c r="C267" t="s">
        <v>263</v>
      </c>
      <c r="D267">
        <v>-318.14</v>
      </c>
      <c r="E267" t="s">
        <v>14</v>
      </c>
      <c r="F267">
        <v>3227.2</v>
      </c>
      <c r="G267" t="str" cm="1">
        <f t="array" ref="G267">IF(AND(ISNUMBER(SEARCH("UBER",C267)),ISNUMBER(SEARCH("EATS",C267))),"Uber Eats",IF(LEFT(C267,6)="CHECK ","Checks Paid",IF(OR(E267="BILLPAY",ISNUMBER(SEARCH("FRANCHISE TAX",C267)),ISNUMBER(SEARCH("NEXTLINK",C267))),"Personal - House Bills",IF(AND(ISNUMBER(SEARCH("PAYMENT FROM",C267)),ISNUMBER(SEARCH("JOE SAUNDERS",C267))),"Zelle from Joe Saunders",IF(AND(ISNUMBER(SEARCH("PAYMENT TO",C267)),ISNUMBER(SEARCH("JOE SAUNDERS",C267))),"Zelle to Joe Saunders",IF(OR(ISNUMBER(SEARCH("NEW ORLEANS",C267)),ISNUMBER(SEARCH("KENNER",C267)),ISNUMBER(SEARCH("HENRY HOWARD",C267)),ISNUMBER(SEARCH("MISS CLAUDIA",C267))),"Personal Travel - New Orleans",IFERROR(INDEX('Category Rules'!$B$2:$B$194,MATCH(TRUE,ISNUMBER(SEARCH('Category Rules'!$A$2:$A$194,C267)),0)),"")))))))</f>
        <v>Personal - Shopping</v>
      </c>
    </row>
    <row r="268" spans="1:7" x14ac:dyDescent="0.25">
      <c r="A268" t="s">
        <v>6</v>
      </c>
      <c r="B268" s="1">
        <v>46175</v>
      </c>
      <c r="C268" t="s">
        <v>264</v>
      </c>
      <c r="D268">
        <v>-39.99</v>
      </c>
      <c r="E268" t="s">
        <v>14</v>
      </c>
      <c r="F268">
        <v>3545.34</v>
      </c>
      <c r="G268" t="str" cm="1">
        <f t="array" ref="G268">IF(AND(ISNUMBER(SEARCH("UBER",C268)),ISNUMBER(SEARCH("EATS",C268))),"Uber Eats",IF(LEFT(C268,6)="CHECK ","Checks Paid",IF(OR(E268="BILLPAY",ISNUMBER(SEARCH("FRANCHISE TAX",C268)),ISNUMBER(SEARCH("NEXTLINK",C268))),"Personal - House Bills",IF(AND(ISNUMBER(SEARCH("PAYMENT FROM",C268)),ISNUMBER(SEARCH("JOE SAUNDERS",C268))),"Zelle from Joe Saunders",IF(AND(ISNUMBER(SEARCH("PAYMENT TO",C268)),ISNUMBER(SEARCH("JOE SAUNDERS",C268))),"Zelle to Joe Saunders",IF(OR(ISNUMBER(SEARCH("NEW ORLEANS",C268)),ISNUMBER(SEARCH("KENNER",C268)),ISNUMBER(SEARCH("HENRY HOWARD",C268)),ISNUMBER(SEARCH("MISS CLAUDIA",C268))),"Personal Travel - New Orleans",IFERROR(INDEX('Category Rules'!$B$2:$B$194,MATCH(TRUE,ISNUMBER(SEARCH('Category Rules'!$A$2:$A$194,C268)),0)),"")))))))</f>
        <v>Amazon</v>
      </c>
    </row>
    <row r="269" spans="1:7" x14ac:dyDescent="0.25">
      <c r="A269" t="s">
        <v>6</v>
      </c>
      <c r="B269" s="1">
        <v>46175</v>
      </c>
      <c r="C269" t="s">
        <v>265</v>
      </c>
      <c r="D269">
        <v>-20.74</v>
      </c>
      <c r="E269" t="s">
        <v>14</v>
      </c>
      <c r="F269">
        <v>3585.33</v>
      </c>
      <c r="G269" t="str" cm="1">
        <f t="array" ref="G269">IF(AND(ISNUMBER(SEARCH("UBER",C269)),ISNUMBER(SEARCH("EATS",C269))),"Uber Eats",IF(LEFT(C269,6)="CHECK ","Checks Paid",IF(OR(E269="BILLPAY",ISNUMBER(SEARCH("FRANCHISE TAX",C269)),ISNUMBER(SEARCH("NEXTLINK",C269))),"Personal - House Bills",IF(AND(ISNUMBER(SEARCH("PAYMENT FROM",C269)),ISNUMBER(SEARCH("JOE SAUNDERS",C269))),"Zelle from Joe Saunders",IF(AND(ISNUMBER(SEARCH("PAYMENT TO",C269)),ISNUMBER(SEARCH("JOE SAUNDERS",C269))),"Zelle to Joe Saunders",IF(OR(ISNUMBER(SEARCH("NEW ORLEANS",C269)),ISNUMBER(SEARCH("KENNER",C269)),ISNUMBER(SEARCH("HENRY HOWARD",C269)),ISNUMBER(SEARCH("MISS CLAUDIA",C269))),"Personal Travel - New Orleans",IFERROR(INDEX('Category Rules'!$B$2:$B$194,MATCH(TRUE,ISNUMBER(SEARCH('Category Rules'!$A$2:$A$194,C269)),0)),"")))))))</f>
        <v>Amazon</v>
      </c>
    </row>
    <row r="270" spans="1:7" x14ac:dyDescent="0.25">
      <c r="A270" t="s">
        <v>6</v>
      </c>
      <c r="B270" s="1">
        <v>46175</v>
      </c>
      <c r="C270" t="s">
        <v>266</v>
      </c>
      <c r="D270">
        <v>-26</v>
      </c>
      <c r="E270" t="s">
        <v>14</v>
      </c>
      <c r="F270">
        <v>3606.07</v>
      </c>
      <c r="G270" t="str" cm="1">
        <f t="array" ref="G270">IF(AND(ISNUMBER(SEARCH("UBER",C270)),ISNUMBER(SEARCH("EATS",C270))),"Uber Eats",IF(LEFT(C270,6)="CHECK ","Checks Paid",IF(OR(E270="BILLPAY",ISNUMBER(SEARCH("FRANCHISE TAX",C270)),ISNUMBER(SEARCH("NEXTLINK",C270))),"Personal - House Bills",IF(AND(ISNUMBER(SEARCH("PAYMENT FROM",C270)),ISNUMBER(SEARCH("JOE SAUNDERS",C270))),"Zelle from Joe Saunders",IF(AND(ISNUMBER(SEARCH("PAYMENT TO",C270)),ISNUMBER(SEARCH("JOE SAUNDERS",C270))),"Zelle to Joe Saunders",IF(OR(ISNUMBER(SEARCH("NEW ORLEANS",C270)),ISNUMBER(SEARCH("KENNER",C270)),ISNUMBER(SEARCH("HENRY HOWARD",C270)),ISNUMBER(SEARCH("MISS CLAUDIA",C270))),"Personal Travel - New Orleans",IFERROR(INDEX('Category Rules'!$B$2:$B$194,MATCH(TRUE,ISNUMBER(SEARCH('Category Rules'!$A$2:$A$194,C270)),0)),"")))))))</f>
        <v>Personal Travel</v>
      </c>
    </row>
    <row r="271" spans="1:7" x14ac:dyDescent="0.25">
      <c r="A271" t="s">
        <v>37</v>
      </c>
      <c r="B271" s="1">
        <v>46175</v>
      </c>
      <c r="C271" t="s">
        <v>267</v>
      </c>
      <c r="D271">
        <v>25</v>
      </c>
      <c r="E271" t="s">
        <v>60</v>
      </c>
      <c r="F271">
        <v>3632.07</v>
      </c>
      <c r="G271" t="str" cm="1">
        <f t="array" ref="G271">IF(AND(ISNUMBER(SEARCH("UBER",C271)),ISNUMBER(SEARCH("EATS",C271))),"Uber Eats",IF(LEFT(C271,6)="CHECK ","Checks Paid",IF(OR(E271="BILLPAY",ISNUMBER(SEARCH("FRANCHISE TAX",C271)),ISNUMBER(SEARCH("NEXTLINK",C271))),"Personal - House Bills",IF(AND(ISNUMBER(SEARCH("PAYMENT FROM",C271)),ISNUMBER(SEARCH("JOE SAUNDERS",C271))),"Zelle from Joe Saunders",IF(AND(ISNUMBER(SEARCH("PAYMENT TO",C271)),ISNUMBER(SEARCH("JOE SAUNDERS",C271))),"Zelle to Joe Saunders",IF(OR(ISNUMBER(SEARCH("NEW ORLEANS",C271)),ISNUMBER(SEARCH("KENNER",C271)),ISNUMBER(SEARCH("HENRY HOWARD",C271)),ISNUMBER(SEARCH("MISS CLAUDIA",C271))),"Personal Travel - New Orleans",IFERROR(INDEX('Category Rules'!$B$2:$B$194,MATCH(TRUE,ISNUMBER(SEARCH('Category Rules'!$A$2:$A$194,C271)),0)),"")))))))</f>
        <v>Zelle from Mary Margaret Trahan</v>
      </c>
    </row>
    <row r="272" spans="1:7" x14ac:dyDescent="0.25">
      <c r="A272" t="s">
        <v>37</v>
      </c>
      <c r="B272" s="1">
        <v>46175</v>
      </c>
      <c r="C272" t="s">
        <v>268</v>
      </c>
      <c r="D272">
        <v>2000</v>
      </c>
      <c r="E272" t="s">
        <v>39</v>
      </c>
      <c r="F272">
        <v>3607.07</v>
      </c>
      <c r="G272" t="str" cm="1">
        <f t="array" ref="G272">IF(AND(ISNUMBER(SEARCH("UBER",C272)),ISNUMBER(SEARCH("EATS",C272))),"Uber Eats",IF(LEFT(C272,6)="CHECK ","Checks Paid",IF(OR(E272="BILLPAY",ISNUMBER(SEARCH("FRANCHISE TAX",C272)),ISNUMBER(SEARCH("NEXTLINK",C272))),"Personal - House Bills",IF(AND(ISNUMBER(SEARCH("PAYMENT FROM",C272)),ISNUMBER(SEARCH("JOE SAUNDERS",C272))),"Zelle from Joe Saunders",IF(AND(ISNUMBER(SEARCH("PAYMENT TO",C272)),ISNUMBER(SEARCH("JOE SAUNDERS",C272))),"Zelle to Joe Saunders",IF(OR(ISNUMBER(SEARCH("NEW ORLEANS",C272)),ISNUMBER(SEARCH("KENNER",C272)),ISNUMBER(SEARCH("HENRY HOWARD",C272)),ISNUMBER(SEARCH("MISS CLAUDIA",C272))),"Personal Travel - New Orleans",IFERROR(INDEX('Category Rules'!$B$2:$B$194,MATCH(TRUE,ISNUMBER(SEARCH('Category Rules'!$A$2:$A$194,C272)),0)),"")))))))</f>
        <v>Transfer from DWG Capital Group</v>
      </c>
    </row>
    <row r="273" spans="1:7" x14ac:dyDescent="0.25">
      <c r="A273" t="s">
        <v>6</v>
      </c>
      <c r="B273" s="1">
        <v>46174</v>
      </c>
      <c r="C273" t="s">
        <v>243</v>
      </c>
      <c r="D273">
        <v>-3</v>
      </c>
      <c r="E273" t="s">
        <v>72</v>
      </c>
      <c r="F273">
        <v>1607.07</v>
      </c>
      <c r="G273" t="str" cm="1">
        <f t="array" ref="G273">IF(AND(ISNUMBER(SEARCH("UBER",C273)),ISNUMBER(SEARCH("EATS",C273))),"Uber Eats",IF(LEFT(C273,6)="CHECK ","Checks Paid",IF(OR(E273="BILLPAY",ISNUMBER(SEARCH("FRANCHISE TAX",C273)),ISNUMBER(SEARCH("NEXTLINK",C273))),"Personal - House Bills",IF(AND(ISNUMBER(SEARCH("PAYMENT FROM",C273)),ISNUMBER(SEARCH("JOE SAUNDERS",C273))),"Zelle from Joe Saunders",IF(AND(ISNUMBER(SEARCH("PAYMENT TO",C273)),ISNUMBER(SEARCH("JOE SAUNDERS",C273))),"Zelle to Joe Saunders",IF(OR(ISNUMBER(SEARCH("NEW ORLEANS",C273)),ISNUMBER(SEARCH("KENNER",C273)),ISNUMBER(SEARCH("HENRY HOWARD",C273)),ISNUMBER(SEARCH("MISS CLAUDIA",C273))),"Personal Travel - New Orleans",IFERROR(INDEX('Category Rules'!$B$2:$B$194,MATCH(TRUE,ISNUMBER(SEARCH('Category Rules'!$A$2:$A$194,C273)),0)),"")))))))</f>
        <v>Bank Fees</v>
      </c>
    </row>
    <row r="274" spans="1:7" x14ac:dyDescent="0.25">
      <c r="A274" t="s">
        <v>6</v>
      </c>
      <c r="B274" s="1">
        <v>46174</v>
      </c>
      <c r="C274" t="s">
        <v>269</v>
      </c>
      <c r="D274">
        <v>-1272.1199999999999</v>
      </c>
      <c r="E274" t="s">
        <v>14</v>
      </c>
      <c r="F274">
        <v>1610.07</v>
      </c>
      <c r="G274" t="str" cm="1">
        <f t="array" ref="G274">IF(AND(ISNUMBER(SEARCH("UBER",C274)),ISNUMBER(SEARCH("EATS",C274))),"Uber Eats",IF(LEFT(C274,6)="CHECK ","Checks Paid",IF(OR(E274="BILLPAY",ISNUMBER(SEARCH("FRANCHISE TAX",C274)),ISNUMBER(SEARCH("NEXTLINK",C274))),"Personal - House Bills",IF(AND(ISNUMBER(SEARCH("PAYMENT FROM",C274)),ISNUMBER(SEARCH("JOE SAUNDERS",C274))),"Zelle from Joe Saunders",IF(AND(ISNUMBER(SEARCH("PAYMENT TO",C274)),ISNUMBER(SEARCH("JOE SAUNDERS",C274))),"Zelle to Joe Saunders",IF(OR(ISNUMBER(SEARCH("NEW ORLEANS",C274)),ISNUMBER(SEARCH("KENNER",C274)),ISNUMBER(SEARCH("HENRY HOWARD",C274)),ISNUMBER(SEARCH("MISS CLAUDIA",C274))),"Personal Travel - New Orleans",IFERROR(INDEX('Category Rules'!$B$2:$B$194,MATCH(TRUE,ISNUMBER(SEARCH('Category Rules'!$A$2:$A$194,C274)),0)),"")))))))</f>
        <v>Personal - Health Insurance</v>
      </c>
    </row>
    <row r="275" spans="1:7" x14ac:dyDescent="0.25">
      <c r="A275" t="s">
        <v>6</v>
      </c>
      <c r="B275" s="1">
        <v>46174</v>
      </c>
      <c r="C275" t="s">
        <v>270</v>
      </c>
      <c r="D275">
        <v>-31.34</v>
      </c>
      <c r="E275" t="s">
        <v>14</v>
      </c>
      <c r="F275">
        <v>2882.19</v>
      </c>
      <c r="G275" t="str" cm="1">
        <f t="array" ref="G275">IF(AND(ISNUMBER(SEARCH("UBER",C275)),ISNUMBER(SEARCH("EATS",C275))),"Uber Eats",IF(LEFT(C275,6)="CHECK ","Checks Paid",IF(OR(E275="BILLPAY",ISNUMBER(SEARCH("FRANCHISE TAX",C275)),ISNUMBER(SEARCH("NEXTLINK",C275))),"Personal - House Bills",IF(AND(ISNUMBER(SEARCH("PAYMENT FROM",C275)),ISNUMBER(SEARCH("JOE SAUNDERS",C275))),"Zelle from Joe Saunders",IF(AND(ISNUMBER(SEARCH("PAYMENT TO",C275)),ISNUMBER(SEARCH("JOE SAUNDERS",C275))),"Zelle to Joe Saunders",IF(OR(ISNUMBER(SEARCH("NEW ORLEANS",C275)),ISNUMBER(SEARCH("KENNER",C275)),ISNUMBER(SEARCH("HENRY HOWARD",C275)),ISNUMBER(SEARCH("MISS CLAUDIA",C275))),"Personal Travel - New Orleans",IFERROR(INDEX('Category Rules'!$B$2:$B$194,MATCH(TRUE,ISNUMBER(SEARCH('Category Rules'!$A$2:$A$194,C275)),0)),"")))))))</f>
        <v>Personal - Shopping</v>
      </c>
    </row>
    <row r="276" spans="1:7" x14ac:dyDescent="0.25">
      <c r="A276" t="s">
        <v>6</v>
      </c>
      <c r="B276" s="1">
        <v>46174</v>
      </c>
      <c r="C276" t="s">
        <v>271</v>
      </c>
      <c r="D276">
        <v>-8.52</v>
      </c>
      <c r="E276" t="s">
        <v>14</v>
      </c>
      <c r="F276">
        <v>2913.53</v>
      </c>
      <c r="G276" t="str" cm="1">
        <f t="array" ref="G276">IF(AND(ISNUMBER(SEARCH("UBER",C276)),ISNUMBER(SEARCH("EATS",C276))),"Uber Eats",IF(LEFT(C276,6)="CHECK ","Checks Paid",IF(OR(E276="BILLPAY",ISNUMBER(SEARCH("FRANCHISE TAX",C276)),ISNUMBER(SEARCH("NEXTLINK",C276))),"Personal - House Bills",IF(AND(ISNUMBER(SEARCH("PAYMENT FROM",C276)),ISNUMBER(SEARCH("JOE SAUNDERS",C276))),"Zelle from Joe Saunders",IF(AND(ISNUMBER(SEARCH("PAYMENT TO",C276)),ISNUMBER(SEARCH("JOE SAUNDERS",C276))),"Zelle to Joe Saunders",IF(OR(ISNUMBER(SEARCH("NEW ORLEANS",C276)),ISNUMBER(SEARCH("KENNER",C276)),ISNUMBER(SEARCH("HENRY HOWARD",C276)),ISNUMBER(SEARCH("MISS CLAUDIA",C276))),"Personal Travel - New Orleans",IFERROR(INDEX('Category Rules'!$B$2:$B$194,MATCH(TRUE,ISNUMBER(SEARCH('Category Rules'!$A$2:$A$194,C276)),0)),"")))))))</f>
        <v>Personal - Food</v>
      </c>
    </row>
    <row r="277" spans="1:7" x14ac:dyDescent="0.25">
      <c r="A277" t="s">
        <v>6</v>
      </c>
      <c r="B277" s="1">
        <v>46174</v>
      </c>
      <c r="C277" t="s">
        <v>272</v>
      </c>
      <c r="D277">
        <v>-303</v>
      </c>
      <c r="E277" t="s">
        <v>48</v>
      </c>
      <c r="F277">
        <v>2922.05</v>
      </c>
      <c r="G277" t="str" cm="1">
        <f t="array" ref="G277">IF(AND(ISNUMBER(SEARCH("UBER",C277)),ISNUMBER(SEARCH("EATS",C277))),"Uber Eats",IF(LEFT(C277,6)="CHECK ","Checks Paid",IF(OR(E277="BILLPAY",ISNUMBER(SEARCH("FRANCHISE TAX",C277)),ISNUMBER(SEARCH("NEXTLINK",C277))),"Personal - House Bills",IF(AND(ISNUMBER(SEARCH("PAYMENT FROM",C277)),ISNUMBER(SEARCH("JOE SAUNDERS",C277))),"Zelle from Joe Saunders",IF(AND(ISNUMBER(SEARCH("PAYMENT TO",C277)),ISNUMBER(SEARCH("JOE SAUNDERS",C277))),"Zelle to Joe Saunders",IF(OR(ISNUMBER(SEARCH("NEW ORLEANS",C277)),ISNUMBER(SEARCH("KENNER",C277)),ISNUMBER(SEARCH("HENRY HOWARD",C277)),ISNUMBER(SEARCH("MISS CLAUDIA",C277))),"Personal Travel - New Orleans",IFERROR(INDEX('Category Rules'!$B$2:$B$194,MATCH(TRUE,ISNUMBER(SEARCH('Category Rules'!$A$2:$A$194,C277)),0)),"")))))))</f>
        <v>Withdrawal</v>
      </c>
    </row>
    <row r="278" spans="1:7" x14ac:dyDescent="0.25">
      <c r="A278" t="s">
        <v>6</v>
      </c>
      <c r="B278" s="1">
        <v>46174</v>
      </c>
      <c r="C278" t="s">
        <v>273</v>
      </c>
      <c r="D278">
        <v>-51.51</v>
      </c>
      <c r="E278" t="s">
        <v>14</v>
      </c>
      <c r="F278">
        <v>3225.05</v>
      </c>
      <c r="G278" t="str" cm="1">
        <f t="array" ref="G278">IF(AND(ISNUMBER(SEARCH("UBER",C278)),ISNUMBER(SEARCH("EATS",C278))),"Uber Eats",IF(LEFT(C278,6)="CHECK ","Checks Paid",IF(OR(E278="BILLPAY",ISNUMBER(SEARCH("FRANCHISE TAX",C278)),ISNUMBER(SEARCH("NEXTLINK",C278))),"Personal - House Bills",IF(AND(ISNUMBER(SEARCH("PAYMENT FROM",C278)),ISNUMBER(SEARCH("JOE SAUNDERS",C278))),"Zelle from Joe Saunders",IF(AND(ISNUMBER(SEARCH("PAYMENT TO",C278)),ISNUMBER(SEARCH("JOE SAUNDERS",C278))),"Zelle to Joe Saunders",IF(OR(ISNUMBER(SEARCH("NEW ORLEANS",C278)),ISNUMBER(SEARCH("KENNER",C278)),ISNUMBER(SEARCH("HENRY HOWARD",C278)),ISNUMBER(SEARCH("MISS CLAUDIA",C278))),"Personal Travel - New Orleans",IFERROR(INDEX('Category Rules'!$B$2:$B$194,MATCH(TRUE,ISNUMBER(SEARCH('Category Rules'!$A$2:$A$194,C278)),0)),"")))))))</f>
        <v>Personal - Car</v>
      </c>
    </row>
    <row r="279" spans="1:7" x14ac:dyDescent="0.25">
      <c r="A279" t="s">
        <v>6</v>
      </c>
      <c r="B279" s="1">
        <v>46174</v>
      </c>
      <c r="C279" t="s">
        <v>274</v>
      </c>
      <c r="D279">
        <v>-30</v>
      </c>
      <c r="E279" t="s">
        <v>14</v>
      </c>
      <c r="F279">
        <v>3276.56</v>
      </c>
      <c r="G279" t="str" cm="1">
        <f t="array" ref="G279">IF(AND(ISNUMBER(SEARCH("UBER",C279)),ISNUMBER(SEARCH("EATS",C279))),"Uber Eats",IF(LEFT(C279,6)="CHECK ","Checks Paid",IF(OR(E279="BILLPAY",ISNUMBER(SEARCH("FRANCHISE TAX",C279)),ISNUMBER(SEARCH("NEXTLINK",C279))),"Personal - House Bills",IF(AND(ISNUMBER(SEARCH("PAYMENT FROM",C279)),ISNUMBER(SEARCH("JOE SAUNDERS",C279))),"Zelle from Joe Saunders",IF(AND(ISNUMBER(SEARCH("PAYMENT TO",C279)),ISNUMBER(SEARCH("JOE SAUNDERS",C279))),"Zelle to Joe Saunders",IF(OR(ISNUMBER(SEARCH("NEW ORLEANS",C279)),ISNUMBER(SEARCH("KENNER",C279)),ISNUMBER(SEARCH("HENRY HOWARD",C279)),ISNUMBER(SEARCH("MISS CLAUDIA",C279))),"Personal Travel - New Orleans",IFERROR(INDEX('Category Rules'!$B$2:$B$194,MATCH(TRUE,ISNUMBER(SEARCH('Category Rules'!$A$2:$A$194,C279)),0)),"")))))))</f>
        <v>Amazon</v>
      </c>
    </row>
    <row r="280" spans="1:7" x14ac:dyDescent="0.25">
      <c r="A280" t="s">
        <v>6</v>
      </c>
      <c r="B280" s="1">
        <v>46174</v>
      </c>
      <c r="C280" t="s">
        <v>275</v>
      </c>
      <c r="D280">
        <v>-19</v>
      </c>
      <c r="E280" t="s">
        <v>14</v>
      </c>
      <c r="F280">
        <v>3306.56</v>
      </c>
      <c r="G280" t="str" cm="1">
        <f t="array" ref="G280">IF(AND(ISNUMBER(SEARCH("UBER",C280)),ISNUMBER(SEARCH("EATS",C280))),"Uber Eats",IF(LEFT(C280,6)="CHECK ","Checks Paid",IF(OR(E280="BILLPAY",ISNUMBER(SEARCH("FRANCHISE TAX",C280)),ISNUMBER(SEARCH("NEXTLINK",C280))),"Personal - House Bills",IF(AND(ISNUMBER(SEARCH("PAYMENT FROM",C280)),ISNUMBER(SEARCH("JOE SAUNDERS",C280))),"Zelle from Joe Saunders",IF(AND(ISNUMBER(SEARCH("PAYMENT TO",C280)),ISNUMBER(SEARCH("JOE SAUNDERS",C280))),"Zelle to Joe Saunders",IF(OR(ISNUMBER(SEARCH("NEW ORLEANS",C280)),ISNUMBER(SEARCH("KENNER",C280)),ISNUMBER(SEARCH("HENRY HOWARD",C280)),ISNUMBER(SEARCH("MISS CLAUDIA",C280))),"Personal Travel - New Orleans",IFERROR(INDEX('Category Rules'!$B$2:$B$194,MATCH(TRUE,ISNUMBER(SEARCH('Category Rules'!$A$2:$A$194,C280)),0)),"")))))))</f>
        <v>Personal - Subscription</v>
      </c>
    </row>
    <row r="281" spans="1:7" x14ac:dyDescent="0.25">
      <c r="A281" t="s">
        <v>6</v>
      </c>
      <c r="B281" s="1">
        <v>46174</v>
      </c>
      <c r="C281" t="s">
        <v>276</v>
      </c>
      <c r="D281">
        <v>-255</v>
      </c>
      <c r="E281" t="s">
        <v>14</v>
      </c>
      <c r="F281">
        <v>3325.56</v>
      </c>
      <c r="G281" t="str" cm="1">
        <f t="array" ref="G281">IF(AND(ISNUMBER(SEARCH("UBER",C281)),ISNUMBER(SEARCH("EATS",C281))),"Uber Eats",IF(LEFT(C281,6)="CHECK ","Checks Paid",IF(OR(E281="BILLPAY",ISNUMBER(SEARCH("FRANCHISE TAX",C281)),ISNUMBER(SEARCH("NEXTLINK",C281))),"Personal - House Bills",IF(AND(ISNUMBER(SEARCH("PAYMENT FROM",C281)),ISNUMBER(SEARCH("JOE SAUNDERS",C281))),"Zelle from Joe Saunders",IF(AND(ISNUMBER(SEARCH("PAYMENT TO",C281)),ISNUMBER(SEARCH("JOE SAUNDERS",C281))),"Zelle to Joe Saunders",IF(OR(ISNUMBER(SEARCH("NEW ORLEANS",C281)),ISNUMBER(SEARCH("KENNER",C281)),ISNUMBER(SEARCH("HENRY HOWARD",C281)),ISNUMBER(SEARCH("MISS CLAUDIA",C281))),"Personal Travel - New Orleans",IFERROR(INDEX('Category Rules'!$B$2:$B$194,MATCH(TRUE,ISNUMBER(SEARCH('Category Rules'!$A$2:$A$194,C281)),0)),"")))))))</f>
        <v>Personal - Health</v>
      </c>
    </row>
    <row r="282" spans="1:7" x14ac:dyDescent="0.25">
      <c r="A282" t="s">
        <v>6</v>
      </c>
      <c r="B282" s="1">
        <v>46174</v>
      </c>
      <c r="C282" t="s">
        <v>277</v>
      </c>
      <c r="D282">
        <v>-5</v>
      </c>
      <c r="E282" t="s">
        <v>14</v>
      </c>
      <c r="F282">
        <v>3580.56</v>
      </c>
      <c r="G282" t="str" cm="1">
        <f t="array" ref="G282">IF(AND(ISNUMBER(SEARCH("UBER",C282)),ISNUMBER(SEARCH("EATS",C282))),"Uber Eats",IF(LEFT(C282,6)="CHECK ","Checks Paid",IF(OR(E282="BILLPAY",ISNUMBER(SEARCH("FRANCHISE TAX",C282)),ISNUMBER(SEARCH("NEXTLINK",C282))),"Personal - House Bills",IF(AND(ISNUMBER(SEARCH("PAYMENT FROM",C282)),ISNUMBER(SEARCH("JOE SAUNDERS",C282))),"Zelle from Joe Saunders",IF(AND(ISNUMBER(SEARCH("PAYMENT TO",C282)),ISNUMBER(SEARCH("JOE SAUNDERS",C282))),"Zelle to Joe Saunders",IF(OR(ISNUMBER(SEARCH("NEW ORLEANS",C282)),ISNUMBER(SEARCH("KENNER",C282)),ISNUMBER(SEARCH("HENRY HOWARD",C282)),ISNUMBER(SEARCH("MISS CLAUDIA",C282))),"Personal Travel - New Orleans",IFERROR(INDEX('Category Rules'!$B$2:$B$194,MATCH(TRUE,ISNUMBER(SEARCH('Category Rules'!$A$2:$A$194,C282)),0)),"")))))))</f>
        <v>Personal - Food</v>
      </c>
    </row>
    <row r="283" spans="1:7" x14ac:dyDescent="0.25">
      <c r="A283" t="s">
        <v>6</v>
      </c>
      <c r="B283" s="1">
        <v>46174</v>
      </c>
      <c r="C283" t="s">
        <v>278</v>
      </c>
      <c r="D283">
        <v>-70</v>
      </c>
      <c r="E283" t="s">
        <v>14</v>
      </c>
      <c r="F283">
        <v>3585.56</v>
      </c>
      <c r="G283" t="str" cm="1">
        <f t="array" ref="G283">IF(AND(ISNUMBER(SEARCH("UBER",C283)),ISNUMBER(SEARCH("EATS",C283))),"Uber Eats",IF(LEFT(C283,6)="CHECK ","Checks Paid",IF(OR(E283="BILLPAY",ISNUMBER(SEARCH("FRANCHISE TAX",C283)),ISNUMBER(SEARCH("NEXTLINK",C283))),"Personal - House Bills",IF(AND(ISNUMBER(SEARCH("PAYMENT FROM",C283)),ISNUMBER(SEARCH("JOE SAUNDERS",C283))),"Zelle from Joe Saunders",IF(AND(ISNUMBER(SEARCH("PAYMENT TO",C283)),ISNUMBER(SEARCH("JOE SAUNDERS",C283))),"Zelle to Joe Saunders",IF(OR(ISNUMBER(SEARCH("NEW ORLEANS",C283)),ISNUMBER(SEARCH("KENNER",C283)),ISNUMBER(SEARCH("HENRY HOWARD",C283)),ISNUMBER(SEARCH("MISS CLAUDIA",C283))),"Personal Travel - New Orleans",IFERROR(INDEX('Category Rules'!$B$2:$B$194,MATCH(TRUE,ISNUMBER(SEARCH('Category Rules'!$A$2:$A$194,C283)),0)),"")))))))</f>
        <v>Personal - Subscription</v>
      </c>
    </row>
    <row r="284" spans="1:7" x14ac:dyDescent="0.25">
      <c r="A284" t="s">
        <v>6</v>
      </c>
      <c r="B284" s="1">
        <v>46174</v>
      </c>
      <c r="C284" t="s">
        <v>279</v>
      </c>
      <c r="D284">
        <v>-40.85</v>
      </c>
      <c r="E284" t="s">
        <v>14</v>
      </c>
      <c r="F284">
        <v>3655.56</v>
      </c>
      <c r="G284" t="str" cm="1">
        <f t="array" ref="G284">IF(AND(ISNUMBER(SEARCH("UBER",C284)),ISNUMBER(SEARCH("EATS",C284))),"Uber Eats",IF(LEFT(C284,6)="CHECK ","Checks Paid",IF(OR(E284="BILLPAY",ISNUMBER(SEARCH("FRANCHISE TAX",C284)),ISNUMBER(SEARCH("NEXTLINK",C284))),"Personal - House Bills",IF(AND(ISNUMBER(SEARCH("PAYMENT FROM",C284)),ISNUMBER(SEARCH("JOE SAUNDERS",C284))),"Zelle from Joe Saunders",IF(AND(ISNUMBER(SEARCH("PAYMENT TO",C284)),ISNUMBER(SEARCH("JOE SAUNDERS",C284))),"Zelle to Joe Saunders",IF(OR(ISNUMBER(SEARCH("NEW ORLEANS",C284)),ISNUMBER(SEARCH("KENNER",C284)),ISNUMBER(SEARCH("HENRY HOWARD",C284)),ISNUMBER(SEARCH("MISS CLAUDIA",C284))),"Personal Travel - New Orleans",IFERROR(INDEX('Category Rules'!$B$2:$B$194,MATCH(TRUE,ISNUMBER(SEARCH('Category Rules'!$A$2:$A$194,C284)),0)),"")))))))</f>
        <v>Personal - Shopping</v>
      </c>
    </row>
    <row r="285" spans="1:7" x14ac:dyDescent="0.25">
      <c r="A285" t="s">
        <v>6</v>
      </c>
      <c r="B285" s="1">
        <v>46174</v>
      </c>
      <c r="C285" t="s">
        <v>280</v>
      </c>
      <c r="D285">
        <v>-21.74</v>
      </c>
      <c r="E285" t="s">
        <v>14</v>
      </c>
      <c r="F285">
        <v>3696.41</v>
      </c>
      <c r="G285" t="str" cm="1">
        <f t="array" ref="G285">IF(AND(ISNUMBER(SEARCH("UBER",C285)),ISNUMBER(SEARCH("EATS",C285))),"Uber Eats",IF(LEFT(C285,6)="CHECK ","Checks Paid",IF(OR(E285="BILLPAY",ISNUMBER(SEARCH("FRANCHISE TAX",C285)),ISNUMBER(SEARCH("NEXTLINK",C285))),"Personal - House Bills",IF(AND(ISNUMBER(SEARCH("PAYMENT FROM",C285)),ISNUMBER(SEARCH("JOE SAUNDERS",C285))),"Zelle from Joe Saunders",IF(AND(ISNUMBER(SEARCH("PAYMENT TO",C285)),ISNUMBER(SEARCH("JOE SAUNDERS",C285))),"Zelle to Joe Saunders",IF(OR(ISNUMBER(SEARCH("NEW ORLEANS",C285)),ISNUMBER(SEARCH("KENNER",C285)),ISNUMBER(SEARCH("HENRY HOWARD",C285)),ISNUMBER(SEARCH("MISS CLAUDIA",C285))),"Personal Travel - New Orleans",IFERROR(INDEX('Category Rules'!$B$2:$B$194,MATCH(TRUE,ISNUMBER(SEARCH('Category Rules'!$A$2:$A$194,C285)),0)),"")))))))</f>
        <v>Personal - Misc</v>
      </c>
    </row>
    <row r="286" spans="1:7" x14ac:dyDescent="0.25">
      <c r="A286" t="s">
        <v>6</v>
      </c>
      <c r="B286" s="1">
        <v>46174</v>
      </c>
      <c r="C286" t="s">
        <v>281</v>
      </c>
      <c r="D286">
        <v>-27.96</v>
      </c>
      <c r="E286" t="s">
        <v>14</v>
      </c>
      <c r="F286">
        <v>3718.15</v>
      </c>
      <c r="G286" t="str" cm="1">
        <f t="array" ref="G286">IF(AND(ISNUMBER(SEARCH("UBER",C286)),ISNUMBER(SEARCH("EATS",C286))),"Uber Eats",IF(LEFT(C286,6)="CHECK ","Checks Paid",IF(OR(E286="BILLPAY",ISNUMBER(SEARCH("FRANCHISE TAX",C286)),ISNUMBER(SEARCH("NEXTLINK",C286))),"Personal - House Bills",IF(AND(ISNUMBER(SEARCH("PAYMENT FROM",C286)),ISNUMBER(SEARCH("JOE SAUNDERS",C286))),"Zelle from Joe Saunders",IF(AND(ISNUMBER(SEARCH("PAYMENT TO",C286)),ISNUMBER(SEARCH("JOE SAUNDERS",C286))),"Zelle to Joe Saunders",IF(OR(ISNUMBER(SEARCH("NEW ORLEANS",C286)),ISNUMBER(SEARCH("KENNER",C286)),ISNUMBER(SEARCH("HENRY HOWARD",C286)),ISNUMBER(SEARCH("MISS CLAUDIA",C286))),"Personal Travel - New Orleans",IFERROR(INDEX('Category Rules'!$B$2:$B$194,MATCH(TRUE,ISNUMBER(SEARCH('Category Rules'!$A$2:$A$194,C286)),0)),"")))))))</f>
        <v>Amazon</v>
      </c>
    </row>
    <row r="287" spans="1:7" x14ac:dyDescent="0.25">
      <c r="A287" t="s">
        <v>6</v>
      </c>
      <c r="B287" s="1">
        <v>46174</v>
      </c>
      <c r="C287" t="s">
        <v>277</v>
      </c>
      <c r="D287">
        <v>-197.9</v>
      </c>
      <c r="E287" t="s">
        <v>14</v>
      </c>
      <c r="F287">
        <v>3746.11</v>
      </c>
      <c r="G287" t="str" cm="1">
        <f t="array" ref="G287">IF(AND(ISNUMBER(SEARCH("UBER",C287)),ISNUMBER(SEARCH("EATS",C287))),"Uber Eats",IF(LEFT(C287,6)="CHECK ","Checks Paid",IF(OR(E287="BILLPAY",ISNUMBER(SEARCH("FRANCHISE TAX",C287)),ISNUMBER(SEARCH("NEXTLINK",C287))),"Personal - House Bills",IF(AND(ISNUMBER(SEARCH("PAYMENT FROM",C287)),ISNUMBER(SEARCH("JOE SAUNDERS",C287))),"Zelle from Joe Saunders",IF(AND(ISNUMBER(SEARCH("PAYMENT TO",C287)),ISNUMBER(SEARCH("JOE SAUNDERS",C287))),"Zelle to Joe Saunders",IF(OR(ISNUMBER(SEARCH("NEW ORLEANS",C287)),ISNUMBER(SEARCH("KENNER",C287)),ISNUMBER(SEARCH("HENRY HOWARD",C287)),ISNUMBER(SEARCH("MISS CLAUDIA",C287))),"Personal Travel - New Orleans",IFERROR(INDEX('Category Rules'!$B$2:$B$194,MATCH(TRUE,ISNUMBER(SEARCH('Category Rules'!$A$2:$A$194,C287)),0)),"")))))))</f>
        <v>Personal - Food</v>
      </c>
    </row>
    <row r="288" spans="1:7" x14ac:dyDescent="0.25">
      <c r="A288" t="s">
        <v>6</v>
      </c>
      <c r="B288" s="1">
        <v>46174</v>
      </c>
      <c r="C288" t="s">
        <v>282</v>
      </c>
      <c r="D288">
        <v>-5.99</v>
      </c>
      <c r="E288" t="s">
        <v>14</v>
      </c>
      <c r="F288">
        <v>3944.01</v>
      </c>
      <c r="G288" t="str" cm="1">
        <f t="array" ref="G288">IF(AND(ISNUMBER(SEARCH("UBER",C288)),ISNUMBER(SEARCH("EATS",C288))),"Uber Eats",IF(LEFT(C288,6)="CHECK ","Checks Paid",IF(OR(E288="BILLPAY",ISNUMBER(SEARCH("FRANCHISE TAX",C288)),ISNUMBER(SEARCH("NEXTLINK",C288))),"Personal - House Bills",IF(AND(ISNUMBER(SEARCH("PAYMENT FROM",C288)),ISNUMBER(SEARCH("JOE SAUNDERS",C288))),"Zelle from Joe Saunders",IF(AND(ISNUMBER(SEARCH("PAYMENT TO",C288)),ISNUMBER(SEARCH("JOE SAUNDERS",C288))),"Zelle to Joe Saunders",IF(OR(ISNUMBER(SEARCH("NEW ORLEANS",C288)),ISNUMBER(SEARCH("KENNER",C288)),ISNUMBER(SEARCH("HENRY HOWARD",C288)),ISNUMBER(SEARCH("MISS CLAUDIA",C288))),"Personal Travel - New Orleans",IFERROR(INDEX('Category Rules'!$B$2:$B$194,MATCH(TRUE,ISNUMBER(SEARCH('Category Rules'!$A$2:$A$194,C288)),0)),"")))))))</f>
        <v>Apple</v>
      </c>
    </row>
    <row r="289" spans="1:7" x14ac:dyDescent="0.25">
      <c r="A289" t="s">
        <v>37</v>
      </c>
      <c r="B289" s="1">
        <v>46174</v>
      </c>
      <c r="C289" t="s">
        <v>283</v>
      </c>
      <c r="D289">
        <v>500</v>
      </c>
      <c r="E289" t="s">
        <v>60</v>
      </c>
      <c r="F289">
        <v>3950</v>
      </c>
      <c r="G289" t="str" cm="1">
        <f t="array" ref="G289">IF(AND(ISNUMBER(SEARCH("UBER",C289)),ISNUMBER(SEARCH("EATS",C289))),"Uber Eats",IF(LEFT(C289,6)="CHECK ","Checks Paid",IF(OR(E289="BILLPAY",ISNUMBER(SEARCH("FRANCHISE TAX",C289)),ISNUMBER(SEARCH("NEXTLINK",C289))),"Personal - House Bills",IF(AND(ISNUMBER(SEARCH("PAYMENT FROM",C289)),ISNUMBER(SEARCH("JOE SAUNDERS",C289))),"Zelle from Joe Saunders",IF(AND(ISNUMBER(SEARCH("PAYMENT TO",C289)),ISNUMBER(SEARCH("JOE SAUNDERS",C289))),"Zelle to Joe Saunders",IF(OR(ISNUMBER(SEARCH("NEW ORLEANS",C289)),ISNUMBER(SEARCH("KENNER",C289)),ISNUMBER(SEARCH("HENRY HOWARD",C289)),ISNUMBER(SEARCH("MISS CLAUDIA",C289))),"Personal Travel - New Orleans",IFERROR(INDEX('Category Rules'!$B$2:$B$194,MATCH(TRUE,ISNUMBER(SEARCH('Category Rules'!$A$2:$A$194,C289)),0)),"")))))))</f>
        <v>Zelle from Joe Saunders</v>
      </c>
    </row>
    <row r="290" spans="1:7" x14ac:dyDescent="0.25">
      <c r="A290" t="s">
        <v>37</v>
      </c>
      <c r="B290" s="1">
        <v>46174</v>
      </c>
      <c r="C290" t="s">
        <v>284</v>
      </c>
      <c r="D290">
        <v>3000</v>
      </c>
      <c r="E290" t="s">
        <v>39</v>
      </c>
      <c r="F290">
        <v>3450</v>
      </c>
      <c r="G290" t="str" cm="1">
        <f t="array" ref="G290">IF(AND(ISNUMBER(SEARCH("UBER",C290)),ISNUMBER(SEARCH("EATS",C290))),"Uber Eats",IF(LEFT(C290,6)="CHECK ","Checks Paid",IF(OR(E290="BILLPAY",ISNUMBER(SEARCH("FRANCHISE TAX",C290)),ISNUMBER(SEARCH("NEXTLINK",C290))),"Personal - House Bills",IF(AND(ISNUMBER(SEARCH("PAYMENT FROM",C290)),ISNUMBER(SEARCH("JOE SAUNDERS",C290))),"Zelle from Joe Saunders",IF(AND(ISNUMBER(SEARCH("PAYMENT TO",C290)),ISNUMBER(SEARCH("JOE SAUNDERS",C290))),"Zelle to Joe Saunders",IF(OR(ISNUMBER(SEARCH("NEW ORLEANS",C290)),ISNUMBER(SEARCH("KENNER",C290)),ISNUMBER(SEARCH("HENRY HOWARD",C290)),ISNUMBER(SEARCH("MISS CLAUDIA",C290))),"Personal Travel - New Orleans",IFERROR(INDEX('Category Rules'!$B$2:$B$194,MATCH(TRUE,ISNUMBER(SEARCH('Category Rules'!$A$2:$A$194,C290)),0)),"")))))))</f>
        <v>Transfer from DWG Capital Group</v>
      </c>
    </row>
    <row r="291" spans="1:7" x14ac:dyDescent="0.25">
      <c r="A291" t="s">
        <v>6</v>
      </c>
      <c r="B291" s="1">
        <v>46171</v>
      </c>
      <c r="C291" t="s">
        <v>285</v>
      </c>
      <c r="D291">
        <v>-30.57</v>
      </c>
      <c r="E291" t="s">
        <v>14</v>
      </c>
      <c r="F291">
        <v>450</v>
      </c>
      <c r="G291" t="str" cm="1">
        <f t="array" ref="G291">IF(AND(ISNUMBER(SEARCH("UBER",C291)),ISNUMBER(SEARCH("EATS",C291))),"Uber Eats",IF(LEFT(C291,6)="CHECK ","Checks Paid",IF(OR(E291="BILLPAY",ISNUMBER(SEARCH("FRANCHISE TAX",C291)),ISNUMBER(SEARCH("NEXTLINK",C291))),"Personal - House Bills",IF(AND(ISNUMBER(SEARCH("PAYMENT FROM",C291)),ISNUMBER(SEARCH("JOE SAUNDERS",C291))),"Zelle from Joe Saunders",IF(AND(ISNUMBER(SEARCH("PAYMENT TO",C291)),ISNUMBER(SEARCH("JOE SAUNDERS",C291))),"Zelle to Joe Saunders",IF(OR(ISNUMBER(SEARCH("NEW ORLEANS",C291)),ISNUMBER(SEARCH("KENNER",C291)),ISNUMBER(SEARCH("HENRY HOWARD",C291)),ISNUMBER(SEARCH("MISS CLAUDIA",C291))),"Personal Travel - New Orleans",IFERROR(INDEX('Category Rules'!$B$2:$B$194,MATCH(TRUE,ISNUMBER(SEARCH('Category Rules'!$A$2:$A$194,C291)),0)),"")))))))</f>
        <v>Personal - Entertainment</v>
      </c>
    </row>
    <row r="292" spans="1:7" x14ac:dyDescent="0.25">
      <c r="A292" t="s">
        <v>6</v>
      </c>
      <c r="B292" s="1">
        <v>46171</v>
      </c>
      <c r="C292" t="s">
        <v>286</v>
      </c>
      <c r="D292">
        <v>-137.37</v>
      </c>
      <c r="E292" t="s">
        <v>14</v>
      </c>
      <c r="F292">
        <v>480.57</v>
      </c>
      <c r="G292" t="str" cm="1">
        <f t="array" ref="G292">IF(AND(ISNUMBER(SEARCH("UBER",C292)),ISNUMBER(SEARCH("EATS",C292))),"Uber Eats",IF(LEFT(C292,6)="CHECK ","Checks Paid",IF(OR(E292="BILLPAY",ISNUMBER(SEARCH("FRANCHISE TAX",C292)),ISNUMBER(SEARCH("NEXTLINK",C292))),"Personal - House Bills",IF(AND(ISNUMBER(SEARCH("PAYMENT FROM",C292)),ISNUMBER(SEARCH("JOE SAUNDERS",C292))),"Zelle from Joe Saunders",IF(AND(ISNUMBER(SEARCH("PAYMENT TO",C292)),ISNUMBER(SEARCH("JOE SAUNDERS",C292))),"Zelle to Joe Saunders",IF(OR(ISNUMBER(SEARCH("NEW ORLEANS",C292)),ISNUMBER(SEARCH("KENNER",C292)),ISNUMBER(SEARCH("HENRY HOWARD",C292)),ISNUMBER(SEARCH("MISS CLAUDIA",C292))),"Personal Travel - New Orleans",IFERROR(INDEX('Category Rules'!$B$2:$B$194,MATCH(TRUE,ISNUMBER(SEARCH('Category Rules'!$A$2:$A$194,C292)),0)),"")))))))</f>
        <v>Amazon</v>
      </c>
    </row>
    <row r="293" spans="1:7" x14ac:dyDescent="0.25">
      <c r="A293" t="s">
        <v>6</v>
      </c>
      <c r="B293" s="1">
        <v>46171</v>
      </c>
      <c r="C293" t="s">
        <v>287</v>
      </c>
      <c r="D293">
        <v>-118.47</v>
      </c>
      <c r="E293" t="s">
        <v>14</v>
      </c>
      <c r="F293">
        <v>617.94000000000005</v>
      </c>
      <c r="G293" t="str" cm="1">
        <f t="array" ref="G293">IF(AND(ISNUMBER(SEARCH("UBER",C293)),ISNUMBER(SEARCH("EATS",C293))),"Uber Eats",IF(LEFT(C293,6)="CHECK ","Checks Paid",IF(OR(E293="BILLPAY",ISNUMBER(SEARCH("FRANCHISE TAX",C293)),ISNUMBER(SEARCH("NEXTLINK",C293))),"Personal - House Bills",IF(AND(ISNUMBER(SEARCH("PAYMENT FROM",C293)),ISNUMBER(SEARCH("JOE SAUNDERS",C293))),"Zelle from Joe Saunders",IF(AND(ISNUMBER(SEARCH("PAYMENT TO",C293)),ISNUMBER(SEARCH("JOE SAUNDERS",C293))),"Zelle to Joe Saunders",IF(OR(ISNUMBER(SEARCH("NEW ORLEANS",C293)),ISNUMBER(SEARCH("KENNER",C293)),ISNUMBER(SEARCH("HENRY HOWARD",C293)),ISNUMBER(SEARCH("MISS CLAUDIA",C293))),"Personal Travel - New Orleans",IFERROR(INDEX('Category Rules'!$B$2:$B$194,MATCH(TRUE,ISNUMBER(SEARCH('Category Rules'!$A$2:$A$194,C293)),0)),"")))))))</f>
        <v>Amazon</v>
      </c>
    </row>
    <row r="294" spans="1:7" x14ac:dyDescent="0.25">
      <c r="A294" t="s">
        <v>6</v>
      </c>
      <c r="B294" s="1">
        <v>46171</v>
      </c>
      <c r="C294" t="s">
        <v>288</v>
      </c>
      <c r="D294">
        <v>-112</v>
      </c>
      <c r="E294" t="s">
        <v>14</v>
      </c>
      <c r="F294">
        <v>736.41</v>
      </c>
      <c r="G294" t="str" cm="1">
        <f t="array" ref="G294">IF(AND(ISNUMBER(SEARCH("UBER",C294)),ISNUMBER(SEARCH("EATS",C294))),"Uber Eats",IF(LEFT(C294,6)="CHECK ","Checks Paid",IF(OR(E294="BILLPAY",ISNUMBER(SEARCH("FRANCHISE TAX",C294)),ISNUMBER(SEARCH("NEXTLINK",C294))),"Personal - House Bills",IF(AND(ISNUMBER(SEARCH("PAYMENT FROM",C294)),ISNUMBER(SEARCH("JOE SAUNDERS",C294))),"Zelle from Joe Saunders",IF(AND(ISNUMBER(SEARCH("PAYMENT TO",C294)),ISNUMBER(SEARCH("JOE SAUNDERS",C294))),"Zelle to Joe Saunders",IF(OR(ISNUMBER(SEARCH("NEW ORLEANS",C294)),ISNUMBER(SEARCH("KENNER",C294)),ISNUMBER(SEARCH("HENRY HOWARD",C294)),ISNUMBER(SEARCH("MISS CLAUDIA",C294))),"Personal Travel - New Orleans",IFERROR(INDEX('Category Rules'!$B$2:$B$194,MATCH(TRUE,ISNUMBER(SEARCH('Category Rules'!$A$2:$A$194,C294)),0)),"")))))))</f>
        <v>Amazon</v>
      </c>
    </row>
    <row r="295" spans="1:7" x14ac:dyDescent="0.25">
      <c r="A295" t="s">
        <v>6</v>
      </c>
      <c r="B295" s="1">
        <v>46171</v>
      </c>
      <c r="C295" t="s">
        <v>289</v>
      </c>
      <c r="D295">
        <v>-5.49</v>
      </c>
      <c r="E295" t="s">
        <v>14</v>
      </c>
      <c r="F295">
        <v>848.41</v>
      </c>
      <c r="G295" t="str" cm="1">
        <f t="array" ref="G295">IF(AND(ISNUMBER(SEARCH("UBER",C295)),ISNUMBER(SEARCH("EATS",C295))),"Uber Eats",IF(LEFT(C295,6)="CHECK ","Checks Paid",IF(OR(E295="BILLPAY",ISNUMBER(SEARCH("FRANCHISE TAX",C295)),ISNUMBER(SEARCH("NEXTLINK",C295))),"Personal - House Bills",IF(AND(ISNUMBER(SEARCH("PAYMENT FROM",C295)),ISNUMBER(SEARCH("JOE SAUNDERS",C295))),"Zelle from Joe Saunders",IF(AND(ISNUMBER(SEARCH("PAYMENT TO",C295)),ISNUMBER(SEARCH("JOE SAUNDERS",C295))),"Zelle to Joe Saunders",IF(OR(ISNUMBER(SEARCH("NEW ORLEANS",C295)),ISNUMBER(SEARCH("KENNER",C295)),ISNUMBER(SEARCH("HENRY HOWARD",C295)),ISNUMBER(SEARCH("MISS CLAUDIA",C295))),"Personal Travel - New Orleans",IFERROR(INDEX('Category Rules'!$B$2:$B$194,MATCH(TRUE,ISNUMBER(SEARCH('Category Rules'!$A$2:$A$194,C295)),0)),"")))))))</f>
        <v>Personal - Health</v>
      </c>
    </row>
    <row r="296" spans="1:7" x14ac:dyDescent="0.25">
      <c r="A296" t="s">
        <v>6</v>
      </c>
      <c r="B296" s="1">
        <v>46171</v>
      </c>
      <c r="C296" t="s">
        <v>290</v>
      </c>
      <c r="D296">
        <v>-21.34</v>
      </c>
      <c r="E296" t="s">
        <v>14</v>
      </c>
      <c r="F296">
        <v>853.9</v>
      </c>
      <c r="G296" t="str" cm="1">
        <f t="array" ref="G296">IF(AND(ISNUMBER(SEARCH("UBER",C296)),ISNUMBER(SEARCH("EATS",C296))),"Uber Eats",IF(LEFT(C296,6)="CHECK ","Checks Paid",IF(OR(E296="BILLPAY",ISNUMBER(SEARCH("FRANCHISE TAX",C296)),ISNUMBER(SEARCH("NEXTLINK",C296))),"Personal - House Bills",IF(AND(ISNUMBER(SEARCH("PAYMENT FROM",C296)),ISNUMBER(SEARCH("JOE SAUNDERS",C296))),"Zelle from Joe Saunders",IF(AND(ISNUMBER(SEARCH("PAYMENT TO",C296)),ISNUMBER(SEARCH("JOE SAUNDERS",C296))),"Zelle to Joe Saunders",IF(OR(ISNUMBER(SEARCH("NEW ORLEANS",C296)),ISNUMBER(SEARCH("KENNER",C296)),ISNUMBER(SEARCH("HENRY HOWARD",C296)),ISNUMBER(SEARCH("MISS CLAUDIA",C296))),"Personal Travel - New Orleans",IFERROR(INDEX('Category Rules'!$B$2:$B$194,MATCH(TRUE,ISNUMBER(SEARCH('Category Rules'!$A$2:$A$194,C296)),0)),"")))))))</f>
        <v>Amazon</v>
      </c>
    </row>
    <row r="297" spans="1:7" x14ac:dyDescent="0.25">
      <c r="A297" t="s">
        <v>6</v>
      </c>
      <c r="B297" s="1">
        <v>46170</v>
      </c>
      <c r="C297" t="s">
        <v>291</v>
      </c>
      <c r="D297">
        <v>-36</v>
      </c>
      <c r="E297" t="s">
        <v>14</v>
      </c>
      <c r="F297">
        <v>875.24</v>
      </c>
      <c r="G297" t="str" cm="1">
        <f t="array" ref="G297">IF(AND(ISNUMBER(SEARCH("UBER",C297)),ISNUMBER(SEARCH("EATS",C297))),"Uber Eats",IF(LEFT(C297,6)="CHECK ","Checks Paid",IF(OR(E297="BILLPAY",ISNUMBER(SEARCH("FRANCHISE TAX",C297)),ISNUMBER(SEARCH("NEXTLINK",C297))),"Personal - House Bills",IF(AND(ISNUMBER(SEARCH("PAYMENT FROM",C297)),ISNUMBER(SEARCH("JOE SAUNDERS",C297))),"Zelle from Joe Saunders",IF(AND(ISNUMBER(SEARCH("PAYMENT TO",C297)),ISNUMBER(SEARCH("JOE SAUNDERS",C297))),"Zelle to Joe Saunders",IF(OR(ISNUMBER(SEARCH("NEW ORLEANS",C297)),ISNUMBER(SEARCH("KENNER",C297)),ISNUMBER(SEARCH("HENRY HOWARD",C297)),ISNUMBER(SEARCH("MISS CLAUDIA",C297))),"Personal Travel - New Orleans",IFERROR(INDEX('Category Rules'!$B$2:$B$194,MATCH(TRUE,ISNUMBER(SEARCH('Category Rules'!$A$2:$A$194,C297)),0)),"")))))))</f>
        <v>Personal - Shopping</v>
      </c>
    </row>
    <row r="298" spans="1:7" x14ac:dyDescent="0.25">
      <c r="A298" t="s">
        <v>6</v>
      </c>
      <c r="B298" s="1">
        <v>46170</v>
      </c>
      <c r="C298" t="s">
        <v>291</v>
      </c>
      <c r="D298">
        <v>-36</v>
      </c>
      <c r="E298" t="s">
        <v>14</v>
      </c>
      <c r="F298">
        <v>911.24</v>
      </c>
      <c r="G298" t="str" cm="1">
        <f t="array" ref="G298">IF(AND(ISNUMBER(SEARCH("UBER",C298)),ISNUMBER(SEARCH("EATS",C298))),"Uber Eats",IF(LEFT(C298,6)="CHECK ","Checks Paid",IF(OR(E298="BILLPAY",ISNUMBER(SEARCH("FRANCHISE TAX",C298)),ISNUMBER(SEARCH("NEXTLINK",C298))),"Personal - House Bills",IF(AND(ISNUMBER(SEARCH("PAYMENT FROM",C298)),ISNUMBER(SEARCH("JOE SAUNDERS",C298))),"Zelle from Joe Saunders",IF(AND(ISNUMBER(SEARCH("PAYMENT TO",C298)),ISNUMBER(SEARCH("JOE SAUNDERS",C298))),"Zelle to Joe Saunders",IF(OR(ISNUMBER(SEARCH("NEW ORLEANS",C298)),ISNUMBER(SEARCH("KENNER",C298)),ISNUMBER(SEARCH("HENRY HOWARD",C298)),ISNUMBER(SEARCH("MISS CLAUDIA",C298))),"Personal Travel - New Orleans",IFERROR(INDEX('Category Rules'!$B$2:$B$194,MATCH(TRUE,ISNUMBER(SEARCH('Category Rules'!$A$2:$A$194,C298)),0)),"")))))))</f>
        <v>Personal - Shopping</v>
      </c>
    </row>
    <row r="299" spans="1:7" x14ac:dyDescent="0.25">
      <c r="A299" t="s">
        <v>6</v>
      </c>
      <c r="B299" s="1">
        <v>46170</v>
      </c>
      <c r="C299" t="s">
        <v>292</v>
      </c>
      <c r="D299">
        <v>-188</v>
      </c>
      <c r="E299" t="s">
        <v>14</v>
      </c>
      <c r="F299">
        <v>947.24</v>
      </c>
      <c r="G299" t="str" cm="1">
        <f t="array" ref="G299">IF(AND(ISNUMBER(SEARCH("UBER",C299)),ISNUMBER(SEARCH("EATS",C299))),"Uber Eats",IF(LEFT(C299,6)="CHECK ","Checks Paid",IF(OR(E299="BILLPAY",ISNUMBER(SEARCH("FRANCHISE TAX",C299)),ISNUMBER(SEARCH("NEXTLINK",C299))),"Personal - House Bills",IF(AND(ISNUMBER(SEARCH("PAYMENT FROM",C299)),ISNUMBER(SEARCH("JOE SAUNDERS",C299))),"Zelle from Joe Saunders",IF(AND(ISNUMBER(SEARCH("PAYMENT TO",C299)),ISNUMBER(SEARCH("JOE SAUNDERS",C299))),"Zelle to Joe Saunders",IF(OR(ISNUMBER(SEARCH("NEW ORLEANS",C299)),ISNUMBER(SEARCH("KENNER",C299)),ISNUMBER(SEARCH("HENRY HOWARD",C299)),ISNUMBER(SEARCH("MISS CLAUDIA",C299))),"Personal Travel - New Orleans",IFERROR(INDEX('Category Rules'!$B$2:$B$194,MATCH(TRUE,ISNUMBER(SEARCH('Category Rules'!$A$2:$A$194,C299)),0)),"")))))))</f>
        <v>Personal - Entertainment</v>
      </c>
    </row>
    <row r="300" spans="1:7" x14ac:dyDescent="0.25">
      <c r="A300" t="s">
        <v>6</v>
      </c>
      <c r="B300" s="1">
        <v>46170</v>
      </c>
      <c r="C300" t="s">
        <v>293</v>
      </c>
      <c r="D300">
        <v>-30</v>
      </c>
      <c r="E300" t="s">
        <v>14</v>
      </c>
      <c r="F300">
        <v>1135.24</v>
      </c>
      <c r="G300" t="str" cm="1">
        <f t="array" ref="G300">IF(AND(ISNUMBER(SEARCH("UBER",C300)),ISNUMBER(SEARCH("EATS",C300))),"Uber Eats",IF(LEFT(C300,6)="CHECK ","Checks Paid",IF(OR(E300="BILLPAY",ISNUMBER(SEARCH("FRANCHISE TAX",C300)),ISNUMBER(SEARCH("NEXTLINK",C300))),"Personal - House Bills",IF(AND(ISNUMBER(SEARCH("PAYMENT FROM",C300)),ISNUMBER(SEARCH("JOE SAUNDERS",C300))),"Zelle from Joe Saunders",IF(AND(ISNUMBER(SEARCH("PAYMENT TO",C300)),ISNUMBER(SEARCH("JOE SAUNDERS",C300))),"Zelle to Joe Saunders",IF(OR(ISNUMBER(SEARCH("NEW ORLEANS",C300)),ISNUMBER(SEARCH("KENNER",C300)),ISNUMBER(SEARCH("HENRY HOWARD",C300)),ISNUMBER(SEARCH("MISS CLAUDIA",C300))),"Personal Travel - New Orleans",IFERROR(INDEX('Category Rules'!$B$2:$B$194,MATCH(TRUE,ISNUMBER(SEARCH('Category Rules'!$A$2:$A$194,C300)),0)),"")))))))</f>
        <v>Personal - Shopping</v>
      </c>
    </row>
    <row r="301" spans="1:7" x14ac:dyDescent="0.25">
      <c r="A301" t="s">
        <v>6</v>
      </c>
      <c r="B301" s="1">
        <v>46170</v>
      </c>
      <c r="C301" t="s">
        <v>294</v>
      </c>
      <c r="D301">
        <v>-20.63</v>
      </c>
      <c r="E301" t="s">
        <v>14</v>
      </c>
      <c r="F301">
        <v>1165.24</v>
      </c>
      <c r="G301" t="str" cm="1">
        <f t="array" ref="G301">IF(AND(ISNUMBER(SEARCH("UBER",C301)),ISNUMBER(SEARCH("EATS",C301))),"Uber Eats",IF(LEFT(C301,6)="CHECK ","Checks Paid",IF(OR(E301="BILLPAY",ISNUMBER(SEARCH("FRANCHISE TAX",C301)),ISNUMBER(SEARCH("NEXTLINK",C301))),"Personal - House Bills",IF(AND(ISNUMBER(SEARCH("PAYMENT FROM",C301)),ISNUMBER(SEARCH("JOE SAUNDERS",C301))),"Zelle from Joe Saunders",IF(AND(ISNUMBER(SEARCH("PAYMENT TO",C301)),ISNUMBER(SEARCH("JOE SAUNDERS",C301))),"Zelle to Joe Saunders",IF(OR(ISNUMBER(SEARCH("NEW ORLEANS",C301)),ISNUMBER(SEARCH("KENNER",C301)),ISNUMBER(SEARCH("HENRY HOWARD",C301)),ISNUMBER(SEARCH("MISS CLAUDIA",C301))),"Personal Travel - New Orleans",IFERROR(INDEX('Category Rules'!$B$2:$B$194,MATCH(TRUE,ISNUMBER(SEARCH('Category Rules'!$A$2:$A$194,C301)),0)),"")))))))</f>
        <v>Personal - Entertainment</v>
      </c>
    </row>
    <row r="302" spans="1:7" x14ac:dyDescent="0.25">
      <c r="A302" t="s">
        <v>6</v>
      </c>
      <c r="B302" s="1">
        <v>46170</v>
      </c>
      <c r="C302" t="s">
        <v>295</v>
      </c>
      <c r="D302">
        <v>-60.22</v>
      </c>
      <c r="E302" t="s">
        <v>14</v>
      </c>
      <c r="F302">
        <v>1185.8699999999999</v>
      </c>
      <c r="G302" t="str" cm="1">
        <f t="array" ref="G302">IF(AND(ISNUMBER(SEARCH("UBER",C302)),ISNUMBER(SEARCH("EATS",C302))),"Uber Eats",IF(LEFT(C302,6)="CHECK ","Checks Paid",IF(OR(E302="BILLPAY",ISNUMBER(SEARCH("FRANCHISE TAX",C302)),ISNUMBER(SEARCH("NEXTLINK",C302))),"Personal - House Bills",IF(AND(ISNUMBER(SEARCH("PAYMENT FROM",C302)),ISNUMBER(SEARCH("JOE SAUNDERS",C302))),"Zelle from Joe Saunders",IF(AND(ISNUMBER(SEARCH("PAYMENT TO",C302)),ISNUMBER(SEARCH("JOE SAUNDERS",C302))),"Zelle to Joe Saunders",IF(OR(ISNUMBER(SEARCH("NEW ORLEANS",C302)),ISNUMBER(SEARCH("KENNER",C302)),ISNUMBER(SEARCH("HENRY HOWARD",C302)),ISNUMBER(SEARCH("MISS CLAUDIA",C302))),"Personal Travel - New Orleans",IFERROR(INDEX('Category Rules'!$B$2:$B$194,MATCH(TRUE,ISNUMBER(SEARCH('Category Rules'!$A$2:$A$194,C302)),0)),"")))))))</f>
        <v>Personal Travel</v>
      </c>
    </row>
    <row r="303" spans="1:7" x14ac:dyDescent="0.25">
      <c r="A303" t="s">
        <v>6</v>
      </c>
      <c r="B303" s="1">
        <v>46170</v>
      </c>
      <c r="C303" t="s">
        <v>296</v>
      </c>
      <c r="D303">
        <v>-507.4</v>
      </c>
      <c r="E303" t="s">
        <v>14</v>
      </c>
      <c r="F303">
        <v>1246.0899999999999</v>
      </c>
      <c r="G303" t="str" cm="1">
        <f t="array" ref="G303">IF(AND(ISNUMBER(SEARCH("UBER",C303)),ISNUMBER(SEARCH("EATS",C303))),"Uber Eats",IF(LEFT(C303,6)="CHECK ","Checks Paid",IF(OR(E303="BILLPAY",ISNUMBER(SEARCH("FRANCHISE TAX",C303)),ISNUMBER(SEARCH("NEXTLINK",C303))),"Personal - House Bills",IF(AND(ISNUMBER(SEARCH("PAYMENT FROM",C303)),ISNUMBER(SEARCH("JOE SAUNDERS",C303))),"Zelle from Joe Saunders",IF(AND(ISNUMBER(SEARCH("PAYMENT TO",C303)),ISNUMBER(SEARCH("JOE SAUNDERS",C303))),"Zelle to Joe Saunders",IF(OR(ISNUMBER(SEARCH("NEW ORLEANS",C303)),ISNUMBER(SEARCH("KENNER",C303)),ISNUMBER(SEARCH("HENRY HOWARD",C303)),ISNUMBER(SEARCH("MISS CLAUDIA",C303))),"Personal Travel - New Orleans",IFERROR(INDEX('Category Rules'!$B$2:$B$194,MATCH(TRUE,ISNUMBER(SEARCH('Category Rules'!$A$2:$A$194,C303)),0)),"")))))))</f>
        <v>Personal Travel</v>
      </c>
    </row>
    <row r="304" spans="1:7" x14ac:dyDescent="0.25">
      <c r="A304" t="s">
        <v>6</v>
      </c>
      <c r="B304" s="1">
        <v>46170</v>
      </c>
      <c r="C304" t="s">
        <v>297</v>
      </c>
      <c r="D304">
        <v>-198.36</v>
      </c>
      <c r="E304" t="s">
        <v>14</v>
      </c>
      <c r="F304">
        <v>1753.49</v>
      </c>
      <c r="G304" t="str" cm="1">
        <f t="array" ref="G304">IF(AND(ISNUMBER(SEARCH("UBER",C304)),ISNUMBER(SEARCH("EATS",C304))),"Uber Eats",IF(LEFT(C304,6)="CHECK ","Checks Paid",IF(OR(E304="BILLPAY",ISNUMBER(SEARCH("FRANCHISE TAX",C304)),ISNUMBER(SEARCH("NEXTLINK",C304))),"Personal - House Bills",IF(AND(ISNUMBER(SEARCH("PAYMENT FROM",C304)),ISNUMBER(SEARCH("JOE SAUNDERS",C304))),"Zelle from Joe Saunders",IF(AND(ISNUMBER(SEARCH("PAYMENT TO",C304)),ISNUMBER(SEARCH("JOE SAUNDERS",C304))),"Zelle to Joe Saunders",IF(OR(ISNUMBER(SEARCH("NEW ORLEANS",C304)),ISNUMBER(SEARCH("KENNER",C304)),ISNUMBER(SEARCH("HENRY HOWARD",C304)),ISNUMBER(SEARCH("MISS CLAUDIA",C304))),"Personal Travel - New Orleans",IFERROR(INDEX('Category Rules'!$B$2:$B$194,MATCH(TRUE,ISNUMBER(SEARCH('Category Rules'!$A$2:$A$194,C304)),0)),"")))))))</f>
        <v>Amazon</v>
      </c>
    </row>
    <row r="305" spans="1:7" x14ac:dyDescent="0.25">
      <c r="A305" t="s">
        <v>6</v>
      </c>
      <c r="B305" s="1">
        <v>46169</v>
      </c>
      <c r="C305" t="s">
        <v>298</v>
      </c>
      <c r="D305">
        <v>-5.99</v>
      </c>
      <c r="E305" t="s">
        <v>14</v>
      </c>
      <c r="F305">
        <v>1951.85</v>
      </c>
      <c r="G305" t="str" cm="1">
        <f t="array" ref="G305">IF(AND(ISNUMBER(SEARCH("UBER",C305)),ISNUMBER(SEARCH("EATS",C305))),"Uber Eats",IF(LEFT(C305,6)="CHECK ","Checks Paid",IF(OR(E305="BILLPAY",ISNUMBER(SEARCH("FRANCHISE TAX",C305)),ISNUMBER(SEARCH("NEXTLINK",C305))),"Personal - House Bills",IF(AND(ISNUMBER(SEARCH("PAYMENT FROM",C305)),ISNUMBER(SEARCH("JOE SAUNDERS",C305))),"Zelle from Joe Saunders",IF(AND(ISNUMBER(SEARCH("PAYMENT TO",C305)),ISNUMBER(SEARCH("JOE SAUNDERS",C305))),"Zelle to Joe Saunders",IF(OR(ISNUMBER(SEARCH("NEW ORLEANS",C305)),ISNUMBER(SEARCH("KENNER",C305)),ISNUMBER(SEARCH("HENRY HOWARD",C305)),ISNUMBER(SEARCH("MISS CLAUDIA",C305))),"Personal Travel - New Orleans",IFERROR(INDEX('Category Rules'!$B$2:$B$194,MATCH(TRUE,ISNUMBER(SEARCH('Category Rules'!$A$2:$A$194,C305)),0)),"")))))))</f>
        <v>Personal - Subscription</v>
      </c>
    </row>
    <row r="306" spans="1:7" x14ac:dyDescent="0.25">
      <c r="A306" t="s">
        <v>6</v>
      </c>
      <c r="B306" s="1">
        <v>46169</v>
      </c>
      <c r="C306" t="s">
        <v>299</v>
      </c>
      <c r="D306">
        <v>-64.489999999999995</v>
      </c>
      <c r="E306" t="s">
        <v>14</v>
      </c>
      <c r="F306">
        <v>1957.84</v>
      </c>
      <c r="G306" t="str" cm="1">
        <f t="array" ref="G306">IF(AND(ISNUMBER(SEARCH("UBER",C306)),ISNUMBER(SEARCH("EATS",C306))),"Uber Eats",IF(LEFT(C306,6)="CHECK ","Checks Paid",IF(OR(E306="BILLPAY",ISNUMBER(SEARCH("FRANCHISE TAX",C306)),ISNUMBER(SEARCH("NEXTLINK",C306))),"Personal - House Bills",IF(AND(ISNUMBER(SEARCH("PAYMENT FROM",C306)),ISNUMBER(SEARCH("JOE SAUNDERS",C306))),"Zelle from Joe Saunders",IF(AND(ISNUMBER(SEARCH("PAYMENT TO",C306)),ISNUMBER(SEARCH("JOE SAUNDERS",C306))),"Zelle to Joe Saunders",IF(OR(ISNUMBER(SEARCH("NEW ORLEANS",C306)),ISNUMBER(SEARCH("KENNER",C306)),ISNUMBER(SEARCH("HENRY HOWARD",C306)),ISNUMBER(SEARCH("MISS CLAUDIA",C306))),"Personal Travel - New Orleans",IFERROR(INDEX('Category Rules'!$B$2:$B$194,MATCH(TRUE,ISNUMBER(SEARCH('Category Rules'!$A$2:$A$194,C306)),0)),"")))))))</f>
        <v>Personal Travel</v>
      </c>
    </row>
    <row r="307" spans="1:7" x14ac:dyDescent="0.25">
      <c r="A307" t="s">
        <v>6</v>
      </c>
      <c r="B307" s="1">
        <v>46169</v>
      </c>
      <c r="C307" t="s">
        <v>299</v>
      </c>
      <c r="D307">
        <v>-64.489999999999995</v>
      </c>
      <c r="E307" t="s">
        <v>14</v>
      </c>
      <c r="F307">
        <v>2022.33</v>
      </c>
      <c r="G307" t="str" cm="1">
        <f t="array" ref="G307">IF(AND(ISNUMBER(SEARCH("UBER",C307)),ISNUMBER(SEARCH("EATS",C307))),"Uber Eats",IF(LEFT(C307,6)="CHECK ","Checks Paid",IF(OR(E307="BILLPAY",ISNUMBER(SEARCH("FRANCHISE TAX",C307)),ISNUMBER(SEARCH("NEXTLINK",C307))),"Personal - House Bills",IF(AND(ISNUMBER(SEARCH("PAYMENT FROM",C307)),ISNUMBER(SEARCH("JOE SAUNDERS",C307))),"Zelle from Joe Saunders",IF(AND(ISNUMBER(SEARCH("PAYMENT TO",C307)),ISNUMBER(SEARCH("JOE SAUNDERS",C307))),"Zelle to Joe Saunders",IF(OR(ISNUMBER(SEARCH("NEW ORLEANS",C307)),ISNUMBER(SEARCH("KENNER",C307)),ISNUMBER(SEARCH("HENRY HOWARD",C307)),ISNUMBER(SEARCH("MISS CLAUDIA",C307))),"Personal Travel - New Orleans",IFERROR(INDEX('Category Rules'!$B$2:$B$194,MATCH(TRUE,ISNUMBER(SEARCH('Category Rules'!$A$2:$A$194,C307)),0)),"")))))))</f>
        <v>Personal Travel</v>
      </c>
    </row>
    <row r="308" spans="1:7" x14ac:dyDescent="0.25">
      <c r="A308" t="s">
        <v>6</v>
      </c>
      <c r="B308" s="1">
        <v>46169</v>
      </c>
      <c r="C308" t="s">
        <v>300</v>
      </c>
      <c r="D308">
        <v>-64.489999999999995</v>
      </c>
      <c r="E308" t="s">
        <v>14</v>
      </c>
      <c r="F308">
        <v>2086.8200000000002</v>
      </c>
      <c r="G308" t="str" cm="1">
        <f t="array" ref="G308">IF(AND(ISNUMBER(SEARCH("UBER",C308)),ISNUMBER(SEARCH("EATS",C308))),"Uber Eats",IF(LEFT(C308,6)="CHECK ","Checks Paid",IF(OR(E308="BILLPAY",ISNUMBER(SEARCH("FRANCHISE TAX",C308)),ISNUMBER(SEARCH("NEXTLINK",C308))),"Personal - House Bills",IF(AND(ISNUMBER(SEARCH("PAYMENT FROM",C308)),ISNUMBER(SEARCH("JOE SAUNDERS",C308))),"Zelle from Joe Saunders",IF(AND(ISNUMBER(SEARCH("PAYMENT TO",C308)),ISNUMBER(SEARCH("JOE SAUNDERS",C308))),"Zelle to Joe Saunders",IF(OR(ISNUMBER(SEARCH("NEW ORLEANS",C308)),ISNUMBER(SEARCH("KENNER",C308)),ISNUMBER(SEARCH("HENRY HOWARD",C308)),ISNUMBER(SEARCH("MISS CLAUDIA",C308))),"Personal Travel - New Orleans",IFERROR(INDEX('Category Rules'!$B$2:$B$194,MATCH(TRUE,ISNUMBER(SEARCH('Category Rules'!$A$2:$A$194,C308)),0)),"")))))))</f>
        <v>Personal Travel</v>
      </c>
    </row>
    <row r="309" spans="1:7" x14ac:dyDescent="0.25">
      <c r="A309" t="s">
        <v>6</v>
      </c>
      <c r="B309" s="1">
        <v>46169</v>
      </c>
      <c r="C309" t="s">
        <v>300</v>
      </c>
      <c r="D309">
        <v>-64.489999999999995</v>
      </c>
      <c r="E309" t="s">
        <v>14</v>
      </c>
      <c r="F309">
        <v>2151.31</v>
      </c>
      <c r="G309" t="str" cm="1">
        <f t="array" ref="G309">IF(AND(ISNUMBER(SEARCH("UBER",C309)),ISNUMBER(SEARCH("EATS",C309))),"Uber Eats",IF(LEFT(C309,6)="CHECK ","Checks Paid",IF(OR(E309="BILLPAY",ISNUMBER(SEARCH("FRANCHISE TAX",C309)),ISNUMBER(SEARCH("NEXTLINK",C309))),"Personal - House Bills",IF(AND(ISNUMBER(SEARCH("PAYMENT FROM",C309)),ISNUMBER(SEARCH("JOE SAUNDERS",C309))),"Zelle from Joe Saunders",IF(AND(ISNUMBER(SEARCH("PAYMENT TO",C309)),ISNUMBER(SEARCH("JOE SAUNDERS",C309))),"Zelle to Joe Saunders",IF(OR(ISNUMBER(SEARCH("NEW ORLEANS",C309)),ISNUMBER(SEARCH("KENNER",C309)),ISNUMBER(SEARCH("HENRY HOWARD",C309)),ISNUMBER(SEARCH("MISS CLAUDIA",C309))),"Personal Travel - New Orleans",IFERROR(INDEX('Category Rules'!$B$2:$B$194,MATCH(TRUE,ISNUMBER(SEARCH('Category Rules'!$A$2:$A$194,C309)),0)),"")))))))</f>
        <v>Personal Travel</v>
      </c>
    </row>
    <row r="310" spans="1:7" x14ac:dyDescent="0.25">
      <c r="A310" t="s">
        <v>6</v>
      </c>
      <c r="B310" s="1">
        <v>46169</v>
      </c>
      <c r="C310" t="s">
        <v>301</v>
      </c>
      <c r="D310">
        <v>-169.4</v>
      </c>
      <c r="E310" t="s">
        <v>14</v>
      </c>
      <c r="F310">
        <v>2215.8000000000002</v>
      </c>
      <c r="G310" t="str" cm="1">
        <f t="array" ref="G310">IF(AND(ISNUMBER(SEARCH("UBER",C310)),ISNUMBER(SEARCH("EATS",C310))),"Uber Eats",IF(LEFT(C310,6)="CHECK ","Checks Paid",IF(OR(E310="BILLPAY",ISNUMBER(SEARCH("FRANCHISE TAX",C310)),ISNUMBER(SEARCH("NEXTLINK",C310))),"Personal - House Bills",IF(AND(ISNUMBER(SEARCH("PAYMENT FROM",C310)),ISNUMBER(SEARCH("JOE SAUNDERS",C310))),"Zelle from Joe Saunders",IF(AND(ISNUMBER(SEARCH("PAYMENT TO",C310)),ISNUMBER(SEARCH("JOE SAUNDERS",C310))),"Zelle to Joe Saunders",IF(OR(ISNUMBER(SEARCH("NEW ORLEANS",C310)),ISNUMBER(SEARCH("KENNER",C310)),ISNUMBER(SEARCH("HENRY HOWARD",C310)),ISNUMBER(SEARCH("MISS CLAUDIA",C310))),"Personal Travel - New Orleans",IFERROR(INDEX('Category Rules'!$B$2:$B$194,MATCH(TRUE,ISNUMBER(SEARCH('Category Rules'!$A$2:$A$194,C310)),0)),"")))))))</f>
        <v>Personal Travel</v>
      </c>
    </row>
    <row r="311" spans="1:7" x14ac:dyDescent="0.25">
      <c r="A311" t="s">
        <v>6</v>
      </c>
      <c r="B311" s="1">
        <v>46169</v>
      </c>
      <c r="C311" t="s">
        <v>301</v>
      </c>
      <c r="D311">
        <v>-169.4</v>
      </c>
      <c r="E311" t="s">
        <v>14</v>
      </c>
      <c r="F311">
        <v>2385.1999999999998</v>
      </c>
      <c r="G311" t="str" cm="1">
        <f t="array" ref="G311">IF(AND(ISNUMBER(SEARCH("UBER",C311)),ISNUMBER(SEARCH("EATS",C311))),"Uber Eats",IF(LEFT(C311,6)="CHECK ","Checks Paid",IF(OR(E311="BILLPAY",ISNUMBER(SEARCH("FRANCHISE TAX",C311)),ISNUMBER(SEARCH("NEXTLINK",C311))),"Personal - House Bills",IF(AND(ISNUMBER(SEARCH("PAYMENT FROM",C311)),ISNUMBER(SEARCH("JOE SAUNDERS",C311))),"Zelle from Joe Saunders",IF(AND(ISNUMBER(SEARCH("PAYMENT TO",C311)),ISNUMBER(SEARCH("JOE SAUNDERS",C311))),"Zelle to Joe Saunders",IF(OR(ISNUMBER(SEARCH("NEW ORLEANS",C311)),ISNUMBER(SEARCH("KENNER",C311)),ISNUMBER(SEARCH("HENRY HOWARD",C311)),ISNUMBER(SEARCH("MISS CLAUDIA",C311))),"Personal Travel - New Orleans",IFERROR(INDEX('Category Rules'!$B$2:$B$194,MATCH(TRUE,ISNUMBER(SEARCH('Category Rules'!$A$2:$A$194,C311)),0)),"")))))))</f>
        <v>Personal Travel</v>
      </c>
    </row>
    <row r="312" spans="1:7" x14ac:dyDescent="0.25">
      <c r="A312" t="s">
        <v>6</v>
      </c>
      <c r="B312" s="1">
        <v>46169</v>
      </c>
      <c r="C312" t="s">
        <v>301</v>
      </c>
      <c r="D312">
        <v>-204.4</v>
      </c>
      <c r="E312" t="s">
        <v>14</v>
      </c>
      <c r="F312">
        <v>2554.6</v>
      </c>
      <c r="G312" t="str" cm="1">
        <f t="array" ref="G312">IF(AND(ISNUMBER(SEARCH("UBER",C312)),ISNUMBER(SEARCH("EATS",C312))),"Uber Eats",IF(LEFT(C312,6)="CHECK ","Checks Paid",IF(OR(E312="BILLPAY",ISNUMBER(SEARCH("FRANCHISE TAX",C312)),ISNUMBER(SEARCH("NEXTLINK",C312))),"Personal - House Bills",IF(AND(ISNUMBER(SEARCH("PAYMENT FROM",C312)),ISNUMBER(SEARCH("JOE SAUNDERS",C312))),"Zelle from Joe Saunders",IF(AND(ISNUMBER(SEARCH("PAYMENT TO",C312)),ISNUMBER(SEARCH("JOE SAUNDERS",C312))),"Zelle to Joe Saunders",IF(OR(ISNUMBER(SEARCH("NEW ORLEANS",C312)),ISNUMBER(SEARCH("KENNER",C312)),ISNUMBER(SEARCH("HENRY HOWARD",C312)),ISNUMBER(SEARCH("MISS CLAUDIA",C312))),"Personal Travel - New Orleans",IFERROR(INDEX('Category Rules'!$B$2:$B$194,MATCH(TRUE,ISNUMBER(SEARCH('Category Rules'!$A$2:$A$194,C312)),0)),"")))))))</f>
        <v>Personal Travel</v>
      </c>
    </row>
    <row r="313" spans="1:7" x14ac:dyDescent="0.25">
      <c r="A313" t="s">
        <v>6</v>
      </c>
      <c r="B313" s="1">
        <v>46169</v>
      </c>
      <c r="C313" t="s">
        <v>301</v>
      </c>
      <c r="D313">
        <v>-204.4</v>
      </c>
      <c r="E313" t="s">
        <v>14</v>
      </c>
      <c r="F313">
        <v>2759</v>
      </c>
      <c r="G313" t="str" cm="1">
        <f t="array" ref="G313">IF(AND(ISNUMBER(SEARCH("UBER",C313)),ISNUMBER(SEARCH("EATS",C313))),"Uber Eats",IF(LEFT(C313,6)="CHECK ","Checks Paid",IF(OR(E313="BILLPAY",ISNUMBER(SEARCH("FRANCHISE TAX",C313)),ISNUMBER(SEARCH("NEXTLINK",C313))),"Personal - House Bills",IF(AND(ISNUMBER(SEARCH("PAYMENT FROM",C313)),ISNUMBER(SEARCH("JOE SAUNDERS",C313))),"Zelle from Joe Saunders",IF(AND(ISNUMBER(SEARCH("PAYMENT TO",C313)),ISNUMBER(SEARCH("JOE SAUNDERS",C313))),"Zelle to Joe Saunders",IF(OR(ISNUMBER(SEARCH("NEW ORLEANS",C313)),ISNUMBER(SEARCH("KENNER",C313)),ISNUMBER(SEARCH("HENRY HOWARD",C313)),ISNUMBER(SEARCH("MISS CLAUDIA",C313))),"Personal Travel - New Orleans",IFERROR(INDEX('Category Rules'!$B$2:$B$194,MATCH(TRUE,ISNUMBER(SEARCH('Category Rules'!$A$2:$A$194,C313)),0)),"")))))))</f>
        <v>Personal Travel</v>
      </c>
    </row>
    <row r="314" spans="1:7" x14ac:dyDescent="0.25">
      <c r="A314" t="s">
        <v>6</v>
      </c>
      <c r="B314" s="1">
        <v>46169</v>
      </c>
      <c r="C314" t="s">
        <v>302</v>
      </c>
      <c r="D314">
        <v>-12.88</v>
      </c>
      <c r="E314" t="s">
        <v>14</v>
      </c>
      <c r="F314">
        <v>2963.4</v>
      </c>
      <c r="G314" t="str" cm="1">
        <f t="array" ref="G314">IF(AND(ISNUMBER(SEARCH("UBER",C314)),ISNUMBER(SEARCH("EATS",C314))),"Uber Eats",IF(LEFT(C314,6)="CHECK ","Checks Paid",IF(OR(E314="BILLPAY",ISNUMBER(SEARCH("FRANCHISE TAX",C314)),ISNUMBER(SEARCH("NEXTLINK",C314))),"Personal - House Bills",IF(AND(ISNUMBER(SEARCH("PAYMENT FROM",C314)),ISNUMBER(SEARCH("JOE SAUNDERS",C314))),"Zelle from Joe Saunders",IF(AND(ISNUMBER(SEARCH("PAYMENT TO",C314)),ISNUMBER(SEARCH("JOE SAUNDERS",C314))),"Zelle to Joe Saunders",IF(OR(ISNUMBER(SEARCH("NEW ORLEANS",C314)),ISNUMBER(SEARCH("KENNER",C314)),ISNUMBER(SEARCH("HENRY HOWARD",C314)),ISNUMBER(SEARCH("MISS CLAUDIA",C314))),"Personal Travel - New Orleans",IFERROR(INDEX('Category Rules'!$B$2:$B$194,MATCH(TRUE,ISNUMBER(SEARCH('Category Rules'!$A$2:$A$194,C314)),0)),"")))))))</f>
        <v>Personal Travel</v>
      </c>
    </row>
    <row r="315" spans="1:7" x14ac:dyDescent="0.25">
      <c r="A315" t="s">
        <v>6</v>
      </c>
      <c r="B315" s="1">
        <v>46169</v>
      </c>
      <c r="C315" t="s">
        <v>303</v>
      </c>
      <c r="D315">
        <v>-6.99</v>
      </c>
      <c r="E315" t="s">
        <v>14</v>
      </c>
      <c r="F315">
        <v>2976.28</v>
      </c>
      <c r="G315" t="str" cm="1">
        <f t="array" ref="G315">IF(AND(ISNUMBER(SEARCH("UBER",C315)),ISNUMBER(SEARCH("EATS",C315))),"Uber Eats",IF(LEFT(C315,6)="CHECK ","Checks Paid",IF(OR(E315="BILLPAY",ISNUMBER(SEARCH("FRANCHISE TAX",C315)),ISNUMBER(SEARCH("NEXTLINK",C315))),"Personal - House Bills",IF(AND(ISNUMBER(SEARCH("PAYMENT FROM",C315)),ISNUMBER(SEARCH("JOE SAUNDERS",C315))),"Zelle from Joe Saunders",IF(AND(ISNUMBER(SEARCH("PAYMENT TO",C315)),ISNUMBER(SEARCH("JOE SAUNDERS",C315))),"Zelle to Joe Saunders",IF(OR(ISNUMBER(SEARCH("NEW ORLEANS",C315)),ISNUMBER(SEARCH("KENNER",C315)),ISNUMBER(SEARCH("HENRY HOWARD",C315)),ISNUMBER(SEARCH("MISS CLAUDIA",C315))),"Personal Travel - New Orleans",IFERROR(INDEX('Category Rules'!$B$2:$B$194,MATCH(TRUE,ISNUMBER(SEARCH('Category Rules'!$A$2:$A$194,C315)),0)),"")))))))</f>
        <v>Amazon</v>
      </c>
    </row>
    <row r="316" spans="1:7" x14ac:dyDescent="0.25">
      <c r="A316" t="s">
        <v>6</v>
      </c>
      <c r="B316" s="1">
        <v>46169</v>
      </c>
      <c r="C316" t="s">
        <v>304</v>
      </c>
      <c r="D316">
        <v>-44</v>
      </c>
      <c r="E316" t="s">
        <v>14</v>
      </c>
      <c r="F316">
        <v>2983.27</v>
      </c>
      <c r="G316" t="str" cm="1">
        <f t="array" ref="G316">IF(AND(ISNUMBER(SEARCH("UBER",C316)),ISNUMBER(SEARCH("EATS",C316))),"Uber Eats",IF(LEFT(C316,6)="CHECK ","Checks Paid",IF(OR(E316="BILLPAY",ISNUMBER(SEARCH("FRANCHISE TAX",C316)),ISNUMBER(SEARCH("NEXTLINK",C316))),"Personal - House Bills",IF(AND(ISNUMBER(SEARCH("PAYMENT FROM",C316)),ISNUMBER(SEARCH("JOE SAUNDERS",C316))),"Zelle from Joe Saunders",IF(AND(ISNUMBER(SEARCH("PAYMENT TO",C316)),ISNUMBER(SEARCH("JOE SAUNDERS",C316))),"Zelle to Joe Saunders",IF(OR(ISNUMBER(SEARCH("NEW ORLEANS",C316)),ISNUMBER(SEARCH("KENNER",C316)),ISNUMBER(SEARCH("HENRY HOWARD",C316)),ISNUMBER(SEARCH("MISS CLAUDIA",C316))),"Personal Travel - New Orleans",IFERROR(INDEX('Category Rules'!$B$2:$B$194,MATCH(TRUE,ISNUMBER(SEARCH('Category Rules'!$A$2:$A$194,C316)),0)),"")))))))</f>
        <v>Personal - Food</v>
      </c>
    </row>
    <row r="317" spans="1:7" x14ac:dyDescent="0.25">
      <c r="A317" t="s">
        <v>6</v>
      </c>
      <c r="B317" s="1">
        <v>46169</v>
      </c>
      <c r="C317" t="s">
        <v>305</v>
      </c>
      <c r="D317">
        <v>-15.37</v>
      </c>
      <c r="E317" t="s">
        <v>14</v>
      </c>
      <c r="F317">
        <v>3027.27</v>
      </c>
      <c r="G317" t="str" cm="1">
        <f t="array" ref="G317">IF(AND(ISNUMBER(SEARCH("UBER",C317)),ISNUMBER(SEARCH("EATS",C317))),"Uber Eats",IF(LEFT(C317,6)="CHECK ","Checks Paid",IF(OR(E317="BILLPAY",ISNUMBER(SEARCH("FRANCHISE TAX",C317)),ISNUMBER(SEARCH("NEXTLINK",C317))),"Personal - House Bills",IF(AND(ISNUMBER(SEARCH("PAYMENT FROM",C317)),ISNUMBER(SEARCH("JOE SAUNDERS",C317))),"Zelle from Joe Saunders",IF(AND(ISNUMBER(SEARCH("PAYMENT TO",C317)),ISNUMBER(SEARCH("JOE SAUNDERS",C317))),"Zelle to Joe Saunders",IF(OR(ISNUMBER(SEARCH("NEW ORLEANS",C317)),ISNUMBER(SEARCH("KENNER",C317)),ISNUMBER(SEARCH("HENRY HOWARD",C317)),ISNUMBER(SEARCH("MISS CLAUDIA",C317))),"Personal Travel - New Orleans",IFERROR(INDEX('Category Rules'!$B$2:$B$194,MATCH(TRUE,ISNUMBER(SEARCH('Category Rules'!$A$2:$A$194,C317)),0)),"")))))))</f>
        <v>Amazon</v>
      </c>
    </row>
    <row r="318" spans="1:7" x14ac:dyDescent="0.25">
      <c r="A318" t="s">
        <v>37</v>
      </c>
      <c r="B318" s="1">
        <v>46169</v>
      </c>
      <c r="C318" t="s">
        <v>306</v>
      </c>
      <c r="D318">
        <v>25</v>
      </c>
      <c r="E318" t="s">
        <v>60</v>
      </c>
      <c r="F318">
        <v>3042.64</v>
      </c>
      <c r="G318" t="str" cm="1">
        <f t="array" ref="G318">IF(AND(ISNUMBER(SEARCH("UBER",C318)),ISNUMBER(SEARCH("EATS",C318))),"Uber Eats",IF(LEFT(C318,6)="CHECK ","Checks Paid",IF(OR(E318="BILLPAY",ISNUMBER(SEARCH("FRANCHISE TAX",C318)),ISNUMBER(SEARCH("NEXTLINK",C318))),"Personal - House Bills",IF(AND(ISNUMBER(SEARCH("PAYMENT FROM",C318)),ISNUMBER(SEARCH("JOE SAUNDERS",C318))),"Zelle from Joe Saunders",IF(AND(ISNUMBER(SEARCH("PAYMENT TO",C318)),ISNUMBER(SEARCH("JOE SAUNDERS",C318))),"Zelle to Joe Saunders",IF(OR(ISNUMBER(SEARCH("NEW ORLEANS",C318)),ISNUMBER(SEARCH("KENNER",C318)),ISNUMBER(SEARCH("HENRY HOWARD",C318)),ISNUMBER(SEARCH("MISS CLAUDIA",C318))),"Personal Travel - New Orleans",IFERROR(INDEX('Category Rules'!$B$2:$B$194,MATCH(TRUE,ISNUMBER(SEARCH('Category Rules'!$A$2:$A$194,C318)),0)),"")))))))</f>
        <v>Zelle from Mary Margaret Trahan</v>
      </c>
    </row>
    <row r="319" spans="1:7" x14ac:dyDescent="0.25">
      <c r="A319" t="s">
        <v>6</v>
      </c>
      <c r="B319" s="1">
        <v>46168</v>
      </c>
      <c r="C319" t="s">
        <v>307</v>
      </c>
      <c r="D319">
        <v>-300</v>
      </c>
      <c r="E319" t="s">
        <v>95</v>
      </c>
      <c r="F319">
        <v>3017.64</v>
      </c>
      <c r="G319" t="str" cm="1">
        <f t="array" ref="G319">IF(AND(ISNUMBER(SEARCH("UBER",C319)),ISNUMBER(SEARCH("EATS",C319))),"Uber Eats",IF(LEFT(C319,6)="CHECK ","Checks Paid",IF(OR(E319="BILLPAY",ISNUMBER(SEARCH("FRANCHISE TAX",C319)),ISNUMBER(SEARCH("NEXTLINK",C319))),"Personal - House Bills",IF(AND(ISNUMBER(SEARCH("PAYMENT FROM",C319)),ISNUMBER(SEARCH("JOE SAUNDERS",C319))),"Zelle from Joe Saunders",IF(AND(ISNUMBER(SEARCH("PAYMENT TO",C319)),ISNUMBER(SEARCH("JOE SAUNDERS",C319))),"Zelle to Joe Saunders",IF(OR(ISNUMBER(SEARCH("NEW ORLEANS",C319)),ISNUMBER(SEARCH("KENNER",C319)),ISNUMBER(SEARCH("HENRY HOWARD",C319)),ISNUMBER(SEARCH("MISS CLAUDIA",C319))),"Personal Travel - New Orleans",IFERROR(INDEX('Category Rules'!$B$2:$B$194,MATCH(TRUE,ISNUMBER(SEARCH('Category Rules'!$A$2:$A$194,C319)),0)),"")))))))</f>
        <v>Personal - House Bills</v>
      </c>
    </row>
    <row r="320" spans="1:7" x14ac:dyDescent="0.25">
      <c r="A320" t="s">
        <v>6</v>
      </c>
      <c r="B320" s="1">
        <v>46168</v>
      </c>
      <c r="C320" t="s">
        <v>308</v>
      </c>
      <c r="D320">
        <v>-120</v>
      </c>
      <c r="E320" t="s">
        <v>95</v>
      </c>
      <c r="F320">
        <v>3317.64</v>
      </c>
      <c r="G320" t="str" cm="1">
        <f t="array" ref="G320">IF(AND(ISNUMBER(SEARCH("UBER",C320)),ISNUMBER(SEARCH("EATS",C320))),"Uber Eats",IF(LEFT(C320,6)="CHECK ","Checks Paid",IF(OR(E320="BILLPAY",ISNUMBER(SEARCH("FRANCHISE TAX",C320)),ISNUMBER(SEARCH("NEXTLINK",C320))),"Personal - House Bills",IF(AND(ISNUMBER(SEARCH("PAYMENT FROM",C320)),ISNUMBER(SEARCH("JOE SAUNDERS",C320))),"Zelle from Joe Saunders",IF(AND(ISNUMBER(SEARCH("PAYMENT TO",C320)),ISNUMBER(SEARCH("JOE SAUNDERS",C320))),"Zelle to Joe Saunders",IF(OR(ISNUMBER(SEARCH("NEW ORLEANS",C320)),ISNUMBER(SEARCH("KENNER",C320)),ISNUMBER(SEARCH("HENRY HOWARD",C320)),ISNUMBER(SEARCH("MISS CLAUDIA",C320))),"Personal Travel - New Orleans",IFERROR(INDEX('Category Rules'!$B$2:$B$194,MATCH(TRUE,ISNUMBER(SEARCH('Category Rules'!$A$2:$A$194,C320)),0)),"")))))))</f>
        <v>Personal - House Bills</v>
      </c>
    </row>
    <row r="321" spans="1:7" x14ac:dyDescent="0.25">
      <c r="A321" t="s">
        <v>6</v>
      </c>
      <c r="B321" s="1">
        <v>46168</v>
      </c>
      <c r="C321" t="s">
        <v>309</v>
      </c>
      <c r="D321">
        <v>-400</v>
      </c>
      <c r="E321" t="s">
        <v>95</v>
      </c>
      <c r="F321">
        <v>3437.64</v>
      </c>
      <c r="G321" t="str" cm="1">
        <f t="array" ref="G321">IF(AND(ISNUMBER(SEARCH("UBER",C321)),ISNUMBER(SEARCH("EATS",C321))),"Uber Eats",IF(LEFT(C321,6)="CHECK ","Checks Paid",IF(OR(E321="BILLPAY",ISNUMBER(SEARCH("FRANCHISE TAX",C321)),ISNUMBER(SEARCH("NEXTLINK",C321))),"Personal - House Bills",IF(AND(ISNUMBER(SEARCH("PAYMENT FROM",C321)),ISNUMBER(SEARCH("JOE SAUNDERS",C321))),"Zelle from Joe Saunders",IF(AND(ISNUMBER(SEARCH("PAYMENT TO",C321)),ISNUMBER(SEARCH("JOE SAUNDERS",C321))),"Zelle to Joe Saunders",IF(OR(ISNUMBER(SEARCH("NEW ORLEANS",C321)),ISNUMBER(SEARCH("KENNER",C321)),ISNUMBER(SEARCH("HENRY HOWARD",C321)),ISNUMBER(SEARCH("MISS CLAUDIA",C321))),"Personal Travel - New Orleans",IFERROR(INDEX('Category Rules'!$B$2:$B$194,MATCH(TRUE,ISNUMBER(SEARCH('Category Rules'!$A$2:$A$194,C321)),0)),"")))))))</f>
        <v>Personal - House Bills</v>
      </c>
    </row>
    <row r="322" spans="1:7" x14ac:dyDescent="0.25">
      <c r="A322" t="s">
        <v>6</v>
      </c>
      <c r="B322" s="1">
        <v>46168</v>
      </c>
      <c r="C322" t="s">
        <v>310</v>
      </c>
      <c r="D322">
        <v>-600</v>
      </c>
      <c r="E322" t="s">
        <v>95</v>
      </c>
      <c r="F322">
        <v>3837.64</v>
      </c>
      <c r="G322" t="str" cm="1">
        <f t="array" ref="G322">IF(AND(ISNUMBER(SEARCH("UBER",C322)),ISNUMBER(SEARCH("EATS",C322))),"Uber Eats",IF(LEFT(C322,6)="CHECK ","Checks Paid",IF(OR(E322="BILLPAY",ISNUMBER(SEARCH("FRANCHISE TAX",C322)),ISNUMBER(SEARCH("NEXTLINK",C322))),"Personal - House Bills",IF(AND(ISNUMBER(SEARCH("PAYMENT FROM",C322)),ISNUMBER(SEARCH("JOE SAUNDERS",C322))),"Zelle from Joe Saunders",IF(AND(ISNUMBER(SEARCH("PAYMENT TO",C322)),ISNUMBER(SEARCH("JOE SAUNDERS",C322))),"Zelle to Joe Saunders",IF(OR(ISNUMBER(SEARCH("NEW ORLEANS",C322)),ISNUMBER(SEARCH("KENNER",C322)),ISNUMBER(SEARCH("HENRY HOWARD",C322)),ISNUMBER(SEARCH("MISS CLAUDIA",C322))),"Personal Travel - New Orleans",IFERROR(INDEX('Category Rules'!$B$2:$B$194,MATCH(TRUE,ISNUMBER(SEARCH('Category Rules'!$A$2:$A$194,C322)),0)),"")))))))</f>
        <v>Personal - House Bills</v>
      </c>
    </row>
    <row r="323" spans="1:7" x14ac:dyDescent="0.25">
      <c r="A323" t="s">
        <v>6</v>
      </c>
      <c r="B323" s="1">
        <v>46168</v>
      </c>
      <c r="C323" t="s">
        <v>311</v>
      </c>
      <c r="D323">
        <v>-15</v>
      </c>
      <c r="E323" t="s">
        <v>14</v>
      </c>
      <c r="F323">
        <v>4437.6400000000003</v>
      </c>
      <c r="G323" t="str" cm="1">
        <f t="array" ref="G323">IF(AND(ISNUMBER(SEARCH("UBER",C323)),ISNUMBER(SEARCH("EATS",C323))),"Uber Eats",IF(LEFT(C323,6)="CHECK ","Checks Paid",IF(OR(E323="BILLPAY",ISNUMBER(SEARCH("FRANCHISE TAX",C323)),ISNUMBER(SEARCH("NEXTLINK",C323))),"Personal - House Bills",IF(AND(ISNUMBER(SEARCH("PAYMENT FROM",C323)),ISNUMBER(SEARCH("JOE SAUNDERS",C323))),"Zelle from Joe Saunders",IF(AND(ISNUMBER(SEARCH("PAYMENT TO",C323)),ISNUMBER(SEARCH("JOE SAUNDERS",C323))),"Zelle to Joe Saunders",IF(OR(ISNUMBER(SEARCH("NEW ORLEANS",C323)),ISNUMBER(SEARCH("KENNER",C323)),ISNUMBER(SEARCH("HENRY HOWARD",C323)),ISNUMBER(SEARCH("MISS CLAUDIA",C323))),"Personal Travel - New Orleans",IFERROR(INDEX('Category Rules'!$B$2:$B$194,MATCH(TRUE,ISNUMBER(SEARCH('Category Rules'!$A$2:$A$194,C323)),0)),"")))))))</f>
        <v>Personal - Subscription</v>
      </c>
    </row>
    <row r="324" spans="1:7" x14ac:dyDescent="0.25">
      <c r="A324" t="s">
        <v>6</v>
      </c>
      <c r="B324" s="1">
        <v>46168</v>
      </c>
      <c r="C324" t="s">
        <v>312</v>
      </c>
      <c r="D324">
        <v>-16.45</v>
      </c>
      <c r="E324" t="s">
        <v>14</v>
      </c>
      <c r="F324">
        <v>4452.6400000000003</v>
      </c>
      <c r="G324" t="str" cm="1">
        <f t="array" ref="G324">IF(AND(ISNUMBER(SEARCH("UBER",C324)),ISNUMBER(SEARCH("EATS",C324))),"Uber Eats",IF(LEFT(C324,6)="CHECK ","Checks Paid",IF(OR(E324="BILLPAY",ISNUMBER(SEARCH("FRANCHISE TAX",C324)),ISNUMBER(SEARCH("NEXTLINK",C324))),"Personal - House Bills",IF(AND(ISNUMBER(SEARCH("PAYMENT FROM",C324)),ISNUMBER(SEARCH("JOE SAUNDERS",C324))),"Zelle from Joe Saunders",IF(AND(ISNUMBER(SEARCH("PAYMENT TO",C324)),ISNUMBER(SEARCH("JOE SAUNDERS",C324))),"Zelle to Joe Saunders",IF(OR(ISNUMBER(SEARCH("NEW ORLEANS",C324)),ISNUMBER(SEARCH("KENNER",C324)),ISNUMBER(SEARCH("HENRY HOWARD",C324)),ISNUMBER(SEARCH("MISS CLAUDIA",C324))),"Personal Travel - New Orleans",IFERROR(INDEX('Category Rules'!$B$2:$B$194,MATCH(TRUE,ISNUMBER(SEARCH('Category Rules'!$A$2:$A$194,C324)),0)),"")))))))</f>
        <v>Amazon</v>
      </c>
    </row>
    <row r="325" spans="1:7" x14ac:dyDescent="0.25">
      <c r="A325" t="s">
        <v>6</v>
      </c>
      <c r="B325" s="1">
        <v>46168</v>
      </c>
      <c r="C325" t="s">
        <v>313</v>
      </c>
      <c r="D325">
        <v>-35.200000000000003</v>
      </c>
      <c r="E325" t="s">
        <v>14</v>
      </c>
      <c r="F325">
        <v>4469.09</v>
      </c>
      <c r="G325" t="str" cm="1">
        <f t="array" ref="G325">IF(AND(ISNUMBER(SEARCH("UBER",C325)),ISNUMBER(SEARCH("EATS",C325))),"Uber Eats",IF(LEFT(C325,6)="CHECK ","Checks Paid",IF(OR(E325="BILLPAY",ISNUMBER(SEARCH("FRANCHISE TAX",C325)),ISNUMBER(SEARCH("NEXTLINK",C325))),"Personal - House Bills",IF(AND(ISNUMBER(SEARCH("PAYMENT FROM",C325)),ISNUMBER(SEARCH("JOE SAUNDERS",C325))),"Zelle from Joe Saunders",IF(AND(ISNUMBER(SEARCH("PAYMENT TO",C325)),ISNUMBER(SEARCH("JOE SAUNDERS",C325))),"Zelle to Joe Saunders",IF(OR(ISNUMBER(SEARCH("NEW ORLEANS",C325)),ISNUMBER(SEARCH("KENNER",C325)),ISNUMBER(SEARCH("HENRY HOWARD",C325)),ISNUMBER(SEARCH("MISS CLAUDIA",C325))),"Personal Travel - New Orleans",IFERROR(INDEX('Category Rules'!$B$2:$B$194,MATCH(TRUE,ISNUMBER(SEARCH('Category Rules'!$A$2:$A$194,C325)),0)),"")))))))</f>
        <v>Amazon</v>
      </c>
    </row>
    <row r="326" spans="1:7" x14ac:dyDescent="0.25">
      <c r="A326" t="s">
        <v>6</v>
      </c>
      <c r="B326" s="1">
        <v>46168</v>
      </c>
      <c r="C326" t="s">
        <v>314</v>
      </c>
      <c r="D326">
        <v>-895.13</v>
      </c>
      <c r="E326" t="s">
        <v>14</v>
      </c>
      <c r="F326">
        <v>4504.29</v>
      </c>
      <c r="G326" t="str" cm="1">
        <f t="array" ref="G326">IF(AND(ISNUMBER(SEARCH("UBER",C326)),ISNUMBER(SEARCH("EATS",C326))),"Uber Eats",IF(LEFT(C326,6)="CHECK ","Checks Paid",IF(OR(E326="BILLPAY",ISNUMBER(SEARCH("FRANCHISE TAX",C326)),ISNUMBER(SEARCH("NEXTLINK",C326))),"Personal - House Bills",IF(AND(ISNUMBER(SEARCH("PAYMENT FROM",C326)),ISNUMBER(SEARCH("JOE SAUNDERS",C326))),"Zelle from Joe Saunders",IF(AND(ISNUMBER(SEARCH("PAYMENT TO",C326)),ISNUMBER(SEARCH("JOE SAUNDERS",C326))),"Zelle to Joe Saunders",IF(OR(ISNUMBER(SEARCH("NEW ORLEANS",C326)),ISNUMBER(SEARCH("KENNER",C326)),ISNUMBER(SEARCH("HENRY HOWARD",C326)),ISNUMBER(SEARCH("MISS CLAUDIA",C326))),"Personal Travel - New Orleans",IFERROR(INDEX('Category Rules'!$B$2:$B$194,MATCH(TRUE,ISNUMBER(SEARCH('Category Rules'!$A$2:$A$194,C326)),0)),"")))))))</f>
        <v>AT&amp;T</v>
      </c>
    </row>
    <row r="327" spans="1:7" x14ac:dyDescent="0.25">
      <c r="A327" t="s">
        <v>6</v>
      </c>
      <c r="B327" s="1">
        <v>46168</v>
      </c>
      <c r="C327" t="s">
        <v>315</v>
      </c>
      <c r="D327">
        <v>-58.55</v>
      </c>
      <c r="E327" t="s">
        <v>14</v>
      </c>
      <c r="F327">
        <v>5399.42</v>
      </c>
      <c r="G327" t="str" cm="1">
        <f t="array" ref="G327">IF(AND(ISNUMBER(SEARCH("UBER",C327)),ISNUMBER(SEARCH("EATS",C327))),"Uber Eats",IF(LEFT(C327,6)="CHECK ","Checks Paid",IF(OR(E327="BILLPAY",ISNUMBER(SEARCH("FRANCHISE TAX",C327)),ISNUMBER(SEARCH("NEXTLINK",C327))),"Personal - House Bills",IF(AND(ISNUMBER(SEARCH("PAYMENT FROM",C327)),ISNUMBER(SEARCH("JOE SAUNDERS",C327))),"Zelle from Joe Saunders",IF(AND(ISNUMBER(SEARCH("PAYMENT TO",C327)),ISNUMBER(SEARCH("JOE SAUNDERS",C327))),"Zelle to Joe Saunders",IF(OR(ISNUMBER(SEARCH("NEW ORLEANS",C327)),ISNUMBER(SEARCH("KENNER",C327)),ISNUMBER(SEARCH("HENRY HOWARD",C327)),ISNUMBER(SEARCH("MISS CLAUDIA",C327))),"Personal Travel - New Orleans",IFERROR(INDEX('Category Rules'!$B$2:$B$194,MATCH(TRUE,ISNUMBER(SEARCH('Category Rules'!$A$2:$A$194,C327)),0)),"")))))))</f>
        <v>Uber Eats</v>
      </c>
    </row>
    <row r="328" spans="1:7" x14ac:dyDescent="0.25">
      <c r="A328" t="s">
        <v>6</v>
      </c>
      <c r="B328" s="1">
        <v>46168</v>
      </c>
      <c r="C328" t="s">
        <v>316</v>
      </c>
      <c r="D328">
        <v>-55.48</v>
      </c>
      <c r="E328" t="s">
        <v>14</v>
      </c>
      <c r="F328">
        <v>5457.97</v>
      </c>
      <c r="G328" t="str" cm="1">
        <f t="array" ref="G328">IF(AND(ISNUMBER(SEARCH("UBER",C328)),ISNUMBER(SEARCH("EATS",C328))),"Uber Eats",IF(LEFT(C328,6)="CHECK ","Checks Paid",IF(OR(E328="BILLPAY",ISNUMBER(SEARCH("FRANCHISE TAX",C328)),ISNUMBER(SEARCH("NEXTLINK",C328))),"Personal - House Bills",IF(AND(ISNUMBER(SEARCH("PAYMENT FROM",C328)),ISNUMBER(SEARCH("JOE SAUNDERS",C328))),"Zelle from Joe Saunders",IF(AND(ISNUMBER(SEARCH("PAYMENT TO",C328)),ISNUMBER(SEARCH("JOE SAUNDERS",C328))),"Zelle to Joe Saunders",IF(OR(ISNUMBER(SEARCH("NEW ORLEANS",C328)),ISNUMBER(SEARCH("KENNER",C328)),ISNUMBER(SEARCH("HENRY HOWARD",C328)),ISNUMBER(SEARCH("MISS CLAUDIA",C328))),"Personal Travel - New Orleans",IFERROR(INDEX('Category Rules'!$B$2:$B$194,MATCH(TRUE,ISNUMBER(SEARCH('Category Rules'!$A$2:$A$194,C328)),0)),"")))))))</f>
        <v>Personal - Entertainment</v>
      </c>
    </row>
    <row r="329" spans="1:7" x14ac:dyDescent="0.25">
      <c r="A329" t="s">
        <v>6</v>
      </c>
      <c r="B329" s="1">
        <v>46168</v>
      </c>
      <c r="C329" t="s">
        <v>317</v>
      </c>
      <c r="D329">
        <v>-10.99</v>
      </c>
      <c r="E329" t="s">
        <v>14</v>
      </c>
      <c r="F329">
        <v>5513.45</v>
      </c>
      <c r="G329" t="str" cm="1">
        <f t="array" ref="G329">IF(AND(ISNUMBER(SEARCH("UBER",C329)),ISNUMBER(SEARCH("EATS",C329))),"Uber Eats",IF(LEFT(C329,6)="CHECK ","Checks Paid",IF(OR(E329="BILLPAY",ISNUMBER(SEARCH("FRANCHISE TAX",C329)),ISNUMBER(SEARCH("NEXTLINK",C329))),"Personal - House Bills",IF(AND(ISNUMBER(SEARCH("PAYMENT FROM",C329)),ISNUMBER(SEARCH("JOE SAUNDERS",C329))),"Zelle from Joe Saunders",IF(AND(ISNUMBER(SEARCH("PAYMENT TO",C329)),ISNUMBER(SEARCH("JOE SAUNDERS",C329))),"Zelle to Joe Saunders",IF(OR(ISNUMBER(SEARCH("NEW ORLEANS",C329)),ISNUMBER(SEARCH("KENNER",C329)),ISNUMBER(SEARCH("HENRY HOWARD",C329)),ISNUMBER(SEARCH("MISS CLAUDIA",C329))),"Personal Travel - New Orleans",IFERROR(INDEX('Category Rules'!$B$2:$B$194,MATCH(TRUE,ISNUMBER(SEARCH('Category Rules'!$A$2:$A$194,C329)),0)),"")))))))</f>
        <v>Apple</v>
      </c>
    </row>
    <row r="330" spans="1:7" x14ac:dyDescent="0.25">
      <c r="A330" t="s">
        <v>6</v>
      </c>
      <c r="B330" s="1">
        <v>46168</v>
      </c>
      <c r="C330" t="s">
        <v>318</v>
      </c>
      <c r="D330">
        <v>-25</v>
      </c>
      <c r="E330" t="s">
        <v>14</v>
      </c>
      <c r="F330">
        <v>5524.44</v>
      </c>
      <c r="G330" t="str" cm="1">
        <f t="array" ref="G330">IF(AND(ISNUMBER(SEARCH("UBER",C330)),ISNUMBER(SEARCH("EATS",C330))),"Uber Eats",IF(LEFT(C330,6)="CHECK ","Checks Paid",IF(OR(E330="BILLPAY",ISNUMBER(SEARCH("FRANCHISE TAX",C330)),ISNUMBER(SEARCH("NEXTLINK",C330))),"Personal - House Bills",IF(AND(ISNUMBER(SEARCH("PAYMENT FROM",C330)),ISNUMBER(SEARCH("JOE SAUNDERS",C330))),"Zelle from Joe Saunders",IF(AND(ISNUMBER(SEARCH("PAYMENT TO",C330)),ISNUMBER(SEARCH("JOE SAUNDERS",C330))),"Zelle to Joe Saunders",IF(OR(ISNUMBER(SEARCH("NEW ORLEANS",C330)),ISNUMBER(SEARCH("KENNER",C330)),ISNUMBER(SEARCH("HENRY HOWARD",C330)),ISNUMBER(SEARCH("MISS CLAUDIA",C330))),"Personal Travel - New Orleans",IFERROR(INDEX('Category Rules'!$B$2:$B$194,MATCH(TRUE,ISNUMBER(SEARCH('Category Rules'!$A$2:$A$194,C330)),0)),"")))))))</f>
        <v>Donation</v>
      </c>
    </row>
    <row r="331" spans="1:7" x14ac:dyDescent="0.25">
      <c r="A331" t="s">
        <v>6</v>
      </c>
      <c r="B331" s="1">
        <v>46168</v>
      </c>
      <c r="C331" t="s">
        <v>319</v>
      </c>
      <c r="D331">
        <v>-334.22</v>
      </c>
      <c r="E331" t="s">
        <v>14</v>
      </c>
      <c r="F331">
        <v>5549.44</v>
      </c>
      <c r="G331" t="str" cm="1">
        <f t="array" ref="G331">IF(AND(ISNUMBER(SEARCH("UBER",C331)),ISNUMBER(SEARCH("EATS",C331))),"Uber Eats",IF(LEFT(C331,6)="CHECK ","Checks Paid",IF(OR(E331="BILLPAY",ISNUMBER(SEARCH("FRANCHISE TAX",C331)),ISNUMBER(SEARCH("NEXTLINK",C331))),"Personal - House Bills",IF(AND(ISNUMBER(SEARCH("PAYMENT FROM",C331)),ISNUMBER(SEARCH("JOE SAUNDERS",C331))),"Zelle from Joe Saunders",IF(AND(ISNUMBER(SEARCH("PAYMENT TO",C331)),ISNUMBER(SEARCH("JOE SAUNDERS",C331))),"Zelle to Joe Saunders",IF(OR(ISNUMBER(SEARCH("NEW ORLEANS",C331)),ISNUMBER(SEARCH("KENNER",C331)),ISNUMBER(SEARCH("HENRY HOWARD",C331)),ISNUMBER(SEARCH("MISS CLAUDIA",C331))),"Personal Travel - New Orleans",IFERROR(INDEX('Category Rules'!$B$2:$B$194,MATCH(TRUE,ISNUMBER(SEARCH('Category Rules'!$A$2:$A$194,C331)),0)),"")))))))</f>
        <v>Personal - Shopping</v>
      </c>
    </row>
    <row r="332" spans="1:7" x14ac:dyDescent="0.25">
      <c r="A332" t="s">
        <v>6</v>
      </c>
      <c r="B332" s="1">
        <v>46168</v>
      </c>
      <c r="C332" t="s">
        <v>320</v>
      </c>
      <c r="D332">
        <v>-73.95</v>
      </c>
      <c r="E332" t="s">
        <v>14</v>
      </c>
      <c r="F332">
        <v>5883.66</v>
      </c>
      <c r="G332" t="str" cm="1">
        <f t="array" ref="G332">IF(AND(ISNUMBER(SEARCH("UBER",C332)),ISNUMBER(SEARCH("EATS",C332))),"Uber Eats",IF(LEFT(C332,6)="CHECK ","Checks Paid",IF(OR(E332="BILLPAY",ISNUMBER(SEARCH("FRANCHISE TAX",C332)),ISNUMBER(SEARCH("NEXTLINK",C332))),"Personal - House Bills",IF(AND(ISNUMBER(SEARCH("PAYMENT FROM",C332)),ISNUMBER(SEARCH("JOE SAUNDERS",C332))),"Zelle from Joe Saunders",IF(AND(ISNUMBER(SEARCH("PAYMENT TO",C332)),ISNUMBER(SEARCH("JOE SAUNDERS",C332))),"Zelle to Joe Saunders",IF(OR(ISNUMBER(SEARCH("NEW ORLEANS",C332)),ISNUMBER(SEARCH("KENNER",C332)),ISNUMBER(SEARCH("HENRY HOWARD",C332)),ISNUMBER(SEARCH("MISS CLAUDIA",C332))),"Personal Travel - New Orleans",IFERROR(INDEX('Category Rules'!$B$2:$B$194,MATCH(TRUE,ISNUMBER(SEARCH('Category Rules'!$A$2:$A$194,C332)),0)),"")))))))</f>
        <v>Personal - Subscription</v>
      </c>
    </row>
    <row r="333" spans="1:7" x14ac:dyDescent="0.25">
      <c r="A333" t="s">
        <v>6</v>
      </c>
      <c r="B333" s="1">
        <v>46168</v>
      </c>
      <c r="C333" t="s">
        <v>321</v>
      </c>
      <c r="D333">
        <v>-268.45999999999998</v>
      </c>
      <c r="E333" t="s">
        <v>14</v>
      </c>
      <c r="F333">
        <v>5957.61</v>
      </c>
      <c r="G333" t="str" cm="1">
        <f t="array" ref="G333">IF(AND(ISNUMBER(SEARCH("UBER",C333)),ISNUMBER(SEARCH("EATS",C333))),"Uber Eats",IF(LEFT(C333,6)="CHECK ","Checks Paid",IF(OR(E333="BILLPAY",ISNUMBER(SEARCH("FRANCHISE TAX",C333)),ISNUMBER(SEARCH("NEXTLINK",C333))),"Personal - House Bills",IF(AND(ISNUMBER(SEARCH("PAYMENT FROM",C333)),ISNUMBER(SEARCH("JOE SAUNDERS",C333))),"Zelle from Joe Saunders",IF(AND(ISNUMBER(SEARCH("PAYMENT TO",C333)),ISNUMBER(SEARCH("JOE SAUNDERS",C333))),"Zelle to Joe Saunders",IF(OR(ISNUMBER(SEARCH("NEW ORLEANS",C333)),ISNUMBER(SEARCH("KENNER",C333)),ISNUMBER(SEARCH("HENRY HOWARD",C333)),ISNUMBER(SEARCH("MISS CLAUDIA",C333))),"Personal Travel - New Orleans",IFERROR(INDEX('Category Rules'!$B$2:$B$194,MATCH(TRUE,ISNUMBER(SEARCH('Category Rules'!$A$2:$A$194,C333)),0)),"")))))))</f>
        <v>Personal - Clothing</v>
      </c>
    </row>
    <row r="334" spans="1:7" x14ac:dyDescent="0.25">
      <c r="A334" t="s">
        <v>37</v>
      </c>
      <c r="B334" s="1">
        <v>46168</v>
      </c>
      <c r="C334" t="s">
        <v>322</v>
      </c>
      <c r="D334">
        <v>50</v>
      </c>
      <c r="E334" t="s">
        <v>60</v>
      </c>
      <c r="F334">
        <v>6226.07</v>
      </c>
      <c r="G334" t="str" cm="1">
        <f t="array" ref="G334">IF(AND(ISNUMBER(SEARCH("UBER",C334)),ISNUMBER(SEARCH("EATS",C334))),"Uber Eats",IF(LEFT(C334,6)="CHECK ","Checks Paid",IF(OR(E334="BILLPAY",ISNUMBER(SEARCH("FRANCHISE TAX",C334)),ISNUMBER(SEARCH("NEXTLINK",C334))),"Personal - House Bills",IF(AND(ISNUMBER(SEARCH("PAYMENT FROM",C334)),ISNUMBER(SEARCH("JOE SAUNDERS",C334))),"Zelle from Joe Saunders",IF(AND(ISNUMBER(SEARCH("PAYMENT TO",C334)),ISNUMBER(SEARCH("JOE SAUNDERS",C334))),"Zelle to Joe Saunders",IF(OR(ISNUMBER(SEARCH("NEW ORLEANS",C334)),ISNUMBER(SEARCH("KENNER",C334)),ISNUMBER(SEARCH("HENRY HOWARD",C334)),ISNUMBER(SEARCH("MISS CLAUDIA",C334))),"Personal Travel - New Orleans",IFERROR(INDEX('Category Rules'!$B$2:$B$194,MATCH(TRUE,ISNUMBER(SEARCH('Category Rules'!$A$2:$A$194,C334)),0)),"")))))))</f>
        <v>Zelle from Mary Margaret Trahan</v>
      </c>
    </row>
    <row r="335" spans="1:7" x14ac:dyDescent="0.25">
      <c r="A335" t="s">
        <v>37</v>
      </c>
      <c r="B335" s="1">
        <v>46168</v>
      </c>
      <c r="C335" t="s">
        <v>323</v>
      </c>
      <c r="D335">
        <v>1000</v>
      </c>
      <c r="E335" t="s">
        <v>39</v>
      </c>
      <c r="F335">
        <v>6176.07</v>
      </c>
      <c r="G335" t="str" cm="1">
        <f t="array" ref="G335">IF(AND(ISNUMBER(SEARCH("UBER",C335)),ISNUMBER(SEARCH("EATS",C335))),"Uber Eats",IF(LEFT(C335,6)="CHECK ","Checks Paid",IF(OR(E335="BILLPAY",ISNUMBER(SEARCH("FRANCHISE TAX",C335)),ISNUMBER(SEARCH("NEXTLINK",C335))),"Personal - House Bills",IF(AND(ISNUMBER(SEARCH("PAYMENT FROM",C335)),ISNUMBER(SEARCH("JOE SAUNDERS",C335))),"Zelle from Joe Saunders",IF(AND(ISNUMBER(SEARCH("PAYMENT TO",C335)),ISNUMBER(SEARCH("JOE SAUNDERS",C335))),"Zelle to Joe Saunders",IF(OR(ISNUMBER(SEARCH("NEW ORLEANS",C335)),ISNUMBER(SEARCH("KENNER",C335)),ISNUMBER(SEARCH("HENRY HOWARD",C335)),ISNUMBER(SEARCH("MISS CLAUDIA",C335))),"Personal Travel - New Orleans",IFERROR(INDEX('Category Rules'!$B$2:$B$194,MATCH(TRUE,ISNUMBER(SEARCH('Category Rules'!$A$2:$A$194,C335)),0)),"")))))))</f>
        <v>Transfer from DWG Capital Group</v>
      </c>
    </row>
    <row r="336" spans="1:7" x14ac:dyDescent="0.25">
      <c r="A336" t="s">
        <v>37</v>
      </c>
      <c r="B336" s="1">
        <v>46168</v>
      </c>
      <c r="C336" t="s">
        <v>324</v>
      </c>
      <c r="D336">
        <v>3000</v>
      </c>
      <c r="E336" t="s">
        <v>39</v>
      </c>
      <c r="F336">
        <v>5176.07</v>
      </c>
      <c r="G336" t="str" cm="1">
        <f t="array" ref="G336">IF(AND(ISNUMBER(SEARCH("UBER",C336)),ISNUMBER(SEARCH("EATS",C336))),"Uber Eats",IF(LEFT(C336,6)="CHECK ","Checks Paid",IF(OR(E336="BILLPAY",ISNUMBER(SEARCH("FRANCHISE TAX",C336)),ISNUMBER(SEARCH("NEXTLINK",C336))),"Personal - House Bills",IF(AND(ISNUMBER(SEARCH("PAYMENT FROM",C336)),ISNUMBER(SEARCH("JOE SAUNDERS",C336))),"Zelle from Joe Saunders",IF(AND(ISNUMBER(SEARCH("PAYMENT TO",C336)),ISNUMBER(SEARCH("JOE SAUNDERS",C336))),"Zelle to Joe Saunders",IF(OR(ISNUMBER(SEARCH("NEW ORLEANS",C336)),ISNUMBER(SEARCH("KENNER",C336)),ISNUMBER(SEARCH("HENRY HOWARD",C336)),ISNUMBER(SEARCH("MISS CLAUDIA",C336))),"Personal Travel - New Orleans",IFERROR(INDEX('Category Rules'!$B$2:$B$194,MATCH(TRUE,ISNUMBER(SEARCH('Category Rules'!$A$2:$A$194,C336)),0)),"")))))))</f>
        <v>Transfer from DWG Capital Group</v>
      </c>
    </row>
    <row r="337" spans="1:7" x14ac:dyDescent="0.25">
      <c r="A337" t="s">
        <v>6</v>
      </c>
      <c r="B337" s="1">
        <v>46164</v>
      </c>
      <c r="C337" t="s">
        <v>325</v>
      </c>
      <c r="D337">
        <v>-193.24</v>
      </c>
      <c r="E337" t="s">
        <v>14</v>
      </c>
      <c r="F337">
        <v>2176.0700000000002</v>
      </c>
      <c r="G337" t="str" cm="1">
        <f t="array" ref="G337">IF(AND(ISNUMBER(SEARCH("UBER",C337)),ISNUMBER(SEARCH("EATS",C337))),"Uber Eats",IF(LEFT(C337,6)="CHECK ","Checks Paid",IF(OR(E337="BILLPAY",ISNUMBER(SEARCH("FRANCHISE TAX",C337)),ISNUMBER(SEARCH("NEXTLINK",C337))),"Personal - House Bills",IF(AND(ISNUMBER(SEARCH("PAYMENT FROM",C337)),ISNUMBER(SEARCH("JOE SAUNDERS",C337))),"Zelle from Joe Saunders",IF(AND(ISNUMBER(SEARCH("PAYMENT TO",C337)),ISNUMBER(SEARCH("JOE SAUNDERS",C337))),"Zelle to Joe Saunders",IF(OR(ISNUMBER(SEARCH("NEW ORLEANS",C337)),ISNUMBER(SEARCH("KENNER",C337)),ISNUMBER(SEARCH("HENRY HOWARD",C337)),ISNUMBER(SEARCH("MISS CLAUDIA",C337))),"Personal Travel - New Orleans",IFERROR(INDEX('Category Rules'!$B$2:$B$194,MATCH(TRUE,ISNUMBER(SEARCH('Category Rules'!$A$2:$A$194,C337)),0)),"")))))))</f>
        <v>Personal - Car</v>
      </c>
    </row>
    <row r="338" spans="1:7" x14ac:dyDescent="0.25">
      <c r="A338" t="s">
        <v>6</v>
      </c>
      <c r="B338" s="1">
        <v>46164</v>
      </c>
      <c r="C338" t="s">
        <v>326</v>
      </c>
      <c r="D338">
        <v>-30</v>
      </c>
      <c r="E338" t="s">
        <v>14</v>
      </c>
      <c r="F338">
        <v>2369.31</v>
      </c>
      <c r="G338" t="str" cm="1">
        <f t="array" ref="G338">IF(AND(ISNUMBER(SEARCH("UBER",C338)),ISNUMBER(SEARCH("EATS",C338))),"Uber Eats",IF(LEFT(C338,6)="CHECK ","Checks Paid",IF(OR(E338="BILLPAY",ISNUMBER(SEARCH("FRANCHISE TAX",C338)),ISNUMBER(SEARCH("NEXTLINK",C338))),"Personal - House Bills",IF(AND(ISNUMBER(SEARCH("PAYMENT FROM",C338)),ISNUMBER(SEARCH("JOE SAUNDERS",C338))),"Zelle from Joe Saunders",IF(AND(ISNUMBER(SEARCH("PAYMENT TO",C338)),ISNUMBER(SEARCH("JOE SAUNDERS",C338))),"Zelle to Joe Saunders",IF(OR(ISNUMBER(SEARCH("NEW ORLEANS",C338)),ISNUMBER(SEARCH("KENNER",C338)),ISNUMBER(SEARCH("HENRY HOWARD",C338)),ISNUMBER(SEARCH("MISS CLAUDIA",C338))),"Personal Travel - New Orleans",IFERROR(INDEX('Category Rules'!$B$2:$B$194,MATCH(TRUE,ISNUMBER(SEARCH('Category Rules'!$A$2:$A$194,C338)),0)),"")))))))</f>
        <v>Amazon</v>
      </c>
    </row>
    <row r="339" spans="1:7" x14ac:dyDescent="0.25">
      <c r="A339" t="s">
        <v>6</v>
      </c>
      <c r="B339" s="1">
        <v>46164</v>
      </c>
      <c r="C339" t="s">
        <v>327</v>
      </c>
      <c r="D339">
        <v>-740.03</v>
      </c>
      <c r="E339" t="s">
        <v>14</v>
      </c>
      <c r="F339">
        <v>2399.31</v>
      </c>
      <c r="G339" t="str" cm="1">
        <f t="array" ref="G339">IF(AND(ISNUMBER(SEARCH("UBER",C339)),ISNUMBER(SEARCH("EATS",C339))),"Uber Eats",IF(LEFT(C339,6)="CHECK ","Checks Paid",IF(OR(E339="BILLPAY",ISNUMBER(SEARCH("FRANCHISE TAX",C339)),ISNUMBER(SEARCH("NEXTLINK",C339))),"Personal - House Bills",IF(AND(ISNUMBER(SEARCH("PAYMENT FROM",C339)),ISNUMBER(SEARCH("JOE SAUNDERS",C339))),"Zelle from Joe Saunders",IF(AND(ISNUMBER(SEARCH("PAYMENT TO",C339)),ISNUMBER(SEARCH("JOE SAUNDERS",C339))),"Zelle to Joe Saunders",IF(OR(ISNUMBER(SEARCH("NEW ORLEANS",C339)),ISNUMBER(SEARCH("KENNER",C339)),ISNUMBER(SEARCH("HENRY HOWARD",C339)),ISNUMBER(SEARCH("MISS CLAUDIA",C339))),"Personal Travel - New Orleans",IFERROR(INDEX('Category Rules'!$B$2:$B$194,MATCH(TRUE,ISNUMBER(SEARCH('Category Rules'!$A$2:$A$194,C339)),0)),"")))))))</f>
        <v>Personal - Clothing</v>
      </c>
    </row>
    <row r="340" spans="1:7" x14ac:dyDescent="0.25">
      <c r="A340" t="s">
        <v>6</v>
      </c>
      <c r="B340" s="1">
        <v>46164</v>
      </c>
      <c r="C340" t="s">
        <v>328</v>
      </c>
      <c r="D340">
        <v>-636.44000000000005</v>
      </c>
      <c r="E340" t="s">
        <v>14</v>
      </c>
      <c r="F340">
        <v>3139.34</v>
      </c>
      <c r="G340" t="str" cm="1">
        <f t="array" ref="G340">IF(AND(ISNUMBER(SEARCH("UBER",C340)),ISNUMBER(SEARCH("EATS",C340))),"Uber Eats",IF(LEFT(C340,6)="CHECK ","Checks Paid",IF(OR(E340="BILLPAY",ISNUMBER(SEARCH("FRANCHISE TAX",C340)),ISNUMBER(SEARCH("NEXTLINK",C340))),"Personal - House Bills",IF(AND(ISNUMBER(SEARCH("PAYMENT FROM",C340)),ISNUMBER(SEARCH("JOE SAUNDERS",C340))),"Zelle from Joe Saunders",IF(AND(ISNUMBER(SEARCH("PAYMENT TO",C340)),ISNUMBER(SEARCH("JOE SAUNDERS",C340))),"Zelle to Joe Saunders",IF(OR(ISNUMBER(SEARCH("NEW ORLEANS",C340)),ISNUMBER(SEARCH("KENNER",C340)),ISNUMBER(SEARCH("HENRY HOWARD",C340)),ISNUMBER(SEARCH("MISS CLAUDIA",C340))),"Personal Travel - New Orleans",IFERROR(INDEX('Category Rules'!$B$2:$B$194,MATCH(TRUE,ISNUMBER(SEARCH('Category Rules'!$A$2:$A$194,C340)),0)),"")))))))</f>
        <v>Personal - Clothing</v>
      </c>
    </row>
    <row r="341" spans="1:7" x14ac:dyDescent="0.25">
      <c r="A341" t="s">
        <v>6</v>
      </c>
      <c r="B341" s="1">
        <v>46164</v>
      </c>
      <c r="C341" t="s">
        <v>329</v>
      </c>
      <c r="D341">
        <v>-238.06</v>
      </c>
      <c r="E341" t="s">
        <v>14</v>
      </c>
      <c r="F341">
        <v>3775.78</v>
      </c>
      <c r="G341" t="str" cm="1">
        <f t="array" ref="G341">IF(AND(ISNUMBER(SEARCH("UBER",C341)),ISNUMBER(SEARCH("EATS",C341))),"Uber Eats",IF(LEFT(C341,6)="CHECK ","Checks Paid",IF(OR(E341="BILLPAY",ISNUMBER(SEARCH("FRANCHISE TAX",C341)),ISNUMBER(SEARCH("NEXTLINK",C341))),"Personal - House Bills",IF(AND(ISNUMBER(SEARCH("PAYMENT FROM",C341)),ISNUMBER(SEARCH("JOE SAUNDERS",C341))),"Zelle from Joe Saunders",IF(AND(ISNUMBER(SEARCH("PAYMENT TO",C341)),ISNUMBER(SEARCH("JOE SAUNDERS",C341))),"Zelle to Joe Saunders",IF(OR(ISNUMBER(SEARCH("NEW ORLEANS",C341)),ISNUMBER(SEARCH("KENNER",C341)),ISNUMBER(SEARCH("HENRY HOWARD",C341)),ISNUMBER(SEARCH("MISS CLAUDIA",C341))),"Personal Travel - New Orleans",IFERROR(INDEX('Category Rules'!$B$2:$B$194,MATCH(TRUE,ISNUMBER(SEARCH('Category Rules'!$A$2:$A$194,C341)),0)),"")))))))</f>
        <v>Personal - House Bills</v>
      </c>
    </row>
    <row r="342" spans="1:7" x14ac:dyDescent="0.25">
      <c r="A342" t="s">
        <v>6</v>
      </c>
      <c r="B342" s="1">
        <v>46163</v>
      </c>
      <c r="C342" t="s">
        <v>330</v>
      </c>
      <c r="D342">
        <v>-212.79</v>
      </c>
      <c r="E342" t="s">
        <v>14</v>
      </c>
      <c r="F342">
        <v>4013.84</v>
      </c>
      <c r="G342" t="str" cm="1">
        <f t="array" ref="G342">IF(AND(ISNUMBER(SEARCH("UBER",C342)),ISNUMBER(SEARCH("EATS",C342))),"Uber Eats",IF(LEFT(C342,6)="CHECK ","Checks Paid",IF(OR(E342="BILLPAY",ISNUMBER(SEARCH("FRANCHISE TAX",C342)),ISNUMBER(SEARCH("NEXTLINK",C342))),"Personal - House Bills",IF(AND(ISNUMBER(SEARCH("PAYMENT FROM",C342)),ISNUMBER(SEARCH("JOE SAUNDERS",C342))),"Zelle from Joe Saunders",IF(AND(ISNUMBER(SEARCH("PAYMENT TO",C342)),ISNUMBER(SEARCH("JOE SAUNDERS",C342))),"Zelle to Joe Saunders",IF(OR(ISNUMBER(SEARCH("NEW ORLEANS",C342)),ISNUMBER(SEARCH("KENNER",C342)),ISNUMBER(SEARCH("HENRY HOWARD",C342)),ISNUMBER(SEARCH("MISS CLAUDIA",C342))),"Personal Travel - New Orleans",IFERROR(INDEX('Category Rules'!$B$2:$B$194,MATCH(TRUE,ISNUMBER(SEARCH('Category Rules'!$A$2:$A$194,C342)),0)),"")))))))</f>
        <v>Personal - Food</v>
      </c>
    </row>
    <row r="343" spans="1:7" x14ac:dyDescent="0.25">
      <c r="A343" t="s">
        <v>6</v>
      </c>
      <c r="B343" s="1">
        <v>46163</v>
      </c>
      <c r="C343" t="s">
        <v>331</v>
      </c>
      <c r="D343">
        <v>-210.3</v>
      </c>
      <c r="E343" t="s">
        <v>14</v>
      </c>
      <c r="F343">
        <v>4226.63</v>
      </c>
      <c r="G343" t="str" cm="1">
        <f t="array" ref="G343">IF(AND(ISNUMBER(SEARCH("UBER",C343)),ISNUMBER(SEARCH("EATS",C343))),"Uber Eats",IF(LEFT(C343,6)="CHECK ","Checks Paid",IF(OR(E343="BILLPAY",ISNUMBER(SEARCH("FRANCHISE TAX",C343)),ISNUMBER(SEARCH("NEXTLINK",C343))),"Personal - House Bills",IF(AND(ISNUMBER(SEARCH("PAYMENT FROM",C343)),ISNUMBER(SEARCH("JOE SAUNDERS",C343))),"Zelle from Joe Saunders",IF(AND(ISNUMBER(SEARCH("PAYMENT TO",C343)),ISNUMBER(SEARCH("JOE SAUNDERS",C343))),"Zelle to Joe Saunders",IF(OR(ISNUMBER(SEARCH("NEW ORLEANS",C343)),ISNUMBER(SEARCH("KENNER",C343)),ISNUMBER(SEARCH("HENRY HOWARD",C343)),ISNUMBER(SEARCH("MISS CLAUDIA",C343))),"Personal Travel - New Orleans",IFERROR(INDEX('Category Rules'!$B$2:$B$194,MATCH(TRUE,ISNUMBER(SEARCH('Category Rules'!$A$2:$A$194,C343)),0)),"")))))))</f>
        <v>Amazon</v>
      </c>
    </row>
    <row r="344" spans="1:7" x14ac:dyDescent="0.25">
      <c r="A344" t="s">
        <v>6</v>
      </c>
      <c r="B344" s="1">
        <v>46163</v>
      </c>
      <c r="C344" t="s">
        <v>332</v>
      </c>
      <c r="D344">
        <v>-468.96</v>
      </c>
      <c r="E344" t="s">
        <v>14</v>
      </c>
      <c r="F344">
        <v>4436.93</v>
      </c>
      <c r="G344" t="str" cm="1">
        <f t="array" ref="G344">IF(AND(ISNUMBER(SEARCH("UBER",C344)),ISNUMBER(SEARCH("EATS",C344))),"Uber Eats",IF(LEFT(C344,6)="CHECK ","Checks Paid",IF(OR(E344="BILLPAY",ISNUMBER(SEARCH("FRANCHISE TAX",C344)),ISNUMBER(SEARCH("NEXTLINK",C344))),"Personal - House Bills",IF(AND(ISNUMBER(SEARCH("PAYMENT FROM",C344)),ISNUMBER(SEARCH("JOE SAUNDERS",C344))),"Zelle from Joe Saunders",IF(AND(ISNUMBER(SEARCH("PAYMENT TO",C344)),ISNUMBER(SEARCH("JOE SAUNDERS",C344))),"Zelle to Joe Saunders",IF(OR(ISNUMBER(SEARCH("NEW ORLEANS",C344)),ISNUMBER(SEARCH("KENNER",C344)),ISNUMBER(SEARCH("HENRY HOWARD",C344)),ISNUMBER(SEARCH("MISS CLAUDIA",C344))),"Personal Travel - New Orleans",IFERROR(INDEX('Category Rules'!$B$2:$B$194,MATCH(TRUE,ISNUMBER(SEARCH('Category Rules'!$A$2:$A$194,C344)),0)),"")))))))</f>
        <v>Personal - Shopping</v>
      </c>
    </row>
    <row r="345" spans="1:7" x14ac:dyDescent="0.25">
      <c r="A345" t="s">
        <v>6</v>
      </c>
      <c r="B345" s="1">
        <v>46163</v>
      </c>
      <c r="C345" t="s">
        <v>333</v>
      </c>
      <c r="D345">
        <v>-2</v>
      </c>
      <c r="E345" t="s">
        <v>14</v>
      </c>
      <c r="F345">
        <v>4905.8900000000003</v>
      </c>
      <c r="G345" t="str" cm="1">
        <f t="array" ref="G345">IF(AND(ISNUMBER(SEARCH("UBER",C345)),ISNUMBER(SEARCH("EATS",C345))),"Uber Eats",IF(LEFT(C345,6)="CHECK ","Checks Paid",IF(OR(E345="BILLPAY",ISNUMBER(SEARCH("FRANCHISE TAX",C345)),ISNUMBER(SEARCH("NEXTLINK",C345))),"Personal - House Bills",IF(AND(ISNUMBER(SEARCH("PAYMENT FROM",C345)),ISNUMBER(SEARCH("JOE SAUNDERS",C345))),"Zelle from Joe Saunders",IF(AND(ISNUMBER(SEARCH("PAYMENT TO",C345)),ISNUMBER(SEARCH("JOE SAUNDERS",C345))),"Zelle to Joe Saunders",IF(OR(ISNUMBER(SEARCH("NEW ORLEANS",C345)),ISNUMBER(SEARCH("KENNER",C345)),ISNUMBER(SEARCH("HENRY HOWARD",C345)),ISNUMBER(SEARCH("MISS CLAUDIA",C345))),"Personal Travel - New Orleans",IFERROR(INDEX('Category Rules'!$B$2:$B$194,MATCH(TRUE,ISNUMBER(SEARCH('Category Rules'!$A$2:$A$194,C345)),0)),"")))))))</f>
        <v>Personal Travel</v>
      </c>
    </row>
    <row r="346" spans="1:7" x14ac:dyDescent="0.25">
      <c r="A346" t="s">
        <v>6</v>
      </c>
      <c r="B346" s="1">
        <v>46163</v>
      </c>
      <c r="C346" t="s">
        <v>334</v>
      </c>
      <c r="D346">
        <v>-5.28</v>
      </c>
      <c r="E346" t="s">
        <v>14</v>
      </c>
      <c r="F346">
        <v>4907.8900000000003</v>
      </c>
      <c r="G346" t="str" cm="1">
        <f t="array" ref="G346">IF(AND(ISNUMBER(SEARCH("UBER",C346)),ISNUMBER(SEARCH("EATS",C346))),"Uber Eats",IF(LEFT(C346,6)="CHECK ","Checks Paid",IF(OR(E346="BILLPAY",ISNUMBER(SEARCH("FRANCHISE TAX",C346)),ISNUMBER(SEARCH("NEXTLINK",C346))),"Personal - House Bills",IF(AND(ISNUMBER(SEARCH("PAYMENT FROM",C346)),ISNUMBER(SEARCH("JOE SAUNDERS",C346))),"Zelle from Joe Saunders",IF(AND(ISNUMBER(SEARCH("PAYMENT TO",C346)),ISNUMBER(SEARCH("JOE SAUNDERS",C346))),"Zelle to Joe Saunders",IF(OR(ISNUMBER(SEARCH("NEW ORLEANS",C346)),ISNUMBER(SEARCH("KENNER",C346)),ISNUMBER(SEARCH("HENRY HOWARD",C346)),ISNUMBER(SEARCH("MISS CLAUDIA",C346))),"Personal Travel - New Orleans",IFERROR(INDEX('Category Rules'!$B$2:$B$194,MATCH(TRUE,ISNUMBER(SEARCH('Category Rules'!$A$2:$A$194,C346)),0)),"")))))))</f>
        <v>Personal Travel - New Orleans</v>
      </c>
    </row>
    <row r="347" spans="1:7" x14ac:dyDescent="0.25">
      <c r="A347" t="s">
        <v>6</v>
      </c>
      <c r="B347" s="1">
        <v>46163</v>
      </c>
      <c r="C347" t="s">
        <v>335</v>
      </c>
      <c r="D347">
        <v>-17.21</v>
      </c>
      <c r="E347" t="s">
        <v>14</v>
      </c>
      <c r="F347">
        <v>4913.17</v>
      </c>
      <c r="G347" t="str" cm="1">
        <f t="array" ref="G347">IF(AND(ISNUMBER(SEARCH("UBER",C347)),ISNUMBER(SEARCH("EATS",C347))),"Uber Eats",IF(LEFT(C347,6)="CHECK ","Checks Paid",IF(OR(E347="BILLPAY",ISNUMBER(SEARCH("FRANCHISE TAX",C347)),ISNUMBER(SEARCH("NEXTLINK",C347))),"Personal - House Bills",IF(AND(ISNUMBER(SEARCH("PAYMENT FROM",C347)),ISNUMBER(SEARCH("JOE SAUNDERS",C347))),"Zelle from Joe Saunders",IF(AND(ISNUMBER(SEARCH("PAYMENT TO",C347)),ISNUMBER(SEARCH("JOE SAUNDERS",C347))),"Zelle to Joe Saunders",IF(OR(ISNUMBER(SEARCH("NEW ORLEANS",C347)),ISNUMBER(SEARCH("KENNER",C347)),ISNUMBER(SEARCH("HENRY HOWARD",C347)),ISNUMBER(SEARCH("MISS CLAUDIA",C347))),"Personal Travel - New Orleans",IFERROR(INDEX('Category Rules'!$B$2:$B$194,MATCH(TRUE,ISNUMBER(SEARCH('Category Rules'!$A$2:$A$194,C347)),0)),"")))))))</f>
        <v>Personal Travel - New Orleans</v>
      </c>
    </row>
    <row r="348" spans="1:7" x14ac:dyDescent="0.25">
      <c r="A348" t="s">
        <v>6</v>
      </c>
      <c r="B348" s="1">
        <v>46163</v>
      </c>
      <c r="C348" t="s">
        <v>336</v>
      </c>
      <c r="D348">
        <v>-173.8</v>
      </c>
      <c r="E348" t="s">
        <v>14</v>
      </c>
      <c r="F348">
        <v>4930.38</v>
      </c>
      <c r="G348" t="str" cm="1">
        <f t="array" ref="G348">IF(AND(ISNUMBER(SEARCH("UBER",C348)),ISNUMBER(SEARCH("EATS",C348))),"Uber Eats",IF(LEFT(C348,6)="CHECK ","Checks Paid",IF(OR(E348="BILLPAY",ISNUMBER(SEARCH("FRANCHISE TAX",C348)),ISNUMBER(SEARCH("NEXTLINK",C348))),"Personal - House Bills",IF(AND(ISNUMBER(SEARCH("PAYMENT FROM",C348)),ISNUMBER(SEARCH("JOE SAUNDERS",C348))),"Zelle from Joe Saunders",IF(AND(ISNUMBER(SEARCH("PAYMENT TO",C348)),ISNUMBER(SEARCH("JOE SAUNDERS",C348))),"Zelle to Joe Saunders",IF(OR(ISNUMBER(SEARCH("NEW ORLEANS",C348)),ISNUMBER(SEARCH("KENNER",C348)),ISNUMBER(SEARCH("HENRY HOWARD",C348)),ISNUMBER(SEARCH("MISS CLAUDIA",C348))),"Personal Travel - New Orleans",IFERROR(INDEX('Category Rules'!$B$2:$B$194,MATCH(TRUE,ISNUMBER(SEARCH('Category Rules'!$A$2:$A$194,C348)),0)),"")))))))</f>
        <v>Personal Travel - New Orleans</v>
      </c>
    </row>
    <row r="349" spans="1:7" x14ac:dyDescent="0.25">
      <c r="A349" t="s">
        <v>6</v>
      </c>
      <c r="B349" s="1">
        <v>46163</v>
      </c>
      <c r="C349" t="s">
        <v>337</v>
      </c>
      <c r="D349">
        <v>-149.96</v>
      </c>
      <c r="E349" t="s">
        <v>14</v>
      </c>
      <c r="F349">
        <v>5104.18</v>
      </c>
      <c r="G349" t="str" cm="1">
        <f t="array" ref="G349">IF(AND(ISNUMBER(SEARCH("UBER",C349)),ISNUMBER(SEARCH("EATS",C349))),"Uber Eats",IF(LEFT(C349,6)="CHECK ","Checks Paid",IF(OR(E349="BILLPAY",ISNUMBER(SEARCH("FRANCHISE TAX",C349)),ISNUMBER(SEARCH("NEXTLINK",C349))),"Personal - House Bills",IF(AND(ISNUMBER(SEARCH("PAYMENT FROM",C349)),ISNUMBER(SEARCH("JOE SAUNDERS",C349))),"Zelle from Joe Saunders",IF(AND(ISNUMBER(SEARCH("PAYMENT TO",C349)),ISNUMBER(SEARCH("JOE SAUNDERS",C349))),"Zelle to Joe Saunders",IF(OR(ISNUMBER(SEARCH("NEW ORLEANS",C349)),ISNUMBER(SEARCH("KENNER",C349)),ISNUMBER(SEARCH("HENRY HOWARD",C349)),ISNUMBER(SEARCH("MISS CLAUDIA",C349))),"Personal Travel - New Orleans",IFERROR(INDEX('Category Rules'!$B$2:$B$194,MATCH(TRUE,ISNUMBER(SEARCH('Category Rules'!$A$2:$A$194,C349)),0)),"")))))))</f>
        <v>Personal - House Bills</v>
      </c>
    </row>
    <row r="350" spans="1:7" x14ac:dyDescent="0.25">
      <c r="A350" t="s">
        <v>6</v>
      </c>
      <c r="B350" s="1">
        <v>46163</v>
      </c>
      <c r="C350" t="s">
        <v>338</v>
      </c>
      <c r="D350">
        <v>-95.92</v>
      </c>
      <c r="E350" t="s">
        <v>14</v>
      </c>
      <c r="F350">
        <v>5254.14</v>
      </c>
      <c r="G350" t="str" cm="1">
        <f t="array" ref="G350">IF(AND(ISNUMBER(SEARCH("UBER",C350)),ISNUMBER(SEARCH("EATS",C350))),"Uber Eats",IF(LEFT(C350,6)="CHECK ","Checks Paid",IF(OR(E350="BILLPAY",ISNUMBER(SEARCH("FRANCHISE TAX",C350)),ISNUMBER(SEARCH("NEXTLINK",C350))),"Personal - House Bills",IF(AND(ISNUMBER(SEARCH("PAYMENT FROM",C350)),ISNUMBER(SEARCH("JOE SAUNDERS",C350))),"Zelle from Joe Saunders",IF(AND(ISNUMBER(SEARCH("PAYMENT TO",C350)),ISNUMBER(SEARCH("JOE SAUNDERS",C350))),"Zelle to Joe Saunders",IF(OR(ISNUMBER(SEARCH("NEW ORLEANS",C350)),ISNUMBER(SEARCH("KENNER",C350)),ISNUMBER(SEARCH("HENRY HOWARD",C350)),ISNUMBER(SEARCH("MISS CLAUDIA",C350))),"Personal Travel - New Orleans",IFERROR(INDEX('Category Rules'!$B$2:$B$194,MATCH(TRUE,ISNUMBER(SEARCH('Category Rules'!$A$2:$A$194,C350)),0)),"")))))))</f>
        <v>Personal - Shopping</v>
      </c>
    </row>
    <row r="351" spans="1:7" x14ac:dyDescent="0.25">
      <c r="A351" t="s">
        <v>6</v>
      </c>
      <c r="B351" s="1">
        <v>46163</v>
      </c>
      <c r="C351" t="s">
        <v>339</v>
      </c>
      <c r="D351">
        <v>-270</v>
      </c>
      <c r="E351" t="s">
        <v>14</v>
      </c>
      <c r="F351">
        <v>5350.06</v>
      </c>
      <c r="G351" t="str" cm="1">
        <f t="array" ref="G351">IF(AND(ISNUMBER(SEARCH("UBER",C351)),ISNUMBER(SEARCH("EATS",C351))),"Uber Eats",IF(LEFT(C351,6)="CHECK ","Checks Paid",IF(OR(E351="BILLPAY",ISNUMBER(SEARCH("FRANCHISE TAX",C351)),ISNUMBER(SEARCH("NEXTLINK",C351))),"Personal - House Bills",IF(AND(ISNUMBER(SEARCH("PAYMENT FROM",C351)),ISNUMBER(SEARCH("JOE SAUNDERS",C351))),"Zelle from Joe Saunders",IF(AND(ISNUMBER(SEARCH("PAYMENT TO",C351)),ISNUMBER(SEARCH("JOE SAUNDERS",C351))),"Zelle to Joe Saunders",IF(OR(ISNUMBER(SEARCH("NEW ORLEANS",C351)),ISNUMBER(SEARCH("KENNER",C351)),ISNUMBER(SEARCH("HENRY HOWARD",C351)),ISNUMBER(SEARCH("MISS CLAUDIA",C351))),"Personal Travel - New Orleans",IFERROR(INDEX('Category Rules'!$B$2:$B$194,MATCH(TRUE,ISNUMBER(SEARCH('Category Rules'!$A$2:$A$194,C351)),0)),"")))))))</f>
        <v>Donation</v>
      </c>
    </row>
    <row r="352" spans="1:7" x14ac:dyDescent="0.25">
      <c r="A352" t="s">
        <v>37</v>
      </c>
      <c r="B352" s="1">
        <v>46163</v>
      </c>
      <c r="C352" t="s">
        <v>340</v>
      </c>
      <c r="D352">
        <v>2000</v>
      </c>
      <c r="E352" t="s">
        <v>39</v>
      </c>
      <c r="F352">
        <v>5620.06</v>
      </c>
      <c r="G352" t="str" cm="1">
        <f t="array" ref="G352">IF(AND(ISNUMBER(SEARCH("UBER",C352)),ISNUMBER(SEARCH("EATS",C352))),"Uber Eats",IF(LEFT(C352,6)="CHECK ","Checks Paid",IF(OR(E352="BILLPAY",ISNUMBER(SEARCH("FRANCHISE TAX",C352)),ISNUMBER(SEARCH("NEXTLINK",C352))),"Personal - House Bills",IF(AND(ISNUMBER(SEARCH("PAYMENT FROM",C352)),ISNUMBER(SEARCH("JOE SAUNDERS",C352))),"Zelle from Joe Saunders",IF(AND(ISNUMBER(SEARCH("PAYMENT TO",C352)),ISNUMBER(SEARCH("JOE SAUNDERS",C352))),"Zelle to Joe Saunders",IF(OR(ISNUMBER(SEARCH("NEW ORLEANS",C352)),ISNUMBER(SEARCH("KENNER",C352)),ISNUMBER(SEARCH("HENRY HOWARD",C352)),ISNUMBER(SEARCH("MISS CLAUDIA",C352))),"Personal Travel - New Orleans",IFERROR(INDEX('Category Rules'!$B$2:$B$194,MATCH(TRUE,ISNUMBER(SEARCH('Category Rules'!$A$2:$A$194,C352)),0)),"")))))))</f>
        <v>Transfer from DWG Capital Group</v>
      </c>
    </row>
    <row r="353" spans="1:7" x14ac:dyDescent="0.25">
      <c r="A353" t="s">
        <v>6</v>
      </c>
      <c r="B353" s="1">
        <v>46162</v>
      </c>
      <c r="C353" t="s">
        <v>341</v>
      </c>
      <c r="D353">
        <v>-16.329999999999998</v>
      </c>
      <c r="E353" t="s">
        <v>14</v>
      </c>
      <c r="F353">
        <v>3620.06</v>
      </c>
      <c r="G353" t="str" cm="1">
        <f t="array" ref="G353">IF(AND(ISNUMBER(SEARCH("UBER",C353)),ISNUMBER(SEARCH("EATS",C353))),"Uber Eats",IF(LEFT(C353,6)="CHECK ","Checks Paid",IF(OR(E353="BILLPAY",ISNUMBER(SEARCH("FRANCHISE TAX",C353)),ISNUMBER(SEARCH("NEXTLINK",C353))),"Personal - House Bills",IF(AND(ISNUMBER(SEARCH("PAYMENT FROM",C353)),ISNUMBER(SEARCH("JOE SAUNDERS",C353))),"Zelle from Joe Saunders",IF(AND(ISNUMBER(SEARCH("PAYMENT TO",C353)),ISNUMBER(SEARCH("JOE SAUNDERS",C353))),"Zelle to Joe Saunders",IF(OR(ISNUMBER(SEARCH("NEW ORLEANS",C353)),ISNUMBER(SEARCH("KENNER",C353)),ISNUMBER(SEARCH("HENRY HOWARD",C353)),ISNUMBER(SEARCH("MISS CLAUDIA",C353))),"Personal Travel - New Orleans",IFERROR(INDEX('Category Rules'!$B$2:$B$194,MATCH(TRUE,ISNUMBER(SEARCH('Category Rules'!$A$2:$A$194,C353)),0)),"")))))))</f>
        <v>Personal - Uber</v>
      </c>
    </row>
    <row r="354" spans="1:7" x14ac:dyDescent="0.25">
      <c r="A354" t="s">
        <v>6</v>
      </c>
      <c r="B354" s="1">
        <v>46162</v>
      </c>
      <c r="C354" t="s">
        <v>342</v>
      </c>
      <c r="D354">
        <v>-15.38</v>
      </c>
      <c r="E354" t="s">
        <v>14</v>
      </c>
      <c r="F354">
        <v>3636.39</v>
      </c>
      <c r="G354" t="str" cm="1">
        <f t="array" ref="G354">IF(AND(ISNUMBER(SEARCH("UBER",C354)),ISNUMBER(SEARCH("EATS",C354))),"Uber Eats",IF(LEFT(C354,6)="CHECK ","Checks Paid",IF(OR(E354="BILLPAY",ISNUMBER(SEARCH("FRANCHISE TAX",C354)),ISNUMBER(SEARCH("NEXTLINK",C354))),"Personal - House Bills",IF(AND(ISNUMBER(SEARCH("PAYMENT FROM",C354)),ISNUMBER(SEARCH("JOE SAUNDERS",C354))),"Zelle from Joe Saunders",IF(AND(ISNUMBER(SEARCH("PAYMENT TO",C354)),ISNUMBER(SEARCH("JOE SAUNDERS",C354))),"Zelle to Joe Saunders",IF(OR(ISNUMBER(SEARCH("NEW ORLEANS",C354)),ISNUMBER(SEARCH("KENNER",C354)),ISNUMBER(SEARCH("HENRY HOWARD",C354)),ISNUMBER(SEARCH("MISS CLAUDIA",C354))),"Personal Travel - New Orleans",IFERROR(INDEX('Category Rules'!$B$2:$B$194,MATCH(TRUE,ISNUMBER(SEARCH('Category Rules'!$A$2:$A$194,C354)),0)),"")))))))</f>
        <v>Personal - Uber</v>
      </c>
    </row>
    <row r="355" spans="1:7" x14ac:dyDescent="0.25">
      <c r="A355" t="s">
        <v>6</v>
      </c>
      <c r="B355" s="1">
        <v>46162</v>
      </c>
      <c r="C355" t="s">
        <v>343</v>
      </c>
      <c r="D355">
        <v>-11.99</v>
      </c>
      <c r="E355" t="s">
        <v>14</v>
      </c>
      <c r="F355">
        <v>3651.77</v>
      </c>
      <c r="G355" t="str" cm="1">
        <f t="array" ref="G355">IF(AND(ISNUMBER(SEARCH("UBER",C355)),ISNUMBER(SEARCH("EATS",C355))),"Uber Eats",IF(LEFT(C355,6)="CHECK ","Checks Paid",IF(OR(E355="BILLPAY",ISNUMBER(SEARCH("FRANCHISE TAX",C355)),ISNUMBER(SEARCH("NEXTLINK",C355))),"Personal - House Bills",IF(AND(ISNUMBER(SEARCH("PAYMENT FROM",C355)),ISNUMBER(SEARCH("JOE SAUNDERS",C355))),"Zelle from Joe Saunders",IF(AND(ISNUMBER(SEARCH("PAYMENT TO",C355)),ISNUMBER(SEARCH("JOE SAUNDERS",C355))),"Zelle to Joe Saunders",IF(OR(ISNUMBER(SEARCH("NEW ORLEANS",C355)),ISNUMBER(SEARCH("KENNER",C355)),ISNUMBER(SEARCH("HENRY HOWARD",C355)),ISNUMBER(SEARCH("MISS CLAUDIA",C355))),"Personal Travel - New Orleans",IFERROR(INDEX('Category Rules'!$B$2:$B$194,MATCH(TRUE,ISNUMBER(SEARCH('Category Rules'!$A$2:$A$194,C355)),0)),"")))))))</f>
        <v>Personal - Subscription</v>
      </c>
    </row>
    <row r="356" spans="1:7" x14ac:dyDescent="0.25">
      <c r="A356" t="s">
        <v>6</v>
      </c>
      <c r="B356" s="1">
        <v>46162</v>
      </c>
      <c r="C356" t="s">
        <v>344</v>
      </c>
      <c r="D356">
        <v>-238.02</v>
      </c>
      <c r="E356" t="s">
        <v>14</v>
      </c>
      <c r="F356">
        <v>3663.76</v>
      </c>
      <c r="G356" t="str" cm="1">
        <f t="array" ref="G356">IF(AND(ISNUMBER(SEARCH("UBER",C356)),ISNUMBER(SEARCH("EATS",C356))),"Uber Eats",IF(LEFT(C356,6)="CHECK ","Checks Paid",IF(OR(E356="BILLPAY",ISNUMBER(SEARCH("FRANCHISE TAX",C356)),ISNUMBER(SEARCH("NEXTLINK",C356))),"Personal - House Bills",IF(AND(ISNUMBER(SEARCH("PAYMENT FROM",C356)),ISNUMBER(SEARCH("JOE SAUNDERS",C356))),"Zelle from Joe Saunders",IF(AND(ISNUMBER(SEARCH("PAYMENT TO",C356)),ISNUMBER(SEARCH("JOE SAUNDERS",C356))),"Zelle to Joe Saunders",IF(OR(ISNUMBER(SEARCH("NEW ORLEANS",C356)),ISNUMBER(SEARCH("KENNER",C356)),ISNUMBER(SEARCH("HENRY HOWARD",C356)),ISNUMBER(SEARCH("MISS CLAUDIA",C356))),"Personal Travel - New Orleans",IFERROR(INDEX('Category Rules'!$B$2:$B$194,MATCH(TRUE,ISNUMBER(SEARCH('Category Rules'!$A$2:$A$194,C356)),0)),"")))))))</f>
        <v>Personal Travel - New Orleans</v>
      </c>
    </row>
    <row r="357" spans="1:7" x14ac:dyDescent="0.25">
      <c r="A357" t="s">
        <v>6</v>
      </c>
      <c r="B357" s="1">
        <v>46162</v>
      </c>
      <c r="C357" t="s">
        <v>345</v>
      </c>
      <c r="D357">
        <v>-362.51</v>
      </c>
      <c r="E357" t="s">
        <v>14</v>
      </c>
      <c r="F357">
        <v>3901.78</v>
      </c>
      <c r="G357" t="str" cm="1">
        <f t="array" ref="G357">IF(AND(ISNUMBER(SEARCH("UBER",C357)),ISNUMBER(SEARCH("EATS",C357))),"Uber Eats",IF(LEFT(C357,6)="CHECK ","Checks Paid",IF(OR(E357="BILLPAY",ISNUMBER(SEARCH("FRANCHISE TAX",C357)),ISNUMBER(SEARCH("NEXTLINK",C357))),"Personal - House Bills",IF(AND(ISNUMBER(SEARCH("PAYMENT FROM",C357)),ISNUMBER(SEARCH("JOE SAUNDERS",C357))),"Zelle from Joe Saunders",IF(AND(ISNUMBER(SEARCH("PAYMENT TO",C357)),ISNUMBER(SEARCH("JOE SAUNDERS",C357))),"Zelle to Joe Saunders",IF(OR(ISNUMBER(SEARCH("NEW ORLEANS",C357)),ISNUMBER(SEARCH("KENNER",C357)),ISNUMBER(SEARCH("HENRY HOWARD",C357)),ISNUMBER(SEARCH("MISS CLAUDIA",C357))),"Personal Travel - New Orleans",IFERROR(INDEX('Category Rules'!$B$2:$B$194,MATCH(TRUE,ISNUMBER(SEARCH('Category Rules'!$A$2:$A$194,C357)),0)),"")))))))</f>
        <v>Personal Travel - New Orleans</v>
      </c>
    </row>
    <row r="358" spans="1:7" x14ac:dyDescent="0.25">
      <c r="A358" t="s">
        <v>6</v>
      </c>
      <c r="B358" s="1">
        <v>46162</v>
      </c>
      <c r="C358" t="s">
        <v>346</v>
      </c>
      <c r="D358">
        <v>-28</v>
      </c>
      <c r="E358" t="s">
        <v>14</v>
      </c>
      <c r="F358">
        <v>4264.29</v>
      </c>
      <c r="G358" t="str" cm="1">
        <f t="array" ref="G358">IF(AND(ISNUMBER(SEARCH("UBER",C358)),ISNUMBER(SEARCH("EATS",C358))),"Uber Eats",IF(LEFT(C358,6)="CHECK ","Checks Paid",IF(OR(E358="BILLPAY",ISNUMBER(SEARCH("FRANCHISE TAX",C358)),ISNUMBER(SEARCH("NEXTLINK",C358))),"Personal - House Bills",IF(AND(ISNUMBER(SEARCH("PAYMENT FROM",C358)),ISNUMBER(SEARCH("JOE SAUNDERS",C358))),"Zelle from Joe Saunders",IF(AND(ISNUMBER(SEARCH("PAYMENT TO",C358)),ISNUMBER(SEARCH("JOE SAUNDERS",C358))),"Zelle to Joe Saunders",IF(OR(ISNUMBER(SEARCH("NEW ORLEANS",C358)),ISNUMBER(SEARCH("KENNER",C358)),ISNUMBER(SEARCH("HENRY HOWARD",C358)),ISNUMBER(SEARCH("MISS CLAUDIA",C358))),"Personal Travel - New Orleans",IFERROR(INDEX('Category Rules'!$B$2:$B$194,MATCH(TRUE,ISNUMBER(SEARCH('Category Rules'!$A$2:$A$194,C358)),0)),"")))))))</f>
        <v>Personal Travel - New Orleans</v>
      </c>
    </row>
    <row r="359" spans="1:7" x14ac:dyDescent="0.25">
      <c r="A359" t="s">
        <v>6</v>
      </c>
      <c r="B359" s="1">
        <v>46162</v>
      </c>
      <c r="C359" t="s">
        <v>347</v>
      </c>
      <c r="D359">
        <v>-38</v>
      </c>
      <c r="E359" t="s">
        <v>14</v>
      </c>
      <c r="F359">
        <v>4292.29</v>
      </c>
      <c r="G359" t="str" cm="1">
        <f t="array" ref="G359">IF(AND(ISNUMBER(SEARCH("UBER",C359)),ISNUMBER(SEARCH("EATS",C359))),"Uber Eats",IF(LEFT(C359,6)="CHECK ","Checks Paid",IF(OR(E359="BILLPAY",ISNUMBER(SEARCH("FRANCHISE TAX",C359)),ISNUMBER(SEARCH("NEXTLINK",C359))),"Personal - House Bills",IF(AND(ISNUMBER(SEARCH("PAYMENT FROM",C359)),ISNUMBER(SEARCH("JOE SAUNDERS",C359))),"Zelle from Joe Saunders",IF(AND(ISNUMBER(SEARCH("PAYMENT TO",C359)),ISNUMBER(SEARCH("JOE SAUNDERS",C359))),"Zelle to Joe Saunders",IF(OR(ISNUMBER(SEARCH("NEW ORLEANS",C359)),ISNUMBER(SEARCH("KENNER",C359)),ISNUMBER(SEARCH("HENRY HOWARD",C359)),ISNUMBER(SEARCH("MISS CLAUDIA",C359))),"Personal Travel - New Orleans",IFERROR(INDEX('Category Rules'!$B$2:$B$194,MATCH(TRUE,ISNUMBER(SEARCH('Category Rules'!$A$2:$A$194,C359)),0)),"")))))))</f>
        <v>Personal Travel</v>
      </c>
    </row>
    <row r="360" spans="1:7" x14ac:dyDescent="0.25">
      <c r="A360" t="s">
        <v>6</v>
      </c>
      <c r="B360" s="1">
        <v>46162</v>
      </c>
      <c r="C360" t="s">
        <v>348</v>
      </c>
      <c r="D360">
        <v>-28.5</v>
      </c>
      <c r="E360" t="s">
        <v>14</v>
      </c>
      <c r="F360">
        <v>4330.29</v>
      </c>
      <c r="G360" t="str" cm="1">
        <f t="array" ref="G360">IF(AND(ISNUMBER(SEARCH("UBER",C360)),ISNUMBER(SEARCH("EATS",C360))),"Uber Eats",IF(LEFT(C360,6)="CHECK ","Checks Paid",IF(OR(E360="BILLPAY",ISNUMBER(SEARCH("FRANCHISE TAX",C360)),ISNUMBER(SEARCH("NEXTLINK",C360))),"Personal - House Bills",IF(AND(ISNUMBER(SEARCH("PAYMENT FROM",C360)),ISNUMBER(SEARCH("JOE SAUNDERS",C360))),"Zelle from Joe Saunders",IF(AND(ISNUMBER(SEARCH("PAYMENT TO",C360)),ISNUMBER(SEARCH("JOE SAUNDERS",C360))),"Zelle to Joe Saunders",IF(OR(ISNUMBER(SEARCH("NEW ORLEANS",C360)),ISNUMBER(SEARCH("KENNER",C360)),ISNUMBER(SEARCH("HENRY HOWARD",C360)),ISNUMBER(SEARCH("MISS CLAUDIA",C360))),"Personal Travel - New Orleans",IFERROR(INDEX('Category Rules'!$B$2:$B$194,MATCH(TRUE,ISNUMBER(SEARCH('Category Rules'!$A$2:$A$194,C360)),0)),"")))))))</f>
        <v>Personal Travel</v>
      </c>
    </row>
    <row r="361" spans="1:7" x14ac:dyDescent="0.25">
      <c r="A361" t="s">
        <v>6</v>
      </c>
      <c r="B361" s="1">
        <v>46162</v>
      </c>
      <c r="C361" t="s">
        <v>348</v>
      </c>
      <c r="D361">
        <v>-28.5</v>
      </c>
      <c r="E361" t="s">
        <v>14</v>
      </c>
      <c r="F361">
        <v>4358.79</v>
      </c>
      <c r="G361" t="str" cm="1">
        <f t="array" ref="G361">IF(AND(ISNUMBER(SEARCH("UBER",C361)),ISNUMBER(SEARCH("EATS",C361))),"Uber Eats",IF(LEFT(C361,6)="CHECK ","Checks Paid",IF(OR(E361="BILLPAY",ISNUMBER(SEARCH("FRANCHISE TAX",C361)),ISNUMBER(SEARCH("NEXTLINK",C361))),"Personal - House Bills",IF(AND(ISNUMBER(SEARCH("PAYMENT FROM",C361)),ISNUMBER(SEARCH("JOE SAUNDERS",C361))),"Zelle from Joe Saunders",IF(AND(ISNUMBER(SEARCH("PAYMENT TO",C361)),ISNUMBER(SEARCH("JOE SAUNDERS",C361))),"Zelle to Joe Saunders",IF(OR(ISNUMBER(SEARCH("NEW ORLEANS",C361)),ISNUMBER(SEARCH("KENNER",C361)),ISNUMBER(SEARCH("HENRY HOWARD",C361)),ISNUMBER(SEARCH("MISS CLAUDIA",C361))),"Personal Travel - New Orleans",IFERROR(INDEX('Category Rules'!$B$2:$B$194,MATCH(TRUE,ISNUMBER(SEARCH('Category Rules'!$A$2:$A$194,C361)),0)),"")))))))</f>
        <v>Personal Travel</v>
      </c>
    </row>
    <row r="362" spans="1:7" x14ac:dyDescent="0.25">
      <c r="A362" t="s">
        <v>6</v>
      </c>
      <c r="B362" s="1">
        <v>46162</v>
      </c>
      <c r="C362" t="s">
        <v>349</v>
      </c>
      <c r="D362">
        <v>-45</v>
      </c>
      <c r="E362" t="s">
        <v>14</v>
      </c>
      <c r="F362">
        <v>4387.29</v>
      </c>
      <c r="G362" t="str" cm="1">
        <f t="array" ref="G362">IF(AND(ISNUMBER(SEARCH("UBER",C362)),ISNUMBER(SEARCH("EATS",C362))),"Uber Eats",IF(LEFT(C362,6)="CHECK ","Checks Paid",IF(OR(E362="BILLPAY",ISNUMBER(SEARCH("FRANCHISE TAX",C362)),ISNUMBER(SEARCH("NEXTLINK",C362))),"Personal - House Bills",IF(AND(ISNUMBER(SEARCH("PAYMENT FROM",C362)),ISNUMBER(SEARCH("JOE SAUNDERS",C362))),"Zelle from Joe Saunders",IF(AND(ISNUMBER(SEARCH("PAYMENT TO",C362)),ISNUMBER(SEARCH("JOE SAUNDERS",C362))),"Zelle to Joe Saunders",IF(OR(ISNUMBER(SEARCH("NEW ORLEANS",C362)),ISNUMBER(SEARCH("KENNER",C362)),ISNUMBER(SEARCH("HENRY HOWARD",C362)),ISNUMBER(SEARCH("MISS CLAUDIA",C362))),"Personal Travel - New Orleans",IFERROR(INDEX('Category Rules'!$B$2:$B$194,MATCH(TRUE,ISNUMBER(SEARCH('Category Rules'!$A$2:$A$194,C362)),0)),"")))))))</f>
        <v>Personal Travel</v>
      </c>
    </row>
    <row r="363" spans="1:7" x14ac:dyDescent="0.25">
      <c r="A363" t="s">
        <v>6</v>
      </c>
      <c r="B363" s="1">
        <v>46162</v>
      </c>
      <c r="C363" t="s">
        <v>350</v>
      </c>
      <c r="D363">
        <v>-16.91</v>
      </c>
      <c r="E363" t="s">
        <v>14</v>
      </c>
      <c r="F363">
        <v>4432.29</v>
      </c>
      <c r="G363" t="str" cm="1">
        <f t="array" ref="G363">IF(AND(ISNUMBER(SEARCH("UBER",C363)),ISNUMBER(SEARCH("EATS",C363))),"Uber Eats",IF(LEFT(C363,6)="CHECK ","Checks Paid",IF(OR(E363="BILLPAY",ISNUMBER(SEARCH("FRANCHISE TAX",C363)),ISNUMBER(SEARCH("NEXTLINK",C363))),"Personal - House Bills",IF(AND(ISNUMBER(SEARCH("PAYMENT FROM",C363)),ISNUMBER(SEARCH("JOE SAUNDERS",C363))),"Zelle from Joe Saunders",IF(AND(ISNUMBER(SEARCH("PAYMENT TO",C363)),ISNUMBER(SEARCH("JOE SAUNDERS",C363))),"Zelle to Joe Saunders",IF(OR(ISNUMBER(SEARCH("NEW ORLEANS",C363)),ISNUMBER(SEARCH("KENNER",C363)),ISNUMBER(SEARCH("HENRY HOWARD",C363)),ISNUMBER(SEARCH("MISS CLAUDIA",C363))),"Personal Travel - New Orleans",IFERROR(INDEX('Category Rules'!$B$2:$B$194,MATCH(TRUE,ISNUMBER(SEARCH('Category Rules'!$A$2:$A$194,C363)),0)),"")))))))</f>
        <v>Personal Travel - New Orleans</v>
      </c>
    </row>
    <row r="364" spans="1:7" x14ac:dyDescent="0.25">
      <c r="A364" t="s">
        <v>6</v>
      </c>
      <c r="B364" s="1">
        <v>46162</v>
      </c>
      <c r="C364" t="s">
        <v>351</v>
      </c>
      <c r="D364">
        <v>-38.24</v>
      </c>
      <c r="E364" t="s">
        <v>14</v>
      </c>
      <c r="F364">
        <v>4449.2</v>
      </c>
      <c r="G364" t="str" cm="1">
        <f t="array" ref="G364">IF(AND(ISNUMBER(SEARCH("UBER",C364)),ISNUMBER(SEARCH("EATS",C364))),"Uber Eats",IF(LEFT(C364,6)="CHECK ","Checks Paid",IF(OR(E364="BILLPAY",ISNUMBER(SEARCH("FRANCHISE TAX",C364)),ISNUMBER(SEARCH("NEXTLINK",C364))),"Personal - House Bills",IF(AND(ISNUMBER(SEARCH("PAYMENT FROM",C364)),ISNUMBER(SEARCH("JOE SAUNDERS",C364))),"Zelle from Joe Saunders",IF(AND(ISNUMBER(SEARCH("PAYMENT TO",C364)),ISNUMBER(SEARCH("JOE SAUNDERS",C364))),"Zelle to Joe Saunders",IF(OR(ISNUMBER(SEARCH("NEW ORLEANS",C364)),ISNUMBER(SEARCH("KENNER",C364)),ISNUMBER(SEARCH("HENRY HOWARD",C364)),ISNUMBER(SEARCH("MISS CLAUDIA",C364))),"Personal Travel - New Orleans",IFERROR(INDEX('Category Rules'!$B$2:$B$194,MATCH(TRUE,ISNUMBER(SEARCH('Category Rules'!$A$2:$A$194,C364)),0)),"")))))))</f>
        <v>Personal Travel - New Orleans</v>
      </c>
    </row>
    <row r="365" spans="1:7" x14ac:dyDescent="0.25">
      <c r="A365" t="s">
        <v>6</v>
      </c>
      <c r="B365" s="1">
        <v>46162</v>
      </c>
      <c r="C365" t="s">
        <v>345</v>
      </c>
      <c r="D365">
        <v>-322.89</v>
      </c>
      <c r="E365" t="s">
        <v>14</v>
      </c>
      <c r="F365">
        <v>4487.4399999999996</v>
      </c>
      <c r="G365" t="str" cm="1">
        <f t="array" ref="G365">IF(AND(ISNUMBER(SEARCH("UBER",C365)),ISNUMBER(SEARCH("EATS",C365))),"Uber Eats",IF(LEFT(C365,6)="CHECK ","Checks Paid",IF(OR(E365="BILLPAY",ISNUMBER(SEARCH("FRANCHISE TAX",C365)),ISNUMBER(SEARCH("NEXTLINK",C365))),"Personal - House Bills",IF(AND(ISNUMBER(SEARCH("PAYMENT FROM",C365)),ISNUMBER(SEARCH("JOE SAUNDERS",C365))),"Zelle from Joe Saunders",IF(AND(ISNUMBER(SEARCH("PAYMENT TO",C365)),ISNUMBER(SEARCH("JOE SAUNDERS",C365))),"Zelle to Joe Saunders",IF(OR(ISNUMBER(SEARCH("NEW ORLEANS",C365)),ISNUMBER(SEARCH("KENNER",C365)),ISNUMBER(SEARCH("HENRY HOWARD",C365)),ISNUMBER(SEARCH("MISS CLAUDIA",C365))),"Personal Travel - New Orleans",IFERROR(INDEX('Category Rules'!$B$2:$B$194,MATCH(TRUE,ISNUMBER(SEARCH('Category Rules'!$A$2:$A$194,C365)),0)),"")))))))</f>
        <v>Personal Travel - New Orleans</v>
      </c>
    </row>
    <row r="366" spans="1:7" x14ac:dyDescent="0.25">
      <c r="A366" t="s">
        <v>6</v>
      </c>
      <c r="B366" s="1">
        <v>46162</v>
      </c>
      <c r="C366" t="s">
        <v>352</v>
      </c>
      <c r="D366">
        <v>-45.04</v>
      </c>
      <c r="E366" t="s">
        <v>14</v>
      </c>
      <c r="F366">
        <v>4810.33</v>
      </c>
      <c r="G366" t="str" cm="1">
        <f t="array" ref="G366">IF(AND(ISNUMBER(SEARCH("UBER",C366)),ISNUMBER(SEARCH("EATS",C366))),"Uber Eats",IF(LEFT(C366,6)="CHECK ","Checks Paid",IF(OR(E366="BILLPAY",ISNUMBER(SEARCH("FRANCHISE TAX",C366)),ISNUMBER(SEARCH("NEXTLINK",C366))),"Personal - House Bills",IF(AND(ISNUMBER(SEARCH("PAYMENT FROM",C366)),ISNUMBER(SEARCH("JOE SAUNDERS",C366))),"Zelle from Joe Saunders",IF(AND(ISNUMBER(SEARCH("PAYMENT TO",C366)),ISNUMBER(SEARCH("JOE SAUNDERS",C366))),"Zelle to Joe Saunders",IF(OR(ISNUMBER(SEARCH("NEW ORLEANS",C366)),ISNUMBER(SEARCH("KENNER",C366)),ISNUMBER(SEARCH("HENRY HOWARD",C366)),ISNUMBER(SEARCH("MISS CLAUDIA",C366))),"Personal Travel - New Orleans",IFERROR(INDEX('Category Rules'!$B$2:$B$194,MATCH(TRUE,ISNUMBER(SEARCH('Category Rules'!$A$2:$A$194,C366)),0)),"")))))))</f>
        <v>Personal Travel - New Orleans</v>
      </c>
    </row>
    <row r="367" spans="1:7" x14ac:dyDescent="0.25">
      <c r="A367" t="s">
        <v>6</v>
      </c>
      <c r="B367" s="1">
        <v>46162</v>
      </c>
      <c r="C367" t="s">
        <v>353</v>
      </c>
      <c r="D367">
        <v>-496.04</v>
      </c>
      <c r="E367" t="s">
        <v>14</v>
      </c>
      <c r="F367">
        <v>4855.37</v>
      </c>
      <c r="G367" t="str" cm="1">
        <f t="array" ref="G367">IF(AND(ISNUMBER(SEARCH("UBER",C367)),ISNUMBER(SEARCH("EATS",C367))),"Uber Eats",IF(LEFT(C367,6)="CHECK ","Checks Paid",IF(OR(E367="BILLPAY",ISNUMBER(SEARCH("FRANCHISE TAX",C367)),ISNUMBER(SEARCH("NEXTLINK",C367))),"Personal - House Bills",IF(AND(ISNUMBER(SEARCH("PAYMENT FROM",C367)),ISNUMBER(SEARCH("JOE SAUNDERS",C367))),"Zelle from Joe Saunders",IF(AND(ISNUMBER(SEARCH("PAYMENT TO",C367)),ISNUMBER(SEARCH("JOE SAUNDERS",C367))),"Zelle to Joe Saunders",IF(OR(ISNUMBER(SEARCH("NEW ORLEANS",C367)),ISNUMBER(SEARCH("KENNER",C367)),ISNUMBER(SEARCH("HENRY HOWARD",C367)),ISNUMBER(SEARCH("MISS CLAUDIA",C367))),"Personal Travel - New Orleans",IFERROR(INDEX('Category Rules'!$B$2:$B$194,MATCH(TRUE,ISNUMBER(SEARCH('Category Rules'!$A$2:$A$194,C367)),0)),"")))))))</f>
        <v>Personal Travel - New Orleans</v>
      </c>
    </row>
    <row r="368" spans="1:7" x14ac:dyDescent="0.25">
      <c r="A368" t="s">
        <v>6</v>
      </c>
      <c r="B368" s="1">
        <v>46161</v>
      </c>
      <c r="C368" t="s">
        <v>354</v>
      </c>
      <c r="D368">
        <v>-19.12</v>
      </c>
      <c r="E368" t="s">
        <v>14</v>
      </c>
      <c r="F368">
        <v>5351.41</v>
      </c>
      <c r="G368" t="str" cm="1">
        <f t="array" ref="G368">IF(AND(ISNUMBER(SEARCH("UBER",C368)),ISNUMBER(SEARCH("EATS",C368))),"Uber Eats",IF(LEFT(C368,6)="CHECK ","Checks Paid",IF(OR(E368="BILLPAY",ISNUMBER(SEARCH("FRANCHISE TAX",C368)),ISNUMBER(SEARCH("NEXTLINK",C368))),"Personal - House Bills",IF(AND(ISNUMBER(SEARCH("PAYMENT FROM",C368)),ISNUMBER(SEARCH("JOE SAUNDERS",C368))),"Zelle from Joe Saunders",IF(AND(ISNUMBER(SEARCH("PAYMENT TO",C368)),ISNUMBER(SEARCH("JOE SAUNDERS",C368))),"Zelle to Joe Saunders",IF(OR(ISNUMBER(SEARCH("NEW ORLEANS",C368)),ISNUMBER(SEARCH("KENNER",C368)),ISNUMBER(SEARCH("HENRY HOWARD",C368)),ISNUMBER(SEARCH("MISS CLAUDIA",C368))),"Personal Travel - New Orleans",IFERROR(INDEX('Category Rules'!$B$2:$B$194,MATCH(TRUE,ISNUMBER(SEARCH('Category Rules'!$A$2:$A$194,C368)),0)),"")))))))</f>
        <v>Personal - Uber</v>
      </c>
    </row>
    <row r="369" spans="1:7" x14ac:dyDescent="0.25">
      <c r="A369" t="s">
        <v>6</v>
      </c>
      <c r="B369" s="1">
        <v>46161</v>
      </c>
      <c r="C369" t="s">
        <v>355</v>
      </c>
      <c r="D369">
        <v>-14.44</v>
      </c>
      <c r="E369" t="s">
        <v>14</v>
      </c>
      <c r="F369">
        <v>5370.53</v>
      </c>
      <c r="G369" t="str" cm="1">
        <f t="array" ref="G369">IF(AND(ISNUMBER(SEARCH("UBER",C369)),ISNUMBER(SEARCH("EATS",C369))),"Uber Eats",IF(LEFT(C369,6)="CHECK ","Checks Paid",IF(OR(E369="BILLPAY",ISNUMBER(SEARCH("FRANCHISE TAX",C369)),ISNUMBER(SEARCH("NEXTLINK",C369))),"Personal - House Bills",IF(AND(ISNUMBER(SEARCH("PAYMENT FROM",C369)),ISNUMBER(SEARCH("JOE SAUNDERS",C369))),"Zelle from Joe Saunders",IF(AND(ISNUMBER(SEARCH("PAYMENT TO",C369)),ISNUMBER(SEARCH("JOE SAUNDERS",C369))),"Zelle to Joe Saunders",IF(OR(ISNUMBER(SEARCH("NEW ORLEANS",C369)),ISNUMBER(SEARCH("KENNER",C369)),ISNUMBER(SEARCH("HENRY HOWARD",C369)),ISNUMBER(SEARCH("MISS CLAUDIA",C369))),"Personal Travel - New Orleans",IFERROR(INDEX('Category Rules'!$B$2:$B$194,MATCH(TRUE,ISNUMBER(SEARCH('Category Rules'!$A$2:$A$194,C369)),0)),"")))))))</f>
        <v>Personal - Uber</v>
      </c>
    </row>
    <row r="370" spans="1:7" x14ac:dyDescent="0.25">
      <c r="A370" t="s">
        <v>6</v>
      </c>
      <c r="B370" s="1">
        <v>46161</v>
      </c>
      <c r="C370" t="s">
        <v>356</v>
      </c>
      <c r="D370">
        <v>-47.94</v>
      </c>
      <c r="E370" t="s">
        <v>14</v>
      </c>
      <c r="F370">
        <v>5384.97</v>
      </c>
      <c r="G370" t="str" cm="1">
        <f t="array" ref="G370">IF(AND(ISNUMBER(SEARCH("UBER",C370)),ISNUMBER(SEARCH("EATS",C370))),"Uber Eats",IF(LEFT(C370,6)="CHECK ","Checks Paid",IF(OR(E370="BILLPAY",ISNUMBER(SEARCH("FRANCHISE TAX",C370)),ISNUMBER(SEARCH("NEXTLINK",C370))),"Personal - House Bills",IF(AND(ISNUMBER(SEARCH("PAYMENT FROM",C370)),ISNUMBER(SEARCH("JOE SAUNDERS",C370))),"Zelle from Joe Saunders",IF(AND(ISNUMBER(SEARCH("PAYMENT TO",C370)),ISNUMBER(SEARCH("JOE SAUNDERS",C370))),"Zelle to Joe Saunders",IF(OR(ISNUMBER(SEARCH("NEW ORLEANS",C370)),ISNUMBER(SEARCH("KENNER",C370)),ISNUMBER(SEARCH("HENRY HOWARD",C370)),ISNUMBER(SEARCH("MISS CLAUDIA",C370))),"Personal Travel - New Orleans",IFERROR(INDEX('Category Rules'!$B$2:$B$194,MATCH(TRUE,ISNUMBER(SEARCH('Category Rules'!$A$2:$A$194,C370)),0)),"")))))))</f>
        <v>Personal - Uber</v>
      </c>
    </row>
    <row r="371" spans="1:7" x14ac:dyDescent="0.25">
      <c r="A371" t="s">
        <v>6</v>
      </c>
      <c r="B371" s="1">
        <v>46161</v>
      </c>
      <c r="C371" t="s">
        <v>357</v>
      </c>
      <c r="D371">
        <v>-43.27</v>
      </c>
      <c r="E371" t="s">
        <v>14</v>
      </c>
      <c r="F371">
        <v>5432.91</v>
      </c>
      <c r="G371" t="str" cm="1">
        <f t="array" ref="G371">IF(AND(ISNUMBER(SEARCH("UBER",C371)),ISNUMBER(SEARCH("EATS",C371))),"Uber Eats",IF(LEFT(C371,6)="CHECK ","Checks Paid",IF(OR(E371="BILLPAY",ISNUMBER(SEARCH("FRANCHISE TAX",C371)),ISNUMBER(SEARCH("NEXTLINK",C371))),"Personal - House Bills",IF(AND(ISNUMBER(SEARCH("PAYMENT FROM",C371)),ISNUMBER(SEARCH("JOE SAUNDERS",C371))),"Zelle from Joe Saunders",IF(AND(ISNUMBER(SEARCH("PAYMENT TO",C371)),ISNUMBER(SEARCH("JOE SAUNDERS",C371))),"Zelle to Joe Saunders",IF(OR(ISNUMBER(SEARCH("NEW ORLEANS",C371)),ISNUMBER(SEARCH("KENNER",C371)),ISNUMBER(SEARCH("HENRY HOWARD",C371)),ISNUMBER(SEARCH("MISS CLAUDIA",C371))),"Personal Travel - New Orleans",IFERROR(INDEX('Category Rules'!$B$2:$B$194,MATCH(TRUE,ISNUMBER(SEARCH('Category Rules'!$A$2:$A$194,C371)),0)),"")))))))</f>
        <v>Personal - Uber</v>
      </c>
    </row>
    <row r="372" spans="1:7" x14ac:dyDescent="0.25">
      <c r="A372" t="s">
        <v>6</v>
      </c>
      <c r="B372" s="1">
        <v>46161</v>
      </c>
      <c r="C372" t="s">
        <v>358</v>
      </c>
      <c r="D372">
        <v>-35.78</v>
      </c>
      <c r="E372" t="s">
        <v>14</v>
      </c>
      <c r="F372">
        <v>5476.18</v>
      </c>
      <c r="G372" t="str" cm="1">
        <f t="array" ref="G372">IF(AND(ISNUMBER(SEARCH("UBER",C372)),ISNUMBER(SEARCH("EATS",C372))),"Uber Eats",IF(LEFT(C372,6)="CHECK ","Checks Paid",IF(OR(E372="BILLPAY",ISNUMBER(SEARCH("FRANCHISE TAX",C372)),ISNUMBER(SEARCH("NEXTLINK",C372))),"Personal - House Bills",IF(AND(ISNUMBER(SEARCH("PAYMENT FROM",C372)),ISNUMBER(SEARCH("JOE SAUNDERS",C372))),"Zelle from Joe Saunders",IF(AND(ISNUMBER(SEARCH("PAYMENT TO",C372)),ISNUMBER(SEARCH("JOE SAUNDERS",C372))),"Zelle to Joe Saunders",IF(OR(ISNUMBER(SEARCH("NEW ORLEANS",C372)),ISNUMBER(SEARCH("KENNER",C372)),ISNUMBER(SEARCH("HENRY HOWARD",C372)),ISNUMBER(SEARCH("MISS CLAUDIA",C372))),"Personal Travel - New Orleans",IFERROR(INDEX('Category Rules'!$B$2:$B$194,MATCH(TRUE,ISNUMBER(SEARCH('Category Rules'!$A$2:$A$194,C372)),0)),"")))))))</f>
        <v>Personal - Uber</v>
      </c>
    </row>
    <row r="373" spans="1:7" x14ac:dyDescent="0.25">
      <c r="A373" t="s">
        <v>6</v>
      </c>
      <c r="B373" s="1">
        <v>46161</v>
      </c>
      <c r="C373" t="s">
        <v>359</v>
      </c>
      <c r="D373">
        <v>-75.900000000000006</v>
      </c>
      <c r="E373" t="s">
        <v>14</v>
      </c>
      <c r="F373">
        <v>5511.96</v>
      </c>
      <c r="G373" t="str" cm="1">
        <f t="array" ref="G373">IF(AND(ISNUMBER(SEARCH("UBER",C373)),ISNUMBER(SEARCH("EATS",C373))),"Uber Eats",IF(LEFT(C373,6)="CHECK ","Checks Paid",IF(OR(E373="BILLPAY",ISNUMBER(SEARCH("FRANCHISE TAX",C373)),ISNUMBER(SEARCH("NEXTLINK",C373))),"Personal - House Bills",IF(AND(ISNUMBER(SEARCH("PAYMENT FROM",C373)),ISNUMBER(SEARCH("JOE SAUNDERS",C373))),"Zelle from Joe Saunders",IF(AND(ISNUMBER(SEARCH("PAYMENT TO",C373)),ISNUMBER(SEARCH("JOE SAUNDERS",C373))),"Zelle to Joe Saunders",IF(OR(ISNUMBER(SEARCH("NEW ORLEANS",C373)),ISNUMBER(SEARCH("KENNER",C373)),ISNUMBER(SEARCH("HENRY HOWARD",C373)),ISNUMBER(SEARCH("MISS CLAUDIA",C373))),"Personal Travel - New Orleans",IFERROR(INDEX('Category Rules'!$B$2:$B$194,MATCH(TRUE,ISNUMBER(SEARCH('Category Rules'!$A$2:$A$194,C373)),0)),"")))))))</f>
        <v>Personal - Clothing</v>
      </c>
    </row>
    <row r="374" spans="1:7" x14ac:dyDescent="0.25">
      <c r="A374" t="s">
        <v>6</v>
      </c>
      <c r="B374" s="1">
        <v>46161</v>
      </c>
      <c r="C374" t="s">
        <v>360</v>
      </c>
      <c r="D374">
        <v>-200</v>
      </c>
      <c r="E374" t="s">
        <v>39</v>
      </c>
      <c r="F374">
        <v>5587.86</v>
      </c>
      <c r="G374" t="str" cm="1">
        <f t="array" ref="G374">IF(AND(ISNUMBER(SEARCH("UBER",C374)),ISNUMBER(SEARCH("EATS",C374))),"Uber Eats",IF(LEFT(C374,6)="CHECK ","Checks Paid",IF(OR(E374="BILLPAY",ISNUMBER(SEARCH("FRANCHISE TAX",C374)),ISNUMBER(SEARCH("NEXTLINK",C374))),"Personal - House Bills",IF(AND(ISNUMBER(SEARCH("PAYMENT FROM",C374)),ISNUMBER(SEARCH("JOE SAUNDERS",C374))),"Zelle from Joe Saunders",IF(AND(ISNUMBER(SEARCH("PAYMENT TO",C374)),ISNUMBER(SEARCH("JOE SAUNDERS",C374))),"Zelle to Joe Saunders",IF(OR(ISNUMBER(SEARCH("NEW ORLEANS",C374)),ISNUMBER(SEARCH("KENNER",C374)),ISNUMBER(SEARCH("HENRY HOWARD",C374)),ISNUMBER(SEARCH("MISS CLAUDIA",C374))),"Personal Travel - New Orleans",IFERROR(INDEX('Category Rules'!$B$2:$B$194,MATCH(TRUE,ISNUMBER(SEARCH('Category Rules'!$A$2:$A$194,C374)),0)),"")))))))</f>
        <v>Transfer to Ava</v>
      </c>
    </row>
    <row r="375" spans="1:7" x14ac:dyDescent="0.25">
      <c r="A375" t="s">
        <v>6</v>
      </c>
      <c r="B375" s="1">
        <v>46161</v>
      </c>
      <c r="C375" t="s">
        <v>361</v>
      </c>
      <c r="D375">
        <v>-400</v>
      </c>
      <c r="E375" t="s">
        <v>39</v>
      </c>
      <c r="F375">
        <v>5787.86</v>
      </c>
      <c r="G375" t="str" cm="1">
        <f t="array" ref="G375">IF(AND(ISNUMBER(SEARCH("UBER",C375)),ISNUMBER(SEARCH("EATS",C375))),"Uber Eats",IF(LEFT(C375,6)="CHECK ","Checks Paid",IF(OR(E375="BILLPAY",ISNUMBER(SEARCH("FRANCHISE TAX",C375)),ISNUMBER(SEARCH("NEXTLINK",C375))),"Personal - House Bills",IF(AND(ISNUMBER(SEARCH("PAYMENT FROM",C375)),ISNUMBER(SEARCH("JOE SAUNDERS",C375))),"Zelle from Joe Saunders",IF(AND(ISNUMBER(SEARCH("PAYMENT TO",C375)),ISNUMBER(SEARCH("JOE SAUNDERS",C375))),"Zelle to Joe Saunders",IF(OR(ISNUMBER(SEARCH("NEW ORLEANS",C375)),ISNUMBER(SEARCH("KENNER",C375)),ISNUMBER(SEARCH("HENRY HOWARD",C375)),ISNUMBER(SEARCH("MISS CLAUDIA",C375))),"Personal Travel - New Orleans",IFERROR(INDEX('Category Rules'!$B$2:$B$194,MATCH(TRUE,ISNUMBER(SEARCH('Category Rules'!$A$2:$A$194,C375)),0)),"")))))))</f>
        <v>Transfer to Ava</v>
      </c>
    </row>
    <row r="376" spans="1:7" x14ac:dyDescent="0.25">
      <c r="A376" t="s">
        <v>6</v>
      </c>
      <c r="B376" s="1">
        <v>46161</v>
      </c>
      <c r="C376" t="s">
        <v>362</v>
      </c>
      <c r="D376">
        <v>-14.79</v>
      </c>
      <c r="E376" t="s">
        <v>14</v>
      </c>
      <c r="F376">
        <v>6187.86</v>
      </c>
      <c r="G376" t="str" cm="1">
        <f t="array" ref="G376">IF(AND(ISNUMBER(SEARCH("UBER",C376)),ISNUMBER(SEARCH("EATS",C376))),"Uber Eats",IF(LEFT(C376,6)="CHECK ","Checks Paid",IF(OR(E376="BILLPAY",ISNUMBER(SEARCH("FRANCHISE TAX",C376)),ISNUMBER(SEARCH("NEXTLINK",C376))),"Personal - House Bills",IF(AND(ISNUMBER(SEARCH("PAYMENT FROM",C376)),ISNUMBER(SEARCH("JOE SAUNDERS",C376))),"Zelle from Joe Saunders",IF(AND(ISNUMBER(SEARCH("PAYMENT TO",C376)),ISNUMBER(SEARCH("JOE SAUNDERS",C376))),"Zelle to Joe Saunders",IF(OR(ISNUMBER(SEARCH("NEW ORLEANS",C376)),ISNUMBER(SEARCH("KENNER",C376)),ISNUMBER(SEARCH("HENRY HOWARD",C376)),ISNUMBER(SEARCH("MISS CLAUDIA",C376))),"Personal Travel - New Orleans",IFERROR(INDEX('Category Rules'!$B$2:$B$194,MATCH(TRUE,ISNUMBER(SEARCH('Category Rules'!$A$2:$A$194,C376)),0)),"")))))))</f>
        <v>Personal - Uber</v>
      </c>
    </row>
    <row r="377" spans="1:7" x14ac:dyDescent="0.25">
      <c r="A377" t="s">
        <v>6</v>
      </c>
      <c r="B377" s="1">
        <v>46161</v>
      </c>
      <c r="C377" t="s">
        <v>363</v>
      </c>
      <c r="D377">
        <v>-29.48</v>
      </c>
      <c r="E377" t="s">
        <v>14</v>
      </c>
      <c r="F377">
        <v>6202.65</v>
      </c>
      <c r="G377" t="str" cm="1">
        <f t="array" ref="G377">IF(AND(ISNUMBER(SEARCH("UBER",C377)),ISNUMBER(SEARCH("EATS",C377))),"Uber Eats",IF(LEFT(C377,6)="CHECK ","Checks Paid",IF(OR(E377="BILLPAY",ISNUMBER(SEARCH("FRANCHISE TAX",C377)),ISNUMBER(SEARCH("NEXTLINK",C377))),"Personal - House Bills",IF(AND(ISNUMBER(SEARCH("PAYMENT FROM",C377)),ISNUMBER(SEARCH("JOE SAUNDERS",C377))),"Zelle from Joe Saunders",IF(AND(ISNUMBER(SEARCH("PAYMENT TO",C377)),ISNUMBER(SEARCH("JOE SAUNDERS",C377))),"Zelle to Joe Saunders",IF(OR(ISNUMBER(SEARCH("NEW ORLEANS",C377)),ISNUMBER(SEARCH("KENNER",C377)),ISNUMBER(SEARCH("HENRY HOWARD",C377)),ISNUMBER(SEARCH("MISS CLAUDIA",C377))),"Personal Travel - New Orleans",IFERROR(INDEX('Category Rules'!$B$2:$B$194,MATCH(TRUE,ISNUMBER(SEARCH('Category Rules'!$A$2:$A$194,C377)),0)),"")))))))</f>
        <v>Personal - Uber</v>
      </c>
    </row>
    <row r="378" spans="1:7" x14ac:dyDescent="0.25">
      <c r="A378" t="s">
        <v>6</v>
      </c>
      <c r="B378" s="1">
        <v>46161</v>
      </c>
      <c r="C378" t="s">
        <v>364</v>
      </c>
      <c r="D378">
        <v>-430.5</v>
      </c>
      <c r="E378" t="s">
        <v>14</v>
      </c>
      <c r="F378">
        <v>6232.13</v>
      </c>
      <c r="G378" t="str" cm="1">
        <f t="array" ref="G378">IF(AND(ISNUMBER(SEARCH("UBER",C378)),ISNUMBER(SEARCH("EATS",C378))),"Uber Eats",IF(LEFT(C378,6)="CHECK ","Checks Paid",IF(OR(E378="BILLPAY",ISNUMBER(SEARCH("FRANCHISE TAX",C378)),ISNUMBER(SEARCH("NEXTLINK",C378))),"Personal - House Bills",IF(AND(ISNUMBER(SEARCH("PAYMENT FROM",C378)),ISNUMBER(SEARCH("JOE SAUNDERS",C378))),"Zelle from Joe Saunders",IF(AND(ISNUMBER(SEARCH("PAYMENT TO",C378)),ISNUMBER(SEARCH("JOE SAUNDERS",C378))),"Zelle to Joe Saunders",IF(OR(ISNUMBER(SEARCH("NEW ORLEANS",C378)),ISNUMBER(SEARCH("KENNER",C378)),ISNUMBER(SEARCH("HENRY HOWARD",C378)),ISNUMBER(SEARCH("MISS CLAUDIA",C378))),"Personal Travel - New Orleans",IFERROR(INDEX('Category Rules'!$B$2:$B$194,MATCH(TRUE,ISNUMBER(SEARCH('Category Rules'!$A$2:$A$194,C378)),0)),"")))))))</f>
        <v>Personal Travel - New Orleans</v>
      </c>
    </row>
    <row r="379" spans="1:7" x14ac:dyDescent="0.25">
      <c r="A379" t="s">
        <v>6</v>
      </c>
      <c r="B379" s="1">
        <v>46161</v>
      </c>
      <c r="C379" t="s">
        <v>365</v>
      </c>
      <c r="D379">
        <v>-24.25</v>
      </c>
      <c r="E379" t="s">
        <v>14</v>
      </c>
      <c r="F379">
        <v>6662.63</v>
      </c>
      <c r="G379" t="str" cm="1">
        <f t="array" ref="G379">IF(AND(ISNUMBER(SEARCH("UBER",C379)),ISNUMBER(SEARCH("EATS",C379))),"Uber Eats",IF(LEFT(C379,6)="CHECK ","Checks Paid",IF(OR(E379="BILLPAY",ISNUMBER(SEARCH("FRANCHISE TAX",C379)),ISNUMBER(SEARCH("NEXTLINK",C379))),"Personal - House Bills",IF(AND(ISNUMBER(SEARCH("PAYMENT FROM",C379)),ISNUMBER(SEARCH("JOE SAUNDERS",C379))),"Zelle from Joe Saunders",IF(AND(ISNUMBER(SEARCH("PAYMENT TO",C379)),ISNUMBER(SEARCH("JOE SAUNDERS",C379))),"Zelle to Joe Saunders",IF(OR(ISNUMBER(SEARCH("NEW ORLEANS",C379)),ISNUMBER(SEARCH("KENNER",C379)),ISNUMBER(SEARCH("HENRY HOWARD",C379)),ISNUMBER(SEARCH("MISS CLAUDIA",C379))),"Personal Travel - New Orleans",IFERROR(INDEX('Category Rules'!$B$2:$B$194,MATCH(TRUE,ISNUMBER(SEARCH('Category Rules'!$A$2:$A$194,C379)),0)),"")))))))</f>
        <v>Personal Travel - New Orleans</v>
      </c>
    </row>
    <row r="380" spans="1:7" x14ac:dyDescent="0.25">
      <c r="A380" t="s">
        <v>6</v>
      </c>
      <c r="B380" s="1">
        <v>46161</v>
      </c>
      <c r="C380" t="s">
        <v>365</v>
      </c>
      <c r="D380">
        <v>-377.05</v>
      </c>
      <c r="E380" t="s">
        <v>14</v>
      </c>
      <c r="F380">
        <v>6686.88</v>
      </c>
      <c r="G380" t="str" cm="1">
        <f t="array" ref="G380">IF(AND(ISNUMBER(SEARCH("UBER",C380)),ISNUMBER(SEARCH("EATS",C380))),"Uber Eats",IF(LEFT(C380,6)="CHECK ","Checks Paid",IF(OR(E380="BILLPAY",ISNUMBER(SEARCH("FRANCHISE TAX",C380)),ISNUMBER(SEARCH("NEXTLINK",C380))),"Personal - House Bills",IF(AND(ISNUMBER(SEARCH("PAYMENT FROM",C380)),ISNUMBER(SEARCH("JOE SAUNDERS",C380))),"Zelle from Joe Saunders",IF(AND(ISNUMBER(SEARCH("PAYMENT TO",C380)),ISNUMBER(SEARCH("JOE SAUNDERS",C380))),"Zelle to Joe Saunders",IF(OR(ISNUMBER(SEARCH("NEW ORLEANS",C380)),ISNUMBER(SEARCH("KENNER",C380)),ISNUMBER(SEARCH("HENRY HOWARD",C380)),ISNUMBER(SEARCH("MISS CLAUDIA",C380))),"Personal Travel - New Orleans",IFERROR(INDEX('Category Rules'!$B$2:$B$194,MATCH(TRUE,ISNUMBER(SEARCH('Category Rules'!$A$2:$A$194,C380)),0)),"")))))))</f>
        <v>Personal Travel - New Orleans</v>
      </c>
    </row>
    <row r="381" spans="1:7" x14ac:dyDescent="0.25">
      <c r="A381" t="s">
        <v>6</v>
      </c>
      <c r="B381" s="1">
        <v>46161</v>
      </c>
      <c r="C381" t="s">
        <v>366</v>
      </c>
      <c r="D381">
        <v>-23.39</v>
      </c>
      <c r="E381" t="s">
        <v>14</v>
      </c>
      <c r="F381">
        <v>7063.93</v>
      </c>
      <c r="G381" t="str" cm="1">
        <f t="array" ref="G381">IF(AND(ISNUMBER(SEARCH("UBER",C381)),ISNUMBER(SEARCH("EATS",C381))),"Uber Eats",IF(LEFT(C381,6)="CHECK ","Checks Paid",IF(OR(E381="BILLPAY",ISNUMBER(SEARCH("FRANCHISE TAX",C381)),ISNUMBER(SEARCH("NEXTLINK",C381))),"Personal - House Bills",IF(AND(ISNUMBER(SEARCH("PAYMENT FROM",C381)),ISNUMBER(SEARCH("JOE SAUNDERS",C381))),"Zelle from Joe Saunders",IF(AND(ISNUMBER(SEARCH("PAYMENT TO",C381)),ISNUMBER(SEARCH("JOE SAUNDERS",C381))),"Zelle to Joe Saunders",IF(OR(ISNUMBER(SEARCH("NEW ORLEANS",C381)),ISNUMBER(SEARCH("KENNER",C381)),ISNUMBER(SEARCH("HENRY HOWARD",C381)),ISNUMBER(SEARCH("MISS CLAUDIA",C381))),"Personal Travel - New Orleans",IFERROR(INDEX('Category Rules'!$B$2:$B$194,MATCH(TRUE,ISNUMBER(SEARCH('Category Rules'!$A$2:$A$194,C381)),0)),"")))))))</f>
        <v>Personal Travel - New Orleans</v>
      </c>
    </row>
    <row r="382" spans="1:7" x14ac:dyDescent="0.25">
      <c r="A382" t="s">
        <v>6</v>
      </c>
      <c r="B382" s="1">
        <v>46161</v>
      </c>
      <c r="C382" t="s">
        <v>367</v>
      </c>
      <c r="D382">
        <v>-75</v>
      </c>
      <c r="E382" t="s">
        <v>14</v>
      </c>
      <c r="F382">
        <v>7087.32</v>
      </c>
      <c r="G382" t="str" cm="1">
        <f t="array" ref="G382">IF(AND(ISNUMBER(SEARCH("UBER",C382)),ISNUMBER(SEARCH("EATS",C382))),"Uber Eats",IF(LEFT(C382,6)="CHECK ","Checks Paid",IF(OR(E382="BILLPAY",ISNUMBER(SEARCH("FRANCHISE TAX",C382)),ISNUMBER(SEARCH("NEXTLINK",C382))),"Personal - House Bills",IF(AND(ISNUMBER(SEARCH("PAYMENT FROM",C382)),ISNUMBER(SEARCH("JOE SAUNDERS",C382))),"Zelle from Joe Saunders",IF(AND(ISNUMBER(SEARCH("PAYMENT TO",C382)),ISNUMBER(SEARCH("JOE SAUNDERS",C382))),"Zelle to Joe Saunders",IF(OR(ISNUMBER(SEARCH("NEW ORLEANS",C382)),ISNUMBER(SEARCH("KENNER",C382)),ISNUMBER(SEARCH("HENRY HOWARD",C382)),ISNUMBER(SEARCH("MISS CLAUDIA",C382))),"Personal Travel - New Orleans",IFERROR(INDEX('Category Rules'!$B$2:$B$194,MATCH(TRUE,ISNUMBER(SEARCH('Category Rules'!$A$2:$A$194,C382)),0)),"")))))))</f>
        <v>Amazon</v>
      </c>
    </row>
    <row r="383" spans="1:7" x14ac:dyDescent="0.25">
      <c r="A383" t="s">
        <v>37</v>
      </c>
      <c r="B383" s="1">
        <v>46161</v>
      </c>
      <c r="C383" t="s">
        <v>368</v>
      </c>
      <c r="D383">
        <v>3000</v>
      </c>
      <c r="E383" t="s">
        <v>39</v>
      </c>
      <c r="F383">
        <v>7162.32</v>
      </c>
      <c r="G383" t="str" cm="1">
        <f t="array" ref="G383">IF(AND(ISNUMBER(SEARCH("UBER",C383)),ISNUMBER(SEARCH("EATS",C383))),"Uber Eats",IF(LEFT(C383,6)="CHECK ","Checks Paid",IF(OR(E383="BILLPAY",ISNUMBER(SEARCH("FRANCHISE TAX",C383)),ISNUMBER(SEARCH("NEXTLINK",C383))),"Personal - House Bills",IF(AND(ISNUMBER(SEARCH("PAYMENT FROM",C383)),ISNUMBER(SEARCH("JOE SAUNDERS",C383))),"Zelle from Joe Saunders",IF(AND(ISNUMBER(SEARCH("PAYMENT TO",C383)),ISNUMBER(SEARCH("JOE SAUNDERS",C383))),"Zelle to Joe Saunders",IF(OR(ISNUMBER(SEARCH("NEW ORLEANS",C383)),ISNUMBER(SEARCH("KENNER",C383)),ISNUMBER(SEARCH("HENRY HOWARD",C383)),ISNUMBER(SEARCH("MISS CLAUDIA",C383))),"Personal Travel - New Orleans",IFERROR(INDEX('Category Rules'!$B$2:$B$194,MATCH(TRUE,ISNUMBER(SEARCH('Category Rules'!$A$2:$A$194,C383)),0)),"")))))))</f>
        <v>Transfer from DWG Capital Group</v>
      </c>
    </row>
    <row r="384" spans="1:7" x14ac:dyDescent="0.25">
      <c r="A384" t="s">
        <v>6</v>
      </c>
      <c r="B384" s="1">
        <v>46160</v>
      </c>
      <c r="C384" t="s">
        <v>369</v>
      </c>
      <c r="D384">
        <v>-34.17</v>
      </c>
      <c r="E384" t="s">
        <v>14</v>
      </c>
      <c r="F384">
        <v>4162.32</v>
      </c>
      <c r="G384" t="str" cm="1">
        <f t="array" ref="G384">IF(AND(ISNUMBER(SEARCH("UBER",C384)),ISNUMBER(SEARCH("EATS",C384))),"Uber Eats",IF(LEFT(C384,6)="CHECK ","Checks Paid",IF(OR(E384="BILLPAY",ISNUMBER(SEARCH("FRANCHISE TAX",C384)),ISNUMBER(SEARCH("NEXTLINK",C384))),"Personal - House Bills",IF(AND(ISNUMBER(SEARCH("PAYMENT FROM",C384)),ISNUMBER(SEARCH("JOE SAUNDERS",C384))),"Zelle from Joe Saunders",IF(AND(ISNUMBER(SEARCH("PAYMENT TO",C384)),ISNUMBER(SEARCH("JOE SAUNDERS",C384))),"Zelle to Joe Saunders",IF(OR(ISNUMBER(SEARCH("NEW ORLEANS",C384)),ISNUMBER(SEARCH("KENNER",C384)),ISNUMBER(SEARCH("HENRY HOWARD",C384)),ISNUMBER(SEARCH("MISS CLAUDIA",C384))),"Personal Travel - New Orleans",IFERROR(INDEX('Category Rules'!$B$2:$B$194,MATCH(TRUE,ISNUMBER(SEARCH('Category Rules'!$A$2:$A$194,C384)),0)),"")))))))</f>
        <v>Personal - Uber</v>
      </c>
    </row>
    <row r="385" spans="1:7" x14ac:dyDescent="0.25">
      <c r="A385" t="s">
        <v>6</v>
      </c>
      <c r="B385" s="1">
        <v>46160</v>
      </c>
      <c r="C385" t="s">
        <v>370</v>
      </c>
      <c r="D385">
        <v>-30.7</v>
      </c>
      <c r="E385" t="s">
        <v>14</v>
      </c>
      <c r="F385">
        <v>4196.49</v>
      </c>
      <c r="G385" t="str" cm="1">
        <f t="array" ref="G385">IF(AND(ISNUMBER(SEARCH("UBER",C385)),ISNUMBER(SEARCH("EATS",C385))),"Uber Eats",IF(LEFT(C385,6)="CHECK ","Checks Paid",IF(OR(E385="BILLPAY",ISNUMBER(SEARCH("FRANCHISE TAX",C385)),ISNUMBER(SEARCH("NEXTLINK",C385))),"Personal - House Bills",IF(AND(ISNUMBER(SEARCH("PAYMENT FROM",C385)),ISNUMBER(SEARCH("JOE SAUNDERS",C385))),"Zelle from Joe Saunders",IF(AND(ISNUMBER(SEARCH("PAYMENT TO",C385)),ISNUMBER(SEARCH("JOE SAUNDERS",C385))),"Zelle to Joe Saunders",IF(OR(ISNUMBER(SEARCH("NEW ORLEANS",C385)),ISNUMBER(SEARCH("KENNER",C385)),ISNUMBER(SEARCH("HENRY HOWARD",C385)),ISNUMBER(SEARCH("MISS CLAUDIA",C385))),"Personal Travel - New Orleans",IFERROR(INDEX('Category Rules'!$B$2:$B$194,MATCH(TRUE,ISNUMBER(SEARCH('Category Rules'!$A$2:$A$194,C385)),0)),"")))))))</f>
        <v>Personal - Uber</v>
      </c>
    </row>
    <row r="386" spans="1:7" x14ac:dyDescent="0.25">
      <c r="A386" t="s">
        <v>6</v>
      </c>
      <c r="B386" s="1">
        <v>46160</v>
      </c>
      <c r="C386" t="s">
        <v>371</v>
      </c>
      <c r="D386">
        <v>-16.16</v>
      </c>
      <c r="E386" t="s">
        <v>14</v>
      </c>
      <c r="F386">
        <v>4227.1899999999996</v>
      </c>
      <c r="G386" t="str" cm="1">
        <f t="array" ref="G386">IF(AND(ISNUMBER(SEARCH("UBER",C386)),ISNUMBER(SEARCH("EATS",C386))),"Uber Eats",IF(LEFT(C386,6)="CHECK ","Checks Paid",IF(OR(E386="BILLPAY",ISNUMBER(SEARCH("FRANCHISE TAX",C386)),ISNUMBER(SEARCH("NEXTLINK",C386))),"Personal - House Bills",IF(AND(ISNUMBER(SEARCH("PAYMENT FROM",C386)),ISNUMBER(SEARCH("JOE SAUNDERS",C386))),"Zelle from Joe Saunders",IF(AND(ISNUMBER(SEARCH("PAYMENT TO",C386)),ISNUMBER(SEARCH("JOE SAUNDERS",C386))),"Zelle to Joe Saunders",IF(OR(ISNUMBER(SEARCH("NEW ORLEANS",C386)),ISNUMBER(SEARCH("KENNER",C386)),ISNUMBER(SEARCH("HENRY HOWARD",C386)),ISNUMBER(SEARCH("MISS CLAUDIA",C386))),"Personal Travel - New Orleans",IFERROR(INDEX('Category Rules'!$B$2:$B$194,MATCH(TRUE,ISNUMBER(SEARCH('Category Rules'!$A$2:$A$194,C386)),0)),"")))))))</f>
        <v>Personal Travel - New Orleans</v>
      </c>
    </row>
    <row r="387" spans="1:7" x14ac:dyDescent="0.25">
      <c r="A387" t="s">
        <v>6</v>
      </c>
      <c r="B387" s="1">
        <v>46160</v>
      </c>
      <c r="C387" t="s">
        <v>372</v>
      </c>
      <c r="D387">
        <v>-160.65</v>
      </c>
      <c r="E387" t="s">
        <v>14</v>
      </c>
      <c r="F387">
        <v>4243.3500000000004</v>
      </c>
      <c r="G387" t="str" cm="1">
        <f t="array" ref="G387">IF(AND(ISNUMBER(SEARCH("UBER",C387)),ISNUMBER(SEARCH("EATS",C387))),"Uber Eats",IF(LEFT(C387,6)="CHECK ","Checks Paid",IF(OR(E387="BILLPAY",ISNUMBER(SEARCH("FRANCHISE TAX",C387)),ISNUMBER(SEARCH("NEXTLINK",C387))),"Personal - House Bills",IF(AND(ISNUMBER(SEARCH("PAYMENT FROM",C387)),ISNUMBER(SEARCH("JOE SAUNDERS",C387))),"Zelle from Joe Saunders",IF(AND(ISNUMBER(SEARCH("PAYMENT TO",C387)),ISNUMBER(SEARCH("JOE SAUNDERS",C387))),"Zelle to Joe Saunders",IF(OR(ISNUMBER(SEARCH("NEW ORLEANS",C387)),ISNUMBER(SEARCH("KENNER",C387)),ISNUMBER(SEARCH("HENRY HOWARD",C387)),ISNUMBER(SEARCH("MISS CLAUDIA",C387))),"Personal Travel - New Orleans",IFERROR(INDEX('Category Rules'!$B$2:$B$194,MATCH(TRUE,ISNUMBER(SEARCH('Category Rules'!$A$2:$A$194,C387)),0)),"")))))))</f>
        <v>Personal Travel - New Orleans</v>
      </c>
    </row>
    <row r="388" spans="1:7" x14ac:dyDescent="0.25">
      <c r="A388" t="s">
        <v>6</v>
      </c>
      <c r="B388" s="1">
        <v>46160</v>
      </c>
      <c r="C388" t="s">
        <v>373</v>
      </c>
      <c r="D388">
        <v>-15.34</v>
      </c>
      <c r="E388" t="s">
        <v>14</v>
      </c>
      <c r="F388">
        <v>4404</v>
      </c>
      <c r="G388" t="str" cm="1">
        <f t="array" ref="G388">IF(AND(ISNUMBER(SEARCH("UBER",C388)),ISNUMBER(SEARCH("EATS",C388))),"Uber Eats",IF(LEFT(C388,6)="CHECK ","Checks Paid",IF(OR(E388="BILLPAY",ISNUMBER(SEARCH("FRANCHISE TAX",C388)),ISNUMBER(SEARCH("NEXTLINK",C388))),"Personal - House Bills",IF(AND(ISNUMBER(SEARCH("PAYMENT FROM",C388)),ISNUMBER(SEARCH("JOE SAUNDERS",C388))),"Zelle from Joe Saunders",IF(AND(ISNUMBER(SEARCH("PAYMENT TO",C388)),ISNUMBER(SEARCH("JOE SAUNDERS",C388))),"Zelle to Joe Saunders",IF(OR(ISNUMBER(SEARCH("NEW ORLEANS",C388)),ISNUMBER(SEARCH("KENNER",C388)),ISNUMBER(SEARCH("HENRY HOWARD",C388)),ISNUMBER(SEARCH("MISS CLAUDIA",C388))),"Personal Travel - New Orleans",IFERROR(INDEX('Category Rules'!$B$2:$B$194,MATCH(TRUE,ISNUMBER(SEARCH('Category Rules'!$A$2:$A$194,C388)),0)),"")))))))</f>
        <v>Personal - Uber</v>
      </c>
    </row>
    <row r="389" spans="1:7" x14ac:dyDescent="0.25">
      <c r="A389" t="s">
        <v>6</v>
      </c>
      <c r="B389" s="1">
        <v>46160</v>
      </c>
      <c r="C389" t="s">
        <v>374</v>
      </c>
      <c r="D389">
        <v>-30</v>
      </c>
      <c r="E389" t="s">
        <v>14</v>
      </c>
      <c r="F389">
        <v>4419.34</v>
      </c>
      <c r="G389" t="str" cm="1">
        <f t="array" ref="G389">IF(AND(ISNUMBER(SEARCH("UBER",C389)),ISNUMBER(SEARCH("EATS",C389))),"Uber Eats",IF(LEFT(C389,6)="CHECK ","Checks Paid",IF(OR(E389="BILLPAY",ISNUMBER(SEARCH("FRANCHISE TAX",C389)),ISNUMBER(SEARCH("NEXTLINK",C389))),"Personal - House Bills",IF(AND(ISNUMBER(SEARCH("PAYMENT FROM",C389)),ISNUMBER(SEARCH("JOE SAUNDERS",C389))),"Zelle from Joe Saunders",IF(AND(ISNUMBER(SEARCH("PAYMENT TO",C389)),ISNUMBER(SEARCH("JOE SAUNDERS",C389))),"Zelle to Joe Saunders",IF(OR(ISNUMBER(SEARCH("NEW ORLEANS",C389)),ISNUMBER(SEARCH("KENNER",C389)),ISNUMBER(SEARCH("HENRY HOWARD",C389)),ISNUMBER(SEARCH("MISS CLAUDIA",C389))),"Personal Travel - New Orleans",IFERROR(INDEX('Category Rules'!$B$2:$B$194,MATCH(TRUE,ISNUMBER(SEARCH('Category Rules'!$A$2:$A$194,C389)),0)),"")))))))</f>
        <v>Personal - Subscription</v>
      </c>
    </row>
    <row r="390" spans="1:7" x14ac:dyDescent="0.25">
      <c r="A390" t="s">
        <v>6</v>
      </c>
      <c r="B390" s="1">
        <v>46160</v>
      </c>
      <c r="C390" t="s">
        <v>375</v>
      </c>
      <c r="D390">
        <v>-50</v>
      </c>
      <c r="E390" t="s">
        <v>14</v>
      </c>
      <c r="F390">
        <v>4449.34</v>
      </c>
      <c r="G390" t="str" cm="1">
        <f t="array" ref="G390">IF(AND(ISNUMBER(SEARCH("UBER",C390)),ISNUMBER(SEARCH("EATS",C390))),"Uber Eats",IF(LEFT(C390,6)="CHECK ","Checks Paid",IF(OR(E390="BILLPAY",ISNUMBER(SEARCH("FRANCHISE TAX",C390)),ISNUMBER(SEARCH("NEXTLINK",C390))),"Personal - House Bills",IF(AND(ISNUMBER(SEARCH("PAYMENT FROM",C390)),ISNUMBER(SEARCH("JOE SAUNDERS",C390))),"Zelle from Joe Saunders",IF(AND(ISNUMBER(SEARCH("PAYMENT TO",C390)),ISNUMBER(SEARCH("JOE SAUNDERS",C390))),"Zelle to Joe Saunders",IF(OR(ISNUMBER(SEARCH("NEW ORLEANS",C390)),ISNUMBER(SEARCH("KENNER",C390)),ISNUMBER(SEARCH("HENRY HOWARD",C390)),ISNUMBER(SEARCH("MISS CLAUDIA",C390))),"Personal Travel - New Orleans",IFERROR(INDEX('Category Rules'!$B$2:$B$194,MATCH(TRUE,ISNUMBER(SEARCH('Category Rules'!$A$2:$A$194,C390)),0)),"")))))))</f>
        <v>Personal Travel</v>
      </c>
    </row>
    <row r="391" spans="1:7" x14ac:dyDescent="0.25">
      <c r="A391" t="s">
        <v>6</v>
      </c>
      <c r="B391" s="1">
        <v>46160</v>
      </c>
      <c r="C391" t="s">
        <v>376</v>
      </c>
      <c r="D391">
        <v>-500</v>
      </c>
      <c r="E391" t="s">
        <v>48</v>
      </c>
      <c r="F391">
        <v>4499.34</v>
      </c>
      <c r="G391" t="str" cm="1">
        <f t="array" ref="G391">IF(AND(ISNUMBER(SEARCH("UBER",C391)),ISNUMBER(SEARCH("EATS",C391))),"Uber Eats",IF(LEFT(C391,6)="CHECK ","Checks Paid",IF(OR(E391="BILLPAY",ISNUMBER(SEARCH("FRANCHISE TAX",C391)),ISNUMBER(SEARCH("NEXTLINK",C391))),"Personal - House Bills",IF(AND(ISNUMBER(SEARCH("PAYMENT FROM",C391)),ISNUMBER(SEARCH("JOE SAUNDERS",C391))),"Zelle from Joe Saunders",IF(AND(ISNUMBER(SEARCH("PAYMENT TO",C391)),ISNUMBER(SEARCH("JOE SAUNDERS",C391))),"Zelle to Joe Saunders",IF(OR(ISNUMBER(SEARCH("NEW ORLEANS",C391)),ISNUMBER(SEARCH("KENNER",C391)),ISNUMBER(SEARCH("HENRY HOWARD",C391)),ISNUMBER(SEARCH("MISS CLAUDIA",C391))),"Personal Travel - New Orleans",IFERROR(INDEX('Category Rules'!$B$2:$B$194,MATCH(TRUE,ISNUMBER(SEARCH('Category Rules'!$A$2:$A$194,C391)),0)),"")))))))</f>
        <v>Withdrawal</v>
      </c>
    </row>
    <row r="392" spans="1:7" x14ac:dyDescent="0.25">
      <c r="A392" t="s">
        <v>6</v>
      </c>
      <c r="B392" s="1">
        <v>46160</v>
      </c>
      <c r="C392" t="s">
        <v>377</v>
      </c>
      <c r="D392">
        <v>-651.78</v>
      </c>
      <c r="E392" t="s">
        <v>14</v>
      </c>
      <c r="F392">
        <v>4999.34</v>
      </c>
      <c r="G392" t="str" cm="1">
        <f t="array" ref="G392">IF(AND(ISNUMBER(SEARCH("UBER",C392)),ISNUMBER(SEARCH("EATS",C392))),"Uber Eats",IF(LEFT(C392,6)="CHECK ","Checks Paid",IF(OR(E392="BILLPAY",ISNUMBER(SEARCH("FRANCHISE TAX",C392)),ISNUMBER(SEARCH("NEXTLINK",C392))),"Personal - House Bills",IF(AND(ISNUMBER(SEARCH("PAYMENT FROM",C392)),ISNUMBER(SEARCH("JOE SAUNDERS",C392))),"Zelle from Joe Saunders",IF(AND(ISNUMBER(SEARCH("PAYMENT TO",C392)),ISNUMBER(SEARCH("JOE SAUNDERS",C392))),"Zelle to Joe Saunders",IF(OR(ISNUMBER(SEARCH("NEW ORLEANS",C392)),ISNUMBER(SEARCH("KENNER",C392)),ISNUMBER(SEARCH("HENRY HOWARD",C392)),ISNUMBER(SEARCH("MISS CLAUDIA",C392))),"Personal Travel - New Orleans",IFERROR(INDEX('Category Rules'!$B$2:$B$194,MATCH(TRUE,ISNUMBER(SEARCH('Category Rules'!$A$2:$A$194,C392)),0)),"")))))))</f>
        <v>Personal - Shopping</v>
      </c>
    </row>
    <row r="393" spans="1:7" x14ac:dyDescent="0.25">
      <c r="A393" t="s">
        <v>6</v>
      </c>
      <c r="B393" s="1">
        <v>46160</v>
      </c>
      <c r="C393" t="s">
        <v>378</v>
      </c>
      <c r="D393">
        <v>-39.9</v>
      </c>
      <c r="E393" t="s">
        <v>14</v>
      </c>
      <c r="F393">
        <v>5651.12</v>
      </c>
      <c r="G393" t="str" cm="1">
        <f t="array" ref="G393">IF(AND(ISNUMBER(SEARCH("UBER",C393)),ISNUMBER(SEARCH("EATS",C393))),"Uber Eats",IF(LEFT(C393,6)="CHECK ","Checks Paid",IF(OR(E393="BILLPAY",ISNUMBER(SEARCH("FRANCHISE TAX",C393)),ISNUMBER(SEARCH("NEXTLINK",C393))),"Personal - House Bills",IF(AND(ISNUMBER(SEARCH("PAYMENT FROM",C393)),ISNUMBER(SEARCH("JOE SAUNDERS",C393))),"Zelle from Joe Saunders",IF(AND(ISNUMBER(SEARCH("PAYMENT TO",C393)),ISNUMBER(SEARCH("JOE SAUNDERS",C393))),"Zelle to Joe Saunders",IF(OR(ISNUMBER(SEARCH("NEW ORLEANS",C393)),ISNUMBER(SEARCH("KENNER",C393)),ISNUMBER(SEARCH("HENRY HOWARD",C393)),ISNUMBER(SEARCH("MISS CLAUDIA",C393))),"Personal Travel - New Orleans",IFERROR(INDEX('Category Rules'!$B$2:$B$194,MATCH(TRUE,ISNUMBER(SEARCH('Category Rules'!$A$2:$A$194,C393)),0)),"")))))))</f>
        <v>Personal Travel</v>
      </c>
    </row>
    <row r="394" spans="1:7" x14ac:dyDescent="0.25">
      <c r="A394" t="s">
        <v>6</v>
      </c>
      <c r="B394" s="1">
        <v>46160</v>
      </c>
      <c r="C394" t="s">
        <v>378</v>
      </c>
      <c r="D394">
        <v>-39.9</v>
      </c>
      <c r="E394" t="s">
        <v>14</v>
      </c>
      <c r="F394">
        <v>5691.02</v>
      </c>
      <c r="G394" t="str" cm="1">
        <f t="array" ref="G394">IF(AND(ISNUMBER(SEARCH("UBER",C394)),ISNUMBER(SEARCH("EATS",C394))),"Uber Eats",IF(LEFT(C394,6)="CHECK ","Checks Paid",IF(OR(E394="BILLPAY",ISNUMBER(SEARCH("FRANCHISE TAX",C394)),ISNUMBER(SEARCH("NEXTLINK",C394))),"Personal - House Bills",IF(AND(ISNUMBER(SEARCH("PAYMENT FROM",C394)),ISNUMBER(SEARCH("JOE SAUNDERS",C394))),"Zelle from Joe Saunders",IF(AND(ISNUMBER(SEARCH("PAYMENT TO",C394)),ISNUMBER(SEARCH("JOE SAUNDERS",C394))),"Zelle to Joe Saunders",IF(OR(ISNUMBER(SEARCH("NEW ORLEANS",C394)),ISNUMBER(SEARCH("KENNER",C394)),ISNUMBER(SEARCH("HENRY HOWARD",C394)),ISNUMBER(SEARCH("MISS CLAUDIA",C394))),"Personal Travel - New Orleans",IFERROR(INDEX('Category Rules'!$B$2:$B$194,MATCH(TRUE,ISNUMBER(SEARCH('Category Rules'!$A$2:$A$194,C394)),0)),"")))))))</f>
        <v>Personal Travel</v>
      </c>
    </row>
    <row r="395" spans="1:7" x14ac:dyDescent="0.25">
      <c r="A395" t="s">
        <v>6</v>
      </c>
      <c r="B395" s="1">
        <v>46160</v>
      </c>
      <c r="C395" t="s">
        <v>379</v>
      </c>
      <c r="D395">
        <v>-293.07</v>
      </c>
      <c r="E395" t="s">
        <v>14</v>
      </c>
      <c r="F395">
        <v>5730.92</v>
      </c>
      <c r="G395" t="str" cm="1">
        <f t="array" ref="G395">IF(AND(ISNUMBER(SEARCH("UBER",C395)),ISNUMBER(SEARCH("EATS",C395))),"Uber Eats",IF(LEFT(C395,6)="CHECK ","Checks Paid",IF(OR(E395="BILLPAY",ISNUMBER(SEARCH("FRANCHISE TAX",C395)),ISNUMBER(SEARCH("NEXTLINK",C395))),"Personal - House Bills",IF(AND(ISNUMBER(SEARCH("PAYMENT FROM",C395)),ISNUMBER(SEARCH("JOE SAUNDERS",C395))),"Zelle from Joe Saunders",IF(AND(ISNUMBER(SEARCH("PAYMENT TO",C395)),ISNUMBER(SEARCH("JOE SAUNDERS",C395))),"Zelle to Joe Saunders",IF(OR(ISNUMBER(SEARCH("NEW ORLEANS",C395)),ISNUMBER(SEARCH("KENNER",C395)),ISNUMBER(SEARCH("HENRY HOWARD",C395)),ISNUMBER(SEARCH("MISS CLAUDIA",C395))),"Personal Travel - New Orleans",IFERROR(INDEX('Category Rules'!$B$2:$B$194,MATCH(TRUE,ISNUMBER(SEARCH('Category Rules'!$A$2:$A$194,C395)),0)),"")))))))</f>
        <v>Personal - Health</v>
      </c>
    </row>
    <row r="396" spans="1:7" x14ac:dyDescent="0.25">
      <c r="A396" t="s">
        <v>6</v>
      </c>
      <c r="B396" s="1">
        <v>46160</v>
      </c>
      <c r="C396" t="s">
        <v>380</v>
      </c>
      <c r="D396">
        <v>-18.14</v>
      </c>
      <c r="E396" t="s">
        <v>14</v>
      </c>
      <c r="F396">
        <v>6023.99</v>
      </c>
      <c r="G396" t="str" cm="1">
        <f t="array" ref="G396">IF(AND(ISNUMBER(SEARCH("UBER",C396)),ISNUMBER(SEARCH("EATS",C396))),"Uber Eats",IF(LEFT(C396,6)="CHECK ","Checks Paid",IF(OR(E396="BILLPAY",ISNUMBER(SEARCH("FRANCHISE TAX",C396)),ISNUMBER(SEARCH("NEXTLINK",C396))),"Personal - House Bills",IF(AND(ISNUMBER(SEARCH("PAYMENT FROM",C396)),ISNUMBER(SEARCH("JOE SAUNDERS",C396))),"Zelle from Joe Saunders",IF(AND(ISNUMBER(SEARCH("PAYMENT TO",C396)),ISNUMBER(SEARCH("JOE SAUNDERS",C396))),"Zelle to Joe Saunders",IF(OR(ISNUMBER(SEARCH("NEW ORLEANS",C396)),ISNUMBER(SEARCH("KENNER",C396)),ISNUMBER(SEARCH("HENRY HOWARD",C396)),ISNUMBER(SEARCH("MISS CLAUDIA",C396))),"Personal Travel - New Orleans",IFERROR(INDEX('Category Rules'!$B$2:$B$194,MATCH(TRUE,ISNUMBER(SEARCH('Category Rules'!$A$2:$A$194,C396)),0)),"")))))))</f>
        <v>Amazon</v>
      </c>
    </row>
    <row r="397" spans="1:7" x14ac:dyDescent="0.25">
      <c r="A397" t="s">
        <v>6</v>
      </c>
      <c r="B397" s="1">
        <v>46160</v>
      </c>
      <c r="C397" t="s">
        <v>381</v>
      </c>
      <c r="D397">
        <v>-47.07</v>
      </c>
      <c r="E397" t="s">
        <v>14</v>
      </c>
      <c r="F397">
        <v>6042.13</v>
      </c>
      <c r="G397" t="str" cm="1">
        <f t="array" ref="G397">IF(AND(ISNUMBER(SEARCH("UBER",C397)),ISNUMBER(SEARCH("EATS",C397))),"Uber Eats",IF(LEFT(C397,6)="CHECK ","Checks Paid",IF(OR(E397="BILLPAY",ISNUMBER(SEARCH("FRANCHISE TAX",C397)),ISNUMBER(SEARCH("NEXTLINK",C397))),"Personal - House Bills",IF(AND(ISNUMBER(SEARCH("PAYMENT FROM",C397)),ISNUMBER(SEARCH("JOE SAUNDERS",C397))),"Zelle from Joe Saunders",IF(AND(ISNUMBER(SEARCH("PAYMENT TO",C397)),ISNUMBER(SEARCH("JOE SAUNDERS",C397))),"Zelle to Joe Saunders",IF(OR(ISNUMBER(SEARCH("NEW ORLEANS",C397)),ISNUMBER(SEARCH("KENNER",C397)),ISNUMBER(SEARCH("HENRY HOWARD",C397)),ISNUMBER(SEARCH("MISS CLAUDIA",C397))),"Personal Travel - New Orleans",IFERROR(INDEX('Category Rules'!$B$2:$B$194,MATCH(TRUE,ISNUMBER(SEARCH('Category Rules'!$A$2:$A$194,C397)),0)),"")))))))</f>
        <v>Amazon</v>
      </c>
    </row>
    <row r="398" spans="1:7" x14ac:dyDescent="0.25">
      <c r="A398" t="s">
        <v>6</v>
      </c>
      <c r="B398" s="1">
        <v>46160</v>
      </c>
      <c r="C398" t="s">
        <v>382</v>
      </c>
      <c r="D398">
        <v>-45</v>
      </c>
      <c r="E398" t="s">
        <v>14</v>
      </c>
      <c r="F398">
        <v>6089.2</v>
      </c>
      <c r="G398" t="str" cm="1">
        <f t="array" ref="G398">IF(AND(ISNUMBER(SEARCH("UBER",C398)),ISNUMBER(SEARCH("EATS",C398))),"Uber Eats",IF(LEFT(C398,6)="CHECK ","Checks Paid",IF(OR(E398="BILLPAY",ISNUMBER(SEARCH("FRANCHISE TAX",C398)),ISNUMBER(SEARCH("NEXTLINK",C398))),"Personal - House Bills",IF(AND(ISNUMBER(SEARCH("PAYMENT FROM",C398)),ISNUMBER(SEARCH("JOE SAUNDERS",C398))),"Zelle from Joe Saunders",IF(AND(ISNUMBER(SEARCH("PAYMENT TO",C398)),ISNUMBER(SEARCH("JOE SAUNDERS",C398))),"Zelle to Joe Saunders",IF(OR(ISNUMBER(SEARCH("NEW ORLEANS",C398)),ISNUMBER(SEARCH("KENNER",C398)),ISNUMBER(SEARCH("HENRY HOWARD",C398)),ISNUMBER(SEARCH("MISS CLAUDIA",C398))),"Personal Travel - New Orleans",IFERROR(INDEX('Category Rules'!$B$2:$B$194,MATCH(TRUE,ISNUMBER(SEARCH('Category Rules'!$A$2:$A$194,C398)),0)),"")))))))</f>
        <v>Personal Travel</v>
      </c>
    </row>
    <row r="399" spans="1:7" x14ac:dyDescent="0.25">
      <c r="A399" t="s">
        <v>6</v>
      </c>
      <c r="B399" s="1">
        <v>46160</v>
      </c>
      <c r="C399" t="s">
        <v>382</v>
      </c>
      <c r="D399">
        <v>-45</v>
      </c>
      <c r="E399" t="s">
        <v>14</v>
      </c>
      <c r="F399">
        <v>6134.2</v>
      </c>
      <c r="G399" t="str" cm="1">
        <f t="array" ref="G399">IF(AND(ISNUMBER(SEARCH("UBER",C399)),ISNUMBER(SEARCH("EATS",C399))),"Uber Eats",IF(LEFT(C399,6)="CHECK ","Checks Paid",IF(OR(E399="BILLPAY",ISNUMBER(SEARCH("FRANCHISE TAX",C399)),ISNUMBER(SEARCH("NEXTLINK",C399))),"Personal - House Bills",IF(AND(ISNUMBER(SEARCH("PAYMENT FROM",C399)),ISNUMBER(SEARCH("JOE SAUNDERS",C399))),"Zelle from Joe Saunders",IF(AND(ISNUMBER(SEARCH("PAYMENT TO",C399)),ISNUMBER(SEARCH("JOE SAUNDERS",C399))),"Zelle to Joe Saunders",IF(OR(ISNUMBER(SEARCH("NEW ORLEANS",C399)),ISNUMBER(SEARCH("KENNER",C399)),ISNUMBER(SEARCH("HENRY HOWARD",C399)),ISNUMBER(SEARCH("MISS CLAUDIA",C399))),"Personal Travel - New Orleans",IFERROR(INDEX('Category Rules'!$B$2:$B$194,MATCH(TRUE,ISNUMBER(SEARCH('Category Rules'!$A$2:$A$194,C399)),0)),"")))))))</f>
        <v>Personal Travel</v>
      </c>
    </row>
    <row r="400" spans="1:7" x14ac:dyDescent="0.25">
      <c r="A400" t="s">
        <v>6</v>
      </c>
      <c r="B400" s="1">
        <v>46160</v>
      </c>
      <c r="C400" t="s">
        <v>383</v>
      </c>
      <c r="D400">
        <v>-460.99</v>
      </c>
      <c r="E400" t="s">
        <v>14</v>
      </c>
      <c r="F400">
        <v>6179.2</v>
      </c>
      <c r="G400" t="str" cm="1">
        <f t="array" ref="G400">IF(AND(ISNUMBER(SEARCH("UBER",C400)),ISNUMBER(SEARCH("EATS",C400))),"Uber Eats",IF(LEFT(C400,6)="CHECK ","Checks Paid",IF(OR(E400="BILLPAY",ISNUMBER(SEARCH("FRANCHISE TAX",C400)),ISNUMBER(SEARCH("NEXTLINK",C400))),"Personal - House Bills",IF(AND(ISNUMBER(SEARCH("PAYMENT FROM",C400)),ISNUMBER(SEARCH("JOE SAUNDERS",C400))),"Zelle from Joe Saunders",IF(AND(ISNUMBER(SEARCH("PAYMENT TO",C400)),ISNUMBER(SEARCH("JOE SAUNDERS",C400))),"Zelle to Joe Saunders",IF(OR(ISNUMBER(SEARCH("NEW ORLEANS",C400)),ISNUMBER(SEARCH("KENNER",C400)),ISNUMBER(SEARCH("HENRY HOWARD",C400)),ISNUMBER(SEARCH("MISS CLAUDIA",C400))),"Personal Travel - New Orleans",IFERROR(INDEX('Category Rules'!$B$2:$B$194,MATCH(TRUE,ISNUMBER(SEARCH('Category Rules'!$A$2:$A$194,C400)),0)),"")))))))</f>
        <v>Personal - Food</v>
      </c>
    </row>
    <row r="401" spans="1:7" x14ac:dyDescent="0.25">
      <c r="A401" t="s">
        <v>6</v>
      </c>
      <c r="B401" s="1">
        <v>46160</v>
      </c>
      <c r="C401" t="s">
        <v>384</v>
      </c>
      <c r="D401">
        <v>-259.86</v>
      </c>
      <c r="E401" t="s">
        <v>14</v>
      </c>
      <c r="F401">
        <v>6640.19</v>
      </c>
      <c r="G401" t="str" cm="1">
        <f t="array" ref="G401">IF(AND(ISNUMBER(SEARCH("UBER",C401)),ISNUMBER(SEARCH("EATS",C401))),"Uber Eats",IF(LEFT(C401,6)="CHECK ","Checks Paid",IF(OR(E401="BILLPAY",ISNUMBER(SEARCH("FRANCHISE TAX",C401)),ISNUMBER(SEARCH("NEXTLINK",C401))),"Personal - House Bills",IF(AND(ISNUMBER(SEARCH("PAYMENT FROM",C401)),ISNUMBER(SEARCH("JOE SAUNDERS",C401))),"Zelle from Joe Saunders",IF(AND(ISNUMBER(SEARCH("PAYMENT TO",C401)),ISNUMBER(SEARCH("JOE SAUNDERS",C401))),"Zelle to Joe Saunders",IF(OR(ISNUMBER(SEARCH("NEW ORLEANS",C401)),ISNUMBER(SEARCH("KENNER",C401)),ISNUMBER(SEARCH("HENRY HOWARD",C401)),ISNUMBER(SEARCH("MISS CLAUDIA",C401))),"Personal Travel - New Orleans",IFERROR(INDEX('Category Rules'!$B$2:$B$194,MATCH(TRUE,ISNUMBER(SEARCH('Category Rules'!$A$2:$A$194,C401)),0)),"")))))))</f>
        <v>Personal - Misc</v>
      </c>
    </row>
    <row r="402" spans="1:7" x14ac:dyDescent="0.25">
      <c r="A402" t="s">
        <v>37</v>
      </c>
      <c r="B402" s="1">
        <v>46160</v>
      </c>
      <c r="C402" t="s">
        <v>385</v>
      </c>
      <c r="D402">
        <v>100</v>
      </c>
      <c r="E402" t="s">
        <v>106</v>
      </c>
      <c r="F402">
        <v>6900.05</v>
      </c>
      <c r="G402" t="str" cm="1">
        <f t="array" ref="G402">IF(AND(ISNUMBER(SEARCH("UBER",C402)),ISNUMBER(SEARCH("EATS",C402))),"Uber Eats",IF(LEFT(C402,6)="CHECK ","Checks Paid",IF(OR(E402="BILLPAY",ISNUMBER(SEARCH("FRANCHISE TAX",C402)),ISNUMBER(SEARCH("NEXTLINK",C402))),"Personal - House Bills",IF(AND(ISNUMBER(SEARCH("PAYMENT FROM",C402)),ISNUMBER(SEARCH("JOE SAUNDERS",C402))),"Zelle from Joe Saunders",IF(AND(ISNUMBER(SEARCH("PAYMENT TO",C402)),ISNUMBER(SEARCH("JOE SAUNDERS",C402))),"Zelle to Joe Saunders",IF(OR(ISNUMBER(SEARCH("NEW ORLEANS",C402)),ISNUMBER(SEARCH("KENNER",C402)),ISNUMBER(SEARCH("HENRY HOWARD",C402)),ISNUMBER(SEARCH("MISS CLAUDIA",C402))),"Personal Travel - New Orleans",IFERROR(INDEX('Category Rules'!$B$2:$B$194,MATCH(TRUE,ISNUMBER(SEARCH('Category Rules'!$A$2:$A$194,C402)),0)),"")))))))</f>
        <v>Zelle from Tanya Miller</v>
      </c>
    </row>
    <row r="403" spans="1:7" x14ac:dyDescent="0.25">
      <c r="A403" t="s">
        <v>37</v>
      </c>
      <c r="B403" s="1">
        <v>46160</v>
      </c>
      <c r="C403" t="s">
        <v>386</v>
      </c>
      <c r="D403">
        <v>3000</v>
      </c>
      <c r="E403" t="s">
        <v>39</v>
      </c>
      <c r="F403">
        <v>6800.05</v>
      </c>
      <c r="G403" t="str" cm="1">
        <f t="array" ref="G403">IF(AND(ISNUMBER(SEARCH("UBER",C403)),ISNUMBER(SEARCH("EATS",C403))),"Uber Eats",IF(LEFT(C403,6)="CHECK ","Checks Paid",IF(OR(E403="BILLPAY",ISNUMBER(SEARCH("FRANCHISE TAX",C403)),ISNUMBER(SEARCH("NEXTLINK",C403))),"Personal - House Bills",IF(AND(ISNUMBER(SEARCH("PAYMENT FROM",C403)),ISNUMBER(SEARCH("JOE SAUNDERS",C403))),"Zelle from Joe Saunders",IF(AND(ISNUMBER(SEARCH("PAYMENT TO",C403)),ISNUMBER(SEARCH("JOE SAUNDERS",C403))),"Zelle to Joe Saunders",IF(OR(ISNUMBER(SEARCH("NEW ORLEANS",C403)),ISNUMBER(SEARCH("KENNER",C403)),ISNUMBER(SEARCH("HENRY HOWARD",C403)),ISNUMBER(SEARCH("MISS CLAUDIA",C403))),"Personal Travel - New Orleans",IFERROR(INDEX('Category Rules'!$B$2:$B$194,MATCH(TRUE,ISNUMBER(SEARCH('Category Rules'!$A$2:$A$194,C403)),0)),"")))))))</f>
        <v>Transfer from DWG Capital Group</v>
      </c>
    </row>
    <row r="404" spans="1:7" x14ac:dyDescent="0.25">
      <c r="A404" t="s">
        <v>6</v>
      </c>
      <c r="B404" s="1">
        <v>46157</v>
      </c>
      <c r="C404" t="s">
        <v>387</v>
      </c>
      <c r="D404">
        <v>-33.39</v>
      </c>
      <c r="E404" t="s">
        <v>14</v>
      </c>
      <c r="F404">
        <v>3800.05</v>
      </c>
      <c r="G404" t="str" cm="1">
        <f t="array" ref="G404">IF(AND(ISNUMBER(SEARCH("UBER",C404)),ISNUMBER(SEARCH("EATS",C404))),"Uber Eats",IF(LEFT(C404,6)="CHECK ","Checks Paid",IF(OR(E404="BILLPAY",ISNUMBER(SEARCH("FRANCHISE TAX",C404)),ISNUMBER(SEARCH("NEXTLINK",C404))),"Personal - House Bills",IF(AND(ISNUMBER(SEARCH("PAYMENT FROM",C404)),ISNUMBER(SEARCH("JOE SAUNDERS",C404))),"Zelle from Joe Saunders",IF(AND(ISNUMBER(SEARCH("PAYMENT TO",C404)),ISNUMBER(SEARCH("JOE SAUNDERS",C404))),"Zelle to Joe Saunders",IF(OR(ISNUMBER(SEARCH("NEW ORLEANS",C404)),ISNUMBER(SEARCH("KENNER",C404)),ISNUMBER(SEARCH("HENRY HOWARD",C404)),ISNUMBER(SEARCH("MISS CLAUDIA",C404))),"Personal Travel - New Orleans",IFERROR(INDEX('Category Rules'!$B$2:$B$194,MATCH(TRUE,ISNUMBER(SEARCH('Category Rules'!$A$2:$A$194,C404)),0)),"")))))))</f>
        <v>Personal - Entertainment</v>
      </c>
    </row>
    <row r="405" spans="1:7" x14ac:dyDescent="0.25">
      <c r="A405" t="s">
        <v>6</v>
      </c>
      <c r="B405" s="1">
        <v>46157</v>
      </c>
      <c r="C405" t="s">
        <v>388</v>
      </c>
      <c r="D405">
        <v>-48</v>
      </c>
      <c r="E405" t="s">
        <v>14</v>
      </c>
      <c r="F405">
        <v>3833.44</v>
      </c>
      <c r="G405" t="str" cm="1">
        <f t="array" ref="G405">IF(AND(ISNUMBER(SEARCH("UBER",C405)),ISNUMBER(SEARCH("EATS",C405))),"Uber Eats",IF(LEFT(C405,6)="CHECK ","Checks Paid",IF(OR(E405="BILLPAY",ISNUMBER(SEARCH("FRANCHISE TAX",C405)),ISNUMBER(SEARCH("NEXTLINK",C405))),"Personal - House Bills",IF(AND(ISNUMBER(SEARCH("PAYMENT FROM",C405)),ISNUMBER(SEARCH("JOE SAUNDERS",C405))),"Zelle from Joe Saunders",IF(AND(ISNUMBER(SEARCH("PAYMENT TO",C405)),ISNUMBER(SEARCH("JOE SAUNDERS",C405))),"Zelle to Joe Saunders",IF(OR(ISNUMBER(SEARCH("NEW ORLEANS",C405)),ISNUMBER(SEARCH("KENNER",C405)),ISNUMBER(SEARCH("HENRY HOWARD",C405)),ISNUMBER(SEARCH("MISS CLAUDIA",C405))),"Personal Travel - New Orleans",IFERROR(INDEX('Category Rules'!$B$2:$B$194,MATCH(TRUE,ISNUMBER(SEARCH('Category Rules'!$A$2:$A$194,C405)),0)),"")))))))</f>
        <v>Personal - Entertainment</v>
      </c>
    </row>
    <row r="406" spans="1:7" x14ac:dyDescent="0.25">
      <c r="A406" t="s">
        <v>6</v>
      </c>
      <c r="B406" s="1">
        <v>46157</v>
      </c>
      <c r="C406" t="s">
        <v>389</v>
      </c>
      <c r="D406">
        <v>-16.45</v>
      </c>
      <c r="E406" t="s">
        <v>14</v>
      </c>
      <c r="F406">
        <v>3881.44</v>
      </c>
      <c r="G406" t="str" cm="1">
        <f t="array" ref="G406">IF(AND(ISNUMBER(SEARCH("UBER",C406)),ISNUMBER(SEARCH("EATS",C406))),"Uber Eats",IF(LEFT(C406,6)="CHECK ","Checks Paid",IF(OR(E406="BILLPAY",ISNUMBER(SEARCH("FRANCHISE TAX",C406)),ISNUMBER(SEARCH("NEXTLINK",C406))),"Personal - House Bills",IF(AND(ISNUMBER(SEARCH("PAYMENT FROM",C406)),ISNUMBER(SEARCH("JOE SAUNDERS",C406))),"Zelle from Joe Saunders",IF(AND(ISNUMBER(SEARCH("PAYMENT TO",C406)),ISNUMBER(SEARCH("JOE SAUNDERS",C406))),"Zelle to Joe Saunders",IF(OR(ISNUMBER(SEARCH("NEW ORLEANS",C406)),ISNUMBER(SEARCH("KENNER",C406)),ISNUMBER(SEARCH("HENRY HOWARD",C406)),ISNUMBER(SEARCH("MISS CLAUDIA",C406))),"Personal Travel - New Orleans",IFERROR(INDEX('Category Rules'!$B$2:$B$194,MATCH(TRUE,ISNUMBER(SEARCH('Category Rules'!$A$2:$A$194,C406)),0)),"")))))))</f>
        <v>Amazon</v>
      </c>
    </row>
    <row r="407" spans="1:7" x14ac:dyDescent="0.25">
      <c r="A407" t="s">
        <v>6</v>
      </c>
      <c r="B407" s="1">
        <v>46157</v>
      </c>
      <c r="C407" t="s">
        <v>390</v>
      </c>
      <c r="D407">
        <v>-24.66</v>
      </c>
      <c r="E407" t="s">
        <v>14</v>
      </c>
      <c r="F407">
        <v>3897.89</v>
      </c>
      <c r="G407" t="str" cm="1">
        <f t="array" ref="G407">IF(AND(ISNUMBER(SEARCH("UBER",C407)),ISNUMBER(SEARCH("EATS",C407))),"Uber Eats",IF(LEFT(C407,6)="CHECK ","Checks Paid",IF(OR(E407="BILLPAY",ISNUMBER(SEARCH("FRANCHISE TAX",C407)),ISNUMBER(SEARCH("NEXTLINK",C407))),"Personal - House Bills",IF(AND(ISNUMBER(SEARCH("PAYMENT FROM",C407)),ISNUMBER(SEARCH("JOE SAUNDERS",C407))),"Zelle from Joe Saunders",IF(AND(ISNUMBER(SEARCH("PAYMENT TO",C407)),ISNUMBER(SEARCH("JOE SAUNDERS",C407))),"Zelle to Joe Saunders",IF(OR(ISNUMBER(SEARCH("NEW ORLEANS",C407)),ISNUMBER(SEARCH("KENNER",C407)),ISNUMBER(SEARCH("HENRY HOWARD",C407)),ISNUMBER(SEARCH("MISS CLAUDIA",C407))),"Personal Travel - New Orleans",IFERROR(INDEX('Category Rules'!$B$2:$B$194,MATCH(TRUE,ISNUMBER(SEARCH('Category Rules'!$A$2:$A$194,C407)),0)),"")))))))</f>
        <v>Amazon</v>
      </c>
    </row>
    <row r="408" spans="1:7" x14ac:dyDescent="0.25">
      <c r="A408" t="s">
        <v>6</v>
      </c>
      <c r="B408" s="1">
        <v>46157</v>
      </c>
      <c r="C408" t="s">
        <v>391</v>
      </c>
      <c r="D408">
        <v>-59.99</v>
      </c>
      <c r="E408" t="s">
        <v>14</v>
      </c>
      <c r="F408">
        <v>3922.55</v>
      </c>
      <c r="G408" t="str" cm="1">
        <f t="array" ref="G408">IF(AND(ISNUMBER(SEARCH("UBER",C408)),ISNUMBER(SEARCH("EATS",C408))),"Uber Eats",IF(LEFT(C408,6)="CHECK ","Checks Paid",IF(OR(E408="BILLPAY",ISNUMBER(SEARCH("FRANCHISE TAX",C408)),ISNUMBER(SEARCH("NEXTLINK",C408))),"Personal - House Bills",IF(AND(ISNUMBER(SEARCH("PAYMENT FROM",C408)),ISNUMBER(SEARCH("JOE SAUNDERS",C408))),"Zelle from Joe Saunders",IF(AND(ISNUMBER(SEARCH("PAYMENT TO",C408)),ISNUMBER(SEARCH("JOE SAUNDERS",C408))),"Zelle to Joe Saunders",IF(OR(ISNUMBER(SEARCH("NEW ORLEANS",C408)),ISNUMBER(SEARCH("KENNER",C408)),ISNUMBER(SEARCH("HENRY HOWARD",C408)),ISNUMBER(SEARCH("MISS CLAUDIA",C408))),"Personal Travel - New Orleans",IFERROR(INDEX('Category Rules'!$B$2:$B$194,MATCH(TRUE,ISNUMBER(SEARCH('Category Rules'!$A$2:$A$194,C408)),0)),"")))))))</f>
        <v>Apple</v>
      </c>
    </row>
    <row r="409" spans="1:7" x14ac:dyDescent="0.25">
      <c r="A409" t="s">
        <v>6</v>
      </c>
      <c r="B409" s="1">
        <v>46156</v>
      </c>
      <c r="C409" t="s">
        <v>392</v>
      </c>
      <c r="D409">
        <v>-72.39</v>
      </c>
      <c r="E409" t="s">
        <v>14</v>
      </c>
      <c r="F409">
        <v>3982.54</v>
      </c>
      <c r="G409" t="str" cm="1">
        <f t="array" ref="G409">IF(AND(ISNUMBER(SEARCH("UBER",C409)),ISNUMBER(SEARCH("EATS",C409))),"Uber Eats",IF(LEFT(C409,6)="CHECK ","Checks Paid",IF(OR(E409="BILLPAY",ISNUMBER(SEARCH("FRANCHISE TAX",C409)),ISNUMBER(SEARCH("NEXTLINK",C409))),"Personal - House Bills",IF(AND(ISNUMBER(SEARCH("PAYMENT FROM",C409)),ISNUMBER(SEARCH("JOE SAUNDERS",C409))),"Zelle from Joe Saunders",IF(AND(ISNUMBER(SEARCH("PAYMENT TO",C409)),ISNUMBER(SEARCH("JOE SAUNDERS",C409))),"Zelle to Joe Saunders",IF(OR(ISNUMBER(SEARCH("NEW ORLEANS",C409)),ISNUMBER(SEARCH("KENNER",C409)),ISNUMBER(SEARCH("HENRY HOWARD",C409)),ISNUMBER(SEARCH("MISS CLAUDIA",C409))),"Personal Travel - New Orleans",IFERROR(INDEX('Category Rules'!$B$2:$B$194,MATCH(TRUE,ISNUMBER(SEARCH('Category Rules'!$A$2:$A$194,C409)),0)),"")))))))</f>
        <v>Personal - Health</v>
      </c>
    </row>
    <row r="410" spans="1:7" x14ac:dyDescent="0.25">
      <c r="A410" t="s">
        <v>6</v>
      </c>
      <c r="B410" s="1">
        <v>46156</v>
      </c>
      <c r="C410" t="s">
        <v>393</v>
      </c>
      <c r="D410">
        <v>-18.489999999999998</v>
      </c>
      <c r="E410" t="s">
        <v>14</v>
      </c>
      <c r="F410">
        <v>4054.93</v>
      </c>
      <c r="G410" t="str" cm="1">
        <f t="array" ref="G410">IF(AND(ISNUMBER(SEARCH("UBER",C410)),ISNUMBER(SEARCH("EATS",C410))),"Uber Eats",IF(LEFT(C410,6)="CHECK ","Checks Paid",IF(OR(E410="BILLPAY",ISNUMBER(SEARCH("FRANCHISE TAX",C410)),ISNUMBER(SEARCH("NEXTLINK",C410))),"Personal - House Bills",IF(AND(ISNUMBER(SEARCH("PAYMENT FROM",C410)),ISNUMBER(SEARCH("JOE SAUNDERS",C410))),"Zelle from Joe Saunders",IF(AND(ISNUMBER(SEARCH("PAYMENT TO",C410)),ISNUMBER(SEARCH("JOE SAUNDERS",C410))),"Zelle to Joe Saunders",IF(OR(ISNUMBER(SEARCH("NEW ORLEANS",C410)),ISNUMBER(SEARCH("KENNER",C410)),ISNUMBER(SEARCH("HENRY HOWARD",C410)),ISNUMBER(SEARCH("MISS CLAUDIA",C410))),"Personal Travel - New Orleans",IFERROR(INDEX('Category Rules'!$B$2:$B$194,MATCH(TRUE,ISNUMBER(SEARCH('Category Rules'!$A$2:$A$194,C410)),0)),"")))))))</f>
        <v>Amazon</v>
      </c>
    </row>
    <row r="411" spans="1:7" x14ac:dyDescent="0.25">
      <c r="A411" t="s">
        <v>6</v>
      </c>
      <c r="B411" s="1">
        <v>46156</v>
      </c>
      <c r="C411" t="s">
        <v>394</v>
      </c>
      <c r="D411">
        <v>-328.81</v>
      </c>
      <c r="E411" t="s">
        <v>14</v>
      </c>
      <c r="F411">
        <v>4073.42</v>
      </c>
      <c r="G411" t="str" cm="1">
        <f t="array" ref="G411">IF(AND(ISNUMBER(SEARCH("UBER",C411)),ISNUMBER(SEARCH("EATS",C411))),"Uber Eats",IF(LEFT(C411,6)="CHECK ","Checks Paid",IF(OR(E411="BILLPAY",ISNUMBER(SEARCH("FRANCHISE TAX",C411)),ISNUMBER(SEARCH("NEXTLINK",C411))),"Personal - House Bills",IF(AND(ISNUMBER(SEARCH("PAYMENT FROM",C411)),ISNUMBER(SEARCH("JOE SAUNDERS",C411))),"Zelle from Joe Saunders",IF(AND(ISNUMBER(SEARCH("PAYMENT TO",C411)),ISNUMBER(SEARCH("JOE SAUNDERS",C411))),"Zelle to Joe Saunders",IF(OR(ISNUMBER(SEARCH("NEW ORLEANS",C411)),ISNUMBER(SEARCH("KENNER",C411)),ISNUMBER(SEARCH("HENRY HOWARD",C411)),ISNUMBER(SEARCH("MISS CLAUDIA",C411))),"Personal Travel - New Orleans",IFERROR(INDEX('Category Rules'!$B$2:$B$194,MATCH(TRUE,ISNUMBER(SEARCH('Category Rules'!$A$2:$A$194,C411)),0)),"")))))))</f>
        <v>Personal - Shopping</v>
      </c>
    </row>
    <row r="412" spans="1:7" x14ac:dyDescent="0.25">
      <c r="A412" t="s">
        <v>6</v>
      </c>
      <c r="B412" s="1">
        <v>46156</v>
      </c>
      <c r="C412" t="s">
        <v>395</v>
      </c>
      <c r="D412">
        <v>-156.97</v>
      </c>
      <c r="E412" t="s">
        <v>14</v>
      </c>
      <c r="F412">
        <v>4402.2299999999996</v>
      </c>
      <c r="G412" t="str" cm="1">
        <f t="array" ref="G412">IF(AND(ISNUMBER(SEARCH("UBER",C412)),ISNUMBER(SEARCH("EATS",C412))),"Uber Eats",IF(LEFT(C412,6)="CHECK ","Checks Paid",IF(OR(E412="BILLPAY",ISNUMBER(SEARCH("FRANCHISE TAX",C412)),ISNUMBER(SEARCH("NEXTLINK",C412))),"Personal - House Bills",IF(AND(ISNUMBER(SEARCH("PAYMENT FROM",C412)),ISNUMBER(SEARCH("JOE SAUNDERS",C412))),"Zelle from Joe Saunders",IF(AND(ISNUMBER(SEARCH("PAYMENT TO",C412)),ISNUMBER(SEARCH("JOE SAUNDERS",C412))),"Zelle to Joe Saunders",IF(OR(ISNUMBER(SEARCH("NEW ORLEANS",C412)),ISNUMBER(SEARCH("KENNER",C412)),ISNUMBER(SEARCH("HENRY HOWARD",C412)),ISNUMBER(SEARCH("MISS CLAUDIA",C412))),"Personal Travel - New Orleans",IFERROR(INDEX('Category Rules'!$B$2:$B$194,MATCH(TRUE,ISNUMBER(SEARCH('Category Rules'!$A$2:$A$194,C412)),0)),"")))))))</f>
        <v>Personal - Shopping</v>
      </c>
    </row>
    <row r="413" spans="1:7" x14ac:dyDescent="0.25">
      <c r="A413" t="s">
        <v>6</v>
      </c>
      <c r="B413" s="1">
        <v>46156</v>
      </c>
      <c r="C413" t="s">
        <v>396</v>
      </c>
      <c r="D413">
        <v>-16</v>
      </c>
      <c r="E413" t="s">
        <v>14</v>
      </c>
      <c r="F413">
        <v>4559.2</v>
      </c>
      <c r="G413" t="str" cm="1">
        <f t="array" ref="G413">IF(AND(ISNUMBER(SEARCH("UBER",C413)),ISNUMBER(SEARCH("EATS",C413))),"Uber Eats",IF(LEFT(C413,6)="CHECK ","Checks Paid",IF(OR(E413="BILLPAY",ISNUMBER(SEARCH("FRANCHISE TAX",C413)),ISNUMBER(SEARCH("NEXTLINK",C413))),"Personal - House Bills",IF(AND(ISNUMBER(SEARCH("PAYMENT FROM",C413)),ISNUMBER(SEARCH("JOE SAUNDERS",C413))),"Zelle from Joe Saunders",IF(AND(ISNUMBER(SEARCH("PAYMENT TO",C413)),ISNUMBER(SEARCH("JOE SAUNDERS",C413))),"Zelle to Joe Saunders",IF(OR(ISNUMBER(SEARCH("NEW ORLEANS",C413)),ISNUMBER(SEARCH("KENNER",C413)),ISNUMBER(SEARCH("HENRY HOWARD",C413)),ISNUMBER(SEARCH("MISS CLAUDIA",C413))),"Personal Travel - New Orleans",IFERROR(INDEX('Category Rules'!$B$2:$B$194,MATCH(TRUE,ISNUMBER(SEARCH('Category Rules'!$A$2:$A$194,C413)),0)),"")))))))</f>
        <v>Personal - Shopping</v>
      </c>
    </row>
    <row r="414" spans="1:7" x14ac:dyDescent="0.25">
      <c r="A414" t="s">
        <v>6</v>
      </c>
      <c r="B414" s="1">
        <v>46156</v>
      </c>
      <c r="C414" t="s">
        <v>397</v>
      </c>
      <c r="D414">
        <v>-51.37</v>
      </c>
      <c r="E414" t="s">
        <v>14</v>
      </c>
      <c r="F414">
        <v>4575.2</v>
      </c>
      <c r="G414" t="str" cm="1">
        <f t="array" ref="G414">IF(AND(ISNUMBER(SEARCH("UBER",C414)),ISNUMBER(SEARCH("EATS",C414))),"Uber Eats",IF(LEFT(C414,6)="CHECK ","Checks Paid",IF(OR(E414="BILLPAY",ISNUMBER(SEARCH("FRANCHISE TAX",C414)),ISNUMBER(SEARCH("NEXTLINK",C414))),"Personal - House Bills",IF(AND(ISNUMBER(SEARCH("PAYMENT FROM",C414)),ISNUMBER(SEARCH("JOE SAUNDERS",C414))),"Zelle from Joe Saunders",IF(AND(ISNUMBER(SEARCH("PAYMENT TO",C414)),ISNUMBER(SEARCH("JOE SAUNDERS",C414))),"Zelle to Joe Saunders",IF(OR(ISNUMBER(SEARCH("NEW ORLEANS",C414)),ISNUMBER(SEARCH("KENNER",C414)),ISNUMBER(SEARCH("HENRY HOWARD",C414)),ISNUMBER(SEARCH("MISS CLAUDIA",C414))),"Personal Travel - New Orleans",IFERROR(INDEX('Category Rules'!$B$2:$B$194,MATCH(TRUE,ISNUMBER(SEARCH('Category Rules'!$A$2:$A$194,C414)),0)),"")))))))</f>
        <v>Amazon</v>
      </c>
    </row>
    <row r="415" spans="1:7" x14ac:dyDescent="0.25">
      <c r="A415" t="s">
        <v>6</v>
      </c>
      <c r="B415" s="1">
        <v>46156</v>
      </c>
      <c r="C415" t="s">
        <v>398</v>
      </c>
      <c r="D415">
        <v>-764.9</v>
      </c>
      <c r="E415" t="s">
        <v>14</v>
      </c>
      <c r="F415">
        <v>4626.57</v>
      </c>
      <c r="G415" t="str" cm="1">
        <f t="array" ref="G415">IF(AND(ISNUMBER(SEARCH("UBER",C415)),ISNUMBER(SEARCH("EATS",C415))),"Uber Eats",IF(LEFT(C415,6)="CHECK ","Checks Paid",IF(OR(E415="BILLPAY",ISNUMBER(SEARCH("FRANCHISE TAX",C415)),ISNUMBER(SEARCH("NEXTLINK",C415))),"Personal - House Bills",IF(AND(ISNUMBER(SEARCH("PAYMENT FROM",C415)),ISNUMBER(SEARCH("JOE SAUNDERS",C415))),"Zelle from Joe Saunders",IF(AND(ISNUMBER(SEARCH("PAYMENT TO",C415)),ISNUMBER(SEARCH("JOE SAUNDERS",C415))),"Zelle to Joe Saunders",IF(OR(ISNUMBER(SEARCH("NEW ORLEANS",C415)),ISNUMBER(SEARCH("KENNER",C415)),ISNUMBER(SEARCH("HENRY HOWARD",C415)),ISNUMBER(SEARCH("MISS CLAUDIA",C415))),"Personal Travel - New Orleans",IFERROR(INDEX('Category Rules'!$B$2:$B$194,MATCH(TRUE,ISNUMBER(SEARCH('Category Rules'!$A$2:$A$194,C415)),0)),"")))))))</f>
        <v>Personal - Shopping</v>
      </c>
    </row>
    <row r="416" spans="1:7" x14ac:dyDescent="0.25">
      <c r="A416" t="s">
        <v>6</v>
      </c>
      <c r="B416" s="1">
        <v>46156</v>
      </c>
      <c r="C416" t="s">
        <v>399</v>
      </c>
      <c r="D416">
        <v>-9.8000000000000007</v>
      </c>
      <c r="E416" t="s">
        <v>14</v>
      </c>
      <c r="F416">
        <v>5391.47</v>
      </c>
      <c r="G416" t="str" cm="1">
        <f t="array" ref="G416">IF(AND(ISNUMBER(SEARCH("UBER",C416)),ISNUMBER(SEARCH("EATS",C416))),"Uber Eats",IF(LEFT(C416,6)="CHECK ","Checks Paid",IF(OR(E416="BILLPAY",ISNUMBER(SEARCH("FRANCHISE TAX",C416)),ISNUMBER(SEARCH("NEXTLINK",C416))),"Personal - House Bills",IF(AND(ISNUMBER(SEARCH("PAYMENT FROM",C416)),ISNUMBER(SEARCH("JOE SAUNDERS",C416))),"Zelle from Joe Saunders",IF(AND(ISNUMBER(SEARCH("PAYMENT TO",C416)),ISNUMBER(SEARCH("JOE SAUNDERS",C416))),"Zelle to Joe Saunders",IF(OR(ISNUMBER(SEARCH("NEW ORLEANS",C416)),ISNUMBER(SEARCH("KENNER",C416)),ISNUMBER(SEARCH("HENRY HOWARD",C416)),ISNUMBER(SEARCH("MISS CLAUDIA",C416))),"Personal Travel - New Orleans",IFERROR(INDEX('Category Rules'!$B$2:$B$194,MATCH(TRUE,ISNUMBER(SEARCH('Category Rules'!$A$2:$A$194,C416)),0)),"")))))))</f>
        <v>Amazon</v>
      </c>
    </row>
    <row r="417" spans="1:7" x14ac:dyDescent="0.25">
      <c r="A417" t="s">
        <v>6</v>
      </c>
      <c r="B417" s="1">
        <v>46155</v>
      </c>
      <c r="C417" t="s">
        <v>400</v>
      </c>
      <c r="D417">
        <v>-14.99</v>
      </c>
      <c r="E417" t="s">
        <v>14</v>
      </c>
      <c r="F417">
        <v>5401.27</v>
      </c>
      <c r="G417" t="str" cm="1">
        <f t="array" ref="G417">IF(AND(ISNUMBER(SEARCH("UBER",C417)),ISNUMBER(SEARCH("EATS",C417))),"Uber Eats",IF(LEFT(C417,6)="CHECK ","Checks Paid",IF(OR(E417="BILLPAY",ISNUMBER(SEARCH("FRANCHISE TAX",C417)),ISNUMBER(SEARCH("NEXTLINK",C417))),"Personal - House Bills",IF(AND(ISNUMBER(SEARCH("PAYMENT FROM",C417)),ISNUMBER(SEARCH("JOE SAUNDERS",C417))),"Zelle from Joe Saunders",IF(AND(ISNUMBER(SEARCH("PAYMENT TO",C417)),ISNUMBER(SEARCH("JOE SAUNDERS",C417))),"Zelle to Joe Saunders",IF(OR(ISNUMBER(SEARCH("NEW ORLEANS",C417)),ISNUMBER(SEARCH("KENNER",C417)),ISNUMBER(SEARCH("HENRY HOWARD",C417)),ISNUMBER(SEARCH("MISS CLAUDIA",C417))),"Personal Travel - New Orleans",IFERROR(INDEX('Category Rules'!$B$2:$B$194,MATCH(TRUE,ISNUMBER(SEARCH('Category Rules'!$A$2:$A$194,C417)),0)),"")))))))</f>
        <v>Amazon</v>
      </c>
    </row>
    <row r="418" spans="1:7" x14ac:dyDescent="0.25">
      <c r="A418" t="s">
        <v>6</v>
      </c>
      <c r="B418" s="1">
        <v>46155</v>
      </c>
      <c r="C418" t="s">
        <v>401</v>
      </c>
      <c r="D418">
        <v>-522.4</v>
      </c>
      <c r="E418" t="s">
        <v>14</v>
      </c>
      <c r="F418">
        <v>5416.26</v>
      </c>
      <c r="G418" t="str" cm="1">
        <f t="array" ref="G418">IF(AND(ISNUMBER(SEARCH("UBER",C418)),ISNUMBER(SEARCH("EATS",C418))),"Uber Eats",IF(LEFT(C418,6)="CHECK ","Checks Paid",IF(OR(E418="BILLPAY",ISNUMBER(SEARCH("FRANCHISE TAX",C418)),ISNUMBER(SEARCH("NEXTLINK",C418))),"Personal - House Bills",IF(AND(ISNUMBER(SEARCH("PAYMENT FROM",C418)),ISNUMBER(SEARCH("JOE SAUNDERS",C418))),"Zelle from Joe Saunders",IF(AND(ISNUMBER(SEARCH("PAYMENT TO",C418)),ISNUMBER(SEARCH("JOE SAUNDERS",C418))),"Zelle to Joe Saunders",IF(OR(ISNUMBER(SEARCH("NEW ORLEANS",C418)),ISNUMBER(SEARCH("KENNER",C418)),ISNUMBER(SEARCH("HENRY HOWARD",C418)),ISNUMBER(SEARCH("MISS CLAUDIA",C418))),"Personal Travel - New Orleans",IFERROR(INDEX('Category Rules'!$B$2:$B$194,MATCH(TRUE,ISNUMBER(SEARCH('Category Rules'!$A$2:$A$194,C418)),0)),"")))))))</f>
        <v>Personal Travel</v>
      </c>
    </row>
    <row r="419" spans="1:7" x14ac:dyDescent="0.25">
      <c r="A419" t="s">
        <v>6</v>
      </c>
      <c r="B419" s="1">
        <v>46155</v>
      </c>
      <c r="C419" t="s">
        <v>402</v>
      </c>
      <c r="D419">
        <v>-219.49</v>
      </c>
      <c r="E419" t="s">
        <v>14</v>
      </c>
      <c r="F419">
        <v>5938.66</v>
      </c>
      <c r="G419" t="str" cm="1">
        <f t="array" ref="G419">IF(AND(ISNUMBER(SEARCH("UBER",C419)),ISNUMBER(SEARCH("EATS",C419))),"Uber Eats",IF(LEFT(C419,6)="CHECK ","Checks Paid",IF(OR(E419="BILLPAY",ISNUMBER(SEARCH("FRANCHISE TAX",C419)),ISNUMBER(SEARCH("NEXTLINK",C419))),"Personal - House Bills",IF(AND(ISNUMBER(SEARCH("PAYMENT FROM",C419)),ISNUMBER(SEARCH("JOE SAUNDERS",C419))),"Zelle from Joe Saunders",IF(AND(ISNUMBER(SEARCH("PAYMENT TO",C419)),ISNUMBER(SEARCH("JOE SAUNDERS",C419))),"Zelle to Joe Saunders",IF(OR(ISNUMBER(SEARCH("NEW ORLEANS",C419)),ISNUMBER(SEARCH("KENNER",C419)),ISNUMBER(SEARCH("HENRY HOWARD",C419)),ISNUMBER(SEARCH("MISS CLAUDIA",C419))),"Personal Travel - New Orleans",IFERROR(INDEX('Category Rules'!$B$2:$B$194,MATCH(TRUE,ISNUMBER(SEARCH('Category Rules'!$A$2:$A$194,C419)),0)),"")))))))</f>
        <v>Amazon</v>
      </c>
    </row>
    <row r="420" spans="1:7" x14ac:dyDescent="0.25">
      <c r="A420" t="s">
        <v>6</v>
      </c>
      <c r="B420" s="1">
        <v>46155</v>
      </c>
      <c r="C420" t="s">
        <v>403</v>
      </c>
      <c r="D420">
        <v>-267.91000000000003</v>
      </c>
      <c r="E420" t="s">
        <v>14</v>
      </c>
      <c r="F420">
        <v>6158.15</v>
      </c>
      <c r="G420" t="str" cm="1">
        <f t="array" ref="G420">IF(AND(ISNUMBER(SEARCH("UBER",C420)),ISNUMBER(SEARCH("EATS",C420))),"Uber Eats",IF(LEFT(C420,6)="CHECK ","Checks Paid",IF(OR(E420="BILLPAY",ISNUMBER(SEARCH("FRANCHISE TAX",C420)),ISNUMBER(SEARCH("NEXTLINK",C420))),"Personal - House Bills",IF(AND(ISNUMBER(SEARCH("PAYMENT FROM",C420)),ISNUMBER(SEARCH("JOE SAUNDERS",C420))),"Zelle from Joe Saunders",IF(AND(ISNUMBER(SEARCH("PAYMENT TO",C420)),ISNUMBER(SEARCH("JOE SAUNDERS",C420))),"Zelle to Joe Saunders",IF(OR(ISNUMBER(SEARCH("NEW ORLEANS",C420)),ISNUMBER(SEARCH("KENNER",C420)),ISNUMBER(SEARCH("HENRY HOWARD",C420)),ISNUMBER(SEARCH("MISS CLAUDIA",C420))),"Personal Travel - New Orleans",IFERROR(INDEX('Category Rules'!$B$2:$B$194,MATCH(TRUE,ISNUMBER(SEARCH('Category Rules'!$A$2:$A$194,C420)),0)),"")))))))</f>
        <v>Personal Travel - New Orleans</v>
      </c>
    </row>
    <row r="421" spans="1:7" x14ac:dyDescent="0.25">
      <c r="A421" t="s">
        <v>37</v>
      </c>
      <c r="B421" s="1">
        <v>46155</v>
      </c>
      <c r="C421" t="s">
        <v>404</v>
      </c>
      <c r="D421">
        <v>5000</v>
      </c>
      <c r="E421" t="s">
        <v>39</v>
      </c>
      <c r="F421">
        <v>6426.06</v>
      </c>
      <c r="G421" t="str" cm="1">
        <f t="array" ref="G421">IF(AND(ISNUMBER(SEARCH("UBER",C421)),ISNUMBER(SEARCH("EATS",C421))),"Uber Eats",IF(LEFT(C421,6)="CHECK ","Checks Paid",IF(OR(E421="BILLPAY",ISNUMBER(SEARCH("FRANCHISE TAX",C421)),ISNUMBER(SEARCH("NEXTLINK",C421))),"Personal - House Bills",IF(AND(ISNUMBER(SEARCH("PAYMENT FROM",C421)),ISNUMBER(SEARCH("JOE SAUNDERS",C421))),"Zelle from Joe Saunders",IF(AND(ISNUMBER(SEARCH("PAYMENT TO",C421)),ISNUMBER(SEARCH("JOE SAUNDERS",C421))),"Zelle to Joe Saunders",IF(OR(ISNUMBER(SEARCH("NEW ORLEANS",C421)),ISNUMBER(SEARCH("KENNER",C421)),ISNUMBER(SEARCH("HENRY HOWARD",C421)),ISNUMBER(SEARCH("MISS CLAUDIA",C421))),"Personal Travel - New Orleans",IFERROR(INDEX('Category Rules'!$B$2:$B$194,MATCH(TRUE,ISNUMBER(SEARCH('Category Rules'!$A$2:$A$194,C421)),0)),"")))))))</f>
        <v>Transfer from DWG Capital Group</v>
      </c>
    </row>
    <row r="422" spans="1:7" x14ac:dyDescent="0.25">
      <c r="A422" t="s">
        <v>6</v>
      </c>
      <c r="B422" s="1">
        <v>46154</v>
      </c>
      <c r="C422" t="s">
        <v>405</v>
      </c>
      <c r="D422">
        <v>-100.56</v>
      </c>
      <c r="E422" t="s">
        <v>14</v>
      </c>
      <c r="F422">
        <v>1426.06</v>
      </c>
      <c r="G422" t="str" cm="1">
        <f t="array" ref="G422">IF(AND(ISNUMBER(SEARCH("UBER",C422)),ISNUMBER(SEARCH("EATS",C422))),"Uber Eats",IF(LEFT(C422,6)="CHECK ","Checks Paid",IF(OR(E422="BILLPAY",ISNUMBER(SEARCH("FRANCHISE TAX",C422)),ISNUMBER(SEARCH("NEXTLINK",C422))),"Personal - House Bills",IF(AND(ISNUMBER(SEARCH("PAYMENT FROM",C422)),ISNUMBER(SEARCH("JOE SAUNDERS",C422))),"Zelle from Joe Saunders",IF(AND(ISNUMBER(SEARCH("PAYMENT TO",C422)),ISNUMBER(SEARCH("JOE SAUNDERS",C422))),"Zelle to Joe Saunders",IF(OR(ISNUMBER(SEARCH("NEW ORLEANS",C422)),ISNUMBER(SEARCH("KENNER",C422)),ISNUMBER(SEARCH("HENRY HOWARD",C422)),ISNUMBER(SEARCH("MISS CLAUDIA",C422))),"Personal Travel - New Orleans",IFERROR(INDEX('Category Rules'!$B$2:$B$194,MATCH(TRUE,ISNUMBER(SEARCH('Category Rules'!$A$2:$A$194,C422)),0)),"")))))))</f>
        <v>Personal - Shopping</v>
      </c>
    </row>
    <row r="423" spans="1:7" x14ac:dyDescent="0.25">
      <c r="A423" t="s">
        <v>6</v>
      </c>
      <c r="B423" s="1">
        <v>46154</v>
      </c>
      <c r="C423" t="s">
        <v>406</v>
      </c>
      <c r="D423">
        <v>-766.69</v>
      </c>
      <c r="E423" t="s">
        <v>14</v>
      </c>
      <c r="F423">
        <v>1526.62</v>
      </c>
      <c r="G423" t="str" cm="1">
        <f t="array" ref="G423">IF(AND(ISNUMBER(SEARCH("UBER",C423)),ISNUMBER(SEARCH("EATS",C423))),"Uber Eats",IF(LEFT(C423,6)="CHECK ","Checks Paid",IF(OR(E423="BILLPAY",ISNUMBER(SEARCH("FRANCHISE TAX",C423)),ISNUMBER(SEARCH("NEXTLINK",C423))),"Personal - House Bills",IF(AND(ISNUMBER(SEARCH("PAYMENT FROM",C423)),ISNUMBER(SEARCH("JOE SAUNDERS",C423))),"Zelle from Joe Saunders",IF(AND(ISNUMBER(SEARCH("PAYMENT TO",C423)),ISNUMBER(SEARCH("JOE SAUNDERS",C423))),"Zelle to Joe Saunders",IF(OR(ISNUMBER(SEARCH("NEW ORLEANS",C423)),ISNUMBER(SEARCH("KENNER",C423)),ISNUMBER(SEARCH("HENRY HOWARD",C423)),ISNUMBER(SEARCH("MISS CLAUDIA",C423))),"Personal Travel - New Orleans",IFERROR(INDEX('Category Rules'!$B$2:$B$194,MATCH(TRUE,ISNUMBER(SEARCH('Category Rules'!$A$2:$A$194,C423)),0)),"")))))))</f>
        <v>Personal - Food</v>
      </c>
    </row>
    <row r="424" spans="1:7" x14ac:dyDescent="0.25">
      <c r="A424" t="s">
        <v>6</v>
      </c>
      <c r="B424" s="1">
        <v>46154</v>
      </c>
      <c r="C424" t="s">
        <v>407</v>
      </c>
      <c r="D424">
        <v>-393.48</v>
      </c>
      <c r="E424" t="s">
        <v>14</v>
      </c>
      <c r="F424">
        <v>2293.31</v>
      </c>
      <c r="G424" t="str" cm="1">
        <f t="array" ref="G424">IF(AND(ISNUMBER(SEARCH("UBER",C424)),ISNUMBER(SEARCH("EATS",C424))),"Uber Eats",IF(LEFT(C424,6)="CHECK ","Checks Paid",IF(OR(E424="BILLPAY",ISNUMBER(SEARCH("FRANCHISE TAX",C424)),ISNUMBER(SEARCH("NEXTLINK",C424))),"Personal - House Bills",IF(AND(ISNUMBER(SEARCH("PAYMENT FROM",C424)),ISNUMBER(SEARCH("JOE SAUNDERS",C424))),"Zelle from Joe Saunders",IF(AND(ISNUMBER(SEARCH("PAYMENT TO",C424)),ISNUMBER(SEARCH("JOE SAUNDERS",C424))),"Zelle to Joe Saunders",IF(OR(ISNUMBER(SEARCH("NEW ORLEANS",C424)),ISNUMBER(SEARCH("KENNER",C424)),ISNUMBER(SEARCH("HENRY HOWARD",C424)),ISNUMBER(SEARCH("MISS CLAUDIA",C424))),"Personal Travel - New Orleans",IFERROR(INDEX('Category Rules'!$B$2:$B$194,MATCH(TRUE,ISNUMBER(SEARCH('Category Rules'!$A$2:$A$194,C424)),0)),"")))))))</f>
        <v>Personal - Shopping</v>
      </c>
    </row>
    <row r="425" spans="1:7" x14ac:dyDescent="0.25">
      <c r="A425" t="s">
        <v>6</v>
      </c>
      <c r="B425" s="1">
        <v>46154</v>
      </c>
      <c r="C425" t="s">
        <v>408</v>
      </c>
      <c r="D425">
        <v>-300</v>
      </c>
      <c r="E425" t="s">
        <v>14</v>
      </c>
      <c r="F425">
        <v>2686.79</v>
      </c>
      <c r="G425" t="str" cm="1">
        <f t="array" ref="G425">IF(AND(ISNUMBER(SEARCH("UBER",C425)),ISNUMBER(SEARCH("EATS",C425))),"Uber Eats",IF(LEFT(C425,6)="CHECK ","Checks Paid",IF(OR(E425="BILLPAY",ISNUMBER(SEARCH("FRANCHISE TAX",C425)),ISNUMBER(SEARCH("NEXTLINK",C425))),"Personal - House Bills",IF(AND(ISNUMBER(SEARCH("PAYMENT FROM",C425)),ISNUMBER(SEARCH("JOE SAUNDERS",C425))),"Zelle from Joe Saunders",IF(AND(ISNUMBER(SEARCH("PAYMENT TO",C425)),ISNUMBER(SEARCH("JOE SAUNDERS",C425))),"Zelle to Joe Saunders",IF(OR(ISNUMBER(SEARCH("NEW ORLEANS",C425)),ISNUMBER(SEARCH("KENNER",C425)),ISNUMBER(SEARCH("HENRY HOWARD",C425)),ISNUMBER(SEARCH("MISS CLAUDIA",C425))),"Personal Travel - New Orleans",IFERROR(INDEX('Category Rules'!$B$2:$B$194,MATCH(TRUE,ISNUMBER(SEARCH('Category Rules'!$A$2:$A$194,C425)),0)),"")))))))</f>
        <v>Personal - Health</v>
      </c>
    </row>
    <row r="426" spans="1:7" x14ac:dyDescent="0.25">
      <c r="A426" t="s">
        <v>6</v>
      </c>
      <c r="B426" s="1">
        <v>46154</v>
      </c>
      <c r="C426" t="s">
        <v>409</v>
      </c>
      <c r="D426">
        <v>-1010</v>
      </c>
      <c r="E426" t="s">
        <v>14</v>
      </c>
      <c r="F426">
        <v>2986.79</v>
      </c>
      <c r="G426" t="str" cm="1">
        <f t="array" ref="G426">IF(AND(ISNUMBER(SEARCH("UBER",C426)),ISNUMBER(SEARCH("EATS",C426))),"Uber Eats",IF(LEFT(C426,6)="CHECK ","Checks Paid",IF(OR(E426="BILLPAY",ISNUMBER(SEARCH("FRANCHISE TAX",C426)),ISNUMBER(SEARCH("NEXTLINK",C426))),"Personal - House Bills",IF(AND(ISNUMBER(SEARCH("PAYMENT FROM",C426)),ISNUMBER(SEARCH("JOE SAUNDERS",C426))),"Zelle from Joe Saunders",IF(AND(ISNUMBER(SEARCH("PAYMENT TO",C426)),ISNUMBER(SEARCH("JOE SAUNDERS",C426))),"Zelle to Joe Saunders",IF(OR(ISNUMBER(SEARCH("NEW ORLEANS",C426)),ISNUMBER(SEARCH("KENNER",C426)),ISNUMBER(SEARCH("HENRY HOWARD",C426)),ISNUMBER(SEARCH("MISS CLAUDIA",C426))),"Personal Travel - New Orleans",IFERROR(INDEX('Category Rules'!$B$2:$B$194,MATCH(TRUE,ISNUMBER(SEARCH('Category Rules'!$A$2:$A$194,C426)),0)),"")))))))</f>
        <v>Personal - Health</v>
      </c>
    </row>
    <row r="427" spans="1:7" x14ac:dyDescent="0.25">
      <c r="A427" t="s">
        <v>6</v>
      </c>
      <c r="B427" s="1">
        <v>46154</v>
      </c>
      <c r="C427" t="s">
        <v>410</v>
      </c>
      <c r="D427">
        <v>-59.9</v>
      </c>
      <c r="E427" t="s">
        <v>14</v>
      </c>
      <c r="F427">
        <v>3996.79</v>
      </c>
      <c r="G427" t="str" cm="1">
        <f t="array" ref="G427">IF(AND(ISNUMBER(SEARCH("UBER",C427)),ISNUMBER(SEARCH("EATS",C427))),"Uber Eats",IF(LEFT(C427,6)="CHECK ","Checks Paid",IF(OR(E427="BILLPAY",ISNUMBER(SEARCH("FRANCHISE TAX",C427)),ISNUMBER(SEARCH("NEXTLINK",C427))),"Personal - House Bills",IF(AND(ISNUMBER(SEARCH("PAYMENT FROM",C427)),ISNUMBER(SEARCH("JOE SAUNDERS",C427))),"Zelle from Joe Saunders",IF(AND(ISNUMBER(SEARCH("PAYMENT TO",C427)),ISNUMBER(SEARCH("JOE SAUNDERS",C427))),"Zelle to Joe Saunders",IF(OR(ISNUMBER(SEARCH("NEW ORLEANS",C427)),ISNUMBER(SEARCH("KENNER",C427)),ISNUMBER(SEARCH("HENRY HOWARD",C427)),ISNUMBER(SEARCH("MISS CLAUDIA",C427))),"Personal Travel - New Orleans",IFERROR(INDEX('Category Rules'!$B$2:$B$194,MATCH(TRUE,ISNUMBER(SEARCH('Category Rules'!$A$2:$A$194,C427)),0)),"")))))))</f>
        <v>Amazon</v>
      </c>
    </row>
    <row r="428" spans="1:7" x14ac:dyDescent="0.25">
      <c r="A428" t="s">
        <v>6</v>
      </c>
      <c r="B428" s="1">
        <v>46154</v>
      </c>
      <c r="C428" t="s">
        <v>411</v>
      </c>
      <c r="D428">
        <v>-110.17</v>
      </c>
      <c r="E428" t="s">
        <v>14</v>
      </c>
      <c r="F428">
        <v>4056.69</v>
      </c>
      <c r="G428" t="str" cm="1">
        <f t="array" ref="G428">IF(AND(ISNUMBER(SEARCH("UBER",C428)),ISNUMBER(SEARCH("EATS",C428))),"Uber Eats",IF(LEFT(C428,6)="CHECK ","Checks Paid",IF(OR(E428="BILLPAY",ISNUMBER(SEARCH("FRANCHISE TAX",C428)),ISNUMBER(SEARCH("NEXTLINK",C428))),"Personal - House Bills",IF(AND(ISNUMBER(SEARCH("PAYMENT FROM",C428)),ISNUMBER(SEARCH("JOE SAUNDERS",C428))),"Zelle from Joe Saunders",IF(AND(ISNUMBER(SEARCH("PAYMENT TO",C428)),ISNUMBER(SEARCH("JOE SAUNDERS",C428))),"Zelle to Joe Saunders",IF(OR(ISNUMBER(SEARCH("NEW ORLEANS",C428)),ISNUMBER(SEARCH("KENNER",C428)),ISNUMBER(SEARCH("HENRY HOWARD",C428)),ISNUMBER(SEARCH("MISS CLAUDIA",C428))),"Personal Travel - New Orleans",IFERROR(INDEX('Category Rules'!$B$2:$B$194,MATCH(TRUE,ISNUMBER(SEARCH('Category Rules'!$A$2:$A$194,C428)),0)),"")))))))</f>
        <v>Amazon</v>
      </c>
    </row>
    <row r="429" spans="1:7" x14ac:dyDescent="0.25">
      <c r="A429" t="s">
        <v>6</v>
      </c>
      <c r="B429" s="1">
        <v>46154</v>
      </c>
      <c r="C429" t="s">
        <v>412</v>
      </c>
      <c r="D429">
        <v>-99</v>
      </c>
      <c r="E429" t="s">
        <v>14</v>
      </c>
      <c r="F429">
        <v>4166.8599999999997</v>
      </c>
      <c r="G429" t="str" cm="1">
        <f t="array" ref="G429">IF(AND(ISNUMBER(SEARCH("UBER",C429)),ISNUMBER(SEARCH("EATS",C429))),"Uber Eats",IF(LEFT(C429,6)="CHECK ","Checks Paid",IF(OR(E429="BILLPAY",ISNUMBER(SEARCH("FRANCHISE TAX",C429)),ISNUMBER(SEARCH("NEXTLINK",C429))),"Personal - House Bills",IF(AND(ISNUMBER(SEARCH("PAYMENT FROM",C429)),ISNUMBER(SEARCH("JOE SAUNDERS",C429))),"Zelle from Joe Saunders",IF(AND(ISNUMBER(SEARCH("PAYMENT TO",C429)),ISNUMBER(SEARCH("JOE SAUNDERS",C429))),"Zelle to Joe Saunders",IF(OR(ISNUMBER(SEARCH("NEW ORLEANS",C429)),ISNUMBER(SEARCH("KENNER",C429)),ISNUMBER(SEARCH("HENRY HOWARD",C429)),ISNUMBER(SEARCH("MISS CLAUDIA",C429))),"Personal Travel - New Orleans",IFERROR(INDEX('Category Rules'!$B$2:$B$194,MATCH(TRUE,ISNUMBER(SEARCH('Category Rules'!$A$2:$A$194,C429)),0)),"")))))))</f>
        <v>Personal - Subscription</v>
      </c>
    </row>
    <row r="430" spans="1:7" x14ac:dyDescent="0.25">
      <c r="A430" t="s">
        <v>6</v>
      </c>
      <c r="B430" s="1">
        <v>46154</v>
      </c>
      <c r="C430" t="s">
        <v>413</v>
      </c>
      <c r="D430">
        <v>-29.98</v>
      </c>
      <c r="E430" t="s">
        <v>14</v>
      </c>
      <c r="F430">
        <v>4265.8599999999997</v>
      </c>
      <c r="G430" t="str" cm="1">
        <f t="array" ref="G430">IF(AND(ISNUMBER(SEARCH("UBER",C430)),ISNUMBER(SEARCH("EATS",C430))),"Uber Eats",IF(LEFT(C430,6)="CHECK ","Checks Paid",IF(OR(E430="BILLPAY",ISNUMBER(SEARCH("FRANCHISE TAX",C430)),ISNUMBER(SEARCH("NEXTLINK",C430))),"Personal - House Bills",IF(AND(ISNUMBER(SEARCH("PAYMENT FROM",C430)),ISNUMBER(SEARCH("JOE SAUNDERS",C430))),"Zelle from Joe Saunders",IF(AND(ISNUMBER(SEARCH("PAYMENT TO",C430)),ISNUMBER(SEARCH("JOE SAUNDERS",C430))),"Zelle to Joe Saunders",IF(OR(ISNUMBER(SEARCH("NEW ORLEANS",C430)),ISNUMBER(SEARCH("KENNER",C430)),ISNUMBER(SEARCH("HENRY HOWARD",C430)),ISNUMBER(SEARCH("MISS CLAUDIA",C430))),"Personal Travel - New Orleans",IFERROR(INDEX('Category Rules'!$B$2:$B$194,MATCH(TRUE,ISNUMBER(SEARCH('Category Rules'!$A$2:$A$194,C430)),0)),"")))))))</f>
        <v>Amazon</v>
      </c>
    </row>
    <row r="431" spans="1:7" x14ac:dyDescent="0.25">
      <c r="A431" t="s">
        <v>6</v>
      </c>
      <c r="B431" s="1">
        <v>46154</v>
      </c>
      <c r="C431" t="s">
        <v>414</v>
      </c>
      <c r="D431">
        <v>-30</v>
      </c>
      <c r="E431" t="s">
        <v>14</v>
      </c>
      <c r="F431">
        <v>4295.84</v>
      </c>
      <c r="G431" t="str" cm="1">
        <f t="array" ref="G431">IF(AND(ISNUMBER(SEARCH("UBER",C431)),ISNUMBER(SEARCH("EATS",C431))),"Uber Eats",IF(LEFT(C431,6)="CHECK ","Checks Paid",IF(OR(E431="BILLPAY",ISNUMBER(SEARCH("FRANCHISE TAX",C431)),ISNUMBER(SEARCH("NEXTLINK",C431))),"Personal - House Bills",IF(AND(ISNUMBER(SEARCH("PAYMENT FROM",C431)),ISNUMBER(SEARCH("JOE SAUNDERS",C431))),"Zelle from Joe Saunders",IF(AND(ISNUMBER(SEARCH("PAYMENT TO",C431)),ISNUMBER(SEARCH("JOE SAUNDERS",C431))),"Zelle to Joe Saunders",IF(OR(ISNUMBER(SEARCH("NEW ORLEANS",C431)),ISNUMBER(SEARCH("KENNER",C431)),ISNUMBER(SEARCH("HENRY HOWARD",C431)),ISNUMBER(SEARCH("MISS CLAUDIA",C431))),"Personal Travel - New Orleans",IFERROR(INDEX('Category Rules'!$B$2:$B$194,MATCH(TRUE,ISNUMBER(SEARCH('Category Rules'!$A$2:$A$194,C431)),0)),"")))))))</f>
        <v>Amazon</v>
      </c>
    </row>
    <row r="432" spans="1:7" x14ac:dyDescent="0.25">
      <c r="A432" t="s">
        <v>6</v>
      </c>
      <c r="B432" s="1">
        <v>46154</v>
      </c>
      <c r="C432" t="s">
        <v>415</v>
      </c>
      <c r="D432">
        <v>-21.33</v>
      </c>
      <c r="E432" t="s">
        <v>14</v>
      </c>
      <c r="F432">
        <v>4325.84</v>
      </c>
      <c r="G432" t="str" cm="1">
        <f t="array" ref="G432">IF(AND(ISNUMBER(SEARCH("UBER",C432)),ISNUMBER(SEARCH("EATS",C432))),"Uber Eats",IF(LEFT(C432,6)="CHECK ","Checks Paid",IF(OR(E432="BILLPAY",ISNUMBER(SEARCH("FRANCHISE TAX",C432)),ISNUMBER(SEARCH("NEXTLINK",C432))),"Personal - House Bills",IF(AND(ISNUMBER(SEARCH("PAYMENT FROM",C432)),ISNUMBER(SEARCH("JOE SAUNDERS",C432))),"Zelle from Joe Saunders",IF(AND(ISNUMBER(SEARCH("PAYMENT TO",C432)),ISNUMBER(SEARCH("JOE SAUNDERS",C432))),"Zelle to Joe Saunders",IF(OR(ISNUMBER(SEARCH("NEW ORLEANS",C432)),ISNUMBER(SEARCH("KENNER",C432)),ISNUMBER(SEARCH("HENRY HOWARD",C432)),ISNUMBER(SEARCH("MISS CLAUDIA",C432))),"Personal Travel - New Orleans",IFERROR(INDEX('Category Rules'!$B$2:$B$194,MATCH(TRUE,ISNUMBER(SEARCH('Category Rules'!$A$2:$A$194,C432)),0)),"")))))))</f>
        <v>Amazon</v>
      </c>
    </row>
    <row r="433" spans="1:7" x14ac:dyDescent="0.25">
      <c r="A433" t="s">
        <v>6</v>
      </c>
      <c r="B433" s="1">
        <v>46154</v>
      </c>
      <c r="C433" t="s">
        <v>416</v>
      </c>
      <c r="D433">
        <v>-105.15</v>
      </c>
      <c r="E433" t="s">
        <v>14</v>
      </c>
      <c r="F433">
        <v>4347.17</v>
      </c>
      <c r="G433" t="str" cm="1">
        <f t="array" ref="G433">IF(AND(ISNUMBER(SEARCH("UBER",C433)),ISNUMBER(SEARCH("EATS",C433))),"Uber Eats",IF(LEFT(C433,6)="CHECK ","Checks Paid",IF(OR(E433="BILLPAY",ISNUMBER(SEARCH("FRANCHISE TAX",C433)),ISNUMBER(SEARCH("NEXTLINK",C433))),"Personal - House Bills",IF(AND(ISNUMBER(SEARCH("PAYMENT FROM",C433)),ISNUMBER(SEARCH("JOE SAUNDERS",C433))),"Zelle from Joe Saunders",IF(AND(ISNUMBER(SEARCH("PAYMENT TO",C433)),ISNUMBER(SEARCH("JOE SAUNDERS",C433))),"Zelle to Joe Saunders",IF(OR(ISNUMBER(SEARCH("NEW ORLEANS",C433)),ISNUMBER(SEARCH("KENNER",C433)),ISNUMBER(SEARCH("HENRY HOWARD",C433)),ISNUMBER(SEARCH("MISS CLAUDIA",C433))),"Personal Travel - New Orleans",IFERROR(INDEX('Category Rules'!$B$2:$B$194,MATCH(TRUE,ISNUMBER(SEARCH('Category Rules'!$A$2:$A$194,C433)),0)),"")))))))</f>
        <v>Amazon</v>
      </c>
    </row>
    <row r="434" spans="1:7" x14ac:dyDescent="0.25">
      <c r="A434" t="s">
        <v>6</v>
      </c>
      <c r="B434" s="1">
        <v>46154</v>
      </c>
      <c r="C434" t="s">
        <v>417</v>
      </c>
      <c r="D434">
        <v>-75.319999999999993</v>
      </c>
      <c r="E434" t="s">
        <v>14</v>
      </c>
      <c r="F434">
        <v>4452.32</v>
      </c>
      <c r="G434" t="str" cm="1">
        <f t="array" ref="G434">IF(AND(ISNUMBER(SEARCH("UBER",C434)),ISNUMBER(SEARCH("EATS",C434))),"Uber Eats",IF(LEFT(C434,6)="CHECK ","Checks Paid",IF(OR(E434="BILLPAY",ISNUMBER(SEARCH("FRANCHISE TAX",C434)),ISNUMBER(SEARCH("NEXTLINK",C434))),"Personal - House Bills",IF(AND(ISNUMBER(SEARCH("PAYMENT FROM",C434)),ISNUMBER(SEARCH("JOE SAUNDERS",C434))),"Zelle from Joe Saunders",IF(AND(ISNUMBER(SEARCH("PAYMENT TO",C434)),ISNUMBER(SEARCH("JOE SAUNDERS",C434))),"Zelle to Joe Saunders",IF(OR(ISNUMBER(SEARCH("NEW ORLEANS",C434)),ISNUMBER(SEARCH("KENNER",C434)),ISNUMBER(SEARCH("HENRY HOWARD",C434)),ISNUMBER(SEARCH("MISS CLAUDIA",C434))),"Personal Travel - New Orleans",IFERROR(INDEX('Category Rules'!$B$2:$B$194,MATCH(TRUE,ISNUMBER(SEARCH('Category Rules'!$A$2:$A$194,C434)),0)),"")))))))</f>
        <v>Amazon</v>
      </c>
    </row>
    <row r="435" spans="1:7" x14ac:dyDescent="0.25">
      <c r="A435" t="s">
        <v>6</v>
      </c>
      <c r="B435" s="1">
        <v>46154</v>
      </c>
      <c r="C435" t="s">
        <v>418</v>
      </c>
      <c r="D435">
        <v>-67.05</v>
      </c>
      <c r="E435" t="s">
        <v>14</v>
      </c>
      <c r="F435">
        <v>4527.6400000000003</v>
      </c>
      <c r="G435" t="str" cm="1">
        <f t="array" ref="G435">IF(AND(ISNUMBER(SEARCH("UBER",C435)),ISNUMBER(SEARCH("EATS",C435))),"Uber Eats",IF(LEFT(C435,6)="CHECK ","Checks Paid",IF(OR(E435="BILLPAY",ISNUMBER(SEARCH("FRANCHISE TAX",C435)),ISNUMBER(SEARCH("NEXTLINK",C435))),"Personal - House Bills",IF(AND(ISNUMBER(SEARCH("PAYMENT FROM",C435)),ISNUMBER(SEARCH("JOE SAUNDERS",C435))),"Zelle from Joe Saunders",IF(AND(ISNUMBER(SEARCH("PAYMENT TO",C435)),ISNUMBER(SEARCH("JOE SAUNDERS",C435))),"Zelle to Joe Saunders",IF(OR(ISNUMBER(SEARCH("NEW ORLEANS",C435)),ISNUMBER(SEARCH("KENNER",C435)),ISNUMBER(SEARCH("HENRY HOWARD",C435)),ISNUMBER(SEARCH("MISS CLAUDIA",C435))),"Personal Travel - New Orleans",IFERROR(INDEX('Category Rules'!$B$2:$B$194,MATCH(TRUE,ISNUMBER(SEARCH('Category Rules'!$A$2:$A$194,C435)),0)),"")))))))</f>
        <v>Uber Eats</v>
      </c>
    </row>
    <row r="436" spans="1:7" x14ac:dyDescent="0.25">
      <c r="A436" t="s">
        <v>6</v>
      </c>
      <c r="B436" s="1">
        <v>46153</v>
      </c>
      <c r="C436" t="s">
        <v>419</v>
      </c>
      <c r="D436">
        <v>-4.25</v>
      </c>
      <c r="E436" t="s">
        <v>72</v>
      </c>
      <c r="F436">
        <v>4594.6899999999996</v>
      </c>
      <c r="G436" t="str" cm="1">
        <f t="array" ref="G436">IF(AND(ISNUMBER(SEARCH("UBER",C436)),ISNUMBER(SEARCH("EATS",C436))),"Uber Eats",IF(LEFT(C436,6)="CHECK ","Checks Paid",IF(OR(E436="BILLPAY",ISNUMBER(SEARCH("FRANCHISE TAX",C436)),ISNUMBER(SEARCH("NEXTLINK",C436))),"Personal - House Bills",IF(AND(ISNUMBER(SEARCH("PAYMENT FROM",C436)),ISNUMBER(SEARCH("JOE SAUNDERS",C436))),"Zelle from Joe Saunders",IF(AND(ISNUMBER(SEARCH("PAYMENT TO",C436)),ISNUMBER(SEARCH("JOE SAUNDERS",C436))),"Zelle to Joe Saunders",IF(OR(ISNUMBER(SEARCH("NEW ORLEANS",C436)),ISNUMBER(SEARCH("KENNER",C436)),ISNUMBER(SEARCH("HENRY HOWARD",C436)),ISNUMBER(SEARCH("MISS CLAUDIA",C436))),"Personal Travel - New Orleans",IFERROR(INDEX('Category Rules'!$B$2:$B$194,MATCH(TRUE,ISNUMBER(SEARCH('Category Rules'!$A$2:$A$194,C436)),0)),"")))))))</f>
        <v>Personal Travel - Portugal</v>
      </c>
    </row>
    <row r="437" spans="1:7" x14ac:dyDescent="0.25">
      <c r="A437" t="s">
        <v>6</v>
      </c>
      <c r="B437" s="1">
        <v>46153</v>
      </c>
      <c r="C437" t="s">
        <v>420</v>
      </c>
      <c r="D437">
        <v>-78.98</v>
      </c>
      <c r="E437" t="s">
        <v>14</v>
      </c>
      <c r="F437">
        <v>4598.9399999999996</v>
      </c>
      <c r="G437" t="str" cm="1">
        <f t="array" ref="G437">IF(AND(ISNUMBER(SEARCH("UBER",C437)),ISNUMBER(SEARCH("EATS",C437))),"Uber Eats",IF(LEFT(C437,6)="CHECK ","Checks Paid",IF(OR(E437="BILLPAY",ISNUMBER(SEARCH("FRANCHISE TAX",C437)),ISNUMBER(SEARCH("NEXTLINK",C437))),"Personal - House Bills",IF(AND(ISNUMBER(SEARCH("PAYMENT FROM",C437)),ISNUMBER(SEARCH("JOE SAUNDERS",C437))),"Zelle from Joe Saunders",IF(AND(ISNUMBER(SEARCH("PAYMENT TO",C437)),ISNUMBER(SEARCH("JOE SAUNDERS",C437))),"Zelle to Joe Saunders",IF(OR(ISNUMBER(SEARCH("NEW ORLEANS",C437)),ISNUMBER(SEARCH("KENNER",C437)),ISNUMBER(SEARCH("HENRY HOWARD",C437)),ISNUMBER(SEARCH("MISS CLAUDIA",C437))),"Personal Travel - New Orleans",IFERROR(INDEX('Category Rules'!$B$2:$B$194,MATCH(TRUE,ISNUMBER(SEARCH('Category Rules'!$A$2:$A$194,C437)),0)),"")))))))</f>
        <v>Amazon</v>
      </c>
    </row>
    <row r="438" spans="1:7" x14ac:dyDescent="0.25">
      <c r="A438" t="s">
        <v>6</v>
      </c>
      <c r="B438" s="1">
        <v>46153</v>
      </c>
      <c r="C438" t="s">
        <v>421</v>
      </c>
      <c r="D438">
        <v>-90</v>
      </c>
      <c r="E438" t="s">
        <v>14</v>
      </c>
      <c r="F438">
        <v>4677.92</v>
      </c>
      <c r="G438" t="str" cm="1">
        <f t="array" ref="G438">IF(AND(ISNUMBER(SEARCH("UBER",C438)),ISNUMBER(SEARCH("EATS",C438))),"Uber Eats",IF(LEFT(C438,6)="CHECK ","Checks Paid",IF(OR(E438="BILLPAY",ISNUMBER(SEARCH("FRANCHISE TAX",C438)),ISNUMBER(SEARCH("NEXTLINK",C438))),"Personal - House Bills",IF(AND(ISNUMBER(SEARCH("PAYMENT FROM",C438)),ISNUMBER(SEARCH("JOE SAUNDERS",C438))),"Zelle from Joe Saunders",IF(AND(ISNUMBER(SEARCH("PAYMENT TO",C438)),ISNUMBER(SEARCH("JOE SAUNDERS",C438))),"Zelle to Joe Saunders",IF(OR(ISNUMBER(SEARCH("NEW ORLEANS",C438)),ISNUMBER(SEARCH("KENNER",C438)),ISNUMBER(SEARCH("HENRY HOWARD",C438)),ISNUMBER(SEARCH("MISS CLAUDIA",C438))),"Personal Travel - New Orleans",IFERROR(INDEX('Category Rules'!$B$2:$B$194,MATCH(TRUE,ISNUMBER(SEARCH('Category Rules'!$A$2:$A$194,C438)),0)),"")))))))</f>
        <v>Amazon</v>
      </c>
    </row>
    <row r="439" spans="1:7" x14ac:dyDescent="0.25">
      <c r="A439" t="s">
        <v>6</v>
      </c>
      <c r="B439" s="1">
        <v>46153</v>
      </c>
      <c r="C439" t="s">
        <v>422</v>
      </c>
      <c r="D439">
        <v>-18</v>
      </c>
      <c r="E439" t="s">
        <v>14</v>
      </c>
      <c r="F439">
        <v>4767.92</v>
      </c>
      <c r="G439" t="str" cm="1">
        <f t="array" ref="G439">IF(AND(ISNUMBER(SEARCH("UBER",C439)),ISNUMBER(SEARCH("EATS",C439))),"Uber Eats",IF(LEFT(C439,6)="CHECK ","Checks Paid",IF(OR(E439="BILLPAY",ISNUMBER(SEARCH("FRANCHISE TAX",C439)),ISNUMBER(SEARCH("NEXTLINK",C439))),"Personal - House Bills",IF(AND(ISNUMBER(SEARCH("PAYMENT FROM",C439)),ISNUMBER(SEARCH("JOE SAUNDERS",C439))),"Zelle from Joe Saunders",IF(AND(ISNUMBER(SEARCH("PAYMENT TO",C439)),ISNUMBER(SEARCH("JOE SAUNDERS",C439))),"Zelle to Joe Saunders",IF(OR(ISNUMBER(SEARCH("NEW ORLEANS",C439)),ISNUMBER(SEARCH("KENNER",C439)),ISNUMBER(SEARCH("HENRY HOWARD",C439)),ISNUMBER(SEARCH("MISS CLAUDIA",C439))),"Personal Travel - New Orleans",IFERROR(INDEX('Category Rules'!$B$2:$B$194,MATCH(TRUE,ISNUMBER(SEARCH('Category Rules'!$A$2:$A$194,C439)),0)),"")))))))</f>
        <v>Amazon</v>
      </c>
    </row>
    <row r="440" spans="1:7" x14ac:dyDescent="0.25">
      <c r="A440" t="s">
        <v>6</v>
      </c>
      <c r="B440" s="1">
        <v>46153</v>
      </c>
      <c r="C440" t="s">
        <v>423</v>
      </c>
      <c r="D440">
        <v>-23.1</v>
      </c>
      <c r="E440" t="s">
        <v>14</v>
      </c>
      <c r="F440">
        <v>4785.92</v>
      </c>
      <c r="G440" t="str" cm="1">
        <f t="array" ref="G440">IF(AND(ISNUMBER(SEARCH("UBER",C440)),ISNUMBER(SEARCH("EATS",C440))),"Uber Eats",IF(LEFT(C440,6)="CHECK ","Checks Paid",IF(OR(E440="BILLPAY",ISNUMBER(SEARCH("FRANCHISE TAX",C440)),ISNUMBER(SEARCH("NEXTLINK",C440))),"Personal - House Bills",IF(AND(ISNUMBER(SEARCH("PAYMENT FROM",C440)),ISNUMBER(SEARCH("JOE SAUNDERS",C440))),"Zelle from Joe Saunders",IF(AND(ISNUMBER(SEARCH("PAYMENT TO",C440)),ISNUMBER(SEARCH("JOE SAUNDERS",C440))),"Zelle to Joe Saunders",IF(OR(ISNUMBER(SEARCH("NEW ORLEANS",C440)),ISNUMBER(SEARCH("KENNER",C440)),ISNUMBER(SEARCH("HENRY HOWARD",C440)),ISNUMBER(SEARCH("MISS CLAUDIA",C440))),"Personal Travel - New Orleans",IFERROR(INDEX('Category Rules'!$B$2:$B$194,MATCH(TRUE,ISNUMBER(SEARCH('Category Rules'!$A$2:$A$194,C440)),0)),"")))))))</f>
        <v>Amazon</v>
      </c>
    </row>
    <row r="441" spans="1:7" x14ac:dyDescent="0.25">
      <c r="A441" t="s">
        <v>6</v>
      </c>
      <c r="B441" s="1">
        <v>46153</v>
      </c>
      <c r="C441" t="s">
        <v>424</v>
      </c>
      <c r="D441">
        <v>-36</v>
      </c>
      <c r="E441" t="s">
        <v>14</v>
      </c>
      <c r="F441">
        <v>4809.0200000000004</v>
      </c>
      <c r="G441" t="str" cm="1">
        <f t="array" ref="G441">IF(AND(ISNUMBER(SEARCH("UBER",C441)),ISNUMBER(SEARCH("EATS",C441))),"Uber Eats",IF(LEFT(C441,6)="CHECK ","Checks Paid",IF(OR(E441="BILLPAY",ISNUMBER(SEARCH("FRANCHISE TAX",C441)),ISNUMBER(SEARCH("NEXTLINK",C441))),"Personal - House Bills",IF(AND(ISNUMBER(SEARCH("PAYMENT FROM",C441)),ISNUMBER(SEARCH("JOE SAUNDERS",C441))),"Zelle from Joe Saunders",IF(AND(ISNUMBER(SEARCH("PAYMENT TO",C441)),ISNUMBER(SEARCH("JOE SAUNDERS",C441))),"Zelle to Joe Saunders",IF(OR(ISNUMBER(SEARCH("NEW ORLEANS",C441)),ISNUMBER(SEARCH("KENNER",C441)),ISNUMBER(SEARCH("HENRY HOWARD",C441)),ISNUMBER(SEARCH("MISS CLAUDIA",C441))),"Personal Travel - New Orleans",IFERROR(INDEX('Category Rules'!$B$2:$B$194,MATCH(TRUE,ISNUMBER(SEARCH('Category Rules'!$A$2:$A$194,C441)),0)),"")))))))</f>
        <v>Amazon</v>
      </c>
    </row>
    <row r="442" spans="1:7" x14ac:dyDescent="0.25">
      <c r="A442" t="s">
        <v>6</v>
      </c>
      <c r="B442" s="1">
        <v>46153</v>
      </c>
      <c r="C442" t="s">
        <v>425</v>
      </c>
      <c r="D442">
        <v>-198</v>
      </c>
      <c r="E442" t="s">
        <v>14</v>
      </c>
      <c r="F442">
        <v>4845.0200000000004</v>
      </c>
      <c r="G442" t="str" cm="1">
        <f t="array" ref="G442">IF(AND(ISNUMBER(SEARCH("UBER",C442)),ISNUMBER(SEARCH("EATS",C442))),"Uber Eats",IF(LEFT(C442,6)="CHECK ","Checks Paid",IF(OR(E442="BILLPAY",ISNUMBER(SEARCH("FRANCHISE TAX",C442)),ISNUMBER(SEARCH("NEXTLINK",C442))),"Personal - House Bills",IF(AND(ISNUMBER(SEARCH("PAYMENT FROM",C442)),ISNUMBER(SEARCH("JOE SAUNDERS",C442))),"Zelle from Joe Saunders",IF(AND(ISNUMBER(SEARCH("PAYMENT TO",C442)),ISNUMBER(SEARCH("JOE SAUNDERS",C442))),"Zelle to Joe Saunders",IF(OR(ISNUMBER(SEARCH("NEW ORLEANS",C442)),ISNUMBER(SEARCH("KENNER",C442)),ISNUMBER(SEARCH("HENRY HOWARD",C442)),ISNUMBER(SEARCH("MISS CLAUDIA",C442))),"Personal Travel - New Orleans",IFERROR(INDEX('Category Rules'!$B$2:$B$194,MATCH(TRUE,ISNUMBER(SEARCH('Category Rules'!$A$2:$A$194,C442)),0)),"")))))))</f>
        <v>Amazon</v>
      </c>
    </row>
    <row r="443" spans="1:7" x14ac:dyDescent="0.25">
      <c r="A443" t="s">
        <v>6</v>
      </c>
      <c r="B443" s="1">
        <v>46153</v>
      </c>
      <c r="C443" t="s">
        <v>426</v>
      </c>
      <c r="D443">
        <v>-37.5</v>
      </c>
      <c r="E443" t="s">
        <v>14</v>
      </c>
      <c r="F443">
        <v>5043.0200000000004</v>
      </c>
      <c r="G443" t="str" cm="1">
        <f t="array" ref="G443">IF(AND(ISNUMBER(SEARCH("UBER",C443)),ISNUMBER(SEARCH("EATS",C443))),"Uber Eats",IF(LEFT(C443,6)="CHECK ","Checks Paid",IF(OR(E443="BILLPAY",ISNUMBER(SEARCH("FRANCHISE TAX",C443)),ISNUMBER(SEARCH("NEXTLINK",C443))),"Personal - House Bills",IF(AND(ISNUMBER(SEARCH("PAYMENT FROM",C443)),ISNUMBER(SEARCH("JOE SAUNDERS",C443))),"Zelle from Joe Saunders",IF(AND(ISNUMBER(SEARCH("PAYMENT TO",C443)),ISNUMBER(SEARCH("JOE SAUNDERS",C443))),"Zelle to Joe Saunders",IF(OR(ISNUMBER(SEARCH("NEW ORLEANS",C443)),ISNUMBER(SEARCH("KENNER",C443)),ISNUMBER(SEARCH("HENRY HOWARD",C443)),ISNUMBER(SEARCH("MISS CLAUDIA",C443))),"Personal Travel - New Orleans",IFERROR(INDEX('Category Rules'!$B$2:$B$194,MATCH(TRUE,ISNUMBER(SEARCH('Category Rules'!$A$2:$A$194,C443)),0)),"")))))))</f>
        <v>Amazon</v>
      </c>
    </row>
    <row r="444" spans="1:7" x14ac:dyDescent="0.25">
      <c r="A444" t="s">
        <v>6</v>
      </c>
      <c r="B444" s="1">
        <v>46153</v>
      </c>
      <c r="C444" t="s">
        <v>427</v>
      </c>
      <c r="D444">
        <v>-19.2</v>
      </c>
      <c r="E444" t="s">
        <v>14</v>
      </c>
      <c r="F444">
        <v>5080.5200000000004</v>
      </c>
      <c r="G444" t="str" cm="1">
        <f t="array" ref="G444">IF(AND(ISNUMBER(SEARCH("UBER",C444)),ISNUMBER(SEARCH("EATS",C444))),"Uber Eats",IF(LEFT(C444,6)="CHECK ","Checks Paid",IF(OR(E444="BILLPAY",ISNUMBER(SEARCH("FRANCHISE TAX",C444)),ISNUMBER(SEARCH("NEXTLINK",C444))),"Personal - House Bills",IF(AND(ISNUMBER(SEARCH("PAYMENT FROM",C444)),ISNUMBER(SEARCH("JOE SAUNDERS",C444))),"Zelle from Joe Saunders",IF(AND(ISNUMBER(SEARCH("PAYMENT TO",C444)),ISNUMBER(SEARCH("JOE SAUNDERS",C444))),"Zelle to Joe Saunders",IF(OR(ISNUMBER(SEARCH("NEW ORLEANS",C444)),ISNUMBER(SEARCH("KENNER",C444)),ISNUMBER(SEARCH("HENRY HOWARD",C444)),ISNUMBER(SEARCH("MISS CLAUDIA",C444))),"Personal Travel - New Orleans",IFERROR(INDEX('Category Rules'!$B$2:$B$194,MATCH(TRUE,ISNUMBER(SEARCH('Category Rules'!$A$2:$A$194,C444)),0)),"")))))))</f>
        <v>Amazon</v>
      </c>
    </row>
    <row r="445" spans="1:7" x14ac:dyDescent="0.25">
      <c r="A445" t="s">
        <v>6</v>
      </c>
      <c r="B445" s="1">
        <v>46153</v>
      </c>
      <c r="C445" t="s">
        <v>428</v>
      </c>
      <c r="D445">
        <v>-154.53</v>
      </c>
      <c r="E445" t="s">
        <v>14</v>
      </c>
      <c r="F445">
        <v>5099.72</v>
      </c>
      <c r="G445" t="str" cm="1">
        <f t="array" ref="G445">IF(AND(ISNUMBER(SEARCH("UBER",C445)),ISNUMBER(SEARCH("EATS",C445))),"Uber Eats",IF(LEFT(C445,6)="CHECK ","Checks Paid",IF(OR(E445="BILLPAY",ISNUMBER(SEARCH("FRANCHISE TAX",C445)),ISNUMBER(SEARCH("NEXTLINK",C445))),"Personal - House Bills",IF(AND(ISNUMBER(SEARCH("PAYMENT FROM",C445)),ISNUMBER(SEARCH("JOE SAUNDERS",C445))),"Zelle from Joe Saunders",IF(AND(ISNUMBER(SEARCH("PAYMENT TO",C445)),ISNUMBER(SEARCH("JOE SAUNDERS",C445))),"Zelle to Joe Saunders",IF(OR(ISNUMBER(SEARCH("NEW ORLEANS",C445)),ISNUMBER(SEARCH("KENNER",C445)),ISNUMBER(SEARCH("HENRY HOWARD",C445)),ISNUMBER(SEARCH("MISS CLAUDIA",C445))),"Personal Travel - New Orleans",IFERROR(INDEX('Category Rules'!$B$2:$B$194,MATCH(TRUE,ISNUMBER(SEARCH('Category Rules'!$A$2:$A$194,C445)),0)),"")))))))</f>
        <v>Amazon</v>
      </c>
    </row>
    <row r="446" spans="1:7" x14ac:dyDescent="0.25">
      <c r="A446" t="s">
        <v>6</v>
      </c>
      <c r="B446" s="1">
        <v>46153</v>
      </c>
      <c r="C446" t="s">
        <v>429</v>
      </c>
      <c r="D446">
        <v>-192.94</v>
      </c>
      <c r="E446" t="s">
        <v>14</v>
      </c>
      <c r="F446">
        <v>5254.25</v>
      </c>
      <c r="G446" t="str" cm="1">
        <f t="array" ref="G446">IF(AND(ISNUMBER(SEARCH("UBER",C446)),ISNUMBER(SEARCH("EATS",C446))),"Uber Eats",IF(LEFT(C446,6)="CHECK ","Checks Paid",IF(OR(E446="BILLPAY",ISNUMBER(SEARCH("FRANCHISE TAX",C446)),ISNUMBER(SEARCH("NEXTLINK",C446))),"Personal - House Bills",IF(AND(ISNUMBER(SEARCH("PAYMENT FROM",C446)),ISNUMBER(SEARCH("JOE SAUNDERS",C446))),"Zelle from Joe Saunders",IF(AND(ISNUMBER(SEARCH("PAYMENT TO",C446)),ISNUMBER(SEARCH("JOE SAUNDERS",C446))),"Zelle to Joe Saunders",IF(OR(ISNUMBER(SEARCH("NEW ORLEANS",C446)),ISNUMBER(SEARCH("KENNER",C446)),ISNUMBER(SEARCH("HENRY HOWARD",C446)),ISNUMBER(SEARCH("MISS CLAUDIA",C446))),"Personal Travel - New Orleans",IFERROR(INDEX('Category Rules'!$B$2:$B$194,MATCH(TRUE,ISNUMBER(SEARCH('Category Rules'!$A$2:$A$194,C446)),0)),"")))))))</f>
        <v>Amazon</v>
      </c>
    </row>
    <row r="447" spans="1:7" x14ac:dyDescent="0.25">
      <c r="A447" t="s">
        <v>6</v>
      </c>
      <c r="B447" s="1">
        <v>46153</v>
      </c>
      <c r="C447" t="s">
        <v>430</v>
      </c>
      <c r="D447">
        <v>-20</v>
      </c>
      <c r="E447" t="s">
        <v>14</v>
      </c>
      <c r="F447">
        <v>5447.19</v>
      </c>
      <c r="G447" t="str" cm="1">
        <f t="array" ref="G447">IF(AND(ISNUMBER(SEARCH("UBER",C447)),ISNUMBER(SEARCH("EATS",C447))),"Uber Eats",IF(LEFT(C447,6)="CHECK ","Checks Paid",IF(OR(E447="BILLPAY",ISNUMBER(SEARCH("FRANCHISE TAX",C447)),ISNUMBER(SEARCH("NEXTLINK",C447))),"Personal - House Bills",IF(AND(ISNUMBER(SEARCH("PAYMENT FROM",C447)),ISNUMBER(SEARCH("JOE SAUNDERS",C447))),"Zelle from Joe Saunders",IF(AND(ISNUMBER(SEARCH("PAYMENT TO",C447)),ISNUMBER(SEARCH("JOE SAUNDERS",C447))),"Zelle to Joe Saunders",IF(OR(ISNUMBER(SEARCH("NEW ORLEANS",C447)),ISNUMBER(SEARCH("KENNER",C447)),ISNUMBER(SEARCH("HENRY HOWARD",C447)),ISNUMBER(SEARCH("MISS CLAUDIA",C447))),"Personal Travel - New Orleans",IFERROR(INDEX('Category Rules'!$B$2:$B$194,MATCH(TRUE,ISNUMBER(SEARCH('Category Rules'!$A$2:$A$194,C447)),0)),"")))))))</f>
        <v>Amazon</v>
      </c>
    </row>
    <row r="448" spans="1:7" x14ac:dyDescent="0.25">
      <c r="A448" t="s">
        <v>6</v>
      </c>
      <c r="B448" s="1">
        <v>46153</v>
      </c>
      <c r="C448" t="s">
        <v>431</v>
      </c>
      <c r="D448">
        <v>-141.79</v>
      </c>
      <c r="E448" t="s">
        <v>14</v>
      </c>
      <c r="F448">
        <v>5467.19</v>
      </c>
      <c r="G448" t="str" cm="1">
        <f t="array" ref="G448">IF(AND(ISNUMBER(SEARCH("UBER",C448)),ISNUMBER(SEARCH("EATS",C448))),"Uber Eats",IF(LEFT(C448,6)="CHECK ","Checks Paid",IF(OR(E448="BILLPAY",ISNUMBER(SEARCH("FRANCHISE TAX",C448)),ISNUMBER(SEARCH("NEXTLINK",C448))),"Personal - House Bills",IF(AND(ISNUMBER(SEARCH("PAYMENT FROM",C448)),ISNUMBER(SEARCH("JOE SAUNDERS",C448))),"Zelle from Joe Saunders",IF(AND(ISNUMBER(SEARCH("PAYMENT TO",C448)),ISNUMBER(SEARCH("JOE SAUNDERS",C448))),"Zelle to Joe Saunders",IF(OR(ISNUMBER(SEARCH("NEW ORLEANS",C448)),ISNUMBER(SEARCH("KENNER",C448)),ISNUMBER(SEARCH("HENRY HOWARD",C448)),ISNUMBER(SEARCH("MISS CLAUDIA",C448))),"Personal Travel - New Orleans",IFERROR(INDEX('Category Rules'!$B$2:$B$194,MATCH(TRUE,ISNUMBER(SEARCH('Category Rules'!$A$2:$A$194,C448)),0)),"")))))))</f>
        <v>Personal Travel</v>
      </c>
    </row>
    <row r="449" spans="1:7" x14ac:dyDescent="0.25">
      <c r="A449" t="s">
        <v>6</v>
      </c>
      <c r="B449" s="1">
        <v>46153</v>
      </c>
      <c r="C449" t="s">
        <v>432</v>
      </c>
      <c r="D449">
        <v>-753.55</v>
      </c>
      <c r="E449" t="s">
        <v>14</v>
      </c>
      <c r="F449">
        <v>5608.98</v>
      </c>
      <c r="G449" t="str" cm="1">
        <f t="array" ref="G449">IF(AND(ISNUMBER(SEARCH("UBER",C449)),ISNUMBER(SEARCH("EATS",C449))),"Uber Eats",IF(LEFT(C449,6)="CHECK ","Checks Paid",IF(OR(E449="BILLPAY",ISNUMBER(SEARCH("FRANCHISE TAX",C449)),ISNUMBER(SEARCH("NEXTLINK",C449))),"Personal - House Bills",IF(AND(ISNUMBER(SEARCH("PAYMENT FROM",C449)),ISNUMBER(SEARCH("JOE SAUNDERS",C449))),"Zelle from Joe Saunders",IF(AND(ISNUMBER(SEARCH("PAYMENT TO",C449)),ISNUMBER(SEARCH("JOE SAUNDERS",C449))),"Zelle to Joe Saunders",IF(OR(ISNUMBER(SEARCH("NEW ORLEANS",C449)),ISNUMBER(SEARCH("KENNER",C449)),ISNUMBER(SEARCH("HENRY HOWARD",C449)),ISNUMBER(SEARCH("MISS CLAUDIA",C449))),"Personal Travel - New Orleans",IFERROR(INDEX('Category Rules'!$B$2:$B$194,MATCH(TRUE,ISNUMBER(SEARCH('Category Rules'!$A$2:$A$194,C449)),0)),"")))))))</f>
        <v>Personal - Shopping</v>
      </c>
    </row>
    <row r="450" spans="1:7" x14ac:dyDescent="0.25">
      <c r="A450" t="s">
        <v>6</v>
      </c>
      <c r="B450" s="1">
        <v>46153</v>
      </c>
      <c r="C450" t="s">
        <v>433</v>
      </c>
      <c r="D450">
        <v>-224.87</v>
      </c>
      <c r="E450" t="s">
        <v>14</v>
      </c>
      <c r="F450">
        <v>6362.53</v>
      </c>
      <c r="G450" t="str" cm="1">
        <f t="array" ref="G450">IF(AND(ISNUMBER(SEARCH("UBER",C450)),ISNUMBER(SEARCH("EATS",C450))),"Uber Eats",IF(LEFT(C450,6)="CHECK ","Checks Paid",IF(OR(E450="BILLPAY",ISNUMBER(SEARCH("FRANCHISE TAX",C450)),ISNUMBER(SEARCH("NEXTLINK",C450))),"Personal - House Bills",IF(AND(ISNUMBER(SEARCH("PAYMENT FROM",C450)),ISNUMBER(SEARCH("JOE SAUNDERS",C450))),"Zelle from Joe Saunders",IF(AND(ISNUMBER(SEARCH("PAYMENT TO",C450)),ISNUMBER(SEARCH("JOE SAUNDERS",C450))),"Zelle to Joe Saunders",IF(OR(ISNUMBER(SEARCH("NEW ORLEANS",C450)),ISNUMBER(SEARCH("KENNER",C450)),ISNUMBER(SEARCH("HENRY HOWARD",C450)),ISNUMBER(SEARCH("MISS CLAUDIA",C450))),"Personal Travel - New Orleans",IFERROR(INDEX('Category Rules'!$B$2:$B$194,MATCH(TRUE,ISNUMBER(SEARCH('Category Rules'!$A$2:$A$194,C450)),0)),"")))))))</f>
        <v>Personal - Shopping</v>
      </c>
    </row>
    <row r="451" spans="1:7" x14ac:dyDescent="0.25">
      <c r="A451" t="s">
        <v>6</v>
      </c>
      <c r="B451" s="1">
        <v>46153</v>
      </c>
      <c r="C451" t="s">
        <v>434</v>
      </c>
      <c r="D451">
        <v>-53.39</v>
      </c>
      <c r="E451" t="s">
        <v>14</v>
      </c>
      <c r="F451">
        <v>6587.4</v>
      </c>
      <c r="G451" t="str" cm="1">
        <f t="array" ref="G451">IF(AND(ISNUMBER(SEARCH("UBER",C451)),ISNUMBER(SEARCH("EATS",C451))),"Uber Eats",IF(LEFT(C451,6)="CHECK ","Checks Paid",IF(OR(E451="BILLPAY",ISNUMBER(SEARCH("FRANCHISE TAX",C451)),ISNUMBER(SEARCH("NEXTLINK",C451))),"Personal - House Bills",IF(AND(ISNUMBER(SEARCH("PAYMENT FROM",C451)),ISNUMBER(SEARCH("JOE SAUNDERS",C451))),"Zelle from Joe Saunders",IF(AND(ISNUMBER(SEARCH("PAYMENT TO",C451)),ISNUMBER(SEARCH("JOE SAUNDERS",C451))),"Zelle to Joe Saunders",IF(OR(ISNUMBER(SEARCH("NEW ORLEANS",C451)),ISNUMBER(SEARCH("KENNER",C451)),ISNUMBER(SEARCH("HENRY HOWARD",C451)),ISNUMBER(SEARCH("MISS CLAUDIA",C451))),"Personal Travel - New Orleans",IFERROR(INDEX('Category Rules'!$B$2:$B$194,MATCH(TRUE,ISNUMBER(SEARCH('Category Rules'!$A$2:$A$194,C451)),0)),"")))))))</f>
        <v>Uber Eats</v>
      </c>
    </row>
    <row r="452" spans="1:7" x14ac:dyDescent="0.25">
      <c r="A452" t="s">
        <v>6</v>
      </c>
      <c r="B452" s="1">
        <v>46153</v>
      </c>
      <c r="C452" t="s">
        <v>435</v>
      </c>
      <c r="D452">
        <v>-12.99</v>
      </c>
      <c r="E452" t="s">
        <v>14</v>
      </c>
      <c r="F452">
        <v>6640.79</v>
      </c>
      <c r="G452" t="str" cm="1">
        <f t="array" ref="G452">IF(AND(ISNUMBER(SEARCH("UBER",C452)),ISNUMBER(SEARCH("EATS",C452))),"Uber Eats",IF(LEFT(C452,6)="CHECK ","Checks Paid",IF(OR(E452="BILLPAY",ISNUMBER(SEARCH("FRANCHISE TAX",C452)),ISNUMBER(SEARCH("NEXTLINK",C452))),"Personal - House Bills",IF(AND(ISNUMBER(SEARCH("PAYMENT FROM",C452)),ISNUMBER(SEARCH("JOE SAUNDERS",C452))),"Zelle from Joe Saunders",IF(AND(ISNUMBER(SEARCH("PAYMENT TO",C452)),ISNUMBER(SEARCH("JOE SAUNDERS",C452))),"Zelle to Joe Saunders",IF(OR(ISNUMBER(SEARCH("NEW ORLEANS",C452)),ISNUMBER(SEARCH("KENNER",C452)),ISNUMBER(SEARCH("HENRY HOWARD",C452)),ISNUMBER(SEARCH("MISS CLAUDIA",C452))),"Personal Travel - New Orleans",IFERROR(INDEX('Category Rules'!$B$2:$B$194,MATCH(TRUE,ISNUMBER(SEARCH('Category Rules'!$A$2:$A$194,C452)),0)),"")))))))</f>
        <v>Apple</v>
      </c>
    </row>
    <row r="453" spans="1:7" x14ac:dyDescent="0.25">
      <c r="A453" t="s">
        <v>6</v>
      </c>
      <c r="B453" s="1">
        <v>46153</v>
      </c>
      <c r="C453" t="s">
        <v>436</v>
      </c>
      <c r="D453">
        <v>-79.95</v>
      </c>
      <c r="E453" t="s">
        <v>14</v>
      </c>
      <c r="F453">
        <v>6653.78</v>
      </c>
      <c r="G453" t="str" cm="1">
        <f t="array" ref="G453">IF(AND(ISNUMBER(SEARCH("UBER",C453)),ISNUMBER(SEARCH("EATS",C453))),"Uber Eats",IF(LEFT(C453,6)="CHECK ","Checks Paid",IF(OR(E453="BILLPAY",ISNUMBER(SEARCH("FRANCHISE TAX",C453)),ISNUMBER(SEARCH("NEXTLINK",C453))),"Personal - House Bills",IF(AND(ISNUMBER(SEARCH("PAYMENT FROM",C453)),ISNUMBER(SEARCH("JOE SAUNDERS",C453))),"Zelle from Joe Saunders",IF(AND(ISNUMBER(SEARCH("PAYMENT TO",C453)),ISNUMBER(SEARCH("JOE SAUNDERS",C453))),"Zelle to Joe Saunders",IF(OR(ISNUMBER(SEARCH("NEW ORLEANS",C453)),ISNUMBER(SEARCH("KENNER",C453)),ISNUMBER(SEARCH("HENRY HOWARD",C453)),ISNUMBER(SEARCH("MISS CLAUDIA",C453))),"Personal Travel - New Orleans",IFERROR(INDEX('Category Rules'!$B$2:$B$194,MATCH(TRUE,ISNUMBER(SEARCH('Category Rules'!$A$2:$A$194,C453)),0)),"")))))))</f>
        <v>Personal - Subscription</v>
      </c>
    </row>
    <row r="454" spans="1:7" x14ac:dyDescent="0.25">
      <c r="A454" t="s">
        <v>6</v>
      </c>
      <c r="B454" s="1">
        <v>46153</v>
      </c>
      <c r="C454" t="s">
        <v>437</v>
      </c>
      <c r="D454">
        <v>-41</v>
      </c>
      <c r="E454" t="s">
        <v>14</v>
      </c>
      <c r="F454">
        <v>6733.73</v>
      </c>
      <c r="G454" t="str" cm="1">
        <f t="array" ref="G454">IF(AND(ISNUMBER(SEARCH("UBER",C454)),ISNUMBER(SEARCH("EATS",C454))),"Uber Eats",IF(LEFT(C454,6)="CHECK ","Checks Paid",IF(OR(E454="BILLPAY",ISNUMBER(SEARCH("FRANCHISE TAX",C454)),ISNUMBER(SEARCH("NEXTLINK",C454))),"Personal - House Bills",IF(AND(ISNUMBER(SEARCH("PAYMENT FROM",C454)),ISNUMBER(SEARCH("JOE SAUNDERS",C454))),"Zelle from Joe Saunders",IF(AND(ISNUMBER(SEARCH("PAYMENT TO",C454)),ISNUMBER(SEARCH("JOE SAUNDERS",C454))),"Zelle to Joe Saunders",IF(OR(ISNUMBER(SEARCH("NEW ORLEANS",C454)),ISNUMBER(SEARCH("KENNER",C454)),ISNUMBER(SEARCH("HENRY HOWARD",C454)),ISNUMBER(SEARCH("MISS CLAUDIA",C454))),"Personal Travel - New Orleans",IFERROR(INDEX('Category Rules'!$B$2:$B$194,MATCH(TRUE,ISNUMBER(SEARCH('Category Rules'!$A$2:$A$194,C454)),0)),"")))))))</f>
        <v>Uber Eats</v>
      </c>
    </row>
    <row r="455" spans="1:7" x14ac:dyDescent="0.25">
      <c r="A455" t="s">
        <v>6</v>
      </c>
      <c r="B455" s="1">
        <v>46153</v>
      </c>
      <c r="C455" t="s">
        <v>438</v>
      </c>
      <c r="D455">
        <v>-154.81</v>
      </c>
      <c r="E455" t="s">
        <v>14</v>
      </c>
      <c r="F455">
        <v>6774.73</v>
      </c>
      <c r="G455" t="str" cm="1">
        <f t="array" ref="G455">IF(AND(ISNUMBER(SEARCH("UBER",C455)),ISNUMBER(SEARCH("EATS",C455))),"Uber Eats",IF(LEFT(C455,6)="CHECK ","Checks Paid",IF(OR(E455="BILLPAY",ISNUMBER(SEARCH("FRANCHISE TAX",C455)),ISNUMBER(SEARCH("NEXTLINK",C455))),"Personal - House Bills",IF(AND(ISNUMBER(SEARCH("PAYMENT FROM",C455)),ISNUMBER(SEARCH("JOE SAUNDERS",C455))),"Zelle from Joe Saunders",IF(AND(ISNUMBER(SEARCH("PAYMENT TO",C455)),ISNUMBER(SEARCH("JOE SAUNDERS",C455))),"Zelle to Joe Saunders",IF(OR(ISNUMBER(SEARCH("NEW ORLEANS",C455)),ISNUMBER(SEARCH("KENNER",C455)),ISNUMBER(SEARCH("HENRY HOWARD",C455)),ISNUMBER(SEARCH("MISS CLAUDIA",C455))),"Personal Travel - New Orleans",IFERROR(INDEX('Category Rules'!$B$2:$B$194,MATCH(TRUE,ISNUMBER(SEARCH('Category Rules'!$A$2:$A$194,C455)),0)),"")))))))</f>
        <v>Amazon</v>
      </c>
    </row>
    <row r="456" spans="1:7" x14ac:dyDescent="0.25">
      <c r="A456" t="s">
        <v>6</v>
      </c>
      <c r="B456" s="1">
        <v>46153</v>
      </c>
      <c r="C456" t="s">
        <v>439</v>
      </c>
      <c r="D456">
        <v>-83.95</v>
      </c>
      <c r="E456" t="s">
        <v>14</v>
      </c>
      <c r="F456">
        <v>6929.54</v>
      </c>
      <c r="G456" t="str" cm="1">
        <f t="array" ref="G456">IF(AND(ISNUMBER(SEARCH("UBER",C456)),ISNUMBER(SEARCH("EATS",C456))),"Uber Eats",IF(LEFT(C456,6)="CHECK ","Checks Paid",IF(OR(E456="BILLPAY",ISNUMBER(SEARCH("FRANCHISE TAX",C456)),ISNUMBER(SEARCH("NEXTLINK",C456))),"Personal - House Bills",IF(AND(ISNUMBER(SEARCH("PAYMENT FROM",C456)),ISNUMBER(SEARCH("JOE SAUNDERS",C456))),"Zelle from Joe Saunders",IF(AND(ISNUMBER(SEARCH("PAYMENT TO",C456)),ISNUMBER(SEARCH("JOE SAUNDERS",C456))),"Zelle to Joe Saunders",IF(OR(ISNUMBER(SEARCH("NEW ORLEANS",C456)),ISNUMBER(SEARCH("KENNER",C456)),ISNUMBER(SEARCH("HENRY HOWARD",C456)),ISNUMBER(SEARCH("MISS CLAUDIA",C456))),"Personal Travel - New Orleans",IFERROR(INDEX('Category Rules'!$B$2:$B$194,MATCH(TRUE,ISNUMBER(SEARCH('Category Rules'!$A$2:$A$194,C456)),0)),"")))))))</f>
        <v>Amazon</v>
      </c>
    </row>
    <row r="457" spans="1:7" x14ac:dyDescent="0.25">
      <c r="A457" t="s">
        <v>6</v>
      </c>
      <c r="B457" s="1">
        <v>46153</v>
      </c>
      <c r="C457" t="s">
        <v>440</v>
      </c>
      <c r="D457">
        <v>-200</v>
      </c>
      <c r="E457" t="s">
        <v>14</v>
      </c>
      <c r="F457">
        <v>7013.49</v>
      </c>
      <c r="G457" t="str" cm="1">
        <f t="array" ref="G457">IF(AND(ISNUMBER(SEARCH("UBER",C457)),ISNUMBER(SEARCH("EATS",C457))),"Uber Eats",IF(LEFT(C457,6)="CHECK ","Checks Paid",IF(OR(E457="BILLPAY",ISNUMBER(SEARCH("FRANCHISE TAX",C457)),ISNUMBER(SEARCH("NEXTLINK",C457))),"Personal - House Bills",IF(AND(ISNUMBER(SEARCH("PAYMENT FROM",C457)),ISNUMBER(SEARCH("JOE SAUNDERS",C457))),"Zelle from Joe Saunders",IF(AND(ISNUMBER(SEARCH("PAYMENT TO",C457)),ISNUMBER(SEARCH("JOE SAUNDERS",C457))),"Zelle to Joe Saunders",IF(OR(ISNUMBER(SEARCH("NEW ORLEANS",C457)),ISNUMBER(SEARCH("KENNER",C457)),ISNUMBER(SEARCH("HENRY HOWARD",C457)),ISNUMBER(SEARCH("MISS CLAUDIA",C457))),"Personal Travel - New Orleans",IFERROR(INDEX('Category Rules'!$B$2:$B$194,MATCH(TRUE,ISNUMBER(SEARCH('Category Rules'!$A$2:$A$194,C457)),0)),"")))))))</f>
        <v>Personal - Subscription</v>
      </c>
    </row>
    <row r="458" spans="1:7" x14ac:dyDescent="0.25">
      <c r="A458" t="s">
        <v>6</v>
      </c>
      <c r="B458" s="1">
        <v>46153</v>
      </c>
      <c r="C458" t="s">
        <v>441</v>
      </c>
      <c r="D458">
        <v>-6.99</v>
      </c>
      <c r="E458" t="s">
        <v>14</v>
      </c>
      <c r="F458">
        <v>7213.49</v>
      </c>
      <c r="G458" t="str" cm="1">
        <f t="array" ref="G458">IF(AND(ISNUMBER(SEARCH("UBER",C458)),ISNUMBER(SEARCH("EATS",C458))),"Uber Eats",IF(LEFT(C458,6)="CHECK ","Checks Paid",IF(OR(E458="BILLPAY",ISNUMBER(SEARCH("FRANCHISE TAX",C458)),ISNUMBER(SEARCH("NEXTLINK",C458))),"Personal - House Bills",IF(AND(ISNUMBER(SEARCH("PAYMENT FROM",C458)),ISNUMBER(SEARCH("JOE SAUNDERS",C458))),"Zelle from Joe Saunders",IF(AND(ISNUMBER(SEARCH("PAYMENT TO",C458)),ISNUMBER(SEARCH("JOE SAUNDERS",C458))),"Zelle to Joe Saunders",IF(OR(ISNUMBER(SEARCH("NEW ORLEANS",C458)),ISNUMBER(SEARCH("KENNER",C458)),ISNUMBER(SEARCH("HENRY HOWARD",C458)),ISNUMBER(SEARCH("MISS CLAUDIA",C458))),"Personal Travel - New Orleans",IFERROR(INDEX('Category Rules'!$B$2:$B$194,MATCH(TRUE,ISNUMBER(SEARCH('Category Rules'!$A$2:$A$194,C458)),0)),"")))))))</f>
        <v>Apple</v>
      </c>
    </row>
    <row r="459" spans="1:7" x14ac:dyDescent="0.25">
      <c r="A459" t="s">
        <v>6</v>
      </c>
      <c r="B459" s="1">
        <v>46153</v>
      </c>
      <c r="C459" t="s">
        <v>442</v>
      </c>
      <c r="D459">
        <v>-36</v>
      </c>
      <c r="E459" t="s">
        <v>14</v>
      </c>
      <c r="F459">
        <v>7220.48</v>
      </c>
      <c r="G459" t="str" cm="1">
        <f t="array" ref="G459">IF(AND(ISNUMBER(SEARCH("UBER",C459)),ISNUMBER(SEARCH("EATS",C459))),"Uber Eats",IF(LEFT(C459,6)="CHECK ","Checks Paid",IF(OR(E459="BILLPAY",ISNUMBER(SEARCH("FRANCHISE TAX",C459)),ISNUMBER(SEARCH("NEXTLINK",C459))),"Personal - House Bills",IF(AND(ISNUMBER(SEARCH("PAYMENT FROM",C459)),ISNUMBER(SEARCH("JOE SAUNDERS",C459))),"Zelle from Joe Saunders",IF(AND(ISNUMBER(SEARCH("PAYMENT TO",C459)),ISNUMBER(SEARCH("JOE SAUNDERS",C459))),"Zelle to Joe Saunders",IF(OR(ISNUMBER(SEARCH("NEW ORLEANS",C459)),ISNUMBER(SEARCH("KENNER",C459)),ISNUMBER(SEARCH("HENRY HOWARD",C459)),ISNUMBER(SEARCH("MISS CLAUDIA",C459))),"Personal Travel - New Orleans",IFERROR(INDEX('Category Rules'!$B$2:$B$194,MATCH(TRUE,ISNUMBER(SEARCH('Category Rules'!$A$2:$A$194,C459)),0)),"")))))))</f>
        <v>Personal Travel</v>
      </c>
    </row>
    <row r="460" spans="1:7" x14ac:dyDescent="0.25">
      <c r="A460" t="s">
        <v>6</v>
      </c>
      <c r="B460" s="1">
        <v>46153</v>
      </c>
      <c r="C460" t="s">
        <v>442</v>
      </c>
      <c r="D460">
        <v>-36</v>
      </c>
      <c r="E460" t="s">
        <v>14</v>
      </c>
      <c r="F460">
        <v>7256.48</v>
      </c>
      <c r="G460" t="str" cm="1">
        <f t="array" ref="G460">IF(AND(ISNUMBER(SEARCH("UBER",C460)),ISNUMBER(SEARCH("EATS",C460))),"Uber Eats",IF(LEFT(C460,6)="CHECK ","Checks Paid",IF(OR(E460="BILLPAY",ISNUMBER(SEARCH("FRANCHISE TAX",C460)),ISNUMBER(SEARCH("NEXTLINK",C460))),"Personal - House Bills",IF(AND(ISNUMBER(SEARCH("PAYMENT FROM",C460)),ISNUMBER(SEARCH("JOE SAUNDERS",C460))),"Zelle from Joe Saunders",IF(AND(ISNUMBER(SEARCH("PAYMENT TO",C460)),ISNUMBER(SEARCH("JOE SAUNDERS",C460))),"Zelle to Joe Saunders",IF(OR(ISNUMBER(SEARCH("NEW ORLEANS",C460)),ISNUMBER(SEARCH("KENNER",C460)),ISNUMBER(SEARCH("HENRY HOWARD",C460)),ISNUMBER(SEARCH("MISS CLAUDIA",C460))),"Personal Travel - New Orleans",IFERROR(INDEX('Category Rules'!$B$2:$B$194,MATCH(TRUE,ISNUMBER(SEARCH('Category Rules'!$A$2:$A$194,C460)),0)),"")))))))</f>
        <v>Personal Travel</v>
      </c>
    </row>
    <row r="461" spans="1:7" x14ac:dyDescent="0.25">
      <c r="A461" t="s">
        <v>6</v>
      </c>
      <c r="B461" s="1">
        <v>46153</v>
      </c>
      <c r="C461" t="s">
        <v>443</v>
      </c>
      <c r="D461">
        <v>-55</v>
      </c>
      <c r="E461" t="s">
        <v>14</v>
      </c>
      <c r="F461">
        <v>7292.48</v>
      </c>
      <c r="G461" t="str" cm="1">
        <f t="array" ref="G461">IF(AND(ISNUMBER(SEARCH("UBER",C461)),ISNUMBER(SEARCH("EATS",C461))),"Uber Eats",IF(LEFT(C461,6)="CHECK ","Checks Paid",IF(OR(E461="BILLPAY",ISNUMBER(SEARCH("FRANCHISE TAX",C461)),ISNUMBER(SEARCH("NEXTLINK",C461))),"Personal - House Bills",IF(AND(ISNUMBER(SEARCH("PAYMENT FROM",C461)),ISNUMBER(SEARCH("JOE SAUNDERS",C461))),"Zelle from Joe Saunders",IF(AND(ISNUMBER(SEARCH("PAYMENT TO",C461)),ISNUMBER(SEARCH("JOE SAUNDERS",C461))),"Zelle to Joe Saunders",IF(OR(ISNUMBER(SEARCH("NEW ORLEANS",C461)),ISNUMBER(SEARCH("KENNER",C461)),ISNUMBER(SEARCH("HENRY HOWARD",C461)),ISNUMBER(SEARCH("MISS CLAUDIA",C461))),"Personal Travel - New Orleans",IFERROR(INDEX('Category Rules'!$B$2:$B$194,MATCH(TRUE,ISNUMBER(SEARCH('Category Rules'!$A$2:$A$194,C461)),0)),"")))))))</f>
        <v>Personal Travel</v>
      </c>
    </row>
    <row r="462" spans="1:7" x14ac:dyDescent="0.25">
      <c r="A462" t="s">
        <v>6</v>
      </c>
      <c r="B462" s="1">
        <v>46153</v>
      </c>
      <c r="C462" t="s">
        <v>444</v>
      </c>
      <c r="D462">
        <v>-36</v>
      </c>
      <c r="E462" t="s">
        <v>14</v>
      </c>
      <c r="F462">
        <v>7347.48</v>
      </c>
      <c r="G462" t="str" cm="1">
        <f t="array" ref="G462">IF(AND(ISNUMBER(SEARCH("UBER",C462)),ISNUMBER(SEARCH("EATS",C462))),"Uber Eats",IF(LEFT(C462,6)="CHECK ","Checks Paid",IF(OR(E462="BILLPAY",ISNUMBER(SEARCH("FRANCHISE TAX",C462)),ISNUMBER(SEARCH("NEXTLINK",C462))),"Personal - House Bills",IF(AND(ISNUMBER(SEARCH("PAYMENT FROM",C462)),ISNUMBER(SEARCH("JOE SAUNDERS",C462))),"Zelle from Joe Saunders",IF(AND(ISNUMBER(SEARCH("PAYMENT TO",C462)),ISNUMBER(SEARCH("JOE SAUNDERS",C462))),"Zelle to Joe Saunders",IF(OR(ISNUMBER(SEARCH("NEW ORLEANS",C462)),ISNUMBER(SEARCH("KENNER",C462)),ISNUMBER(SEARCH("HENRY HOWARD",C462)),ISNUMBER(SEARCH("MISS CLAUDIA",C462))),"Personal Travel - New Orleans",IFERROR(INDEX('Category Rules'!$B$2:$B$194,MATCH(TRUE,ISNUMBER(SEARCH('Category Rules'!$A$2:$A$194,C462)),0)),"")))))))</f>
        <v>Personal Travel</v>
      </c>
    </row>
    <row r="463" spans="1:7" x14ac:dyDescent="0.25">
      <c r="A463" t="s">
        <v>6</v>
      </c>
      <c r="B463" s="1">
        <v>46153</v>
      </c>
      <c r="C463" t="s">
        <v>445</v>
      </c>
      <c r="D463">
        <v>-45</v>
      </c>
      <c r="E463" t="s">
        <v>14</v>
      </c>
      <c r="F463">
        <v>7383.48</v>
      </c>
      <c r="G463" t="str" cm="1">
        <f t="array" ref="G463">IF(AND(ISNUMBER(SEARCH("UBER",C463)),ISNUMBER(SEARCH("EATS",C463))),"Uber Eats",IF(LEFT(C463,6)="CHECK ","Checks Paid",IF(OR(E463="BILLPAY",ISNUMBER(SEARCH("FRANCHISE TAX",C463)),ISNUMBER(SEARCH("NEXTLINK",C463))),"Personal - House Bills",IF(AND(ISNUMBER(SEARCH("PAYMENT FROM",C463)),ISNUMBER(SEARCH("JOE SAUNDERS",C463))),"Zelle from Joe Saunders",IF(AND(ISNUMBER(SEARCH("PAYMENT TO",C463)),ISNUMBER(SEARCH("JOE SAUNDERS",C463))),"Zelle to Joe Saunders",IF(OR(ISNUMBER(SEARCH("NEW ORLEANS",C463)),ISNUMBER(SEARCH("KENNER",C463)),ISNUMBER(SEARCH("HENRY HOWARD",C463)),ISNUMBER(SEARCH("MISS CLAUDIA",C463))),"Personal Travel - New Orleans",IFERROR(INDEX('Category Rules'!$B$2:$B$194,MATCH(TRUE,ISNUMBER(SEARCH('Category Rules'!$A$2:$A$194,C463)),0)),"")))))))</f>
        <v>Personal Travel</v>
      </c>
    </row>
    <row r="464" spans="1:7" x14ac:dyDescent="0.25">
      <c r="A464" t="s">
        <v>6</v>
      </c>
      <c r="B464" s="1">
        <v>46153</v>
      </c>
      <c r="C464" t="s">
        <v>446</v>
      </c>
      <c r="D464">
        <v>-60</v>
      </c>
      <c r="E464" t="s">
        <v>14</v>
      </c>
      <c r="F464">
        <v>7428.48</v>
      </c>
      <c r="G464" t="str" cm="1">
        <f t="array" ref="G464">IF(AND(ISNUMBER(SEARCH("UBER",C464)),ISNUMBER(SEARCH("EATS",C464))),"Uber Eats",IF(LEFT(C464,6)="CHECK ","Checks Paid",IF(OR(E464="BILLPAY",ISNUMBER(SEARCH("FRANCHISE TAX",C464)),ISNUMBER(SEARCH("NEXTLINK",C464))),"Personal - House Bills",IF(AND(ISNUMBER(SEARCH("PAYMENT FROM",C464)),ISNUMBER(SEARCH("JOE SAUNDERS",C464))),"Zelle from Joe Saunders",IF(AND(ISNUMBER(SEARCH("PAYMENT TO",C464)),ISNUMBER(SEARCH("JOE SAUNDERS",C464))),"Zelle to Joe Saunders",IF(OR(ISNUMBER(SEARCH("NEW ORLEANS",C464)),ISNUMBER(SEARCH("KENNER",C464)),ISNUMBER(SEARCH("HENRY HOWARD",C464)),ISNUMBER(SEARCH("MISS CLAUDIA",C464))),"Personal Travel - New Orleans",IFERROR(INDEX('Category Rules'!$B$2:$B$194,MATCH(TRUE,ISNUMBER(SEARCH('Category Rules'!$A$2:$A$194,C464)),0)),"")))))))</f>
        <v>Personal Travel</v>
      </c>
    </row>
    <row r="465" spans="1:7" x14ac:dyDescent="0.25">
      <c r="A465" t="s">
        <v>6</v>
      </c>
      <c r="B465" s="1">
        <v>46153</v>
      </c>
      <c r="C465" t="s">
        <v>447</v>
      </c>
      <c r="D465">
        <v>-216.47</v>
      </c>
      <c r="E465" t="s">
        <v>14</v>
      </c>
      <c r="F465">
        <v>7488.48</v>
      </c>
      <c r="G465" t="str" cm="1">
        <f t="array" ref="G465">IF(AND(ISNUMBER(SEARCH("UBER",C465)),ISNUMBER(SEARCH("EATS",C465))),"Uber Eats",IF(LEFT(C465,6)="CHECK ","Checks Paid",IF(OR(E465="BILLPAY",ISNUMBER(SEARCH("FRANCHISE TAX",C465)),ISNUMBER(SEARCH("NEXTLINK",C465))),"Personal - House Bills",IF(AND(ISNUMBER(SEARCH("PAYMENT FROM",C465)),ISNUMBER(SEARCH("JOE SAUNDERS",C465))),"Zelle from Joe Saunders",IF(AND(ISNUMBER(SEARCH("PAYMENT TO",C465)),ISNUMBER(SEARCH("JOE SAUNDERS",C465))),"Zelle to Joe Saunders",IF(OR(ISNUMBER(SEARCH("NEW ORLEANS",C465)),ISNUMBER(SEARCH("KENNER",C465)),ISNUMBER(SEARCH("HENRY HOWARD",C465)),ISNUMBER(SEARCH("MISS CLAUDIA",C465))),"Personal Travel - New Orleans",IFERROR(INDEX('Category Rules'!$B$2:$B$194,MATCH(TRUE,ISNUMBER(SEARCH('Category Rules'!$A$2:$A$194,C465)),0)),"")))))))</f>
        <v>Personal - Health</v>
      </c>
    </row>
    <row r="466" spans="1:7" x14ac:dyDescent="0.25">
      <c r="A466" t="s">
        <v>37</v>
      </c>
      <c r="B466" s="1">
        <v>46153</v>
      </c>
      <c r="C466" t="s">
        <v>448</v>
      </c>
      <c r="D466">
        <v>3000</v>
      </c>
      <c r="E466" t="s">
        <v>39</v>
      </c>
      <c r="F466">
        <v>7704.95</v>
      </c>
      <c r="G466" t="str" cm="1">
        <f t="array" ref="G466">IF(AND(ISNUMBER(SEARCH("UBER",C466)),ISNUMBER(SEARCH("EATS",C466))),"Uber Eats",IF(LEFT(C466,6)="CHECK ","Checks Paid",IF(OR(E466="BILLPAY",ISNUMBER(SEARCH("FRANCHISE TAX",C466)),ISNUMBER(SEARCH("NEXTLINK",C466))),"Personal - House Bills",IF(AND(ISNUMBER(SEARCH("PAYMENT FROM",C466)),ISNUMBER(SEARCH("JOE SAUNDERS",C466))),"Zelle from Joe Saunders",IF(AND(ISNUMBER(SEARCH("PAYMENT TO",C466)),ISNUMBER(SEARCH("JOE SAUNDERS",C466))),"Zelle to Joe Saunders",IF(OR(ISNUMBER(SEARCH("NEW ORLEANS",C466)),ISNUMBER(SEARCH("KENNER",C466)),ISNUMBER(SEARCH("HENRY HOWARD",C466)),ISNUMBER(SEARCH("MISS CLAUDIA",C466))),"Personal Travel - New Orleans",IFERROR(INDEX('Category Rules'!$B$2:$B$194,MATCH(TRUE,ISNUMBER(SEARCH('Category Rules'!$A$2:$A$194,C466)),0)),"")))))))</f>
        <v>Transfer from DWG Capital Group</v>
      </c>
    </row>
    <row r="467" spans="1:7" x14ac:dyDescent="0.25">
      <c r="A467" t="s">
        <v>6</v>
      </c>
      <c r="B467" s="1">
        <v>46150</v>
      </c>
      <c r="C467" t="s">
        <v>449</v>
      </c>
      <c r="D467">
        <v>-164.57</v>
      </c>
      <c r="E467" t="s">
        <v>14</v>
      </c>
      <c r="F467">
        <v>4704.95</v>
      </c>
      <c r="G467" t="str" cm="1">
        <f t="array" ref="G467">IF(AND(ISNUMBER(SEARCH("UBER",C467)),ISNUMBER(SEARCH("EATS",C467))),"Uber Eats",IF(LEFT(C467,6)="CHECK ","Checks Paid",IF(OR(E467="BILLPAY",ISNUMBER(SEARCH("FRANCHISE TAX",C467)),ISNUMBER(SEARCH("NEXTLINK",C467))),"Personal - House Bills",IF(AND(ISNUMBER(SEARCH("PAYMENT FROM",C467)),ISNUMBER(SEARCH("JOE SAUNDERS",C467))),"Zelle from Joe Saunders",IF(AND(ISNUMBER(SEARCH("PAYMENT TO",C467)),ISNUMBER(SEARCH("JOE SAUNDERS",C467))),"Zelle to Joe Saunders",IF(OR(ISNUMBER(SEARCH("NEW ORLEANS",C467)),ISNUMBER(SEARCH("KENNER",C467)),ISNUMBER(SEARCH("HENRY HOWARD",C467)),ISNUMBER(SEARCH("MISS CLAUDIA",C467))),"Personal Travel - New Orleans",IFERROR(INDEX('Category Rules'!$B$2:$B$194,MATCH(TRUE,ISNUMBER(SEARCH('Category Rules'!$A$2:$A$194,C467)),0)),"")))))))</f>
        <v>Personal - Health</v>
      </c>
    </row>
    <row r="468" spans="1:7" x14ac:dyDescent="0.25">
      <c r="A468" t="s">
        <v>6</v>
      </c>
      <c r="B468" s="1">
        <v>46150</v>
      </c>
      <c r="C468" t="s">
        <v>450</v>
      </c>
      <c r="D468">
        <v>-15.99</v>
      </c>
      <c r="E468" t="s">
        <v>14</v>
      </c>
      <c r="F468">
        <v>4869.5200000000004</v>
      </c>
      <c r="G468" t="str" cm="1">
        <f t="array" ref="G468">IF(AND(ISNUMBER(SEARCH("UBER",C468)),ISNUMBER(SEARCH("EATS",C468))),"Uber Eats",IF(LEFT(C468,6)="CHECK ","Checks Paid",IF(OR(E468="BILLPAY",ISNUMBER(SEARCH("FRANCHISE TAX",C468)),ISNUMBER(SEARCH("NEXTLINK",C468))),"Personal - House Bills",IF(AND(ISNUMBER(SEARCH("PAYMENT FROM",C468)),ISNUMBER(SEARCH("JOE SAUNDERS",C468))),"Zelle from Joe Saunders",IF(AND(ISNUMBER(SEARCH("PAYMENT TO",C468)),ISNUMBER(SEARCH("JOE SAUNDERS",C468))),"Zelle to Joe Saunders",IF(OR(ISNUMBER(SEARCH("NEW ORLEANS",C468)),ISNUMBER(SEARCH("KENNER",C468)),ISNUMBER(SEARCH("HENRY HOWARD",C468)),ISNUMBER(SEARCH("MISS CLAUDIA",C468))),"Personal Travel - New Orleans",IFERROR(INDEX('Category Rules'!$B$2:$B$194,MATCH(TRUE,ISNUMBER(SEARCH('Category Rules'!$A$2:$A$194,C468)),0)),"")))))))</f>
        <v>Amazon</v>
      </c>
    </row>
    <row r="469" spans="1:7" x14ac:dyDescent="0.25">
      <c r="A469" t="s">
        <v>6</v>
      </c>
      <c r="B469" s="1">
        <v>46150</v>
      </c>
      <c r="C469" t="s">
        <v>451</v>
      </c>
      <c r="D469">
        <v>-463.4</v>
      </c>
      <c r="E469" t="s">
        <v>14</v>
      </c>
      <c r="F469">
        <v>4885.51</v>
      </c>
      <c r="G469" t="str" cm="1">
        <f t="array" ref="G469">IF(AND(ISNUMBER(SEARCH("UBER",C469)),ISNUMBER(SEARCH("EATS",C469))),"Uber Eats",IF(LEFT(C469,6)="CHECK ","Checks Paid",IF(OR(E469="BILLPAY",ISNUMBER(SEARCH("FRANCHISE TAX",C469)),ISNUMBER(SEARCH("NEXTLINK",C469))),"Personal - House Bills",IF(AND(ISNUMBER(SEARCH("PAYMENT FROM",C469)),ISNUMBER(SEARCH("JOE SAUNDERS",C469))),"Zelle from Joe Saunders",IF(AND(ISNUMBER(SEARCH("PAYMENT TO",C469)),ISNUMBER(SEARCH("JOE SAUNDERS",C469))),"Zelle to Joe Saunders",IF(OR(ISNUMBER(SEARCH("NEW ORLEANS",C469)),ISNUMBER(SEARCH("KENNER",C469)),ISNUMBER(SEARCH("HENRY HOWARD",C469)),ISNUMBER(SEARCH("MISS CLAUDIA",C469))),"Personal Travel - New Orleans",IFERROR(INDEX('Category Rules'!$B$2:$B$194,MATCH(TRUE,ISNUMBER(SEARCH('Category Rules'!$A$2:$A$194,C469)),0)),"")))))))</f>
        <v>Personal Travel</v>
      </c>
    </row>
    <row r="470" spans="1:7" x14ac:dyDescent="0.25">
      <c r="A470" t="s">
        <v>37</v>
      </c>
      <c r="B470" s="1">
        <v>46150</v>
      </c>
      <c r="C470" t="s">
        <v>452</v>
      </c>
      <c r="D470">
        <v>5000</v>
      </c>
      <c r="E470" t="s">
        <v>39</v>
      </c>
      <c r="F470">
        <v>5348.91</v>
      </c>
      <c r="G470" t="str" cm="1">
        <f t="array" ref="G470">IF(AND(ISNUMBER(SEARCH("UBER",C470)),ISNUMBER(SEARCH("EATS",C470))),"Uber Eats",IF(LEFT(C470,6)="CHECK ","Checks Paid",IF(OR(E470="BILLPAY",ISNUMBER(SEARCH("FRANCHISE TAX",C470)),ISNUMBER(SEARCH("NEXTLINK",C470))),"Personal - House Bills",IF(AND(ISNUMBER(SEARCH("PAYMENT FROM",C470)),ISNUMBER(SEARCH("JOE SAUNDERS",C470))),"Zelle from Joe Saunders",IF(AND(ISNUMBER(SEARCH("PAYMENT TO",C470)),ISNUMBER(SEARCH("JOE SAUNDERS",C470))),"Zelle to Joe Saunders",IF(OR(ISNUMBER(SEARCH("NEW ORLEANS",C470)),ISNUMBER(SEARCH("KENNER",C470)),ISNUMBER(SEARCH("HENRY HOWARD",C470)),ISNUMBER(SEARCH("MISS CLAUDIA",C470))),"Personal Travel - New Orleans",IFERROR(INDEX('Category Rules'!$B$2:$B$194,MATCH(TRUE,ISNUMBER(SEARCH('Category Rules'!$A$2:$A$194,C470)),0)),"")))))))</f>
        <v>Transfer from DWG Capital Group</v>
      </c>
    </row>
    <row r="471" spans="1:7" x14ac:dyDescent="0.25">
      <c r="A471" t="s">
        <v>37</v>
      </c>
      <c r="B471" s="1">
        <v>46150</v>
      </c>
      <c r="C471" t="s">
        <v>453</v>
      </c>
      <c r="D471">
        <v>337</v>
      </c>
      <c r="E471" t="s">
        <v>117</v>
      </c>
      <c r="F471">
        <v>348.91</v>
      </c>
      <c r="G471" t="str" cm="1">
        <f t="array" ref="G471">IF(AND(ISNUMBER(SEARCH("UBER",C471)),ISNUMBER(SEARCH("EATS",C471))),"Uber Eats",IF(LEFT(C471,6)="CHECK ","Checks Paid",IF(OR(E471="BILLPAY",ISNUMBER(SEARCH("FRANCHISE TAX",C471)),ISNUMBER(SEARCH("NEXTLINK",C471))),"Personal - House Bills",IF(AND(ISNUMBER(SEARCH("PAYMENT FROM",C471)),ISNUMBER(SEARCH("JOE SAUNDERS",C471))),"Zelle from Joe Saunders",IF(AND(ISNUMBER(SEARCH("PAYMENT TO",C471)),ISNUMBER(SEARCH("JOE SAUNDERS",C471))),"Zelle to Joe Saunders",IF(OR(ISNUMBER(SEARCH("NEW ORLEANS",C471)),ISNUMBER(SEARCH("KENNER",C471)),ISNUMBER(SEARCH("HENRY HOWARD",C471)),ISNUMBER(SEARCH("MISS CLAUDIA",C471))),"Personal Travel - New Orleans",IFERROR(INDEX('Category Rules'!$B$2:$B$194,MATCH(TRUE,ISNUMBER(SEARCH('Category Rules'!$A$2:$A$194,C471)),0)),"")))))))</f>
        <v>Deposit</v>
      </c>
    </row>
    <row r="472" spans="1:7" x14ac:dyDescent="0.25">
      <c r="A472" t="s">
        <v>6</v>
      </c>
      <c r="B472" s="1">
        <v>46149</v>
      </c>
      <c r="C472" t="s">
        <v>454</v>
      </c>
      <c r="D472">
        <v>-10</v>
      </c>
      <c r="E472" t="s">
        <v>14</v>
      </c>
      <c r="F472">
        <v>11.91</v>
      </c>
      <c r="G472" t="str" cm="1">
        <f t="array" ref="G472">IF(AND(ISNUMBER(SEARCH("UBER",C472)),ISNUMBER(SEARCH("EATS",C472))),"Uber Eats",IF(LEFT(C472,6)="CHECK ","Checks Paid",IF(OR(E472="BILLPAY",ISNUMBER(SEARCH("FRANCHISE TAX",C472)),ISNUMBER(SEARCH("NEXTLINK",C472))),"Personal - House Bills",IF(AND(ISNUMBER(SEARCH("PAYMENT FROM",C472)),ISNUMBER(SEARCH("JOE SAUNDERS",C472))),"Zelle from Joe Saunders",IF(AND(ISNUMBER(SEARCH("PAYMENT TO",C472)),ISNUMBER(SEARCH("JOE SAUNDERS",C472))),"Zelle to Joe Saunders",IF(OR(ISNUMBER(SEARCH("NEW ORLEANS",C472)),ISNUMBER(SEARCH("KENNER",C472)),ISNUMBER(SEARCH("HENRY HOWARD",C472)),ISNUMBER(SEARCH("MISS CLAUDIA",C472))),"Personal Travel - New Orleans",IFERROR(INDEX('Category Rules'!$B$2:$B$194,MATCH(TRUE,ISNUMBER(SEARCH('Category Rules'!$A$2:$A$194,C472)),0)),"")))))))</f>
        <v>Amazon</v>
      </c>
    </row>
    <row r="473" spans="1:7" x14ac:dyDescent="0.25">
      <c r="A473" t="s">
        <v>6</v>
      </c>
      <c r="B473" s="1">
        <v>46149</v>
      </c>
      <c r="C473" t="s">
        <v>455</v>
      </c>
      <c r="D473">
        <v>-181.24</v>
      </c>
      <c r="E473" t="s">
        <v>14</v>
      </c>
      <c r="F473">
        <v>21.91</v>
      </c>
      <c r="G473" t="str" cm="1">
        <f t="array" ref="G473">IF(AND(ISNUMBER(SEARCH("UBER",C473)),ISNUMBER(SEARCH("EATS",C473))),"Uber Eats",IF(LEFT(C473,6)="CHECK ","Checks Paid",IF(OR(E473="BILLPAY",ISNUMBER(SEARCH("FRANCHISE TAX",C473)),ISNUMBER(SEARCH("NEXTLINK",C473))),"Personal - House Bills",IF(AND(ISNUMBER(SEARCH("PAYMENT FROM",C473)),ISNUMBER(SEARCH("JOE SAUNDERS",C473))),"Zelle from Joe Saunders",IF(AND(ISNUMBER(SEARCH("PAYMENT TO",C473)),ISNUMBER(SEARCH("JOE SAUNDERS",C473))),"Zelle to Joe Saunders",IF(OR(ISNUMBER(SEARCH("NEW ORLEANS",C473)),ISNUMBER(SEARCH("KENNER",C473)),ISNUMBER(SEARCH("HENRY HOWARD",C473)),ISNUMBER(SEARCH("MISS CLAUDIA",C473))),"Personal Travel - New Orleans",IFERROR(INDEX('Category Rules'!$B$2:$B$194,MATCH(TRUE,ISNUMBER(SEARCH('Category Rules'!$A$2:$A$194,C473)),0)),"")))))))</f>
        <v>Personal - Food</v>
      </c>
    </row>
    <row r="474" spans="1:7" x14ac:dyDescent="0.25">
      <c r="A474" t="s">
        <v>6</v>
      </c>
      <c r="B474" s="1">
        <v>46148</v>
      </c>
      <c r="C474" t="s">
        <v>456</v>
      </c>
      <c r="D474">
        <v>-13.99</v>
      </c>
      <c r="E474" t="s">
        <v>14</v>
      </c>
      <c r="F474">
        <v>203.15</v>
      </c>
      <c r="G474" t="str" cm="1">
        <f t="array" ref="G474">IF(AND(ISNUMBER(SEARCH("UBER",C474)),ISNUMBER(SEARCH("EATS",C474))),"Uber Eats",IF(LEFT(C474,6)="CHECK ","Checks Paid",IF(OR(E474="BILLPAY",ISNUMBER(SEARCH("FRANCHISE TAX",C474)),ISNUMBER(SEARCH("NEXTLINK",C474))),"Personal - House Bills",IF(AND(ISNUMBER(SEARCH("PAYMENT FROM",C474)),ISNUMBER(SEARCH("JOE SAUNDERS",C474))),"Zelle from Joe Saunders",IF(AND(ISNUMBER(SEARCH("PAYMENT TO",C474)),ISNUMBER(SEARCH("JOE SAUNDERS",C474))),"Zelle to Joe Saunders",IF(OR(ISNUMBER(SEARCH("NEW ORLEANS",C474)),ISNUMBER(SEARCH("KENNER",C474)),ISNUMBER(SEARCH("HENRY HOWARD",C474)),ISNUMBER(SEARCH("MISS CLAUDIA",C474))),"Personal Travel - New Orleans",IFERROR(INDEX('Category Rules'!$B$2:$B$194,MATCH(TRUE,ISNUMBER(SEARCH('Category Rules'!$A$2:$A$194,C474)),0)),"")))))))</f>
        <v>YouTube Premium</v>
      </c>
    </row>
    <row r="475" spans="1:7" x14ac:dyDescent="0.25">
      <c r="A475" t="s">
        <v>6</v>
      </c>
      <c r="B475" s="1">
        <v>46148</v>
      </c>
      <c r="C475" t="s">
        <v>457</v>
      </c>
      <c r="D475">
        <v>-29.95</v>
      </c>
      <c r="E475" t="s">
        <v>14</v>
      </c>
      <c r="F475">
        <v>217.14</v>
      </c>
      <c r="G475" t="str" cm="1">
        <f t="array" ref="G475">IF(AND(ISNUMBER(SEARCH("UBER",C475)),ISNUMBER(SEARCH("EATS",C475))),"Uber Eats",IF(LEFT(C475,6)="CHECK ","Checks Paid",IF(OR(E475="BILLPAY",ISNUMBER(SEARCH("FRANCHISE TAX",C475)),ISNUMBER(SEARCH("NEXTLINK",C475))),"Personal - House Bills",IF(AND(ISNUMBER(SEARCH("PAYMENT FROM",C475)),ISNUMBER(SEARCH("JOE SAUNDERS",C475))),"Zelle from Joe Saunders",IF(AND(ISNUMBER(SEARCH("PAYMENT TO",C475)),ISNUMBER(SEARCH("JOE SAUNDERS",C475))),"Zelle to Joe Saunders",IF(OR(ISNUMBER(SEARCH("NEW ORLEANS",C475)),ISNUMBER(SEARCH("KENNER",C475)),ISNUMBER(SEARCH("HENRY HOWARD",C475)),ISNUMBER(SEARCH("MISS CLAUDIA",C475))),"Personal Travel - New Orleans",IFERROR(INDEX('Category Rules'!$B$2:$B$194,MATCH(TRUE,ISNUMBER(SEARCH('Category Rules'!$A$2:$A$194,C475)),0)),"")))))))</f>
        <v>Personal - Subscription</v>
      </c>
    </row>
    <row r="476" spans="1:7" x14ac:dyDescent="0.25">
      <c r="A476" t="s">
        <v>6</v>
      </c>
      <c r="B476" s="1">
        <v>46148</v>
      </c>
      <c r="C476" t="s">
        <v>458</v>
      </c>
      <c r="D476">
        <v>-1000</v>
      </c>
      <c r="E476" t="s">
        <v>14</v>
      </c>
      <c r="F476">
        <v>247.09</v>
      </c>
      <c r="G476" t="str" cm="1">
        <f t="array" ref="G476">IF(AND(ISNUMBER(SEARCH("UBER",C476)),ISNUMBER(SEARCH("EATS",C476))),"Uber Eats",IF(LEFT(C476,6)="CHECK ","Checks Paid",IF(OR(E476="BILLPAY",ISNUMBER(SEARCH("FRANCHISE TAX",C476)),ISNUMBER(SEARCH("NEXTLINK",C476))),"Personal - House Bills",IF(AND(ISNUMBER(SEARCH("PAYMENT FROM",C476)),ISNUMBER(SEARCH("JOE SAUNDERS",C476))),"Zelle from Joe Saunders",IF(AND(ISNUMBER(SEARCH("PAYMENT TO",C476)),ISNUMBER(SEARCH("JOE SAUNDERS",C476))),"Zelle to Joe Saunders",IF(OR(ISNUMBER(SEARCH("NEW ORLEANS",C476)),ISNUMBER(SEARCH("KENNER",C476)),ISNUMBER(SEARCH("HENRY HOWARD",C476)),ISNUMBER(SEARCH("MISS CLAUDIA",C476))),"Personal Travel - New Orleans",IFERROR(INDEX('Category Rules'!$B$2:$B$194,MATCH(TRUE,ISNUMBER(SEARCH('Category Rules'!$A$2:$A$194,C476)),0)),"")))))))</f>
        <v>Personal - Car</v>
      </c>
    </row>
    <row r="477" spans="1:7" x14ac:dyDescent="0.25">
      <c r="A477" t="s">
        <v>6</v>
      </c>
      <c r="B477" s="1">
        <v>46148</v>
      </c>
      <c r="C477" t="s">
        <v>459</v>
      </c>
      <c r="D477">
        <v>-181.42</v>
      </c>
      <c r="E477" t="s">
        <v>14</v>
      </c>
      <c r="F477">
        <v>1247.0899999999999</v>
      </c>
      <c r="G477" t="str" cm="1">
        <f t="array" ref="G477">IF(AND(ISNUMBER(SEARCH("UBER",C477)),ISNUMBER(SEARCH("EATS",C477))),"Uber Eats",IF(LEFT(C477,6)="CHECK ","Checks Paid",IF(OR(E477="BILLPAY",ISNUMBER(SEARCH("FRANCHISE TAX",C477)),ISNUMBER(SEARCH("NEXTLINK",C477))),"Personal - House Bills",IF(AND(ISNUMBER(SEARCH("PAYMENT FROM",C477)),ISNUMBER(SEARCH("JOE SAUNDERS",C477))),"Zelle from Joe Saunders",IF(AND(ISNUMBER(SEARCH("PAYMENT TO",C477)),ISNUMBER(SEARCH("JOE SAUNDERS",C477))),"Zelle to Joe Saunders",IF(OR(ISNUMBER(SEARCH("NEW ORLEANS",C477)),ISNUMBER(SEARCH("KENNER",C477)),ISNUMBER(SEARCH("HENRY HOWARD",C477)),ISNUMBER(SEARCH("MISS CLAUDIA",C477))),"Personal Travel - New Orleans",IFERROR(INDEX('Category Rules'!$B$2:$B$194,MATCH(TRUE,ISNUMBER(SEARCH('Category Rules'!$A$2:$A$194,C477)),0)),"")))))))</f>
        <v>Amazon</v>
      </c>
    </row>
    <row r="478" spans="1:7" x14ac:dyDescent="0.25">
      <c r="A478" t="s">
        <v>37</v>
      </c>
      <c r="B478" s="1">
        <v>46148</v>
      </c>
      <c r="C478" t="s">
        <v>460</v>
      </c>
      <c r="D478">
        <v>500</v>
      </c>
      <c r="E478" t="s">
        <v>60</v>
      </c>
      <c r="F478">
        <v>1428.51</v>
      </c>
      <c r="G478" t="str" cm="1">
        <f t="array" ref="G478">IF(AND(ISNUMBER(SEARCH("UBER",C478)),ISNUMBER(SEARCH("EATS",C478))),"Uber Eats",IF(LEFT(C478,6)="CHECK ","Checks Paid",IF(OR(E478="BILLPAY",ISNUMBER(SEARCH("FRANCHISE TAX",C478)),ISNUMBER(SEARCH("NEXTLINK",C478))),"Personal - House Bills",IF(AND(ISNUMBER(SEARCH("PAYMENT FROM",C478)),ISNUMBER(SEARCH("JOE SAUNDERS",C478))),"Zelle from Joe Saunders",IF(AND(ISNUMBER(SEARCH("PAYMENT TO",C478)),ISNUMBER(SEARCH("JOE SAUNDERS",C478))),"Zelle to Joe Saunders",IF(OR(ISNUMBER(SEARCH("NEW ORLEANS",C478)),ISNUMBER(SEARCH("KENNER",C478)),ISNUMBER(SEARCH("HENRY HOWARD",C478)),ISNUMBER(SEARCH("MISS CLAUDIA",C478))),"Personal Travel - New Orleans",IFERROR(INDEX('Category Rules'!$B$2:$B$194,MATCH(TRUE,ISNUMBER(SEARCH('Category Rules'!$A$2:$A$194,C478)),0)),"")))))))</f>
        <v>Zelle from Joe Saunders</v>
      </c>
    </row>
    <row r="479" spans="1:7" x14ac:dyDescent="0.25">
      <c r="A479" t="s">
        <v>6</v>
      </c>
      <c r="B479" s="1">
        <v>46147</v>
      </c>
      <c r="C479" t="s">
        <v>461</v>
      </c>
      <c r="D479">
        <v>-100.86</v>
      </c>
      <c r="E479" t="s">
        <v>14</v>
      </c>
      <c r="F479">
        <v>928.51</v>
      </c>
      <c r="G479" t="str" cm="1">
        <f t="array" ref="G479">IF(AND(ISNUMBER(SEARCH("UBER",C479)),ISNUMBER(SEARCH("EATS",C479))),"Uber Eats",IF(LEFT(C479,6)="CHECK ","Checks Paid",IF(OR(E479="BILLPAY",ISNUMBER(SEARCH("FRANCHISE TAX",C479)),ISNUMBER(SEARCH("NEXTLINK",C479))),"Personal - House Bills",IF(AND(ISNUMBER(SEARCH("PAYMENT FROM",C479)),ISNUMBER(SEARCH("JOE SAUNDERS",C479))),"Zelle from Joe Saunders",IF(AND(ISNUMBER(SEARCH("PAYMENT TO",C479)),ISNUMBER(SEARCH("JOE SAUNDERS",C479))),"Zelle to Joe Saunders",IF(OR(ISNUMBER(SEARCH("NEW ORLEANS",C479)),ISNUMBER(SEARCH("KENNER",C479)),ISNUMBER(SEARCH("HENRY HOWARD",C479)),ISNUMBER(SEARCH("MISS CLAUDIA",C479))),"Personal Travel - New Orleans",IFERROR(INDEX('Category Rules'!$B$2:$B$194,MATCH(TRUE,ISNUMBER(SEARCH('Category Rules'!$A$2:$A$194,C479)),0)),"")))))))</f>
        <v>Amazon</v>
      </c>
    </row>
    <row r="480" spans="1:7" x14ac:dyDescent="0.25">
      <c r="A480" t="s">
        <v>6</v>
      </c>
      <c r="B480" s="1">
        <v>46147</v>
      </c>
      <c r="C480" t="s">
        <v>462</v>
      </c>
      <c r="D480">
        <v>-32.869999999999997</v>
      </c>
      <c r="E480" t="s">
        <v>14</v>
      </c>
      <c r="F480">
        <v>1029.3699999999999</v>
      </c>
      <c r="G480" t="str" cm="1">
        <f t="array" ref="G480">IF(AND(ISNUMBER(SEARCH("UBER",C480)),ISNUMBER(SEARCH("EATS",C480))),"Uber Eats",IF(LEFT(C480,6)="CHECK ","Checks Paid",IF(OR(E480="BILLPAY",ISNUMBER(SEARCH("FRANCHISE TAX",C480)),ISNUMBER(SEARCH("NEXTLINK",C480))),"Personal - House Bills",IF(AND(ISNUMBER(SEARCH("PAYMENT FROM",C480)),ISNUMBER(SEARCH("JOE SAUNDERS",C480))),"Zelle from Joe Saunders",IF(AND(ISNUMBER(SEARCH("PAYMENT TO",C480)),ISNUMBER(SEARCH("JOE SAUNDERS",C480))),"Zelle to Joe Saunders",IF(OR(ISNUMBER(SEARCH("NEW ORLEANS",C480)),ISNUMBER(SEARCH("KENNER",C480)),ISNUMBER(SEARCH("HENRY HOWARD",C480)),ISNUMBER(SEARCH("MISS CLAUDIA",C480))),"Personal Travel - New Orleans",IFERROR(INDEX('Category Rules'!$B$2:$B$194,MATCH(TRUE,ISNUMBER(SEARCH('Category Rules'!$A$2:$A$194,C480)),0)),"")))))))</f>
        <v>Amazon</v>
      </c>
    </row>
    <row r="481" spans="1:7" x14ac:dyDescent="0.25">
      <c r="A481" t="s">
        <v>6</v>
      </c>
      <c r="B481" s="1">
        <v>46147</v>
      </c>
      <c r="C481" t="s">
        <v>463</v>
      </c>
      <c r="D481">
        <v>-87.79</v>
      </c>
      <c r="E481" t="s">
        <v>14</v>
      </c>
      <c r="F481">
        <v>1062.24</v>
      </c>
      <c r="G481" t="str" cm="1">
        <f t="array" ref="G481">IF(AND(ISNUMBER(SEARCH("UBER",C481)),ISNUMBER(SEARCH("EATS",C481))),"Uber Eats",IF(LEFT(C481,6)="CHECK ","Checks Paid",IF(OR(E481="BILLPAY",ISNUMBER(SEARCH("FRANCHISE TAX",C481)),ISNUMBER(SEARCH("NEXTLINK",C481))),"Personal - House Bills",IF(AND(ISNUMBER(SEARCH("PAYMENT FROM",C481)),ISNUMBER(SEARCH("JOE SAUNDERS",C481))),"Zelle from Joe Saunders",IF(AND(ISNUMBER(SEARCH("PAYMENT TO",C481)),ISNUMBER(SEARCH("JOE SAUNDERS",C481))),"Zelle to Joe Saunders",IF(OR(ISNUMBER(SEARCH("NEW ORLEANS",C481)),ISNUMBER(SEARCH("KENNER",C481)),ISNUMBER(SEARCH("HENRY HOWARD",C481)),ISNUMBER(SEARCH("MISS CLAUDIA",C481))),"Personal Travel - New Orleans",IFERROR(INDEX('Category Rules'!$B$2:$B$194,MATCH(TRUE,ISNUMBER(SEARCH('Category Rules'!$A$2:$A$194,C481)),0)),"")))))))</f>
        <v>Amazon</v>
      </c>
    </row>
    <row r="482" spans="1:7" x14ac:dyDescent="0.25">
      <c r="A482" t="s">
        <v>6</v>
      </c>
      <c r="B482" s="1">
        <v>46147</v>
      </c>
      <c r="C482" t="s">
        <v>464</v>
      </c>
      <c r="D482">
        <v>-94.9</v>
      </c>
      <c r="E482" t="s">
        <v>14</v>
      </c>
      <c r="F482">
        <v>1150.03</v>
      </c>
      <c r="G482" t="str" cm="1">
        <f t="array" ref="G482">IF(AND(ISNUMBER(SEARCH("UBER",C482)),ISNUMBER(SEARCH("EATS",C482))),"Uber Eats",IF(LEFT(C482,6)="CHECK ","Checks Paid",IF(OR(E482="BILLPAY",ISNUMBER(SEARCH("FRANCHISE TAX",C482)),ISNUMBER(SEARCH("NEXTLINK",C482))),"Personal - House Bills",IF(AND(ISNUMBER(SEARCH("PAYMENT FROM",C482)),ISNUMBER(SEARCH("JOE SAUNDERS",C482))),"Zelle from Joe Saunders",IF(AND(ISNUMBER(SEARCH("PAYMENT TO",C482)),ISNUMBER(SEARCH("JOE SAUNDERS",C482))),"Zelle to Joe Saunders",IF(OR(ISNUMBER(SEARCH("NEW ORLEANS",C482)),ISNUMBER(SEARCH("KENNER",C482)),ISNUMBER(SEARCH("HENRY HOWARD",C482)),ISNUMBER(SEARCH("MISS CLAUDIA",C482))),"Personal Travel - New Orleans",IFERROR(INDEX('Category Rules'!$B$2:$B$194,MATCH(TRUE,ISNUMBER(SEARCH('Category Rules'!$A$2:$A$194,C482)),0)),"")))))))</f>
        <v>Personal - Food</v>
      </c>
    </row>
    <row r="483" spans="1:7" x14ac:dyDescent="0.25">
      <c r="A483" t="s">
        <v>37</v>
      </c>
      <c r="B483" s="1">
        <v>46147</v>
      </c>
      <c r="C483" t="s">
        <v>465</v>
      </c>
      <c r="D483">
        <v>175</v>
      </c>
      <c r="E483" t="s">
        <v>60</v>
      </c>
      <c r="F483">
        <v>1244.93</v>
      </c>
      <c r="G483" t="str" cm="1">
        <f t="array" ref="G483">IF(AND(ISNUMBER(SEARCH("UBER",C483)),ISNUMBER(SEARCH("EATS",C483))),"Uber Eats",IF(LEFT(C483,6)="CHECK ","Checks Paid",IF(OR(E483="BILLPAY",ISNUMBER(SEARCH("FRANCHISE TAX",C483)),ISNUMBER(SEARCH("NEXTLINK",C483))),"Personal - House Bills",IF(AND(ISNUMBER(SEARCH("PAYMENT FROM",C483)),ISNUMBER(SEARCH("JOE SAUNDERS",C483))),"Zelle from Joe Saunders",IF(AND(ISNUMBER(SEARCH("PAYMENT TO",C483)),ISNUMBER(SEARCH("JOE SAUNDERS",C483))),"Zelle to Joe Saunders",IF(OR(ISNUMBER(SEARCH("NEW ORLEANS",C483)),ISNUMBER(SEARCH("KENNER",C483)),ISNUMBER(SEARCH("HENRY HOWARD",C483)),ISNUMBER(SEARCH("MISS CLAUDIA",C483))),"Personal Travel - New Orleans",IFERROR(INDEX('Category Rules'!$B$2:$B$194,MATCH(TRUE,ISNUMBER(SEARCH('Category Rules'!$A$2:$A$194,C483)),0)),"")))))))</f>
        <v>Zelle from Eunice G Chang</v>
      </c>
    </row>
    <row r="484" spans="1:7" x14ac:dyDescent="0.25">
      <c r="A484" t="s">
        <v>6</v>
      </c>
      <c r="B484" s="1">
        <v>46147</v>
      </c>
      <c r="C484" t="s">
        <v>466</v>
      </c>
      <c r="D484">
        <v>26.63</v>
      </c>
      <c r="E484" t="s">
        <v>14</v>
      </c>
      <c r="F484">
        <v>1069.93</v>
      </c>
      <c r="G484" t="str" cm="1">
        <f t="array" ref="G484">IF(AND(ISNUMBER(SEARCH("UBER",C484)),ISNUMBER(SEARCH("EATS",C484))),"Uber Eats",IF(LEFT(C484,6)="CHECK ","Checks Paid",IF(OR(E484="BILLPAY",ISNUMBER(SEARCH("FRANCHISE TAX",C484)),ISNUMBER(SEARCH("NEXTLINK",C484))),"Personal - House Bills",IF(AND(ISNUMBER(SEARCH("PAYMENT FROM",C484)),ISNUMBER(SEARCH("JOE SAUNDERS",C484))),"Zelle from Joe Saunders",IF(AND(ISNUMBER(SEARCH("PAYMENT TO",C484)),ISNUMBER(SEARCH("JOE SAUNDERS",C484))),"Zelle to Joe Saunders",IF(OR(ISNUMBER(SEARCH("NEW ORLEANS",C484)),ISNUMBER(SEARCH("KENNER",C484)),ISNUMBER(SEARCH("HENRY HOWARD",C484)),ISNUMBER(SEARCH("MISS CLAUDIA",C484))),"Personal Travel - New Orleans",IFERROR(INDEX('Category Rules'!$B$2:$B$194,MATCH(TRUE,ISNUMBER(SEARCH('Category Rules'!$A$2:$A$194,C484)),0)),"")))))))</f>
        <v>Amazon</v>
      </c>
    </row>
    <row r="485" spans="1:7" x14ac:dyDescent="0.25">
      <c r="A485" t="s">
        <v>6</v>
      </c>
      <c r="B485" s="1">
        <v>46146</v>
      </c>
      <c r="C485" t="s">
        <v>467</v>
      </c>
      <c r="D485">
        <v>-67.25</v>
      </c>
      <c r="E485" t="s">
        <v>14</v>
      </c>
      <c r="F485">
        <v>1043.3</v>
      </c>
      <c r="G485" t="str" cm="1">
        <f t="array" ref="G485">IF(AND(ISNUMBER(SEARCH("UBER",C485)),ISNUMBER(SEARCH("EATS",C485))),"Uber Eats",IF(LEFT(C485,6)="CHECK ","Checks Paid",IF(OR(E485="BILLPAY",ISNUMBER(SEARCH("FRANCHISE TAX",C485)),ISNUMBER(SEARCH("NEXTLINK",C485))),"Personal - House Bills",IF(AND(ISNUMBER(SEARCH("PAYMENT FROM",C485)),ISNUMBER(SEARCH("JOE SAUNDERS",C485))),"Zelle from Joe Saunders",IF(AND(ISNUMBER(SEARCH("PAYMENT TO",C485)),ISNUMBER(SEARCH("JOE SAUNDERS",C485))),"Zelle to Joe Saunders",IF(OR(ISNUMBER(SEARCH("NEW ORLEANS",C485)),ISNUMBER(SEARCH("KENNER",C485)),ISNUMBER(SEARCH("HENRY HOWARD",C485)),ISNUMBER(SEARCH("MISS CLAUDIA",C485))),"Personal Travel - New Orleans",IFERROR(INDEX('Category Rules'!$B$2:$B$194,MATCH(TRUE,ISNUMBER(SEARCH('Category Rules'!$A$2:$A$194,C485)),0)),"")))))))</f>
        <v>Uber Eats</v>
      </c>
    </row>
    <row r="486" spans="1:7" x14ac:dyDescent="0.25">
      <c r="A486" t="s">
        <v>6</v>
      </c>
      <c r="B486" s="1">
        <v>46146</v>
      </c>
      <c r="C486" t="s">
        <v>468</v>
      </c>
      <c r="D486">
        <v>-134.96</v>
      </c>
      <c r="E486" t="s">
        <v>14</v>
      </c>
      <c r="F486">
        <v>1110.55</v>
      </c>
      <c r="G486" t="str" cm="1">
        <f t="array" ref="G486">IF(AND(ISNUMBER(SEARCH("UBER",C486)),ISNUMBER(SEARCH("EATS",C486))),"Uber Eats",IF(LEFT(C486,6)="CHECK ","Checks Paid",IF(OR(E486="BILLPAY",ISNUMBER(SEARCH("FRANCHISE TAX",C486)),ISNUMBER(SEARCH("NEXTLINK",C486))),"Personal - House Bills",IF(AND(ISNUMBER(SEARCH("PAYMENT FROM",C486)),ISNUMBER(SEARCH("JOE SAUNDERS",C486))),"Zelle from Joe Saunders",IF(AND(ISNUMBER(SEARCH("PAYMENT TO",C486)),ISNUMBER(SEARCH("JOE SAUNDERS",C486))),"Zelle to Joe Saunders",IF(OR(ISNUMBER(SEARCH("NEW ORLEANS",C486)),ISNUMBER(SEARCH("KENNER",C486)),ISNUMBER(SEARCH("HENRY HOWARD",C486)),ISNUMBER(SEARCH("MISS CLAUDIA",C486))),"Personal Travel - New Orleans",IFERROR(INDEX('Category Rules'!$B$2:$B$194,MATCH(TRUE,ISNUMBER(SEARCH('Category Rules'!$A$2:$A$194,C486)),0)),"")))))))</f>
        <v>Personal - Health</v>
      </c>
    </row>
    <row r="487" spans="1:7" x14ac:dyDescent="0.25">
      <c r="A487" t="s">
        <v>6</v>
      </c>
      <c r="B487" s="1">
        <v>46146</v>
      </c>
      <c r="C487" t="s">
        <v>469</v>
      </c>
      <c r="D487">
        <v>-9.9499999999999993</v>
      </c>
      <c r="E487" t="s">
        <v>261</v>
      </c>
      <c r="F487">
        <v>1245.51</v>
      </c>
      <c r="G487" t="str" cm="1">
        <f t="array" ref="G487">IF(AND(ISNUMBER(SEARCH("UBER",C487)),ISNUMBER(SEARCH("EATS",C487))),"Uber Eats",IF(LEFT(C487,6)="CHECK ","Checks Paid",IF(OR(E487="BILLPAY",ISNUMBER(SEARCH("FRANCHISE TAX",C487)),ISNUMBER(SEARCH("NEXTLINK",C487))),"Personal - House Bills",IF(AND(ISNUMBER(SEARCH("PAYMENT FROM",C487)),ISNUMBER(SEARCH("JOE SAUNDERS",C487))),"Zelle from Joe Saunders",IF(AND(ISNUMBER(SEARCH("PAYMENT TO",C487)),ISNUMBER(SEARCH("JOE SAUNDERS",C487))),"Zelle to Joe Saunders",IF(OR(ISNUMBER(SEARCH("NEW ORLEANS",C487)),ISNUMBER(SEARCH("KENNER",C487)),ISNUMBER(SEARCH("HENRY HOWARD",C487)),ISNUMBER(SEARCH("MISS CLAUDIA",C487))),"Personal Travel - New Orleans",IFERROR(INDEX('Category Rules'!$B$2:$B$194,MATCH(TRUE,ISNUMBER(SEARCH('Category Rules'!$A$2:$A$194,C487)),0)),"")))))))</f>
        <v>PayPal ACH - OTHERSIDEMI</v>
      </c>
    </row>
    <row r="488" spans="1:7" x14ac:dyDescent="0.25">
      <c r="A488" t="s">
        <v>6</v>
      </c>
      <c r="B488" s="1">
        <v>46146</v>
      </c>
      <c r="C488" t="s">
        <v>470</v>
      </c>
      <c r="D488">
        <v>-73.63</v>
      </c>
      <c r="E488" t="s">
        <v>14</v>
      </c>
      <c r="F488">
        <v>1255.46</v>
      </c>
      <c r="G488" t="str" cm="1">
        <f t="array" ref="G488">IF(AND(ISNUMBER(SEARCH("UBER",C488)),ISNUMBER(SEARCH("EATS",C488))),"Uber Eats",IF(LEFT(C488,6)="CHECK ","Checks Paid",IF(OR(E488="BILLPAY",ISNUMBER(SEARCH("FRANCHISE TAX",C488)),ISNUMBER(SEARCH("NEXTLINK",C488))),"Personal - House Bills",IF(AND(ISNUMBER(SEARCH("PAYMENT FROM",C488)),ISNUMBER(SEARCH("JOE SAUNDERS",C488))),"Zelle from Joe Saunders",IF(AND(ISNUMBER(SEARCH("PAYMENT TO",C488)),ISNUMBER(SEARCH("JOE SAUNDERS",C488))),"Zelle to Joe Saunders",IF(OR(ISNUMBER(SEARCH("NEW ORLEANS",C488)),ISNUMBER(SEARCH("KENNER",C488)),ISNUMBER(SEARCH("HENRY HOWARD",C488)),ISNUMBER(SEARCH("MISS CLAUDIA",C488))),"Personal Travel - New Orleans",IFERROR(INDEX('Category Rules'!$B$2:$B$194,MATCH(TRUE,ISNUMBER(SEARCH('Category Rules'!$A$2:$A$194,C488)),0)),"")))))))</f>
        <v>Uber Eats</v>
      </c>
    </row>
    <row r="489" spans="1:7" x14ac:dyDescent="0.25">
      <c r="A489" t="s">
        <v>6</v>
      </c>
      <c r="B489" s="1">
        <v>46146</v>
      </c>
      <c r="C489" t="s">
        <v>471</v>
      </c>
      <c r="D489">
        <v>-17.5</v>
      </c>
      <c r="E489" t="s">
        <v>14</v>
      </c>
      <c r="F489">
        <v>1329.09</v>
      </c>
      <c r="G489" t="str" cm="1">
        <f t="array" ref="G489">IF(AND(ISNUMBER(SEARCH("UBER",C489)),ISNUMBER(SEARCH("EATS",C489))),"Uber Eats",IF(LEFT(C489,6)="CHECK ","Checks Paid",IF(OR(E489="BILLPAY",ISNUMBER(SEARCH("FRANCHISE TAX",C489)),ISNUMBER(SEARCH("NEXTLINK",C489))),"Personal - House Bills",IF(AND(ISNUMBER(SEARCH("PAYMENT FROM",C489)),ISNUMBER(SEARCH("JOE SAUNDERS",C489))),"Zelle from Joe Saunders",IF(AND(ISNUMBER(SEARCH("PAYMENT TO",C489)),ISNUMBER(SEARCH("JOE SAUNDERS",C489))),"Zelle to Joe Saunders",IF(OR(ISNUMBER(SEARCH("NEW ORLEANS",C489)),ISNUMBER(SEARCH("KENNER",C489)),ISNUMBER(SEARCH("HENRY HOWARD",C489)),ISNUMBER(SEARCH("MISS CLAUDIA",C489))),"Personal Travel - New Orleans",IFERROR(INDEX('Category Rules'!$B$2:$B$194,MATCH(TRUE,ISNUMBER(SEARCH('Category Rules'!$A$2:$A$194,C489)),0)),"")))))))</f>
        <v>Personal - Food</v>
      </c>
    </row>
    <row r="490" spans="1:7" x14ac:dyDescent="0.25">
      <c r="A490" t="s">
        <v>6</v>
      </c>
      <c r="B490" s="1">
        <v>46146</v>
      </c>
      <c r="C490" t="s">
        <v>472</v>
      </c>
      <c r="D490">
        <v>-31.81</v>
      </c>
      <c r="E490" t="s">
        <v>14</v>
      </c>
      <c r="F490">
        <v>1346.59</v>
      </c>
      <c r="G490" t="str" cm="1">
        <f t="array" ref="G490">IF(AND(ISNUMBER(SEARCH("UBER",C490)),ISNUMBER(SEARCH("EATS",C490))),"Uber Eats",IF(LEFT(C490,6)="CHECK ","Checks Paid",IF(OR(E490="BILLPAY",ISNUMBER(SEARCH("FRANCHISE TAX",C490)),ISNUMBER(SEARCH("NEXTLINK",C490))),"Personal - House Bills",IF(AND(ISNUMBER(SEARCH("PAYMENT FROM",C490)),ISNUMBER(SEARCH("JOE SAUNDERS",C490))),"Zelle from Joe Saunders",IF(AND(ISNUMBER(SEARCH("PAYMENT TO",C490)),ISNUMBER(SEARCH("JOE SAUNDERS",C490))),"Zelle to Joe Saunders",IF(OR(ISNUMBER(SEARCH("NEW ORLEANS",C490)),ISNUMBER(SEARCH("KENNER",C490)),ISNUMBER(SEARCH("HENRY HOWARD",C490)),ISNUMBER(SEARCH("MISS CLAUDIA",C490))),"Personal Travel - New Orleans",IFERROR(INDEX('Category Rules'!$B$2:$B$194,MATCH(TRUE,ISNUMBER(SEARCH('Category Rules'!$A$2:$A$194,C490)),0)),"")))))))</f>
        <v>Amazon</v>
      </c>
    </row>
    <row r="491" spans="1:7" x14ac:dyDescent="0.25">
      <c r="A491" t="s">
        <v>6</v>
      </c>
      <c r="B491" s="1">
        <v>46146</v>
      </c>
      <c r="C491" t="s">
        <v>473</v>
      </c>
      <c r="D491">
        <v>-550.66</v>
      </c>
      <c r="E491" t="s">
        <v>14</v>
      </c>
      <c r="F491">
        <v>1378.4</v>
      </c>
      <c r="G491" t="str" cm="1">
        <f t="array" ref="G491">IF(AND(ISNUMBER(SEARCH("UBER",C491)),ISNUMBER(SEARCH("EATS",C491))),"Uber Eats",IF(LEFT(C491,6)="CHECK ","Checks Paid",IF(OR(E491="BILLPAY",ISNUMBER(SEARCH("FRANCHISE TAX",C491)),ISNUMBER(SEARCH("NEXTLINK",C491))),"Personal - House Bills",IF(AND(ISNUMBER(SEARCH("PAYMENT FROM",C491)),ISNUMBER(SEARCH("JOE SAUNDERS",C491))),"Zelle from Joe Saunders",IF(AND(ISNUMBER(SEARCH("PAYMENT TO",C491)),ISNUMBER(SEARCH("JOE SAUNDERS",C491))),"Zelle to Joe Saunders",IF(OR(ISNUMBER(SEARCH("NEW ORLEANS",C491)),ISNUMBER(SEARCH("KENNER",C491)),ISNUMBER(SEARCH("HENRY HOWARD",C491)),ISNUMBER(SEARCH("MISS CLAUDIA",C491))),"Personal Travel - New Orleans",IFERROR(INDEX('Category Rules'!$B$2:$B$194,MATCH(TRUE,ISNUMBER(SEARCH('Category Rules'!$A$2:$A$194,C491)),0)),"")))))))</f>
        <v>Personal - Food</v>
      </c>
    </row>
    <row r="492" spans="1:7" x14ac:dyDescent="0.25">
      <c r="A492" t="s">
        <v>6</v>
      </c>
      <c r="B492" s="1">
        <v>46146</v>
      </c>
      <c r="C492" t="s">
        <v>474</v>
      </c>
      <c r="D492">
        <v>-57.54</v>
      </c>
      <c r="E492" t="s">
        <v>14</v>
      </c>
      <c r="F492">
        <v>1929.06</v>
      </c>
      <c r="G492" t="str" cm="1">
        <f t="array" ref="G492">IF(AND(ISNUMBER(SEARCH("UBER",C492)),ISNUMBER(SEARCH("EATS",C492))),"Uber Eats",IF(LEFT(C492,6)="CHECK ","Checks Paid",IF(OR(E492="BILLPAY",ISNUMBER(SEARCH("FRANCHISE TAX",C492)),ISNUMBER(SEARCH("NEXTLINK",C492))),"Personal - House Bills",IF(AND(ISNUMBER(SEARCH("PAYMENT FROM",C492)),ISNUMBER(SEARCH("JOE SAUNDERS",C492))),"Zelle from Joe Saunders",IF(AND(ISNUMBER(SEARCH("PAYMENT TO",C492)),ISNUMBER(SEARCH("JOE SAUNDERS",C492))),"Zelle to Joe Saunders",IF(OR(ISNUMBER(SEARCH("NEW ORLEANS",C492)),ISNUMBER(SEARCH("KENNER",C492)),ISNUMBER(SEARCH("HENRY HOWARD",C492)),ISNUMBER(SEARCH("MISS CLAUDIA",C492))),"Personal Travel - New Orleans",IFERROR(INDEX('Category Rules'!$B$2:$B$194,MATCH(TRUE,ISNUMBER(SEARCH('Category Rules'!$A$2:$A$194,C492)),0)),"")))))))</f>
        <v>Personal - Entertainment</v>
      </c>
    </row>
    <row r="493" spans="1:7" x14ac:dyDescent="0.25">
      <c r="A493" t="s">
        <v>6</v>
      </c>
      <c r="B493" s="1">
        <v>46146</v>
      </c>
      <c r="C493" t="s">
        <v>475</v>
      </c>
      <c r="D493">
        <v>-600</v>
      </c>
      <c r="E493" t="s">
        <v>176</v>
      </c>
      <c r="F493">
        <v>1986.6</v>
      </c>
      <c r="G493" t="str" cm="1">
        <f t="array" ref="G493">IF(AND(ISNUMBER(SEARCH("UBER",C493)),ISNUMBER(SEARCH("EATS",C493))),"Uber Eats",IF(LEFT(C493,6)="CHECK ","Checks Paid",IF(OR(E493="BILLPAY",ISNUMBER(SEARCH("FRANCHISE TAX",C493)),ISNUMBER(SEARCH("NEXTLINK",C493))),"Personal - House Bills",IF(AND(ISNUMBER(SEARCH("PAYMENT FROM",C493)),ISNUMBER(SEARCH("JOE SAUNDERS",C493))),"Zelle from Joe Saunders",IF(AND(ISNUMBER(SEARCH("PAYMENT TO",C493)),ISNUMBER(SEARCH("JOE SAUNDERS",C493))),"Zelle to Joe Saunders",IF(OR(ISNUMBER(SEARCH("NEW ORLEANS",C493)),ISNUMBER(SEARCH("KENNER",C493)),ISNUMBER(SEARCH("HENRY HOWARD",C493)),ISNUMBER(SEARCH("MISS CLAUDIA",C493))),"Personal Travel - New Orleans",IFERROR(INDEX('Category Rules'!$B$2:$B$194,MATCH(TRUE,ISNUMBER(SEARCH('Category Rules'!$A$2:$A$194,C493)),0)),"")))))))</f>
        <v>Zelle-Leelee</v>
      </c>
    </row>
    <row r="494" spans="1:7" x14ac:dyDescent="0.25">
      <c r="A494" t="s">
        <v>6</v>
      </c>
      <c r="B494" s="1">
        <v>46146</v>
      </c>
      <c r="C494" t="s">
        <v>476</v>
      </c>
      <c r="D494">
        <v>-3.99</v>
      </c>
      <c r="E494" t="s">
        <v>14</v>
      </c>
      <c r="F494">
        <v>2586.6</v>
      </c>
      <c r="G494" t="str" cm="1">
        <f t="array" ref="G494">IF(AND(ISNUMBER(SEARCH("UBER",C494)),ISNUMBER(SEARCH("EATS",C494))),"Uber Eats",IF(LEFT(C494,6)="CHECK ","Checks Paid",IF(OR(E494="BILLPAY",ISNUMBER(SEARCH("FRANCHISE TAX",C494)),ISNUMBER(SEARCH("NEXTLINK",C494))),"Personal - House Bills",IF(AND(ISNUMBER(SEARCH("PAYMENT FROM",C494)),ISNUMBER(SEARCH("JOE SAUNDERS",C494))),"Zelle from Joe Saunders",IF(AND(ISNUMBER(SEARCH("PAYMENT TO",C494)),ISNUMBER(SEARCH("JOE SAUNDERS",C494))),"Zelle to Joe Saunders",IF(OR(ISNUMBER(SEARCH("NEW ORLEANS",C494)),ISNUMBER(SEARCH("KENNER",C494)),ISNUMBER(SEARCH("HENRY HOWARD",C494)),ISNUMBER(SEARCH("MISS CLAUDIA",C494))),"Personal Travel - New Orleans",IFERROR(INDEX('Category Rules'!$B$2:$B$194,MATCH(TRUE,ISNUMBER(SEARCH('Category Rules'!$A$2:$A$194,C494)),0)),"")))))))</f>
        <v>Apple</v>
      </c>
    </row>
    <row r="495" spans="1:7" x14ac:dyDescent="0.25">
      <c r="A495" t="s">
        <v>6</v>
      </c>
      <c r="B495" s="1">
        <v>46146</v>
      </c>
      <c r="C495" t="s">
        <v>477</v>
      </c>
      <c r="D495">
        <v>-97.97</v>
      </c>
      <c r="E495" t="s">
        <v>14</v>
      </c>
      <c r="F495">
        <v>2590.59</v>
      </c>
      <c r="G495" t="str" cm="1">
        <f t="array" ref="G495">IF(AND(ISNUMBER(SEARCH("UBER",C495)),ISNUMBER(SEARCH("EATS",C495))),"Uber Eats",IF(LEFT(C495,6)="CHECK ","Checks Paid",IF(OR(E495="BILLPAY",ISNUMBER(SEARCH("FRANCHISE TAX",C495)),ISNUMBER(SEARCH("NEXTLINK",C495))),"Personal - House Bills",IF(AND(ISNUMBER(SEARCH("PAYMENT FROM",C495)),ISNUMBER(SEARCH("JOE SAUNDERS",C495))),"Zelle from Joe Saunders",IF(AND(ISNUMBER(SEARCH("PAYMENT TO",C495)),ISNUMBER(SEARCH("JOE SAUNDERS",C495))),"Zelle to Joe Saunders",IF(OR(ISNUMBER(SEARCH("NEW ORLEANS",C495)),ISNUMBER(SEARCH("KENNER",C495)),ISNUMBER(SEARCH("HENRY HOWARD",C495)),ISNUMBER(SEARCH("MISS CLAUDIA",C495))),"Personal Travel - New Orleans",IFERROR(INDEX('Category Rules'!$B$2:$B$194,MATCH(TRUE,ISNUMBER(SEARCH('Category Rules'!$A$2:$A$194,C495)),0)),"")))))))</f>
        <v>Amazon</v>
      </c>
    </row>
    <row r="496" spans="1:7" x14ac:dyDescent="0.25">
      <c r="A496" t="s">
        <v>6</v>
      </c>
      <c r="B496" s="1">
        <v>46146</v>
      </c>
      <c r="C496" t="s">
        <v>478</v>
      </c>
      <c r="D496">
        <v>-105</v>
      </c>
      <c r="E496" t="s">
        <v>14</v>
      </c>
      <c r="F496">
        <v>2688.56</v>
      </c>
      <c r="G496" t="str" cm="1">
        <f t="array" ref="G496">IF(AND(ISNUMBER(SEARCH("UBER",C496)),ISNUMBER(SEARCH("EATS",C496))),"Uber Eats",IF(LEFT(C496,6)="CHECK ","Checks Paid",IF(OR(E496="BILLPAY",ISNUMBER(SEARCH("FRANCHISE TAX",C496)),ISNUMBER(SEARCH("NEXTLINK",C496))),"Personal - House Bills",IF(AND(ISNUMBER(SEARCH("PAYMENT FROM",C496)),ISNUMBER(SEARCH("JOE SAUNDERS",C496))),"Zelle from Joe Saunders",IF(AND(ISNUMBER(SEARCH("PAYMENT TO",C496)),ISNUMBER(SEARCH("JOE SAUNDERS",C496))),"Zelle to Joe Saunders",IF(OR(ISNUMBER(SEARCH("NEW ORLEANS",C496)),ISNUMBER(SEARCH("KENNER",C496)),ISNUMBER(SEARCH("HENRY HOWARD",C496)),ISNUMBER(SEARCH("MISS CLAUDIA",C496))),"Personal Travel - New Orleans",IFERROR(INDEX('Category Rules'!$B$2:$B$194,MATCH(TRUE,ISNUMBER(SEARCH('Category Rules'!$A$2:$A$194,C496)),0)),"")))))))</f>
        <v>Personal Travel</v>
      </c>
    </row>
    <row r="497" spans="1:7" x14ac:dyDescent="0.25">
      <c r="A497" t="s">
        <v>6</v>
      </c>
      <c r="B497" s="1">
        <v>46146</v>
      </c>
      <c r="C497" t="s">
        <v>479</v>
      </c>
      <c r="D497">
        <v>-58.42</v>
      </c>
      <c r="E497" t="s">
        <v>14</v>
      </c>
      <c r="F497">
        <v>2793.56</v>
      </c>
      <c r="G497" t="str" cm="1">
        <f t="array" ref="G497">IF(AND(ISNUMBER(SEARCH("UBER",C497)),ISNUMBER(SEARCH("EATS",C497))),"Uber Eats",IF(LEFT(C497,6)="CHECK ","Checks Paid",IF(OR(E497="BILLPAY",ISNUMBER(SEARCH("FRANCHISE TAX",C497)),ISNUMBER(SEARCH("NEXTLINK",C497))),"Personal - House Bills",IF(AND(ISNUMBER(SEARCH("PAYMENT FROM",C497)),ISNUMBER(SEARCH("JOE SAUNDERS",C497))),"Zelle from Joe Saunders",IF(AND(ISNUMBER(SEARCH("PAYMENT TO",C497)),ISNUMBER(SEARCH("JOE SAUNDERS",C497))),"Zelle to Joe Saunders",IF(OR(ISNUMBER(SEARCH("NEW ORLEANS",C497)),ISNUMBER(SEARCH("KENNER",C497)),ISNUMBER(SEARCH("HENRY HOWARD",C497)),ISNUMBER(SEARCH("MISS CLAUDIA",C497))),"Personal Travel - New Orleans",IFERROR(INDEX('Category Rules'!$B$2:$B$194,MATCH(TRUE,ISNUMBER(SEARCH('Category Rules'!$A$2:$A$194,C497)),0)),"")))))))</f>
        <v>Personal Travel</v>
      </c>
    </row>
    <row r="498" spans="1:7" x14ac:dyDescent="0.25">
      <c r="A498" t="s">
        <v>6</v>
      </c>
      <c r="B498" s="1">
        <v>46146</v>
      </c>
      <c r="C498" t="s">
        <v>479</v>
      </c>
      <c r="D498">
        <v>-66.13</v>
      </c>
      <c r="E498" t="s">
        <v>14</v>
      </c>
      <c r="F498">
        <v>2851.98</v>
      </c>
      <c r="G498" t="str" cm="1">
        <f t="array" ref="G498">IF(AND(ISNUMBER(SEARCH("UBER",C498)),ISNUMBER(SEARCH("EATS",C498))),"Uber Eats",IF(LEFT(C498,6)="CHECK ","Checks Paid",IF(OR(E498="BILLPAY",ISNUMBER(SEARCH("FRANCHISE TAX",C498)),ISNUMBER(SEARCH("NEXTLINK",C498))),"Personal - House Bills",IF(AND(ISNUMBER(SEARCH("PAYMENT FROM",C498)),ISNUMBER(SEARCH("JOE SAUNDERS",C498))),"Zelle from Joe Saunders",IF(AND(ISNUMBER(SEARCH("PAYMENT TO",C498)),ISNUMBER(SEARCH("JOE SAUNDERS",C498))),"Zelle to Joe Saunders",IF(OR(ISNUMBER(SEARCH("NEW ORLEANS",C498)),ISNUMBER(SEARCH("KENNER",C498)),ISNUMBER(SEARCH("HENRY HOWARD",C498)),ISNUMBER(SEARCH("MISS CLAUDIA",C498))),"Personal Travel - New Orleans",IFERROR(INDEX('Category Rules'!$B$2:$B$194,MATCH(TRUE,ISNUMBER(SEARCH('Category Rules'!$A$2:$A$194,C498)),0)),"")))))))</f>
        <v>Personal Travel</v>
      </c>
    </row>
    <row r="499" spans="1:7" x14ac:dyDescent="0.25">
      <c r="A499" t="s">
        <v>6</v>
      </c>
      <c r="B499" s="1">
        <v>46146</v>
      </c>
      <c r="C499" t="s">
        <v>480</v>
      </c>
      <c r="D499">
        <v>-570.79</v>
      </c>
      <c r="E499" t="s">
        <v>14</v>
      </c>
      <c r="F499">
        <v>2918.11</v>
      </c>
      <c r="G499" t="str" cm="1">
        <f t="array" ref="G499">IF(AND(ISNUMBER(SEARCH("UBER",C499)),ISNUMBER(SEARCH("EATS",C499))),"Uber Eats",IF(LEFT(C499,6)="CHECK ","Checks Paid",IF(OR(E499="BILLPAY",ISNUMBER(SEARCH("FRANCHISE TAX",C499)),ISNUMBER(SEARCH("NEXTLINK",C499))),"Personal - House Bills",IF(AND(ISNUMBER(SEARCH("PAYMENT FROM",C499)),ISNUMBER(SEARCH("JOE SAUNDERS",C499))),"Zelle from Joe Saunders",IF(AND(ISNUMBER(SEARCH("PAYMENT TO",C499)),ISNUMBER(SEARCH("JOE SAUNDERS",C499))),"Zelle to Joe Saunders",IF(OR(ISNUMBER(SEARCH("NEW ORLEANS",C499)),ISNUMBER(SEARCH("KENNER",C499)),ISNUMBER(SEARCH("HENRY HOWARD",C499)),ISNUMBER(SEARCH("MISS CLAUDIA",C499))),"Personal Travel - New Orleans",IFERROR(INDEX('Category Rules'!$B$2:$B$194,MATCH(TRUE,ISNUMBER(SEARCH('Category Rules'!$A$2:$A$194,C499)),0)),"")))))))</f>
        <v>Personal Travel</v>
      </c>
    </row>
    <row r="500" spans="1:7" x14ac:dyDescent="0.25">
      <c r="A500" t="s">
        <v>6</v>
      </c>
      <c r="B500" s="1">
        <v>46146</v>
      </c>
      <c r="C500" t="s">
        <v>480</v>
      </c>
      <c r="D500">
        <v>-570.79</v>
      </c>
      <c r="E500" t="s">
        <v>14</v>
      </c>
      <c r="F500">
        <v>3488.9</v>
      </c>
      <c r="G500" t="str" cm="1">
        <f t="array" ref="G500">IF(AND(ISNUMBER(SEARCH("UBER",C500)),ISNUMBER(SEARCH("EATS",C500))),"Uber Eats",IF(LEFT(C500,6)="CHECK ","Checks Paid",IF(OR(E500="BILLPAY",ISNUMBER(SEARCH("FRANCHISE TAX",C500)),ISNUMBER(SEARCH("NEXTLINK",C500))),"Personal - House Bills",IF(AND(ISNUMBER(SEARCH("PAYMENT FROM",C500)),ISNUMBER(SEARCH("JOE SAUNDERS",C500))),"Zelle from Joe Saunders",IF(AND(ISNUMBER(SEARCH("PAYMENT TO",C500)),ISNUMBER(SEARCH("JOE SAUNDERS",C500))),"Zelle to Joe Saunders",IF(OR(ISNUMBER(SEARCH("NEW ORLEANS",C500)),ISNUMBER(SEARCH("KENNER",C500)),ISNUMBER(SEARCH("HENRY HOWARD",C500)),ISNUMBER(SEARCH("MISS CLAUDIA",C500))),"Personal Travel - New Orleans",IFERROR(INDEX('Category Rules'!$B$2:$B$194,MATCH(TRUE,ISNUMBER(SEARCH('Category Rules'!$A$2:$A$194,C500)),0)),"")))))))</f>
        <v>Personal Travel</v>
      </c>
    </row>
    <row r="501" spans="1:7" x14ac:dyDescent="0.25">
      <c r="A501" t="s">
        <v>6</v>
      </c>
      <c r="B501" s="1">
        <v>46146</v>
      </c>
      <c r="C501" t="s">
        <v>481</v>
      </c>
      <c r="D501">
        <v>-43.89</v>
      </c>
      <c r="E501" t="s">
        <v>14</v>
      </c>
      <c r="F501">
        <v>4059.69</v>
      </c>
      <c r="G501" t="str" cm="1">
        <f t="array" ref="G501">IF(AND(ISNUMBER(SEARCH("UBER",C501)),ISNUMBER(SEARCH("EATS",C501))),"Uber Eats",IF(LEFT(C501,6)="CHECK ","Checks Paid",IF(OR(E501="BILLPAY",ISNUMBER(SEARCH("FRANCHISE TAX",C501)),ISNUMBER(SEARCH("NEXTLINK",C501))),"Personal - House Bills",IF(AND(ISNUMBER(SEARCH("PAYMENT FROM",C501)),ISNUMBER(SEARCH("JOE SAUNDERS",C501))),"Zelle from Joe Saunders",IF(AND(ISNUMBER(SEARCH("PAYMENT TO",C501)),ISNUMBER(SEARCH("JOE SAUNDERS",C501))),"Zelle to Joe Saunders",IF(OR(ISNUMBER(SEARCH("NEW ORLEANS",C501)),ISNUMBER(SEARCH("KENNER",C501)),ISNUMBER(SEARCH("HENRY HOWARD",C501)),ISNUMBER(SEARCH("MISS CLAUDIA",C501))),"Personal Travel - New Orleans",IFERROR(INDEX('Category Rules'!$B$2:$B$194,MATCH(TRUE,ISNUMBER(SEARCH('Category Rules'!$A$2:$A$194,C501)),0)),"")))))))</f>
        <v>Amazon</v>
      </c>
    </row>
    <row r="502" spans="1:7" x14ac:dyDescent="0.25">
      <c r="A502" t="s">
        <v>6</v>
      </c>
      <c r="B502" s="1">
        <v>46146</v>
      </c>
      <c r="C502" t="s">
        <v>482</v>
      </c>
      <c r="D502">
        <v>-30</v>
      </c>
      <c r="E502" t="s">
        <v>14</v>
      </c>
      <c r="F502">
        <v>4103.58</v>
      </c>
      <c r="G502" t="str" cm="1">
        <f t="array" ref="G502">IF(AND(ISNUMBER(SEARCH("UBER",C502)),ISNUMBER(SEARCH("EATS",C502))),"Uber Eats",IF(LEFT(C502,6)="CHECK ","Checks Paid",IF(OR(E502="BILLPAY",ISNUMBER(SEARCH("FRANCHISE TAX",C502)),ISNUMBER(SEARCH("NEXTLINK",C502))),"Personal - House Bills",IF(AND(ISNUMBER(SEARCH("PAYMENT FROM",C502)),ISNUMBER(SEARCH("JOE SAUNDERS",C502))),"Zelle from Joe Saunders",IF(AND(ISNUMBER(SEARCH("PAYMENT TO",C502)),ISNUMBER(SEARCH("JOE SAUNDERS",C502))),"Zelle to Joe Saunders",IF(OR(ISNUMBER(SEARCH("NEW ORLEANS",C502)),ISNUMBER(SEARCH("KENNER",C502)),ISNUMBER(SEARCH("HENRY HOWARD",C502)),ISNUMBER(SEARCH("MISS CLAUDIA",C502))),"Personal Travel - New Orleans",IFERROR(INDEX('Category Rules'!$B$2:$B$194,MATCH(TRUE,ISNUMBER(SEARCH('Category Rules'!$A$2:$A$194,C502)),0)),"")))))))</f>
        <v>Amazon</v>
      </c>
    </row>
    <row r="503" spans="1:7" x14ac:dyDescent="0.25">
      <c r="A503" t="s">
        <v>6</v>
      </c>
      <c r="B503" s="1">
        <v>46146</v>
      </c>
      <c r="C503" t="s">
        <v>483</v>
      </c>
      <c r="D503">
        <v>-30.71</v>
      </c>
      <c r="E503" t="s">
        <v>14</v>
      </c>
      <c r="F503">
        <v>4133.58</v>
      </c>
      <c r="G503" t="str" cm="1">
        <f t="array" ref="G503">IF(AND(ISNUMBER(SEARCH("UBER",C503)),ISNUMBER(SEARCH("EATS",C503))),"Uber Eats",IF(LEFT(C503,6)="CHECK ","Checks Paid",IF(OR(E503="BILLPAY",ISNUMBER(SEARCH("FRANCHISE TAX",C503)),ISNUMBER(SEARCH("NEXTLINK",C503))),"Personal - House Bills",IF(AND(ISNUMBER(SEARCH("PAYMENT FROM",C503)),ISNUMBER(SEARCH("JOE SAUNDERS",C503))),"Zelle from Joe Saunders",IF(AND(ISNUMBER(SEARCH("PAYMENT TO",C503)),ISNUMBER(SEARCH("JOE SAUNDERS",C503))),"Zelle to Joe Saunders",IF(OR(ISNUMBER(SEARCH("NEW ORLEANS",C503)),ISNUMBER(SEARCH("KENNER",C503)),ISNUMBER(SEARCH("HENRY HOWARD",C503)),ISNUMBER(SEARCH("MISS CLAUDIA",C503))),"Personal Travel - New Orleans",IFERROR(INDEX('Category Rules'!$B$2:$B$194,MATCH(TRUE,ISNUMBER(SEARCH('Category Rules'!$A$2:$A$194,C503)),0)),"")))))))</f>
        <v>Amazon</v>
      </c>
    </row>
    <row r="504" spans="1:7" x14ac:dyDescent="0.25">
      <c r="A504" t="s">
        <v>37</v>
      </c>
      <c r="B504" s="1">
        <v>46146</v>
      </c>
      <c r="C504" t="s">
        <v>484</v>
      </c>
      <c r="D504">
        <v>3000</v>
      </c>
      <c r="E504" t="s">
        <v>39</v>
      </c>
      <c r="F504">
        <v>4164.29</v>
      </c>
      <c r="G504" t="str" cm="1">
        <f t="array" ref="G504">IF(AND(ISNUMBER(SEARCH("UBER",C504)),ISNUMBER(SEARCH("EATS",C504))),"Uber Eats",IF(LEFT(C504,6)="CHECK ","Checks Paid",IF(OR(E504="BILLPAY",ISNUMBER(SEARCH("FRANCHISE TAX",C504)),ISNUMBER(SEARCH("NEXTLINK",C504))),"Personal - House Bills",IF(AND(ISNUMBER(SEARCH("PAYMENT FROM",C504)),ISNUMBER(SEARCH("JOE SAUNDERS",C504))),"Zelle from Joe Saunders",IF(AND(ISNUMBER(SEARCH("PAYMENT TO",C504)),ISNUMBER(SEARCH("JOE SAUNDERS",C504))),"Zelle to Joe Saunders",IF(OR(ISNUMBER(SEARCH("NEW ORLEANS",C504)),ISNUMBER(SEARCH("KENNER",C504)),ISNUMBER(SEARCH("HENRY HOWARD",C504)),ISNUMBER(SEARCH("MISS CLAUDIA",C504))),"Personal Travel - New Orleans",IFERROR(INDEX('Category Rules'!$B$2:$B$194,MATCH(TRUE,ISNUMBER(SEARCH('Category Rules'!$A$2:$A$194,C504)),0)),"")))))))</f>
        <v>Transfer from DWG Capital Group</v>
      </c>
    </row>
    <row r="505" spans="1:7" x14ac:dyDescent="0.25">
      <c r="A505" t="s">
        <v>6</v>
      </c>
      <c r="B505" s="1">
        <v>46143</v>
      </c>
      <c r="C505" t="s">
        <v>485</v>
      </c>
      <c r="D505">
        <v>-0.85</v>
      </c>
      <c r="E505" t="s">
        <v>72</v>
      </c>
      <c r="F505">
        <v>1164.29</v>
      </c>
      <c r="G505" t="str" cm="1">
        <f t="array" ref="G505">IF(AND(ISNUMBER(SEARCH("UBER",C505)),ISNUMBER(SEARCH("EATS",C505))),"Uber Eats",IF(LEFT(C505,6)="CHECK ","Checks Paid",IF(OR(E505="BILLPAY",ISNUMBER(SEARCH("FRANCHISE TAX",C505)),ISNUMBER(SEARCH("NEXTLINK",C505))),"Personal - House Bills",IF(AND(ISNUMBER(SEARCH("PAYMENT FROM",C505)),ISNUMBER(SEARCH("JOE SAUNDERS",C505))),"Zelle from Joe Saunders",IF(AND(ISNUMBER(SEARCH("PAYMENT TO",C505)),ISNUMBER(SEARCH("JOE SAUNDERS",C505))),"Zelle to Joe Saunders",IF(OR(ISNUMBER(SEARCH("NEW ORLEANS",C505)),ISNUMBER(SEARCH("KENNER",C505)),ISNUMBER(SEARCH("HENRY HOWARD",C505)),ISNUMBER(SEARCH("MISS CLAUDIA",C505))),"Personal Travel - New Orleans",IFERROR(INDEX('Category Rules'!$B$2:$B$194,MATCH(TRUE,ISNUMBER(SEARCH('Category Rules'!$A$2:$A$194,C505)),0)),"")))))))</f>
        <v>Personal Travel - Portugal</v>
      </c>
    </row>
    <row r="506" spans="1:7" x14ac:dyDescent="0.25">
      <c r="A506" t="s">
        <v>6</v>
      </c>
      <c r="B506" s="1">
        <v>46143</v>
      </c>
      <c r="C506" t="s">
        <v>486</v>
      </c>
      <c r="D506">
        <v>-102.06</v>
      </c>
      <c r="E506" t="s">
        <v>14</v>
      </c>
      <c r="F506">
        <v>1165.1400000000001</v>
      </c>
      <c r="G506" t="str" cm="1">
        <f t="array" ref="G506">IF(AND(ISNUMBER(SEARCH("UBER",C506)),ISNUMBER(SEARCH("EATS",C506))),"Uber Eats",IF(LEFT(C506,6)="CHECK ","Checks Paid",IF(OR(E506="BILLPAY",ISNUMBER(SEARCH("FRANCHISE TAX",C506)),ISNUMBER(SEARCH("NEXTLINK",C506))),"Personal - House Bills",IF(AND(ISNUMBER(SEARCH("PAYMENT FROM",C506)),ISNUMBER(SEARCH("JOE SAUNDERS",C506))),"Zelle from Joe Saunders",IF(AND(ISNUMBER(SEARCH("PAYMENT TO",C506)),ISNUMBER(SEARCH("JOE SAUNDERS",C506))),"Zelle to Joe Saunders",IF(OR(ISNUMBER(SEARCH("NEW ORLEANS",C506)),ISNUMBER(SEARCH("KENNER",C506)),ISNUMBER(SEARCH("HENRY HOWARD",C506)),ISNUMBER(SEARCH("MISS CLAUDIA",C506))),"Personal Travel - New Orleans",IFERROR(INDEX('Category Rules'!$B$2:$B$194,MATCH(TRUE,ISNUMBER(SEARCH('Category Rules'!$A$2:$A$194,C506)),0)),"")))))))</f>
        <v>Personal - Entertainment</v>
      </c>
    </row>
    <row r="507" spans="1:7" x14ac:dyDescent="0.25">
      <c r="A507" t="s">
        <v>6</v>
      </c>
      <c r="B507" s="1">
        <v>46143</v>
      </c>
      <c r="C507" t="s">
        <v>487</v>
      </c>
      <c r="D507">
        <v>-20.84</v>
      </c>
      <c r="E507" t="s">
        <v>14</v>
      </c>
      <c r="F507">
        <v>1267.2</v>
      </c>
      <c r="G507" t="str" cm="1">
        <f t="array" ref="G507">IF(AND(ISNUMBER(SEARCH("UBER",C507)),ISNUMBER(SEARCH("EATS",C507))),"Uber Eats",IF(LEFT(C507,6)="CHECK ","Checks Paid",IF(OR(E507="BILLPAY",ISNUMBER(SEARCH("FRANCHISE TAX",C507)),ISNUMBER(SEARCH("NEXTLINK",C507))),"Personal - House Bills",IF(AND(ISNUMBER(SEARCH("PAYMENT FROM",C507)),ISNUMBER(SEARCH("JOE SAUNDERS",C507))),"Zelle from Joe Saunders",IF(AND(ISNUMBER(SEARCH("PAYMENT TO",C507)),ISNUMBER(SEARCH("JOE SAUNDERS",C507))),"Zelle to Joe Saunders",IF(OR(ISNUMBER(SEARCH("NEW ORLEANS",C507)),ISNUMBER(SEARCH("KENNER",C507)),ISNUMBER(SEARCH("HENRY HOWARD",C507)),ISNUMBER(SEARCH("MISS CLAUDIA",C507))),"Personal Travel - New Orleans",IFERROR(INDEX('Category Rules'!$B$2:$B$194,MATCH(TRUE,ISNUMBER(SEARCH('Category Rules'!$A$2:$A$194,C507)),0)),"")))))))</f>
        <v>Amazon</v>
      </c>
    </row>
    <row r="508" spans="1:7" x14ac:dyDescent="0.25">
      <c r="A508" t="s">
        <v>6</v>
      </c>
      <c r="B508" s="1">
        <v>46143</v>
      </c>
      <c r="C508" t="s">
        <v>488</v>
      </c>
      <c r="D508">
        <v>-25.57</v>
      </c>
      <c r="E508" t="s">
        <v>14</v>
      </c>
      <c r="F508">
        <v>1288.04</v>
      </c>
      <c r="G508" t="str" cm="1">
        <f t="array" ref="G508">IF(AND(ISNUMBER(SEARCH("UBER",C508)),ISNUMBER(SEARCH("EATS",C508))),"Uber Eats",IF(LEFT(C508,6)="CHECK ","Checks Paid",IF(OR(E508="BILLPAY",ISNUMBER(SEARCH("FRANCHISE TAX",C508)),ISNUMBER(SEARCH("NEXTLINK",C508))),"Personal - House Bills",IF(AND(ISNUMBER(SEARCH("PAYMENT FROM",C508)),ISNUMBER(SEARCH("JOE SAUNDERS",C508))),"Zelle from Joe Saunders",IF(AND(ISNUMBER(SEARCH("PAYMENT TO",C508)),ISNUMBER(SEARCH("JOE SAUNDERS",C508))),"Zelle to Joe Saunders",IF(OR(ISNUMBER(SEARCH("NEW ORLEANS",C508)),ISNUMBER(SEARCH("KENNER",C508)),ISNUMBER(SEARCH("HENRY HOWARD",C508)),ISNUMBER(SEARCH("MISS CLAUDIA",C508))),"Personal Travel - New Orleans",IFERROR(INDEX('Category Rules'!$B$2:$B$194,MATCH(TRUE,ISNUMBER(SEARCH('Category Rules'!$A$2:$A$194,C508)),0)),"")))))))</f>
        <v>Amazon</v>
      </c>
    </row>
    <row r="509" spans="1:7" x14ac:dyDescent="0.25">
      <c r="A509" t="s">
        <v>6</v>
      </c>
      <c r="B509" s="1">
        <v>46143</v>
      </c>
      <c r="C509" t="s">
        <v>489</v>
      </c>
      <c r="D509">
        <v>-28.64</v>
      </c>
      <c r="E509" t="s">
        <v>14</v>
      </c>
      <c r="F509">
        <v>1313.61</v>
      </c>
      <c r="G509" t="str" cm="1">
        <f t="array" ref="G509">IF(AND(ISNUMBER(SEARCH("UBER",C509)),ISNUMBER(SEARCH("EATS",C509))),"Uber Eats",IF(LEFT(C509,6)="CHECK ","Checks Paid",IF(OR(E509="BILLPAY",ISNUMBER(SEARCH("FRANCHISE TAX",C509)),ISNUMBER(SEARCH("NEXTLINK",C509))),"Personal - House Bills",IF(AND(ISNUMBER(SEARCH("PAYMENT FROM",C509)),ISNUMBER(SEARCH("JOE SAUNDERS",C509))),"Zelle from Joe Saunders",IF(AND(ISNUMBER(SEARCH("PAYMENT TO",C509)),ISNUMBER(SEARCH("JOE SAUNDERS",C509))),"Zelle to Joe Saunders",IF(OR(ISNUMBER(SEARCH("NEW ORLEANS",C509)),ISNUMBER(SEARCH("KENNER",C509)),ISNUMBER(SEARCH("HENRY HOWARD",C509)),ISNUMBER(SEARCH("MISS CLAUDIA",C509))),"Personal Travel - New Orleans",IFERROR(INDEX('Category Rules'!$B$2:$B$194,MATCH(TRUE,ISNUMBER(SEARCH('Category Rules'!$A$2:$A$194,C509)),0)),"")))))))</f>
        <v>Personal Travel</v>
      </c>
    </row>
    <row r="510" spans="1:7" x14ac:dyDescent="0.25">
      <c r="A510" t="s">
        <v>6</v>
      </c>
      <c r="B510" s="1">
        <v>46143</v>
      </c>
      <c r="C510" t="s">
        <v>490</v>
      </c>
      <c r="D510">
        <v>-82.98</v>
      </c>
      <c r="E510" t="s">
        <v>14</v>
      </c>
      <c r="F510">
        <v>1342.25</v>
      </c>
      <c r="G510" t="str" cm="1">
        <f t="array" ref="G510">IF(AND(ISNUMBER(SEARCH("UBER",C510)),ISNUMBER(SEARCH("EATS",C510))),"Uber Eats",IF(LEFT(C510,6)="CHECK ","Checks Paid",IF(OR(E510="BILLPAY",ISNUMBER(SEARCH("FRANCHISE TAX",C510)),ISNUMBER(SEARCH("NEXTLINK",C510))),"Personal - House Bills",IF(AND(ISNUMBER(SEARCH("PAYMENT FROM",C510)),ISNUMBER(SEARCH("JOE SAUNDERS",C510))),"Zelle from Joe Saunders",IF(AND(ISNUMBER(SEARCH("PAYMENT TO",C510)),ISNUMBER(SEARCH("JOE SAUNDERS",C510))),"Zelle to Joe Saunders",IF(OR(ISNUMBER(SEARCH("NEW ORLEANS",C510)),ISNUMBER(SEARCH("KENNER",C510)),ISNUMBER(SEARCH("HENRY HOWARD",C510)),ISNUMBER(SEARCH("MISS CLAUDIA",C510))),"Personal Travel - New Orleans",IFERROR(INDEX('Category Rules'!$B$2:$B$194,MATCH(TRUE,ISNUMBER(SEARCH('Category Rules'!$A$2:$A$194,C510)),0)),"")))))))</f>
        <v>Amazon</v>
      </c>
    </row>
    <row r="511" spans="1:7" x14ac:dyDescent="0.25">
      <c r="A511" t="s">
        <v>6</v>
      </c>
      <c r="B511" s="1">
        <v>46143</v>
      </c>
      <c r="C511" t="s">
        <v>491</v>
      </c>
      <c r="D511">
        <v>-307.52999999999997</v>
      </c>
      <c r="E511" t="s">
        <v>14</v>
      </c>
      <c r="F511">
        <v>1425.23</v>
      </c>
      <c r="G511" t="str" cm="1">
        <f t="array" ref="G511">IF(AND(ISNUMBER(SEARCH("UBER",C511)),ISNUMBER(SEARCH("EATS",C511))),"Uber Eats",IF(LEFT(C511,6)="CHECK ","Checks Paid",IF(OR(E511="BILLPAY",ISNUMBER(SEARCH("FRANCHISE TAX",C511)),ISNUMBER(SEARCH("NEXTLINK",C511))),"Personal - House Bills",IF(AND(ISNUMBER(SEARCH("PAYMENT FROM",C511)),ISNUMBER(SEARCH("JOE SAUNDERS",C511))),"Zelle from Joe Saunders",IF(AND(ISNUMBER(SEARCH("PAYMENT TO",C511)),ISNUMBER(SEARCH("JOE SAUNDERS",C511))),"Zelle to Joe Saunders",IF(OR(ISNUMBER(SEARCH("NEW ORLEANS",C511)),ISNUMBER(SEARCH("KENNER",C511)),ISNUMBER(SEARCH("HENRY HOWARD",C511)),ISNUMBER(SEARCH("MISS CLAUDIA",C511))),"Personal Travel - New Orleans",IFERROR(INDEX('Category Rules'!$B$2:$B$194,MATCH(TRUE,ISNUMBER(SEARCH('Category Rules'!$A$2:$A$194,C511)),0)),"")))))))</f>
        <v>Amazon</v>
      </c>
    </row>
    <row r="512" spans="1:7" x14ac:dyDescent="0.25">
      <c r="A512" t="s">
        <v>6</v>
      </c>
      <c r="B512" s="1">
        <v>46142</v>
      </c>
      <c r="C512" t="s">
        <v>492</v>
      </c>
      <c r="D512">
        <v>-12.99</v>
      </c>
      <c r="E512" t="s">
        <v>261</v>
      </c>
      <c r="F512">
        <v>1732.76</v>
      </c>
      <c r="G512" t="str" cm="1">
        <f t="array" ref="G512">IF(AND(ISNUMBER(SEARCH("UBER",C512)),ISNUMBER(SEARCH("EATS",C512))),"Uber Eats",IF(LEFT(C512,6)="CHECK ","Checks Paid",IF(OR(E512="BILLPAY",ISNUMBER(SEARCH("FRANCHISE TAX",C512)),ISNUMBER(SEARCH("NEXTLINK",C512))),"Personal - House Bills",IF(AND(ISNUMBER(SEARCH("PAYMENT FROM",C512)),ISNUMBER(SEARCH("JOE SAUNDERS",C512))),"Zelle from Joe Saunders",IF(AND(ISNUMBER(SEARCH("PAYMENT TO",C512)),ISNUMBER(SEARCH("JOE SAUNDERS",C512))),"Zelle to Joe Saunders",IF(OR(ISNUMBER(SEARCH("NEW ORLEANS",C512)),ISNUMBER(SEARCH("KENNER",C512)),ISNUMBER(SEARCH("HENRY HOWARD",C512)),ISNUMBER(SEARCH("MISS CLAUDIA",C512))),"Personal Travel - New Orleans",IFERROR(INDEX('Category Rules'!$B$2:$B$194,MATCH(TRUE,ISNUMBER(SEARCH('Category Rules'!$A$2:$A$194,C512)),0)),"")))))))</f>
        <v>Personal - Subscription</v>
      </c>
    </row>
    <row r="513" spans="1:7" x14ac:dyDescent="0.25">
      <c r="A513" t="s">
        <v>6</v>
      </c>
      <c r="B513" s="1">
        <v>46142</v>
      </c>
      <c r="C513" t="s">
        <v>493</v>
      </c>
      <c r="D513">
        <v>-256.70999999999998</v>
      </c>
      <c r="E513" t="s">
        <v>14</v>
      </c>
      <c r="F513">
        <v>1745.75</v>
      </c>
      <c r="G513" t="str" cm="1">
        <f t="array" ref="G513">IF(AND(ISNUMBER(SEARCH("UBER",C513)),ISNUMBER(SEARCH("EATS",C513))),"Uber Eats",IF(LEFT(C513,6)="CHECK ","Checks Paid",IF(OR(E513="BILLPAY",ISNUMBER(SEARCH("FRANCHISE TAX",C513)),ISNUMBER(SEARCH("NEXTLINK",C513))),"Personal - House Bills",IF(AND(ISNUMBER(SEARCH("PAYMENT FROM",C513)),ISNUMBER(SEARCH("JOE SAUNDERS",C513))),"Zelle from Joe Saunders",IF(AND(ISNUMBER(SEARCH("PAYMENT TO",C513)),ISNUMBER(SEARCH("JOE SAUNDERS",C513))),"Zelle to Joe Saunders",IF(OR(ISNUMBER(SEARCH("NEW ORLEANS",C513)),ISNUMBER(SEARCH("KENNER",C513)),ISNUMBER(SEARCH("HENRY HOWARD",C513)),ISNUMBER(SEARCH("MISS CLAUDIA",C513))),"Personal Travel - New Orleans",IFERROR(INDEX('Category Rules'!$B$2:$B$194,MATCH(TRUE,ISNUMBER(SEARCH('Category Rules'!$A$2:$A$194,C513)),0)),"")))))))</f>
        <v>Personal - Car</v>
      </c>
    </row>
    <row r="514" spans="1:7" x14ac:dyDescent="0.25">
      <c r="A514" t="s">
        <v>6</v>
      </c>
      <c r="B514" s="1">
        <v>46142</v>
      </c>
      <c r="C514" t="s">
        <v>494</v>
      </c>
      <c r="D514">
        <v>-125</v>
      </c>
      <c r="E514" t="s">
        <v>261</v>
      </c>
      <c r="F514">
        <v>2002.46</v>
      </c>
      <c r="G514" t="str" cm="1">
        <f t="array" ref="G514">IF(AND(ISNUMBER(SEARCH("UBER",C514)),ISNUMBER(SEARCH("EATS",C514))),"Uber Eats",IF(LEFT(C514,6)="CHECK ","Checks Paid",IF(OR(E514="BILLPAY",ISNUMBER(SEARCH("FRANCHISE TAX",C514)),ISNUMBER(SEARCH("NEXTLINK",C514))),"Personal - House Bills",IF(AND(ISNUMBER(SEARCH("PAYMENT FROM",C514)),ISNUMBER(SEARCH("JOE SAUNDERS",C514))),"Zelle from Joe Saunders",IF(AND(ISNUMBER(SEARCH("PAYMENT TO",C514)),ISNUMBER(SEARCH("JOE SAUNDERS",C514))),"Zelle to Joe Saunders",IF(OR(ISNUMBER(SEARCH("NEW ORLEANS",C514)),ISNUMBER(SEARCH("KENNER",C514)),ISNUMBER(SEARCH("HENRY HOWARD",C514)),ISNUMBER(SEARCH("MISS CLAUDIA",C514))),"Personal Travel - New Orleans",IFERROR(INDEX('Category Rules'!$B$2:$B$194,MATCH(TRUE,ISNUMBER(SEARCH('Category Rules'!$A$2:$A$194,C514)),0)),"")))))))</f>
        <v>PayPal ACH - PSYCHICMARY</v>
      </c>
    </row>
    <row r="515" spans="1:7" x14ac:dyDescent="0.25">
      <c r="A515" t="s">
        <v>6</v>
      </c>
      <c r="B515" s="1">
        <v>46142</v>
      </c>
      <c r="C515" t="s">
        <v>495</v>
      </c>
      <c r="D515">
        <v>-1272.1199999999999</v>
      </c>
      <c r="E515" t="s">
        <v>14</v>
      </c>
      <c r="F515">
        <v>2127.46</v>
      </c>
      <c r="G515" t="str" cm="1">
        <f t="array" ref="G515">IF(AND(ISNUMBER(SEARCH("UBER",C515)),ISNUMBER(SEARCH("EATS",C515))),"Uber Eats",IF(LEFT(C515,6)="CHECK ","Checks Paid",IF(OR(E515="BILLPAY",ISNUMBER(SEARCH("FRANCHISE TAX",C515)),ISNUMBER(SEARCH("NEXTLINK",C515))),"Personal - House Bills",IF(AND(ISNUMBER(SEARCH("PAYMENT FROM",C515)),ISNUMBER(SEARCH("JOE SAUNDERS",C515))),"Zelle from Joe Saunders",IF(AND(ISNUMBER(SEARCH("PAYMENT TO",C515)),ISNUMBER(SEARCH("JOE SAUNDERS",C515))),"Zelle to Joe Saunders",IF(OR(ISNUMBER(SEARCH("NEW ORLEANS",C515)),ISNUMBER(SEARCH("KENNER",C515)),ISNUMBER(SEARCH("HENRY HOWARD",C515)),ISNUMBER(SEARCH("MISS CLAUDIA",C515))),"Personal Travel - New Orleans",IFERROR(INDEX('Category Rules'!$B$2:$B$194,MATCH(TRUE,ISNUMBER(SEARCH('Category Rules'!$A$2:$A$194,C515)),0)),"")))))))</f>
        <v>Personal - Health Insurance</v>
      </c>
    </row>
    <row r="516" spans="1:7" x14ac:dyDescent="0.25">
      <c r="A516" t="s">
        <v>6</v>
      </c>
      <c r="B516" s="1">
        <v>46142</v>
      </c>
      <c r="C516" t="s">
        <v>496</v>
      </c>
      <c r="D516">
        <v>-19</v>
      </c>
      <c r="E516" t="s">
        <v>14</v>
      </c>
      <c r="F516">
        <v>3399.58</v>
      </c>
      <c r="G516" t="str" cm="1">
        <f t="array" ref="G516">IF(AND(ISNUMBER(SEARCH("UBER",C516)),ISNUMBER(SEARCH("EATS",C516))),"Uber Eats",IF(LEFT(C516,6)="CHECK ","Checks Paid",IF(OR(E516="BILLPAY",ISNUMBER(SEARCH("FRANCHISE TAX",C516)),ISNUMBER(SEARCH("NEXTLINK",C516))),"Personal - House Bills",IF(AND(ISNUMBER(SEARCH("PAYMENT FROM",C516)),ISNUMBER(SEARCH("JOE SAUNDERS",C516))),"Zelle from Joe Saunders",IF(AND(ISNUMBER(SEARCH("PAYMENT TO",C516)),ISNUMBER(SEARCH("JOE SAUNDERS",C516))),"Zelle to Joe Saunders",IF(OR(ISNUMBER(SEARCH("NEW ORLEANS",C516)),ISNUMBER(SEARCH("KENNER",C516)),ISNUMBER(SEARCH("HENRY HOWARD",C516)),ISNUMBER(SEARCH("MISS CLAUDIA",C516))),"Personal Travel - New Orleans",IFERROR(INDEX('Category Rules'!$B$2:$B$194,MATCH(TRUE,ISNUMBER(SEARCH('Category Rules'!$A$2:$A$194,C516)),0)),"")))))))</f>
        <v>Personal - Subscription</v>
      </c>
    </row>
    <row r="517" spans="1:7" x14ac:dyDescent="0.25">
      <c r="A517" t="s">
        <v>6</v>
      </c>
      <c r="B517" s="1">
        <v>46142</v>
      </c>
      <c r="C517" t="s">
        <v>497</v>
      </c>
      <c r="D517">
        <v>-119.97</v>
      </c>
      <c r="E517" t="s">
        <v>14</v>
      </c>
      <c r="F517">
        <v>3418.58</v>
      </c>
      <c r="G517" t="str" cm="1">
        <f t="array" ref="G517">IF(AND(ISNUMBER(SEARCH("UBER",C517)),ISNUMBER(SEARCH("EATS",C517))),"Uber Eats",IF(LEFT(C517,6)="CHECK ","Checks Paid",IF(OR(E517="BILLPAY",ISNUMBER(SEARCH("FRANCHISE TAX",C517)),ISNUMBER(SEARCH("NEXTLINK",C517))),"Personal - House Bills",IF(AND(ISNUMBER(SEARCH("PAYMENT FROM",C517)),ISNUMBER(SEARCH("JOE SAUNDERS",C517))),"Zelle from Joe Saunders",IF(AND(ISNUMBER(SEARCH("PAYMENT TO",C517)),ISNUMBER(SEARCH("JOE SAUNDERS",C517))),"Zelle to Joe Saunders",IF(OR(ISNUMBER(SEARCH("NEW ORLEANS",C517)),ISNUMBER(SEARCH("KENNER",C517)),ISNUMBER(SEARCH("HENRY HOWARD",C517)),ISNUMBER(SEARCH("MISS CLAUDIA",C517))),"Personal Travel - New Orleans",IFERROR(INDEX('Category Rules'!$B$2:$B$194,MATCH(TRUE,ISNUMBER(SEARCH('Category Rules'!$A$2:$A$194,C517)),0)),"")))))))</f>
        <v>Amazon</v>
      </c>
    </row>
    <row r="518" spans="1:7" x14ac:dyDescent="0.25">
      <c r="A518" t="s">
        <v>6</v>
      </c>
      <c r="B518" s="1">
        <v>46142</v>
      </c>
      <c r="C518" t="s">
        <v>498</v>
      </c>
      <c r="D518">
        <v>-183.73</v>
      </c>
      <c r="E518" t="s">
        <v>14</v>
      </c>
      <c r="F518">
        <v>3538.55</v>
      </c>
      <c r="G518" t="str" cm="1">
        <f t="array" ref="G518">IF(AND(ISNUMBER(SEARCH("UBER",C518)),ISNUMBER(SEARCH("EATS",C518))),"Uber Eats",IF(LEFT(C518,6)="CHECK ","Checks Paid",IF(OR(E518="BILLPAY",ISNUMBER(SEARCH("FRANCHISE TAX",C518)),ISNUMBER(SEARCH("NEXTLINK",C518))),"Personal - House Bills",IF(AND(ISNUMBER(SEARCH("PAYMENT FROM",C518)),ISNUMBER(SEARCH("JOE SAUNDERS",C518))),"Zelle from Joe Saunders",IF(AND(ISNUMBER(SEARCH("PAYMENT TO",C518)),ISNUMBER(SEARCH("JOE SAUNDERS",C518))),"Zelle to Joe Saunders",IF(OR(ISNUMBER(SEARCH("NEW ORLEANS",C518)),ISNUMBER(SEARCH("KENNER",C518)),ISNUMBER(SEARCH("HENRY HOWARD",C518)),ISNUMBER(SEARCH("MISS CLAUDIA",C518))),"Personal Travel - New Orleans",IFERROR(INDEX('Category Rules'!$B$2:$B$194,MATCH(TRUE,ISNUMBER(SEARCH('Category Rules'!$A$2:$A$194,C518)),0)),"")))))))</f>
        <v>Etsy</v>
      </c>
    </row>
    <row r="519" spans="1:7" x14ac:dyDescent="0.25">
      <c r="A519" t="s">
        <v>6</v>
      </c>
      <c r="B519" s="1">
        <v>46142</v>
      </c>
      <c r="C519" t="s">
        <v>499</v>
      </c>
      <c r="D519">
        <v>-61.92</v>
      </c>
      <c r="E519" t="s">
        <v>14</v>
      </c>
      <c r="F519">
        <v>3722.28</v>
      </c>
      <c r="G519" t="str" cm="1">
        <f t="array" ref="G519">IF(AND(ISNUMBER(SEARCH("UBER",C519)),ISNUMBER(SEARCH("EATS",C519))),"Uber Eats",IF(LEFT(C519,6)="CHECK ","Checks Paid",IF(OR(E519="BILLPAY",ISNUMBER(SEARCH("FRANCHISE TAX",C519)),ISNUMBER(SEARCH("NEXTLINK",C519))),"Personal - House Bills",IF(AND(ISNUMBER(SEARCH("PAYMENT FROM",C519)),ISNUMBER(SEARCH("JOE SAUNDERS",C519))),"Zelle from Joe Saunders",IF(AND(ISNUMBER(SEARCH("PAYMENT TO",C519)),ISNUMBER(SEARCH("JOE SAUNDERS",C519))),"Zelle to Joe Saunders",IF(OR(ISNUMBER(SEARCH("NEW ORLEANS",C519)),ISNUMBER(SEARCH("KENNER",C519)),ISNUMBER(SEARCH("HENRY HOWARD",C519)),ISNUMBER(SEARCH("MISS CLAUDIA",C519))),"Personal Travel - New Orleans",IFERROR(INDEX('Category Rules'!$B$2:$B$194,MATCH(TRUE,ISNUMBER(SEARCH('Category Rules'!$A$2:$A$194,C519)),0)),"")))))))</f>
        <v>Etsy</v>
      </c>
    </row>
    <row r="520" spans="1:7" x14ac:dyDescent="0.25">
      <c r="A520" t="s">
        <v>6</v>
      </c>
      <c r="B520" s="1">
        <v>46142</v>
      </c>
      <c r="C520" t="s">
        <v>500</v>
      </c>
      <c r="D520">
        <v>-38.409999999999997</v>
      </c>
      <c r="E520" t="s">
        <v>14</v>
      </c>
      <c r="F520">
        <v>3784.2</v>
      </c>
      <c r="G520" t="str" cm="1">
        <f t="array" ref="G520">IF(AND(ISNUMBER(SEARCH("UBER",C520)),ISNUMBER(SEARCH("EATS",C520))),"Uber Eats",IF(LEFT(C520,6)="CHECK ","Checks Paid",IF(OR(E520="BILLPAY",ISNUMBER(SEARCH("FRANCHISE TAX",C520)),ISNUMBER(SEARCH("NEXTLINK",C520))),"Personal - House Bills",IF(AND(ISNUMBER(SEARCH("PAYMENT FROM",C520)),ISNUMBER(SEARCH("JOE SAUNDERS",C520))),"Zelle from Joe Saunders",IF(AND(ISNUMBER(SEARCH("PAYMENT TO",C520)),ISNUMBER(SEARCH("JOE SAUNDERS",C520))),"Zelle to Joe Saunders",IF(OR(ISNUMBER(SEARCH("NEW ORLEANS",C520)),ISNUMBER(SEARCH("KENNER",C520)),ISNUMBER(SEARCH("HENRY HOWARD",C520)),ISNUMBER(SEARCH("MISS CLAUDIA",C520))),"Personal Travel - New Orleans",IFERROR(INDEX('Category Rules'!$B$2:$B$194,MATCH(TRUE,ISNUMBER(SEARCH('Category Rules'!$A$2:$A$194,C520)),0)),"")))))))</f>
        <v>Amazon</v>
      </c>
    </row>
    <row r="521" spans="1:7" x14ac:dyDescent="0.25">
      <c r="A521" t="s">
        <v>6</v>
      </c>
      <c r="B521" s="1">
        <v>46142</v>
      </c>
      <c r="C521" t="s">
        <v>501</v>
      </c>
      <c r="D521">
        <v>-300.31</v>
      </c>
      <c r="E521" t="s">
        <v>14</v>
      </c>
      <c r="F521">
        <v>3822.61</v>
      </c>
      <c r="G521" t="str" cm="1">
        <f t="array" ref="G521">IF(AND(ISNUMBER(SEARCH("UBER",C521)),ISNUMBER(SEARCH("EATS",C521))),"Uber Eats",IF(LEFT(C521,6)="CHECK ","Checks Paid",IF(OR(E521="BILLPAY",ISNUMBER(SEARCH("FRANCHISE TAX",C521)),ISNUMBER(SEARCH("NEXTLINK",C521))),"Personal - House Bills",IF(AND(ISNUMBER(SEARCH("PAYMENT FROM",C521)),ISNUMBER(SEARCH("JOE SAUNDERS",C521))),"Zelle from Joe Saunders",IF(AND(ISNUMBER(SEARCH("PAYMENT TO",C521)),ISNUMBER(SEARCH("JOE SAUNDERS",C521))),"Zelle to Joe Saunders",IF(OR(ISNUMBER(SEARCH("NEW ORLEANS",C521)),ISNUMBER(SEARCH("KENNER",C521)),ISNUMBER(SEARCH("HENRY HOWARD",C521)),ISNUMBER(SEARCH("MISS CLAUDIA",C521))),"Personal Travel - New Orleans",IFERROR(INDEX('Category Rules'!$B$2:$B$194,MATCH(TRUE,ISNUMBER(SEARCH('Category Rules'!$A$2:$A$194,C521)),0)),"")))))))</f>
        <v>Personal - Shopping</v>
      </c>
    </row>
    <row r="522" spans="1:7" x14ac:dyDescent="0.25">
      <c r="A522" t="s">
        <v>6</v>
      </c>
      <c r="B522" s="1">
        <v>46141</v>
      </c>
      <c r="C522" t="s">
        <v>502</v>
      </c>
      <c r="D522">
        <v>-120</v>
      </c>
      <c r="E522" t="s">
        <v>95</v>
      </c>
      <c r="F522">
        <v>4122.92</v>
      </c>
      <c r="G522" t="str" cm="1">
        <f t="array" ref="G522">IF(AND(ISNUMBER(SEARCH("UBER",C522)),ISNUMBER(SEARCH("EATS",C522))),"Uber Eats",IF(LEFT(C522,6)="CHECK ","Checks Paid",IF(OR(E522="BILLPAY",ISNUMBER(SEARCH("FRANCHISE TAX",C522)),ISNUMBER(SEARCH("NEXTLINK",C522))),"Personal - House Bills",IF(AND(ISNUMBER(SEARCH("PAYMENT FROM",C522)),ISNUMBER(SEARCH("JOE SAUNDERS",C522))),"Zelle from Joe Saunders",IF(AND(ISNUMBER(SEARCH("PAYMENT TO",C522)),ISNUMBER(SEARCH("JOE SAUNDERS",C522))),"Zelle to Joe Saunders",IF(OR(ISNUMBER(SEARCH("NEW ORLEANS",C522)),ISNUMBER(SEARCH("KENNER",C522)),ISNUMBER(SEARCH("HENRY HOWARD",C522)),ISNUMBER(SEARCH("MISS CLAUDIA",C522))),"Personal Travel - New Orleans",IFERROR(INDEX('Category Rules'!$B$2:$B$194,MATCH(TRUE,ISNUMBER(SEARCH('Category Rules'!$A$2:$A$194,C522)),0)),"")))))))</f>
        <v>Personal - House Bills</v>
      </c>
    </row>
    <row r="523" spans="1:7" x14ac:dyDescent="0.25">
      <c r="A523" t="s">
        <v>6</v>
      </c>
      <c r="B523" s="1">
        <v>46141</v>
      </c>
      <c r="C523" t="s">
        <v>503</v>
      </c>
      <c r="D523">
        <v>-250.58</v>
      </c>
      <c r="E523" t="s">
        <v>95</v>
      </c>
      <c r="F523">
        <v>4242.92</v>
      </c>
      <c r="G523" t="str" cm="1">
        <f t="array" ref="G523">IF(AND(ISNUMBER(SEARCH("UBER",C523)),ISNUMBER(SEARCH("EATS",C523))),"Uber Eats",IF(LEFT(C523,6)="CHECK ","Checks Paid",IF(OR(E523="BILLPAY",ISNUMBER(SEARCH("FRANCHISE TAX",C523)),ISNUMBER(SEARCH("NEXTLINK",C523))),"Personal - House Bills",IF(AND(ISNUMBER(SEARCH("PAYMENT FROM",C523)),ISNUMBER(SEARCH("JOE SAUNDERS",C523))),"Zelle from Joe Saunders",IF(AND(ISNUMBER(SEARCH("PAYMENT TO",C523)),ISNUMBER(SEARCH("JOE SAUNDERS",C523))),"Zelle to Joe Saunders",IF(OR(ISNUMBER(SEARCH("NEW ORLEANS",C523)),ISNUMBER(SEARCH("KENNER",C523)),ISNUMBER(SEARCH("HENRY HOWARD",C523)),ISNUMBER(SEARCH("MISS CLAUDIA",C523))),"Personal Travel - New Orleans",IFERROR(INDEX('Category Rules'!$B$2:$B$194,MATCH(TRUE,ISNUMBER(SEARCH('Category Rules'!$A$2:$A$194,C523)),0)),"")))))))</f>
        <v>Personal - House Bills</v>
      </c>
    </row>
    <row r="524" spans="1:7" x14ac:dyDescent="0.25">
      <c r="A524" t="s">
        <v>6</v>
      </c>
      <c r="B524" s="1">
        <v>46141</v>
      </c>
      <c r="C524" t="s">
        <v>504</v>
      </c>
      <c r="D524">
        <v>-600</v>
      </c>
      <c r="E524" t="s">
        <v>95</v>
      </c>
      <c r="F524">
        <v>4493.5</v>
      </c>
      <c r="G524" t="str" cm="1">
        <f t="array" ref="G524">IF(AND(ISNUMBER(SEARCH("UBER",C524)),ISNUMBER(SEARCH("EATS",C524))),"Uber Eats",IF(LEFT(C524,6)="CHECK ","Checks Paid",IF(OR(E524="BILLPAY",ISNUMBER(SEARCH("FRANCHISE TAX",C524)),ISNUMBER(SEARCH("NEXTLINK",C524))),"Personal - House Bills",IF(AND(ISNUMBER(SEARCH("PAYMENT FROM",C524)),ISNUMBER(SEARCH("JOE SAUNDERS",C524))),"Zelle from Joe Saunders",IF(AND(ISNUMBER(SEARCH("PAYMENT TO",C524)),ISNUMBER(SEARCH("JOE SAUNDERS",C524))),"Zelle to Joe Saunders",IF(OR(ISNUMBER(SEARCH("NEW ORLEANS",C524)),ISNUMBER(SEARCH("KENNER",C524)),ISNUMBER(SEARCH("HENRY HOWARD",C524)),ISNUMBER(SEARCH("MISS CLAUDIA",C524))),"Personal Travel - New Orleans",IFERROR(INDEX('Category Rules'!$B$2:$B$194,MATCH(TRUE,ISNUMBER(SEARCH('Category Rules'!$A$2:$A$194,C524)),0)),"")))))))</f>
        <v>Personal - House Bills</v>
      </c>
    </row>
    <row r="525" spans="1:7" x14ac:dyDescent="0.25">
      <c r="A525" t="s">
        <v>6</v>
      </c>
      <c r="B525" s="1">
        <v>46141</v>
      </c>
      <c r="C525" t="s">
        <v>505</v>
      </c>
      <c r="D525">
        <v>-400</v>
      </c>
      <c r="E525" t="s">
        <v>95</v>
      </c>
      <c r="F525">
        <v>5093.5</v>
      </c>
      <c r="G525" t="str" cm="1">
        <f t="array" ref="G525">IF(AND(ISNUMBER(SEARCH("UBER",C525)),ISNUMBER(SEARCH("EATS",C525))),"Uber Eats",IF(LEFT(C525,6)="CHECK ","Checks Paid",IF(OR(E525="BILLPAY",ISNUMBER(SEARCH("FRANCHISE TAX",C525)),ISNUMBER(SEARCH("NEXTLINK",C525))),"Personal - House Bills",IF(AND(ISNUMBER(SEARCH("PAYMENT FROM",C525)),ISNUMBER(SEARCH("JOE SAUNDERS",C525))),"Zelle from Joe Saunders",IF(AND(ISNUMBER(SEARCH("PAYMENT TO",C525)),ISNUMBER(SEARCH("JOE SAUNDERS",C525))),"Zelle to Joe Saunders",IF(OR(ISNUMBER(SEARCH("NEW ORLEANS",C525)),ISNUMBER(SEARCH("KENNER",C525)),ISNUMBER(SEARCH("HENRY HOWARD",C525)),ISNUMBER(SEARCH("MISS CLAUDIA",C525))),"Personal Travel - New Orleans",IFERROR(INDEX('Category Rules'!$B$2:$B$194,MATCH(TRUE,ISNUMBER(SEARCH('Category Rules'!$A$2:$A$194,C525)),0)),"")))))))</f>
        <v>Personal - House Bills</v>
      </c>
    </row>
    <row r="526" spans="1:7" x14ac:dyDescent="0.25">
      <c r="A526" t="s">
        <v>6</v>
      </c>
      <c r="B526" s="1">
        <v>46141</v>
      </c>
      <c r="C526" t="s">
        <v>506</v>
      </c>
      <c r="D526">
        <v>-1000</v>
      </c>
      <c r="E526" t="s">
        <v>39</v>
      </c>
      <c r="F526">
        <v>5493.5</v>
      </c>
      <c r="G526" t="str" cm="1">
        <f t="array" ref="G526">IF(AND(ISNUMBER(SEARCH("UBER",C526)),ISNUMBER(SEARCH("EATS",C526))),"Uber Eats",IF(LEFT(C526,6)="CHECK ","Checks Paid",IF(OR(E526="BILLPAY",ISNUMBER(SEARCH("FRANCHISE TAX",C526)),ISNUMBER(SEARCH("NEXTLINK",C526))),"Personal - House Bills",IF(AND(ISNUMBER(SEARCH("PAYMENT FROM",C526)),ISNUMBER(SEARCH("JOE SAUNDERS",C526))),"Zelle from Joe Saunders",IF(AND(ISNUMBER(SEARCH("PAYMENT TO",C526)),ISNUMBER(SEARCH("JOE SAUNDERS",C526))),"Zelle to Joe Saunders",IF(OR(ISNUMBER(SEARCH("NEW ORLEANS",C526)),ISNUMBER(SEARCH("KENNER",C526)),ISNUMBER(SEARCH("HENRY HOWARD",C526)),ISNUMBER(SEARCH("MISS CLAUDIA",C526))),"Personal Travel - New Orleans",IFERROR(INDEX('Category Rules'!$B$2:$B$194,MATCH(TRUE,ISNUMBER(SEARCH('Category Rules'!$A$2:$A$194,C526)),0)),"")))))))</f>
        <v>Transfer to Ava</v>
      </c>
    </row>
    <row r="527" spans="1:7" x14ac:dyDescent="0.25">
      <c r="A527" t="s">
        <v>6</v>
      </c>
      <c r="B527" s="1">
        <v>46141</v>
      </c>
      <c r="C527" t="s">
        <v>507</v>
      </c>
      <c r="D527">
        <v>-106.35</v>
      </c>
      <c r="E527" t="s">
        <v>14</v>
      </c>
      <c r="F527">
        <v>6493.5</v>
      </c>
      <c r="G527" t="str" cm="1">
        <f t="array" ref="G527">IF(AND(ISNUMBER(SEARCH("UBER",C527)),ISNUMBER(SEARCH("EATS",C527))),"Uber Eats",IF(LEFT(C527,6)="CHECK ","Checks Paid",IF(OR(E527="BILLPAY",ISNUMBER(SEARCH("FRANCHISE TAX",C527)),ISNUMBER(SEARCH("NEXTLINK",C527))),"Personal - House Bills",IF(AND(ISNUMBER(SEARCH("PAYMENT FROM",C527)),ISNUMBER(SEARCH("JOE SAUNDERS",C527))),"Zelle from Joe Saunders",IF(AND(ISNUMBER(SEARCH("PAYMENT TO",C527)),ISNUMBER(SEARCH("JOE SAUNDERS",C527))),"Zelle to Joe Saunders",IF(OR(ISNUMBER(SEARCH("NEW ORLEANS",C527)),ISNUMBER(SEARCH("KENNER",C527)),ISNUMBER(SEARCH("HENRY HOWARD",C527)),ISNUMBER(SEARCH("MISS CLAUDIA",C527))),"Personal Travel - New Orleans",IFERROR(INDEX('Category Rules'!$B$2:$B$194,MATCH(TRUE,ISNUMBER(SEARCH('Category Rules'!$A$2:$A$194,C527)),0)),"")))))))</f>
        <v>Uber Eats</v>
      </c>
    </row>
    <row r="528" spans="1:7" x14ac:dyDescent="0.25">
      <c r="A528" t="s">
        <v>6</v>
      </c>
      <c r="B528" s="1">
        <v>46141</v>
      </c>
      <c r="C528" t="s">
        <v>508</v>
      </c>
      <c r="D528">
        <v>-22.44</v>
      </c>
      <c r="E528" t="s">
        <v>14</v>
      </c>
      <c r="F528">
        <v>6599.85</v>
      </c>
      <c r="G528" t="str" cm="1">
        <f t="array" ref="G528">IF(AND(ISNUMBER(SEARCH("UBER",C528)),ISNUMBER(SEARCH("EATS",C528))),"Uber Eats",IF(LEFT(C528,6)="CHECK ","Checks Paid",IF(OR(E528="BILLPAY",ISNUMBER(SEARCH("FRANCHISE TAX",C528)),ISNUMBER(SEARCH("NEXTLINK",C528))),"Personal - House Bills",IF(AND(ISNUMBER(SEARCH("PAYMENT FROM",C528)),ISNUMBER(SEARCH("JOE SAUNDERS",C528))),"Zelle from Joe Saunders",IF(AND(ISNUMBER(SEARCH("PAYMENT TO",C528)),ISNUMBER(SEARCH("JOE SAUNDERS",C528))),"Zelle to Joe Saunders",IF(OR(ISNUMBER(SEARCH("NEW ORLEANS",C528)),ISNUMBER(SEARCH("KENNER",C528)),ISNUMBER(SEARCH("HENRY HOWARD",C528)),ISNUMBER(SEARCH("MISS CLAUDIA",C528))),"Personal Travel - New Orleans",IFERROR(INDEX('Category Rules'!$B$2:$B$194,MATCH(TRUE,ISNUMBER(SEARCH('Category Rules'!$A$2:$A$194,C528)),0)),"")))))))</f>
        <v>Amazon</v>
      </c>
    </row>
    <row r="529" spans="1:7" x14ac:dyDescent="0.25">
      <c r="A529" t="s">
        <v>6</v>
      </c>
      <c r="B529" s="1">
        <v>46141</v>
      </c>
      <c r="C529" t="s">
        <v>509</v>
      </c>
      <c r="D529">
        <v>-169.17</v>
      </c>
      <c r="E529" t="s">
        <v>14</v>
      </c>
      <c r="F529">
        <v>6622.29</v>
      </c>
      <c r="G529" t="str" cm="1">
        <f t="array" ref="G529">IF(AND(ISNUMBER(SEARCH("UBER",C529)),ISNUMBER(SEARCH("EATS",C529))),"Uber Eats",IF(LEFT(C529,6)="CHECK ","Checks Paid",IF(OR(E529="BILLPAY",ISNUMBER(SEARCH("FRANCHISE TAX",C529)),ISNUMBER(SEARCH("NEXTLINK",C529))),"Personal - House Bills",IF(AND(ISNUMBER(SEARCH("PAYMENT FROM",C529)),ISNUMBER(SEARCH("JOE SAUNDERS",C529))),"Zelle from Joe Saunders",IF(AND(ISNUMBER(SEARCH("PAYMENT TO",C529)),ISNUMBER(SEARCH("JOE SAUNDERS",C529))),"Zelle to Joe Saunders",IF(OR(ISNUMBER(SEARCH("NEW ORLEANS",C529)),ISNUMBER(SEARCH("KENNER",C529)),ISNUMBER(SEARCH("HENRY HOWARD",C529)),ISNUMBER(SEARCH("MISS CLAUDIA",C529))),"Personal Travel - New Orleans",IFERROR(INDEX('Category Rules'!$B$2:$B$194,MATCH(TRUE,ISNUMBER(SEARCH('Category Rules'!$A$2:$A$194,C529)),0)),"")))))))</f>
        <v>Personal - Health</v>
      </c>
    </row>
    <row r="530" spans="1:7" x14ac:dyDescent="0.25">
      <c r="A530" t="s">
        <v>6</v>
      </c>
      <c r="B530" s="1">
        <v>46141</v>
      </c>
      <c r="C530" t="s">
        <v>510</v>
      </c>
      <c r="D530">
        <v>-5.49</v>
      </c>
      <c r="E530" t="s">
        <v>14</v>
      </c>
      <c r="F530">
        <v>6791.46</v>
      </c>
      <c r="G530" t="str" cm="1">
        <f t="array" ref="G530">IF(AND(ISNUMBER(SEARCH("UBER",C530)),ISNUMBER(SEARCH("EATS",C530))),"Uber Eats",IF(LEFT(C530,6)="CHECK ","Checks Paid",IF(OR(E530="BILLPAY",ISNUMBER(SEARCH("FRANCHISE TAX",C530)),ISNUMBER(SEARCH("NEXTLINK",C530))),"Personal - House Bills",IF(AND(ISNUMBER(SEARCH("PAYMENT FROM",C530)),ISNUMBER(SEARCH("JOE SAUNDERS",C530))),"Zelle from Joe Saunders",IF(AND(ISNUMBER(SEARCH("PAYMENT TO",C530)),ISNUMBER(SEARCH("JOE SAUNDERS",C530))),"Zelle to Joe Saunders",IF(OR(ISNUMBER(SEARCH("NEW ORLEANS",C530)),ISNUMBER(SEARCH("KENNER",C530)),ISNUMBER(SEARCH("HENRY HOWARD",C530)),ISNUMBER(SEARCH("MISS CLAUDIA",C530))),"Personal Travel - New Orleans",IFERROR(INDEX('Category Rules'!$B$2:$B$194,MATCH(TRUE,ISNUMBER(SEARCH('Category Rules'!$A$2:$A$194,C530)),0)),"")))))))</f>
        <v>Personal - Health</v>
      </c>
    </row>
    <row r="531" spans="1:7" x14ac:dyDescent="0.25">
      <c r="A531" t="s">
        <v>37</v>
      </c>
      <c r="B531" s="1">
        <v>46141</v>
      </c>
      <c r="C531" t="s">
        <v>511</v>
      </c>
      <c r="D531">
        <v>5000</v>
      </c>
      <c r="E531" t="s">
        <v>39</v>
      </c>
      <c r="F531">
        <v>6796.95</v>
      </c>
      <c r="G531" t="str" cm="1">
        <f t="array" ref="G531">IF(AND(ISNUMBER(SEARCH("UBER",C531)),ISNUMBER(SEARCH("EATS",C531))),"Uber Eats",IF(LEFT(C531,6)="CHECK ","Checks Paid",IF(OR(E531="BILLPAY",ISNUMBER(SEARCH("FRANCHISE TAX",C531)),ISNUMBER(SEARCH("NEXTLINK",C531))),"Personal - House Bills",IF(AND(ISNUMBER(SEARCH("PAYMENT FROM",C531)),ISNUMBER(SEARCH("JOE SAUNDERS",C531))),"Zelle from Joe Saunders",IF(AND(ISNUMBER(SEARCH("PAYMENT TO",C531)),ISNUMBER(SEARCH("JOE SAUNDERS",C531))),"Zelle to Joe Saunders",IF(OR(ISNUMBER(SEARCH("NEW ORLEANS",C531)),ISNUMBER(SEARCH("KENNER",C531)),ISNUMBER(SEARCH("HENRY HOWARD",C531)),ISNUMBER(SEARCH("MISS CLAUDIA",C531))),"Personal Travel - New Orleans",IFERROR(INDEX('Category Rules'!$B$2:$B$194,MATCH(TRUE,ISNUMBER(SEARCH('Category Rules'!$A$2:$A$194,C531)),0)),"")))))))</f>
        <v>Transfer from DWG Capital Group</v>
      </c>
    </row>
    <row r="532" spans="1:7" x14ac:dyDescent="0.25">
      <c r="A532" t="s">
        <v>6</v>
      </c>
      <c r="B532" s="1">
        <v>46140</v>
      </c>
      <c r="C532" t="s">
        <v>512</v>
      </c>
      <c r="D532">
        <v>-514.91</v>
      </c>
      <c r="E532" t="s">
        <v>14</v>
      </c>
      <c r="F532">
        <v>1796.95</v>
      </c>
      <c r="G532" t="str" cm="1">
        <f t="array" ref="G532">IF(AND(ISNUMBER(SEARCH("UBER",C532)),ISNUMBER(SEARCH("EATS",C532))),"Uber Eats",IF(LEFT(C532,6)="CHECK ","Checks Paid",IF(OR(E532="BILLPAY",ISNUMBER(SEARCH("FRANCHISE TAX",C532)),ISNUMBER(SEARCH("NEXTLINK",C532))),"Personal - House Bills",IF(AND(ISNUMBER(SEARCH("PAYMENT FROM",C532)),ISNUMBER(SEARCH("JOE SAUNDERS",C532))),"Zelle from Joe Saunders",IF(AND(ISNUMBER(SEARCH("PAYMENT TO",C532)),ISNUMBER(SEARCH("JOE SAUNDERS",C532))),"Zelle to Joe Saunders",IF(OR(ISNUMBER(SEARCH("NEW ORLEANS",C532)),ISNUMBER(SEARCH("KENNER",C532)),ISNUMBER(SEARCH("HENRY HOWARD",C532)),ISNUMBER(SEARCH("MISS CLAUDIA",C532))),"Personal Travel - New Orleans",IFERROR(INDEX('Category Rules'!$B$2:$B$194,MATCH(TRUE,ISNUMBER(SEARCH('Category Rules'!$A$2:$A$194,C532)),0)),"")))))))</f>
        <v>Personal - Shopping</v>
      </c>
    </row>
    <row r="533" spans="1:7" x14ac:dyDescent="0.25">
      <c r="A533" t="s">
        <v>6</v>
      </c>
      <c r="B533" s="1">
        <v>46140</v>
      </c>
      <c r="C533" t="s">
        <v>513</v>
      </c>
      <c r="D533">
        <v>-5.99</v>
      </c>
      <c r="E533" t="s">
        <v>14</v>
      </c>
      <c r="F533">
        <v>2311.86</v>
      </c>
      <c r="G533" t="str" cm="1">
        <f t="array" ref="G533">IF(AND(ISNUMBER(SEARCH("UBER",C533)),ISNUMBER(SEARCH("EATS",C533))),"Uber Eats",IF(LEFT(C533,6)="CHECK ","Checks Paid",IF(OR(E533="BILLPAY",ISNUMBER(SEARCH("FRANCHISE TAX",C533)),ISNUMBER(SEARCH("NEXTLINK",C533))),"Personal - House Bills",IF(AND(ISNUMBER(SEARCH("PAYMENT FROM",C533)),ISNUMBER(SEARCH("JOE SAUNDERS",C533))),"Zelle from Joe Saunders",IF(AND(ISNUMBER(SEARCH("PAYMENT TO",C533)),ISNUMBER(SEARCH("JOE SAUNDERS",C533))),"Zelle to Joe Saunders",IF(OR(ISNUMBER(SEARCH("NEW ORLEANS",C533)),ISNUMBER(SEARCH("KENNER",C533)),ISNUMBER(SEARCH("HENRY HOWARD",C533)),ISNUMBER(SEARCH("MISS CLAUDIA",C533))),"Personal Travel - New Orleans",IFERROR(INDEX('Category Rules'!$B$2:$B$194,MATCH(TRUE,ISNUMBER(SEARCH('Category Rules'!$A$2:$A$194,C533)),0)),"")))))))</f>
        <v>Apple</v>
      </c>
    </row>
    <row r="534" spans="1:7" x14ac:dyDescent="0.25">
      <c r="A534" t="s">
        <v>6</v>
      </c>
      <c r="B534" s="1">
        <v>46140</v>
      </c>
      <c r="C534" t="s">
        <v>514</v>
      </c>
      <c r="D534">
        <v>-1028.18</v>
      </c>
      <c r="E534" t="s">
        <v>14</v>
      </c>
      <c r="F534">
        <v>2317.85</v>
      </c>
      <c r="G534" t="str" cm="1">
        <f t="array" ref="G534">IF(AND(ISNUMBER(SEARCH("UBER",C534)),ISNUMBER(SEARCH("EATS",C534))),"Uber Eats",IF(LEFT(C534,6)="CHECK ","Checks Paid",IF(OR(E534="BILLPAY",ISNUMBER(SEARCH("FRANCHISE TAX",C534)),ISNUMBER(SEARCH("NEXTLINK",C534))),"Personal - House Bills",IF(AND(ISNUMBER(SEARCH("PAYMENT FROM",C534)),ISNUMBER(SEARCH("JOE SAUNDERS",C534))),"Zelle from Joe Saunders",IF(AND(ISNUMBER(SEARCH("PAYMENT TO",C534)),ISNUMBER(SEARCH("JOE SAUNDERS",C534))),"Zelle to Joe Saunders",IF(OR(ISNUMBER(SEARCH("NEW ORLEANS",C534)),ISNUMBER(SEARCH("KENNER",C534)),ISNUMBER(SEARCH("HENRY HOWARD",C534)),ISNUMBER(SEARCH("MISS CLAUDIA",C534))),"Personal Travel - New Orleans",IFERROR(INDEX('Category Rules'!$B$2:$B$194,MATCH(TRUE,ISNUMBER(SEARCH('Category Rules'!$A$2:$A$194,C534)),0)),"")))))))</f>
        <v>Personal - Health</v>
      </c>
    </row>
    <row r="535" spans="1:7" x14ac:dyDescent="0.25">
      <c r="A535" t="s">
        <v>37</v>
      </c>
      <c r="B535" s="1">
        <v>46140</v>
      </c>
      <c r="C535" t="s">
        <v>515</v>
      </c>
      <c r="D535">
        <v>2000</v>
      </c>
      <c r="E535" t="s">
        <v>39</v>
      </c>
      <c r="F535">
        <v>3346.03</v>
      </c>
      <c r="G535" t="str" cm="1">
        <f t="array" ref="G535">IF(AND(ISNUMBER(SEARCH("UBER",C535)),ISNUMBER(SEARCH("EATS",C535))),"Uber Eats",IF(LEFT(C535,6)="CHECK ","Checks Paid",IF(OR(E535="BILLPAY",ISNUMBER(SEARCH("FRANCHISE TAX",C535)),ISNUMBER(SEARCH("NEXTLINK",C535))),"Personal - House Bills",IF(AND(ISNUMBER(SEARCH("PAYMENT FROM",C535)),ISNUMBER(SEARCH("JOE SAUNDERS",C535))),"Zelle from Joe Saunders",IF(AND(ISNUMBER(SEARCH("PAYMENT TO",C535)),ISNUMBER(SEARCH("JOE SAUNDERS",C535))),"Zelle to Joe Saunders",IF(OR(ISNUMBER(SEARCH("NEW ORLEANS",C535)),ISNUMBER(SEARCH("KENNER",C535)),ISNUMBER(SEARCH("HENRY HOWARD",C535)),ISNUMBER(SEARCH("MISS CLAUDIA",C535))),"Personal Travel - New Orleans",IFERROR(INDEX('Category Rules'!$B$2:$B$194,MATCH(TRUE,ISNUMBER(SEARCH('Category Rules'!$A$2:$A$194,C535)),0)),"")))))))</f>
        <v>Transfer from DWG Capital Group</v>
      </c>
    </row>
    <row r="536" spans="1:7" x14ac:dyDescent="0.25">
      <c r="A536" t="s">
        <v>6</v>
      </c>
      <c r="B536" s="1">
        <v>46139</v>
      </c>
      <c r="C536" t="s">
        <v>516</v>
      </c>
      <c r="D536">
        <v>-10</v>
      </c>
      <c r="E536" t="s">
        <v>261</v>
      </c>
      <c r="F536">
        <v>1346.03</v>
      </c>
      <c r="G536" t="str" cm="1">
        <f t="array" ref="G536">IF(AND(ISNUMBER(SEARCH("UBER",C536)),ISNUMBER(SEARCH("EATS",C536))),"Uber Eats",IF(LEFT(C536,6)="CHECK ","Checks Paid",IF(OR(E536="BILLPAY",ISNUMBER(SEARCH("FRANCHISE TAX",C536)),ISNUMBER(SEARCH("NEXTLINK",C536))),"Personal - House Bills",IF(AND(ISNUMBER(SEARCH("PAYMENT FROM",C536)),ISNUMBER(SEARCH("JOE SAUNDERS",C536))),"Zelle from Joe Saunders",IF(AND(ISNUMBER(SEARCH("PAYMENT TO",C536)),ISNUMBER(SEARCH("JOE SAUNDERS",C536))),"Zelle to Joe Saunders",IF(OR(ISNUMBER(SEARCH("NEW ORLEANS",C536)),ISNUMBER(SEARCH("KENNER",C536)),ISNUMBER(SEARCH("HENRY HOWARD",C536)),ISNUMBER(SEARCH("MISS CLAUDIA",C536))),"Personal Travel - New Orleans",IFERROR(INDEX('Category Rules'!$B$2:$B$194,MATCH(TRUE,ISNUMBER(SEARCH('Category Rules'!$A$2:$A$194,C536)),0)),"")))))))</f>
        <v>Personal - Subscription</v>
      </c>
    </row>
    <row r="537" spans="1:7" x14ac:dyDescent="0.25">
      <c r="A537" t="s">
        <v>6</v>
      </c>
      <c r="B537" s="1">
        <v>46139</v>
      </c>
      <c r="C537" t="s">
        <v>517</v>
      </c>
      <c r="D537">
        <v>-99.99</v>
      </c>
      <c r="E537" t="s">
        <v>261</v>
      </c>
      <c r="F537">
        <v>1356.03</v>
      </c>
      <c r="G537" t="str" cm="1">
        <f t="array" ref="G537">IF(AND(ISNUMBER(SEARCH("UBER",C537)),ISNUMBER(SEARCH("EATS",C537))),"Uber Eats",IF(LEFT(C537,6)="CHECK ","Checks Paid",IF(OR(E537="BILLPAY",ISNUMBER(SEARCH("FRANCHISE TAX",C537)),ISNUMBER(SEARCH("NEXTLINK",C537))),"Personal - House Bills",IF(AND(ISNUMBER(SEARCH("PAYMENT FROM",C537)),ISNUMBER(SEARCH("JOE SAUNDERS",C537))),"Zelle from Joe Saunders",IF(AND(ISNUMBER(SEARCH("PAYMENT TO",C537)),ISNUMBER(SEARCH("JOE SAUNDERS",C537))),"Zelle to Joe Saunders",IF(OR(ISNUMBER(SEARCH("NEW ORLEANS",C537)),ISNUMBER(SEARCH("KENNER",C537)),ISNUMBER(SEARCH("HENRY HOWARD",C537)),ISNUMBER(SEARCH("MISS CLAUDIA",C537))),"Personal Travel - New Orleans",IFERROR(INDEX('Category Rules'!$B$2:$B$194,MATCH(TRUE,ISNUMBER(SEARCH('Category Rules'!$A$2:$A$194,C537)),0)),"")))))))</f>
        <v>Personal - Subscription</v>
      </c>
    </row>
    <row r="538" spans="1:7" x14ac:dyDescent="0.25">
      <c r="A538" t="s">
        <v>6</v>
      </c>
      <c r="B538" s="1">
        <v>46139</v>
      </c>
      <c r="C538" t="s">
        <v>518</v>
      </c>
      <c r="D538">
        <v>-5.99</v>
      </c>
      <c r="E538" t="s">
        <v>14</v>
      </c>
      <c r="F538">
        <v>1456.02</v>
      </c>
      <c r="G538" t="str" cm="1">
        <f t="array" ref="G538">IF(AND(ISNUMBER(SEARCH("UBER",C538)),ISNUMBER(SEARCH("EATS",C538))),"Uber Eats",IF(LEFT(C538,6)="CHECK ","Checks Paid",IF(OR(E538="BILLPAY",ISNUMBER(SEARCH("FRANCHISE TAX",C538)),ISNUMBER(SEARCH("NEXTLINK",C538))),"Personal - House Bills",IF(AND(ISNUMBER(SEARCH("PAYMENT FROM",C538)),ISNUMBER(SEARCH("JOE SAUNDERS",C538))),"Zelle from Joe Saunders",IF(AND(ISNUMBER(SEARCH("PAYMENT TO",C538)),ISNUMBER(SEARCH("JOE SAUNDERS",C538))),"Zelle to Joe Saunders",IF(OR(ISNUMBER(SEARCH("NEW ORLEANS",C538)),ISNUMBER(SEARCH("KENNER",C538)),ISNUMBER(SEARCH("HENRY HOWARD",C538)),ISNUMBER(SEARCH("MISS CLAUDIA",C538))),"Personal Travel - New Orleans",IFERROR(INDEX('Category Rules'!$B$2:$B$194,MATCH(TRUE,ISNUMBER(SEARCH('Category Rules'!$A$2:$A$194,C538)),0)),"")))))))</f>
        <v>Personal - Subscription</v>
      </c>
    </row>
    <row r="539" spans="1:7" x14ac:dyDescent="0.25">
      <c r="A539" t="s">
        <v>6</v>
      </c>
      <c r="B539" s="1">
        <v>46139</v>
      </c>
      <c r="C539" t="s">
        <v>519</v>
      </c>
      <c r="D539">
        <v>-6.99</v>
      </c>
      <c r="E539" t="s">
        <v>14</v>
      </c>
      <c r="F539">
        <v>1462.01</v>
      </c>
      <c r="G539" t="str" cm="1">
        <f t="array" ref="G539">IF(AND(ISNUMBER(SEARCH("UBER",C539)),ISNUMBER(SEARCH("EATS",C539))),"Uber Eats",IF(LEFT(C539,6)="CHECK ","Checks Paid",IF(OR(E539="BILLPAY",ISNUMBER(SEARCH("FRANCHISE TAX",C539)),ISNUMBER(SEARCH("NEXTLINK",C539))),"Personal - House Bills",IF(AND(ISNUMBER(SEARCH("PAYMENT FROM",C539)),ISNUMBER(SEARCH("JOE SAUNDERS",C539))),"Zelle from Joe Saunders",IF(AND(ISNUMBER(SEARCH("PAYMENT TO",C539)),ISNUMBER(SEARCH("JOE SAUNDERS",C539))),"Zelle to Joe Saunders",IF(OR(ISNUMBER(SEARCH("NEW ORLEANS",C539)),ISNUMBER(SEARCH("KENNER",C539)),ISNUMBER(SEARCH("HENRY HOWARD",C539)),ISNUMBER(SEARCH("MISS CLAUDIA",C539))),"Personal Travel - New Orleans",IFERROR(INDEX('Category Rules'!$B$2:$B$194,MATCH(TRUE,ISNUMBER(SEARCH('Category Rules'!$A$2:$A$194,C539)),0)),"")))))))</f>
        <v>Amazon</v>
      </c>
    </row>
    <row r="540" spans="1:7" x14ac:dyDescent="0.25">
      <c r="A540" t="s">
        <v>6</v>
      </c>
      <c r="B540" s="1">
        <v>46139</v>
      </c>
      <c r="C540" t="s">
        <v>520</v>
      </c>
      <c r="D540">
        <v>-20.84</v>
      </c>
      <c r="E540" t="s">
        <v>14</v>
      </c>
      <c r="F540">
        <v>1469</v>
      </c>
      <c r="G540" t="str" cm="1">
        <f t="array" ref="G540">IF(AND(ISNUMBER(SEARCH("UBER",C540)),ISNUMBER(SEARCH("EATS",C540))),"Uber Eats",IF(LEFT(C540,6)="CHECK ","Checks Paid",IF(OR(E540="BILLPAY",ISNUMBER(SEARCH("FRANCHISE TAX",C540)),ISNUMBER(SEARCH("NEXTLINK",C540))),"Personal - House Bills",IF(AND(ISNUMBER(SEARCH("PAYMENT FROM",C540)),ISNUMBER(SEARCH("JOE SAUNDERS",C540))),"Zelle from Joe Saunders",IF(AND(ISNUMBER(SEARCH("PAYMENT TO",C540)),ISNUMBER(SEARCH("JOE SAUNDERS",C540))),"Zelle to Joe Saunders",IF(OR(ISNUMBER(SEARCH("NEW ORLEANS",C540)),ISNUMBER(SEARCH("KENNER",C540)),ISNUMBER(SEARCH("HENRY HOWARD",C540)),ISNUMBER(SEARCH("MISS CLAUDIA",C540))),"Personal Travel - New Orleans",IFERROR(INDEX('Category Rules'!$B$2:$B$194,MATCH(TRUE,ISNUMBER(SEARCH('Category Rules'!$A$2:$A$194,C540)),0)),"")))))))</f>
        <v>Amazon</v>
      </c>
    </row>
    <row r="541" spans="1:7" x14ac:dyDescent="0.25">
      <c r="A541" t="s">
        <v>6</v>
      </c>
      <c r="B541" s="1">
        <v>46139</v>
      </c>
      <c r="C541" t="s">
        <v>521</v>
      </c>
      <c r="D541">
        <v>-393.4</v>
      </c>
      <c r="E541" t="s">
        <v>14</v>
      </c>
      <c r="F541">
        <v>1489.84</v>
      </c>
      <c r="G541" t="str" cm="1">
        <f t="array" ref="G541">IF(AND(ISNUMBER(SEARCH("UBER",C541)),ISNUMBER(SEARCH("EATS",C541))),"Uber Eats",IF(LEFT(C541,6)="CHECK ","Checks Paid",IF(OR(E541="BILLPAY",ISNUMBER(SEARCH("FRANCHISE TAX",C541)),ISNUMBER(SEARCH("NEXTLINK",C541))),"Personal - House Bills",IF(AND(ISNUMBER(SEARCH("PAYMENT FROM",C541)),ISNUMBER(SEARCH("JOE SAUNDERS",C541))),"Zelle from Joe Saunders",IF(AND(ISNUMBER(SEARCH("PAYMENT TO",C541)),ISNUMBER(SEARCH("JOE SAUNDERS",C541))),"Zelle to Joe Saunders",IF(OR(ISNUMBER(SEARCH("NEW ORLEANS",C541)),ISNUMBER(SEARCH("KENNER",C541)),ISNUMBER(SEARCH("HENRY HOWARD",C541)),ISNUMBER(SEARCH("MISS CLAUDIA",C541))),"Personal Travel - New Orleans",IFERROR(INDEX('Category Rules'!$B$2:$B$194,MATCH(TRUE,ISNUMBER(SEARCH('Category Rules'!$A$2:$A$194,C541)),0)),"")))))))</f>
        <v>Personal Travel</v>
      </c>
    </row>
    <row r="542" spans="1:7" x14ac:dyDescent="0.25">
      <c r="A542" t="s">
        <v>6</v>
      </c>
      <c r="B542" s="1">
        <v>46139</v>
      </c>
      <c r="C542" t="s">
        <v>521</v>
      </c>
      <c r="D542">
        <v>-393.4</v>
      </c>
      <c r="E542" t="s">
        <v>14</v>
      </c>
      <c r="F542">
        <v>1883.24</v>
      </c>
      <c r="G542" t="str" cm="1">
        <f t="array" ref="G542">IF(AND(ISNUMBER(SEARCH("UBER",C542)),ISNUMBER(SEARCH("EATS",C542))),"Uber Eats",IF(LEFT(C542,6)="CHECK ","Checks Paid",IF(OR(E542="BILLPAY",ISNUMBER(SEARCH("FRANCHISE TAX",C542)),ISNUMBER(SEARCH("NEXTLINK",C542))),"Personal - House Bills",IF(AND(ISNUMBER(SEARCH("PAYMENT FROM",C542)),ISNUMBER(SEARCH("JOE SAUNDERS",C542))),"Zelle from Joe Saunders",IF(AND(ISNUMBER(SEARCH("PAYMENT TO",C542)),ISNUMBER(SEARCH("JOE SAUNDERS",C542))),"Zelle to Joe Saunders",IF(OR(ISNUMBER(SEARCH("NEW ORLEANS",C542)),ISNUMBER(SEARCH("KENNER",C542)),ISNUMBER(SEARCH("HENRY HOWARD",C542)),ISNUMBER(SEARCH("MISS CLAUDIA",C542))),"Personal Travel - New Orleans",IFERROR(INDEX('Category Rules'!$B$2:$B$194,MATCH(TRUE,ISNUMBER(SEARCH('Category Rules'!$A$2:$A$194,C542)),0)),"")))))))</f>
        <v>Personal Travel</v>
      </c>
    </row>
    <row r="543" spans="1:7" x14ac:dyDescent="0.25">
      <c r="A543" t="s">
        <v>6</v>
      </c>
      <c r="B543" s="1">
        <v>46139</v>
      </c>
      <c r="C543" t="s">
        <v>522</v>
      </c>
      <c r="D543">
        <v>-12.11</v>
      </c>
      <c r="E543" t="s">
        <v>14</v>
      </c>
      <c r="F543">
        <v>2276.64</v>
      </c>
      <c r="G543" t="str" cm="1">
        <f t="array" ref="G543">IF(AND(ISNUMBER(SEARCH("UBER",C543)),ISNUMBER(SEARCH("EATS",C543))),"Uber Eats",IF(LEFT(C543,6)="CHECK ","Checks Paid",IF(OR(E543="BILLPAY",ISNUMBER(SEARCH("FRANCHISE TAX",C543)),ISNUMBER(SEARCH("NEXTLINK",C543))),"Personal - House Bills",IF(AND(ISNUMBER(SEARCH("PAYMENT FROM",C543)),ISNUMBER(SEARCH("JOE SAUNDERS",C543))),"Zelle from Joe Saunders",IF(AND(ISNUMBER(SEARCH("PAYMENT TO",C543)),ISNUMBER(SEARCH("JOE SAUNDERS",C543))),"Zelle to Joe Saunders",IF(OR(ISNUMBER(SEARCH("NEW ORLEANS",C543)),ISNUMBER(SEARCH("KENNER",C543)),ISNUMBER(SEARCH("HENRY HOWARD",C543)),ISNUMBER(SEARCH("MISS CLAUDIA",C543))),"Personal Travel - New Orleans",IFERROR(INDEX('Category Rules'!$B$2:$B$194,MATCH(TRUE,ISNUMBER(SEARCH('Category Rules'!$A$2:$A$194,C543)),0)),"")))))))</f>
        <v>Amazon</v>
      </c>
    </row>
    <row r="544" spans="1:7" x14ac:dyDescent="0.25">
      <c r="A544" t="s">
        <v>6</v>
      </c>
      <c r="B544" s="1">
        <v>46139</v>
      </c>
      <c r="C544" t="s">
        <v>523</v>
      </c>
      <c r="D544">
        <v>-6.99</v>
      </c>
      <c r="E544" t="s">
        <v>14</v>
      </c>
      <c r="F544">
        <v>2288.75</v>
      </c>
      <c r="G544" t="str" cm="1">
        <f t="array" ref="G544">IF(AND(ISNUMBER(SEARCH("UBER",C544)),ISNUMBER(SEARCH("EATS",C544))),"Uber Eats",IF(LEFT(C544,6)="CHECK ","Checks Paid",IF(OR(E544="BILLPAY",ISNUMBER(SEARCH("FRANCHISE TAX",C544)),ISNUMBER(SEARCH("NEXTLINK",C544))),"Personal - House Bills",IF(AND(ISNUMBER(SEARCH("PAYMENT FROM",C544)),ISNUMBER(SEARCH("JOE SAUNDERS",C544))),"Zelle from Joe Saunders",IF(AND(ISNUMBER(SEARCH("PAYMENT TO",C544)),ISNUMBER(SEARCH("JOE SAUNDERS",C544))),"Zelle to Joe Saunders",IF(OR(ISNUMBER(SEARCH("NEW ORLEANS",C544)),ISNUMBER(SEARCH("KENNER",C544)),ISNUMBER(SEARCH("HENRY HOWARD",C544)),ISNUMBER(SEARCH("MISS CLAUDIA",C544))),"Personal Travel - New Orleans",IFERROR(INDEX('Category Rules'!$B$2:$B$194,MATCH(TRUE,ISNUMBER(SEARCH('Category Rules'!$A$2:$A$194,C544)),0)),"")))))))</f>
        <v>Personal - Subscription</v>
      </c>
    </row>
    <row r="545" spans="1:7" x14ac:dyDescent="0.25">
      <c r="A545" t="s">
        <v>6</v>
      </c>
      <c r="B545" s="1">
        <v>46139</v>
      </c>
      <c r="C545" t="s">
        <v>523</v>
      </c>
      <c r="D545">
        <v>-26.99</v>
      </c>
      <c r="E545" t="s">
        <v>14</v>
      </c>
      <c r="F545">
        <v>2295.7399999999998</v>
      </c>
      <c r="G545" t="str" cm="1">
        <f t="array" ref="G545">IF(AND(ISNUMBER(SEARCH("UBER",C545)),ISNUMBER(SEARCH("EATS",C545))),"Uber Eats",IF(LEFT(C545,6)="CHECK ","Checks Paid",IF(OR(E545="BILLPAY",ISNUMBER(SEARCH("FRANCHISE TAX",C545)),ISNUMBER(SEARCH("NEXTLINK",C545))),"Personal - House Bills",IF(AND(ISNUMBER(SEARCH("PAYMENT FROM",C545)),ISNUMBER(SEARCH("JOE SAUNDERS",C545))),"Zelle from Joe Saunders",IF(AND(ISNUMBER(SEARCH("PAYMENT TO",C545)),ISNUMBER(SEARCH("JOE SAUNDERS",C545))),"Zelle to Joe Saunders",IF(OR(ISNUMBER(SEARCH("NEW ORLEANS",C545)),ISNUMBER(SEARCH("KENNER",C545)),ISNUMBER(SEARCH("HENRY HOWARD",C545)),ISNUMBER(SEARCH("MISS CLAUDIA",C545))),"Personal Travel - New Orleans",IFERROR(INDEX('Category Rules'!$B$2:$B$194,MATCH(TRUE,ISNUMBER(SEARCH('Category Rules'!$A$2:$A$194,C545)),0)),"")))))))</f>
        <v>Personal - Subscription</v>
      </c>
    </row>
    <row r="546" spans="1:7" x14ac:dyDescent="0.25">
      <c r="A546" t="s">
        <v>6</v>
      </c>
      <c r="B546" s="1">
        <v>46139</v>
      </c>
      <c r="C546" t="s">
        <v>523</v>
      </c>
      <c r="D546">
        <v>-23.99</v>
      </c>
      <c r="E546" t="s">
        <v>14</v>
      </c>
      <c r="F546">
        <v>2322.73</v>
      </c>
      <c r="G546" t="str" cm="1">
        <f t="array" ref="G546">IF(AND(ISNUMBER(SEARCH("UBER",C546)),ISNUMBER(SEARCH("EATS",C546))),"Uber Eats",IF(LEFT(C546,6)="CHECK ","Checks Paid",IF(OR(E546="BILLPAY",ISNUMBER(SEARCH("FRANCHISE TAX",C546)),ISNUMBER(SEARCH("NEXTLINK",C546))),"Personal - House Bills",IF(AND(ISNUMBER(SEARCH("PAYMENT FROM",C546)),ISNUMBER(SEARCH("JOE SAUNDERS",C546))),"Zelle from Joe Saunders",IF(AND(ISNUMBER(SEARCH("PAYMENT TO",C546)),ISNUMBER(SEARCH("JOE SAUNDERS",C546))),"Zelle to Joe Saunders",IF(OR(ISNUMBER(SEARCH("NEW ORLEANS",C546)),ISNUMBER(SEARCH("KENNER",C546)),ISNUMBER(SEARCH("HENRY HOWARD",C546)),ISNUMBER(SEARCH("MISS CLAUDIA",C546))),"Personal Travel - New Orleans",IFERROR(INDEX('Category Rules'!$B$2:$B$194,MATCH(TRUE,ISNUMBER(SEARCH('Category Rules'!$A$2:$A$194,C546)),0)),"")))))))</f>
        <v>Personal - Subscription</v>
      </c>
    </row>
    <row r="547" spans="1:7" x14ac:dyDescent="0.25">
      <c r="A547" t="s">
        <v>6</v>
      </c>
      <c r="B547" s="1">
        <v>46139</v>
      </c>
      <c r="C547" t="s">
        <v>524</v>
      </c>
      <c r="D547">
        <v>-360.1</v>
      </c>
      <c r="E547" t="s">
        <v>14</v>
      </c>
      <c r="F547">
        <v>2346.7199999999998</v>
      </c>
      <c r="G547" t="str" cm="1">
        <f t="array" ref="G547">IF(AND(ISNUMBER(SEARCH("UBER",C547)),ISNUMBER(SEARCH("EATS",C547))),"Uber Eats",IF(LEFT(C547,6)="CHECK ","Checks Paid",IF(OR(E547="BILLPAY",ISNUMBER(SEARCH("FRANCHISE TAX",C547)),ISNUMBER(SEARCH("NEXTLINK",C547))),"Personal - House Bills",IF(AND(ISNUMBER(SEARCH("PAYMENT FROM",C547)),ISNUMBER(SEARCH("JOE SAUNDERS",C547))),"Zelle from Joe Saunders",IF(AND(ISNUMBER(SEARCH("PAYMENT TO",C547)),ISNUMBER(SEARCH("JOE SAUNDERS",C547))),"Zelle to Joe Saunders",IF(OR(ISNUMBER(SEARCH("NEW ORLEANS",C547)),ISNUMBER(SEARCH("KENNER",C547)),ISNUMBER(SEARCH("HENRY HOWARD",C547)),ISNUMBER(SEARCH("MISS CLAUDIA",C547))),"Personal Travel - New Orleans",IFERROR(INDEX('Category Rules'!$B$2:$B$194,MATCH(TRUE,ISNUMBER(SEARCH('Category Rules'!$A$2:$A$194,C547)),0)),"")))))))</f>
        <v>Personal - Food</v>
      </c>
    </row>
    <row r="548" spans="1:7" x14ac:dyDescent="0.25">
      <c r="A548" t="s">
        <v>6</v>
      </c>
      <c r="B548" s="1">
        <v>46139</v>
      </c>
      <c r="C548" t="s">
        <v>525</v>
      </c>
      <c r="D548">
        <v>-92.75</v>
      </c>
      <c r="E548" t="s">
        <v>14</v>
      </c>
      <c r="F548">
        <v>2706.82</v>
      </c>
      <c r="G548" t="str" cm="1">
        <f t="array" ref="G548">IF(AND(ISNUMBER(SEARCH("UBER",C548)),ISNUMBER(SEARCH("EATS",C548))),"Uber Eats",IF(LEFT(C548,6)="CHECK ","Checks Paid",IF(OR(E548="BILLPAY",ISNUMBER(SEARCH("FRANCHISE TAX",C548)),ISNUMBER(SEARCH("NEXTLINK",C548))),"Personal - House Bills",IF(AND(ISNUMBER(SEARCH("PAYMENT FROM",C548)),ISNUMBER(SEARCH("JOE SAUNDERS",C548))),"Zelle from Joe Saunders",IF(AND(ISNUMBER(SEARCH("PAYMENT TO",C548)),ISNUMBER(SEARCH("JOE SAUNDERS",C548))),"Zelle to Joe Saunders",IF(OR(ISNUMBER(SEARCH("NEW ORLEANS",C548)),ISNUMBER(SEARCH("KENNER",C548)),ISNUMBER(SEARCH("HENRY HOWARD",C548)),ISNUMBER(SEARCH("MISS CLAUDIA",C548))),"Personal Travel - New Orleans",IFERROR(INDEX('Category Rules'!$B$2:$B$194,MATCH(TRUE,ISNUMBER(SEARCH('Category Rules'!$A$2:$A$194,C548)),0)),"")))))))</f>
        <v>Amazon</v>
      </c>
    </row>
    <row r="549" spans="1:7" x14ac:dyDescent="0.25">
      <c r="A549" t="s">
        <v>6</v>
      </c>
      <c r="B549" s="1">
        <v>46139</v>
      </c>
      <c r="C549" t="s">
        <v>526</v>
      </c>
      <c r="D549">
        <v>-23.96</v>
      </c>
      <c r="E549" t="s">
        <v>14</v>
      </c>
      <c r="F549">
        <v>2799.57</v>
      </c>
      <c r="G549" t="str" cm="1">
        <f t="array" ref="G549">IF(AND(ISNUMBER(SEARCH("UBER",C549)),ISNUMBER(SEARCH("EATS",C549))),"Uber Eats",IF(LEFT(C549,6)="CHECK ","Checks Paid",IF(OR(E549="BILLPAY",ISNUMBER(SEARCH("FRANCHISE TAX",C549)),ISNUMBER(SEARCH("NEXTLINK",C549))),"Personal - House Bills",IF(AND(ISNUMBER(SEARCH("PAYMENT FROM",C549)),ISNUMBER(SEARCH("JOE SAUNDERS",C549))),"Zelle from Joe Saunders",IF(AND(ISNUMBER(SEARCH("PAYMENT TO",C549)),ISNUMBER(SEARCH("JOE SAUNDERS",C549))),"Zelle to Joe Saunders",IF(OR(ISNUMBER(SEARCH("NEW ORLEANS",C549)),ISNUMBER(SEARCH("KENNER",C549)),ISNUMBER(SEARCH("HENRY HOWARD",C549)),ISNUMBER(SEARCH("MISS CLAUDIA",C549))),"Personal Travel - New Orleans",IFERROR(INDEX('Category Rules'!$B$2:$B$194,MATCH(TRUE,ISNUMBER(SEARCH('Category Rules'!$A$2:$A$194,C549)),0)),"")))))))</f>
        <v>Amazon</v>
      </c>
    </row>
    <row r="550" spans="1:7" x14ac:dyDescent="0.25">
      <c r="A550" t="s">
        <v>6</v>
      </c>
      <c r="B550" s="1">
        <v>46139</v>
      </c>
      <c r="C550" t="s">
        <v>527</v>
      </c>
      <c r="D550">
        <v>-15</v>
      </c>
      <c r="E550" t="s">
        <v>14</v>
      </c>
      <c r="F550">
        <v>2823.53</v>
      </c>
      <c r="G550" t="str" cm="1">
        <f t="array" ref="G550">IF(AND(ISNUMBER(SEARCH("UBER",C550)),ISNUMBER(SEARCH("EATS",C550))),"Uber Eats",IF(LEFT(C550,6)="CHECK ","Checks Paid",IF(OR(E550="BILLPAY",ISNUMBER(SEARCH("FRANCHISE TAX",C550)),ISNUMBER(SEARCH("NEXTLINK",C550))),"Personal - House Bills",IF(AND(ISNUMBER(SEARCH("PAYMENT FROM",C550)),ISNUMBER(SEARCH("JOE SAUNDERS",C550))),"Zelle from Joe Saunders",IF(AND(ISNUMBER(SEARCH("PAYMENT TO",C550)),ISNUMBER(SEARCH("JOE SAUNDERS",C550))),"Zelle to Joe Saunders",IF(OR(ISNUMBER(SEARCH("NEW ORLEANS",C550)),ISNUMBER(SEARCH("KENNER",C550)),ISNUMBER(SEARCH("HENRY HOWARD",C550)),ISNUMBER(SEARCH("MISS CLAUDIA",C550))),"Personal Travel - New Orleans",IFERROR(INDEX('Category Rules'!$B$2:$B$194,MATCH(TRUE,ISNUMBER(SEARCH('Category Rules'!$A$2:$A$194,C550)),0)),"")))))))</f>
        <v>Personal - Subscription</v>
      </c>
    </row>
    <row r="551" spans="1:7" x14ac:dyDescent="0.25">
      <c r="A551" t="s">
        <v>6</v>
      </c>
      <c r="B551" s="1">
        <v>46139</v>
      </c>
      <c r="C551" t="s">
        <v>528</v>
      </c>
      <c r="D551">
        <v>-16.45</v>
      </c>
      <c r="E551" t="s">
        <v>14</v>
      </c>
      <c r="F551">
        <v>2838.53</v>
      </c>
      <c r="G551" t="str" cm="1">
        <f t="array" ref="G551">IF(AND(ISNUMBER(SEARCH("UBER",C551)),ISNUMBER(SEARCH("EATS",C551))),"Uber Eats",IF(LEFT(C551,6)="CHECK ","Checks Paid",IF(OR(E551="BILLPAY",ISNUMBER(SEARCH("FRANCHISE TAX",C551)),ISNUMBER(SEARCH("NEXTLINK",C551))),"Personal - House Bills",IF(AND(ISNUMBER(SEARCH("PAYMENT FROM",C551)),ISNUMBER(SEARCH("JOE SAUNDERS",C551))),"Zelle from Joe Saunders",IF(AND(ISNUMBER(SEARCH("PAYMENT TO",C551)),ISNUMBER(SEARCH("JOE SAUNDERS",C551))),"Zelle to Joe Saunders",IF(OR(ISNUMBER(SEARCH("NEW ORLEANS",C551)),ISNUMBER(SEARCH("KENNER",C551)),ISNUMBER(SEARCH("HENRY HOWARD",C551)),ISNUMBER(SEARCH("MISS CLAUDIA",C551))),"Personal Travel - New Orleans",IFERROR(INDEX('Category Rules'!$B$2:$B$194,MATCH(TRUE,ISNUMBER(SEARCH('Category Rules'!$A$2:$A$194,C551)),0)),"")))))))</f>
        <v>Amazon</v>
      </c>
    </row>
    <row r="552" spans="1:7" x14ac:dyDescent="0.25">
      <c r="A552" t="s">
        <v>6</v>
      </c>
      <c r="B552" s="1">
        <v>46139</v>
      </c>
      <c r="C552" t="s">
        <v>529</v>
      </c>
      <c r="D552">
        <v>-53.78</v>
      </c>
      <c r="E552" t="s">
        <v>14</v>
      </c>
      <c r="F552">
        <v>2854.98</v>
      </c>
      <c r="G552" t="str" cm="1">
        <f t="array" ref="G552">IF(AND(ISNUMBER(SEARCH("UBER",C552)),ISNUMBER(SEARCH("EATS",C552))),"Uber Eats",IF(LEFT(C552,6)="CHECK ","Checks Paid",IF(OR(E552="BILLPAY",ISNUMBER(SEARCH("FRANCHISE TAX",C552)),ISNUMBER(SEARCH("NEXTLINK",C552))),"Personal - House Bills",IF(AND(ISNUMBER(SEARCH("PAYMENT FROM",C552)),ISNUMBER(SEARCH("JOE SAUNDERS",C552))),"Zelle from Joe Saunders",IF(AND(ISNUMBER(SEARCH("PAYMENT TO",C552)),ISNUMBER(SEARCH("JOE SAUNDERS",C552))),"Zelle to Joe Saunders",IF(OR(ISNUMBER(SEARCH("NEW ORLEANS",C552)),ISNUMBER(SEARCH("KENNER",C552)),ISNUMBER(SEARCH("HENRY HOWARD",C552)),ISNUMBER(SEARCH("MISS CLAUDIA",C552))),"Personal Travel - New Orleans",IFERROR(INDEX('Category Rules'!$B$2:$B$194,MATCH(TRUE,ISNUMBER(SEARCH('Category Rules'!$A$2:$A$194,C552)),0)),"")))))))</f>
        <v>Amazon</v>
      </c>
    </row>
    <row r="553" spans="1:7" x14ac:dyDescent="0.25">
      <c r="A553" t="s">
        <v>6</v>
      </c>
      <c r="B553" s="1">
        <v>46139</v>
      </c>
      <c r="C553" t="s">
        <v>530</v>
      </c>
      <c r="D553">
        <v>-464.28</v>
      </c>
      <c r="E553" t="s">
        <v>14</v>
      </c>
      <c r="F553">
        <v>2908.76</v>
      </c>
      <c r="G553" t="str" cm="1">
        <f t="array" ref="G553">IF(AND(ISNUMBER(SEARCH("UBER",C553)),ISNUMBER(SEARCH("EATS",C553))),"Uber Eats",IF(LEFT(C553,6)="CHECK ","Checks Paid",IF(OR(E553="BILLPAY",ISNUMBER(SEARCH("FRANCHISE TAX",C553)),ISNUMBER(SEARCH("NEXTLINK",C553))),"Personal - House Bills",IF(AND(ISNUMBER(SEARCH("PAYMENT FROM",C553)),ISNUMBER(SEARCH("JOE SAUNDERS",C553))),"Zelle from Joe Saunders",IF(AND(ISNUMBER(SEARCH("PAYMENT TO",C553)),ISNUMBER(SEARCH("JOE SAUNDERS",C553))),"Zelle to Joe Saunders",IF(OR(ISNUMBER(SEARCH("NEW ORLEANS",C553)),ISNUMBER(SEARCH("KENNER",C553)),ISNUMBER(SEARCH("HENRY HOWARD",C553)),ISNUMBER(SEARCH("MISS CLAUDIA",C553))),"Personal Travel - New Orleans",IFERROR(INDEX('Category Rules'!$B$2:$B$194,MATCH(TRUE,ISNUMBER(SEARCH('Category Rules'!$A$2:$A$194,C553)),0)),"")))))))</f>
        <v>Personal - Clothing</v>
      </c>
    </row>
    <row r="554" spans="1:7" x14ac:dyDescent="0.25">
      <c r="A554" t="s">
        <v>6</v>
      </c>
      <c r="B554" s="1">
        <v>46139</v>
      </c>
      <c r="C554" t="s">
        <v>531</v>
      </c>
      <c r="D554">
        <v>-10</v>
      </c>
      <c r="E554" t="s">
        <v>14</v>
      </c>
      <c r="F554">
        <v>3373.04</v>
      </c>
      <c r="G554" t="str" cm="1">
        <f t="array" ref="G554">IF(AND(ISNUMBER(SEARCH("UBER",C554)),ISNUMBER(SEARCH("EATS",C554))),"Uber Eats",IF(LEFT(C554,6)="CHECK ","Checks Paid",IF(OR(E554="BILLPAY",ISNUMBER(SEARCH("FRANCHISE TAX",C554)),ISNUMBER(SEARCH("NEXTLINK",C554))),"Personal - House Bills",IF(AND(ISNUMBER(SEARCH("PAYMENT FROM",C554)),ISNUMBER(SEARCH("JOE SAUNDERS",C554))),"Zelle from Joe Saunders",IF(AND(ISNUMBER(SEARCH("PAYMENT TO",C554)),ISNUMBER(SEARCH("JOE SAUNDERS",C554))),"Zelle to Joe Saunders",IF(OR(ISNUMBER(SEARCH("NEW ORLEANS",C554)),ISNUMBER(SEARCH("KENNER",C554)),ISNUMBER(SEARCH("HENRY HOWARD",C554)),ISNUMBER(SEARCH("MISS CLAUDIA",C554))),"Personal Travel - New Orleans",IFERROR(INDEX('Category Rules'!$B$2:$B$194,MATCH(TRUE,ISNUMBER(SEARCH('Category Rules'!$A$2:$A$194,C554)),0)),"")))))))</f>
        <v>Amazon</v>
      </c>
    </row>
    <row r="555" spans="1:7" x14ac:dyDescent="0.25">
      <c r="A555" t="s">
        <v>6</v>
      </c>
      <c r="B555" s="1">
        <v>46139</v>
      </c>
      <c r="C555" t="s">
        <v>532</v>
      </c>
      <c r="D555">
        <v>-908.82</v>
      </c>
      <c r="E555" t="s">
        <v>14</v>
      </c>
      <c r="F555">
        <v>3383.04</v>
      </c>
      <c r="G555" t="str" cm="1">
        <f t="array" ref="G555">IF(AND(ISNUMBER(SEARCH("UBER",C555)),ISNUMBER(SEARCH("EATS",C555))),"Uber Eats",IF(LEFT(C555,6)="CHECK ","Checks Paid",IF(OR(E555="BILLPAY",ISNUMBER(SEARCH("FRANCHISE TAX",C555)),ISNUMBER(SEARCH("NEXTLINK",C555))),"Personal - House Bills",IF(AND(ISNUMBER(SEARCH("PAYMENT FROM",C555)),ISNUMBER(SEARCH("JOE SAUNDERS",C555))),"Zelle from Joe Saunders",IF(AND(ISNUMBER(SEARCH("PAYMENT TO",C555)),ISNUMBER(SEARCH("JOE SAUNDERS",C555))),"Zelle to Joe Saunders",IF(OR(ISNUMBER(SEARCH("NEW ORLEANS",C555)),ISNUMBER(SEARCH("KENNER",C555)),ISNUMBER(SEARCH("HENRY HOWARD",C555)),ISNUMBER(SEARCH("MISS CLAUDIA",C555))),"Personal Travel - New Orleans",IFERROR(INDEX('Category Rules'!$B$2:$B$194,MATCH(TRUE,ISNUMBER(SEARCH('Category Rules'!$A$2:$A$194,C555)),0)),"")))))))</f>
        <v>AT&amp;T</v>
      </c>
    </row>
    <row r="556" spans="1:7" x14ac:dyDescent="0.25">
      <c r="A556" t="s">
        <v>6</v>
      </c>
      <c r="B556" s="1">
        <v>46139</v>
      </c>
      <c r="C556" t="s">
        <v>533</v>
      </c>
      <c r="D556">
        <v>-44.98</v>
      </c>
      <c r="E556" t="s">
        <v>14</v>
      </c>
      <c r="F556">
        <v>4291.8599999999997</v>
      </c>
      <c r="G556" t="str" cm="1">
        <f t="array" ref="G556">IF(AND(ISNUMBER(SEARCH("UBER",C556)),ISNUMBER(SEARCH("EATS",C556))),"Uber Eats",IF(LEFT(C556,6)="CHECK ","Checks Paid",IF(OR(E556="BILLPAY",ISNUMBER(SEARCH("FRANCHISE TAX",C556)),ISNUMBER(SEARCH("NEXTLINK",C556))),"Personal - House Bills",IF(AND(ISNUMBER(SEARCH("PAYMENT FROM",C556)),ISNUMBER(SEARCH("JOE SAUNDERS",C556))),"Zelle from Joe Saunders",IF(AND(ISNUMBER(SEARCH("PAYMENT TO",C556)),ISNUMBER(SEARCH("JOE SAUNDERS",C556))),"Zelle to Joe Saunders",IF(OR(ISNUMBER(SEARCH("NEW ORLEANS",C556)),ISNUMBER(SEARCH("KENNER",C556)),ISNUMBER(SEARCH("HENRY HOWARD",C556)),ISNUMBER(SEARCH("MISS CLAUDIA",C556))),"Personal Travel - New Orleans",IFERROR(INDEX('Category Rules'!$B$2:$B$194,MATCH(TRUE,ISNUMBER(SEARCH('Category Rules'!$A$2:$A$194,C556)),0)),"")))))))</f>
        <v>Amazon</v>
      </c>
    </row>
    <row r="557" spans="1:7" x14ac:dyDescent="0.25">
      <c r="A557" t="s">
        <v>37</v>
      </c>
      <c r="B557" s="1">
        <v>46139</v>
      </c>
      <c r="C557" t="s">
        <v>534</v>
      </c>
      <c r="D557">
        <v>100</v>
      </c>
      <c r="E557" t="s">
        <v>106</v>
      </c>
      <c r="F557">
        <v>4336.84</v>
      </c>
      <c r="G557" t="str" cm="1">
        <f t="array" ref="G557">IF(AND(ISNUMBER(SEARCH("UBER",C557)),ISNUMBER(SEARCH("EATS",C557))),"Uber Eats",IF(LEFT(C557,6)="CHECK ","Checks Paid",IF(OR(E557="BILLPAY",ISNUMBER(SEARCH("FRANCHISE TAX",C557)),ISNUMBER(SEARCH("NEXTLINK",C557))),"Personal - House Bills",IF(AND(ISNUMBER(SEARCH("PAYMENT FROM",C557)),ISNUMBER(SEARCH("JOE SAUNDERS",C557))),"Zelle from Joe Saunders",IF(AND(ISNUMBER(SEARCH("PAYMENT TO",C557)),ISNUMBER(SEARCH("JOE SAUNDERS",C557))),"Zelle to Joe Saunders",IF(OR(ISNUMBER(SEARCH("NEW ORLEANS",C557)),ISNUMBER(SEARCH("KENNER",C557)),ISNUMBER(SEARCH("HENRY HOWARD",C557)),ISNUMBER(SEARCH("MISS CLAUDIA",C557))),"Personal Travel - New Orleans",IFERROR(INDEX('Category Rules'!$B$2:$B$194,MATCH(TRUE,ISNUMBER(SEARCH('Category Rules'!$A$2:$A$194,C557)),0)),"")))))))</f>
        <v>Zelle from Tanya Miller</v>
      </c>
    </row>
    <row r="558" spans="1:7" x14ac:dyDescent="0.25">
      <c r="A558" t="s">
        <v>6</v>
      </c>
      <c r="B558" s="1">
        <v>46136</v>
      </c>
      <c r="C558" t="s">
        <v>535</v>
      </c>
      <c r="D558">
        <v>-105.56</v>
      </c>
      <c r="E558" t="s">
        <v>14</v>
      </c>
      <c r="F558">
        <v>4236.84</v>
      </c>
      <c r="G558" t="str" cm="1">
        <f t="array" ref="G558">IF(AND(ISNUMBER(SEARCH("UBER",C558)),ISNUMBER(SEARCH("EATS",C558))),"Uber Eats",IF(LEFT(C558,6)="CHECK ","Checks Paid",IF(OR(E558="BILLPAY",ISNUMBER(SEARCH("FRANCHISE TAX",C558)),ISNUMBER(SEARCH("NEXTLINK",C558))),"Personal - House Bills",IF(AND(ISNUMBER(SEARCH("PAYMENT FROM",C558)),ISNUMBER(SEARCH("JOE SAUNDERS",C558))),"Zelle from Joe Saunders",IF(AND(ISNUMBER(SEARCH("PAYMENT TO",C558)),ISNUMBER(SEARCH("JOE SAUNDERS",C558))),"Zelle to Joe Saunders",IF(OR(ISNUMBER(SEARCH("NEW ORLEANS",C558)),ISNUMBER(SEARCH("KENNER",C558)),ISNUMBER(SEARCH("HENRY HOWARD",C558)),ISNUMBER(SEARCH("MISS CLAUDIA",C558))),"Personal Travel - New Orleans",IFERROR(INDEX('Category Rules'!$B$2:$B$194,MATCH(TRUE,ISNUMBER(SEARCH('Category Rules'!$A$2:$A$194,C558)),0)),"")))))))</f>
        <v>Amazon</v>
      </c>
    </row>
    <row r="559" spans="1:7" x14ac:dyDescent="0.25">
      <c r="A559" t="s">
        <v>6</v>
      </c>
      <c r="B559" s="1">
        <v>46136</v>
      </c>
      <c r="C559" t="s">
        <v>536</v>
      </c>
      <c r="D559">
        <v>-686.71</v>
      </c>
      <c r="E559" t="s">
        <v>14</v>
      </c>
      <c r="F559">
        <v>4342.3999999999996</v>
      </c>
      <c r="G559" t="str" cm="1">
        <f t="array" ref="G559">IF(AND(ISNUMBER(SEARCH("UBER",C559)),ISNUMBER(SEARCH("EATS",C559))),"Uber Eats",IF(LEFT(C559,6)="CHECK ","Checks Paid",IF(OR(E559="BILLPAY",ISNUMBER(SEARCH("FRANCHISE TAX",C559)),ISNUMBER(SEARCH("NEXTLINK",C559))),"Personal - House Bills",IF(AND(ISNUMBER(SEARCH("PAYMENT FROM",C559)),ISNUMBER(SEARCH("JOE SAUNDERS",C559))),"Zelle from Joe Saunders",IF(AND(ISNUMBER(SEARCH("PAYMENT TO",C559)),ISNUMBER(SEARCH("JOE SAUNDERS",C559))),"Zelle to Joe Saunders",IF(OR(ISNUMBER(SEARCH("NEW ORLEANS",C559)),ISNUMBER(SEARCH("KENNER",C559)),ISNUMBER(SEARCH("HENRY HOWARD",C559)),ISNUMBER(SEARCH("MISS CLAUDIA",C559))),"Personal Travel - New Orleans",IFERROR(INDEX('Category Rules'!$B$2:$B$194,MATCH(TRUE,ISNUMBER(SEARCH('Category Rules'!$A$2:$A$194,C559)),0)),"")))))))</f>
        <v>Personal - Food</v>
      </c>
    </row>
    <row r="560" spans="1:7" x14ac:dyDescent="0.25">
      <c r="A560" t="s">
        <v>6</v>
      </c>
      <c r="B560" s="1">
        <v>46136</v>
      </c>
      <c r="C560" t="s">
        <v>537</v>
      </c>
      <c r="D560">
        <v>-24.31</v>
      </c>
      <c r="E560" t="s">
        <v>14</v>
      </c>
      <c r="F560">
        <v>5029.1099999999997</v>
      </c>
      <c r="G560" t="str" cm="1">
        <f t="array" ref="G560">IF(AND(ISNUMBER(SEARCH("UBER",C560)),ISNUMBER(SEARCH("EATS",C560))),"Uber Eats",IF(LEFT(C560,6)="CHECK ","Checks Paid",IF(OR(E560="BILLPAY",ISNUMBER(SEARCH("FRANCHISE TAX",C560)),ISNUMBER(SEARCH("NEXTLINK",C560))),"Personal - House Bills",IF(AND(ISNUMBER(SEARCH("PAYMENT FROM",C560)),ISNUMBER(SEARCH("JOE SAUNDERS",C560))),"Zelle from Joe Saunders",IF(AND(ISNUMBER(SEARCH("PAYMENT TO",C560)),ISNUMBER(SEARCH("JOE SAUNDERS",C560))),"Zelle to Joe Saunders",IF(OR(ISNUMBER(SEARCH("NEW ORLEANS",C560)),ISNUMBER(SEARCH("KENNER",C560)),ISNUMBER(SEARCH("HENRY HOWARD",C560)),ISNUMBER(SEARCH("MISS CLAUDIA",C560))),"Personal Travel - New Orleans",IFERROR(INDEX('Category Rules'!$B$2:$B$194,MATCH(TRUE,ISNUMBER(SEARCH('Category Rules'!$A$2:$A$194,C560)),0)),"")))))))</f>
        <v>Amazon</v>
      </c>
    </row>
    <row r="561" spans="1:7" x14ac:dyDescent="0.25">
      <c r="A561" t="s">
        <v>6</v>
      </c>
      <c r="B561" s="1">
        <v>46136</v>
      </c>
      <c r="C561" t="s">
        <v>538</v>
      </c>
      <c r="D561">
        <v>-10.99</v>
      </c>
      <c r="E561" t="s">
        <v>14</v>
      </c>
      <c r="F561">
        <v>5053.42</v>
      </c>
      <c r="G561" t="str" cm="1">
        <f t="array" ref="G561">IF(AND(ISNUMBER(SEARCH("UBER",C561)),ISNUMBER(SEARCH("EATS",C561))),"Uber Eats",IF(LEFT(C561,6)="CHECK ","Checks Paid",IF(OR(E561="BILLPAY",ISNUMBER(SEARCH("FRANCHISE TAX",C561)),ISNUMBER(SEARCH("NEXTLINK",C561))),"Personal - House Bills",IF(AND(ISNUMBER(SEARCH("PAYMENT FROM",C561)),ISNUMBER(SEARCH("JOE SAUNDERS",C561))),"Zelle from Joe Saunders",IF(AND(ISNUMBER(SEARCH("PAYMENT TO",C561)),ISNUMBER(SEARCH("JOE SAUNDERS",C561))),"Zelle to Joe Saunders",IF(OR(ISNUMBER(SEARCH("NEW ORLEANS",C561)),ISNUMBER(SEARCH("KENNER",C561)),ISNUMBER(SEARCH("HENRY HOWARD",C561)),ISNUMBER(SEARCH("MISS CLAUDIA",C561))),"Personal Travel - New Orleans",IFERROR(INDEX('Category Rules'!$B$2:$B$194,MATCH(TRUE,ISNUMBER(SEARCH('Category Rules'!$A$2:$A$194,C561)),0)),"")))))))</f>
        <v>Apple</v>
      </c>
    </row>
    <row r="562" spans="1:7" x14ac:dyDescent="0.25">
      <c r="A562" t="s">
        <v>6</v>
      </c>
      <c r="B562" s="1">
        <v>46136</v>
      </c>
      <c r="C562" t="s">
        <v>539</v>
      </c>
      <c r="D562">
        <v>-399</v>
      </c>
      <c r="E562" t="s">
        <v>14</v>
      </c>
      <c r="F562">
        <v>5064.41</v>
      </c>
      <c r="G562" t="str" cm="1">
        <f t="array" ref="G562">IF(AND(ISNUMBER(SEARCH("UBER",C562)),ISNUMBER(SEARCH("EATS",C562))),"Uber Eats",IF(LEFT(C562,6)="CHECK ","Checks Paid",IF(OR(E562="BILLPAY",ISNUMBER(SEARCH("FRANCHISE TAX",C562)),ISNUMBER(SEARCH("NEXTLINK",C562))),"Personal - House Bills",IF(AND(ISNUMBER(SEARCH("PAYMENT FROM",C562)),ISNUMBER(SEARCH("JOE SAUNDERS",C562))),"Zelle from Joe Saunders",IF(AND(ISNUMBER(SEARCH("PAYMENT TO",C562)),ISNUMBER(SEARCH("JOE SAUNDERS",C562))),"Zelle to Joe Saunders",IF(OR(ISNUMBER(SEARCH("NEW ORLEANS",C562)),ISNUMBER(SEARCH("KENNER",C562)),ISNUMBER(SEARCH("HENRY HOWARD",C562)),ISNUMBER(SEARCH("MISS CLAUDIA",C562))),"Personal Travel - New Orleans",IFERROR(INDEX('Category Rules'!$B$2:$B$194,MATCH(TRUE,ISNUMBER(SEARCH('Category Rules'!$A$2:$A$194,C562)),0)),"")))))))</f>
        <v>Personal - Health</v>
      </c>
    </row>
    <row r="563" spans="1:7" x14ac:dyDescent="0.25">
      <c r="A563" t="s">
        <v>6</v>
      </c>
      <c r="B563" s="1">
        <v>46136</v>
      </c>
      <c r="C563" t="s">
        <v>540</v>
      </c>
      <c r="D563">
        <v>-250.23</v>
      </c>
      <c r="E563" t="s">
        <v>14</v>
      </c>
      <c r="F563">
        <v>5463.41</v>
      </c>
      <c r="G563" t="str" cm="1">
        <f t="array" ref="G563">IF(AND(ISNUMBER(SEARCH("UBER",C563)),ISNUMBER(SEARCH("EATS",C563))),"Uber Eats",IF(LEFT(C563,6)="CHECK ","Checks Paid",IF(OR(E563="BILLPAY",ISNUMBER(SEARCH("FRANCHISE TAX",C563)),ISNUMBER(SEARCH("NEXTLINK",C563))),"Personal - House Bills",IF(AND(ISNUMBER(SEARCH("PAYMENT FROM",C563)),ISNUMBER(SEARCH("JOE SAUNDERS",C563))),"Zelle from Joe Saunders",IF(AND(ISNUMBER(SEARCH("PAYMENT TO",C563)),ISNUMBER(SEARCH("JOE SAUNDERS",C563))),"Zelle to Joe Saunders",IF(OR(ISNUMBER(SEARCH("NEW ORLEANS",C563)),ISNUMBER(SEARCH("KENNER",C563)),ISNUMBER(SEARCH("HENRY HOWARD",C563)),ISNUMBER(SEARCH("MISS CLAUDIA",C563))),"Personal Travel - New Orleans",IFERROR(INDEX('Category Rules'!$B$2:$B$194,MATCH(TRUE,ISNUMBER(SEARCH('Category Rules'!$A$2:$A$194,C563)),0)),"")))))))</f>
        <v>Personal - Clothing</v>
      </c>
    </row>
    <row r="564" spans="1:7" x14ac:dyDescent="0.25">
      <c r="A564" t="s">
        <v>6</v>
      </c>
      <c r="B564" s="1">
        <v>46136</v>
      </c>
      <c r="C564" t="s">
        <v>541</v>
      </c>
      <c r="D564">
        <v>-184.38</v>
      </c>
      <c r="E564" t="s">
        <v>14</v>
      </c>
      <c r="F564">
        <v>5713.64</v>
      </c>
      <c r="G564" t="str" cm="1">
        <f t="array" ref="G564">IF(AND(ISNUMBER(SEARCH("UBER",C564)),ISNUMBER(SEARCH("EATS",C564))),"Uber Eats",IF(LEFT(C564,6)="CHECK ","Checks Paid",IF(OR(E564="BILLPAY",ISNUMBER(SEARCH("FRANCHISE TAX",C564)),ISNUMBER(SEARCH("NEXTLINK",C564))),"Personal - House Bills",IF(AND(ISNUMBER(SEARCH("PAYMENT FROM",C564)),ISNUMBER(SEARCH("JOE SAUNDERS",C564))),"Zelle from Joe Saunders",IF(AND(ISNUMBER(SEARCH("PAYMENT TO",C564)),ISNUMBER(SEARCH("JOE SAUNDERS",C564))),"Zelle to Joe Saunders",IF(OR(ISNUMBER(SEARCH("NEW ORLEANS",C564)),ISNUMBER(SEARCH("KENNER",C564)),ISNUMBER(SEARCH("HENRY HOWARD",C564)),ISNUMBER(SEARCH("MISS CLAUDIA",C564))),"Personal Travel - New Orleans",IFERROR(INDEX('Category Rules'!$B$2:$B$194,MATCH(TRUE,ISNUMBER(SEARCH('Category Rules'!$A$2:$A$194,C564)),0)),"")))))))</f>
        <v>Amazon</v>
      </c>
    </row>
    <row r="565" spans="1:7" x14ac:dyDescent="0.25">
      <c r="A565" t="s">
        <v>6</v>
      </c>
      <c r="B565" s="1">
        <v>46135</v>
      </c>
      <c r="C565" t="s">
        <v>542</v>
      </c>
      <c r="D565">
        <v>-25.23</v>
      </c>
      <c r="E565" t="s">
        <v>14</v>
      </c>
      <c r="F565">
        <v>5898.02</v>
      </c>
      <c r="G565" t="str" cm="1">
        <f t="array" ref="G565">IF(AND(ISNUMBER(SEARCH("UBER",C565)),ISNUMBER(SEARCH("EATS",C565))),"Uber Eats",IF(LEFT(C565,6)="CHECK ","Checks Paid",IF(OR(E565="BILLPAY",ISNUMBER(SEARCH("FRANCHISE TAX",C565)),ISNUMBER(SEARCH("NEXTLINK",C565))),"Personal - House Bills",IF(AND(ISNUMBER(SEARCH("PAYMENT FROM",C565)),ISNUMBER(SEARCH("JOE SAUNDERS",C565))),"Zelle from Joe Saunders",IF(AND(ISNUMBER(SEARCH("PAYMENT TO",C565)),ISNUMBER(SEARCH("JOE SAUNDERS",C565))),"Zelle to Joe Saunders",IF(OR(ISNUMBER(SEARCH("NEW ORLEANS",C565)),ISNUMBER(SEARCH("KENNER",C565)),ISNUMBER(SEARCH("HENRY HOWARD",C565)),ISNUMBER(SEARCH("MISS CLAUDIA",C565))),"Personal Travel - New Orleans",IFERROR(INDEX('Category Rules'!$B$2:$B$194,MATCH(TRUE,ISNUMBER(SEARCH('Category Rules'!$A$2:$A$194,C565)),0)),"")))))))</f>
        <v>Amazon</v>
      </c>
    </row>
    <row r="566" spans="1:7" x14ac:dyDescent="0.25">
      <c r="A566" t="s">
        <v>6</v>
      </c>
      <c r="B566" s="1">
        <v>46135</v>
      </c>
      <c r="C566" t="s">
        <v>540</v>
      </c>
      <c r="D566">
        <v>-430.22</v>
      </c>
      <c r="E566" t="s">
        <v>14</v>
      </c>
      <c r="F566">
        <v>5923.25</v>
      </c>
      <c r="G566" t="str" cm="1">
        <f t="array" ref="G566">IF(AND(ISNUMBER(SEARCH("UBER",C566)),ISNUMBER(SEARCH("EATS",C566))),"Uber Eats",IF(LEFT(C566,6)="CHECK ","Checks Paid",IF(OR(E566="BILLPAY",ISNUMBER(SEARCH("FRANCHISE TAX",C566)),ISNUMBER(SEARCH("NEXTLINK",C566))),"Personal - House Bills",IF(AND(ISNUMBER(SEARCH("PAYMENT FROM",C566)),ISNUMBER(SEARCH("JOE SAUNDERS",C566))),"Zelle from Joe Saunders",IF(AND(ISNUMBER(SEARCH("PAYMENT TO",C566)),ISNUMBER(SEARCH("JOE SAUNDERS",C566))),"Zelle to Joe Saunders",IF(OR(ISNUMBER(SEARCH("NEW ORLEANS",C566)),ISNUMBER(SEARCH("KENNER",C566)),ISNUMBER(SEARCH("HENRY HOWARD",C566)),ISNUMBER(SEARCH("MISS CLAUDIA",C566))),"Personal Travel - New Orleans",IFERROR(INDEX('Category Rules'!$B$2:$B$194,MATCH(TRUE,ISNUMBER(SEARCH('Category Rules'!$A$2:$A$194,C566)),0)),"")))))))</f>
        <v>Personal - Clothing</v>
      </c>
    </row>
    <row r="567" spans="1:7" x14ac:dyDescent="0.25">
      <c r="A567" t="s">
        <v>6</v>
      </c>
      <c r="B567" s="1">
        <v>46135</v>
      </c>
      <c r="C567" t="s">
        <v>543</v>
      </c>
      <c r="D567">
        <v>-200.92</v>
      </c>
      <c r="E567" t="s">
        <v>14</v>
      </c>
      <c r="F567">
        <v>6353.47</v>
      </c>
      <c r="G567" t="str" cm="1">
        <f t="array" ref="G567">IF(AND(ISNUMBER(SEARCH("UBER",C567)),ISNUMBER(SEARCH("EATS",C567))),"Uber Eats",IF(LEFT(C567,6)="CHECK ","Checks Paid",IF(OR(E567="BILLPAY",ISNUMBER(SEARCH("FRANCHISE TAX",C567)),ISNUMBER(SEARCH("NEXTLINK",C567))),"Personal - House Bills",IF(AND(ISNUMBER(SEARCH("PAYMENT FROM",C567)),ISNUMBER(SEARCH("JOE SAUNDERS",C567))),"Zelle from Joe Saunders",IF(AND(ISNUMBER(SEARCH("PAYMENT TO",C567)),ISNUMBER(SEARCH("JOE SAUNDERS",C567))),"Zelle to Joe Saunders",IF(OR(ISNUMBER(SEARCH("NEW ORLEANS",C567)),ISNUMBER(SEARCH("KENNER",C567)),ISNUMBER(SEARCH("HENRY HOWARD",C567)),ISNUMBER(SEARCH("MISS CLAUDIA",C567))),"Personal Travel - New Orleans",IFERROR(INDEX('Category Rules'!$B$2:$B$194,MATCH(TRUE,ISNUMBER(SEARCH('Category Rules'!$A$2:$A$194,C567)),0)),"")))))))</f>
        <v>Amazon</v>
      </c>
    </row>
    <row r="568" spans="1:7" x14ac:dyDescent="0.25">
      <c r="A568" t="s">
        <v>6</v>
      </c>
      <c r="B568" s="1">
        <v>46135</v>
      </c>
      <c r="C568" t="s">
        <v>544</v>
      </c>
      <c r="D568">
        <v>-30</v>
      </c>
      <c r="E568" t="s">
        <v>14</v>
      </c>
      <c r="F568">
        <v>6554.39</v>
      </c>
      <c r="G568" t="str" cm="1">
        <f t="array" ref="G568">IF(AND(ISNUMBER(SEARCH("UBER",C568)),ISNUMBER(SEARCH("EATS",C568))),"Uber Eats",IF(LEFT(C568,6)="CHECK ","Checks Paid",IF(OR(E568="BILLPAY",ISNUMBER(SEARCH("FRANCHISE TAX",C568)),ISNUMBER(SEARCH("NEXTLINK",C568))),"Personal - House Bills",IF(AND(ISNUMBER(SEARCH("PAYMENT FROM",C568)),ISNUMBER(SEARCH("JOE SAUNDERS",C568))),"Zelle from Joe Saunders",IF(AND(ISNUMBER(SEARCH("PAYMENT TO",C568)),ISNUMBER(SEARCH("JOE SAUNDERS",C568))),"Zelle to Joe Saunders",IF(OR(ISNUMBER(SEARCH("NEW ORLEANS",C568)),ISNUMBER(SEARCH("KENNER",C568)),ISNUMBER(SEARCH("HENRY HOWARD",C568)),ISNUMBER(SEARCH("MISS CLAUDIA",C568))),"Personal Travel - New Orleans",IFERROR(INDEX('Category Rules'!$B$2:$B$194,MATCH(TRUE,ISNUMBER(SEARCH('Category Rules'!$A$2:$A$194,C568)),0)),"")))))))</f>
        <v>Amazon</v>
      </c>
    </row>
    <row r="569" spans="1:7" x14ac:dyDescent="0.25">
      <c r="A569" t="s">
        <v>37</v>
      </c>
      <c r="B569" s="1">
        <v>46135</v>
      </c>
      <c r="C569" t="s">
        <v>545</v>
      </c>
      <c r="D569">
        <v>5000</v>
      </c>
      <c r="E569" t="s">
        <v>39</v>
      </c>
      <c r="F569">
        <v>6584.39</v>
      </c>
      <c r="G569" t="str" cm="1">
        <f t="array" ref="G569">IF(AND(ISNUMBER(SEARCH("UBER",C569)),ISNUMBER(SEARCH("EATS",C569))),"Uber Eats",IF(LEFT(C569,6)="CHECK ","Checks Paid",IF(OR(E569="BILLPAY",ISNUMBER(SEARCH("FRANCHISE TAX",C569)),ISNUMBER(SEARCH("NEXTLINK",C569))),"Personal - House Bills",IF(AND(ISNUMBER(SEARCH("PAYMENT FROM",C569)),ISNUMBER(SEARCH("JOE SAUNDERS",C569))),"Zelle from Joe Saunders",IF(AND(ISNUMBER(SEARCH("PAYMENT TO",C569)),ISNUMBER(SEARCH("JOE SAUNDERS",C569))),"Zelle to Joe Saunders",IF(OR(ISNUMBER(SEARCH("NEW ORLEANS",C569)),ISNUMBER(SEARCH("KENNER",C569)),ISNUMBER(SEARCH("HENRY HOWARD",C569)),ISNUMBER(SEARCH("MISS CLAUDIA",C569))),"Personal Travel - New Orleans",IFERROR(INDEX('Category Rules'!$B$2:$B$194,MATCH(TRUE,ISNUMBER(SEARCH('Category Rules'!$A$2:$A$194,C569)),0)),"")))))))</f>
        <v>Transfer from DWG Capital Group</v>
      </c>
    </row>
    <row r="570" spans="1:7" x14ac:dyDescent="0.25">
      <c r="A570" t="s">
        <v>6</v>
      </c>
      <c r="B570" s="1">
        <v>46134</v>
      </c>
      <c r="C570" t="s">
        <v>546</v>
      </c>
      <c r="D570">
        <v>-165</v>
      </c>
      <c r="E570" t="s">
        <v>14</v>
      </c>
      <c r="F570">
        <v>1584.39</v>
      </c>
      <c r="G570" t="str" cm="1">
        <f t="array" ref="G570">IF(AND(ISNUMBER(SEARCH("UBER",C570)),ISNUMBER(SEARCH("EATS",C570))),"Uber Eats",IF(LEFT(C570,6)="CHECK ","Checks Paid",IF(OR(E570="BILLPAY",ISNUMBER(SEARCH("FRANCHISE TAX",C570)),ISNUMBER(SEARCH("NEXTLINK",C570))),"Personal - House Bills",IF(AND(ISNUMBER(SEARCH("PAYMENT FROM",C570)),ISNUMBER(SEARCH("JOE SAUNDERS",C570))),"Zelle from Joe Saunders",IF(AND(ISNUMBER(SEARCH("PAYMENT TO",C570)),ISNUMBER(SEARCH("JOE SAUNDERS",C570))),"Zelle to Joe Saunders",IF(OR(ISNUMBER(SEARCH("NEW ORLEANS",C570)),ISNUMBER(SEARCH("KENNER",C570)),ISNUMBER(SEARCH("HENRY HOWARD",C570)),ISNUMBER(SEARCH("MISS CLAUDIA",C570))),"Personal Travel - New Orleans",IFERROR(INDEX('Category Rules'!$B$2:$B$194,MATCH(TRUE,ISNUMBER(SEARCH('Category Rules'!$A$2:$A$194,C570)),0)),"")))))))</f>
        <v>Personal - Health</v>
      </c>
    </row>
    <row r="571" spans="1:7" x14ac:dyDescent="0.25">
      <c r="A571" t="s">
        <v>6</v>
      </c>
      <c r="B571" s="1">
        <v>46134</v>
      </c>
      <c r="C571" t="s">
        <v>547</v>
      </c>
      <c r="D571">
        <v>-36.94</v>
      </c>
      <c r="E571" t="s">
        <v>14</v>
      </c>
      <c r="F571">
        <v>1749.39</v>
      </c>
      <c r="G571" t="str" cm="1">
        <f t="array" ref="G571">IF(AND(ISNUMBER(SEARCH("UBER",C571)),ISNUMBER(SEARCH("EATS",C571))),"Uber Eats",IF(LEFT(C571,6)="CHECK ","Checks Paid",IF(OR(E571="BILLPAY",ISNUMBER(SEARCH("FRANCHISE TAX",C571)),ISNUMBER(SEARCH("NEXTLINK",C571))),"Personal - House Bills",IF(AND(ISNUMBER(SEARCH("PAYMENT FROM",C571)),ISNUMBER(SEARCH("JOE SAUNDERS",C571))),"Zelle from Joe Saunders",IF(AND(ISNUMBER(SEARCH("PAYMENT TO",C571)),ISNUMBER(SEARCH("JOE SAUNDERS",C571))),"Zelle to Joe Saunders",IF(OR(ISNUMBER(SEARCH("NEW ORLEANS",C571)),ISNUMBER(SEARCH("KENNER",C571)),ISNUMBER(SEARCH("HENRY HOWARD",C571)),ISNUMBER(SEARCH("MISS CLAUDIA",C571))),"Personal Travel - New Orleans",IFERROR(INDEX('Category Rules'!$B$2:$B$194,MATCH(TRUE,ISNUMBER(SEARCH('Category Rules'!$A$2:$A$194,C571)),0)),"")))))))</f>
        <v>Uber Eats</v>
      </c>
    </row>
    <row r="572" spans="1:7" x14ac:dyDescent="0.25">
      <c r="A572" t="s">
        <v>6</v>
      </c>
      <c r="B572" s="1">
        <v>46134</v>
      </c>
      <c r="C572" t="s">
        <v>548</v>
      </c>
      <c r="D572">
        <v>-297.98</v>
      </c>
      <c r="E572" t="s">
        <v>14</v>
      </c>
      <c r="F572">
        <v>1786.33</v>
      </c>
      <c r="G572" t="str" cm="1">
        <f t="array" ref="G572">IF(AND(ISNUMBER(SEARCH("UBER",C572)),ISNUMBER(SEARCH("EATS",C572))),"Uber Eats",IF(LEFT(C572,6)="CHECK ","Checks Paid",IF(OR(E572="BILLPAY",ISNUMBER(SEARCH("FRANCHISE TAX",C572)),ISNUMBER(SEARCH("NEXTLINK",C572))),"Personal - House Bills",IF(AND(ISNUMBER(SEARCH("PAYMENT FROM",C572)),ISNUMBER(SEARCH("JOE SAUNDERS",C572))),"Zelle from Joe Saunders",IF(AND(ISNUMBER(SEARCH("PAYMENT TO",C572)),ISNUMBER(SEARCH("JOE SAUNDERS",C572))),"Zelle to Joe Saunders",IF(OR(ISNUMBER(SEARCH("NEW ORLEANS",C572)),ISNUMBER(SEARCH("KENNER",C572)),ISNUMBER(SEARCH("HENRY HOWARD",C572)),ISNUMBER(SEARCH("MISS CLAUDIA",C572))),"Personal Travel - New Orleans",IFERROR(INDEX('Category Rules'!$B$2:$B$194,MATCH(TRUE,ISNUMBER(SEARCH('Category Rules'!$A$2:$A$194,C572)),0)),"")))))))</f>
        <v>Etsy</v>
      </c>
    </row>
    <row r="573" spans="1:7" x14ac:dyDescent="0.25">
      <c r="A573" t="s">
        <v>6</v>
      </c>
      <c r="B573" s="1">
        <v>46134</v>
      </c>
      <c r="C573" t="s">
        <v>549</v>
      </c>
      <c r="D573">
        <v>-280</v>
      </c>
      <c r="E573" t="s">
        <v>14</v>
      </c>
      <c r="F573">
        <v>2084.31</v>
      </c>
      <c r="G573" t="str" cm="1">
        <f t="array" ref="G573">IF(AND(ISNUMBER(SEARCH("UBER",C573)),ISNUMBER(SEARCH("EATS",C573))),"Uber Eats",IF(LEFT(C573,6)="CHECK ","Checks Paid",IF(OR(E573="BILLPAY",ISNUMBER(SEARCH("FRANCHISE TAX",C573)),ISNUMBER(SEARCH("NEXTLINK",C573))),"Personal - House Bills",IF(AND(ISNUMBER(SEARCH("PAYMENT FROM",C573)),ISNUMBER(SEARCH("JOE SAUNDERS",C573))),"Zelle from Joe Saunders",IF(AND(ISNUMBER(SEARCH("PAYMENT TO",C573)),ISNUMBER(SEARCH("JOE SAUNDERS",C573))),"Zelle to Joe Saunders",IF(OR(ISNUMBER(SEARCH("NEW ORLEANS",C573)),ISNUMBER(SEARCH("KENNER",C573)),ISNUMBER(SEARCH("HENRY HOWARD",C573)),ISNUMBER(SEARCH("MISS CLAUDIA",C573))),"Personal Travel - New Orleans",IFERROR(INDEX('Category Rules'!$B$2:$B$194,MATCH(TRUE,ISNUMBER(SEARCH('Category Rules'!$A$2:$A$194,C573)),0)),"")))))))</f>
        <v>Personal - Misc</v>
      </c>
    </row>
    <row r="574" spans="1:7" x14ac:dyDescent="0.25">
      <c r="A574" t="s">
        <v>6</v>
      </c>
      <c r="B574" s="1">
        <v>46134</v>
      </c>
      <c r="C574" t="s">
        <v>550</v>
      </c>
      <c r="D574">
        <v>-159</v>
      </c>
      <c r="E574" t="s">
        <v>14</v>
      </c>
      <c r="F574">
        <v>2364.31</v>
      </c>
      <c r="G574" t="str" cm="1">
        <f t="array" ref="G574">IF(AND(ISNUMBER(SEARCH("UBER",C574)),ISNUMBER(SEARCH("EATS",C574))),"Uber Eats",IF(LEFT(C574,6)="CHECK ","Checks Paid",IF(OR(E574="BILLPAY",ISNUMBER(SEARCH("FRANCHISE TAX",C574)),ISNUMBER(SEARCH("NEXTLINK",C574))),"Personal - House Bills",IF(AND(ISNUMBER(SEARCH("PAYMENT FROM",C574)),ISNUMBER(SEARCH("JOE SAUNDERS",C574))),"Zelle from Joe Saunders",IF(AND(ISNUMBER(SEARCH("PAYMENT TO",C574)),ISNUMBER(SEARCH("JOE SAUNDERS",C574))),"Zelle to Joe Saunders",IF(OR(ISNUMBER(SEARCH("NEW ORLEANS",C574)),ISNUMBER(SEARCH("KENNER",C574)),ISNUMBER(SEARCH("HENRY HOWARD",C574)),ISNUMBER(SEARCH("MISS CLAUDIA",C574))),"Personal Travel - New Orleans",IFERROR(INDEX('Category Rules'!$B$2:$B$194,MATCH(TRUE,ISNUMBER(SEARCH('Category Rules'!$A$2:$A$194,C574)),0)),"")))))))</f>
        <v>Personal - Food</v>
      </c>
    </row>
    <row r="575" spans="1:7" x14ac:dyDescent="0.25">
      <c r="A575" t="s">
        <v>6</v>
      </c>
      <c r="B575" s="1">
        <v>46133</v>
      </c>
      <c r="C575" t="s">
        <v>551</v>
      </c>
      <c r="D575">
        <v>-117.79</v>
      </c>
      <c r="E575" t="s">
        <v>261</v>
      </c>
      <c r="F575">
        <v>2523.31</v>
      </c>
      <c r="G575" t="str" cm="1">
        <f t="array" ref="G575">IF(AND(ISNUMBER(SEARCH("UBER",C575)),ISNUMBER(SEARCH("EATS",C575))),"Uber Eats",IF(LEFT(C575,6)="CHECK ","Checks Paid",IF(OR(E575="BILLPAY",ISNUMBER(SEARCH("FRANCHISE TAX",C575)),ISNUMBER(SEARCH("NEXTLINK",C575))),"Personal - House Bills",IF(AND(ISNUMBER(SEARCH("PAYMENT FROM",C575)),ISNUMBER(SEARCH("JOE SAUNDERS",C575))),"Zelle from Joe Saunders",IF(AND(ISNUMBER(SEARCH("PAYMENT TO",C575)),ISNUMBER(SEARCH("JOE SAUNDERS",C575))),"Zelle to Joe Saunders",IF(OR(ISNUMBER(SEARCH("NEW ORLEANS",C575)),ISNUMBER(SEARCH("KENNER",C575)),ISNUMBER(SEARCH("HENRY HOWARD",C575)),ISNUMBER(SEARCH("MISS CLAUDIA",C575))),"Personal Travel - New Orleans",IFERROR(INDEX('Category Rules'!$B$2:$B$194,MATCH(TRUE,ISNUMBER(SEARCH('Category Rules'!$A$2:$A$194,C575)),0)),"")))))))</f>
        <v>PayPal ACH - RAYSTARLIGH</v>
      </c>
    </row>
    <row r="576" spans="1:7" x14ac:dyDescent="0.25">
      <c r="A576" t="s">
        <v>6</v>
      </c>
      <c r="B576" s="1">
        <v>46133</v>
      </c>
      <c r="C576" t="s">
        <v>552</v>
      </c>
      <c r="D576">
        <v>-624.62</v>
      </c>
      <c r="E576" t="s">
        <v>14</v>
      </c>
      <c r="F576">
        <v>2641.1</v>
      </c>
      <c r="G576" t="str" cm="1">
        <f t="array" ref="G576">IF(AND(ISNUMBER(SEARCH("UBER",C576)),ISNUMBER(SEARCH("EATS",C576))),"Uber Eats",IF(LEFT(C576,6)="CHECK ","Checks Paid",IF(OR(E576="BILLPAY",ISNUMBER(SEARCH("FRANCHISE TAX",C576)),ISNUMBER(SEARCH("NEXTLINK",C576))),"Personal - House Bills",IF(AND(ISNUMBER(SEARCH("PAYMENT FROM",C576)),ISNUMBER(SEARCH("JOE SAUNDERS",C576))),"Zelle from Joe Saunders",IF(AND(ISNUMBER(SEARCH("PAYMENT TO",C576)),ISNUMBER(SEARCH("JOE SAUNDERS",C576))),"Zelle to Joe Saunders",IF(OR(ISNUMBER(SEARCH("NEW ORLEANS",C576)),ISNUMBER(SEARCH("KENNER",C576)),ISNUMBER(SEARCH("HENRY HOWARD",C576)),ISNUMBER(SEARCH("MISS CLAUDIA",C576))),"Personal Travel - New Orleans",IFERROR(INDEX('Category Rules'!$B$2:$B$194,MATCH(TRUE,ISNUMBER(SEARCH('Category Rules'!$A$2:$A$194,C576)),0)),"")))))))</f>
        <v>Personal - Shopping</v>
      </c>
    </row>
    <row r="577" spans="1:7" x14ac:dyDescent="0.25">
      <c r="A577" t="s">
        <v>6</v>
      </c>
      <c r="B577" s="1">
        <v>46133</v>
      </c>
      <c r="C577" t="s">
        <v>553</v>
      </c>
      <c r="D577">
        <v>-1000</v>
      </c>
      <c r="E577" t="s">
        <v>48</v>
      </c>
      <c r="F577">
        <v>3265.72</v>
      </c>
      <c r="G577" t="str" cm="1">
        <f t="array" ref="G577">IF(AND(ISNUMBER(SEARCH("UBER",C577)),ISNUMBER(SEARCH("EATS",C577))),"Uber Eats",IF(LEFT(C577,6)="CHECK ","Checks Paid",IF(OR(E577="BILLPAY",ISNUMBER(SEARCH("FRANCHISE TAX",C577)),ISNUMBER(SEARCH("NEXTLINK",C577))),"Personal - House Bills",IF(AND(ISNUMBER(SEARCH("PAYMENT FROM",C577)),ISNUMBER(SEARCH("JOE SAUNDERS",C577))),"Zelle from Joe Saunders",IF(AND(ISNUMBER(SEARCH("PAYMENT TO",C577)),ISNUMBER(SEARCH("JOE SAUNDERS",C577))),"Zelle to Joe Saunders",IF(OR(ISNUMBER(SEARCH("NEW ORLEANS",C577)),ISNUMBER(SEARCH("KENNER",C577)),ISNUMBER(SEARCH("HENRY HOWARD",C577)),ISNUMBER(SEARCH("MISS CLAUDIA",C577))),"Personal Travel - New Orleans",IFERROR(INDEX('Category Rules'!$B$2:$B$194,MATCH(TRUE,ISNUMBER(SEARCH('Category Rules'!$A$2:$A$194,C577)),0)),"")))))))</f>
        <v>Withdrawal</v>
      </c>
    </row>
    <row r="578" spans="1:7" x14ac:dyDescent="0.25">
      <c r="A578" t="s">
        <v>6</v>
      </c>
      <c r="B578" s="1">
        <v>46133</v>
      </c>
      <c r="C578" t="s">
        <v>554</v>
      </c>
      <c r="D578">
        <v>-248.76</v>
      </c>
      <c r="E578" t="s">
        <v>14</v>
      </c>
      <c r="F578">
        <v>4265.72</v>
      </c>
      <c r="G578" t="str" cm="1">
        <f t="array" ref="G578">IF(AND(ISNUMBER(SEARCH("UBER",C578)),ISNUMBER(SEARCH("EATS",C578))),"Uber Eats",IF(LEFT(C578,6)="CHECK ","Checks Paid",IF(OR(E578="BILLPAY",ISNUMBER(SEARCH("FRANCHISE TAX",C578)),ISNUMBER(SEARCH("NEXTLINK",C578))),"Personal - House Bills",IF(AND(ISNUMBER(SEARCH("PAYMENT FROM",C578)),ISNUMBER(SEARCH("JOE SAUNDERS",C578))),"Zelle from Joe Saunders",IF(AND(ISNUMBER(SEARCH("PAYMENT TO",C578)),ISNUMBER(SEARCH("JOE SAUNDERS",C578))),"Zelle to Joe Saunders",IF(OR(ISNUMBER(SEARCH("NEW ORLEANS",C578)),ISNUMBER(SEARCH("KENNER",C578)),ISNUMBER(SEARCH("HENRY HOWARD",C578)),ISNUMBER(SEARCH("MISS CLAUDIA",C578))),"Personal Travel - New Orleans",IFERROR(INDEX('Category Rules'!$B$2:$B$194,MATCH(TRUE,ISNUMBER(SEARCH('Category Rules'!$A$2:$A$194,C578)),0)),"")))))))</f>
        <v>Personal - Health</v>
      </c>
    </row>
    <row r="579" spans="1:7" x14ac:dyDescent="0.25">
      <c r="A579" t="s">
        <v>6</v>
      </c>
      <c r="B579" s="1">
        <v>46133</v>
      </c>
      <c r="C579" t="s">
        <v>555</v>
      </c>
      <c r="D579">
        <v>-44.97</v>
      </c>
      <c r="E579" t="s">
        <v>14</v>
      </c>
      <c r="F579">
        <v>4514.4799999999996</v>
      </c>
      <c r="G579" t="str" cm="1">
        <f t="array" ref="G579">IF(AND(ISNUMBER(SEARCH("UBER",C579)),ISNUMBER(SEARCH("EATS",C579))),"Uber Eats",IF(LEFT(C579,6)="CHECK ","Checks Paid",IF(OR(E579="BILLPAY",ISNUMBER(SEARCH("FRANCHISE TAX",C579)),ISNUMBER(SEARCH("NEXTLINK",C579))),"Personal - House Bills",IF(AND(ISNUMBER(SEARCH("PAYMENT FROM",C579)),ISNUMBER(SEARCH("JOE SAUNDERS",C579))),"Zelle from Joe Saunders",IF(AND(ISNUMBER(SEARCH("PAYMENT TO",C579)),ISNUMBER(SEARCH("JOE SAUNDERS",C579))),"Zelle to Joe Saunders",IF(OR(ISNUMBER(SEARCH("NEW ORLEANS",C579)),ISNUMBER(SEARCH("KENNER",C579)),ISNUMBER(SEARCH("HENRY HOWARD",C579)),ISNUMBER(SEARCH("MISS CLAUDIA",C579))),"Personal Travel - New Orleans",IFERROR(INDEX('Category Rules'!$B$2:$B$194,MATCH(TRUE,ISNUMBER(SEARCH('Category Rules'!$A$2:$A$194,C579)),0)),"")))))))</f>
        <v>Amazon</v>
      </c>
    </row>
    <row r="580" spans="1:7" x14ac:dyDescent="0.25">
      <c r="A580" t="s">
        <v>6</v>
      </c>
      <c r="B580" s="1">
        <v>46133</v>
      </c>
      <c r="C580" t="s">
        <v>556</v>
      </c>
      <c r="D580">
        <v>-319.77</v>
      </c>
      <c r="E580" t="s">
        <v>14</v>
      </c>
      <c r="F580">
        <v>4559.45</v>
      </c>
      <c r="G580" t="str" cm="1">
        <f t="array" ref="G580">IF(AND(ISNUMBER(SEARCH("UBER",C580)),ISNUMBER(SEARCH("EATS",C580))),"Uber Eats",IF(LEFT(C580,6)="CHECK ","Checks Paid",IF(OR(E580="BILLPAY",ISNUMBER(SEARCH("FRANCHISE TAX",C580)),ISNUMBER(SEARCH("NEXTLINK",C580))),"Personal - House Bills",IF(AND(ISNUMBER(SEARCH("PAYMENT FROM",C580)),ISNUMBER(SEARCH("JOE SAUNDERS",C580))),"Zelle from Joe Saunders",IF(AND(ISNUMBER(SEARCH("PAYMENT TO",C580)),ISNUMBER(SEARCH("JOE SAUNDERS",C580))),"Zelle to Joe Saunders",IF(OR(ISNUMBER(SEARCH("NEW ORLEANS",C580)),ISNUMBER(SEARCH("KENNER",C580)),ISNUMBER(SEARCH("HENRY HOWARD",C580)),ISNUMBER(SEARCH("MISS CLAUDIA",C580))),"Personal Travel - New Orleans",IFERROR(INDEX('Category Rules'!$B$2:$B$194,MATCH(TRUE,ISNUMBER(SEARCH('Category Rules'!$A$2:$A$194,C580)),0)),"")))))))</f>
        <v>Amazon</v>
      </c>
    </row>
    <row r="581" spans="1:7" x14ac:dyDescent="0.25">
      <c r="A581" t="s">
        <v>6</v>
      </c>
      <c r="B581" s="1">
        <v>46133</v>
      </c>
      <c r="C581" t="s">
        <v>557</v>
      </c>
      <c r="D581">
        <v>-149.96</v>
      </c>
      <c r="E581" t="s">
        <v>14</v>
      </c>
      <c r="F581">
        <v>4879.22</v>
      </c>
      <c r="G581" t="str" cm="1">
        <f t="array" ref="G581">IF(AND(ISNUMBER(SEARCH("UBER",C581)),ISNUMBER(SEARCH("EATS",C581))),"Uber Eats",IF(LEFT(C581,6)="CHECK ","Checks Paid",IF(OR(E581="BILLPAY",ISNUMBER(SEARCH("FRANCHISE TAX",C581)),ISNUMBER(SEARCH("NEXTLINK",C581))),"Personal - House Bills",IF(AND(ISNUMBER(SEARCH("PAYMENT FROM",C581)),ISNUMBER(SEARCH("JOE SAUNDERS",C581))),"Zelle from Joe Saunders",IF(AND(ISNUMBER(SEARCH("PAYMENT TO",C581)),ISNUMBER(SEARCH("JOE SAUNDERS",C581))),"Zelle to Joe Saunders",IF(OR(ISNUMBER(SEARCH("NEW ORLEANS",C581)),ISNUMBER(SEARCH("KENNER",C581)),ISNUMBER(SEARCH("HENRY HOWARD",C581)),ISNUMBER(SEARCH("MISS CLAUDIA",C581))),"Personal Travel - New Orleans",IFERROR(INDEX('Category Rules'!$B$2:$B$194,MATCH(TRUE,ISNUMBER(SEARCH('Category Rules'!$A$2:$A$194,C581)),0)),"")))))))</f>
        <v>Personal - House Bills</v>
      </c>
    </row>
    <row r="582" spans="1:7" x14ac:dyDescent="0.25">
      <c r="A582" t="s">
        <v>6</v>
      </c>
      <c r="B582" s="1">
        <v>46133</v>
      </c>
      <c r="C582" t="s">
        <v>558</v>
      </c>
      <c r="D582">
        <v>-79.27</v>
      </c>
      <c r="E582" t="s">
        <v>14</v>
      </c>
      <c r="F582">
        <v>5029.18</v>
      </c>
      <c r="G582" t="str" cm="1">
        <f t="array" ref="G582">IF(AND(ISNUMBER(SEARCH("UBER",C582)),ISNUMBER(SEARCH("EATS",C582))),"Uber Eats",IF(LEFT(C582,6)="CHECK ","Checks Paid",IF(OR(E582="BILLPAY",ISNUMBER(SEARCH("FRANCHISE TAX",C582)),ISNUMBER(SEARCH("NEXTLINK",C582))),"Personal - House Bills",IF(AND(ISNUMBER(SEARCH("PAYMENT FROM",C582)),ISNUMBER(SEARCH("JOE SAUNDERS",C582))),"Zelle from Joe Saunders",IF(AND(ISNUMBER(SEARCH("PAYMENT TO",C582)),ISNUMBER(SEARCH("JOE SAUNDERS",C582))),"Zelle to Joe Saunders",IF(OR(ISNUMBER(SEARCH("NEW ORLEANS",C582)),ISNUMBER(SEARCH("KENNER",C582)),ISNUMBER(SEARCH("HENRY HOWARD",C582)),ISNUMBER(SEARCH("MISS CLAUDIA",C582))),"Personal Travel - New Orleans",IFERROR(INDEX('Category Rules'!$B$2:$B$194,MATCH(TRUE,ISNUMBER(SEARCH('Category Rules'!$A$2:$A$194,C582)),0)),"")))))))</f>
        <v>Personal - Shopping</v>
      </c>
    </row>
    <row r="583" spans="1:7" x14ac:dyDescent="0.25">
      <c r="A583" t="s">
        <v>37</v>
      </c>
      <c r="B583" s="1">
        <v>46133</v>
      </c>
      <c r="C583" t="s">
        <v>559</v>
      </c>
      <c r="D583">
        <v>3000</v>
      </c>
      <c r="E583" t="s">
        <v>39</v>
      </c>
      <c r="F583">
        <v>5108.45</v>
      </c>
      <c r="G583" t="str" cm="1">
        <f t="array" ref="G583">IF(AND(ISNUMBER(SEARCH("UBER",C583)),ISNUMBER(SEARCH("EATS",C583))),"Uber Eats",IF(LEFT(C583,6)="CHECK ","Checks Paid",IF(OR(E583="BILLPAY",ISNUMBER(SEARCH("FRANCHISE TAX",C583)),ISNUMBER(SEARCH("NEXTLINK",C583))),"Personal - House Bills",IF(AND(ISNUMBER(SEARCH("PAYMENT FROM",C583)),ISNUMBER(SEARCH("JOE SAUNDERS",C583))),"Zelle from Joe Saunders",IF(AND(ISNUMBER(SEARCH("PAYMENT TO",C583)),ISNUMBER(SEARCH("JOE SAUNDERS",C583))),"Zelle to Joe Saunders",IF(OR(ISNUMBER(SEARCH("NEW ORLEANS",C583)),ISNUMBER(SEARCH("KENNER",C583)),ISNUMBER(SEARCH("HENRY HOWARD",C583)),ISNUMBER(SEARCH("MISS CLAUDIA",C583))),"Personal Travel - New Orleans",IFERROR(INDEX('Category Rules'!$B$2:$B$194,MATCH(TRUE,ISNUMBER(SEARCH('Category Rules'!$A$2:$A$194,C583)),0)),"")))))))</f>
        <v>Transfer from DWG Capital Group</v>
      </c>
    </row>
    <row r="584" spans="1:7" x14ac:dyDescent="0.25">
      <c r="A584" t="s">
        <v>6</v>
      </c>
      <c r="B584" s="1">
        <v>46132</v>
      </c>
      <c r="C584" t="s">
        <v>560</v>
      </c>
      <c r="D584">
        <v>-6.25</v>
      </c>
      <c r="E584" t="s">
        <v>72</v>
      </c>
      <c r="F584">
        <v>2108.4499999999998</v>
      </c>
      <c r="G584" t="str" cm="1">
        <f t="array" ref="G584">IF(AND(ISNUMBER(SEARCH("UBER",C584)),ISNUMBER(SEARCH("EATS",C584))),"Uber Eats",IF(LEFT(C584,6)="CHECK ","Checks Paid",IF(OR(E584="BILLPAY",ISNUMBER(SEARCH("FRANCHISE TAX",C584)),ISNUMBER(SEARCH("NEXTLINK",C584))),"Personal - House Bills",IF(AND(ISNUMBER(SEARCH("PAYMENT FROM",C584)),ISNUMBER(SEARCH("JOE SAUNDERS",C584))),"Zelle from Joe Saunders",IF(AND(ISNUMBER(SEARCH("PAYMENT TO",C584)),ISNUMBER(SEARCH("JOE SAUNDERS",C584))),"Zelle to Joe Saunders",IF(OR(ISNUMBER(SEARCH("NEW ORLEANS",C584)),ISNUMBER(SEARCH("KENNER",C584)),ISNUMBER(SEARCH("HENRY HOWARD",C584)),ISNUMBER(SEARCH("MISS CLAUDIA",C584))),"Personal Travel - New Orleans",IFERROR(INDEX('Category Rules'!$B$2:$B$194,MATCH(TRUE,ISNUMBER(SEARCH('Category Rules'!$A$2:$A$194,C584)),0)),"")))))))</f>
        <v>Personal Travel - Portugal</v>
      </c>
    </row>
    <row r="585" spans="1:7" x14ac:dyDescent="0.25">
      <c r="A585" t="s">
        <v>6</v>
      </c>
      <c r="B585" s="1">
        <v>46132</v>
      </c>
      <c r="C585" t="s">
        <v>561</v>
      </c>
      <c r="D585">
        <v>-300</v>
      </c>
      <c r="E585" t="s">
        <v>169</v>
      </c>
      <c r="F585">
        <v>2114.6999999999998</v>
      </c>
      <c r="G585" t="str" cm="1">
        <f t="array" ref="G585">IF(AND(ISNUMBER(SEARCH("UBER",C585)),ISNUMBER(SEARCH("EATS",C585))),"Uber Eats",IF(LEFT(C585,6)="CHECK ","Checks Paid",IF(OR(E585="BILLPAY",ISNUMBER(SEARCH("FRANCHISE TAX",C585)),ISNUMBER(SEARCH("NEXTLINK",C585))),"Personal - House Bills",IF(AND(ISNUMBER(SEARCH("PAYMENT FROM",C585)),ISNUMBER(SEARCH("JOE SAUNDERS",C585))),"Zelle from Joe Saunders",IF(AND(ISNUMBER(SEARCH("PAYMENT TO",C585)),ISNUMBER(SEARCH("JOE SAUNDERS",C585))),"Zelle to Joe Saunders",IF(OR(ISNUMBER(SEARCH("NEW ORLEANS",C585)),ISNUMBER(SEARCH("KENNER",C585)),ISNUMBER(SEARCH("HENRY HOWARD",C585)),ISNUMBER(SEARCH("MISS CLAUDIA",C585))),"Personal Travel - New Orleans",IFERROR(INDEX('Category Rules'!$B$2:$B$194,MATCH(TRUE,ISNUMBER(SEARCH('Category Rules'!$A$2:$A$194,C585)),0)),"")))))))</f>
        <v>Zelle to Britt Magadini</v>
      </c>
    </row>
    <row r="586" spans="1:7" x14ac:dyDescent="0.25">
      <c r="A586" t="s">
        <v>6</v>
      </c>
      <c r="B586" s="1">
        <v>46132</v>
      </c>
      <c r="C586" t="s">
        <v>562</v>
      </c>
      <c r="D586">
        <v>-11.99</v>
      </c>
      <c r="E586" t="s">
        <v>14</v>
      </c>
      <c r="F586">
        <v>2414.6999999999998</v>
      </c>
      <c r="G586" t="str" cm="1">
        <f t="array" ref="G586">IF(AND(ISNUMBER(SEARCH("UBER",C586)),ISNUMBER(SEARCH("EATS",C586))),"Uber Eats",IF(LEFT(C586,6)="CHECK ","Checks Paid",IF(OR(E586="BILLPAY",ISNUMBER(SEARCH("FRANCHISE TAX",C586)),ISNUMBER(SEARCH("NEXTLINK",C586))),"Personal - House Bills",IF(AND(ISNUMBER(SEARCH("PAYMENT FROM",C586)),ISNUMBER(SEARCH("JOE SAUNDERS",C586))),"Zelle from Joe Saunders",IF(AND(ISNUMBER(SEARCH("PAYMENT TO",C586)),ISNUMBER(SEARCH("JOE SAUNDERS",C586))),"Zelle to Joe Saunders",IF(OR(ISNUMBER(SEARCH("NEW ORLEANS",C586)),ISNUMBER(SEARCH("KENNER",C586)),ISNUMBER(SEARCH("HENRY HOWARD",C586)),ISNUMBER(SEARCH("MISS CLAUDIA",C586))),"Personal Travel - New Orleans",IFERROR(INDEX('Category Rules'!$B$2:$B$194,MATCH(TRUE,ISNUMBER(SEARCH('Category Rules'!$A$2:$A$194,C586)),0)),"")))))))</f>
        <v>Personal - Subscription</v>
      </c>
    </row>
    <row r="587" spans="1:7" x14ac:dyDescent="0.25">
      <c r="A587" t="s">
        <v>6</v>
      </c>
      <c r="B587" s="1">
        <v>46132</v>
      </c>
      <c r="C587" t="s">
        <v>563</v>
      </c>
      <c r="D587">
        <v>-32.93</v>
      </c>
      <c r="E587" t="s">
        <v>14</v>
      </c>
      <c r="F587">
        <v>2426.69</v>
      </c>
      <c r="G587" t="str" cm="1">
        <f t="array" ref="G587">IF(AND(ISNUMBER(SEARCH("UBER",C587)),ISNUMBER(SEARCH("EATS",C587))),"Uber Eats",IF(LEFT(C587,6)="CHECK ","Checks Paid",IF(OR(E587="BILLPAY",ISNUMBER(SEARCH("FRANCHISE TAX",C587)),ISNUMBER(SEARCH("NEXTLINK",C587))),"Personal - House Bills",IF(AND(ISNUMBER(SEARCH("PAYMENT FROM",C587)),ISNUMBER(SEARCH("JOE SAUNDERS",C587))),"Zelle from Joe Saunders",IF(AND(ISNUMBER(SEARCH("PAYMENT TO",C587)),ISNUMBER(SEARCH("JOE SAUNDERS",C587))),"Zelle to Joe Saunders",IF(OR(ISNUMBER(SEARCH("NEW ORLEANS",C587)),ISNUMBER(SEARCH("KENNER",C587)),ISNUMBER(SEARCH("HENRY HOWARD",C587)),ISNUMBER(SEARCH("MISS CLAUDIA",C587))),"Personal Travel - New Orleans",IFERROR(INDEX('Category Rules'!$B$2:$B$194,MATCH(TRUE,ISNUMBER(SEARCH('Category Rules'!$A$2:$A$194,C587)),0)),"")))))))</f>
        <v>Amazon</v>
      </c>
    </row>
    <row r="588" spans="1:7" x14ac:dyDescent="0.25">
      <c r="A588" t="s">
        <v>6</v>
      </c>
      <c r="B588" s="1">
        <v>46132</v>
      </c>
      <c r="C588" t="s">
        <v>564</v>
      </c>
      <c r="D588">
        <v>-131.66</v>
      </c>
      <c r="E588" t="s">
        <v>14</v>
      </c>
      <c r="F588">
        <v>2459.62</v>
      </c>
      <c r="G588" t="str" cm="1">
        <f t="array" ref="G588">IF(AND(ISNUMBER(SEARCH("UBER",C588)),ISNUMBER(SEARCH("EATS",C588))),"Uber Eats",IF(LEFT(C588,6)="CHECK ","Checks Paid",IF(OR(E588="BILLPAY",ISNUMBER(SEARCH("FRANCHISE TAX",C588)),ISNUMBER(SEARCH("NEXTLINK",C588))),"Personal - House Bills",IF(AND(ISNUMBER(SEARCH("PAYMENT FROM",C588)),ISNUMBER(SEARCH("JOE SAUNDERS",C588))),"Zelle from Joe Saunders",IF(AND(ISNUMBER(SEARCH("PAYMENT TO",C588)),ISNUMBER(SEARCH("JOE SAUNDERS",C588))),"Zelle to Joe Saunders",IF(OR(ISNUMBER(SEARCH("NEW ORLEANS",C588)),ISNUMBER(SEARCH("KENNER",C588)),ISNUMBER(SEARCH("HENRY HOWARD",C588)),ISNUMBER(SEARCH("MISS CLAUDIA",C588))),"Personal Travel - New Orleans",IFERROR(INDEX('Category Rules'!$B$2:$B$194,MATCH(TRUE,ISNUMBER(SEARCH('Category Rules'!$A$2:$A$194,C588)),0)),"")))))))</f>
        <v>Personal - Health</v>
      </c>
    </row>
    <row r="589" spans="1:7" x14ac:dyDescent="0.25">
      <c r="A589" t="s">
        <v>6</v>
      </c>
      <c r="B589" s="1">
        <v>46132</v>
      </c>
      <c r="C589" t="s">
        <v>565</v>
      </c>
      <c r="D589">
        <v>-479.97</v>
      </c>
      <c r="E589" t="s">
        <v>14</v>
      </c>
      <c r="F589">
        <v>2591.2800000000002</v>
      </c>
      <c r="G589" t="str" cm="1">
        <f t="array" ref="G589">IF(AND(ISNUMBER(SEARCH("UBER",C589)),ISNUMBER(SEARCH("EATS",C589))),"Uber Eats",IF(LEFT(C589,6)="CHECK ","Checks Paid",IF(OR(E589="BILLPAY",ISNUMBER(SEARCH("FRANCHISE TAX",C589)),ISNUMBER(SEARCH("NEXTLINK",C589))),"Personal - House Bills",IF(AND(ISNUMBER(SEARCH("PAYMENT FROM",C589)),ISNUMBER(SEARCH("JOE SAUNDERS",C589))),"Zelle from Joe Saunders",IF(AND(ISNUMBER(SEARCH("PAYMENT TO",C589)),ISNUMBER(SEARCH("JOE SAUNDERS",C589))),"Zelle to Joe Saunders",IF(OR(ISNUMBER(SEARCH("NEW ORLEANS",C589)),ISNUMBER(SEARCH("KENNER",C589)),ISNUMBER(SEARCH("HENRY HOWARD",C589)),ISNUMBER(SEARCH("MISS CLAUDIA",C589))),"Personal Travel - New Orleans",IFERROR(INDEX('Category Rules'!$B$2:$B$194,MATCH(TRUE,ISNUMBER(SEARCH('Category Rules'!$A$2:$A$194,C589)),0)),"")))))))</f>
        <v>Personal - Shopping</v>
      </c>
    </row>
    <row r="590" spans="1:7" x14ac:dyDescent="0.25">
      <c r="A590" t="s">
        <v>6</v>
      </c>
      <c r="B590" s="1">
        <v>46132</v>
      </c>
      <c r="C590" t="s">
        <v>566</v>
      </c>
      <c r="D590">
        <v>-57.54</v>
      </c>
      <c r="E590" t="s">
        <v>14</v>
      </c>
      <c r="F590">
        <v>3071.25</v>
      </c>
      <c r="G590" t="str" cm="1">
        <f t="array" ref="G590">IF(AND(ISNUMBER(SEARCH("UBER",C590)),ISNUMBER(SEARCH("EATS",C590))),"Uber Eats",IF(LEFT(C590,6)="CHECK ","Checks Paid",IF(OR(E590="BILLPAY",ISNUMBER(SEARCH("FRANCHISE TAX",C590)),ISNUMBER(SEARCH("NEXTLINK",C590))),"Personal - House Bills",IF(AND(ISNUMBER(SEARCH("PAYMENT FROM",C590)),ISNUMBER(SEARCH("JOE SAUNDERS",C590))),"Zelle from Joe Saunders",IF(AND(ISNUMBER(SEARCH("PAYMENT TO",C590)),ISNUMBER(SEARCH("JOE SAUNDERS",C590))),"Zelle to Joe Saunders",IF(OR(ISNUMBER(SEARCH("NEW ORLEANS",C590)),ISNUMBER(SEARCH("KENNER",C590)),ISNUMBER(SEARCH("HENRY HOWARD",C590)),ISNUMBER(SEARCH("MISS CLAUDIA",C590))),"Personal Travel - New Orleans",IFERROR(INDEX('Category Rules'!$B$2:$B$194,MATCH(TRUE,ISNUMBER(SEARCH('Category Rules'!$A$2:$A$194,C590)),0)),"")))))))</f>
        <v>Personal - Entertainment</v>
      </c>
    </row>
    <row r="591" spans="1:7" x14ac:dyDescent="0.25">
      <c r="A591" t="s">
        <v>6</v>
      </c>
      <c r="B591" s="1">
        <v>46132</v>
      </c>
      <c r="C591" t="s">
        <v>567</v>
      </c>
      <c r="D591">
        <v>-30</v>
      </c>
      <c r="E591" t="s">
        <v>14</v>
      </c>
      <c r="F591">
        <v>3128.79</v>
      </c>
      <c r="G591" t="str" cm="1">
        <f t="array" ref="G591">IF(AND(ISNUMBER(SEARCH("UBER",C591)),ISNUMBER(SEARCH("EATS",C591))),"Uber Eats",IF(LEFT(C591,6)="CHECK ","Checks Paid",IF(OR(E591="BILLPAY",ISNUMBER(SEARCH("FRANCHISE TAX",C591)),ISNUMBER(SEARCH("NEXTLINK",C591))),"Personal - House Bills",IF(AND(ISNUMBER(SEARCH("PAYMENT FROM",C591)),ISNUMBER(SEARCH("JOE SAUNDERS",C591))),"Zelle from Joe Saunders",IF(AND(ISNUMBER(SEARCH("PAYMENT TO",C591)),ISNUMBER(SEARCH("JOE SAUNDERS",C591))),"Zelle to Joe Saunders",IF(OR(ISNUMBER(SEARCH("NEW ORLEANS",C591)),ISNUMBER(SEARCH("KENNER",C591)),ISNUMBER(SEARCH("HENRY HOWARD",C591)),ISNUMBER(SEARCH("MISS CLAUDIA",C591))),"Personal Travel - New Orleans",IFERROR(INDEX('Category Rules'!$B$2:$B$194,MATCH(TRUE,ISNUMBER(SEARCH('Category Rules'!$A$2:$A$194,C591)),0)),"")))))))</f>
        <v>Amazon</v>
      </c>
    </row>
    <row r="592" spans="1:7" x14ac:dyDescent="0.25">
      <c r="A592" t="s">
        <v>6</v>
      </c>
      <c r="B592" s="1">
        <v>46132</v>
      </c>
      <c r="C592" t="s">
        <v>568</v>
      </c>
      <c r="D592">
        <v>-53.04</v>
      </c>
      <c r="E592" t="s">
        <v>14</v>
      </c>
      <c r="F592">
        <v>3158.79</v>
      </c>
      <c r="G592" t="str" cm="1">
        <f t="array" ref="G592">IF(AND(ISNUMBER(SEARCH("UBER",C592)),ISNUMBER(SEARCH("EATS",C592))),"Uber Eats",IF(LEFT(C592,6)="CHECK ","Checks Paid",IF(OR(E592="BILLPAY",ISNUMBER(SEARCH("FRANCHISE TAX",C592)),ISNUMBER(SEARCH("NEXTLINK",C592))),"Personal - House Bills",IF(AND(ISNUMBER(SEARCH("PAYMENT FROM",C592)),ISNUMBER(SEARCH("JOE SAUNDERS",C592))),"Zelle from Joe Saunders",IF(AND(ISNUMBER(SEARCH("PAYMENT TO",C592)),ISNUMBER(SEARCH("JOE SAUNDERS",C592))),"Zelle to Joe Saunders",IF(OR(ISNUMBER(SEARCH("NEW ORLEANS",C592)),ISNUMBER(SEARCH("KENNER",C592)),ISNUMBER(SEARCH("HENRY HOWARD",C592)),ISNUMBER(SEARCH("MISS CLAUDIA",C592))),"Personal Travel - New Orleans",IFERROR(INDEX('Category Rules'!$B$2:$B$194,MATCH(TRUE,ISNUMBER(SEARCH('Category Rules'!$A$2:$A$194,C592)),0)),"")))))))</f>
        <v>Personal - Entertainment</v>
      </c>
    </row>
    <row r="593" spans="1:7" x14ac:dyDescent="0.25">
      <c r="A593" t="s">
        <v>6</v>
      </c>
      <c r="B593" s="1">
        <v>46132</v>
      </c>
      <c r="C593" t="s">
        <v>569</v>
      </c>
      <c r="D593">
        <v>-115.87</v>
      </c>
      <c r="E593" t="s">
        <v>14</v>
      </c>
      <c r="F593">
        <v>3211.83</v>
      </c>
      <c r="G593" t="str" cm="1">
        <f t="array" ref="G593">IF(AND(ISNUMBER(SEARCH("UBER",C593)),ISNUMBER(SEARCH("EATS",C593))),"Uber Eats",IF(LEFT(C593,6)="CHECK ","Checks Paid",IF(OR(E593="BILLPAY",ISNUMBER(SEARCH("FRANCHISE TAX",C593)),ISNUMBER(SEARCH("NEXTLINK",C593))),"Personal - House Bills",IF(AND(ISNUMBER(SEARCH("PAYMENT FROM",C593)),ISNUMBER(SEARCH("JOE SAUNDERS",C593))),"Zelle from Joe Saunders",IF(AND(ISNUMBER(SEARCH("PAYMENT TO",C593)),ISNUMBER(SEARCH("JOE SAUNDERS",C593))),"Zelle to Joe Saunders",IF(OR(ISNUMBER(SEARCH("NEW ORLEANS",C593)),ISNUMBER(SEARCH("KENNER",C593)),ISNUMBER(SEARCH("HENRY HOWARD",C593)),ISNUMBER(SEARCH("MISS CLAUDIA",C593))),"Personal Travel - New Orleans",IFERROR(INDEX('Category Rules'!$B$2:$B$194,MATCH(TRUE,ISNUMBER(SEARCH('Category Rules'!$A$2:$A$194,C593)),0)),"")))))))</f>
        <v>Amazon</v>
      </c>
    </row>
    <row r="594" spans="1:7" x14ac:dyDescent="0.25">
      <c r="A594" t="s">
        <v>6</v>
      </c>
      <c r="B594" s="1">
        <v>46132</v>
      </c>
      <c r="C594" t="s">
        <v>570</v>
      </c>
      <c r="D594">
        <v>-85.5</v>
      </c>
      <c r="E594" t="s">
        <v>14</v>
      </c>
      <c r="F594">
        <v>3327.7</v>
      </c>
      <c r="G594" t="str" cm="1">
        <f t="array" ref="G594">IF(AND(ISNUMBER(SEARCH("UBER",C594)),ISNUMBER(SEARCH("EATS",C594))),"Uber Eats",IF(LEFT(C594,6)="CHECK ","Checks Paid",IF(OR(E594="BILLPAY",ISNUMBER(SEARCH("FRANCHISE TAX",C594)),ISNUMBER(SEARCH("NEXTLINK",C594))),"Personal - House Bills",IF(AND(ISNUMBER(SEARCH("PAYMENT FROM",C594)),ISNUMBER(SEARCH("JOE SAUNDERS",C594))),"Zelle from Joe Saunders",IF(AND(ISNUMBER(SEARCH("PAYMENT TO",C594)),ISNUMBER(SEARCH("JOE SAUNDERS",C594))),"Zelle to Joe Saunders",IF(OR(ISNUMBER(SEARCH("NEW ORLEANS",C594)),ISNUMBER(SEARCH("KENNER",C594)),ISNUMBER(SEARCH("HENRY HOWARD",C594)),ISNUMBER(SEARCH("MISS CLAUDIA",C594))),"Personal Travel - New Orleans",IFERROR(INDEX('Category Rules'!$B$2:$B$194,MATCH(TRUE,ISNUMBER(SEARCH('Category Rules'!$A$2:$A$194,C594)),0)),"")))))))</f>
        <v>Amazon</v>
      </c>
    </row>
    <row r="595" spans="1:7" x14ac:dyDescent="0.25">
      <c r="A595" t="s">
        <v>6</v>
      </c>
      <c r="B595" s="1">
        <v>46132</v>
      </c>
      <c r="C595" t="s">
        <v>571</v>
      </c>
      <c r="D595">
        <v>-300</v>
      </c>
      <c r="E595" t="s">
        <v>169</v>
      </c>
      <c r="F595">
        <v>3413.2</v>
      </c>
      <c r="G595" t="str" cm="1">
        <f t="array" ref="G595">IF(AND(ISNUMBER(SEARCH("UBER",C595)),ISNUMBER(SEARCH("EATS",C595))),"Uber Eats",IF(LEFT(C595,6)="CHECK ","Checks Paid",IF(OR(E595="BILLPAY",ISNUMBER(SEARCH("FRANCHISE TAX",C595)),ISNUMBER(SEARCH("NEXTLINK",C595))),"Personal - House Bills",IF(AND(ISNUMBER(SEARCH("PAYMENT FROM",C595)),ISNUMBER(SEARCH("JOE SAUNDERS",C595))),"Zelle from Joe Saunders",IF(AND(ISNUMBER(SEARCH("PAYMENT TO",C595)),ISNUMBER(SEARCH("JOE SAUNDERS",C595))),"Zelle to Joe Saunders",IF(OR(ISNUMBER(SEARCH("NEW ORLEANS",C595)),ISNUMBER(SEARCH("KENNER",C595)),ISNUMBER(SEARCH("HENRY HOWARD",C595)),ISNUMBER(SEARCH("MISS CLAUDIA",C595))),"Personal Travel - New Orleans",IFERROR(INDEX('Category Rules'!$B$2:$B$194,MATCH(TRUE,ISNUMBER(SEARCH('Category Rules'!$A$2:$A$194,C595)),0)),"")))))))</f>
        <v>Zelle to Natalie Cordova</v>
      </c>
    </row>
    <row r="596" spans="1:7" x14ac:dyDescent="0.25">
      <c r="A596" t="s">
        <v>6</v>
      </c>
      <c r="B596" s="1">
        <v>46132</v>
      </c>
      <c r="C596" t="s">
        <v>572</v>
      </c>
      <c r="D596">
        <v>-300</v>
      </c>
      <c r="E596" t="s">
        <v>169</v>
      </c>
      <c r="F596">
        <v>3713.2</v>
      </c>
      <c r="G596" t="str" cm="1">
        <f t="array" ref="G596">IF(AND(ISNUMBER(SEARCH("UBER",C596)),ISNUMBER(SEARCH("EATS",C596))),"Uber Eats",IF(LEFT(C596,6)="CHECK ","Checks Paid",IF(OR(E596="BILLPAY",ISNUMBER(SEARCH("FRANCHISE TAX",C596)),ISNUMBER(SEARCH("NEXTLINK",C596))),"Personal - House Bills",IF(AND(ISNUMBER(SEARCH("PAYMENT FROM",C596)),ISNUMBER(SEARCH("JOE SAUNDERS",C596))),"Zelle from Joe Saunders",IF(AND(ISNUMBER(SEARCH("PAYMENT TO",C596)),ISNUMBER(SEARCH("JOE SAUNDERS",C596))),"Zelle to Joe Saunders",IF(OR(ISNUMBER(SEARCH("NEW ORLEANS",C596)),ISNUMBER(SEARCH("KENNER",C596)),ISNUMBER(SEARCH("HENRY HOWARD",C596)),ISNUMBER(SEARCH("MISS CLAUDIA",C596))),"Personal Travel - New Orleans",IFERROR(INDEX('Category Rules'!$B$2:$B$194,MATCH(TRUE,ISNUMBER(SEARCH('Category Rules'!$A$2:$A$194,C596)),0)),"")))))))</f>
        <v>Zelle to Shaffa</v>
      </c>
    </row>
    <row r="597" spans="1:7" x14ac:dyDescent="0.25">
      <c r="A597" t="s">
        <v>6</v>
      </c>
      <c r="B597" s="1">
        <v>46132</v>
      </c>
      <c r="C597" t="s">
        <v>573</v>
      </c>
      <c r="D597">
        <v>-67.63</v>
      </c>
      <c r="E597" t="s">
        <v>14</v>
      </c>
      <c r="F597">
        <v>4013.2</v>
      </c>
      <c r="G597" t="str" cm="1">
        <f t="array" ref="G597">IF(AND(ISNUMBER(SEARCH("UBER",C597)),ISNUMBER(SEARCH("EATS",C597))),"Uber Eats",IF(LEFT(C597,6)="CHECK ","Checks Paid",IF(OR(E597="BILLPAY",ISNUMBER(SEARCH("FRANCHISE TAX",C597)),ISNUMBER(SEARCH("NEXTLINK",C597))),"Personal - House Bills",IF(AND(ISNUMBER(SEARCH("PAYMENT FROM",C597)),ISNUMBER(SEARCH("JOE SAUNDERS",C597))),"Zelle from Joe Saunders",IF(AND(ISNUMBER(SEARCH("PAYMENT TO",C597)),ISNUMBER(SEARCH("JOE SAUNDERS",C597))),"Zelle to Joe Saunders",IF(OR(ISNUMBER(SEARCH("NEW ORLEANS",C597)),ISNUMBER(SEARCH("KENNER",C597)),ISNUMBER(SEARCH("HENRY HOWARD",C597)),ISNUMBER(SEARCH("MISS CLAUDIA",C597))),"Personal Travel - New Orleans",IFERROR(INDEX('Category Rules'!$B$2:$B$194,MATCH(TRUE,ISNUMBER(SEARCH('Category Rules'!$A$2:$A$194,C597)),0)),"")))))))</f>
        <v>Amazon</v>
      </c>
    </row>
    <row r="598" spans="1:7" x14ac:dyDescent="0.25">
      <c r="A598" t="s">
        <v>6</v>
      </c>
      <c r="B598" s="1">
        <v>46132</v>
      </c>
      <c r="C598" t="s">
        <v>574</v>
      </c>
      <c r="D598">
        <v>-75.73</v>
      </c>
      <c r="E598" t="s">
        <v>14</v>
      </c>
      <c r="F598">
        <v>4080.83</v>
      </c>
      <c r="G598" t="str" cm="1">
        <f t="array" ref="G598">IF(AND(ISNUMBER(SEARCH("UBER",C598)),ISNUMBER(SEARCH("EATS",C598))),"Uber Eats",IF(LEFT(C598,6)="CHECK ","Checks Paid",IF(OR(E598="BILLPAY",ISNUMBER(SEARCH("FRANCHISE TAX",C598)),ISNUMBER(SEARCH("NEXTLINK",C598))),"Personal - House Bills",IF(AND(ISNUMBER(SEARCH("PAYMENT FROM",C598)),ISNUMBER(SEARCH("JOE SAUNDERS",C598))),"Zelle from Joe Saunders",IF(AND(ISNUMBER(SEARCH("PAYMENT TO",C598)),ISNUMBER(SEARCH("JOE SAUNDERS",C598))),"Zelle to Joe Saunders",IF(OR(ISNUMBER(SEARCH("NEW ORLEANS",C598)),ISNUMBER(SEARCH("KENNER",C598)),ISNUMBER(SEARCH("HENRY HOWARD",C598)),ISNUMBER(SEARCH("MISS CLAUDIA",C598))),"Personal Travel - New Orleans",IFERROR(INDEX('Category Rules'!$B$2:$B$194,MATCH(TRUE,ISNUMBER(SEARCH('Category Rules'!$A$2:$A$194,C598)),0)),"")))))))</f>
        <v>Amazon</v>
      </c>
    </row>
    <row r="599" spans="1:7" x14ac:dyDescent="0.25">
      <c r="A599" t="s">
        <v>6</v>
      </c>
      <c r="B599" s="1">
        <v>46132</v>
      </c>
      <c r="C599" t="s">
        <v>575</v>
      </c>
      <c r="D599">
        <v>-70</v>
      </c>
      <c r="E599" t="s">
        <v>14</v>
      </c>
      <c r="F599">
        <v>4156.5600000000004</v>
      </c>
      <c r="G599" t="str" cm="1">
        <f t="array" ref="G599">IF(AND(ISNUMBER(SEARCH("UBER",C599)),ISNUMBER(SEARCH("EATS",C599))),"Uber Eats",IF(LEFT(C599,6)="CHECK ","Checks Paid",IF(OR(E599="BILLPAY",ISNUMBER(SEARCH("FRANCHISE TAX",C599)),ISNUMBER(SEARCH("NEXTLINK",C599))),"Personal - House Bills",IF(AND(ISNUMBER(SEARCH("PAYMENT FROM",C599)),ISNUMBER(SEARCH("JOE SAUNDERS",C599))),"Zelle from Joe Saunders",IF(AND(ISNUMBER(SEARCH("PAYMENT TO",C599)),ISNUMBER(SEARCH("JOE SAUNDERS",C599))),"Zelle to Joe Saunders",IF(OR(ISNUMBER(SEARCH("NEW ORLEANS",C599)),ISNUMBER(SEARCH("KENNER",C599)),ISNUMBER(SEARCH("HENRY HOWARD",C599)),ISNUMBER(SEARCH("MISS CLAUDIA",C599))),"Personal Travel - New Orleans",IFERROR(INDEX('Category Rules'!$B$2:$B$194,MATCH(TRUE,ISNUMBER(SEARCH('Category Rules'!$A$2:$A$194,C599)),0)),"")))))))</f>
        <v>Amazon</v>
      </c>
    </row>
    <row r="600" spans="1:7" x14ac:dyDescent="0.25">
      <c r="A600" t="s">
        <v>6</v>
      </c>
      <c r="B600" s="1">
        <v>46132</v>
      </c>
      <c r="C600" t="s">
        <v>576</v>
      </c>
      <c r="D600">
        <v>-368.01</v>
      </c>
      <c r="E600" t="s">
        <v>14</v>
      </c>
      <c r="F600">
        <v>4226.5600000000004</v>
      </c>
      <c r="G600" t="str" cm="1">
        <f t="array" ref="G600">IF(AND(ISNUMBER(SEARCH("UBER",C600)),ISNUMBER(SEARCH("EATS",C600))),"Uber Eats",IF(LEFT(C600,6)="CHECK ","Checks Paid",IF(OR(E600="BILLPAY",ISNUMBER(SEARCH("FRANCHISE TAX",C600)),ISNUMBER(SEARCH("NEXTLINK",C600))),"Personal - House Bills",IF(AND(ISNUMBER(SEARCH("PAYMENT FROM",C600)),ISNUMBER(SEARCH("JOE SAUNDERS",C600))),"Zelle from Joe Saunders",IF(AND(ISNUMBER(SEARCH("PAYMENT TO",C600)),ISNUMBER(SEARCH("JOE SAUNDERS",C600))),"Zelle to Joe Saunders",IF(OR(ISNUMBER(SEARCH("NEW ORLEANS",C600)),ISNUMBER(SEARCH("KENNER",C600)),ISNUMBER(SEARCH("HENRY HOWARD",C600)),ISNUMBER(SEARCH("MISS CLAUDIA",C600))),"Personal Travel - New Orleans",IFERROR(INDEX('Category Rules'!$B$2:$B$194,MATCH(TRUE,ISNUMBER(SEARCH('Category Rules'!$A$2:$A$194,C600)),0)),"")))))))</f>
        <v>Personal - Health</v>
      </c>
    </row>
    <row r="601" spans="1:7" x14ac:dyDescent="0.25">
      <c r="A601" t="s">
        <v>6</v>
      </c>
      <c r="B601" s="1">
        <v>46132</v>
      </c>
      <c r="C601" t="s">
        <v>577</v>
      </c>
      <c r="D601">
        <v>-241.3</v>
      </c>
      <c r="E601" t="s">
        <v>14</v>
      </c>
      <c r="F601">
        <v>4594.57</v>
      </c>
      <c r="G601" t="str" cm="1">
        <f t="array" ref="G601">IF(AND(ISNUMBER(SEARCH("UBER",C601)),ISNUMBER(SEARCH("EATS",C601))),"Uber Eats",IF(LEFT(C601,6)="CHECK ","Checks Paid",IF(OR(E601="BILLPAY",ISNUMBER(SEARCH("FRANCHISE TAX",C601)),ISNUMBER(SEARCH("NEXTLINK",C601))),"Personal - House Bills",IF(AND(ISNUMBER(SEARCH("PAYMENT FROM",C601)),ISNUMBER(SEARCH("JOE SAUNDERS",C601))),"Zelle from Joe Saunders",IF(AND(ISNUMBER(SEARCH("PAYMENT TO",C601)),ISNUMBER(SEARCH("JOE SAUNDERS",C601))),"Zelle to Joe Saunders",IF(OR(ISNUMBER(SEARCH("NEW ORLEANS",C601)),ISNUMBER(SEARCH("KENNER",C601)),ISNUMBER(SEARCH("HENRY HOWARD",C601)),ISNUMBER(SEARCH("MISS CLAUDIA",C601))),"Personal Travel - New Orleans",IFERROR(INDEX('Category Rules'!$B$2:$B$194,MATCH(TRUE,ISNUMBER(SEARCH('Category Rules'!$A$2:$A$194,C601)),0)),"")))))))</f>
        <v>Personal - Health</v>
      </c>
    </row>
    <row r="602" spans="1:7" x14ac:dyDescent="0.25">
      <c r="A602" t="s">
        <v>6</v>
      </c>
      <c r="B602" s="1">
        <v>46132</v>
      </c>
      <c r="C602" t="s">
        <v>578</v>
      </c>
      <c r="D602">
        <v>-548.74</v>
      </c>
      <c r="E602" t="s">
        <v>14</v>
      </c>
      <c r="F602">
        <v>4835.87</v>
      </c>
      <c r="G602" t="str" cm="1">
        <f t="array" ref="G602">IF(AND(ISNUMBER(SEARCH("UBER",C602)),ISNUMBER(SEARCH("EATS",C602))),"Uber Eats",IF(LEFT(C602,6)="CHECK ","Checks Paid",IF(OR(E602="BILLPAY",ISNUMBER(SEARCH("FRANCHISE TAX",C602)),ISNUMBER(SEARCH("NEXTLINK",C602))),"Personal - House Bills",IF(AND(ISNUMBER(SEARCH("PAYMENT FROM",C602)),ISNUMBER(SEARCH("JOE SAUNDERS",C602))),"Zelle from Joe Saunders",IF(AND(ISNUMBER(SEARCH("PAYMENT TO",C602)),ISNUMBER(SEARCH("JOE SAUNDERS",C602))),"Zelle to Joe Saunders",IF(OR(ISNUMBER(SEARCH("NEW ORLEANS",C602)),ISNUMBER(SEARCH("KENNER",C602)),ISNUMBER(SEARCH("HENRY HOWARD",C602)),ISNUMBER(SEARCH("MISS CLAUDIA",C602))),"Personal Travel - New Orleans",IFERROR(INDEX('Category Rules'!$B$2:$B$194,MATCH(TRUE,ISNUMBER(SEARCH('Category Rules'!$A$2:$A$194,C602)),0)),"")))))))</f>
        <v>Amazon</v>
      </c>
    </row>
    <row r="603" spans="1:7" x14ac:dyDescent="0.25">
      <c r="A603" t="s">
        <v>6</v>
      </c>
      <c r="B603" s="1">
        <v>46132</v>
      </c>
      <c r="C603" t="s">
        <v>579</v>
      </c>
      <c r="D603">
        <v>-145.52000000000001</v>
      </c>
      <c r="E603" t="s">
        <v>14</v>
      </c>
      <c r="F603">
        <v>5384.61</v>
      </c>
      <c r="G603" t="str" cm="1">
        <f t="array" ref="G603">IF(AND(ISNUMBER(SEARCH("UBER",C603)),ISNUMBER(SEARCH("EATS",C603))),"Uber Eats",IF(LEFT(C603,6)="CHECK ","Checks Paid",IF(OR(E603="BILLPAY",ISNUMBER(SEARCH("FRANCHISE TAX",C603)),ISNUMBER(SEARCH("NEXTLINK",C603))),"Personal - House Bills",IF(AND(ISNUMBER(SEARCH("PAYMENT FROM",C603)),ISNUMBER(SEARCH("JOE SAUNDERS",C603))),"Zelle from Joe Saunders",IF(AND(ISNUMBER(SEARCH("PAYMENT TO",C603)),ISNUMBER(SEARCH("JOE SAUNDERS",C603))),"Zelle to Joe Saunders",IF(OR(ISNUMBER(SEARCH("NEW ORLEANS",C603)),ISNUMBER(SEARCH("KENNER",C603)),ISNUMBER(SEARCH("HENRY HOWARD",C603)),ISNUMBER(SEARCH("MISS CLAUDIA",C603))),"Personal Travel - New Orleans",IFERROR(INDEX('Category Rules'!$B$2:$B$194,MATCH(TRUE,ISNUMBER(SEARCH('Category Rules'!$A$2:$A$194,C603)),0)),"")))))))</f>
        <v>Amazon</v>
      </c>
    </row>
    <row r="604" spans="1:7" x14ac:dyDescent="0.25">
      <c r="A604" t="s">
        <v>6</v>
      </c>
      <c r="B604" s="1">
        <v>46132</v>
      </c>
      <c r="C604" t="s">
        <v>580</v>
      </c>
      <c r="D604">
        <v>-30</v>
      </c>
      <c r="E604" t="s">
        <v>14</v>
      </c>
      <c r="F604">
        <v>5530.13</v>
      </c>
      <c r="G604" t="str" cm="1">
        <f t="array" ref="G604">IF(AND(ISNUMBER(SEARCH("UBER",C604)),ISNUMBER(SEARCH("EATS",C604))),"Uber Eats",IF(LEFT(C604,6)="CHECK ","Checks Paid",IF(OR(E604="BILLPAY",ISNUMBER(SEARCH("FRANCHISE TAX",C604)),ISNUMBER(SEARCH("NEXTLINK",C604))),"Personal - House Bills",IF(AND(ISNUMBER(SEARCH("PAYMENT FROM",C604)),ISNUMBER(SEARCH("JOE SAUNDERS",C604))),"Zelle from Joe Saunders",IF(AND(ISNUMBER(SEARCH("PAYMENT TO",C604)),ISNUMBER(SEARCH("JOE SAUNDERS",C604))),"Zelle to Joe Saunders",IF(OR(ISNUMBER(SEARCH("NEW ORLEANS",C604)),ISNUMBER(SEARCH("KENNER",C604)),ISNUMBER(SEARCH("HENRY HOWARD",C604)),ISNUMBER(SEARCH("MISS CLAUDIA",C604))),"Personal Travel - New Orleans",IFERROR(INDEX('Category Rules'!$B$2:$B$194,MATCH(TRUE,ISNUMBER(SEARCH('Category Rules'!$A$2:$A$194,C604)),0)),"")))))))</f>
        <v>Personal - Subscription</v>
      </c>
    </row>
    <row r="605" spans="1:7" x14ac:dyDescent="0.25">
      <c r="A605" t="s">
        <v>6</v>
      </c>
      <c r="B605" s="1">
        <v>46132</v>
      </c>
      <c r="C605" t="s">
        <v>581</v>
      </c>
      <c r="D605">
        <v>-208.4</v>
      </c>
      <c r="E605" t="s">
        <v>14</v>
      </c>
      <c r="F605">
        <v>5560.13</v>
      </c>
      <c r="G605" t="str" cm="1">
        <f t="array" ref="G605">IF(AND(ISNUMBER(SEARCH("UBER",C605)),ISNUMBER(SEARCH("EATS",C605))),"Uber Eats",IF(LEFT(C605,6)="CHECK ","Checks Paid",IF(OR(E605="BILLPAY",ISNUMBER(SEARCH("FRANCHISE TAX",C605)),ISNUMBER(SEARCH("NEXTLINK",C605))),"Personal - House Bills",IF(AND(ISNUMBER(SEARCH("PAYMENT FROM",C605)),ISNUMBER(SEARCH("JOE SAUNDERS",C605))),"Zelle from Joe Saunders",IF(AND(ISNUMBER(SEARCH("PAYMENT TO",C605)),ISNUMBER(SEARCH("JOE SAUNDERS",C605))),"Zelle to Joe Saunders",IF(OR(ISNUMBER(SEARCH("NEW ORLEANS",C605)),ISNUMBER(SEARCH("KENNER",C605)),ISNUMBER(SEARCH("HENRY HOWARD",C605)),ISNUMBER(SEARCH("MISS CLAUDIA",C605))),"Personal Travel - New Orleans",IFERROR(INDEX('Category Rules'!$B$2:$B$194,MATCH(TRUE,ISNUMBER(SEARCH('Category Rules'!$A$2:$A$194,C605)),0)),"")))))))</f>
        <v>Personal Travel</v>
      </c>
    </row>
    <row r="606" spans="1:7" x14ac:dyDescent="0.25">
      <c r="A606" t="s">
        <v>37</v>
      </c>
      <c r="B606" s="1">
        <v>46132</v>
      </c>
      <c r="C606" t="s">
        <v>582</v>
      </c>
      <c r="D606">
        <v>2000</v>
      </c>
      <c r="E606" t="s">
        <v>39</v>
      </c>
      <c r="F606">
        <v>5768.53</v>
      </c>
      <c r="G606" t="str" cm="1">
        <f t="array" ref="G606">IF(AND(ISNUMBER(SEARCH("UBER",C606)),ISNUMBER(SEARCH("EATS",C606))),"Uber Eats",IF(LEFT(C606,6)="CHECK ","Checks Paid",IF(OR(E606="BILLPAY",ISNUMBER(SEARCH("FRANCHISE TAX",C606)),ISNUMBER(SEARCH("NEXTLINK",C606))),"Personal - House Bills",IF(AND(ISNUMBER(SEARCH("PAYMENT FROM",C606)),ISNUMBER(SEARCH("JOE SAUNDERS",C606))),"Zelle from Joe Saunders",IF(AND(ISNUMBER(SEARCH("PAYMENT TO",C606)),ISNUMBER(SEARCH("JOE SAUNDERS",C606))),"Zelle to Joe Saunders",IF(OR(ISNUMBER(SEARCH("NEW ORLEANS",C606)),ISNUMBER(SEARCH("KENNER",C606)),ISNUMBER(SEARCH("HENRY HOWARD",C606)),ISNUMBER(SEARCH("MISS CLAUDIA",C606))),"Personal Travel - New Orleans",IFERROR(INDEX('Category Rules'!$B$2:$B$194,MATCH(TRUE,ISNUMBER(SEARCH('Category Rules'!$A$2:$A$194,C606)),0)),"")))))))</f>
        <v>Transfer from DWG Capital Group</v>
      </c>
    </row>
    <row r="607" spans="1:7" x14ac:dyDescent="0.25">
      <c r="A607" t="s">
        <v>6</v>
      </c>
      <c r="B607" s="1">
        <v>46132</v>
      </c>
      <c r="C607" t="s">
        <v>583</v>
      </c>
      <c r="D607">
        <v>5.54</v>
      </c>
      <c r="E607" t="s">
        <v>14</v>
      </c>
      <c r="F607">
        <v>3768.53</v>
      </c>
      <c r="G607" t="str" cm="1">
        <f t="array" ref="G607">IF(AND(ISNUMBER(SEARCH("UBER",C607)),ISNUMBER(SEARCH("EATS",C607))),"Uber Eats",IF(LEFT(C607,6)="CHECK ","Checks Paid",IF(OR(E607="BILLPAY",ISNUMBER(SEARCH("FRANCHISE TAX",C607)),ISNUMBER(SEARCH("NEXTLINK",C607))),"Personal - House Bills",IF(AND(ISNUMBER(SEARCH("PAYMENT FROM",C607)),ISNUMBER(SEARCH("JOE SAUNDERS",C607))),"Zelle from Joe Saunders",IF(AND(ISNUMBER(SEARCH("PAYMENT TO",C607)),ISNUMBER(SEARCH("JOE SAUNDERS",C607))),"Zelle to Joe Saunders",IF(OR(ISNUMBER(SEARCH("NEW ORLEANS",C607)),ISNUMBER(SEARCH("KENNER",C607)),ISNUMBER(SEARCH("HENRY HOWARD",C607)),ISNUMBER(SEARCH("MISS CLAUDIA",C607))),"Personal Travel - New Orleans",IFERROR(INDEX('Category Rules'!$B$2:$B$194,MATCH(TRUE,ISNUMBER(SEARCH('Category Rules'!$A$2:$A$194,C607)),0)),"")))))))</f>
        <v>Personal Travel</v>
      </c>
    </row>
    <row r="608" spans="1:7" x14ac:dyDescent="0.25">
      <c r="A608" t="s">
        <v>6</v>
      </c>
      <c r="B608" s="1">
        <v>46129</v>
      </c>
      <c r="C608" t="s">
        <v>584</v>
      </c>
      <c r="D608">
        <v>-0.17</v>
      </c>
      <c r="E608" t="s">
        <v>72</v>
      </c>
      <c r="F608">
        <v>3762.99</v>
      </c>
      <c r="G608" t="str" cm="1">
        <f t="array" ref="G608">IF(AND(ISNUMBER(SEARCH("UBER",C608)),ISNUMBER(SEARCH("EATS",C608))),"Uber Eats",IF(LEFT(C608,6)="CHECK ","Checks Paid",IF(OR(E608="BILLPAY",ISNUMBER(SEARCH("FRANCHISE TAX",C608)),ISNUMBER(SEARCH("NEXTLINK",C608))),"Personal - House Bills",IF(AND(ISNUMBER(SEARCH("PAYMENT FROM",C608)),ISNUMBER(SEARCH("JOE SAUNDERS",C608))),"Zelle from Joe Saunders",IF(AND(ISNUMBER(SEARCH("PAYMENT TO",C608)),ISNUMBER(SEARCH("JOE SAUNDERS",C608))),"Zelle to Joe Saunders",IF(OR(ISNUMBER(SEARCH("NEW ORLEANS",C608)),ISNUMBER(SEARCH("KENNER",C608)),ISNUMBER(SEARCH("HENRY HOWARD",C608)),ISNUMBER(SEARCH("MISS CLAUDIA",C608))),"Personal Travel - New Orleans",IFERROR(INDEX('Category Rules'!$B$2:$B$194,MATCH(TRUE,ISNUMBER(SEARCH('Category Rules'!$A$2:$A$194,C608)),0)),"")))))))</f>
        <v>Personal Travel - Portugal</v>
      </c>
    </row>
    <row r="609" spans="1:7" x14ac:dyDescent="0.25">
      <c r="A609" t="s">
        <v>6</v>
      </c>
      <c r="B609" s="1">
        <v>46129</v>
      </c>
      <c r="C609" t="s">
        <v>585</v>
      </c>
      <c r="D609">
        <v>-3.08</v>
      </c>
      <c r="E609" t="s">
        <v>72</v>
      </c>
      <c r="F609">
        <v>3763.16</v>
      </c>
      <c r="G609" t="str" cm="1">
        <f t="array" ref="G609">IF(AND(ISNUMBER(SEARCH("UBER",C609)),ISNUMBER(SEARCH("EATS",C609))),"Uber Eats",IF(LEFT(C609,6)="CHECK ","Checks Paid",IF(OR(E609="BILLPAY",ISNUMBER(SEARCH("FRANCHISE TAX",C609)),ISNUMBER(SEARCH("NEXTLINK",C609))),"Personal - House Bills",IF(AND(ISNUMBER(SEARCH("PAYMENT FROM",C609)),ISNUMBER(SEARCH("JOE SAUNDERS",C609))),"Zelle from Joe Saunders",IF(AND(ISNUMBER(SEARCH("PAYMENT TO",C609)),ISNUMBER(SEARCH("JOE SAUNDERS",C609))),"Zelle to Joe Saunders",IF(OR(ISNUMBER(SEARCH("NEW ORLEANS",C609)),ISNUMBER(SEARCH("KENNER",C609)),ISNUMBER(SEARCH("HENRY HOWARD",C609)),ISNUMBER(SEARCH("MISS CLAUDIA",C609))),"Personal Travel - New Orleans",IFERROR(INDEX('Category Rules'!$B$2:$B$194,MATCH(TRUE,ISNUMBER(SEARCH('Category Rules'!$A$2:$A$194,C609)),0)),"")))))))</f>
        <v>Personal Travel - Portugal</v>
      </c>
    </row>
    <row r="610" spans="1:7" x14ac:dyDescent="0.25">
      <c r="A610" t="s">
        <v>6</v>
      </c>
      <c r="B610" s="1">
        <v>46129</v>
      </c>
      <c r="C610" t="s">
        <v>586</v>
      </c>
      <c r="D610">
        <v>-35.47</v>
      </c>
      <c r="E610" t="s">
        <v>14</v>
      </c>
      <c r="F610">
        <v>3766.24</v>
      </c>
      <c r="G610" t="str" cm="1">
        <f t="array" ref="G610">IF(AND(ISNUMBER(SEARCH("UBER",C610)),ISNUMBER(SEARCH("EATS",C610))),"Uber Eats",IF(LEFT(C610,6)="CHECK ","Checks Paid",IF(OR(E610="BILLPAY",ISNUMBER(SEARCH("FRANCHISE TAX",C610)),ISNUMBER(SEARCH("NEXTLINK",C610))),"Personal - House Bills",IF(AND(ISNUMBER(SEARCH("PAYMENT FROM",C610)),ISNUMBER(SEARCH("JOE SAUNDERS",C610))),"Zelle from Joe Saunders",IF(AND(ISNUMBER(SEARCH("PAYMENT TO",C610)),ISNUMBER(SEARCH("JOE SAUNDERS",C610))),"Zelle to Joe Saunders",IF(OR(ISNUMBER(SEARCH("NEW ORLEANS",C610)),ISNUMBER(SEARCH("KENNER",C610)),ISNUMBER(SEARCH("HENRY HOWARD",C610)),ISNUMBER(SEARCH("MISS CLAUDIA",C610))),"Personal Travel - New Orleans",IFERROR(INDEX('Category Rules'!$B$2:$B$194,MATCH(TRUE,ISNUMBER(SEARCH('Category Rules'!$A$2:$A$194,C610)),0)),"")))))))</f>
        <v>Personal Travel</v>
      </c>
    </row>
    <row r="611" spans="1:7" x14ac:dyDescent="0.25">
      <c r="A611" t="s">
        <v>6</v>
      </c>
      <c r="B611" s="1">
        <v>46129</v>
      </c>
      <c r="C611" t="s">
        <v>587</v>
      </c>
      <c r="D611">
        <v>-102.92</v>
      </c>
      <c r="E611" t="s">
        <v>14</v>
      </c>
      <c r="F611">
        <v>3801.71</v>
      </c>
      <c r="G611" t="str" cm="1">
        <f t="array" ref="G611">IF(AND(ISNUMBER(SEARCH("UBER",C611)),ISNUMBER(SEARCH("EATS",C611))),"Uber Eats",IF(LEFT(C611,6)="CHECK ","Checks Paid",IF(OR(E611="BILLPAY",ISNUMBER(SEARCH("FRANCHISE TAX",C611)),ISNUMBER(SEARCH("NEXTLINK",C611))),"Personal - House Bills",IF(AND(ISNUMBER(SEARCH("PAYMENT FROM",C611)),ISNUMBER(SEARCH("JOE SAUNDERS",C611))),"Zelle from Joe Saunders",IF(AND(ISNUMBER(SEARCH("PAYMENT TO",C611)),ISNUMBER(SEARCH("JOE SAUNDERS",C611))),"Zelle to Joe Saunders",IF(OR(ISNUMBER(SEARCH("NEW ORLEANS",C611)),ISNUMBER(SEARCH("KENNER",C611)),ISNUMBER(SEARCH("HENRY HOWARD",C611)),ISNUMBER(SEARCH("MISS CLAUDIA",C611))),"Personal Travel - New Orleans",IFERROR(INDEX('Category Rules'!$B$2:$B$194,MATCH(TRUE,ISNUMBER(SEARCH('Category Rules'!$A$2:$A$194,C611)),0)),"")))))))</f>
        <v>Personal Travel</v>
      </c>
    </row>
    <row r="612" spans="1:7" x14ac:dyDescent="0.25">
      <c r="A612" t="s">
        <v>6</v>
      </c>
      <c r="B612" s="1">
        <v>46129</v>
      </c>
      <c r="C612" t="s">
        <v>588</v>
      </c>
      <c r="D612">
        <v>-7</v>
      </c>
      <c r="E612" t="s">
        <v>14</v>
      </c>
      <c r="F612">
        <v>3904.63</v>
      </c>
      <c r="G612" t="str" cm="1">
        <f t="array" ref="G612">IF(AND(ISNUMBER(SEARCH("UBER",C612)),ISNUMBER(SEARCH("EATS",C612))),"Uber Eats",IF(LEFT(C612,6)="CHECK ","Checks Paid",IF(OR(E612="BILLPAY",ISNUMBER(SEARCH("FRANCHISE TAX",C612)),ISNUMBER(SEARCH("NEXTLINK",C612))),"Personal - House Bills",IF(AND(ISNUMBER(SEARCH("PAYMENT FROM",C612)),ISNUMBER(SEARCH("JOE SAUNDERS",C612))),"Zelle from Joe Saunders",IF(AND(ISNUMBER(SEARCH("PAYMENT TO",C612)),ISNUMBER(SEARCH("JOE SAUNDERS",C612))),"Zelle to Joe Saunders",IF(OR(ISNUMBER(SEARCH("NEW ORLEANS",C612)),ISNUMBER(SEARCH("KENNER",C612)),ISNUMBER(SEARCH("HENRY HOWARD",C612)),ISNUMBER(SEARCH("MISS CLAUDIA",C612))),"Personal Travel - New Orleans",IFERROR(INDEX('Category Rules'!$B$2:$B$194,MATCH(TRUE,ISNUMBER(SEARCH('Category Rules'!$A$2:$A$194,C612)),0)),"")))))))</f>
        <v>Amazon</v>
      </c>
    </row>
    <row r="613" spans="1:7" x14ac:dyDescent="0.25">
      <c r="A613" t="s">
        <v>6</v>
      </c>
      <c r="B613" s="1">
        <v>46129</v>
      </c>
      <c r="C613" t="s">
        <v>589</v>
      </c>
      <c r="D613">
        <v>-5.9</v>
      </c>
      <c r="E613" t="s">
        <v>14</v>
      </c>
      <c r="F613">
        <v>3911.63</v>
      </c>
      <c r="G613" t="str" cm="1">
        <f t="array" ref="G613">IF(AND(ISNUMBER(SEARCH("UBER",C613)),ISNUMBER(SEARCH("EATS",C613))),"Uber Eats",IF(LEFT(C613,6)="CHECK ","Checks Paid",IF(OR(E613="BILLPAY",ISNUMBER(SEARCH("FRANCHISE TAX",C613)),ISNUMBER(SEARCH("NEXTLINK",C613))),"Personal - House Bills",IF(AND(ISNUMBER(SEARCH("PAYMENT FROM",C613)),ISNUMBER(SEARCH("JOE SAUNDERS",C613))),"Zelle from Joe Saunders",IF(AND(ISNUMBER(SEARCH("PAYMENT TO",C613)),ISNUMBER(SEARCH("JOE SAUNDERS",C613))),"Zelle to Joe Saunders",IF(OR(ISNUMBER(SEARCH("NEW ORLEANS",C613)),ISNUMBER(SEARCH("KENNER",C613)),ISNUMBER(SEARCH("HENRY HOWARD",C613)),ISNUMBER(SEARCH("MISS CLAUDIA",C613))),"Personal Travel - New Orleans",IFERROR(INDEX('Category Rules'!$B$2:$B$194,MATCH(TRUE,ISNUMBER(SEARCH('Category Rules'!$A$2:$A$194,C613)),0)),"")))))))</f>
        <v>Personal Travel</v>
      </c>
    </row>
    <row r="614" spans="1:7" x14ac:dyDescent="0.25">
      <c r="A614" t="s">
        <v>6</v>
      </c>
      <c r="B614" s="1">
        <v>46128</v>
      </c>
      <c r="C614" t="s">
        <v>243</v>
      </c>
      <c r="D614">
        <v>-5</v>
      </c>
      <c r="E614" t="s">
        <v>72</v>
      </c>
      <c r="F614">
        <v>3917.53</v>
      </c>
      <c r="G614" t="str" cm="1">
        <f t="array" ref="G614">IF(AND(ISNUMBER(SEARCH("UBER",C614)),ISNUMBER(SEARCH("EATS",C614))),"Uber Eats",IF(LEFT(C614,6)="CHECK ","Checks Paid",IF(OR(E614="BILLPAY",ISNUMBER(SEARCH("FRANCHISE TAX",C614)),ISNUMBER(SEARCH("NEXTLINK",C614))),"Personal - House Bills",IF(AND(ISNUMBER(SEARCH("PAYMENT FROM",C614)),ISNUMBER(SEARCH("JOE SAUNDERS",C614))),"Zelle from Joe Saunders",IF(AND(ISNUMBER(SEARCH("PAYMENT TO",C614)),ISNUMBER(SEARCH("JOE SAUNDERS",C614))),"Zelle to Joe Saunders",IF(OR(ISNUMBER(SEARCH("NEW ORLEANS",C614)),ISNUMBER(SEARCH("KENNER",C614)),ISNUMBER(SEARCH("HENRY HOWARD",C614)),ISNUMBER(SEARCH("MISS CLAUDIA",C614))),"Personal Travel - New Orleans",IFERROR(INDEX('Category Rules'!$B$2:$B$194,MATCH(TRUE,ISNUMBER(SEARCH('Category Rules'!$A$2:$A$194,C614)),0)),"")))))))</f>
        <v>Bank Fees</v>
      </c>
    </row>
    <row r="615" spans="1:7" x14ac:dyDescent="0.25">
      <c r="A615" t="s">
        <v>6</v>
      </c>
      <c r="B615" s="1">
        <v>46128</v>
      </c>
      <c r="C615" t="s">
        <v>243</v>
      </c>
      <c r="D615">
        <v>-5</v>
      </c>
      <c r="E615" t="s">
        <v>72</v>
      </c>
      <c r="F615">
        <v>3922.53</v>
      </c>
      <c r="G615" t="str" cm="1">
        <f t="array" ref="G615">IF(AND(ISNUMBER(SEARCH("UBER",C615)),ISNUMBER(SEARCH("EATS",C615))),"Uber Eats",IF(LEFT(C615,6)="CHECK ","Checks Paid",IF(OR(E615="BILLPAY",ISNUMBER(SEARCH("FRANCHISE TAX",C615)),ISNUMBER(SEARCH("NEXTLINK",C615))),"Personal - House Bills",IF(AND(ISNUMBER(SEARCH("PAYMENT FROM",C615)),ISNUMBER(SEARCH("JOE SAUNDERS",C615))),"Zelle from Joe Saunders",IF(AND(ISNUMBER(SEARCH("PAYMENT TO",C615)),ISNUMBER(SEARCH("JOE SAUNDERS",C615))),"Zelle to Joe Saunders",IF(OR(ISNUMBER(SEARCH("NEW ORLEANS",C615)),ISNUMBER(SEARCH("KENNER",C615)),ISNUMBER(SEARCH("HENRY HOWARD",C615)),ISNUMBER(SEARCH("MISS CLAUDIA",C615))),"Personal Travel - New Orleans",IFERROR(INDEX('Category Rules'!$B$2:$B$194,MATCH(TRUE,ISNUMBER(SEARCH('Category Rules'!$A$2:$A$194,C615)),0)),"")))))))</f>
        <v>Bank Fees</v>
      </c>
    </row>
    <row r="616" spans="1:7" x14ac:dyDescent="0.25">
      <c r="A616" t="s">
        <v>6</v>
      </c>
      <c r="B616" s="1">
        <v>46128</v>
      </c>
      <c r="C616" t="s">
        <v>243</v>
      </c>
      <c r="D616">
        <v>-5</v>
      </c>
      <c r="E616" t="s">
        <v>72</v>
      </c>
      <c r="F616">
        <v>3927.53</v>
      </c>
      <c r="G616" t="str" cm="1">
        <f t="array" ref="G616">IF(AND(ISNUMBER(SEARCH("UBER",C616)),ISNUMBER(SEARCH("EATS",C616))),"Uber Eats",IF(LEFT(C616,6)="CHECK ","Checks Paid",IF(OR(E616="BILLPAY",ISNUMBER(SEARCH("FRANCHISE TAX",C616)),ISNUMBER(SEARCH("NEXTLINK",C616))),"Personal - House Bills",IF(AND(ISNUMBER(SEARCH("PAYMENT FROM",C616)),ISNUMBER(SEARCH("JOE SAUNDERS",C616))),"Zelle from Joe Saunders",IF(AND(ISNUMBER(SEARCH("PAYMENT TO",C616)),ISNUMBER(SEARCH("JOE SAUNDERS",C616))),"Zelle to Joe Saunders",IF(OR(ISNUMBER(SEARCH("NEW ORLEANS",C616)),ISNUMBER(SEARCH("KENNER",C616)),ISNUMBER(SEARCH("HENRY HOWARD",C616)),ISNUMBER(SEARCH("MISS CLAUDIA",C616))),"Personal Travel - New Orleans",IFERROR(INDEX('Category Rules'!$B$2:$B$194,MATCH(TRUE,ISNUMBER(SEARCH('Category Rules'!$A$2:$A$194,C616)),0)),"")))))))</f>
        <v>Bank Fees</v>
      </c>
    </row>
    <row r="617" spans="1:7" x14ac:dyDescent="0.25">
      <c r="A617" t="s">
        <v>6</v>
      </c>
      <c r="B617" s="1">
        <v>46128</v>
      </c>
      <c r="C617" t="s">
        <v>590</v>
      </c>
      <c r="D617">
        <v>-101.74</v>
      </c>
      <c r="E617" t="s">
        <v>48</v>
      </c>
      <c r="F617">
        <v>3932.53</v>
      </c>
      <c r="G617" t="str" cm="1">
        <f t="array" ref="G617">IF(AND(ISNUMBER(SEARCH("UBER",C617)),ISNUMBER(SEARCH("EATS",C617))),"Uber Eats",IF(LEFT(C617,6)="CHECK ","Checks Paid",IF(OR(E617="BILLPAY",ISNUMBER(SEARCH("FRANCHISE TAX",C617)),ISNUMBER(SEARCH("NEXTLINK",C617))),"Personal - House Bills",IF(AND(ISNUMBER(SEARCH("PAYMENT FROM",C617)),ISNUMBER(SEARCH("JOE SAUNDERS",C617))),"Zelle from Joe Saunders",IF(AND(ISNUMBER(SEARCH("PAYMENT TO",C617)),ISNUMBER(SEARCH("JOE SAUNDERS",C617))),"Zelle to Joe Saunders",IF(OR(ISNUMBER(SEARCH("NEW ORLEANS",C617)),ISNUMBER(SEARCH("KENNER",C617)),ISNUMBER(SEARCH("HENRY HOWARD",C617)),ISNUMBER(SEARCH("MISS CLAUDIA",C617))),"Personal Travel - New Orleans",IFERROR(INDEX('Category Rules'!$B$2:$B$194,MATCH(TRUE,ISNUMBER(SEARCH('Category Rules'!$A$2:$A$194,C617)),0)),"")))))))</f>
        <v>Withdrawal</v>
      </c>
    </row>
    <row r="618" spans="1:7" x14ac:dyDescent="0.25">
      <c r="A618" t="s">
        <v>6</v>
      </c>
      <c r="B618" s="1">
        <v>46128</v>
      </c>
      <c r="C618" t="s">
        <v>591</v>
      </c>
      <c r="D618">
        <v>-134.03</v>
      </c>
      <c r="E618" t="s">
        <v>48</v>
      </c>
      <c r="F618">
        <v>4034.27</v>
      </c>
      <c r="G618" t="str" cm="1">
        <f t="array" ref="G618">IF(AND(ISNUMBER(SEARCH("UBER",C618)),ISNUMBER(SEARCH("EATS",C618))),"Uber Eats",IF(LEFT(C618,6)="CHECK ","Checks Paid",IF(OR(E618="BILLPAY",ISNUMBER(SEARCH("FRANCHISE TAX",C618)),ISNUMBER(SEARCH("NEXTLINK",C618))),"Personal - House Bills",IF(AND(ISNUMBER(SEARCH("PAYMENT FROM",C618)),ISNUMBER(SEARCH("JOE SAUNDERS",C618))),"Zelle from Joe Saunders",IF(AND(ISNUMBER(SEARCH("PAYMENT TO",C618)),ISNUMBER(SEARCH("JOE SAUNDERS",C618))),"Zelle to Joe Saunders",IF(OR(ISNUMBER(SEARCH("NEW ORLEANS",C618)),ISNUMBER(SEARCH("KENNER",C618)),ISNUMBER(SEARCH("HENRY HOWARD",C618)),ISNUMBER(SEARCH("MISS CLAUDIA",C618))),"Personal Travel - New Orleans",IFERROR(INDEX('Category Rules'!$B$2:$B$194,MATCH(TRUE,ISNUMBER(SEARCH('Category Rules'!$A$2:$A$194,C618)),0)),"")))))))</f>
        <v>Withdrawal</v>
      </c>
    </row>
    <row r="619" spans="1:7" x14ac:dyDescent="0.25">
      <c r="A619" t="s">
        <v>6</v>
      </c>
      <c r="B619" s="1">
        <v>46128</v>
      </c>
      <c r="C619" t="s">
        <v>592</v>
      </c>
      <c r="D619">
        <v>-268.06</v>
      </c>
      <c r="E619" t="s">
        <v>48</v>
      </c>
      <c r="F619">
        <v>4168.3</v>
      </c>
      <c r="G619" t="str" cm="1">
        <f t="array" ref="G619">IF(AND(ISNUMBER(SEARCH("UBER",C619)),ISNUMBER(SEARCH("EATS",C619))),"Uber Eats",IF(LEFT(C619,6)="CHECK ","Checks Paid",IF(OR(E619="BILLPAY",ISNUMBER(SEARCH("FRANCHISE TAX",C619)),ISNUMBER(SEARCH("NEXTLINK",C619))),"Personal - House Bills",IF(AND(ISNUMBER(SEARCH("PAYMENT FROM",C619)),ISNUMBER(SEARCH("JOE SAUNDERS",C619))),"Zelle from Joe Saunders",IF(AND(ISNUMBER(SEARCH("PAYMENT TO",C619)),ISNUMBER(SEARCH("JOE SAUNDERS",C619))),"Zelle to Joe Saunders",IF(OR(ISNUMBER(SEARCH("NEW ORLEANS",C619)),ISNUMBER(SEARCH("KENNER",C619)),ISNUMBER(SEARCH("HENRY HOWARD",C619)),ISNUMBER(SEARCH("MISS CLAUDIA",C619))),"Personal Travel - New Orleans",IFERROR(INDEX('Category Rules'!$B$2:$B$194,MATCH(TRUE,ISNUMBER(SEARCH('Category Rules'!$A$2:$A$194,C619)),0)),"")))))))</f>
        <v>Withdrawal</v>
      </c>
    </row>
    <row r="620" spans="1:7" x14ac:dyDescent="0.25">
      <c r="A620" t="s">
        <v>6</v>
      </c>
      <c r="B620" s="1">
        <v>46128</v>
      </c>
      <c r="C620" t="s">
        <v>593</v>
      </c>
      <c r="D620">
        <v>-91.33</v>
      </c>
      <c r="E620" t="s">
        <v>14</v>
      </c>
      <c r="F620">
        <v>4436.3599999999997</v>
      </c>
      <c r="G620" t="str" cm="1">
        <f t="array" ref="G620">IF(AND(ISNUMBER(SEARCH("UBER",C620)),ISNUMBER(SEARCH("EATS",C620))),"Uber Eats",IF(LEFT(C620,6)="CHECK ","Checks Paid",IF(OR(E620="BILLPAY",ISNUMBER(SEARCH("FRANCHISE TAX",C620)),ISNUMBER(SEARCH("NEXTLINK",C620))),"Personal - House Bills",IF(AND(ISNUMBER(SEARCH("PAYMENT FROM",C620)),ISNUMBER(SEARCH("JOE SAUNDERS",C620))),"Zelle from Joe Saunders",IF(AND(ISNUMBER(SEARCH("PAYMENT TO",C620)),ISNUMBER(SEARCH("JOE SAUNDERS",C620))),"Zelle to Joe Saunders",IF(OR(ISNUMBER(SEARCH("NEW ORLEANS",C620)),ISNUMBER(SEARCH("KENNER",C620)),ISNUMBER(SEARCH("HENRY HOWARD",C620)),ISNUMBER(SEARCH("MISS CLAUDIA",C620))),"Personal Travel - New Orleans",IFERROR(INDEX('Category Rules'!$B$2:$B$194,MATCH(TRUE,ISNUMBER(SEARCH('Category Rules'!$A$2:$A$194,C620)),0)),"")))))))</f>
        <v>Amazon</v>
      </c>
    </row>
    <row r="621" spans="1:7" x14ac:dyDescent="0.25">
      <c r="A621" t="s">
        <v>6</v>
      </c>
      <c r="B621" s="1">
        <v>46128</v>
      </c>
      <c r="C621" t="s">
        <v>594</v>
      </c>
      <c r="D621">
        <v>-344</v>
      </c>
      <c r="E621" t="s">
        <v>14</v>
      </c>
      <c r="F621">
        <v>4527.6899999999996</v>
      </c>
      <c r="G621" t="str" cm="1">
        <f t="array" ref="G621">IF(AND(ISNUMBER(SEARCH("UBER",C621)),ISNUMBER(SEARCH("EATS",C621))),"Uber Eats",IF(LEFT(C621,6)="CHECK ","Checks Paid",IF(OR(E621="BILLPAY",ISNUMBER(SEARCH("FRANCHISE TAX",C621)),ISNUMBER(SEARCH("NEXTLINK",C621))),"Personal - House Bills",IF(AND(ISNUMBER(SEARCH("PAYMENT FROM",C621)),ISNUMBER(SEARCH("JOE SAUNDERS",C621))),"Zelle from Joe Saunders",IF(AND(ISNUMBER(SEARCH("PAYMENT TO",C621)),ISNUMBER(SEARCH("JOE SAUNDERS",C621))),"Zelle to Joe Saunders",IF(OR(ISNUMBER(SEARCH("NEW ORLEANS",C621)),ISNUMBER(SEARCH("KENNER",C621)),ISNUMBER(SEARCH("HENRY HOWARD",C621)),ISNUMBER(SEARCH("MISS CLAUDIA",C621))),"Personal Travel - New Orleans",IFERROR(INDEX('Category Rules'!$B$2:$B$194,MATCH(TRUE,ISNUMBER(SEARCH('Category Rules'!$A$2:$A$194,C621)),0)),"")))))))</f>
        <v>Personal Travel</v>
      </c>
    </row>
    <row r="622" spans="1:7" x14ac:dyDescent="0.25">
      <c r="A622" t="s">
        <v>6</v>
      </c>
      <c r="B622" s="1">
        <v>46127</v>
      </c>
      <c r="C622" t="s">
        <v>595</v>
      </c>
      <c r="D622">
        <v>-3.55</v>
      </c>
      <c r="E622" t="s">
        <v>72</v>
      </c>
      <c r="F622">
        <v>4871.6899999999996</v>
      </c>
      <c r="G622" t="str" cm="1">
        <f t="array" ref="G622">IF(AND(ISNUMBER(SEARCH("UBER",C622)),ISNUMBER(SEARCH("EATS",C622))),"Uber Eats",IF(LEFT(C622,6)="CHECK ","Checks Paid",IF(OR(E622="BILLPAY",ISNUMBER(SEARCH("FRANCHISE TAX",C622)),ISNUMBER(SEARCH("NEXTLINK",C622))),"Personal - House Bills",IF(AND(ISNUMBER(SEARCH("PAYMENT FROM",C622)),ISNUMBER(SEARCH("JOE SAUNDERS",C622))),"Zelle from Joe Saunders",IF(AND(ISNUMBER(SEARCH("PAYMENT TO",C622)),ISNUMBER(SEARCH("JOE SAUNDERS",C622))),"Zelle to Joe Saunders",IF(OR(ISNUMBER(SEARCH("NEW ORLEANS",C622)),ISNUMBER(SEARCH("KENNER",C622)),ISNUMBER(SEARCH("HENRY HOWARD",C622)),ISNUMBER(SEARCH("MISS CLAUDIA",C622))),"Personal Travel - New Orleans",IFERROR(INDEX('Category Rules'!$B$2:$B$194,MATCH(TRUE,ISNUMBER(SEARCH('Category Rules'!$A$2:$A$194,C622)),0)),"")))))))</f>
        <v>Personal Travel - Portugal</v>
      </c>
    </row>
    <row r="623" spans="1:7" x14ac:dyDescent="0.25">
      <c r="A623" t="s">
        <v>6</v>
      </c>
      <c r="B623" s="1">
        <v>46127</v>
      </c>
      <c r="C623" t="s">
        <v>596</v>
      </c>
      <c r="D623">
        <v>-16.45</v>
      </c>
      <c r="E623" t="s">
        <v>14</v>
      </c>
      <c r="F623">
        <v>4875.24</v>
      </c>
      <c r="G623" t="str" cm="1">
        <f t="array" ref="G623">IF(AND(ISNUMBER(SEARCH("UBER",C623)),ISNUMBER(SEARCH("EATS",C623))),"Uber Eats",IF(LEFT(C623,6)="CHECK ","Checks Paid",IF(OR(E623="BILLPAY",ISNUMBER(SEARCH("FRANCHISE TAX",C623)),ISNUMBER(SEARCH("NEXTLINK",C623))),"Personal - House Bills",IF(AND(ISNUMBER(SEARCH("PAYMENT FROM",C623)),ISNUMBER(SEARCH("JOE SAUNDERS",C623))),"Zelle from Joe Saunders",IF(AND(ISNUMBER(SEARCH("PAYMENT TO",C623)),ISNUMBER(SEARCH("JOE SAUNDERS",C623))),"Zelle to Joe Saunders",IF(OR(ISNUMBER(SEARCH("NEW ORLEANS",C623)),ISNUMBER(SEARCH("KENNER",C623)),ISNUMBER(SEARCH("HENRY HOWARD",C623)),ISNUMBER(SEARCH("MISS CLAUDIA",C623))),"Personal Travel - New Orleans",IFERROR(INDEX('Category Rules'!$B$2:$B$194,MATCH(TRUE,ISNUMBER(SEARCH('Category Rules'!$A$2:$A$194,C623)),0)),"")))))))</f>
        <v>Amazon</v>
      </c>
    </row>
    <row r="624" spans="1:7" x14ac:dyDescent="0.25">
      <c r="A624" t="s">
        <v>6</v>
      </c>
      <c r="B624" s="1">
        <v>46127</v>
      </c>
      <c r="C624" t="s">
        <v>597</v>
      </c>
      <c r="D624">
        <v>-118.61</v>
      </c>
      <c r="E624" t="s">
        <v>14</v>
      </c>
      <c r="F624">
        <v>4891.6899999999996</v>
      </c>
      <c r="G624" t="str" cm="1">
        <f t="array" ref="G624">IF(AND(ISNUMBER(SEARCH("UBER",C624)),ISNUMBER(SEARCH("EATS",C624))),"Uber Eats",IF(LEFT(C624,6)="CHECK ","Checks Paid",IF(OR(E624="BILLPAY",ISNUMBER(SEARCH("FRANCHISE TAX",C624)),ISNUMBER(SEARCH("NEXTLINK",C624))),"Personal - House Bills",IF(AND(ISNUMBER(SEARCH("PAYMENT FROM",C624)),ISNUMBER(SEARCH("JOE SAUNDERS",C624))),"Zelle from Joe Saunders",IF(AND(ISNUMBER(SEARCH("PAYMENT TO",C624)),ISNUMBER(SEARCH("JOE SAUNDERS",C624))),"Zelle to Joe Saunders",IF(OR(ISNUMBER(SEARCH("NEW ORLEANS",C624)),ISNUMBER(SEARCH("KENNER",C624)),ISNUMBER(SEARCH("HENRY HOWARD",C624)),ISNUMBER(SEARCH("MISS CLAUDIA",C624))),"Personal Travel - New Orleans",IFERROR(INDEX('Category Rules'!$B$2:$B$194,MATCH(TRUE,ISNUMBER(SEARCH('Category Rules'!$A$2:$A$194,C624)),0)),"")))))))</f>
        <v>Personal Travel</v>
      </c>
    </row>
    <row r="625" spans="1:7" x14ac:dyDescent="0.25">
      <c r="A625" t="s">
        <v>6</v>
      </c>
      <c r="B625" s="1">
        <v>46126</v>
      </c>
      <c r="C625" t="s">
        <v>598</v>
      </c>
      <c r="D625">
        <v>-1.35</v>
      </c>
      <c r="E625" t="s">
        <v>72</v>
      </c>
      <c r="F625">
        <v>5010.3</v>
      </c>
      <c r="G625" t="str" cm="1">
        <f t="array" ref="G625">IF(AND(ISNUMBER(SEARCH("UBER",C625)),ISNUMBER(SEARCH("EATS",C625))),"Uber Eats",IF(LEFT(C625,6)="CHECK ","Checks Paid",IF(OR(E625="BILLPAY",ISNUMBER(SEARCH("FRANCHISE TAX",C625)),ISNUMBER(SEARCH("NEXTLINK",C625))),"Personal - House Bills",IF(AND(ISNUMBER(SEARCH("PAYMENT FROM",C625)),ISNUMBER(SEARCH("JOE SAUNDERS",C625))),"Zelle from Joe Saunders",IF(AND(ISNUMBER(SEARCH("PAYMENT TO",C625)),ISNUMBER(SEARCH("JOE SAUNDERS",C625))),"Zelle to Joe Saunders",IF(OR(ISNUMBER(SEARCH("NEW ORLEANS",C625)),ISNUMBER(SEARCH("KENNER",C625)),ISNUMBER(SEARCH("HENRY HOWARD",C625)),ISNUMBER(SEARCH("MISS CLAUDIA",C625))),"Personal Travel - New Orleans",IFERROR(INDEX('Category Rules'!$B$2:$B$194,MATCH(TRUE,ISNUMBER(SEARCH('Category Rules'!$A$2:$A$194,C625)),0)),"")))))))</f>
        <v>Personal Travel - Portugal</v>
      </c>
    </row>
    <row r="626" spans="1:7" x14ac:dyDescent="0.25">
      <c r="A626" t="s">
        <v>6</v>
      </c>
      <c r="B626" s="1">
        <v>46126</v>
      </c>
      <c r="C626" t="s">
        <v>599</v>
      </c>
      <c r="D626">
        <v>-6.47</v>
      </c>
      <c r="E626" t="s">
        <v>72</v>
      </c>
      <c r="F626">
        <v>5011.6499999999996</v>
      </c>
      <c r="G626" t="str" cm="1">
        <f t="array" ref="G626">IF(AND(ISNUMBER(SEARCH("UBER",C626)),ISNUMBER(SEARCH("EATS",C626))),"Uber Eats",IF(LEFT(C626,6)="CHECK ","Checks Paid",IF(OR(E626="BILLPAY",ISNUMBER(SEARCH("FRANCHISE TAX",C626)),ISNUMBER(SEARCH("NEXTLINK",C626))),"Personal - House Bills",IF(AND(ISNUMBER(SEARCH("PAYMENT FROM",C626)),ISNUMBER(SEARCH("JOE SAUNDERS",C626))),"Zelle from Joe Saunders",IF(AND(ISNUMBER(SEARCH("PAYMENT TO",C626)),ISNUMBER(SEARCH("JOE SAUNDERS",C626))),"Zelle to Joe Saunders",IF(OR(ISNUMBER(SEARCH("NEW ORLEANS",C626)),ISNUMBER(SEARCH("KENNER",C626)),ISNUMBER(SEARCH("HENRY HOWARD",C626)),ISNUMBER(SEARCH("MISS CLAUDIA",C626))),"Personal Travel - New Orleans",IFERROR(INDEX('Category Rules'!$B$2:$B$194,MATCH(TRUE,ISNUMBER(SEARCH('Category Rules'!$A$2:$A$194,C626)),0)),"")))))))</f>
        <v>Personal Travel - Portugal</v>
      </c>
    </row>
    <row r="627" spans="1:7" x14ac:dyDescent="0.25">
      <c r="A627" t="s">
        <v>6</v>
      </c>
      <c r="B627" s="1">
        <v>46126</v>
      </c>
      <c r="C627" t="s">
        <v>600</v>
      </c>
      <c r="D627">
        <v>-6.79</v>
      </c>
      <c r="E627" t="s">
        <v>72</v>
      </c>
      <c r="F627">
        <v>5018.12</v>
      </c>
      <c r="G627" t="str" cm="1">
        <f t="array" ref="G627">IF(AND(ISNUMBER(SEARCH("UBER",C627)),ISNUMBER(SEARCH("EATS",C627))),"Uber Eats",IF(LEFT(C627,6)="CHECK ","Checks Paid",IF(OR(E627="BILLPAY",ISNUMBER(SEARCH("FRANCHISE TAX",C627)),ISNUMBER(SEARCH("NEXTLINK",C627))),"Personal - House Bills",IF(AND(ISNUMBER(SEARCH("PAYMENT FROM",C627)),ISNUMBER(SEARCH("JOE SAUNDERS",C627))),"Zelle from Joe Saunders",IF(AND(ISNUMBER(SEARCH("PAYMENT TO",C627)),ISNUMBER(SEARCH("JOE SAUNDERS",C627))),"Zelle to Joe Saunders",IF(OR(ISNUMBER(SEARCH("NEW ORLEANS",C627)),ISNUMBER(SEARCH("KENNER",C627)),ISNUMBER(SEARCH("HENRY HOWARD",C627)),ISNUMBER(SEARCH("MISS CLAUDIA",C627))),"Personal Travel - New Orleans",IFERROR(INDEX('Category Rules'!$B$2:$B$194,MATCH(TRUE,ISNUMBER(SEARCH('Category Rules'!$A$2:$A$194,C627)),0)),"")))))))</f>
        <v>Personal Travel - Portugal</v>
      </c>
    </row>
    <row r="628" spans="1:7" x14ac:dyDescent="0.25">
      <c r="A628" t="s">
        <v>6</v>
      </c>
      <c r="B628" s="1">
        <v>46126</v>
      </c>
      <c r="C628" t="s">
        <v>601</v>
      </c>
      <c r="D628">
        <v>-59.99</v>
      </c>
      <c r="E628" t="s">
        <v>14</v>
      </c>
      <c r="F628">
        <v>5024.91</v>
      </c>
      <c r="G628" t="str" cm="1">
        <f t="array" ref="G628">IF(AND(ISNUMBER(SEARCH("UBER",C628)),ISNUMBER(SEARCH("EATS",C628))),"Uber Eats",IF(LEFT(C628,6)="CHECK ","Checks Paid",IF(OR(E628="BILLPAY",ISNUMBER(SEARCH("FRANCHISE TAX",C628)),ISNUMBER(SEARCH("NEXTLINK",C628))),"Personal - House Bills",IF(AND(ISNUMBER(SEARCH("PAYMENT FROM",C628)),ISNUMBER(SEARCH("JOE SAUNDERS",C628))),"Zelle from Joe Saunders",IF(AND(ISNUMBER(SEARCH("PAYMENT TO",C628)),ISNUMBER(SEARCH("JOE SAUNDERS",C628))),"Zelle to Joe Saunders",IF(OR(ISNUMBER(SEARCH("NEW ORLEANS",C628)),ISNUMBER(SEARCH("KENNER",C628)),ISNUMBER(SEARCH("HENRY HOWARD",C628)),ISNUMBER(SEARCH("MISS CLAUDIA",C628))),"Personal Travel - New Orleans",IFERROR(INDEX('Category Rules'!$B$2:$B$194,MATCH(TRUE,ISNUMBER(SEARCH('Category Rules'!$A$2:$A$194,C628)),0)),"")))))))</f>
        <v>Apple</v>
      </c>
    </row>
    <row r="629" spans="1:7" x14ac:dyDescent="0.25">
      <c r="A629" t="s">
        <v>6</v>
      </c>
      <c r="B629" s="1">
        <v>46126</v>
      </c>
      <c r="C629" t="s">
        <v>602</v>
      </c>
      <c r="D629">
        <v>-18.489999999999998</v>
      </c>
      <c r="E629" t="s">
        <v>14</v>
      </c>
      <c r="F629">
        <v>5084.8999999999996</v>
      </c>
      <c r="G629" t="str" cm="1">
        <f t="array" ref="G629">IF(AND(ISNUMBER(SEARCH("UBER",C629)),ISNUMBER(SEARCH("EATS",C629))),"Uber Eats",IF(LEFT(C629,6)="CHECK ","Checks Paid",IF(OR(E629="BILLPAY",ISNUMBER(SEARCH("FRANCHISE TAX",C629)),ISNUMBER(SEARCH("NEXTLINK",C629))),"Personal - House Bills",IF(AND(ISNUMBER(SEARCH("PAYMENT FROM",C629)),ISNUMBER(SEARCH("JOE SAUNDERS",C629))),"Zelle from Joe Saunders",IF(AND(ISNUMBER(SEARCH("PAYMENT TO",C629)),ISNUMBER(SEARCH("JOE SAUNDERS",C629))),"Zelle to Joe Saunders",IF(OR(ISNUMBER(SEARCH("NEW ORLEANS",C629)),ISNUMBER(SEARCH("KENNER",C629)),ISNUMBER(SEARCH("HENRY HOWARD",C629)),ISNUMBER(SEARCH("MISS CLAUDIA",C629))),"Personal Travel - New Orleans",IFERROR(INDEX('Category Rules'!$B$2:$B$194,MATCH(TRUE,ISNUMBER(SEARCH('Category Rules'!$A$2:$A$194,C629)),0)),"")))))))</f>
        <v>Amazon</v>
      </c>
    </row>
    <row r="630" spans="1:7" x14ac:dyDescent="0.25">
      <c r="A630" t="s">
        <v>6</v>
      </c>
      <c r="B630" s="1">
        <v>46126</v>
      </c>
      <c r="C630" t="s">
        <v>603</v>
      </c>
      <c r="D630">
        <v>-226.51</v>
      </c>
      <c r="E630" t="s">
        <v>14</v>
      </c>
      <c r="F630">
        <v>5103.3900000000003</v>
      </c>
      <c r="G630" t="str" cm="1">
        <f t="array" ref="G630">IF(AND(ISNUMBER(SEARCH("UBER",C630)),ISNUMBER(SEARCH("EATS",C630))),"Uber Eats",IF(LEFT(C630,6)="CHECK ","Checks Paid",IF(OR(E630="BILLPAY",ISNUMBER(SEARCH("FRANCHISE TAX",C630)),ISNUMBER(SEARCH("NEXTLINK",C630))),"Personal - House Bills",IF(AND(ISNUMBER(SEARCH("PAYMENT FROM",C630)),ISNUMBER(SEARCH("JOE SAUNDERS",C630))),"Zelle from Joe Saunders",IF(AND(ISNUMBER(SEARCH("PAYMENT TO",C630)),ISNUMBER(SEARCH("JOE SAUNDERS",C630))),"Zelle to Joe Saunders",IF(OR(ISNUMBER(SEARCH("NEW ORLEANS",C630)),ISNUMBER(SEARCH("KENNER",C630)),ISNUMBER(SEARCH("HENRY HOWARD",C630)),ISNUMBER(SEARCH("MISS CLAUDIA",C630))),"Personal Travel - New Orleans",IFERROR(INDEX('Category Rules'!$B$2:$B$194,MATCH(TRUE,ISNUMBER(SEARCH('Category Rules'!$A$2:$A$194,C630)),0)),"")))))))</f>
        <v>Personal Travel</v>
      </c>
    </row>
    <row r="631" spans="1:7" x14ac:dyDescent="0.25">
      <c r="A631" t="s">
        <v>6</v>
      </c>
      <c r="B631" s="1">
        <v>46126</v>
      </c>
      <c r="C631" t="s">
        <v>604</v>
      </c>
      <c r="D631">
        <v>-215.72</v>
      </c>
      <c r="E631" t="s">
        <v>14</v>
      </c>
      <c r="F631">
        <v>5329.9</v>
      </c>
      <c r="G631" t="str" cm="1">
        <f t="array" ref="G631">IF(AND(ISNUMBER(SEARCH("UBER",C631)),ISNUMBER(SEARCH("EATS",C631))),"Uber Eats",IF(LEFT(C631,6)="CHECK ","Checks Paid",IF(OR(E631="BILLPAY",ISNUMBER(SEARCH("FRANCHISE TAX",C631)),ISNUMBER(SEARCH("NEXTLINK",C631))),"Personal - House Bills",IF(AND(ISNUMBER(SEARCH("PAYMENT FROM",C631)),ISNUMBER(SEARCH("JOE SAUNDERS",C631))),"Zelle from Joe Saunders",IF(AND(ISNUMBER(SEARCH("PAYMENT TO",C631)),ISNUMBER(SEARCH("JOE SAUNDERS",C631))),"Zelle to Joe Saunders",IF(OR(ISNUMBER(SEARCH("NEW ORLEANS",C631)),ISNUMBER(SEARCH("KENNER",C631)),ISNUMBER(SEARCH("HENRY HOWARD",C631)),ISNUMBER(SEARCH("MISS CLAUDIA",C631))),"Personal Travel - New Orleans",IFERROR(INDEX('Category Rules'!$B$2:$B$194,MATCH(TRUE,ISNUMBER(SEARCH('Category Rules'!$A$2:$A$194,C631)),0)),"")))))))</f>
        <v>Personal Travel</v>
      </c>
    </row>
    <row r="632" spans="1:7" x14ac:dyDescent="0.25">
      <c r="A632" t="s">
        <v>6</v>
      </c>
      <c r="B632" s="1">
        <v>46126</v>
      </c>
      <c r="C632" t="s">
        <v>605</v>
      </c>
      <c r="D632">
        <v>-45.3</v>
      </c>
      <c r="E632" t="s">
        <v>14</v>
      </c>
      <c r="F632">
        <v>5545.62</v>
      </c>
      <c r="G632" t="str" cm="1">
        <f t="array" ref="G632">IF(AND(ISNUMBER(SEARCH("UBER",C632)),ISNUMBER(SEARCH("EATS",C632))),"Uber Eats",IF(LEFT(C632,6)="CHECK ","Checks Paid",IF(OR(E632="BILLPAY",ISNUMBER(SEARCH("FRANCHISE TAX",C632)),ISNUMBER(SEARCH("NEXTLINK",C632))),"Personal - House Bills",IF(AND(ISNUMBER(SEARCH("PAYMENT FROM",C632)),ISNUMBER(SEARCH("JOE SAUNDERS",C632))),"Zelle from Joe Saunders",IF(AND(ISNUMBER(SEARCH("PAYMENT TO",C632)),ISNUMBER(SEARCH("JOE SAUNDERS",C632))),"Zelle to Joe Saunders",IF(OR(ISNUMBER(SEARCH("NEW ORLEANS",C632)),ISNUMBER(SEARCH("KENNER",C632)),ISNUMBER(SEARCH("HENRY HOWARD",C632)),ISNUMBER(SEARCH("MISS CLAUDIA",C632))),"Personal Travel - New Orleans",IFERROR(INDEX('Category Rules'!$B$2:$B$194,MATCH(TRUE,ISNUMBER(SEARCH('Category Rules'!$A$2:$A$194,C632)),0)),"")))))))</f>
        <v>Personal Travel</v>
      </c>
    </row>
    <row r="633" spans="1:7" x14ac:dyDescent="0.25">
      <c r="A633" t="s">
        <v>6</v>
      </c>
      <c r="B633" s="1">
        <v>46125</v>
      </c>
      <c r="C633" t="s">
        <v>606</v>
      </c>
      <c r="D633">
        <v>-7.0000000000000007E-2</v>
      </c>
      <c r="E633" t="s">
        <v>72</v>
      </c>
      <c r="F633">
        <v>5590.92</v>
      </c>
      <c r="G633" t="str" cm="1">
        <f t="array" ref="G633">IF(AND(ISNUMBER(SEARCH("UBER",C633)),ISNUMBER(SEARCH("EATS",C633))),"Uber Eats",IF(LEFT(C633,6)="CHECK ","Checks Paid",IF(OR(E633="BILLPAY",ISNUMBER(SEARCH("FRANCHISE TAX",C633)),ISNUMBER(SEARCH("NEXTLINK",C633))),"Personal - House Bills",IF(AND(ISNUMBER(SEARCH("PAYMENT FROM",C633)),ISNUMBER(SEARCH("JOE SAUNDERS",C633))),"Zelle from Joe Saunders",IF(AND(ISNUMBER(SEARCH("PAYMENT TO",C633)),ISNUMBER(SEARCH("JOE SAUNDERS",C633))),"Zelle to Joe Saunders",IF(OR(ISNUMBER(SEARCH("NEW ORLEANS",C633)),ISNUMBER(SEARCH("KENNER",C633)),ISNUMBER(SEARCH("HENRY HOWARD",C633)),ISNUMBER(SEARCH("MISS CLAUDIA",C633))),"Personal Travel - New Orleans",IFERROR(INDEX('Category Rules'!$B$2:$B$194,MATCH(TRUE,ISNUMBER(SEARCH('Category Rules'!$A$2:$A$194,C633)),0)),"")))))))</f>
        <v>Personal Travel - Portugal</v>
      </c>
    </row>
    <row r="634" spans="1:7" x14ac:dyDescent="0.25">
      <c r="A634" t="s">
        <v>6</v>
      </c>
      <c r="B634" s="1">
        <v>46125</v>
      </c>
      <c r="C634" t="s">
        <v>607</v>
      </c>
      <c r="D634">
        <v>-1.1000000000000001</v>
      </c>
      <c r="E634" t="s">
        <v>72</v>
      </c>
      <c r="F634">
        <v>5590.99</v>
      </c>
      <c r="G634" t="str" cm="1">
        <f t="array" ref="G634">IF(AND(ISNUMBER(SEARCH("UBER",C634)),ISNUMBER(SEARCH("EATS",C634))),"Uber Eats",IF(LEFT(C634,6)="CHECK ","Checks Paid",IF(OR(E634="BILLPAY",ISNUMBER(SEARCH("FRANCHISE TAX",C634)),ISNUMBER(SEARCH("NEXTLINK",C634))),"Personal - House Bills",IF(AND(ISNUMBER(SEARCH("PAYMENT FROM",C634)),ISNUMBER(SEARCH("JOE SAUNDERS",C634))),"Zelle from Joe Saunders",IF(AND(ISNUMBER(SEARCH("PAYMENT TO",C634)),ISNUMBER(SEARCH("JOE SAUNDERS",C634))),"Zelle to Joe Saunders",IF(OR(ISNUMBER(SEARCH("NEW ORLEANS",C634)),ISNUMBER(SEARCH("KENNER",C634)),ISNUMBER(SEARCH("HENRY HOWARD",C634)),ISNUMBER(SEARCH("MISS CLAUDIA",C634))),"Personal Travel - New Orleans",IFERROR(INDEX('Category Rules'!$B$2:$B$194,MATCH(TRUE,ISNUMBER(SEARCH('Category Rules'!$A$2:$A$194,C634)),0)),"")))))))</f>
        <v>Personal Travel - Portugal</v>
      </c>
    </row>
    <row r="635" spans="1:7" x14ac:dyDescent="0.25">
      <c r="A635" t="s">
        <v>6</v>
      </c>
      <c r="B635" s="1">
        <v>46125</v>
      </c>
      <c r="C635" t="s">
        <v>608</v>
      </c>
      <c r="D635">
        <v>-1.58</v>
      </c>
      <c r="E635" t="s">
        <v>72</v>
      </c>
      <c r="F635">
        <v>5592.09</v>
      </c>
      <c r="G635" t="str" cm="1">
        <f t="array" ref="G635">IF(AND(ISNUMBER(SEARCH("UBER",C635)),ISNUMBER(SEARCH("EATS",C635))),"Uber Eats",IF(LEFT(C635,6)="CHECK ","Checks Paid",IF(OR(E635="BILLPAY",ISNUMBER(SEARCH("FRANCHISE TAX",C635)),ISNUMBER(SEARCH("NEXTLINK",C635))),"Personal - House Bills",IF(AND(ISNUMBER(SEARCH("PAYMENT FROM",C635)),ISNUMBER(SEARCH("JOE SAUNDERS",C635))),"Zelle from Joe Saunders",IF(AND(ISNUMBER(SEARCH("PAYMENT TO",C635)),ISNUMBER(SEARCH("JOE SAUNDERS",C635))),"Zelle to Joe Saunders",IF(OR(ISNUMBER(SEARCH("NEW ORLEANS",C635)),ISNUMBER(SEARCH("KENNER",C635)),ISNUMBER(SEARCH("HENRY HOWARD",C635)),ISNUMBER(SEARCH("MISS CLAUDIA",C635))),"Personal Travel - New Orleans",IFERROR(INDEX('Category Rules'!$B$2:$B$194,MATCH(TRUE,ISNUMBER(SEARCH('Category Rules'!$A$2:$A$194,C635)),0)),"")))))))</f>
        <v>Personal Travel - Portugal</v>
      </c>
    </row>
    <row r="636" spans="1:7" x14ac:dyDescent="0.25">
      <c r="A636" t="s">
        <v>6</v>
      </c>
      <c r="B636" s="1">
        <v>46125</v>
      </c>
      <c r="C636" t="s">
        <v>609</v>
      </c>
      <c r="D636">
        <v>-1.97</v>
      </c>
      <c r="E636" t="s">
        <v>72</v>
      </c>
      <c r="F636">
        <v>5593.67</v>
      </c>
      <c r="G636" t="str" cm="1">
        <f t="array" ref="G636">IF(AND(ISNUMBER(SEARCH("UBER",C636)),ISNUMBER(SEARCH("EATS",C636))),"Uber Eats",IF(LEFT(C636,6)="CHECK ","Checks Paid",IF(OR(E636="BILLPAY",ISNUMBER(SEARCH("FRANCHISE TAX",C636)),ISNUMBER(SEARCH("NEXTLINK",C636))),"Personal - House Bills",IF(AND(ISNUMBER(SEARCH("PAYMENT FROM",C636)),ISNUMBER(SEARCH("JOE SAUNDERS",C636))),"Zelle from Joe Saunders",IF(AND(ISNUMBER(SEARCH("PAYMENT TO",C636)),ISNUMBER(SEARCH("JOE SAUNDERS",C636))),"Zelle to Joe Saunders",IF(OR(ISNUMBER(SEARCH("NEW ORLEANS",C636)),ISNUMBER(SEARCH("KENNER",C636)),ISNUMBER(SEARCH("HENRY HOWARD",C636)),ISNUMBER(SEARCH("MISS CLAUDIA",C636))),"Personal Travel - New Orleans",IFERROR(INDEX('Category Rules'!$B$2:$B$194,MATCH(TRUE,ISNUMBER(SEARCH('Category Rules'!$A$2:$A$194,C636)),0)),"")))))))</f>
        <v>Personal Travel - Portugal</v>
      </c>
    </row>
    <row r="637" spans="1:7" x14ac:dyDescent="0.25">
      <c r="A637" t="s">
        <v>6</v>
      </c>
      <c r="B637" s="1">
        <v>46125</v>
      </c>
      <c r="C637" t="s">
        <v>610</v>
      </c>
      <c r="D637">
        <v>-2.0699999999999998</v>
      </c>
      <c r="E637" t="s">
        <v>72</v>
      </c>
      <c r="F637">
        <v>5595.64</v>
      </c>
      <c r="G637" t="str" cm="1">
        <f t="array" ref="G637">IF(AND(ISNUMBER(SEARCH("UBER",C637)),ISNUMBER(SEARCH("EATS",C637))),"Uber Eats",IF(LEFT(C637,6)="CHECK ","Checks Paid",IF(OR(E637="BILLPAY",ISNUMBER(SEARCH("FRANCHISE TAX",C637)),ISNUMBER(SEARCH("NEXTLINK",C637))),"Personal - House Bills",IF(AND(ISNUMBER(SEARCH("PAYMENT FROM",C637)),ISNUMBER(SEARCH("JOE SAUNDERS",C637))),"Zelle from Joe Saunders",IF(AND(ISNUMBER(SEARCH("PAYMENT TO",C637)),ISNUMBER(SEARCH("JOE SAUNDERS",C637))),"Zelle to Joe Saunders",IF(OR(ISNUMBER(SEARCH("NEW ORLEANS",C637)),ISNUMBER(SEARCH("KENNER",C637)),ISNUMBER(SEARCH("HENRY HOWARD",C637)),ISNUMBER(SEARCH("MISS CLAUDIA",C637))),"Personal Travel - New Orleans",IFERROR(INDEX('Category Rules'!$B$2:$B$194,MATCH(TRUE,ISNUMBER(SEARCH('Category Rules'!$A$2:$A$194,C637)),0)),"")))))))</f>
        <v>Personal Travel - Portugal</v>
      </c>
    </row>
    <row r="638" spans="1:7" x14ac:dyDescent="0.25">
      <c r="A638" t="s">
        <v>6</v>
      </c>
      <c r="B638" s="1">
        <v>46125</v>
      </c>
      <c r="C638" t="s">
        <v>243</v>
      </c>
      <c r="D638">
        <v>-5</v>
      </c>
      <c r="E638" t="s">
        <v>72</v>
      </c>
      <c r="F638">
        <v>5597.71</v>
      </c>
      <c r="G638" t="str" cm="1">
        <f t="array" ref="G638">IF(AND(ISNUMBER(SEARCH("UBER",C638)),ISNUMBER(SEARCH("EATS",C638))),"Uber Eats",IF(LEFT(C638,6)="CHECK ","Checks Paid",IF(OR(E638="BILLPAY",ISNUMBER(SEARCH("FRANCHISE TAX",C638)),ISNUMBER(SEARCH("NEXTLINK",C638))),"Personal - House Bills",IF(AND(ISNUMBER(SEARCH("PAYMENT FROM",C638)),ISNUMBER(SEARCH("JOE SAUNDERS",C638))),"Zelle from Joe Saunders",IF(AND(ISNUMBER(SEARCH("PAYMENT TO",C638)),ISNUMBER(SEARCH("JOE SAUNDERS",C638))),"Zelle to Joe Saunders",IF(OR(ISNUMBER(SEARCH("NEW ORLEANS",C638)),ISNUMBER(SEARCH("KENNER",C638)),ISNUMBER(SEARCH("HENRY HOWARD",C638)),ISNUMBER(SEARCH("MISS CLAUDIA",C638))),"Personal Travel - New Orleans",IFERROR(INDEX('Category Rules'!$B$2:$B$194,MATCH(TRUE,ISNUMBER(SEARCH('Category Rules'!$A$2:$A$194,C638)),0)),"")))))))</f>
        <v>Bank Fees</v>
      </c>
    </row>
    <row r="639" spans="1:7" x14ac:dyDescent="0.25">
      <c r="A639" t="s">
        <v>6</v>
      </c>
      <c r="B639" s="1">
        <v>46125</v>
      </c>
      <c r="C639" t="s">
        <v>611</v>
      </c>
      <c r="D639">
        <v>-17.55</v>
      </c>
      <c r="E639" t="s">
        <v>14</v>
      </c>
      <c r="F639">
        <v>5602.71</v>
      </c>
      <c r="G639" t="str" cm="1">
        <f t="array" ref="G639">IF(AND(ISNUMBER(SEARCH("UBER",C639)),ISNUMBER(SEARCH("EATS",C639))),"Uber Eats",IF(LEFT(C639,6)="CHECK ","Checks Paid",IF(OR(E639="BILLPAY",ISNUMBER(SEARCH("FRANCHISE TAX",C639)),ISNUMBER(SEARCH("NEXTLINK",C639))),"Personal - House Bills",IF(AND(ISNUMBER(SEARCH("PAYMENT FROM",C639)),ISNUMBER(SEARCH("JOE SAUNDERS",C639))),"Zelle from Joe Saunders",IF(AND(ISNUMBER(SEARCH("PAYMENT TO",C639)),ISNUMBER(SEARCH("JOE SAUNDERS",C639))),"Zelle to Joe Saunders",IF(OR(ISNUMBER(SEARCH("NEW ORLEANS",C639)),ISNUMBER(SEARCH("KENNER",C639)),ISNUMBER(SEARCH("HENRY HOWARD",C639)),ISNUMBER(SEARCH("MISS CLAUDIA",C639))),"Personal Travel - New Orleans",IFERROR(INDEX('Category Rules'!$B$2:$B$194,MATCH(TRUE,ISNUMBER(SEARCH('Category Rules'!$A$2:$A$194,C639)),0)),"")))))))</f>
        <v>Amazon</v>
      </c>
    </row>
    <row r="640" spans="1:7" x14ac:dyDescent="0.25">
      <c r="A640" t="s">
        <v>6</v>
      </c>
      <c r="B640" s="1">
        <v>46125</v>
      </c>
      <c r="C640" t="s">
        <v>612</v>
      </c>
      <c r="D640">
        <v>-43</v>
      </c>
      <c r="E640" t="s">
        <v>14</v>
      </c>
      <c r="F640">
        <v>5620.26</v>
      </c>
      <c r="G640" t="str" cm="1">
        <f t="array" ref="G640">IF(AND(ISNUMBER(SEARCH("UBER",C640)),ISNUMBER(SEARCH("EATS",C640))),"Uber Eats",IF(LEFT(C640,6)="CHECK ","Checks Paid",IF(OR(E640="BILLPAY",ISNUMBER(SEARCH("FRANCHISE TAX",C640)),ISNUMBER(SEARCH("NEXTLINK",C640))),"Personal - House Bills",IF(AND(ISNUMBER(SEARCH("PAYMENT FROM",C640)),ISNUMBER(SEARCH("JOE SAUNDERS",C640))),"Zelle from Joe Saunders",IF(AND(ISNUMBER(SEARCH("PAYMENT TO",C640)),ISNUMBER(SEARCH("JOE SAUNDERS",C640))),"Zelle to Joe Saunders",IF(OR(ISNUMBER(SEARCH("NEW ORLEANS",C640)),ISNUMBER(SEARCH("KENNER",C640)),ISNUMBER(SEARCH("HENRY HOWARD",C640)),ISNUMBER(SEARCH("MISS CLAUDIA",C640))),"Personal Travel - New Orleans",IFERROR(INDEX('Category Rules'!$B$2:$B$194,MATCH(TRUE,ISNUMBER(SEARCH('Category Rules'!$A$2:$A$194,C640)),0)),"")))))))</f>
        <v>Personal Travel</v>
      </c>
    </row>
    <row r="641" spans="1:7" x14ac:dyDescent="0.25">
      <c r="A641" t="s">
        <v>6</v>
      </c>
      <c r="B641" s="1">
        <v>46125</v>
      </c>
      <c r="C641" t="s">
        <v>613</v>
      </c>
      <c r="D641">
        <v>-69.27</v>
      </c>
      <c r="E641" t="s">
        <v>14</v>
      </c>
      <c r="F641">
        <v>5663.26</v>
      </c>
      <c r="G641" t="str" cm="1">
        <f t="array" ref="G641">IF(AND(ISNUMBER(SEARCH("UBER",C641)),ISNUMBER(SEARCH("EATS",C641))),"Uber Eats",IF(LEFT(C641,6)="CHECK ","Checks Paid",IF(OR(E641="BILLPAY",ISNUMBER(SEARCH("FRANCHISE TAX",C641)),ISNUMBER(SEARCH("NEXTLINK",C641))),"Personal - House Bills",IF(AND(ISNUMBER(SEARCH("PAYMENT FROM",C641)),ISNUMBER(SEARCH("JOE SAUNDERS",C641))),"Zelle from Joe Saunders",IF(AND(ISNUMBER(SEARCH("PAYMENT TO",C641)),ISNUMBER(SEARCH("JOE SAUNDERS",C641))),"Zelle to Joe Saunders",IF(OR(ISNUMBER(SEARCH("NEW ORLEANS",C641)),ISNUMBER(SEARCH("KENNER",C641)),ISNUMBER(SEARCH("HENRY HOWARD",C641)),ISNUMBER(SEARCH("MISS CLAUDIA",C641))),"Personal Travel - New Orleans",IFERROR(INDEX('Category Rules'!$B$2:$B$194,MATCH(TRUE,ISNUMBER(SEARCH('Category Rules'!$A$2:$A$194,C641)),0)),"")))))))</f>
        <v>Personal Travel</v>
      </c>
    </row>
    <row r="642" spans="1:7" x14ac:dyDescent="0.25">
      <c r="A642" t="s">
        <v>6</v>
      </c>
      <c r="B642" s="1">
        <v>46125</v>
      </c>
      <c r="C642" t="s">
        <v>614</v>
      </c>
      <c r="D642">
        <v>-2.35</v>
      </c>
      <c r="E642" t="s">
        <v>14</v>
      </c>
      <c r="F642">
        <v>5732.53</v>
      </c>
      <c r="G642" t="str" cm="1">
        <f t="array" ref="G642">IF(AND(ISNUMBER(SEARCH("UBER",C642)),ISNUMBER(SEARCH("EATS",C642))),"Uber Eats",IF(LEFT(C642,6)="CHECK ","Checks Paid",IF(OR(E642="BILLPAY",ISNUMBER(SEARCH("FRANCHISE TAX",C642)),ISNUMBER(SEARCH("NEXTLINK",C642))),"Personal - House Bills",IF(AND(ISNUMBER(SEARCH("PAYMENT FROM",C642)),ISNUMBER(SEARCH("JOE SAUNDERS",C642))),"Zelle from Joe Saunders",IF(AND(ISNUMBER(SEARCH("PAYMENT TO",C642)),ISNUMBER(SEARCH("JOE SAUNDERS",C642))),"Zelle to Joe Saunders",IF(OR(ISNUMBER(SEARCH("NEW ORLEANS",C642)),ISNUMBER(SEARCH("KENNER",C642)),ISNUMBER(SEARCH("HENRY HOWARD",C642)),ISNUMBER(SEARCH("MISS CLAUDIA",C642))),"Personal Travel - New Orleans",IFERROR(INDEX('Category Rules'!$B$2:$B$194,MATCH(TRUE,ISNUMBER(SEARCH('Category Rules'!$A$2:$A$194,C642)),0)),"")))))))</f>
        <v>Personal Travel</v>
      </c>
    </row>
    <row r="643" spans="1:7" x14ac:dyDescent="0.25">
      <c r="A643" t="s">
        <v>6</v>
      </c>
      <c r="B643" s="1">
        <v>46125</v>
      </c>
      <c r="C643" t="s">
        <v>615</v>
      </c>
      <c r="D643">
        <v>-266.5</v>
      </c>
      <c r="E643" t="s">
        <v>48</v>
      </c>
      <c r="F643">
        <v>5734.88</v>
      </c>
      <c r="G643" t="str" cm="1">
        <f t="array" ref="G643">IF(AND(ISNUMBER(SEARCH("UBER",C643)),ISNUMBER(SEARCH("EATS",C643))),"Uber Eats",IF(LEFT(C643,6)="CHECK ","Checks Paid",IF(OR(E643="BILLPAY",ISNUMBER(SEARCH("FRANCHISE TAX",C643)),ISNUMBER(SEARCH("NEXTLINK",C643))),"Personal - House Bills",IF(AND(ISNUMBER(SEARCH("PAYMENT FROM",C643)),ISNUMBER(SEARCH("JOE SAUNDERS",C643))),"Zelle from Joe Saunders",IF(AND(ISNUMBER(SEARCH("PAYMENT TO",C643)),ISNUMBER(SEARCH("JOE SAUNDERS",C643))),"Zelle to Joe Saunders",IF(OR(ISNUMBER(SEARCH("NEW ORLEANS",C643)),ISNUMBER(SEARCH("KENNER",C643)),ISNUMBER(SEARCH("HENRY HOWARD",C643)),ISNUMBER(SEARCH("MISS CLAUDIA",C643))),"Personal Travel - New Orleans",IFERROR(INDEX('Category Rules'!$B$2:$B$194,MATCH(TRUE,ISNUMBER(SEARCH('Category Rules'!$A$2:$A$194,C643)),0)),"")))))))</f>
        <v>Withdrawal</v>
      </c>
    </row>
    <row r="644" spans="1:7" x14ac:dyDescent="0.25">
      <c r="A644" t="s">
        <v>6</v>
      </c>
      <c r="B644" s="1">
        <v>46125</v>
      </c>
      <c r="C644" t="s">
        <v>616</v>
      </c>
      <c r="D644">
        <v>-507.44</v>
      </c>
      <c r="E644" t="s">
        <v>14</v>
      </c>
      <c r="F644">
        <v>6001.38</v>
      </c>
      <c r="G644" t="str" cm="1">
        <f t="array" ref="G644">IF(AND(ISNUMBER(SEARCH("UBER",C644)),ISNUMBER(SEARCH("EATS",C644))),"Uber Eats",IF(LEFT(C644,6)="CHECK ","Checks Paid",IF(OR(E644="BILLPAY",ISNUMBER(SEARCH("FRANCHISE TAX",C644)),ISNUMBER(SEARCH("NEXTLINK",C644))),"Personal - House Bills",IF(AND(ISNUMBER(SEARCH("PAYMENT FROM",C644)),ISNUMBER(SEARCH("JOE SAUNDERS",C644))),"Zelle from Joe Saunders",IF(AND(ISNUMBER(SEARCH("PAYMENT TO",C644)),ISNUMBER(SEARCH("JOE SAUNDERS",C644))),"Zelle to Joe Saunders",IF(OR(ISNUMBER(SEARCH("NEW ORLEANS",C644)),ISNUMBER(SEARCH("KENNER",C644)),ISNUMBER(SEARCH("HENRY HOWARD",C644)),ISNUMBER(SEARCH("MISS CLAUDIA",C644))),"Personal Travel - New Orleans",IFERROR(INDEX('Category Rules'!$B$2:$B$194,MATCH(TRUE,ISNUMBER(SEARCH('Category Rules'!$A$2:$A$194,C644)),0)),"")))))))</f>
        <v>Personal Travel</v>
      </c>
    </row>
    <row r="645" spans="1:7" x14ac:dyDescent="0.25">
      <c r="A645" t="s">
        <v>6</v>
      </c>
      <c r="B645" s="1">
        <v>46125</v>
      </c>
      <c r="C645" t="s">
        <v>617</v>
      </c>
      <c r="D645">
        <v>-451.45</v>
      </c>
      <c r="E645" t="s">
        <v>14</v>
      </c>
      <c r="F645">
        <v>6508.82</v>
      </c>
      <c r="G645" t="str" cm="1">
        <f t="array" ref="G645">IF(AND(ISNUMBER(SEARCH("UBER",C645)),ISNUMBER(SEARCH("EATS",C645))),"Uber Eats",IF(LEFT(C645,6)="CHECK ","Checks Paid",IF(OR(E645="BILLPAY",ISNUMBER(SEARCH("FRANCHISE TAX",C645)),ISNUMBER(SEARCH("NEXTLINK",C645))),"Personal - House Bills",IF(AND(ISNUMBER(SEARCH("PAYMENT FROM",C645)),ISNUMBER(SEARCH("JOE SAUNDERS",C645))),"Zelle from Joe Saunders",IF(AND(ISNUMBER(SEARCH("PAYMENT TO",C645)),ISNUMBER(SEARCH("JOE SAUNDERS",C645))),"Zelle to Joe Saunders",IF(OR(ISNUMBER(SEARCH("NEW ORLEANS",C645)),ISNUMBER(SEARCH("KENNER",C645)),ISNUMBER(SEARCH("HENRY HOWARD",C645)),ISNUMBER(SEARCH("MISS CLAUDIA",C645))),"Personal Travel - New Orleans",IFERROR(INDEX('Category Rules'!$B$2:$B$194,MATCH(TRUE,ISNUMBER(SEARCH('Category Rules'!$A$2:$A$194,C645)),0)),"")))))))</f>
        <v>Personal Travel</v>
      </c>
    </row>
    <row r="646" spans="1:7" x14ac:dyDescent="0.25">
      <c r="A646" t="s">
        <v>6</v>
      </c>
      <c r="B646" s="1">
        <v>46125</v>
      </c>
      <c r="C646" t="s">
        <v>618</v>
      </c>
      <c r="D646">
        <v>-36.869999999999997</v>
      </c>
      <c r="E646" t="s">
        <v>14</v>
      </c>
      <c r="F646">
        <v>6960.27</v>
      </c>
      <c r="G646" t="str" cm="1">
        <f t="array" ref="G646">IF(AND(ISNUMBER(SEARCH("UBER",C646)),ISNUMBER(SEARCH("EATS",C646))),"Uber Eats",IF(LEFT(C646,6)="CHECK ","Checks Paid",IF(OR(E646="BILLPAY",ISNUMBER(SEARCH("FRANCHISE TAX",C646)),ISNUMBER(SEARCH("NEXTLINK",C646))),"Personal - House Bills",IF(AND(ISNUMBER(SEARCH("PAYMENT FROM",C646)),ISNUMBER(SEARCH("JOE SAUNDERS",C646))),"Zelle from Joe Saunders",IF(AND(ISNUMBER(SEARCH("PAYMENT TO",C646)),ISNUMBER(SEARCH("JOE SAUNDERS",C646))),"Zelle to Joe Saunders",IF(OR(ISNUMBER(SEARCH("NEW ORLEANS",C646)),ISNUMBER(SEARCH("KENNER",C646)),ISNUMBER(SEARCH("HENRY HOWARD",C646)),ISNUMBER(SEARCH("MISS CLAUDIA",C646))),"Personal Travel - New Orleans",IFERROR(INDEX('Category Rules'!$B$2:$B$194,MATCH(TRUE,ISNUMBER(SEARCH('Category Rules'!$A$2:$A$194,C646)),0)),"")))))))</f>
        <v>Personal Travel</v>
      </c>
    </row>
    <row r="647" spans="1:7" x14ac:dyDescent="0.25">
      <c r="A647" t="s">
        <v>6</v>
      </c>
      <c r="B647" s="1">
        <v>46125</v>
      </c>
      <c r="C647" t="s">
        <v>619</v>
      </c>
      <c r="D647">
        <v>-65.75</v>
      </c>
      <c r="E647" t="s">
        <v>14</v>
      </c>
      <c r="F647">
        <v>6997.14</v>
      </c>
      <c r="G647" t="str" cm="1">
        <f t="array" ref="G647">IF(AND(ISNUMBER(SEARCH("UBER",C647)),ISNUMBER(SEARCH("EATS",C647))),"Uber Eats",IF(LEFT(C647,6)="CHECK ","Checks Paid",IF(OR(E647="BILLPAY",ISNUMBER(SEARCH("FRANCHISE TAX",C647)),ISNUMBER(SEARCH("NEXTLINK",C647))),"Personal - House Bills",IF(AND(ISNUMBER(SEARCH("PAYMENT FROM",C647)),ISNUMBER(SEARCH("JOE SAUNDERS",C647))),"Zelle from Joe Saunders",IF(AND(ISNUMBER(SEARCH("PAYMENT TO",C647)),ISNUMBER(SEARCH("JOE SAUNDERS",C647))),"Zelle to Joe Saunders",IF(OR(ISNUMBER(SEARCH("NEW ORLEANS",C647)),ISNUMBER(SEARCH("KENNER",C647)),ISNUMBER(SEARCH("HENRY HOWARD",C647)),ISNUMBER(SEARCH("MISS CLAUDIA",C647))),"Personal Travel - New Orleans",IFERROR(INDEX('Category Rules'!$B$2:$B$194,MATCH(TRUE,ISNUMBER(SEARCH('Category Rules'!$A$2:$A$194,C647)),0)),"")))))))</f>
        <v>Personal Travel</v>
      </c>
    </row>
    <row r="648" spans="1:7" x14ac:dyDescent="0.25">
      <c r="A648" t="s">
        <v>6</v>
      </c>
      <c r="B648" s="1">
        <v>46125</v>
      </c>
      <c r="C648" t="s">
        <v>620</v>
      </c>
      <c r="D648">
        <v>-52.76</v>
      </c>
      <c r="E648" t="s">
        <v>14</v>
      </c>
      <c r="F648">
        <v>7062.89</v>
      </c>
      <c r="G648" t="str" cm="1">
        <f t="array" ref="G648">IF(AND(ISNUMBER(SEARCH("UBER",C648)),ISNUMBER(SEARCH("EATS",C648))),"Uber Eats",IF(LEFT(C648,6)="CHECK ","Checks Paid",IF(OR(E648="BILLPAY",ISNUMBER(SEARCH("FRANCHISE TAX",C648)),ISNUMBER(SEARCH("NEXTLINK",C648))),"Personal - House Bills",IF(AND(ISNUMBER(SEARCH("PAYMENT FROM",C648)),ISNUMBER(SEARCH("JOE SAUNDERS",C648))),"Zelle from Joe Saunders",IF(AND(ISNUMBER(SEARCH("PAYMENT TO",C648)),ISNUMBER(SEARCH("JOE SAUNDERS",C648))),"Zelle to Joe Saunders",IF(OR(ISNUMBER(SEARCH("NEW ORLEANS",C648)),ISNUMBER(SEARCH("KENNER",C648)),ISNUMBER(SEARCH("HENRY HOWARD",C648)),ISNUMBER(SEARCH("MISS CLAUDIA",C648))),"Personal Travel - New Orleans",IFERROR(INDEX('Category Rules'!$B$2:$B$194,MATCH(TRUE,ISNUMBER(SEARCH('Category Rules'!$A$2:$A$194,C648)),0)),"")))))))</f>
        <v>Personal Travel</v>
      </c>
    </row>
    <row r="649" spans="1:7" x14ac:dyDescent="0.25">
      <c r="A649" t="s">
        <v>37</v>
      </c>
      <c r="B649" s="1">
        <v>46125</v>
      </c>
      <c r="C649" t="s">
        <v>621</v>
      </c>
      <c r="D649">
        <v>500</v>
      </c>
      <c r="E649" t="s">
        <v>60</v>
      </c>
      <c r="F649">
        <v>7115.65</v>
      </c>
      <c r="G649" t="str" cm="1">
        <f t="array" ref="G649">IF(AND(ISNUMBER(SEARCH("UBER",C649)),ISNUMBER(SEARCH("EATS",C649))),"Uber Eats",IF(LEFT(C649,6)="CHECK ","Checks Paid",IF(OR(E649="BILLPAY",ISNUMBER(SEARCH("FRANCHISE TAX",C649)),ISNUMBER(SEARCH("NEXTLINK",C649))),"Personal - House Bills",IF(AND(ISNUMBER(SEARCH("PAYMENT FROM",C649)),ISNUMBER(SEARCH("JOE SAUNDERS",C649))),"Zelle from Joe Saunders",IF(AND(ISNUMBER(SEARCH("PAYMENT TO",C649)),ISNUMBER(SEARCH("JOE SAUNDERS",C649))),"Zelle to Joe Saunders",IF(OR(ISNUMBER(SEARCH("NEW ORLEANS",C649)),ISNUMBER(SEARCH("KENNER",C649)),ISNUMBER(SEARCH("HENRY HOWARD",C649)),ISNUMBER(SEARCH("MISS CLAUDIA",C649))),"Personal Travel - New Orleans",IFERROR(INDEX('Category Rules'!$B$2:$B$194,MATCH(TRUE,ISNUMBER(SEARCH('Category Rules'!$A$2:$A$194,C649)),0)),"")))))))</f>
        <v>Zelle from Joe Saunders</v>
      </c>
    </row>
    <row r="650" spans="1:7" x14ac:dyDescent="0.25">
      <c r="A650" t="s">
        <v>6</v>
      </c>
      <c r="B650" s="1">
        <v>46122</v>
      </c>
      <c r="C650" t="s">
        <v>243</v>
      </c>
      <c r="D650">
        <v>-5</v>
      </c>
      <c r="E650" t="s">
        <v>72</v>
      </c>
      <c r="F650">
        <v>6615.65</v>
      </c>
      <c r="G650" t="str" cm="1">
        <f t="array" ref="G650">IF(AND(ISNUMBER(SEARCH("UBER",C650)),ISNUMBER(SEARCH("EATS",C650))),"Uber Eats",IF(LEFT(C650,6)="CHECK ","Checks Paid",IF(OR(E650="BILLPAY",ISNUMBER(SEARCH("FRANCHISE TAX",C650)),ISNUMBER(SEARCH("NEXTLINK",C650))),"Personal - House Bills",IF(AND(ISNUMBER(SEARCH("PAYMENT FROM",C650)),ISNUMBER(SEARCH("JOE SAUNDERS",C650))),"Zelle from Joe Saunders",IF(AND(ISNUMBER(SEARCH("PAYMENT TO",C650)),ISNUMBER(SEARCH("JOE SAUNDERS",C650))),"Zelle to Joe Saunders",IF(OR(ISNUMBER(SEARCH("NEW ORLEANS",C650)),ISNUMBER(SEARCH("KENNER",C650)),ISNUMBER(SEARCH("HENRY HOWARD",C650)),ISNUMBER(SEARCH("MISS CLAUDIA",C650))),"Personal Travel - New Orleans",IFERROR(INDEX('Category Rules'!$B$2:$B$194,MATCH(TRUE,ISNUMBER(SEARCH('Category Rules'!$A$2:$A$194,C650)),0)),"")))))))</f>
        <v>Bank Fees</v>
      </c>
    </row>
    <row r="651" spans="1:7" x14ac:dyDescent="0.25">
      <c r="A651" t="s">
        <v>6</v>
      </c>
      <c r="B651" s="1">
        <v>46122</v>
      </c>
      <c r="C651" t="s">
        <v>622</v>
      </c>
      <c r="D651">
        <v>-399.65</v>
      </c>
      <c r="E651" t="s">
        <v>48</v>
      </c>
      <c r="F651">
        <v>6620.65</v>
      </c>
      <c r="G651" t="str" cm="1">
        <f t="array" ref="G651">IF(AND(ISNUMBER(SEARCH("UBER",C651)),ISNUMBER(SEARCH("EATS",C651))),"Uber Eats",IF(LEFT(C651,6)="CHECK ","Checks Paid",IF(OR(E651="BILLPAY",ISNUMBER(SEARCH("FRANCHISE TAX",C651)),ISNUMBER(SEARCH("NEXTLINK",C651))),"Personal - House Bills",IF(AND(ISNUMBER(SEARCH("PAYMENT FROM",C651)),ISNUMBER(SEARCH("JOE SAUNDERS",C651))),"Zelle from Joe Saunders",IF(AND(ISNUMBER(SEARCH("PAYMENT TO",C651)),ISNUMBER(SEARCH("JOE SAUNDERS",C651))),"Zelle to Joe Saunders",IF(OR(ISNUMBER(SEARCH("NEW ORLEANS",C651)),ISNUMBER(SEARCH("KENNER",C651)),ISNUMBER(SEARCH("HENRY HOWARD",C651)),ISNUMBER(SEARCH("MISS CLAUDIA",C651))),"Personal Travel - New Orleans",IFERROR(INDEX('Category Rules'!$B$2:$B$194,MATCH(TRUE,ISNUMBER(SEARCH('Category Rules'!$A$2:$A$194,C651)),0)),"")))))))</f>
        <v>Withdrawal</v>
      </c>
    </row>
    <row r="652" spans="1:7" x14ac:dyDescent="0.25">
      <c r="A652" t="s">
        <v>6</v>
      </c>
      <c r="B652" s="1">
        <v>46122</v>
      </c>
      <c r="C652" t="s">
        <v>623</v>
      </c>
      <c r="D652">
        <v>-12.99</v>
      </c>
      <c r="E652" t="s">
        <v>14</v>
      </c>
      <c r="F652">
        <v>7020.3</v>
      </c>
      <c r="G652" t="str" cm="1">
        <f t="array" ref="G652">IF(AND(ISNUMBER(SEARCH("UBER",C652)),ISNUMBER(SEARCH("EATS",C652))),"Uber Eats",IF(LEFT(C652,6)="CHECK ","Checks Paid",IF(OR(E652="BILLPAY",ISNUMBER(SEARCH("FRANCHISE TAX",C652)),ISNUMBER(SEARCH("NEXTLINK",C652))),"Personal - House Bills",IF(AND(ISNUMBER(SEARCH("PAYMENT FROM",C652)),ISNUMBER(SEARCH("JOE SAUNDERS",C652))),"Zelle from Joe Saunders",IF(AND(ISNUMBER(SEARCH("PAYMENT TO",C652)),ISNUMBER(SEARCH("JOE SAUNDERS",C652))),"Zelle to Joe Saunders",IF(OR(ISNUMBER(SEARCH("NEW ORLEANS",C652)),ISNUMBER(SEARCH("KENNER",C652)),ISNUMBER(SEARCH("HENRY HOWARD",C652)),ISNUMBER(SEARCH("MISS CLAUDIA",C652))),"Personal Travel - New Orleans",IFERROR(INDEX('Category Rules'!$B$2:$B$194,MATCH(TRUE,ISNUMBER(SEARCH('Category Rules'!$A$2:$A$194,C652)),0)),"")))))))</f>
        <v>Apple</v>
      </c>
    </row>
    <row r="653" spans="1:7" x14ac:dyDescent="0.25">
      <c r="A653" t="s">
        <v>6</v>
      </c>
      <c r="B653" s="1">
        <v>46122</v>
      </c>
      <c r="C653" t="s">
        <v>624</v>
      </c>
      <c r="D653">
        <v>-10</v>
      </c>
      <c r="E653" t="s">
        <v>14</v>
      </c>
      <c r="F653">
        <v>7033.29</v>
      </c>
      <c r="G653" t="str" cm="1">
        <f t="array" ref="G653">IF(AND(ISNUMBER(SEARCH("UBER",C653)),ISNUMBER(SEARCH("EATS",C653))),"Uber Eats",IF(LEFT(C653,6)="CHECK ","Checks Paid",IF(OR(E653="BILLPAY",ISNUMBER(SEARCH("FRANCHISE TAX",C653)),ISNUMBER(SEARCH("NEXTLINK",C653))),"Personal - House Bills",IF(AND(ISNUMBER(SEARCH("PAYMENT FROM",C653)),ISNUMBER(SEARCH("JOE SAUNDERS",C653))),"Zelle from Joe Saunders",IF(AND(ISNUMBER(SEARCH("PAYMENT TO",C653)),ISNUMBER(SEARCH("JOE SAUNDERS",C653))),"Zelle to Joe Saunders",IF(OR(ISNUMBER(SEARCH("NEW ORLEANS",C653)),ISNUMBER(SEARCH("KENNER",C653)),ISNUMBER(SEARCH("HENRY HOWARD",C653)),ISNUMBER(SEARCH("MISS CLAUDIA",C653))),"Personal Travel - New Orleans",IFERROR(INDEX('Category Rules'!$B$2:$B$194,MATCH(TRUE,ISNUMBER(SEARCH('Category Rules'!$A$2:$A$194,C653)),0)),"")))))))</f>
        <v>Amazon</v>
      </c>
    </row>
    <row r="654" spans="1:7" x14ac:dyDescent="0.25">
      <c r="A654" t="s">
        <v>6</v>
      </c>
      <c r="B654" s="1">
        <v>46122</v>
      </c>
      <c r="C654" t="s">
        <v>625</v>
      </c>
      <c r="D654">
        <v>-614.6</v>
      </c>
      <c r="E654" t="s">
        <v>14</v>
      </c>
      <c r="F654">
        <v>7043.29</v>
      </c>
      <c r="G654" t="str" cm="1">
        <f t="array" ref="G654">IF(AND(ISNUMBER(SEARCH("UBER",C654)),ISNUMBER(SEARCH("EATS",C654))),"Uber Eats",IF(LEFT(C654,6)="CHECK ","Checks Paid",IF(OR(E654="BILLPAY",ISNUMBER(SEARCH("FRANCHISE TAX",C654)),ISNUMBER(SEARCH("NEXTLINK",C654))),"Personal - House Bills",IF(AND(ISNUMBER(SEARCH("PAYMENT FROM",C654)),ISNUMBER(SEARCH("JOE SAUNDERS",C654))),"Zelle from Joe Saunders",IF(AND(ISNUMBER(SEARCH("PAYMENT TO",C654)),ISNUMBER(SEARCH("JOE SAUNDERS",C654))),"Zelle to Joe Saunders",IF(OR(ISNUMBER(SEARCH("NEW ORLEANS",C654)),ISNUMBER(SEARCH("KENNER",C654)),ISNUMBER(SEARCH("HENRY HOWARD",C654)),ISNUMBER(SEARCH("MISS CLAUDIA",C654))),"Personal Travel - New Orleans",IFERROR(INDEX('Category Rules'!$B$2:$B$194,MATCH(TRUE,ISNUMBER(SEARCH('Category Rules'!$A$2:$A$194,C654)),0)),"")))))))</f>
        <v>Personal Travel</v>
      </c>
    </row>
    <row r="655" spans="1:7" x14ac:dyDescent="0.25">
      <c r="A655" t="s">
        <v>6</v>
      </c>
      <c r="B655" s="1">
        <v>46122</v>
      </c>
      <c r="C655" t="s">
        <v>625</v>
      </c>
      <c r="D655">
        <v>-614.6</v>
      </c>
      <c r="E655" t="s">
        <v>14</v>
      </c>
      <c r="F655">
        <v>7657.89</v>
      </c>
      <c r="G655" t="str" cm="1">
        <f t="array" ref="G655">IF(AND(ISNUMBER(SEARCH("UBER",C655)),ISNUMBER(SEARCH("EATS",C655))),"Uber Eats",IF(LEFT(C655,6)="CHECK ","Checks Paid",IF(OR(E655="BILLPAY",ISNUMBER(SEARCH("FRANCHISE TAX",C655)),ISNUMBER(SEARCH("NEXTLINK",C655))),"Personal - House Bills",IF(AND(ISNUMBER(SEARCH("PAYMENT FROM",C655)),ISNUMBER(SEARCH("JOE SAUNDERS",C655))),"Zelle from Joe Saunders",IF(AND(ISNUMBER(SEARCH("PAYMENT TO",C655)),ISNUMBER(SEARCH("JOE SAUNDERS",C655))),"Zelle to Joe Saunders",IF(OR(ISNUMBER(SEARCH("NEW ORLEANS",C655)),ISNUMBER(SEARCH("KENNER",C655)),ISNUMBER(SEARCH("HENRY HOWARD",C655)),ISNUMBER(SEARCH("MISS CLAUDIA",C655))),"Personal Travel - New Orleans",IFERROR(INDEX('Category Rules'!$B$2:$B$194,MATCH(TRUE,ISNUMBER(SEARCH('Category Rules'!$A$2:$A$194,C655)),0)),"")))))))</f>
        <v>Personal Travel</v>
      </c>
    </row>
    <row r="656" spans="1:7" x14ac:dyDescent="0.25">
      <c r="A656" t="s">
        <v>6</v>
      </c>
      <c r="B656" s="1">
        <v>46122</v>
      </c>
      <c r="C656" t="s">
        <v>626</v>
      </c>
      <c r="D656">
        <v>264.39999999999998</v>
      </c>
      <c r="E656" t="s">
        <v>14</v>
      </c>
      <c r="F656">
        <v>8272.49</v>
      </c>
      <c r="G656" t="str" cm="1">
        <f t="array" ref="G656">IF(AND(ISNUMBER(SEARCH("UBER",C656)),ISNUMBER(SEARCH("EATS",C656))),"Uber Eats",IF(LEFT(C656,6)="CHECK ","Checks Paid",IF(OR(E656="BILLPAY",ISNUMBER(SEARCH("FRANCHISE TAX",C656)),ISNUMBER(SEARCH("NEXTLINK",C656))),"Personal - House Bills",IF(AND(ISNUMBER(SEARCH("PAYMENT FROM",C656)),ISNUMBER(SEARCH("JOE SAUNDERS",C656))),"Zelle from Joe Saunders",IF(AND(ISNUMBER(SEARCH("PAYMENT TO",C656)),ISNUMBER(SEARCH("JOE SAUNDERS",C656))),"Zelle to Joe Saunders",IF(OR(ISNUMBER(SEARCH("NEW ORLEANS",C656)),ISNUMBER(SEARCH("KENNER",C656)),ISNUMBER(SEARCH("HENRY HOWARD",C656)),ISNUMBER(SEARCH("MISS CLAUDIA",C656))),"Personal Travel - New Orleans",IFERROR(INDEX('Category Rules'!$B$2:$B$194,MATCH(TRUE,ISNUMBER(SEARCH('Category Rules'!$A$2:$A$194,C656)),0)),"")))))))</f>
        <v>Personal Travel</v>
      </c>
    </row>
    <row r="657" spans="1:7" x14ac:dyDescent="0.25">
      <c r="A657" t="s">
        <v>6</v>
      </c>
      <c r="B657" s="1">
        <v>46121</v>
      </c>
      <c r="C657" t="s">
        <v>627</v>
      </c>
      <c r="D657">
        <v>-0.31</v>
      </c>
      <c r="E657" t="s">
        <v>72</v>
      </c>
      <c r="F657">
        <v>8008.09</v>
      </c>
      <c r="G657" t="str" cm="1">
        <f t="array" ref="G657">IF(AND(ISNUMBER(SEARCH("UBER",C657)),ISNUMBER(SEARCH("EATS",C657))),"Uber Eats",IF(LEFT(C657,6)="CHECK ","Checks Paid",IF(OR(E657="BILLPAY",ISNUMBER(SEARCH("FRANCHISE TAX",C657)),ISNUMBER(SEARCH("NEXTLINK",C657))),"Personal - House Bills",IF(AND(ISNUMBER(SEARCH("PAYMENT FROM",C657)),ISNUMBER(SEARCH("JOE SAUNDERS",C657))),"Zelle from Joe Saunders",IF(AND(ISNUMBER(SEARCH("PAYMENT TO",C657)),ISNUMBER(SEARCH("JOE SAUNDERS",C657))),"Zelle to Joe Saunders",IF(OR(ISNUMBER(SEARCH("NEW ORLEANS",C657)),ISNUMBER(SEARCH("KENNER",C657)),ISNUMBER(SEARCH("HENRY HOWARD",C657)),ISNUMBER(SEARCH("MISS CLAUDIA",C657))),"Personal Travel - New Orleans",IFERROR(INDEX('Category Rules'!$B$2:$B$194,MATCH(TRUE,ISNUMBER(SEARCH('Category Rules'!$A$2:$A$194,C657)),0)),"")))))))</f>
        <v>Personal Travel - Portugal</v>
      </c>
    </row>
    <row r="658" spans="1:7" x14ac:dyDescent="0.25">
      <c r="A658" t="s">
        <v>6</v>
      </c>
      <c r="B658" s="1">
        <v>46121</v>
      </c>
      <c r="C658" t="s">
        <v>628</v>
      </c>
      <c r="D658">
        <v>-0.51</v>
      </c>
      <c r="E658" t="s">
        <v>72</v>
      </c>
      <c r="F658">
        <v>8008.4</v>
      </c>
      <c r="G658" t="str" cm="1">
        <f t="array" ref="G658">IF(AND(ISNUMBER(SEARCH("UBER",C658)),ISNUMBER(SEARCH("EATS",C658))),"Uber Eats",IF(LEFT(C658,6)="CHECK ","Checks Paid",IF(OR(E658="BILLPAY",ISNUMBER(SEARCH("FRANCHISE TAX",C658)),ISNUMBER(SEARCH("NEXTLINK",C658))),"Personal - House Bills",IF(AND(ISNUMBER(SEARCH("PAYMENT FROM",C658)),ISNUMBER(SEARCH("JOE SAUNDERS",C658))),"Zelle from Joe Saunders",IF(AND(ISNUMBER(SEARCH("PAYMENT TO",C658)),ISNUMBER(SEARCH("JOE SAUNDERS",C658))),"Zelle to Joe Saunders",IF(OR(ISNUMBER(SEARCH("NEW ORLEANS",C658)),ISNUMBER(SEARCH("KENNER",C658)),ISNUMBER(SEARCH("HENRY HOWARD",C658)),ISNUMBER(SEARCH("MISS CLAUDIA",C658))),"Personal Travel - New Orleans",IFERROR(INDEX('Category Rules'!$B$2:$B$194,MATCH(TRUE,ISNUMBER(SEARCH('Category Rules'!$A$2:$A$194,C658)),0)),"")))))))</f>
        <v>Personal Travel - Portugal</v>
      </c>
    </row>
    <row r="659" spans="1:7" x14ac:dyDescent="0.25">
      <c r="A659" t="s">
        <v>6</v>
      </c>
      <c r="B659" s="1">
        <v>46121</v>
      </c>
      <c r="C659" t="s">
        <v>629</v>
      </c>
      <c r="D659">
        <v>-3.01</v>
      </c>
      <c r="E659" t="s">
        <v>72</v>
      </c>
      <c r="F659">
        <v>8008.91</v>
      </c>
      <c r="G659" t="str" cm="1">
        <f t="array" ref="G659">IF(AND(ISNUMBER(SEARCH("UBER",C659)),ISNUMBER(SEARCH("EATS",C659))),"Uber Eats",IF(LEFT(C659,6)="CHECK ","Checks Paid",IF(OR(E659="BILLPAY",ISNUMBER(SEARCH("FRANCHISE TAX",C659)),ISNUMBER(SEARCH("NEXTLINK",C659))),"Personal - House Bills",IF(AND(ISNUMBER(SEARCH("PAYMENT FROM",C659)),ISNUMBER(SEARCH("JOE SAUNDERS",C659))),"Zelle from Joe Saunders",IF(AND(ISNUMBER(SEARCH("PAYMENT TO",C659)),ISNUMBER(SEARCH("JOE SAUNDERS",C659))),"Zelle to Joe Saunders",IF(OR(ISNUMBER(SEARCH("NEW ORLEANS",C659)),ISNUMBER(SEARCH("KENNER",C659)),ISNUMBER(SEARCH("HENRY HOWARD",C659)),ISNUMBER(SEARCH("MISS CLAUDIA",C659))),"Personal Travel - New Orleans",IFERROR(INDEX('Category Rules'!$B$2:$B$194,MATCH(TRUE,ISNUMBER(SEARCH('Category Rules'!$A$2:$A$194,C659)),0)),"")))))))</f>
        <v>Personal Travel - Portugal</v>
      </c>
    </row>
    <row r="660" spans="1:7" x14ac:dyDescent="0.25">
      <c r="A660" t="s">
        <v>6</v>
      </c>
      <c r="B660" s="1">
        <v>46121</v>
      </c>
      <c r="C660" t="s">
        <v>630</v>
      </c>
      <c r="D660">
        <v>-3.9</v>
      </c>
      <c r="E660" t="s">
        <v>72</v>
      </c>
      <c r="F660">
        <v>8011.92</v>
      </c>
      <c r="G660" t="str" cm="1">
        <f t="array" ref="G660">IF(AND(ISNUMBER(SEARCH("UBER",C660)),ISNUMBER(SEARCH("EATS",C660))),"Uber Eats",IF(LEFT(C660,6)="CHECK ","Checks Paid",IF(OR(E660="BILLPAY",ISNUMBER(SEARCH("FRANCHISE TAX",C660)),ISNUMBER(SEARCH("NEXTLINK",C660))),"Personal - House Bills",IF(AND(ISNUMBER(SEARCH("PAYMENT FROM",C660)),ISNUMBER(SEARCH("JOE SAUNDERS",C660))),"Zelle from Joe Saunders",IF(AND(ISNUMBER(SEARCH("PAYMENT TO",C660)),ISNUMBER(SEARCH("JOE SAUNDERS",C660))),"Zelle to Joe Saunders",IF(OR(ISNUMBER(SEARCH("NEW ORLEANS",C660)),ISNUMBER(SEARCH("KENNER",C660)),ISNUMBER(SEARCH("HENRY HOWARD",C660)),ISNUMBER(SEARCH("MISS CLAUDIA",C660))),"Personal Travel - New Orleans",IFERROR(INDEX('Category Rules'!$B$2:$B$194,MATCH(TRUE,ISNUMBER(SEARCH('Category Rules'!$A$2:$A$194,C660)),0)),"")))))))</f>
        <v>Personal Travel - Portugal</v>
      </c>
    </row>
    <row r="661" spans="1:7" x14ac:dyDescent="0.25">
      <c r="A661" t="s">
        <v>6</v>
      </c>
      <c r="B661" s="1">
        <v>46121</v>
      </c>
      <c r="C661" t="s">
        <v>631</v>
      </c>
      <c r="D661">
        <v>-6.99</v>
      </c>
      <c r="E661" t="s">
        <v>14</v>
      </c>
      <c r="F661">
        <v>8015.82</v>
      </c>
      <c r="G661" t="str" cm="1">
        <f t="array" ref="G661">IF(AND(ISNUMBER(SEARCH("UBER",C661)),ISNUMBER(SEARCH("EATS",C661))),"Uber Eats",IF(LEFT(C661,6)="CHECK ","Checks Paid",IF(OR(E661="BILLPAY",ISNUMBER(SEARCH("FRANCHISE TAX",C661)),ISNUMBER(SEARCH("NEXTLINK",C661))),"Personal - House Bills",IF(AND(ISNUMBER(SEARCH("PAYMENT FROM",C661)),ISNUMBER(SEARCH("JOE SAUNDERS",C661))),"Zelle from Joe Saunders",IF(AND(ISNUMBER(SEARCH("PAYMENT TO",C661)),ISNUMBER(SEARCH("JOE SAUNDERS",C661))),"Zelle to Joe Saunders",IF(OR(ISNUMBER(SEARCH("NEW ORLEANS",C661)),ISNUMBER(SEARCH("KENNER",C661)),ISNUMBER(SEARCH("HENRY HOWARD",C661)),ISNUMBER(SEARCH("MISS CLAUDIA",C661))),"Personal Travel - New Orleans",IFERROR(INDEX('Category Rules'!$B$2:$B$194,MATCH(TRUE,ISNUMBER(SEARCH('Category Rules'!$A$2:$A$194,C661)),0)),"")))))))</f>
        <v>Apple</v>
      </c>
    </row>
    <row r="662" spans="1:7" x14ac:dyDescent="0.25">
      <c r="A662" t="s">
        <v>6</v>
      </c>
      <c r="B662" s="1">
        <v>46121</v>
      </c>
      <c r="C662" t="s">
        <v>632</v>
      </c>
      <c r="D662">
        <v>-575.84</v>
      </c>
      <c r="E662" t="s">
        <v>14</v>
      </c>
      <c r="F662">
        <v>8022.81</v>
      </c>
      <c r="G662" t="str" cm="1">
        <f t="array" ref="G662">IF(AND(ISNUMBER(SEARCH("UBER",C662)),ISNUMBER(SEARCH("EATS",C662))),"Uber Eats",IF(LEFT(C662,6)="CHECK ","Checks Paid",IF(OR(E662="BILLPAY",ISNUMBER(SEARCH("FRANCHISE TAX",C662)),ISNUMBER(SEARCH("NEXTLINK",C662))),"Personal - House Bills",IF(AND(ISNUMBER(SEARCH("PAYMENT FROM",C662)),ISNUMBER(SEARCH("JOE SAUNDERS",C662))),"Zelle from Joe Saunders",IF(AND(ISNUMBER(SEARCH("PAYMENT TO",C662)),ISNUMBER(SEARCH("JOE SAUNDERS",C662))),"Zelle to Joe Saunders",IF(OR(ISNUMBER(SEARCH("NEW ORLEANS",C662)),ISNUMBER(SEARCH("KENNER",C662)),ISNUMBER(SEARCH("HENRY HOWARD",C662)),ISNUMBER(SEARCH("MISS CLAUDIA",C662))),"Personal Travel - New Orleans",IFERROR(INDEX('Category Rules'!$B$2:$B$194,MATCH(TRUE,ISNUMBER(SEARCH('Category Rules'!$A$2:$A$194,C662)),0)),"")))))))</f>
        <v>Personal Travel</v>
      </c>
    </row>
    <row r="663" spans="1:7" x14ac:dyDescent="0.25">
      <c r="A663" t="s">
        <v>6</v>
      </c>
      <c r="B663" s="1">
        <v>46121</v>
      </c>
      <c r="C663" t="s">
        <v>633</v>
      </c>
      <c r="D663">
        <v>-381</v>
      </c>
      <c r="E663" t="s">
        <v>14</v>
      </c>
      <c r="F663">
        <v>8598.65</v>
      </c>
      <c r="G663" t="str" cm="1">
        <f t="array" ref="G663">IF(AND(ISNUMBER(SEARCH("UBER",C663)),ISNUMBER(SEARCH("EATS",C663))),"Uber Eats",IF(LEFT(C663,6)="CHECK ","Checks Paid",IF(OR(E663="BILLPAY",ISNUMBER(SEARCH("FRANCHISE TAX",C663)),ISNUMBER(SEARCH("NEXTLINK",C663))),"Personal - House Bills",IF(AND(ISNUMBER(SEARCH("PAYMENT FROM",C663)),ISNUMBER(SEARCH("JOE SAUNDERS",C663))),"Zelle from Joe Saunders",IF(AND(ISNUMBER(SEARCH("PAYMENT TO",C663)),ISNUMBER(SEARCH("JOE SAUNDERS",C663))),"Zelle to Joe Saunders",IF(OR(ISNUMBER(SEARCH("NEW ORLEANS",C663)),ISNUMBER(SEARCH("KENNER",C663)),ISNUMBER(SEARCH("HENRY HOWARD",C663)),ISNUMBER(SEARCH("MISS CLAUDIA",C663))),"Personal Travel - New Orleans",IFERROR(INDEX('Category Rules'!$B$2:$B$194,MATCH(TRUE,ISNUMBER(SEARCH('Category Rules'!$A$2:$A$194,C663)),0)),"")))))))</f>
        <v>Personal Travel</v>
      </c>
    </row>
    <row r="664" spans="1:7" x14ac:dyDescent="0.25">
      <c r="A664" t="s">
        <v>6</v>
      </c>
      <c r="B664" s="1">
        <v>46121</v>
      </c>
      <c r="C664" t="s">
        <v>633</v>
      </c>
      <c r="D664">
        <v>-738</v>
      </c>
      <c r="E664" t="s">
        <v>14</v>
      </c>
      <c r="F664">
        <v>8979.65</v>
      </c>
      <c r="G664" t="str" cm="1">
        <f t="array" ref="G664">IF(AND(ISNUMBER(SEARCH("UBER",C664)),ISNUMBER(SEARCH("EATS",C664))),"Uber Eats",IF(LEFT(C664,6)="CHECK ","Checks Paid",IF(OR(E664="BILLPAY",ISNUMBER(SEARCH("FRANCHISE TAX",C664)),ISNUMBER(SEARCH("NEXTLINK",C664))),"Personal - House Bills",IF(AND(ISNUMBER(SEARCH("PAYMENT FROM",C664)),ISNUMBER(SEARCH("JOE SAUNDERS",C664))),"Zelle from Joe Saunders",IF(AND(ISNUMBER(SEARCH("PAYMENT TO",C664)),ISNUMBER(SEARCH("JOE SAUNDERS",C664))),"Zelle to Joe Saunders",IF(OR(ISNUMBER(SEARCH("NEW ORLEANS",C664)),ISNUMBER(SEARCH("KENNER",C664)),ISNUMBER(SEARCH("HENRY HOWARD",C664)),ISNUMBER(SEARCH("MISS CLAUDIA",C664))),"Personal Travel - New Orleans",IFERROR(INDEX('Category Rules'!$B$2:$B$194,MATCH(TRUE,ISNUMBER(SEARCH('Category Rules'!$A$2:$A$194,C664)),0)),"")))))))</f>
        <v>Personal Travel</v>
      </c>
    </row>
    <row r="665" spans="1:7" x14ac:dyDescent="0.25">
      <c r="A665" t="s">
        <v>6</v>
      </c>
      <c r="B665" s="1">
        <v>46121</v>
      </c>
      <c r="C665" t="s">
        <v>634</v>
      </c>
      <c r="D665">
        <v>-178.33</v>
      </c>
      <c r="E665" t="s">
        <v>14</v>
      </c>
      <c r="F665">
        <v>9717.65</v>
      </c>
      <c r="G665" t="str" cm="1">
        <f t="array" ref="G665">IF(AND(ISNUMBER(SEARCH("UBER",C665)),ISNUMBER(SEARCH("EATS",C665))),"Uber Eats",IF(LEFT(C665,6)="CHECK ","Checks Paid",IF(OR(E665="BILLPAY",ISNUMBER(SEARCH("FRANCHISE TAX",C665)),ISNUMBER(SEARCH("NEXTLINK",C665))),"Personal - House Bills",IF(AND(ISNUMBER(SEARCH("PAYMENT FROM",C665)),ISNUMBER(SEARCH("JOE SAUNDERS",C665))),"Zelle from Joe Saunders",IF(AND(ISNUMBER(SEARCH("PAYMENT TO",C665)),ISNUMBER(SEARCH("JOE SAUNDERS",C665))),"Zelle to Joe Saunders",IF(OR(ISNUMBER(SEARCH("NEW ORLEANS",C665)),ISNUMBER(SEARCH("KENNER",C665)),ISNUMBER(SEARCH("HENRY HOWARD",C665)),ISNUMBER(SEARCH("MISS CLAUDIA",C665))),"Personal Travel - New Orleans",IFERROR(INDEX('Category Rules'!$B$2:$B$194,MATCH(TRUE,ISNUMBER(SEARCH('Category Rules'!$A$2:$A$194,C665)),0)),"")))))))</f>
        <v>Amazon</v>
      </c>
    </row>
    <row r="666" spans="1:7" x14ac:dyDescent="0.25">
      <c r="A666" t="s">
        <v>6</v>
      </c>
      <c r="B666" s="1">
        <v>46121</v>
      </c>
      <c r="C666" t="s">
        <v>635</v>
      </c>
      <c r="D666">
        <v>-100.4</v>
      </c>
      <c r="E666" t="s">
        <v>14</v>
      </c>
      <c r="F666">
        <v>9895.98</v>
      </c>
      <c r="G666" t="str" cm="1">
        <f t="array" ref="G666">IF(AND(ISNUMBER(SEARCH("UBER",C666)),ISNUMBER(SEARCH("EATS",C666))),"Uber Eats",IF(LEFT(C666,6)="CHECK ","Checks Paid",IF(OR(E666="BILLPAY",ISNUMBER(SEARCH("FRANCHISE TAX",C666)),ISNUMBER(SEARCH("NEXTLINK",C666))),"Personal - House Bills",IF(AND(ISNUMBER(SEARCH("PAYMENT FROM",C666)),ISNUMBER(SEARCH("JOE SAUNDERS",C666))),"Zelle from Joe Saunders",IF(AND(ISNUMBER(SEARCH("PAYMENT TO",C666)),ISNUMBER(SEARCH("JOE SAUNDERS",C666))),"Zelle to Joe Saunders",IF(OR(ISNUMBER(SEARCH("NEW ORLEANS",C666)),ISNUMBER(SEARCH("KENNER",C666)),ISNUMBER(SEARCH("HENRY HOWARD",C666)),ISNUMBER(SEARCH("MISS CLAUDIA",C666))),"Personal Travel - New Orleans",IFERROR(INDEX('Category Rules'!$B$2:$B$194,MATCH(TRUE,ISNUMBER(SEARCH('Category Rules'!$A$2:$A$194,C666)),0)),"")))))))</f>
        <v>Personal Travel</v>
      </c>
    </row>
    <row r="667" spans="1:7" x14ac:dyDescent="0.25">
      <c r="A667" t="s">
        <v>6</v>
      </c>
      <c r="B667" s="1">
        <v>46121</v>
      </c>
      <c r="C667" t="s">
        <v>636</v>
      </c>
      <c r="D667">
        <v>-130</v>
      </c>
      <c r="E667" t="s">
        <v>14</v>
      </c>
      <c r="F667">
        <v>9996.3799999999992</v>
      </c>
      <c r="G667" t="str" cm="1">
        <f t="array" ref="G667">IF(AND(ISNUMBER(SEARCH("UBER",C667)),ISNUMBER(SEARCH("EATS",C667))),"Uber Eats",IF(LEFT(C667,6)="CHECK ","Checks Paid",IF(OR(E667="BILLPAY",ISNUMBER(SEARCH("FRANCHISE TAX",C667)),ISNUMBER(SEARCH("NEXTLINK",C667))),"Personal - House Bills",IF(AND(ISNUMBER(SEARCH("PAYMENT FROM",C667)),ISNUMBER(SEARCH("JOE SAUNDERS",C667))),"Zelle from Joe Saunders",IF(AND(ISNUMBER(SEARCH("PAYMENT TO",C667)),ISNUMBER(SEARCH("JOE SAUNDERS",C667))),"Zelle to Joe Saunders",IF(OR(ISNUMBER(SEARCH("NEW ORLEANS",C667)),ISNUMBER(SEARCH("KENNER",C667)),ISNUMBER(SEARCH("HENRY HOWARD",C667)),ISNUMBER(SEARCH("MISS CLAUDIA",C667))),"Personal Travel - New Orleans",IFERROR(INDEX('Category Rules'!$B$2:$B$194,MATCH(TRUE,ISNUMBER(SEARCH('Category Rules'!$A$2:$A$194,C667)),0)),"")))))))</f>
        <v>Personal Travel</v>
      </c>
    </row>
    <row r="668" spans="1:7" x14ac:dyDescent="0.25">
      <c r="A668" t="s">
        <v>6</v>
      </c>
      <c r="B668" s="1">
        <v>46121</v>
      </c>
      <c r="C668" t="s">
        <v>637</v>
      </c>
      <c r="D668">
        <v>-10.45</v>
      </c>
      <c r="E668" t="s">
        <v>14</v>
      </c>
      <c r="F668">
        <v>10126.379999999999</v>
      </c>
      <c r="G668" t="str" cm="1">
        <f t="array" ref="G668">IF(AND(ISNUMBER(SEARCH("UBER",C668)),ISNUMBER(SEARCH("EATS",C668))),"Uber Eats",IF(LEFT(C668,6)="CHECK ","Checks Paid",IF(OR(E668="BILLPAY",ISNUMBER(SEARCH("FRANCHISE TAX",C668)),ISNUMBER(SEARCH("NEXTLINK",C668))),"Personal - House Bills",IF(AND(ISNUMBER(SEARCH("PAYMENT FROM",C668)),ISNUMBER(SEARCH("JOE SAUNDERS",C668))),"Zelle from Joe Saunders",IF(AND(ISNUMBER(SEARCH("PAYMENT TO",C668)),ISNUMBER(SEARCH("JOE SAUNDERS",C668))),"Zelle to Joe Saunders",IF(OR(ISNUMBER(SEARCH("NEW ORLEANS",C668)),ISNUMBER(SEARCH("KENNER",C668)),ISNUMBER(SEARCH("HENRY HOWARD",C668)),ISNUMBER(SEARCH("MISS CLAUDIA",C668))),"Personal Travel - New Orleans",IFERROR(INDEX('Category Rules'!$B$2:$B$194,MATCH(TRUE,ISNUMBER(SEARCH('Category Rules'!$A$2:$A$194,C668)),0)),"")))))))</f>
        <v>Personal Travel</v>
      </c>
    </row>
    <row r="669" spans="1:7" x14ac:dyDescent="0.25">
      <c r="A669" t="s">
        <v>6</v>
      </c>
      <c r="B669" s="1">
        <v>46121</v>
      </c>
      <c r="C669" t="s">
        <v>638</v>
      </c>
      <c r="D669">
        <v>-17.18</v>
      </c>
      <c r="E669" t="s">
        <v>14</v>
      </c>
      <c r="F669">
        <v>10136.83</v>
      </c>
      <c r="G669" t="str" cm="1">
        <f t="array" ref="G669">IF(AND(ISNUMBER(SEARCH("UBER",C669)),ISNUMBER(SEARCH("EATS",C669))),"Uber Eats",IF(LEFT(C669,6)="CHECK ","Checks Paid",IF(OR(E669="BILLPAY",ISNUMBER(SEARCH("FRANCHISE TAX",C669)),ISNUMBER(SEARCH("NEXTLINK",C669))),"Personal - House Bills",IF(AND(ISNUMBER(SEARCH("PAYMENT FROM",C669)),ISNUMBER(SEARCH("JOE SAUNDERS",C669))),"Zelle from Joe Saunders",IF(AND(ISNUMBER(SEARCH("PAYMENT TO",C669)),ISNUMBER(SEARCH("JOE SAUNDERS",C669))),"Zelle to Joe Saunders",IF(OR(ISNUMBER(SEARCH("NEW ORLEANS",C669)),ISNUMBER(SEARCH("KENNER",C669)),ISNUMBER(SEARCH("HENRY HOWARD",C669)),ISNUMBER(SEARCH("MISS CLAUDIA",C669))),"Personal Travel - New Orleans",IFERROR(INDEX('Category Rules'!$B$2:$B$194,MATCH(TRUE,ISNUMBER(SEARCH('Category Rules'!$A$2:$A$194,C669)),0)),"")))))))</f>
        <v>Personal Travel</v>
      </c>
    </row>
    <row r="670" spans="1:7" x14ac:dyDescent="0.25">
      <c r="A670" t="s">
        <v>6</v>
      </c>
      <c r="B670" s="1">
        <v>46121</v>
      </c>
      <c r="C670" t="s">
        <v>639</v>
      </c>
      <c r="D670">
        <v>568.33000000000004</v>
      </c>
      <c r="E670" t="s">
        <v>14</v>
      </c>
      <c r="F670">
        <v>10154.01</v>
      </c>
      <c r="G670" t="str" cm="1">
        <f t="array" ref="G670">IF(AND(ISNUMBER(SEARCH("UBER",C670)),ISNUMBER(SEARCH("EATS",C670))),"Uber Eats",IF(LEFT(C670,6)="CHECK ","Checks Paid",IF(OR(E670="BILLPAY",ISNUMBER(SEARCH("FRANCHISE TAX",C670)),ISNUMBER(SEARCH("NEXTLINK",C670))),"Personal - House Bills",IF(AND(ISNUMBER(SEARCH("PAYMENT FROM",C670)),ISNUMBER(SEARCH("JOE SAUNDERS",C670))),"Zelle from Joe Saunders",IF(AND(ISNUMBER(SEARCH("PAYMENT TO",C670)),ISNUMBER(SEARCH("JOE SAUNDERS",C670))),"Zelle to Joe Saunders",IF(OR(ISNUMBER(SEARCH("NEW ORLEANS",C670)),ISNUMBER(SEARCH("KENNER",C670)),ISNUMBER(SEARCH("HENRY HOWARD",C670)),ISNUMBER(SEARCH("MISS CLAUDIA",C670))),"Personal Travel - New Orleans",IFERROR(INDEX('Category Rules'!$B$2:$B$194,MATCH(TRUE,ISNUMBER(SEARCH('Category Rules'!$A$2:$A$194,C670)),0)),"")))))))</f>
        <v>Personal Travel</v>
      </c>
    </row>
    <row r="671" spans="1:7" x14ac:dyDescent="0.25">
      <c r="A671" t="s">
        <v>6</v>
      </c>
      <c r="B671" s="1">
        <v>46120</v>
      </c>
      <c r="C671" t="s">
        <v>640</v>
      </c>
      <c r="D671">
        <v>-1000</v>
      </c>
      <c r="E671" t="s">
        <v>39</v>
      </c>
      <c r="F671">
        <v>9585.68</v>
      </c>
      <c r="G671" t="str" cm="1">
        <f t="array" ref="G671">IF(AND(ISNUMBER(SEARCH("UBER",C671)),ISNUMBER(SEARCH("EATS",C671))),"Uber Eats",IF(LEFT(C671,6)="CHECK ","Checks Paid",IF(OR(E671="BILLPAY",ISNUMBER(SEARCH("FRANCHISE TAX",C671)),ISNUMBER(SEARCH("NEXTLINK",C671))),"Personal - House Bills",IF(AND(ISNUMBER(SEARCH("PAYMENT FROM",C671)),ISNUMBER(SEARCH("JOE SAUNDERS",C671))),"Zelle from Joe Saunders",IF(AND(ISNUMBER(SEARCH("PAYMENT TO",C671)),ISNUMBER(SEARCH("JOE SAUNDERS",C671))),"Zelle to Joe Saunders",IF(OR(ISNUMBER(SEARCH("NEW ORLEANS",C671)),ISNUMBER(SEARCH("KENNER",C671)),ISNUMBER(SEARCH("HENRY HOWARD",C671)),ISNUMBER(SEARCH("MISS CLAUDIA",C671))),"Personal Travel - New Orleans",IFERROR(INDEX('Category Rules'!$B$2:$B$194,MATCH(TRUE,ISNUMBER(SEARCH('Category Rules'!$A$2:$A$194,C671)),0)),"")))))))</f>
        <v>Transfer to Ava</v>
      </c>
    </row>
    <row r="672" spans="1:7" x14ac:dyDescent="0.25">
      <c r="A672" t="s">
        <v>6</v>
      </c>
      <c r="B672" s="1">
        <v>46120</v>
      </c>
      <c r="C672" t="s">
        <v>641</v>
      </c>
      <c r="D672">
        <v>-13.99</v>
      </c>
      <c r="E672" t="s">
        <v>14</v>
      </c>
      <c r="F672">
        <v>10585.68</v>
      </c>
      <c r="G672" t="str" cm="1">
        <f t="array" ref="G672">IF(AND(ISNUMBER(SEARCH("UBER",C672)),ISNUMBER(SEARCH("EATS",C672))),"Uber Eats",IF(LEFT(C672,6)="CHECK ","Checks Paid",IF(OR(E672="BILLPAY",ISNUMBER(SEARCH("FRANCHISE TAX",C672)),ISNUMBER(SEARCH("NEXTLINK",C672))),"Personal - House Bills",IF(AND(ISNUMBER(SEARCH("PAYMENT FROM",C672)),ISNUMBER(SEARCH("JOE SAUNDERS",C672))),"Zelle from Joe Saunders",IF(AND(ISNUMBER(SEARCH("PAYMENT TO",C672)),ISNUMBER(SEARCH("JOE SAUNDERS",C672))),"Zelle to Joe Saunders",IF(OR(ISNUMBER(SEARCH("NEW ORLEANS",C672)),ISNUMBER(SEARCH("KENNER",C672)),ISNUMBER(SEARCH("HENRY HOWARD",C672)),ISNUMBER(SEARCH("MISS CLAUDIA",C672))),"Personal Travel - New Orleans",IFERROR(INDEX('Category Rules'!$B$2:$B$194,MATCH(TRUE,ISNUMBER(SEARCH('Category Rules'!$A$2:$A$194,C672)),0)),"")))))))</f>
        <v>Amazon</v>
      </c>
    </row>
    <row r="673" spans="1:7" x14ac:dyDescent="0.25">
      <c r="A673" t="s">
        <v>37</v>
      </c>
      <c r="B673" s="1">
        <v>46120</v>
      </c>
      <c r="C673" t="s">
        <v>642</v>
      </c>
      <c r="D673">
        <v>3000</v>
      </c>
      <c r="E673" t="s">
        <v>39</v>
      </c>
      <c r="F673">
        <v>10599.67</v>
      </c>
      <c r="G673" t="str" cm="1">
        <f t="array" ref="G673">IF(AND(ISNUMBER(SEARCH("UBER",C673)),ISNUMBER(SEARCH("EATS",C673))),"Uber Eats",IF(LEFT(C673,6)="CHECK ","Checks Paid",IF(OR(E673="BILLPAY",ISNUMBER(SEARCH("FRANCHISE TAX",C673)),ISNUMBER(SEARCH("NEXTLINK",C673))),"Personal - House Bills",IF(AND(ISNUMBER(SEARCH("PAYMENT FROM",C673)),ISNUMBER(SEARCH("JOE SAUNDERS",C673))),"Zelle from Joe Saunders",IF(AND(ISNUMBER(SEARCH("PAYMENT TO",C673)),ISNUMBER(SEARCH("JOE SAUNDERS",C673))),"Zelle to Joe Saunders",IF(OR(ISNUMBER(SEARCH("NEW ORLEANS",C673)),ISNUMBER(SEARCH("KENNER",C673)),ISNUMBER(SEARCH("HENRY HOWARD",C673)),ISNUMBER(SEARCH("MISS CLAUDIA",C673))),"Personal Travel - New Orleans",IFERROR(INDEX('Category Rules'!$B$2:$B$194,MATCH(TRUE,ISNUMBER(SEARCH('Category Rules'!$A$2:$A$194,C673)),0)),"")))))))</f>
        <v>Transfer from DWG Capital Group</v>
      </c>
    </row>
    <row r="674" spans="1:7" x14ac:dyDescent="0.25">
      <c r="A674" t="s">
        <v>6</v>
      </c>
      <c r="B674" s="1">
        <v>46118</v>
      </c>
      <c r="C674" t="s">
        <v>643</v>
      </c>
      <c r="D674">
        <v>-0.78</v>
      </c>
      <c r="E674" t="s">
        <v>72</v>
      </c>
      <c r="F674">
        <v>7599.67</v>
      </c>
      <c r="G674" t="str" cm="1">
        <f t="array" ref="G674">IF(AND(ISNUMBER(SEARCH("UBER",C674)),ISNUMBER(SEARCH("EATS",C674))),"Uber Eats",IF(LEFT(C674,6)="CHECK ","Checks Paid",IF(OR(E674="BILLPAY",ISNUMBER(SEARCH("FRANCHISE TAX",C674)),ISNUMBER(SEARCH("NEXTLINK",C674))),"Personal - House Bills",IF(AND(ISNUMBER(SEARCH("PAYMENT FROM",C674)),ISNUMBER(SEARCH("JOE SAUNDERS",C674))),"Zelle from Joe Saunders",IF(AND(ISNUMBER(SEARCH("PAYMENT TO",C674)),ISNUMBER(SEARCH("JOE SAUNDERS",C674))),"Zelle to Joe Saunders",IF(OR(ISNUMBER(SEARCH("NEW ORLEANS",C674)),ISNUMBER(SEARCH("KENNER",C674)),ISNUMBER(SEARCH("HENRY HOWARD",C674)),ISNUMBER(SEARCH("MISS CLAUDIA",C674))),"Personal Travel - New Orleans",IFERROR(INDEX('Category Rules'!$B$2:$B$194,MATCH(TRUE,ISNUMBER(SEARCH('Category Rules'!$A$2:$A$194,C674)),0)),"")))))))</f>
        <v>Personal Travel - Portugal</v>
      </c>
    </row>
    <row r="675" spans="1:7" x14ac:dyDescent="0.25">
      <c r="A675" t="s">
        <v>6</v>
      </c>
      <c r="B675" s="1">
        <v>46118</v>
      </c>
      <c r="C675" t="s">
        <v>644</v>
      </c>
      <c r="D675">
        <v>-3.05</v>
      </c>
      <c r="E675" t="s">
        <v>72</v>
      </c>
      <c r="F675">
        <v>7600.45</v>
      </c>
      <c r="G675" t="str" cm="1">
        <f t="array" ref="G675">IF(AND(ISNUMBER(SEARCH("UBER",C675)),ISNUMBER(SEARCH("EATS",C675))),"Uber Eats",IF(LEFT(C675,6)="CHECK ","Checks Paid",IF(OR(E675="BILLPAY",ISNUMBER(SEARCH("FRANCHISE TAX",C675)),ISNUMBER(SEARCH("NEXTLINK",C675))),"Personal - House Bills",IF(AND(ISNUMBER(SEARCH("PAYMENT FROM",C675)),ISNUMBER(SEARCH("JOE SAUNDERS",C675))),"Zelle from Joe Saunders",IF(AND(ISNUMBER(SEARCH("PAYMENT TO",C675)),ISNUMBER(SEARCH("JOE SAUNDERS",C675))),"Zelle to Joe Saunders",IF(OR(ISNUMBER(SEARCH("NEW ORLEANS",C675)),ISNUMBER(SEARCH("KENNER",C675)),ISNUMBER(SEARCH("HENRY HOWARD",C675)),ISNUMBER(SEARCH("MISS CLAUDIA",C675))),"Personal Travel - New Orleans",IFERROR(INDEX('Category Rules'!$B$2:$B$194,MATCH(TRUE,ISNUMBER(SEARCH('Category Rules'!$A$2:$A$194,C675)),0)),"")))))))</f>
        <v>Personal Travel - Portugal</v>
      </c>
    </row>
    <row r="676" spans="1:7" x14ac:dyDescent="0.25">
      <c r="A676" t="s">
        <v>6</v>
      </c>
      <c r="B676" s="1">
        <v>46118</v>
      </c>
      <c r="C676" t="s">
        <v>645</v>
      </c>
      <c r="D676">
        <v>-3.52</v>
      </c>
      <c r="E676" t="s">
        <v>72</v>
      </c>
      <c r="F676">
        <v>7603.5</v>
      </c>
      <c r="G676" t="str" cm="1">
        <f t="array" ref="G676">IF(AND(ISNUMBER(SEARCH("UBER",C676)),ISNUMBER(SEARCH("EATS",C676))),"Uber Eats",IF(LEFT(C676,6)="CHECK ","Checks Paid",IF(OR(E676="BILLPAY",ISNUMBER(SEARCH("FRANCHISE TAX",C676)),ISNUMBER(SEARCH("NEXTLINK",C676))),"Personal - House Bills",IF(AND(ISNUMBER(SEARCH("PAYMENT FROM",C676)),ISNUMBER(SEARCH("JOE SAUNDERS",C676))),"Zelle from Joe Saunders",IF(AND(ISNUMBER(SEARCH("PAYMENT TO",C676)),ISNUMBER(SEARCH("JOE SAUNDERS",C676))),"Zelle to Joe Saunders",IF(OR(ISNUMBER(SEARCH("NEW ORLEANS",C676)),ISNUMBER(SEARCH("KENNER",C676)),ISNUMBER(SEARCH("HENRY HOWARD",C676)),ISNUMBER(SEARCH("MISS CLAUDIA",C676))),"Personal Travel - New Orleans",IFERROR(INDEX('Category Rules'!$B$2:$B$194,MATCH(TRUE,ISNUMBER(SEARCH('Category Rules'!$A$2:$A$194,C676)),0)),"")))))))</f>
        <v>Personal Travel - Portugal</v>
      </c>
    </row>
    <row r="677" spans="1:7" x14ac:dyDescent="0.25">
      <c r="A677" t="s">
        <v>6</v>
      </c>
      <c r="B677" s="1">
        <v>46118</v>
      </c>
      <c r="C677" t="s">
        <v>243</v>
      </c>
      <c r="D677">
        <v>-5</v>
      </c>
      <c r="E677" t="s">
        <v>72</v>
      </c>
      <c r="F677">
        <v>7607.02</v>
      </c>
      <c r="G677" t="str" cm="1">
        <f t="array" ref="G677">IF(AND(ISNUMBER(SEARCH("UBER",C677)),ISNUMBER(SEARCH("EATS",C677))),"Uber Eats",IF(LEFT(C677,6)="CHECK ","Checks Paid",IF(OR(E677="BILLPAY",ISNUMBER(SEARCH("FRANCHISE TAX",C677)),ISNUMBER(SEARCH("NEXTLINK",C677))),"Personal - House Bills",IF(AND(ISNUMBER(SEARCH("PAYMENT FROM",C677)),ISNUMBER(SEARCH("JOE SAUNDERS",C677))),"Zelle from Joe Saunders",IF(AND(ISNUMBER(SEARCH("PAYMENT TO",C677)),ISNUMBER(SEARCH("JOE SAUNDERS",C677))),"Zelle to Joe Saunders",IF(OR(ISNUMBER(SEARCH("NEW ORLEANS",C677)),ISNUMBER(SEARCH("KENNER",C677)),ISNUMBER(SEARCH("HENRY HOWARD",C677)),ISNUMBER(SEARCH("MISS CLAUDIA",C677))),"Personal Travel - New Orleans",IFERROR(INDEX('Category Rules'!$B$2:$B$194,MATCH(TRUE,ISNUMBER(SEARCH('Category Rules'!$A$2:$A$194,C677)),0)),"")))))))</f>
        <v>Bank Fees</v>
      </c>
    </row>
    <row r="678" spans="1:7" x14ac:dyDescent="0.25">
      <c r="A678" t="s">
        <v>6</v>
      </c>
      <c r="B678" s="1">
        <v>46118</v>
      </c>
      <c r="C678" t="s">
        <v>243</v>
      </c>
      <c r="D678">
        <v>-5</v>
      </c>
      <c r="E678" t="s">
        <v>72</v>
      </c>
      <c r="F678">
        <v>7612.02</v>
      </c>
      <c r="G678" t="str" cm="1">
        <f t="array" ref="G678">IF(AND(ISNUMBER(SEARCH("UBER",C678)),ISNUMBER(SEARCH("EATS",C678))),"Uber Eats",IF(LEFT(C678,6)="CHECK ","Checks Paid",IF(OR(E678="BILLPAY",ISNUMBER(SEARCH("FRANCHISE TAX",C678)),ISNUMBER(SEARCH("NEXTLINK",C678))),"Personal - House Bills",IF(AND(ISNUMBER(SEARCH("PAYMENT FROM",C678)),ISNUMBER(SEARCH("JOE SAUNDERS",C678))),"Zelle from Joe Saunders",IF(AND(ISNUMBER(SEARCH("PAYMENT TO",C678)),ISNUMBER(SEARCH("JOE SAUNDERS",C678))),"Zelle to Joe Saunders",IF(OR(ISNUMBER(SEARCH("NEW ORLEANS",C678)),ISNUMBER(SEARCH("KENNER",C678)),ISNUMBER(SEARCH("HENRY HOWARD",C678)),ISNUMBER(SEARCH("MISS CLAUDIA",C678))),"Personal Travel - New Orleans",IFERROR(INDEX('Category Rules'!$B$2:$B$194,MATCH(TRUE,ISNUMBER(SEARCH('Category Rules'!$A$2:$A$194,C678)),0)),"")))))))</f>
        <v>Bank Fees</v>
      </c>
    </row>
    <row r="679" spans="1:7" x14ac:dyDescent="0.25">
      <c r="A679" t="s">
        <v>6</v>
      </c>
      <c r="B679" s="1">
        <v>46118</v>
      </c>
      <c r="C679" t="s">
        <v>243</v>
      </c>
      <c r="D679">
        <v>-5</v>
      </c>
      <c r="E679" t="s">
        <v>72</v>
      </c>
      <c r="F679">
        <v>7617.02</v>
      </c>
      <c r="G679" t="str" cm="1">
        <f t="array" ref="G679">IF(AND(ISNUMBER(SEARCH("UBER",C679)),ISNUMBER(SEARCH("EATS",C679))),"Uber Eats",IF(LEFT(C679,6)="CHECK ","Checks Paid",IF(OR(E679="BILLPAY",ISNUMBER(SEARCH("FRANCHISE TAX",C679)),ISNUMBER(SEARCH("NEXTLINK",C679))),"Personal - House Bills",IF(AND(ISNUMBER(SEARCH("PAYMENT FROM",C679)),ISNUMBER(SEARCH("JOE SAUNDERS",C679))),"Zelle from Joe Saunders",IF(AND(ISNUMBER(SEARCH("PAYMENT TO",C679)),ISNUMBER(SEARCH("JOE SAUNDERS",C679))),"Zelle to Joe Saunders",IF(OR(ISNUMBER(SEARCH("NEW ORLEANS",C679)),ISNUMBER(SEARCH("KENNER",C679)),ISNUMBER(SEARCH("HENRY HOWARD",C679)),ISNUMBER(SEARCH("MISS CLAUDIA",C679))),"Personal Travel - New Orleans",IFERROR(INDEX('Category Rules'!$B$2:$B$194,MATCH(TRUE,ISNUMBER(SEARCH('Category Rules'!$A$2:$A$194,C679)),0)),"")))))))</f>
        <v>Bank Fees</v>
      </c>
    </row>
    <row r="680" spans="1:7" x14ac:dyDescent="0.25">
      <c r="A680" t="s">
        <v>6</v>
      </c>
      <c r="B680" s="1">
        <v>46118</v>
      </c>
      <c r="C680" t="s">
        <v>646</v>
      </c>
      <c r="D680">
        <v>-404.91</v>
      </c>
      <c r="E680" t="s">
        <v>48</v>
      </c>
      <c r="F680">
        <v>7622.02</v>
      </c>
      <c r="G680" t="str" cm="1">
        <f t="array" ref="G680">IF(AND(ISNUMBER(SEARCH("UBER",C680)),ISNUMBER(SEARCH("EATS",C680))),"Uber Eats",IF(LEFT(C680,6)="CHECK ","Checks Paid",IF(OR(E680="BILLPAY",ISNUMBER(SEARCH("FRANCHISE TAX",C680)),ISNUMBER(SEARCH("NEXTLINK",C680))),"Personal - House Bills",IF(AND(ISNUMBER(SEARCH("PAYMENT FROM",C680)),ISNUMBER(SEARCH("JOE SAUNDERS",C680))),"Zelle from Joe Saunders",IF(AND(ISNUMBER(SEARCH("PAYMENT TO",C680)),ISNUMBER(SEARCH("JOE SAUNDERS",C680))),"Zelle to Joe Saunders",IF(OR(ISNUMBER(SEARCH("NEW ORLEANS",C680)),ISNUMBER(SEARCH("KENNER",C680)),ISNUMBER(SEARCH("HENRY HOWARD",C680)),ISNUMBER(SEARCH("MISS CLAUDIA",C680))),"Personal Travel - New Orleans",IFERROR(INDEX('Category Rules'!$B$2:$B$194,MATCH(TRUE,ISNUMBER(SEARCH('Category Rules'!$A$2:$A$194,C680)),0)),"")))))))</f>
        <v>Withdrawal</v>
      </c>
    </row>
    <row r="681" spans="1:7" x14ac:dyDescent="0.25">
      <c r="A681" t="s">
        <v>6</v>
      </c>
      <c r="B681" s="1">
        <v>46118</v>
      </c>
      <c r="C681" t="s">
        <v>647</v>
      </c>
      <c r="D681">
        <v>-26.22</v>
      </c>
      <c r="E681" t="s">
        <v>14</v>
      </c>
      <c r="F681">
        <v>8026.93</v>
      </c>
      <c r="G681" t="str" cm="1">
        <f t="array" ref="G681">IF(AND(ISNUMBER(SEARCH("UBER",C681)),ISNUMBER(SEARCH("EATS",C681))),"Uber Eats",IF(LEFT(C681,6)="CHECK ","Checks Paid",IF(OR(E681="BILLPAY",ISNUMBER(SEARCH("FRANCHISE TAX",C681)),ISNUMBER(SEARCH("NEXTLINK",C681))),"Personal - House Bills",IF(AND(ISNUMBER(SEARCH("PAYMENT FROM",C681)),ISNUMBER(SEARCH("JOE SAUNDERS",C681))),"Zelle from Joe Saunders",IF(AND(ISNUMBER(SEARCH("PAYMENT TO",C681)),ISNUMBER(SEARCH("JOE SAUNDERS",C681))),"Zelle to Joe Saunders",IF(OR(ISNUMBER(SEARCH("NEW ORLEANS",C681)),ISNUMBER(SEARCH("KENNER",C681)),ISNUMBER(SEARCH("HENRY HOWARD",C681)),ISNUMBER(SEARCH("MISS CLAUDIA",C681))),"Personal Travel - New Orleans",IFERROR(INDEX('Category Rules'!$B$2:$B$194,MATCH(TRUE,ISNUMBER(SEARCH('Category Rules'!$A$2:$A$194,C681)),0)),"")))))))</f>
        <v>Personal Travel</v>
      </c>
    </row>
    <row r="682" spans="1:7" x14ac:dyDescent="0.25">
      <c r="A682" t="s">
        <v>6</v>
      </c>
      <c r="B682" s="1">
        <v>46118</v>
      </c>
      <c r="C682" t="s">
        <v>648</v>
      </c>
      <c r="D682">
        <v>-13.99</v>
      </c>
      <c r="E682" t="s">
        <v>14</v>
      </c>
      <c r="F682">
        <v>8053.15</v>
      </c>
      <c r="G682" t="str" cm="1">
        <f t="array" ref="G682">IF(AND(ISNUMBER(SEARCH("UBER",C682)),ISNUMBER(SEARCH("EATS",C682))),"Uber Eats",IF(LEFT(C682,6)="CHECK ","Checks Paid",IF(OR(E682="BILLPAY",ISNUMBER(SEARCH("FRANCHISE TAX",C682)),ISNUMBER(SEARCH("NEXTLINK",C682))),"Personal - House Bills",IF(AND(ISNUMBER(SEARCH("PAYMENT FROM",C682)),ISNUMBER(SEARCH("JOE SAUNDERS",C682))),"Zelle from Joe Saunders",IF(AND(ISNUMBER(SEARCH("PAYMENT TO",C682)),ISNUMBER(SEARCH("JOE SAUNDERS",C682))),"Zelle to Joe Saunders",IF(OR(ISNUMBER(SEARCH("NEW ORLEANS",C682)),ISNUMBER(SEARCH("KENNER",C682)),ISNUMBER(SEARCH("HENRY HOWARD",C682)),ISNUMBER(SEARCH("MISS CLAUDIA",C682))),"Personal Travel - New Orleans",IFERROR(INDEX('Category Rules'!$B$2:$B$194,MATCH(TRUE,ISNUMBER(SEARCH('Category Rules'!$A$2:$A$194,C682)),0)),"")))))))</f>
        <v>YouTube Premium</v>
      </c>
    </row>
    <row r="683" spans="1:7" x14ac:dyDescent="0.25">
      <c r="A683" t="s">
        <v>6</v>
      </c>
      <c r="B683" s="1">
        <v>46118</v>
      </c>
      <c r="C683" t="s">
        <v>649</v>
      </c>
      <c r="D683">
        <v>-29.95</v>
      </c>
      <c r="E683" t="s">
        <v>14</v>
      </c>
      <c r="F683">
        <v>8067.14</v>
      </c>
      <c r="G683" t="str" cm="1">
        <f t="array" ref="G683">IF(AND(ISNUMBER(SEARCH("UBER",C683)),ISNUMBER(SEARCH("EATS",C683))),"Uber Eats",IF(LEFT(C683,6)="CHECK ","Checks Paid",IF(OR(E683="BILLPAY",ISNUMBER(SEARCH("FRANCHISE TAX",C683)),ISNUMBER(SEARCH("NEXTLINK",C683))),"Personal - House Bills",IF(AND(ISNUMBER(SEARCH("PAYMENT FROM",C683)),ISNUMBER(SEARCH("JOE SAUNDERS",C683))),"Zelle from Joe Saunders",IF(AND(ISNUMBER(SEARCH("PAYMENT TO",C683)),ISNUMBER(SEARCH("JOE SAUNDERS",C683))),"Zelle to Joe Saunders",IF(OR(ISNUMBER(SEARCH("NEW ORLEANS",C683)),ISNUMBER(SEARCH("KENNER",C683)),ISNUMBER(SEARCH("HENRY HOWARD",C683)),ISNUMBER(SEARCH("MISS CLAUDIA",C683))),"Personal Travel - New Orleans",IFERROR(INDEX('Category Rules'!$B$2:$B$194,MATCH(TRUE,ISNUMBER(SEARCH('Category Rules'!$A$2:$A$194,C683)),0)),"")))))))</f>
        <v>Personal - Subscription</v>
      </c>
    </row>
    <row r="684" spans="1:7" x14ac:dyDescent="0.25">
      <c r="A684" t="s">
        <v>6</v>
      </c>
      <c r="B684" s="1">
        <v>46118</v>
      </c>
      <c r="C684" t="s">
        <v>650</v>
      </c>
      <c r="D684">
        <v>-262.20999999999998</v>
      </c>
      <c r="E684" t="s">
        <v>48</v>
      </c>
      <c r="F684">
        <v>8097.09</v>
      </c>
      <c r="G684" t="str" cm="1">
        <f t="array" ref="G684">IF(AND(ISNUMBER(SEARCH("UBER",C684)),ISNUMBER(SEARCH("EATS",C684))),"Uber Eats",IF(LEFT(C684,6)="CHECK ","Checks Paid",IF(OR(E684="BILLPAY",ISNUMBER(SEARCH("FRANCHISE TAX",C684)),ISNUMBER(SEARCH("NEXTLINK",C684))),"Personal - House Bills",IF(AND(ISNUMBER(SEARCH("PAYMENT FROM",C684)),ISNUMBER(SEARCH("JOE SAUNDERS",C684))),"Zelle from Joe Saunders",IF(AND(ISNUMBER(SEARCH("PAYMENT TO",C684)),ISNUMBER(SEARCH("JOE SAUNDERS",C684))),"Zelle to Joe Saunders",IF(OR(ISNUMBER(SEARCH("NEW ORLEANS",C684)),ISNUMBER(SEARCH("KENNER",C684)),ISNUMBER(SEARCH("HENRY HOWARD",C684)),ISNUMBER(SEARCH("MISS CLAUDIA",C684))),"Personal Travel - New Orleans",IFERROR(INDEX('Category Rules'!$B$2:$B$194,MATCH(TRUE,ISNUMBER(SEARCH('Category Rules'!$A$2:$A$194,C684)),0)),"")))))))</f>
        <v>Withdrawal</v>
      </c>
    </row>
    <row r="685" spans="1:7" x14ac:dyDescent="0.25">
      <c r="A685" t="s">
        <v>6</v>
      </c>
      <c r="B685" s="1">
        <v>46118</v>
      </c>
      <c r="C685" t="s">
        <v>651</v>
      </c>
      <c r="D685">
        <v>-19.47</v>
      </c>
      <c r="E685" t="s">
        <v>14</v>
      </c>
      <c r="F685">
        <v>8359.2999999999993</v>
      </c>
      <c r="G685" t="str" cm="1">
        <f t="array" ref="G685">IF(AND(ISNUMBER(SEARCH("UBER",C685)),ISNUMBER(SEARCH("EATS",C685))),"Uber Eats",IF(LEFT(C685,6)="CHECK ","Checks Paid",IF(OR(E685="BILLPAY",ISNUMBER(SEARCH("FRANCHISE TAX",C685)),ISNUMBER(SEARCH("NEXTLINK",C685))),"Personal - House Bills",IF(AND(ISNUMBER(SEARCH("PAYMENT FROM",C685)),ISNUMBER(SEARCH("JOE SAUNDERS",C685))),"Zelle from Joe Saunders",IF(AND(ISNUMBER(SEARCH("PAYMENT TO",C685)),ISNUMBER(SEARCH("JOE SAUNDERS",C685))),"Zelle to Joe Saunders",IF(OR(ISNUMBER(SEARCH("NEW ORLEANS",C685)),ISNUMBER(SEARCH("KENNER",C685)),ISNUMBER(SEARCH("HENRY HOWARD",C685)),ISNUMBER(SEARCH("MISS CLAUDIA",C685))),"Personal Travel - New Orleans",IFERROR(INDEX('Category Rules'!$B$2:$B$194,MATCH(TRUE,ISNUMBER(SEARCH('Category Rules'!$A$2:$A$194,C685)),0)),"")))))))</f>
        <v>Personal - Food</v>
      </c>
    </row>
    <row r="686" spans="1:7" x14ac:dyDescent="0.25">
      <c r="A686" t="s">
        <v>6</v>
      </c>
      <c r="B686" s="1">
        <v>46118</v>
      </c>
      <c r="C686" t="s">
        <v>652</v>
      </c>
      <c r="D686">
        <v>-101.94</v>
      </c>
      <c r="E686" t="s">
        <v>14</v>
      </c>
      <c r="F686">
        <v>8378.77</v>
      </c>
      <c r="G686" t="str" cm="1">
        <f t="array" ref="G686">IF(AND(ISNUMBER(SEARCH("UBER",C686)),ISNUMBER(SEARCH("EATS",C686))),"Uber Eats",IF(LEFT(C686,6)="CHECK ","Checks Paid",IF(OR(E686="BILLPAY",ISNUMBER(SEARCH("FRANCHISE TAX",C686)),ISNUMBER(SEARCH("NEXTLINK",C686))),"Personal - House Bills",IF(AND(ISNUMBER(SEARCH("PAYMENT FROM",C686)),ISNUMBER(SEARCH("JOE SAUNDERS",C686))),"Zelle from Joe Saunders",IF(AND(ISNUMBER(SEARCH("PAYMENT TO",C686)),ISNUMBER(SEARCH("JOE SAUNDERS",C686))),"Zelle to Joe Saunders",IF(OR(ISNUMBER(SEARCH("NEW ORLEANS",C686)),ISNUMBER(SEARCH("KENNER",C686)),ISNUMBER(SEARCH("HENRY HOWARD",C686)),ISNUMBER(SEARCH("MISS CLAUDIA",C686))),"Personal Travel - New Orleans",IFERROR(INDEX('Category Rules'!$B$2:$B$194,MATCH(TRUE,ISNUMBER(SEARCH('Category Rules'!$A$2:$A$194,C686)),0)),"")))))))</f>
        <v>Personal - Food</v>
      </c>
    </row>
    <row r="687" spans="1:7" x14ac:dyDescent="0.25">
      <c r="A687" t="s">
        <v>6</v>
      </c>
      <c r="B687" s="1">
        <v>46118</v>
      </c>
      <c r="C687" t="s">
        <v>653</v>
      </c>
      <c r="D687">
        <v>-117.59</v>
      </c>
      <c r="E687" t="s">
        <v>14</v>
      </c>
      <c r="F687">
        <v>8480.7099999999991</v>
      </c>
      <c r="G687" t="str" cm="1">
        <f t="array" ref="G687">IF(AND(ISNUMBER(SEARCH("UBER",C687)),ISNUMBER(SEARCH("EATS",C687))),"Uber Eats",IF(LEFT(C687,6)="CHECK ","Checks Paid",IF(OR(E687="BILLPAY",ISNUMBER(SEARCH("FRANCHISE TAX",C687)),ISNUMBER(SEARCH("NEXTLINK",C687))),"Personal - House Bills",IF(AND(ISNUMBER(SEARCH("PAYMENT FROM",C687)),ISNUMBER(SEARCH("JOE SAUNDERS",C687))),"Zelle from Joe Saunders",IF(AND(ISNUMBER(SEARCH("PAYMENT TO",C687)),ISNUMBER(SEARCH("JOE SAUNDERS",C687))),"Zelle to Joe Saunders",IF(OR(ISNUMBER(SEARCH("NEW ORLEANS",C687)),ISNUMBER(SEARCH("KENNER",C687)),ISNUMBER(SEARCH("HENRY HOWARD",C687)),ISNUMBER(SEARCH("MISS CLAUDIA",C687))),"Personal Travel - New Orleans",IFERROR(INDEX('Category Rules'!$B$2:$B$194,MATCH(TRUE,ISNUMBER(SEARCH('Category Rules'!$A$2:$A$194,C687)),0)),"")))))))</f>
        <v>Personal Travel</v>
      </c>
    </row>
    <row r="688" spans="1:7" x14ac:dyDescent="0.25">
      <c r="A688" t="s">
        <v>6</v>
      </c>
      <c r="B688" s="1">
        <v>46118</v>
      </c>
      <c r="C688" t="s">
        <v>654</v>
      </c>
      <c r="D688">
        <v>-263.48</v>
      </c>
      <c r="E688" t="s">
        <v>48</v>
      </c>
      <c r="F688">
        <v>8598.2999999999993</v>
      </c>
      <c r="G688" t="str" cm="1">
        <f t="array" ref="G688">IF(AND(ISNUMBER(SEARCH("UBER",C688)),ISNUMBER(SEARCH("EATS",C688))),"Uber Eats",IF(LEFT(C688,6)="CHECK ","Checks Paid",IF(OR(E688="BILLPAY",ISNUMBER(SEARCH("FRANCHISE TAX",C688)),ISNUMBER(SEARCH("NEXTLINK",C688))),"Personal - House Bills",IF(AND(ISNUMBER(SEARCH("PAYMENT FROM",C688)),ISNUMBER(SEARCH("JOE SAUNDERS",C688))),"Zelle from Joe Saunders",IF(AND(ISNUMBER(SEARCH("PAYMENT TO",C688)),ISNUMBER(SEARCH("JOE SAUNDERS",C688))),"Zelle to Joe Saunders",IF(OR(ISNUMBER(SEARCH("NEW ORLEANS",C688)),ISNUMBER(SEARCH("KENNER",C688)),ISNUMBER(SEARCH("HENRY HOWARD",C688)),ISNUMBER(SEARCH("MISS CLAUDIA",C688))),"Personal Travel - New Orleans",IFERROR(INDEX('Category Rules'!$B$2:$B$194,MATCH(TRUE,ISNUMBER(SEARCH('Category Rules'!$A$2:$A$194,C688)),0)),"")))))))</f>
        <v>Withdrawal</v>
      </c>
    </row>
    <row r="689" spans="1:7" x14ac:dyDescent="0.25">
      <c r="A689" t="s">
        <v>6</v>
      </c>
      <c r="B689" s="1">
        <v>46118</v>
      </c>
      <c r="C689" t="s">
        <v>655</v>
      </c>
      <c r="D689">
        <v>193.8</v>
      </c>
      <c r="E689" t="s">
        <v>14</v>
      </c>
      <c r="F689">
        <v>8861.7800000000007</v>
      </c>
      <c r="G689" t="str" cm="1">
        <f t="array" ref="G689">IF(AND(ISNUMBER(SEARCH("UBER",C689)),ISNUMBER(SEARCH("EATS",C689))),"Uber Eats",IF(LEFT(C689,6)="CHECK ","Checks Paid",IF(OR(E689="BILLPAY",ISNUMBER(SEARCH("FRANCHISE TAX",C689)),ISNUMBER(SEARCH("NEXTLINK",C689))),"Personal - House Bills",IF(AND(ISNUMBER(SEARCH("PAYMENT FROM",C689)),ISNUMBER(SEARCH("JOE SAUNDERS",C689))),"Zelle from Joe Saunders",IF(AND(ISNUMBER(SEARCH("PAYMENT TO",C689)),ISNUMBER(SEARCH("JOE SAUNDERS",C689))),"Zelle to Joe Saunders",IF(OR(ISNUMBER(SEARCH("NEW ORLEANS",C689)),ISNUMBER(SEARCH("KENNER",C689)),ISNUMBER(SEARCH("HENRY HOWARD",C689)),ISNUMBER(SEARCH("MISS CLAUDIA",C689))),"Personal Travel - New Orleans",IFERROR(INDEX('Category Rules'!$B$2:$B$194,MATCH(TRUE,ISNUMBER(SEARCH('Category Rules'!$A$2:$A$194,C689)),0)),"")))))))</f>
        <v>Personal Travel</v>
      </c>
    </row>
    <row r="690" spans="1:7" x14ac:dyDescent="0.25">
      <c r="A690" t="s">
        <v>6</v>
      </c>
      <c r="B690" s="1">
        <v>46115</v>
      </c>
      <c r="C690" t="s">
        <v>243</v>
      </c>
      <c r="D690">
        <v>-5</v>
      </c>
      <c r="E690" t="s">
        <v>72</v>
      </c>
      <c r="F690">
        <v>8667.98</v>
      </c>
      <c r="G690" t="str" cm="1">
        <f t="array" ref="G690">IF(AND(ISNUMBER(SEARCH("UBER",C690)),ISNUMBER(SEARCH("EATS",C690))),"Uber Eats",IF(LEFT(C690,6)="CHECK ","Checks Paid",IF(OR(E690="BILLPAY",ISNUMBER(SEARCH("FRANCHISE TAX",C690)),ISNUMBER(SEARCH("NEXTLINK",C690))),"Personal - House Bills",IF(AND(ISNUMBER(SEARCH("PAYMENT FROM",C690)),ISNUMBER(SEARCH("JOE SAUNDERS",C690))),"Zelle from Joe Saunders",IF(AND(ISNUMBER(SEARCH("PAYMENT TO",C690)),ISNUMBER(SEARCH("JOE SAUNDERS",C690))),"Zelle to Joe Saunders",IF(OR(ISNUMBER(SEARCH("NEW ORLEANS",C690)),ISNUMBER(SEARCH("KENNER",C690)),ISNUMBER(SEARCH("HENRY HOWARD",C690)),ISNUMBER(SEARCH("MISS CLAUDIA",C690))),"Personal Travel - New Orleans",IFERROR(INDEX('Category Rules'!$B$2:$B$194,MATCH(TRUE,ISNUMBER(SEARCH('Category Rules'!$A$2:$A$194,C690)),0)),"")))))))</f>
        <v>Bank Fees</v>
      </c>
    </row>
    <row r="691" spans="1:7" x14ac:dyDescent="0.25">
      <c r="A691" t="s">
        <v>6</v>
      </c>
      <c r="B691" s="1">
        <v>46115</v>
      </c>
      <c r="C691" t="s">
        <v>243</v>
      </c>
      <c r="D691">
        <v>-5</v>
      </c>
      <c r="E691" t="s">
        <v>72</v>
      </c>
      <c r="F691">
        <v>8672.98</v>
      </c>
      <c r="G691" t="str" cm="1">
        <f t="array" ref="G691">IF(AND(ISNUMBER(SEARCH("UBER",C691)),ISNUMBER(SEARCH("EATS",C691))),"Uber Eats",IF(LEFT(C691,6)="CHECK ","Checks Paid",IF(OR(E691="BILLPAY",ISNUMBER(SEARCH("FRANCHISE TAX",C691)),ISNUMBER(SEARCH("NEXTLINK",C691))),"Personal - House Bills",IF(AND(ISNUMBER(SEARCH("PAYMENT FROM",C691)),ISNUMBER(SEARCH("JOE SAUNDERS",C691))),"Zelle from Joe Saunders",IF(AND(ISNUMBER(SEARCH("PAYMENT TO",C691)),ISNUMBER(SEARCH("JOE SAUNDERS",C691))),"Zelle to Joe Saunders",IF(OR(ISNUMBER(SEARCH("NEW ORLEANS",C691)),ISNUMBER(SEARCH("KENNER",C691)),ISNUMBER(SEARCH("HENRY HOWARD",C691)),ISNUMBER(SEARCH("MISS CLAUDIA",C691))),"Personal Travel - New Orleans",IFERROR(INDEX('Category Rules'!$B$2:$B$194,MATCH(TRUE,ISNUMBER(SEARCH('Category Rules'!$A$2:$A$194,C691)),0)),"")))))))</f>
        <v>Bank Fees</v>
      </c>
    </row>
    <row r="692" spans="1:7" x14ac:dyDescent="0.25">
      <c r="A692" t="s">
        <v>6</v>
      </c>
      <c r="B692" s="1">
        <v>46115</v>
      </c>
      <c r="C692" t="s">
        <v>656</v>
      </c>
      <c r="D692">
        <v>-100.14</v>
      </c>
      <c r="E692" t="s">
        <v>48</v>
      </c>
      <c r="F692">
        <v>8677.98</v>
      </c>
      <c r="G692" t="str" cm="1">
        <f t="array" ref="G692">IF(AND(ISNUMBER(SEARCH("UBER",C692)),ISNUMBER(SEARCH("EATS",C692))),"Uber Eats",IF(LEFT(C692,6)="CHECK ","Checks Paid",IF(OR(E692="BILLPAY",ISNUMBER(SEARCH("FRANCHISE TAX",C692)),ISNUMBER(SEARCH("NEXTLINK",C692))),"Personal - House Bills",IF(AND(ISNUMBER(SEARCH("PAYMENT FROM",C692)),ISNUMBER(SEARCH("JOE SAUNDERS",C692))),"Zelle from Joe Saunders",IF(AND(ISNUMBER(SEARCH("PAYMENT TO",C692)),ISNUMBER(SEARCH("JOE SAUNDERS",C692))),"Zelle to Joe Saunders",IF(OR(ISNUMBER(SEARCH("NEW ORLEANS",C692)),ISNUMBER(SEARCH("KENNER",C692)),ISNUMBER(SEARCH("HENRY HOWARD",C692)),ISNUMBER(SEARCH("MISS CLAUDIA",C692))),"Personal Travel - New Orleans",IFERROR(INDEX('Category Rules'!$B$2:$B$194,MATCH(TRUE,ISNUMBER(SEARCH('Category Rules'!$A$2:$A$194,C692)),0)),"")))))))</f>
        <v>Withdrawal</v>
      </c>
    </row>
    <row r="693" spans="1:7" x14ac:dyDescent="0.25">
      <c r="A693" t="s">
        <v>6</v>
      </c>
      <c r="B693" s="1">
        <v>46115</v>
      </c>
      <c r="C693" t="s">
        <v>657</v>
      </c>
      <c r="D693">
        <v>-407.5</v>
      </c>
      <c r="E693" t="s">
        <v>48</v>
      </c>
      <c r="F693">
        <v>8778.1200000000008</v>
      </c>
      <c r="G693" t="str" cm="1">
        <f t="array" ref="G693">IF(AND(ISNUMBER(SEARCH("UBER",C693)),ISNUMBER(SEARCH("EATS",C693))),"Uber Eats",IF(LEFT(C693,6)="CHECK ","Checks Paid",IF(OR(E693="BILLPAY",ISNUMBER(SEARCH("FRANCHISE TAX",C693)),ISNUMBER(SEARCH("NEXTLINK",C693))),"Personal - House Bills",IF(AND(ISNUMBER(SEARCH("PAYMENT FROM",C693)),ISNUMBER(SEARCH("JOE SAUNDERS",C693))),"Zelle from Joe Saunders",IF(AND(ISNUMBER(SEARCH("PAYMENT TO",C693)),ISNUMBER(SEARCH("JOE SAUNDERS",C693))),"Zelle to Joe Saunders",IF(OR(ISNUMBER(SEARCH("NEW ORLEANS",C693)),ISNUMBER(SEARCH("KENNER",C693)),ISNUMBER(SEARCH("HENRY HOWARD",C693)),ISNUMBER(SEARCH("MISS CLAUDIA",C693))),"Personal Travel - New Orleans",IFERROR(INDEX('Category Rules'!$B$2:$B$194,MATCH(TRUE,ISNUMBER(SEARCH('Category Rules'!$A$2:$A$194,C693)),0)),"")))))))</f>
        <v>Withdrawal</v>
      </c>
    </row>
    <row r="694" spans="1:7" x14ac:dyDescent="0.25">
      <c r="A694" t="s">
        <v>6</v>
      </c>
      <c r="B694" s="1">
        <v>46115</v>
      </c>
      <c r="C694" t="s">
        <v>658</v>
      </c>
      <c r="D694">
        <v>-500</v>
      </c>
      <c r="E694" t="s">
        <v>39</v>
      </c>
      <c r="F694">
        <v>9185.6200000000008</v>
      </c>
      <c r="G694" t="str" cm="1">
        <f t="array" ref="G694">IF(AND(ISNUMBER(SEARCH("UBER",C694)),ISNUMBER(SEARCH("EATS",C694))),"Uber Eats",IF(LEFT(C694,6)="CHECK ","Checks Paid",IF(OR(E694="BILLPAY",ISNUMBER(SEARCH("FRANCHISE TAX",C694)),ISNUMBER(SEARCH("NEXTLINK",C694))),"Personal - House Bills",IF(AND(ISNUMBER(SEARCH("PAYMENT FROM",C694)),ISNUMBER(SEARCH("JOE SAUNDERS",C694))),"Zelle from Joe Saunders",IF(AND(ISNUMBER(SEARCH("PAYMENT TO",C694)),ISNUMBER(SEARCH("JOE SAUNDERS",C694))),"Zelle to Joe Saunders",IF(OR(ISNUMBER(SEARCH("NEW ORLEANS",C694)),ISNUMBER(SEARCH("KENNER",C694)),ISNUMBER(SEARCH("HENRY HOWARD",C694)),ISNUMBER(SEARCH("MISS CLAUDIA",C694))),"Personal Travel - New Orleans",IFERROR(INDEX('Category Rules'!$B$2:$B$194,MATCH(TRUE,ISNUMBER(SEARCH('Category Rules'!$A$2:$A$194,C694)),0)),"")))))))</f>
        <v>Transfer to Ava</v>
      </c>
    </row>
    <row r="695" spans="1:7" x14ac:dyDescent="0.25">
      <c r="A695" t="s">
        <v>6</v>
      </c>
      <c r="B695" s="1">
        <v>46115</v>
      </c>
      <c r="C695" t="s">
        <v>659</v>
      </c>
      <c r="D695">
        <v>-119</v>
      </c>
      <c r="E695" t="s">
        <v>14</v>
      </c>
      <c r="F695">
        <v>9685.6200000000008</v>
      </c>
      <c r="G695" t="str" cm="1">
        <f t="array" ref="G695">IF(AND(ISNUMBER(SEARCH("UBER",C695)),ISNUMBER(SEARCH("EATS",C695))),"Uber Eats",IF(LEFT(C695,6)="CHECK ","Checks Paid",IF(OR(E695="BILLPAY",ISNUMBER(SEARCH("FRANCHISE TAX",C695)),ISNUMBER(SEARCH("NEXTLINK",C695))),"Personal - House Bills",IF(AND(ISNUMBER(SEARCH("PAYMENT FROM",C695)),ISNUMBER(SEARCH("JOE SAUNDERS",C695))),"Zelle from Joe Saunders",IF(AND(ISNUMBER(SEARCH("PAYMENT TO",C695)),ISNUMBER(SEARCH("JOE SAUNDERS",C695))),"Zelle to Joe Saunders",IF(OR(ISNUMBER(SEARCH("NEW ORLEANS",C695)),ISNUMBER(SEARCH("KENNER",C695)),ISNUMBER(SEARCH("HENRY HOWARD",C695)),ISNUMBER(SEARCH("MISS CLAUDIA",C695))),"Personal Travel - New Orleans",IFERROR(INDEX('Category Rules'!$B$2:$B$194,MATCH(TRUE,ISNUMBER(SEARCH('Category Rules'!$A$2:$A$194,C695)),0)),"")))))))</f>
        <v>Personal - Entertainment</v>
      </c>
    </row>
    <row r="696" spans="1:7" x14ac:dyDescent="0.25">
      <c r="A696" t="s">
        <v>6</v>
      </c>
      <c r="B696" s="1">
        <v>46115</v>
      </c>
      <c r="C696" t="s">
        <v>660</v>
      </c>
      <c r="D696">
        <v>-3.99</v>
      </c>
      <c r="E696" t="s">
        <v>14</v>
      </c>
      <c r="F696">
        <v>9804.6200000000008</v>
      </c>
      <c r="G696" t="str" cm="1">
        <f t="array" ref="G696">IF(AND(ISNUMBER(SEARCH("UBER",C696)),ISNUMBER(SEARCH("EATS",C696))),"Uber Eats",IF(LEFT(C696,6)="CHECK ","Checks Paid",IF(OR(E696="BILLPAY",ISNUMBER(SEARCH("FRANCHISE TAX",C696)),ISNUMBER(SEARCH("NEXTLINK",C696))),"Personal - House Bills",IF(AND(ISNUMBER(SEARCH("PAYMENT FROM",C696)),ISNUMBER(SEARCH("JOE SAUNDERS",C696))),"Zelle from Joe Saunders",IF(AND(ISNUMBER(SEARCH("PAYMENT TO",C696)),ISNUMBER(SEARCH("JOE SAUNDERS",C696))),"Zelle to Joe Saunders",IF(OR(ISNUMBER(SEARCH("NEW ORLEANS",C696)),ISNUMBER(SEARCH("KENNER",C696)),ISNUMBER(SEARCH("HENRY HOWARD",C696)),ISNUMBER(SEARCH("MISS CLAUDIA",C696))),"Personal Travel - New Orleans",IFERROR(INDEX('Category Rules'!$B$2:$B$194,MATCH(TRUE,ISNUMBER(SEARCH('Category Rules'!$A$2:$A$194,C696)),0)),"")))))))</f>
        <v>Apple</v>
      </c>
    </row>
    <row r="697" spans="1:7" x14ac:dyDescent="0.25">
      <c r="A697" t="s">
        <v>6</v>
      </c>
      <c r="B697" s="1">
        <v>46114</v>
      </c>
      <c r="C697" t="s">
        <v>661</v>
      </c>
      <c r="D697">
        <v>-0.08</v>
      </c>
      <c r="E697" t="s">
        <v>72</v>
      </c>
      <c r="F697">
        <v>9808.61</v>
      </c>
      <c r="G697" t="str" cm="1">
        <f t="array" ref="G697">IF(AND(ISNUMBER(SEARCH("UBER",C697)),ISNUMBER(SEARCH("EATS",C697))),"Uber Eats",IF(LEFT(C697,6)="CHECK ","Checks Paid",IF(OR(E697="BILLPAY",ISNUMBER(SEARCH("FRANCHISE TAX",C697)),ISNUMBER(SEARCH("NEXTLINK",C697))),"Personal - House Bills",IF(AND(ISNUMBER(SEARCH("PAYMENT FROM",C697)),ISNUMBER(SEARCH("JOE SAUNDERS",C697))),"Zelle from Joe Saunders",IF(AND(ISNUMBER(SEARCH("PAYMENT TO",C697)),ISNUMBER(SEARCH("JOE SAUNDERS",C697))),"Zelle to Joe Saunders",IF(OR(ISNUMBER(SEARCH("NEW ORLEANS",C697)),ISNUMBER(SEARCH("KENNER",C697)),ISNUMBER(SEARCH("HENRY HOWARD",C697)),ISNUMBER(SEARCH("MISS CLAUDIA",C697))),"Personal Travel - New Orleans",IFERROR(INDEX('Category Rules'!$B$2:$B$194,MATCH(TRUE,ISNUMBER(SEARCH('Category Rules'!$A$2:$A$194,C697)),0)),"")))))))</f>
        <v>Personal Travel - Portugal</v>
      </c>
    </row>
    <row r="698" spans="1:7" x14ac:dyDescent="0.25">
      <c r="A698" t="s">
        <v>6</v>
      </c>
      <c r="B698" s="1">
        <v>46114</v>
      </c>
      <c r="C698" t="s">
        <v>662</v>
      </c>
      <c r="D698">
        <v>-0.2</v>
      </c>
      <c r="E698" t="s">
        <v>72</v>
      </c>
      <c r="F698">
        <v>9808.69</v>
      </c>
      <c r="G698" t="str" cm="1">
        <f t="array" ref="G698">IF(AND(ISNUMBER(SEARCH("UBER",C698)),ISNUMBER(SEARCH("EATS",C698))),"Uber Eats",IF(LEFT(C698,6)="CHECK ","Checks Paid",IF(OR(E698="BILLPAY",ISNUMBER(SEARCH("FRANCHISE TAX",C698)),ISNUMBER(SEARCH("NEXTLINK",C698))),"Personal - House Bills",IF(AND(ISNUMBER(SEARCH("PAYMENT FROM",C698)),ISNUMBER(SEARCH("JOE SAUNDERS",C698))),"Zelle from Joe Saunders",IF(AND(ISNUMBER(SEARCH("PAYMENT TO",C698)),ISNUMBER(SEARCH("JOE SAUNDERS",C698))),"Zelle to Joe Saunders",IF(OR(ISNUMBER(SEARCH("NEW ORLEANS",C698)),ISNUMBER(SEARCH("KENNER",C698)),ISNUMBER(SEARCH("HENRY HOWARD",C698)),ISNUMBER(SEARCH("MISS CLAUDIA",C698))),"Personal Travel - New Orleans",IFERROR(INDEX('Category Rules'!$B$2:$B$194,MATCH(TRUE,ISNUMBER(SEARCH('Category Rules'!$A$2:$A$194,C698)),0)),"")))))))</f>
        <v>Personal Travel - Portugal</v>
      </c>
    </row>
    <row r="699" spans="1:7" x14ac:dyDescent="0.25">
      <c r="A699" t="s">
        <v>6</v>
      </c>
      <c r="B699" s="1">
        <v>46114</v>
      </c>
      <c r="C699" t="s">
        <v>663</v>
      </c>
      <c r="D699">
        <v>-0.78</v>
      </c>
      <c r="E699" t="s">
        <v>72</v>
      </c>
      <c r="F699">
        <v>9808.89</v>
      </c>
      <c r="G699" t="str" cm="1">
        <f t="array" ref="G699">IF(AND(ISNUMBER(SEARCH("UBER",C699)),ISNUMBER(SEARCH("EATS",C699))),"Uber Eats",IF(LEFT(C699,6)="CHECK ","Checks Paid",IF(OR(E699="BILLPAY",ISNUMBER(SEARCH("FRANCHISE TAX",C699)),ISNUMBER(SEARCH("NEXTLINK",C699))),"Personal - House Bills",IF(AND(ISNUMBER(SEARCH("PAYMENT FROM",C699)),ISNUMBER(SEARCH("JOE SAUNDERS",C699))),"Zelle from Joe Saunders",IF(AND(ISNUMBER(SEARCH("PAYMENT TO",C699)),ISNUMBER(SEARCH("JOE SAUNDERS",C699))),"Zelle to Joe Saunders",IF(OR(ISNUMBER(SEARCH("NEW ORLEANS",C699)),ISNUMBER(SEARCH("KENNER",C699)),ISNUMBER(SEARCH("HENRY HOWARD",C699)),ISNUMBER(SEARCH("MISS CLAUDIA",C699))),"Personal Travel - New Orleans",IFERROR(INDEX('Category Rules'!$B$2:$B$194,MATCH(TRUE,ISNUMBER(SEARCH('Category Rules'!$A$2:$A$194,C699)),0)),"")))))))</f>
        <v>Personal Travel - Portugal</v>
      </c>
    </row>
    <row r="700" spans="1:7" x14ac:dyDescent="0.25">
      <c r="A700" t="s">
        <v>6</v>
      </c>
      <c r="B700" s="1">
        <v>46114</v>
      </c>
      <c r="C700" t="s">
        <v>664</v>
      </c>
      <c r="D700">
        <v>-1.21</v>
      </c>
      <c r="E700" t="s">
        <v>72</v>
      </c>
      <c r="F700">
        <v>9809.67</v>
      </c>
      <c r="G700" t="str" cm="1">
        <f t="array" ref="G700">IF(AND(ISNUMBER(SEARCH("UBER",C700)),ISNUMBER(SEARCH("EATS",C700))),"Uber Eats",IF(LEFT(C700,6)="CHECK ","Checks Paid",IF(OR(E700="BILLPAY",ISNUMBER(SEARCH("FRANCHISE TAX",C700)),ISNUMBER(SEARCH("NEXTLINK",C700))),"Personal - House Bills",IF(AND(ISNUMBER(SEARCH("PAYMENT FROM",C700)),ISNUMBER(SEARCH("JOE SAUNDERS",C700))),"Zelle from Joe Saunders",IF(AND(ISNUMBER(SEARCH("PAYMENT TO",C700)),ISNUMBER(SEARCH("JOE SAUNDERS",C700))),"Zelle to Joe Saunders",IF(OR(ISNUMBER(SEARCH("NEW ORLEANS",C700)),ISNUMBER(SEARCH("KENNER",C700)),ISNUMBER(SEARCH("HENRY HOWARD",C700)),ISNUMBER(SEARCH("MISS CLAUDIA",C700))),"Personal Travel - New Orleans",IFERROR(INDEX('Category Rules'!$B$2:$B$194,MATCH(TRUE,ISNUMBER(SEARCH('Category Rules'!$A$2:$A$194,C700)),0)),"")))))))</f>
        <v>Personal Travel - Portugal</v>
      </c>
    </row>
    <row r="701" spans="1:7" x14ac:dyDescent="0.25">
      <c r="A701" t="s">
        <v>6</v>
      </c>
      <c r="B701" s="1">
        <v>46114</v>
      </c>
      <c r="C701" t="s">
        <v>243</v>
      </c>
      <c r="D701">
        <v>-5</v>
      </c>
      <c r="E701" t="s">
        <v>72</v>
      </c>
      <c r="F701">
        <v>9810.8799999999992</v>
      </c>
      <c r="G701" t="str" cm="1">
        <f t="array" ref="G701">IF(AND(ISNUMBER(SEARCH("UBER",C701)),ISNUMBER(SEARCH("EATS",C701))),"Uber Eats",IF(LEFT(C701,6)="CHECK ","Checks Paid",IF(OR(E701="BILLPAY",ISNUMBER(SEARCH("FRANCHISE TAX",C701)),ISNUMBER(SEARCH("NEXTLINK",C701))),"Personal - House Bills",IF(AND(ISNUMBER(SEARCH("PAYMENT FROM",C701)),ISNUMBER(SEARCH("JOE SAUNDERS",C701))),"Zelle from Joe Saunders",IF(AND(ISNUMBER(SEARCH("PAYMENT TO",C701)),ISNUMBER(SEARCH("JOE SAUNDERS",C701))),"Zelle to Joe Saunders",IF(OR(ISNUMBER(SEARCH("NEW ORLEANS",C701)),ISNUMBER(SEARCH("KENNER",C701)),ISNUMBER(SEARCH("HENRY HOWARD",C701)),ISNUMBER(SEARCH("MISS CLAUDIA",C701))),"Personal Travel - New Orleans",IFERROR(INDEX('Category Rules'!$B$2:$B$194,MATCH(TRUE,ISNUMBER(SEARCH('Category Rules'!$A$2:$A$194,C701)),0)),"")))))))</f>
        <v>Bank Fees</v>
      </c>
    </row>
    <row r="702" spans="1:7" x14ac:dyDescent="0.25">
      <c r="A702" t="s">
        <v>6</v>
      </c>
      <c r="B702" s="1">
        <v>46114</v>
      </c>
      <c r="C702" t="s">
        <v>665</v>
      </c>
      <c r="D702">
        <v>-41.29</v>
      </c>
      <c r="E702" t="s">
        <v>14</v>
      </c>
      <c r="F702">
        <v>9815.8799999999992</v>
      </c>
      <c r="G702" t="str" cm="1">
        <f t="array" ref="G702">IF(AND(ISNUMBER(SEARCH("UBER",C702)),ISNUMBER(SEARCH("EATS",C702))),"Uber Eats",IF(LEFT(C702,6)="CHECK ","Checks Paid",IF(OR(E702="BILLPAY",ISNUMBER(SEARCH("FRANCHISE TAX",C702)),ISNUMBER(SEARCH("NEXTLINK",C702))),"Personal - House Bills",IF(AND(ISNUMBER(SEARCH("PAYMENT FROM",C702)),ISNUMBER(SEARCH("JOE SAUNDERS",C702))),"Zelle from Joe Saunders",IF(AND(ISNUMBER(SEARCH("PAYMENT TO",C702)),ISNUMBER(SEARCH("JOE SAUNDERS",C702))),"Zelle to Joe Saunders",IF(OR(ISNUMBER(SEARCH("NEW ORLEANS",C702)),ISNUMBER(SEARCH("KENNER",C702)),ISNUMBER(SEARCH("HENRY HOWARD",C702)),ISNUMBER(SEARCH("MISS CLAUDIA",C702))),"Personal Travel - New Orleans",IFERROR(INDEX('Category Rules'!$B$2:$B$194,MATCH(TRUE,ISNUMBER(SEARCH('Category Rules'!$A$2:$A$194,C702)),0)),"")))))))</f>
        <v>Uber Eats</v>
      </c>
    </row>
    <row r="703" spans="1:7" x14ac:dyDescent="0.25">
      <c r="A703" t="s">
        <v>6</v>
      </c>
      <c r="B703" s="1">
        <v>46114</v>
      </c>
      <c r="C703" t="s">
        <v>666</v>
      </c>
      <c r="D703">
        <v>-263.95999999999998</v>
      </c>
      <c r="E703" t="s">
        <v>48</v>
      </c>
      <c r="F703">
        <v>9857.17</v>
      </c>
      <c r="G703" t="str" cm="1">
        <f t="array" ref="G703">IF(AND(ISNUMBER(SEARCH("UBER",C703)),ISNUMBER(SEARCH("EATS",C703))),"Uber Eats",IF(LEFT(C703,6)="CHECK ","Checks Paid",IF(OR(E703="BILLPAY",ISNUMBER(SEARCH("FRANCHISE TAX",C703)),ISNUMBER(SEARCH("NEXTLINK",C703))),"Personal - House Bills",IF(AND(ISNUMBER(SEARCH("PAYMENT FROM",C703)),ISNUMBER(SEARCH("JOE SAUNDERS",C703))),"Zelle from Joe Saunders",IF(AND(ISNUMBER(SEARCH("PAYMENT TO",C703)),ISNUMBER(SEARCH("JOE SAUNDERS",C703))),"Zelle to Joe Saunders",IF(OR(ISNUMBER(SEARCH("NEW ORLEANS",C703)),ISNUMBER(SEARCH("KENNER",C703)),ISNUMBER(SEARCH("HENRY HOWARD",C703)),ISNUMBER(SEARCH("MISS CLAUDIA",C703))),"Personal Travel - New Orleans",IFERROR(INDEX('Category Rules'!$B$2:$B$194,MATCH(TRUE,ISNUMBER(SEARCH('Category Rules'!$A$2:$A$194,C703)),0)),"")))))))</f>
        <v>Withdrawal</v>
      </c>
    </row>
    <row r="704" spans="1:7" x14ac:dyDescent="0.25">
      <c r="A704" t="s">
        <v>6</v>
      </c>
      <c r="B704" s="1">
        <v>46114</v>
      </c>
      <c r="C704" t="s">
        <v>667</v>
      </c>
      <c r="D704">
        <v>-26.14</v>
      </c>
      <c r="E704" t="s">
        <v>14</v>
      </c>
      <c r="F704">
        <v>10121.129999999999</v>
      </c>
      <c r="G704" t="str" cm="1">
        <f t="array" ref="G704">IF(AND(ISNUMBER(SEARCH("UBER",C704)),ISNUMBER(SEARCH("EATS",C704))),"Uber Eats",IF(LEFT(C704,6)="CHECK ","Checks Paid",IF(OR(E704="BILLPAY",ISNUMBER(SEARCH("FRANCHISE TAX",C704)),ISNUMBER(SEARCH("NEXTLINK",C704))),"Personal - House Bills",IF(AND(ISNUMBER(SEARCH("PAYMENT FROM",C704)),ISNUMBER(SEARCH("JOE SAUNDERS",C704))),"Zelle from Joe Saunders",IF(AND(ISNUMBER(SEARCH("PAYMENT TO",C704)),ISNUMBER(SEARCH("JOE SAUNDERS",C704))),"Zelle to Joe Saunders",IF(OR(ISNUMBER(SEARCH("NEW ORLEANS",C704)),ISNUMBER(SEARCH("KENNER",C704)),ISNUMBER(SEARCH("HENRY HOWARD",C704)),ISNUMBER(SEARCH("MISS CLAUDIA",C704))),"Personal Travel - New Orleans",IFERROR(INDEX('Category Rules'!$B$2:$B$194,MATCH(TRUE,ISNUMBER(SEARCH('Category Rules'!$A$2:$A$194,C704)),0)),"")))))))</f>
        <v>Personal Travel</v>
      </c>
    </row>
    <row r="705" spans="1:7" x14ac:dyDescent="0.25">
      <c r="A705" t="s">
        <v>6</v>
      </c>
      <c r="B705" s="1">
        <v>46114</v>
      </c>
      <c r="C705" t="s">
        <v>668</v>
      </c>
      <c r="D705">
        <v>-40.479999999999997</v>
      </c>
      <c r="E705" t="s">
        <v>14</v>
      </c>
      <c r="F705">
        <v>10147.27</v>
      </c>
      <c r="G705" t="str" cm="1">
        <f t="array" ref="G705">IF(AND(ISNUMBER(SEARCH("UBER",C705)),ISNUMBER(SEARCH("EATS",C705))),"Uber Eats",IF(LEFT(C705,6)="CHECK ","Checks Paid",IF(OR(E705="BILLPAY",ISNUMBER(SEARCH("FRANCHISE TAX",C705)),ISNUMBER(SEARCH("NEXTLINK",C705))),"Personal - House Bills",IF(AND(ISNUMBER(SEARCH("PAYMENT FROM",C705)),ISNUMBER(SEARCH("JOE SAUNDERS",C705))),"Zelle from Joe Saunders",IF(AND(ISNUMBER(SEARCH("PAYMENT TO",C705)),ISNUMBER(SEARCH("JOE SAUNDERS",C705))),"Zelle to Joe Saunders",IF(OR(ISNUMBER(SEARCH("NEW ORLEANS",C705)),ISNUMBER(SEARCH("KENNER",C705)),ISNUMBER(SEARCH("HENRY HOWARD",C705)),ISNUMBER(SEARCH("MISS CLAUDIA",C705))),"Personal Travel - New Orleans",IFERROR(INDEX('Category Rules'!$B$2:$B$194,MATCH(TRUE,ISNUMBER(SEARCH('Category Rules'!$A$2:$A$194,C705)),0)),"")))))))</f>
        <v>Personal Travel</v>
      </c>
    </row>
    <row r="706" spans="1:7" x14ac:dyDescent="0.25">
      <c r="A706" t="s">
        <v>6</v>
      </c>
      <c r="B706" s="1">
        <v>46114</v>
      </c>
      <c r="C706" t="s">
        <v>669</v>
      </c>
      <c r="D706">
        <v>-6.94</v>
      </c>
      <c r="E706" t="s">
        <v>14</v>
      </c>
      <c r="F706">
        <v>10187.75</v>
      </c>
      <c r="G706" t="str" cm="1">
        <f t="array" ref="G706">IF(AND(ISNUMBER(SEARCH("UBER",C706)),ISNUMBER(SEARCH("EATS",C706))),"Uber Eats",IF(LEFT(C706,6)="CHECK ","Checks Paid",IF(OR(E706="BILLPAY",ISNUMBER(SEARCH("FRANCHISE TAX",C706)),ISNUMBER(SEARCH("NEXTLINK",C706))),"Personal - House Bills",IF(AND(ISNUMBER(SEARCH("PAYMENT FROM",C706)),ISNUMBER(SEARCH("JOE SAUNDERS",C706))),"Zelle from Joe Saunders",IF(AND(ISNUMBER(SEARCH("PAYMENT TO",C706)),ISNUMBER(SEARCH("JOE SAUNDERS",C706))),"Zelle to Joe Saunders",IF(OR(ISNUMBER(SEARCH("NEW ORLEANS",C706)),ISNUMBER(SEARCH("KENNER",C706)),ISNUMBER(SEARCH("HENRY HOWARD",C706)),ISNUMBER(SEARCH("MISS CLAUDIA",C706))),"Personal Travel - New Orleans",IFERROR(INDEX('Category Rules'!$B$2:$B$194,MATCH(TRUE,ISNUMBER(SEARCH('Category Rules'!$A$2:$A$194,C706)),0)),"")))))))</f>
        <v>Personal Travel</v>
      </c>
    </row>
    <row r="707" spans="1:7" x14ac:dyDescent="0.25">
      <c r="A707" t="s">
        <v>6</v>
      </c>
      <c r="B707" s="1">
        <v>46114</v>
      </c>
      <c r="C707" t="s">
        <v>670</v>
      </c>
      <c r="D707">
        <v>-269.08</v>
      </c>
      <c r="E707" t="s">
        <v>14</v>
      </c>
      <c r="F707">
        <v>10194.69</v>
      </c>
      <c r="G707" t="str" cm="1">
        <f t="array" ref="G707">IF(AND(ISNUMBER(SEARCH("UBER",C707)),ISNUMBER(SEARCH("EATS",C707))),"Uber Eats",IF(LEFT(C707,6)="CHECK ","Checks Paid",IF(OR(E707="BILLPAY",ISNUMBER(SEARCH("FRANCHISE TAX",C707)),ISNUMBER(SEARCH("NEXTLINK",C707))),"Personal - House Bills",IF(AND(ISNUMBER(SEARCH("PAYMENT FROM",C707)),ISNUMBER(SEARCH("JOE SAUNDERS",C707))),"Zelle from Joe Saunders",IF(AND(ISNUMBER(SEARCH("PAYMENT TO",C707)),ISNUMBER(SEARCH("JOE SAUNDERS",C707))),"Zelle to Joe Saunders",IF(OR(ISNUMBER(SEARCH("NEW ORLEANS",C707)),ISNUMBER(SEARCH("KENNER",C707)),ISNUMBER(SEARCH("HENRY HOWARD",C707)),ISNUMBER(SEARCH("MISS CLAUDIA",C707))),"Personal Travel - New Orleans",IFERROR(INDEX('Category Rules'!$B$2:$B$194,MATCH(TRUE,ISNUMBER(SEARCH('Category Rules'!$A$2:$A$194,C707)),0)),"")))))))</f>
        <v>Personal - Food</v>
      </c>
    </row>
    <row r="708" spans="1:7" x14ac:dyDescent="0.25">
      <c r="A708" t="s">
        <v>6</v>
      </c>
      <c r="B708" s="1">
        <v>46114</v>
      </c>
      <c r="C708" t="s">
        <v>671</v>
      </c>
      <c r="D708">
        <v>-2.83</v>
      </c>
      <c r="E708" t="s">
        <v>14</v>
      </c>
      <c r="F708">
        <v>10463.77</v>
      </c>
      <c r="G708" t="str" cm="1">
        <f t="array" ref="G708">IF(AND(ISNUMBER(SEARCH("UBER",C708)),ISNUMBER(SEARCH("EATS",C708))),"Uber Eats",IF(LEFT(C708,6)="CHECK ","Checks Paid",IF(OR(E708="BILLPAY",ISNUMBER(SEARCH("FRANCHISE TAX",C708)),ISNUMBER(SEARCH("NEXTLINK",C708))),"Personal - House Bills",IF(AND(ISNUMBER(SEARCH("PAYMENT FROM",C708)),ISNUMBER(SEARCH("JOE SAUNDERS",C708))),"Zelle from Joe Saunders",IF(AND(ISNUMBER(SEARCH("PAYMENT TO",C708)),ISNUMBER(SEARCH("JOE SAUNDERS",C708))),"Zelle to Joe Saunders",IF(OR(ISNUMBER(SEARCH("NEW ORLEANS",C708)),ISNUMBER(SEARCH("KENNER",C708)),ISNUMBER(SEARCH("HENRY HOWARD",C708)),ISNUMBER(SEARCH("MISS CLAUDIA",C708))),"Personal Travel - New Orleans",IFERROR(INDEX('Category Rules'!$B$2:$B$194,MATCH(TRUE,ISNUMBER(SEARCH('Category Rules'!$A$2:$A$194,C708)),0)),"")))))))</f>
        <v>Personal Travel</v>
      </c>
    </row>
    <row r="709" spans="1:7" x14ac:dyDescent="0.25">
      <c r="A709" t="s">
        <v>6</v>
      </c>
      <c r="B709" s="1">
        <v>46113</v>
      </c>
      <c r="C709" t="s">
        <v>672</v>
      </c>
      <c r="D709">
        <v>-0.86</v>
      </c>
      <c r="E709" t="s">
        <v>72</v>
      </c>
      <c r="F709">
        <v>10466.6</v>
      </c>
      <c r="G709" t="str" cm="1">
        <f t="array" ref="G709">IF(AND(ISNUMBER(SEARCH("UBER",C709)),ISNUMBER(SEARCH("EATS",C709))),"Uber Eats",IF(LEFT(C709,6)="CHECK ","Checks Paid",IF(OR(E709="BILLPAY",ISNUMBER(SEARCH("FRANCHISE TAX",C709)),ISNUMBER(SEARCH("NEXTLINK",C709))),"Personal - House Bills",IF(AND(ISNUMBER(SEARCH("PAYMENT FROM",C709)),ISNUMBER(SEARCH("JOE SAUNDERS",C709))),"Zelle from Joe Saunders",IF(AND(ISNUMBER(SEARCH("PAYMENT TO",C709)),ISNUMBER(SEARCH("JOE SAUNDERS",C709))),"Zelle to Joe Saunders",IF(OR(ISNUMBER(SEARCH("NEW ORLEANS",C709)),ISNUMBER(SEARCH("KENNER",C709)),ISNUMBER(SEARCH("HENRY HOWARD",C709)),ISNUMBER(SEARCH("MISS CLAUDIA",C709))),"Personal Travel - New Orleans",IFERROR(INDEX('Category Rules'!$B$2:$B$194,MATCH(TRUE,ISNUMBER(SEARCH('Category Rules'!$A$2:$A$194,C709)),0)),"")))))))</f>
        <v>Personal Travel - Portugal</v>
      </c>
    </row>
    <row r="710" spans="1:7" x14ac:dyDescent="0.25">
      <c r="A710" t="s">
        <v>6</v>
      </c>
      <c r="B710" s="1">
        <v>46113</v>
      </c>
      <c r="C710" t="s">
        <v>673</v>
      </c>
      <c r="D710">
        <v>-28.81</v>
      </c>
      <c r="E710" t="s">
        <v>14</v>
      </c>
      <c r="F710">
        <v>10467.459999999999</v>
      </c>
      <c r="G710" t="str" cm="1">
        <f t="array" ref="G710">IF(AND(ISNUMBER(SEARCH("UBER",C710)),ISNUMBER(SEARCH("EATS",C710))),"Uber Eats",IF(LEFT(C710,6)="CHECK ","Checks Paid",IF(OR(E710="BILLPAY",ISNUMBER(SEARCH("FRANCHISE TAX",C710)),ISNUMBER(SEARCH("NEXTLINK",C710))),"Personal - House Bills",IF(AND(ISNUMBER(SEARCH("PAYMENT FROM",C710)),ISNUMBER(SEARCH("JOE SAUNDERS",C710))),"Zelle from Joe Saunders",IF(AND(ISNUMBER(SEARCH("PAYMENT TO",C710)),ISNUMBER(SEARCH("JOE SAUNDERS",C710))),"Zelle to Joe Saunders",IF(OR(ISNUMBER(SEARCH("NEW ORLEANS",C710)),ISNUMBER(SEARCH("KENNER",C710)),ISNUMBER(SEARCH("HENRY HOWARD",C710)),ISNUMBER(SEARCH("MISS CLAUDIA",C710))),"Personal Travel - New Orleans",IFERROR(INDEX('Category Rules'!$B$2:$B$194,MATCH(TRUE,ISNUMBER(SEARCH('Category Rules'!$A$2:$A$194,C710)),0)),"")))))))</f>
        <v>Personal Travel</v>
      </c>
    </row>
    <row r="711" spans="1:7" x14ac:dyDescent="0.25">
      <c r="A711" t="s">
        <v>6</v>
      </c>
      <c r="B711" s="1">
        <v>46112</v>
      </c>
      <c r="C711" t="s">
        <v>674</v>
      </c>
      <c r="D711">
        <v>-1.66</v>
      </c>
      <c r="E711" t="s">
        <v>72</v>
      </c>
      <c r="F711">
        <v>10496.27</v>
      </c>
      <c r="G711" t="str" cm="1">
        <f t="array" ref="G711">IF(AND(ISNUMBER(SEARCH("UBER",C711)),ISNUMBER(SEARCH("EATS",C711))),"Uber Eats",IF(LEFT(C711,6)="CHECK ","Checks Paid",IF(OR(E711="BILLPAY",ISNUMBER(SEARCH("FRANCHISE TAX",C711)),ISNUMBER(SEARCH("NEXTLINK",C711))),"Personal - House Bills",IF(AND(ISNUMBER(SEARCH("PAYMENT FROM",C711)),ISNUMBER(SEARCH("JOE SAUNDERS",C711))),"Zelle from Joe Saunders",IF(AND(ISNUMBER(SEARCH("PAYMENT TO",C711)),ISNUMBER(SEARCH("JOE SAUNDERS",C711))),"Zelle to Joe Saunders",IF(OR(ISNUMBER(SEARCH("NEW ORLEANS",C711)),ISNUMBER(SEARCH("KENNER",C711)),ISNUMBER(SEARCH("HENRY HOWARD",C711)),ISNUMBER(SEARCH("MISS CLAUDIA",C711))),"Personal Travel - New Orleans",IFERROR(INDEX('Category Rules'!$B$2:$B$194,MATCH(TRUE,ISNUMBER(SEARCH('Category Rules'!$A$2:$A$194,C711)),0)),"")))))))</f>
        <v>Personal Travel - Portugal</v>
      </c>
    </row>
    <row r="712" spans="1:7" x14ac:dyDescent="0.25">
      <c r="A712" t="s">
        <v>6</v>
      </c>
      <c r="B712" s="1">
        <v>46112</v>
      </c>
      <c r="C712" t="s">
        <v>675</v>
      </c>
      <c r="D712">
        <v>-2.0699999999999998</v>
      </c>
      <c r="E712" t="s">
        <v>72</v>
      </c>
      <c r="F712">
        <v>10497.93</v>
      </c>
      <c r="G712" t="str" cm="1">
        <f t="array" ref="G712">IF(AND(ISNUMBER(SEARCH("UBER",C712)),ISNUMBER(SEARCH("EATS",C712))),"Uber Eats",IF(LEFT(C712,6)="CHECK ","Checks Paid",IF(OR(E712="BILLPAY",ISNUMBER(SEARCH("FRANCHISE TAX",C712)),ISNUMBER(SEARCH("NEXTLINK",C712))),"Personal - House Bills",IF(AND(ISNUMBER(SEARCH("PAYMENT FROM",C712)),ISNUMBER(SEARCH("JOE SAUNDERS",C712))),"Zelle from Joe Saunders",IF(AND(ISNUMBER(SEARCH("PAYMENT TO",C712)),ISNUMBER(SEARCH("JOE SAUNDERS",C712))),"Zelle to Joe Saunders",IF(OR(ISNUMBER(SEARCH("NEW ORLEANS",C712)),ISNUMBER(SEARCH("KENNER",C712)),ISNUMBER(SEARCH("HENRY HOWARD",C712)),ISNUMBER(SEARCH("MISS CLAUDIA",C712))),"Personal Travel - New Orleans",IFERROR(INDEX('Category Rules'!$B$2:$B$194,MATCH(TRUE,ISNUMBER(SEARCH('Category Rules'!$A$2:$A$194,C712)),0)),"")))))))</f>
        <v>Personal Travel - Portugal</v>
      </c>
    </row>
    <row r="713" spans="1:7" x14ac:dyDescent="0.25">
      <c r="A713" t="s">
        <v>6</v>
      </c>
      <c r="B713" s="1">
        <v>46112</v>
      </c>
      <c r="C713" t="s">
        <v>676</v>
      </c>
      <c r="D713">
        <v>-1272.1199999999999</v>
      </c>
      <c r="E713" t="s">
        <v>14</v>
      </c>
      <c r="F713">
        <v>10500</v>
      </c>
      <c r="G713" t="str" cm="1">
        <f t="array" ref="G713">IF(AND(ISNUMBER(SEARCH("UBER",C713)),ISNUMBER(SEARCH("EATS",C713))),"Uber Eats",IF(LEFT(C713,6)="CHECK ","Checks Paid",IF(OR(E713="BILLPAY",ISNUMBER(SEARCH("FRANCHISE TAX",C713)),ISNUMBER(SEARCH("NEXTLINK",C713))),"Personal - House Bills",IF(AND(ISNUMBER(SEARCH("PAYMENT FROM",C713)),ISNUMBER(SEARCH("JOE SAUNDERS",C713))),"Zelle from Joe Saunders",IF(AND(ISNUMBER(SEARCH("PAYMENT TO",C713)),ISNUMBER(SEARCH("JOE SAUNDERS",C713))),"Zelle to Joe Saunders",IF(OR(ISNUMBER(SEARCH("NEW ORLEANS",C713)),ISNUMBER(SEARCH("KENNER",C713)),ISNUMBER(SEARCH("HENRY HOWARD",C713)),ISNUMBER(SEARCH("MISS CLAUDIA",C713))),"Personal Travel - New Orleans",IFERROR(INDEX('Category Rules'!$B$2:$B$194,MATCH(TRUE,ISNUMBER(SEARCH('Category Rules'!$A$2:$A$194,C713)),0)),"")))))))</f>
        <v>Personal - Health Insurance</v>
      </c>
    </row>
    <row r="714" spans="1:7" x14ac:dyDescent="0.25">
      <c r="A714" t="s">
        <v>6</v>
      </c>
      <c r="B714" s="1">
        <v>46112</v>
      </c>
      <c r="C714" t="s">
        <v>677</v>
      </c>
      <c r="D714">
        <v>-69.290000000000006</v>
      </c>
      <c r="E714" t="s">
        <v>14</v>
      </c>
      <c r="F714">
        <v>11772.12</v>
      </c>
      <c r="G714" t="str" cm="1">
        <f t="array" ref="G714">IF(AND(ISNUMBER(SEARCH("UBER",C714)),ISNUMBER(SEARCH("EATS",C714))),"Uber Eats",IF(LEFT(C714,6)="CHECK ","Checks Paid",IF(OR(E714="BILLPAY",ISNUMBER(SEARCH("FRANCHISE TAX",C714)),ISNUMBER(SEARCH("NEXTLINK",C714))),"Personal - House Bills",IF(AND(ISNUMBER(SEARCH("PAYMENT FROM",C714)),ISNUMBER(SEARCH("JOE SAUNDERS",C714))),"Zelle from Joe Saunders",IF(AND(ISNUMBER(SEARCH("PAYMENT TO",C714)),ISNUMBER(SEARCH("JOE SAUNDERS",C714))),"Zelle to Joe Saunders",IF(OR(ISNUMBER(SEARCH("NEW ORLEANS",C714)),ISNUMBER(SEARCH("KENNER",C714)),ISNUMBER(SEARCH("HENRY HOWARD",C714)),ISNUMBER(SEARCH("MISS CLAUDIA",C714))),"Personal Travel - New Orleans",IFERROR(INDEX('Category Rules'!$B$2:$B$194,MATCH(TRUE,ISNUMBER(SEARCH('Category Rules'!$A$2:$A$194,C714)),0)),"")))))))</f>
        <v>Personal Travel</v>
      </c>
    </row>
    <row r="715" spans="1:7" x14ac:dyDescent="0.25">
      <c r="A715" t="s">
        <v>6</v>
      </c>
      <c r="B715" s="1">
        <v>46112</v>
      </c>
      <c r="C715" t="s">
        <v>678</v>
      </c>
      <c r="D715">
        <v>-55.44</v>
      </c>
      <c r="E715" t="s">
        <v>14</v>
      </c>
      <c r="F715">
        <v>11841.41</v>
      </c>
      <c r="G715" t="str" cm="1">
        <f t="array" ref="G715">IF(AND(ISNUMBER(SEARCH("UBER",C715)),ISNUMBER(SEARCH("EATS",C715))),"Uber Eats",IF(LEFT(C715,6)="CHECK ","Checks Paid",IF(OR(E715="BILLPAY",ISNUMBER(SEARCH("FRANCHISE TAX",C715)),ISNUMBER(SEARCH("NEXTLINK",C715))),"Personal - House Bills",IF(AND(ISNUMBER(SEARCH("PAYMENT FROM",C715)),ISNUMBER(SEARCH("JOE SAUNDERS",C715))),"Zelle from Joe Saunders",IF(AND(ISNUMBER(SEARCH("PAYMENT TO",C715)),ISNUMBER(SEARCH("JOE SAUNDERS",C715))),"Zelle to Joe Saunders",IF(OR(ISNUMBER(SEARCH("NEW ORLEANS",C715)),ISNUMBER(SEARCH("KENNER",C715)),ISNUMBER(SEARCH("HENRY HOWARD",C715)),ISNUMBER(SEARCH("MISS CLAUDIA",C715))),"Personal Travel - New Orleans",IFERROR(INDEX('Category Rules'!$B$2:$B$194,MATCH(TRUE,ISNUMBER(SEARCH('Category Rules'!$A$2:$A$194,C715)),0)),"")))))))</f>
        <v>Personal Travel</v>
      </c>
    </row>
    <row r="716" spans="1:7" x14ac:dyDescent="0.25">
      <c r="A716" t="s">
        <v>6</v>
      </c>
      <c r="B716" s="1">
        <v>46112</v>
      </c>
      <c r="C716" t="s">
        <v>679</v>
      </c>
      <c r="D716">
        <v>-39.880000000000003</v>
      </c>
      <c r="E716" t="s">
        <v>14</v>
      </c>
      <c r="F716">
        <v>11896.85</v>
      </c>
      <c r="G716" t="str" cm="1">
        <f t="array" ref="G716">IF(AND(ISNUMBER(SEARCH("UBER",C716)),ISNUMBER(SEARCH("EATS",C716))),"Uber Eats",IF(LEFT(C716,6)="CHECK ","Checks Paid",IF(OR(E716="BILLPAY",ISNUMBER(SEARCH("FRANCHISE TAX",C716)),ISNUMBER(SEARCH("NEXTLINK",C716))),"Personal - House Bills",IF(AND(ISNUMBER(SEARCH("PAYMENT FROM",C716)),ISNUMBER(SEARCH("JOE SAUNDERS",C716))),"Zelle from Joe Saunders",IF(AND(ISNUMBER(SEARCH("PAYMENT TO",C716)),ISNUMBER(SEARCH("JOE SAUNDERS",C716))),"Zelle to Joe Saunders",IF(OR(ISNUMBER(SEARCH("NEW ORLEANS",C716)),ISNUMBER(SEARCH("KENNER",C716)),ISNUMBER(SEARCH("HENRY HOWARD",C716)),ISNUMBER(SEARCH("MISS CLAUDIA",C716))),"Personal Travel - New Orleans",IFERROR(INDEX('Category Rules'!$B$2:$B$194,MATCH(TRUE,ISNUMBER(SEARCH('Category Rules'!$A$2:$A$194,C716)),0)),"")))))))</f>
        <v>Personal - Food</v>
      </c>
    </row>
    <row r="717" spans="1:7" x14ac:dyDescent="0.25">
      <c r="A717" t="s">
        <v>6</v>
      </c>
      <c r="B717" s="1">
        <v>46111</v>
      </c>
      <c r="C717" t="s">
        <v>680</v>
      </c>
      <c r="D717">
        <v>-1.6</v>
      </c>
      <c r="E717" t="s">
        <v>72</v>
      </c>
      <c r="F717">
        <v>11936.73</v>
      </c>
      <c r="G717" t="str" cm="1">
        <f t="array" ref="G717">IF(AND(ISNUMBER(SEARCH("UBER",C717)),ISNUMBER(SEARCH("EATS",C717))),"Uber Eats",IF(LEFT(C717,6)="CHECK ","Checks Paid",IF(OR(E717="BILLPAY",ISNUMBER(SEARCH("FRANCHISE TAX",C717)),ISNUMBER(SEARCH("NEXTLINK",C717))),"Personal - House Bills",IF(AND(ISNUMBER(SEARCH("PAYMENT FROM",C717)),ISNUMBER(SEARCH("JOE SAUNDERS",C717))),"Zelle from Joe Saunders",IF(AND(ISNUMBER(SEARCH("PAYMENT TO",C717)),ISNUMBER(SEARCH("JOE SAUNDERS",C717))),"Zelle to Joe Saunders",IF(OR(ISNUMBER(SEARCH("NEW ORLEANS",C717)),ISNUMBER(SEARCH("KENNER",C717)),ISNUMBER(SEARCH("HENRY HOWARD",C717)),ISNUMBER(SEARCH("MISS CLAUDIA",C717))),"Personal Travel - New Orleans",IFERROR(INDEX('Category Rules'!$B$2:$B$194,MATCH(TRUE,ISNUMBER(SEARCH('Category Rules'!$A$2:$A$194,C717)),0)),"")))))))</f>
        <v>Personal Travel - Portugal</v>
      </c>
    </row>
    <row r="718" spans="1:7" x14ac:dyDescent="0.25">
      <c r="A718" t="s">
        <v>128</v>
      </c>
      <c r="B718" s="1">
        <v>46111</v>
      </c>
      <c r="C718" t="s">
        <v>681</v>
      </c>
      <c r="D718">
        <v>-2200</v>
      </c>
      <c r="E718" t="s">
        <v>130</v>
      </c>
      <c r="F718">
        <v>11938.33</v>
      </c>
      <c r="G718" t="str" cm="1">
        <f t="array" ref="G718">IF(AND(ISNUMBER(SEARCH("UBER",C718)),ISNUMBER(SEARCH("EATS",C718))),"Uber Eats",IF(LEFT(C718,6)="CHECK ","Checks Paid",IF(OR(E718="BILLPAY",ISNUMBER(SEARCH("FRANCHISE TAX",C718)),ISNUMBER(SEARCH("NEXTLINK",C718))),"Personal - House Bills",IF(AND(ISNUMBER(SEARCH("PAYMENT FROM",C718)),ISNUMBER(SEARCH("JOE SAUNDERS",C718))),"Zelle from Joe Saunders",IF(AND(ISNUMBER(SEARCH("PAYMENT TO",C718)),ISNUMBER(SEARCH("JOE SAUNDERS",C718))),"Zelle to Joe Saunders",IF(OR(ISNUMBER(SEARCH("NEW ORLEANS",C718)),ISNUMBER(SEARCH("KENNER",C718)),ISNUMBER(SEARCH("HENRY HOWARD",C718)),ISNUMBER(SEARCH("MISS CLAUDIA",C718))),"Personal Travel - New Orleans",IFERROR(INDEX('Category Rules'!$B$2:$B$194,MATCH(TRUE,ISNUMBER(SEARCH('Category Rules'!$A$2:$A$194,C718)),0)),"")))))))</f>
        <v>Checks Paid</v>
      </c>
    </row>
    <row r="719" spans="1:7" x14ac:dyDescent="0.25">
      <c r="A719" t="s">
        <v>6</v>
      </c>
      <c r="B719" s="1">
        <v>46111</v>
      </c>
      <c r="C719" t="s">
        <v>682</v>
      </c>
      <c r="D719">
        <v>-19</v>
      </c>
      <c r="E719" t="s">
        <v>14</v>
      </c>
      <c r="F719">
        <v>14138.33</v>
      </c>
      <c r="G719" t="str" cm="1">
        <f t="array" ref="G719">IF(AND(ISNUMBER(SEARCH("UBER",C719)),ISNUMBER(SEARCH("EATS",C719))),"Uber Eats",IF(LEFT(C719,6)="CHECK ","Checks Paid",IF(OR(E719="BILLPAY",ISNUMBER(SEARCH("FRANCHISE TAX",C719)),ISNUMBER(SEARCH("NEXTLINK",C719))),"Personal - House Bills",IF(AND(ISNUMBER(SEARCH("PAYMENT FROM",C719)),ISNUMBER(SEARCH("JOE SAUNDERS",C719))),"Zelle from Joe Saunders",IF(AND(ISNUMBER(SEARCH("PAYMENT TO",C719)),ISNUMBER(SEARCH("JOE SAUNDERS",C719))),"Zelle to Joe Saunders",IF(OR(ISNUMBER(SEARCH("NEW ORLEANS",C719)),ISNUMBER(SEARCH("KENNER",C719)),ISNUMBER(SEARCH("HENRY HOWARD",C719)),ISNUMBER(SEARCH("MISS CLAUDIA",C719))),"Personal Travel - New Orleans",IFERROR(INDEX('Category Rules'!$B$2:$B$194,MATCH(TRUE,ISNUMBER(SEARCH('Category Rules'!$A$2:$A$194,C719)),0)),"")))))))</f>
        <v>Personal - Subscription</v>
      </c>
    </row>
    <row r="720" spans="1:7" x14ac:dyDescent="0.25">
      <c r="A720" t="s">
        <v>6</v>
      </c>
      <c r="B720" s="1">
        <v>46111</v>
      </c>
      <c r="C720" t="s">
        <v>683</v>
      </c>
      <c r="D720">
        <v>-53.59</v>
      </c>
      <c r="E720" t="s">
        <v>14</v>
      </c>
      <c r="F720">
        <v>14157.33</v>
      </c>
      <c r="G720" t="str" cm="1">
        <f t="array" ref="G720">IF(AND(ISNUMBER(SEARCH("UBER",C720)),ISNUMBER(SEARCH("EATS",C720))),"Uber Eats",IF(LEFT(C720,6)="CHECK ","Checks Paid",IF(OR(E720="BILLPAY",ISNUMBER(SEARCH("FRANCHISE TAX",C720)),ISNUMBER(SEARCH("NEXTLINK",C720))),"Personal - House Bills",IF(AND(ISNUMBER(SEARCH("PAYMENT FROM",C720)),ISNUMBER(SEARCH("JOE SAUNDERS",C720))),"Zelle from Joe Saunders",IF(AND(ISNUMBER(SEARCH("PAYMENT TO",C720)),ISNUMBER(SEARCH("JOE SAUNDERS",C720))),"Zelle to Joe Saunders",IF(OR(ISNUMBER(SEARCH("NEW ORLEANS",C720)),ISNUMBER(SEARCH("KENNER",C720)),ISNUMBER(SEARCH("HENRY HOWARD",C720)),ISNUMBER(SEARCH("MISS CLAUDIA",C720))),"Personal Travel - New Orleans",IFERROR(INDEX('Category Rules'!$B$2:$B$194,MATCH(TRUE,ISNUMBER(SEARCH('Category Rules'!$A$2:$A$194,C720)),0)),"")))))))</f>
        <v>Personal Travel</v>
      </c>
    </row>
    <row r="721" spans="1:7" x14ac:dyDescent="0.25">
      <c r="A721" t="s">
        <v>6</v>
      </c>
      <c r="B721" s="1">
        <v>46111</v>
      </c>
      <c r="C721" t="s">
        <v>684</v>
      </c>
      <c r="D721">
        <v>-5</v>
      </c>
      <c r="E721" t="s">
        <v>14</v>
      </c>
      <c r="F721">
        <v>14210.92</v>
      </c>
      <c r="G721" t="str" cm="1">
        <f t="array" ref="G721">IF(AND(ISNUMBER(SEARCH("UBER",C721)),ISNUMBER(SEARCH("EATS",C721))),"Uber Eats",IF(LEFT(C721,6)="CHECK ","Checks Paid",IF(OR(E721="BILLPAY",ISNUMBER(SEARCH("FRANCHISE TAX",C721)),ISNUMBER(SEARCH("NEXTLINK",C721))),"Personal - House Bills",IF(AND(ISNUMBER(SEARCH("PAYMENT FROM",C721)),ISNUMBER(SEARCH("JOE SAUNDERS",C721))),"Zelle from Joe Saunders",IF(AND(ISNUMBER(SEARCH("PAYMENT TO",C721)),ISNUMBER(SEARCH("JOE SAUNDERS",C721))),"Zelle to Joe Saunders",IF(OR(ISNUMBER(SEARCH("NEW ORLEANS",C721)),ISNUMBER(SEARCH("KENNER",C721)),ISNUMBER(SEARCH("HENRY HOWARD",C721)),ISNUMBER(SEARCH("MISS CLAUDIA",C721))),"Personal Travel - New Orleans",IFERROR(INDEX('Category Rules'!$B$2:$B$194,MATCH(TRUE,ISNUMBER(SEARCH('Category Rules'!$A$2:$A$194,C721)),0)),"")))))))</f>
        <v>Amazon</v>
      </c>
    </row>
    <row r="722" spans="1:7" x14ac:dyDescent="0.25">
      <c r="A722" t="s">
        <v>6</v>
      </c>
      <c r="B722" s="1">
        <v>46111</v>
      </c>
      <c r="C722" t="s">
        <v>685</v>
      </c>
      <c r="D722">
        <v>-34.64</v>
      </c>
      <c r="E722" t="s">
        <v>14</v>
      </c>
      <c r="F722">
        <v>14215.92</v>
      </c>
      <c r="G722" t="str" cm="1">
        <f t="array" ref="G722">IF(AND(ISNUMBER(SEARCH("UBER",C722)),ISNUMBER(SEARCH("EATS",C722))),"Uber Eats",IF(LEFT(C722,6)="CHECK ","Checks Paid",IF(OR(E722="BILLPAY",ISNUMBER(SEARCH("FRANCHISE TAX",C722)),ISNUMBER(SEARCH("NEXTLINK",C722))),"Personal - House Bills",IF(AND(ISNUMBER(SEARCH("PAYMENT FROM",C722)),ISNUMBER(SEARCH("JOE SAUNDERS",C722))),"Zelle from Joe Saunders",IF(AND(ISNUMBER(SEARCH("PAYMENT TO",C722)),ISNUMBER(SEARCH("JOE SAUNDERS",C722))),"Zelle to Joe Saunders",IF(OR(ISNUMBER(SEARCH("NEW ORLEANS",C722)),ISNUMBER(SEARCH("KENNER",C722)),ISNUMBER(SEARCH("HENRY HOWARD",C722)),ISNUMBER(SEARCH("MISS CLAUDIA",C722))),"Personal Travel - New Orleans",IFERROR(INDEX('Category Rules'!$B$2:$B$194,MATCH(TRUE,ISNUMBER(SEARCH('Category Rules'!$A$2:$A$194,C722)),0)),"")))))))</f>
        <v>Personal Travel</v>
      </c>
    </row>
    <row r="723" spans="1:7" x14ac:dyDescent="0.25">
      <c r="A723" t="s">
        <v>6</v>
      </c>
      <c r="B723" s="1">
        <v>46111</v>
      </c>
      <c r="C723" t="s">
        <v>686</v>
      </c>
      <c r="D723">
        <v>-66.680000000000007</v>
      </c>
      <c r="E723" t="s">
        <v>14</v>
      </c>
      <c r="F723">
        <v>14250.56</v>
      </c>
      <c r="G723" t="str" cm="1">
        <f t="array" ref="G723">IF(AND(ISNUMBER(SEARCH("UBER",C723)),ISNUMBER(SEARCH("EATS",C723))),"Uber Eats",IF(LEFT(C723,6)="CHECK ","Checks Paid",IF(OR(E723="BILLPAY",ISNUMBER(SEARCH("FRANCHISE TAX",C723)),ISNUMBER(SEARCH("NEXTLINK",C723))),"Personal - House Bills",IF(AND(ISNUMBER(SEARCH("PAYMENT FROM",C723)),ISNUMBER(SEARCH("JOE SAUNDERS",C723))),"Zelle from Joe Saunders",IF(AND(ISNUMBER(SEARCH("PAYMENT TO",C723)),ISNUMBER(SEARCH("JOE SAUNDERS",C723))),"Zelle to Joe Saunders",IF(OR(ISNUMBER(SEARCH("NEW ORLEANS",C723)),ISNUMBER(SEARCH("KENNER",C723)),ISNUMBER(SEARCH("HENRY HOWARD",C723)),ISNUMBER(SEARCH("MISS CLAUDIA",C723))),"Personal Travel - New Orleans",IFERROR(INDEX('Category Rules'!$B$2:$B$194,MATCH(TRUE,ISNUMBER(SEARCH('Category Rules'!$A$2:$A$194,C723)),0)),"")))))))</f>
        <v>Personal - Misc</v>
      </c>
    </row>
    <row r="724" spans="1:7" x14ac:dyDescent="0.25">
      <c r="A724" t="s">
        <v>6</v>
      </c>
      <c r="B724" s="1">
        <v>46111</v>
      </c>
      <c r="C724" t="s">
        <v>687</v>
      </c>
      <c r="D724">
        <v>-14.81</v>
      </c>
      <c r="E724" t="s">
        <v>14</v>
      </c>
      <c r="F724">
        <v>14317.24</v>
      </c>
      <c r="G724" t="str" cm="1">
        <f t="array" ref="G724">IF(AND(ISNUMBER(SEARCH("UBER",C724)),ISNUMBER(SEARCH("EATS",C724))),"Uber Eats",IF(LEFT(C724,6)="CHECK ","Checks Paid",IF(OR(E724="BILLPAY",ISNUMBER(SEARCH("FRANCHISE TAX",C724)),ISNUMBER(SEARCH("NEXTLINK",C724))),"Personal - House Bills",IF(AND(ISNUMBER(SEARCH("PAYMENT FROM",C724)),ISNUMBER(SEARCH("JOE SAUNDERS",C724))),"Zelle from Joe Saunders",IF(AND(ISNUMBER(SEARCH("PAYMENT TO",C724)),ISNUMBER(SEARCH("JOE SAUNDERS",C724))),"Zelle to Joe Saunders",IF(OR(ISNUMBER(SEARCH("NEW ORLEANS",C724)),ISNUMBER(SEARCH("KENNER",C724)),ISNUMBER(SEARCH("HENRY HOWARD",C724)),ISNUMBER(SEARCH("MISS CLAUDIA",C724))),"Personal Travel - New Orleans",IFERROR(INDEX('Category Rules'!$B$2:$B$194,MATCH(TRUE,ISNUMBER(SEARCH('Category Rules'!$A$2:$A$194,C724)),0)),"")))))))</f>
        <v>Personal - Uber</v>
      </c>
    </row>
    <row r="725" spans="1:7" x14ac:dyDescent="0.25">
      <c r="A725" t="s">
        <v>6</v>
      </c>
      <c r="B725" s="1">
        <v>46111</v>
      </c>
      <c r="C725" t="s">
        <v>687</v>
      </c>
      <c r="D725">
        <v>-53.97</v>
      </c>
      <c r="E725" t="s">
        <v>14</v>
      </c>
      <c r="F725">
        <v>14332.05</v>
      </c>
      <c r="G725" t="str" cm="1">
        <f t="array" ref="G725">IF(AND(ISNUMBER(SEARCH("UBER",C725)),ISNUMBER(SEARCH("EATS",C725))),"Uber Eats",IF(LEFT(C725,6)="CHECK ","Checks Paid",IF(OR(E725="BILLPAY",ISNUMBER(SEARCH("FRANCHISE TAX",C725)),ISNUMBER(SEARCH("NEXTLINK",C725))),"Personal - House Bills",IF(AND(ISNUMBER(SEARCH("PAYMENT FROM",C725)),ISNUMBER(SEARCH("JOE SAUNDERS",C725))),"Zelle from Joe Saunders",IF(AND(ISNUMBER(SEARCH("PAYMENT TO",C725)),ISNUMBER(SEARCH("JOE SAUNDERS",C725))),"Zelle to Joe Saunders",IF(OR(ISNUMBER(SEARCH("NEW ORLEANS",C725)),ISNUMBER(SEARCH("KENNER",C725)),ISNUMBER(SEARCH("HENRY HOWARD",C725)),ISNUMBER(SEARCH("MISS CLAUDIA",C725))),"Personal Travel - New Orleans",IFERROR(INDEX('Category Rules'!$B$2:$B$194,MATCH(TRUE,ISNUMBER(SEARCH('Category Rules'!$A$2:$A$194,C725)),0)),"")))))))</f>
        <v>Personal - Uber</v>
      </c>
    </row>
    <row r="726" spans="1:7" x14ac:dyDescent="0.25">
      <c r="A726" t="s">
        <v>6</v>
      </c>
      <c r="B726" s="1">
        <v>46111</v>
      </c>
      <c r="C726" t="s">
        <v>688</v>
      </c>
      <c r="D726">
        <v>-268.16000000000003</v>
      </c>
      <c r="E726" t="s">
        <v>14</v>
      </c>
      <c r="F726">
        <v>14386.02</v>
      </c>
      <c r="G726" t="str" cm="1">
        <f t="array" ref="G726">IF(AND(ISNUMBER(SEARCH("UBER",C726)),ISNUMBER(SEARCH("EATS",C726))),"Uber Eats",IF(LEFT(C726,6)="CHECK ","Checks Paid",IF(OR(E726="BILLPAY",ISNUMBER(SEARCH("FRANCHISE TAX",C726)),ISNUMBER(SEARCH("NEXTLINK",C726))),"Personal - House Bills",IF(AND(ISNUMBER(SEARCH("PAYMENT FROM",C726)),ISNUMBER(SEARCH("JOE SAUNDERS",C726))),"Zelle from Joe Saunders",IF(AND(ISNUMBER(SEARCH("PAYMENT TO",C726)),ISNUMBER(SEARCH("JOE SAUNDERS",C726))),"Zelle to Joe Saunders",IF(OR(ISNUMBER(SEARCH("NEW ORLEANS",C726)),ISNUMBER(SEARCH("KENNER",C726)),ISNUMBER(SEARCH("HENRY HOWARD",C726)),ISNUMBER(SEARCH("MISS CLAUDIA",C726))),"Personal Travel - New Orleans",IFERROR(INDEX('Category Rules'!$B$2:$B$194,MATCH(TRUE,ISNUMBER(SEARCH('Category Rules'!$A$2:$A$194,C726)),0)),"")))))))</f>
        <v>Personal Travel</v>
      </c>
    </row>
    <row r="727" spans="1:7" x14ac:dyDescent="0.25">
      <c r="A727" t="s">
        <v>6</v>
      </c>
      <c r="B727" s="1">
        <v>46111</v>
      </c>
      <c r="C727" t="s">
        <v>688</v>
      </c>
      <c r="D727">
        <v>-493.84</v>
      </c>
      <c r="E727" t="s">
        <v>14</v>
      </c>
      <c r="F727">
        <v>14654.18</v>
      </c>
      <c r="G727" t="str" cm="1">
        <f t="array" ref="G727">IF(AND(ISNUMBER(SEARCH("UBER",C727)),ISNUMBER(SEARCH("EATS",C727))),"Uber Eats",IF(LEFT(C727,6)="CHECK ","Checks Paid",IF(OR(E727="BILLPAY",ISNUMBER(SEARCH("FRANCHISE TAX",C727)),ISNUMBER(SEARCH("NEXTLINK",C727))),"Personal - House Bills",IF(AND(ISNUMBER(SEARCH("PAYMENT FROM",C727)),ISNUMBER(SEARCH("JOE SAUNDERS",C727))),"Zelle from Joe Saunders",IF(AND(ISNUMBER(SEARCH("PAYMENT TO",C727)),ISNUMBER(SEARCH("JOE SAUNDERS",C727))),"Zelle to Joe Saunders",IF(OR(ISNUMBER(SEARCH("NEW ORLEANS",C727)),ISNUMBER(SEARCH("KENNER",C727)),ISNUMBER(SEARCH("HENRY HOWARD",C727)),ISNUMBER(SEARCH("MISS CLAUDIA",C727))),"Personal Travel - New Orleans",IFERROR(INDEX('Category Rules'!$B$2:$B$194,MATCH(TRUE,ISNUMBER(SEARCH('Category Rules'!$A$2:$A$194,C727)),0)),"")))))))</f>
        <v>Personal Travel</v>
      </c>
    </row>
    <row r="728" spans="1:7" x14ac:dyDescent="0.25">
      <c r="A728" t="s">
        <v>6</v>
      </c>
      <c r="B728" s="1">
        <v>46111</v>
      </c>
      <c r="C728" t="s">
        <v>689</v>
      </c>
      <c r="D728">
        <v>-5.99</v>
      </c>
      <c r="E728" t="s">
        <v>14</v>
      </c>
      <c r="F728">
        <v>15148.02</v>
      </c>
      <c r="G728" t="str" cm="1">
        <f t="array" ref="G728">IF(AND(ISNUMBER(SEARCH("UBER",C728)),ISNUMBER(SEARCH("EATS",C728))),"Uber Eats",IF(LEFT(C728,6)="CHECK ","Checks Paid",IF(OR(E728="BILLPAY",ISNUMBER(SEARCH("FRANCHISE TAX",C728)),ISNUMBER(SEARCH("NEXTLINK",C728))),"Personal - House Bills",IF(AND(ISNUMBER(SEARCH("PAYMENT FROM",C728)),ISNUMBER(SEARCH("JOE SAUNDERS",C728))),"Zelle from Joe Saunders",IF(AND(ISNUMBER(SEARCH("PAYMENT TO",C728)),ISNUMBER(SEARCH("JOE SAUNDERS",C728))),"Zelle to Joe Saunders",IF(OR(ISNUMBER(SEARCH("NEW ORLEANS",C728)),ISNUMBER(SEARCH("KENNER",C728)),ISNUMBER(SEARCH("HENRY HOWARD",C728)),ISNUMBER(SEARCH("MISS CLAUDIA",C728))),"Personal Travel - New Orleans",IFERROR(INDEX('Category Rules'!$B$2:$B$194,MATCH(TRUE,ISNUMBER(SEARCH('Category Rules'!$A$2:$A$194,C728)),0)),"")))))))</f>
        <v>Apple</v>
      </c>
    </row>
    <row r="729" spans="1:7" x14ac:dyDescent="0.25">
      <c r="A729" t="s">
        <v>6</v>
      </c>
      <c r="B729" s="1">
        <v>46111</v>
      </c>
      <c r="C729" t="s">
        <v>690</v>
      </c>
      <c r="D729">
        <v>-5.49</v>
      </c>
      <c r="E729" t="s">
        <v>14</v>
      </c>
      <c r="F729">
        <v>15154.01</v>
      </c>
      <c r="G729" t="str" cm="1">
        <f t="array" ref="G729">IF(AND(ISNUMBER(SEARCH("UBER",C729)),ISNUMBER(SEARCH("EATS",C729))),"Uber Eats",IF(LEFT(C729,6)="CHECK ","Checks Paid",IF(OR(E729="BILLPAY",ISNUMBER(SEARCH("FRANCHISE TAX",C729)),ISNUMBER(SEARCH("NEXTLINK",C729))),"Personal - House Bills",IF(AND(ISNUMBER(SEARCH("PAYMENT FROM",C729)),ISNUMBER(SEARCH("JOE SAUNDERS",C729))),"Zelle from Joe Saunders",IF(AND(ISNUMBER(SEARCH("PAYMENT TO",C729)),ISNUMBER(SEARCH("JOE SAUNDERS",C729))),"Zelle to Joe Saunders",IF(OR(ISNUMBER(SEARCH("NEW ORLEANS",C729)),ISNUMBER(SEARCH("KENNER",C729)),ISNUMBER(SEARCH("HENRY HOWARD",C729)),ISNUMBER(SEARCH("MISS CLAUDIA",C729))),"Personal Travel - New Orleans",IFERROR(INDEX('Category Rules'!$B$2:$B$194,MATCH(TRUE,ISNUMBER(SEARCH('Category Rules'!$A$2:$A$194,C729)),0)),"")))))))</f>
        <v>Personal - Health</v>
      </c>
    </row>
    <row r="730" spans="1:7" x14ac:dyDescent="0.25">
      <c r="A730" t="s">
        <v>6</v>
      </c>
      <c r="B730" s="1">
        <v>46111</v>
      </c>
      <c r="C730" t="s">
        <v>691</v>
      </c>
      <c r="D730">
        <v>-43.35</v>
      </c>
      <c r="E730" t="s">
        <v>14</v>
      </c>
      <c r="F730">
        <v>15159.5</v>
      </c>
      <c r="G730" t="str" cm="1">
        <f t="array" ref="G730">IF(AND(ISNUMBER(SEARCH("UBER",C730)),ISNUMBER(SEARCH("EATS",C730))),"Uber Eats",IF(LEFT(C730,6)="CHECK ","Checks Paid",IF(OR(E730="BILLPAY",ISNUMBER(SEARCH("FRANCHISE TAX",C730)),ISNUMBER(SEARCH("NEXTLINK",C730))),"Personal - House Bills",IF(AND(ISNUMBER(SEARCH("PAYMENT FROM",C730)),ISNUMBER(SEARCH("JOE SAUNDERS",C730))),"Zelle from Joe Saunders",IF(AND(ISNUMBER(SEARCH("PAYMENT TO",C730)),ISNUMBER(SEARCH("JOE SAUNDERS",C730))),"Zelle to Joe Saunders",IF(OR(ISNUMBER(SEARCH("NEW ORLEANS",C730)),ISNUMBER(SEARCH("KENNER",C730)),ISNUMBER(SEARCH("HENRY HOWARD",C730)),ISNUMBER(SEARCH("MISS CLAUDIA",C730))),"Personal Travel - New Orleans",IFERROR(INDEX('Category Rules'!$B$2:$B$194,MATCH(TRUE,ISNUMBER(SEARCH('Category Rules'!$A$2:$A$194,C730)),0)),"")))))))</f>
        <v>Amazon</v>
      </c>
    </row>
    <row r="731" spans="1:7" x14ac:dyDescent="0.25">
      <c r="A731" t="s">
        <v>6</v>
      </c>
      <c r="B731" s="1">
        <v>46111</v>
      </c>
      <c r="C731" t="s">
        <v>692</v>
      </c>
      <c r="D731">
        <v>-67.09</v>
      </c>
      <c r="E731" t="s">
        <v>14</v>
      </c>
      <c r="F731">
        <v>15202.85</v>
      </c>
      <c r="G731" t="str" cm="1">
        <f t="array" ref="G731">IF(AND(ISNUMBER(SEARCH("UBER",C731)),ISNUMBER(SEARCH("EATS",C731))),"Uber Eats",IF(LEFT(C731,6)="CHECK ","Checks Paid",IF(OR(E731="BILLPAY",ISNUMBER(SEARCH("FRANCHISE TAX",C731)),ISNUMBER(SEARCH("NEXTLINK",C731))),"Personal - House Bills",IF(AND(ISNUMBER(SEARCH("PAYMENT FROM",C731)),ISNUMBER(SEARCH("JOE SAUNDERS",C731))),"Zelle from Joe Saunders",IF(AND(ISNUMBER(SEARCH("PAYMENT TO",C731)),ISNUMBER(SEARCH("JOE SAUNDERS",C731))),"Zelle to Joe Saunders",IF(OR(ISNUMBER(SEARCH("NEW ORLEANS",C731)),ISNUMBER(SEARCH("KENNER",C731)),ISNUMBER(SEARCH("HENRY HOWARD",C731)),ISNUMBER(SEARCH("MISS CLAUDIA",C731))),"Personal Travel - New Orleans",IFERROR(INDEX('Category Rules'!$B$2:$B$194,MATCH(TRUE,ISNUMBER(SEARCH('Category Rules'!$A$2:$A$194,C731)),0)),"")))))))</f>
        <v>Uber Eats</v>
      </c>
    </row>
    <row r="732" spans="1:7" x14ac:dyDescent="0.25">
      <c r="A732" t="s">
        <v>6</v>
      </c>
      <c r="B732" s="1">
        <v>46111</v>
      </c>
      <c r="C732" t="s">
        <v>693</v>
      </c>
      <c r="D732">
        <v>-33.159999999999997</v>
      </c>
      <c r="E732" t="s">
        <v>14</v>
      </c>
      <c r="F732">
        <v>15269.94</v>
      </c>
      <c r="G732" t="str" cm="1">
        <f t="array" ref="G732">IF(AND(ISNUMBER(SEARCH("UBER",C732)),ISNUMBER(SEARCH("EATS",C732))),"Uber Eats",IF(LEFT(C732,6)="CHECK ","Checks Paid",IF(OR(E732="BILLPAY",ISNUMBER(SEARCH("FRANCHISE TAX",C732)),ISNUMBER(SEARCH("NEXTLINK",C732))),"Personal - House Bills",IF(AND(ISNUMBER(SEARCH("PAYMENT FROM",C732)),ISNUMBER(SEARCH("JOE SAUNDERS",C732))),"Zelle from Joe Saunders",IF(AND(ISNUMBER(SEARCH("PAYMENT TO",C732)),ISNUMBER(SEARCH("JOE SAUNDERS",C732))),"Zelle to Joe Saunders",IF(OR(ISNUMBER(SEARCH("NEW ORLEANS",C732)),ISNUMBER(SEARCH("KENNER",C732)),ISNUMBER(SEARCH("HENRY HOWARD",C732)),ISNUMBER(SEARCH("MISS CLAUDIA",C732))),"Personal Travel - New Orleans",IFERROR(INDEX('Category Rules'!$B$2:$B$194,MATCH(TRUE,ISNUMBER(SEARCH('Category Rules'!$A$2:$A$194,C732)),0)),"")))))))</f>
        <v>Amazon</v>
      </c>
    </row>
    <row r="733" spans="1:7" x14ac:dyDescent="0.25">
      <c r="A733" t="s">
        <v>6</v>
      </c>
      <c r="B733" s="1">
        <v>46111</v>
      </c>
      <c r="C733" t="s">
        <v>694</v>
      </c>
      <c r="D733">
        <v>-127.32</v>
      </c>
      <c r="E733" t="s">
        <v>14</v>
      </c>
      <c r="F733">
        <v>15303.1</v>
      </c>
      <c r="G733" t="str" cm="1">
        <f t="array" ref="G733">IF(AND(ISNUMBER(SEARCH("UBER",C733)),ISNUMBER(SEARCH("EATS",C733))),"Uber Eats",IF(LEFT(C733,6)="CHECK ","Checks Paid",IF(OR(E733="BILLPAY",ISNUMBER(SEARCH("FRANCHISE TAX",C733)),ISNUMBER(SEARCH("NEXTLINK",C733))),"Personal - House Bills",IF(AND(ISNUMBER(SEARCH("PAYMENT FROM",C733)),ISNUMBER(SEARCH("JOE SAUNDERS",C733))),"Zelle from Joe Saunders",IF(AND(ISNUMBER(SEARCH("PAYMENT TO",C733)),ISNUMBER(SEARCH("JOE SAUNDERS",C733))),"Zelle to Joe Saunders",IF(OR(ISNUMBER(SEARCH("NEW ORLEANS",C733)),ISNUMBER(SEARCH("KENNER",C733)),ISNUMBER(SEARCH("HENRY HOWARD",C733)),ISNUMBER(SEARCH("MISS CLAUDIA",C733))),"Personal Travel - New Orleans",IFERROR(INDEX('Category Rules'!$B$2:$B$194,MATCH(TRUE,ISNUMBER(SEARCH('Category Rules'!$A$2:$A$194,C733)),0)),"")))))))</f>
        <v>Amazon</v>
      </c>
    </row>
    <row r="734" spans="1:7" x14ac:dyDescent="0.25">
      <c r="A734" t="s">
        <v>37</v>
      </c>
      <c r="B734" s="1">
        <v>46111</v>
      </c>
      <c r="C734" t="s">
        <v>695</v>
      </c>
      <c r="D734">
        <v>10000</v>
      </c>
      <c r="E734" t="s">
        <v>39</v>
      </c>
      <c r="F734">
        <v>15430.42</v>
      </c>
      <c r="G734" t="str" cm="1">
        <f t="array" ref="G734">IF(AND(ISNUMBER(SEARCH("UBER",C734)),ISNUMBER(SEARCH("EATS",C734))),"Uber Eats",IF(LEFT(C734,6)="CHECK ","Checks Paid",IF(OR(E734="BILLPAY",ISNUMBER(SEARCH("FRANCHISE TAX",C734)),ISNUMBER(SEARCH("NEXTLINK",C734))),"Personal - House Bills",IF(AND(ISNUMBER(SEARCH("PAYMENT FROM",C734)),ISNUMBER(SEARCH("JOE SAUNDERS",C734))),"Zelle from Joe Saunders",IF(AND(ISNUMBER(SEARCH("PAYMENT TO",C734)),ISNUMBER(SEARCH("JOE SAUNDERS",C734))),"Zelle to Joe Saunders",IF(OR(ISNUMBER(SEARCH("NEW ORLEANS",C734)),ISNUMBER(SEARCH("KENNER",C734)),ISNUMBER(SEARCH("HENRY HOWARD",C734)),ISNUMBER(SEARCH("MISS CLAUDIA",C734))),"Personal Travel - New Orleans",IFERROR(INDEX('Category Rules'!$B$2:$B$194,MATCH(TRUE,ISNUMBER(SEARCH('Category Rules'!$A$2:$A$194,C734)),0)),"")))))))</f>
        <v>Transfer from DWG Capital Group</v>
      </c>
    </row>
    <row r="735" spans="1:7" x14ac:dyDescent="0.25">
      <c r="A735" t="s">
        <v>6</v>
      </c>
      <c r="B735" s="1">
        <v>46108</v>
      </c>
      <c r="C735" t="s">
        <v>696</v>
      </c>
      <c r="D735">
        <v>-138.34</v>
      </c>
      <c r="E735" t="s">
        <v>14</v>
      </c>
      <c r="F735">
        <v>5430.42</v>
      </c>
      <c r="G735" t="str" cm="1">
        <f t="array" ref="G735">IF(AND(ISNUMBER(SEARCH("UBER",C735)),ISNUMBER(SEARCH("EATS",C735))),"Uber Eats",IF(LEFT(C735,6)="CHECK ","Checks Paid",IF(OR(E735="BILLPAY",ISNUMBER(SEARCH("FRANCHISE TAX",C735)),ISNUMBER(SEARCH("NEXTLINK",C735))),"Personal - House Bills",IF(AND(ISNUMBER(SEARCH("PAYMENT FROM",C735)),ISNUMBER(SEARCH("JOE SAUNDERS",C735))),"Zelle from Joe Saunders",IF(AND(ISNUMBER(SEARCH("PAYMENT TO",C735)),ISNUMBER(SEARCH("JOE SAUNDERS",C735))),"Zelle to Joe Saunders",IF(OR(ISNUMBER(SEARCH("NEW ORLEANS",C735)),ISNUMBER(SEARCH("KENNER",C735)),ISNUMBER(SEARCH("HENRY HOWARD",C735)),ISNUMBER(SEARCH("MISS CLAUDIA",C735))),"Personal Travel - New Orleans",IFERROR(INDEX('Category Rules'!$B$2:$B$194,MATCH(TRUE,ISNUMBER(SEARCH('Category Rules'!$A$2:$A$194,C735)),0)),"")))))))</f>
        <v>Personal - Health</v>
      </c>
    </row>
    <row r="736" spans="1:7" x14ac:dyDescent="0.25">
      <c r="A736" t="s">
        <v>6</v>
      </c>
      <c r="B736" s="1">
        <v>46108</v>
      </c>
      <c r="C736" t="s">
        <v>697</v>
      </c>
      <c r="D736">
        <v>-35.1</v>
      </c>
      <c r="E736" t="s">
        <v>14</v>
      </c>
      <c r="F736">
        <v>5568.76</v>
      </c>
      <c r="G736" t="str" cm="1">
        <f t="array" ref="G736">IF(AND(ISNUMBER(SEARCH("UBER",C736)),ISNUMBER(SEARCH("EATS",C736))),"Uber Eats",IF(LEFT(C736,6)="CHECK ","Checks Paid",IF(OR(E736="BILLPAY",ISNUMBER(SEARCH("FRANCHISE TAX",C736)),ISNUMBER(SEARCH("NEXTLINK",C736))),"Personal - House Bills",IF(AND(ISNUMBER(SEARCH("PAYMENT FROM",C736)),ISNUMBER(SEARCH("JOE SAUNDERS",C736))),"Zelle from Joe Saunders",IF(AND(ISNUMBER(SEARCH("PAYMENT TO",C736)),ISNUMBER(SEARCH("JOE SAUNDERS",C736))),"Zelle to Joe Saunders",IF(OR(ISNUMBER(SEARCH("NEW ORLEANS",C736)),ISNUMBER(SEARCH("KENNER",C736)),ISNUMBER(SEARCH("HENRY HOWARD",C736)),ISNUMBER(SEARCH("MISS CLAUDIA",C736))),"Personal Travel - New Orleans",IFERROR(INDEX('Category Rules'!$B$2:$B$194,MATCH(TRUE,ISNUMBER(SEARCH('Category Rules'!$A$2:$A$194,C736)),0)),"")))))))</f>
        <v>Amazon</v>
      </c>
    </row>
    <row r="737" spans="1:7" x14ac:dyDescent="0.25">
      <c r="A737" t="s">
        <v>6</v>
      </c>
      <c r="B737" s="1">
        <v>46108</v>
      </c>
      <c r="C737" t="s">
        <v>698</v>
      </c>
      <c r="D737">
        <v>-43.89</v>
      </c>
      <c r="E737" t="s">
        <v>14</v>
      </c>
      <c r="F737">
        <v>5603.86</v>
      </c>
      <c r="G737" t="str" cm="1">
        <f t="array" ref="G737">IF(AND(ISNUMBER(SEARCH("UBER",C737)),ISNUMBER(SEARCH("EATS",C737))),"Uber Eats",IF(LEFT(C737,6)="CHECK ","Checks Paid",IF(OR(E737="BILLPAY",ISNUMBER(SEARCH("FRANCHISE TAX",C737)),ISNUMBER(SEARCH("NEXTLINK",C737))),"Personal - House Bills",IF(AND(ISNUMBER(SEARCH("PAYMENT FROM",C737)),ISNUMBER(SEARCH("JOE SAUNDERS",C737))),"Zelle from Joe Saunders",IF(AND(ISNUMBER(SEARCH("PAYMENT TO",C737)),ISNUMBER(SEARCH("JOE SAUNDERS",C737))),"Zelle to Joe Saunders",IF(OR(ISNUMBER(SEARCH("NEW ORLEANS",C737)),ISNUMBER(SEARCH("KENNER",C737)),ISNUMBER(SEARCH("HENRY HOWARD",C737)),ISNUMBER(SEARCH("MISS CLAUDIA",C737))),"Personal Travel - New Orleans",IFERROR(INDEX('Category Rules'!$B$2:$B$194,MATCH(TRUE,ISNUMBER(SEARCH('Category Rules'!$A$2:$A$194,C737)),0)),"")))))))</f>
        <v>Amazon</v>
      </c>
    </row>
    <row r="738" spans="1:7" x14ac:dyDescent="0.25">
      <c r="A738" t="s">
        <v>6</v>
      </c>
      <c r="B738" s="1">
        <v>46108</v>
      </c>
      <c r="C738" t="s">
        <v>699</v>
      </c>
      <c r="D738">
        <v>-57.16</v>
      </c>
      <c r="E738" t="s">
        <v>14</v>
      </c>
      <c r="F738">
        <v>5647.75</v>
      </c>
      <c r="G738" t="str" cm="1">
        <f t="array" ref="G738">IF(AND(ISNUMBER(SEARCH("UBER",C738)),ISNUMBER(SEARCH("EATS",C738))),"Uber Eats",IF(LEFT(C738,6)="CHECK ","Checks Paid",IF(OR(E738="BILLPAY",ISNUMBER(SEARCH("FRANCHISE TAX",C738)),ISNUMBER(SEARCH("NEXTLINK",C738))),"Personal - House Bills",IF(AND(ISNUMBER(SEARCH("PAYMENT FROM",C738)),ISNUMBER(SEARCH("JOE SAUNDERS",C738))),"Zelle from Joe Saunders",IF(AND(ISNUMBER(SEARCH("PAYMENT TO",C738)),ISNUMBER(SEARCH("JOE SAUNDERS",C738))),"Zelle to Joe Saunders",IF(OR(ISNUMBER(SEARCH("NEW ORLEANS",C738)),ISNUMBER(SEARCH("KENNER",C738)),ISNUMBER(SEARCH("HENRY HOWARD",C738)),ISNUMBER(SEARCH("MISS CLAUDIA",C738))),"Personal Travel - New Orleans",IFERROR(INDEX('Category Rules'!$B$2:$B$194,MATCH(TRUE,ISNUMBER(SEARCH('Category Rules'!$A$2:$A$194,C738)),0)),"")))))))</f>
        <v>Uber Eats</v>
      </c>
    </row>
    <row r="739" spans="1:7" x14ac:dyDescent="0.25">
      <c r="A739" t="s">
        <v>6</v>
      </c>
      <c r="B739" s="1">
        <v>46108</v>
      </c>
      <c r="C739" t="s">
        <v>700</v>
      </c>
      <c r="D739">
        <v>-128</v>
      </c>
      <c r="E739" t="s">
        <v>14</v>
      </c>
      <c r="F739">
        <v>5704.91</v>
      </c>
      <c r="G739" t="str" cm="1">
        <f t="array" ref="G739">IF(AND(ISNUMBER(SEARCH("UBER",C739)),ISNUMBER(SEARCH("EATS",C739))),"Uber Eats",IF(LEFT(C739,6)="CHECK ","Checks Paid",IF(OR(E739="BILLPAY",ISNUMBER(SEARCH("FRANCHISE TAX",C739)),ISNUMBER(SEARCH("NEXTLINK",C739))),"Personal - House Bills",IF(AND(ISNUMBER(SEARCH("PAYMENT FROM",C739)),ISNUMBER(SEARCH("JOE SAUNDERS",C739))),"Zelle from Joe Saunders",IF(AND(ISNUMBER(SEARCH("PAYMENT TO",C739)),ISNUMBER(SEARCH("JOE SAUNDERS",C739))),"Zelle to Joe Saunders",IF(OR(ISNUMBER(SEARCH("NEW ORLEANS",C739)),ISNUMBER(SEARCH("KENNER",C739)),ISNUMBER(SEARCH("HENRY HOWARD",C739)),ISNUMBER(SEARCH("MISS CLAUDIA",C739))),"Personal Travel - New Orleans",IFERROR(INDEX('Category Rules'!$B$2:$B$194,MATCH(TRUE,ISNUMBER(SEARCH('Category Rules'!$A$2:$A$194,C739)),0)),"")))))))</f>
        <v>Personal - Food</v>
      </c>
    </row>
    <row r="740" spans="1:7" x14ac:dyDescent="0.25">
      <c r="A740" t="s">
        <v>6</v>
      </c>
      <c r="B740" s="1">
        <v>46108</v>
      </c>
      <c r="C740" t="s">
        <v>701</v>
      </c>
      <c r="D740">
        <v>-5.99</v>
      </c>
      <c r="E740" t="s">
        <v>14</v>
      </c>
      <c r="F740">
        <v>5832.91</v>
      </c>
      <c r="G740" t="str" cm="1">
        <f t="array" ref="G740">IF(AND(ISNUMBER(SEARCH("UBER",C740)),ISNUMBER(SEARCH("EATS",C740))),"Uber Eats",IF(LEFT(C740,6)="CHECK ","Checks Paid",IF(OR(E740="BILLPAY",ISNUMBER(SEARCH("FRANCHISE TAX",C740)),ISNUMBER(SEARCH("NEXTLINK",C740))),"Personal - House Bills",IF(AND(ISNUMBER(SEARCH("PAYMENT FROM",C740)),ISNUMBER(SEARCH("JOE SAUNDERS",C740))),"Zelle from Joe Saunders",IF(AND(ISNUMBER(SEARCH("PAYMENT TO",C740)),ISNUMBER(SEARCH("JOE SAUNDERS",C740))),"Zelle to Joe Saunders",IF(OR(ISNUMBER(SEARCH("NEW ORLEANS",C740)),ISNUMBER(SEARCH("KENNER",C740)),ISNUMBER(SEARCH("HENRY HOWARD",C740)),ISNUMBER(SEARCH("MISS CLAUDIA",C740))),"Personal Travel - New Orleans",IFERROR(INDEX('Category Rules'!$B$2:$B$194,MATCH(TRUE,ISNUMBER(SEARCH('Category Rules'!$A$2:$A$194,C740)),0)),"")))))))</f>
        <v>Personal - Subscription</v>
      </c>
    </row>
    <row r="741" spans="1:7" x14ac:dyDescent="0.25">
      <c r="A741" t="s">
        <v>6</v>
      </c>
      <c r="B741" s="1">
        <v>46108</v>
      </c>
      <c r="C741" t="s">
        <v>702</v>
      </c>
      <c r="D741">
        <v>-6.99</v>
      </c>
      <c r="E741" t="s">
        <v>14</v>
      </c>
      <c r="F741">
        <v>5838.9</v>
      </c>
      <c r="G741" t="str" cm="1">
        <f t="array" ref="G741">IF(AND(ISNUMBER(SEARCH("UBER",C741)),ISNUMBER(SEARCH("EATS",C741))),"Uber Eats",IF(LEFT(C741,6)="CHECK ","Checks Paid",IF(OR(E741="BILLPAY",ISNUMBER(SEARCH("FRANCHISE TAX",C741)),ISNUMBER(SEARCH("NEXTLINK",C741))),"Personal - House Bills",IF(AND(ISNUMBER(SEARCH("PAYMENT FROM",C741)),ISNUMBER(SEARCH("JOE SAUNDERS",C741))),"Zelle from Joe Saunders",IF(AND(ISNUMBER(SEARCH("PAYMENT TO",C741)),ISNUMBER(SEARCH("JOE SAUNDERS",C741))),"Zelle to Joe Saunders",IF(OR(ISNUMBER(SEARCH("NEW ORLEANS",C741)),ISNUMBER(SEARCH("KENNER",C741)),ISNUMBER(SEARCH("HENRY HOWARD",C741)),ISNUMBER(SEARCH("MISS CLAUDIA",C741))),"Personal Travel - New Orleans",IFERROR(INDEX('Category Rules'!$B$2:$B$194,MATCH(TRUE,ISNUMBER(SEARCH('Category Rules'!$A$2:$A$194,C741)),0)),"")))))))</f>
        <v>Amazon</v>
      </c>
    </row>
    <row r="742" spans="1:7" x14ac:dyDescent="0.25">
      <c r="A742" t="s">
        <v>6</v>
      </c>
      <c r="B742" s="1">
        <v>46108</v>
      </c>
      <c r="C742" t="s">
        <v>703</v>
      </c>
      <c r="D742">
        <v>-32.909999999999997</v>
      </c>
      <c r="E742" t="s">
        <v>14</v>
      </c>
      <c r="F742">
        <v>5845.89</v>
      </c>
      <c r="G742" t="str" cm="1">
        <f t="array" ref="G742">IF(AND(ISNUMBER(SEARCH("UBER",C742)),ISNUMBER(SEARCH("EATS",C742))),"Uber Eats",IF(LEFT(C742,6)="CHECK ","Checks Paid",IF(OR(E742="BILLPAY",ISNUMBER(SEARCH("FRANCHISE TAX",C742)),ISNUMBER(SEARCH("NEXTLINK",C742))),"Personal - House Bills",IF(AND(ISNUMBER(SEARCH("PAYMENT FROM",C742)),ISNUMBER(SEARCH("JOE SAUNDERS",C742))),"Zelle from Joe Saunders",IF(AND(ISNUMBER(SEARCH("PAYMENT TO",C742)),ISNUMBER(SEARCH("JOE SAUNDERS",C742))),"Zelle to Joe Saunders",IF(OR(ISNUMBER(SEARCH("NEW ORLEANS",C742)),ISNUMBER(SEARCH("KENNER",C742)),ISNUMBER(SEARCH("HENRY HOWARD",C742)),ISNUMBER(SEARCH("MISS CLAUDIA",C742))),"Personal Travel - New Orleans",IFERROR(INDEX('Category Rules'!$B$2:$B$194,MATCH(TRUE,ISNUMBER(SEARCH('Category Rules'!$A$2:$A$194,C742)),0)),"")))))))</f>
        <v>Amazon</v>
      </c>
    </row>
    <row r="743" spans="1:7" x14ac:dyDescent="0.25">
      <c r="A743" t="s">
        <v>6</v>
      </c>
      <c r="B743" s="1">
        <v>46108</v>
      </c>
      <c r="C743" t="s">
        <v>704</v>
      </c>
      <c r="D743">
        <v>-94.01</v>
      </c>
      <c r="E743" t="s">
        <v>14</v>
      </c>
      <c r="F743">
        <v>5878.8</v>
      </c>
      <c r="G743" t="str" cm="1">
        <f t="array" ref="G743">IF(AND(ISNUMBER(SEARCH("UBER",C743)),ISNUMBER(SEARCH("EATS",C743))),"Uber Eats",IF(LEFT(C743,6)="CHECK ","Checks Paid",IF(OR(E743="BILLPAY",ISNUMBER(SEARCH("FRANCHISE TAX",C743)),ISNUMBER(SEARCH("NEXTLINK",C743))),"Personal - House Bills",IF(AND(ISNUMBER(SEARCH("PAYMENT FROM",C743)),ISNUMBER(SEARCH("JOE SAUNDERS",C743))),"Zelle from Joe Saunders",IF(AND(ISNUMBER(SEARCH("PAYMENT TO",C743)),ISNUMBER(SEARCH("JOE SAUNDERS",C743))),"Zelle to Joe Saunders",IF(OR(ISNUMBER(SEARCH("NEW ORLEANS",C743)),ISNUMBER(SEARCH("KENNER",C743)),ISNUMBER(SEARCH("HENRY HOWARD",C743)),ISNUMBER(SEARCH("MISS CLAUDIA",C743))),"Personal Travel - New Orleans",IFERROR(INDEX('Category Rules'!$B$2:$B$194,MATCH(TRUE,ISNUMBER(SEARCH('Category Rules'!$A$2:$A$194,C743)),0)),"")))))))</f>
        <v>Amazon</v>
      </c>
    </row>
    <row r="744" spans="1:7" x14ac:dyDescent="0.25">
      <c r="A744" t="s">
        <v>6</v>
      </c>
      <c r="B744" s="1">
        <v>46108</v>
      </c>
      <c r="C744" t="s">
        <v>705</v>
      </c>
      <c r="D744">
        <v>-70.2</v>
      </c>
      <c r="E744" t="s">
        <v>14</v>
      </c>
      <c r="F744">
        <v>5972.81</v>
      </c>
      <c r="G744" t="str" cm="1">
        <f t="array" ref="G744">IF(AND(ISNUMBER(SEARCH("UBER",C744)),ISNUMBER(SEARCH("EATS",C744))),"Uber Eats",IF(LEFT(C744,6)="CHECK ","Checks Paid",IF(OR(E744="BILLPAY",ISNUMBER(SEARCH("FRANCHISE TAX",C744)),ISNUMBER(SEARCH("NEXTLINK",C744))),"Personal - House Bills",IF(AND(ISNUMBER(SEARCH("PAYMENT FROM",C744)),ISNUMBER(SEARCH("JOE SAUNDERS",C744))),"Zelle from Joe Saunders",IF(AND(ISNUMBER(SEARCH("PAYMENT TO",C744)),ISNUMBER(SEARCH("JOE SAUNDERS",C744))),"Zelle to Joe Saunders",IF(OR(ISNUMBER(SEARCH("NEW ORLEANS",C744)),ISNUMBER(SEARCH("KENNER",C744)),ISNUMBER(SEARCH("HENRY HOWARD",C744)),ISNUMBER(SEARCH("MISS CLAUDIA",C744))),"Personal Travel - New Orleans",IFERROR(INDEX('Category Rules'!$B$2:$B$194,MATCH(TRUE,ISNUMBER(SEARCH('Category Rules'!$A$2:$A$194,C744)),0)),"")))))))</f>
        <v>Amazon</v>
      </c>
    </row>
    <row r="745" spans="1:7" x14ac:dyDescent="0.25">
      <c r="A745" t="s">
        <v>37</v>
      </c>
      <c r="B745" s="1">
        <v>46108</v>
      </c>
      <c r="C745" t="s">
        <v>706</v>
      </c>
      <c r="D745">
        <v>175</v>
      </c>
      <c r="E745" t="s">
        <v>117</v>
      </c>
      <c r="F745">
        <v>6043.01</v>
      </c>
      <c r="G745" t="str" cm="1">
        <f t="array" ref="G745">IF(AND(ISNUMBER(SEARCH("UBER",C745)),ISNUMBER(SEARCH("EATS",C745))),"Uber Eats",IF(LEFT(C745,6)="CHECK ","Checks Paid",IF(OR(E745="BILLPAY",ISNUMBER(SEARCH("FRANCHISE TAX",C745)),ISNUMBER(SEARCH("NEXTLINK",C745))),"Personal - House Bills",IF(AND(ISNUMBER(SEARCH("PAYMENT FROM",C745)),ISNUMBER(SEARCH("JOE SAUNDERS",C745))),"Zelle from Joe Saunders",IF(AND(ISNUMBER(SEARCH("PAYMENT TO",C745)),ISNUMBER(SEARCH("JOE SAUNDERS",C745))),"Zelle to Joe Saunders",IF(OR(ISNUMBER(SEARCH("NEW ORLEANS",C745)),ISNUMBER(SEARCH("KENNER",C745)),ISNUMBER(SEARCH("HENRY HOWARD",C745)),ISNUMBER(SEARCH("MISS CLAUDIA",C745))),"Personal Travel - New Orleans",IFERROR(INDEX('Category Rules'!$B$2:$B$194,MATCH(TRUE,ISNUMBER(SEARCH('Category Rules'!$A$2:$A$194,C745)),0)),"")))))))</f>
        <v>Deposit</v>
      </c>
    </row>
    <row r="746" spans="1:7" x14ac:dyDescent="0.25">
      <c r="A746" t="s">
        <v>6</v>
      </c>
      <c r="B746" s="1">
        <v>46107</v>
      </c>
      <c r="C746" t="s">
        <v>707</v>
      </c>
      <c r="D746">
        <v>-10.86</v>
      </c>
      <c r="E746" t="s">
        <v>14</v>
      </c>
      <c r="F746">
        <v>5868.01</v>
      </c>
      <c r="G746" t="str" cm="1">
        <f t="array" ref="G746">IF(AND(ISNUMBER(SEARCH("UBER",C746)),ISNUMBER(SEARCH("EATS",C746))),"Uber Eats",IF(LEFT(C746,6)="CHECK ","Checks Paid",IF(OR(E746="BILLPAY",ISNUMBER(SEARCH("FRANCHISE TAX",C746)),ISNUMBER(SEARCH("NEXTLINK",C746))),"Personal - House Bills",IF(AND(ISNUMBER(SEARCH("PAYMENT FROM",C746)),ISNUMBER(SEARCH("JOE SAUNDERS",C746))),"Zelle from Joe Saunders",IF(AND(ISNUMBER(SEARCH("PAYMENT TO",C746)),ISNUMBER(SEARCH("JOE SAUNDERS",C746))),"Zelle to Joe Saunders",IF(OR(ISNUMBER(SEARCH("NEW ORLEANS",C746)),ISNUMBER(SEARCH("KENNER",C746)),ISNUMBER(SEARCH("HENRY HOWARD",C746)),ISNUMBER(SEARCH("MISS CLAUDIA",C746))),"Personal Travel - New Orleans",IFERROR(INDEX('Category Rules'!$B$2:$B$194,MATCH(TRUE,ISNUMBER(SEARCH('Category Rules'!$A$2:$A$194,C746)),0)),"")))))))</f>
        <v>Amazon</v>
      </c>
    </row>
    <row r="747" spans="1:7" x14ac:dyDescent="0.25">
      <c r="A747" t="s">
        <v>6</v>
      </c>
      <c r="B747" s="1">
        <v>46107</v>
      </c>
      <c r="C747" t="s">
        <v>708</v>
      </c>
      <c r="D747">
        <v>-49.81</v>
      </c>
      <c r="E747" t="s">
        <v>14</v>
      </c>
      <c r="F747">
        <v>5878.87</v>
      </c>
      <c r="G747" t="str" cm="1">
        <f t="array" ref="G747">IF(AND(ISNUMBER(SEARCH("UBER",C747)),ISNUMBER(SEARCH("EATS",C747))),"Uber Eats",IF(LEFT(C747,6)="CHECK ","Checks Paid",IF(OR(E747="BILLPAY",ISNUMBER(SEARCH("FRANCHISE TAX",C747)),ISNUMBER(SEARCH("NEXTLINK",C747))),"Personal - House Bills",IF(AND(ISNUMBER(SEARCH("PAYMENT FROM",C747)),ISNUMBER(SEARCH("JOE SAUNDERS",C747))),"Zelle from Joe Saunders",IF(AND(ISNUMBER(SEARCH("PAYMENT TO",C747)),ISNUMBER(SEARCH("JOE SAUNDERS",C747))),"Zelle to Joe Saunders",IF(OR(ISNUMBER(SEARCH("NEW ORLEANS",C747)),ISNUMBER(SEARCH("KENNER",C747)),ISNUMBER(SEARCH("HENRY HOWARD",C747)),ISNUMBER(SEARCH("MISS CLAUDIA",C747))),"Personal Travel - New Orleans",IFERROR(INDEX('Category Rules'!$B$2:$B$194,MATCH(TRUE,ISNUMBER(SEARCH('Category Rules'!$A$2:$A$194,C747)),0)),"")))))))</f>
        <v>Amazon</v>
      </c>
    </row>
    <row r="748" spans="1:7" x14ac:dyDescent="0.25">
      <c r="A748" t="s">
        <v>6</v>
      </c>
      <c r="B748" s="1">
        <v>46107</v>
      </c>
      <c r="C748" t="s">
        <v>709</v>
      </c>
      <c r="D748">
        <v>-41.71</v>
      </c>
      <c r="E748" t="s">
        <v>14</v>
      </c>
      <c r="F748">
        <v>5928.68</v>
      </c>
      <c r="G748" t="str" cm="1">
        <f t="array" ref="G748">IF(AND(ISNUMBER(SEARCH("UBER",C748)),ISNUMBER(SEARCH("EATS",C748))),"Uber Eats",IF(LEFT(C748,6)="CHECK ","Checks Paid",IF(OR(E748="BILLPAY",ISNUMBER(SEARCH("FRANCHISE TAX",C748)),ISNUMBER(SEARCH("NEXTLINK",C748))),"Personal - House Bills",IF(AND(ISNUMBER(SEARCH("PAYMENT FROM",C748)),ISNUMBER(SEARCH("JOE SAUNDERS",C748))),"Zelle from Joe Saunders",IF(AND(ISNUMBER(SEARCH("PAYMENT TO",C748)),ISNUMBER(SEARCH("JOE SAUNDERS",C748))),"Zelle to Joe Saunders",IF(OR(ISNUMBER(SEARCH("NEW ORLEANS",C748)),ISNUMBER(SEARCH("KENNER",C748)),ISNUMBER(SEARCH("HENRY HOWARD",C748)),ISNUMBER(SEARCH("MISS CLAUDIA",C748))),"Personal Travel - New Orleans",IFERROR(INDEX('Category Rules'!$B$2:$B$194,MATCH(TRUE,ISNUMBER(SEARCH('Category Rules'!$A$2:$A$194,C748)),0)),"")))))))</f>
        <v>Amazon</v>
      </c>
    </row>
    <row r="749" spans="1:7" x14ac:dyDescent="0.25">
      <c r="A749" t="s">
        <v>6</v>
      </c>
      <c r="B749" s="1">
        <v>46107</v>
      </c>
      <c r="C749" t="s">
        <v>710</v>
      </c>
      <c r="D749">
        <v>-65.819999999999993</v>
      </c>
      <c r="E749" t="s">
        <v>14</v>
      </c>
      <c r="F749">
        <v>5970.39</v>
      </c>
      <c r="G749" t="str" cm="1">
        <f t="array" ref="G749">IF(AND(ISNUMBER(SEARCH("UBER",C749)),ISNUMBER(SEARCH("EATS",C749))),"Uber Eats",IF(LEFT(C749,6)="CHECK ","Checks Paid",IF(OR(E749="BILLPAY",ISNUMBER(SEARCH("FRANCHISE TAX",C749)),ISNUMBER(SEARCH("NEXTLINK",C749))),"Personal - House Bills",IF(AND(ISNUMBER(SEARCH("PAYMENT FROM",C749)),ISNUMBER(SEARCH("JOE SAUNDERS",C749))),"Zelle from Joe Saunders",IF(AND(ISNUMBER(SEARCH("PAYMENT TO",C749)),ISNUMBER(SEARCH("JOE SAUNDERS",C749))),"Zelle to Joe Saunders",IF(OR(ISNUMBER(SEARCH("NEW ORLEANS",C749)),ISNUMBER(SEARCH("KENNER",C749)),ISNUMBER(SEARCH("HENRY HOWARD",C749)),ISNUMBER(SEARCH("MISS CLAUDIA",C749))),"Personal Travel - New Orleans",IFERROR(INDEX('Category Rules'!$B$2:$B$194,MATCH(TRUE,ISNUMBER(SEARCH('Category Rules'!$A$2:$A$194,C749)),0)),"")))))))</f>
        <v>Amazon</v>
      </c>
    </row>
    <row r="750" spans="1:7" x14ac:dyDescent="0.25">
      <c r="A750" t="s">
        <v>6</v>
      </c>
      <c r="B750" s="1">
        <v>46107</v>
      </c>
      <c r="C750" t="s">
        <v>711</v>
      </c>
      <c r="D750">
        <v>-44.97</v>
      </c>
      <c r="E750" t="s">
        <v>14</v>
      </c>
      <c r="F750">
        <v>6036.21</v>
      </c>
      <c r="G750" t="str" cm="1">
        <f t="array" ref="G750">IF(AND(ISNUMBER(SEARCH("UBER",C750)),ISNUMBER(SEARCH("EATS",C750))),"Uber Eats",IF(LEFT(C750,6)="CHECK ","Checks Paid",IF(OR(E750="BILLPAY",ISNUMBER(SEARCH("FRANCHISE TAX",C750)),ISNUMBER(SEARCH("NEXTLINK",C750))),"Personal - House Bills",IF(AND(ISNUMBER(SEARCH("PAYMENT FROM",C750)),ISNUMBER(SEARCH("JOE SAUNDERS",C750))),"Zelle from Joe Saunders",IF(AND(ISNUMBER(SEARCH("PAYMENT TO",C750)),ISNUMBER(SEARCH("JOE SAUNDERS",C750))),"Zelle to Joe Saunders",IF(OR(ISNUMBER(SEARCH("NEW ORLEANS",C750)),ISNUMBER(SEARCH("KENNER",C750)),ISNUMBER(SEARCH("HENRY HOWARD",C750)),ISNUMBER(SEARCH("MISS CLAUDIA",C750))),"Personal Travel - New Orleans",IFERROR(INDEX('Category Rules'!$B$2:$B$194,MATCH(TRUE,ISNUMBER(SEARCH('Category Rules'!$A$2:$A$194,C750)),0)),"")))))))</f>
        <v>Amazon</v>
      </c>
    </row>
    <row r="751" spans="1:7" x14ac:dyDescent="0.25">
      <c r="A751" t="s">
        <v>6</v>
      </c>
      <c r="B751" s="1">
        <v>46106</v>
      </c>
      <c r="C751" t="s">
        <v>712</v>
      </c>
      <c r="D751">
        <v>-11.76</v>
      </c>
      <c r="E751" t="s">
        <v>14</v>
      </c>
      <c r="F751">
        <v>6081.18</v>
      </c>
      <c r="G751" t="str" cm="1">
        <f t="array" ref="G751">IF(AND(ISNUMBER(SEARCH("UBER",C751)),ISNUMBER(SEARCH("EATS",C751))),"Uber Eats",IF(LEFT(C751,6)="CHECK ","Checks Paid",IF(OR(E751="BILLPAY",ISNUMBER(SEARCH("FRANCHISE TAX",C751)),ISNUMBER(SEARCH("NEXTLINK",C751))),"Personal - House Bills",IF(AND(ISNUMBER(SEARCH("PAYMENT FROM",C751)),ISNUMBER(SEARCH("JOE SAUNDERS",C751))),"Zelle from Joe Saunders",IF(AND(ISNUMBER(SEARCH("PAYMENT TO",C751)),ISNUMBER(SEARCH("JOE SAUNDERS",C751))),"Zelle to Joe Saunders",IF(OR(ISNUMBER(SEARCH("NEW ORLEANS",C751)),ISNUMBER(SEARCH("KENNER",C751)),ISNUMBER(SEARCH("HENRY HOWARD",C751)),ISNUMBER(SEARCH("MISS CLAUDIA",C751))),"Personal Travel - New Orleans",IFERROR(INDEX('Category Rules'!$B$2:$B$194,MATCH(TRUE,ISNUMBER(SEARCH('Category Rules'!$A$2:$A$194,C751)),0)),"")))))))</f>
        <v>Amazon</v>
      </c>
    </row>
    <row r="752" spans="1:7" x14ac:dyDescent="0.25">
      <c r="A752" t="s">
        <v>6</v>
      </c>
      <c r="B752" s="1">
        <v>46106</v>
      </c>
      <c r="C752" t="s">
        <v>713</v>
      </c>
      <c r="D752">
        <v>-15</v>
      </c>
      <c r="E752" t="s">
        <v>14</v>
      </c>
      <c r="F752">
        <v>6092.94</v>
      </c>
      <c r="G752" t="str" cm="1">
        <f t="array" ref="G752">IF(AND(ISNUMBER(SEARCH("UBER",C752)),ISNUMBER(SEARCH("EATS",C752))),"Uber Eats",IF(LEFT(C752,6)="CHECK ","Checks Paid",IF(OR(E752="BILLPAY",ISNUMBER(SEARCH("FRANCHISE TAX",C752)),ISNUMBER(SEARCH("NEXTLINK",C752))),"Personal - House Bills",IF(AND(ISNUMBER(SEARCH("PAYMENT FROM",C752)),ISNUMBER(SEARCH("JOE SAUNDERS",C752))),"Zelle from Joe Saunders",IF(AND(ISNUMBER(SEARCH("PAYMENT TO",C752)),ISNUMBER(SEARCH("JOE SAUNDERS",C752))),"Zelle to Joe Saunders",IF(OR(ISNUMBER(SEARCH("NEW ORLEANS",C752)),ISNUMBER(SEARCH("KENNER",C752)),ISNUMBER(SEARCH("HENRY HOWARD",C752)),ISNUMBER(SEARCH("MISS CLAUDIA",C752))),"Personal Travel - New Orleans",IFERROR(INDEX('Category Rules'!$B$2:$B$194,MATCH(TRUE,ISNUMBER(SEARCH('Category Rules'!$A$2:$A$194,C752)),0)),"")))))))</f>
        <v>Personal - Subscription</v>
      </c>
    </row>
    <row r="753" spans="1:7" x14ac:dyDescent="0.25">
      <c r="A753" t="s">
        <v>6</v>
      </c>
      <c r="B753" s="1">
        <v>46106</v>
      </c>
      <c r="C753" t="s">
        <v>714</v>
      </c>
      <c r="D753">
        <v>-16.45</v>
      </c>
      <c r="E753" t="s">
        <v>14</v>
      </c>
      <c r="F753">
        <v>6107.94</v>
      </c>
      <c r="G753" t="str" cm="1">
        <f t="array" ref="G753">IF(AND(ISNUMBER(SEARCH("UBER",C753)),ISNUMBER(SEARCH("EATS",C753))),"Uber Eats",IF(LEFT(C753,6)="CHECK ","Checks Paid",IF(OR(E753="BILLPAY",ISNUMBER(SEARCH("FRANCHISE TAX",C753)),ISNUMBER(SEARCH("NEXTLINK",C753))),"Personal - House Bills",IF(AND(ISNUMBER(SEARCH("PAYMENT FROM",C753)),ISNUMBER(SEARCH("JOE SAUNDERS",C753))),"Zelle from Joe Saunders",IF(AND(ISNUMBER(SEARCH("PAYMENT TO",C753)),ISNUMBER(SEARCH("JOE SAUNDERS",C753))),"Zelle to Joe Saunders",IF(OR(ISNUMBER(SEARCH("NEW ORLEANS",C753)),ISNUMBER(SEARCH("KENNER",C753)),ISNUMBER(SEARCH("HENRY HOWARD",C753)),ISNUMBER(SEARCH("MISS CLAUDIA",C753))),"Personal Travel - New Orleans",IFERROR(INDEX('Category Rules'!$B$2:$B$194,MATCH(TRUE,ISNUMBER(SEARCH('Category Rules'!$A$2:$A$194,C753)),0)),"")))))))</f>
        <v>Amazon</v>
      </c>
    </row>
    <row r="754" spans="1:7" x14ac:dyDescent="0.25">
      <c r="A754" t="s">
        <v>6</v>
      </c>
      <c r="B754" s="1">
        <v>46106</v>
      </c>
      <c r="C754" t="s">
        <v>715</v>
      </c>
      <c r="D754">
        <v>-838.07</v>
      </c>
      <c r="E754" t="s">
        <v>14</v>
      </c>
      <c r="F754">
        <v>6124.39</v>
      </c>
      <c r="G754" t="str" cm="1">
        <f t="array" ref="G754">IF(AND(ISNUMBER(SEARCH("UBER",C754)),ISNUMBER(SEARCH("EATS",C754))),"Uber Eats",IF(LEFT(C754,6)="CHECK ","Checks Paid",IF(OR(E754="BILLPAY",ISNUMBER(SEARCH("FRANCHISE TAX",C754)),ISNUMBER(SEARCH("NEXTLINK",C754))),"Personal - House Bills",IF(AND(ISNUMBER(SEARCH("PAYMENT FROM",C754)),ISNUMBER(SEARCH("JOE SAUNDERS",C754))),"Zelle from Joe Saunders",IF(AND(ISNUMBER(SEARCH("PAYMENT TO",C754)),ISNUMBER(SEARCH("JOE SAUNDERS",C754))),"Zelle to Joe Saunders",IF(OR(ISNUMBER(SEARCH("NEW ORLEANS",C754)),ISNUMBER(SEARCH("KENNER",C754)),ISNUMBER(SEARCH("HENRY HOWARD",C754)),ISNUMBER(SEARCH("MISS CLAUDIA",C754))),"Personal Travel - New Orleans",IFERROR(INDEX('Category Rules'!$B$2:$B$194,MATCH(TRUE,ISNUMBER(SEARCH('Category Rules'!$A$2:$A$194,C754)),0)),"")))))))</f>
        <v>AT&amp;T</v>
      </c>
    </row>
    <row r="755" spans="1:7" x14ac:dyDescent="0.25">
      <c r="A755" t="s">
        <v>6</v>
      </c>
      <c r="B755" s="1">
        <v>46106</v>
      </c>
      <c r="C755" t="s">
        <v>716</v>
      </c>
      <c r="D755">
        <v>-24.13</v>
      </c>
      <c r="E755" t="s">
        <v>14</v>
      </c>
      <c r="F755">
        <v>6962.46</v>
      </c>
      <c r="G755" t="str" cm="1">
        <f t="array" ref="G755">IF(AND(ISNUMBER(SEARCH("UBER",C755)),ISNUMBER(SEARCH("EATS",C755))),"Uber Eats",IF(LEFT(C755,6)="CHECK ","Checks Paid",IF(OR(E755="BILLPAY",ISNUMBER(SEARCH("FRANCHISE TAX",C755)),ISNUMBER(SEARCH("NEXTLINK",C755))),"Personal - House Bills",IF(AND(ISNUMBER(SEARCH("PAYMENT FROM",C755)),ISNUMBER(SEARCH("JOE SAUNDERS",C755))),"Zelle from Joe Saunders",IF(AND(ISNUMBER(SEARCH("PAYMENT TO",C755)),ISNUMBER(SEARCH("JOE SAUNDERS",C755))),"Zelle to Joe Saunders",IF(OR(ISNUMBER(SEARCH("NEW ORLEANS",C755)),ISNUMBER(SEARCH("KENNER",C755)),ISNUMBER(SEARCH("HENRY HOWARD",C755)),ISNUMBER(SEARCH("MISS CLAUDIA",C755))),"Personal Travel - New Orleans",IFERROR(INDEX('Category Rules'!$B$2:$B$194,MATCH(TRUE,ISNUMBER(SEARCH('Category Rules'!$A$2:$A$194,C755)),0)),"")))))))</f>
        <v>Amazon</v>
      </c>
    </row>
    <row r="756" spans="1:7" x14ac:dyDescent="0.25">
      <c r="A756" t="s">
        <v>6</v>
      </c>
      <c r="B756" s="1">
        <v>46105</v>
      </c>
      <c r="C756" t="s">
        <v>717</v>
      </c>
      <c r="D756">
        <v>-159.08000000000001</v>
      </c>
      <c r="E756" t="s">
        <v>14</v>
      </c>
      <c r="F756">
        <v>6986.59</v>
      </c>
      <c r="G756" t="str" cm="1">
        <f t="array" ref="G756">IF(AND(ISNUMBER(SEARCH("UBER",C756)),ISNUMBER(SEARCH("EATS",C756))),"Uber Eats",IF(LEFT(C756,6)="CHECK ","Checks Paid",IF(OR(E756="BILLPAY",ISNUMBER(SEARCH("FRANCHISE TAX",C756)),ISNUMBER(SEARCH("NEXTLINK",C756))),"Personal - House Bills",IF(AND(ISNUMBER(SEARCH("PAYMENT FROM",C756)),ISNUMBER(SEARCH("JOE SAUNDERS",C756))),"Zelle from Joe Saunders",IF(AND(ISNUMBER(SEARCH("PAYMENT TO",C756)),ISNUMBER(SEARCH("JOE SAUNDERS",C756))),"Zelle to Joe Saunders",IF(OR(ISNUMBER(SEARCH("NEW ORLEANS",C756)),ISNUMBER(SEARCH("KENNER",C756)),ISNUMBER(SEARCH("HENRY HOWARD",C756)),ISNUMBER(SEARCH("MISS CLAUDIA",C756))),"Personal Travel - New Orleans",IFERROR(INDEX('Category Rules'!$B$2:$B$194,MATCH(TRUE,ISNUMBER(SEARCH('Category Rules'!$A$2:$A$194,C756)),0)),"")))))))</f>
        <v>Personal - Health</v>
      </c>
    </row>
    <row r="757" spans="1:7" x14ac:dyDescent="0.25">
      <c r="A757" t="s">
        <v>6</v>
      </c>
      <c r="B757" s="1">
        <v>46105</v>
      </c>
      <c r="C757" t="s">
        <v>718</v>
      </c>
      <c r="D757">
        <v>-300</v>
      </c>
      <c r="E757" t="s">
        <v>48</v>
      </c>
      <c r="F757">
        <v>7145.67</v>
      </c>
      <c r="G757" t="str" cm="1">
        <f t="array" ref="G757">IF(AND(ISNUMBER(SEARCH("UBER",C757)),ISNUMBER(SEARCH("EATS",C757))),"Uber Eats",IF(LEFT(C757,6)="CHECK ","Checks Paid",IF(OR(E757="BILLPAY",ISNUMBER(SEARCH("FRANCHISE TAX",C757)),ISNUMBER(SEARCH("NEXTLINK",C757))),"Personal - House Bills",IF(AND(ISNUMBER(SEARCH("PAYMENT FROM",C757)),ISNUMBER(SEARCH("JOE SAUNDERS",C757))),"Zelle from Joe Saunders",IF(AND(ISNUMBER(SEARCH("PAYMENT TO",C757)),ISNUMBER(SEARCH("JOE SAUNDERS",C757))),"Zelle to Joe Saunders",IF(OR(ISNUMBER(SEARCH("NEW ORLEANS",C757)),ISNUMBER(SEARCH("KENNER",C757)),ISNUMBER(SEARCH("HENRY HOWARD",C757)),ISNUMBER(SEARCH("MISS CLAUDIA",C757))),"Personal Travel - New Orleans",IFERROR(INDEX('Category Rules'!$B$2:$B$194,MATCH(TRUE,ISNUMBER(SEARCH('Category Rules'!$A$2:$A$194,C757)),0)),"")))))))</f>
        <v>Withdrawal</v>
      </c>
    </row>
    <row r="758" spans="1:7" x14ac:dyDescent="0.25">
      <c r="A758" t="s">
        <v>6</v>
      </c>
      <c r="B758" s="1">
        <v>46105</v>
      </c>
      <c r="C758" t="s">
        <v>719</v>
      </c>
      <c r="D758">
        <v>-45.91</v>
      </c>
      <c r="E758" t="s">
        <v>14</v>
      </c>
      <c r="F758">
        <v>7445.67</v>
      </c>
      <c r="G758" t="str" cm="1">
        <f t="array" ref="G758">IF(AND(ISNUMBER(SEARCH("UBER",C758)),ISNUMBER(SEARCH("EATS",C758))),"Uber Eats",IF(LEFT(C758,6)="CHECK ","Checks Paid",IF(OR(E758="BILLPAY",ISNUMBER(SEARCH("FRANCHISE TAX",C758)),ISNUMBER(SEARCH("NEXTLINK",C758))),"Personal - House Bills",IF(AND(ISNUMBER(SEARCH("PAYMENT FROM",C758)),ISNUMBER(SEARCH("JOE SAUNDERS",C758))),"Zelle from Joe Saunders",IF(AND(ISNUMBER(SEARCH("PAYMENT TO",C758)),ISNUMBER(SEARCH("JOE SAUNDERS",C758))),"Zelle to Joe Saunders",IF(OR(ISNUMBER(SEARCH("NEW ORLEANS",C758)),ISNUMBER(SEARCH("KENNER",C758)),ISNUMBER(SEARCH("HENRY HOWARD",C758)),ISNUMBER(SEARCH("MISS CLAUDIA",C758))),"Personal Travel - New Orleans",IFERROR(INDEX('Category Rules'!$B$2:$B$194,MATCH(TRUE,ISNUMBER(SEARCH('Category Rules'!$A$2:$A$194,C758)),0)),"")))))))</f>
        <v>Personal - Health</v>
      </c>
    </row>
    <row r="759" spans="1:7" x14ac:dyDescent="0.25">
      <c r="A759" t="s">
        <v>6</v>
      </c>
      <c r="B759" s="1">
        <v>46105</v>
      </c>
      <c r="C759" t="s">
        <v>720</v>
      </c>
      <c r="D759">
        <v>-27.41</v>
      </c>
      <c r="E759" t="s">
        <v>14</v>
      </c>
      <c r="F759">
        <v>7491.58</v>
      </c>
      <c r="G759" t="str" cm="1">
        <f t="array" ref="G759">IF(AND(ISNUMBER(SEARCH("UBER",C759)),ISNUMBER(SEARCH("EATS",C759))),"Uber Eats",IF(LEFT(C759,6)="CHECK ","Checks Paid",IF(OR(E759="BILLPAY",ISNUMBER(SEARCH("FRANCHISE TAX",C759)),ISNUMBER(SEARCH("NEXTLINK",C759))),"Personal - House Bills",IF(AND(ISNUMBER(SEARCH("PAYMENT FROM",C759)),ISNUMBER(SEARCH("JOE SAUNDERS",C759))),"Zelle from Joe Saunders",IF(AND(ISNUMBER(SEARCH("PAYMENT TO",C759)),ISNUMBER(SEARCH("JOE SAUNDERS",C759))),"Zelle to Joe Saunders",IF(OR(ISNUMBER(SEARCH("NEW ORLEANS",C759)),ISNUMBER(SEARCH("KENNER",C759)),ISNUMBER(SEARCH("HENRY HOWARD",C759)),ISNUMBER(SEARCH("MISS CLAUDIA",C759))),"Personal Travel - New Orleans",IFERROR(INDEX('Category Rules'!$B$2:$B$194,MATCH(TRUE,ISNUMBER(SEARCH('Category Rules'!$A$2:$A$194,C759)),0)),"")))))))</f>
        <v>Amazon</v>
      </c>
    </row>
    <row r="760" spans="1:7" x14ac:dyDescent="0.25">
      <c r="A760" t="s">
        <v>6</v>
      </c>
      <c r="B760" s="1">
        <v>46105</v>
      </c>
      <c r="C760" t="s">
        <v>721</v>
      </c>
      <c r="D760">
        <v>-10.96</v>
      </c>
      <c r="E760" t="s">
        <v>14</v>
      </c>
      <c r="F760">
        <v>7518.99</v>
      </c>
      <c r="G760" t="str" cm="1">
        <f t="array" ref="G760">IF(AND(ISNUMBER(SEARCH("UBER",C760)),ISNUMBER(SEARCH("EATS",C760))),"Uber Eats",IF(LEFT(C760,6)="CHECK ","Checks Paid",IF(OR(E760="BILLPAY",ISNUMBER(SEARCH("FRANCHISE TAX",C760)),ISNUMBER(SEARCH("NEXTLINK",C760))),"Personal - House Bills",IF(AND(ISNUMBER(SEARCH("PAYMENT FROM",C760)),ISNUMBER(SEARCH("JOE SAUNDERS",C760))),"Zelle from Joe Saunders",IF(AND(ISNUMBER(SEARCH("PAYMENT TO",C760)),ISNUMBER(SEARCH("JOE SAUNDERS",C760))),"Zelle to Joe Saunders",IF(OR(ISNUMBER(SEARCH("NEW ORLEANS",C760)),ISNUMBER(SEARCH("KENNER",C760)),ISNUMBER(SEARCH("HENRY HOWARD",C760)),ISNUMBER(SEARCH("MISS CLAUDIA",C760))),"Personal Travel - New Orleans",IFERROR(INDEX('Category Rules'!$B$2:$B$194,MATCH(TRUE,ISNUMBER(SEARCH('Category Rules'!$A$2:$A$194,C760)),0)),"")))))))</f>
        <v>Amazon</v>
      </c>
    </row>
    <row r="761" spans="1:7" x14ac:dyDescent="0.25">
      <c r="A761" t="s">
        <v>6</v>
      </c>
      <c r="B761" s="1">
        <v>46105</v>
      </c>
      <c r="C761" t="s">
        <v>722</v>
      </c>
      <c r="D761">
        <v>-20</v>
      </c>
      <c r="E761" t="s">
        <v>14</v>
      </c>
      <c r="F761">
        <v>7529.95</v>
      </c>
      <c r="G761" t="str" cm="1">
        <f t="array" ref="G761">IF(AND(ISNUMBER(SEARCH("UBER",C761)),ISNUMBER(SEARCH("EATS",C761))),"Uber Eats",IF(LEFT(C761,6)="CHECK ","Checks Paid",IF(OR(E761="BILLPAY",ISNUMBER(SEARCH("FRANCHISE TAX",C761)),ISNUMBER(SEARCH("NEXTLINK",C761))),"Personal - House Bills",IF(AND(ISNUMBER(SEARCH("PAYMENT FROM",C761)),ISNUMBER(SEARCH("JOE SAUNDERS",C761))),"Zelle from Joe Saunders",IF(AND(ISNUMBER(SEARCH("PAYMENT TO",C761)),ISNUMBER(SEARCH("JOE SAUNDERS",C761))),"Zelle to Joe Saunders",IF(OR(ISNUMBER(SEARCH("NEW ORLEANS",C761)),ISNUMBER(SEARCH("KENNER",C761)),ISNUMBER(SEARCH("HENRY HOWARD",C761)),ISNUMBER(SEARCH("MISS CLAUDIA",C761))),"Personal Travel - New Orleans",IFERROR(INDEX('Category Rules'!$B$2:$B$194,MATCH(TRUE,ISNUMBER(SEARCH('Category Rules'!$A$2:$A$194,C761)),0)),"")))))))</f>
        <v>Amazon</v>
      </c>
    </row>
    <row r="762" spans="1:7" x14ac:dyDescent="0.25">
      <c r="A762" t="s">
        <v>6</v>
      </c>
      <c r="B762" s="1">
        <v>46105</v>
      </c>
      <c r="C762" t="s">
        <v>723</v>
      </c>
      <c r="D762">
        <v>-10.99</v>
      </c>
      <c r="E762" t="s">
        <v>14</v>
      </c>
      <c r="F762">
        <v>7549.95</v>
      </c>
      <c r="G762" t="str" cm="1">
        <f t="array" ref="G762">IF(AND(ISNUMBER(SEARCH("UBER",C762)),ISNUMBER(SEARCH("EATS",C762))),"Uber Eats",IF(LEFT(C762,6)="CHECK ","Checks Paid",IF(OR(E762="BILLPAY",ISNUMBER(SEARCH("FRANCHISE TAX",C762)),ISNUMBER(SEARCH("NEXTLINK",C762))),"Personal - House Bills",IF(AND(ISNUMBER(SEARCH("PAYMENT FROM",C762)),ISNUMBER(SEARCH("JOE SAUNDERS",C762))),"Zelle from Joe Saunders",IF(AND(ISNUMBER(SEARCH("PAYMENT TO",C762)),ISNUMBER(SEARCH("JOE SAUNDERS",C762))),"Zelle to Joe Saunders",IF(OR(ISNUMBER(SEARCH("NEW ORLEANS",C762)),ISNUMBER(SEARCH("KENNER",C762)),ISNUMBER(SEARCH("HENRY HOWARD",C762)),ISNUMBER(SEARCH("MISS CLAUDIA",C762))),"Personal Travel - New Orleans",IFERROR(INDEX('Category Rules'!$B$2:$B$194,MATCH(TRUE,ISNUMBER(SEARCH('Category Rules'!$A$2:$A$194,C762)),0)),"")))))))</f>
        <v>Apple</v>
      </c>
    </row>
    <row r="763" spans="1:7" x14ac:dyDescent="0.25">
      <c r="A763" t="s">
        <v>6</v>
      </c>
      <c r="B763" s="1">
        <v>46105</v>
      </c>
      <c r="C763" t="s">
        <v>724</v>
      </c>
      <c r="D763">
        <v>-51.6</v>
      </c>
      <c r="E763" t="s">
        <v>14</v>
      </c>
      <c r="F763">
        <v>7560.94</v>
      </c>
      <c r="G763" t="str" cm="1">
        <f t="array" ref="G763">IF(AND(ISNUMBER(SEARCH("UBER",C763)),ISNUMBER(SEARCH("EATS",C763))),"Uber Eats",IF(LEFT(C763,6)="CHECK ","Checks Paid",IF(OR(E763="BILLPAY",ISNUMBER(SEARCH("FRANCHISE TAX",C763)),ISNUMBER(SEARCH("NEXTLINK",C763))),"Personal - House Bills",IF(AND(ISNUMBER(SEARCH("PAYMENT FROM",C763)),ISNUMBER(SEARCH("JOE SAUNDERS",C763))),"Zelle from Joe Saunders",IF(AND(ISNUMBER(SEARCH("PAYMENT TO",C763)),ISNUMBER(SEARCH("JOE SAUNDERS",C763))),"Zelle to Joe Saunders",IF(OR(ISNUMBER(SEARCH("NEW ORLEANS",C763)),ISNUMBER(SEARCH("KENNER",C763)),ISNUMBER(SEARCH("HENRY HOWARD",C763)),ISNUMBER(SEARCH("MISS CLAUDIA",C763))),"Personal Travel - New Orleans",IFERROR(INDEX('Category Rules'!$B$2:$B$194,MATCH(TRUE,ISNUMBER(SEARCH('Category Rules'!$A$2:$A$194,C763)),0)),"")))))))</f>
        <v>Personal Travel</v>
      </c>
    </row>
    <row r="764" spans="1:7" x14ac:dyDescent="0.25">
      <c r="A764" t="s">
        <v>6</v>
      </c>
      <c r="B764" s="1">
        <v>46105</v>
      </c>
      <c r="C764" t="s">
        <v>724</v>
      </c>
      <c r="D764">
        <v>-52.92</v>
      </c>
      <c r="E764" t="s">
        <v>14</v>
      </c>
      <c r="F764">
        <v>7612.54</v>
      </c>
      <c r="G764" t="str" cm="1">
        <f t="array" ref="G764">IF(AND(ISNUMBER(SEARCH("UBER",C764)),ISNUMBER(SEARCH("EATS",C764))),"Uber Eats",IF(LEFT(C764,6)="CHECK ","Checks Paid",IF(OR(E764="BILLPAY",ISNUMBER(SEARCH("FRANCHISE TAX",C764)),ISNUMBER(SEARCH("NEXTLINK",C764))),"Personal - House Bills",IF(AND(ISNUMBER(SEARCH("PAYMENT FROM",C764)),ISNUMBER(SEARCH("JOE SAUNDERS",C764))),"Zelle from Joe Saunders",IF(AND(ISNUMBER(SEARCH("PAYMENT TO",C764)),ISNUMBER(SEARCH("JOE SAUNDERS",C764))),"Zelle to Joe Saunders",IF(OR(ISNUMBER(SEARCH("NEW ORLEANS",C764)),ISNUMBER(SEARCH("KENNER",C764)),ISNUMBER(SEARCH("HENRY HOWARD",C764)),ISNUMBER(SEARCH("MISS CLAUDIA",C764))),"Personal Travel - New Orleans",IFERROR(INDEX('Category Rules'!$B$2:$B$194,MATCH(TRUE,ISNUMBER(SEARCH('Category Rules'!$A$2:$A$194,C764)),0)),"")))))))</f>
        <v>Personal Travel</v>
      </c>
    </row>
    <row r="765" spans="1:7" x14ac:dyDescent="0.25">
      <c r="A765" t="s">
        <v>37</v>
      </c>
      <c r="B765" s="1">
        <v>46105</v>
      </c>
      <c r="C765" t="s">
        <v>725</v>
      </c>
      <c r="D765">
        <v>2000</v>
      </c>
      <c r="E765" t="s">
        <v>39</v>
      </c>
      <c r="F765">
        <v>7665.46</v>
      </c>
      <c r="G765" t="str" cm="1">
        <f t="array" ref="G765">IF(AND(ISNUMBER(SEARCH("UBER",C765)),ISNUMBER(SEARCH("EATS",C765))),"Uber Eats",IF(LEFT(C765,6)="CHECK ","Checks Paid",IF(OR(E765="BILLPAY",ISNUMBER(SEARCH("FRANCHISE TAX",C765)),ISNUMBER(SEARCH("NEXTLINK",C765))),"Personal - House Bills",IF(AND(ISNUMBER(SEARCH("PAYMENT FROM",C765)),ISNUMBER(SEARCH("JOE SAUNDERS",C765))),"Zelle from Joe Saunders",IF(AND(ISNUMBER(SEARCH("PAYMENT TO",C765)),ISNUMBER(SEARCH("JOE SAUNDERS",C765))),"Zelle to Joe Saunders",IF(OR(ISNUMBER(SEARCH("NEW ORLEANS",C765)),ISNUMBER(SEARCH("KENNER",C765)),ISNUMBER(SEARCH("HENRY HOWARD",C765)),ISNUMBER(SEARCH("MISS CLAUDIA",C765))),"Personal Travel - New Orleans",IFERROR(INDEX('Category Rules'!$B$2:$B$194,MATCH(TRUE,ISNUMBER(SEARCH('Category Rules'!$A$2:$A$194,C765)),0)),"")))))))</f>
        <v>Transfer from DWG Capital Group</v>
      </c>
    </row>
    <row r="766" spans="1:7" x14ac:dyDescent="0.25">
      <c r="A766" t="s">
        <v>37</v>
      </c>
      <c r="B766" s="1">
        <v>46105</v>
      </c>
      <c r="C766" t="s">
        <v>726</v>
      </c>
      <c r="D766">
        <v>175</v>
      </c>
      <c r="E766" t="s">
        <v>117</v>
      </c>
      <c r="F766">
        <v>5665.46</v>
      </c>
      <c r="G766" t="str" cm="1">
        <f t="array" ref="G766">IF(AND(ISNUMBER(SEARCH("UBER",C766)),ISNUMBER(SEARCH("EATS",C766))),"Uber Eats",IF(LEFT(C766,6)="CHECK ","Checks Paid",IF(OR(E766="BILLPAY",ISNUMBER(SEARCH("FRANCHISE TAX",C766)),ISNUMBER(SEARCH("NEXTLINK",C766))),"Personal - House Bills",IF(AND(ISNUMBER(SEARCH("PAYMENT FROM",C766)),ISNUMBER(SEARCH("JOE SAUNDERS",C766))),"Zelle from Joe Saunders",IF(AND(ISNUMBER(SEARCH("PAYMENT TO",C766)),ISNUMBER(SEARCH("JOE SAUNDERS",C766))),"Zelle to Joe Saunders",IF(OR(ISNUMBER(SEARCH("NEW ORLEANS",C766)),ISNUMBER(SEARCH("KENNER",C766)),ISNUMBER(SEARCH("HENRY HOWARD",C766)),ISNUMBER(SEARCH("MISS CLAUDIA",C766))),"Personal Travel - New Orleans",IFERROR(INDEX('Category Rules'!$B$2:$B$194,MATCH(TRUE,ISNUMBER(SEARCH('Category Rules'!$A$2:$A$194,C766)),0)),"")))))))</f>
        <v>Deposit</v>
      </c>
    </row>
    <row r="767" spans="1:7" x14ac:dyDescent="0.25">
      <c r="A767" t="s">
        <v>6</v>
      </c>
      <c r="B767" s="1">
        <v>46104</v>
      </c>
      <c r="C767" t="s">
        <v>727</v>
      </c>
      <c r="D767">
        <v>-270.5</v>
      </c>
      <c r="E767" t="s">
        <v>14</v>
      </c>
      <c r="F767">
        <v>5490.46</v>
      </c>
      <c r="G767" t="str" cm="1">
        <f t="array" ref="G767">IF(AND(ISNUMBER(SEARCH("UBER",C767)),ISNUMBER(SEARCH("EATS",C767))),"Uber Eats",IF(LEFT(C767,6)="CHECK ","Checks Paid",IF(OR(E767="BILLPAY",ISNUMBER(SEARCH("FRANCHISE TAX",C767)),ISNUMBER(SEARCH("NEXTLINK",C767))),"Personal - House Bills",IF(AND(ISNUMBER(SEARCH("PAYMENT FROM",C767)),ISNUMBER(SEARCH("JOE SAUNDERS",C767))),"Zelle from Joe Saunders",IF(AND(ISNUMBER(SEARCH("PAYMENT TO",C767)),ISNUMBER(SEARCH("JOE SAUNDERS",C767))),"Zelle to Joe Saunders",IF(OR(ISNUMBER(SEARCH("NEW ORLEANS",C767)),ISNUMBER(SEARCH("KENNER",C767)),ISNUMBER(SEARCH("HENRY HOWARD",C767)),ISNUMBER(SEARCH("MISS CLAUDIA",C767))),"Personal Travel - New Orleans",IFERROR(INDEX('Category Rules'!$B$2:$B$194,MATCH(TRUE,ISNUMBER(SEARCH('Category Rules'!$A$2:$A$194,C767)),0)),"")))))))</f>
        <v>Personal - Health</v>
      </c>
    </row>
    <row r="768" spans="1:7" x14ac:dyDescent="0.25">
      <c r="A768" t="s">
        <v>6</v>
      </c>
      <c r="B768" s="1">
        <v>46104</v>
      </c>
      <c r="C768" t="s">
        <v>728</v>
      </c>
      <c r="D768">
        <v>-32.909999999999997</v>
      </c>
      <c r="E768" t="s">
        <v>14</v>
      </c>
      <c r="F768">
        <v>5760.96</v>
      </c>
      <c r="G768" t="str" cm="1">
        <f t="array" ref="G768">IF(AND(ISNUMBER(SEARCH("UBER",C768)),ISNUMBER(SEARCH("EATS",C768))),"Uber Eats",IF(LEFT(C768,6)="CHECK ","Checks Paid",IF(OR(E768="BILLPAY",ISNUMBER(SEARCH("FRANCHISE TAX",C768)),ISNUMBER(SEARCH("NEXTLINK",C768))),"Personal - House Bills",IF(AND(ISNUMBER(SEARCH("PAYMENT FROM",C768)),ISNUMBER(SEARCH("JOE SAUNDERS",C768))),"Zelle from Joe Saunders",IF(AND(ISNUMBER(SEARCH("PAYMENT TO",C768)),ISNUMBER(SEARCH("JOE SAUNDERS",C768))),"Zelle to Joe Saunders",IF(OR(ISNUMBER(SEARCH("NEW ORLEANS",C768)),ISNUMBER(SEARCH("KENNER",C768)),ISNUMBER(SEARCH("HENRY HOWARD",C768)),ISNUMBER(SEARCH("MISS CLAUDIA",C768))),"Personal Travel - New Orleans",IFERROR(INDEX('Category Rules'!$B$2:$B$194,MATCH(TRUE,ISNUMBER(SEARCH('Category Rules'!$A$2:$A$194,C768)),0)),"")))))))</f>
        <v>Amazon</v>
      </c>
    </row>
    <row r="769" spans="1:7" x14ac:dyDescent="0.25">
      <c r="A769" t="s">
        <v>6</v>
      </c>
      <c r="B769" s="1">
        <v>46104</v>
      </c>
      <c r="C769" t="s">
        <v>729</v>
      </c>
      <c r="D769">
        <v>-35.119999999999997</v>
      </c>
      <c r="E769" t="s">
        <v>14</v>
      </c>
      <c r="F769">
        <v>5793.87</v>
      </c>
      <c r="G769" t="str" cm="1">
        <f t="array" ref="G769">IF(AND(ISNUMBER(SEARCH("UBER",C769)),ISNUMBER(SEARCH("EATS",C769))),"Uber Eats",IF(LEFT(C769,6)="CHECK ","Checks Paid",IF(OR(E769="BILLPAY",ISNUMBER(SEARCH("FRANCHISE TAX",C769)),ISNUMBER(SEARCH("NEXTLINK",C769))),"Personal - House Bills",IF(AND(ISNUMBER(SEARCH("PAYMENT FROM",C769)),ISNUMBER(SEARCH("JOE SAUNDERS",C769))),"Zelle from Joe Saunders",IF(AND(ISNUMBER(SEARCH("PAYMENT TO",C769)),ISNUMBER(SEARCH("JOE SAUNDERS",C769))),"Zelle to Joe Saunders",IF(OR(ISNUMBER(SEARCH("NEW ORLEANS",C769)),ISNUMBER(SEARCH("KENNER",C769)),ISNUMBER(SEARCH("HENRY HOWARD",C769)),ISNUMBER(SEARCH("MISS CLAUDIA",C769))),"Personal Travel - New Orleans",IFERROR(INDEX('Category Rules'!$B$2:$B$194,MATCH(TRUE,ISNUMBER(SEARCH('Category Rules'!$A$2:$A$194,C769)),0)),"")))))))</f>
        <v>Amazon</v>
      </c>
    </row>
    <row r="770" spans="1:7" x14ac:dyDescent="0.25">
      <c r="A770" t="s">
        <v>6</v>
      </c>
      <c r="B770" s="1">
        <v>46104</v>
      </c>
      <c r="C770" t="s">
        <v>730</v>
      </c>
      <c r="D770">
        <v>-53.96</v>
      </c>
      <c r="E770" t="s">
        <v>14</v>
      </c>
      <c r="F770">
        <v>5828.99</v>
      </c>
      <c r="G770" t="str" cm="1">
        <f t="array" ref="G770">IF(AND(ISNUMBER(SEARCH("UBER",C770)),ISNUMBER(SEARCH("EATS",C770))),"Uber Eats",IF(LEFT(C770,6)="CHECK ","Checks Paid",IF(OR(E770="BILLPAY",ISNUMBER(SEARCH("FRANCHISE TAX",C770)),ISNUMBER(SEARCH("NEXTLINK",C770))),"Personal - House Bills",IF(AND(ISNUMBER(SEARCH("PAYMENT FROM",C770)),ISNUMBER(SEARCH("JOE SAUNDERS",C770))),"Zelle from Joe Saunders",IF(AND(ISNUMBER(SEARCH("PAYMENT TO",C770)),ISNUMBER(SEARCH("JOE SAUNDERS",C770))),"Zelle to Joe Saunders",IF(OR(ISNUMBER(SEARCH("NEW ORLEANS",C770)),ISNUMBER(SEARCH("KENNER",C770)),ISNUMBER(SEARCH("HENRY HOWARD",C770)),ISNUMBER(SEARCH("MISS CLAUDIA",C770))),"Personal Travel - New Orleans",IFERROR(INDEX('Category Rules'!$B$2:$B$194,MATCH(TRUE,ISNUMBER(SEARCH('Category Rules'!$A$2:$A$194,C770)),0)),"")))))))</f>
        <v>Amazon</v>
      </c>
    </row>
    <row r="771" spans="1:7" x14ac:dyDescent="0.25">
      <c r="A771" t="s">
        <v>6</v>
      </c>
      <c r="B771" s="1">
        <v>46104</v>
      </c>
      <c r="C771" t="s">
        <v>731</v>
      </c>
      <c r="D771">
        <v>-59.22</v>
      </c>
      <c r="E771" t="s">
        <v>14</v>
      </c>
      <c r="F771">
        <v>5882.95</v>
      </c>
      <c r="G771" t="str" cm="1">
        <f t="array" ref="G771">IF(AND(ISNUMBER(SEARCH("UBER",C771)),ISNUMBER(SEARCH("EATS",C771))),"Uber Eats",IF(LEFT(C771,6)="CHECK ","Checks Paid",IF(OR(E771="BILLPAY",ISNUMBER(SEARCH("FRANCHISE TAX",C771)),ISNUMBER(SEARCH("NEXTLINK",C771))),"Personal - House Bills",IF(AND(ISNUMBER(SEARCH("PAYMENT FROM",C771)),ISNUMBER(SEARCH("JOE SAUNDERS",C771))),"Zelle from Joe Saunders",IF(AND(ISNUMBER(SEARCH("PAYMENT TO",C771)),ISNUMBER(SEARCH("JOE SAUNDERS",C771))),"Zelle to Joe Saunders",IF(OR(ISNUMBER(SEARCH("NEW ORLEANS",C771)),ISNUMBER(SEARCH("KENNER",C771)),ISNUMBER(SEARCH("HENRY HOWARD",C771)),ISNUMBER(SEARCH("MISS CLAUDIA",C771))),"Personal Travel - New Orleans",IFERROR(INDEX('Category Rules'!$B$2:$B$194,MATCH(TRUE,ISNUMBER(SEARCH('Category Rules'!$A$2:$A$194,C771)),0)),"")))))))</f>
        <v>Amazon</v>
      </c>
    </row>
    <row r="772" spans="1:7" x14ac:dyDescent="0.25">
      <c r="A772" t="s">
        <v>6</v>
      </c>
      <c r="B772" s="1">
        <v>46104</v>
      </c>
      <c r="C772" t="s">
        <v>732</v>
      </c>
      <c r="D772">
        <v>-44.97</v>
      </c>
      <c r="E772" t="s">
        <v>14</v>
      </c>
      <c r="F772">
        <v>5942.17</v>
      </c>
      <c r="G772" t="str" cm="1">
        <f t="array" ref="G772">IF(AND(ISNUMBER(SEARCH("UBER",C772)),ISNUMBER(SEARCH("EATS",C772))),"Uber Eats",IF(LEFT(C772,6)="CHECK ","Checks Paid",IF(OR(E772="BILLPAY",ISNUMBER(SEARCH("FRANCHISE TAX",C772)),ISNUMBER(SEARCH("NEXTLINK",C772))),"Personal - House Bills",IF(AND(ISNUMBER(SEARCH("PAYMENT FROM",C772)),ISNUMBER(SEARCH("JOE SAUNDERS",C772))),"Zelle from Joe Saunders",IF(AND(ISNUMBER(SEARCH("PAYMENT TO",C772)),ISNUMBER(SEARCH("JOE SAUNDERS",C772))),"Zelle to Joe Saunders",IF(OR(ISNUMBER(SEARCH("NEW ORLEANS",C772)),ISNUMBER(SEARCH("KENNER",C772)),ISNUMBER(SEARCH("HENRY HOWARD",C772)),ISNUMBER(SEARCH("MISS CLAUDIA",C772))),"Personal Travel - New Orleans",IFERROR(INDEX('Category Rules'!$B$2:$B$194,MATCH(TRUE,ISNUMBER(SEARCH('Category Rules'!$A$2:$A$194,C772)),0)),"")))))))</f>
        <v>Amazon</v>
      </c>
    </row>
    <row r="773" spans="1:7" x14ac:dyDescent="0.25">
      <c r="A773" t="s">
        <v>6</v>
      </c>
      <c r="B773" s="1">
        <v>46104</v>
      </c>
      <c r="C773" t="s">
        <v>733</v>
      </c>
      <c r="D773">
        <v>-236.5</v>
      </c>
      <c r="E773" t="s">
        <v>14</v>
      </c>
      <c r="F773">
        <v>5987.14</v>
      </c>
      <c r="G773" t="str" cm="1">
        <f t="array" ref="G773">IF(AND(ISNUMBER(SEARCH("UBER",C773)),ISNUMBER(SEARCH("EATS",C773))),"Uber Eats",IF(LEFT(C773,6)="CHECK ","Checks Paid",IF(OR(E773="BILLPAY",ISNUMBER(SEARCH("FRANCHISE TAX",C773)),ISNUMBER(SEARCH("NEXTLINK",C773))),"Personal - House Bills",IF(AND(ISNUMBER(SEARCH("PAYMENT FROM",C773)),ISNUMBER(SEARCH("JOE SAUNDERS",C773))),"Zelle from Joe Saunders",IF(AND(ISNUMBER(SEARCH("PAYMENT TO",C773)),ISNUMBER(SEARCH("JOE SAUNDERS",C773))),"Zelle to Joe Saunders",IF(OR(ISNUMBER(SEARCH("NEW ORLEANS",C773)),ISNUMBER(SEARCH("KENNER",C773)),ISNUMBER(SEARCH("HENRY HOWARD",C773)),ISNUMBER(SEARCH("MISS CLAUDIA",C773))),"Personal Travel - New Orleans",IFERROR(INDEX('Category Rules'!$B$2:$B$194,MATCH(TRUE,ISNUMBER(SEARCH('Category Rules'!$A$2:$A$194,C773)),0)),"")))))))</f>
        <v>Personal - Shopping</v>
      </c>
    </row>
    <row r="774" spans="1:7" x14ac:dyDescent="0.25">
      <c r="A774" t="s">
        <v>6</v>
      </c>
      <c r="B774" s="1">
        <v>46104</v>
      </c>
      <c r="C774" t="s">
        <v>734</v>
      </c>
      <c r="D774">
        <v>-2000</v>
      </c>
      <c r="E774" t="s">
        <v>39</v>
      </c>
      <c r="F774">
        <v>6223.64</v>
      </c>
      <c r="G774" t="str" cm="1">
        <f t="array" ref="G774">IF(AND(ISNUMBER(SEARCH("UBER",C774)),ISNUMBER(SEARCH("EATS",C774))),"Uber Eats",IF(LEFT(C774,6)="CHECK ","Checks Paid",IF(OR(E774="BILLPAY",ISNUMBER(SEARCH("FRANCHISE TAX",C774)),ISNUMBER(SEARCH("NEXTLINK",C774))),"Personal - House Bills",IF(AND(ISNUMBER(SEARCH("PAYMENT FROM",C774)),ISNUMBER(SEARCH("JOE SAUNDERS",C774))),"Zelle from Joe Saunders",IF(AND(ISNUMBER(SEARCH("PAYMENT TO",C774)),ISNUMBER(SEARCH("JOE SAUNDERS",C774))),"Zelle to Joe Saunders",IF(OR(ISNUMBER(SEARCH("NEW ORLEANS",C774)),ISNUMBER(SEARCH("KENNER",C774)),ISNUMBER(SEARCH("HENRY HOWARD",C774)),ISNUMBER(SEARCH("MISS CLAUDIA",C774))),"Personal Travel - New Orleans",IFERROR(INDEX('Category Rules'!$B$2:$B$194,MATCH(TRUE,ISNUMBER(SEARCH('Category Rules'!$A$2:$A$194,C774)),0)),"")))))))</f>
        <v>Transfer to Ava</v>
      </c>
    </row>
    <row r="775" spans="1:7" x14ac:dyDescent="0.25">
      <c r="A775" t="s">
        <v>6</v>
      </c>
      <c r="B775" s="1">
        <v>46104</v>
      </c>
      <c r="C775" t="s">
        <v>735</v>
      </c>
      <c r="D775">
        <v>-120</v>
      </c>
      <c r="E775" t="s">
        <v>95</v>
      </c>
      <c r="F775">
        <v>8223.64</v>
      </c>
      <c r="G775" t="str" cm="1">
        <f t="array" ref="G775">IF(AND(ISNUMBER(SEARCH("UBER",C775)),ISNUMBER(SEARCH("EATS",C775))),"Uber Eats",IF(LEFT(C775,6)="CHECK ","Checks Paid",IF(OR(E775="BILLPAY",ISNUMBER(SEARCH("FRANCHISE TAX",C775)),ISNUMBER(SEARCH("NEXTLINK",C775))),"Personal - House Bills",IF(AND(ISNUMBER(SEARCH("PAYMENT FROM",C775)),ISNUMBER(SEARCH("JOE SAUNDERS",C775))),"Zelle from Joe Saunders",IF(AND(ISNUMBER(SEARCH("PAYMENT TO",C775)),ISNUMBER(SEARCH("JOE SAUNDERS",C775))),"Zelle to Joe Saunders",IF(OR(ISNUMBER(SEARCH("NEW ORLEANS",C775)),ISNUMBER(SEARCH("KENNER",C775)),ISNUMBER(SEARCH("HENRY HOWARD",C775)),ISNUMBER(SEARCH("MISS CLAUDIA",C775))),"Personal Travel - New Orleans",IFERROR(INDEX('Category Rules'!$B$2:$B$194,MATCH(TRUE,ISNUMBER(SEARCH('Category Rules'!$A$2:$A$194,C775)),0)),"")))))))</f>
        <v>Personal - House Bills</v>
      </c>
    </row>
    <row r="776" spans="1:7" x14ac:dyDescent="0.25">
      <c r="A776" t="s">
        <v>6</v>
      </c>
      <c r="B776" s="1">
        <v>46104</v>
      </c>
      <c r="C776" t="s">
        <v>736</v>
      </c>
      <c r="D776">
        <v>-400</v>
      </c>
      <c r="E776" t="s">
        <v>95</v>
      </c>
      <c r="F776">
        <v>8343.64</v>
      </c>
      <c r="G776" t="str" cm="1">
        <f t="array" ref="G776">IF(AND(ISNUMBER(SEARCH("UBER",C776)),ISNUMBER(SEARCH("EATS",C776))),"Uber Eats",IF(LEFT(C776,6)="CHECK ","Checks Paid",IF(OR(E776="BILLPAY",ISNUMBER(SEARCH("FRANCHISE TAX",C776)),ISNUMBER(SEARCH("NEXTLINK",C776))),"Personal - House Bills",IF(AND(ISNUMBER(SEARCH("PAYMENT FROM",C776)),ISNUMBER(SEARCH("JOE SAUNDERS",C776))),"Zelle from Joe Saunders",IF(AND(ISNUMBER(SEARCH("PAYMENT TO",C776)),ISNUMBER(SEARCH("JOE SAUNDERS",C776))),"Zelle to Joe Saunders",IF(OR(ISNUMBER(SEARCH("NEW ORLEANS",C776)),ISNUMBER(SEARCH("KENNER",C776)),ISNUMBER(SEARCH("HENRY HOWARD",C776)),ISNUMBER(SEARCH("MISS CLAUDIA",C776))),"Personal Travel - New Orleans",IFERROR(INDEX('Category Rules'!$B$2:$B$194,MATCH(TRUE,ISNUMBER(SEARCH('Category Rules'!$A$2:$A$194,C776)),0)),"")))))))</f>
        <v>Personal - House Bills</v>
      </c>
    </row>
    <row r="777" spans="1:7" x14ac:dyDescent="0.25">
      <c r="A777" t="s">
        <v>6</v>
      </c>
      <c r="B777" s="1">
        <v>46104</v>
      </c>
      <c r="C777" t="s">
        <v>737</v>
      </c>
      <c r="D777">
        <v>-320</v>
      </c>
      <c r="E777" t="s">
        <v>95</v>
      </c>
      <c r="F777">
        <v>8743.64</v>
      </c>
      <c r="G777" t="str" cm="1">
        <f t="array" ref="G777">IF(AND(ISNUMBER(SEARCH("UBER",C777)),ISNUMBER(SEARCH("EATS",C777))),"Uber Eats",IF(LEFT(C777,6)="CHECK ","Checks Paid",IF(OR(E777="BILLPAY",ISNUMBER(SEARCH("FRANCHISE TAX",C777)),ISNUMBER(SEARCH("NEXTLINK",C777))),"Personal - House Bills",IF(AND(ISNUMBER(SEARCH("PAYMENT FROM",C777)),ISNUMBER(SEARCH("JOE SAUNDERS",C777))),"Zelle from Joe Saunders",IF(AND(ISNUMBER(SEARCH("PAYMENT TO",C777)),ISNUMBER(SEARCH("JOE SAUNDERS",C777))),"Zelle to Joe Saunders",IF(OR(ISNUMBER(SEARCH("NEW ORLEANS",C777)),ISNUMBER(SEARCH("KENNER",C777)),ISNUMBER(SEARCH("HENRY HOWARD",C777)),ISNUMBER(SEARCH("MISS CLAUDIA",C777))),"Personal Travel - New Orleans",IFERROR(INDEX('Category Rules'!$B$2:$B$194,MATCH(TRUE,ISNUMBER(SEARCH('Category Rules'!$A$2:$A$194,C777)),0)),"")))))))</f>
        <v>Personal - House Bills</v>
      </c>
    </row>
    <row r="778" spans="1:7" x14ac:dyDescent="0.25">
      <c r="A778" t="s">
        <v>6</v>
      </c>
      <c r="B778" s="1">
        <v>46104</v>
      </c>
      <c r="C778" t="s">
        <v>738</v>
      </c>
      <c r="D778">
        <v>-700</v>
      </c>
      <c r="E778" t="s">
        <v>95</v>
      </c>
      <c r="F778">
        <v>9063.64</v>
      </c>
      <c r="G778" t="str" cm="1">
        <f t="array" ref="G778">IF(AND(ISNUMBER(SEARCH("UBER",C778)),ISNUMBER(SEARCH("EATS",C778))),"Uber Eats",IF(LEFT(C778,6)="CHECK ","Checks Paid",IF(OR(E778="BILLPAY",ISNUMBER(SEARCH("FRANCHISE TAX",C778)),ISNUMBER(SEARCH("NEXTLINK",C778))),"Personal - House Bills",IF(AND(ISNUMBER(SEARCH("PAYMENT FROM",C778)),ISNUMBER(SEARCH("JOE SAUNDERS",C778))),"Zelle from Joe Saunders",IF(AND(ISNUMBER(SEARCH("PAYMENT TO",C778)),ISNUMBER(SEARCH("JOE SAUNDERS",C778))),"Zelle to Joe Saunders",IF(OR(ISNUMBER(SEARCH("NEW ORLEANS",C778)),ISNUMBER(SEARCH("KENNER",C778)),ISNUMBER(SEARCH("HENRY HOWARD",C778)),ISNUMBER(SEARCH("MISS CLAUDIA",C778))),"Personal Travel - New Orleans",IFERROR(INDEX('Category Rules'!$B$2:$B$194,MATCH(TRUE,ISNUMBER(SEARCH('Category Rules'!$A$2:$A$194,C778)),0)),"")))))))</f>
        <v>Personal - House Bills</v>
      </c>
    </row>
    <row r="779" spans="1:7" x14ac:dyDescent="0.25">
      <c r="A779" t="s">
        <v>6</v>
      </c>
      <c r="B779" s="1">
        <v>46104</v>
      </c>
      <c r="C779" t="s">
        <v>739</v>
      </c>
      <c r="D779">
        <v>-25.33</v>
      </c>
      <c r="E779" t="s">
        <v>14</v>
      </c>
      <c r="F779">
        <v>9763.64</v>
      </c>
      <c r="G779" t="str" cm="1">
        <f t="array" ref="G779">IF(AND(ISNUMBER(SEARCH("UBER",C779)),ISNUMBER(SEARCH("EATS",C779))),"Uber Eats",IF(LEFT(C779,6)="CHECK ","Checks Paid",IF(OR(E779="BILLPAY",ISNUMBER(SEARCH("FRANCHISE TAX",C779)),ISNUMBER(SEARCH("NEXTLINK",C779))),"Personal - House Bills",IF(AND(ISNUMBER(SEARCH("PAYMENT FROM",C779)),ISNUMBER(SEARCH("JOE SAUNDERS",C779))),"Zelle from Joe Saunders",IF(AND(ISNUMBER(SEARCH("PAYMENT TO",C779)),ISNUMBER(SEARCH("JOE SAUNDERS",C779))),"Zelle to Joe Saunders",IF(OR(ISNUMBER(SEARCH("NEW ORLEANS",C779)),ISNUMBER(SEARCH("KENNER",C779)),ISNUMBER(SEARCH("HENRY HOWARD",C779)),ISNUMBER(SEARCH("MISS CLAUDIA",C779))),"Personal Travel - New Orleans",IFERROR(INDEX('Category Rules'!$B$2:$B$194,MATCH(TRUE,ISNUMBER(SEARCH('Category Rules'!$A$2:$A$194,C779)),0)),"")))))))</f>
        <v>Personal - Car</v>
      </c>
    </row>
    <row r="780" spans="1:7" x14ac:dyDescent="0.25">
      <c r="A780" t="s">
        <v>6</v>
      </c>
      <c r="B780" s="1">
        <v>46104</v>
      </c>
      <c r="C780" t="s">
        <v>740</v>
      </c>
      <c r="D780">
        <v>-187.96</v>
      </c>
      <c r="E780" t="s">
        <v>14</v>
      </c>
      <c r="F780">
        <v>9788.9699999999993</v>
      </c>
      <c r="G780" t="str" cm="1">
        <f t="array" ref="G780">IF(AND(ISNUMBER(SEARCH("UBER",C780)),ISNUMBER(SEARCH("EATS",C780))),"Uber Eats",IF(LEFT(C780,6)="CHECK ","Checks Paid",IF(OR(E780="BILLPAY",ISNUMBER(SEARCH("FRANCHISE TAX",C780)),ISNUMBER(SEARCH("NEXTLINK",C780))),"Personal - House Bills",IF(AND(ISNUMBER(SEARCH("PAYMENT FROM",C780)),ISNUMBER(SEARCH("JOE SAUNDERS",C780))),"Zelle from Joe Saunders",IF(AND(ISNUMBER(SEARCH("PAYMENT TO",C780)),ISNUMBER(SEARCH("JOE SAUNDERS",C780))),"Zelle to Joe Saunders",IF(OR(ISNUMBER(SEARCH("NEW ORLEANS",C780)),ISNUMBER(SEARCH("KENNER",C780)),ISNUMBER(SEARCH("HENRY HOWARD",C780)),ISNUMBER(SEARCH("MISS CLAUDIA",C780))),"Personal Travel - New Orleans",IFERROR(INDEX('Category Rules'!$B$2:$B$194,MATCH(TRUE,ISNUMBER(SEARCH('Category Rules'!$A$2:$A$194,C780)),0)),"")))))))</f>
        <v>Amazon</v>
      </c>
    </row>
    <row r="781" spans="1:7" x14ac:dyDescent="0.25">
      <c r="A781" t="s">
        <v>6</v>
      </c>
      <c r="B781" s="1">
        <v>46104</v>
      </c>
      <c r="C781" t="s">
        <v>741</v>
      </c>
      <c r="D781">
        <v>-20</v>
      </c>
      <c r="E781" t="s">
        <v>14</v>
      </c>
      <c r="F781">
        <v>9976.93</v>
      </c>
      <c r="G781" t="str" cm="1">
        <f t="array" ref="G781">IF(AND(ISNUMBER(SEARCH("UBER",C781)),ISNUMBER(SEARCH("EATS",C781))),"Uber Eats",IF(LEFT(C781,6)="CHECK ","Checks Paid",IF(OR(E781="BILLPAY",ISNUMBER(SEARCH("FRANCHISE TAX",C781)),ISNUMBER(SEARCH("NEXTLINK",C781))),"Personal - House Bills",IF(AND(ISNUMBER(SEARCH("PAYMENT FROM",C781)),ISNUMBER(SEARCH("JOE SAUNDERS",C781))),"Zelle from Joe Saunders",IF(AND(ISNUMBER(SEARCH("PAYMENT TO",C781)),ISNUMBER(SEARCH("JOE SAUNDERS",C781))),"Zelle to Joe Saunders",IF(OR(ISNUMBER(SEARCH("NEW ORLEANS",C781)),ISNUMBER(SEARCH("KENNER",C781)),ISNUMBER(SEARCH("HENRY HOWARD",C781)),ISNUMBER(SEARCH("MISS CLAUDIA",C781))),"Personal Travel - New Orleans",IFERROR(INDEX('Category Rules'!$B$2:$B$194,MATCH(TRUE,ISNUMBER(SEARCH('Category Rules'!$A$2:$A$194,C781)),0)),"")))))))</f>
        <v>Personal - Shopping</v>
      </c>
    </row>
    <row r="782" spans="1:7" x14ac:dyDescent="0.25">
      <c r="A782" t="s">
        <v>6</v>
      </c>
      <c r="B782" s="1">
        <v>46104</v>
      </c>
      <c r="C782" t="s">
        <v>742</v>
      </c>
      <c r="D782">
        <v>-33.61</v>
      </c>
      <c r="E782" t="s">
        <v>14</v>
      </c>
      <c r="F782">
        <v>9996.93</v>
      </c>
      <c r="G782" t="str" cm="1">
        <f t="array" ref="G782">IF(AND(ISNUMBER(SEARCH("UBER",C782)),ISNUMBER(SEARCH("EATS",C782))),"Uber Eats",IF(LEFT(C782,6)="CHECK ","Checks Paid",IF(OR(E782="BILLPAY",ISNUMBER(SEARCH("FRANCHISE TAX",C782)),ISNUMBER(SEARCH("NEXTLINK",C782))),"Personal - House Bills",IF(AND(ISNUMBER(SEARCH("PAYMENT FROM",C782)),ISNUMBER(SEARCH("JOE SAUNDERS",C782))),"Zelle from Joe Saunders",IF(AND(ISNUMBER(SEARCH("PAYMENT TO",C782)),ISNUMBER(SEARCH("JOE SAUNDERS",C782))),"Zelle to Joe Saunders",IF(OR(ISNUMBER(SEARCH("NEW ORLEANS",C782)),ISNUMBER(SEARCH("KENNER",C782)),ISNUMBER(SEARCH("HENRY HOWARD",C782)),ISNUMBER(SEARCH("MISS CLAUDIA",C782))),"Personal Travel - New Orleans",IFERROR(INDEX('Category Rules'!$B$2:$B$194,MATCH(TRUE,ISNUMBER(SEARCH('Category Rules'!$A$2:$A$194,C782)),0)),"")))))))</f>
        <v>Uber Eats</v>
      </c>
    </row>
    <row r="783" spans="1:7" x14ac:dyDescent="0.25">
      <c r="A783" t="s">
        <v>6</v>
      </c>
      <c r="B783" s="1">
        <v>46104</v>
      </c>
      <c r="C783" t="s">
        <v>743</v>
      </c>
      <c r="D783">
        <v>-30</v>
      </c>
      <c r="E783" t="s">
        <v>14</v>
      </c>
      <c r="F783">
        <v>10030.540000000001</v>
      </c>
      <c r="G783" t="str" cm="1">
        <f t="array" ref="G783">IF(AND(ISNUMBER(SEARCH("UBER",C783)),ISNUMBER(SEARCH("EATS",C783))),"Uber Eats",IF(LEFT(C783,6)="CHECK ","Checks Paid",IF(OR(E783="BILLPAY",ISNUMBER(SEARCH("FRANCHISE TAX",C783)),ISNUMBER(SEARCH("NEXTLINK",C783))),"Personal - House Bills",IF(AND(ISNUMBER(SEARCH("PAYMENT FROM",C783)),ISNUMBER(SEARCH("JOE SAUNDERS",C783))),"Zelle from Joe Saunders",IF(AND(ISNUMBER(SEARCH("PAYMENT TO",C783)),ISNUMBER(SEARCH("JOE SAUNDERS",C783))),"Zelle to Joe Saunders",IF(OR(ISNUMBER(SEARCH("NEW ORLEANS",C783)),ISNUMBER(SEARCH("KENNER",C783)),ISNUMBER(SEARCH("HENRY HOWARD",C783)),ISNUMBER(SEARCH("MISS CLAUDIA",C783))),"Personal Travel - New Orleans",IFERROR(INDEX('Category Rules'!$B$2:$B$194,MATCH(TRUE,ISNUMBER(SEARCH('Category Rules'!$A$2:$A$194,C783)),0)),"")))))))</f>
        <v>Personal - Shopping</v>
      </c>
    </row>
    <row r="784" spans="1:7" x14ac:dyDescent="0.25">
      <c r="A784" t="s">
        <v>6</v>
      </c>
      <c r="B784" s="1">
        <v>46104</v>
      </c>
      <c r="C784" t="s">
        <v>744</v>
      </c>
      <c r="D784">
        <v>-65.37</v>
      </c>
      <c r="E784" t="s">
        <v>14</v>
      </c>
      <c r="F784">
        <v>10060.540000000001</v>
      </c>
      <c r="G784" t="str" cm="1">
        <f t="array" ref="G784">IF(AND(ISNUMBER(SEARCH("UBER",C784)),ISNUMBER(SEARCH("EATS",C784))),"Uber Eats",IF(LEFT(C784,6)="CHECK ","Checks Paid",IF(OR(E784="BILLPAY",ISNUMBER(SEARCH("FRANCHISE TAX",C784)),ISNUMBER(SEARCH("NEXTLINK",C784))),"Personal - House Bills",IF(AND(ISNUMBER(SEARCH("PAYMENT FROM",C784)),ISNUMBER(SEARCH("JOE SAUNDERS",C784))),"Zelle from Joe Saunders",IF(AND(ISNUMBER(SEARCH("PAYMENT TO",C784)),ISNUMBER(SEARCH("JOE SAUNDERS",C784))),"Zelle to Joe Saunders",IF(OR(ISNUMBER(SEARCH("NEW ORLEANS",C784)),ISNUMBER(SEARCH("KENNER",C784)),ISNUMBER(SEARCH("HENRY HOWARD",C784)),ISNUMBER(SEARCH("MISS CLAUDIA",C784))),"Personal Travel - New Orleans",IFERROR(INDEX('Category Rules'!$B$2:$B$194,MATCH(TRUE,ISNUMBER(SEARCH('Category Rules'!$A$2:$A$194,C784)),0)),"")))))))</f>
        <v>Personal - Shopping</v>
      </c>
    </row>
    <row r="785" spans="1:7" x14ac:dyDescent="0.25">
      <c r="A785" t="s">
        <v>6</v>
      </c>
      <c r="B785" s="1">
        <v>46104</v>
      </c>
      <c r="C785" t="s">
        <v>745</v>
      </c>
      <c r="D785">
        <v>-24.15</v>
      </c>
      <c r="E785" t="s">
        <v>14</v>
      </c>
      <c r="F785">
        <v>10125.91</v>
      </c>
      <c r="G785" t="str" cm="1">
        <f t="array" ref="G785">IF(AND(ISNUMBER(SEARCH("UBER",C785)),ISNUMBER(SEARCH("EATS",C785))),"Uber Eats",IF(LEFT(C785,6)="CHECK ","Checks Paid",IF(OR(E785="BILLPAY",ISNUMBER(SEARCH("FRANCHISE TAX",C785)),ISNUMBER(SEARCH("NEXTLINK",C785))),"Personal - House Bills",IF(AND(ISNUMBER(SEARCH("PAYMENT FROM",C785)),ISNUMBER(SEARCH("JOE SAUNDERS",C785))),"Zelle from Joe Saunders",IF(AND(ISNUMBER(SEARCH("PAYMENT TO",C785)),ISNUMBER(SEARCH("JOE SAUNDERS",C785))),"Zelle to Joe Saunders",IF(OR(ISNUMBER(SEARCH("NEW ORLEANS",C785)),ISNUMBER(SEARCH("KENNER",C785)),ISNUMBER(SEARCH("HENRY HOWARD",C785)),ISNUMBER(SEARCH("MISS CLAUDIA",C785))),"Personal Travel - New Orleans",IFERROR(INDEX('Category Rules'!$B$2:$B$194,MATCH(TRUE,ISNUMBER(SEARCH('Category Rules'!$A$2:$A$194,C785)),0)),"")))))))</f>
        <v>Amazon</v>
      </c>
    </row>
    <row r="786" spans="1:7" x14ac:dyDescent="0.25">
      <c r="A786" t="s">
        <v>6</v>
      </c>
      <c r="B786" s="1">
        <v>46104</v>
      </c>
      <c r="C786" t="s">
        <v>746</v>
      </c>
      <c r="D786">
        <v>-24.15</v>
      </c>
      <c r="E786" t="s">
        <v>14</v>
      </c>
      <c r="F786">
        <v>10150.06</v>
      </c>
      <c r="G786" t="str" cm="1">
        <f t="array" ref="G786">IF(AND(ISNUMBER(SEARCH("UBER",C786)),ISNUMBER(SEARCH("EATS",C786))),"Uber Eats",IF(LEFT(C786,6)="CHECK ","Checks Paid",IF(OR(E786="BILLPAY",ISNUMBER(SEARCH("FRANCHISE TAX",C786)),ISNUMBER(SEARCH("NEXTLINK",C786))),"Personal - House Bills",IF(AND(ISNUMBER(SEARCH("PAYMENT FROM",C786)),ISNUMBER(SEARCH("JOE SAUNDERS",C786))),"Zelle from Joe Saunders",IF(AND(ISNUMBER(SEARCH("PAYMENT TO",C786)),ISNUMBER(SEARCH("JOE SAUNDERS",C786))),"Zelle to Joe Saunders",IF(OR(ISNUMBER(SEARCH("NEW ORLEANS",C786)),ISNUMBER(SEARCH("KENNER",C786)),ISNUMBER(SEARCH("HENRY HOWARD",C786)),ISNUMBER(SEARCH("MISS CLAUDIA",C786))),"Personal Travel - New Orleans",IFERROR(INDEX('Category Rules'!$B$2:$B$194,MATCH(TRUE,ISNUMBER(SEARCH('Category Rules'!$A$2:$A$194,C786)),0)),"")))))))</f>
        <v>Amazon</v>
      </c>
    </row>
    <row r="787" spans="1:7" x14ac:dyDescent="0.25">
      <c r="A787" t="s">
        <v>6</v>
      </c>
      <c r="B787" s="1">
        <v>46104</v>
      </c>
      <c r="C787" t="s">
        <v>747</v>
      </c>
      <c r="D787">
        <v>-27.14</v>
      </c>
      <c r="E787" t="s">
        <v>14</v>
      </c>
      <c r="F787">
        <v>10174.209999999999</v>
      </c>
      <c r="G787" t="str" cm="1">
        <f t="array" ref="G787">IF(AND(ISNUMBER(SEARCH("UBER",C787)),ISNUMBER(SEARCH("EATS",C787))),"Uber Eats",IF(LEFT(C787,6)="CHECK ","Checks Paid",IF(OR(E787="BILLPAY",ISNUMBER(SEARCH("FRANCHISE TAX",C787)),ISNUMBER(SEARCH("NEXTLINK",C787))),"Personal - House Bills",IF(AND(ISNUMBER(SEARCH("PAYMENT FROM",C787)),ISNUMBER(SEARCH("JOE SAUNDERS",C787))),"Zelle from Joe Saunders",IF(AND(ISNUMBER(SEARCH("PAYMENT TO",C787)),ISNUMBER(SEARCH("JOE SAUNDERS",C787))),"Zelle to Joe Saunders",IF(OR(ISNUMBER(SEARCH("NEW ORLEANS",C787)),ISNUMBER(SEARCH("KENNER",C787)),ISNUMBER(SEARCH("HENRY HOWARD",C787)),ISNUMBER(SEARCH("MISS CLAUDIA",C787))),"Personal Travel - New Orleans",IFERROR(INDEX('Category Rules'!$B$2:$B$194,MATCH(TRUE,ISNUMBER(SEARCH('Category Rules'!$A$2:$A$194,C787)),0)),"")))))))</f>
        <v>Amazon</v>
      </c>
    </row>
    <row r="788" spans="1:7" x14ac:dyDescent="0.25">
      <c r="A788" t="s">
        <v>6</v>
      </c>
      <c r="B788" s="1">
        <v>46104</v>
      </c>
      <c r="C788" t="s">
        <v>748</v>
      </c>
      <c r="D788">
        <v>-984.97</v>
      </c>
      <c r="E788" t="s">
        <v>14</v>
      </c>
      <c r="F788">
        <v>10201.35</v>
      </c>
      <c r="G788" t="str" cm="1">
        <f t="array" ref="G788">IF(AND(ISNUMBER(SEARCH("UBER",C788)),ISNUMBER(SEARCH("EATS",C788))),"Uber Eats",IF(LEFT(C788,6)="CHECK ","Checks Paid",IF(OR(E788="BILLPAY",ISNUMBER(SEARCH("FRANCHISE TAX",C788)),ISNUMBER(SEARCH("NEXTLINK",C788))),"Personal - House Bills",IF(AND(ISNUMBER(SEARCH("PAYMENT FROM",C788)),ISNUMBER(SEARCH("JOE SAUNDERS",C788))),"Zelle from Joe Saunders",IF(AND(ISNUMBER(SEARCH("PAYMENT TO",C788)),ISNUMBER(SEARCH("JOE SAUNDERS",C788))),"Zelle to Joe Saunders",IF(OR(ISNUMBER(SEARCH("NEW ORLEANS",C788)),ISNUMBER(SEARCH("KENNER",C788)),ISNUMBER(SEARCH("HENRY HOWARD",C788)),ISNUMBER(SEARCH("MISS CLAUDIA",C788))),"Personal Travel - New Orleans",IFERROR(INDEX('Category Rules'!$B$2:$B$194,MATCH(TRUE,ISNUMBER(SEARCH('Category Rules'!$A$2:$A$194,C788)),0)),"")))))))</f>
        <v>Personal Travel</v>
      </c>
    </row>
    <row r="789" spans="1:7" x14ac:dyDescent="0.25">
      <c r="A789" t="s">
        <v>6</v>
      </c>
      <c r="B789" s="1">
        <v>46104</v>
      </c>
      <c r="C789" t="s">
        <v>749</v>
      </c>
      <c r="D789">
        <v>-149.96</v>
      </c>
      <c r="E789" t="s">
        <v>14</v>
      </c>
      <c r="F789">
        <v>11186.32</v>
      </c>
      <c r="G789" t="str" cm="1">
        <f t="array" ref="G789">IF(AND(ISNUMBER(SEARCH("UBER",C789)),ISNUMBER(SEARCH("EATS",C789))),"Uber Eats",IF(LEFT(C789,6)="CHECK ","Checks Paid",IF(OR(E789="BILLPAY",ISNUMBER(SEARCH("FRANCHISE TAX",C789)),ISNUMBER(SEARCH("NEXTLINK",C789))),"Personal - House Bills",IF(AND(ISNUMBER(SEARCH("PAYMENT FROM",C789)),ISNUMBER(SEARCH("JOE SAUNDERS",C789))),"Zelle from Joe Saunders",IF(AND(ISNUMBER(SEARCH("PAYMENT TO",C789)),ISNUMBER(SEARCH("JOE SAUNDERS",C789))),"Zelle to Joe Saunders",IF(OR(ISNUMBER(SEARCH("NEW ORLEANS",C789)),ISNUMBER(SEARCH("KENNER",C789)),ISNUMBER(SEARCH("HENRY HOWARD",C789)),ISNUMBER(SEARCH("MISS CLAUDIA",C789))),"Personal Travel - New Orleans",IFERROR(INDEX('Category Rules'!$B$2:$B$194,MATCH(TRUE,ISNUMBER(SEARCH('Category Rules'!$A$2:$A$194,C789)),0)),"")))))))</f>
        <v>Personal - House Bills</v>
      </c>
    </row>
    <row r="790" spans="1:7" x14ac:dyDescent="0.25">
      <c r="A790" t="s">
        <v>37</v>
      </c>
      <c r="B790" s="1">
        <v>46104</v>
      </c>
      <c r="C790" t="s">
        <v>750</v>
      </c>
      <c r="D790">
        <v>450</v>
      </c>
      <c r="E790" t="s">
        <v>60</v>
      </c>
      <c r="F790">
        <v>11336.28</v>
      </c>
      <c r="G790" t="str" cm="1">
        <f t="array" ref="G790">IF(AND(ISNUMBER(SEARCH("UBER",C790)),ISNUMBER(SEARCH("EATS",C790))),"Uber Eats",IF(LEFT(C790,6)="CHECK ","Checks Paid",IF(OR(E790="BILLPAY",ISNUMBER(SEARCH("FRANCHISE TAX",C790)),ISNUMBER(SEARCH("NEXTLINK",C790))),"Personal - House Bills",IF(AND(ISNUMBER(SEARCH("PAYMENT FROM",C790)),ISNUMBER(SEARCH("JOE SAUNDERS",C790))),"Zelle from Joe Saunders",IF(AND(ISNUMBER(SEARCH("PAYMENT TO",C790)),ISNUMBER(SEARCH("JOE SAUNDERS",C790))),"Zelle to Joe Saunders",IF(OR(ISNUMBER(SEARCH("NEW ORLEANS",C790)),ISNUMBER(SEARCH("KENNER",C790)),ISNUMBER(SEARCH("HENRY HOWARD",C790)),ISNUMBER(SEARCH("MISS CLAUDIA",C790))),"Personal Travel - New Orleans",IFERROR(INDEX('Category Rules'!$B$2:$B$194,MATCH(TRUE,ISNUMBER(SEARCH('Category Rules'!$A$2:$A$194,C790)),0)),"")))))))</f>
        <v>Zelle from Rose Li</v>
      </c>
    </row>
    <row r="791" spans="1:7" x14ac:dyDescent="0.25">
      <c r="A791" t="s">
        <v>37</v>
      </c>
      <c r="B791" s="1">
        <v>46104</v>
      </c>
      <c r="C791" t="s">
        <v>751</v>
      </c>
      <c r="D791">
        <v>3000</v>
      </c>
      <c r="E791" t="s">
        <v>39</v>
      </c>
      <c r="F791">
        <v>10886.28</v>
      </c>
      <c r="G791" t="str" cm="1">
        <f t="array" ref="G791">IF(AND(ISNUMBER(SEARCH("UBER",C791)),ISNUMBER(SEARCH("EATS",C791))),"Uber Eats",IF(LEFT(C791,6)="CHECK ","Checks Paid",IF(OR(E791="BILLPAY",ISNUMBER(SEARCH("FRANCHISE TAX",C791)),ISNUMBER(SEARCH("NEXTLINK",C791))),"Personal - House Bills",IF(AND(ISNUMBER(SEARCH("PAYMENT FROM",C791)),ISNUMBER(SEARCH("JOE SAUNDERS",C791))),"Zelle from Joe Saunders",IF(AND(ISNUMBER(SEARCH("PAYMENT TO",C791)),ISNUMBER(SEARCH("JOE SAUNDERS",C791))),"Zelle to Joe Saunders",IF(OR(ISNUMBER(SEARCH("NEW ORLEANS",C791)),ISNUMBER(SEARCH("KENNER",C791)),ISNUMBER(SEARCH("HENRY HOWARD",C791)),ISNUMBER(SEARCH("MISS CLAUDIA",C791))),"Personal Travel - New Orleans",IFERROR(INDEX('Category Rules'!$B$2:$B$194,MATCH(TRUE,ISNUMBER(SEARCH('Category Rules'!$A$2:$A$194,C791)),0)),"")))))))</f>
        <v>Transfer from DWG Capital Group</v>
      </c>
    </row>
    <row r="792" spans="1:7" x14ac:dyDescent="0.25">
      <c r="A792" t="s">
        <v>37</v>
      </c>
      <c r="B792" s="1">
        <v>46104</v>
      </c>
      <c r="C792" t="s">
        <v>752</v>
      </c>
      <c r="D792">
        <v>5000</v>
      </c>
      <c r="E792" t="s">
        <v>39</v>
      </c>
      <c r="F792">
        <v>7886.28</v>
      </c>
      <c r="G792" t="str" cm="1">
        <f t="array" ref="G792">IF(AND(ISNUMBER(SEARCH("UBER",C792)),ISNUMBER(SEARCH("EATS",C792))),"Uber Eats",IF(LEFT(C792,6)="CHECK ","Checks Paid",IF(OR(E792="BILLPAY",ISNUMBER(SEARCH("FRANCHISE TAX",C792)),ISNUMBER(SEARCH("NEXTLINK",C792))),"Personal - House Bills",IF(AND(ISNUMBER(SEARCH("PAYMENT FROM",C792)),ISNUMBER(SEARCH("JOE SAUNDERS",C792))),"Zelle from Joe Saunders",IF(AND(ISNUMBER(SEARCH("PAYMENT TO",C792)),ISNUMBER(SEARCH("JOE SAUNDERS",C792))),"Zelle to Joe Saunders",IF(OR(ISNUMBER(SEARCH("NEW ORLEANS",C792)),ISNUMBER(SEARCH("KENNER",C792)),ISNUMBER(SEARCH("HENRY HOWARD",C792)),ISNUMBER(SEARCH("MISS CLAUDIA",C792))),"Personal Travel - New Orleans",IFERROR(INDEX('Category Rules'!$B$2:$B$194,MATCH(TRUE,ISNUMBER(SEARCH('Category Rules'!$A$2:$A$194,C792)),0)),"")))))))</f>
        <v>Transfer from DWG Capital Group</v>
      </c>
    </row>
    <row r="793" spans="1:7" x14ac:dyDescent="0.25">
      <c r="A793" t="s">
        <v>6</v>
      </c>
      <c r="B793" s="1">
        <v>46101</v>
      </c>
      <c r="C793" t="s">
        <v>753</v>
      </c>
      <c r="D793">
        <v>-11.99</v>
      </c>
      <c r="E793" t="s">
        <v>14</v>
      </c>
      <c r="F793">
        <v>2886.28</v>
      </c>
      <c r="G793" t="str" cm="1">
        <f t="array" ref="G793">IF(AND(ISNUMBER(SEARCH("UBER",C793)),ISNUMBER(SEARCH("EATS",C793))),"Uber Eats",IF(LEFT(C793,6)="CHECK ","Checks Paid",IF(OR(E793="BILLPAY",ISNUMBER(SEARCH("FRANCHISE TAX",C793)),ISNUMBER(SEARCH("NEXTLINK",C793))),"Personal - House Bills",IF(AND(ISNUMBER(SEARCH("PAYMENT FROM",C793)),ISNUMBER(SEARCH("JOE SAUNDERS",C793))),"Zelle from Joe Saunders",IF(AND(ISNUMBER(SEARCH("PAYMENT TO",C793)),ISNUMBER(SEARCH("JOE SAUNDERS",C793))),"Zelle to Joe Saunders",IF(OR(ISNUMBER(SEARCH("NEW ORLEANS",C793)),ISNUMBER(SEARCH("KENNER",C793)),ISNUMBER(SEARCH("HENRY HOWARD",C793)),ISNUMBER(SEARCH("MISS CLAUDIA",C793))),"Personal Travel - New Orleans",IFERROR(INDEX('Category Rules'!$B$2:$B$194,MATCH(TRUE,ISNUMBER(SEARCH('Category Rules'!$A$2:$A$194,C793)),0)),"")))))))</f>
        <v>Personal - Subscription</v>
      </c>
    </row>
    <row r="794" spans="1:7" x14ac:dyDescent="0.25">
      <c r="A794" t="s">
        <v>6</v>
      </c>
      <c r="B794" s="1">
        <v>46101</v>
      </c>
      <c r="C794" t="s">
        <v>754</v>
      </c>
      <c r="D794">
        <v>-8.77</v>
      </c>
      <c r="E794" t="s">
        <v>14</v>
      </c>
      <c r="F794">
        <v>2898.27</v>
      </c>
      <c r="G794" t="str" cm="1">
        <f t="array" ref="G794">IF(AND(ISNUMBER(SEARCH("UBER",C794)),ISNUMBER(SEARCH("EATS",C794))),"Uber Eats",IF(LEFT(C794,6)="CHECK ","Checks Paid",IF(OR(E794="BILLPAY",ISNUMBER(SEARCH("FRANCHISE TAX",C794)),ISNUMBER(SEARCH("NEXTLINK",C794))),"Personal - House Bills",IF(AND(ISNUMBER(SEARCH("PAYMENT FROM",C794)),ISNUMBER(SEARCH("JOE SAUNDERS",C794))),"Zelle from Joe Saunders",IF(AND(ISNUMBER(SEARCH("PAYMENT TO",C794)),ISNUMBER(SEARCH("JOE SAUNDERS",C794))),"Zelle to Joe Saunders",IF(OR(ISNUMBER(SEARCH("NEW ORLEANS",C794)),ISNUMBER(SEARCH("KENNER",C794)),ISNUMBER(SEARCH("HENRY HOWARD",C794)),ISNUMBER(SEARCH("MISS CLAUDIA",C794))),"Personal Travel - New Orleans",IFERROR(INDEX('Category Rules'!$B$2:$B$194,MATCH(TRUE,ISNUMBER(SEARCH('Category Rules'!$A$2:$A$194,C794)),0)),"")))))))</f>
        <v>Amazon</v>
      </c>
    </row>
    <row r="795" spans="1:7" x14ac:dyDescent="0.25">
      <c r="A795" t="s">
        <v>6</v>
      </c>
      <c r="B795" s="1">
        <v>46101</v>
      </c>
      <c r="C795" t="s">
        <v>755</v>
      </c>
      <c r="D795">
        <v>-126</v>
      </c>
      <c r="E795" t="s">
        <v>14</v>
      </c>
      <c r="F795">
        <v>2907.04</v>
      </c>
      <c r="G795" t="str" cm="1">
        <f t="array" ref="G795">IF(AND(ISNUMBER(SEARCH("UBER",C795)),ISNUMBER(SEARCH("EATS",C795))),"Uber Eats",IF(LEFT(C795,6)="CHECK ","Checks Paid",IF(OR(E795="BILLPAY",ISNUMBER(SEARCH("FRANCHISE TAX",C795)),ISNUMBER(SEARCH("NEXTLINK",C795))),"Personal - House Bills",IF(AND(ISNUMBER(SEARCH("PAYMENT FROM",C795)),ISNUMBER(SEARCH("JOE SAUNDERS",C795))),"Zelle from Joe Saunders",IF(AND(ISNUMBER(SEARCH("PAYMENT TO",C795)),ISNUMBER(SEARCH("JOE SAUNDERS",C795))),"Zelle to Joe Saunders",IF(OR(ISNUMBER(SEARCH("NEW ORLEANS",C795)),ISNUMBER(SEARCH("KENNER",C795)),ISNUMBER(SEARCH("HENRY HOWARD",C795)),ISNUMBER(SEARCH("MISS CLAUDIA",C795))),"Personal Travel - New Orleans",IFERROR(INDEX('Category Rules'!$B$2:$B$194,MATCH(TRUE,ISNUMBER(SEARCH('Category Rules'!$A$2:$A$194,C795)),0)),"")))))))</f>
        <v>Personal - Food</v>
      </c>
    </row>
    <row r="796" spans="1:7" x14ac:dyDescent="0.25">
      <c r="A796" t="s">
        <v>6</v>
      </c>
      <c r="B796" s="1">
        <v>46101</v>
      </c>
      <c r="C796" t="s">
        <v>756</v>
      </c>
      <c r="D796">
        <v>-389.27</v>
      </c>
      <c r="E796" t="s">
        <v>14</v>
      </c>
      <c r="F796">
        <v>3033.04</v>
      </c>
      <c r="G796" t="str" cm="1">
        <f t="array" ref="G796">IF(AND(ISNUMBER(SEARCH("UBER",C796)),ISNUMBER(SEARCH("EATS",C796))),"Uber Eats",IF(LEFT(C796,6)="CHECK ","Checks Paid",IF(OR(E796="BILLPAY",ISNUMBER(SEARCH("FRANCHISE TAX",C796)),ISNUMBER(SEARCH("NEXTLINK",C796))),"Personal - House Bills",IF(AND(ISNUMBER(SEARCH("PAYMENT FROM",C796)),ISNUMBER(SEARCH("JOE SAUNDERS",C796))),"Zelle from Joe Saunders",IF(AND(ISNUMBER(SEARCH("PAYMENT TO",C796)),ISNUMBER(SEARCH("JOE SAUNDERS",C796))),"Zelle to Joe Saunders",IF(OR(ISNUMBER(SEARCH("NEW ORLEANS",C796)),ISNUMBER(SEARCH("KENNER",C796)),ISNUMBER(SEARCH("HENRY HOWARD",C796)),ISNUMBER(SEARCH("MISS CLAUDIA",C796))),"Personal Travel - New Orleans",IFERROR(INDEX('Category Rules'!$B$2:$B$194,MATCH(TRUE,ISNUMBER(SEARCH('Category Rules'!$A$2:$A$194,C796)),0)),"")))))))</f>
        <v>Palm Springs</v>
      </c>
    </row>
    <row r="797" spans="1:7" x14ac:dyDescent="0.25">
      <c r="A797" t="s">
        <v>6</v>
      </c>
      <c r="B797" s="1">
        <v>46100</v>
      </c>
      <c r="C797" t="s">
        <v>757</v>
      </c>
      <c r="D797">
        <v>-336.17</v>
      </c>
      <c r="E797" t="s">
        <v>14</v>
      </c>
      <c r="F797">
        <v>3422.31</v>
      </c>
      <c r="G797" t="str" cm="1">
        <f t="array" ref="G797">IF(AND(ISNUMBER(SEARCH("UBER",C797)),ISNUMBER(SEARCH("EATS",C797))),"Uber Eats",IF(LEFT(C797,6)="CHECK ","Checks Paid",IF(OR(E797="BILLPAY",ISNUMBER(SEARCH("FRANCHISE TAX",C797)),ISNUMBER(SEARCH("NEXTLINK",C797))),"Personal - House Bills",IF(AND(ISNUMBER(SEARCH("PAYMENT FROM",C797)),ISNUMBER(SEARCH("JOE SAUNDERS",C797))),"Zelle from Joe Saunders",IF(AND(ISNUMBER(SEARCH("PAYMENT TO",C797)),ISNUMBER(SEARCH("JOE SAUNDERS",C797))),"Zelle to Joe Saunders",IF(OR(ISNUMBER(SEARCH("NEW ORLEANS",C797)),ISNUMBER(SEARCH("KENNER",C797)),ISNUMBER(SEARCH("HENRY HOWARD",C797)),ISNUMBER(SEARCH("MISS CLAUDIA",C797))),"Personal Travel - New Orleans",IFERROR(INDEX('Category Rules'!$B$2:$B$194,MATCH(TRUE,ISNUMBER(SEARCH('Category Rules'!$A$2:$A$194,C797)),0)),"")))))))</f>
        <v>Personal - Shopping</v>
      </c>
    </row>
    <row r="798" spans="1:7" x14ac:dyDescent="0.25">
      <c r="A798" t="s">
        <v>6</v>
      </c>
      <c r="B798" s="1">
        <v>46100</v>
      </c>
      <c r="C798" t="s">
        <v>758</v>
      </c>
      <c r="D798">
        <v>-10</v>
      </c>
      <c r="E798" t="s">
        <v>14</v>
      </c>
      <c r="F798">
        <v>3758.48</v>
      </c>
      <c r="G798" t="str" cm="1">
        <f t="array" ref="G798">IF(AND(ISNUMBER(SEARCH("UBER",C798)),ISNUMBER(SEARCH("EATS",C798))),"Uber Eats",IF(LEFT(C798,6)="CHECK ","Checks Paid",IF(OR(E798="BILLPAY",ISNUMBER(SEARCH("FRANCHISE TAX",C798)),ISNUMBER(SEARCH("NEXTLINK",C798))),"Personal - House Bills",IF(AND(ISNUMBER(SEARCH("PAYMENT FROM",C798)),ISNUMBER(SEARCH("JOE SAUNDERS",C798))),"Zelle from Joe Saunders",IF(AND(ISNUMBER(SEARCH("PAYMENT TO",C798)),ISNUMBER(SEARCH("JOE SAUNDERS",C798))),"Zelle to Joe Saunders",IF(OR(ISNUMBER(SEARCH("NEW ORLEANS",C798)),ISNUMBER(SEARCH("KENNER",C798)),ISNUMBER(SEARCH("HENRY HOWARD",C798)),ISNUMBER(SEARCH("MISS CLAUDIA",C798))),"Personal Travel - New Orleans",IFERROR(INDEX('Category Rules'!$B$2:$B$194,MATCH(TRUE,ISNUMBER(SEARCH('Category Rules'!$A$2:$A$194,C798)),0)),"")))))))</f>
        <v>Amazon</v>
      </c>
    </row>
    <row r="799" spans="1:7" x14ac:dyDescent="0.25">
      <c r="A799" t="s">
        <v>6</v>
      </c>
      <c r="B799" s="1">
        <v>46100</v>
      </c>
      <c r="C799" t="s">
        <v>759</v>
      </c>
      <c r="D799">
        <v>-20</v>
      </c>
      <c r="E799" t="s">
        <v>14</v>
      </c>
      <c r="F799">
        <v>3768.48</v>
      </c>
      <c r="G799" t="str" cm="1">
        <f t="array" ref="G799">IF(AND(ISNUMBER(SEARCH("UBER",C799)),ISNUMBER(SEARCH("EATS",C799))),"Uber Eats",IF(LEFT(C799,6)="CHECK ","Checks Paid",IF(OR(E799="BILLPAY",ISNUMBER(SEARCH("FRANCHISE TAX",C799)),ISNUMBER(SEARCH("NEXTLINK",C799))),"Personal - House Bills",IF(AND(ISNUMBER(SEARCH("PAYMENT FROM",C799)),ISNUMBER(SEARCH("JOE SAUNDERS",C799))),"Zelle from Joe Saunders",IF(AND(ISNUMBER(SEARCH("PAYMENT TO",C799)),ISNUMBER(SEARCH("JOE SAUNDERS",C799))),"Zelle to Joe Saunders",IF(OR(ISNUMBER(SEARCH("NEW ORLEANS",C799)),ISNUMBER(SEARCH("KENNER",C799)),ISNUMBER(SEARCH("HENRY HOWARD",C799)),ISNUMBER(SEARCH("MISS CLAUDIA",C799))),"Personal Travel - New Orleans",IFERROR(INDEX('Category Rules'!$B$2:$B$194,MATCH(TRUE,ISNUMBER(SEARCH('Category Rules'!$A$2:$A$194,C799)),0)),"")))))))</f>
        <v>Amazon</v>
      </c>
    </row>
    <row r="800" spans="1:7" x14ac:dyDescent="0.25">
      <c r="A800" t="s">
        <v>6</v>
      </c>
      <c r="B800" s="1">
        <v>46100</v>
      </c>
      <c r="C800" t="s">
        <v>760</v>
      </c>
      <c r="D800">
        <v>-97.05</v>
      </c>
      <c r="E800" t="s">
        <v>14</v>
      </c>
      <c r="F800">
        <v>3788.48</v>
      </c>
      <c r="G800" t="str" cm="1">
        <f t="array" ref="G800">IF(AND(ISNUMBER(SEARCH("UBER",C800)),ISNUMBER(SEARCH("EATS",C800))),"Uber Eats",IF(LEFT(C800,6)="CHECK ","Checks Paid",IF(OR(E800="BILLPAY",ISNUMBER(SEARCH("FRANCHISE TAX",C800)),ISNUMBER(SEARCH("NEXTLINK",C800))),"Personal - House Bills",IF(AND(ISNUMBER(SEARCH("PAYMENT FROM",C800)),ISNUMBER(SEARCH("JOE SAUNDERS",C800))),"Zelle from Joe Saunders",IF(AND(ISNUMBER(SEARCH("PAYMENT TO",C800)),ISNUMBER(SEARCH("JOE SAUNDERS",C800))),"Zelle to Joe Saunders",IF(OR(ISNUMBER(SEARCH("NEW ORLEANS",C800)),ISNUMBER(SEARCH("KENNER",C800)),ISNUMBER(SEARCH("HENRY HOWARD",C800)),ISNUMBER(SEARCH("MISS CLAUDIA",C800))),"Personal Travel - New Orleans",IFERROR(INDEX('Category Rules'!$B$2:$B$194,MATCH(TRUE,ISNUMBER(SEARCH('Category Rules'!$A$2:$A$194,C800)),0)),"")))))))</f>
        <v>Amazon</v>
      </c>
    </row>
    <row r="801" spans="1:7" x14ac:dyDescent="0.25">
      <c r="A801" t="s">
        <v>6</v>
      </c>
      <c r="B801" s="1">
        <v>46099</v>
      </c>
      <c r="C801" t="s">
        <v>761</v>
      </c>
      <c r="D801">
        <v>-104.27</v>
      </c>
      <c r="E801" t="s">
        <v>14</v>
      </c>
      <c r="F801">
        <v>3885.53</v>
      </c>
      <c r="G801" t="str" cm="1">
        <f t="array" ref="G801">IF(AND(ISNUMBER(SEARCH("UBER",C801)),ISNUMBER(SEARCH("EATS",C801))),"Uber Eats",IF(LEFT(C801,6)="CHECK ","Checks Paid",IF(OR(E801="BILLPAY",ISNUMBER(SEARCH("FRANCHISE TAX",C801)),ISNUMBER(SEARCH("NEXTLINK",C801))),"Personal - House Bills",IF(AND(ISNUMBER(SEARCH("PAYMENT FROM",C801)),ISNUMBER(SEARCH("JOE SAUNDERS",C801))),"Zelle from Joe Saunders",IF(AND(ISNUMBER(SEARCH("PAYMENT TO",C801)),ISNUMBER(SEARCH("JOE SAUNDERS",C801))),"Zelle to Joe Saunders",IF(OR(ISNUMBER(SEARCH("NEW ORLEANS",C801)),ISNUMBER(SEARCH("KENNER",C801)),ISNUMBER(SEARCH("HENRY HOWARD",C801)),ISNUMBER(SEARCH("MISS CLAUDIA",C801))),"Personal Travel - New Orleans",IFERROR(INDEX('Category Rules'!$B$2:$B$194,MATCH(TRUE,ISNUMBER(SEARCH('Category Rules'!$A$2:$A$194,C801)),0)),"")))))))</f>
        <v>Personal - Shopping</v>
      </c>
    </row>
    <row r="802" spans="1:7" x14ac:dyDescent="0.25">
      <c r="A802" t="s">
        <v>6</v>
      </c>
      <c r="B802" s="1">
        <v>46099</v>
      </c>
      <c r="C802" t="s">
        <v>762</v>
      </c>
      <c r="D802">
        <v>-468.76</v>
      </c>
      <c r="E802" t="s">
        <v>14</v>
      </c>
      <c r="F802">
        <v>3989.8</v>
      </c>
      <c r="G802" t="str" cm="1">
        <f t="array" ref="G802">IF(AND(ISNUMBER(SEARCH("UBER",C802)),ISNUMBER(SEARCH("EATS",C802))),"Uber Eats",IF(LEFT(C802,6)="CHECK ","Checks Paid",IF(OR(E802="BILLPAY",ISNUMBER(SEARCH("FRANCHISE TAX",C802)),ISNUMBER(SEARCH("NEXTLINK",C802))),"Personal - House Bills",IF(AND(ISNUMBER(SEARCH("PAYMENT FROM",C802)),ISNUMBER(SEARCH("JOE SAUNDERS",C802))),"Zelle from Joe Saunders",IF(AND(ISNUMBER(SEARCH("PAYMENT TO",C802)),ISNUMBER(SEARCH("JOE SAUNDERS",C802))),"Zelle to Joe Saunders",IF(OR(ISNUMBER(SEARCH("NEW ORLEANS",C802)),ISNUMBER(SEARCH("KENNER",C802)),ISNUMBER(SEARCH("HENRY HOWARD",C802)),ISNUMBER(SEARCH("MISS CLAUDIA",C802))),"Personal Travel - New Orleans",IFERROR(INDEX('Category Rules'!$B$2:$B$194,MATCH(TRUE,ISNUMBER(SEARCH('Category Rules'!$A$2:$A$194,C802)),0)),"")))))))</f>
        <v>Personal - Clothing</v>
      </c>
    </row>
    <row r="803" spans="1:7" x14ac:dyDescent="0.25">
      <c r="A803" t="s">
        <v>6</v>
      </c>
      <c r="B803" s="1">
        <v>46099</v>
      </c>
      <c r="C803" t="s">
        <v>763</v>
      </c>
      <c r="D803">
        <v>-30</v>
      </c>
      <c r="E803" t="s">
        <v>14</v>
      </c>
      <c r="F803">
        <v>4458.5600000000004</v>
      </c>
      <c r="G803" t="str" cm="1">
        <f t="array" ref="G803">IF(AND(ISNUMBER(SEARCH("UBER",C803)),ISNUMBER(SEARCH("EATS",C803))),"Uber Eats",IF(LEFT(C803,6)="CHECK ","Checks Paid",IF(OR(E803="BILLPAY",ISNUMBER(SEARCH("FRANCHISE TAX",C803)),ISNUMBER(SEARCH("NEXTLINK",C803))),"Personal - House Bills",IF(AND(ISNUMBER(SEARCH("PAYMENT FROM",C803)),ISNUMBER(SEARCH("JOE SAUNDERS",C803))),"Zelle from Joe Saunders",IF(AND(ISNUMBER(SEARCH("PAYMENT TO",C803)),ISNUMBER(SEARCH("JOE SAUNDERS",C803))),"Zelle to Joe Saunders",IF(OR(ISNUMBER(SEARCH("NEW ORLEANS",C803)),ISNUMBER(SEARCH("KENNER",C803)),ISNUMBER(SEARCH("HENRY HOWARD",C803)),ISNUMBER(SEARCH("MISS CLAUDIA",C803))),"Personal Travel - New Orleans",IFERROR(INDEX('Category Rules'!$B$2:$B$194,MATCH(TRUE,ISNUMBER(SEARCH('Category Rules'!$A$2:$A$194,C803)),0)),"")))))))</f>
        <v>Personal - Subscription</v>
      </c>
    </row>
    <row r="804" spans="1:7" x14ac:dyDescent="0.25">
      <c r="A804" t="s">
        <v>6</v>
      </c>
      <c r="B804" s="1">
        <v>46099</v>
      </c>
      <c r="C804" t="s">
        <v>764</v>
      </c>
      <c r="D804">
        <v>-30.36</v>
      </c>
      <c r="E804" t="s">
        <v>14</v>
      </c>
      <c r="F804">
        <v>4488.5600000000004</v>
      </c>
      <c r="G804" t="str" cm="1">
        <f t="array" ref="G804">IF(AND(ISNUMBER(SEARCH("UBER",C804)),ISNUMBER(SEARCH("EATS",C804))),"Uber Eats",IF(LEFT(C804,6)="CHECK ","Checks Paid",IF(OR(E804="BILLPAY",ISNUMBER(SEARCH("FRANCHISE TAX",C804)),ISNUMBER(SEARCH("NEXTLINK",C804))),"Personal - House Bills",IF(AND(ISNUMBER(SEARCH("PAYMENT FROM",C804)),ISNUMBER(SEARCH("JOE SAUNDERS",C804))),"Zelle from Joe Saunders",IF(AND(ISNUMBER(SEARCH("PAYMENT TO",C804)),ISNUMBER(SEARCH("JOE SAUNDERS",C804))),"Zelle to Joe Saunders",IF(OR(ISNUMBER(SEARCH("NEW ORLEANS",C804)),ISNUMBER(SEARCH("KENNER",C804)),ISNUMBER(SEARCH("HENRY HOWARD",C804)),ISNUMBER(SEARCH("MISS CLAUDIA",C804))),"Personal Travel - New Orleans",IFERROR(INDEX('Category Rules'!$B$2:$B$194,MATCH(TRUE,ISNUMBER(SEARCH('Category Rules'!$A$2:$A$194,C804)),0)),"")))))))</f>
        <v>Amazon</v>
      </c>
    </row>
    <row r="805" spans="1:7" x14ac:dyDescent="0.25">
      <c r="A805" t="s">
        <v>6</v>
      </c>
      <c r="B805" s="1">
        <v>46099</v>
      </c>
      <c r="C805" t="s">
        <v>765</v>
      </c>
      <c r="D805">
        <v>-398.35</v>
      </c>
      <c r="E805" t="s">
        <v>14</v>
      </c>
      <c r="F805">
        <v>4518.92</v>
      </c>
      <c r="G805" t="str" cm="1">
        <f t="array" ref="G805">IF(AND(ISNUMBER(SEARCH("UBER",C805)),ISNUMBER(SEARCH("EATS",C805))),"Uber Eats",IF(LEFT(C805,6)="CHECK ","Checks Paid",IF(OR(E805="BILLPAY",ISNUMBER(SEARCH("FRANCHISE TAX",C805)),ISNUMBER(SEARCH("NEXTLINK",C805))),"Personal - House Bills",IF(AND(ISNUMBER(SEARCH("PAYMENT FROM",C805)),ISNUMBER(SEARCH("JOE SAUNDERS",C805))),"Zelle from Joe Saunders",IF(AND(ISNUMBER(SEARCH("PAYMENT TO",C805)),ISNUMBER(SEARCH("JOE SAUNDERS",C805))),"Zelle to Joe Saunders",IF(OR(ISNUMBER(SEARCH("NEW ORLEANS",C805)),ISNUMBER(SEARCH("KENNER",C805)),ISNUMBER(SEARCH("HENRY HOWARD",C805)),ISNUMBER(SEARCH("MISS CLAUDIA",C805))),"Personal Travel - New Orleans",IFERROR(INDEX('Category Rules'!$B$2:$B$194,MATCH(TRUE,ISNUMBER(SEARCH('Category Rules'!$A$2:$A$194,C805)),0)),"")))))))</f>
        <v>Amazon</v>
      </c>
    </row>
    <row r="806" spans="1:7" x14ac:dyDescent="0.25">
      <c r="A806" t="s">
        <v>37</v>
      </c>
      <c r="B806" s="1">
        <v>46099</v>
      </c>
      <c r="C806" t="s">
        <v>766</v>
      </c>
      <c r="D806">
        <v>100</v>
      </c>
      <c r="E806" t="s">
        <v>106</v>
      </c>
      <c r="F806">
        <v>4917.2700000000004</v>
      </c>
      <c r="G806" t="str" cm="1">
        <f t="array" ref="G806">IF(AND(ISNUMBER(SEARCH("UBER",C806)),ISNUMBER(SEARCH("EATS",C806))),"Uber Eats",IF(LEFT(C806,6)="CHECK ","Checks Paid",IF(OR(E806="BILLPAY",ISNUMBER(SEARCH("FRANCHISE TAX",C806)),ISNUMBER(SEARCH("NEXTLINK",C806))),"Personal - House Bills",IF(AND(ISNUMBER(SEARCH("PAYMENT FROM",C806)),ISNUMBER(SEARCH("JOE SAUNDERS",C806))),"Zelle from Joe Saunders",IF(AND(ISNUMBER(SEARCH("PAYMENT TO",C806)),ISNUMBER(SEARCH("JOE SAUNDERS",C806))),"Zelle to Joe Saunders",IF(OR(ISNUMBER(SEARCH("NEW ORLEANS",C806)),ISNUMBER(SEARCH("KENNER",C806)),ISNUMBER(SEARCH("HENRY HOWARD",C806)),ISNUMBER(SEARCH("MISS CLAUDIA",C806))),"Personal Travel - New Orleans",IFERROR(INDEX('Category Rules'!$B$2:$B$194,MATCH(TRUE,ISNUMBER(SEARCH('Category Rules'!$A$2:$A$194,C806)),0)),"")))))))</f>
        <v>Zelle from Tanya Miller</v>
      </c>
    </row>
    <row r="807" spans="1:7" x14ac:dyDescent="0.25">
      <c r="A807" t="s">
        <v>6</v>
      </c>
      <c r="B807" s="1">
        <v>46098</v>
      </c>
      <c r="C807" t="s">
        <v>767</v>
      </c>
      <c r="D807">
        <v>-10</v>
      </c>
      <c r="E807" t="s">
        <v>14</v>
      </c>
      <c r="F807">
        <v>4817.2700000000004</v>
      </c>
      <c r="G807" t="str" cm="1">
        <f t="array" ref="G807">IF(AND(ISNUMBER(SEARCH("UBER",C807)),ISNUMBER(SEARCH("EATS",C807))),"Uber Eats",IF(LEFT(C807,6)="CHECK ","Checks Paid",IF(OR(E807="BILLPAY",ISNUMBER(SEARCH("FRANCHISE TAX",C807)),ISNUMBER(SEARCH("NEXTLINK",C807))),"Personal - House Bills",IF(AND(ISNUMBER(SEARCH("PAYMENT FROM",C807)),ISNUMBER(SEARCH("JOE SAUNDERS",C807))),"Zelle from Joe Saunders",IF(AND(ISNUMBER(SEARCH("PAYMENT TO",C807)),ISNUMBER(SEARCH("JOE SAUNDERS",C807))),"Zelle to Joe Saunders",IF(OR(ISNUMBER(SEARCH("NEW ORLEANS",C807)),ISNUMBER(SEARCH("KENNER",C807)),ISNUMBER(SEARCH("HENRY HOWARD",C807)),ISNUMBER(SEARCH("MISS CLAUDIA",C807))),"Personal Travel - New Orleans",IFERROR(INDEX('Category Rules'!$B$2:$B$194,MATCH(TRUE,ISNUMBER(SEARCH('Category Rules'!$A$2:$A$194,C807)),0)),"")))))))</f>
        <v>Personal - Shopping</v>
      </c>
    </row>
    <row r="808" spans="1:7" x14ac:dyDescent="0.25">
      <c r="A808" t="s">
        <v>6</v>
      </c>
      <c r="B808" s="1">
        <v>46098</v>
      </c>
      <c r="C808" t="s">
        <v>767</v>
      </c>
      <c r="D808">
        <v>-269.97000000000003</v>
      </c>
      <c r="E808" t="s">
        <v>14</v>
      </c>
      <c r="F808">
        <v>4827.2700000000004</v>
      </c>
      <c r="G808" t="str" cm="1">
        <f t="array" ref="G808">IF(AND(ISNUMBER(SEARCH("UBER",C808)),ISNUMBER(SEARCH("EATS",C808))),"Uber Eats",IF(LEFT(C808,6)="CHECK ","Checks Paid",IF(OR(E808="BILLPAY",ISNUMBER(SEARCH("FRANCHISE TAX",C808)),ISNUMBER(SEARCH("NEXTLINK",C808))),"Personal - House Bills",IF(AND(ISNUMBER(SEARCH("PAYMENT FROM",C808)),ISNUMBER(SEARCH("JOE SAUNDERS",C808))),"Zelle from Joe Saunders",IF(AND(ISNUMBER(SEARCH("PAYMENT TO",C808)),ISNUMBER(SEARCH("JOE SAUNDERS",C808))),"Zelle to Joe Saunders",IF(OR(ISNUMBER(SEARCH("NEW ORLEANS",C808)),ISNUMBER(SEARCH("KENNER",C808)),ISNUMBER(SEARCH("HENRY HOWARD",C808)),ISNUMBER(SEARCH("MISS CLAUDIA",C808))),"Personal Travel - New Orleans",IFERROR(INDEX('Category Rules'!$B$2:$B$194,MATCH(TRUE,ISNUMBER(SEARCH('Category Rules'!$A$2:$A$194,C808)),0)),"")))))))</f>
        <v>Personal - Shopping</v>
      </c>
    </row>
    <row r="809" spans="1:7" x14ac:dyDescent="0.25">
      <c r="A809" t="s">
        <v>6</v>
      </c>
      <c r="B809" s="1">
        <v>46098</v>
      </c>
      <c r="C809" t="s">
        <v>768</v>
      </c>
      <c r="D809">
        <v>-68.459999999999994</v>
      </c>
      <c r="E809" t="s">
        <v>14</v>
      </c>
      <c r="F809">
        <v>5097.24</v>
      </c>
      <c r="G809" t="str" cm="1">
        <f t="array" ref="G809">IF(AND(ISNUMBER(SEARCH("UBER",C809)),ISNUMBER(SEARCH("EATS",C809))),"Uber Eats",IF(LEFT(C809,6)="CHECK ","Checks Paid",IF(OR(E809="BILLPAY",ISNUMBER(SEARCH("FRANCHISE TAX",C809)),ISNUMBER(SEARCH("NEXTLINK",C809))),"Personal - House Bills",IF(AND(ISNUMBER(SEARCH("PAYMENT FROM",C809)),ISNUMBER(SEARCH("JOE SAUNDERS",C809))),"Zelle from Joe Saunders",IF(AND(ISNUMBER(SEARCH("PAYMENT TO",C809)),ISNUMBER(SEARCH("JOE SAUNDERS",C809))),"Zelle to Joe Saunders",IF(OR(ISNUMBER(SEARCH("NEW ORLEANS",C809)),ISNUMBER(SEARCH("KENNER",C809)),ISNUMBER(SEARCH("HENRY HOWARD",C809)),ISNUMBER(SEARCH("MISS CLAUDIA",C809))),"Personal Travel - New Orleans",IFERROR(INDEX('Category Rules'!$B$2:$B$194,MATCH(TRUE,ISNUMBER(SEARCH('Category Rules'!$A$2:$A$194,C809)),0)),"")))))))</f>
        <v>Amazon</v>
      </c>
    </row>
    <row r="810" spans="1:7" x14ac:dyDescent="0.25">
      <c r="A810" t="s">
        <v>6</v>
      </c>
      <c r="B810" s="1">
        <v>46098</v>
      </c>
      <c r="C810" t="s">
        <v>769</v>
      </c>
      <c r="D810">
        <v>-350.67</v>
      </c>
      <c r="E810" t="s">
        <v>14</v>
      </c>
      <c r="F810">
        <v>5165.7</v>
      </c>
      <c r="G810" t="str" cm="1">
        <f t="array" ref="G810">IF(AND(ISNUMBER(SEARCH("UBER",C810)),ISNUMBER(SEARCH("EATS",C810))),"Uber Eats",IF(LEFT(C810,6)="CHECK ","Checks Paid",IF(OR(E810="BILLPAY",ISNUMBER(SEARCH("FRANCHISE TAX",C810)),ISNUMBER(SEARCH("NEXTLINK",C810))),"Personal - House Bills",IF(AND(ISNUMBER(SEARCH("PAYMENT FROM",C810)),ISNUMBER(SEARCH("JOE SAUNDERS",C810))),"Zelle from Joe Saunders",IF(AND(ISNUMBER(SEARCH("PAYMENT TO",C810)),ISNUMBER(SEARCH("JOE SAUNDERS",C810))),"Zelle to Joe Saunders",IF(OR(ISNUMBER(SEARCH("NEW ORLEANS",C810)),ISNUMBER(SEARCH("KENNER",C810)),ISNUMBER(SEARCH("HENRY HOWARD",C810)),ISNUMBER(SEARCH("MISS CLAUDIA",C810))),"Personal Travel - New Orleans",IFERROR(INDEX('Category Rules'!$B$2:$B$194,MATCH(TRUE,ISNUMBER(SEARCH('Category Rules'!$A$2:$A$194,C810)),0)),"")))))))</f>
        <v>Personal - Health</v>
      </c>
    </row>
    <row r="811" spans="1:7" x14ac:dyDescent="0.25">
      <c r="A811" t="s">
        <v>6</v>
      </c>
      <c r="B811" s="1">
        <v>46098</v>
      </c>
      <c r="C811" t="s">
        <v>770</v>
      </c>
      <c r="D811">
        <v>-94.99</v>
      </c>
      <c r="E811" t="s">
        <v>14</v>
      </c>
      <c r="F811">
        <v>5516.37</v>
      </c>
      <c r="G811" t="str" cm="1">
        <f t="array" ref="G811">IF(AND(ISNUMBER(SEARCH("UBER",C811)),ISNUMBER(SEARCH("EATS",C811))),"Uber Eats",IF(LEFT(C811,6)="CHECK ","Checks Paid",IF(OR(E811="BILLPAY",ISNUMBER(SEARCH("FRANCHISE TAX",C811)),ISNUMBER(SEARCH("NEXTLINK",C811))),"Personal - House Bills",IF(AND(ISNUMBER(SEARCH("PAYMENT FROM",C811)),ISNUMBER(SEARCH("JOE SAUNDERS",C811))),"Zelle from Joe Saunders",IF(AND(ISNUMBER(SEARCH("PAYMENT TO",C811)),ISNUMBER(SEARCH("JOE SAUNDERS",C811))),"Zelle to Joe Saunders",IF(OR(ISNUMBER(SEARCH("NEW ORLEANS",C811)),ISNUMBER(SEARCH("KENNER",C811)),ISNUMBER(SEARCH("HENRY HOWARD",C811)),ISNUMBER(SEARCH("MISS CLAUDIA",C811))),"Personal Travel - New Orleans",IFERROR(INDEX('Category Rules'!$B$2:$B$194,MATCH(TRUE,ISNUMBER(SEARCH('Category Rules'!$A$2:$A$194,C811)),0)),"")))))))</f>
        <v>Apple</v>
      </c>
    </row>
    <row r="812" spans="1:7" x14ac:dyDescent="0.25">
      <c r="A812" t="s">
        <v>37</v>
      </c>
      <c r="B812" s="1">
        <v>46098</v>
      </c>
      <c r="C812" t="s">
        <v>771</v>
      </c>
      <c r="D812">
        <v>4000</v>
      </c>
      <c r="E812" t="s">
        <v>39</v>
      </c>
      <c r="F812">
        <v>5611.36</v>
      </c>
      <c r="G812" t="str" cm="1">
        <f t="array" ref="G812">IF(AND(ISNUMBER(SEARCH("UBER",C812)),ISNUMBER(SEARCH("EATS",C812))),"Uber Eats",IF(LEFT(C812,6)="CHECK ","Checks Paid",IF(OR(E812="BILLPAY",ISNUMBER(SEARCH("FRANCHISE TAX",C812)),ISNUMBER(SEARCH("NEXTLINK",C812))),"Personal - House Bills",IF(AND(ISNUMBER(SEARCH("PAYMENT FROM",C812)),ISNUMBER(SEARCH("JOE SAUNDERS",C812))),"Zelle from Joe Saunders",IF(AND(ISNUMBER(SEARCH("PAYMENT TO",C812)),ISNUMBER(SEARCH("JOE SAUNDERS",C812))),"Zelle to Joe Saunders",IF(OR(ISNUMBER(SEARCH("NEW ORLEANS",C812)),ISNUMBER(SEARCH("KENNER",C812)),ISNUMBER(SEARCH("HENRY HOWARD",C812)),ISNUMBER(SEARCH("MISS CLAUDIA",C812))),"Personal Travel - New Orleans",IFERROR(INDEX('Category Rules'!$B$2:$B$194,MATCH(TRUE,ISNUMBER(SEARCH('Category Rules'!$A$2:$A$194,C812)),0)),"")))))))</f>
        <v>Transfer from DWG Capital Group</v>
      </c>
    </row>
    <row r="813" spans="1:7" x14ac:dyDescent="0.25">
      <c r="A813" t="s">
        <v>6</v>
      </c>
      <c r="B813" s="1">
        <v>46097</v>
      </c>
      <c r="C813" t="s">
        <v>772</v>
      </c>
      <c r="D813">
        <v>-5.34</v>
      </c>
      <c r="E813" t="s">
        <v>72</v>
      </c>
      <c r="F813">
        <v>1611.36</v>
      </c>
      <c r="G813" t="str" cm="1">
        <f t="array" ref="G813">IF(AND(ISNUMBER(SEARCH("UBER",C813)),ISNUMBER(SEARCH("EATS",C813))),"Uber Eats",IF(LEFT(C813,6)="CHECK ","Checks Paid",IF(OR(E813="BILLPAY",ISNUMBER(SEARCH("FRANCHISE TAX",C813)),ISNUMBER(SEARCH("NEXTLINK",C813))),"Personal - House Bills",IF(AND(ISNUMBER(SEARCH("PAYMENT FROM",C813)),ISNUMBER(SEARCH("JOE SAUNDERS",C813))),"Zelle from Joe Saunders",IF(AND(ISNUMBER(SEARCH("PAYMENT TO",C813)),ISNUMBER(SEARCH("JOE SAUNDERS",C813))),"Zelle to Joe Saunders",IF(OR(ISNUMBER(SEARCH("NEW ORLEANS",C813)),ISNUMBER(SEARCH("KENNER",C813)),ISNUMBER(SEARCH("HENRY HOWARD",C813)),ISNUMBER(SEARCH("MISS CLAUDIA",C813))),"Personal Travel - New Orleans",IFERROR(INDEX('Category Rules'!$B$2:$B$194,MATCH(TRUE,ISNUMBER(SEARCH('Category Rules'!$A$2:$A$194,C813)),0)),"")))))))</f>
        <v>Personal Travel - Portugal</v>
      </c>
    </row>
    <row r="814" spans="1:7" x14ac:dyDescent="0.25">
      <c r="A814" t="s">
        <v>6</v>
      </c>
      <c r="B814" s="1">
        <v>46097</v>
      </c>
      <c r="C814" t="s">
        <v>773</v>
      </c>
      <c r="D814">
        <v>-99.13</v>
      </c>
      <c r="E814" t="s">
        <v>14</v>
      </c>
      <c r="F814">
        <v>1616.7</v>
      </c>
      <c r="G814" t="str" cm="1">
        <f t="array" ref="G814">IF(AND(ISNUMBER(SEARCH("UBER",C814)),ISNUMBER(SEARCH("EATS",C814))),"Uber Eats",IF(LEFT(C814,6)="CHECK ","Checks Paid",IF(OR(E814="BILLPAY",ISNUMBER(SEARCH("FRANCHISE TAX",C814)),ISNUMBER(SEARCH("NEXTLINK",C814))),"Personal - House Bills",IF(AND(ISNUMBER(SEARCH("PAYMENT FROM",C814)),ISNUMBER(SEARCH("JOE SAUNDERS",C814))),"Zelle from Joe Saunders",IF(AND(ISNUMBER(SEARCH("PAYMENT TO",C814)),ISNUMBER(SEARCH("JOE SAUNDERS",C814))),"Zelle to Joe Saunders",IF(OR(ISNUMBER(SEARCH("NEW ORLEANS",C814)),ISNUMBER(SEARCH("KENNER",C814)),ISNUMBER(SEARCH("HENRY HOWARD",C814)),ISNUMBER(SEARCH("MISS CLAUDIA",C814))),"Personal Travel - New Orleans",IFERROR(INDEX('Category Rules'!$B$2:$B$194,MATCH(TRUE,ISNUMBER(SEARCH('Category Rules'!$A$2:$A$194,C814)),0)),"")))))))</f>
        <v>Uber Eats</v>
      </c>
    </row>
    <row r="815" spans="1:7" x14ac:dyDescent="0.25">
      <c r="A815" t="s">
        <v>6</v>
      </c>
      <c r="B815" s="1">
        <v>46097</v>
      </c>
      <c r="C815" t="s">
        <v>774</v>
      </c>
      <c r="D815">
        <v>-110.82</v>
      </c>
      <c r="E815" t="s">
        <v>14</v>
      </c>
      <c r="F815">
        <v>1715.83</v>
      </c>
      <c r="G815" t="str" cm="1">
        <f t="array" ref="G815">IF(AND(ISNUMBER(SEARCH("UBER",C815)),ISNUMBER(SEARCH("EATS",C815))),"Uber Eats",IF(LEFT(C815,6)="CHECK ","Checks Paid",IF(OR(E815="BILLPAY",ISNUMBER(SEARCH("FRANCHISE TAX",C815)),ISNUMBER(SEARCH("NEXTLINK",C815))),"Personal - House Bills",IF(AND(ISNUMBER(SEARCH("PAYMENT FROM",C815)),ISNUMBER(SEARCH("JOE SAUNDERS",C815))),"Zelle from Joe Saunders",IF(AND(ISNUMBER(SEARCH("PAYMENT TO",C815)),ISNUMBER(SEARCH("JOE SAUNDERS",C815))),"Zelle to Joe Saunders",IF(OR(ISNUMBER(SEARCH("NEW ORLEANS",C815)),ISNUMBER(SEARCH("KENNER",C815)),ISNUMBER(SEARCH("HENRY HOWARD",C815)),ISNUMBER(SEARCH("MISS CLAUDIA",C815))),"Personal Travel - New Orleans",IFERROR(INDEX('Category Rules'!$B$2:$B$194,MATCH(TRUE,ISNUMBER(SEARCH('Category Rules'!$A$2:$A$194,C815)),0)),"")))))))</f>
        <v>Personal - Shopping</v>
      </c>
    </row>
    <row r="816" spans="1:7" x14ac:dyDescent="0.25">
      <c r="A816" t="s">
        <v>6</v>
      </c>
      <c r="B816" s="1">
        <v>46097</v>
      </c>
      <c r="C816" t="s">
        <v>775</v>
      </c>
      <c r="D816">
        <v>-29.05</v>
      </c>
      <c r="E816" t="s">
        <v>14</v>
      </c>
      <c r="F816">
        <v>1826.65</v>
      </c>
      <c r="G816" t="str" cm="1">
        <f t="array" ref="G816">IF(AND(ISNUMBER(SEARCH("UBER",C816)),ISNUMBER(SEARCH("EATS",C816))),"Uber Eats",IF(LEFT(C816,6)="CHECK ","Checks Paid",IF(OR(E816="BILLPAY",ISNUMBER(SEARCH("FRANCHISE TAX",C816)),ISNUMBER(SEARCH("NEXTLINK",C816))),"Personal - House Bills",IF(AND(ISNUMBER(SEARCH("PAYMENT FROM",C816)),ISNUMBER(SEARCH("JOE SAUNDERS",C816))),"Zelle from Joe Saunders",IF(AND(ISNUMBER(SEARCH("PAYMENT TO",C816)),ISNUMBER(SEARCH("JOE SAUNDERS",C816))),"Zelle to Joe Saunders",IF(OR(ISNUMBER(SEARCH("NEW ORLEANS",C816)),ISNUMBER(SEARCH("KENNER",C816)),ISNUMBER(SEARCH("HENRY HOWARD",C816)),ISNUMBER(SEARCH("MISS CLAUDIA",C816))),"Personal Travel - New Orleans",IFERROR(INDEX('Category Rules'!$B$2:$B$194,MATCH(TRUE,ISNUMBER(SEARCH('Category Rules'!$A$2:$A$194,C816)),0)),"")))))))</f>
        <v>Personal - Food</v>
      </c>
    </row>
    <row r="817" spans="1:7" x14ac:dyDescent="0.25">
      <c r="A817" t="s">
        <v>6</v>
      </c>
      <c r="B817" s="1">
        <v>46097</v>
      </c>
      <c r="C817" t="s">
        <v>776</v>
      </c>
      <c r="D817">
        <v>-92.51</v>
      </c>
      <c r="E817" t="s">
        <v>14</v>
      </c>
      <c r="F817">
        <v>1855.7</v>
      </c>
      <c r="G817" t="str" cm="1">
        <f t="array" ref="G817">IF(AND(ISNUMBER(SEARCH("UBER",C817)),ISNUMBER(SEARCH("EATS",C817))),"Uber Eats",IF(LEFT(C817,6)="CHECK ","Checks Paid",IF(OR(E817="BILLPAY",ISNUMBER(SEARCH("FRANCHISE TAX",C817)),ISNUMBER(SEARCH("NEXTLINK",C817))),"Personal - House Bills",IF(AND(ISNUMBER(SEARCH("PAYMENT FROM",C817)),ISNUMBER(SEARCH("JOE SAUNDERS",C817))),"Zelle from Joe Saunders",IF(AND(ISNUMBER(SEARCH("PAYMENT TO",C817)),ISNUMBER(SEARCH("JOE SAUNDERS",C817))),"Zelle to Joe Saunders",IF(OR(ISNUMBER(SEARCH("NEW ORLEANS",C817)),ISNUMBER(SEARCH("KENNER",C817)),ISNUMBER(SEARCH("HENRY HOWARD",C817)),ISNUMBER(SEARCH("MISS CLAUDIA",C817))),"Personal Travel - New Orleans",IFERROR(INDEX('Category Rules'!$B$2:$B$194,MATCH(TRUE,ISNUMBER(SEARCH('Category Rules'!$A$2:$A$194,C817)),0)),"")))))))</f>
        <v>Personal - Health</v>
      </c>
    </row>
    <row r="818" spans="1:7" x14ac:dyDescent="0.25">
      <c r="A818" t="s">
        <v>6</v>
      </c>
      <c r="B818" s="1">
        <v>46097</v>
      </c>
      <c r="C818" t="s">
        <v>777</v>
      </c>
      <c r="D818">
        <v>-178.17</v>
      </c>
      <c r="E818" t="s">
        <v>14</v>
      </c>
      <c r="F818">
        <v>1948.21</v>
      </c>
      <c r="G818" t="str" cm="1">
        <f t="array" ref="G818">IF(AND(ISNUMBER(SEARCH("UBER",C818)),ISNUMBER(SEARCH("EATS",C818))),"Uber Eats",IF(LEFT(C818,6)="CHECK ","Checks Paid",IF(OR(E818="BILLPAY",ISNUMBER(SEARCH("FRANCHISE TAX",C818)),ISNUMBER(SEARCH("NEXTLINK",C818))),"Personal - House Bills",IF(AND(ISNUMBER(SEARCH("PAYMENT FROM",C818)),ISNUMBER(SEARCH("JOE SAUNDERS",C818))),"Zelle from Joe Saunders",IF(AND(ISNUMBER(SEARCH("PAYMENT TO",C818)),ISNUMBER(SEARCH("JOE SAUNDERS",C818))),"Zelle to Joe Saunders",IF(OR(ISNUMBER(SEARCH("NEW ORLEANS",C818)),ISNUMBER(SEARCH("KENNER",C818)),ISNUMBER(SEARCH("HENRY HOWARD",C818)),ISNUMBER(SEARCH("MISS CLAUDIA",C818))),"Personal Travel - New Orleans",IFERROR(INDEX('Category Rules'!$B$2:$B$194,MATCH(TRUE,ISNUMBER(SEARCH('Category Rules'!$A$2:$A$194,C818)),0)),"")))))))</f>
        <v>Personal Travel</v>
      </c>
    </row>
    <row r="819" spans="1:7" x14ac:dyDescent="0.25">
      <c r="A819" t="s">
        <v>6</v>
      </c>
      <c r="B819" s="1">
        <v>46097</v>
      </c>
      <c r="C819" t="s">
        <v>778</v>
      </c>
      <c r="D819">
        <v>-18.489999999999998</v>
      </c>
      <c r="E819" t="s">
        <v>14</v>
      </c>
      <c r="F819">
        <v>2126.38</v>
      </c>
      <c r="G819" t="str" cm="1">
        <f t="array" ref="G819">IF(AND(ISNUMBER(SEARCH("UBER",C819)),ISNUMBER(SEARCH("EATS",C819))),"Uber Eats",IF(LEFT(C819,6)="CHECK ","Checks Paid",IF(OR(E819="BILLPAY",ISNUMBER(SEARCH("FRANCHISE TAX",C819)),ISNUMBER(SEARCH("NEXTLINK",C819))),"Personal - House Bills",IF(AND(ISNUMBER(SEARCH("PAYMENT FROM",C819)),ISNUMBER(SEARCH("JOE SAUNDERS",C819))),"Zelle from Joe Saunders",IF(AND(ISNUMBER(SEARCH("PAYMENT TO",C819)),ISNUMBER(SEARCH("JOE SAUNDERS",C819))),"Zelle to Joe Saunders",IF(OR(ISNUMBER(SEARCH("NEW ORLEANS",C819)),ISNUMBER(SEARCH("KENNER",C819)),ISNUMBER(SEARCH("HENRY HOWARD",C819)),ISNUMBER(SEARCH("MISS CLAUDIA",C819))),"Personal Travel - New Orleans",IFERROR(INDEX('Category Rules'!$B$2:$B$194,MATCH(TRUE,ISNUMBER(SEARCH('Category Rules'!$A$2:$A$194,C819)),0)),"")))))))</f>
        <v>Amazon</v>
      </c>
    </row>
    <row r="820" spans="1:7" x14ac:dyDescent="0.25">
      <c r="A820" t="s">
        <v>6</v>
      </c>
      <c r="B820" s="1">
        <v>46097</v>
      </c>
      <c r="C820" t="s">
        <v>779</v>
      </c>
      <c r="D820">
        <v>-16.45</v>
      </c>
      <c r="E820" t="s">
        <v>14</v>
      </c>
      <c r="F820">
        <v>2144.87</v>
      </c>
      <c r="G820" t="str" cm="1">
        <f t="array" ref="G820">IF(AND(ISNUMBER(SEARCH("UBER",C820)),ISNUMBER(SEARCH("EATS",C820))),"Uber Eats",IF(LEFT(C820,6)="CHECK ","Checks Paid",IF(OR(E820="BILLPAY",ISNUMBER(SEARCH("FRANCHISE TAX",C820)),ISNUMBER(SEARCH("NEXTLINK",C820))),"Personal - House Bills",IF(AND(ISNUMBER(SEARCH("PAYMENT FROM",C820)),ISNUMBER(SEARCH("JOE SAUNDERS",C820))),"Zelle from Joe Saunders",IF(AND(ISNUMBER(SEARCH("PAYMENT TO",C820)),ISNUMBER(SEARCH("JOE SAUNDERS",C820))),"Zelle to Joe Saunders",IF(OR(ISNUMBER(SEARCH("NEW ORLEANS",C820)),ISNUMBER(SEARCH("KENNER",C820)),ISNUMBER(SEARCH("HENRY HOWARD",C820)),ISNUMBER(SEARCH("MISS CLAUDIA",C820))),"Personal Travel - New Orleans",IFERROR(INDEX('Category Rules'!$B$2:$B$194,MATCH(TRUE,ISNUMBER(SEARCH('Category Rules'!$A$2:$A$194,C820)),0)),"")))))))</f>
        <v>Amazon</v>
      </c>
    </row>
    <row r="821" spans="1:7" x14ac:dyDescent="0.25">
      <c r="A821" t="s">
        <v>6</v>
      </c>
      <c r="B821" s="1">
        <v>46097</v>
      </c>
      <c r="C821" t="s">
        <v>780</v>
      </c>
      <c r="D821">
        <v>-59.99</v>
      </c>
      <c r="E821" t="s">
        <v>14</v>
      </c>
      <c r="F821">
        <v>2161.3200000000002</v>
      </c>
      <c r="G821" t="str" cm="1">
        <f t="array" ref="G821">IF(AND(ISNUMBER(SEARCH("UBER",C821)),ISNUMBER(SEARCH("EATS",C821))),"Uber Eats",IF(LEFT(C821,6)="CHECK ","Checks Paid",IF(OR(E821="BILLPAY",ISNUMBER(SEARCH("FRANCHISE TAX",C821)),ISNUMBER(SEARCH("NEXTLINK",C821))),"Personal - House Bills",IF(AND(ISNUMBER(SEARCH("PAYMENT FROM",C821)),ISNUMBER(SEARCH("JOE SAUNDERS",C821))),"Zelle from Joe Saunders",IF(AND(ISNUMBER(SEARCH("PAYMENT TO",C821)),ISNUMBER(SEARCH("JOE SAUNDERS",C821))),"Zelle to Joe Saunders",IF(OR(ISNUMBER(SEARCH("NEW ORLEANS",C821)),ISNUMBER(SEARCH("KENNER",C821)),ISNUMBER(SEARCH("HENRY HOWARD",C821)),ISNUMBER(SEARCH("MISS CLAUDIA",C821))),"Personal Travel - New Orleans",IFERROR(INDEX('Category Rules'!$B$2:$B$194,MATCH(TRUE,ISNUMBER(SEARCH('Category Rules'!$A$2:$A$194,C821)),0)),"")))))))</f>
        <v>Apple</v>
      </c>
    </row>
    <row r="822" spans="1:7" x14ac:dyDescent="0.25">
      <c r="A822" t="s">
        <v>6</v>
      </c>
      <c r="B822" s="1">
        <v>46097</v>
      </c>
      <c r="C822" t="s">
        <v>781</v>
      </c>
      <c r="D822">
        <v>-745.38</v>
      </c>
      <c r="E822" t="s">
        <v>14</v>
      </c>
      <c r="F822">
        <v>2221.31</v>
      </c>
      <c r="G822" t="str" cm="1">
        <f t="array" ref="G822">IF(AND(ISNUMBER(SEARCH("UBER",C822)),ISNUMBER(SEARCH("EATS",C822))),"Uber Eats",IF(LEFT(C822,6)="CHECK ","Checks Paid",IF(OR(E822="BILLPAY",ISNUMBER(SEARCH("FRANCHISE TAX",C822)),ISNUMBER(SEARCH("NEXTLINK",C822))),"Personal - House Bills",IF(AND(ISNUMBER(SEARCH("PAYMENT FROM",C822)),ISNUMBER(SEARCH("JOE SAUNDERS",C822))),"Zelle from Joe Saunders",IF(AND(ISNUMBER(SEARCH("PAYMENT TO",C822)),ISNUMBER(SEARCH("JOE SAUNDERS",C822))),"Zelle to Joe Saunders",IF(OR(ISNUMBER(SEARCH("NEW ORLEANS",C822)),ISNUMBER(SEARCH("KENNER",C822)),ISNUMBER(SEARCH("HENRY HOWARD",C822)),ISNUMBER(SEARCH("MISS CLAUDIA",C822))),"Personal Travel - New Orleans",IFERROR(INDEX('Category Rules'!$B$2:$B$194,MATCH(TRUE,ISNUMBER(SEARCH('Category Rules'!$A$2:$A$194,C822)),0)),"")))))))</f>
        <v>Personal Travel</v>
      </c>
    </row>
    <row r="823" spans="1:7" x14ac:dyDescent="0.25">
      <c r="A823" t="s">
        <v>6</v>
      </c>
      <c r="B823" s="1">
        <v>46097</v>
      </c>
      <c r="C823" t="s">
        <v>782</v>
      </c>
      <c r="D823">
        <v>-7.67</v>
      </c>
      <c r="E823" t="s">
        <v>14</v>
      </c>
      <c r="F823">
        <v>2966.69</v>
      </c>
      <c r="G823" t="str" cm="1">
        <f t="array" ref="G823">IF(AND(ISNUMBER(SEARCH("UBER",C823)),ISNUMBER(SEARCH("EATS",C823))),"Uber Eats",IF(LEFT(C823,6)="CHECK ","Checks Paid",IF(OR(E823="BILLPAY",ISNUMBER(SEARCH("FRANCHISE TAX",C823)),ISNUMBER(SEARCH("NEXTLINK",C823))),"Personal - House Bills",IF(AND(ISNUMBER(SEARCH("PAYMENT FROM",C823)),ISNUMBER(SEARCH("JOE SAUNDERS",C823))),"Zelle from Joe Saunders",IF(AND(ISNUMBER(SEARCH("PAYMENT TO",C823)),ISNUMBER(SEARCH("JOE SAUNDERS",C823))),"Zelle to Joe Saunders",IF(OR(ISNUMBER(SEARCH("NEW ORLEANS",C823)),ISNUMBER(SEARCH("KENNER",C823)),ISNUMBER(SEARCH("HENRY HOWARD",C823)),ISNUMBER(SEARCH("MISS CLAUDIA",C823))),"Personal Travel - New Orleans",IFERROR(INDEX('Category Rules'!$B$2:$B$194,MATCH(TRUE,ISNUMBER(SEARCH('Category Rules'!$A$2:$A$194,C823)),0)),"")))))))</f>
        <v>Amazon</v>
      </c>
    </row>
    <row r="824" spans="1:7" x14ac:dyDescent="0.25">
      <c r="A824" t="s">
        <v>6</v>
      </c>
      <c r="B824" s="1">
        <v>46097</v>
      </c>
      <c r="C824" t="s">
        <v>783</v>
      </c>
      <c r="D824">
        <v>-18.649999999999999</v>
      </c>
      <c r="E824" t="s">
        <v>14</v>
      </c>
      <c r="F824">
        <v>2974.36</v>
      </c>
      <c r="G824" t="str" cm="1">
        <f t="array" ref="G824">IF(AND(ISNUMBER(SEARCH("UBER",C824)),ISNUMBER(SEARCH("EATS",C824))),"Uber Eats",IF(LEFT(C824,6)="CHECK ","Checks Paid",IF(OR(E824="BILLPAY",ISNUMBER(SEARCH("FRANCHISE TAX",C824)),ISNUMBER(SEARCH("NEXTLINK",C824))),"Personal - House Bills",IF(AND(ISNUMBER(SEARCH("PAYMENT FROM",C824)),ISNUMBER(SEARCH("JOE SAUNDERS",C824))),"Zelle from Joe Saunders",IF(AND(ISNUMBER(SEARCH("PAYMENT TO",C824)),ISNUMBER(SEARCH("JOE SAUNDERS",C824))),"Zelle to Joe Saunders",IF(OR(ISNUMBER(SEARCH("NEW ORLEANS",C824)),ISNUMBER(SEARCH("KENNER",C824)),ISNUMBER(SEARCH("HENRY HOWARD",C824)),ISNUMBER(SEARCH("MISS CLAUDIA",C824))),"Personal Travel - New Orleans",IFERROR(INDEX('Category Rules'!$B$2:$B$194,MATCH(TRUE,ISNUMBER(SEARCH('Category Rules'!$A$2:$A$194,C824)),0)),"")))))))</f>
        <v>Amazon</v>
      </c>
    </row>
    <row r="825" spans="1:7" x14ac:dyDescent="0.25">
      <c r="A825" t="s">
        <v>6</v>
      </c>
      <c r="B825" s="1">
        <v>46097</v>
      </c>
      <c r="C825" t="s">
        <v>784</v>
      </c>
      <c r="D825">
        <v>-10.96</v>
      </c>
      <c r="E825" t="s">
        <v>14</v>
      </c>
      <c r="F825">
        <v>2993.01</v>
      </c>
      <c r="G825" t="str" cm="1">
        <f t="array" ref="G825">IF(AND(ISNUMBER(SEARCH("UBER",C825)),ISNUMBER(SEARCH("EATS",C825))),"Uber Eats",IF(LEFT(C825,6)="CHECK ","Checks Paid",IF(OR(E825="BILLPAY",ISNUMBER(SEARCH("FRANCHISE TAX",C825)),ISNUMBER(SEARCH("NEXTLINK",C825))),"Personal - House Bills",IF(AND(ISNUMBER(SEARCH("PAYMENT FROM",C825)),ISNUMBER(SEARCH("JOE SAUNDERS",C825))),"Zelle from Joe Saunders",IF(AND(ISNUMBER(SEARCH("PAYMENT TO",C825)),ISNUMBER(SEARCH("JOE SAUNDERS",C825))),"Zelle to Joe Saunders",IF(OR(ISNUMBER(SEARCH("NEW ORLEANS",C825)),ISNUMBER(SEARCH("KENNER",C825)),ISNUMBER(SEARCH("HENRY HOWARD",C825)),ISNUMBER(SEARCH("MISS CLAUDIA",C825))),"Personal Travel - New Orleans",IFERROR(INDEX('Category Rules'!$B$2:$B$194,MATCH(TRUE,ISNUMBER(SEARCH('Category Rules'!$A$2:$A$194,C825)),0)),"")))))))</f>
        <v>Amazon</v>
      </c>
    </row>
    <row r="826" spans="1:7" x14ac:dyDescent="0.25">
      <c r="A826" t="s">
        <v>6</v>
      </c>
      <c r="B826" s="1">
        <v>46097</v>
      </c>
      <c r="C826" t="s">
        <v>785</v>
      </c>
      <c r="D826">
        <v>-5</v>
      </c>
      <c r="E826" t="s">
        <v>14</v>
      </c>
      <c r="F826">
        <v>3003.97</v>
      </c>
      <c r="G826" t="str" cm="1">
        <f t="array" ref="G826">IF(AND(ISNUMBER(SEARCH("UBER",C826)),ISNUMBER(SEARCH("EATS",C826))),"Uber Eats",IF(LEFT(C826,6)="CHECK ","Checks Paid",IF(OR(E826="BILLPAY",ISNUMBER(SEARCH("FRANCHISE TAX",C826)),ISNUMBER(SEARCH("NEXTLINK",C826))),"Personal - House Bills",IF(AND(ISNUMBER(SEARCH("PAYMENT FROM",C826)),ISNUMBER(SEARCH("JOE SAUNDERS",C826))),"Zelle from Joe Saunders",IF(AND(ISNUMBER(SEARCH("PAYMENT TO",C826)),ISNUMBER(SEARCH("JOE SAUNDERS",C826))),"Zelle to Joe Saunders",IF(OR(ISNUMBER(SEARCH("NEW ORLEANS",C826)),ISNUMBER(SEARCH("KENNER",C826)),ISNUMBER(SEARCH("HENRY HOWARD",C826)),ISNUMBER(SEARCH("MISS CLAUDIA",C826))),"Personal Travel - New Orleans",IFERROR(INDEX('Category Rules'!$B$2:$B$194,MATCH(TRUE,ISNUMBER(SEARCH('Category Rules'!$A$2:$A$194,C826)),0)),"")))))))</f>
        <v>Amazon</v>
      </c>
    </row>
    <row r="827" spans="1:7" x14ac:dyDescent="0.25">
      <c r="A827" t="s">
        <v>6</v>
      </c>
      <c r="B827" s="1">
        <v>46097</v>
      </c>
      <c r="C827" t="s">
        <v>786</v>
      </c>
      <c r="D827">
        <v>-61.36</v>
      </c>
      <c r="E827" t="s">
        <v>14</v>
      </c>
      <c r="F827">
        <v>3008.97</v>
      </c>
      <c r="G827" t="str" cm="1">
        <f t="array" ref="G827">IF(AND(ISNUMBER(SEARCH("UBER",C827)),ISNUMBER(SEARCH("EATS",C827))),"Uber Eats",IF(LEFT(C827,6)="CHECK ","Checks Paid",IF(OR(E827="BILLPAY",ISNUMBER(SEARCH("FRANCHISE TAX",C827)),ISNUMBER(SEARCH("NEXTLINK",C827))),"Personal - House Bills",IF(AND(ISNUMBER(SEARCH("PAYMENT FROM",C827)),ISNUMBER(SEARCH("JOE SAUNDERS",C827))),"Zelle from Joe Saunders",IF(AND(ISNUMBER(SEARCH("PAYMENT TO",C827)),ISNUMBER(SEARCH("JOE SAUNDERS",C827))),"Zelle to Joe Saunders",IF(OR(ISNUMBER(SEARCH("NEW ORLEANS",C827)),ISNUMBER(SEARCH("KENNER",C827)),ISNUMBER(SEARCH("HENRY HOWARD",C827)),ISNUMBER(SEARCH("MISS CLAUDIA",C827))),"Personal Travel - New Orleans",IFERROR(INDEX('Category Rules'!$B$2:$B$194,MATCH(TRUE,ISNUMBER(SEARCH('Category Rules'!$A$2:$A$194,C827)),0)),"")))))))</f>
        <v>Amazon</v>
      </c>
    </row>
    <row r="828" spans="1:7" x14ac:dyDescent="0.25">
      <c r="A828" t="s">
        <v>6</v>
      </c>
      <c r="B828" s="1">
        <v>46097</v>
      </c>
      <c r="C828" t="s">
        <v>787</v>
      </c>
      <c r="D828">
        <v>-14.36</v>
      </c>
      <c r="E828" t="s">
        <v>14</v>
      </c>
      <c r="F828">
        <v>3070.33</v>
      </c>
      <c r="G828" t="str" cm="1">
        <f t="array" ref="G828">IF(AND(ISNUMBER(SEARCH("UBER",C828)),ISNUMBER(SEARCH("EATS",C828))),"Uber Eats",IF(LEFT(C828,6)="CHECK ","Checks Paid",IF(OR(E828="BILLPAY",ISNUMBER(SEARCH("FRANCHISE TAX",C828)),ISNUMBER(SEARCH("NEXTLINK",C828))),"Personal - House Bills",IF(AND(ISNUMBER(SEARCH("PAYMENT FROM",C828)),ISNUMBER(SEARCH("JOE SAUNDERS",C828))),"Zelle from Joe Saunders",IF(AND(ISNUMBER(SEARCH("PAYMENT TO",C828)),ISNUMBER(SEARCH("JOE SAUNDERS",C828))),"Zelle to Joe Saunders",IF(OR(ISNUMBER(SEARCH("NEW ORLEANS",C828)),ISNUMBER(SEARCH("KENNER",C828)),ISNUMBER(SEARCH("HENRY HOWARD",C828)),ISNUMBER(SEARCH("MISS CLAUDIA",C828))),"Personal Travel - New Orleans",IFERROR(INDEX('Category Rules'!$B$2:$B$194,MATCH(TRUE,ISNUMBER(SEARCH('Category Rules'!$A$2:$A$194,C828)),0)),"")))))))</f>
        <v>Amazon</v>
      </c>
    </row>
    <row r="829" spans="1:7" x14ac:dyDescent="0.25">
      <c r="A829" t="s">
        <v>37</v>
      </c>
      <c r="B829" s="1">
        <v>46097</v>
      </c>
      <c r="C829" t="s">
        <v>788</v>
      </c>
      <c r="D829">
        <v>3000</v>
      </c>
      <c r="E829" t="s">
        <v>39</v>
      </c>
      <c r="F829">
        <v>3084.69</v>
      </c>
      <c r="G829" t="str" cm="1">
        <f t="array" ref="G829">IF(AND(ISNUMBER(SEARCH("UBER",C829)),ISNUMBER(SEARCH("EATS",C829))),"Uber Eats",IF(LEFT(C829,6)="CHECK ","Checks Paid",IF(OR(E829="BILLPAY",ISNUMBER(SEARCH("FRANCHISE TAX",C829)),ISNUMBER(SEARCH("NEXTLINK",C829))),"Personal - House Bills",IF(AND(ISNUMBER(SEARCH("PAYMENT FROM",C829)),ISNUMBER(SEARCH("JOE SAUNDERS",C829))),"Zelle from Joe Saunders",IF(AND(ISNUMBER(SEARCH("PAYMENT TO",C829)),ISNUMBER(SEARCH("JOE SAUNDERS",C829))),"Zelle to Joe Saunders",IF(OR(ISNUMBER(SEARCH("NEW ORLEANS",C829)),ISNUMBER(SEARCH("KENNER",C829)),ISNUMBER(SEARCH("HENRY HOWARD",C829)),ISNUMBER(SEARCH("MISS CLAUDIA",C829))),"Personal Travel - New Orleans",IFERROR(INDEX('Category Rules'!$B$2:$B$194,MATCH(TRUE,ISNUMBER(SEARCH('Category Rules'!$A$2:$A$194,C829)),0)),"")))))))</f>
        <v>Transfer from DWG Capital Group</v>
      </c>
    </row>
    <row r="830" spans="1:7" x14ac:dyDescent="0.25">
      <c r="A830" t="s">
        <v>6</v>
      </c>
      <c r="B830" s="1">
        <v>46094</v>
      </c>
      <c r="C830" t="s">
        <v>789</v>
      </c>
      <c r="D830">
        <v>-40.49</v>
      </c>
      <c r="E830" t="s">
        <v>14</v>
      </c>
      <c r="F830">
        <v>84.69</v>
      </c>
      <c r="G830" t="str" cm="1">
        <f t="array" ref="G830">IF(AND(ISNUMBER(SEARCH("UBER",C830)),ISNUMBER(SEARCH("EATS",C830))),"Uber Eats",IF(LEFT(C830,6)="CHECK ","Checks Paid",IF(OR(E830="BILLPAY",ISNUMBER(SEARCH("FRANCHISE TAX",C830)),ISNUMBER(SEARCH("NEXTLINK",C830))),"Personal - House Bills",IF(AND(ISNUMBER(SEARCH("PAYMENT FROM",C830)),ISNUMBER(SEARCH("JOE SAUNDERS",C830))),"Zelle from Joe Saunders",IF(AND(ISNUMBER(SEARCH("PAYMENT TO",C830)),ISNUMBER(SEARCH("JOE SAUNDERS",C830))),"Zelle to Joe Saunders",IF(OR(ISNUMBER(SEARCH("NEW ORLEANS",C830)),ISNUMBER(SEARCH("KENNER",C830)),ISNUMBER(SEARCH("HENRY HOWARD",C830)),ISNUMBER(SEARCH("MISS CLAUDIA",C830))),"Personal Travel - New Orleans",IFERROR(INDEX('Category Rules'!$B$2:$B$194,MATCH(TRUE,ISNUMBER(SEARCH('Category Rules'!$A$2:$A$194,C830)),0)),"")))))))</f>
        <v>Personal - Food</v>
      </c>
    </row>
    <row r="831" spans="1:7" x14ac:dyDescent="0.25">
      <c r="A831" t="s">
        <v>6</v>
      </c>
      <c r="B831" s="1">
        <v>46094</v>
      </c>
      <c r="C831" t="s">
        <v>790</v>
      </c>
      <c r="D831">
        <v>-32.86</v>
      </c>
      <c r="E831" t="s">
        <v>14</v>
      </c>
      <c r="F831">
        <v>125.18</v>
      </c>
      <c r="G831" t="str" cm="1">
        <f t="array" ref="G831">IF(AND(ISNUMBER(SEARCH("UBER",C831)),ISNUMBER(SEARCH("EATS",C831))),"Uber Eats",IF(LEFT(C831,6)="CHECK ","Checks Paid",IF(OR(E831="BILLPAY",ISNUMBER(SEARCH("FRANCHISE TAX",C831)),ISNUMBER(SEARCH("NEXTLINK",C831))),"Personal - House Bills",IF(AND(ISNUMBER(SEARCH("PAYMENT FROM",C831)),ISNUMBER(SEARCH("JOE SAUNDERS",C831))),"Zelle from Joe Saunders",IF(AND(ISNUMBER(SEARCH("PAYMENT TO",C831)),ISNUMBER(SEARCH("JOE SAUNDERS",C831))),"Zelle to Joe Saunders",IF(OR(ISNUMBER(SEARCH("NEW ORLEANS",C831)),ISNUMBER(SEARCH("KENNER",C831)),ISNUMBER(SEARCH("HENRY HOWARD",C831)),ISNUMBER(SEARCH("MISS CLAUDIA",C831))),"Personal Travel - New Orleans",IFERROR(INDEX('Category Rules'!$B$2:$B$194,MATCH(TRUE,ISNUMBER(SEARCH('Category Rules'!$A$2:$A$194,C831)),0)),"")))))))</f>
        <v>Personal - Health</v>
      </c>
    </row>
    <row r="832" spans="1:7" x14ac:dyDescent="0.25">
      <c r="A832" t="s">
        <v>6</v>
      </c>
      <c r="B832" s="1">
        <v>46094</v>
      </c>
      <c r="C832" t="s">
        <v>791</v>
      </c>
      <c r="D832">
        <v>-8.77</v>
      </c>
      <c r="E832" t="s">
        <v>14</v>
      </c>
      <c r="F832">
        <v>158.04</v>
      </c>
      <c r="G832" t="str" cm="1">
        <f t="array" ref="G832">IF(AND(ISNUMBER(SEARCH("UBER",C832)),ISNUMBER(SEARCH("EATS",C832))),"Uber Eats",IF(LEFT(C832,6)="CHECK ","Checks Paid",IF(OR(E832="BILLPAY",ISNUMBER(SEARCH("FRANCHISE TAX",C832)),ISNUMBER(SEARCH("NEXTLINK",C832))),"Personal - House Bills",IF(AND(ISNUMBER(SEARCH("PAYMENT FROM",C832)),ISNUMBER(SEARCH("JOE SAUNDERS",C832))),"Zelle from Joe Saunders",IF(AND(ISNUMBER(SEARCH("PAYMENT TO",C832)),ISNUMBER(SEARCH("JOE SAUNDERS",C832))),"Zelle to Joe Saunders",IF(OR(ISNUMBER(SEARCH("NEW ORLEANS",C832)),ISNUMBER(SEARCH("KENNER",C832)),ISNUMBER(SEARCH("HENRY HOWARD",C832)),ISNUMBER(SEARCH("MISS CLAUDIA",C832))),"Personal Travel - New Orleans",IFERROR(INDEX('Category Rules'!$B$2:$B$194,MATCH(TRUE,ISNUMBER(SEARCH('Category Rules'!$A$2:$A$194,C832)),0)),"")))))))</f>
        <v>Amazon</v>
      </c>
    </row>
    <row r="833" spans="1:7" x14ac:dyDescent="0.25">
      <c r="A833" t="s">
        <v>6</v>
      </c>
      <c r="B833" s="1">
        <v>46094</v>
      </c>
      <c r="C833" t="s">
        <v>792</v>
      </c>
      <c r="D833">
        <v>-338.23</v>
      </c>
      <c r="E833" t="s">
        <v>14</v>
      </c>
      <c r="F833">
        <v>166.81</v>
      </c>
      <c r="G833" t="str" cm="1">
        <f t="array" ref="G833">IF(AND(ISNUMBER(SEARCH("UBER",C833)),ISNUMBER(SEARCH("EATS",C833))),"Uber Eats",IF(LEFT(C833,6)="CHECK ","Checks Paid",IF(OR(E833="BILLPAY",ISNUMBER(SEARCH("FRANCHISE TAX",C833)),ISNUMBER(SEARCH("NEXTLINK",C833))),"Personal - House Bills",IF(AND(ISNUMBER(SEARCH("PAYMENT FROM",C833)),ISNUMBER(SEARCH("JOE SAUNDERS",C833))),"Zelle from Joe Saunders",IF(AND(ISNUMBER(SEARCH("PAYMENT TO",C833)),ISNUMBER(SEARCH("JOE SAUNDERS",C833))),"Zelle to Joe Saunders",IF(OR(ISNUMBER(SEARCH("NEW ORLEANS",C833)),ISNUMBER(SEARCH("KENNER",C833)),ISNUMBER(SEARCH("HENRY HOWARD",C833)),ISNUMBER(SEARCH("MISS CLAUDIA",C833))),"Personal Travel - New Orleans",IFERROR(INDEX('Category Rules'!$B$2:$B$194,MATCH(TRUE,ISNUMBER(SEARCH('Category Rules'!$A$2:$A$194,C833)),0)),"")))))))</f>
        <v>Personal - Food</v>
      </c>
    </row>
    <row r="834" spans="1:7" x14ac:dyDescent="0.25">
      <c r="A834" t="s">
        <v>6</v>
      </c>
      <c r="B834" s="1">
        <v>46094</v>
      </c>
      <c r="C834" t="s">
        <v>793</v>
      </c>
      <c r="D834">
        <v>-18.48</v>
      </c>
      <c r="E834" t="s">
        <v>14</v>
      </c>
      <c r="F834">
        <v>505.04</v>
      </c>
      <c r="G834" t="str" cm="1">
        <f t="array" ref="G834">IF(AND(ISNUMBER(SEARCH("UBER",C834)),ISNUMBER(SEARCH("EATS",C834))),"Uber Eats",IF(LEFT(C834,6)="CHECK ","Checks Paid",IF(OR(E834="BILLPAY",ISNUMBER(SEARCH("FRANCHISE TAX",C834)),ISNUMBER(SEARCH("NEXTLINK",C834))),"Personal - House Bills",IF(AND(ISNUMBER(SEARCH("PAYMENT FROM",C834)),ISNUMBER(SEARCH("JOE SAUNDERS",C834))),"Zelle from Joe Saunders",IF(AND(ISNUMBER(SEARCH("PAYMENT TO",C834)),ISNUMBER(SEARCH("JOE SAUNDERS",C834))),"Zelle to Joe Saunders",IF(OR(ISNUMBER(SEARCH("NEW ORLEANS",C834)),ISNUMBER(SEARCH("KENNER",C834)),ISNUMBER(SEARCH("HENRY HOWARD",C834)),ISNUMBER(SEARCH("MISS CLAUDIA",C834))),"Personal Travel - New Orleans",IFERROR(INDEX('Category Rules'!$B$2:$B$194,MATCH(TRUE,ISNUMBER(SEARCH('Category Rules'!$A$2:$A$194,C834)),0)),"")))))))</f>
        <v>Personal - Food</v>
      </c>
    </row>
    <row r="835" spans="1:7" x14ac:dyDescent="0.25">
      <c r="A835" t="s">
        <v>6</v>
      </c>
      <c r="B835" s="1">
        <v>46094</v>
      </c>
      <c r="C835" t="s">
        <v>794</v>
      </c>
      <c r="D835">
        <v>-65.38</v>
      </c>
      <c r="E835" t="s">
        <v>14</v>
      </c>
      <c r="F835">
        <v>523.52</v>
      </c>
      <c r="G835" t="str" cm="1">
        <f t="array" ref="G835">IF(AND(ISNUMBER(SEARCH("UBER",C835)),ISNUMBER(SEARCH("EATS",C835))),"Uber Eats",IF(LEFT(C835,6)="CHECK ","Checks Paid",IF(OR(E835="BILLPAY",ISNUMBER(SEARCH("FRANCHISE TAX",C835)),ISNUMBER(SEARCH("NEXTLINK",C835))),"Personal - House Bills",IF(AND(ISNUMBER(SEARCH("PAYMENT FROM",C835)),ISNUMBER(SEARCH("JOE SAUNDERS",C835))),"Zelle from Joe Saunders",IF(AND(ISNUMBER(SEARCH("PAYMENT TO",C835)),ISNUMBER(SEARCH("JOE SAUNDERS",C835))),"Zelle to Joe Saunders",IF(OR(ISNUMBER(SEARCH("NEW ORLEANS",C835)),ISNUMBER(SEARCH("KENNER",C835)),ISNUMBER(SEARCH("HENRY HOWARD",C835)),ISNUMBER(SEARCH("MISS CLAUDIA",C835))),"Personal Travel - New Orleans",IFERROR(INDEX('Category Rules'!$B$2:$B$194,MATCH(TRUE,ISNUMBER(SEARCH('Category Rules'!$A$2:$A$194,C835)),0)),"")))))))</f>
        <v>Amazon</v>
      </c>
    </row>
    <row r="836" spans="1:7" x14ac:dyDescent="0.25">
      <c r="A836" t="s">
        <v>6</v>
      </c>
      <c r="B836" s="1">
        <v>46094</v>
      </c>
      <c r="C836" t="s">
        <v>795</v>
      </c>
      <c r="D836">
        <v>-87.78</v>
      </c>
      <c r="E836" t="s">
        <v>14</v>
      </c>
      <c r="F836">
        <v>588.9</v>
      </c>
      <c r="G836" t="str" cm="1">
        <f t="array" ref="G836">IF(AND(ISNUMBER(SEARCH("UBER",C836)),ISNUMBER(SEARCH("EATS",C836))),"Uber Eats",IF(LEFT(C836,6)="CHECK ","Checks Paid",IF(OR(E836="BILLPAY",ISNUMBER(SEARCH("FRANCHISE TAX",C836)),ISNUMBER(SEARCH("NEXTLINK",C836))),"Personal - House Bills",IF(AND(ISNUMBER(SEARCH("PAYMENT FROM",C836)),ISNUMBER(SEARCH("JOE SAUNDERS",C836))),"Zelle from Joe Saunders",IF(AND(ISNUMBER(SEARCH("PAYMENT TO",C836)),ISNUMBER(SEARCH("JOE SAUNDERS",C836))),"Zelle to Joe Saunders",IF(OR(ISNUMBER(SEARCH("NEW ORLEANS",C836)),ISNUMBER(SEARCH("KENNER",C836)),ISNUMBER(SEARCH("HENRY HOWARD",C836)),ISNUMBER(SEARCH("MISS CLAUDIA",C836))),"Personal Travel - New Orleans",IFERROR(INDEX('Category Rules'!$B$2:$B$194,MATCH(TRUE,ISNUMBER(SEARCH('Category Rules'!$A$2:$A$194,C836)),0)),"")))))))</f>
        <v>Amazon</v>
      </c>
    </row>
    <row r="837" spans="1:7" x14ac:dyDescent="0.25">
      <c r="A837" t="s">
        <v>6</v>
      </c>
      <c r="B837" s="1">
        <v>46094</v>
      </c>
      <c r="C837" t="s">
        <v>796</v>
      </c>
      <c r="D837">
        <v>-27.42</v>
      </c>
      <c r="E837" t="s">
        <v>14</v>
      </c>
      <c r="F837">
        <v>676.68</v>
      </c>
      <c r="G837" t="str" cm="1">
        <f t="array" ref="G837">IF(AND(ISNUMBER(SEARCH("UBER",C837)),ISNUMBER(SEARCH("EATS",C837))),"Uber Eats",IF(LEFT(C837,6)="CHECK ","Checks Paid",IF(OR(E837="BILLPAY",ISNUMBER(SEARCH("FRANCHISE TAX",C837)),ISNUMBER(SEARCH("NEXTLINK",C837))),"Personal - House Bills",IF(AND(ISNUMBER(SEARCH("PAYMENT FROM",C837)),ISNUMBER(SEARCH("JOE SAUNDERS",C837))),"Zelle from Joe Saunders",IF(AND(ISNUMBER(SEARCH("PAYMENT TO",C837)),ISNUMBER(SEARCH("JOE SAUNDERS",C837))),"Zelle to Joe Saunders",IF(OR(ISNUMBER(SEARCH("NEW ORLEANS",C837)),ISNUMBER(SEARCH("KENNER",C837)),ISNUMBER(SEARCH("HENRY HOWARD",C837)),ISNUMBER(SEARCH("MISS CLAUDIA",C837))),"Personal Travel - New Orleans",IFERROR(INDEX('Category Rules'!$B$2:$B$194,MATCH(TRUE,ISNUMBER(SEARCH('Category Rules'!$A$2:$A$194,C837)),0)),"")))))))</f>
        <v>Amazon</v>
      </c>
    </row>
    <row r="838" spans="1:7" x14ac:dyDescent="0.25">
      <c r="A838" t="s">
        <v>6</v>
      </c>
      <c r="B838" s="1">
        <v>46094</v>
      </c>
      <c r="C838" t="s">
        <v>797</v>
      </c>
      <c r="D838">
        <v>-43.89</v>
      </c>
      <c r="E838" t="s">
        <v>14</v>
      </c>
      <c r="F838">
        <v>704.1</v>
      </c>
      <c r="G838" t="str" cm="1">
        <f t="array" ref="G838">IF(AND(ISNUMBER(SEARCH("UBER",C838)),ISNUMBER(SEARCH("EATS",C838))),"Uber Eats",IF(LEFT(C838,6)="CHECK ","Checks Paid",IF(OR(E838="BILLPAY",ISNUMBER(SEARCH("FRANCHISE TAX",C838)),ISNUMBER(SEARCH("NEXTLINK",C838))),"Personal - House Bills",IF(AND(ISNUMBER(SEARCH("PAYMENT FROM",C838)),ISNUMBER(SEARCH("JOE SAUNDERS",C838))),"Zelle from Joe Saunders",IF(AND(ISNUMBER(SEARCH("PAYMENT TO",C838)),ISNUMBER(SEARCH("JOE SAUNDERS",C838))),"Zelle to Joe Saunders",IF(OR(ISNUMBER(SEARCH("NEW ORLEANS",C838)),ISNUMBER(SEARCH("KENNER",C838)),ISNUMBER(SEARCH("HENRY HOWARD",C838)),ISNUMBER(SEARCH("MISS CLAUDIA",C838))),"Personal Travel - New Orleans",IFERROR(INDEX('Category Rules'!$B$2:$B$194,MATCH(TRUE,ISNUMBER(SEARCH('Category Rules'!$A$2:$A$194,C838)),0)),"")))))))</f>
        <v>Amazon</v>
      </c>
    </row>
    <row r="839" spans="1:7" x14ac:dyDescent="0.25">
      <c r="A839" t="s">
        <v>6</v>
      </c>
      <c r="B839" s="1">
        <v>46094</v>
      </c>
      <c r="C839" t="s">
        <v>798</v>
      </c>
      <c r="D839">
        <v>-89.96</v>
      </c>
      <c r="E839" t="s">
        <v>14</v>
      </c>
      <c r="F839">
        <v>747.99</v>
      </c>
      <c r="G839" t="str" cm="1">
        <f t="array" ref="G839">IF(AND(ISNUMBER(SEARCH("UBER",C839)),ISNUMBER(SEARCH("EATS",C839))),"Uber Eats",IF(LEFT(C839,6)="CHECK ","Checks Paid",IF(OR(E839="BILLPAY",ISNUMBER(SEARCH("FRANCHISE TAX",C839)),ISNUMBER(SEARCH("NEXTLINK",C839))),"Personal - House Bills",IF(AND(ISNUMBER(SEARCH("PAYMENT FROM",C839)),ISNUMBER(SEARCH("JOE SAUNDERS",C839))),"Zelle from Joe Saunders",IF(AND(ISNUMBER(SEARCH("PAYMENT TO",C839)),ISNUMBER(SEARCH("JOE SAUNDERS",C839))),"Zelle to Joe Saunders",IF(OR(ISNUMBER(SEARCH("NEW ORLEANS",C839)),ISNUMBER(SEARCH("KENNER",C839)),ISNUMBER(SEARCH("HENRY HOWARD",C839)),ISNUMBER(SEARCH("MISS CLAUDIA",C839))),"Personal Travel - New Orleans",IFERROR(INDEX('Category Rules'!$B$2:$B$194,MATCH(TRUE,ISNUMBER(SEARCH('Category Rules'!$A$2:$A$194,C839)),0)),"")))))))</f>
        <v>Amazon</v>
      </c>
    </row>
    <row r="840" spans="1:7" x14ac:dyDescent="0.25">
      <c r="A840" t="s">
        <v>6</v>
      </c>
      <c r="B840" s="1">
        <v>46093</v>
      </c>
      <c r="C840" t="s">
        <v>799</v>
      </c>
      <c r="D840">
        <v>-172.51</v>
      </c>
      <c r="E840" t="s">
        <v>14</v>
      </c>
      <c r="F840">
        <v>837.95</v>
      </c>
      <c r="G840" t="str" cm="1">
        <f t="array" ref="G840">IF(AND(ISNUMBER(SEARCH("UBER",C840)),ISNUMBER(SEARCH("EATS",C840))),"Uber Eats",IF(LEFT(C840,6)="CHECK ","Checks Paid",IF(OR(E840="BILLPAY",ISNUMBER(SEARCH("FRANCHISE TAX",C840)),ISNUMBER(SEARCH("NEXTLINK",C840))),"Personal - House Bills",IF(AND(ISNUMBER(SEARCH("PAYMENT FROM",C840)),ISNUMBER(SEARCH("JOE SAUNDERS",C840))),"Zelle from Joe Saunders",IF(AND(ISNUMBER(SEARCH("PAYMENT TO",C840)),ISNUMBER(SEARCH("JOE SAUNDERS",C840))),"Zelle to Joe Saunders",IF(OR(ISNUMBER(SEARCH("NEW ORLEANS",C840)),ISNUMBER(SEARCH("KENNER",C840)),ISNUMBER(SEARCH("HENRY HOWARD",C840)),ISNUMBER(SEARCH("MISS CLAUDIA",C840))),"Personal Travel - New Orleans",IFERROR(INDEX('Category Rules'!$B$2:$B$194,MATCH(TRUE,ISNUMBER(SEARCH('Category Rules'!$A$2:$A$194,C840)),0)),"")))))))</f>
        <v>Personal - Food</v>
      </c>
    </row>
    <row r="841" spans="1:7" x14ac:dyDescent="0.25">
      <c r="A841" t="s">
        <v>6</v>
      </c>
      <c r="B841" s="1">
        <v>46093</v>
      </c>
      <c r="C841" t="s">
        <v>800</v>
      </c>
      <c r="D841">
        <v>-900</v>
      </c>
      <c r="E841" t="s">
        <v>14</v>
      </c>
      <c r="F841">
        <v>1010.46</v>
      </c>
      <c r="G841" t="str" cm="1">
        <f t="array" ref="G841">IF(AND(ISNUMBER(SEARCH("UBER",C841)),ISNUMBER(SEARCH("EATS",C841))),"Uber Eats",IF(LEFT(C841,6)="CHECK ","Checks Paid",IF(OR(E841="BILLPAY",ISNUMBER(SEARCH("FRANCHISE TAX",C841)),ISNUMBER(SEARCH("NEXTLINK",C841))),"Personal - House Bills",IF(AND(ISNUMBER(SEARCH("PAYMENT FROM",C841)),ISNUMBER(SEARCH("JOE SAUNDERS",C841))),"Zelle from Joe Saunders",IF(AND(ISNUMBER(SEARCH("PAYMENT TO",C841)),ISNUMBER(SEARCH("JOE SAUNDERS",C841))),"Zelle to Joe Saunders",IF(OR(ISNUMBER(SEARCH("NEW ORLEANS",C841)),ISNUMBER(SEARCH("KENNER",C841)),ISNUMBER(SEARCH("HENRY HOWARD",C841)),ISNUMBER(SEARCH("MISS CLAUDIA",C841))),"Personal Travel - New Orleans",IFERROR(INDEX('Category Rules'!$B$2:$B$194,MATCH(TRUE,ISNUMBER(SEARCH('Category Rules'!$A$2:$A$194,C841)),0)),"")))))))</f>
        <v>Personal - Health</v>
      </c>
    </row>
    <row r="842" spans="1:7" x14ac:dyDescent="0.25">
      <c r="A842" t="s">
        <v>6</v>
      </c>
      <c r="B842" s="1">
        <v>46093</v>
      </c>
      <c r="C842" t="s">
        <v>801</v>
      </c>
      <c r="D842">
        <v>-48.49</v>
      </c>
      <c r="E842" t="s">
        <v>14</v>
      </c>
      <c r="F842">
        <v>1910.46</v>
      </c>
      <c r="G842" t="str" cm="1">
        <f t="array" ref="G842">IF(AND(ISNUMBER(SEARCH("UBER",C842)),ISNUMBER(SEARCH("EATS",C842))),"Uber Eats",IF(LEFT(C842,6)="CHECK ","Checks Paid",IF(OR(E842="BILLPAY",ISNUMBER(SEARCH("FRANCHISE TAX",C842)),ISNUMBER(SEARCH("NEXTLINK",C842))),"Personal - House Bills",IF(AND(ISNUMBER(SEARCH("PAYMENT FROM",C842)),ISNUMBER(SEARCH("JOE SAUNDERS",C842))),"Zelle from Joe Saunders",IF(AND(ISNUMBER(SEARCH("PAYMENT TO",C842)),ISNUMBER(SEARCH("JOE SAUNDERS",C842))),"Zelle to Joe Saunders",IF(OR(ISNUMBER(SEARCH("NEW ORLEANS",C842)),ISNUMBER(SEARCH("KENNER",C842)),ISNUMBER(SEARCH("HENRY HOWARD",C842)),ISNUMBER(SEARCH("MISS CLAUDIA",C842))),"Personal Travel - New Orleans",IFERROR(INDEX('Category Rules'!$B$2:$B$194,MATCH(TRUE,ISNUMBER(SEARCH('Category Rules'!$A$2:$A$194,C842)),0)),"")))))))</f>
        <v>Personal - Car</v>
      </c>
    </row>
    <row r="843" spans="1:7" x14ac:dyDescent="0.25">
      <c r="A843" t="s">
        <v>6</v>
      </c>
      <c r="B843" s="1">
        <v>46093</v>
      </c>
      <c r="C843" t="s">
        <v>802</v>
      </c>
      <c r="D843">
        <v>-13.54</v>
      </c>
      <c r="E843" t="s">
        <v>14</v>
      </c>
      <c r="F843">
        <v>1958.95</v>
      </c>
      <c r="G843" t="str" cm="1">
        <f t="array" ref="G843">IF(AND(ISNUMBER(SEARCH("UBER",C843)),ISNUMBER(SEARCH("EATS",C843))),"Uber Eats",IF(LEFT(C843,6)="CHECK ","Checks Paid",IF(OR(E843="BILLPAY",ISNUMBER(SEARCH("FRANCHISE TAX",C843)),ISNUMBER(SEARCH("NEXTLINK",C843))),"Personal - House Bills",IF(AND(ISNUMBER(SEARCH("PAYMENT FROM",C843)),ISNUMBER(SEARCH("JOE SAUNDERS",C843))),"Zelle from Joe Saunders",IF(AND(ISNUMBER(SEARCH("PAYMENT TO",C843)),ISNUMBER(SEARCH("JOE SAUNDERS",C843))),"Zelle to Joe Saunders",IF(OR(ISNUMBER(SEARCH("NEW ORLEANS",C843)),ISNUMBER(SEARCH("KENNER",C843)),ISNUMBER(SEARCH("HENRY HOWARD",C843)),ISNUMBER(SEARCH("MISS CLAUDIA",C843))),"Personal Travel - New Orleans",IFERROR(INDEX('Category Rules'!$B$2:$B$194,MATCH(TRUE,ISNUMBER(SEARCH('Category Rules'!$A$2:$A$194,C843)),0)),"")))))))</f>
        <v>Amazon</v>
      </c>
    </row>
    <row r="844" spans="1:7" x14ac:dyDescent="0.25">
      <c r="A844" t="s">
        <v>37</v>
      </c>
      <c r="B844" s="1">
        <v>46093</v>
      </c>
      <c r="C844" t="s">
        <v>803</v>
      </c>
      <c r="D844">
        <v>57.33</v>
      </c>
      <c r="E844" t="s">
        <v>117</v>
      </c>
      <c r="F844">
        <v>1972.49</v>
      </c>
      <c r="G844" t="str" cm="1">
        <f t="array" ref="G844">IF(AND(ISNUMBER(SEARCH("UBER",C844)),ISNUMBER(SEARCH("EATS",C844))),"Uber Eats",IF(LEFT(C844,6)="CHECK ","Checks Paid",IF(OR(E844="BILLPAY",ISNUMBER(SEARCH("FRANCHISE TAX",C844)),ISNUMBER(SEARCH("NEXTLINK",C844))),"Personal - House Bills",IF(AND(ISNUMBER(SEARCH("PAYMENT FROM",C844)),ISNUMBER(SEARCH("JOE SAUNDERS",C844))),"Zelle from Joe Saunders",IF(AND(ISNUMBER(SEARCH("PAYMENT TO",C844)),ISNUMBER(SEARCH("JOE SAUNDERS",C844))),"Zelle to Joe Saunders",IF(OR(ISNUMBER(SEARCH("NEW ORLEANS",C844)),ISNUMBER(SEARCH("KENNER",C844)),ISNUMBER(SEARCH("HENRY HOWARD",C844)),ISNUMBER(SEARCH("MISS CLAUDIA",C844))),"Personal Travel - New Orleans",IFERROR(INDEX('Category Rules'!$B$2:$B$194,MATCH(TRUE,ISNUMBER(SEARCH('Category Rules'!$A$2:$A$194,C844)),0)),"")))))))</f>
        <v>Deposit</v>
      </c>
    </row>
    <row r="845" spans="1:7" x14ac:dyDescent="0.25">
      <c r="A845" t="s">
        <v>6</v>
      </c>
      <c r="B845" s="1">
        <v>46092</v>
      </c>
      <c r="C845" t="s">
        <v>804</v>
      </c>
      <c r="D845">
        <v>-500</v>
      </c>
      <c r="E845" t="s">
        <v>48</v>
      </c>
      <c r="F845">
        <v>1915.16</v>
      </c>
      <c r="G845" t="str" cm="1">
        <f t="array" ref="G845">IF(AND(ISNUMBER(SEARCH("UBER",C845)),ISNUMBER(SEARCH("EATS",C845))),"Uber Eats",IF(LEFT(C845,6)="CHECK ","Checks Paid",IF(OR(E845="BILLPAY",ISNUMBER(SEARCH("FRANCHISE TAX",C845)),ISNUMBER(SEARCH("NEXTLINK",C845))),"Personal - House Bills",IF(AND(ISNUMBER(SEARCH("PAYMENT FROM",C845)),ISNUMBER(SEARCH("JOE SAUNDERS",C845))),"Zelle from Joe Saunders",IF(AND(ISNUMBER(SEARCH("PAYMENT TO",C845)),ISNUMBER(SEARCH("JOE SAUNDERS",C845))),"Zelle to Joe Saunders",IF(OR(ISNUMBER(SEARCH("NEW ORLEANS",C845)),ISNUMBER(SEARCH("KENNER",C845)),ISNUMBER(SEARCH("HENRY HOWARD",C845)),ISNUMBER(SEARCH("MISS CLAUDIA",C845))),"Personal Travel - New Orleans",IFERROR(INDEX('Category Rules'!$B$2:$B$194,MATCH(TRUE,ISNUMBER(SEARCH('Category Rules'!$A$2:$A$194,C845)),0)),"")))))))</f>
        <v>Withdrawal</v>
      </c>
    </row>
    <row r="846" spans="1:7" x14ac:dyDescent="0.25">
      <c r="A846" t="s">
        <v>6</v>
      </c>
      <c r="B846" s="1">
        <v>46092</v>
      </c>
      <c r="C846" t="s">
        <v>805</v>
      </c>
      <c r="D846">
        <v>-13.98</v>
      </c>
      <c r="E846" t="s">
        <v>14</v>
      </c>
      <c r="F846">
        <v>2415.16</v>
      </c>
      <c r="G846" t="str" cm="1">
        <f t="array" ref="G846">IF(AND(ISNUMBER(SEARCH("UBER",C846)),ISNUMBER(SEARCH("EATS",C846))),"Uber Eats",IF(LEFT(C846,6)="CHECK ","Checks Paid",IF(OR(E846="BILLPAY",ISNUMBER(SEARCH("FRANCHISE TAX",C846)),ISNUMBER(SEARCH("NEXTLINK",C846))),"Personal - House Bills",IF(AND(ISNUMBER(SEARCH("PAYMENT FROM",C846)),ISNUMBER(SEARCH("JOE SAUNDERS",C846))),"Zelle from Joe Saunders",IF(AND(ISNUMBER(SEARCH("PAYMENT TO",C846)),ISNUMBER(SEARCH("JOE SAUNDERS",C846))),"Zelle to Joe Saunders",IF(OR(ISNUMBER(SEARCH("NEW ORLEANS",C846)),ISNUMBER(SEARCH("KENNER",C846)),ISNUMBER(SEARCH("HENRY HOWARD",C846)),ISNUMBER(SEARCH("MISS CLAUDIA",C846))),"Personal Travel - New Orleans",IFERROR(INDEX('Category Rules'!$B$2:$B$194,MATCH(TRUE,ISNUMBER(SEARCH('Category Rules'!$A$2:$A$194,C846)),0)),"")))))))</f>
        <v>Uber Eats</v>
      </c>
    </row>
    <row r="847" spans="1:7" x14ac:dyDescent="0.25">
      <c r="A847" t="s">
        <v>6</v>
      </c>
      <c r="B847" s="1">
        <v>46092</v>
      </c>
      <c r="C847" t="s">
        <v>806</v>
      </c>
      <c r="D847">
        <v>-20.41</v>
      </c>
      <c r="E847" t="s">
        <v>14</v>
      </c>
      <c r="F847">
        <v>2429.14</v>
      </c>
      <c r="G847" t="str" cm="1">
        <f t="array" ref="G847">IF(AND(ISNUMBER(SEARCH("UBER",C847)),ISNUMBER(SEARCH("EATS",C847))),"Uber Eats",IF(LEFT(C847,6)="CHECK ","Checks Paid",IF(OR(E847="BILLPAY",ISNUMBER(SEARCH("FRANCHISE TAX",C847)),ISNUMBER(SEARCH("NEXTLINK",C847))),"Personal - House Bills",IF(AND(ISNUMBER(SEARCH("PAYMENT FROM",C847)),ISNUMBER(SEARCH("JOE SAUNDERS",C847))),"Zelle from Joe Saunders",IF(AND(ISNUMBER(SEARCH("PAYMENT TO",C847)),ISNUMBER(SEARCH("JOE SAUNDERS",C847))),"Zelle to Joe Saunders",IF(OR(ISNUMBER(SEARCH("NEW ORLEANS",C847)),ISNUMBER(SEARCH("KENNER",C847)),ISNUMBER(SEARCH("HENRY HOWARD",C847)),ISNUMBER(SEARCH("MISS CLAUDIA",C847))),"Personal Travel - New Orleans",IFERROR(INDEX('Category Rules'!$B$2:$B$194,MATCH(TRUE,ISNUMBER(SEARCH('Category Rules'!$A$2:$A$194,C847)),0)),"")))))))</f>
        <v>Amazon</v>
      </c>
    </row>
    <row r="848" spans="1:7" x14ac:dyDescent="0.25">
      <c r="A848" t="s">
        <v>6</v>
      </c>
      <c r="B848" s="1">
        <v>46092</v>
      </c>
      <c r="C848" t="s">
        <v>807</v>
      </c>
      <c r="D848">
        <v>-67.58</v>
      </c>
      <c r="E848" t="s">
        <v>14</v>
      </c>
      <c r="F848">
        <v>2449.5500000000002</v>
      </c>
      <c r="G848" t="str" cm="1">
        <f t="array" ref="G848">IF(AND(ISNUMBER(SEARCH("UBER",C848)),ISNUMBER(SEARCH("EATS",C848))),"Uber Eats",IF(LEFT(C848,6)="CHECK ","Checks Paid",IF(OR(E848="BILLPAY",ISNUMBER(SEARCH("FRANCHISE TAX",C848)),ISNUMBER(SEARCH("NEXTLINK",C848))),"Personal - House Bills",IF(AND(ISNUMBER(SEARCH("PAYMENT FROM",C848)),ISNUMBER(SEARCH("JOE SAUNDERS",C848))),"Zelle from Joe Saunders",IF(AND(ISNUMBER(SEARCH("PAYMENT TO",C848)),ISNUMBER(SEARCH("JOE SAUNDERS",C848))),"Zelle to Joe Saunders",IF(OR(ISNUMBER(SEARCH("NEW ORLEANS",C848)),ISNUMBER(SEARCH("KENNER",C848)),ISNUMBER(SEARCH("HENRY HOWARD",C848)),ISNUMBER(SEARCH("MISS CLAUDIA",C848))),"Personal Travel - New Orleans",IFERROR(INDEX('Category Rules'!$B$2:$B$194,MATCH(TRUE,ISNUMBER(SEARCH('Category Rules'!$A$2:$A$194,C848)),0)),"")))))))</f>
        <v>Shipping</v>
      </c>
    </row>
    <row r="849" spans="1:7" x14ac:dyDescent="0.25">
      <c r="A849" t="s">
        <v>6</v>
      </c>
      <c r="B849" s="1">
        <v>46092</v>
      </c>
      <c r="C849" t="s">
        <v>808</v>
      </c>
      <c r="D849">
        <v>-25.22</v>
      </c>
      <c r="E849" t="s">
        <v>14</v>
      </c>
      <c r="F849">
        <v>2517.13</v>
      </c>
      <c r="G849" t="str" cm="1">
        <f t="array" ref="G849">IF(AND(ISNUMBER(SEARCH("UBER",C849)),ISNUMBER(SEARCH("EATS",C849))),"Uber Eats",IF(LEFT(C849,6)="CHECK ","Checks Paid",IF(OR(E849="BILLPAY",ISNUMBER(SEARCH("FRANCHISE TAX",C849)),ISNUMBER(SEARCH("NEXTLINK",C849))),"Personal - House Bills",IF(AND(ISNUMBER(SEARCH("PAYMENT FROM",C849)),ISNUMBER(SEARCH("JOE SAUNDERS",C849))),"Zelle from Joe Saunders",IF(AND(ISNUMBER(SEARCH("PAYMENT TO",C849)),ISNUMBER(SEARCH("JOE SAUNDERS",C849))),"Zelle to Joe Saunders",IF(OR(ISNUMBER(SEARCH("NEW ORLEANS",C849)),ISNUMBER(SEARCH("KENNER",C849)),ISNUMBER(SEARCH("HENRY HOWARD",C849)),ISNUMBER(SEARCH("MISS CLAUDIA",C849))),"Personal Travel - New Orleans",IFERROR(INDEX('Category Rules'!$B$2:$B$194,MATCH(TRUE,ISNUMBER(SEARCH('Category Rules'!$A$2:$A$194,C849)),0)),"")))))))</f>
        <v>Amazon</v>
      </c>
    </row>
    <row r="850" spans="1:7" x14ac:dyDescent="0.25">
      <c r="A850" t="s">
        <v>6</v>
      </c>
      <c r="B850" s="1">
        <v>46092</v>
      </c>
      <c r="C850" t="s">
        <v>809</v>
      </c>
      <c r="D850">
        <v>-20</v>
      </c>
      <c r="E850" t="s">
        <v>14</v>
      </c>
      <c r="F850">
        <v>2542.35</v>
      </c>
      <c r="G850" t="str" cm="1">
        <f t="array" ref="G850">IF(AND(ISNUMBER(SEARCH("UBER",C850)),ISNUMBER(SEARCH("EATS",C850))),"Uber Eats",IF(LEFT(C850,6)="CHECK ","Checks Paid",IF(OR(E850="BILLPAY",ISNUMBER(SEARCH("FRANCHISE TAX",C850)),ISNUMBER(SEARCH("NEXTLINK",C850))),"Personal - House Bills",IF(AND(ISNUMBER(SEARCH("PAYMENT FROM",C850)),ISNUMBER(SEARCH("JOE SAUNDERS",C850))),"Zelle from Joe Saunders",IF(AND(ISNUMBER(SEARCH("PAYMENT TO",C850)),ISNUMBER(SEARCH("JOE SAUNDERS",C850))),"Zelle to Joe Saunders",IF(OR(ISNUMBER(SEARCH("NEW ORLEANS",C850)),ISNUMBER(SEARCH("KENNER",C850)),ISNUMBER(SEARCH("HENRY HOWARD",C850)),ISNUMBER(SEARCH("MISS CLAUDIA",C850))),"Personal Travel - New Orleans",IFERROR(INDEX('Category Rules'!$B$2:$B$194,MATCH(TRUE,ISNUMBER(SEARCH('Category Rules'!$A$2:$A$194,C850)),0)),"")))))))</f>
        <v>Amazon</v>
      </c>
    </row>
    <row r="851" spans="1:7" x14ac:dyDescent="0.25">
      <c r="A851" t="s">
        <v>6</v>
      </c>
      <c r="B851" s="1">
        <v>46091</v>
      </c>
      <c r="C851" t="s">
        <v>810</v>
      </c>
      <c r="D851">
        <v>-73.52</v>
      </c>
      <c r="E851" t="s">
        <v>14</v>
      </c>
      <c r="F851">
        <v>2562.35</v>
      </c>
      <c r="G851" t="str" cm="1">
        <f t="array" ref="G851">IF(AND(ISNUMBER(SEARCH("UBER",C851)),ISNUMBER(SEARCH("EATS",C851))),"Uber Eats",IF(LEFT(C851,6)="CHECK ","Checks Paid",IF(OR(E851="BILLPAY",ISNUMBER(SEARCH("FRANCHISE TAX",C851)),ISNUMBER(SEARCH("NEXTLINK",C851))),"Personal - House Bills",IF(AND(ISNUMBER(SEARCH("PAYMENT FROM",C851)),ISNUMBER(SEARCH("JOE SAUNDERS",C851))),"Zelle from Joe Saunders",IF(AND(ISNUMBER(SEARCH("PAYMENT TO",C851)),ISNUMBER(SEARCH("JOE SAUNDERS",C851))),"Zelle to Joe Saunders",IF(OR(ISNUMBER(SEARCH("NEW ORLEANS",C851)),ISNUMBER(SEARCH("KENNER",C851)),ISNUMBER(SEARCH("HENRY HOWARD",C851)),ISNUMBER(SEARCH("MISS CLAUDIA",C851))),"Personal Travel - New Orleans",IFERROR(INDEX('Category Rules'!$B$2:$B$194,MATCH(TRUE,ISNUMBER(SEARCH('Category Rules'!$A$2:$A$194,C851)),0)),"")))))))</f>
        <v>Personal - Car</v>
      </c>
    </row>
    <row r="852" spans="1:7" x14ac:dyDescent="0.25">
      <c r="A852" t="s">
        <v>6</v>
      </c>
      <c r="B852" s="1">
        <v>46091</v>
      </c>
      <c r="C852" t="s">
        <v>811</v>
      </c>
      <c r="D852">
        <v>-404.13</v>
      </c>
      <c r="E852" t="s">
        <v>14</v>
      </c>
      <c r="F852">
        <v>2635.87</v>
      </c>
      <c r="G852" t="str" cm="1">
        <f t="array" ref="G852">IF(AND(ISNUMBER(SEARCH("UBER",C852)),ISNUMBER(SEARCH("EATS",C852))),"Uber Eats",IF(LEFT(C852,6)="CHECK ","Checks Paid",IF(OR(E852="BILLPAY",ISNUMBER(SEARCH("FRANCHISE TAX",C852)),ISNUMBER(SEARCH("NEXTLINK",C852))),"Personal - House Bills",IF(AND(ISNUMBER(SEARCH("PAYMENT FROM",C852)),ISNUMBER(SEARCH("JOE SAUNDERS",C852))),"Zelle from Joe Saunders",IF(AND(ISNUMBER(SEARCH("PAYMENT TO",C852)),ISNUMBER(SEARCH("JOE SAUNDERS",C852))),"Zelle to Joe Saunders",IF(OR(ISNUMBER(SEARCH("NEW ORLEANS",C852)),ISNUMBER(SEARCH("KENNER",C852)),ISNUMBER(SEARCH("HENRY HOWARD",C852)),ISNUMBER(SEARCH("MISS CLAUDIA",C852))),"Personal Travel - New Orleans",IFERROR(INDEX('Category Rules'!$B$2:$B$194,MATCH(TRUE,ISNUMBER(SEARCH('Category Rules'!$A$2:$A$194,C852)),0)),"")))))))</f>
        <v>Personal - Clothing</v>
      </c>
    </row>
    <row r="853" spans="1:7" x14ac:dyDescent="0.25">
      <c r="A853" t="s">
        <v>6</v>
      </c>
      <c r="B853" s="1">
        <v>46091</v>
      </c>
      <c r="C853" t="s">
        <v>812</v>
      </c>
      <c r="D853">
        <v>-286.48</v>
      </c>
      <c r="E853" t="s">
        <v>14</v>
      </c>
      <c r="F853">
        <v>3040</v>
      </c>
      <c r="G853" t="str" cm="1">
        <f t="array" ref="G853">IF(AND(ISNUMBER(SEARCH("UBER",C853)),ISNUMBER(SEARCH("EATS",C853))),"Uber Eats",IF(LEFT(C853,6)="CHECK ","Checks Paid",IF(OR(E853="BILLPAY",ISNUMBER(SEARCH("FRANCHISE TAX",C853)),ISNUMBER(SEARCH("NEXTLINK",C853))),"Personal - House Bills",IF(AND(ISNUMBER(SEARCH("PAYMENT FROM",C853)),ISNUMBER(SEARCH("JOE SAUNDERS",C853))),"Zelle from Joe Saunders",IF(AND(ISNUMBER(SEARCH("PAYMENT TO",C853)),ISNUMBER(SEARCH("JOE SAUNDERS",C853))),"Zelle to Joe Saunders",IF(OR(ISNUMBER(SEARCH("NEW ORLEANS",C853)),ISNUMBER(SEARCH("KENNER",C853)),ISNUMBER(SEARCH("HENRY HOWARD",C853)),ISNUMBER(SEARCH("MISS CLAUDIA",C853))),"Personal Travel - New Orleans",IFERROR(INDEX('Category Rules'!$B$2:$B$194,MATCH(TRUE,ISNUMBER(SEARCH('Category Rules'!$A$2:$A$194,C853)),0)),"")))))))</f>
        <v>Etsy</v>
      </c>
    </row>
    <row r="854" spans="1:7" x14ac:dyDescent="0.25">
      <c r="A854" t="s">
        <v>6</v>
      </c>
      <c r="B854" s="1">
        <v>46091</v>
      </c>
      <c r="C854" t="s">
        <v>813</v>
      </c>
      <c r="D854">
        <v>-12.99</v>
      </c>
      <c r="E854" t="s">
        <v>14</v>
      </c>
      <c r="F854">
        <v>3326.48</v>
      </c>
      <c r="G854" t="str" cm="1">
        <f t="array" ref="G854">IF(AND(ISNUMBER(SEARCH("UBER",C854)),ISNUMBER(SEARCH("EATS",C854))),"Uber Eats",IF(LEFT(C854,6)="CHECK ","Checks Paid",IF(OR(E854="BILLPAY",ISNUMBER(SEARCH("FRANCHISE TAX",C854)),ISNUMBER(SEARCH("NEXTLINK",C854))),"Personal - House Bills",IF(AND(ISNUMBER(SEARCH("PAYMENT FROM",C854)),ISNUMBER(SEARCH("JOE SAUNDERS",C854))),"Zelle from Joe Saunders",IF(AND(ISNUMBER(SEARCH("PAYMENT TO",C854)),ISNUMBER(SEARCH("JOE SAUNDERS",C854))),"Zelle to Joe Saunders",IF(OR(ISNUMBER(SEARCH("NEW ORLEANS",C854)),ISNUMBER(SEARCH("KENNER",C854)),ISNUMBER(SEARCH("HENRY HOWARD",C854)),ISNUMBER(SEARCH("MISS CLAUDIA",C854))),"Personal Travel - New Orleans",IFERROR(INDEX('Category Rules'!$B$2:$B$194,MATCH(TRUE,ISNUMBER(SEARCH('Category Rules'!$A$2:$A$194,C854)),0)),"")))))))</f>
        <v>Apple</v>
      </c>
    </row>
    <row r="855" spans="1:7" x14ac:dyDescent="0.25">
      <c r="A855" t="s">
        <v>6</v>
      </c>
      <c r="B855" s="1">
        <v>46091</v>
      </c>
      <c r="C855" t="s">
        <v>814</v>
      </c>
      <c r="D855">
        <v>-153.47</v>
      </c>
      <c r="E855" t="s">
        <v>14</v>
      </c>
      <c r="F855">
        <v>3339.47</v>
      </c>
      <c r="G855" t="str" cm="1">
        <f t="array" ref="G855">IF(AND(ISNUMBER(SEARCH("UBER",C855)),ISNUMBER(SEARCH("EATS",C855))),"Uber Eats",IF(LEFT(C855,6)="CHECK ","Checks Paid",IF(OR(E855="BILLPAY",ISNUMBER(SEARCH("FRANCHISE TAX",C855)),ISNUMBER(SEARCH("NEXTLINK",C855))),"Personal - House Bills",IF(AND(ISNUMBER(SEARCH("PAYMENT FROM",C855)),ISNUMBER(SEARCH("JOE SAUNDERS",C855))),"Zelle from Joe Saunders",IF(AND(ISNUMBER(SEARCH("PAYMENT TO",C855)),ISNUMBER(SEARCH("JOE SAUNDERS",C855))),"Zelle to Joe Saunders",IF(OR(ISNUMBER(SEARCH("NEW ORLEANS",C855)),ISNUMBER(SEARCH("KENNER",C855)),ISNUMBER(SEARCH("HENRY HOWARD",C855)),ISNUMBER(SEARCH("MISS CLAUDIA",C855))),"Personal Travel - New Orleans",IFERROR(INDEX('Category Rules'!$B$2:$B$194,MATCH(TRUE,ISNUMBER(SEARCH('Category Rules'!$A$2:$A$194,C855)),0)),"")))))))</f>
        <v>Personal - Food</v>
      </c>
    </row>
    <row r="856" spans="1:7" x14ac:dyDescent="0.25">
      <c r="A856" t="s">
        <v>6</v>
      </c>
      <c r="B856" s="1">
        <v>46091</v>
      </c>
      <c r="C856" t="s">
        <v>815</v>
      </c>
      <c r="D856">
        <v>-90</v>
      </c>
      <c r="E856" t="s">
        <v>14</v>
      </c>
      <c r="F856">
        <v>3492.94</v>
      </c>
      <c r="G856" t="str" cm="1">
        <f t="array" ref="G856">IF(AND(ISNUMBER(SEARCH("UBER",C856)),ISNUMBER(SEARCH("EATS",C856))),"Uber Eats",IF(LEFT(C856,6)="CHECK ","Checks Paid",IF(OR(E856="BILLPAY",ISNUMBER(SEARCH("FRANCHISE TAX",C856)),ISNUMBER(SEARCH("NEXTLINK",C856))),"Personal - House Bills",IF(AND(ISNUMBER(SEARCH("PAYMENT FROM",C856)),ISNUMBER(SEARCH("JOE SAUNDERS",C856))),"Zelle from Joe Saunders",IF(AND(ISNUMBER(SEARCH("PAYMENT TO",C856)),ISNUMBER(SEARCH("JOE SAUNDERS",C856))),"Zelle to Joe Saunders",IF(OR(ISNUMBER(SEARCH("NEW ORLEANS",C856)),ISNUMBER(SEARCH("KENNER",C856)),ISNUMBER(SEARCH("HENRY HOWARD",C856)),ISNUMBER(SEARCH("MISS CLAUDIA",C856))),"Personal Travel - New Orleans",IFERROR(INDEX('Category Rules'!$B$2:$B$194,MATCH(TRUE,ISNUMBER(SEARCH('Category Rules'!$A$2:$A$194,C856)),0)),"")))))))</f>
        <v>Personal - Clothing</v>
      </c>
    </row>
    <row r="857" spans="1:7" x14ac:dyDescent="0.25">
      <c r="A857" t="s">
        <v>6</v>
      </c>
      <c r="B857" s="1">
        <v>46091</v>
      </c>
      <c r="C857" t="s">
        <v>816</v>
      </c>
      <c r="D857">
        <v>-169.39</v>
      </c>
      <c r="E857" t="s">
        <v>14</v>
      </c>
      <c r="F857">
        <v>3582.94</v>
      </c>
      <c r="G857" t="str" cm="1">
        <f t="array" ref="G857">IF(AND(ISNUMBER(SEARCH("UBER",C857)),ISNUMBER(SEARCH("EATS",C857))),"Uber Eats",IF(LEFT(C857,6)="CHECK ","Checks Paid",IF(OR(E857="BILLPAY",ISNUMBER(SEARCH("FRANCHISE TAX",C857)),ISNUMBER(SEARCH("NEXTLINK",C857))),"Personal - House Bills",IF(AND(ISNUMBER(SEARCH("PAYMENT FROM",C857)),ISNUMBER(SEARCH("JOE SAUNDERS",C857))),"Zelle from Joe Saunders",IF(AND(ISNUMBER(SEARCH("PAYMENT TO",C857)),ISNUMBER(SEARCH("JOE SAUNDERS",C857))),"Zelle to Joe Saunders",IF(OR(ISNUMBER(SEARCH("NEW ORLEANS",C857)),ISNUMBER(SEARCH("KENNER",C857)),ISNUMBER(SEARCH("HENRY HOWARD",C857)),ISNUMBER(SEARCH("MISS CLAUDIA",C857))),"Personal Travel - New Orleans",IFERROR(INDEX('Category Rules'!$B$2:$B$194,MATCH(TRUE,ISNUMBER(SEARCH('Category Rules'!$A$2:$A$194,C857)),0)),"")))))))</f>
        <v>Amazon</v>
      </c>
    </row>
    <row r="858" spans="1:7" x14ac:dyDescent="0.25">
      <c r="A858" t="s">
        <v>6</v>
      </c>
      <c r="B858" s="1">
        <v>46091</v>
      </c>
      <c r="C858" t="s">
        <v>817</v>
      </c>
      <c r="D858">
        <v>-17.55</v>
      </c>
      <c r="E858" t="s">
        <v>14</v>
      </c>
      <c r="F858">
        <v>3752.33</v>
      </c>
      <c r="G858" t="str" cm="1">
        <f t="array" ref="G858">IF(AND(ISNUMBER(SEARCH("UBER",C858)),ISNUMBER(SEARCH("EATS",C858))),"Uber Eats",IF(LEFT(C858,6)="CHECK ","Checks Paid",IF(OR(E858="BILLPAY",ISNUMBER(SEARCH("FRANCHISE TAX",C858)),ISNUMBER(SEARCH("NEXTLINK",C858))),"Personal - House Bills",IF(AND(ISNUMBER(SEARCH("PAYMENT FROM",C858)),ISNUMBER(SEARCH("JOE SAUNDERS",C858))),"Zelle from Joe Saunders",IF(AND(ISNUMBER(SEARCH("PAYMENT TO",C858)),ISNUMBER(SEARCH("JOE SAUNDERS",C858))),"Zelle to Joe Saunders",IF(OR(ISNUMBER(SEARCH("NEW ORLEANS",C858)),ISNUMBER(SEARCH("KENNER",C858)),ISNUMBER(SEARCH("HENRY HOWARD",C858)),ISNUMBER(SEARCH("MISS CLAUDIA",C858))),"Personal Travel - New Orleans",IFERROR(INDEX('Category Rules'!$B$2:$B$194,MATCH(TRUE,ISNUMBER(SEARCH('Category Rules'!$A$2:$A$194,C858)),0)),"")))))))</f>
        <v>Amazon</v>
      </c>
    </row>
    <row r="859" spans="1:7" x14ac:dyDescent="0.25">
      <c r="A859" t="s">
        <v>6</v>
      </c>
      <c r="B859" s="1">
        <v>46091</v>
      </c>
      <c r="C859" t="s">
        <v>818</v>
      </c>
      <c r="D859">
        <v>-21.9</v>
      </c>
      <c r="E859" t="s">
        <v>14</v>
      </c>
      <c r="F859">
        <v>3769.88</v>
      </c>
      <c r="G859" t="str" cm="1">
        <f t="array" ref="G859">IF(AND(ISNUMBER(SEARCH("UBER",C859)),ISNUMBER(SEARCH("EATS",C859))),"Uber Eats",IF(LEFT(C859,6)="CHECK ","Checks Paid",IF(OR(E859="BILLPAY",ISNUMBER(SEARCH("FRANCHISE TAX",C859)),ISNUMBER(SEARCH("NEXTLINK",C859))),"Personal - House Bills",IF(AND(ISNUMBER(SEARCH("PAYMENT FROM",C859)),ISNUMBER(SEARCH("JOE SAUNDERS",C859))),"Zelle from Joe Saunders",IF(AND(ISNUMBER(SEARCH("PAYMENT TO",C859)),ISNUMBER(SEARCH("JOE SAUNDERS",C859))),"Zelle to Joe Saunders",IF(OR(ISNUMBER(SEARCH("NEW ORLEANS",C859)),ISNUMBER(SEARCH("KENNER",C859)),ISNUMBER(SEARCH("HENRY HOWARD",C859)),ISNUMBER(SEARCH("MISS CLAUDIA",C859))),"Personal Travel - New Orleans",IFERROR(INDEX('Category Rules'!$B$2:$B$194,MATCH(TRUE,ISNUMBER(SEARCH('Category Rules'!$A$2:$A$194,C859)),0)),"")))))))</f>
        <v>Amazon</v>
      </c>
    </row>
    <row r="860" spans="1:7" x14ac:dyDescent="0.25">
      <c r="A860" t="s">
        <v>6</v>
      </c>
      <c r="B860" s="1">
        <v>46091</v>
      </c>
      <c r="C860" t="s">
        <v>819</v>
      </c>
      <c r="D860">
        <v>-41.11</v>
      </c>
      <c r="E860" t="s">
        <v>14</v>
      </c>
      <c r="F860">
        <v>3791.78</v>
      </c>
      <c r="G860" t="str" cm="1">
        <f t="array" ref="G860">IF(AND(ISNUMBER(SEARCH("UBER",C860)),ISNUMBER(SEARCH("EATS",C860))),"Uber Eats",IF(LEFT(C860,6)="CHECK ","Checks Paid",IF(OR(E860="BILLPAY",ISNUMBER(SEARCH("FRANCHISE TAX",C860)),ISNUMBER(SEARCH("NEXTLINK",C860))),"Personal - House Bills",IF(AND(ISNUMBER(SEARCH("PAYMENT FROM",C860)),ISNUMBER(SEARCH("JOE SAUNDERS",C860))),"Zelle from Joe Saunders",IF(AND(ISNUMBER(SEARCH("PAYMENT TO",C860)),ISNUMBER(SEARCH("JOE SAUNDERS",C860))),"Zelle to Joe Saunders",IF(OR(ISNUMBER(SEARCH("NEW ORLEANS",C860)),ISNUMBER(SEARCH("KENNER",C860)),ISNUMBER(SEARCH("HENRY HOWARD",C860)),ISNUMBER(SEARCH("MISS CLAUDIA",C860))),"Personal Travel - New Orleans",IFERROR(INDEX('Category Rules'!$B$2:$B$194,MATCH(TRUE,ISNUMBER(SEARCH('Category Rules'!$A$2:$A$194,C860)),0)),"")))))))</f>
        <v>Amazon</v>
      </c>
    </row>
    <row r="861" spans="1:7" x14ac:dyDescent="0.25">
      <c r="A861" t="s">
        <v>6</v>
      </c>
      <c r="B861" s="1">
        <v>46091</v>
      </c>
      <c r="C861" t="s">
        <v>820</v>
      </c>
      <c r="D861">
        <v>-54.86</v>
      </c>
      <c r="E861" t="s">
        <v>14</v>
      </c>
      <c r="F861">
        <v>3832.89</v>
      </c>
      <c r="G861" t="str" cm="1">
        <f t="array" ref="G861">IF(AND(ISNUMBER(SEARCH("UBER",C861)),ISNUMBER(SEARCH("EATS",C861))),"Uber Eats",IF(LEFT(C861,6)="CHECK ","Checks Paid",IF(OR(E861="BILLPAY",ISNUMBER(SEARCH("FRANCHISE TAX",C861)),ISNUMBER(SEARCH("NEXTLINK",C861))),"Personal - House Bills",IF(AND(ISNUMBER(SEARCH("PAYMENT FROM",C861)),ISNUMBER(SEARCH("JOE SAUNDERS",C861))),"Zelle from Joe Saunders",IF(AND(ISNUMBER(SEARCH("PAYMENT TO",C861)),ISNUMBER(SEARCH("JOE SAUNDERS",C861))),"Zelle to Joe Saunders",IF(OR(ISNUMBER(SEARCH("NEW ORLEANS",C861)),ISNUMBER(SEARCH("KENNER",C861)),ISNUMBER(SEARCH("HENRY HOWARD",C861)),ISNUMBER(SEARCH("MISS CLAUDIA",C861))),"Personal Travel - New Orleans",IFERROR(INDEX('Category Rules'!$B$2:$B$194,MATCH(TRUE,ISNUMBER(SEARCH('Category Rules'!$A$2:$A$194,C861)),0)),"")))))))</f>
        <v>Amazon</v>
      </c>
    </row>
    <row r="862" spans="1:7" x14ac:dyDescent="0.25">
      <c r="A862" t="s">
        <v>6</v>
      </c>
      <c r="B862" s="1">
        <v>46091</v>
      </c>
      <c r="C862" t="s">
        <v>821</v>
      </c>
      <c r="D862">
        <v>-432.43</v>
      </c>
      <c r="E862" t="s">
        <v>14</v>
      </c>
      <c r="F862">
        <v>3887.75</v>
      </c>
      <c r="G862" t="str" cm="1">
        <f t="array" ref="G862">IF(AND(ISNUMBER(SEARCH("UBER",C862)),ISNUMBER(SEARCH("EATS",C862))),"Uber Eats",IF(LEFT(C862,6)="CHECK ","Checks Paid",IF(OR(E862="BILLPAY",ISNUMBER(SEARCH("FRANCHISE TAX",C862)),ISNUMBER(SEARCH("NEXTLINK",C862))),"Personal - House Bills",IF(AND(ISNUMBER(SEARCH("PAYMENT FROM",C862)),ISNUMBER(SEARCH("JOE SAUNDERS",C862))),"Zelle from Joe Saunders",IF(AND(ISNUMBER(SEARCH("PAYMENT TO",C862)),ISNUMBER(SEARCH("JOE SAUNDERS",C862))),"Zelle to Joe Saunders",IF(OR(ISNUMBER(SEARCH("NEW ORLEANS",C862)),ISNUMBER(SEARCH("KENNER",C862)),ISNUMBER(SEARCH("HENRY HOWARD",C862)),ISNUMBER(SEARCH("MISS CLAUDIA",C862))),"Personal Travel - New Orleans",IFERROR(INDEX('Category Rules'!$B$2:$B$194,MATCH(TRUE,ISNUMBER(SEARCH('Category Rules'!$A$2:$A$194,C862)),0)),"")))))))</f>
        <v>Amazon</v>
      </c>
    </row>
    <row r="863" spans="1:7" x14ac:dyDescent="0.25">
      <c r="A863" t="s">
        <v>6</v>
      </c>
      <c r="B863" s="1">
        <v>46091</v>
      </c>
      <c r="C863" t="s">
        <v>822</v>
      </c>
      <c r="D863">
        <v>-60.17</v>
      </c>
      <c r="E863" t="s">
        <v>14</v>
      </c>
      <c r="F863">
        <v>4320.18</v>
      </c>
      <c r="G863" t="str" cm="1">
        <f t="array" ref="G863">IF(AND(ISNUMBER(SEARCH("UBER",C863)),ISNUMBER(SEARCH("EATS",C863))),"Uber Eats",IF(LEFT(C863,6)="CHECK ","Checks Paid",IF(OR(E863="BILLPAY",ISNUMBER(SEARCH("FRANCHISE TAX",C863)),ISNUMBER(SEARCH("NEXTLINK",C863))),"Personal - House Bills",IF(AND(ISNUMBER(SEARCH("PAYMENT FROM",C863)),ISNUMBER(SEARCH("JOE SAUNDERS",C863))),"Zelle from Joe Saunders",IF(AND(ISNUMBER(SEARCH("PAYMENT TO",C863)),ISNUMBER(SEARCH("JOE SAUNDERS",C863))),"Zelle to Joe Saunders",IF(OR(ISNUMBER(SEARCH("NEW ORLEANS",C863)),ISNUMBER(SEARCH("KENNER",C863)),ISNUMBER(SEARCH("HENRY HOWARD",C863)),ISNUMBER(SEARCH("MISS CLAUDIA",C863))),"Personal Travel - New Orleans",IFERROR(INDEX('Category Rules'!$B$2:$B$194,MATCH(TRUE,ISNUMBER(SEARCH('Category Rules'!$A$2:$A$194,C863)),0)),"")))))))</f>
        <v>Personal - Shopping</v>
      </c>
    </row>
    <row r="864" spans="1:7" x14ac:dyDescent="0.25">
      <c r="A864" t="s">
        <v>6</v>
      </c>
      <c r="B864" s="1">
        <v>46091</v>
      </c>
      <c r="C864" t="s">
        <v>822</v>
      </c>
      <c r="D864">
        <v>-630.25</v>
      </c>
      <c r="E864" t="s">
        <v>14</v>
      </c>
      <c r="F864">
        <v>4380.3500000000004</v>
      </c>
      <c r="G864" t="str" cm="1">
        <f t="array" ref="G864">IF(AND(ISNUMBER(SEARCH("UBER",C864)),ISNUMBER(SEARCH("EATS",C864))),"Uber Eats",IF(LEFT(C864,6)="CHECK ","Checks Paid",IF(OR(E864="BILLPAY",ISNUMBER(SEARCH("FRANCHISE TAX",C864)),ISNUMBER(SEARCH("NEXTLINK",C864))),"Personal - House Bills",IF(AND(ISNUMBER(SEARCH("PAYMENT FROM",C864)),ISNUMBER(SEARCH("JOE SAUNDERS",C864))),"Zelle from Joe Saunders",IF(AND(ISNUMBER(SEARCH("PAYMENT TO",C864)),ISNUMBER(SEARCH("JOE SAUNDERS",C864))),"Zelle to Joe Saunders",IF(OR(ISNUMBER(SEARCH("NEW ORLEANS",C864)),ISNUMBER(SEARCH("KENNER",C864)),ISNUMBER(SEARCH("HENRY HOWARD",C864)),ISNUMBER(SEARCH("MISS CLAUDIA",C864))),"Personal Travel - New Orleans",IFERROR(INDEX('Category Rules'!$B$2:$B$194,MATCH(TRUE,ISNUMBER(SEARCH('Category Rules'!$A$2:$A$194,C864)),0)),"")))))))</f>
        <v>Personal - Shopping</v>
      </c>
    </row>
    <row r="865" spans="1:7" x14ac:dyDescent="0.25">
      <c r="A865" t="s">
        <v>37</v>
      </c>
      <c r="B865" s="1">
        <v>46091</v>
      </c>
      <c r="C865" t="s">
        <v>823</v>
      </c>
      <c r="D865">
        <v>100</v>
      </c>
      <c r="E865" t="s">
        <v>106</v>
      </c>
      <c r="F865">
        <v>5010.6000000000004</v>
      </c>
      <c r="G865" t="str" cm="1">
        <f t="array" ref="G865">IF(AND(ISNUMBER(SEARCH("UBER",C865)),ISNUMBER(SEARCH("EATS",C865))),"Uber Eats",IF(LEFT(C865,6)="CHECK ","Checks Paid",IF(OR(E865="BILLPAY",ISNUMBER(SEARCH("FRANCHISE TAX",C865)),ISNUMBER(SEARCH("NEXTLINK",C865))),"Personal - House Bills",IF(AND(ISNUMBER(SEARCH("PAYMENT FROM",C865)),ISNUMBER(SEARCH("JOE SAUNDERS",C865))),"Zelle from Joe Saunders",IF(AND(ISNUMBER(SEARCH("PAYMENT TO",C865)),ISNUMBER(SEARCH("JOE SAUNDERS",C865))),"Zelle to Joe Saunders",IF(OR(ISNUMBER(SEARCH("NEW ORLEANS",C865)),ISNUMBER(SEARCH("KENNER",C865)),ISNUMBER(SEARCH("HENRY HOWARD",C865)),ISNUMBER(SEARCH("MISS CLAUDIA",C865))),"Personal Travel - New Orleans",IFERROR(INDEX('Category Rules'!$B$2:$B$194,MATCH(TRUE,ISNUMBER(SEARCH('Category Rules'!$A$2:$A$194,C865)),0)),"")))))))</f>
        <v>Zelle from Tanya Miller</v>
      </c>
    </row>
    <row r="866" spans="1:7" x14ac:dyDescent="0.25">
      <c r="A866" t="s">
        <v>6</v>
      </c>
      <c r="B866" s="1">
        <v>46090</v>
      </c>
      <c r="C866" t="s">
        <v>824</v>
      </c>
      <c r="D866">
        <v>-500</v>
      </c>
      <c r="E866" t="s">
        <v>48</v>
      </c>
      <c r="F866">
        <v>4910.6000000000004</v>
      </c>
      <c r="G866" t="str" cm="1">
        <f t="array" ref="G866">IF(AND(ISNUMBER(SEARCH("UBER",C866)),ISNUMBER(SEARCH("EATS",C866))),"Uber Eats",IF(LEFT(C866,6)="CHECK ","Checks Paid",IF(OR(E866="BILLPAY",ISNUMBER(SEARCH("FRANCHISE TAX",C866)),ISNUMBER(SEARCH("NEXTLINK",C866))),"Personal - House Bills",IF(AND(ISNUMBER(SEARCH("PAYMENT FROM",C866)),ISNUMBER(SEARCH("JOE SAUNDERS",C866))),"Zelle from Joe Saunders",IF(AND(ISNUMBER(SEARCH("PAYMENT TO",C866)),ISNUMBER(SEARCH("JOE SAUNDERS",C866))),"Zelle to Joe Saunders",IF(OR(ISNUMBER(SEARCH("NEW ORLEANS",C866)),ISNUMBER(SEARCH("KENNER",C866)),ISNUMBER(SEARCH("HENRY HOWARD",C866)),ISNUMBER(SEARCH("MISS CLAUDIA",C866))),"Personal Travel - New Orleans",IFERROR(INDEX('Category Rules'!$B$2:$B$194,MATCH(TRUE,ISNUMBER(SEARCH('Category Rules'!$A$2:$A$194,C866)),0)),"")))))))</f>
        <v>Withdrawal</v>
      </c>
    </row>
    <row r="867" spans="1:7" x14ac:dyDescent="0.25">
      <c r="A867" t="s">
        <v>6</v>
      </c>
      <c r="B867" s="1">
        <v>46090</v>
      </c>
      <c r="C867" t="s">
        <v>825</v>
      </c>
      <c r="D867">
        <v>-164.61</v>
      </c>
      <c r="E867" t="s">
        <v>14</v>
      </c>
      <c r="F867">
        <v>5410.6</v>
      </c>
      <c r="G867" t="str" cm="1">
        <f t="array" ref="G867">IF(AND(ISNUMBER(SEARCH("UBER",C867)),ISNUMBER(SEARCH("EATS",C867))),"Uber Eats",IF(LEFT(C867,6)="CHECK ","Checks Paid",IF(OR(E867="BILLPAY",ISNUMBER(SEARCH("FRANCHISE TAX",C867)),ISNUMBER(SEARCH("NEXTLINK",C867))),"Personal - House Bills",IF(AND(ISNUMBER(SEARCH("PAYMENT FROM",C867)),ISNUMBER(SEARCH("JOE SAUNDERS",C867))),"Zelle from Joe Saunders",IF(AND(ISNUMBER(SEARCH("PAYMENT TO",C867)),ISNUMBER(SEARCH("JOE SAUNDERS",C867))),"Zelle to Joe Saunders",IF(OR(ISNUMBER(SEARCH("NEW ORLEANS",C867)),ISNUMBER(SEARCH("KENNER",C867)),ISNUMBER(SEARCH("HENRY HOWARD",C867)),ISNUMBER(SEARCH("MISS CLAUDIA",C867))),"Personal Travel - New Orleans",IFERROR(INDEX('Category Rules'!$B$2:$B$194,MATCH(TRUE,ISNUMBER(SEARCH('Category Rules'!$A$2:$A$194,C867)),0)),"")))))))</f>
        <v>Amazon</v>
      </c>
    </row>
    <row r="868" spans="1:7" x14ac:dyDescent="0.25">
      <c r="A868" t="s">
        <v>6</v>
      </c>
      <c r="B868" s="1">
        <v>46090</v>
      </c>
      <c r="C868" t="s">
        <v>826</v>
      </c>
      <c r="D868">
        <v>-59.9</v>
      </c>
      <c r="E868" t="s">
        <v>14</v>
      </c>
      <c r="F868">
        <v>5575.21</v>
      </c>
      <c r="G868" t="str" cm="1">
        <f t="array" ref="G868">IF(AND(ISNUMBER(SEARCH("UBER",C868)),ISNUMBER(SEARCH("EATS",C868))),"Uber Eats",IF(LEFT(C868,6)="CHECK ","Checks Paid",IF(OR(E868="BILLPAY",ISNUMBER(SEARCH("FRANCHISE TAX",C868)),ISNUMBER(SEARCH("NEXTLINK",C868))),"Personal - House Bills",IF(AND(ISNUMBER(SEARCH("PAYMENT FROM",C868)),ISNUMBER(SEARCH("JOE SAUNDERS",C868))),"Zelle from Joe Saunders",IF(AND(ISNUMBER(SEARCH("PAYMENT TO",C868)),ISNUMBER(SEARCH("JOE SAUNDERS",C868))),"Zelle to Joe Saunders",IF(OR(ISNUMBER(SEARCH("NEW ORLEANS",C868)),ISNUMBER(SEARCH("KENNER",C868)),ISNUMBER(SEARCH("HENRY HOWARD",C868)),ISNUMBER(SEARCH("MISS CLAUDIA",C868))),"Personal Travel - New Orleans",IFERROR(INDEX('Category Rules'!$B$2:$B$194,MATCH(TRUE,ISNUMBER(SEARCH('Category Rules'!$A$2:$A$194,C868)),0)),"")))))))</f>
        <v>Amazon</v>
      </c>
    </row>
    <row r="869" spans="1:7" x14ac:dyDescent="0.25">
      <c r="A869" t="s">
        <v>6</v>
      </c>
      <c r="B869" s="1">
        <v>46090</v>
      </c>
      <c r="C869" t="s">
        <v>827</v>
      </c>
      <c r="D869">
        <v>-133.87</v>
      </c>
      <c r="E869" t="s">
        <v>14</v>
      </c>
      <c r="F869">
        <v>5635.11</v>
      </c>
      <c r="G869" t="str" cm="1">
        <f t="array" ref="G869">IF(AND(ISNUMBER(SEARCH("UBER",C869)),ISNUMBER(SEARCH("EATS",C869))),"Uber Eats",IF(LEFT(C869,6)="CHECK ","Checks Paid",IF(OR(E869="BILLPAY",ISNUMBER(SEARCH("FRANCHISE TAX",C869)),ISNUMBER(SEARCH("NEXTLINK",C869))),"Personal - House Bills",IF(AND(ISNUMBER(SEARCH("PAYMENT FROM",C869)),ISNUMBER(SEARCH("JOE SAUNDERS",C869))),"Zelle from Joe Saunders",IF(AND(ISNUMBER(SEARCH("PAYMENT TO",C869)),ISNUMBER(SEARCH("JOE SAUNDERS",C869))),"Zelle to Joe Saunders",IF(OR(ISNUMBER(SEARCH("NEW ORLEANS",C869)),ISNUMBER(SEARCH("KENNER",C869)),ISNUMBER(SEARCH("HENRY HOWARD",C869)),ISNUMBER(SEARCH("MISS CLAUDIA",C869))),"Personal Travel - New Orleans",IFERROR(INDEX('Category Rules'!$B$2:$B$194,MATCH(TRUE,ISNUMBER(SEARCH('Category Rules'!$A$2:$A$194,C869)),0)),"")))))))</f>
        <v>Personal - Health</v>
      </c>
    </row>
    <row r="870" spans="1:7" x14ac:dyDescent="0.25">
      <c r="A870" t="s">
        <v>6</v>
      </c>
      <c r="B870" s="1">
        <v>46090</v>
      </c>
      <c r="C870" t="s">
        <v>828</v>
      </c>
      <c r="D870">
        <v>-481.84</v>
      </c>
      <c r="E870" t="s">
        <v>14</v>
      </c>
      <c r="F870">
        <v>5768.98</v>
      </c>
      <c r="G870" t="str" cm="1">
        <f t="array" ref="G870">IF(AND(ISNUMBER(SEARCH("UBER",C870)),ISNUMBER(SEARCH("EATS",C870))),"Uber Eats",IF(LEFT(C870,6)="CHECK ","Checks Paid",IF(OR(E870="BILLPAY",ISNUMBER(SEARCH("FRANCHISE TAX",C870)),ISNUMBER(SEARCH("NEXTLINK",C870))),"Personal - House Bills",IF(AND(ISNUMBER(SEARCH("PAYMENT FROM",C870)),ISNUMBER(SEARCH("JOE SAUNDERS",C870))),"Zelle from Joe Saunders",IF(AND(ISNUMBER(SEARCH("PAYMENT TO",C870)),ISNUMBER(SEARCH("JOE SAUNDERS",C870))),"Zelle to Joe Saunders",IF(OR(ISNUMBER(SEARCH("NEW ORLEANS",C870)),ISNUMBER(SEARCH("KENNER",C870)),ISNUMBER(SEARCH("HENRY HOWARD",C870)),ISNUMBER(SEARCH("MISS CLAUDIA",C870))),"Personal Travel - New Orleans",IFERROR(INDEX('Category Rules'!$B$2:$B$194,MATCH(TRUE,ISNUMBER(SEARCH('Category Rules'!$A$2:$A$194,C870)),0)),"")))))))</f>
        <v>Personal Travel</v>
      </c>
    </row>
    <row r="871" spans="1:7" x14ac:dyDescent="0.25">
      <c r="A871" t="s">
        <v>6</v>
      </c>
      <c r="B871" s="1">
        <v>46090</v>
      </c>
      <c r="C871" t="s">
        <v>829</v>
      </c>
      <c r="D871">
        <v>-6.99</v>
      </c>
      <c r="E871" t="s">
        <v>14</v>
      </c>
      <c r="F871">
        <v>6250.82</v>
      </c>
      <c r="G871" t="str" cm="1">
        <f t="array" ref="G871">IF(AND(ISNUMBER(SEARCH("UBER",C871)),ISNUMBER(SEARCH("EATS",C871))),"Uber Eats",IF(LEFT(C871,6)="CHECK ","Checks Paid",IF(OR(E871="BILLPAY",ISNUMBER(SEARCH("FRANCHISE TAX",C871)),ISNUMBER(SEARCH("NEXTLINK",C871))),"Personal - House Bills",IF(AND(ISNUMBER(SEARCH("PAYMENT FROM",C871)),ISNUMBER(SEARCH("JOE SAUNDERS",C871))),"Zelle from Joe Saunders",IF(AND(ISNUMBER(SEARCH("PAYMENT TO",C871)),ISNUMBER(SEARCH("JOE SAUNDERS",C871))),"Zelle to Joe Saunders",IF(OR(ISNUMBER(SEARCH("NEW ORLEANS",C871)),ISNUMBER(SEARCH("KENNER",C871)),ISNUMBER(SEARCH("HENRY HOWARD",C871)),ISNUMBER(SEARCH("MISS CLAUDIA",C871))),"Personal Travel - New Orleans",IFERROR(INDEX('Category Rules'!$B$2:$B$194,MATCH(TRUE,ISNUMBER(SEARCH('Category Rules'!$A$2:$A$194,C871)),0)),"")))))))</f>
        <v>Apple</v>
      </c>
    </row>
    <row r="872" spans="1:7" x14ac:dyDescent="0.25">
      <c r="A872" t="s">
        <v>6</v>
      </c>
      <c r="B872" s="1">
        <v>46090</v>
      </c>
      <c r="C872" t="s">
        <v>830</v>
      </c>
      <c r="D872">
        <v>-59.17</v>
      </c>
      <c r="E872" t="s">
        <v>14</v>
      </c>
      <c r="F872">
        <v>6257.81</v>
      </c>
      <c r="G872" t="str" cm="1">
        <f t="array" ref="G872">IF(AND(ISNUMBER(SEARCH("UBER",C872)),ISNUMBER(SEARCH("EATS",C872))),"Uber Eats",IF(LEFT(C872,6)="CHECK ","Checks Paid",IF(OR(E872="BILLPAY",ISNUMBER(SEARCH("FRANCHISE TAX",C872)),ISNUMBER(SEARCH("NEXTLINK",C872))),"Personal - House Bills",IF(AND(ISNUMBER(SEARCH("PAYMENT FROM",C872)),ISNUMBER(SEARCH("JOE SAUNDERS",C872))),"Zelle from Joe Saunders",IF(AND(ISNUMBER(SEARCH("PAYMENT TO",C872)),ISNUMBER(SEARCH("JOE SAUNDERS",C872))),"Zelle to Joe Saunders",IF(OR(ISNUMBER(SEARCH("NEW ORLEANS",C872)),ISNUMBER(SEARCH("KENNER",C872)),ISNUMBER(SEARCH("HENRY HOWARD",C872)),ISNUMBER(SEARCH("MISS CLAUDIA",C872))),"Personal Travel - New Orleans",IFERROR(INDEX('Category Rules'!$B$2:$B$194,MATCH(TRUE,ISNUMBER(SEARCH('Category Rules'!$A$2:$A$194,C872)),0)),"")))))))</f>
        <v>Amazon</v>
      </c>
    </row>
    <row r="873" spans="1:7" x14ac:dyDescent="0.25">
      <c r="A873" t="s">
        <v>6</v>
      </c>
      <c r="B873" s="1">
        <v>46090</v>
      </c>
      <c r="C873" t="s">
        <v>831</v>
      </c>
      <c r="D873">
        <v>-41.71</v>
      </c>
      <c r="E873" t="s">
        <v>14</v>
      </c>
      <c r="F873">
        <v>6316.98</v>
      </c>
      <c r="G873" t="str" cm="1">
        <f t="array" ref="G873">IF(AND(ISNUMBER(SEARCH("UBER",C873)),ISNUMBER(SEARCH("EATS",C873))),"Uber Eats",IF(LEFT(C873,6)="CHECK ","Checks Paid",IF(OR(E873="BILLPAY",ISNUMBER(SEARCH("FRANCHISE TAX",C873)),ISNUMBER(SEARCH("NEXTLINK",C873))),"Personal - House Bills",IF(AND(ISNUMBER(SEARCH("PAYMENT FROM",C873)),ISNUMBER(SEARCH("JOE SAUNDERS",C873))),"Zelle from Joe Saunders",IF(AND(ISNUMBER(SEARCH("PAYMENT TO",C873)),ISNUMBER(SEARCH("JOE SAUNDERS",C873))),"Zelle to Joe Saunders",IF(OR(ISNUMBER(SEARCH("NEW ORLEANS",C873)),ISNUMBER(SEARCH("KENNER",C873)),ISNUMBER(SEARCH("HENRY HOWARD",C873)),ISNUMBER(SEARCH("MISS CLAUDIA",C873))),"Personal Travel - New Orleans",IFERROR(INDEX('Category Rules'!$B$2:$B$194,MATCH(TRUE,ISNUMBER(SEARCH('Category Rules'!$A$2:$A$194,C873)),0)),"")))))))</f>
        <v>Amazon</v>
      </c>
    </row>
    <row r="874" spans="1:7" x14ac:dyDescent="0.25">
      <c r="A874" t="s">
        <v>6</v>
      </c>
      <c r="B874" s="1">
        <v>46090</v>
      </c>
      <c r="C874" t="s">
        <v>832</v>
      </c>
      <c r="D874">
        <v>-27.43</v>
      </c>
      <c r="E874" t="s">
        <v>14</v>
      </c>
      <c r="F874">
        <v>6358.69</v>
      </c>
      <c r="G874" t="str" cm="1">
        <f t="array" ref="G874">IF(AND(ISNUMBER(SEARCH("UBER",C874)),ISNUMBER(SEARCH("EATS",C874))),"Uber Eats",IF(LEFT(C874,6)="CHECK ","Checks Paid",IF(OR(E874="BILLPAY",ISNUMBER(SEARCH("FRANCHISE TAX",C874)),ISNUMBER(SEARCH("NEXTLINK",C874))),"Personal - House Bills",IF(AND(ISNUMBER(SEARCH("PAYMENT FROM",C874)),ISNUMBER(SEARCH("JOE SAUNDERS",C874))),"Zelle from Joe Saunders",IF(AND(ISNUMBER(SEARCH("PAYMENT TO",C874)),ISNUMBER(SEARCH("JOE SAUNDERS",C874))),"Zelle to Joe Saunders",IF(OR(ISNUMBER(SEARCH("NEW ORLEANS",C874)),ISNUMBER(SEARCH("KENNER",C874)),ISNUMBER(SEARCH("HENRY HOWARD",C874)),ISNUMBER(SEARCH("MISS CLAUDIA",C874))),"Personal Travel - New Orleans",IFERROR(INDEX('Category Rules'!$B$2:$B$194,MATCH(TRUE,ISNUMBER(SEARCH('Category Rules'!$A$2:$A$194,C874)),0)),"")))))))</f>
        <v>Amazon</v>
      </c>
    </row>
    <row r="875" spans="1:7" x14ac:dyDescent="0.25">
      <c r="A875" t="s">
        <v>6</v>
      </c>
      <c r="B875" s="1">
        <v>46090</v>
      </c>
      <c r="C875" t="s">
        <v>833</v>
      </c>
      <c r="D875">
        <v>-30.68</v>
      </c>
      <c r="E875" t="s">
        <v>14</v>
      </c>
      <c r="F875">
        <v>6386.12</v>
      </c>
      <c r="G875" t="str" cm="1">
        <f t="array" ref="G875">IF(AND(ISNUMBER(SEARCH("UBER",C875)),ISNUMBER(SEARCH("EATS",C875))),"Uber Eats",IF(LEFT(C875,6)="CHECK ","Checks Paid",IF(OR(E875="BILLPAY",ISNUMBER(SEARCH("FRANCHISE TAX",C875)),ISNUMBER(SEARCH("NEXTLINK",C875))),"Personal - House Bills",IF(AND(ISNUMBER(SEARCH("PAYMENT FROM",C875)),ISNUMBER(SEARCH("JOE SAUNDERS",C875))),"Zelle from Joe Saunders",IF(AND(ISNUMBER(SEARCH("PAYMENT TO",C875)),ISNUMBER(SEARCH("JOE SAUNDERS",C875))),"Zelle to Joe Saunders",IF(OR(ISNUMBER(SEARCH("NEW ORLEANS",C875)),ISNUMBER(SEARCH("KENNER",C875)),ISNUMBER(SEARCH("HENRY HOWARD",C875)),ISNUMBER(SEARCH("MISS CLAUDIA",C875))),"Personal Travel - New Orleans",IFERROR(INDEX('Category Rules'!$B$2:$B$194,MATCH(TRUE,ISNUMBER(SEARCH('Category Rules'!$A$2:$A$194,C875)),0)),"")))))))</f>
        <v>Amazon</v>
      </c>
    </row>
    <row r="876" spans="1:7" x14ac:dyDescent="0.25">
      <c r="A876" t="s">
        <v>6</v>
      </c>
      <c r="B876" s="1">
        <v>46090</v>
      </c>
      <c r="C876" t="s">
        <v>834</v>
      </c>
      <c r="D876">
        <v>-35.46</v>
      </c>
      <c r="E876" t="s">
        <v>14</v>
      </c>
      <c r="F876">
        <v>6416.8</v>
      </c>
      <c r="G876" t="str" cm="1">
        <f t="array" ref="G876">IF(AND(ISNUMBER(SEARCH("UBER",C876)),ISNUMBER(SEARCH("EATS",C876))),"Uber Eats",IF(LEFT(C876,6)="CHECK ","Checks Paid",IF(OR(E876="BILLPAY",ISNUMBER(SEARCH("FRANCHISE TAX",C876)),ISNUMBER(SEARCH("NEXTLINK",C876))),"Personal - House Bills",IF(AND(ISNUMBER(SEARCH("PAYMENT FROM",C876)),ISNUMBER(SEARCH("JOE SAUNDERS",C876))),"Zelle from Joe Saunders",IF(AND(ISNUMBER(SEARCH("PAYMENT TO",C876)),ISNUMBER(SEARCH("JOE SAUNDERS",C876))),"Zelle to Joe Saunders",IF(OR(ISNUMBER(SEARCH("NEW ORLEANS",C876)),ISNUMBER(SEARCH("KENNER",C876)),ISNUMBER(SEARCH("HENRY HOWARD",C876)),ISNUMBER(SEARCH("MISS CLAUDIA",C876))),"Personal Travel - New Orleans",IFERROR(INDEX('Category Rules'!$B$2:$B$194,MATCH(TRUE,ISNUMBER(SEARCH('Category Rules'!$A$2:$A$194,C876)),0)),"")))))))</f>
        <v>Personal Travel</v>
      </c>
    </row>
    <row r="877" spans="1:7" x14ac:dyDescent="0.25">
      <c r="A877" t="s">
        <v>6</v>
      </c>
      <c r="B877" s="1">
        <v>46090</v>
      </c>
      <c r="C877" t="s">
        <v>834</v>
      </c>
      <c r="D877">
        <v>-35.46</v>
      </c>
      <c r="E877" t="s">
        <v>14</v>
      </c>
      <c r="F877">
        <v>6452.26</v>
      </c>
      <c r="G877" t="str" cm="1">
        <f t="array" ref="G877">IF(AND(ISNUMBER(SEARCH("UBER",C877)),ISNUMBER(SEARCH("EATS",C877))),"Uber Eats",IF(LEFT(C877,6)="CHECK ","Checks Paid",IF(OR(E877="BILLPAY",ISNUMBER(SEARCH("FRANCHISE TAX",C877)),ISNUMBER(SEARCH("NEXTLINK",C877))),"Personal - House Bills",IF(AND(ISNUMBER(SEARCH("PAYMENT FROM",C877)),ISNUMBER(SEARCH("JOE SAUNDERS",C877))),"Zelle from Joe Saunders",IF(AND(ISNUMBER(SEARCH("PAYMENT TO",C877)),ISNUMBER(SEARCH("JOE SAUNDERS",C877))),"Zelle to Joe Saunders",IF(OR(ISNUMBER(SEARCH("NEW ORLEANS",C877)),ISNUMBER(SEARCH("KENNER",C877)),ISNUMBER(SEARCH("HENRY HOWARD",C877)),ISNUMBER(SEARCH("MISS CLAUDIA",C877))),"Personal Travel - New Orleans",IFERROR(INDEX('Category Rules'!$B$2:$B$194,MATCH(TRUE,ISNUMBER(SEARCH('Category Rules'!$A$2:$A$194,C877)),0)),"")))))))</f>
        <v>Personal Travel</v>
      </c>
    </row>
    <row r="878" spans="1:7" x14ac:dyDescent="0.25">
      <c r="A878" t="s">
        <v>6</v>
      </c>
      <c r="B878" s="1">
        <v>46090</v>
      </c>
      <c r="C878" t="s">
        <v>834</v>
      </c>
      <c r="D878">
        <v>-55.89</v>
      </c>
      <c r="E878" t="s">
        <v>14</v>
      </c>
      <c r="F878">
        <v>6487.72</v>
      </c>
      <c r="G878" t="str" cm="1">
        <f t="array" ref="G878">IF(AND(ISNUMBER(SEARCH("UBER",C878)),ISNUMBER(SEARCH("EATS",C878))),"Uber Eats",IF(LEFT(C878,6)="CHECK ","Checks Paid",IF(OR(E878="BILLPAY",ISNUMBER(SEARCH("FRANCHISE TAX",C878)),ISNUMBER(SEARCH("NEXTLINK",C878))),"Personal - House Bills",IF(AND(ISNUMBER(SEARCH("PAYMENT FROM",C878)),ISNUMBER(SEARCH("JOE SAUNDERS",C878))),"Zelle from Joe Saunders",IF(AND(ISNUMBER(SEARCH("PAYMENT TO",C878)),ISNUMBER(SEARCH("JOE SAUNDERS",C878))),"Zelle to Joe Saunders",IF(OR(ISNUMBER(SEARCH("NEW ORLEANS",C878)),ISNUMBER(SEARCH("KENNER",C878)),ISNUMBER(SEARCH("HENRY HOWARD",C878)),ISNUMBER(SEARCH("MISS CLAUDIA",C878))),"Personal Travel - New Orleans",IFERROR(INDEX('Category Rules'!$B$2:$B$194,MATCH(TRUE,ISNUMBER(SEARCH('Category Rules'!$A$2:$A$194,C878)),0)),"")))))))</f>
        <v>Personal Travel</v>
      </c>
    </row>
    <row r="879" spans="1:7" x14ac:dyDescent="0.25">
      <c r="A879" t="s">
        <v>6</v>
      </c>
      <c r="B879" s="1">
        <v>46090</v>
      </c>
      <c r="C879" t="s">
        <v>834</v>
      </c>
      <c r="D879">
        <v>-55.89</v>
      </c>
      <c r="E879" t="s">
        <v>14</v>
      </c>
      <c r="F879">
        <v>6543.61</v>
      </c>
      <c r="G879" t="str" cm="1">
        <f t="array" ref="G879">IF(AND(ISNUMBER(SEARCH("UBER",C879)),ISNUMBER(SEARCH("EATS",C879))),"Uber Eats",IF(LEFT(C879,6)="CHECK ","Checks Paid",IF(OR(E879="BILLPAY",ISNUMBER(SEARCH("FRANCHISE TAX",C879)),ISNUMBER(SEARCH("NEXTLINK",C879))),"Personal - House Bills",IF(AND(ISNUMBER(SEARCH("PAYMENT FROM",C879)),ISNUMBER(SEARCH("JOE SAUNDERS",C879))),"Zelle from Joe Saunders",IF(AND(ISNUMBER(SEARCH("PAYMENT TO",C879)),ISNUMBER(SEARCH("JOE SAUNDERS",C879))),"Zelle to Joe Saunders",IF(OR(ISNUMBER(SEARCH("NEW ORLEANS",C879)),ISNUMBER(SEARCH("KENNER",C879)),ISNUMBER(SEARCH("HENRY HOWARD",C879)),ISNUMBER(SEARCH("MISS CLAUDIA",C879))),"Personal Travel - New Orleans",IFERROR(INDEX('Category Rules'!$B$2:$B$194,MATCH(TRUE,ISNUMBER(SEARCH('Category Rules'!$A$2:$A$194,C879)),0)),"")))))))</f>
        <v>Personal Travel</v>
      </c>
    </row>
    <row r="880" spans="1:7" x14ac:dyDescent="0.25">
      <c r="A880" t="s">
        <v>6</v>
      </c>
      <c r="B880" s="1">
        <v>46090</v>
      </c>
      <c r="C880" t="s">
        <v>835</v>
      </c>
      <c r="D880">
        <v>-366.8</v>
      </c>
      <c r="E880" t="s">
        <v>14</v>
      </c>
      <c r="F880">
        <v>6599.5</v>
      </c>
      <c r="G880" t="str" cm="1">
        <f t="array" ref="G880">IF(AND(ISNUMBER(SEARCH("UBER",C880)),ISNUMBER(SEARCH("EATS",C880))),"Uber Eats",IF(LEFT(C880,6)="CHECK ","Checks Paid",IF(OR(E880="BILLPAY",ISNUMBER(SEARCH("FRANCHISE TAX",C880)),ISNUMBER(SEARCH("NEXTLINK",C880))),"Personal - House Bills",IF(AND(ISNUMBER(SEARCH("PAYMENT FROM",C880)),ISNUMBER(SEARCH("JOE SAUNDERS",C880))),"Zelle from Joe Saunders",IF(AND(ISNUMBER(SEARCH("PAYMENT TO",C880)),ISNUMBER(SEARCH("JOE SAUNDERS",C880))),"Zelle to Joe Saunders",IF(OR(ISNUMBER(SEARCH("NEW ORLEANS",C880)),ISNUMBER(SEARCH("KENNER",C880)),ISNUMBER(SEARCH("HENRY HOWARD",C880)),ISNUMBER(SEARCH("MISS CLAUDIA",C880))),"Personal Travel - New Orleans",IFERROR(INDEX('Category Rules'!$B$2:$B$194,MATCH(TRUE,ISNUMBER(SEARCH('Category Rules'!$A$2:$A$194,C880)),0)),"")))))))</f>
        <v>Personal Travel</v>
      </c>
    </row>
    <row r="881" spans="1:7" x14ac:dyDescent="0.25">
      <c r="A881" t="s">
        <v>6</v>
      </c>
      <c r="B881" s="1">
        <v>46090</v>
      </c>
      <c r="C881" t="s">
        <v>835</v>
      </c>
      <c r="D881">
        <v>-366.8</v>
      </c>
      <c r="E881" t="s">
        <v>14</v>
      </c>
      <c r="F881">
        <v>6966.3</v>
      </c>
      <c r="G881" t="str" cm="1">
        <f t="array" ref="G881">IF(AND(ISNUMBER(SEARCH("UBER",C881)),ISNUMBER(SEARCH("EATS",C881))),"Uber Eats",IF(LEFT(C881,6)="CHECK ","Checks Paid",IF(OR(E881="BILLPAY",ISNUMBER(SEARCH("FRANCHISE TAX",C881)),ISNUMBER(SEARCH("NEXTLINK",C881))),"Personal - House Bills",IF(AND(ISNUMBER(SEARCH("PAYMENT FROM",C881)),ISNUMBER(SEARCH("JOE SAUNDERS",C881))),"Zelle from Joe Saunders",IF(AND(ISNUMBER(SEARCH("PAYMENT TO",C881)),ISNUMBER(SEARCH("JOE SAUNDERS",C881))),"Zelle to Joe Saunders",IF(OR(ISNUMBER(SEARCH("NEW ORLEANS",C881)),ISNUMBER(SEARCH("KENNER",C881)),ISNUMBER(SEARCH("HENRY HOWARD",C881)),ISNUMBER(SEARCH("MISS CLAUDIA",C881))),"Personal Travel - New Orleans",IFERROR(INDEX('Category Rules'!$B$2:$B$194,MATCH(TRUE,ISNUMBER(SEARCH('Category Rules'!$A$2:$A$194,C881)),0)),"")))))))</f>
        <v>Personal Travel</v>
      </c>
    </row>
    <row r="882" spans="1:7" x14ac:dyDescent="0.25">
      <c r="A882" t="s">
        <v>6</v>
      </c>
      <c r="B882" s="1">
        <v>46090</v>
      </c>
      <c r="C882" t="s">
        <v>836</v>
      </c>
      <c r="D882">
        <v>-25.18</v>
      </c>
      <c r="E882" t="s">
        <v>14</v>
      </c>
      <c r="F882">
        <v>7333.1</v>
      </c>
      <c r="G882" t="str" cm="1">
        <f t="array" ref="G882">IF(AND(ISNUMBER(SEARCH("UBER",C882)),ISNUMBER(SEARCH("EATS",C882))),"Uber Eats",IF(LEFT(C882,6)="CHECK ","Checks Paid",IF(OR(E882="BILLPAY",ISNUMBER(SEARCH("FRANCHISE TAX",C882)),ISNUMBER(SEARCH("NEXTLINK",C882))),"Personal - House Bills",IF(AND(ISNUMBER(SEARCH("PAYMENT FROM",C882)),ISNUMBER(SEARCH("JOE SAUNDERS",C882))),"Zelle from Joe Saunders",IF(AND(ISNUMBER(SEARCH("PAYMENT TO",C882)),ISNUMBER(SEARCH("JOE SAUNDERS",C882))),"Zelle to Joe Saunders",IF(OR(ISNUMBER(SEARCH("NEW ORLEANS",C882)),ISNUMBER(SEARCH("KENNER",C882)),ISNUMBER(SEARCH("HENRY HOWARD",C882)),ISNUMBER(SEARCH("MISS CLAUDIA",C882))),"Personal Travel - New Orleans",IFERROR(INDEX('Category Rules'!$B$2:$B$194,MATCH(TRUE,ISNUMBER(SEARCH('Category Rules'!$A$2:$A$194,C882)),0)),"")))))))</f>
        <v>Amazon</v>
      </c>
    </row>
    <row r="883" spans="1:7" x14ac:dyDescent="0.25">
      <c r="A883" t="s">
        <v>6</v>
      </c>
      <c r="B883" s="1">
        <v>46090</v>
      </c>
      <c r="C883" t="s">
        <v>837</v>
      </c>
      <c r="D883">
        <v>-14.32</v>
      </c>
      <c r="E883" t="s">
        <v>14</v>
      </c>
      <c r="F883">
        <v>7358.28</v>
      </c>
      <c r="G883" t="str" cm="1">
        <f t="array" ref="G883">IF(AND(ISNUMBER(SEARCH("UBER",C883)),ISNUMBER(SEARCH("EATS",C883))),"Uber Eats",IF(LEFT(C883,6)="CHECK ","Checks Paid",IF(OR(E883="BILLPAY",ISNUMBER(SEARCH("FRANCHISE TAX",C883)),ISNUMBER(SEARCH("NEXTLINK",C883))),"Personal - House Bills",IF(AND(ISNUMBER(SEARCH("PAYMENT FROM",C883)),ISNUMBER(SEARCH("JOE SAUNDERS",C883))),"Zelle from Joe Saunders",IF(AND(ISNUMBER(SEARCH("PAYMENT TO",C883)),ISNUMBER(SEARCH("JOE SAUNDERS",C883))),"Zelle to Joe Saunders",IF(OR(ISNUMBER(SEARCH("NEW ORLEANS",C883)),ISNUMBER(SEARCH("KENNER",C883)),ISNUMBER(SEARCH("HENRY HOWARD",C883)),ISNUMBER(SEARCH("MISS CLAUDIA",C883))),"Personal Travel - New Orleans",IFERROR(INDEX('Category Rules'!$B$2:$B$194,MATCH(TRUE,ISNUMBER(SEARCH('Category Rules'!$A$2:$A$194,C883)),0)),"")))))))</f>
        <v>Uber Eats</v>
      </c>
    </row>
    <row r="884" spans="1:7" x14ac:dyDescent="0.25">
      <c r="A884" t="s">
        <v>6</v>
      </c>
      <c r="B884" s="1">
        <v>46090</v>
      </c>
      <c r="C884" t="s">
        <v>838</v>
      </c>
      <c r="D884">
        <v>-33.950000000000003</v>
      </c>
      <c r="E884" t="s">
        <v>14</v>
      </c>
      <c r="F884">
        <v>7372.6</v>
      </c>
      <c r="G884" t="str" cm="1">
        <f t="array" ref="G884">IF(AND(ISNUMBER(SEARCH("UBER",C884)),ISNUMBER(SEARCH("EATS",C884))),"Uber Eats",IF(LEFT(C884,6)="CHECK ","Checks Paid",IF(OR(E884="BILLPAY",ISNUMBER(SEARCH("FRANCHISE TAX",C884)),ISNUMBER(SEARCH("NEXTLINK",C884))),"Personal - House Bills",IF(AND(ISNUMBER(SEARCH("PAYMENT FROM",C884)),ISNUMBER(SEARCH("JOE SAUNDERS",C884))),"Zelle from Joe Saunders",IF(AND(ISNUMBER(SEARCH("PAYMENT TO",C884)),ISNUMBER(SEARCH("JOE SAUNDERS",C884))),"Zelle to Joe Saunders",IF(OR(ISNUMBER(SEARCH("NEW ORLEANS",C884)),ISNUMBER(SEARCH("KENNER",C884)),ISNUMBER(SEARCH("HENRY HOWARD",C884)),ISNUMBER(SEARCH("MISS CLAUDIA",C884))),"Personal Travel - New Orleans",IFERROR(INDEX('Category Rules'!$B$2:$B$194,MATCH(TRUE,ISNUMBER(SEARCH('Category Rules'!$A$2:$A$194,C884)),0)),"")))))))</f>
        <v>Amazon</v>
      </c>
    </row>
    <row r="885" spans="1:7" x14ac:dyDescent="0.25">
      <c r="A885" t="s">
        <v>6</v>
      </c>
      <c r="B885" s="1">
        <v>46090</v>
      </c>
      <c r="C885" t="s">
        <v>839</v>
      </c>
      <c r="D885">
        <v>-13.99</v>
      </c>
      <c r="E885" t="s">
        <v>14</v>
      </c>
      <c r="F885">
        <v>7406.55</v>
      </c>
      <c r="G885" t="str" cm="1">
        <f t="array" ref="G885">IF(AND(ISNUMBER(SEARCH("UBER",C885)),ISNUMBER(SEARCH("EATS",C885))),"Uber Eats",IF(LEFT(C885,6)="CHECK ","Checks Paid",IF(OR(E885="BILLPAY",ISNUMBER(SEARCH("FRANCHISE TAX",C885)),ISNUMBER(SEARCH("NEXTLINK",C885))),"Personal - House Bills",IF(AND(ISNUMBER(SEARCH("PAYMENT FROM",C885)),ISNUMBER(SEARCH("JOE SAUNDERS",C885))),"Zelle from Joe Saunders",IF(AND(ISNUMBER(SEARCH("PAYMENT TO",C885)),ISNUMBER(SEARCH("JOE SAUNDERS",C885))),"Zelle to Joe Saunders",IF(OR(ISNUMBER(SEARCH("NEW ORLEANS",C885)),ISNUMBER(SEARCH("KENNER",C885)),ISNUMBER(SEARCH("HENRY HOWARD",C885)),ISNUMBER(SEARCH("MISS CLAUDIA",C885))),"Personal Travel - New Orleans",IFERROR(INDEX('Category Rules'!$B$2:$B$194,MATCH(TRUE,ISNUMBER(SEARCH('Category Rules'!$A$2:$A$194,C885)),0)),"")))))))</f>
        <v>Amazon</v>
      </c>
    </row>
    <row r="886" spans="1:7" x14ac:dyDescent="0.25">
      <c r="A886" t="s">
        <v>6</v>
      </c>
      <c r="B886" s="1">
        <v>46090</v>
      </c>
      <c r="C886" t="s">
        <v>840</v>
      </c>
      <c r="D886">
        <v>-119.45</v>
      </c>
      <c r="E886" t="s">
        <v>14</v>
      </c>
      <c r="F886">
        <v>7420.54</v>
      </c>
      <c r="G886" t="str" cm="1">
        <f t="array" ref="G886">IF(AND(ISNUMBER(SEARCH("UBER",C886)),ISNUMBER(SEARCH("EATS",C886))),"Uber Eats",IF(LEFT(C886,6)="CHECK ","Checks Paid",IF(OR(E886="BILLPAY",ISNUMBER(SEARCH("FRANCHISE TAX",C886)),ISNUMBER(SEARCH("NEXTLINK",C886))),"Personal - House Bills",IF(AND(ISNUMBER(SEARCH("PAYMENT FROM",C886)),ISNUMBER(SEARCH("JOE SAUNDERS",C886))),"Zelle from Joe Saunders",IF(AND(ISNUMBER(SEARCH("PAYMENT TO",C886)),ISNUMBER(SEARCH("JOE SAUNDERS",C886))),"Zelle to Joe Saunders",IF(OR(ISNUMBER(SEARCH("NEW ORLEANS",C886)),ISNUMBER(SEARCH("KENNER",C886)),ISNUMBER(SEARCH("HENRY HOWARD",C886)),ISNUMBER(SEARCH("MISS CLAUDIA",C886))),"Personal Travel - New Orleans",IFERROR(INDEX('Category Rules'!$B$2:$B$194,MATCH(TRUE,ISNUMBER(SEARCH('Category Rules'!$A$2:$A$194,C886)),0)),"")))))))</f>
        <v>Amazon</v>
      </c>
    </row>
    <row r="887" spans="1:7" x14ac:dyDescent="0.25">
      <c r="A887" t="s">
        <v>6</v>
      </c>
      <c r="B887" s="1">
        <v>46090</v>
      </c>
      <c r="C887" t="s">
        <v>841</v>
      </c>
      <c r="D887">
        <v>-76.290000000000006</v>
      </c>
      <c r="E887" t="s">
        <v>14</v>
      </c>
      <c r="F887">
        <v>7539.99</v>
      </c>
      <c r="G887" t="str" cm="1">
        <f t="array" ref="G887">IF(AND(ISNUMBER(SEARCH("UBER",C887)),ISNUMBER(SEARCH("EATS",C887))),"Uber Eats",IF(LEFT(C887,6)="CHECK ","Checks Paid",IF(OR(E887="BILLPAY",ISNUMBER(SEARCH("FRANCHISE TAX",C887)),ISNUMBER(SEARCH("NEXTLINK",C887))),"Personal - House Bills",IF(AND(ISNUMBER(SEARCH("PAYMENT FROM",C887)),ISNUMBER(SEARCH("JOE SAUNDERS",C887))),"Zelle from Joe Saunders",IF(AND(ISNUMBER(SEARCH("PAYMENT TO",C887)),ISNUMBER(SEARCH("JOE SAUNDERS",C887))),"Zelle to Joe Saunders",IF(OR(ISNUMBER(SEARCH("NEW ORLEANS",C887)),ISNUMBER(SEARCH("KENNER",C887)),ISNUMBER(SEARCH("HENRY HOWARD",C887)),ISNUMBER(SEARCH("MISS CLAUDIA",C887))),"Personal Travel - New Orleans",IFERROR(INDEX('Category Rules'!$B$2:$B$194,MATCH(TRUE,ISNUMBER(SEARCH('Category Rules'!$A$2:$A$194,C887)),0)),"")))))))</f>
        <v>Amazon</v>
      </c>
    </row>
    <row r="888" spans="1:7" x14ac:dyDescent="0.25">
      <c r="A888" t="s">
        <v>6</v>
      </c>
      <c r="B888" s="1">
        <v>46090</v>
      </c>
      <c r="C888" t="s">
        <v>842</v>
      </c>
      <c r="D888">
        <v>-19.7</v>
      </c>
      <c r="E888" t="s">
        <v>14</v>
      </c>
      <c r="F888">
        <v>7616.28</v>
      </c>
      <c r="G888" t="str" cm="1">
        <f t="array" ref="G888">IF(AND(ISNUMBER(SEARCH("UBER",C888)),ISNUMBER(SEARCH("EATS",C888))),"Uber Eats",IF(LEFT(C888,6)="CHECK ","Checks Paid",IF(OR(E888="BILLPAY",ISNUMBER(SEARCH("FRANCHISE TAX",C888)),ISNUMBER(SEARCH("NEXTLINK",C888))),"Personal - House Bills",IF(AND(ISNUMBER(SEARCH("PAYMENT FROM",C888)),ISNUMBER(SEARCH("JOE SAUNDERS",C888))),"Zelle from Joe Saunders",IF(AND(ISNUMBER(SEARCH("PAYMENT TO",C888)),ISNUMBER(SEARCH("JOE SAUNDERS",C888))),"Zelle to Joe Saunders",IF(OR(ISNUMBER(SEARCH("NEW ORLEANS",C888)),ISNUMBER(SEARCH("KENNER",C888)),ISNUMBER(SEARCH("HENRY HOWARD",C888)),ISNUMBER(SEARCH("MISS CLAUDIA",C888))),"Personal Travel - New Orleans",IFERROR(INDEX('Category Rules'!$B$2:$B$194,MATCH(TRUE,ISNUMBER(SEARCH('Category Rules'!$A$2:$A$194,C888)),0)),"")))))))</f>
        <v>Amazon</v>
      </c>
    </row>
    <row r="889" spans="1:7" x14ac:dyDescent="0.25">
      <c r="A889" t="s">
        <v>6</v>
      </c>
      <c r="B889" s="1">
        <v>46090</v>
      </c>
      <c r="C889" t="s">
        <v>843</v>
      </c>
      <c r="D889">
        <v>-351.17</v>
      </c>
      <c r="E889" t="s">
        <v>14</v>
      </c>
      <c r="F889">
        <v>7635.98</v>
      </c>
      <c r="G889" t="str" cm="1">
        <f t="array" ref="G889">IF(AND(ISNUMBER(SEARCH("UBER",C889)),ISNUMBER(SEARCH("EATS",C889))),"Uber Eats",IF(LEFT(C889,6)="CHECK ","Checks Paid",IF(OR(E889="BILLPAY",ISNUMBER(SEARCH("FRANCHISE TAX",C889)),ISNUMBER(SEARCH("NEXTLINK",C889))),"Personal - House Bills",IF(AND(ISNUMBER(SEARCH("PAYMENT FROM",C889)),ISNUMBER(SEARCH("JOE SAUNDERS",C889))),"Zelle from Joe Saunders",IF(AND(ISNUMBER(SEARCH("PAYMENT TO",C889)),ISNUMBER(SEARCH("JOE SAUNDERS",C889))),"Zelle to Joe Saunders",IF(OR(ISNUMBER(SEARCH("NEW ORLEANS",C889)),ISNUMBER(SEARCH("KENNER",C889)),ISNUMBER(SEARCH("HENRY HOWARD",C889)),ISNUMBER(SEARCH("MISS CLAUDIA",C889))),"Personal Travel - New Orleans",IFERROR(INDEX('Category Rules'!$B$2:$B$194,MATCH(TRUE,ISNUMBER(SEARCH('Category Rules'!$A$2:$A$194,C889)),0)),"")))))))</f>
        <v>Personal - Shopping</v>
      </c>
    </row>
    <row r="890" spans="1:7" x14ac:dyDescent="0.25">
      <c r="A890" t="s">
        <v>6</v>
      </c>
      <c r="B890" s="1">
        <v>46090</v>
      </c>
      <c r="C890" t="s">
        <v>844</v>
      </c>
      <c r="D890">
        <v>-32.909999999999997</v>
      </c>
      <c r="E890" t="s">
        <v>14</v>
      </c>
      <c r="F890">
        <v>7987.15</v>
      </c>
      <c r="G890" t="str" cm="1">
        <f t="array" ref="G890">IF(AND(ISNUMBER(SEARCH("UBER",C890)),ISNUMBER(SEARCH("EATS",C890))),"Uber Eats",IF(LEFT(C890,6)="CHECK ","Checks Paid",IF(OR(E890="BILLPAY",ISNUMBER(SEARCH("FRANCHISE TAX",C890)),ISNUMBER(SEARCH("NEXTLINK",C890))),"Personal - House Bills",IF(AND(ISNUMBER(SEARCH("PAYMENT FROM",C890)),ISNUMBER(SEARCH("JOE SAUNDERS",C890))),"Zelle from Joe Saunders",IF(AND(ISNUMBER(SEARCH("PAYMENT TO",C890)),ISNUMBER(SEARCH("JOE SAUNDERS",C890))),"Zelle to Joe Saunders",IF(OR(ISNUMBER(SEARCH("NEW ORLEANS",C890)),ISNUMBER(SEARCH("KENNER",C890)),ISNUMBER(SEARCH("HENRY HOWARD",C890)),ISNUMBER(SEARCH("MISS CLAUDIA",C890))),"Personal Travel - New Orleans",IFERROR(INDEX('Category Rules'!$B$2:$B$194,MATCH(TRUE,ISNUMBER(SEARCH('Category Rules'!$A$2:$A$194,C890)),0)),"")))))))</f>
        <v>Amazon</v>
      </c>
    </row>
    <row r="891" spans="1:7" x14ac:dyDescent="0.25">
      <c r="A891" t="s">
        <v>6</v>
      </c>
      <c r="B891" s="1">
        <v>46090</v>
      </c>
      <c r="C891" t="s">
        <v>845</v>
      </c>
      <c r="D891">
        <v>-44.98</v>
      </c>
      <c r="E891" t="s">
        <v>14</v>
      </c>
      <c r="F891">
        <v>8020.06</v>
      </c>
      <c r="G891" t="str" cm="1">
        <f t="array" ref="G891">IF(AND(ISNUMBER(SEARCH("UBER",C891)),ISNUMBER(SEARCH("EATS",C891))),"Uber Eats",IF(LEFT(C891,6)="CHECK ","Checks Paid",IF(OR(E891="BILLPAY",ISNUMBER(SEARCH("FRANCHISE TAX",C891)),ISNUMBER(SEARCH("NEXTLINK",C891))),"Personal - House Bills",IF(AND(ISNUMBER(SEARCH("PAYMENT FROM",C891)),ISNUMBER(SEARCH("JOE SAUNDERS",C891))),"Zelle from Joe Saunders",IF(AND(ISNUMBER(SEARCH("PAYMENT TO",C891)),ISNUMBER(SEARCH("JOE SAUNDERS",C891))),"Zelle to Joe Saunders",IF(OR(ISNUMBER(SEARCH("NEW ORLEANS",C891)),ISNUMBER(SEARCH("KENNER",C891)),ISNUMBER(SEARCH("HENRY HOWARD",C891)),ISNUMBER(SEARCH("MISS CLAUDIA",C891))),"Personal Travel - New Orleans",IFERROR(INDEX('Category Rules'!$B$2:$B$194,MATCH(TRUE,ISNUMBER(SEARCH('Category Rules'!$A$2:$A$194,C891)),0)),"")))))))</f>
        <v>Amazon</v>
      </c>
    </row>
    <row r="892" spans="1:7" x14ac:dyDescent="0.25">
      <c r="A892" t="s">
        <v>6</v>
      </c>
      <c r="B892" s="1">
        <v>46090</v>
      </c>
      <c r="C892" t="s">
        <v>846</v>
      </c>
      <c r="D892">
        <v>-106.43</v>
      </c>
      <c r="E892" t="s">
        <v>14</v>
      </c>
      <c r="F892">
        <v>8065.04</v>
      </c>
      <c r="G892" t="str" cm="1">
        <f t="array" ref="G892">IF(AND(ISNUMBER(SEARCH("UBER",C892)),ISNUMBER(SEARCH("EATS",C892))),"Uber Eats",IF(LEFT(C892,6)="CHECK ","Checks Paid",IF(OR(E892="BILLPAY",ISNUMBER(SEARCH("FRANCHISE TAX",C892)),ISNUMBER(SEARCH("NEXTLINK",C892))),"Personal - House Bills",IF(AND(ISNUMBER(SEARCH("PAYMENT FROM",C892)),ISNUMBER(SEARCH("JOE SAUNDERS",C892))),"Zelle from Joe Saunders",IF(AND(ISNUMBER(SEARCH("PAYMENT TO",C892)),ISNUMBER(SEARCH("JOE SAUNDERS",C892))),"Zelle to Joe Saunders",IF(OR(ISNUMBER(SEARCH("NEW ORLEANS",C892)),ISNUMBER(SEARCH("KENNER",C892)),ISNUMBER(SEARCH("HENRY HOWARD",C892)),ISNUMBER(SEARCH("MISS CLAUDIA",C892))),"Personal Travel - New Orleans",IFERROR(INDEX('Category Rules'!$B$2:$B$194,MATCH(TRUE,ISNUMBER(SEARCH('Category Rules'!$A$2:$A$194,C892)),0)),"")))))))</f>
        <v>Amazon</v>
      </c>
    </row>
    <row r="893" spans="1:7" x14ac:dyDescent="0.25">
      <c r="A893" t="s">
        <v>6</v>
      </c>
      <c r="B893" s="1">
        <v>46090</v>
      </c>
      <c r="C893" t="s">
        <v>847</v>
      </c>
      <c r="D893">
        <v>-70</v>
      </c>
      <c r="E893" t="s">
        <v>14</v>
      </c>
      <c r="F893">
        <v>8171.47</v>
      </c>
      <c r="G893" t="str" cm="1">
        <f t="array" ref="G893">IF(AND(ISNUMBER(SEARCH("UBER",C893)),ISNUMBER(SEARCH("EATS",C893))),"Uber Eats",IF(LEFT(C893,6)="CHECK ","Checks Paid",IF(OR(E893="BILLPAY",ISNUMBER(SEARCH("FRANCHISE TAX",C893)),ISNUMBER(SEARCH("NEXTLINK",C893))),"Personal - House Bills",IF(AND(ISNUMBER(SEARCH("PAYMENT FROM",C893)),ISNUMBER(SEARCH("JOE SAUNDERS",C893))),"Zelle from Joe Saunders",IF(AND(ISNUMBER(SEARCH("PAYMENT TO",C893)),ISNUMBER(SEARCH("JOE SAUNDERS",C893))),"Zelle to Joe Saunders",IF(OR(ISNUMBER(SEARCH("NEW ORLEANS",C893)),ISNUMBER(SEARCH("KENNER",C893)),ISNUMBER(SEARCH("HENRY HOWARD",C893)),ISNUMBER(SEARCH("MISS CLAUDIA",C893))),"Personal Travel - New Orleans",IFERROR(INDEX('Category Rules'!$B$2:$B$194,MATCH(TRUE,ISNUMBER(SEARCH('Category Rules'!$A$2:$A$194,C893)),0)),"")))))))</f>
        <v>Amazon</v>
      </c>
    </row>
    <row r="894" spans="1:7" x14ac:dyDescent="0.25">
      <c r="A894" t="s">
        <v>6</v>
      </c>
      <c r="B894" s="1">
        <v>46090</v>
      </c>
      <c r="C894" t="s">
        <v>848</v>
      </c>
      <c r="D894">
        <v>-140.31</v>
      </c>
      <c r="E894" t="s">
        <v>14</v>
      </c>
      <c r="F894">
        <v>8241.4699999999993</v>
      </c>
      <c r="G894" t="str" cm="1">
        <f t="array" ref="G894">IF(AND(ISNUMBER(SEARCH("UBER",C894)),ISNUMBER(SEARCH("EATS",C894))),"Uber Eats",IF(LEFT(C894,6)="CHECK ","Checks Paid",IF(OR(E894="BILLPAY",ISNUMBER(SEARCH("FRANCHISE TAX",C894)),ISNUMBER(SEARCH("NEXTLINK",C894))),"Personal - House Bills",IF(AND(ISNUMBER(SEARCH("PAYMENT FROM",C894)),ISNUMBER(SEARCH("JOE SAUNDERS",C894))),"Zelle from Joe Saunders",IF(AND(ISNUMBER(SEARCH("PAYMENT TO",C894)),ISNUMBER(SEARCH("JOE SAUNDERS",C894))),"Zelle to Joe Saunders",IF(OR(ISNUMBER(SEARCH("NEW ORLEANS",C894)),ISNUMBER(SEARCH("KENNER",C894)),ISNUMBER(SEARCH("HENRY HOWARD",C894)),ISNUMBER(SEARCH("MISS CLAUDIA",C894))),"Personal Travel - New Orleans",IFERROR(INDEX('Category Rules'!$B$2:$B$194,MATCH(TRUE,ISNUMBER(SEARCH('Category Rules'!$A$2:$A$194,C894)),0)),"")))))))</f>
        <v>Personal - Food</v>
      </c>
    </row>
    <row r="895" spans="1:7" x14ac:dyDescent="0.25">
      <c r="A895" t="s">
        <v>6</v>
      </c>
      <c r="B895" s="1">
        <v>46090</v>
      </c>
      <c r="C895" t="s">
        <v>849</v>
      </c>
      <c r="D895">
        <v>-21.55</v>
      </c>
      <c r="E895" t="s">
        <v>14</v>
      </c>
      <c r="F895">
        <v>8381.7800000000007</v>
      </c>
      <c r="G895" t="str" cm="1">
        <f t="array" ref="G895">IF(AND(ISNUMBER(SEARCH("UBER",C895)),ISNUMBER(SEARCH("EATS",C895))),"Uber Eats",IF(LEFT(C895,6)="CHECK ","Checks Paid",IF(OR(E895="BILLPAY",ISNUMBER(SEARCH("FRANCHISE TAX",C895)),ISNUMBER(SEARCH("NEXTLINK",C895))),"Personal - House Bills",IF(AND(ISNUMBER(SEARCH("PAYMENT FROM",C895)),ISNUMBER(SEARCH("JOE SAUNDERS",C895))),"Zelle from Joe Saunders",IF(AND(ISNUMBER(SEARCH("PAYMENT TO",C895)),ISNUMBER(SEARCH("JOE SAUNDERS",C895))),"Zelle to Joe Saunders",IF(OR(ISNUMBER(SEARCH("NEW ORLEANS",C895)),ISNUMBER(SEARCH("KENNER",C895)),ISNUMBER(SEARCH("HENRY HOWARD",C895)),ISNUMBER(SEARCH("MISS CLAUDIA",C895))),"Personal Travel - New Orleans",IFERROR(INDEX('Category Rules'!$B$2:$B$194,MATCH(TRUE,ISNUMBER(SEARCH('Category Rules'!$A$2:$A$194,C895)),0)),"")))))))</f>
        <v>Personal - Entertainment</v>
      </c>
    </row>
    <row r="896" spans="1:7" x14ac:dyDescent="0.25">
      <c r="A896" t="s">
        <v>37</v>
      </c>
      <c r="B896" s="1">
        <v>46090</v>
      </c>
      <c r="C896" t="s">
        <v>850</v>
      </c>
      <c r="D896">
        <v>5000</v>
      </c>
      <c r="E896" t="s">
        <v>39</v>
      </c>
      <c r="F896">
        <v>8403.33</v>
      </c>
      <c r="G896" t="str" cm="1">
        <f t="array" ref="G896">IF(AND(ISNUMBER(SEARCH("UBER",C896)),ISNUMBER(SEARCH("EATS",C896))),"Uber Eats",IF(LEFT(C896,6)="CHECK ","Checks Paid",IF(OR(E896="BILLPAY",ISNUMBER(SEARCH("FRANCHISE TAX",C896)),ISNUMBER(SEARCH("NEXTLINK",C896))),"Personal - House Bills",IF(AND(ISNUMBER(SEARCH("PAYMENT FROM",C896)),ISNUMBER(SEARCH("JOE SAUNDERS",C896))),"Zelle from Joe Saunders",IF(AND(ISNUMBER(SEARCH("PAYMENT TO",C896)),ISNUMBER(SEARCH("JOE SAUNDERS",C896))),"Zelle to Joe Saunders",IF(OR(ISNUMBER(SEARCH("NEW ORLEANS",C896)),ISNUMBER(SEARCH("KENNER",C896)),ISNUMBER(SEARCH("HENRY HOWARD",C896)),ISNUMBER(SEARCH("MISS CLAUDIA",C896))),"Personal Travel - New Orleans",IFERROR(INDEX('Category Rules'!$B$2:$B$194,MATCH(TRUE,ISNUMBER(SEARCH('Category Rules'!$A$2:$A$194,C896)),0)),"")))))))</f>
        <v>Transfer from DWG Capital Group</v>
      </c>
    </row>
    <row r="897" spans="1:7" x14ac:dyDescent="0.25">
      <c r="A897" t="s">
        <v>37</v>
      </c>
      <c r="B897" s="1">
        <v>46090</v>
      </c>
      <c r="C897" t="s">
        <v>851</v>
      </c>
      <c r="D897">
        <v>1050</v>
      </c>
      <c r="E897" t="s">
        <v>117</v>
      </c>
      <c r="F897">
        <v>3403.33</v>
      </c>
      <c r="G897" t="str" cm="1">
        <f t="array" ref="G897">IF(AND(ISNUMBER(SEARCH("UBER",C897)),ISNUMBER(SEARCH("EATS",C897))),"Uber Eats",IF(LEFT(C897,6)="CHECK ","Checks Paid",IF(OR(E897="BILLPAY",ISNUMBER(SEARCH("FRANCHISE TAX",C897)),ISNUMBER(SEARCH("NEXTLINK",C897))),"Personal - House Bills",IF(AND(ISNUMBER(SEARCH("PAYMENT FROM",C897)),ISNUMBER(SEARCH("JOE SAUNDERS",C897))),"Zelle from Joe Saunders",IF(AND(ISNUMBER(SEARCH("PAYMENT TO",C897)),ISNUMBER(SEARCH("JOE SAUNDERS",C897))),"Zelle to Joe Saunders",IF(OR(ISNUMBER(SEARCH("NEW ORLEANS",C897)),ISNUMBER(SEARCH("KENNER",C897)),ISNUMBER(SEARCH("HENRY HOWARD",C897)),ISNUMBER(SEARCH("MISS CLAUDIA",C897))),"Personal Travel - New Orleans",IFERROR(INDEX('Category Rules'!$B$2:$B$194,MATCH(TRUE,ISNUMBER(SEARCH('Category Rules'!$A$2:$A$194,C897)),0)),"")))))))</f>
        <v>Deposit</v>
      </c>
    </row>
    <row r="898" spans="1:7" x14ac:dyDescent="0.25">
      <c r="A898" t="s">
        <v>6</v>
      </c>
      <c r="B898" s="1">
        <v>46087</v>
      </c>
      <c r="C898" t="s">
        <v>852</v>
      </c>
      <c r="D898">
        <v>-47.7</v>
      </c>
      <c r="E898" t="s">
        <v>14</v>
      </c>
      <c r="F898">
        <v>2353.33</v>
      </c>
      <c r="G898" t="str" cm="1">
        <f t="array" ref="G898">IF(AND(ISNUMBER(SEARCH("UBER",C898)),ISNUMBER(SEARCH("EATS",C898))),"Uber Eats",IF(LEFT(C898,6)="CHECK ","Checks Paid",IF(OR(E898="BILLPAY",ISNUMBER(SEARCH("FRANCHISE TAX",C898)),ISNUMBER(SEARCH("NEXTLINK",C898))),"Personal - House Bills",IF(AND(ISNUMBER(SEARCH("PAYMENT FROM",C898)),ISNUMBER(SEARCH("JOE SAUNDERS",C898))),"Zelle from Joe Saunders",IF(AND(ISNUMBER(SEARCH("PAYMENT TO",C898)),ISNUMBER(SEARCH("JOE SAUNDERS",C898))),"Zelle to Joe Saunders",IF(OR(ISNUMBER(SEARCH("NEW ORLEANS",C898)),ISNUMBER(SEARCH("KENNER",C898)),ISNUMBER(SEARCH("HENRY HOWARD",C898)),ISNUMBER(SEARCH("MISS CLAUDIA",C898))),"Personal Travel - New Orleans",IFERROR(INDEX('Category Rules'!$B$2:$B$194,MATCH(TRUE,ISNUMBER(SEARCH('Category Rules'!$A$2:$A$194,C898)),0)),"")))))))</f>
        <v>Uber Eats</v>
      </c>
    </row>
    <row r="899" spans="1:7" x14ac:dyDescent="0.25">
      <c r="A899" t="s">
        <v>6</v>
      </c>
      <c r="B899" s="1">
        <v>46087</v>
      </c>
      <c r="C899" t="s">
        <v>853</v>
      </c>
      <c r="D899">
        <v>-13.99</v>
      </c>
      <c r="E899" t="s">
        <v>14</v>
      </c>
      <c r="F899">
        <v>2401.0300000000002</v>
      </c>
      <c r="G899" t="str" cm="1">
        <f t="array" ref="G899">IF(AND(ISNUMBER(SEARCH("UBER",C899)),ISNUMBER(SEARCH("EATS",C899))),"Uber Eats",IF(LEFT(C899,6)="CHECK ","Checks Paid",IF(OR(E899="BILLPAY",ISNUMBER(SEARCH("FRANCHISE TAX",C899)),ISNUMBER(SEARCH("NEXTLINK",C899))),"Personal - House Bills",IF(AND(ISNUMBER(SEARCH("PAYMENT FROM",C899)),ISNUMBER(SEARCH("JOE SAUNDERS",C899))),"Zelle from Joe Saunders",IF(AND(ISNUMBER(SEARCH("PAYMENT TO",C899)),ISNUMBER(SEARCH("JOE SAUNDERS",C899))),"Zelle to Joe Saunders",IF(OR(ISNUMBER(SEARCH("NEW ORLEANS",C899)),ISNUMBER(SEARCH("KENNER",C899)),ISNUMBER(SEARCH("HENRY HOWARD",C899)),ISNUMBER(SEARCH("MISS CLAUDIA",C899))),"Personal Travel - New Orleans",IFERROR(INDEX('Category Rules'!$B$2:$B$194,MATCH(TRUE,ISNUMBER(SEARCH('Category Rules'!$A$2:$A$194,C899)),0)),"")))))))</f>
        <v>YouTube Premium</v>
      </c>
    </row>
    <row r="900" spans="1:7" x14ac:dyDescent="0.25">
      <c r="A900" t="s">
        <v>6</v>
      </c>
      <c r="B900" s="1">
        <v>46087</v>
      </c>
      <c r="C900" t="s">
        <v>854</v>
      </c>
      <c r="D900">
        <v>-29.95</v>
      </c>
      <c r="E900" t="s">
        <v>14</v>
      </c>
      <c r="F900">
        <v>2415.02</v>
      </c>
      <c r="G900" t="str" cm="1">
        <f t="array" ref="G900">IF(AND(ISNUMBER(SEARCH("UBER",C900)),ISNUMBER(SEARCH("EATS",C900))),"Uber Eats",IF(LEFT(C900,6)="CHECK ","Checks Paid",IF(OR(E900="BILLPAY",ISNUMBER(SEARCH("FRANCHISE TAX",C900)),ISNUMBER(SEARCH("NEXTLINK",C900))),"Personal - House Bills",IF(AND(ISNUMBER(SEARCH("PAYMENT FROM",C900)),ISNUMBER(SEARCH("JOE SAUNDERS",C900))),"Zelle from Joe Saunders",IF(AND(ISNUMBER(SEARCH("PAYMENT TO",C900)),ISNUMBER(SEARCH("JOE SAUNDERS",C900))),"Zelle to Joe Saunders",IF(OR(ISNUMBER(SEARCH("NEW ORLEANS",C900)),ISNUMBER(SEARCH("KENNER",C900)),ISNUMBER(SEARCH("HENRY HOWARD",C900)),ISNUMBER(SEARCH("MISS CLAUDIA",C900))),"Personal Travel - New Orleans",IFERROR(INDEX('Category Rules'!$B$2:$B$194,MATCH(TRUE,ISNUMBER(SEARCH('Category Rules'!$A$2:$A$194,C900)),0)),"")))))))</f>
        <v>Personal - Subscription</v>
      </c>
    </row>
    <row r="901" spans="1:7" x14ac:dyDescent="0.25">
      <c r="A901" t="s">
        <v>6</v>
      </c>
      <c r="B901" s="1">
        <v>46087</v>
      </c>
      <c r="C901" t="s">
        <v>855</v>
      </c>
      <c r="D901">
        <v>-135</v>
      </c>
      <c r="E901" t="s">
        <v>14</v>
      </c>
      <c r="F901">
        <v>2444.9699999999998</v>
      </c>
      <c r="G901" t="str" cm="1">
        <f t="array" ref="G901">IF(AND(ISNUMBER(SEARCH("UBER",C901)),ISNUMBER(SEARCH("EATS",C901))),"Uber Eats",IF(LEFT(C901,6)="CHECK ","Checks Paid",IF(OR(E901="BILLPAY",ISNUMBER(SEARCH("FRANCHISE TAX",C901)),ISNUMBER(SEARCH("NEXTLINK",C901))),"Personal - House Bills",IF(AND(ISNUMBER(SEARCH("PAYMENT FROM",C901)),ISNUMBER(SEARCH("JOE SAUNDERS",C901))),"Zelle from Joe Saunders",IF(AND(ISNUMBER(SEARCH("PAYMENT TO",C901)),ISNUMBER(SEARCH("JOE SAUNDERS",C901))),"Zelle to Joe Saunders",IF(OR(ISNUMBER(SEARCH("NEW ORLEANS",C901)),ISNUMBER(SEARCH("KENNER",C901)),ISNUMBER(SEARCH("HENRY HOWARD",C901)),ISNUMBER(SEARCH("MISS CLAUDIA",C901))),"Personal Travel - New Orleans",IFERROR(INDEX('Category Rules'!$B$2:$B$194,MATCH(TRUE,ISNUMBER(SEARCH('Category Rules'!$A$2:$A$194,C901)),0)),"")))))))</f>
        <v>Personal - Shopping</v>
      </c>
    </row>
    <row r="902" spans="1:7" x14ac:dyDescent="0.25">
      <c r="A902" t="s">
        <v>6</v>
      </c>
      <c r="B902" s="1">
        <v>46087</v>
      </c>
      <c r="C902" t="s">
        <v>856</v>
      </c>
      <c r="D902">
        <v>-30.68</v>
      </c>
      <c r="E902" t="s">
        <v>14</v>
      </c>
      <c r="F902">
        <v>2579.9699999999998</v>
      </c>
      <c r="G902" t="str" cm="1">
        <f t="array" ref="G902">IF(AND(ISNUMBER(SEARCH("UBER",C902)),ISNUMBER(SEARCH("EATS",C902))),"Uber Eats",IF(LEFT(C902,6)="CHECK ","Checks Paid",IF(OR(E902="BILLPAY",ISNUMBER(SEARCH("FRANCHISE TAX",C902)),ISNUMBER(SEARCH("NEXTLINK",C902))),"Personal - House Bills",IF(AND(ISNUMBER(SEARCH("PAYMENT FROM",C902)),ISNUMBER(SEARCH("JOE SAUNDERS",C902))),"Zelle from Joe Saunders",IF(AND(ISNUMBER(SEARCH("PAYMENT TO",C902)),ISNUMBER(SEARCH("JOE SAUNDERS",C902))),"Zelle to Joe Saunders",IF(OR(ISNUMBER(SEARCH("NEW ORLEANS",C902)),ISNUMBER(SEARCH("KENNER",C902)),ISNUMBER(SEARCH("HENRY HOWARD",C902)),ISNUMBER(SEARCH("MISS CLAUDIA",C902))),"Personal Travel - New Orleans",IFERROR(INDEX('Category Rules'!$B$2:$B$194,MATCH(TRUE,ISNUMBER(SEARCH('Category Rules'!$A$2:$A$194,C902)),0)),"")))))))</f>
        <v>Amazon</v>
      </c>
    </row>
    <row r="903" spans="1:7" x14ac:dyDescent="0.25">
      <c r="A903" t="s">
        <v>6</v>
      </c>
      <c r="B903" s="1">
        <v>46086</v>
      </c>
      <c r="C903" t="s">
        <v>857</v>
      </c>
      <c r="D903">
        <v>-74.62</v>
      </c>
      <c r="E903" t="s">
        <v>14</v>
      </c>
      <c r="F903">
        <v>2610.65</v>
      </c>
      <c r="G903" t="str" cm="1">
        <f t="array" ref="G903">IF(AND(ISNUMBER(SEARCH("UBER",C903)),ISNUMBER(SEARCH("EATS",C903))),"Uber Eats",IF(LEFT(C903,6)="CHECK ","Checks Paid",IF(OR(E903="BILLPAY",ISNUMBER(SEARCH("FRANCHISE TAX",C903)),ISNUMBER(SEARCH("NEXTLINK",C903))),"Personal - House Bills",IF(AND(ISNUMBER(SEARCH("PAYMENT FROM",C903)),ISNUMBER(SEARCH("JOE SAUNDERS",C903))),"Zelle from Joe Saunders",IF(AND(ISNUMBER(SEARCH("PAYMENT TO",C903)),ISNUMBER(SEARCH("JOE SAUNDERS",C903))),"Zelle to Joe Saunders",IF(OR(ISNUMBER(SEARCH("NEW ORLEANS",C903)),ISNUMBER(SEARCH("KENNER",C903)),ISNUMBER(SEARCH("HENRY HOWARD",C903)),ISNUMBER(SEARCH("MISS CLAUDIA",C903))),"Personal Travel - New Orleans",IFERROR(INDEX('Category Rules'!$B$2:$B$194,MATCH(TRUE,ISNUMBER(SEARCH('Category Rules'!$A$2:$A$194,C903)),0)),"")))))))</f>
        <v>Amazon</v>
      </c>
    </row>
    <row r="904" spans="1:7" x14ac:dyDescent="0.25">
      <c r="A904" t="s">
        <v>6</v>
      </c>
      <c r="B904" s="1">
        <v>46086</v>
      </c>
      <c r="C904" t="s">
        <v>858</v>
      </c>
      <c r="D904">
        <v>-208.69</v>
      </c>
      <c r="E904" t="s">
        <v>14</v>
      </c>
      <c r="F904">
        <v>2685.27</v>
      </c>
      <c r="G904" t="str" cm="1">
        <f t="array" ref="G904">IF(AND(ISNUMBER(SEARCH("UBER",C904)),ISNUMBER(SEARCH("EATS",C904))),"Uber Eats",IF(LEFT(C904,6)="CHECK ","Checks Paid",IF(OR(E904="BILLPAY",ISNUMBER(SEARCH("FRANCHISE TAX",C904)),ISNUMBER(SEARCH("NEXTLINK",C904))),"Personal - House Bills",IF(AND(ISNUMBER(SEARCH("PAYMENT FROM",C904)),ISNUMBER(SEARCH("JOE SAUNDERS",C904))),"Zelle from Joe Saunders",IF(AND(ISNUMBER(SEARCH("PAYMENT TO",C904)),ISNUMBER(SEARCH("JOE SAUNDERS",C904))),"Zelle to Joe Saunders",IF(OR(ISNUMBER(SEARCH("NEW ORLEANS",C904)),ISNUMBER(SEARCH("KENNER",C904)),ISNUMBER(SEARCH("HENRY HOWARD",C904)),ISNUMBER(SEARCH("MISS CLAUDIA",C904))),"Personal Travel - New Orleans",IFERROR(INDEX('Category Rules'!$B$2:$B$194,MATCH(TRUE,ISNUMBER(SEARCH('Category Rules'!$A$2:$A$194,C904)),0)),"")))))))</f>
        <v>Etsy</v>
      </c>
    </row>
    <row r="905" spans="1:7" x14ac:dyDescent="0.25">
      <c r="A905" t="s">
        <v>6</v>
      </c>
      <c r="B905" s="1">
        <v>46086</v>
      </c>
      <c r="C905" t="s">
        <v>859</v>
      </c>
      <c r="D905">
        <v>-77.94</v>
      </c>
      <c r="E905" t="s">
        <v>14</v>
      </c>
      <c r="F905">
        <v>2893.96</v>
      </c>
      <c r="G905" t="str" cm="1">
        <f t="array" ref="G905">IF(AND(ISNUMBER(SEARCH("UBER",C905)),ISNUMBER(SEARCH("EATS",C905))),"Uber Eats",IF(LEFT(C905,6)="CHECK ","Checks Paid",IF(OR(E905="BILLPAY",ISNUMBER(SEARCH("FRANCHISE TAX",C905)),ISNUMBER(SEARCH("NEXTLINK",C905))),"Personal - House Bills",IF(AND(ISNUMBER(SEARCH("PAYMENT FROM",C905)),ISNUMBER(SEARCH("JOE SAUNDERS",C905))),"Zelle from Joe Saunders",IF(AND(ISNUMBER(SEARCH("PAYMENT TO",C905)),ISNUMBER(SEARCH("JOE SAUNDERS",C905))),"Zelle to Joe Saunders",IF(OR(ISNUMBER(SEARCH("NEW ORLEANS",C905)),ISNUMBER(SEARCH("KENNER",C905)),ISNUMBER(SEARCH("HENRY HOWARD",C905)),ISNUMBER(SEARCH("MISS CLAUDIA",C905))),"Personal Travel - New Orleans",IFERROR(INDEX('Category Rules'!$B$2:$B$194,MATCH(TRUE,ISNUMBER(SEARCH('Category Rules'!$A$2:$A$194,C905)),0)),"")))))))</f>
        <v>Personal - Entertainment</v>
      </c>
    </row>
    <row r="906" spans="1:7" x14ac:dyDescent="0.25">
      <c r="A906" t="s">
        <v>6</v>
      </c>
      <c r="B906" s="1">
        <v>46086</v>
      </c>
      <c r="C906" t="s">
        <v>860</v>
      </c>
      <c r="D906">
        <v>-213.57</v>
      </c>
      <c r="E906" t="s">
        <v>14</v>
      </c>
      <c r="F906">
        <v>2971.9</v>
      </c>
      <c r="G906" t="str" cm="1">
        <f t="array" ref="G906">IF(AND(ISNUMBER(SEARCH("UBER",C906)),ISNUMBER(SEARCH("EATS",C906))),"Uber Eats",IF(LEFT(C906,6)="CHECK ","Checks Paid",IF(OR(E906="BILLPAY",ISNUMBER(SEARCH("FRANCHISE TAX",C906)),ISNUMBER(SEARCH("NEXTLINK",C906))),"Personal - House Bills",IF(AND(ISNUMBER(SEARCH("PAYMENT FROM",C906)),ISNUMBER(SEARCH("JOE SAUNDERS",C906))),"Zelle from Joe Saunders",IF(AND(ISNUMBER(SEARCH("PAYMENT TO",C906)),ISNUMBER(SEARCH("JOE SAUNDERS",C906))),"Zelle to Joe Saunders",IF(OR(ISNUMBER(SEARCH("NEW ORLEANS",C906)),ISNUMBER(SEARCH("KENNER",C906)),ISNUMBER(SEARCH("HENRY HOWARD",C906)),ISNUMBER(SEARCH("MISS CLAUDIA",C906))),"Personal Travel - New Orleans",IFERROR(INDEX('Category Rules'!$B$2:$B$194,MATCH(TRUE,ISNUMBER(SEARCH('Category Rules'!$A$2:$A$194,C906)),0)),"")))))))</f>
        <v>Personal - Food</v>
      </c>
    </row>
    <row r="907" spans="1:7" x14ac:dyDescent="0.25">
      <c r="A907" t="s">
        <v>6</v>
      </c>
      <c r="B907" s="1">
        <v>46086</v>
      </c>
      <c r="C907" t="s">
        <v>861</v>
      </c>
      <c r="D907">
        <v>-148.5</v>
      </c>
      <c r="E907" t="s">
        <v>14</v>
      </c>
      <c r="F907">
        <v>3185.47</v>
      </c>
      <c r="G907" t="str" cm="1">
        <f t="array" ref="G907">IF(AND(ISNUMBER(SEARCH("UBER",C907)),ISNUMBER(SEARCH("EATS",C907))),"Uber Eats",IF(LEFT(C907,6)="CHECK ","Checks Paid",IF(OR(E907="BILLPAY",ISNUMBER(SEARCH("FRANCHISE TAX",C907)),ISNUMBER(SEARCH("NEXTLINK",C907))),"Personal - House Bills",IF(AND(ISNUMBER(SEARCH("PAYMENT FROM",C907)),ISNUMBER(SEARCH("JOE SAUNDERS",C907))),"Zelle from Joe Saunders",IF(AND(ISNUMBER(SEARCH("PAYMENT TO",C907)),ISNUMBER(SEARCH("JOE SAUNDERS",C907))),"Zelle to Joe Saunders",IF(OR(ISNUMBER(SEARCH("NEW ORLEANS",C907)),ISNUMBER(SEARCH("KENNER",C907)),ISNUMBER(SEARCH("HENRY HOWARD",C907)),ISNUMBER(SEARCH("MISS CLAUDIA",C907))),"Personal Travel - New Orleans",IFERROR(INDEX('Category Rules'!$B$2:$B$194,MATCH(TRUE,ISNUMBER(SEARCH('Category Rules'!$A$2:$A$194,C907)),0)),"")))))))</f>
        <v>Personal - Food</v>
      </c>
    </row>
    <row r="908" spans="1:7" x14ac:dyDescent="0.25">
      <c r="A908" t="s">
        <v>6</v>
      </c>
      <c r="B908" s="1">
        <v>46086</v>
      </c>
      <c r="C908" t="s">
        <v>862</v>
      </c>
      <c r="D908">
        <v>-167.92</v>
      </c>
      <c r="E908" t="s">
        <v>14</v>
      </c>
      <c r="F908">
        <v>3333.97</v>
      </c>
      <c r="G908" t="str" cm="1">
        <f t="array" ref="G908">IF(AND(ISNUMBER(SEARCH("UBER",C908)),ISNUMBER(SEARCH("EATS",C908))),"Uber Eats",IF(LEFT(C908,6)="CHECK ","Checks Paid",IF(OR(E908="BILLPAY",ISNUMBER(SEARCH("FRANCHISE TAX",C908)),ISNUMBER(SEARCH("NEXTLINK",C908))),"Personal - House Bills",IF(AND(ISNUMBER(SEARCH("PAYMENT FROM",C908)),ISNUMBER(SEARCH("JOE SAUNDERS",C908))),"Zelle from Joe Saunders",IF(AND(ISNUMBER(SEARCH("PAYMENT TO",C908)),ISNUMBER(SEARCH("JOE SAUNDERS",C908))),"Zelle to Joe Saunders",IF(OR(ISNUMBER(SEARCH("NEW ORLEANS",C908)),ISNUMBER(SEARCH("KENNER",C908)),ISNUMBER(SEARCH("HENRY HOWARD",C908)),ISNUMBER(SEARCH("MISS CLAUDIA",C908))),"Personal Travel - New Orleans",IFERROR(INDEX('Category Rules'!$B$2:$B$194,MATCH(TRUE,ISNUMBER(SEARCH('Category Rules'!$A$2:$A$194,C908)),0)),"")))))))</f>
        <v>Amazon</v>
      </c>
    </row>
    <row r="909" spans="1:7" x14ac:dyDescent="0.25">
      <c r="A909" t="s">
        <v>6</v>
      </c>
      <c r="B909" s="1">
        <v>46086</v>
      </c>
      <c r="C909" t="s">
        <v>863</v>
      </c>
      <c r="D909">
        <v>-72.42</v>
      </c>
      <c r="E909" t="s">
        <v>14</v>
      </c>
      <c r="F909">
        <v>3501.89</v>
      </c>
      <c r="G909" t="str" cm="1">
        <f t="array" ref="G909">IF(AND(ISNUMBER(SEARCH("UBER",C909)),ISNUMBER(SEARCH("EATS",C909))),"Uber Eats",IF(LEFT(C909,6)="CHECK ","Checks Paid",IF(OR(E909="BILLPAY",ISNUMBER(SEARCH("FRANCHISE TAX",C909)),ISNUMBER(SEARCH("NEXTLINK",C909))),"Personal - House Bills",IF(AND(ISNUMBER(SEARCH("PAYMENT FROM",C909)),ISNUMBER(SEARCH("JOE SAUNDERS",C909))),"Zelle from Joe Saunders",IF(AND(ISNUMBER(SEARCH("PAYMENT TO",C909)),ISNUMBER(SEARCH("JOE SAUNDERS",C909))),"Zelle to Joe Saunders",IF(OR(ISNUMBER(SEARCH("NEW ORLEANS",C909)),ISNUMBER(SEARCH("KENNER",C909)),ISNUMBER(SEARCH("HENRY HOWARD",C909)),ISNUMBER(SEARCH("MISS CLAUDIA",C909))),"Personal Travel - New Orleans",IFERROR(INDEX('Category Rules'!$B$2:$B$194,MATCH(TRUE,ISNUMBER(SEARCH('Category Rules'!$A$2:$A$194,C909)),0)),"")))))))</f>
        <v>Amazon</v>
      </c>
    </row>
    <row r="910" spans="1:7" x14ac:dyDescent="0.25">
      <c r="A910" t="s">
        <v>6</v>
      </c>
      <c r="B910" s="1">
        <v>46086</v>
      </c>
      <c r="C910" t="s">
        <v>864</v>
      </c>
      <c r="D910">
        <v>-405.35</v>
      </c>
      <c r="E910" t="s">
        <v>14</v>
      </c>
      <c r="F910">
        <v>3574.31</v>
      </c>
      <c r="G910" t="str" cm="1">
        <f t="array" ref="G910">IF(AND(ISNUMBER(SEARCH("UBER",C910)),ISNUMBER(SEARCH("EATS",C910))),"Uber Eats",IF(LEFT(C910,6)="CHECK ","Checks Paid",IF(OR(E910="BILLPAY",ISNUMBER(SEARCH("FRANCHISE TAX",C910)),ISNUMBER(SEARCH("NEXTLINK",C910))),"Personal - House Bills",IF(AND(ISNUMBER(SEARCH("PAYMENT FROM",C910)),ISNUMBER(SEARCH("JOE SAUNDERS",C910))),"Zelle from Joe Saunders",IF(AND(ISNUMBER(SEARCH("PAYMENT TO",C910)),ISNUMBER(SEARCH("JOE SAUNDERS",C910))),"Zelle to Joe Saunders",IF(OR(ISNUMBER(SEARCH("NEW ORLEANS",C910)),ISNUMBER(SEARCH("KENNER",C910)),ISNUMBER(SEARCH("HENRY HOWARD",C910)),ISNUMBER(SEARCH("MISS CLAUDIA",C910))),"Personal Travel - New Orleans",IFERROR(INDEX('Category Rules'!$B$2:$B$194,MATCH(TRUE,ISNUMBER(SEARCH('Category Rules'!$A$2:$A$194,C910)),0)),"")))))))</f>
        <v>Personal - Shopping</v>
      </c>
    </row>
    <row r="911" spans="1:7" x14ac:dyDescent="0.25">
      <c r="A911" t="s">
        <v>6</v>
      </c>
      <c r="B911" s="1">
        <v>46086</v>
      </c>
      <c r="C911" t="s">
        <v>865</v>
      </c>
      <c r="D911">
        <v>-779</v>
      </c>
      <c r="E911" t="s">
        <v>14</v>
      </c>
      <c r="F911">
        <v>3979.66</v>
      </c>
      <c r="G911" t="str" cm="1">
        <f t="array" ref="G911">IF(AND(ISNUMBER(SEARCH("UBER",C911)),ISNUMBER(SEARCH("EATS",C911))),"Uber Eats",IF(LEFT(C911,6)="CHECK ","Checks Paid",IF(OR(E911="BILLPAY",ISNUMBER(SEARCH("FRANCHISE TAX",C911)),ISNUMBER(SEARCH("NEXTLINK",C911))),"Personal - House Bills",IF(AND(ISNUMBER(SEARCH("PAYMENT FROM",C911)),ISNUMBER(SEARCH("JOE SAUNDERS",C911))),"Zelle from Joe Saunders",IF(AND(ISNUMBER(SEARCH("PAYMENT TO",C911)),ISNUMBER(SEARCH("JOE SAUNDERS",C911))),"Zelle to Joe Saunders",IF(OR(ISNUMBER(SEARCH("NEW ORLEANS",C911)),ISNUMBER(SEARCH("KENNER",C911)),ISNUMBER(SEARCH("HENRY HOWARD",C911)),ISNUMBER(SEARCH("MISS CLAUDIA",C911))),"Personal Travel - New Orleans",IFERROR(INDEX('Category Rules'!$B$2:$B$194,MATCH(TRUE,ISNUMBER(SEARCH('Category Rules'!$A$2:$A$194,C911)),0)),"")))))))</f>
        <v>Personal Travel</v>
      </c>
    </row>
    <row r="912" spans="1:7" x14ac:dyDescent="0.25">
      <c r="A912" t="s">
        <v>6</v>
      </c>
      <c r="B912" s="1">
        <v>46085</v>
      </c>
      <c r="C912" t="s">
        <v>866</v>
      </c>
      <c r="D912">
        <v>-281.44</v>
      </c>
      <c r="E912" t="s">
        <v>14</v>
      </c>
      <c r="F912">
        <v>4758.66</v>
      </c>
      <c r="G912" t="str" cm="1">
        <f t="array" ref="G912">IF(AND(ISNUMBER(SEARCH("UBER",C912)),ISNUMBER(SEARCH("EATS",C912))),"Uber Eats",IF(LEFT(C912,6)="CHECK ","Checks Paid",IF(OR(E912="BILLPAY",ISNUMBER(SEARCH("FRANCHISE TAX",C912)),ISNUMBER(SEARCH("NEXTLINK",C912))),"Personal - House Bills",IF(AND(ISNUMBER(SEARCH("PAYMENT FROM",C912)),ISNUMBER(SEARCH("JOE SAUNDERS",C912))),"Zelle from Joe Saunders",IF(AND(ISNUMBER(SEARCH("PAYMENT TO",C912)),ISNUMBER(SEARCH("JOE SAUNDERS",C912))),"Zelle to Joe Saunders",IF(OR(ISNUMBER(SEARCH("NEW ORLEANS",C912)),ISNUMBER(SEARCH("KENNER",C912)),ISNUMBER(SEARCH("HENRY HOWARD",C912)),ISNUMBER(SEARCH("MISS CLAUDIA",C912))),"Personal Travel - New Orleans",IFERROR(INDEX('Category Rules'!$B$2:$B$194,MATCH(TRUE,ISNUMBER(SEARCH('Category Rules'!$A$2:$A$194,C912)),0)),"")))))))</f>
        <v>Personal - Food</v>
      </c>
    </row>
    <row r="913" spans="1:7" x14ac:dyDescent="0.25">
      <c r="A913" t="s">
        <v>6</v>
      </c>
      <c r="B913" s="1">
        <v>46085</v>
      </c>
      <c r="C913" t="s">
        <v>867</v>
      </c>
      <c r="D913">
        <v>-299.99</v>
      </c>
      <c r="E913" t="s">
        <v>14</v>
      </c>
      <c r="F913">
        <v>5040.1000000000004</v>
      </c>
      <c r="G913" t="str" cm="1">
        <f t="array" ref="G913">IF(AND(ISNUMBER(SEARCH("UBER",C913)),ISNUMBER(SEARCH("EATS",C913))),"Uber Eats",IF(LEFT(C913,6)="CHECK ","Checks Paid",IF(OR(E913="BILLPAY",ISNUMBER(SEARCH("FRANCHISE TAX",C913)),ISNUMBER(SEARCH("NEXTLINK",C913))),"Personal - House Bills",IF(AND(ISNUMBER(SEARCH("PAYMENT FROM",C913)),ISNUMBER(SEARCH("JOE SAUNDERS",C913))),"Zelle from Joe Saunders",IF(AND(ISNUMBER(SEARCH("PAYMENT TO",C913)),ISNUMBER(SEARCH("JOE SAUNDERS",C913))),"Zelle to Joe Saunders",IF(OR(ISNUMBER(SEARCH("NEW ORLEANS",C913)),ISNUMBER(SEARCH("KENNER",C913)),ISNUMBER(SEARCH("HENRY HOWARD",C913)),ISNUMBER(SEARCH("MISS CLAUDIA",C913))),"Personal Travel - New Orleans",IFERROR(INDEX('Category Rules'!$B$2:$B$194,MATCH(TRUE,ISNUMBER(SEARCH('Category Rules'!$A$2:$A$194,C913)),0)),"")))))))</f>
        <v>Personal - Health</v>
      </c>
    </row>
    <row r="914" spans="1:7" x14ac:dyDescent="0.25">
      <c r="A914" t="s">
        <v>6</v>
      </c>
      <c r="B914" s="1">
        <v>46085</v>
      </c>
      <c r="C914" t="s">
        <v>868</v>
      </c>
      <c r="D914">
        <v>-342.54</v>
      </c>
      <c r="E914" t="s">
        <v>14</v>
      </c>
      <c r="F914">
        <v>5340.09</v>
      </c>
      <c r="G914" t="str" cm="1">
        <f t="array" ref="G914">IF(AND(ISNUMBER(SEARCH("UBER",C914)),ISNUMBER(SEARCH("EATS",C914))),"Uber Eats",IF(LEFT(C914,6)="CHECK ","Checks Paid",IF(OR(E914="BILLPAY",ISNUMBER(SEARCH("FRANCHISE TAX",C914)),ISNUMBER(SEARCH("NEXTLINK",C914))),"Personal - House Bills",IF(AND(ISNUMBER(SEARCH("PAYMENT FROM",C914)),ISNUMBER(SEARCH("JOE SAUNDERS",C914))),"Zelle from Joe Saunders",IF(AND(ISNUMBER(SEARCH("PAYMENT TO",C914)),ISNUMBER(SEARCH("JOE SAUNDERS",C914))),"Zelle to Joe Saunders",IF(OR(ISNUMBER(SEARCH("NEW ORLEANS",C914)),ISNUMBER(SEARCH("KENNER",C914)),ISNUMBER(SEARCH("HENRY HOWARD",C914)),ISNUMBER(SEARCH("MISS CLAUDIA",C914))),"Personal Travel - New Orleans",IFERROR(INDEX('Category Rules'!$B$2:$B$194,MATCH(TRUE,ISNUMBER(SEARCH('Category Rules'!$A$2:$A$194,C914)),0)),"")))))))</f>
        <v>Etsy</v>
      </c>
    </row>
    <row r="915" spans="1:7" x14ac:dyDescent="0.25">
      <c r="A915" t="s">
        <v>6</v>
      </c>
      <c r="B915" s="1">
        <v>46085</v>
      </c>
      <c r="C915" t="s">
        <v>869</v>
      </c>
      <c r="D915">
        <v>-32.909999999999997</v>
      </c>
      <c r="E915" t="s">
        <v>14</v>
      </c>
      <c r="F915">
        <v>5682.63</v>
      </c>
      <c r="G915" t="str" cm="1">
        <f t="array" ref="G915">IF(AND(ISNUMBER(SEARCH("UBER",C915)),ISNUMBER(SEARCH("EATS",C915))),"Uber Eats",IF(LEFT(C915,6)="CHECK ","Checks Paid",IF(OR(E915="BILLPAY",ISNUMBER(SEARCH("FRANCHISE TAX",C915)),ISNUMBER(SEARCH("NEXTLINK",C915))),"Personal - House Bills",IF(AND(ISNUMBER(SEARCH("PAYMENT FROM",C915)),ISNUMBER(SEARCH("JOE SAUNDERS",C915))),"Zelle from Joe Saunders",IF(AND(ISNUMBER(SEARCH("PAYMENT TO",C915)),ISNUMBER(SEARCH("JOE SAUNDERS",C915))),"Zelle to Joe Saunders",IF(OR(ISNUMBER(SEARCH("NEW ORLEANS",C915)),ISNUMBER(SEARCH("KENNER",C915)),ISNUMBER(SEARCH("HENRY HOWARD",C915)),ISNUMBER(SEARCH("MISS CLAUDIA",C915))),"Personal Travel - New Orleans",IFERROR(INDEX('Category Rules'!$B$2:$B$194,MATCH(TRUE,ISNUMBER(SEARCH('Category Rules'!$A$2:$A$194,C915)),0)),"")))))))</f>
        <v>Amazon</v>
      </c>
    </row>
    <row r="916" spans="1:7" x14ac:dyDescent="0.25">
      <c r="A916" t="s">
        <v>6</v>
      </c>
      <c r="B916" s="1">
        <v>46085</v>
      </c>
      <c r="C916" t="s">
        <v>870</v>
      </c>
      <c r="D916">
        <v>-43.89</v>
      </c>
      <c r="E916" t="s">
        <v>14</v>
      </c>
      <c r="F916">
        <v>5715.54</v>
      </c>
      <c r="G916" t="str" cm="1">
        <f t="array" ref="G916">IF(AND(ISNUMBER(SEARCH("UBER",C916)),ISNUMBER(SEARCH("EATS",C916))),"Uber Eats",IF(LEFT(C916,6)="CHECK ","Checks Paid",IF(OR(E916="BILLPAY",ISNUMBER(SEARCH("FRANCHISE TAX",C916)),ISNUMBER(SEARCH("NEXTLINK",C916))),"Personal - House Bills",IF(AND(ISNUMBER(SEARCH("PAYMENT FROM",C916)),ISNUMBER(SEARCH("JOE SAUNDERS",C916))),"Zelle from Joe Saunders",IF(AND(ISNUMBER(SEARCH("PAYMENT TO",C916)),ISNUMBER(SEARCH("JOE SAUNDERS",C916))),"Zelle to Joe Saunders",IF(OR(ISNUMBER(SEARCH("NEW ORLEANS",C916)),ISNUMBER(SEARCH("KENNER",C916)),ISNUMBER(SEARCH("HENRY HOWARD",C916)),ISNUMBER(SEARCH("MISS CLAUDIA",C916))),"Personal Travel - New Orleans",IFERROR(INDEX('Category Rules'!$B$2:$B$194,MATCH(TRUE,ISNUMBER(SEARCH('Category Rules'!$A$2:$A$194,C916)),0)),"")))))))</f>
        <v>Amazon</v>
      </c>
    </row>
    <row r="917" spans="1:7" x14ac:dyDescent="0.25">
      <c r="A917" t="s">
        <v>6</v>
      </c>
      <c r="B917" s="1">
        <v>46085</v>
      </c>
      <c r="C917" t="s">
        <v>871</v>
      </c>
      <c r="D917">
        <v>-21</v>
      </c>
      <c r="E917" t="s">
        <v>14</v>
      </c>
      <c r="F917">
        <v>5759.43</v>
      </c>
      <c r="G917" t="str" cm="1">
        <f t="array" ref="G917">IF(AND(ISNUMBER(SEARCH("UBER",C917)),ISNUMBER(SEARCH("EATS",C917))),"Uber Eats",IF(LEFT(C917,6)="CHECK ","Checks Paid",IF(OR(E917="BILLPAY",ISNUMBER(SEARCH("FRANCHISE TAX",C917)),ISNUMBER(SEARCH("NEXTLINK",C917))),"Personal - House Bills",IF(AND(ISNUMBER(SEARCH("PAYMENT FROM",C917)),ISNUMBER(SEARCH("JOE SAUNDERS",C917))),"Zelle from Joe Saunders",IF(AND(ISNUMBER(SEARCH("PAYMENT TO",C917)),ISNUMBER(SEARCH("JOE SAUNDERS",C917))),"Zelle to Joe Saunders",IF(OR(ISNUMBER(SEARCH("NEW ORLEANS",C917)),ISNUMBER(SEARCH("KENNER",C917)),ISNUMBER(SEARCH("HENRY HOWARD",C917)),ISNUMBER(SEARCH("MISS CLAUDIA",C917))),"Personal Travel - New Orleans",IFERROR(INDEX('Category Rules'!$B$2:$B$194,MATCH(TRUE,ISNUMBER(SEARCH('Category Rules'!$A$2:$A$194,C917)),0)),"")))))))</f>
        <v>Personal - Health</v>
      </c>
    </row>
    <row r="918" spans="1:7" x14ac:dyDescent="0.25">
      <c r="A918" t="s">
        <v>6</v>
      </c>
      <c r="B918" s="1">
        <v>46085</v>
      </c>
      <c r="C918" t="s">
        <v>872</v>
      </c>
      <c r="D918">
        <v>-29</v>
      </c>
      <c r="E918" t="s">
        <v>14</v>
      </c>
      <c r="F918">
        <v>5780.43</v>
      </c>
      <c r="G918" t="str" cm="1">
        <f t="array" ref="G918">IF(AND(ISNUMBER(SEARCH("UBER",C918)),ISNUMBER(SEARCH("EATS",C918))),"Uber Eats",IF(LEFT(C918,6)="CHECK ","Checks Paid",IF(OR(E918="BILLPAY",ISNUMBER(SEARCH("FRANCHISE TAX",C918)),ISNUMBER(SEARCH("NEXTLINK",C918))),"Personal - House Bills",IF(AND(ISNUMBER(SEARCH("PAYMENT FROM",C918)),ISNUMBER(SEARCH("JOE SAUNDERS",C918))),"Zelle from Joe Saunders",IF(AND(ISNUMBER(SEARCH("PAYMENT TO",C918)),ISNUMBER(SEARCH("JOE SAUNDERS",C918))),"Zelle to Joe Saunders",IF(OR(ISNUMBER(SEARCH("NEW ORLEANS",C918)),ISNUMBER(SEARCH("KENNER",C918)),ISNUMBER(SEARCH("HENRY HOWARD",C918)),ISNUMBER(SEARCH("MISS CLAUDIA",C918))),"Personal Travel - New Orleans",IFERROR(INDEX('Category Rules'!$B$2:$B$194,MATCH(TRUE,ISNUMBER(SEARCH('Category Rules'!$A$2:$A$194,C918)),0)),"")))))))</f>
        <v>Amazon</v>
      </c>
    </row>
    <row r="919" spans="1:7" x14ac:dyDescent="0.25">
      <c r="A919" t="s">
        <v>6</v>
      </c>
      <c r="B919" s="1">
        <v>46085</v>
      </c>
      <c r="C919" t="s">
        <v>873</v>
      </c>
      <c r="D919">
        <v>-63.64</v>
      </c>
      <c r="E919" t="s">
        <v>14</v>
      </c>
      <c r="F919">
        <v>5809.43</v>
      </c>
      <c r="G919" t="str" cm="1">
        <f t="array" ref="G919">IF(AND(ISNUMBER(SEARCH("UBER",C919)),ISNUMBER(SEARCH("EATS",C919))),"Uber Eats",IF(LEFT(C919,6)="CHECK ","Checks Paid",IF(OR(E919="BILLPAY",ISNUMBER(SEARCH("FRANCHISE TAX",C919)),ISNUMBER(SEARCH("NEXTLINK",C919))),"Personal - House Bills",IF(AND(ISNUMBER(SEARCH("PAYMENT FROM",C919)),ISNUMBER(SEARCH("JOE SAUNDERS",C919))),"Zelle from Joe Saunders",IF(AND(ISNUMBER(SEARCH("PAYMENT TO",C919)),ISNUMBER(SEARCH("JOE SAUNDERS",C919))),"Zelle to Joe Saunders",IF(OR(ISNUMBER(SEARCH("NEW ORLEANS",C919)),ISNUMBER(SEARCH("KENNER",C919)),ISNUMBER(SEARCH("HENRY HOWARD",C919)),ISNUMBER(SEARCH("MISS CLAUDIA",C919))),"Personal Travel - New Orleans",IFERROR(INDEX('Category Rules'!$B$2:$B$194,MATCH(TRUE,ISNUMBER(SEARCH('Category Rules'!$A$2:$A$194,C919)),0)),"")))))))</f>
        <v>Amazon</v>
      </c>
    </row>
    <row r="920" spans="1:7" x14ac:dyDescent="0.25">
      <c r="A920" t="s">
        <v>6</v>
      </c>
      <c r="B920" s="1">
        <v>46085</v>
      </c>
      <c r="C920" t="s">
        <v>874</v>
      </c>
      <c r="D920">
        <v>-30.99</v>
      </c>
      <c r="E920" t="s">
        <v>14</v>
      </c>
      <c r="F920">
        <v>5873.07</v>
      </c>
      <c r="G920" t="str" cm="1">
        <f t="array" ref="G920">IF(AND(ISNUMBER(SEARCH("UBER",C920)),ISNUMBER(SEARCH("EATS",C920))),"Uber Eats",IF(LEFT(C920,6)="CHECK ","Checks Paid",IF(OR(E920="BILLPAY",ISNUMBER(SEARCH("FRANCHISE TAX",C920)),ISNUMBER(SEARCH("NEXTLINK",C920))),"Personal - House Bills",IF(AND(ISNUMBER(SEARCH("PAYMENT FROM",C920)),ISNUMBER(SEARCH("JOE SAUNDERS",C920))),"Zelle from Joe Saunders",IF(AND(ISNUMBER(SEARCH("PAYMENT TO",C920)),ISNUMBER(SEARCH("JOE SAUNDERS",C920))),"Zelle to Joe Saunders",IF(OR(ISNUMBER(SEARCH("NEW ORLEANS",C920)),ISNUMBER(SEARCH("KENNER",C920)),ISNUMBER(SEARCH("HENRY HOWARD",C920)),ISNUMBER(SEARCH("MISS CLAUDIA",C920))),"Personal Travel - New Orleans",IFERROR(INDEX('Category Rules'!$B$2:$B$194,MATCH(TRUE,ISNUMBER(SEARCH('Category Rules'!$A$2:$A$194,C920)),0)),"")))))))</f>
        <v>Amazon</v>
      </c>
    </row>
    <row r="921" spans="1:7" x14ac:dyDescent="0.25">
      <c r="A921" t="s">
        <v>6</v>
      </c>
      <c r="B921" s="1">
        <v>46085</v>
      </c>
      <c r="C921" t="s">
        <v>875</v>
      </c>
      <c r="D921">
        <v>-69.03</v>
      </c>
      <c r="E921" t="s">
        <v>14</v>
      </c>
      <c r="F921">
        <v>5904.06</v>
      </c>
      <c r="G921" t="str" cm="1">
        <f t="array" ref="G921">IF(AND(ISNUMBER(SEARCH("UBER",C921)),ISNUMBER(SEARCH("EATS",C921))),"Uber Eats",IF(LEFT(C921,6)="CHECK ","Checks Paid",IF(OR(E921="BILLPAY",ISNUMBER(SEARCH("FRANCHISE TAX",C921)),ISNUMBER(SEARCH("NEXTLINK",C921))),"Personal - House Bills",IF(AND(ISNUMBER(SEARCH("PAYMENT FROM",C921)),ISNUMBER(SEARCH("JOE SAUNDERS",C921))),"Zelle from Joe Saunders",IF(AND(ISNUMBER(SEARCH("PAYMENT TO",C921)),ISNUMBER(SEARCH("JOE SAUNDERS",C921))),"Zelle to Joe Saunders",IF(OR(ISNUMBER(SEARCH("NEW ORLEANS",C921)),ISNUMBER(SEARCH("KENNER",C921)),ISNUMBER(SEARCH("HENRY HOWARD",C921)),ISNUMBER(SEARCH("MISS CLAUDIA",C921))),"Personal Travel - New Orleans",IFERROR(INDEX('Category Rules'!$B$2:$B$194,MATCH(TRUE,ISNUMBER(SEARCH('Category Rules'!$A$2:$A$194,C921)),0)),"")))))))</f>
        <v>Amazon</v>
      </c>
    </row>
    <row r="922" spans="1:7" x14ac:dyDescent="0.25">
      <c r="A922" t="s">
        <v>6</v>
      </c>
      <c r="B922" s="1">
        <v>46085</v>
      </c>
      <c r="C922" t="s">
        <v>876</v>
      </c>
      <c r="D922">
        <v>-381.72</v>
      </c>
      <c r="E922" t="s">
        <v>14</v>
      </c>
      <c r="F922">
        <v>5973.09</v>
      </c>
      <c r="G922" t="str" cm="1">
        <f t="array" ref="G922">IF(AND(ISNUMBER(SEARCH("UBER",C922)),ISNUMBER(SEARCH("EATS",C922))),"Uber Eats",IF(LEFT(C922,6)="CHECK ","Checks Paid",IF(OR(E922="BILLPAY",ISNUMBER(SEARCH("FRANCHISE TAX",C922)),ISNUMBER(SEARCH("NEXTLINK",C922))),"Personal - House Bills",IF(AND(ISNUMBER(SEARCH("PAYMENT FROM",C922)),ISNUMBER(SEARCH("JOE SAUNDERS",C922))),"Zelle from Joe Saunders",IF(AND(ISNUMBER(SEARCH("PAYMENT TO",C922)),ISNUMBER(SEARCH("JOE SAUNDERS",C922))),"Zelle to Joe Saunders",IF(OR(ISNUMBER(SEARCH("NEW ORLEANS",C922)),ISNUMBER(SEARCH("KENNER",C922)),ISNUMBER(SEARCH("HENRY HOWARD",C922)),ISNUMBER(SEARCH("MISS CLAUDIA",C922))),"Personal Travel - New Orleans",IFERROR(INDEX('Category Rules'!$B$2:$B$194,MATCH(TRUE,ISNUMBER(SEARCH('Category Rules'!$A$2:$A$194,C922)),0)),"")))))))</f>
        <v>Personal - Shopping</v>
      </c>
    </row>
    <row r="923" spans="1:7" x14ac:dyDescent="0.25">
      <c r="A923" t="s">
        <v>6</v>
      </c>
      <c r="B923" s="1">
        <v>46085</v>
      </c>
      <c r="C923" t="s">
        <v>877</v>
      </c>
      <c r="D923">
        <v>-24.13</v>
      </c>
      <c r="E923" t="s">
        <v>14</v>
      </c>
      <c r="F923">
        <v>6354.81</v>
      </c>
      <c r="G923" t="str" cm="1">
        <f t="array" ref="G923">IF(AND(ISNUMBER(SEARCH("UBER",C923)),ISNUMBER(SEARCH("EATS",C923))),"Uber Eats",IF(LEFT(C923,6)="CHECK ","Checks Paid",IF(OR(E923="BILLPAY",ISNUMBER(SEARCH("FRANCHISE TAX",C923)),ISNUMBER(SEARCH("NEXTLINK",C923))),"Personal - House Bills",IF(AND(ISNUMBER(SEARCH("PAYMENT FROM",C923)),ISNUMBER(SEARCH("JOE SAUNDERS",C923))),"Zelle from Joe Saunders",IF(AND(ISNUMBER(SEARCH("PAYMENT TO",C923)),ISNUMBER(SEARCH("JOE SAUNDERS",C923))),"Zelle to Joe Saunders",IF(OR(ISNUMBER(SEARCH("NEW ORLEANS",C923)),ISNUMBER(SEARCH("KENNER",C923)),ISNUMBER(SEARCH("HENRY HOWARD",C923)),ISNUMBER(SEARCH("MISS CLAUDIA",C923))),"Personal Travel - New Orleans",IFERROR(INDEX('Category Rules'!$B$2:$B$194,MATCH(TRUE,ISNUMBER(SEARCH('Category Rules'!$A$2:$A$194,C923)),0)),"")))))))</f>
        <v>Amazon</v>
      </c>
    </row>
    <row r="924" spans="1:7" x14ac:dyDescent="0.25">
      <c r="A924" t="s">
        <v>6</v>
      </c>
      <c r="B924" s="1">
        <v>46084</v>
      </c>
      <c r="C924" t="s">
        <v>878</v>
      </c>
      <c r="D924">
        <v>-600</v>
      </c>
      <c r="E924" t="s">
        <v>39</v>
      </c>
      <c r="F924">
        <v>6378.94</v>
      </c>
      <c r="G924" t="str" cm="1">
        <f t="array" ref="G924">IF(AND(ISNUMBER(SEARCH("UBER",C924)),ISNUMBER(SEARCH("EATS",C924))),"Uber Eats",IF(LEFT(C924,6)="CHECK ","Checks Paid",IF(OR(E924="BILLPAY",ISNUMBER(SEARCH("FRANCHISE TAX",C924)),ISNUMBER(SEARCH("NEXTLINK",C924))),"Personal - House Bills",IF(AND(ISNUMBER(SEARCH("PAYMENT FROM",C924)),ISNUMBER(SEARCH("JOE SAUNDERS",C924))),"Zelle from Joe Saunders",IF(AND(ISNUMBER(SEARCH("PAYMENT TO",C924)),ISNUMBER(SEARCH("JOE SAUNDERS",C924))),"Zelle to Joe Saunders",IF(OR(ISNUMBER(SEARCH("NEW ORLEANS",C924)),ISNUMBER(SEARCH("KENNER",C924)),ISNUMBER(SEARCH("HENRY HOWARD",C924)),ISNUMBER(SEARCH("MISS CLAUDIA",C924))),"Personal Travel - New Orleans",IFERROR(INDEX('Category Rules'!$B$2:$B$194,MATCH(TRUE,ISNUMBER(SEARCH('Category Rules'!$A$2:$A$194,C924)),0)),"")))))))</f>
        <v>Transfer to Ava</v>
      </c>
    </row>
    <row r="925" spans="1:7" x14ac:dyDescent="0.25">
      <c r="A925" t="s">
        <v>6</v>
      </c>
      <c r="B925" s="1">
        <v>46084</v>
      </c>
      <c r="C925" t="s">
        <v>879</v>
      </c>
      <c r="D925">
        <v>-439.85</v>
      </c>
      <c r="E925" t="s">
        <v>95</v>
      </c>
      <c r="F925">
        <v>6978.94</v>
      </c>
      <c r="G925" t="str" cm="1">
        <f t="array" ref="G925">IF(AND(ISNUMBER(SEARCH("UBER",C925)),ISNUMBER(SEARCH("EATS",C925))),"Uber Eats",IF(LEFT(C925,6)="CHECK ","Checks Paid",IF(OR(E925="BILLPAY",ISNUMBER(SEARCH("FRANCHISE TAX",C925)),ISNUMBER(SEARCH("NEXTLINK",C925))),"Personal - House Bills",IF(AND(ISNUMBER(SEARCH("PAYMENT FROM",C925)),ISNUMBER(SEARCH("JOE SAUNDERS",C925))),"Zelle from Joe Saunders",IF(AND(ISNUMBER(SEARCH("PAYMENT TO",C925)),ISNUMBER(SEARCH("JOE SAUNDERS",C925))),"Zelle to Joe Saunders",IF(OR(ISNUMBER(SEARCH("NEW ORLEANS",C925)),ISNUMBER(SEARCH("KENNER",C925)),ISNUMBER(SEARCH("HENRY HOWARD",C925)),ISNUMBER(SEARCH("MISS CLAUDIA",C925))),"Personal Travel - New Orleans",IFERROR(INDEX('Category Rules'!$B$2:$B$194,MATCH(TRUE,ISNUMBER(SEARCH('Category Rules'!$A$2:$A$194,C925)),0)),"")))))))</f>
        <v>Personal - House Bills</v>
      </c>
    </row>
    <row r="926" spans="1:7" x14ac:dyDescent="0.25">
      <c r="A926" t="s">
        <v>6</v>
      </c>
      <c r="B926" s="1">
        <v>46084</v>
      </c>
      <c r="C926" t="s">
        <v>880</v>
      </c>
      <c r="D926">
        <v>-120</v>
      </c>
      <c r="E926" t="s">
        <v>95</v>
      </c>
      <c r="F926">
        <v>7418.79</v>
      </c>
      <c r="G926" t="str" cm="1">
        <f t="array" ref="G926">IF(AND(ISNUMBER(SEARCH("UBER",C926)),ISNUMBER(SEARCH("EATS",C926))),"Uber Eats",IF(LEFT(C926,6)="CHECK ","Checks Paid",IF(OR(E926="BILLPAY",ISNUMBER(SEARCH("FRANCHISE TAX",C926)),ISNUMBER(SEARCH("NEXTLINK",C926))),"Personal - House Bills",IF(AND(ISNUMBER(SEARCH("PAYMENT FROM",C926)),ISNUMBER(SEARCH("JOE SAUNDERS",C926))),"Zelle from Joe Saunders",IF(AND(ISNUMBER(SEARCH("PAYMENT TO",C926)),ISNUMBER(SEARCH("JOE SAUNDERS",C926))),"Zelle to Joe Saunders",IF(OR(ISNUMBER(SEARCH("NEW ORLEANS",C926)),ISNUMBER(SEARCH("KENNER",C926)),ISNUMBER(SEARCH("HENRY HOWARD",C926)),ISNUMBER(SEARCH("MISS CLAUDIA",C926))),"Personal Travel - New Orleans",IFERROR(INDEX('Category Rules'!$B$2:$B$194,MATCH(TRUE,ISNUMBER(SEARCH('Category Rules'!$A$2:$A$194,C926)),0)),"")))))))</f>
        <v>Personal - House Bills</v>
      </c>
    </row>
    <row r="927" spans="1:7" x14ac:dyDescent="0.25">
      <c r="A927" t="s">
        <v>6</v>
      </c>
      <c r="B927" s="1">
        <v>46084</v>
      </c>
      <c r="C927" t="s">
        <v>881</v>
      </c>
      <c r="D927">
        <v>-327.5</v>
      </c>
      <c r="E927" t="s">
        <v>95</v>
      </c>
      <c r="F927">
        <v>7538.79</v>
      </c>
      <c r="G927" t="str" cm="1">
        <f t="array" ref="G927">IF(AND(ISNUMBER(SEARCH("UBER",C927)),ISNUMBER(SEARCH("EATS",C927))),"Uber Eats",IF(LEFT(C927,6)="CHECK ","Checks Paid",IF(OR(E927="BILLPAY",ISNUMBER(SEARCH("FRANCHISE TAX",C927)),ISNUMBER(SEARCH("NEXTLINK",C927))),"Personal - House Bills",IF(AND(ISNUMBER(SEARCH("PAYMENT FROM",C927)),ISNUMBER(SEARCH("JOE SAUNDERS",C927))),"Zelle from Joe Saunders",IF(AND(ISNUMBER(SEARCH("PAYMENT TO",C927)),ISNUMBER(SEARCH("JOE SAUNDERS",C927))),"Zelle to Joe Saunders",IF(OR(ISNUMBER(SEARCH("NEW ORLEANS",C927)),ISNUMBER(SEARCH("KENNER",C927)),ISNUMBER(SEARCH("HENRY HOWARD",C927)),ISNUMBER(SEARCH("MISS CLAUDIA",C927))),"Personal Travel - New Orleans",IFERROR(INDEX('Category Rules'!$B$2:$B$194,MATCH(TRUE,ISNUMBER(SEARCH('Category Rules'!$A$2:$A$194,C927)),0)),"")))))))</f>
        <v>Personal - House Bills</v>
      </c>
    </row>
    <row r="928" spans="1:7" x14ac:dyDescent="0.25">
      <c r="A928" t="s">
        <v>6</v>
      </c>
      <c r="B928" s="1">
        <v>46084</v>
      </c>
      <c r="C928" t="s">
        <v>882</v>
      </c>
      <c r="D928">
        <v>-320</v>
      </c>
      <c r="E928" t="s">
        <v>95</v>
      </c>
      <c r="F928">
        <v>7866.29</v>
      </c>
      <c r="G928" t="str" cm="1">
        <f t="array" ref="G928">IF(AND(ISNUMBER(SEARCH("UBER",C928)),ISNUMBER(SEARCH("EATS",C928))),"Uber Eats",IF(LEFT(C928,6)="CHECK ","Checks Paid",IF(OR(E928="BILLPAY",ISNUMBER(SEARCH("FRANCHISE TAX",C928)),ISNUMBER(SEARCH("NEXTLINK",C928))),"Personal - House Bills",IF(AND(ISNUMBER(SEARCH("PAYMENT FROM",C928)),ISNUMBER(SEARCH("JOE SAUNDERS",C928))),"Zelle from Joe Saunders",IF(AND(ISNUMBER(SEARCH("PAYMENT TO",C928)),ISNUMBER(SEARCH("JOE SAUNDERS",C928))),"Zelle to Joe Saunders",IF(OR(ISNUMBER(SEARCH("NEW ORLEANS",C928)),ISNUMBER(SEARCH("KENNER",C928)),ISNUMBER(SEARCH("HENRY HOWARD",C928)),ISNUMBER(SEARCH("MISS CLAUDIA",C928))),"Personal Travel - New Orleans",IFERROR(INDEX('Category Rules'!$B$2:$B$194,MATCH(TRUE,ISNUMBER(SEARCH('Category Rules'!$A$2:$A$194,C928)),0)),"")))))))</f>
        <v>Personal - House Bills</v>
      </c>
    </row>
    <row r="929" spans="1:7" x14ac:dyDescent="0.25">
      <c r="A929" t="s">
        <v>6</v>
      </c>
      <c r="B929" s="1">
        <v>46084</v>
      </c>
      <c r="C929" t="s">
        <v>883</v>
      </c>
      <c r="D929">
        <v>-700</v>
      </c>
      <c r="E929" t="s">
        <v>95</v>
      </c>
      <c r="F929">
        <v>8186.29</v>
      </c>
      <c r="G929" t="str" cm="1">
        <f t="array" ref="G929">IF(AND(ISNUMBER(SEARCH("UBER",C929)),ISNUMBER(SEARCH("EATS",C929))),"Uber Eats",IF(LEFT(C929,6)="CHECK ","Checks Paid",IF(OR(E929="BILLPAY",ISNUMBER(SEARCH("FRANCHISE TAX",C929)),ISNUMBER(SEARCH("NEXTLINK",C929))),"Personal - House Bills",IF(AND(ISNUMBER(SEARCH("PAYMENT FROM",C929)),ISNUMBER(SEARCH("JOE SAUNDERS",C929))),"Zelle from Joe Saunders",IF(AND(ISNUMBER(SEARCH("PAYMENT TO",C929)),ISNUMBER(SEARCH("JOE SAUNDERS",C929))),"Zelle to Joe Saunders",IF(OR(ISNUMBER(SEARCH("NEW ORLEANS",C929)),ISNUMBER(SEARCH("KENNER",C929)),ISNUMBER(SEARCH("HENRY HOWARD",C929)),ISNUMBER(SEARCH("MISS CLAUDIA",C929))),"Personal Travel - New Orleans",IFERROR(INDEX('Category Rules'!$B$2:$B$194,MATCH(TRUE,ISNUMBER(SEARCH('Category Rules'!$A$2:$A$194,C929)),0)),"")))))))</f>
        <v>Personal - House Bills</v>
      </c>
    </row>
    <row r="930" spans="1:7" x14ac:dyDescent="0.25">
      <c r="A930" t="s">
        <v>6</v>
      </c>
      <c r="B930" s="1">
        <v>46084</v>
      </c>
      <c r="C930" t="s">
        <v>884</v>
      </c>
      <c r="D930">
        <v>-79.989999999999995</v>
      </c>
      <c r="E930" t="s">
        <v>14</v>
      </c>
      <c r="F930">
        <v>8886.2900000000009</v>
      </c>
      <c r="G930" t="str" cm="1">
        <f t="array" ref="G930">IF(AND(ISNUMBER(SEARCH("UBER",C930)),ISNUMBER(SEARCH("EATS",C930))),"Uber Eats",IF(LEFT(C930,6)="CHECK ","Checks Paid",IF(OR(E930="BILLPAY",ISNUMBER(SEARCH("FRANCHISE TAX",C930)),ISNUMBER(SEARCH("NEXTLINK",C930))),"Personal - House Bills",IF(AND(ISNUMBER(SEARCH("PAYMENT FROM",C930)),ISNUMBER(SEARCH("JOE SAUNDERS",C930))),"Zelle from Joe Saunders",IF(AND(ISNUMBER(SEARCH("PAYMENT TO",C930)),ISNUMBER(SEARCH("JOE SAUNDERS",C930))),"Zelle to Joe Saunders",IF(OR(ISNUMBER(SEARCH("NEW ORLEANS",C930)),ISNUMBER(SEARCH("KENNER",C930)),ISNUMBER(SEARCH("HENRY HOWARD",C930)),ISNUMBER(SEARCH("MISS CLAUDIA",C930))),"Personal Travel - New Orleans",IFERROR(INDEX('Category Rules'!$B$2:$B$194,MATCH(TRUE,ISNUMBER(SEARCH('Category Rules'!$A$2:$A$194,C930)),0)),"")))))))</f>
        <v>Apple</v>
      </c>
    </row>
    <row r="931" spans="1:7" x14ac:dyDescent="0.25">
      <c r="A931" t="s">
        <v>6</v>
      </c>
      <c r="B931" s="1">
        <v>46084</v>
      </c>
      <c r="C931" t="s">
        <v>884</v>
      </c>
      <c r="D931">
        <v>-3.99</v>
      </c>
      <c r="E931" t="s">
        <v>14</v>
      </c>
      <c r="F931">
        <v>8966.2800000000007</v>
      </c>
      <c r="G931" t="str" cm="1">
        <f t="array" ref="G931">IF(AND(ISNUMBER(SEARCH("UBER",C931)),ISNUMBER(SEARCH("EATS",C931))),"Uber Eats",IF(LEFT(C931,6)="CHECK ","Checks Paid",IF(OR(E931="BILLPAY",ISNUMBER(SEARCH("FRANCHISE TAX",C931)),ISNUMBER(SEARCH("NEXTLINK",C931))),"Personal - House Bills",IF(AND(ISNUMBER(SEARCH("PAYMENT FROM",C931)),ISNUMBER(SEARCH("JOE SAUNDERS",C931))),"Zelle from Joe Saunders",IF(AND(ISNUMBER(SEARCH("PAYMENT TO",C931)),ISNUMBER(SEARCH("JOE SAUNDERS",C931))),"Zelle to Joe Saunders",IF(OR(ISNUMBER(SEARCH("NEW ORLEANS",C931)),ISNUMBER(SEARCH("KENNER",C931)),ISNUMBER(SEARCH("HENRY HOWARD",C931)),ISNUMBER(SEARCH("MISS CLAUDIA",C931))),"Personal Travel - New Orleans",IFERROR(INDEX('Category Rules'!$B$2:$B$194,MATCH(TRUE,ISNUMBER(SEARCH('Category Rules'!$A$2:$A$194,C931)),0)),"")))))))</f>
        <v>Apple</v>
      </c>
    </row>
    <row r="932" spans="1:7" x14ac:dyDescent="0.25">
      <c r="A932" t="s">
        <v>6</v>
      </c>
      <c r="B932" s="1">
        <v>46084</v>
      </c>
      <c r="C932" t="s">
        <v>885</v>
      </c>
      <c r="D932">
        <v>-14.16</v>
      </c>
      <c r="E932" t="s">
        <v>14</v>
      </c>
      <c r="F932">
        <v>8970.27</v>
      </c>
      <c r="G932" t="str" cm="1">
        <f t="array" ref="G932">IF(AND(ISNUMBER(SEARCH("UBER",C932)),ISNUMBER(SEARCH("EATS",C932))),"Uber Eats",IF(LEFT(C932,6)="CHECK ","Checks Paid",IF(OR(E932="BILLPAY",ISNUMBER(SEARCH("FRANCHISE TAX",C932)),ISNUMBER(SEARCH("NEXTLINK",C932))),"Personal - House Bills",IF(AND(ISNUMBER(SEARCH("PAYMENT FROM",C932)),ISNUMBER(SEARCH("JOE SAUNDERS",C932))),"Zelle from Joe Saunders",IF(AND(ISNUMBER(SEARCH("PAYMENT TO",C932)),ISNUMBER(SEARCH("JOE SAUNDERS",C932))),"Zelle to Joe Saunders",IF(OR(ISNUMBER(SEARCH("NEW ORLEANS",C932)),ISNUMBER(SEARCH("KENNER",C932)),ISNUMBER(SEARCH("HENRY HOWARD",C932)),ISNUMBER(SEARCH("MISS CLAUDIA",C932))),"Personal Travel - New Orleans",IFERROR(INDEX('Category Rules'!$B$2:$B$194,MATCH(TRUE,ISNUMBER(SEARCH('Category Rules'!$A$2:$A$194,C932)),0)),"")))))))</f>
        <v>Amazon</v>
      </c>
    </row>
    <row r="933" spans="1:7" x14ac:dyDescent="0.25">
      <c r="A933" t="s">
        <v>6</v>
      </c>
      <c r="B933" s="1">
        <v>46084</v>
      </c>
      <c r="C933" t="s">
        <v>886</v>
      </c>
      <c r="D933">
        <v>-17.23</v>
      </c>
      <c r="E933" t="s">
        <v>14</v>
      </c>
      <c r="F933">
        <v>8984.43</v>
      </c>
      <c r="G933" t="str" cm="1">
        <f t="array" ref="G933">IF(AND(ISNUMBER(SEARCH("UBER",C933)),ISNUMBER(SEARCH("EATS",C933))),"Uber Eats",IF(LEFT(C933,6)="CHECK ","Checks Paid",IF(OR(E933="BILLPAY",ISNUMBER(SEARCH("FRANCHISE TAX",C933)),ISNUMBER(SEARCH("NEXTLINK",C933))),"Personal - House Bills",IF(AND(ISNUMBER(SEARCH("PAYMENT FROM",C933)),ISNUMBER(SEARCH("JOE SAUNDERS",C933))),"Zelle from Joe Saunders",IF(AND(ISNUMBER(SEARCH("PAYMENT TO",C933)),ISNUMBER(SEARCH("JOE SAUNDERS",C933))),"Zelle to Joe Saunders",IF(OR(ISNUMBER(SEARCH("NEW ORLEANS",C933)),ISNUMBER(SEARCH("KENNER",C933)),ISNUMBER(SEARCH("HENRY HOWARD",C933)),ISNUMBER(SEARCH("MISS CLAUDIA",C933))),"Personal Travel - New Orleans",IFERROR(INDEX('Category Rules'!$B$2:$B$194,MATCH(TRUE,ISNUMBER(SEARCH('Category Rules'!$A$2:$A$194,C933)),0)),"")))))))</f>
        <v>Amazon</v>
      </c>
    </row>
    <row r="934" spans="1:7" x14ac:dyDescent="0.25">
      <c r="A934" t="s">
        <v>6</v>
      </c>
      <c r="B934" s="1">
        <v>46084</v>
      </c>
      <c r="C934" t="s">
        <v>887</v>
      </c>
      <c r="D934">
        <v>-99.46</v>
      </c>
      <c r="E934" t="s">
        <v>14</v>
      </c>
      <c r="F934">
        <v>9001.66</v>
      </c>
      <c r="G934" t="str" cm="1">
        <f t="array" ref="G934">IF(AND(ISNUMBER(SEARCH("UBER",C934)),ISNUMBER(SEARCH("EATS",C934))),"Uber Eats",IF(LEFT(C934,6)="CHECK ","Checks Paid",IF(OR(E934="BILLPAY",ISNUMBER(SEARCH("FRANCHISE TAX",C934)),ISNUMBER(SEARCH("NEXTLINK",C934))),"Personal - House Bills",IF(AND(ISNUMBER(SEARCH("PAYMENT FROM",C934)),ISNUMBER(SEARCH("JOE SAUNDERS",C934))),"Zelle from Joe Saunders",IF(AND(ISNUMBER(SEARCH("PAYMENT TO",C934)),ISNUMBER(SEARCH("JOE SAUNDERS",C934))),"Zelle to Joe Saunders",IF(OR(ISNUMBER(SEARCH("NEW ORLEANS",C934)),ISNUMBER(SEARCH("KENNER",C934)),ISNUMBER(SEARCH("HENRY HOWARD",C934)),ISNUMBER(SEARCH("MISS CLAUDIA",C934))),"Personal Travel - New Orleans",IFERROR(INDEX('Category Rules'!$B$2:$B$194,MATCH(TRUE,ISNUMBER(SEARCH('Category Rules'!$A$2:$A$194,C934)),0)),"")))))))</f>
        <v>Amazon</v>
      </c>
    </row>
    <row r="935" spans="1:7" x14ac:dyDescent="0.25">
      <c r="A935" t="s">
        <v>6</v>
      </c>
      <c r="B935" s="1">
        <v>46084</v>
      </c>
      <c r="C935" t="s">
        <v>888</v>
      </c>
      <c r="D935">
        <v>-597.76</v>
      </c>
      <c r="E935" t="s">
        <v>14</v>
      </c>
      <c r="F935">
        <v>9101.1200000000008</v>
      </c>
      <c r="G935" t="str" cm="1">
        <f t="array" ref="G935">IF(AND(ISNUMBER(SEARCH("UBER",C935)),ISNUMBER(SEARCH("EATS",C935))),"Uber Eats",IF(LEFT(C935,6)="CHECK ","Checks Paid",IF(OR(E935="BILLPAY",ISNUMBER(SEARCH("FRANCHISE TAX",C935)),ISNUMBER(SEARCH("NEXTLINK",C935))),"Personal - House Bills",IF(AND(ISNUMBER(SEARCH("PAYMENT FROM",C935)),ISNUMBER(SEARCH("JOE SAUNDERS",C935))),"Zelle from Joe Saunders",IF(AND(ISNUMBER(SEARCH("PAYMENT TO",C935)),ISNUMBER(SEARCH("JOE SAUNDERS",C935))),"Zelle to Joe Saunders",IF(OR(ISNUMBER(SEARCH("NEW ORLEANS",C935)),ISNUMBER(SEARCH("KENNER",C935)),ISNUMBER(SEARCH("HENRY HOWARD",C935)),ISNUMBER(SEARCH("MISS CLAUDIA",C935))),"Personal Travel - New Orleans",IFERROR(INDEX('Category Rules'!$B$2:$B$194,MATCH(TRUE,ISNUMBER(SEARCH('Category Rules'!$A$2:$A$194,C935)),0)),"")))))))</f>
        <v>Personal - Shopping</v>
      </c>
    </row>
    <row r="936" spans="1:7" x14ac:dyDescent="0.25">
      <c r="A936" t="s">
        <v>6</v>
      </c>
      <c r="B936" s="1">
        <v>46084</v>
      </c>
      <c r="C936" t="s">
        <v>889</v>
      </c>
      <c r="D936">
        <v>-3040</v>
      </c>
      <c r="E936" t="s">
        <v>14</v>
      </c>
      <c r="F936">
        <v>9698.8799999999992</v>
      </c>
      <c r="G936" t="str" cm="1">
        <f t="array" ref="G936">IF(AND(ISNUMBER(SEARCH("UBER",C936)),ISNUMBER(SEARCH("EATS",C936))),"Uber Eats",IF(LEFT(C936,6)="CHECK ","Checks Paid",IF(OR(E936="BILLPAY",ISNUMBER(SEARCH("FRANCHISE TAX",C936)),ISNUMBER(SEARCH("NEXTLINK",C936))),"Personal - House Bills",IF(AND(ISNUMBER(SEARCH("PAYMENT FROM",C936)),ISNUMBER(SEARCH("JOE SAUNDERS",C936))),"Zelle from Joe Saunders",IF(AND(ISNUMBER(SEARCH("PAYMENT TO",C936)),ISNUMBER(SEARCH("JOE SAUNDERS",C936))),"Zelle to Joe Saunders",IF(OR(ISNUMBER(SEARCH("NEW ORLEANS",C936)),ISNUMBER(SEARCH("KENNER",C936)),ISNUMBER(SEARCH("HENRY HOWARD",C936)),ISNUMBER(SEARCH("MISS CLAUDIA",C936))),"Personal Travel - New Orleans",IFERROR(INDEX('Category Rules'!$B$2:$B$194,MATCH(TRUE,ISNUMBER(SEARCH('Category Rules'!$A$2:$A$194,C936)),0)),"")))))))</f>
        <v>Personal Travel</v>
      </c>
    </row>
    <row r="937" spans="1:7" x14ac:dyDescent="0.25">
      <c r="A937" t="s">
        <v>6</v>
      </c>
      <c r="B937" s="1">
        <v>46084</v>
      </c>
      <c r="C937" t="s">
        <v>890</v>
      </c>
      <c r="D937">
        <v>-330.5</v>
      </c>
      <c r="E937" t="s">
        <v>14</v>
      </c>
      <c r="F937">
        <v>12738.88</v>
      </c>
      <c r="G937" t="str" cm="1">
        <f t="array" ref="G937">IF(AND(ISNUMBER(SEARCH("UBER",C937)),ISNUMBER(SEARCH("EATS",C937))),"Uber Eats",IF(LEFT(C937,6)="CHECK ","Checks Paid",IF(OR(E937="BILLPAY",ISNUMBER(SEARCH("FRANCHISE TAX",C937)),ISNUMBER(SEARCH("NEXTLINK",C937))),"Personal - House Bills",IF(AND(ISNUMBER(SEARCH("PAYMENT FROM",C937)),ISNUMBER(SEARCH("JOE SAUNDERS",C937))),"Zelle from Joe Saunders",IF(AND(ISNUMBER(SEARCH("PAYMENT TO",C937)),ISNUMBER(SEARCH("JOE SAUNDERS",C937))),"Zelle to Joe Saunders",IF(OR(ISNUMBER(SEARCH("NEW ORLEANS",C937)),ISNUMBER(SEARCH("KENNER",C937)),ISNUMBER(SEARCH("HENRY HOWARD",C937)),ISNUMBER(SEARCH("MISS CLAUDIA",C937))),"Personal Travel - New Orleans",IFERROR(INDEX('Category Rules'!$B$2:$B$194,MATCH(TRUE,ISNUMBER(SEARCH('Category Rules'!$A$2:$A$194,C937)),0)),"")))))))</f>
        <v>Amazon</v>
      </c>
    </row>
    <row r="938" spans="1:7" x14ac:dyDescent="0.25">
      <c r="A938" t="s">
        <v>6</v>
      </c>
      <c r="B938" s="1">
        <v>46084</v>
      </c>
      <c r="C938" t="s">
        <v>891</v>
      </c>
      <c r="D938">
        <v>-59.15</v>
      </c>
      <c r="E938" t="s">
        <v>14</v>
      </c>
      <c r="F938">
        <v>13069.38</v>
      </c>
      <c r="G938" t="str" cm="1">
        <f t="array" ref="G938">IF(AND(ISNUMBER(SEARCH("UBER",C938)),ISNUMBER(SEARCH("EATS",C938))),"Uber Eats",IF(LEFT(C938,6)="CHECK ","Checks Paid",IF(OR(E938="BILLPAY",ISNUMBER(SEARCH("FRANCHISE TAX",C938)),ISNUMBER(SEARCH("NEXTLINK",C938))),"Personal - House Bills",IF(AND(ISNUMBER(SEARCH("PAYMENT FROM",C938)),ISNUMBER(SEARCH("JOE SAUNDERS",C938))),"Zelle from Joe Saunders",IF(AND(ISNUMBER(SEARCH("PAYMENT TO",C938)),ISNUMBER(SEARCH("JOE SAUNDERS",C938))),"Zelle to Joe Saunders",IF(OR(ISNUMBER(SEARCH("NEW ORLEANS",C938)),ISNUMBER(SEARCH("KENNER",C938)),ISNUMBER(SEARCH("HENRY HOWARD",C938)),ISNUMBER(SEARCH("MISS CLAUDIA",C938))),"Personal Travel - New Orleans",IFERROR(INDEX('Category Rules'!$B$2:$B$194,MATCH(TRUE,ISNUMBER(SEARCH('Category Rules'!$A$2:$A$194,C938)),0)),"")))))))</f>
        <v>Amazon</v>
      </c>
    </row>
    <row r="939" spans="1:7" x14ac:dyDescent="0.25">
      <c r="A939" t="s">
        <v>6</v>
      </c>
      <c r="B939" s="1">
        <v>46084</v>
      </c>
      <c r="C939" t="s">
        <v>892</v>
      </c>
      <c r="D939">
        <v>-59.15</v>
      </c>
      <c r="E939" t="s">
        <v>14</v>
      </c>
      <c r="F939">
        <v>13128.53</v>
      </c>
      <c r="G939" t="str" cm="1">
        <f t="array" ref="G939">IF(AND(ISNUMBER(SEARCH("UBER",C939)),ISNUMBER(SEARCH("EATS",C939))),"Uber Eats",IF(LEFT(C939,6)="CHECK ","Checks Paid",IF(OR(E939="BILLPAY",ISNUMBER(SEARCH("FRANCHISE TAX",C939)),ISNUMBER(SEARCH("NEXTLINK",C939))),"Personal - House Bills",IF(AND(ISNUMBER(SEARCH("PAYMENT FROM",C939)),ISNUMBER(SEARCH("JOE SAUNDERS",C939))),"Zelle from Joe Saunders",IF(AND(ISNUMBER(SEARCH("PAYMENT TO",C939)),ISNUMBER(SEARCH("JOE SAUNDERS",C939))),"Zelle to Joe Saunders",IF(OR(ISNUMBER(SEARCH("NEW ORLEANS",C939)),ISNUMBER(SEARCH("KENNER",C939)),ISNUMBER(SEARCH("HENRY HOWARD",C939)),ISNUMBER(SEARCH("MISS CLAUDIA",C939))),"Personal Travel - New Orleans",IFERROR(INDEX('Category Rules'!$B$2:$B$194,MATCH(TRUE,ISNUMBER(SEARCH('Category Rules'!$A$2:$A$194,C939)),0)),"")))))))</f>
        <v>Amazon</v>
      </c>
    </row>
    <row r="940" spans="1:7" x14ac:dyDescent="0.25">
      <c r="A940" t="s">
        <v>6</v>
      </c>
      <c r="B940" s="1">
        <v>46084</v>
      </c>
      <c r="C940" t="s">
        <v>893</v>
      </c>
      <c r="D940">
        <v>-240.27</v>
      </c>
      <c r="E940" t="s">
        <v>14</v>
      </c>
      <c r="F940">
        <v>13187.68</v>
      </c>
      <c r="G940" t="str" cm="1">
        <f t="array" ref="G940">IF(AND(ISNUMBER(SEARCH("UBER",C940)),ISNUMBER(SEARCH("EATS",C940))),"Uber Eats",IF(LEFT(C940,6)="CHECK ","Checks Paid",IF(OR(E940="BILLPAY",ISNUMBER(SEARCH("FRANCHISE TAX",C940)),ISNUMBER(SEARCH("NEXTLINK",C940))),"Personal - House Bills",IF(AND(ISNUMBER(SEARCH("PAYMENT FROM",C940)),ISNUMBER(SEARCH("JOE SAUNDERS",C940))),"Zelle from Joe Saunders",IF(AND(ISNUMBER(SEARCH("PAYMENT TO",C940)),ISNUMBER(SEARCH("JOE SAUNDERS",C940))),"Zelle to Joe Saunders",IF(OR(ISNUMBER(SEARCH("NEW ORLEANS",C940)),ISNUMBER(SEARCH("KENNER",C940)),ISNUMBER(SEARCH("HENRY HOWARD",C940)),ISNUMBER(SEARCH("MISS CLAUDIA",C940))),"Personal Travel - New Orleans",IFERROR(INDEX('Category Rules'!$B$2:$B$194,MATCH(TRUE,ISNUMBER(SEARCH('Category Rules'!$A$2:$A$194,C940)),0)),"")))))))</f>
        <v>Amazon</v>
      </c>
    </row>
    <row r="941" spans="1:7" x14ac:dyDescent="0.25">
      <c r="A941" t="s">
        <v>6</v>
      </c>
      <c r="B941" s="1">
        <v>46084</v>
      </c>
      <c r="C941" t="s">
        <v>894</v>
      </c>
      <c r="D941">
        <v>-46.02</v>
      </c>
      <c r="E941" t="s">
        <v>14</v>
      </c>
      <c r="F941">
        <v>13427.95</v>
      </c>
      <c r="G941" t="str" cm="1">
        <f t="array" ref="G941">IF(AND(ISNUMBER(SEARCH("UBER",C941)),ISNUMBER(SEARCH("EATS",C941))),"Uber Eats",IF(LEFT(C941,6)="CHECK ","Checks Paid",IF(OR(E941="BILLPAY",ISNUMBER(SEARCH("FRANCHISE TAX",C941)),ISNUMBER(SEARCH("NEXTLINK",C941))),"Personal - House Bills",IF(AND(ISNUMBER(SEARCH("PAYMENT FROM",C941)),ISNUMBER(SEARCH("JOE SAUNDERS",C941))),"Zelle from Joe Saunders",IF(AND(ISNUMBER(SEARCH("PAYMENT TO",C941)),ISNUMBER(SEARCH("JOE SAUNDERS",C941))),"Zelle to Joe Saunders",IF(OR(ISNUMBER(SEARCH("NEW ORLEANS",C941)),ISNUMBER(SEARCH("KENNER",C941)),ISNUMBER(SEARCH("HENRY HOWARD",C941)),ISNUMBER(SEARCH("MISS CLAUDIA",C941))),"Personal Travel - New Orleans",IFERROR(INDEX('Category Rules'!$B$2:$B$194,MATCH(TRUE,ISNUMBER(SEARCH('Category Rules'!$A$2:$A$194,C941)),0)),"")))))))</f>
        <v>Amazon</v>
      </c>
    </row>
    <row r="942" spans="1:7" x14ac:dyDescent="0.25">
      <c r="A942" t="s">
        <v>6</v>
      </c>
      <c r="B942" s="1">
        <v>46084</v>
      </c>
      <c r="C942" t="s">
        <v>895</v>
      </c>
      <c r="D942">
        <v>-27.43</v>
      </c>
      <c r="E942" t="s">
        <v>14</v>
      </c>
      <c r="F942">
        <v>13473.97</v>
      </c>
      <c r="G942" t="str" cm="1">
        <f t="array" ref="G942">IF(AND(ISNUMBER(SEARCH("UBER",C942)),ISNUMBER(SEARCH("EATS",C942))),"Uber Eats",IF(LEFT(C942,6)="CHECK ","Checks Paid",IF(OR(E942="BILLPAY",ISNUMBER(SEARCH("FRANCHISE TAX",C942)),ISNUMBER(SEARCH("NEXTLINK",C942))),"Personal - House Bills",IF(AND(ISNUMBER(SEARCH("PAYMENT FROM",C942)),ISNUMBER(SEARCH("JOE SAUNDERS",C942))),"Zelle from Joe Saunders",IF(AND(ISNUMBER(SEARCH("PAYMENT TO",C942)),ISNUMBER(SEARCH("JOE SAUNDERS",C942))),"Zelle to Joe Saunders",IF(OR(ISNUMBER(SEARCH("NEW ORLEANS",C942)),ISNUMBER(SEARCH("KENNER",C942)),ISNUMBER(SEARCH("HENRY HOWARD",C942)),ISNUMBER(SEARCH("MISS CLAUDIA",C942))),"Personal Travel - New Orleans",IFERROR(INDEX('Category Rules'!$B$2:$B$194,MATCH(TRUE,ISNUMBER(SEARCH('Category Rules'!$A$2:$A$194,C942)),0)),"")))))))</f>
        <v>Amazon</v>
      </c>
    </row>
    <row r="943" spans="1:7" x14ac:dyDescent="0.25">
      <c r="A943" t="s">
        <v>37</v>
      </c>
      <c r="B943" s="1">
        <v>46084</v>
      </c>
      <c r="C943" t="s">
        <v>896</v>
      </c>
      <c r="D943">
        <v>5000</v>
      </c>
      <c r="E943" t="s">
        <v>39</v>
      </c>
      <c r="F943">
        <v>13501.4</v>
      </c>
      <c r="G943" t="str" cm="1">
        <f t="array" ref="G943">IF(AND(ISNUMBER(SEARCH("UBER",C943)),ISNUMBER(SEARCH("EATS",C943))),"Uber Eats",IF(LEFT(C943,6)="CHECK ","Checks Paid",IF(OR(E943="BILLPAY",ISNUMBER(SEARCH("FRANCHISE TAX",C943)),ISNUMBER(SEARCH("NEXTLINK",C943))),"Personal - House Bills",IF(AND(ISNUMBER(SEARCH("PAYMENT FROM",C943)),ISNUMBER(SEARCH("JOE SAUNDERS",C943))),"Zelle from Joe Saunders",IF(AND(ISNUMBER(SEARCH("PAYMENT TO",C943)),ISNUMBER(SEARCH("JOE SAUNDERS",C943))),"Zelle to Joe Saunders",IF(OR(ISNUMBER(SEARCH("NEW ORLEANS",C943)),ISNUMBER(SEARCH("KENNER",C943)),ISNUMBER(SEARCH("HENRY HOWARD",C943)),ISNUMBER(SEARCH("MISS CLAUDIA",C943))),"Personal Travel - New Orleans",IFERROR(INDEX('Category Rules'!$B$2:$B$194,MATCH(TRUE,ISNUMBER(SEARCH('Category Rules'!$A$2:$A$194,C943)),0)),"")))))))</f>
        <v>Transfer from DWG Capital Group</v>
      </c>
    </row>
    <row r="944" spans="1:7" x14ac:dyDescent="0.25">
      <c r="A944" t="s">
        <v>6</v>
      </c>
      <c r="B944" s="1">
        <v>46083</v>
      </c>
      <c r="C944" t="s">
        <v>897</v>
      </c>
      <c r="D944">
        <v>-1.41</v>
      </c>
      <c r="E944" t="s">
        <v>72</v>
      </c>
      <c r="F944">
        <v>8501.4</v>
      </c>
      <c r="G944" t="str" cm="1">
        <f t="array" ref="G944">IF(AND(ISNUMBER(SEARCH("UBER",C944)),ISNUMBER(SEARCH("EATS",C944))),"Uber Eats",IF(LEFT(C944,6)="CHECK ","Checks Paid",IF(OR(E944="BILLPAY",ISNUMBER(SEARCH("FRANCHISE TAX",C944)),ISNUMBER(SEARCH("NEXTLINK",C944))),"Personal - House Bills",IF(AND(ISNUMBER(SEARCH("PAYMENT FROM",C944)),ISNUMBER(SEARCH("JOE SAUNDERS",C944))),"Zelle from Joe Saunders",IF(AND(ISNUMBER(SEARCH("PAYMENT TO",C944)),ISNUMBER(SEARCH("JOE SAUNDERS",C944))),"Zelle to Joe Saunders",IF(OR(ISNUMBER(SEARCH("NEW ORLEANS",C944)),ISNUMBER(SEARCH("KENNER",C944)),ISNUMBER(SEARCH("HENRY HOWARD",C944)),ISNUMBER(SEARCH("MISS CLAUDIA",C944))),"Personal Travel - New Orleans",IFERROR(INDEX('Category Rules'!$B$2:$B$194,MATCH(TRUE,ISNUMBER(SEARCH('Category Rules'!$A$2:$A$194,C944)),0)),"")))))))</f>
        <v>Personal Travel - Portugal</v>
      </c>
    </row>
    <row r="945" spans="1:7" x14ac:dyDescent="0.25">
      <c r="A945" t="s">
        <v>6</v>
      </c>
      <c r="B945" s="1">
        <v>46083</v>
      </c>
      <c r="C945" t="s">
        <v>888</v>
      </c>
      <c r="D945">
        <v>-562.76</v>
      </c>
      <c r="E945" t="s">
        <v>14</v>
      </c>
      <c r="F945">
        <v>8502.81</v>
      </c>
      <c r="G945" t="str" cm="1">
        <f t="array" ref="G945">IF(AND(ISNUMBER(SEARCH("UBER",C945)),ISNUMBER(SEARCH("EATS",C945))),"Uber Eats",IF(LEFT(C945,6)="CHECK ","Checks Paid",IF(OR(E945="BILLPAY",ISNUMBER(SEARCH("FRANCHISE TAX",C945)),ISNUMBER(SEARCH("NEXTLINK",C945))),"Personal - House Bills",IF(AND(ISNUMBER(SEARCH("PAYMENT FROM",C945)),ISNUMBER(SEARCH("JOE SAUNDERS",C945))),"Zelle from Joe Saunders",IF(AND(ISNUMBER(SEARCH("PAYMENT TO",C945)),ISNUMBER(SEARCH("JOE SAUNDERS",C945))),"Zelle to Joe Saunders",IF(OR(ISNUMBER(SEARCH("NEW ORLEANS",C945)),ISNUMBER(SEARCH("KENNER",C945)),ISNUMBER(SEARCH("HENRY HOWARD",C945)),ISNUMBER(SEARCH("MISS CLAUDIA",C945))),"Personal Travel - New Orleans",IFERROR(INDEX('Category Rules'!$B$2:$B$194,MATCH(TRUE,ISNUMBER(SEARCH('Category Rules'!$A$2:$A$194,C945)),0)),"")))))))</f>
        <v>Personal - Shopping</v>
      </c>
    </row>
    <row r="946" spans="1:7" x14ac:dyDescent="0.25">
      <c r="A946" t="s">
        <v>6</v>
      </c>
      <c r="B946" s="1">
        <v>46083</v>
      </c>
      <c r="C946" t="s">
        <v>898</v>
      </c>
      <c r="D946">
        <v>-1000</v>
      </c>
      <c r="E946" t="s">
        <v>39</v>
      </c>
      <c r="F946">
        <v>9065.57</v>
      </c>
      <c r="G946" t="str" cm="1">
        <f t="array" ref="G946">IF(AND(ISNUMBER(SEARCH("UBER",C946)),ISNUMBER(SEARCH("EATS",C946))),"Uber Eats",IF(LEFT(C946,6)="CHECK ","Checks Paid",IF(OR(E946="BILLPAY",ISNUMBER(SEARCH("FRANCHISE TAX",C946)),ISNUMBER(SEARCH("NEXTLINK",C946))),"Personal - House Bills",IF(AND(ISNUMBER(SEARCH("PAYMENT FROM",C946)),ISNUMBER(SEARCH("JOE SAUNDERS",C946))),"Zelle from Joe Saunders",IF(AND(ISNUMBER(SEARCH("PAYMENT TO",C946)),ISNUMBER(SEARCH("JOE SAUNDERS",C946))),"Zelle to Joe Saunders",IF(OR(ISNUMBER(SEARCH("NEW ORLEANS",C946)),ISNUMBER(SEARCH("KENNER",C946)),ISNUMBER(SEARCH("HENRY HOWARD",C946)),ISNUMBER(SEARCH("MISS CLAUDIA",C946))),"Personal Travel - New Orleans",IFERROR(INDEX('Category Rules'!$B$2:$B$194,MATCH(TRUE,ISNUMBER(SEARCH('Category Rules'!$A$2:$A$194,C946)),0)),"")))))))</f>
        <v>Transfer to Ava</v>
      </c>
    </row>
    <row r="947" spans="1:7" x14ac:dyDescent="0.25">
      <c r="A947" t="s">
        <v>6</v>
      </c>
      <c r="B947" s="1">
        <v>46083</v>
      </c>
      <c r="C947" t="s">
        <v>899</v>
      </c>
      <c r="D947">
        <v>-39.380000000000003</v>
      </c>
      <c r="E947" t="s">
        <v>14</v>
      </c>
      <c r="F947">
        <v>10065.57</v>
      </c>
      <c r="G947" t="str" cm="1">
        <f t="array" ref="G947">IF(AND(ISNUMBER(SEARCH("UBER",C947)),ISNUMBER(SEARCH("EATS",C947))),"Uber Eats",IF(LEFT(C947,6)="CHECK ","Checks Paid",IF(OR(E947="BILLPAY",ISNUMBER(SEARCH("FRANCHISE TAX",C947)),ISNUMBER(SEARCH("NEXTLINK",C947))),"Personal - House Bills",IF(AND(ISNUMBER(SEARCH("PAYMENT FROM",C947)),ISNUMBER(SEARCH("JOE SAUNDERS",C947))),"Zelle from Joe Saunders",IF(AND(ISNUMBER(SEARCH("PAYMENT TO",C947)),ISNUMBER(SEARCH("JOE SAUNDERS",C947))),"Zelle to Joe Saunders",IF(OR(ISNUMBER(SEARCH("NEW ORLEANS",C947)),ISNUMBER(SEARCH("KENNER",C947)),ISNUMBER(SEARCH("HENRY HOWARD",C947)),ISNUMBER(SEARCH("MISS CLAUDIA",C947))),"Personal Travel - New Orleans",IFERROR(INDEX('Category Rules'!$B$2:$B$194,MATCH(TRUE,ISNUMBER(SEARCH('Category Rules'!$A$2:$A$194,C947)),0)),"")))))))</f>
        <v>Personal - Food</v>
      </c>
    </row>
    <row r="948" spans="1:7" x14ac:dyDescent="0.25">
      <c r="A948" t="s">
        <v>6</v>
      </c>
      <c r="B948" s="1">
        <v>46083</v>
      </c>
      <c r="C948" t="s">
        <v>900</v>
      </c>
      <c r="D948">
        <v>-179.75</v>
      </c>
      <c r="E948" t="s">
        <v>14</v>
      </c>
      <c r="F948">
        <v>10104.950000000001</v>
      </c>
      <c r="G948" t="str" cm="1">
        <f t="array" ref="G948">IF(AND(ISNUMBER(SEARCH("UBER",C948)),ISNUMBER(SEARCH("EATS",C948))),"Uber Eats",IF(LEFT(C948,6)="CHECK ","Checks Paid",IF(OR(E948="BILLPAY",ISNUMBER(SEARCH("FRANCHISE TAX",C948)),ISNUMBER(SEARCH("NEXTLINK",C948))),"Personal - House Bills",IF(AND(ISNUMBER(SEARCH("PAYMENT FROM",C948)),ISNUMBER(SEARCH("JOE SAUNDERS",C948))),"Zelle from Joe Saunders",IF(AND(ISNUMBER(SEARCH("PAYMENT TO",C948)),ISNUMBER(SEARCH("JOE SAUNDERS",C948))),"Zelle to Joe Saunders",IF(OR(ISNUMBER(SEARCH("NEW ORLEANS",C948)),ISNUMBER(SEARCH("KENNER",C948)),ISNUMBER(SEARCH("HENRY HOWARD",C948)),ISNUMBER(SEARCH("MISS CLAUDIA",C948))),"Personal Travel - New Orleans",IFERROR(INDEX('Category Rules'!$B$2:$B$194,MATCH(TRUE,ISNUMBER(SEARCH('Category Rules'!$A$2:$A$194,C948)),0)),"")))))))</f>
        <v>Personal - Food</v>
      </c>
    </row>
    <row r="949" spans="1:7" x14ac:dyDescent="0.25">
      <c r="A949" t="s">
        <v>6</v>
      </c>
      <c r="B949" s="1">
        <v>46083</v>
      </c>
      <c r="C949" t="s">
        <v>901</v>
      </c>
      <c r="D949">
        <v>-20</v>
      </c>
      <c r="E949" t="s">
        <v>14</v>
      </c>
      <c r="F949">
        <v>10284.700000000001</v>
      </c>
      <c r="G949" t="str" cm="1">
        <f t="array" ref="G949">IF(AND(ISNUMBER(SEARCH("UBER",C949)),ISNUMBER(SEARCH("EATS",C949))),"Uber Eats",IF(LEFT(C949,6)="CHECK ","Checks Paid",IF(OR(E949="BILLPAY",ISNUMBER(SEARCH("FRANCHISE TAX",C949)),ISNUMBER(SEARCH("NEXTLINK",C949))),"Personal - House Bills",IF(AND(ISNUMBER(SEARCH("PAYMENT FROM",C949)),ISNUMBER(SEARCH("JOE SAUNDERS",C949))),"Zelle from Joe Saunders",IF(AND(ISNUMBER(SEARCH("PAYMENT TO",C949)),ISNUMBER(SEARCH("JOE SAUNDERS",C949))),"Zelle to Joe Saunders",IF(OR(ISNUMBER(SEARCH("NEW ORLEANS",C949)),ISNUMBER(SEARCH("KENNER",C949)),ISNUMBER(SEARCH("HENRY HOWARD",C949)),ISNUMBER(SEARCH("MISS CLAUDIA",C949))),"Personal Travel - New Orleans",IFERROR(INDEX('Category Rules'!$B$2:$B$194,MATCH(TRUE,ISNUMBER(SEARCH('Category Rules'!$A$2:$A$194,C949)),0)),"")))))))</f>
        <v>Amazon</v>
      </c>
    </row>
    <row r="950" spans="1:7" x14ac:dyDescent="0.25">
      <c r="A950" t="s">
        <v>6</v>
      </c>
      <c r="B950" s="1">
        <v>46083</v>
      </c>
      <c r="C950" t="s">
        <v>902</v>
      </c>
      <c r="D950">
        <v>-10</v>
      </c>
      <c r="E950" t="s">
        <v>14</v>
      </c>
      <c r="F950">
        <v>10304.700000000001</v>
      </c>
      <c r="G950" t="str" cm="1">
        <f t="array" ref="G950">IF(AND(ISNUMBER(SEARCH("UBER",C950)),ISNUMBER(SEARCH("EATS",C950))),"Uber Eats",IF(LEFT(C950,6)="CHECK ","Checks Paid",IF(OR(E950="BILLPAY",ISNUMBER(SEARCH("FRANCHISE TAX",C950)),ISNUMBER(SEARCH("NEXTLINK",C950))),"Personal - House Bills",IF(AND(ISNUMBER(SEARCH("PAYMENT FROM",C950)),ISNUMBER(SEARCH("JOE SAUNDERS",C950))),"Zelle from Joe Saunders",IF(AND(ISNUMBER(SEARCH("PAYMENT TO",C950)),ISNUMBER(SEARCH("JOE SAUNDERS",C950))),"Zelle to Joe Saunders",IF(OR(ISNUMBER(SEARCH("NEW ORLEANS",C950)),ISNUMBER(SEARCH("KENNER",C950)),ISNUMBER(SEARCH("HENRY HOWARD",C950)),ISNUMBER(SEARCH("MISS CLAUDIA",C950))),"Personal Travel - New Orleans",IFERROR(INDEX('Category Rules'!$B$2:$B$194,MATCH(TRUE,ISNUMBER(SEARCH('Category Rules'!$A$2:$A$194,C950)),0)),"")))))))</f>
        <v>Amazon</v>
      </c>
    </row>
    <row r="951" spans="1:7" x14ac:dyDescent="0.25">
      <c r="A951" t="s">
        <v>6</v>
      </c>
      <c r="B951" s="1">
        <v>46083</v>
      </c>
      <c r="C951" t="s">
        <v>903</v>
      </c>
      <c r="D951">
        <v>-26.32</v>
      </c>
      <c r="E951" t="s">
        <v>14</v>
      </c>
      <c r="F951">
        <v>10314.700000000001</v>
      </c>
      <c r="G951" t="str" cm="1">
        <f t="array" ref="G951">IF(AND(ISNUMBER(SEARCH("UBER",C951)),ISNUMBER(SEARCH("EATS",C951))),"Uber Eats",IF(LEFT(C951,6)="CHECK ","Checks Paid",IF(OR(E951="BILLPAY",ISNUMBER(SEARCH("FRANCHISE TAX",C951)),ISNUMBER(SEARCH("NEXTLINK",C951))),"Personal - House Bills",IF(AND(ISNUMBER(SEARCH("PAYMENT FROM",C951)),ISNUMBER(SEARCH("JOE SAUNDERS",C951))),"Zelle from Joe Saunders",IF(AND(ISNUMBER(SEARCH("PAYMENT TO",C951)),ISNUMBER(SEARCH("JOE SAUNDERS",C951))),"Zelle to Joe Saunders",IF(OR(ISNUMBER(SEARCH("NEW ORLEANS",C951)),ISNUMBER(SEARCH("KENNER",C951)),ISNUMBER(SEARCH("HENRY HOWARD",C951)),ISNUMBER(SEARCH("MISS CLAUDIA",C951))),"Personal Travel - New Orleans",IFERROR(INDEX('Category Rules'!$B$2:$B$194,MATCH(TRUE,ISNUMBER(SEARCH('Category Rules'!$A$2:$A$194,C951)),0)),"")))))))</f>
        <v>Amazon</v>
      </c>
    </row>
    <row r="952" spans="1:7" x14ac:dyDescent="0.25">
      <c r="A952" t="s">
        <v>6</v>
      </c>
      <c r="B952" s="1">
        <v>46083</v>
      </c>
      <c r="C952" t="s">
        <v>904</v>
      </c>
      <c r="D952">
        <v>-167.92</v>
      </c>
      <c r="E952" t="s">
        <v>14</v>
      </c>
      <c r="F952">
        <v>10341.02</v>
      </c>
      <c r="G952" t="str" cm="1">
        <f t="array" ref="G952">IF(AND(ISNUMBER(SEARCH("UBER",C952)),ISNUMBER(SEARCH("EATS",C952))),"Uber Eats",IF(LEFT(C952,6)="CHECK ","Checks Paid",IF(OR(E952="BILLPAY",ISNUMBER(SEARCH("FRANCHISE TAX",C952)),ISNUMBER(SEARCH("NEXTLINK",C952))),"Personal - House Bills",IF(AND(ISNUMBER(SEARCH("PAYMENT FROM",C952)),ISNUMBER(SEARCH("JOE SAUNDERS",C952))),"Zelle from Joe Saunders",IF(AND(ISNUMBER(SEARCH("PAYMENT TO",C952)),ISNUMBER(SEARCH("JOE SAUNDERS",C952))),"Zelle to Joe Saunders",IF(OR(ISNUMBER(SEARCH("NEW ORLEANS",C952)),ISNUMBER(SEARCH("KENNER",C952)),ISNUMBER(SEARCH("HENRY HOWARD",C952)),ISNUMBER(SEARCH("MISS CLAUDIA",C952))),"Personal Travel - New Orleans",IFERROR(INDEX('Category Rules'!$B$2:$B$194,MATCH(TRUE,ISNUMBER(SEARCH('Category Rules'!$A$2:$A$194,C952)),0)),"")))))))</f>
        <v>Personal - Shopping</v>
      </c>
    </row>
    <row r="953" spans="1:7" x14ac:dyDescent="0.25">
      <c r="A953" t="s">
        <v>6</v>
      </c>
      <c r="B953" s="1">
        <v>46083</v>
      </c>
      <c r="C953" t="s">
        <v>905</v>
      </c>
      <c r="D953">
        <v>-193.8</v>
      </c>
      <c r="E953" t="s">
        <v>14</v>
      </c>
      <c r="F953">
        <v>10508.94</v>
      </c>
      <c r="G953" t="str" cm="1">
        <f t="array" ref="G953">IF(AND(ISNUMBER(SEARCH("UBER",C953)),ISNUMBER(SEARCH("EATS",C953))),"Uber Eats",IF(LEFT(C953,6)="CHECK ","Checks Paid",IF(OR(E953="BILLPAY",ISNUMBER(SEARCH("FRANCHISE TAX",C953)),ISNUMBER(SEARCH("NEXTLINK",C953))),"Personal - House Bills",IF(AND(ISNUMBER(SEARCH("PAYMENT FROM",C953)),ISNUMBER(SEARCH("JOE SAUNDERS",C953))),"Zelle from Joe Saunders",IF(AND(ISNUMBER(SEARCH("PAYMENT TO",C953)),ISNUMBER(SEARCH("JOE SAUNDERS",C953))),"Zelle to Joe Saunders",IF(OR(ISNUMBER(SEARCH("NEW ORLEANS",C953)),ISNUMBER(SEARCH("KENNER",C953)),ISNUMBER(SEARCH("HENRY HOWARD",C953)),ISNUMBER(SEARCH("MISS CLAUDIA",C953))),"Personal Travel - New Orleans",IFERROR(INDEX('Category Rules'!$B$2:$B$194,MATCH(TRUE,ISNUMBER(SEARCH('Category Rules'!$A$2:$A$194,C953)),0)),"")))))))</f>
        <v>Personal Travel</v>
      </c>
    </row>
    <row r="954" spans="1:7" x14ac:dyDescent="0.25">
      <c r="A954" t="s">
        <v>6</v>
      </c>
      <c r="B954" s="1">
        <v>46083</v>
      </c>
      <c r="C954" t="s">
        <v>906</v>
      </c>
      <c r="D954">
        <v>-22.49</v>
      </c>
      <c r="E954" t="s">
        <v>14</v>
      </c>
      <c r="F954">
        <v>10702.74</v>
      </c>
      <c r="G954" t="str" cm="1">
        <f t="array" ref="G954">IF(AND(ISNUMBER(SEARCH("UBER",C954)),ISNUMBER(SEARCH("EATS",C954))),"Uber Eats",IF(LEFT(C954,6)="CHECK ","Checks Paid",IF(OR(E954="BILLPAY",ISNUMBER(SEARCH("FRANCHISE TAX",C954)),ISNUMBER(SEARCH("NEXTLINK",C954))),"Personal - House Bills",IF(AND(ISNUMBER(SEARCH("PAYMENT FROM",C954)),ISNUMBER(SEARCH("JOE SAUNDERS",C954))),"Zelle from Joe Saunders",IF(AND(ISNUMBER(SEARCH("PAYMENT TO",C954)),ISNUMBER(SEARCH("JOE SAUNDERS",C954))),"Zelle to Joe Saunders",IF(OR(ISNUMBER(SEARCH("NEW ORLEANS",C954)),ISNUMBER(SEARCH("KENNER",C954)),ISNUMBER(SEARCH("HENRY HOWARD",C954)),ISNUMBER(SEARCH("MISS CLAUDIA",C954))),"Personal Travel - New Orleans",IFERROR(INDEX('Category Rules'!$B$2:$B$194,MATCH(TRUE,ISNUMBER(SEARCH('Category Rules'!$A$2:$A$194,C954)),0)),"")))))))</f>
        <v>Amazon</v>
      </c>
    </row>
    <row r="955" spans="1:7" x14ac:dyDescent="0.25">
      <c r="A955" t="s">
        <v>6</v>
      </c>
      <c r="B955" s="1">
        <v>46083</v>
      </c>
      <c r="C955" t="s">
        <v>907</v>
      </c>
      <c r="D955">
        <v>-385.21</v>
      </c>
      <c r="E955" t="s">
        <v>14</v>
      </c>
      <c r="F955">
        <v>10725.23</v>
      </c>
      <c r="G955" t="str" cm="1">
        <f t="array" ref="G955">IF(AND(ISNUMBER(SEARCH("UBER",C955)),ISNUMBER(SEARCH("EATS",C955))),"Uber Eats",IF(LEFT(C955,6)="CHECK ","Checks Paid",IF(OR(E955="BILLPAY",ISNUMBER(SEARCH("FRANCHISE TAX",C955)),ISNUMBER(SEARCH("NEXTLINK",C955))),"Personal - House Bills",IF(AND(ISNUMBER(SEARCH("PAYMENT FROM",C955)),ISNUMBER(SEARCH("JOE SAUNDERS",C955))),"Zelle from Joe Saunders",IF(AND(ISNUMBER(SEARCH("PAYMENT TO",C955)),ISNUMBER(SEARCH("JOE SAUNDERS",C955))),"Zelle to Joe Saunders",IF(OR(ISNUMBER(SEARCH("NEW ORLEANS",C955)),ISNUMBER(SEARCH("KENNER",C955)),ISNUMBER(SEARCH("HENRY HOWARD",C955)),ISNUMBER(SEARCH("MISS CLAUDIA",C955))),"Personal Travel - New Orleans",IFERROR(INDEX('Category Rules'!$B$2:$B$194,MATCH(TRUE,ISNUMBER(SEARCH('Category Rules'!$A$2:$A$194,C955)),0)),"")))))))</f>
        <v>Amazon</v>
      </c>
    </row>
    <row r="956" spans="1:7" x14ac:dyDescent="0.25">
      <c r="A956" t="s">
        <v>6</v>
      </c>
      <c r="B956" s="1">
        <v>46083</v>
      </c>
      <c r="C956" t="s">
        <v>908</v>
      </c>
      <c r="D956">
        <v>-230.59</v>
      </c>
      <c r="E956" t="s">
        <v>14</v>
      </c>
      <c r="F956">
        <v>11110.44</v>
      </c>
      <c r="G956" t="str" cm="1">
        <f t="array" ref="G956">IF(AND(ISNUMBER(SEARCH("UBER",C956)),ISNUMBER(SEARCH("EATS",C956))),"Uber Eats",IF(LEFT(C956,6)="CHECK ","Checks Paid",IF(OR(E956="BILLPAY",ISNUMBER(SEARCH("FRANCHISE TAX",C956)),ISNUMBER(SEARCH("NEXTLINK",C956))),"Personal - House Bills",IF(AND(ISNUMBER(SEARCH("PAYMENT FROM",C956)),ISNUMBER(SEARCH("JOE SAUNDERS",C956))),"Zelle from Joe Saunders",IF(AND(ISNUMBER(SEARCH("PAYMENT TO",C956)),ISNUMBER(SEARCH("JOE SAUNDERS",C956))),"Zelle to Joe Saunders",IF(OR(ISNUMBER(SEARCH("NEW ORLEANS",C956)),ISNUMBER(SEARCH("KENNER",C956)),ISNUMBER(SEARCH("HENRY HOWARD",C956)),ISNUMBER(SEARCH("MISS CLAUDIA",C956))),"Personal Travel - New Orleans",IFERROR(INDEX('Category Rules'!$B$2:$B$194,MATCH(TRUE,ISNUMBER(SEARCH('Category Rules'!$A$2:$A$194,C956)),0)),"")))))))</f>
        <v>Personal - Food</v>
      </c>
    </row>
    <row r="957" spans="1:7" x14ac:dyDescent="0.25">
      <c r="A957" t="s">
        <v>6</v>
      </c>
      <c r="B957" s="1">
        <v>46083</v>
      </c>
      <c r="C957" t="s">
        <v>909</v>
      </c>
      <c r="D957">
        <v>-35.79</v>
      </c>
      <c r="E957" t="s">
        <v>14</v>
      </c>
      <c r="F957">
        <v>11341.03</v>
      </c>
      <c r="G957" t="str" cm="1">
        <f t="array" ref="G957">IF(AND(ISNUMBER(SEARCH("UBER",C957)),ISNUMBER(SEARCH("EATS",C957))),"Uber Eats",IF(LEFT(C957,6)="CHECK ","Checks Paid",IF(OR(E957="BILLPAY",ISNUMBER(SEARCH("FRANCHISE TAX",C957)),ISNUMBER(SEARCH("NEXTLINK",C957))),"Personal - House Bills",IF(AND(ISNUMBER(SEARCH("PAYMENT FROM",C957)),ISNUMBER(SEARCH("JOE SAUNDERS",C957))),"Zelle from Joe Saunders",IF(AND(ISNUMBER(SEARCH("PAYMENT TO",C957)),ISNUMBER(SEARCH("JOE SAUNDERS",C957))),"Zelle to Joe Saunders",IF(OR(ISNUMBER(SEARCH("NEW ORLEANS",C957)),ISNUMBER(SEARCH("KENNER",C957)),ISNUMBER(SEARCH("HENRY HOWARD",C957)),ISNUMBER(SEARCH("MISS CLAUDIA",C957))),"Personal Travel - New Orleans",IFERROR(INDEX('Category Rules'!$B$2:$B$194,MATCH(TRUE,ISNUMBER(SEARCH('Category Rules'!$A$2:$A$194,C957)),0)),"")))))))</f>
        <v>Amazon</v>
      </c>
    </row>
    <row r="958" spans="1:7" x14ac:dyDescent="0.25">
      <c r="A958" t="s">
        <v>6</v>
      </c>
      <c r="B958" s="1">
        <v>46083</v>
      </c>
      <c r="C958" t="s">
        <v>910</v>
      </c>
      <c r="D958">
        <v>-31.96</v>
      </c>
      <c r="E958" t="s">
        <v>14</v>
      </c>
      <c r="F958">
        <v>11376.82</v>
      </c>
      <c r="G958" t="str" cm="1">
        <f t="array" ref="G958">IF(AND(ISNUMBER(SEARCH("UBER",C958)),ISNUMBER(SEARCH("EATS",C958))),"Uber Eats",IF(LEFT(C958,6)="CHECK ","Checks Paid",IF(OR(E958="BILLPAY",ISNUMBER(SEARCH("FRANCHISE TAX",C958)),ISNUMBER(SEARCH("NEXTLINK",C958))),"Personal - House Bills",IF(AND(ISNUMBER(SEARCH("PAYMENT FROM",C958)),ISNUMBER(SEARCH("JOE SAUNDERS",C958))),"Zelle from Joe Saunders",IF(AND(ISNUMBER(SEARCH("PAYMENT TO",C958)),ISNUMBER(SEARCH("JOE SAUNDERS",C958))),"Zelle to Joe Saunders",IF(OR(ISNUMBER(SEARCH("NEW ORLEANS",C958)),ISNUMBER(SEARCH("KENNER",C958)),ISNUMBER(SEARCH("HENRY HOWARD",C958)),ISNUMBER(SEARCH("MISS CLAUDIA",C958))),"Personal Travel - New Orleans",IFERROR(INDEX('Category Rules'!$B$2:$B$194,MATCH(TRUE,ISNUMBER(SEARCH('Category Rules'!$A$2:$A$194,C958)),0)),"")))))))</f>
        <v>Amazon</v>
      </c>
    </row>
    <row r="959" spans="1:7" x14ac:dyDescent="0.25">
      <c r="A959" t="s">
        <v>6</v>
      </c>
      <c r="B959" s="1">
        <v>46083</v>
      </c>
      <c r="C959" t="s">
        <v>911</v>
      </c>
      <c r="D959">
        <v>-280.25</v>
      </c>
      <c r="E959" t="s">
        <v>14</v>
      </c>
      <c r="F959">
        <v>11408.78</v>
      </c>
      <c r="G959" t="str" cm="1">
        <f t="array" ref="G959">IF(AND(ISNUMBER(SEARCH("UBER",C959)),ISNUMBER(SEARCH("EATS",C959))),"Uber Eats",IF(LEFT(C959,6)="CHECK ","Checks Paid",IF(OR(E959="BILLPAY",ISNUMBER(SEARCH("FRANCHISE TAX",C959)),ISNUMBER(SEARCH("NEXTLINK",C959))),"Personal - House Bills",IF(AND(ISNUMBER(SEARCH("PAYMENT FROM",C959)),ISNUMBER(SEARCH("JOE SAUNDERS",C959))),"Zelle from Joe Saunders",IF(AND(ISNUMBER(SEARCH("PAYMENT TO",C959)),ISNUMBER(SEARCH("JOE SAUNDERS",C959))),"Zelle to Joe Saunders",IF(OR(ISNUMBER(SEARCH("NEW ORLEANS",C959)),ISNUMBER(SEARCH("KENNER",C959)),ISNUMBER(SEARCH("HENRY HOWARD",C959)),ISNUMBER(SEARCH("MISS CLAUDIA",C959))),"Personal Travel - New Orleans",IFERROR(INDEX('Category Rules'!$B$2:$B$194,MATCH(TRUE,ISNUMBER(SEARCH('Category Rules'!$A$2:$A$194,C959)),0)),"")))))))</f>
        <v>Amazon</v>
      </c>
    </row>
    <row r="960" spans="1:7" x14ac:dyDescent="0.25">
      <c r="A960" t="s">
        <v>6</v>
      </c>
      <c r="B960" s="1">
        <v>46083</v>
      </c>
      <c r="C960" t="s">
        <v>912</v>
      </c>
      <c r="D960">
        <v>-36.11</v>
      </c>
      <c r="E960" t="s">
        <v>14</v>
      </c>
      <c r="F960">
        <v>11689.03</v>
      </c>
      <c r="G960" t="str" cm="1">
        <f t="array" ref="G960">IF(AND(ISNUMBER(SEARCH("UBER",C960)),ISNUMBER(SEARCH("EATS",C960))),"Uber Eats",IF(LEFT(C960,6)="CHECK ","Checks Paid",IF(OR(E960="BILLPAY",ISNUMBER(SEARCH("FRANCHISE TAX",C960)),ISNUMBER(SEARCH("NEXTLINK",C960))),"Personal - House Bills",IF(AND(ISNUMBER(SEARCH("PAYMENT FROM",C960)),ISNUMBER(SEARCH("JOE SAUNDERS",C960))),"Zelle from Joe Saunders",IF(AND(ISNUMBER(SEARCH("PAYMENT TO",C960)),ISNUMBER(SEARCH("JOE SAUNDERS",C960))),"Zelle to Joe Saunders",IF(OR(ISNUMBER(SEARCH("NEW ORLEANS",C960)),ISNUMBER(SEARCH("KENNER",C960)),ISNUMBER(SEARCH("HENRY HOWARD",C960)),ISNUMBER(SEARCH("MISS CLAUDIA",C960))),"Personal Travel - New Orleans",IFERROR(INDEX('Category Rules'!$B$2:$B$194,MATCH(TRUE,ISNUMBER(SEARCH('Category Rules'!$A$2:$A$194,C960)),0)),"")))))))</f>
        <v>Personal - Entertainment</v>
      </c>
    </row>
    <row r="961" spans="1:7" x14ac:dyDescent="0.25">
      <c r="A961" t="s">
        <v>6</v>
      </c>
      <c r="B961" s="1">
        <v>46083</v>
      </c>
      <c r="C961" t="s">
        <v>913</v>
      </c>
      <c r="D961">
        <v>-5.99</v>
      </c>
      <c r="E961" t="s">
        <v>14</v>
      </c>
      <c r="F961">
        <v>11725.14</v>
      </c>
      <c r="G961" t="str" cm="1">
        <f t="array" ref="G961">IF(AND(ISNUMBER(SEARCH("UBER",C961)),ISNUMBER(SEARCH("EATS",C961))),"Uber Eats",IF(LEFT(C961,6)="CHECK ","Checks Paid",IF(OR(E961="BILLPAY",ISNUMBER(SEARCH("FRANCHISE TAX",C961)),ISNUMBER(SEARCH("NEXTLINK",C961))),"Personal - House Bills",IF(AND(ISNUMBER(SEARCH("PAYMENT FROM",C961)),ISNUMBER(SEARCH("JOE SAUNDERS",C961))),"Zelle from Joe Saunders",IF(AND(ISNUMBER(SEARCH("PAYMENT TO",C961)),ISNUMBER(SEARCH("JOE SAUNDERS",C961))),"Zelle to Joe Saunders",IF(OR(ISNUMBER(SEARCH("NEW ORLEANS",C961)),ISNUMBER(SEARCH("KENNER",C961)),ISNUMBER(SEARCH("HENRY HOWARD",C961)),ISNUMBER(SEARCH("MISS CLAUDIA",C961))),"Personal Travel - New Orleans",IFERROR(INDEX('Category Rules'!$B$2:$B$194,MATCH(TRUE,ISNUMBER(SEARCH('Category Rules'!$A$2:$A$194,C961)),0)),"")))))))</f>
        <v>Apple</v>
      </c>
    </row>
    <row r="962" spans="1:7" x14ac:dyDescent="0.25">
      <c r="A962" t="s">
        <v>6</v>
      </c>
      <c r="B962" s="1">
        <v>46083</v>
      </c>
      <c r="C962" t="s">
        <v>914</v>
      </c>
      <c r="D962">
        <v>-1265.76</v>
      </c>
      <c r="E962" t="s">
        <v>14</v>
      </c>
      <c r="F962">
        <v>11731.13</v>
      </c>
      <c r="G962" t="str" cm="1">
        <f t="array" ref="G962">IF(AND(ISNUMBER(SEARCH("UBER",C962)),ISNUMBER(SEARCH("EATS",C962))),"Uber Eats",IF(LEFT(C962,6)="CHECK ","Checks Paid",IF(OR(E962="BILLPAY",ISNUMBER(SEARCH("FRANCHISE TAX",C962)),ISNUMBER(SEARCH("NEXTLINK",C962))),"Personal - House Bills",IF(AND(ISNUMBER(SEARCH("PAYMENT FROM",C962)),ISNUMBER(SEARCH("JOE SAUNDERS",C962))),"Zelle from Joe Saunders",IF(AND(ISNUMBER(SEARCH("PAYMENT TO",C962)),ISNUMBER(SEARCH("JOE SAUNDERS",C962))),"Zelle to Joe Saunders",IF(OR(ISNUMBER(SEARCH("NEW ORLEANS",C962)),ISNUMBER(SEARCH("KENNER",C962)),ISNUMBER(SEARCH("HENRY HOWARD",C962)),ISNUMBER(SEARCH("MISS CLAUDIA",C962))),"Personal Travel - New Orleans",IFERROR(INDEX('Category Rules'!$B$2:$B$194,MATCH(TRUE,ISNUMBER(SEARCH('Category Rules'!$A$2:$A$194,C962)),0)),"")))))))</f>
        <v>Personal - Health Insurance</v>
      </c>
    </row>
    <row r="963" spans="1:7" x14ac:dyDescent="0.25">
      <c r="A963" t="s">
        <v>6</v>
      </c>
      <c r="B963" s="1">
        <v>46083</v>
      </c>
      <c r="C963" t="s">
        <v>915</v>
      </c>
      <c r="D963">
        <v>-5.49</v>
      </c>
      <c r="E963" t="s">
        <v>14</v>
      </c>
      <c r="F963">
        <v>12996.89</v>
      </c>
      <c r="G963" t="str" cm="1">
        <f t="array" ref="G963">IF(AND(ISNUMBER(SEARCH("UBER",C963)),ISNUMBER(SEARCH("EATS",C963))),"Uber Eats",IF(LEFT(C963,6)="CHECK ","Checks Paid",IF(OR(E963="BILLPAY",ISNUMBER(SEARCH("FRANCHISE TAX",C963)),ISNUMBER(SEARCH("NEXTLINK",C963))),"Personal - House Bills",IF(AND(ISNUMBER(SEARCH("PAYMENT FROM",C963)),ISNUMBER(SEARCH("JOE SAUNDERS",C963))),"Zelle from Joe Saunders",IF(AND(ISNUMBER(SEARCH("PAYMENT TO",C963)),ISNUMBER(SEARCH("JOE SAUNDERS",C963))),"Zelle to Joe Saunders",IF(OR(ISNUMBER(SEARCH("NEW ORLEANS",C963)),ISNUMBER(SEARCH("KENNER",C963)),ISNUMBER(SEARCH("HENRY HOWARD",C963)),ISNUMBER(SEARCH("MISS CLAUDIA",C963))),"Personal Travel - New Orleans",IFERROR(INDEX('Category Rules'!$B$2:$B$194,MATCH(TRUE,ISNUMBER(SEARCH('Category Rules'!$A$2:$A$194,C963)),0)),"")))))))</f>
        <v>Personal - Health</v>
      </c>
    </row>
    <row r="964" spans="1:7" x14ac:dyDescent="0.25">
      <c r="A964" t="s">
        <v>6</v>
      </c>
      <c r="B964" s="1">
        <v>46083</v>
      </c>
      <c r="C964" t="s">
        <v>916</v>
      </c>
      <c r="D964">
        <v>-19</v>
      </c>
      <c r="E964" t="s">
        <v>14</v>
      </c>
      <c r="F964">
        <v>13002.38</v>
      </c>
      <c r="G964" t="str" cm="1">
        <f t="array" ref="G964">IF(AND(ISNUMBER(SEARCH("UBER",C964)),ISNUMBER(SEARCH("EATS",C964))),"Uber Eats",IF(LEFT(C964,6)="CHECK ","Checks Paid",IF(OR(E964="BILLPAY",ISNUMBER(SEARCH("FRANCHISE TAX",C964)),ISNUMBER(SEARCH("NEXTLINK",C964))),"Personal - House Bills",IF(AND(ISNUMBER(SEARCH("PAYMENT FROM",C964)),ISNUMBER(SEARCH("JOE SAUNDERS",C964))),"Zelle from Joe Saunders",IF(AND(ISNUMBER(SEARCH("PAYMENT TO",C964)),ISNUMBER(SEARCH("JOE SAUNDERS",C964))),"Zelle to Joe Saunders",IF(OR(ISNUMBER(SEARCH("NEW ORLEANS",C964)),ISNUMBER(SEARCH("KENNER",C964)),ISNUMBER(SEARCH("HENRY HOWARD",C964)),ISNUMBER(SEARCH("MISS CLAUDIA",C964))),"Personal Travel - New Orleans",IFERROR(INDEX('Category Rules'!$B$2:$B$194,MATCH(TRUE,ISNUMBER(SEARCH('Category Rules'!$A$2:$A$194,C964)),0)),"")))))))</f>
        <v>Personal - Subscription</v>
      </c>
    </row>
    <row r="965" spans="1:7" x14ac:dyDescent="0.25">
      <c r="A965" t="s">
        <v>6</v>
      </c>
      <c r="B965" s="1">
        <v>46083</v>
      </c>
      <c r="C965" t="s">
        <v>917</v>
      </c>
      <c r="D965">
        <v>-10.96</v>
      </c>
      <c r="E965" t="s">
        <v>14</v>
      </c>
      <c r="F965">
        <v>13021.38</v>
      </c>
      <c r="G965" t="str" cm="1">
        <f t="array" ref="G965">IF(AND(ISNUMBER(SEARCH("UBER",C965)),ISNUMBER(SEARCH("EATS",C965))),"Uber Eats",IF(LEFT(C965,6)="CHECK ","Checks Paid",IF(OR(E965="BILLPAY",ISNUMBER(SEARCH("FRANCHISE TAX",C965)),ISNUMBER(SEARCH("NEXTLINK",C965))),"Personal - House Bills",IF(AND(ISNUMBER(SEARCH("PAYMENT FROM",C965)),ISNUMBER(SEARCH("JOE SAUNDERS",C965))),"Zelle from Joe Saunders",IF(AND(ISNUMBER(SEARCH("PAYMENT TO",C965)),ISNUMBER(SEARCH("JOE SAUNDERS",C965))),"Zelle to Joe Saunders",IF(OR(ISNUMBER(SEARCH("NEW ORLEANS",C965)),ISNUMBER(SEARCH("KENNER",C965)),ISNUMBER(SEARCH("HENRY HOWARD",C965)),ISNUMBER(SEARCH("MISS CLAUDIA",C965))),"Personal Travel - New Orleans",IFERROR(INDEX('Category Rules'!$B$2:$B$194,MATCH(TRUE,ISNUMBER(SEARCH('Category Rules'!$A$2:$A$194,C965)),0)),"")))))))</f>
        <v>Amazon</v>
      </c>
    </row>
    <row r="966" spans="1:7" x14ac:dyDescent="0.25">
      <c r="A966" t="s">
        <v>6</v>
      </c>
      <c r="B966" s="1">
        <v>46083</v>
      </c>
      <c r="C966" t="s">
        <v>918</v>
      </c>
      <c r="D966">
        <v>-19.989999999999998</v>
      </c>
      <c r="E966" t="s">
        <v>14</v>
      </c>
      <c r="F966">
        <v>13032.34</v>
      </c>
      <c r="G966" t="str" cm="1">
        <f t="array" ref="G966">IF(AND(ISNUMBER(SEARCH("UBER",C966)),ISNUMBER(SEARCH("EATS",C966))),"Uber Eats",IF(LEFT(C966,6)="CHECK ","Checks Paid",IF(OR(E966="BILLPAY",ISNUMBER(SEARCH("FRANCHISE TAX",C966)),ISNUMBER(SEARCH("NEXTLINK",C966))),"Personal - House Bills",IF(AND(ISNUMBER(SEARCH("PAYMENT FROM",C966)),ISNUMBER(SEARCH("JOE SAUNDERS",C966))),"Zelle from Joe Saunders",IF(AND(ISNUMBER(SEARCH("PAYMENT TO",C966)),ISNUMBER(SEARCH("JOE SAUNDERS",C966))),"Zelle to Joe Saunders",IF(OR(ISNUMBER(SEARCH("NEW ORLEANS",C966)),ISNUMBER(SEARCH("KENNER",C966)),ISNUMBER(SEARCH("HENRY HOWARD",C966)),ISNUMBER(SEARCH("MISS CLAUDIA",C966))),"Personal Travel - New Orleans",IFERROR(INDEX('Category Rules'!$B$2:$B$194,MATCH(TRUE,ISNUMBER(SEARCH('Category Rules'!$A$2:$A$194,C966)),0)),"")))))))</f>
        <v>Amazon</v>
      </c>
    </row>
    <row r="967" spans="1:7" x14ac:dyDescent="0.25">
      <c r="A967" t="s">
        <v>6</v>
      </c>
      <c r="B967" s="1">
        <v>46083</v>
      </c>
      <c r="C967" t="s">
        <v>919</v>
      </c>
      <c r="D967">
        <v>-75.73</v>
      </c>
      <c r="E967" t="s">
        <v>14</v>
      </c>
      <c r="F967">
        <v>13052.33</v>
      </c>
      <c r="G967" t="str" cm="1">
        <f t="array" ref="G967">IF(AND(ISNUMBER(SEARCH("UBER",C967)),ISNUMBER(SEARCH("EATS",C967))),"Uber Eats",IF(LEFT(C967,6)="CHECK ","Checks Paid",IF(OR(E967="BILLPAY",ISNUMBER(SEARCH("FRANCHISE TAX",C967)),ISNUMBER(SEARCH("NEXTLINK",C967))),"Personal - House Bills",IF(AND(ISNUMBER(SEARCH("PAYMENT FROM",C967)),ISNUMBER(SEARCH("JOE SAUNDERS",C967))),"Zelle from Joe Saunders",IF(AND(ISNUMBER(SEARCH("PAYMENT TO",C967)),ISNUMBER(SEARCH("JOE SAUNDERS",C967))),"Zelle to Joe Saunders",IF(OR(ISNUMBER(SEARCH("NEW ORLEANS",C967)),ISNUMBER(SEARCH("KENNER",C967)),ISNUMBER(SEARCH("HENRY HOWARD",C967)),ISNUMBER(SEARCH("MISS CLAUDIA",C967))),"Personal Travel - New Orleans",IFERROR(INDEX('Category Rules'!$B$2:$B$194,MATCH(TRUE,ISNUMBER(SEARCH('Category Rules'!$A$2:$A$194,C967)),0)),"")))))))</f>
        <v>Amazon</v>
      </c>
    </row>
    <row r="968" spans="1:7" x14ac:dyDescent="0.25">
      <c r="A968" t="s">
        <v>6</v>
      </c>
      <c r="B968" s="1">
        <v>46083</v>
      </c>
      <c r="C968" t="s">
        <v>920</v>
      </c>
      <c r="D968">
        <v>-325.41000000000003</v>
      </c>
      <c r="E968" t="s">
        <v>14</v>
      </c>
      <c r="F968">
        <v>13128.06</v>
      </c>
      <c r="G968" t="str" cm="1">
        <f t="array" ref="G968">IF(AND(ISNUMBER(SEARCH("UBER",C968)),ISNUMBER(SEARCH("EATS",C968))),"Uber Eats",IF(LEFT(C968,6)="CHECK ","Checks Paid",IF(OR(E968="BILLPAY",ISNUMBER(SEARCH("FRANCHISE TAX",C968)),ISNUMBER(SEARCH("NEXTLINK",C968))),"Personal - House Bills",IF(AND(ISNUMBER(SEARCH("PAYMENT FROM",C968)),ISNUMBER(SEARCH("JOE SAUNDERS",C968))),"Zelle from Joe Saunders",IF(AND(ISNUMBER(SEARCH("PAYMENT TO",C968)),ISNUMBER(SEARCH("JOE SAUNDERS",C968))),"Zelle to Joe Saunders",IF(OR(ISNUMBER(SEARCH("NEW ORLEANS",C968)),ISNUMBER(SEARCH("KENNER",C968)),ISNUMBER(SEARCH("HENRY HOWARD",C968)),ISNUMBER(SEARCH("MISS CLAUDIA",C968))),"Personal Travel - New Orleans",IFERROR(INDEX('Category Rules'!$B$2:$B$194,MATCH(TRUE,ISNUMBER(SEARCH('Category Rules'!$A$2:$A$194,C968)),0)),"")))))))</f>
        <v>Personal - Health</v>
      </c>
    </row>
    <row r="969" spans="1:7" x14ac:dyDescent="0.25">
      <c r="A969" t="s">
        <v>6</v>
      </c>
      <c r="B969" s="1">
        <v>46083</v>
      </c>
      <c r="C969" t="s">
        <v>921</v>
      </c>
      <c r="D969">
        <v>-330</v>
      </c>
      <c r="E969" t="s">
        <v>14</v>
      </c>
      <c r="F969">
        <v>13453.47</v>
      </c>
      <c r="G969" t="str" cm="1">
        <f t="array" ref="G969">IF(AND(ISNUMBER(SEARCH("UBER",C969)),ISNUMBER(SEARCH("EATS",C969))),"Uber Eats",IF(LEFT(C969,6)="CHECK ","Checks Paid",IF(OR(E969="BILLPAY",ISNUMBER(SEARCH("FRANCHISE TAX",C969)),ISNUMBER(SEARCH("NEXTLINK",C969))),"Personal - House Bills",IF(AND(ISNUMBER(SEARCH("PAYMENT FROM",C969)),ISNUMBER(SEARCH("JOE SAUNDERS",C969))),"Zelle from Joe Saunders",IF(AND(ISNUMBER(SEARCH("PAYMENT TO",C969)),ISNUMBER(SEARCH("JOE SAUNDERS",C969))),"Zelle to Joe Saunders",IF(OR(ISNUMBER(SEARCH("NEW ORLEANS",C969)),ISNUMBER(SEARCH("KENNER",C969)),ISNUMBER(SEARCH("HENRY HOWARD",C969)),ISNUMBER(SEARCH("MISS CLAUDIA",C969))),"Personal Travel - New Orleans",IFERROR(INDEX('Category Rules'!$B$2:$B$194,MATCH(TRUE,ISNUMBER(SEARCH('Category Rules'!$A$2:$A$194,C969)),0)),"")))))))</f>
        <v>Personal - Health</v>
      </c>
    </row>
    <row r="970" spans="1:7" x14ac:dyDescent="0.25">
      <c r="A970" t="s">
        <v>6</v>
      </c>
      <c r="B970" s="1">
        <v>46083</v>
      </c>
      <c r="C970" t="s">
        <v>922</v>
      </c>
      <c r="D970">
        <v>-134.08000000000001</v>
      </c>
      <c r="E970" t="s">
        <v>14</v>
      </c>
      <c r="F970">
        <v>13783.47</v>
      </c>
      <c r="G970" t="str" cm="1">
        <f t="array" ref="G970">IF(AND(ISNUMBER(SEARCH("UBER",C970)),ISNUMBER(SEARCH("EATS",C970))),"Uber Eats",IF(LEFT(C970,6)="CHECK ","Checks Paid",IF(OR(E970="BILLPAY",ISNUMBER(SEARCH("FRANCHISE TAX",C970)),ISNUMBER(SEARCH("NEXTLINK",C970))),"Personal - House Bills",IF(AND(ISNUMBER(SEARCH("PAYMENT FROM",C970)),ISNUMBER(SEARCH("JOE SAUNDERS",C970))),"Zelle from Joe Saunders",IF(AND(ISNUMBER(SEARCH("PAYMENT TO",C970)),ISNUMBER(SEARCH("JOE SAUNDERS",C970))),"Zelle to Joe Saunders",IF(OR(ISNUMBER(SEARCH("NEW ORLEANS",C970)),ISNUMBER(SEARCH("KENNER",C970)),ISNUMBER(SEARCH("HENRY HOWARD",C970)),ISNUMBER(SEARCH("MISS CLAUDIA",C970))),"Personal Travel - New Orleans",IFERROR(INDEX('Category Rules'!$B$2:$B$194,MATCH(TRUE,ISNUMBER(SEARCH('Category Rules'!$A$2:$A$194,C970)),0)),"")))))))</f>
        <v>Personal - Food</v>
      </c>
    </row>
    <row r="971" spans="1:7" x14ac:dyDescent="0.25">
      <c r="A971" t="s">
        <v>6</v>
      </c>
      <c r="B971" s="1">
        <v>46083</v>
      </c>
      <c r="C971" t="s">
        <v>923</v>
      </c>
      <c r="D971">
        <v>-47.32</v>
      </c>
      <c r="E971" t="s">
        <v>14</v>
      </c>
      <c r="F971">
        <v>13917.55</v>
      </c>
      <c r="G971" t="str" cm="1">
        <f t="array" ref="G971">IF(AND(ISNUMBER(SEARCH("UBER",C971)),ISNUMBER(SEARCH("EATS",C971))),"Uber Eats",IF(LEFT(C971,6)="CHECK ","Checks Paid",IF(OR(E971="BILLPAY",ISNUMBER(SEARCH("FRANCHISE TAX",C971)),ISNUMBER(SEARCH("NEXTLINK",C971))),"Personal - House Bills",IF(AND(ISNUMBER(SEARCH("PAYMENT FROM",C971)),ISNUMBER(SEARCH("JOE SAUNDERS",C971))),"Zelle from Joe Saunders",IF(AND(ISNUMBER(SEARCH("PAYMENT TO",C971)),ISNUMBER(SEARCH("JOE SAUNDERS",C971))),"Zelle to Joe Saunders",IF(OR(ISNUMBER(SEARCH("NEW ORLEANS",C971)),ISNUMBER(SEARCH("KENNER",C971)),ISNUMBER(SEARCH("HENRY HOWARD",C971)),ISNUMBER(SEARCH("MISS CLAUDIA",C971))),"Personal Travel - New Orleans",IFERROR(INDEX('Category Rules'!$B$2:$B$194,MATCH(TRUE,ISNUMBER(SEARCH('Category Rules'!$A$2:$A$194,C971)),0)),"")))))))</f>
        <v>Personal Travel</v>
      </c>
    </row>
    <row r="972" spans="1:7" x14ac:dyDescent="0.25">
      <c r="A972" t="s">
        <v>37</v>
      </c>
      <c r="B972" s="1">
        <v>46083</v>
      </c>
      <c r="C972" t="s">
        <v>924</v>
      </c>
      <c r="D972">
        <v>4000</v>
      </c>
      <c r="E972" t="s">
        <v>39</v>
      </c>
      <c r="F972">
        <v>13964.87</v>
      </c>
      <c r="G972" t="str" cm="1">
        <f t="array" ref="G972">IF(AND(ISNUMBER(SEARCH("UBER",C972)),ISNUMBER(SEARCH("EATS",C972))),"Uber Eats",IF(LEFT(C972,6)="CHECK ","Checks Paid",IF(OR(E972="BILLPAY",ISNUMBER(SEARCH("FRANCHISE TAX",C972)),ISNUMBER(SEARCH("NEXTLINK",C972))),"Personal - House Bills",IF(AND(ISNUMBER(SEARCH("PAYMENT FROM",C972)),ISNUMBER(SEARCH("JOE SAUNDERS",C972))),"Zelle from Joe Saunders",IF(AND(ISNUMBER(SEARCH("PAYMENT TO",C972)),ISNUMBER(SEARCH("JOE SAUNDERS",C972))),"Zelle to Joe Saunders",IF(OR(ISNUMBER(SEARCH("NEW ORLEANS",C972)),ISNUMBER(SEARCH("KENNER",C972)),ISNUMBER(SEARCH("HENRY HOWARD",C972)),ISNUMBER(SEARCH("MISS CLAUDIA",C972))),"Personal Travel - New Orleans",IFERROR(INDEX('Category Rules'!$B$2:$B$194,MATCH(TRUE,ISNUMBER(SEARCH('Category Rules'!$A$2:$A$194,C972)),0)),"")))))))</f>
        <v>Transfer from DWG Capital Group</v>
      </c>
    </row>
    <row r="973" spans="1:7" x14ac:dyDescent="0.25">
      <c r="A973" t="s">
        <v>6</v>
      </c>
      <c r="B973" s="1">
        <v>46083</v>
      </c>
      <c r="C973" t="s">
        <v>925</v>
      </c>
      <c r="D973">
        <v>100</v>
      </c>
      <c r="E973" t="s">
        <v>14</v>
      </c>
      <c r="F973">
        <v>9964.8700000000008</v>
      </c>
      <c r="G973" t="str" cm="1">
        <f t="array" ref="G973">IF(AND(ISNUMBER(SEARCH("UBER",C973)),ISNUMBER(SEARCH("EATS",C973))),"Uber Eats",IF(LEFT(C973,6)="CHECK ","Checks Paid",IF(OR(E973="BILLPAY",ISNUMBER(SEARCH("FRANCHISE TAX",C973)),ISNUMBER(SEARCH("NEXTLINK",C973))),"Personal - House Bills",IF(AND(ISNUMBER(SEARCH("PAYMENT FROM",C973)),ISNUMBER(SEARCH("JOE SAUNDERS",C973))),"Zelle from Joe Saunders",IF(AND(ISNUMBER(SEARCH("PAYMENT TO",C973)),ISNUMBER(SEARCH("JOE SAUNDERS",C973))),"Zelle to Joe Saunders",IF(OR(ISNUMBER(SEARCH("NEW ORLEANS",C973)),ISNUMBER(SEARCH("KENNER",C973)),ISNUMBER(SEARCH("HENRY HOWARD",C973)),ISNUMBER(SEARCH("MISS CLAUDIA",C973))),"Personal Travel - New Orleans",IFERROR(INDEX('Category Rules'!$B$2:$B$194,MATCH(TRUE,ISNUMBER(SEARCH('Category Rules'!$A$2:$A$194,C973)),0)),"")))))))</f>
        <v>Donation</v>
      </c>
    </row>
    <row r="974" spans="1:7" x14ac:dyDescent="0.25">
      <c r="A974" t="s">
        <v>6</v>
      </c>
      <c r="B974" s="1">
        <v>46080</v>
      </c>
      <c r="C974" t="s">
        <v>926</v>
      </c>
      <c r="D974">
        <v>-2.2799999999999998</v>
      </c>
      <c r="E974" t="s">
        <v>72</v>
      </c>
      <c r="F974">
        <v>9864.8700000000008</v>
      </c>
      <c r="G974" t="str" cm="1">
        <f t="array" ref="G974">IF(AND(ISNUMBER(SEARCH("UBER",C974)),ISNUMBER(SEARCH("EATS",C974))),"Uber Eats",IF(LEFT(C974,6)="CHECK ","Checks Paid",IF(OR(E974="BILLPAY",ISNUMBER(SEARCH("FRANCHISE TAX",C974)),ISNUMBER(SEARCH("NEXTLINK",C974))),"Personal - House Bills",IF(AND(ISNUMBER(SEARCH("PAYMENT FROM",C974)),ISNUMBER(SEARCH("JOE SAUNDERS",C974))),"Zelle from Joe Saunders",IF(AND(ISNUMBER(SEARCH("PAYMENT TO",C974)),ISNUMBER(SEARCH("JOE SAUNDERS",C974))),"Zelle to Joe Saunders",IF(OR(ISNUMBER(SEARCH("NEW ORLEANS",C974)),ISNUMBER(SEARCH("KENNER",C974)),ISNUMBER(SEARCH("HENRY HOWARD",C974)),ISNUMBER(SEARCH("MISS CLAUDIA",C974))),"Personal Travel - New Orleans",IFERROR(INDEX('Category Rules'!$B$2:$B$194,MATCH(TRUE,ISNUMBER(SEARCH('Category Rules'!$A$2:$A$194,C974)),0)),"")))))))</f>
        <v>Personal Travel - Portugal</v>
      </c>
    </row>
    <row r="975" spans="1:7" x14ac:dyDescent="0.25">
      <c r="A975" t="s">
        <v>6</v>
      </c>
      <c r="B975" s="1">
        <v>46080</v>
      </c>
      <c r="C975" t="s">
        <v>927</v>
      </c>
      <c r="D975">
        <v>-384.94</v>
      </c>
      <c r="E975" t="s">
        <v>14</v>
      </c>
      <c r="F975">
        <v>9867.15</v>
      </c>
      <c r="G975" t="str" cm="1">
        <f t="array" ref="G975">IF(AND(ISNUMBER(SEARCH("UBER",C975)),ISNUMBER(SEARCH("EATS",C975))),"Uber Eats",IF(LEFT(C975,6)="CHECK ","Checks Paid",IF(OR(E975="BILLPAY",ISNUMBER(SEARCH("FRANCHISE TAX",C975)),ISNUMBER(SEARCH("NEXTLINK",C975))),"Personal - House Bills",IF(AND(ISNUMBER(SEARCH("PAYMENT FROM",C975)),ISNUMBER(SEARCH("JOE SAUNDERS",C975))),"Zelle from Joe Saunders",IF(AND(ISNUMBER(SEARCH("PAYMENT TO",C975)),ISNUMBER(SEARCH("JOE SAUNDERS",C975))),"Zelle to Joe Saunders",IF(OR(ISNUMBER(SEARCH("NEW ORLEANS",C975)),ISNUMBER(SEARCH("KENNER",C975)),ISNUMBER(SEARCH("HENRY HOWARD",C975)),ISNUMBER(SEARCH("MISS CLAUDIA",C975))),"Personal Travel - New Orleans",IFERROR(INDEX('Category Rules'!$B$2:$B$194,MATCH(TRUE,ISNUMBER(SEARCH('Category Rules'!$A$2:$A$194,C975)),0)),"")))))))</f>
        <v>Personal Travel</v>
      </c>
    </row>
    <row r="976" spans="1:7" x14ac:dyDescent="0.25">
      <c r="A976" t="s">
        <v>6</v>
      </c>
      <c r="B976" s="1">
        <v>46080</v>
      </c>
      <c r="C976" t="s">
        <v>928</v>
      </c>
      <c r="D976">
        <v>-76.23</v>
      </c>
      <c r="E976" t="s">
        <v>14</v>
      </c>
      <c r="F976">
        <v>10252.09</v>
      </c>
      <c r="G976" t="str" cm="1">
        <f t="array" ref="G976">IF(AND(ISNUMBER(SEARCH("UBER",C976)),ISNUMBER(SEARCH("EATS",C976))),"Uber Eats",IF(LEFT(C976,6)="CHECK ","Checks Paid",IF(OR(E976="BILLPAY",ISNUMBER(SEARCH("FRANCHISE TAX",C976)),ISNUMBER(SEARCH("NEXTLINK",C976))),"Personal - House Bills",IF(AND(ISNUMBER(SEARCH("PAYMENT FROM",C976)),ISNUMBER(SEARCH("JOE SAUNDERS",C976))),"Zelle from Joe Saunders",IF(AND(ISNUMBER(SEARCH("PAYMENT TO",C976)),ISNUMBER(SEARCH("JOE SAUNDERS",C976))),"Zelle to Joe Saunders",IF(OR(ISNUMBER(SEARCH("NEW ORLEANS",C976)),ISNUMBER(SEARCH("KENNER",C976)),ISNUMBER(SEARCH("HENRY HOWARD",C976)),ISNUMBER(SEARCH("MISS CLAUDIA",C976))),"Personal Travel - New Orleans",IFERROR(INDEX('Category Rules'!$B$2:$B$194,MATCH(TRUE,ISNUMBER(SEARCH('Category Rules'!$A$2:$A$194,C976)),0)),"")))))))</f>
        <v>Personal Travel</v>
      </c>
    </row>
    <row r="977" spans="1:7" x14ac:dyDescent="0.25">
      <c r="A977" t="s">
        <v>6</v>
      </c>
      <c r="B977" s="1">
        <v>46080</v>
      </c>
      <c r="C977" t="s">
        <v>929</v>
      </c>
      <c r="D977">
        <v>-5.99</v>
      </c>
      <c r="E977" t="s">
        <v>14</v>
      </c>
      <c r="F977">
        <v>10328.32</v>
      </c>
      <c r="G977" t="str" cm="1">
        <f t="array" ref="G977">IF(AND(ISNUMBER(SEARCH("UBER",C977)),ISNUMBER(SEARCH("EATS",C977))),"Uber Eats",IF(LEFT(C977,6)="CHECK ","Checks Paid",IF(OR(E977="BILLPAY",ISNUMBER(SEARCH("FRANCHISE TAX",C977)),ISNUMBER(SEARCH("NEXTLINK",C977))),"Personal - House Bills",IF(AND(ISNUMBER(SEARCH("PAYMENT FROM",C977)),ISNUMBER(SEARCH("JOE SAUNDERS",C977))),"Zelle from Joe Saunders",IF(AND(ISNUMBER(SEARCH("PAYMENT TO",C977)),ISNUMBER(SEARCH("JOE SAUNDERS",C977))),"Zelle to Joe Saunders",IF(OR(ISNUMBER(SEARCH("NEW ORLEANS",C977)),ISNUMBER(SEARCH("KENNER",C977)),ISNUMBER(SEARCH("HENRY HOWARD",C977)),ISNUMBER(SEARCH("MISS CLAUDIA",C977))),"Personal Travel - New Orleans",IFERROR(INDEX('Category Rules'!$B$2:$B$194,MATCH(TRUE,ISNUMBER(SEARCH('Category Rules'!$A$2:$A$194,C977)),0)),"")))))))</f>
        <v>Personal - Subscription</v>
      </c>
    </row>
    <row r="978" spans="1:7" x14ac:dyDescent="0.25">
      <c r="A978" t="s">
        <v>6</v>
      </c>
      <c r="B978" s="1">
        <v>46080</v>
      </c>
      <c r="C978" t="s">
        <v>930</v>
      </c>
      <c r="D978">
        <v>-6.99</v>
      </c>
      <c r="E978" t="s">
        <v>14</v>
      </c>
      <c r="F978">
        <v>10334.31</v>
      </c>
      <c r="G978" t="str" cm="1">
        <f t="array" ref="G978">IF(AND(ISNUMBER(SEARCH("UBER",C978)),ISNUMBER(SEARCH("EATS",C978))),"Uber Eats",IF(LEFT(C978,6)="CHECK ","Checks Paid",IF(OR(E978="BILLPAY",ISNUMBER(SEARCH("FRANCHISE TAX",C978)),ISNUMBER(SEARCH("NEXTLINK",C978))),"Personal - House Bills",IF(AND(ISNUMBER(SEARCH("PAYMENT FROM",C978)),ISNUMBER(SEARCH("JOE SAUNDERS",C978))),"Zelle from Joe Saunders",IF(AND(ISNUMBER(SEARCH("PAYMENT TO",C978)),ISNUMBER(SEARCH("JOE SAUNDERS",C978))),"Zelle to Joe Saunders",IF(OR(ISNUMBER(SEARCH("NEW ORLEANS",C978)),ISNUMBER(SEARCH("KENNER",C978)),ISNUMBER(SEARCH("HENRY HOWARD",C978)),ISNUMBER(SEARCH("MISS CLAUDIA",C978))),"Personal Travel - New Orleans",IFERROR(INDEX('Category Rules'!$B$2:$B$194,MATCH(TRUE,ISNUMBER(SEARCH('Category Rules'!$A$2:$A$194,C978)),0)),"")))))))</f>
        <v>Amazon</v>
      </c>
    </row>
    <row r="979" spans="1:7" x14ac:dyDescent="0.25">
      <c r="A979" t="s">
        <v>6</v>
      </c>
      <c r="B979" s="1">
        <v>46080</v>
      </c>
      <c r="C979" t="s">
        <v>931</v>
      </c>
      <c r="D979">
        <v>-76.97</v>
      </c>
      <c r="E979" t="s">
        <v>14</v>
      </c>
      <c r="F979">
        <v>10341.299999999999</v>
      </c>
      <c r="G979" t="str" cm="1">
        <f t="array" ref="G979">IF(AND(ISNUMBER(SEARCH("UBER",C979)),ISNUMBER(SEARCH("EATS",C979))),"Uber Eats",IF(LEFT(C979,6)="CHECK ","Checks Paid",IF(OR(E979="BILLPAY",ISNUMBER(SEARCH("FRANCHISE TAX",C979)),ISNUMBER(SEARCH("NEXTLINK",C979))),"Personal - House Bills",IF(AND(ISNUMBER(SEARCH("PAYMENT FROM",C979)),ISNUMBER(SEARCH("JOE SAUNDERS",C979))),"Zelle from Joe Saunders",IF(AND(ISNUMBER(SEARCH("PAYMENT TO",C979)),ISNUMBER(SEARCH("JOE SAUNDERS",C979))),"Zelle to Joe Saunders",IF(OR(ISNUMBER(SEARCH("NEW ORLEANS",C979)),ISNUMBER(SEARCH("KENNER",C979)),ISNUMBER(SEARCH("HENRY HOWARD",C979)),ISNUMBER(SEARCH("MISS CLAUDIA",C979))),"Personal Travel - New Orleans",IFERROR(INDEX('Category Rules'!$B$2:$B$194,MATCH(TRUE,ISNUMBER(SEARCH('Category Rules'!$A$2:$A$194,C979)),0)),"")))))))</f>
        <v>Amazon</v>
      </c>
    </row>
    <row r="980" spans="1:7" x14ac:dyDescent="0.25">
      <c r="A980" t="s">
        <v>6</v>
      </c>
      <c r="B980" s="1">
        <v>46079</v>
      </c>
      <c r="C980" t="s">
        <v>932</v>
      </c>
      <c r="D980">
        <v>-92.12</v>
      </c>
      <c r="E980" t="s">
        <v>14</v>
      </c>
      <c r="F980">
        <v>10418.27</v>
      </c>
      <c r="G980" t="str" cm="1">
        <f t="array" ref="G980">IF(AND(ISNUMBER(SEARCH("UBER",C980)),ISNUMBER(SEARCH("EATS",C980))),"Uber Eats",IF(LEFT(C980,6)="CHECK ","Checks Paid",IF(OR(E980="BILLPAY",ISNUMBER(SEARCH("FRANCHISE TAX",C980)),ISNUMBER(SEARCH("NEXTLINK",C980))),"Personal - House Bills",IF(AND(ISNUMBER(SEARCH("PAYMENT FROM",C980)),ISNUMBER(SEARCH("JOE SAUNDERS",C980))),"Zelle from Joe Saunders",IF(AND(ISNUMBER(SEARCH("PAYMENT TO",C980)),ISNUMBER(SEARCH("JOE SAUNDERS",C980))),"Zelle to Joe Saunders",IF(OR(ISNUMBER(SEARCH("NEW ORLEANS",C980)),ISNUMBER(SEARCH("KENNER",C980)),ISNUMBER(SEARCH("HENRY HOWARD",C980)),ISNUMBER(SEARCH("MISS CLAUDIA",C980))),"Personal Travel - New Orleans",IFERROR(INDEX('Category Rules'!$B$2:$B$194,MATCH(TRUE,ISNUMBER(SEARCH('Category Rules'!$A$2:$A$194,C980)),0)),"")))))))</f>
        <v>Shipping</v>
      </c>
    </row>
    <row r="981" spans="1:7" x14ac:dyDescent="0.25">
      <c r="A981" t="s">
        <v>6</v>
      </c>
      <c r="B981" s="1">
        <v>46079</v>
      </c>
      <c r="C981" t="s">
        <v>933</v>
      </c>
      <c r="D981">
        <v>-37.25</v>
      </c>
      <c r="E981" t="s">
        <v>14</v>
      </c>
      <c r="F981">
        <v>10510.39</v>
      </c>
      <c r="G981" t="str" cm="1">
        <f t="array" ref="G981">IF(AND(ISNUMBER(SEARCH("UBER",C981)),ISNUMBER(SEARCH("EATS",C981))),"Uber Eats",IF(LEFT(C981,6)="CHECK ","Checks Paid",IF(OR(E981="BILLPAY",ISNUMBER(SEARCH("FRANCHISE TAX",C981)),ISNUMBER(SEARCH("NEXTLINK",C981))),"Personal - House Bills",IF(AND(ISNUMBER(SEARCH("PAYMENT FROM",C981)),ISNUMBER(SEARCH("JOE SAUNDERS",C981))),"Zelle from Joe Saunders",IF(AND(ISNUMBER(SEARCH("PAYMENT TO",C981)),ISNUMBER(SEARCH("JOE SAUNDERS",C981))),"Zelle to Joe Saunders",IF(OR(ISNUMBER(SEARCH("NEW ORLEANS",C981)),ISNUMBER(SEARCH("KENNER",C981)),ISNUMBER(SEARCH("HENRY HOWARD",C981)),ISNUMBER(SEARCH("MISS CLAUDIA",C981))),"Personal Travel - New Orleans",IFERROR(INDEX('Category Rules'!$B$2:$B$194,MATCH(TRUE,ISNUMBER(SEARCH('Category Rules'!$A$2:$A$194,C981)),0)),"")))))))</f>
        <v>Amazon</v>
      </c>
    </row>
    <row r="982" spans="1:7" x14ac:dyDescent="0.25">
      <c r="A982" t="s">
        <v>6</v>
      </c>
      <c r="B982" s="1">
        <v>46079</v>
      </c>
      <c r="C982" t="s">
        <v>934</v>
      </c>
      <c r="D982">
        <v>-17.8</v>
      </c>
      <c r="E982" t="s">
        <v>14</v>
      </c>
      <c r="F982">
        <v>10547.64</v>
      </c>
      <c r="G982" t="str" cm="1">
        <f t="array" ref="G982">IF(AND(ISNUMBER(SEARCH("UBER",C982)),ISNUMBER(SEARCH("EATS",C982))),"Uber Eats",IF(LEFT(C982,6)="CHECK ","Checks Paid",IF(OR(E982="BILLPAY",ISNUMBER(SEARCH("FRANCHISE TAX",C982)),ISNUMBER(SEARCH("NEXTLINK",C982))),"Personal - House Bills",IF(AND(ISNUMBER(SEARCH("PAYMENT FROM",C982)),ISNUMBER(SEARCH("JOE SAUNDERS",C982))),"Zelle from Joe Saunders",IF(AND(ISNUMBER(SEARCH("PAYMENT TO",C982)),ISNUMBER(SEARCH("JOE SAUNDERS",C982))),"Zelle to Joe Saunders",IF(OR(ISNUMBER(SEARCH("NEW ORLEANS",C982)),ISNUMBER(SEARCH("KENNER",C982)),ISNUMBER(SEARCH("HENRY HOWARD",C982)),ISNUMBER(SEARCH("MISS CLAUDIA",C982))),"Personal Travel - New Orleans",IFERROR(INDEX('Category Rules'!$B$2:$B$194,MATCH(TRUE,ISNUMBER(SEARCH('Category Rules'!$A$2:$A$194,C982)),0)),"")))))))</f>
        <v>Shipping</v>
      </c>
    </row>
    <row r="983" spans="1:7" x14ac:dyDescent="0.25">
      <c r="A983" t="s">
        <v>6</v>
      </c>
      <c r="B983" s="1">
        <v>46079</v>
      </c>
      <c r="C983" t="s">
        <v>935</v>
      </c>
      <c r="D983">
        <v>-1</v>
      </c>
      <c r="E983" t="s">
        <v>14</v>
      </c>
      <c r="F983">
        <v>10565.44</v>
      </c>
      <c r="G983" t="str" cm="1">
        <f t="array" ref="G983">IF(AND(ISNUMBER(SEARCH("UBER",C983)),ISNUMBER(SEARCH("EATS",C983))),"Uber Eats",IF(LEFT(C983,6)="CHECK ","Checks Paid",IF(OR(E983="BILLPAY",ISNUMBER(SEARCH("FRANCHISE TAX",C983)),ISNUMBER(SEARCH("NEXTLINK",C983))),"Personal - House Bills",IF(AND(ISNUMBER(SEARCH("PAYMENT FROM",C983)),ISNUMBER(SEARCH("JOE SAUNDERS",C983))),"Zelle from Joe Saunders",IF(AND(ISNUMBER(SEARCH("PAYMENT TO",C983)),ISNUMBER(SEARCH("JOE SAUNDERS",C983))),"Zelle to Joe Saunders",IF(OR(ISNUMBER(SEARCH("NEW ORLEANS",C983)),ISNUMBER(SEARCH("KENNER",C983)),ISNUMBER(SEARCH("HENRY HOWARD",C983)),ISNUMBER(SEARCH("MISS CLAUDIA",C983))),"Personal Travel - New Orleans",IFERROR(INDEX('Category Rules'!$B$2:$B$194,MATCH(TRUE,ISNUMBER(SEARCH('Category Rules'!$A$2:$A$194,C983)),0)),"")))))))</f>
        <v>Personal - Car</v>
      </c>
    </row>
    <row r="984" spans="1:7" x14ac:dyDescent="0.25">
      <c r="A984" t="s">
        <v>6</v>
      </c>
      <c r="B984" s="1">
        <v>46079</v>
      </c>
      <c r="C984" t="s">
        <v>936</v>
      </c>
      <c r="D984">
        <v>-349.93</v>
      </c>
      <c r="E984" t="s">
        <v>14</v>
      </c>
      <c r="F984">
        <v>10566.44</v>
      </c>
      <c r="G984" t="str" cm="1">
        <f t="array" ref="G984">IF(AND(ISNUMBER(SEARCH("UBER",C984)),ISNUMBER(SEARCH("EATS",C984))),"Uber Eats",IF(LEFT(C984,6)="CHECK ","Checks Paid",IF(OR(E984="BILLPAY",ISNUMBER(SEARCH("FRANCHISE TAX",C984)),ISNUMBER(SEARCH("NEXTLINK",C984))),"Personal - House Bills",IF(AND(ISNUMBER(SEARCH("PAYMENT FROM",C984)),ISNUMBER(SEARCH("JOE SAUNDERS",C984))),"Zelle from Joe Saunders",IF(AND(ISNUMBER(SEARCH("PAYMENT TO",C984)),ISNUMBER(SEARCH("JOE SAUNDERS",C984))),"Zelle to Joe Saunders",IF(OR(ISNUMBER(SEARCH("NEW ORLEANS",C984)),ISNUMBER(SEARCH("KENNER",C984)),ISNUMBER(SEARCH("HENRY HOWARD",C984)),ISNUMBER(SEARCH("MISS CLAUDIA",C984))),"Personal Travel - New Orleans",IFERROR(INDEX('Category Rules'!$B$2:$B$194,MATCH(TRUE,ISNUMBER(SEARCH('Category Rules'!$A$2:$A$194,C984)),0)),"")))))))</f>
        <v>Personal - Clothing</v>
      </c>
    </row>
    <row r="985" spans="1:7" x14ac:dyDescent="0.25">
      <c r="A985" t="s">
        <v>6</v>
      </c>
      <c r="B985" s="1">
        <v>46079</v>
      </c>
      <c r="C985" t="s">
        <v>937</v>
      </c>
      <c r="D985">
        <v>-570</v>
      </c>
      <c r="E985" t="s">
        <v>14</v>
      </c>
      <c r="F985">
        <v>10916.37</v>
      </c>
      <c r="G985" t="str" cm="1">
        <f t="array" ref="G985">IF(AND(ISNUMBER(SEARCH("UBER",C985)),ISNUMBER(SEARCH("EATS",C985))),"Uber Eats",IF(LEFT(C985,6)="CHECK ","Checks Paid",IF(OR(E985="BILLPAY",ISNUMBER(SEARCH("FRANCHISE TAX",C985)),ISNUMBER(SEARCH("NEXTLINK",C985))),"Personal - House Bills",IF(AND(ISNUMBER(SEARCH("PAYMENT FROM",C985)),ISNUMBER(SEARCH("JOE SAUNDERS",C985))),"Zelle from Joe Saunders",IF(AND(ISNUMBER(SEARCH("PAYMENT TO",C985)),ISNUMBER(SEARCH("JOE SAUNDERS",C985))),"Zelle to Joe Saunders",IF(OR(ISNUMBER(SEARCH("NEW ORLEANS",C985)),ISNUMBER(SEARCH("KENNER",C985)),ISNUMBER(SEARCH("HENRY HOWARD",C985)),ISNUMBER(SEARCH("MISS CLAUDIA",C985))),"Personal Travel - New Orleans",IFERROR(INDEX('Category Rules'!$B$2:$B$194,MATCH(TRUE,ISNUMBER(SEARCH('Category Rules'!$A$2:$A$194,C985)),0)),"")))))))</f>
        <v>Personal - Health</v>
      </c>
    </row>
    <row r="986" spans="1:7" x14ac:dyDescent="0.25">
      <c r="A986" t="s">
        <v>6</v>
      </c>
      <c r="B986" s="1">
        <v>46079</v>
      </c>
      <c r="C986" t="s">
        <v>938</v>
      </c>
      <c r="D986">
        <v>-72.22</v>
      </c>
      <c r="E986" t="s">
        <v>14</v>
      </c>
      <c r="F986">
        <v>11486.37</v>
      </c>
      <c r="G986" t="str" cm="1">
        <f t="array" ref="G986">IF(AND(ISNUMBER(SEARCH("UBER",C986)),ISNUMBER(SEARCH("EATS",C986))),"Uber Eats",IF(LEFT(C986,6)="CHECK ","Checks Paid",IF(OR(E986="BILLPAY",ISNUMBER(SEARCH("FRANCHISE TAX",C986)),ISNUMBER(SEARCH("NEXTLINK",C986))),"Personal - House Bills",IF(AND(ISNUMBER(SEARCH("PAYMENT FROM",C986)),ISNUMBER(SEARCH("JOE SAUNDERS",C986))),"Zelle from Joe Saunders",IF(AND(ISNUMBER(SEARCH("PAYMENT TO",C986)),ISNUMBER(SEARCH("JOE SAUNDERS",C986))),"Zelle to Joe Saunders",IF(OR(ISNUMBER(SEARCH("NEW ORLEANS",C986)),ISNUMBER(SEARCH("KENNER",C986)),ISNUMBER(SEARCH("HENRY HOWARD",C986)),ISNUMBER(SEARCH("MISS CLAUDIA",C986))),"Personal Travel - New Orleans",IFERROR(INDEX('Category Rules'!$B$2:$B$194,MATCH(TRUE,ISNUMBER(SEARCH('Category Rules'!$A$2:$A$194,C986)),0)),"")))))))</f>
        <v>Personal - Entertainment</v>
      </c>
    </row>
    <row r="987" spans="1:7" x14ac:dyDescent="0.25">
      <c r="A987" t="s">
        <v>6</v>
      </c>
      <c r="B987" s="1">
        <v>46079</v>
      </c>
      <c r="C987" t="s">
        <v>939</v>
      </c>
      <c r="D987">
        <v>-24.13</v>
      </c>
      <c r="E987" t="s">
        <v>14</v>
      </c>
      <c r="F987">
        <v>11558.59</v>
      </c>
      <c r="G987" t="str" cm="1">
        <f t="array" ref="G987">IF(AND(ISNUMBER(SEARCH("UBER",C987)),ISNUMBER(SEARCH("EATS",C987))),"Uber Eats",IF(LEFT(C987,6)="CHECK ","Checks Paid",IF(OR(E987="BILLPAY",ISNUMBER(SEARCH("FRANCHISE TAX",C987)),ISNUMBER(SEARCH("NEXTLINK",C987))),"Personal - House Bills",IF(AND(ISNUMBER(SEARCH("PAYMENT FROM",C987)),ISNUMBER(SEARCH("JOE SAUNDERS",C987))),"Zelle from Joe Saunders",IF(AND(ISNUMBER(SEARCH("PAYMENT TO",C987)),ISNUMBER(SEARCH("JOE SAUNDERS",C987))),"Zelle to Joe Saunders",IF(OR(ISNUMBER(SEARCH("NEW ORLEANS",C987)),ISNUMBER(SEARCH("KENNER",C987)),ISNUMBER(SEARCH("HENRY HOWARD",C987)),ISNUMBER(SEARCH("MISS CLAUDIA",C987))),"Personal Travel - New Orleans",IFERROR(INDEX('Category Rules'!$B$2:$B$194,MATCH(TRUE,ISNUMBER(SEARCH('Category Rules'!$A$2:$A$194,C987)),0)),"")))))))</f>
        <v>Amazon</v>
      </c>
    </row>
    <row r="988" spans="1:7" x14ac:dyDescent="0.25">
      <c r="A988" t="s">
        <v>6</v>
      </c>
      <c r="B988" s="1">
        <v>46078</v>
      </c>
      <c r="C988" t="s">
        <v>940</v>
      </c>
      <c r="D988">
        <v>-0.05</v>
      </c>
      <c r="E988" t="s">
        <v>72</v>
      </c>
      <c r="F988">
        <v>11582.72</v>
      </c>
      <c r="G988" t="str" cm="1">
        <f t="array" ref="G988">IF(AND(ISNUMBER(SEARCH("UBER",C988)),ISNUMBER(SEARCH("EATS",C988))),"Uber Eats",IF(LEFT(C988,6)="CHECK ","Checks Paid",IF(OR(E988="BILLPAY",ISNUMBER(SEARCH("FRANCHISE TAX",C988)),ISNUMBER(SEARCH("NEXTLINK",C988))),"Personal - House Bills",IF(AND(ISNUMBER(SEARCH("PAYMENT FROM",C988)),ISNUMBER(SEARCH("JOE SAUNDERS",C988))),"Zelle from Joe Saunders",IF(AND(ISNUMBER(SEARCH("PAYMENT TO",C988)),ISNUMBER(SEARCH("JOE SAUNDERS",C988))),"Zelle to Joe Saunders",IF(OR(ISNUMBER(SEARCH("NEW ORLEANS",C988)),ISNUMBER(SEARCH("KENNER",C988)),ISNUMBER(SEARCH("HENRY HOWARD",C988)),ISNUMBER(SEARCH("MISS CLAUDIA",C988))),"Personal Travel - New Orleans",IFERROR(INDEX('Category Rules'!$B$2:$B$194,MATCH(TRUE,ISNUMBER(SEARCH('Category Rules'!$A$2:$A$194,C988)),0)),"")))))))</f>
        <v>Personal Travel - Portugal</v>
      </c>
    </row>
    <row r="989" spans="1:7" x14ac:dyDescent="0.25">
      <c r="A989" t="s">
        <v>6</v>
      </c>
      <c r="B989" s="1">
        <v>46078</v>
      </c>
      <c r="C989" t="s">
        <v>941</v>
      </c>
      <c r="D989">
        <v>-273.91000000000003</v>
      </c>
      <c r="E989" t="s">
        <v>14</v>
      </c>
      <c r="F989">
        <v>11582.77</v>
      </c>
      <c r="G989" t="str" cm="1">
        <f t="array" ref="G989">IF(AND(ISNUMBER(SEARCH("UBER",C989)),ISNUMBER(SEARCH("EATS",C989))),"Uber Eats",IF(LEFT(C989,6)="CHECK ","Checks Paid",IF(OR(E989="BILLPAY",ISNUMBER(SEARCH("FRANCHISE TAX",C989)),ISNUMBER(SEARCH("NEXTLINK",C989))),"Personal - House Bills",IF(AND(ISNUMBER(SEARCH("PAYMENT FROM",C989)),ISNUMBER(SEARCH("JOE SAUNDERS",C989))),"Zelle from Joe Saunders",IF(AND(ISNUMBER(SEARCH("PAYMENT TO",C989)),ISNUMBER(SEARCH("JOE SAUNDERS",C989))),"Zelle to Joe Saunders",IF(OR(ISNUMBER(SEARCH("NEW ORLEANS",C989)),ISNUMBER(SEARCH("KENNER",C989)),ISNUMBER(SEARCH("HENRY HOWARD",C989)),ISNUMBER(SEARCH("MISS CLAUDIA",C989))),"Personal Travel - New Orleans",IFERROR(INDEX('Category Rules'!$B$2:$B$194,MATCH(TRUE,ISNUMBER(SEARCH('Category Rules'!$A$2:$A$194,C989)),0)),"")))))))</f>
        <v>Personal - Misc</v>
      </c>
    </row>
    <row r="990" spans="1:7" x14ac:dyDescent="0.25">
      <c r="A990" t="s">
        <v>6</v>
      </c>
      <c r="B990" s="1">
        <v>46078</v>
      </c>
      <c r="C990" t="s">
        <v>942</v>
      </c>
      <c r="D990">
        <v>-4600</v>
      </c>
      <c r="E990" t="s">
        <v>8</v>
      </c>
      <c r="F990">
        <v>11856.68</v>
      </c>
      <c r="G990" t="str" cm="1">
        <f t="array" ref="G990">IF(AND(ISNUMBER(SEARCH("UBER",C990)),ISNUMBER(SEARCH("EATS",C990))),"Uber Eats",IF(LEFT(C990,6)="CHECK ","Checks Paid",IF(OR(E990="BILLPAY",ISNUMBER(SEARCH("FRANCHISE TAX",C990)),ISNUMBER(SEARCH("NEXTLINK",C990))),"Personal - House Bills",IF(AND(ISNUMBER(SEARCH("PAYMENT FROM",C990)),ISNUMBER(SEARCH("JOE SAUNDERS",C990))),"Zelle from Joe Saunders",IF(AND(ISNUMBER(SEARCH("PAYMENT TO",C990)),ISNUMBER(SEARCH("JOE SAUNDERS",C990))),"Zelle to Joe Saunders",IF(OR(ISNUMBER(SEARCH("NEW ORLEANS",C990)),ISNUMBER(SEARCH("KENNER",C990)),ISNUMBER(SEARCH("HENRY HOWARD",C990)),ISNUMBER(SEARCH("MISS CLAUDIA",C990))),"Personal Travel - New Orleans",IFERROR(INDEX('Category Rules'!$B$2:$B$194,MATCH(TRUE,ISNUMBER(SEARCH('Category Rules'!$A$2:$A$194,C990)),0)),"")))))))</f>
        <v>Withdrawal</v>
      </c>
    </row>
    <row r="991" spans="1:7" x14ac:dyDescent="0.25">
      <c r="A991" t="s">
        <v>6</v>
      </c>
      <c r="B991" s="1">
        <v>46078</v>
      </c>
      <c r="C991" t="s">
        <v>943</v>
      </c>
      <c r="D991">
        <v>-511.24</v>
      </c>
      <c r="E991" t="s">
        <v>14</v>
      </c>
      <c r="F991">
        <v>16456.68</v>
      </c>
      <c r="G991" t="str" cm="1">
        <f t="array" ref="G991">IF(AND(ISNUMBER(SEARCH("UBER",C991)),ISNUMBER(SEARCH("EATS",C991))),"Uber Eats",IF(LEFT(C991,6)="CHECK ","Checks Paid",IF(OR(E991="BILLPAY",ISNUMBER(SEARCH("FRANCHISE TAX",C991)),ISNUMBER(SEARCH("NEXTLINK",C991))),"Personal - House Bills",IF(AND(ISNUMBER(SEARCH("PAYMENT FROM",C991)),ISNUMBER(SEARCH("JOE SAUNDERS",C991))),"Zelle from Joe Saunders",IF(AND(ISNUMBER(SEARCH("PAYMENT TO",C991)),ISNUMBER(SEARCH("JOE SAUNDERS",C991))),"Zelle to Joe Saunders",IF(OR(ISNUMBER(SEARCH("NEW ORLEANS",C991)),ISNUMBER(SEARCH("KENNER",C991)),ISNUMBER(SEARCH("HENRY HOWARD",C991)),ISNUMBER(SEARCH("MISS CLAUDIA",C991))),"Personal Travel - New Orleans",IFERROR(INDEX('Category Rules'!$B$2:$B$194,MATCH(TRUE,ISNUMBER(SEARCH('Category Rules'!$A$2:$A$194,C991)),0)),"")))))))</f>
        <v>Personal Travel</v>
      </c>
    </row>
    <row r="992" spans="1:7" x14ac:dyDescent="0.25">
      <c r="A992" t="s">
        <v>6</v>
      </c>
      <c r="B992" s="1">
        <v>46078</v>
      </c>
      <c r="C992" t="s">
        <v>944</v>
      </c>
      <c r="D992">
        <v>-108.66</v>
      </c>
      <c r="E992" t="s">
        <v>14</v>
      </c>
      <c r="F992">
        <v>16967.919999999998</v>
      </c>
      <c r="G992" t="str" cm="1">
        <f t="array" ref="G992">IF(AND(ISNUMBER(SEARCH("UBER",C992)),ISNUMBER(SEARCH("EATS",C992))),"Uber Eats",IF(LEFT(C992,6)="CHECK ","Checks Paid",IF(OR(E992="BILLPAY",ISNUMBER(SEARCH("FRANCHISE TAX",C992)),ISNUMBER(SEARCH("NEXTLINK",C992))),"Personal - House Bills",IF(AND(ISNUMBER(SEARCH("PAYMENT FROM",C992)),ISNUMBER(SEARCH("JOE SAUNDERS",C992))),"Zelle from Joe Saunders",IF(AND(ISNUMBER(SEARCH("PAYMENT TO",C992)),ISNUMBER(SEARCH("JOE SAUNDERS",C992))),"Zelle to Joe Saunders",IF(OR(ISNUMBER(SEARCH("NEW ORLEANS",C992)),ISNUMBER(SEARCH("KENNER",C992)),ISNUMBER(SEARCH("HENRY HOWARD",C992)),ISNUMBER(SEARCH("MISS CLAUDIA",C992))),"Personal Travel - New Orleans",IFERROR(INDEX('Category Rules'!$B$2:$B$194,MATCH(TRUE,ISNUMBER(SEARCH('Category Rules'!$A$2:$A$194,C992)),0)),"")))))))</f>
        <v>Personal - Health</v>
      </c>
    </row>
    <row r="993" spans="1:7" x14ac:dyDescent="0.25">
      <c r="A993" t="s">
        <v>6</v>
      </c>
      <c r="B993" s="1">
        <v>46078</v>
      </c>
      <c r="C993" t="s">
        <v>945</v>
      </c>
      <c r="D993">
        <v>-1.99</v>
      </c>
      <c r="E993" t="s">
        <v>14</v>
      </c>
      <c r="F993">
        <v>17076.580000000002</v>
      </c>
      <c r="G993" t="str" cm="1">
        <f t="array" ref="G993">IF(AND(ISNUMBER(SEARCH("UBER",C993)),ISNUMBER(SEARCH("EATS",C993))),"Uber Eats",IF(LEFT(C993,6)="CHECK ","Checks Paid",IF(OR(E993="BILLPAY",ISNUMBER(SEARCH("FRANCHISE TAX",C993)),ISNUMBER(SEARCH("NEXTLINK",C993))),"Personal - House Bills",IF(AND(ISNUMBER(SEARCH("PAYMENT FROM",C993)),ISNUMBER(SEARCH("JOE SAUNDERS",C993))),"Zelle from Joe Saunders",IF(AND(ISNUMBER(SEARCH("PAYMENT TO",C993)),ISNUMBER(SEARCH("JOE SAUNDERS",C993))),"Zelle to Joe Saunders",IF(OR(ISNUMBER(SEARCH("NEW ORLEANS",C993)),ISNUMBER(SEARCH("KENNER",C993)),ISNUMBER(SEARCH("HENRY HOWARD",C993)),ISNUMBER(SEARCH("MISS CLAUDIA",C993))),"Personal Travel - New Orleans",IFERROR(INDEX('Category Rules'!$B$2:$B$194,MATCH(TRUE,ISNUMBER(SEARCH('Category Rules'!$A$2:$A$194,C993)),0)),"")))))))</f>
        <v>Personal Travel</v>
      </c>
    </row>
    <row r="994" spans="1:7" x14ac:dyDescent="0.25">
      <c r="A994" t="s">
        <v>6</v>
      </c>
      <c r="B994" s="1">
        <v>46078</v>
      </c>
      <c r="C994" t="s">
        <v>946</v>
      </c>
      <c r="D994">
        <v>-15</v>
      </c>
      <c r="E994" t="s">
        <v>14</v>
      </c>
      <c r="F994">
        <v>17078.57</v>
      </c>
      <c r="G994" t="str" cm="1">
        <f t="array" ref="G994">IF(AND(ISNUMBER(SEARCH("UBER",C994)),ISNUMBER(SEARCH("EATS",C994))),"Uber Eats",IF(LEFT(C994,6)="CHECK ","Checks Paid",IF(OR(E994="BILLPAY",ISNUMBER(SEARCH("FRANCHISE TAX",C994)),ISNUMBER(SEARCH("NEXTLINK",C994))),"Personal - House Bills",IF(AND(ISNUMBER(SEARCH("PAYMENT FROM",C994)),ISNUMBER(SEARCH("JOE SAUNDERS",C994))),"Zelle from Joe Saunders",IF(AND(ISNUMBER(SEARCH("PAYMENT TO",C994)),ISNUMBER(SEARCH("JOE SAUNDERS",C994))),"Zelle to Joe Saunders",IF(OR(ISNUMBER(SEARCH("NEW ORLEANS",C994)),ISNUMBER(SEARCH("KENNER",C994)),ISNUMBER(SEARCH("HENRY HOWARD",C994)),ISNUMBER(SEARCH("MISS CLAUDIA",C994))),"Personal Travel - New Orleans",IFERROR(INDEX('Category Rules'!$B$2:$B$194,MATCH(TRUE,ISNUMBER(SEARCH('Category Rules'!$A$2:$A$194,C994)),0)),"")))))))</f>
        <v>Personal - Subscription</v>
      </c>
    </row>
    <row r="995" spans="1:7" x14ac:dyDescent="0.25">
      <c r="A995" t="s">
        <v>6</v>
      </c>
      <c r="B995" s="1">
        <v>46078</v>
      </c>
      <c r="C995" t="s">
        <v>947</v>
      </c>
      <c r="D995">
        <v>-16.45</v>
      </c>
      <c r="E995" t="s">
        <v>14</v>
      </c>
      <c r="F995">
        <v>17093.57</v>
      </c>
      <c r="G995" t="str" cm="1">
        <f t="array" ref="G995">IF(AND(ISNUMBER(SEARCH("UBER",C995)),ISNUMBER(SEARCH("EATS",C995))),"Uber Eats",IF(LEFT(C995,6)="CHECK ","Checks Paid",IF(OR(E995="BILLPAY",ISNUMBER(SEARCH("FRANCHISE TAX",C995)),ISNUMBER(SEARCH("NEXTLINK",C995))),"Personal - House Bills",IF(AND(ISNUMBER(SEARCH("PAYMENT FROM",C995)),ISNUMBER(SEARCH("JOE SAUNDERS",C995))),"Zelle from Joe Saunders",IF(AND(ISNUMBER(SEARCH("PAYMENT TO",C995)),ISNUMBER(SEARCH("JOE SAUNDERS",C995))),"Zelle to Joe Saunders",IF(OR(ISNUMBER(SEARCH("NEW ORLEANS",C995)),ISNUMBER(SEARCH("KENNER",C995)),ISNUMBER(SEARCH("HENRY HOWARD",C995)),ISNUMBER(SEARCH("MISS CLAUDIA",C995))),"Personal Travel - New Orleans",IFERROR(INDEX('Category Rules'!$B$2:$B$194,MATCH(TRUE,ISNUMBER(SEARCH('Category Rules'!$A$2:$A$194,C995)),0)),"")))))))</f>
        <v>Amazon</v>
      </c>
    </row>
    <row r="996" spans="1:7" x14ac:dyDescent="0.25">
      <c r="A996" t="s">
        <v>6</v>
      </c>
      <c r="B996" s="1">
        <v>46078</v>
      </c>
      <c r="C996" t="s">
        <v>948</v>
      </c>
      <c r="D996">
        <v>-40</v>
      </c>
      <c r="E996" t="s">
        <v>14</v>
      </c>
      <c r="F996">
        <v>17110.02</v>
      </c>
      <c r="G996" t="str" cm="1">
        <f t="array" ref="G996">IF(AND(ISNUMBER(SEARCH("UBER",C996)),ISNUMBER(SEARCH("EATS",C996))),"Uber Eats",IF(LEFT(C996,6)="CHECK ","Checks Paid",IF(OR(E996="BILLPAY",ISNUMBER(SEARCH("FRANCHISE TAX",C996)),ISNUMBER(SEARCH("NEXTLINK",C996))),"Personal - House Bills",IF(AND(ISNUMBER(SEARCH("PAYMENT FROM",C996)),ISNUMBER(SEARCH("JOE SAUNDERS",C996))),"Zelle from Joe Saunders",IF(AND(ISNUMBER(SEARCH("PAYMENT TO",C996)),ISNUMBER(SEARCH("JOE SAUNDERS",C996))),"Zelle to Joe Saunders",IF(OR(ISNUMBER(SEARCH("NEW ORLEANS",C996)),ISNUMBER(SEARCH("KENNER",C996)),ISNUMBER(SEARCH("HENRY HOWARD",C996)),ISNUMBER(SEARCH("MISS CLAUDIA",C996))),"Personal Travel - New Orleans",IFERROR(INDEX('Category Rules'!$B$2:$B$194,MATCH(TRUE,ISNUMBER(SEARCH('Category Rules'!$A$2:$A$194,C996)),0)),"")))))))</f>
        <v>Personal - Health</v>
      </c>
    </row>
    <row r="997" spans="1:7" x14ac:dyDescent="0.25">
      <c r="A997" t="s">
        <v>6</v>
      </c>
      <c r="B997" s="1">
        <v>46078</v>
      </c>
      <c r="C997" t="s">
        <v>949</v>
      </c>
      <c r="D997">
        <v>-555.02</v>
      </c>
      <c r="E997" t="s">
        <v>14</v>
      </c>
      <c r="F997">
        <v>17150.02</v>
      </c>
      <c r="G997" t="str" cm="1">
        <f t="array" ref="G997">IF(AND(ISNUMBER(SEARCH("UBER",C997)),ISNUMBER(SEARCH("EATS",C997))),"Uber Eats",IF(LEFT(C997,6)="CHECK ","Checks Paid",IF(OR(E997="BILLPAY",ISNUMBER(SEARCH("FRANCHISE TAX",C997)),ISNUMBER(SEARCH("NEXTLINK",C997))),"Personal - House Bills",IF(AND(ISNUMBER(SEARCH("PAYMENT FROM",C997)),ISNUMBER(SEARCH("JOE SAUNDERS",C997))),"Zelle from Joe Saunders",IF(AND(ISNUMBER(SEARCH("PAYMENT TO",C997)),ISNUMBER(SEARCH("JOE SAUNDERS",C997))),"Zelle to Joe Saunders",IF(OR(ISNUMBER(SEARCH("NEW ORLEANS",C997)),ISNUMBER(SEARCH("KENNER",C997)),ISNUMBER(SEARCH("HENRY HOWARD",C997)),ISNUMBER(SEARCH("MISS CLAUDIA",C997))),"Personal Travel - New Orleans",IFERROR(INDEX('Category Rules'!$B$2:$B$194,MATCH(TRUE,ISNUMBER(SEARCH('Category Rules'!$A$2:$A$194,C997)),0)),"")))))))</f>
        <v>AT&amp;T</v>
      </c>
    </row>
    <row r="998" spans="1:7" x14ac:dyDescent="0.25">
      <c r="A998" t="s">
        <v>6</v>
      </c>
      <c r="B998" s="1">
        <v>46078</v>
      </c>
      <c r="C998" t="s">
        <v>950</v>
      </c>
      <c r="D998">
        <v>-89.96</v>
      </c>
      <c r="E998" t="s">
        <v>14</v>
      </c>
      <c r="F998">
        <v>17705.04</v>
      </c>
      <c r="G998" t="str" cm="1">
        <f t="array" ref="G998">IF(AND(ISNUMBER(SEARCH("UBER",C998)),ISNUMBER(SEARCH("EATS",C998))),"Uber Eats",IF(LEFT(C998,6)="CHECK ","Checks Paid",IF(OR(E998="BILLPAY",ISNUMBER(SEARCH("FRANCHISE TAX",C998)),ISNUMBER(SEARCH("NEXTLINK",C998))),"Personal - House Bills",IF(AND(ISNUMBER(SEARCH("PAYMENT FROM",C998)),ISNUMBER(SEARCH("JOE SAUNDERS",C998))),"Zelle from Joe Saunders",IF(AND(ISNUMBER(SEARCH("PAYMENT TO",C998)),ISNUMBER(SEARCH("JOE SAUNDERS",C998))),"Zelle to Joe Saunders",IF(OR(ISNUMBER(SEARCH("NEW ORLEANS",C998)),ISNUMBER(SEARCH("KENNER",C998)),ISNUMBER(SEARCH("HENRY HOWARD",C998)),ISNUMBER(SEARCH("MISS CLAUDIA",C998))),"Personal Travel - New Orleans",IFERROR(INDEX('Category Rules'!$B$2:$B$194,MATCH(TRUE,ISNUMBER(SEARCH('Category Rules'!$A$2:$A$194,C998)),0)),"")))))))</f>
        <v>Amazon</v>
      </c>
    </row>
    <row r="999" spans="1:7" x14ac:dyDescent="0.25">
      <c r="A999" t="s">
        <v>6</v>
      </c>
      <c r="B999" s="1">
        <v>46078</v>
      </c>
      <c r="C999" t="s">
        <v>951</v>
      </c>
      <c r="D999">
        <v>-19.73</v>
      </c>
      <c r="E999" t="s">
        <v>14</v>
      </c>
      <c r="F999">
        <v>17795</v>
      </c>
      <c r="G999" t="str" cm="1">
        <f t="array" ref="G999">IF(AND(ISNUMBER(SEARCH("UBER",C999)),ISNUMBER(SEARCH("EATS",C999))),"Uber Eats",IF(LEFT(C999,6)="CHECK ","Checks Paid",IF(OR(E999="BILLPAY",ISNUMBER(SEARCH("FRANCHISE TAX",C999)),ISNUMBER(SEARCH("NEXTLINK",C999))),"Personal - House Bills",IF(AND(ISNUMBER(SEARCH("PAYMENT FROM",C999)),ISNUMBER(SEARCH("JOE SAUNDERS",C999))),"Zelle from Joe Saunders",IF(AND(ISNUMBER(SEARCH("PAYMENT TO",C999)),ISNUMBER(SEARCH("JOE SAUNDERS",C999))),"Zelle to Joe Saunders",IF(OR(ISNUMBER(SEARCH("NEW ORLEANS",C999)),ISNUMBER(SEARCH("KENNER",C999)),ISNUMBER(SEARCH("HENRY HOWARD",C999)),ISNUMBER(SEARCH("MISS CLAUDIA",C999))),"Personal Travel - New Orleans",IFERROR(INDEX('Category Rules'!$B$2:$B$194,MATCH(TRUE,ISNUMBER(SEARCH('Category Rules'!$A$2:$A$194,C999)),0)),"")))))))</f>
        <v>Amazon</v>
      </c>
    </row>
    <row r="1000" spans="1:7" x14ac:dyDescent="0.25">
      <c r="A1000" t="s">
        <v>6</v>
      </c>
      <c r="B1000" s="1">
        <v>46078</v>
      </c>
      <c r="C1000" t="s">
        <v>952</v>
      </c>
      <c r="D1000">
        <v>-73.39</v>
      </c>
      <c r="E1000" t="s">
        <v>14</v>
      </c>
      <c r="F1000">
        <v>17814.73</v>
      </c>
      <c r="G1000" t="str" cm="1">
        <f t="array" ref="G1000">IF(AND(ISNUMBER(SEARCH("UBER",C1000)),ISNUMBER(SEARCH("EATS",C1000))),"Uber Eats",IF(LEFT(C1000,6)="CHECK ","Checks Paid",IF(OR(E1000="BILLPAY",ISNUMBER(SEARCH("FRANCHISE TAX",C1000)),ISNUMBER(SEARCH("NEXTLINK",C1000))),"Personal - House Bills",IF(AND(ISNUMBER(SEARCH("PAYMENT FROM",C1000)),ISNUMBER(SEARCH("JOE SAUNDERS",C1000))),"Zelle from Joe Saunders",IF(AND(ISNUMBER(SEARCH("PAYMENT TO",C1000)),ISNUMBER(SEARCH("JOE SAUNDERS",C1000))),"Zelle to Joe Saunders",IF(OR(ISNUMBER(SEARCH("NEW ORLEANS",C1000)),ISNUMBER(SEARCH("KENNER",C1000)),ISNUMBER(SEARCH("HENRY HOWARD",C1000)),ISNUMBER(SEARCH("MISS CLAUDIA",C1000))),"Personal Travel - New Orleans",IFERROR(INDEX('Category Rules'!$B$2:$B$194,MATCH(TRUE,ISNUMBER(SEARCH('Category Rules'!$A$2:$A$194,C1000)),0)),"")))))))</f>
        <v>Amazon</v>
      </c>
    </row>
    <row r="1001" spans="1:7" x14ac:dyDescent="0.25">
      <c r="A1001" t="s">
        <v>37</v>
      </c>
      <c r="B1001" s="1">
        <v>46078</v>
      </c>
      <c r="C1001" t="s">
        <v>953</v>
      </c>
      <c r="D1001">
        <v>10000</v>
      </c>
      <c r="E1001" t="s">
        <v>39</v>
      </c>
      <c r="F1001">
        <v>17888.12</v>
      </c>
      <c r="G1001" t="str" cm="1">
        <f t="array" ref="G1001">IF(AND(ISNUMBER(SEARCH("UBER",C1001)),ISNUMBER(SEARCH("EATS",C1001))),"Uber Eats",IF(LEFT(C1001,6)="CHECK ","Checks Paid",IF(OR(E1001="BILLPAY",ISNUMBER(SEARCH("FRANCHISE TAX",C1001)),ISNUMBER(SEARCH("NEXTLINK",C1001))),"Personal - House Bills",IF(AND(ISNUMBER(SEARCH("PAYMENT FROM",C1001)),ISNUMBER(SEARCH("JOE SAUNDERS",C1001))),"Zelle from Joe Saunders",IF(AND(ISNUMBER(SEARCH("PAYMENT TO",C1001)),ISNUMBER(SEARCH("JOE SAUNDERS",C1001))),"Zelle to Joe Saunders",IF(OR(ISNUMBER(SEARCH("NEW ORLEANS",C1001)),ISNUMBER(SEARCH("KENNER",C1001)),ISNUMBER(SEARCH("HENRY HOWARD",C1001)),ISNUMBER(SEARCH("MISS CLAUDIA",C1001))),"Personal Travel - New Orleans",IFERROR(INDEX('Category Rules'!$B$2:$B$194,MATCH(TRUE,ISNUMBER(SEARCH('Category Rules'!$A$2:$A$194,C1001)),0)),"")))))))</f>
        <v>Transfer from Poseidon Asset Group</v>
      </c>
    </row>
    <row r="1002" spans="1:7" x14ac:dyDescent="0.25">
      <c r="A1002" t="s">
        <v>25</v>
      </c>
      <c r="B1002" s="1">
        <v>46078</v>
      </c>
      <c r="C1002" t="s">
        <v>954</v>
      </c>
      <c r="D1002">
        <v>57.2</v>
      </c>
      <c r="E1002" t="s">
        <v>27</v>
      </c>
      <c r="F1002">
        <v>7888.12</v>
      </c>
      <c r="G1002" t="str" cm="1">
        <f t="array" ref="G1002">IF(AND(ISNUMBER(SEARCH("UBER",C1002)),ISNUMBER(SEARCH("EATS",C1002))),"Uber Eats",IF(LEFT(C1002,6)="CHECK ","Checks Paid",IF(OR(E1002="BILLPAY",ISNUMBER(SEARCH("FRANCHISE TAX",C1002)),ISNUMBER(SEARCH("NEXTLINK",C1002))),"Personal - House Bills",IF(AND(ISNUMBER(SEARCH("PAYMENT FROM",C1002)),ISNUMBER(SEARCH("JOE SAUNDERS",C1002))),"Zelle from Joe Saunders",IF(AND(ISNUMBER(SEARCH("PAYMENT TO",C1002)),ISNUMBER(SEARCH("JOE SAUNDERS",C1002))),"Zelle to Joe Saunders",IF(OR(ISNUMBER(SEARCH("NEW ORLEANS",C1002)),ISNUMBER(SEARCH("KENNER",C1002)),ISNUMBER(SEARCH("HENRY HOWARD",C1002)),ISNUMBER(SEARCH("MISS CLAUDIA",C1002))),"Personal Travel - New Orleans",IFERROR(INDEX('Category Rules'!$B$2:$B$194,MATCH(TRUE,ISNUMBER(SEARCH('Category Rules'!$A$2:$A$194,C1002)),0)),"")))))))</f>
        <v>Deposit</v>
      </c>
    </row>
    <row r="1003" spans="1:7" x14ac:dyDescent="0.25">
      <c r="A1003" t="s">
        <v>25</v>
      </c>
      <c r="B1003" s="1">
        <v>46078</v>
      </c>
      <c r="C1003" t="s">
        <v>955</v>
      </c>
      <c r="D1003">
        <v>1225</v>
      </c>
      <c r="E1003" t="s">
        <v>27</v>
      </c>
      <c r="F1003">
        <v>7830.92</v>
      </c>
      <c r="G1003" t="str" cm="1">
        <f t="array" ref="G1003">IF(AND(ISNUMBER(SEARCH("UBER",C1003)),ISNUMBER(SEARCH("EATS",C1003))),"Uber Eats",IF(LEFT(C1003,6)="CHECK ","Checks Paid",IF(OR(E1003="BILLPAY",ISNUMBER(SEARCH("FRANCHISE TAX",C1003)),ISNUMBER(SEARCH("NEXTLINK",C1003))),"Personal - House Bills",IF(AND(ISNUMBER(SEARCH("PAYMENT FROM",C1003)),ISNUMBER(SEARCH("JOE SAUNDERS",C1003))),"Zelle from Joe Saunders",IF(AND(ISNUMBER(SEARCH("PAYMENT TO",C1003)),ISNUMBER(SEARCH("JOE SAUNDERS",C1003))),"Zelle to Joe Saunders",IF(OR(ISNUMBER(SEARCH("NEW ORLEANS",C1003)),ISNUMBER(SEARCH("KENNER",C1003)),ISNUMBER(SEARCH("HENRY HOWARD",C1003)),ISNUMBER(SEARCH("MISS CLAUDIA",C1003))),"Personal Travel - New Orleans",IFERROR(INDEX('Category Rules'!$B$2:$B$194,MATCH(TRUE,ISNUMBER(SEARCH('Category Rules'!$A$2:$A$194,C1003)),0)),"")))))))</f>
        <v>Deposit</v>
      </c>
    </row>
    <row r="1004" spans="1:7" x14ac:dyDescent="0.25">
      <c r="A1004" t="s">
        <v>6</v>
      </c>
      <c r="B1004" s="1">
        <v>46077</v>
      </c>
      <c r="C1004" t="s">
        <v>956</v>
      </c>
      <c r="D1004">
        <v>-100</v>
      </c>
      <c r="E1004" t="s">
        <v>39</v>
      </c>
      <c r="F1004">
        <v>6605.92</v>
      </c>
      <c r="G1004" t="str" cm="1">
        <f t="array" ref="G1004">IF(AND(ISNUMBER(SEARCH("UBER",C1004)),ISNUMBER(SEARCH("EATS",C1004))),"Uber Eats",IF(LEFT(C1004,6)="CHECK ","Checks Paid",IF(OR(E1004="BILLPAY",ISNUMBER(SEARCH("FRANCHISE TAX",C1004)),ISNUMBER(SEARCH("NEXTLINK",C1004))),"Personal - House Bills",IF(AND(ISNUMBER(SEARCH("PAYMENT FROM",C1004)),ISNUMBER(SEARCH("JOE SAUNDERS",C1004))),"Zelle from Joe Saunders",IF(AND(ISNUMBER(SEARCH("PAYMENT TO",C1004)),ISNUMBER(SEARCH("JOE SAUNDERS",C1004))),"Zelle to Joe Saunders",IF(OR(ISNUMBER(SEARCH("NEW ORLEANS",C1004)),ISNUMBER(SEARCH("KENNER",C1004)),ISNUMBER(SEARCH("HENRY HOWARD",C1004)),ISNUMBER(SEARCH("MISS CLAUDIA",C1004))),"Personal Travel - New Orleans",IFERROR(INDEX('Category Rules'!$B$2:$B$194,MATCH(TRUE,ISNUMBER(SEARCH('Category Rules'!$A$2:$A$194,C1004)),0)),"")))))))</f>
        <v>Transfer to Ava</v>
      </c>
    </row>
    <row r="1005" spans="1:7" x14ac:dyDescent="0.25">
      <c r="A1005" t="s">
        <v>6</v>
      </c>
      <c r="B1005" s="1">
        <v>46077</v>
      </c>
      <c r="C1005" t="s">
        <v>957</v>
      </c>
      <c r="D1005">
        <v>-1136.6600000000001</v>
      </c>
      <c r="E1005" t="s">
        <v>14</v>
      </c>
      <c r="F1005">
        <v>6705.92</v>
      </c>
      <c r="G1005" t="str" cm="1">
        <f t="array" ref="G1005">IF(AND(ISNUMBER(SEARCH("UBER",C1005)),ISNUMBER(SEARCH("EATS",C1005))),"Uber Eats",IF(LEFT(C1005,6)="CHECK ","Checks Paid",IF(OR(E1005="BILLPAY",ISNUMBER(SEARCH("FRANCHISE TAX",C1005)),ISNUMBER(SEARCH("NEXTLINK",C1005))),"Personal - House Bills",IF(AND(ISNUMBER(SEARCH("PAYMENT FROM",C1005)),ISNUMBER(SEARCH("JOE SAUNDERS",C1005))),"Zelle from Joe Saunders",IF(AND(ISNUMBER(SEARCH("PAYMENT TO",C1005)),ISNUMBER(SEARCH("JOE SAUNDERS",C1005))),"Zelle to Joe Saunders",IF(OR(ISNUMBER(SEARCH("NEW ORLEANS",C1005)),ISNUMBER(SEARCH("KENNER",C1005)),ISNUMBER(SEARCH("HENRY HOWARD",C1005)),ISNUMBER(SEARCH("MISS CLAUDIA",C1005))),"Personal Travel - New Orleans",IFERROR(INDEX('Category Rules'!$B$2:$B$194,MATCH(TRUE,ISNUMBER(SEARCH('Category Rules'!$A$2:$A$194,C1005)),0)),"")))))))</f>
        <v>Personal Travel</v>
      </c>
    </row>
    <row r="1006" spans="1:7" x14ac:dyDescent="0.25">
      <c r="A1006" t="s">
        <v>6</v>
      </c>
      <c r="B1006" s="1">
        <v>46077</v>
      </c>
      <c r="C1006" t="s">
        <v>958</v>
      </c>
      <c r="D1006">
        <v>-100.94</v>
      </c>
      <c r="E1006" t="s">
        <v>14</v>
      </c>
      <c r="F1006">
        <v>7842.58</v>
      </c>
      <c r="G1006" t="str" cm="1">
        <f t="array" ref="G1006">IF(AND(ISNUMBER(SEARCH("UBER",C1006)),ISNUMBER(SEARCH("EATS",C1006))),"Uber Eats",IF(LEFT(C1006,6)="CHECK ","Checks Paid",IF(OR(E1006="BILLPAY",ISNUMBER(SEARCH("FRANCHISE TAX",C1006)),ISNUMBER(SEARCH("NEXTLINK",C1006))),"Personal - House Bills",IF(AND(ISNUMBER(SEARCH("PAYMENT FROM",C1006)),ISNUMBER(SEARCH("JOE SAUNDERS",C1006))),"Zelle from Joe Saunders",IF(AND(ISNUMBER(SEARCH("PAYMENT TO",C1006)),ISNUMBER(SEARCH("JOE SAUNDERS",C1006))),"Zelle to Joe Saunders",IF(OR(ISNUMBER(SEARCH("NEW ORLEANS",C1006)),ISNUMBER(SEARCH("KENNER",C1006)),ISNUMBER(SEARCH("HENRY HOWARD",C1006)),ISNUMBER(SEARCH("MISS CLAUDIA",C1006))),"Personal Travel - New Orleans",IFERROR(INDEX('Category Rules'!$B$2:$B$194,MATCH(TRUE,ISNUMBER(SEARCH('Category Rules'!$A$2:$A$194,C1006)),0)),"")))))))</f>
        <v>Amazon</v>
      </c>
    </row>
    <row r="1007" spans="1:7" x14ac:dyDescent="0.25">
      <c r="A1007" t="s">
        <v>6</v>
      </c>
      <c r="B1007" s="1">
        <v>46077</v>
      </c>
      <c r="C1007" t="s">
        <v>959</v>
      </c>
      <c r="D1007">
        <v>-21.95</v>
      </c>
      <c r="E1007" t="s">
        <v>14</v>
      </c>
      <c r="F1007">
        <v>7943.52</v>
      </c>
      <c r="G1007" t="str" cm="1">
        <f t="array" ref="G1007">IF(AND(ISNUMBER(SEARCH("UBER",C1007)),ISNUMBER(SEARCH("EATS",C1007))),"Uber Eats",IF(LEFT(C1007,6)="CHECK ","Checks Paid",IF(OR(E1007="BILLPAY",ISNUMBER(SEARCH("FRANCHISE TAX",C1007)),ISNUMBER(SEARCH("NEXTLINK",C1007))),"Personal - House Bills",IF(AND(ISNUMBER(SEARCH("PAYMENT FROM",C1007)),ISNUMBER(SEARCH("JOE SAUNDERS",C1007))),"Zelle from Joe Saunders",IF(AND(ISNUMBER(SEARCH("PAYMENT TO",C1007)),ISNUMBER(SEARCH("JOE SAUNDERS",C1007))),"Zelle to Joe Saunders",IF(OR(ISNUMBER(SEARCH("NEW ORLEANS",C1007)),ISNUMBER(SEARCH("KENNER",C1007)),ISNUMBER(SEARCH("HENRY HOWARD",C1007)),ISNUMBER(SEARCH("MISS CLAUDIA",C1007))),"Personal Travel - New Orleans",IFERROR(INDEX('Category Rules'!$B$2:$B$194,MATCH(TRUE,ISNUMBER(SEARCH('Category Rules'!$A$2:$A$194,C1007)),0)),"")))))))</f>
        <v>Amazon</v>
      </c>
    </row>
    <row r="1008" spans="1:7" x14ac:dyDescent="0.25">
      <c r="A1008" t="s">
        <v>6</v>
      </c>
      <c r="B1008" s="1">
        <v>46077</v>
      </c>
      <c r="C1008" t="s">
        <v>960</v>
      </c>
      <c r="D1008">
        <v>-20</v>
      </c>
      <c r="E1008" t="s">
        <v>14</v>
      </c>
      <c r="F1008">
        <v>7965.47</v>
      </c>
      <c r="G1008" t="str" cm="1">
        <f t="array" ref="G1008">IF(AND(ISNUMBER(SEARCH("UBER",C1008)),ISNUMBER(SEARCH("EATS",C1008))),"Uber Eats",IF(LEFT(C1008,6)="CHECK ","Checks Paid",IF(OR(E1008="BILLPAY",ISNUMBER(SEARCH("FRANCHISE TAX",C1008)),ISNUMBER(SEARCH("NEXTLINK",C1008))),"Personal - House Bills",IF(AND(ISNUMBER(SEARCH("PAYMENT FROM",C1008)),ISNUMBER(SEARCH("JOE SAUNDERS",C1008))),"Zelle from Joe Saunders",IF(AND(ISNUMBER(SEARCH("PAYMENT TO",C1008)),ISNUMBER(SEARCH("JOE SAUNDERS",C1008))),"Zelle to Joe Saunders",IF(OR(ISNUMBER(SEARCH("NEW ORLEANS",C1008)),ISNUMBER(SEARCH("KENNER",C1008)),ISNUMBER(SEARCH("HENRY HOWARD",C1008)),ISNUMBER(SEARCH("MISS CLAUDIA",C1008))),"Personal Travel - New Orleans",IFERROR(INDEX('Category Rules'!$B$2:$B$194,MATCH(TRUE,ISNUMBER(SEARCH('Category Rules'!$A$2:$A$194,C1008)),0)),"")))))))</f>
        <v>Amazon</v>
      </c>
    </row>
    <row r="1009" spans="1:7" x14ac:dyDescent="0.25">
      <c r="A1009" t="s">
        <v>6</v>
      </c>
      <c r="B1009" s="1">
        <v>46077</v>
      </c>
      <c r="C1009" t="s">
        <v>961</v>
      </c>
      <c r="D1009">
        <v>-10.99</v>
      </c>
      <c r="E1009" t="s">
        <v>14</v>
      </c>
      <c r="F1009">
        <v>7985.47</v>
      </c>
      <c r="G1009" t="str" cm="1">
        <f t="array" ref="G1009">IF(AND(ISNUMBER(SEARCH("UBER",C1009)),ISNUMBER(SEARCH("EATS",C1009))),"Uber Eats",IF(LEFT(C1009,6)="CHECK ","Checks Paid",IF(OR(E1009="BILLPAY",ISNUMBER(SEARCH("FRANCHISE TAX",C1009)),ISNUMBER(SEARCH("NEXTLINK",C1009))),"Personal - House Bills",IF(AND(ISNUMBER(SEARCH("PAYMENT FROM",C1009)),ISNUMBER(SEARCH("JOE SAUNDERS",C1009))),"Zelle from Joe Saunders",IF(AND(ISNUMBER(SEARCH("PAYMENT TO",C1009)),ISNUMBER(SEARCH("JOE SAUNDERS",C1009))),"Zelle to Joe Saunders",IF(OR(ISNUMBER(SEARCH("NEW ORLEANS",C1009)),ISNUMBER(SEARCH("KENNER",C1009)),ISNUMBER(SEARCH("HENRY HOWARD",C1009)),ISNUMBER(SEARCH("MISS CLAUDIA",C1009))),"Personal Travel - New Orleans",IFERROR(INDEX('Category Rules'!$B$2:$B$194,MATCH(TRUE,ISNUMBER(SEARCH('Category Rules'!$A$2:$A$194,C1009)),0)),"")))))))</f>
        <v>Apple</v>
      </c>
    </row>
    <row r="1010" spans="1:7" x14ac:dyDescent="0.25">
      <c r="A1010" t="s">
        <v>6</v>
      </c>
      <c r="B1010" s="1">
        <v>46077</v>
      </c>
      <c r="C1010" t="s">
        <v>962</v>
      </c>
      <c r="D1010">
        <v>-69.739999999999995</v>
      </c>
      <c r="E1010" t="s">
        <v>14</v>
      </c>
      <c r="F1010">
        <v>7996.46</v>
      </c>
      <c r="G1010" t="str" cm="1">
        <f t="array" ref="G1010">IF(AND(ISNUMBER(SEARCH("UBER",C1010)),ISNUMBER(SEARCH("EATS",C1010))),"Uber Eats",IF(LEFT(C1010,6)="CHECK ","Checks Paid",IF(OR(E1010="BILLPAY",ISNUMBER(SEARCH("FRANCHISE TAX",C1010)),ISNUMBER(SEARCH("NEXTLINK",C1010))),"Personal - House Bills",IF(AND(ISNUMBER(SEARCH("PAYMENT FROM",C1010)),ISNUMBER(SEARCH("JOE SAUNDERS",C1010))),"Zelle from Joe Saunders",IF(AND(ISNUMBER(SEARCH("PAYMENT TO",C1010)),ISNUMBER(SEARCH("JOE SAUNDERS",C1010))),"Zelle to Joe Saunders",IF(OR(ISNUMBER(SEARCH("NEW ORLEANS",C1010)),ISNUMBER(SEARCH("KENNER",C1010)),ISNUMBER(SEARCH("HENRY HOWARD",C1010)),ISNUMBER(SEARCH("MISS CLAUDIA",C1010))),"Personal Travel - New Orleans",IFERROR(INDEX('Category Rules'!$B$2:$B$194,MATCH(TRUE,ISNUMBER(SEARCH('Category Rules'!$A$2:$A$194,C1010)),0)),"")))))))</f>
        <v>Amazon</v>
      </c>
    </row>
    <row r="1011" spans="1:7" x14ac:dyDescent="0.25">
      <c r="A1011" t="s">
        <v>6</v>
      </c>
      <c r="B1011" s="1">
        <v>46077</v>
      </c>
      <c r="C1011" t="s">
        <v>963</v>
      </c>
      <c r="D1011">
        <v>-37.06</v>
      </c>
      <c r="E1011" t="s">
        <v>14</v>
      </c>
      <c r="F1011">
        <v>8066.2</v>
      </c>
      <c r="G1011" t="str" cm="1">
        <f t="array" ref="G1011">IF(AND(ISNUMBER(SEARCH("UBER",C1011)),ISNUMBER(SEARCH("EATS",C1011))),"Uber Eats",IF(LEFT(C1011,6)="CHECK ","Checks Paid",IF(OR(E1011="BILLPAY",ISNUMBER(SEARCH("FRANCHISE TAX",C1011)),ISNUMBER(SEARCH("NEXTLINK",C1011))),"Personal - House Bills",IF(AND(ISNUMBER(SEARCH("PAYMENT FROM",C1011)),ISNUMBER(SEARCH("JOE SAUNDERS",C1011))),"Zelle from Joe Saunders",IF(AND(ISNUMBER(SEARCH("PAYMENT TO",C1011)),ISNUMBER(SEARCH("JOE SAUNDERS",C1011))),"Zelle to Joe Saunders",IF(OR(ISNUMBER(SEARCH("NEW ORLEANS",C1011)),ISNUMBER(SEARCH("KENNER",C1011)),ISNUMBER(SEARCH("HENRY HOWARD",C1011)),ISNUMBER(SEARCH("MISS CLAUDIA",C1011))),"Personal Travel - New Orleans",IFERROR(INDEX('Category Rules'!$B$2:$B$194,MATCH(TRUE,ISNUMBER(SEARCH('Category Rules'!$A$2:$A$194,C1011)),0)),"")))))))</f>
        <v>Amazon</v>
      </c>
    </row>
    <row r="1012" spans="1:7" x14ac:dyDescent="0.25">
      <c r="A1012" t="s">
        <v>6</v>
      </c>
      <c r="B1012" s="1">
        <v>46077</v>
      </c>
      <c r="C1012" t="s">
        <v>964</v>
      </c>
      <c r="D1012">
        <v>-85.58</v>
      </c>
      <c r="E1012" t="s">
        <v>14</v>
      </c>
      <c r="F1012">
        <v>8103.26</v>
      </c>
      <c r="G1012" t="str" cm="1">
        <f t="array" ref="G1012">IF(AND(ISNUMBER(SEARCH("UBER",C1012)),ISNUMBER(SEARCH("EATS",C1012))),"Uber Eats",IF(LEFT(C1012,6)="CHECK ","Checks Paid",IF(OR(E1012="BILLPAY",ISNUMBER(SEARCH("FRANCHISE TAX",C1012)),ISNUMBER(SEARCH("NEXTLINK",C1012))),"Personal - House Bills",IF(AND(ISNUMBER(SEARCH("PAYMENT FROM",C1012)),ISNUMBER(SEARCH("JOE SAUNDERS",C1012))),"Zelle from Joe Saunders",IF(AND(ISNUMBER(SEARCH("PAYMENT TO",C1012)),ISNUMBER(SEARCH("JOE SAUNDERS",C1012))),"Zelle to Joe Saunders",IF(OR(ISNUMBER(SEARCH("NEW ORLEANS",C1012)),ISNUMBER(SEARCH("KENNER",C1012)),ISNUMBER(SEARCH("HENRY HOWARD",C1012)),ISNUMBER(SEARCH("MISS CLAUDIA",C1012))),"Personal Travel - New Orleans",IFERROR(INDEX('Category Rules'!$B$2:$B$194,MATCH(TRUE,ISNUMBER(SEARCH('Category Rules'!$A$2:$A$194,C1012)),0)),"")))))))</f>
        <v>Amazon</v>
      </c>
    </row>
    <row r="1013" spans="1:7" x14ac:dyDescent="0.25">
      <c r="A1013" t="s">
        <v>6</v>
      </c>
      <c r="B1013" s="1">
        <v>46077</v>
      </c>
      <c r="C1013" t="s">
        <v>965</v>
      </c>
      <c r="D1013">
        <v>-174.47</v>
      </c>
      <c r="E1013" t="s">
        <v>14</v>
      </c>
      <c r="F1013">
        <v>8188.84</v>
      </c>
      <c r="G1013" t="str" cm="1">
        <f t="array" ref="G1013">IF(AND(ISNUMBER(SEARCH("UBER",C1013)),ISNUMBER(SEARCH("EATS",C1013))),"Uber Eats",IF(LEFT(C1013,6)="CHECK ","Checks Paid",IF(OR(E1013="BILLPAY",ISNUMBER(SEARCH("FRANCHISE TAX",C1013)),ISNUMBER(SEARCH("NEXTLINK",C1013))),"Personal - House Bills",IF(AND(ISNUMBER(SEARCH("PAYMENT FROM",C1013)),ISNUMBER(SEARCH("JOE SAUNDERS",C1013))),"Zelle from Joe Saunders",IF(AND(ISNUMBER(SEARCH("PAYMENT TO",C1013)),ISNUMBER(SEARCH("JOE SAUNDERS",C1013))),"Zelle to Joe Saunders",IF(OR(ISNUMBER(SEARCH("NEW ORLEANS",C1013)),ISNUMBER(SEARCH("KENNER",C1013)),ISNUMBER(SEARCH("HENRY HOWARD",C1013)),ISNUMBER(SEARCH("MISS CLAUDIA",C1013))),"Personal Travel - New Orleans",IFERROR(INDEX('Category Rules'!$B$2:$B$194,MATCH(TRUE,ISNUMBER(SEARCH('Category Rules'!$A$2:$A$194,C1013)),0)),"")))))))</f>
        <v>Amazon</v>
      </c>
    </row>
    <row r="1014" spans="1:7" x14ac:dyDescent="0.25">
      <c r="A1014" t="s">
        <v>6</v>
      </c>
      <c r="B1014" s="1">
        <v>46077</v>
      </c>
      <c r="C1014" t="s">
        <v>966</v>
      </c>
      <c r="D1014">
        <v>31.77</v>
      </c>
      <c r="E1014" t="s">
        <v>14</v>
      </c>
      <c r="F1014">
        <v>8363.31</v>
      </c>
      <c r="G1014" t="str" cm="1">
        <f t="array" ref="G1014">IF(AND(ISNUMBER(SEARCH("UBER",C1014)),ISNUMBER(SEARCH("EATS",C1014))),"Uber Eats",IF(LEFT(C1014,6)="CHECK ","Checks Paid",IF(OR(E1014="BILLPAY",ISNUMBER(SEARCH("FRANCHISE TAX",C1014)),ISNUMBER(SEARCH("NEXTLINK",C1014))),"Personal - House Bills",IF(AND(ISNUMBER(SEARCH("PAYMENT FROM",C1014)),ISNUMBER(SEARCH("JOE SAUNDERS",C1014))),"Zelle from Joe Saunders",IF(AND(ISNUMBER(SEARCH("PAYMENT TO",C1014)),ISNUMBER(SEARCH("JOE SAUNDERS",C1014))),"Zelle to Joe Saunders",IF(OR(ISNUMBER(SEARCH("NEW ORLEANS",C1014)),ISNUMBER(SEARCH("KENNER",C1014)),ISNUMBER(SEARCH("HENRY HOWARD",C1014)),ISNUMBER(SEARCH("MISS CLAUDIA",C1014))),"Personal Travel - New Orleans",IFERROR(INDEX('Category Rules'!$B$2:$B$194,MATCH(TRUE,ISNUMBER(SEARCH('Category Rules'!$A$2:$A$194,C1014)),0)),"")))))))</f>
        <v>Amazon</v>
      </c>
    </row>
    <row r="1015" spans="1:7" x14ac:dyDescent="0.25">
      <c r="A1015" t="s">
        <v>6</v>
      </c>
      <c r="B1015" s="1">
        <v>46076</v>
      </c>
      <c r="C1015" t="s">
        <v>967</v>
      </c>
      <c r="D1015">
        <v>-279.99</v>
      </c>
      <c r="E1015" t="s">
        <v>14</v>
      </c>
      <c r="F1015">
        <v>8331.5400000000009</v>
      </c>
      <c r="G1015" t="str" cm="1">
        <f t="array" ref="G1015">IF(AND(ISNUMBER(SEARCH("UBER",C1015)),ISNUMBER(SEARCH("EATS",C1015))),"Uber Eats",IF(LEFT(C1015,6)="CHECK ","Checks Paid",IF(OR(E1015="BILLPAY",ISNUMBER(SEARCH("FRANCHISE TAX",C1015)),ISNUMBER(SEARCH("NEXTLINK",C1015))),"Personal - House Bills",IF(AND(ISNUMBER(SEARCH("PAYMENT FROM",C1015)),ISNUMBER(SEARCH("JOE SAUNDERS",C1015))),"Zelle from Joe Saunders",IF(AND(ISNUMBER(SEARCH("PAYMENT TO",C1015)),ISNUMBER(SEARCH("JOE SAUNDERS",C1015))),"Zelle to Joe Saunders",IF(OR(ISNUMBER(SEARCH("NEW ORLEANS",C1015)),ISNUMBER(SEARCH("KENNER",C1015)),ISNUMBER(SEARCH("HENRY HOWARD",C1015)),ISNUMBER(SEARCH("MISS CLAUDIA",C1015))),"Personal Travel - New Orleans",IFERROR(INDEX('Category Rules'!$B$2:$B$194,MATCH(TRUE,ISNUMBER(SEARCH('Category Rules'!$A$2:$A$194,C1015)),0)),"")))))))</f>
        <v>Personal - Subscription</v>
      </c>
    </row>
    <row r="1016" spans="1:7" x14ac:dyDescent="0.25">
      <c r="A1016" t="s">
        <v>6</v>
      </c>
      <c r="B1016" s="1">
        <v>46076</v>
      </c>
      <c r="C1016" t="s">
        <v>968</v>
      </c>
      <c r="D1016">
        <v>-257.04000000000002</v>
      </c>
      <c r="E1016" t="s">
        <v>14</v>
      </c>
      <c r="F1016">
        <v>8611.5300000000007</v>
      </c>
      <c r="G1016" t="str" cm="1">
        <f t="array" ref="G1016">IF(AND(ISNUMBER(SEARCH("UBER",C1016)),ISNUMBER(SEARCH("EATS",C1016))),"Uber Eats",IF(LEFT(C1016,6)="CHECK ","Checks Paid",IF(OR(E1016="BILLPAY",ISNUMBER(SEARCH("FRANCHISE TAX",C1016)),ISNUMBER(SEARCH("NEXTLINK",C1016))),"Personal - House Bills",IF(AND(ISNUMBER(SEARCH("PAYMENT FROM",C1016)),ISNUMBER(SEARCH("JOE SAUNDERS",C1016))),"Zelle from Joe Saunders",IF(AND(ISNUMBER(SEARCH("PAYMENT TO",C1016)),ISNUMBER(SEARCH("JOE SAUNDERS",C1016))),"Zelle to Joe Saunders",IF(OR(ISNUMBER(SEARCH("NEW ORLEANS",C1016)),ISNUMBER(SEARCH("KENNER",C1016)),ISNUMBER(SEARCH("HENRY HOWARD",C1016)),ISNUMBER(SEARCH("MISS CLAUDIA",C1016))),"Personal Travel - New Orleans",IFERROR(INDEX('Category Rules'!$B$2:$B$194,MATCH(TRUE,ISNUMBER(SEARCH('Category Rules'!$A$2:$A$194,C1016)),0)),"")))))))</f>
        <v>Personal - Health</v>
      </c>
    </row>
    <row r="1017" spans="1:7" x14ac:dyDescent="0.25">
      <c r="A1017" t="s">
        <v>6</v>
      </c>
      <c r="B1017" s="1">
        <v>46076</v>
      </c>
      <c r="C1017" t="s">
        <v>969</v>
      </c>
      <c r="D1017">
        <v>-166.28</v>
      </c>
      <c r="E1017" t="s">
        <v>14</v>
      </c>
      <c r="F1017">
        <v>8868.57</v>
      </c>
      <c r="G1017" t="str" cm="1">
        <f t="array" ref="G1017">IF(AND(ISNUMBER(SEARCH("UBER",C1017)),ISNUMBER(SEARCH("EATS",C1017))),"Uber Eats",IF(LEFT(C1017,6)="CHECK ","Checks Paid",IF(OR(E1017="BILLPAY",ISNUMBER(SEARCH("FRANCHISE TAX",C1017)),ISNUMBER(SEARCH("NEXTLINK",C1017))),"Personal - House Bills",IF(AND(ISNUMBER(SEARCH("PAYMENT FROM",C1017)),ISNUMBER(SEARCH("JOE SAUNDERS",C1017))),"Zelle from Joe Saunders",IF(AND(ISNUMBER(SEARCH("PAYMENT TO",C1017)),ISNUMBER(SEARCH("JOE SAUNDERS",C1017))),"Zelle to Joe Saunders",IF(OR(ISNUMBER(SEARCH("NEW ORLEANS",C1017)),ISNUMBER(SEARCH("KENNER",C1017)),ISNUMBER(SEARCH("HENRY HOWARD",C1017)),ISNUMBER(SEARCH("MISS CLAUDIA",C1017))),"Personal Travel - New Orleans",IFERROR(INDEX('Category Rules'!$B$2:$B$194,MATCH(TRUE,ISNUMBER(SEARCH('Category Rules'!$A$2:$A$194,C1017)),0)),"")))))))</f>
        <v>Amazon</v>
      </c>
    </row>
    <row r="1018" spans="1:7" x14ac:dyDescent="0.25">
      <c r="A1018" t="s">
        <v>6</v>
      </c>
      <c r="B1018" s="1">
        <v>46076</v>
      </c>
      <c r="C1018" t="s">
        <v>970</v>
      </c>
      <c r="D1018">
        <v>-147.02000000000001</v>
      </c>
      <c r="E1018" t="s">
        <v>14</v>
      </c>
      <c r="F1018">
        <v>9034.85</v>
      </c>
      <c r="G1018" t="str" cm="1">
        <f t="array" ref="G1018">IF(AND(ISNUMBER(SEARCH("UBER",C1018)),ISNUMBER(SEARCH("EATS",C1018))),"Uber Eats",IF(LEFT(C1018,6)="CHECK ","Checks Paid",IF(OR(E1018="BILLPAY",ISNUMBER(SEARCH("FRANCHISE TAX",C1018)),ISNUMBER(SEARCH("NEXTLINK",C1018))),"Personal - House Bills",IF(AND(ISNUMBER(SEARCH("PAYMENT FROM",C1018)),ISNUMBER(SEARCH("JOE SAUNDERS",C1018))),"Zelle from Joe Saunders",IF(AND(ISNUMBER(SEARCH("PAYMENT TO",C1018)),ISNUMBER(SEARCH("JOE SAUNDERS",C1018))),"Zelle to Joe Saunders",IF(OR(ISNUMBER(SEARCH("NEW ORLEANS",C1018)),ISNUMBER(SEARCH("KENNER",C1018)),ISNUMBER(SEARCH("HENRY HOWARD",C1018)),ISNUMBER(SEARCH("MISS CLAUDIA",C1018))),"Personal Travel - New Orleans",IFERROR(INDEX('Category Rules'!$B$2:$B$194,MATCH(TRUE,ISNUMBER(SEARCH('Category Rules'!$A$2:$A$194,C1018)),0)),"")))))))</f>
        <v>Amazon</v>
      </c>
    </row>
    <row r="1019" spans="1:7" x14ac:dyDescent="0.25">
      <c r="A1019" t="s">
        <v>6</v>
      </c>
      <c r="B1019" s="1">
        <v>46076</v>
      </c>
      <c r="C1019" t="s">
        <v>971</v>
      </c>
      <c r="D1019">
        <v>-22.2</v>
      </c>
      <c r="E1019" t="s">
        <v>14</v>
      </c>
      <c r="F1019">
        <v>9181.8700000000008</v>
      </c>
      <c r="G1019" t="str" cm="1">
        <f t="array" ref="G1019">IF(AND(ISNUMBER(SEARCH("UBER",C1019)),ISNUMBER(SEARCH("EATS",C1019))),"Uber Eats",IF(LEFT(C1019,6)="CHECK ","Checks Paid",IF(OR(E1019="BILLPAY",ISNUMBER(SEARCH("FRANCHISE TAX",C1019)),ISNUMBER(SEARCH("NEXTLINK",C1019))),"Personal - House Bills",IF(AND(ISNUMBER(SEARCH("PAYMENT FROM",C1019)),ISNUMBER(SEARCH("JOE SAUNDERS",C1019))),"Zelle from Joe Saunders",IF(AND(ISNUMBER(SEARCH("PAYMENT TO",C1019)),ISNUMBER(SEARCH("JOE SAUNDERS",C1019))),"Zelle to Joe Saunders",IF(OR(ISNUMBER(SEARCH("NEW ORLEANS",C1019)),ISNUMBER(SEARCH("KENNER",C1019)),ISNUMBER(SEARCH("HENRY HOWARD",C1019)),ISNUMBER(SEARCH("MISS CLAUDIA",C1019))),"Personal Travel - New Orleans",IFERROR(INDEX('Category Rules'!$B$2:$B$194,MATCH(TRUE,ISNUMBER(SEARCH('Category Rules'!$A$2:$A$194,C1019)),0)),"")))))))</f>
        <v>Amazon</v>
      </c>
    </row>
    <row r="1020" spans="1:7" x14ac:dyDescent="0.25">
      <c r="A1020" t="s">
        <v>6</v>
      </c>
      <c r="B1020" s="1">
        <v>46076</v>
      </c>
      <c r="C1020" t="s">
        <v>972</v>
      </c>
      <c r="D1020">
        <v>-1149.96</v>
      </c>
      <c r="E1020" t="s">
        <v>14</v>
      </c>
      <c r="F1020">
        <v>9204.07</v>
      </c>
      <c r="G1020" t="str" cm="1">
        <f t="array" ref="G1020">IF(AND(ISNUMBER(SEARCH("UBER",C1020)),ISNUMBER(SEARCH("EATS",C1020))),"Uber Eats",IF(LEFT(C1020,6)="CHECK ","Checks Paid",IF(OR(E1020="BILLPAY",ISNUMBER(SEARCH("FRANCHISE TAX",C1020)),ISNUMBER(SEARCH("NEXTLINK",C1020))),"Personal - House Bills",IF(AND(ISNUMBER(SEARCH("PAYMENT FROM",C1020)),ISNUMBER(SEARCH("JOE SAUNDERS",C1020))),"Zelle from Joe Saunders",IF(AND(ISNUMBER(SEARCH("PAYMENT TO",C1020)),ISNUMBER(SEARCH("JOE SAUNDERS",C1020))),"Zelle to Joe Saunders",IF(OR(ISNUMBER(SEARCH("NEW ORLEANS",C1020)),ISNUMBER(SEARCH("KENNER",C1020)),ISNUMBER(SEARCH("HENRY HOWARD",C1020)),ISNUMBER(SEARCH("MISS CLAUDIA",C1020))),"Personal Travel - New Orleans",IFERROR(INDEX('Category Rules'!$B$2:$B$194,MATCH(TRUE,ISNUMBER(SEARCH('Category Rules'!$A$2:$A$194,C1020)),0)),"")))))))</f>
        <v>Personal - Health</v>
      </c>
    </row>
    <row r="1021" spans="1:7" x14ac:dyDescent="0.25">
      <c r="A1021" t="s">
        <v>6</v>
      </c>
      <c r="B1021" s="1">
        <v>46076</v>
      </c>
      <c r="C1021" t="s">
        <v>973</v>
      </c>
      <c r="D1021">
        <v>-333.29</v>
      </c>
      <c r="E1021" t="s">
        <v>14</v>
      </c>
      <c r="F1021">
        <v>10354.030000000001</v>
      </c>
      <c r="G1021" t="str" cm="1">
        <f t="array" ref="G1021">IF(AND(ISNUMBER(SEARCH("UBER",C1021)),ISNUMBER(SEARCH("EATS",C1021))),"Uber Eats",IF(LEFT(C1021,6)="CHECK ","Checks Paid",IF(OR(E1021="BILLPAY",ISNUMBER(SEARCH("FRANCHISE TAX",C1021)),ISNUMBER(SEARCH("NEXTLINK",C1021))),"Personal - House Bills",IF(AND(ISNUMBER(SEARCH("PAYMENT FROM",C1021)),ISNUMBER(SEARCH("JOE SAUNDERS",C1021))),"Zelle from Joe Saunders",IF(AND(ISNUMBER(SEARCH("PAYMENT TO",C1021)),ISNUMBER(SEARCH("JOE SAUNDERS",C1021))),"Zelle to Joe Saunders",IF(OR(ISNUMBER(SEARCH("NEW ORLEANS",C1021)),ISNUMBER(SEARCH("KENNER",C1021)),ISNUMBER(SEARCH("HENRY HOWARD",C1021)),ISNUMBER(SEARCH("MISS CLAUDIA",C1021))),"Personal Travel - New Orleans",IFERROR(INDEX('Category Rules'!$B$2:$B$194,MATCH(TRUE,ISNUMBER(SEARCH('Category Rules'!$A$2:$A$194,C1021)),0)),"")))))))</f>
        <v>Amazon</v>
      </c>
    </row>
    <row r="1022" spans="1:7" x14ac:dyDescent="0.25">
      <c r="A1022" t="s">
        <v>6</v>
      </c>
      <c r="B1022" s="1">
        <v>46076</v>
      </c>
      <c r="C1022" t="s">
        <v>974</v>
      </c>
      <c r="D1022">
        <v>-212.87</v>
      </c>
      <c r="E1022" t="s">
        <v>14</v>
      </c>
      <c r="F1022">
        <v>10687.32</v>
      </c>
      <c r="G1022" t="str" cm="1">
        <f t="array" ref="G1022">IF(AND(ISNUMBER(SEARCH("UBER",C1022)),ISNUMBER(SEARCH("EATS",C1022))),"Uber Eats",IF(LEFT(C1022,6)="CHECK ","Checks Paid",IF(OR(E1022="BILLPAY",ISNUMBER(SEARCH("FRANCHISE TAX",C1022)),ISNUMBER(SEARCH("NEXTLINK",C1022))),"Personal - House Bills",IF(AND(ISNUMBER(SEARCH("PAYMENT FROM",C1022)),ISNUMBER(SEARCH("JOE SAUNDERS",C1022))),"Zelle from Joe Saunders",IF(AND(ISNUMBER(SEARCH("PAYMENT TO",C1022)),ISNUMBER(SEARCH("JOE SAUNDERS",C1022))),"Zelle to Joe Saunders",IF(OR(ISNUMBER(SEARCH("NEW ORLEANS",C1022)),ISNUMBER(SEARCH("KENNER",C1022)),ISNUMBER(SEARCH("HENRY HOWARD",C1022)),ISNUMBER(SEARCH("MISS CLAUDIA",C1022))),"Personal Travel - New Orleans",IFERROR(INDEX('Category Rules'!$B$2:$B$194,MATCH(TRUE,ISNUMBER(SEARCH('Category Rules'!$A$2:$A$194,C1022)),0)),"")))))))</f>
        <v>Personal - House Bills</v>
      </c>
    </row>
    <row r="1023" spans="1:7" x14ac:dyDescent="0.25">
      <c r="A1023" t="s">
        <v>6</v>
      </c>
      <c r="B1023" s="1">
        <v>46076</v>
      </c>
      <c r="C1023" t="s">
        <v>975</v>
      </c>
      <c r="D1023">
        <v>-2439.3000000000002</v>
      </c>
      <c r="E1023" t="s">
        <v>14</v>
      </c>
      <c r="F1023">
        <v>10900.19</v>
      </c>
      <c r="G1023" t="str" cm="1">
        <f t="array" ref="G1023">IF(AND(ISNUMBER(SEARCH("UBER",C1023)),ISNUMBER(SEARCH("EATS",C1023))),"Uber Eats",IF(LEFT(C1023,6)="CHECK ","Checks Paid",IF(OR(E1023="BILLPAY",ISNUMBER(SEARCH("FRANCHISE TAX",C1023)),ISNUMBER(SEARCH("NEXTLINK",C1023))),"Personal - House Bills",IF(AND(ISNUMBER(SEARCH("PAYMENT FROM",C1023)),ISNUMBER(SEARCH("JOE SAUNDERS",C1023))),"Zelle from Joe Saunders",IF(AND(ISNUMBER(SEARCH("PAYMENT TO",C1023)),ISNUMBER(SEARCH("JOE SAUNDERS",C1023))),"Zelle to Joe Saunders",IF(OR(ISNUMBER(SEARCH("NEW ORLEANS",C1023)),ISNUMBER(SEARCH("KENNER",C1023)),ISNUMBER(SEARCH("HENRY HOWARD",C1023)),ISNUMBER(SEARCH("MISS CLAUDIA",C1023))),"Personal Travel - New Orleans",IFERROR(INDEX('Category Rules'!$B$2:$B$194,MATCH(TRUE,ISNUMBER(SEARCH('Category Rules'!$A$2:$A$194,C1023)),0)),"")))))))</f>
        <v>Personal Travel</v>
      </c>
    </row>
    <row r="1024" spans="1:7" x14ac:dyDescent="0.25">
      <c r="A1024" t="s">
        <v>6</v>
      </c>
      <c r="B1024" s="1">
        <v>46076</v>
      </c>
      <c r="C1024" t="s">
        <v>976</v>
      </c>
      <c r="D1024">
        <v>-1161.9000000000001</v>
      </c>
      <c r="E1024" t="s">
        <v>14</v>
      </c>
      <c r="F1024">
        <v>13339.49</v>
      </c>
      <c r="G1024" t="str" cm="1">
        <f t="array" ref="G1024">IF(AND(ISNUMBER(SEARCH("UBER",C1024)),ISNUMBER(SEARCH("EATS",C1024))),"Uber Eats",IF(LEFT(C1024,6)="CHECK ","Checks Paid",IF(OR(E1024="BILLPAY",ISNUMBER(SEARCH("FRANCHISE TAX",C1024)),ISNUMBER(SEARCH("NEXTLINK",C1024))),"Personal - House Bills",IF(AND(ISNUMBER(SEARCH("PAYMENT FROM",C1024)),ISNUMBER(SEARCH("JOE SAUNDERS",C1024))),"Zelle from Joe Saunders",IF(AND(ISNUMBER(SEARCH("PAYMENT TO",C1024)),ISNUMBER(SEARCH("JOE SAUNDERS",C1024))),"Zelle to Joe Saunders",IF(OR(ISNUMBER(SEARCH("NEW ORLEANS",C1024)),ISNUMBER(SEARCH("KENNER",C1024)),ISNUMBER(SEARCH("HENRY HOWARD",C1024)),ISNUMBER(SEARCH("MISS CLAUDIA",C1024))),"Personal Travel - New Orleans",IFERROR(INDEX('Category Rules'!$B$2:$B$194,MATCH(TRUE,ISNUMBER(SEARCH('Category Rules'!$A$2:$A$194,C1024)),0)),"")))))))</f>
        <v>Personal Travel</v>
      </c>
    </row>
    <row r="1025" spans="1:7" x14ac:dyDescent="0.25">
      <c r="A1025" t="s">
        <v>6</v>
      </c>
      <c r="B1025" s="1">
        <v>46076</v>
      </c>
      <c r="C1025" t="s">
        <v>977</v>
      </c>
      <c r="D1025">
        <v>-1285.8900000000001</v>
      </c>
      <c r="E1025" t="s">
        <v>14</v>
      </c>
      <c r="F1025">
        <v>14501.39</v>
      </c>
      <c r="G1025" t="str" cm="1">
        <f t="array" ref="G1025">IF(AND(ISNUMBER(SEARCH("UBER",C1025)),ISNUMBER(SEARCH("EATS",C1025))),"Uber Eats",IF(LEFT(C1025,6)="CHECK ","Checks Paid",IF(OR(E1025="BILLPAY",ISNUMBER(SEARCH("FRANCHISE TAX",C1025)),ISNUMBER(SEARCH("NEXTLINK",C1025))),"Personal - House Bills",IF(AND(ISNUMBER(SEARCH("PAYMENT FROM",C1025)),ISNUMBER(SEARCH("JOE SAUNDERS",C1025))),"Zelle from Joe Saunders",IF(AND(ISNUMBER(SEARCH("PAYMENT TO",C1025)),ISNUMBER(SEARCH("JOE SAUNDERS",C1025))),"Zelle to Joe Saunders",IF(OR(ISNUMBER(SEARCH("NEW ORLEANS",C1025)),ISNUMBER(SEARCH("KENNER",C1025)),ISNUMBER(SEARCH("HENRY HOWARD",C1025)),ISNUMBER(SEARCH("MISS CLAUDIA",C1025))),"Personal Travel - New Orleans",IFERROR(INDEX('Category Rules'!$B$2:$B$194,MATCH(TRUE,ISNUMBER(SEARCH('Category Rules'!$A$2:$A$194,C1025)),0)),"")))))))</f>
        <v>Personal Travel</v>
      </c>
    </row>
    <row r="1026" spans="1:7" x14ac:dyDescent="0.25">
      <c r="A1026" t="s">
        <v>6</v>
      </c>
      <c r="B1026" s="1">
        <v>46076</v>
      </c>
      <c r="C1026" t="s">
        <v>978</v>
      </c>
      <c r="D1026">
        <v>-741.34</v>
      </c>
      <c r="E1026" t="s">
        <v>14</v>
      </c>
      <c r="F1026">
        <v>15787.28</v>
      </c>
      <c r="G1026" t="str" cm="1">
        <f t="array" ref="G1026">IF(AND(ISNUMBER(SEARCH("UBER",C1026)),ISNUMBER(SEARCH("EATS",C1026))),"Uber Eats",IF(LEFT(C1026,6)="CHECK ","Checks Paid",IF(OR(E1026="BILLPAY",ISNUMBER(SEARCH("FRANCHISE TAX",C1026)),ISNUMBER(SEARCH("NEXTLINK",C1026))),"Personal - House Bills",IF(AND(ISNUMBER(SEARCH("PAYMENT FROM",C1026)),ISNUMBER(SEARCH("JOE SAUNDERS",C1026))),"Zelle from Joe Saunders",IF(AND(ISNUMBER(SEARCH("PAYMENT TO",C1026)),ISNUMBER(SEARCH("JOE SAUNDERS",C1026))),"Zelle to Joe Saunders",IF(OR(ISNUMBER(SEARCH("NEW ORLEANS",C1026)),ISNUMBER(SEARCH("KENNER",C1026)),ISNUMBER(SEARCH("HENRY HOWARD",C1026)),ISNUMBER(SEARCH("MISS CLAUDIA",C1026))),"Personal Travel - New Orleans",IFERROR(INDEX('Category Rules'!$B$2:$B$194,MATCH(TRUE,ISNUMBER(SEARCH('Category Rules'!$A$2:$A$194,C1026)),0)),"")))))))</f>
        <v>Personal Travel</v>
      </c>
    </row>
    <row r="1027" spans="1:7" x14ac:dyDescent="0.25">
      <c r="A1027" t="s">
        <v>6</v>
      </c>
      <c r="B1027" s="1">
        <v>46076</v>
      </c>
      <c r="C1027" t="s">
        <v>979</v>
      </c>
      <c r="D1027">
        <v>-1787.5</v>
      </c>
      <c r="E1027" t="s">
        <v>14</v>
      </c>
      <c r="F1027">
        <v>16528.62</v>
      </c>
      <c r="G1027" t="str" cm="1">
        <f t="array" ref="G1027">IF(AND(ISNUMBER(SEARCH("UBER",C1027)),ISNUMBER(SEARCH("EATS",C1027))),"Uber Eats",IF(LEFT(C1027,6)="CHECK ","Checks Paid",IF(OR(E1027="BILLPAY",ISNUMBER(SEARCH("FRANCHISE TAX",C1027)),ISNUMBER(SEARCH("NEXTLINK",C1027))),"Personal - House Bills",IF(AND(ISNUMBER(SEARCH("PAYMENT FROM",C1027)),ISNUMBER(SEARCH("JOE SAUNDERS",C1027))),"Zelle from Joe Saunders",IF(AND(ISNUMBER(SEARCH("PAYMENT TO",C1027)),ISNUMBER(SEARCH("JOE SAUNDERS",C1027))),"Zelle to Joe Saunders",IF(OR(ISNUMBER(SEARCH("NEW ORLEANS",C1027)),ISNUMBER(SEARCH("KENNER",C1027)),ISNUMBER(SEARCH("HENRY HOWARD",C1027)),ISNUMBER(SEARCH("MISS CLAUDIA",C1027))),"Personal Travel - New Orleans",IFERROR(INDEX('Category Rules'!$B$2:$B$194,MATCH(TRUE,ISNUMBER(SEARCH('Category Rules'!$A$2:$A$194,C1027)),0)),"")))))))</f>
        <v>Personal Travel</v>
      </c>
    </row>
    <row r="1028" spans="1:7" x14ac:dyDescent="0.25">
      <c r="A1028" t="s">
        <v>6</v>
      </c>
      <c r="B1028" s="1">
        <v>46076</v>
      </c>
      <c r="C1028" t="s">
        <v>980</v>
      </c>
      <c r="D1028">
        <v>-296.91000000000003</v>
      </c>
      <c r="E1028" t="s">
        <v>14</v>
      </c>
      <c r="F1028">
        <v>18316.12</v>
      </c>
      <c r="G1028" t="str" cm="1">
        <f t="array" ref="G1028">IF(AND(ISNUMBER(SEARCH("UBER",C1028)),ISNUMBER(SEARCH("EATS",C1028))),"Uber Eats",IF(LEFT(C1028,6)="CHECK ","Checks Paid",IF(OR(E1028="BILLPAY",ISNUMBER(SEARCH("FRANCHISE TAX",C1028)),ISNUMBER(SEARCH("NEXTLINK",C1028))),"Personal - House Bills",IF(AND(ISNUMBER(SEARCH("PAYMENT FROM",C1028)),ISNUMBER(SEARCH("JOE SAUNDERS",C1028))),"Zelle from Joe Saunders",IF(AND(ISNUMBER(SEARCH("PAYMENT TO",C1028)),ISNUMBER(SEARCH("JOE SAUNDERS",C1028))),"Zelle to Joe Saunders",IF(OR(ISNUMBER(SEARCH("NEW ORLEANS",C1028)),ISNUMBER(SEARCH("KENNER",C1028)),ISNUMBER(SEARCH("HENRY HOWARD",C1028)),ISNUMBER(SEARCH("MISS CLAUDIA",C1028))),"Personal Travel - New Orleans",IFERROR(INDEX('Category Rules'!$B$2:$B$194,MATCH(TRUE,ISNUMBER(SEARCH('Category Rules'!$A$2:$A$194,C1028)),0)),"")))))))</f>
        <v>Personal Travel</v>
      </c>
    </row>
    <row r="1029" spans="1:7" x14ac:dyDescent="0.25">
      <c r="A1029" t="s">
        <v>6</v>
      </c>
      <c r="B1029" s="1">
        <v>46076</v>
      </c>
      <c r="C1029" t="s">
        <v>981</v>
      </c>
      <c r="D1029">
        <v>-890.13</v>
      </c>
      <c r="E1029" t="s">
        <v>14</v>
      </c>
      <c r="F1029">
        <v>18613.03</v>
      </c>
      <c r="G1029" t="str" cm="1">
        <f t="array" ref="G1029">IF(AND(ISNUMBER(SEARCH("UBER",C1029)),ISNUMBER(SEARCH("EATS",C1029))),"Uber Eats",IF(LEFT(C1029,6)="CHECK ","Checks Paid",IF(OR(E1029="BILLPAY",ISNUMBER(SEARCH("FRANCHISE TAX",C1029)),ISNUMBER(SEARCH("NEXTLINK",C1029))),"Personal - House Bills",IF(AND(ISNUMBER(SEARCH("PAYMENT FROM",C1029)),ISNUMBER(SEARCH("JOE SAUNDERS",C1029))),"Zelle from Joe Saunders",IF(AND(ISNUMBER(SEARCH("PAYMENT TO",C1029)),ISNUMBER(SEARCH("JOE SAUNDERS",C1029))),"Zelle to Joe Saunders",IF(OR(ISNUMBER(SEARCH("NEW ORLEANS",C1029)),ISNUMBER(SEARCH("KENNER",C1029)),ISNUMBER(SEARCH("HENRY HOWARD",C1029)),ISNUMBER(SEARCH("MISS CLAUDIA",C1029))),"Personal Travel - New Orleans",IFERROR(INDEX('Category Rules'!$B$2:$B$194,MATCH(TRUE,ISNUMBER(SEARCH('Category Rules'!$A$2:$A$194,C1029)),0)),"")))))))</f>
        <v>Personal Travel</v>
      </c>
    </row>
    <row r="1030" spans="1:7" x14ac:dyDescent="0.25">
      <c r="A1030" t="s">
        <v>6</v>
      </c>
      <c r="B1030" s="1">
        <v>46076</v>
      </c>
      <c r="C1030" t="s">
        <v>982</v>
      </c>
      <c r="D1030">
        <v>-149.96</v>
      </c>
      <c r="E1030" t="s">
        <v>14</v>
      </c>
      <c r="F1030">
        <v>19503.16</v>
      </c>
      <c r="G1030" t="str" cm="1">
        <f t="array" ref="G1030">IF(AND(ISNUMBER(SEARCH("UBER",C1030)),ISNUMBER(SEARCH("EATS",C1030))),"Uber Eats",IF(LEFT(C1030,6)="CHECK ","Checks Paid",IF(OR(E1030="BILLPAY",ISNUMBER(SEARCH("FRANCHISE TAX",C1030)),ISNUMBER(SEARCH("NEXTLINK",C1030))),"Personal - House Bills",IF(AND(ISNUMBER(SEARCH("PAYMENT FROM",C1030)),ISNUMBER(SEARCH("JOE SAUNDERS",C1030))),"Zelle from Joe Saunders",IF(AND(ISNUMBER(SEARCH("PAYMENT TO",C1030)),ISNUMBER(SEARCH("JOE SAUNDERS",C1030))),"Zelle to Joe Saunders",IF(OR(ISNUMBER(SEARCH("NEW ORLEANS",C1030)),ISNUMBER(SEARCH("KENNER",C1030)),ISNUMBER(SEARCH("HENRY HOWARD",C1030)),ISNUMBER(SEARCH("MISS CLAUDIA",C1030))),"Personal Travel - New Orleans",IFERROR(INDEX('Category Rules'!$B$2:$B$194,MATCH(TRUE,ISNUMBER(SEARCH('Category Rules'!$A$2:$A$194,C1030)),0)),"")))))))</f>
        <v>Personal - House Bills</v>
      </c>
    </row>
    <row r="1031" spans="1:7" x14ac:dyDescent="0.25">
      <c r="A1031" t="s">
        <v>6</v>
      </c>
      <c r="B1031" s="1">
        <v>46076</v>
      </c>
      <c r="C1031" t="s">
        <v>983</v>
      </c>
      <c r="D1031">
        <v>-1679.86</v>
      </c>
      <c r="E1031" t="s">
        <v>14</v>
      </c>
      <c r="F1031">
        <v>19653.12</v>
      </c>
      <c r="G1031" t="str" cm="1">
        <f t="array" ref="G1031">IF(AND(ISNUMBER(SEARCH("UBER",C1031)),ISNUMBER(SEARCH("EATS",C1031))),"Uber Eats",IF(LEFT(C1031,6)="CHECK ","Checks Paid",IF(OR(E1031="BILLPAY",ISNUMBER(SEARCH("FRANCHISE TAX",C1031)),ISNUMBER(SEARCH("NEXTLINK",C1031))),"Personal - House Bills",IF(AND(ISNUMBER(SEARCH("PAYMENT FROM",C1031)),ISNUMBER(SEARCH("JOE SAUNDERS",C1031))),"Zelle from Joe Saunders",IF(AND(ISNUMBER(SEARCH("PAYMENT TO",C1031)),ISNUMBER(SEARCH("JOE SAUNDERS",C1031))),"Zelle to Joe Saunders",IF(OR(ISNUMBER(SEARCH("NEW ORLEANS",C1031)),ISNUMBER(SEARCH("KENNER",C1031)),ISNUMBER(SEARCH("HENRY HOWARD",C1031)),ISNUMBER(SEARCH("MISS CLAUDIA",C1031))),"Personal Travel - New Orleans",IFERROR(INDEX('Category Rules'!$B$2:$B$194,MATCH(TRUE,ISNUMBER(SEARCH('Category Rules'!$A$2:$A$194,C1031)),0)),"")))))))</f>
        <v>Personal Travel</v>
      </c>
    </row>
    <row r="1032" spans="1:7" x14ac:dyDescent="0.25">
      <c r="A1032" t="s">
        <v>6</v>
      </c>
      <c r="B1032" s="1">
        <v>46076</v>
      </c>
      <c r="C1032" t="s">
        <v>984</v>
      </c>
      <c r="D1032">
        <v>-1000</v>
      </c>
      <c r="E1032" t="s">
        <v>14</v>
      </c>
      <c r="F1032">
        <v>21332.98</v>
      </c>
      <c r="G1032" t="str" cm="1">
        <f t="array" ref="G1032">IF(AND(ISNUMBER(SEARCH("UBER",C1032)),ISNUMBER(SEARCH("EATS",C1032))),"Uber Eats",IF(LEFT(C1032,6)="CHECK ","Checks Paid",IF(OR(E1032="BILLPAY",ISNUMBER(SEARCH("FRANCHISE TAX",C1032)),ISNUMBER(SEARCH("NEXTLINK",C1032))),"Personal - House Bills",IF(AND(ISNUMBER(SEARCH("PAYMENT FROM",C1032)),ISNUMBER(SEARCH("JOE SAUNDERS",C1032))),"Zelle from Joe Saunders",IF(AND(ISNUMBER(SEARCH("PAYMENT TO",C1032)),ISNUMBER(SEARCH("JOE SAUNDERS",C1032))),"Zelle to Joe Saunders",IF(OR(ISNUMBER(SEARCH("NEW ORLEANS",C1032)),ISNUMBER(SEARCH("KENNER",C1032)),ISNUMBER(SEARCH("HENRY HOWARD",C1032)),ISNUMBER(SEARCH("MISS CLAUDIA",C1032))),"Personal Travel - New Orleans",IFERROR(INDEX('Category Rules'!$B$2:$B$194,MATCH(TRUE,ISNUMBER(SEARCH('Category Rules'!$A$2:$A$194,C1032)),0)),"")))))))</f>
        <v>Apple</v>
      </c>
    </row>
    <row r="1033" spans="1:7" x14ac:dyDescent="0.25">
      <c r="A1033" t="s">
        <v>6</v>
      </c>
      <c r="B1033" s="1">
        <v>46076</v>
      </c>
      <c r="C1033" t="s">
        <v>984</v>
      </c>
      <c r="D1033">
        <v>-1000</v>
      </c>
      <c r="E1033" t="s">
        <v>14</v>
      </c>
      <c r="F1033">
        <v>22332.98</v>
      </c>
      <c r="G1033" t="str" cm="1">
        <f t="array" ref="G1033">IF(AND(ISNUMBER(SEARCH("UBER",C1033)),ISNUMBER(SEARCH("EATS",C1033))),"Uber Eats",IF(LEFT(C1033,6)="CHECK ","Checks Paid",IF(OR(E1033="BILLPAY",ISNUMBER(SEARCH("FRANCHISE TAX",C1033)),ISNUMBER(SEARCH("NEXTLINK",C1033))),"Personal - House Bills",IF(AND(ISNUMBER(SEARCH("PAYMENT FROM",C1033)),ISNUMBER(SEARCH("JOE SAUNDERS",C1033))),"Zelle from Joe Saunders",IF(AND(ISNUMBER(SEARCH("PAYMENT TO",C1033)),ISNUMBER(SEARCH("JOE SAUNDERS",C1033))),"Zelle to Joe Saunders",IF(OR(ISNUMBER(SEARCH("NEW ORLEANS",C1033)),ISNUMBER(SEARCH("KENNER",C1033)),ISNUMBER(SEARCH("HENRY HOWARD",C1033)),ISNUMBER(SEARCH("MISS CLAUDIA",C1033))),"Personal Travel - New Orleans",IFERROR(INDEX('Category Rules'!$B$2:$B$194,MATCH(TRUE,ISNUMBER(SEARCH('Category Rules'!$A$2:$A$194,C1033)),0)),"")))))))</f>
        <v>Apple</v>
      </c>
    </row>
    <row r="1034" spans="1:7" x14ac:dyDescent="0.25">
      <c r="A1034" t="s">
        <v>6</v>
      </c>
      <c r="B1034" s="1">
        <v>46073</v>
      </c>
      <c r="C1034" t="s">
        <v>985</v>
      </c>
      <c r="D1034">
        <v>-96</v>
      </c>
      <c r="E1034" t="s">
        <v>14</v>
      </c>
      <c r="F1034">
        <v>23332.98</v>
      </c>
      <c r="G1034" t="str" cm="1">
        <f t="array" ref="G1034">IF(AND(ISNUMBER(SEARCH("UBER",C1034)),ISNUMBER(SEARCH("EATS",C1034))),"Uber Eats",IF(LEFT(C1034,6)="CHECK ","Checks Paid",IF(OR(E1034="BILLPAY",ISNUMBER(SEARCH("FRANCHISE TAX",C1034)),ISNUMBER(SEARCH("NEXTLINK",C1034))),"Personal - House Bills",IF(AND(ISNUMBER(SEARCH("PAYMENT FROM",C1034)),ISNUMBER(SEARCH("JOE SAUNDERS",C1034))),"Zelle from Joe Saunders",IF(AND(ISNUMBER(SEARCH("PAYMENT TO",C1034)),ISNUMBER(SEARCH("JOE SAUNDERS",C1034))),"Zelle to Joe Saunders",IF(OR(ISNUMBER(SEARCH("NEW ORLEANS",C1034)),ISNUMBER(SEARCH("KENNER",C1034)),ISNUMBER(SEARCH("HENRY HOWARD",C1034)),ISNUMBER(SEARCH("MISS CLAUDIA",C1034))),"Personal Travel - New Orleans",IFERROR(INDEX('Category Rules'!$B$2:$B$194,MATCH(TRUE,ISNUMBER(SEARCH('Category Rules'!$A$2:$A$194,C1034)),0)),"")))))))</f>
        <v>Personal - Subscription</v>
      </c>
    </row>
    <row r="1035" spans="1:7" x14ac:dyDescent="0.25">
      <c r="A1035" t="s">
        <v>6</v>
      </c>
      <c r="B1035" s="1">
        <v>46073</v>
      </c>
      <c r="C1035" t="s">
        <v>986</v>
      </c>
      <c r="D1035">
        <v>-3583</v>
      </c>
      <c r="E1035" t="s">
        <v>14</v>
      </c>
      <c r="F1035">
        <v>23428.98</v>
      </c>
      <c r="G1035" t="str" cm="1">
        <f t="array" ref="G1035">IF(AND(ISNUMBER(SEARCH("UBER",C1035)),ISNUMBER(SEARCH("EATS",C1035))),"Uber Eats",IF(LEFT(C1035,6)="CHECK ","Checks Paid",IF(OR(E1035="BILLPAY",ISNUMBER(SEARCH("FRANCHISE TAX",C1035)),ISNUMBER(SEARCH("NEXTLINK",C1035))),"Personal - House Bills",IF(AND(ISNUMBER(SEARCH("PAYMENT FROM",C1035)),ISNUMBER(SEARCH("JOE SAUNDERS",C1035))),"Zelle from Joe Saunders",IF(AND(ISNUMBER(SEARCH("PAYMENT TO",C1035)),ISNUMBER(SEARCH("JOE SAUNDERS",C1035))),"Zelle to Joe Saunders",IF(OR(ISNUMBER(SEARCH("NEW ORLEANS",C1035)),ISNUMBER(SEARCH("KENNER",C1035)),ISNUMBER(SEARCH("HENRY HOWARD",C1035)),ISNUMBER(SEARCH("MISS CLAUDIA",C1035))),"Personal Travel - New Orleans",IFERROR(INDEX('Category Rules'!$B$2:$B$194,MATCH(TRUE,ISNUMBER(SEARCH('Category Rules'!$A$2:$A$194,C1035)),0)),"")))))))</f>
        <v>Personal Travel</v>
      </c>
    </row>
    <row r="1036" spans="1:7" x14ac:dyDescent="0.25">
      <c r="A1036" t="s">
        <v>6</v>
      </c>
      <c r="B1036" s="1">
        <v>46073</v>
      </c>
      <c r="C1036" t="s">
        <v>987</v>
      </c>
      <c r="D1036">
        <v>-11.99</v>
      </c>
      <c r="E1036" t="s">
        <v>14</v>
      </c>
      <c r="F1036">
        <v>27011.98</v>
      </c>
      <c r="G1036" t="str" cm="1">
        <f t="array" ref="G1036">IF(AND(ISNUMBER(SEARCH("UBER",C1036)),ISNUMBER(SEARCH("EATS",C1036))),"Uber Eats",IF(LEFT(C1036,6)="CHECK ","Checks Paid",IF(OR(E1036="BILLPAY",ISNUMBER(SEARCH("FRANCHISE TAX",C1036)),ISNUMBER(SEARCH("NEXTLINK",C1036))),"Personal - House Bills",IF(AND(ISNUMBER(SEARCH("PAYMENT FROM",C1036)),ISNUMBER(SEARCH("JOE SAUNDERS",C1036))),"Zelle from Joe Saunders",IF(AND(ISNUMBER(SEARCH("PAYMENT TO",C1036)),ISNUMBER(SEARCH("JOE SAUNDERS",C1036))),"Zelle to Joe Saunders",IF(OR(ISNUMBER(SEARCH("NEW ORLEANS",C1036)),ISNUMBER(SEARCH("KENNER",C1036)),ISNUMBER(SEARCH("HENRY HOWARD",C1036)),ISNUMBER(SEARCH("MISS CLAUDIA",C1036))),"Personal Travel - New Orleans",IFERROR(INDEX('Category Rules'!$B$2:$B$194,MATCH(TRUE,ISNUMBER(SEARCH('Category Rules'!$A$2:$A$194,C1036)),0)),"")))))))</f>
        <v>Personal - Subscription</v>
      </c>
    </row>
    <row r="1037" spans="1:7" x14ac:dyDescent="0.25">
      <c r="A1037" t="s">
        <v>6</v>
      </c>
      <c r="B1037" s="1">
        <v>46073</v>
      </c>
      <c r="C1037" t="s">
        <v>988</v>
      </c>
      <c r="D1037">
        <v>-46</v>
      </c>
      <c r="E1037" t="s">
        <v>14</v>
      </c>
      <c r="F1037">
        <v>27023.97</v>
      </c>
      <c r="G1037" t="str" cm="1">
        <f t="array" ref="G1037">IF(AND(ISNUMBER(SEARCH("UBER",C1037)),ISNUMBER(SEARCH("EATS",C1037))),"Uber Eats",IF(LEFT(C1037,6)="CHECK ","Checks Paid",IF(OR(E1037="BILLPAY",ISNUMBER(SEARCH("FRANCHISE TAX",C1037)),ISNUMBER(SEARCH("NEXTLINK",C1037))),"Personal - House Bills",IF(AND(ISNUMBER(SEARCH("PAYMENT FROM",C1037)),ISNUMBER(SEARCH("JOE SAUNDERS",C1037))),"Zelle from Joe Saunders",IF(AND(ISNUMBER(SEARCH("PAYMENT TO",C1037)),ISNUMBER(SEARCH("JOE SAUNDERS",C1037))),"Zelle to Joe Saunders",IF(OR(ISNUMBER(SEARCH("NEW ORLEANS",C1037)),ISNUMBER(SEARCH("KENNER",C1037)),ISNUMBER(SEARCH("HENRY HOWARD",C1037)),ISNUMBER(SEARCH("MISS CLAUDIA",C1037))),"Personal Travel - New Orleans",IFERROR(INDEX('Category Rules'!$B$2:$B$194,MATCH(TRUE,ISNUMBER(SEARCH('Category Rules'!$A$2:$A$194,C1037)),0)),"")))))))</f>
        <v>Personal Travel</v>
      </c>
    </row>
    <row r="1038" spans="1:7" x14ac:dyDescent="0.25">
      <c r="A1038" t="s">
        <v>6</v>
      </c>
      <c r="B1038" s="1">
        <v>46073</v>
      </c>
      <c r="C1038" t="s">
        <v>989</v>
      </c>
      <c r="D1038">
        <v>-530.20000000000005</v>
      </c>
      <c r="E1038" t="s">
        <v>14</v>
      </c>
      <c r="F1038">
        <v>27069.97</v>
      </c>
      <c r="G1038" t="str" cm="1">
        <f t="array" ref="G1038">IF(AND(ISNUMBER(SEARCH("UBER",C1038)),ISNUMBER(SEARCH("EATS",C1038))),"Uber Eats",IF(LEFT(C1038,6)="CHECK ","Checks Paid",IF(OR(E1038="BILLPAY",ISNUMBER(SEARCH("FRANCHISE TAX",C1038)),ISNUMBER(SEARCH("NEXTLINK",C1038))),"Personal - House Bills",IF(AND(ISNUMBER(SEARCH("PAYMENT FROM",C1038)),ISNUMBER(SEARCH("JOE SAUNDERS",C1038))),"Zelle from Joe Saunders",IF(AND(ISNUMBER(SEARCH("PAYMENT TO",C1038)),ISNUMBER(SEARCH("JOE SAUNDERS",C1038))),"Zelle to Joe Saunders",IF(OR(ISNUMBER(SEARCH("NEW ORLEANS",C1038)),ISNUMBER(SEARCH("KENNER",C1038)),ISNUMBER(SEARCH("HENRY HOWARD",C1038)),ISNUMBER(SEARCH("MISS CLAUDIA",C1038))),"Personal Travel - New Orleans",IFERROR(INDEX('Category Rules'!$B$2:$B$194,MATCH(TRUE,ISNUMBER(SEARCH('Category Rules'!$A$2:$A$194,C1038)),0)),"")))))))</f>
        <v>Personal - Entertainment</v>
      </c>
    </row>
    <row r="1039" spans="1:7" x14ac:dyDescent="0.25">
      <c r="A1039" t="s">
        <v>6</v>
      </c>
      <c r="B1039" s="1">
        <v>46073</v>
      </c>
      <c r="C1039" t="s">
        <v>990</v>
      </c>
      <c r="D1039">
        <v>-70.72</v>
      </c>
      <c r="E1039" t="s">
        <v>14</v>
      </c>
      <c r="F1039">
        <v>27600.17</v>
      </c>
      <c r="G1039" t="str" cm="1">
        <f t="array" ref="G1039">IF(AND(ISNUMBER(SEARCH("UBER",C1039)),ISNUMBER(SEARCH("EATS",C1039))),"Uber Eats",IF(LEFT(C1039,6)="CHECK ","Checks Paid",IF(OR(E1039="BILLPAY",ISNUMBER(SEARCH("FRANCHISE TAX",C1039)),ISNUMBER(SEARCH("NEXTLINK",C1039))),"Personal - House Bills",IF(AND(ISNUMBER(SEARCH("PAYMENT FROM",C1039)),ISNUMBER(SEARCH("JOE SAUNDERS",C1039))),"Zelle from Joe Saunders",IF(AND(ISNUMBER(SEARCH("PAYMENT TO",C1039)),ISNUMBER(SEARCH("JOE SAUNDERS",C1039))),"Zelle to Joe Saunders",IF(OR(ISNUMBER(SEARCH("NEW ORLEANS",C1039)),ISNUMBER(SEARCH("KENNER",C1039)),ISNUMBER(SEARCH("HENRY HOWARD",C1039)),ISNUMBER(SEARCH("MISS CLAUDIA",C1039))),"Personal Travel - New Orleans",IFERROR(INDEX('Category Rules'!$B$2:$B$194,MATCH(TRUE,ISNUMBER(SEARCH('Category Rules'!$A$2:$A$194,C1039)),0)),"")))))))</f>
        <v>Personal - Entertainment</v>
      </c>
    </row>
    <row r="1040" spans="1:7" x14ac:dyDescent="0.25">
      <c r="A1040" t="s">
        <v>6</v>
      </c>
      <c r="B1040" s="1">
        <v>46073</v>
      </c>
      <c r="C1040" t="s">
        <v>991</v>
      </c>
      <c r="D1040">
        <v>-964</v>
      </c>
      <c r="E1040" t="s">
        <v>14</v>
      </c>
      <c r="F1040">
        <v>27670.89</v>
      </c>
      <c r="G1040" t="str" cm="1">
        <f t="array" ref="G1040">IF(AND(ISNUMBER(SEARCH("UBER",C1040)),ISNUMBER(SEARCH("EATS",C1040))),"Uber Eats",IF(LEFT(C1040,6)="CHECK ","Checks Paid",IF(OR(E1040="BILLPAY",ISNUMBER(SEARCH("FRANCHISE TAX",C1040)),ISNUMBER(SEARCH("NEXTLINK",C1040))),"Personal - House Bills",IF(AND(ISNUMBER(SEARCH("PAYMENT FROM",C1040)),ISNUMBER(SEARCH("JOE SAUNDERS",C1040))),"Zelle from Joe Saunders",IF(AND(ISNUMBER(SEARCH("PAYMENT TO",C1040)),ISNUMBER(SEARCH("JOE SAUNDERS",C1040))),"Zelle to Joe Saunders",IF(OR(ISNUMBER(SEARCH("NEW ORLEANS",C1040)),ISNUMBER(SEARCH("KENNER",C1040)),ISNUMBER(SEARCH("HENRY HOWARD",C1040)),ISNUMBER(SEARCH("MISS CLAUDIA",C1040))),"Personal Travel - New Orleans",IFERROR(INDEX('Category Rules'!$B$2:$B$194,MATCH(TRUE,ISNUMBER(SEARCH('Category Rules'!$A$2:$A$194,C1040)),0)),"")))))))</f>
        <v>Personal - Shopping</v>
      </c>
    </row>
    <row r="1041" spans="1:7" x14ac:dyDescent="0.25">
      <c r="A1041" t="s">
        <v>6</v>
      </c>
      <c r="B1041" s="1">
        <v>46073</v>
      </c>
      <c r="C1041" t="s">
        <v>992</v>
      </c>
      <c r="D1041">
        <v>-657.94</v>
      </c>
      <c r="E1041" t="s">
        <v>14</v>
      </c>
      <c r="F1041">
        <v>28634.89</v>
      </c>
      <c r="G1041" t="str" cm="1">
        <f t="array" ref="G1041">IF(AND(ISNUMBER(SEARCH("UBER",C1041)),ISNUMBER(SEARCH("EATS",C1041))),"Uber Eats",IF(LEFT(C1041,6)="CHECK ","Checks Paid",IF(OR(E1041="BILLPAY",ISNUMBER(SEARCH("FRANCHISE TAX",C1041)),ISNUMBER(SEARCH("NEXTLINK",C1041))),"Personal - House Bills",IF(AND(ISNUMBER(SEARCH("PAYMENT FROM",C1041)),ISNUMBER(SEARCH("JOE SAUNDERS",C1041))),"Zelle from Joe Saunders",IF(AND(ISNUMBER(SEARCH("PAYMENT TO",C1041)),ISNUMBER(SEARCH("JOE SAUNDERS",C1041))),"Zelle to Joe Saunders",IF(OR(ISNUMBER(SEARCH("NEW ORLEANS",C1041)),ISNUMBER(SEARCH("KENNER",C1041)),ISNUMBER(SEARCH("HENRY HOWARD",C1041)),ISNUMBER(SEARCH("MISS CLAUDIA",C1041))),"Personal Travel - New Orleans",IFERROR(INDEX('Category Rules'!$B$2:$B$194,MATCH(TRUE,ISNUMBER(SEARCH('Category Rules'!$A$2:$A$194,C1041)),0)),"")))))))</f>
        <v>Personal - Food</v>
      </c>
    </row>
    <row r="1042" spans="1:7" x14ac:dyDescent="0.25">
      <c r="A1042" t="s">
        <v>6</v>
      </c>
      <c r="B1042" s="1">
        <v>46073</v>
      </c>
      <c r="C1042" t="s">
        <v>993</v>
      </c>
      <c r="D1042">
        <v>-69.849999999999994</v>
      </c>
      <c r="E1042" t="s">
        <v>14</v>
      </c>
      <c r="F1042">
        <v>29292.83</v>
      </c>
      <c r="G1042" t="str" cm="1">
        <f t="array" ref="G1042">IF(AND(ISNUMBER(SEARCH("UBER",C1042)),ISNUMBER(SEARCH("EATS",C1042))),"Uber Eats",IF(LEFT(C1042,6)="CHECK ","Checks Paid",IF(OR(E1042="BILLPAY",ISNUMBER(SEARCH("FRANCHISE TAX",C1042)),ISNUMBER(SEARCH("NEXTLINK",C1042))),"Personal - House Bills",IF(AND(ISNUMBER(SEARCH("PAYMENT FROM",C1042)),ISNUMBER(SEARCH("JOE SAUNDERS",C1042))),"Zelle from Joe Saunders",IF(AND(ISNUMBER(SEARCH("PAYMENT TO",C1042)),ISNUMBER(SEARCH("JOE SAUNDERS",C1042))),"Zelle to Joe Saunders",IF(OR(ISNUMBER(SEARCH("NEW ORLEANS",C1042)),ISNUMBER(SEARCH("KENNER",C1042)),ISNUMBER(SEARCH("HENRY HOWARD",C1042)),ISNUMBER(SEARCH("MISS CLAUDIA",C1042))),"Personal Travel - New Orleans",IFERROR(INDEX('Category Rules'!$B$2:$B$194,MATCH(TRUE,ISNUMBER(SEARCH('Category Rules'!$A$2:$A$194,C1042)),0)),"")))))))</f>
        <v>Amazon</v>
      </c>
    </row>
    <row r="1043" spans="1:7" x14ac:dyDescent="0.25">
      <c r="A1043" t="s">
        <v>6</v>
      </c>
      <c r="B1043" s="1">
        <v>46073</v>
      </c>
      <c r="C1043" t="s">
        <v>994</v>
      </c>
      <c r="D1043">
        <v>-58.76</v>
      </c>
      <c r="E1043" t="s">
        <v>14</v>
      </c>
      <c r="F1043">
        <v>29362.68</v>
      </c>
      <c r="G1043" t="str" cm="1">
        <f t="array" ref="G1043">IF(AND(ISNUMBER(SEARCH("UBER",C1043)),ISNUMBER(SEARCH("EATS",C1043))),"Uber Eats",IF(LEFT(C1043,6)="CHECK ","Checks Paid",IF(OR(E1043="BILLPAY",ISNUMBER(SEARCH("FRANCHISE TAX",C1043)),ISNUMBER(SEARCH("NEXTLINK",C1043))),"Personal - House Bills",IF(AND(ISNUMBER(SEARCH("PAYMENT FROM",C1043)),ISNUMBER(SEARCH("JOE SAUNDERS",C1043))),"Zelle from Joe Saunders",IF(AND(ISNUMBER(SEARCH("PAYMENT TO",C1043)),ISNUMBER(SEARCH("JOE SAUNDERS",C1043))),"Zelle to Joe Saunders",IF(OR(ISNUMBER(SEARCH("NEW ORLEANS",C1043)),ISNUMBER(SEARCH("KENNER",C1043)),ISNUMBER(SEARCH("HENRY HOWARD",C1043)),ISNUMBER(SEARCH("MISS CLAUDIA",C1043))),"Personal Travel - New Orleans",IFERROR(INDEX('Category Rules'!$B$2:$B$194,MATCH(TRUE,ISNUMBER(SEARCH('Category Rules'!$A$2:$A$194,C1043)),0)),"")))))))</f>
        <v>Amazon</v>
      </c>
    </row>
    <row r="1044" spans="1:7" x14ac:dyDescent="0.25">
      <c r="A1044" t="s">
        <v>37</v>
      </c>
      <c r="B1044" s="1">
        <v>46073</v>
      </c>
      <c r="C1044" t="s">
        <v>995</v>
      </c>
      <c r="D1044">
        <v>2000</v>
      </c>
      <c r="E1044" t="s">
        <v>39</v>
      </c>
      <c r="F1044">
        <v>29421.439999999999</v>
      </c>
      <c r="G1044" t="str" cm="1">
        <f t="array" ref="G1044">IF(AND(ISNUMBER(SEARCH("UBER",C1044)),ISNUMBER(SEARCH("EATS",C1044))),"Uber Eats",IF(LEFT(C1044,6)="CHECK ","Checks Paid",IF(OR(E1044="BILLPAY",ISNUMBER(SEARCH("FRANCHISE TAX",C1044)),ISNUMBER(SEARCH("NEXTLINK",C1044))),"Personal - House Bills",IF(AND(ISNUMBER(SEARCH("PAYMENT FROM",C1044)),ISNUMBER(SEARCH("JOE SAUNDERS",C1044))),"Zelle from Joe Saunders",IF(AND(ISNUMBER(SEARCH("PAYMENT TO",C1044)),ISNUMBER(SEARCH("JOE SAUNDERS",C1044))),"Zelle to Joe Saunders",IF(OR(ISNUMBER(SEARCH("NEW ORLEANS",C1044)),ISNUMBER(SEARCH("KENNER",C1044)),ISNUMBER(SEARCH("HENRY HOWARD",C1044)),ISNUMBER(SEARCH("MISS CLAUDIA",C1044))),"Personal Travel - New Orleans",IFERROR(INDEX('Category Rules'!$B$2:$B$194,MATCH(TRUE,ISNUMBER(SEARCH('Category Rules'!$A$2:$A$194,C1044)),0)),"")))))))</f>
        <v>Transfer from DWG Capital Group</v>
      </c>
    </row>
    <row r="1045" spans="1:7" x14ac:dyDescent="0.25">
      <c r="A1045" t="s">
        <v>37</v>
      </c>
      <c r="B1045" s="1">
        <v>46073</v>
      </c>
      <c r="C1045" t="s">
        <v>996</v>
      </c>
      <c r="D1045">
        <v>20000</v>
      </c>
      <c r="E1045" t="s">
        <v>39</v>
      </c>
      <c r="F1045">
        <v>27421.439999999999</v>
      </c>
      <c r="G1045" t="str" cm="1">
        <f t="array" ref="G1045">IF(AND(ISNUMBER(SEARCH("UBER",C1045)),ISNUMBER(SEARCH("EATS",C1045))),"Uber Eats",IF(LEFT(C1045,6)="CHECK ","Checks Paid",IF(OR(E1045="BILLPAY",ISNUMBER(SEARCH("FRANCHISE TAX",C1045)),ISNUMBER(SEARCH("NEXTLINK",C1045))),"Personal - House Bills",IF(AND(ISNUMBER(SEARCH("PAYMENT FROM",C1045)),ISNUMBER(SEARCH("JOE SAUNDERS",C1045))),"Zelle from Joe Saunders",IF(AND(ISNUMBER(SEARCH("PAYMENT TO",C1045)),ISNUMBER(SEARCH("JOE SAUNDERS",C1045))),"Zelle to Joe Saunders",IF(OR(ISNUMBER(SEARCH("NEW ORLEANS",C1045)),ISNUMBER(SEARCH("KENNER",C1045)),ISNUMBER(SEARCH("HENRY HOWARD",C1045)),ISNUMBER(SEARCH("MISS CLAUDIA",C1045))),"Personal Travel - New Orleans",IFERROR(INDEX('Category Rules'!$B$2:$B$194,MATCH(TRUE,ISNUMBER(SEARCH('Category Rules'!$A$2:$A$194,C1045)),0)),"")))))))</f>
        <v>Transfer from Poseidon Asset Group</v>
      </c>
    </row>
    <row r="1046" spans="1:7" x14ac:dyDescent="0.25">
      <c r="A1046" t="s">
        <v>6</v>
      </c>
      <c r="B1046" s="1">
        <v>46072</v>
      </c>
      <c r="C1046" t="s">
        <v>997</v>
      </c>
      <c r="D1046">
        <v>-138.12</v>
      </c>
      <c r="E1046" t="s">
        <v>14</v>
      </c>
      <c r="F1046">
        <v>7421.44</v>
      </c>
      <c r="G1046" t="str" cm="1">
        <f t="array" ref="G1046">IF(AND(ISNUMBER(SEARCH("UBER",C1046)),ISNUMBER(SEARCH("EATS",C1046))),"Uber Eats",IF(LEFT(C1046,6)="CHECK ","Checks Paid",IF(OR(E1046="BILLPAY",ISNUMBER(SEARCH("FRANCHISE TAX",C1046)),ISNUMBER(SEARCH("NEXTLINK",C1046))),"Personal - House Bills",IF(AND(ISNUMBER(SEARCH("PAYMENT FROM",C1046)),ISNUMBER(SEARCH("JOE SAUNDERS",C1046))),"Zelle from Joe Saunders",IF(AND(ISNUMBER(SEARCH("PAYMENT TO",C1046)),ISNUMBER(SEARCH("JOE SAUNDERS",C1046))),"Zelle to Joe Saunders",IF(OR(ISNUMBER(SEARCH("NEW ORLEANS",C1046)),ISNUMBER(SEARCH("KENNER",C1046)),ISNUMBER(SEARCH("HENRY HOWARD",C1046)),ISNUMBER(SEARCH("MISS CLAUDIA",C1046))),"Personal Travel - New Orleans",IFERROR(INDEX('Category Rules'!$B$2:$B$194,MATCH(TRUE,ISNUMBER(SEARCH('Category Rules'!$A$2:$A$194,C1046)),0)),"")))))))</f>
        <v>Etsy</v>
      </c>
    </row>
    <row r="1047" spans="1:7" x14ac:dyDescent="0.25">
      <c r="A1047" t="s">
        <v>6</v>
      </c>
      <c r="B1047" s="1">
        <v>46072</v>
      </c>
      <c r="C1047" t="s">
        <v>998</v>
      </c>
      <c r="D1047">
        <v>-157.97</v>
      </c>
      <c r="E1047" t="s">
        <v>14</v>
      </c>
      <c r="F1047">
        <v>7559.56</v>
      </c>
      <c r="G1047" t="str" cm="1">
        <f t="array" ref="G1047">IF(AND(ISNUMBER(SEARCH("UBER",C1047)),ISNUMBER(SEARCH("EATS",C1047))),"Uber Eats",IF(LEFT(C1047,6)="CHECK ","Checks Paid",IF(OR(E1047="BILLPAY",ISNUMBER(SEARCH("FRANCHISE TAX",C1047)),ISNUMBER(SEARCH("NEXTLINK",C1047))),"Personal - House Bills",IF(AND(ISNUMBER(SEARCH("PAYMENT FROM",C1047)),ISNUMBER(SEARCH("JOE SAUNDERS",C1047))),"Zelle from Joe Saunders",IF(AND(ISNUMBER(SEARCH("PAYMENT TO",C1047)),ISNUMBER(SEARCH("JOE SAUNDERS",C1047))),"Zelle to Joe Saunders",IF(OR(ISNUMBER(SEARCH("NEW ORLEANS",C1047)),ISNUMBER(SEARCH("KENNER",C1047)),ISNUMBER(SEARCH("HENRY HOWARD",C1047)),ISNUMBER(SEARCH("MISS CLAUDIA",C1047))),"Personal Travel - New Orleans",IFERROR(INDEX('Category Rules'!$B$2:$B$194,MATCH(TRUE,ISNUMBER(SEARCH('Category Rules'!$A$2:$A$194,C1047)),0)),"")))))))</f>
        <v>Etsy</v>
      </c>
    </row>
    <row r="1048" spans="1:7" x14ac:dyDescent="0.25">
      <c r="A1048" t="s">
        <v>6</v>
      </c>
      <c r="B1048" s="1">
        <v>46072</v>
      </c>
      <c r="C1048" t="s">
        <v>999</v>
      </c>
      <c r="D1048">
        <v>-409.66</v>
      </c>
      <c r="E1048" t="s">
        <v>14</v>
      </c>
      <c r="F1048">
        <v>7717.53</v>
      </c>
      <c r="G1048" t="str" cm="1">
        <f t="array" ref="G1048">IF(AND(ISNUMBER(SEARCH("UBER",C1048)),ISNUMBER(SEARCH("EATS",C1048))),"Uber Eats",IF(LEFT(C1048,6)="CHECK ","Checks Paid",IF(OR(E1048="BILLPAY",ISNUMBER(SEARCH("FRANCHISE TAX",C1048)),ISNUMBER(SEARCH("NEXTLINK",C1048))),"Personal - House Bills",IF(AND(ISNUMBER(SEARCH("PAYMENT FROM",C1048)),ISNUMBER(SEARCH("JOE SAUNDERS",C1048))),"Zelle from Joe Saunders",IF(AND(ISNUMBER(SEARCH("PAYMENT TO",C1048)),ISNUMBER(SEARCH("JOE SAUNDERS",C1048))),"Zelle to Joe Saunders",IF(OR(ISNUMBER(SEARCH("NEW ORLEANS",C1048)),ISNUMBER(SEARCH("KENNER",C1048)),ISNUMBER(SEARCH("HENRY HOWARD",C1048)),ISNUMBER(SEARCH("MISS CLAUDIA",C1048))),"Personal Travel - New Orleans",IFERROR(INDEX('Category Rules'!$B$2:$B$194,MATCH(TRUE,ISNUMBER(SEARCH('Category Rules'!$A$2:$A$194,C1048)),0)),"")))))))</f>
        <v>Personal - Shopping</v>
      </c>
    </row>
    <row r="1049" spans="1:7" x14ac:dyDescent="0.25">
      <c r="A1049" t="s">
        <v>6</v>
      </c>
      <c r="B1049" s="1">
        <v>46072</v>
      </c>
      <c r="C1049" t="s">
        <v>1000</v>
      </c>
      <c r="D1049">
        <v>-30.07</v>
      </c>
      <c r="E1049" t="s">
        <v>14</v>
      </c>
      <c r="F1049">
        <v>8127.19</v>
      </c>
      <c r="G1049" t="str" cm="1">
        <f t="array" ref="G1049">IF(AND(ISNUMBER(SEARCH("UBER",C1049)),ISNUMBER(SEARCH("EATS",C1049))),"Uber Eats",IF(LEFT(C1049,6)="CHECK ","Checks Paid",IF(OR(E1049="BILLPAY",ISNUMBER(SEARCH("FRANCHISE TAX",C1049)),ISNUMBER(SEARCH("NEXTLINK",C1049))),"Personal - House Bills",IF(AND(ISNUMBER(SEARCH("PAYMENT FROM",C1049)),ISNUMBER(SEARCH("JOE SAUNDERS",C1049))),"Zelle from Joe Saunders",IF(AND(ISNUMBER(SEARCH("PAYMENT TO",C1049)),ISNUMBER(SEARCH("JOE SAUNDERS",C1049))),"Zelle to Joe Saunders",IF(OR(ISNUMBER(SEARCH("NEW ORLEANS",C1049)),ISNUMBER(SEARCH("KENNER",C1049)),ISNUMBER(SEARCH("HENRY HOWARD",C1049)),ISNUMBER(SEARCH("MISS CLAUDIA",C1049))),"Personal Travel - New Orleans",IFERROR(INDEX('Category Rules'!$B$2:$B$194,MATCH(TRUE,ISNUMBER(SEARCH('Category Rules'!$A$2:$A$194,C1049)),0)),"")))))))</f>
        <v>Uber Eats</v>
      </c>
    </row>
    <row r="1050" spans="1:7" x14ac:dyDescent="0.25">
      <c r="A1050" t="s">
        <v>6</v>
      </c>
      <c r="B1050" s="1">
        <v>46072</v>
      </c>
      <c r="C1050" t="s">
        <v>1001</v>
      </c>
      <c r="D1050">
        <v>-251.36</v>
      </c>
      <c r="E1050" t="s">
        <v>14</v>
      </c>
      <c r="F1050">
        <v>8157.26</v>
      </c>
      <c r="G1050" t="str" cm="1">
        <f t="array" ref="G1050">IF(AND(ISNUMBER(SEARCH("UBER",C1050)),ISNUMBER(SEARCH("EATS",C1050))),"Uber Eats",IF(LEFT(C1050,6)="CHECK ","Checks Paid",IF(OR(E1050="BILLPAY",ISNUMBER(SEARCH("FRANCHISE TAX",C1050)),ISNUMBER(SEARCH("NEXTLINK",C1050))),"Personal - House Bills",IF(AND(ISNUMBER(SEARCH("PAYMENT FROM",C1050)),ISNUMBER(SEARCH("JOE SAUNDERS",C1050))),"Zelle from Joe Saunders",IF(AND(ISNUMBER(SEARCH("PAYMENT TO",C1050)),ISNUMBER(SEARCH("JOE SAUNDERS",C1050))),"Zelle to Joe Saunders",IF(OR(ISNUMBER(SEARCH("NEW ORLEANS",C1050)),ISNUMBER(SEARCH("KENNER",C1050)),ISNUMBER(SEARCH("HENRY HOWARD",C1050)),ISNUMBER(SEARCH("MISS CLAUDIA",C1050))),"Personal Travel - New Orleans",IFERROR(INDEX('Category Rules'!$B$2:$B$194,MATCH(TRUE,ISNUMBER(SEARCH('Category Rules'!$A$2:$A$194,C1050)),0)),"")))))))</f>
        <v>Personal - Health</v>
      </c>
    </row>
    <row r="1051" spans="1:7" x14ac:dyDescent="0.25">
      <c r="A1051" t="s">
        <v>6</v>
      </c>
      <c r="B1051" s="1">
        <v>46072</v>
      </c>
      <c r="C1051" t="s">
        <v>1002</v>
      </c>
      <c r="D1051">
        <v>-310</v>
      </c>
      <c r="E1051" t="s">
        <v>14</v>
      </c>
      <c r="F1051">
        <v>8408.6200000000008</v>
      </c>
      <c r="G1051" t="str" cm="1">
        <f t="array" ref="G1051">IF(AND(ISNUMBER(SEARCH("UBER",C1051)),ISNUMBER(SEARCH("EATS",C1051))),"Uber Eats",IF(LEFT(C1051,6)="CHECK ","Checks Paid",IF(OR(E1051="BILLPAY",ISNUMBER(SEARCH("FRANCHISE TAX",C1051)),ISNUMBER(SEARCH("NEXTLINK",C1051))),"Personal - House Bills",IF(AND(ISNUMBER(SEARCH("PAYMENT FROM",C1051)),ISNUMBER(SEARCH("JOE SAUNDERS",C1051))),"Zelle from Joe Saunders",IF(AND(ISNUMBER(SEARCH("PAYMENT TO",C1051)),ISNUMBER(SEARCH("JOE SAUNDERS",C1051))),"Zelle to Joe Saunders",IF(OR(ISNUMBER(SEARCH("NEW ORLEANS",C1051)),ISNUMBER(SEARCH("KENNER",C1051)),ISNUMBER(SEARCH("HENRY HOWARD",C1051)),ISNUMBER(SEARCH("MISS CLAUDIA",C1051))),"Personal Travel - New Orleans",IFERROR(INDEX('Category Rules'!$B$2:$B$194,MATCH(TRUE,ISNUMBER(SEARCH('Category Rules'!$A$2:$A$194,C1051)),0)),"")))))))</f>
        <v>Donation</v>
      </c>
    </row>
    <row r="1052" spans="1:7" x14ac:dyDescent="0.25">
      <c r="A1052" t="s">
        <v>37</v>
      </c>
      <c r="B1052" s="1">
        <v>46072</v>
      </c>
      <c r="C1052" t="s">
        <v>1003</v>
      </c>
      <c r="D1052">
        <v>100</v>
      </c>
      <c r="E1052" t="s">
        <v>106</v>
      </c>
      <c r="F1052">
        <v>8718.6200000000008</v>
      </c>
      <c r="G1052" t="str" cm="1">
        <f t="array" ref="G1052">IF(AND(ISNUMBER(SEARCH("UBER",C1052)),ISNUMBER(SEARCH("EATS",C1052))),"Uber Eats",IF(LEFT(C1052,6)="CHECK ","Checks Paid",IF(OR(E1052="BILLPAY",ISNUMBER(SEARCH("FRANCHISE TAX",C1052)),ISNUMBER(SEARCH("NEXTLINK",C1052))),"Personal - House Bills",IF(AND(ISNUMBER(SEARCH("PAYMENT FROM",C1052)),ISNUMBER(SEARCH("JOE SAUNDERS",C1052))),"Zelle from Joe Saunders",IF(AND(ISNUMBER(SEARCH("PAYMENT TO",C1052)),ISNUMBER(SEARCH("JOE SAUNDERS",C1052))),"Zelle to Joe Saunders",IF(OR(ISNUMBER(SEARCH("NEW ORLEANS",C1052)),ISNUMBER(SEARCH("KENNER",C1052)),ISNUMBER(SEARCH("HENRY HOWARD",C1052)),ISNUMBER(SEARCH("MISS CLAUDIA",C1052))),"Personal Travel - New Orleans",IFERROR(INDEX('Category Rules'!$B$2:$B$194,MATCH(TRUE,ISNUMBER(SEARCH('Category Rules'!$A$2:$A$194,C1052)),0)),"")))))))</f>
        <v>Zelle from Tanya Miller</v>
      </c>
    </row>
    <row r="1053" spans="1:7" x14ac:dyDescent="0.25">
      <c r="A1053" t="s">
        <v>37</v>
      </c>
      <c r="B1053" s="1">
        <v>46072</v>
      </c>
      <c r="C1053" t="s">
        <v>1004</v>
      </c>
      <c r="D1053">
        <v>5000</v>
      </c>
      <c r="E1053" t="s">
        <v>39</v>
      </c>
      <c r="F1053">
        <v>8618.6200000000008</v>
      </c>
      <c r="G1053" t="str" cm="1">
        <f t="array" ref="G1053">IF(AND(ISNUMBER(SEARCH("UBER",C1053)),ISNUMBER(SEARCH("EATS",C1053))),"Uber Eats",IF(LEFT(C1053,6)="CHECK ","Checks Paid",IF(OR(E1053="BILLPAY",ISNUMBER(SEARCH("FRANCHISE TAX",C1053)),ISNUMBER(SEARCH("NEXTLINK",C1053))),"Personal - House Bills",IF(AND(ISNUMBER(SEARCH("PAYMENT FROM",C1053)),ISNUMBER(SEARCH("JOE SAUNDERS",C1053))),"Zelle from Joe Saunders",IF(AND(ISNUMBER(SEARCH("PAYMENT TO",C1053)),ISNUMBER(SEARCH("JOE SAUNDERS",C1053))),"Zelle to Joe Saunders",IF(OR(ISNUMBER(SEARCH("NEW ORLEANS",C1053)),ISNUMBER(SEARCH("KENNER",C1053)),ISNUMBER(SEARCH("HENRY HOWARD",C1053)),ISNUMBER(SEARCH("MISS CLAUDIA",C1053))),"Personal Travel - New Orleans",IFERROR(INDEX('Category Rules'!$B$2:$B$194,MATCH(TRUE,ISNUMBER(SEARCH('Category Rules'!$A$2:$A$194,C1053)),0)),"")))))))</f>
        <v>Transfer from DWG Capital Group</v>
      </c>
    </row>
    <row r="1054" spans="1:7" x14ac:dyDescent="0.25">
      <c r="A1054" t="s">
        <v>6</v>
      </c>
      <c r="B1054" s="1">
        <v>46071</v>
      </c>
      <c r="C1054" t="s">
        <v>1005</v>
      </c>
      <c r="D1054">
        <v>-32.340000000000003</v>
      </c>
      <c r="E1054" t="s">
        <v>14</v>
      </c>
      <c r="F1054">
        <v>3618.62</v>
      </c>
      <c r="G1054" t="str" cm="1">
        <f t="array" ref="G1054">IF(AND(ISNUMBER(SEARCH("UBER",C1054)),ISNUMBER(SEARCH("EATS",C1054))),"Uber Eats",IF(LEFT(C1054,6)="CHECK ","Checks Paid",IF(OR(E1054="BILLPAY",ISNUMBER(SEARCH("FRANCHISE TAX",C1054)),ISNUMBER(SEARCH("NEXTLINK",C1054))),"Personal - House Bills",IF(AND(ISNUMBER(SEARCH("PAYMENT FROM",C1054)),ISNUMBER(SEARCH("JOE SAUNDERS",C1054))),"Zelle from Joe Saunders",IF(AND(ISNUMBER(SEARCH("PAYMENT TO",C1054)),ISNUMBER(SEARCH("JOE SAUNDERS",C1054))),"Zelle to Joe Saunders",IF(OR(ISNUMBER(SEARCH("NEW ORLEANS",C1054)),ISNUMBER(SEARCH("KENNER",C1054)),ISNUMBER(SEARCH("HENRY HOWARD",C1054)),ISNUMBER(SEARCH("MISS CLAUDIA",C1054))),"Personal Travel - New Orleans",IFERROR(INDEX('Category Rules'!$B$2:$B$194,MATCH(TRUE,ISNUMBER(SEARCH('Category Rules'!$A$2:$A$194,C1054)),0)),"")))))))</f>
        <v>Uber Eats</v>
      </c>
    </row>
    <row r="1055" spans="1:7" x14ac:dyDescent="0.25">
      <c r="A1055" t="s">
        <v>6</v>
      </c>
      <c r="B1055" s="1">
        <v>46071</v>
      </c>
      <c r="C1055" t="s">
        <v>1006</v>
      </c>
      <c r="D1055">
        <v>-1510</v>
      </c>
      <c r="E1055" t="s">
        <v>14</v>
      </c>
      <c r="F1055">
        <v>3650.96</v>
      </c>
      <c r="G1055" t="str" cm="1">
        <f t="array" ref="G1055">IF(AND(ISNUMBER(SEARCH("UBER",C1055)),ISNUMBER(SEARCH("EATS",C1055))),"Uber Eats",IF(LEFT(C1055,6)="CHECK ","Checks Paid",IF(OR(E1055="BILLPAY",ISNUMBER(SEARCH("FRANCHISE TAX",C1055)),ISNUMBER(SEARCH("NEXTLINK",C1055))),"Personal - House Bills",IF(AND(ISNUMBER(SEARCH("PAYMENT FROM",C1055)),ISNUMBER(SEARCH("JOE SAUNDERS",C1055))),"Zelle from Joe Saunders",IF(AND(ISNUMBER(SEARCH("PAYMENT TO",C1055)),ISNUMBER(SEARCH("JOE SAUNDERS",C1055))),"Zelle to Joe Saunders",IF(OR(ISNUMBER(SEARCH("NEW ORLEANS",C1055)),ISNUMBER(SEARCH("KENNER",C1055)),ISNUMBER(SEARCH("HENRY HOWARD",C1055)),ISNUMBER(SEARCH("MISS CLAUDIA",C1055))),"Personal Travel - New Orleans",IFERROR(INDEX('Category Rules'!$B$2:$B$194,MATCH(TRUE,ISNUMBER(SEARCH('Category Rules'!$A$2:$A$194,C1055)),0)),"")))))))</f>
        <v>Personal - Shopping</v>
      </c>
    </row>
    <row r="1056" spans="1:7" x14ac:dyDescent="0.25">
      <c r="A1056" t="s">
        <v>6</v>
      </c>
      <c r="B1056" s="1">
        <v>46071</v>
      </c>
      <c r="C1056" t="s">
        <v>1007</v>
      </c>
      <c r="D1056">
        <v>-588</v>
      </c>
      <c r="E1056" t="s">
        <v>14</v>
      </c>
      <c r="F1056">
        <v>5160.96</v>
      </c>
      <c r="G1056" t="str" cm="1">
        <f t="array" ref="G1056">IF(AND(ISNUMBER(SEARCH("UBER",C1056)),ISNUMBER(SEARCH("EATS",C1056))),"Uber Eats",IF(LEFT(C1056,6)="CHECK ","Checks Paid",IF(OR(E1056="BILLPAY",ISNUMBER(SEARCH("FRANCHISE TAX",C1056)),ISNUMBER(SEARCH("NEXTLINK",C1056))),"Personal - House Bills",IF(AND(ISNUMBER(SEARCH("PAYMENT FROM",C1056)),ISNUMBER(SEARCH("JOE SAUNDERS",C1056))),"Zelle from Joe Saunders",IF(AND(ISNUMBER(SEARCH("PAYMENT TO",C1056)),ISNUMBER(SEARCH("JOE SAUNDERS",C1056))),"Zelle to Joe Saunders",IF(OR(ISNUMBER(SEARCH("NEW ORLEANS",C1056)),ISNUMBER(SEARCH("KENNER",C1056)),ISNUMBER(SEARCH("HENRY HOWARD",C1056)),ISNUMBER(SEARCH("MISS CLAUDIA",C1056))),"Personal Travel - New Orleans",IFERROR(INDEX('Category Rules'!$B$2:$B$194,MATCH(TRUE,ISNUMBER(SEARCH('Category Rules'!$A$2:$A$194,C1056)),0)),"")))))))</f>
        <v>Personal - Shopping</v>
      </c>
    </row>
    <row r="1057" spans="1:7" x14ac:dyDescent="0.25">
      <c r="A1057" t="s">
        <v>6</v>
      </c>
      <c r="B1057" s="1">
        <v>46071</v>
      </c>
      <c r="C1057" t="s">
        <v>1008</v>
      </c>
      <c r="D1057">
        <v>-500</v>
      </c>
      <c r="E1057" t="s">
        <v>169</v>
      </c>
      <c r="F1057">
        <v>5748.96</v>
      </c>
      <c r="G1057" t="str" cm="1">
        <f t="array" ref="G1057">IF(AND(ISNUMBER(SEARCH("UBER",C1057)),ISNUMBER(SEARCH("EATS",C1057))),"Uber Eats",IF(LEFT(C1057,6)="CHECK ","Checks Paid",IF(OR(E1057="BILLPAY",ISNUMBER(SEARCH("FRANCHISE TAX",C1057)),ISNUMBER(SEARCH("NEXTLINK",C1057))),"Personal - House Bills",IF(AND(ISNUMBER(SEARCH("PAYMENT FROM",C1057)),ISNUMBER(SEARCH("JOE SAUNDERS",C1057))),"Zelle from Joe Saunders",IF(AND(ISNUMBER(SEARCH("PAYMENT TO",C1057)),ISNUMBER(SEARCH("JOE SAUNDERS",C1057))),"Zelle to Joe Saunders",IF(OR(ISNUMBER(SEARCH("NEW ORLEANS",C1057)),ISNUMBER(SEARCH("KENNER",C1057)),ISNUMBER(SEARCH("HENRY HOWARD",C1057)),ISNUMBER(SEARCH("MISS CLAUDIA",C1057))),"Personal Travel - New Orleans",IFERROR(INDEX('Category Rules'!$B$2:$B$194,MATCH(TRUE,ISNUMBER(SEARCH('Category Rules'!$A$2:$A$194,C1057)),0)),"")))))))</f>
        <v>Zelle to Britt Magadini</v>
      </c>
    </row>
    <row r="1058" spans="1:7" x14ac:dyDescent="0.25">
      <c r="A1058" t="s">
        <v>6</v>
      </c>
      <c r="B1058" s="1">
        <v>46071</v>
      </c>
      <c r="C1058" t="s">
        <v>1009</v>
      </c>
      <c r="D1058">
        <v>-52.37</v>
      </c>
      <c r="E1058" t="s">
        <v>14</v>
      </c>
      <c r="F1058">
        <v>6248.96</v>
      </c>
      <c r="G1058" t="str" cm="1">
        <f t="array" ref="G1058">IF(AND(ISNUMBER(SEARCH("UBER",C1058)),ISNUMBER(SEARCH("EATS",C1058))),"Uber Eats",IF(LEFT(C1058,6)="CHECK ","Checks Paid",IF(OR(E1058="BILLPAY",ISNUMBER(SEARCH("FRANCHISE TAX",C1058)),ISNUMBER(SEARCH("NEXTLINK",C1058))),"Personal - House Bills",IF(AND(ISNUMBER(SEARCH("PAYMENT FROM",C1058)),ISNUMBER(SEARCH("JOE SAUNDERS",C1058))),"Zelle from Joe Saunders",IF(AND(ISNUMBER(SEARCH("PAYMENT TO",C1058)),ISNUMBER(SEARCH("JOE SAUNDERS",C1058))),"Zelle to Joe Saunders",IF(OR(ISNUMBER(SEARCH("NEW ORLEANS",C1058)),ISNUMBER(SEARCH("KENNER",C1058)),ISNUMBER(SEARCH("HENRY HOWARD",C1058)),ISNUMBER(SEARCH("MISS CLAUDIA",C1058))),"Personal Travel - New Orleans",IFERROR(INDEX('Category Rules'!$B$2:$B$194,MATCH(TRUE,ISNUMBER(SEARCH('Category Rules'!$A$2:$A$194,C1058)),0)),"")))))))</f>
        <v>Amazon</v>
      </c>
    </row>
    <row r="1059" spans="1:7" x14ac:dyDescent="0.25">
      <c r="A1059" t="s">
        <v>6</v>
      </c>
      <c r="B1059" s="1">
        <v>46071</v>
      </c>
      <c r="C1059" t="s">
        <v>1010</v>
      </c>
      <c r="D1059">
        <v>-50.48</v>
      </c>
      <c r="E1059" t="s">
        <v>14</v>
      </c>
      <c r="F1059">
        <v>6301.33</v>
      </c>
      <c r="G1059" t="str" cm="1">
        <f t="array" ref="G1059">IF(AND(ISNUMBER(SEARCH("UBER",C1059)),ISNUMBER(SEARCH("EATS",C1059))),"Uber Eats",IF(LEFT(C1059,6)="CHECK ","Checks Paid",IF(OR(E1059="BILLPAY",ISNUMBER(SEARCH("FRANCHISE TAX",C1059)),ISNUMBER(SEARCH("NEXTLINK",C1059))),"Personal - House Bills",IF(AND(ISNUMBER(SEARCH("PAYMENT FROM",C1059)),ISNUMBER(SEARCH("JOE SAUNDERS",C1059))),"Zelle from Joe Saunders",IF(AND(ISNUMBER(SEARCH("PAYMENT TO",C1059)),ISNUMBER(SEARCH("JOE SAUNDERS",C1059))),"Zelle to Joe Saunders",IF(OR(ISNUMBER(SEARCH("NEW ORLEANS",C1059)),ISNUMBER(SEARCH("KENNER",C1059)),ISNUMBER(SEARCH("HENRY HOWARD",C1059)),ISNUMBER(SEARCH("MISS CLAUDIA",C1059))),"Personal Travel - New Orleans",IFERROR(INDEX('Category Rules'!$B$2:$B$194,MATCH(TRUE,ISNUMBER(SEARCH('Category Rules'!$A$2:$A$194,C1059)),0)),"")))))))</f>
        <v>Shipping</v>
      </c>
    </row>
    <row r="1060" spans="1:7" x14ac:dyDescent="0.25">
      <c r="A1060" t="s">
        <v>6</v>
      </c>
      <c r="B1060" s="1">
        <v>46071</v>
      </c>
      <c r="C1060" t="s">
        <v>1011</v>
      </c>
      <c r="D1060">
        <v>-30</v>
      </c>
      <c r="E1060" t="s">
        <v>14</v>
      </c>
      <c r="F1060">
        <v>6351.81</v>
      </c>
      <c r="G1060" t="str" cm="1">
        <f t="array" ref="G1060">IF(AND(ISNUMBER(SEARCH("UBER",C1060)),ISNUMBER(SEARCH("EATS",C1060))),"Uber Eats",IF(LEFT(C1060,6)="CHECK ","Checks Paid",IF(OR(E1060="BILLPAY",ISNUMBER(SEARCH("FRANCHISE TAX",C1060)),ISNUMBER(SEARCH("NEXTLINK",C1060))),"Personal - House Bills",IF(AND(ISNUMBER(SEARCH("PAYMENT FROM",C1060)),ISNUMBER(SEARCH("JOE SAUNDERS",C1060))),"Zelle from Joe Saunders",IF(AND(ISNUMBER(SEARCH("PAYMENT TO",C1060)),ISNUMBER(SEARCH("JOE SAUNDERS",C1060))),"Zelle to Joe Saunders",IF(OR(ISNUMBER(SEARCH("NEW ORLEANS",C1060)),ISNUMBER(SEARCH("KENNER",C1060)),ISNUMBER(SEARCH("HENRY HOWARD",C1060)),ISNUMBER(SEARCH("MISS CLAUDIA",C1060))),"Personal Travel - New Orleans",IFERROR(INDEX('Category Rules'!$B$2:$B$194,MATCH(TRUE,ISNUMBER(SEARCH('Category Rules'!$A$2:$A$194,C1060)),0)),"")))))))</f>
        <v>Personal - Subscription</v>
      </c>
    </row>
    <row r="1061" spans="1:7" x14ac:dyDescent="0.25">
      <c r="A1061" t="s">
        <v>6</v>
      </c>
      <c r="B1061" s="1">
        <v>46070</v>
      </c>
      <c r="C1061" t="s">
        <v>1012</v>
      </c>
      <c r="D1061">
        <v>-487.24</v>
      </c>
      <c r="E1061" t="s">
        <v>14</v>
      </c>
      <c r="F1061">
        <v>6381.81</v>
      </c>
      <c r="G1061" t="str" cm="1">
        <f t="array" ref="G1061">IF(AND(ISNUMBER(SEARCH("UBER",C1061)),ISNUMBER(SEARCH("EATS",C1061))),"Uber Eats",IF(LEFT(C1061,6)="CHECK ","Checks Paid",IF(OR(E1061="BILLPAY",ISNUMBER(SEARCH("FRANCHISE TAX",C1061)),ISNUMBER(SEARCH("NEXTLINK",C1061))),"Personal - House Bills",IF(AND(ISNUMBER(SEARCH("PAYMENT FROM",C1061)),ISNUMBER(SEARCH("JOE SAUNDERS",C1061))),"Zelle from Joe Saunders",IF(AND(ISNUMBER(SEARCH("PAYMENT TO",C1061)),ISNUMBER(SEARCH("JOE SAUNDERS",C1061))),"Zelle to Joe Saunders",IF(OR(ISNUMBER(SEARCH("NEW ORLEANS",C1061)),ISNUMBER(SEARCH("KENNER",C1061)),ISNUMBER(SEARCH("HENRY HOWARD",C1061)),ISNUMBER(SEARCH("MISS CLAUDIA",C1061))),"Personal Travel - New Orleans",IFERROR(INDEX('Category Rules'!$B$2:$B$194,MATCH(TRUE,ISNUMBER(SEARCH('Category Rules'!$A$2:$A$194,C1061)),0)),"")))))))</f>
        <v>Personal - Health</v>
      </c>
    </row>
    <row r="1062" spans="1:7" x14ac:dyDescent="0.25">
      <c r="A1062" t="s">
        <v>6</v>
      </c>
      <c r="B1062" s="1">
        <v>46070</v>
      </c>
      <c r="C1062" t="s">
        <v>1013</v>
      </c>
      <c r="D1062">
        <v>-640</v>
      </c>
      <c r="E1062" t="s">
        <v>95</v>
      </c>
      <c r="F1062">
        <v>6869.05</v>
      </c>
      <c r="G1062" t="str" cm="1">
        <f t="array" ref="G1062">IF(AND(ISNUMBER(SEARCH("UBER",C1062)),ISNUMBER(SEARCH("EATS",C1062))),"Uber Eats",IF(LEFT(C1062,6)="CHECK ","Checks Paid",IF(OR(E1062="BILLPAY",ISNUMBER(SEARCH("FRANCHISE TAX",C1062)),ISNUMBER(SEARCH("NEXTLINK",C1062))),"Personal - House Bills",IF(AND(ISNUMBER(SEARCH("PAYMENT FROM",C1062)),ISNUMBER(SEARCH("JOE SAUNDERS",C1062))),"Zelle from Joe Saunders",IF(AND(ISNUMBER(SEARCH("PAYMENT TO",C1062)),ISNUMBER(SEARCH("JOE SAUNDERS",C1062))),"Zelle to Joe Saunders",IF(OR(ISNUMBER(SEARCH("NEW ORLEANS",C1062)),ISNUMBER(SEARCH("KENNER",C1062)),ISNUMBER(SEARCH("HENRY HOWARD",C1062)),ISNUMBER(SEARCH("MISS CLAUDIA",C1062))),"Personal Travel - New Orleans",IFERROR(INDEX('Category Rules'!$B$2:$B$194,MATCH(TRUE,ISNUMBER(SEARCH('Category Rules'!$A$2:$A$194,C1062)),0)),"")))))))</f>
        <v>Personal - House Bills</v>
      </c>
    </row>
    <row r="1063" spans="1:7" x14ac:dyDescent="0.25">
      <c r="A1063" t="s">
        <v>6</v>
      </c>
      <c r="B1063" s="1">
        <v>46070</v>
      </c>
      <c r="C1063" t="s">
        <v>1014</v>
      </c>
      <c r="D1063">
        <v>-131.85</v>
      </c>
      <c r="E1063" t="s">
        <v>14</v>
      </c>
      <c r="F1063">
        <v>7509.05</v>
      </c>
      <c r="G1063" t="str" cm="1">
        <f t="array" ref="G1063">IF(AND(ISNUMBER(SEARCH("UBER",C1063)),ISNUMBER(SEARCH("EATS",C1063))),"Uber Eats",IF(LEFT(C1063,6)="CHECK ","Checks Paid",IF(OR(E1063="BILLPAY",ISNUMBER(SEARCH("FRANCHISE TAX",C1063)),ISNUMBER(SEARCH("NEXTLINK",C1063))),"Personal - House Bills",IF(AND(ISNUMBER(SEARCH("PAYMENT FROM",C1063)),ISNUMBER(SEARCH("JOE SAUNDERS",C1063))),"Zelle from Joe Saunders",IF(AND(ISNUMBER(SEARCH("PAYMENT TO",C1063)),ISNUMBER(SEARCH("JOE SAUNDERS",C1063))),"Zelle to Joe Saunders",IF(OR(ISNUMBER(SEARCH("NEW ORLEANS",C1063)),ISNUMBER(SEARCH("KENNER",C1063)),ISNUMBER(SEARCH("HENRY HOWARD",C1063)),ISNUMBER(SEARCH("MISS CLAUDIA",C1063))),"Personal Travel - New Orleans",IFERROR(INDEX('Category Rules'!$B$2:$B$194,MATCH(TRUE,ISNUMBER(SEARCH('Category Rules'!$A$2:$A$194,C1063)),0)),"")))))))</f>
        <v>Amazon</v>
      </c>
    </row>
    <row r="1064" spans="1:7" x14ac:dyDescent="0.25">
      <c r="A1064" t="s">
        <v>6</v>
      </c>
      <c r="B1064" s="1">
        <v>46070</v>
      </c>
      <c r="C1064" t="s">
        <v>1015</v>
      </c>
      <c r="D1064">
        <v>-20</v>
      </c>
      <c r="E1064" t="s">
        <v>14</v>
      </c>
      <c r="F1064">
        <v>7640.9</v>
      </c>
      <c r="G1064" t="str" cm="1">
        <f t="array" ref="G1064">IF(AND(ISNUMBER(SEARCH("UBER",C1064)),ISNUMBER(SEARCH("EATS",C1064))),"Uber Eats",IF(LEFT(C1064,6)="CHECK ","Checks Paid",IF(OR(E1064="BILLPAY",ISNUMBER(SEARCH("FRANCHISE TAX",C1064)),ISNUMBER(SEARCH("NEXTLINK",C1064))),"Personal - House Bills",IF(AND(ISNUMBER(SEARCH("PAYMENT FROM",C1064)),ISNUMBER(SEARCH("JOE SAUNDERS",C1064))),"Zelle from Joe Saunders",IF(AND(ISNUMBER(SEARCH("PAYMENT TO",C1064)),ISNUMBER(SEARCH("JOE SAUNDERS",C1064))),"Zelle to Joe Saunders",IF(OR(ISNUMBER(SEARCH("NEW ORLEANS",C1064)),ISNUMBER(SEARCH("KENNER",C1064)),ISNUMBER(SEARCH("HENRY HOWARD",C1064)),ISNUMBER(SEARCH("MISS CLAUDIA",C1064))),"Personal Travel - New Orleans",IFERROR(INDEX('Category Rules'!$B$2:$B$194,MATCH(TRUE,ISNUMBER(SEARCH('Category Rules'!$A$2:$A$194,C1064)),0)),"")))))))</f>
        <v>Amazon</v>
      </c>
    </row>
    <row r="1065" spans="1:7" x14ac:dyDescent="0.25">
      <c r="A1065" t="s">
        <v>6</v>
      </c>
      <c r="B1065" s="1">
        <v>46070</v>
      </c>
      <c r="C1065" t="s">
        <v>1016</v>
      </c>
      <c r="D1065">
        <v>-60.35</v>
      </c>
      <c r="E1065" t="s">
        <v>14</v>
      </c>
      <c r="F1065">
        <v>7660.9</v>
      </c>
      <c r="G1065" t="str" cm="1">
        <f t="array" ref="G1065">IF(AND(ISNUMBER(SEARCH("UBER",C1065)),ISNUMBER(SEARCH("EATS",C1065))),"Uber Eats",IF(LEFT(C1065,6)="CHECK ","Checks Paid",IF(OR(E1065="BILLPAY",ISNUMBER(SEARCH("FRANCHISE TAX",C1065)),ISNUMBER(SEARCH("NEXTLINK",C1065))),"Personal - House Bills",IF(AND(ISNUMBER(SEARCH("PAYMENT FROM",C1065)),ISNUMBER(SEARCH("JOE SAUNDERS",C1065))),"Zelle from Joe Saunders",IF(AND(ISNUMBER(SEARCH("PAYMENT TO",C1065)),ISNUMBER(SEARCH("JOE SAUNDERS",C1065))),"Zelle to Joe Saunders",IF(OR(ISNUMBER(SEARCH("NEW ORLEANS",C1065)),ISNUMBER(SEARCH("KENNER",C1065)),ISNUMBER(SEARCH("HENRY HOWARD",C1065)),ISNUMBER(SEARCH("MISS CLAUDIA",C1065))),"Personal Travel - New Orleans",IFERROR(INDEX('Category Rules'!$B$2:$B$194,MATCH(TRUE,ISNUMBER(SEARCH('Category Rules'!$A$2:$A$194,C1065)),0)),"")))))))</f>
        <v>Amazon</v>
      </c>
    </row>
    <row r="1066" spans="1:7" x14ac:dyDescent="0.25">
      <c r="A1066" t="s">
        <v>6</v>
      </c>
      <c r="B1066" s="1">
        <v>46070</v>
      </c>
      <c r="C1066" t="s">
        <v>1017</v>
      </c>
      <c r="D1066">
        <v>-1365.34</v>
      </c>
      <c r="E1066" t="s">
        <v>14</v>
      </c>
      <c r="F1066">
        <v>7721.25</v>
      </c>
      <c r="G1066" t="str" cm="1">
        <f t="array" ref="G1066">IF(AND(ISNUMBER(SEARCH("UBER",C1066)),ISNUMBER(SEARCH("EATS",C1066))),"Uber Eats",IF(LEFT(C1066,6)="CHECK ","Checks Paid",IF(OR(E1066="BILLPAY",ISNUMBER(SEARCH("FRANCHISE TAX",C1066)),ISNUMBER(SEARCH("NEXTLINK",C1066))),"Personal - House Bills",IF(AND(ISNUMBER(SEARCH("PAYMENT FROM",C1066)),ISNUMBER(SEARCH("JOE SAUNDERS",C1066))),"Zelle from Joe Saunders",IF(AND(ISNUMBER(SEARCH("PAYMENT TO",C1066)),ISNUMBER(SEARCH("JOE SAUNDERS",C1066))),"Zelle to Joe Saunders",IF(OR(ISNUMBER(SEARCH("NEW ORLEANS",C1066)),ISNUMBER(SEARCH("KENNER",C1066)),ISNUMBER(SEARCH("HENRY HOWARD",C1066)),ISNUMBER(SEARCH("MISS CLAUDIA",C1066))),"Personal Travel - New Orleans",IFERROR(INDEX('Category Rules'!$B$2:$B$194,MATCH(TRUE,ISNUMBER(SEARCH('Category Rules'!$A$2:$A$194,C1066)),0)),"")))))))</f>
        <v>Personal - Shopping</v>
      </c>
    </row>
    <row r="1067" spans="1:7" x14ac:dyDescent="0.25">
      <c r="A1067" t="s">
        <v>6</v>
      </c>
      <c r="B1067" s="1">
        <v>46070</v>
      </c>
      <c r="C1067" t="s">
        <v>1018</v>
      </c>
      <c r="D1067">
        <v>-51.26</v>
      </c>
      <c r="E1067" t="s">
        <v>14</v>
      </c>
      <c r="F1067">
        <v>9086.59</v>
      </c>
      <c r="G1067" t="str" cm="1">
        <f t="array" ref="G1067">IF(AND(ISNUMBER(SEARCH("UBER",C1067)),ISNUMBER(SEARCH("EATS",C1067))),"Uber Eats",IF(LEFT(C1067,6)="CHECK ","Checks Paid",IF(OR(E1067="BILLPAY",ISNUMBER(SEARCH("FRANCHISE TAX",C1067)),ISNUMBER(SEARCH("NEXTLINK",C1067))),"Personal - House Bills",IF(AND(ISNUMBER(SEARCH("PAYMENT FROM",C1067)),ISNUMBER(SEARCH("JOE SAUNDERS",C1067))),"Zelle from Joe Saunders",IF(AND(ISNUMBER(SEARCH("PAYMENT TO",C1067)),ISNUMBER(SEARCH("JOE SAUNDERS",C1067))),"Zelle to Joe Saunders",IF(OR(ISNUMBER(SEARCH("NEW ORLEANS",C1067)),ISNUMBER(SEARCH("KENNER",C1067)),ISNUMBER(SEARCH("HENRY HOWARD",C1067)),ISNUMBER(SEARCH("MISS CLAUDIA",C1067))),"Personal Travel - New Orleans",IFERROR(INDEX('Category Rules'!$B$2:$B$194,MATCH(TRUE,ISNUMBER(SEARCH('Category Rules'!$A$2:$A$194,C1067)),0)),"")))))))</f>
        <v>Amazon</v>
      </c>
    </row>
    <row r="1068" spans="1:7" x14ac:dyDescent="0.25">
      <c r="A1068" t="s">
        <v>6</v>
      </c>
      <c r="B1068" s="1">
        <v>46070</v>
      </c>
      <c r="C1068" t="s">
        <v>1019</v>
      </c>
      <c r="D1068">
        <v>-44.57</v>
      </c>
      <c r="E1068" t="s">
        <v>14</v>
      </c>
      <c r="F1068">
        <v>9137.85</v>
      </c>
      <c r="G1068" t="str" cm="1">
        <f t="array" ref="G1068">IF(AND(ISNUMBER(SEARCH("UBER",C1068)),ISNUMBER(SEARCH("EATS",C1068))),"Uber Eats",IF(LEFT(C1068,6)="CHECK ","Checks Paid",IF(OR(E1068="BILLPAY",ISNUMBER(SEARCH("FRANCHISE TAX",C1068)),ISNUMBER(SEARCH("NEXTLINK",C1068))),"Personal - House Bills",IF(AND(ISNUMBER(SEARCH("PAYMENT FROM",C1068)),ISNUMBER(SEARCH("JOE SAUNDERS",C1068))),"Zelle from Joe Saunders",IF(AND(ISNUMBER(SEARCH("PAYMENT TO",C1068)),ISNUMBER(SEARCH("JOE SAUNDERS",C1068))),"Zelle to Joe Saunders",IF(OR(ISNUMBER(SEARCH("NEW ORLEANS",C1068)),ISNUMBER(SEARCH("KENNER",C1068)),ISNUMBER(SEARCH("HENRY HOWARD",C1068)),ISNUMBER(SEARCH("MISS CLAUDIA",C1068))),"Personal Travel - New Orleans",IFERROR(INDEX('Category Rules'!$B$2:$B$194,MATCH(TRUE,ISNUMBER(SEARCH('Category Rules'!$A$2:$A$194,C1068)),0)),"")))))))</f>
        <v>Amazon</v>
      </c>
    </row>
    <row r="1069" spans="1:7" x14ac:dyDescent="0.25">
      <c r="A1069" t="s">
        <v>6</v>
      </c>
      <c r="B1069" s="1">
        <v>46070</v>
      </c>
      <c r="C1069" t="s">
        <v>1020</v>
      </c>
      <c r="D1069">
        <v>-211.14</v>
      </c>
      <c r="E1069" t="s">
        <v>14</v>
      </c>
      <c r="F1069">
        <v>9182.42</v>
      </c>
      <c r="G1069" t="str" cm="1">
        <f t="array" ref="G1069">IF(AND(ISNUMBER(SEARCH("UBER",C1069)),ISNUMBER(SEARCH("EATS",C1069))),"Uber Eats",IF(LEFT(C1069,6)="CHECK ","Checks Paid",IF(OR(E1069="BILLPAY",ISNUMBER(SEARCH("FRANCHISE TAX",C1069)),ISNUMBER(SEARCH("NEXTLINK",C1069))),"Personal - House Bills",IF(AND(ISNUMBER(SEARCH("PAYMENT FROM",C1069)),ISNUMBER(SEARCH("JOE SAUNDERS",C1069))),"Zelle from Joe Saunders",IF(AND(ISNUMBER(SEARCH("PAYMENT TO",C1069)),ISNUMBER(SEARCH("JOE SAUNDERS",C1069))),"Zelle to Joe Saunders",IF(OR(ISNUMBER(SEARCH("NEW ORLEANS",C1069)),ISNUMBER(SEARCH("KENNER",C1069)),ISNUMBER(SEARCH("HENRY HOWARD",C1069)),ISNUMBER(SEARCH("MISS CLAUDIA",C1069))),"Personal Travel - New Orleans",IFERROR(INDEX('Category Rules'!$B$2:$B$194,MATCH(TRUE,ISNUMBER(SEARCH('Category Rules'!$A$2:$A$194,C1069)),0)),"")))))))</f>
        <v>Personal - Shopping</v>
      </c>
    </row>
    <row r="1070" spans="1:7" x14ac:dyDescent="0.25">
      <c r="A1070" t="s">
        <v>6</v>
      </c>
      <c r="B1070" s="1">
        <v>46070</v>
      </c>
      <c r="C1070" t="s">
        <v>1021</v>
      </c>
      <c r="D1070">
        <v>-1000</v>
      </c>
      <c r="E1070" t="s">
        <v>14</v>
      </c>
      <c r="F1070">
        <v>9393.56</v>
      </c>
      <c r="G1070" t="str" cm="1">
        <f t="array" ref="G1070">IF(AND(ISNUMBER(SEARCH("UBER",C1070)),ISNUMBER(SEARCH("EATS",C1070))),"Uber Eats",IF(LEFT(C1070,6)="CHECK ","Checks Paid",IF(OR(E1070="BILLPAY",ISNUMBER(SEARCH("FRANCHISE TAX",C1070)),ISNUMBER(SEARCH("NEXTLINK",C1070))),"Personal - House Bills",IF(AND(ISNUMBER(SEARCH("PAYMENT FROM",C1070)),ISNUMBER(SEARCH("JOE SAUNDERS",C1070))),"Zelle from Joe Saunders",IF(AND(ISNUMBER(SEARCH("PAYMENT TO",C1070)),ISNUMBER(SEARCH("JOE SAUNDERS",C1070))),"Zelle to Joe Saunders",IF(OR(ISNUMBER(SEARCH("NEW ORLEANS",C1070)),ISNUMBER(SEARCH("KENNER",C1070)),ISNUMBER(SEARCH("HENRY HOWARD",C1070)),ISNUMBER(SEARCH("MISS CLAUDIA",C1070))),"Personal Travel - New Orleans",IFERROR(INDEX('Category Rules'!$B$2:$B$194,MATCH(TRUE,ISNUMBER(SEARCH('Category Rules'!$A$2:$A$194,C1070)),0)),"")))))))</f>
        <v>Apple</v>
      </c>
    </row>
    <row r="1071" spans="1:7" x14ac:dyDescent="0.25">
      <c r="A1071" t="s">
        <v>6</v>
      </c>
      <c r="B1071" s="1">
        <v>46070</v>
      </c>
      <c r="C1071" t="s">
        <v>1022</v>
      </c>
      <c r="D1071">
        <v>-91.56</v>
      </c>
      <c r="E1071" t="s">
        <v>14</v>
      </c>
      <c r="F1071">
        <v>10393.56</v>
      </c>
      <c r="G1071" t="str" cm="1">
        <f t="array" ref="G1071">IF(AND(ISNUMBER(SEARCH("UBER",C1071)),ISNUMBER(SEARCH("EATS",C1071))),"Uber Eats",IF(LEFT(C1071,6)="CHECK ","Checks Paid",IF(OR(E1071="BILLPAY",ISNUMBER(SEARCH("FRANCHISE TAX",C1071)),ISNUMBER(SEARCH("NEXTLINK",C1071))),"Personal - House Bills",IF(AND(ISNUMBER(SEARCH("PAYMENT FROM",C1071)),ISNUMBER(SEARCH("JOE SAUNDERS",C1071))),"Zelle from Joe Saunders",IF(AND(ISNUMBER(SEARCH("PAYMENT TO",C1071)),ISNUMBER(SEARCH("JOE SAUNDERS",C1071))),"Zelle to Joe Saunders",IF(OR(ISNUMBER(SEARCH("NEW ORLEANS",C1071)),ISNUMBER(SEARCH("KENNER",C1071)),ISNUMBER(SEARCH("HENRY HOWARD",C1071)),ISNUMBER(SEARCH("MISS CLAUDIA",C1071))),"Personal Travel - New Orleans",IFERROR(INDEX('Category Rules'!$B$2:$B$194,MATCH(TRUE,ISNUMBER(SEARCH('Category Rules'!$A$2:$A$194,C1071)),0)),"")))))))</f>
        <v>Personal - Health</v>
      </c>
    </row>
    <row r="1072" spans="1:7" x14ac:dyDescent="0.25">
      <c r="A1072" t="s">
        <v>6</v>
      </c>
      <c r="B1072" s="1">
        <v>46070</v>
      </c>
      <c r="C1072" t="s">
        <v>1023</v>
      </c>
      <c r="D1072">
        <v>-84.7</v>
      </c>
      <c r="E1072" t="s">
        <v>14</v>
      </c>
      <c r="F1072">
        <v>10485.120000000001</v>
      </c>
      <c r="G1072" t="str" cm="1">
        <f t="array" ref="G1072">IF(AND(ISNUMBER(SEARCH("UBER",C1072)),ISNUMBER(SEARCH("EATS",C1072))),"Uber Eats",IF(LEFT(C1072,6)="CHECK ","Checks Paid",IF(OR(E1072="BILLPAY",ISNUMBER(SEARCH("FRANCHISE TAX",C1072)),ISNUMBER(SEARCH("NEXTLINK",C1072))),"Personal - House Bills",IF(AND(ISNUMBER(SEARCH("PAYMENT FROM",C1072)),ISNUMBER(SEARCH("JOE SAUNDERS",C1072))),"Zelle from Joe Saunders",IF(AND(ISNUMBER(SEARCH("PAYMENT TO",C1072)),ISNUMBER(SEARCH("JOE SAUNDERS",C1072))),"Zelle to Joe Saunders",IF(OR(ISNUMBER(SEARCH("NEW ORLEANS",C1072)),ISNUMBER(SEARCH("KENNER",C1072)),ISNUMBER(SEARCH("HENRY HOWARD",C1072)),ISNUMBER(SEARCH("MISS CLAUDIA",C1072))),"Personal Travel - New Orleans",IFERROR(INDEX('Category Rules'!$B$2:$B$194,MATCH(TRUE,ISNUMBER(SEARCH('Category Rules'!$A$2:$A$194,C1072)),0)),"")))))))</f>
        <v>Personal - Entertainment</v>
      </c>
    </row>
    <row r="1073" spans="1:7" x14ac:dyDescent="0.25">
      <c r="A1073" t="s">
        <v>6</v>
      </c>
      <c r="B1073" s="1">
        <v>46070</v>
      </c>
      <c r="C1073" t="s">
        <v>1024</v>
      </c>
      <c r="D1073">
        <v>-393.96</v>
      </c>
      <c r="E1073" t="s">
        <v>14</v>
      </c>
      <c r="F1073">
        <v>10569.82</v>
      </c>
      <c r="G1073" t="str" cm="1">
        <f t="array" ref="G1073">IF(AND(ISNUMBER(SEARCH("UBER",C1073)),ISNUMBER(SEARCH("EATS",C1073))),"Uber Eats",IF(LEFT(C1073,6)="CHECK ","Checks Paid",IF(OR(E1073="BILLPAY",ISNUMBER(SEARCH("FRANCHISE TAX",C1073)),ISNUMBER(SEARCH("NEXTLINK",C1073))),"Personal - House Bills",IF(AND(ISNUMBER(SEARCH("PAYMENT FROM",C1073)),ISNUMBER(SEARCH("JOE SAUNDERS",C1073))),"Zelle from Joe Saunders",IF(AND(ISNUMBER(SEARCH("PAYMENT TO",C1073)),ISNUMBER(SEARCH("JOE SAUNDERS",C1073))),"Zelle to Joe Saunders",IF(OR(ISNUMBER(SEARCH("NEW ORLEANS",C1073)),ISNUMBER(SEARCH("KENNER",C1073)),ISNUMBER(SEARCH("HENRY HOWARD",C1073)),ISNUMBER(SEARCH("MISS CLAUDIA",C1073))),"Personal Travel - New Orleans",IFERROR(INDEX('Category Rules'!$B$2:$B$194,MATCH(TRUE,ISNUMBER(SEARCH('Category Rules'!$A$2:$A$194,C1073)),0)),"")))))))</f>
        <v>Frontier</v>
      </c>
    </row>
    <row r="1074" spans="1:7" x14ac:dyDescent="0.25">
      <c r="A1074" t="s">
        <v>6</v>
      </c>
      <c r="B1074" s="1">
        <v>46070</v>
      </c>
      <c r="C1074" t="s">
        <v>1025</v>
      </c>
      <c r="D1074">
        <v>-118.4</v>
      </c>
      <c r="E1074" t="s">
        <v>14</v>
      </c>
      <c r="F1074">
        <v>10963.78</v>
      </c>
      <c r="G1074" t="str" cm="1">
        <f t="array" ref="G1074">IF(AND(ISNUMBER(SEARCH("UBER",C1074)),ISNUMBER(SEARCH("EATS",C1074))),"Uber Eats",IF(LEFT(C1074,6)="CHECK ","Checks Paid",IF(OR(E1074="BILLPAY",ISNUMBER(SEARCH("FRANCHISE TAX",C1074)),ISNUMBER(SEARCH("NEXTLINK",C1074))),"Personal - House Bills",IF(AND(ISNUMBER(SEARCH("PAYMENT FROM",C1074)),ISNUMBER(SEARCH("JOE SAUNDERS",C1074))),"Zelle from Joe Saunders",IF(AND(ISNUMBER(SEARCH("PAYMENT TO",C1074)),ISNUMBER(SEARCH("JOE SAUNDERS",C1074))),"Zelle to Joe Saunders",IF(OR(ISNUMBER(SEARCH("NEW ORLEANS",C1074)),ISNUMBER(SEARCH("KENNER",C1074)),ISNUMBER(SEARCH("HENRY HOWARD",C1074)),ISNUMBER(SEARCH("MISS CLAUDIA",C1074))),"Personal Travel - New Orleans",IFERROR(INDEX('Category Rules'!$B$2:$B$194,MATCH(TRUE,ISNUMBER(SEARCH('Category Rules'!$A$2:$A$194,C1074)),0)),"")))))))</f>
        <v>Personal Travel</v>
      </c>
    </row>
    <row r="1075" spans="1:7" x14ac:dyDescent="0.25">
      <c r="A1075" t="s">
        <v>6</v>
      </c>
      <c r="B1075" s="1">
        <v>46070</v>
      </c>
      <c r="C1075" t="s">
        <v>1025</v>
      </c>
      <c r="D1075">
        <v>-118.4</v>
      </c>
      <c r="E1075" t="s">
        <v>14</v>
      </c>
      <c r="F1075">
        <v>11082.18</v>
      </c>
      <c r="G1075" t="str" cm="1">
        <f t="array" ref="G1075">IF(AND(ISNUMBER(SEARCH("UBER",C1075)),ISNUMBER(SEARCH("EATS",C1075))),"Uber Eats",IF(LEFT(C1075,6)="CHECK ","Checks Paid",IF(OR(E1075="BILLPAY",ISNUMBER(SEARCH("FRANCHISE TAX",C1075)),ISNUMBER(SEARCH("NEXTLINK",C1075))),"Personal - House Bills",IF(AND(ISNUMBER(SEARCH("PAYMENT FROM",C1075)),ISNUMBER(SEARCH("JOE SAUNDERS",C1075))),"Zelle from Joe Saunders",IF(AND(ISNUMBER(SEARCH("PAYMENT TO",C1075)),ISNUMBER(SEARCH("JOE SAUNDERS",C1075))),"Zelle to Joe Saunders",IF(OR(ISNUMBER(SEARCH("NEW ORLEANS",C1075)),ISNUMBER(SEARCH("KENNER",C1075)),ISNUMBER(SEARCH("HENRY HOWARD",C1075)),ISNUMBER(SEARCH("MISS CLAUDIA",C1075))),"Personal Travel - New Orleans",IFERROR(INDEX('Category Rules'!$B$2:$B$194,MATCH(TRUE,ISNUMBER(SEARCH('Category Rules'!$A$2:$A$194,C1075)),0)),"")))))))</f>
        <v>Personal Travel</v>
      </c>
    </row>
    <row r="1076" spans="1:7" x14ac:dyDescent="0.25">
      <c r="A1076" t="s">
        <v>6</v>
      </c>
      <c r="B1076" s="1">
        <v>46070</v>
      </c>
      <c r="C1076" t="s">
        <v>1026</v>
      </c>
      <c r="D1076">
        <v>-0.9</v>
      </c>
      <c r="E1076" t="s">
        <v>14</v>
      </c>
      <c r="F1076">
        <v>11200.58</v>
      </c>
      <c r="G1076" t="str" cm="1">
        <f t="array" ref="G1076">IF(AND(ISNUMBER(SEARCH("UBER",C1076)),ISNUMBER(SEARCH("EATS",C1076))),"Uber Eats",IF(LEFT(C1076,6)="CHECK ","Checks Paid",IF(OR(E1076="BILLPAY",ISNUMBER(SEARCH("FRANCHISE TAX",C1076)),ISNUMBER(SEARCH("NEXTLINK",C1076))),"Personal - House Bills",IF(AND(ISNUMBER(SEARCH("PAYMENT FROM",C1076)),ISNUMBER(SEARCH("JOE SAUNDERS",C1076))),"Zelle from Joe Saunders",IF(AND(ISNUMBER(SEARCH("PAYMENT TO",C1076)),ISNUMBER(SEARCH("JOE SAUNDERS",C1076))),"Zelle to Joe Saunders",IF(OR(ISNUMBER(SEARCH("NEW ORLEANS",C1076)),ISNUMBER(SEARCH("KENNER",C1076)),ISNUMBER(SEARCH("HENRY HOWARD",C1076)),ISNUMBER(SEARCH("MISS CLAUDIA",C1076))),"Personal Travel - New Orleans",IFERROR(INDEX('Category Rules'!$B$2:$B$194,MATCH(TRUE,ISNUMBER(SEARCH('Category Rules'!$A$2:$A$194,C1076)),0)),"")))))))</f>
        <v>Personal Travel</v>
      </c>
    </row>
    <row r="1077" spans="1:7" x14ac:dyDescent="0.25">
      <c r="A1077" t="s">
        <v>6</v>
      </c>
      <c r="B1077" s="1">
        <v>46070</v>
      </c>
      <c r="C1077" t="s">
        <v>1027</v>
      </c>
      <c r="D1077">
        <v>-235.6</v>
      </c>
      <c r="E1077" t="s">
        <v>14</v>
      </c>
      <c r="F1077">
        <v>11201.48</v>
      </c>
      <c r="G1077" t="str" cm="1">
        <f t="array" ref="G1077">IF(AND(ISNUMBER(SEARCH("UBER",C1077)),ISNUMBER(SEARCH("EATS",C1077))),"Uber Eats",IF(LEFT(C1077,6)="CHECK ","Checks Paid",IF(OR(E1077="BILLPAY",ISNUMBER(SEARCH("FRANCHISE TAX",C1077)),ISNUMBER(SEARCH("NEXTLINK",C1077))),"Personal - House Bills",IF(AND(ISNUMBER(SEARCH("PAYMENT FROM",C1077)),ISNUMBER(SEARCH("JOE SAUNDERS",C1077))),"Zelle from Joe Saunders",IF(AND(ISNUMBER(SEARCH("PAYMENT TO",C1077)),ISNUMBER(SEARCH("JOE SAUNDERS",C1077))),"Zelle to Joe Saunders",IF(OR(ISNUMBER(SEARCH("NEW ORLEANS",C1077)),ISNUMBER(SEARCH("KENNER",C1077)),ISNUMBER(SEARCH("HENRY HOWARD",C1077)),ISNUMBER(SEARCH("MISS CLAUDIA",C1077))),"Personal Travel - New Orleans",IFERROR(INDEX('Category Rules'!$B$2:$B$194,MATCH(TRUE,ISNUMBER(SEARCH('Category Rules'!$A$2:$A$194,C1077)),0)),"")))))))</f>
        <v>Personal - Shopping</v>
      </c>
    </row>
    <row r="1078" spans="1:7" x14ac:dyDescent="0.25">
      <c r="A1078" t="s">
        <v>6</v>
      </c>
      <c r="B1078" s="1">
        <v>46070</v>
      </c>
      <c r="C1078" t="s">
        <v>1028</v>
      </c>
      <c r="D1078">
        <v>-16.45</v>
      </c>
      <c r="E1078" t="s">
        <v>14</v>
      </c>
      <c r="F1078">
        <v>11437.08</v>
      </c>
      <c r="G1078" t="str" cm="1">
        <f t="array" ref="G1078">IF(AND(ISNUMBER(SEARCH("UBER",C1078)),ISNUMBER(SEARCH("EATS",C1078))),"Uber Eats",IF(LEFT(C1078,6)="CHECK ","Checks Paid",IF(OR(E1078="BILLPAY",ISNUMBER(SEARCH("FRANCHISE TAX",C1078)),ISNUMBER(SEARCH("NEXTLINK",C1078))),"Personal - House Bills",IF(AND(ISNUMBER(SEARCH("PAYMENT FROM",C1078)),ISNUMBER(SEARCH("JOE SAUNDERS",C1078))),"Zelle from Joe Saunders",IF(AND(ISNUMBER(SEARCH("PAYMENT TO",C1078)),ISNUMBER(SEARCH("JOE SAUNDERS",C1078))),"Zelle to Joe Saunders",IF(OR(ISNUMBER(SEARCH("NEW ORLEANS",C1078)),ISNUMBER(SEARCH("KENNER",C1078)),ISNUMBER(SEARCH("HENRY HOWARD",C1078)),ISNUMBER(SEARCH("MISS CLAUDIA",C1078))),"Personal Travel - New Orleans",IFERROR(INDEX('Category Rules'!$B$2:$B$194,MATCH(TRUE,ISNUMBER(SEARCH('Category Rules'!$A$2:$A$194,C1078)),0)),"")))))))</f>
        <v>Amazon</v>
      </c>
    </row>
    <row r="1079" spans="1:7" x14ac:dyDescent="0.25">
      <c r="A1079" t="s">
        <v>6</v>
      </c>
      <c r="B1079" s="1">
        <v>46070</v>
      </c>
      <c r="C1079" t="s">
        <v>1029</v>
      </c>
      <c r="D1079">
        <v>-59.99</v>
      </c>
      <c r="E1079" t="s">
        <v>14</v>
      </c>
      <c r="F1079">
        <v>11453.53</v>
      </c>
      <c r="G1079" t="str" cm="1">
        <f t="array" ref="G1079">IF(AND(ISNUMBER(SEARCH("UBER",C1079)),ISNUMBER(SEARCH("EATS",C1079))),"Uber Eats",IF(LEFT(C1079,6)="CHECK ","Checks Paid",IF(OR(E1079="BILLPAY",ISNUMBER(SEARCH("FRANCHISE TAX",C1079)),ISNUMBER(SEARCH("NEXTLINK",C1079))),"Personal - House Bills",IF(AND(ISNUMBER(SEARCH("PAYMENT FROM",C1079)),ISNUMBER(SEARCH("JOE SAUNDERS",C1079))),"Zelle from Joe Saunders",IF(AND(ISNUMBER(SEARCH("PAYMENT TO",C1079)),ISNUMBER(SEARCH("JOE SAUNDERS",C1079))),"Zelle to Joe Saunders",IF(OR(ISNUMBER(SEARCH("NEW ORLEANS",C1079)),ISNUMBER(SEARCH("KENNER",C1079)),ISNUMBER(SEARCH("HENRY HOWARD",C1079)),ISNUMBER(SEARCH("MISS CLAUDIA",C1079))),"Personal Travel - New Orleans",IFERROR(INDEX('Category Rules'!$B$2:$B$194,MATCH(TRUE,ISNUMBER(SEARCH('Category Rules'!$A$2:$A$194,C1079)),0)),"")))))))</f>
        <v>Apple</v>
      </c>
    </row>
    <row r="1080" spans="1:7" x14ac:dyDescent="0.25">
      <c r="A1080" t="s">
        <v>6</v>
      </c>
      <c r="B1080" s="1">
        <v>46070</v>
      </c>
      <c r="C1080" t="s">
        <v>1030</v>
      </c>
      <c r="D1080">
        <v>-18.489999999999998</v>
      </c>
      <c r="E1080" t="s">
        <v>14</v>
      </c>
      <c r="F1080">
        <v>11513.52</v>
      </c>
      <c r="G1080" t="str" cm="1">
        <f t="array" ref="G1080">IF(AND(ISNUMBER(SEARCH("UBER",C1080)),ISNUMBER(SEARCH("EATS",C1080))),"Uber Eats",IF(LEFT(C1080,6)="CHECK ","Checks Paid",IF(OR(E1080="BILLPAY",ISNUMBER(SEARCH("FRANCHISE TAX",C1080)),ISNUMBER(SEARCH("NEXTLINK",C1080))),"Personal - House Bills",IF(AND(ISNUMBER(SEARCH("PAYMENT FROM",C1080)),ISNUMBER(SEARCH("JOE SAUNDERS",C1080))),"Zelle from Joe Saunders",IF(AND(ISNUMBER(SEARCH("PAYMENT TO",C1080)),ISNUMBER(SEARCH("JOE SAUNDERS",C1080))),"Zelle to Joe Saunders",IF(OR(ISNUMBER(SEARCH("NEW ORLEANS",C1080)),ISNUMBER(SEARCH("KENNER",C1080)),ISNUMBER(SEARCH("HENRY HOWARD",C1080)),ISNUMBER(SEARCH("MISS CLAUDIA",C1080))),"Personal Travel - New Orleans",IFERROR(INDEX('Category Rules'!$B$2:$B$194,MATCH(TRUE,ISNUMBER(SEARCH('Category Rules'!$A$2:$A$194,C1080)),0)),"")))))))</f>
        <v>Amazon</v>
      </c>
    </row>
    <row r="1081" spans="1:7" x14ac:dyDescent="0.25">
      <c r="A1081" t="s">
        <v>6</v>
      </c>
      <c r="B1081" s="1">
        <v>46070</v>
      </c>
      <c r="C1081" t="s">
        <v>1031</v>
      </c>
      <c r="D1081">
        <v>-14.16</v>
      </c>
      <c r="E1081" t="s">
        <v>14</v>
      </c>
      <c r="F1081">
        <v>11532.01</v>
      </c>
      <c r="G1081" t="str" cm="1">
        <f t="array" ref="G1081">IF(AND(ISNUMBER(SEARCH("UBER",C1081)),ISNUMBER(SEARCH("EATS",C1081))),"Uber Eats",IF(LEFT(C1081,6)="CHECK ","Checks Paid",IF(OR(E1081="BILLPAY",ISNUMBER(SEARCH("FRANCHISE TAX",C1081)),ISNUMBER(SEARCH("NEXTLINK",C1081))),"Personal - House Bills",IF(AND(ISNUMBER(SEARCH("PAYMENT FROM",C1081)),ISNUMBER(SEARCH("JOE SAUNDERS",C1081))),"Zelle from Joe Saunders",IF(AND(ISNUMBER(SEARCH("PAYMENT TO",C1081)),ISNUMBER(SEARCH("JOE SAUNDERS",C1081))),"Zelle to Joe Saunders",IF(OR(ISNUMBER(SEARCH("NEW ORLEANS",C1081)),ISNUMBER(SEARCH("KENNER",C1081)),ISNUMBER(SEARCH("HENRY HOWARD",C1081)),ISNUMBER(SEARCH("MISS CLAUDIA",C1081))),"Personal Travel - New Orleans",IFERROR(INDEX('Category Rules'!$B$2:$B$194,MATCH(TRUE,ISNUMBER(SEARCH('Category Rules'!$A$2:$A$194,C1081)),0)),"")))))))</f>
        <v>Amazon</v>
      </c>
    </row>
    <row r="1082" spans="1:7" x14ac:dyDescent="0.25">
      <c r="A1082" t="s">
        <v>6</v>
      </c>
      <c r="B1082" s="1">
        <v>46070</v>
      </c>
      <c r="C1082" t="s">
        <v>1032</v>
      </c>
      <c r="D1082">
        <v>-17.399999999999999</v>
      </c>
      <c r="E1082" t="s">
        <v>14</v>
      </c>
      <c r="F1082">
        <v>11546.17</v>
      </c>
      <c r="G1082" t="str" cm="1">
        <f t="array" ref="G1082">IF(AND(ISNUMBER(SEARCH("UBER",C1082)),ISNUMBER(SEARCH("EATS",C1082))),"Uber Eats",IF(LEFT(C1082,6)="CHECK ","Checks Paid",IF(OR(E1082="BILLPAY",ISNUMBER(SEARCH("FRANCHISE TAX",C1082)),ISNUMBER(SEARCH("NEXTLINK",C1082))),"Personal - House Bills",IF(AND(ISNUMBER(SEARCH("PAYMENT FROM",C1082)),ISNUMBER(SEARCH("JOE SAUNDERS",C1082))),"Zelle from Joe Saunders",IF(AND(ISNUMBER(SEARCH("PAYMENT TO",C1082)),ISNUMBER(SEARCH("JOE SAUNDERS",C1082))),"Zelle to Joe Saunders",IF(OR(ISNUMBER(SEARCH("NEW ORLEANS",C1082)),ISNUMBER(SEARCH("KENNER",C1082)),ISNUMBER(SEARCH("HENRY HOWARD",C1082)),ISNUMBER(SEARCH("MISS CLAUDIA",C1082))),"Personal Travel - New Orleans",IFERROR(INDEX('Category Rules'!$B$2:$B$194,MATCH(TRUE,ISNUMBER(SEARCH('Category Rules'!$A$2:$A$194,C1082)),0)),"")))))))</f>
        <v>Amazon</v>
      </c>
    </row>
    <row r="1083" spans="1:7" x14ac:dyDescent="0.25">
      <c r="A1083" t="s">
        <v>6</v>
      </c>
      <c r="B1083" s="1">
        <v>46070</v>
      </c>
      <c r="C1083" t="s">
        <v>1033</v>
      </c>
      <c r="D1083">
        <v>-10</v>
      </c>
      <c r="E1083" t="s">
        <v>14</v>
      </c>
      <c r="F1083">
        <v>11563.57</v>
      </c>
      <c r="G1083" t="str" cm="1">
        <f t="array" ref="G1083">IF(AND(ISNUMBER(SEARCH("UBER",C1083)),ISNUMBER(SEARCH("EATS",C1083))),"Uber Eats",IF(LEFT(C1083,6)="CHECK ","Checks Paid",IF(OR(E1083="BILLPAY",ISNUMBER(SEARCH("FRANCHISE TAX",C1083)),ISNUMBER(SEARCH("NEXTLINK",C1083))),"Personal - House Bills",IF(AND(ISNUMBER(SEARCH("PAYMENT FROM",C1083)),ISNUMBER(SEARCH("JOE SAUNDERS",C1083))),"Zelle from Joe Saunders",IF(AND(ISNUMBER(SEARCH("PAYMENT TO",C1083)),ISNUMBER(SEARCH("JOE SAUNDERS",C1083))),"Zelle to Joe Saunders",IF(OR(ISNUMBER(SEARCH("NEW ORLEANS",C1083)),ISNUMBER(SEARCH("KENNER",C1083)),ISNUMBER(SEARCH("HENRY HOWARD",C1083)),ISNUMBER(SEARCH("MISS CLAUDIA",C1083))),"Personal Travel - New Orleans",IFERROR(INDEX('Category Rules'!$B$2:$B$194,MATCH(TRUE,ISNUMBER(SEARCH('Category Rules'!$A$2:$A$194,C1083)),0)),"")))))))</f>
        <v>Amazon</v>
      </c>
    </row>
    <row r="1084" spans="1:7" x14ac:dyDescent="0.25">
      <c r="A1084" t="s">
        <v>6</v>
      </c>
      <c r="B1084" s="1">
        <v>46070</v>
      </c>
      <c r="C1084" t="s">
        <v>1034</v>
      </c>
      <c r="D1084">
        <v>-48.6</v>
      </c>
      <c r="E1084" t="s">
        <v>14</v>
      </c>
      <c r="F1084">
        <v>11573.57</v>
      </c>
      <c r="G1084" t="str" cm="1">
        <f t="array" ref="G1084">IF(AND(ISNUMBER(SEARCH("UBER",C1084)),ISNUMBER(SEARCH("EATS",C1084))),"Uber Eats",IF(LEFT(C1084,6)="CHECK ","Checks Paid",IF(OR(E1084="BILLPAY",ISNUMBER(SEARCH("FRANCHISE TAX",C1084)),ISNUMBER(SEARCH("NEXTLINK",C1084))),"Personal - House Bills",IF(AND(ISNUMBER(SEARCH("PAYMENT FROM",C1084)),ISNUMBER(SEARCH("JOE SAUNDERS",C1084))),"Zelle from Joe Saunders",IF(AND(ISNUMBER(SEARCH("PAYMENT TO",C1084)),ISNUMBER(SEARCH("JOE SAUNDERS",C1084))),"Zelle to Joe Saunders",IF(OR(ISNUMBER(SEARCH("NEW ORLEANS",C1084)),ISNUMBER(SEARCH("KENNER",C1084)),ISNUMBER(SEARCH("HENRY HOWARD",C1084)),ISNUMBER(SEARCH("MISS CLAUDIA",C1084))),"Personal Travel - New Orleans",IFERROR(INDEX('Category Rules'!$B$2:$B$194,MATCH(TRUE,ISNUMBER(SEARCH('Category Rules'!$A$2:$A$194,C1084)),0)),"")))))))</f>
        <v>Personal - Entertainment</v>
      </c>
    </row>
    <row r="1085" spans="1:7" x14ac:dyDescent="0.25">
      <c r="A1085" t="s">
        <v>37</v>
      </c>
      <c r="B1085" s="1">
        <v>46070</v>
      </c>
      <c r="C1085" t="s">
        <v>1035</v>
      </c>
      <c r="D1085">
        <v>10000</v>
      </c>
      <c r="E1085" t="s">
        <v>39</v>
      </c>
      <c r="F1085">
        <v>11622.17</v>
      </c>
      <c r="G1085" t="str" cm="1">
        <f t="array" ref="G1085">IF(AND(ISNUMBER(SEARCH("UBER",C1085)),ISNUMBER(SEARCH("EATS",C1085))),"Uber Eats",IF(LEFT(C1085,6)="CHECK ","Checks Paid",IF(OR(E1085="BILLPAY",ISNUMBER(SEARCH("FRANCHISE TAX",C1085)),ISNUMBER(SEARCH("NEXTLINK",C1085))),"Personal - House Bills",IF(AND(ISNUMBER(SEARCH("PAYMENT FROM",C1085)),ISNUMBER(SEARCH("JOE SAUNDERS",C1085))),"Zelle from Joe Saunders",IF(AND(ISNUMBER(SEARCH("PAYMENT TO",C1085)),ISNUMBER(SEARCH("JOE SAUNDERS",C1085))),"Zelle to Joe Saunders",IF(OR(ISNUMBER(SEARCH("NEW ORLEANS",C1085)),ISNUMBER(SEARCH("KENNER",C1085)),ISNUMBER(SEARCH("HENRY HOWARD",C1085)),ISNUMBER(SEARCH("MISS CLAUDIA",C1085))),"Personal Travel - New Orleans",IFERROR(INDEX('Category Rules'!$B$2:$B$194,MATCH(TRUE,ISNUMBER(SEARCH('Category Rules'!$A$2:$A$194,C1085)),0)),"")))))))</f>
        <v>Transfer from DWG Capital Group</v>
      </c>
    </row>
    <row r="1086" spans="1:7" x14ac:dyDescent="0.25">
      <c r="A1086" t="s">
        <v>6</v>
      </c>
      <c r="B1086" s="1">
        <v>46066</v>
      </c>
      <c r="C1086" t="s">
        <v>1036</v>
      </c>
      <c r="D1086">
        <v>-198.36</v>
      </c>
      <c r="E1086" t="s">
        <v>14</v>
      </c>
      <c r="F1086">
        <v>1622.17</v>
      </c>
      <c r="G1086" t="str" cm="1">
        <f t="array" ref="G1086">IF(AND(ISNUMBER(SEARCH("UBER",C1086)),ISNUMBER(SEARCH("EATS",C1086))),"Uber Eats",IF(LEFT(C1086,6)="CHECK ","Checks Paid",IF(OR(E1086="BILLPAY",ISNUMBER(SEARCH("FRANCHISE TAX",C1086)),ISNUMBER(SEARCH("NEXTLINK",C1086))),"Personal - House Bills",IF(AND(ISNUMBER(SEARCH("PAYMENT FROM",C1086)),ISNUMBER(SEARCH("JOE SAUNDERS",C1086))),"Zelle from Joe Saunders",IF(AND(ISNUMBER(SEARCH("PAYMENT TO",C1086)),ISNUMBER(SEARCH("JOE SAUNDERS",C1086))),"Zelle to Joe Saunders",IF(OR(ISNUMBER(SEARCH("NEW ORLEANS",C1086)),ISNUMBER(SEARCH("KENNER",C1086)),ISNUMBER(SEARCH("HENRY HOWARD",C1086)),ISNUMBER(SEARCH("MISS CLAUDIA",C1086))),"Personal Travel - New Orleans",IFERROR(INDEX('Category Rules'!$B$2:$B$194,MATCH(TRUE,ISNUMBER(SEARCH('Category Rules'!$A$2:$A$194,C1086)),0)),"")))))))</f>
        <v>Amazon</v>
      </c>
    </row>
    <row r="1087" spans="1:7" x14ac:dyDescent="0.25">
      <c r="A1087" t="s">
        <v>6</v>
      </c>
      <c r="B1087" s="1">
        <v>46066</v>
      </c>
      <c r="C1087" t="s">
        <v>1037</v>
      </c>
      <c r="D1087">
        <v>-157</v>
      </c>
      <c r="E1087" t="s">
        <v>14</v>
      </c>
      <c r="F1087">
        <v>1820.53</v>
      </c>
      <c r="G1087" t="str" cm="1">
        <f t="array" ref="G1087">IF(AND(ISNUMBER(SEARCH("UBER",C1087)),ISNUMBER(SEARCH("EATS",C1087))),"Uber Eats",IF(LEFT(C1087,6)="CHECK ","Checks Paid",IF(OR(E1087="BILLPAY",ISNUMBER(SEARCH("FRANCHISE TAX",C1087)),ISNUMBER(SEARCH("NEXTLINK",C1087))),"Personal - House Bills",IF(AND(ISNUMBER(SEARCH("PAYMENT FROM",C1087)),ISNUMBER(SEARCH("JOE SAUNDERS",C1087))),"Zelle from Joe Saunders",IF(AND(ISNUMBER(SEARCH("PAYMENT TO",C1087)),ISNUMBER(SEARCH("JOE SAUNDERS",C1087))),"Zelle to Joe Saunders",IF(OR(ISNUMBER(SEARCH("NEW ORLEANS",C1087)),ISNUMBER(SEARCH("KENNER",C1087)),ISNUMBER(SEARCH("HENRY HOWARD",C1087)),ISNUMBER(SEARCH("MISS CLAUDIA",C1087))),"Personal Travel - New Orleans",IFERROR(INDEX('Category Rules'!$B$2:$B$194,MATCH(TRUE,ISNUMBER(SEARCH('Category Rules'!$A$2:$A$194,C1087)),0)),"")))))))</f>
        <v>Personal - Subscription</v>
      </c>
    </row>
    <row r="1088" spans="1:7" x14ac:dyDescent="0.25">
      <c r="A1088" t="s">
        <v>37</v>
      </c>
      <c r="B1088" s="1">
        <v>46066</v>
      </c>
      <c r="C1088" t="s">
        <v>1038</v>
      </c>
      <c r="D1088">
        <v>100</v>
      </c>
      <c r="E1088" t="s">
        <v>106</v>
      </c>
      <c r="F1088">
        <v>1977.53</v>
      </c>
      <c r="G1088" t="str" cm="1">
        <f t="array" ref="G1088">IF(AND(ISNUMBER(SEARCH("UBER",C1088)),ISNUMBER(SEARCH("EATS",C1088))),"Uber Eats",IF(LEFT(C1088,6)="CHECK ","Checks Paid",IF(OR(E1088="BILLPAY",ISNUMBER(SEARCH("FRANCHISE TAX",C1088)),ISNUMBER(SEARCH("NEXTLINK",C1088))),"Personal - House Bills",IF(AND(ISNUMBER(SEARCH("PAYMENT FROM",C1088)),ISNUMBER(SEARCH("JOE SAUNDERS",C1088))),"Zelle from Joe Saunders",IF(AND(ISNUMBER(SEARCH("PAYMENT TO",C1088)),ISNUMBER(SEARCH("JOE SAUNDERS",C1088))),"Zelle to Joe Saunders",IF(OR(ISNUMBER(SEARCH("NEW ORLEANS",C1088)),ISNUMBER(SEARCH("KENNER",C1088)),ISNUMBER(SEARCH("HENRY HOWARD",C1088)),ISNUMBER(SEARCH("MISS CLAUDIA",C1088))),"Personal Travel - New Orleans",IFERROR(INDEX('Category Rules'!$B$2:$B$194,MATCH(TRUE,ISNUMBER(SEARCH('Category Rules'!$A$2:$A$194,C1088)),0)),"")))))))</f>
        <v>Zelle from Tanya Miller</v>
      </c>
    </row>
    <row r="1089" spans="1:7" x14ac:dyDescent="0.25">
      <c r="A1089" t="s">
        <v>6</v>
      </c>
      <c r="B1089" s="1">
        <v>46065</v>
      </c>
      <c r="C1089" t="s">
        <v>1039</v>
      </c>
      <c r="D1089">
        <v>-609.83000000000004</v>
      </c>
      <c r="E1089" t="s">
        <v>14</v>
      </c>
      <c r="F1089">
        <v>1877.53</v>
      </c>
      <c r="G1089" t="str" cm="1">
        <f t="array" ref="G1089">IF(AND(ISNUMBER(SEARCH("UBER",C1089)),ISNUMBER(SEARCH("EATS",C1089))),"Uber Eats",IF(LEFT(C1089,6)="CHECK ","Checks Paid",IF(OR(E1089="BILLPAY",ISNUMBER(SEARCH("FRANCHISE TAX",C1089)),ISNUMBER(SEARCH("NEXTLINK",C1089))),"Personal - House Bills",IF(AND(ISNUMBER(SEARCH("PAYMENT FROM",C1089)),ISNUMBER(SEARCH("JOE SAUNDERS",C1089))),"Zelle from Joe Saunders",IF(AND(ISNUMBER(SEARCH("PAYMENT TO",C1089)),ISNUMBER(SEARCH("JOE SAUNDERS",C1089))),"Zelle to Joe Saunders",IF(OR(ISNUMBER(SEARCH("NEW ORLEANS",C1089)),ISNUMBER(SEARCH("KENNER",C1089)),ISNUMBER(SEARCH("HENRY HOWARD",C1089)),ISNUMBER(SEARCH("MISS CLAUDIA",C1089))),"Personal Travel - New Orleans",IFERROR(INDEX('Category Rules'!$B$2:$B$194,MATCH(TRUE,ISNUMBER(SEARCH('Category Rules'!$A$2:$A$194,C1089)),0)),"")))))))</f>
        <v>Personal - Shopping</v>
      </c>
    </row>
    <row r="1090" spans="1:7" x14ac:dyDescent="0.25">
      <c r="A1090" t="s">
        <v>6</v>
      </c>
      <c r="B1090" s="1">
        <v>46064</v>
      </c>
      <c r="C1090" t="s">
        <v>1040</v>
      </c>
      <c r="D1090">
        <v>-5</v>
      </c>
      <c r="E1090" t="s">
        <v>14</v>
      </c>
      <c r="F1090">
        <v>2487.36</v>
      </c>
      <c r="G1090" t="str" cm="1">
        <f t="array" ref="G1090">IF(AND(ISNUMBER(SEARCH("UBER",C1090)),ISNUMBER(SEARCH("EATS",C1090))),"Uber Eats",IF(LEFT(C1090,6)="CHECK ","Checks Paid",IF(OR(E1090="BILLPAY",ISNUMBER(SEARCH("FRANCHISE TAX",C1090)),ISNUMBER(SEARCH("NEXTLINK",C1090))),"Personal - House Bills",IF(AND(ISNUMBER(SEARCH("PAYMENT FROM",C1090)),ISNUMBER(SEARCH("JOE SAUNDERS",C1090))),"Zelle from Joe Saunders",IF(AND(ISNUMBER(SEARCH("PAYMENT TO",C1090)),ISNUMBER(SEARCH("JOE SAUNDERS",C1090))),"Zelle to Joe Saunders",IF(OR(ISNUMBER(SEARCH("NEW ORLEANS",C1090)),ISNUMBER(SEARCH("KENNER",C1090)),ISNUMBER(SEARCH("HENRY HOWARD",C1090)),ISNUMBER(SEARCH("MISS CLAUDIA",C1090))),"Personal Travel - New Orleans",IFERROR(INDEX('Category Rules'!$B$2:$B$194,MATCH(TRUE,ISNUMBER(SEARCH('Category Rules'!$A$2:$A$194,C1090)),0)),"")))))))</f>
        <v>Amazon</v>
      </c>
    </row>
    <row r="1091" spans="1:7" x14ac:dyDescent="0.25">
      <c r="A1091" t="s">
        <v>6</v>
      </c>
      <c r="B1091" s="1">
        <v>46064</v>
      </c>
      <c r="C1091" t="s">
        <v>1041</v>
      </c>
      <c r="D1091">
        <v>-11.95</v>
      </c>
      <c r="E1091" t="s">
        <v>14</v>
      </c>
      <c r="F1091">
        <v>2492.36</v>
      </c>
      <c r="G1091" t="str" cm="1">
        <f t="array" ref="G1091">IF(AND(ISNUMBER(SEARCH("UBER",C1091)),ISNUMBER(SEARCH("EATS",C1091))),"Uber Eats",IF(LEFT(C1091,6)="CHECK ","Checks Paid",IF(OR(E1091="BILLPAY",ISNUMBER(SEARCH("FRANCHISE TAX",C1091)),ISNUMBER(SEARCH("NEXTLINK",C1091))),"Personal - House Bills",IF(AND(ISNUMBER(SEARCH("PAYMENT FROM",C1091)),ISNUMBER(SEARCH("JOE SAUNDERS",C1091))),"Zelle from Joe Saunders",IF(AND(ISNUMBER(SEARCH("PAYMENT TO",C1091)),ISNUMBER(SEARCH("JOE SAUNDERS",C1091))),"Zelle to Joe Saunders",IF(OR(ISNUMBER(SEARCH("NEW ORLEANS",C1091)),ISNUMBER(SEARCH("KENNER",C1091)),ISNUMBER(SEARCH("HENRY HOWARD",C1091)),ISNUMBER(SEARCH("MISS CLAUDIA",C1091))),"Personal Travel - New Orleans",IFERROR(INDEX('Category Rules'!$B$2:$B$194,MATCH(TRUE,ISNUMBER(SEARCH('Category Rules'!$A$2:$A$194,C1091)),0)),"")))))))</f>
        <v>Amazon</v>
      </c>
    </row>
    <row r="1092" spans="1:7" x14ac:dyDescent="0.25">
      <c r="A1092" t="s">
        <v>6</v>
      </c>
      <c r="B1092" s="1">
        <v>46064</v>
      </c>
      <c r="C1092" t="s">
        <v>1042</v>
      </c>
      <c r="D1092">
        <v>-32.83</v>
      </c>
      <c r="E1092" t="s">
        <v>14</v>
      </c>
      <c r="F1092">
        <v>2504.31</v>
      </c>
      <c r="G1092" t="str" cm="1">
        <f t="array" ref="G1092">IF(AND(ISNUMBER(SEARCH("UBER",C1092)),ISNUMBER(SEARCH("EATS",C1092))),"Uber Eats",IF(LEFT(C1092,6)="CHECK ","Checks Paid",IF(OR(E1092="BILLPAY",ISNUMBER(SEARCH("FRANCHISE TAX",C1092)),ISNUMBER(SEARCH("NEXTLINK",C1092))),"Personal - House Bills",IF(AND(ISNUMBER(SEARCH("PAYMENT FROM",C1092)),ISNUMBER(SEARCH("JOE SAUNDERS",C1092))),"Zelle from Joe Saunders",IF(AND(ISNUMBER(SEARCH("PAYMENT TO",C1092)),ISNUMBER(SEARCH("JOE SAUNDERS",C1092))),"Zelle to Joe Saunders",IF(OR(ISNUMBER(SEARCH("NEW ORLEANS",C1092)),ISNUMBER(SEARCH("KENNER",C1092)),ISNUMBER(SEARCH("HENRY HOWARD",C1092)),ISNUMBER(SEARCH("MISS CLAUDIA",C1092))),"Personal Travel - New Orleans",IFERROR(INDEX('Category Rules'!$B$2:$B$194,MATCH(TRUE,ISNUMBER(SEARCH('Category Rules'!$A$2:$A$194,C1092)),0)),"")))))))</f>
        <v>Amazon</v>
      </c>
    </row>
    <row r="1093" spans="1:7" x14ac:dyDescent="0.25">
      <c r="A1093" t="s">
        <v>6</v>
      </c>
      <c r="B1093" s="1">
        <v>46064</v>
      </c>
      <c r="C1093" t="s">
        <v>1043</v>
      </c>
      <c r="D1093">
        <v>-18.420000000000002</v>
      </c>
      <c r="E1093" t="s">
        <v>14</v>
      </c>
      <c r="F1093">
        <v>2537.14</v>
      </c>
      <c r="G1093" t="str" cm="1">
        <f t="array" ref="G1093">IF(AND(ISNUMBER(SEARCH("UBER",C1093)),ISNUMBER(SEARCH("EATS",C1093))),"Uber Eats",IF(LEFT(C1093,6)="CHECK ","Checks Paid",IF(OR(E1093="BILLPAY",ISNUMBER(SEARCH("FRANCHISE TAX",C1093)),ISNUMBER(SEARCH("NEXTLINK",C1093))),"Personal - House Bills",IF(AND(ISNUMBER(SEARCH("PAYMENT FROM",C1093)),ISNUMBER(SEARCH("JOE SAUNDERS",C1093))),"Zelle from Joe Saunders",IF(AND(ISNUMBER(SEARCH("PAYMENT TO",C1093)),ISNUMBER(SEARCH("JOE SAUNDERS",C1093))),"Zelle to Joe Saunders",IF(OR(ISNUMBER(SEARCH("NEW ORLEANS",C1093)),ISNUMBER(SEARCH("KENNER",C1093)),ISNUMBER(SEARCH("HENRY HOWARD",C1093)),ISNUMBER(SEARCH("MISS CLAUDIA",C1093))),"Personal Travel - New Orleans",IFERROR(INDEX('Category Rules'!$B$2:$B$194,MATCH(TRUE,ISNUMBER(SEARCH('Category Rules'!$A$2:$A$194,C1093)),0)),"")))))))</f>
        <v>Amazon</v>
      </c>
    </row>
    <row r="1094" spans="1:7" x14ac:dyDescent="0.25">
      <c r="A1094" t="s">
        <v>6</v>
      </c>
      <c r="B1094" s="1">
        <v>46064</v>
      </c>
      <c r="C1094" t="s">
        <v>1044</v>
      </c>
      <c r="D1094">
        <v>-15</v>
      </c>
      <c r="E1094" t="s">
        <v>14</v>
      </c>
      <c r="F1094">
        <v>2555.56</v>
      </c>
      <c r="G1094" t="str" cm="1">
        <f t="array" ref="G1094">IF(AND(ISNUMBER(SEARCH("UBER",C1094)),ISNUMBER(SEARCH("EATS",C1094))),"Uber Eats",IF(LEFT(C1094,6)="CHECK ","Checks Paid",IF(OR(E1094="BILLPAY",ISNUMBER(SEARCH("FRANCHISE TAX",C1094)),ISNUMBER(SEARCH("NEXTLINK",C1094))),"Personal - House Bills",IF(AND(ISNUMBER(SEARCH("PAYMENT FROM",C1094)),ISNUMBER(SEARCH("JOE SAUNDERS",C1094))),"Zelle from Joe Saunders",IF(AND(ISNUMBER(SEARCH("PAYMENT TO",C1094)),ISNUMBER(SEARCH("JOE SAUNDERS",C1094))),"Zelle to Joe Saunders",IF(OR(ISNUMBER(SEARCH("NEW ORLEANS",C1094)),ISNUMBER(SEARCH("KENNER",C1094)),ISNUMBER(SEARCH("HENRY HOWARD",C1094)),ISNUMBER(SEARCH("MISS CLAUDIA",C1094))),"Personal Travel - New Orleans",IFERROR(INDEX('Category Rules'!$B$2:$B$194,MATCH(TRUE,ISNUMBER(SEARCH('Category Rules'!$A$2:$A$194,C1094)),0)),"")))))))</f>
        <v>Amazon</v>
      </c>
    </row>
    <row r="1095" spans="1:7" x14ac:dyDescent="0.25">
      <c r="A1095" t="s">
        <v>6</v>
      </c>
      <c r="B1095" s="1">
        <v>46063</v>
      </c>
      <c r="C1095" t="s">
        <v>1045</v>
      </c>
      <c r="D1095">
        <v>-24.99</v>
      </c>
      <c r="E1095" t="s">
        <v>14</v>
      </c>
      <c r="F1095">
        <v>2570.56</v>
      </c>
      <c r="G1095" t="s">
        <v>1308</v>
      </c>
    </row>
    <row r="1096" spans="1:7" x14ac:dyDescent="0.25">
      <c r="A1096" t="s">
        <v>6</v>
      </c>
      <c r="B1096" s="1">
        <v>46063</v>
      </c>
      <c r="C1096" t="s">
        <v>1046</v>
      </c>
      <c r="D1096">
        <v>-250</v>
      </c>
      <c r="E1096" t="s">
        <v>39</v>
      </c>
      <c r="F1096">
        <v>2595.5500000000002</v>
      </c>
      <c r="G1096" t="str" cm="1">
        <f t="array" ref="G1096">IF(AND(ISNUMBER(SEARCH("UBER",C1096)),ISNUMBER(SEARCH("EATS",C1096))),"Uber Eats",IF(LEFT(C1096,6)="CHECK ","Checks Paid",IF(OR(E1096="BILLPAY",ISNUMBER(SEARCH("FRANCHISE TAX",C1096)),ISNUMBER(SEARCH("NEXTLINK",C1096))),"Personal - House Bills",IF(AND(ISNUMBER(SEARCH("PAYMENT FROM",C1096)),ISNUMBER(SEARCH("JOE SAUNDERS",C1096))),"Zelle from Joe Saunders",IF(AND(ISNUMBER(SEARCH("PAYMENT TO",C1096)),ISNUMBER(SEARCH("JOE SAUNDERS",C1096))),"Zelle to Joe Saunders",IF(OR(ISNUMBER(SEARCH("NEW ORLEANS",C1096)),ISNUMBER(SEARCH("KENNER",C1096)),ISNUMBER(SEARCH("HENRY HOWARD",C1096)),ISNUMBER(SEARCH("MISS CLAUDIA",C1096))),"Personal Travel - New Orleans",IFERROR(INDEX('Category Rules'!$B$2:$B$194,MATCH(TRUE,ISNUMBER(SEARCH('Category Rules'!$A$2:$A$194,C1096)),0)),"")))))))</f>
        <v>Transfer to Ava</v>
      </c>
    </row>
    <row r="1097" spans="1:7" x14ac:dyDescent="0.25">
      <c r="A1097" t="s">
        <v>6</v>
      </c>
      <c r="B1097" s="1">
        <v>46063</v>
      </c>
      <c r="C1097" t="s">
        <v>1047</v>
      </c>
      <c r="D1097">
        <v>-69.08</v>
      </c>
      <c r="E1097" t="s">
        <v>14</v>
      </c>
      <c r="F1097">
        <v>2845.55</v>
      </c>
      <c r="G1097" t="str" cm="1">
        <f t="array" ref="G1097">IF(AND(ISNUMBER(SEARCH("UBER",C1097)),ISNUMBER(SEARCH("EATS",C1097))),"Uber Eats",IF(LEFT(C1097,6)="CHECK ","Checks Paid",IF(OR(E1097="BILLPAY",ISNUMBER(SEARCH("FRANCHISE TAX",C1097)),ISNUMBER(SEARCH("NEXTLINK",C1097))),"Personal - House Bills",IF(AND(ISNUMBER(SEARCH("PAYMENT FROM",C1097)),ISNUMBER(SEARCH("JOE SAUNDERS",C1097))),"Zelle from Joe Saunders",IF(AND(ISNUMBER(SEARCH("PAYMENT TO",C1097)),ISNUMBER(SEARCH("JOE SAUNDERS",C1097))),"Zelle to Joe Saunders",IF(OR(ISNUMBER(SEARCH("NEW ORLEANS",C1097)),ISNUMBER(SEARCH("KENNER",C1097)),ISNUMBER(SEARCH("HENRY HOWARD",C1097)),ISNUMBER(SEARCH("MISS CLAUDIA",C1097))),"Personal Travel - New Orleans",IFERROR(INDEX('Category Rules'!$B$2:$B$194,MATCH(TRUE,ISNUMBER(SEARCH('Category Rules'!$A$2:$A$194,C1097)),0)),"")))))))</f>
        <v>Amazon</v>
      </c>
    </row>
    <row r="1098" spans="1:7" x14ac:dyDescent="0.25">
      <c r="A1098" t="s">
        <v>6</v>
      </c>
      <c r="B1098" s="1">
        <v>46063</v>
      </c>
      <c r="C1098" t="s">
        <v>1048</v>
      </c>
      <c r="D1098">
        <v>-31.46</v>
      </c>
      <c r="E1098" t="s">
        <v>14</v>
      </c>
      <c r="F1098">
        <v>2914.63</v>
      </c>
      <c r="G1098" t="str" cm="1">
        <f t="array" ref="G1098">IF(AND(ISNUMBER(SEARCH("UBER",C1098)),ISNUMBER(SEARCH("EATS",C1098))),"Uber Eats",IF(LEFT(C1098,6)="CHECK ","Checks Paid",IF(OR(E1098="BILLPAY",ISNUMBER(SEARCH("FRANCHISE TAX",C1098)),ISNUMBER(SEARCH("NEXTLINK",C1098))),"Personal - House Bills",IF(AND(ISNUMBER(SEARCH("PAYMENT FROM",C1098)),ISNUMBER(SEARCH("JOE SAUNDERS",C1098))),"Zelle from Joe Saunders",IF(AND(ISNUMBER(SEARCH("PAYMENT TO",C1098)),ISNUMBER(SEARCH("JOE SAUNDERS",C1098))),"Zelle to Joe Saunders",IF(OR(ISNUMBER(SEARCH("NEW ORLEANS",C1098)),ISNUMBER(SEARCH("KENNER",C1098)),ISNUMBER(SEARCH("HENRY HOWARD",C1098)),ISNUMBER(SEARCH("MISS CLAUDIA",C1098))),"Personal Travel - New Orleans",IFERROR(INDEX('Category Rules'!$B$2:$B$194,MATCH(TRUE,ISNUMBER(SEARCH('Category Rules'!$A$2:$A$194,C1098)),0)),"")))))))</f>
        <v>Amazon</v>
      </c>
    </row>
    <row r="1099" spans="1:7" x14ac:dyDescent="0.25">
      <c r="A1099" t="s">
        <v>6</v>
      </c>
      <c r="B1099" s="1">
        <v>46063</v>
      </c>
      <c r="C1099" t="s">
        <v>1049</v>
      </c>
      <c r="D1099">
        <v>-104.95</v>
      </c>
      <c r="E1099" t="s">
        <v>14</v>
      </c>
      <c r="F1099">
        <v>2946.09</v>
      </c>
      <c r="G1099" t="str" cm="1">
        <f t="array" ref="G1099">IF(AND(ISNUMBER(SEARCH("UBER",C1099)),ISNUMBER(SEARCH("EATS",C1099))),"Uber Eats",IF(LEFT(C1099,6)="CHECK ","Checks Paid",IF(OR(E1099="BILLPAY",ISNUMBER(SEARCH("FRANCHISE TAX",C1099)),ISNUMBER(SEARCH("NEXTLINK",C1099))),"Personal - House Bills",IF(AND(ISNUMBER(SEARCH("PAYMENT FROM",C1099)),ISNUMBER(SEARCH("JOE SAUNDERS",C1099))),"Zelle from Joe Saunders",IF(AND(ISNUMBER(SEARCH("PAYMENT TO",C1099)),ISNUMBER(SEARCH("JOE SAUNDERS",C1099))),"Zelle to Joe Saunders",IF(OR(ISNUMBER(SEARCH("NEW ORLEANS",C1099)),ISNUMBER(SEARCH("KENNER",C1099)),ISNUMBER(SEARCH("HENRY HOWARD",C1099)),ISNUMBER(SEARCH("MISS CLAUDIA",C1099))),"Personal Travel - New Orleans",IFERROR(INDEX('Category Rules'!$B$2:$B$194,MATCH(TRUE,ISNUMBER(SEARCH('Category Rules'!$A$2:$A$194,C1099)),0)),"")))))))</f>
        <v>Amazon</v>
      </c>
    </row>
    <row r="1100" spans="1:7" x14ac:dyDescent="0.25">
      <c r="A1100" t="s">
        <v>6</v>
      </c>
      <c r="B1100" s="1">
        <v>46063</v>
      </c>
      <c r="C1100" t="s">
        <v>1050</v>
      </c>
      <c r="D1100">
        <v>-40</v>
      </c>
      <c r="E1100" t="s">
        <v>14</v>
      </c>
      <c r="F1100">
        <v>3051.04</v>
      </c>
      <c r="G1100" t="str" cm="1">
        <f t="array" ref="G1100">IF(AND(ISNUMBER(SEARCH("UBER",C1100)),ISNUMBER(SEARCH("EATS",C1100))),"Uber Eats",IF(LEFT(C1100,6)="CHECK ","Checks Paid",IF(OR(E1100="BILLPAY",ISNUMBER(SEARCH("FRANCHISE TAX",C1100)),ISNUMBER(SEARCH("NEXTLINK",C1100))),"Personal - House Bills",IF(AND(ISNUMBER(SEARCH("PAYMENT FROM",C1100)),ISNUMBER(SEARCH("JOE SAUNDERS",C1100))),"Zelle from Joe Saunders",IF(AND(ISNUMBER(SEARCH("PAYMENT TO",C1100)),ISNUMBER(SEARCH("JOE SAUNDERS",C1100))),"Zelle to Joe Saunders",IF(OR(ISNUMBER(SEARCH("NEW ORLEANS",C1100)),ISNUMBER(SEARCH("KENNER",C1100)),ISNUMBER(SEARCH("HENRY HOWARD",C1100)),ISNUMBER(SEARCH("MISS CLAUDIA",C1100))),"Personal Travel - New Orleans",IFERROR(INDEX('Category Rules'!$B$2:$B$194,MATCH(TRUE,ISNUMBER(SEARCH('Category Rules'!$A$2:$A$194,C1100)),0)),"")))))))</f>
        <v>Personal - Car</v>
      </c>
    </row>
    <row r="1101" spans="1:7" x14ac:dyDescent="0.25">
      <c r="A1101" t="s">
        <v>6</v>
      </c>
      <c r="B1101" s="1">
        <v>46063</v>
      </c>
      <c r="C1101" t="s">
        <v>1051</v>
      </c>
      <c r="D1101">
        <v>-140.82</v>
      </c>
      <c r="E1101" t="s">
        <v>14</v>
      </c>
      <c r="F1101">
        <v>3091.04</v>
      </c>
      <c r="G1101" t="str" cm="1">
        <f t="array" ref="G1101">IF(AND(ISNUMBER(SEARCH("UBER",C1101)),ISNUMBER(SEARCH("EATS",C1101))),"Uber Eats",IF(LEFT(C1101,6)="CHECK ","Checks Paid",IF(OR(E1101="BILLPAY",ISNUMBER(SEARCH("FRANCHISE TAX",C1101)),ISNUMBER(SEARCH("NEXTLINK",C1101))),"Personal - House Bills",IF(AND(ISNUMBER(SEARCH("PAYMENT FROM",C1101)),ISNUMBER(SEARCH("JOE SAUNDERS",C1101))),"Zelle from Joe Saunders",IF(AND(ISNUMBER(SEARCH("PAYMENT TO",C1101)),ISNUMBER(SEARCH("JOE SAUNDERS",C1101))),"Zelle to Joe Saunders",IF(OR(ISNUMBER(SEARCH("NEW ORLEANS",C1101)),ISNUMBER(SEARCH("KENNER",C1101)),ISNUMBER(SEARCH("HENRY HOWARD",C1101)),ISNUMBER(SEARCH("MISS CLAUDIA",C1101))),"Personal Travel - New Orleans",IFERROR(INDEX('Category Rules'!$B$2:$B$194,MATCH(TRUE,ISNUMBER(SEARCH('Category Rules'!$A$2:$A$194,C1101)),0)),"")))))))</f>
        <v>Amazon</v>
      </c>
    </row>
    <row r="1102" spans="1:7" x14ac:dyDescent="0.25">
      <c r="A1102" t="s">
        <v>6</v>
      </c>
      <c r="B1102" s="1">
        <v>46063</v>
      </c>
      <c r="C1102" t="s">
        <v>1052</v>
      </c>
      <c r="D1102">
        <v>-112.45</v>
      </c>
      <c r="E1102" t="s">
        <v>14</v>
      </c>
      <c r="F1102">
        <v>3231.86</v>
      </c>
      <c r="G1102" t="str" cm="1">
        <f t="array" ref="G1102">IF(AND(ISNUMBER(SEARCH("UBER",C1102)),ISNUMBER(SEARCH("EATS",C1102))),"Uber Eats",IF(LEFT(C1102,6)="CHECK ","Checks Paid",IF(OR(E1102="BILLPAY",ISNUMBER(SEARCH("FRANCHISE TAX",C1102)),ISNUMBER(SEARCH("NEXTLINK",C1102))),"Personal - House Bills",IF(AND(ISNUMBER(SEARCH("PAYMENT FROM",C1102)),ISNUMBER(SEARCH("JOE SAUNDERS",C1102))),"Zelle from Joe Saunders",IF(AND(ISNUMBER(SEARCH("PAYMENT TO",C1102)),ISNUMBER(SEARCH("JOE SAUNDERS",C1102))),"Zelle to Joe Saunders",IF(OR(ISNUMBER(SEARCH("NEW ORLEANS",C1102)),ISNUMBER(SEARCH("KENNER",C1102)),ISNUMBER(SEARCH("HENRY HOWARD",C1102)),ISNUMBER(SEARCH("MISS CLAUDIA",C1102))),"Personal Travel - New Orleans",IFERROR(INDEX('Category Rules'!$B$2:$B$194,MATCH(TRUE,ISNUMBER(SEARCH('Category Rules'!$A$2:$A$194,C1102)),0)),"")))))))</f>
        <v>Amazon</v>
      </c>
    </row>
    <row r="1103" spans="1:7" x14ac:dyDescent="0.25">
      <c r="A1103" t="s">
        <v>37</v>
      </c>
      <c r="B1103" s="1">
        <v>46063</v>
      </c>
      <c r="C1103" t="s">
        <v>1053</v>
      </c>
      <c r="D1103">
        <v>175</v>
      </c>
      <c r="E1103" t="s">
        <v>60</v>
      </c>
      <c r="F1103">
        <v>3344.31</v>
      </c>
      <c r="G1103" t="str" cm="1">
        <f t="array" ref="G1103">IF(AND(ISNUMBER(SEARCH("UBER",C1103)),ISNUMBER(SEARCH("EATS",C1103))),"Uber Eats",IF(LEFT(C1103,6)="CHECK ","Checks Paid",IF(OR(E1103="BILLPAY",ISNUMBER(SEARCH("FRANCHISE TAX",C1103)),ISNUMBER(SEARCH("NEXTLINK",C1103))),"Personal - House Bills",IF(AND(ISNUMBER(SEARCH("PAYMENT FROM",C1103)),ISNUMBER(SEARCH("JOE SAUNDERS",C1103))),"Zelle from Joe Saunders",IF(AND(ISNUMBER(SEARCH("PAYMENT TO",C1103)),ISNUMBER(SEARCH("JOE SAUNDERS",C1103))),"Zelle to Joe Saunders",IF(OR(ISNUMBER(SEARCH("NEW ORLEANS",C1103)),ISNUMBER(SEARCH("KENNER",C1103)),ISNUMBER(SEARCH("HENRY HOWARD",C1103)),ISNUMBER(SEARCH("MISS CLAUDIA",C1103))),"Personal Travel - New Orleans",IFERROR(INDEX('Category Rules'!$B$2:$B$194,MATCH(TRUE,ISNUMBER(SEARCH('Category Rules'!$A$2:$A$194,C1103)),0)),"")))))))</f>
        <v>Zelle from G-Eunice LLC</v>
      </c>
    </row>
    <row r="1104" spans="1:7" x14ac:dyDescent="0.25">
      <c r="A1104" t="s">
        <v>6</v>
      </c>
      <c r="B1104" s="1">
        <v>46062</v>
      </c>
      <c r="C1104" t="s">
        <v>1054</v>
      </c>
      <c r="D1104">
        <v>-826.35</v>
      </c>
      <c r="E1104" t="s">
        <v>14</v>
      </c>
      <c r="F1104">
        <v>3169.31</v>
      </c>
      <c r="G1104" t="str" cm="1">
        <f t="array" ref="G1104">IF(AND(ISNUMBER(SEARCH("UBER",C1104)),ISNUMBER(SEARCH("EATS",C1104))),"Uber Eats",IF(LEFT(C1104,6)="CHECK ","Checks Paid",IF(OR(E1104="BILLPAY",ISNUMBER(SEARCH("FRANCHISE TAX",C1104)),ISNUMBER(SEARCH("NEXTLINK",C1104))),"Personal - House Bills",IF(AND(ISNUMBER(SEARCH("PAYMENT FROM",C1104)),ISNUMBER(SEARCH("JOE SAUNDERS",C1104))),"Zelle from Joe Saunders",IF(AND(ISNUMBER(SEARCH("PAYMENT TO",C1104)),ISNUMBER(SEARCH("JOE SAUNDERS",C1104))),"Zelle to Joe Saunders",IF(OR(ISNUMBER(SEARCH("NEW ORLEANS",C1104)),ISNUMBER(SEARCH("KENNER",C1104)),ISNUMBER(SEARCH("HENRY HOWARD",C1104)),ISNUMBER(SEARCH("MISS CLAUDIA",C1104))),"Personal Travel - New Orleans",IFERROR(INDEX('Category Rules'!$B$2:$B$194,MATCH(TRUE,ISNUMBER(SEARCH('Category Rules'!$A$2:$A$194,C1104)),0)),"")))))))</f>
        <v>Personal - Shopping</v>
      </c>
    </row>
    <row r="1105" spans="1:7" x14ac:dyDescent="0.25">
      <c r="A1105" t="s">
        <v>6</v>
      </c>
      <c r="B1105" s="1">
        <v>46062</v>
      </c>
      <c r="C1105" t="s">
        <v>1055</v>
      </c>
      <c r="D1105">
        <v>-12.99</v>
      </c>
      <c r="E1105" t="s">
        <v>14</v>
      </c>
      <c r="F1105">
        <v>3995.66</v>
      </c>
      <c r="G1105" t="str" cm="1">
        <f t="array" ref="G1105">IF(AND(ISNUMBER(SEARCH("UBER",C1105)),ISNUMBER(SEARCH("EATS",C1105))),"Uber Eats",IF(LEFT(C1105,6)="CHECK ","Checks Paid",IF(OR(E1105="BILLPAY",ISNUMBER(SEARCH("FRANCHISE TAX",C1105)),ISNUMBER(SEARCH("NEXTLINK",C1105))),"Personal - House Bills",IF(AND(ISNUMBER(SEARCH("PAYMENT FROM",C1105)),ISNUMBER(SEARCH("JOE SAUNDERS",C1105))),"Zelle from Joe Saunders",IF(AND(ISNUMBER(SEARCH("PAYMENT TO",C1105)),ISNUMBER(SEARCH("JOE SAUNDERS",C1105))),"Zelle to Joe Saunders",IF(OR(ISNUMBER(SEARCH("NEW ORLEANS",C1105)),ISNUMBER(SEARCH("KENNER",C1105)),ISNUMBER(SEARCH("HENRY HOWARD",C1105)),ISNUMBER(SEARCH("MISS CLAUDIA",C1105))),"Personal Travel - New Orleans",IFERROR(INDEX('Category Rules'!$B$2:$B$194,MATCH(TRUE,ISNUMBER(SEARCH('Category Rules'!$A$2:$A$194,C1105)),0)),"")))))))</f>
        <v>Apple</v>
      </c>
    </row>
    <row r="1106" spans="1:7" x14ac:dyDescent="0.25">
      <c r="A1106" t="s">
        <v>6</v>
      </c>
      <c r="B1106" s="1">
        <v>46062</v>
      </c>
      <c r="C1106" t="s">
        <v>1056</v>
      </c>
      <c r="D1106">
        <v>-15.16</v>
      </c>
      <c r="E1106" t="s">
        <v>14</v>
      </c>
      <c r="F1106">
        <v>4008.65</v>
      </c>
      <c r="G1106" t="str" cm="1">
        <f t="array" ref="G1106">IF(AND(ISNUMBER(SEARCH("UBER",C1106)),ISNUMBER(SEARCH("EATS",C1106))),"Uber Eats",IF(LEFT(C1106,6)="CHECK ","Checks Paid",IF(OR(E1106="BILLPAY",ISNUMBER(SEARCH("FRANCHISE TAX",C1106)),ISNUMBER(SEARCH("NEXTLINK",C1106))),"Personal - House Bills",IF(AND(ISNUMBER(SEARCH("PAYMENT FROM",C1106)),ISNUMBER(SEARCH("JOE SAUNDERS",C1106))),"Zelle from Joe Saunders",IF(AND(ISNUMBER(SEARCH("PAYMENT TO",C1106)),ISNUMBER(SEARCH("JOE SAUNDERS",C1106))),"Zelle to Joe Saunders",IF(OR(ISNUMBER(SEARCH("NEW ORLEANS",C1106)),ISNUMBER(SEARCH("KENNER",C1106)),ISNUMBER(SEARCH("HENRY HOWARD",C1106)),ISNUMBER(SEARCH("MISS CLAUDIA",C1106))),"Personal Travel - New Orleans",IFERROR(INDEX('Category Rules'!$B$2:$B$194,MATCH(TRUE,ISNUMBER(SEARCH('Category Rules'!$A$2:$A$194,C1106)),0)),"")))))))</f>
        <v>Amazon</v>
      </c>
    </row>
    <row r="1107" spans="1:7" x14ac:dyDescent="0.25">
      <c r="A1107" t="s">
        <v>6</v>
      </c>
      <c r="B1107" s="1">
        <v>46062</v>
      </c>
      <c r="C1107" t="s">
        <v>1057</v>
      </c>
      <c r="D1107">
        <v>-128.35</v>
      </c>
      <c r="E1107" t="s">
        <v>14</v>
      </c>
      <c r="F1107">
        <v>4023.81</v>
      </c>
      <c r="G1107" t="str" cm="1">
        <f t="array" ref="G1107">IF(AND(ISNUMBER(SEARCH("UBER",C1107)),ISNUMBER(SEARCH("EATS",C1107))),"Uber Eats",IF(LEFT(C1107,6)="CHECK ","Checks Paid",IF(OR(E1107="BILLPAY",ISNUMBER(SEARCH("FRANCHISE TAX",C1107)),ISNUMBER(SEARCH("NEXTLINK",C1107))),"Personal - House Bills",IF(AND(ISNUMBER(SEARCH("PAYMENT FROM",C1107)),ISNUMBER(SEARCH("JOE SAUNDERS",C1107))),"Zelle from Joe Saunders",IF(AND(ISNUMBER(SEARCH("PAYMENT TO",C1107)),ISNUMBER(SEARCH("JOE SAUNDERS",C1107))),"Zelle to Joe Saunders",IF(OR(ISNUMBER(SEARCH("NEW ORLEANS",C1107)),ISNUMBER(SEARCH("KENNER",C1107)),ISNUMBER(SEARCH("HENRY HOWARD",C1107)),ISNUMBER(SEARCH("MISS CLAUDIA",C1107))),"Personal Travel - New Orleans",IFERROR(INDEX('Category Rules'!$B$2:$B$194,MATCH(TRUE,ISNUMBER(SEARCH('Category Rules'!$A$2:$A$194,C1107)),0)),"")))))))</f>
        <v>Personal - Food</v>
      </c>
    </row>
    <row r="1108" spans="1:7" x14ac:dyDescent="0.25">
      <c r="A1108" t="s">
        <v>6</v>
      </c>
      <c r="B1108" s="1">
        <v>46062</v>
      </c>
      <c r="C1108" t="s">
        <v>1058</v>
      </c>
      <c r="D1108">
        <v>-6.99</v>
      </c>
      <c r="E1108" t="s">
        <v>14</v>
      </c>
      <c r="F1108">
        <v>4152.16</v>
      </c>
      <c r="G1108" t="str" cm="1">
        <f t="array" ref="G1108">IF(AND(ISNUMBER(SEARCH("UBER",C1108)),ISNUMBER(SEARCH("EATS",C1108))),"Uber Eats",IF(LEFT(C1108,6)="CHECK ","Checks Paid",IF(OR(E1108="BILLPAY",ISNUMBER(SEARCH("FRANCHISE TAX",C1108)),ISNUMBER(SEARCH("NEXTLINK",C1108))),"Personal - House Bills",IF(AND(ISNUMBER(SEARCH("PAYMENT FROM",C1108)),ISNUMBER(SEARCH("JOE SAUNDERS",C1108))),"Zelle from Joe Saunders",IF(AND(ISNUMBER(SEARCH("PAYMENT TO",C1108)),ISNUMBER(SEARCH("JOE SAUNDERS",C1108))),"Zelle to Joe Saunders",IF(OR(ISNUMBER(SEARCH("NEW ORLEANS",C1108)),ISNUMBER(SEARCH("KENNER",C1108)),ISNUMBER(SEARCH("HENRY HOWARD",C1108)),ISNUMBER(SEARCH("MISS CLAUDIA",C1108))),"Personal Travel - New Orleans",IFERROR(INDEX('Category Rules'!$B$2:$B$194,MATCH(TRUE,ISNUMBER(SEARCH('Category Rules'!$A$2:$A$194,C1108)),0)),"")))))))</f>
        <v>Apple</v>
      </c>
    </row>
    <row r="1109" spans="1:7" x14ac:dyDescent="0.25">
      <c r="A1109" t="s">
        <v>6</v>
      </c>
      <c r="B1109" s="1">
        <v>46062</v>
      </c>
      <c r="C1109" t="s">
        <v>1059</v>
      </c>
      <c r="D1109">
        <v>-76.790000000000006</v>
      </c>
      <c r="E1109" t="s">
        <v>14</v>
      </c>
      <c r="F1109">
        <v>4159.1499999999996</v>
      </c>
      <c r="G1109" t="str" cm="1">
        <f t="array" ref="G1109">IF(AND(ISNUMBER(SEARCH("UBER",C1109)),ISNUMBER(SEARCH("EATS",C1109))),"Uber Eats",IF(LEFT(C1109,6)="CHECK ","Checks Paid",IF(OR(E1109="BILLPAY",ISNUMBER(SEARCH("FRANCHISE TAX",C1109)),ISNUMBER(SEARCH("NEXTLINK",C1109))),"Personal - House Bills",IF(AND(ISNUMBER(SEARCH("PAYMENT FROM",C1109)),ISNUMBER(SEARCH("JOE SAUNDERS",C1109))),"Zelle from Joe Saunders",IF(AND(ISNUMBER(SEARCH("PAYMENT TO",C1109)),ISNUMBER(SEARCH("JOE SAUNDERS",C1109))),"Zelle to Joe Saunders",IF(OR(ISNUMBER(SEARCH("NEW ORLEANS",C1109)),ISNUMBER(SEARCH("KENNER",C1109)),ISNUMBER(SEARCH("HENRY HOWARD",C1109)),ISNUMBER(SEARCH("MISS CLAUDIA",C1109))),"Personal Travel - New Orleans",IFERROR(INDEX('Category Rules'!$B$2:$B$194,MATCH(TRUE,ISNUMBER(SEARCH('Category Rules'!$A$2:$A$194,C1109)),0)),"")))))))</f>
        <v>Personal - Health</v>
      </c>
    </row>
    <row r="1110" spans="1:7" x14ac:dyDescent="0.25">
      <c r="A1110" t="s">
        <v>6</v>
      </c>
      <c r="B1110" s="1">
        <v>46062</v>
      </c>
      <c r="C1110" t="s">
        <v>1060</v>
      </c>
      <c r="D1110">
        <v>-22.95</v>
      </c>
      <c r="E1110" t="s">
        <v>14</v>
      </c>
      <c r="F1110">
        <v>4235.9399999999996</v>
      </c>
      <c r="G1110" t="str" cm="1">
        <f t="array" ref="G1110">IF(AND(ISNUMBER(SEARCH("UBER",C1110)),ISNUMBER(SEARCH("EATS",C1110))),"Uber Eats",IF(LEFT(C1110,6)="CHECK ","Checks Paid",IF(OR(E1110="BILLPAY",ISNUMBER(SEARCH("FRANCHISE TAX",C1110)),ISNUMBER(SEARCH("NEXTLINK",C1110))),"Personal - House Bills",IF(AND(ISNUMBER(SEARCH("PAYMENT FROM",C1110)),ISNUMBER(SEARCH("JOE SAUNDERS",C1110))),"Zelle from Joe Saunders",IF(AND(ISNUMBER(SEARCH("PAYMENT TO",C1110)),ISNUMBER(SEARCH("JOE SAUNDERS",C1110))),"Zelle to Joe Saunders",IF(OR(ISNUMBER(SEARCH("NEW ORLEANS",C1110)),ISNUMBER(SEARCH("KENNER",C1110)),ISNUMBER(SEARCH("HENRY HOWARD",C1110)),ISNUMBER(SEARCH("MISS CLAUDIA",C1110))),"Personal Travel - New Orleans",IFERROR(INDEX('Category Rules'!$B$2:$B$194,MATCH(TRUE,ISNUMBER(SEARCH('Category Rules'!$A$2:$A$194,C1110)),0)),"")))))))</f>
        <v>Personal - Health</v>
      </c>
    </row>
    <row r="1111" spans="1:7" x14ac:dyDescent="0.25">
      <c r="A1111" t="s">
        <v>6</v>
      </c>
      <c r="B1111" s="1">
        <v>46062</v>
      </c>
      <c r="C1111" t="s">
        <v>1061</v>
      </c>
      <c r="D1111">
        <v>-5</v>
      </c>
      <c r="E1111" t="s">
        <v>14</v>
      </c>
      <c r="F1111">
        <v>4258.8900000000003</v>
      </c>
      <c r="G1111" t="str" cm="1">
        <f t="array" ref="G1111">IF(AND(ISNUMBER(SEARCH("UBER",C1111)),ISNUMBER(SEARCH("EATS",C1111))),"Uber Eats",IF(LEFT(C1111,6)="CHECK ","Checks Paid",IF(OR(E1111="BILLPAY",ISNUMBER(SEARCH("FRANCHISE TAX",C1111)),ISNUMBER(SEARCH("NEXTLINK",C1111))),"Personal - House Bills",IF(AND(ISNUMBER(SEARCH("PAYMENT FROM",C1111)),ISNUMBER(SEARCH("JOE SAUNDERS",C1111))),"Zelle from Joe Saunders",IF(AND(ISNUMBER(SEARCH("PAYMENT TO",C1111)),ISNUMBER(SEARCH("JOE SAUNDERS",C1111))),"Zelle to Joe Saunders",IF(OR(ISNUMBER(SEARCH("NEW ORLEANS",C1111)),ISNUMBER(SEARCH("KENNER",C1111)),ISNUMBER(SEARCH("HENRY HOWARD",C1111)),ISNUMBER(SEARCH("MISS CLAUDIA",C1111))),"Personal Travel - New Orleans",IFERROR(INDEX('Category Rules'!$B$2:$B$194,MATCH(TRUE,ISNUMBER(SEARCH('Category Rules'!$A$2:$A$194,C1111)),0)),"")))))))</f>
        <v>Amazon</v>
      </c>
    </row>
    <row r="1112" spans="1:7" x14ac:dyDescent="0.25">
      <c r="A1112" t="s">
        <v>6</v>
      </c>
      <c r="B1112" s="1">
        <v>46062</v>
      </c>
      <c r="C1112" t="s">
        <v>1062</v>
      </c>
      <c r="D1112">
        <v>-20</v>
      </c>
      <c r="E1112" t="s">
        <v>14</v>
      </c>
      <c r="F1112">
        <v>4263.8900000000003</v>
      </c>
      <c r="G1112" t="str" cm="1">
        <f t="array" ref="G1112">IF(AND(ISNUMBER(SEARCH("UBER",C1112)),ISNUMBER(SEARCH("EATS",C1112))),"Uber Eats",IF(LEFT(C1112,6)="CHECK ","Checks Paid",IF(OR(E1112="BILLPAY",ISNUMBER(SEARCH("FRANCHISE TAX",C1112)),ISNUMBER(SEARCH("NEXTLINK",C1112))),"Personal - House Bills",IF(AND(ISNUMBER(SEARCH("PAYMENT FROM",C1112)),ISNUMBER(SEARCH("JOE SAUNDERS",C1112))),"Zelle from Joe Saunders",IF(AND(ISNUMBER(SEARCH("PAYMENT TO",C1112)),ISNUMBER(SEARCH("JOE SAUNDERS",C1112))),"Zelle to Joe Saunders",IF(OR(ISNUMBER(SEARCH("NEW ORLEANS",C1112)),ISNUMBER(SEARCH("KENNER",C1112)),ISNUMBER(SEARCH("HENRY HOWARD",C1112)),ISNUMBER(SEARCH("MISS CLAUDIA",C1112))),"Personal Travel - New Orleans",IFERROR(INDEX('Category Rules'!$B$2:$B$194,MATCH(TRUE,ISNUMBER(SEARCH('Category Rules'!$A$2:$A$194,C1112)),0)),"")))))))</f>
        <v>Amazon</v>
      </c>
    </row>
    <row r="1113" spans="1:7" x14ac:dyDescent="0.25">
      <c r="A1113" t="s">
        <v>6</v>
      </c>
      <c r="B1113" s="1">
        <v>46062</v>
      </c>
      <c r="C1113" t="s">
        <v>1063</v>
      </c>
      <c r="D1113">
        <v>-20</v>
      </c>
      <c r="E1113" t="s">
        <v>14</v>
      </c>
      <c r="F1113">
        <v>4283.8900000000003</v>
      </c>
      <c r="G1113" t="str" cm="1">
        <f t="array" ref="G1113">IF(AND(ISNUMBER(SEARCH("UBER",C1113)),ISNUMBER(SEARCH("EATS",C1113))),"Uber Eats",IF(LEFT(C1113,6)="CHECK ","Checks Paid",IF(OR(E1113="BILLPAY",ISNUMBER(SEARCH("FRANCHISE TAX",C1113)),ISNUMBER(SEARCH("NEXTLINK",C1113))),"Personal - House Bills",IF(AND(ISNUMBER(SEARCH("PAYMENT FROM",C1113)),ISNUMBER(SEARCH("JOE SAUNDERS",C1113))),"Zelle from Joe Saunders",IF(AND(ISNUMBER(SEARCH("PAYMENT TO",C1113)),ISNUMBER(SEARCH("JOE SAUNDERS",C1113))),"Zelle to Joe Saunders",IF(OR(ISNUMBER(SEARCH("NEW ORLEANS",C1113)),ISNUMBER(SEARCH("KENNER",C1113)),ISNUMBER(SEARCH("HENRY HOWARD",C1113)),ISNUMBER(SEARCH("MISS CLAUDIA",C1113))),"Personal Travel - New Orleans",IFERROR(INDEX('Category Rules'!$B$2:$B$194,MATCH(TRUE,ISNUMBER(SEARCH('Category Rules'!$A$2:$A$194,C1113)),0)),"")))))))</f>
        <v>Amazon</v>
      </c>
    </row>
    <row r="1114" spans="1:7" x14ac:dyDescent="0.25">
      <c r="A1114" t="s">
        <v>6</v>
      </c>
      <c r="B1114" s="1">
        <v>46062</v>
      </c>
      <c r="C1114" t="s">
        <v>1064</v>
      </c>
      <c r="D1114">
        <v>-19.2</v>
      </c>
      <c r="E1114" t="s">
        <v>14</v>
      </c>
      <c r="F1114">
        <v>4303.8900000000003</v>
      </c>
      <c r="G1114" t="str" cm="1">
        <f t="array" ref="G1114">IF(AND(ISNUMBER(SEARCH("UBER",C1114)),ISNUMBER(SEARCH("EATS",C1114))),"Uber Eats",IF(LEFT(C1114,6)="CHECK ","Checks Paid",IF(OR(E1114="BILLPAY",ISNUMBER(SEARCH("FRANCHISE TAX",C1114)),ISNUMBER(SEARCH("NEXTLINK",C1114))),"Personal - House Bills",IF(AND(ISNUMBER(SEARCH("PAYMENT FROM",C1114)),ISNUMBER(SEARCH("JOE SAUNDERS",C1114))),"Zelle from Joe Saunders",IF(AND(ISNUMBER(SEARCH("PAYMENT TO",C1114)),ISNUMBER(SEARCH("JOE SAUNDERS",C1114))),"Zelle to Joe Saunders",IF(OR(ISNUMBER(SEARCH("NEW ORLEANS",C1114)),ISNUMBER(SEARCH("KENNER",C1114)),ISNUMBER(SEARCH("HENRY HOWARD",C1114)),ISNUMBER(SEARCH("MISS CLAUDIA",C1114))),"Personal Travel - New Orleans",IFERROR(INDEX('Category Rules'!$B$2:$B$194,MATCH(TRUE,ISNUMBER(SEARCH('Category Rules'!$A$2:$A$194,C1114)),0)),"")))))))</f>
        <v>Amazon</v>
      </c>
    </row>
    <row r="1115" spans="1:7" x14ac:dyDescent="0.25">
      <c r="A1115" t="s">
        <v>6</v>
      </c>
      <c r="B1115" s="1">
        <v>46062</v>
      </c>
      <c r="C1115" t="s">
        <v>1065</v>
      </c>
      <c r="D1115">
        <v>-20.81</v>
      </c>
      <c r="E1115" t="s">
        <v>14</v>
      </c>
      <c r="F1115">
        <v>4323.09</v>
      </c>
      <c r="G1115" t="str" cm="1">
        <f t="array" ref="G1115">IF(AND(ISNUMBER(SEARCH("UBER",C1115)),ISNUMBER(SEARCH("EATS",C1115))),"Uber Eats",IF(LEFT(C1115,6)="CHECK ","Checks Paid",IF(OR(E1115="BILLPAY",ISNUMBER(SEARCH("FRANCHISE TAX",C1115)),ISNUMBER(SEARCH("NEXTLINK",C1115))),"Personal - House Bills",IF(AND(ISNUMBER(SEARCH("PAYMENT FROM",C1115)),ISNUMBER(SEARCH("JOE SAUNDERS",C1115))),"Zelle from Joe Saunders",IF(AND(ISNUMBER(SEARCH("PAYMENT TO",C1115)),ISNUMBER(SEARCH("JOE SAUNDERS",C1115))),"Zelle to Joe Saunders",IF(OR(ISNUMBER(SEARCH("NEW ORLEANS",C1115)),ISNUMBER(SEARCH("KENNER",C1115)),ISNUMBER(SEARCH("HENRY HOWARD",C1115)),ISNUMBER(SEARCH("MISS CLAUDIA",C1115))),"Personal Travel - New Orleans",IFERROR(INDEX('Category Rules'!$B$2:$B$194,MATCH(TRUE,ISNUMBER(SEARCH('Category Rules'!$A$2:$A$194,C1115)),0)),"")))))))</f>
        <v>Amazon</v>
      </c>
    </row>
    <row r="1116" spans="1:7" x14ac:dyDescent="0.25">
      <c r="A1116" t="s">
        <v>6</v>
      </c>
      <c r="B1116" s="1">
        <v>46062</v>
      </c>
      <c r="C1116" t="s">
        <v>1066</v>
      </c>
      <c r="D1116">
        <v>-644.19000000000005</v>
      </c>
      <c r="E1116" t="s">
        <v>14</v>
      </c>
      <c r="F1116">
        <v>4343.8999999999996</v>
      </c>
      <c r="G1116" t="str" cm="1">
        <f t="array" ref="G1116">IF(AND(ISNUMBER(SEARCH("UBER",C1116)),ISNUMBER(SEARCH("EATS",C1116))),"Uber Eats",IF(LEFT(C1116,6)="CHECK ","Checks Paid",IF(OR(E1116="BILLPAY",ISNUMBER(SEARCH("FRANCHISE TAX",C1116)),ISNUMBER(SEARCH("NEXTLINK",C1116))),"Personal - House Bills",IF(AND(ISNUMBER(SEARCH("PAYMENT FROM",C1116)),ISNUMBER(SEARCH("JOE SAUNDERS",C1116))),"Zelle from Joe Saunders",IF(AND(ISNUMBER(SEARCH("PAYMENT TO",C1116)),ISNUMBER(SEARCH("JOE SAUNDERS",C1116))),"Zelle to Joe Saunders",IF(OR(ISNUMBER(SEARCH("NEW ORLEANS",C1116)),ISNUMBER(SEARCH("KENNER",C1116)),ISNUMBER(SEARCH("HENRY HOWARD",C1116)),ISNUMBER(SEARCH("MISS CLAUDIA",C1116))),"Personal Travel - New Orleans",IFERROR(INDEX('Category Rules'!$B$2:$B$194,MATCH(TRUE,ISNUMBER(SEARCH('Category Rules'!$A$2:$A$194,C1116)),0)),"")))))))</f>
        <v>Personal - Food</v>
      </c>
    </row>
    <row r="1117" spans="1:7" x14ac:dyDescent="0.25">
      <c r="A1117" t="s">
        <v>6</v>
      </c>
      <c r="B1117" s="1">
        <v>46062</v>
      </c>
      <c r="C1117" t="s">
        <v>1067</v>
      </c>
      <c r="D1117">
        <v>-13.99</v>
      </c>
      <c r="E1117" t="s">
        <v>14</v>
      </c>
      <c r="F1117">
        <v>4988.09</v>
      </c>
      <c r="G1117" t="str" cm="1">
        <f t="array" ref="G1117">IF(AND(ISNUMBER(SEARCH("UBER",C1117)),ISNUMBER(SEARCH("EATS",C1117))),"Uber Eats",IF(LEFT(C1117,6)="CHECK ","Checks Paid",IF(OR(E1117="BILLPAY",ISNUMBER(SEARCH("FRANCHISE TAX",C1117)),ISNUMBER(SEARCH("NEXTLINK",C1117))),"Personal - House Bills",IF(AND(ISNUMBER(SEARCH("PAYMENT FROM",C1117)),ISNUMBER(SEARCH("JOE SAUNDERS",C1117))),"Zelle from Joe Saunders",IF(AND(ISNUMBER(SEARCH("PAYMENT TO",C1117)),ISNUMBER(SEARCH("JOE SAUNDERS",C1117))),"Zelle to Joe Saunders",IF(OR(ISNUMBER(SEARCH("NEW ORLEANS",C1117)),ISNUMBER(SEARCH("KENNER",C1117)),ISNUMBER(SEARCH("HENRY HOWARD",C1117)),ISNUMBER(SEARCH("MISS CLAUDIA",C1117))),"Personal Travel - New Orleans",IFERROR(INDEX('Category Rules'!$B$2:$B$194,MATCH(TRUE,ISNUMBER(SEARCH('Category Rules'!$A$2:$A$194,C1117)),0)),"")))))))</f>
        <v>Amazon</v>
      </c>
    </row>
    <row r="1118" spans="1:7" x14ac:dyDescent="0.25">
      <c r="A1118" t="s">
        <v>6</v>
      </c>
      <c r="B1118" s="1">
        <v>46062</v>
      </c>
      <c r="C1118" t="s">
        <v>1068</v>
      </c>
      <c r="D1118">
        <v>-37.11</v>
      </c>
      <c r="E1118" t="s">
        <v>14</v>
      </c>
      <c r="F1118">
        <v>5002.08</v>
      </c>
      <c r="G1118" t="str" cm="1">
        <f t="array" ref="G1118">IF(AND(ISNUMBER(SEARCH("UBER",C1118)),ISNUMBER(SEARCH("EATS",C1118))),"Uber Eats",IF(LEFT(C1118,6)="CHECK ","Checks Paid",IF(OR(E1118="BILLPAY",ISNUMBER(SEARCH("FRANCHISE TAX",C1118)),ISNUMBER(SEARCH("NEXTLINK",C1118))),"Personal - House Bills",IF(AND(ISNUMBER(SEARCH("PAYMENT FROM",C1118)),ISNUMBER(SEARCH("JOE SAUNDERS",C1118))),"Zelle from Joe Saunders",IF(AND(ISNUMBER(SEARCH("PAYMENT TO",C1118)),ISNUMBER(SEARCH("JOE SAUNDERS",C1118))),"Zelle to Joe Saunders",IF(OR(ISNUMBER(SEARCH("NEW ORLEANS",C1118)),ISNUMBER(SEARCH("KENNER",C1118)),ISNUMBER(SEARCH("HENRY HOWARD",C1118)),ISNUMBER(SEARCH("MISS CLAUDIA",C1118))),"Personal Travel - New Orleans",IFERROR(INDEX('Category Rules'!$B$2:$B$194,MATCH(TRUE,ISNUMBER(SEARCH('Category Rules'!$A$2:$A$194,C1118)),0)),"")))))))</f>
        <v>Amazon</v>
      </c>
    </row>
    <row r="1119" spans="1:7" x14ac:dyDescent="0.25">
      <c r="A1119" t="s">
        <v>6</v>
      </c>
      <c r="B1119" s="1">
        <v>46062</v>
      </c>
      <c r="C1119" t="s">
        <v>1069</v>
      </c>
      <c r="D1119">
        <v>-63.22</v>
      </c>
      <c r="E1119" t="s">
        <v>14</v>
      </c>
      <c r="F1119">
        <v>5039.1899999999996</v>
      </c>
      <c r="G1119" t="str" cm="1">
        <f t="array" ref="G1119">IF(AND(ISNUMBER(SEARCH("UBER",C1119)),ISNUMBER(SEARCH("EATS",C1119))),"Uber Eats",IF(LEFT(C1119,6)="CHECK ","Checks Paid",IF(OR(E1119="BILLPAY",ISNUMBER(SEARCH("FRANCHISE TAX",C1119)),ISNUMBER(SEARCH("NEXTLINK",C1119))),"Personal - House Bills",IF(AND(ISNUMBER(SEARCH("PAYMENT FROM",C1119)),ISNUMBER(SEARCH("JOE SAUNDERS",C1119))),"Zelle from Joe Saunders",IF(AND(ISNUMBER(SEARCH("PAYMENT TO",C1119)),ISNUMBER(SEARCH("JOE SAUNDERS",C1119))),"Zelle to Joe Saunders",IF(OR(ISNUMBER(SEARCH("NEW ORLEANS",C1119)),ISNUMBER(SEARCH("KENNER",C1119)),ISNUMBER(SEARCH("HENRY HOWARD",C1119)),ISNUMBER(SEARCH("MISS CLAUDIA",C1119))),"Personal Travel - New Orleans",IFERROR(INDEX('Category Rules'!$B$2:$B$194,MATCH(TRUE,ISNUMBER(SEARCH('Category Rules'!$A$2:$A$194,C1119)),0)),"")))))))</f>
        <v>Amazon</v>
      </c>
    </row>
    <row r="1120" spans="1:7" x14ac:dyDescent="0.25">
      <c r="A1120" t="s">
        <v>6</v>
      </c>
      <c r="B1120" s="1">
        <v>46062</v>
      </c>
      <c r="C1120" t="s">
        <v>1070</v>
      </c>
      <c r="D1120">
        <v>-47.53</v>
      </c>
      <c r="E1120" t="s">
        <v>14</v>
      </c>
      <c r="F1120">
        <v>5102.41</v>
      </c>
      <c r="G1120" t="str" cm="1">
        <f t="array" ref="G1120">IF(AND(ISNUMBER(SEARCH("UBER",C1120)),ISNUMBER(SEARCH("EATS",C1120))),"Uber Eats",IF(LEFT(C1120,6)="CHECK ","Checks Paid",IF(OR(E1120="BILLPAY",ISNUMBER(SEARCH("FRANCHISE TAX",C1120)),ISNUMBER(SEARCH("NEXTLINK",C1120))),"Personal - House Bills",IF(AND(ISNUMBER(SEARCH("PAYMENT FROM",C1120)),ISNUMBER(SEARCH("JOE SAUNDERS",C1120))),"Zelle from Joe Saunders",IF(AND(ISNUMBER(SEARCH("PAYMENT TO",C1120)),ISNUMBER(SEARCH("JOE SAUNDERS",C1120))),"Zelle to Joe Saunders",IF(OR(ISNUMBER(SEARCH("NEW ORLEANS",C1120)),ISNUMBER(SEARCH("KENNER",C1120)),ISNUMBER(SEARCH("HENRY HOWARD",C1120)),ISNUMBER(SEARCH("MISS CLAUDIA",C1120))),"Personal Travel - New Orleans",IFERROR(INDEX('Category Rules'!$B$2:$B$194,MATCH(TRUE,ISNUMBER(SEARCH('Category Rules'!$A$2:$A$194,C1120)),0)),"")))))))</f>
        <v>Personal - Uber</v>
      </c>
    </row>
    <row r="1121" spans="1:7" x14ac:dyDescent="0.25">
      <c r="A1121" t="s">
        <v>6</v>
      </c>
      <c r="B1121" s="1">
        <v>46062</v>
      </c>
      <c r="C1121" t="s">
        <v>1071</v>
      </c>
      <c r="D1121">
        <v>-33</v>
      </c>
      <c r="E1121" t="s">
        <v>14</v>
      </c>
      <c r="F1121">
        <v>5149.9399999999996</v>
      </c>
      <c r="G1121" t="str" cm="1">
        <f t="array" ref="G1121">IF(AND(ISNUMBER(SEARCH("UBER",C1121)),ISNUMBER(SEARCH("EATS",C1121))),"Uber Eats",IF(LEFT(C1121,6)="CHECK ","Checks Paid",IF(OR(E1121="BILLPAY",ISNUMBER(SEARCH("FRANCHISE TAX",C1121)),ISNUMBER(SEARCH("NEXTLINK",C1121))),"Personal - House Bills",IF(AND(ISNUMBER(SEARCH("PAYMENT FROM",C1121)),ISNUMBER(SEARCH("JOE SAUNDERS",C1121))),"Zelle from Joe Saunders",IF(AND(ISNUMBER(SEARCH("PAYMENT TO",C1121)),ISNUMBER(SEARCH("JOE SAUNDERS",C1121))),"Zelle to Joe Saunders",IF(OR(ISNUMBER(SEARCH("NEW ORLEANS",C1121)),ISNUMBER(SEARCH("KENNER",C1121)),ISNUMBER(SEARCH("HENRY HOWARD",C1121)),ISNUMBER(SEARCH("MISS CLAUDIA",C1121))),"Personal Travel - New Orleans",IFERROR(INDEX('Category Rules'!$B$2:$B$194,MATCH(TRUE,ISNUMBER(SEARCH('Category Rules'!$A$2:$A$194,C1121)),0)),"")))))))</f>
        <v>Amazon</v>
      </c>
    </row>
    <row r="1122" spans="1:7" x14ac:dyDescent="0.25">
      <c r="A1122" t="s">
        <v>6</v>
      </c>
      <c r="B1122" s="1">
        <v>46062</v>
      </c>
      <c r="C1122" t="s">
        <v>1072</v>
      </c>
      <c r="D1122">
        <v>-44.98</v>
      </c>
      <c r="E1122" t="s">
        <v>14</v>
      </c>
      <c r="F1122">
        <v>5182.9399999999996</v>
      </c>
      <c r="G1122" t="str" cm="1">
        <f t="array" ref="G1122">IF(AND(ISNUMBER(SEARCH("UBER",C1122)),ISNUMBER(SEARCH("EATS",C1122))),"Uber Eats",IF(LEFT(C1122,6)="CHECK ","Checks Paid",IF(OR(E1122="BILLPAY",ISNUMBER(SEARCH("FRANCHISE TAX",C1122)),ISNUMBER(SEARCH("NEXTLINK",C1122))),"Personal - House Bills",IF(AND(ISNUMBER(SEARCH("PAYMENT FROM",C1122)),ISNUMBER(SEARCH("JOE SAUNDERS",C1122))),"Zelle from Joe Saunders",IF(AND(ISNUMBER(SEARCH("PAYMENT TO",C1122)),ISNUMBER(SEARCH("JOE SAUNDERS",C1122))),"Zelle to Joe Saunders",IF(OR(ISNUMBER(SEARCH("NEW ORLEANS",C1122)),ISNUMBER(SEARCH("KENNER",C1122)),ISNUMBER(SEARCH("HENRY HOWARD",C1122)),ISNUMBER(SEARCH("MISS CLAUDIA",C1122))),"Personal Travel - New Orleans",IFERROR(INDEX('Category Rules'!$B$2:$B$194,MATCH(TRUE,ISNUMBER(SEARCH('Category Rules'!$A$2:$A$194,C1122)),0)),"")))))))</f>
        <v>Amazon</v>
      </c>
    </row>
    <row r="1123" spans="1:7" x14ac:dyDescent="0.25">
      <c r="A1123" t="s">
        <v>6</v>
      </c>
      <c r="B1123" s="1">
        <v>46062</v>
      </c>
      <c r="C1123" t="s">
        <v>1073</v>
      </c>
      <c r="D1123">
        <v>-101.99</v>
      </c>
      <c r="E1123" t="s">
        <v>14</v>
      </c>
      <c r="F1123">
        <v>5227.92</v>
      </c>
      <c r="G1123" t="str" cm="1">
        <f t="array" ref="G1123">IF(AND(ISNUMBER(SEARCH("UBER",C1123)),ISNUMBER(SEARCH("EATS",C1123))),"Uber Eats",IF(LEFT(C1123,6)="CHECK ","Checks Paid",IF(OR(E1123="BILLPAY",ISNUMBER(SEARCH("FRANCHISE TAX",C1123)),ISNUMBER(SEARCH("NEXTLINK",C1123))),"Personal - House Bills",IF(AND(ISNUMBER(SEARCH("PAYMENT FROM",C1123)),ISNUMBER(SEARCH("JOE SAUNDERS",C1123))),"Zelle from Joe Saunders",IF(AND(ISNUMBER(SEARCH("PAYMENT TO",C1123)),ISNUMBER(SEARCH("JOE SAUNDERS",C1123))),"Zelle to Joe Saunders",IF(OR(ISNUMBER(SEARCH("NEW ORLEANS",C1123)),ISNUMBER(SEARCH("KENNER",C1123)),ISNUMBER(SEARCH("HENRY HOWARD",C1123)),ISNUMBER(SEARCH("MISS CLAUDIA",C1123))),"Personal Travel - New Orleans",IFERROR(INDEX('Category Rules'!$B$2:$B$194,MATCH(TRUE,ISNUMBER(SEARCH('Category Rules'!$A$2:$A$194,C1123)),0)),"")))))))</f>
        <v>Amazon</v>
      </c>
    </row>
    <row r="1124" spans="1:7" x14ac:dyDescent="0.25">
      <c r="A1124" t="s">
        <v>6</v>
      </c>
      <c r="B1124" s="1">
        <v>46062</v>
      </c>
      <c r="C1124" t="s">
        <v>1074</v>
      </c>
      <c r="D1124">
        <v>-20.72</v>
      </c>
      <c r="E1124" t="s">
        <v>14</v>
      </c>
      <c r="F1124">
        <v>5329.91</v>
      </c>
      <c r="G1124" t="str" cm="1">
        <f t="array" ref="G1124">IF(AND(ISNUMBER(SEARCH("UBER",C1124)),ISNUMBER(SEARCH("EATS",C1124))),"Uber Eats",IF(LEFT(C1124,6)="CHECK ","Checks Paid",IF(OR(E1124="BILLPAY",ISNUMBER(SEARCH("FRANCHISE TAX",C1124)),ISNUMBER(SEARCH("NEXTLINK",C1124))),"Personal - House Bills",IF(AND(ISNUMBER(SEARCH("PAYMENT FROM",C1124)),ISNUMBER(SEARCH("JOE SAUNDERS",C1124))),"Zelle from Joe Saunders",IF(AND(ISNUMBER(SEARCH("PAYMENT TO",C1124)),ISNUMBER(SEARCH("JOE SAUNDERS",C1124))),"Zelle to Joe Saunders",IF(OR(ISNUMBER(SEARCH("NEW ORLEANS",C1124)),ISNUMBER(SEARCH("KENNER",C1124)),ISNUMBER(SEARCH("HENRY HOWARD",C1124)),ISNUMBER(SEARCH("MISS CLAUDIA",C1124))),"Personal Travel - New Orleans",IFERROR(INDEX('Category Rules'!$B$2:$B$194,MATCH(TRUE,ISNUMBER(SEARCH('Category Rules'!$A$2:$A$194,C1124)),0)),"")))))))</f>
        <v>Amazon</v>
      </c>
    </row>
    <row r="1125" spans="1:7" x14ac:dyDescent="0.25">
      <c r="A1125" t="s">
        <v>6</v>
      </c>
      <c r="B1125" s="1">
        <v>46062</v>
      </c>
      <c r="C1125" t="s">
        <v>1075</v>
      </c>
      <c r="D1125">
        <v>-286.20999999999998</v>
      </c>
      <c r="E1125" t="s">
        <v>14</v>
      </c>
      <c r="F1125">
        <v>5350.63</v>
      </c>
      <c r="G1125" t="str" cm="1">
        <f t="array" ref="G1125">IF(AND(ISNUMBER(SEARCH("UBER",C1125)),ISNUMBER(SEARCH("EATS",C1125))),"Uber Eats",IF(LEFT(C1125,6)="CHECK ","Checks Paid",IF(OR(E1125="BILLPAY",ISNUMBER(SEARCH("FRANCHISE TAX",C1125)),ISNUMBER(SEARCH("NEXTLINK",C1125))),"Personal - House Bills",IF(AND(ISNUMBER(SEARCH("PAYMENT FROM",C1125)),ISNUMBER(SEARCH("JOE SAUNDERS",C1125))),"Zelle from Joe Saunders",IF(AND(ISNUMBER(SEARCH("PAYMENT TO",C1125)),ISNUMBER(SEARCH("JOE SAUNDERS",C1125))),"Zelle to Joe Saunders",IF(OR(ISNUMBER(SEARCH("NEW ORLEANS",C1125)),ISNUMBER(SEARCH("KENNER",C1125)),ISNUMBER(SEARCH("HENRY HOWARD",C1125)),ISNUMBER(SEARCH("MISS CLAUDIA",C1125))),"Personal Travel - New Orleans",IFERROR(INDEX('Category Rules'!$B$2:$B$194,MATCH(TRUE,ISNUMBER(SEARCH('Category Rules'!$A$2:$A$194,C1125)),0)),"")))))))</f>
        <v>Amazon</v>
      </c>
    </row>
    <row r="1126" spans="1:7" x14ac:dyDescent="0.25">
      <c r="A1126" t="s">
        <v>6</v>
      </c>
      <c r="B1126" s="1">
        <v>46062</v>
      </c>
      <c r="C1126" t="s">
        <v>1076</v>
      </c>
      <c r="D1126">
        <v>-13.53</v>
      </c>
      <c r="E1126" t="s">
        <v>14</v>
      </c>
      <c r="F1126">
        <v>5636.84</v>
      </c>
      <c r="G1126" t="str" cm="1">
        <f t="array" ref="G1126">IF(AND(ISNUMBER(SEARCH("UBER",C1126)),ISNUMBER(SEARCH("EATS",C1126))),"Uber Eats",IF(LEFT(C1126,6)="CHECK ","Checks Paid",IF(OR(E1126="BILLPAY",ISNUMBER(SEARCH("FRANCHISE TAX",C1126)),ISNUMBER(SEARCH("NEXTLINK",C1126))),"Personal - House Bills",IF(AND(ISNUMBER(SEARCH("PAYMENT FROM",C1126)),ISNUMBER(SEARCH("JOE SAUNDERS",C1126))),"Zelle from Joe Saunders",IF(AND(ISNUMBER(SEARCH("PAYMENT TO",C1126)),ISNUMBER(SEARCH("JOE SAUNDERS",C1126))),"Zelle to Joe Saunders",IF(OR(ISNUMBER(SEARCH("NEW ORLEANS",C1126)),ISNUMBER(SEARCH("KENNER",C1126)),ISNUMBER(SEARCH("HENRY HOWARD",C1126)),ISNUMBER(SEARCH("MISS CLAUDIA",C1126))),"Personal Travel - New Orleans",IFERROR(INDEX('Category Rules'!$B$2:$B$194,MATCH(TRUE,ISNUMBER(SEARCH('Category Rules'!$A$2:$A$194,C1126)),0)),"")))))))</f>
        <v>Personal - Food</v>
      </c>
    </row>
    <row r="1127" spans="1:7" x14ac:dyDescent="0.25">
      <c r="A1127" t="s">
        <v>6</v>
      </c>
      <c r="B1127" s="1">
        <v>46062</v>
      </c>
      <c r="C1127" t="s">
        <v>1077</v>
      </c>
      <c r="D1127">
        <v>-45</v>
      </c>
      <c r="E1127" t="s">
        <v>14</v>
      </c>
      <c r="F1127">
        <v>5650.37</v>
      </c>
      <c r="G1127" t="str" cm="1">
        <f t="array" ref="G1127">IF(AND(ISNUMBER(SEARCH("UBER",C1127)),ISNUMBER(SEARCH("EATS",C1127))),"Uber Eats",IF(LEFT(C1127,6)="CHECK ","Checks Paid",IF(OR(E1127="BILLPAY",ISNUMBER(SEARCH("FRANCHISE TAX",C1127)),ISNUMBER(SEARCH("NEXTLINK",C1127))),"Personal - House Bills",IF(AND(ISNUMBER(SEARCH("PAYMENT FROM",C1127)),ISNUMBER(SEARCH("JOE SAUNDERS",C1127))),"Zelle from Joe Saunders",IF(AND(ISNUMBER(SEARCH("PAYMENT TO",C1127)),ISNUMBER(SEARCH("JOE SAUNDERS",C1127))),"Zelle to Joe Saunders",IF(OR(ISNUMBER(SEARCH("NEW ORLEANS",C1127)),ISNUMBER(SEARCH("KENNER",C1127)),ISNUMBER(SEARCH("HENRY HOWARD",C1127)),ISNUMBER(SEARCH("MISS CLAUDIA",C1127))),"Personal Travel - New Orleans",IFERROR(INDEX('Category Rules'!$B$2:$B$194,MATCH(TRUE,ISNUMBER(SEARCH('Category Rules'!$A$2:$A$194,C1127)),0)),"")))))))</f>
        <v>Personal Travel</v>
      </c>
    </row>
    <row r="1128" spans="1:7" x14ac:dyDescent="0.25">
      <c r="A1128" t="s">
        <v>6</v>
      </c>
      <c r="B1128" s="1">
        <v>46062</v>
      </c>
      <c r="C1128" t="s">
        <v>1078</v>
      </c>
      <c r="D1128">
        <v>-11.14</v>
      </c>
      <c r="E1128" t="s">
        <v>14</v>
      </c>
      <c r="F1128">
        <v>5695.37</v>
      </c>
      <c r="G1128" t="str" cm="1">
        <f t="array" ref="G1128">IF(AND(ISNUMBER(SEARCH("UBER",C1128)),ISNUMBER(SEARCH("EATS",C1128))),"Uber Eats",IF(LEFT(C1128,6)="CHECK ","Checks Paid",IF(OR(E1128="BILLPAY",ISNUMBER(SEARCH("FRANCHISE TAX",C1128)),ISNUMBER(SEARCH("NEXTLINK",C1128))),"Personal - House Bills",IF(AND(ISNUMBER(SEARCH("PAYMENT FROM",C1128)),ISNUMBER(SEARCH("JOE SAUNDERS",C1128))),"Zelle from Joe Saunders",IF(AND(ISNUMBER(SEARCH("PAYMENT TO",C1128)),ISNUMBER(SEARCH("JOE SAUNDERS",C1128))),"Zelle to Joe Saunders",IF(OR(ISNUMBER(SEARCH("NEW ORLEANS",C1128)),ISNUMBER(SEARCH("KENNER",C1128)),ISNUMBER(SEARCH("HENRY HOWARD",C1128)),ISNUMBER(SEARCH("MISS CLAUDIA",C1128))),"Personal Travel - New Orleans",IFERROR(INDEX('Category Rules'!$B$2:$B$194,MATCH(TRUE,ISNUMBER(SEARCH('Category Rules'!$A$2:$A$194,C1128)),0)),"")))))))</f>
        <v>Personal - Entertainment</v>
      </c>
    </row>
    <row r="1129" spans="1:7" x14ac:dyDescent="0.25">
      <c r="A1129" t="s">
        <v>6</v>
      </c>
      <c r="B1129" s="1">
        <v>46062</v>
      </c>
      <c r="C1129" t="s">
        <v>1078</v>
      </c>
      <c r="D1129">
        <v>-5.4</v>
      </c>
      <c r="E1129" t="s">
        <v>14</v>
      </c>
      <c r="F1129">
        <v>5706.51</v>
      </c>
      <c r="G1129" t="str" cm="1">
        <f t="array" ref="G1129">IF(AND(ISNUMBER(SEARCH("UBER",C1129)),ISNUMBER(SEARCH("EATS",C1129))),"Uber Eats",IF(LEFT(C1129,6)="CHECK ","Checks Paid",IF(OR(E1129="BILLPAY",ISNUMBER(SEARCH("FRANCHISE TAX",C1129)),ISNUMBER(SEARCH("NEXTLINK",C1129))),"Personal - House Bills",IF(AND(ISNUMBER(SEARCH("PAYMENT FROM",C1129)),ISNUMBER(SEARCH("JOE SAUNDERS",C1129))),"Zelle from Joe Saunders",IF(AND(ISNUMBER(SEARCH("PAYMENT TO",C1129)),ISNUMBER(SEARCH("JOE SAUNDERS",C1129))),"Zelle to Joe Saunders",IF(OR(ISNUMBER(SEARCH("NEW ORLEANS",C1129)),ISNUMBER(SEARCH("KENNER",C1129)),ISNUMBER(SEARCH("HENRY HOWARD",C1129)),ISNUMBER(SEARCH("MISS CLAUDIA",C1129))),"Personal Travel - New Orleans",IFERROR(INDEX('Category Rules'!$B$2:$B$194,MATCH(TRUE,ISNUMBER(SEARCH('Category Rules'!$A$2:$A$194,C1129)),0)),"")))))))</f>
        <v>Personal - Entertainment</v>
      </c>
    </row>
    <row r="1130" spans="1:7" x14ac:dyDescent="0.25">
      <c r="A1130" t="s">
        <v>6</v>
      </c>
      <c r="B1130" s="1">
        <v>46062</v>
      </c>
      <c r="C1130" t="s">
        <v>1078</v>
      </c>
      <c r="D1130">
        <v>-27.13</v>
      </c>
      <c r="E1130" t="s">
        <v>14</v>
      </c>
      <c r="F1130">
        <v>5711.91</v>
      </c>
      <c r="G1130" t="str" cm="1">
        <f t="array" ref="G1130">IF(AND(ISNUMBER(SEARCH("UBER",C1130)),ISNUMBER(SEARCH("EATS",C1130))),"Uber Eats",IF(LEFT(C1130,6)="CHECK ","Checks Paid",IF(OR(E1130="BILLPAY",ISNUMBER(SEARCH("FRANCHISE TAX",C1130)),ISNUMBER(SEARCH("NEXTLINK",C1130))),"Personal - House Bills",IF(AND(ISNUMBER(SEARCH("PAYMENT FROM",C1130)),ISNUMBER(SEARCH("JOE SAUNDERS",C1130))),"Zelle from Joe Saunders",IF(AND(ISNUMBER(SEARCH("PAYMENT TO",C1130)),ISNUMBER(SEARCH("JOE SAUNDERS",C1130))),"Zelle to Joe Saunders",IF(OR(ISNUMBER(SEARCH("NEW ORLEANS",C1130)),ISNUMBER(SEARCH("KENNER",C1130)),ISNUMBER(SEARCH("HENRY HOWARD",C1130)),ISNUMBER(SEARCH("MISS CLAUDIA",C1130))),"Personal Travel - New Orleans",IFERROR(INDEX('Category Rules'!$B$2:$B$194,MATCH(TRUE,ISNUMBER(SEARCH('Category Rules'!$A$2:$A$194,C1130)),0)),"")))))))</f>
        <v>Personal - Entertainment</v>
      </c>
    </row>
    <row r="1131" spans="1:7" x14ac:dyDescent="0.25">
      <c r="A1131" t="s">
        <v>37</v>
      </c>
      <c r="B1131" s="1">
        <v>46062</v>
      </c>
      <c r="C1131" t="s">
        <v>1079</v>
      </c>
      <c r="D1131">
        <v>3000</v>
      </c>
      <c r="E1131" t="s">
        <v>39</v>
      </c>
      <c r="F1131">
        <v>5739.04</v>
      </c>
      <c r="G1131" t="str" cm="1">
        <f t="array" ref="G1131">IF(AND(ISNUMBER(SEARCH("UBER",C1131)),ISNUMBER(SEARCH("EATS",C1131))),"Uber Eats",IF(LEFT(C1131,6)="CHECK ","Checks Paid",IF(OR(E1131="BILLPAY",ISNUMBER(SEARCH("FRANCHISE TAX",C1131)),ISNUMBER(SEARCH("NEXTLINK",C1131))),"Personal - House Bills",IF(AND(ISNUMBER(SEARCH("PAYMENT FROM",C1131)),ISNUMBER(SEARCH("JOE SAUNDERS",C1131))),"Zelle from Joe Saunders",IF(AND(ISNUMBER(SEARCH("PAYMENT TO",C1131)),ISNUMBER(SEARCH("JOE SAUNDERS",C1131))),"Zelle to Joe Saunders",IF(OR(ISNUMBER(SEARCH("NEW ORLEANS",C1131)),ISNUMBER(SEARCH("KENNER",C1131)),ISNUMBER(SEARCH("HENRY HOWARD",C1131)),ISNUMBER(SEARCH("MISS CLAUDIA",C1131))),"Personal Travel - New Orleans",IFERROR(INDEX('Category Rules'!$B$2:$B$194,MATCH(TRUE,ISNUMBER(SEARCH('Category Rules'!$A$2:$A$194,C1131)),0)),"")))))))</f>
        <v>Transfer from DWG Capital Group</v>
      </c>
    </row>
    <row r="1132" spans="1:7" x14ac:dyDescent="0.25">
      <c r="A1132" t="s">
        <v>6</v>
      </c>
      <c r="B1132" s="1">
        <v>46059</v>
      </c>
      <c r="C1132" t="s">
        <v>1080</v>
      </c>
      <c r="D1132">
        <v>-67.77</v>
      </c>
      <c r="E1132" t="s">
        <v>14</v>
      </c>
      <c r="F1132">
        <v>2739.04</v>
      </c>
      <c r="G1132" t="str" cm="1">
        <f t="array" ref="G1132">IF(AND(ISNUMBER(SEARCH("UBER",C1132)),ISNUMBER(SEARCH("EATS",C1132))),"Uber Eats",IF(LEFT(C1132,6)="CHECK ","Checks Paid",IF(OR(E1132="BILLPAY",ISNUMBER(SEARCH("FRANCHISE TAX",C1132)),ISNUMBER(SEARCH("NEXTLINK",C1132))),"Personal - House Bills",IF(AND(ISNUMBER(SEARCH("PAYMENT FROM",C1132)),ISNUMBER(SEARCH("JOE SAUNDERS",C1132))),"Zelle from Joe Saunders",IF(AND(ISNUMBER(SEARCH("PAYMENT TO",C1132)),ISNUMBER(SEARCH("JOE SAUNDERS",C1132))),"Zelle to Joe Saunders",IF(OR(ISNUMBER(SEARCH("NEW ORLEANS",C1132)),ISNUMBER(SEARCH("KENNER",C1132)),ISNUMBER(SEARCH("HENRY HOWARD",C1132)),ISNUMBER(SEARCH("MISS CLAUDIA",C1132))),"Personal Travel - New Orleans",IFERROR(INDEX('Category Rules'!$B$2:$B$194,MATCH(TRUE,ISNUMBER(SEARCH('Category Rules'!$A$2:$A$194,C1132)),0)),"")))))))</f>
        <v>Uber Eats</v>
      </c>
    </row>
    <row r="1133" spans="1:7" x14ac:dyDescent="0.25">
      <c r="A1133" t="s">
        <v>6</v>
      </c>
      <c r="B1133" s="1">
        <v>46059</v>
      </c>
      <c r="C1133" t="s">
        <v>1081</v>
      </c>
      <c r="D1133">
        <v>-13.99</v>
      </c>
      <c r="E1133" t="s">
        <v>14</v>
      </c>
      <c r="F1133">
        <v>2806.81</v>
      </c>
      <c r="G1133" t="str" cm="1">
        <f t="array" ref="G1133">IF(AND(ISNUMBER(SEARCH("UBER",C1133)),ISNUMBER(SEARCH("EATS",C1133))),"Uber Eats",IF(LEFT(C1133,6)="CHECK ","Checks Paid",IF(OR(E1133="BILLPAY",ISNUMBER(SEARCH("FRANCHISE TAX",C1133)),ISNUMBER(SEARCH("NEXTLINK",C1133))),"Personal - House Bills",IF(AND(ISNUMBER(SEARCH("PAYMENT FROM",C1133)),ISNUMBER(SEARCH("JOE SAUNDERS",C1133))),"Zelle from Joe Saunders",IF(AND(ISNUMBER(SEARCH("PAYMENT TO",C1133)),ISNUMBER(SEARCH("JOE SAUNDERS",C1133))),"Zelle to Joe Saunders",IF(OR(ISNUMBER(SEARCH("NEW ORLEANS",C1133)),ISNUMBER(SEARCH("KENNER",C1133)),ISNUMBER(SEARCH("HENRY HOWARD",C1133)),ISNUMBER(SEARCH("MISS CLAUDIA",C1133))),"Personal Travel - New Orleans",IFERROR(INDEX('Category Rules'!$B$2:$B$194,MATCH(TRUE,ISNUMBER(SEARCH('Category Rules'!$A$2:$A$194,C1133)),0)),"")))))))</f>
        <v>YouTube Premium</v>
      </c>
    </row>
    <row r="1134" spans="1:7" x14ac:dyDescent="0.25">
      <c r="A1134" t="s">
        <v>6</v>
      </c>
      <c r="B1134" s="1">
        <v>46059</v>
      </c>
      <c r="C1134" t="s">
        <v>1082</v>
      </c>
      <c r="D1134">
        <v>-29.95</v>
      </c>
      <c r="E1134" t="s">
        <v>14</v>
      </c>
      <c r="F1134">
        <v>2820.8</v>
      </c>
      <c r="G1134" t="str" cm="1">
        <f t="array" ref="G1134">IF(AND(ISNUMBER(SEARCH("UBER",C1134)),ISNUMBER(SEARCH("EATS",C1134))),"Uber Eats",IF(LEFT(C1134,6)="CHECK ","Checks Paid",IF(OR(E1134="BILLPAY",ISNUMBER(SEARCH("FRANCHISE TAX",C1134)),ISNUMBER(SEARCH("NEXTLINK",C1134))),"Personal - House Bills",IF(AND(ISNUMBER(SEARCH("PAYMENT FROM",C1134)),ISNUMBER(SEARCH("JOE SAUNDERS",C1134))),"Zelle from Joe Saunders",IF(AND(ISNUMBER(SEARCH("PAYMENT TO",C1134)),ISNUMBER(SEARCH("JOE SAUNDERS",C1134))),"Zelle to Joe Saunders",IF(OR(ISNUMBER(SEARCH("NEW ORLEANS",C1134)),ISNUMBER(SEARCH("KENNER",C1134)),ISNUMBER(SEARCH("HENRY HOWARD",C1134)),ISNUMBER(SEARCH("MISS CLAUDIA",C1134))),"Personal Travel - New Orleans",IFERROR(INDEX('Category Rules'!$B$2:$B$194,MATCH(TRUE,ISNUMBER(SEARCH('Category Rules'!$A$2:$A$194,C1134)),0)),"")))))))</f>
        <v>Personal - Subscription</v>
      </c>
    </row>
    <row r="1135" spans="1:7" x14ac:dyDescent="0.25">
      <c r="A1135" t="s">
        <v>6</v>
      </c>
      <c r="B1135" s="1">
        <v>46059</v>
      </c>
      <c r="C1135" t="s">
        <v>1083</v>
      </c>
      <c r="D1135">
        <v>-40</v>
      </c>
      <c r="E1135" t="s">
        <v>14</v>
      </c>
      <c r="F1135">
        <v>2850.75</v>
      </c>
      <c r="G1135" t="str" cm="1">
        <f t="array" ref="G1135">IF(AND(ISNUMBER(SEARCH("UBER",C1135)),ISNUMBER(SEARCH("EATS",C1135))),"Uber Eats",IF(LEFT(C1135,6)="CHECK ","Checks Paid",IF(OR(E1135="BILLPAY",ISNUMBER(SEARCH("FRANCHISE TAX",C1135)),ISNUMBER(SEARCH("NEXTLINK",C1135))),"Personal - House Bills",IF(AND(ISNUMBER(SEARCH("PAYMENT FROM",C1135)),ISNUMBER(SEARCH("JOE SAUNDERS",C1135))),"Zelle from Joe Saunders",IF(AND(ISNUMBER(SEARCH("PAYMENT TO",C1135)),ISNUMBER(SEARCH("JOE SAUNDERS",C1135))),"Zelle to Joe Saunders",IF(OR(ISNUMBER(SEARCH("NEW ORLEANS",C1135)),ISNUMBER(SEARCH("KENNER",C1135)),ISNUMBER(SEARCH("HENRY HOWARD",C1135)),ISNUMBER(SEARCH("MISS CLAUDIA",C1135))),"Personal Travel - New Orleans",IFERROR(INDEX('Category Rules'!$B$2:$B$194,MATCH(TRUE,ISNUMBER(SEARCH('Category Rules'!$A$2:$A$194,C1135)),0)),"")))))))</f>
        <v>Personal - Car</v>
      </c>
    </row>
    <row r="1136" spans="1:7" x14ac:dyDescent="0.25">
      <c r="A1136" t="s">
        <v>6</v>
      </c>
      <c r="B1136" s="1">
        <v>46059</v>
      </c>
      <c r="C1136" t="s">
        <v>1084</v>
      </c>
      <c r="D1136">
        <v>-96.53</v>
      </c>
      <c r="E1136" t="s">
        <v>14</v>
      </c>
      <c r="F1136">
        <v>2890.75</v>
      </c>
      <c r="G1136" t="str" cm="1">
        <f t="array" ref="G1136">IF(AND(ISNUMBER(SEARCH("UBER",C1136)),ISNUMBER(SEARCH("EATS",C1136))),"Uber Eats",IF(LEFT(C1136,6)="CHECK ","Checks Paid",IF(OR(E1136="BILLPAY",ISNUMBER(SEARCH("FRANCHISE TAX",C1136)),ISNUMBER(SEARCH("NEXTLINK",C1136))),"Personal - House Bills",IF(AND(ISNUMBER(SEARCH("PAYMENT FROM",C1136)),ISNUMBER(SEARCH("JOE SAUNDERS",C1136))),"Zelle from Joe Saunders",IF(AND(ISNUMBER(SEARCH("PAYMENT TO",C1136)),ISNUMBER(SEARCH("JOE SAUNDERS",C1136))),"Zelle to Joe Saunders",IF(OR(ISNUMBER(SEARCH("NEW ORLEANS",C1136)),ISNUMBER(SEARCH("KENNER",C1136)),ISNUMBER(SEARCH("HENRY HOWARD",C1136)),ISNUMBER(SEARCH("MISS CLAUDIA",C1136))),"Personal Travel - New Orleans",IFERROR(INDEX('Category Rules'!$B$2:$B$194,MATCH(TRUE,ISNUMBER(SEARCH('Category Rules'!$A$2:$A$194,C1136)),0)),"")))))))</f>
        <v>Amazon</v>
      </c>
    </row>
    <row r="1137" spans="1:7" x14ac:dyDescent="0.25">
      <c r="A1137" t="s">
        <v>6</v>
      </c>
      <c r="B1137" s="1">
        <v>46058</v>
      </c>
      <c r="C1137" t="s">
        <v>1085</v>
      </c>
      <c r="D1137">
        <v>-52.56</v>
      </c>
      <c r="E1137" t="s">
        <v>14</v>
      </c>
      <c r="F1137">
        <v>2987.28</v>
      </c>
      <c r="G1137" t="str" cm="1">
        <f t="array" ref="G1137">IF(AND(ISNUMBER(SEARCH("UBER",C1137)),ISNUMBER(SEARCH("EATS",C1137))),"Uber Eats",IF(LEFT(C1137,6)="CHECK ","Checks Paid",IF(OR(E1137="BILLPAY",ISNUMBER(SEARCH("FRANCHISE TAX",C1137)),ISNUMBER(SEARCH("NEXTLINK",C1137))),"Personal - House Bills",IF(AND(ISNUMBER(SEARCH("PAYMENT FROM",C1137)),ISNUMBER(SEARCH("JOE SAUNDERS",C1137))),"Zelle from Joe Saunders",IF(AND(ISNUMBER(SEARCH("PAYMENT TO",C1137)),ISNUMBER(SEARCH("JOE SAUNDERS",C1137))),"Zelle to Joe Saunders",IF(OR(ISNUMBER(SEARCH("NEW ORLEANS",C1137)),ISNUMBER(SEARCH("KENNER",C1137)),ISNUMBER(SEARCH("HENRY HOWARD",C1137)),ISNUMBER(SEARCH("MISS CLAUDIA",C1137))),"Personal Travel - New Orleans",IFERROR(INDEX('Category Rules'!$B$2:$B$194,MATCH(TRUE,ISNUMBER(SEARCH('Category Rules'!$A$2:$A$194,C1137)),0)),"")))))))</f>
        <v>Personal - Car</v>
      </c>
    </row>
    <row r="1138" spans="1:7" x14ac:dyDescent="0.25">
      <c r="A1138" t="s">
        <v>6</v>
      </c>
      <c r="B1138" s="1">
        <v>46058</v>
      </c>
      <c r="C1138" t="s">
        <v>1086</v>
      </c>
      <c r="D1138">
        <v>-400</v>
      </c>
      <c r="E1138" t="s">
        <v>48</v>
      </c>
      <c r="F1138">
        <v>3039.84</v>
      </c>
      <c r="G1138" t="str" cm="1">
        <f t="array" ref="G1138">IF(AND(ISNUMBER(SEARCH("UBER",C1138)),ISNUMBER(SEARCH("EATS",C1138))),"Uber Eats",IF(LEFT(C1138,6)="CHECK ","Checks Paid",IF(OR(E1138="BILLPAY",ISNUMBER(SEARCH("FRANCHISE TAX",C1138)),ISNUMBER(SEARCH("NEXTLINK",C1138))),"Personal - House Bills",IF(AND(ISNUMBER(SEARCH("PAYMENT FROM",C1138)),ISNUMBER(SEARCH("JOE SAUNDERS",C1138))),"Zelle from Joe Saunders",IF(AND(ISNUMBER(SEARCH("PAYMENT TO",C1138)),ISNUMBER(SEARCH("JOE SAUNDERS",C1138))),"Zelle to Joe Saunders",IF(OR(ISNUMBER(SEARCH("NEW ORLEANS",C1138)),ISNUMBER(SEARCH("KENNER",C1138)),ISNUMBER(SEARCH("HENRY HOWARD",C1138)),ISNUMBER(SEARCH("MISS CLAUDIA",C1138))),"Personal Travel - New Orleans",IFERROR(INDEX('Category Rules'!$B$2:$B$194,MATCH(TRUE,ISNUMBER(SEARCH('Category Rules'!$A$2:$A$194,C1138)),0)),"")))))))</f>
        <v>Withdrawal</v>
      </c>
    </row>
    <row r="1139" spans="1:7" x14ac:dyDescent="0.25">
      <c r="A1139" t="s">
        <v>6</v>
      </c>
      <c r="B1139" s="1">
        <v>46058</v>
      </c>
      <c r="C1139" t="s">
        <v>1087</v>
      </c>
      <c r="D1139">
        <v>-600</v>
      </c>
      <c r="E1139" t="s">
        <v>48</v>
      </c>
      <c r="F1139">
        <v>3439.84</v>
      </c>
      <c r="G1139" t="str" cm="1">
        <f t="array" ref="G1139">IF(AND(ISNUMBER(SEARCH("UBER",C1139)),ISNUMBER(SEARCH("EATS",C1139))),"Uber Eats",IF(LEFT(C1139,6)="CHECK ","Checks Paid",IF(OR(E1139="BILLPAY",ISNUMBER(SEARCH("FRANCHISE TAX",C1139)),ISNUMBER(SEARCH("NEXTLINK",C1139))),"Personal - House Bills",IF(AND(ISNUMBER(SEARCH("PAYMENT FROM",C1139)),ISNUMBER(SEARCH("JOE SAUNDERS",C1139))),"Zelle from Joe Saunders",IF(AND(ISNUMBER(SEARCH("PAYMENT TO",C1139)),ISNUMBER(SEARCH("JOE SAUNDERS",C1139))),"Zelle to Joe Saunders",IF(OR(ISNUMBER(SEARCH("NEW ORLEANS",C1139)),ISNUMBER(SEARCH("KENNER",C1139)),ISNUMBER(SEARCH("HENRY HOWARD",C1139)),ISNUMBER(SEARCH("MISS CLAUDIA",C1139))),"Personal Travel - New Orleans",IFERROR(INDEX('Category Rules'!$B$2:$B$194,MATCH(TRUE,ISNUMBER(SEARCH('Category Rules'!$A$2:$A$194,C1139)),0)),"")))))))</f>
        <v>Withdrawal</v>
      </c>
    </row>
    <row r="1140" spans="1:7" x14ac:dyDescent="0.25">
      <c r="A1140" t="s">
        <v>6</v>
      </c>
      <c r="B1140" s="1">
        <v>46058</v>
      </c>
      <c r="C1140" t="s">
        <v>1088</v>
      </c>
      <c r="D1140">
        <v>-326.22000000000003</v>
      </c>
      <c r="E1140" t="s">
        <v>14</v>
      </c>
      <c r="F1140">
        <v>4039.84</v>
      </c>
      <c r="G1140" t="str" cm="1">
        <f t="array" ref="G1140">IF(AND(ISNUMBER(SEARCH("UBER",C1140)),ISNUMBER(SEARCH("EATS",C1140))),"Uber Eats",IF(LEFT(C1140,6)="CHECK ","Checks Paid",IF(OR(E1140="BILLPAY",ISNUMBER(SEARCH("FRANCHISE TAX",C1140)),ISNUMBER(SEARCH("NEXTLINK",C1140))),"Personal - House Bills",IF(AND(ISNUMBER(SEARCH("PAYMENT FROM",C1140)),ISNUMBER(SEARCH("JOE SAUNDERS",C1140))),"Zelle from Joe Saunders",IF(AND(ISNUMBER(SEARCH("PAYMENT TO",C1140)),ISNUMBER(SEARCH("JOE SAUNDERS",C1140))),"Zelle to Joe Saunders",IF(OR(ISNUMBER(SEARCH("NEW ORLEANS",C1140)),ISNUMBER(SEARCH("KENNER",C1140)),ISNUMBER(SEARCH("HENRY HOWARD",C1140)),ISNUMBER(SEARCH("MISS CLAUDIA",C1140))),"Personal Travel - New Orleans",IFERROR(INDEX('Category Rules'!$B$2:$B$194,MATCH(TRUE,ISNUMBER(SEARCH('Category Rules'!$A$2:$A$194,C1140)),0)),"")))))))</f>
        <v>Personal - Shopping</v>
      </c>
    </row>
    <row r="1141" spans="1:7" x14ac:dyDescent="0.25">
      <c r="A1141" t="s">
        <v>6</v>
      </c>
      <c r="B1141" s="1">
        <v>46057</v>
      </c>
      <c r="C1141" t="s">
        <v>1089</v>
      </c>
      <c r="D1141">
        <v>-129.88999999999999</v>
      </c>
      <c r="E1141" t="s">
        <v>14</v>
      </c>
      <c r="F1141">
        <v>4366.0600000000004</v>
      </c>
      <c r="G1141" t="str" cm="1">
        <f t="array" ref="G1141">IF(AND(ISNUMBER(SEARCH("UBER",C1141)),ISNUMBER(SEARCH("EATS",C1141))),"Uber Eats",IF(LEFT(C1141,6)="CHECK ","Checks Paid",IF(OR(E1141="BILLPAY",ISNUMBER(SEARCH("FRANCHISE TAX",C1141)),ISNUMBER(SEARCH("NEXTLINK",C1141))),"Personal - House Bills",IF(AND(ISNUMBER(SEARCH("PAYMENT FROM",C1141)),ISNUMBER(SEARCH("JOE SAUNDERS",C1141))),"Zelle from Joe Saunders",IF(AND(ISNUMBER(SEARCH("PAYMENT TO",C1141)),ISNUMBER(SEARCH("JOE SAUNDERS",C1141))),"Zelle to Joe Saunders",IF(OR(ISNUMBER(SEARCH("NEW ORLEANS",C1141)),ISNUMBER(SEARCH("KENNER",C1141)),ISNUMBER(SEARCH("HENRY HOWARD",C1141)),ISNUMBER(SEARCH("MISS CLAUDIA",C1141))),"Personal Travel - New Orleans",IFERROR(INDEX('Category Rules'!$B$2:$B$194,MATCH(TRUE,ISNUMBER(SEARCH('Category Rules'!$A$2:$A$194,C1141)),0)),"")))))))</f>
        <v>Personal - Shopping</v>
      </c>
    </row>
    <row r="1142" spans="1:7" x14ac:dyDescent="0.25">
      <c r="A1142" t="s">
        <v>6</v>
      </c>
      <c r="B1142" s="1">
        <v>46057</v>
      </c>
      <c r="C1142" t="s">
        <v>1090</v>
      </c>
      <c r="D1142">
        <v>-33.619999999999997</v>
      </c>
      <c r="E1142" t="s">
        <v>14</v>
      </c>
      <c r="F1142">
        <v>4495.95</v>
      </c>
      <c r="G1142" t="s">
        <v>1308</v>
      </c>
    </row>
    <row r="1143" spans="1:7" x14ac:dyDescent="0.25">
      <c r="A1143" t="s">
        <v>6</v>
      </c>
      <c r="B1143" s="1">
        <v>46057</v>
      </c>
      <c r="C1143" t="s">
        <v>1091</v>
      </c>
      <c r="D1143">
        <v>-10.42</v>
      </c>
      <c r="E1143" t="s">
        <v>14</v>
      </c>
      <c r="F1143">
        <v>4529.57</v>
      </c>
      <c r="G1143" t="str" cm="1">
        <f t="array" ref="G1143">IF(AND(ISNUMBER(SEARCH("UBER",C1143)),ISNUMBER(SEARCH("EATS",C1143))),"Uber Eats",IF(LEFT(C1143,6)="CHECK ","Checks Paid",IF(OR(E1143="BILLPAY",ISNUMBER(SEARCH("FRANCHISE TAX",C1143)),ISNUMBER(SEARCH("NEXTLINK",C1143))),"Personal - House Bills",IF(AND(ISNUMBER(SEARCH("PAYMENT FROM",C1143)),ISNUMBER(SEARCH("JOE SAUNDERS",C1143))),"Zelle from Joe Saunders",IF(AND(ISNUMBER(SEARCH("PAYMENT TO",C1143)),ISNUMBER(SEARCH("JOE SAUNDERS",C1143))),"Zelle to Joe Saunders",IF(OR(ISNUMBER(SEARCH("NEW ORLEANS",C1143)),ISNUMBER(SEARCH("KENNER",C1143)),ISNUMBER(SEARCH("HENRY HOWARD",C1143)),ISNUMBER(SEARCH("MISS CLAUDIA",C1143))),"Personal Travel - New Orleans",IFERROR(INDEX('Category Rules'!$B$2:$B$194,MATCH(TRUE,ISNUMBER(SEARCH('Category Rules'!$A$2:$A$194,C1143)),0)),"")))))))</f>
        <v>Amazon</v>
      </c>
    </row>
    <row r="1144" spans="1:7" x14ac:dyDescent="0.25">
      <c r="A1144" t="s">
        <v>6</v>
      </c>
      <c r="B1144" s="1">
        <v>46057</v>
      </c>
      <c r="C1144" t="s">
        <v>1092</v>
      </c>
      <c r="D1144">
        <v>-9.83</v>
      </c>
      <c r="E1144" t="s">
        <v>14</v>
      </c>
      <c r="F1144">
        <v>4539.99</v>
      </c>
      <c r="G1144" t="str" cm="1">
        <f t="array" ref="G1144">IF(AND(ISNUMBER(SEARCH("UBER",C1144)),ISNUMBER(SEARCH("EATS",C1144))),"Uber Eats",IF(LEFT(C1144,6)="CHECK ","Checks Paid",IF(OR(E1144="BILLPAY",ISNUMBER(SEARCH("FRANCHISE TAX",C1144)),ISNUMBER(SEARCH("NEXTLINK",C1144))),"Personal - House Bills",IF(AND(ISNUMBER(SEARCH("PAYMENT FROM",C1144)),ISNUMBER(SEARCH("JOE SAUNDERS",C1144))),"Zelle from Joe Saunders",IF(AND(ISNUMBER(SEARCH("PAYMENT TO",C1144)),ISNUMBER(SEARCH("JOE SAUNDERS",C1144))),"Zelle to Joe Saunders",IF(OR(ISNUMBER(SEARCH("NEW ORLEANS",C1144)),ISNUMBER(SEARCH("KENNER",C1144)),ISNUMBER(SEARCH("HENRY HOWARD",C1144)),ISNUMBER(SEARCH("MISS CLAUDIA",C1144))),"Personal Travel - New Orleans",IFERROR(INDEX('Category Rules'!$B$2:$B$194,MATCH(TRUE,ISNUMBER(SEARCH('Category Rules'!$A$2:$A$194,C1144)),0)),"")))))))</f>
        <v>Amazon</v>
      </c>
    </row>
    <row r="1145" spans="1:7" x14ac:dyDescent="0.25">
      <c r="A1145" t="s">
        <v>6</v>
      </c>
      <c r="B1145" s="1">
        <v>46057</v>
      </c>
      <c r="C1145" t="s">
        <v>1093</v>
      </c>
      <c r="D1145">
        <v>-156.63999999999999</v>
      </c>
      <c r="E1145" t="s">
        <v>14</v>
      </c>
      <c r="F1145">
        <v>4549.82</v>
      </c>
      <c r="G1145" t="s">
        <v>1308</v>
      </c>
    </row>
    <row r="1146" spans="1:7" x14ac:dyDescent="0.25">
      <c r="A1146" t="s">
        <v>6</v>
      </c>
      <c r="B1146" s="1">
        <v>46057</v>
      </c>
      <c r="C1146" t="s">
        <v>1094</v>
      </c>
      <c r="D1146">
        <v>-10.66</v>
      </c>
      <c r="E1146" t="s">
        <v>14</v>
      </c>
      <c r="F1146">
        <v>4706.46</v>
      </c>
      <c r="G1146" t="str" cm="1">
        <f t="array" ref="G1146">IF(AND(ISNUMBER(SEARCH("UBER",C1146)),ISNUMBER(SEARCH("EATS",C1146))),"Uber Eats",IF(LEFT(C1146,6)="CHECK ","Checks Paid",IF(OR(E1146="BILLPAY",ISNUMBER(SEARCH("FRANCHISE TAX",C1146)),ISNUMBER(SEARCH("NEXTLINK",C1146))),"Personal - House Bills",IF(AND(ISNUMBER(SEARCH("PAYMENT FROM",C1146)),ISNUMBER(SEARCH("JOE SAUNDERS",C1146))),"Zelle from Joe Saunders",IF(AND(ISNUMBER(SEARCH("PAYMENT TO",C1146)),ISNUMBER(SEARCH("JOE SAUNDERS",C1146))),"Zelle to Joe Saunders",IF(OR(ISNUMBER(SEARCH("NEW ORLEANS",C1146)),ISNUMBER(SEARCH("KENNER",C1146)),ISNUMBER(SEARCH("HENRY HOWARD",C1146)),ISNUMBER(SEARCH("MISS CLAUDIA",C1146))),"Personal Travel - New Orleans",IFERROR(INDEX('Category Rules'!$B$2:$B$194,MATCH(TRUE,ISNUMBER(SEARCH('Category Rules'!$A$2:$A$194,C1146)),0)),"")))))))</f>
        <v>Amazon</v>
      </c>
    </row>
    <row r="1147" spans="1:7" x14ac:dyDescent="0.25">
      <c r="A1147" t="s">
        <v>6</v>
      </c>
      <c r="B1147" s="1">
        <v>46057</v>
      </c>
      <c r="C1147" t="s">
        <v>1095</v>
      </c>
      <c r="D1147">
        <v>-176.98</v>
      </c>
      <c r="E1147" t="s">
        <v>14</v>
      </c>
      <c r="F1147">
        <v>4717.12</v>
      </c>
      <c r="G1147" t="str" cm="1">
        <f t="array" ref="G1147">IF(AND(ISNUMBER(SEARCH("UBER",C1147)),ISNUMBER(SEARCH("EATS",C1147))),"Uber Eats",IF(LEFT(C1147,6)="CHECK ","Checks Paid",IF(OR(E1147="BILLPAY",ISNUMBER(SEARCH("FRANCHISE TAX",C1147)),ISNUMBER(SEARCH("NEXTLINK",C1147))),"Personal - House Bills",IF(AND(ISNUMBER(SEARCH("PAYMENT FROM",C1147)),ISNUMBER(SEARCH("JOE SAUNDERS",C1147))),"Zelle from Joe Saunders",IF(AND(ISNUMBER(SEARCH("PAYMENT TO",C1147)),ISNUMBER(SEARCH("JOE SAUNDERS",C1147))),"Zelle to Joe Saunders",IF(OR(ISNUMBER(SEARCH("NEW ORLEANS",C1147)),ISNUMBER(SEARCH("KENNER",C1147)),ISNUMBER(SEARCH("HENRY HOWARD",C1147)),ISNUMBER(SEARCH("MISS CLAUDIA",C1147))),"Personal Travel - New Orleans",IFERROR(INDEX('Category Rules'!$B$2:$B$194,MATCH(TRUE,ISNUMBER(SEARCH('Category Rules'!$A$2:$A$194,C1147)),0)),"")))))))</f>
        <v>Personal - Shopping</v>
      </c>
    </row>
    <row r="1148" spans="1:7" x14ac:dyDescent="0.25">
      <c r="A1148" t="s">
        <v>6</v>
      </c>
      <c r="B1148" s="1">
        <v>46057</v>
      </c>
      <c r="C1148" t="s">
        <v>1096</v>
      </c>
      <c r="D1148">
        <v>-43.36</v>
      </c>
      <c r="E1148" t="s">
        <v>14</v>
      </c>
      <c r="F1148">
        <v>4894.1000000000004</v>
      </c>
      <c r="G1148" t="str" cm="1">
        <f t="array" ref="G1148">IF(AND(ISNUMBER(SEARCH("UBER",C1148)),ISNUMBER(SEARCH("EATS",C1148))),"Uber Eats",IF(LEFT(C1148,6)="CHECK ","Checks Paid",IF(OR(E1148="BILLPAY",ISNUMBER(SEARCH("FRANCHISE TAX",C1148)),ISNUMBER(SEARCH("NEXTLINK",C1148))),"Personal - House Bills",IF(AND(ISNUMBER(SEARCH("PAYMENT FROM",C1148)),ISNUMBER(SEARCH("JOE SAUNDERS",C1148))),"Zelle from Joe Saunders",IF(AND(ISNUMBER(SEARCH("PAYMENT TO",C1148)),ISNUMBER(SEARCH("JOE SAUNDERS",C1148))),"Zelle to Joe Saunders",IF(OR(ISNUMBER(SEARCH("NEW ORLEANS",C1148)),ISNUMBER(SEARCH("KENNER",C1148)),ISNUMBER(SEARCH("HENRY HOWARD",C1148)),ISNUMBER(SEARCH("MISS CLAUDIA",C1148))),"Personal Travel - New Orleans",IFERROR(INDEX('Category Rules'!$B$2:$B$194,MATCH(TRUE,ISNUMBER(SEARCH('Category Rules'!$A$2:$A$194,C1148)),0)),"")))))))</f>
        <v>Personal - Entertainment</v>
      </c>
    </row>
    <row r="1149" spans="1:7" x14ac:dyDescent="0.25">
      <c r="A1149" t="s">
        <v>37</v>
      </c>
      <c r="B1149" s="1">
        <v>46057</v>
      </c>
      <c r="C1149" t="s">
        <v>1097</v>
      </c>
      <c r="D1149">
        <v>150</v>
      </c>
      <c r="E1149" t="s">
        <v>60</v>
      </c>
      <c r="F1149">
        <v>4937.46</v>
      </c>
      <c r="G1149" t="str" cm="1">
        <f t="array" ref="G1149">IF(AND(ISNUMBER(SEARCH("UBER",C1149)),ISNUMBER(SEARCH("EATS",C1149))),"Uber Eats",IF(LEFT(C1149,6)="CHECK ","Checks Paid",IF(OR(E1149="BILLPAY",ISNUMBER(SEARCH("FRANCHISE TAX",C1149)),ISNUMBER(SEARCH("NEXTLINK",C1149))),"Personal - House Bills",IF(AND(ISNUMBER(SEARCH("PAYMENT FROM",C1149)),ISNUMBER(SEARCH("JOE SAUNDERS",C1149))),"Zelle from Joe Saunders",IF(AND(ISNUMBER(SEARCH("PAYMENT TO",C1149)),ISNUMBER(SEARCH("JOE SAUNDERS",C1149))),"Zelle to Joe Saunders",IF(OR(ISNUMBER(SEARCH("NEW ORLEANS",C1149)),ISNUMBER(SEARCH("KENNER",C1149)),ISNUMBER(SEARCH("HENRY HOWARD",C1149)),ISNUMBER(SEARCH("MISS CLAUDIA",C1149))),"Personal Travel - New Orleans",IFERROR(INDEX('Category Rules'!$B$2:$B$194,MATCH(TRUE,ISNUMBER(SEARCH('Category Rules'!$A$2:$A$194,C1149)),0)),"")))))))</f>
        <v>Zelle from Mary Margaret Trahan</v>
      </c>
    </row>
    <row r="1150" spans="1:7" x14ac:dyDescent="0.25">
      <c r="A1150" t="s">
        <v>6</v>
      </c>
      <c r="B1150" s="1">
        <v>46056</v>
      </c>
      <c r="C1150" t="s">
        <v>1098</v>
      </c>
      <c r="D1150">
        <v>-3.99</v>
      </c>
      <c r="E1150" t="s">
        <v>14</v>
      </c>
      <c r="F1150">
        <v>4787.46</v>
      </c>
      <c r="G1150" t="str" cm="1">
        <f t="array" ref="G1150">IF(AND(ISNUMBER(SEARCH("UBER",C1150)),ISNUMBER(SEARCH("EATS",C1150))),"Uber Eats",IF(LEFT(C1150,6)="CHECK ","Checks Paid",IF(OR(E1150="BILLPAY",ISNUMBER(SEARCH("FRANCHISE TAX",C1150)),ISNUMBER(SEARCH("NEXTLINK",C1150))),"Personal - House Bills",IF(AND(ISNUMBER(SEARCH("PAYMENT FROM",C1150)),ISNUMBER(SEARCH("JOE SAUNDERS",C1150))),"Zelle from Joe Saunders",IF(AND(ISNUMBER(SEARCH("PAYMENT TO",C1150)),ISNUMBER(SEARCH("JOE SAUNDERS",C1150))),"Zelle to Joe Saunders",IF(OR(ISNUMBER(SEARCH("NEW ORLEANS",C1150)),ISNUMBER(SEARCH("KENNER",C1150)),ISNUMBER(SEARCH("HENRY HOWARD",C1150)),ISNUMBER(SEARCH("MISS CLAUDIA",C1150))),"Personal Travel - New Orleans",IFERROR(INDEX('Category Rules'!$B$2:$B$194,MATCH(TRUE,ISNUMBER(SEARCH('Category Rules'!$A$2:$A$194,C1150)),0)),"")))))))</f>
        <v>Apple</v>
      </c>
    </row>
    <row r="1151" spans="1:7" x14ac:dyDescent="0.25">
      <c r="A1151" t="s">
        <v>6</v>
      </c>
      <c r="B1151" s="1">
        <v>46056</v>
      </c>
      <c r="C1151" t="s">
        <v>1099</v>
      </c>
      <c r="D1151">
        <v>-35</v>
      </c>
      <c r="E1151" t="s">
        <v>14</v>
      </c>
      <c r="F1151">
        <v>4791.45</v>
      </c>
      <c r="G1151" t="str" cm="1">
        <f t="array" ref="G1151">IF(AND(ISNUMBER(SEARCH("UBER",C1151)),ISNUMBER(SEARCH("EATS",C1151))),"Uber Eats",IF(LEFT(C1151,6)="CHECK ","Checks Paid",IF(OR(E1151="BILLPAY",ISNUMBER(SEARCH("FRANCHISE TAX",C1151)),ISNUMBER(SEARCH("NEXTLINK",C1151))),"Personal - House Bills",IF(AND(ISNUMBER(SEARCH("PAYMENT FROM",C1151)),ISNUMBER(SEARCH("JOE SAUNDERS",C1151))),"Zelle from Joe Saunders",IF(AND(ISNUMBER(SEARCH("PAYMENT TO",C1151)),ISNUMBER(SEARCH("JOE SAUNDERS",C1151))),"Zelle to Joe Saunders",IF(OR(ISNUMBER(SEARCH("NEW ORLEANS",C1151)),ISNUMBER(SEARCH("KENNER",C1151)),ISNUMBER(SEARCH("HENRY HOWARD",C1151)),ISNUMBER(SEARCH("MISS CLAUDIA",C1151))),"Personal Travel - New Orleans",IFERROR(INDEX('Category Rules'!$B$2:$B$194,MATCH(TRUE,ISNUMBER(SEARCH('Category Rules'!$A$2:$A$194,C1151)),0)),"")))))))</f>
        <v>Personal Travel</v>
      </c>
    </row>
    <row r="1152" spans="1:7" x14ac:dyDescent="0.25">
      <c r="A1152" t="s">
        <v>6</v>
      </c>
      <c r="B1152" s="1">
        <v>46056</v>
      </c>
      <c r="C1152" t="s">
        <v>1099</v>
      </c>
      <c r="D1152">
        <v>-35</v>
      </c>
      <c r="E1152" t="s">
        <v>14</v>
      </c>
      <c r="F1152">
        <v>4826.45</v>
      </c>
      <c r="G1152" t="str" cm="1">
        <f t="array" ref="G1152">IF(AND(ISNUMBER(SEARCH("UBER",C1152)),ISNUMBER(SEARCH("EATS",C1152))),"Uber Eats",IF(LEFT(C1152,6)="CHECK ","Checks Paid",IF(OR(E1152="BILLPAY",ISNUMBER(SEARCH("FRANCHISE TAX",C1152)),ISNUMBER(SEARCH("NEXTLINK",C1152))),"Personal - House Bills",IF(AND(ISNUMBER(SEARCH("PAYMENT FROM",C1152)),ISNUMBER(SEARCH("JOE SAUNDERS",C1152))),"Zelle from Joe Saunders",IF(AND(ISNUMBER(SEARCH("PAYMENT TO",C1152)),ISNUMBER(SEARCH("JOE SAUNDERS",C1152))),"Zelle to Joe Saunders",IF(OR(ISNUMBER(SEARCH("NEW ORLEANS",C1152)),ISNUMBER(SEARCH("KENNER",C1152)),ISNUMBER(SEARCH("HENRY HOWARD",C1152)),ISNUMBER(SEARCH("MISS CLAUDIA",C1152))),"Personal Travel - New Orleans",IFERROR(INDEX('Category Rules'!$B$2:$B$194,MATCH(TRUE,ISNUMBER(SEARCH('Category Rules'!$A$2:$A$194,C1152)),0)),"")))))))</f>
        <v>Personal Travel</v>
      </c>
    </row>
    <row r="1153" spans="1:7" x14ac:dyDescent="0.25">
      <c r="A1153" t="s">
        <v>6</v>
      </c>
      <c r="B1153" s="1">
        <v>46056</v>
      </c>
      <c r="C1153" t="s">
        <v>1099</v>
      </c>
      <c r="D1153">
        <v>-35</v>
      </c>
      <c r="E1153" t="s">
        <v>14</v>
      </c>
      <c r="F1153">
        <v>4861.45</v>
      </c>
      <c r="G1153" t="str" cm="1">
        <f t="array" ref="G1153">IF(AND(ISNUMBER(SEARCH("UBER",C1153)),ISNUMBER(SEARCH("EATS",C1153))),"Uber Eats",IF(LEFT(C1153,6)="CHECK ","Checks Paid",IF(OR(E1153="BILLPAY",ISNUMBER(SEARCH("FRANCHISE TAX",C1153)),ISNUMBER(SEARCH("NEXTLINK",C1153))),"Personal - House Bills",IF(AND(ISNUMBER(SEARCH("PAYMENT FROM",C1153)),ISNUMBER(SEARCH("JOE SAUNDERS",C1153))),"Zelle from Joe Saunders",IF(AND(ISNUMBER(SEARCH("PAYMENT TO",C1153)),ISNUMBER(SEARCH("JOE SAUNDERS",C1153))),"Zelle to Joe Saunders",IF(OR(ISNUMBER(SEARCH("NEW ORLEANS",C1153)),ISNUMBER(SEARCH("KENNER",C1153)),ISNUMBER(SEARCH("HENRY HOWARD",C1153)),ISNUMBER(SEARCH("MISS CLAUDIA",C1153))),"Personal Travel - New Orleans",IFERROR(INDEX('Category Rules'!$B$2:$B$194,MATCH(TRUE,ISNUMBER(SEARCH('Category Rules'!$A$2:$A$194,C1153)),0)),"")))))))</f>
        <v>Personal Travel</v>
      </c>
    </row>
    <row r="1154" spans="1:7" x14ac:dyDescent="0.25">
      <c r="A1154" t="s">
        <v>6</v>
      </c>
      <c r="B1154" s="1">
        <v>46056</v>
      </c>
      <c r="C1154" t="s">
        <v>1100</v>
      </c>
      <c r="D1154">
        <v>-37.31</v>
      </c>
      <c r="E1154" t="s">
        <v>14</v>
      </c>
      <c r="F1154">
        <v>4896.45</v>
      </c>
      <c r="G1154" t="str" cm="1">
        <f t="array" ref="G1154">IF(AND(ISNUMBER(SEARCH("UBER",C1154)),ISNUMBER(SEARCH("EATS",C1154))),"Uber Eats",IF(LEFT(C1154,6)="CHECK ","Checks Paid",IF(OR(E1154="BILLPAY",ISNUMBER(SEARCH("FRANCHISE TAX",C1154)),ISNUMBER(SEARCH("NEXTLINK",C1154))),"Personal - House Bills",IF(AND(ISNUMBER(SEARCH("PAYMENT FROM",C1154)),ISNUMBER(SEARCH("JOE SAUNDERS",C1154))),"Zelle from Joe Saunders",IF(AND(ISNUMBER(SEARCH("PAYMENT TO",C1154)),ISNUMBER(SEARCH("JOE SAUNDERS",C1154))),"Zelle to Joe Saunders",IF(OR(ISNUMBER(SEARCH("NEW ORLEANS",C1154)),ISNUMBER(SEARCH("KENNER",C1154)),ISNUMBER(SEARCH("HENRY HOWARD",C1154)),ISNUMBER(SEARCH("MISS CLAUDIA",C1154))),"Personal Travel - New Orleans",IFERROR(INDEX('Category Rules'!$B$2:$B$194,MATCH(TRUE,ISNUMBER(SEARCH('Category Rules'!$A$2:$A$194,C1154)),0)),"")))))))</f>
        <v>Amazon</v>
      </c>
    </row>
    <row r="1155" spans="1:7" x14ac:dyDescent="0.25">
      <c r="A1155" t="s">
        <v>37</v>
      </c>
      <c r="B1155" s="1">
        <v>46056</v>
      </c>
      <c r="C1155" t="s">
        <v>1101</v>
      </c>
      <c r="D1155">
        <v>2000</v>
      </c>
      <c r="E1155" t="s">
        <v>39</v>
      </c>
      <c r="F1155">
        <v>4933.76</v>
      </c>
      <c r="G1155" t="str" cm="1">
        <f t="array" ref="G1155">IF(AND(ISNUMBER(SEARCH("UBER",C1155)),ISNUMBER(SEARCH("EATS",C1155))),"Uber Eats",IF(LEFT(C1155,6)="CHECK ","Checks Paid",IF(OR(E1155="BILLPAY",ISNUMBER(SEARCH("FRANCHISE TAX",C1155)),ISNUMBER(SEARCH("NEXTLINK",C1155))),"Personal - House Bills",IF(AND(ISNUMBER(SEARCH("PAYMENT FROM",C1155)),ISNUMBER(SEARCH("JOE SAUNDERS",C1155))),"Zelle from Joe Saunders",IF(AND(ISNUMBER(SEARCH("PAYMENT TO",C1155)),ISNUMBER(SEARCH("JOE SAUNDERS",C1155))),"Zelle to Joe Saunders",IF(OR(ISNUMBER(SEARCH("NEW ORLEANS",C1155)),ISNUMBER(SEARCH("KENNER",C1155)),ISNUMBER(SEARCH("HENRY HOWARD",C1155)),ISNUMBER(SEARCH("MISS CLAUDIA",C1155))),"Personal Travel - New Orleans",IFERROR(INDEX('Category Rules'!$B$2:$B$194,MATCH(TRUE,ISNUMBER(SEARCH('Category Rules'!$A$2:$A$194,C1155)),0)),"")))))))</f>
        <v>Transfer from DWG Capital Group</v>
      </c>
    </row>
    <row r="1156" spans="1:7" x14ac:dyDescent="0.25">
      <c r="A1156" t="s">
        <v>6</v>
      </c>
      <c r="B1156" s="1">
        <v>46055</v>
      </c>
      <c r="C1156" t="s">
        <v>1102</v>
      </c>
      <c r="D1156">
        <v>-21.49</v>
      </c>
      <c r="E1156" t="s">
        <v>14</v>
      </c>
      <c r="F1156">
        <v>2933.76</v>
      </c>
      <c r="G1156" t="s">
        <v>1308</v>
      </c>
    </row>
    <row r="1157" spans="1:7" x14ac:dyDescent="0.25">
      <c r="A1157" t="s">
        <v>6</v>
      </c>
      <c r="B1157" s="1">
        <v>46055</v>
      </c>
      <c r="C1157" t="s">
        <v>1103</v>
      </c>
      <c r="D1157">
        <v>-100</v>
      </c>
      <c r="E1157" t="s">
        <v>14</v>
      </c>
      <c r="F1157">
        <v>2955.25</v>
      </c>
      <c r="G1157" t="str" cm="1">
        <f t="array" ref="G1157">IF(AND(ISNUMBER(SEARCH("UBER",C1157)),ISNUMBER(SEARCH("EATS",C1157))),"Uber Eats",IF(LEFT(C1157,6)="CHECK ","Checks Paid",IF(OR(E1157="BILLPAY",ISNUMBER(SEARCH("FRANCHISE TAX",C1157)),ISNUMBER(SEARCH("NEXTLINK",C1157))),"Personal - House Bills",IF(AND(ISNUMBER(SEARCH("PAYMENT FROM",C1157)),ISNUMBER(SEARCH("JOE SAUNDERS",C1157))),"Zelle from Joe Saunders",IF(AND(ISNUMBER(SEARCH("PAYMENT TO",C1157)),ISNUMBER(SEARCH("JOE SAUNDERS",C1157))),"Zelle to Joe Saunders",IF(OR(ISNUMBER(SEARCH("NEW ORLEANS",C1157)),ISNUMBER(SEARCH("KENNER",C1157)),ISNUMBER(SEARCH("HENRY HOWARD",C1157)),ISNUMBER(SEARCH("MISS CLAUDIA",C1157))),"Personal Travel - New Orleans",IFERROR(INDEX('Category Rules'!$B$2:$B$194,MATCH(TRUE,ISNUMBER(SEARCH('Category Rules'!$A$2:$A$194,C1157)),0)),"")))))))</f>
        <v>Personal - Subscription</v>
      </c>
    </row>
    <row r="1158" spans="1:7" x14ac:dyDescent="0.25">
      <c r="A1158" t="s">
        <v>6</v>
      </c>
      <c r="B1158" s="1">
        <v>46055</v>
      </c>
      <c r="C1158" t="s">
        <v>1104</v>
      </c>
      <c r="D1158">
        <v>-227</v>
      </c>
      <c r="E1158" t="s">
        <v>14</v>
      </c>
      <c r="F1158">
        <v>3055.25</v>
      </c>
      <c r="G1158" t="str" cm="1">
        <f t="array" ref="G1158">IF(AND(ISNUMBER(SEARCH("UBER",C1158)),ISNUMBER(SEARCH("EATS",C1158))),"Uber Eats",IF(LEFT(C1158,6)="CHECK ","Checks Paid",IF(OR(E1158="BILLPAY",ISNUMBER(SEARCH("FRANCHISE TAX",C1158)),ISNUMBER(SEARCH("NEXTLINK",C1158))),"Personal - House Bills",IF(AND(ISNUMBER(SEARCH("PAYMENT FROM",C1158)),ISNUMBER(SEARCH("JOE SAUNDERS",C1158))),"Zelle from Joe Saunders",IF(AND(ISNUMBER(SEARCH("PAYMENT TO",C1158)),ISNUMBER(SEARCH("JOE SAUNDERS",C1158))),"Zelle to Joe Saunders",IF(OR(ISNUMBER(SEARCH("NEW ORLEANS",C1158)),ISNUMBER(SEARCH("KENNER",C1158)),ISNUMBER(SEARCH("HENRY HOWARD",C1158)),ISNUMBER(SEARCH("MISS CLAUDIA",C1158))),"Personal Travel - New Orleans",IFERROR(INDEX('Category Rules'!$B$2:$B$194,MATCH(TRUE,ISNUMBER(SEARCH('Category Rules'!$A$2:$A$194,C1158)),0)),"")))))))</f>
        <v>Personal - Work</v>
      </c>
    </row>
    <row r="1159" spans="1:7" x14ac:dyDescent="0.25">
      <c r="A1159" t="s">
        <v>6</v>
      </c>
      <c r="B1159" s="1">
        <v>46055</v>
      </c>
      <c r="C1159" t="s">
        <v>1105</v>
      </c>
      <c r="D1159">
        <v>-30.64</v>
      </c>
      <c r="E1159" t="s">
        <v>14</v>
      </c>
      <c r="F1159">
        <v>3282.25</v>
      </c>
      <c r="G1159" t="s">
        <v>1308</v>
      </c>
    </row>
    <row r="1160" spans="1:7" x14ac:dyDescent="0.25">
      <c r="A1160" t="s">
        <v>6</v>
      </c>
      <c r="B1160" s="1">
        <v>46055</v>
      </c>
      <c r="C1160" t="s">
        <v>1106</v>
      </c>
      <c r="D1160">
        <v>-99.65</v>
      </c>
      <c r="E1160" t="s">
        <v>14</v>
      </c>
      <c r="F1160">
        <v>3312.89</v>
      </c>
      <c r="G1160" t="str" cm="1">
        <f t="array" ref="G1160">IF(AND(ISNUMBER(SEARCH("UBER",C1160)),ISNUMBER(SEARCH("EATS",C1160))),"Uber Eats",IF(LEFT(C1160,6)="CHECK ","Checks Paid",IF(OR(E1160="BILLPAY",ISNUMBER(SEARCH("FRANCHISE TAX",C1160)),ISNUMBER(SEARCH("NEXTLINK",C1160))),"Personal - House Bills",IF(AND(ISNUMBER(SEARCH("PAYMENT FROM",C1160)),ISNUMBER(SEARCH("JOE SAUNDERS",C1160))),"Zelle from Joe Saunders",IF(AND(ISNUMBER(SEARCH("PAYMENT TO",C1160)),ISNUMBER(SEARCH("JOE SAUNDERS",C1160))),"Zelle to Joe Saunders",IF(OR(ISNUMBER(SEARCH("NEW ORLEANS",C1160)),ISNUMBER(SEARCH("KENNER",C1160)),ISNUMBER(SEARCH("HENRY HOWARD",C1160)),ISNUMBER(SEARCH("MISS CLAUDIA",C1160))),"Personal Travel - New Orleans",IFERROR(INDEX('Category Rules'!$B$2:$B$194,MATCH(TRUE,ISNUMBER(SEARCH('Category Rules'!$A$2:$A$194,C1160)),0)),"")))))))</f>
        <v>Personal - Food</v>
      </c>
    </row>
    <row r="1161" spans="1:7" x14ac:dyDescent="0.25">
      <c r="A1161" t="s">
        <v>6</v>
      </c>
      <c r="B1161" s="1">
        <v>46055</v>
      </c>
      <c r="C1161" t="s">
        <v>1107</v>
      </c>
      <c r="D1161">
        <v>-1275.3</v>
      </c>
      <c r="E1161" t="s">
        <v>14</v>
      </c>
      <c r="F1161">
        <v>3412.54</v>
      </c>
      <c r="G1161" t="str" cm="1">
        <f t="array" ref="G1161">IF(AND(ISNUMBER(SEARCH("UBER",C1161)),ISNUMBER(SEARCH("EATS",C1161))),"Uber Eats",IF(LEFT(C1161,6)="CHECK ","Checks Paid",IF(OR(E1161="BILLPAY",ISNUMBER(SEARCH("FRANCHISE TAX",C1161)),ISNUMBER(SEARCH("NEXTLINK",C1161))),"Personal - House Bills",IF(AND(ISNUMBER(SEARCH("PAYMENT FROM",C1161)),ISNUMBER(SEARCH("JOE SAUNDERS",C1161))),"Zelle from Joe Saunders",IF(AND(ISNUMBER(SEARCH("PAYMENT TO",C1161)),ISNUMBER(SEARCH("JOE SAUNDERS",C1161))),"Zelle to Joe Saunders",IF(OR(ISNUMBER(SEARCH("NEW ORLEANS",C1161)),ISNUMBER(SEARCH("KENNER",C1161)),ISNUMBER(SEARCH("HENRY HOWARD",C1161)),ISNUMBER(SEARCH("MISS CLAUDIA",C1161))),"Personal Travel - New Orleans",IFERROR(INDEX('Category Rules'!$B$2:$B$194,MATCH(TRUE,ISNUMBER(SEARCH('Category Rules'!$A$2:$A$194,C1161)),0)),"")))))))</f>
        <v>Personal - Health Insurance</v>
      </c>
    </row>
    <row r="1162" spans="1:7" x14ac:dyDescent="0.25">
      <c r="A1162" t="s">
        <v>6</v>
      </c>
      <c r="B1162" s="1">
        <v>46055</v>
      </c>
      <c r="C1162" t="s">
        <v>1108</v>
      </c>
      <c r="D1162">
        <v>-95.74</v>
      </c>
      <c r="E1162" t="s">
        <v>14</v>
      </c>
      <c r="F1162">
        <v>4687.84</v>
      </c>
      <c r="G1162" t="s">
        <v>1310</v>
      </c>
    </row>
    <row r="1163" spans="1:7" x14ac:dyDescent="0.25">
      <c r="A1163" t="s">
        <v>6</v>
      </c>
      <c r="B1163" s="1">
        <v>46055</v>
      </c>
      <c r="C1163" t="s">
        <v>1109</v>
      </c>
      <c r="D1163">
        <v>-29.03</v>
      </c>
      <c r="E1163" t="s">
        <v>14</v>
      </c>
      <c r="F1163">
        <v>4783.58</v>
      </c>
      <c r="G1163" t="str" cm="1">
        <f t="array" ref="G1163">IF(AND(ISNUMBER(SEARCH("UBER",C1163)),ISNUMBER(SEARCH("EATS",C1163))),"Uber Eats",IF(LEFT(C1163,6)="CHECK ","Checks Paid",IF(OR(E1163="BILLPAY",ISNUMBER(SEARCH("FRANCHISE TAX",C1163)),ISNUMBER(SEARCH("NEXTLINK",C1163))),"Personal - House Bills",IF(AND(ISNUMBER(SEARCH("PAYMENT FROM",C1163)),ISNUMBER(SEARCH("JOE SAUNDERS",C1163))),"Zelle from Joe Saunders",IF(AND(ISNUMBER(SEARCH("PAYMENT TO",C1163)),ISNUMBER(SEARCH("JOE SAUNDERS",C1163))),"Zelle to Joe Saunders",IF(OR(ISNUMBER(SEARCH("NEW ORLEANS",C1163)),ISNUMBER(SEARCH("KENNER",C1163)),ISNUMBER(SEARCH("HENRY HOWARD",C1163)),ISNUMBER(SEARCH("MISS CLAUDIA",C1163))),"Personal Travel - New Orleans",IFERROR(INDEX('Category Rules'!$B$2:$B$194,MATCH(TRUE,ISNUMBER(SEARCH('Category Rules'!$A$2:$A$194,C1163)),0)),"")))))))</f>
        <v>Personal Travel</v>
      </c>
    </row>
    <row r="1164" spans="1:7" x14ac:dyDescent="0.25">
      <c r="A1164" t="s">
        <v>6</v>
      </c>
      <c r="B1164" s="1">
        <v>46055</v>
      </c>
      <c r="C1164" t="s">
        <v>1109</v>
      </c>
      <c r="D1164">
        <v>-38.409999999999997</v>
      </c>
      <c r="E1164" t="s">
        <v>14</v>
      </c>
      <c r="F1164">
        <v>4812.6099999999997</v>
      </c>
      <c r="G1164" t="str" cm="1">
        <f t="array" ref="G1164">IF(AND(ISNUMBER(SEARCH("UBER",C1164)),ISNUMBER(SEARCH("EATS",C1164))),"Uber Eats",IF(LEFT(C1164,6)="CHECK ","Checks Paid",IF(OR(E1164="BILLPAY",ISNUMBER(SEARCH("FRANCHISE TAX",C1164)),ISNUMBER(SEARCH("NEXTLINK",C1164))),"Personal - House Bills",IF(AND(ISNUMBER(SEARCH("PAYMENT FROM",C1164)),ISNUMBER(SEARCH("JOE SAUNDERS",C1164))),"Zelle from Joe Saunders",IF(AND(ISNUMBER(SEARCH("PAYMENT TO",C1164)),ISNUMBER(SEARCH("JOE SAUNDERS",C1164))),"Zelle to Joe Saunders",IF(OR(ISNUMBER(SEARCH("NEW ORLEANS",C1164)),ISNUMBER(SEARCH("KENNER",C1164)),ISNUMBER(SEARCH("HENRY HOWARD",C1164)),ISNUMBER(SEARCH("MISS CLAUDIA",C1164))),"Personal Travel - New Orleans",IFERROR(INDEX('Category Rules'!$B$2:$B$194,MATCH(TRUE,ISNUMBER(SEARCH('Category Rules'!$A$2:$A$194,C1164)),0)),"")))))))</f>
        <v>Personal Travel</v>
      </c>
    </row>
    <row r="1165" spans="1:7" x14ac:dyDescent="0.25">
      <c r="A1165" t="s">
        <v>6</v>
      </c>
      <c r="B1165" s="1">
        <v>46055</v>
      </c>
      <c r="C1165" t="s">
        <v>1109</v>
      </c>
      <c r="D1165">
        <v>-38.409999999999997</v>
      </c>
      <c r="E1165" t="s">
        <v>14</v>
      </c>
      <c r="F1165">
        <v>4851.0200000000004</v>
      </c>
      <c r="G1165" t="str" cm="1">
        <f t="array" ref="G1165">IF(AND(ISNUMBER(SEARCH("UBER",C1165)),ISNUMBER(SEARCH("EATS",C1165))),"Uber Eats",IF(LEFT(C1165,6)="CHECK ","Checks Paid",IF(OR(E1165="BILLPAY",ISNUMBER(SEARCH("FRANCHISE TAX",C1165)),ISNUMBER(SEARCH("NEXTLINK",C1165))),"Personal - House Bills",IF(AND(ISNUMBER(SEARCH("PAYMENT FROM",C1165)),ISNUMBER(SEARCH("JOE SAUNDERS",C1165))),"Zelle from Joe Saunders",IF(AND(ISNUMBER(SEARCH("PAYMENT TO",C1165)),ISNUMBER(SEARCH("JOE SAUNDERS",C1165))),"Zelle to Joe Saunders",IF(OR(ISNUMBER(SEARCH("NEW ORLEANS",C1165)),ISNUMBER(SEARCH("KENNER",C1165)),ISNUMBER(SEARCH("HENRY HOWARD",C1165)),ISNUMBER(SEARCH("MISS CLAUDIA",C1165))),"Personal Travel - New Orleans",IFERROR(INDEX('Category Rules'!$B$2:$B$194,MATCH(TRUE,ISNUMBER(SEARCH('Category Rules'!$A$2:$A$194,C1165)),0)),"")))))))</f>
        <v>Personal Travel</v>
      </c>
    </row>
    <row r="1166" spans="1:7" x14ac:dyDescent="0.25">
      <c r="A1166" t="s">
        <v>6</v>
      </c>
      <c r="B1166" s="1">
        <v>46055</v>
      </c>
      <c r="C1166" t="s">
        <v>1110</v>
      </c>
      <c r="D1166">
        <v>-274.39999999999998</v>
      </c>
      <c r="E1166" t="s">
        <v>14</v>
      </c>
      <c r="F1166">
        <v>4889.43</v>
      </c>
      <c r="G1166" t="str" cm="1">
        <f t="array" ref="G1166">IF(AND(ISNUMBER(SEARCH("UBER",C1166)),ISNUMBER(SEARCH("EATS",C1166))),"Uber Eats",IF(LEFT(C1166,6)="CHECK ","Checks Paid",IF(OR(E1166="BILLPAY",ISNUMBER(SEARCH("FRANCHISE TAX",C1166)),ISNUMBER(SEARCH("NEXTLINK",C1166))),"Personal - House Bills",IF(AND(ISNUMBER(SEARCH("PAYMENT FROM",C1166)),ISNUMBER(SEARCH("JOE SAUNDERS",C1166))),"Zelle from Joe Saunders",IF(AND(ISNUMBER(SEARCH("PAYMENT TO",C1166)),ISNUMBER(SEARCH("JOE SAUNDERS",C1166))),"Zelle to Joe Saunders",IF(OR(ISNUMBER(SEARCH("NEW ORLEANS",C1166)),ISNUMBER(SEARCH("KENNER",C1166)),ISNUMBER(SEARCH("HENRY HOWARD",C1166)),ISNUMBER(SEARCH("MISS CLAUDIA",C1166))),"Personal Travel - New Orleans",IFERROR(INDEX('Category Rules'!$B$2:$B$194,MATCH(TRUE,ISNUMBER(SEARCH('Category Rules'!$A$2:$A$194,C1166)),0)),"")))))))</f>
        <v>Personal Travel</v>
      </c>
    </row>
    <row r="1167" spans="1:7" x14ac:dyDescent="0.25">
      <c r="A1167" t="s">
        <v>6</v>
      </c>
      <c r="B1167" s="1">
        <v>46055</v>
      </c>
      <c r="C1167" t="s">
        <v>1110</v>
      </c>
      <c r="D1167">
        <v>-274.39999999999998</v>
      </c>
      <c r="E1167" t="s">
        <v>14</v>
      </c>
      <c r="F1167">
        <v>5163.83</v>
      </c>
      <c r="G1167" t="str" cm="1">
        <f t="array" ref="G1167">IF(AND(ISNUMBER(SEARCH("UBER",C1167)),ISNUMBER(SEARCH("EATS",C1167))),"Uber Eats",IF(LEFT(C1167,6)="CHECK ","Checks Paid",IF(OR(E1167="BILLPAY",ISNUMBER(SEARCH("FRANCHISE TAX",C1167)),ISNUMBER(SEARCH("NEXTLINK",C1167))),"Personal - House Bills",IF(AND(ISNUMBER(SEARCH("PAYMENT FROM",C1167)),ISNUMBER(SEARCH("JOE SAUNDERS",C1167))),"Zelle from Joe Saunders",IF(AND(ISNUMBER(SEARCH("PAYMENT TO",C1167)),ISNUMBER(SEARCH("JOE SAUNDERS",C1167))),"Zelle to Joe Saunders",IF(OR(ISNUMBER(SEARCH("NEW ORLEANS",C1167)),ISNUMBER(SEARCH("KENNER",C1167)),ISNUMBER(SEARCH("HENRY HOWARD",C1167)),ISNUMBER(SEARCH("MISS CLAUDIA",C1167))),"Personal Travel - New Orleans",IFERROR(INDEX('Category Rules'!$B$2:$B$194,MATCH(TRUE,ISNUMBER(SEARCH('Category Rules'!$A$2:$A$194,C1167)),0)),"")))))))</f>
        <v>Personal Travel</v>
      </c>
    </row>
    <row r="1168" spans="1:7" x14ac:dyDescent="0.25">
      <c r="A1168" t="s">
        <v>6</v>
      </c>
      <c r="B1168" s="1">
        <v>46055</v>
      </c>
      <c r="C1168" t="s">
        <v>1110</v>
      </c>
      <c r="D1168">
        <v>-274.39999999999998</v>
      </c>
      <c r="E1168" t="s">
        <v>14</v>
      </c>
      <c r="F1168">
        <v>5438.23</v>
      </c>
      <c r="G1168" t="str" cm="1">
        <f t="array" ref="G1168">IF(AND(ISNUMBER(SEARCH("UBER",C1168)),ISNUMBER(SEARCH("EATS",C1168))),"Uber Eats",IF(LEFT(C1168,6)="CHECK ","Checks Paid",IF(OR(E1168="BILLPAY",ISNUMBER(SEARCH("FRANCHISE TAX",C1168)),ISNUMBER(SEARCH("NEXTLINK",C1168))),"Personal - House Bills",IF(AND(ISNUMBER(SEARCH("PAYMENT FROM",C1168)),ISNUMBER(SEARCH("JOE SAUNDERS",C1168))),"Zelle from Joe Saunders",IF(AND(ISNUMBER(SEARCH("PAYMENT TO",C1168)),ISNUMBER(SEARCH("JOE SAUNDERS",C1168))),"Zelle to Joe Saunders",IF(OR(ISNUMBER(SEARCH("NEW ORLEANS",C1168)),ISNUMBER(SEARCH("KENNER",C1168)),ISNUMBER(SEARCH("HENRY HOWARD",C1168)),ISNUMBER(SEARCH("MISS CLAUDIA",C1168))),"Personal Travel - New Orleans",IFERROR(INDEX('Category Rules'!$B$2:$B$194,MATCH(TRUE,ISNUMBER(SEARCH('Category Rules'!$A$2:$A$194,C1168)),0)),"")))))))</f>
        <v>Personal Travel</v>
      </c>
    </row>
    <row r="1169" spans="1:7" x14ac:dyDescent="0.25">
      <c r="A1169" t="s">
        <v>6</v>
      </c>
      <c r="B1169" s="1">
        <v>46055</v>
      </c>
      <c r="C1169" t="s">
        <v>1111</v>
      </c>
      <c r="D1169">
        <v>-32.53</v>
      </c>
      <c r="E1169" t="s">
        <v>14</v>
      </c>
      <c r="F1169">
        <v>5712.63</v>
      </c>
      <c r="G1169" t="str" cm="1">
        <f t="array" ref="G1169">IF(AND(ISNUMBER(SEARCH("UBER",C1169)),ISNUMBER(SEARCH("EATS",C1169))),"Uber Eats",IF(LEFT(C1169,6)="CHECK ","Checks Paid",IF(OR(E1169="BILLPAY",ISNUMBER(SEARCH("FRANCHISE TAX",C1169)),ISNUMBER(SEARCH("NEXTLINK",C1169))),"Personal - House Bills",IF(AND(ISNUMBER(SEARCH("PAYMENT FROM",C1169)),ISNUMBER(SEARCH("JOE SAUNDERS",C1169))),"Zelle from Joe Saunders",IF(AND(ISNUMBER(SEARCH("PAYMENT TO",C1169)),ISNUMBER(SEARCH("JOE SAUNDERS",C1169))),"Zelle to Joe Saunders",IF(OR(ISNUMBER(SEARCH("NEW ORLEANS",C1169)),ISNUMBER(SEARCH("KENNER",C1169)),ISNUMBER(SEARCH("HENRY HOWARD",C1169)),ISNUMBER(SEARCH("MISS CLAUDIA",C1169))),"Personal Travel - New Orleans",IFERROR(INDEX('Category Rules'!$B$2:$B$194,MATCH(TRUE,ISNUMBER(SEARCH('Category Rules'!$A$2:$A$194,C1169)),0)),"")))))))</f>
        <v>Personal Travel</v>
      </c>
    </row>
    <row r="1170" spans="1:7" x14ac:dyDescent="0.25">
      <c r="A1170" t="s">
        <v>6</v>
      </c>
      <c r="B1170" s="1">
        <v>46055</v>
      </c>
      <c r="C1170" t="s">
        <v>1112</v>
      </c>
      <c r="D1170">
        <v>418.47</v>
      </c>
      <c r="E1170" t="s">
        <v>14</v>
      </c>
      <c r="F1170">
        <v>5745.16</v>
      </c>
      <c r="G1170" t="str" cm="1">
        <f t="array" ref="G1170">IF(AND(ISNUMBER(SEARCH("UBER",C1170)),ISNUMBER(SEARCH("EATS",C1170))),"Uber Eats",IF(LEFT(C1170,6)="CHECK ","Checks Paid",IF(OR(E1170="BILLPAY",ISNUMBER(SEARCH("FRANCHISE TAX",C1170)),ISNUMBER(SEARCH("NEXTLINK",C1170))),"Personal - House Bills",IF(AND(ISNUMBER(SEARCH("PAYMENT FROM",C1170)),ISNUMBER(SEARCH("JOE SAUNDERS",C1170))),"Zelle from Joe Saunders",IF(AND(ISNUMBER(SEARCH("PAYMENT TO",C1170)),ISNUMBER(SEARCH("JOE SAUNDERS",C1170))),"Zelle to Joe Saunders",IF(OR(ISNUMBER(SEARCH("NEW ORLEANS",C1170)),ISNUMBER(SEARCH("KENNER",C1170)),ISNUMBER(SEARCH("HENRY HOWARD",C1170)),ISNUMBER(SEARCH("MISS CLAUDIA",C1170))),"Personal Travel - New Orleans",IFERROR(INDEX('Category Rules'!$B$2:$B$194,MATCH(TRUE,ISNUMBER(SEARCH('Category Rules'!$A$2:$A$194,C1170)),0)),"")))))))</f>
        <v>Personal Travel</v>
      </c>
    </row>
    <row r="1171" spans="1:7" x14ac:dyDescent="0.25">
      <c r="A1171" t="s">
        <v>6</v>
      </c>
      <c r="B1171" s="1">
        <v>46052</v>
      </c>
      <c r="C1171" t="s">
        <v>1113</v>
      </c>
      <c r="D1171">
        <v>-587.14</v>
      </c>
      <c r="E1171" t="s">
        <v>14</v>
      </c>
      <c r="F1171">
        <v>5326.69</v>
      </c>
      <c r="G1171" t="str" cm="1">
        <f t="array" ref="G1171">IF(AND(ISNUMBER(SEARCH("UBER",C1171)),ISNUMBER(SEARCH("EATS",C1171))),"Uber Eats",IF(LEFT(C1171,6)="CHECK ","Checks Paid",IF(OR(E1171="BILLPAY",ISNUMBER(SEARCH("FRANCHISE TAX",C1171)),ISNUMBER(SEARCH("NEXTLINK",C1171))),"Personal - House Bills",IF(AND(ISNUMBER(SEARCH("PAYMENT FROM",C1171)),ISNUMBER(SEARCH("JOE SAUNDERS",C1171))),"Zelle from Joe Saunders",IF(AND(ISNUMBER(SEARCH("PAYMENT TO",C1171)),ISNUMBER(SEARCH("JOE SAUNDERS",C1171))),"Zelle to Joe Saunders",IF(OR(ISNUMBER(SEARCH("NEW ORLEANS",C1171)),ISNUMBER(SEARCH("KENNER",C1171)),ISNUMBER(SEARCH("HENRY HOWARD",C1171)),ISNUMBER(SEARCH("MISS CLAUDIA",C1171))),"Personal Travel - New Orleans",IFERROR(INDEX('Category Rules'!$B$2:$B$194,MATCH(TRUE,ISNUMBER(SEARCH('Category Rules'!$A$2:$A$194,C1171)),0)),"")))))))</f>
        <v>Personal - Food</v>
      </c>
    </row>
    <row r="1172" spans="1:7" x14ac:dyDescent="0.25">
      <c r="A1172" t="s">
        <v>6</v>
      </c>
      <c r="B1172" s="1">
        <v>46052</v>
      </c>
      <c r="C1172" t="s">
        <v>1114</v>
      </c>
      <c r="D1172">
        <v>-11.5</v>
      </c>
      <c r="E1172" t="s">
        <v>14</v>
      </c>
      <c r="F1172">
        <v>5913.83</v>
      </c>
      <c r="G1172" t="str" cm="1">
        <f t="array" ref="G1172">IF(AND(ISNUMBER(SEARCH("UBER",C1172)),ISNUMBER(SEARCH("EATS",C1172))),"Uber Eats",IF(LEFT(C1172,6)="CHECK ","Checks Paid",IF(OR(E1172="BILLPAY",ISNUMBER(SEARCH("FRANCHISE TAX",C1172)),ISNUMBER(SEARCH("NEXTLINK",C1172))),"Personal - House Bills",IF(AND(ISNUMBER(SEARCH("PAYMENT FROM",C1172)),ISNUMBER(SEARCH("JOE SAUNDERS",C1172))),"Zelle from Joe Saunders",IF(AND(ISNUMBER(SEARCH("PAYMENT TO",C1172)),ISNUMBER(SEARCH("JOE SAUNDERS",C1172))),"Zelle to Joe Saunders",IF(OR(ISNUMBER(SEARCH("NEW ORLEANS",C1172)),ISNUMBER(SEARCH("KENNER",C1172)),ISNUMBER(SEARCH("HENRY HOWARD",C1172)),ISNUMBER(SEARCH("MISS CLAUDIA",C1172))),"Personal Travel - New Orleans",IFERROR(INDEX('Category Rules'!$B$2:$B$194,MATCH(TRUE,ISNUMBER(SEARCH('Category Rules'!$A$2:$A$194,C1172)),0)),"")))))))</f>
        <v>Personal - Food</v>
      </c>
    </row>
    <row r="1173" spans="1:7" x14ac:dyDescent="0.25">
      <c r="A1173" t="s">
        <v>6</v>
      </c>
      <c r="B1173" s="1">
        <v>46052</v>
      </c>
      <c r="C1173" t="s">
        <v>1115</v>
      </c>
      <c r="D1173">
        <v>-19</v>
      </c>
      <c r="E1173" t="s">
        <v>14</v>
      </c>
      <c r="F1173">
        <v>5925.33</v>
      </c>
      <c r="G1173" t="str" cm="1">
        <f t="array" ref="G1173">IF(AND(ISNUMBER(SEARCH("UBER",C1173)),ISNUMBER(SEARCH("EATS",C1173))),"Uber Eats",IF(LEFT(C1173,6)="CHECK ","Checks Paid",IF(OR(E1173="BILLPAY",ISNUMBER(SEARCH("FRANCHISE TAX",C1173)),ISNUMBER(SEARCH("NEXTLINK",C1173))),"Personal - House Bills",IF(AND(ISNUMBER(SEARCH("PAYMENT FROM",C1173)),ISNUMBER(SEARCH("JOE SAUNDERS",C1173))),"Zelle from Joe Saunders",IF(AND(ISNUMBER(SEARCH("PAYMENT TO",C1173)),ISNUMBER(SEARCH("JOE SAUNDERS",C1173))),"Zelle to Joe Saunders",IF(OR(ISNUMBER(SEARCH("NEW ORLEANS",C1173)),ISNUMBER(SEARCH("KENNER",C1173)),ISNUMBER(SEARCH("HENRY HOWARD",C1173)),ISNUMBER(SEARCH("MISS CLAUDIA",C1173))),"Personal Travel - New Orleans",IFERROR(INDEX('Category Rules'!$B$2:$B$194,MATCH(TRUE,ISNUMBER(SEARCH('Category Rules'!$A$2:$A$194,C1173)),0)),"")))))))</f>
        <v>Personal - Subscription</v>
      </c>
    </row>
    <row r="1174" spans="1:7" x14ac:dyDescent="0.25">
      <c r="A1174" t="s">
        <v>6</v>
      </c>
      <c r="B1174" s="1">
        <v>46052</v>
      </c>
      <c r="C1174" t="s">
        <v>1116</v>
      </c>
      <c r="D1174">
        <v>-44.98</v>
      </c>
      <c r="E1174" t="s">
        <v>14</v>
      </c>
      <c r="F1174">
        <v>5944.33</v>
      </c>
      <c r="G1174" t="str" cm="1">
        <f t="array" ref="G1174">IF(AND(ISNUMBER(SEARCH("UBER",C1174)),ISNUMBER(SEARCH("EATS",C1174))),"Uber Eats",IF(LEFT(C1174,6)="CHECK ","Checks Paid",IF(OR(E1174="BILLPAY",ISNUMBER(SEARCH("FRANCHISE TAX",C1174)),ISNUMBER(SEARCH("NEXTLINK",C1174))),"Personal - House Bills",IF(AND(ISNUMBER(SEARCH("PAYMENT FROM",C1174)),ISNUMBER(SEARCH("JOE SAUNDERS",C1174))),"Zelle from Joe Saunders",IF(AND(ISNUMBER(SEARCH("PAYMENT TO",C1174)),ISNUMBER(SEARCH("JOE SAUNDERS",C1174))),"Zelle to Joe Saunders",IF(OR(ISNUMBER(SEARCH("NEW ORLEANS",C1174)),ISNUMBER(SEARCH("KENNER",C1174)),ISNUMBER(SEARCH("HENRY HOWARD",C1174)),ISNUMBER(SEARCH("MISS CLAUDIA",C1174))),"Personal Travel - New Orleans",IFERROR(INDEX('Category Rules'!$B$2:$B$194,MATCH(TRUE,ISNUMBER(SEARCH('Category Rules'!$A$2:$A$194,C1174)),0)),"")))))))</f>
        <v>Amazon</v>
      </c>
    </row>
    <row r="1175" spans="1:7" x14ac:dyDescent="0.25">
      <c r="A1175" t="s">
        <v>6</v>
      </c>
      <c r="B1175" s="1">
        <v>46051</v>
      </c>
      <c r="C1175" t="s">
        <v>1117</v>
      </c>
      <c r="D1175">
        <v>-292.14</v>
      </c>
      <c r="E1175" t="s">
        <v>14</v>
      </c>
      <c r="F1175">
        <v>5989.31</v>
      </c>
      <c r="G1175" t="str" cm="1">
        <f t="array" ref="G1175">IF(AND(ISNUMBER(SEARCH("UBER",C1175)),ISNUMBER(SEARCH("EATS",C1175))),"Uber Eats",IF(LEFT(C1175,6)="CHECK ","Checks Paid",IF(OR(E1175="BILLPAY",ISNUMBER(SEARCH("FRANCHISE TAX",C1175)),ISNUMBER(SEARCH("NEXTLINK",C1175))),"Personal - House Bills",IF(AND(ISNUMBER(SEARCH("PAYMENT FROM",C1175)),ISNUMBER(SEARCH("JOE SAUNDERS",C1175))),"Zelle from Joe Saunders",IF(AND(ISNUMBER(SEARCH("PAYMENT TO",C1175)),ISNUMBER(SEARCH("JOE SAUNDERS",C1175))),"Zelle to Joe Saunders",IF(OR(ISNUMBER(SEARCH("NEW ORLEANS",C1175)),ISNUMBER(SEARCH("KENNER",C1175)),ISNUMBER(SEARCH("HENRY HOWARD",C1175)),ISNUMBER(SEARCH("MISS CLAUDIA",C1175))),"Personal Travel - New Orleans",IFERROR(INDEX('Category Rules'!$B$2:$B$194,MATCH(TRUE,ISNUMBER(SEARCH('Category Rules'!$A$2:$A$194,C1175)),0)),"")))))))</f>
        <v>Personal - Shopping</v>
      </c>
    </row>
    <row r="1176" spans="1:7" x14ac:dyDescent="0.25">
      <c r="A1176" t="s">
        <v>6</v>
      </c>
      <c r="B1176" s="1">
        <v>46051</v>
      </c>
      <c r="C1176" t="s">
        <v>1118</v>
      </c>
      <c r="D1176">
        <v>-3.3</v>
      </c>
      <c r="E1176" t="s">
        <v>14</v>
      </c>
      <c r="F1176">
        <v>6281.45</v>
      </c>
      <c r="G1176" t="str" cm="1">
        <f t="array" ref="G1176">IF(AND(ISNUMBER(SEARCH("UBER",C1176)),ISNUMBER(SEARCH("EATS",C1176))),"Uber Eats",IF(LEFT(C1176,6)="CHECK ","Checks Paid",IF(OR(E1176="BILLPAY",ISNUMBER(SEARCH("FRANCHISE TAX",C1176)),ISNUMBER(SEARCH("NEXTLINK",C1176))),"Personal - House Bills",IF(AND(ISNUMBER(SEARCH("PAYMENT FROM",C1176)),ISNUMBER(SEARCH("JOE SAUNDERS",C1176))),"Zelle from Joe Saunders",IF(AND(ISNUMBER(SEARCH("PAYMENT TO",C1176)),ISNUMBER(SEARCH("JOE SAUNDERS",C1176))),"Zelle to Joe Saunders",IF(OR(ISNUMBER(SEARCH("NEW ORLEANS",C1176)),ISNUMBER(SEARCH("KENNER",C1176)),ISNUMBER(SEARCH("HENRY HOWARD",C1176)),ISNUMBER(SEARCH("MISS CLAUDIA",C1176))),"Personal Travel - New Orleans",IFERROR(INDEX('Category Rules'!$B$2:$B$194,MATCH(TRUE,ISNUMBER(SEARCH('Category Rules'!$A$2:$A$194,C1176)),0)),"")))))))</f>
        <v>Personal - Shopping</v>
      </c>
    </row>
    <row r="1177" spans="1:7" x14ac:dyDescent="0.25">
      <c r="A1177" t="s">
        <v>6</v>
      </c>
      <c r="B1177" s="1">
        <v>46051</v>
      </c>
      <c r="C1177" t="s">
        <v>1119</v>
      </c>
      <c r="D1177">
        <v>-20</v>
      </c>
      <c r="E1177" t="s">
        <v>14</v>
      </c>
      <c r="F1177">
        <v>6284.75</v>
      </c>
      <c r="G1177" t="str" cm="1">
        <f t="array" ref="G1177">IF(AND(ISNUMBER(SEARCH("UBER",C1177)),ISNUMBER(SEARCH("EATS",C1177))),"Uber Eats",IF(LEFT(C1177,6)="CHECK ","Checks Paid",IF(OR(E1177="BILLPAY",ISNUMBER(SEARCH("FRANCHISE TAX",C1177)),ISNUMBER(SEARCH("NEXTLINK",C1177))),"Personal - House Bills",IF(AND(ISNUMBER(SEARCH("PAYMENT FROM",C1177)),ISNUMBER(SEARCH("JOE SAUNDERS",C1177))),"Zelle from Joe Saunders",IF(AND(ISNUMBER(SEARCH("PAYMENT TO",C1177)),ISNUMBER(SEARCH("JOE SAUNDERS",C1177))),"Zelle to Joe Saunders",IF(OR(ISNUMBER(SEARCH("NEW ORLEANS",C1177)),ISNUMBER(SEARCH("KENNER",C1177)),ISNUMBER(SEARCH("HENRY HOWARD",C1177)),ISNUMBER(SEARCH("MISS CLAUDIA",C1177))),"Personal Travel - New Orleans",IFERROR(INDEX('Category Rules'!$B$2:$B$194,MATCH(TRUE,ISNUMBER(SEARCH('Category Rules'!$A$2:$A$194,C1177)),0)),"")))))))</f>
        <v>Amazon</v>
      </c>
    </row>
    <row r="1178" spans="1:7" x14ac:dyDescent="0.25">
      <c r="A1178" t="s">
        <v>6</v>
      </c>
      <c r="B1178" s="1">
        <v>46051</v>
      </c>
      <c r="C1178" t="s">
        <v>1120</v>
      </c>
      <c r="D1178">
        <v>-33.39</v>
      </c>
      <c r="E1178" t="s">
        <v>14</v>
      </c>
      <c r="F1178">
        <v>6304.75</v>
      </c>
      <c r="G1178" t="str" cm="1">
        <f t="array" ref="G1178">IF(AND(ISNUMBER(SEARCH("UBER",C1178)),ISNUMBER(SEARCH("EATS",C1178))),"Uber Eats",IF(LEFT(C1178,6)="CHECK ","Checks Paid",IF(OR(E1178="BILLPAY",ISNUMBER(SEARCH("FRANCHISE TAX",C1178)),ISNUMBER(SEARCH("NEXTLINK",C1178))),"Personal - House Bills",IF(AND(ISNUMBER(SEARCH("PAYMENT FROM",C1178)),ISNUMBER(SEARCH("JOE SAUNDERS",C1178))),"Zelle from Joe Saunders",IF(AND(ISNUMBER(SEARCH("PAYMENT TO",C1178)),ISNUMBER(SEARCH("JOE SAUNDERS",C1178))),"Zelle to Joe Saunders",IF(OR(ISNUMBER(SEARCH("NEW ORLEANS",C1178)),ISNUMBER(SEARCH("KENNER",C1178)),ISNUMBER(SEARCH("HENRY HOWARD",C1178)),ISNUMBER(SEARCH("MISS CLAUDIA",C1178))),"Personal Travel - New Orleans",IFERROR(INDEX('Category Rules'!$B$2:$B$194,MATCH(TRUE,ISNUMBER(SEARCH('Category Rules'!$A$2:$A$194,C1178)),0)),"")))))))</f>
        <v>Personal - Entertainment</v>
      </c>
    </row>
    <row r="1179" spans="1:7" x14ac:dyDescent="0.25">
      <c r="A1179" t="s">
        <v>6</v>
      </c>
      <c r="B1179" s="1">
        <v>46051</v>
      </c>
      <c r="C1179" t="s">
        <v>1121</v>
      </c>
      <c r="D1179">
        <v>-5.49</v>
      </c>
      <c r="E1179" t="s">
        <v>14</v>
      </c>
      <c r="F1179">
        <v>6338.14</v>
      </c>
      <c r="G1179" t="str" cm="1">
        <f t="array" ref="G1179">IF(AND(ISNUMBER(SEARCH("UBER",C1179)),ISNUMBER(SEARCH("EATS",C1179))),"Uber Eats",IF(LEFT(C1179,6)="CHECK ","Checks Paid",IF(OR(E1179="BILLPAY",ISNUMBER(SEARCH("FRANCHISE TAX",C1179)),ISNUMBER(SEARCH("NEXTLINK",C1179))),"Personal - House Bills",IF(AND(ISNUMBER(SEARCH("PAYMENT FROM",C1179)),ISNUMBER(SEARCH("JOE SAUNDERS",C1179))),"Zelle from Joe Saunders",IF(AND(ISNUMBER(SEARCH("PAYMENT TO",C1179)),ISNUMBER(SEARCH("JOE SAUNDERS",C1179))),"Zelle to Joe Saunders",IF(OR(ISNUMBER(SEARCH("NEW ORLEANS",C1179)),ISNUMBER(SEARCH("KENNER",C1179)),ISNUMBER(SEARCH("HENRY HOWARD",C1179)),ISNUMBER(SEARCH("MISS CLAUDIA",C1179))),"Personal Travel - New Orleans",IFERROR(INDEX('Category Rules'!$B$2:$B$194,MATCH(TRUE,ISNUMBER(SEARCH('Category Rules'!$A$2:$A$194,C1179)),0)),"")))))))</f>
        <v>Personal - Health</v>
      </c>
    </row>
    <row r="1180" spans="1:7" x14ac:dyDescent="0.25">
      <c r="A1180" t="s">
        <v>6</v>
      </c>
      <c r="B1180" s="1">
        <v>46051</v>
      </c>
      <c r="C1180" t="s">
        <v>1122</v>
      </c>
      <c r="D1180">
        <v>-1.32</v>
      </c>
      <c r="E1180" t="s">
        <v>14</v>
      </c>
      <c r="F1180">
        <v>6343.63</v>
      </c>
      <c r="G1180" t="str" cm="1">
        <f t="array" ref="G1180">IF(AND(ISNUMBER(SEARCH("UBER",C1180)),ISNUMBER(SEARCH("EATS",C1180))),"Uber Eats",IF(LEFT(C1180,6)="CHECK ","Checks Paid",IF(OR(E1180="BILLPAY",ISNUMBER(SEARCH("FRANCHISE TAX",C1180)),ISNUMBER(SEARCH("NEXTLINK",C1180))),"Personal - House Bills",IF(AND(ISNUMBER(SEARCH("PAYMENT FROM",C1180)),ISNUMBER(SEARCH("JOE SAUNDERS",C1180))),"Zelle from Joe Saunders",IF(AND(ISNUMBER(SEARCH("PAYMENT TO",C1180)),ISNUMBER(SEARCH("JOE SAUNDERS",C1180))),"Zelle to Joe Saunders",IF(OR(ISNUMBER(SEARCH("NEW ORLEANS",C1180)),ISNUMBER(SEARCH("KENNER",C1180)),ISNUMBER(SEARCH("HENRY HOWARD",C1180)),ISNUMBER(SEARCH("MISS CLAUDIA",C1180))),"Personal Travel - New Orleans",IFERROR(INDEX('Category Rules'!$B$2:$B$194,MATCH(TRUE,ISNUMBER(SEARCH('Category Rules'!$A$2:$A$194,C1180)),0)),"")))))))</f>
        <v>Personal - House Bills</v>
      </c>
    </row>
    <row r="1181" spans="1:7" x14ac:dyDescent="0.25">
      <c r="A1181" t="s">
        <v>6</v>
      </c>
      <c r="B1181" s="1">
        <v>46051</v>
      </c>
      <c r="C1181" t="s">
        <v>1123</v>
      </c>
      <c r="D1181">
        <v>-57.33</v>
      </c>
      <c r="E1181" t="s">
        <v>14</v>
      </c>
      <c r="F1181">
        <v>6344.95</v>
      </c>
      <c r="G1181" t="str" cm="1">
        <f t="array" ref="G1181">IF(AND(ISNUMBER(SEARCH("UBER",C1181)),ISNUMBER(SEARCH("EATS",C1181))),"Uber Eats",IF(LEFT(C1181,6)="CHECK ","Checks Paid",IF(OR(E1181="BILLPAY",ISNUMBER(SEARCH("FRANCHISE TAX",C1181)),ISNUMBER(SEARCH("NEXTLINK",C1181))),"Personal - House Bills",IF(AND(ISNUMBER(SEARCH("PAYMENT FROM",C1181)),ISNUMBER(SEARCH("JOE SAUNDERS",C1181))),"Zelle from Joe Saunders",IF(AND(ISNUMBER(SEARCH("PAYMENT TO",C1181)),ISNUMBER(SEARCH("JOE SAUNDERS",C1181))),"Zelle to Joe Saunders",IF(OR(ISNUMBER(SEARCH("NEW ORLEANS",C1181)),ISNUMBER(SEARCH("KENNER",C1181)),ISNUMBER(SEARCH("HENRY HOWARD",C1181)),ISNUMBER(SEARCH("MISS CLAUDIA",C1181))),"Personal Travel - New Orleans",IFERROR(INDEX('Category Rules'!$B$2:$B$194,MATCH(TRUE,ISNUMBER(SEARCH('Category Rules'!$A$2:$A$194,C1181)),0)),"")))))))</f>
        <v>Personal - House Bills</v>
      </c>
    </row>
    <row r="1182" spans="1:7" x14ac:dyDescent="0.25">
      <c r="A1182" t="s">
        <v>6</v>
      </c>
      <c r="B1182" s="1">
        <v>46051</v>
      </c>
      <c r="C1182" t="s">
        <v>1124</v>
      </c>
      <c r="D1182">
        <v>21.3</v>
      </c>
      <c r="E1182" t="s">
        <v>14</v>
      </c>
      <c r="F1182">
        <v>6402.28</v>
      </c>
      <c r="G1182" t="str" cm="1">
        <f t="array" ref="G1182">IF(AND(ISNUMBER(SEARCH("UBER",C1182)),ISNUMBER(SEARCH("EATS",C1182))),"Uber Eats",IF(LEFT(C1182,6)="CHECK ","Checks Paid",IF(OR(E1182="BILLPAY",ISNUMBER(SEARCH("FRANCHISE TAX",C1182)),ISNUMBER(SEARCH("NEXTLINK",C1182))),"Personal - House Bills",IF(AND(ISNUMBER(SEARCH("PAYMENT FROM",C1182)),ISNUMBER(SEARCH("JOE SAUNDERS",C1182))),"Zelle from Joe Saunders",IF(AND(ISNUMBER(SEARCH("PAYMENT TO",C1182)),ISNUMBER(SEARCH("JOE SAUNDERS",C1182))),"Zelle to Joe Saunders",IF(OR(ISNUMBER(SEARCH("NEW ORLEANS",C1182)),ISNUMBER(SEARCH("KENNER",C1182)),ISNUMBER(SEARCH("HENRY HOWARD",C1182)),ISNUMBER(SEARCH("MISS CLAUDIA",C1182))),"Personal Travel - New Orleans",IFERROR(INDEX('Category Rules'!$B$2:$B$194,MATCH(TRUE,ISNUMBER(SEARCH('Category Rules'!$A$2:$A$194,C1182)),0)),"")))))))</f>
        <v>Personal - Shopping</v>
      </c>
    </row>
    <row r="1183" spans="1:7" x14ac:dyDescent="0.25">
      <c r="A1183" t="s">
        <v>6</v>
      </c>
      <c r="B1183" s="1">
        <v>46050</v>
      </c>
      <c r="C1183" t="s">
        <v>1125</v>
      </c>
      <c r="D1183">
        <v>-5.99</v>
      </c>
      <c r="E1183" t="s">
        <v>14</v>
      </c>
      <c r="F1183">
        <v>6380.98</v>
      </c>
      <c r="G1183" t="str" cm="1">
        <f t="array" ref="G1183">IF(AND(ISNUMBER(SEARCH("UBER",C1183)),ISNUMBER(SEARCH("EATS",C1183))),"Uber Eats",IF(LEFT(C1183,6)="CHECK ","Checks Paid",IF(OR(E1183="BILLPAY",ISNUMBER(SEARCH("FRANCHISE TAX",C1183)),ISNUMBER(SEARCH("NEXTLINK",C1183))),"Personal - House Bills",IF(AND(ISNUMBER(SEARCH("PAYMENT FROM",C1183)),ISNUMBER(SEARCH("JOE SAUNDERS",C1183))),"Zelle from Joe Saunders",IF(AND(ISNUMBER(SEARCH("PAYMENT TO",C1183)),ISNUMBER(SEARCH("JOE SAUNDERS",C1183))),"Zelle to Joe Saunders",IF(OR(ISNUMBER(SEARCH("NEW ORLEANS",C1183)),ISNUMBER(SEARCH("KENNER",C1183)),ISNUMBER(SEARCH("HENRY HOWARD",C1183)),ISNUMBER(SEARCH("MISS CLAUDIA",C1183))),"Personal Travel - New Orleans",IFERROR(INDEX('Category Rules'!$B$2:$B$194,MATCH(TRUE,ISNUMBER(SEARCH('Category Rules'!$A$2:$A$194,C1183)),0)),"")))))))</f>
        <v>Apple</v>
      </c>
    </row>
    <row r="1184" spans="1:7" x14ac:dyDescent="0.25">
      <c r="A1184" t="s">
        <v>6</v>
      </c>
      <c r="B1184" s="1">
        <v>46050</v>
      </c>
      <c r="C1184" t="s">
        <v>1126</v>
      </c>
      <c r="D1184">
        <v>-340.19</v>
      </c>
      <c r="E1184" t="s">
        <v>14</v>
      </c>
      <c r="F1184">
        <v>6386.97</v>
      </c>
      <c r="G1184" t="str" cm="1">
        <f t="array" ref="G1184">IF(AND(ISNUMBER(SEARCH("UBER",C1184)),ISNUMBER(SEARCH("EATS",C1184))),"Uber Eats",IF(LEFT(C1184,6)="CHECK ","Checks Paid",IF(OR(E1184="BILLPAY",ISNUMBER(SEARCH("FRANCHISE TAX",C1184)),ISNUMBER(SEARCH("NEXTLINK",C1184))),"Personal - House Bills",IF(AND(ISNUMBER(SEARCH("PAYMENT FROM",C1184)),ISNUMBER(SEARCH("JOE SAUNDERS",C1184))),"Zelle from Joe Saunders",IF(AND(ISNUMBER(SEARCH("PAYMENT TO",C1184)),ISNUMBER(SEARCH("JOE SAUNDERS",C1184))),"Zelle to Joe Saunders",IF(OR(ISNUMBER(SEARCH("NEW ORLEANS",C1184)),ISNUMBER(SEARCH("KENNER",C1184)),ISNUMBER(SEARCH("HENRY HOWARD",C1184)),ISNUMBER(SEARCH("MISS CLAUDIA",C1184))),"Personal Travel - New Orleans",IFERROR(INDEX('Category Rules'!$B$2:$B$194,MATCH(TRUE,ISNUMBER(SEARCH('Category Rules'!$A$2:$A$194,C1184)),0)),"")))))))</f>
        <v>Personal - Shopping</v>
      </c>
    </row>
    <row r="1185" spans="1:7" x14ac:dyDescent="0.25">
      <c r="A1185" t="s">
        <v>6</v>
      </c>
      <c r="B1185" s="1">
        <v>46050</v>
      </c>
      <c r="C1185" t="s">
        <v>1127</v>
      </c>
      <c r="D1185">
        <v>-157.30000000000001</v>
      </c>
      <c r="E1185" t="s">
        <v>14</v>
      </c>
      <c r="F1185">
        <v>6727.16</v>
      </c>
      <c r="G1185" t="str" cm="1">
        <f t="array" ref="G1185">IF(AND(ISNUMBER(SEARCH("UBER",C1185)),ISNUMBER(SEARCH("EATS",C1185))),"Uber Eats",IF(LEFT(C1185,6)="CHECK ","Checks Paid",IF(OR(E1185="BILLPAY",ISNUMBER(SEARCH("FRANCHISE TAX",C1185)),ISNUMBER(SEARCH("NEXTLINK",C1185))),"Personal - House Bills",IF(AND(ISNUMBER(SEARCH("PAYMENT FROM",C1185)),ISNUMBER(SEARCH("JOE SAUNDERS",C1185))),"Zelle from Joe Saunders",IF(AND(ISNUMBER(SEARCH("PAYMENT TO",C1185)),ISNUMBER(SEARCH("JOE SAUNDERS",C1185))),"Zelle to Joe Saunders",IF(OR(ISNUMBER(SEARCH("NEW ORLEANS",C1185)),ISNUMBER(SEARCH("KENNER",C1185)),ISNUMBER(SEARCH("HENRY HOWARD",C1185)),ISNUMBER(SEARCH("MISS CLAUDIA",C1185))),"Personal Travel - New Orleans",IFERROR(INDEX('Category Rules'!$B$2:$B$194,MATCH(TRUE,ISNUMBER(SEARCH('Category Rules'!$A$2:$A$194,C1185)),0)),"")))))))</f>
        <v>Amazon</v>
      </c>
    </row>
    <row r="1186" spans="1:7" x14ac:dyDescent="0.25">
      <c r="A1186" t="s">
        <v>6</v>
      </c>
      <c r="B1186" s="1">
        <v>46050</v>
      </c>
      <c r="C1186" t="s">
        <v>1128</v>
      </c>
      <c r="D1186">
        <v>-24.94</v>
      </c>
      <c r="E1186" t="s">
        <v>14</v>
      </c>
      <c r="F1186">
        <v>6884.46</v>
      </c>
      <c r="G1186" t="str" cm="1">
        <f t="array" ref="G1186">IF(AND(ISNUMBER(SEARCH("UBER",C1186)),ISNUMBER(SEARCH("EATS",C1186))),"Uber Eats",IF(LEFT(C1186,6)="CHECK ","Checks Paid",IF(OR(E1186="BILLPAY",ISNUMBER(SEARCH("FRANCHISE TAX",C1186)),ISNUMBER(SEARCH("NEXTLINK",C1186))),"Personal - House Bills",IF(AND(ISNUMBER(SEARCH("PAYMENT FROM",C1186)),ISNUMBER(SEARCH("JOE SAUNDERS",C1186))),"Zelle from Joe Saunders",IF(AND(ISNUMBER(SEARCH("PAYMENT TO",C1186)),ISNUMBER(SEARCH("JOE SAUNDERS",C1186))),"Zelle to Joe Saunders",IF(OR(ISNUMBER(SEARCH("NEW ORLEANS",C1186)),ISNUMBER(SEARCH("KENNER",C1186)),ISNUMBER(SEARCH("HENRY HOWARD",C1186)),ISNUMBER(SEARCH("MISS CLAUDIA",C1186))),"Personal Travel - New Orleans",IFERROR(INDEX('Category Rules'!$B$2:$B$194,MATCH(TRUE,ISNUMBER(SEARCH('Category Rules'!$A$2:$A$194,C1186)),0)),"")))))))</f>
        <v>Personal Travel</v>
      </c>
    </row>
    <row r="1187" spans="1:7" x14ac:dyDescent="0.25">
      <c r="A1187" t="s">
        <v>6</v>
      </c>
      <c r="B1187" s="1">
        <v>46050</v>
      </c>
      <c r="C1187" t="s">
        <v>1129</v>
      </c>
      <c r="D1187">
        <v>-418.47</v>
      </c>
      <c r="E1187" t="s">
        <v>14</v>
      </c>
      <c r="F1187">
        <v>6909.4</v>
      </c>
      <c r="G1187" t="str" cm="1">
        <f t="array" ref="G1187">IF(AND(ISNUMBER(SEARCH("UBER",C1187)),ISNUMBER(SEARCH("EATS",C1187))),"Uber Eats",IF(LEFT(C1187,6)="CHECK ","Checks Paid",IF(OR(E1187="BILLPAY",ISNUMBER(SEARCH("FRANCHISE TAX",C1187)),ISNUMBER(SEARCH("NEXTLINK",C1187))),"Personal - House Bills",IF(AND(ISNUMBER(SEARCH("PAYMENT FROM",C1187)),ISNUMBER(SEARCH("JOE SAUNDERS",C1187))),"Zelle from Joe Saunders",IF(AND(ISNUMBER(SEARCH("PAYMENT TO",C1187)),ISNUMBER(SEARCH("JOE SAUNDERS",C1187))),"Zelle to Joe Saunders",IF(OR(ISNUMBER(SEARCH("NEW ORLEANS",C1187)),ISNUMBER(SEARCH("KENNER",C1187)),ISNUMBER(SEARCH("HENRY HOWARD",C1187)),ISNUMBER(SEARCH("MISS CLAUDIA",C1187))),"Personal Travel - New Orleans",IFERROR(INDEX('Category Rules'!$B$2:$B$194,MATCH(TRUE,ISNUMBER(SEARCH('Category Rules'!$A$2:$A$194,C1187)),0)),"")))))))</f>
        <v>Personal Travel</v>
      </c>
    </row>
    <row r="1188" spans="1:7" x14ac:dyDescent="0.25">
      <c r="A1188" t="s">
        <v>6</v>
      </c>
      <c r="B1188" s="1">
        <v>46049</v>
      </c>
      <c r="C1188" t="s">
        <v>1130</v>
      </c>
      <c r="D1188">
        <v>-1700</v>
      </c>
      <c r="E1188" t="s">
        <v>95</v>
      </c>
      <c r="F1188">
        <v>7327.87</v>
      </c>
      <c r="G1188" t="str" cm="1">
        <f t="array" ref="G1188">IF(AND(ISNUMBER(SEARCH("UBER",C1188)),ISNUMBER(SEARCH("EATS",C1188))),"Uber Eats",IF(LEFT(C1188,6)="CHECK ","Checks Paid",IF(OR(E1188="BILLPAY",ISNUMBER(SEARCH("FRANCHISE TAX",C1188)),ISNUMBER(SEARCH("NEXTLINK",C1188))),"Personal - House Bills",IF(AND(ISNUMBER(SEARCH("PAYMENT FROM",C1188)),ISNUMBER(SEARCH("JOE SAUNDERS",C1188))),"Zelle from Joe Saunders",IF(AND(ISNUMBER(SEARCH("PAYMENT TO",C1188)),ISNUMBER(SEARCH("JOE SAUNDERS",C1188))),"Zelle to Joe Saunders",IF(OR(ISNUMBER(SEARCH("NEW ORLEANS",C1188)),ISNUMBER(SEARCH("KENNER",C1188)),ISNUMBER(SEARCH("HENRY HOWARD",C1188)),ISNUMBER(SEARCH("MISS CLAUDIA",C1188))),"Personal Travel - New Orleans",IFERROR(INDEX('Category Rules'!$B$2:$B$194,MATCH(TRUE,ISNUMBER(SEARCH('Category Rules'!$A$2:$A$194,C1188)),0)),"")))))))</f>
        <v>Personal - House Bills</v>
      </c>
    </row>
    <row r="1189" spans="1:7" x14ac:dyDescent="0.25">
      <c r="A1189" t="s">
        <v>6</v>
      </c>
      <c r="B1189" s="1">
        <v>46049</v>
      </c>
      <c r="C1189" t="s">
        <v>1131</v>
      </c>
      <c r="D1189">
        <v>-400</v>
      </c>
      <c r="E1189" t="s">
        <v>95</v>
      </c>
      <c r="F1189">
        <v>9027.8700000000008</v>
      </c>
      <c r="G1189" t="str" cm="1">
        <f t="array" ref="G1189">IF(AND(ISNUMBER(SEARCH("UBER",C1189)),ISNUMBER(SEARCH("EATS",C1189))),"Uber Eats",IF(LEFT(C1189,6)="CHECK ","Checks Paid",IF(OR(E1189="BILLPAY",ISNUMBER(SEARCH("FRANCHISE TAX",C1189)),ISNUMBER(SEARCH("NEXTLINK",C1189))),"Personal - House Bills",IF(AND(ISNUMBER(SEARCH("PAYMENT FROM",C1189)),ISNUMBER(SEARCH("JOE SAUNDERS",C1189))),"Zelle from Joe Saunders",IF(AND(ISNUMBER(SEARCH("PAYMENT TO",C1189)),ISNUMBER(SEARCH("JOE SAUNDERS",C1189))),"Zelle to Joe Saunders",IF(OR(ISNUMBER(SEARCH("NEW ORLEANS",C1189)),ISNUMBER(SEARCH("KENNER",C1189)),ISNUMBER(SEARCH("HENRY HOWARD",C1189)),ISNUMBER(SEARCH("MISS CLAUDIA",C1189))),"Personal Travel - New Orleans",IFERROR(INDEX('Category Rules'!$B$2:$B$194,MATCH(TRUE,ISNUMBER(SEARCH('Category Rules'!$A$2:$A$194,C1189)),0)),"")))))))</f>
        <v>Personal - House Bills</v>
      </c>
    </row>
    <row r="1190" spans="1:7" x14ac:dyDescent="0.25">
      <c r="A1190" t="s">
        <v>6</v>
      </c>
      <c r="B1190" s="1">
        <v>46049</v>
      </c>
      <c r="C1190" t="s">
        <v>1132</v>
      </c>
      <c r="D1190">
        <v>-120</v>
      </c>
      <c r="E1190" t="s">
        <v>95</v>
      </c>
      <c r="F1190">
        <v>9427.8700000000008</v>
      </c>
      <c r="G1190" t="str" cm="1">
        <f t="array" ref="G1190">IF(AND(ISNUMBER(SEARCH("UBER",C1190)),ISNUMBER(SEARCH("EATS",C1190))),"Uber Eats",IF(LEFT(C1190,6)="CHECK ","Checks Paid",IF(OR(E1190="BILLPAY",ISNUMBER(SEARCH("FRANCHISE TAX",C1190)),ISNUMBER(SEARCH("NEXTLINK",C1190))),"Personal - House Bills",IF(AND(ISNUMBER(SEARCH("PAYMENT FROM",C1190)),ISNUMBER(SEARCH("JOE SAUNDERS",C1190))),"Zelle from Joe Saunders",IF(AND(ISNUMBER(SEARCH("PAYMENT TO",C1190)),ISNUMBER(SEARCH("JOE SAUNDERS",C1190))),"Zelle to Joe Saunders",IF(OR(ISNUMBER(SEARCH("NEW ORLEANS",C1190)),ISNUMBER(SEARCH("KENNER",C1190)),ISNUMBER(SEARCH("HENRY HOWARD",C1190)),ISNUMBER(SEARCH("MISS CLAUDIA",C1190))),"Personal Travel - New Orleans",IFERROR(INDEX('Category Rules'!$B$2:$B$194,MATCH(TRUE,ISNUMBER(SEARCH('Category Rules'!$A$2:$A$194,C1190)),0)),"")))))))</f>
        <v>Personal - House Bills</v>
      </c>
    </row>
    <row r="1191" spans="1:7" x14ac:dyDescent="0.25">
      <c r="A1191" t="s">
        <v>6</v>
      </c>
      <c r="B1191" s="1">
        <v>46049</v>
      </c>
      <c r="C1191" t="s">
        <v>1133</v>
      </c>
      <c r="D1191">
        <v>-350</v>
      </c>
      <c r="E1191" t="s">
        <v>95</v>
      </c>
      <c r="F1191">
        <v>9547.8700000000008</v>
      </c>
      <c r="G1191" t="str" cm="1">
        <f t="array" ref="G1191">IF(AND(ISNUMBER(SEARCH("UBER",C1191)),ISNUMBER(SEARCH("EATS",C1191))),"Uber Eats",IF(LEFT(C1191,6)="CHECK ","Checks Paid",IF(OR(E1191="BILLPAY",ISNUMBER(SEARCH("FRANCHISE TAX",C1191)),ISNUMBER(SEARCH("NEXTLINK",C1191))),"Personal - House Bills",IF(AND(ISNUMBER(SEARCH("PAYMENT FROM",C1191)),ISNUMBER(SEARCH("JOE SAUNDERS",C1191))),"Zelle from Joe Saunders",IF(AND(ISNUMBER(SEARCH("PAYMENT TO",C1191)),ISNUMBER(SEARCH("JOE SAUNDERS",C1191))),"Zelle to Joe Saunders",IF(OR(ISNUMBER(SEARCH("NEW ORLEANS",C1191)),ISNUMBER(SEARCH("KENNER",C1191)),ISNUMBER(SEARCH("HENRY HOWARD",C1191)),ISNUMBER(SEARCH("MISS CLAUDIA",C1191))),"Personal Travel - New Orleans",IFERROR(INDEX('Category Rules'!$B$2:$B$194,MATCH(TRUE,ISNUMBER(SEARCH('Category Rules'!$A$2:$A$194,C1191)),0)),"")))))))</f>
        <v>Personal - House Bills</v>
      </c>
    </row>
    <row r="1192" spans="1:7" x14ac:dyDescent="0.25">
      <c r="A1192" t="s">
        <v>6</v>
      </c>
      <c r="B1192" s="1">
        <v>46049</v>
      </c>
      <c r="C1192" t="s">
        <v>1134</v>
      </c>
      <c r="D1192">
        <v>-320</v>
      </c>
      <c r="E1192" t="s">
        <v>95</v>
      </c>
      <c r="F1192">
        <v>9897.8700000000008</v>
      </c>
      <c r="G1192" t="str" cm="1">
        <f t="array" ref="G1192">IF(AND(ISNUMBER(SEARCH("UBER",C1192)),ISNUMBER(SEARCH("EATS",C1192))),"Uber Eats",IF(LEFT(C1192,6)="CHECK ","Checks Paid",IF(OR(E1192="BILLPAY",ISNUMBER(SEARCH("FRANCHISE TAX",C1192)),ISNUMBER(SEARCH("NEXTLINK",C1192))),"Personal - House Bills",IF(AND(ISNUMBER(SEARCH("PAYMENT FROM",C1192)),ISNUMBER(SEARCH("JOE SAUNDERS",C1192))),"Zelle from Joe Saunders",IF(AND(ISNUMBER(SEARCH("PAYMENT TO",C1192)),ISNUMBER(SEARCH("JOE SAUNDERS",C1192))),"Zelle to Joe Saunders",IF(OR(ISNUMBER(SEARCH("NEW ORLEANS",C1192)),ISNUMBER(SEARCH("KENNER",C1192)),ISNUMBER(SEARCH("HENRY HOWARD",C1192)),ISNUMBER(SEARCH("MISS CLAUDIA",C1192))),"Personal Travel - New Orleans",IFERROR(INDEX('Category Rules'!$B$2:$B$194,MATCH(TRUE,ISNUMBER(SEARCH('Category Rules'!$A$2:$A$194,C1192)),0)),"")))))))</f>
        <v>Personal - House Bills</v>
      </c>
    </row>
    <row r="1193" spans="1:7" x14ac:dyDescent="0.25">
      <c r="A1193" t="s">
        <v>6</v>
      </c>
      <c r="B1193" s="1">
        <v>46049</v>
      </c>
      <c r="C1193" t="s">
        <v>1135</v>
      </c>
      <c r="D1193">
        <v>-100</v>
      </c>
      <c r="E1193" t="s">
        <v>14</v>
      </c>
      <c r="F1193">
        <v>10217.870000000001</v>
      </c>
      <c r="G1193" t="str" cm="1">
        <f t="array" ref="G1193">IF(AND(ISNUMBER(SEARCH("UBER",C1193)),ISNUMBER(SEARCH("EATS",C1193))),"Uber Eats",IF(LEFT(C1193,6)="CHECK ","Checks Paid",IF(OR(E1193="BILLPAY",ISNUMBER(SEARCH("FRANCHISE TAX",C1193)),ISNUMBER(SEARCH("NEXTLINK",C1193))),"Personal - House Bills",IF(AND(ISNUMBER(SEARCH("PAYMENT FROM",C1193)),ISNUMBER(SEARCH("JOE SAUNDERS",C1193))),"Zelle from Joe Saunders",IF(AND(ISNUMBER(SEARCH("PAYMENT TO",C1193)),ISNUMBER(SEARCH("JOE SAUNDERS",C1193))),"Zelle to Joe Saunders",IF(OR(ISNUMBER(SEARCH("NEW ORLEANS",C1193)),ISNUMBER(SEARCH("KENNER",C1193)),ISNUMBER(SEARCH("HENRY HOWARD",C1193)),ISNUMBER(SEARCH("MISS CLAUDIA",C1193))),"Personal Travel - New Orleans",IFERROR(INDEX('Category Rules'!$B$2:$B$194,MATCH(TRUE,ISNUMBER(SEARCH('Category Rules'!$A$2:$A$194,C1193)),0)),"")))))))</f>
        <v>Personal - Subscription</v>
      </c>
    </row>
    <row r="1194" spans="1:7" x14ac:dyDescent="0.25">
      <c r="A1194" t="s">
        <v>6</v>
      </c>
      <c r="B1194" s="1">
        <v>46049</v>
      </c>
      <c r="C1194" t="s">
        <v>1135</v>
      </c>
      <c r="D1194">
        <v>-100</v>
      </c>
      <c r="E1194" t="s">
        <v>14</v>
      </c>
      <c r="F1194">
        <v>10317.870000000001</v>
      </c>
      <c r="G1194" t="str" cm="1">
        <f t="array" ref="G1194">IF(AND(ISNUMBER(SEARCH("UBER",C1194)),ISNUMBER(SEARCH("EATS",C1194))),"Uber Eats",IF(LEFT(C1194,6)="CHECK ","Checks Paid",IF(OR(E1194="BILLPAY",ISNUMBER(SEARCH("FRANCHISE TAX",C1194)),ISNUMBER(SEARCH("NEXTLINK",C1194))),"Personal - House Bills",IF(AND(ISNUMBER(SEARCH("PAYMENT FROM",C1194)),ISNUMBER(SEARCH("JOE SAUNDERS",C1194))),"Zelle from Joe Saunders",IF(AND(ISNUMBER(SEARCH("PAYMENT TO",C1194)),ISNUMBER(SEARCH("JOE SAUNDERS",C1194))),"Zelle to Joe Saunders",IF(OR(ISNUMBER(SEARCH("NEW ORLEANS",C1194)),ISNUMBER(SEARCH("KENNER",C1194)),ISNUMBER(SEARCH("HENRY HOWARD",C1194)),ISNUMBER(SEARCH("MISS CLAUDIA",C1194))),"Personal Travel - New Orleans",IFERROR(INDEX('Category Rules'!$B$2:$B$194,MATCH(TRUE,ISNUMBER(SEARCH('Category Rules'!$A$2:$A$194,C1194)),0)),"")))))))</f>
        <v>Personal - Subscription</v>
      </c>
    </row>
    <row r="1195" spans="1:7" x14ac:dyDescent="0.25">
      <c r="A1195" t="s">
        <v>6</v>
      </c>
      <c r="B1195" s="1">
        <v>46049</v>
      </c>
      <c r="C1195" t="s">
        <v>1136</v>
      </c>
      <c r="D1195">
        <v>-5.99</v>
      </c>
      <c r="E1195" t="s">
        <v>14</v>
      </c>
      <c r="F1195">
        <v>10417.870000000001</v>
      </c>
      <c r="G1195" t="s">
        <v>1314</v>
      </c>
    </row>
    <row r="1196" spans="1:7" x14ac:dyDescent="0.25">
      <c r="A1196" t="s">
        <v>6</v>
      </c>
      <c r="B1196" s="1">
        <v>46049</v>
      </c>
      <c r="C1196" t="s">
        <v>1137</v>
      </c>
      <c r="D1196">
        <v>-6.99</v>
      </c>
      <c r="E1196" t="s">
        <v>14</v>
      </c>
      <c r="F1196">
        <v>10423.86</v>
      </c>
      <c r="G1196" t="str" cm="1">
        <f t="array" ref="G1196">IF(AND(ISNUMBER(SEARCH("UBER",C1196)),ISNUMBER(SEARCH("EATS",C1196))),"Uber Eats",IF(LEFT(C1196,6)="CHECK ","Checks Paid",IF(OR(E1196="BILLPAY",ISNUMBER(SEARCH("FRANCHISE TAX",C1196)),ISNUMBER(SEARCH("NEXTLINK",C1196))),"Personal - House Bills",IF(AND(ISNUMBER(SEARCH("PAYMENT FROM",C1196)),ISNUMBER(SEARCH("JOE SAUNDERS",C1196))),"Zelle from Joe Saunders",IF(AND(ISNUMBER(SEARCH("PAYMENT TO",C1196)),ISNUMBER(SEARCH("JOE SAUNDERS",C1196))),"Zelle to Joe Saunders",IF(OR(ISNUMBER(SEARCH("NEW ORLEANS",C1196)),ISNUMBER(SEARCH("KENNER",C1196)),ISNUMBER(SEARCH("HENRY HOWARD",C1196)),ISNUMBER(SEARCH("MISS CLAUDIA",C1196))),"Personal Travel - New Orleans",IFERROR(INDEX('Category Rules'!$B$2:$B$194,MATCH(TRUE,ISNUMBER(SEARCH('Category Rules'!$A$2:$A$194,C1196)),0)),"")))))))</f>
        <v>Amazon</v>
      </c>
    </row>
    <row r="1197" spans="1:7" x14ac:dyDescent="0.25">
      <c r="A1197" t="s">
        <v>6</v>
      </c>
      <c r="B1197" s="1">
        <v>46049</v>
      </c>
      <c r="C1197" t="s">
        <v>1138</v>
      </c>
      <c r="D1197">
        <v>-18.75</v>
      </c>
      <c r="E1197" t="s">
        <v>14</v>
      </c>
      <c r="F1197">
        <v>10430.85</v>
      </c>
      <c r="G1197" t="str" cm="1">
        <f t="array" ref="G1197">IF(AND(ISNUMBER(SEARCH("UBER",C1197)),ISNUMBER(SEARCH("EATS",C1197))),"Uber Eats",IF(LEFT(C1197,6)="CHECK ","Checks Paid",IF(OR(E1197="BILLPAY",ISNUMBER(SEARCH("FRANCHISE TAX",C1197)),ISNUMBER(SEARCH("NEXTLINK",C1197))),"Personal - House Bills",IF(AND(ISNUMBER(SEARCH("PAYMENT FROM",C1197)),ISNUMBER(SEARCH("JOE SAUNDERS",C1197))),"Zelle from Joe Saunders",IF(AND(ISNUMBER(SEARCH("PAYMENT TO",C1197)),ISNUMBER(SEARCH("JOE SAUNDERS",C1197))),"Zelle to Joe Saunders",IF(OR(ISNUMBER(SEARCH("NEW ORLEANS",C1197)),ISNUMBER(SEARCH("KENNER",C1197)),ISNUMBER(SEARCH("HENRY HOWARD",C1197)),ISNUMBER(SEARCH("MISS CLAUDIA",C1197))),"Personal Travel - New Orleans",IFERROR(INDEX('Category Rules'!$B$2:$B$194,MATCH(TRUE,ISNUMBER(SEARCH('Category Rules'!$A$2:$A$194,C1197)),0)),"")))))))</f>
        <v>Personal Travel</v>
      </c>
    </row>
    <row r="1198" spans="1:7" x14ac:dyDescent="0.25">
      <c r="A1198" t="s">
        <v>6</v>
      </c>
      <c r="B1198" s="1">
        <v>46049</v>
      </c>
      <c r="C1198" t="s">
        <v>1139</v>
      </c>
      <c r="D1198">
        <v>-249.86</v>
      </c>
      <c r="E1198" t="s">
        <v>14</v>
      </c>
      <c r="F1198">
        <v>10449.6</v>
      </c>
      <c r="G1198" t="str" cm="1">
        <f t="array" ref="G1198">IF(AND(ISNUMBER(SEARCH("UBER",C1198)),ISNUMBER(SEARCH("EATS",C1198))),"Uber Eats",IF(LEFT(C1198,6)="CHECK ","Checks Paid",IF(OR(E1198="BILLPAY",ISNUMBER(SEARCH("FRANCHISE TAX",C1198)),ISNUMBER(SEARCH("NEXTLINK",C1198))),"Personal - House Bills",IF(AND(ISNUMBER(SEARCH("PAYMENT FROM",C1198)),ISNUMBER(SEARCH("JOE SAUNDERS",C1198))),"Zelle from Joe Saunders",IF(AND(ISNUMBER(SEARCH("PAYMENT TO",C1198)),ISNUMBER(SEARCH("JOE SAUNDERS",C1198))),"Zelle to Joe Saunders",IF(OR(ISNUMBER(SEARCH("NEW ORLEANS",C1198)),ISNUMBER(SEARCH("KENNER",C1198)),ISNUMBER(SEARCH("HENRY HOWARD",C1198)),ISNUMBER(SEARCH("MISS CLAUDIA",C1198))),"Personal Travel - New Orleans",IFERROR(INDEX('Category Rules'!$B$2:$B$194,MATCH(TRUE,ISNUMBER(SEARCH('Category Rules'!$A$2:$A$194,C1198)),0)),"")))))))</f>
        <v>Palm Springs</v>
      </c>
    </row>
    <row r="1199" spans="1:7" x14ac:dyDescent="0.25">
      <c r="A1199" t="s">
        <v>37</v>
      </c>
      <c r="B1199" s="1">
        <v>46049</v>
      </c>
      <c r="C1199" t="s">
        <v>1140</v>
      </c>
      <c r="D1199">
        <v>5000</v>
      </c>
      <c r="E1199" t="s">
        <v>39</v>
      </c>
      <c r="F1199">
        <v>10699.46</v>
      </c>
      <c r="G1199" t="str" cm="1">
        <f t="array" ref="G1199">IF(AND(ISNUMBER(SEARCH("UBER",C1199)),ISNUMBER(SEARCH("EATS",C1199))),"Uber Eats",IF(LEFT(C1199,6)="CHECK ","Checks Paid",IF(OR(E1199="BILLPAY",ISNUMBER(SEARCH("FRANCHISE TAX",C1199)),ISNUMBER(SEARCH("NEXTLINK",C1199))),"Personal - House Bills",IF(AND(ISNUMBER(SEARCH("PAYMENT FROM",C1199)),ISNUMBER(SEARCH("JOE SAUNDERS",C1199))),"Zelle from Joe Saunders",IF(AND(ISNUMBER(SEARCH("PAYMENT TO",C1199)),ISNUMBER(SEARCH("JOE SAUNDERS",C1199))),"Zelle to Joe Saunders",IF(OR(ISNUMBER(SEARCH("NEW ORLEANS",C1199)),ISNUMBER(SEARCH("KENNER",C1199)),ISNUMBER(SEARCH("HENRY HOWARD",C1199)),ISNUMBER(SEARCH("MISS CLAUDIA",C1199))),"Personal Travel - New Orleans",IFERROR(INDEX('Category Rules'!$B$2:$B$194,MATCH(TRUE,ISNUMBER(SEARCH('Category Rules'!$A$2:$A$194,C1199)),0)),"")))))))</f>
        <v>Transfer from DWG Capital Group</v>
      </c>
    </row>
    <row r="1200" spans="1:7" x14ac:dyDescent="0.25">
      <c r="A1200" t="s">
        <v>6</v>
      </c>
      <c r="B1200" s="1">
        <v>46049</v>
      </c>
      <c r="C1200" t="s">
        <v>1141</v>
      </c>
      <c r="D1200">
        <v>16.43</v>
      </c>
      <c r="E1200" t="s">
        <v>14</v>
      </c>
      <c r="F1200">
        <v>5699.46</v>
      </c>
      <c r="G1200" t="str" cm="1">
        <f t="array" ref="G1200">IF(AND(ISNUMBER(SEARCH("UBER",C1200)),ISNUMBER(SEARCH("EATS",C1200))),"Uber Eats",IF(LEFT(C1200,6)="CHECK ","Checks Paid",IF(OR(E1200="BILLPAY",ISNUMBER(SEARCH("FRANCHISE TAX",C1200)),ISNUMBER(SEARCH("NEXTLINK",C1200))),"Personal - House Bills",IF(AND(ISNUMBER(SEARCH("PAYMENT FROM",C1200)),ISNUMBER(SEARCH("JOE SAUNDERS",C1200))),"Zelle from Joe Saunders",IF(AND(ISNUMBER(SEARCH("PAYMENT TO",C1200)),ISNUMBER(SEARCH("JOE SAUNDERS",C1200))),"Zelle to Joe Saunders",IF(OR(ISNUMBER(SEARCH("NEW ORLEANS",C1200)),ISNUMBER(SEARCH("KENNER",C1200)),ISNUMBER(SEARCH("HENRY HOWARD",C1200)),ISNUMBER(SEARCH("MISS CLAUDIA",C1200))),"Personal Travel - New Orleans",IFERROR(INDEX('Category Rules'!$B$2:$B$194,MATCH(TRUE,ISNUMBER(SEARCH('Category Rules'!$A$2:$A$194,C1200)),0)),"")))))))</f>
        <v>Personal Travel</v>
      </c>
    </row>
    <row r="1201" spans="1:7" x14ac:dyDescent="0.25">
      <c r="A1201" t="s">
        <v>6</v>
      </c>
      <c r="B1201" s="1">
        <v>46048</v>
      </c>
      <c r="C1201" t="s">
        <v>1142</v>
      </c>
      <c r="D1201">
        <v>-10</v>
      </c>
      <c r="E1201" t="s">
        <v>14</v>
      </c>
      <c r="F1201">
        <v>5683.03</v>
      </c>
      <c r="G1201" t="str" cm="1">
        <f t="array" ref="G1201">IF(AND(ISNUMBER(SEARCH("UBER",C1201)),ISNUMBER(SEARCH("EATS",C1201))),"Uber Eats",IF(LEFT(C1201,6)="CHECK ","Checks Paid",IF(OR(E1201="BILLPAY",ISNUMBER(SEARCH("FRANCHISE TAX",C1201)),ISNUMBER(SEARCH("NEXTLINK",C1201))),"Personal - House Bills",IF(AND(ISNUMBER(SEARCH("PAYMENT FROM",C1201)),ISNUMBER(SEARCH("JOE SAUNDERS",C1201))),"Zelle from Joe Saunders",IF(AND(ISNUMBER(SEARCH("PAYMENT TO",C1201)),ISNUMBER(SEARCH("JOE SAUNDERS",C1201))),"Zelle to Joe Saunders",IF(OR(ISNUMBER(SEARCH("NEW ORLEANS",C1201)),ISNUMBER(SEARCH("KENNER",C1201)),ISNUMBER(SEARCH("HENRY HOWARD",C1201)),ISNUMBER(SEARCH("MISS CLAUDIA",C1201))),"Personal Travel - New Orleans",IFERROR(INDEX('Category Rules'!$B$2:$B$194,MATCH(TRUE,ISNUMBER(SEARCH('Category Rules'!$A$2:$A$194,C1201)),0)),"")))))))</f>
        <v>Personal - Uber</v>
      </c>
    </row>
    <row r="1202" spans="1:7" x14ac:dyDescent="0.25">
      <c r="A1202" t="s">
        <v>6</v>
      </c>
      <c r="B1202" s="1">
        <v>46048</v>
      </c>
      <c r="C1202" t="s">
        <v>1143</v>
      </c>
      <c r="D1202">
        <v>-83.41</v>
      </c>
      <c r="E1202" t="s">
        <v>14</v>
      </c>
      <c r="F1202">
        <v>5693.03</v>
      </c>
      <c r="G1202" t="str" cm="1">
        <f t="array" ref="G1202">IF(AND(ISNUMBER(SEARCH("UBER",C1202)),ISNUMBER(SEARCH("EATS",C1202))),"Uber Eats",IF(LEFT(C1202,6)="CHECK ","Checks Paid",IF(OR(E1202="BILLPAY",ISNUMBER(SEARCH("FRANCHISE TAX",C1202)),ISNUMBER(SEARCH("NEXTLINK",C1202))),"Personal - House Bills",IF(AND(ISNUMBER(SEARCH("PAYMENT FROM",C1202)),ISNUMBER(SEARCH("JOE SAUNDERS",C1202))),"Zelle from Joe Saunders",IF(AND(ISNUMBER(SEARCH("PAYMENT TO",C1202)),ISNUMBER(SEARCH("JOE SAUNDERS",C1202))),"Zelle to Joe Saunders",IF(OR(ISNUMBER(SEARCH("NEW ORLEANS",C1202)),ISNUMBER(SEARCH("KENNER",C1202)),ISNUMBER(SEARCH("HENRY HOWARD",C1202)),ISNUMBER(SEARCH("MISS CLAUDIA",C1202))),"Personal Travel - New Orleans",IFERROR(INDEX('Category Rules'!$B$2:$B$194,MATCH(TRUE,ISNUMBER(SEARCH('Category Rules'!$A$2:$A$194,C1202)),0)),"")))))))</f>
        <v>Amazon</v>
      </c>
    </row>
    <row r="1203" spans="1:7" x14ac:dyDescent="0.25">
      <c r="A1203" t="s">
        <v>6</v>
      </c>
      <c r="B1203" s="1">
        <v>46048</v>
      </c>
      <c r="C1203" t="s">
        <v>1144</v>
      </c>
      <c r="D1203">
        <v>-15</v>
      </c>
      <c r="E1203" t="s">
        <v>14</v>
      </c>
      <c r="F1203">
        <v>5776.44</v>
      </c>
      <c r="G1203" t="str" cm="1">
        <f t="array" ref="G1203">IF(AND(ISNUMBER(SEARCH("UBER",C1203)),ISNUMBER(SEARCH("EATS",C1203))),"Uber Eats",IF(LEFT(C1203,6)="CHECK ","Checks Paid",IF(OR(E1203="BILLPAY",ISNUMBER(SEARCH("FRANCHISE TAX",C1203)),ISNUMBER(SEARCH("NEXTLINK",C1203))),"Personal - House Bills",IF(AND(ISNUMBER(SEARCH("PAYMENT FROM",C1203)),ISNUMBER(SEARCH("JOE SAUNDERS",C1203))),"Zelle from Joe Saunders",IF(AND(ISNUMBER(SEARCH("PAYMENT TO",C1203)),ISNUMBER(SEARCH("JOE SAUNDERS",C1203))),"Zelle to Joe Saunders",IF(OR(ISNUMBER(SEARCH("NEW ORLEANS",C1203)),ISNUMBER(SEARCH("KENNER",C1203)),ISNUMBER(SEARCH("HENRY HOWARD",C1203)),ISNUMBER(SEARCH("MISS CLAUDIA",C1203))),"Personal Travel - New Orleans",IFERROR(INDEX('Category Rules'!$B$2:$B$194,MATCH(TRUE,ISNUMBER(SEARCH('Category Rules'!$A$2:$A$194,C1203)),0)),"")))))))</f>
        <v>Personal - Subscription</v>
      </c>
    </row>
    <row r="1204" spans="1:7" x14ac:dyDescent="0.25">
      <c r="A1204" t="s">
        <v>6</v>
      </c>
      <c r="B1204" s="1">
        <v>46048</v>
      </c>
      <c r="C1204" t="s">
        <v>1145</v>
      </c>
      <c r="D1204">
        <v>-16.45</v>
      </c>
      <c r="E1204" t="s">
        <v>14</v>
      </c>
      <c r="F1204">
        <v>5791.44</v>
      </c>
      <c r="G1204" t="str" cm="1">
        <f t="array" ref="G1204">IF(AND(ISNUMBER(SEARCH("UBER",C1204)),ISNUMBER(SEARCH("EATS",C1204))),"Uber Eats",IF(LEFT(C1204,6)="CHECK ","Checks Paid",IF(OR(E1204="BILLPAY",ISNUMBER(SEARCH("FRANCHISE TAX",C1204)),ISNUMBER(SEARCH("NEXTLINK",C1204))),"Personal - House Bills",IF(AND(ISNUMBER(SEARCH("PAYMENT FROM",C1204)),ISNUMBER(SEARCH("JOE SAUNDERS",C1204))),"Zelle from Joe Saunders",IF(AND(ISNUMBER(SEARCH("PAYMENT TO",C1204)),ISNUMBER(SEARCH("JOE SAUNDERS",C1204))),"Zelle to Joe Saunders",IF(OR(ISNUMBER(SEARCH("NEW ORLEANS",C1204)),ISNUMBER(SEARCH("KENNER",C1204)),ISNUMBER(SEARCH("HENRY HOWARD",C1204)),ISNUMBER(SEARCH("MISS CLAUDIA",C1204))),"Personal Travel - New Orleans",IFERROR(INDEX('Category Rules'!$B$2:$B$194,MATCH(TRUE,ISNUMBER(SEARCH('Category Rules'!$A$2:$A$194,C1204)),0)),"")))))))</f>
        <v>Amazon</v>
      </c>
    </row>
    <row r="1205" spans="1:7" x14ac:dyDescent="0.25">
      <c r="A1205" t="s">
        <v>6</v>
      </c>
      <c r="B1205" s="1">
        <v>46048</v>
      </c>
      <c r="C1205" t="s">
        <v>1146</v>
      </c>
      <c r="D1205">
        <v>-10</v>
      </c>
      <c r="E1205" t="s">
        <v>14</v>
      </c>
      <c r="F1205">
        <v>5807.89</v>
      </c>
      <c r="G1205" t="str" cm="1">
        <f t="array" ref="G1205">IF(AND(ISNUMBER(SEARCH("UBER",C1205)),ISNUMBER(SEARCH("EATS",C1205))),"Uber Eats",IF(LEFT(C1205,6)="CHECK ","Checks Paid",IF(OR(E1205="BILLPAY",ISNUMBER(SEARCH("FRANCHISE TAX",C1205)),ISNUMBER(SEARCH("NEXTLINK",C1205))),"Personal - House Bills",IF(AND(ISNUMBER(SEARCH("PAYMENT FROM",C1205)),ISNUMBER(SEARCH("JOE SAUNDERS",C1205))),"Zelle from Joe Saunders",IF(AND(ISNUMBER(SEARCH("PAYMENT TO",C1205)),ISNUMBER(SEARCH("JOE SAUNDERS",C1205))),"Zelle to Joe Saunders",IF(OR(ISNUMBER(SEARCH("NEW ORLEANS",C1205)),ISNUMBER(SEARCH("KENNER",C1205)),ISNUMBER(SEARCH("HENRY HOWARD",C1205)),ISNUMBER(SEARCH("MISS CLAUDIA",C1205))),"Personal Travel - New Orleans",IFERROR(INDEX('Category Rules'!$B$2:$B$194,MATCH(TRUE,ISNUMBER(SEARCH('Category Rules'!$A$2:$A$194,C1205)),0)),"")))))))</f>
        <v>Amazon</v>
      </c>
    </row>
    <row r="1206" spans="1:7" x14ac:dyDescent="0.25">
      <c r="A1206" t="s">
        <v>6</v>
      </c>
      <c r="B1206" s="1">
        <v>46048</v>
      </c>
      <c r="C1206" t="s">
        <v>1147</v>
      </c>
      <c r="D1206">
        <v>-572.98</v>
      </c>
      <c r="E1206" t="s">
        <v>14</v>
      </c>
      <c r="F1206">
        <v>5817.89</v>
      </c>
      <c r="G1206" t="str" cm="1">
        <f t="array" ref="G1206">IF(AND(ISNUMBER(SEARCH("UBER",C1206)),ISNUMBER(SEARCH("EATS",C1206))),"Uber Eats",IF(LEFT(C1206,6)="CHECK ","Checks Paid",IF(OR(E1206="BILLPAY",ISNUMBER(SEARCH("FRANCHISE TAX",C1206)),ISNUMBER(SEARCH("NEXTLINK",C1206))),"Personal - House Bills",IF(AND(ISNUMBER(SEARCH("PAYMENT FROM",C1206)),ISNUMBER(SEARCH("JOE SAUNDERS",C1206))),"Zelle from Joe Saunders",IF(AND(ISNUMBER(SEARCH("PAYMENT TO",C1206)),ISNUMBER(SEARCH("JOE SAUNDERS",C1206))),"Zelle to Joe Saunders",IF(OR(ISNUMBER(SEARCH("NEW ORLEANS",C1206)),ISNUMBER(SEARCH("KENNER",C1206)),ISNUMBER(SEARCH("HENRY HOWARD",C1206)),ISNUMBER(SEARCH("MISS CLAUDIA",C1206))),"Personal Travel - New Orleans",IFERROR(INDEX('Category Rules'!$B$2:$B$194,MATCH(TRUE,ISNUMBER(SEARCH('Category Rules'!$A$2:$A$194,C1206)),0)),"")))))))</f>
        <v>AT&amp;T</v>
      </c>
    </row>
    <row r="1207" spans="1:7" x14ac:dyDescent="0.25">
      <c r="A1207" t="s">
        <v>6</v>
      </c>
      <c r="B1207" s="1">
        <v>46048</v>
      </c>
      <c r="C1207" t="s">
        <v>1148</v>
      </c>
      <c r="D1207">
        <v>-424.6</v>
      </c>
      <c r="E1207" t="s">
        <v>14</v>
      </c>
      <c r="F1207">
        <v>6390.87</v>
      </c>
      <c r="G1207" t="str" cm="1">
        <f t="array" ref="G1207">IF(AND(ISNUMBER(SEARCH("UBER",C1207)),ISNUMBER(SEARCH("EATS",C1207))),"Uber Eats",IF(LEFT(C1207,6)="CHECK ","Checks Paid",IF(OR(E1207="BILLPAY",ISNUMBER(SEARCH("FRANCHISE TAX",C1207)),ISNUMBER(SEARCH("NEXTLINK",C1207))),"Personal - House Bills",IF(AND(ISNUMBER(SEARCH("PAYMENT FROM",C1207)),ISNUMBER(SEARCH("JOE SAUNDERS",C1207))),"Zelle from Joe Saunders",IF(AND(ISNUMBER(SEARCH("PAYMENT TO",C1207)),ISNUMBER(SEARCH("JOE SAUNDERS",C1207))),"Zelle to Joe Saunders",IF(OR(ISNUMBER(SEARCH("NEW ORLEANS",C1207)),ISNUMBER(SEARCH("KENNER",C1207)),ISNUMBER(SEARCH("HENRY HOWARD",C1207)),ISNUMBER(SEARCH("MISS CLAUDIA",C1207))),"Personal Travel - New Orleans",IFERROR(INDEX('Category Rules'!$B$2:$B$194,MATCH(TRUE,ISNUMBER(SEARCH('Category Rules'!$A$2:$A$194,C1207)),0)),"")))))))</f>
        <v>Personal - Shopping</v>
      </c>
    </row>
    <row r="1208" spans="1:7" x14ac:dyDescent="0.25">
      <c r="A1208" t="s">
        <v>6</v>
      </c>
      <c r="B1208" s="1">
        <v>46048</v>
      </c>
      <c r="C1208" t="s">
        <v>1149</v>
      </c>
      <c r="D1208">
        <v>-5.12</v>
      </c>
      <c r="E1208" t="s">
        <v>14</v>
      </c>
      <c r="F1208">
        <v>6815.47</v>
      </c>
      <c r="G1208" t="str" cm="1">
        <f t="array" ref="G1208">IF(AND(ISNUMBER(SEARCH("UBER",C1208)),ISNUMBER(SEARCH("EATS",C1208))),"Uber Eats",IF(LEFT(C1208,6)="CHECK ","Checks Paid",IF(OR(E1208="BILLPAY",ISNUMBER(SEARCH("FRANCHISE TAX",C1208)),ISNUMBER(SEARCH("NEXTLINK",C1208))),"Personal - House Bills",IF(AND(ISNUMBER(SEARCH("PAYMENT FROM",C1208)),ISNUMBER(SEARCH("JOE SAUNDERS",C1208))),"Zelle from Joe Saunders",IF(AND(ISNUMBER(SEARCH("PAYMENT TO",C1208)),ISNUMBER(SEARCH("JOE SAUNDERS",C1208))),"Zelle to Joe Saunders",IF(OR(ISNUMBER(SEARCH("NEW ORLEANS",C1208)),ISNUMBER(SEARCH("KENNER",C1208)),ISNUMBER(SEARCH("HENRY HOWARD",C1208)),ISNUMBER(SEARCH("MISS CLAUDIA",C1208))),"Personal Travel - New Orleans",IFERROR(INDEX('Category Rules'!$B$2:$B$194,MATCH(TRUE,ISNUMBER(SEARCH('Category Rules'!$A$2:$A$194,C1208)),0)),"")))))))</f>
        <v>Bank Fees</v>
      </c>
    </row>
    <row r="1209" spans="1:7" x14ac:dyDescent="0.25">
      <c r="A1209" t="s">
        <v>6</v>
      </c>
      <c r="B1209" s="1">
        <v>46048</v>
      </c>
      <c r="C1209" t="s">
        <v>1150</v>
      </c>
      <c r="D1209">
        <v>-205.68</v>
      </c>
      <c r="E1209" t="s">
        <v>14</v>
      </c>
      <c r="F1209">
        <v>6820.59</v>
      </c>
      <c r="G1209" t="str" cm="1">
        <f t="array" ref="G1209">IF(AND(ISNUMBER(SEARCH("UBER",C1209)),ISNUMBER(SEARCH("EATS",C1209))),"Uber Eats",IF(LEFT(C1209,6)="CHECK ","Checks Paid",IF(OR(E1209="BILLPAY",ISNUMBER(SEARCH("FRANCHISE TAX",C1209)),ISNUMBER(SEARCH("NEXTLINK",C1209))),"Personal - House Bills",IF(AND(ISNUMBER(SEARCH("PAYMENT FROM",C1209)),ISNUMBER(SEARCH("JOE SAUNDERS",C1209))),"Zelle from Joe Saunders",IF(AND(ISNUMBER(SEARCH("PAYMENT TO",C1209)),ISNUMBER(SEARCH("JOE SAUNDERS",C1209))),"Zelle to Joe Saunders",IF(OR(ISNUMBER(SEARCH("NEW ORLEANS",C1209)),ISNUMBER(SEARCH("KENNER",C1209)),ISNUMBER(SEARCH("HENRY HOWARD",C1209)),ISNUMBER(SEARCH("MISS CLAUDIA",C1209))),"Personal Travel - New Orleans",IFERROR(INDEX('Category Rules'!$B$2:$B$194,MATCH(TRUE,ISNUMBER(SEARCH('Category Rules'!$A$2:$A$194,C1209)),0)),"")))))))</f>
        <v>Personal - House Bills</v>
      </c>
    </row>
    <row r="1210" spans="1:7" x14ac:dyDescent="0.25">
      <c r="A1210" t="s">
        <v>6</v>
      </c>
      <c r="B1210" s="1">
        <v>46048</v>
      </c>
      <c r="C1210" t="s">
        <v>1151</v>
      </c>
      <c r="D1210">
        <v>-16.43</v>
      </c>
      <c r="E1210" t="s">
        <v>14</v>
      </c>
      <c r="F1210">
        <v>7026.27</v>
      </c>
      <c r="G1210" t="str" cm="1">
        <f t="array" ref="G1210">IF(AND(ISNUMBER(SEARCH("UBER",C1210)),ISNUMBER(SEARCH("EATS",C1210))),"Uber Eats",IF(LEFT(C1210,6)="CHECK ","Checks Paid",IF(OR(E1210="BILLPAY",ISNUMBER(SEARCH("FRANCHISE TAX",C1210)),ISNUMBER(SEARCH("NEXTLINK",C1210))),"Personal - House Bills",IF(AND(ISNUMBER(SEARCH("PAYMENT FROM",C1210)),ISNUMBER(SEARCH("JOE SAUNDERS",C1210))),"Zelle from Joe Saunders",IF(AND(ISNUMBER(SEARCH("PAYMENT TO",C1210)),ISNUMBER(SEARCH("JOE SAUNDERS",C1210))),"Zelle to Joe Saunders",IF(OR(ISNUMBER(SEARCH("NEW ORLEANS",C1210)),ISNUMBER(SEARCH("KENNER",C1210)),ISNUMBER(SEARCH("HENRY HOWARD",C1210)),ISNUMBER(SEARCH("MISS CLAUDIA",C1210))),"Personal Travel - New Orleans",IFERROR(INDEX('Category Rules'!$B$2:$B$194,MATCH(TRUE,ISNUMBER(SEARCH('Category Rules'!$A$2:$A$194,C1210)),0)),"")))))))</f>
        <v>Personal Travel</v>
      </c>
    </row>
    <row r="1211" spans="1:7" x14ac:dyDescent="0.25">
      <c r="A1211" t="s">
        <v>6</v>
      </c>
      <c r="B1211" s="1">
        <v>46048</v>
      </c>
      <c r="C1211" t="s">
        <v>1152</v>
      </c>
      <c r="D1211">
        <v>-10.99</v>
      </c>
      <c r="E1211" t="s">
        <v>14</v>
      </c>
      <c r="F1211">
        <v>7042.7</v>
      </c>
      <c r="G1211" t="str" cm="1">
        <f t="array" ref="G1211">IF(AND(ISNUMBER(SEARCH("UBER",C1211)),ISNUMBER(SEARCH("EATS",C1211))),"Uber Eats",IF(LEFT(C1211,6)="CHECK ","Checks Paid",IF(OR(E1211="BILLPAY",ISNUMBER(SEARCH("FRANCHISE TAX",C1211)),ISNUMBER(SEARCH("NEXTLINK",C1211))),"Personal - House Bills",IF(AND(ISNUMBER(SEARCH("PAYMENT FROM",C1211)),ISNUMBER(SEARCH("JOE SAUNDERS",C1211))),"Zelle from Joe Saunders",IF(AND(ISNUMBER(SEARCH("PAYMENT TO",C1211)),ISNUMBER(SEARCH("JOE SAUNDERS",C1211))),"Zelle to Joe Saunders",IF(OR(ISNUMBER(SEARCH("NEW ORLEANS",C1211)),ISNUMBER(SEARCH("KENNER",C1211)),ISNUMBER(SEARCH("HENRY HOWARD",C1211)),ISNUMBER(SEARCH("MISS CLAUDIA",C1211))),"Personal Travel - New Orleans",IFERROR(INDEX('Category Rules'!$B$2:$B$194,MATCH(TRUE,ISNUMBER(SEARCH('Category Rules'!$A$2:$A$194,C1211)),0)),"")))))))</f>
        <v>Apple</v>
      </c>
    </row>
    <row r="1212" spans="1:7" x14ac:dyDescent="0.25">
      <c r="A1212" t="s">
        <v>6</v>
      </c>
      <c r="B1212" s="1">
        <v>46048</v>
      </c>
      <c r="C1212" t="s">
        <v>1153</v>
      </c>
      <c r="D1212">
        <v>-149.11000000000001</v>
      </c>
      <c r="E1212" t="s">
        <v>14</v>
      </c>
      <c r="F1212">
        <v>7053.69</v>
      </c>
      <c r="G1212" t="str" cm="1">
        <f t="array" ref="G1212">IF(AND(ISNUMBER(SEARCH("UBER",C1212)),ISNUMBER(SEARCH("EATS",C1212))),"Uber Eats",IF(LEFT(C1212,6)="CHECK ","Checks Paid",IF(OR(E1212="BILLPAY",ISNUMBER(SEARCH("FRANCHISE TAX",C1212)),ISNUMBER(SEARCH("NEXTLINK",C1212))),"Personal - House Bills",IF(AND(ISNUMBER(SEARCH("PAYMENT FROM",C1212)),ISNUMBER(SEARCH("JOE SAUNDERS",C1212))),"Zelle from Joe Saunders",IF(AND(ISNUMBER(SEARCH("PAYMENT TO",C1212)),ISNUMBER(SEARCH("JOE SAUNDERS",C1212))),"Zelle to Joe Saunders",IF(OR(ISNUMBER(SEARCH("NEW ORLEANS",C1212)),ISNUMBER(SEARCH("KENNER",C1212)),ISNUMBER(SEARCH("HENRY HOWARD",C1212)),ISNUMBER(SEARCH("MISS CLAUDIA",C1212))),"Personal Travel - New Orleans",IFERROR(INDEX('Category Rules'!$B$2:$B$194,MATCH(TRUE,ISNUMBER(SEARCH('Category Rules'!$A$2:$A$194,C1212)),0)),"")))))))</f>
        <v>Personal - Food</v>
      </c>
    </row>
    <row r="1213" spans="1:7" x14ac:dyDescent="0.25">
      <c r="A1213" t="s">
        <v>6</v>
      </c>
      <c r="B1213" s="1">
        <v>46048</v>
      </c>
      <c r="C1213" t="s">
        <v>1154</v>
      </c>
      <c r="D1213">
        <v>-108.24</v>
      </c>
      <c r="E1213" t="s">
        <v>14</v>
      </c>
      <c r="F1213">
        <v>7202.8</v>
      </c>
      <c r="G1213" t="str" cm="1">
        <f t="array" ref="G1213">IF(AND(ISNUMBER(SEARCH("UBER",C1213)),ISNUMBER(SEARCH("EATS",C1213))),"Uber Eats",IF(LEFT(C1213,6)="CHECK ","Checks Paid",IF(OR(E1213="BILLPAY",ISNUMBER(SEARCH("FRANCHISE TAX",C1213)),ISNUMBER(SEARCH("NEXTLINK",C1213))),"Personal - House Bills",IF(AND(ISNUMBER(SEARCH("PAYMENT FROM",C1213)),ISNUMBER(SEARCH("JOE SAUNDERS",C1213))),"Zelle from Joe Saunders",IF(AND(ISNUMBER(SEARCH("PAYMENT TO",C1213)),ISNUMBER(SEARCH("JOE SAUNDERS",C1213))),"Zelle to Joe Saunders",IF(OR(ISNUMBER(SEARCH("NEW ORLEANS",C1213)),ISNUMBER(SEARCH("KENNER",C1213)),ISNUMBER(SEARCH("HENRY HOWARD",C1213)),ISNUMBER(SEARCH("MISS CLAUDIA",C1213))),"Personal Travel - New Orleans",IFERROR(INDEX('Category Rules'!$B$2:$B$194,MATCH(TRUE,ISNUMBER(SEARCH('Category Rules'!$A$2:$A$194,C1213)),0)),"")))))))</f>
        <v>Personal - Shopping</v>
      </c>
    </row>
    <row r="1214" spans="1:7" x14ac:dyDescent="0.25">
      <c r="A1214" t="s">
        <v>6</v>
      </c>
      <c r="B1214" s="1">
        <v>46048</v>
      </c>
      <c r="C1214" t="s">
        <v>1154</v>
      </c>
      <c r="D1214">
        <v>-534.44000000000005</v>
      </c>
      <c r="E1214" t="s">
        <v>14</v>
      </c>
      <c r="F1214">
        <v>7311.04</v>
      </c>
      <c r="G1214" t="str" cm="1">
        <f t="array" ref="G1214">IF(AND(ISNUMBER(SEARCH("UBER",C1214)),ISNUMBER(SEARCH("EATS",C1214))),"Uber Eats",IF(LEFT(C1214,6)="CHECK ","Checks Paid",IF(OR(E1214="BILLPAY",ISNUMBER(SEARCH("FRANCHISE TAX",C1214)),ISNUMBER(SEARCH("NEXTLINK",C1214))),"Personal - House Bills",IF(AND(ISNUMBER(SEARCH("PAYMENT FROM",C1214)),ISNUMBER(SEARCH("JOE SAUNDERS",C1214))),"Zelle from Joe Saunders",IF(AND(ISNUMBER(SEARCH("PAYMENT TO",C1214)),ISNUMBER(SEARCH("JOE SAUNDERS",C1214))),"Zelle to Joe Saunders",IF(OR(ISNUMBER(SEARCH("NEW ORLEANS",C1214)),ISNUMBER(SEARCH("KENNER",C1214)),ISNUMBER(SEARCH("HENRY HOWARD",C1214)),ISNUMBER(SEARCH("MISS CLAUDIA",C1214))),"Personal Travel - New Orleans",IFERROR(INDEX('Category Rules'!$B$2:$B$194,MATCH(TRUE,ISNUMBER(SEARCH('Category Rules'!$A$2:$A$194,C1214)),0)),"")))))))</f>
        <v>Personal - Shopping</v>
      </c>
    </row>
    <row r="1215" spans="1:7" x14ac:dyDescent="0.25">
      <c r="A1215" t="s">
        <v>6</v>
      </c>
      <c r="B1215" s="1">
        <v>46048</v>
      </c>
      <c r="C1215" t="s">
        <v>1155</v>
      </c>
      <c r="D1215">
        <v>-500</v>
      </c>
      <c r="E1215" t="s">
        <v>14</v>
      </c>
      <c r="F1215">
        <v>7845.48</v>
      </c>
      <c r="G1215" t="str" cm="1">
        <f t="array" ref="G1215">IF(AND(ISNUMBER(SEARCH("UBER",C1215)),ISNUMBER(SEARCH("EATS",C1215))),"Uber Eats",IF(LEFT(C1215,6)="CHECK ","Checks Paid",IF(OR(E1215="BILLPAY",ISNUMBER(SEARCH("FRANCHISE TAX",C1215)),ISNUMBER(SEARCH("NEXTLINK",C1215))),"Personal - House Bills",IF(AND(ISNUMBER(SEARCH("PAYMENT FROM",C1215)),ISNUMBER(SEARCH("JOE SAUNDERS",C1215))),"Zelle from Joe Saunders",IF(AND(ISNUMBER(SEARCH("PAYMENT TO",C1215)),ISNUMBER(SEARCH("JOE SAUNDERS",C1215))),"Zelle to Joe Saunders",IF(OR(ISNUMBER(SEARCH("NEW ORLEANS",C1215)),ISNUMBER(SEARCH("KENNER",C1215)),ISNUMBER(SEARCH("HENRY HOWARD",C1215)),ISNUMBER(SEARCH("MISS CLAUDIA",C1215))),"Personal Travel - New Orleans",IFERROR(INDEX('Category Rules'!$B$2:$B$194,MATCH(TRUE,ISNUMBER(SEARCH('Category Rules'!$A$2:$A$194,C1215)),0)),"")))))))</f>
        <v>Apple</v>
      </c>
    </row>
    <row r="1216" spans="1:7" x14ac:dyDescent="0.25">
      <c r="A1216" t="s">
        <v>6</v>
      </c>
      <c r="B1216" s="1">
        <v>46048</v>
      </c>
      <c r="C1216" t="s">
        <v>1156</v>
      </c>
      <c r="D1216">
        <v>-244.99</v>
      </c>
      <c r="E1216" t="s">
        <v>14</v>
      </c>
      <c r="F1216">
        <v>8345.48</v>
      </c>
      <c r="G1216" t="str" cm="1">
        <f t="array" ref="G1216">IF(AND(ISNUMBER(SEARCH("UBER",C1216)),ISNUMBER(SEARCH("EATS",C1216))),"Uber Eats",IF(LEFT(C1216,6)="CHECK ","Checks Paid",IF(OR(E1216="BILLPAY",ISNUMBER(SEARCH("FRANCHISE TAX",C1216)),ISNUMBER(SEARCH("NEXTLINK",C1216))),"Personal - House Bills",IF(AND(ISNUMBER(SEARCH("PAYMENT FROM",C1216)),ISNUMBER(SEARCH("JOE SAUNDERS",C1216))),"Zelle from Joe Saunders",IF(AND(ISNUMBER(SEARCH("PAYMENT TO",C1216)),ISNUMBER(SEARCH("JOE SAUNDERS",C1216))),"Zelle to Joe Saunders",IF(OR(ISNUMBER(SEARCH("NEW ORLEANS",C1216)),ISNUMBER(SEARCH("KENNER",C1216)),ISNUMBER(SEARCH("HENRY HOWARD",C1216)),ISNUMBER(SEARCH("MISS CLAUDIA",C1216))),"Personal Travel - New Orleans",IFERROR(INDEX('Category Rules'!$B$2:$B$194,MATCH(TRUE,ISNUMBER(SEARCH('Category Rules'!$A$2:$A$194,C1216)),0)),"")))))))</f>
        <v>Personal - Shopping</v>
      </c>
    </row>
    <row r="1217" spans="1:7" x14ac:dyDescent="0.25">
      <c r="A1217" t="s">
        <v>6</v>
      </c>
      <c r="B1217" s="1">
        <v>46045</v>
      </c>
      <c r="C1217" t="s">
        <v>1157</v>
      </c>
      <c r="D1217">
        <v>-119</v>
      </c>
      <c r="E1217" t="s">
        <v>14</v>
      </c>
      <c r="F1217">
        <v>8590.4699999999993</v>
      </c>
      <c r="G1217" t="str" cm="1">
        <f t="array" ref="G1217">IF(AND(ISNUMBER(SEARCH("UBER",C1217)),ISNUMBER(SEARCH("EATS",C1217))),"Uber Eats",IF(LEFT(C1217,6)="CHECK ","Checks Paid",IF(OR(E1217="BILLPAY",ISNUMBER(SEARCH("FRANCHISE TAX",C1217)),ISNUMBER(SEARCH("NEXTLINK",C1217))),"Personal - House Bills",IF(AND(ISNUMBER(SEARCH("PAYMENT FROM",C1217)),ISNUMBER(SEARCH("JOE SAUNDERS",C1217))),"Zelle from Joe Saunders",IF(AND(ISNUMBER(SEARCH("PAYMENT TO",C1217)),ISNUMBER(SEARCH("JOE SAUNDERS",C1217))),"Zelle to Joe Saunders",IF(OR(ISNUMBER(SEARCH("NEW ORLEANS",C1217)),ISNUMBER(SEARCH("KENNER",C1217)),ISNUMBER(SEARCH("HENRY HOWARD",C1217)),ISNUMBER(SEARCH("MISS CLAUDIA",C1217))),"Personal Travel - New Orleans",IFERROR(INDEX('Category Rules'!$B$2:$B$194,MATCH(TRUE,ISNUMBER(SEARCH('Category Rules'!$A$2:$A$194,C1217)),0)),"")))))))</f>
        <v>Personal - Subscription</v>
      </c>
    </row>
    <row r="1218" spans="1:7" x14ac:dyDescent="0.25">
      <c r="A1218" t="s">
        <v>6</v>
      </c>
      <c r="B1218" s="1">
        <v>46045</v>
      </c>
      <c r="C1218" t="s">
        <v>1158</v>
      </c>
      <c r="D1218">
        <v>-18.399999999999999</v>
      </c>
      <c r="E1218" t="s">
        <v>14</v>
      </c>
      <c r="F1218">
        <v>8709.4699999999993</v>
      </c>
      <c r="G1218" t="str" cm="1">
        <f t="array" ref="G1218">IF(AND(ISNUMBER(SEARCH("UBER",C1218)),ISNUMBER(SEARCH("EATS",C1218))),"Uber Eats",IF(LEFT(C1218,6)="CHECK ","Checks Paid",IF(OR(E1218="BILLPAY",ISNUMBER(SEARCH("FRANCHISE TAX",C1218)),ISNUMBER(SEARCH("NEXTLINK",C1218))),"Personal - House Bills",IF(AND(ISNUMBER(SEARCH("PAYMENT FROM",C1218)),ISNUMBER(SEARCH("JOE SAUNDERS",C1218))),"Zelle from Joe Saunders",IF(AND(ISNUMBER(SEARCH("PAYMENT TO",C1218)),ISNUMBER(SEARCH("JOE SAUNDERS",C1218))),"Zelle to Joe Saunders",IF(OR(ISNUMBER(SEARCH("NEW ORLEANS",C1218)),ISNUMBER(SEARCH("KENNER",C1218)),ISNUMBER(SEARCH("HENRY HOWARD",C1218)),ISNUMBER(SEARCH("MISS CLAUDIA",C1218))),"Personal Travel - New Orleans",IFERROR(INDEX('Category Rules'!$B$2:$B$194,MATCH(TRUE,ISNUMBER(SEARCH('Category Rules'!$A$2:$A$194,C1218)),0)),"")))))))</f>
        <v>Personal - Entertainment</v>
      </c>
    </row>
    <row r="1219" spans="1:7" x14ac:dyDescent="0.25">
      <c r="A1219" t="s">
        <v>6</v>
      </c>
      <c r="B1219" s="1">
        <v>46045</v>
      </c>
      <c r="C1219" t="s">
        <v>1159</v>
      </c>
      <c r="D1219">
        <v>-84.51</v>
      </c>
      <c r="E1219" t="s">
        <v>14</v>
      </c>
      <c r="F1219">
        <v>8727.8700000000008</v>
      </c>
      <c r="G1219" t="str" cm="1">
        <f t="array" ref="G1219">IF(AND(ISNUMBER(SEARCH("UBER",C1219)),ISNUMBER(SEARCH("EATS",C1219))),"Uber Eats",IF(LEFT(C1219,6)="CHECK ","Checks Paid",IF(OR(E1219="BILLPAY",ISNUMBER(SEARCH("FRANCHISE TAX",C1219)),ISNUMBER(SEARCH("NEXTLINK",C1219))),"Personal - House Bills",IF(AND(ISNUMBER(SEARCH("PAYMENT FROM",C1219)),ISNUMBER(SEARCH("JOE SAUNDERS",C1219))),"Zelle from Joe Saunders",IF(AND(ISNUMBER(SEARCH("PAYMENT TO",C1219)),ISNUMBER(SEARCH("JOE SAUNDERS",C1219))),"Zelle to Joe Saunders",IF(OR(ISNUMBER(SEARCH("NEW ORLEANS",C1219)),ISNUMBER(SEARCH("KENNER",C1219)),ISNUMBER(SEARCH("HENRY HOWARD",C1219)),ISNUMBER(SEARCH("MISS CLAUDIA",C1219))),"Personal Travel - New Orleans",IFERROR(INDEX('Category Rules'!$B$2:$B$194,MATCH(TRUE,ISNUMBER(SEARCH('Category Rules'!$A$2:$A$194,C1219)),0)),"")))))))</f>
        <v>Amazon</v>
      </c>
    </row>
    <row r="1220" spans="1:7" x14ac:dyDescent="0.25">
      <c r="A1220" t="s">
        <v>6</v>
      </c>
      <c r="B1220" s="1">
        <v>46045</v>
      </c>
      <c r="C1220" t="s">
        <v>1160</v>
      </c>
      <c r="D1220">
        <v>-191.85</v>
      </c>
      <c r="E1220" t="s">
        <v>14</v>
      </c>
      <c r="F1220">
        <v>8812.3799999999992</v>
      </c>
      <c r="G1220" t="str" cm="1">
        <f t="array" ref="G1220">IF(AND(ISNUMBER(SEARCH("UBER",C1220)),ISNUMBER(SEARCH("EATS",C1220))),"Uber Eats",IF(LEFT(C1220,6)="CHECK ","Checks Paid",IF(OR(E1220="BILLPAY",ISNUMBER(SEARCH("FRANCHISE TAX",C1220)),ISNUMBER(SEARCH("NEXTLINK",C1220))),"Personal - House Bills",IF(AND(ISNUMBER(SEARCH("PAYMENT FROM",C1220)),ISNUMBER(SEARCH("JOE SAUNDERS",C1220))),"Zelle from Joe Saunders",IF(AND(ISNUMBER(SEARCH("PAYMENT TO",C1220)),ISNUMBER(SEARCH("JOE SAUNDERS",C1220))),"Zelle to Joe Saunders",IF(OR(ISNUMBER(SEARCH("NEW ORLEANS",C1220)),ISNUMBER(SEARCH("KENNER",C1220)),ISNUMBER(SEARCH("HENRY HOWARD",C1220)),ISNUMBER(SEARCH("MISS CLAUDIA",C1220))),"Personal Travel - New Orleans",IFERROR(INDEX('Category Rules'!$B$2:$B$194,MATCH(TRUE,ISNUMBER(SEARCH('Category Rules'!$A$2:$A$194,C1220)),0)),"")))))))</f>
        <v>Amazon</v>
      </c>
    </row>
    <row r="1221" spans="1:7" x14ac:dyDescent="0.25">
      <c r="A1221" t="s">
        <v>6</v>
      </c>
      <c r="B1221" s="1">
        <v>46044</v>
      </c>
      <c r="C1221" t="s">
        <v>1161</v>
      </c>
      <c r="D1221">
        <v>-237.07</v>
      </c>
      <c r="E1221" t="s">
        <v>14</v>
      </c>
      <c r="F1221">
        <v>9004.23</v>
      </c>
      <c r="G1221" t="str" cm="1">
        <f t="array" ref="G1221">IF(AND(ISNUMBER(SEARCH("UBER",C1221)),ISNUMBER(SEARCH("EATS",C1221))),"Uber Eats",IF(LEFT(C1221,6)="CHECK ","Checks Paid",IF(OR(E1221="BILLPAY",ISNUMBER(SEARCH("FRANCHISE TAX",C1221)),ISNUMBER(SEARCH("NEXTLINK",C1221))),"Personal - House Bills",IF(AND(ISNUMBER(SEARCH("PAYMENT FROM",C1221)),ISNUMBER(SEARCH("JOE SAUNDERS",C1221))),"Zelle from Joe Saunders",IF(AND(ISNUMBER(SEARCH("PAYMENT TO",C1221)),ISNUMBER(SEARCH("JOE SAUNDERS",C1221))),"Zelle to Joe Saunders",IF(OR(ISNUMBER(SEARCH("NEW ORLEANS",C1221)),ISNUMBER(SEARCH("KENNER",C1221)),ISNUMBER(SEARCH("HENRY HOWARD",C1221)),ISNUMBER(SEARCH("MISS CLAUDIA",C1221))),"Personal Travel - New Orleans",IFERROR(INDEX('Category Rules'!$B$2:$B$194,MATCH(TRUE,ISNUMBER(SEARCH('Category Rules'!$A$2:$A$194,C1221)),0)),"")))))))</f>
        <v>Personal - Shopping</v>
      </c>
    </row>
    <row r="1222" spans="1:7" x14ac:dyDescent="0.25">
      <c r="A1222" t="s">
        <v>6</v>
      </c>
      <c r="B1222" s="1">
        <v>46044</v>
      </c>
      <c r="C1222" t="s">
        <v>1162</v>
      </c>
      <c r="D1222">
        <v>-40.479999999999997</v>
      </c>
      <c r="E1222" t="s">
        <v>14</v>
      </c>
      <c r="F1222">
        <v>9241.2999999999993</v>
      </c>
      <c r="G1222" t="str" cm="1">
        <f t="array" ref="G1222">IF(AND(ISNUMBER(SEARCH("UBER",C1222)),ISNUMBER(SEARCH("EATS",C1222))),"Uber Eats",IF(LEFT(C1222,6)="CHECK ","Checks Paid",IF(OR(E1222="BILLPAY",ISNUMBER(SEARCH("FRANCHISE TAX",C1222)),ISNUMBER(SEARCH("NEXTLINK",C1222))),"Personal - House Bills",IF(AND(ISNUMBER(SEARCH("PAYMENT FROM",C1222)),ISNUMBER(SEARCH("JOE SAUNDERS",C1222))),"Zelle from Joe Saunders",IF(AND(ISNUMBER(SEARCH("PAYMENT TO",C1222)),ISNUMBER(SEARCH("JOE SAUNDERS",C1222))),"Zelle to Joe Saunders",IF(OR(ISNUMBER(SEARCH("NEW ORLEANS",C1222)),ISNUMBER(SEARCH("KENNER",C1222)),ISNUMBER(SEARCH("HENRY HOWARD",C1222)),ISNUMBER(SEARCH("MISS CLAUDIA",C1222))),"Personal Travel - New Orleans",IFERROR(INDEX('Category Rules'!$B$2:$B$194,MATCH(TRUE,ISNUMBER(SEARCH('Category Rules'!$A$2:$A$194,C1222)),0)),"")))))))</f>
        <v>Personal - Car</v>
      </c>
    </row>
    <row r="1223" spans="1:7" x14ac:dyDescent="0.25">
      <c r="A1223" t="s">
        <v>6</v>
      </c>
      <c r="B1223" s="1">
        <v>46044</v>
      </c>
      <c r="C1223" t="s">
        <v>1163</v>
      </c>
      <c r="D1223">
        <v>-144.84</v>
      </c>
      <c r="E1223" t="s">
        <v>14</v>
      </c>
      <c r="F1223">
        <v>9281.7800000000007</v>
      </c>
      <c r="G1223" t="str" cm="1">
        <f t="array" ref="G1223">IF(AND(ISNUMBER(SEARCH("UBER",C1223)),ISNUMBER(SEARCH("EATS",C1223))),"Uber Eats",IF(LEFT(C1223,6)="CHECK ","Checks Paid",IF(OR(E1223="BILLPAY",ISNUMBER(SEARCH("FRANCHISE TAX",C1223)),ISNUMBER(SEARCH("NEXTLINK",C1223))),"Personal - House Bills",IF(AND(ISNUMBER(SEARCH("PAYMENT FROM",C1223)),ISNUMBER(SEARCH("JOE SAUNDERS",C1223))),"Zelle from Joe Saunders",IF(AND(ISNUMBER(SEARCH("PAYMENT TO",C1223)),ISNUMBER(SEARCH("JOE SAUNDERS",C1223))),"Zelle to Joe Saunders",IF(OR(ISNUMBER(SEARCH("NEW ORLEANS",C1223)),ISNUMBER(SEARCH("KENNER",C1223)),ISNUMBER(SEARCH("HENRY HOWARD",C1223)),ISNUMBER(SEARCH("MISS CLAUDIA",C1223))),"Personal Travel - New Orleans",IFERROR(INDEX('Category Rules'!$B$2:$B$194,MATCH(TRUE,ISNUMBER(SEARCH('Category Rules'!$A$2:$A$194,C1223)),0)),"")))))))</f>
        <v>Amazon</v>
      </c>
    </row>
    <row r="1224" spans="1:7" x14ac:dyDescent="0.25">
      <c r="A1224" t="s">
        <v>6</v>
      </c>
      <c r="B1224" s="1">
        <v>46044</v>
      </c>
      <c r="C1224" t="s">
        <v>1164</v>
      </c>
      <c r="D1224">
        <v>-24.95</v>
      </c>
      <c r="E1224" t="s">
        <v>14</v>
      </c>
      <c r="F1224">
        <v>9426.6200000000008</v>
      </c>
      <c r="G1224" t="str" cm="1">
        <f t="array" ref="G1224">IF(AND(ISNUMBER(SEARCH("UBER",C1224)),ISNUMBER(SEARCH("EATS",C1224))),"Uber Eats",IF(LEFT(C1224,6)="CHECK ","Checks Paid",IF(OR(E1224="BILLPAY",ISNUMBER(SEARCH("FRANCHISE TAX",C1224)),ISNUMBER(SEARCH("NEXTLINK",C1224))),"Personal - House Bills",IF(AND(ISNUMBER(SEARCH("PAYMENT FROM",C1224)),ISNUMBER(SEARCH("JOE SAUNDERS",C1224))),"Zelle from Joe Saunders",IF(AND(ISNUMBER(SEARCH("PAYMENT TO",C1224)),ISNUMBER(SEARCH("JOE SAUNDERS",C1224))),"Zelle to Joe Saunders",IF(OR(ISNUMBER(SEARCH("NEW ORLEANS",C1224)),ISNUMBER(SEARCH("KENNER",C1224)),ISNUMBER(SEARCH("HENRY HOWARD",C1224)),ISNUMBER(SEARCH("MISS CLAUDIA",C1224))),"Personal Travel - New Orleans",IFERROR(INDEX('Category Rules'!$B$2:$B$194,MATCH(TRUE,ISNUMBER(SEARCH('Category Rules'!$A$2:$A$194,C1224)),0)),"")))))))</f>
        <v>Amazon</v>
      </c>
    </row>
    <row r="1225" spans="1:7" x14ac:dyDescent="0.25">
      <c r="A1225" t="s">
        <v>6</v>
      </c>
      <c r="B1225" s="1">
        <v>46044</v>
      </c>
      <c r="C1225" t="s">
        <v>1165</v>
      </c>
      <c r="D1225">
        <v>-74.62</v>
      </c>
      <c r="E1225" t="s">
        <v>14</v>
      </c>
      <c r="F1225">
        <v>9451.57</v>
      </c>
      <c r="G1225" t="str" cm="1">
        <f t="array" ref="G1225">IF(AND(ISNUMBER(SEARCH("UBER",C1225)),ISNUMBER(SEARCH("EATS",C1225))),"Uber Eats",IF(LEFT(C1225,6)="CHECK ","Checks Paid",IF(OR(E1225="BILLPAY",ISNUMBER(SEARCH("FRANCHISE TAX",C1225)),ISNUMBER(SEARCH("NEXTLINK",C1225))),"Personal - House Bills",IF(AND(ISNUMBER(SEARCH("PAYMENT FROM",C1225)),ISNUMBER(SEARCH("JOE SAUNDERS",C1225))),"Zelle from Joe Saunders",IF(AND(ISNUMBER(SEARCH("PAYMENT TO",C1225)),ISNUMBER(SEARCH("JOE SAUNDERS",C1225))),"Zelle to Joe Saunders",IF(OR(ISNUMBER(SEARCH("NEW ORLEANS",C1225)),ISNUMBER(SEARCH("KENNER",C1225)),ISNUMBER(SEARCH("HENRY HOWARD",C1225)),ISNUMBER(SEARCH("MISS CLAUDIA",C1225))),"Personal Travel - New Orleans",IFERROR(INDEX('Category Rules'!$B$2:$B$194,MATCH(TRUE,ISNUMBER(SEARCH('Category Rules'!$A$2:$A$194,C1225)),0)),"")))))))</f>
        <v>Amazon</v>
      </c>
    </row>
    <row r="1226" spans="1:7" x14ac:dyDescent="0.25">
      <c r="A1226" t="s">
        <v>6</v>
      </c>
      <c r="B1226" s="1">
        <v>46044</v>
      </c>
      <c r="C1226" t="s">
        <v>1166</v>
      </c>
      <c r="D1226">
        <v>-57.21</v>
      </c>
      <c r="E1226" t="s">
        <v>14</v>
      </c>
      <c r="F1226">
        <v>9526.19</v>
      </c>
      <c r="G1226" t="str" cm="1">
        <f t="array" ref="G1226">IF(AND(ISNUMBER(SEARCH("UBER",C1226)),ISNUMBER(SEARCH("EATS",C1226))),"Uber Eats",IF(LEFT(C1226,6)="CHECK ","Checks Paid",IF(OR(E1226="BILLPAY",ISNUMBER(SEARCH("FRANCHISE TAX",C1226)),ISNUMBER(SEARCH("NEXTLINK",C1226))),"Personal - House Bills",IF(AND(ISNUMBER(SEARCH("PAYMENT FROM",C1226)),ISNUMBER(SEARCH("JOE SAUNDERS",C1226))),"Zelle from Joe Saunders",IF(AND(ISNUMBER(SEARCH("PAYMENT TO",C1226)),ISNUMBER(SEARCH("JOE SAUNDERS",C1226))),"Zelle to Joe Saunders",IF(OR(ISNUMBER(SEARCH("NEW ORLEANS",C1226)),ISNUMBER(SEARCH("KENNER",C1226)),ISNUMBER(SEARCH("HENRY HOWARD",C1226)),ISNUMBER(SEARCH("MISS CLAUDIA",C1226))),"Personal Travel - New Orleans",IFERROR(INDEX('Category Rules'!$B$2:$B$194,MATCH(TRUE,ISNUMBER(SEARCH('Category Rules'!$A$2:$A$194,C1226)),0)),"")))))))</f>
        <v>Amazon</v>
      </c>
    </row>
    <row r="1227" spans="1:7" x14ac:dyDescent="0.25">
      <c r="A1227" t="s">
        <v>6</v>
      </c>
      <c r="B1227" s="1">
        <v>46044</v>
      </c>
      <c r="C1227" t="s">
        <v>1167</v>
      </c>
      <c r="D1227">
        <v>-318.45999999999998</v>
      </c>
      <c r="E1227" t="s">
        <v>14</v>
      </c>
      <c r="F1227">
        <v>9583.4</v>
      </c>
      <c r="G1227" t="str" cm="1">
        <f t="array" ref="G1227">IF(AND(ISNUMBER(SEARCH("UBER",C1227)),ISNUMBER(SEARCH("EATS",C1227))),"Uber Eats",IF(LEFT(C1227,6)="CHECK ","Checks Paid",IF(OR(E1227="BILLPAY",ISNUMBER(SEARCH("FRANCHISE TAX",C1227)),ISNUMBER(SEARCH("NEXTLINK",C1227))),"Personal - House Bills",IF(AND(ISNUMBER(SEARCH("PAYMENT FROM",C1227)),ISNUMBER(SEARCH("JOE SAUNDERS",C1227))),"Zelle from Joe Saunders",IF(AND(ISNUMBER(SEARCH("PAYMENT TO",C1227)),ISNUMBER(SEARCH("JOE SAUNDERS",C1227))),"Zelle to Joe Saunders",IF(OR(ISNUMBER(SEARCH("NEW ORLEANS",C1227)),ISNUMBER(SEARCH("KENNER",C1227)),ISNUMBER(SEARCH("HENRY HOWARD",C1227)),ISNUMBER(SEARCH("MISS CLAUDIA",C1227))),"Personal Travel - New Orleans",IFERROR(INDEX('Category Rules'!$B$2:$B$194,MATCH(TRUE,ISNUMBER(SEARCH('Category Rules'!$A$2:$A$194,C1227)),0)),"")))))))</f>
        <v>Amazon</v>
      </c>
    </row>
    <row r="1228" spans="1:7" x14ac:dyDescent="0.25">
      <c r="A1228" t="s">
        <v>6</v>
      </c>
      <c r="B1228" s="1">
        <v>46043</v>
      </c>
      <c r="C1228" t="s">
        <v>1168</v>
      </c>
      <c r="D1228">
        <v>-220.69</v>
      </c>
      <c r="E1228" t="s">
        <v>14</v>
      </c>
      <c r="F1228">
        <v>9901.86</v>
      </c>
      <c r="G1228" t="str" cm="1">
        <f t="array" ref="G1228">IF(AND(ISNUMBER(SEARCH("UBER",C1228)),ISNUMBER(SEARCH("EATS",C1228))),"Uber Eats",IF(LEFT(C1228,6)="CHECK ","Checks Paid",IF(OR(E1228="BILLPAY",ISNUMBER(SEARCH("FRANCHISE TAX",C1228)),ISNUMBER(SEARCH("NEXTLINK",C1228))),"Personal - House Bills",IF(AND(ISNUMBER(SEARCH("PAYMENT FROM",C1228)),ISNUMBER(SEARCH("JOE SAUNDERS",C1228))),"Zelle from Joe Saunders",IF(AND(ISNUMBER(SEARCH("PAYMENT TO",C1228)),ISNUMBER(SEARCH("JOE SAUNDERS",C1228))),"Zelle to Joe Saunders",IF(OR(ISNUMBER(SEARCH("NEW ORLEANS",C1228)),ISNUMBER(SEARCH("KENNER",C1228)),ISNUMBER(SEARCH("HENRY HOWARD",C1228)),ISNUMBER(SEARCH("MISS CLAUDIA",C1228))),"Personal Travel - New Orleans",IFERROR(INDEX('Category Rules'!$B$2:$B$194,MATCH(TRUE,ISNUMBER(SEARCH('Category Rules'!$A$2:$A$194,C1228)),0)),"")))))))</f>
        <v>Personal - Shopping</v>
      </c>
    </row>
    <row r="1229" spans="1:7" x14ac:dyDescent="0.25">
      <c r="A1229" t="s">
        <v>6</v>
      </c>
      <c r="B1229" s="1">
        <v>46043</v>
      </c>
      <c r="C1229" t="s">
        <v>1169</v>
      </c>
      <c r="D1229">
        <v>-403.98</v>
      </c>
      <c r="E1229" t="s">
        <v>14</v>
      </c>
      <c r="F1229">
        <v>10122.549999999999</v>
      </c>
      <c r="G1229" t="str" cm="1">
        <f t="array" ref="G1229">IF(AND(ISNUMBER(SEARCH("UBER",C1229)),ISNUMBER(SEARCH("EATS",C1229))),"Uber Eats",IF(LEFT(C1229,6)="CHECK ","Checks Paid",IF(OR(E1229="BILLPAY",ISNUMBER(SEARCH("FRANCHISE TAX",C1229)),ISNUMBER(SEARCH("NEXTLINK",C1229))),"Personal - House Bills",IF(AND(ISNUMBER(SEARCH("PAYMENT FROM",C1229)),ISNUMBER(SEARCH("JOE SAUNDERS",C1229))),"Zelle from Joe Saunders",IF(AND(ISNUMBER(SEARCH("PAYMENT TO",C1229)),ISNUMBER(SEARCH("JOE SAUNDERS",C1229))),"Zelle to Joe Saunders",IF(OR(ISNUMBER(SEARCH("NEW ORLEANS",C1229)),ISNUMBER(SEARCH("KENNER",C1229)),ISNUMBER(SEARCH("HENRY HOWARD",C1229)),ISNUMBER(SEARCH("MISS CLAUDIA",C1229))),"Personal Travel - New Orleans",IFERROR(INDEX('Category Rules'!$B$2:$B$194,MATCH(TRUE,ISNUMBER(SEARCH('Category Rules'!$A$2:$A$194,C1229)),0)),"")))))))</f>
        <v>Personal - Shopping</v>
      </c>
    </row>
    <row r="1230" spans="1:7" x14ac:dyDescent="0.25">
      <c r="A1230" t="s">
        <v>6</v>
      </c>
      <c r="B1230" s="1">
        <v>46043</v>
      </c>
      <c r="C1230" t="s">
        <v>1170</v>
      </c>
      <c r="D1230">
        <v>-350</v>
      </c>
      <c r="E1230" t="s">
        <v>14</v>
      </c>
      <c r="F1230">
        <v>10526.53</v>
      </c>
      <c r="G1230" t="str" cm="1">
        <f t="array" ref="G1230">IF(AND(ISNUMBER(SEARCH("UBER",C1230)),ISNUMBER(SEARCH("EATS",C1230))),"Uber Eats",IF(LEFT(C1230,6)="CHECK ","Checks Paid",IF(OR(E1230="BILLPAY",ISNUMBER(SEARCH("FRANCHISE TAX",C1230)),ISNUMBER(SEARCH("NEXTLINK",C1230))),"Personal - House Bills",IF(AND(ISNUMBER(SEARCH("PAYMENT FROM",C1230)),ISNUMBER(SEARCH("JOE SAUNDERS",C1230))),"Zelle from Joe Saunders",IF(AND(ISNUMBER(SEARCH("PAYMENT TO",C1230)),ISNUMBER(SEARCH("JOE SAUNDERS",C1230))),"Zelle to Joe Saunders",IF(OR(ISNUMBER(SEARCH("NEW ORLEANS",C1230)),ISNUMBER(SEARCH("KENNER",C1230)),ISNUMBER(SEARCH("HENRY HOWARD",C1230)),ISNUMBER(SEARCH("MISS CLAUDIA",C1230))),"Personal Travel - New Orleans",IFERROR(INDEX('Category Rules'!$B$2:$B$194,MATCH(TRUE,ISNUMBER(SEARCH('Category Rules'!$A$2:$A$194,C1230)),0)),"")))))))</f>
        <v>Personal Travel</v>
      </c>
    </row>
    <row r="1231" spans="1:7" x14ac:dyDescent="0.25">
      <c r="A1231" t="s">
        <v>6</v>
      </c>
      <c r="B1231" s="1">
        <v>46043</v>
      </c>
      <c r="C1231" t="s">
        <v>1171</v>
      </c>
      <c r="D1231">
        <v>-23.71</v>
      </c>
      <c r="E1231" t="s">
        <v>14</v>
      </c>
      <c r="F1231">
        <v>10876.53</v>
      </c>
      <c r="G1231" t="str" cm="1">
        <f t="array" ref="G1231">IF(AND(ISNUMBER(SEARCH("UBER",C1231)),ISNUMBER(SEARCH("EATS",C1231))),"Uber Eats",IF(LEFT(C1231,6)="CHECK ","Checks Paid",IF(OR(E1231="BILLPAY",ISNUMBER(SEARCH("FRANCHISE TAX",C1231)),ISNUMBER(SEARCH("NEXTLINK",C1231))),"Personal - House Bills",IF(AND(ISNUMBER(SEARCH("PAYMENT FROM",C1231)),ISNUMBER(SEARCH("JOE SAUNDERS",C1231))),"Zelle from Joe Saunders",IF(AND(ISNUMBER(SEARCH("PAYMENT TO",C1231)),ISNUMBER(SEARCH("JOE SAUNDERS",C1231))),"Zelle to Joe Saunders",IF(OR(ISNUMBER(SEARCH("NEW ORLEANS",C1231)),ISNUMBER(SEARCH("KENNER",C1231)),ISNUMBER(SEARCH("HENRY HOWARD",C1231)),ISNUMBER(SEARCH("MISS CLAUDIA",C1231))),"Personal Travel - New Orleans",IFERROR(INDEX('Category Rules'!$B$2:$B$194,MATCH(TRUE,ISNUMBER(SEARCH('Category Rules'!$A$2:$A$194,C1231)),0)),"")))))))</f>
        <v>Personal - Food</v>
      </c>
    </row>
    <row r="1232" spans="1:7" x14ac:dyDescent="0.25">
      <c r="A1232" t="s">
        <v>6</v>
      </c>
      <c r="B1232" s="1">
        <v>46043</v>
      </c>
      <c r="C1232" t="s">
        <v>1172</v>
      </c>
      <c r="D1232">
        <v>-149.96</v>
      </c>
      <c r="E1232" t="s">
        <v>14</v>
      </c>
      <c r="F1232">
        <v>10900.24</v>
      </c>
      <c r="G1232" t="str" cm="1">
        <f t="array" ref="G1232">IF(AND(ISNUMBER(SEARCH("UBER",C1232)),ISNUMBER(SEARCH("EATS",C1232))),"Uber Eats",IF(LEFT(C1232,6)="CHECK ","Checks Paid",IF(OR(E1232="BILLPAY",ISNUMBER(SEARCH("FRANCHISE TAX",C1232)),ISNUMBER(SEARCH("NEXTLINK",C1232))),"Personal - House Bills",IF(AND(ISNUMBER(SEARCH("PAYMENT FROM",C1232)),ISNUMBER(SEARCH("JOE SAUNDERS",C1232))),"Zelle from Joe Saunders",IF(AND(ISNUMBER(SEARCH("PAYMENT TO",C1232)),ISNUMBER(SEARCH("JOE SAUNDERS",C1232))),"Zelle to Joe Saunders",IF(OR(ISNUMBER(SEARCH("NEW ORLEANS",C1232)),ISNUMBER(SEARCH("KENNER",C1232)),ISNUMBER(SEARCH("HENRY HOWARD",C1232)),ISNUMBER(SEARCH("MISS CLAUDIA",C1232))),"Personal Travel - New Orleans",IFERROR(INDEX('Category Rules'!$B$2:$B$194,MATCH(TRUE,ISNUMBER(SEARCH('Category Rules'!$A$2:$A$194,C1232)),0)),"")))))))</f>
        <v>Personal - House Bills</v>
      </c>
    </row>
    <row r="1233" spans="1:7" x14ac:dyDescent="0.25">
      <c r="A1233" t="s">
        <v>6</v>
      </c>
      <c r="B1233" s="1">
        <v>46043</v>
      </c>
      <c r="C1233" t="s">
        <v>1173</v>
      </c>
      <c r="D1233">
        <v>-48.98</v>
      </c>
      <c r="E1233" t="s">
        <v>14</v>
      </c>
      <c r="F1233">
        <v>11050.2</v>
      </c>
      <c r="G1233" t="str" cm="1">
        <f t="array" ref="G1233">IF(AND(ISNUMBER(SEARCH("UBER",C1233)),ISNUMBER(SEARCH("EATS",C1233))),"Uber Eats",IF(LEFT(C1233,6)="CHECK ","Checks Paid",IF(OR(E1233="BILLPAY",ISNUMBER(SEARCH("FRANCHISE TAX",C1233)),ISNUMBER(SEARCH("NEXTLINK",C1233))),"Personal - House Bills",IF(AND(ISNUMBER(SEARCH("PAYMENT FROM",C1233)),ISNUMBER(SEARCH("JOE SAUNDERS",C1233))),"Zelle from Joe Saunders",IF(AND(ISNUMBER(SEARCH("PAYMENT TO",C1233)),ISNUMBER(SEARCH("JOE SAUNDERS",C1233))),"Zelle to Joe Saunders",IF(OR(ISNUMBER(SEARCH("NEW ORLEANS",C1233)),ISNUMBER(SEARCH("KENNER",C1233)),ISNUMBER(SEARCH("HENRY HOWARD",C1233)),ISNUMBER(SEARCH("MISS CLAUDIA",C1233))),"Personal Travel - New Orleans",IFERROR(INDEX('Category Rules'!$B$2:$B$194,MATCH(TRUE,ISNUMBER(SEARCH('Category Rules'!$A$2:$A$194,C1233)),0)),"")))))))</f>
        <v>Amazon</v>
      </c>
    </row>
    <row r="1234" spans="1:7" x14ac:dyDescent="0.25">
      <c r="A1234" t="s">
        <v>6</v>
      </c>
      <c r="B1234" s="1">
        <v>46043</v>
      </c>
      <c r="C1234" t="s">
        <v>1174</v>
      </c>
      <c r="D1234">
        <v>-8.4</v>
      </c>
      <c r="E1234" t="s">
        <v>14</v>
      </c>
      <c r="F1234">
        <v>11099.18</v>
      </c>
      <c r="G1234" t="str" cm="1">
        <f t="array" ref="G1234">IF(AND(ISNUMBER(SEARCH("UBER",C1234)),ISNUMBER(SEARCH("EATS",C1234))),"Uber Eats",IF(LEFT(C1234,6)="CHECK ","Checks Paid",IF(OR(E1234="BILLPAY",ISNUMBER(SEARCH("FRANCHISE TAX",C1234)),ISNUMBER(SEARCH("NEXTLINK",C1234))),"Personal - House Bills",IF(AND(ISNUMBER(SEARCH("PAYMENT FROM",C1234)),ISNUMBER(SEARCH("JOE SAUNDERS",C1234))),"Zelle from Joe Saunders",IF(AND(ISNUMBER(SEARCH("PAYMENT TO",C1234)),ISNUMBER(SEARCH("JOE SAUNDERS",C1234))),"Zelle to Joe Saunders",IF(OR(ISNUMBER(SEARCH("NEW ORLEANS",C1234)),ISNUMBER(SEARCH("KENNER",C1234)),ISNUMBER(SEARCH("HENRY HOWARD",C1234)),ISNUMBER(SEARCH("MISS CLAUDIA",C1234))),"Personal Travel - New Orleans",IFERROR(INDEX('Category Rules'!$B$2:$B$194,MATCH(TRUE,ISNUMBER(SEARCH('Category Rules'!$A$2:$A$194,C1234)),0)),"")))))))</f>
        <v>Shipping</v>
      </c>
    </row>
    <row r="1235" spans="1:7" x14ac:dyDescent="0.25">
      <c r="A1235" t="s">
        <v>37</v>
      </c>
      <c r="B1235" s="1">
        <v>46043</v>
      </c>
      <c r="C1235" t="s">
        <v>1175</v>
      </c>
      <c r="D1235">
        <v>5000</v>
      </c>
      <c r="E1235" t="s">
        <v>39</v>
      </c>
      <c r="F1235">
        <v>11107.58</v>
      </c>
      <c r="G1235" t="str" cm="1">
        <f t="array" ref="G1235">IF(AND(ISNUMBER(SEARCH("UBER",C1235)),ISNUMBER(SEARCH("EATS",C1235))),"Uber Eats",IF(LEFT(C1235,6)="CHECK ","Checks Paid",IF(OR(E1235="BILLPAY",ISNUMBER(SEARCH("FRANCHISE TAX",C1235)),ISNUMBER(SEARCH("NEXTLINK",C1235))),"Personal - House Bills",IF(AND(ISNUMBER(SEARCH("PAYMENT FROM",C1235)),ISNUMBER(SEARCH("JOE SAUNDERS",C1235))),"Zelle from Joe Saunders",IF(AND(ISNUMBER(SEARCH("PAYMENT TO",C1235)),ISNUMBER(SEARCH("JOE SAUNDERS",C1235))),"Zelle to Joe Saunders",IF(OR(ISNUMBER(SEARCH("NEW ORLEANS",C1235)),ISNUMBER(SEARCH("KENNER",C1235)),ISNUMBER(SEARCH("HENRY HOWARD",C1235)),ISNUMBER(SEARCH("MISS CLAUDIA",C1235))),"Personal Travel - New Orleans",IFERROR(INDEX('Category Rules'!$B$2:$B$194,MATCH(TRUE,ISNUMBER(SEARCH('Category Rules'!$A$2:$A$194,C1235)),0)),"")))))))</f>
        <v>Transfer from DWG Capital Group</v>
      </c>
    </row>
    <row r="1236" spans="1:7" x14ac:dyDescent="0.25">
      <c r="A1236" t="s">
        <v>37</v>
      </c>
      <c r="B1236" s="1">
        <v>46043</v>
      </c>
      <c r="C1236" t="s">
        <v>1176</v>
      </c>
      <c r="D1236">
        <v>5000</v>
      </c>
      <c r="E1236" t="s">
        <v>39</v>
      </c>
      <c r="F1236">
        <v>6107.58</v>
      </c>
      <c r="G1236" t="str" cm="1">
        <f t="array" ref="G1236">IF(AND(ISNUMBER(SEARCH("UBER",C1236)),ISNUMBER(SEARCH("EATS",C1236))),"Uber Eats",IF(LEFT(C1236,6)="CHECK ","Checks Paid",IF(OR(E1236="BILLPAY",ISNUMBER(SEARCH("FRANCHISE TAX",C1236)),ISNUMBER(SEARCH("NEXTLINK",C1236))),"Personal - House Bills",IF(AND(ISNUMBER(SEARCH("PAYMENT FROM",C1236)),ISNUMBER(SEARCH("JOE SAUNDERS",C1236))),"Zelle from Joe Saunders",IF(AND(ISNUMBER(SEARCH("PAYMENT TO",C1236)),ISNUMBER(SEARCH("JOE SAUNDERS",C1236))),"Zelle to Joe Saunders",IF(OR(ISNUMBER(SEARCH("NEW ORLEANS",C1236)),ISNUMBER(SEARCH("KENNER",C1236)),ISNUMBER(SEARCH("HENRY HOWARD",C1236)),ISNUMBER(SEARCH("MISS CLAUDIA",C1236))),"Personal Travel - New Orleans",IFERROR(INDEX('Category Rules'!$B$2:$B$194,MATCH(TRUE,ISNUMBER(SEARCH('Category Rules'!$A$2:$A$194,C1236)),0)),"")))))))</f>
        <v>Transfer from DWG Capital Group</v>
      </c>
    </row>
    <row r="1237" spans="1:7" x14ac:dyDescent="0.25">
      <c r="A1237" t="s">
        <v>6</v>
      </c>
      <c r="B1237" s="1">
        <v>46043</v>
      </c>
      <c r="C1237" t="s">
        <v>1177</v>
      </c>
      <c r="D1237">
        <v>891.45</v>
      </c>
      <c r="E1237" t="s">
        <v>14</v>
      </c>
      <c r="F1237">
        <v>1107.58</v>
      </c>
      <c r="G1237" t="str" cm="1">
        <f t="array" ref="G1237">IF(AND(ISNUMBER(SEARCH("UBER",C1237)),ISNUMBER(SEARCH("EATS",C1237))),"Uber Eats",IF(LEFT(C1237,6)="CHECK ","Checks Paid",IF(OR(E1237="BILLPAY",ISNUMBER(SEARCH("FRANCHISE TAX",C1237)),ISNUMBER(SEARCH("NEXTLINK",C1237))),"Personal - House Bills",IF(AND(ISNUMBER(SEARCH("PAYMENT FROM",C1237)),ISNUMBER(SEARCH("JOE SAUNDERS",C1237))),"Zelle from Joe Saunders",IF(AND(ISNUMBER(SEARCH("PAYMENT TO",C1237)),ISNUMBER(SEARCH("JOE SAUNDERS",C1237))),"Zelle to Joe Saunders",IF(OR(ISNUMBER(SEARCH("NEW ORLEANS",C1237)),ISNUMBER(SEARCH("KENNER",C1237)),ISNUMBER(SEARCH("HENRY HOWARD",C1237)),ISNUMBER(SEARCH("MISS CLAUDIA",C1237))),"Personal Travel - New Orleans",IFERROR(INDEX('Category Rules'!$B$2:$B$194,MATCH(TRUE,ISNUMBER(SEARCH('Category Rules'!$A$2:$A$194,C1237)),0)),"")))))))</f>
        <v>Personal Travel</v>
      </c>
    </row>
    <row r="1238" spans="1:7" x14ac:dyDescent="0.25">
      <c r="A1238" t="s">
        <v>6</v>
      </c>
      <c r="B1238" s="1">
        <v>46042</v>
      </c>
      <c r="C1238" t="s">
        <v>1178</v>
      </c>
      <c r="D1238">
        <v>-350.73</v>
      </c>
      <c r="E1238" t="s">
        <v>14</v>
      </c>
      <c r="F1238">
        <v>216.13</v>
      </c>
      <c r="G1238" t="str" cm="1">
        <f t="array" ref="G1238">IF(AND(ISNUMBER(SEARCH("UBER",C1238)),ISNUMBER(SEARCH("EATS",C1238))),"Uber Eats",IF(LEFT(C1238,6)="CHECK ","Checks Paid",IF(OR(E1238="BILLPAY",ISNUMBER(SEARCH("FRANCHISE TAX",C1238)),ISNUMBER(SEARCH("NEXTLINK",C1238))),"Personal - House Bills",IF(AND(ISNUMBER(SEARCH("PAYMENT FROM",C1238)),ISNUMBER(SEARCH("JOE SAUNDERS",C1238))),"Zelle from Joe Saunders",IF(AND(ISNUMBER(SEARCH("PAYMENT TO",C1238)),ISNUMBER(SEARCH("JOE SAUNDERS",C1238))),"Zelle to Joe Saunders",IF(OR(ISNUMBER(SEARCH("NEW ORLEANS",C1238)),ISNUMBER(SEARCH("KENNER",C1238)),ISNUMBER(SEARCH("HENRY HOWARD",C1238)),ISNUMBER(SEARCH("MISS CLAUDIA",C1238))),"Personal Travel - New Orleans",IFERROR(INDEX('Category Rules'!$B$2:$B$194,MATCH(TRUE,ISNUMBER(SEARCH('Category Rules'!$A$2:$A$194,C1238)),0)),"")))))))</f>
        <v>Personal - Food</v>
      </c>
    </row>
    <row r="1239" spans="1:7" x14ac:dyDescent="0.25">
      <c r="A1239" t="s">
        <v>6</v>
      </c>
      <c r="B1239" s="1">
        <v>46042</v>
      </c>
      <c r="C1239" t="s">
        <v>1179</v>
      </c>
      <c r="D1239">
        <v>-186.4</v>
      </c>
      <c r="E1239" t="s">
        <v>14</v>
      </c>
      <c r="F1239">
        <v>566.86</v>
      </c>
      <c r="G1239" t="str" cm="1">
        <f t="array" ref="G1239">IF(AND(ISNUMBER(SEARCH("UBER",C1239)),ISNUMBER(SEARCH("EATS",C1239))),"Uber Eats",IF(LEFT(C1239,6)="CHECK ","Checks Paid",IF(OR(E1239="BILLPAY",ISNUMBER(SEARCH("FRANCHISE TAX",C1239)),ISNUMBER(SEARCH("NEXTLINK",C1239))),"Personal - House Bills",IF(AND(ISNUMBER(SEARCH("PAYMENT FROM",C1239)),ISNUMBER(SEARCH("JOE SAUNDERS",C1239))),"Zelle from Joe Saunders",IF(AND(ISNUMBER(SEARCH("PAYMENT TO",C1239)),ISNUMBER(SEARCH("JOE SAUNDERS",C1239))),"Zelle to Joe Saunders",IF(OR(ISNUMBER(SEARCH("NEW ORLEANS",C1239)),ISNUMBER(SEARCH("KENNER",C1239)),ISNUMBER(SEARCH("HENRY HOWARD",C1239)),ISNUMBER(SEARCH("MISS CLAUDIA",C1239))),"Personal Travel - New Orleans",IFERROR(INDEX('Category Rules'!$B$2:$B$194,MATCH(TRUE,ISNUMBER(SEARCH('Category Rules'!$A$2:$A$194,C1239)),0)),"")))))))</f>
        <v>Personal - Shopping</v>
      </c>
    </row>
    <row r="1240" spans="1:7" x14ac:dyDescent="0.25">
      <c r="A1240" t="s">
        <v>6</v>
      </c>
      <c r="B1240" s="1">
        <v>46042</v>
      </c>
      <c r="C1240" t="s">
        <v>1180</v>
      </c>
      <c r="D1240">
        <v>-11.99</v>
      </c>
      <c r="E1240" t="s">
        <v>14</v>
      </c>
      <c r="F1240">
        <v>753.26</v>
      </c>
      <c r="G1240" t="str" cm="1">
        <f t="array" ref="G1240">IF(AND(ISNUMBER(SEARCH("UBER",C1240)),ISNUMBER(SEARCH("EATS",C1240))),"Uber Eats",IF(LEFT(C1240,6)="CHECK ","Checks Paid",IF(OR(E1240="BILLPAY",ISNUMBER(SEARCH("FRANCHISE TAX",C1240)),ISNUMBER(SEARCH("NEXTLINK",C1240))),"Personal - House Bills",IF(AND(ISNUMBER(SEARCH("PAYMENT FROM",C1240)),ISNUMBER(SEARCH("JOE SAUNDERS",C1240))),"Zelle from Joe Saunders",IF(AND(ISNUMBER(SEARCH("PAYMENT TO",C1240)),ISNUMBER(SEARCH("JOE SAUNDERS",C1240))),"Zelle to Joe Saunders",IF(OR(ISNUMBER(SEARCH("NEW ORLEANS",C1240)),ISNUMBER(SEARCH("KENNER",C1240)),ISNUMBER(SEARCH("HENRY HOWARD",C1240)),ISNUMBER(SEARCH("MISS CLAUDIA",C1240))),"Personal Travel - New Orleans",IFERROR(INDEX('Category Rules'!$B$2:$B$194,MATCH(TRUE,ISNUMBER(SEARCH('Category Rules'!$A$2:$A$194,C1240)),0)),"")))))))</f>
        <v>Personal - Subscription</v>
      </c>
    </row>
    <row r="1241" spans="1:7" x14ac:dyDescent="0.25">
      <c r="A1241" t="s">
        <v>6</v>
      </c>
      <c r="B1241" s="1">
        <v>46042</v>
      </c>
      <c r="C1241" t="s">
        <v>1181</v>
      </c>
      <c r="D1241">
        <v>-25.95</v>
      </c>
      <c r="E1241" t="s">
        <v>14</v>
      </c>
      <c r="F1241">
        <v>765.25</v>
      </c>
      <c r="G1241" t="str" cm="1">
        <f t="array" ref="G1241">IF(AND(ISNUMBER(SEARCH("UBER",C1241)),ISNUMBER(SEARCH("EATS",C1241))),"Uber Eats",IF(LEFT(C1241,6)="CHECK ","Checks Paid",IF(OR(E1241="BILLPAY",ISNUMBER(SEARCH("FRANCHISE TAX",C1241)),ISNUMBER(SEARCH("NEXTLINK",C1241))),"Personal - House Bills",IF(AND(ISNUMBER(SEARCH("PAYMENT FROM",C1241)),ISNUMBER(SEARCH("JOE SAUNDERS",C1241))),"Zelle from Joe Saunders",IF(AND(ISNUMBER(SEARCH("PAYMENT TO",C1241)),ISNUMBER(SEARCH("JOE SAUNDERS",C1241))),"Zelle to Joe Saunders",IF(OR(ISNUMBER(SEARCH("NEW ORLEANS",C1241)),ISNUMBER(SEARCH("KENNER",C1241)),ISNUMBER(SEARCH("HENRY HOWARD",C1241)),ISNUMBER(SEARCH("MISS CLAUDIA",C1241))),"Personal Travel - New Orleans",IFERROR(INDEX('Category Rules'!$B$2:$B$194,MATCH(TRUE,ISNUMBER(SEARCH('Category Rules'!$A$2:$A$194,C1241)),0)),"")))))))</f>
        <v>Personal - Entertainment</v>
      </c>
    </row>
    <row r="1242" spans="1:7" x14ac:dyDescent="0.25">
      <c r="A1242" t="s">
        <v>6</v>
      </c>
      <c r="B1242" s="1">
        <v>46042</v>
      </c>
      <c r="C1242" t="s">
        <v>1182</v>
      </c>
      <c r="D1242">
        <v>-9.0399999999999991</v>
      </c>
      <c r="E1242" t="s">
        <v>14</v>
      </c>
      <c r="F1242">
        <v>791.2</v>
      </c>
      <c r="G1242" t="str" cm="1">
        <f t="array" ref="G1242">IF(AND(ISNUMBER(SEARCH("UBER",C1242)),ISNUMBER(SEARCH("EATS",C1242))),"Uber Eats",IF(LEFT(C1242,6)="CHECK ","Checks Paid",IF(OR(E1242="BILLPAY",ISNUMBER(SEARCH("FRANCHISE TAX",C1242)),ISNUMBER(SEARCH("NEXTLINK",C1242))),"Personal - House Bills",IF(AND(ISNUMBER(SEARCH("PAYMENT FROM",C1242)),ISNUMBER(SEARCH("JOE SAUNDERS",C1242))),"Zelle from Joe Saunders",IF(AND(ISNUMBER(SEARCH("PAYMENT TO",C1242)),ISNUMBER(SEARCH("JOE SAUNDERS",C1242))),"Zelle to Joe Saunders",IF(OR(ISNUMBER(SEARCH("NEW ORLEANS",C1242)),ISNUMBER(SEARCH("KENNER",C1242)),ISNUMBER(SEARCH("HENRY HOWARD",C1242)),ISNUMBER(SEARCH("MISS CLAUDIA",C1242))),"Personal Travel - New Orleans",IFERROR(INDEX('Category Rules'!$B$2:$B$194,MATCH(TRUE,ISNUMBER(SEARCH('Category Rules'!$A$2:$A$194,C1242)),0)),"")))))))</f>
        <v>Amazon</v>
      </c>
    </row>
    <row r="1243" spans="1:7" x14ac:dyDescent="0.25">
      <c r="A1243" t="s">
        <v>6</v>
      </c>
      <c r="B1243" s="1">
        <v>46042</v>
      </c>
      <c r="C1243" t="s">
        <v>1183</v>
      </c>
      <c r="D1243">
        <v>-700</v>
      </c>
      <c r="E1243" t="s">
        <v>176</v>
      </c>
      <c r="F1243">
        <v>800.24</v>
      </c>
      <c r="G1243" t="str" cm="1">
        <f t="array" ref="G1243">IF(AND(ISNUMBER(SEARCH("UBER",C1243)),ISNUMBER(SEARCH("EATS",C1243))),"Uber Eats",IF(LEFT(C1243,6)="CHECK ","Checks Paid",IF(OR(E1243="BILLPAY",ISNUMBER(SEARCH("FRANCHISE TAX",C1243)),ISNUMBER(SEARCH("NEXTLINK",C1243))),"Personal - House Bills",IF(AND(ISNUMBER(SEARCH("PAYMENT FROM",C1243)),ISNUMBER(SEARCH("JOE SAUNDERS",C1243))),"Zelle from Joe Saunders",IF(AND(ISNUMBER(SEARCH("PAYMENT TO",C1243)),ISNUMBER(SEARCH("JOE SAUNDERS",C1243))),"Zelle to Joe Saunders",IF(OR(ISNUMBER(SEARCH("NEW ORLEANS",C1243)),ISNUMBER(SEARCH("KENNER",C1243)),ISNUMBER(SEARCH("HENRY HOWARD",C1243)),ISNUMBER(SEARCH("MISS CLAUDIA",C1243))),"Personal Travel - New Orleans",IFERROR(INDEX('Category Rules'!$B$2:$B$194,MATCH(TRUE,ISNUMBER(SEARCH('Category Rules'!$A$2:$A$194,C1243)),0)),"")))))))</f>
        <v>Zelle-Leelee</v>
      </c>
    </row>
    <row r="1244" spans="1:7" x14ac:dyDescent="0.25">
      <c r="A1244" t="s">
        <v>6</v>
      </c>
      <c r="B1244" s="1">
        <v>46042</v>
      </c>
      <c r="C1244" t="s">
        <v>1184</v>
      </c>
      <c r="D1244">
        <v>-322.98</v>
      </c>
      <c r="E1244" t="s">
        <v>14</v>
      </c>
      <c r="F1244">
        <v>1500.24</v>
      </c>
      <c r="G1244" t="str" cm="1">
        <f t="array" ref="G1244">IF(AND(ISNUMBER(SEARCH("UBER",C1244)),ISNUMBER(SEARCH("EATS",C1244))),"Uber Eats",IF(LEFT(C1244,6)="CHECK ","Checks Paid",IF(OR(E1244="BILLPAY",ISNUMBER(SEARCH("FRANCHISE TAX",C1244)),ISNUMBER(SEARCH("NEXTLINK",C1244))),"Personal - House Bills",IF(AND(ISNUMBER(SEARCH("PAYMENT FROM",C1244)),ISNUMBER(SEARCH("JOE SAUNDERS",C1244))),"Zelle from Joe Saunders",IF(AND(ISNUMBER(SEARCH("PAYMENT TO",C1244)),ISNUMBER(SEARCH("JOE SAUNDERS",C1244))),"Zelle to Joe Saunders",IF(OR(ISNUMBER(SEARCH("NEW ORLEANS",C1244)),ISNUMBER(SEARCH("KENNER",C1244)),ISNUMBER(SEARCH("HENRY HOWARD",C1244)),ISNUMBER(SEARCH("MISS CLAUDIA",C1244))),"Personal Travel - New Orleans",IFERROR(INDEX('Category Rules'!$B$2:$B$194,MATCH(TRUE,ISNUMBER(SEARCH('Category Rules'!$A$2:$A$194,C1244)),0)),"")))))))</f>
        <v>Personal - Food</v>
      </c>
    </row>
    <row r="1245" spans="1:7" x14ac:dyDescent="0.25">
      <c r="A1245" t="s">
        <v>6</v>
      </c>
      <c r="B1245" s="1">
        <v>46042</v>
      </c>
      <c r="C1245" t="s">
        <v>1185</v>
      </c>
      <c r="D1245">
        <v>-540.04</v>
      </c>
      <c r="E1245" t="s">
        <v>14</v>
      </c>
      <c r="F1245">
        <v>1823.22</v>
      </c>
      <c r="G1245" t="str" cm="1">
        <f t="array" ref="G1245">IF(AND(ISNUMBER(SEARCH("UBER",C1245)),ISNUMBER(SEARCH("EATS",C1245))),"Uber Eats",IF(LEFT(C1245,6)="CHECK ","Checks Paid",IF(OR(E1245="BILLPAY",ISNUMBER(SEARCH("FRANCHISE TAX",C1245)),ISNUMBER(SEARCH("NEXTLINK",C1245))),"Personal - House Bills",IF(AND(ISNUMBER(SEARCH("PAYMENT FROM",C1245)),ISNUMBER(SEARCH("JOE SAUNDERS",C1245))),"Zelle from Joe Saunders",IF(AND(ISNUMBER(SEARCH("PAYMENT TO",C1245)),ISNUMBER(SEARCH("JOE SAUNDERS",C1245))),"Zelle to Joe Saunders",IF(OR(ISNUMBER(SEARCH("NEW ORLEANS",C1245)),ISNUMBER(SEARCH("KENNER",C1245)),ISNUMBER(SEARCH("HENRY HOWARD",C1245)),ISNUMBER(SEARCH("MISS CLAUDIA",C1245))),"Personal Travel - New Orleans",IFERROR(INDEX('Category Rules'!$B$2:$B$194,MATCH(TRUE,ISNUMBER(SEARCH('Category Rules'!$A$2:$A$194,C1245)),0)),"")))))))</f>
        <v>Personal - Food</v>
      </c>
    </row>
    <row r="1246" spans="1:7" x14ac:dyDescent="0.25">
      <c r="A1246" t="s">
        <v>6</v>
      </c>
      <c r="B1246" s="1">
        <v>46042</v>
      </c>
      <c r="C1246" t="s">
        <v>1186</v>
      </c>
      <c r="D1246">
        <v>-54.45</v>
      </c>
      <c r="E1246" t="s">
        <v>14</v>
      </c>
      <c r="F1246">
        <v>2363.2600000000002</v>
      </c>
      <c r="G1246" t="str" cm="1">
        <f t="array" ref="G1246">IF(AND(ISNUMBER(SEARCH("UBER",C1246)),ISNUMBER(SEARCH("EATS",C1246))),"Uber Eats",IF(LEFT(C1246,6)="CHECK ","Checks Paid",IF(OR(E1246="BILLPAY",ISNUMBER(SEARCH("FRANCHISE TAX",C1246)),ISNUMBER(SEARCH("NEXTLINK",C1246))),"Personal - House Bills",IF(AND(ISNUMBER(SEARCH("PAYMENT FROM",C1246)),ISNUMBER(SEARCH("JOE SAUNDERS",C1246))),"Zelle from Joe Saunders",IF(AND(ISNUMBER(SEARCH("PAYMENT TO",C1246)),ISNUMBER(SEARCH("JOE SAUNDERS",C1246))),"Zelle to Joe Saunders",IF(OR(ISNUMBER(SEARCH("NEW ORLEANS",C1246)),ISNUMBER(SEARCH("KENNER",C1246)),ISNUMBER(SEARCH("HENRY HOWARD",C1246)),ISNUMBER(SEARCH("MISS CLAUDIA",C1246))),"Personal Travel - New Orleans",IFERROR(INDEX('Category Rules'!$B$2:$B$194,MATCH(TRUE,ISNUMBER(SEARCH('Category Rules'!$A$2:$A$194,C1246)),0)),"")))))))</f>
        <v>Personal - Car</v>
      </c>
    </row>
    <row r="1247" spans="1:7" x14ac:dyDescent="0.25">
      <c r="A1247" t="s">
        <v>6</v>
      </c>
      <c r="B1247" s="1">
        <v>46042</v>
      </c>
      <c r="C1247" t="s">
        <v>1187</v>
      </c>
      <c r="D1247">
        <v>-89.75</v>
      </c>
      <c r="E1247" t="s">
        <v>14</v>
      </c>
      <c r="F1247">
        <v>2417.71</v>
      </c>
      <c r="G1247" t="s">
        <v>1309</v>
      </c>
    </row>
    <row r="1248" spans="1:7" x14ac:dyDescent="0.25">
      <c r="A1248" t="s">
        <v>6</v>
      </c>
      <c r="B1248" s="1">
        <v>46042</v>
      </c>
      <c r="C1248" t="s">
        <v>1187</v>
      </c>
      <c r="D1248">
        <v>-97.39</v>
      </c>
      <c r="E1248" t="s">
        <v>14</v>
      </c>
      <c r="F1248">
        <v>2507.46</v>
      </c>
      <c r="G1248" t="s">
        <v>1309</v>
      </c>
    </row>
    <row r="1249" spans="1:7" x14ac:dyDescent="0.25">
      <c r="A1249" t="s">
        <v>6</v>
      </c>
      <c r="B1249" s="1">
        <v>46042</v>
      </c>
      <c r="C1249" t="s">
        <v>1188</v>
      </c>
      <c r="D1249">
        <v>-30</v>
      </c>
      <c r="E1249" t="s">
        <v>14</v>
      </c>
      <c r="F1249">
        <v>2604.85</v>
      </c>
      <c r="G1249" t="str" cm="1">
        <f t="array" ref="G1249">IF(AND(ISNUMBER(SEARCH("UBER",C1249)),ISNUMBER(SEARCH("EATS",C1249))),"Uber Eats",IF(LEFT(C1249,6)="CHECK ","Checks Paid",IF(OR(E1249="BILLPAY",ISNUMBER(SEARCH("FRANCHISE TAX",C1249)),ISNUMBER(SEARCH("NEXTLINK",C1249))),"Personal - House Bills",IF(AND(ISNUMBER(SEARCH("PAYMENT FROM",C1249)),ISNUMBER(SEARCH("JOE SAUNDERS",C1249))),"Zelle from Joe Saunders",IF(AND(ISNUMBER(SEARCH("PAYMENT TO",C1249)),ISNUMBER(SEARCH("JOE SAUNDERS",C1249))),"Zelle to Joe Saunders",IF(OR(ISNUMBER(SEARCH("NEW ORLEANS",C1249)),ISNUMBER(SEARCH("KENNER",C1249)),ISNUMBER(SEARCH("HENRY HOWARD",C1249)),ISNUMBER(SEARCH("MISS CLAUDIA",C1249))),"Personal Travel - New Orleans",IFERROR(INDEX('Category Rules'!$B$2:$B$194,MATCH(TRUE,ISNUMBER(SEARCH('Category Rules'!$A$2:$A$194,C1249)),0)),"")))))))</f>
        <v>Personal - Subscription</v>
      </c>
    </row>
    <row r="1250" spans="1:7" x14ac:dyDescent="0.25">
      <c r="A1250" t="s">
        <v>6</v>
      </c>
      <c r="B1250" s="1">
        <v>46042</v>
      </c>
      <c r="C1250" t="s">
        <v>1189</v>
      </c>
      <c r="D1250">
        <v>-188.83</v>
      </c>
      <c r="E1250" t="s">
        <v>14</v>
      </c>
      <c r="F1250">
        <v>2634.85</v>
      </c>
      <c r="G1250" t="s">
        <v>1310</v>
      </c>
    </row>
    <row r="1251" spans="1:7" x14ac:dyDescent="0.25">
      <c r="A1251" t="s">
        <v>6</v>
      </c>
      <c r="B1251" s="1">
        <v>46042</v>
      </c>
      <c r="C1251" t="s">
        <v>1190</v>
      </c>
      <c r="D1251">
        <v>-15</v>
      </c>
      <c r="E1251" t="s">
        <v>14</v>
      </c>
      <c r="F1251">
        <v>2823.68</v>
      </c>
      <c r="G1251" t="s">
        <v>1310</v>
      </c>
    </row>
    <row r="1252" spans="1:7" x14ac:dyDescent="0.25">
      <c r="A1252" t="s">
        <v>6</v>
      </c>
      <c r="B1252" s="1">
        <v>46042</v>
      </c>
      <c r="C1252" t="s">
        <v>1191</v>
      </c>
      <c r="D1252">
        <v>-58.7</v>
      </c>
      <c r="E1252" t="s">
        <v>14</v>
      </c>
      <c r="F1252">
        <v>2838.68</v>
      </c>
      <c r="G1252" t="str" cm="1">
        <f t="array" ref="G1252">IF(AND(ISNUMBER(SEARCH("UBER",C1252)),ISNUMBER(SEARCH("EATS",C1252))),"Uber Eats",IF(LEFT(C1252,6)="CHECK ","Checks Paid",IF(OR(E1252="BILLPAY",ISNUMBER(SEARCH("FRANCHISE TAX",C1252)),ISNUMBER(SEARCH("NEXTLINK",C1252))),"Personal - House Bills",IF(AND(ISNUMBER(SEARCH("PAYMENT FROM",C1252)),ISNUMBER(SEARCH("JOE SAUNDERS",C1252))),"Zelle from Joe Saunders",IF(AND(ISNUMBER(SEARCH("PAYMENT TO",C1252)),ISNUMBER(SEARCH("JOE SAUNDERS",C1252))),"Zelle to Joe Saunders",IF(OR(ISNUMBER(SEARCH("NEW ORLEANS",C1252)),ISNUMBER(SEARCH("KENNER",C1252)),ISNUMBER(SEARCH("HENRY HOWARD",C1252)),ISNUMBER(SEARCH("MISS CLAUDIA",C1252))),"Personal Travel - New Orleans",IFERROR(INDEX('Category Rules'!$B$2:$B$194,MATCH(TRUE,ISNUMBER(SEARCH('Category Rules'!$A$2:$A$194,C1252)),0)),"")))))))</f>
        <v>Amazon</v>
      </c>
    </row>
    <row r="1253" spans="1:7" x14ac:dyDescent="0.25">
      <c r="A1253" t="s">
        <v>6</v>
      </c>
      <c r="B1253" s="1">
        <v>46042</v>
      </c>
      <c r="C1253" t="s">
        <v>1192</v>
      </c>
      <c r="D1253">
        <v>-442.17</v>
      </c>
      <c r="E1253" t="s">
        <v>14</v>
      </c>
      <c r="F1253">
        <v>2897.38</v>
      </c>
      <c r="G1253" t="str" cm="1">
        <f t="array" ref="G1253">IF(AND(ISNUMBER(SEARCH("UBER",C1253)),ISNUMBER(SEARCH("EATS",C1253))),"Uber Eats",IF(LEFT(C1253,6)="CHECK ","Checks Paid",IF(OR(E1253="BILLPAY",ISNUMBER(SEARCH("FRANCHISE TAX",C1253)),ISNUMBER(SEARCH("NEXTLINK",C1253))),"Personal - House Bills",IF(AND(ISNUMBER(SEARCH("PAYMENT FROM",C1253)),ISNUMBER(SEARCH("JOE SAUNDERS",C1253))),"Zelle from Joe Saunders",IF(AND(ISNUMBER(SEARCH("PAYMENT TO",C1253)),ISNUMBER(SEARCH("JOE SAUNDERS",C1253))),"Zelle to Joe Saunders",IF(OR(ISNUMBER(SEARCH("NEW ORLEANS",C1253)),ISNUMBER(SEARCH("KENNER",C1253)),ISNUMBER(SEARCH("HENRY HOWARD",C1253)),ISNUMBER(SEARCH("MISS CLAUDIA",C1253))),"Personal Travel - New Orleans",IFERROR(INDEX('Category Rules'!$B$2:$B$194,MATCH(TRUE,ISNUMBER(SEARCH('Category Rules'!$A$2:$A$194,C1253)),0)),"")))))))</f>
        <v>Etsy</v>
      </c>
    </row>
    <row r="1254" spans="1:7" x14ac:dyDescent="0.25">
      <c r="A1254" t="s">
        <v>6</v>
      </c>
      <c r="B1254" s="1">
        <v>46042</v>
      </c>
      <c r="C1254" t="s">
        <v>1193</v>
      </c>
      <c r="D1254">
        <v>-40</v>
      </c>
      <c r="E1254" t="s">
        <v>14</v>
      </c>
      <c r="F1254">
        <v>3339.55</v>
      </c>
      <c r="G1254" t="str" cm="1">
        <f t="array" ref="G1254">IF(AND(ISNUMBER(SEARCH("UBER",C1254)),ISNUMBER(SEARCH("EATS",C1254))),"Uber Eats",IF(LEFT(C1254,6)="CHECK ","Checks Paid",IF(OR(E1254="BILLPAY",ISNUMBER(SEARCH("FRANCHISE TAX",C1254)),ISNUMBER(SEARCH("NEXTLINK",C1254))),"Personal - House Bills",IF(AND(ISNUMBER(SEARCH("PAYMENT FROM",C1254)),ISNUMBER(SEARCH("JOE SAUNDERS",C1254))),"Zelle from Joe Saunders",IF(AND(ISNUMBER(SEARCH("PAYMENT TO",C1254)),ISNUMBER(SEARCH("JOE SAUNDERS",C1254))),"Zelle to Joe Saunders",IF(OR(ISNUMBER(SEARCH("NEW ORLEANS",C1254)),ISNUMBER(SEARCH("KENNER",C1254)),ISNUMBER(SEARCH("HENRY HOWARD",C1254)),ISNUMBER(SEARCH("MISS CLAUDIA",C1254))),"Personal Travel - New Orleans",IFERROR(INDEX('Category Rules'!$B$2:$B$194,MATCH(TRUE,ISNUMBER(SEARCH('Category Rules'!$A$2:$A$194,C1254)),0)),"")))))))</f>
        <v>Personal - Car</v>
      </c>
    </row>
    <row r="1255" spans="1:7" x14ac:dyDescent="0.25">
      <c r="A1255" t="s">
        <v>6</v>
      </c>
      <c r="B1255" s="1">
        <v>46042</v>
      </c>
      <c r="C1255" t="s">
        <v>1194</v>
      </c>
      <c r="D1255">
        <v>-592.75</v>
      </c>
      <c r="E1255" t="s">
        <v>14</v>
      </c>
      <c r="F1255">
        <v>3379.55</v>
      </c>
      <c r="G1255" t="str" cm="1">
        <f t="array" ref="G1255">IF(AND(ISNUMBER(SEARCH("UBER",C1255)),ISNUMBER(SEARCH("EATS",C1255))),"Uber Eats",IF(LEFT(C1255,6)="CHECK ","Checks Paid",IF(OR(E1255="BILLPAY",ISNUMBER(SEARCH("FRANCHISE TAX",C1255)),ISNUMBER(SEARCH("NEXTLINK",C1255))),"Personal - House Bills",IF(AND(ISNUMBER(SEARCH("PAYMENT FROM",C1255)),ISNUMBER(SEARCH("JOE SAUNDERS",C1255))),"Zelle from Joe Saunders",IF(AND(ISNUMBER(SEARCH("PAYMENT TO",C1255)),ISNUMBER(SEARCH("JOE SAUNDERS",C1255))),"Zelle to Joe Saunders",IF(OR(ISNUMBER(SEARCH("NEW ORLEANS",C1255)),ISNUMBER(SEARCH("KENNER",C1255)),ISNUMBER(SEARCH("HENRY HOWARD",C1255)),ISNUMBER(SEARCH("MISS CLAUDIA",C1255))),"Personal Travel - New Orleans",IFERROR(INDEX('Category Rules'!$B$2:$B$194,MATCH(TRUE,ISNUMBER(SEARCH('Category Rules'!$A$2:$A$194,C1255)),0)),"")))))))</f>
        <v>Personal - Shopping</v>
      </c>
    </row>
    <row r="1256" spans="1:7" x14ac:dyDescent="0.25">
      <c r="A1256" t="s">
        <v>37</v>
      </c>
      <c r="B1256" s="1">
        <v>46042</v>
      </c>
      <c r="C1256" t="s">
        <v>1195</v>
      </c>
      <c r="D1256">
        <v>4000</v>
      </c>
      <c r="E1256" t="s">
        <v>39</v>
      </c>
      <c r="F1256">
        <v>3972.3</v>
      </c>
      <c r="G1256" t="str" cm="1">
        <f t="array" ref="G1256">IF(AND(ISNUMBER(SEARCH("UBER",C1256)),ISNUMBER(SEARCH("EATS",C1256))),"Uber Eats",IF(LEFT(C1256,6)="CHECK ","Checks Paid",IF(OR(E1256="BILLPAY",ISNUMBER(SEARCH("FRANCHISE TAX",C1256)),ISNUMBER(SEARCH("NEXTLINK",C1256))),"Personal - House Bills",IF(AND(ISNUMBER(SEARCH("PAYMENT FROM",C1256)),ISNUMBER(SEARCH("JOE SAUNDERS",C1256))),"Zelle from Joe Saunders",IF(AND(ISNUMBER(SEARCH("PAYMENT TO",C1256)),ISNUMBER(SEARCH("JOE SAUNDERS",C1256))),"Zelle to Joe Saunders",IF(OR(ISNUMBER(SEARCH("NEW ORLEANS",C1256)),ISNUMBER(SEARCH("KENNER",C1256)),ISNUMBER(SEARCH("HENRY HOWARD",C1256)),ISNUMBER(SEARCH("MISS CLAUDIA",C1256))),"Personal Travel - New Orleans",IFERROR(INDEX('Category Rules'!$B$2:$B$194,MATCH(TRUE,ISNUMBER(SEARCH('Category Rules'!$A$2:$A$194,C1256)),0)),"")))))))</f>
        <v>Transfer from DWG Capital Group</v>
      </c>
    </row>
    <row r="1257" spans="1:7" x14ac:dyDescent="0.25">
      <c r="A1257" t="s">
        <v>6</v>
      </c>
      <c r="B1257" s="1">
        <v>46038</v>
      </c>
      <c r="C1257" t="s">
        <v>1196</v>
      </c>
      <c r="D1257">
        <v>-62.03</v>
      </c>
      <c r="E1257" t="s">
        <v>14</v>
      </c>
      <c r="F1257">
        <v>-27.7</v>
      </c>
      <c r="G1257" t="s">
        <v>1308</v>
      </c>
    </row>
    <row r="1258" spans="1:7" x14ac:dyDescent="0.25">
      <c r="A1258" t="s">
        <v>6</v>
      </c>
      <c r="B1258" s="1">
        <v>46038</v>
      </c>
      <c r="C1258" t="s">
        <v>1197</v>
      </c>
      <c r="D1258">
        <v>-156.4</v>
      </c>
      <c r="E1258" t="s">
        <v>14</v>
      </c>
      <c r="F1258">
        <v>34.33</v>
      </c>
      <c r="G1258" t="str" cm="1">
        <f t="array" ref="G1258">IF(AND(ISNUMBER(SEARCH("UBER",C1258)),ISNUMBER(SEARCH("EATS",C1258))),"Uber Eats",IF(LEFT(C1258,6)="CHECK ","Checks Paid",IF(OR(E1258="BILLPAY",ISNUMBER(SEARCH("FRANCHISE TAX",C1258)),ISNUMBER(SEARCH("NEXTLINK",C1258))),"Personal - House Bills",IF(AND(ISNUMBER(SEARCH("PAYMENT FROM",C1258)),ISNUMBER(SEARCH("JOE SAUNDERS",C1258))),"Zelle from Joe Saunders",IF(AND(ISNUMBER(SEARCH("PAYMENT TO",C1258)),ISNUMBER(SEARCH("JOE SAUNDERS",C1258))),"Zelle to Joe Saunders",IF(OR(ISNUMBER(SEARCH("NEW ORLEANS",C1258)),ISNUMBER(SEARCH("KENNER",C1258)),ISNUMBER(SEARCH("HENRY HOWARD",C1258)),ISNUMBER(SEARCH("MISS CLAUDIA",C1258))),"Personal Travel - New Orleans",IFERROR(INDEX('Category Rules'!$B$2:$B$194,MATCH(TRUE,ISNUMBER(SEARCH('Category Rules'!$A$2:$A$194,C1258)),0)),"")))))))</f>
        <v>Amazon</v>
      </c>
    </row>
    <row r="1259" spans="1:7" x14ac:dyDescent="0.25">
      <c r="A1259" t="s">
        <v>6</v>
      </c>
      <c r="B1259" s="1">
        <v>46038</v>
      </c>
      <c r="C1259" t="s">
        <v>1198</v>
      </c>
      <c r="D1259">
        <v>-143.41</v>
      </c>
      <c r="E1259" t="s">
        <v>14</v>
      </c>
      <c r="F1259">
        <v>190.73</v>
      </c>
      <c r="G1259" t="s">
        <v>1307</v>
      </c>
    </row>
    <row r="1260" spans="1:7" x14ac:dyDescent="0.25">
      <c r="A1260" t="s">
        <v>6</v>
      </c>
      <c r="B1260" s="1">
        <v>46038</v>
      </c>
      <c r="C1260" t="s">
        <v>1199</v>
      </c>
      <c r="D1260">
        <v>-178.45</v>
      </c>
      <c r="E1260" t="s">
        <v>14</v>
      </c>
      <c r="F1260">
        <v>334.14</v>
      </c>
      <c r="G1260" t="s">
        <v>1307</v>
      </c>
    </row>
    <row r="1261" spans="1:7" x14ac:dyDescent="0.25">
      <c r="A1261" t="s">
        <v>6</v>
      </c>
      <c r="B1261" s="1">
        <v>46038</v>
      </c>
      <c r="C1261" t="s">
        <v>1200</v>
      </c>
      <c r="D1261">
        <v>-225.49</v>
      </c>
      <c r="E1261" t="s">
        <v>14</v>
      </c>
      <c r="F1261">
        <v>512.59</v>
      </c>
      <c r="G1261" t="s">
        <v>1307</v>
      </c>
    </row>
    <row r="1262" spans="1:7" x14ac:dyDescent="0.25">
      <c r="A1262" t="s">
        <v>6</v>
      </c>
      <c r="B1262" s="1">
        <v>46038</v>
      </c>
      <c r="C1262" t="s">
        <v>1201</v>
      </c>
      <c r="D1262">
        <v>-67.47</v>
      </c>
      <c r="E1262" t="s">
        <v>14</v>
      </c>
      <c r="F1262">
        <v>738.08</v>
      </c>
      <c r="G1262" t="str" cm="1">
        <f t="array" ref="G1262">IF(AND(ISNUMBER(SEARCH("UBER",C1262)),ISNUMBER(SEARCH("EATS",C1262))),"Uber Eats",IF(LEFT(C1262,6)="CHECK ","Checks Paid",IF(OR(E1262="BILLPAY",ISNUMBER(SEARCH("FRANCHISE TAX",C1262)),ISNUMBER(SEARCH("NEXTLINK",C1262))),"Personal - House Bills",IF(AND(ISNUMBER(SEARCH("PAYMENT FROM",C1262)),ISNUMBER(SEARCH("JOE SAUNDERS",C1262))),"Zelle from Joe Saunders",IF(AND(ISNUMBER(SEARCH("PAYMENT TO",C1262)),ISNUMBER(SEARCH("JOE SAUNDERS",C1262))),"Zelle to Joe Saunders",IF(OR(ISNUMBER(SEARCH("NEW ORLEANS",C1262)),ISNUMBER(SEARCH("KENNER",C1262)),ISNUMBER(SEARCH("HENRY HOWARD",C1262)),ISNUMBER(SEARCH("MISS CLAUDIA",C1262))),"Personal Travel - New Orleans",IFERROR(INDEX('Category Rules'!$B$2:$B$194,MATCH(TRUE,ISNUMBER(SEARCH('Category Rules'!$A$2:$A$194,C1262)),0)),"")))))))</f>
        <v>Amazon</v>
      </c>
    </row>
    <row r="1263" spans="1:7" x14ac:dyDescent="0.25">
      <c r="A1263" t="s">
        <v>6</v>
      </c>
      <c r="B1263" s="1">
        <v>46037</v>
      </c>
      <c r="C1263" t="s">
        <v>1202</v>
      </c>
      <c r="D1263">
        <v>-375.57</v>
      </c>
      <c r="E1263" t="s">
        <v>14</v>
      </c>
      <c r="F1263">
        <v>805.55</v>
      </c>
      <c r="G1263" t="str" cm="1">
        <f t="array" ref="G1263">IF(AND(ISNUMBER(SEARCH("UBER",C1263)),ISNUMBER(SEARCH("EATS",C1263))),"Uber Eats",IF(LEFT(C1263,6)="CHECK ","Checks Paid",IF(OR(E1263="BILLPAY",ISNUMBER(SEARCH("FRANCHISE TAX",C1263)),ISNUMBER(SEARCH("NEXTLINK",C1263))),"Personal - House Bills",IF(AND(ISNUMBER(SEARCH("PAYMENT FROM",C1263)),ISNUMBER(SEARCH("JOE SAUNDERS",C1263))),"Zelle from Joe Saunders",IF(AND(ISNUMBER(SEARCH("PAYMENT TO",C1263)),ISNUMBER(SEARCH("JOE SAUNDERS",C1263))),"Zelle to Joe Saunders",IF(OR(ISNUMBER(SEARCH("NEW ORLEANS",C1263)),ISNUMBER(SEARCH("KENNER",C1263)),ISNUMBER(SEARCH("HENRY HOWARD",C1263)),ISNUMBER(SEARCH("MISS CLAUDIA",C1263))),"Personal Travel - New Orleans",IFERROR(INDEX('Category Rules'!$B$2:$B$194,MATCH(TRUE,ISNUMBER(SEARCH('Category Rules'!$A$2:$A$194,C1263)),0)),"")))))))</f>
        <v>Personal - Shopping</v>
      </c>
    </row>
    <row r="1264" spans="1:7" x14ac:dyDescent="0.25">
      <c r="A1264" t="s">
        <v>6</v>
      </c>
      <c r="B1264" s="1">
        <v>46037</v>
      </c>
      <c r="C1264" t="s">
        <v>1203</v>
      </c>
      <c r="D1264">
        <v>-36.549999999999997</v>
      </c>
      <c r="E1264" t="s">
        <v>14</v>
      </c>
      <c r="F1264">
        <v>1181.1199999999999</v>
      </c>
      <c r="G1264" t="s">
        <v>1310</v>
      </c>
    </row>
    <row r="1265" spans="1:7" x14ac:dyDescent="0.25">
      <c r="A1265" t="s">
        <v>6</v>
      </c>
      <c r="B1265" s="1">
        <v>46037</v>
      </c>
      <c r="C1265" t="s">
        <v>1204</v>
      </c>
      <c r="D1265">
        <v>-346.46</v>
      </c>
      <c r="E1265" t="s">
        <v>14</v>
      </c>
      <c r="F1265">
        <v>1217.67</v>
      </c>
      <c r="G1265" t="str" cm="1">
        <f t="array" ref="G1265">IF(AND(ISNUMBER(SEARCH("UBER",C1265)),ISNUMBER(SEARCH("EATS",C1265))),"Uber Eats",IF(LEFT(C1265,6)="CHECK ","Checks Paid",IF(OR(E1265="BILLPAY",ISNUMBER(SEARCH("FRANCHISE TAX",C1265)),ISNUMBER(SEARCH("NEXTLINK",C1265))),"Personal - House Bills",IF(AND(ISNUMBER(SEARCH("PAYMENT FROM",C1265)),ISNUMBER(SEARCH("JOE SAUNDERS",C1265))),"Zelle from Joe Saunders",IF(AND(ISNUMBER(SEARCH("PAYMENT TO",C1265)),ISNUMBER(SEARCH("JOE SAUNDERS",C1265))),"Zelle to Joe Saunders",IF(OR(ISNUMBER(SEARCH("NEW ORLEANS",C1265)),ISNUMBER(SEARCH("KENNER",C1265)),ISNUMBER(SEARCH("HENRY HOWARD",C1265)),ISNUMBER(SEARCH("MISS CLAUDIA",C1265))),"Personal Travel - New Orleans",IFERROR(INDEX('Category Rules'!$B$2:$B$194,MATCH(TRUE,ISNUMBER(SEARCH('Category Rules'!$A$2:$A$194,C1265)),0)),"")))))))</f>
        <v>Personal - Shopping</v>
      </c>
    </row>
    <row r="1266" spans="1:7" x14ac:dyDescent="0.25">
      <c r="A1266" t="s">
        <v>6</v>
      </c>
      <c r="B1266" s="1">
        <v>46037</v>
      </c>
      <c r="C1266" t="s">
        <v>1205</v>
      </c>
      <c r="D1266">
        <v>-18.489999999999998</v>
      </c>
      <c r="E1266" t="s">
        <v>14</v>
      </c>
      <c r="F1266">
        <v>1564.13</v>
      </c>
      <c r="G1266" t="str" cm="1">
        <f t="array" ref="G1266">IF(AND(ISNUMBER(SEARCH("UBER",C1266)),ISNUMBER(SEARCH("EATS",C1266))),"Uber Eats",IF(LEFT(C1266,6)="CHECK ","Checks Paid",IF(OR(E1266="BILLPAY",ISNUMBER(SEARCH("FRANCHISE TAX",C1266)),ISNUMBER(SEARCH("NEXTLINK",C1266))),"Personal - House Bills",IF(AND(ISNUMBER(SEARCH("PAYMENT FROM",C1266)),ISNUMBER(SEARCH("JOE SAUNDERS",C1266))),"Zelle from Joe Saunders",IF(AND(ISNUMBER(SEARCH("PAYMENT TO",C1266)),ISNUMBER(SEARCH("JOE SAUNDERS",C1266))),"Zelle to Joe Saunders",IF(OR(ISNUMBER(SEARCH("NEW ORLEANS",C1266)),ISNUMBER(SEARCH("KENNER",C1266)),ISNUMBER(SEARCH("HENRY HOWARD",C1266)),ISNUMBER(SEARCH("MISS CLAUDIA",C1266))),"Personal Travel - New Orleans",IFERROR(INDEX('Category Rules'!$B$2:$B$194,MATCH(TRUE,ISNUMBER(SEARCH('Category Rules'!$A$2:$A$194,C1266)),0)),"")))))))</f>
        <v>Amazon</v>
      </c>
    </row>
    <row r="1267" spans="1:7" x14ac:dyDescent="0.25">
      <c r="A1267" t="s">
        <v>6</v>
      </c>
      <c r="B1267" s="1">
        <v>46037</v>
      </c>
      <c r="C1267" t="s">
        <v>1206</v>
      </c>
      <c r="D1267">
        <v>-350</v>
      </c>
      <c r="E1267" t="s">
        <v>14</v>
      </c>
      <c r="F1267">
        <v>1582.62</v>
      </c>
      <c r="G1267" t="str" cm="1">
        <f t="array" ref="G1267">IF(AND(ISNUMBER(SEARCH("UBER",C1267)),ISNUMBER(SEARCH("EATS",C1267))),"Uber Eats",IF(LEFT(C1267,6)="CHECK ","Checks Paid",IF(OR(E1267="BILLPAY",ISNUMBER(SEARCH("FRANCHISE TAX",C1267)),ISNUMBER(SEARCH("NEXTLINK",C1267))),"Personal - House Bills",IF(AND(ISNUMBER(SEARCH("PAYMENT FROM",C1267)),ISNUMBER(SEARCH("JOE SAUNDERS",C1267))),"Zelle from Joe Saunders",IF(AND(ISNUMBER(SEARCH("PAYMENT TO",C1267)),ISNUMBER(SEARCH("JOE SAUNDERS",C1267))),"Zelle to Joe Saunders",IF(OR(ISNUMBER(SEARCH("NEW ORLEANS",C1267)),ISNUMBER(SEARCH("KENNER",C1267)),ISNUMBER(SEARCH("HENRY HOWARD",C1267)),ISNUMBER(SEARCH("MISS CLAUDIA",C1267))),"Personal Travel - New Orleans",IFERROR(INDEX('Category Rules'!$B$2:$B$194,MATCH(TRUE,ISNUMBER(SEARCH('Category Rules'!$A$2:$A$194,C1267)),0)),"")))))))</f>
        <v>Personal - Health</v>
      </c>
    </row>
    <row r="1268" spans="1:7" x14ac:dyDescent="0.25">
      <c r="A1268" t="s">
        <v>6</v>
      </c>
      <c r="B1268" s="1">
        <v>46037</v>
      </c>
      <c r="C1268" t="s">
        <v>1207</v>
      </c>
      <c r="D1268">
        <v>-47.9</v>
      </c>
      <c r="E1268" t="s">
        <v>14</v>
      </c>
      <c r="F1268">
        <v>1932.62</v>
      </c>
      <c r="G1268" t="str" cm="1">
        <f t="array" ref="G1268">IF(AND(ISNUMBER(SEARCH("UBER",C1268)),ISNUMBER(SEARCH("EATS",C1268))),"Uber Eats",IF(LEFT(C1268,6)="CHECK ","Checks Paid",IF(OR(E1268="BILLPAY",ISNUMBER(SEARCH("FRANCHISE TAX",C1268)),ISNUMBER(SEARCH("NEXTLINK",C1268))),"Personal - House Bills",IF(AND(ISNUMBER(SEARCH("PAYMENT FROM",C1268)),ISNUMBER(SEARCH("JOE SAUNDERS",C1268))),"Zelle from Joe Saunders",IF(AND(ISNUMBER(SEARCH("PAYMENT TO",C1268)),ISNUMBER(SEARCH("JOE SAUNDERS",C1268))),"Zelle to Joe Saunders",IF(OR(ISNUMBER(SEARCH("NEW ORLEANS",C1268)),ISNUMBER(SEARCH("KENNER",C1268)),ISNUMBER(SEARCH("HENRY HOWARD",C1268)),ISNUMBER(SEARCH("MISS CLAUDIA",C1268))),"Personal Travel - New Orleans",IFERROR(INDEX('Category Rules'!$B$2:$B$194,MATCH(TRUE,ISNUMBER(SEARCH('Category Rules'!$A$2:$A$194,C1268)),0)),"")))))))</f>
        <v>Amazon</v>
      </c>
    </row>
    <row r="1269" spans="1:7" x14ac:dyDescent="0.25">
      <c r="A1269" t="s">
        <v>6</v>
      </c>
      <c r="B1269" s="1">
        <v>46037</v>
      </c>
      <c r="C1269" t="s">
        <v>1208</v>
      </c>
      <c r="D1269">
        <v>-16.45</v>
      </c>
      <c r="E1269" t="s">
        <v>14</v>
      </c>
      <c r="F1269">
        <v>1980.52</v>
      </c>
      <c r="G1269" t="str" cm="1">
        <f t="array" ref="G1269">IF(AND(ISNUMBER(SEARCH("UBER",C1269)),ISNUMBER(SEARCH("EATS",C1269))),"Uber Eats",IF(LEFT(C1269,6)="CHECK ","Checks Paid",IF(OR(E1269="BILLPAY",ISNUMBER(SEARCH("FRANCHISE TAX",C1269)),ISNUMBER(SEARCH("NEXTLINK",C1269))),"Personal - House Bills",IF(AND(ISNUMBER(SEARCH("PAYMENT FROM",C1269)),ISNUMBER(SEARCH("JOE SAUNDERS",C1269))),"Zelle from Joe Saunders",IF(AND(ISNUMBER(SEARCH("PAYMENT TO",C1269)),ISNUMBER(SEARCH("JOE SAUNDERS",C1269))),"Zelle to Joe Saunders",IF(OR(ISNUMBER(SEARCH("NEW ORLEANS",C1269)),ISNUMBER(SEARCH("KENNER",C1269)),ISNUMBER(SEARCH("HENRY HOWARD",C1269)),ISNUMBER(SEARCH("MISS CLAUDIA",C1269))),"Personal Travel - New Orleans",IFERROR(INDEX('Category Rules'!$B$2:$B$194,MATCH(TRUE,ISNUMBER(SEARCH('Category Rules'!$A$2:$A$194,C1269)),0)),"")))))))</f>
        <v>Amazon</v>
      </c>
    </row>
    <row r="1270" spans="1:7" x14ac:dyDescent="0.25">
      <c r="A1270" t="s">
        <v>6</v>
      </c>
      <c r="B1270" s="1">
        <v>46037</v>
      </c>
      <c r="C1270" t="s">
        <v>1209</v>
      </c>
      <c r="D1270">
        <v>-6.2</v>
      </c>
      <c r="E1270" t="s">
        <v>14</v>
      </c>
      <c r="F1270">
        <v>1996.97</v>
      </c>
      <c r="G1270" t="s">
        <v>1313</v>
      </c>
    </row>
    <row r="1271" spans="1:7" x14ac:dyDescent="0.25">
      <c r="A1271" t="s">
        <v>6</v>
      </c>
      <c r="B1271" s="1">
        <v>46037</v>
      </c>
      <c r="C1271" t="s">
        <v>1210</v>
      </c>
      <c r="D1271">
        <v>-467.9</v>
      </c>
      <c r="E1271" t="s">
        <v>14</v>
      </c>
      <c r="F1271">
        <v>2003.17</v>
      </c>
      <c r="G1271" t="s">
        <v>1313</v>
      </c>
    </row>
    <row r="1272" spans="1:7" x14ac:dyDescent="0.25">
      <c r="A1272" t="s">
        <v>6</v>
      </c>
      <c r="B1272" s="1">
        <v>46037</v>
      </c>
      <c r="C1272" t="s">
        <v>1211</v>
      </c>
      <c r="D1272">
        <v>-250</v>
      </c>
      <c r="E1272" t="s">
        <v>14</v>
      </c>
      <c r="F1272">
        <v>2471.0700000000002</v>
      </c>
      <c r="G1272" t="str" cm="1">
        <f t="array" ref="G1272">IF(AND(ISNUMBER(SEARCH("UBER",C1272)),ISNUMBER(SEARCH("EATS",C1272))),"Uber Eats",IF(LEFT(C1272,6)="CHECK ","Checks Paid",IF(OR(E1272="BILLPAY",ISNUMBER(SEARCH("FRANCHISE TAX",C1272)),ISNUMBER(SEARCH("NEXTLINK",C1272))),"Personal - House Bills",IF(AND(ISNUMBER(SEARCH("PAYMENT FROM",C1272)),ISNUMBER(SEARCH("JOE SAUNDERS",C1272))),"Zelle from Joe Saunders",IF(AND(ISNUMBER(SEARCH("PAYMENT TO",C1272)),ISNUMBER(SEARCH("JOE SAUNDERS",C1272))),"Zelle to Joe Saunders",IF(OR(ISNUMBER(SEARCH("NEW ORLEANS",C1272)),ISNUMBER(SEARCH("KENNER",C1272)),ISNUMBER(SEARCH("HENRY HOWARD",C1272)),ISNUMBER(SEARCH("MISS CLAUDIA",C1272))),"Personal Travel - New Orleans",IFERROR(INDEX('Category Rules'!$B$2:$B$194,MATCH(TRUE,ISNUMBER(SEARCH('Category Rules'!$A$2:$A$194,C1272)),0)),"")))))))</f>
        <v>Apple</v>
      </c>
    </row>
    <row r="1273" spans="1:7" x14ac:dyDescent="0.25">
      <c r="A1273" t="s">
        <v>6</v>
      </c>
      <c r="B1273" s="1">
        <v>46037</v>
      </c>
      <c r="C1273" t="s">
        <v>1212</v>
      </c>
      <c r="D1273">
        <v>-53.16</v>
      </c>
      <c r="E1273" t="s">
        <v>14</v>
      </c>
      <c r="F1273">
        <v>2721.07</v>
      </c>
      <c r="G1273" t="str" cm="1">
        <f t="array" ref="G1273">IF(AND(ISNUMBER(SEARCH("UBER",C1273)),ISNUMBER(SEARCH("EATS",C1273))),"Uber Eats",IF(LEFT(C1273,6)="CHECK ","Checks Paid",IF(OR(E1273="BILLPAY",ISNUMBER(SEARCH("FRANCHISE TAX",C1273)),ISNUMBER(SEARCH("NEXTLINK",C1273))),"Personal - House Bills",IF(AND(ISNUMBER(SEARCH("PAYMENT FROM",C1273)),ISNUMBER(SEARCH("JOE SAUNDERS",C1273))),"Zelle from Joe Saunders",IF(AND(ISNUMBER(SEARCH("PAYMENT TO",C1273)),ISNUMBER(SEARCH("JOE SAUNDERS",C1273))),"Zelle to Joe Saunders",IF(OR(ISNUMBER(SEARCH("NEW ORLEANS",C1273)),ISNUMBER(SEARCH("KENNER",C1273)),ISNUMBER(SEARCH("HENRY HOWARD",C1273)),ISNUMBER(SEARCH("MISS CLAUDIA",C1273))),"Personal Travel - New Orleans",IFERROR(INDEX('Category Rules'!$B$2:$B$194,MATCH(TRUE,ISNUMBER(SEARCH('Category Rules'!$A$2:$A$194,C1273)),0)),"")))))))</f>
        <v>Amazon</v>
      </c>
    </row>
    <row r="1274" spans="1:7" x14ac:dyDescent="0.25">
      <c r="A1274" t="s">
        <v>6</v>
      </c>
      <c r="B1274" s="1">
        <v>46036</v>
      </c>
      <c r="C1274" t="s">
        <v>1213</v>
      </c>
      <c r="D1274">
        <v>-59.99</v>
      </c>
      <c r="E1274" t="s">
        <v>14</v>
      </c>
      <c r="F1274">
        <v>2774.23</v>
      </c>
      <c r="G1274" t="str" cm="1">
        <f t="array" ref="G1274">IF(AND(ISNUMBER(SEARCH("UBER",C1274)),ISNUMBER(SEARCH("EATS",C1274))),"Uber Eats",IF(LEFT(C1274,6)="CHECK ","Checks Paid",IF(OR(E1274="BILLPAY",ISNUMBER(SEARCH("FRANCHISE TAX",C1274)),ISNUMBER(SEARCH("NEXTLINK",C1274))),"Personal - House Bills",IF(AND(ISNUMBER(SEARCH("PAYMENT FROM",C1274)),ISNUMBER(SEARCH("JOE SAUNDERS",C1274))),"Zelle from Joe Saunders",IF(AND(ISNUMBER(SEARCH("PAYMENT TO",C1274)),ISNUMBER(SEARCH("JOE SAUNDERS",C1274))),"Zelle to Joe Saunders",IF(OR(ISNUMBER(SEARCH("NEW ORLEANS",C1274)),ISNUMBER(SEARCH("KENNER",C1274)),ISNUMBER(SEARCH("HENRY HOWARD",C1274)),ISNUMBER(SEARCH("MISS CLAUDIA",C1274))),"Personal Travel - New Orleans",IFERROR(INDEX('Category Rules'!$B$2:$B$194,MATCH(TRUE,ISNUMBER(SEARCH('Category Rules'!$A$2:$A$194,C1274)),0)),"")))))))</f>
        <v>Apple</v>
      </c>
    </row>
    <row r="1275" spans="1:7" x14ac:dyDescent="0.25">
      <c r="A1275" t="s">
        <v>6</v>
      </c>
      <c r="B1275" s="1">
        <v>46036</v>
      </c>
      <c r="C1275" t="s">
        <v>1214</v>
      </c>
      <c r="D1275">
        <v>-126.63</v>
      </c>
      <c r="E1275" t="s">
        <v>14</v>
      </c>
      <c r="F1275">
        <v>2834.22</v>
      </c>
      <c r="G1275" t="str" cm="1">
        <f t="array" ref="G1275">IF(AND(ISNUMBER(SEARCH("UBER",C1275)),ISNUMBER(SEARCH("EATS",C1275))),"Uber Eats",IF(LEFT(C1275,6)="CHECK ","Checks Paid",IF(OR(E1275="BILLPAY",ISNUMBER(SEARCH("FRANCHISE TAX",C1275)),ISNUMBER(SEARCH("NEXTLINK",C1275))),"Personal - House Bills",IF(AND(ISNUMBER(SEARCH("PAYMENT FROM",C1275)),ISNUMBER(SEARCH("JOE SAUNDERS",C1275))),"Zelle from Joe Saunders",IF(AND(ISNUMBER(SEARCH("PAYMENT TO",C1275)),ISNUMBER(SEARCH("JOE SAUNDERS",C1275))),"Zelle to Joe Saunders",IF(OR(ISNUMBER(SEARCH("NEW ORLEANS",C1275)),ISNUMBER(SEARCH("KENNER",C1275)),ISNUMBER(SEARCH("HENRY HOWARD",C1275)),ISNUMBER(SEARCH("MISS CLAUDIA",C1275))),"Personal Travel - New Orleans",IFERROR(INDEX('Category Rules'!$B$2:$B$194,MATCH(TRUE,ISNUMBER(SEARCH('Category Rules'!$A$2:$A$194,C1275)),0)),"")))))))</f>
        <v>Amazon</v>
      </c>
    </row>
    <row r="1276" spans="1:7" x14ac:dyDescent="0.25">
      <c r="A1276" t="s">
        <v>6</v>
      </c>
      <c r="B1276" s="1">
        <v>46036</v>
      </c>
      <c r="C1276" t="s">
        <v>1215</v>
      </c>
      <c r="D1276">
        <v>-50.92</v>
      </c>
      <c r="E1276" t="s">
        <v>14</v>
      </c>
      <c r="F1276">
        <v>2960.85</v>
      </c>
      <c r="G1276" t="str" cm="1">
        <f t="array" ref="G1276">IF(AND(ISNUMBER(SEARCH("UBER",C1276)),ISNUMBER(SEARCH("EATS",C1276))),"Uber Eats",IF(LEFT(C1276,6)="CHECK ","Checks Paid",IF(OR(E1276="BILLPAY",ISNUMBER(SEARCH("FRANCHISE TAX",C1276)),ISNUMBER(SEARCH("NEXTLINK",C1276))),"Personal - House Bills",IF(AND(ISNUMBER(SEARCH("PAYMENT FROM",C1276)),ISNUMBER(SEARCH("JOE SAUNDERS",C1276))),"Zelle from Joe Saunders",IF(AND(ISNUMBER(SEARCH("PAYMENT TO",C1276)),ISNUMBER(SEARCH("JOE SAUNDERS",C1276))),"Zelle to Joe Saunders",IF(OR(ISNUMBER(SEARCH("NEW ORLEANS",C1276)),ISNUMBER(SEARCH("KENNER",C1276)),ISNUMBER(SEARCH("HENRY HOWARD",C1276)),ISNUMBER(SEARCH("MISS CLAUDIA",C1276))),"Personal Travel - New Orleans",IFERROR(INDEX('Category Rules'!$B$2:$B$194,MATCH(TRUE,ISNUMBER(SEARCH('Category Rules'!$A$2:$A$194,C1276)),0)),"")))))))</f>
        <v>Personal - Entertainment</v>
      </c>
    </row>
    <row r="1277" spans="1:7" x14ac:dyDescent="0.25">
      <c r="A1277" t="s">
        <v>6</v>
      </c>
      <c r="B1277" s="1">
        <v>46036</v>
      </c>
      <c r="C1277" t="s">
        <v>1216</v>
      </c>
      <c r="D1277">
        <v>-785.84</v>
      </c>
      <c r="E1277" t="s">
        <v>14</v>
      </c>
      <c r="F1277">
        <v>3011.77</v>
      </c>
      <c r="G1277" t="s">
        <v>1310</v>
      </c>
    </row>
    <row r="1278" spans="1:7" x14ac:dyDescent="0.25">
      <c r="A1278" t="s">
        <v>6</v>
      </c>
      <c r="B1278" s="1">
        <v>46036</v>
      </c>
      <c r="C1278" t="s">
        <v>1217</v>
      </c>
      <c r="D1278">
        <v>-891.45</v>
      </c>
      <c r="E1278" t="s">
        <v>14</v>
      </c>
      <c r="F1278">
        <v>3797.61</v>
      </c>
      <c r="G1278" t="str" cm="1">
        <f t="array" ref="G1278">IF(AND(ISNUMBER(SEARCH("UBER",C1278)),ISNUMBER(SEARCH("EATS",C1278))),"Uber Eats",IF(LEFT(C1278,6)="CHECK ","Checks Paid",IF(OR(E1278="BILLPAY",ISNUMBER(SEARCH("FRANCHISE TAX",C1278)),ISNUMBER(SEARCH("NEXTLINK",C1278))),"Personal - House Bills",IF(AND(ISNUMBER(SEARCH("PAYMENT FROM",C1278)),ISNUMBER(SEARCH("JOE SAUNDERS",C1278))),"Zelle from Joe Saunders",IF(AND(ISNUMBER(SEARCH("PAYMENT TO",C1278)),ISNUMBER(SEARCH("JOE SAUNDERS",C1278))),"Zelle to Joe Saunders",IF(OR(ISNUMBER(SEARCH("NEW ORLEANS",C1278)),ISNUMBER(SEARCH("KENNER",C1278)),ISNUMBER(SEARCH("HENRY HOWARD",C1278)),ISNUMBER(SEARCH("MISS CLAUDIA",C1278))),"Personal Travel - New Orleans",IFERROR(INDEX('Category Rules'!$B$2:$B$194,MATCH(TRUE,ISNUMBER(SEARCH('Category Rules'!$A$2:$A$194,C1278)),0)),"")))))))</f>
        <v>Personal Travel</v>
      </c>
    </row>
    <row r="1279" spans="1:7" x14ac:dyDescent="0.25">
      <c r="A1279" t="s">
        <v>6</v>
      </c>
      <c r="B1279" s="1">
        <v>46036</v>
      </c>
      <c r="C1279" t="s">
        <v>1218</v>
      </c>
      <c r="D1279">
        <v>-9.6</v>
      </c>
      <c r="E1279" t="s">
        <v>14</v>
      </c>
      <c r="F1279">
        <v>4689.0600000000004</v>
      </c>
      <c r="G1279" t="str" cm="1">
        <f t="array" ref="G1279">IF(AND(ISNUMBER(SEARCH("UBER",C1279)),ISNUMBER(SEARCH("EATS",C1279))),"Uber Eats",IF(LEFT(C1279,6)="CHECK ","Checks Paid",IF(OR(E1279="BILLPAY",ISNUMBER(SEARCH("FRANCHISE TAX",C1279)),ISNUMBER(SEARCH("NEXTLINK",C1279))),"Personal - House Bills",IF(AND(ISNUMBER(SEARCH("PAYMENT FROM",C1279)),ISNUMBER(SEARCH("JOE SAUNDERS",C1279))),"Zelle from Joe Saunders",IF(AND(ISNUMBER(SEARCH("PAYMENT TO",C1279)),ISNUMBER(SEARCH("JOE SAUNDERS",C1279))),"Zelle to Joe Saunders",IF(OR(ISNUMBER(SEARCH("NEW ORLEANS",C1279)),ISNUMBER(SEARCH("KENNER",C1279)),ISNUMBER(SEARCH("HENRY HOWARD",C1279)),ISNUMBER(SEARCH("MISS CLAUDIA",C1279))),"Personal Travel - New Orleans",IFERROR(INDEX('Category Rules'!$B$2:$B$194,MATCH(TRUE,ISNUMBER(SEARCH('Category Rules'!$A$2:$A$194,C1279)),0)),"")))))))</f>
        <v>Amazon</v>
      </c>
    </row>
    <row r="1280" spans="1:7" x14ac:dyDescent="0.25">
      <c r="A1280" t="s">
        <v>6</v>
      </c>
      <c r="B1280" s="1">
        <v>46036</v>
      </c>
      <c r="C1280" t="s">
        <v>1219</v>
      </c>
      <c r="D1280">
        <v>-26.49</v>
      </c>
      <c r="E1280" t="s">
        <v>14</v>
      </c>
      <c r="F1280">
        <v>4698.66</v>
      </c>
      <c r="G1280" t="str" cm="1">
        <f t="array" ref="G1280">IF(AND(ISNUMBER(SEARCH("UBER",C1280)),ISNUMBER(SEARCH("EATS",C1280))),"Uber Eats",IF(LEFT(C1280,6)="CHECK ","Checks Paid",IF(OR(E1280="BILLPAY",ISNUMBER(SEARCH("FRANCHISE TAX",C1280)),ISNUMBER(SEARCH("NEXTLINK",C1280))),"Personal - House Bills",IF(AND(ISNUMBER(SEARCH("PAYMENT FROM",C1280)),ISNUMBER(SEARCH("JOE SAUNDERS",C1280))),"Zelle from Joe Saunders",IF(AND(ISNUMBER(SEARCH("PAYMENT TO",C1280)),ISNUMBER(SEARCH("JOE SAUNDERS",C1280))),"Zelle to Joe Saunders",IF(OR(ISNUMBER(SEARCH("NEW ORLEANS",C1280)),ISNUMBER(SEARCH("KENNER",C1280)),ISNUMBER(SEARCH("HENRY HOWARD",C1280)),ISNUMBER(SEARCH("MISS CLAUDIA",C1280))),"Personal Travel - New Orleans",IFERROR(INDEX('Category Rules'!$B$2:$B$194,MATCH(TRUE,ISNUMBER(SEARCH('Category Rules'!$A$2:$A$194,C1280)),0)),"")))))))</f>
        <v>Amazon</v>
      </c>
    </row>
    <row r="1281" spans="1:7" x14ac:dyDescent="0.25">
      <c r="A1281" t="s">
        <v>6</v>
      </c>
      <c r="B1281" s="1">
        <v>46036</v>
      </c>
      <c r="C1281" t="s">
        <v>1220</v>
      </c>
      <c r="D1281">
        <v>-51.19</v>
      </c>
      <c r="E1281" t="s">
        <v>14</v>
      </c>
      <c r="F1281">
        <v>4725.1499999999996</v>
      </c>
      <c r="G1281" t="str" cm="1">
        <f t="array" ref="G1281">IF(AND(ISNUMBER(SEARCH("UBER",C1281)),ISNUMBER(SEARCH("EATS",C1281))),"Uber Eats",IF(LEFT(C1281,6)="CHECK ","Checks Paid",IF(OR(E1281="BILLPAY",ISNUMBER(SEARCH("FRANCHISE TAX",C1281)),ISNUMBER(SEARCH("NEXTLINK",C1281))),"Personal - House Bills",IF(AND(ISNUMBER(SEARCH("PAYMENT FROM",C1281)),ISNUMBER(SEARCH("JOE SAUNDERS",C1281))),"Zelle from Joe Saunders",IF(AND(ISNUMBER(SEARCH("PAYMENT TO",C1281)),ISNUMBER(SEARCH("JOE SAUNDERS",C1281))),"Zelle to Joe Saunders",IF(OR(ISNUMBER(SEARCH("NEW ORLEANS",C1281)),ISNUMBER(SEARCH("KENNER",C1281)),ISNUMBER(SEARCH("HENRY HOWARD",C1281)),ISNUMBER(SEARCH("MISS CLAUDIA",C1281))),"Personal Travel - New Orleans",IFERROR(INDEX('Category Rules'!$B$2:$B$194,MATCH(TRUE,ISNUMBER(SEARCH('Category Rules'!$A$2:$A$194,C1281)),0)),"")))))))</f>
        <v>Amazon</v>
      </c>
    </row>
    <row r="1282" spans="1:7" x14ac:dyDescent="0.25">
      <c r="A1282" t="s">
        <v>6</v>
      </c>
      <c r="B1282" s="1">
        <v>46035</v>
      </c>
      <c r="C1282" t="s">
        <v>1221</v>
      </c>
      <c r="D1282">
        <v>-40.76</v>
      </c>
      <c r="E1282" t="s">
        <v>14</v>
      </c>
      <c r="F1282">
        <v>4776.34</v>
      </c>
      <c r="G1282" t="str" cm="1">
        <f t="array" ref="G1282">IF(AND(ISNUMBER(SEARCH("UBER",C1282)),ISNUMBER(SEARCH("EATS",C1282))),"Uber Eats",IF(LEFT(C1282,6)="CHECK ","Checks Paid",IF(OR(E1282="BILLPAY",ISNUMBER(SEARCH("FRANCHISE TAX",C1282)),ISNUMBER(SEARCH("NEXTLINK",C1282))),"Personal - House Bills",IF(AND(ISNUMBER(SEARCH("PAYMENT FROM",C1282)),ISNUMBER(SEARCH("JOE SAUNDERS",C1282))),"Zelle from Joe Saunders",IF(AND(ISNUMBER(SEARCH("PAYMENT TO",C1282)),ISNUMBER(SEARCH("JOE SAUNDERS",C1282))),"Zelle to Joe Saunders",IF(OR(ISNUMBER(SEARCH("NEW ORLEANS",C1282)),ISNUMBER(SEARCH("KENNER",C1282)),ISNUMBER(SEARCH("HENRY HOWARD",C1282)),ISNUMBER(SEARCH("MISS CLAUDIA",C1282))),"Personal Travel - New Orleans",IFERROR(INDEX('Category Rules'!$B$2:$B$194,MATCH(TRUE,ISNUMBER(SEARCH('Category Rules'!$A$2:$A$194,C1282)),0)),"")))))))</f>
        <v>Personal - Entertainment</v>
      </c>
    </row>
    <row r="1283" spans="1:7" x14ac:dyDescent="0.25">
      <c r="A1283" t="s">
        <v>6</v>
      </c>
      <c r="B1283" s="1">
        <v>46035</v>
      </c>
      <c r="C1283" t="s">
        <v>1222</v>
      </c>
      <c r="D1283">
        <v>-9.99</v>
      </c>
      <c r="E1283" t="s">
        <v>14</v>
      </c>
      <c r="F1283">
        <v>4817.1000000000004</v>
      </c>
      <c r="G1283" t="str" cm="1">
        <f t="array" ref="G1283">IF(AND(ISNUMBER(SEARCH("UBER",C1283)),ISNUMBER(SEARCH("EATS",C1283))),"Uber Eats",IF(LEFT(C1283,6)="CHECK ","Checks Paid",IF(OR(E1283="BILLPAY",ISNUMBER(SEARCH("FRANCHISE TAX",C1283)),ISNUMBER(SEARCH("NEXTLINK",C1283))),"Personal - House Bills",IF(AND(ISNUMBER(SEARCH("PAYMENT FROM",C1283)),ISNUMBER(SEARCH("JOE SAUNDERS",C1283))),"Zelle from Joe Saunders",IF(AND(ISNUMBER(SEARCH("PAYMENT TO",C1283)),ISNUMBER(SEARCH("JOE SAUNDERS",C1283))),"Zelle to Joe Saunders",IF(OR(ISNUMBER(SEARCH("NEW ORLEANS",C1283)),ISNUMBER(SEARCH("KENNER",C1283)),ISNUMBER(SEARCH("HENRY HOWARD",C1283)),ISNUMBER(SEARCH("MISS CLAUDIA",C1283))),"Personal Travel - New Orleans",IFERROR(INDEX('Category Rules'!$B$2:$B$194,MATCH(TRUE,ISNUMBER(SEARCH('Category Rules'!$A$2:$A$194,C1283)),0)),"")))))))</f>
        <v>Personal - Subscription</v>
      </c>
    </row>
    <row r="1284" spans="1:7" x14ac:dyDescent="0.25">
      <c r="A1284" t="s">
        <v>6</v>
      </c>
      <c r="B1284" s="1">
        <v>46035</v>
      </c>
      <c r="C1284" t="s">
        <v>1223</v>
      </c>
      <c r="D1284">
        <v>-10.93</v>
      </c>
      <c r="E1284" t="s">
        <v>14</v>
      </c>
      <c r="F1284">
        <v>4827.09</v>
      </c>
      <c r="G1284" t="str" cm="1">
        <f t="array" ref="G1284">IF(AND(ISNUMBER(SEARCH("UBER",C1284)),ISNUMBER(SEARCH("EATS",C1284))),"Uber Eats",IF(LEFT(C1284,6)="CHECK ","Checks Paid",IF(OR(E1284="BILLPAY",ISNUMBER(SEARCH("FRANCHISE TAX",C1284)),ISNUMBER(SEARCH("NEXTLINK",C1284))),"Personal - House Bills",IF(AND(ISNUMBER(SEARCH("PAYMENT FROM",C1284)),ISNUMBER(SEARCH("JOE SAUNDERS",C1284))),"Zelle from Joe Saunders",IF(AND(ISNUMBER(SEARCH("PAYMENT TO",C1284)),ISNUMBER(SEARCH("JOE SAUNDERS",C1284))),"Zelle to Joe Saunders",IF(OR(ISNUMBER(SEARCH("NEW ORLEANS",C1284)),ISNUMBER(SEARCH("KENNER",C1284)),ISNUMBER(SEARCH("HENRY HOWARD",C1284)),ISNUMBER(SEARCH("MISS CLAUDIA",C1284))),"Personal Travel - New Orleans",IFERROR(INDEX('Category Rules'!$B$2:$B$194,MATCH(TRUE,ISNUMBER(SEARCH('Category Rules'!$A$2:$A$194,C1284)),0)),"")))))))</f>
        <v>Amazon</v>
      </c>
    </row>
    <row r="1285" spans="1:7" x14ac:dyDescent="0.25">
      <c r="A1285" t="s">
        <v>6</v>
      </c>
      <c r="B1285" s="1">
        <v>46035</v>
      </c>
      <c r="C1285" t="s">
        <v>1224</v>
      </c>
      <c r="D1285">
        <v>-9.99</v>
      </c>
      <c r="E1285" t="s">
        <v>14</v>
      </c>
      <c r="F1285">
        <v>4838.0200000000004</v>
      </c>
      <c r="G1285" t="str" cm="1">
        <f t="array" ref="G1285">IF(AND(ISNUMBER(SEARCH("UBER",C1285)),ISNUMBER(SEARCH("EATS",C1285))),"Uber Eats",IF(LEFT(C1285,6)="CHECK ","Checks Paid",IF(OR(E1285="BILLPAY",ISNUMBER(SEARCH("FRANCHISE TAX",C1285)),ISNUMBER(SEARCH("NEXTLINK",C1285))),"Personal - House Bills",IF(AND(ISNUMBER(SEARCH("PAYMENT FROM",C1285)),ISNUMBER(SEARCH("JOE SAUNDERS",C1285))),"Zelle from Joe Saunders",IF(AND(ISNUMBER(SEARCH("PAYMENT TO",C1285)),ISNUMBER(SEARCH("JOE SAUNDERS",C1285))),"Zelle to Joe Saunders",IF(OR(ISNUMBER(SEARCH("NEW ORLEANS",C1285)),ISNUMBER(SEARCH("KENNER",C1285)),ISNUMBER(SEARCH("HENRY HOWARD",C1285)),ISNUMBER(SEARCH("MISS CLAUDIA",C1285))),"Personal Travel - New Orleans",IFERROR(INDEX('Category Rules'!$B$2:$B$194,MATCH(TRUE,ISNUMBER(SEARCH('Category Rules'!$A$2:$A$194,C1285)),0)),"")))))))</f>
        <v>Personal - Subscription</v>
      </c>
    </row>
    <row r="1286" spans="1:7" x14ac:dyDescent="0.25">
      <c r="A1286" t="s">
        <v>6</v>
      </c>
      <c r="B1286" s="1">
        <v>46035</v>
      </c>
      <c r="C1286" t="s">
        <v>1225</v>
      </c>
      <c r="D1286">
        <v>-9.99</v>
      </c>
      <c r="E1286" t="s">
        <v>14</v>
      </c>
      <c r="F1286">
        <v>4848.01</v>
      </c>
      <c r="G1286" t="str" cm="1">
        <f t="array" ref="G1286">IF(AND(ISNUMBER(SEARCH("UBER",C1286)),ISNUMBER(SEARCH("EATS",C1286))),"Uber Eats",IF(LEFT(C1286,6)="CHECK ","Checks Paid",IF(OR(E1286="BILLPAY",ISNUMBER(SEARCH("FRANCHISE TAX",C1286)),ISNUMBER(SEARCH("NEXTLINK",C1286))),"Personal - House Bills",IF(AND(ISNUMBER(SEARCH("PAYMENT FROM",C1286)),ISNUMBER(SEARCH("JOE SAUNDERS",C1286))),"Zelle from Joe Saunders",IF(AND(ISNUMBER(SEARCH("PAYMENT TO",C1286)),ISNUMBER(SEARCH("JOE SAUNDERS",C1286))),"Zelle to Joe Saunders",IF(OR(ISNUMBER(SEARCH("NEW ORLEANS",C1286)),ISNUMBER(SEARCH("KENNER",C1286)),ISNUMBER(SEARCH("HENRY HOWARD",C1286)),ISNUMBER(SEARCH("MISS CLAUDIA",C1286))),"Personal Travel - New Orleans",IFERROR(INDEX('Category Rules'!$B$2:$B$194,MATCH(TRUE,ISNUMBER(SEARCH('Category Rules'!$A$2:$A$194,C1286)),0)),"")))))))</f>
        <v>Personal - Subscription</v>
      </c>
    </row>
    <row r="1287" spans="1:7" x14ac:dyDescent="0.25">
      <c r="A1287" t="s">
        <v>6</v>
      </c>
      <c r="B1287" s="1">
        <v>46035</v>
      </c>
      <c r="C1287" t="s">
        <v>1226</v>
      </c>
      <c r="D1287">
        <v>-9.99</v>
      </c>
      <c r="E1287" t="s">
        <v>14</v>
      </c>
      <c r="F1287">
        <v>4858</v>
      </c>
      <c r="G1287" t="str" cm="1">
        <f t="array" ref="G1287">IF(AND(ISNUMBER(SEARCH("UBER",C1287)),ISNUMBER(SEARCH("EATS",C1287))),"Uber Eats",IF(LEFT(C1287,6)="CHECK ","Checks Paid",IF(OR(E1287="BILLPAY",ISNUMBER(SEARCH("FRANCHISE TAX",C1287)),ISNUMBER(SEARCH("NEXTLINK",C1287))),"Personal - House Bills",IF(AND(ISNUMBER(SEARCH("PAYMENT FROM",C1287)),ISNUMBER(SEARCH("JOE SAUNDERS",C1287))),"Zelle from Joe Saunders",IF(AND(ISNUMBER(SEARCH("PAYMENT TO",C1287)),ISNUMBER(SEARCH("JOE SAUNDERS",C1287))),"Zelle to Joe Saunders",IF(OR(ISNUMBER(SEARCH("NEW ORLEANS",C1287)),ISNUMBER(SEARCH("KENNER",C1287)),ISNUMBER(SEARCH("HENRY HOWARD",C1287)),ISNUMBER(SEARCH("MISS CLAUDIA",C1287))),"Personal Travel - New Orleans",IFERROR(INDEX('Category Rules'!$B$2:$B$194,MATCH(TRUE,ISNUMBER(SEARCH('Category Rules'!$A$2:$A$194,C1287)),0)),"")))))))</f>
        <v>Personal - Subscription</v>
      </c>
    </row>
    <row r="1288" spans="1:7" x14ac:dyDescent="0.25">
      <c r="A1288" t="s">
        <v>37</v>
      </c>
      <c r="B1288" s="1">
        <v>46035</v>
      </c>
      <c r="C1288" t="s">
        <v>1227</v>
      </c>
      <c r="D1288">
        <v>5000</v>
      </c>
      <c r="E1288" t="s">
        <v>39</v>
      </c>
      <c r="F1288">
        <v>4867.99</v>
      </c>
      <c r="G1288" t="str" cm="1">
        <f t="array" ref="G1288">IF(AND(ISNUMBER(SEARCH("UBER",C1288)),ISNUMBER(SEARCH("EATS",C1288))),"Uber Eats",IF(LEFT(C1288,6)="CHECK ","Checks Paid",IF(OR(E1288="BILLPAY",ISNUMBER(SEARCH("FRANCHISE TAX",C1288)),ISNUMBER(SEARCH("NEXTLINK",C1288))),"Personal - House Bills",IF(AND(ISNUMBER(SEARCH("PAYMENT FROM",C1288)),ISNUMBER(SEARCH("JOE SAUNDERS",C1288))),"Zelle from Joe Saunders",IF(AND(ISNUMBER(SEARCH("PAYMENT TO",C1288)),ISNUMBER(SEARCH("JOE SAUNDERS",C1288))),"Zelle to Joe Saunders",IF(OR(ISNUMBER(SEARCH("NEW ORLEANS",C1288)),ISNUMBER(SEARCH("KENNER",C1288)),ISNUMBER(SEARCH("HENRY HOWARD",C1288)),ISNUMBER(SEARCH("MISS CLAUDIA",C1288))),"Personal Travel - New Orleans",IFERROR(INDEX('Category Rules'!$B$2:$B$194,MATCH(TRUE,ISNUMBER(SEARCH('Category Rules'!$A$2:$A$194,C1288)),0)),"")))))))</f>
        <v>Transfer from DWG Capital Group</v>
      </c>
    </row>
    <row r="1289" spans="1:7" x14ac:dyDescent="0.25">
      <c r="A1289" t="s">
        <v>6</v>
      </c>
      <c r="B1289" s="1">
        <v>46034</v>
      </c>
      <c r="C1289" t="s">
        <v>243</v>
      </c>
      <c r="D1289">
        <v>-3</v>
      </c>
      <c r="E1289" t="s">
        <v>72</v>
      </c>
      <c r="F1289">
        <v>-132.01</v>
      </c>
      <c r="G1289" t="s">
        <v>1312</v>
      </c>
    </row>
    <row r="1290" spans="1:7" x14ac:dyDescent="0.25">
      <c r="A1290" t="s">
        <v>6</v>
      </c>
      <c r="B1290" s="1">
        <v>46034</v>
      </c>
      <c r="C1290" t="s">
        <v>1228</v>
      </c>
      <c r="D1290">
        <v>-185</v>
      </c>
      <c r="E1290" t="s">
        <v>14</v>
      </c>
      <c r="F1290">
        <v>-129.01</v>
      </c>
      <c r="G1290" t="s">
        <v>1308</v>
      </c>
    </row>
    <row r="1291" spans="1:7" x14ac:dyDescent="0.25">
      <c r="A1291" t="s">
        <v>6</v>
      </c>
      <c r="B1291" s="1">
        <v>46034</v>
      </c>
      <c r="C1291" t="s">
        <v>1229</v>
      </c>
      <c r="D1291">
        <v>-20</v>
      </c>
      <c r="E1291" t="s">
        <v>14</v>
      </c>
      <c r="F1291">
        <v>55.99</v>
      </c>
      <c r="G1291" t="str" cm="1">
        <f t="array" ref="G1291">IF(AND(ISNUMBER(SEARCH("UBER",C1291)),ISNUMBER(SEARCH("EATS",C1291))),"Uber Eats",IF(LEFT(C1291,6)="CHECK ","Checks Paid",IF(OR(E1291="BILLPAY",ISNUMBER(SEARCH("FRANCHISE TAX",C1291)),ISNUMBER(SEARCH("NEXTLINK",C1291))),"Personal - House Bills",IF(AND(ISNUMBER(SEARCH("PAYMENT FROM",C1291)),ISNUMBER(SEARCH("JOE SAUNDERS",C1291))),"Zelle from Joe Saunders",IF(AND(ISNUMBER(SEARCH("PAYMENT TO",C1291)),ISNUMBER(SEARCH("JOE SAUNDERS",C1291))),"Zelle to Joe Saunders",IF(OR(ISNUMBER(SEARCH("NEW ORLEANS",C1291)),ISNUMBER(SEARCH("KENNER",C1291)),ISNUMBER(SEARCH("HENRY HOWARD",C1291)),ISNUMBER(SEARCH("MISS CLAUDIA",C1291))),"Personal Travel - New Orleans",IFERROR(INDEX('Category Rules'!$B$2:$B$194,MATCH(TRUE,ISNUMBER(SEARCH('Category Rules'!$A$2:$A$194,C1291)),0)),"")))))))</f>
        <v>Amazon</v>
      </c>
    </row>
    <row r="1292" spans="1:7" x14ac:dyDescent="0.25">
      <c r="A1292" t="s">
        <v>6</v>
      </c>
      <c r="B1292" s="1">
        <v>46034</v>
      </c>
      <c r="C1292" t="s">
        <v>1230</v>
      </c>
      <c r="D1292">
        <v>-448.8</v>
      </c>
      <c r="E1292" t="s">
        <v>14</v>
      </c>
      <c r="F1292">
        <v>75.989999999999995</v>
      </c>
      <c r="G1292" t="s">
        <v>1310</v>
      </c>
    </row>
    <row r="1293" spans="1:7" x14ac:dyDescent="0.25">
      <c r="A1293" t="s">
        <v>6</v>
      </c>
      <c r="B1293" s="1">
        <v>46034</v>
      </c>
      <c r="C1293" t="s">
        <v>1231</v>
      </c>
      <c r="D1293">
        <v>-860.95</v>
      </c>
      <c r="E1293" t="s">
        <v>14</v>
      </c>
      <c r="F1293">
        <v>524.79</v>
      </c>
      <c r="G1293" t="str" cm="1">
        <f t="array" ref="G1293">IF(AND(ISNUMBER(SEARCH("UBER",C1293)),ISNUMBER(SEARCH("EATS",C1293))),"Uber Eats",IF(LEFT(C1293,6)="CHECK ","Checks Paid",IF(OR(E1293="BILLPAY",ISNUMBER(SEARCH("FRANCHISE TAX",C1293)),ISNUMBER(SEARCH("NEXTLINK",C1293))),"Personal - House Bills",IF(AND(ISNUMBER(SEARCH("PAYMENT FROM",C1293)),ISNUMBER(SEARCH("JOE SAUNDERS",C1293))),"Zelle from Joe Saunders",IF(AND(ISNUMBER(SEARCH("PAYMENT TO",C1293)),ISNUMBER(SEARCH("JOE SAUNDERS",C1293))),"Zelle to Joe Saunders",IF(OR(ISNUMBER(SEARCH("NEW ORLEANS",C1293)),ISNUMBER(SEARCH("KENNER",C1293)),ISNUMBER(SEARCH("HENRY HOWARD",C1293)),ISNUMBER(SEARCH("MISS CLAUDIA",C1293))),"Personal Travel - New Orleans",IFERROR(INDEX('Category Rules'!$B$2:$B$194,MATCH(TRUE,ISNUMBER(SEARCH('Category Rules'!$A$2:$A$194,C1293)),0)),"")))))))</f>
        <v>Personal - Food</v>
      </c>
    </row>
    <row r="1294" spans="1:7" x14ac:dyDescent="0.25">
      <c r="A1294" t="s">
        <v>6</v>
      </c>
      <c r="B1294" s="1">
        <v>46034</v>
      </c>
      <c r="C1294" t="s">
        <v>1232</v>
      </c>
      <c r="D1294">
        <v>-3</v>
      </c>
      <c r="E1294" t="s">
        <v>14</v>
      </c>
      <c r="F1294">
        <v>1385.74</v>
      </c>
      <c r="G1294" t="s">
        <v>1311</v>
      </c>
    </row>
    <row r="1295" spans="1:7" x14ac:dyDescent="0.25">
      <c r="A1295" t="s">
        <v>6</v>
      </c>
      <c r="B1295" s="1">
        <v>46034</v>
      </c>
      <c r="C1295" t="s">
        <v>1233</v>
      </c>
      <c r="D1295">
        <v>-49.93</v>
      </c>
      <c r="E1295" t="s">
        <v>14</v>
      </c>
      <c r="F1295">
        <v>1388.74</v>
      </c>
      <c r="G1295" t="str" cm="1">
        <f t="array" ref="G1295">IF(AND(ISNUMBER(SEARCH("UBER",C1295)),ISNUMBER(SEARCH("EATS",C1295))),"Uber Eats",IF(LEFT(C1295,6)="CHECK ","Checks Paid",IF(OR(E1295="BILLPAY",ISNUMBER(SEARCH("FRANCHISE TAX",C1295)),ISNUMBER(SEARCH("NEXTLINK",C1295))),"Personal - House Bills",IF(AND(ISNUMBER(SEARCH("PAYMENT FROM",C1295)),ISNUMBER(SEARCH("JOE SAUNDERS",C1295))),"Zelle from Joe Saunders",IF(AND(ISNUMBER(SEARCH("PAYMENT TO",C1295)),ISNUMBER(SEARCH("JOE SAUNDERS",C1295))),"Zelle to Joe Saunders",IF(OR(ISNUMBER(SEARCH("NEW ORLEANS",C1295)),ISNUMBER(SEARCH("KENNER",C1295)),ISNUMBER(SEARCH("HENRY HOWARD",C1295)),ISNUMBER(SEARCH("MISS CLAUDIA",C1295))),"Personal Travel - New Orleans",IFERROR(INDEX('Category Rules'!$B$2:$B$194,MATCH(TRUE,ISNUMBER(SEARCH('Category Rules'!$A$2:$A$194,C1295)),0)),"")))))))</f>
        <v>Uber Eats</v>
      </c>
    </row>
    <row r="1296" spans="1:7" x14ac:dyDescent="0.25">
      <c r="A1296" t="s">
        <v>6</v>
      </c>
      <c r="B1296" s="1">
        <v>46034</v>
      </c>
      <c r="C1296" t="s">
        <v>1234</v>
      </c>
      <c r="D1296">
        <v>-353.99</v>
      </c>
      <c r="E1296" t="s">
        <v>14</v>
      </c>
      <c r="F1296">
        <v>1438.67</v>
      </c>
      <c r="G1296" t="str" cm="1">
        <f t="array" ref="G1296">IF(AND(ISNUMBER(SEARCH("UBER",C1296)),ISNUMBER(SEARCH("EATS",C1296))),"Uber Eats",IF(LEFT(C1296,6)="CHECK ","Checks Paid",IF(OR(E1296="BILLPAY",ISNUMBER(SEARCH("FRANCHISE TAX",C1296)),ISNUMBER(SEARCH("NEXTLINK",C1296))),"Personal - House Bills",IF(AND(ISNUMBER(SEARCH("PAYMENT FROM",C1296)),ISNUMBER(SEARCH("JOE SAUNDERS",C1296))),"Zelle from Joe Saunders",IF(AND(ISNUMBER(SEARCH("PAYMENT TO",C1296)),ISNUMBER(SEARCH("JOE SAUNDERS",C1296))),"Zelle to Joe Saunders",IF(OR(ISNUMBER(SEARCH("NEW ORLEANS",C1296)),ISNUMBER(SEARCH("KENNER",C1296)),ISNUMBER(SEARCH("HENRY HOWARD",C1296)),ISNUMBER(SEARCH("MISS CLAUDIA",C1296))),"Personal Travel - New Orleans",IFERROR(INDEX('Category Rules'!$B$2:$B$194,MATCH(TRUE,ISNUMBER(SEARCH('Category Rules'!$A$2:$A$194,C1296)),0)),"")))))))</f>
        <v>Amazon</v>
      </c>
    </row>
    <row r="1297" spans="1:7" x14ac:dyDescent="0.25">
      <c r="A1297" t="s">
        <v>6</v>
      </c>
      <c r="B1297" s="1">
        <v>46034</v>
      </c>
      <c r="C1297" t="s">
        <v>1235</v>
      </c>
      <c r="D1297">
        <v>-8.58</v>
      </c>
      <c r="E1297" t="s">
        <v>14</v>
      </c>
      <c r="F1297">
        <v>1792.66</v>
      </c>
      <c r="G1297" t="s">
        <v>1310</v>
      </c>
    </row>
    <row r="1298" spans="1:7" x14ac:dyDescent="0.25">
      <c r="A1298" t="s">
        <v>6</v>
      </c>
      <c r="B1298" s="1">
        <v>46034</v>
      </c>
      <c r="C1298" t="s">
        <v>1236</v>
      </c>
      <c r="D1298">
        <v>-303</v>
      </c>
      <c r="E1298" t="s">
        <v>48</v>
      </c>
      <c r="F1298">
        <v>1801.24</v>
      </c>
      <c r="G1298" t="str" cm="1">
        <f t="array" ref="G1298">IF(AND(ISNUMBER(SEARCH("UBER",C1298)),ISNUMBER(SEARCH("EATS",C1298))),"Uber Eats",IF(LEFT(C1298,6)="CHECK ","Checks Paid",IF(OR(E1298="BILLPAY",ISNUMBER(SEARCH("FRANCHISE TAX",C1298)),ISNUMBER(SEARCH("NEXTLINK",C1298))),"Personal - House Bills",IF(AND(ISNUMBER(SEARCH("PAYMENT FROM",C1298)),ISNUMBER(SEARCH("JOE SAUNDERS",C1298))),"Zelle from Joe Saunders",IF(AND(ISNUMBER(SEARCH("PAYMENT TO",C1298)),ISNUMBER(SEARCH("JOE SAUNDERS",C1298))),"Zelle to Joe Saunders",IF(OR(ISNUMBER(SEARCH("NEW ORLEANS",C1298)),ISNUMBER(SEARCH("KENNER",C1298)),ISNUMBER(SEARCH("HENRY HOWARD",C1298)),ISNUMBER(SEARCH("MISS CLAUDIA",C1298))),"Personal Travel - New Orleans",IFERROR(INDEX('Category Rules'!$B$2:$B$194,MATCH(TRUE,ISNUMBER(SEARCH('Category Rules'!$A$2:$A$194,C1298)),0)),"")))))))</f>
        <v>Withdrawal</v>
      </c>
    </row>
    <row r="1299" spans="1:7" x14ac:dyDescent="0.25">
      <c r="A1299" t="s">
        <v>6</v>
      </c>
      <c r="B1299" s="1">
        <v>46034</v>
      </c>
      <c r="C1299" t="s">
        <v>1237</v>
      </c>
      <c r="D1299">
        <v>-100</v>
      </c>
      <c r="E1299" t="s">
        <v>14</v>
      </c>
      <c r="F1299">
        <v>2104.2399999999998</v>
      </c>
      <c r="G1299" t="str" cm="1">
        <f t="array" ref="G1299">IF(AND(ISNUMBER(SEARCH("UBER",C1299)),ISNUMBER(SEARCH("EATS",C1299))),"Uber Eats",IF(LEFT(C1299,6)="CHECK ","Checks Paid",IF(OR(E1299="BILLPAY",ISNUMBER(SEARCH("FRANCHISE TAX",C1299)),ISNUMBER(SEARCH("NEXTLINK",C1299))),"Personal - House Bills",IF(AND(ISNUMBER(SEARCH("PAYMENT FROM",C1299)),ISNUMBER(SEARCH("JOE SAUNDERS",C1299))),"Zelle from Joe Saunders",IF(AND(ISNUMBER(SEARCH("PAYMENT TO",C1299)),ISNUMBER(SEARCH("JOE SAUNDERS",C1299))),"Zelle to Joe Saunders",IF(OR(ISNUMBER(SEARCH("NEW ORLEANS",C1299)),ISNUMBER(SEARCH("KENNER",C1299)),ISNUMBER(SEARCH("HENRY HOWARD",C1299)),ISNUMBER(SEARCH("MISS CLAUDIA",C1299))),"Personal Travel - New Orleans",IFERROR(INDEX('Category Rules'!$B$2:$B$194,MATCH(TRUE,ISNUMBER(SEARCH('Category Rules'!$A$2:$A$194,C1299)),0)),"")))))))</f>
        <v>Personal Travel</v>
      </c>
    </row>
    <row r="1300" spans="1:7" x14ac:dyDescent="0.25">
      <c r="A1300" t="s">
        <v>6</v>
      </c>
      <c r="B1300" s="1">
        <v>46034</v>
      </c>
      <c r="C1300" t="s">
        <v>1238</v>
      </c>
      <c r="D1300">
        <v>-47.89</v>
      </c>
      <c r="E1300" t="s">
        <v>14</v>
      </c>
      <c r="F1300">
        <v>2204.2399999999998</v>
      </c>
      <c r="G1300" t="str" cm="1">
        <f t="array" ref="G1300">IF(AND(ISNUMBER(SEARCH("UBER",C1300)),ISNUMBER(SEARCH("EATS",C1300))),"Uber Eats",IF(LEFT(C1300,6)="CHECK ","Checks Paid",IF(OR(E1300="BILLPAY",ISNUMBER(SEARCH("FRANCHISE TAX",C1300)),ISNUMBER(SEARCH("NEXTLINK",C1300))),"Personal - House Bills",IF(AND(ISNUMBER(SEARCH("PAYMENT FROM",C1300)),ISNUMBER(SEARCH("JOE SAUNDERS",C1300))),"Zelle from Joe Saunders",IF(AND(ISNUMBER(SEARCH("PAYMENT TO",C1300)),ISNUMBER(SEARCH("JOE SAUNDERS",C1300))),"Zelle to Joe Saunders",IF(OR(ISNUMBER(SEARCH("NEW ORLEANS",C1300)),ISNUMBER(SEARCH("KENNER",C1300)),ISNUMBER(SEARCH("HENRY HOWARD",C1300)),ISNUMBER(SEARCH("MISS CLAUDIA",C1300))),"Personal Travel - New Orleans",IFERROR(INDEX('Category Rules'!$B$2:$B$194,MATCH(TRUE,ISNUMBER(SEARCH('Category Rules'!$A$2:$A$194,C1300)),0)),"")))))))</f>
        <v>Uber Eats</v>
      </c>
    </row>
    <row r="1301" spans="1:7" x14ac:dyDescent="0.25">
      <c r="A1301" t="s">
        <v>6</v>
      </c>
      <c r="B1301" s="1">
        <v>46034</v>
      </c>
      <c r="C1301" t="s">
        <v>1239</v>
      </c>
      <c r="D1301">
        <v>-13.98</v>
      </c>
      <c r="E1301" t="s">
        <v>14</v>
      </c>
      <c r="F1301">
        <v>2252.13</v>
      </c>
      <c r="G1301" t="str" cm="1">
        <f t="array" ref="G1301">IF(AND(ISNUMBER(SEARCH("UBER",C1301)),ISNUMBER(SEARCH("EATS",C1301))),"Uber Eats",IF(LEFT(C1301,6)="CHECK ","Checks Paid",IF(OR(E1301="BILLPAY",ISNUMBER(SEARCH("FRANCHISE TAX",C1301)),ISNUMBER(SEARCH("NEXTLINK",C1301))),"Personal - House Bills",IF(AND(ISNUMBER(SEARCH("PAYMENT FROM",C1301)),ISNUMBER(SEARCH("JOE SAUNDERS",C1301))),"Zelle from Joe Saunders",IF(AND(ISNUMBER(SEARCH("PAYMENT TO",C1301)),ISNUMBER(SEARCH("JOE SAUNDERS",C1301))),"Zelle to Joe Saunders",IF(OR(ISNUMBER(SEARCH("NEW ORLEANS",C1301)),ISNUMBER(SEARCH("KENNER",C1301)),ISNUMBER(SEARCH("HENRY HOWARD",C1301)),ISNUMBER(SEARCH("MISS CLAUDIA",C1301))),"Personal Travel - New Orleans",IFERROR(INDEX('Category Rules'!$B$2:$B$194,MATCH(TRUE,ISNUMBER(SEARCH('Category Rules'!$A$2:$A$194,C1301)),0)),"")))))))</f>
        <v>Amazon</v>
      </c>
    </row>
    <row r="1302" spans="1:7" x14ac:dyDescent="0.25">
      <c r="A1302" t="s">
        <v>6</v>
      </c>
      <c r="B1302" s="1">
        <v>46034</v>
      </c>
      <c r="C1302" t="s">
        <v>1240</v>
      </c>
      <c r="D1302">
        <v>-213</v>
      </c>
      <c r="E1302" t="s">
        <v>14</v>
      </c>
      <c r="F1302">
        <v>2266.11</v>
      </c>
      <c r="G1302" t="str" cm="1">
        <f t="array" ref="G1302">IF(AND(ISNUMBER(SEARCH("UBER",C1302)),ISNUMBER(SEARCH("EATS",C1302))),"Uber Eats",IF(LEFT(C1302,6)="CHECK ","Checks Paid",IF(OR(E1302="BILLPAY",ISNUMBER(SEARCH("FRANCHISE TAX",C1302)),ISNUMBER(SEARCH("NEXTLINK",C1302))),"Personal - House Bills",IF(AND(ISNUMBER(SEARCH("PAYMENT FROM",C1302)),ISNUMBER(SEARCH("JOE SAUNDERS",C1302))),"Zelle from Joe Saunders",IF(AND(ISNUMBER(SEARCH("PAYMENT TO",C1302)),ISNUMBER(SEARCH("JOE SAUNDERS",C1302))),"Zelle to Joe Saunders",IF(OR(ISNUMBER(SEARCH("NEW ORLEANS",C1302)),ISNUMBER(SEARCH("KENNER",C1302)),ISNUMBER(SEARCH("HENRY HOWARD",C1302)),ISNUMBER(SEARCH("MISS CLAUDIA",C1302))),"Personal Travel - New Orleans",IFERROR(INDEX('Category Rules'!$B$2:$B$194,MATCH(TRUE,ISNUMBER(SEARCH('Category Rules'!$A$2:$A$194,C1302)),0)),"")))))))</f>
        <v>Amazon</v>
      </c>
    </row>
    <row r="1303" spans="1:7" x14ac:dyDescent="0.25">
      <c r="A1303" t="s">
        <v>6</v>
      </c>
      <c r="B1303" s="1">
        <v>46034</v>
      </c>
      <c r="C1303" t="s">
        <v>1241</v>
      </c>
      <c r="D1303">
        <v>-34</v>
      </c>
      <c r="E1303" t="s">
        <v>14</v>
      </c>
      <c r="F1303">
        <v>2479.11</v>
      </c>
      <c r="G1303" t="str" cm="1">
        <f t="array" ref="G1303">IF(AND(ISNUMBER(SEARCH("UBER",C1303)),ISNUMBER(SEARCH("EATS",C1303))),"Uber Eats",IF(LEFT(C1303,6)="CHECK ","Checks Paid",IF(OR(E1303="BILLPAY",ISNUMBER(SEARCH("FRANCHISE TAX",C1303)),ISNUMBER(SEARCH("NEXTLINK",C1303))),"Personal - House Bills",IF(AND(ISNUMBER(SEARCH("PAYMENT FROM",C1303)),ISNUMBER(SEARCH("JOE SAUNDERS",C1303))),"Zelle from Joe Saunders",IF(AND(ISNUMBER(SEARCH("PAYMENT TO",C1303)),ISNUMBER(SEARCH("JOE SAUNDERS",C1303))),"Zelle to Joe Saunders",IF(OR(ISNUMBER(SEARCH("NEW ORLEANS",C1303)),ISNUMBER(SEARCH("KENNER",C1303)),ISNUMBER(SEARCH("HENRY HOWARD",C1303)),ISNUMBER(SEARCH("MISS CLAUDIA",C1303))),"Personal Travel - New Orleans",IFERROR(INDEX('Category Rules'!$B$2:$B$194,MATCH(TRUE,ISNUMBER(SEARCH('Category Rules'!$A$2:$A$194,C1303)),0)),"")))))))</f>
        <v>Amazon</v>
      </c>
    </row>
    <row r="1304" spans="1:7" x14ac:dyDescent="0.25">
      <c r="A1304" t="s">
        <v>6</v>
      </c>
      <c r="B1304" s="1">
        <v>46034</v>
      </c>
      <c r="C1304" t="s">
        <v>1242</v>
      </c>
      <c r="D1304">
        <v>-173.08</v>
      </c>
      <c r="E1304" t="s">
        <v>14</v>
      </c>
      <c r="F1304">
        <v>2513.11</v>
      </c>
      <c r="G1304" t="str" cm="1">
        <f t="array" ref="G1304">IF(AND(ISNUMBER(SEARCH("UBER",C1304)),ISNUMBER(SEARCH("EATS",C1304))),"Uber Eats",IF(LEFT(C1304,6)="CHECK ","Checks Paid",IF(OR(E1304="BILLPAY",ISNUMBER(SEARCH("FRANCHISE TAX",C1304)),ISNUMBER(SEARCH("NEXTLINK",C1304))),"Personal - House Bills",IF(AND(ISNUMBER(SEARCH("PAYMENT FROM",C1304)),ISNUMBER(SEARCH("JOE SAUNDERS",C1304))),"Zelle from Joe Saunders",IF(AND(ISNUMBER(SEARCH("PAYMENT TO",C1304)),ISNUMBER(SEARCH("JOE SAUNDERS",C1304))),"Zelle to Joe Saunders",IF(OR(ISNUMBER(SEARCH("NEW ORLEANS",C1304)),ISNUMBER(SEARCH("KENNER",C1304)),ISNUMBER(SEARCH("HENRY HOWARD",C1304)),ISNUMBER(SEARCH("MISS CLAUDIA",C1304))),"Personal Travel - New Orleans",IFERROR(INDEX('Category Rules'!$B$2:$B$194,MATCH(TRUE,ISNUMBER(SEARCH('Category Rules'!$A$2:$A$194,C1304)),0)),"")))))))</f>
        <v>Amazon</v>
      </c>
    </row>
    <row r="1305" spans="1:7" x14ac:dyDescent="0.25">
      <c r="A1305" t="s">
        <v>6</v>
      </c>
      <c r="B1305" s="1">
        <v>46034</v>
      </c>
      <c r="C1305" t="s">
        <v>1243</v>
      </c>
      <c r="D1305">
        <v>-528.34</v>
      </c>
      <c r="E1305" t="s">
        <v>14</v>
      </c>
      <c r="F1305">
        <v>2686.19</v>
      </c>
      <c r="G1305" t="str" cm="1">
        <f t="array" ref="G1305">IF(AND(ISNUMBER(SEARCH("UBER",C1305)),ISNUMBER(SEARCH("EATS",C1305))),"Uber Eats",IF(LEFT(C1305,6)="CHECK ","Checks Paid",IF(OR(E1305="BILLPAY",ISNUMBER(SEARCH("FRANCHISE TAX",C1305)),ISNUMBER(SEARCH("NEXTLINK",C1305))),"Personal - House Bills",IF(AND(ISNUMBER(SEARCH("PAYMENT FROM",C1305)),ISNUMBER(SEARCH("JOE SAUNDERS",C1305))),"Zelle from Joe Saunders",IF(AND(ISNUMBER(SEARCH("PAYMENT TO",C1305)),ISNUMBER(SEARCH("JOE SAUNDERS",C1305))),"Zelle to Joe Saunders",IF(OR(ISNUMBER(SEARCH("NEW ORLEANS",C1305)),ISNUMBER(SEARCH("KENNER",C1305)),ISNUMBER(SEARCH("HENRY HOWARD",C1305)),ISNUMBER(SEARCH("MISS CLAUDIA",C1305))),"Personal Travel - New Orleans",IFERROR(INDEX('Category Rules'!$B$2:$B$194,MATCH(TRUE,ISNUMBER(SEARCH('Category Rules'!$A$2:$A$194,C1305)),0)),"")))))))</f>
        <v>Amazon</v>
      </c>
    </row>
    <row r="1306" spans="1:7" x14ac:dyDescent="0.25">
      <c r="A1306" t="s">
        <v>6</v>
      </c>
      <c r="B1306" s="1">
        <v>46034</v>
      </c>
      <c r="C1306" t="s">
        <v>1244</v>
      </c>
      <c r="D1306">
        <v>-12.99</v>
      </c>
      <c r="E1306" t="s">
        <v>14</v>
      </c>
      <c r="F1306">
        <v>3214.53</v>
      </c>
      <c r="G1306" t="str" cm="1">
        <f t="array" ref="G1306">IF(AND(ISNUMBER(SEARCH("UBER",C1306)),ISNUMBER(SEARCH("EATS",C1306))),"Uber Eats",IF(LEFT(C1306,6)="CHECK ","Checks Paid",IF(OR(E1306="BILLPAY",ISNUMBER(SEARCH("FRANCHISE TAX",C1306)),ISNUMBER(SEARCH("NEXTLINK",C1306))),"Personal - House Bills",IF(AND(ISNUMBER(SEARCH("PAYMENT FROM",C1306)),ISNUMBER(SEARCH("JOE SAUNDERS",C1306))),"Zelle from Joe Saunders",IF(AND(ISNUMBER(SEARCH("PAYMENT TO",C1306)),ISNUMBER(SEARCH("JOE SAUNDERS",C1306))),"Zelle to Joe Saunders",IF(OR(ISNUMBER(SEARCH("NEW ORLEANS",C1306)),ISNUMBER(SEARCH("KENNER",C1306)),ISNUMBER(SEARCH("HENRY HOWARD",C1306)),ISNUMBER(SEARCH("MISS CLAUDIA",C1306))),"Personal Travel - New Orleans",IFERROR(INDEX('Category Rules'!$B$2:$B$194,MATCH(TRUE,ISNUMBER(SEARCH('Category Rules'!$A$2:$A$194,C1306)),0)),"")))))))</f>
        <v>Apple</v>
      </c>
    </row>
    <row r="1307" spans="1:7" x14ac:dyDescent="0.25">
      <c r="A1307" t="s">
        <v>6</v>
      </c>
      <c r="B1307" s="1">
        <v>46034</v>
      </c>
      <c r="C1307" t="s">
        <v>1245</v>
      </c>
      <c r="D1307">
        <v>-470.96</v>
      </c>
      <c r="E1307" t="s">
        <v>14</v>
      </c>
      <c r="F1307">
        <v>3227.52</v>
      </c>
      <c r="G1307" t="str" cm="1">
        <f t="array" ref="G1307">IF(AND(ISNUMBER(SEARCH("UBER",C1307)),ISNUMBER(SEARCH("EATS",C1307))),"Uber Eats",IF(LEFT(C1307,6)="CHECK ","Checks Paid",IF(OR(E1307="BILLPAY",ISNUMBER(SEARCH("FRANCHISE TAX",C1307)),ISNUMBER(SEARCH("NEXTLINK",C1307))),"Personal - House Bills",IF(AND(ISNUMBER(SEARCH("PAYMENT FROM",C1307)),ISNUMBER(SEARCH("JOE SAUNDERS",C1307))),"Zelle from Joe Saunders",IF(AND(ISNUMBER(SEARCH("PAYMENT TO",C1307)),ISNUMBER(SEARCH("JOE SAUNDERS",C1307))),"Zelle to Joe Saunders",IF(OR(ISNUMBER(SEARCH("NEW ORLEANS",C1307)),ISNUMBER(SEARCH("KENNER",C1307)),ISNUMBER(SEARCH("HENRY HOWARD",C1307)),ISNUMBER(SEARCH("MISS CLAUDIA",C1307))),"Personal Travel - New Orleans",IFERROR(INDEX('Category Rules'!$B$2:$B$194,MATCH(TRUE,ISNUMBER(SEARCH('Category Rules'!$A$2:$A$194,C1307)),0)),"")))))))</f>
        <v>Personal - Shopping</v>
      </c>
    </row>
    <row r="1308" spans="1:7" x14ac:dyDescent="0.25">
      <c r="A1308" t="s">
        <v>6</v>
      </c>
      <c r="B1308" s="1">
        <v>46031</v>
      </c>
      <c r="C1308" t="s">
        <v>1246</v>
      </c>
      <c r="D1308">
        <v>-4.99</v>
      </c>
      <c r="E1308" t="s">
        <v>14</v>
      </c>
      <c r="F1308">
        <v>3698.48</v>
      </c>
      <c r="G1308" t="str" cm="1">
        <f t="array" ref="G1308">IF(AND(ISNUMBER(SEARCH("UBER",C1308)),ISNUMBER(SEARCH("EATS",C1308))),"Uber Eats",IF(LEFT(C1308,6)="CHECK ","Checks Paid",IF(OR(E1308="BILLPAY",ISNUMBER(SEARCH("FRANCHISE TAX",C1308)),ISNUMBER(SEARCH("NEXTLINK",C1308))),"Personal - House Bills",IF(AND(ISNUMBER(SEARCH("PAYMENT FROM",C1308)),ISNUMBER(SEARCH("JOE SAUNDERS",C1308))),"Zelle from Joe Saunders",IF(AND(ISNUMBER(SEARCH("PAYMENT TO",C1308)),ISNUMBER(SEARCH("JOE SAUNDERS",C1308))),"Zelle to Joe Saunders",IF(OR(ISNUMBER(SEARCH("NEW ORLEANS",C1308)),ISNUMBER(SEARCH("KENNER",C1308)),ISNUMBER(SEARCH("HENRY HOWARD",C1308)),ISNUMBER(SEARCH("MISS CLAUDIA",C1308))),"Personal Travel - New Orleans",IFERROR(INDEX('Category Rules'!$B$2:$B$194,MATCH(TRUE,ISNUMBER(SEARCH('Category Rules'!$A$2:$A$194,C1308)),0)),"")))))))</f>
        <v>Amazon</v>
      </c>
    </row>
    <row r="1309" spans="1:7" x14ac:dyDescent="0.25">
      <c r="A1309" t="s">
        <v>6</v>
      </c>
      <c r="B1309" s="1">
        <v>46031</v>
      </c>
      <c r="C1309" t="s">
        <v>1247</v>
      </c>
      <c r="D1309">
        <v>-20.83</v>
      </c>
      <c r="E1309" t="s">
        <v>14</v>
      </c>
      <c r="F1309">
        <v>3703.47</v>
      </c>
      <c r="G1309" t="str" cm="1">
        <f t="array" ref="G1309">IF(AND(ISNUMBER(SEARCH("UBER",C1309)),ISNUMBER(SEARCH("EATS",C1309))),"Uber Eats",IF(LEFT(C1309,6)="CHECK ","Checks Paid",IF(OR(E1309="BILLPAY",ISNUMBER(SEARCH("FRANCHISE TAX",C1309)),ISNUMBER(SEARCH("NEXTLINK",C1309))),"Personal - House Bills",IF(AND(ISNUMBER(SEARCH("PAYMENT FROM",C1309)),ISNUMBER(SEARCH("JOE SAUNDERS",C1309))),"Zelle from Joe Saunders",IF(AND(ISNUMBER(SEARCH("PAYMENT TO",C1309)),ISNUMBER(SEARCH("JOE SAUNDERS",C1309))),"Zelle to Joe Saunders",IF(OR(ISNUMBER(SEARCH("NEW ORLEANS",C1309)),ISNUMBER(SEARCH("KENNER",C1309)),ISNUMBER(SEARCH("HENRY HOWARD",C1309)),ISNUMBER(SEARCH("MISS CLAUDIA",C1309))),"Personal Travel - New Orleans",IFERROR(INDEX('Category Rules'!$B$2:$B$194,MATCH(TRUE,ISNUMBER(SEARCH('Category Rules'!$A$2:$A$194,C1309)),0)),"")))))))</f>
        <v>Amazon</v>
      </c>
    </row>
    <row r="1310" spans="1:7" x14ac:dyDescent="0.25">
      <c r="A1310" t="s">
        <v>6</v>
      </c>
      <c r="B1310" s="1">
        <v>46031</v>
      </c>
      <c r="C1310" t="s">
        <v>1248</v>
      </c>
      <c r="D1310">
        <v>-6.99</v>
      </c>
      <c r="E1310" t="s">
        <v>14</v>
      </c>
      <c r="F1310">
        <v>3724.3</v>
      </c>
      <c r="G1310" t="str" cm="1">
        <f t="array" ref="G1310">IF(AND(ISNUMBER(SEARCH("UBER",C1310)),ISNUMBER(SEARCH("EATS",C1310))),"Uber Eats",IF(LEFT(C1310,6)="CHECK ","Checks Paid",IF(OR(E1310="BILLPAY",ISNUMBER(SEARCH("FRANCHISE TAX",C1310)),ISNUMBER(SEARCH("NEXTLINK",C1310))),"Personal - House Bills",IF(AND(ISNUMBER(SEARCH("PAYMENT FROM",C1310)),ISNUMBER(SEARCH("JOE SAUNDERS",C1310))),"Zelle from Joe Saunders",IF(AND(ISNUMBER(SEARCH("PAYMENT TO",C1310)),ISNUMBER(SEARCH("JOE SAUNDERS",C1310))),"Zelle to Joe Saunders",IF(OR(ISNUMBER(SEARCH("NEW ORLEANS",C1310)),ISNUMBER(SEARCH("KENNER",C1310)),ISNUMBER(SEARCH("HENRY HOWARD",C1310)),ISNUMBER(SEARCH("MISS CLAUDIA",C1310))),"Personal Travel - New Orleans",IFERROR(INDEX('Category Rules'!$B$2:$B$194,MATCH(TRUE,ISNUMBER(SEARCH('Category Rules'!$A$2:$A$194,C1310)),0)),"")))))))</f>
        <v>Apple</v>
      </c>
    </row>
    <row r="1311" spans="1:7" x14ac:dyDescent="0.25">
      <c r="A1311" t="s">
        <v>6</v>
      </c>
      <c r="B1311" s="1">
        <v>46031</v>
      </c>
      <c r="C1311" t="s">
        <v>1249</v>
      </c>
      <c r="D1311">
        <v>-316.3</v>
      </c>
      <c r="E1311" t="s">
        <v>14</v>
      </c>
      <c r="F1311">
        <v>3731.29</v>
      </c>
      <c r="G1311" t="str" cm="1">
        <f t="array" ref="G1311">IF(AND(ISNUMBER(SEARCH("UBER",C1311)),ISNUMBER(SEARCH("EATS",C1311))),"Uber Eats",IF(LEFT(C1311,6)="CHECK ","Checks Paid",IF(OR(E1311="BILLPAY",ISNUMBER(SEARCH("FRANCHISE TAX",C1311)),ISNUMBER(SEARCH("NEXTLINK",C1311))),"Personal - House Bills",IF(AND(ISNUMBER(SEARCH("PAYMENT FROM",C1311)),ISNUMBER(SEARCH("JOE SAUNDERS",C1311))),"Zelle from Joe Saunders",IF(AND(ISNUMBER(SEARCH("PAYMENT TO",C1311)),ISNUMBER(SEARCH("JOE SAUNDERS",C1311))),"Zelle to Joe Saunders",IF(OR(ISNUMBER(SEARCH("NEW ORLEANS",C1311)),ISNUMBER(SEARCH("KENNER",C1311)),ISNUMBER(SEARCH("HENRY HOWARD",C1311)),ISNUMBER(SEARCH("MISS CLAUDIA",C1311))),"Personal Travel - New Orleans",IFERROR(INDEX('Category Rules'!$B$2:$B$194,MATCH(TRUE,ISNUMBER(SEARCH('Category Rules'!$A$2:$A$194,C1311)),0)),"")))))))</f>
        <v>Personal - Clothing</v>
      </c>
    </row>
    <row r="1312" spans="1:7" x14ac:dyDescent="0.25">
      <c r="A1312" t="s">
        <v>6</v>
      </c>
      <c r="B1312" s="1">
        <v>46030</v>
      </c>
      <c r="C1312" t="s">
        <v>1250</v>
      </c>
      <c r="D1312">
        <v>-138.32</v>
      </c>
      <c r="E1312" t="s">
        <v>14</v>
      </c>
      <c r="F1312">
        <v>4047.59</v>
      </c>
      <c r="G1312" t="str" cm="1">
        <f t="array" ref="G1312">IF(AND(ISNUMBER(SEARCH("UBER",C1312)),ISNUMBER(SEARCH("EATS",C1312))),"Uber Eats",IF(LEFT(C1312,6)="CHECK ","Checks Paid",IF(OR(E1312="BILLPAY",ISNUMBER(SEARCH("FRANCHISE TAX",C1312)),ISNUMBER(SEARCH("NEXTLINK",C1312))),"Personal - House Bills",IF(AND(ISNUMBER(SEARCH("PAYMENT FROM",C1312)),ISNUMBER(SEARCH("JOE SAUNDERS",C1312))),"Zelle from Joe Saunders",IF(AND(ISNUMBER(SEARCH("PAYMENT TO",C1312)),ISNUMBER(SEARCH("JOE SAUNDERS",C1312))),"Zelle to Joe Saunders",IF(OR(ISNUMBER(SEARCH("NEW ORLEANS",C1312)),ISNUMBER(SEARCH("KENNER",C1312)),ISNUMBER(SEARCH("HENRY HOWARD",C1312)),ISNUMBER(SEARCH("MISS CLAUDIA",C1312))),"Personal Travel - New Orleans",IFERROR(INDEX('Category Rules'!$B$2:$B$194,MATCH(TRUE,ISNUMBER(SEARCH('Category Rules'!$A$2:$A$194,C1312)),0)),"")))))))</f>
        <v>Personal - Health</v>
      </c>
    </row>
    <row r="1313" spans="1:7" x14ac:dyDescent="0.25">
      <c r="A1313" t="s">
        <v>6</v>
      </c>
      <c r="B1313" s="1">
        <v>46030</v>
      </c>
      <c r="C1313" t="s">
        <v>1251</v>
      </c>
      <c r="D1313">
        <v>-97.2</v>
      </c>
      <c r="E1313" t="s">
        <v>14</v>
      </c>
      <c r="F1313">
        <v>4185.91</v>
      </c>
      <c r="G1313" t="str" cm="1">
        <f t="array" ref="G1313">IF(AND(ISNUMBER(SEARCH("UBER",C1313)),ISNUMBER(SEARCH("EATS",C1313))),"Uber Eats",IF(LEFT(C1313,6)="CHECK ","Checks Paid",IF(OR(E1313="BILLPAY",ISNUMBER(SEARCH("FRANCHISE TAX",C1313)),ISNUMBER(SEARCH("NEXTLINK",C1313))),"Personal - House Bills",IF(AND(ISNUMBER(SEARCH("PAYMENT FROM",C1313)),ISNUMBER(SEARCH("JOE SAUNDERS",C1313))),"Zelle from Joe Saunders",IF(AND(ISNUMBER(SEARCH("PAYMENT TO",C1313)),ISNUMBER(SEARCH("JOE SAUNDERS",C1313))),"Zelle to Joe Saunders",IF(OR(ISNUMBER(SEARCH("NEW ORLEANS",C1313)),ISNUMBER(SEARCH("KENNER",C1313)),ISNUMBER(SEARCH("HENRY HOWARD",C1313)),ISNUMBER(SEARCH("MISS CLAUDIA",C1313))),"Personal Travel - New Orleans",IFERROR(INDEX('Category Rules'!$B$2:$B$194,MATCH(TRUE,ISNUMBER(SEARCH('Category Rules'!$A$2:$A$194,C1313)),0)),"")))))))</f>
        <v>Personal - Entertainment</v>
      </c>
    </row>
    <row r="1314" spans="1:7" x14ac:dyDescent="0.25">
      <c r="A1314" t="s">
        <v>6</v>
      </c>
      <c r="B1314" s="1">
        <v>46030</v>
      </c>
      <c r="C1314" t="s">
        <v>1252</v>
      </c>
      <c r="D1314">
        <v>-35</v>
      </c>
      <c r="E1314" t="s">
        <v>14</v>
      </c>
      <c r="F1314">
        <v>4283.1099999999997</v>
      </c>
      <c r="G1314" t="str" cm="1">
        <f t="array" ref="G1314">IF(AND(ISNUMBER(SEARCH("UBER",C1314)),ISNUMBER(SEARCH("EATS",C1314))),"Uber Eats",IF(LEFT(C1314,6)="CHECK ","Checks Paid",IF(OR(E1314="BILLPAY",ISNUMBER(SEARCH("FRANCHISE TAX",C1314)),ISNUMBER(SEARCH("NEXTLINK",C1314))),"Personal - House Bills",IF(AND(ISNUMBER(SEARCH("PAYMENT FROM",C1314)),ISNUMBER(SEARCH("JOE SAUNDERS",C1314))),"Zelle from Joe Saunders",IF(AND(ISNUMBER(SEARCH("PAYMENT TO",C1314)),ISNUMBER(SEARCH("JOE SAUNDERS",C1314))),"Zelle to Joe Saunders",IF(OR(ISNUMBER(SEARCH("NEW ORLEANS",C1314)),ISNUMBER(SEARCH("KENNER",C1314)),ISNUMBER(SEARCH("HENRY HOWARD",C1314)),ISNUMBER(SEARCH("MISS CLAUDIA",C1314))),"Personal Travel - New Orleans",IFERROR(INDEX('Category Rules'!$B$2:$B$194,MATCH(TRUE,ISNUMBER(SEARCH('Category Rules'!$A$2:$A$194,C1314)),0)),"")))))))</f>
        <v>Personal Travel</v>
      </c>
    </row>
    <row r="1315" spans="1:7" x14ac:dyDescent="0.25">
      <c r="A1315" t="s">
        <v>6</v>
      </c>
      <c r="B1315" s="1">
        <v>46030</v>
      </c>
      <c r="C1315" t="s">
        <v>1252</v>
      </c>
      <c r="D1315">
        <v>-35</v>
      </c>
      <c r="E1315" t="s">
        <v>14</v>
      </c>
      <c r="F1315">
        <v>4318.1099999999997</v>
      </c>
      <c r="G1315" t="str" cm="1">
        <f t="array" ref="G1315">IF(AND(ISNUMBER(SEARCH("UBER",C1315)),ISNUMBER(SEARCH("EATS",C1315))),"Uber Eats",IF(LEFT(C1315,6)="CHECK ","Checks Paid",IF(OR(E1315="BILLPAY",ISNUMBER(SEARCH("FRANCHISE TAX",C1315)),ISNUMBER(SEARCH("NEXTLINK",C1315))),"Personal - House Bills",IF(AND(ISNUMBER(SEARCH("PAYMENT FROM",C1315)),ISNUMBER(SEARCH("JOE SAUNDERS",C1315))),"Zelle from Joe Saunders",IF(AND(ISNUMBER(SEARCH("PAYMENT TO",C1315)),ISNUMBER(SEARCH("JOE SAUNDERS",C1315))),"Zelle to Joe Saunders",IF(OR(ISNUMBER(SEARCH("NEW ORLEANS",C1315)),ISNUMBER(SEARCH("KENNER",C1315)),ISNUMBER(SEARCH("HENRY HOWARD",C1315)),ISNUMBER(SEARCH("MISS CLAUDIA",C1315))),"Personal Travel - New Orleans",IFERROR(INDEX('Category Rules'!$B$2:$B$194,MATCH(TRUE,ISNUMBER(SEARCH('Category Rules'!$A$2:$A$194,C1315)),0)),"")))))))</f>
        <v>Personal Travel</v>
      </c>
    </row>
    <row r="1316" spans="1:7" x14ac:dyDescent="0.25">
      <c r="A1316" t="s">
        <v>6</v>
      </c>
      <c r="B1316" s="1">
        <v>46030</v>
      </c>
      <c r="C1316" t="s">
        <v>1253</v>
      </c>
      <c r="D1316">
        <v>-35</v>
      </c>
      <c r="E1316" t="s">
        <v>14</v>
      </c>
      <c r="F1316">
        <v>4353.1099999999997</v>
      </c>
      <c r="G1316" t="str" cm="1">
        <f t="array" ref="G1316">IF(AND(ISNUMBER(SEARCH("UBER",C1316)),ISNUMBER(SEARCH("EATS",C1316))),"Uber Eats",IF(LEFT(C1316,6)="CHECK ","Checks Paid",IF(OR(E1316="BILLPAY",ISNUMBER(SEARCH("FRANCHISE TAX",C1316)),ISNUMBER(SEARCH("NEXTLINK",C1316))),"Personal - House Bills",IF(AND(ISNUMBER(SEARCH("PAYMENT FROM",C1316)),ISNUMBER(SEARCH("JOE SAUNDERS",C1316))),"Zelle from Joe Saunders",IF(AND(ISNUMBER(SEARCH("PAYMENT TO",C1316)),ISNUMBER(SEARCH("JOE SAUNDERS",C1316))),"Zelle to Joe Saunders",IF(OR(ISNUMBER(SEARCH("NEW ORLEANS",C1316)),ISNUMBER(SEARCH("KENNER",C1316)),ISNUMBER(SEARCH("HENRY HOWARD",C1316)),ISNUMBER(SEARCH("MISS CLAUDIA",C1316))),"Personal Travel - New Orleans",IFERROR(INDEX('Category Rules'!$B$2:$B$194,MATCH(TRUE,ISNUMBER(SEARCH('Category Rules'!$A$2:$A$194,C1316)),0)),"")))))))</f>
        <v>Personal Travel</v>
      </c>
    </row>
    <row r="1317" spans="1:7" x14ac:dyDescent="0.25">
      <c r="A1317" t="s">
        <v>6</v>
      </c>
      <c r="B1317" s="1">
        <v>46030</v>
      </c>
      <c r="C1317" t="s">
        <v>1252</v>
      </c>
      <c r="D1317">
        <v>-45</v>
      </c>
      <c r="E1317" t="s">
        <v>14</v>
      </c>
      <c r="F1317">
        <v>4388.1099999999997</v>
      </c>
      <c r="G1317" t="str" cm="1">
        <f t="array" ref="G1317">IF(AND(ISNUMBER(SEARCH("UBER",C1317)),ISNUMBER(SEARCH("EATS",C1317))),"Uber Eats",IF(LEFT(C1317,6)="CHECK ","Checks Paid",IF(OR(E1317="BILLPAY",ISNUMBER(SEARCH("FRANCHISE TAX",C1317)),ISNUMBER(SEARCH("NEXTLINK",C1317))),"Personal - House Bills",IF(AND(ISNUMBER(SEARCH("PAYMENT FROM",C1317)),ISNUMBER(SEARCH("JOE SAUNDERS",C1317))),"Zelle from Joe Saunders",IF(AND(ISNUMBER(SEARCH("PAYMENT TO",C1317)),ISNUMBER(SEARCH("JOE SAUNDERS",C1317))),"Zelle to Joe Saunders",IF(OR(ISNUMBER(SEARCH("NEW ORLEANS",C1317)),ISNUMBER(SEARCH("KENNER",C1317)),ISNUMBER(SEARCH("HENRY HOWARD",C1317)),ISNUMBER(SEARCH("MISS CLAUDIA",C1317))),"Personal Travel - New Orleans",IFERROR(INDEX('Category Rules'!$B$2:$B$194,MATCH(TRUE,ISNUMBER(SEARCH('Category Rules'!$A$2:$A$194,C1317)),0)),"")))))))</f>
        <v>Personal Travel</v>
      </c>
    </row>
    <row r="1318" spans="1:7" x14ac:dyDescent="0.25">
      <c r="A1318" t="s">
        <v>6</v>
      </c>
      <c r="B1318" s="1">
        <v>46030</v>
      </c>
      <c r="C1318" t="s">
        <v>1254</v>
      </c>
      <c r="D1318">
        <v>-13.99</v>
      </c>
      <c r="E1318" t="s">
        <v>14</v>
      </c>
      <c r="F1318">
        <v>4433.1099999999997</v>
      </c>
      <c r="G1318" t="str" cm="1">
        <f t="array" ref="G1318">IF(AND(ISNUMBER(SEARCH("UBER",C1318)),ISNUMBER(SEARCH("EATS",C1318))),"Uber Eats",IF(LEFT(C1318,6)="CHECK ","Checks Paid",IF(OR(E1318="BILLPAY",ISNUMBER(SEARCH("FRANCHISE TAX",C1318)),ISNUMBER(SEARCH("NEXTLINK",C1318))),"Personal - House Bills",IF(AND(ISNUMBER(SEARCH("PAYMENT FROM",C1318)),ISNUMBER(SEARCH("JOE SAUNDERS",C1318))),"Zelle from Joe Saunders",IF(AND(ISNUMBER(SEARCH("PAYMENT TO",C1318)),ISNUMBER(SEARCH("JOE SAUNDERS",C1318))),"Zelle to Joe Saunders",IF(OR(ISNUMBER(SEARCH("NEW ORLEANS",C1318)),ISNUMBER(SEARCH("KENNER",C1318)),ISNUMBER(SEARCH("HENRY HOWARD",C1318)),ISNUMBER(SEARCH("MISS CLAUDIA",C1318))),"Personal Travel - New Orleans",IFERROR(INDEX('Category Rules'!$B$2:$B$194,MATCH(TRUE,ISNUMBER(SEARCH('Category Rules'!$A$2:$A$194,C1318)),0)),"")))))))</f>
        <v>Amazon</v>
      </c>
    </row>
    <row r="1319" spans="1:7" x14ac:dyDescent="0.25">
      <c r="A1319" t="s">
        <v>6</v>
      </c>
      <c r="B1319" s="1">
        <v>46030</v>
      </c>
      <c r="C1319" t="s">
        <v>1255</v>
      </c>
      <c r="D1319">
        <v>-126.89</v>
      </c>
      <c r="E1319" t="s">
        <v>14</v>
      </c>
      <c r="F1319">
        <v>4447.1000000000004</v>
      </c>
      <c r="G1319" t="s">
        <v>1310</v>
      </c>
    </row>
    <row r="1320" spans="1:7" x14ac:dyDescent="0.25">
      <c r="A1320" t="s">
        <v>37</v>
      </c>
      <c r="B1320" s="1">
        <v>46030</v>
      </c>
      <c r="C1320" t="s">
        <v>1256</v>
      </c>
      <c r="D1320">
        <v>2000</v>
      </c>
      <c r="E1320" t="s">
        <v>39</v>
      </c>
      <c r="F1320">
        <v>4573.99</v>
      </c>
      <c r="G1320" t="str" cm="1">
        <f t="array" ref="G1320">IF(AND(ISNUMBER(SEARCH("UBER",C1320)),ISNUMBER(SEARCH("EATS",C1320))),"Uber Eats",IF(LEFT(C1320,6)="CHECK ","Checks Paid",IF(OR(E1320="BILLPAY",ISNUMBER(SEARCH("FRANCHISE TAX",C1320)),ISNUMBER(SEARCH("NEXTLINK",C1320))),"Personal - House Bills",IF(AND(ISNUMBER(SEARCH("PAYMENT FROM",C1320)),ISNUMBER(SEARCH("JOE SAUNDERS",C1320))),"Zelle from Joe Saunders",IF(AND(ISNUMBER(SEARCH("PAYMENT TO",C1320)),ISNUMBER(SEARCH("JOE SAUNDERS",C1320))),"Zelle to Joe Saunders",IF(OR(ISNUMBER(SEARCH("NEW ORLEANS",C1320)),ISNUMBER(SEARCH("KENNER",C1320)),ISNUMBER(SEARCH("HENRY HOWARD",C1320)),ISNUMBER(SEARCH("MISS CLAUDIA",C1320))),"Personal Travel - New Orleans",IFERROR(INDEX('Category Rules'!$B$2:$B$194,MATCH(TRUE,ISNUMBER(SEARCH('Category Rules'!$A$2:$A$194,C1320)),0)),"")))))))</f>
        <v>Transfer from DWG Capital Group</v>
      </c>
    </row>
    <row r="1321" spans="1:7" x14ac:dyDescent="0.25">
      <c r="A1321" t="s">
        <v>6</v>
      </c>
      <c r="B1321" s="1">
        <v>46029</v>
      </c>
      <c r="C1321" t="s">
        <v>1257</v>
      </c>
      <c r="D1321">
        <v>-20</v>
      </c>
      <c r="E1321" t="s">
        <v>14</v>
      </c>
      <c r="F1321">
        <v>2573.9899999999998</v>
      </c>
      <c r="G1321" t="str" cm="1">
        <f t="array" ref="G1321">IF(AND(ISNUMBER(SEARCH("UBER",C1321)),ISNUMBER(SEARCH("EATS",C1321))),"Uber Eats",IF(LEFT(C1321,6)="CHECK ","Checks Paid",IF(OR(E1321="BILLPAY",ISNUMBER(SEARCH("FRANCHISE TAX",C1321)),ISNUMBER(SEARCH("NEXTLINK",C1321))),"Personal - House Bills",IF(AND(ISNUMBER(SEARCH("PAYMENT FROM",C1321)),ISNUMBER(SEARCH("JOE SAUNDERS",C1321))),"Zelle from Joe Saunders",IF(AND(ISNUMBER(SEARCH("PAYMENT TO",C1321)),ISNUMBER(SEARCH("JOE SAUNDERS",C1321))),"Zelle to Joe Saunders",IF(OR(ISNUMBER(SEARCH("NEW ORLEANS",C1321)),ISNUMBER(SEARCH("KENNER",C1321)),ISNUMBER(SEARCH("HENRY HOWARD",C1321)),ISNUMBER(SEARCH("MISS CLAUDIA",C1321))),"Personal Travel - New Orleans",IFERROR(INDEX('Category Rules'!$B$2:$B$194,MATCH(TRUE,ISNUMBER(SEARCH('Category Rules'!$A$2:$A$194,C1321)),0)),"")))))))</f>
        <v>Amazon</v>
      </c>
    </row>
    <row r="1322" spans="1:7" x14ac:dyDescent="0.25">
      <c r="A1322" t="s">
        <v>6</v>
      </c>
      <c r="B1322" s="1">
        <v>46029</v>
      </c>
      <c r="C1322" t="s">
        <v>1258</v>
      </c>
      <c r="D1322">
        <v>-192.24</v>
      </c>
      <c r="E1322" t="s">
        <v>14</v>
      </c>
      <c r="F1322">
        <v>2593.9899999999998</v>
      </c>
      <c r="G1322" t="str" cm="1">
        <f t="array" ref="G1322">IF(AND(ISNUMBER(SEARCH("UBER",C1322)),ISNUMBER(SEARCH("EATS",C1322))),"Uber Eats",IF(LEFT(C1322,6)="CHECK ","Checks Paid",IF(OR(E1322="BILLPAY",ISNUMBER(SEARCH("FRANCHISE TAX",C1322)),ISNUMBER(SEARCH("NEXTLINK",C1322))),"Personal - House Bills",IF(AND(ISNUMBER(SEARCH("PAYMENT FROM",C1322)),ISNUMBER(SEARCH("JOE SAUNDERS",C1322))),"Zelle from Joe Saunders",IF(AND(ISNUMBER(SEARCH("PAYMENT TO",C1322)),ISNUMBER(SEARCH("JOE SAUNDERS",C1322))),"Zelle to Joe Saunders",IF(OR(ISNUMBER(SEARCH("NEW ORLEANS",C1322)),ISNUMBER(SEARCH("KENNER",C1322)),ISNUMBER(SEARCH("HENRY HOWARD",C1322)),ISNUMBER(SEARCH("MISS CLAUDIA",C1322))),"Personal Travel - New Orleans",IFERROR(INDEX('Category Rules'!$B$2:$B$194,MATCH(TRUE,ISNUMBER(SEARCH('Category Rules'!$A$2:$A$194,C1322)),0)),"")))))))</f>
        <v>Personal - Health</v>
      </c>
    </row>
    <row r="1323" spans="1:7" x14ac:dyDescent="0.25">
      <c r="A1323" t="s">
        <v>6</v>
      </c>
      <c r="B1323" s="1">
        <v>46029</v>
      </c>
      <c r="C1323" t="s">
        <v>1259</v>
      </c>
      <c r="D1323">
        <v>-39.07</v>
      </c>
      <c r="E1323" t="s">
        <v>14</v>
      </c>
      <c r="F1323">
        <v>2786.23</v>
      </c>
      <c r="G1323" t="str" cm="1">
        <f t="array" ref="G1323">IF(AND(ISNUMBER(SEARCH("UBER",C1323)),ISNUMBER(SEARCH("EATS",C1323))),"Uber Eats",IF(LEFT(C1323,6)="CHECK ","Checks Paid",IF(OR(E1323="BILLPAY",ISNUMBER(SEARCH("FRANCHISE TAX",C1323)),ISNUMBER(SEARCH("NEXTLINK",C1323))),"Personal - House Bills",IF(AND(ISNUMBER(SEARCH("PAYMENT FROM",C1323)),ISNUMBER(SEARCH("JOE SAUNDERS",C1323))),"Zelle from Joe Saunders",IF(AND(ISNUMBER(SEARCH("PAYMENT TO",C1323)),ISNUMBER(SEARCH("JOE SAUNDERS",C1323))),"Zelle to Joe Saunders",IF(OR(ISNUMBER(SEARCH("NEW ORLEANS",C1323)),ISNUMBER(SEARCH("KENNER",C1323)),ISNUMBER(SEARCH("HENRY HOWARD",C1323)),ISNUMBER(SEARCH("MISS CLAUDIA",C1323))),"Personal Travel - New Orleans",IFERROR(INDEX('Category Rules'!$B$2:$B$194,MATCH(TRUE,ISNUMBER(SEARCH('Category Rules'!$A$2:$A$194,C1323)),0)),"")))))))</f>
        <v>Amazon</v>
      </c>
    </row>
    <row r="1324" spans="1:7" x14ac:dyDescent="0.25">
      <c r="A1324" t="s">
        <v>6</v>
      </c>
      <c r="B1324" s="1">
        <v>46028</v>
      </c>
      <c r="C1324" t="s">
        <v>1260</v>
      </c>
      <c r="D1324">
        <v>-13.99</v>
      </c>
      <c r="E1324" t="s">
        <v>14</v>
      </c>
      <c r="F1324">
        <v>2825.3</v>
      </c>
      <c r="G1324" t="str" cm="1">
        <f t="array" ref="G1324">IF(AND(ISNUMBER(SEARCH("UBER",C1324)),ISNUMBER(SEARCH("EATS",C1324))),"Uber Eats",IF(LEFT(C1324,6)="CHECK ","Checks Paid",IF(OR(E1324="BILLPAY",ISNUMBER(SEARCH("FRANCHISE TAX",C1324)),ISNUMBER(SEARCH("NEXTLINK",C1324))),"Personal - House Bills",IF(AND(ISNUMBER(SEARCH("PAYMENT FROM",C1324)),ISNUMBER(SEARCH("JOE SAUNDERS",C1324))),"Zelle from Joe Saunders",IF(AND(ISNUMBER(SEARCH("PAYMENT TO",C1324)),ISNUMBER(SEARCH("JOE SAUNDERS",C1324))),"Zelle to Joe Saunders",IF(OR(ISNUMBER(SEARCH("NEW ORLEANS",C1324)),ISNUMBER(SEARCH("KENNER",C1324)),ISNUMBER(SEARCH("HENRY HOWARD",C1324)),ISNUMBER(SEARCH("MISS CLAUDIA",C1324))),"Personal Travel - New Orleans",IFERROR(INDEX('Category Rules'!$B$2:$B$194,MATCH(TRUE,ISNUMBER(SEARCH('Category Rules'!$A$2:$A$194,C1324)),0)),"")))))))</f>
        <v>YouTube Premium</v>
      </c>
    </row>
    <row r="1325" spans="1:7" x14ac:dyDescent="0.25">
      <c r="A1325" t="s">
        <v>6</v>
      </c>
      <c r="B1325" s="1">
        <v>46028</v>
      </c>
      <c r="C1325" t="s">
        <v>1261</v>
      </c>
      <c r="D1325">
        <v>-94.97</v>
      </c>
      <c r="E1325" t="s">
        <v>14</v>
      </c>
      <c r="F1325">
        <v>2839.29</v>
      </c>
      <c r="G1325" t="str" cm="1">
        <f t="array" ref="G1325">IF(AND(ISNUMBER(SEARCH("UBER",C1325)),ISNUMBER(SEARCH("EATS",C1325))),"Uber Eats",IF(LEFT(C1325,6)="CHECK ","Checks Paid",IF(OR(E1325="BILLPAY",ISNUMBER(SEARCH("FRANCHISE TAX",C1325)),ISNUMBER(SEARCH("NEXTLINK",C1325))),"Personal - House Bills",IF(AND(ISNUMBER(SEARCH("PAYMENT FROM",C1325)),ISNUMBER(SEARCH("JOE SAUNDERS",C1325))),"Zelle from Joe Saunders",IF(AND(ISNUMBER(SEARCH("PAYMENT TO",C1325)),ISNUMBER(SEARCH("JOE SAUNDERS",C1325))),"Zelle to Joe Saunders",IF(OR(ISNUMBER(SEARCH("NEW ORLEANS",C1325)),ISNUMBER(SEARCH("KENNER",C1325)),ISNUMBER(SEARCH("HENRY HOWARD",C1325)),ISNUMBER(SEARCH("MISS CLAUDIA",C1325))),"Personal Travel - New Orleans",IFERROR(INDEX('Category Rules'!$B$2:$B$194,MATCH(TRUE,ISNUMBER(SEARCH('Category Rules'!$A$2:$A$194,C1325)),0)),"")))))))</f>
        <v>Amazon</v>
      </c>
    </row>
    <row r="1326" spans="1:7" x14ac:dyDescent="0.25">
      <c r="A1326" t="s">
        <v>6</v>
      </c>
      <c r="B1326" s="1">
        <v>46028</v>
      </c>
      <c r="C1326" t="s">
        <v>1262</v>
      </c>
      <c r="D1326">
        <v>-254.55</v>
      </c>
      <c r="E1326" t="s">
        <v>14</v>
      </c>
      <c r="F1326">
        <v>2934.26</v>
      </c>
      <c r="G1326" t="s">
        <v>1309</v>
      </c>
    </row>
    <row r="1327" spans="1:7" x14ac:dyDescent="0.25">
      <c r="A1327" t="s">
        <v>6</v>
      </c>
      <c r="B1327" s="1">
        <v>46028</v>
      </c>
      <c r="C1327" t="s">
        <v>1263</v>
      </c>
      <c r="D1327">
        <v>-29.95</v>
      </c>
      <c r="E1327" t="s">
        <v>14</v>
      </c>
      <c r="F1327">
        <v>3188.81</v>
      </c>
      <c r="G1327" t="str" cm="1">
        <f t="array" ref="G1327">IF(AND(ISNUMBER(SEARCH("UBER",C1327)),ISNUMBER(SEARCH("EATS",C1327))),"Uber Eats",IF(LEFT(C1327,6)="CHECK ","Checks Paid",IF(OR(E1327="BILLPAY",ISNUMBER(SEARCH("FRANCHISE TAX",C1327)),ISNUMBER(SEARCH("NEXTLINK",C1327))),"Personal - House Bills",IF(AND(ISNUMBER(SEARCH("PAYMENT FROM",C1327)),ISNUMBER(SEARCH("JOE SAUNDERS",C1327))),"Zelle from Joe Saunders",IF(AND(ISNUMBER(SEARCH("PAYMENT TO",C1327)),ISNUMBER(SEARCH("JOE SAUNDERS",C1327))),"Zelle to Joe Saunders",IF(OR(ISNUMBER(SEARCH("NEW ORLEANS",C1327)),ISNUMBER(SEARCH("KENNER",C1327)),ISNUMBER(SEARCH("HENRY HOWARD",C1327)),ISNUMBER(SEARCH("MISS CLAUDIA",C1327))),"Personal Travel - New Orleans",IFERROR(INDEX('Category Rules'!$B$2:$B$194,MATCH(TRUE,ISNUMBER(SEARCH('Category Rules'!$A$2:$A$194,C1327)),0)),"")))))))</f>
        <v>Personal - Subscription</v>
      </c>
    </row>
    <row r="1328" spans="1:7" x14ac:dyDescent="0.25">
      <c r="A1328" t="s">
        <v>6</v>
      </c>
      <c r="B1328" s="1">
        <v>46028</v>
      </c>
      <c r="C1328" t="s">
        <v>1264</v>
      </c>
      <c r="D1328">
        <v>-22</v>
      </c>
      <c r="E1328" t="s">
        <v>14</v>
      </c>
      <c r="F1328">
        <v>3218.76</v>
      </c>
      <c r="G1328" t="str" cm="1">
        <f t="array" ref="G1328">IF(AND(ISNUMBER(SEARCH("UBER",C1328)),ISNUMBER(SEARCH("EATS",C1328))),"Uber Eats",IF(LEFT(C1328,6)="CHECK ","Checks Paid",IF(OR(E1328="BILLPAY",ISNUMBER(SEARCH("FRANCHISE TAX",C1328)),ISNUMBER(SEARCH("NEXTLINK",C1328))),"Personal - House Bills",IF(AND(ISNUMBER(SEARCH("PAYMENT FROM",C1328)),ISNUMBER(SEARCH("JOE SAUNDERS",C1328))),"Zelle from Joe Saunders",IF(AND(ISNUMBER(SEARCH("PAYMENT TO",C1328)),ISNUMBER(SEARCH("JOE SAUNDERS",C1328))),"Zelle to Joe Saunders",IF(OR(ISNUMBER(SEARCH("NEW ORLEANS",C1328)),ISNUMBER(SEARCH("KENNER",C1328)),ISNUMBER(SEARCH("HENRY HOWARD",C1328)),ISNUMBER(SEARCH("MISS CLAUDIA",C1328))),"Personal Travel - New Orleans",IFERROR(INDEX('Category Rules'!$B$2:$B$194,MATCH(TRUE,ISNUMBER(SEARCH('Category Rules'!$A$2:$A$194,C1328)),0)),"")))))))</f>
        <v>Personal - Subscription</v>
      </c>
    </row>
    <row r="1329" spans="1:7" x14ac:dyDescent="0.25">
      <c r="A1329" t="s">
        <v>6</v>
      </c>
      <c r="B1329" s="1">
        <v>46027</v>
      </c>
      <c r="C1329" t="s">
        <v>1265</v>
      </c>
      <c r="D1329">
        <v>-8.77</v>
      </c>
      <c r="E1329" t="s">
        <v>14</v>
      </c>
      <c r="F1329">
        <v>3240.76</v>
      </c>
      <c r="G1329" t="str" cm="1">
        <f t="array" ref="G1329">IF(AND(ISNUMBER(SEARCH("UBER",C1329)),ISNUMBER(SEARCH("EATS",C1329))),"Uber Eats",IF(LEFT(C1329,6)="CHECK ","Checks Paid",IF(OR(E1329="BILLPAY",ISNUMBER(SEARCH("FRANCHISE TAX",C1329)),ISNUMBER(SEARCH("NEXTLINK",C1329))),"Personal - House Bills",IF(AND(ISNUMBER(SEARCH("PAYMENT FROM",C1329)),ISNUMBER(SEARCH("JOE SAUNDERS",C1329))),"Zelle from Joe Saunders",IF(AND(ISNUMBER(SEARCH("PAYMENT TO",C1329)),ISNUMBER(SEARCH("JOE SAUNDERS",C1329))),"Zelle to Joe Saunders",IF(OR(ISNUMBER(SEARCH("NEW ORLEANS",C1329)),ISNUMBER(SEARCH("KENNER",C1329)),ISNUMBER(SEARCH("HENRY HOWARD",C1329)),ISNUMBER(SEARCH("MISS CLAUDIA",C1329))),"Personal Travel - New Orleans",IFERROR(INDEX('Category Rules'!$B$2:$B$194,MATCH(TRUE,ISNUMBER(SEARCH('Category Rules'!$A$2:$A$194,C1329)),0)),"")))))))</f>
        <v>Amazon</v>
      </c>
    </row>
    <row r="1330" spans="1:7" x14ac:dyDescent="0.25">
      <c r="A1330" t="s">
        <v>6</v>
      </c>
      <c r="B1330" s="1">
        <v>46027</v>
      </c>
      <c r="C1330" t="s">
        <v>1266</v>
      </c>
      <c r="D1330">
        <v>-13.16</v>
      </c>
      <c r="E1330" t="s">
        <v>14</v>
      </c>
      <c r="F1330">
        <v>3249.53</v>
      </c>
      <c r="G1330" t="str" cm="1">
        <f t="array" ref="G1330">IF(AND(ISNUMBER(SEARCH("UBER",C1330)),ISNUMBER(SEARCH("EATS",C1330))),"Uber Eats",IF(LEFT(C1330,6)="CHECK ","Checks Paid",IF(OR(E1330="BILLPAY",ISNUMBER(SEARCH("FRANCHISE TAX",C1330)),ISNUMBER(SEARCH("NEXTLINK",C1330))),"Personal - House Bills",IF(AND(ISNUMBER(SEARCH("PAYMENT FROM",C1330)),ISNUMBER(SEARCH("JOE SAUNDERS",C1330))),"Zelle from Joe Saunders",IF(AND(ISNUMBER(SEARCH("PAYMENT TO",C1330)),ISNUMBER(SEARCH("JOE SAUNDERS",C1330))),"Zelle to Joe Saunders",IF(OR(ISNUMBER(SEARCH("NEW ORLEANS",C1330)),ISNUMBER(SEARCH("KENNER",C1330)),ISNUMBER(SEARCH("HENRY HOWARD",C1330)),ISNUMBER(SEARCH("MISS CLAUDIA",C1330))),"Personal Travel - New Orleans",IFERROR(INDEX('Category Rules'!$B$2:$B$194,MATCH(TRUE,ISNUMBER(SEARCH('Category Rules'!$A$2:$A$194,C1330)),0)),"")))))))</f>
        <v>Amazon</v>
      </c>
    </row>
    <row r="1331" spans="1:7" x14ac:dyDescent="0.25">
      <c r="A1331" t="s">
        <v>6</v>
      </c>
      <c r="B1331" s="1">
        <v>46027</v>
      </c>
      <c r="C1331" t="s">
        <v>1267</v>
      </c>
      <c r="D1331">
        <v>-232.63</v>
      </c>
      <c r="E1331" t="s">
        <v>14</v>
      </c>
      <c r="F1331">
        <v>3262.69</v>
      </c>
      <c r="G1331" t="str" cm="1">
        <f t="array" ref="G1331">IF(AND(ISNUMBER(SEARCH("UBER",C1331)),ISNUMBER(SEARCH("EATS",C1331))),"Uber Eats",IF(LEFT(C1331,6)="CHECK ","Checks Paid",IF(OR(E1331="BILLPAY",ISNUMBER(SEARCH("FRANCHISE TAX",C1331)),ISNUMBER(SEARCH("NEXTLINK",C1331))),"Personal - House Bills",IF(AND(ISNUMBER(SEARCH("PAYMENT FROM",C1331)),ISNUMBER(SEARCH("JOE SAUNDERS",C1331))),"Zelle from Joe Saunders",IF(AND(ISNUMBER(SEARCH("PAYMENT TO",C1331)),ISNUMBER(SEARCH("JOE SAUNDERS",C1331))),"Zelle to Joe Saunders",IF(OR(ISNUMBER(SEARCH("NEW ORLEANS",C1331)),ISNUMBER(SEARCH("KENNER",C1331)),ISNUMBER(SEARCH("HENRY HOWARD",C1331)),ISNUMBER(SEARCH("MISS CLAUDIA",C1331))),"Personal Travel - New Orleans",IFERROR(INDEX('Category Rules'!$B$2:$B$194,MATCH(TRUE,ISNUMBER(SEARCH('Category Rules'!$A$2:$A$194,C1331)),0)),"")))))))</f>
        <v>Personal - Health</v>
      </c>
    </row>
    <row r="1332" spans="1:7" x14ac:dyDescent="0.25">
      <c r="A1332" t="s">
        <v>6</v>
      </c>
      <c r="B1332" s="1">
        <v>46027</v>
      </c>
      <c r="C1332" t="s">
        <v>1268</v>
      </c>
      <c r="D1332">
        <v>-500</v>
      </c>
      <c r="E1332" t="s">
        <v>39</v>
      </c>
      <c r="F1332">
        <v>3495.32</v>
      </c>
      <c r="G1332" t="str" cm="1">
        <f t="array" ref="G1332">IF(AND(ISNUMBER(SEARCH("UBER",C1332)),ISNUMBER(SEARCH("EATS",C1332))),"Uber Eats",IF(LEFT(C1332,6)="CHECK ","Checks Paid",IF(OR(E1332="BILLPAY",ISNUMBER(SEARCH("FRANCHISE TAX",C1332)),ISNUMBER(SEARCH("NEXTLINK",C1332))),"Personal - House Bills",IF(AND(ISNUMBER(SEARCH("PAYMENT FROM",C1332)),ISNUMBER(SEARCH("JOE SAUNDERS",C1332))),"Zelle from Joe Saunders",IF(AND(ISNUMBER(SEARCH("PAYMENT TO",C1332)),ISNUMBER(SEARCH("JOE SAUNDERS",C1332))),"Zelle to Joe Saunders",IF(OR(ISNUMBER(SEARCH("NEW ORLEANS",C1332)),ISNUMBER(SEARCH("KENNER",C1332)),ISNUMBER(SEARCH("HENRY HOWARD",C1332)),ISNUMBER(SEARCH("MISS CLAUDIA",C1332))),"Personal Travel - New Orleans",IFERROR(INDEX('Category Rules'!$B$2:$B$194,MATCH(TRUE,ISNUMBER(SEARCH('Category Rules'!$A$2:$A$194,C1332)),0)),"")))))))</f>
        <v>Transfer to Ava</v>
      </c>
    </row>
    <row r="1333" spans="1:7" x14ac:dyDescent="0.25">
      <c r="A1333" t="s">
        <v>6</v>
      </c>
      <c r="B1333" s="1">
        <v>46027</v>
      </c>
      <c r="C1333" t="s">
        <v>1269</v>
      </c>
      <c r="D1333">
        <v>-92.73</v>
      </c>
      <c r="E1333" t="s">
        <v>14</v>
      </c>
      <c r="F1333">
        <v>3995.32</v>
      </c>
      <c r="G1333" t="str" cm="1">
        <f t="array" ref="G1333">IF(AND(ISNUMBER(SEARCH("UBER",C1333)),ISNUMBER(SEARCH("EATS",C1333))),"Uber Eats",IF(LEFT(C1333,6)="CHECK ","Checks Paid",IF(OR(E1333="BILLPAY",ISNUMBER(SEARCH("FRANCHISE TAX",C1333)),ISNUMBER(SEARCH("NEXTLINK",C1333))),"Personal - House Bills",IF(AND(ISNUMBER(SEARCH("PAYMENT FROM",C1333)),ISNUMBER(SEARCH("JOE SAUNDERS",C1333))),"Zelle from Joe Saunders",IF(AND(ISNUMBER(SEARCH("PAYMENT TO",C1333)),ISNUMBER(SEARCH("JOE SAUNDERS",C1333))),"Zelle to Joe Saunders",IF(OR(ISNUMBER(SEARCH("NEW ORLEANS",C1333)),ISNUMBER(SEARCH("KENNER",C1333)),ISNUMBER(SEARCH("HENRY HOWARD",C1333)),ISNUMBER(SEARCH("MISS CLAUDIA",C1333))),"Personal Travel - New Orleans",IFERROR(INDEX('Category Rules'!$B$2:$B$194,MATCH(TRUE,ISNUMBER(SEARCH('Category Rules'!$A$2:$A$194,C1333)),0)),"")))))))</f>
        <v>Amazon</v>
      </c>
    </row>
    <row r="1334" spans="1:7" x14ac:dyDescent="0.25">
      <c r="A1334" t="s">
        <v>6</v>
      </c>
      <c r="B1334" s="1">
        <v>46027</v>
      </c>
      <c r="C1334" t="s">
        <v>1270</v>
      </c>
      <c r="D1334">
        <v>-274.38</v>
      </c>
      <c r="E1334" t="s">
        <v>14</v>
      </c>
      <c r="F1334">
        <v>4088.05</v>
      </c>
      <c r="G1334" t="str" cm="1">
        <f t="array" ref="G1334">IF(AND(ISNUMBER(SEARCH("UBER",C1334)),ISNUMBER(SEARCH("EATS",C1334))),"Uber Eats",IF(LEFT(C1334,6)="CHECK ","Checks Paid",IF(OR(E1334="BILLPAY",ISNUMBER(SEARCH("FRANCHISE TAX",C1334)),ISNUMBER(SEARCH("NEXTLINK",C1334))),"Personal - House Bills",IF(AND(ISNUMBER(SEARCH("PAYMENT FROM",C1334)),ISNUMBER(SEARCH("JOE SAUNDERS",C1334))),"Zelle from Joe Saunders",IF(AND(ISNUMBER(SEARCH("PAYMENT TO",C1334)),ISNUMBER(SEARCH("JOE SAUNDERS",C1334))),"Zelle to Joe Saunders",IF(OR(ISNUMBER(SEARCH("NEW ORLEANS",C1334)),ISNUMBER(SEARCH("KENNER",C1334)),ISNUMBER(SEARCH("HENRY HOWARD",C1334)),ISNUMBER(SEARCH("MISS CLAUDIA",C1334))),"Personal Travel - New Orleans",IFERROR(INDEX('Category Rules'!$B$2:$B$194,MATCH(TRUE,ISNUMBER(SEARCH('Category Rules'!$A$2:$A$194,C1334)),0)),"")))))))</f>
        <v>Amazon</v>
      </c>
    </row>
    <row r="1335" spans="1:7" x14ac:dyDescent="0.25">
      <c r="A1335" t="s">
        <v>6</v>
      </c>
      <c r="B1335" s="1">
        <v>46027</v>
      </c>
      <c r="C1335" t="s">
        <v>1271</v>
      </c>
      <c r="D1335">
        <v>-25.23</v>
      </c>
      <c r="E1335" t="s">
        <v>14</v>
      </c>
      <c r="F1335">
        <v>4362.43</v>
      </c>
      <c r="G1335" t="str" cm="1">
        <f t="array" ref="G1335">IF(AND(ISNUMBER(SEARCH("UBER",C1335)),ISNUMBER(SEARCH("EATS",C1335))),"Uber Eats",IF(LEFT(C1335,6)="CHECK ","Checks Paid",IF(OR(E1335="BILLPAY",ISNUMBER(SEARCH("FRANCHISE TAX",C1335)),ISNUMBER(SEARCH("NEXTLINK",C1335))),"Personal - House Bills",IF(AND(ISNUMBER(SEARCH("PAYMENT FROM",C1335)),ISNUMBER(SEARCH("JOE SAUNDERS",C1335))),"Zelle from Joe Saunders",IF(AND(ISNUMBER(SEARCH("PAYMENT TO",C1335)),ISNUMBER(SEARCH("JOE SAUNDERS",C1335))),"Zelle to Joe Saunders",IF(OR(ISNUMBER(SEARCH("NEW ORLEANS",C1335)),ISNUMBER(SEARCH("KENNER",C1335)),ISNUMBER(SEARCH("HENRY HOWARD",C1335)),ISNUMBER(SEARCH("MISS CLAUDIA",C1335))),"Personal Travel - New Orleans",IFERROR(INDEX('Category Rules'!$B$2:$B$194,MATCH(TRUE,ISNUMBER(SEARCH('Category Rules'!$A$2:$A$194,C1335)),0)),"")))))))</f>
        <v>Amazon</v>
      </c>
    </row>
    <row r="1336" spans="1:7" x14ac:dyDescent="0.25">
      <c r="A1336" t="s">
        <v>6</v>
      </c>
      <c r="B1336" s="1">
        <v>46027</v>
      </c>
      <c r="C1336" t="s">
        <v>1272</v>
      </c>
      <c r="D1336">
        <v>-20</v>
      </c>
      <c r="E1336" t="s">
        <v>14</v>
      </c>
      <c r="F1336">
        <v>4387.66</v>
      </c>
      <c r="G1336" t="str" cm="1">
        <f t="array" ref="G1336">IF(AND(ISNUMBER(SEARCH("UBER",C1336)),ISNUMBER(SEARCH("EATS",C1336))),"Uber Eats",IF(LEFT(C1336,6)="CHECK ","Checks Paid",IF(OR(E1336="BILLPAY",ISNUMBER(SEARCH("FRANCHISE TAX",C1336)),ISNUMBER(SEARCH("NEXTLINK",C1336))),"Personal - House Bills",IF(AND(ISNUMBER(SEARCH("PAYMENT FROM",C1336)),ISNUMBER(SEARCH("JOE SAUNDERS",C1336))),"Zelle from Joe Saunders",IF(AND(ISNUMBER(SEARCH("PAYMENT TO",C1336)),ISNUMBER(SEARCH("JOE SAUNDERS",C1336))),"Zelle to Joe Saunders",IF(OR(ISNUMBER(SEARCH("NEW ORLEANS",C1336)),ISNUMBER(SEARCH("KENNER",C1336)),ISNUMBER(SEARCH("HENRY HOWARD",C1336)),ISNUMBER(SEARCH("MISS CLAUDIA",C1336))),"Personal Travel - New Orleans",IFERROR(INDEX('Category Rules'!$B$2:$B$194,MATCH(TRUE,ISNUMBER(SEARCH('Category Rules'!$A$2:$A$194,C1336)),0)),"")))))))</f>
        <v>Amazon</v>
      </c>
    </row>
    <row r="1337" spans="1:7" x14ac:dyDescent="0.25">
      <c r="A1337" t="s">
        <v>6</v>
      </c>
      <c r="B1337" s="1">
        <v>46027</v>
      </c>
      <c r="C1337" t="s">
        <v>1273</v>
      </c>
      <c r="D1337">
        <v>-47.76</v>
      </c>
      <c r="E1337" t="s">
        <v>14</v>
      </c>
      <c r="F1337">
        <v>4407.66</v>
      </c>
      <c r="G1337" t="str" cm="1">
        <f t="array" ref="G1337">IF(AND(ISNUMBER(SEARCH("UBER",C1337)),ISNUMBER(SEARCH("EATS",C1337))),"Uber Eats",IF(LEFT(C1337,6)="CHECK ","Checks Paid",IF(OR(E1337="BILLPAY",ISNUMBER(SEARCH("FRANCHISE TAX",C1337)),ISNUMBER(SEARCH("NEXTLINK",C1337))),"Personal - House Bills",IF(AND(ISNUMBER(SEARCH("PAYMENT FROM",C1337)),ISNUMBER(SEARCH("JOE SAUNDERS",C1337))),"Zelle from Joe Saunders",IF(AND(ISNUMBER(SEARCH("PAYMENT TO",C1337)),ISNUMBER(SEARCH("JOE SAUNDERS",C1337))),"Zelle to Joe Saunders",IF(OR(ISNUMBER(SEARCH("NEW ORLEANS",C1337)),ISNUMBER(SEARCH("KENNER",C1337)),ISNUMBER(SEARCH("HENRY HOWARD",C1337)),ISNUMBER(SEARCH("MISS CLAUDIA",C1337))),"Personal Travel - New Orleans",IFERROR(INDEX('Category Rules'!$B$2:$B$194,MATCH(TRUE,ISNUMBER(SEARCH('Category Rules'!$A$2:$A$194,C1337)),0)),"")))))))</f>
        <v>Personal - Uber</v>
      </c>
    </row>
    <row r="1338" spans="1:7" x14ac:dyDescent="0.25">
      <c r="A1338" t="s">
        <v>6</v>
      </c>
      <c r="B1338" s="1">
        <v>46027</v>
      </c>
      <c r="C1338" t="s">
        <v>1274</v>
      </c>
      <c r="D1338">
        <v>-13.14</v>
      </c>
      <c r="E1338" t="s">
        <v>14</v>
      </c>
      <c r="F1338">
        <v>4455.42</v>
      </c>
      <c r="G1338" t="str" cm="1">
        <f t="array" ref="G1338">IF(AND(ISNUMBER(SEARCH("UBER",C1338)),ISNUMBER(SEARCH("EATS",C1338))),"Uber Eats",IF(LEFT(C1338,6)="CHECK ","Checks Paid",IF(OR(E1338="BILLPAY",ISNUMBER(SEARCH("FRANCHISE TAX",C1338)),ISNUMBER(SEARCH("NEXTLINK",C1338))),"Personal - House Bills",IF(AND(ISNUMBER(SEARCH("PAYMENT FROM",C1338)),ISNUMBER(SEARCH("JOE SAUNDERS",C1338))),"Zelle from Joe Saunders",IF(AND(ISNUMBER(SEARCH("PAYMENT TO",C1338)),ISNUMBER(SEARCH("JOE SAUNDERS",C1338))),"Zelle to Joe Saunders",IF(OR(ISNUMBER(SEARCH("NEW ORLEANS",C1338)),ISNUMBER(SEARCH("KENNER",C1338)),ISNUMBER(SEARCH("HENRY HOWARD",C1338)),ISNUMBER(SEARCH("MISS CLAUDIA",C1338))),"Personal Travel - New Orleans",IFERROR(INDEX('Category Rules'!$B$2:$B$194,MATCH(TRUE,ISNUMBER(SEARCH('Category Rules'!$A$2:$A$194,C1338)),0)),"")))))))</f>
        <v>Amazon</v>
      </c>
    </row>
    <row r="1339" spans="1:7" x14ac:dyDescent="0.25">
      <c r="A1339" t="s">
        <v>6</v>
      </c>
      <c r="B1339" s="1">
        <v>46027</v>
      </c>
      <c r="C1339" t="s">
        <v>1275</v>
      </c>
      <c r="D1339">
        <v>-102.72</v>
      </c>
      <c r="E1339" t="s">
        <v>14</v>
      </c>
      <c r="F1339">
        <v>4468.5600000000004</v>
      </c>
      <c r="G1339" t="str" cm="1">
        <f t="array" ref="G1339">IF(AND(ISNUMBER(SEARCH("UBER",C1339)),ISNUMBER(SEARCH("EATS",C1339))),"Uber Eats",IF(LEFT(C1339,6)="CHECK ","Checks Paid",IF(OR(E1339="BILLPAY",ISNUMBER(SEARCH("FRANCHISE TAX",C1339)),ISNUMBER(SEARCH("NEXTLINK",C1339))),"Personal - House Bills",IF(AND(ISNUMBER(SEARCH("PAYMENT FROM",C1339)),ISNUMBER(SEARCH("JOE SAUNDERS",C1339))),"Zelle from Joe Saunders",IF(AND(ISNUMBER(SEARCH("PAYMENT TO",C1339)),ISNUMBER(SEARCH("JOE SAUNDERS",C1339))),"Zelle to Joe Saunders",IF(OR(ISNUMBER(SEARCH("NEW ORLEANS",C1339)),ISNUMBER(SEARCH("KENNER",C1339)),ISNUMBER(SEARCH("HENRY HOWARD",C1339)),ISNUMBER(SEARCH("MISS CLAUDIA",C1339))),"Personal Travel - New Orleans",IFERROR(INDEX('Category Rules'!$B$2:$B$194,MATCH(TRUE,ISNUMBER(SEARCH('Category Rules'!$A$2:$A$194,C1339)),0)),"")))))))</f>
        <v>Personal - Entertainment</v>
      </c>
    </row>
    <row r="1340" spans="1:7" x14ac:dyDescent="0.25">
      <c r="A1340" t="s">
        <v>6</v>
      </c>
      <c r="B1340" s="1">
        <v>46027</v>
      </c>
      <c r="C1340" t="s">
        <v>1276</v>
      </c>
      <c r="D1340">
        <v>-160</v>
      </c>
      <c r="E1340" t="s">
        <v>14</v>
      </c>
      <c r="F1340">
        <v>4571.28</v>
      </c>
      <c r="G1340" t="str" cm="1">
        <f t="array" ref="G1340">IF(AND(ISNUMBER(SEARCH("UBER",C1340)),ISNUMBER(SEARCH("EATS",C1340))),"Uber Eats",IF(LEFT(C1340,6)="CHECK ","Checks Paid",IF(OR(E1340="BILLPAY",ISNUMBER(SEARCH("FRANCHISE TAX",C1340)),ISNUMBER(SEARCH("NEXTLINK",C1340))),"Personal - House Bills",IF(AND(ISNUMBER(SEARCH("PAYMENT FROM",C1340)),ISNUMBER(SEARCH("JOE SAUNDERS",C1340))),"Zelle from Joe Saunders",IF(AND(ISNUMBER(SEARCH("PAYMENT TO",C1340)),ISNUMBER(SEARCH("JOE SAUNDERS",C1340))),"Zelle to Joe Saunders",IF(OR(ISNUMBER(SEARCH("NEW ORLEANS",C1340)),ISNUMBER(SEARCH("KENNER",C1340)),ISNUMBER(SEARCH("HENRY HOWARD",C1340)),ISNUMBER(SEARCH("MISS CLAUDIA",C1340))),"Personal Travel - New Orleans",IFERROR(INDEX('Category Rules'!$B$2:$B$194,MATCH(TRUE,ISNUMBER(SEARCH('Category Rules'!$A$2:$A$194,C1340)),0)),"")))))))</f>
        <v>Personal - Clothing</v>
      </c>
    </row>
    <row r="1341" spans="1:7" x14ac:dyDescent="0.25">
      <c r="A1341" t="s">
        <v>6</v>
      </c>
      <c r="B1341" s="1">
        <v>46027</v>
      </c>
      <c r="C1341" t="s">
        <v>1277</v>
      </c>
      <c r="D1341">
        <v>-20</v>
      </c>
      <c r="E1341" t="s">
        <v>14</v>
      </c>
      <c r="F1341">
        <v>4731.28</v>
      </c>
      <c r="G1341" t="str" cm="1">
        <f t="array" ref="G1341">IF(AND(ISNUMBER(SEARCH("UBER",C1341)),ISNUMBER(SEARCH("EATS",C1341))),"Uber Eats",IF(LEFT(C1341,6)="CHECK ","Checks Paid",IF(OR(E1341="BILLPAY",ISNUMBER(SEARCH("FRANCHISE TAX",C1341)),ISNUMBER(SEARCH("NEXTLINK",C1341))),"Personal - House Bills",IF(AND(ISNUMBER(SEARCH("PAYMENT FROM",C1341)),ISNUMBER(SEARCH("JOE SAUNDERS",C1341))),"Zelle from Joe Saunders",IF(AND(ISNUMBER(SEARCH("PAYMENT TO",C1341)),ISNUMBER(SEARCH("JOE SAUNDERS",C1341))),"Zelle to Joe Saunders",IF(OR(ISNUMBER(SEARCH("NEW ORLEANS",C1341)),ISNUMBER(SEARCH("KENNER",C1341)),ISNUMBER(SEARCH("HENRY HOWARD",C1341)),ISNUMBER(SEARCH("MISS CLAUDIA",C1341))),"Personal Travel - New Orleans",IFERROR(INDEX('Category Rules'!$B$2:$B$194,MATCH(TRUE,ISNUMBER(SEARCH('Category Rules'!$A$2:$A$194,C1341)),0)),"")))))))</f>
        <v>Amazon</v>
      </c>
    </row>
    <row r="1342" spans="1:7" x14ac:dyDescent="0.25">
      <c r="A1342" t="s">
        <v>6</v>
      </c>
      <c r="B1342" s="1">
        <v>46027</v>
      </c>
      <c r="C1342" t="s">
        <v>1278</v>
      </c>
      <c r="D1342">
        <v>-49.99</v>
      </c>
      <c r="E1342" t="s">
        <v>14</v>
      </c>
      <c r="F1342">
        <v>4751.28</v>
      </c>
      <c r="G1342" t="s">
        <v>1308</v>
      </c>
    </row>
    <row r="1343" spans="1:7" x14ac:dyDescent="0.25">
      <c r="A1343" t="s">
        <v>6</v>
      </c>
      <c r="B1343" s="1">
        <v>46027</v>
      </c>
      <c r="C1343" t="s">
        <v>1279</v>
      </c>
      <c r="D1343">
        <v>-3.99</v>
      </c>
      <c r="E1343" t="s">
        <v>14</v>
      </c>
      <c r="F1343">
        <v>4801.2700000000004</v>
      </c>
      <c r="G1343" t="str" cm="1">
        <f t="array" ref="G1343">IF(AND(ISNUMBER(SEARCH("UBER",C1343)),ISNUMBER(SEARCH("EATS",C1343))),"Uber Eats",IF(LEFT(C1343,6)="CHECK ","Checks Paid",IF(OR(E1343="BILLPAY",ISNUMBER(SEARCH("FRANCHISE TAX",C1343)),ISNUMBER(SEARCH("NEXTLINK",C1343))),"Personal - House Bills",IF(AND(ISNUMBER(SEARCH("PAYMENT FROM",C1343)),ISNUMBER(SEARCH("JOE SAUNDERS",C1343))),"Zelle from Joe Saunders",IF(AND(ISNUMBER(SEARCH("PAYMENT TO",C1343)),ISNUMBER(SEARCH("JOE SAUNDERS",C1343))),"Zelle to Joe Saunders",IF(OR(ISNUMBER(SEARCH("NEW ORLEANS",C1343)),ISNUMBER(SEARCH("KENNER",C1343)),ISNUMBER(SEARCH("HENRY HOWARD",C1343)),ISNUMBER(SEARCH("MISS CLAUDIA",C1343))),"Personal Travel - New Orleans",IFERROR(INDEX('Category Rules'!$B$2:$B$194,MATCH(TRUE,ISNUMBER(SEARCH('Category Rules'!$A$2:$A$194,C1343)),0)),"")))))))</f>
        <v>Apple</v>
      </c>
    </row>
    <row r="1344" spans="1:7" x14ac:dyDescent="0.25">
      <c r="A1344" t="s">
        <v>6</v>
      </c>
      <c r="B1344" s="1">
        <v>46027</v>
      </c>
      <c r="C1344" t="s">
        <v>1280</v>
      </c>
      <c r="D1344">
        <v>-125.77</v>
      </c>
      <c r="E1344" t="s">
        <v>14</v>
      </c>
      <c r="F1344">
        <v>4805.26</v>
      </c>
      <c r="G1344" t="str" cm="1">
        <f t="array" ref="G1344">IF(AND(ISNUMBER(SEARCH("UBER",C1344)),ISNUMBER(SEARCH("EATS",C1344))),"Uber Eats",IF(LEFT(C1344,6)="CHECK ","Checks Paid",IF(OR(E1344="BILLPAY",ISNUMBER(SEARCH("FRANCHISE TAX",C1344)),ISNUMBER(SEARCH("NEXTLINK",C1344))),"Personal - House Bills",IF(AND(ISNUMBER(SEARCH("PAYMENT FROM",C1344)),ISNUMBER(SEARCH("JOE SAUNDERS",C1344))),"Zelle from Joe Saunders",IF(AND(ISNUMBER(SEARCH("PAYMENT TO",C1344)),ISNUMBER(SEARCH("JOE SAUNDERS",C1344))),"Zelle to Joe Saunders",IF(OR(ISNUMBER(SEARCH("NEW ORLEANS",C1344)),ISNUMBER(SEARCH("KENNER",C1344)),ISNUMBER(SEARCH("HENRY HOWARD",C1344)),ISNUMBER(SEARCH("MISS CLAUDIA",C1344))),"Personal Travel - New Orleans",IFERROR(INDEX('Category Rules'!$B$2:$B$194,MATCH(TRUE,ISNUMBER(SEARCH('Category Rules'!$A$2:$A$194,C1344)),0)),"")))))))</f>
        <v>Amazon</v>
      </c>
    </row>
    <row r="1345" spans="1:7" x14ac:dyDescent="0.25">
      <c r="A1345" t="s">
        <v>6</v>
      </c>
      <c r="B1345" s="1">
        <v>46027</v>
      </c>
      <c r="C1345" t="s">
        <v>1281</v>
      </c>
      <c r="D1345">
        <v>-49.36</v>
      </c>
      <c r="E1345" t="s">
        <v>14</v>
      </c>
      <c r="F1345">
        <v>4931.03</v>
      </c>
      <c r="G1345" t="str" cm="1">
        <f t="array" ref="G1345">IF(AND(ISNUMBER(SEARCH("UBER",C1345)),ISNUMBER(SEARCH("EATS",C1345))),"Uber Eats",IF(LEFT(C1345,6)="CHECK ","Checks Paid",IF(OR(E1345="BILLPAY",ISNUMBER(SEARCH("FRANCHISE TAX",C1345)),ISNUMBER(SEARCH("NEXTLINK",C1345))),"Personal - House Bills",IF(AND(ISNUMBER(SEARCH("PAYMENT FROM",C1345)),ISNUMBER(SEARCH("JOE SAUNDERS",C1345))),"Zelle from Joe Saunders",IF(AND(ISNUMBER(SEARCH("PAYMENT TO",C1345)),ISNUMBER(SEARCH("JOE SAUNDERS",C1345))),"Zelle to Joe Saunders",IF(OR(ISNUMBER(SEARCH("NEW ORLEANS",C1345)),ISNUMBER(SEARCH("KENNER",C1345)),ISNUMBER(SEARCH("HENRY HOWARD",C1345)),ISNUMBER(SEARCH("MISS CLAUDIA",C1345))),"Personal Travel - New Orleans",IFERROR(INDEX('Category Rules'!$B$2:$B$194,MATCH(TRUE,ISNUMBER(SEARCH('Category Rules'!$A$2:$A$194,C1345)),0)),"")))))))</f>
        <v>Amazon</v>
      </c>
    </row>
    <row r="1346" spans="1:7" x14ac:dyDescent="0.25">
      <c r="A1346" t="s">
        <v>6</v>
      </c>
      <c r="B1346" s="1">
        <v>46027</v>
      </c>
      <c r="C1346" t="s">
        <v>1282</v>
      </c>
      <c r="D1346">
        <v>-222</v>
      </c>
      <c r="E1346" t="s">
        <v>14</v>
      </c>
      <c r="F1346">
        <v>4980.3900000000003</v>
      </c>
      <c r="G1346" t="str" cm="1">
        <f t="array" ref="G1346">IF(AND(ISNUMBER(SEARCH("UBER",C1346)),ISNUMBER(SEARCH("EATS",C1346))),"Uber Eats",IF(LEFT(C1346,6)="CHECK ","Checks Paid",IF(OR(E1346="BILLPAY",ISNUMBER(SEARCH("FRANCHISE TAX",C1346)),ISNUMBER(SEARCH("NEXTLINK",C1346))),"Personal - House Bills",IF(AND(ISNUMBER(SEARCH("PAYMENT FROM",C1346)),ISNUMBER(SEARCH("JOE SAUNDERS",C1346))),"Zelle from Joe Saunders",IF(AND(ISNUMBER(SEARCH("PAYMENT TO",C1346)),ISNUMBER(SEARCH("JOE SAUNDERS",C1346))),"Zelle to Joe Saunders",IF(OR(ISNUMBER(SEARCH("NEW ORLEANS",C1346)),ISNUMBER(SEARCH("KENNER",C1346)),ISNUMBER(SEARCH("HENRY HOWARD",C1346)),ISNUMBER(SEARCH("MISS CLAUDIA",C1346))),"Personal Travel - New Orleans",IFERROR(INDEX('Category Rules'!$B$2:$B$194,MATCH(TRUE,ISNUMBER(SEARCH('Category Rules'!$A$2:$A$194,C1346)),0)),"")))))))</f>
        <v>Apple</v>
      </c>
    </row>
    <row r="1347" spans="1:7" x14ac:dyDescent="0.25">
      <c r="A1347" t="s">
        <v>37</v>
      </c>
      <c r="B1347" s="1">
        <v>46027</v>
      </c>
      <c r="C1347" t="s">
        <v>1283</v>
      </c>
      <c r="D1347">
        <v>1000</v>
      </c>
      <c r="E1347" t="s">
        <v>39</v>
      </c>
      <c r="F1347">
        <v>5202.3900000000003</v>
      </c>
      <c r="G1347" t="str" cm="1">
        <f t="array" ref="G1347">IF(AND(ISNUMBER(SEARCH("UBER",C1347)),ISNUMBER(SEARCH("EATS",C1347))),"Uber Eats",IF(LEFT(C1347,6)="CHECK ","Checks Paid",IF(OR(E1347="BILLPAY",ISNUMBER(SEARCH("FRANCHISE TAX",C1347)),ISNUMBER(SEARCH("NEXTLINK",C1347))),"Personal - House Bills",IF(AND(ISNUMBER(SEARCH("PAYMENT FROM",C1347)),ISNUMBER(SEARCH("JOE SAUNDERS",C1347))),"Zelle from Joe Saunders",IF(AND(ISNUMBER(SEARCH("PAYMENT TO",C1347)),ISNUMBER(SEARCH("JOE SAUNDERS",C1347))),"Zelle to Joe Saunders",IF(OR(ISNUMBER(SEARCH("NEW ORLEANS",C1347)),ISNUMBER(SEARCH("KENNER",C1347)),ISNUMBER(SEARCH("HENRY HOWARD",C1347)),ISNUMBER(SEARCH("MISS CLAUDIA",C1347))),"Personal Travel - New Orleans",IFERROR(INDEX('Category Rules'!$B$2:$B$194,MATCH(TRUE,ISNUMBER(SEARCH('Category Rules'!$A$2:$A$194,C1347)),0)),"")))))))</f>
        <v>Transfer from DWG Capital Group</v>
      </c>
    </row>
    <row r="1348" spans="1:7" x14ac:dyDescent="0.25">
      <c r="A1348" t="s">
        <v>6</v>
      </c>
      <c r="B1348" s="1">
        <v>46024</v>
      </c>
      <c r="C1348" t="s">
        <v>1284</v>
      </c>
      <c r="D1348">
        <v>-0.41</v>
      </c>
      <c r="E1348" t="s">
        <v>72</v>
      </c>
      <c r="F1348">
        <v>4202.3900000000003</v>
      </c>
      <c r="G1348" t="str" cm="1">
        <f t="array" ref="G1348">IF(AND(ISNUMBER(SEARCH("UBER",C1348)),ISNUMBER(SEARCH("EATS",C1348))),"Uber Eats",IF(LEFT(C1348,6)="CHECK ","Checks Paid",IF(OR(E1348="BILLPAY",ISNUMBER(SEARCH("FRANCHISE TAX",C1348)),ISNUMBER(SEARCH("NEXTLINK",C1348))),"Personal - House Bills",IF(AND(ISNUMBER(SEARCH("PAYMENT FROM",C1348)),ISNUMBER(SEARCH("JOE SAUNDERS",C1348))),"Zelle from Joe Saunders",IF(AND(ISNUMBER(SEARCH("PAYMENT TO",C1348)),ISNUMBER(SEARCH("JOE SAUNDERS",C1348))),"Zelle to Joe Saunders",IF(OR(ISNUMBER(SEARCH("NEW ORLEANS",C1348)),ISNUMBER(SEARCH("KENNER",C1348)),ISNUMBER(SEARCH("HENRY HOWARD",C1348)),ISNUMBER(SEARCH("MISS CLAUDIA",C1348))),"Personal Travel - New Orleans",IFERROR(INDEX('Category Rules'!$B$2:$B$194,MATCH(TRUE,ISNUMBER(SEARCH('Category Rules'!$A$2:$A$194,C1348)),0)),"")))))))</f>
        <v>Personal Travel - Portugal</v>
      </c>
    </row>
    <row r="1349" spans="1:7" x14ac:dyDescent="0.25">
      <c r="A1349" t="s">
        <v>6</v>
      </c>
      <c r="B1349" s="1">
        <v>46024</v>
      </c>
      <c r="C1349" t="s">
        <v>1285</v>
      </c>
      <c r="D1349">
        <v>-1.9</v>
      </c>
      <c r="E1349" t="s">
        <v>72</v>
      </c>
      <c r="F1349">
        <v>4202.8</v>
      </c>
      <c r="G1349" t="str" cm="1">
        <f t="array" ref="G1349">IF(AND(ISNUMBER(SEARCH("UBER",C1349)),ISNUMBER(SEARCH("EATS",C1349))),"Uber Eats",IF(LEFT(C1349,6)="CHECK ","Checks Paid",IF(OR(E1349="BILLPAY",ISNUMBER(SEARCH("FRANCHISE TAX",C1349)),ISNUMBER(SEARCH("NEXTLINK",C1349))),"Personal - House Bills",IF(AND(ISNUMBER(SEARCH("PAYMENT FROM",C1349)),ISNUMBER(SEARCH("JOE SAUNDERS",C1349))),"Zelle from Joe Saunders",IF(AND(ISNUMBER(SEARCH("PAYMENT TO",C1349)),ISNUMBER(SEARCH("JOE SAUNDERS",C1349))),"Zelle to Joe Saunders",IF(OR(ISNUMBER(SEARCH("NEW ORLEANS",C1349)),ISNUMBER(SEARCH("KENNER",C1349)),ISNUMBER(SEARCH("HENRY HOWARD",C1349)),ISNUMBER(SEARCH("MISS CLAUDIA",C1349))),"Personal Travel - New Orleans",IFERROR(INDEX('Category Rules'!$B$2:$B$194,MATCH(TRUE,ISNUMBER(SEARCH('Category Rules'!$A$2:$A$194,C1349)),0)),"")))))))</f>
        <v>Personal Travel - Portugal</v>
      </c>
    </row>
    <row r="1350" spans="1:7" x14ac:dyDescent="0.25">
      <c r="A1350" t="s">
        <v>6</v>
      </c>
      <c r="B1350" s="1">
        <v>46024</v>
      </c>
      <c r="C1350" t="s">
        <v>1286</v>
      </c>
      <c r="D1350">
        <v>-75.31</v>
      </c>
      <c r="E1350" t="s">
        <v>14</v>
      </c>
      <c r="F1350">
        <v>4204.7</v>
      </c>
      <c r="G1350" t="str" cm="1">
        <f t="array" ref="G1350">IF(AND(ISNUMBER(SEARCH("UBER",C1350)),ISNUMBER(SEARCH("EATS",C1350))),"Uber Eats",IF(LEFT(C1350,6)="CHECK ","Checks Paid",IF(OR(E1350="BILLPAY",ISNUMBER(SEARCH("FRANCHISE TAX",C1350)),ISNUMBER(SEARCH("NEXTLINK",C1350))),"Personal - House Bills",IF(AND(ISNUMBER(SEARCH("PAYMENT FROM",C1350)),ISNUMBER(SEARCH("JOE SAUNDERS",C1350))),"Zelle from Joe Saunders",IF(AND(ISNUMBER(SEARCH("PAYMENT TO",C1350)),ISNUMBER(SEARCH("JOE SAUNDERS",C1350))),"Zelle to Joe Saunders",IF(OR(ISNUMBER(SEARCH("NEW ORLEANS",C1350)),ISNUMBER(SEARCH("KENNER",C1350)),ISNUMBER(SEARCH("HENRY HOWARD",C1350)),ISNUMBER(SEARCH("MISS CLAUDIA",C1350))),"Personal Travel - New Orleans",IFERROR(INDEX('Category Rules'!$B$2:$B$194,MATCH(TRUE,ISNUMBER(SEARCH('Category Rules'!$A$2:$A$194,C1350)),0)),"")))))))</f>
        <v>Personal - Uber</v>
      </c>
    </row>
    <row r="1351" spans="1:7" x14ac:dyDescent="0.25">
      <c r="A1351" t="s">
        <v>6</v>
      </c>
      <c r="B1351" s="1">
        <v>46024</v>
      </c>
      <c r="C1351" t="s">
        <v>1287</v>
      </c>
      <c r="D1351">
        <v>-42.8</v>
      </c>
      <c r="E1351" t="s">
        <v>14</v>
      </c>
      <c r="F1351">
        <v>4280.01</v>
      </c>
      <c r="G1351" t="str" cm="1">
        <f t="array" ref="G1351">IF(AND(ISNUMBER(SEARCH("UBER",C1351)),ISNUMBER(SEARCH("EATS",C1351))),"Uber Eats",IF(LEFT(C1351,6)="CHECK ","Checks Paid",IF(OR(E1351="BILLPAY",ISNUMBER(SEARCH("FRANCHISE TAX",C1351)),ISNUMBER(SEARCH("NEXTLINK",C1351))),"Personal - House Bills",IF(AND(ISNUMBER(SEARCH("PAYMENT FROM",C1351)),ISNUMBER(SEARCH("JOE SAUNDERS",C1351))),"Zelle from Joe Saunders",IF(AND(ISNUMBER(SEARCH("PAYMENT TO",C1351)),ISNUMBER(SEARCH("JOE SAUNDERS",C1351))),"Zelle to Joe Saunders",IF(OR(ISNUMBER(SEARCH("NEW ORLEANS",C1351)),ISNUMBER(SEARCH("KENNER",C1351)),ISNUMBER(SEARCH("HENRY HOWARD",C1351)),ISNUMBER(SEARCH("MISS CLAUDIA",C1351))),"Personal Travel - New Orleans",IFERROR(INDEX('Category Rules'!$B$2:$B$194,MATCH(TRUE,ISNUMBER(SEARCH('Category Rules'!$A$2:$A$194,C1351)),0)),"")))))))</f>
        <v>Amazon</v>
      </c>
    </row>
    <row r="1352" spans="1:7" x14ac:dyDescent="0.25">
      <c r="A1352" t="s">
        <v>6</v>
      </c>
      <c r="B1352" s="1">
        <v>46024</v>
      </c>
      <c r="C1352" t="s">
        <v>1288</v>
      </c>
      <c r="D1352">
        <v>-47.19</v>
      </c>
      <c r="E1352" t="s">
        <v>14</v>
      </c>
      <c r="F1352">
        <v>4322.8100000000004</v>
      </c>
      <c r="G1352" t="str" cm="1">
        <f t="array" ref="G1352">IF(AND(ISNUMBER(SEARCH("UBER",C1352)),ISNUMBER(SEARCH("EATS",C1352))),"Uber Eats",IF(LEFT(C1352,6)="CHECK ","Checks Paid",IF(OR(E1352="BILLPAY",ISNUMBER(SEARCH("FRANCHISE TAX",C1352)),ISNUMBER(SEARCH("NEXTLINK",C1352))),"Personal - House Bills",IF(AND(ISNUMBER(SEARCH("PAYMENT FROM",C1352)),ISNUMBER(SEARCH("JOE SAUNDERS",C1352))),"Zelle from Joe Saunders",IF(AND(ISNUMBER(SEARCH("PAYMENT TO",C1352)),ISNUMBER(SEARCH("JOE SAUNDERS",C1352))),"Zelle to Joe Saunders",IF(OR(ISNUMBER(SEARCH("NEW ORLEANS",C1352)),ISNUMBER(SEARCH("KENNER",C1352)),ISNUMBER(SEARCH("HENRY HOWARD",C1352)),ISNUMBER(SEARCH("MISS CLAUDIA",C1352))),"Personal Travel - New Orleans",IFERROR(INDEX('Category Rules'!$B$2:$B$194,MATCH(TRUE,ISNUMBER(SEARCH('Category Rules'!$A$2:$A$194,C1352)),0)),"")))))))</f>
        <v>Amazon</v>
      </c>
    </row>
    <row r="1353" spans="1:7" x14ac:dyDescent="0.25">
      <c r="A1353" t="s">
        <v>6</v>
      </c>
      <c r="B1353" s="1">
        <v>46024</v>
      </c>
      <c r="C1353" t="s">
        <v>1289</v>
      </c>
      <c r="D1353">
        <v>-28.28</v>
      </c>
      <c r="E1353" t="s">
        <v>14</v>
      </c>
      <c r="F1353">
        <v>4370</v>
      </c>
      <c r="G1353" t="str" cm="1">
        <f t="array" ref="G1353">IF(AND(ISNUMBER(SEARCH("UBER",C1353)),ISNUMBER(SEARCH("EATS",C1353))),"Uber Eats",IF(LEFT(C1353,6)="CHECK ","Checks Paid",IF(OR(E1353="BILLPAY",ISNUMBER(SEARCH("FRANCHISE TAX",C1353)),ISNUMBER(SEARCH("NEXTLINK",C1353))),"Personal - House Bills",IF(AND(ISNUMBER(SEARCH("PAYMENT FROM",C1353)),ISNUMBER(SEARCH("JOE SAUNDERS",C1353))),"Zelle from Joe Saunders",IF(AND(ISNUMBER(SEARCH("PAYMENT TO",C1353)),ISNUMBER(SEARCH("JOE SAUNDERS",C1353))),"Zelle to Joe Saunders",IF(OR(ISNUMBER(SEARCH("NEW ORLEANS",C1353)),ISNUMBER(SEARCH("KENNER",C1353)),ISNUMBER(SEARCH("HENRY HOWARD",C1353)),ISNUMBER(SEARCH("MISS CLAUDIA",C1353))),"Personal Travel - New Orleans",IFERROR(INDEX('Category Rules'!$B$2:$B$194,MATCH(TRUE,ISNUMBER(SEARCH('Category Rules'!$A$2:$A$194,C1353)),0)),"")))))))</f>
        <v>Amazon</v>
      </c>
    </row>
    <row r="1354" spans="1:7" x14ac:dyDescent="0.25">
      <c r="A1354" t="s">
        <v>6</v>
      </c>
      <c r="B1354" s="1">
        <v>46024</v>
      </c>
      <c r="C1354" t="s">
        <v>1290</v>
      </c>
      <c r="D1354">
        <v>-17.96</v>
      </c>
      <c r="E1354" t="s">
        <v>14</v>
      </c>
      <c r="F1354">
        <v>4398.28</v>
      </c>
      <c r="G1354" t="str" cm="1">
        <f t="array" ref="G1354">IF(AND(ISNUMBER(SEARCH("UBER",C1354)),ISNUMBER(SEARCH("EATS",C1354))),"Uber Eats",IF(LEFT(C1354,6)="CHECK ","Checks Paid",IF(OR(E1354="BILLPAY",ISNUMBER(SEARCH("FRANCHISE TAX",C1354)),ISNUMBER(SEARCH("NEXTLINK",C1354))),"Personal - House Bills",IF(AND(ISNUMBER(SEARCH("PAYMENT FROM",C1354)),ISNUMBER(SEARCH("JOE SAUNDERS",C1354))),"Zelle from Joe Saunders",IF(AND(ISNUMBER(SEARCH("PAYMENT TO",C1354)),ISNUMBER(SEARCH("JOE SAUNDERS",C1354))),"Zelle to Joe Saunders",IF(OR(ISNUMBER(SEARCH("NEW ORLEANS",C1354)),ISNUMBER(SEARCH("KENNER",C1354)),ISNUMBER(SEARCH("HENRY HOWARD",C1354)),ISNUMBER(SEARCH("MISS CLAUDIA",C1354))),"Personal Travel - New Orleans",IFERROR(INDEX('Category Rules'!$B$2:$B$194,MATCH(TRUE,ISNUMBER(SEARCH('Category Rules'!$A$2:$A$194,C1354)),0)),"")))))))</f>
        <v>Amazon</v>
      </c>
    </row>
    <row r="1355" spans="1:7" x14ac:dyDescent="0.25">
      <c r="A1355" t="s">
        <v>6</v>
      </c>
      <c r="B1355" s="1">
        <v>46024</v>
      </c>
      <c r="C1355" t="s">
        <v>1291</v>
      </c>
      <c r="D1355">
        <v>-4.99</v>
      </c>
      <c r="E1355" t="s">
        <v>14</v>
      </c>
      <c r="F1355">
        <v>4416.24</v>
      </c>
      <c r="G1355" t="str" cm="1">
        <f t="array" ref="G1355">IF(AND(ISNUMBER(SEARCH("UBER",C1355)),ISNUMBER(SEARCH("EATS",C1355))),"Uber Eats",IF(LEFT(C1355,6)="CHECK ","Checks Paid",IF(OR(E1355="BILLPAY",ISNUMBER(SEARCH("FRANCHISE TAX",C1355)),ISNUMBER(SEARCH("NEXTLINK",C1355))),"Personal - House Bills",IF(AND(ISNUMBER(SEARCH("PAYMENT FROM",C1355)),ISNUMBER(SEARCH("JOE SAUNDERS",C1355))),"Zelle from Joe Saunders",IF(AND(ISNUMBER(SEARCH("PAYMENT TO",C1355)),ISNUMBER(SEARCH("JOE SAUNDERS",C1355))),"Zelle to Joe Saunders",IF(OR(ISNUMBER(SEARCH("NEW ORLEANS",C1355)),ISNUMBER(SEARCH("KENNER",C1355)),ISNUMBER(SEARCH("HENRY HOWARD",C1355)),ISNUMBER(SEARCH("MISS CLAUDIA",C1355))),"Personal Travel - New Orleans",IFERROR(INDEX('Category Rules'!$B$2:$B$194,MATCH(TRUE,ISNUMBER(SEARCH('Category Rules'!$A$2:$A$194,C1355)),0)),"")))))))</f>
        <v>Amazon</v>
      </c>
    </row>
    <row r="1356" spans="1:7" x14ac:dyDescent="0.25">
      <c r="A1356" t="s">
        <v>6</v>
      </c>
      <c r="B1356" s="1">
        <v>46024</v>
      </c>
      <c r="C1356" t="s">
        <v>1292</v>
      </c>
      <c r="D1356">
        <v>-132.28</v>
      </c>
      <c r="E1356" t="s">
        <v>14</v>
      </c>
      <c r="F1356">
        <v>4421.2299999999996</v>
      </c>
      <c r="G1356" t="str" cm="1">
        <f t="array" ref="G1356">IF(AND(ISNUMBER(SEARCH("UBER",C1356)),ISNUMBER(SEARCH("EATS",C1356))),"Uber Eats",IF(LEFT(C1356,6)="CHECK ","Checks Paid",IF(OR(E1356="BILLPAY",ISNUMBER(SEARCH("FRANCHISE TAX",C1356)),ISNUMBER(SEARCH("NEXTLINK",C1356))),"Personal - House Bills",IF(AND(ISNUMBER(SEARCH("PAYMENT FROM",C1356)),ISNUMBER(SEARCH("JOE SAUNDERS",C1356))),"Zelle from Joe Saunders",IF(AND(ISNUMBER(SEARCH("PAYMENT TO",C1356)),ISNUMBER(SEARCH("JOE SAUNDERS",C1356))),"Zelle to Joe Saunders",IF(OR(ISNUMBER(SEARCH("NEW ORLEANS",C1356)),ISNUMBER(SEARCH("KENNER",C1356)),ISNUMBER(SEARCH("HENRY HOWARD",C1356)),ISNUMBER(SEARCH("MISS CLAUDIA",C1356))),"Personal Travel - New Orleans",IFERROR(INDEX('Category Rules'!$B$2:$B$194,MATCH(TRUE,ISNUMBER(SEARCH('Category Rules'!$A$2:$A$194,C1356)),0)),"")))))))</f>
        <v>Amazon</v>
      </c>
    </row>
    <row r="1357" spans="1:7" x14ac:dyDescent="0.25">
      <c r="A1357" t="s">
        <v>6</v>
      </c>
      <c r="B1357" s="1">
        <v>46024</v>
      </c>
      <c r="C1357" t="s">
        <v>1293</v>
      </c>
      <c r="D1357">
        <v>-170.49</v>
      </c>
      <c r="E1357" t="s">
        <v>14</v>
      </c>
      <c r="F1357">
        <v>4553.51</v>
      </c>
      <c r="G1357" t="s">
        <v>1308</v>
      </c>
    </row>
    <row r="1358" spans="1:7" x14ac:dyDescent="0.25">
      <c r="A1358" t="s">
        <v>6</v>
      </c>
      <c r="B1358" s="1">
        <v>46024</v>
      </c>
      <c r="C1358" t="s">
        <v>1294</v>
      </c>
      <c r="D1358">
        <v>-1028.18</v>
      </c>
      <c r="E1358" t="s">
        <v>14</v>
      </c>
      <c r="F1358">
        <v>4724</v>
      </c>
      <c r="G1358" t="s">
        <v>1307</v>
      </c>
    </row>
    <row r="1359" spans="1:7" x14ac:dyDescent="0.25">
      <c r="A1359" t="s">
        <v>6</v>
      </c>
      <c r="B1359" s="1">
        <v>46024</v>
      </c>
      <c r="C1359" t="s">
        <v>1295</v>
      </c>
      <c r="D1359">
        <v>-76.63</v>
      </c>
      <c r="E1359" t="s">
        <v>14</v>
      </c>
      <c r="F1359">
        <v>5752.18</v>
      </c>
      <c r="G1359" t="str" cm="1">
        <f t="array" ref="G1359">IF(AND(ISNUMBER(SEARCH("UBER",C1359)),ISNUMBER(SEARCH("EATS",C1359))),"Uber Eats",IF(LEFT(C1359,6)="CHECK ","Checks Paid",IF(OR(E1359="BILLPAY",ISNUMBER(SEARCH("FRANCHISE TAX",C1359)),ISNUMBER(SEARCH("NEXTLINK",C1359))),"Personal - House Bills",IF(AND(ISNUMBER(SEARCH("PAYMENT FROM",C1359)),ISNUMBER(SEARCH("JOE SAUNDERS",C1359))),"Zelle from Joe Saunders",IF(AND(ISNUMBER(SEARCH("PAYMENT TO",C1359)),ISNUMBER(SEARCH("JOE SAUNDERS",C1359))),"Zelle to Joe Saunders",IF(OR(ISNUMBER(SEARCH("NEW ORLEANS",C1359)),ISNUMBER(SEARCH("KENNER",C1359)),ISNUMBER(SEARCH("HENRY HOWARD",C1359)),ISNUMBER(SEARCH("MISS CLAUDIA",C1359))),"Personal Travel - New Orleans",IFERROR(INDEX('Category Rules'!$B$2:$B$194,MATCH(TRUE,ISNUMBER(SEARCH('Category Rules'!$A$2:$A$194,C1359)),0)),"")))))))</f>
        <v>Amazon</v>
      </c>
    </row>
    <row r="1360" spans="1:7" x14ac:dyDescent="0.25">
      <c r="A1360" t="s">
        <v>6</v>
      </c>
      <c r="B1360" s="1">
        <v>46024</v>
      </c>
      <c r="C1360" t="s">
        <v>1296</v>
      </c>
      <c r="D1360">
        <v>-92.08</v>
      </c>
      <c r="E1360" t="s">
        <v>14</v>
      </c>
      <c r="F1360">
        <v>5828.81</v>
      </c>
      <c r="G1360" t="str" cm="1">
        <f t="array" ref="G1360">IF(AND(ISNUMBER(SEARCH("UBER",C1360)),ISNUMBER(SEARCH("EATS",C1360))),"Uber Eats",IF(LEFT(C1360,6)="CHECK ","Checks Paid",IF(OR(E1360="BILLPAY",ISNUMBER(SEARCH("FRANCHISE TAX",C1360)),ISNUMBER(SEARCH("NEXTLINK",C1360))),"Personal - House Bills",IF(AND(ISNUMBER(SEARCH("PAYMENT FROM",C1360)),ISNUMBER(SEARCH("JOE SAUNDERS",C1360))),"Zelle from Joe Saunders",IF(AND(ISNUMBER(SEARCH("PAYMENT TO",C1360)),ISNUMBER(SEARCH("JOE SAUNDERS",C1360))),"Zelle to Joe Saunders",IF(OR(ISNUMBER(SEARCH("NEW ORLEANS",C1360)),ISNUMBER(SEARCH("KENNER",C1360)),ISNUMBER(SEARCH("HENRY HOWARD",C1360)),ISNUMBER(SEARCH("MISS CLAUDIA",C1360))),"Personal Travel - New Orleans",IFERROR(INDEX('Category Rules'!$B$2:$B$194,MATCH(TRUE,ISNUMBER(SEARCH('Category Rules'!$A$2:$A$194,C1360)),0)),"")))))))</f>
        <v>Amazon</v>
      </c>
    </row>
    <row r="1361" spans="1:7" x14ac:dyDescent="0.25">
      <c r="A1361" t="s">
        <v>6</v>
      </c>
      <c r="B1361" s="1">
        <v>46024</v>
      </c>
      <c r="C1361" t="s">
        <v>1297</v>
      </c>
      <c r="D1361">
        <v>-20</v>
      </c>
      <c r="E1361" t="s">
        <v>14</v>
      </c>
      <c r="F1361">
        <v>5920.89</v>
      </c>
      <c r="G1361" t="str" cm="1">
        <f t="array" ref="G1361">IF(AND(ISNUMBER(SEARCH("UBER",C1361)),ISNUMBER(SEARCH("EATS",C1361))),"Uber Eats",IF(LEFT(C1361,6)="CHECK ","Checks Paid",IF(OR(E1361="BILLPAY",ISNUMBER(SEARCH("FRANCHISE TAX",C1361)),ISNUMBER(SEARCH("NEXTLINK",C1361))),"Personal - House Bills",IF(AND(ISNUMBER(SEARCH("PAYMENT FROM",C1361)),ISNUMBER(SEARCH("JOE SAUNDERS",C1361))),"Zelle from Joe Saunders",IF(AND(ISNUMBER(SEARCH("PAYMENT TO",C1361)),ISNUMBER(SEARCH("JOE SAUNDERS",C1361))),"Zelle to Joe Saunders",IF(OR(ISNUMBER(SEARCH("NEW ORLEANS",C1361)),ISNUMBER(SEARCH("KENNER",C1361)),ISNUMBER(SEARCH("HENRY HOWARD",C1361)),ISNUMBER(SEARCH("MISS CLAUDIA",C1361))),"Personal Travel - New Orleans",IFERROR(INDEX('Category Rules'!$B$2:$B$194,MATCH(TRUE,ISNUMBER(SEARCH('Category Rules'!$A$2:$A$194,C1361)),0)),"")))))))</f>
        <v>Uber Eats</v>
      </c>
    </row>
    <row r="1362" spans="1:7" x14ac:dyDescent="0.25">
      <c r="A1362" t="s">
        <v>6</v>
      </c>
      <c r="B1362" s="1">
        <v>46024</v>
      </c>
      <c r="C1362" t="s">
        <v>1298</v>
      </c>
      <c r="D1362">
        <v>-82.3</v>
      </c>
      <c r="E1362" t="s">
        <v>14</v>
      </c>
      <c r="F1362">
        <v>5940.89</v>
      </c>
      <c r="G1362" t="str" cm="1">
        <f t="array" ref="G1362">IF(AND(ISNUMBER(SEARCH("UBER",C1362)),ISNUMBER(SEARCH("EATS",C1362))),"Uber Eats",IF(LEFT(C1362,6)="CHECK ","Checks Paid",IF(OR(E1362="BILLPAY",ISNUMBER(SEARCH("FRANCHISE TAX",C1362)),ISNUMBER(SEARCH("NEXTLINK",C1362))),"Personal - House Bills",IF(AND(ISNUMBER(SEARCH("PAYMENT FROM",C1362)),ISNUMBER(SEARCH("JOE SAUNDERS",C1362))),"Zelle from Joe Saunders",IF(AND(ISNUMBER(SEARCH("PAYMENT TO",C1362)),ISNUMBER(SEARCH("JOE SAUNDERS",C1362))),"Zelle to Joe Saunders",IF(OR(ISNUMBER(SEARCH("NEW ORLEANS",C1362)),ISNUMBER(SEARCH("KENNER",C1362)),ISNUMBER(SEARCH("HENRY HOWARD",C1362)),ISNUMBER(SEARCH("MISS CLAUDIA",C1362))),"Personal Travel - New Orleans",IFERROR(INDEX('Category Rules'!$B$2:$B$194,MATCH(TRUE,ISNUMBER(SEARCH('Category Rules'!$A$2:$A$194,C1362)),0)),"")))))))</f>
        <v>Uber Eats</v>
      </c>
    </row>
    <row r="1363" spans="1:7" x14ac:dyDescent="0.25">
      <c r="A1363" t="s">
        <v>6</v>
      </c>
      <c r="B1363" s="1">
        <v>46024</v>
      </c>
      <c r="C1363" t="s">
        <v>1299</v>
      </c>
      <c r="D1363">
        <v>-13.93</v>
      </c>
      <c r="E1363" t="s">
        <v>14</v>
      </c>
      <c r="F1363">
        <v>6023.19</v>
      </c>
      <c r="G1363" t="str" cm="1">
        <f t="array" ref="G1363">IF(AND(ISNUMBER(SEARCH("UBER",C1363)),ISNUMBER(SEARCH("EATS",C1363))),"Uber Eats",IF(LEFT(C1363,6)="CHECK ","Checks Paid",IF(OR(E1363="BILLPAY",ISNUMBER(SEARCH("FRANCHISE TAX",C1363)),ISNUMBER(SEARCH("NEXTLINK",C1363))),"Personal - House Bills",IF(AND(ISNUMBER(SEARCH("PAYMENT FROM",C1363)),ISNUMBER(SEARCH("JOE SAUNDERS",C1363))),"Zelle from Joe Saunders",IF(AND(ISNUMBER(SEARCH("PAYMENT TO",C1363)),ISNUMBER(SEARCH("JOE SAUNDERS",C1363))),"Zelle to Joe Saunders",IF(OR(ISNUMBER(SEARCH("NEW ORLEANS",C1363)),ISNUMBER(SEARCH("KENNER",C1363)),ISNUMBER(SEARCH("HENRY HOWARD",C1363)),ISNUMBER(SEARCH("MISS CLAUDIA",C1363))),"Personal Travel - New Orleans",IFERROR(INDEX('Category Rules'!$B$2:$B$194,MATCH(TRUE,ISNUMBER(SEARCH('Category Rules'!$A$2:$A$194,C1363)),0)),"")))))))</f>
        <v>Personal Travel</v>
      </c>
    </row>
    <row r="1364" spans="1:7" x14ac:dyDescent="0.25">
      <c r="A1364" t="s">
        <v>6</v>
      </c>
      <c r="B1364" s="1">
        <v>46024</v>
      </c>
      <c r="C1364" t="s">
        <v>1300</v>
      </c>
      <c r="D1364">
        <v>-164.61</v>
      </c>
      <c r="E1364" t="s">
        <v>14</v>
      </c>
      <c r="F1364">
        <v>6037.12</v>
      </c>
      <c r="G1364" t="str" cm="1">
        <f t="array" ref="G1364">IF(AND(ISNUMBER(SEARCH("UBER",C1364)),ISNUMBER(SEARCH("EATS",C1364))),"Uber Eats",IF(LEFT(C1364,6)="CHECK ","Checks Paid",IF(OR(E1364="BILLPAY",ISNUMBER(SEARCH("FRANCHISE TAX",C1364)),ISNUMBER(SEARCH("NEXTLINK",C1364))),"Personal - House Bills",IF(AND(ISNUMBER(SEARCH("PAYMENT FROM",C1364)),ISNUMBER(SEARCH("JOE SAUNDERS",C1364))),"Zelle from Joe Saunders",IF(AND(ISNUMBER(SEARCH("PAYMENT TO",C1364)),ISNUMBER(SEARCH("JOE SAUNDERS",C1364))),"Zelle to Joe Saunders",IF(OR(ISNUMBER(SEARCH("NEW ORLEANS",C1364)),ISNUMBER(SEARCH("KENNER",C1364)),ISNUMBER(SEARCH("HENRY HOWARD",C1364)),ISNUMBER(SEARCH("MISS CLAUDIA",C1364))),"Personal Travel - New Orleans",IFERROR(INDEX('Category Rules'!$B$2:$B$194,MATCH(TRUE,ISNUMBER(SEARCH('Category Rules'!$A$2:$A$194,C1364)),0)),"")))))))</f>
        <v>Amazon</v>
      </c>
    </row>
    <row r="1365" spans="1:7" x14ac:dyDescent="0.25">
      <c r="A1365" t="s">
        <v>6</v>
      </c>
      <c r="B1365" s="1">
        <v>46024</v>
      </c>
      <c r="C1365" t="s">
        <v>1301</v>
      </c>
      <c r="D1365">
        <v>-244.28</v>
      </c>
      <c r="E1365" t="s">
        <v>14</v>
      </c>
      <c r="F1365">
        <v>6201.73</v>
      </c>
      <c r="G1365" t="str" cm="1">
        <f t="array" ref="G1365">IF(AND(ISNUMBER(SEARCH("UBER",C1365)),ISNUMBER(SEARCH("EATS",C1365))),"Uber Eats",IF(LEFT(C1365,6)="CHECK ","Checks Paid",IF(OR(E1365="BILLPAY",ISNUMBER(SEARCH("FRANCHISE TAX",C1365)),ISNUMBER(SEARCH("NEXTLINK",C1365))),"Personal - House Bills",IF(AND(ISNUMBER(SEARCH("PAYMENT FROM",C1365)),ISNUMBER(SEARCH("JOE SAUNDERS",C1365))),"Zelle from Joe Saunders",IF(AND(ISNUMBER(SEARCH("PAYMENT TO",C1365)),ISNUMBER(SEARCH("JOE SAUNDERS",C1365))),"Zelle to Joe Saunders",IF(OR(ISNUMBER(SEARCH("NEW ORLEANS",C1365)),ISNUMBER(SEARCH("KENNER",C1365)),ISNUMBER(SEARCH("HENRY HOWARD",C1365)),ISNUMBER(SEARCH("MISS CLAUDIA",C1365))),"Personal Travel - New Orleans",IFERROR(INDEX('Category Rules'!$B$2:$B$194,MATCH(TRUE,ISNUMBER(SEARCH('Category Rules'!$A$2:$A$194,C1365)),0)),"")))))))</f>
        <v>Personal - Shopping</v>
      </c>
    </row>
    <row r="1366" spans="1:7" x14ac:dyDescent="0.25">
      <c r="A1366" t="s">
        <v>6</v>
      </c>
      <c r="B1366" s="1">
        <v>46024</v>
      </c>
      <c r="C1366" t="s">
        <v>1302</v>
      </c>
      <c r="D1366">
        <v>-63.44</v>
      </c>
      <c r="E1366" t="s">
        <v>14</v>
      </c>
      <c r="F1366">
        <v>6446.01</v>
      </c>
      <c r="G1366" t="str" cm="1">
        <f t="array" ref="G1366">IF(AND(ISNUMBER(SEARCH("UBER",C1366)),ISNUMBER(SEARCH("EATS",C1366))),"Uber Eats",IF(LEFT(C1366,6)="CHECK ","Checks Paid",IF(OR(E1366="BILLPAY",ISNUMBER(SEARCH("FRANCHISE TAX",C1366)),ISNUMBER(SEARCH("NEXTLINK",C1366))),"Personal - House Bills",IF(AND(ISNUMBER(SEARCH("PAYMENT FROM",C1366)),ISNUMBER(SEARCH("JOE SAUNDERS",C1366))),"Zelle from Joe Saunders",IF(AND(ISNUMBER(SEARCH("PAYMENT TO",C1366)),ISNUMBER(SEARCH("JOE SAUNDERS",C1366))),"Zelle to Joe Saunders",IF(OR(ISNUMBER(SEARCH("NEW ORLEANS",C1366)),ISNUMBER(SEARCH("KENNER",C1366)),ISNUMBER(SEARCH("HENRY HOWARD",C1366)),ISNUMBER(SEARCH("MISS CLAUDIA",C1366))),"Personal Travel - New Orleans",IFERROR(INDEX('Category Rules'!$B$2:$B$194,MATCH(TRUE,ISNUMBER(SEARCH('Category Rules'!$A$2:$A$194,C1366)),0)),"")))))))</f>
        <v>Personal Travel</v>
      </c>
    </row>
    <row r="1367" spans="1:7" x14ac:dyDescent="0.25">
      <c r="A1367" t="s">
        <v>6</v>
      </c>
      <c r="B1367" s="1">
        <v>46024</v>
      </c>
      <c r="C1367" t="s">
        <v>1303</v>
      </c>
      <c r="D1367">
        <v>-40.25</v>
      </c>
      <c r="E1367" t="s">
        <v>14</v>
      </c>
      <c r="F1367">
        <v>6509.45</v>
      </c>
      <c r="G1367" t="str" cm="1">
        <f t="array" ref="G1367">IF(AND(ISNUMBER(SEARCH("UBER",C1367)),ISNUMBER(SEARCH("EATS",C1367))),"Uber Eats",IF(LEFT(C1367,6)="CHECK ","Checks Paid",IF(OR(E1367="BILLPAY",ISNUMBER(SEARCH("FRANCHISE TAX",C1367)),ISNUMBER(SEARCH("NEXTLINK",C1367))),"Personal - House Bills",IF(AND(ISNUMBER(SEARCH("PAYMENT FROM",C1367)),ISNUMBER(SEARCH("JOE SAUNDERS",C1367))),"Zelle from Joe Saunders",IF(AND(ISNUMBER(SEARCH("PAYMENT TO",C1367)),ISNUMBER(SEARCH("JOE SAUNDERS",C1367))),"Zelle to Joe Saunders",IF(OR(ISNUMBER(SEARCH("NEW ORLEANS",C1367)),ISNUMBER(SEARCH("KENNER",C1367)),ISNUMBER(SEARCH("HENRY HOWARD",C1367)),ISNUMBER(SEARCH("MISS CLAUDIA",C1367))),"Personal Travel - New Orleans",IFERROR(INDEX('Category Rules'!$B$2:$B$194,MATCH(TRUE,ISNUMBER(SEARCH('Category Rules'!$A$2:$A$194,C1367)),0)),"")))))))</f>
        <v>Amazon</v>
      </c>
    </row>
    <row r="1368" spans="1:7" x14ac:dyDescent="0.25">
      <c r="A1368" t="s">
        <v>37</v>
      </c>
      <c r="B1368" s="1">
        <v>46024</v>
      </c>
      <c r="C1368" t="s">
        <v>1304</v>
      </c>
      <c r="D1368">
        <v>5000</v>
      </c>
      <c r="E1368" t="s">
        <v>39</v>
      </c>
      <c r="F1368">
        <v>6549.7</v>
      </c>
      <c r="G1368" t="str" cm="1">
        <f t="array" ref="G1368">IF(AND(ISNUMBER(SEARCH("UBER",C1368)),ISNUMBER(SEARCH("EATS",C1368))),"Uber Eats",IF(LEFT(C1368,6)="CHECK ","Checks Paid",IF(OR(E1368="BILLPAY",ISNUMBER(SEARCH("FRANCHISE TAX",C1368)),ISNUMBER(SEARCH("NEXTLINK",C1368))),"Personal - House Bills",IF(AND(ISNUMBER(SEARCH("PAYMENT FROM",C1368)),ISNUMBER(SEARCH("JOE SAUNDERS",C1368))),"Zelle from Joe Saunders",IF(AND(ISNUMBER(SEARCH("PAYMENT TO",C1368)),ISNUMBER(SEARCH("JOE SAUNDERS",C1368))),"Zelle to Joe Saunders",IF(OR(ISNUMBER(SEARCH("NEW ORLEANS",C1368)),ISNUMBER(SEARCH("KENNER",C1368)),ISNUMBER(SEARCH("HENRY HOWARD",C1368)),ISNUMBER(SEARCH("MISS CLAUDIA",C1368))),"Personal Travel - New Orleans",IFERROR(INDEX('Category Rules'!$B$2:$B$194,MATCH(TRUE,ISNUMBER(SEARCH('Category Rules'!$A$2:$A$194,C1368)),0)),"")))))))</f>
        <v>Transfer from DWG Capital Group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C929CA3AB7479420827EB8BF2F62" ma:contentTypeVersion="11" ma:contentTypeDescription="Create a new document." ma:contentTypeScope="" ma:versionID="3aebac84764e1573f2f563269886a101">
  <xsd:schema xmlns:xsd="http://www.w3.org/2001/XMLSchema" xmlns:xs="http://www.w3.org/2001/XMLSchema" xmlns:p="http://schemas.microsoft.com/office/2006/metadata/properties" xmlns:ns3="57614729-365d-434d-847d-3e95f2fa2ddf" targetNamespace="http://schemas.microsoft.com/office/2006/metadata/properties" ma:root="true" ma:fieldsID="3ceb0305c216aeb5ffe1a7ae60be6a9a" ns3:_="">
    <xsd:import namespace="57614729-365d-434d-847d-3e95f2fa2d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14729-365d-434d-847d-3e95f2fa2d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614729-365d-434d-847d-3e95f2fa2ddf" xsi:nil="true"/>
  </documentManagement>
</p:properties>
</file>

<file path=customXml/itemProps1.xml><?xml version="1.0" encoding="utf-8"?>
<ds:datastoreItem xmlns:ds="http://schemas.openxmlformats.org/officeDocument/2006/customXml" ds:itemID="{34141965-1CB8-46AE-B722-FB4149E769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14729-365d-434d-847d-3e95f2fa2d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30C9C-2561-415E-8F39-78E1EAE518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905911-B504-417F-8653-E64EBC19278C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7614729-365d-434d-847d-3e95f2fa2dd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 Summary</vt:lpstr>
      <vt:lpstr>Transfers</vt:lpstr>
      <vt:lpstr>Transaction Details</vt:lpstr>
      <vt:lpstr>Monthly Breakdown</vt:lpstr>
      <vt:lpstr>Category Rules</vt:lpstr>
      <vt:lpstr>Angela_2026_Chase1117_Activity_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Dunning</dc:creator>
  <cp:lastModifiedBy>Mike Paytonjian</cp:lastModifiedBy>
  <dcterms:created xsi:type="dcterms:W3CDTF">2026-07-09T01:40:21Z</dcterms:created>
  <dcterms:modified xsi:type="dcterms:W3CDTF">2026-07-09T03:28:46Z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0x0101003BBCC929CA3AB7479420827EB8BF2F62</vt:lpwstr>
  </property>
</Properties>
</file>