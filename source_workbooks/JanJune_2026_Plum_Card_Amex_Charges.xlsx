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American Express_Buckets\4. Plum Card\"/>
    </mc:Choice>
  </mc:AlternateContent>
  <xr:revisionPtr revIDLastSave="0" documentId="8_{D1B10486-2DB2-4D11-AA4C-D3DE14D28D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nsaction Summary" sheetId="2" r:id="rId1"/>
    <sheet name="Monthly Breakdown" sheetId="3" r:id="rId2"/>
    <sheet name="Transaction Details" sheetId="1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B33" i="3"/>
  <c r="B32" i="3"/>
  <c r="B31" i="3"/>
  <c r="B30" i="3"/>
  <c r="B29" i="3"/>
  <c r="B28" i="3"/>
  <c r="B27" i="3"/>
  <c r="B26" i="3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C8" i="3"/>
  <c r="B8" i="3"/>
  <c r="B22" i="3"/>
  <c r="B21" i="3"/>
  <c r="B20" i="3"/>
  <c r="D60" i="2"/>
  <c r="C49" i="2"/>
  <c r="B49" i="2"/>
  <c r="D45" i="2"/>
  <c r="C45" i="2"/>
  <c r="B45" i="2"/>
  <c r="D44" i="2"/>
  <c r="C44" i="2"/>
  <c r="B44" i="2"/>
  <c r="C40" i="2"/>
  <c r="B35" i="2"/>
  <c r="C34" i="2"/>
  <c r="B34" i="2"/>
  <c r="C33" i="2"/>
  <c r="B33" i="2"/>
  <c r="C32" i="2"/>
  <c r="B32" i="2"/>
  <c r="B21" i="2"/>
  <c r="C20" i="2"/>
  <c r="B20" i="2"/>
  <c r="D51" i="1"/>
  <c r="D50" i="1"/>
  <c r="B66" i="3"/>
  <c r="B65" i="3"/>
  <c r="B64" i="3"/>
  <c r="B63" i="3"/>
  <c r="B58" i="3"/>
  <c r="B57" i="3"/>
  <c r="B56" i="3"/>
  <c r="B55" i="3"/>
  <c r="B54" i="3"/>
  <c r="B53" i="3"/>
  <c r="B52" i="3"/>
  <c r="B47" i="3"/>
  <c r="B46" i="3"/>
  <c r="B45" i="3"/>
  <c r="B44" i="3"/>
  <c r="B43" i="3"/>
  <c r="B42" i="3"/>
  <c r="B41" i="3"/>
  <c r="B40" i="3"/>
  <c r="B39" i="3"/>
  <c r="B38" i="3"/>
  <c r="C48" i="2"/>
  <c r="B48" i="2"/>
  <c r="C47" i="2"/>
  <c r="B47" i="2"/>
  <c r="C46" i="2"/>
  <c r="B46" i="2"/>
  <c r="B38" i="2"/>
  <c r="B37" i="2"/>
  <c r="B31" i="2"/>
  <c r="B30" i="2"/>
  <c r="B29" i="2"/>
  <c r="B26" i="2"/>
  <c r="B27" i="2" s="1"/>
  <c r="B23" i="2"/>
  <c r="B24" i="2" s="1"/>
  <c r="B19" i="2"/>
  <c r="B18" i="2"/>
  <c r="B17" i="2"/>
  <c r="B16" i="2"/>
  <c r="B10" i="2"/>
  <c r="D52" i="1"/>
  <c r="C31" i="3" l="1"/>
  <c r="C27" i="3"/>
  <c r="C28" i="3"/>
  <c r="C29" i="3"/>
  <c r="C30" i="3"/>
  <c r="C26" i="3"/>
  <c r="D48" i="2"/>
  <c r="D47" i="2"/>
  <c r="B48" i="3"/>
  <c r="C56" i="3"/>
  <c r="B59" i="3"/>
  <c r="D46" i="2"/>
  <c r="C64" i="3"/>
  <c r="B9" i="2"/>
  <c r="B11" i="2" s="1"/>
  <c r="B39" i="2"/>
  <c r="C54" i="3"/>
  <c r="C45" i="3"/>
  <c r="B67" i="3"/>
  <c r="C63" i="3"/>
  <c r="C53" i="3"/>
  <c r="C55" i="3"/>
  <c r="C52" i="3"/>
  <c r="C38" i="3"/>
  <c r="C43" i="3"/>
  <c r="C44" i="3"/>
  <c r="C39" i="3"/>
  <c r="C40" i="3"/>
  <c r="C41" i="3"/>
  <c r="C42" i="3"/>
  <c r="C16" i="2" l="1"/>
  <c r="C26" i="2"/>
  <c r="B40" i="2"/>
  <c r="D49" i="2"/>
  <c r="C38" i="2"/>
  <c r="C29" i="2"/>
  <c r="C37" i="2"/>
  <c r="C17" i="2"/>
  <c r="C31" i="2"/>
  <c r="C19" i="2"/>
  <c r="C30" i="2"/>
  <c r="C18" i="2"/>
  <c r="C23" i="2"/>
</calcChain>
</file>

<file path=xl/sharedStrings.xml><?xml version="1.0" encoding="utf-8"?>
<sst xmlns="http://schemas.openxmlformats.org/spreadsheetml/2006/main" count="317" uniqueCount="106">
  <si>
    <t>XXXX-XXXXXX-27008</t>
  </si>
  <si>
    <t>Date</t>
  </si>
  <si>
    <t>Description</t>
  </si>
  <si>
    <t>Amount</t>
  </si>
  <si>
    <t>Category</t>
  </si>
  <si>
    <t>Charges</t>
  </si>
  <si>
    <t>Total</t>
  </si>
  <si>
    <t>Online AMEX Payment</t>
  </si>
  <si>
    <t>DWGCP Listing Platform</t>
  </si>
  <si>
    <t>Bridge Loan (Buckeye Shapeform)</t>
  </si>
  <si>
    <t>Early Pay Discount</t>
  </si>
  <si>
    <t>Membership Fee</t>
  </si>
  <si>
    <t>Personal - Health</t>
  </si>
  <si>
    <t>DWGCP Swag</t>
  </si>
  <si>
    <t>Jeff Farjado - Legal Case</t>
  </si>
  <si>
    <t>Personal - Entertainment</t>
  </si>
  <si>
    <t>Software &amp; Subscriptions</t>
  </si>
  <si>
    <t>Personal - Land</t>
  </si>
  <si>
    <t>DWG CAPITAL PARTNERS</t>
  </si>
  <si>
    <t>The Plum Card®  |  Transaction Detail</t>
  </si>
  <si>
    <t>Account Holder</t>
  </si>
  <si>
    <t>John B Dunning</t>
  </si>
  <si>
    <t>Account</t>
  </si>
  <si>
    <t>Statement Period</t>
  </si>
  <si>
    <t>Entity</t>
  </si>
  <si>
    <t>DWG Capital Partners</t>
  </si>
  <si>
    <t>Merchant</t>
  </si>
  <si>
    <t>B/P</t>
  </si>
  <si>
    <t>Reimb.</t>
  </si>
  <si>
    <t>Notes</t>
  </si>
  <si>
    <t>Online Payment - Thank You</t>
  </si>
  <si>
    <t>Due back to Sponsor — covers 100K business charges</t>
  </si>
  <si>
    <t>LEV INC</t>
  </si>
  <si>
    <t>B</t>
  </si>
  <si>
    <t>Listing platform</t>
  </si>
  <si>
    <t>Buckeye Shapeform</t>
  </si>
  <si>
    <t>Online AMEX payment received</t>
  </si>
  <si>
    <t>Early pay discount</t>
  </si>
  <si>
    <t>Renewal Membership Fee</t>
  </si>
  <si>
    <t>Plum Card renewal membership fee</t>
  </si>
  <si>
    <t>Restore.com</t>
  </si>
  <si>
    <t>P</t>
  </si>
  <si>
    <t>Yes</t>
  </si>
  <si>
    <t>Personal — health</t>
  </si>
  <si>
    <t>Fingerprint Promotions</t>
  </si>
  <si>
    <t>Company swag</t>
  </si>
  <si>
    <t>Law Offices of Monika Su</t>
  </si>
  <si>
    <t>Jeff Farjado legal case</t>
  </si>
  <si>
    <t>Ticketmaster (PayPal)</t>
  </si>
  <si>
    <t>Personal — entertainment</t>
  </si>
  <si>
    <t>DoorDash DashPass</t>
  </si>
  <si>
    <t>DashPass subscription</t>
  </si>
  <si>
    <t>Google * Hurdlr Mileage</t>
  </si>
  <si>
    <t>Mileage tracking subscription</t>
  </si>
  <si>
    <t>Commonlots LLC</t>
  </si>
  <si>
    <t>Personal — land</t>
  </si>
  <si>
    <t>Totals</t>
  </si>
  <si>
    <t>Credits &amp; Payments</t>
  </si>
  <si>
    <t>Net Balance</t>
  </si>
  <si>
    <t>The Plum Card®  |  Statement Summary</t>
  </si>
  <si>
    <t>TOTALS</t>
  </si>
  <si>
    <t>SPEND BY CATEGORY</t>
  </si>
  <si>
    <t>% of Charges</t>
  </si>
  <si>
    <t>DWGCP / DWG Operating</t>
  </si>
  <si>
    <t xml:space="preserve">  Subtotal — Operating</t>
  </si>
  <si>
    <t>Technology &amp; Software</t>
  </si>
  <si>
    <t xml:space="preserve">  Subtotal — Technology</t>
  </si>
  <si>
    <t>One-Time / Capital</t>
  </si>
  <si>
    <t xml:space="preserve">  Subtotal — Capital</t>
  </si>
  <si>
    <t>Personal — Reimburse to Company</t>
  </si>
  <si>
    <t xml:space="preserve">  Subtotal — Personal</t>
  </si>
  <si>
    <t>Credits, Refunds &amp; Payments</t>
  </si>
  <si>
    <t xml:space="preserve">  Subtotal — Credits/Payments</t>
  </si>
  <si>
    <t>GRAND TOTAL</t>
  </si>
  <si>
    <t>SPEND BY MONTH</t>
  </si>
  <si>
    <t>Month</t>
  </si>
  <si>
    <t>Credits</t>
  </si>
  <si>
    <t>Net</t>
  </si>
  <si>
    <t>PAYMENTS, CREDITS &amp; REFUNDS DETAIL</t>
  </si>
  <si>
    <t>Type</t>
  </si>
  <si>
    <t>Payment</t>
  </si>
  <si>
    <t>Credit</t>
  </si>
  <si>
    <t>Total Credits &amp; Payments</t>
  </si>
  <si>
    <t>The Plum Card®  |  Monthly Breakdown</t>
  </si>
  <si>
    <t>Period</t>
  </si>
  <si>
    <t>% of Month Charges</t>
  </si>
  <si>
    <t>Total Charges</t>
  </si>
  <si>
    <t>Bridge loan being reimbursed</t>
  </si>
  <si>
    <t>American Express - The Plum Card</t>
  </si>
  <si>
    <t>Personal - Food</t>
  </si>
  <si>
    <t>Personal - Family</t>
  </si>
  <si>
    <t>Personal - Car</t>
  </si>
  <si>
    <t>FloHealth.com</t>
  </si>
  <si>
    <t>Personal — family</t>
  </si>
  <si>
    <t>Coco's Tea Room &amp; Bistro</t>
  </si>
  <si>
    <t>Personal — food</t>
  </si>
  <si>
    <t>Weatherford Stop 302</t>
  </si>
  <si>
    <t>Personal — fuel/car</t>
  </si>
  <si>
    <t>Return Payment Fee</t>
  </si>
  <si>
    <t>Return payment fee</t>
  </si>
  <si>
    <t>Alana's Coffee Roasters</t>
  </si>
  <si>
    <t>Absolute YVR Gate 85</t>
  </si>
  <si>
    <t>Personal — health (foreign, CAD 57.05)</t>
  </si>
  <si>
    <t>Smartecarte Cart</t>
  </si>
  <si>
    <t>Jan 1, 2026 – Jun 11, 2026</t>
  </si>
  <si>
    <t>January 2026 -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</si>
</sst>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;\(&quot;$&quot;#,##0.00\);\-"/>
    <numFmt numFmtId="166" formatCode="0.0%;\(0.0%\);\-"/>
  </numFmts>
  <fonts count="1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6"/>
      <color rgb="FFFFFFFF"/>
      <name val="Calibri"/>
      <family val="2"/>
    </font>
    <font>
      <sz val="11"/>
      <color rgb="FFFFFFFF"/>
      <name val="Calibri"/>
      <family val="2"/>
    </font>
    <font>
      <b/>
      <sz val="9"/>
      <color rgb="FF6B6B6B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indexed="8"/>
      <name val="Calibri"/>
      <family val="2"/>
    </font>
    <font>
      <b/>
      <sz val="11"/>
      <color rgb="FFFFFFFF"/>
      <name val="Calibri"/>
      <family val="2"/>
    </font>
    <font>
      <b/>
      <sz val="10"/>
      <color rgb="FF6B6B6B"/>
      <name val="Calibri"/>
      <family val="2"/>
    </font>
    <font>
      <b/>
      <sz val="10"/>
      <color rgb="FF000000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C2C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5" fillId="0" borderId="0" xfId="0" applyFont="1" applyAlignment="1">
      <alignment horizontal="center"/>
    </xf>
    <xf numFmtId="0" fontId="7" fillId="0" borderId="0" xfId="0" applyFont="1"/>
    <xf numFmtId="165" fontId="7" fillId="0" borderId="0" xfId="0" applyNumberFormat="1" applyFont="1" applyAlignment="1">
      <alignment horizontal="right"/>
    </xf>
    <xf numFmtId="165" fontId="6" fillId="2" borderId="0" xfId="0" applyNumberFormat="1" applyFont="1" applyFill="1" applyAlignment="1">
      <alignment horizontal="right"/>
    </xf>
    <xf numFmtId="0" fontId="8" fillId="2" borderId="0" xfId="0" applyFont="1" applyFill="1"/>
    <xf numFmtId="0" fontId="9" fillId="3" borderId="0" xfId="0" applyFont="1" applyFill="1"/>
    <xf numFmtId="165" fontId="5" fillId="3" borderId="0" xfId="0" applyNumberFormat="1" applyFont="1" applyFill="1" applyAlignment="1">
      <alignment horizontal="right"/>
    </xf>
    <xf numFmtId="0" fontId="10" fillId="3" borderId="0" xfId="0" applyFont="1" applyFill="1"/>
    <xf numFmtId="165" fontId="10" fillId="3" borderId="0" xfId="0" applyNumberFormat="1" applyFont="1" applyFill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10" fillId="0" borderId="0" xfId="0" applyFont="1"/>
    <xf numFmtId="165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10" fillId="4" borderId="0" xfId="0" applyFont="1" applyFill="1"/>
    <xf numFmtId="165" fontId="10" fillId="4" borderId="0" xfId="0" applyNumberFormat="1" applyFont="1" applyFill="1" applyAlignment="1">
      <alignment horizontal="right"/>
    </xf>
    <xf numFmtId="166" fontId="10" fillId="4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right"/>
    </xf>
    <xf numFmtId="166" fontId="8" fillId="2" borderId="0" xfId="0" applyNumberFormat="1" applyFont="1" applyFill="1" applyAlignment="1">
      <alignment horizontal="right"/>
    </xf>
    <xf numFmtId="17" fontId="5" fillId="0" borderId="0" xfId="0" applyNumberFormat="1" applyFont="1"/>
    <xf numFmtId="0" fontId="1" fillId="4" borderId="0" xfId="0" applyFont="1" applyFill="1"/>
    <xf numFmtId="17" fontId="11" fillId="2" borderId="0" xfId="0" applyNumberFormat="1" applyFont="1" applyFill="1"/>
    <xf numFmtId="165" fontId="10" fillId="0" borderId="0" xfId="0" applyNumberFormat="1" applyFont="1" applyAlignment="1">
      <alignment horizontal="right"/>
    </xf>
    <xf numFmtId="17" fontId="1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03B859-181D-4255-A02F-AAF7BF6D40F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74fa92b-cf18-4961-9ff5-c450448543b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topLeftCell="A35" workbookViewId="0">
      <selection activeCell="E37" sqref="E37"/>
    </sheetView>
  </sheetViews>
  <sheetFormatPr defaultColWidth="26.28515625" defaultRowHeight="15" x14ac:dyDescent="0.25"/>
  <cols>
    <col min="1" max="1" width="57.140625" customWidth="1"/>
    <col min="2" max="2" width="28.5703125" customWidth="1"/>
    <col min="3" max="3" width="24.7109375" customWidth="1"/>
    <col min="4" max="4" width="21" customWidth="1"/>
  </cols>
  <sheetData>
    <row r="1" spans="1:4" ht="36.75" customHeight="1" x14ac:dyDescent="0.35">
      <c r="A1" s="3" t="s">
        <v>88</v>
      </c>
      <c r="B1" s="2"/>
      <c r="C1" s="2"/>
      <c r="D1" s="2"/>
    </row>
    <row r="2" spans="1:4" x14ac:dyDescent="0.25">
      <c r="A2" s="4" t="s">
        <v>59</v>
      </c>
      <c r="B2" s="2"/>
      <c r="C2" s="2"/>
      <c r="D2" s="2"/>
    </row>
    <row r="3" spans="1:4" x14ac:dyDescent="0.25">
      <c r="A3" s="5"/>
      <c r="B3" s="5"/>
      <c r="C3" s="5"/>
      <c r="D3" s="5"/>
    </row>
    <row r="4" spans="1:4" x14ac:dyDescent="0.25">
      <c r="A4" s="6" t="s">
        <v>20</v>
      </c>
      <c r="B4" s="7" t="s">
        <v>21</v>
      </c>
      <c r="C4" s="5"/>
      <c r="D4" s="5"/>
    </row>
    <row r="5" spans="1:4" x14ac:dyDescent="0.25">
      <c r="A5" s="6" t="s">
        <v>22</v>
      </c>
      <c r="B5" s="7" t="s">
        <v>0</v>
      </c>
      <c r="C5" s="5"/>
      <c r="D5" s="5"/>
    </row>
    <row r="6" spans="1:4" x14ac:dyDescent="0.25">
      <c r="A6" s="6" t="s">
        <v>23</v>
      </c>
      <c r="B6" s="7" t="s">
        <v>105</v>
      </c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17" t="s">
        <v>60</v>
      </c>
      <c r="B8" s="2"/>
      <c r="C8" s="2"/>
      <c r="D8" s="2"/>
    </row>
    <row r="9" spans="1:4" x14ac:dyDescent="0.25">
      <c r="A9" s="18" t="s">
        <v>5</v>
      </c>
      <c r="B9" s="19">
        <f>'Transaction Details'!D50</f>
        <v>127886.46000000004</v>
      </c>
      <c r="C9" s="5"/>
      <c r="D9" s="5"/>
    </row>
    <row r="10" spans="1:4" x14ac:dyDescent="0.25">
      <c r="A10" s="18" t="s">
        <v>57</v>
      </c>
      <c r="B10" s="19">
        <f>'Transaction Details'!D51</f>
        <v>-75210.3</v>
      </c>
      <c r="C10" s="5"/>
      <c r="D10" s="5"/>
    </row>
    <row r="11" spans="1:4" x14ac:dyDescent="0.25">
      <c r="A11" s="20" t="s">
        <v>58</v>
      </c>
      <c r="B11" s="21">
        <f>B9+B10</f>
        <v>52676.160000000033</v>
      </c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17" t="s">
        <v>61</v>
      </c>
      <c r="B13" s="2"/>
      <c r="C13" s="2"/>
      <c r="D13" s="2"/>
    </row>
    <row r="14" spans="1:4" x14ac:dyDescent="0.25">
      <c r="A14" s="22" t="s">
        <v>4</v>
      </c>
      <c r="B14" s="23" t="s">
        <v>3</v>
      </c>
      <c r="C14" s="23" t="s">
        <v>62</v>
      </c>
      <c r="D14" s="5"/>
    </row>
    <row r="15" spans="1:4" x14ac:dyDescent="0.25">
      <c r="A15" s="6" t="s">
        <v>63</v>
      </c>
      <c r="B15" s="5"/>
      <c r="C15" s="5"/>
      <c r="D15" s="5"/>
    </row>
    <row r="16" spans="1:4" x14ac:dyDescent="0.25">
      <c r="A16" s="7" t="s">
        <v>8</v>
      </c>
      <c r="B16" s="25">
        <f>SUMIFS('Transaction Details'!D:D,'Transaction Details'!C:C,A16)</f>
        <v>6250</v>
      </c>
      <c r="C16" s="26">
        <f>IFERROR(B16/$B$9,0)</f>
        <v>4.8871475526025179E-2</v>
      </c>
      <c r="D16" s="5"/>
    </row>
    <row r="17" spans="1:4" x14ac:dyDescent="0.25">
      <c r="A17" s="7" t="s">
        <v>13</v>
      </c>
      <c r="B17" s="25">
        <f>SUMIFS('Transaction Details'!D:D,'Transaction Details'!C:C,A17)</f>
        <v>2270.52</v>
      </c>
      <c r="C17" s="26">
        <f>IFERROR(B17/$B$9,0)</f>
        <v>1.7754186017816111E-2</v>
      </c>
      <c r="D17" s="5"/>
    </row>
    <row r="18" spans="1:4" x14ac:dyDescent="0.25">
      <c r="A18" s="7" t="s">
        <v>14</v>
      </c>
      <c r="B18" s="25">
        <f>SUMIFS('Transaction Details'!D:D,'Transaction Details'!C:C,A18)</f>
        <v>17000</v>
      </c>
      <c r="C18" s="26">
        <f>IFERROR(B18/$B$9,0)</f>
        <v>0.13293041343078849</v>
      </c>
      <c r="D18" s="5"/>
    </row>
    <row r="19" spans="1:4" x14ac:dyDescent="0.25">
      <c r="A19" s="7" t="s">
        <v>11</v>
      </c>
      <c r="B19" s="25">
        <f>SUMIFS('Transaction Details'!D:D,'Transaction Details'!C:C,A19)</f>
        <v>250</v>
      </c>
      <c r="C19" s="26">
        <f>IFERROR(B19/$B$9,0)</f>
        <v>1.9548590210410072E-3</v>
      </c>
      <c r="D19" s="5"/>
    </row>
    <row r="20" spans="1:4" x14ac:dyDescent="0.25">
      <c r="A20" s="7" t="s">
        <v>98</v>
      </c>
      <c r="B20" s="25">
        <f>SUMIFS('Transaction Details'!D:D,'Transaction Details'!C:C,A20)</f>
        <v>39</v>
      </c>
      <c r="C20" s="26">
        <f>IFERROR(B20/$B$9,0)</f>
        <v>3.0495800728239715E-4</v>
      </c>
      <c r="D20" s="5"/>
    </row>
    <row r="21" spans="1:4" x14ac:dyDescent="0.25">
      <c r="A21" s="27" t="s">
        <v>64</v>
      </c>
      <c r="B21" s="28">
        <f>SUM(B16:B20)</f>
        <v>25809.52</v>
      </c>
      <c r="C21" s="29"/>
      <c r="D21" s="5"/>
    </row>
    <row r="22" spans="1:4" x14ac:dyDescent="0.25">
      <c r="A22" s="24" t="s">
        <v>65</v>
      </c>
      <c r="B22" s="25"/>
      <c r="C22" s="26"/>
      <c r="D22" s="5"/>
    </row>
    <row r="23" spans="1:4" x14ac:dyDescent="0.25">
      <c r="A23" s="7" t="s">
        <v>16</v>
      </c>
      <c r="B23" s="25">
        <f>SUMIFS('Transaction Details'!D:D,'Transaction Details'!C:C,A23)</f>
        <v>42.42</v>
      </c>
      <c r="C23" s="26">
        <f>IFERROR(B23/$B$9,0)</f>
        <v>3.317004786902381E-4</v>
      </c>
      <c r="D23" s="5"/>
    </row>
    <row r="24" spans="1:4" x14ac:dyDescent="0.25">
      <c r="A24" s="27" t="s">
        <v>66</v>
      </c>
      <c r="B24" s="28">
        <f>SUM(B23:B23)</f>
        <v>42.42</v>
      </c>
      <c r="C24" s="29"/>
      <c r="D24" s="5"/>
    </row>
    <row r="25" spans="1:4" x14ac:dyDescent="0.25">
      <c r="A25" s="24" t="s">
        <v>67</v>
      </c>
      <c r="B25" s="25"/>
      <c r="C25" s="26"/>
      <c r="D25" s="5"/>
    </row>
    <row r="26" spans="1:4" x14ac:dyDescent="0.25">
      <c r="A26" s="7" t="s">
        <v>9</v>
      </c>
      <c r="B26" s="25">
        <f>SUMIFS('Transaction Details'!D:D,'Transaction Details'!C:C,A26)</f>
        <v>100000</v>
      </c>
      <c r="C26" s="26">
        <f>IFERROR(B26/$B$9,0)</f>
        <v>0.78194360841640287</v>
      </c>
      <c r="D26" s="5"/>
    </row>
    <row r="27" spans="1:4" x14ac:dyDescent="0.25">
      <c r="A27" s="27" t="s">
        <v>68</v>
      </c>
      <c r="B27" s="28">
        <f>SUM(B26:B26)</f>
        <v>100000</v>
      </c>
      <c r="C27" s="29"/>
      <c r="D27" s="5"/>
    </row>
    <row r="28" spans="1:4" x14ac:dyDescent="0.25">
      <c r="A28" s="24" t="s">
        <v>69</v>
      </c>
      <c r="B28" s="25"/>
      <c r="C28" s="26"/>
      <c r="D28" s="5"/>
    </row>
    <row r="29" spans="1:4" x14ac:dyDescent="0.25">
      <c r="A29" s="7" t="s">
        <v>12</v>
      </c>
      <c r="B29" s="25">
        <f>SUMIFS('Transaction Details'!D:D,'Transaction Details'!C:C,A29)</f>
        <v>271.69</v>
      </c>
      <c r="C29" s="26">
        <f>IFERROR(B29/$B$9,0)</f>
        <v>2.1244625897065251E-3</v>
      </c>
      <c r="D29" s="5"/>
    </row>
    <row r="30" spans="1:4" x14ac:dyDescent="0.25">
      <c r="A30" s="7" t="s">
        <v>15</v>
      </c>
      <c r="B30" s="25">
        <f>SUMIFS('Transaction Details'!D:D,'Transaction Details'!C:C,A30)</f>
        <v>550.52</v>
      </c>
      <c r="C30" s="26">
        <f>IFERROR(B30/$B$9,0)</f>
        <v>4.3047559530539807E-3</v>
      </c>
      <c r="D30" s="5"/>
    </row>
    <row r="31" spans="1:4" x14ac:dyDescent="0.25">
      <c r="A31" s="7" t="s">
        <v>17</v>
      </c>
      <c r="B31" s="25">
        <f>SUMIFS('Transaction Details'!D:D,'Transaction Details'!C:C,A31)</f>
        <v>1071.21</v>
      </c>
      <c r="C31" s="26">
        <f>IFERROR(B31/$B$9,0)</f>
        <v>8.3762581277173499E-3</v>
      </c>
      <c r="D31" s="5"/>
    </row>
    <row r="32" spans="1:4" x14ac:dyDescent="0.25">
      <c r="A32" s="7" t="s">
        <v>90</v>
      </c>
      <c r="B32" s="25">
        <f>SUMIFS('Transaction Details'!D:D,'Transaction Details'!C:C,A32)</f>
        <v>49.98</v>
      </c>
      <c r="C32" s="26">
        <f>IFERROR(B32/$B$9,0)</f>
        <v>3.9081541548651816E-4</v>
      </c>
      <c r="D32" s="5"/>
    </row>
    <row r="33" spans="1:4" x14ac:dyDescent="0.25">
      <c r="A33" s="7" t="s">
        <v>89</v>
      </c>
      <c r="B33" s="25">
        <f>SUMIFS('Transaction Details'!D:D,'Transaction Details'!C:C,A33)</f>
        <v>35.83</v>
      </c>
      <c r="C33" s="26">
        <f>IFERROR(B33/$B$9,0)</f>
        <v>2.8017039489559712E-4</v>
      </c>
      <c r="D33" s="5"/>
    </row>
    <row r="34" spans="1:4" x14ac:dyDescent="0.25">
      <c r="A34" s="7" t="s">
        <v>91</v>
      </c>
      <c r="B34" s="25">
        <f>SUMIFS('Transaction Details'!D:D,'Transaction Details'!C:C,A34)</f>
        <v>55.29</v>
      </c>
      <c r="C34" s="26">
        <f>IFERROR(B34/$B$9,0)</f>
        <v>4.3233662109342914E-4</v>
      </c>
      <c r="D34" s="5"/>
    </row>
    <row r="35" spans="1:4" x14ac:dyDescent="0.25">
      <c r="A35" s="27" t="s">
        <v>70</v>
      </c>
      <c r="B35" s="28">
        <f>SUM(B29:B34)</f>
        <v>2034.52</v>
      </c>
      <c r="C35" s="29"/>
      <c r="D35" s="5"/>
    </row>
    <row r="36" spans="1:4" x14ac:dyDescent="0.25">
      <c r="A36" s="24" t="s">
        <v>71</v>
      </c>
      <c r="B36" s="25"/>
      <c r="C36" s="26"/>
      <c r="D36" s="5"/>
    </row>
    <row r="37" spans="1:4" x14ac:dyDescent="0.25">
      <c r="A37" s="7" t="s">
        <v>10</v>
      </c>
      <c r="B37" s="25">
        <f>SUMIFS('Transaction Details'!D:D,'Transaction Details'!C:C,A37)</f>
        <v>-226.99</v>
      </c>
      <c r="C37" s="26">
        <f>IFERROR(B37/$B$9,0)</f>
        <v>-1.7749337967443929E-3</v>
      </c>
      <c r="D37" s="5"/>
    </row>
    <row r="38" spans="1:4" x14ac:dyDescent="0.25">
      <c r="A38" s="7" t="s">
        <v>7</v>
      </c>
      <c r="B38" s="25">
        <f>SUMIFS('Transaction Details'!D:D,'Transaction Details'!C:C,A38)</f>
        <v>-74983.31</v>
      </c>
      <c r="C38" s="26">
        <f>IFERROR(B38/$B$9,0)</f>
        <v>-0.58632719992405746</v>
      </c>
      <c r="D38" s="5"/>
    </row>
    <row r="39" spans="1:4" x14ac:dyDescent="0.25">
      <c r="A39" s="27" t="s">
        <v>72</v>
      </c>
      <c r="B39" s="28">
        <f>SUM(B37:B38)</f>
        <v>-75210.3</v>
      </c>
      <c r="C39" s="29"/>
      <c r="D39" s="5"/>
    </row>
    <row r="40" spans="1:4" x14ac:dyDescent="0.25">
      <c r="A40" s="17" t="s">
        <v>73</v>
      </c>
      <c r="B40" s="30">
        <f>B21+B24+B27+B35+B39</f>
        <v>52676.160000000003</v>
      </c>
      <c r="C40" s="31">
        <f>B40/B9</f>
        <v>0.41189786627919789</v>
      </c>
      <c r="D40" s="5"/>
    </row>
    <row r="41" spans="1:4" x14ac:dyDescent="0.25">
      <c r="A41" s="5"/>
      <c r="B41" s="5"/>
      <c r="C41" s="5"/>
      <c r="D41" s="5"/>
    </row>
    <row r="42" spans="1:4" x14ac:dyDescent="0.25">
      <c r="A42" s="17" t="s">
        <v>74</v>
      </c>
      <c r="B42" s="2"/>
      <c r="C42" s="2"/>
      <c r="D42" s="2"/>
    </row>
    <row r="43" spans="1:4" x14ac:dyDescent="0.25">
      <c r="A43" s="22" t="s">
        <v>75</v>
      </c>
      <c r="B43" s="23" t="s">
        <v>5</v>
      </c>
      <c r="C43" s="23" t="s">
        <v>76</v>
      </c>
      <c r="D43" s="23" t="s">
        <v>77</v>
      </c>
    </row>
    <row r="44" spans="1:4" x14ac:dyDescent="0.25">
      <c r="A44" s="32">
        <v>46023</v>
      </c>
      <c r="B44" s="25">
        <f>SUMIFS('Transaction Details'!D:D,'Transaction Details'!A:A,"&gt;="&amp;DATE(2026,1,1),'Transaction Details'!A:A,"&lt;"&amp;DATE(2026,2,1),'Transaction Details'!D:D,"&gt;0")</f>
        <v>10281.199999999999</v>
      </c>
      <c r="C44" s="25">
        <f>SUMIFS('Transaction Details'!D:D,'Transaction Details'!A:A,"&gt;="&amp;DATE(2026,1,1),'Transaction Details'!A:A,"&lt;"&amp;DATE(2026,2,1),'Transaction Details'!D:D,"&lt;0")</f>
        <v>-39934.78</v>
      </c>
      <c r="D44" s="25">
        <f>B44+C44</f>
        <v>-29653.58</v>
      </c>
    </row>
    <row r="45" spans="1:4" x14ac:dyDescent="0.25">
      <c r="A45" s="32">
        <v>46054</v>
      </c>
      <c r="B45" s="25">
        <f>SUMIFS('Transaction Details'!D:D,'Transaction Details'!A:A,"&gt;="&amp;DATE(2026,2,1),'Transaction Details'!A:A,"&lt;"&amp;DATE(2026,3,1),'Transaction Details'!D:D,"&gt;0")</f>
        <v>3642.8700000000003</v>
      </c>
      <c r="C45" s="25">
        <f>SUMIFS('Transaction Details'!D:D,'Transaction Details'!A:A,"&gt;="&amp;DATE(2026,2,1),'Transaction Details'!A:A,"&lt;"&amp;DATE(2026,3,1),'Transaction Details'!D:D,"&lt;0")</f>
        <v>-13688.13</v>
      </c>
      <c r="D45" s="25">
        <f>B45+C45</f>
        <v>-10045.259999999998</v>
      </c>
    </row>
    <row r="46" spans="1:4" x14ac:dyDescent="0.25">
      <c r="A46" s="32">
        <v>46082</v>
      </c>
      <c r="B46" s="25">
        <f>SUMIFS('Transaction Details'!D:D,'Transaction Details'!A:A,"&gt;="&amp;DATE(2026,3,1),'Transaction Details'!A:A,"&lt;"&amp;DATE(2026,4,1),'Transaction Details'!D:D,"&gt;0")</f>
        <v>11212.39</v>
      </c>
      <c r="C46" s="25">
        <f>SUMIFS('Transaction Details'!D:D,'Transaction Details'!A:A,"&gt;="&amp;DATE(2026,3,1),'Transaction Details'!A:A,"&lt;"&amp;DATE(2026,4,1),'Transaction Details'!D:D,"&lt;0")</f>
        <v>-49.29</v>
      </c>
      <c r="D46" s="25">
        <f>B46+C46</f>
        <v>11163.099999999999</v>
      </c>
    </row>
    <row r="47" spans="1:4" x14ac:dyDescent="0.25">
      <c r="A47" s="32">
        <v>46113</v>
      </c>
      <c r="B47" s="25">
        <f>SUMIFS('Transaction Details'!D:D,'Transaction Details'!A:A,"&gt;="&amp;DATE(2026,4,1),'Transaction Details'!A:A,"&lt;"&amp;DATE(2026,5,1),'Transaction Details'!D:D,"&gt;0")</f>
        <v>101500</v>
      </c>
      <c r="C47" s="25">
        <f>SUMIFS('Transaction Details'!D:D,'Transaction Details'!A:A,"&gt;="&amp;DATE(2026,4,1),'Transaction Details'!A:A,"&lt;"&amp;DATE(2026,5,1),'Transaction Details'!D:D,"&lt;0")</f>
        <v>-11413.1</v>
      </c>
      <c r="D47" s="25">
        <f>B47+C47</f>
        <v>90086.9</v>
      </c>
    </row>
    <row r="48" spans="1:4" x14ac:dyDescent="0.25">
      <c r="A48" s="32">
        <v>46143</v>
      </c>
      <c r="B48" s="25">
        <f>SUMIFS('Transaction Details'!D:D,'Transaction Details'!A:A,"&gt;="&amp;DATE(2026,5,1),'Transaction Details'!A:A,"&lt;"&amp;DATE(2026,6,1),'Transaction Details'!D:D,"&gt;0")</f>
        <v>1250</v>
      </c>
      <c r="C48" s="25">
        <f>SUMIFS('Transaction Details'!D:D,'Transaction Details'!A:A,"&gt;="&amp;DATE(2026,5,1),'Transaction Details'!A:A,"&lt;"&amp;DATE(2026,6,1),'Transaction Details'!D:D,"&lt;0")</f>
        <v>-10125</v>
      </c>
      <c r="D48" s="25">
        <f>B48+C48</f>
        <v>-8875</v>
      </c>
    </row>
    <row r="49" spans="1:4" x14ac:dyDescent="0.25">
      <c r="A49" s="27" t="s">
        <v>6</v>
      </c>
      <c r="B49" s="28">
        <f>SUM(B44:B48)</f>
        <v>127886.45999999999</v>
      </c>
      <c r="C49" s="28">
        <f>SUM(C44:C48)</f>
        <v>-75210.299999999988</v>
      </c>
      <c r="D49" s="28">
        <f>B49+C49</f>
        <v>52676.160000000003</v>
      </c>
    </row>
    <row r="50" spans="1:4" x14ac:dyDescent="0.25">
      <c r="A50" s="5"/>
      <c r="B50" s="5"/>
      <c r="C50" s="5"/>
      <c r="D50" s="5"/>
    </row>
    <row r="51" spans="1:4" x14ac:dyDescent="0.25">
      <c r="A51" s="17" t="s">
        <v>78</v>
      </c>
      <c r="B51" s="2"/>
      <c r="C51" s="2"/>
      <c r="D51" s="2"/>
    </row>
    <row r="52" spans="1:4" x14ac:dyDescent="0.25">
      <c r="A52" s="22" t="s">
        <v>1</v>
      </c>
      <c r="B52" s="22" t="s">
        <v>2</v>
      </c>
      <c r="C52" s="22" t="s">
        <v>79</v>
      </c>
      <c r="D52" s="23" t="s">
        <v>3</v>
      </c>
    </row>
    <row r="53" spans="1:4" x14ac:dyDescent="0.25">
      <c r="A53" s="11">
        <v>46169</v>
      </c>
      <c r="B53" s="7" t="s">
        <v>36</v>
      </c>
      <c r="C53" s="7" t="s">
        <v>80</v>
      </c>
      <c r="D53" s="25">
        <v>-10125</v>
      </c>
    </row>
    <row r="54" spans="1:4" x14ac:dyDescent="0.25">
      <c r="A54" s="11">
        <v>46139</v>
      </c>
      <c r="B54" s="7" t="s">
        <v>36</v>
      </c>
      <c r="C54" s="7" t="s">
        <v>80</v>
      </c>
      <c r="D54" s="25">
        <v>-11412.36</v>
      </c>
    </row>
    <row r="55" spans="1:4" x14ac:dyDescent="0.25">
      <c r="A55" s="11">
        <v>46115</v>
      </c>
      <c r="B55" s="7" t="s">
        <v>37</v>
      </c>
      <c r="C55" s="7" t="s">
        <v>81</v>
      </c>
      <c r="D55" s="25">
        <v>-0.74</v>
      </c>
    </row>
    <row r="56" spans="1:4" x14ac:dyDescent="0.25">
      <c r="A56" s="11">
        <v>46084</v>
      </c>
      <c r="B56" s="7" t="s">
        <v>37</v>
      </c>
      <c r="C56" s="7" t="s">
        <v>81</v>
      </c>
      <c r="D56" s="25">
        <v>-49.29</v>
      </c>
    </row>
    <row r="57" spans="1:4" x14ac:dyDescent="0.25">
      <c r="A57" s="11">
        <v>46077</v>
      </c>
      <c r="B57" s="7" t="s">
        <v>36</v>
      </c>
      <c r="C57" s="7" t="s">
        <v>80</v>
      </c>
      <c r="D57" s="25">
        <v>-13688.13</v>
      </c>
    </row>
    <row r="58" spans="1:4" x14ac:dyDescent="0.25">
      <c r="A58" s="11">
        <v>46049</v>
      </c>
      <c r="B58" s="7" t="s">
        <v>36</v>
      </c>
      <c r="C58" s="7" t="s">
        <v>80</v>
      </c>
      <c r="D58" s="25">
        <v>-39757.82</v>
      </c>
    </row>
    <row r="59" spans="1:4" x14ac:dyDescent="0.25">
      <c r="A59" s="11">
        <v>46024</v>
      </c>
      <c r="B59" s="7" t="s">
        <v>37</v>
      </c>
      <c r="C59" s="7" t="s">
        <v>81</v>
      </c>
      <c r="D59" s="25">
        <v>-176.96</v>
      </c>
    </row>
    <row r="60" spans="1:4" x14ac:dyDescent="0.25">
      <c r="A60" s="27" t="s">
        <v>82</v>
      </c>
      <c r="B60" s="27"/>
      <c r="C60" s="27"/>
      <c r="D60" s="28">
        <f>SUM(D53:D59)</f>
        <v>-75210.3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3FB7-4173-4A76-BF7C-2DF8D766F16B}">
  <dimension ref="A1:D67"/>
  <sheetViews>
    <sheetView tabSelected="1" workbookViewId="0">
      <selection activeCell="F27" sqref="F27"/>
    </sheetView>
  </sheetViews>
  <sheetFormatPr defaultRowHeight="15" x14ac:dyDescent="0.25"/>
  <cols>
    <col min="1" max="1" width="57.140625" customWidth="1"/>
    <col min="2" max="3" width="28.5703125" customWidth="1"/>
  </cols>
  <sheetData>
    <row r="1" spans="1:3" ht="21" x14ac:dyDescent="0.35">
      <c r="A1" s="3" t="s">
        <v>18</v>
      </c>
      <c r="B1" s="2"/>
      <c r="C1" s="2"/>
    </row>
    <row r="2" spans="1:3" x14ac:dyDescent="0.25">
      <c r="A2" s="4" t="s">
        <v>83</v>
      </c>
      <c r="B2" s="2"/>
      <c r="C2" s="2"/>
    </row>
    <row r="3" spans="1:3" x14ac:dyDescent="0.25">
      <c r="A3" s="5"/>
      <c r="B3" s="5"/>
      <c r="C3" s="5"/>
    </row>
    <row r="4" spans="1:3" x14ac:dyDescent="0.25">
      <c r="A4" s="6" t="s">
        <v>84</v>
      </c>
      <c r="B4" s="7" t="s">
        <v>105</v>
      </c>
      <c r="C4" s="5"/>
    </row>
    <row r="5" spans="1:3" x14ac:dyDescent="0.25">
      <c r="A5" s="5"/>
      <c r="B5" s="5"/>
      <c r="C5" s="5"/>
    </row>
    <row r="6" spans="1:3" ht="15.75" x14ac:dyDescent="0.25">
      <c r="A6" s="34">
        <v>46023</v>
      </c>
      <c r="B6" s="2"/>
      <c r="C6" s="2"/>
    </row>
    <row r="7" spans="1:3" x14ac:dyDescent="0.25">
      <c r="A7" s="22" t="s">
        <v>4</v>
      </c>
      <c r="B7" s="23" t="s">
        <v>3</v>
      </c>
      <c r="C7" s="23" t="s">
        <v>85</v>
      </c>
    </row>
    <row r="8" spans="1:3" x14ac:dyDescent="0.25">
      <c r="A8" s="7" t="s">
        <v>14</v>
      </c>
      <c r="B8" s="25">
        <f>SUMIFS('Transaction Details'!D:D,'Transaction Details'!C:C,A8,'Transaction Details'!A:A,"&gt;="&amp;DATE(2026,1,1),'Transaction Details'!A:A,"&lt;"&amp;DATE(2026,2,1))</f>
        <v>8000</v>
      </c>
      <c r="C8" s="26">
        <f>IFERROR(B8/$B$20,0)</f>
        <v>0.7781192856864958</v>
      </c>
    </row>
    <row r="9" spans="1:3" x14ac:dyDescent="0.25">
      <c r="A9" s="7" t="s">
        <v>8</v>
      </c>
      <c r="B9" s="25">
        <f>SUMIFS('Transaction Details'!D:D,'Transaction Details'!C:C,A9,'Transaction Details'!A:A,"&gt;="&amp;DATE(2026,1,1),'Transaction Details'!A:A,"&lt;"&amp;DATE(2026,2,1))</f>
        <v>1250</v>
      </c>
      <c r="C9" s="26">
        <f t="shared" ref="C9:C19" si="0">IFERROR(B9/$B$20,0)</f>
        <v>0.12158113838851498</v>
      </c>
    </row>
    <row r="10" spans="1:3" x14ac:dyDescent="0.25">
      <c r="A10" s="7" t="s">
        <v>15</v>
      </c>
      <c r="B10" s="25">
        <f>SUMIFS('Transaction Details'!D:D,'Transaction Details'!C:C,A10,'Transaction Details'!A:A,"&gt;="&amp;DATE(2026,1,1),'Transaction Details'!A:A,"&lt;"&amp;DATE(2026,2,1))</f>
        <v>466.52</v>
      </c>
      <c r="C10" s="26">
        <f t="shared" si="0"/>
        <v>4.5376026144807999E-2</v>
      </c>
    </row>
    <row r="11" spans="1:3" x14ac:dyDescent="0.25">
      <c r="A11" s="7" t="s">
        <v>17</v>
      </c>
      <c r="B11" s="25">
        <f>SUMIFS('Transaction Details'!D:D,'Transaction Details'!C:C,A11,'Transaction Details'!A:A,"&gt;="&amp;DATE(2026,1,1),'Transaction Details'!A:A,"&lt;"&amp;DATE(2026,2,1))</f>
        <v>357.07</v>
      </c>
      <c r="C11" s="26">
        <f t="shared" si="0"/>
        <v>3.4730381667509636E-2</v>
      </c>
    </row>
    <row r="12" spans="1:3" x14ac:dyDescent="0.25">
      <c r="A12" s="7" t="s">
        <v>91</v>
      </c>
      <c r="B12" s="25">
        <f>SUMIFS('Transaction Details'!D:D,'Transaction Details'!C:C,A12,'Transaction Details'!A:A,"&gt;="&amp;DATE(2026,1,1),'Transaction Details'!A:A,"&lt;"&amp;DATE(2026,2,1))</f>
        <v>55.29</v>
      </c>
      <c r="C12" s="26">
        <f t="shared" si="0"/>
        <v>5.3777769132007944E-3</v>
      </c>
    </row>
    <row r="13" spans="1:3" x14ac:dyDescent="0.25">
      <c r="A13" s="7" t="s">
        <v>12</v>
      </c>
      <c r="B13" s="25">
        <f>SUMIFS('Transaction Details'!D:D,'Transaction Details'!C:C,A13,'Transaction Details'!A:A,"&gt;="&amp;DATE(2026,1,1),'Transaction Details'!A:A,"&lt;"&amp;DATE(2026,2,1))</f>
        <v>41.69</v>
      </c>
      <c r="C13" s="26">
        <f t="shared" si="0"/>
        <v>4.0549741275337512E-3</v>
      </c>
    </row>
    <row r="14" spans="1:3" x14ac:dyDescent="0.25">
      <c r="A14" s="7" t="s">
        <v>98</v>
      </c>
      <c r="B14" s="25">
        <f>SUMIFS('Transaction Details'!D:D,'Transaction Details'!C:C,A14,'Transaction Details'!A:A,"&gt;="&amp;DATE(2026,1,1),'Transaction Details'!A:A,"&lt;"&amp;DATE(2026,2,1))</f>
        <v>39</v>
      </c>
      <c r="C14" s="26">
        <f t="shared" si="0"/>
        <v>3.7933315177216672E-3</v>
      </c>
    </row>
    <row r="15" spans="1:3" x14ac:dyDescent="0.25">
      <c r="A15" s="7" t="s">
        <v>89</v>
      </c>
      <c r="B15" s="25">
        <f>SUMIFS('Transaction Details'!D:D,'Transaction Details'!C:C,A15,'Transaction Details'!A:A,"&gt;="&amp;DATE(2026,1,1),'Transaction Details'!A:A,"&lt;"&amp;DATE(2026,2,1))</f>
        <v>35.83</v>
      </c>
      <c r="C15" s="26">
        <f t="shared" si="0"/>
        <v>3.4850017507683929E-3</v>
      </c>
    </row>
    <row r="16" spans="1:3" x14ac:dyDescent="0.25">
      <c r="A16" s="7" t="s">
        <v>90</v>
      </c>
      <c r="B16" s="25">
        <f>SUMIFS('Transaction Details'!D:D,'Transaction Details'!C:C,A16,'Transaction Details'!A:A,"&gt;="&amp;DATE(2026,1,1),'Transaction Details'!A:A,"&lt;"&amp;DATE(2026,2,1))</f>
        <v>24.99</v>
      </c>
      <c r="C16" s="26">
        <f t="shared" si="0"/>
        <v>2.4306501186631912E-3</v>
      </c>
    </row>
    <row r="17" spans="1:3" x14ac:dyDescent="0.25">
      <c r="A17" s="7" t="s">
        <v>16</v>
      </c>
      <c r="B17" s="25">
        <f>SUMIFS('Transaction Details'!D:D,'Transaction Details'!C:C,A17,'Transaction Details'!A:A,"&gt;="&amp;DATE(2026,1,1),'Transaction Details'!A:A,"&lt;"&amp;DATE(2026,2,1))</f>
        <v>10.81</v>
      </c>
      <c r="C17" s="26">
        <f t="shared" si="0"/>
        <v>1.0514336847838774E-3</v>
      </c>
    </row>
    <row r="18" spans="1:3" x14ac:dyDescent="0.25">
      <c r="A18" s="7" t="s">
        <v>10</v>
      </c>
      <c r="B18" s="25">
        <f>SUMIFS('Transaction Details'!D:D,'Transaction Details'!C:C,A18,'Transaction Details'!A:A,"&gt;="&amp;DATE(2026,1,1),'Transaction Details'!A:A,"&lt;"&amp;DATE(2026,2,1))</f>
        <v>-176.96</v>
      </c>
      <c r="C18" s="26">
        <f t="shared" si="0"/>
        <v>-1.7211998599385287E-2</v>
      </c>
    </row>
    <row r="19" spans="1:3" x14ac:dyDescent="0.25">
      <c r="A19" s="7" t="s">
        <v>7</v>
      </c>
      <c r="B19" s="25">
        <f>SUMIFS('Transaction Details'!D:D,'Transaction Details'!C:C,A19,'Transaction Details'!A:A,"&gt;="&amp;DATE(2026,1,1),'Transaction Details'!A:A,"&lt;"&amp;DATE(2026,2,1))</f>
        <v>-39757.82</v>
      </c>
      <c r="C19" s="26">
        <f t="shared" si="0"/>
        <v>-3.8670408123565347</v>
      </c>
    </row>
    <row r="20" spans="1:3" x14ac:dyDescent="0.25">
      <c r="A20" s="27" t="s">
        <v>86</v>
      </c>
      <c r="B20" s="28">
        <f>SUMIFS('Transaction Details'!D:D,'Transaction Details'!A:A,"&gt;="&amp;DATE(2026,1,1),'Transaction Details'!A:A,"&lt;"&amp;DATE(2026,2,1),'Transaction Details'!D:D,"&gt;0")</f>
        <v>10281.199999999999</v>
      </c>
      <c r="C20" s="33"/>
    </row>
    <row r="21" spans="1:3" x14ac:dyDescent="0.25">
      <c r="A21" s="7" t="s">
        <v>57</v>
      </c>
      <c r="B21" s="25">
        <f>SUMIFS('Transaction Details'!D:D,'Transaction Details'!A:A,"&gt;="&amp;DATE(2026,1,1),'Transaction Details'!A:A,"&lt;"&amp;DATE(2026,2,1),'Transaction Details'!D:D,"&lt;0")</f>
        <v>-39934.78</v>
      </c>
      <c r="C21" s="5"/>
    </row>
    <row r="22" spans="1:3" x14ac:dyDescent="0.25">
      <c r="A22" s="24" t="s">
        <v>77</v>
      </c>
      <c r="B22" s="35">
        <f>B20+B21</f>
        <v>-29653.58</v>
      </c>
      <c r="C22" s="5"/>
    </row>
    <row r="23" spans="1:3" x14ac:dyDescent="0.25">
      <c r="A23" s="5"/>
      <c r="B23" s="5"/>
      <c r="C23" s="5"/>
    </row>
    <row r="24" spans="1:3" ht="15.75" x14ac:dyDescent="0.25">
      <c r="A24" s="36">
        <v>46054</v>
      </c>
      <c r="B24" s="36"/>
      <c r="C24" s="36"/>
    </row>
    <row r="25" spans="1:3" x14ac:dyDescent="0.25">
      <c r="A25" s="22" t="s">
        <v>4</v>
      </c>
      <c r="B25" s="23" t="s">
        <v>3</v>
      </c>
      <c r="C25" s="23" t="s">
        <v>85</v>
      </c>
    </row>
    <row r="26" spans="1:3" x14ac:dyDescent="0.25">
      <c r="A26" s="7" t="s">
        <v>14</v>
      </c>
      <c r="B26" s="25">
        <f>SUMIFS('Transaction Details'!D:D,'Transaction Details'!C:C,A26,'Transaction Details'!A:A,"&gt;="&amp;DATE(2026,2,1),'Transaction Details'!A:A,"&lt;"&amp;DATE(2026,3,1))</f>
        <v>2000</v>
      </c>
      <c r="C26" s="26">
        <f>IFERROR(B26/$B$32,0)</f>
        <v>0.54901767013371316</v>
      </c>
    </row>
    <row r="27" spans="1:3" x14ac:dyDescent="0.25">
      <c r="A27" s="7" t="s">
        <v>8</v>
      </c>
      <c r="B27" s="25">
        <f>SUMIFS('Transaction Details'!D:D,'Transaction Details'!C:C,A27,'Transaction Details'!A:A,"&gt;="&amp;DATE(2026,2,1),'Transaction Details'!A:A,"&lt;"&amp;DATE(2026,3,1))</f>
        <v>1250</v>
      </c>
      <c r="C27" s="26">
        <f>IFERROR(B27/$B$32,0)</f>
        <v>0.34313604383357077</v>
      </c>
    </row>
    <row r="28" spans="1:3" x14ac:dyDescent="0.25">
      <c r="A28" s="7" t="s">
        <v>17</v>
      </c>
      <c r="B28" s="25">
        <f>SUMIFS('Transaction Details'!D:D,'Transaction Details'!C:C,A28,'Transaction Details'!A:A,"&gt;="&amp;DATE(2026,2,1),'Transaction Details'!A:A,"&lt;"&amp;DATE(2026,3,1))</f>
        <v>357.07</v>
      </c>
      <c r="C28" s="26">
        <f>IFERROR(B28/$B$32,0)</f>
        <v>9.8018869737322489E-2</v>
      </c>
    </row>
    <row r="29" spans="1:3" x14ac:dyDescent="0.25">
      <c r="A29" s="7" t="s">
        <v>90</v>
      </c>
      <c r="B29" s="25">
        <f>SUMIFS('Transaction Details'!D:D,'Transaction Details'!C:C,A29,'Transaction Details'!A:A,"&gt;="&amp;DATE(2026,2,1),'Transaction Details'!A:A,"&lt;"&amp;DATE(2026,3,1))</f>
        <v>24.99</v>
      </c>
      <c r="C29" s="26">
        <f>IFERROR(B29/$B$32,0)</f>
        <v>6.8599757883207463E-3</v>
      </c>
    </row>
    <row r="30" spans="1:3" x14ac:dyDescent="0.25">
      <c r="A30" s="7" t="s">
        <v>16</v>
      </c>
      <c r="B30" s="25">
        <f>SUMIFS('Transaction Details'!D:D,'Transaction Details'!C:C,A30,'Transaction Details'!A:A,"&gt;="&amp;DATE(2026,2,1),'Transaction Details'!A:A,"&lt;"&amp;DATE(2026,3,1))</f>
        <v>10.81</v>
      </c>
      <c r="C30" s="26">
        <f>IFERROR(B30/$B$32,0)</f>
        <v>2.9674405070727202E-3</v>
      </c>
    </row>
    <row r="31" spans="1:3" x14ac:dyDescent="0.25">
      <c r="A31" s="7" t="s">
        <v>7</v>
      </c>
      <c r="B31" s="25">
        <f>SUMIFS('Transaction Details'!D:D,'Transaction Details'!C:C,A31,'Transaction Details'!A:A,"&gt;="&amp;DATE(2026,2,1),'Transaction Details'!A:A,"&lt;"&amp;DATE(2026,3,1))</f>
        <v>-13688.13</v>
      </c>
      <c r="C31" s="26">
        <f>IFERROR(B31/$B$32,0)</f>
        <v>-3.7575126205436917</v>
      </c>
    </row>
    <row r="32" spans="1:3" x14ac:dyDescent="0.25">
      <c r="A32" s="27" t="s">
        <v>86</v>
      </c>
      <c r="B32" s="28">
        <f>SUMIFS('Transaction Details'!D:D,'Transaction Details'!A:A,"&gt;="&amp;DATE(2026,2,1),'Transaction Details'!A:A,"&lt;"&amp;DATE(2026,3,1),'Transaction Details'!D:D,"&gt;0")</f>
        <v>3642.8700000000003</v>
      </c>
      <c r="C32" s="33"/>
    </row>
    <row r="33" spans="1:4" x14ac:dyDescent="0.25">
      <c r="A33" s="7" t="s">
        <v>57</v>
      </c>
      <c r="B33" s="25">
        <f>SUMIFS('Transaction Details'!D:D,'Transaction Details'!A:A,"&gt;="&amp;DATE(2026,2,1),'Transaction Details'!A:A,"&lt;"&amp;DATE(2026,3,1),'Transaction Details'!D:D,"&lt;0")</f>
        <v>-13688.13</v>
      </c>
      <c r="C33" s="5"/>
    </row>
    <row r="34" spans="1:4" x14ac:dyDescent="0.25">
      <c r="A34" s="24" t="s">
        <v>77</v>
      </c>
      <c r="B34" s="35">
        <f>B32+B33</f>
        <v>-10045.259999999998</v>
      </c>
      <c r="C34" s="5"/>
    </row>
    <row r="35" spans="1:4" x14ac:dyDescent="0.25">
      <c r="A35" s="5"/>
    </row>
    <row r="36" spans="1:4" ht="15.75" x14ac:dyDescent="0.25">
      <c r="A36" s="36">
        <v>46082</v>
      </c>
      <c r="B36" s="36"/>
      <c r="C36" s="36"/>
      <c r="D36" s="5"/>
    </row>
    <row r="37" spans="1:4" x14ac:dyDescent="0.25">
      <c r="A37" s="22" t="s">
        <v>4</v>
      </c>
      <c r="B37" s="23" t="s">
        <v>3</v>
      </c>
      <c r="C37" s="23" t="s">
        <v>85</v>
      </c>
    </row>
    <row r="38" spans="1:4" x14ac:dyDescent="0.25">
      <c r="A38" s="7" t="s">
        <v>14</v>
      </c>
      <c r="B38" s="25">
        <f>SUMIFS('Transaction Details'!D:D,'Transaction Details'!C:C,A38,'Transaction Details'!A:A,"&gt;="&amp;DATE(2026,3,1),'Transaction Details'!A:A,"&lt;"&amp;DATE(2026,4,1))</f>
        <v>7000</v>
      </c>
      <c r="C38" s="26">
        <f t="shared" ref="C38:C45" si="1">IFERROR(B38/$B$46,0)</f>
        <v>0.6243093577729637</v>
      </c>
    </row>
    <row r="39" spans="1:4" x14ac:dyDescent="0.25">
      <c r="A39" s="7" t="s">
        <v>13</v>
      </c>
      <c r="B39" s="25">
        <f>SUMIFS('Transaction Details'!D:D,'Transaction Details'!C:C,A39,'Transaction Details'!A:A,"&gt;="&amp;DATE(2026,3,1),'Transaction Details'!A:A,"&lt;"&amp;DATE(2026,4,1))</f>
        <v>2270.52</v>
      </c>
      <c r="C39" s="26">
        <f t="shared" si="1"/>
        <v>0.20250098328723851</v>
      </c>
    </row>
    <row r="40" spans="1:4" x14ac:dyDescent="0.25">
      <c r="A40" s="7" t="s">
        <v>8</v>
      </c>
      <c r="B40" s="25">
        <f>SUMIFS('Transaction Details'!D:D,'Transaction Details'!C:C,A40,'Transaction Details'!A:A,"&gt;="&amp;DATE(2026,3,1),'Transaction Details'!A:A,"&lt;"&amp;DATE(2026,4,1))</f>
        <v>1250</v>
      </c>
      <c r="C40" s="26">
        <f t="shared" si="1"/>
        <v>0.11148381388802923</v>
      </c>
    </row>
    <row r="41" spans="1:4" x14ac:dyDescent="0.25">
      <c r="A41" s="7" t="s">
        <v>17</v>
      </c>
      <c r="B41" s="25">
        <f>SUMIFS('Transaction Details'!D:D,'Transaction Details'!C:C,A41,'Transaction Details'!A:A,"&gt;="&amp;DATE(2026,3,1),'Transaction Details'!A:A,"&lt;"&amp;DATE(2026,4,1))</f>
        <v>357.07</v>
      </c>
      <c r="C41" s="26">
        <f t="shared" si="1"/>
        <v>3.1846020339998879E-2</v>
      </c>
    </row>
    <row r="42" spans="1:4" x14ac:dyDescent="0.25">
      <c r="A42" s="7" t="s">
        <v>12</v>
      </c>
      <c r="B42" s="25">
        <f>SUMIFS('Transaction Details'!D:D,'Transaction Details'!C:C,A42,'Transaction Details'!A:A,"&gt;="&amp;DATE(2026,3,1),'Transaction Details'!A:A,"&lt;"&amp;DATE(2026,4,1))</f>
        <v>230</v>
      </c>
      <c r="C42" s="26">
        <f t="shared" si="1"/>
        <v>2.0513021755397379E-2</v>
      </c>
    </row>
    <row r="43" spans="1:4" x14ac:dyDescent="0.25">
      <c r="A43" s="7" t="s">
        <v>15</v>
      </c>
      <c r="B43" s="25">
        <f>SUMIFS('Transaction Details'!D:D,'Transaction Details'!C:C,A43,'Transaction Details'!A:A,"&gt;="&amp;DATE(2026,3,1),'Transaction Details'!A:A,"&lt;"&amp;DATE(2026,4,1))</f>
        <v>84</v>
      </c>
      <c r="C43" s="26">
        <f t="shared" si="1"/>
        <v>7.4917122932755646E-3</v>
      </c>
    </row>
    <row r="44" spans="1:4" x14ac:dyDescent="0.25">
      <c r="A44" s="7" t="s">
        <v>16</v>
      </c>
      <c r="B44" s="25">
        <f>SUMIFS('Transaction Details'!D:D,'Transaction Details'!C:C,A44,'Transaction Details'!A:A,"&gt;="&amp;DATE(2026,3,1),'Transaction Details'!A:A,"&lt;"&amp;DATE(2026,4,1))</f>
        <v>20.8</v>
      </c>
      <c r="C44" s="26">
        <f t="shared" si="1"/>
        <v>1.8550906630968064E-3</v>
      </c>
    </row>
    <row r="45" spans="1:4" x14ac:dyDescent="0.25">
      <c r="A45" s="7" t="s">
        <v>10</v>
      </c>
      <c r="B45" s="25">
        <f>SUMIFS('Transaction Details'!D:D,'Transaction Details'!C:C,A45,'Transaction Details'!A:A,"&gt;="&amp;DATE(2026,3,1),'Transaction Details'!A:A,"&lt;"&amp;DATE(2026,4,1))</f>
        <v>-49.29</v>
      </c>
      <c r="C45" s="26">
        <f t="shared" si="1"/>
        <v>-4.3960297492327688E-3</v>
      </c>
    </row>
    <row r="46" spans="1:4" x14ac:dyDescent="0.25">
      <c r="A46" s="27" t="s">
        <v>86</v>
      </c>
      <c r="B46" s="28">
        <f>SUMIFS('Transaction Details'!D:D,'Transaction Details'!A:A,"&gt;="&amp;DATE(2026,3,1),'Transaction Details'!A:A,"&lt;"&amp;DATE(2026,4,1),'Transaction Details'!D:D,"&gt;0")</f>
        <v>11212.39</v>
      </c>
      <c r="C46" s="33"/>
    </row>
    <row r="47" spans="1:4" x14ac:dyDescent="0.25">
      <c r="A47" s="7" t="s">
        <v>57</v>
      </c>
      <c r="B47" s="25">
        <f>SUMIFS('Transaction Details'!D:D,'Transaction Details'!A:A,"&gt;="&amp;DATE(2026,3,1),'Transaction Details'!A:A,"&lt;"&amp;DATE(2026,4,1),'Transaction Details'!D:D,"&lt;0")</f>
        <v>-49.29</v>
      </c>
      <c r="C47" s="5"/>
    </row>
    <row r="48" spans="1:4" x14ac:dyDescent="0.25">
      <c r="A48" s="24" t="s">
        <v>77</v>
      </c>
      <c r="B48" s="35">
        <f>B46+B47</f>
        <v>11163.099999999999</v>
      </c>
      <c r="C48" s="5"/>
    </row>
    <row r="49" spans="1:3" x14ac:dyDescent="0.25">
      <c r="A49" s="5"/>
      <c r="B49" s="5"/>
      <c r="C49" s="5"/>
    </row>
    <row r="50" spans="1:3" ht="15.75" x14ac:dyDescent="0.25">
      <c r="A50" s="34">
        <v>46113</v>
      </c>
      <c r="B50" s="2"/>
      <c r="C50" s="2"/>
    </row>
    <row r="51" spans="1:3" x14ac:dyDescent="0.25">
      <c r="A51" s="22" t="s">
        <v>4</v>
      </c>
      <c r="B51" s="23" t="s">
        <v>3</v>
      </c>
      <c r="C51" s="23" t="s">
        <v>85</v>
      </c>
    </row>
    <row r="52" spans="1:3" x14ac:dyDescent="0.25">
      <c r="A52" s="7" t="s">
        <v>9</v>
      </c>
      <c r="B52" s="25">
        <f>SUMIFS('Transaction Details'!D:D,'Transaction Details'!C:C,A52,'Transaction Details'!A:A,"&gt;="&amp;DATE(2026,4,1),'Transaction Details'!A:A,"&lt;"&amp;DATE(2026,5,1))</f>
        <v>100000</v>
      </c>
      <c r="C52" s="26">
        <f>IFERROR(B52/$B$57,0)</f>
        <v>0.98522167487684731</v>
      </c>
    </row>
    <row r="53" spans="1:3" x14ac:dyDescent="0.25">
      <c r="A53" s="7" t="s">
        <v>8</v>
      </c>
      <c r="B53" s="25">
        <f>SUMIFS('Transaction Details'!D:D,'Transaction Details'!C:C,A53,'Transaction Details'!A:A,"&gt;="&amp;DATE(2026,4,1),'Transaction Details'!A:A,"&lt;"&amp;DATE(2026,5,1))</f>
        <v>1250</v>
      </c>
      <c r="C53" s="26">
        <f>IFERROR(B53/$B$57,0)</f>
        <v>1.2315270935960592E-2</v>
      </c>
    </row>
    <row r="54" spans="1:3" x14ac:dyDescent="0.25">
      <c r="A54" s="7" t="s">
        <v>11</v>
      </c>
      <c r="B54" s="25">
        <f>SUMIFS('Transaction Details'!D:D,'Transaction Details'!C:C,A54,'Transaction Details'!A:A,"&gt;="&amp;DATE(2026,4,1),'Transaction Details'!A:A,"&lt;"&amp;DATE(2026,5,1))</f>
        <v>250</v>
      </c>
      <c r="C54" s="26">
        <f>IFERROR(B54/$B$57,0)</f>
        <v>2.4630541871921183E-3</v>
      </c>
    </row>
    <row r="55" spans="1:3" x14ac:dyDescent="0.25">
      <c r="A55" s="7" t="s">
        <v>7</v>
      </c>
      <c r="B55" s="25">
        <f>SUMIFS('Transaction Details'!D:D,'Transaction Details'!C:C,A55,'Transaction Details'!A:A,"&gt;="&amp;DATE(2026,4,1),'Transaction Details'!A:A,"&lt;"&amp;DATE(2026,5,1))</f>
        <v>-11412.36</v>
      </c>
      <c r="C55" s="26">
        <f>IFERROR(B55/$B$57,0)</f>
        <v>-0.11243704433497538</v>
      </c>
    </row>
    <row r="56" spans="1:3" x14ac:dyDescent="0.25">
      <c r="A56" s="7" t="s">
        <v>10</v>
      </c>
      <c r="B56" s="25">
        <f>SUMIFS('Transaction Details'!D:D,'Transaction Details'!C:C,A56,'Transaction Details'!A:A,"&gt;="&amp;DATE(2026,4,1),'Transaction Details'!A:A,"&lt;"&amp;DATE(2026,5,1))</f>
        <v>-0.74</v>
      </c>
      <c r="C56" s="26">
        <f>IFERROR(B56/$B$57,0)</f>
        <v>-7.2906403940886699E-6</v>
      </c>
    </row>
    <row r="57" spans="1:3" x14ac:dyDescent="0.25">
      <c r="A57" s="27" t="s">
        <v>86</v>
      </c>
      <c r="B57" s="28">
        <f>SUMIFS('Transaction Details'!D:D,'Transaction Details'!A:A,"&gt;="&amp;DATE(2026,4,1),'Transaction Details'!A:A,"&lt;"&amp;DATE(2026,5,1),'Transaction Details'!D:D,"&gt;0")</f>
        <v>101500</v>
      </c>
      <c r="C57" s="33"/>
    </row>
    <row r="58" spans="1:3" x14ac:dyDescent="0.25">
      <c r="A58" s="7" t="s">
        <v>57</v>
      </c>
      <c r="B58" s="25">
        <f>SUMIFS('Transaction Details'!D:D,'Transaction Details'!A:A,"&gt;="&amp;DATE(2026,4,1),'Transaction Details'!A:A,"&lt;"&amp;DATE(2026,5,1),'Transaction Details'!D:D,"&lt;0")</f>
        <v>-11413.1</v>
      </c>
      <c r="C58" s="5"/>
    </row>
    <row r="59" spans="1:3" x14ac:dyDescent="0.25">
      <c r="A59" s="24" t="s">
        <v>77</v>
      </c>
      <c r="B59" s="35">
        <f>B57+B58</f>
        <v>90086.9</v>
      </c>
      <c r="C59" s="5"/>
    </row>
    <row r="60" spans="1:3" x14ac:dyDescent="0.25">
      <c r="A60" s="5"/>
      <c r="B60" s="5"/>
      <c r="C60" s="5"/>
    </row>
    <row r="61" spans="1:3" ht="15.75" x14ac:dyDescent="0.25">
      <c r="A61" s="34">
        <v>46143</v>
      </c>
      <c r="B61" s="2"/>
      <c r="C61" s="2"/>
    </row>
    <row r="62" spans="1:3" x14ac:dyDescent="0.25">
      <c r="A62" s="22" t="s">
        <v>4</v>
      </c>
      <c r="B62" s="23" t="s">
        <v>3</v>
      </c>
      <c r="C62" s="23" t="s">
        <v>85</v>
      </c>
    </row>
    <row r="63" spans="1:3" x14ac:dyDescent="0.25">
      <c r="A63" s="7" t="s">
        <v>8</v>
      </c>
      <c r="B63" s="25">
        <f>SUMIFS('Transaction Details'!D:D,'Transaction Details'!C:C,A63,'Transaction Details'!A:A,"&gt;="&amp;DATE(2026,5,1),'Transaction Details'!A:A,"&lt;"&amp;DATE(2026,6,1))</f>
        <v>1250</v>
      </c>
      <c r="C63" s="26">
        <f>IFERROR(B63/$B$65,0)</f>
        <v>1</v>
      </c>
    </row>
    <row r="64" spans="1:3" x14ac:dyDescent="0.25">
      <c r="A64" s="7" t="s">
        <v>7</v>
      </c>
      <c r="B64" s="25">
        <f>SUMIFS('Transaction Details'!D:D,'Transaction Details'!C:C,A64,'Transaction Details'!A:A,"&gt;="&amp;DATE(2026,5,1),'Transaction Details'!A:A,"&lt;"&amp;DATE(2026,6,1))</f>
        <v>-10125</v>
      </c>
      <c r="C64" s="26">
        <f>IFERROR(B64/$B$65,0)</f>
        <v>-8.1</v>
      </c>
    </row>
    <row r="65" spans="1:3" x14ac:dyDescent="0.25">
      <c r="A65" s="27" t="s">
        <v>86</v>
      </c>
      <c r="B65" s="28">
        <f>SUMIFS('Transaction Details'!D:D,'Transaction Details'!A:A,"&gt;="&amp;DATE(2026,5,1),'Transaction Details'!A:A,"&lt;"&amp;DATE(2026,6,1),'Transaction Details'!D:D,"&gt;0")</f>
        <v>1250</v>
      </c>
      <c r="C65" s="33"/>
    </row>
    <row r="66" spans="1:3" x14ac:dyDescent="0.25">
      <c r="A66" s="7" t="s">
        <v>57</v>
      </c>
      <c r="B66" s="25">
        <f>SUMIFS('Transaction Details'!D:D,'Transaction Details'!A:A,"&gt;="&amp;DATE(2026,5,1),'Transaction Details'!A:A,"&lt;"&amp;DATE(2026,6,1),'Transaction Details'!D:D,"&lt;0")</f>
        <v>-10125</v>
      </c>
      <c r="C66" s="5"/>
    </row>
    <row r="67" spans="1:3" x14ac:dyDescent="0.25">
      <c r="A67" s="24" t="s">
        <v>77</v>
      </c>
      <c r="B67" s="35">
        <f>B65+B66</f>
        <v>-8875</v>
      </c>
      <c r="C67" s="5"/>
    </row>
  </sheetData>
  <mergeCells count="2">
    <mergeCell ref="A24:C24"/>
    <mergeCell ref="A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workbookViewId="0">
      <selection activeCell="G12" sqref="G12"/>
    </sheetView>
  </sheetViews>
  <sheetFormatPr defaultColWidth="26.28515625" defaultRowHeight="15" x14ac:dyDescent="0.25"/>
  <cols>
    <col min="1" max="1" width="17.140625" customWidth="1"/>
    <col min="2" max="3" width="38.140625" customWidth="1"/>
    <col min="4" max="4" width="22.85546875" customWidth="1"/>
    <col min="5" max="5" width="10.42578125" customWidth="1"/>
    <col min="6" max="6" width="13.28515625" customWidth="1"/>
    <col min="7" max="7" width="43.85546875" customWidth="1"/>
  </cols>
  <sheetData>
    <row r="1" spans="1:7" ht="21" x14ac:dyDescent="0.35">
      <c r="A1" s="3" t="s">
        <v>18</v>
      </c>
      <c r="B1" s="1"/>
      <c r="C1" s="1"/>
      <c r="D1" s="1"/>
      <c r="E1" s="1"/>
      <c r="F1" s="1"/>
      <c r="G1" s="1"/>
    </row>
    <row r="2" spans="1:7" x14ac:dyDescent="0.25">
      <c r="A2" s="4" t="s">
        <v>19</v>
      </c>
      <c r="B2" s="1"/>
      <c r="C2" s="1"/>
      <c r="D2" s="1"/>
      <c r="E2" s="1"/>
      <c r="F2" s="1"/>
      <c r="G2" s="1"/>
    </row>
    <row r="4" spans="1:7" x14ac:dyDescent="0.25">
      <c r="A4" s="6" t="s">
        <v>20</v>
      </c>
      <c r="B4" s="7" t="s">
        <v>21</v>
      </c>
    </row>
    <row r="5" spans="1:7" x14ac:dyDescent="0.25">
      <c r="A5" s="6" t="s">
        <v>22</v>
      </c>
      <c r="B5" s="7" t="s">
        <v>0</v>
      </c>
    </row>
    <row r="6" spans="1:7" x14ac:dyDescent="0.25">
      <c r="A6" s="6" t="s">
        <v>23</v>
      </c>
      <c r="B6" s="7" t="s">
        <v>104</v>
      </c>
    </row>
    <row r="7" spans="1:7" x14ac:dyDescent="0.25">
      <c r="A7" s="6" t="s">
        <v>24</v>
      </c>
      <c r="B7" s="7" t="s">
        <v>25</v>
      </c>
    </row>
    <row r="8" spans="1:7" ht="60" customHeight="1" x14ac:dyDescent="0.25"/>
    <row r="9" spans="1:7" ht="60" customHeight="1" x14ac:dyDescent="0.25">
      <c r="A9" s="8" t="s">
        <v>1</v>
      </c>
      <c r="B9" s="8" t="s">
        <v>26</v>
      </c>
      <c r="C9" s="8" t="s">
        <v>4</v>
      </c>
      <c r="D9" s="9" t="s">
        <v>3</v>
      </c>
      <c r="E9" s="10" t="s">
        <v>27</v>
      </c>
      <c r="F9" s="10" t="s">
        <v>28</v>
      </c>
      <c r="G9" s="8" t="s">
        <v>29</v>
      </c>
    </row>
    <row r="10" spans="1:7" ht="60" customHeight="1" x14ac:dyDescent="0.25">
      <c r="A10" s="11">
        <v>46169</v>
      </c>
      <c r="B10" s="7" t="s">
        <v>30</v>
      </c>
      <c r="C10" s="7" t="s">
        <v>7</v>
      </c>
      <c r="D10" s="12">
        <v>-10125</v>
      </c>
      <c r="E10" s="13"/>
      <c r="F10" s="13"/>
      <c r="G10" s="7" t="s">
        <v>31</v>
      </c>
    </row>
    <row r="11" spans="1:7" ht="60" customHeight="1" x14ac:dyDescent="0.25">
      <c r="A11" s="11">
        <v>46163</v>
      </c>
      <c r="B11" s="7" t="s">
        <v>32</v>
      </c>
      <c r="C11" s="7" t="s">
        <v>8</v>
      </c>
      <c r="D11" s="12">
        <v>1250</v>
      </c>
      <c r="E11" s="13" t="s">
        <v>33</v>
      </c>
      <c r="F11" s="13"/>
      <c r="G11" s="7" t="s">
        <v>34</v>
      </c>
    </row>
    <row r="12" spans="1:7" ht="60" customHeight="1" x14ac:dyDescent="0.25">
      <c r="A12" s="11">
        <v>46141</v>
      </c>
      <c r="B12" s="7" t="s">
        <v>35</v>
      </c>
      <c r="C12" s="7" t="s">
        <v>9</v>
      </c>
      <c r="D12" s="12">
        <v>50000</v>
      </c>
      <c r="E12" s="13" t="s">
        <v>33</v>
      </c>
      <c r="F12" s="13"/>
      <c r="G12" s="7" t="s">
        <v>87</v>
      </c>
    </row>
    <row r="13" spans="1:7" ht="60" customHeight="1" x14ac:dyDescent="0.25">
      <c r="A13" s="11">
        <v>46139</v>
      </c>
      <c r="B13" s="7" t="s">
        <v>30</v>
      </c>
      <c r="C13" s="7" t="s">
        <v>7</v>
      </c>
      <c r="D13" s="12">
        <v>-11412.36</v>
      </c>
      <c r="E13" s="13"/>
      <c r="F13" s="13"/>
      <c r="G13" s="7" t="s">
        <v>36</v>
      </c>
    </row>
    <row r="14" spans="1:7" ht="60" customHeight="1" x14ac:dyDescent="0.25">
      <c r="A14" s="11">
        <v>46133</v>
      </c>
      <c r="B14" s="7" t="s">
        <v>32</v>
      </c>
      <c r="C14" s="7" t="s">
        <v>8</v>
      </c>
      <c r="D14" s="12">
        <v>1250</v>
      </c>
      <c r="E14" s="13" t="s">
        <v>33</v>
      </c>
      <c r="F14" s="13"/>
      <c r="G14" s="7"/>
    </row>
    <row r="15" spans="1:7" ht="60" customHeight="1" x14ac:dyDescent="0.25">
      <c r="A15" s="11">
        <v>46126</v>
      </c>
      <c r="B15" s="7" t="s">
        <v>35</v>
      </c>
      <c r="C15" s="7" t="s">
        <v>9</v>
      </c>
      <c r="D15" s="12">
        <v>50000</v>
      </c>
      <c r="E15" s="13" t="s">
        <v>33</v>
      </c>
      <c r="F15" s="13"/>
      <c r="G15" s="7" t="s">
        <v>87</v>
      </c>
    </row>
    <row r="16" spans="1:7" ht="60" customHeight="1" x14ac:dyDescent="0.25">
      <c r="A16" s="11">
        <v>46115</v>
      </c>
      <c r="B16" s="7" t="s">
        <v>10</v>
      </c>
      <c r="C16" s="7" t="s">
        <v>10</v>
      </c>
      <c r="D16" s="12">
        <v>-0.74</v>
      </c>
      <c r="E16" s="13"/>
      <c r="F16" s="13"/>
      <c r="G16" s="7" t="s">
        <v>37</v>
      </c>
    </row>
    <row r="17" spans="1:7" ht="60" customHeight="1" x14ac:dyDescent="0.25">
      <c r="A17" s="11">
        <v>46115</v>
      </c>
      <c r="B17" s="7" t="s">
        <v>38</v>
      </c>
      <c r="C17" s="7" t="s">
        <v>11</v>
      </c>
      <c r="D17" s="12">
        <v>250</v>
      </c>
      <c r="E17" s="13" t="s">
        <v>33</v>
      </c>
      <c r="F17" s="13"/>
      <c r="G17" s="7" t="s">
        <v>39</v>
      </c>
    </row>
    <row r="18" spans="1:7" ht="60" customHeight="1" x14ac:dyDescent="0.25">
      <c r="A18" s="11">
        <v>46102</v>
      </c>
      <c r="B18" s="7" t="s">
        <v>32</v>
      </c>
      <c r="C18" s="7" t="s">
        <v>8</v>
      </c>
      <c r="D18" s="12">
        <v>1250</v>
      </c>
      <c r="E18" s="13" t="s">
        <v>33</v>
      </c>
      <c r="F18" s="13"/>
      <c r="G18" s="7"/>
    </row>
    <row r="19" spans="1:7" ht="60" customHeight="1" x14ac:dyDescent="0.25">
      <c r="A19" s="11">
        <v>46098</v>
      </c>
      <c r="B19" s="7" t="s">
        <v>40</v>
      </c>
      <c r="C19" s="7" t="s">
        <v>12</v>
      </c>
      <c r="D19" s="12">
        <v>230</v>
      </c>
      <c r="E19" s="13" t="s">
        <v>41</v>
      </c>
      <c r="F19" s="13" t="s">
        <v>42</v>
      </c>
      <c r="G19" s="7" t="s">
        <v>43</v>
      </c>
    </row>
    <row r="20" spans="1:7" ht="60" customHeight="1" x14ac:dyDescent="0.25">
      <c r="A20" s="11">
        <v>46097</v>
      </c>
      <c r="B20" s="7" t="s">
        <v>44</v>
      </c>
      <c r="C20" s="7" t="s">
        <v>13</v>
      </c>
      <c r="D20" s="12">
        <v>2270.52</v>
      </c>
      <c r="E20" s="13" t="s">
        <v>33</v>
      </c>
      <c r="F20" s="13"/>
      <c r="G20" s="7" t="s">
        <v>45</v>
      </c>
    </row>
    <row r="21" spans="1:7" ht="60" customHeight="1" x14ac:dyDescent="0.25">
      <c r="A21" s="11">
        <v>46091</v>
      </c>
      <c r="B21" s="7" t="s">
        <v>46</v>
      </c>
      <c r="C21" s="7" t="s">
        <v>14</v>
      </c>
      <c r="D21" s="12">
        <v>7000</v>
      </c>
      <c r="E21" s="13" t="s">
        <v>33</v>
      </c>
      <c r="F21" s="13"/>
      <c r="G21" s="7" t="s">
        <v>47</v>
      </c>
    </row>
    <row r="22" spans="1:7" ht="60" customHeight="1" x14ac:dyDescent="0.25">
      <c r="A22" s="11">
        <v>46089</v>
      </c>
      <c r="B22" s="7" t="s">
        <v>48</v>
      </c>
      <c r="C22" s="7" t="s">
        <v>15</v>
      </c>
      <c r="D22" s="12">
        <v>84</v>
      </c>
      <c r="E22" s="13" t="s">
        <v>41</v>
      </c>
      <c r="F22" s="13" t="s">
        <v>42</v>
      </c>
      <c r="G22" s="7" t="s">
        <v>49</v>
      </c>
    </row>
    <row r="23" spans="1:7" ht="60" customHeight="1" x14ac:dyDescent="0.25">
      <c r="A23" s="11">
        <v>46086</v>
      </c>
      <c r="B23" s="7" t="s">
        <v>50</v>
      </c>
      <c r="C23" s="7" t="s">
        <v>16</v>
      </c>
      <c r="D23" s="12">
        <v>9.99</v>
      </c>
      <c r="E23" s="13" t="s">
        <v>33</v>
      </c>
      <c r="F23" s="13"/>
      <c r="G23" s="7" t="s">
        <v>51</v>
      </c>
    </row>
    <row r="24" spans="1:7" ht="60" customHeight="1" x14ac:dyDescent="0.25">
      <c r="A24" s="11">
        <v>46085</v>
      </c>
      <c r="B24" s="7" t="s">
        <v>52</v>
      </c>
      <c r="C24" s="7" t="s">
        <v>16</v>
      </c>
      <c r="D24" s="12">
        <v>10.81</v>
      </c>
      <c r="E24" s="13" t="s">
        <v>33</v>
      </c>
      <c r="F24" s="13"/>
      <c r="G24" s="7" t="s">
        <v>53</v>
      </c>
    </row>
    <row r="25" spans="1:7" x14ac:dyDescent="0.25">
      <c r="A25" s="11">
        <v>46084</v>
      </c>
      <c r="B25" s="7" t="s">
        <v>54</v>
      </c>
      <c r="C25" s="7" t="s">
        <v>17</v>
      </c>
      <c r="D25" s="12">
        <v>357.07</v>
      </c>
      <c r="E25" s="13" t="s">
        <v>41</v>
      </c>
      <c r="F25" s="13" t="s">
        <v>42</v>
      </c>
      <c r="G25" s="7" t="s">
        <v>55</v>
      </c>
    </row>
    <row r="26" spans="1:7" x14ac:dyDescent="0.25">
      <c r="A26" s="11">
        <v>46084</v>
      </c>
      <c r="B26" s="7" t="s">
        <v>10</v>
      </c>
      <c r="C26" s="7" t="s">
        <v>10</v>
      </c>
      <c r="D26" s="12">
        <v>-49.29</v>
      </c>
      <c r="E26" s="13"/>
      <c r="F26" s="13"/>
      <c r="G26" s="7" t="s">
        <v>37</v>
      </c>
    </row>
    <row r="27" spans="1:7" x14ac:dyDescent="0.25">
      <c r="A27" s="11">
        <v>46077</v>
      </c>
      <c r="B27" s="7" t="s">
        <v>30</v>
      </c>
      <c r="C27" s="7" t="s">
        <v>7</v>
      </c>
      <c r="D27" s="12">
        <v>-13688.13</v>
      </c>
      <c r="E27" s="13"/>
      <c r="F27" s="13"/>
      <c r="G27" s="7" t="s">
        <v>36</v>
      </c>
    </row>
    <row r="28" spans="1:7" x14ac:dyDescent="0.25">
      <c r="A28" s="11">
        <v>46074</v>
      </c>
      <c r="B28" s="7" t="s">
        <v>32</v>
      </c>
      <c r="C28" s="7" t="s">
        <v>8</v>
      </c>
      <c r="D28" s="12">
        <v>1250</v>
      </c>
      <c r="E28" s="13" t="s">
        <v>33</v>
      </c>
      <c r="F28" s="13"/>
      <c r="G28" s="7" t="s">
        <v>34</v>
      </c>
    </row>
    <row r="29" spans="1:7" x14ac:dyDescent="0.25">
      <c r="A29" s="11">
        <v>46071</v>
      </c>
      <c r="B29" s="7" t="s">
        <v>92</v>
      </c>
      <c r="C29" s="7" t="s">
        <v>90</v>
      </c>
      <c r="D29" s="12">
        <v>24.99</v>
      </c>
      <c r="E29" s="13" t="s">
        <v>41</v>
      </c>
      <c r="F29" s="13" t="s">
        <v>42</v>
      </c>
      <c r="G29" s="7" t="s">
        <v>93</v>
      </c>
    </row>
    <row r="30" spans="1:7" x14ac:dyDescent="0.25">
      <c r="A30" s="11">
        <v>46057</v>
      </c>
      <c r="B30" s="7" t="s">
        <v>52</v>
      </c>
      <c r="C30" s="7" t="s">
        <v>16</v>
      </c>
      <c r="D30" s="12">
        <v>10.81</v>
      </c>
      <c r="E30" s="13" t="s">
        <v>33</v>
      </c>
      <c r="F30" s="13"/>
      <c r="G30" s="7" t="s">
        <v>53</v>
      </c>
    </row>
    <row r="31" spans="1:7" x14ac:dyDescent="0.25">
      <c r="A31" s="11">
        <v>46057</v>
      </c>
      <c r="B31" s="7" t="s">
        <v>46</v>
      </c>
      <c r="C31" s="7" t="s">
        <v>14</v>
      </c>
      <c r="D31" s="12">
        <v>2000</v>
      </c>
      <c r="E31" s="13" t="s">
        <v>33</v>
      </c>
      <c r="F31" s="13"/>
      <c r="G31" s="7" t="s">
        <v>47</v>
      </c>
    </row>
    <row r="32" spans="1:7" x14ac:dyDescent="0.25">
      <c r="A32" s="11">
        <v>46055</v>
      </c>
      <c r="B32" s="7" t="s">
        <v>54</v>
      </c>
      <c r="C32" s="7" t="s">
        <v>17</v>
      </c>
      <c r="D32" s="12">
        <v>357.07</v>
      </c>
      <c r="E32" s="13" t="s">
        <v>41</v>
      </c>
      <c r="F32" s="13" t="s">
        <v>42</v>
      </c>
      <c r="G32" s="7" t="s">
        <v>55</v>
      </c>
    </row>
    <row r="33" spans="1:7" x14ac:dyDescent="0.25">
      <c r="A33" s="11">
        <v>46053</v>
      </c>
      <c r="B33" s="7" t="s">
        <v>94</v>
      </c>
      <c r="C33" s="7" t="s">
        <v>89</v>
      </c>
      <c r="D33" s="12">
        <v>17.079999999999998</v>
      </c>
      <c r="E33" s="13" t="s">
        <v>41</v>
      </c>
      <c r="F33" s="13" t="s">
        <v>42</v>
      </c>
      <c r="G33" s="7" t="s">
        <v>95</v>
      </c>
    </row>
    <row r="34" spans="1:7" x14ac:dyDescent="0.25">
      <c r="A34" s="11">
        <v>46053</v>
      </c>
      <c r="B34" s="7" t="s">
        <v>96</v>
      </c>
      <c r="C34" s="7" t="s">
        <v>91</v>
      </c>
      <c r="D34" s="12">
        <v>55.29</v>
      </c>
      <c r="E34" s="13" t="s">
        <v>41</v>
      </c>
      <c r="F34" s="13" t="s">
        <v>42</v>
      </c>
      <c r="G34" s="7" t="s">
        <v>97</v>
      </c>
    </row>
    <row r="35" spans="1:7" x14ac:dyDescent="0.25">
      <c r="A35" s="11">
        <v>46051</v>
      </c>
      <c r="B35" s="7" t="s">
        <v>98</v>
      </c>
      <c r="C35" s="7" t="s">
        <v>98</v>
      </c>
      <c r="D35" s="12">
        <v>39</v>
      </c>
      <c r="E35" s="13"/>
      <c r="F35" s="13"/>
      <c r="G35" s="7" t="s">
        <v>99</v>
      </c>
    </row>
    <row r="36" spans="1:7" x14ac:dyDescent="0.25">
      <c r="A36" s="11">
        <v>46050</v>
      </c>
      <c r="B36" s="7" t="s">
        <v>32</v>
      </c>
      <c r="C36" s="7" t="s">
        <v>8</v>
      </c>
      <c r="D36" s="12">
        <v>1250</v>
      </c>
      <c r="E36" s="13" t="s">
        <v>33</v>
      </c>
      <c r="F36" s="13"/>
      <c r="G36" s="7" t="s">
        <v>34</v>
      </c>
    </row>
    <row r="37" spans="1:7" x14ac:dyDescent="0.25">
      <c r="A37" s="11">
        <v>46049</v>
      </c>
      <c r="B37" s="7" t="s">
        <v>30</v>
      </c>
      <c r="C37" s="7" t="s">
        <v>7</v>
      </c>
      <c r="D37" s="12">
        <v>-39757.82</v>
      </c>
      <c r="E37" s="13"/>
      <c r="F37" s="13"/>
      <c r="G37" s="7" t="s">
        <v>36</v>
      </c>
    </row>
    <row r="38" spans="1:7" x14ac:dyDescent="0.25">
      <c r="A38" s="11">
        <v>46043</v>
      </c>
      <c r="B38" s="7" t="s">
        <v>46</v>
      </c>
      <c r="C38" s="7" t="s">
        <v>14</v>
      </c>
      <c r="D38" s="12">
        <v>8000</v>
      </c>
      <c r="E38" s="13" t="s">
        <v>33</v>
      </c>
      <c r="F38" s="13"/>
      <c r="G38" s="7" t="s">
        <v>47</v>
      </c>
    </row>
    <row r="39" spans="1:7" x14ac:dyDescent="0.25">
      <c r="A39" s="11">
        <v>46040</v>
      </c>
      <c r="B39" s="7" t="s">
        <v>92</v>
      </c>
      <c r="C39" s="7" t="s">
        <v>90</v>
      </c>
      <c r="D39" s="12">
        <v>24.99</v>
      </c>
      <c r="E39" s="13" t="s">
        <v>41</v>
      </c>
      <c r="F39" s="13" t="s">
        <v>42</v>
      </c>
      <c r="G39" s="7" t="s">
        <v>93</v>
      </c>
    </row>
    <row r="40" spans="1:7" x14ac:dyDescent="0.25">
      <c r="A40" s="11">
        <v>46027</v>
      </c>
      <c r="B40" s="7" t="s">
        <v>48</v>
      </c>
      <c r="C40" s="7" t="s">
        <v>15</v>
      </c>
      <c r="D40" s="12">
        <v>241.02</v>
      </c>
      <c r="E40" s="13" t="s">
        <v>41</v>
      </c>
      <c r="F40" s="13" t="s">
        <v>42</v>
      </c>
      <c r="G40" s="7" t="s">
        <v>49</v>
      </c>
    </row>
    <row r="41" spans="1:7" x14ac:dyDescent="0.25">
      <c r="A41" s="11">
        <v>46027</v>
      </c>
      <c r="B41" s="7" t="s">
        <v>48</v>
      </c>
      <c r="C41" s="7" t="s">
        <v>15</v>
      </c>
      <c r="D41" s="12">
        <v>50</v>
      </c>
      <c r="E41" s="13" t="s">
        <v>41</v>
      </c>
      <c r="F41" s="13" t="s">
        <v>42</v>
      </c>
      <c r="G41" s="7" t="s">
        <v>49</v>
      </c>
    </row>
    <row r="42" spans="1:7" x14ac:dyDescent="0.25">
      <c r="A42" s="11">
        <v>46026</v>
      </c>
      <c r="B42" s="7" t="s">
        <v>52</v>
      </c>
      <c r="C42" s="7" t="s">
        <v>16</v>
      </c>
      <c r="D42" s="12">
        <v>10.81</v>
      </c>
      <c r="E42" s="13" t="s">
        <v>33</v>
      </c>
      <c r="F42" s="13"/>
      <c r="G42" s="7" t="s">
        <v>53</v>
      </c>
    </row>
    <row r="43" spans="1:7" x14ac:dyDescent="0.25">
      <c r="A43" s="11">
        <v>46024</v>
      </c>
      <c r="B43" s="7" t="s">
        <v>100</v>
      </c>
      <c r="C43" s="7" t="s">
        <v>89</v>
      </c>
      <c r="D43" s="12">
        <v>18.75</v>
      </c>
      <c r="E43" s="13" t="s">
        <v>41</v>
      </c>
      <c r="F43" s="13" t="s">
        <v>42</v>
      </c>
      <c r="G43" s="7" t="s">
        <v>95</v>
      </c>
    </row>
    <row r="44" spans="1:7" x14ac:dyDescent="0.25">
      <c r="A44" s="11">
        <v>46024</v>
      </c>
      <c r="B44" s="7" t="s">
        <v>54</v>
      </c>
      <c r="C44" s="7" t="s">
        <v>17</v>
      </c>
      <c r="D44" s="12">
        <v>357.07</v>
      </c>
      <c r="E44" s="13" t="s">
        <v>41</v>
      </c>
      <c r="F44" s="13" t="s">
        <v>42</v>
      </c>
      <c r="G44" s="7" t="s">
        <v>55</v>
      </c>
    </row>
    <row r="45" spans="1:7" x14ac:dyDescent="0.25">
      <c r="A45" s="11">
        <v>46024</v>
      </c>
      <c r="B45" s="7" t="s">
        <v>10</v>
      </c>
      <c r="C45" s="7" t="s">
        <v>10</v>
      </c>
      <c r="D45" s="12">
        <v>-176.96</v>
      </c>
      <c r="E45" s="13"/>
      <c r="F45" s="13"/>
      <c r="G45" s="7" t="s">
        <v>37</v>
      </c>
    </row>
    <row r="46" spans="1:7" x14ac:dyDescent="0.25">
      <c r="A46" s="11">
        <v>46023</v>
      </c>
      <c r="B46" s="7" t="s">
        <v>101</v>
      </c>
      <c r="C46" s="7" t="s">
        <v>12</v>
      </c>
      <c r="D46" s="12">
        <v>41.69</v>
      </c>
      <c r="E46" s="13" t="s">
        <v>41</v>
      </c>
      <c r="F46" s="13" t="s">
        <v>42</v>
      </c>
      <c r="G46" s="7" t="s">
        <v>102</v>
      </c>
    </row>
    <row r="47" spans="1:7" x14ac:dyDescent="0.25">
      <c r="A47" s="11">
        <v>46023</v>
      </c>
      <c r="B47" s="7" t="s">
        <v>103</v>
      </c>
      <c r="C47" s="7" t="s">
        <v>15</v>
      </c>
      <c r="D47" s="12">
        <v>8</v>
      </c>
      <c r="E47" s="13" t="s">
        <v>41</v>
      </c>
      <c r="F47" s="13" t="s">
        <v>42</v>
      </c>
      <c r="G47" s="7" t="s">
        <v>49</v>
      </c>
    </row>
    <row r="48" spans="1:7" x14ac:dyDescent="0.25">
      <c r="A48" s="11">
        <v>46023</v>
      </c>
      <c r="B48" s="7" t="s">
        <v>48</v>
      </c>
      <c r="C48" s="7" t="s">
        <v>15</v>
      </c>
      <c r="D48" s="12">
        <v>167.5</v>
      </c>
      <c r="E48" s="13" t="s">
        <v>41</v>
      </c>
      <c r="F48" s="13" t="s">
        <v>42</v>
      </c>
      <c r="G48" s="7" t="s">
        <v>49</v>
      </c>
    </row>
    <row r="50" spans="1:4" x14ac:dyDescent="0.25">
      <c r="A50" s="14" t="s">
        <v>56</v>
      </c>
      <c r="C50" s="14" t="s">
        <v>5</v>
      </c>
      <c r="D50" s="15">
        <f>SUMIF(D10:D48,"&gt;0")</f>
        <v>127886.46000000004</v>
      </c>
    </row>
    <row r="51" spans="1:4" x14ac:dyDescent="0.25">
      <c r="C51" s="14" t="s">
        <v>57</v>
      </c>
      <c r="D51" s="15">
        <f>SUMIF(D10:D48,"&lt;0")</f>
        <v>-75210.3</v>
      </c>
    </row>
    <row r="52" spans="1:4" x14ac:dyDescent="0.25">
      <c r="C52" s="8" t="s">
        <v>58</v>
      </c>
      <c r="D52" s="16">
        <f>D50+D51</f>
        <v>52676.160000000033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Summary</vt:lpstr>
      <vt:lpstr>Monthly Breakdown</vt:lpstr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Judd Dunning</cp:lastModifiedBy>
  <dcterms:created xsi:type="dcterms:W3CDTF">2026-06-11T21:22:59Z</dcterms:created>
  <dcterms:modified xsi:type="dcterms:W3CDTF">2026-06-12T21:33:15Z</dcterms:modified>
</cp:coreProperties>
</file>