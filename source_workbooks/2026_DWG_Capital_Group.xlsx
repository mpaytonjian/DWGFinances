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 Summary" sheetId="1" state="visible" r:id="rId3"/>
    <sheet name="Monthly Breakdown" sheetId="2" state="visible" r:id="rId4"/>
    <sheet name="Transfer In" sheetId="3" state="visible" r:id="rId5"/>
    <sheet name="Transfer Out" sheetId="4" state="visible" r:id="rId6"/>
    <sheet name="Wire In" sheetId="5" state="visible" r:id="rId7"/>
    <sheet name="Wire Out" sheetId="6" state="visible" r:id="rId8"/>
    <sheet name="Commission" sheetId="7" state="visible" r:id="rId9"/>
    <sheet name="Transaction Overview" sheetId="8" state="visible" r:id="rId10"/>
    <sheet name="Mapping" sheetId="9" state="visible" r:id="rId11"/>
    <sheet name="Chase1168_2026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<sst xmlns="http://schemas.openxmlformats.org/spreadsheetml/2006/main" count="2538" uniqueCount="662">
  <si>
    <t xml:space="preserve">Chase 1168 — DWG Capital Group 2026 Activity</t>
  </si>
  <si>
    <t xml:space="preserve">Category Summary  |  Jan 2026 – Dec 2026</t>
  </si>
  <si>
    <t xml:space="preserve">Entity</t>
  </si>
  <si>
    <t xml:space="preserve">DWG Capital Group</t>
  </si>
  <si>
    <t xml:space="preserve">Account</t>
  </si>
  <si>
    <t xml:space="preserve">Business Checking — Chase 1168</t>
  </si>
  <si>
    <t xml:space="preserve">Period</t>
  </si>
  <si>
    <t xml:space="preserve">Jan 2026 – Dec 2026</t>
  </si>
  <si>
    <t xml:space="preserve">TOTALS</t>
  </si>
  <si>
    <t xml:space="preserve">Total Inflows</t>
  </si>
  <si>
    <t xml:space="preserve">Total Outflows</t>
  </si>
  <si>
    <t xml:space="preserve">Net Change</t>
  </si>
  <si>
    <t xml:space="preserve">Category</t>
  </si>
  <si>
    <t xml:space="preserve">Inflows</t>
  </si>
  <si>
    <t xml:space="preserve">Outflows</t>
  </si>
  <si>
    <t xml:space="preserve">Net</t>
  </si>
  <si>
    <t xml:space="preserve">Deal-Specific</t>
  </si>
  <si>
    <t xml:space="preserve">Deal Specific: 260 S Hibbert</t>
  </si>
  <si>
    <t xml:space="preserve">Incoming MOAB Mortgage Coverage</t>
  </si>
  <si>
    <t xml:space="preserve">Moab E4 Mortgage Payment</t>
  </si>
  <si>
    <t xml:space="preserve">Moab E7 Mortgage Payment</t>
  </si>
  <si>
    <t xml:space="preserve">Subtotal — Deal-Specific</t>
  </si>
  <si>
    <t xml:space="preserve">Commissions — Incoming</t>
  </si>
  <si>
    <t xml:space="preserve">Incoming Commission: MDC</t>
  </si>
  <si>
    <t xml:space="preserve">Subtotal — Commissions — Incoming</t>
  </si>
  <si>
    <t xml:space="preserve">Commissions — Outgoing</t>
  </si>
  <si>
    <t xml:space="preserve">Hugh Gerhke - MDC Commission</t>
  </si>
  <si>
    <t xml:space="preserve">Meg Maran - MDC Commission</t>
  </si>
  <si>
    <t xml:space="preserve">Subtotal — Commissions — Outgoing</t>
  </si>
  <si>
    <t xml:space="preserve">MAG Pass-Through</t>
  </si>
  <si>
    <t xml:space="preserve">Due to Andrew – MAG Pass-Through 30%</t>
  </si>
  <si>
    <t xml:space="preserve">Due to Dax – MAG Pass-Through 70%</t>
  </si>
  <si>
    <t xml:space="preserve">MAG Capital Partners Pass-Through Wire – 70/30 Split</t>
  </si>
  <si>
    <t xml:space="preserve">Subtotal — MAG Pass-Through</t>
  </si>
  <si>
    <t xml:space="preserve">Poseidon Asset Group</t>
  </si>
  <si>
    <t xml:space="preserve">Poseidon Asset Group (Incoming)</t>
  </si>
  <si>
    <t xml:space="preserve">Poseidon Asset Group (Outgoing)</t>
  </si>
  <si>
    <t xml:space="preserve">Subtotal — Poseidon Asset Group</t>
  </si>
  <si>
    <t xml:space="preserve">Intercompany &amp; Savings Transfers</t>
  </si>
  <si>
    <t xml:space="preserve">Transfer to DWG Capital Group_Costar</t>
  </si>
  <si>
    <t xml:space="preserve">Transfer to DWG Savings</t>
  </si>
  <si>
    <t xml:space="preserve">Transfer to DWG Capital Partners</t>
  </si>
  <si>
    <t xml:space="preserve">Transfer to DWG Holdings</t>
  </si>
  <si>
    <t xml:space="preserve">Transfer to Edgebuilders</t>
  </si>
  <si>
    <t xml:space="preserve">Transfer to Judd Sol Prop</t>
  </si>
  <si>
    <t xml:space="preserve">Transfer to MRM</t>
  </si>
  <si>
    <t xml:space="preserve">Transfer to SPF</t>
  </si>
  <si>
    <t xml:space="preserve">Transfer to TGAIF Fund</t>
  </si>
  <si>
    <t xml:space="preserve">Transfer to Theut Glass</t>
  </si>
  <si>
    <t xml:space="preserve">Subtotal — Intercompany &amp; Savings Transfers</t>
  </si>
  <si>
    <t xml:space="preserve">Payroll &amp; Contractors</t>
  </si>
  <si>
    <t xml:space="preserve">Andres Alarcon Payroll</t>
  </si>
  <si>
    <t xml:space="preserve">Chase Hall - Payroll</t>
  </si>
  <si>
    <t xml:space="preserve">DWG HR</t>
  </si>
  <si>
    <t xml:space="preserve">Mike Paytonjian - Payroll</t>
  </si>
  <si>
    <t xml:space="preserve">Ruth Alcancia - Forward Bridge Payment</t>
  </si>
  <si>
    <t xml:space="preserve">Upwork - Sergei M.</t>
  </si>
  <si>
    <t xml:space="preserve">Subtotal — Payroll &amp; Contractors</t>
  </si>
  <si>
    <t xml:space="preserve">P2P Payments (Zelle/Venmo/PayPal)</t>
  </si>
  <si>
    <t xml:space="preserve">PayPal</t>
  </si>
  <si>
    <t xml:space="preserve">Venmo</t>
  </si>
  <si>
    <t xml:space="preserve">Zelle - Estella M.</t>
  </si>
  <si>
    <t xml:space="preserve">Zelle - Jared Iorio</t>
  </si>
  <si>
    <t xml:space="preserve">Zelle - Jeff Seider</t>
  </si>
  <si>
    <t xml:space="preserve">Zelle - Natalie C.</t>
  </si>
  <si>
    <t xml:space="preserve">Zelle/P2P</t>
  </si>
  <si>
    <t xml:space="preserve">Subtotal — P2P Payments (Zelle/Venmo/PayPal)</t>
  </si>
  <si>
    <t xml:space="preserve">Owner / Family Distributions</t>
  </si>
  <si>
    <t xml:space="preserve">Transfer to Angela Dunning</t>
  </si>
  <si>
    <t xml:space="preserve">Transfer to Ava Perez-Dunning</t>
  </si>
  <si>
    <t xml:space="preserve">Transfer to TX Personal Joint</t>
  </si>
  <si>
    <t xml:space="preserve">Subtotal — Owner / Family Distributions</t>
  </si>
  <si>
    <t xml:space="preserve">Credit Card &amp; Loan Payments</t>
  </si>
  <si>
    <t xml:space="preserve">Loan/Mortgage</t>
  </si>
  <si>
    <t xml:space="preserve">SBC EIDL Loan</t>
  </si>
  <si>
    <t xml:space="preserve">Subtotal — Credit Card &amp; Loan Payments</t>
  </si>
  <si>
    <t xml:space="preserve">Taxes</t>
  </si>
  <si>
    <t xml:space="preserve">Subtotal — Taxes</t>
  </si>
  <si>
    <t xml:space="preserve">DWG Operating</t>
  </si>
  <si>
    <t xml:space="preserve">AI Subscriptions</t>
  </si>
  <si>
    <t xml:space="preserve">Bank Fees</t>
  </si>
  <si>
    <t xml:space="preserve">Bill Payment</t>
  </si>
  <si>
    <t xml:space="preserve">DWG Marketing</t>
  </si>
  <si>
    <t xml:space="preserve">DWGCP Business Development</t>
  </si>
  <si>
    <t xml:space="preserve">Go Daddy</t>
  </si>
  <si>
    <t xml:space="preserve">Office/Miscellaneous Reimbursement - Mike P.</t>
  </si>
  <si>
    <t xml:space="preserve">Software/Accounting</t>
  </si>
  <si>
    <t xml:space="preserve">Team Lunch</t>
  </si>
  <si>
    <t xml:space="preserve">Wire Fee</t>
  </si>
  <si>
    <t xml:space="preserve">Subtotal — DWG Operating</t>
  </si>
  <si>
    <t xml:space="preserve">Business Travel</t>
  </si>
  <si>
    <t xml:space="preserve">Employee Travel Reimbursement</t>
  </si>
  <si>
    <t xml:space="preserve">Team Travel - Reimbursement</t>
  </si>
  <si>
    <t xml:space="preserve">Subtotal — Business Travel</t>
  </si>
  <si>
    <t xml:space="preserve">Personal — Owner</t>
  </si>
  <si>
    <t xml:space="preserve">Personal - Life Insurance</t>
  </si>
  <si>
    <t xml:space="preserve">Personal - Food &amp; Dining</t>
  </si>
  <si>
    <t xml:space="preserve">Personal - California Mortgage PMT</t>
  </si>
  <si>
    <t xml:space="preserve">Personal - Car &amp; Auto</t>
  </si>
  <si>
    <t xml:space="preserve">Personal - Entertainment</t>
  </si>
  <si>
    <t xml:space="preserve">Personal - Health (incl. Ins.)</t>
  </si>
  <si>
    <t xml:space="preserve">Personal - Paypal</t>
  </si>
  <si>
    <t xml:space="preserve">Personal - Subscriptions</t>
  </si>
  <si>
    <t xml:space="preserve">Texas - House Utilities</t>
  </si>
  <si>
    <t xml:space="preserve">Subtotal — Personal — Owner</t>
  </si>
  <si>
    <t xml:space="preserve">Adjustments</t>
  </si>
  <si>
    <t xml:space="preserve">Insurance</t>
  </si>
  <si>
    <t xml:space="preserve">Subtotal — Adjustments</t>
  </si>
  <si>
    <t xml:space="preserve">Uncategorized — Review</t>
  </si>
  <si>
    <t xml:space="preserve">???</t>
  </si>
  <si>
    <t xml:space="preserve">ATM/Cash</t>
  </si>
  <si>
    <t xml:space="preserve">XXX?</t>
  </si>
  <si>
    <t xml:space="preserve">Subtotal — Uncategorized — Review</t>
  </si>
  <si>
    <t xml:space="preserve">Monthly Breakdown  |  Jan 2026 – Dec 2026</t>
  </si>
  <si>
    <t xml:space="preserve">Total</t>
  </si>
  <si>
    <t xml:space="preserve">Intercompany Transfers — In  |  Jan 2026 – Dec 2026</t>
  </si>
  <si>
    <t xml:space="preserve">SUMMARY</t>
  </si>
  <si>
    <t xml:space="preserve"># Transactions</t>
  </si>
  <si>
    <t xml:space="preserve">Intercompany Transfers — Out  |  Jan 2026 – Dec 2026</t>
  </si>
  <si>
    <t xml:space="preserve">Wire Transfers — In  |  Jan 2026 – Dec 2026</t>
  </si>
  <si>
    <t xml:space="preserve">Wire Transfers — Out  |  Jan 2026 – Dec 2026</t>
  </si>
  <si>
    <t xml:space="preserve">Commissions Statement  |  Jan 2026 – Dec 2026</t>
  </si>
  <si>
    <t xml:space="preserve">Details</t>
  </si>
  <si>
    <t xml:space="preserve">Posting Date</t>
  </si>
  <si>
    <t xml:space="preserve">Description</t>
  </si>
  <si>
    <t xml:space="preserve">Amount</t>
  </si>
  <si>
    <t xml:space="preserve">Type</t>
  </si>
  <si>
    <t xml:space="preserve">Balance</t>
  </si>
  <si>
    <t xml:space="preserve">Month</t>
  </si>
  <si>
    <t xml:space="preserve">Combined Category</t>
  </si>
  <si>
    <t xml:space="preserve">Group</t>
  </si>
  <si>
    <t xml:space="preserve">Raw Category</t>
  </si>
  <si>
    <t xml:space="preserve">DWG Capital Group - Taxes</t>
  </si>
  <si>
    <t xml:space="preserve">Life Insurance</t>
  </si>
  <si>
    <t xml:space="preserve">Meals/Dining</t>
  </si>
  <si>
    <t xml:space="preserve">Personal - Car</t>
  </si>
  <si>
    <t xml:space="preserve">Personal - Car (Mercedes)</t>
  </si>
  <si>
    <t xml:space="preserve">Personal - Car Insurance</t>
  </si>
  <si>
    <t xml:space="preserve">Personal - Food</t>
  </si>
  <si>
    <t xml:space="preserve">Personal - Health</t>
  </si>
  <si>
    <t xml:space="preserve">Personal - Health Insurance</t>
  </si>
  <si>
    <t xml:space="preserve">Transfer to DWG Capital Group_Savings</t>
  </si>
  <si>
    <t xml:space="preserve">Transfer to DWGCGroup_Savings</t>
  </si>
  <si>
    <t xml:space="preserve">DEBIT</t>
  </si>
  <si>
    <t xml:space="preserve">ORIG CO NAME:VENMO            CO ENTRY DESCR:PAYMENT    SEC:WEB IND ID:1051023030786   ORIG ID:3264681992</t>
  </si>
  <si>
    <t xml:space="preserve">ACH_DEBIT</t>
  </si>
  <si>
    <t xml:space="preserve"> </t>
  </si>
  <si>
    <t xml:space="preserve">ONLINE TRANSFER TO CHK ...1117 TRANSACTION#: 29633194527 06/15</t>
  </si>
  <si>
    <t xml:space="preserve">ACCT_XFER</t>
  </si>
  <si>
    <t xml:space="preserve">Online ACH payment to Mike</t>
  </si>
  <si>
    <t xml:space="preserve">BASIC_PAYROLL</t>
  </si>
  <si>
    <t xml:space="preserve">ORIG CO NAME:VENMO            CO ENTRY DESCR:PAYMENT    SEC:WEB IND ID:1050998946316   ORIG ID:3264681992</t>
  </si>
  <si>
    <t xml:space="preserve">ORIG CO NAME:VENMO            CO ENTRY DESCR:PAYMENT    SEC:WEB IND ID:1050990087863   ORIG ID:3264681992</t>
  </si>
  <si>
    <t xml:space="preserve">ONLINE TRANSFER TO CHK ...1117 TRANSACTION#: 29624118889 06/15</t>
  </si>
  <si>
    <t xml:space="preserve">ONLINE TRANSFER TO CHK ...6975 TRANSACTION#: 29624118165 06/15</t>
  </si>
  <si>
    <t xml:space="preserve">ZELLE PAYMENT TO JEFFREY SEIDER JPM99CKSLP03</t>
  </si>
  <si>
    <t xml:space="preserve">CHASE_TO_PARTNERFI</t>
  </si>
  <si>
    <t xml:space="preserve">ONLINE TRANSFER TO CHK ...1117 TRANSACTION#: 29617096887 06/15</t>
  </si>
  <si>
    <t xml:space="preserve">POS DEBIT                GODADDY#4111542544        480-5058855  AZ                                                                                                                                                                                                                                                                        9052</t>
  </si>
  <si>
    <t xml:space="preserve">MISC_DEBIT</t>
  </si>
  <si>
    <t xml:space="preserve">GODADDY#4110236617 480-5058855 AZ            06/11</t>
  </si>
  <si>
    <t xml:space="preserve">DEBIT_CARD</t>
  </si>
  <si>
    <t xml:space="preserve">Zelle payment to Jeffrey Seider JPM99ckg6uwz</t>
  </si>
  <si>
    <t xml:space="preserve">Basic Online Payroll Payment 11221138563 to #####5820</t>
  </si>
  <si>
    <t xml:space="preserve">GODADDY#4109280643 480-5058855 AZ            06/10</t>
  </si>
  <si>
    <t xml:space="preserve">PAYPAL *RUTHALCANCI 402-935-7733 CA          06/10</t>
  </si>
  <si>
    <t xml:space="preserve">GODADDY#4108424098 480-5058855 AZ            06/09</t>
  </si>
  <si>
    <t xml:space="preserve">Online Transfer to CHK ...1117 transaction#: 29555521399 06/09</t>
  </si>
  <si>
    <t xml:space="preserve">ORIG CO NAME:VENMO                  ORIG ID:3264681992 DESC DATE:260609 CO ENTRY DESCR:PAYMENT   SEC:WEB    TRACE#:021000025685331 EED:260609   IND ID:1050868364682                IND NAME:JUDD DUNNING                                                                                                 260609PPZPM4 TRN: 1605685331TC</t>
  </si>
  <si>
    <t xml:space="preserve">GODADDY#4107740767 480-5058855 AZ            06/08</t>
  </si>
  <si>
    <t xml:space="preserve">Zelle payment to Michael Paytonjian JPM99ck4jzdu</t>
  </si>
  <si>
    <t xml:space="preserve">Basic Online Payroll Payment 11221685096 to ########4122</t>
  </si>
  <si>
    <t xml:space="preserve">ORIG CO NAME:VENMO                  ORIG ID:3264681992 DESC DATE:260606 CO ENTRY DESCR:PAYMENT   SEC:WEB    TRACE#:021000021456247 EED:260608   IND ID:1050813336826                IND NAME:JUDD DUNNING                                                                                                 260606PPZDEU TRN: 1591456247TC</t>
  </si>
  <si>
    <t xml:space="preserve">Online Transfer to CHK ...1117 transaction#: 29529799629 06/08</t>
  </si>
  <si>
    <t xml:space="preserve">GODADDY#4106882687 480-5058855 AZ            06/07</t>
  </si>
  <si>
    <t xml:space="preserve">PAYPAL *RUTHALCANCI 402-935-7733 CA          06/06</t>
  </si>
  <si>
    <t xml:space="preserve">GODADDY#4105533631 480-5058855 AZ            06/05</t>
  </si>
  <si>
    <t xml:space="preserve">ONLINE FX INTERNATIONAL WIRE FEE</t>
  </si>
  <si>
    <t xml:space="preserve">FEE_TRANSACTION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</si>
  <si>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PAYMENTS/OCMT/COP25 41353,93/EXCH/3388.4719/CNTR/107830 52/INT/ANDRES_52763ATHOTMAIL.C TRN: 6825500155RE 06/04</t>
  </si>
  <si>
    <t xml:space="preserve">WIRE_OUTGOING</t>
  </si>
  <si>
    <t xml:space="preserve">PAYPAL *PRAGERUNIVE P 833-772-4378 CA        06/03</t>
  </si>
  <si>
    <t xml:space="preserve">CREDIT</t>
  </si>
  <si>
    <t xml:space="preserve">ORIG CO NAME:GI CAPITAL GROUP       ORIG ID:9200502235 DESC DATE:260603 CO ENTRY DESCR:ACH Pmt   SEC:CCD    TRACE#:021000024993841 EED:260603   IND ID:11221721498                  IND NAME:DWG CAPITAL GROUP          For June-2026 (E4: $4190.21 + E7: 4 366.20 = $8,556.41) TRN: 1544993841TC</t>
  </si>
  <si>
    <t xml:space="preserve">ACH_CREDIT</t>
  </si>
  <si>
    <t xml:space="preserve">Online Transfer to CHK ...8938 transaction#: 29465389902 06/02</t>
  </si>
  <si>
    <t xml:space="preserve">Online Transfer to CHK ...7229 transaction#: 29465384225 06/02</t>
  </si>
  <si>
    <t xml:space="preserve">Online Transfer to CHK ...8938 transaction#: 29465364866 06/02</t>
  </si>
  <si>
    <t xml:space="preserve">Online Transfer to CHK ...1283 transaction#: 29465373114 06/02</t>
  </si>
  <si>
    <t xml:space="preserve">Online Transfer to CHK ...9905 transaction#: 29465362847 06/02</t>
  </si>
  <si>
    <t xml:space="preserve">Online Transfer to CHK ...1117 transaction#: 29465360785 06/02</t>
  </si>
  <si>
    <t xml:space="preserve">GODADDY#4102819395 480-5058855 AZ            06/02</t>
  </si>
  <si>
    <t xml:space="preserve">GODADDY#4102201395 480-5058855 AZ            06/01</t>
  </si>
  <si>
    <t xml:space="preserve">Online Transfer from CHK ...9335 transaction#: 29465359966</t>
  </si>
  <si>
    <t xml:space="preserve">RTP/Same Day - Low Value</t>
  </si>
  <si>
    <t xml:space="preserve">STD ACH PMNTS VOLUME FEE QTY = 4</t>
  </si>
  <si>
    <t xml:space="preserve">RTP/Same Day - High Value</t>
  </si>
  <si>
    <t xml:space="preserve">STANDARD ACH PMNTS INITIAL FEE QTY = 10</t>
  </si>
  <si>
    <t xml:space="preserve">ORIG CO NAME:TXU ENERGY             ORIG ID:1001020329 DESC DATE:       CO ENTRY DESCR:TXUE_ACH  SEC:WEB    TRACE#:021000024347356 EED:260601   IND ID:900062431557                 IND NAME:DWG CAPITAL GROUP          17333702810000000000000000000003568 6717094                                       DIRECT DEBITING TRN: 1524347356TC</t>
  </si>
  <si>
    <t xml:space="preserve">ORIG CO NAME:SELECT PORTFOLIO       ORIG ID:1870465626 DESC DATE:       CO ENTRY DESCR:SPS       SEC:WEB    TRACE#:021000024340563 EED:260601   IND ID:0037017712                   IND NAME:John Barker Dunning TRN: 1524340563TC</t>
  </si>
  <si>
    <t xml:space="preserve">ORIG CO NAME:SELECT PORTFOLIO       ORIG ID:1870465626 DESC DATE:       CO ENTRY DESCR:SPS       SEC:WEB    TRACE#:021000024340564 EED:260601   IND ID:0037017720                   IND NAME:John Barker Dunning TRN: 1524340564TC</t>
  </si>
  <si>
    <t xml:space="preserve">Basic Online Payroll Payment 11220544739 to ########4122</t>
  </si>
  <si>
    <t xml:space="preserve">ORIG CO NAME:BLUESHIELDCA           ORIG ID:7529219311 DESC DATE:260531 CO ENTRY DESCR:BILL PAY  SEC:CCD    TRACE#:031101111355260 EED:260601   IND ID:15769530921                  IND NAME:ANGELA DUNNING TRN: 1521355260TC</t>
  </si>
  <si>
    <t xml:space="preserve">ORIG CO NAME:GEICO                  ORIG ID:3530075853 DESC DATE:260530 CO ENTRY DESCR:PREM COLL SEC:PPD    TRACE#:021000020855495 EED:260601   IND ID:                             IND NAME:ANGELA TRN: 1520855495TC</t>
  </si>
  <si>
    <t xml:space="preserve">ORIG CO NAME:BLUESHIELDCA           ORIG ID:7529219311 DESC DATE:260531 CO ENTRY DESCR:BILL PAY  SEC:CCD    TRACE#:031101111355261 EED:260601   IND ID:15774371331                  IND NAME:JOHN DUNNING TRN: 1521355261TC</t>
  </si>
  <si>
    <t xml:space="preserve">Online Transfer to CHK ...1117 transaction#: 29420901287 06/01</t>
  </si>
  <si>
    <t xml:space="preserve">ORIG CO NAME:SBA EIDL LOAN          ORIG ID:7300000118 DESC DATE:260529 CO ENTRY DESCR:PAYMENT   SEC:CCD    TRACE#:041036044044886 EED:260601   IND ID:0000                         IND NAME:JOHN DUNNING               1871308204                                                                        ACH TRANSACTION TRN: 1524044886TC</t>
  </si>
  <si>
    <t xml:space="preserve">ORIG CO NAME:GEICO                  ORIG ID:3530075853 DESC DATE:260528 CO ENTRY DESCR:PREM COLL SEC:PPD    TRACE#:021000023686322 EED:260529   IND ID:                             IND NAME:ANGELA DUNNING TRN: 1493686322TC</t>
  </si>
  <si>
    <t xml:space="preserve">PAYPAL *RUTHALCANCI 402-935-7733 CA          05/28</t>
  </si>
  <si>
    <t xml:space="preserve">GODADDY#4099228906 480-5058855 AZ            05/28</t>
  </si>
  <si>
    <t xml:space="preserve">Basic Online Payroll Payment 11219337392 to #####5820</t>
  </si>
  <si>
    <t xml:space="preserve">ORIG CO NAME:BANNER LIFE            ORIG ID:1521236145 DESC DATE:260527 CO ENTRY DESCR:PREM DEBITSEC:PPD    TRACE#:091000018954606 EED:260528   IND ID:                             IND NAME:ANGELA L DUNNING TRN: 1488954606TC</t>
  </si>
  <si>
    <t xml:space="preserve">ORIG CO NAME:BANNER LIFE            ORIG ID:1521236145 DESC DATE:260527 CO ENTRY DESCR:PREM DEBITSEC:PPD    TRACE#:091000018954607 EED:260528   IND ID:                             IND NAME:JOHN  DUNNING TRN: 1488954607TC</t>
  </si>
  <si>
    <t xml:space="preserve">GODADDY#4098496820 480-5058855 AZ            05/27</t>
  </si>
  <si>
    <t xml:space="preserve">ORIG CO NAME:INTUIT *               ORIG ID:0000756346 DESC DATE:260527 CO ENTRY DESCR:QBooks OnlSEC:CCD    TRACE#:021000027687788 EED:260527   IND ID:0858156                      IND NAME:DWG CAPITAL GROUP                                                                                            800-446-8848 TRN: 1477687788TC</t>
  </si>
  <si>
    <t xml:space="preserve">GODADDY#4097667112 480-5058855 AZ            05/26</t>
  </si>
  <si>
    <t xml:space="preserve">Online Transfer to CHK ...7899 transaction#: 29365535129 05/26</t>
  </si>
  <si>
    <t xml:space="preserve">Online Transfer to CHK ...6975 transaction#: 29365525619 05/26</t>
  </si>
  <si>
    <t xml:space="preserve">Online Transfer to CHK ...1117 transaction#: 29365516826 05/26</t>
  </si>
  <si>
    <t xml:space="preserve">Online Payment 29365461330 To PENTAGON FEDERAL CREDIT UNION 05/26</t>
  </si>
  <si>
    <t xml:space="preserve">BILLPAY</t>
  </si>
  <si>
    <t xml:space="preserve">Online Payment 29365452439 To LOS ANGELES MUNICIPAL SERVICE 05/26</t>
  </si>
  <si>
    <t xml:space="preserve">Online Payment 29365443815 To MERCEDES BENZ FINANCIAL SVCS 05/26</t>
  </si>
  <si>
    <t xml:space="preserve">Online Payment 29365431277 To MERCEDES BENZ FINANCIAL 05/26</t>
  </si>
  <si>
    <t xml:space="preserve">Online Payment 29365430374 To MERCEDES-BENZ FINANCIAL SERVICES 05/26</t>
  </si>
  <si>
    <t xml:space="preserve">Online Payment 29365405620 To MERCEDES BENZ FINANCIAL 05/26</t>
  </si>
  <si>
    <t xml:space="preserve">DISNEY PLUS ECOM LAKE BUENA VI FL    136337  05/26</t>
  </si>
  <si>
    <t xml:space="preserve">GODADDY#4097022029 480-5058855 AZ            05/25</t>
  </si>
  <si>
    <t xml:space="preserve">Zelle payment to Jeffrey Seider JPM99cia2qhw</t>
  </si>
  <si>
    <t xml:space="preserve">Online Transfer to CHK ...1117 transaction#: 29347809073 05/26</t>
  </si>
  <si>
    <t xml:space="preserve">Online Transfer to CHK ...0709 transaction#: 29347807892 05/26</t>
  </si>
  <si>
    <t xml:space="preserve">GODADDY#4095049162 480-5058855 AZ            05/23</t>
  </si>
  <si>
    <t xml:space="preserve">GODADDY#4094503968 480-5058855 AZ            05/22</t>
  </si>
  <si>
    <t xml:space="preserve">Basic Online Payroll Payment 11219808389 to ########4122</t>
  </si>
  <si>
    <t xml:space="preserve">Experian* ProtectMyID 866-5849446 CA         05/22</t>
  </si>
  <si>
    <t xml:space="preserve">Online Transfer to CHK ...0709 transaction#: 29309161931 05/21</t>
  </si>
  <si>
    <t xml:space="preserve">Online Transfer to CHK ...1117 transaction#: 29309160621 05/21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</si>
  <si>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PAYMENTS/OCMT/COP26 53112,48/EXCH/3537.4833/CNTR/647312 33/INT/ANDRES_52763ATHOTMAIL.C TRN: 5326500141RE 05/21</t>
  </si>
  <si>
    <t xml:space="preserve">ORIG CO NAME:PRINCIPAL-CCAPNL       ORIG ID:9INDPNLEFT DESC DATE:051926 CO ENTRY DESCR:PRIN FINANSEC:PPD    TRACE#:091000017262514 EED:260521   IND ID:                             IND NAME:JOHN B DUNNING TRN: 1417262514TC</t>
  </si>
  <si>
    <t xml:space="preserve">Zelle payment to Jeffrey Seider JPM99chsj6i2</t>
  </si>
  <si>
    <t xml:space="preserve">GODADDY#4092998346 480-5058855 AZ            05/20</t>
  </si>
  <si>
    <t xml:space="preserve">Zelle payment to Estella Martinez JPM99cho2o00</t>
  </si>
  <si>
    <t xml:space="preserve">ORIG CO NAME:TXU ENERGY             ORIG ID:1001020329 DESC DATE:       CO ENTRY DESCR:TXUE_ACH  SEC:WEB    TRACE#:021000026902061 EED:260519   IND ID:900062431557                 IND NAME:DWG CAPITAL GROUP          17333702810000000000000000000003524 1066071                                       DIRECT DEBITING TRN: 1396902061TC</t>
  </si>
  <si>
    <t xml:space="preserve">Online Transfer to CHK ...1117 transaction#: 29277924467 05/19</t>
  </si>
  <si>
    <t xml:space="preserve">PAYPAL *RUTHALCANCI 402-935-7733 CA          05/19</t>
  </si>
  <si>
    <t xml:space="preserve">DNH*GODADDY#4091061067 480-5058855 AZ        05/18</t>
  </si>
  <si>
    <t xml:space="preserve">DNH*GODADDY#4091060996 480-5058855 AZ        05/18</t>
  </si>
  <si>
    <t xml:space="preserve">Basic Online Payroll Payment 11218832659 to ########4122</t>
  </si>
  <si>
    <t xml:space="preserve">ORIG CO NAME:VENMO                  ORIG ID:3264681992 DESC DATE:260516 CO ENTRY DESCR:PAYMENT   SEC:WEB    TRACE#:021000020656240 EED:260518   IND ID:1050328998310                IND NAME:JUDD DUNNING                                                                                                 260516PPZYI4 TRN: 1380656240TC</t>
  </si>
  <si>
    <t xml:space="preserve">ORIG CO NAME:VENMO                  ORIG ID:3264681992 DESC DATE:260516 CO ENTRY DESCR:PAYMENT   SEC:WEB    TRACE#:021000020656219 EED:260518   IND ID:1050328986800                IND NAME:JUDD DUNNING                                                                                                 260516PPZYI4 TRN: 1380656219TC</t>
  </si>
  <si>
    <t xml:space="preserve">Online Transfer to CHK ...3922 transaction#: 29255498410 05/18</t>
  </si>
  <si>
    <t xml:space="preserve">Online Transfer to CHK ...1117 transaction#: 29250942768 05/18</t>
  </si>
  <si>
    <t xml:space="preserve">ORIG CO NAME:LEASEDIRECT            ORIG ID:138190450  DESC DATE:260515 CO ENTRY DESCR:19226_1   SEC:CCD    TRACE#:043000099396934 EED:260518   IND ID:1556926                      IND NAME:DWG CAPITAL GROUP          INV# 596692263 DUE 05/15/26 REC# 10 11047514                                      19227 TRN: 1389396934TC</t>
  </si>
  <si>
    <t xml:space="preserve">ORIG CO NAME:VENMO                  ORIG ID:3264681992 DESC DATE:260514 CO ENTRY DESCR:PAYMENT   SEC:WEB    TRACE#:021000020137136 EED:260514   IND ID:1050290351281                IND NAME:JUDD DUNNING                                                                                                 260514PPZKFA TRN: 1340137136TC</t>
  </si>
  <si>
    <t xml:space="preserve">Basic Online Payroll Payment 11217335419 to #####5820</t>
  </si>
  <si>
    <t xml:space="preserve">ORIG CO NAME:VENMO                  ORIG ID:3264681992 DESC DATE:260513 CO ENTRY DESCR:PAYMENT   SEC:WEB    TRACE#:021000026721135 EED:260513   IND ID:1050277041223                IND NAME:JUDD DUNNING                                                                                                 260513PPZCLG TRN: 1336721135TC</t>
  </si>
  <si>
    <t xml:space="preserve">DNH*GODADDY#4087372849 480-5058855 AZ        05/13</t>
  </si>
  <si>
    <t xml:space="preserve">Online Transfer to CHK ...1117 transaction#: 29196764714 05/13</t>
  </si>
  <si>
    <t xml:space="preserve">DNH*GODADDY#4085851010 480-5058855 AZ        05/11</t>
  </si>
  <si>
    <t xml:space="preserve">Online Transfer to CHK ...1117 transaction#: 29184329466 05/11</t>
  </si>
  <si>
    <t xml:space="preserve">ORIG CO NAME:VENMO                  ORIG ID:3264681992 DESC DATE:260511 CO ENTRY DESCR:PAYMENT   SEC:WEB    TRACE#:021000024722071 EED:260511   IND ID:1050222397824                IND NAME:JUDD DUNNING                                                                                                 260511PPZP1A TRN: 1314722071TC</t>
  </si>
  <si>
    <t xml:space="preserve">Basic Online Payroll Payment 11217851110 to ########4122</t>
  </si>
  <si>
    <t xml:space="preserve">PAYPAL *RUTHALCANCI 402-935-7733 CA          05/11</t>
  </si>
  <si>
    <t xml:space="preserve">DNH*GODADDY#4085216059 480-5058855 AZ        05/10</t>
  </si>
  <si>
    <t xml:space="preserve">Zelle payment to Jeffrey Seider JPM99cgh0fmq</t>
  </si>
  <si>
    <t xml:space="preserve">DNH*GODADDY#4084627118 480-5058855 AZ        05/09</t>
  </si>
  <si>
    <t xml:space="preserve">Zelle payment to Soumi Biswas JPM99cgce69w</t>
  </si>
  <si>
    <t xml:space="preserve">DNH*GODADDY#4083621839 480-5058855 AZ        05/08</t>
  </si>
  <si>
    <t xml:space="preserve">Online Transfer to CHK ...1117 transaction#: 29146058585 05/08</t>
  </si>
  <si>
    <t xml:space="preserve">DNH*GODADDY#4082675002 480-5058855 AZ        05/07</t>
  </si>
  <si>
    <t xml:space="preserve">Zelle payment to Michael Paytonjian JPM99cg4bnko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</si>
  <si>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PAYMENTS/OCMT/COP26 48172,75/EXCH/3530.8970/CNTR/241594 53/INT/ANDRES_52763ATHOTMAIL.C TRN: 6533600127RE 05/07</t>
  </si>
  <si>
    <t xml:space="preserve">ONLINE DOMESTIC WIRE FEE</t>
  </si>
  <si>
    <t xml:space="preserve">Online Transfer to CHK ...7753 transaction#: 29113353132 05/06</t>
  </si>
  <si>
    <t xml:space="preserve">ONLINE DOMESTIC WIRE TRANSFER A/C: HUGH GEHRKE LOS ANGELES CA 90025 US REF: MDC 15 TRN: 3008136126ES 05/06</t>
  </si>
  <si>
    <t xml:space="preserve">DNH*GODADDY#4081029222 480-5058855 AZ        05/05</t>
  </si>
  <si>
    <t xml:space="preserve">DOMESTIC INCOMING WIRE FEE</t>
  </si>
  <si>
    <t xml:space="preserve">Online RealTime payroll payment  11218161583 Payment Id REFERENCE#: 8218161583RX  to  6812</t>
  </si>
  <si>
    <t xml:space="preserve">ORIG CO NAME:BLUESHIELDCA           ORIG ID:7529219311 DESC DATE:260504 CO ENTRY DESCR:BILL PAY  SEC:CCD    TRACE#:031101110674219 EED:260505   IND ID:15767649691                  IND NAME:JOHN DUNNING TRN: 1250674219TC</t>
  </si>
  <si>
    <t xml:space="preserve">CHIPS CREDIT VIA: BANK OF AMERICA, N.A./0959 B/O: ESCROW ACCOUNT FOR PRIMA TITLE GROU76102 US REF: NBNF=DWG CAPITAL GROUP LOS ANGELES CA 90066-3638 US/AC-000000002836 OR G=/488095158602 76102 US OGB=/48809 5158602 FORT WORTH TX 76102-2602 OB I=/URI/ESCROW NO. FL2026-0008 PARKL AN DSARASOTA SSN: 00574644 TRN: 0143534125FC</t>
  </si>
  <si>
    <t xml:space="preserve">WIRE_INCOMING</t>
  </si>
  <si>
    <t xml:space="preserve">Zelle payment to Johnathan Pach 29088482185</t>
  </si>
  <si>
    <t xml:space="preserve">QUICKPAY_DEBIT</t>
  </si>
  <si>
    <t xml:space="preserve">ORIG CO NAME:SELECT PORTFOLIO       ORIG ID:1870465626 DESC DATE:       CO ENTRY DESCR:SPS       SEC:WEB    TRACE#:021000024001045 EED:260504   IND ID:0037017712                   IND NAME:John Barker Dunning TRN: 1244001045TC</t>
  </si>
  <si>
    <t xml:space="preserve">ORIG CO NAME:SELECT PORTFOLIO       ORIG ID:1870465626 DESC DATE:       CO ENTRY DESCR:SPS       SEC:WEB    TRACE#:021000024001046 EED:260504   IND ID:0037017720                   IND NAME:John Barker Dunning TRN: 1244001046TC</t>
  </si>
  <si>
    <t xml:space="preserve">Basic Online Payroll Payment 11216755408 to ########4122</t>
  </si>
  <si>
    <t xml:space="preserve">PAYPAL *JEFFD1980 402-935-7733 CA            05/04</t>
  </si>
  <si>
    <t xml:space="preserve">PAYPAL *BAFILEGIRL6 402-935-7733 CA          05/04</t>
  </si>
  <si>
    <t xml:space="preserve">PAYPAL *TOMMY 402-935-7733 CA                05/04</t>
  </si>
  <si>
    <t xml:space="preserve">PAYPAL *LIAM.BLUME 402-935-7733 CA           05/04</t>
  </si>
  <si>
    <t xml:space="preserve">PAYPAL *RUTHALCANCI 402-935-7733 CA          05/04</t>
  </si>
  <si>
    <t xml:space="preserve">Zelle payment to Jeffrey Seider JPM99cfp30jl</t>
  </si>
  <si>
    <t xml:space="preserve">Online Transfer to CHK ...6586 transaction#: 29077050617 05/04</t>
  </si>
  <si>
    <t xml:space="preserve">Online Transfer to CHK ...0709 transaction#: 29077008561 05/04</t>
  </si>
  <si>
    <t xml:space="preserve">Online Transfer to CHK ...1117 transaction#: 29077017918 05/04</t>
  </si>
  <si>
    <t xml:space="preserve">PAYPAL *PRAGERUNIVE P 833-772-4378 CA        05/03</t>
  </si>
  <si>
    <t xml:space="preserve">DNH*GODADDY#4078685355 480-5058855 AZ        05/02</t>
  </si>
  <si>
    <t xml:space="preserve">ORIG CO NAME:EMPLOYMENT DEVEL       ORIG ID:2282533055 DESC DATE:050126 CO ENTRY DESCR:EDD EFTPMTSEC:CCD    TRACE#:042000016029479 EED:260504   IND ID:1351068640                   IND NAME:DWG CAPITAL GROUP                                                                                            PAYMENT TRN: 1246029479TC</t>
  </si>
  <si>
    <t xml:space="preserve">DNH*GODADDY#4077842333 480-5058855 AZ        05/01</t>
  </si>
  <si>
    <t xml:space="preserve">STANDARD ACH PMNTS INITIAL FEE QTY = 7</t>
  </si>
  <si>
    <t xml:space="preserve">ORIG CO NAME:VENMO                  ORIG ID:3264681992 DESC DATE:260501 CO ENTRY DESCR:PAYMENT   SEC:WEB    TRACE#:021000029540738 EED:260501   IND ID:1049980492507                IND NAME:JUDD DUNNING                                                                                                 260501PPZO17 TRN: 1219540738TC</t>
  </si>
  <si>
    <t xml:space="preserve">ORIG CO NAME:GEICO                  ORIG ID:3530075853 DESC DATE:260430 CO ENTRY DESCR:PREM COLL SEC:PPD    TRACE#:021000022536535 EED:260501   IND ID:                             IND NAME:ANGELA TRN: 1212536535TC</t>
  </si>
  <si>
    <t xml:space="preserve">ORIG CO NAME:BLUESHIELDCA           ORIG ID:7529219311 DESC DATE:260430 CO ENTRY DESCR:BILL PAY  SEC:CCD    TRACE#:031101116152207 EED:260501   IND ID:15761246761                  IND NAME:ANGELA DUNNING TRN: 1216152207TC</t>
  </si>
  <si>
    <t xml:space="preserve">ORIG CO NAME:GM Financial           ORIG ID:I522190781 DESC DATE:260501 CO ENTRY DESCR:GMF Pymt  SEC:WEB    TRACE#:091000016699401 EED:260501   IND ID:00112079186353               IND NAME:ANGELA DUNNING TRN: 1216699401TC</t>
  </si>
  <si>
    <t xml:space="preserve">Zelle payment to natalie cordova JPM99cf7c3c2</t>
  </si>
  <si>
    <t xml:space="preserve">ORIG CO NAME:GI CAPITAL GROUP       ORIG ID:9200502235 DESC DATE:260501 CO ENTRY DESCR:ACH Pmt   SEC:CCD    TRACE#:021000026610717 EED:260501   IND ID:11217147186                  IND NAME:DWG CAPITAL GROUP          For May-2026 (E4: $4190.21 + E7: 43 66.20 = $8,556.41) TRN: 1216610717TC</t>
  </si>
  <si>
    <t xml:space="preserve">Basic Online Payroll Payment 11215663814 to #####5820</t>
  </si>
  <si>
    <t xml:space="preserve">ORIG CO NAME:SBA EIDL LOAN          ORIG ID:7300000118 DESC DATE:260429 CO ENTRY DESCR:PAYMENT   SEC:CCD    TRACE#:041036048645279 EED:260430   IND ID:0000                         IND NAME:JOHN DUNNING               1871308204                                                                        ACH TRANSACTION TRN: 1208645279TC</t>
  </si>
  <si>
    <t xml:space="preserve">ORIG CO NAME:GEICO            CO ENTRY DESCR:PREM COLL  SEC:PPD                        ORIG ID:3530075853</t>
  </si>
  <si>
    <t xml:space="preserve">DNH*GODADDY#4075135447 480-5058855 AZ        04/28</t>
  </si>
  <si>
    <t xml:space="preserve">ORIG CO NAME:BANNER LIFE            ORIG ID:1521236145 DESC DATE:260427 CO ENTRY DESCR:PREM DEBITSEC:PPD    TRACE#:091000011992129 EED:260428   IND ID:                             IND NAME:ANGELA L DUNNING TRN: 1181992129TC</t>
  </si>
  <si>
    <t xml:space="preserve">ORIG CO NAME:BANNER LIFE            ORIG ID:1521236145 DESC DATE:260427 CO ENTRY DESCR:PREM DEBITSEC:PPD    TRACE#:091000011992130 EED:260428   IND ID:                             IND NAME:JOHN  DUNNING TRN: 1181992130TC</t>
  </si>
  <si>
    <t xml:space="preserve">Online Transfer to CHK ...1117 transaction#: 28993634559 04/28</t>
  </si>
  <si>
    <t xml:space="preserve">PAYPAL *RUTHALCANCI 402-935-7733 CA          04/28</t>
  </si>
  <si>
    <t xml:space="preserve">Online Transfer to CHK ...0709 transaction#: 28990875134 04/27</t>
  </si>
  <si>
    <t xml:space="preserve">ORIG CO NAME:INTUIT *               ORIG ID:0000756346 DESC DATE:260427 CO ENTRY DESCR:QBooks OnlSEC:CCD    TRACE#:021000025208866 EED:260427   IND ID:0207602                      IND NAME:DWG CAPITAL GROUP                                                                                            800-446-8848 TRN: 1175208866TC</t>
  </si>
  <si>
    <t xml:space="preserve">DNH*GODADDY#4074140861 480-5058855 AZ        04/27</t>
  </si>
  <si>
    <t xml:space="preserve">Basic Online Payroll Payment 11215871738 to ########4122</t>
  </si>
  <si>
    <t xml:space="preserve">ORIG CO NAME:VENMO                  ORIG ID:3264681992 DESC DATE:260425 CO ENTRY DESCR:PAYMENT   SEC:WEB    TRACE#:021000028608910 EED:260427   IND ID:1049840986680                IND NAME:JUDD DUNNING                                                                                                 260425PPZF9K TRN: 1178608910TC</t>
  </si>
  <si>
    <t xml:space="preserve">Disney Plus 888-9057888 CA                   04/26</t>
  </si>
  <si>
    <t xml:space="preserve">DNH*GODADDY#4072993950 480-5058855 AZ        04/25</t>
  </si>
  <si>
    <t xml:space="preserve">DNH*GODADDY.COM TEMPE AZ             064092  04/25</t>
  </si>
  <si>
    <t xml:space="preserve">LA VEGAN PLACE LOS ANGELES CA                04/23</t>
  </si>
  <si>
    <t xml:space="preserve">ORIG CO NAME:VENMO                  ORIG ID:3264681992 DESC DATE:260424 CO ENTRY DESCR:PAYMENT   SEC:WEB    TRACE#:021000024822730 EED:260424   IND ID:1049834086881                IND NAME:JUDD DUNNING                                                                                                 260424PPZE9V TRN: 1144822730TC</t>
  </si>
  <si>
    <t xml:space="preserve">SQ *THE WILTERN</t>
  </si>
  <si>
    <t xml:space="preserve">SQ *THE WILTERN (BAR-0 Los Angeles CA        04/23</t>
  </si>
  <si>
    <t xml:space="preserve">Experian* ProtectMyID 866-5849446 CA         04/23</t>
  </si>
  <si>
    <t xml:space="preserve">DNH*GODADDY#4071285630 480-5058855 AZ        04/23</t>
  </si>
  <si>
    <t xml:space="preserve">DNH*GODADDY#4071284900 480-5058855 AZ        04/23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</si>
  <si>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PAYMENTS/OCMT/COP25 46788,35/EXCH/3395.7178/CNTR/305787 05/INT/ANDRES_52763ATHOTMAIL.C TRN: 4827000113RE 04/23</t>
  </si>
  <si>
    <t xml:space="preserve">Online Transfer to CHK ...1117 transaction#: 28931879433 04/23</t>
  </si>
  <si>
    <t xml:space="preserve">TST*BLUEYS KITCHEN MAR Los Angeles CA        04/22</t>
  </si>
  <si>
    <t xml:space="preserve">SQ *ALANA'S COFFEE ROA Los Angeles CA        04/22</t>
  </si>
  <si>
    <t xml:space="preserve">DNH*GODADDY#4070583774 480-5058855 AZ        04/22</t>
  </si>
  <si>
    <t xml:space="preserve">Online Transfer from CHK ...9335 transaction#: 28931902991</t>
  </si>
  <si>
    <t xml:space="preserve">NON-CHASE ATM FEE-WITH</t>
  </si>
  <si>
    <t xml:space="preserve">NON-CHASE ATM WITHDRAW               342118  04/2212403 VEN</t>
  </si>
  <si>
    <t xml:space="preserve">ATM</t>
  </si>
  <si>
    <t xml:space="preserve">INDIA'S OVEN LOS ANGELES CA                  04/21</t>
  </si>
  <si>
    <t xml:space="preserve">COMPLETE EYE CARE CENT LOS ANGELES CA        04/21</t>
  </si>
  <si>
    <t xml:space="preserve">STARBUCKS STORE 22640 LOS ANGELES CA         04/21</t>
  </si>
  <si>
    <t xml:space="preserve">ORIG CO NAME:VENMO                  ORIG ID:3264681992 DESC DATE:260421 CO ENTRY DESCR:PAYMENT   SEC:WEB    TRACE#:021000024216381 EED:260421   IND ID:1049766456242                IND NAME:JUDD DUNNING                                                                                                 260421PPZG9S TRN: 1114216381TC</t>
  </si>
  <si>
    <t xml:space="preserve">ORIG CO NAME:VENMO                  ORIG ID:3264681992 DESC DATE:260421 CO ENTRY DESCR:PAYMENT   SEC:WEB    TRACE#:021000024216202 EED:260421   IND ID:1049766445607                IND NAME:JUDD DUNNING                                                                                                 260421PPZG9S TRN: 1114216202TC</t>
  </si>
  <si>
    <t xml:space="preserve">Online Transfer to CHK ...1117 transaction#: 28914431344 04/21</t>
  </si>
  <si>
    <t xml:space="preserve">DNH*GODADDY.COM TEMPE AZ             013304  04/21</t>
  </si>
  <si>
    <t xml:space="preserve">ORIG CO NAME:PRINCIPAL-CCAPNL       ORIG ID:9INDPNLEFT DESC DATE:041926 CO ENTRY DESCR:PRIN FINANSEC:PPD    TRACE#:091000010561989 EED:260421   IND ID:                             IND NAME:JOHN B DUNNING TRN: 1110561989TC</t>
  </si>
  <si>
    <t xml:space="preserve">DNH*GODADDY#4069060035 480-5058855 AZ        04/20</t>
  </si>
  <si>
    <t xml:space="preserve">DNH*GODADDY#4069053724 480-5058855 AZ        04/20</t>
  </si>
  <si>
    <t xml:space="preserve">ORIG CO NAME:TXU ENERGY             ORIG ID:1001020329 DESC DATE:       CO ENTRY DESCR:TXUE_ACH  SEC:WEB    TRACE#:021000028995862 EED:260420   IND ID:900062431557                 IND NAME:DWG CAPITAL GROUP          17333702810000000000000000000003515 1942327                                       DIRECT DEBITING TRN: 1108995862TC</t>
  </si>
  <si>
    <t xml:space="preserve">Basic Online Payroll Payment 11214915752 to ########4122</t>
  </si>
  <si>
    <t xml:space="preserve">ORIG CO NAME:VENMO                  ORIG ID:3264681992 DESC DATE:260418 CO ENTRY DESCR:PAYMENT   SEC:WEB    TRACE#:021000021099799 EED:260420   IND ID:1049701647951                IND NAME:JUDD DUNNING                                                                                                 260418PPZYDI TRN: 1101099799TC</t>
  </si>
  <si>
    <t xml:space="preserve">ORIG CO NAME:VENMO                  ORIG ID:3264681992 DESC DATE:260418 CO ENTRY DESCR:PAYMENT   SEC:WEB    TRACE#:021000021098283 EED:260420   IND ID:1049701357055                IND NAME:JUDD DUNNING                                                                                                 260418PPZYDI TRN: 1101098283TC</t>
  </si>
  <si>
    <t xml:space="preserve">DNH*GODADDY#4067994296 480-5058855 AZ        04/19</t>
  </si>
  <si>
    <t xml:space="preserve">Zelle payment to natalie cordova JPM99cdozkx8</t>
  </si>
  <si>
    <t xml:space="preserve">DNH*GODADDY#4067674317 480-5058855 AZ        04/18</t>
  </si>
  <si>
    <t xml:space="preserve">DNH*GODADDY#4067672486 480-5058855 AZ        04/18</t>
  </si>
  <si>
    <t xml:space="preserve">DNH*GODADDY#4067670355 480-5058855 AZ        04/18</t>
  </si>
  <si>
    <t xml:space="preserve">Zelle payment to Jeffrey Seider JPM99cdo09z8</t>
  </si>
  <si>
    <t xml:space="preserve">Online Transfer to CHK ...1117 transaction#: 28880170101 04/20</t>
  </si>
  <si>
    <t xml:space="preserve">DNH*GODADDY#4066737894 480-5058855 AZ        04/17</t>
  </si>
  <si>
    <t xml:space="preserve">PAYPAL *PANASONICAV 402-935-7733 CA          04/18</t>
  </si>
  <si>
    <t xml:space="preserve">PAYPAL *RUTHALCANCI 402-935-7733 CA          04/17</t>
  </si>
  <si>
    <t xml:space="preserve">PAYPAL *SENTHA 402-935-7733 CA               04/16</t>
  </si>
  <si>
    <t xml:space="preserve">Basic Online Payroll Payment 11215663811 to #####5820</t>
  </si>
  <si>
    <t xml:space="preserve">DNH*GODADDY#4065751808 480-5058855 AZ        04/16</t>
  </si>
  <si>
    <t xml:space="preserve">ORIG CO NAME:LEASEDIRECT            ORIG ID:138190450  DESC DATE:260415 CO ENTRY DESCR:18469_1   SEC:CCD    TRACE#:043000095155918 EED:260416   IND ID:1556926                      IND NAME:DWG CAPITAL GROUP          INV# 596331148 DUE 04/15/26 REC# 10 10939079                                      18470 TRN: 1065155918TC</t>
  </si>
  <si>
    <t xml:space="preserve">DNH*GODADDY#4063458126 480-5058855 AZ        04/13</t>
  </si>
  <si>
    <t xml:space="preserve">Basic Online Payroll Payment 11214001823 to ########4122</t>
  </si>
  <si>
    <t xml:space="preserve">DNH*GODADDY.COM TEMPE AZ             056825  04/12</t>
  </si>
  <si>
    <t xml:space="preserve">DNH*GODADDY#4061811332 480-5058855 AZ        04/11</t>
  </si>
  <si>
    <t xml:space="preserve">ORIG CO NAME:BANNER LIFE            ORIG ID:1521236145 DESC DATE:260410 CO ENTRY DESCR:PREM DEBITSEC:PPD    TRACE#:091000015227953 EED:260413   IND ID:                             IND NAME:ANGELA L DUNNING TRN: 1035227953TC</t>
  </si>
  <si>
    <t xml:space="preserve">PAYPAL *RUTHALCANCI 402-935-7733 CA          04/11</t>
  </si>
  <si>
    <t xml:space="preserve">HLU*HULUPLUS hulu.com/bill CA                04/11</t>
  </si>
  <si>
    <t xml:space="preserve">DNH*GODADDY#4061168252 480-5058855 AZ        04/10</t>
  </si>
  <si>
    <t xml:space="preserve">DNH*GODADDY#4060216639 480-5058855 AZ        04/09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</si>
  <si>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PAYMENTS/OCMT/COP26 07309,08/EXCH/3476.4121/CNTR/174315 87/INT/ANDRES_52763ATHOTMAIL.C TRN: 7830500099RE 04/09</t>
  </si>
  <si>
    <t xml:space="preserve">DNH*GODADDY#4059324261 480-5058855 AZ        04/08</t>
  </si>
  <si>
    <t xml:space="preserve">Online Transfer to CHK ...2508 transaction#: 28750417957 04/08</t>
  </si>
  <si>
    <t xml:space="preserve">Online Transfer to CHK ...1117 transaction#: 28750406621 04/08</t>
  </si>
  <si>
    <t xml:space="preserve">Zelle payment to Jeffrey Seider JPM99ccd8orf</t>
  </si>
  <si>
    <t xml:space="preserve">ORIG CO NAME:FRANCHISE TAX BO       ORIG ID:1282532045 DESC DATE:260408 CO ENTRY DESCR:PAYMENTS  SEC:CCD    TRACE#:042000016488412 EED:260408   IND ID:127529069    PM              IND NAME:DWG CAPI TRN: 0986488412TC</t>
  </si>
  <si>
    <t xml:space="preserve">DNH*GODADDY#4058599825 480-5058855 AZ        04/07</t>
  </si>
  <si>
    <t xml:space="preserve">Online Transfer from CHK ...9335 transaction#: 28750412871</t>
  </si>
  <si>
    <t xml:space="preserve">Zelle payment to Chase Hall 28730054069</t>
  </si>
  <si>
    <t xml:space="preserve">Basic Online Payroll Payment 11212936277 to ########4122</t>
  </si>
  <si>
    <t xml:space="preserve">PAYPAL *STEVEMCBETH19 402-935-7733 CA        04/06</t>
  </si>
  <si>
    <t xml:space="preserve">DNH*GODADDY#4057078506 480-5058855 AZ        04/05</t>
  </si>
  <si>
    <t xml:space="preserve">PAYPAL *RUTHALCANCI 402-935-7733 CA          04/05</t>
  </si>
  <si>
    <t xml:space="preserve">Zelle payment to Chase Hall 28688644260</t>
  </si>
  <si>
    <t xml:space="preserve">PAYPAL *PRAGERUNIVE P 833-772-4378 CA        04/03</t>
  </si>
  <si>
    <t xml:space="preserve">ORIG CO NAME:GI CAPITAL GROUP       ORIG ID:9200502235 DESC DATE:260403 CO ENTRY DESCR:ACH Pmt   SEC:CCD    TRACE#:021000027199418 EED:260403   IND ID:11212558773                  IND NAME:DWG CAPITAL GROUP          E4: $4,190.21 + E7: 4,366.20 = $8,5 56.41- APRIL 2026. TRN: 0937199418TC</t>
  </si>
  <si>
    <t xml:space="preserve">DNH*GODADDY#4054362197 480-5058855 AZ        04/02</t>
  </si>
  <si>
    <t xml:space="preserve">DNH*GODADDY#4053652623 480-5058855 AZ        04/01</t>
  </si>
  <si>
    <t xml:space="preserve">STANDARD ACH PMNTS INITIAL FEE QTY = 8</t>
  </si>
  <si>
    <t xml:space="preserve">ORIG CO NAME:SELECT PORTFOLIO       ORIG ID:1870465626 DESC DATE:       CO ENTRY DESCR:SPS       SEC:WEB    TRACE#:021000026827892 EED:260401   IND ID:0037017712                   IND NAME:John Barker Dunning TRN: 0916827892TC</t>
  </si>
  <si>
    <t xml:space="preserve">ORIG CO NAME:SELECT PORTFOLIO       ORIG ID:1870465626 DESC DATE:       CO ENTRY DESCR:SPS       SEC:WEB    TRACE#:021000026827893 EED:260401   IND ID:0037017720                   IND NAME:John Barker Dunning TRN: 0916827893TC</t>
  </si>
  <si>
    <t xml:space="preserve">ORIG CO NAME:BLUESHIELDCA           ORIG ID:7529219311 DESC DATE:260331 CO ENTRY DESCR:BILL PAY  SEC:CCD    TRACE#:031101111214604 EED:260401   IND ID:15753249311                  IND NAME:ANGELA DUNNING TRN: 0911214604TC</t>
  </si>
  <si>
    <t xml:space="preserve">BLUE SHIELD CALIFORNI 800-393-6130 CA        03/31</t>
  </si>
  <si>
    <t xml:space="preserve">ORIG CO NAME:GEICO                  ORIG ID:3530075853 DESC DATE:260330 CO ENTRY DESCR:PREM COLL SEC:PPD    TRACE#:021000020092805 EED:260331   IND ID:                             IND NAME:ANGELA TRN: 0900092805TC</t>
  </si>
  <si>
    <t xml:space="preserve">Basic Online Payroll Payment 11212049326 to ########4122</t>
  </si>
  <si>
    <t xml:space="preserve">ORIG CO NAME:VENMO                  ORIG ID:3264681992 DESC DATE:260328 CO ENTRY DESCR:PAYMENT   SEC:WEB    TRACE#:021000024514291 EED:260330   IND ID:1049220124349                IND NAME:JUDD DUNNING                                                                                                 260328PPZJ2X TRN: 0894514291TC</t>
  </si>
  <si>
    <t xml:space="preserve">ORIG CO NAME:GEICO                  ORIG ID:3530075853 DESC DATE:260328 CO ENTRY DESCR:PREM COLL SEC:PPD    TRACE#:021000024735358 EED:260330   IND ID:                             IND NAME:ANGELA DUNNING TRN: 0894735358TC</t>
  </si>
  <si>
    <t xml:space="preserve">PAYPAL *PANASONICAV 402-935-7733 CA          03/29</t>
  </si>
  <si>
    <t xml:space="preserve">DNH*GODADDY#4050682815 480-5058855 AZ        03/28</t>
  </si>
  <si>
    <t xml:space="preserve">ORIG CO NAME:BANNER LIFE            ORIG ID:1521236145 DESC DATE:260327 CO ENTRY DESCR:PREM DEBITSEC:PPD    TRACE#:091000011563621 EED:260330   IND ID:                             IND NAME:ANGELA L DUNNING TRN: 0891563621TC</t>
  </si>
  <si>
    <t xml:space="preserve">ORIG CO NAME:BANNER LIFE            ORIG ID:1521236145 DESC DATE:260327 CO ENTRY DESCR:PREM DEBITSEC:PPD    TRACE#:091000011563622 EED:260330   IND ID:                             IND NAME:JOHN  DUNNING TRN: 0891563622TC</t>
  </si>
  <si>
    <t xml:space="preserve">ORIG CO NAME:SBA EIDL LOAN          ORIG ID:7300000118 DESC DATE:260327 CO ENTRY DESCR:PAYMENT   SEC:CCD    TRACE#:041036048326153 EED:260330   IND ID:0000                         IND NAME:JOHN DUNNING               1871308204                                                                        ACH TRANSACTION TRN: 0898326153TC</t>
  </si>
  <si>
    <t xml:space="preserve">Online Transfer to CHK ...6975 transaction#: 28600206024 03/30</t>
  </si>
  <si>
    <t xml:space="preserve">Online Transfer to CHK ...1117 transaction#: 28600194009 03/30</t>
  </si>
  <si>
    <t xml:space="preserve">PAYPAL *RUTHALCANCI 402-935-7733 CA          03/28</t>
  </si>
  <si>
    <t xml:space="preserve">PAYPAL *ELICITDESIG 805-506-5150 CA          03/28</t>
  </si>
  <si>
    <t xml:space="preserve">DNH*GODADDY#4049898342 480-5058855 AZ        03/27</t>
  </si>
  <si>
    <t xml:space="preserve">Online Transfer from CHK ...9335 transaction#: 28600213789</t>
  </si>
  <si>
    <t xml:space="preserve">Online Transfer from CHK ...9335 transaction#: 28600211780</t>
  </si>
  <si>
    <t xml:space="preserve">Online Transfer from CHK ...9335 transaction#: 28600210630</t>
  </si>
  <si>
    <t xml:space="preserve">ORIG CO NAME:VENMO                  ORIG ID:3264681992 DESC DATE:260327 CO ENTRY DESCR:PAYMENT   SEC:WEB    TRACE#:021000027867372 EED:260327   IND ID:1049215207126                IND NAME:JUDD DUNNING                                                                                                 260327PPZHO8 TRN: 0867867372TC</t>
  </si>
  <si>
    <t xml:space="preserve">ORIG CO NAME:VENMO                  ORIG ID:3264681992 DESC DATE:260327 CO ENTRY DESCR:PAYMENT   SEC:WEB    TRACE#:021000029380667 EED:260327   IND ID:1049210990620                IND NAME:JUDD DUNNING                                                                                                 260327PPZH85 TRN: 0869380667TC</t>
  </si>
  <si>
    <t xml:space="preserve">Zelle payment to Michael Paytonjian JPM99cas1ylz</t>
  </si>
  <si>
    <t xml:space="preserve">ORIG CO NAME:INTUIT *               ORIG ID:0000756346 DESC DATE:260327 CO ENTRY DESCR:QBooks OnlSEC:CCD    TRACE#:021000024598051 EED:260327   IND ID:9758835                      IND NAME:DWG CAPITAL GROUP                                                                                            800-446-8848 TRN: 0864598051TC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</si>
  <si>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PAYMENTS/OCMT/COP26 28093,75/EXCH/3504.1250/CNTR/191432 56/INT/ANDRES_52763ATHOTMAIL.C TRN: 8226300085RE 03/26</t>
  </si>
  <si>
    <t xml:space="preserve">Disney Plus 888-9057888 CA                   03/26</t>
  </si>
  <si>
    <t xml:space="preserve">DNH*GODADDY#4047870979 480-5058855 AZ        03/25</t>
  </si>
  <si>
    <t xml:space="preserve">Online Transfer to CHK ...1117 transaction#: 28554783025 03/24</t>
  </si>
  <si>
    <t xml:space="preserve">Online Transfer to CHK ...1927 transaction#: 28554759024 03/24</t>
  </si>
  <si>
    <t xml:space="preserve">DNH*GODADDY#4046489149 480-5058855 AZ        03/23</t>
  </si>
  <si>
    <t xml:space="preserve">Basic Online Payroll Payment 11211190487 to ########4122</t>
  </si>
  <si>
    <t xml:space="preserve">ORIG CO NAME:VENMO                  ORIG ID:3264681992 DESC DATE:260322 CO ENTRY DESCR:PAYMENT   SEC:WEB    TRACE#:021000023913415 EED:260323   IND ID:1049088028690                IND NAME:JUDD DUNNING                                                                                                 260322PPZ3H9 TRN: 0823913415TC</t>
  </si>
  <si>
    <t xml:space="preserve">ORIG CO NAME:VENMO                  ORIG ID:3264681992 DESC DATE:260322 CO ENTRY DESCR:PAYMENT   SEC:WEB    TRACE#:021000023903097 EED:260323   IND ID:1049088721561                IND NAME:JUDD DUNNING                                                                                                 260322PPZ3H9 TRN: 0823903097TC</t>
  </si>
  <si>
    <t xml:space="preserve">ORIG CO NAME:VENMO                  ORIG ID:3264681992 DESC DATE:260322 CO ENTRY DESCR:PAYMENT   SEC:WEB    TRACE#:021000023999806 EED:260323   IND ID:1049105564811                IND NAME:JUDD DUNNING                                                                                                 260322PPZ3J3 TRN: 0823999806TC</t>
  </si>
  <si>
    <t xml:space="preserve">Online Transfer to CHK ...1117 transaction#: 28532226913 03/23</t>
  </si>
  <si>
    <t xml:space="preserve">Online Payment 28532215798 To PENTAGON FEDERAL CREDIT UNION 03/23</t>
  </si>
  <si>
    <t xml:space="preserve">Online Payment 28532213061 To MERCEDES BENZ FINANCIAL 03/23</t>
  </si>
  <si>
    <t xml:space="preserve">Online Payment 28532201379 To MERCEDES BENZ FINANCIAL SVCS 03/23</t>
  </si>
  <si>
    <t xml:space="preserve">Online Payment 28532189469 To MERCEDES BENZ FINANCIAL 03/23</t>
  </si>
  <si>
    <t xml:space="preserve">Online Payment 28532149218 To LOS ANGELES MUNICIPAL SERVICE 03/23</t>
  </si>
  <si>
    <t xml:space="preserve">PAYPAL *RUTHALCANCI 402-935-7733 CA          03/22</t>
  </si>
  <si>
    <t xml:space="preserve">Experian* ProtectMyID 866-5849446 CA         03/22</t>
  </si>
  <si>
    <t xml:space="preserve">Zelle payment to Jeffrey Seider JPM99ca1oakq</t>
  </si>
  <si>
    <t xml:space="preserve">Online Transfer to CHK ...1117 transaction#: 28521606774 03/23</t>
  </si>
  <si>
    <t xml:space="preserve">Online Transfer to CHK ...0709 transaction#: 28521616236 03/23</t>
  </si>
  <si>
    <t xml:space="preserve">ORIG CO NAME:PRINCIPAL-CCAPNL       ORIG ID:9INDPNLEFT DESC DATE:031926 CO ENTRY DESCR:PRIN FINANSEC:PPD    TRACE#:091000010270425 EED:260323   IND ID:                             IND NAME:JOHN B DUNNING TRN: 0820270425TC</t>
  </si>
  <si>
    <t xml:space="preserve">Online Transfer from CHK ...9335 transaction#: 28532232790</t>
  </si>
  <si>
    <t xml:space="preserve">Zelle payment to Chase Hall 28513194423</t>
  </si>
  <si>
    <t xml:space="preserve">DNH*GODADDY#4043416344 480-5058855 AZ        03/20</t>
  </si>
  <si>
    <t xml:space="preserve">ORIG CO NAME:VENMO                  ORIG ID:3264681992 DESC DATE:260319 CO ENTRY DESCR:PAYMENT   SEC:WEB    TRACE#:021000021356699 EED:260319   IND ID:1049029688429                IND NAME:JUDD DUNNING                                                                                                 260319PPZNDI TRN: 0781356699TC</t>
  </si>
  <si>
    <t xml:space="preserve">DNH*GODADDY#4041786086 480-5058855 AZ        03/18</t>
  </si>
  <si>
    <t xml:space="preserve">DNH*GODADDY#4041785798 480-5058855 AZ        03/18</t>
  </si>
  <si>
    <t xml:space="preserve">DNH*GODADDY#4041785872 480-5058855 AZ        03/18</t>
  </si>
  <si>
    <t xml:space="preserve">Zelle payment to natalie cordova JPM99c9jibbu</t>
  </si>
  <si>
    <t xml:space="preserve">Online Transfer to CHK ...1117 transaction#: 28471503036 03/17</t>
  </si>
  <si>
    <t xml:space="preserve">Zelle payment to Jeffrey Seider JPM99c9jhy0y</t>
  </si>
  <si>
    <t xml:space="preserve">Zelle payment to Michael Paytonjian JPM99c9i6x9z</t>
  </si>
  <si>
    <t xml:space="preserve">ORIG CO NAME:LEASEDIRECT            ORIG ID:138190450  DESC DATE:260315 CO ENTRY DESCR:17769_1   SEC:CCD    TRACE#:043000094158622 EED:260317   IND ID:1556926                      IND NAME:DWG CAPITAL GROUP          INV# 595930634 DUE 03/15/26 REC# 10 10801496                                      17770 TRN: 0764158622TC</t>
  </si>
  <si>
    <t xml:space="preserve">Basic Online Payroll Payment 11210255892 to ########4122</t>
  </si>
  <si>
    <t xml:space="preserve">ORIG CO NAME:VENMO                  ORIG ID:3264681992 DESC DATE:260314 CO ENTRY DESCR:PAYMENT   SEC:WEB    TRACE#:021000024277892 EED:260316   IND ID:1048922486831                IND NAME:JUDD DUNNING                                                                                                 260314PPZLCB TRN: 0754277892TC</t>
  </si>
  <si>
    <t xml:space="preserve">Online Transfer to CHK ...1117 transaction#: 28441762407 03/16</t>
  </si>
  <si>
    <t xml:space="preserve">SQ *CB ENTERTAINMENT AN gosq.com AZ          03/13</t>
  </si>
  <si>
    <t xml:space="preserve">PAYPAL *RUTHALCANCI 402-935-7733 CA          03/13</t>
  </si>
  <si>
    <t xml:space="preserve">Zelle payment to Michael Paytonjian JPM99c90uzp9</t>
  </si>
  <si>
    <t xml:space="preserve">ORIG CO NAME:VENMO                  ORIG ID:3264681992 DESC DATE:260312 CO ENTRY DESCR:PAYMENT   SEC:WEB    TRACE#:021000022732380 EED:260312   IND ID:1048871907632                IND NAME:JUDD DUNNING                                                                                                 260312PPZ6BI TRN: 0712732380TC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</si>
  <si>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PAYMENTS/OCMT/COP26 48914,80/EXCH/3531.8864/CNTR/343952 76/INT/ANDRES_52763ATHOTMAIL.C TRN: 4324500071RE 03/12</t>
  </si>
  <si>
    <t xml:space="preserve">ORIG CO NAME:VENMO                  ORIG ID:3264681992 DESC DATE:260311 CO ENTRY DESCR:PAYMENT   SEC:WEB    TRACE#:021000029330511 EED:260311   IND ID:1048863637177                IND NAME:JUDD DUNNING                                                                                                 260311PPZZ0K TRN: 0709330511TC</t>
  </si>
  <si>
    <t xml:space="preserve">HLU*HULUPLUS hulu.com/bill CA                03/11</t>
  </si>
  <si>
    <t xml:space="preserve">DSLIP</t>
  </si>
  <si>
    <t xml:space="preserve">DEPOSIT  ID NUMBER 745929</t>
  </si>
  <si>
    <t xml:space="preserve">DEPOSIT</t>
  </si>
  <si>
    <t xml:space="preserve">Zelle payment to Estella Martinez</t>
  </si>
  <si>
    <t xml:space="preserve">Basic Online Payroll Payment 11209253820 to ########4122</t>
  </si>
  <si>
    <t xml:space="preserve">Online Transfer to CHK ...1117 transaction#: 28362200172 03/09</t>
  </si>
  <si>
    <t xml:space="preserve">ORIG CO NAME:VENMO                  ORIG ID:3264681992 DESC DATE:260306 CO ENTRY DESCR:PAYMENT   SEC:WEB    TRACE#:021000026775183 EED:260306   IND ID:1048733723456                IND NAME:JUDD DUNNING                                                                                                 260306PPZTGS TRN: 0656775183TC</t>
  </si>
  <si>
    <t xml:space="preserve">PAYPAL *ELICITDESIG 805-506-5150 CA          03/06</t>
  </si>
  <si>
    <t xml:space="preserve">PAYPAL *RUTHALCANCI 402-935-7733 CA          03/06</t>
  </si>
  <si>
    <t xml:space="preserve">ORIG CO NAME:TXWORKFORCECOMM        ORIG ID:2146000320 DESC DATE:260303 CO ENTRY DESCR:DEBIT     SEC:CCD    TRACE#:021000029287563 EED:260304   IND ID:(512)463-2325                IND NAME:TWC-203092024                                                                                                TWC UI TAX TRN: 0639287563TC</t>
  </si>
  <si>
    <t xml:space="preserve">PAYPAL *PRAGERUNIVE P 833-772-4378 CA        03/03</t>
  </si>
  <si>
    <t xml:space="preserve">ORIG CO NAME:GI CAPITAL GROUP       ORIG ID:9200502235 DESC DATE:260304 CO ENTRY DESCR:ACH Pmt   SEC:CCD    TRACE#:021000020626212 EED:260304   IND ID:11209545562                  IND NAME:DWG CAPITAL GROUP          DWG CAPITAL GROUP (E4: $4190.21 + E 7: 4366.20 = $8,556.41) - FOR MARCH H 2026. TRN: 0630626212TC</t>
  </si>
  <si>
    <t xml:space="preserve">ORIG CO NAME:SELECT PORTFOLIO       ORIG ID:1870465626 DESC DATE:       CO ENTRY DESCR:SPS       SEC:WEB    TRACE#:021000028945925 EED:260303   IND ID:0037017712                   IND NAME:John Barker Dunning TRN: 0628945925TC</t>
  </si>
  <si>
    <t xml:space="preserve">ORIG CO NAME:SELECT PORTFOLIO       ORIG ID:1870465626 DESC DATE:       CO ENTRY DESCR:SPS       SEC:WEB    TRACE#:021000028945926 EED:260303   IND ID:0037017720                   IND NAME:John Barker Dunning TRN: 0628945926TC</t>
  </si>
  <si>
    <t xml:space="preserve">Zelle payment to Jeffrey Seider JPM99c7sxkk1</t>
  </si>
  <si>
    <t xml:space="preserve">Online Payment 28293374043 To PENTAGON FEDERAL CREDIT UNION 03/03</t>
  </si>
  <si>
    <t xml:space="preserve">Online Payment 28293370826 To MERCEDES BENZ FINANCIAL 03/03</t>
  </si>
  <si>
    <t xml:space="preserve">Online Payment 28293338182 To MERCEDES BENZ FINANCIAL SVCS 03/03</t>
  </si>
  <si>
    <t xml:space="preserve">Online Payment 28293336104 To MERCEDES BENZ FINANCIAL 03/03</t>
  </si>
  <si>
    <t xml:space="preserve">Online Transfer to CHK ...1117 transaction#: 28293237253 03/03</t>
  </si>
  <si>
    <t xml:space="preserve">DNH*GODADDY#4029020482 480-5058855 AZ        03/02</t>
  </si>
  <si>
    <t xml:space="preserve">Online Transfer from CHK ...9335 transaction#: 28293264811</t>
  </si>
  <si>
    <t xml:space="preserve">STANDARD ACH PMNTS INITIAL FEE QTY = 6</t>
  </si>
  <si>
    <t xml:space="preserve">Online Transfer to CHK ...1117 transaction#: 28278843987 03/02</t>
  </si>
  <si>
    <t xml:space="preserve">ORIG CO NAME:VENMO                  ORIG ID:3264681992 DESC DATE:260302 CO ENTRY DESCR:PAYMENT   SEC:WEB    TRACE#:021000027371021 EED:260302   IND ID:1048641843710                IND NAME:JUDD DUNNING                                                                                                 260302PPZO3D TRN: 0617371021TC</t>
  </si>
  <si>
    <t xml:space="preserve">Basic Online Payroll Payment 11208245234 to ########4122</t>
  </si>
  <si>
    <t xml:space="preserve">INDEED USI26-01648168 AUSTIN TX      132437  03/02</t>
  </si>
  <si>
    <t xml:space="preserve">ORIG CO NAME:VENMO                  ORIG ID:3264681992 DESC DATE:260228 CO ENTRY DESCR:PAYMENT   SEC:WEB    TRACE#:021000027992792 EED:260302   IND ID:1048599690814                IND NAME:JUDD DUNNING                                                                                                 260228PPZLCJ TRN: 0617992792TC</t>
  </si>
  <si>
    <t xml:space="preserve">ORIG CO NAME:GEICO                  ORIG ID:3530075853 DESC DATE:260228 CO ENTRY DESCR:PREM COLL SEC:PPD    TRACE#:021000028461185 EED:260302   IND ID:                             IND NAME:ANGELA TRN: 0618461185TC</t>
  </si>
  <si>
    <t xml:space="preserve">ORIG CO NAME:BLUESHIELDCA           ORIG ID:7529219311 DESC DATE:260228 CO ENTRY DESCR:BILL PAY  SEC:CCD    TRACE#:031101117609030 EED:260302   IND ID:15745020721                  IND NAME:ANGELA DUNNING TRN: 0617609030TC</t>
  </si>
  <si>
    <t xml:space="preserve">ORIG CO NAME:VENMO                  ORIG ID:3264681992 DESC DATE:260301 CO ENTRY DESCR:PAYMENT   SEC:WEB    TRACE#:021000029498444 EED:260302   IND ID:1048627644877                IND NAME:JUDD DUNNING                                                                                                 260301PPZN46 TRN: 0619498444TC</t>
  </si>
  <si>
    <t xml:space="preserve">ORIG CO NAME:GEICO                  ORIG ID:3530075853 DESC DATE:260228 CO ENTRY DESCR:PREM COLL SEC:PPD    TRACE#:021000028454855 EED:260302   IND ID:                             IND NAME:ANGELA DUNNING TRN: 0618454855TC</t>
  </si>
  <si>
    <t xml:space="preserve">ORIG CO NAME:SBA EIDL LOAN          ORIG ID:7300000118 DESC DATE:260227 CO ENTRY DESCR:PAYMENT   SEC:CCD    TRACE#:041036046873063 EED:260302   IND ID:0000                         IND NAME:JOHN DUNNING               1871308204                                                                        ACH TRANSACTION TRN: 0616873063TC</t>
  </si>
  <si>
    <t xml:space="preserve">DNH*GODADDY#4027384917 480-5058855 AZ        02/28</t>
  </si>
  <si>
    <t xml:space="preserve">BLUE SHIELD CALIFORNI 800-393-6130 CA        02/28</t>
  </si>
  <si>
    <t xml:space="preserve">ORIG CO NAME:BANNER LIFE            ORIG ID:1521236145 DESC DATE:260227 CO ENTRY DESCR:PREM DEBITSEC:PPD    TRACE#:091000015779174 EED:260302   IND ID:                             IND NAME:ANGELA L DUNNING TRN: 0615779174TC</t>
  </si>
  <si>
    <t xml:space="preserve">ORIG CO NAME:BANNER LIFE            ORIG ID:1521236145 DESC DATE:260227 CO ENTRY DESCR:PREM DEBITSEC:PPD    TRACE#:091000015779175 EED:260302   IND ID:                             IND NAME:JOHN  DUNNING TRN: 0615779175TC</t>
  </si>
  <si>
    <t xml:space="preserve">ORIG CO NAME:INTUIT *               ORIG ID:0000756346 DESC DATE:260227 CO ENTRY DESCR:QBooks OnlSEC:CCD    TRACE#:021000028841557 EED:260227   IND ID:9792767                      IND NAME:DWG CAPITAL GROUP                                                                                            800-446-8848 TRN: 0588841557TC</t>
  </si>
  <si>
    <t xml:space="preserve">PAYPAL *RUTHALCANCI 402-935-7733 CA          02/26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</si>
  <si>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PAYMENTS/OCMT/COP26 35063,20/EXCH/3513.4176/CNTR/102880 84/INT/ANDRES_52763ATHOTMAIL.C TRN: 3635700057RE 02/26</t>
  </si>
  <si>
    <t xml:space="preserve">DISNEY PLUS ECOM LAKE BUENA VI FL    148281  02/26</t>
  </si>
  <si>
    <t xml:space="preserve">Zelle payment to Jeffrey Seider JPM99c6ymzxp</t>
  </si>
  <si>
    <t xml:space="preserve">Experian* ProtectMyID 866-5849446 CA         02/24</t>
  </si>
  <si>
    <t xml:space="preserve">Online Transfer from CHK ...9335 transaction#: 28201888543</t>
  </si>
  <si>
    <t xml:space="preserve">Zelle payment to Jeffrey Seider JPM99c6vmuh1</t>
  </si>
  <si>
    <t xml:space="preserve">UPWORK * -895402644 866-262-4478 CA          02/23</t>
  </si>
  <si>
    <t xml:space="preserve">Basic Online Payroll Payment 11207252540 to ########4122</t>
  </si>
  <si>
    <t xml:space="preserve">ORIG CO NAME:VENMO                  ORIG ID:3264681992 DESC DATE:260222 CO ENTRY DESCR:PAYMENT   SEC:WEB    TRACE#:021000024258552 EED:260223   IND ID:1048445485530                IND NAME:JUDD DUNNING                                                                                                 260222PPZ54L TRN: 0544258552TC</t>
  </si>
  <si>
    <t xml:space="preserve">ORIG CO NAME:PRINCIPAL-CCAPNL       ORIG ID:9INDPNLEFT DESC DATE:021926 CO ENTRY DESCR:PRIN FINANSEC:PPD    TRACE#:091000010096869 EED:260223   IND ID:                             IND NAME:JOHN B DUNNING TRN: 0540096869TC</t>
  </si>
  <si>
    <t xml:space="preserve">ORIG CO NAME:VENMO                  ORIG ID:3264681992 DESC DATE:260220 CO ENTRY DESCR:PAYMENT   SEC:WEB    TRACE#:021000027838610 EED:260220   IND ID:1048422449899                IND NAME:JUDD DUNNING                                                                                                 260220PPZ12L TRN: 0517838610TC</t>
  </si>
  <si>
    <t xml:space="preserve">Online Transfer to CHK ...1117 transaction#: 28136530949 02/20</t>
  </si>
  <si>
    <t xml:space="preserve">Online Transfer to CHK ...1117 transaction#: 28131472847 02/19</t>
  </si>
  <si>
    <t xml:space="preserve">DNH*GODADDY#4020305699 480-5058855 AZ        02/18</t>
  </si>
  <si>
    <t xml:space="preserve">DNH*GODADDY#4020304870 480-5058855 AZ        02/18</t>
  </si>
  <si>
    <t xml:space="preserve">Online Transfer from CHK ...9335 transaction#: 28131453248</t>
  </si>
  <si>
    <t xml:space="preserve">ORIG CO NAME:VENMO                  ORIG ID:3264681992 DESC DATE:260218 CO ENTRY DESCR:PAYMENT   SEC:WEB    TRACE#:021000022006962 EED:260218   IND ID:1048383555063                IND NAME:JUDD DUNNING                                                                                                 260218PPZGK7 TRN: 0492006962TC</t>
  </si>
  <si>
    <t xml:space="preserve">ORIG CO NAME:ALLSTATE INS CO        ORIG ID:1360719665 DESC DATE:FEB 26 CO ENTRY DESCR:PREM REF  SEC:CCD    TRACE#:091000014802024 EED:260218   IND ID:540074272948                 IND NAME:DUNNING                    *Refund                                                                           ERF.010   010 D TRN: 0494802024TC</t>
  </si>
  <si>
    <t xml:space="preserve">DOMESTIC WIRE FEE</t>
  </si>
  <si>
    <t xml:space="preserve">DOMESTIC WIRE TRANSFER A/C: GI CAPITAL GROUP RICHMOND CA 94804-5637 US TRN: 3959426048ES 02/17</t>
  </si>
  <si>
    <t xml:space="preserve">DOMESTIC WIRE TRANSFER A/C: MITCHELL ASSET GROUP INC DALLAS TX 75219-3216 US TRN: 3954726048ES 02/17</t>
  </si>
  <si>
    <t xml:space="preserve">ORIG CO NAME:VENMO                  ORIG ID:3264681992 DESC DATE:260215 CO ENTRY DESCR:PAYMENT   SEC:WEB    TRACE#:021000027252662 EED:260217   IND ID:1048318091262                IND NAME:JUDD DUNNING                                                                                                 260215PPZRW7 TRN: 0487252662TC</t>
  </si>
  <si>
    <t xml:space="preserve">ORIG CO NAME:VENMO                  ORIG ID:3264681992 DESC DATE:260214 CO ENTRY DESCR:PAYMENT   SEC:WEB    TRACE#:021000027056558 EED:260217   IND ID:1048294919487                IND NAME:JUDD DUNNING                                                                                                 260214PPZQCA TRN: 0487056558TC</t>
  </si>
  <si>
    <t xml:space="preserve">ORIG CO NAME:LEASEDIRECT            ORIG ID:138190450  DESC DATE:260215 CO ENTRY DESCR:17106_1   SEC:CCD    TRACE#:043000097638596 EED:260217   IND ID:1556926                      IND NAME:DWG CAPITAL GROUP          INV# 595485753 DUE 02/15/26 REC# 10 10682152                                      17107 TRN: 0487638596TC</t>
  </si>
  <si>
    <t xml:space="preserve">UPWORK * -893276395 866-262-4478 CA          02/16</t>
  </si>
  <si>
    <t xml:space="preserve">Online Transfer to CHK ...1117 transaction#: 28092314687 02/17</t>
  </si>
  <si>
    <t xml:space="preserve">PAYPAL *RUTHALCANCI 402-935-7733 CA          02/16</t>
  </si>
  <si>
    <t xml:space="preserve">Zelle payment to Jeffrey Seider JPM99c5pgh22</t>
  </si>
  <si>
    <t xml:space="preserve">Basic Online Payroll Payment 11206512871 to ########4122</t>
  </si>
  <si>
    <t xml:space="preserve">FEDWIRE CREDIT VIA: TEXAS CAPITAL BANK/111017979 B/O: FIDELITY NATIONAL TITLE INSURANCE DALLAS TX 75234 REF: CHASE NYC/CTR/BNF=DWG CAPITAL GROUP LOS ANGELES CA 90066-3638 US/AC-00 0000002836 RFB=WB50458 OBI=/URI/FN- 25-4846-F 10568-10590 E PIN E ST. T ULSA, OK PROPADDR-10568-1059 0 E PI NE ST. N, TULSA, O IMAD: 0213MMQFMP6M004347 TRN: 1309601044FF</t>
  </si>
  <si>
    <t xml:space="preserve">ORIG CO NAME:VENMO                  ORIG ID:3264681992 DESC DATE:260212 CO ENTRY DESCR:PAYMENT   SEC:WEB    TRACE#:021000021092744 EED:260212   IND ID:1048251345815                IND NAME:JUDD DUNNING                                                                                                 260212PPZEZP TRN: 0431092744TC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</si>
  <si>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PAYMENTS/OCMT/COP26 19851,18/EXCH/3493.1349/CNTR/138835 64/INT/ANDRES_52763ATHOTMAIL.C TRN: 6800600043RE 02/12</t>
  </si>
  <si>
    <t xml:space="preserve">ORIG CO NAME:VENMO                  ORIG ID:3264681992 DESC DATE:260211 CO ENTRY DESCR:PAYMENT   SEC:WEB    TRACE#:021000028072837 EED:260211   IND ID:1048216129110                IND NAME:JUDD DUNNING                                                                                                 260211PPZV00 TRN: 0428072837TC</t>
  </si>
  <si>
    <t xml:space="preserve">ORIG CO NAME:ALLSTATE V&amp;P INS       ORIG ID:1360719665 DESC DATE:FEB 26 CO ENTRY DESCR:INS PREM  SEC:PPD    TRACE#:021000022479465 EED:260211   IND ID:                             IND NAME:DUNNING TRN: 0422479465TC</t>
  </si>
  <si>
    <t xml:space="preserve">ORIG CO NAME:GM Financial           ORIG ID:I522190781 DESC DATE:260211 CO ENTRY DESCR:GMF Pymt  SEC:WEB    TRACE#:091000018969211 EED:260211   IND ID:00112079186353               IND NAME:ANGELA DUNNING TRN: 0428969211TC</t>
  </si>
  <si>
    <t xml:space="preserve">HLU*HULUPLUS hulu.com/bill CA                02/11</t>
  </si>
  <si>
    <t xml:space="preserve">Zelle payment to Chase Hall 28023831222</t>
  </si>
  <si>
    <t xml:space="preserve">ORIG CO NAME:VENMO                  ORIG ID:3264681992 DESC DATE:260210 CO ENTRY DESCR:PAYMENT   SEC:WEB    TRACE#:021000023776797 EED:260210   IND ID:1048193213255                IND NAME:JUDD DUNNING                                                                                                 260210PPZKWW TRN: 0413776797TC</t>
  </si>
  <si>
    <t xml:space="preserve">UPWORK * -891141635 866-262-4478 CA          02/09</t>
  </si>
  <si>
    <t xml:space="preserve">Basic Online Payroll Payment 11205579194 to ########4122</t>
  </si>
  <si>
    <t xml:space="preserve">ORIG CO NAME:VENMO                  ORIG ID:3264681992 DESC DATE:260207 CO ENTRY DESCR:PAYMENT   SEC:WEB    TRACE#:021000021911085 EED:260209   IND ID:1048133922663                IND NAME:JUDD DUNNING                                                                                                 260207PPZ9AJ TRN: 0401911085TC</t>
  </si>
  <si>
    <t xml:space="preserve">Online Transfer to CHK ...1117 transaction#: 28005408120 02/09</t>
  </si>
  <si>
    <t xml:space="preserve">PAYPAL *RUTHALCANCI 402-935-7733 CA          02/07</t>
  </si>
  <si>
    <t xml:space="preserve">Zelle payment to Jeffrey Seider JPM99c4qagly</t>
  </si>
  <si>
    <t xml:space="preserve">Zelle payment to Jeffrey Seider JPM99c4qaj93</t>
  </si>
  <si>
    <t xml:space="preserve">Online Transfer from CHK ...9335 transaction#: 27978462862</t>
  </si>
  <si>
    <t xml:space="preserve">ORIG CO NAME:VENMO                  ORIG ID:3264681992 DESC DATE:260205 CO ENTRY DESCR:PAYMENT   SEC:WEB    TRACE#:021000027626157 EED:260205   IND ID:1048080704408                IND NAME:JUDD DUNNING                                                                                                 260205PPZOHD TRN: 0367626157TC</t>
  </si>
  <si>
    <t xml:space="preserve">ORIG CO NAME:VENMO                  ORIG ID:3264681992 DESC DATE:260204 CO ENTRY DESCR:PAYMENT   SEC:WEB    TRACE#:021000023030375 EED:260204   IND ID:1048061201127                IND NAME:JUDD DUNNING                                                                                                 260204PPZED8 TRN: 0353030375TC</t>
  </si>
  <si>
    <t xml:space="preserve">PAYPAL *PRAGERUNIVE P 833-772-4378 CA        02/03</t>
  </si>
  <si>
    <t xml:space="preserve">ORIG CO NAME:VENMO                  ORIG ID:3264681992 DESC DATE:260203 CO ENTRY DESCR:PAYMENT   SEC:WEB    TRACE#:021000029238914 EED:260203   IND ID:1048052690190                IND NAME:JUDD DUNNING                                                                                                 260203PPZCZB TRN: 0349238914TC</t>
  </si>
  <si>
    <t xml:space="preserve">ORIG CO NAME:SELECT PORTFOLIO       ORIG ID:1870465626 DESC DATE:       CO ENTRY DESCR:SPS       SEC:WEB    TRACE#:021000029606713 EED:260203   IND ID:0037017712                   IND NAME:John Barker Dunning TRN: 0349606713TC</t>
  </si>
  <si>
    <t xml:space="preserve">ORIG CO NAME:SELECT PORTFOLIO       ORIG ID:1870465626 DESC DATE:       CO ENTRY DESCR:SPS       SEC:WEB    TRACE#:021000029606714 EED:260203   IND ID:0037017720                   IND NAME:John Barker Dunning TRN: 0349606714TC</t>
  </si>
  <si>
    <t xml:space="preserve">Online Transfer to CHK ...9335 transaction#: 27936308043 02/03</t>
  </si>
  <si>
    <t xml:space="preserve">Zelle payment to Jeffrey Seider JPM99c4bwlzo</t>
  </si>
  <si>
    <t xml:space="preserve">Online Transfer to CHK ...1117 transaction#: 27936175999 02/03</t>
  </si>
  <si>
    <t xml:space="preserve">DNH*GODADDY#4008519948 480-5058855 AZ        02/02</t>
  </si>
  <si>
    <t xml:space="preserve">ORIG CO NAME:GI CAPITAL GROUP       ORIG ID:9200502235 DESC DATE:260203 CO ENTRY DESCR:ACH Pmt   SEC:CCD    TRACE#:021000022818285 EED:260203   IND ID:11205656711                  IND NAME:DWG CAPITAL GROUP          PAYMENTS FOR: E4-$4190.21 &amp; E7-$436 6.20 TRN: 0342818285TC</t>
  </si>
  <si>
    <t xml:space="preserve">ORIG CO NAME:VENMO                  ORIG ID:3264681992 DESC DATE:260202 CO ENTRY DESCR:PAYMENT   SEC:WEB    TRACE#:021000021714129 EED:260202   IND ID:1048035217316                IND NAME:JUDD DUNNING                                                                                                 260202PPZ3KG TRN: 0331714129TC</t>
  </si>
  <si>
    <t xml:space="preserve">Zelle payment to Estella Martinez JPM99c48ojdd</t>
  </si>
  <si>
    <t xml:space="preserve">Basic Online Payroll Payment 11204626604 to ########4122</t>
  </si>
  <si>
    <t xml:space="preserve">INDEED USI26-00770533 AUSTIN TX      132802  02/02</t>
  </si>
  <si>
    <t xml:space="preserve">ORIG CO NAME:VENMO                  ORIG ID:3264681992 DESC DATE:260131 CO ENTRY DESCR:PAYMENT   SEC:WEB    TRACE#:021000022317664 EED:260202   IND ID:1047974621894                IND NAME:JUDD DUNNING                                                                                                 260131PPZSAZ TRN: 0332317664TC</t>
  </si>
  <si>
    <t xml:space="preserve">ORIG CO NAME:BLUESHIELDCA           ORIG ID:7529219311 DESC DATE:260131 CO ENTRY DESCR:BILL PAY  SEC:CCD    TRACE#:031101111763501 EED:260202   IND ID:15737009221                  IND NAME:ANGELA DUNNING TRN: 0331763501TC</t>
  </si>
  <si>
    <t xml:space="preserve">Zelle payment to natalie cordova JPM99c40n5rw</t>
  </si>
  <si>
    <t xml:space="preserve">BLUE SHIELD CALIFORNI 800-393-6130 CA        01/31</t>
  </si>
  <si>
    <t xml:space="preserve">ORIG CO NAME:GEICO                  ORIG ID:3530075853 DESC DATE:260130 CO ENTRY DESCR:PREM COLL SEC:PPD    TRACE#:021000028827919 EED:260202   IND ID:                             IND NAME:ANGELA TRN: 0338827919TC</t>
  </si>
  <si>
    <t xml:space="preserve">Online Transfer from CHK ...9335 transaction#: 27927945998</t>
  </si>
  <si>
    <t xml:space="preserve">ORIG CO NAME:VENMO                  ORIG ID:3264681992 DESC DATE:260130 CO ENTRY DESCR:PAYMENT   SEC:WEB    TRACE#:021000025511947 EED:260130   IND ID:1047959018855                IND NAME:JUDD DUNNING                                                                                                 260130PPZQK7 TRN: 0305511947TC</t>
  </si>
  <si>
    <t xml:space="preserve">ORIG CO NAME:SBA EIDL LOAN          ORIG ID:7300000118 DESC DATE:260129 CO ENTRY DESCR:PAYMENT   SEC:CCD    TRACE#:041036048501392 EED:260130   IND ID:0000                         IND NAME:JOHN DUNNING               1871308204                                                                        ACH TRANSACTION TRN: 0308501392TC</t>
  </si>
  <si>
    <t xml:space="preserve">DNH*GODADDY#4005319493 480-5058855 AZ        01/29</t>
  </si>
  <si>
    <t xml:space="preserve">Zelle payment to Jeffrey Seider JPM99c3oeo6h</t>
  </si>
  <si>
    <t xml:space="preserve">Zelle payment to Michael Paytonjian JPM99c3o4ems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</si>
  <si>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PAYMENTS/OCMT/COP26 30909,18/EXCH/3507.8789/CNTR/490935 63/INT/ANDRES_52763ATHOTMAIL.C TRN: 5792300029RE 01/29</t>
  </si>
  <si>
    <t xml:space="preserve">ORIG CO NAME:GEICO                  ORIG ID:3530075853 DESC DATE:260128 CO ENTRY DESCR:PREM COLL SEC:PPD    TRACE#:021000024666151 EED:260129   IND ID:                             IND NAME:ANGELA DUNNING TRN: 0294666151TC</t>
  </si>
  <si>
    <t xml:space="preserve">ORIG CO NAME:VENMO                  ORIG ID:3264681992 DESC DATE:260128 CO ENTRY DESCR:PAYMENT   SEC:WEB    TRACE#:021000026277489 EED:260128   IND ID:1047913862519                IND NAME:JUDD DUNNING                                                                                                 260128PPZ65G TRN: 0286277489TC</t>
  </si>
  <si>
    <t xml:space="preserve">ORIG CO NAME:BANNER LIFE            ORIG ID:1521236145 DESC DATE:260127 CO ENTRY DESCR:PREM DEBITSEC:PPD    TRACE#:091000017124067 EED:260128   IND ID:                             IND NAME:ANGELA L DUNNING TRN: 0287124067TC</t>
  </si>
  <si>
    <t xml:space="preserve">ORIG CO NAME:BANNER LIFE            ORIG ID:1521236145 DESC DATE:260127 CO ENTRY DESCR:PREM DEBITSEC:PPD    TRACE#:091000017124068 EED:260128   IND ID:                             IND NAME:JOHN  DUNNING TRN: 0287124068TC</t>
  </si>
  <si>
    <t xml:space="preserve">ORIG CO NAME:VENMO                  ORIG ID:3264681992 DESC DATE:260127 CO ENTRY DESCR:PAYMENT   SEC:WEB    TRACE#:021000023177254 EED:260127   IND ID:1047893679747                IND NAME:JUDD DUNNING                                                                                                 260127PPZVED TRN: 0273177254TC</t>
  </si>
  <si>
    <t xml:space="preserve">Online Payment 27845179527 To PENTAGON FEDERAL CREDIT UNION 01/27</t>
  </si>
  <si>
    <t xml:space="preserve">Online Payment 27845117544 To MERCEDES BENZ FINANCIAL 01/27</t>
  </si>
  <si>
    <t xml:space="preserve">Online Payment 27845142816 To MERCEDES BENZ FINANCIAL 01/27</t>
  </si>
  <si>
    <t xml:space="preserve">Online Payment 27845121860 To MERCEDES BENZ FINANCIAL SVCS 01/27</t>
  </si>
  <si>
    <t xml:space="preserve">Online Payment 27845140053 To MERCEDES BENZ FINANCIAL 01/27</t>
  </si>
  <si>
    <t xml:space="preserve">Online Transfer to CHK ...1117 transaction#: 27845107163 01/27</t>
  </si>
  <si>
    <t xml:space="preserve">Online Transfer to CHK ...6975 transaction#: 27845110664 01/27</t>
  </si>
  <si>
    <t xml:space="preserve">Online Transfer to CHK ...7899 transaction#: 27845074391 01/27</t>
  </si>
  <si>
    <t xml:space="preserve">ORIG CO NAME:INTUIT *               ORIG ID:0000756346 DESC DATE:260127 CO ENTRY DESCR:QBooks OnlSEC:CCD    TRACE#:021000024869716 EED:260127   IND ID:9501089                      IND NAME:DWG CAPITAL GROUP                                                                                            800-446-8848 TRN: 0274869716TC</t>
  </si>
  <si>
    <t xml:space="preserve">Online Transfer to CHK ...9816 transaction#: 27841610828 01/27</t>
  </si>
  <si>
    <t xml:space="preserve">Zelle payment to Jeffrey Seider JPM99c3f4jx2</t>
  </si>
  <si>
    <t xml:space="preserve">Online Transfer from CHK ...9335 transaction#: 27845061443</t>
  </si>
  <si>
    <t xml:space="preserve">ORIG CO NAME:VENMO                  ORIG ID:3264681992 DESC DATE:260126 CO ENTRY DESCR:PAYMENT   SEC:WEB    TRACE#:021000028544178 EED:260126   IND ID:1047858105605                IND NAME:JUDD DUNNING                                                                                                 260126PPZE7D TRN: 0268544178TC</t>
  </si>
  <si>
    <t xml:space="preserve">Basic Online Payroll Payment 11203666650 to ########4122</t>
  </si>
  <si>
    <t xml:space="preserve">DISNEY PLUS ECOM LAKE BUENA VI FL    085357  01/26</t>
  </si>
  <si>
    <t xml:space="preserve">ORIG CO NAME:VENMO                  ORIG ID:3264681992 DESC DATE:260125 CO ENTRY DESCR:PAYMENT   SEC:WEB    TRACE#:021000022481623 EED:260126   IND ID:1047846760637                IND NAME:JUDD DUNNING                                                                                                 260125PPZDAJ TRN: 0262481623TC</t>
  </si>
  <si>
    <t xml:space="preserve">PAYPAL *RUTHALCANCI 402-935-7733 CA          01/25</t>
  </si>
  <si>
    <t xml:space="preserve">Online Transfer to CHK ...0709 transaction#: 27810912696 01/26</t>
  </si>
  <si>
    <t xml:space="preserve">ORIG CO NAME:VENMO                  ORIG ID:3264681992 DESC DATE:260123 CO ENTRY DESCR:PAYMENT   SEC:WEB    TRACE#:021000020695823 EED:260123   IND ID:1047805350013                IND NAME:JUDD DUNNING                                                                                                 260123PPZ789 TRN: 0230695823TC</t>
  </si>
  <si>
    <t xml:space="preserve">Experian* ProtectMyID 866-5849446 CA         01/22</t>
  </si>
  <si>
    <t xml:space="preserve">Online Transfer to CHK ...0709 transaction#: 27778991353 01/21</t>
  </si>
  <si>
    <t xml:space="preserve">INDEED USI26-00536001 AUSTIN TX      082631  01/21</t>
  </si>
  <si>
    <t xml:space="preserve">ORIG CO NAME:PRINCIPAL-CCAPNL       ORIG ID:9INDPNLEFT DESC DATE:011926 CO ENTRY DESCR:PRIN FINANSEC:PPD    TRACE#:091000018188408 EED:260121   IND ID:                             IND NAME:JOHN B DUNNING TRN: 0218188408TC</t>
  </si>
  <si>
    <t xml:space="preserve">Online Transfer to CHK ...1117 transaction#: 27771975389 01/21</t>
  </si>
  <si>
    <t xml:space="preserve">Online Transfer to CHK ...1117 transaction#: 27772070463 01/21</t>
  </si>
  <si>
    <t xml:space="preserve">Zelle payment to Jared Iorio 27771544205</t>
  </si>
  <si>
    <t xml:space="preserve">Online Transfer from CHK ...9335 transaction#: 27771975106</t>
  </si>
  <si>
    <t xml:space="preserve">ORIG CO NAME:VENMO                  ORIG ID:3264681992 DESC DATE:260118 CO ENTRY DESCR:PAYMENT   SEC:WEB    TRACE#:021000020136267 EED:260120   IND ID:1047707182406                IND NAME:JUDD DUNNING                                                                                                 260119PPZ0OP TRN: 0200136267TC</t>
  </si>
  <si>
    <t xml:space="preserve">ORIG CO NAME:VENMO                  ORIG ID:3264681992 DESC DATE:260117 CO ENTRY DESCR:PAYMENT   SEC:WEB    TRACE#:021000020210328 EED:260120   IND ID:1047678998660                IND NAME:JUDD DUNNING                                                                                                 260117PPZYRL TRN: 0200210328TC</t>
  </si>
  <si>
    <t xml:space="preserve">ORIG CO NAME:VENMO                  ORIG ID:3264681992 DESC DATE:260117 CO ENTRY DESCR:PAYMENT   SEC:WEB    TRACE#:021000020209491 EED:260120   IND ID:1047678857800                IND NAME:JUDD DUNNING                                                                                                 260117PPZYRL TRN: 0200209491TC</t>
  </si>
  <si>
    <t xml:space="preserve">ORIG CO NAME:VENMO                  ORIG ID:3264681992 DESC DATE:260118 CO ENTRY DESCR:PAYMENT   SEC:WEB    TRACE#:021000020136407 EED:260120   IND ID:1047707162085                IND NAME:JUDD DUNNING                                                                                                 260119PPZ0OP TRN: 0200136407TC</t>
  </si>
  <si>
    <t xml:space="preserve">UPWORK * -884680981 866-262-4478 CA          01/19</t>
  </si>
  <si>
    <t xml:space="preserve">PAYPAL *BAFILEGIRL6 402-935-7733 CA          01/19</t>
  </si>
  <si>
    <t xml:space="preserve">DNH*GODADDY#3995498649 480-5058855 AZ        01/18</t>
  </si>
  <si>
    <t xml:space="preserve">DNH*GODADDY#3995498549 480-5058855 AZ        01/18</t>
  </si>
  <si>
    <t xml:space="preserve">Online Transfer to CHK ...1117 transaction#: 27743673026 01/20</t>
  </si>
  <si>
    <t xml:space="preserve">ORIG CO NAME:VENMO                  ORIG ID:3264681992 DESC DATE:260116 CO ENTRY DESCR:PAYMENT   SEC:WEB    TRACE#:021000022004596 EED:260116   IND ID:1047659998816                IND NAME:JUDD DUNNING                                                                                                 260116PPZWXG TRN: 0162004596TC</t>
  </si>
  <si>
    <t xml:space="preserve">ORIG CO NAME:VENMO                  ORIG ID:3264681992 DESC DATE:260116 CO ENTRY DESCR:PAYMENT   SEC:WEB    TRACE#:021000022004340 EED:260116   IND ID:1047659926999                IND NAME:JUDD DUNNING                                                                                                 260116PPZWXG TRN: 0162004340TC</t>
  </si>
  <si>
    <t xml:space="preserve">ORIG CO NAME:VENMO                  ORIG ID:3264681992 DESC DATE:260116 CO ENTRY DESCR:PAYMENT   SEC:WEB    TRACE#:021000022019532 EED:260116   IND ID:1047641922302                IND NAME:JUDD DUNNING                                                                                                 260116PPZONN TRN: 0162019532TC</t>
  </si>
  <si>
    <t xml:space="preserve">Basic Online Payroll Payment 11202940291 to ########4122</t>
  </si>
  <si>
    <t xml:space="preserve">ORIG CO NAME:LEASEDIRECT            ORIG ID:138190450  DESC DATE:260115 CO ENTRY DESCR:16426_1   SEC:CCD    TRACE#:043000090416975 EED:260116   IND ID:1556926                      IND NAME:DWG CAPITAL GROUP          INV# 593662924 DUE 01/15/26 REC# 10 10586393                                      16427 TRN: 0160416975TC</t>
  </si>
  <si>
    <t xml:space="preserve">ORIG CO NAME:VENMO                  ORIG ID:3264681992 DESC DATE:260115 CO ENTRY DESCR:PAYMENT   SEC:WEB    TRACE#:021000029409951 EED:260115   IND ID:1047640850315                IND NAME:JUDD DUNNING                                                                                                 260115PPZNOO TRN: 0159409951TC</t>
  </si>
  <si>
    <t xml:space="preserve">ORIG CO NAME:VENMO                  ORIG ID:3264681992 DESC DATE:260115 CO ENTRY DESCR:PAYMENT   SEC:WEB    TRACE#:021000029410389 EED:260115   IND ID:1047640913419                IND NAME:JUDD DUNNING                                                                                                 260115PPZNOO TRN: 0159410389TC</t>
  </si>
  <si>
    <t xml:space="preserve">ORIG CO NAME:VENMO                  ORIG ID:3264681992 DESC DATE:260115 CO ENTRY DESCR:PAYMENT   SEC:WEB    TRACE#:021000029410078 EED:260115   IND ID:1047640839385                IND NAME:JUDD DUNNING                                                                                                 260115PPZNOO TRN: 0159410078TC</t>
  </si>
  <si>
    <t xml:space="preserve">ORIG CO NAME:VENMO                  ORIG ID:3264681992 DESC DATE:260115 CO ENTRY DESCR:PAYMENT   SEC:WEB    TRACE#:021000029410003 EED:260115   IND ID:1047640823643                IND NAME:JUDD DUNNING                                                                                                 260115PPZNOO TRN: 0159410003TC</t>
  </si>
  <si>
    <t xml:space="preserve">ORIG CO NAME:VENMO                  ORIG ID:3264681992 DESC DATE:260115 CO ENTRY DESCR:PAYMENT   SEC:WEB    TRACE#:021000029409948 EED:260115   IND ID:1047640828476                IND NAME:JUDD DUNNING                                                                                                 260115PPZNOO TRN: 0159409948TC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</si>
  <si>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PAYMENTS/OCMT/COP26 34139,28/EXCH/3512.1857/CNTR/641220 11/INT/ANDRES_52763ATHOTMAIL.C TRN: 5044400015RE 01/15</t>
  </si>
  <si>
    <t xml:space="preserve">PAYPAL *RUTHALCANCI 402-935-7733 CA          01/15</t>
  </si>
  <si>
    <t xml:space="preserve">Zelle payment to Jeffrey Seider JPM99c1xy8gr</t>
  </si>
  <si>
    <t xml:space="preserve">Online Transfer to CHK ...1117 transaction#: 27686014571 01/13</t>
  </si>
  <si>
    <t xml:space="preserve">ORIG CO NAME:ALLSTATE V&amp;P INS       ORIG ID:1360719665 DESC DATE:JAN 26 CO ENTRY DESCR:INS PREM  SEC:PPD    TRACE#:021000022131132 EED:260113   IND ID:                             IND NAME:DUNNING TRN: 0132131132TC</t>
  </si>
  <si>
    <t xml:space="preserve">UPWORK * -882616871 866-262-4478 CA          01/12</t>
  </si>
  <si>
    <t xml:space="preserve">Online Transfer from CHK ...9335 transaction#: 27686013256</t>
  </si>
  <si>
    <t xml:space="preserve">Basic Online Payroll Payment 11202084140 to ########4122</t>
  </si>
  <si>
    <t xml:space="preserve">ORIG CO NAME:VENMO                  ORIG ID:3264681992 DESC DATE:260110 CO ENTRY DESCR:PAYMENT   SEC:WEB    TRACE#:021000025526358 EED:260112   IND ID:1047525378779                IND NAME:JUDD DUNNING                                                                                                 260110PPZGOI TRN: 0125526358TC</t>
  </si>
  <si>
    <t xml:space="preserve">ORIG CO NAME:VENMO                  ORIG ID:3264681992 DESC DATE:260111 CO ENTRY DESCR:PAYMENT   SEC:WEB    TRACE#:021000026272572 EED:260112   IND ID:1047555120249                IND NAME:JUDD DUNNING                                                                                                 260111PPZIHA TRN: 0126272572TC</t>
  </si>
  <si>
    <t xml:space="preserve">ORIG CO NAME:BANNER LIFE            ORIG ID:1521236145 DESC DATE:260111 CO ENTRY DESCR:PREM DEBITSEC:PPD    TRACE#:091000015918257 EED:260112   IND ID:                             IND NAME:ANGELA L DUNNING TRN: 0125918257TC</t>
  </si>
  <si>
    <t xml:space="preserve">ORIG CO NAME:GM Financial           ORIG ID:I522190781 DESC DATE:260112 CO ENTRY DESCR:GMF Pymt  SEC:PPD    TRACE#:091000015743792 EED:260112   IND ID:                             IND NAME:ANGELA DUNNING TRN: 0125743792TC</t>
  </si>
  <si>
    <t xml:space="preserve">HLU*HULUPLUS hulu.com/bill CA                01/11</t>
  </si>
  <si>
    <t xml:space="preserve">Zelle payment to Estella Martinez JPM99c1ikrhw</t>
  </si>
  <si>
    <t xml:space="preserve">PAYPAL *RUTHALCANCI 402-935-7733 CA          01/09</t>
  </si>
  <si>
    <t xml:space="preserve">Online Transfer to CHK ...2508 transaction#: 27647360816 01/09</t>
  </si>
  <si>
    <t xml:space="preserve">Online Transfer to CHK ...1117 transaction#: 27630247476 01/08</t>
  </si>
  <si>
    <t xml:space="preserve">WWW.PERPLEXITY.AI WWW.PERPLEXIT CA           01/07</t>
  </si>
  <si>
    <t xml:space="preserve">Online Transfer to CHK ...7753 transaction#: 27603732322 01/06</t>
  </si>
  <si>
    <t xml:space="preserve">UPWORK * -880597086 866-262-4478 CA          01/05</t>
  </si>
  <si>
    <t xml:space="preserve">ORIG CO NAME:VENMO                  ORIG ID:3264681992 DESC DATE:260105 CO ENTRY DESCR:PAYMENT   SEC:WEB    TRACE#:021000022981601 EED:260105   IND ID:1047404480254                IND NAME:JUDD DUNNING                                                                                                 260105PPZ2BF TRN: 0052981601TC</t>
  </si>
  <si>
    <t xml:space="preserve">Basic Online Payroll Payment 11201211266 to ########4122</t>
  </si>
  <si>
    <t xml:space="preserve">ORIG CO NAME:VENMO                  ORIG ID:3264681992 DESC DATE:260104 CO ENTRY DESCR:PAYMENT   SEC:WEB    TRACE#:021000021639338 EED:260105   IND ID:1047399547267                IND NAME:JUDD DUNNING                                                                                                 260104PPZ1CY TRN: 0051639338TC</t>
  </si>
  <si>
    <t xml:space="preserve">Zelle payment to Jeffrey Seider JPM99c0yf7aa</t>
  </si>
  <si>
    <t xml:space="preserve">Online Transfer to CHK ...6975 transaction#: 27584872329 01/05</t>
  </si>
  <si>
    <t xml:space="preserve">Online Transfer to CHK ...1117 transaction#: 27584627654 01/05</t>
  </si>
  <si>
    <t xml:space="preserve">PAYPAL *BAFILEGIRL6 402-935-7733 CA          01/04</t>
  </si>
  <si>
    <t xml:space="preserve">PAYPAL *PRAGERUNIVE P 833-772-4378 CA        01/03</t>
  </si>
  <si>
    <t xml:space="preserve">BLUE SHIELD CALIFORNI 800-393-6130 CA        01/03</t>
  </si>
  <si>
    <t xml:space="preserve">STD ACH PMNTS VOLUME FEE QTY = 3</t>
  </si>
  <si>
    <t xml:space="preserve">ORIG CO NAME:VENMO                  ORIG ID:3264681992 DESC DATE:260102 CO ENTRY DESCR:PAYMENT   SEC:WEB    TRACE#:021000027042589 EED:260102   IND ID:1047357227122                IND NAME:JUDD DUNNING                                                                                                 260102PPZY76 TRN: 0027042589TC</t>
  </si>
  <si>
    <t xml:space="preserve">DNH*GODADDY#3983010540 480-5058855 AZ        01/02</t>
  </si>
  <si>
    <t xml:space="preserve">INDEED USI26-00014440 AUSTIN TX      012796  01/02</t>
  </si>
  <si>
    <t xml:space="preserve">Online Transfer to CHK ...1117 transaction#: 27551465996 01/02</t>
  </si>
  <si>
    <t xml:space="preserve">ORIG CO NAME:VENMO                  ORIG ID:3264681992 DESC DATE:260101 CO ENTRY DESCR:PAYMENT   SEC:WEB    TRACE#:021000028613809 EED:260102   IND ID:1047327145080                IND NAME:JUDD DUNNING                                                                                                 260101PPZPHZ TRN: 0028613809TC</t>
  </si>
  <si>
    <t xml:space="preserve">ORIG CO NAME:BLUESHIELDCA           ORIG ID:7529219311 DESC DATE:251231 CO ENTRY DESCR:BILL PAY  SEC:CCD    TRACE#:031101115700064 EED:260102   IND ID:15728029331                  IND NAME:ANGELA DUNNING TRN: 0025700064TC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</si>
</sst>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mmm\ yyyy"/>
    <numFmt numFmtId="167" formatCode="yyyy\-mm\-dd"/>
    <numFmt numFmtId="168" formatCode="yyyy\-mm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9"/>
      <color rgb="FF6B6B6B"/>
      <name val="Calibri"/>
      <family val="0"/>
      <charset val="1"/>
    </font>
    <font>
      <sz val="9"/>
      <color rgb="FF6B6B6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6B6B6B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2C2C"/>
        <bgColor rgb="FF333300"/>
      </patternFill>
    </fill>
    <fill>
      <patternFill patternType="solid">
        <fgColor rgb="FFE8E8E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8" customFormat="false" ht="15" hidden="false" customHeight="false" outlineLevel="0" collapsed="false">
      <c r="A8" s="5" t="s">
        <v>8</v>
      </c>
      <c r="B8" s="6"/>
    </row>
    <row r="9" customFormat="false" ht="15" hidden="false" customHeight="false" outlineLevel="0" collapsed="false">
      <c r="A9" s="0" t="s">
        <v>9</v>
      </c>
      <c r="B9" s="7" t="n">
        <f aca="false">SUMIFS('Transaction Overview'!$D$2:$D$517,'Transaction Overview'!$D$2:$D$517,"&gt;0")</f>
        <v>1037026.54</v>
      </c>
    </row>
    <row r="10" customFormat="false" ht="15" hidden="false" customHeight="false" outlineLevel="0" collapsed="false">
      <c r="A10" s="0" t="s">
        <v>10</v>
      </c>
      <c r="B10" s="7" t="n">
        <f aca="false">SUMIFS('Transaction Overview'!$D$2:$D$517,'Transaction Overview'!$D$2:$D$517,"&lt;0")</f>
        <v>-1064698.94</v>
      </c>
    </row>
    <row r="11" customFormat="false" ht="15" hidden="false" customHeight="false" outlineLevel="0" collapsed="false">
      <c r="A11" s="0" t="s">
        <v>11</v>
      </c>
      <c r="B11" s="7" t="n">
        <f aca="false">B9+B10</f>
        <v>-27672.3999999999</v>
      </c>
    </row>
    <row r="14" customFormat="false" ht="15" hidden="false" customHeight="false" outlineLevel="0" collapsed="false">
      <c r="A14" s="8" t="s">
        <v>12</v>
      </c>
      <c r="B14" s="8" t="s">
        <v>13</v>
      </c>
      <c r="C14" s="8" t="s">
        <v>14</v>
      </c>
      <c r="D14" s="8" t="s">
        <v>15</v>
      </c>
    </row>
    <row r="15" customFormat="false" ht="15" hidden="false" customHeight="false" outlineLevel="0" collapsed="false">
      <c r="A15" s="9" t="s">
        <v>16</v>
      </c>
    </row>
    <row r="16" customFormat="false" ht="15" hidden="false" customHeight="false" outlineLevel="0" collapsed="false">
      <c r="A16" s="0" t="s">
        <v>17</v>
      </c>
      <c r="B16" s="7" t="n">
        <f aca="false">SUMIFS('Transaction Overview'!$D$2:$D$517,'Transaction Overview'!$I$2:$I$517,$A16,'Transaction Overview'!$D$2:$D$517,"&gt;0")</f>
        <v>40000</v>
      </c>
      <c r="C16" s="7" t="n">
        <f aca="false">SUMIFS('Transaction Overview'!$D$2:$D$517,'Transaction Overview'!$I$2:$I$517,$A16,'Transaction Overview'!$D$2:$D$517,"&lt;0")</f>
        <v>-600</v>
      </c>
      <c r="D16" s="7" t="n">
        <f aca="false">B16+C16</f>
        <v>39400</v>
      </c>
    </row>
    <row r="17" customFormat="false" ht="15" hidden="false" customHeight="false" outlineLevel="0" collapsed="false">
      <c r="A17" s="0" t="s">
        <v>18</v>
      </c>
      <c r="B17" s="7" t="n">
        <f aca="false">SUMIFS('Transaction Overview'!$D$2:$D$517,'Transaction Overview'!$I$2:$I$517,$A17,'Transaction Overview'!$D$2:$D$517,"&gt;0")</f>
        <v>42782.05</v>
      </c>
      <c r="C17" s="7" t="n">
        <f aca="false">SUMIFS('Transaction Overview'!$D$2:$D$517,'Transaction Overview'!$I$2:$I$517,$A17,'Transaction Overview'!$D$2:$D$517,"&lt;0")</f>
        <v>0</v>
      </c>
      <c r="D17" s="7" t="n">
        <f aca="false">B17+C17</f>
        <v>42782.05</v>
      </c>
    </row>
    <row r="18" customFormat="false" ht="15" hidden="false" customHeight="false" outlineLevel="0" collapsed="false">
      <c r="A18" s="0" t="s">
        <v>19</v>
      </c>
      <c r="B18" s="7" t="n">
        <f aca="false">SUMIFS('Transaction Overview'!$D$2:$D$517,'Transaction Overview'!$I$2:$I$517,$A18,'Transaction Overview'!$D$2:$D$517,"&gt;0")</f>
        <v>0</v>
      </c>
      <c r="C18" s="7" t="n">
        <f aca="false">SUMIFS('Transaction Overview'!$D$2:$D$517,'Transaction Overview'!$I$2:$I$517,$A18,'Transaction Overview'!$D$2:$D$517,"&lt;0")</f>
        <v>-21303.03</v>
      </c>
      <c r="D18" s="7" t="n">
        <f aca="false">B18+C18</f>
        <v>-21303.03</v>
      </c>
    </row>
    <row r="19" customFormat="false" ht="15" hidden="false" customHeight="false" outlineLevel="0" collapsed="false">
      <c r="A19" s="0" t="s">
        <v>20</v>
      </c>
      <c r="B19" s="7" t="n">
        <f aca="false">SUMIFS('Transaction Overview'!$D$2:$D$517,'Transaction Overview'!$I$2:$I$517,$A19,'Transaction Overview'!$D$2:$D$517,"&gt;0")</f>
        <v>0</v>
      </c>
      <c r="C19" s="7" t="n">
        <f aca="false">SUMIFS('Transaction Overview'!$D$2:$D$517,'Transaction Overview'!$I$2:$I$517,$A19,'Transaction Overview'!$D$2:$D$517,"&lt;0")</f>
        <v>-21479.02</v>
      </c>
      <c r="D19" s="7" t="n">
        <f aca="false">B19+C19</f>
        <v>-21479.02</v>
      </c>
    </row>
    <row r="20" customFormat="false" ht="15" hidden="false" customHeight="false" outlineLevel="0" collapsed="false">
      <c r="A20" s="10" t="s">
        <v>21</v>
      </c>
      <c r="B20" s="11" t="n">
        <f aca="false">SUMIFS('Transaction Overview'!$D$2:$D$517,'Transaction Overview'!$J$2:$J$517,"Deal-Specific",'Transaction Overview'!$D$2:$D$517,"&gt;0")</f>
        <v>82782.05</v>
      </c>
      <c r="C20" s="11" t="n">
        <f aca="false">SUMIFS('Transaction Overview'!$D$2:$D$517,'Transaction Overview'!$J$2:$J$517,"Deal-Specific",'Transaction Overview'!$D$2:$D$517,"&lt;0")</f>
        <v>-43382.05</v>
      </c>
      <c r="D20" s="11" t="n">
        <f aca="false">B20+C20</f>
        <v>39400</v>
      </c>
    </row>
    <row r="22" customFormat="false" ht="15" hidden="false" customHeight="false" outlineLevel="0" collapsed="false">
      <c r="A22" s="9" t="s">
        <v>22</v>
      </c>
    </row>
    <row r="23" customFormat="false" ht="15" hidden="false" customHeight="false" outlineLevel="0" collapsed="false">
      <c r="A23" s="0" t="s">
        <v>23</v>
      </c>
      <c r="B23" s="7" t="n">
        <f aca="false">SUMIFS('Transaction Overview'!$D$2:$D$517,'Transaction Overview'!$I$2:$I$517,$A23,'Transaction Overview'!$D$2:$D$517,"&gt;0")</f>
        <v>114000</v>
      </c>
      <c r="C23" s="7" t="n">
        <f aca="false">SUMIFS('Transaction Overview'!$D$2:$D$517,'Transaction Overview'!$I$2:$I$517,$A23,'Transaction Overview'!$D$2:$D$517,"&lt;0")</f>
        <v>0</v>
      </c>
      <c r="D23" s="7" t="n">
        <f aca="false">B23+C23</f>
        <v>114000</v>
      </c>
    </row>
    <row r="24" customFormat="false" ht="15" hidden="false" customHeight="false" outlineLevel="0" collapsed="false">
      <c r="A24" s="10" t="s">
        <v>24</v>
      </c>
      <c r="B24" s="11" t="n">
        <f aca="false">SUMIFS('Transaction Overview'!$D$2:$D$517,'Transaction Overview'!$J$2:$J$517,"Commissions — Incoming",'Transaction Overview'!$D$2:$D$517,"&gt;0")</f>
        <v>114000</v>
      </c>
      <c r="C24" s="11" t="n">
        <f aca="false">SUMIFS('Transaction Overview'!$D$2:$D$517,'Transaction Overview'!$J$2:$J$517,"Commissions — Incoming",'Transaction Overview'!$D$2:$D$517,"&lt;0")</f>
        <v>0</v>
      </c>
      <c r="D24" s="11" t="n">
        <f aca="false">B24+C24</f>
        <v>114000</v>
      </c>
    </row>
    <row r="26" customFormat="false" ht="15" hidden="false" customHeight="false" outlineLevel="0" collapsed="false">
      <c r="A26" s="9" t="s">
        <v>25</v>
      </c>
    </row>
    <row r="27" customFormat="false" ht="15" hidden="false" customHeight="false" outlineLevel="0" collapsed="false">
      <c r="A27" s="0" t="s">
        <v>26</v>
      </c>
      <c r="B27" s="7" t="n">
        <f aca="false">SUMIFS('Transaction Overview'!$D$2:$D$517,'Transaction Overview'!$I$2:$I$517,$A27,'Transaction Overview'!$D$2:$D$517,"&gt;0")</f>
        <v>0</v>
      </c>
      <c r="C27" s="7" t="n">
        <f aca="false">SUMIFS('Transaction Overview'!$D$2:$D$517,'Transaction Overview'!$I$2:$I$517,$A27,'Transaction Overview'!$D$2:$D$517,"&lt;0")</f>
        <v>-16875</v>
      </c>
      <c r="D27" s="7" t="n">
        <f aca="false">B27+C27</f>
        <v>-16875</v>
      </c>
    </row>
    <row r="28" customFormat="false" ht="15" hidden="false" customHeight="false" outlineLevel="0" collapsed="false">
      <c r="A28" s="0" t="s">
        <v>27</v>
      </c>
      <c r="B28" s="7" t="n">
        <f aca="false">SUMIFS('Transaction Overview'!$D$2:$D$517,'Transaction Overview'!$I$2:$I$517,$A28,'Transaction Overview'!$D$2:$D$517,"&gt;0")</f>
        <v>0</v>
      </c>
      <c r="C28" s="7" t="n">
        <f aca="false">SUMIFS('Transaction Overview'!$D$2:$D$517,'Transaction Overview'!$I$2:$I$517,$A28,'Transaction Overview'!$D$2:$D$517,"&lt;0")</f>
        <v>-1500</v>
      </c>
      <c r="D28" s="7" t="n">
        <f aca="false">B28+C28</f>
        <v>-1500</v>
      </c>
    </row>
    <row r="29" customFormat="false" ht="15" hidden="false" customHeight="false" outlineLevel="0" collapsed="false">
      <c r="A29" s="10" t="s">
        <v>28</v>
      </c>
      <c r="B29" s="11" t="n">
        <f aca="false">SUMIFS('Transaction Overview'!$D$2:$D$517,'Transaction Overview'!$J$2:$J$517,"Commissions — Outgoing",'Transaction Overview'!$D$2:$D$517,"&gt;0")</f>
        <v>0</v>
      </c>
      <c r="C29" s="11" t="n">
        <f aca="false">SUMIFS('Transaction Overview'!$D$2:$D$517,'Transaction Overview'!$J$2:$J$517,"Commissions — Outgoing",'Transaction Overview'!$D$2:$D$517,"&lt;0")</f>
        <v>-18375</v>
      </c>
      <c r="D29" s="11" t="n">
        <f aca="false">B29+C29</f>
        <v>-18375</v>
      </c>
    </row>
    <row r="31" customFormat="false" ht="15" hidden="false" customHeight="false" outlineLevel="0" collapsed="false">
      <c r="A31" s="9" t="s">
        <v>29</v>
      </c>
    </row>
    <row r="32" customFormat="false" ht="15" hidden="false" customHeight="false" outlineLevel="0" collapsed="false">
      <c r="A32" s="0" t="s">
        <v>30</v>
      </c>
      <c r="B32" s="7" t="n">
        <f aca="false">SUMIFS('Transaction Overview'!$D$2:$D$517,'Transaction Overview'!$I$2:$I$517,$A32,'Transaction Overview'!$D$2:$D$517,"&gt;0")</f>
        <v>0</v>
      </c>
      <c r="C32" s="7" t="n">
        <f aca="false">SUMIFS('Transaction Overview'!$D$2:$D$517,'Transaction Overview'!$I$2:$I$517,$A32,'Transaction Overview'!$D$2:$D$517,"&lt;0")</f>
        <v>-177000</v>
      </c>
      <c r="D32" s="7" t="n">
        <f aca="false">B32+C32</f>
        <v>-177000</v>
      </c>
    </row>
    <row r="33" customFormat="false" ht="15" hidden="false" customHeight="false" outlineLevel="0" collapsed="false">
      <c r="A33" s="0" t="s">
        <v>31</v>
      </c>
      <c r="B33" s="7" t="n">
        <f aca="false">SUMIFS('Transaction Overview'!$D$2:$D$517,'Transaction Overview'!$I$2:$I$517,$A33,'Transaction Overview'!$D$2:$D$517,"&gt;0")</f>
        <v>0</v>
      </c>
      <c r="C33" s="7" t="n">
        <f aca="false">SUMIFS('Transaction Overview'!$D$2:$D$517,'Transaction Overview'!$I$2:$I$517,$A33,'Transaction Overview'!$D$2:$D$517,"&lt;0")</f>
        <v>-413000</v>
      </c>
      <c r="D33" s="7" t="n">
        <f aca="false">B33+C33</f>
        <v>-413000</v>
      </c>
    </row>
    <row r="34" customFormat="false" ht="15" hidden="false" customHeight="false" outlineLevel="0" collapsed="false">
      <c r="A34" s="0" t="s">
        <v>32</v>
      </c>
      <c r="B34" s="7" t="n">
        <f aca="false">SUMIFS('Transaction Overview'!$D$2:$D$517,'Transaction Overview'!$I$2:$I$517,$A34,'Transaction Overview'!$D$2:$D$517,"&gt;0")</f>
        <v>600000</v>
      </c>
      <c r="C34" s="7" t="n">
        <f aca="false">SUMIFS('Transaction Overview'!$D$2:$D$517,'Transaction Overview'!$I$2:$I$517,$A34,'Transaction Overview'!$D$2:$D$517,"&lt;0")</f>
        <v>0</v>
      </c>
      <c r="D34" s="7" t="n">
        <f aca="false">B34+C34</f>
        <v>600000</v>
      </c>
    </row>
    <row r="35" customFormat="false" ht="15" hidden="false" customHeight="false" outlineLevel="0" collapsed="false">
      <c r="A35" s="10" t="s">
        <v>33</v>
      </c>
      <c r="B35" s="11" t="n">
        <f aca="false">SUMIFS('Transaction Overview'!$D$2:$D$517,'Transaction Overview'!$J$2:$J$517,"MAG Pass-Through",'Transaction Overview'!$D$2:$D$517,"&gt;0")</f>
        <v>600000</v>
      </c>
      <c r="C35" s="11" t="n">
        <f aca="false">SUMIFS('Transaction Overview'!$D$2:$D$517,'Transaction Overview'!$J$2:$J$517,"MAG Pass-Through",'Transaction Overview'!$D$2:$D$517,"&lt;0")</f>
        <v>-590000</v>
      </c>
      <c r="D35" s="11" t="n">
        <f aca="false">B35+C35</f>
        <v>10000</v>
      </c>
    </row>
    <row r="37" customFormat="false" ht="15" hidden="false" customHeight="false" outlineLevel="0" collapsed="false">
      <c r="A37" s="9" t="s">
        <v>34</v>
      </c>
    </row>
    <row r="38" customFormat="false" ht="15" hidden="false" customHeight="false" outlineLevel="0" collapsed="false">
      <c r="A38" s="0" t="s">
        <v>35</v>
      </c>
      <c r="B38" s="7" t="n">
        <f aca="false">SUMIFS('Transaction Overview'!$D$2:$D$517,'Transaction Overview'!$I$2:$I$517,$A38,'Transaction Overview'!$D$2:$D$517,"&gt;0")</f>
        <v>238556.41</v>
      </c>
      <c r="C38" s="7" t="n">
        <f aca="false">SUMIFS('Transaction Overview'!$D$2:$D$517,'Transaction Overview'!$I$2:$I$517,$A38,'Transaction Overview'!$D$2:$D$517,"&lt;0")</f>
        <v>0</v>
      </c>
      <c r="D38" s="7" t="n">
        <f aca="false">B38+C38</f>
        <v>238556.41</v>
      </c>
    </row>
    <row r="39" customFormat="false" ht="15" hidden="false" customHeight="false" outlineLevel="0" collapsed="false">
      <c r="A39" s="0" t="s">
        <v>36</v>
      </c>
      <c r="B39" s="7" t="n">
        <f aca="false">SUMIFS('Transaction Overview'!$D$2:$D$517,'Transaction Overview'!$I$2:$I$517,$A39,'Transaction Overview'!$D$2:$D$517,"&gt;0")</f>
        <v>0</v>
      </c>
      <c r="C39" s="7" t="n">
        <f aca="false">SUMIFS('Transaction Overview'!$D$2:$D$517,'Transaction Overview'!$I$2:$I$517,$A39,'Transaction Overview'!$D$2:$D$517,"&lt;0")</f>
        <v>-8556.41</v>
      </c>
      <c r="D39" s="7" t="n">
        <f aca="false">B39+C39</f>
        <v>-8556.41</v>
      </c>
    </row>
    <row r="40" customFormat="false" ht="15" hidden="false" customHeight="false" outlineLevel="0" collapsed="false">
      <c r="A40" s="10" t="s">
        <v>37</v>
      </c>
      <c r="B40" s="11" t="n">
        <f aca="false">SUMIFS('Transaction Overview'!$D$2:$D$517,'Transaction Overview'!$J$2:$J$517,"Poseidon Asset Group",'Transaction Overview'!$D$2:$D$517,"&gt;0")</f>
        <v>238556.41</v>
      </c>
      <c r="C40" s="11" t="n">
        <f aca="false">SUMIFS('Transaction Overview'!$D$2:$D$517,'Transaction Overview'!$J$2:$J$517,"Poseidon Asset Group",'Transaction Overview'!$D$2:$D$517,"&lt;0")</f>
        <v>-8556.41</v>
      </c>
      <c r="D40" s="11" t="n">
        <f aca="false">B40+C40</f>
        <v>230000</v>
      </c>
    </row>
    <row r="42" customFormat="false" ht="15" hidden="false" customHeight="false" outlineLevel="0" collapsed="false">
      <c r="A42" s="9" t="s">
        <v>38</v>
      </c>
    </row>
    <row r="43" customFormat="false" ht="15" hidden="false" customHeight="false" outlineLevel="0" collapsed="false">
      <c r="A43" s="0" t="s">
        <v>39</v>
      </c>
      <c r="B43" s="7" t="n">
        <f aca="false">SUMIFS('Transaction Overview'!$D$2:$D$517,'Transaction Overview'!$I$2:$I$517,$A43,'Transaction Overview'!$D$2:$D$517,"&gt;0")</f>
        <v>0</v>
      </c>
      <c r="C43" s="7" t="n">
        <f aca="false">SUMIFS('Transaction Overview'!$D$2:$D$517,'Transaction Overview'!$I$2:$I$517,$A43,'Transaction Overview'!$D$2:$D$517,"&lt;0")</f>
        <v>-12956.18</v>
      </c>
      <c r="D43" s="7" t="n">
        <f aca="false">B43+C43</f>
        <v>-12956.18</v>
      </c>
    </row>
    <row r="44" customFormat="false" ht="15" hidden="false" customHeight="false" outlineLevel="0" collapsed="false">
      <c r="A44" s="0" t="s">
        <v>40</v>
      </c>
      <c r="B44" s="7" t="n">
        <f aca="false">SUMIFS('Transaction Overview'!$D$2:$D$517,'Transaction Overview'!$I$2:$I$517,$A44,'Transaction Overview'!$D$2:$D$517,"&gt;0")</f>
        <v>0</v>
      </c>
      <c r="C44" s="7" t="n">
        <f aca="false">SUMIFS('Transaction Overview'!$D$2:$D$517,'Transaction Overview'!$I$2:$I$517,$A44,'Transaction Overview'!$D$2:$D$517,"&lt;0")</f>
        <v>-4742</v>
      </c>
      <c r="D44" s="7" t="n">
        <f aca="false">B44+C44</f>
        <v>-4742</v>
      </c>
    </row>
    <row r="45" customFormat="false" ht="15" hidden="false" customHeight="false" outlineLevel="0" collapsed="false">
      <c r="A45" s="0" t="s">
        <v>41</v>
      </c>
      <c r="B45" s="7" t="n">
        <f aca="false">SUMIFS('Transaction Overview'!$D$2:$D$517,'Transaction Overview'!$I$2:$I$517,$A45,'Transaction Overview'!$D$2:$D$517,"&gt;0")</f>
        <v>0</v>
      </c>
      <c r="C45" s="7" t="n">
        <f aca="false">SUMIFS('Transaction Overview'!$D$2:$D$517,'Transaction Overview'!$I$2:$I$517,$A45,'Transaction Overview'!$D$2:$D$517,"&lt;0")</f>
        <v>-5000</v>
      </c>
      <c r="D45" s="7" t="n">
        <f aca="false">B45+C45</f>
        <v>-5000</v>
      </c>
    </row>
    <row r="46" customFormat="false" ht="15" hidden="false" customHeight="false" outlineLevel="0" collapsed="false">
      <c r="A46" s="0" t="s">
        <v>42</v>
      </c>
      <c r="B46" s="7" t="n">
        <f aca="false">SUMIFS('Transaction Overview'!$D$2:$D$517,'Transaction Overview'!$I$2:$I$517,$A46,'Transaction Overview'!$D$2:$D$517,"&gt;0")</f>
        <v>0</v>
      </c>
      <c r="C46" s="7" t="n">
        <f aca="false">SUMIFS('Transaction Overview'!$D$2:$D$517,'Transaction Overview'!$I$2:$I$517,$A46,'Transaction Overview'!$D$2:$D$517,"&lt;0")</f>
        <v>-200</v>
      </c>
      <c r="D46" s="7" t="n">
        <f aca="false">B46+C46</f>
        <v>-200</v>
      </c>
    </row>
    <row r="47" customFormat="false" ht="15" hidden="false" customHeight="false" outlineLevel="0" collapsed="false">
      <c r="A47" s="0" t="s">
        <v>43</v>
      </c>
      <c r="B47" s="7" t="n">
        <f aca="false">SUMIFS('Transaction Overview'!$D$2:$D$517,'Transaction Overview'!$I$2:$I$517,$A47,'Transaction Overview'!$D$2:$D$517,"&gt;0")</f>
        <v>0</v>
      </c>
      <c r="C47" s="7" t="n">
        <f aca="false">SUMIFS('Transaction Overview'!$D$2:$D$517,'Transaction Overview'!$I$2:$I$517,$A47,'Transaction Overview'!$D$2:$D$517,"&lt;0")</f>
        <v>-300</v>
      </c>
      <c r="D47" s="7" t="n">
        <f aca="false">B47+C47</f>
        <v>-300</v>
      </c>
    </row>
    <row r="48" customFormat="false" ht="15" hidden="false" customHeight="false" outlineLevel="0" collapsed="false">
      <c r="A48" s="0" t="s">
        <v>44</v>
      </c>
      <c r="B48" s="7" t="n">
        <f aca="false">SUMIFS('Transaction Overview'!$D$2:$D$517,'Transaction Overview'!$I$2:$I$517,$A48,'Transaction Overview'!$D$2:$D$517,"&gt;0")</f>
        <v>0</v>
      </c>
      <c r="C48" s="7" t="n">
        <f aca="false">SUMIFS('Transaction Overview'!$D$2:$D$517,'Transaction Overview'!$I$2:$I$517,$A48,'Transaction Overview'!$D$2:$D$517,"&lt;0")</f>
        <v>-200</v>
      </c>
      <c r="D48" s="7" t="n">
        <f aca="false">B48+C48</f>
        <v>-200</v>
      </c>
    </row>
    <row r="49" customFormat="false" ht="15" hidden="false" customHeight="false" outlineLevel="0" collapsed="false">
      <c r="A49" s="0" t="s">
        <v>45</v>
      </c>
      <c r="B49" s="7" t="n">
        <f aca="false">SUMIFS('Transaction Overview'!$D$2:$D$517,'Transaction Overview'!$I$2:$I$517,$A49,'Transaction Overview'!$D$2:$D$517,"&gt;0")</f>
        <v>0</v>
      </c>
      <c r="C49" s="7" t="n">
        <f aca="false">SUMIFS('Transaction Overview'!$D$2:$D$517,'Transaction Overview'!$I$2:$I$517,$A49,'Transaction Overview'!$D$2:$D$517,"&lt;0")</f>
        <v>-600</v>
      </c>
      <c r="D49" s="7" t="n">
        <f aca="false">B49+C49</f>
        <v>-600</v>
      </c>
    </row>
    <row r="50" customFormat="false" ht="15" hidden="false" customHeight="false" outlineLevel="0" collapsed="false">
      <c r="A50" s="0" t="s">
        <v>46</v>
      </c>
      <c r="B50" s="7" t="n">
        <f aca="false">SUMIFS('Transaction Overview'!$D$2:$D$517,'Transaction Overview'!$I$2:$I$517,$A50,'Transaction Overview'!$D$2:$D$517,"&gt;0")</f>
        <v>0</v>
      </c>
      <c r="C50" s="7" t="n">
        <f aca="false">SUMIFS('Transaction Overview'!$D$2:$D$517,'Transaction Overview'!$I$2:$I$517,$A50,'Transaction Overview'!$D$2:$D$517,"&lt;0")</f>
        <v>-200</v>
      </c>
      <c r="D50" s="7" t="n">
        <f aca="false">B50+C50</f>
        <v>-200</v>
      </c>
    </row>
    <row r="51" customFormat="false" ht="15" hidden="false" customHeight="false" outlineLevel="0" collapsed="false">
      <c r="A51" s="0" t="s">
        <v>47</v>
      </c>
      <c r="B51" s="7" t="n">
        <f aca="false">SUMIFS('Transaction Overview'!$D$2:$D$517,'Transaction Overview'!$I$2:$I$517,$A51,'Transaction Overview'!$D$2:$D$517,"&gt;0")</f>
        <v>0</v>
      </c>
      <c r="C51" s="7" t="n">
        <f aca="false">SUMIFS('Transaction Overview'!$D$2:$D$517,'Transaction Overview'!$I$2:$I$517,$A51,'Transaction Overview'!$D$2:$D$517,"&lt;0")</f>
        <v>-300</v>
      </c>
      <c r="D51" s="7" t="n">
        <f aca="false">B51+C51</f>
        <v>-300</v>
      </c>
    </row>
    <row r="52" customFormat="false" ht="15" hidden="false" customHeight="false" outlineLevel="0" collapsed="false">
      <c r="A52" s="0" t="s">
        <v>48</v>
      </c>
      <c r="B52" s="7" t="n">
        <f aca="false">SUMIFS('Transaction Overview'!$D$2:$D$517,'Transaction Overview'!$I$2:$I$517,$A52,'Transaction Overview'!$D$2:$D$517,"&gt;0")</f>
        <v>0</v>
      </c>
      <c r="C52" s="7" t="n">
        <f aca="false">SUMIFS('Transaction Overview'!$D$2:$D$517,'Transaction Overview'!$I$2:$I$517,$A52,'Transaction Overview'!$D$2:$D$517,"&lt;0")</f>
        <v>-700</v>
      </c>
      <c r="D52" s="7" t="n">
        <f aca="false">B52+C52</f>
        <v>-700</v>
      </c>
    </row>
    <row r="53" customFormat="false" ht="15" hidden="false" customHeight="false" outlineLevel="0" collapsed="false">
      <c r="A53" s="10" t="s">
        <v>49</v>
      </c>
      <c r="B53" s="11" t="n">
        <f aca="false">SUMIFS('Transaction Overview'!$D$2:$D$517,'Transaction Overview'!$J$2:$J$517,"Intercompany &amp; Savings Transfers",'Transaction Overview'!$D$2:$D$517,"&gt;0")</f>
        <v>0</v>
      </c>
      <c r="C53" s="11" t="n">
        <f aca="false">SUMIFS('Transaction Overview'!$D$2:$D$517,'Transaction Overview'!$J$2:$J$517,"Intercompany &amp; Savings Transfers",'Transaction Overview'!$D$2:$D$517,"&lt;0")</f>
        <v>-25198.18</v>
      </c>
      <c r="D53" s="11" t="n">
        <f aca="false">B53+C53</f>
        <v>-25198.18</v>
      </c>
    </row>
    <row r="55" customFormat="false" ht="15" hidden="false" customHeight="false" outlineLevel="0" collapsed="false">
      <c r="A55" s="9" t="s">
        <v>50</v>
      </c>
    </row>
    <row r="56" customFormat="false" ht="15" hidden="false" customHeight="false" outlineLevel="0" collapsed="false">
      <c r="A56" s="0" t="s">
        <v>51</v>
      </c>
      <c r="B56" s="7" t="n">
        <f aca="false">SUMIFS('Transaction Overview'!$D$2:$D$517,'Transaction Overview'!$I$2:$I$517,$A56,'Transaction Overview'!$D$2:$D$517,"&gt;0")</f>
        <v>0</v>
      </c>
      <c r="C56" s="7" t="n">
        <f aca="false">SUMIFS('Transaction Overview'!$D$2:$D$517,'Transaction Overview'!$I$2:$I$517,$A56,'Transaction Overview'!$D$2:$D$517,"&lt;0")</f>
        <v>-8305</v>
      </c>
      <c r="D56" s="7" t="n">
        <f aca="false">B56+C56</f>
        <v>-8305</v>
      </c>
    </row>
    <row r="57" customFormat="false" ht="15" hidden="false" customHeight="false" outlineLevel="0" collapsed="false">
      <c r="A57" s="0" t="s">
        <v>52</v>
      </c>
      <c r="B57" s="7" t="n">
        <f aca="false">SUMIFS('Transaction Overview'!$D$2:$D$517,'Transaction Overview'!$I$2:$I$517,$A57,'Transaction Overview'!$D$2:$D$517,"&gt;0")</f>
        <v>0</v>
      </c>
      <c r="C57" s="7" t="n">
        <f aca="false">SUMIFS('Transaction Overview'!$D$2:$D$517,'Transaction Overview'!$I$2:$I$517,$A57,'Transaction Overview'!$D$2:$D$517,"&lt;0")</f>
        <v>-28000</v>
      </c>
      <c r="D57" s="7" t="n">
        <f aca="false">B57+C57</f>
        <v>-28000</v>
      </c>
    </row>
    <row r="58" customFormat="false" ht="15" hidden="false" customHeight="false" outlineLevel="0" collapsed="false">
      <c r="A58" s="0" t="s">
        <v>53</v>
      </c>
      <c r="B58" s="7" t="n">
        <f aca="false">SUMIFS('Transaction Overview'!$D$2:$D$517,'Transaction Overview'!$I$2:$I$517,$A58,'Transaction Overview'!$D$2:$D$517,"&gt;0")</f>
        <v>0</v>
      </c>
      <c r="C58" s="7" t="n">
        <f aca="false">SUMIFS('Transaction Overview'!$D$2:$D$517,'Transaction Overview'!$I$2:$I$517,$A58,'Transaction Overview'!$D$2:$D$517,"&lt;0")</f>
        <v>-1086.31</v>
      </c>
      <c r="D58" s="7" t="n">
        <f aca="false">B58+C58</f>
        <v>-1086.31</v>
      </c>
    </row>
    <row r="59" customFormat="false" ht="15" hidden="false" customHeight="false" outlineLevel="0" collapsed="false">
      <c r="A59" s="0" t="s">
        <v>54</v>
      </c>
      <c r="B59" s="7" t="n">
        <f aca="false">SUMIFS('Transaction Overview'!$D$2:$D$517,'Transaction Overview'!$I$2:$I$517,$A59,'Transaction Overview'!$D$2:$D$517,"&gt;0")</f>
        <v>0</v>
      </c>
      <c r="C59" s="7" t="n">
        <f aca="false">SUMIFS('Transaction Overview'!$D$2:$D$517,'Transaction Overview'!$I$2:$I$517,$A59,'Transaction Overview'!$D$2:$D$517,"&lt;0")</f>
        <v>-43250</v>
      </c>
      <c r="D59" s="7" t="n">
        <f aca="false">B59+C59</f>
        <v>-43250</v>
      </c>
    </row>
    <row r="60" customFormat="false" ht="15" hidden="false" customHeight="false" outlineLevel="0" collapsed="false">
      <c r="A60" s="0" t="s">
        <v>55</v>
      </c>
      <c r="B60" s="7" t="n">
        <f aca="false">SUMIFS('Transaction Overview'!$D$2:$D$517,'Transaction Overview'!$I$2:$I$517,$A60,'Transaction Overview'!$D$2:$D$517,"&gt;0")</f>
        <v>0</v>
      </c>
      <c r="C60" s="7" t="n">
        <f aca="false">SUMIFS('Transaction Overview'!$D$2:$D$517,'Transaction Overview'!$I$2:$I$517,$A60,'Transaction Overview'!$D$2:$D$517,"&lt;0")</f>
        <v>-4046.7</v>
      </c>
      <c r="D60" s="7" t="n">
        <f aca="false">B60+C60</f>
        <v>-4046.7</v>
      </c>
    </row>
    <row r="61" customFormat="false" ht="15" hidden="false" customHeight="false" outlineLevel="0" collapsed="false">
      <c r="A61" s="0" t="s">
        <v>56</v>
      </c>
      <c r="B61" s="7" t="n">
        <f aca="false">SUMIFS('Transaction Overview'!$D$2:$D$517,'Transaction Overview'!$I$2:$I$517,$A61,'Transaction Overview'!$D$2:$D$517,"&gt;0")</f>
        <v>0</v>
      </c>
      <c r="C61" s="7" t="n">
        <f aca="false">SUMIFS('Transaction Overview'!$D$2:$D$517,'Transaction Overview'!$I$2:$I$517,$A61,'Transaction Overview'!$D$2:$D$517,"&lt;0")</f>
        <v>-1627.5</v>
      </c>
      <c r="D61" s="7" t="n">
        <f aca="false">B61+C61</f>
        <v>-1627.5</v>
      </c>
    </row>
    <row r="62" customFormat="false" ht="15" hidden="false" customHeight="false" outlineLevel="0" collapsed="false">
      <c r="A62" s="10" t="s">
        <v>57</v>
      </c>
      <c r="B62" s="11" t="n">
        <f aca="false">SUMIFS('Transaction Overview'!$D$2:$D$517,'Transaction Overview'!$J$2:$J$517,"Payroll &amp; Contractors",'Transaction Overview'!$D$2:$D$517,"&gt;0")</f>
        <v>0</v>
      </c>
      <c r="C62" s="11" t="n">
        <f aca="false">SUMIFS('Transaction Overview'!$D$2:$D$517,'Transaction Overview'!$J$2:$J$517,"Payroll &amp; Contractors",'Transaction Overview'!$D$2:$D$517,"&lt;0")</f>
        <v>-86315.51</v>
      </c>
      <c r="D62" s="11" t="n">
        <f aca="false">B62+C62</f>
        <v>-86315.51</v>
      </c>
    </row>
    <row r="64" customFormat="false" ht="15" hidden="false" customHeight="false" outlineLevel="0" collapsed="false">
      <c r="A64" s="9" t="s">
        <v>58</v>
      </c>
    </row>
    <row r="65" customFormat="false" ht="15" hidden="false" customHeight="false" outlineLevel="0" collapsed="false">
      <c r="A65" s="0" t="s">
        <v>59</v>
      </c>
      <c r="B65" s="7" t="n">
        <f aca="false">SUMIFS('Transaction Overview'!$D$2:$D$517,'Transaction Overview'!$I$2:$I$517,$A65,'Transaction Overview'!$D$2:$D$517,"&gt;0")</f>
        <v>0</v>
      </c>
      <c r="C65" s="7" t="n">
        <f aca="false">SUMIFS('Transaction Overview'!$D$2:$D$517,'Transaction Overview'!$I$2:$I$517,$A65,'Transaction Overview'!$D$2:$D$517,"&lt;0")</f>
        <v>-74.02</v>
      </c>
      <c r="D65" s="7" t="n">
        <f aca="false">B65+C65</f>
        <v>-74.02</v>
      </c>
    </row>
    <row r="66" customFormat="false" ht="15" hidden="false" customHeight="false" outlineLevel="0" collapsed="false">
      <c r="A66" s="0" t="s">
        <v>60</v>
      </c>
      <c r="B66" s="7" t="n">
        <f aca="false">SUMIFS('Transaction Overview'!$D$2:$D$517,'Transaction Overview'!$I$2:$I$517,$A66,'Transaction Overview'!$D$2:$D$517,"&gt;0")</f>
        <v>0</v>
      </c>
      <c r="C66" s="7" t="n">
        <f aca="false">SUMIFS('Transaction Overview'!$D$2:$D$517,'Transaction Overview'!$I$2:$I$517,$A66,'Transaction Overview'!$D$2:$D$517,"&lt;0")</f>
        <v>-17179</v>
      </c>
      <c r="D66" s="7" t="n">
        <f aca="false">B66+C66</f>
        <v>-17179</v>
      </c>
    </row>
    <row r="67" customFormat="false" ht="15" hidden="false" customHeight="false" outlineLevel="0" collapsed="false">
      <c r="A67" s="0" t="s">
        <v>61</v>
      </c>
      <c r="B67" s="7" t="n">
        <f aca="false">SUMIFS('Transaction Overview'!$D$2:$D$517,'Transaction Overview'!$I$2:$I$517,$A67,'Transaction Overview'!$D$2:$D$517,"&gt;0")</f>
        <v>0</v>
      </c>
      <c r="C67" s="7" t="n">
        <f aca="false">SUMIFS('Transaction Overview'!$D$2:$D$517,'Transaction Overview'!$I$2:$I$517,$A67,'Transaction Overview'!$D$2:$D$517,"&lt;0")</f>
        <v>-3600</v>
      </c>
      <c r="D67" s="7" t="n">
        <f aca="false">B67+C67</f>
        <v>-3600</v>
      </c>
    </row>
    <row r="68" customFormat="false" ht="15" hidden="false" customHeight="false" outlineLevel="0" collapsed="false">
      <c r="A68" s="0" t="s">
        <v>62</v>
      </c>
      <c r="B68" s="7" t="n">
        <f aca="false">SUMIFS('Transaction Overview'!$D$2:$D$517,'Transaction Overview'!$I$2:$I$517,$A68,'Transaction Overview'!$D$2:$D$517,"&gt;0")</f>
        <v>0</v>
      </c>
      <c r="C68" s="7" t="n">
        <f aca="false">SUMIFS('Transaction Overview'!$D$2:$D$517,'Transaction Overview'!$I$2:$I$517,$A68,'Transaction Overview'!$D$2:$D$517,"&lt;0")</f>
        <v>-200</v>
      </c>
      <c r="D68" s="7" t="n">
        <f aca="false">B68+C68</f>
        <v>-200</v>
      </c>
    </row>
    <row r="69" customFormat="false" ht="15" hidden="false" customHeight="false" outlineLevel="0" collapsed="false">
      <c r="A69" s="0" t="s">
        <v>63</v>
      </c>
      <c r="B69" s="7" t="n">
        <f aca="false">SUMIFS('Transaction Overview'!$D$2:$D$517,'Transaction Overview'!$I$2:$I$517,$A69,'Transaction Overview'!$D$2:$D$517,"&gt;0")</f>
        <v>0</v>
      </c>
      <c r="C69" s="7" t="n">
        <f aca="false">SUMIFS('Transaction Overview'!$D$2:$D$517,'Transaction Overview'!$I$2:$I$517,$A69,'Transaction Overview'!$D$2:$D$517,"&lt;0")</f>
        <v>-4600</v>
      </c>
      <c r="D69" s="7" t="n">
        <f aca="false">B69+C69</f>
        <v>-4600</v>
      </c>
    </row>
    <row r="70" customFormat="false" ht="15" hidden="false" customHeight="false" outlineLevel="0" collapsed="false">
      <c r="A70" s="0" t="s">
        <v>64</v>
      </c>
      <c r="B70" s="7" t="n">
        <f aca="false">SUMIFS('Transaction Overview'!$D$2:$D$517,'Transaction Overview'!$I$2:$I$517,$A70,'Transaction Overview'!$D$2:$D$517,"&gt;0")</f>
        <v>0</v>
      </c>
      <c r="C70" s="7" t="n">
        <f aca="false">SUMIFS('Transaction Overview'!$D$2:$D$517,'Transaction Overview'!$I$2:$I$517,$A70,'Transaction Overview'!$D$2:$D$517,"&lt;0")</f>
        <v>-2000</v>
      </c>
      <c r="D70" s="7" t="n">
        <f aca="false">B70+C70</f>
        <v>-2000</v>
      </c>
    </row>
    <row r="71" customFormat="false" ht="15" hidden="false" customHeight="false" outlineLevel="0" collapsed="false">
      <c r="A71" s="0" t="s">
        <v>65</v>
      </c>
      <c r="B71" s="7" t="n">
        <f aca="false">SUMIFS('Transaction Overview'!$D$2:$D$517,'Transaction Overview'!$I$2:$I$517,$A71,'Transaction Overview'!$D$2:$D$517,"&gt;0")</f>
        <v>0</v>
      </c>
      <c r="C71" s="7" t="n">
        <f aca="false">SUMIFS('Transaction Overview'!$D$2:$D$517,'Transaction Overview'!$I$2:$I$517,$A71,'Transaction Overview'!$D$2:$D$517,"&lt;0")</f>
        <v>-325</v>
      </c>
      <c r="D71" s="7" t="n">
        <f aca="false">B71+C71</f>
        <v>-325</v>
      </c>
    </row>
    <row r="72" customFormat="false" ht="15" hidden="false" customHeight="false" outlineLevel="0" collapsed="false">
      <c r="A72" s="10" t="s">
        <v>66</v>
      </c>
      <c r="B72" s="11" t="n">
        <f aca="false">SUMIFS('Transaction Overview'!$D$2:$D$517,'Transaction Overview'!$J$2:$J$517,"P2P Payments (Zelle/Venmo/PayPal)",'Transaction Overview'!$D$2:$D$517,"&gt;0")</f>
        <v>0</v>
      </c>
      <c r="C72" s="11" t="n">
        <f aca="false">SUMIFS('Transaction Overview'!$D$2:$D$517,'Transaction Overview'!$J$2:$J$517,"P2P Payments (Zelle/Venmo/PayPal)",'Transaction Overview'!$D$2:$D$517,"&lt;0")</f>
        <v>-27978.02</v>
      </c>
      <c r="D72" s="11" t="n">
        <f aca="false">B72+C72</f>
        <v>-27978.02</v>
      </c>
    </row>
    <row r="74" customFormat="false" ht="15" hidden="false" customHeight="false" outlineLevel="0" collapsed="false">
      <c r="A74" s="9" t="s">
        <v>67</v>
      </c>
    </row>
    <row r="75" customFormat="false" ht="15" hidden="false" customHeight="false" outlineLevel="0" collapsed="false">
      <c r="A75" s="0" t="s">
        <v>68</v>
      </c>
      <c r="B75" s="7" t="n">
        <f aca="false">SUMIFS('Transaction Overview'!$D$2:$D$517,'Transaction Overview'!$I$2:$I$517,$A75,'Transaction Overview'!$D$2:$D$517,"&gt;0")</f>
        <v>0</v>
      </c>
      <c r="C75" s="7" t="n">
        <f aca="false">SUMIFS('Transaction Overview'!$D$2:$D$517,'Transaction Overview'!$I$2:$I$517,$A75,'Transaction Overview'!$D$2:$D$517,"&lt;0")</f>
        <v>-152700</v>
      </c>
      <c r="D75" s="7" t="n">
        <f aca="false">B75+C75</f>
        <v>-152700</v>
      </c>
    </row>
    <row r="76" customFormat="false" ht="15" hidden="false" customHeight="false" outlineLevel="0" collapsed="false">
      <c r="A76" s="0" t="s">
        <v>69</v>
      </c>
      <c r="B76" s="7" t="n">
        <f aca="false">SUMIFS('Transaction Overview'!$D$2:$D$517,'Transaction Overview'!$I$2:$I$517,$A76,'Transaction Overview'!$D$2:$D$517,"&gt;0")</f>
        <v>0</v>
      </c>
      <c r="C76" s="7" t="n">
        <f aca="false">SUMIFS('Transaction Overview'!$D$2:$D$517,'Transaction Overview'!$I$2:$I$517,$A76,'Transaction Overview'!$D$2:$D$517,"&lt;0")</f>
        <v>-3200</v>
      </c>
      <c r="D76" s="7" t="n">
        <f aca="false">B76+C76</f>
        <v>-3200</v>
      </c>
    </row>
    <row r="77" customFormat="false" ht="15" hidden="false" customHeight="false" outlineLevel="0" collapsed="false">
      <c r="A77" s="0" t="s">
        <v>70</v>
      </c>
      <c r="B77" s="7" t="n">
        <f aca="false">SUMIFS('Transaction Overview'!$D$2:$D$517,'Transaction Overview'!$I$2:$I$517,$A77,'Transaction Overview'!$D$2:$D$517,"&gt;0")</f>
        <v>0</v>
      </c>
      <c r="C77" s="7" t="n">
        <f aca="false">SUMIFS('Transaction Overview'!$D$2:$D$517,'Transaction Overview'!$I$2:$I$517,$A77,'Transaction Overview'!$D$2:$D$517,"&lt;0")</f>
        <v>-11000</v>
      </c>
      <c r="D77" s="7" t="n">
        <f aca="false">B77+C77</f>
        <v>-11000</v>
      </c>
    </row>
    <row r="78" customFormat="false" ht="15" hidden="false" customHeight="false" outlineLevel="0" collapsed="false">
      <c r="A78" s="10" t="s">
        <v>71</v>
      </c>
      <c r="B78" s="11" t="n">
        <f aca="false">SUMIFS('Transaction Overview'!$D$2:$D$517,'Transaction Overview'!$J$2:$J$517,"Owner / Family Distributions",'Transaction Overview'!$D$2:$D$517,"&gt;0")</f>
        <v>0</v>
      </c>
      <c r="C78" s="11" t="n">
        <f aca="false">SUMIFS('Transaction Overview'!$D$2:$D$517,'Transaction Overview'!$J$2:$J$517,"Owner / Family Distributions",'Transaction Overview'!$D$2:$D$517,"&lt;0")</f>
        <v>-166900</v>
      </c>
      <c r="D78" s="11" t="n">
        <f aca="false">B78+C78</f>
        <v>-166900</v>
      </c>
    </row>
    <row r="80" customFormat="false" ht="15" hidden="false" customHeight="false" outlineLevel="0" collapsed="false">
      <c r="A80" s="9" t="s">
        <v>72</v>
      </c>
    </row>
    <row r="81" customFormat="false" ht="15" hidden="false" customHeight="false" outlineLevel="0" collapsed="false">
      <c r="A81" s="0" t="s">
        <v>73</v>
      </c>
      <c r="B81" s="7" t="n">
        <f aca="false">SUMIFS('Transaction Overview'!$D$2:$D$517,'Transaction Overview'!$I$2:$I$517,$A81,'Transaction Overview'!$D$2:$D$517,"&gt;0")</f>
        <v>0</v>
      </c>
      <c r="C81" s="7" t="n">
        <f aca="false">SUMIFS('Transaction Overview'!$D$2:$D$517,'Transaction Overview'!$I$2:$I$517,$A81,'Transaction Overview'!$D$2:$D$517,"&lt;0")</f>
        <v>-331.54</v>
      </c>
      <c r="D81" s="7" t="n">
        <f aca="false">B81+C81</f>
        <v>-331.54</v>
      </c>
    </row>
    <row r="82" customFormat="false" ht="15" hidden="false" customHeight="false" outlineLevel="0" collapsed="false">
      <c r="A82" s="0" t="s">
        <v>74</v>
      </c>
      <c r="B82" s="7" t="n">
        <f aca="false">SUMIFS('Transaction Overview'!$D$2:$D$517,'Transaction Overview'!$I$2:$I$517,$A82,'Transaction Overview'!$D$2:$D$517,"&gt;0")</f>
        <v>0</v>
      </c>
      <c r="C82" s="7" t="n">
        <f aca="false">SUMIFS('Transaction Overview'!$D$2:$D$517,'Transaction Overview'!$I$2:$I$517,$A82,'Transaction Overview'!$D$2:$D$517,"&lt;0")</f>
        <v>-12620</v>
      </c>
      <c r="D82" s="7" t="n">
        <f aca="false">B82+C82</f>
        <v>-12620</v>
      </c>
    </row>
    <row r="83" customFormat="false" ht="15" hidden="false" customHeight="false" outlineLevel="0" collapsed="false">
      <c r="A83" s="10" t="s">
        <v>75</v>
      </c>
      <c r="B83" s="11" t="n">
        <f aca="false">SUMIFS('Transaction Overview'!$D$2:$D$517,'Transaction Overview'!$J$2:$J$517,"Credit Card &amp; Loan Payments",'Transaction Overview'!$D$2:$D$517,"&gt;0")</f>
        <v>0</v>
      </c>
      <c r="C83" s="11" t="n">
        <f aca="false">SUMIFS('Transaction Overview'!$D$2:$D$517,'Transaction Overview'!$J$2:$J$517,"Credit Card &amp; Loan Payments",'Transaction Overview'!$D$2:$D$517,"&lt;0")</f>
        <v>-12951.54</v>
      </c>
      <c r="D83" s="11" t="n">
        <f aca="false">B83+C83</f>
        <v>-12951.54</v>
      </c>
    </row>
    <row r="85" customFormat="false" ht="15" hidden="false" customHeight="false" outlineLevel="0" collapsed="false">
      <c r="A85" s="9" t="s">
        <v>76</v>
      </c>
    </row>
    <row r="86" customFormat="false" ht="15" hidden="false" customHeight="false" outlineLevel="0" collapsed="false">
      <c r="A86" s="0" t="s">
        <v>76</v>
      </c>
      <c r="B86" s="7" t="n">
        <f aca="false">SUMIFS('Transaction Overview'!$D$2:$D$517,'Transaction Overview'!$I$2:$I$517,$A86,'Transaction Overview'!$D$2:$D$517,"&gt;0")</f>
        <v>0</v>
      </c>
      <c r="C86" s="7" t="n">
        <f aca="false">SUMIFS('Transaction Overview'!$D$2:$D$517,'Transaction Overview'!$I$2:$I$517,$A86,'Transaction Overview'!$D$2:$D$517,"&lt;0")</f>
        <v>-860</v>
      </c>
      <c r="D86" s="7" t="n">
        <f aca="false">B86+C86</f>
        <v>-860</v>
      </c>
    </row>
    <row r="87" customFormat="false" ht="15" hidden="false" customHeight="false" outlineLevel="0" collapsed="false">
      <c r="A87" s="10" t="s">
        <v>77</v>
      </c>
      <c r="B87" s="11" t="n">
        <f aca="false">SUMIFS('Transaction Overview'!$D$2:$D$517,'Transaction Overview'!$J$2:$J$517,"Taxes",'Transaction Overview'!$D$2:$D$517,"&gt;0")</f>
        <v>0</v>
      </c>
      <c r="C87" s="11" t="n">
        <f aca="false">SUMIFS('Transaction Overview'!$D$2:$D$517,'Transaction Overview'!$J$2:$J$517,"Taxes",'Transaction Overview'!$D$2:$D$517,"&lt;0")</f>
        <v>-860</v>
      </c>
      <c r="D87" s="11" t="n">
        <f aca="false">B87+C87</f>
        <v>-860</v>
      </c>
    </row>
    <row r="89" customFormat="false" ht="15" hidden="false" customHeight="false" outlineLevel="0" collapsed="false">
      <c r="A89" s="9" t="s">
        <v>78</v>
      </c>
    </row>
    <row r="90" customFormat="false" ht="15" hidden="false" customHeight="false" outlineLevel="0" collapsed="false">
      <c r="A90" s="0" t="s">
        <v>79</v>
      </c>
      <c r="B90" s="7" t="n">
        <f aca="false">SUMIFS('Transaction Overview'!$D$2:$D$517,'Transaction Overview'!$I$2:$I$517,$A90,'Transaction Overview'!$D$2:$D$517,"&gt;0")</f>
        <v>0</v>
      </c>
      <c r="C90" s="7" t="n">
        <f aca="false">SUMIFS('Transaction Overview'!$D$2:$D$517,'Transaction Overview'!$I$2:$I$517,$A90,'Transaction Overview'!$D$2:$D$517,"&lt;0")</f>
        <v>-21.28</v>
      </c>
      <c r="D90" s="7" t="n">
        <f aca="false">B90+C90</f>
        <v>-21.28</v>
      </c>
    </row>
    <row r="91" customFormat="false" ht="15" hidden="false" customHeight="false" outlineLevel="0" collapsed="false">
      <c r="A91" s="0" t="s">
        <v>80</v>
      </c>
      <c r="B91" s="7" t="n">
        <f aca="false">SUMIFS('Transaction Overview'!$D$2:$D$517,'Transaction Overview'!$I$2:$I$517,$A91,'Transaction Overview'!$D$2:$D$517,"&gt;0")</f>
        <v>0</v>
      </c>
      <c r="C91" s="7" t="n">
        <f aca="false">SUMIFS('Transaction Overview'!$D$2:$D$517,'Transaction Overview'!$I$2:$I$517,$A91,'Transaction Overview'!$D$2:$D$517,"&lt;0")</f>
        <v>-264.05</v>
      </c>
      <c r="D91" s="7" t="n">
        <f aca="false">B91+C91</f>
        <v>-264.05</v>
      </c>
    </row>
    <row r="92" customFormat="false" ht="15" hidden="false" customHeight="false" outlineLevel="0" collapsed="false">
      <c r="A92" s="0" t="s">
        <v>81</v>
      </c>
      <c r="B92" s="7" t="n">
        <f aca="false">SUMIFS('Transaction Overview'!$D$2:$D$517,'Transaction Overview'!$I$2:$I$517,$A92,'Transaction Overview'!$D$2:$D$517,"&gt;0")</f>
        <v>0</v>
      </c>
      <c r="C92" s="7" t="n">
        <f aca="false">SUMIFS('Transaction Overview'!$D$2:$D$517,'Transaction Overview'!$I$2:$I$517,$A92,'Transaction Overview'!$D$2:$D$517,"&lt;0")</f>
        <v>-1800</v>
      </c>
      <c r="D92" s="7" t="n">
        <f aca="false">B92+C92</f>
        <v>-1800</v>
      </c>
    </row>
    <row r="93" customFormat="false" ht="15" hidden="false" customHeight="false" outlineLevel="0" collapsed="false">
      <c r="A93" s="0" t="s">
        <v>82</v>
      </c>
      <c r="B93" s="7" t="n">
        <f aca="false">SUMIFS('Transaction Overview'!$D$2:$D$517,'Transaction Overview'!$I$2:$I$517,$A93,'Transaction Overview'!$D$2:$D$517,"&gt;0")</f>
        <v>0</v>
      </c>
      <c r="C93" s="7" t="n">
        <f aca="false">SUMIFS('Transaction Overview'!$D$2:$D$517,'Transaction Overview'!$I$2:$I$517,$A93,'Transaction Overview'!$D$2:$D$517,"&lt;0")</f>
        <v>-520.05</v>
      </c>
      <c r="D93" s="7" t="n">
        <f aca="false">B93+C93</f>
        <v>-520.05</v>
      </c>
    </row>
    <row r="94" customFormat="false" ht="15" hidden="false" customHeight="false" outlineLevel="0" collapsed="false">
      <c r="A94" s="0" t="s">
        <v>83</v>
      </c>
      <c r="B94" s="7" t="n">
        <f aca="false">SUMIFS('Transaction Overview'!$D$2:$D$517,'Transaction Overview'!$I$2:$I$517,$A94,'Transaction Overview'!$D$2:$D$517,"&gt;0")</f>
        <v>0</v>
      </c>
      <c r="C94" s="7" t="n">
        <f aca="false">SUMIFS('Transaction Overview'!$D$2:$D$517,'Transaction Overview'!$I$2:$I$517,$A94,'Transaction Overview'!$D$2:$D$517,"&lt;0")</f>
        <v>-64.68</v>
      </c>
      <c r="D94" s="7" t="n">
        <f aca="false">B94+C94</f>
        <v>-64.68</v>
      </c>
    </row>
    <row r="95" customFormat="false" ht="15" hidden="false" customHeight="false" outlineLevel="0" collapsed="false">
      <c r="A95" s="0" t="s">
        <v>84</v>
      </c>
      <c r="B95" s="7" t="n">
        <f aca="false">SUMIFS('Transaction Overview'!$D$2:$D$517,'Transaction Overview'!$I$2:$I$517,$A95,'Transaction Overview'!$D$2:$D$517,"&gt;0")</f>
        <v>0</v>
      </c>
      <c r="C95" s="7" t="n">
        <f aca="false">SUMIFS('Transaction Overview'!$D$2:$D$517,'Transaction Overview'!$I$2:$I$517,$A95,'Transaction Overview'!$D$2:$D$517,"&lt;0")</f>
        <v>-3951.77</v>
      </c>
      <c r="D95" s="7" t="n">
        <f aca="false">B95+C95</f>
        <v>-3951.77</v>
      </c>
    </row>
    <row r="96" customFormat="false" ht="15" hidden="false" customHeight="false" outlineLevel="0" collapsed="false">
      <c r="A96" s="0" t="s">
        <v>85</v>
      </c>
      <c r="B96" s="7" t="n">
        <f aca="false">SUMIFS('Transaction Overview'!$D$2:$D$517,'Transaction Overview'!$I$2:$I$517,$A96,'Transaction Overview'!$D$2:$D$517,"&gt;0")</f>
        <v>0</v>
      </c>
      <c r="C96" s="7" t="n">
        <f aca="false">SUMIFS('Transaction Overview'!$D$2:$D$517,'Transaction Overview'!$I$2:$I$517,$A96,'Transaction Overview'!$D$2:$D$517,"&lt;0")</f>
        <v>-288</v>
      </c>
      <c r="D96" s="7" t="n">
        <f aca="false">B96+C96</f>
        <v>-288</v>
      </c>
    </row>
    <row r="97" customFormat="false" ht="15" hidden="false" customHeight="false" outlineLevel="0" collapsed="false">
      <c r="A97" s="0" t="s">
        <v>86</v>
      </c>
      <c r="B97" s="7" t="n">
        <f aca="false">SUMIFS('Transaction Overview'!$D$2:$D$517,'Transaction Overview'!$I$2:$I$517,$A97,'Transaction Overview'!$D$2:$D$517,"&gt;0")</f>
        <v>0</v>
      </c>
      <c r="C97" s="7" t="n">
        <f aca="false">SUMIFS('Transaction Overview'!$D$2:$D$517,'Transaction Overview'!$I$2:$I$517,$A97,'Transaction Overview'!$D$2:$D$517,"&lt;0")</f>
        <v>-606.05</v>
      </c>
      <c r="D97" s="7" t="n">
        <f aca="false">B97+C97</f>
        <v>-606.05</v>
      </c>
    </row>
    <row r="98" customFormat="false" ht="15" hidden="false" customHeight="false" outlineLevel="0" collapsed="false">
      <c r="A98" s="0" t="s">
        <v>87</v>
      </c>
      <c r="B98" s="7" t="n">
        <f aca="false">SUMIFS('Transaction Overview'!$D$2:$D$517,'Transaction Overview'!$I$2:$I$517,$A98,'Transaction Overview'!$D$2:$D$517,"&gt;0")</f>
        <v>0</v>
      </c>
      <c r="C98" s="7" t="n">
        <f aca="false">SUMIFS('Transaction Overview'!$D$2:$D$517,'Transaction Overview'!$I$2:$I$517,$A98,'Transaction Overview'!$D$2:$D$517,"&lt;0")</f>
        <v>-112.43</v>
      </c>
      <c r="D98" s="7" t="n">
        <f aca="false">B98+C98</f>
        <v>-112.43</v>
      </c>
    </row>
    <row r="99" customFormat="false" ht="15" hidden="false" customHeight="false" outlineLevel="0" collapsed="false">
      <c r="A99" s="0" t="s">
        <v>88</v>
      </c>
      <c r="B99" s="7" t="n">
        <f aca="false">SUMIFS('Transaction Overview'!$D$2:$D$517,'Transaction Overview'!$I$2:$I$517,$A99,'Transaction Overview'!$D$2:$D$517,"&gt;0")</f>
        <v>0</v>
      </c>
      <c r="C99" s="7" t="n">
        <f aca="false">SUMIFS('Transaction Overview'!$D$2:$D$517,'Transaction Overview'!$I$2:$I$517,$A99,'Transaction Overview'!$D$2:$D$517,"&lt;0")</f>
        <v>-90</v>
      </c>
      <c r="D99" s="7" t="n">
        <f aca="false">B99+C99</f>
        <v>-90</v>
      </c>
    </row>
    <row r="100" customFormat="false" ht="15" hidden="false" customHeight="false" outlineLevel="0" collapsed="false">
      <c r="A100" s="10" t="s">
        <v>89</v>
      </c>
      <c r="B100" s="11" t="n">
        <f aca="false">SUMIFS('Transaction Overview'!$D$2:$D$517,'Transaction Overview'!$J$2:$J$517,"DWG Operating",'Transaction Overview'!$D$2:$D$517,"&gt;0")</f>
        <v>0</v>
      </c>
      <c r="C100" s="11" t="n">
        <f aca="false">SUMIFS('Transaction Overview'!$D$2:$D$517,'Transaction Overview'!$J$2:$J$517,"DWG Operating",'Transaction Overview'!$D$2:$D$517,"&lt;0")</f>
        <v>-7718.31</v>
      </c>
      <c r="D100" s="11" t="n">
        <f aca="false">B100+C100</f>
        <v>-7718.31</v>
      </c>
    </row>
    <row r="102" customFormat="false" ht="15" hidden="false" customHeight="false" outlineLevel="0" collapsed="false">
      <c r="A102" s="9" t="s">
        <v>90</v>
      </c>
    </row>
    <row r="103" customFormat="false" ht="15" hidden="false" customHeight="false" outlineLevel="0" collapsed="false">
      <c r="A103" s="0" t="s">
        <v>91</v>
      </c>
      <c r="B103" s="7" t="n">
        <f aca="false">SUMIFS('Transaction Overview'!$D$2:$D$517,'Transaction Overview'!$I$2:$I$517,$A103,'Transaction Overview'!$D$2:$D$517,"&gt;0")</f>
        <v>0</v>
      </c>
      <c r="C103" s="7" t="n">
        <f aca="false">SUMIFS('Transaction Overview'!$D$2:$D$517,'Transaction Overview'!$I$2:$I$517,$A103,'Transaction Overview'!$D$2:$D$517,"&lt;0")</f>
        <v>-166.74</v>
      </c>
      <c r="D103" s="7" t="n">
        <f aca="false">B103+C103</f>
        <v>-166.74</v>
      </c>
    </row>
    <row r="104" customFormat="false" ht="15" hidden="false" customHeight="false" outlineLevel="0" collapsed="false">
      <c r="A104" s="0" t="s">
        <v>92</v>
      </c>
      <c r="B104" s="7" t="n">
        <f aca="false">SUMIFS('Transaction Overview'!$D$2:$D$517,'Transaction Overview'!$I$2:$I$517,$A104,'Transaction Overview'!$D$2:$D$517,"&gt;0")</f>
        <v>0</v>
      </c>
      <c r="C104" s="7" t="n">
        <f aca="false">SUMIFS('Transaction Overview'!$D$2:$D$517,'Transaction Overview'!$I$2:$I$517,$A104,'Transaction Overview'!$D$2:$D$517,"&lt;0")</f>
        <v>-315</v>
      </c>
      <c r="D104" s="7" t="n">
        <f aca="false">B104+C104</f>
        <v>-315</v>
      </c>
    </row>
    <row r="105" customFormat="false" ht="15" hidden="false" customHeight="false" outlineLevel="0" collapsed="false">
      <c r="A105" s="10" t="s">
        <v>93</v>
      </c>
      <c r="B105" s="11" t="n">
        <f aca="false">SUMIFS('Transaction Overview'!$D$2:$D$517,'Transaction Overview'!$J$2:$J$517,"Business Travel",'Transaction Overview'!$D$2:$D$517,"&gt;0")</f>
        <v>0</v>
      </c>
      <c r="C105" s="11" t="n">
        <f aca="false">SUMIFS('Transaction Overview'!$D$2:$D$517,'Transaction Overview'!$J$2:$J$517,"Business Travel",'Transaction Overview'!$D$2:$D$517,"&lt;0")</f>
        <v>-481.74</v>
      </c>
      <c r="D105" s="11" t="n">
        <f aca="false">B105+C105</f>
        <v>-481.74</v>
      </c>
    </row>
    <row r="107" customFormat="false" ht="15" hidden="false" customHeight="false" outlineLevel="0" collapsed="false">
      <c r="A107" s="9" t="s">
        <v>94</v>
      </c>
    </row>
    <row r="108" customFormat="false" ht="15" hidden="false" customHeight="false" outlineLevel="0" collapsed="false">
      <c r="A108" s="0" t="s">
        <v>95</v>
      </c>
      <c r="B108" s="7" t="n">
        <f aca="false">SUMIFS('Transaction Overview'!$D$2:$D$517,'Transaction Overview'!$I$2:$I$517,$A108,'Transaction Overview'!$D$2:$D$517,"&gt;0")</f>
        <v>0</v>
      </c>
      <c r="C108" s="7" t="n">
        <f aca="false">SUMIFS('Transaction Overview'!$D$2:$D$517,'Transaction Overview'!$I$2:$I$517,$A108,'Transaction Overview'!$D$2:$D$517,"&lt;0")</f>
        <v>-519.52</v>
      </c>
      <c r="D108" s="7" t="n">
        <f aca="false">B108+C108</f>
        <v>-519.52</v>
      </c>
    </row>
    <row r="109" customFormat="false" ht="15" hidden="false" customHeight="false" outlineLevel="0" collapsed="false">
      <c r="A109" s="0" t="s">
        <v>96</v>
      </c>
      <c r="B109" s="7" t="n">
        <f aca="false">SUMIFS('Transaction Overview'!$D$2:$D$517,'Transaction Overview'!$I$2:$I$517,$A109,'Transaction Overview'!$D$2:$D$517,"&gt;0")</f>
        <v>0</v>
      </c>
      <c r="C109" s="7" t="n">
        <f aca="false">SUMIFS('Transaction Overview'!$D$2:$D$517,'Transaction Overview'!$I$2:$I$517,$A109,'Transaction Overview'!$D$2:$D$517,"&lt;0")</f>
        <v>-148.55</v>
      </c>
      <c r="D109" s="7" t="n">
        <f aca="false">B109+C109</f>
        <v>-148.55</v>
      </c>
    </row>
    <row r="110" customFormat="false" ht="15" hidden="false" customHeight="false" outlineLevel="0" collapsed="false">
      <c r="A110" s="0" t="s">
        <v>97</v>
      </c>
      <c r="B110" s="7" t="n">
        <f aca="false">SUMIFS('Transaction Overview'!$D$2:$D$517,'Transaction Overview'!$I$2:$I$517,$A110,'Transaction Overview'!$D$2:$D$517,"&gt;0")</f>
        <v>0</v>
      </c>
      <c r="C110" s="7" t="n">
        <f aca="false">SUMIFS('Transaction Overview'!$D$2:$D$517,'Transaction Overview'!$I$2:$I$517,$A110,'Transaction Overview'!$D$2:$D$517,"&lt;0")</f>
        <v>-28400</v>
      </c>
      <c r="D110" s="7" t="n">
        <f aca="false">B110+C110</f>
        <v>-28400</v>
      </c>
    </row>
    <row r="111" customFormat="false" ht="15" hidden="false" customHeight="false" outlineLevel="0" collapsed="false">
      <c r="A111" s="0" t="s">
        <v>98</v>
      </c>
      <c r="B111" s="7" t="n">
        <f aca="false">SUMIFS('Transaction Overview'!$D$2:$D$517,'Transaction Overview'!$I$2:$I$517,$A111,'Transaction Overview'!$D$2:$D$517,"&gt;0")</f>
        <v>0</v>
      </c>
      <c r="C111" s="7" t="n">
        <f aca="false">SUMIFS('Transaction Overview'!$D$2:$D$517,'Transaction Overview'!$I$2:$I$517,$A111,'Transaction Overview'!$D$2:$D$517,"&lt;0")</f>
        <v>-27303.4</v>
      </c>
      <c r="D111" s="7" t="n">
        <f aca="false">B111+C111</f>
        <v>-27303.4</v>
      </c>
    </row>
    <row r="112" customFormat="false" ht="15" hidden="false" customHeight="false" outlineLevel="0" collapsed="false">
      <c r="A112" s="0" t="s">
        <v>99</v>
      </c>
      <c r="B112" s="7" t="n">
        <f aca="false">SUMIFS('Transaction Overview'!$D$2:$D$517,'Transaction Overview'!$I$2:$I$517,$A112,'Transaction Overview'!$D$2:$D$517,"&gt;0")</f>
        <v>0</v>
      </c>
      <c r="C112" s="7" t="n">
        <f aca="false">SUMIFS('Transaction Overview'!$D$2:$D$517,'Transaction Overview'!$I$2:$I$517,$A112,'Transaction Overview'!$D$2:$D$517,"&lt;0")</f>
        <v>-41.99</v>
      </c>
      <c r="D112" s="7" t="n">
        <f aca="false">B112+C112</f>
        <v>-41.99</v>
      </c>
    </row>
    <row r="113" customFormat="false" ht="15" hidden="false" customHeight="false" outlineLevel="0" collapsed="false">
      <c r="A113" s="0" t="s">
        <v>100</v>
      </c>
      <c r="B113" s="7" t="n">
        <f aca="false">SUMIFS('Transaction Overview'!$D$2:$D$517,'Transaction Overview'!$I$2:$I$517,$A113,'Transaction Overview'!$D$2:$D$517,"&gt;0")</f>
        <v>0</v>
      </c>
      <c r="C113" s="7" t="n">
        <f aca="false">SUMIFS('Transaction Overview'!$D$2:$D$517,'Transaction Overview'!$I$2:$I$517,$A113,'Transaction Overview'!$D$2:$D$517,"&lt;0")</f>
        <v>-14380.81</v>
      </c>
      <c r="D113" s="7" t="n">
        <f aca="false">B113+C113</f>
        <v>-14380.81</v>
      </c>
    </row>
    <row r="114" customFormat="false" ht="15" hidden="false" customHeight="false" outlineLevel="0" collapsed="false">
      <c r="A114" s="0" t="s">
        <v>101</v>
      </c>
      <c r="B114" s="7" t="n">
        <f aca="false">SUMIFS('Transaction Overview'!$D$2:$D$517,'Transaction Overview'!$I$2:$I$517,$A114,'Transaction Overview'!$D$2:$D$517,"&gt;0")</f>
        <v>0</v>
      </c>
      <c r="C114" s="7" t="n">
        <f aca="false">SUMIFS('Transaction Overview'!$D$2:$D$517,'Transaction Overview'!$I$2:$I$517,$A114,'Transaction Overview'!$D$2:$D$517,"&lt;0")</f>
        <v>-203.2</v>
      </c>
      <c r="D114" s="7" t="n">
        <f aca="false">B114+C114</f>
        <v>-203.2</v>
      </c>
    </row>
    <row r="115" customFormat="false" ht="15" hidden="false" customHeight="false" outlineLevel="0" collapsed="false">
      <c r="A115" s="0" t="s">
        <v>102</v>
      </c>
      <c r="B115" s="7" t="n">
        <f aca="false">SUMIFS('Transaction Overview'!$D$2:$D$517,'Transaction Overview'!$I$2:$I$517,$A115,'Transaction Overview'!$D$2:$D$517,"&gt;0")</f>
        <v>0</v>
      </c>
      <c r="C115" s="7" t="n">
        <f aca="false">SUMIFS('Transaction Overview'!$D$2:$D$517,'Transaction Overview'!$I$2:$I$517,$A115,'Transaction Overview'!$D$2:$D$517,"&lt;0")</f>
        <v>-424.18</v>
      </c>
      <c r="D115" s="7" t="n">
        <f aca="false">B115+C115</f>
        <v>-424.18</v>
      </c>
    </row>
    <row r="116" customFormat="false" ht="15" hidden="false" customHeight="false" outlineLevel="0" collapsed="false">
      <c r="A116" s="0" t="s">
        <v>103</v>
      </c>
      <c r="B116" s="7" t="n">
        <f aca="false">SUMIFS('Transaction Overview'!$D$2:$D$517,'Transaction Overview'!$I$2:$I$517,$A116,'Transaction Overview'!$D$2:$D$517,"&gt;0")</f>
        <v>0</v>
      </c>
      <c r="C116" s="7" t="n">
        <f aca="false">SUMIFS('Transaction Overview'!$D$2:$D$517,'Transaction Overview'!$I$2:$I$517,$A116,'Transaction Overview'!$D$2:$D$517,"&lt;0")</f>
        <v>-1028.33</v>
      </c>
      <c r="D116" s="7" t="n">
        <f aca="false">B116+C116</f>
        <v>-1028.33</v>
      </c>
    </row>
    <row r="117" customFormat="false" ht="15" hidden="false" customHeight="false" outlineLevel="0" collapsed="false">
      <c r="A117" s="10" t="s">
        <v>104</v>
      </c>
      <c r="B117" s="11" t="n">
        <f aca="false">SUMIFS('Transaction Overview'!$D$2:$D$517,'Transaction Overview'!$J$2:$J$517,"Personal — Owner",'Transaction Overview'!$D$2:$D$517,"&gt;0")</f>
        <v>0</v>
      </c>
      <c r="C117" s="11" t="n">
        <f aca="false">SUMIFS('Transaction Overview'!$D$2:$D$517,'Transaction Overview'!$J$2:$J$517,"Personal — Owner",'Transaction Overview'!$D$2:$D$517,"&lt;0")</f>
        <v>-72449.98</v>
      </c>
      <c r="D117" s="11" t="n">
        <f aca="false">B117+C117</f>
        <v>-72449.98</v>
      </c>
    </row>
    <row r="119" customFormat="false" ht="15" hidden="false" customHeight="false" outlineLevel="0" collapsed="false">
      <c r="A119" s="9" t="s">
        <v>105</v>
      </c>
    </row>
    <row r="120" customFormat="false" ht="15" hidden="false" customHeight="false" outlineLevel="0" collapsed="false">
      <c r="A120" s="0" t="s">
        <v>106</v>
      </c>
      <c r="B120" s="7" t="n">
        <f aca="false">SUMIFS('Transaction Overview'!$D$2:$D$517,'Transaction Overview'!$I$2:$I$517,$A120,'Transaction Overview'!$D$2:$D$517,"&gt;0")</f>
        <v>1688.08</v>
      </c>
      <c r="C120" s="7" t="n">
        <f aca="false">SUMIFS('Transaction Overview'!$D$2:$D$517,'Transaction Overview'!$I$2:$I$517,$A120,'Transaction Overview'!$D$2:$D$517,"&lt;0")</f>
        <v>0</v>
      </c>
      <c r="D120" s="7" t="n">
        <f aca="false">B120+C120</f>
        <v>1688.08</v>
      </c>
    </row>
    <row r="121" customFormat="false" ht="15" hidden="false" customHeight="false" outlineLevel="0" collapsed="false">
      <c r="A121" s="10" t="s">
        <v>107</v>
      </c>
      <c r="B121" s="11" t="n">
        <f aca="false">SUMIFS('Transaction Overview'!$D$2:$D$517,'Transaction Overview'!$J$2:$J$517,"Adjustments",'Transaction Overview'!$D$2:$D$517,"&gt;0")</f>
        <v>1688.08</v>
      </c>
      <c r="C121" s="11" t="n">
        <f aca="false">SUMIFS('Transaction Overview'!$D$2:$D$517,'Transaction Overview'!$J$2:$J$517,"Adjustments",'Transaction Overview'!$D$2:$D$517,"&lt;0")</f>
        <v>0</v>
      </c>
      <c r="D121" s="11" t="n">
        <f aca="false">B121+C121</f>
        <v>1688.08</v>
      </c>
    </row>
    <row r="123" customFormat="false" ht="15" hidden="false" customHeight="false" outlineLevel="0" collapsed="false">
      <c r="A123" s="9" t="s">
        <v>108</v>
      </c>
    </row>
    <row r="124" customFormat="false" ht="15" hidden="false" customHeight="false" outlineLevel="0" collapsed="false">
      <c r="A124" s="0" t="s">
        <v>109</v>
      </c>
      <c r="B124" s="7" t="n">
        <f aca="false">SUMIFS('Transaction Overview'!$D$2:$D$517,'Transaction Overview'!$I$2:$I$517,$A124,'Transaction Overview'!$D$2:$D$517,"&gt;0")</f>
        <v>0</v>
      </c>
      <c r="C124" s="7" t="n">
        <f aca="false">SUMIFS('Transaction Overview'!$D$2:$D$517,'Transaction Overview'!$I$2:$I$517,$A124,'Transaction Overview'!$D$2:$D$517,"&lt;0")</f>
        <v>-2805.71</v>
      </c>
      <c r="D124" s="7" t="n">
        <f aca="false">B124+C124</f>
        <v>-2805.71</v>
      </c>
    </row>
    <row r="125" customFormat="false" ht="15" hidden="false" customHeight="false" outlineLevel="0" collapsed="false">
      <c r="A125" s="0" t="s">
        <v>110</v>
      </c>
      <c r="B125" s="7" t="n">
        <f aca="false">SUMIFS('Transaction Overview'!$D$2:$D$517,'Transaction Overview'!$I$2:$I$517,$A125,'Transaction Overview'!$D$2:$D$517,"&gt;0")</f>
        <v>0</v>
      </c>
      <c r="C125" s="7" t="n">
        <f aca="false">SUMIFS('Transaction Overview'!$D$2:$D$517,'Transaction Overview'!$I$2:$I$517,$A125,'Transaction Overview'!$D$2:$D$517,"&lt;0")</f>
        <v>-103.95</v>
      </c>
      <c r="D125" s="7" t="n">
        <f aca="false">B125+C125</f>
        <v>-103.95</v>
      </c>
    </row>
    <row r="126" customFormat="false" ht="15" hidden="false" customHeight="false" outlineLevel="0" collapsed="false">
      <c r="A126" s="0" t="s">
        <v>111</v>
      </c>
      <c r="B126" s="7" t="n">
        <f aca="false">SUMIFS('Transaction Overview'!$D$2:$D$517,'Transaction Overview'!$I$2:$I$517,$A126,'Transaction Overview'!$D$2:$D$517,"&gt;0")</f>
        <v>0</v>
      </c>
      <c r="C126" s="7" t="n">
        <f aca="false">SUMIFS('Transaction Overview'!$D$2:$D$517,'Transaction Overview'!$I$2:$I$517,$A126,'Transaction Overview'!$D$2:$D$517,"&lt;0")</f>
        <v>-331.54</v>
      </c>
      <c r="D126" s="7" t="n">
        <f aca="false">B126+C126</f>
        <v>-331.54</v>
      </c>
    </row>
    <row r="127" customFormat="false" ht="15" hidden="false" customHeight="false" outlineLevel="0" collapsed="false">
      <c r="A127" s="10" t="s">
        <v>112</v>
      </c>
      <c r="B127" s="11" t="n">
        <f aca="false">SUMIFS('Transaction Overview'!$D$2:$D$517,'Transaction Overview'!$J$2:$J$517,"Uncategorized — Review",'Transaction Overview'!$D$2:$D$517,"&gt;0")</f>
        <v>0</v>
      </c>
      <c r="C127" s="11" t="n">
        <f aca="false">SUMIFS('Transaction Overview'!$D$2:$D$517,'Transaction Overview'!$J$2:$J$517,"Uncategorized — Review",'Transaction Overview'!$D$2:$D$517,"&lt;0")</f>
        <v>-3532.2</v>
      </c>
      <c r="D127" s="11" t="n">
        <f aca="false">B127+C127</f>
        <v>-3532.2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8" t="s">
        <v>12</v>
      </c>
      <c r="B4" s="12" t="n">
        <f aca="false">DATE(2026,1,1)</f>
        <v>46023</v>
      </c>
      <c r="C4" s="12" t="n">
        <f aca="false">DATE(2026,2,1)</f>
        <v>46054</v>
      </c>
      <c r="D4" s="12" t="n">
        <f aca="false">DATE(2026,3,1)</f>
        <v>46082</v>
      </c>
      <c r="E4" s="12" t="n">
        <f aca="false">DATE(2026,4,1)</f>
        <v>46113</v>
      </c>
      <c r="F4" s="12" t="n">
        <f aca="false">DATE(2026,5,1)</f>
        <v>46143</v>
      </c>
      <c r="G4" s="12" t="n">
        <f aca="false">DATE(2026,6,1)</f>
        <v>46174</v>
      </c>
      <c r="H4" s="12" t="n">
        <f aca="false">DATE(2026,7,1)</f>
        <v>46204</v>
      </c>
      <c r="I4" s="12" t="n">
        <f aca="false">DATE(2026,8,1)</f>
        <v>46235</v>
      </c>
      <c r="J4" s="12" t="n">
        <f aca="false">DATE(2026,9,1)</f>
        <v>46266</v>
      </c>
      <c r="K4" s="12" t="n">
        <f aca="false">DATE(2026,10,1)</f>
        <v>46296</v>
      </c>
      <c r="L4" s="12" t="n">
        <f aca="false">DATE(2026,11,1)</f>
        <v>46327</v>
      </c>
      <c r="M4" s="12" t="n">
        <f aca="false">DATE(2026,12,1)</f>
        <v>46357</v>
      </c>
      <c r="N4" s="8" t="s">
        <v>114</v>
      </c>
    </row>
    <row r="5" customFormat="false" ht="15" hidden="false" customHeight="false" outlineLevel="0" collapsed="false">
      <c r="A5" s="9" t="s">
        <v>16</v>
      </c>
    </row>
    <row r="6" customFormat="false" ht="15" hidden="false" customHeight="false" outlineLevel="0" collapsed="false">
      <c r="A6" s="0" t="s">
        <v>17</v>
      </c>
      <c r="B6" s="7" t="n">
        <f aca="false">SUMIFS('Transaction Overview'!$D$2:$D$517,'Transaction Overview'!$I$2:$I$517,$A6,'Transaction Overview'!$H$2:$H$517,B$4)</f>
        <v>0</v>
      </c>
      <c r="C6" s="7" t="n">
        <f aca="false">SUMIFS('Transaction Overview'!$D$2:$D$517,'Transaction Overview'!$I$2:$I$517,$A6,'Transaction Overview'!$H$2:$H$517,C$4)</f>
        <v>20000</v>
      </c>
      <c r="D6" s="7" t="n">
        <f aca="false">SUMIFS('Transaction Overview'!$D$2:$D$517,'Transaction Overview'!$I$2:$I$517,$A6,'Transaction Overview'!$H$2:$H$517,D$4)</f>
        <v>19400</v>
      </c>
      <c r="E6" s="7" t="n">
        <f aca="false">SUMIFS('Transaction Overview'!$D$2:$D$517,'Transaction Overview'!$I$2:$I$517,$A6,'Transaction Overview'!$H$2:$H$517,E$4)</f>
        <v>0</v>
      </c>
      <c r="F6" s="7" t="n">
        <f aca="false">SUMIFS('Transaction Overview'!$D$2:$D$517,'Transaction Overview'!$I$2:$I$517,$A6,'Transaction Overview'!$H$2:$H$517,F$4)</f>
        <v>0</v>
      </c>
      <c r="G6" s="7" t="n">
        <f aca="false">SUMIFS('Transaction Overview'!$D$2:$D$517,'Transaction Overview'!$I$2:$I$517,$A6,'Transaction Overview'!$H$2:$H$517,G$4)</f>
        <v>0</v>
      </c>
      <c r="H6" s="7" t="n">
        <f aca="false">SUMIFS('Transaction Overview'!$D$2:$D$517,'Transaction Overview'!$I$2:$I$517,$A6,'Transaction Overview'!$H$2:$H$517,H$4)</f>
        <v>0</v>
      </c>
      <c r="I6" s="7" t="n">
        <f aca="false">SUMIFS('Transaction Overview'!$D$2:$D$517,'Transaction Overview'!$I$2:$I$517,$A6,'Transaction Overview'!$H$2:$H$517,I$4)</f>
        <v>0</v>
      </c>
      <c r="J6" s="7" t="n">
        <f aca="false">SUMIFS('Transaction Overview'!$D$2:$D$517,'Transaction Overview'!$I$2:$I$517,$A6,'Transaction Overview'!$H$2:$H$517,J$4)</f>
        <v>0</v>
      </c>
      <c r="K6" s="7" t="n">
        <f aca="false">SUMIFS('Transaction Overview'!$D$2:$D$517,'Transaction Overview'!$I$2:$I$517,$A6,'Transaction Overview'!$H$2:$H$517,K$4)</f>
        <v>0</v>
      </c>
      <c r="L6" s="7" t="n">
        <f aca="false">SUMIFS('Transaction Overview'!$D$2:$D$517,'Transaction Overview'!$I$2:$I$517,$A6,'Transaction Overview'!$H$2:$H$517,L$4)</f>
        <v>0</v>
      </c>
      <c r="M6" s="7" t="n">
        <f aca="false">SUMIFS('Transaction Overview'!$D$2:$D$517,'Transaction Overview'!$I$2:$I$517,$A6,'Transaction Overview'!$H$2:$H$517,M$4)</f>
        <v>0</v>
      </c>
      <c r="N6" s="7" t="n">
        <f aca="false">SUM(B6:M6)</f>
        <v>39400</v>
      </c>
    </row>
    <row r="7" customFormat="false" ht="15" hidden="false" customHeight="false" outlineLevel="0" collapsed="false">
      <c r="A7" s="0" t="s">
        <v>18</v>
      </c>
      <c r="B7" s="7" t="n">
        <f aca="false">SUMIFS('Transaction Overview'!$D$2:$D$517,'Transaction Overview'!$I$2:$I$517,$A7,'Transaction Overview'!$H$2:$H$517,B$4)</f>
        <v>0</v>
      </c>
      <c r="C7" s="7" t="n">
        <f aca="false">SUMIFS('Transaction Overview'!$D$2:$D$517,'Transaction Overview'!$I$2:$I$517,$A7,'Transaction Overview'!$H$2:$H$517,C$4)</f>
        <v>8556.41</v>
      </c>
      <c r="D7" s="7" t="n">
        <f aca="false">SUMIFS('Transaction Overview'!$D$2:$D$517,'Transaction Overview'!$I$2:$I$517,$A7,'Transaction Overview'!$H$2:$H$517,D$4)</f>
        <v>8556.41</v>
      </c>
      <c r="E7" s="7" t="n">
        <f aca="false">SUMIFS('Transaction Overview'!$D$2:$D$517,'Transaction Overview'!$I$2:$I$517,$A7,'Transaction Overview'!$H$2:$H$517,E$4)</f>
        <v>8556.41</v>
      </c>
      <c r="F7" s="7" t="n">
        <f aca="false">SUMIFS('Transaction Overview'!$D$2:$D$517,'Transaction Overview'!$I$2:$I$517,$A7,'Transaction Overview'!$H$2:$H$517,F$4)</f>
        <v>8556.41</v>
      </c>
      <c r="G7" s="7" t="n">
        <f aca="false">SUMIFS('Transaction Overview'!$D$2:$D$517,'Transaction Overview'!$I$2:$I$517,$A7,'Transaction Overview'!$H$2:$H$517,G$4)</f>
        <v>8556.41</v>
      </c>
      <c r="H7" s="7" t="n">
        <f aca="false">SUMIFS('Transaction Overview'!$D$2:$D$517,'Transaction Overview'!$I$2:$I$517,$A7,'Transaction Overview'!$H$2:$H$517,H$4)</f>
        <v>0</v>
      </c>
      <c r="I7" s="7" t="n">
        <f aca="false">SUMIFS('Transaction Overview'!$D$2:$D$517,'Transaction Overview'!$I$2:$I$517,$A7,'Transaction Overview'!$H$2:$H$517,I$4)</f>
        <v>0</v>
      </c>
      <c r="J7" s="7" t="n">
        <f aca="false">SUMIFS('Transaction Overview'!$D$2:$D$517,'Transaction Overview'!$I$2:$I$517,$A7,'Transaction Overview'!$H$2:$H$517,J$4)</f>
        <v>0</v>
      </c>
      <c r="K7" s="7" t="n">
        <f aca="false">SUMIFS('Transaction Overview'!$D$2:$D$517,'Transaction Overview'!$I$2:$I$517,$A7,'Transaction Overview'!$H$2:$H$517,K$4)</f>
        <v>0</v>
      </c>
      <c r="L7" s="7" t="n">
        <f aca="false">SUMIFS('Transaction Overview'!$D$2:$D$517,'Transaction Overview'!$I$2:$I$517,$A7,'Transaction Overview'!$H$2:$H$517,L$4)</f>
        <v>0</v>
      </c>
      <c r="M7" s="7" t="n">
        <f aca="false">SUMIFS('Transaction Overview'!$D$2:$D$517,'Transaction Overview'!$I$2:$I$517,$A7,'Transaction Overview'!$H$2:$H$517,M$4)</f>
        <v>0</v>
      </c>
      <c r="N7" s="7" t="n">
        <f aca="false">SUM(B7:M7)</f>
        <v>42782.05</v>
      </c>
    </row>
    <row r="8" customFormat="false" ht="15" hidden="false" customHeight="false" outlineLevel="0" collapsed="false">
      <c r="A8" s="0" t="s">
        <v>19</v>
      </c>
      <c r="B8" s="7" t="n">
        <f aca="false">SUMIFS('Transaction Overview'!$D$2:$D$517,'Transaction Overview'!$I$2:$I$517,$A8,'Transaction Overview'!$H$2:$H$517,B$4)</f>
        <v>0</v>
      </c>
      <c r="C8" s="7" t="n">
        <f aca="false">SUMIFS('Transaction Overview'!$D$2:$D$517,'Transaction Overview'!$I$2:$I$517,$A8,'Transaction Overview'!$H$2:$H$517,C$4)</f>
        <v>-4190.21</v>
      </c>
      <c r="D8" s="7" t="n">
        <f aca="false">SUMIFS('Transaction Overview'!$D$2:$D$517,'Transaction Overview'!$I$2:$I$517,$A8,'Transaction Overview'!$H$2:$H$517,D$4)</f>
        <v>-4190.21</v>
      </c>
      <c r="E8" s="7" t="n">
        <f aca="false">SUMIFS('Transaction Overview'!$D$2:$D$517,'Transaction Overview'!$I$2:$I$517,$A8,'Transaction Overview'!$H$2:$H$517,E$4)</f>
        <v>-4190.21</v>
      </c>
      <c r="F8" s="7" t="n">
        <f aca="false">SUMIFS('Transaction Overview'!$D$2:$D$517,'Transaction Overview'!$I$2:$I$517,$A8,'Transaction Overview'!$H$2:$H$517,F$4)</f>
        <v>-4366.2</v>
      </c>
      <c r="G8" s="7" t="n">
        <f aca="false">SUMIFS('Transaction Overview'!$D$2:$D$517,'Transaction Overview'!$I$2:$I$517,$A8,'Transaction Overview'!$H$2:$H$517,G$4)</f>
        <v>-4366.2</v>
      </c>
      <c r="H8" s="7" t="n">
        <f aca="false">SUMIFS('Transaction Overview'!$D$2:$D$517,'Transaction Overview'!$I$2:$I$517,$A8,'Transaction Overview'!$H$2:$H$517,H$4)</f>
        <v>0</v>
      </c>
      <c r="I8" s="7" t="n">
        <f aca="false">SUMIFS('Transaction Overview'!$D$2:$D$517,'Transaction Overview'!$I$2:$I$517,$A8,'Transaction Overview'!$H$2:$H$517,I$4)</f>
        <v>0</v>
      </c>
      <c r="J8" s="7" t="n">
        <f aca="false">SUMIFS('Transaction Overview'!$D$2:$D$517,'Transaction Overview'!$I$2:$I$517,$A8,'Transaction Overview'!$H$2:$H$517,J$4)</f>
        <v>0</v>
      </c>
      <c r="K8" s="7" t="n">
        <f aca="false">SUMIFS('Transaction Overview'!$D$2:$D$517,'Transaction Overview'!$I$2:$I$517,$A8,'Transaction Overview'!$H$2:$H$517,K$4)</f>
        <v>0</v>
      </c>
      <c r="L8" s="7" t="n">
        <f aca="false">SUMIFS('Transaction Overview'!$D$2:$D$517,'Transaction Overview'!$I$2:$I$517,$A8,'Transaction Overview'!$H$2:$H$517,L$4)</f>
        <v>0</v>
      </c>
      <c r="M8" s="7" t="n">
        <f aca="false">SUMIFS('Transaction Overview'!$D$2:$D$517,'Transaction Overview'!$I$2:$I$517,$A8,'Transaction Overview'!$H$2:$H$517,M$4)</f>
        <v>0</v>
      </c>
      <c r="N8" s="7" t="n">
        <f aca="false">SUM(B8:M8)</f>
        <v>-21303.03</v>
      </c>
    </row>
    <row r="9" customFormat="false" ht="15" hidden="false" customHeight="false" outlineLevel="0" collapsed="false">
      <c r="A9" s="0" t="s">
        <v>20</v>
      </c>
      <c r="B9" s="7" t="n">
        <f aca="false">SUMIFS('Transaction Overview'!$D$2:$D$517,'Transaction Overview'!$I$2:$I$517,$A9,'Transaction Overview'!$H$2:$H$517,B$4)</f>
        <v>0</v>
      </c>
      <c r="C9" s="7" t="n">
        <f aca="false">SUMIFS('Transaction Overview'!$D$2:$D$517,'Transaction Overview'!$I$2:$I$517,$A9,'Transaction Overview'!$H$2:$H$517,C$4)</f>
        <v>-4366.2</v>
      </c>
      <c r="D9" s="7" t="n">
        <f aca="false">SUMIFS('Transaction Overview'!$D$2:$D$517,'Transaction Overview'!$I$2:$I$517,$A9,'Transaction Overview'!$H$2:$H$517,D$4)</f>
        <v>-4366.2</v>
      </c>
      <c r="E9" s="7" t="n">
        <f aca="false">SUMIFS('Transaction Overview'!$D$2:$D$517,'Transaction Overview'!$I$2:$I$517,$A9,'Transaction Overview'!$H$2:$H$517,E$4)</f>
        <v>-4366.2</v>
      </c>
      <c r="F9" s="7" t="n">
        <f aca="false">SUMIFS('Transaction Overview'!$D$2:$D$517,'Transaction Overview'!$I$2:$I$517,$A9,'Transaction Overview'!$H$2:$H$517,F$4)</f>
        <v>-4190.21</v>
      </c>
      <c r="G9" s="7" t="n">
        <f aca="false">SUMIFS('Transaction Overview'!$D$2:$D$517,'Transaction Overview'!$I$2:$I$517,$A9,'Transaction Overview'!$H$2:$H$517,G$4)</f>
        <v>-4190.21</v>
      </c>
      <c r="H9" s="7" t="n">
        <f aca="false">SUMIFS('Transaction Overview'!$D$2:$D$517,'Transaction Overview'!$I$2:$I$517,$A9,'Transaction Overview'!$H$2:$H$517,H$4)</f>
        <v>0</v>
      </c>
      <c r="I9" s="7" t="n">
        <f aca="false">SUMIFS('Transaction Overview'!$D$2:$D$517,'Transaction Overview'!$I$2:$I$517,$A9,'Transaction Overview'!$H$2:$H$517,I$4)</f>
        <v>0</v>
      </c>
      <c r="J9" s="7" t="n">
        <f aca="false">SUMIFS('Transaction Overview'!$D$2:$D$517,'Transaction Overview'!$I$2:$I$517,$A9,'Transaction Overview'!$H$2:$H$517,J$4)</f>
        <v>0</v>
      </c>
      <c r="K9" s="7" t="n">
        <f aca="false">SUMIFS('Transaction Overview'!$D$2:$D$517,'Transaction Overview'!$I$2:$I$517,$A9,'Transaction Overview'!$H$2:$H$517,K$4)</f>
        <v>0</v>
      </c>
      <c r="L9" s="7" t="n">
        <f aca="false">SUMIFS('Transaction Overview'!$D$2:$D$517,'Transaction Overview'!$I$2:$I$517,$A9,'Transaction Overview'!$H$2:$H$517,L$4)</f>
        <v>0</v>
      </c>
      <c r="M9" s="7" t="n">
        <f aca="false">SUMIFS('Transaction Overview'!$D$2:$D$517,'Transaction Overview'!$I$2:$I$517,$A9,'Transaction Overview'!$H$2:$H$517,M$4)</f>
        <v>0</v>
      </c>
      <c r="N9" s="7" t="n">
        <f aca="false">SUM(B9:M9)</f>
        <v>-21479.02</v>
      </c>
    </row>
    <row r="10" customFormat="false" ht="15" hidden="false" customHeight="false" outlineLevel="0" collapsed="false">
      <c r="A10" s="9" t="s">
        <v>22</v>
      </c>
    </row>
    <row r="11" customFormat="false" ht="15" hidden="false" customHeight="false" outlineLevel="0" collapsed="false">
      <c r="A11" s="0" t="s">
        <v>23</v>
      </c>
      <c r="B11" s="7" t="n">
        <f aca="false">SUMIFS('Transaction Overview'!$D$2:$D$517,'Transaction Overview'!$I$2:$I$517,$A11,'Transaction Overview'!$H$2:$H$517,B$4)</f>
        <v>0</v>
      </c>
      <c r="C11" s="7" t="n">
        <f aca="false">SUMIFS('Transaction Overview'!$D$2:$D$517,'Transaction Overview'!$I$2:$I$517,$A11,'Transaction Overview'!$H$2:$H$517,C$4)</f>
        <v>0</v>
      </c>
      <c r="D11" s="7" t="n">
        <f aca="false">SUMIFS('Transaction Overview'!$D$2:$D$517,'Transaction Overview'!$I$2:$I$517,$A11,'Transaction Overview'!$H$2:$H$517,D$4)</f>
        <v>0</v>
      </c>
      <c r="E11" s="7" t="n">
        <f aca="false">SUMIFS('Transaction Overview'!$D$2:$D$517,'Transaction Overview'!$I$2:$I$517,$A11,'Transaction Overview'!$H$2:$H$517,E$4)</f>
        <v>0</v>
      </c>
      <c r="F11" s="7" t="n">
        <f aca="false">SUMIFS('Transaction Overview'!$D$2:$D$517,'Transaction Overview'!$I$2:$I$517,$A11,'Transaction Overview'!$H$2:$H$517,F$4)</f>
        <v>114000</v>
      </c>
      <c r="G11" s="7" t="n">
        <f aca="false">SUMIFS('Transaction Overview'!$D$2:$D$517,'Transaction Overview'!$I$2:$I$517,$A11,'Transaction Overview'!$H$2:$H$517,G$4)</f>
        <v>0</v>
      </c>
      <c r="H11" s="7" t="n">
        <f aca="false">SUMIFS('Transaction Overview'!$D$2:$D$517,'Transaction Overview'!$I$2:$I$517,$A11,'Transaction Overview'!$H$2:$H$517,H$4)</f>
        <v>0</v>
      </c>
      <c r="I11" s="7" t="n">
        <f aca="false">SUMIFS('Transaction Overview'!$D$2:$D$517,'Transaction Overview'!$I$2:$I$517,$A11,'Transaction Overview'!$H$2:$H$517,I$4)</f>
        <v>0</v>
      </c>
      <c r="J11" s="7" t="n">
        <f aca="false">SUMIFS('Transaction Overview'!$D$2:$D$517,'Transaction Overview'!$I$2:$I$517,$A11,'Transaction Overview'!$H$2:$H$517,J$4)</f>
        <v>0</v>
      </c>
      <c r="K11" s="7" t="n">
        <f aca="false">SUMIFS('Transaction Overview'!$D$2:$D$517,'Transaction Overview'!$I$2:$I$517,$A11,'Transaction Overview'!$H$2:$H$517,K$4)</f>
        <v>0</v>
      </c>
      <c r="L11" s="7" t="n">
        <f aca="false">SUMIFS('Transaction Overview'!$D$2:$D$517,'Transaction Overview'!$I$2:$I$517,$A11,'Transaction Overview'!$H$2:$H$517,L$4)</f>
        <v>0</v>
      </c>
      <c r="M11" s="7" t="n">
        <f aca="false">SUMIFS('Transaction Overview'!$D$2:$D$517,'Transaction Overview'!$I$2:$I$517,$A11,'Transaction Overview'!$H$2:$H$517,M$4)</f>
        <v>0</v>
      </c>
      <c r="N11" s="7" t="n">
        <f aca="false">SUM(B11:M11)</f>
        <v>114000</v>
      </c>
    </row>
    <row r="12" customFormat="false" ht="15" hidden="false" customHeight="false" outlineLevel="0" collapsed="false">
      <c r="A12" s="9" t="s">
        <v>25</v>
      </c>
    </row>
    <row r="13" customFormat="false" ht="15" hidden="false" customHeight="false" outlineLevel="0" collapsed="false">
      <c r="A13" s="0" t="s">
        <v>26</v>
      </c>
      <c r="B13" s="7" t="n">
        <f aca="false">SUMIFS('Transaction Overview'!$D$2:$D$517,'Transaction Overview'!$I$2:$I$517,$A13,'Transaction Overview'!$H$2:$H$517,B$4)</f>
        <v>0</v>
      </c>
      <c r="C13" s="7" t="n">
        <f aca="false">SUMIFS('Transaction Overview'!$D$2:$D$517,'Transaction Overview'!$I$2:$I$517,$A13,'Transaction Overview'!$H$2:$H$517,C$4)</f>
        <v>0</v>
      </c>
      <c r="D13" s="7" t="n">
        <f aca="false">SUMIFS('Transaction Overview'!$D$2:$D$517,'Transaction Overview'!$I$2:$I$517,$A13,'Transaction Overview'!$H$2:$H$517,D$4)</f>
        <v>0</v>
      </c>
      <c r="E13" s="7" t="n">
        <f aca="false">SUMIFS('Transaction Overview'!$D$2:$D$517,'Transaction Overview'!$I$2:$I$517,$A13,'Transaction Overview'!$H$2:$H$517,E$4)</f>
        <v>0</v>
      </c>
      <c r="F13" s="7" t="n">
        <f aca="false">SUMIFS('Transaction Overview'!$D$2:$D$517,'Transaction Overview'!$I$2:$I$517,$A13,'Transaction Overview'!$H$2:$H$517,F$4)</f>
        <v>-16875</v>
      </c>
      <c r="G13" s="7" t="n">
        <f aca="false">SUMIFS('Transaction Overview'!$D$2:$D$517,'Transaction Overview'!$I$2:$I$517,$A13,'Transaction Overview'!$H$2:$H$517,G$4)</f>
        <v>0</v>
      </c>
      <c r="H13" s="7" t="n">
        <f aca="false">SUMIFS('Transaction Overview'!$D$2:$D$517,'Transaction Overview'!$I$2:$I$517,$A13,'Transaction Overview'!$H$2:$H$517,H$4)</f>
        <v>0</v>
      </c>
      <c r="I13" s="7" t="n">
        <f aca="false">SUMIFS('Transaction Overview'!$D$2:$D$517,'Transaction Overview'!$I$2:$I$517,$A13,'Transaction Overview'!$H$2:$H$517,I$4)</f>
        <v>0</v>
      </c>
      <c r="J13" s="7" t="n">
        <f aca="false">SUMIFS('Transaction Overview'!$D$2:$D$517,'Transaction Overview'!$I$2:$I$517,$A13,'Transaction Overview'!$H$2:$H$517,J$4)</f>
        <v>0</v>
      </c>
      <c r="K13" s="7" t="n">
        <f aca="false">SUMIFS('Transaction Overview'!$D$2:$D$517,'Transaction Overview'!$I$2:$I$517,$A13,'Transaction Overview'!$H$2:$H$517,K$4)</f>
        <v>0</v>
      </c>
      <c r="L13" s="7" t="n">
        <f aca="false">SUMIFS('Transaction Overview'!$D$2:$D$517,'Transaction Overview'!$I$2:$I$517,$A13,'Transaction Overview'!$H$2:$H$517,L$4)</f>
        <v>0</v>
      </c>
      <c r="M13" s="7" t="n">
        <f aca="false">SUMIFS('Transaction Overview'!$D$2:$D$517,'Transaction Overview'!$I$2:$I$517,$A13,'Transaction Overview'!$H$2:$H$517,M$4)</f>
        <v>0</v>
      </c>
      <c r="N13" s="7" t="n">
        <f aca="false">SUM(B13:M13)</f>
        <v>-16875</v>
      </c>
    </row>
    <row r="14" customFormat="false" ht="15" hidden="false" customHeight="false" outlineLevel="0" collapsed="false">
      <c r="A14" s="0" t="s">
        <v>27</v>
      </c>
      <c r="B14" s="7" t="n">
        <f aca="false">SUMIFS('Transaction Overview'!$D$2:$D$517,'Transaction Overview'!$I$2:$I$517,$A14,'Transaction Overview'!$H$2:$H$517,B$4)</f>
        <v>0</v>
      </c>
      <c r="C14" s="7" t="n">
        <f aca="false">SUMIFS('Transaction Overview'!$D$2:$D$517,'Transaction Overview'!$I$2:$I$517,$A14,'Transaction Overview'!$H$2:$H$517,C$4)</f>
        <v>0</v>
      </c>
      <c r="D14" s="7" t="n">
        <f aca="false">SUMIFS('Transaction Overview'!$D$2:$D$517,'Transaction Overview'!$I$2:$I$517,$A14,'Transaction Overview'!$H$2:$H$517,D$4)</f>
        <v>0</v>
      </c>
      <c r="E14" s="7" t="n">
        <f aca="false">SUMIFS('Transaction Overview'!$D$2:$D$517,'Transaction Overview'!$I$2:$I$517,$A14,'Transaction Overview'!$H$2:$H$517,E$4)</f>
        <v>0</v>
      </c>
      <c r="F14" s="7" t="n">
        <f aca="false">SUMIFS('Transaction Overview'!$D$2:$D$517,'Transaction Overview'!$I$2:$I$517,$A14,'Transaction Overview'!$H$2:$H$517,F$4)</f>
        <v>-1500</v>
      </c>
      <c r="G14" s="7" t="n">
        <f aca="false">SUMIFS('Transaction Overview'!$D$2:$D$517,'Transaction Overview'!$I$2:$I$517,$A14,'Transaction Overview'!$H$2:$H$517,G$4)</f>
        <v>0</v>
      </c>
      <c r="H14" s="7" t="n">
        <f aca="false">SUMIFS('Transaction Overview'!$D$2:$D$517,'Transaction Overview'!$I$2:$I$517,$A14,'Transaction Overview'!$H$2:$H$517,H$4)</f>
        <v>0</v>
      </c>
      <c r="I14" s="7" t="n">
        <f aca="false">SUMIFS('Transaction Overview'!$D$2:$D$517,'Transaction Overview'!$I$2:$I$517,$A14,'Transaction Overview'!$H$2:$H$517,I$4)</f>
        <v>0</v>
      </c>
      <c r="J14" s="7" t="n">
        <f aca="false">SUMIFS('Transaction Overview'!$D$2:$D$517,'Transaction Overview'!$I$2:$I$517,$A14,'Transaction Overview'!$H$2:$H$517,J$4)</f>
        <v>0</v>
      </c>
      <c r="K14" s="7" t="n">
        <f aca="false">SUMIFS('Transaction Overview'!$D$2:$D$517,'Transaction Overview'!$I$2:$I$517,$A14,'Transaction Overview'!$H$2:$H$517,K$4)</f>
        <v>0</v>
      </c>
      <c r="L14" s="7" t="n">
        <f aca="false">SUMIFS('Transaction Overview'!$D$2:$D$517,'Transaction Overview'!$I$2:$I$517,$A14,'Transaction Overview'!$H$2:$H$517,L$4)</f>
        <v>0</v>
      </c>
      <c r="M14" s="7" t="n">
        <f aca="false">SUMIFS('Transaction Overview'!$D$2:$D$517,'Transaction Overview'!$I$2:$I$517,$A14,'Transaction Overview'!$H$2:$H$517,M$4)</f>
        <v>0</v>
      </c>
      <c r="N14" s="7" t="n">
        <f aca="false">SUM(B14:M14)</f>
        <v>-1500</v>
      </c>
    </row>
    <row r="15" customFormat="false" ht="15" hidden="false" customHeight="false" outlineLevel="0" collapsed="false">
      <c r="A15" s="9" t="s">
        <v>29</v>
      </c>
    </row>
    <row r="16" customFormat="false" ht="15" hidden="false" customHeight="false" outlineLevel="0" collapsed="false">
      <c r="A16" s="0" t="s">
        <v>30</v>
      </c>
      <c r="B16" s="7" t="n">
        <f aca="false">SUMIFS('Transaction Overview'!$D$2:$D$517,'Transaction Overview'!$I$2:$I$517,$A16,'Transaction Overview'!$H$2:$H$517,B$4)</f>
        <v>0</v>
      </c>
      <c r="C16" s="7" t="n">
        <f aca="false">SUMIFS('Transaction Overview'!$D$2:$D$517,'Transaction Overview'!$I$2:$I$517,$A16,'Transaction Overview'!$H$2:$H$517,C$4)</f>
        <v>-177000</v>
      </c>
      <c r="D16" s="7" t="n">
        <f aca="false">SUMIFS('Transaction Overview'!$D$2:$D$517,'Transaction Overview'!$I$2:$I$517,$A16,'Transaction Overview'!$H$2:$H$517,D$4)</f>
        <v>0</v>
      </c>
      <c r="E16" s="7" t="n">
        <f aca="false">SUMIFS('Transaction Overview'!$D$2:$D$517,'Transaction Overview'!$I$2:$I$517,$A16,'Transaction Overview'!$H$2:$H$517,E$4)</f>
        <v>0</v>
      </c>
      <c r="F16" s="7" t="n">
        <f aca="false">SUMIFS('Transaction Overview'!$D$2:$D$517,'Transaction Overview'!$I$2:$I$517,$A16,'Transaction Overview'!$H$2:$H$517,F$4)</f>
        <v>0</v>
      </c>
      <c r="G16" s="7" t="n">
        <f aca="false">SUMIFS('Transaction Overview'!$D$2:$D$517,'Transaction Overview'!$I$2:$I$517,$A16,'Transaction Overview'!$H$2:$H$517,G$4)</f>
        <v>0</v>
      </c>
      <c r="H16" s="7" t="n">
        <f aca="false">SUMIFS('Transaction Overview'!$D$2:$D$517,'Transaction Overview'!$I$2:$I$517,$A16,'Transaction Overview'!$H$2:$H$517,H$4)</f>
        <v>0</v>
      </c>
      <c r="I16" s="7" t="n">
        <f aca="false">SUMIFS('Transaction Overview'!$D$2:$D$517,'Transaction Overview'!$I$2:$I$517,$A16,'Transaction Overview'!$H$2:$H$517,I$4)</f>
        <v>0</v>
      </c>
      <c r="J16" s="7" t="n">
        <f aca="false">SUMIFS('Transaction Overview'!$D$2:$D$517,'Transaction Overview'!$I$2:$I$517,$A16,'Transaction Overview'!$H$2:$H$517,J$4)</f>
        <v>0</v>
      </c>
      <c r="K16" s="7" t="n">
        <f aca="false">SUMIFS('Transaction Overview'!$D$2:$D$517,'Transaction Overview'!$I$2:$I$517,$A16,'Transaction Overview'!$H$2:$H$517,K$4)</f>
        <v>0</v>
      </c>
      <c r="L16" s="7" t="n">
        <f aca="false">SUMIFS('Transaction Overview'!$D$2:$D$517,'Transaction Overview'!$I$2:$I$517,$A16,'Transaction Overview'!$H$2:$H$517,L$4)</f>
        <v>0</v>
      </c>
      <c r="M16" s="7" t="n">
        <f aca="false">SUMIFS('Transaction Overview'!$D$2:$D$517,'Transaction Overview'!$I$2:$I$517,$A16,'Transaction Overview'!$H$2:$H$517,M$4)</f>
        <v>0</v>
      </c>
      <c r="N16" s="7" t="n">
        <f aca="false">SUM(B16:M16)</f>
        <v>-177000</v>
      </c>
    </row>
    <row r="17" customFormat="false" ht="15" hidden="false" customHeight="false" outlineLevel="0" collapsed="false">
      <c r="A17" s="0" t="s">
        <v>31</v>
      </c>
      <c r="B17" s="7" t="n">
        <f aca="false">SUMIFS('Transaction Overview'!$D$2:$D$517,'Transaction Overview'!$I$2:$I$517,$A17,'Transaction Overview'!$H$2:$H$517,B$4)</f>
        <v>0</v>
      </c>
      <c r="C17" s="7" t="n">
        <f aca="false">SUMIFS('Transaction Overview'!$D$2:$D$517,'Transaction Overview'!$I$2:$I$517,$A17,'Transaction Overview'!$H$2:$H$517,C$4)</f>
        <v>-413000</v>
      </c>
      <c r="D17" s="7" t="n">
        <f aca="false">SUMIFS('Transaction Overview'!$D$2:$D$517,'Transaction Overview'!$I$2:$I$517,$A17,'Transaction Overview'!$H$2:$H$517,D$4)</f>
        <v>0</v>
      </c>
      <c r="E17" s="7" t="n">
        <f aca="false">SUMIFS('Transaction Overview'!$D$2:$D$517,'Transaction Overview'!$I$2:$I$517,$A17,'Transaction Overview'!$H$2:$H$517,E$4)</f>
        <v>0</v>
      </c>
      <c r="F17" s="7" t="n">
        <f aca="false">SUMIFS('Transaction Overview'!$D$2:$D$517,'Transaction Overview'!$I$2:$I$517,$A17,'Transaction Overview'!$H$2:$H$517,F$4)</f>
        <v>0</v>
      </c>
      <c r="G17" s="7" t="n">
        <f aca="false">SUMIFS('Transaction Overview'!$D$2:$D$517,'Transaction Overview'!$I$2:$I$517,$A17,'Transaction Overview'!$H$2:$H$517,G$4)</f>
        <v>0</v>
      </c>
      <c r="H17" s="7" t="n">
        <f aca="false">SUMIFS('Transaction Overview'!$D$2:$D$517,'Transaction Overview'!$I$2:$I$517,$A17,'Transaction Overview'!$H$2:$H$517,H$4)</f>
        <v>0</v>
      </c>
      <c r="I17" s="7" t="n">
        <f aca="false">SUMIFS('Transaction Overview'!$D$2:$D$517,'Transaction Overview'!$I$2:$I$517,$A17,'Transaction Overview'!$H$2:$H$517,I$4)</f>
        <v>0</v>
      </c>
      <c r="J17" s="7" t="n">
        <f aca="false">SUMIFS('Transaction Overview'!$D$2:$D$517,'Transaction Overview'!$I$2:$I$517,$A17,'Transaction Overview'!$H$2:$H$517,J$4)</f>
        <v>0</v>
      </c>
      <c r="K17" s="7" t="n">
        <f aca="false">SUMIFS('Transaction Overview'!$D$2:$D$517,'Transaction Overview'!$I$2:$I$517,$A17,'Transaction Overview'!$H$2:$H$517,K$4)</f>
        <v>0</v>
      </c>
      <c r="L17" s="7" t="n">
        <f aca="false">SUMIFS('Transaction Overview'!$D$2:$D$517,'Transaction Overview'!$I$2:$I$517,$A17,'Transaction Overview'!$H$2:$H$517,L$4)</f>
        <v>0</v>
      </c>
      <c r="M17" s="7" t="n">
        <f aca="false">SUMIFS('Transaction Overview'!$D$2:$D$517,'Transaction Overview'!$I$2:$I$517,$A17,'Transaction Overview'!$H$2:$H$517,M$4)</f>
        <v>0</v>
      </c>
      <c r="N17" s="7" t="n">
        <f aca="false">SUM(B17:M17)</f>
        <v>-413000</v>
      </c>
    </row>
    <row r="18" customFormat="false" ht="15" hidden="false" customHeight="false" outlineLevel="0" collapsed="false">
      <c r="A18" s="0" t="s">
        <v>32</v>
      </c>
      <c r="B18" s="7" t="n">
        <f aca="false">SUMIFS('Transaction Overview'!$D$2:$D$517,'Transaction Overview'!$I$2:$I$517,$A18,'Transaction Overview'!$H$2:$H$517,B$4)</f>
        <v>0</v>
      </c>
      <c r="C18" s="7" t="n">
        <f aca="false">SUMIFS('Transaction Overview'!$D$2:$D$517,'Transaction Overview'!$I$2:$I$517,$A18,'Transaction Overview'!$H$2:$H$517,C$4)</f>
        <v>600000</v>
      </c>
      <c r="D18" s="7" t="n">
        <f aca="false">SUMIFS('Transaction Overview'!$D$2:$D$517,'Transaction Overview'!$I$2:$I$517,$A18,'Transaction Overview'!$H$2:$H$517,D$4)</f>
        <v>0</v>
      </c>
      <c r="E18" s="7" t="n">
        <f aca="false">SUMIFS('Transaction Overview'!$D$2:$D$517,'Transaction Overview'!$I$2:$I$517,$A18,'Transaction Overview'!$H$2:$H$517,E$4)</f>
        <v>0</v>
      </c>
      <c r="F18" s="7" t="n">
        <f aca="false">SUMIFS('Transaction Overview'!$D$2:$D$517,'Transaction Overview'!$I$2:$I$517,$A18,'Transaction Overview'!$H$2:$H$517,F$4)</f>
        <v>0</v>
      </c>
      <c r="G18" s="7" t="n">
        <f aca="false">SUMIFS('Transaction Overview'!$D$2:$D$517,'Transaction Overview'!$I$2:$I$517,$A18,'Transaction Overview'!$H$2:$H$517,G$4)</f>
        <v>0</v>
      </c>
      <c r="H18" s="7" t="n">
        <f aca="false">SUMIFS('Transaction Overview'!$D$2:$D$517,'Transaction Overview'!$I$2:$I$517,$A18,'Transaction Overview'!$H$2:$H$517,H$4)</f>
        <v>0</v>
      </c>
      <c r="I18" s="7" t="n">
        <f aca="false">SUMIFS('Transaction Overview'!$D$2:$D$517,'Transaction Overview'!$I$2:$I$517,$A18,'Transaction Overview'!$H$2:$H$517,I$4)</f>
        <v>0</v>
      </c>
      <c r="J18" s="7" t="n">
        <f aca="false">SUMIFS('Transaction Overview'!$D$2:$D$517,'Transaction Overview'!$I$2:$I$517,$A18,'Transaction Overview'!$H$2:$H$517,J$4)</f>
        <v>0</v>
      </c>
      <c r="K18" s="7" t="n">
        <f aca="false">SUMIFS('Transaction Overview'!$D$2:$D$517,'Transaction Overview'!$I$2:$I$517,$A18,'Transaction Overview'!$H$2:$H$517,K$4)</f>
        <v>0</v>
      </c>
      <c r="L18" s="7" t="n">
        <f aca="false">SUMIFS('Transaction Overview'!$D$2:$D$517,'Transaction Overview'!$I$2:$I$517,$A18,'Transaction Overview'!$H$2:$H$517,L$4)</f>
        <v>0</v>
      </c>
      <c r="M18" s="7" t="n">
        <f aca="false">SUMIFS('Transaction Overview'!$D$2:$D$517,'Transaction Overview'!$I$2:$I$517,$A18,'Transaction Overview'!$H$2:$H$517,M$4)</f>
        <v>0</v>
      </c>
      <c r="N18" s="7" t="n">
        <f aca="false">SUM(B18:M18)</f>
        <v>600000</v>
      </c>
    </row>
    <row r="19" customFormat="false" ht="15" hidden="false" customHeight="false" outlineLevel="0" collapsed="false">
      <c r="A19" s="9" t="s">
        <v>34</v>
      </c>
    </row>
    <row r="20" customFormat="false" ht="15" hidden="false" customHeight="false" outlineLevel="0" collapsed="false">
      <c r="A20" s="0" t="s">
        <v>35</v>
      </c>
      <c r="B20" s="7" t="n">
        <f aca="false">SUMIFS('Transaction Overview'!$D$2:$D$517,'Transaction Overview'!$I$2:$I$517,$A20,'Transaction Overview'!$H$2:$H$517,B$4)</f>
        <v>70000</v>
      </c>
      <c r="C20" s="7" t="n">
        <f aca="false">SUMIFS('Transaction Overview'!$D$2:$D$517,'Transaction Overview'!$I$2:$I$517,$A20,'Transaction Overview'!$H$2:$H$517,C$4)</f>
        <v>48556.41</v>
      </c>
      <c r="D20" s="7" t="n">
        <f aca="false">SUMIFS('Transaction Overview'!$D$2:$D$517,'Transaction Overview'!$I$2:$I$517,$A20,'Transaction Overview'!$H$2:$H$517,D$4)</f>
        <v>55000</v>
      </c>
      <c r="E20" s="7" t="n">
        <f aca="false">SUMIFS('Transaction Overview'!$D$2:$D$517,'Transaction Overview'!$I$2:$I$517,$A20,'Transaction Overview'!$H$2:$H$517,E$4)</f>
        <v>35000</v>
      </c>
      <c r="F20" s="7" t="n">
        <f aca="false">SUMIFS('Transaction Overview'!$D$2:$D$517,'Transaction Overview'!$I$2:$I$517,$A20,'Transaction Overview'!$H$2:$H$517,F$4)</f>
        <v>0</v>
      </c>
      <c r="G20" s="7" t="n">
        <f aca="false">SUMIFS('Transaction Overview'!$D$2:$D$517,'Transaction Overview'!$I$2:$I$517,$A20,'Transaction Overview'!$H$2:$H$517,G$4)</f>
        <v>30000</v>
      </c>
      <c r="H20" s="7" t="n">
        <f aca="false">SUMIFS('Transaction Overview'!$D$2:$D$517,'Transaction Overview'!$I$2:$I$517,$A20,'Transaction Overview'!$H$2:$H$517,H$4)</f>
        <v>0</v>
      </c>
      <c r="I20" s="7" t="n">
        <f aca="false">SUMIFS('Transaction Overview'!$D$2:$D$517,'Transaction Overview'!$I$2:$I$517,$A20,'Transaction Overview'!$H$2:$H$517,I$4)</f>
        <v>0</v>
      </c>
      <c r="J20" s="7" t="n">
        <f aca="false">SUMIFS('Transaction Overview'!$D$2:$D$517,'Transaction Overview'!$I$2:$I$517,$A20,'Transaction Overview'!$H$2:$H$517,J$4)</f>
        <v>0</v>
      </c>
      <c r="K20" s="7" t="n">
        <f aca="false">SUMIFS('Transaction Overview'!$D$2:$D$517,'Transaction Overview'!$I$2:$I$517,$A20,'Transaction Overview'!$H$2:$H$517,K$4)</f>
        <v>0</v>
      </c>
      <c r="L20" s="7" t="n">
        <f aca="false">SUMIFS('Transaction Overview'!$D$2:$D$517,'Transaction Overview'!$I$2:$I$517,$A20,'Transaction Overview'!$H$2:$H$517,L$4)</f>
        <v>0</v>
      </c>
      <c r="M20" s="7" t="n">
        <f aca="false">SUMIFS('Transaction Overview'!$D$2:$D$517,'Transaction Overview'!$I$2:$I$517,$A20,'Transaction Overview'!$H$2:$H$517,M$4)</f>
        <v>0</v>
      </c>
      <c r="N20" s="7" t="n">
        <f aca="false">SUM(B20:M20)</f>
        <v>238556.41</v>
      </c>
    </row>
    <row r="21" customFormat="false" ht="15" hidden="false" customHeight="false" outlineLevel="0" collapsed="false">
      <c r="A21" s="0" t="s">
        <v>36</v>
      </c>
      <c r="B21" s="7" t="n">
        <f aca="false">SUMIFS('Transaction Overview'!$D$2:$D$517,'Transaction Overview'!$I$2:$I$517,$A21,'Transaction Overview'!$H$2:$H$517,B$4)</f>
        <v>0</v>
      </c>
      <c r="C21" s="7" t="n">
        <f aca="false">SUMIFS('Transaction Overview'!$D$2:$D$517,'Transaction Overview'!$I$2:$I$517,$A21,'Transaction Overview'!$H$2:$H$517,C$4)</f>
        <v>-8556.41</v>
      </c>
      <c r="D21" s="7" t="n">
        <f aca="false">SUMIFS('Transaction Overview'!$D$2:$D$517,'Transaction Overview'!$I$2:$I$517,$A21,'Transaction Overview'!$H$2:$H$517,D$4)</f>
        <v>0</v>
      </c>
      <c r="E21" s="7" t="n">
        <f aca="false">SUMIFS('Transaction Overview'!$D$2:$D$517,'Transaction Overview'!$I$2:$I$517,$A21,'Transaction Overview'!$H$2:$H$517,E$4)</f>
        <v>0</v>
      </c>
      <c r="F21" s="7" t="n">
        <f aca="false">SUMIFS('Transaction Overview'!$D$2:$D$517,'Transaction Overview'!$I$2:$I$517,$A21,'Transaction Overview'!$H$2:$H$517,F$4)</f>
        <v>0</v>
      </c>
      <c r="G21" s="7" t="n">
        <f aca="false">SUMIFS('Transaction Overview'!$D$2:$D$517,'Transaction Overview'!$I$2:$I$517,$A21,'Transaction Overview'!$H$2:$H$517,G$4)</f>
        <v>0</v>
      </c>
      <c r="H21" s="7" t="n">
        <f aca="false">SUMIFS('Transaction Overview'!$D$2:$D$517,'Transaction Overview'!$I$2:$I$517,$A21,'Transaction Overview'!$H$2:$H$517,H$4)</f>
        <v>0</v>
      </c>
      <c r="I21" s="7" t="n">
        <f aca="false">SUMIFS('Transaction Overview'!$D$2:$D$517,'Transaction Overview'!$I$2:$I$517,$A21,'Transaction Overview'!$H$2:$H$517,I$4)</f>
        <v>0</v>
      </c>
      <c r="J21" s="7" t="n">
        <f aca="false">SUMIFS('Transaction Overview'!$D$2:$D$517,'Transaction Overview'!$I$2:$I$517,$A21,'Transaction Overview'!$H$2:$H$517,J$4)</f>
        <v>0</v>
      </c>
      <c r="K21" s="7" t="n">
        <f aca="false">SUMIFS('Transaction Overview'!$D$2:$D$517,'Transaction Overview'!$I$2:$I$517,$A21,'Transaction Overview'!$H$2:$H$517,K$4)</f>
        <v>0</v>
      </c>
      <c r="L21" s="7" t="n">
        <f aca="false">SUMIFS('Transaction Overview'!$D$2:$D$517,'Transaction Overview'!$I$2:$I$517,$A21,'Transaction Overview'!$H$2:$H$517,L$4)</f>
        <v>0</v>
      </c>
      <c r="M21" s="7" t="n">
        <f aca="false">SUMIFS('Transaction Overview'!$D$2:$D$517,'Transaction Overview'!$I$2:$I$517,$A21,'Transaction Overview'!$H$2:$H$517,M$4)</f>
        <v>0</v>
      </c>
      <c r="N21" s="7" t="n">
        <f aca="false">SUM(B21:M21)</f>
        <v>-8556.41</v>
      </c>
    </row>
    <row r="22" customFormat="false" ht="15" hidden="false" customHeight="false" outlineLevel="0" collapsed="false">
      <c r="A22" s="9" t="s">
        <v>38</v>
      </c>
    </row>
    <row r="23" customFormat="false" ht="15" hidden="false" customHeight="false" outlineLevel="0" collapsed="false">
      <c r="A23" s="0" t="s">
        <v>39</v>
      </c>
      <c r="B23" s="7" t="n">
        <f aca="false">SUMIFS('Transaction Overview'!$D$2:$D$517,'Transaction Overview'!$I$2:$I$517,$A23,'Transaction Overview'!$H$2:$H$517,B$4)</f>
        <v>-5000</v>
      </c>
      <c r="C23" s="7" t="n">
        <f aca="false">SUMIFS('Transaction Overview'!$D$2:$D$517,'Transaction Overview'!$I$2:$I$517,$A23,'Transaction Overview'!$H$2:$H$517,C$4)</f>
        <v>0</v>
      </c>
      <c r="D23" s="7" t="n">
        <f aca="false">SUMIFS('Transaction Overview'!$D$2:$D$517,'Transaction Overview'!$I$2:$I$517,$A23,'Transaction Overview'!$H$2:$H$517,D$4)</f>
        <v>0</v>
      </c>
      <c r="E23" s="7" t="n">
        <f aca="false">SUMIFS('Transaction Overview'!$D$2:$D$517,'Transaction Overview'!$I$2:$I$517,$A23,'Transaction Overview'!$H$2:$H$517,E$4)</f>
        <v>0</v>
      </c>
      <c r="F23" s="7" t="n">
        <f aca="false">SUMIFS('Transaction Overview'!$D$2:$D$517,'Transaction Overview'!$I$2:$I$517,$A23,'Transaction Overview'!$H$2:$H$517,F$4)</f>
        <v>-7956.18</v>
      </c>
      <c r="G23" s="7" t="n">
        <f aca="false">SUMIFS('Transaction Overview'!$D$2:$D$517,'Transaction Overview'!$I$2:$I$517,$A23,'Transaction Overview'!$H$2:$H$517,G$4)</f>
        <v>0</v>
      </c>
      <c r="H23" s="7" t="n">
        <f aca="false">SUMIFS('Transaction Overview'!$D$2:$D$517,'Transaction Overview'!$I$2:$I$517,$A23,'Transaction Overview'!$H$2:$H$517,H$4)</f>
        <v>0</v>
      </c>
      <c r="I23" s="7" t="n">
        <f aca="false">SUMIFS('Transaction Overview'!$D$2:$D$517,'Transaction Overview'!$I$2:$I$517,$A23,'Transaction Overview'!$H$2:$H$517,I$4)</f>
        <v>0</v>
      </c>
      <c r="J23" s="7" t="n">
        <f aca="false">SUMIFS('Transaction Overview'!$D$2:$D$517,'Transaction Overview'!$I$2:$I$517,$A23,'Transaction Overview'!$H$2:$H$517,J$4)</f>
        <v>0</v>
      </c>
      <c r="K23" s="7" t="n">
        <f aca="false">SUMIFS('Transaction Overview'!$D$2:$D$517,'Transaction Overview'!$I$2:$I$517,$A23,'Transaction Overview'!$H$2:$H$517,K$4)</f>
        <v>0</v>
      </c>
      <c r="L23" s="7" t="n">
        <f aca="false">SUMIFS('Transaction Overview'!$D$2:$D$517,'Transaction Overview'!$I$2:$I$517,$A23,'Transaction Overview'!$H$2:$H$517,L$4)</f>
        <v>0</v>
      </c>
      <c r="M23" s="7" t="n">
        <f aca="false">SUMIFS('Transaction Overview'!$D$2:$D$517,'Transaction Overview'!$I$2:$I$517,$A23,'Transaction Overview'!$H$2:$H$517,M$4)</f>
        <v>0</v>
      </c>
      <c r="N23" s="7" t="n">
        <f aca="false">SUM(B23:M23)</f>
        <v>-12956.18</v>
      </c>
    </row>
    <row r="24" customFormat="false" ht="15" hidden="false" customHeight="false" outlineLevel="0" collapsed="false">
      <c r="A24" s="0" t="s">
        <v>40</v>
      </c>
      <c r="B24" s="7" t="n">
        <f aca="false">SUMIFS('Transaction Overview'!$D$2:$D$517,'Transaction Overview'!$I$2:$I$517,$A24,'Transaction Overview'!$H$2:$H$517,B$4)</f>
        <v>-1142</v>
      </c>
      <c r="C24" s="7" t="n">
        <f aca="false">SUMIFS('Transaction Overview'!$D$2:$D$517,'Transaction Overview'!$I$2:$I$517,$A24,'Transaction Overview'!$H$2:$H$517,C$4)</f>
        <v>0</v>
      </c>
      <c r="D24" s="7" t="n">
        <f aca="false">SUMIFS('Transaction Overview'!$D$2:$D$517,'Transaction Overview'!$I$2:$I$517,$A24,'Transaction Overview'!$H$2:$H$517,D$4)</f>
        <v>-1000</v>
      </c>
      <c r="E24" s="7" t="n">
        <f aca="false">SUMIFS('Transaction Overview'!$D$2:$D$517,'Transaction Overview'!$I$2:$I$517,$A24,'Transaction Overview'!$H$2:$H$517,E$4)</f>
        <v>-100</v>
      </c>
      <c r="F24" s="7" t="n">
        <f aca="false">SUMIFS('Transaction Overview'!$D$2:$D$517,'Transaction Overview'!$I$2:$I$517,$A24,'Transaction Overview'!$H$2:$H$517,F$4)</f>
        <v>-2500</v>
      </c>
      <c r="G24" s="7" t="n">
        <f aca="false">SUMIFS('Transaction Overview'!$D$2:$D$517,'Transaction Overview'!$I$2:$I$517,$A24,'Transaction Overview'!$H$2:$H$517,G$4)</f>
        <v>0</v>
      </c>
      <c r="H24" s="7" t="n">
        <f aca="false">SUMIFS('Transaction Overview'!$D$2:$D$517,'Transaction Overview'!$I$2:$I$517,$A24,'Transaction Overview'!$H$2:$H$517,H$4)</f>
        <v>0</v>
      </c>
      <c r="I24" s="7" t="n">
        <f aca="false">SUMIFS('Transaction Overview'!$D$2:$D$517,'Transaction Overview'!$I$2:$I$517,$A24,'Transaction Overview'!$H$2:$H$517,I$4)</f>
        <v>0</v>
      </c>
      <c r="J24" s="7" t="n">
        <f aca="false">SUMIFS('Transaction Overview'!$D$2:$D$517,'Transaction Overview'!$I$2:$I$517,$A24,'Transaction Overview'!$H$2:$H$517,J$4)</f>
        <v>0</v>
      </c>
      <c r="K24" s="7" t="n">
        <f aca="false">SUMIFS('Transaction Overview'!$D$2:$D$517,'Transaction Overview'!$I$2:$I$517,$A24,'Transaction Overview'!$H$2:$H$517,K$4)</f>
        <v>0</v>
      </c>
      <c r="L24" s="7" t="n">
        <f aca="false">SUMIFS('Transaction Overview'!$D$2:$D$517,'Transaction Overview'!$I$2:$I$517,$A24,'Transaction Overview'!$H$2:$H$517,L$4)</f>
        <v>0</v>
      </c>
      <c r="M24" s="7" t="n">
        <f aca="false">SUMIFS('Transaction Overview'!$D$2:$D$517,'Transaction Overview'!$I$2:$I$517,$A24,'Transaction Overview'!$H$2:$H$517,M$4)</f>
        <v>0</v>
      </c>
      <c r="N24" s="7" t="n">
        <f aca="false">SUM(B24:M24)</f>
        <v>-4742</v>
      </c>
    </row>
    <row r="25" customFormat="false" ht="15" hidden="false" customHeight="false" outlineLevel="0" collapsed="false">
      <c r="A25" s="0" t="s">
        <v>41</v>
      </c>
      <c r="B25" s="7" t="n">
        <f aca="false">SUMIFS('Transaction Overview'!$D$2:$D$517,'Transaction Overview'!$I$2:$I$517,$A25,'Transaction Overview'!$H$2:$H$517,B$4)</f>
        <v>0</v>
      </c>
      <c r="C25" s="7" t="n">
        <f aca="false">SUMIFS('Transaction Overview'!$D$2:$D$517,'Transaction Overview'!$I$2:$I$517,$A25,'Transaction Overview'!$H$2:$H$517,C$4)</f>
        <v>0</v>
      </c>
      <c r="D25" s="7" t="n">
        <f aca="false">SUMIFS('Transaction Overview'!$D$2:$D$517,'Transaction Overview'!$I$2:$I$517,$A25,'Transaction Overview'!$H$2:$H$517,D$4)</f>
        <v>0</v>
      </c>
      <c r="E25" s="7" t="n">
        <f aca="false">SUMIFS('Transaction Overview'!$D$2:$D$517,'Transaction Overview'!$I$2:$I$517,$A25,'Transaction Overview'!$H$2:$H$517,E$4)</f>
        <v>0</v>
      </c>
      <c r="F25" s="7" t="n">
        <f aca="false">SUMIFS('Transaction Overview'!$D$2:$D$517,'Transaction Overview'!$I$2:$I$517,$A25,'Transaction Overview'!$H$2:$H$517,F$4)</f>
        <v>-5000</v>
      </c>
      <c r="G25" s="7" t="n">
        <f aca="false">SUMIFS('Transaction Overview'!$D$2:$D$517,'Transaction Overview'!$I$2:$I$517,$A25,'Transaction Overview'!$H$2:$H$517,G$4)</f>
        <v>0</v>
      </c>
      <c r="H25" s="7" t="n">
        <f aca="false">SUMIFS('Transaction Overview'!$D$2:$D$517,'Transaction Overview'!$I$2:$I$517,$A25,'Transaction Overview'!$H$2:$H$517,H$4)</f>
        <v>0</v>
      </c>
      <c r="I25" s="7" t="n">
        <f aca="false">SUMIFS('Transaction Overview'!$D$2:$D$517,'Transaction Overview'!$I$2:$I$517,$A25,'Transaction Overview'!$H$2:$H$517,I$4)</f>
        <v>0</v>
      </c>
      <c r="J25" s="7" t="n">
        <f aca="false">SUMIFS('Transaction Overview'!$D$2:$D$517,'Transaction Overview'!$I$2:$I$517,$A25,'Transaction Overview'!$H$2:$H$517,J$4)</f>
        <v>0</v>
      </c>
      <c r="K25" s="7" t="n">
        <f aca="false">SUMIFS('Transaction Overview'!$D$2:$D$517,'Transaction Overview'!$I$2:$I$517,$A25,'Transaction Overview'!$H$2:$H$517,K$4)</f>
        <v>0</v>
      </c>
      <c r="L25" s="7" t="n">
        <f aca="false">SUMIFS('Transaction Overview'!$D$2:$D$517,'Transaction Overview'!$I$2:$I$517,$A25,'Transaction Overview'!$H$2:$H$517,L$4)</f>
        <v>0</v>
      </c>
      <c r="M25" s="7" t="n">
        <f aca="false">SUMIFS('Transaction Overview'!$D$2:$D$517,'Transaction Overview'!$I$2:$I$517,$A25,'Transaction Overview'!$H$2:$H$517,M$4)</f>
        <v>0</v>
      </c>
      <c r="N25" s="7" t="n">
        <f aca="false">SUM(B25:M25)</f>
        <v>-5000</v>
      </c>
    </row>
    <row r="26" customFormat="false" ht="15" hidden="false" customHeight="false" outlineLevel="0" collapsed="false">
      <c r="A26" s="0" t="s">
        <v>42</v>
      </c>
      <c r="B26" s="7" t="n">
        <f aca="false">SUMIFS('Transaction Overview'!$D$2:$D$517,'Transaction Overview'!$I$2:$I$517,$A26,'Transaction Overview'!$H$2:$H$517,B$4)</f>
        <v>0</v>
      </c>
      <c r="C26" s="7" t="n">
        <f aca="false">SUMIFS('Transaction Overview'!$D$2:$D$517,'Transaction Overview'!$I$2:$I$517,$A26,'Transaction Overview'!$H$2:$H$517,C$4)</f>
        <v>0</v>
      </c>
      <c r="D26" s="7" t="n">
        <f aca="false">SUMIFS('Transaction Overview'!$D$2:$D$517,'Transaction Overview'!$I$2:$I$517,$A26,'Transaction Overview'!$H$2:$H$517,D$4)</f>
        <v>0</v>
      </c>
      <c r="E26" s="7" t="n">
        <f aca="false">SUMIFS('Transaction Overview'!$D$2:$D$517,'Transaction Overview'!$I$2:$I$517,$A26,'Transaction Overview'!$H$2:$H$517,E$4)</f>
        <v>0</v>
      </c>
      <c r="F26" s="7" t="n">
        <f aca="false">SUMIFS('Transaction Overview'!$D$2:$D$517,'Transaction Overview'!$I$2:$I$517,$A26,'Transaction Overview'!$H$2:$H$517,F$4)</f>
        <v>0</v>
      </c>
      <c r="G26" s="7" t="n">
        <f aca="false">SUMIFS('Transaction Overview'!$D$2:$D$517,'Transaction Overview'!$I$2:$I$517,$A26,'Transaction Overview'!$H$2:$H$517,G$4)</f>
        <v>-200</v>
      </c>
      <c r="H26" s="7" t="n">
        <f aca="false">SUMIFS('Transaction Overview'!$D$2:$D$517,'Transaction Overview'!$I$2:$I$517,$A26,'Transaction Overview'!$H$2:$H$517,H$4)</f>
        <v>0</v>
      </c>
      <c r="I26" s="7" t="n">
        <f aca="false">SUMIFS('Transaction Overview'!$D$2:$D$517,'Transaction Overview'!$I$2:$I$517,$A26,'Transaction Overview'!$H$2:$H$517,I$4)</f>
        <v>0</v>
      </c>
      <c r="J26" s="7" t="n">
        <f aca="false">SUMIFS('Transaction Overview'!$D$2:$D$517,'Transaction Overview'!$I$2:$I$517,$A26,'Transaction Overview'!$H$2:$H$517,J$4)</f>
        <v>0</v>
      </c>
      <c r="K26" s="7" t="n">
        <f aca="false">SUMIFS('Transaction Overview'!$D$2:$D$517,'Transaction Overview'!$I$2:$I$517,$A26,'Transaction Overview'!$H$2:$H$517,K$4)</f>
        <v>0</v>
      </c>
      <c r="L26" s="7" t="n">
        <f aca="false">SUMIFS('Transaction Overview'!$D$2:$D$517,'Transaction Overview'!$I$2:$I$517,$A26,'Transaction Overview'!$H$2:$H$517,L$4)</f>
        <v>0</v>
      </c>
      <c r="M26" s="7" t="n">
        <f aca="false">SUMIFS('Transaction Overview'!$D$2:$D$517,'Transaction Overview'!$I$2:$I$517,$A26,'Transaction Overview'!$H$2:$H$517,M$4)</f>
        <v>0</v>
      </c>
      <c r="N26" s="7" t="n">
        <f aca="false">SUM(B26:M26)</f>
        <v>-200</v>
      </c>
    </row>
    <row r="27" customFormat="false" ht="15" hidden="false" customHeight="false" outlineLevel="0" collapsed="false">
      <c r="A27" s="0" t="s">
        <v>43</v>
      </c>
      <c r="B27" s="7" t="n">
        <f aca="false">SUMIFS('Transaction Overview'!$D$2:$D$517,'Transaction Overview'!$I$2:$I$517,$A27,'Transaction Overview'!$H$2:$H$517,B$4)</f>
        <v>0</v>
      </c>
      <c r="C27" s="7" t="n">
        <f aca="false">SUMIFS('Transaction Overview'!$D$2:$D$517,'Transaction Overview'!$I$2:$I$517,$A27,'Transaction Overview'!$H$2:$H$517,C$4)</f>
        <v>0</v>
      </c>
      <c r="D27" s="7" t="n">
        <f aca="false">SUMIFS('Transaction Overview'!$D$2:$D$517,'Transaction Overview'!$I$2:$I$517,$A27,'Transaction Overview'!$H$2:$H$517,D$4)</f>
        <v>0</v>
      </c>
      <c r="E27" s="7" t="n">
        <f aca="false">SUMIFS('Transaction Overview'!$D$2:$D$517,'Transaction Overview'!$I$2:$I$517,$A27,'Transaction Overview'!$H$2:$H$517,E$4)</f>
        <v>0</v>
      </c>
      <c r="F27" s="7" t="n">
        <f aca="false">SUMIFS('Transaction Overview'!$D$2:$D$517,'Transaction Overview'!$I$2:$I$517,$A27,'Transaction Overview'!$H$2:$H$517,F$4)</f>
        <v>0</v>
      </c>
      <c r="G27" s="7" t="n">
        <f aca="false">SUMIFS('Transaction Overview'!$D$2:$D$517,'Transaction Overview'!$I$2:$I$517,$A27,'Transaction Overview'!$H$2:$H$517,G$4)</f>
        <v>-300</v>
      </c>
      <c r="H27" s="7" t="n">
        <f aca="false">SUMIFS('Transaction Overview'!$D$2:$D$517,'Transaction Overview'!$I$2:$I$517,$A27,'Transaction Overview'!$H$2:$H$517,H$4)</f>
        <v>0</v>
      </c>
      <c r="I27" s="7" t="n">
        <f aca="false">SUMIFS('Transaction Overview'!$D$2:$D$517,'Transaction Overview'!$I$2:$I$517,$A27,'Transaction Overview'!$H$2:$H$517,I$4)</f>
        <v>0</v>
      </c>
      <c r="J27" s="7" t="n">
        <f aca="false">SUMIFS('Transaction Overview'!$D$2:$D$517,'Transaction Overview'!$I$2:$I$517,$A27,'Transaction Overview'!$H$2:$H$517,J$4)</f>
        <v>0</v>
      </c>
      <c r="K27" s="7" t="n">
        <f aca="false">SUMIFS('Transaction Overview'!$D$2:$D$517,'Transaction Overview'!$I$2:$I$517,$A27,'Transaction Overview'!$H$2:$H$517,K$4)</f>
        <v>0</v>
      </c>
      <c r="L27" s="7" t="n">
        <f aca="false">SUMIFS('Transaction Overview'!$D$2:$D$517,'Transaction Overview'!$I$2:$I$517,$A27,'Transaction Overview'!$H$2:$H$517,L$4)</f>
        <v>0</v>
      </c>
      <c r="M27" s="7" t="n">
        <f aca="false">SUMIFS('Transaction Overview'!$D$2:$D$517,'Transaction Overview'!$I$2:$I$517,$A27,'Transaction Overview'!$H$2:$H$517,M$4)</f>
        <v>0</v>
      </c>
      <c r="N27" s="7" t="n">
        <f aca="false">SUM(B27:M27)</f>
        <v>-300</v>
      </c>
    </row>
    <row r="28" customFormat="false" ht="15" hidden="false" customHeight="false" outlineLevel="0" collapsed="false">
      <c r="A28" s="0" t="s">
        <v>44</v>
      </c>
      <c r="B28" s="7" t="n">
        <f aca="false">SUMIFS('Transaction Overview'!$D$2:$D$517,'Transaction Overview'!$I$2:$I$517,$A28,'Transaction Overview'!$H$2:$H$517,B$4)</f>
        <v>0</v>
      </c>
      <c r="C28" s="7" t="n">
        <f aca="false">SUMIFS('Transaction Overview'!$D$2:$D$517,'Transaction Overview'!$I$2:$I$517,$A28,'Transaction Overview'!$H$2:$H$517,C$4)</f>
        <v>0</v>
      </c>
      <c r="D28" s="7" t="n">
        <f aca="false">SUMIFS('Transaction Overview'!$D$2:$D$517,'Transaction Overview'!$I$2:$I$517,$A28,'Transaction Overview'!$H$2:$H$517,D$4)</f>
        <v>-200</v>
      </c>
      <c r="E28" s="7" t="n">
        <f aca="false">SUMIFS('Transaction Overview'!$D$2:$D$517,'Transaction Overview'!$I$2:$I$517,$A28,'Transaction Overview'!$H$2:$H$517,E$4)</f>
        <v>0</v>
      </c>
      <c r="F28" s="7" t="n">
        <f aca="false">SUMIFS('Transaction Overview'!$D$2:$D$517,'Transaction Overview'!$I$2:$I$517,$A28,'Transaction Overview'!$H$2:$H$517,F$4)</f>
        <v>0</v>
      </c>
      <c r="G28" s="7" t="n">
        <f aca="false">SUMIFS('Transaction Overview'!$D$2:$D$517,'Transaction Overview'!$I$2:$I$517,$A28,'Transaction Overview'!$H$2:$H$517,G$4)</f>
        <v>0</v>
      </c>
      <c r="H28" s="7" t="n">
        <f aca="false">SUMIFS('Transaction Overview'!$D$2:$D$517,'Transaction Overview'!$I$2:$I$517,$A28,'Transaction Overview'!$H$2:$H$517,H$4)</f>
        <v>0</v>
      </c>
      <c r="I28" s="7" t="n">
        <f aca="false">SUMIFS('Transaction Overview'!$D$2:$D$517,'Transaction Overview'!$I$2:$I$517,$A28,'Transaction Overview'!$H$2:$H$517,I$4)</f>
        <v>0</v>
      </c>
      <c r="J28" s="7" t="n">
        <f aca="false">SUMIFS('Transaction Overview'!$D$2:$D$517,'Transaction Overview'!$I$2:$I$517,$A28,'Transaction Overview'!$H$2:$H$517,J$4)</f>
        <v>0</v>
      </c>
      <c r="K28" s="7" t="n">
        <f aca="false">SUMIFS('Transaction Overview'!$D$2:$D$517,'Transaction Overview'!$I$2:$I$517,$A28,'Transaction Overview'!$H$2:$H$517,K$4)</f>
        <v>0</v>
      </c>
      <c r="L28" s="7" t="n">
        <f aca="false">SUMIFS('Transaction Overview'!$D$2:$D$517,'Transaction Overview'!$I$2:$I$517,$A28,'Transaction Overview'!$H$2:$H$517,L$4)</f>
        <v>0</v>
      </c>
      <c r="M28" s="7" t="n">
        <f aca="false">SUMIFS('Transaction Overview'!$D$2:$D$517,'Transaction Overview'!$I$2:$I$517,$A28,'Transaction Overview'!$H$2:$H$517,M$4)</f>
        <v>0</v>
      </c>
      <c r="N28" s="7" t="n">
        <f aca="false">SUM(B28:M28)</f>
        <v>-200</v>
      </c>
    </row>
    <row r="29" customFormat="false" ht="15" hidden="false" customHeight="false" outlineLevel="0" collapsed="false">
      <c r="A29" s="0" t="s">
        <v>45</v>
      </c>
      <c r="B29" s="7" t="n">
        <f aca="false">SUMIFS('Transaction Overview'!$D$2:$D$517,'Transaction Overview'!$I$2:$I$517,$A29,'Transaction Overview'!$H$2:$H$517,B$4)</f>
        <v>0</v>
      </c>
      <c r="C29" s="7" t="n">
        <f aca="false">SUMIFS('Transaction Overview'!$D$2:$D$517,'Transaction Overview'!$I$2:$I$517,$A29,'Transaction Overview'!$H$2:$H$517,C$4)</f>
        <v>0</v>
      </c>
      <c r="D29" s="7" t="n">
        <f aca="false">SUMIFS('Transaction Overview'!$D$2:$D$517,'Transaction Overview'!$I$2:$I$517,$A29,'Transaction Overview'!$H$2:$H$517,D$4)</f>
        <v>0</v>
      </c>
      <c r="E29" s="7" t="n">
        <f aca="false">SUMIFS('Transaction Overview'!$D$2:$D$517,'Transaction Overview'!$I$2:$I$517,$A29,'Transaction Overview'!$H$2:$H$517,E$4)</f>
        <v>0</v>
      </c>
      <c r="F29" s="7" t="n">
        <f aca="false">SUMIFS('Transaction Overview'!$D$2:$D$517,'Transaction Overview'!$I$2:$I$517,$A29,'Transaction Overview'!$H$2:$H$517,F$4)</f>
        <v>0</v>
      </c>
      <c r="G29" s="7" t="n">
        <f aca="false">SUMIFS('Transaction Overview'!$D$2:$D$517,'Transaction Overview'!$I$2:$I$517,$A29,'Transaction Overview'!$H$2:$H$517,G$4)</f>
        <v>-600</v>
      </c>
      <c r="H29" s="7" t="n">
        <f aca="false">SUMIFS('Transaction Overview'!$D$2:$D$517,'Transaction Overview'!$I$2:$I$517,$A29,'Transaction Overview'!$H$2:$H$517,H$4)</f>
        <v>0</v>
      </c>
      <c r="I29" s="7" t="n">
        <f aca="false">SUMIFS('Transaction Overview'!$D$2:$D$517,'Transaction Overview'!$I$2:$I$517,$A29,'Transaction Overview'!$H$2:$H$517,I$4)</f>
        <v>0</v>
      </c>
      <c r="J29" s="7" t="n">
        <f aca="false">SUMIFS('Transaction Overview'!$D$2:$D$517,'Transaction Overview'!$I$2:$I$517,$A29,'Transaction Overview'!$H$2:$H$517,J$4)</f>
        <v>0</v>
      </c>
      <c r="K29" s="7" t="n">
        <f aca="false">SUMIFS('Transaction Overview'!$D$2:$D$517,'Transaction Overview'!$I$2:$I$517,$A29,'Transaction Overview'!$H$2:$H$517,K$4)</f>
        <v>0</v>
      </c>
      <c r="L29" s="7" t="n">
        <f aca="false">SUMIFS('Transaction Overview'!$D$2:$D$517,'Transaction Overview'!$I$2:$I$517,$A29,'Transaction Overview'!$H$2:$H$517,L$4)</f>
        <v>0</v>
      </c>
      <c r="M29" s="7" t="n">
        <f aca="false">SUMIFS('Transaction Overview'!$D$2:$D$517,'Transaction Overview'!$I$2:$I$517,$A29,'Transaction Overview'!$H$2:$H$517,M$4)</f>
        <v>0</v>
      </c>
      <c r="N29" s="7" t="n">
        <f aca="false">SUM(B29:M29)</f>
        <v>-600</v>
      </c>
    </row>
    <row r="30" customFormat="false" ht="15" hidden="false" customHeight="false" outlineLevel="0" collapsed="false">
      <c r="A30" s="0" t="s">
        <v>46</v>
      </c>
      <c r="B30" s="7" t="n">
        <f aca="false">SUMIFS('Transaction Overview'!$D$2:$D$517,'Transaction Overview'!$I$2:$I$517,$A30,'Transaction Overview'!$H$2:$H$517,B$4)</f>
        <v>-200</v>
      </c>
      <c r="C30" s="7" t="n">
        <f aca="false">SUMIFS('Transaction Overview'!$D$2:$D$517,'Transaction Overview'!$I$2:$I$517,$A30,'Transaction Overview'!$H$2:$H$517,C$4)</f>
        <v>0</v>
      </c>
      <c r="D30" s="7" t="n">
        <f aca="false">SUMIFS('Transaction Overview'!$D$2:$D$517,'Transaction Overview'!$I$2:$I$517,$A30,'Transaction Overview'!$H$2:$H$517,D$4)</f>
        <v>0</v>
      </c>
      <c r="E30" s="7" t="n">
        <f aca="false">SUMIFS('Transaction Overview'!$D$2:$D$517,'Transaction Overview'!$I$2:$I$517,$A30,'Transaction Overview'!$H$2:$H$517,E$4)</f>
        <v>0</v>
      </c>
      <c r="F30" s="7" t="n">
        <f aca="false">SUMIFS('Transaction Overview'!$D$2:$D$517,'Transaction Overview'!$I$2:$I$517,$A30,'Transaction Overview'!$H$2:$H$517,F$4)</f>
        <v>0</v>
      </c>
      <c r="G30" s="7" t="n">
        <f aca="false">SUMIFS('Transaction Overview'!$D$2:$D$517,'Transaction Overview'!$I$2:$I$517,$A30,'Transaction Overview'!$H$2:$H$517,G$4)</f>
        <v>0</v>
      </c>
      <c r="H30" s="7" t="n">
        <f aca="false">SUMIFS('Transaction Overview'!$D$2:$D$517,'Transaction Overview'!$I$2:$I$517,$A30,'Transaction Overview'!$H$2:$H$517,H$4)</f>
        <v>0</v>
      </c>
      <c r="I30" s="7" t="n">
        <f aca="false">SUMIFS('Transaction Overview'!$D$2:$D$517,'Transaction Overview'!$I$2:$I$517,$A30,'Transaction Overview'!$H$2:$H$517,I$4)</f>
        <v>0</v>
      </c>
      <c r="J30" s="7" t="n">
        <f aca="false">SUMIFS('Transaction Overview'!$D$2:$D$517,'Transaction Overview'!$I$2:$I$517,$A30,'Transaction Overview'!$H$2:$H$517,J$4)</f>
        <v>0</v>
      </c>
      <c r="K30" s="7" t="n">
        <f aca="false">SUMIFS('Transaction Overview'!$D$2:$D$517,'Transaction Overview'!$I$2:$I$517,$A30,'Transaction Overview'!$H$2:$H$517,K$4)</f>
        <v>0</v>
      </c>
      <c r="L30" s="7" t="n">
        <f aca="false">SUMIFS('Transaction Overview'!$D$2:$D$517,'Transaction Overview'!$I$2:$I$517,$A30,'Transaction Overview'!$H$2:$H$517,L$4)</f>
        <v>0</v>
      </c>
      <c r="M30" s="7" t="n">
        <f aca="false">SUMIFS('Transaction Overview'!$D$2:$D$517,'Transaction Overview'!$I$2:$I$517,$A30,'Transaction Overview'!$H$2:$H$517,M$4)</f>
        <v>0</v>
      </c>
      <c r="N30" s="7" t="n">
        <f aca="false">SUM(B30:M30)</f>
        <v>-200</v>
      </c>
    </row>
    <row r="31" customFormat="false" ht="15" hidden="false" customHeight="false" outlineLevel="0" collapsed="false">
      <c r="A31" s="0" t="s">
        <v>47</v>
      </c>
      <c r="B31" s="7" t="n">
        <f aca="false">SUMIFS('Transaction Overview'!$D$2:$D$517,'Transaction Overview'!$I$2:$I$517,$A31,'Transaction Overview'!$H$2:$H$517,B$4)</f>
        <v>0</v>
      </c>
      <c r="C31" s="7" t="n">
        <f aca="false">SUMIFS('Transaction Overview'!$D$2:$D$517,'Transaction Overview'!$I$2:$I$517,$A31,'Transaction Overview'!$H$2:$H$517,C$4)</f>
        <v>0</v>
      </c>
      <c r="D31" s="7" t="n">
        <f aca="false">SUMIFS('Transaction Overview'!$D$2:$D$517,'Transaction Overview'!$I$2:$I$517,$A31,'Transaction Overview'!$H$2:$H$517,D$4)</f>
        <v>0</v>
      </c>
      <c r="E31" s="7" t="n">
        <f aca="false">SUMIFS('Transaction Overview'!$D$2:$D$517,'Transaction Overview'!$I$2:$I$517,$A31,'Transaction Overview'!$H$2:$H$517,E$4)</f>
        <v>0</v>
      </c>
      <c r="F31" s="7" t="n">
        <f aca="false">SUMIFS('Transaction Overview'!$D$2:$D$517,'Transaction Overview'!$I$2:$I$517,$A31,'Transaction Overview'!$H$2:$H$517,F$4)</f>
        <v>-300</v>
      </c>
      <c r="G31" s="7" t="n">
        <f aca="false">SUMIFS('Transaction Overview'!$D$2:$D$517,'Transaction Overview'!$I$2:$I$517,$A31,'Transaction Overview'!$H$2:$H$517,G$4)</f>
        <v>0</v>
      </c>
      <c r="H31" s="7" t="n">
        <f aca="false">SUMIFS('Transaction Overview'!$D$2:$D$517,'Transaction Overview'!$I$2:$I$517,$A31,'Transaction Overview'!$H$2:$H$517,H$4)</f>
        <v>0</v>
      </c>
      <c r="I31" s="7" t="n">
        <f aca="false">SUMIFS('Transaction Overview'!$D$2:$D$517,'Transaction Overview'!$I$2:$I$517,$A31,'Transaction Overview'!$H$2:$H$517,I$4)</f>
        <v>0</v>
      </c>
      <c r="J31" s="7" t="n">
        <f aca="false">SUMIFS('Transaction Overview'!$D$2:$D$517,'Transaction Overview'!$I$2:$I$517,$A31,'Transaction Overview'!$H$2:$H$517,J$4)</f>
        <v>0</v>
      </c>
      <c r="K31" s="7" t="n">
        <f aca="false">SUMIFS('Transaction Overview'!$D$2:$D$517,'Transaction Overview'!$I$2:$I$517,$A31,'Transaction Overview'!$H$2:$H$517,K$4)</f>
        <v>0</v>
      </c>
      <c r="L31" s="7" t="n">
        <f aca="false">SUMIFS('Transaction Overview'!$D$2:$D$517,'Transaction Overview'!$I$2:$I$517,$A31,'Transaction Overview'!$H$2:$H$517,L$4)</f>
        <v>0</v>
      </c>
      <c r="M31" s="7" t="n">
        <f aca="false">SUMIFS('Transaction Overview'!$D$2:$D$517,'Transaction Overview'!$I$2:$I$517,$A31,'Transaction Overview'!$H$2:$H$517,M$4)</f>
        <v>0</v>
      </c>
      <c r="N31" s="7" t="n">
        <f aca="false">SUM(B31:M31)</f>
        <v>-300</v>
      </c>
    </row>
    <row r="32" customFormat="false" ht="15" hidden="false" customHeight="false" outlineLevel="0" collapsed="false">
      <c r="A32" s="0" t="s">
        <v>48</v>
      </c>
      <c r="B32" s="7" t="n">
        <f aca="false">SUMIFS('Transaction Overview'!$D$2:$D$517,'Transaction Overview'!$I$2:$I$517,$A32,'Transaction Overview'!$H$2:$H$517,B$4)</f>
        <v>-300</v>
      </c>
      <c r="C32" s="7" t="n">
        <f aca="false">SUMIFS('Transaction Overview'!$D$2:$D$517,'Transaction Overview'!$I$2:$I$517,$A32,'Transaction Overview'!$H$2:$H$517,C$4)</f>
        <v>0</v>
      </c>
      <c r="D32" s="7" t="n">
        <f aca="false">SUMIFS('Transaction Overview'!$D$2:$D$517,'Transaction Overview'!$I$2:$I$517,$A32,'Transaction Overview'!$H$2:$H$517,D$4)</f>
        <v>0</v>
      </c>
      <c r="E32" s="7" t="n">
        <f aca="false">SUMIFS('Transaction Overview'!$D$2:$D$517,'Transaction Overview'!$I$2:$I$517,$A32,'Transaction Overview'!$H$2:$H$517,E$4)</f>
        <v>-400</v>
      </c>
      <c r="F32" s="7" t="n">
        <f aca="false">SUMIFS('Transaction Overview'!$D$2:$D$517,'Transaction Overview'!$I$2:$I$517,$A32,'Transaction Overview'!$H$2:$H$517,F$4)</f>
        <v>0</v>
      </c>
      <c r="G32" s="7" t="n">
        <f aca="false">SUMIFS('Transaction Overview'!$D$2:$D$517,'Transaction Overview'!$I$2:$I$517,$A32,'Transaction Overview'!$H$2:$H$517,G$4)</f>
        <v>0</v>
      </c>
      <c r="H32" s="7" t="n">
        <f aca="false">SUMIFS('Transaction Overview'!$D$2:$D$517,'Transaction Overview'!$I$2:$I$517,$A32,'Transaction Overview'!$H$2:$H$517,H$4)</f>
        <v>0</v>
      </c>
      <c r="I32" s="7" t="n">
        <f aca="false">SUMIFS('Transaction Overview'!$D$2:$D$517,'Transaction Overview'!$I$2:$I$517,$A32,'Transaction Overview'!$H$2:$H$517,I$4)</f>
        <v>0</v>
      </c>
      <c r="J32" s="7" t="n">
        <f aca="false">SUMIFS('Transaction Overview'!$D$2:$D$517,'Transaction Overview'!$I$2:$I$517,$A32,'Transaction Overview'!$H$2:$H$517,J$4)</f>
        <v>0</v>
      </c>
      <c r="K32" s="7" t="n">
        <f aca="false">SUMIFS('Transaction Overview'!$D$2:$D$517,'Transaction Overview'!$I$2:$I$517,$A32,'Transaction Overview'!$H$2:$H$517,K$4)</f>
        <v>0</v>
      </c>
      <c r="L32" s="7" t="n">
        <f aca="false">SUMIFS('Transaction Overview'!$D$2:$D$517,'Transaction Overview'!$I$2:$I$517,$A32,'Transaction Overview'!$H$2:$H$517,L$4)</f>
        <v>0</v>
      </c>
      <c r="M32" s="7" t="n">
        <f aca="false">SUMIFS('Transaction Overview'!$D$2:$D$517,'Transaction Overview'!$I$2:$I$517,$A32,'Transaction Overview'!$H$2:$H$517,M$4)</f>
        <v>0</v>
      </c>
      <c r="N32" s="7" t="n">
        <f aca="false">SUM(B32:M32)</f>
        <v>-700</v>
      </c>
    </row>
    <row r="33" customFormat="false" ht="15" hidden="false" customHeight="false" outlineLevel="0" collapsed="false">
      <c r="A33" s="9" t="s">
        <v>50</v>
      </c>
    </row>
    <row r="34" customFormat="false" ht="15" hidden="false" customHeight="false" outlineLevel="0" collapsed="false">
      <c r="A34" s="0" t="s">
        <v>51</v>
      </c>
      <c r="B34" s="7" t="n">
        <f aca="false">SUMIFS('Transaction Overview'!$D$2:$D$517,'Transaction Overview'!$I$2:$I$517,$A34,'Transaction Overview'!$H$2:$H$517,B$4)</f>
        <v>-1510</v>
      </c>
      <c r="C34" s="7" t="n">
        <f aca="false">SUMIFS('Transaction Overview'!$D$2:$D$517,'Transaction Overview'!$I$2:$I$517,$A34,'Transaction Overview'!$H$2:$H$517,C$4)</f>
        <v>-1510</v>
      </c>
      <c r="D34" s="7" t="n">
        <f aca="false">SUMIFS('Transaction Overview'!$D$2:$D$517,'Transaction Overview'!$I$2:$I$517,$A34,'Transaction Overview'!$H$2:$H$517,D$4)</f>
        <v>-1510</v>
      </c>
      <c r="E34" s="7" t="n">
        <f aca="false">SUMIFS('Transaction Overview'!$D$2:$D$517,'Transaction Overview'!$I$2:$I$517,$A34,'Transaction Overview'!$H$2:$H$517,E$4)</f>
        <v>-1510</v>
      </c>
      <c r="F34" s="7" t="n">
        <f aca="false">SUMIFS('Transaction Overview'!$D$2:$D$517,'Transaction Overview'!$I$2:$I$517,$A34,'Transaction Overview'!$H$2:$H$517,F$4)</f>
        <v>-1510</v>
      </c>
      <c r="G34" s="7" t="n">
        <f aca="false">SUMIFS('Transaction Overview'!$D$2:$D$517,'Transaction Overview'!$I$2:$I$517,$A34,'Transaction Overview'!$H$2:$H$517,G$4)</f>
        <v>-755</v>
      </c>
      <c r="H34" s="7" t="n">
        <f aca="false">SUMIFS('Transaction Overview'!$D$2:$D$517,'Transaction Overview'!$I$2:$I$517,$A34,'Transaction Overview'!$H$2:$H$517,H$4)</f>
        <v>0</v>
      </c>
      <c r="I34" s="7" t="n">
        <f aca="false">SUMIFS('Transaction Overview'!$D$2:$D$517,'Transaction Overview'!$I$2:$I$517,$A34,'Transaction Overview'!$H$2:$H$517,I$4)</f>
        <v>0</v>
      </c>
      <c r="J34" s="7" t="n">
        <f aca="false">SUMIFS('Transaction Overview'!$D$2:$D$517,'Transaction Overview'!$I$2:$I$517,$A34,'Transaction Overview'!$H$2:$H$517,J$4)</f>
        <v>0</v>
      </c>
      <c r="K34" s="7" t="n">
        <f aca="false">SUMIFS('Transaction Overview'!$D$2:$D$517,'Transaction Overview'!$I$2:$I$517,$A34,'Transaction Overview'!$H$2:$H$517,K$4)</f>
        <v>0</v>
      </c>
      <c r="L34" s="7" t="n">
        <f aca="false">SUMIFS('Transaction Overview'!$D$2:$D$517,'Transaction Overview'!$I$2:$I$517,$A34,'Transaction Overview'!$H$2:$H$517,L$4)</f>
        <v>0</v>
      </c>
      <c r="M34" s="7" t="n">
        <f aca="false">SUMIFS('Transaction Overview'!$D$2:$D$517,'Transaction Overview'!$I$2:$I$517,$A34,'Transaction Overview'!$H$2:$H$517,M$4)</f>
        <v>0</v>
      </c>
      <c r="N34" s="7" t="n">
        <f aca="false">SUM(B34:M34)</f>
        <v>-8305</v>
      </c>
    </row>
    <row r="35" customFormat="false" ht="15" hidden="false" customHeight="false" outlineLevel="0" collapsed="false">
      <c r="A35" s="0" t="s">
        <v>52</v>
      </c>
      <c r="B35" s="7" t="n">
        <f aca="false">SUMIFS('Transaction Overview'!$D$2:$D$517,'Transaction Overview'!$I$2:$I$517,$A35,'Transaction Overview'!$H$2:$H$517,B$4)</f>
        <v>0</v>
      </c>
      <c r="C35" s="7" t="n">
        <f aca="false">SUMIFS('Transaction Overview'!$D$2:$D$517,'Transaction Overview'!$I$2:$I$517,$A35,'Transaction Overview'!$H$2:$H$517,C$4)</f>
        <v>-3500</v>
      </c>
      <c r="D35" s="7" t="n">
        <f aca="false">SUMIFS('Transaction Overview'!$D$2:$D$517,'Transaction Overview'!$I$2:$I$517,$A35,'Transaction Overview'!$H$2:$H$517,D$4)</f>
        <v>-3500</v>
      </c>
      <c r="E35" s="7" t="n">
        <f aca="false">SUMIFS('Transaction Overview'!$D$2:$D$517,'Transaction Overview'!$I$2:$I$517,$A35,'Transaction Overview'!$H$2:$H$517,E$4)</f>
        <v>-10500</v>
      </c>
      <c r="F35" s="7" t="n">
        <f aca="false">SUMIFS('Transaction Overview'!$D$2:$D$517,'Transaction Overview'!$I$2:$I$517,$A35,'Transaction Overview'!$H$2:$H$517,F$4)</f>
        <v>-7000</v>
      </c>
      <c r="G35" s="7" t="n">
        <f aca="false">SUMIFS('Transaction Overview'!$D$2:$D$517,'Transaction Overview'!$I$2:$I$517,$A35,'Transaction Overview'!$H$2:$H$517,G$4)</f>
        <v>-3500</v>
      </c>
      <c r="H35" s="7" t="n">
        <f aca="false">SUMIFS('Transaction Overview'!$D$2:$D$517,'Transaction Overview'!$I$2:$I$517,$A35,'Transaction Overview'!$H$2:$H$517,H$4)</f>
        <v>0</v>
      </c>
      <c r="I35" s="7" t="n">
        <f aca="false">SUMIFS('Transaction Overview'!$D$2:$D$517,'Transaction Overview'!$I$2:$I$517,$A35,'Transaction Overview'!$H$2:$H$517,I$4)</f>
        <v>0</v>
      </c>
      <c r="J35" s="7" t="n">
        <f aca="false">SUMIFS('Transaction Overview'!$D$2:$D$517,'Transaction Overview'!$I$2:$I$517,$A35,'Transaction Overview'!$H$2:$H$517,J$4)</f>
        <v>0</v>
      </c>
      <c r="K35" s="7" t="n">
        <f aca="false">SUMIFS('Transaction Overview'!$D$2:$D$517,'Transaction Overview'!$I$2:$I$517,$A35,'Transaction Overview'!$H$2:$H$517,K$4)</f>
        <v>0</v>
      </c>
      <c r="L35" s="7" t="n">
        <f aca="false">SUMIFS('Transaction Overview'!$D$2:$D$517,'Transaction Overview'!$I$2:$I$517,$A35,'Transaction Overview'!$H$2:$H$517,L$4)</f>
        <v>0</v>
      </c>
      <c r="M35" s="7" t="n">
        <f aca="false">SUMIFS('Transaction Overview'!$D$2:$D$517,'Transaction Overview'!$I$2:$I$517,$A35,'Transaction Overview'!$H$2:$H$517,M$4)</f>
        <v>0</v>
      </c>
      <c r="N35" s="7" t="n">
        <f aca="false">SUM(B35:M35)</f>
        <v>-28000</v>
      </c>
    </row>
    <row r="36" customFormat="false" ht="15" hidden="false" customHeight="false" outlineLevel="0" collapsed="false">
      <c r="A36" s="0" t="s">
        <v>53</v>
      </c>
      <c r="B36" s="7" t="n">
        <f aca="false">SUMIFS('Transaction Overview'!$D$2:$D$517,'Transaction Overview'!$I$2:$I$517,$A36,'Transaction Overview'!$H$2:$H$517,B$4)</f>
        <v>-937.28</v>
      </c>
      <c r="C36" s="7" t="n">
        <f aca="false">SUMIFS('Transaction Overview'!$D$2:$D$517,'Transaction Overview'!$I$2:$I$517,$A36,'Transaction Overview'!$H$2:$H$517,C$4)</f>
        <v>-23.34</v>
      </c>
      <c r="D36" s="7" t="n">
        <f aca="false">SUMIFS('Transaction Overview'!$D$2:$D$517,'Transaction Overview'!$I$2:$I$517,$A36,'Transaction Overview'!$H$2:$H$517,D$4)</f>
        <v>-125.69</v>
      </c>
      <c r="E36" s="7" t="n">
        <f aca="false">SUMIFS('Transaction Overview'!$D$2:$D$517,'Transaction Overview'!$I$2:$I$517,$A36,'Transaction Overview'!$H$2:$H$517,E$4)</f>
        <v>0</v>
      </c>
      <c r="F36" s="7" t="n">
        <f aca="false">SUMIFS('Transaction Overview'!$D$2:$D$517,'Transaction Overview'!$I$2:$I$517,$A36,'Transaction Overview'!$H$2:$H$517,F$4)</f>
        <v>0</v>
      </c>
      <c r="G36" s="7" t="n">
        <f aca="false">SUMIFS('Transaction Overview'!$D$2:$D$517,'Transaction Overview'!$I$2:$I$517,$A36,'Transaction Overview'!$H$2:$H$517,G$4)</f>
        <v>0</v>
      </c>
      <c r="H36" s="7" t="n">
        <f aca="false">SUMIFS('Transaction Overview'!$D$2:$D$517,'Transaction Overview'!$I$2:$I$517,$A36,'Transaction Overview'!$H$2:$H$517,H$4)</f>
        <v>0</v>
      </c>
      <c r="I36" s="7" t="n">
        <f aca="false">SUMIFS('Transaction Overview'!$D$2:$D$517,'Transaction Overview'!$I$2:$I$517,$A36,'Transaction Overview'!$H$2:$H$517,I$4)</f>
        <v>0</v>
      </c>
      <c r="J36" s="7" t="n">
        <f aca="false">SUMIFS('Transaction Overview'!$D$2:$D$517,'Transaction Overview'!$I$2:$I$517,$A36,'Transaction Overview'!$H$2:$H$517,J$4)</f>
        <v>0</v>
      </c>
      <c r="K36" s="7" t="n">
        <f aca="false">SUMIFS('Transaction Overview'!$D$2:$D$517,'Transaction Overview'!$I$2:$I$517,$A36,'Transaction Overview'!$H$2:$H$517,K$4)</f>
        <v>0</v>
      </c>
      <c r="L36" s="7" t="n">
        <f aca="false">SUMIFS('Transaction Overview'!$D$2:$D$517,'Transaction Overview'!$I$2:$I$517,$A36,'Transaction Overview'!$H$2:$H$517,L$4)</f>
        <v>0</v>
      </c>
      <c r="M36" s="7" t="n">
        <f aca="false">SUMIFS('Transaction Overview'!$D$2:$D$517,'Transaction Overview'!$I$2:$I$517,$A36,'Transaction Overview'!$H$2:$H$517,M$4)</f>
        <v>0</v>
      </c>
      <c r="N36" s="7" t="n">
        <f aca="false">SUM(B36:M36)</f>
        <v>-1086.31</v>
      </c>
    </row>
    <row r="37" customFormat="false" ht="15" hidden="false" customHeight="false" outlineLevel="0" collapsed="false">
      <c r="A37" s="0" t="s">
        <v>54</v>
      </c>
      <c r="B37" s="7" t="n">
        <f aca="false">SUMIFS('Transaction Overview'!$D$2:$D$517,'Transaction Overview'!$I$2:$I$517,$A37,'Transaction Overview'!$H$2:$H$517,B$4)</f>
        <v>-7000</v>
      </c>
      <c r="C37" s="7" t="n">
        <f aca="false">SUMIFS('Transaction Overview'!$D$2:$D$517,'Transaction Overview'!$I$2:$I$517,$A37,'Transaction Overview'!$H$2:$H$517,C$4)</f>
        <v>-7000</v>
      </c>
      <c r="D37" s="7" t="n">
        <f aca="false">SUMIFS('Transaction Overview'!$D$2:$D$517,'Transaction Overview'!$I$2:$I$517,$A37,'Transaction Overview'!$H$2:$H$517,D$4)</f>
        <v>-8750</v>
      </c>
      <c r="E37" s="7" t="n">
        <f aca="false">SUMIFS('Transaction Overview'!$D$2:$D$517,'Transaction Overview'!$I$2:$I$517,$A37,'Transaction Overview'!$H$2:$H$517,E$4)</f>
        <v>-7000</v>
      </c>
      <c r="F37" s="7" t="n">
        <f aca="false">SUMIFS('Transaction Overview'!$D$2:$D$517,'Transaction Overview'!$I$2:$I$517,$A37,'Transaction Overview'!$H$2:$H$517,F$4)</f>
        <v>-7500</v>
      </c>
      <c r="G37" s="7" t="n">
        <f aca="false">SUMIFS('Transaction Overview'!$D$2:$D$517,'Transaction Overview'!$I$2:$I$517,$A37,'Transaction Overview'!$H$2:$H$517,G$4)</f>
        <v>-6000</v>
      </c>
      <c r="H37" s="7" t="n">
        <f aca="false">SUMIFS('Transaction Overview'!$D$2:$D$517,'Transaction Overview'!$I$2:$I$517,$A37,'Transaction Overview'!$H$2:$H$517,H$4)</f>
        <v>0</v>
      </c>
      <c r="I37" s="7" t="n">
        <f aca="false">SUMIFS('Transaction Overview'!$D$2:$D$517,'Transaction Overview'!$I$2:$I$517,$A37,'Transaction Overview'!$H$2:$H$517,I$4)</f>
        <v>0</v>
      </c>
      <c r="J37" s="7" t="n">
        <f aca="false">SUMIFS('Transaction Overview'!$D$2:$D$517,'Transaction Overview'!$I$2:$I$517,$A37,'Transaction Overview'!$H$2:$H$517,J$4)</f>
        <v>0</v>
      </c>
      <c r="K37" s="7" t="n">
        <f aca="false">SUMIFS('Transaction Overview'!$D$2:$D$517,'Transaction Overview'!$I$2:$I$517,$A37,'Transaction Overview'!$H$2:$H$517,K$4)</f>
        <v>0</v>
      </c>
      <c r="L37" s="7" t="n">
        <f aca="false">SUMIFS('Transaction Overview'!$D$2:$D$517,'Transaction Overview'!$I$2:$I$517,$A37,'Transaction Overview'!$H$2:$H$517,L$4)</f>
        <v>0</v>
      </c>
      <c r="M37" s="7" t="n">
        <f aca="false">SUMIFS('Transaction Overview'!$D$2:$D$517,'Transaction Overview'!$I$2:$I$517,$A37,'Transaction Overview'!$H$2:$H$517,M$4)</f>
        <v>0</v>
      </c>
      <c r="N37" s="7" t="n">
        <f aca="false">SUM(B37:M37)</f>
        <v>-43250</v>
      </c>
    </row>
    <row r="38" customFormat="false" ht="15" hidden="false" customHeight="false" outlineLevel="0" collapsed="false">
      <c r="A38" s="0" t="s">
        <v>55</v>
      </c>
      <c r="B38" s="7" t="n">
        <f aca="false">SUMIFS('Transaction Overview'!$D$2:$D$517,'Transaction Overview'!$I$2:$I$517,$A38,'Transaction Overview'!$H$2:$H$517,B$4)</f>
        <v>-425</v>
      </c>
      <c r="C38" s="7" t="n">
        <f aca="false">SUMIFS('Transaction Overview'!$D$2:$D$517,'Transaction Overview'!$I$2:$I$517,$A38,'Transaction Overview'!$H$2:$H$517,C$4)</f>
        <v>-600</v>
      </c>
      <c r="D38" s="7" t="n">
        <f aca="false">SUMIFS('Transaction Overview'!$D$2:$D$517,'Transaction Overview'!$I$2:$I$517,$A38,'Transaction Overview'!$H$2:$H$517,D$4)</f>
        <v>-990.4</v>
      </c>
      <c r="E38" s="7" t="n">
        <f aca="false">SUMIFS('Transaction Overview'!$D$2:$D$517,'Transaction Overview'!$I$2:$I$517,$A38,'Transaction Overview'!$H$2:$H$517,E$4)</f>
        <v>-791.99</v>
      </c>
      <c r="F38" s="7" t="n">
        <f aca="false">SUMIFS('Transaction Overview'!$D$2:$D$517,'Transaction Overview'!$I$2:$I$517,$A38,'Transaction Overview'!$H$2:$H$517,F$4)</f>
        <v>-1049.99</v>
      </c>
      <c r="G38" s="7" t="n">
        <f aca="false">SUMIFS('Transaction Overview'!$D$2:$D$517,'Transaction Overview'!$I$2:$I$517,$A38,'Transaction Overview'!$H$2:$H$517,G$4)</f>
        <v>-189.32</v>
      </c>
      <c r="H38" s="7" t="n">
        <f aca="false">SUMIFS('Transaction Overview'!$D$2:$D$517,'Transaction Overview'!$I$2:$I$517,$A38,'Transaction Overview'!$H$2:$H$517,H$4)</f>
        <v>0</v>
      </c>
      <c r="I38" s="7" t="n">
        <f aca="false">SUMIFS('Transaction Overview'!$D$2:$D$517,'Transaction Overview'!$I$2:$I$517,$A38,'Transaction Overview'!$H$2:$H$517,I$4)</f>
        <v>0</v>
      </c>
      <c r="J38" s="7" t="n">
        <f aca="false">SUMIFS('Transaction Overview'!$D$2:$D$517,'Transaction Overview'!$I$2:$I$517,$A38,'Transaction Overview'!$H$2:$H$517,J$4)</f>
        <v>0</v>
      </c>
      <c r="K38" s="7" t="n">
        <f aca="false">SUMIFS('Transaction Overview'!$D$2:$D$517,'Transaction Overview'!$I$2:$I$517,$A38,'Transaction Overview'!$H$2:$H$517,K$4)</f>
        <v>0</v>
      </c>
      <c r="L38" s="7" t="n">
        <f aca="false">SUMIFS('Transaction Overview'!$D$2:$D$517,'Transaction Overview'!$I$2:$I$517,$A38,'Transaction Overview'!$H$2:$H$517,L$4)</f>
        <v>0</v>
      </c>
      <c r="M38" s="7" t="n">
        <f aca="false">SUMIFS('Transaction Overview'!$D$2:$D$517,'Transaction Overview'!$I$2:$I$517,$A38,'Transaction Overview'!$H$2:$H$517,M$4)</f>
        <v>0</v>
      </c>
      <c r="N38" s="7" t="n">
        <f aca="false">SUM(B38:M38)</f>
        <v>-4046.7</v>
      </c>
    </row>
    <row r="39" customFormat="false" ht="15" hidden="false" customHeight="false" outlineLevel="0" collapsed="false">
      <c r="A39" s="0" t="s">
        <v>56</v>
      </c>
      <c r="B39" s="7" t="n">
        <f aca="false">SUMIFS('Transaction Overview'!$D$2:$D$517,'Transaction Overview'!$I$2:$I$517,$A39,'Transaction Overview'!$H$2:$H$517,B$4)</f>
        <v>-971.25</v>
      </c>
      <c r="C39" s="7" t="n">
        <f aca="false">SUMIFS('Transaction Overview'!$D$2:$D$517,'Transaction Overview'!$I$2:$I$517,$A39,'Transaction Overview'!$H$2:$H$517,C$4)</f>
        <v>-656.25</v>
      </c>
      <c r="D39" s="7" t="n">
        <f aca="false">SUMIFS('Transaction Overview'!$D$2:$D$517,'Transaction Overview'!$I$2:$I$517,$A39,'Transaction Overview'!$H$2:$H$517,D$4)</f>
        <v>0</v>
      </c>
      <c r="E39" s="7" t="n">
        <f aca="false">SUMIFS('Transaction Overview'!$D$2:$D$517,'Transaction Overview'!$I$2:$I$517,$A39,'Transaction Overview'!$H$2:$H$517,E$4)</f>
        <v>0</v>
      </c>
      <c r="F39" s="7" t="n">
        <f aca="false">SUMIFS('Transaction Overview'!$D$2:$D$517,'Transaction Overview'!$I$2:$I$517,$A39,'Transaction Overview'!$H$2:$H$517,F$4)</f>
        <v>0</v>
      </c>
      <c r="G39" s="7" t="n">
        <f aca="false">SUMIFS('Transaction Overview'!$D$2:$D$517,'Transaction Overview'!$I$2:$I$517,$A39,'Transaction Overview'!$H$2:$H$517,G$4)</f>
        <v>0</v>
      </c>
      <c r="H39" s="7" t="n">
        <f aca="false">SUMIFS('Transaction Overview'!$D$2:$D$517,'Transaction Overview'!$I$2:$I$517,$A39,'Transaction Overview'!$H$2:$H$517,H$4)</f>
        <v>0</v>
      </c>
      <c r="I39" s="7" t="n">
        <f aca="false">SUMIFS('Transaction Overview'!$D$2:$D$517,'Transaction Overview'!$I$2:$I$517,$A39,'Transaction Overview'!$H$2:$H$517,I$4)</f>
        <v>0</v>
      </c>
      <c r="J39" s="7" t="n">
        <f aca="false">SUMIFS('Transaction Overview'!$D$2:$D$517,'Transaction Overview'!$I$2:$I$517,$A39,'Transaction Overview'!$H$2:$H$517,J$4)</f>
        <v>0</v>
      </c>
      <c r="K39" s="7" t="n">
        <f aca="false">SUMIFS('Transaction Overview'!$D$2:$D$517,'Transaction Overview'!$I$2:$I$517,$A39,'Transaction Overview'!$H$2:$H$517,K$4)</f>
        <v>0</v>
      </c>
      <c r="L39" s="7" t="n">
        <f aca="false">SUMIFS('Transaction Overview'!$D$2:$D$517,'Transaction Overview'!$I$2:$I$517,$A39,'Transaction Overview'!$H$2:$H$517,L$4)</f>
        <v>0</v>
      </c>
      <c r="M39" s="7" t="n">
        <f aca="false">SUMIFS('Transaction Overview'!$D$2:$D$517,'Transaction Overview'!$I$2:$I$517,$A39,'Transaction Overview'!$H$2:$H$517,M$4)</f>
        <v>0</v>
      </c>
      <c r="N39" s="7" t="n">
        <f aca="false">SUM(B39:M39)</f>
        <v>-1627.5</v>
      </c>
    </row>
    <row r="40" customFormat="false" ht="15" hidden="false" customHeight="false" outlineLevel="0" collapsed="false">
      <c r="A40" s="9" t="s">
        <v>58</v>
      </c>
    </row>
    <row r="41" customFormat="false" ht="15" hidden="false" customHeight="false" outlineLevel="0" collapsed="false">
      <c r="A41" s="0" t="s">
        <v>59</v>
      </c>
      <c r="B41" s="7" t="n">
        <f aca="false">SUMIFS('Transaction Overview'!$D$2:$D$517,'Transaction Overview'!$I$2:$I$517,$A41,'Transaction Overview'!$H$2:$H$517,B$4)</f>
        <v>0</v>
      </c>
      <c r="C41" s="7" t="n">
        <f aca="false">SUMIFS('Transaction Overview'!$D$2:$D$517,'Transaction Overview'!$I$2:$I$517,$A41,'Transaction Overview'!$H$2:$H$517,C$4)</f>
        <v>0</v>
      </c>
      <c r="D41" s="7" t="n">
        <f aca="false">SUMIFS('Transaction Overview'!$D$2:$D$517,'Transaction Overview'!$I$2:$I$517,$A41,'Transaction Overview'!$H$2:$H$517,D$4)</f>
        <v>-37.08</v>
      </c>
      <c r="E41" s="7" t="n">
        <f aca="false">SUMIFS('Transaction Overview'!$D$2:$D$517,'Transaction Overview'!$I$2:$I$517,$A41,'Transaction Overview'!$H$2:$H$517,E$4)</f>
        <v>-36.94</v>
      </c>
      <c r="F41" s="7" t="n">
        <f aca="false">SUMIFS('Transaction Overview'!$D$2:$D$517,'Transaction Overview'!$I$2:$I$517,$A41,'Transaction Overview'!$H$2:$H$517,F$4)</f>
        <v>0</v>
      </c>
      <c r="G41" s="7" t="n">
        <f aca="false">SUMIFS('Transaction Overview'!$D$2:$D$517,'Transaction Overview'!$I$2:$I$517,$A41,'Transaction Overview'!$H$2:$H$517,G$4)</f>
        <v>0</v>
      </c>
      <c r="H41" s="7" t="n">
        <f aca="false">SUMIFS('Transaction Overview'!$D$2:$D$517,'Transaction Overview'!$I$2:$I$517,$A41,'Transaction Overview'!$H$2:$H$517,H$4)</f>
        <v>0</v>
      </c>
      <c r="I41" s="7" t="n">
        <f aca="false">SUMIFS('Transaction Overview'!$D$2:$D$517,'Transaction Overview'!$I$2:$I$517,$A41,'Transaction Overview'!$H$2:$H$517,I$4)</f>
        <v>0</v>
      </c>
      <c r="J41" s="7" t="n">
        <f aca="false">SUMIFS('Transaction Overview'!$D$2:$D$517,'Transaction Overview'!$I$2:$I$517,$A41,'Transaction Overview'!$H$2:$H$517,J$4)</f>
        <v>0</v>
      </c>
      <c r="K41" s="7" t="n">
        <f aca="false">SUMIFS('Transaction Overview'!$D$2:$D$517,'Transaction Overview'!$I$2:$I$517,$A41,'Transaction Overview'!$H$2:$H$517,K$4)</f>
        <v>0</v>
      </c>
      <c r="L41" s="7" t="n">
        <f aca="false">SUMIFS('Transaction Overview'!$D$2:$D$517,'Transaction Overview'!$I$2:$I$517,$A41,'Transaction Overview'!$H$2:$H$517,L$4)</f>
        <v>0</v>
      </c>
      <c r="M41" s="7" t="n">
        <f aca="false">SUMIFS('Transaction Overview'!$D$2:$D$517,'Transaction Overview'!$I$2:$I$517,$A41,'Transaction Overview'!$H$2:$H$517,M$4)</f>
        <v>0</v>
      </c>
      <c r="N41" s="7" t="n">
        <f aca="false">SUM(B41:M41)</f>
        <v>-74.02</v>
      </c>
    </row>
    <row r="42" customFormat="false" ht="15" hidden="false" customHeight="false" outlineLevel="0" collapsed="false">
      <c r="A42" s="0" t="s">
        <v>60</v>
      </c>
      <c r="B42" s="7" t="n">
        <f aca="false">SUMIFS('Transaction Overview'!$D$2:$D$517,'Transaction Overview'!$I$2:$I$517,$A42,'Transaction Overview'!$H$2:$H$517,B$4)</f>
        <v>-7489</v>
      </c>
      <c r="C42" s="7" t="n">
        <f aca="false">SUMIFS('Transaction Overview'!$D$2:$D$517,'Transaction Overview'!$I$2:$I$517,$A42,'Transaction Overview'!$H$2:$H$517,C$4)</f>
        <v>-2876</v>
      </c>
      <c r="D42" s="7" t="n">
        <f aca="false">SUMIFS('Transaction Overview'!$D$2:$D$517,'Transaction Overview'!$I$2:$I$517,$A42,'Transaction Overview'!$H$2:$H$517,D$4)</f>
        <v>-2993</v>
      </c>
      <c r="E42" s="7" t="n">
        <f aca="false">SUMIFS('Transaction Overview'!$D$2:$D$517,'Transaction Overview'!$I$2:$I$517,$A42,'Transaction Overview'!$H$2:$H$517,E$4)</f>
        <v>-1620</v>
      </c>
      <c r="F42" s="7" t="n">
        <f aca="false">SUMIFS('Transaction Overview'!$D$2:$D$517,'Transaction Overview'!$I$2:$I$517,$A42,'Transaction Overview'!$H$2:$H$517,F$4)</f>
        <v>-981</v>
      </c>
      <c r="G42" s="7" t="n">
        <f aca="false">SUMIFS('Transaction Overview'!$D$2:$D$517,'Transaction Overview'!$I$2:$I$517,$A42,'Transaction Overview'!$H$2:$H$517,G$4)</f>
        <v>-1220</v>
      </c>
      <c r="H42" s="7" t="n">
        <f aca="false">SUMIFS('Transaction Overview'!$D$2:$D$517,'Transaction Overview'!$I$2:$I$517,$A42,'Transaction Overview'!$H$2:$H$517,H$4)</f>
        <v>0</v>
      </c>
      <c r="I42" s="7" t="n">
        <f aca="false">SUMIFS('Transaction Overview'!$D$2:$D$517,'Transaction Overview'!$I$2:$I$517,$A42,'Transaction Overview'!$H$2:$H$517,I$4)</f>
        <v>0</v>
      </c>
      <c r="J42" s="7" t="n">
        <f aca="false">SUMIFS('Transaction Overview'!$D$2:$D$517,'Transaction Overview'!$I$2:$I$517,$A42,'Transaction Overview'!$H$2:$H$517,J$4)</f>
        <v>0</v>
      </c>
      <c r="K42" s="7" t="n">
        <f aca="false">SUMIFS('Transaction Overview'!$D$2:$D$517,'Transaction Overview'!$I$2:$I$517,$A42,'Transaction Overview'!$H$2:$H$517,K$4)</f>
        <v>0</v>
      </c>
      <c r="L42" s="7" t="n">
        <f aca="false">SUMIFS('Transaction Overview'!$D$2:$D$517,'Transaction Overview'!$I$2:$I$517,$A42,'Transaction Overview'!$H$2:$H$517,L$4)</f>
        <v>0</v>
      </c>
      <c r="M42" s="7" t="n">
        <f aca="false">SUMIFS('Transaction Overview'!$D$2:$D$517,'Transaction Overview'!$I$2:$I$517,$A42,'Transaction Overview'!$H$2:$H$517,M$4)</f>
        <v>0</v>
      </c>
      <c r="N42" s="7" t="n">
        <f aca="false">SUM(B42:M42)</f>
        <v>-17179</v>
      </c>
    </row>
    <row r="43" customFormat="false" ht="15" hidden="false" customHeight="false" outlineLevel="0" collapsed="false">
      <c r="A43" s="0" t="s">
        <v>61</v>
      </c>
      <c r="B43" s="7" t="n">
        <f aca="false">SUMIFS('Transaction Overview'!$D$2:$D$517,'Transaction Overview'!$I$2:$I$517,$A43,'Transaction Overview'!$H$2:$H$517,B$4)</f>
        <v>-800</v>
      </c>
      <c r="C43" s="7" t="n">
        <f aca="false">SUMIFS('Transaction Overview'!$D$2:$D$517,'Transaction Overview'!$I$2:$I$517,$A43,'Transaction Overview'!$H$2:$H$517,C$4)</f>
        <v>-800</v>
      </c>
      <c r="D43" s="7" t="n">
        <f aca="false">SUMIFS('Transaction Overview'!$D$2:$D$517,'Transaction Overview'!$I$2:$I$517,$A43,'Transaction Overview'!$H$2:$H$517,D$4)</f>
        <v>-1000</v>
      </c>
      <c r="E43" s="7" t="n">
        <f aca="false">SUMIFS('Transaction Overview'!$D$2:$D$517,'Transaction Overview'!$I$2:$I$517,$A43,'Transaction Overview'!$H$2:$H$517,E$4)</f>
        <v>0</v>
      </c>
      <c r="F43" s="7" t="n">
        <f aca="false">SUMIFS('Transaction Overview'!$D$2:$D$517,'Transaction Overview'!$I$2:$I$517,$A43,'Transaction Overview'!$H$2:$H$517,F$4)</f>
        <v>-1000</v>
      </c>
      <c r="G43" s="7" t="n">
        <f aca="false">SUMIFS('Transaction Overview'!$D$2:$D$517,'Transaction Overview'!$I$2:$I$517,$A43,'Transaction Overview'!$H$2:$H$517,G$4)</f>
        <v>0</v>
      </c>
      <c r="H43" s="7" t="n">
        <f aca="false">SUMIFS('Transaction Overview'!$D$2:$D$517,'Transaction Overview'!$I$2:$I$517,$A43,'Transaction Overview'!$H$2:$H$517,H$4)</f>
        <v>0</v>
      </c>
      <c r="I43" s="7" t="n">
        <f aca="false">SUMIFS('Transaction Overview'!$D$2:$D$517,'Transaction Overview'!$I$2:$I$517,$A43,'Transaction Overview'!$H$2:$H$517,I$4)</f>
        <v>0</v>
      </c>
      <c r="J43" s="7" t="n">
        <f aca="false">SUMIFS('Transaction Overview'!$D$2:$D$517,'Transaction Overview'!$I$2:$I$517,$A43,'Transaction Overview'!$H$2:$H$517,J$4)</f>
        <v>0</v>
      </c>
      <c r="K43" s="7" t="n">
        <f aca="false">SUMIFS('Transaction Overview'!$D$2:$D$517,'Transaction Overview'!$I$2:$I$517,$A43,'Transaction Overview'!$H$2:$H$517,K$4)</f>
        <v>0</v>
      </c>
      <c r="L43" s="7" t="n">
        <f aca="false">SUMIFS('Transaction Overview'!$D$2:$D$517,'Transaction Overview'!$I$2:$I$517,$A43,'Transaction Overview'!$H$2:$H$517,L$4)</f>
        <v>0</v>
      </c>
      <c r="M43" s="7" t="n">
        <f aca="false">SUMIFS('Transaction Overview'!$D$2:$D$517,'Transaction Overview'!$I$2:$I$517,$A43,'Transaction Overview'!$H$2:$H$517,M$4)</f>
        <v>0</v>
      </c>
      <c r="N43" s="7" t="n">
        <f aca="false">SUM(B43:M43)</f>
        <v>-3600</v>
      </c>
    </row>
    <row r="44" customFormat="false" ht="15" hidden="false" customHeight="false" outlineLevel="0" collapsed="false">
      <c r="A44" s="0" t="s">
        <v>62</v>
      </c>
      <c r="B44" s="7" t="n">
        <f aca="false">SUMIFS('Transaction Overview'!$D$2:$D$517,'Transaction Overview'!$I$2:$I$517,$A44,'Transaction Overview'!$H$2:$H$517,B$4)</f>
        <v>-200</v>
      </c>
      <c r="C44" s="7" t="n">
        <f aca="false">SUMIFS('Transaction Overview'!$D$2:$D$517,'Transaction Overview'!$I$2:$I$517,$A44,'Transaction Overview'!$H$2:$H$517,C$4)</f>
        <v>0</v>
      </c>
      <c r="D44" s="7" t="n">
        <f aca="false">SUMIFS('Transaction Overview'!$D$2:$D$517,'Transaction Overview'!$I$2:$I$517,$A44,'Transaction Overview'!$H$2:$H$517,D$4)</f>
        <v>0</v>
      </c>
      <c r="E44" s="7" t="n">
        <f aca="false">SUMIFS('Transaction Overview'!$D$2:$D$517,'Transaction Overview'!$I$2:$I$517,$A44,'Transaction Overview'!$H$2:$H$517,E$4)</f>
        <v>0</v>
      </c>
      <c r="F44" s="7" t="n">
        <f aca="false">SUMIFS('Transaction Overview'!$D$2:$D$517,'Transaction Overview'!$I$2:$I$517,$A44,'Transaction Overview'!$H$2:$H$517,F$4)</f>
        <v>0</v>
      </c>
      <c r="G44" s="7" t="n">
        <f aca="false">SUMIFS('Transaction Overview'!$D$2:$D$517,'Transaction Overview'!$I$2:$I$517,$A44,'Transaction Overview'!$H$2:$H$517,G$4)</f>
        <v>0</v>
      </c>
      <c r="H44" s="7" t="n">
        <f aca="false">SUMIFS('Transaction Overview'!$D$2:$D$517,'Transaction Overview'!$I$2:$I$517,$A44,'Transaction Overview'!$H$2:$H$517,H$4)</f>
        <v>0</v>
      </c>
      <c r="I44" s="7" t="n">
        <f aca="false">SUMIFS('Transaction Overview'!$D$2:$D$517,'Transaction Overview'!$I$2:$I$517,$A44,'Transaction Overview'!$H$2:$H$517,I$4)</f>
        <v>0</v>
      </c>
      <c r="J44" s="7" t="n">
        <f aca="false">SUMIFS('Transaction Overview'!$D$2:$D$517,'Transaction Overview'!$I$2:$I$517,$A44,'Transaction Overview'!$H$2:$H$517,J$4)</f>
        <v>0</v>
      </c>
      <c r="K44" s="7" t="n">
        <f aca="false">SUMIFS('Transaction Overview'!$D$2:$D$517,'Transaction Overview'!$I$2:$I$517,$A44,'Transaction Overview'!$H$2:$H$517,K$4)</f>
        <v>0</v>
      </c>
      <c r="L44" s="7" t="n">
        <f aca="false">SUMIFS('Transaction Overview'!$D$2:$D$517,'Transaction Overview'!$I$2:$I$517,$A44,'Transaction Overview'!$H$2:$H$517,L$4)</f>
        <v>0</v>
      </c>
      <c r="M44" s="7" t="n">
        <f aca="false">SUMIFS('Transaction Overview'!$D$2:$D$517,'Transaction Overview'!$I$2:$I$517,$A44,'Transaction Overview'!$H$2:$H$517,M$4)</f>
        <v>0</v>
      </c>
      <c r="N44" s="7" t="n">
        <f aca="false">SUM(B44:M44)</f>
        <v>-200</v>
      </c>
    </row>
    <row r="45" customFormat="false" ht="15" hidden="false" customHeight="false" outlineLevel="0" collapsed="false">
      <c r="A45" s="0" t="s">
        <v>63</v>
      </c>
      <c r="B45" s="7" t="n">
        <f aca="false">SUMIFS('Transaction Overview'!$D$2:$D$517,'Transaction Overview'!$I$2:$I$517,$A45,'Transaction Overview'!$H$2:$H$517,B$4)</f>
        <v>-800</v>
      </c>
      <c r="C45" s="7" t="n">
        <f aca="false">SUMIFS('Transaction Overview'!$D$2:$D$517,'Transaction Overview'!$I$2:$I$517,$A45,'Transaction Overview'!$H$2:$H$517,C$4)</f>
        <v>-1300</v>
      </c>
      <c r="D45" s="7" t="n">
        <f aca="false">SUMIFS('Transaction Overview'!$D$2:$D$517,'Transaction Overview'!$I$2:$I$517,$A45,'Transaction Overview'!$H$2:$H$517,D$4)</f>
        <v>-600</v>
      </c>
      <c r="E45" s="7" t="n">
        <f aca="false">SUMIFS('Transaction Overview'!$D$2:$D$517,'Transaction Overview'!$I$2:$I$517,$A45,'Transaction Overview'!$H$2:$H$517,E$4)</f>
        <v>-350</v>
      </c>
      <c r="F45" s="7" t="n">
        <f aca="false">SUMIFS('Transaction Overview'!$D$2:$D$517,'Transaction Overview'!$I$2:$I$517,$A45,'Transaction Overview'!$H$2:$H$517,F$4)</f>
        <v>-1150</v>
      </c>
      <c r="G45" s="7" t="n">
        <f aca="false">SUMIFS('Transaction Overview'!$D$2:$D$517,'Transaction Overview'!$I$2:$I$517,$A45,'Transaction Overview'!$H$2:$H$517,G$4)</f>
        <v>-400</v>
      </c>
      <c r="H45" s="7" t="n">
        <f aca="false">SUMIFS('Transaction Overview'!$D$2:$D$517,'Transaction Overview'!$I$2:$I$517,$A45,'Transaction Overview'!$H$2:$H$517,H$4)</f>
        <v>0</v>
      </c>
      <c r="I45" s="7" t="n">
        <f aca="false">SUMIFS('Transaction Overview'!$D$2:$D$517,'Transaction Overview'!$I$2:$I$517,$A45,'Transaction Overview'!$H$2:$H$517,I$4)</f>
        <v>0</v>
      </c>
      <c r="J45" s="7" t="n">
        <f aca="false">SUMIFS('Transaction Overview'!$D$2:$D$517,'Transaction Overview'!$I$2:$I$517,$A45,'Transaction Overview'!$H$2:$H$517,J$4)</f>
        <v>0</v>
      </c>
      <c r="K45" s="7" t="n">
        <f aca="false">SUMIFS('Transaction Overview'!$D$2:$D$517,'Transaction Overview'!$I$2:$I$517,$A45,'Transaction Overview'!$H$2:$H$517,K$4)</f>
        <v>0</v>
      </c>
      <c r="L45" s="7" t="n">
        <f aca="false">SUMIFS('Transaction Overview'!$D$2:$D$517,'Transaction Overview'!$I$2:$I$517,$A45,'Transaction Overview'!$H$2:$H$517,L$4)</f>
        <v>0</v>
      </c>
      <c r="M45" s="7" t="n">
        <f aca="false">SUMIFS('Transaction Overview'!$D$2:$D$517,'Transaction Overview'!$I$2:$I$517,$A45,'Transaction Overview'!$H$2:$H$517,M$4)</f>
        <v>0</v>
      </c>
      <c r="N45" s="7" t="n">
        <f aca="false">SUM(B45:M45)</f>
        <v>-4600</v>
      </c>
    </row>
    <row r="46" customFormat="false" ht="15" hidden="false" customHeight="false" outlineLevel="0" collapsed="false">
      <c r="A46" s="0" t="s">
        <v>64</v>
      </c>
      <c r="B46" s="7" t="n">
        <f aca="false">SUMIFS('Transaction Overview'!$D$2:$D$517,'Transaction Overview'!$I$2:$I$517,$A46,'Transaction Overview'!$H$2:$H$517,B$4)</f>
        <v>0</v>
      </c>
      <c r="C46" s="7" t="n">
        <f aca="false">SUMIFS('Transaction Overview'!$D$2:$D$517,'Transaction Overview'!$I$2:$I$517,$A46,'Transaction Overview'!$H$2:$H$517,C$4)</f>
        <v>-500</v>
      </c>
      <c r="D46" s="7" t="n">
        <f aca="false">SUMIFS('Transaction Overview'!$D$2:$D$517,'Transaction Overview'!$I$2:$I$517,$A46,'Transaction Overview'!$H$2:$H$517,D$4)</f>
        <v>-500</v>
      </c>
      <c r="E46" s="7" t="n">
        <f aca="false">SUMIFS('Transaction Overview'!$D$2:$D$517,'Transaction Overview'!$I$2:$I$517,$A46,'Transaction Overview'!$H$2:$H$517,E$4)</f>
        <v>-500</v>
      </c>
      <c r="F46" s="7" t="n">
        <f aca="false">SUMIFS('Transaction Overview'!$D$2:$D$517,'Transaction Overview'!$I$2:$I$517,$A46,'Transaction Overview'!$H$2:$H$517,F$4)</f>
        <v>-500</v>
      </c>
      <c r="G46" s="7" t="n">
        <f aca="false">SUMIFS('Transaction Overview'!$D$2:$D$517,'Transaction Overview'!$I$2:$I$517,$A46,'Transaction Overview'!$H$2:$H$517,G$4)</f>
        <v>0</v>
      </c>
      <c r="H46" s="7" t="n">
        <f aca="false">SUMIFS('Transaction Overview'!$D$2:$D$517,'Transaction Overview'!$I$2:$I$517,$A46,'Transaction Overview'!$H$2:$H$517,H$4)</f>
        <v>0</v>
      </c>
      <c r="I46" s="7" t="n">
        <f aca="false">SUMIFS('Transaction Overview'!$D$2:$D$517,'Transaction Overview'!$I$2:$I$517,$A46,'Transaction Overview'!$H$2:$H$517,I$4)</f>
        <v>0</v>
      </c>
      <c r="J46" s="7" t="n">
        <f aca="false">SUMIFS('Transaction Overview'!$D$2:$D$517,'Transaction Overview'!$I$2:$I$517,$A46,'Transaction Overview'!$H$2:$H$517,J$4)</f>
        <v>0</v>
      </c>
      <c r="K46" s="7" t="n">
        <f aca="false">SUMIFS('Transaction Overview'!$D$2:$D$517,'Transaction Overview'!$I$2:$I$517,$A46,'Transaction Overview'!$H$2:$H$517,K$4)</f>
        <v>0</v>
      </c>
      <c r="L46" s="7" t="n">
        <f aca="false">SUMIFS('Transaction Overview'!$D$2:$D$517,'Transaction Overview'!$I$2:$I$517,$A46,'Transaction Overview'!$H$2:$H$517,L$4)</f>
        <v>0</v>
      </c>
      <c r="M46" s="7" t="n">
        <f aca="false">SUMIFS('Transaction Overview'!$D$2:$D$517,'Transaction Overview'!$I$2:$I$517,$A46,'Transaction Overview'!$H$2:$H$517,M$4)</f>
        <v>0</v>
      </c>
      <c r="N46" s="7" t="n">
        <f aca="false">SUM(B46:M46)</f>
        <v>-2000</v>
      </c>
    </row>
    <row r="47" customFormat="false" ht="15" hidden="false" customHeight="false" outlineLevel="0" collapsed="false">
      <c r="A47" s="0" t="s">
        <v>65</v>
      </c>
      <c r="B47" s="7" t="n">
        <f aca="false">SUMIFS('Transaction Overview'!$D$2:$D$517,'Transaction Overview'!$I$2:$I$517,$A47,'Transaction Overview'!$H$2:$H$517,B$4)</f>
        <v>0</v>
      </c>
      <c r="C47" s="7" t="n">
        <f aca="false">SUMIFS('Transaction Overview'!$D$2:$D$517,'Transaction Overview'!$I$2:$I$517,$A47,'Transaction Overview'!$H$2:$H$517,C$4)</f>
        <v>0</v>
      </c>
      <c r="D47" s="7" t="n">
        <f aca="false">SUMIFS('Transaction Overview'!$D$2:$D$517,'Transaction Overview'!$I$2:$I$517,$A47,'Transaction Overview'!$H$2:$H$517,D$4)</f>
        <v>0</v>
      </c>
      <c r="E47" s="7" t="n">
        <f aca="false">SUMIFS('Transaction Overview'!$D$2:$D$517,'Transaction Overview'!$I$2:$I$517,$A47,'Transaction Overview'!$H$2:$H$517,E$4)</f>
        <v>0</v>
      </c>
      <c r="F47" s="7" t="n">
        <f aca="false">SUMIFS('Transaction Overview'!$D$2:$D$517,'Transaction Overview'!$I$2:$I$517,$A47,'Transaction Overview'!$H$2:$H$517,F$4)</f>
        <v>-325</v>
      </c>
      <c r="G47" s="7" t="n">
        <f aca="false">SUMIFS('Transaction Overview'!$D$2:$D$517,'Transaction Overview'!$I$2:$I$517,$A47,'Transaction Overview'!$H$2:$H$517,G$4)</f>
        <v>0</v>
      </c>
      <c r="H47" s="7" t="n">
        <f aca="false">SUMIFS('Transaction Overview'!$D$2:$D$517,'Transaction Overview'!$I$2:$I$517,$A47,'Transaction Overview'!$H$2:$H$517,H$4)</f>
        <v>0</v>
      </c>
      <c r="I47" s="7" t="n">
        <f aca="false">SUMIFS('Transaction Overview'!$D$2:$D$517,'Transaction Overview'!$I$2:$I$517,$A47,'Transaction Overview'!$H$2:$H$517,I$4)</f>
        <v>0</v>
      </c>
      <c r="J47" s="7" t="n">
        <f aca="false">SUMIFS('Transaction Overview'!$D$2:$D$517,'Transaction Overview'!$I$2:$I$517,$A47,'Transaction Overview'!$H$2:$H$517,J$4)</f>
        <v>0</v>
      </c>
      <c r="K47" s="7" t="n">
        <f aca="false">SUMIFS('Transaction Overview'!$D$2:$D$517,'Transaction Overview'!$I$2:$I$517,$A47,'Transaction Overview'!$H$2:$H$517,K$4)</f>
        <v>0</v>
      </c>
      <c r="L47" s="7" t="n">
        <f aca="false">SUMIFS('Transaction Overview'!$D$2:$D$517,'Transaction Overview'!$I$2:$I$517,$A47,'Transaction Overview'!$H$2:$H$517,L$4)</f>
        <v>0</v>
      </c>
      <c r="M47" s="7" t="n">
        <f aca="false">SUMIFS('Transaction Overview'!$D$2:$D$517,'Transaction Overview'!$I$2:$I$517,$A47,'Transaction Overview'!$H$2:$H$517,M$4)</f>
        <v>0</v>
      </c>
      <c r="N47" s="7" t="n">
        <f aca="false">SUM(B47:M47)</f>
        <v>-325</v>
      </c>
    </row>
    <row r="48" customFormat="false" ht="15" hidden="false" customHeight="false" outlineLevel="0" collapsed="false">
      <c r="A48" s="9" t="s">
        <v>67</v>
      </c>
    </row>
    <row r="49" customFormat="false" ht="15" hidden="false" customHeight="false" outlineLevel="0" collapsed="false">
      <c r="A49" s="0" t="s">
        <v>68</v>
      </c>
      <c r="B49" s="7" t="n">
        <f aca="false">SUMIFS('Transaction Overview'!$D$2:$D$517,'Transaction Overview'!$I$2:$I$517,$A49,'Transaction Overview'!$H$2:$H$517,B$4)</f>
        <v>-32000</v>
      </c>
      <c r="C49" s="7" t="n">
        <f aca="false">SUMIFS('Transaction Overview'!$D$2:$D$517,'Transaction Overview'!$I$2:$I$517,$A49,'Transaction Overview'!$H$2:$H$517,C$4)</f>
        <v>-22000</v>
      </c>
      <c r="D49" s="7" t="n">
        <f aca="false">SUMIFS('Transaction Overview'!$D$2:$D$517,'Transaction Overview'!$I$2:$I$517,$A49,'Transaction Overview'!$H$2:$H$517,D$4)</f>
        <v>-41000</v>
      </c>
      <c r="E49" s="7" t="n">
        <f aca="false">SUMIFS('Transaction Overview'!$D$2:$D$517,'Transaction Overview'!$I$2:$I$517,$A49,'Transaction Overview'!$H$2:$H$517,E$4)</f>
        <v>-15000</v>
      </c>
      <c r="F49" s="7" t="n">
        <f aca="false">SUMIFS('Transaction Overview'!$D$2:$D$517,'Transaction Overview'!$I$2:$I$517,$A49,'Transaction Overview'!$H$2:$H$517,F$4)</f>
        <v>-28000</v>
      </c>
      <c r="G49" s="7" t="n">
        <f aca="false">SUMIFS('Transaction Overview'!$D$2:$D$517,'Transaction Overview'!$I$2:$I$517,$A49,'Transaction Overview'!$H$2:$H$517,G$4)</f>
        <v>-14700</v>
      </c>
      <c r="H49" s="7" t="n">
        <f aca="false">SUMIFS('Transaction Overview'!$D$2:$D$517,'Transaction Overview'!$I$2:$I$517,$A49,'Transaction Overview'!$H$2:$H$517,H$4)</f>
        <v>0</v>
      </c>
      <c r="I49" s="7" t="n">
        <f aca="false">SUMIFS('Transaction Overview'!$D$2:$D$517,'Transaction Overview'!$I$2:$I$517,$A49,'Transaction Overview'!$H$2:$H$517,I$4)</f>
        <v>0</v>
      </c>
      <c r="J49" s="7" t="n">
        <f aca="false">SUMIFS('Transaction Overview'!$D$2:$D$517,'Transaction Overview'!$I$2:$I$517,$A49,'Transaction Overview'!$H$2:$H$517,J$4)</f>
        <v>0</v>
      </c>
      <c r="K49" s="7" t="n">
        <f aca="false">SUMIFS('Transaction Overview'!$D$2:$D$517,'Transaction Overview'!$I$2:$I$517,$A49,'Transaction Overview'!$H$2:$H$517,K$4)</f>
        <v>0</v>
      </c>
      <c r="L49" s="7" t="n">
        <f aca="false">SUMIFS('Transaction Overview'!$D$2:$D$517,'Transaction Overview'!$I$2:$I$517,$A49,'Transaction Overview'!$H$2:$H$517,L$4)</f>
        <v>0</v>
      </c>
      <c r="M49" s="7" t="n">
        <f aca="false">SUMIFS('Transaction Overview'!$D$2:$D$517,'Transaction Overview'!$I$2:$I$517,$A49,'Transaction Overview'!$H$2:$H$517,M$4)</f>
        <v>0</v>
      </c>
      <c r="N49" s="7" t="n">
        <f aca="false">SUM(B49:M49)</f>
        <v>-152700</v>
      </c>
    </row>
    <row r="50" customFormat="false" ht="15" hidden="false" customHeight="false" outlineLevel="0" collapsed="false">
      <c r="A50" s="0" t="s">
        <v>69</v>
      </c>
      <c r="B50" s="7" t="n">
        <f aca="false">SUMIFS('Transaction Overview'!$D$2:$D$517,'Transaction Overview'!$I$2:$I$517,$A50,'Transaction Overview'!$H$2:$H$517,B$4)</f>
        <v>-1200</v>
      </c>
      <c r="C50" s="7" t="n">
        <f aca="false">SUMIFS('Transaction Overview'!$D$2:$D$517,'Transaction Overview'!$I$2:$I$517,$A50,'Transaction Overview'!$H$2:$H$517,C$4)</f>
        <v>0</v>
      </c>
      <c r="D50" s="7" t="n">
        <f aca="false">SUMIFS('Transaction Overview'!$D$2:$D$517,'Transaction Overview'!$I$2:$I$517,$A50,'Transaction Overview'!$H$2:$H$517,D$4)</f>
        <v>-1000</v>
      </c>
      <c r="E50" s="7" t="n">
        <f aca="false">SUMIFS('Transaction Overview'!$D$2:$D$517,'Transaction Overview'!$I$2:$I$517,$A50,'Transaction Overview'!$H$2:$H$517,E$4)</f>
        <v>0</v>
      </c>
      <c r="F50" s="7" t="n">
        <f aca="false">SUMIFS('Transaction Overview'!$D$2:$D$517,'Transaction Overview'!$I$2:$I$517,$A50,'Transaction Overview'!$H$2:$H$517,F$4)</f>
        <v>-1000</v>
      </c>
      <c r="G50" s="7" t="n">
        <f aca="false">SUMIFS('Transaction Overview'!$D$2:$D$517,'Transaction Overview'!$I$2:$I$517,$A50,'Transaction Overview'!$H$2:$H$517,G$4)</f>
        <v>0</v>
      </c>
      <c r="H50" s="7" t="n">
        <f aca="false">SUMIFS('Transaction Overview'!$D$2:$D$517,'Transaction Overview'!$I$2:$I$517,$A50,'Transaction Overview'!$H$2:$H$517,H$4)</f>
        <v>0</v>
      </c>
      <c r="I50" s="7" t="n">
        <f aca="false">SUMIFS('Transaction Overview'!$D$2:$D$517,'Transaction Overview'!$I$2:$I$517,$A50,'Transaction Overview'!$H$2:$H$517,I$4)</f>
        <v>0</v>
      </c>
      <c r="J50" s="7" t="n">
        <f aca="false">SUMIFS('Transaction Overview'!$D$2:$D$517,'Transaction Overview'!$I$2:$I$517,$A50,'Transaction Overview'!$H$2:$H$517,J$4)</f>
        <v>0</v>
      </c>
      <c r="K50" s="7" t="n">
        <f aca="false">SUMIFS('Transaction Overview'!$D$2:$D$517,'Transaction Overview'!$I$2:$I$517,$A50,'Transaction Overview'!$H$2:$H$517,K$4)</f>
        <v>0</v>
      </c>
      <c r="L50" s="7" t="n">
        <f aca="false">SUMIFS('Transaction Overview'!$D$2:$D$517,'Transaction Overview'!$I$2:$I$517,$A50,'Transaction Overview'!$H$2:$H$517,L$4)</f>
        <v>0</v>
      </c>
      <c r="M50" s="7" t="n">
        <f aca="false">SUMIFS('Transaction Overview'!$D$2:$D$517,'Transaction Overview'!$I$2:$I$517,$A50,'Transaction Overview'!$H$2:$H$517,M$4)</f>
        <v>0</v>
      </c>
      <c r="N50" s="7" t="n">
        <f aca="false">SUM(B50:M50)</f>
        <v>-3200</v>
      </c>
    </row>
    <row r="51" customFormat="false" ht="15" hidden="false" customHeight="false" outlineLevel="0" collapsed="false">
      <c r="A51" s="0" t="s">
        <v>70</v>
      </c>
      <c r="B51" s="7" t="n">
        <f aca="false">SUMIFS('Transaction Overview'!$D$2:$D$517,'Transaction Overview'!$I$2:$I$517,$A51,'Transaction Overview'!$H$2:$H$517,B$4)</f>
        <v>-10000</v>
      </c>
      <c r="C51" s="7" t="n">
        <f aca="false">SUMIFS('Transaction Overview'!$D$2:$D$517,'Transaction Overview'!$I$2:$I$517,$A51,'Transaction Overview'!$H$2:$H$517,C$4)</f>
        <v>0</v>
      </c>
      <c r="D51" s="7" t="n">
        <f aca="false">SUMIFS('Transaction Overview'!$D$2:$D$517,'Transaction Overview'!$I$2:$I$517,$A51,'Transaction Overview'!$H$2:$H$517,D$4)</f>
        <v>0</v>
      </c>
      <c r="E51" s="7" t="n">
        <f aca="false">SUMIFS('Transaction Overview'!$D$2:$D$517,'Transaction Overview'!$I$2:$I$517,$A51,'Transaction Overview'!$H$2:$H$517,E$4)</f>
        <v>0</v>
      </c>
      <c r="F51" s="7" t="n">
        <f aca="false">SUMIFS('Transaction Overview'!$D$2:$D$517,'Transaction Overview'!$I$2:$I$517,$A51,'Transaction Overview'!$H$2:$H$517,F$4)</f>
        <v>-1000</v>
      </c>
      <c r="G51" s="7" t="n">
        <f aca="false">SUMIFS('Transaction Overview'!$D$2:$D$517,'Transaction Overview'!$I$2:$I$517,$A51,'Transaction Overview'!$H$2:$H$517,G$4)</f>
        <v>0</v>
      </c>
      <c r="H51" s="7" t="n">
        <f aca="false">SUMIFS('Transaction Overview'!$D$2:$D$517,'Transaction Overview'!$I$2:$I$517,$A51,'Transaction Overview'!$H$2:$H$517,H$4)</f>
        <v>0</v>
      </c>
      <c r="I51" s="7" t="n">
        <f aca="false">SUMIFS('Transaction Overview'!$D$2:$D$517,'Transaction Overview'!$I$2:$I$517,$A51,'Transaction Overview'!$H$2:$H$517,I$4)</f>
        <v>0</v>
      </c>
      <c r="J51" s="7" t="n">
        <f aca="false">SUMIFS('Transaction Overview'!$D$2:$D$517,'Transaction Overview'!$I$2:$I$517,$A51,'Transaction Overview'!$H$2:$H$517,J$4)</f>
        <v>0</v>
      </c>
      <c r="K51" s="7" t="n">
        <f aca="false">SUMIFS('Transaction Overview'!$D$2:$D$517,'Transaction Overview'!$I$2:$I$517,$A51,'Transaction Overview'!$H$2:$H$517,K$4)</f>
        <v>0</v>
      </c>
      <c r="L51" s="7" t="n">
        <f aca="false">SUMIFS('Transaction Overview'!$D$2:$D$517,'Transaction Overview'!$I$2:$I$517,$A51,'Transaction Overview'!$H$2:$H$517,L$4)</f>
        <v>0</v>
      </c>
      <c r="M51" s="7" t="n">
        <f aca="false">SUMIFS('Transaction Overview'!$D$2:$D$517,'Transaction Overview'!$I$2:$I$517,$A51,'Transaction Overview'!$H$2:$H$517,M$4)</f>
        <v>0</v>
      </c>
      <c r="N51" s="7" t="n">
        <f aca="false">SUM(B51:M51)</f>
        <v>-11000</v>
      </c>
    </row>
    <row r="52" customFormat="false" ht="15" hidden="false" customHeight="false" outlineLevel="0" collapsed="false">
      <c r="A52" s="9" t="s">
        <v>72</v>
      </c>
    </row>
    <row r="53" customFormat="false" ht="15" hidden="false" customHeight="false" outlineLevel="0" collapsed="false">
      <c r="A53" s="0" t="s">
        <v>73</v>
      </c>
      <c r="B53" s="7" t="n">
        <f aca="false">SUMIFS('Transaction Overview'!$D$2:$D$517,'Transaction Overview'!$I$2:$I$517,$A53,'Transaction Overview'!$H$2:$H$517,B$4)</f>
        <v>0</v>
      </c>
      <c r="C53" s="7" t="n">
        <f aca="false">SUMIFS('Transaction Overview'!$D$2:$D$517,'Transaction Overview'!$I$2:$I$517,$A53,'Transaction Overview'!$H$2:$H$517,C$4)</f>
        <v>0</v>
      </c>
      <c r="D53" s="7" t="n">
        <f aca="false">SUMIFS('Transaction Overview'!$D$2:$D$517,'Transaction Overview'!$I$2:$I$517,$A53,'Transaction Overview'!$H$2:$H$517,D$4)</f>
        <v>-331.54</v>
      </c>
      <c r="E53" s="7" t="n">
        <f aca="false">SUMIFS('Transaction Overview'!$D$2:$D$517,'Transaction Overview'!$I$2:$I$517,$A53,'Transaction Overview'!$H$2:$H$517,E$4)</f>
        <v>0</v>
      </c>
      <c r="F53" s="7" t="n">
        <f aca="false">SUMIFS('Transaction Overview'!$D$2:$D$517,'Transaction Overview'!$I$2:$I$517,$A53,'Transaction Overview'!$H$2:$H$517,F$4)</f>
        <v>0</v>
      </c>
      <c r="G53" s="7" t="n">
        <f aca="false">SUMIFS('Transaction Overview'!$D$2:$D$517,'Transaction Overview'!$I$2:$I$517,$A53,'Transaction Overview'!$H$2:$H$517,G$4)</f>
        <v>0</v>
      </c>
      <c r="H53" s="7" t="n">
        <f aca="false">SUMIFS('Transaction Overview'!$D$2:$D$517,'Transaction Overview'!$I$2:$I$517,$A53,'Transaction Overview'!$H$2:$H$517,H$4)</f>
        <v>0</v>
      </c>
      <c r="I53" s="7" t="n">
        <f aca="false">SUMIFS('Transaction Overview'!$D$2:$D$517,'Transaction Overview'!$I$2:$I$517,$A53,'Transaction Overview'!$H$2:$H$517,I$4)</f>
        <v>0</v>
      </c>
      <c r="J53" s="7" t="n">
        <f aca="false">SUMIFS('Transaction Overview'!$D$2:$D$517,'Transaction Overview'!$I$2:$I$517,$A53,'Transaction Overview'!$H$2:$H$517,J$4)</f>
        <v>0</v>
      </c>
      <c r="K53" s="7" t="n">
        <f aca="false">SUMIFS('Transaction Overview'!$D$2:$D$517,'Transaction Overview'!$I$2:$I$517,$A53,'Transaction Overview'!$H$2:$H$517,K$4)</f>
        <v>0</v>
      </c>
      <c r="L53" s="7" t="n">
        <f aca="false">SUMIFS('Transaction Overview'!$D$2:$D$517,'Transaction Overview'!$I$2:$I$517,$A53,'Transaction Overview'!$H$2:$H$517,L$4)</f>
        <v>0</v>
      </c>
      <c r="M53" s="7" t="n">
        <f aca="false">SUMIFS('Transaction Overview'!$D$2:$D$517,'Transaction Overview'!$I$2:$I$517,$A53,'Transaction Overview'!$H$2:$H$517,M$4)</f>
        <v>0</v>
      </c>
      <c r="N53" s="7" t="n">
        <f aca="false">SUM(B53:M53)</f>
        <v>-331.54</v>
      </c>
    </row>
    <row r="54" customFormat="false" ht="15" hidden="false" customHeight="false" outlineLevel="0" collapsed="false">
      <c r="A54" s="0" t="s">
        <v>74</v>
      </c>
      <c r="B54" s="7" t="n">
        <f aca="false">SUMIFS('Transaction Overview'!$D$2:$D$517,'Transaction Overview'!$I$2:$I$517,$A54,'Transaction Overview'!$H$2:$H$517,B$4)</f>
        <v>-2524</v>
      </c>
      <c r="C54" s="7" t="n">
        <f aca="false">SUMIFS('Transaction Overview'!$D$2:$D$517,'Transaction Overview'!$I$2:$I$517,$A54,'Transaction Overview'!$H$2:$H$517,C$4)</f>
        <v>0</v>
      </c>
      <c r="D54" s="7" t="n">
        <f aca="false">SUMIFS('Transaction Overview'!$D$2:$D$517,'Transaction Overview'!$I$2:$I$517,$A54,'Transaction Overview'!$H$2:$H$517,D$4)</f>
        <v>-5048</v>
      </c>
      <c r="E54" s="7" t="n">
        <f aca="false">SUMIFS('Transaction Overview'!$D$2:$D$517,'Transaction Overview'!$I$2:$I$517,$A54,'Transaction Overview'!$H$2:$H$517,E$4)</f>
        <v>-2524</v>
      </c>
      <c r="F54" s="7" t="n">
        <f aca="false">SUMIFS('Transaction Overview'!$D$2:$D$517,'Transaction Overview'!$I$2:$I$517,$A54,'Transaction Overview'!$H$2:$H$517,F$4)</f>
        <v>0</v>
      </c>
      <c r="G54" s="7" t="n">
        <f aca="false">SUMIFS('Transaction Overview'!$D$2:$D$517,'Transaction Overview'!$I$2:$I$517,$A54,'Transaction Overview'!$H$2:$H$517,G$4)</f>
        <v>-2524</v>
      </c>
      <c r="H54" s="7" t="n">
        <f aca="false">SUMIFS('Transaction Overview'!$D$2:$D$517,'Transaction Overview'!$I$2:$I$517,$A54,'Transaction Overview'!$H$2:$H$517,H$4)</f>
        <v>0</v>
      </c>
      <c r="I54" s="7" t="n">
        <f aca="false">SUMIFS('Transaction Overview'!$D$2:$D$517,'Transaction Overview'!$I$2:$I$517,$A54,'Transaction Overview'!$H$2:$H$517,I$4)</f>
        <v>0</v>
      </c>
      <c r="J54" s="7" t="n">
        <f aca="false">SUMIFS('Transaction Overview'!$D$2:$D$517,'Transaction Overview'!$I$2:$I$517,$A54,'Transaction Overview'!$H$2:$H$517,J$4)</f>
        <v>0</v>
      </c>
      <c r="K54" s="7" t="n">
        <f aca="false">SUMIFS('Transaction Overview'!$D$2:$D$517,'Transaction Overview'!$I$2:$I$517,$A54,'Transaction Overview'!$H$2:$H$517,K$4)</f>
        <v>0</v>
      </c>
      <c r="L54" s="7" t="n">
        <f aca="false">SUMIFS('Transaction Overview'!$D$2:$D$517,'Transaction Overview'!$I$2:$I$517,$A54,'Transaction Overview'!$H$2:$H$517,L$4)</f>
        <v>0</v>
      </c>
      <c r="M54" s="7" t="n">
        <f aca="false">SUMIFS('Transaction Overview'!$D$2:$D$517,'Transaction Overview'!$I$2:$I$517,$A54,'Transaction Overview'!$H$2:$H$517,M$4)</f>
        <v>0</v>
      </c>
      <c r="N54" s="7" t="n">
        <f aca="false">SUM(B54:M54)</f>
        <v>-12620</v>
      </c>
    </row>
    <row r="55" customFormat="false" ht="15" hidden="false" customHeight="false" outlineLevel="0" collapsed="false">
      <c r="A55" s="9" t="s">
        <v>76</v>
      </c>
    </row>
    <row r="56" customFormat="false" ht="15" hidden="false" customHeight="false" outlineLevel="0" collapsed="false">
      <c r="A56" s="0" t="s">
        <v>76</v>
      </c>
      <c r="B56" s="7" t="n">
        <f aca="false">SUMIFS('Transaction Overview'!$D$2:$D$517,'Transaction Overview'!$I$2:$I$517,$A56,'Transaction Overview'!$H$2:$H$517,B$4)</f>
        <v>0</v>
      </c>
      <c r="C56" s="7" t="n">
        <f aca="false">SUMIFS('Transaction Overview'!$D$2:$D$517,'Transaction Overview'!$I$2:$I$517,$A56,'Transaction Overview'!$H$2:$H$517,C$4)</f>
        <v>0</v>
      </c>
      <c r="D56" s="7" t="n">
        <f aca="false">SUMIFS('Transaction Overview'!$D$2:$D$517,'Transaction Overview'!$I$2:$I$517,$A56,'Transaction Overview'!$H$2:$H$517,D$4)</f>
        <v>-60</v>
      </c>
      <c r="E56" s="7" t="n">
        <f aca="false">SUMIFS('Transaction Overview'!$D$2:$D$517,'Transaction Overview'!$I$2:$I$517,$A56,'Transaction Overview'!$H$2:$H$517,E$4)</f>
        <v>-800</v>
      </c>
      <c r="F56" s="7" t="n">
        <f aca="false">SUMIFS('Transaction Overview'!$D$2:$D$517,'Transaction Overview'!$I$2:$I$517,$A56,'Transaction Overview'!$H$2:$H$517,F$4)</f>
        <v>0</v>
      </c>
      <c r="G56" s="7" t="n">
        <f aca="false">SUMIFS('Transaction Overview'!$D$2:$D$517,'Transaction Overview'!$I$2:$I$517,$A56,'Transaction Overview'!$H$2:$H$517,G$4)</f>
        <v>0</v>
      </c>
      <c r="H56" s="7" t="n">
        <f aca="false">SUMIFS('Transaction Overview'!$D$2:$D$517,'Transaction Overview'!$I$2:$I$517,$A56,'Transaction Overview'!$H$2:$H$517,H$4)</f>
        <v>0</v>
      </c>
      <c r="I56" s="7" t="n">
        <f aca="false">SUMIFS('Transaction Overview'!$D$2:$D$517,'Transaction Overview'!$I$2:$I$517,$A56,'Transaction Overview'!$H$2:$H$517,I$4)</f>
        <v>0</v>
      </c>
      <c r="J56" s="7" t="n">
        <f aca="false">SUMIFS('Transaction Overview'!$D$2:$D$517,'Transaction Overview'!$I$2:$I$517,$A56,'Transaction Overview'!$H$2:$H$517,J$4)</f>
        <v>0</v>
      </c>
      <c r="K56" s="7" t="n">
        <f aca="false">SUMIFS('Transaction Overview'!$D$2:$D$517,'Transaction Overview'!$I$2:$I$517,$A56,'Transaction Overview'!$H$2:$H$517,K$4)</f>
        <v>0</v>
      </c>
      <c r="L56" s="7" t="n">
        <f aca="false">SUMIFS('Transaction Overview'!$D$2:$D$517,'Transaction Overview'!$I$2:$I$517,$A56,'Transaction Overview'!$H$2:$H$517,L$4)</f>
        <v>0</v>
      </c>
      <c r="M56" s="7" t="n">
        <f aca="false">SUMIFS('Transaction Overview'!$D$2:$D$517,'Transaction Overview'!$I$2:$I$517,$A56,'Transaction Overview'!$H$2:$H$517,M$4)</f>
        <v>0</v>
      </c>
      <c r="N56" s="7" t="n">
        <f aca="false">SUM(B56:M56)</f>
        <v>-860</v>
      </c>
    </row>
    <row r="57" customFormat="false" ht="15" hidden="false" customHeight="false" outlineLevel="0" collapsed="false">
      <c r="A57" s="9" t="s">
        <v>78</v>
      </c>
    </row>
    <row r="58" customFormat="false" ht="15" hidden="false" customHeight="false" outlineLevel="0" collapsed="false">
      <c r="A58" s="0" t="s">
        <v>79</v>
      </c>
      <c r="B58" s="7" t="n">
        <f aca="false">SUMIFS('Transaction Overview'!$D$2:$D$517,'Transaction Overview'!$I$2:$I$517,$A58,'Transaction Overview'!$H$2:$H$517,B$4)</f>
        <v>-21.28</v>
      </c>
      <c r="C58" s="7" t="n">
        <f aca="false">SUMIFS('Transaction Overview'!$D$2:$D$517,'Transaction Overview'!$I$2:$I$517,$A58,'Transaction Overview'!$H$2:$H$517,C$4)</f>
        <v>0</v>
      </c>
      <c r="D58" s="7" t="n">
        <f aca="false">SUMIFS('Transaction Overview'!$D$2:$D$517,'Transaction Overview'!$I$2:$I$517,$A58,'Transaction Overview'!$H$2:$H$517,D$4)</f>
        <v>0</v>
      </c>
      <c r="E58" s="7" t="n">
        <f aca="false">SUMIFS('Transaction Overview'!$D$2:$D$517,'Transaction Overview'!$I$2:$I$517,$A58,'Transaction Overview'!$H$2:$H$517,E$4)</f>
        <v>0</v>
      </c>
      <c r="F58" s="7" t="n">
        <f aca="false">SUMIFS('Transaction Overview'!$D$2:$D$517,'Transaction Overview'!$I$2:$I$517,$A58,'Transaction Overview'!$H$2:$H$517,F$4)</f>
        <v>0</v>
      </c>
      <c r="G58" s="7" t="n">
        <f aca="false">SUMIFS('Transaction Overview'!$D$2:$D$517,'Transaction Overview'!$I$2:$I$517,$A58,'Transaction Overview'!$H$2:$H$517,G$4)</f>
        <v>0</v>
      </c>
      <c r="H58" s="7" t="n">
        <f aca="false">SUMIFS('Transaction Overview'!$D$2:$D$517,'Transaction Overview'!$I$2:$I$517,$A58,'Transaction Overview'!$H$2:$H$517,H$4)</f>
        <v>0</v>
      </c>
      <c r="I58" s="7" t="n">
        <f aca="false">SUMIFS('Transaction Overview'!$D$2:$D$517,'Transaction Overview'!$I$2:$I$517,$A58,'Transaction Overview'!$H$2:$H$517,I$4)</f>
        <v>0</v>
      </c>
      <c r="J58" s="7" t="n">
        <f aca="false">SUMIFS('Transaction Overview'!$D$2:$D$517,'Transaction Overview'!$I$2:$I$517,$A58,'Transaction Overview'!$H$2:$H$517,J$4)</f>
        <v>0</v>
      </c>
      <c r="K58" s="7" t="n">
        <f aca="false">SUMIFS('Transaction Overview'!$D$2:$D$517,'Transaction Overview'!$I$2:$I$517,$A58,'Transaction Overview'!$H$2:$H$517,K$4)</f>
        <v>0</v>
      </c>
      <c r="L58" s="7" t="n">
        <f aca="false">SUMIFS('Transaction Overview'!$D$2:$D$517,'Transaction Overview'!$I$2:$I$517,$A58,'Transaction Overview'!$H$2:$H$517,L$4)</f>
        <v>0</v>
      </c>
      <c r="M58" s="7" t="n">
        <f aca="false">SUMIFS('Transaction Overview'!$D$2:$D$517,'Transaction Overview'!$I$2:$I$517,$A58,'Transaction Overview'!$H$2:$H$517,M$4)</f>
        <v>0</v>
      </c>
      <c r="N58" s="7" t="n">
        <f aca="false">SUM(B58:M58)</f>
        <v>-21.28</v>
      </c>
    </row>
    <row r="59" customFormat="false" ht="15" hidden="false" customHeight="false" outlineLevel="0" collapsed="false">
      <c r="A59" s="0" t="s">
        <v>80</v>
      </c>
      <c r="B59" s="7" t="n">
        <f aca="false">SUMIFS('Transaction Overview'!$D$2:$D$517,'Transaction Overview'!$I$2:$I$517,$A59,'Transaction Overview'!$H$2:$H$517,B$4)</f>
        <v>-125.45</v>
      </c>
      <c r="C59" s="7" t="n">
        <f aca="false">SUMIFS('Transaction Overview'!$D$2:$D$517,'Transaction Overview'!$I$2:$I$517,$A59,'Transaction Overview'!$H$2:$H$517,C$4)</f>
        <v>-17.5</v>
      </c>
      <c r="D59" s="7" t="n">
        <f aca="false">SUMIFS('Transaction Overview'!$D$2:$D$517,'Transaction Overview'!$I$2:$I$517,$A59,'Transaction Overview'!$H$2:$H$517,D$4)</f>
        <v>-15</v>
      </c>
      <c r="E59" s="7" t="n">
        <f aca="false">SUMIFS('Transaction Overview'!$D$2:$D$517,'Transaction Overview'!$I$2:$I$517,$A59,'Transaction Overview'!$H$2:$H$517,E$4)</f>
        <v>-23</v>
      </c>
      <c r="F59" s="7" t="n">
        <f aca="false">SUMIFS('Transaction Overview'!$D$2:$D$517,'Transaction Overview'!$I$2:$I$517,$A59,'Transaction Overview'!$H$2:$H$517,F$4)</f>
        <v>-17.5</v>
      </c>
      <c r="G59" s="7" t="n">
        <f aca="false">SUMIFS('Transaction Overview'!$D$2:$D$517,'Transaction Overview'!$I$2:$I$517,$A59,'Transaction Overview'!$H$2:$H$517,G$4)</f>
        <v>-65.6</v>
      </c>
      <c r="H59" s="7" t="n">
        <f aca="false">SUMIFS('Transaction Overview'!$D$2:$D$517,'Transaction Overview'!$I$2:$I$517,$A59,'Transaction Overview'!$H$2:$H$517,H$4)</f>
        <v>0</v>
      </c>
      <c r="I59" s="7" t="n">
        <f aca="false">SUMIFS('Transaction Overview'!$D$2:$D$517,'Transaction Overview'!$I$2:$I$517,$A59,'Transaction Overview'!$H$2:$H$517,I$4)</f>
        <v>0</v>
      </c>
      <c r="J59" s="7" t="n">
        <f aca="false">SUMIFS('Transaction Overview'!$D$2:$D$517,'Transaction Overview'!$I$2:$I$517,$A59,'Transaction Overview'!$H$2:$H$517,J$4)</f>
        <v>0</v>
      </c>
      <c r="K59" s="7" t="n">
        <f aca="false">SUMIFS('Transaction Overview'!$D$2:$D$517,'Transaction Overview'!$I$2:$I$517,$A59,'Transaction Overview'!$H$2:$H$517,K$4)</f>
        <v>0</v>
      </c>
      <c r="L59" s="7" t="n">
        <f aca="false">SUMIFS('Transaction Overview'!$D$2:$D$517,'Transaction Overview'!$I$2:$I$517,$A59,'Transaction Overview'!$H$2:$H$517,L$4)</f>
        <v>0</v>
      </c>
      <c r="M59" s="7" t="n">
        <f aca="false">SUMIFS('Transaction Overview'!$D$2:$D$517,'Transaction Overview'!$I$2:$I$517,$A59,'Transaction Overview'!$H$2:$H$517,M$4)</f>
        <v>0</v>
      </c>
      <c r="N59" s="7" t="n">
        <f aca="false">SUM(B59:M59)</f>
        <v>-264.05</v>
      </c>
    </row>
    <row r="60" customFormat="false" ht="15" hidden="false" customHeight="false" outlineLevel="0" collapsed="false">
      <c r="A60" s="0" t="s">
        <v>81</v>
      </c>
      <c r="B60" s="7" t="n">
        <f aca="false">SUMIFS('Transaction Overview'!$D$2:$D$517,'Transaction Overview'!$I$2:$I$517,$A60,'Transaction Overview'!$H$2:$H$517,B$4)</f>
        <v>0</v>
      </c>
      <c r="C60" s="7" t="n">
        <f aca="false">SUMIFS('Transaction Overview'!$D$2:$D$517,'Transaction Overview'!$I$2:$I$517,$A60,'Transaction Overview'!$H$2:$H$517,C$4)</f>
        <v>0</v>
      </c>
      <c r="D60" s="7" t="n">
        <f aca="false">SUMIFS('Transaction Overview'!$D$2:$D$517,'Transaction Overview'!$I$2:$I$517,$A60,'Transaction Overview'!$H$2:$H$517,D$4)</f>
        <v>0</v>
      </c>
      <c r="E60" s="7" t="n">
        <f aca="false">SUMIFS('Transaction Overview'!$D$2:$D$517,'Transaction Overview'!$I$2:$I$517,$A60,'Transaction Overview'!$H$2:$H$517,E$4)</f>
        <v>0</v>
      </c>
      <c r="F60" s="7" t="n">
        <f aca="false">SUMIFS('Transaction Overview'!$D$2:$D$517,'Transaction Overview'!$I$2:$I$517,$A60,'Transaction Overview'!$H$2:$H$517,F$4)</f>
        <v>-1800</v>
      </c>
      <c r="G60" s="7" t="n">
        <f aca="false">SUMIFS('Transaction Overview'!$D$2:$D$517,'Transaction Overview'!$I$2:$I$517,$A60,'Transaction Overview'!$H$2:$H$517,G$4)</f>
        <v>0</v>
      </c>
      <c r="H60" s="7" t="n">
        <f aca="false">SUMIFS('Transaction Overview'!$D$2:$D$517,'Transaction Overview'!$I$2:$I$517,$A60,'Transaction Overview'!$H$2:$H$517,H$4)</f>
        <v>0</v>
      </c>
      <c r="I60" s="7" t="n">
        <f aca="false">SUMIFS('Transaction Overview'!$D$2:$D$517,'Transaction Overview'!$I$2:$I$517,$A60,'Transaction Overview'!$H$2:$H$517,I$4)</f>
        <v>0</v>
      </c>
      <c r="J60" s="7" t="n">
        <f aca="false">SUMIFS('Transaction Overview'!$D$2:$D$517,'Transaction Overview'!$I$2:$I$517,$A60,'Transaction Overview'!$H$2:$H$517,J$4)</f>
        <v>0</v>
      </c>
      <c r="K60" s="7" t="n">
        <f aca="false">SUMIFS('Transaction Overview'!$D$2:$D$517,'Transaction Overview'!$I$2:$I$517,$A60,'Transaction Overview'!$H$2:$H$517,K$4)</f>
        <v>0</v>
      </c>
      <c r="L60" s="7" t="n">
        <f aca="false">SUMIFS('Transaction Overview'!$D$2:$D$517,'Transaction Overview'!$I$2:$I$517,$A60,'Transaction Overview'!$H$2:$H$517,L$4)</f>
        <v>0</v>
      </c>
      <c r="M60" s="7" t="n">
        <f aca="false">SUMIFS('Transaction Overview'!$D$2:$D$517,'Transaction Overview'!$I$2:$I$517,$A60,'Transaction Overview'!$H$2:$H$517,M$4)</f>
        <v>0</v>
      </c>
      <c r="N60" s="7" t="n">
        <f aca="false">SUM(B60:M60)</f>
        <v>-1800</v>
      </c>
    </row>
    <row r="61" customFormat="false" ht="15" hidden="false" customHeight="false" outlineLevel="0" collapsed="false">
      <c r="A61" s="0" t="s">
        <v>82</v>
      </c>
      <c r="B61" s="7" t="n">
        <f aca="false">SUMIFS('Transaction Overview'!$D$2:$D$517,'Transaction Overview'!$I$2:$I$517,$A61,'Transaction Overview'!$H$2:$H$517,B$4)</f>
        <v>-104.01</v>
      </c>
      <c r="C61" s="7" t="n">
        <f aca="false">SUMIFS('Transaction Overview'!$D$2:$D$517,'Transaction Overview'!$I$2:$I$517,$A61,'Transaction Overview'!$H$2:$H$517,C$4)</f>
        <v>-104.01</v>
      </c>
      <c r="D61" s="7" t="n">
        <f aca="false">SUMIFS('Transaction Overview'!$D$2:$D$517,'Transaction Overview'!$I$2:$I$517,$A61,'Transaction Overview'!$H$2:$H$517,D$4)</f>
        <v>-104.01</v>
      </c>
      <c r="E61" s="7" t="n">
        <f aca="false">SUMIFS('Transaction Overview'!$D$2:$D$517,'Transaction Overview'!$I$2:$I$517,$A61,'Transaction Overview'!$H$2:$H$517,E$4)</f>
        <v>-104.01</v>
      </c>
      <c r="F61" s="7" t="n">
        <f aca="false">SUMIFS('Transaction Overview'!$D$2:$D$517,'Transaction Overview'!$I$2:$I$517,$A61,'Transaction Overview'!$H$2:$H$517,F$4)</f>
        <v>-104.01</v>
      </c>
      <c r="G61" s="7" t="n">
        <f aca="false">SUMIFS('Transaction Overview'!$D$2:$D$517,'Transaction Overview'!$I$2:$I$517,$A61,'Transaction Overview'!$H$2:$H$517,G$4)</f>
        <v>0</v>
      </c>
      <c r="H61" s="7" t="n">
        <f aca="false">SUMIFS('Transaction Overview'!$D$2:$D$517,'Transaction Overview'!$I$2:$I$517,$A61,'Transaction Overview'!$H$2:$H$517,H$4)</f>
        <v>0</v>
      </c>
      <c r="I61" s="7" t="n">
        <f aca="false">SUMIFS('Transaction Overview'!$D$2:$D$517,'Transaction Overview'!$I$2:$I$517,$A61,'Transaction Overview'!$H$2:$H$517,I$4)</f>
        <v>0</v>
      </c>
      <c r="J61" s="7" t="n">
        <f aca="false">SUMIFS('Transaction Overview'!$D$2:$D$517,'Transaction Overview'!$I$2:$I$517,$A61,'Transaction Overview'!$H$2:$H$517,J$4)</f>
        <v>0</v>
      </c>
      <c r="K61" s="7" t="n">
        <f aca="false">SUMIFS('Transaction Overview'!$D$2:$D$517,'Transaction Overview'!$I$2:$I$517,$A61,'Transaction Overview'!$H$2:$H$517,K$4)</f>
        <v>0</v>
      </c>
      <c r="L61" s="7" t="n">
        <f aca="false">SUMIFS('Transaction Overview'!$D$2:$D$517,'Transaction Overview'!$I$2:$I$517,$A61,'Transaction Overview'!$H$2:$H$517,L$4)</f>
        <v>0</v>
      </c>
      <c r="M61" s="7" t="n">
        <f aca="false">SUMIFS('Transaction Overview'!$D$2:$D$517,'Transaction Overview'!$I$2:$I$517,$A61,'Transaction Overview'!$H$2:$H$517,M$4)</f>
        <v>0</v>
      </c>
      <c r="N61" s="7" t="n">
        <f aca="false">SUM(B61:M61)</f>
        <v>-520.05</v>
      </c>
    </row>
    <row r="62" customFormat="false" ht="15" hidden="false" customHeight="false" outlineLevel="0" collapsed="false">
      <c r="A62" s="0" t="s">
        <v>83</v>
      </c>
      <c r="B62" s="7" t="n">
        <f aca="false">SUMIFS('Transaction Overview'!$D$2:$D$517,'Transaction Overview'!$I$2:$I$517,$A62,'Transaction Overview'!$H$2:$H$517,B$4)</f>
        <v>-10.78</v>
      </c>
      <c r="C62" s="7" t="n">
        <f aca="false">SUMIFS('Transaction Overview'!$D$2:$D$517,'Transaction Overview'!$I$2:$I$517,$A62,'Transaction Overview'!$H$2:$H$517,C$4)</f>
        <v>-10.78</v>
      </c>
      <c r="D62" s="7" t="n">
        <f aca="false">SUMIFS('Transaction Overview'!$D$2:$D$517,'Transaction Overview'!$I$2:$I$517,$A62,'Transaction Overview'!$H$2:$H$517,D$4)</f>
        <v>-10.78</v>
      </c>
      <c r="E62" s="7" t="n">
        <f aca="false">SUMIFS('Transaction Overview'!$D$2:$D$517,'Transaction Overview'!$I$2:$I$517,$A62,'Transaction Overview'!$H$2:$H$517,E$4)</f>
        <v>-10.78</v>
      </c>
      <c r="F62" s="7" t="n">
        <f aca="false">SUMIFS('Transaction Overview'!$D$2:$D$517,'Transaction Overview'!$I$2:$I$517,$A62,'Transaction Overview'!$H$2:$H$517,F$4)</f>
        <v>-10.78</v>
      </c>
      <c r="G62" s="7" t="n">
        <f aca="false">SUMIFS('Transaction Overview'!$D$2:$D$517,'Transaction Overview'!$I$2:$I$517,$A62,'Transaction Overview'!$H$2:$H$517,G$4)</f>
        <v>-10.78</v>
      </c>
      <c r="H62" s="7" t="n">
        <f aca="false">SUMIFS('Transaction Overview'!$D$2:$D$517,'Transaction Overview'!$I$2:$I$517,$A62,'Transaction Overview'!$H$2:$H$517,H$4)</f>
        <v>0</v>
      </c>
      <c r="I62" s="7" t="n">
        <f aca="false">SUMIFS('Transaction Overview'!$D$2:$D$517,'Transaction Overview'!$I$2:$I$517,$A62,'Transaction Overview'!$H$2:$H$517,I$4)</f>
        <v>0</v>
      </c>
      <c r="J62" s="7" t="n">
        <f aca="false">SUMIFS('Transaction Overview'!$D$2:$D$517,'Transaction Overview'!$I$2:$I$517,$A62,'Transaction Overview'!$H$2:$H$517,J$4)</f>
        <v>0</v>
      </c>
      <c r="K62" s="7" t="n">
        <f aca="false">SUMIFS('Transaction Overview'!$D$2:$D$517,'Transaction Overview'!$I$2:$I$517,$A62,'Transaction Overview'!$H$2:$H$517,K$4)</f>
        <v>0</v>
      </c>
      <c r="L62" s="7" t="n">
        <f aca="false">SUMIFS('Transaction Overview'!$D$2:$D$517,'Transaction Overview'!$I$2:$I$517,$A62,'Transaction Overview'!$H$2:$H$517,L$4)</f>
        <v>0</v>
      </c>
      <c r="M62" s="7" t="n">
        <f aca="false">SUMIFS('Transaction Overview'!$D$2:$D$517,'Transaction Overview'!$I$2:$I$517,$A62,'Transaction Overview'!$H$2:$H$517,M$4)</f>
        <v>0</v>
      </c>
      <c r="N62" s="7" t="n">
        <f aca="false">SUM(B62:M62)</f>
        <v>-64.68</v>
      </c>
    </row>
    <row r="63" customFormat="false" ht="15" hidden="false" customHeight="false" outlineLevel="0" collapsed="false">
      <c r="A63" s="0" t="s">
        <v>84</v>
      </c>
      <c r="B63" s="7" t="n">
        <f aca="false">SUMIFS('Transaction Overview'!$D$2:$D$517,'Transaction Overview'!$I$2:$I$517,$A63,'Transaction Overview'!$H$2:$H$517,B$4)</f>
        <v>-83.91</v>
      </c>
      <c r="C63" s="7" t="n">
        <f aca="false">SUMIFS('Transaction Overview'!$D$2:$D$517,'Transaction Overview'!$I$2:$I$517,$A63,'Transaction Overview'!$H$2:$H$517,C$4)</f>
        <v>-60.93</v>
      </c>
      <c r="D63" s="7" t="n">
        <f aca="false">SUMIFS('Transaction Overview'!$D$2:$D$517,'Transaction Overview'!$I$2:$I$517,$A63,'Transaction Overview'!$H$2:$H$517,D$4)</f>
        <v>-253.77</v>
      </c>
      <c r="E63" s="7" t="n">
        <f aca="false">SUMIFS('Transaction Overview'!$D$2:$D$517,'Transaction Overview'!$I$2:$I$517,$A63,'Transaction Overview'!$H$2:$H$517,E$4)</f>
        <v>-2602.58</v>
      </c>
      <c r="F63" s="7" t="n">
        <f aca="false">SUMIFS('Transaction Overview'!$D$2:$D$517,'Transaction Overview'!$I$2:$I$517,$A63,'Transaction Overview'!$H$2:$H$517,F$4)</f>
        <v>-695.23</v>
      </c>
      <c r="G63" s="7" t="n">
        <f aca="false">SUMIFS('Transaction Overview'!$D$2:$D$517,'Transaction Overview'!$I$2:$I$517,$A63,'Transaction Overview'!$H$2:$H$517,G$4)</f>
        <v>-255.35</v>
      </c>
      <c r="H63" s="7" t="n">
        <f aca="false">SUMIFS('Transaction Overview'!$D$2:$D$517,'Transaction Overview'!$I$2:$I$517,$A63,'Transaction Overview'!$H$2:$H$517,H$4)</f>
        <v>0</v>
      </c>
      <c r="I63" s="7" t="n">
        <f aca="false">SUMIFS('Transaction Overview'!$D$2:$D$517,'Transaction Overview'!$I$2:$I$517,$A63,'Transaction Overview'!$H$2:$H$517,I$4)</f>
        <v>0</v>
      </c>
      <c r="J63" s="7" t="n">
        <f aca="false">SUMIFS('Transaction Overview'!$D$2:$D$517,'Transaction Overview'!$I$2:$I$517,$A63,'Transaction Overview'!$H$2:$H$517,J$4)</f>
        <v>0</v>
      </c>
      <c r="K63" s="7" t="n">
        <f aca="false">SUMIFS('Transaction Overview'!$D$2:$D$517,'Transaction Overview'!$I$2:$I$517,$A63,'Transaction Overview'!$H$2:$H$517,K$4)</f>
        <v>0</v>
      </c>
      <c r="L63" s="7" t="n">
        <f aca="false">SUMIFS('Transaction Overview'!$D$2:$D$517,'Transaction Overview'!$I$2:$I$517,$A63,'Transaction Overview'!$H$2:$H$517,L$4)</f>
        <v>0</v>
      </c>
      <c r="M63" s="7" t="n">
        <f aca="false">SUMIFS('Transaction Overview'!$D$2:$D$517,'Transaction Overview'!$I$2:$I$517,$A63,'Transaction Overview'!$H$2:$H$517,M$4)</f>
        <v>0</v>
      </c>
      <c r="N63" s="7" t="n">
        <f aca="false">SUM(B63:M63)</f>
        <v>-3951.77</v>
      </c>
    </row>
    <row r="64" customFormat="false" ht="15" hidden="false" customHeight="false" outlineLevel="0" collapsed="false">
      <c r="A64" s="0" t="s">
        <v>85</v>
      </c>
      <c r="B64" s="7" t="n">
        <f aca="false">SUMIFS('Transaction Overview'!$D$2:$D$517,'Transaction Overview'!$I$2:$I$517,$A64,'Transaction Overview'!$H$2:$H$517,B$4)</f>
        <v>-35</v>
      </c>
      <c r="C64" s="7" t="n">
        <f aca="false">SUMIFS('Transaction Overview'!$D$2:$D$517,'Transaction Overview'!$I$2:$I$517,$A64,'Transaction Overview'!$H$2:$H$517,C$4)</f>
        <v>0</v>
      </c>
      <c r="D64" s="7" t="n">
        <f aca="false">SUMIFS('Transaction Overview'!$D$2:$D$517,'Transaction Overview'!$I$2:$I$517,$A64,'Transaction Overview'!$H$2:$H$517,D$4)</f>
        <v>-140</v>
      </c>
      <c r="E64" s="7" t="n">
        <f aca="false">SUMIFS('Transaction Overview'!$D$2:$D$517,'Transaction Overview'!$I$2:$I$517,$A64,'Transaction Overview'!$H$2:$H$517,E$4)</f>
        <v>0</v>
      </c>
      <c r="F64" s="7" t="n">
        <f aca="false">SUMIFS('Transaction Overview'!$D$2:$D$517,'Transaction Overview'!$I$2:$I$517,$A64,'Transaction Overview'!$H$2:$H$517,F$4)</f>
        <v>-18</v>
      </c>
      <c r="G64" s="7" t="n">
        <f aca="false">SUMIFS('Transaction Overview'!$D$2:$D$517,'Transaction Overview'!$I$2:$I$517,$A64,'Transaction Overview'!$H$2:$H$517,G$4)</f>
        <v>-95</v>
      </c>
      <c r="H64" s="7" t="n">
        <f aca="false">SUMIFS('Transaction Overview'!$D$2:$D$517,'Transaction Overview'!$I$2:$I$517,$A64,'Transaction Overview'!$H$2:$H$517,H$4)</f>
        <v>0</v>
      </c>
      <c r="I64" s="7" t="n">
        <f aca="false">SUMIFS('Transaction Overview'!$D$2:$D$517,'Transaction Overview'!$I$2:$I$517,$A64,'Transaction Overview'!$H$2:$H$517,I$4)</f>
        <v>0</v>
      </c>
      <c r="J64" s="7" t="n">
        <f aca="false">SUMIFS('Transaction Overview'!$D$2:$D$517,'Transaction Overview'!$I$2:$I$517,$A64,'Transaction Overview'!$H$2:$H$517,J$4)</f>
        <v>0</v>
      </c>
      <c r="K64" s="7" t="n">
        <f aca="false">SUMIFS('Transaction Overview'!$D$2:$D$517,'Transaction Overview'!$I$2:$I$517,$A64,'Transaction Overview'!$H$2:$H$517,K$4)</f>
        <v>0</v>
      </c>
      <c r="L64" s="7" t="n">
        <f aca="false">SUMIFS('Transaction Overview'!$D$2:$D$517,'Transaction Overview'!$I$2:$I$517,$A64,'Transaction Overview'!$H$2:$H$517,L$4)</f>
        <v>0</v>
      </c>
      <c r="M64" s="7" t="n">
        <f aca="false">SUMIFS('Transaction Overview'!$D$2:$D$517,'Transaction Overview'!$I$2:$I$517,$A64,'Transaction Overview'!$H$2:$H$517,M$4)</f>
        <v>0</v>
      </c>
      <c r="N64" s="7" t="n">
        <f aca="false">SUM(B64:M64)</f>
        <v>-288</v>
      </c>
    </row>
    <row r="65" customFormat="false" ht="15" hidden="false" customHeight="false" outlineLevel="0" collapsed="false">
      <c r="A65" s="0" t="s">
        <v>86</v>
      </c>
      <c r="B65" s="7" t="n">
        <f aca="false">SUMIFS('Transaction Overview'!$D$2:$D$517,'Transaction Overview'!$I$2:$I$517,$A65,'Transaction Overview'!$H$2:$H$517,B$4)</f>
        <v>-121.21</v>
      </c>
      <c r="C65" s="7" t="n">
        <f aca="false">SUMIFS('Transaction Overview'!$D$2:$D$517,'Transaction Overview'!$I$2:$I$517,$A65,'Transaction Overview'!$H$2:$H$517,C$4)</f>
        <v>-121.21</v>
      </c>
      <c r="D65" s="7" t="n">
        <f aca="false">SUMIFS('Transaction Overview'!$D$2:$D$517,'Transaction Overview'!$I$2:$I$517,$A65,'Transaction Overview'!$H$2:$H$517,D$4)</f>
        <v>-121.21</v>
      </c>
      <c r="E65" s="7" t="n">
        <f aca="false">SUMIFS('Transaction Overview'!$D$2:$D$517,'Transaction Overview'!$I$2:$I$517,$A65,'Transaction Overview'!$H$2:$H$517,E$4)</f>
        <v>-121.21</v>
      </c>
      <c r="F65" s="7" t="n">
        <f aca="false">SUMIFS('Transaction Overview'!$D$2:$D$517,'Transaction Overview'!$I$2:$I$517,$A65,'Transaction Overview'!$H$2:$H$517,F$4)</f>
        <v>-121.21</v>
      </c>
      <c r="G65" s="7" t="n">
        <f aca="false">SUMIFS('Transaction Overview'!$D$2:$D$517,'Transaction Overview'!$I$2:$I$517,$A65,'Transaction Overview'!$H$2:$H$517,G$4)</f>
        <v>0</v>
      </c>
      <c r="H65" s="7" t="n">
        <f aca="false">SUMIFS('Transaction Overview'!$D$2:$D$517,'Transaction Overview'!$I$2:$I$517,$A65,'Transaction Overview'!$H$2:$H$517,H$4)</f>
        <v>0</v>
      </c>
      <c r="I65" s="7" t="n">
        <f aca="false">SUMIFS('Transaction Overview'!$D$2:$D$517,'Transaction Overview'!$I$2:$I$517,$A65,'Transaction Overview'!$H$2:$H$517,I$4)</f>
        <v>0</v>
      </c>
      <c r="J65" s="7" t="n">
        <f aca="false">SUMIFS('Transaction Overview'!$D$2:$D$517,'Transaction Overview'!$I$2:$I$517,$A65,'Transaction Overview'!$H$2:$H$517,J$4)</f>
        <v>0</v>
      </c>
      <c r="K65" s="7" t="n">
        <f aca="false">SUMIFS('Transaction Overview'!$D$2:$D$517,'Transaction Overview'!$I$2:$I$517,$A65,'Transaction Overview'!$H$2:$H$517,K$4)</f>
        <v>0</v>
      </c>
      <c r="L65" s="7" t="n">
        <f aca="false">SUMIFS('Transaction Overview'!$D$2:$D$517,'Transaction Overview'!$I$2:$I$517,$A65,'Transaction Overview'!$H$2:$H$517,L$4)</f>
        <v>0</v>
      </c>
      <c r="M65" s="7" t="n">
        <f aca="false">SUMIFS('Transaction Overview'!$D$2:$D$517,'Transaction Overview'!$I$2:$I$517,$A65,'Transaction Overview'!$H$2:$H$517,M$4)</f>
        <v>0</v>
      </c>
      <c r="N65" s="7" t="n">
        <f aca="false">SUM(B65:M65)</f>
        <v>-606.05</v>
      </c>
    </row>
    <row r="66" customFormat="false" ht="15" hidden="false" customHeight="false" outlineLevel="0" collapsed="false">
      <c r="A66" s="0" t="s">
        <v>87</v>
      </c>
      <c r="B66" s="7" t="n">
        <f aca="false">SUMIFS('Transaction Overview'!$D$2:$D$517,'Transaction Overview'!$I$2:$I$517,$A66,'Transaction Overview'!$H$2:$H$517,B$4)</f>
        <v>0</v>
      </c>
      <c r="C66" s="7" t="n">
        <f aca="false">SUMIFS('Transaction Overview'!$D$2:$D$517,'Transaction Overview'!$I$2:$I$517,$A66,'Transaction Overview'!$H$2:$H$517,C$4)</f>
        <v>0</v>
      </c>
      <c r="D66" s="7" t="n">
        <f aca="false">SUMIFS('Transaction Overview'!$D$2:$D$517,'Transaction Overview'!$I$2:$I$517,$A66,'Transaction Overview'!$H$2:$H$517,D$4)</f>
        <v>0</v>
      </c>
      <c r="E66" s="7" t="n">
        <f aca="false">SUMIFS('Transaction Overview'!$D$2:$D$517,'Transaction Overview'!$I$2:$I$517,$A66,'Transaction Overview'!$H$2:$H$517,E$4)</f>
        <v>-112.43</v>
      </c>
      <c r="F66" s="7" t="n">
        <f aca="false">SUMIFS('Transaction Overview'!$D$2:$D$517,'Transaction Overview'!$I$2:$I$517,$A66,'Transaction Overview'!$H$2:$H$517,F$4)</f>
        <v>0</v>
      </c>
      <c r="G66" s="7" t="n">
        <f aca="false">SUMIFS('Transaction Overview'!$D$2:$D$517,'Transaction Overview'!$I$2:$I$517,$A66,'Transaction Overview'!$H$2:$H$517,G$4)</f>
        <v>0</v>
      </c>
      <c r="H66" s="7" t="n">
        <f aca="false">SUMIFS('Transaction Overview'!$D$2:$D$517,'Transaction Overview'!$I$2:$I$517,$A66,'Transaction Overview'!$H$2:$H$517,H$4)</f>
        <v>0</v>
      </c>
      <c r="I66" s="7" t="n">
        <f aca="false">SUMIFS('Transaction Overview'!$D$2:$D$517,'Transaction Overview'!$I$2:$I$517,$A66,'Transaction Overview'!$H$2:$H$517,I$4)</f>
        <v>0</v>
      </c>
      <c r="J66" s="7" t="n">
        <f aca="false">SUMIFS('Transaction Overview'!$D$2:$D$517,'Transaction Overview'!$I$2:$I$517,$A66,'Transaction Overview'!$H$2:$H$517,J$4)</f>
        <v>0</v>
      </c>
      <c r="K66" s="7" t="n">
        <f aca="false">SUMIFS('Transaction Overview'!$D$2:$D$517,'Transaction Overview'!$I$2:$I$517,$A66,'Transaction Overview'!$H$2:$H$517,K$4)</f>
        <v>0</v>
      </c>
      <c r="L66" s="7" t="n">
        <f aca="false">SUMIFS('Transaction Overview'!$D$2:$D$517,'Transaction Overview'!$I$2:$I$517,$A66,'Transaction Overview'!$H$2:$H$517,L$4)</f>
        <v>0</v>
      </c>
      <c r="M66" s="7" t="n">
        <f aca="false">SUMIFS('Transaction Overview'!$D$2:$D$517,'Transaction Overview'!$I$2:$I$517,$A66,'Transaction Overview'!$H$2:$H$517,M$4)</f>
        <v>0</v>
      </c>
      <c r="N66" s="7" t="n">
        <f aca="false">SUM(B66:M66)</f>
        <v>-112.43</v>
      </c>
    </row>
    <row r="67" customFormat="false" ht="15" hidden="false" customHeight="false" outlineLevel="0" collapsed="false">
      <c r="A67" s="0" t="s">
        <v>88</v>
      </c>
      <c r="B67" s="7" t="n">
        <f aca="false">SUMIFS('Transaction Overview'!$D$2:$D$517,'Transaction Overview'!$I$2:$I$517,$A67,'Transaction Overview'!$H$2:$H$517,B$4)</f>
        <v>0</v>
      </c>
      <c r="C67" s="7" t="n">
        <f aca="false">SUMIFS('Transaction Overview'!$D$2:$D$517,'Transaction Overview'!$I$2:$I$517,$A67,'Transaction Overview'!$H$2:$H$517,C$4)</f>
        <v>-50</v>
      </c>
      <c r="D67" s="7" t="n">
        <f aca="false">SUMIFS('Transaction Overview'!$D$2:$D$517,'Transaction Overview'!$I$2:$I$517,$A67,'Transaction Overview'!$H$2:$H$517,D$4)</f>
        <v>0</v>
      </c>
      <c r="E67" s="7" t="n">
        <f aca="false">SUMIFS('Transaction Overview'!$D$2:$D$517,'Transaction Overview'!$I$2:$I$517,$A67,'Transaction Overview'!$H$2:$H$517,E$4)</f>
        <v>0</v>
      </c>
      <c r="F67" s="7" t="n">
        <f aca="false">SUMIFS('Transaction Overview'!$D$2:$D$517,'Transaction Overview'!$I$2:$I$517,$A67,'Transaction Overview'!$H$2:$H$517,F$4)</f>
        <v>-40</v>
      </c>
      <c r="G67" s="7" t="n">
        <f aca="false">SUMIFS('Transaction Overview'!$D$2:$D$517,'Transaction Overview'!$I$2:$I$517,$A67,'Transaction Overview'!$H$2:$H$517,G$4)</f>
        <v>0</v>
      </c>
      <c r="H67" s="7" t="n">
        <f aca="false">SUMIFS('Transaction Overview'!$D$2:$D$517,'Transaction Overview'!$I$2:$I$517,$A67,'Transaction Overview'!$H$2:$H$517,H$4)</f>
        <v>0</v>
      </c>
      <c r="I67" s="7" t="n">
        <f aca="false">SUMIFS('Transaction Overview'!$D$2:$D$517,'Transaction Overview'!$I$2:$I$517,$A67,'Transaction Overview'!$H$2:$H$517,I$4)</f>
        <v>0</v>
      </c>
      <c r="J67" s="7" t="n">
        <f aca="false">SUMIFS('Transaction Overview'!$D$2:$D$517,'Transaction Overview'!$I$2:$I$517,$A67,'Transaction Overview'!$H$2:$H$517,J$4)</f>
        <v>0</v>
      </c>
      <c r="K67" s="7" t="n">
        <f aca="false">SUMIFS('Transaction Overview'!$D$2:$D$517,'Transaction Overview'!$I$2:$I$517,$A67,'Transaction Overview'!$H$2:$H$517,K$4)</f>
        <v>0</v>
      </c>
      <c r="L67" s="7" t="n">
        <f aca="false">SUMIFS('Transaction Overview'!$D$2:$D$517,'Transaction Overview'!$I$2:$I$517,$A67,'Transaction Overview'!$H$2:$H$517,L$4)</f>
        <v>0</v>
      </c>
      <c r="M67" s="7" t="n">
        <f aca="false">SUMIFS('Transaction Overview'!$D$2:$D$517,'Transaction Overview'!$I$2:$I$517,$A67,'Transaction Overview'!$H$2:$H$517,M$4)</f>
        <v>0</v>
      </c>
      <c r="N67" s="7" t="n">
        <f aca="false">SUM(B67:M67)</f>
        <v>-90</v>
      </c>
    </row>
    <row r="68" customFormat="false" ht="15" hidden="false" customHeight="false" outlineLevel="0" collapsed="false">
      <c r="A68" s="9" t="s">
        <v>90</v>
      </c>
    </row>
    <row r="69" customFormat="false" ht="15" hidden="false" customHeight="false" outlineLevel="0" collapsed="false">
      <c r="A69" s="0" t="s">
        <v>91</v>
      </c>
      <c r="B69" s="7" t="n">
        <f aca="false">SUMIFS('Transaction Overview'!$D$2:$D$517,'Transaction Overview'!$I$2:$I$517,$A69,'Transaction Overview'!$H$2:$H$517,B$4)</f>
        <v>0</v>
      </c>
      <c r="C69" s="7" t="n">
        <f aca="false">SUMIFS('Transaction Overview'!$D$2:$D$517,'Transaction Overview'!$I$2:$I$517,$A69,'Transaction Overview'!$H$2:$H$517,C$4)</f>
        <v>0</v>
      </c>
      <c r="D69" s="7" t="n">
        <f aca="false">SUMIFS('Transaction Overview'!$D$2:$D$517,'Transaction Overview'!$I$2:$I$517,$A69,'Transaction Overview'!$H$2:$H$517,D$4)</f>
        <v>0</v>
      </c>
      <c r="E69" s="7" t="n">
        <f aca="false">SUMIFS('Transaction Overview'!$D$2:$D$517,'Transaction Overview'!$I$2:$I$517,$A69,'Transaction Overview'!$H$2:$H$517,E$4)</f>
        <v>0</v>
      </c>
      <c r="F69" s="7" t="n">
        <f aca="false">SUMIFS('Transaction Overview'!$D$2:$D$517,'Transaction Overview'!$I$2:$I$517,$A69,'Transaction Overview'!$H$2:$H$517,F$4)</f>
        <v>-166.74</v>
      </c>
      <c r="G69" s="7" t="n">
        <f aca="false">SUMIFS('Transaction Overview'!$D$2:$D$517,'Transaction Overview'!$I$2:$I$517,$A69,'Transaction Overview'!$H$2:$H$517,G$4)</f>
        <v>0</v>
      </c>
      <c r="H69" s="7" t="n">
        <f aca="false">SUMIFS('Transaction Overview'!$D$2:$D$517,'Transaction Overview'!$I$2:$I$517,$A69,'Transaction Overview'!$H$2:$H$517,H$4)</f>
        <v>0</v>
      </c>
      <c r="I69" s="7" t="n">
        <f aca="false">SUMIFS('Transaction Overview'!$D$2:$D$517,'Transaction Overview'!$I$2:$I$517,$A69,'Transaction Overview'!$H$2:$H$517,I$4)</f>
        <v>0</v>
      </c>
      <c r="J69" s="7" t="n">
        <f aca="false">SUMIFS('Transaction Overview'!$D$2:$D$517,'Transaction Overview'!$I$2:$I$517,$A69,'Transaction Overview'!$H$2:$H$517,J$4)</f>
        <v>0</v>
      </c>
      <c r="K69" s="7" t="n">
        <f aca="false">SUMIFS('Transaction Overview'!$D$2:$D$517,'Transaction Overview'!$I$2:$I$517,$A69,'Transaction Overview'!$H$2:$H$517,K$4)</f>
        <v>0</v>
      </c>
      <c r="L69" s="7" t="n">
        <f aca="false">SUMIFS('Transaction Overview'!$D$2:$D$517,'Transaction Overview'!$I$2:$I$517,$A69,'Transaction Overview'!$H$2:$H$517,L$4)</f>
        <v>0</v>
      </c>
      <c r="M69" s="7" t="n">
        <f aca="false">SUMIFS('Transaction Overview'!$D$2:$D$517,'Transaction Overview'!$I$2:$I$517,$A69,'Transaction Overview'!$H$2:$H$517,M$4)</f>
        <v>0</v>
      </c>
      <c r="N69" s="7" t="n">
        <f aca="false">SUM(B69:M69)</f>
        <v>-166.74</v>
      </c>
    </row>
    <row r="70" customFormat="false" ht="15" hidden="false" customHeight="false" outlineLevel="0" collapsed="false">
      <c r="A70" s="0" t="s">
        <v>92</v>
      </c>
      <c r="B70" s="7" t="n">
        <f aca="false">SUMIFS('Transaction Overview'!$D$2:$D$517,'Transaction Overview'!$I$2:$I$517,$A70,'Transaction Overview'!$H$2:$H$517,B$4)</f>
        <v>0</v>
      </c>
      <c r="C70" s="7" t="n">
        <f aca="false">SUMIFS('Transaction Overview'!$D$2:$D$517,'Transaction Overview'!$I$2:$I$517,$A70,'Transaction Overview'!$H$2:$H$517,C$4)</f>
        <v>0</v>
      </c>
      <c r="D70" s="7" t="n">
        <f aca="false">SUMIFS('Transaction Overview'!$D$2:$D$517,'Transaction Overview'!$I$2:$I$517,$A70,'Transaction Overview'!$H$2:$H$517,D$4)</f>
        <v>0</v>
      </c>
      <c r="E70" s="7" t="n">
        <f aca="false">SUMIFS('Transaction Overview'!$D$2:$D$517,'Transaction Overview'!$I$2:$I$517,$A70,'Transaction Overview'!$H$2:$H$517,E$4)</f>
        <v>-315</v>
      </c>
      <c r="F70" s="7" t="n">
        <f aca="false">SUMIFS('Transaction Overview'!$D$2:$D$517,'Transaction Overview'!$I$2:$I$517,$A70,'Transaction Overview'!$H$2:$H$517,F$4)</f>
        <v>0</v>
      </c>
      <c r="G70" s="7" t="n">
        <f aca="false">SUMIFS('Transaction Overview'!$D$2:$D$517,'Transaction Overview'!$I$2:$I$517,$A70,'Transaction Overview'!$H$2:$H$517,G$4)</f>
        <v>0</v>
      </c>
      <c r="H70" s="7" t="n">
        <f aca="false">SUMIFS('Transaction Overview'!$D$2:$D$517,'Transaction Overview'!$I$2:$I$517,$A70,'Transaction Overview'!$H$2:$H$517,H$4)</f>
        <v>0</v>
      </c>
      <c r="I70" s="7" t="n">
        <f aca="false">SUMIFS('Transaction Overview'!$D$2:$D$517,'Transaction Overview'!$I$2:$I$517,$A70,'Transaction Overview'!$H$2:$H$517,I$4)</f>
        <v>0</v>
      </c>
      <c r="J70" s="7" t="n">
        <f aca="false">SUMIFS('Transaction Overview'!$D$2:$D$517,'Transaction Overview'!$I$2:$I$517,$A70,'Transaction Overview'!$H$2:$H$517,J$4)</f>
        <v>0</v>
      </c>
      <c r="K70" s="7" t="n">
        <f aca="false">SUMIFS('Transaction Overview'!$D$2:$D$517,'Transaction Overview'!$I$2:$I$517,$A70,'Transaction Overview'!$H$2:$H$517,K$4)</f>
        <v>0</v>
      </c>
      <c r="L70" s="7" t="n">
        <f aca="false">SUMIFS('Transaction Overview'!$D$2:$D$517,'Transaction Overview'!$I$2:$I$517,$A70,'Transaction Overview'!$H$2:$H$517,L$4)</f>
        <v>0</v>
      </c>
      <c r="M70" s="7" t="n">
        <f aca="false">SUMIFS('Transaction Overview'!$D$2:$D$517,'Transaction Overview'!$I$2:$I$517,$A70,'Transaction Overview'!$H$2:$H$517,M$4)</f>
        <v>0</v>
      </c>
      <c r="N70" s="7" t="n">
        <f aca="false">SUM(B70:M70)</f>
        <v>-315</v>
      </c>
    </row>
    <row r="71" customFormat="false" ht="15" hidden="false" customHeight="false" outlineLevel="0" collapsed="false">
      <c r="A71" s="9" t="s">
        <v>94</v>
      </c>
    </row>
    <row r="72" customFormat="false" ht="15" hidden="false" customHeight="false" outlineLevel="0" collapsed="false">
      <c r="A72" s="0" t="s">
        <v>95</v>
      </c>
      <c r="B72" s="7" t="n">
        <f aca="false">SUMIFS('Transaction Overview'!$D$2:$D$517,'Transaction Overview'!$I$2:$I$517,$A72,'Transaction Overview'!$H$2:$H$517,B$4)</f>
        <v>-206.63</v>
      </c>
      <c r="C72" s="7" t="n">
        <f aca="false">SUMIFS('Transaction Overview'!$D$2:$D$517,'Transaction Overview'!$I$2:$I$517,$A72,'Transaction Overview'!$H$2:$H$517,C$4)</f>
        <v>0</v>
      </c>
      <c r="D72" s="7" t="n">
        <f aca="false">SUMIFS('Transaction Overview'!$D$2:$D$517,'Transaction Overview'!$I$2:$I$517,$A72,'Transaction Overview'!$H$2:$H$517,D$4)</f>
        <v>-70.84</v>
      </c>
      <c r="E72" s="7" t="n">
        <f aca="false">SUMIFS('Transaction Overview'!$D$2:$D$517,'Transaction Overview'!$I$2:$I$517,$A72,'Transaction Overview'!$H$2:$H$517,E$4)</f>
        <v>-206.63</v>
      </c>
      <c r="F72" s="7" t="n">
        <f aca="false">SUMIFS('Transaction Overview'!$D$2:$D$517,'Transaction Overview'!$I$2:$I$517,$A72,'Transaction Overview'!$H$2:$H$517,F$4)</f>
        <v>-35.42</v>
      </c>
      <c r="G72" s="7" t="n">
        <f aca="false">SUMIFS('Transaction Overview'!$D$2:$D$517,'Transaction Overview'!$I$2:$I$517,$A72,'Transaction Overview'!$H$2:$H$517,G$4)</f>
        <v>0</v>
      </c>
      <c r="H72" s="7" t="n">
        <f aca="false">SUMIFS('Transaction Overview'!$D$2:$D$517,'Transaction Overview'!$I$2:$I$517,$A72,'Transaction Overview'!$H$2:$H$517,H$4)</f>
        <v>0</v>
      </c>
      <c r="I72" s="7" t="n">
        <f aca="false">SUMIFS('Transaction Overview'!$D$2:$D$517,'Transaction Overview'!$I$2:$I$517,$A72,'Transaction Overview'!$H$2:$H$517,I$4)</f>
        <v>0</v>
      </c>
      <c r="J72" s="7" t="n">
        <f aca="false">SUMIFS('Transaction Overview'!$D$2:$D$517,'Transaction Overview'!$I$2:$I$517,$A72,'Transaction Overview'!$H$2:$H$517,J$4)</f>
        <v>0</v>
      </c>
      <c r="K72" s="7" t="n">
        <f aca="false">SUMIFS('Transaction Overview'!$D$2:$D$517,'Transaction Overview'!$I$2:$I$517,$A72,'Transaction Overview'!$H$2:$H$517,K$4)</f>
        <v>0</v>
      </c>
      <c r="L72" s="7" t="n">
        <f aca="false">SUMIFS('Transaction Overview'!$D$2:$D$517,'Transaction Overview'!$I$2:$I$517,$A72,'Transaction Overview'!$H$2:$H$517,L$4)</f>
        <v>0</v>
      </c>
      <c r="M72" s="7" t="n">
        <f aca="false">SUMIFS('Transaction Overview'!$D$2:$D$517,'Transaction Overview'!$I$2:$I$517,$A72,'Transaction Overview'!$H$2:$H$517,M$4)</f>
        <v>0</v>
      </c>
      <c r="N72" s="7" t="n">
        <f aca="false">SUM(B72:M72)</f>
        <v>-519.52</v>
      </c>
    </row>
    <row r="73" customFormat="false" ht="15" hidden="false" customHeight="false" outlineLevel="0" collapsed="false">
      <c r="A73" s="0" t="s">
        <v>96</v>
      </c>
      <c r="B73" s="7" t="n">
        <f aca="false">SUMIFS('Transaction Overview'!$D$2:$D$517,'Transaction Overview'!$I$2:$I$517,$A73,'Transaction Overview'!$H$2:$H$517,B$4)</f>
        <v>0</v>
      </c>
      <c r="C73" s="7" t="n">
        <f aca="false">SUMIFS('Transaction Overview'!$D$2:$D$517,'Transaction Overview'!$I$2:$I$517,$A73,'Transaction Overview'!$H$2:$H$517,C$4)</f>
        <v>0</v>
      </c>
      <c r="D73" s="7" t="n">
        <f aca="false">SUMIFS('Transaction Overview'!$D$2:$D$517,'Transaction Overview'!$I$2:$I$517,$A73,'Transaction Overview'!$H$2:$H$517,D$4)</f>
        <v>0</v>
      </c>
      <c r="E73" s="7" t="n">
        <f aca="false">SUMIFS('Transaction Overview'!$D$2:$D$517,'Transaction Overview'!$I$2:$I$517,$A73,'Transaction Overview'!$H$2:$H$517,E$4)</f>
        <v>-148.55</v>
      </c>
      <c r="F73" s="7" t="n">
        <f aca="false">SUMIFS('Transaction Overview'!$D$2:$D$517,'Transaction Overview'!$I$2:$I$517,$A73,'Transaction Overview'!$H$2:$H$517,F$4)</f>
        <v>0</v>
      </c>
      <c r="G73" s="7" t="n">
        <f aca="false">SUMIFS('Transaction Overview'!$D$2:$D$517,'Transaction Overview'!$I$2:$I$517,$A73,'Transaction Overview'!$H$2:$H$517,G$4)</f>
        <v>0</v>
      </c>
      <c r="H73" s="7" t="n">
        <f aca="false">SUMIFS('Transaction Overview'!$D$2:$D$517,'Transaction Overview'!$I$2:$I$517,$A73,'Transaction Overview'!$H$2:$H$517,H$4)</f>
        <v>0</v>
      </c>
      <c r="I73" s="7" t="n">
        <f aca="false">SUMIFS('Transaction Overview'!$D$2:$D$517,'Transaction Overview'!$I$2:$I$517,$A73,'Transaction Overview'!$H$2:$H$517,I$4)</f>
        <v>0</v>
      </c>
      <c r="J73" s="7" t="n">
        <f aca="false">SUMIFS('Transaction Overview'!$D$2:$D$517,'Transaction Overview'!$I$2:$I$517,$A73,'Transaction Overview'!$H$2:$H$517,J$4)</f>
        <v>0</v>
      </c>
      <c r="K73" s="7" t="n">
        <f aca="false">SUMIFS('Transaction Overview'!$D$2:$D$517,'Transaction Overview'!$I$2:$I$517,$A73,'Transaction Overview'!$H$2:$H$517,K$4)</f>
        <v>0</v>
      </c>
      <c r="L73" s="7" t="n">
        <f aca="false">SUMIFS('Transaction Overview'!$D$2:$D$517,'Transaction Overview'!$I$2:$I$517,$A73,'Transaction Overview'!$H$2:$H$517,L$4)</f>
        <v>0</v>
      </c>
      <c r="M73" s="7" t="n">
        <f aca="false">SUMIFS('Transaction Overview'!$D$2:$D$517,'Transaction Overview'!$I$2:$I$517,$A73,'Transaction Overview'!$H$2:$H$517,M$4)</f>
        <v>0</v>
      </c>
      <c r="N73" s="7" t="n">
        <f aca="false">SUM(B73:M73)</f>
        <v>-148.55</v>
      </c>
    </row>
    <row r="74" customFormat="false" ht="15" hidden="false" customHeight="false" outlineLevel="0" collapsed="false">
      <c r="A74" s="0" t="s">
        <v>97</v>
      </c>
      <c r="B74" s="7" t="n">
        <f aca="false">SUMIFS('Transaction Overview'!$D$2:$D$517,'Transaction Overview'!$I$2:$I$517,$A74,'Transaction Overview'!$H$2:$H$517,B$4)</f>
        <v>-7100</v>
      </c>
      <c r="C74" s="7" t="n">
        <f aca="false">SUMIFS('Transaction Overview'!$D$2:$D$517,'Transaction Overview'!$I$2:$I$517,$A74,'Transaction Overview'!$H$2:$H$517,C$4)</f>
        <v>0</v>
      </c>
      <c r="D74" s="7" t="n">
        <f aca="false">SUMIFS('Transaction Overview'!$D$2:$D$517,'Transaction Overview'!$I$2:$I$517,$A74,'Transaction Overview'!$H$2:$H$517,D$4)</f>
        <v>-14200</v>
      </c>
      <c r="E74" s="7" t="n">
        <f aca="false">SUMIFS('Transaction Overview'!$D$2:$D$517,'Transaction Overview'!$I$2:$I$517,$A74,'Transaction Overview'!$H$2:$H$517,E$4)</f>
        <v>0</v>
      </c>
      <c r="F74" s="7" t="n">
        <f aca="false">SUMIFS('Transaction Overview'!$D$2:$D$517,'Transaction Overview'!$I$2:$I$517,$A74,'Transaction Overview'!$H$2:$H$517,F$4)</f>
        <v>-7100</v>
      </c>
      <c r="G74" s="7" t="n">
        <f aca="false">SUMIFS('Transaction Overview'!$D$2:$D$517,'Transaction Overview'!$I$2:$I$517,$A74,'Transaction Overview'!$H$2:$H$517,G$4)</f>
        <v>0</v>
      </c>
      <c r="H74" s="7" t="n">
        <f aca="false">SUMIFS('Transaction Overview'!$D$2:$D$517,'Transaction Overview'!$I$2:$I$517,$A74,'Transaction Overview'!$H$2:$H$517,H$4)</f>
        <v>0</v>
      </c>
      <c r="I74" s="7" t="n">
        <f aca="false">SUMIFS('Transaction Overview'!$D$2:$D$517,'Transaction Overview'!$I$2:$I$517,$A74,'Transaction Overview'!$H$2:$H$517,I$4)</f>
        <v>0</v>
      </c>
      <c r="J74" s="7" t="n">
        <f aca="false">SUMIFS('Transaction Overview'!$D$2:$D$517,'Transaction Overview'!$I$2:$I$517,$A74,'Transaction Overview'!$H$2:$H$517,J$4)</f>
        <v>0</v>
      </c>
      <c r="K74" s="7" t="n">
        <f aca="false">SUMIFS('Transaction Overview'!$D$2:$D$517,'Transaction Overview'!$I$2:$I$517,$A74,'Transaction Overview'!$H$2:$H$517,K$4)</f>
        <v>0</v>
      </c>
      <c r="L74" s="7" t="n">
        <f aca="false">SUMIFS('Transaction Overview'!$D$2:$D$517,'Transaction Overview'!$I$2:$I$517,$A74,'Transaction Overview'!$H$2:$H$517,L$4)</f>
        <v>0</v>
      </c>
      <c r="M74" s="7" t="n">
        <f aca="false">SUMIFS('Transaction Overview'!$D$2:$D$517,'Transaction Overview'!$I$2:$I$517,$A74,'Transaction Overview'!$H$2:$H$517,M$4)</f>
        <v>0</v>
      </c>
      <c r="N74" s="7" t="n">
        <f aca="false">SUM(B74:M74)</f>
        <v>-28400</v>
      </c>
    </row>
    <row r="75" customFormat="false" ht="15" hidden="false" customHeight="false" outlineLevel="0" collapsed="false">
      <c r="A75" s="0" t="s">
        <v>98</v>
      </c>
      <c r="B75" s="7" t="n">
        <f aca="false">SUMIFS('Transaction Overview'!$D$2:$D$517,'Transaction Overview'!$I$2:$I$517,$A75,'Transaction Overview'!$H$2:$H$517,B$4)</f>
        <v>-6625.98</v>
      </c>
      <c r="C75" s="7" t="n">
        <f aca="false">SUMIFS('Transaction Overview'!$D$2:$D$517,'Transaction Overview'!$I$2:$I$517,$A75,'Transaction Overview'!$H$2:$H$517,C$4)</f>
        <v>-2766.93</v>
      </c>
      <c r="D75" s="7" t="n">
        <f aca="false">SUMIFS('Transaction Overview'!$D$2:$D$517,'Transaction Overview'!$I$2:$I$517,$A75,'Transaction Overview'!$H$2:$H$517,D$4)</f>
        <v>-8425.2</v>
      </c>
      <c r="E75" s="7" t="n">
        <f aca="false">SUMIFS('Transaction Overview'!$D$2:$D$517,'Transaction Overview'!$I$2:$I$517,$A75,'Transaction Overview'!$H$2:$H$517,E$4)</f>
        <v>-1240.27</v>
      </c>
      <c r="F75" s="7" t="n">
        <f aca="false">SUMIFS('Transaction Overview'!$D$2:$D$517,'Transaction Overview'!$I$2:$I$517,$A75,'Transaction Overview'!$H$2:$H$517,F$4)</f>
        <v>-7120.8</v>
      </c>
      <c r="G75" s="7" t="n">
        <f aca="false">SUMIFS('Transaction Overview'!$D$2:$D$517,'Transaction Overview'!$I$2:$I$517,$A75,'Transaction Overview'!$H$2:$H$517,G$4)</f>
        <v>-1124.22</v>
      </c>
      <c r="H75" s="7" t="n">
        <f aca="false">SUMIFS('Transaction Overview'!$D$2:$D$517,'Transaction Overview'!$I$2:$I$517,$A75,'Transaction Overview'!$H$2:$H$517,H$4)</f>
        <v>0</v>
      </c>
      <c r="I75" s="7" t="n">
        <f aca="false">SUMIFS('Transaction Overview'!$D$2:$D$517,'Transaction Overview'!$I$2:$I$517,$A75,'Transaction Overview'!$H$2:$H$517,I$4)</f>
        <v>0</v>
      </c>
      <c r="J75" s="7" t="n">
        <f aca="false">SUMIFS('Transaction Overview'!$D$2:$D$517,'Transaction Overview'!$I$2:$I$517,$A75,'Transaction Overview'!$H$2:$H$517,J$4)</f>
        <v>0</v>
      </c>
      <c r="K75" s="7" t="n">
        <f aca="false">SUMIFS('Transaction Overview'!$D$2:$D$517,'Transaction Overview'!$I$2:$I$517,$A75,'Transaction Overview'!$H$2:$H$517,K$4)</f>
        <v>0</v>
      </c>
      <c r="L75" s="7" t="n">
        <f aca="false">SUMIFS('Transaction Overview'!$D$2:$D$517,'Transaction Overview'!$I$2:$I$517,$A75,'Transaction Overview'!$H$2:$H$517,L$4)</f>
        <v>0</v>
      </c>
      <c r="M75" s="7" t="n">
        <f aca="false">SUMIFS('Transaction Overview'!$D$2:$D$517,'Transaction Overview'!$I$2:$I$517,$A75,'Transaction Overview'!$H$2:$H$517,M$4)</f>
        <v>0</v>
      </c>
      <c r="N75" s="7" t="n">
        <f aca="false">SUM(B75:M75)</f>
        <v>-27303.4</v>
      </c>
    </row>
    <row r="76" customFormat="false" ht="15" hidden="false" customHeight="false" outlineLevel="0" collapsed="false">
      <c r="A76" s="0" t="s">
        <v>99</v>
      </c>
      <c r="B76" s="7" t="n">
        <f aca="false">SUMIFS('Transaction Overview'!$D$2:$D$517,'Transaction Overview'!$I$2:$I$517,$A76,'Transaction Overview'!$H$2:$H$517,B$4)</f>
        <v>0</v>
      </c>
      <c r="C76" s="7" t="n">
        <f aca="false">SUMIFS('Transaction Overview'!$D$2:$D$517,'Transaction Overview'!$I$2:$I$517,$A76,'Transaction Overview'!$H$2:$H$517,C$4)</f>
        <v>0</v>
      </c>
      <c r="D76" s="7" t="n">
        <f aca="false">SUMIFS('Transaction Overview'!$D$2:$D$517,'Transaction Overview'!$I$2:$I$517,$A76,'Transaction Overview'!$H$2:$H$517,D$4)</f>
        <v>0</v>
      </c>
      <c r="E76" s="7" t="n">
        <f aca="false">SUMIFS('Transaction Overview'!$D$2:$D$517,'Transaction Overview'!$I$2:$I$517,$A76,'Transaction Overview'!$H$2:$H$517,E$4)</f>
        <v>-36.67</v>
      </c>
      <c r="F76" s="7" t="n">
        <f aca="false">SUMIFS('Transaction Overview'!$D$2:$D$517,'Transaction Overview'!$I$2:$I$517,$A76,'Transaction Overview'!$H$2:$H$517,F$4)</f>
        <v>-5.32</v>
      </c>
      <c r="G76" s="7" t="n">
        <f aca="false">SUMIFS('Transaction Overview'!$D$2:$D$517,'Transaction Overview'!$I$2:$I$517,$A76,'Transaction Overview'!$H$2:$H$517,G$4)</f>
        <v>0</v>
      </c>
      <c r="H76" s="7" t="n">
        <f aca="false">SUMIFS('Transaction Overview'!$D$2:$D$517,'Transaction Overview'!$I$2:$I$517,$A76,'Transaction Overview'!$H$2:$H$517,H$4)</f>
        <v>0</v>
      </c>
      <c r="I76" s="7" t="n">
        <f aca="false">SUMIFS('Transaction Overview'!$D$2:$D$517,'Transaction Overview'!$I$2:$I$517,$A76,'Transaction Overview'!$H$2:$H$517,I$4)</f>
        <v>0</v>
      </c>
      <c r="J76" s="7" t="n">
        <f aca="false">SUMIFS('Transaction Overview'!$D$2:$D$517,'Transaction Overview'!$I$2:$I$517,$A76,'Transaction Overview'!$H$2:$H$517,J$4)</f>
        <v>0</v>
      </c>
      <c r="K76" s="7" t="n">
        <f aca="false">SUMIFS('Transaction Overview'!$D$2:$D$517,'Transaction Overview'!$I$2:$I$517,$A76,'Transaction Overview'!$H$2:$H$517,K$4)</f>
        <v>0</v>
      </c>
      <c r="L76" s="7" t="n">
        <f aca="false">SUMIFS('Transaction Overview'!$D$2:$D$517,'Transaction Overview'!$I$2:$I$517,$A76,'Transaction Overview'!$H$2:$H$517,L$4)</f>
        <v>0</v>
      </c>
      <c r="M76" s="7" t="n">
        <f aca="false">SUMIFS('Transaction Overview'!$D$2:$D$517,'Transaction Overview'!$I$2:$I$517,$A76,'Transaction Overview'!$H$2:$H$517,M$4)</f>
        <v>0</v>
      </c>
      <c r="N76" s="7" t="n">
        <f aca="false">SUM(B76:M76)</f>
        <v>-41.99</v>
      </c>
    </row>
    <row r="77" customFormat="false" ht="15" hidden="false" customHeight="false" outlineLevel="0" collapsed="false">
      <c r="A77" s="0" t="s">
        <v>100</v>
      </c>
      <c r="B77" s="7" t="n">
        <f aca="false">SUMIFS('Transaction Overview'!$D$2:$D$517,'Transaction Overview'!$I$2:$I$517,$A77,'Transaction Overview'!$H$2:$H$517,B$4)</f>
        <v>-2680.47</v>
      </c>
      <c r="C77" s="7" t="n">
        <f aca="false">SUMIFS('Transaction Overview'!$D$2:$D$517,'Transaction Overview'!$I$2:$I$517,$A77,'Transaction Overview'!$H$2:$H$517,C$4)</f>
        <v>-2268.26</v>
      </c>
      <c r="D77" s="7" t="n">
        <f aca="false">SUMIFS('Transaction Overview'!$D$2:$D$517,'Transaction Overview'!$I$2:$I$517,$A77,'Transaction Overview'!$H$2:$H$517,D$4)</f>
        <v>-3561.69</v>
      </c>
      <c r="E77" s="7" t="n">
        <f aca="false">SUMIFS('Transaction Overview'!$D$2:$D$517,'Transaction Overview'!$I$2:$I$517,$A77,'Transaction Overview'!$H$2:$H$517,E$4)</f>
        <v>-1333.85</v>
      </c>
      <c r="F77" s="7" t="n">
        <f aca="false">SUMIFS('Transaction Overview'!$D$2:$D$517,'Transaction Overview'!$I$2:$I$517,$A77,'Transaction Overview'!$H$2:$H$517,F$4)</f>
        <v>-2268.27</v>
      </c>
      <c r="G77" s="7" t="n">
        <f aca="false">SUMIFS('Transaction Overview'!$D$2:$D$517,'Transaction Overview'!$I$2:$I$517,$A77,'Transaction Overview'!$H$2:$H$517,G$4)</f>
        <v>-2268.27</v>
      </c>
      <c r="H77" s="7" t="n">
        <f aca="false">SUMIFS('Transaction Overview'!$D$2:$D$517,'Transaction Overview'!$I$2:$I$517,$A77,'Transaction Overview'!$H$2:$H$517,H$4)</f>
        <v>0</v>
      </c>
      <c r="I77" s="7" t="n">
        <f aca="false">SUMIFS('Transaction Overview'!$D$2:$D$517,'Transaction Overview'!$I$2:$I$517,$A77,'Transaction Overview'!$H$2:$H$517,I$4)</f>
        <v>0</v>
      </c>
      <c r="J77" s="7" t="n">
        <f aca="false">SUMIFS('Transaction Overview'!$D$2:$D$517,'Transaction Overview'!$I$2:$I$517,$A77,'Transaction Overview'!$H$2:$H$517,J$4)</f>
        <v>0</v>
      </c>
      <c r="K77" s="7" t="n">
        <f aca="false">SUMIFS('Transaction Overview'!$D$2:$D$517,'Transaction Overview'!$I$2:$I$517,$A77,'Transaction Overview'!$H$2:$H$517,K$4)</f>
        <v>0</v>
      </c>
      <c r="L77" s="7" t="n">
        <f aca="false">SUMIFS('Transaction Overview'!$D$2:$D$517,'Transaction Overview'!$I$2:$I$517,$A77,'Transaction Overview'!$H$2:$H$517,L$4)</f>
        <v>0</v>
      </c>
      <c r="M77" s="7" t="n">
        <f aca="false">SUMIFS('Transaction Overview'!$D$2:$D$517,'Transaction Overview'!$I$2:$I$517,$A77,'Transaction Overview'!$H$2:$H$517,M$4)</f>
        <v>0</v>
      </c>
      <c r="N77" s="7" t="n">
        <f aca="false">SUM(B77:M77)</f>
        <v>-14380.81</v>
      </c>
    </row>
    <row r="78" customFormat="false" ht="15" hidden="false" customHeight="false" outlineLevel="0" collapsed="false">
      <c r="A78" s="0" t="s">
        <v>101</v>
      </c>
      <c r="B78" s="7" t="n">
        <f aca="false">SUMIFS('Transaction Overview'!$D$2:$D$517,'Transaction Overview'!$I$2:$I$517,$A78,'Transaction Overview'!$H$2:$H$517,B$4)</f>
        <v>0</v>
      </c>
      <c r="C78" s="7" t="n">
        <f aca="false">SUMIFS('Transaction Overview'!$D$2:$D$517,'Transaction Overview'!$I$2:$I$517,$A78,'Transaction Overview'!$H$2:$H$517,C$4)</f>
        <v>0</v>
      </c>
      <c r="D78" s="7" t="n">
        <f aca="false">SUMIFS('Transaction Overview'!$D$2:$D$517,'Transaction Overview'!$I$2:$I$517,$A78,'Transaction Overview'!$H$2:$H$517,D$4)</f>
        <v>-100</v>
      </c>
      <c r="E78" s="7" t="n">
        <f aca="false">SUMIFS('Transaction Overview'!$D$2:$D$517,'Transaction Overview'!$I$2:$I$517,$A78,'Transaction Overview'!$H$2:$H$517,E$4)</f>
        <v>-103.2</v>
      </c>
      <c r="F78" s="7" t="n">
        <f aca="false">SUMIFS('Transaction Overview'!$D$2:$D$517,'Transaction Overview'!$I$2:$I$517,$A78,'Transaction Overview'!$H$2:$H$517,F$4)</f>
        <v>0</v>
      </c>
      <c r="G78" s="7" t="n">
        <f aca="false">SUMIFS('Transaction Overview'!$D$2:$D$517,'Transaction Overview'!$I$2:$I$517,$A78,'Transaction Overview'!$H$2:$H$517,G$4)</f>
        <v>0</v>
      </c>
      <c r="H78" s="7" t="n">
        <f aca="false">SUMIFS('Transaction Overview'!$D$2:$D$517,'Transaction Overview'!$I$2:$I$517,$A78,'Transaction Overview'!$H$2:$H$517,H$4)</f>
        <v>0</v>
      </c>
      <c r="I78" s="7" t="n">
        <f aca="false">SUMIFS('Transaction Overview'!$D$2:$D$517,'Transaction Overview'!$I$2:$I$517,$A78,'Transaction Overview'!$H$2:$H$517,I$4)</f>
        <v>0</v>
      </c>
      <c r="J78" s="7" t="n">
        <f aca="false">SUMIFS('Transaction Overview'!$D$2:$D$517,'Transaction Overview'!$I$2:$I$517,$A78,'Transaction Overview'!$H$2:$H$517,J$4)</f>
        <v>0</v>
      </c>
      <c r="K78" s="7" t="n">
        <f aca="false">SUMIFS('Transaction Overview'!$D$2:$D$517,'Transaction Overview'!$I$2:$I$517,$A78,'Transaction Overview'!$H$2:$H$517,K$4)</f>
        <v>0</v>
      </c>
      <c r="L78" s="7" t="n">
        <f aca="false">SUMIFS('Transaction Overview'!$D$2:$D$517,'Transaction Overview'!$I$2:$I$517,$A78,'Transaction Overview'!$H$2:$H$517,L$4)</f>
        <v>0</v>
      </c>
      <c r="M78" s="7" t="n">
        <f aca="false">SUMIFS('Transaction Overview'!$D$2:$D$517,'Transaction Overview'!$I$2:$I$517,$A78,'Transaction Overview'!$H$2:$H$517,M$4)</f>
        <v>0</v>
      </c>
      <c r="N78" s="7" t="n">
        <f aca="false">SUM(B78:M78)</f>
        <v>-203.2</v>
      </c>
    </row>
    <row r="79" customFormat="false" ht="15" hidden="false" customHeight="false" outlineLevel="0" collapsed="false">
      <c r="A79" s="0" t="s">
        <v>102</v>
      </c>
      <c r="B79" s="7" t="n">
        <f aca="false">SUMIFS('Transaction Overview'!$D$2:$D$517,'Transaction Overview'!$I$2:$I$517,$A79,'Transaction Overview'!$H$2:$H$517,B$4)</f>
        <v>-95.43</v>
      </c>
      <c r="C79" s="7" t="n">
        <f aca="false">SUMIFS('Transaction Overview'!$D$2:$D$517,'Transaction Overview'!$I$2:$I$517,$A79,'Transaction Overview'!$H$2:$H$517,C$4)</f>
        <v>-96.43</v>
      </c>
      <c r="D79" s="7" t="n">
        <f aca="false">SUMIFS('Transaction Overview'!$D$2:$D$517,'Transaction Overview'!$I$2:$I$517,$A79,'Transaction Overview'!$H$2:$H$517,D$4)</f>
        <v>-96.43</v>
      </c>
      <c r="E79" s="7" t="n">
        <f aca="false">SUMIFS('Transaction Overview'!$D$2:$D$517,'Transaction Overview'!$I$2:$I$517,$A79,'Transaction Overview'!$H$2:$H$517,E$4)</f>
        <v>-97.43</v>
      </c>
      <c r="F79" s="7" t="n">
        <f aca="false">SUMIFS('Transaction Overview'!$D$2:$D$517,'Transaction Overview'!$I$2:$I$517,$A79,'Transaction Overview'!$H$2:$H$517,F$4)</f>
        <v>-38.46</v>
      </c>
      <c r="G79" s="7" t="n">
        <f aca="false">SUMIFS('Transaction Overview'!$D$2:$D$517,'Transaction Overview'!$I$2:$I$517,$A79,'Transaction Overview'!$H$2:$H$517,G$4)</f>
        <v>0</v>
      </c>
      <c r="H79" s="7" t="n">
        <f aca="false">SUMIFS('Transaction Overview'!$D$2:$D$517,'Transaction Overview'!$I$2:$I$517,$A79,'Transaction Overview'!$H$2:$H$517,H$4)</f>
        <v>0</v>
      </c>
      <c r="I79" s="7" t="n">
        <f aca="false">SUMIFS('Transaction Overview'!$D$2:$D$517,'Transaction Overview'!$I$2:$I$517,$A79,'Transaction Overview'!$H$2:$H$517,I$4)</f>
        <v>0</v>
      </c>
      <c r="J79" s="7" t="n">
        <f aca="false">SUMIFS('Transaction Overview'!$D$2:$D$517,'Transaction Overview'!$I$2:$I$517,$A79,'Transaction Overview'!$H$2:$H$517,J$4)</f>
        <v>0</v>
      </c>
      <c r="K79" s="7" t="n">
        <f aca="false">SUMIFS('Transaction Overview'!$D$2:$D$517,'Transaction Overview'!$I$2:$I$517,$A79,'Transaction Overview'!$H$2:$H$517,K$4)</f>
        <v>0</v>
      </c>
      <c r="L79" s="7" t="n">
        <f aca="false">SUMIFS('Transaction Overview'!$D$2:$D$517,'Transaction Overview'!$I$2:$I$517,$A79,'Transaction Overview'!$H$2:$H$517,L$4)</f>
        <v>0</v>
      </c>
      <c r="M79" s="7" t="n">
        <f aca="false">SUMIFS('Transaction Overview'!$D$2:$D$517,'Transaction Overview'!$I$2:$I$517,$A79,'Transaction Overview'!$H$2:$H$517,M$4)</f>
        <v>0</v>
      </c>
      <c r="N79" s="7" t="n">
        <f aca="false">SUM(B79:M79)</f>
        <v>-424.18</v>
      </c>
    </row>
    <row r="80" customFormat="false" ht="15" hidden="false" customHeight="false" outlineLevel="0" collapsed="false">
      <c r="A80" s="0" t="s">
        <v>103</v>
      </c>
      <c r="B80" s="7" t="n">
        <f aca="false">SUMIFS('Transaction Overview'!$D$2:$D$517,'Transaction Overview'!$I$2:$I$517,$A80,'Transaction Overview'!$H$2:$H$517,B$4)</f>
        <v>0</v>
      </c>
      <c r="C80" s="7" t="n">
        <f aca="false">SUMIFS('Transaction Overview'!$D$2:$D$517,'Transaction Overview'!$I$2:$I$517,$A80,'Transaction Overview'!$H$2:$H$517,C$4)</f>
        <v>0</v>
      </c>
      <c r="D80" s="7" t="n">
        <f aca="false">SUMIFS('Transaction Overview'!$D$2:$D$517,'Transaction Overview'!$I$2:$I$517,$A80,'Transaction Overview'!$H$2:$H$517,D$4)</f>
        <v>0</v>
      </c>
      <c r="E80" s="7" t="n">
        <f aca="false">SUMIFS('Transaction Overview'!$D$2:$D$517,'Transaction Overview'!$I$2:$I$517,$A80,'Transaction Overview'!$H$2:$H$517,E$4)</f>
        <v>-238.53</v>
      </c>
      <c r="F80" s="7" t="n">
        <f aca="false">SUMIFS('Transaction Overview'!$D$2:$D$517,'Transaction Overview'!$I$2:$I$517,$A80,'Transaction Overview'!$H$2:$H$517,F$4)</f>
        <v>-252.8</v>
      </c>
      <c r="G80" s="7" t="n">
        <f aca="false">SUMIFS('Transaction Overview'!$D$2:$D$517,'Transaction Overview'!$I$2:$I$517,$A80,'Transaction Overview'!$H$2:$H$517,G$4)</f>
        <v>-537</v>
      </c>
      <c r="H80" s="7" t="n">
        <f aca="false">SUMIFS('Transaction Overview'!$D$2:$D$517,'Transaction Overview'!$I$2:$I$517,$A80,'Transaction Overview'!$H$2:$H$517,H$4)</f>
        <v>0</v>
      </c>
      <c r="I80" s="7" t="n">
        <f aca="false">SUMIFS('Transaction Overview'!$D$2:$D$517,'Transaction Overview'!$I$2:$I$517,$A80,'Transaction Overview'!$H$2:$H$517,I$4)</f>
        <v>0</v>
      </c>
      <c r="J80" s="7" t="n">
        <f aca="false">SUMIFS('Transaction Overview'!$D$2:$D$517,'Transaction Overview'!$I$2:$I$517,$A80,'Transaction Overview'!$H$2:$H$517,J$4)</f>
        <v>0</v>
      </c>
      <c r="K80" s="7" t="n">
        <f aca="false">SUMIFS('Transaction Overview'!$D$2:$D$517,'Transaction Overview'!$I$2:$I$517,$A80,'Transaction Overview'!$H$2:$H$517,K$4)</f>
        <v>0</v>
      </c>
      <c r="L80" s="7" t="n">
        <f aca="false">SUMIFS('Transaction Overview'!$D$2:$D$517,'Transaction Overview'!$I$2:$I$517,$A80,'Transaction Overview'!$H$2:$H$517,L$4)</f>
        <v>0</v>
      </c>
      <c r="M80" s="7" t="n">
        <f aca="false">SUMIFS('Transaction Overview'!$D$2:$D$517,'Transaction Overview'!$I$2:$I$517,$A80,'Transaction Overview'!$H$2:$H$517,M$4)</f>
        <v>0</v>
      </c>
      <c r="N80" s="7" t="n">
        <f aca="false">SUM(B80:M80)</f>
        <v>-1028.33</v>
      </c>
    </row>
    <row r="81" customFormat="false" ht="15" hidden="false" customHeight="false" outlineLevel="0" collapsed="false">
      <c r="A81" s="9" t="s">
        <v>105</v>
      </c>
    </row>
    <row r="82" customFormat="false" ht="15" hidden="false" customHeight="false" outlineLevel="0" collapsed="false">
      <c r="A82" s="0" t="s">
        <v>106</v>
      </c>
      <c r="B82" s="7" t="n">
        <f aca="false">SUMIFS('Transaction Overview'!$D$2:$D$517,'Transaction Overview'!$I$2:$I$517,$A82,'Transaction Overview'!$H$2:$H$517,B$4)</f>
        <v>0</v>
      </c>
      <c r="C82" s="7" t="n">
        <f aca="false">SUMIFS('Transaction Overview'!$D$2:$D$517,'Transaction Overview'!$I$2:$I$517,$A82,'Transaction Overview'!$H$2:$H$517,C$4)</f>
        <v>1688.08</v>
      </c>
      <c r="D82" s="7" t="n">
        <f aca="false">SUMIFS('Transaction Overview'!$D$2:$D$517,'Transaction Overview'!$I$2:$I$517,$A82,'Transaction Overview'!$H$2:$H$517,D$4)</f>
        <v>0</v>
      </c>
      <c r="E82" s="7" t="n">
        <f aca="false">SUMIFS('Transaction Overview'!$D$2:$D$517,'Transaction Overview'!$I$2:$I$517,$A82,'Transaction Overview'!$H$2:$H$517,E$4)</f>
        <v>0</v>
      </c>
      <c r="F82" s="7" t="n">
        <f aca="false">SUMIFS('Transaction Overview'!$D$2:$D$517,'Transaction Overview'!$I$2:$I$517,$A82,'Transaction Overview'!$H$2:$H$517,F$4)</f>
        <v>0</v>
      </c>
      <c r="G82" s="7" t="n">
        <f aca="false">SUMIFS('Transaction Overview'!$D$2:$D$517,'Transaction Overview'!$I$2:$I$517,$A82,'Transaction Overview'!$H$2:$H$517,G$4)</f>
        <v>0</v>
      </c>
      <c r="H82" s="7" t="n">
        <f aca="false">SUMIFS('Transaction Overview'!$D$2:$D$517,'Transaction Overview'!$I$2:$I$517,$A82,'Transaction Overview'!$H$2:$H$517,H$4)</f>
        <v>0</v>
      </c>
      <c r="I82" s="7" t="n">
        <f aca="false">SUMIFS('Transaction Overview'!$D$2:$D$517,'Transaction Overview'!$I$2:$I$517,$A82,'Transaction Overview'!$H$2:$H$517,I$4)</f>
        <v>0</v>
      </c>
      <c r="J82" s="7" t="n">
        <f aca="false">SUMIFS('Transaction Overview'!$D$2:$D$517,'Transaction Overview'!$I$2:$I$517,$A82,'Transaction Overview'!$H$2:$H$517,J$4)</f>
        <v>0</v>
      </c>
      <c r="K82" s="7" t="n">
        <f aca="false">SUMIFS('Transaction Overview'!$D$2:$D$517,'Transaction Overview'!$I$2:$I$517,$A82,'Transaction Overview'!$H$2:$H$517,K$4)</f>
        <v>0</v>
      </c>
      <c r="L82" s="7" t="n">
        <f aca="false">SUMIFS('Transaction Overview'!$D$2:$D$517,'Transaction Overview'!$I$2:$I$517,$A82,'Transaction Overview'!$H$2:$H$517,L$4)</f>
        <v>0</v>
      </c>
      <c r="M82" s="7" t="n">
        <f aca="false">SUMIFS('Transaction Overview'!$D$2:$D$517,'Transaction Overview'!$I$2:$I$517,$A82,'Transaction Overview'!$H$2:$H$517,M$4)</f>
        <v>0</v>
      </c>
      <c r="N82" s="7" t="n">
        <f aca="false">SUM(B82:M82)</f>
        <v>1688.08</v>
      </c>
    </row>
    <row r="83" customFormat="false" ht="15" hidden="false" customHeight="false" outlineLevel="0" collapsed="false">
      <c r="A83" s="9" t="s">
        <v>108</v>
      </c>
    </row>
    <row r="84" customFormat="false" ht="15" hidden="false" customHeight="false" outlineLevel="0" collapsed="false">
      <c r="A84" s="0" t="s">
        <v>109</v>
      </c>
      <c r="B84" s="7" t="n">
        <f aca="false">SUMIFS('Transaction Overview'!$D$2:$D$517,'Transaction Overview'!$I$2:$I$517,$A84,'Transaction Overview'!$H$2:$H$517,B$4)</f>
        <v>-331.54</v>
      </c>
      <c r="C84" s="7" t="n">
        <f aca="false">SUMIFS('Transaction Overview'!$D$2:$D$517,'Transaction Overview'!$I$2:$I$517,$A84,'Transaction Overview'!$H$2:$H$517,C$4)</f>
        <v>-331.54</v>
      </c>
      <c r="D84" s="7" t="n">
        <f aca="false">SUMIFS('Transaction Overview'!$D$2:$D$517,'Transaction Overview'!$I$2:$I$517,$A84,'Transaction Overview'!$H$2:$H$517,D$4)</f>
        <v>-1811.09</v>
      </c>
      <c r="E84" s="7" t="n">
        <f aca="false">SUMIFS('Transaction Overview'!$D$2:$D$517,'Transaction Overview'!$I$2:$I$517,$A84,'Transaction Overview'!$H$2:$H$517,E$4)</f>
        <v>0</v>
      </c>
      <c r="F84" s="7" t="n">
        <f aca="false">SUMIFS('Transaction Overview'!$D$2:$D$517,'Transaction Overview'!$I$2:$I$517,$A84,'Transaction Overview'!$H$2:$H$517,F$4)</f>
        <v>-331.54</v>
      </c>
      <c r="G84" s="7" t="n">
        <f aca="false">SUMIFS('Transaction Overview'!$D$2:$D$517,'Transaction Overview'!$I$2:$I$517,$A84,'Transaction Overview'!$H$2:$H$517,G$4)</f>
        <v>0</v>
      </c>
      <c r="H84" s="7" t="n">
        <f aca="false">SUMIFS('Transaction Overview'!$D$2:$D$517,'Transaction Overview'!$I$2:$I$517,$A84,'Transaction Overview'!$H$2:$H$517,H$4)</f>
        <v>0</v>
      </c>
      <c r="I84" s="7" t="n">
        <f aca="false">SUMIFS('Transaction Overview'!$D$2:$D$517,'Transaction Overview'!$I$2:$I$517,$A84,'Transaction Overview'!$H$2:$H$517,I$4)</f>
        <v>0</v>
      </c>
      <c r="J84" s="7" t="n">
        <f aca="false">SUMIFS('Transaction Overview'!$D$2:$D$517,'Transaction Overview'!$I$2:$I$517,$A84,'Transaction Overview'!$H$2:$H$517,J$4)</f>
        <v>0</v>
      </c>
      <c r="K84" s="7" t="n">
        <f aca="false">SUMIFS('Transaction Overview'!$D$2:$D$517,'Transaction Overview'!$I$2:$I$517,$A84,'Transaction Overview'!$H$2:$H$517,K$4)</f>
        <v>0</v>
      </c>
      <c r="L84" s="7" t="n">
        <f aca="false">SUMIFS('Transaction Overview'!$D$2:$D$517,'Transaction Overview'!$I$2:$I$517,$A84,'Transaction Overview'!$H$2:$H$517,L$4)</f>
        <v>0</v>
      </c>
      <c r="M84" s="7" t="n">
        <f aca="false">SUMIFS('Transaction Overview'!$D$2:$D$517,'Transaction Overview'!$I$2:$I$517,$A84,'Transaction Overview'!$H$2:$H$517,M$4)</f>
        <v>0</v>
      </c>
      <c r="N84" s="7" t="n">
        <f aca="false">SUM(B84:M84)</f>
        <v>-2805.71</v>
      </c>
    </row>
    <row r="85" customFormat="false" ht="15" hidden="false" customHeight="false" outlineLevel="0" collapsed="false">
      <c r="A85" s="0" t="s">
        <v>110</v>
      </c>
      <c r="B85" s="7" t="n">
        <f aca="false">SUMIFS('Transaction Overview'!$D$2:$D$517,'Transaction Overview'!$I$2:$I$517,$A85,'Transaction Overview'!$H$2:$H$517,B$4)</f>
        <v>0</v>
      </c>
      <c r="C85" s="7" t="n">
        <f aca="false">SUMIFS('Transaction Overview'!$D$2:$D$517,'Transaction Overview'!$I$2:$I$517,$A85,'Transaction Overview'!$H$2:$H$517,C$4)</f>
        <v>0</v>
      </c>
      <c r="D85" s="7" t="n">
        <f aca="false">SUMIFS('Transaction Overview'!$D$2:$D$517,'Transaction Overview'!$I$2:$I$517,$A85,'Transaction Overview'!$H$2:$H$517,D$4)</f>
        <v>0</v>
      </c>
      <c r="E85" s="7" t="n">
        <f aca="false">SUMIFS('Transaction Overview'!$D$2:$D$517,'Transaction Overview'!$I$2:$I$517,$A85,'Transaction Overview'!$H$2:$H$517,E$4)</f>
        <v>-103.95</v>
      </c>
      <c r="F85" s="7" t="n">
        <f aca="false">SUMIFS('Transaction Overview'!$D$2:$D$517,'Transaction Overview'!$I$2:$I$517,$A85,'Transaction Overview'!$H$2:$H$517,F$4)</f>
        <v>0</v>
      </c>
      <c r="G85" s="7" t="n">
        <f aca="false">SUMIFS('Transaction Overview'!$D$2:$D$517,'Transaction Overview'!$I$2:$I$517,$A85,'Transaction Overview'!$H$2:$H$517,G$4)</f>
        <v>0</v>
      </c>
      <c r="H85" s="7" t="n">
        <f aca="false">SUMIFS('Transaction Overview'!$D$2:$D$517,'Transaction Overview'!$I$2:$I$517,$A85,'Transaction Overview'!$H$2:$H$517,H$4)</f>
        <v>0</v>
      </c>
      <c r="I85" s="7" t="n">
        <f aca="false">SUMIFS('Transaction Overview'!$D$2:$D$517,'Transaction Overview'!$I$2:$I$517,$A85,'Transaction Overview'!$H$2:$H$517,I$4)</f>
        <v>0</v>
      </c>
      <c r="J85" s="7" t="n">
        <f aca="false">SUMIFS('Transaction Overview'!$D$2:$D$517,'Transaction Overview'!$I$2:$I$517,$A85,'Transaction Overview'!$H$2:$H$517,J$4)</f>
        <v>0</v>
      </c>
      <c r="K85" s="7" t="n">
        <f aca="false">SUMIFS('Transaction Overview'!$D$2:$D$517,'Transaction Overview'!$I$2:$I$517,$A85,'Transaction Overview'!$H$2:$H$517,K$4)</f>
        <v>0</v>
      </c>
      <c r="L85" s="7" t="n">
        <f aca="false">SUMIFS('Transaction Overview'!$D$2:$D$517,'Transaction Overview'!$I$2:$I$517,$A85,'Transaction Overview'!$H$2:$H$517,L$4)</f>
        <v>0</v>
      </c>
      <c r="M85" s="7" t="n">
        <f aca="false">SUMIFS('Transaction Overview'!$D$2:$D$517,'Transaction Overview'!$I$2:$I$517,$A85,'Transaction Overview'!$H$2:$H$517,M$4)</f>
        <v>0</v>
      </c>
      <c r="N85" s="7" t="n">
        <f aca="false">SUM(B85:M85)</f>
        <v>-103.95</v>
      </c>
    </row>
    <row r="86" customFormat="false" ht="15" hidden="false" customHeight="false" outlineLevel="0" collapsed="false">
      <c r="A86" s="0" t="s">
        <v>111</v>
      </c>
      <c r="B86" s="7" t="n">
        <f aca="false">SUMIFS('Transaction Overview'!$D$2:$D$517,'Transaction Overview'!$I$2:$I$517,$A86,'Transaction Overview'!$H$2:$H$517,B$4)</f>
        <v>0</v>
      </c>
      <c r="C86" s="7" t="n">
        <f aca="false">SUMIFS('Transaction Overview'!$D$2:$D$517,'Transaction Overview'!$I$2:$I$517,$A86,'Transaction Overview'!$H$2:$H$517,C$4)</f>
        <v>0</v>
      </c>
      <c r="D86" s="7" t="n">
        <f aca="false">SUMIFS('Transaction Overview'!$D$2:$D$517,'Transaction Overview'!$I$2:$I$517,$A86,'Transaction Overview'!$H$2:$H$517,D$4)</f>
        <v>0</v>
      </c>
      <c r="E86" s="7" t="n">
        <f aca="false">SUMIFS('Transaction Overview'!$D$2:$D$517,'Transaction Overview'!$I$2:$I$517,$A86,'Transaction Overview'!$H$2:$H$517,E$4)</f>
        <v>-331.54</v>
      </c>
      <c r="F86" s="7" t="n">
        <f aca="false">SUMIFS('Transaction Overview'!$D$2:$D$517,'Transaction Overview'!$I$2:$I$517,$A86,'Transaction Overview'!$H$2:$H$517,F$4)</f>
        <v>0</v>
      </c>
      <c r="G86" s="7" t="n">
        <f aca="false">SUMIFS('Transaction Overview'!$D$2:$D$517,'Transaction Overview'!$I$2:$I$517,$A86,'Transaction Overview'!$H$2:$H$517,G$4)</f>
        <v>0</v>
      </c>
      <c r="H86" s="7" t="n">
        <f aca="false">SUMIFS('Transaction Overview'!$D$2:$D$517,'Transaction Overview'!$I$2:$I$517,$A86,'Transaction Overview'!$H$2:$H$517,H$4)</f>
        <v>0</v>
      </c>
      <c r="I86" s="7" t="n">
        <f aca="false">SUMIFS('Transaction Overview'!$D$2:$D$517,'Transaction Overview'!$I$2:$I$517,$A86,'Transaction Overview'!$H$2:$H$517,I$4)</f>
        <v>0</v>
      </c>
      <c r="J86" s="7" t="n">
        <f aca="false">SUMIFS('Transaction Overview'!$D$2:$D$517,'Transaction Overview'!$I$2:$I$517,$A86,'Transaction Overview'!$H$2:$H$517,J$4)</f>
        <v>0</v>
      </c>
      <c r="K86" s="7" t="n">
        <f aca="false">SUMIFS('Transaction Overview'!$D$2:$D$517,'Transaction Overview'!$I$2:$I$517,$A86,'Transaction Overview'!$H$2:$H$517,K$4)</f>
        <v>0</v>
      </c>
      <c r="L86" s="7" t="n">
        <f aca="false">SUMIFS('Transaction Overview'!$D$2:$D$517,'Transaction Overview'!$I$2:$I$517,$A86,'Transaction Overview'!$H$2:$H$517,L$4)</f>
        <v>0</v>
      </c>
      <c r="M86" s="7" t="n">
        <f aca="false">SUMIFS('Transaction Overview'!$D$2:$D$517,'Transaction Overview'!$I$2:$I$517,$A86,'Transaction Overview'!$H$2:$H$517,M$4)</f>
        <v>0</v>
      </c>
      <c r="N86" s="7" t="n">
        <f aca="false">SUM(B86:M86)</f>
        <v>-331.54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3" t="s">
        <v>0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5" t="s">
        <v>116</v>
      </c>
      <c r="B4" s="6"/>
      <c r="C4" s="6"/>
    </row>
    <row r="5" customFormat="false" ht="15" hidden="false" customHeight="false" outlineLevel="0" collapsed="false">
      <c r="A5" s="0" t="s">
        <v>114</v>
      </c>
      <c r="C5" s="7" t="n">
        <f aca="false">SUMIFS('Transaction Overview'!$D$2:$D$517,'Transaction Overview'!$J$2:$J$517,"Intercompany &amp; Savings Transfers",'Transaction Overview'!$D$2:$D$517,"&gt;0")</f>
        <v>0</v>
      </c>
    </row>
    <row r="6" customFormat="false" ht="15" hidden="false" customHeight="false" outlineLevel="0" collapsed="false">
      <c r="A6" s="0" t="s">
        <v>117</v>
      </c>
      <c r="C6" s="0" t="n">
        <f aca="false">COUNTIFS('Transaction Overview'!$J$2:$J$517,"Intercompany &amp; Savings Transfers",'Transaction Overview'!$D$2:$D$517,"&gt;0")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3" t="s">
        <v>0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5" t="s">
        <v>116</v>
      </c>
      <c r="B4" s="6"/>
      <c r="C4" s="6"/>
    </row>
    <row r="5" customFormat="false" ht="15" hidden="false" customHeight="false" outlineLevel="0" collapsed="false">
      <c r="A5" s="0" t="s">
        <v>114</v>
      </c>
      <c r="C5" s="7" t="n">
        <f aca="false">SUMIFS('Transaction Overview'!$D$2:$D$517,'Transaction Overview'!$J$2:$J$517,"Intercompany &amp; Savings Transfers",'Transaction Overview'!$D$2:$D$517,"&lt;0")</f>
        <v>-25198.18</v>
      </c>
    </row>
    <row r="6" customFormat="false" ht="15" hidden="false" customHeight="false" outlineLevel="0" collapsed="false">
      <c r="A6" s="0" t="s">
        <v>117</v>
      </c>
      <c r="C6" s="0" t="n">
        <f aca="false">COUNTIFS('Transaction Overview'!$J$2:$J$517,"Intercompany &amp; Savings Transfers",'Transaction Overview'!$D$2:$D$517,"&lt;0")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3" t="s">
        <v>0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5" t="s">
        <v>116</v>
      </c>
      <c r="B4" s="6"/>
      <c r="C4" s="6"/>
    </row>
    <row r="5" customFormat="false" ht="15" hidden="false" customHeight="false" outlineLevel="0" collapsed="false">
      <c r="A5" s="0" t="s">
        <v>114</v>
      </c>
      <c r="C5" s="7" t="n">
        <f aca="false">SUMIFS('Transaction Overview'!$D$2:$D$517,'Transaction Overview'!$J$2:$J$517,"Intercompany &amp; Savings Transfers",'Transaction Overview'!$D$2:$D$517,"&gt;0")</f>
        <v>0</v>
      </c>
    </row>
    <row r="6" customFormat="false" ht="15" hidden="false" customHeight="false" outlineLevel="0" collapsed="false">
      <c r="A6" s="0" t="s">
        <v>117</v>
      </c>
      <c r="C6" s="0" t="n">
        <f aca="false">COUNTIFS('Transaction Overview'!$J$2:$J$517,"Intercompany &amp; Savings Transfers",'Transaction Overview'!$D$2:$D$517,"&gt;0")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3" t="s">
        <v>0</v>
      </c>
    </row>
    <row r="2" customFormat="false" ht="15" hidden="false" customHeight="false" outlineLevel="0" collapsed="false">
      <c r="A2" s="2" t="s">
        <v>120</v>
      </c>
    </row>
    <row r="4" customFormat="false" ht="15" hidden="false" customHeight="false" outlineLevel="0" collapsed="false">
      <c r="A4" s="5" t="s">
        <v>116</v>
      </c>
      <c r="B4" s="6"/>
      <c r="C4" s="6"/>
    </row>
    <row r="5" customFormat="false" ht="15" hidden="false" customHeight="false" outlineLevel="0" collapsed="false">
      <c r="A5" s="0" t="s">
        <v>114</v>
      </c>
      <c r="C5" s="7" t="n">
        <f aca="false">SUMIFS('Transaction Overview'!$D$2:$D$517,'Transaction Overview'!$J$2:$J$517,"Intercompany &amp; Savings Transfers",'Transaction Overview'!$D$2:$D$517,"&lt;0")</f>
        <v>-25198.18</v>
      </c>
    </row>
    <row r="6" customFormat="false" ht="15" hidden="false" customHeight="false" outlineLevel="0" collapsed="false">
      <c r="A6" s="0" t="s">
        <v>117</v>
      </c>
      <c r="C6" s="0" t="n">
        <f aca="false">COUNTIFS('Transaction Overview'!$J$2:$J$517,"Intercompany &amp; Savings Transfers",'Transaction Overview'!$D$2:$D$517,"&lt;0")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3" t="s">
        <v>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5" t="s">
        <v>116</v>
      </c>
      <c r="B4" s="6"/>
      <c r="C4" s="6"/>
    </row>
    <row r="5" customFormat="false" ht="15" hidden="false" customHeight="false" outlineLevel="0" collapsed="false">
      <c r="A5" s="0" t="s">
        <v>114</v>
      </c>
      <c r="C5" s="7" t="n">
        <f aca="false">SUMIFS('Transaction Overview'!$D$2:$D$517,'Transaction Overview'!$J$2:$J$517,"Commissions — Incoming",'Transaction Overview'!$D$2:$D$517,"&gt;0")</f>
        <v>114000</v>
      </c>
    </row>
    <row r="6" customFormat="false" ht="15" hidden="false" customHeight="false" outlineLevel="0" collapsed="false">
      <c r="A6" s="0" t="s">
        <v>117</v>
      </c>
      <c r="C6" s="0" t="n">
        <f aca="false">COUNTIFS('Transaction Overview'!$J$2:$J$517,"Commissions — Incoming",'Transaction Overview'!$D$2:$D$517,"&gt;0")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32"/>
  </cols>
  <sheetData>
    <row r="1" customFormat="false" ht="15" hidden="false" customHeight="false" outlineLevel="0" collapsed="false">
      <c r="A1" s="9" t="s">
        <v>122</v>
      </c>
      <c r="B1" s="9" t="s">
        <v>123</v>
      </c>
      <c r="C1" s="9" t="s">
        <v>124</v>
      </c>
      <c r="D1" s="9" t="s">
        <v>125</v>
      </c>
      <c r="E1" s="9" t="s">
        <v>126</v>
      </c>
      <c r="F1" s="9" t="s">
        <v>127</v>
      </c>
      <c r="G1" s="9" t="s">
        <v>12</v>
      </c>
      <c r="H1" s="9" t="s">
        <v>128</v>
      </c>
      <c r="I1" s="9" t="s">
        <v>129</v>
      </c>
      <c r="J1" s="9" t="s">
        <v>130</v>
      </c>
    </row>
    <row r="2" customFormat="false" ht="15" hidden="false" customHeight="false" outlineLevel="0" collapsed="false">
      <c r="A2" s="0" t="str">
        <f aca="false">Chase1168_2026!A2</f>
        <v>DEBIT</v>
      </c>
      <c r="B2" s="14" t="n">
        <f aca="false">Chase1168_2026!B2</f>
        <v>46188</v>
      </c>
      <c r="C2" s="0" t="str">
        <f aca="false">Chase1168_2026!C2</f>
        <v>ORIG CO NAME:VENMO            CO ENTRY DESCR:PAYMENT    SEC:WEB IND ID:1051023030786   ORIG ID:3264681992</v>
      </c>
      <c r="D2" s="7" t="n">
        <f aca="false">Chase1168_2026!D2</f>
        <v>-15</v>
      </c>
      <c r="E2" s="0" t="str">
        <f aca="false">Chase1168_2026!E2</f>
        <v>ACH_DEBIT</v>
      </c>
      <c r="F2" s="7" t="str">
        <f aca="false">Chase1168_2026!F2</f>
        <v> </v>
      </c>
      <c r="G2" s="0" t="str">
        <f aca="false">Chase1168_2026!G2</f>
        <v>Venmo</v>
      </c>
      <c r="H2" s="15" t="n">
        <f aca="false">IF($B2="","",DATE(YEAR($B2),MONTH($B2),1))</f>
        <v>46174</v>
      </c>
      <c r="I2" s="0" t="str">
        <f aca="false">IF($G2="","Uncategorized — Review",IFERROR(INDEX(Mapping!$B:$B,MATCH($G2,Mapping!$A:$A,0)),"Uncategorized — Review"))</f>
        <v>Venmo</v>
      </c>
      <c r="J2" s="0" t="str">
        <f aca="false">IF($G2="","Uncategorized — Review",IFERROR(INDEX(Mapping!$C:$C,MATCH($G2,Mapping!$A:$A,0)),"Uncategorized — Review"))</f>
        <v>P2P Payments (Zelle/Venmo/PayPal)</v>
      </c>
    </row>
    <row r="3" customFormat="false" ht="15" hidden="false" customHeight="false" outlineLevel="0" collapsed="false">
      <c r="A3" s="0" t="str">
        <f aca="false">Chase1168_2026!A3</f>
        <v>DEBIT</v>
      </c>
      <c r="B3" s="14" t="n">
        <f aca="false">Chase1168_2026!B3</f>
        <v>46188</v>
      </c>
      <c r="C3" s="0" t="str">
        <f aca="false">Chase1168_2026!C3</f>
        <v>ONLINE TRANSFER TO CHK ...1117 TRANSACTION#: 29633194527 06/15</v>
      </c>
      <c r="D3" s="7" t="n">
        <f aca="false">Chase1168_2026!D3</f>
        <v>-1000</v>
      </c>
      <c r="E3" s="0" t="str">
        <f aca="false">Chase1168_2026!E3</f>
        <v>ACCT_XFER</v>
      </c>
      <c r="F3" s="7" t="str">
        <f aca="false">Chase1168_2026!F3</f>
        <v> </v>
      </c>
      <c r="G3" s="0" t="str">
        <f aca="false">Chase1168_2026!G3</f>
        <v>Transfer to Angela Dunning</v>
      </c>
      <c r="H3" s="15" t="n">
        <f aca="false">IF($B3="","",DATE(YEAR($B3),MONTH($B3),1))</f>
        <v>46174</v>
      </c>
      <c r="I3" s="0" t="str">
        <f aca="false">IF($G3="","Uncategorized — Review",IFERROR(INDEX(Mapping!$B:$B,MATCH($G3,Mapping!$A:$A,0)),"Uncategorized — Review"))</f>
        <v>Transfer to Angela Dunning</v>
      </c>
      <c r="J3" s="0" t="str">
        <f aca="false">IF($G3="","Uncategorized — Review",IFERROR(INDEX(Mapping!$C:$C,MATCH($G3,Mapping!$A:$A,0)),"Uncategorized — Review"))</f>
        <v>Owner / Family Distributions</v>
      </c>
    </row>
    <row r="4" customFormat="false" ht="15" hidden="false" customHeight="false" outlineLevel="0" collapsed="false">
      <c r="A4" s="0" t="str">
        <f aca="false">Chase1168_2026!A4</f>
        <v>DEBIT</v>
      </c>
      <c r="B4" s="14" t="n">
        <f aca="false">Chase1168_2026!B4</f>
        <v>46188</v>
      </c>
      <c r="C4" s="0" t="str">
        <f aca="false">Chase1168_2026!C4</f>
        <v>Online ACH payment to Mike</v>
      </c>
      <c r="D4" s="7" t="n">
        <f aca="false">Chase1168_2026!D4</f>
        <v>-2000</v>
      </c>
      <c r="E4" s="0" t="str">
        <f aca="false">Chase1168_2026!E4</f>
        <v>BASIC_PAYROLL</v>
      </c>
      <c r="F4" s="7" t="str">
        <f aca="false">Chase1168_2026!F4</f>
        <v> </v>
      </c>
      <c r="G4" s="0" t="str">
        <f aca="false">Chase1168_2026!G4</f>
        <v>Mike Paytonjian - Payroll</v>
      </c>
      <c r="H4" s="15" t="n">
        <f aca="false">IF($B4="","",DATE(YEAR($B4),MONTH($B4),1))</f>
        <v>46174</v>
      </c>
      <c r="I4" s="0" t="str">
        <f aca="false">IF($G4="","Uncategorized — Review",IFERROR(INDEX(Mapping!$B:$B,MATCH($G4,Mapping!$A:$A,0)),"Uncategorized — Review"))</f>
        <v>Mike Paytonjian - Payroll</v>
      </c>
      <c r="J4" s="0" t="str">
        <f aca="false">IF($G4="","Uncategorized — Review",IFERROR(INDEX(Mapping!$C:$C,MATCH($G4,Mapping!$A:$A,0)),"Uncategorized — Review"))</f>
        <v>Payroll &amp; Contractors</v>
      </c>
    </row>
    <row r="5" customFormat="false" ht="15" hidden="false" customHeight="false" outlineLevel="0" collapsed="false">
      <c r="A5" s="0" t="str">
        <f aca="false">Chase1168_2026!A5</f>
        <v>DEBIT</v>
      </c>
      <c r="B5" s="14" t="n">
        <f aca="false">Chase1168_2026!B5</f>
        <v>46188</v>
      </c>
      <c r="C5" s="0" t="str">
        <f aca="false">Chase1168_2026!C5</f>
        <v>ORIG CO NAME:VENMO            CO ENTRY DESCR:PAYMENT    SEC:WEB IND ID:1050998946316   ORIG ID:3264681992</v>
      </c>
      <c r="D5" s="7" t="n">
        <f aca="false">Chase1168_2026!D5</f>
        <v>-150</v>
      </c>
      <c r="E5" s="0" t="str">
        <f aca="false">Chase1168_2026!E5</f>
        <v>ACH_DEBIT</v>
      </c>
      <c r="F5" s="7" t="str">
        <f aca="false">Chase1168_2026!F5</f>
        <v> </v>
      </c>
      <c r="G5" s="0" t="str">
        <f aca="false">Chase1168_2026!G5</f>
        <v>Venmo</v>
      </c>
      <c r="H5" s="15" t="n">
        <f aca="false">IF($B5="","",DATE(YEAR($B5),MONTH($B5),1))</f>
        <v>46174</v>
      </c>
      <c r="I5" s="0" t="str">
        <f aca="false">IF($G5="","Uncategorized — Review",IFERROR(INDEX(Mapping!$B:$B,MATCH($G5,Mapping!$A:$A,0)),"Uncategorized — Review"))</f>
        <v>Venmo</v>
      </c>
      <c r="J5" s="0" t="str">
        <f aca="false">IF($G5="","Uncategorized — Review",IFERROR(INDEX(Mapping!$C:$C,MATCH($G5,Mapping!$A:$A,0)),"Uncategorized — Review"))</f>
        <v>P2P Payments (Zelle/Venmo/PayPal)</v>
      </c>
    </row>
    <row r="6" customFormat="false" ht="15" hidden="false" customHeight="false" outlineLevel="0" collapsed="false">
      <c r="A6" s="0" t="str">
        <f aca="false">Chase1168_2026!A6</f>
        <v>DEBIT</v>
      </c>
      <c r="B6" s="14" t="n">
        <f aca="false">Chase1168_2026!B6</f>
        <v>46188</v>
      </c>
      <c r="C6" s="0" t="str">
        <f aca="false">Chase1168_2026!C6</f>
        <v>ORIG CO NAME:VENMO            CO ENTRY DESCR:PAYMENT    SEC:WEB IND ID:1050990087863   ORIG ID:3264681992</v>
      </c>
      <c r="D6" s="7" t="n">
        <f aca="false">Chase1168_2026!D6</f>
        <v>-200</v>
      </c>
      <c r="E6" s="0" t="str">
        <f aca="false">Chase1168_2026!E6</f>
        <v>ACH_DEBIT</v>
      </c>
      <c r="F6" s="7" t="str">
        <f aca="false">Chase1168_2026!F6</f>
        <v> </v>
      </c>
      <c r="G6" s="0" t="str">
        <f aca="false">Chase1168_2026!G6</f>
        <v>Venmo</v>
      </c>
      <c r="H6" s="15" t="n">
        <f aca="false">IF($B6="","",DATE(YEAR($B6),MONTH($B6),1))</f>
        <v>46174</v>
      </c>
      <c r="I6" s="0" t="str">
        <f aca="false">IF($G6="","Uncategorized — Review",IFERROR(INDEX(Mapping!$B:$B,MATCH($G6,Mapping!$A:$A,0)),"Uncategorized — Review"))</f>
        <v>Venmo</v>
      </c>
      <c r="J6" s="0" t="str">
        <f aca="false">IF($G6="","Uncategorized — Review",IFERROR(INDEX(Mapping!$C:$C,MATCH($G6,Mapping!$A:$A,0)),"Uncategorized — Review"))</f>
        <v>P2P Payments (Zelle/Venmo/PayPal)</v>
      </c>
    </row>
    <row r="7" customFormat="false" ht="15" hidden="false" customHeight="false" outlineLevel="0" collapsed="false">
      <c r="A7" s="0" t="str">
        <f aca="false">Chase1168_2026!A7</f>
        <v>DEBIT</v>
      </c>
      <c r="B7" s="14" t="n">
        <f aca="false">Chase1168_2026!B7</f>
        <v>46188</v>
      </c>
      <c r="C7" s="0" t="str">
        <f aca="false">Chase1168_2026!C7</f>
        <v>ONLINE TRANSFER TO CHK ...1117 TRANSACTION#: 29624118889 06/15</v>
      </c>
      <c r="D7" s="7" t="n">
        <f aca="false">Chase1168_2026!D7</f>
        <v>-500</v>
      </c>
      <c r="E7" s="0" t="str">
        <f aca="false">Chase1168_2026!E7</f>
        <v>ACCT_XFER</v>
      </c>
      <c r="F7" s="7" t="str">
        <f aca="false">Chase1168_2026!F7</f>
        <v> </v>
      </c>
      <c r="G7" s="0" t="str">
        <f aca="false">Chase1168_2026!G7</f>
        <v>Transfer to Angela Dunning</v>
      </c>
      <c r="H7" s="15" t="n">
        <f aca="false">IF($B7="","",DATE(YEAR($B7),MONTH($B7),1))</f>
        <v>46174</v>
      </c>
      <c r="I7" s="0" t="str">
        <f aca="false">IF($G7="","Uncategorized — Review",IFERROR(INDEX(Mapping!$B:$B,MATCH($G7,Mapping!$A:$A,0)),"Uncategorized — Review"))</f>
        <v>Transfer to Angela Dunning</v>
      </c>
      <c r="J7" s="0" t="str">
        <f aca="false">IF($G7="","Uncategorized — Review",IFERROR(INDEX(Mapping!$C:$C,MATCH($G7,Mapping!$A:$A,0)),"Uncategorized — Review"))</f>
        <v>Owner / Family Distributions</v>
      </c>
    </row>
    <row r="8" customFormat="false" ht="15" hidden="false" customHeight="false" outlineLevel="0" collapsed="false">
      <c r="A8" s="0" t="str">
        <f aca="false">Chase1168_2026!A8</f>
        <v>DEBIT</v>
      </c>
      <c r="B8" s="14" t="n">
        <f aca="false">Chase1168_2026!B8</f>
        <v>46188</v>
      </c>
      <c r="C8" s="0" t="str">
        <f aca="false">Chase1168_2026!C8</f>
        <v>ONLINE TRANSFER TO CHK ...6975 TRANSACTION#: 29624118165 06/15</v>
      </c>
      <c r="D8" s="7" t="n">
        <f aca="false">Chase1168_2026!D8</f>
        <v>-200</v>
      </c>
      <c r="E8" s="0" t="str">
        <f aca="false">Chase1168_2026!E8</f>
        <v>ACCT_XFER</v>
      </c>
      <c r="F8" s="7" t="str">
        <f aca="false">Chase1168_2026!F8</f>
        <v> </v>
      </c>
      <c r="G8" s="0" t="str">
        <f aca="false">Chase1168_2026!G8</f>
        <v>Transfer to Angela Dunning</v>
      </c>
      <c r="H8" s="15" t="n">
        <f aca="false">IF($B8="","",DATE(YEAR($B8),MONTH($B8),1))</f>
        <v>46174</v>
      </c>
      <c r="I8" s="0" t="str">
        <f aca="false">IF($G8="","Uncategorized — Review",IFERROR(INDEX(Mapping!$B:$B,MATCH($G8,Mapping!$A:$A,0)),"Uncategorized — Review"))</f>
        <v>Transfer to Angela Dunning</v>
      </c>
      <c r="J8" s="0" t="str">
        <f aca="false">IF($G8="","Uncategorized — Review",IFERROR(INDEX(Mapping!$C:$C,MATCH($G8,Mapping!$A:$A,0)),"Uncategorized — Review"))</f>
        <v>Owner / Family Distributions</v>
      </c>
    </row>
    <row r="9" customFormat="false" ht="15" hidden="false" customHeight="false" outlineLevel="0" collapsed="false">
      <c r="A9" s="0" t="str">
        <f aca="false">Chase1168_2026!A9</f>
        <v>DEBIT</v>
      </c>
      <c r="B9" s="14" t="n">
        <f aca="false">Chase1168_2026!B9</f>
        <v>46188</v>
      </c>
      <c r="C9" s="0" t="str">
        <f aca="false">Chase1168_2026!C9</f>
        <v>ZELLE PAYMENT TO JEFFREY SEIDER JPM99CKSLP03</v>
      </c>
      <c r="D9" s="7" t="n">
        <f aca="false">Chase1168_2026!D9</f>
        <v>-200</v>
      </c>
      <c r="E9" s="0" t="str">
        <f aca="false">Chase1168_2026!E9</f>
        <v>CHASE_TO_PARTNERFI</v>
      </c>
      <c r="F9" s="7" t="str">
        <f aca="false">Chase1168_2026!F9</f>
        <v> </v>
      </c>
      <c r="G9" s="0" t="str">
        <f aca="false">Chase1168_2026!G9</f>
        <v>Zelle - Jeff Seider</v>
      </c>
      <c r="H9" s="15" t="n">
        <f aca="false">IF($B9="","",DATE(YEAR($B9),MONTH($B9),1))</f>
        <v>46174</v>
      </c>
      <c r="I9" s="0" t="str">
        <f aca="false">IF($G9="","Uncategorized — Review",IFERROR(INDEX(Mapping!$B:$B,MATCH($G9,Mapping!$A:$A,0)),"Uncategorized — Review"))</f>
        <v>Zelle - Jeff Seider</v>
      </c>
      <c r="J9" s="0" t="str">
        <f aca="false">IF($G9="","Uncategorized — Review",IFERROR(INDEX(Mapping!$C:$C,MATCH($G9,Mapping!$A:$A,0)),"Uncategorized — Review"))</f>
        <v>P2P Payments (Zelle/Venmo/PayPal)</v>
      </c>
    </row>
    <row r="10" customFormat="false" ht="15" hidden="false" customHeight="false" outlineLevel="0" collapsed="false">
      <c r="A10" s="0" t="str">
        <f aca="false">Chase1168_2026!A10</f>
        <v>DEBIT</v>
      </c>
      <c r="B10" s="14" t="n">
        <f aca="false">Chase1168_2026!B10</f>
        <v>46188</v>
      </c>
      <c r="C10" s="0" t="str">
        <f aca="false">Chase1168_2026!C10</f>
        <v>ONLINE TRANSFER TO CHK ...1117 TRANSACTION#: 29617096887 06/15</v>
      </c>
      <c r="D10" s="7" t="n">
        <f aca="false">Chase1168_2026!D10</f>
        <v>-3000</v>
      </c>
      <c r="E10" s="0" t="str">
        <f aca="false">Chase1168_2026!E10</f>
        <v>ACCT_XFER</v>
      </c>
      <c r="F10" s="7" t="str">
        <f aca="false">Chase1168_2026!F10</f>
        <v> </v>
      </c>
      <c r="G10" s="0" t="str">
        <f aca="false">Chase1168_2026!G10</f>
        <v>Transfer to Angela Dunning</v>
      </c>
      <c r="H10" s="15" t="n">
        <f aca="false">IF($B10="","",DATE(YEAR($B10),MONTH($B10),1))</f>
        <v>46174</v>
      </c>
      <c r="I10" s="0" t="str">
        <f aca="false">IF($G10="","Uncategorized — Review",IFERROR(INDEX(Mapping!$B:$B,MATCH($G10,Mapping!$A:$A,0)),"Uncategorized — Review"))</f>
        <v>Transfer to Angela Dunning</v>
      </c>
      <c r="J10" s="0" t="str">
        <f aca="false">IF($G10="","Uncategorized — Review",IFERROR(INDEX(Mapping!$C:$C,MATCH($G10,Mapping!$A:$A,0)),"Uncategorized — Review"))</f>
        <v>Owner / Family Distributions</v>
      </c>
    </row>
    <row r="11" customFormat="false" ht="15" hidden="false" customHeight="false" outlineLevel="0" collapsed="false">
      <c r="A11" s="0" t="str">
        <f aca="false">Chase1168_2026!A11</f>
        <v>DEBIT</v>
      </c>
      <c r="B11" s="14" t="n">
        <f aca="false">Chase1168_2026!B11</f>
        <v>46188</v>
      </c>
      <c r="C11" s="0" t="str">
        <f aca="false">Chase1168_2026!C11</f>
        <v>POS DEBIT                GODADDY#4111542544        480-5058855  AZ                                                                                                                                                                                                                                                                        9052</v>
      </c>
      <c r="D11" s="7" t="n">
        <f aca="false">Chase1168_2026!D11</f>
        <v>-45.96</v>
      </c>
      <c r="E11" s="0" t="str">
        <f aca="false">Chase1168_2026!E11</f>
        <v>MISC_DEBIT</v>
      </c>
      <c r="F11" s="7" t="str">
        <f aca="false">Chase1168_2026!F11</f>
        <v> </v>
      </c>
      <c r="G11" s="0" t="str">
        <f aca="false">Chase1168_2026!G11</f>
        <v>Go Daddy</v>
      </c>
      <c r="H11" s="15" t="n">
        <f aca="false">IF($B11="","",DATE(YEAR($B11),MONTH($B11),1))</f>
        <v>46174</v>
      </c>
      <c r="I11" s="0" t="str">
        <f aca="false">IF($G11="","Uncategorized — Review",IFERROR(INDEX(Mapping!$B:$B,MATCH($G11,Mapping!$A:$A,0)),"Uncategorized — Review"))</f>
        <v>Go Daddy</v>
      </c>
      <c r="J11" s="0" t="str">
        <f aca="false">IF($G11="","Uncategorized — Review",IFERROR(INDEX(Mapping!$C:$C,MATCH($G11,Mapping!$A:$A,0)),"Uncategorized — Review"))</f>
        <v>DWG Operating</v>
      </c>
    </row>
    <row r="12" customFormat="false" ht="15" hidden="false" customHeight="false" outlineLevel="0" collapsed="false">
      <c r="A12" s="0" t="str">
        <f aca="false">Chase1168_2026!A12</f>
        <v>DEBIT</v>
      </c>
      <c r="B12" s="14" t="n">
        <f aca="false">Chase1168_2026!B12</f>
        <v>46185</v>
      </c>
      <c r="C12" s="0" t="str">
        <f aca="false">Chase1168_2026!C12</f>
        <v>GODADDY#4110236617 480-5058855 AZ            06/11</v>
      </c>
      <c r="D12" s="7" t="n">
        <f aca="false">Chase1168_2026!D12</f>
        <v>-60.73</v>
      </c>
      <c r="E12" s="0" t="str">
        <f aca="false">Chase1168_2026!E12</f>
        <v>DEBIT_CARD</v>
      </c>
      <c r="F12" s="7" t="n">
        <f aca="false">Chase1168_2026!F12</f>
        <v>24009.79</v>
      </c>
      <c r="G12" s="0" t="str">
        <f aca="false">Chase1168_2026!G12</f>
        <v>Go Daddy</v>
      </c>
      <c r="H12" s="15" t="n">
        <f aca="false">IF($B12="","",DATE(YEAR($B12),MONTH($B12),1))</f>
        <v>46174</v>
      </c>
      <c r="I12" s="0" t="str">
        <f aca="false">IF($G12="","Uncategorized — Review",IFERROR(INDEX(Mapping!$B:$B,MATCH($G12,Mapping!$A:$A,0)),"Uncategorized — Review"))</f>
        <v>Go Daddy</v>
      </c>
      <c r="J12" s="0" t="str">
        <f aca="false">IF($G12="","Uncategorized — Review",IFERROR(INDEX(Mapping!$C:$C,MATCH($G12,Mapping!$A:$A,0)),"Uncategorized — Review"))</f>
        <v>DWG Operating</v>
      </c>
    </row>
    <row r="13" customFormat="false" ht="15" hidden="false" customHeight="false" outlineLevel="0" collapsed="false">
      <c r="A13" s="0" t="str">
        <f aca="false">Chase1168_2026!A13</f>
        <v>DEBIT</v>
      </c>
      <c r="B13" s="14" t="n">
        <f aca="false">Chase1168_2026!B13</f>
        <v>46184</v>
      </c>
      <c r="C13" s="0" t="str">
        <f aca="false">Chase1168_2026!C13</f>
        <v>Zelle payment to Jeffrey Seider JPM99ckg6uwz</v>
      </c>
      <c r="D13" s="7" t="n">
        <f aca="false">Chase1168_2026!D13</f>
        <v>-200</v>
      </c>
      <c r="E13" s="0" t="str">
        <f aca="false">Chase1168_2026!E13</f>
        <v>CHASE_TO_PARTNERFI</v>
      </c>
      <c r="F13" s="7" t="n">
        <f aca="false">Chase1168_2026!F13</f>
        <v>24070.52</v>
      </c>
      <c r="G13" s="0" t="str">
        <f aca="false">Chase1168_2026!G13</f>
        <v>Zelle - Jeff Seider</v>
      </c>
      <c r="H13" s="15" t="n">
        <f aca="false">IF($B13="","",DATE(YEAR($B13),MONTH($B13),1))</f>
        <v>46174</v>
      </c>
      <c r="I13" s="0" t="str">
        <f aca="false">IF($G13="","Uncategorized — Review",IFERROR(INDEX(Mapping!$B:$B,MATCH($G13,Mapping!$A:$A,0)),"Uncategorized — Review"))</f>
        <v>Zelle - Jeff Seider</v>
      </c>
      <c r="J13" s="0" t="str">
        <f aca="false">IF($G13="","Uncategorized — Review",IFERROR(INDEX(Mapping!$C:$C,MATCH($G13,Mapping!$A:$A,0)),"Uncategorized — Review"))</f>
        <v>P2P Payments (Zelle/Venmo/PayPal)</v>
      </c>
    </row>
    <row r="14" customFormat="false" ht="15" hidden="false" customHeight="false" outlineLevel="0" collapsed="false">
      <c r="A14" s="0" t="str">
        <f aca="false">Chase1168_2026!A14</f>
        <v>DEBIT</v>
      </c>
      <c r="B14" s="14" t="n">
        <f aca="false">Chase1168_2026!B14</f>
        <v>46184</v>
      </c>
      <c r="C14" s="0" t="str">
        <f aca="false">Chase1168_2026!C14</f>
        <v>Basic Online Payroll Payment 11221138563 to #####5820</v>
      </c>
      <c r="D14" s="7" t="n">
        <f aca="false">Chase1168_2026!D14</f>
        <v>-3500</v>
      </c>
      <c r="E14" s="0" t="str">
        <f aca="false">Chase1168_2026!E14</f>
        <v>BASIC_PAYROLL</v>
      </c>
      <c r="F14" s="7" t="n">
        <f aca="false">Chase1168_2026!F14</f>
        <v>24270.52</v>
      </c>
      <c r="G14" s="0" t="str">
        <f aca="false">Chase1168_2026!G14</f>
        <v>Chase Hall - Payroll</v>
      </c>
      <c r="H14" s="15" t="n">
        <f aca="false">IF($B14="","",DATE(YEAR($B14),MONTH($B14),1))</f>
        <v>46174</v>
      </c>
      <c r="I14" s="0" t="str">
        <f aca="false">IF($G14="","Uncategorized — Review",IFERROR(INDEX(Mapping!$B:$B,MATCH($G14,Mapping!$A:$A,0)),"Uncategorized — Review"))</f>
        <v>Chase Hall - Payroll</v>
      </c>
      <c r="J14" s="0" t="str">
        <f aca="false">IF($G14="","Uncategorized — Review",IFERROR(INDEX(Mapping!$C:$C,MATCH($G14,Mapping!$A:$A,0)),"Uncategorized — Review"))</f>
        <v>Payroll &amp; Contractors</v>
      </c>
    </row>
    <row r="15" customFormat="false" ht="15" hidden="false" customHeight="false" outlineLevel="0" collapsed="false">
      <c r="A15" s="0" t="str">
        <f aca="false">Chase1168_2026!A15</f>
        <v>DEBIT</v>
      </c>
      <c r="B15" s="14" t="n">
        <f aca="false">Chase1168_2026!B15</f>
        <v>46184</v>
      </c>
      <c r="C15" s="0" t="str">
        <f aca="false">Chase1168_2026!C15</f>
        <v>GODADDY#4109280643 480-5058855 AZ            06/10</v>
      </c>
      <c r="D15" s="7" t="n">
        <f aca="false">Chase1168_2026!D15</f>
        <v>-28.98</v>
      </c>
      <c r="E15" s="0" t="str">
        <f aca="false">Chase1168_2026!E15</f>
        <v>DEBIT_CARD</v>
      </c>
      <c r="F15" s="7" t="n">
        <f aca="false">Chase1168_2026!F15</f>
        <v>27770.52</v>
      </c>
      <c r="G15" s="0" t="str">
        <f aca="false">Chase1168_2026!G15</f>
        <v>Go Daddy</v>
      </c>
      <c r="H15" s="15" t="n">
        <f aca="false">IF($B15="","",DATE(YEAR($B15),MONTH($B15),1))</f>
        <v>46174</v>
      </c>
      <c r="I15" s="0" t="str">
        <f aca="false">IF($G15="","Uncategorized — Review",IFERROR(INDEX(Mapping!$B:$B,MATCH($G15,Mapping!$A:$A,0)),"Uncategorized — Review"))</f>
        <v>Go Daddy</v>
      </c>
      <c r="J15" s="0" t="str">
        <f aca="false">IF($G15="","Uncategorized — Review",IFERROR(INDEX(Mapping!$C:$C,MATCH($G15,Mapping!$A:$A,0)),"Uncategorized — Review"))</f>
        <v>DWG Operating</v>
      </c>
    </row>
    <row r="16" customFormat="false" ht="15" hidden="false" customHeight="false" outlineLevel="0" collapsed="false">
      <c r="A16" s="0" t="str">
        <f aca="false">Chase1168_2026!A16</f>
        <v>DEBIT</v>
      </c>
      <c r="B16" s="14" t="n">
        <f aca="false">Chase1168_2026!B16</f>
        <v>46183</v>
      </c>
      <c r="C16" s="0" t="str">
        <f aca="false">Chase1168_2026!C16</f>
        <v>PAYPAL *RUTHALCANCI 402-935-7733 CA          06/10</v>
      </c>
      <c r="D16" s="7" t="n">
        <f aca="false">Chase1168_2026!D16</f>
        <v>-81.18</v>
      </c>
      <c r="E16" s="0" t="str">
        <f aca="false">Chase1168_2026!E16</f>
        <v>DEBIT_CARD</v>
      </c>
      <c r="F16" s="7" t="n">
        <f aca="false">Chase1168_2026!F16</f>
        <v>27799.5</v>
      </c>
      <c r="G16" s="0" t="str">
        <f aca="false">Chase1168_2026!G16</f>
        <v>Ruth Alcancia - Forward Bridge Payment</v>
      </c>
      <c r="H16" s="15" t="n">
        <f aca="false">IF($B16="","",DATE(YEAR($B16),MONTH($B16),1))</f>
        <v>46174</v>
      </c>
      <c r="I16" s="0" t="str">
        <f aca="false">IF($G16="","Uncategorized — Review",IFERROR(INDEX(Mapping!$B:$B,MATCH($G16,Mapping!$A:$A,0)),"Uncategorized — Review"))</f>
        <v>Ruth Alcancia - Forward Bridge Payment</v>
      </c>
      <c r="J16" s="0" t="str">
        <f aca="false">IF($G16="","Uncategorized — Review",IFERROR(INDEX(Mapping!$C:$C,MATCH($G16,Mapping!$A:$A,0)),"Uncategorized — Review"))</f>
        <v>Payroll &amp; Contractors</v>
      </c>
    </row>
    <row r="17" customFormat="false" ht="15" hidden="false" customHeight="false" outlineLevel="0" collapsed="false">
      <c r="A17" s="0" t="str">
        <f aca="false">Chase1168_2026!A17</f>
        <v>DEBIT</v>
      </c>
      <c r="B17" s="14" t="n">
        <f aca="false">Chase1168_2026!B17</f>
        <v>46183</v>
      </c>
      <c r="C17" s="0" t="str">
        <f aca="false">Chase1168_2026!C17</f>
        <v>GODADDY#4108424098 480-5058855 AZ            06/09</v>
      </c>
      <c r="D17" s="7" t="n">
        <f aca="false">Chase1168_2026!D17</f>
        <v>-13.79</v>
      </c>
      <c r="E17" s="0" t="str">
        <f aca="false">Chase1168_2026!E17</f>
        <v>DEBIT_CARD</v>
      </c>
      <c r="F17" s="7" t="n">
        <f aca="false">Chase1168_2026!F17</f>
        <v>27880.68</v>
      </c>
      <c r="G17" s="0" t="str">
        <f aca="false">Chase1168_2026!G17</f>
        <v>Go Daddy</v>
      </c>
      <c r="H17" s="15" t="n">
        <f aca="false">IF($B17="","",DATE(YEAR($B17),MONTH($B17),1))</f>
        <v>46174</v>
      </c>
      <c r="I17" s="0" t="str">
        <f aca="false">IF($G17="","Uncategorized — Review",IFERROR(INDEX(Mapping!$B:$B,MATCH($G17,Mapping!$A:$A,0)),"Uncategorized — Review"))</f>
        <v>Go Daddy</v>
      </c>
      <c r="J17" s="0" t="str">
        <f aca="false">IF($G17="","Uncategorized — Review",IFERROR(INDEX(Mapping!$C:$C,MATCH($G17,Mapping!$A:$A,0)),"Uncategorized — Review"))</f>
        <v>DWG Operating</v>
      </c>
    </row>
    <row r="18" customFormat="false" ht="15" hidden="false" customHeight="false" outlineLevel="0" collapsed="false">
      <c r="A18" s="0" t="str">
        <f aca="false">Chase1168_2026!A18</f>
        <v>DEBIT</v>
      </c>
      <c r="B18" s="14" t="n">
        <f aca="false">Chase1168_2026!B18</f>
        <v>46182</v>
      </c>
      <c r="C18" s="0" t="str">
        <f aca="false">Chase1168_2026!C18</f>
        <v>Online Transfer to CHK ...1117 transaction#: 29555521399 06/09</v>
      </c>
      <c r="D18" s="7" t="n">
        <f aca="false">Chase1168_2026!D18</f>
        <v>-2000</v>
      </c>
      <c r="E18" s="0" t="str">
        <f aca="false">Chase1168_2026!E18</f>
        <v>ACCT_XFER</v>
      </c>
      <c r="F18" s="7" t="n">
        <f aca="false">Chase1168_2026!F18</f>
        <v>27894.47</v>
      </c>
      <c r="G18" s="0" t="str">
        <f aca="false">Chase1168_2026!G18</f>
        <v>Transfer to Angela Dunning</v>
      </c>
      <c r="H18" s="15" t="n">
        <f aca="false">IF($B18="","",DATE(YEAR($B18),MONTH($B18),1))</f>
        <v>46174</v>
      </c>
      <c r="I18" s="0" t="str">
        <f aca="false">IF($G18="","Uncategorized — Review",IFERROR(INDEX(Mapping!$B:$B,MATCH($G18,Mapping!$A:$A,0)),"Uncategorized — Review"))</f>
        <v>Transfer to Angela Dunning</v>
      </c>
      <c r="J18" s="0" t="str">
        <f aca="false">IF($G18="","Uncategorized — Review",IFERROR(INDEX(Mapping!$C:$C,MATCH($G18,Mapping!$A:$A,0)),"Uncategorized — Review"))</f>
        <v>Owner / Family Distributions</v>
      </c>
    </row>
    <row r="19" customFormat="false" ht="15" hidden="false" customHeight="false" outlineLevel="0" collapsed="false">
      <c r="A19" s="0" t="str">
        <f aca="false">Chase1168_2026!A19</f>
        <v>DEBIT</v>
      </c>
      <c r="B19" s="14" t="n">
        <f aca="false">Chase1168_2026!B19</f>
        <v>46182</v>
      </c>
      <c r="C19" s="0" t="str">
        <f aca="false">Chase1168_2026!C19</f>
        <v>ORIG CO NAME:VENMO                  ORIG ID:3264681992 DESC DATE:260609 CO ENTRY DESCR:PAYMENT   SEC:WEB    TRACE#:021000025685331 EED:260609   IND ID:1050868364682                IND NAME:JUDD DUNNING                                                                                                 260609PPZPM4 TRN: 1605685331TC</v>
      </c>
      <c r="D19" s="7" t="n">
        <f aca="false">Chase1168_2026!D19</f>
        <v>-555</v>
      </c>
      <c r="E19" s="0" t="str">
        <f aca="false">Chase1168_2026!E19</f>
        <v>ACH_DEBIT</v>
      </c>
      <c r="F19" s="7" t="n">
        <f aca="false">Chase1168_2026!F19</f>
        <v>29894.47</v>
      </c>
      <c r="G19" s="0" t="str">
        <f aca="false">Chase1168_2026!G19</f>
        <v>Venmo</v>
      </c>
      <c r="H19" s="15" t="n">
        <f aca="false">IF($B19="","",DATE(YEAR($B19),MONTH($B19),1))</f>
        <v>46174</v>
      </c>
      <c r="I19" s="0" t="str">
        <f aca="false">IF($G19="","Uncategorized — Review",IFERROR(INDEX(Mapping!$B:$B,MATCH($G19,Mapping!$A:$A,0)),"Uncategorized — Review"))</f>
        <v>Venmo</v>
      </c>
      <c r="J19" s="0" t="str">
        <f aca="false">IF($G19="","Uncategorized — Review",IFERROR(INDEX(Mapping!$C:$C,MATCH($G19,Mapping!$A:$A,0)),"Uncategorized — Review"))</f>
        <v>P2P Payments (Zelle/Venmo/PayPal)</v>
      </c>
    </row>
    <row r="20" customFormat="false" ht="15" hidden="false" customHeight="false" outlineLevel="0" collapsed="false">
      <c r="A20" s="0" t="str">
        <f aca="false">Chase1168_2026!A20</f>
        <v>DEBIT</v>
      </c>
      <c r="B20" s="14" t="n">
        <f aca="false">Chase1168_2026!B20</f>
        <v>46182</v>
      </c>
      <c r="C20" s="0" t="str">
        <f aca="false">Chase1168_2026!C20</f>
        <v>GODADDY#4107740767 480-5058855 AZ            06/08</v>
      </c>
      <c r="D20" s="7" t="n">
        <f aca="false">Chase1168_2026!D20</f>
        <v>-33.97</v>
      </c>
      <c r="E20" s="0" t="str">
        <f aca="false">Chase1168_2026!E20</f>
        <v>DEBIT_CARD</v>
      </c>
      <c r="F20" s="7" t="n">
        <f aca="false">Chase1168_2026!F20</f>
        <v>30449.47</v>
      </c>
      <c r="G20" s="0" t="str">
        <f aca="false">Chase1168_2026!G20</f>
        <v>Go Daddy</v>
      </c>
      <c r="H20" s="15" t="n">
        <f aca="false">IF($B20="","",DATE(YEAR($B20),MONTH($B20),1))</f>
        <v>46174</v>
      </c>
      <c r="I20" s="0" t="str">
        <f aca="false">IF($G20="","Uncategorized — Review",IFERROR(INDEX(Mapping!$B:$B,MATCH($G20,Mapping!$A:$A,0)),"Uncategorized — Review"))</f>
        <v>Go Daddy</v>
      </c>
      <c r="J20" s="0" t="str">
        <f aca="false">IF($G20="","Uncategorized — Review",IFERROR(INDEX(Mapping!$C:$C,MATCH($G20,Mapping!$A:$A,0)),"Uncategorized — Review"))</f>
        <v>DWG Operating</v>
      </c>
    </row>
    <row r="21" customFormat="false" ht="15" hidden="false" customHeight="false" outlineLevel="0" collapsed="false">
      <c r="A21" s="0" t="str">
        <f aca="false">Chase1168_2026!A21</f>
        <v>DEBIT</v>
      </c>
      <c r="B21" s="14" t="n">
        <f aca="false">Chase1168_2026!B21</f>
        <v>46181</v>
      </c>
      <c r="C21" s="0" t="str">
        <f aca="false">Chase1168_2026!C21</f>
        <v>Zelle payment to Michael Paytonjian JPM99ck4jzdu</v>
      </c>
      <c r="D21" s="7" t="n">
        <f aca="false">Chase1168_2026!D21</f>
        <v>-95</v>
      </c>
      <c r="E21" s="0" t="str">
        <f aca="false">Chase1168_2026!E21</f>
        <v>CHASE_TO_PARTNERFI</v>
      </c>
      <c r="F21" s="7" t="n">
        <f aca="false">Chase1168_2026!F21</f>
        <v>30483.44</v>
      </c>
      <c r="G21" s="0" t="str">
        <f aca="false">Chase1168_2026!G21</f>
        <v>Office/Miscellaneous Reimbursement - Mike P.</v>
      </c>
      <c r="H21" s="15" t="n">
        <f aca="false">IF($B21="","",DATE(YEAR($B21),MONTH($B21),1))</f>
        <v>46174</v>
      </c>
      <c r="I21" s="0" t="str">
        <f aca="false">IF($G21="","Uncategorized — Review",IFERROR(INDEX(Mapping!$B:$B,MATCH($G21,Mapping!$A:$A,0)),"Uncategorized — Review"))</f>
        <v>Office/Miscellaneous Reimbursement - Mike P.</v>
      </c>
      <c r="J21" s="0" t="str">
        <f aca="false">IF($G21="","Uncategorized — Review",IFERROR(INDEX(Mapping!$C:$C,MATCH($G21,Mapping!$A:$A,0)),"Uncategorized — Review"))</f>
        <v>DWG Operating</v>
      </c>
    </row>
    <row r="22" customFormat="false" ht="15" hidden="false" customHeight="false" outlineLevel="0" collapsed="false">
      <c r="A22" s="0" t="str">
        <f aca="false">Chase1168_2026!A22</f>
        <v>DEBIT</v>
      </c>
      <c r="B22" s="14" t="n">
        <f aca="false">Chase1168_2026!B22</f>
        <v>46181</v>
      </c>
      <c r="C22" s="0" t="str">
        <f aca="false">Chase1168_2026!C22</f>
        <v>Basic Online Payroll Payment 11221685096 to ########4122</v>
      </c>
      <c r="D22" s="7" t="n">
        <f aca="false">Chase1168_2026!D22</f>
        <v>-2000</v>
      </c>
      <c r="E22" s="0" t="str">
        <f aca="false">Chase1168_2026!E22</f>
        <v>BASIC_PAYROLL</v>
      </c>
      <c r="F22" s="7" t="n">
        <f aca="false">Chase1168_2026!F22</f>
        <v>30578.44</v>
      </c>
      <c r="G22" s="0" t="str">
        <f aca="false">Chase1168_2026!G22</f>
        <v>Mike Paytonjian - Payroll</v>
      </c>
      <c r="H22" s="15" t="n">
        <f aca="false">IF($B22="","",DATE(YEAR($B22),MONTH($B22),1))</f>
        <v>46174</v>
      </c>
      <c r="I22" s="0" t="str">
        <f aca="false">IF($G22="","Uncategorized — Review",IFERROR(INDEX(Mapping!$B:$B,MATCH($G22,Mapping!$A:$A,0)),"Uncategorized — Review"))</f>
        <v>Mike Paytonjian - Payroll</v>
      </c>
      <c r="J22" s="0" t="str">
        <f aca="false">IF($G22="","Uncategorized — Review",IFERROR(INDEX(Mapping!$C:$C,MATCH($G22,Mapping!$A:$A,0)),"Uncategorized — Review"))</f>
        <v>Payroll &amp; Contractors</v>
      </c>
    </row>
    <row r="23" customFormat="false" ht="15" hidden="false" customHeight="false" outlineLevel="0" collapsed="false">
      <c r="A23" s="0" t="str">
        <f aca="false">Chase1168_2026!A23</f>
        <v>DEBIT</v>
      </c>
      <c r="B23" s="14" t="n">
        <f aca="false">Chase1168_2026!B23</f>
        <v>46181</v>
      </c>
      <c r="C23" s="0" t="str">
        <f aca="false">Chase1168_2026!C23</f>
        <v>ORIG CO NAME:VENMO                  ORIG ID:3264681992 DESC DATE:260606 CO ENTRY DESCR:PAYMENT   SEC:WEB    TRACE#:021000021456247 EED:260608   IND ID:1050813336826                IND NAME:JUDD DUNNING                                                                                                 260606PPZDEU TRN: 1591456247TC</v>
      </c>
      <c r="D23" s="7" t="n">
        <f aca="false">Chase1168_2026!D23</f>
        <v>-300</v>
      </c>
      <c r="E23" s="0" t="str">
        <f aca="false">Chase1168_2026!E23</f>
        <v>ACH_DEBIT</v>
      </c>
      <c r="F23" s="7" t="n">
        <f aca="false">Chase1168_2026!F23</f>
        <v>32578.44</v>
      </c>
      <c r="G23" s="0" t="str">
        <f aca="false">Chase1168_2026!G23</f>
        <v>Venmo</v>
      </c>
      <c r="H23" s="15" t="n">
        <f aca="false">IF($B23="","",DATE(YEAR($B23),MONTH($B23),1))</f>
        <v>46174</v>
      </c>
      <c r="I23" s="0" t="str">
        <f aca="false">IF($G23="","Uncategorized — Review",IFERROR(INDEX(Mapping!$B:$B,MATCH($G23,Mapping!$A:$A,0)),"Uncategorized — Review"))</f>
        <v>Venmo</v>
      </c>
      <c r="J23" s="0" t="str">
        <f aca="false">IF($G23="","Uncategorized — Review",IFERROR(INDEX(Mapping!$C:$C,MATCH($G23,Mapping!$A:$A,0)),"Uncategorized — Review"))</f>
        <v>P2P Payments (Zelle/Venmo/PayPal)</v>
      </c>
    </row>
    <row r="24" customFormat="false" ht="15" hidden="false" customHeight="false" outlineLevel="0" collapsed="false">
      <c r="A24" s="0" t="str">
        <f aca="false">Chase1168_2026!A24</f>
        <v>DEBIT</v>
      </c>
      <c r="B24" s="14" t="n">
        <f aca="false">Chase1168_2026!B24</f>
        <v>46181</v>
      </c>
      <c r="C24" s="0" t="str">
        <f aca="false">Chase1168_2026!C24</f>
        <v>Online Transfer to CHK ...1117 transaction#: 29529799629 06/08</v>
      </c>
      <c r="D24" s="7" t="n">
        <f aca="false">Chase1168_2026!D24</f>
        <v>-3000</v>
      </c>
      <c r="E24" s="0" t="str">
        <f aca="false">Chase1168_2026!E24</f>
        <v>ACCT_XFER</v>
      </c>
      <c r="F24" s="7" t="n">
        <f aca="false">Chase1168_2026!F24</f>
        <v>32878.44</v>
      </c>
      <c r="G24" s="0" t="str">
        <f aca="false">Chase1168_2026!G24</f>
        <v>Transfer to Angela Dunning</v>
      </c>
      <c r="H24" s="15" t="n">
        <f aca="false">IF($B24="","",DATE(YEAR($B24),MONTH($B24),1))</f>
        <v>46174</v>
      </c>
      <c r="I24" s="0" t="str">
        <f aca="false">IF($G24="","Uncategorized — Review",IFERROR(INDEX(Mapping!$B:$B,MATCH($G24,Mapping!$A:$A,0)),"Uncategorized — Review"))</f>
        <v>Transfer to Angela Dunning</v>
      </c>
      <c r="J24" s="0" t="str">
        <f aca="false">IF($G24="","Uncategorized — Review",IFERROR(INDEX(Mapping!$C:$C,MATCH($G24,Mapping!$A:$A,0)),"Uncategorized — Review"))</f>
        <v>Owner / Family Distributions</v>
      </c>
    </row>
    <row r="25" customFormat="false" ht="15" hidden="false" customHeight="false" outlineLevel="0" collapsed="false">
      <c r="A25" s="0" t="str">
        <f aca="false">Chase1168_2026!A25</f>
        <v>DEBIT</v>
      </c>
      <c r="B25" s="14" t="n">
        <f aca="false">Chase1168_2026!B25</f>
        <v>46181</v>
      </c>
      <c r="C25" s="0" t="str">
        <f aca="false">Chase1168_2026!C25</f>
        <v>GODADDY#4106882687 480-5058855 AZ            06/07</v>
      </c>
      <c r="D25" s="7" t="n">
        <f aca="false">Chase1168_2026!D25</f>
        <v>-11.99</v>
      </c>
      <c r="E25" s="0" t="str">
        <f aca="false">Chase1168_2026!E25</f>
        <v>DEBIT_CARD</v>
      </c>
      <c r="F25" s="7" t="n">
        <f aca="false">Chase1168_2026!F25</f>
        <v>35878.44</v>
      </c>
      <c r="G25" s="0" t="str">
        <f aca="false">Chase1168_2026!G25</f>
        <v>Go Daddy</v>
      </c>
      <c r="H25" s="15" t="n">
        <f aca="false">IF($B25="","",DATE(YEAR($B25),MONTH($B25),1))</f>
        <v>46174</v>
      </c>
      <c r="I25" s="0" t="str">
        <f aca="false">IF($G25="","Uncategorized — Review",IFERROR(INDEX(Mapping!$B:$B,MATCH($G25,Mapping!$A:$A,0)),"Uncategorized — Review"))</f>
        <v>Go Daddy</v>
      </c>
      <c r="J25" s="0" t="str">
        <f aca="false">IF($G25="","Uncategorized — Review",IFERROR(INDEX(Mapping!$C:$C,MATCH($G25,Mapping!$A:$A,0)),"Uncategorized — Review"))</f>
        <v>DWG Operating</v>
      </c>
    </row>
    <row r="26" customFormat="false" ht="15" hidden="false" customHeight="false" outlineLevel="0" collapsed="false">
      <c r="A26" s="0" t="str">
        <f aca="false">Chase1168_2026!A26</f>
        <v>DEBIT</v>
      </c>
      <c r="B26" s="14" t="n">
        <f aca="false">Chase1168_2026!B26</f>
        <v>46181</v>
      </c>
      <c r="C26" s="0" t="str">
        <f aca="false">Chase1168_2026!C26</f>
        <v>PAYPAL *RUTHALCANCI 402-935-7733 CA          06/06</v>
      </c>
      <c r="D26" s="7" t="n">
        <f aca="false">Chase1168_2026!D26</f>
        <v>-108.14</v>
      </c>
      <c r="E26" s="0" t="str">
        <f aca="false">Chase1168_2026!E26</f>
        <v>DEBIT_CARD</v>
      </c>
      <c r="F26" s="7" t="n">
        <f aca="false">Chase1168_2026!F26</f>
        <v>35890.43</v>
      </c>
      <c r="G26" s="0" t="str">
        <f aca="false">Chase1168_2026!G26</f>
        <v>Ruth Alcancia - Forward Bridge Payment</v>
      </c>
      <c r="H26" s="15" t="n">
        <f aca="false">IF($B26="","",DATE(YEAR($B26),MONTH($B26),1))</f>
        <v>46174</v>
      </c>
      <c r="I26" s="0" t="str">
        <f aca="false">IF($G26="","Uncategorized — Review",IFERROR(INDEX(Mapping!$B:$B,MATCH($G26,Mapping!$A:$A,0)),"Uncategorized — Review"))</f>
        <v>Ruth Alcancia - Forward Bridge Payment</v>
      </c>
      <c r="J26" s="0" t="str">
        <f aca="false">IF($G26="","Uncategorized — Review",IFERROR(INDEX(Mapping!$C:$C,MATCH($G26,Mapping!$A:$A,0)),"Uncategorized — Review"))</f>
        <v>Payroll &amp; Contractors</v>
      </c>
    </row>
    <row r="27" customFormat="false" ht="15" hidden="false" customHeight="false" outlineLevel="0" collapsed="false">
      <c r="A27" s="0" t="str">
        <f aca="false">Chase1168_2026!A27</f>
        <v>DEBIT</v>
      </c>
      <c r="B27" s="14" t="n">
        <f aca="false">Chase1168_2026!B27</f>
        <v>46181</v>
      </c>
      <c r="C27" s="0" t="str">
        <f aca="false">Chase1168_2026!C27</f>
        <v>GODADDY#4105533631 480-5058855 AZ            06/05</v>
      </c>
      <c r="D27" s="7" t="n">
        <f aca="false">Chase1168_2026!D27</f>
        <v>-19.97</v>
      </c>
      <c r="E27" s="0" t="str">
        <f aca="false">Chase1168_2026!E27</f>
        <v>DEBIT_CARD</v>
      </c>
      <c r="F27" s="7" t="n">
        <f aca="false">Chase1168_2026!F27</f>
        <v>35998.57</v>
      </c>
      <c r="G27" s="0" t="str">
        <f aca="false">Chase1168_2026!G27</f>
        <v>Go Daddy</v>
      </c>
      <c r="H27" s="15" t="n">
        <f aca="false">IF($B27="","",DATE(YEAR($B27),MONTH($B27),1))</f>
        <v>46174</v>
      </c>
      <c r="I27" s="0" t="str">
        <f aca="false">IF($G27="","Uncategorized — Review",IFERROR(INDEX(Mapping!$B:$B,MATCH($G27,Mapping!$A:$A,0)),"Uncategorized — Review"))</f>
        <v>Go Daddy</v>
      </c>
      <c r="J27" s="0" t="str">
        <f aca="false">IF($G27="","Uncategorized — Review",IFERROR(INDEX(Mapping!$C:$C,MATCH($G27,Mapping!$A:$A,0)),"Uncategorized — Review"))</f>
        <v>DWG Operating</v>
      </c>
    </row>
    <row r="28" customFormat="false" ht="15" hidden="false" customHeight="false" outlineLevel="0" collapsed="false">
      <c r="A28" s="0" t="str">
        <f aca="false">Chase1168_2026!A28</f>
        <v>DEBIT</v>
      </c>
      <c r="B28" s="14" t="n">
        <f aca="false">Chase1168_2026!B28</f>
        <v>46177</v>
      </c>
      <c r="C28" s="0" t="str">
        <f aca="false">Chase1168_2026!C28</f>
        <v>ONLINE FX INTERNATIONAL WIRE FEE</v>
      </c>
      <c r="D28" s="7" t="n">
        <f aca="false">Chase1168_2026!D28</f>
        <v>-5</v>
      </c>
      <c r="E28" s="0" t="str">
        <f aca="false">Chase1168_2026!E28</f>
        <v>FEE_TRANSACTION</v>
      </c>
      <c r="F28" s="7" t="n">
        <f aca="false">Chase1168_2026!F28</f>
        <v>36018.54</v>
      </c>
      <c r="G28" s="0" t="str">
        <f aca="false">Chase1168_2026!G28</f>
        <v>Andres Alarcon Payroll</v>
      </c>
      <c r="H28" s="15" t="n">
        <f aca="false">IF($B28="","",DATE(YEAR($B28),MONTH($B28),1))</f>
        <v>46174</v>
      </c>
      <c r="I28" s="0" t="str">
        <f aca="false">IF($G28="","Uncategorized — Review",IFERROR(INDEX(Mapping!$B:$B,MATCH($G28,Mapping!$A:$A,0)),"Uncategorized — Review"))</f>
        <v>Andres Alarcon Payroll</v>
      </c>
      <c r="J28" s="0" t="str">
        <f aca="false">IF($G28="","Uncategorized — Review",IFERROR(INDEX(Mapping!$C:$C,MATCH($G28,Mapping!$A:$A,0)),"Uncategorized — Review"))</f>
        <v>Payroll &amp; Contractors</v>
      </c>
    </row>
    <row r="29" customFormat="false" ht="15" hidden="false" customHeight="false" outlineLevel="0" collapsed="false">
      <c r="A29" s="0" t="str">
        <f aca="false">Chase1168_2026!A29</f>
        <v>DEBIT</v>
      </c>
      <c r="B29" s="14" t="n">
        <f aca="false">Chase1168_2026!B29</f>
        <v>46177</v>
      </c>
      <c r="C29" s="0" t="str">
        <f aca="false">Chase1168_2026!C29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PAYMENTS/OCMT/COP25 41353,93/EXCH/3388.4719/CNTR/107830 52/INT/ANDRES_52763ATHOTMAIL.C TRN: 6825500155RE 06/04</v>
      </c>
      <c r="D29" s="7" t="n">
        <f aca="false">Chase1168_2026!D29</f>
        <v>-750</v>
      </c>
      <c r="E29" s="0" t="str">
        <f aca="false">Chase1168_2026!E29</f>
        <v>WIRE_OUTGOING</v>
      </c>
      <c r="F29" s="7" t="n">
        <f aca="false">Chase1168_2026!F29</f>
        <v>36023.54</v>
      </c>
      <c r="G29" s="0" t="str">
        <f aca="false">Chase1168_2026!G29</f>
        <v>Andres Alarcon Payroll</v>
      </c>
      <c r="H29" s="15" t="n">
        <f aca="false">IF($B29="","",DATE(YEAR($B29),MONTH($B29),1))</f>
        <v>46174</v>
      </c>
      <c r="I29" s="0" t="str">
        <f aca="false">IF($G29="","Uncategorized — Review",IFERROR(INDEX(Mapping!$B:$B,MATCH($G29,Mapping!$A:$A,0)),"Uncategorized — Review"))</f>
        <v>Andres Alarcon Payroll</v>
      </c>
      <c r="J29" s="0" t="str">
        <f aca="false">IF($G29="","Uncategorized — Review",IFERROR(INDEX(Mapping!$C:$C,MATCH($G29,Mapping!$A:$A,0)),"Uncategorized — Review"))</f>
        <v>Payroll &amp; Contractors</v>
      </c>
    </row>
    <row r="30" customFormat="false" ht="15" hidden="false" customHeight="false" outlineLevel="0" collapsed="false">
      <c r="A30" s="0" t="str">
        <f aca="false">Chase1168_2026!A30</f>
        <v>DEBIT</v>
      </c>
      <c r="B30" s="14" t="n">
        <f aca="false">Chase1168_2026!B30</f>
        <v>46177</v>
      </c>
      <c r="C30" s="0" t="str">
        <f aca="false">Chase1168_2026!C30</f>
        <v>PAYPAL *PRAGERUNIVE P 833-772-4378 CA        06/03</v>
      </c>
      <c r="D30" s="7" t="n">
        <f aca="false">Chase1168_2026!D30</f>
        <v>-10.78</v>
      </c>
      <c r="E30" s="0" t="str">
        <f aca="false">Chase1168_2026!E30</f>
        <v>DEBIT_CARD</v>
      </c>
      <c r="F30" s="7" t="n">
        <f aca="false">Chase1168_2026!F30</f>
        <v>36773.54</v>
      </c>
      <c r="G30" s="0" t="str">
        <f aca="false">Chase1168_2026!G30</f>
        <v>DWGCP Business Development</v>
      </c>
      <c r="H30" s="15" t="n">
        <f aca="false">IF($B30="","",DATE(YEAR($B30),MONTH($B30),1))</f>
        <v>46174</v>
      </c>
      <c r="I30" s="0" t="str">
        <f aca="false">IF($G30="","Uncategorized — Review",IFERROR(INDEX(Mapping!$B:$B,MATCH($G30,Mapping!$A:$A,0)),"Uncategorized — Review"))</f>
        <v>DWGCP Business Development</v>
      </c>
      <c r="J30" s="0" t="str">
        <f aca="false">IF($G30="","Uncategorized — Review",IFERROR(INDEX(Mapping!$C:$C,MATCH($G30,Mapping!$A:$A,0)),"Uncategorized — Review"))</f>
        <v>DWG Operating</v>
      </c>
    </row>
    <row r="31" customFormat="false" ht="15" hidden="false" customHeight="false" outlineLevel="0" collapsed="false">
      <c r="A31" s="0" t="str">
        <f aca="false">Chase1168_2026!A31</f>
        <v>CREDIT</v>
      </c>
      <c r="B31" s="14" t="n">
        <f aca="false">Chase1168_2026!B31</f>
        <v>46176</v>
      </c>
      <c r="C31" s="0" t="str">
        <f aca="false">Chase1168_2026!C31</f>
        <v>ORIG CO NAME:GI CAPITAL GROUP       ORIG ID:9200502235 DESC DATE:260603 CO ENTRY DESCR:ACH Pmt   SEC:CCD    TRACE#:021000024993841 EED:260603   IND ID:11221721498                  IND NAME:DWG CAPITAL GROUP          For June-2026 (E4: $4190.21 + E7: 4 366.20 = $8,556.41) TRN: 1544993841TC</v>
      </c>
      <c r="D31" s="7" t="n">
        <f aca="false">Chase1168_2026!D31</f>
        <v>8556.41</v>
      </c>
      <c r="E31" s="0" t="str">
        <f aca="false">Chase1168_2026!E31</f>
        <v>ACH_CREDIT</v>
      </c>
      <c r="F31" s="7" t="n">
        <f aca="false">Chase1168_2026!F31</f>
        <v>36784.32</v>
      </c>
      <c r="G31" s="0" t="str">
        <f aca="false">Chase1168_2026!G31</f>
        <v>Incoming MOAB Mortgage Coverage</v>
      </c>
      <c r="H31" s="15" t="n">
        <f aca="false">IF($B31="","",DATE(YEAR($B31),MONTH($B31),1))</f>
        <v>46174</v>
      </c>
      <c r="I31" s="0" t="str">
        <f aca="false">IF($G31="","Uncategorized — Review",IFERROR(INDEX(Mapping!$B:$B,MATCH($G31,Mapping!$A:$A,0)),"Uncategorized — Review"))</f>
        <v>Incoming MOAB Mortgage Coverage</v>
      </c>
      <c r="J31" s="0" t="str">
        <f aca="false">IF($G31="","Uncategorized — Review",IFERROR(INDEX(Mapping!$C:$C,MATCH($G31,Mapping!$A:$A,0)),"Uncategorized — Review"))</f>
        <v>Deal-Specific</v>
      </c>
    </row>
    <row r="32" customFormat="false" ht="15" hidden="false" customHeight="false" outlineLevel="0" collapsed="false">
      <c r="A32" s="0" t="str">
        <f aca="false">Chase1168_2026!A32</f>
        <v>DEBIT</v>
      </c>
      <c r="B32" s="14" t="n">
        <f aca="false">Chase1168_2026!B32</f>
        <v>46175</v>
      </c>
      <c r="C32" s="0" t="str">
        <f aca="false">Chase1168_2026!C32</f>
        <v>Online Transfer to CHK ...8938 transaction#: 29465389902 06/02</v>
      </c>
      <c r="D32" s="7" t="n">
        <f aca="false">Chase1168_2026!D32</f>
        <v>-200</v>
      </c>
      <c r="E32" s="0" t="str">
        <f aca="false">Chase1168_2026!E32</f>
        <v>ACCT_XFER</v>
      </c>
      <c r="F32" s="7" t="n">
        <f aca="false">Chase1168_2026!F32</f>
        <v>28227.91</v>
      </c>
      <c r="G32" s="0" t="str">
        <f aca="false">Chase1168_2026!G32</f>
        <v>Transfer to MRM</v>
      </c>
      <c r="H32" s="15" t="n">
        <f aca="false">IF($B32="","",DATE(YEAR($B32),MONTH($B32),1))</f>
        <v>46174</v>
      </c>
      <c r="I32" s="0" t="str">
        <f aca="false">IF($G32="","Uncategorized — Review",IFERROR(INDEX(Mapping!$B:$B,MATCH($G32,Mapping!$A:$A,0)),"Uncategorized — Review"))</f>
        <v>Transfer to MRM</v>
      </c>
      <c r="J32" s="0" t="str">
        <f aca="false">IF($G32="","Uncategorized — Review",IFERROR(INDEX(Mapping!$C:$C,MATCH($G32,Mapping!$A:$A,0)),"Uncategorized — Review"))</f>
        <v>Intercompany &amp; Savings Transfers</v>
      </c>
    </row>
    <row r="33" customFormat="false" ht="15" hidden="false" customHeight="false" outlineLevel="0" collapsed="false">
      <c r="A33" s="0" t="str">
        <f aca="false">Chase1168_2026!A33</f>
        <v>DEBIT</v>
      </c>
      <c r="B33" s="14" t="n">
        <f aca="false">Chase1168_2026!B33</f>
        <v>46175</v>
      </c>
      <c r="C33" s="0" t="str">
        <f aca="false">Chase1168_2026!C33</f>
        <v>Online Transfer to CHK ...7229 transaction#: 29465384225 06/02</v>
      </c>
      <c r="D33" s="7" t="n">
        <f aca="false">Chase1168_2026!D33</f>
        <v>-200</v>
      </c>
      <c r="E33" s="0" t="str">
        <f aca="false">Chase1168_2026!E33</f>
        <v>ACCT_XFER</v>
      </c>
      <c r="F33" s="7" t="n">
        <f aca="false">Chase1168_2026!F33</f>
        <v>28427.91</v>
      </c>
      <c r="G33" s="0" t="str">
        <f aca="false">Chase1168_2026!G33</f>
        <v>Transfer to MRM</v>
      </c>
      <c r="H33" s="15" t="n">
        <f aca="false">IF($B33="","",DATE(YEAR($B33),MONTH($B33),1))</f>
        <v>46174</v>
      </c>
      <c r="I33" s="0" t="str">
        <f aca="false">IF($G33="","Uncategorized — Review",IFERROR(INDEX(Mapping!$B:$B,MATCH($G33,Mapping!$A:$A,0)),"Uncategorized — Review"))</f>
        <v>Transfer to MRM</v>
      </c>
      <c r="J33" s="0" t="str">
        <f aca="false">IF($G33="","Uncategorized — Review",IFERROR(INDEX(Mapping!$C:$C,MATCH($G33,Mapping!$A:$A,0)),"Uncategorized — Review"))</f>
        <v>Intercompany &amp; Savings Transfers</v>
      </c>
    </row>
    <row r="34" customFormat="false" ht="15" hidden="false" customHeight="false" outlineLevel="0" collapsed="false">
      <c r="A34" s="0" t="str">
        <f aca="false">Chase1168_2026!A34</f>
        <v>DEBIT</v>
      </c>
      <c r="B34" s="14" t="n">
        <f aca="false">Chase1168_2026!B34</f>
        <v>46175</v>
      </c>
      <c r="C34" s="0" t="str">
        <f aca="false">Chase1168_2026!C34</f>
        <v>Online Transfer to CHK ...8938 transaction#: 29465364866 06/02</v>
      </c>
      <c r="D34" s="7" t="n">
        <f aca="false">Chase1168_2026!D34</f>
        <v>-200</v>
      </c>
      <c r="E34" s="0" t="str">
        <f aca="false">Chase1168_2026!E34</f>
        <v>ACCT_XFER</v>
      </c>
      <c r="F34" s="7" t="n">
        <f aca="false">Chase1168_2026!F34</f>
        <v>28627.91</v>
      </c>
      <c r="G34" s="0" t="str">
        <f aca="false">Chase1168_2026!G34</f>
        <v>Transfer to MRM</v>
      </c>
      <c r="H34" s="15" t="n">
        <f aca="false">IF($B34="","",DATE(YEAR($B34),MONTH($B34),1))</f>
        <v>46174</v>
      </c>
      <c r="I34" s="0" t="str">
        <f aca="false">IF($G34="","Uncategorized — Review",IFERROR(INDEX(Mapping!$B:$B,MATCH($G34,Mapping!$A:$A,0)),"Uncategorized — Review"))</f>
        <v>Transfer to MRM</v>
      </c>
      <c r="J34" s="0" t="str">
        <f aca="false">IF($G34="","Uncategorized — Review",IFERROR(INDEX(Mapping!$C:$C,MATCH($G34,Mapping!$A:$A,0)),"Uncategorized — Review"))</f>
        <v>Intercompany &amp; Savings Transfers</v>
      </c>
    </row>
    <row r="35" customFormat="false" ht="15" hidden="false" customHeight="false" outlineLevel="0" collapsed="false">
      <c r="A35" s="0" t="str">
        <f aca="false">Chase1168_2026!A35</f>
        <v>DEBIT</v>
      </c>
      <c r="B35" s="14" t="n">
        <f aca="false">Chase1168_2026!B35</f>
        <v>46175</v>
      </c>
      <c r="C35" s="0" t="str">
        <f aca="false">Chase1168_2026!C35</f>
        <v>Online Transfer to CHK ...1283 transaction#: 29465373114 06/02</v>
      </c>
      <c r="D35" s="7" t="n">
        <f aca="false">Chase1168_2026!D35</f>
        <v>-200</v>
      </c>
      <c r="E35" s="0" t="str">
        <f aca="false">Chase1168_2026!E35</f>
        <v>ACCT_XFER</v>
      </c>
      <c r="F35" s="7" t="n">
        <f aca="false">Chase1168_2026!F35</f>
        <v>28827.91</v>
      </c>
      <c r="G35" s="0" t="str">
        <f aca="false">Chase1168_2026!G35</f>
        <v>Transfer to DWG Holdings</v>
      </c>
      <c r="H35" s="15" t="n">
        <f aca="false">IF($B35="","",DATE(YEAR($B35),MONTH($B35),1))</f>
        <v>46174</v>
      </c>
      <c r="I35" s="0" t="str">
        <f aca="false">IF($G35="","Uncategorized — Review",IFERROR(INDEX(Mapping!$B:$B,MATCH($G35,Mapping!$A:$A,0)),"Uncategorized — Review"))</f>
        <v>Transfer to DWG Holdings</v>
      </c>
      <c r="J35" s="0" t="str">
        <f aca="false">IF($G35="","Uncategorized — Review",IFERROR(INDEX(Mapping!$C:$C,MATCH($G35,Mapping!$A:$A,0)),"Uncategorized — Review"))</f>
        <v>Intercompany &amp; Savings Transfers</v>
      </c>
    </row>
    <row r="36" customFormat="false" ht="15" hidden="false" customHeight="false" outlineLevel="0" collapsed="false">
      <c r="A36" s="0" t="str">
        <f aca="false">Chase1168_2026!A36</f>
        <v>DEBIT</v>
      </c>
      <c r="B36" s="14" t="n">
        <f aca="false">Chase1168_2026!B36</f>
        <v>46175</v>
      </c>
      <c r="C36" s="0" t="str">
        <f aca="false">Chase1168_2026!C36</f>
        <v>Online Transfer to CHK ...9905 transaction#: 29465362847 06/02</v>
      </c>
      <c r="D36" s="7" t="n">
        <f aca="false">Chase1168_2026!D36</f>
        <v>-300</v>
      </c>
      <c r="E36" s="0" t="str">
        <f aca="false">Chase1168_2026!E36</f>
        <v>ACCT_XFER</v>
      </c>
      <c r="F36" s="7" t="n">
        <f aca="false">Chase1168_2026!F36</f>
        <v>29027.91</v>
      </c>
      <c r="G36" s="0" t="str">
        <f aca="false">Chase1168_2026!G36</f>
        <v>Transfer to Edgebuilders</v>
      </c>
      <c r="H36" s="15" t="n">
        <f aca="false">IF($B36="","",DATE(YEAR($B36),MONTH($B36),1))</f>
        <v>46174</v>
      </c>
      <c r="I36" s="0" t="str">
        <f aca="false">IF($G36="","Uncategorized — Review",IFERROR(INDEX(Mapping!$B:$B,MATCH($G36,Mapping!$A:$A,0)),"Uncategorized — Review"))</f>
        <v>Transfer to Edgebuilders</v>
      </c>
      <c r="J36" s="0" t="str">
        <f aca="false">IF($G36="","Uncategorized — Review",IFERROR(INDEX(Mapping!$C:$C,MATCH($G36,Mapping!$A:$A,0)),"Uncategorized — Review"))</f>
        <v>Intercompany &amp; Savings Transfers</v>
      </c>
    </row>
    <row r="37" customFormat="false" ht="15" hidden="false" customHeight="false" outlineLevel="0" collapsed="false">
      <c r="A37" s="0" t="str">
        <f aca="false">Chase1168_2026!A37</f>
        <v>DEBIT</v>
      </c>
      <c r="B37" s="14" t="n">
        <f aca="false">Chase1168_2026!B37</f>
        <v>46175</v>
      </c>
      <c r="C37" s="0" t="str">
        <f aca="false">Chase1168_2026!C37</f>
        <v>Online Transfer to CHK ...1117 transaction#: 29465360785 06/02</v>
      </c>
      <c r="D37" s="7" t="n">
        <f aca="false">Chase1168_2026!D37</f>
        <v>-2000</v>
      </c>
      <c r="E37" s="0" t="str">
        <f aca="false">Chase1168_2026!E37</f>
        <v>ACCT_XFER</v>
      </c>
      <c r="F37" s="7" t="n">
        <f aca="false">Chase1168_2026!F37</f>
        <v>29327.91</v>
      </c>
      <c r="G37" s="0" t="str">
        <f aca="false">Chase1168_2026!G37</f>
        <v>Transfer to Angela Dunning</v>
      </c>
      <c r="H37" s="15" t="n">
        <f aca="false">IF($B37="","",DATE(YEAR($B37),MONTH($B37),1))</f>
        <v>46174</v>
      </c>
      <c r="I37" s="0" t="str">
        <f aca="false">IF($G37="","Uncategorized — Review",IFERROR(INDEX(Mapping!$B:$B,MATCH($G37,Mapping!$A:$A,0)),"Uncategorized — Review"))</f>
        <v>Transfer to Angela Dunning</v>
      </c>
      <c r="J37" s="0" t="str">
        <f aca="false">IF($G37="","Uncategorized — Review",IFERROR(INDEX(Mapping!$C:$C,MATCH($G37,Mapping!$A:$A,0)),"Uncategorized — Review"))</f>
        <v>Owner / Family Distributions</v>
      </c>
    </row>
    <row r="38" customFormat="false" ht="15" hidden="false" customHeight="false" outlineLevel="0" collapsed="false">
      <c r="A38" s="0" t="str">
        <f aca="false">Chase1168_2026!A38</f>
        <v>DEBIT</v>
      </c>
      <c r="B38" s="14" t="n">
        <f aca="false">Chase1168_2026!B38</f>
        <v>46175</v>
      </c>
      <c r="C38" s="0" t="str">
        <f aca="false">Chase1168_2026!C38</f>
        <v>GODADDY#4102819395 480-5058855 AZ            06/02</v>
      </c>
      <c r="D38" s="7" t="n">
        <f aca="false">Chase1168_2026!D38</f>
        <v>-5.99</v>
      </c>
      <c r="E38" s="0" t="str">
        <f aca="false">Chase1168_2026!E38</f>
        <v>DEBIT_CARD</v>
      </c>
      <c r="F38" s="7" t="n">
        <f aca="false">Chase1168_2026!F38</f>
        <v>31327.91</v>
      </c>
      <c r="G38" s="0" t="str">
        <f aca="false">Chase1168_2026!G38</f>
        <v>Go Daddy</v>
      </c>
      <c r="H38" s="15" t="n">
        <f aca="false">IF($B38="","",DATE(YEAR($B38),MONTH($B38),1))</f>
        <v>46174</v>
      </c>
      <c r="I38" s="0" t="str">
        <f aca="false">IF($G38="","Uncategorized — Review",IFERROR(INDEX(Mapping!$B:$B,MATCH($G38,Mapping!$A:$A,0)),"Uncategorized — Review"))</f>
        <v>Go Daddy</v>
      </c>
      <c r="J38" s="0" t="str">
        <f aca="false">IF($G38="","Uncategorized — Review",IFERROR(INDEX(Mapping!$C:$C,MATCH($G38,Mapping!$A:$A,0)),"Uncategorized — Review"))</f>
        <v>DWG Operating</v>
      </c>
    </row>
    <row r="39" customFormat="false" ht="15" hidden="false" customHeight="false" outlineLevel="0" collapsed="false">
      <c r="A39" s="0" t="str">
        <f aca="false">Chase1168_2026!A39</f>
        <v>DEBIT</v>
      </c>
      <c r="B39" s="14" t="n">
        <f aca="false">Chase1168_2026!B39</f>
        <v>46175</v>
      </c>
      <c r="C39" s="0" t="str">
        <f aca="false">Chase1168_2026!C39</f>
        <v>GODADDY#4102201395 480-5058855 AZ            06/01</v>
      </c>
      <c r="D39" s="7" t="n">
        <f aca="false">Chase1168_2026!D39</f>
        <v>-33.97</v>
      </c>
      <c r="E39" s="0" t="str">
        <f aca="false">Chase1168_2026!E39</f>
        <v>DEBIT_CARD</v>
      </c>
      <c r="F39" s="7" t="n">
        <f aca="false">Chase1168_2026!F39</f>
        <v>31333.9</v>
      </c>
      <c r="G39" s="0" t="str">
        <f aca="false">Chase1168_2026!G39</f>
        <v>Go Daddy</v>
      </c>
      <c r="H39" s="15" t="n">
        <f aca="false">IF($B39="","",DATE(YEAR($B39),MONTH($B39),1))</f>
        <v>46174</v>
      </c>
      <c r="I39" s="0" t="str">
        <f aca="false">IF($G39="","Uncategorized — Review",IFERROR(INDEX(Mapping!$B:$B,MATCH($G39,Mapping!$A:$A,0)),"Uncategorized — Review"))</f>
        <v>Go Daddy</v>
      </c>
      <c r="J39" s="0" t="str">
        <f aca="false">IF($G39="","Uncategorized — Review",IFERROR(INDEX(Mapping!$C:$C,MATCH($G39,Mapping!$A:$A,0)),"Uncategorized — Review"))</f>
        <v>DWG Operating</v>
      </c>
    </row>
    <row r="40" customFormat="false" ht="15" hidden="false" customHeight="false" outlineLevel="0" collapsed="false">
      <c r="A40" s="0" t="str">
        <f aca="false">Chase1168_2026!A40</f>
        <v>CREDIT</v>
      </c>
      <c r="B40" s="14" t="n">
        <f aca="false">Chase1168_2026!B40</f>
        <v>46175</v>
      </c>
      <c r="C40" s="0" t="str">
        <f aca="false">Chase1168_2026!C40</f>
        <v>Online Transfer from CHK ...9335 transaction#: 29465359966</v>
      </c>
      <c r="D40" s="7" t="n">
        <f aca="false">Chase1168_2026!D40</f>
        <v>30000</v>
      </c>
      <c r="E40" s="0" t="str">
        <f aca="false">Chase1168_2026!E40</f>
        <v>ACCT_XFER</v>
      </c>
      <c r="F40" s="7" t="n">
        <f aca="false">Chase1168_2026!F40</f>
        <v>31367.87</v>
      </c>
      <c r="G40" s="0" t="str">
        <f aca="false">Chase1168_2026!G40</f>
        <v>Poseidon Asset Group (Incoming)</v>
      </c>
      <c r="H40" s="15" t="n">
        <f aca="false">IF($B40="","",DATE(YEAR($B40),MONTH($B40),1))</f>
        <v>46174</v>
      </c>
      <c r="I40" s="0" t="str">
        <f aca="false">IF($G40="","Uncategorized — Review",IFERROR(INDEX(Mapping!$B:$B,MATCH($G40,Mapping!$A:$A,0)),"Uncategorized — Review"))</f>
        <v>Poseidon Asset Group (Incoming)</v>
      </c>
      <c r="J40" s="0" t="str">
        <f aca="false">IF($G40="","Uncategorized — Review",IFERROR(INDEX(Mapping!$C:$C,MATCH($G40,Mapping!$A:$A,0)),"Uncategorized — Review"))</f>
        <v>Poseidon Asset Group</v>
      </c>
    </row>
    <row r="41" customFormat="false" ht="15" hidden="false" customHeight="false" outlineLevel="0" collapsed="false">
      <c r="A41" s="0" t="str">
        <f aca="false">Chase1168_2026!A41</f>
        <v>DEBIT</v>
      </c>
      <c r="B41" s="14" t="n">
        <f aca="false">Chase1168_2026!B41</f>
        <v>46174</v>
      </c>
      <c r="C41" s="0" t="str">
        <f aca="false">Chase1168_2026!C41</f>
        <v>RTP/Same Day - Low Value</v>
      </c>
      <c r="D41" s="7" t="n">
        <f aca="false">Chase1168_2026!D41</f>
        <v>-15</v>
      </c>
      <c r="E41" s="0" t="str">
        <f aca="false">Chase1168_2026!E41</f>
        <v>FEE_TRANSACTION</v>
      </c>
      <c r="F41" s="7" t="n">
        <f aca="false">Chase1168_2026!F41</f>
        <v>1367.87</v>
      </c>
      <c r="G41" s="0" t="str">
        <f aca="false">Chase1168_2026!G41</f>
        <v>Bank Fees</v>
      </c>
      <c r="H41" s="15" t="n">
        <f aca="false">IF($B41="","",DATE(YEAR($B41),MONTH($B41),1))</f>
        <v>46174</v>
      </c>
      <c r="I41" s="0" t="str">
        <f aca="false">IF($G41="","Uncategorized — Review",IFERROR(INDEX(Mapping!$B:$B,MATCH($G41,Mapping!$A:$A,0)),"Uncategorized — Review"))</f>
        <v>Bank Fees</v>
      </c>
      <c r="J41" s="0" t="str">
        <f aca="false">IF($G41="","Uncategorized — Review",IFERROR(INDEX(Mapping!$C:$C,MATCH($G41,Mapping!$A:$A,0)),"Uncategorized — Review"))</f>
        <v>DWG Operating</v>
      </c>
    </row>
    <row r="42" customFormat="false" ht="15" hidden="false" customHeight="false" outlineLevel="0" collapsed="false">
      <c r="A42" s="0" t="str">
        <f aca="false">Chase1168_2026!A42</f>
        <v>DEBIT</v>
      </c>
      <c r="B42" s="14" t="n">
        <f aca="false">Chase1168_2026!B42</f>
        <v>46174</v>
      </c>
      <c r="C42" s="0" t="str">
        <f aca="false">Chase1168_2026!C42</f>
        <v>STD ACH PMNTS VOLUME FEE QTY = 4</v>
      </c>
      <c r="D42" s="7" t="n">
        <f aca="false">Chase1168_2026!D42</f>
        <v>-0.6</v>
      </c>
      <c r="E42" s="0" t="str">
        <f aca="false">Chase1168_2026!E42</f>
        <v>FEE_TRANSACTION</v>
      </c>
      <c r="F42" s="7" t="n">
        <f aca="false">Chase1168_2026!F42</f>
        <v>1382.87</v>
      </c>
      <c r="G42" s="0" t="str">
        <f aca="false">Chase1168_2026!G42</f>
        <v>Bank Fees</v>
      </c>
      <c r="H42" s="15" t="n">
        <f aca="false">IF($B42="","",DATE(YEAR($B42),MONTH($B42),1))</f>
        <v>46174</v>
      </c>
      <c r="I42" s="0" t="str">
        <f aca="false">IF($G42="","Uncategorized — Review",IFERROR(INDEX(Mapping!$B:$B,MATCH($G42,Mapping!$A:$A,0)),"Uncategorized — Review"))</f>
        <v>Bank Fees</v>
      </c>
      <c r="J42" s="0" t="str">
        <f aca="false">IF($G42="","Uncategorized — Review",IFERROR(INDEX(Mapping!$C:$C,MATCH($G42,Mapping!$A:$A,0)),"Uncategorized — Review"))</f>
        <v>DWG Operating</v>
      </c>
    </row>
    <row r="43" customFormat="false" ht="15" hidden="false" customHeight="false" outlineLevel="0" collapsed="false">
      <c r="A43" s="0" t="str">
        <f aca="false">Chase1168_2026!A43</f>
        <v>DEBIT</v>
      </c>
      <c r="B43" s="14" t="n">
        <f aca="false">Chase1168_2026!B43</f>
        <v>46174</v>
      </c>
      <c r="C43" s="0" t="str">
        <f aca="false">Chase1168_2026!C43</f>
        <v>RTP/Same Day - High Value</v>
      </c>
      <c r="D43" s="7" t="n">
        <f aca="false">Chase1168_2026!D43</f>
        <v>-25</v>
      </c>
      <c r="E43" s="0" t="str">
        <f aca="false">Chase1168_2026!E43</f>
        <v>FEE_TRANSACTION</v>
      </c>
      <c r="F43" s="7" t="n">
        <f aca="false">Chase1168_2026!F43</f>
        <v>1383.47</v>
      </c>
      <c r="G43" s="0" t="str">
        <f aca="false">Chase1168_2026!G43</f>
        <v>Bank Fees</v>
      </c>
      <c r="H43" s="15" t="n">
        <f aca="false">IF($B43="","",DATE(YEAR($B43),MONTH($B43),1))</f>
        <v>46174</v>
      </c>
      <c r="I43" s="0" t="str">
        <f aca="false">IF($G43="","Uncategorized — Review",IFERROR(INDEX(Mapping!$B:$B,MATCH($G43,Mapping!$A:$A,0)),"Uncategorized — Review"))</f>
        <v>Bank Fees</v>
      </c>
      <c r="J43" s="0" t="str">
        <f aca="false">IF($G43="","Uncategorized — Review",IFERROR(INDEX(Mapping!$C:$C,MATCH($G43,Mapping!$A:$A,0)),"Uncategorized — Review"))</f>
        <v>DWG Operating</v>
      </c>
    </row>
    <row r="44" customFormat="false" ht="15" hidden="false" customHeight="false" outlineLevel="0" collapsed="false">
      <c r="A44" s="0" t="str">
        <f aca="false">Chase1168_2026!A44</f>
        <v>DEBIT</v>
      </c>
      <c r="B44" s="14" t="n">
        <f aca="false">Chase1168_2026!B44</f>
        <v>46174</v>
      </c>
      <c r="C44" s="0" t="str">
        <f aca="false">Chase1168_2026!C44</f>
        <v>STANDARD ACH PMNTS INITIAL FEE QTY = 10</v>
      </c>
      <c r="D44" s="7" t="n">
        <f aca="false">Chase1168_2026!D44</f>
        <v>-25</v>
      </c>
      <c r="E44" s="0" t="str">
        <f aca="false">Chase1168_2026!E44</f>
        <v>FEE_TRANSACTION</v>
      </c>
      <c r="F44" s="7" t="n">
        <f aca="false">Chase1168_2026!F44</f>
        <v>1408.47</v>
      </c>
      <c r="G44" s="0" t="str">
        <f aca="false">Chase1168_2026!G44</f>
        <v>Bank Fees</v>
      </c>
      <c r="H44" s="15" t="n">
        <f aca="false">IF($B44="","",DATE(YEAR($B44),MONTH($B44),1))</f>
        <v>46174</v>
      </c>
      <c r="I44" s="0" t="str">
        <f aca="false">IF($G44="","Uncategorized — Review",IFERROR(INDEX(Mapping!$B:$B,MATCH($G44,Mapping!$A:$A,0)),"Uncategorized — Review"))</f>
        <v>Bank Fees</v>
      </c>
      <c r="J44" s="0" t="str">
        <f aca="false">IF($G44="","Uncategorized — Review",IFERROR(INDEX(Mapping!$C:$C,MATCH($G44,Mapping!$A:$A,0)),"Uncategorized — Review"))</f>
        <v>DWG Operating</v>
      </c>
    </row>
    <row r="45" customFormat="false" ht="15" hidden="false" customHeight="false" outlineLevel="0" collapsed="false">
      <c r="A45" s="0" t="str">
        <f aca="false">Chase1168_2026!A45</f>
        <v>DEBIT</v>
      </c>
      <c r="B45" s="14" t="n">
        <f aca="false">Chase1168_2026!B45</f>
        <v>46174</v>
      </c>
      <c r="C45" s="0" t="str">
        <f aca="false">Chase1168_2026!C45</f>
        <v>ORIG CO NAME:TXU ENERGY             ORIG ID:1001020329 DESC DATE:       CO ENTRY DESCR:TXUE_ACH  SEC:WEB    TRACE#:021000024347356 EED:260601   IND ID:900062431557                 IND NAME:DWG CAPITAL GROUP          17333702810000000000000000000003568 6717094                                       DIRECT DEBITING TRN: 1524347356TC</v>
      </c>
      <c r="D45" s="7" t="n">
        <f aca="false">Chase1168_2026!D45</f>
        <v>-537</v>
      </c>
      <c r="E45" s="0" t="str">
        <f aca="false">Chase1168_2026!E45</f>
        <v>ACH_DEBIT</v>
      </c>
      <c r="F45" s="7" t="n">
        <f aca="false">Chase1168_2026!F45</f>
        <v>1433.47</v>
      </c>
      <c r="G45" s="0" t="str">
        <f aca="false">Chase1168_2026!G45</f>
        <v>Texas - House Utilities</v>
      </c>
      <c r="H45" s="15" t="n">
        <f aca="false">IF($B45="","",DATE(YEAR($B45),MONTH($B45),1))</f>
        <v>46174</v>
      </c>
      <c r="I45" s="0" t="str">
        <f aca="false">IF($G45="","Uncategorized — Review",IFERROR(INDEX(Mapping!$B:$B,MATCH($G45,Mapping!$A:$A,0)),"Uncategorized — Review"))</f>
        <v>Texas - House Utilities</v>
      </c>
      <c r="J45" s="0" t="str">
        <f aca="false">IF($G45="","Uncategorized — Review",IFERROR(INDEX(Mapping!$C:$C,MATCH($G45,Mapping!$A:$A,0)),"Uncategorized — Review"))</f>
        <v>Personal — Owner</v>
      </c>
    </row>
    <row r="46" customFormat="false" ht="15" hidden="false" customHeight="false" outlineLevel="0" collapsed="false">
      <c r="A46" s="0" t="str">
        <f aca="false">Chase1168_2026!A46</f>
        <v>DEBIT</v>
      </c>
      <c r="B46" s="14" t="n">
        <f aca="false">Chase1168_2026!B46</f>
        <v>46174</v>
      </c>
      <c r="C46" s="0" t="str">
        <f aca="false">Chase1168_2026!C46</f>
        <v>ORIG CO NAME:SELECT PORTFOLIO       ORIG ID:1870465626 DESC DATE:       CO ENTRY DESCR:SPS       SEC:WEB    TRACE#:021000024340563 EED:260601   IND ID:0037017712                   IND NAME:John Barker Dunning TRN: 1524340563TC</v>
      </c>
      <c r="D46" s="7" t="n">
        <f aca="false">Chase1168_2026!D46</f>
        <v>-4190.21</v>
      </c>
      <c r="E46" s="0" t="str">
        <f aca="false">Chase1168_2026!E46</f>
        <v>ACH_DEBIT</v>
      </c>
      <c r="F46" s="7" t="n">
        <f aca="false">Chase1168_2026!F46</f>
        <v>1970.47</v>
      </c>
      <c r="G46" s="0" t="str">
        <f aca="false">Chase1168_2026!G46</f>
        <v>Moab E7 Mortgage Payment</v>
      </c>
      <c r="H46" s="15" t="n">
        <f aca="false">IF($B46="","",DATE(YEAR($B46),MONTH($B46),1))</f>
        <v>46174</v>
      </c>
      <c r="I46" s="0" t="str">
        <f aca="false">IF($G46="","Uncategorized — Review",IFERROR(INDEX(Mapping!$B:$B,MATCH($G46,Mapping!$A:$A,0)),"Uncategorized — Review"))</f>
        <v>Moab E7 Mortgage Payment</v>
      </c>
      <c r="J46" s="0" t="str">
        <f aca="false">IF($G46="","Uncategorized — Review",IFERROR(INDEX(Mapping!$C:$C,MATCH($G46,Mapping!$A:$A,0)),"Uncategorized — Review"))</f>
        <v>Deal-Specific</v>
      </c>
    </row>
    <row r="47" customFormat="false" ht="15" hidden="false" customHeight="false" outlineLevel="0" collapsed="false">
      <c r="A47" s="0" t="str">
        <f aca="false">Chase1168_2026!A47</f>
        <v>DEBIT</v>
      </c>
      <c r="B47" s="14" t="n">
        <f aca="false">Chase1168_2026!B47</f>
        <v>46174</v>
      </c>
      <c r="C47" s="0" t="str">
        <f aca="false">Chase1168_2026!C47</f>
        <v>ORIG CO NAME:SELECT PORTFOLIO       ORIG ID:1870465626 DESC DATE:       CO ENTRY DESCR:SPS       SEC:WEB    TRACE#:021000024340564 EED:260601   IND ID:0037017720                   IND NAME:John Barker Dunning TRN: 1524340564TC</v>
      </c>
      <c r="D47" s="7" t="n">
        <f aca="false">Chase1168_2026!D47</f>
        <v>-4366.2</v>
      </c>
      <c r="E47" s="0" t="str">
        <f aca="false">Chase1168_2026!E47</f>
        <v>ACH_DEBIT</v>
      </c>
      <c r="F47" s="7" t="n">
        <f aca="false">Chase1168_2026!F47</f>
        <v>6160.68</v>
      </c>
      <c r="G47" s="0" t="str">
        <f aca="false">Chase1168_2026!G47</f>
        <v>Moab E4 Mortgage Payment</v>
      </c>
      <c r="H47" s="15" t="n">
        <f aca="false">IF($B47="","",DATE(YEAR($B47),MONTH($B47),1))</f>
        <v>46174</v>
      </c>
      <c r="I47" s="0" t="str">
        <f aca="false">IF($G47="","Uncategorized — Review",IFERROR(INDEX(Mapping!$B:$B,MATCH($G47,Mapping!$A:$A,0)),"Uncategorized — Review"))</f>
        <v>Moab E4 Mortgage Payment</v>
      </c>
      <c r="J47" s="0" t="str">
        <f aca="false">IF($G47="","Uncategorized — Review",IFERROR(INDEX(Mapping!$C:$C,MATCH($G47,Mapping!$A:$A,0)),"Uncategorized — Review"))</f>
        <v>Deal-Specific</v>
      </c>
    </row>
    <row r="48" customFormat="false" ht="15" hidden="false" customHeight="false" outlineLevel="0" collapsed="false">
      <c r="A48" s="0" t="str">
        <f aca="false">Chase1168_2026!A48</f>
        <v>DEBIT</v>
      </c>
      <c r="B48" s="14" t="n">
        <f aca="false">Chase1168_2026!B48</f>
        <v>46174</v>
      </c>
      <c r="C48" s="0" t="str">
        <f aca="false">Chase1168_2026!C48</f>
        <v>Basic Online Payroll Payment 11220544739 to ########4122</v>
      </c>
      <c r="D48" s="7" t="n">
        <f aca="false">Chase1168_2026!D48</f>
        <v>-2000</v>
      </c>
      <c r="E48" s="0" t="str">
        <f aca="false">Chase1168_2026!E48</f>
        <v>BASIC_PAYROLL</v>
      </c>
      <c r="F48" s="7" t="n">
        <f aca="false">Chase1168_2026!F48</f>
        <v>10526.88</v>
      </c>
      <c r="G48" s="0" t="str">
        <f aca="false">Chase1168_2026!G48</f>
        <v>Mike Paytonjian - Payroll</v>
      </c>
      <c r="H48" s="15" t="n">
        <f aca="false">IF($B48="","",DATE(YEAR($B48),MONTH($B48),1))</f>
        <v>46174</v>
      </c>
      <c r="I48" s="0" t="str">
        <f aca="false">IF($G48="","Uncategorized — Review",IFERROR(INDEX(Mapping!$B:$B,MATCH($G48,Mapping!$A:$A,0)),"Uncategorized — Review"))</f>
        <v>Mike Paytonjian - Payroll</v>
      </c>
      <c r="J48" s="0" t="str">
        <f aca="false">IF($G48="","Uncategorized — Review",IFERROR(INDEX(Mapping!$C:$C,MATCH($G48,Mapping!$A:$A,0)),"Uncategorized — Review"))</f>
        <v>Payroll &amp; Contractors</v>
      </c>
    </row>
    <row r="49" customFormat="false" ht="15" hidden="false" customHeight="false" outlineLevel="0" collapsed="false">
      <c r="A49" s="0" t="str">
        <f aca="false">Chase1168_2026!A49</f>
        <v>DEBIT</v>
      </c>
      <c r="B49" s="14" t="n">
        <f aca="false">Chase1168_2026!B49</f>
        <v>46174</v>
      </c>
      <c r="C49" s="0" t="str">
        <f aca="false">Chase1168_2026!C49</f>
        <v>ORIG CO NAME:BLUESHIELDCA           ORIG ID:7529219311 DESC DATE:260531 CO ENTRY DESCR:BILL PAY  SEC:CCD    TRACE#:031101111355260 EED:260601   IND ID:15769530921                  IND NAME:ANGELA DUNNING TRN: 1521355260TC</v>
      </c>
      <c r="D49" s="7" t="n">
        <f aca="false">Chase1168_2026!D49</f>
        <v>-974.85</v>
      </c>
      <c r="E49" s="0" t="str">
        <f aca="false">Chase1168_2026!E49</f>
        <v>ACH_DEBIT</v>
      </c>
      <c r="F49" s="7" t="n">
        <f aca="false">Chase1168_2026!F49</f>
        <v>12526.88</v>
      </c>
      <c r="G49" s="0" t="str">
        <f aca="false">Chase1168_2026!G49</f>
        <v>Personal - Health Insurance</v>
      </c>
      <c r="H49" s="15" t="n">
        <f aca="false">IF($B49="","",DATE(YEAR($B49),MONTH($B49),1))</f>
        <v>46174</v>
      </c>
      <c r="I49" s="0" t="str">
        <f aca="false">IF($G49="","Uncategorized — Review",IFERROR(INDEX(Mapping!$B:$B,MATCH($G49,Mapping!$A:$A,0)),"Uncategorized — Review"))</f>
        <v>Personal - Health (incl. Ins.)</v>
      </c>
      <c r="J49" s="0" t="str">
        <f aca="false">IF($G49="","Uncategorized — Review",IFERROR(INDEX(Mapping!$C:$C,MATCH($G49,Mapping!$A:$A,0)),"Uncategorized — Review"))</f>
        <v>Personal — Owner</v>
      </c>
    </row>
    <row r="50" customFormat="false" ht="15" hidden="false" customHeight="false" outlineLevel="0" collapsed="false">
      <c r="A50" s="0" t="str">
        <f aca="false">Chase1168_2026!A50</f>
        <v>DEBIT</v>
      </c>
      <c r="B50" s="14" t="n">
        <f aca="false">Chase1168_2026!B50</f>
        <v>46174</v>
      </c>
      <c r="C50" s="0" t="str">
        <f aca="false">Chase1168_2026!C50</f>
        <v>ORIG CO NAME:GEICO                  ORIG ID:3530075853 DESC DATE:260530 CO ENTRY DESCR:PREM COLL SEC:PPD    TRACE#:021000020855495 EED:260601   IND ID:                             IND NAME:ANGELA TRN: 1520855495TC</v>
      </c>
      <c r="D50" s="7" t="n">
        <f aca="false">Chase1168_2026!D50</f>
        <v>-1124.22</v>
      </c>
      <c r="E50" s="0" t="str">
        <f aca="false">Chase1168_2026!E50</f>
        <v>ACH_DEBIT</v>
      </c>
      <c r="F50" s="7" t="n">
        <f aca="false">Chase1168_2026!F50</f>
        <v>13501.73</v>
      </c>
      <c r="G50" s="0" t="str">
        <f aca="false">Chase1168_2026!G50</f>
        <v>Personal - Car Insurance</v>
      </c>
      <c r="H50" s="15" t="n">
        <f aca="false">IF($B50="","",DATE(YEAR($B50),MONTH($B50),1))</f>
        <v>46174</v>
      </c>
      <c r="I50" s="0" t="str">
        <f aca="false">IF($G50="","Uncategorized — Review",IFERROR(INDEX(Mapping!$B:$B,MATCH($G50,Mapping!$A:$A,0)),"Uncategorized — Review"))</f>
        <v>Personal - Car &amp; Auto</v>
      </c>
      <c r="J50" s="0" t="str">
        <f aca="false">IF($G50="","Uncategorized — Review",IFERROR(INDEX(Mapping!$C:$C,MATCH($G50,Mapping!$A:$A,0)),"Uncategorized — Review"))</f>
        <v>Personal — Owner</v>
      </c>
    </row>
    <row r="51" customFormat="false" ht="15" hidden="false" customHeight="false" outlineLevel="0" collapsed="false">
      <c r="A51" s="0" t="str">
        <f aca="false">Chase1168_2026!A51</f>
        <v>DEBIT</v>
      </c>
      <c r="B51" s="14" t="n">
        <f aca="false">Chase1168_2026!B51</f>
        <v>46174</v>
      </c>
      <c r="C51" s="0" t="str">
        <f aca="false">Chase1168_2026!C51</f>
        <v>ORIG CO NAME:BLUESHIELDCA           ORIG ID:7529219311 DESC DATE:260531 CO ENTRY DESCR:BILL PAY  SEC:CCD    TRACE#:031101111355261 EED:260601   IND ID:15774371331                  IND NAME:JOHN DUNNING TRN: 1521355261TC</v>
      </c>
      <c r="D51" s="7" t="n">
        <f aca="false">Chase1168_2026!D51</f>
        <v>-1293.42</v>
      </c>
      <c r="E51" s="0" t="str">
        <f aca="false">Chase1168_2026!E51</f>
        <v>ACH_DEBIT</v>
      </c>
      <c r="F51" s="7" t="n">
        <f aca="false">Chase1168_2026!F51</f>
        <v>14625.95</v>
      </c>
      <c r="G51" s="0" t="str">
        <f aca="false">Chase1168_2026!G51</f>
        <v>Personal - Health Insurance</v>
      </c>
      <c r="H51" s="15" t="n">
        <f aca="false">IF($B51="","",DATE(YEAR($B51),MONTH($B51),1))</f>
        <v>46174</v>
      </c>
      <c r="I51" s="0" t="str">
        <f aca="false">IF($G51="","Uncategorized — Review",IFERROR(INDEX(Mapping!$B:$B,MATCH($G51,Mapping!$A:$A,0)),"Uncategorized — Review"))</f>
        <v>Personal - Health (incl. Ins.)</v>
      </c>
      <c r="J51" s="0" t="str">
        <f aca="false">IF($G51="","Uncategorized — Review",IFERROR(INDEX(Mapping!$C:$C,MATCH($G51,Mapping!$A:$A,0)),"Uncategorized — Review"))</f>
        <v>Personal — Owner</v>
      </c>
    </row>
    <row r="52" customFormat="false" ht="15" hidden="false" customHeight="false" outlineLevel="0" collapsed="false">
      <c r="A52" s="0" t="str">
        <f aca="false">Chase1168_2026!A52</f>
        <v>DEBIT</v>
      </c>
      <c r="B52" s="14" t="n">
        <f aca="false">Chase1168_2026!B52</f>
        <v>46174</v>
      </c>
      <c r="C52" s="0" t="str">
        <f aca="false">Chase1168_2026!C52</f>
        <v>Online Transfer to CHK ...1117 transaction#: 29420901287 06/01</v>
      </c>
      <c r="D52" s="7" t="n">
        <f aca="false">Chase1168_2026!D52</f>
        <v>-3000</v>
      </c>
      <c r="E52" s="0" t="str">
        <f aca="false">Chase1168_2026!E52</f>
        <v>ACCT_XFER</v>
      </c>
      <c r="F52" s="7" t="n">
        <f aca="false">Chase1168_2026!F52</f>
        <v>15919.37</v>
      </c>
      <c r="G52" s="0" t="str">
        <f aca="false">Chase1168_2026!G52</f>
        <v>Transfer to Angela Dunning</v>
      </c>
      <c r="H52" s="15" t="n">
        <f aca="false">IF($B52="","",DATE(YEAR($B52),MONTH($B52),1))</f>
        <v>46174</v>
      </c>
      <c r="I52" s="0" t="str">
        <f aca="false">IF($G52="","Uncategorized — Review",IFERROR(INDEX(Mapping!$B:$B,MATCH($G52,Mapping!$A:$A,0)),"Uncategorized — Review"))</f>
        <v>Transfer to Angela Dunning</v>
      </c>
      <c r="J52" s="0" t="str">
        <f aca="false">IF($G52="","Uncategorized — Review",IFERROR(INDEX(Mapping!$C:$C,MATCH($G52,Mapping!$A:$A,0)),"Uncategorized — Review"))</f>
        <v>Owner / Family Distributions</v>
      </c>
    </row>
    <row r="53" customFormat="false" ht="15" hidden="false" customHeight="false" outlineLevel="0" collapsed="false">
      <c r="A53" s="0" t="str">
        <f aca="false">Chase1168_2026!A53</f>
        <v>DEBIT</v>
      </c>
      <c r="B53" s="14" t="n">
        <f aca="false">Chase1168_2026!B53</f>
        <v>46174</v>
      </c>
      <c r="C53" s="0" t="str">
        <f aca="false">Chase1168_2026!C53</f>
        <v>ORIG CO NAME:SBA EIDL LOAN          ORIG ID:7300000118 DESC DATE:260529 CO ENTRY DESCR:PAYMENT   SEC:CCD    TRACE#:041036044044886 EED:260601   IND ID:0000                         IND NAME:JOHN DUNNING               1871308204                                                                        ACH TRANSACTION TRN: 1524044886TC</v>
      </c>
      <c r="D53" s="7" t="n">
        <f aca="false">Chase1168_2026!D53</f>
        <v>-2524</v>
      </c>
      <c r="E53" s="0" t="str">
        <f aca="false">Chase1168_2026!E53</f>
        <v>ACH_DEBIT</v>
      </c>
      <c r="F53" s="7" t="n">
        <f aca="false">Chase1168_2026!F53</f>
        <v>18919.37</v>
      </c>
      <c r="G53" s="0" t="str">
        <f aca="false">Chase1168_2026!G53</f>
        <v>SBC EIDL Loan</v>
      </c>
      <c r="H53" s="15" t="n">
        <f aca="false">IF($B53="","",DATE(YEAR($B53),MONTH($B53),1))</f>
        <v>46174</v>
      </c>
      <c r="I53" s="0" t="str">
        <f aca="false">IF($G53="","Uncategorized — Review",IFERROR(INDEX(Mapping!$B:$B,MATCH($G53,Mapping!$A:$A,0)),"Uncategorized — Review"))</f>
        <v>SBC EIDL Loan</v>
      </c>
      <c r="J53" s="0" t="str">
        <f aca="false">IF($G53="","Uncategorized — Review",IFERROR(INDEX(Mapping!$C:$C,MATCH($G53,Mapping!$A:$A,0)),"Uncategorized — Review"))</f>
        <v>Credit Card &amp; Loan Payments</v>
      </c>
    </row>
    <row r="54" customFormat="false" ht="15" hidden="false" customHeight="false" outlineLevel="0" collapsed="false">
      <c r="A54" s="0" t="str">
        <f aca="false">Chase1168_2026!A54</f>
        <v>DEBIT</v>
      </c>
      <c r="B54" s="14" t="n">
        <f aca="false">Chase1168_2026!B54</f>
        <v>46171</v>
      </c>
      <c r="C54" s="0" t="str">
        <f aca="false">Chase1168_2026!C54</f>
        <v>ORIG CO NAME:GEICO                  ORIG ID:3530075853 DESC DATE:260528 CO ENTRY DESCR:PREM COLL SEC:PPD    TRACE#:021000023686322 EED:260529   IND ID:                             IND NAME:ANGELA DUNNING TRN: 1493686322TC</v>
      </c>
      <c r="D54" s="7" t="n">
        <f aca="false">Chase1168_2026!D54</f>
        <v>-1240.27</v>
      </c>
      <c r="E54" s="0" t="str">
        <f aca="false">Chase1168_2026!E54</f>
        <v>ACH_DEBIT</v>
      </c>
      <c r="F54" s="7" t="n">
        <f aca="false">Chase1168_2026!F54</f>
        <v>21443.37</v>
      </c>
      <c r="G54" s="0" t="str">
        <f aca="false">Chase1168_2026!G54</f>
        <v>Personal - Car Insurance</v>
      </c>
      <c r="H54" s="15" t="n">
        <f aca="false">IF($B54="","",DATE(YEAR($B54),MONTH($B54),1))</f>
        <v>46143</v>
      </c>
      <c r="I54" s="0" t="str">
        <f aca="false">IF($G54="","Uncategorized — Review",IFERROR(INDEX(Mapping!$B:$B,MATCH($G54,Mapping!$A:$A,0)),"Uncategorized — Review"))</f>
        <v>Personal - Car &amp; Auto</v>
      </c>
      <c r="J54" s="0" t="str">
        <f aca="false">IF($G54="","Uncategorized — Review",IFERROR(INDEX(Mapping!$C:$C,MATCH($G54,Mapping!$A:$A,0)),"Uncategorized — Review"))</f>
        <v>Personal — Owner</v>
      </c>
    </row>
    <row r="55" customFormat="false" ht="15" hidden="false" customHeight="false" outlineLevel="0" collapsed="false">
      <c r="A55" s="0" t="str">
        <f aca="false">Chase1168_2026!A55</f>
        <v>DEBIT</v>
      </c>
      <c r="B55" s="14" t="n">
        <f aca="false">Chase1168_2026!B55</f>
        <v>46171</v>
      </c>
      <c r="C55" s="0" t="str">
        <f aca="false">Chase1168_2026!C55</f>
        <v>PAYPAL *RUTHALCANCI 402-935-7733 CA          05/28</v>
      </c>
      <c r="D55" s="7" t="n">
        <f aca="false">Chase1168_2026!D55</f>
        <v>-159.6</v>
      </c>
      <c r="E55" s="0" t="str">
        <f aca="false">Chase1168_2026!E55</f>
        <v>DEBIT_CARD</v>
      </c>
      <c r="F55" s="7" t="n">
        <f aca="false">Chase1168_2026!F55</f>
        <v>22683.64</v>
      </c>
      <c r="G55" s="0" t="str">
        <f aca="false">Chase1168_2026!G55</f>
        <v>Ruth Alcancia - Forward Bridge Payment</v>
      </c>
      <c r="H55" s="15" t="n">
        <f aca="false">IF($B55="","",DATE(YEAR($B55),MONTH($B55),1))</f>
        <v>46143</v>
      </c>
      <c r="I55" s="0" t="str">
        <f aca="false">IF($G55="","Uncategorized — Review",IFERROR(INDEX(Mapping!$B:$B,MATCH($G55,Mapping!$A:$A,0)),"Uncategorized — Review"))</f>
        <v>Ruth Alcancia - Forward Bridge Payment</v>
      </c>
      <c r="J55" s="0" t="str">
        <f aca="false">IF($G55="","Uncategorized — Review",IFERROR(INDEX(Mapping!$C:$C,MATCH($G55,Mapping!$A:$A,0)),"Uncategorized — Review"))</f>
        <v>Payroll &amp; Contractors</v>
      </c>
    </row>
    <row r="56" customFormat="false" ht="15" hidden="false" customHeight="false" outlineLevel="0" collapsed="false">
      <c r="A56" s="0" t="str">
        <f aca="false">Chase1168_2026!A56</f>
        <v>DEBIT</v>
      </c>
      <c r="B56" s="14" t="n">
        <f aca="false">Chase1168_2026!B56</f>
        <v>46170</v>
      </c>
      <c r="C56" s="0" t="str">
        <f aca="false">Chase1168_2026!C56</f>
        <v>GODADDY#4099228906 480-5058855 AZ            05/28</v>
      </c>
      <c r="D56" s="7" t="n">
        <f aca="false">Chase1168_2026!D56</f>
        <v>-22.98</v>
      </c>
      <c r="E56" s="0" t="str">
        <f aca="false">Chase1168_2026!E56</f>
        <v>DEBIT_CARD</v>
      </c>
      <c r="F56" s="7" t="n">
        <f aca="false">Chase1168_2026!F56</f>
        <v>22843.24</v>
      </c>
      <c r="G56" s="0" t="str">
        <f aca="false">Chase1168_2026!G56</f>
        <v>Go Daddy</v>
      </c>
      <c r="H56" s="15" t="n">
        <f aca="false">IF($B56="","",DATE(YEAR($B56),MONTH($B56),1))</f>
        <v>46143</v>
      </c>
      <c r="I56" s="0" t="str">
        <f aca="false">IF($G56="","Uncategorized — Review",IFERROR(INDEX(Mapping!$B:$B,MATCH($G56,Mapping!$A:$A,0)),"Uncategorized — Review"))</f>
        <v>Go Daddy</v>
      </c>
      <c r="J56" s="0" t="str">
        <f aca="false">IF($G56="","Uncategorized — Review",IFERROR(INDEX(Mapping!$C:$C,MATCH($G56,Mapping!$A:$A,0)),"Uncategorized — Review"))</f>
        <v>DWG Operating</v>
      </c>
    </row>
    <row r="57" customFormat="false" ht="15" hidden="false" customHeight="false" outlineLevel="0" collapsed="false">
      <c r="A57" s="0" t="str">
        <f aca="false">Chase1168_2026!A57</f>
        <v>DEBIT</v>
      </c>
      <c r="B57" s="14" t="n">
        <f aca="false">Chase1168_2026!B57</f>
        <v>46170</v>
      </c>
      <c r="C57" s="0" t="str">
        <f aca="false">Chase1168_2026!C57</f>
        <v>Basic Online Payroll Payment 11219337392 to #####5820</v>
      </c>
      <c r="D57" s="7" t="n">
        <f aca="false">Chase1168_2026!D57</f>
        <v>-3500</v>
      </c>
      <c r="E57" s="0" t="str">
        <f aca="false">Chase1168_2026!E57</f>
        <v>BASIC_PAYROLL</v>
      </c>
      <c r="F57" s="7" t="n">
        <f aca="false">Chase1168_2026!F57</f>
        <v>22866.22</v>
      </c>
      <c r="G57" s="0" t="str">
        <f aca="false">Chase1168_2026!G57</f>
        <v>Chase Hall - Payroll</v>
      </c>
      <c r="H57" s="15" t="n">
        <f aca="false">IF($B57="","",DATE(YEAR($B57),MONTH($B57),1))</f>
        <v>46143</v>
      </c>
      <c r="I57" s="0" t="str">
        <f aca="false">IF($G57="","Uncategorized — Review",IFERROR(INDEX(Mapping!$B:$B,MATCH($G57,Mapping!$A:$A,0)),"Uncategorized — Review"))</f>
        <v>Chase Hall - Payroll</v>
      </c>
      <c r="J57" s="0" t="str">
        <f aca="false">IF($G57="","Uncategorized — Review",IFERROR(INDEX(Mapping!$C:$C,MATCH($G57,Mapping!$A:$A,0)),"Uncategorized — Review"))</f>
        <v>Payroll &amp; Contractors</v>
      </c>
    </row>
    <row r="58" customFormat="false" ht="15" hidden="false" customHeight="false" outlineLevel="0" collapsed="false">
      <c r="A58" s="0" t="str">
        <f aca="false">Chase1168_2026!A58</f>
        <v>DEBIT</v>
      </c>
      <c r="B58" s="14" t="n">
        <f aca="false">Chase1168_2026!B58</f>
        <v>46170</v>
      </c>
      <c r="C58" s="0" t="str">
        <f aca="false">Chase1168_2026!C58</f>
        <v>ORIG CO NAME:BANNER LIFE            ORIG ID:1521236145 DESC DATE:260527 CO ENTRY DESCR:PREM DEBITSEC:PPD    TRACE#:091000018954606 EED:260528   IND ID:                             IND NAME:ANGELA L DUNNING TRN: 1488954606TC</v>
      </c>
      <c r="D58" s="7" t="n">
        <f aca="false">Chase1168_2026!D58</f>
        <v>-12.5</v>
      </c>
      <c r="E58" s="0" t="str">
        <f aca="false">Chase1168_2026!E58</f>
        <v>ACH_DEBIT</v>
      </c>
      <c r="F58" s="7" t="n">
        <f aca="false">Chase1168_2026!F58</f>
        <v>26366.22</v>
      </c>
      <c r="G58" s="0" t="str">
        <f aca="false">Chase1168_2026!G58</f>
        <v>Personal - Life Insurance</v>
      </c>
      <c r="H58" s="15" t="n">
        <f aca="false">IF($B58="","",DATE(YEAR($B58),MONTH($B58),1))</f>
        <v>46143</v>
      </c>
      <c r="I58" s="0" t="str">
        <f aca="false">IF($G58="","Uncategorized — Review",IFERROR(INDEX(Mapping!$B:$B,MATCH($G58,Mapping!$A:$A,0)),"Uncategorized — Review"))</f>
        <v>Personal - Life Insurance</v>
      </c>
      <c r="J58" s="0" t="str">
        <f aca="false">IF($G58="","Uncategorized — Review",IFERROR(INDEX(Mapping!$C:$C,MATCH($G58,Mapping!$A:$A,0)),"Uncategorized — Review"))</f>
        <v>Personal — Owner</v>
      </c>
    </row>
    <row r="59" customFormat="false" ht="15" hidden="false" customHeight="false" outlineLevel="0" collapsed="false">
      <c r="A59" s="0" t="str">
        <f aca="false">Chase1168_2026!A59</f>
        <v>DEBIT</v>
      </c>
      <c r="B59" s="14" t="n">
        <f aca="false">Chase1168_2026!B59</f>
        <v>46170</v>
      </c>
      <c r="C59" s="0" t="str">
        <f aca="false">Chase1168_2026!C59</f>
        <v>ORIG CO NAME:BANNER LIFE            ORIG ID:1521236145 DESC DATE:260527 CO ENTRY DESCR:PREM DEBITSEC:PPD    TRACE#:091000018954607 EED:260528   IND ID:                             IND NAME:JOHN  DUNNING TRN: 1488954607TC</v>
      </c>
      <c r="D59" s="7" t="n">
        <f aca="false">Chase1168_2026!D59</f>
        <v>-22.92</v>
      </c>
      <c r="E59" s="0" t="str">
        <f aca="false">Chase1168_2026!E59</f>
        <v>ACH_DEBIT</v>
      </c>
      <c r="F59" s="7" t="n">
        <f aca="false">Chase1168_2026!F59</f>
        <v>26378.72</v>
      </c>
      <c r="G59" s="0" t="str">
        <f aca="false">Chase1168_2026!G59</f>
        <v>Personal - Life Insurance</v>
      </c>
      <c r="H59" s="15" t="n">
        <f aca="false">IF($B59="","",DATE(YEAR($B59),MONTH($B59),1))</f>
        <v>46143</v>
      </c>
      <c r="I59" s="0" t="str">
        <f aca="false">IF($G59="","Uncategorized — Review",IFERROR(INDEX(Mapping!$B:$B,MATCH($G59,Mapping!$A:$A,0)),"Uncategorized — Review"))</f>
        <v>Personal - Life Insurance</v>
      </c>
      <c r="J59" s="0" t="str">
        <f aca="false">IF($G59="","Uncategorized — Review",IFERROR(INDEX(Mapping!$C:$C,MATCH($G59,Mapping!$A:$A,0)),"Uncategorized — Review"))</f>
        <v>Personal — Owner</v>
      </c>
    </row>
    <row r="60" customFormat="false" ht="15" hidden="false" customHeight="false" outlineLevel="0" collapsed="false">
      <c r="A60" s="0" t="str">
        <f aca="false">Chase1168_2026!A60</f>
        <v>DEBIT</v>
      </c>
      <c r="B60" s="14" t="n">
        <f aca="false">Chase1168_2026!B60</f>
        <v>46170</v>
      </c>
      <c r="C60" s="0" t="str">
        <f aca="false">Chase1168_2026!C60</f>
        <v>GODADDY#4098496820 480-5058855 AZ            05/27</v>
      </c>
      <c r="D60" s="7" t="n">
        <f aca="false">Chase1168_2026!D60</f>
        <v>-17.98</v>
      </c>
      <c r="E60" s="0" t="str">
        <f aca="false">Chase1168_2026!E60</f>
        <v>DEBIT_CARD</v>
      </c>
      <c r="F60" s="7" t="n">
        <f aca="false">Chase1168_2026!F60</f>
        <v>26401.64</v>
      </c>
      <c r="G60" s="0" t="str">
        <f aca="false">Chase1168_2026!G60</f>
        <v>Go Daddy</v>
      </c>
      <c r="H60" s="15" t="n">
        <f aca="false">IF($B60="","",DATE(YEAR($B60),MONTH($B60),1))</f>
        <v>46143</v>
      </c>
      <c r="I60" s="0" t="str">
        <f aca="false">IF($G60="","Uncategorized — Review",IFERROR(INDEX(Mapping!$B:$B,MATCH($G60,Mapping!$A:$A,0)),"Uncategorized — Review"))</f>
        <v>Go Daddy</v>
      </c>
      <c r="J60" s="0" t="str">
        <f aca="false">IF($G60="","Uncategorized — Review",IFERROR(INDEX(Mapping!$C:$C,MATCH($G60,Mapping!$A:$A,0)),"Uncategorized — Review"))</f>
        <v>DWG Operating</v>
      </c>
    </row>
    <row r="61" customFormat="false" ht="15" hidden="false" customHeight="false" outlineLevel="0" collapsed="false">
      <c r="A61" s="0" t="str">
        <f aca="false">Chase1168_2026!A61</f>
        <v>DEBIT</v>
      </c>
      <c r="B61" s="14" t="n">
        <f aca="false">Chase1168_2026!B61</f>
        <v>46169</v>
      </c>
      <c r="C61" s="0" t="str">
        <f aca="false">Chase1168_2026!C61</f>
        <v>ORIG CO NAME:INTUIT *               ORIG ID:0000756346 DESC DATE:260527 CO ENTRY DESCR:QBooks OnlSEC:CCD    TRACE#:021000027687788 EED:260527   IND ID:0858156                      IND NAME:DWG CAPITAL GROUP                                                                                            800-446-8848 TRN: 1477687788TC</v>
      </c>
      <c r="D61" s="7" t="n">
        <f aca="false">Chase1168_2026!D61</f>
        <v>-121.21</v>
      </c>
      <c r="E61" s="0" t="str">
        <f aca="false">Chase1168_2026!E61</f>
        <v>ACH_DEBIT</v>
      </c>
      <c r="F61" s="7" t="n">
        <f aca="false">Chase1168_2026!F61</f>
        <v>26419.62</v>
      </c>
      <c r="G61" s="0" t="str">
        <f aca="false">Chase1168_2026!G61</f>
        <v>Software/Accounting</v>
      </c>
      <c r="H61" s="15" t="n">
        <f aca="false">IF($B61="","",DATE(YEAR($B61),MONTH($B61),1))</f>
        <v>46143</v>
      </c>
      <c r="I61" s="0" t="str">
        <f aca="false">IF($G61="","Uncategorized — Review",IFERROR(INDEX(Mapping!$B:$B,MATCH($G61,Mapping!$A:$A,0)),"Uncategorized — Review"))</f>
        <v>Software/Accounting</v>
      </c>
      <c r="J61" s="0" t="str">
        <f aca="false">IF($G61="","Uncategorized — Review",IFERROR(INDEX(Mapping!$C:$C,MATCH($G61,Mapping!$A:$A,0)),"Uncategorized — Review"))</f>
        <v>DWG Operating</v>
      </c>
    </row>
    <row r="62" customFormat="false" ht="15" hidden="false" customHeight="false" outlineLevel="0" collapsed="false">
      <c r="A62" s="0" t="str">
        <f aca="false">Chase1168_2026!A62</f>
        <v>DEBIT</v>
      </c>
      <c r="B62" s="14" t="n">
        <f aca="false">Chase1168_2026!B62</f>
        <v>46169</v>
      </c>
      <c r="C62" s="0" t="str">
        <f aca="false">Chase1168_2026!C62</f>
        <v>GODADDY#4097667112 480-5058855 AZ            05/26</v>
      </c>
      <c r="D62" s="7" t="n">
        <f aca="false">Chase1168_2026!D62</f>
        <v>-26.18</v>
      </c>
      <c r="E62" s="0" t="str">
        <f aca="false">Chase1168_2026!E62</f>
        <v>DEBIT_CARD</v>
      </c>
      <c r="F62" s="7" t="n">
        <f aca="false">Chase1168_2026!F62</f>
        <v>26540.83</v>
      </c>
      <c r="G62" s="0" t="str">
        <f aca="false">Chase1168_2026!G62</f>
        <v>Go Daddy</v>
      </c>
      <c r="H62" s="15" t="n">
        <f aca="false">IF($B62="","",DATE(YEAR($B62),MONTH($B62),1))</f>
        <v>46143</v>
      </c>
      <c r="I62" s="0" t="str">
        <f aca="false">IF($G62="","Uncategorized — Review",IFERROR(INDEX(Mapping!$B:$B,MATCH($G62,Mapping!$A:$A,0)),"Uncategorized — Review"))</f>
        <v>Go Daddy</v>
      </c>
      <c r="J62" s="0" t="str">
        <f aca="false">IF($G62="","Uncategorized — Review",IFERROR(INDEX(Mapping!$C:$C,MATCH($G62,Mapping!$A:$A,0)),"Uncategorized — Review"))</f>
        <v>DWG Operating</v>
      </c>
    </row>
    <row r="63" customFormat="false" ht="15" hidden="false" customHeight="false" outlineLevel="0" collapsed="false">
      <c r="A63" s="0" t="str">
        <f aca="false">Chase1168_2026!A63</f>
        <v>DEBIT</v>
      </c>
      <c r="B63" s="14" t="n">
        <f aca="false">Chase1168_2026!B63</f>
        <v>46168</v>
      </c>
      <c r="C63" s="0" t="str">
        <f aca="false">Chase1168_2026!C63</f>
        <v>Online Transfer to CHK ...7899 transaction#: 29365535129 05/26</v>
      </c>
      <c r="D63" s="7" t="n">
        <f aca="false">Chase1168_2026!D63</f>
        <v>-1000</v>
      </c>
      <c r="E63" s="0" t="str">
        <f aca="false">Chase1168_2026!E63</f>
        <v>ACCT_XFER</v>
      </c>
      <c r="F63" s="7" t="n">
        <f aca="false">Chase1168_2026!F63</f>
        <v>26567.01</v>
      </c>
      <c r="G63" s="0" t="str">
        <f aca="false">Chase1168_2026!G63</f>
        <v>Transfer to TX Personal Joint</v>
      </c>
      <c r="H63" s="15" t="n">
        <f aca="false">IF($B63="","",DATE(YEAR($B63),MONTH($B63),1))</f>
        <v>46143</v>
      </c>
      <c r="I63" s="0" t="str">
        <f aca="false">IF($G63="","Uncategorized — Review",IFERROR(INDEX(Mapping!$B:$B,MATCH($G63,Mapping!$A:$A,0)),"Uncategorized — Review"))</f>
        <v>Transfer to TX Personal Joint</v>
      </c>
      <c r="J63" s="0" t="str">
        <f aca="false">IF($G63="","Uncategorized — Review",IFERROR(INDEX(Mapping!$C:$C,MATCH($G63,Mapping!$A:$A,0)),"Uncategorized — Review"))</f>
        <v>Owner / Family Distributions</v>
      </c>
    </row>
    <row r="64" customFormat="false" ht="15" hidden="false" customHeight="false" outlineLevel="0" collapsed="false">
      <c r="A64" s="0" t="str">
        <f aca="false">Chase1168_2026!A64</f>
        <v>DEBIT</v>
      </c>
      <c r="B64" s="14" t="n">
        <f aca="false">Chase1168_2026!B64</f>
        <v>46168</v>
      </c>
      <c r="C64" s="0" t="str">
        <f aca="false">Chase1168_2026!C64</f>
        <v>Online Transfer to CHK ...6975 transaction#: 29365525619 05/26</v>
      </c>
      <c r="D64" s="7" t="n">
        <f aca="false">Chase1168_2026!D64</f>
        <v>-1000</v>
      </c>
      <c r="E64" s="0" t="str">
        <f aca="false">Chase1168_2026!E64</f>
        <v>ACCT_XFER</v>
      </c>
      <c r="F64" s="7" t="n">
        <f aca="false">Chase1168_2026!F64</f>
        <v>27567.01</v>
      </c>
      <c r="G64" s="0" t="str">
        <f aca="false">Chase1168_2026!G64</f>
        <v>Transfer to Ava Perez-Dunning</v>
      </c>
      <c r="H64" s="15" t="n">
        <f aca="false">IF($B64="","",DATE(YEAR($B64),MONTH($B64),1))</f>
        <v>46143</v>
      </c>
      <c r="I64" s="0" t="str">
        <f aca="false">IF($G64="","Uncategorized — Review",IFERROR(INDEX(Mapping!$B:$B,MATCH($G64,Mapping!$A:$A,0)),"Uncategorized — Review"))</f>
        <v>Transfer to Ava Perez-Dunning</v>
      </c>
      <c r="J64" s="0" t="str">
        <f aca="false">IF($G64="","Uncategorized — Review",IFERROR(INDEX(Mapping!$C:$C,MATCH($G64,Mapping!$A:$A,0)),"Uncategorized — Review"))</f>
        <v>Owner / Family Distributions</v>
      </c>
    </row>
    <row r="65" customFormat="false" ht="15" hidden="false" customHeight="false" outlineLevel="0" collapsed="false">
      <c r="A65" s="0" t="str">
        <f aca="false">Chase1168_2026!A65</f>
        <v>DEBIT</v>
      </c>
      <c r="B65" s="14" t="n">
        <f aca="false">Chase1168_2026!B65</f>
        <v>46168</v>
      </c>
      <c r="C65" s="0" t="str">
        <f aca="false">Chase1168_2026!C65</f>
        <v>Online Transfer to CHK ...1117 transaction#: 29365516826 05/26</v>
      </c>
      <c r="D65" s="7" t="n">
        <f aca="false">Chase1168_2026!D65</f>
        <v>-1000</v>
      </c>
      <c r="E65" s="0" t="str">
        <f aca="false">Chase1168_2026!E65</f>
        <v>ACCT_XFER</v>
      </c>
      <c r="F65" s="7" t="n">
        <f aca="false">Chase1168_2026!F65</f>
        <v>28567.01</v>
      </c>
      <c r="G65" s="0" t="str">
        <f aca="false">Chase1168_2026!G65</f>
        <v>Transfer to Angela Dunning</v>
      </c>
      <c r="H65" s="15" t="n">
        <f aca="false">IF($B65="","",DATE(YEAR($B65),MONTH($B65),1))</f>
        <v>46143</v>
      </c>
      <c r="I65" s="0" t="str">
        <f aca="false">IF($G65="","Uncategorized — Review",IFERROR(INDEX(Mapping!$B:$B,MATCH($G65,Mapping!$A:$A,0)),"Uncategorized — Review"))</f>
        <v>Transfer to Angela Dunning</v>
      </c>
      <c r="J65" s="0" t="str">
        <f aca="false">IF($G65="","Uncategorized — Review",IFERROR(INDEX(Mapping!$C:$C,MATCH($G65,Mapping!$A:$A,0)),"Uncategorized — Review"))</f>
        <v>Owner / Family Distributions</v>
      </c>
    </row>
    <row r="66" customFormat="false" ht="15" hidden="false" customHeight="false" outlineLevel="0" collapsed="false">
      <c r="A66" s="0" t="str">
        <f aca="false">Chase1168_2026!A66</f>
        <v>DEBIT</v>
      </c>
      <c r="B66" s="14" t="n">
        <f aca="false">Chase1168_2026!B66</f>
        <v>46168</v>
      </c>
      <c r="C66" s="0" t="str">
        <f aca="false">Chase1168_2026!C66</f>
        <v>Online Payment 29365461330 To PENTAGON FEDERAL CREDIT UNION 05/26</v>
      </c>
      <c r="D66" s="7" t="n">
        <f aca="false">Chase1168_2026!D66</f>
        <v>-7100</v>
      </c>
      <c r="E66" s="0" t="str">
        <f aca="false">Chase1168_2026!E66</f>
        <v>BILLPAY</v>
      </c>
      <c r="F66" s="7" t="n">
        <f aca="false">Chase1168_2026!F66</f>
        <v>29567.01</v>
      </c>
      <c r="G66" s="0" t="str">
        <f aca="false">Chase1168_2026!G66</f>
        <v>Personal - California Mortgage PMT</v>
      </c>
      <c r="H66" s="15" t="n">
        <f aca="false">IF($B66="","",DATE(YEAR($B66),MONTH($B66),1))</f>
        <v>46143</v>
      </c>
      <c r="I66" s="0" t="str">
        <f aca="false">IF($G66="","Uncategorized — Review",IFERROR(INDEX(Mapping!$B:$B,MATCH($G66,Mapping!$A:$A,0)),"Uncategorized — Review"))</f>
        <v>Personal - California Mortgage PMT</v>
      </c>
      <c r="J66" s="0" t="str">
        <f aca="false">IF($G66="","Uncategorized — Review",IFERROR(INDEX(Mapping!$C:$C,MATCH($G66,Mapping!$A:$A,0)),"Uncategorized — Review"))</f>
        <v>Personal — Owner</v>
      </c>
    </row>
    <row r="67" customFormat="false" ht="15" hidden="false" customHeight="false" outlineLevel="0" collapsed="false">
      <c r="A67" s="0" t="str">
        <f aca="false">Chase1168_2026!A67</f>
        <v>DEBIT</v>
      </c>
      <c r="B67" s="14" t="n">
        <f aca="false">Chase1168_2026!B67</f>
        <v>46168</v>
      </c>
      <c r="C67" s="0" t="str">
        <f aca="false">Chase1168_2026!C67</f>
        <v>Online Payment 29365452439 To LOS ANGELES MUNICIPAL SERVICE 05/26</v>
      </c>
      <c r="D67" s="7" t="n">
        <f aca="false">Chase1168_2026!D67</f>
        <v>-1800</v>
      </c>
      <c r="E67" s="0" t="str">
        <f aca="false">Chase1168_2026!E67</f>
        <v>BILLPAY</v>
      </c>
      <c r="F67" s="7" t="n">
        <f aca="false">Chase1168_2026!F67</f>
        <v>36667.01</v>
      </c>
      <c r="G67" s="0" t="str">
        <f aca="false">Chase1168_2026!G67</f>
        <v>Bill Payment</v>
      </c>
      <c r="H67" s="15" t="n">
        <f aca="false">IF($B67="","",DATE(YEAR($B67),MONTH($B67),1))</f>
        <v>46143</v>
      </c>
      <c r="I67" s="0" t="str">
        <f aca="false">IF($G67="","Uncategorized — Review",IFERROR(INDEX(Mapping!$B:$B,MATCH($G67,Mapping!$A:$A,0)),"Uncategorized — Review"))</f>
        <v>Bill Payment</v>
      </c>
      <c r="J67" s="0" t="str">
        <f aca="false">IF($G67="","Uncategorized — Review",IFERROR(INDEX(Mapping!$C:$C,MATCH($G67,Mapping!$A:$A,0)),"Uncategorized — Review"))</f>
        <v>DWG Operating</v>
      </c>
    </row>
    <row r="68" customFormat="false" ht="15" hidden="false" customHeight="false" outlineLevel="0" collapsed="false">
      <c r="A68" s="0" t="str">
        <f aca="false">Chase1168_2026!A68</f>
        <v>DEBIT</v>
      </c>
      <c r="B68" s="14" t="n">
        <f aca="false">Chase1168_2026!B68</f>
        <v>46168</v>
      </c>
      <c r="C68" s="0" t="str">
        <f aca="false">Chase1168_2026!C68</f>
        <v>Online Payment 29365443815 To MERCEDES BENZ FINANCIAL SVCS 05/26</v>
      </c>
      <c r="D68" s="7" t="n">
        <f aca="false">Chase1168_2026!D68</f>
        <v>-1400</v>
      </c>
      <c r="E68" s="0" t="str">
        <f aca="false">Chase1168_2026!E68</f>
        <v>BILLPAY</v>
      </c>
      <c r="F68" s="7" t="n">
        <f aca="false">Chase1168_2026!F68</f>
        <v>38467.01</v>
      </c>
      <c r="G68" s="0" t="str">
        <f aca="false">Chase1168_2026!G68</f>
        <v>Personal - Car (Mercedes)</v>
      </c>
      <c r="H68" s="15" t="n">
        <f aca="false">IF($B68="","",DATE(YEAR($B68),MONTH($B68),1))</f>
        <v>46143</v>
      </c>
      <c r="I68" s="0" t="str">
        <f aca="false">IF($G68="","Uncategorized — Review",IFERROR(INDEX(Mapping!$B:$B,MATCH($G68,Mapping!$A:$A,0)),"Uncategorized — Review"))</f>
        <v>Personal - Car &amp; Auto</v>
      </c>
      <c r="J68" s="0" t="str">
        <f aca="false">IF($G68="","Uncategorized — Review",IFERROR(INDEX(Mapping!$C:$C,MATCH($G68,Mapping!$A:$A,0)),"Uncategorized — Review"))</f>
        <v>Personal — Owner</v>
      </c>
    </row>
    <row r="69" customFormat="false" ht="15" hidden="false" customHeight="false" outlineLevel="0" collapsed="false">
      <c r="A69" s="0" t="str">
        <f aca="false">Chase1168_2026!A69</f>
        <v>DEBIT</v>
      </c>
      <c r="B69" s="14" t="n">
        <f aca="false">Chase1168_2026!B69</f>
        <v>46168</v>
      </c>
      <c r="C69" s="0" t="str">
        <f aca="false">Chase1168_2026!C69</f>
        <v>Online Payment 29365431277 To MERCEDES BENZ FINANCIAL 05/26</v>
      </c>
      <c r="D69" s="7" t="n">
        <f aca="false">Chase1168_2026!D69</f>
        <v>-500</v>
      </c>
      <c r="E69" s="0" t="str">
        <f aca="false">Chase1168_2026!E69</f>
        <v>BILLPAY</v>
      </c>
      <c r="F69" s="7" t="n">
        <f aca="false">Chase1168_2026!F69</f>
        <v>39867.01</v>
      </c>
      <c r="G69" s="0" t="str">
        <f aca="false">Chase1168_2026!G69</f>
        <v>Personal - Car (Mercedes)</v>
      </c>
      <c r="H69" s="15" t="n">
        <f aca="false">IF($B69="","",DATE(YEAR($B69),MONTH($B69),1))</f>
        <v>46143</v>
      </c>
      <c r="I69" s="0" t="str">
        <f aca="false">IF($G69="","Uncategorized — Review",IFERROR(INDEX(Mapping!$B:$B,MATCH($G69,Mapping!$A:$A,0)),"Uncategorized — Review"))</f>
        <v>Personal - Car &amp; Auto</v>
      </c>
      <c r="J69" s="0" t="str">
        <f aca="false">IF($G69="","Uncategorized — Review",IFERROR(INDEX(Mapping!$C:$C,MATCH($G69,Mapping!$A:$A,0)),"Uncategorized — Review"))</f>
        <v>Personal — Owner</v>
      </c>
    </row>
    <row r="70" customFormat="false" ht="15" hidden="false" customHeight="false" outlineLevel="0" collapsed="false">
      <c r="A70" s="0" t="str">
        <f aca="false">Chase1168_2026!A70</f>
        <v>DEBIT</v>
      </c>
      <c r="B70" s="14" t="n">
        <f aca="false">Chase1168_2026!B70</f>
        <v>46168</v>
      </c>
      <c r="C70" s="0" t="str">
        <f aca="false">Chase1168_2026!C70</f>
        <v>Online Payment 29365430374 To MERCEDES-BENZ FINANCIAL SERVICES 05/26</v>
      </c>
      <c r="D70" s="7" t="n">
        <f aca="false">Chase1168_2026!D70</f>
        <v>-1700</v>
      </c>
      <c r="E70" s="0" t="str">
        <f aca="false">Chase1168_2026!E70</f>
        <v>BILLPAY</v>
      </c>
      <c r="F70" s="7" t="n">
        <f aca="false">Chase1168_2026!F70</f>
        <v>40367.01</v>
      </c>
      <c r="G70" s="0" t="str">
        <f aca="false">Chase1168_2026!G70</f>
        <v>Personal - Car (Mercedes)</v>
      </c>
      <c r="H70" s="15" t="n">
        <f aca="false">IF($B70="","",DATE(YEAR($B70),MONTH($B70),1))</f>
        <v>46143</v>
      </c>
      <c r="I70" s="0" t="str">
        <f aca="false">IF($G70="","Uncategorized — Review",IFERROR(INDEX(Mapping!$B:$B,MATCH($G70,Mapping!$A:$A,0)),"Uncategorized — Review"))</f>
        <v>Personal - Car &amp; Auto</v>
      </c>
      <c r="J70" s="0" t="str">
        <f aca="false">IF($G70="","Uncategorized — Review",IFERROR(INDEX(Mapping!$C:$C,MATCH($G70,Mapping!$A:$A,0)),"Uncategorized — Review"))</f>
        <v>Personal — Owner</v>
      </c>
    </row>
    <row r="71" customFormat="false" ht="15" hidden="false" customHeight="false" outlineLevel="0" collapsed="false">
      <c r="A71" s="0" t="str">
        <f aca="false">Chase1168_2026!A71</f>
        <v>DEBIT</v>
      </c>
      <c r="B71" s="14" t="n">
        <f aca="false">Chase1168_2026!B71</f>
        <v>46168</v>
      </c>
      <c r="C71" s="0" t="str">
        <f aca="false">Chase1168_2026!C71</f>
        <v>Online Payment 29365405620 To MERCEDES BENZ FINANCIAL 05/26</v>
      </c>
      <c r="D71" s="7" t="n">
        <f aca="false">Chase1168_2026!D71</f>
        <v>-600</v>
      </c>
      <c r="E71" s="0" t="str">
        <f aca="false">Chase1168_2026!E71</f>
        <v>BILLPAY</v>
      </c>
      <c r="F71" s="7" t="n">
        <f aca="false">Chase1168_2026!F71</f>
        <v>42067.01</v>
      </c>
      <c r="G71" s="0" t="str">
        <f aca="false">Chase1168_2026!G71</f>
        <v>Personal - Car (Mercedes)</v>
      </c>
      <c r="H71" s="15" t="n">
        <f aca="false">IF($B71="","",DATE(YEAR($B71),MONTH($B71),1))</f>
        <v>46143</v>
      </c>
      <c r="I71" s="0" t="str">
        <f aca="false">IF($G71="","Uncategorized — Review",IFERROR(INDEX(Mapping!$B:$B,MATCH($G71,Mapping!$A:$A,0)),"Uncategorized — Review"))</f>
        <v>Personal - Car &amp; Auto</v>
      </c>
      <c r="J71" s="0" t="str">
        <f aca="false">IF($G71="","Uncategorized — Review",IFERROR(INDEX(Mapping!$C:$C,MATCH($G71,Mapping!$A:$A,0)),"Uncategorized — Review"))</f>
        <v>Personal — Owner</v>
      </c>
    </row>
    <row r="72" customFormat="false" ht="15" hidden="false" customHeight="false" outlineLevel="0" collapsed="false">
      <c r="A72" s="0" t="str">
        <f aca="false">Chase1168_2026!A72</f>
        <v>DEBIT</v>
      </c>
      <c r="B72" s="14" t="n">
        <f aca="false">Chase1168_2026!B72</f>
        <v>46168</v>
      </c>
      <c r="C72" s="0" t="str">
        <f aca="false">Chase1168_2026!C72</f>
        <v>DISNEY PLUS ECOM LAKE BUENA VI FL    136337  05/26</v>
      </c>
      <c r="D72" s="7" t="n">
        <f aca="false">Chase1168_2026!D72</f>
        <v>-20.51</v>
      </c>
      <c r="E72" s="0" t="str">
        <f aca="false">Chase1168_2026!E72</f>
        <v>DEBIT_CARD</v>
      </c>
      <c r="F72" s="7" t="n">
        <f aca="false">Chase1168_2026!F72</f>
        <v>42667.01</v>
      </c>
      <c r="G72" s="0" t="str">
        <f aca="false">Chase1168_2026!G72</f>
        <v>Personal - Subscriptions</v>
      </c>
      <c r="H72" s="15" t="n">
        <f aca="false">IF($B72="","",DATE(YEAR($B72),MONTH($B72),1))</f>
        <v>46143</v>
      </c>
      <c r="I72" s="0" t="str">
        <f aca="false">IF($G72="","Uncategorized — Review",IFERROR(INDEX(Mapping!$B:$B,MATCH($G72,Mapping!$A:$A,0)),"Uncategorized — Review"))</f>
        <v>Personal - Subscriptions</v>
      </c>
      <c r="J72" s="0" t="str">
        <f aca="false">IF($G72="","Uncategorized — Review",IFERROR(INDEX(Mapping!$C:$C,MATCH($G72,Mapping!$A:$A,0)),"Uncategorized — Review"))</f>
        <v>Personal — Owner</v>
      </c>
    </row>
    <row r="73" customFormat="false" ht="15" hidden="false" customHeight="false" outlineLevel="0" collapsed="false">
      <c r="A73" s="0" t="str">
        <f aca="false">Chase1168_2026!A73</f>
        <v>DEBIT</v>
      </c>
      <c r="B73" s="14" t="n">
        <f aca="false">Chase1168_2026!B73</f>
        <v>46168</v>
      </c>
      <c r="C73" s="0" t="str">
        <f aca="false">Chase1168_2026!C73</f>
        <v>GODADDY#4097022029 480-5058855 AZ            05/25</v>
      </c>
      <c r="D73" s="7" t="n">
        <f aca="false">Chase1168_2026!D73</f>
        <v>-16.98</v>
      </c>
      <c r="E73" s="0" t="str">
        <f aca="false">Chase1168_2026!E73</f>
        <v>DEBIT_CARD</v>
      </c>
      <c r="F73" s="7" t="n">
        <f aca="false">Chase1168_2026!F73</f>
        <v>42687.52</v>
      </c>
      <c r="G73" s="0" t="str">
        <f aca="false">Chase1168_2026!G73</f>
        <v>Go Daddy</v>
      </c>
      <c r="H73" s="15" t="n">
        <f aca="false">IF($B73="","",DATE(YEAR($B73),MONTH($B73),1))</f>
        <v>46143</v>
      </c>
      <c r="I73" s="0" t="str">
        <f aca="false">IF($G73="","Uncategorized — Review",IFERROR(INDEX(Mapping!$B:$B,MATCH($G73,Mapping!$A:$A,0)),"Uncategorized — Review"))</f>
        <v>Go Daddy</v>
      </c>
      <c r="J73" s="0" t="str">
        <f aca="false">IF($G73="","Uncategorized — Review",IFERROR(INDEX(Mapping!$C:$C,MATCH($G73,Mapping!$A:$A,0)),"Uncategorized — Review"))</f>
        <v>DWG Operating</v>
      </c>
    </row>
    <row r="74" customFormat="false" ht="15" hidden="false" customHeight="false" outlineLevel="0" collapsed="false">
      <c r="A74" s="0" t="str">
        <f aca="false">Chase1168_2026!A74</f>
        <v>DEBIT</v>
      </c>
      <c r="B74" s="14" t="n">
        <f aca="false">Chase1168_2026!B74</f>
        <v>46168</v>
      </c>
      <c r="C74" s="0" t="str">
        <f aca="false">Chase1168_2026!C74</f>
        <v>Zelle payment to Jeffrey Seider JPM99cia2qhw</v>
      </c>
      <c r="D74" s="7" t="n">
        <f aca="false">Chase1168_2026!D74</f>
        <v>-150</v>
      </c>
      <c r="E74" s="0" t="str">
        <f aca="false">Chase1168_2026!E74</f>
        <v>CHASE_TO_PARTNERFI</v>
      </c>
      <c r="F74" s="7" t="n">
        <f aca="false">Chase1168_2026!F74</f>
        <v>42704.5</v>
      </c>
      <c r="G74" s="0" t="str">
        <f aca="false">Chase1168_2026!G74</f>
        <v>Zelle - Jeff Seider</v>
      </c>
      <c r="H74" s="15" t="n">
        <f aca="false">IF($B74="","",DATE(YEAR($B74),MONTH($B74),1))</f>
        <v>46143</v>
      </c>
      <c r="I74" s="0" t="str">
        <f aca="false">IF($G74="","Uncategorized — Review",IFERROR(INDEX(Mapping!$B:$B,MATCH($G74,Mapping!$A:$A,0)),"Uncategorized — Review"))</f>
        <v>Zelle - Jeff Seider</v>
      </c>
      <c r="J74" s="0" t="str">
        <f aca="false">IF($G74="","Uncategorized — Review",IFERROR(INDEX(Mapping!$C:$C,MATCH($G74,Mapping!$A:$A,0)),"Uncategorized — Review"))</f>
        <v>P2P Payments (Zelle/Venmo/PayPal)</v>
      </c>
    </row>
    <row r="75" customFormat="false" ht="15" hidden="false" customHeight="false" outlineLevel="0" collapsed="false">
      <c r="A75" s="0" t="str">
        <f aca="false">Chase1168_2026!A75</f>
        <v>DEBIT</v>
      </c>
      <c r="B75" s="14" t="n">
        <f aca="false">Chase1168_2026!B75</f>
        <v>46168</v>
      </c>
      <c r="C75" s="0" t="str">
        <f aca="false">Chase1168_2026!C75</f>
        <v>Online Transfer to CHK ...1117 transaction#: 29347809073 05/26</v>
      </c>
      <c r="D75" s="7" t="n">
        <f aca="false">Chase1168_2026!D75</f>
        <v>-3000</v>
      </c>
      <c r="E75" s="0" t="str">
        <f aca="false">Chase1168_2026!E75</f>
        <v>ACCT_XFER</v>
      </c>
      <c r="F75" s="7" t="n">
        <f aca="false">Chase1168_2026!F75</f>
        <v>42854.5</v>
      </c>
      <c r="G75" s="0" t="str">
        <f aca="false">Chase1168_2026!G75</f>
        <v>Transfer to Angela Dunning</v>
      </c>
      <c r="H75" s="15" t="n">
        <f aca="false">IF($B75="","",DATE(YEAR($B75),MONTH($B75),1))</f>
        <v>46143</v>
      </c>
      <c r="I75" s="0" t="str">
        <f aca="false">IF($G75="","Uncategorized — Review",IFERROR(INDEX(Mapping!$B:$B,MATCH($G75,Mapping!$A:$A,0)),"Uncategorized — Review"))</f>
        <v>Transfer to Angela Dunning</v>
      </c>
      <c r="J75" s="0" t="str">
        <f aca="false">IF($G75="","Uncategorized — Review",IFERROR(INDEX(Mapping!$C:$C,MATCH($G75,Mapping!$A:$A,0)),"Uncategorized — Review"))</f>
        <v>Owner / Family Distributions</v>
      </c>
    </row>
    <row r="76" customFormat="false" ht="15" hidden="false" customHeight="false" outlineLevel="0" collapsed="false">
      <c r="A76" s="0" t="str">
        <f aca="false">Chase1168_2026!A76</f>
        <v>DEBIT</v>
      </c>
      <c r="B76" s="14" t="n">
        <f aca="false">Chase1168_2026!B76</f>
        <v>46168</v>
      </c>
      <c r="C76" s="0" t="str">
        <f aca="false">Chase1168_2026!C76</f>
        <v>Online Transfer to CHK ...0709 transaction#: 29347807892 05/26</v>
      </c>
      <c r="D76" s="7" t="n">
        <f aca="false">Chase1168_2026!D76</f>
        <v>-1500</v>
      </c>
      <c r="E76" s="0" t="str">
        <f aca="false">Chase1168_2026!E76</f>
        <v>ACCT_XFER</v>
      </c>
      <c r="F76" s="7" t="n">
        <f aca="false">Chase1168_2026!F76</f>
        <v>45854.5</v>
      </c>
      <c r="G76" s="0" t="str">
        <f aca="false">Chase1168_2026!G76</f>
        <v>Transfer to DWGCGroup_Savings</v>
      </c>
      <c r="H76" s="15" t="n">
        <f aca="false">IF($B76="","",DATE(YEAR($B76),MONTH($B76),1))</f>
        <v>46143</v>
      </c>
      <c r="I76" s="0" t="str">
        <f aca="false">IF($G76="","Uncategorized — Review",IFERROR(INDEX(Mapping!$B:$B,MATCH($G76,Mapping!$A:$A,0)),"Uncategorized — Review"))</f>
        <v>Transfer to DWG Savings</v>
      </c>
      <c r="J76" s="0" t="str">
        <f aca="false">IF($G76="","Uncategorized — Review",IFERROR(INDEX(Mapping!$C:$C,MATCH($G76,Mapping!$A:$A,0)),"Uncategorized — Review"))</f>
        <v>Intercompany &amp; Savings Transfers</v>
      </c>
    </row>
    <row r="77" customFormat="false" ht="15" hidden="false" customHeight="false" outlineLevel="0" collapsed="false">
      <c r="A77" s="0" t="str">
        <f aca="false">Chase1168_2026!A77</f>
        <v>DEBIT</v>
      </c>
      <c r="B77" s="14" t="n">
        <f aca="false">Chase1168_2026!B77</f>
        <v>46168</v>
      </c>
      <c r="C77" s="0" t="str">
        <f aca="false">Chase1168_2026!C77</f>
        <v>GODADDY#4095049162 480-5058855 AZ            05/23</v>
      </c>
      <c r="D77" s="7" t="n">
        <f aca="false">Chase1168_2026!D77</f>
        <v>-43.97</v>
      </c>
      <c r="E77" s="0" t="str">
        <f aca="false">Chase1168_2026!E77</f>
        <v>DEBIT_CARD</v>
      </c>
      <c r="F77" s="7" t="n">
        <f aca="false">Chase1168_2026!F77</f>
        <v>47354.5</v>
      </c>
      <c r="G77" s="0" t="str">
        <f aca="false">Chase1168_2026!G77</f>
        <v>Go Daddy</v>
      </c>
      <c r="H77" s="15" t="n">
        <f aca="false">IF($B77="","",DATE(YEAR($B77),MONTH($B77),1))</f>
        <v>46143</v>
      </c>
      <c r="I77" s="0" t="str">
        <f aca="false">IF($G77="","Uncategorized — Review",IFERROR(INDEX(Mapping!$B:$B,MATCH($G77,Mapping!$A:$A,0)),"Uncategorized — Review"))</f>
        <v>Go Daddy</v>
      </c>
      <c r="J77" s="0" t="str">
        <f aca="false">IF($G77="","Uncategorized — Review",IFERROR(INDEX(Mapping!$C:$C,MATCH($G77,Mapping!$A:$A,0)),"Uncategorized — Review"))</f>
        <v>DWG Operating</v>
      </c>
    </row>
    <row r="78" customFormat="false" ht="15" hidden="false" customHeight="false" outlineLevel="0" collapsed="false">
      <c r="A78" s="0" t="str">
        <f aca="false">Chase1168_2026!A78</f>
        <v>DEBIT</v>
      </c>
      <c r="B78" s="14" t="n">
        <f aca="false">Chase1168_2026!B78</f>
        <v>46168</v>
      </c>
      <c r="C78" s="0" t="str">
        <f aca="false">Chase1168_2026!C78</f>
        <v>GODADDY#4094503968 480-5058855 AZ            05/22</v>
      </c>
      <c r="D78" s="7" t="n">
        <f aca="false">Chase1168_2026!D78</f>
        <v>-203.88</v>
      </c>
      <c r="E78" s="0" t="str">
        <f aca="false">Chase1168_2026!E78</f>
        <v>DEBIT_CARD</v>
      </c>
      <c r="F78" s="7" t="n">
        <f aca="false">Chase1168_2026!F78</f>
        <v>47398.47</v>
      </c>
      <c r="G78" s="0" t="str">
        <f aca="false">Chase1168_2026!G78</f>
        <v>Go Daddy</v>
      </c>
      <c r="H78" s="15" t="n">
        <f aca="false">IF($B78="","",DATE(YEAR($B78),MONTH($B78),1))</f>
        <v>46143</v>
      </c>
      <c r="I78" s="0" t="str">
        <f aca="false">IF($G78="","Uncategorized — Review",IFERROR(INDEX(Mapping!$B:$B,MATCH($G78,Mapping!$A:$A,0)),"Uncategorized — Review"))</f>
        <v>Go Daddy</v>
      </c>
      <c r="J78" s="0" t="str">
        <f aca="false">IF($G78="","Uncategorized — Review",IFERROR(INDEX(Mapping!$C:$C,MATCH($G78,Mapping!$A:$A,0)),"Uncategorized — Review"))</f>
        <v>DWG Operating</v>
      </c>
    </row>
    <row r="79" customFormat="false" ht="15" hidden="false" customHeight="false" outlineLevel="0" collapsed="false">
      <c r="A79" s="0" t="str">
        <f aca="false">Chase1168_2026!A79</f>
        <v>DEBIT</v>
      </c>
      <c r="B79" s="14" t="n">
        <f aca="false">Chase1168_2026!B79</f>
        <v>46164</v>
      </c>
      <c r="C79" s="0" t="str">
        <f aca="false">Chase1168_2026!C79</f>
        <v>Basic Online Payroll Payment 11219808389 to ########4122</v>
      </c>
      <c r="D79" s="7" t="n">
        <f aca="false">Chase1168_2026!D79</f>
        <v>-2000</v>
      </c>
      <c r="E79" s="0" t="str">
        <f aca="false">Chase1168_2026!E79</f>
        <v>BASIC_PAYROLL</v>
      </c>
      <c r="F79" s="7" t="n">
        <f aca="false">Chase1168_2026!F79</f>
        <v>47602.35</v>
      </c>
      <c r="G79" s="0" t="str">
        <f aca="false">Chase1168_2026!G79</f>
        <v>Mike Paytonjian - Payroll</v>
      </c>
      <c r="H79" s="15" t="n">
        <f aca="false">IF($B79="","",DATE(YEAR($B79),MONTH($B79),1))</f>
        <v>46143</v>
      </c>
      <c r="I79" s="0" t="str">
        <f aca="false">IF($G79="","Uncategorized — Review",IFERROR(INDEX(Mapping!$B:$B,MATCH($G79,Mapping!$A:$A,0)),"Uncategorized — Review"))</f>
        <v>Mike Paytonjian - Payroll</v>
      </c>
      <c r="J79" s="0" t="str">
        <f aca="false">IF($G79="","Uncategorized — Review",IFERROR(INDEX(Mapping!$C:$C,MATCH($G79,Mapping!$A:$A,0)),"Uncategorized — Review"))</f>
        <v>Payroll &amp; Contractors</v>
      </c>
    </row>
    <row r="80" customFormat="false" ht="15" hidden="false" customHeight="false" outlineLevel="0" collapsed="false">
      <c r="A80" s="0" t="str">
        <f aca="false">Chase1168_2026!A80</f>
        <v>DEBIT</v>
      </c>
      <c r="B80" s="14" t="n">
        <f aca="false">Chase1168_2026!B80</f>
        <v>46164</v>
      </c>
      <c r="C80" s="0" t="str">
        <f aca="false">Chase1168_2026!C80</f>
        <v>Experian* ProtectMyID 866-5849446 CA         05/22</v>
      </c>
      <c r="D80" s="7" t="n">
        <f aca="false">Chase1168_2026!D80</f>
        <v>-17.95</v>
      </c>
      <c r="E80" s="0" t="str">
        <f aca="false">Chase1168_2026!E80</f>
        <v>DEBIT_CARD</v>
      </c>
      <c r="F80" s="7" t="n">
        <f aca="false">Chase1168_2026!F80</f>
        <v>49602.35</v>
      </c>
      <c r="G80" s="0" t="str">
        <f aca="false">Chase1168_2026!G80</f>
        <v>Personal - Subscriptions</v>
      </c>
      <c r="H80" s="15" t="n">
        <f aca="false">IF($B80="","",DATE(YEAR($B80),MONTH($B80),1))</f>
        <v>46143</v>
      </c>
      <c r="I80" s="0" t="str">
        <f aca="false">IF($G80="","Uncategorized — Review",IFERROR(INDEX(Mapping!$B:$B,MATCH($G80,Mapping!$A:$A,0)),"Uncategorized — Review"))</f>
        <v>Personal - Subscriptions</v>
      </c>
      <c r="J80" s="0" t="str">
        <f aca="false">IF($G80="","Uncategorized — Review",IFERROR(INDEX(Mapping!$C:$C,MATCH($G80,Mapping!$A:$A,0)),"Uncategorized — Review"))</f>
        <v>Personal — Owner</v>
      </c>
    </row>
    <row r="81" customFormat="false" ht="15" hidden="false" customHeight="false" outlineLevel="0" collapsed="false">
      <c r="A81" s="0" t="str">
        <f aca="false">Chase1168_2026!A81</f>
        <v>DEBIT</v>
      </c>
      <c r="B81" s="14" t="n">
        <f aca="false">Chase1168_2026!B81</f>
        <v>46163</v>
      </c>
      <c r="C81" s="0" t="str">
        <f aca="false">Chase1168_2026!C81</f>
        <v>ONLINE FX INTERNATIONAL WIRE FEE</v>
      </c>
      <c r="D81" s="7" t="n">
        <f aca="false">Chase1168_2026!D81</f>
        <v>-5</v>
      </c>
      <c r="E81" s="0" t="str">
        <f aca="false">Chase1168_2026!E81</f>
        <v>FEE_TRANSACTION</v>
      </c>
      <c r="F81" s="7" t="n">
        <f aca="false">Chase1168_2026!F81</f>
        <v>49620.3</v>
      </c>
      <c r="G81" s="0" t="str">
        <f aca="false">Chase1168_2026!G81</f>
        <v>Andres Alarcon Payroll</v>
      </c>
      <c r="H81" s="15" t="n">
        <f aca="false">IF($B81="","",DATE(YEAR($B81),MONTH($B81),1))</f>
        <v>46143</v>
      </c>
      <c r="I81" s="0" t="str">
        <f aca="false">IF($G81="","Uncategorized — Review",IFERROR(INDEX(Mapping!$B:$B,MATCH($G81,Mapping!$A:$A,0)),"Uncategorized — Review"))</f>
        <v>Andres Alarcon Payroll</v>
      </c>
      <c r="J81" s="0" t="str">
        <f aca="false">IF($G81="","Uncategorized — Review",IFERROR(INDEX(Mapping!$C:$C,MATCH($G81,Mapping!$A:$A,0)),"Uncategorized — Review"))</f>
        <v>Payroll &amp; Contractors</v>
      </c>
    </row>
    <row r="82" customFormat="false" ht="15" hidden="false" customHeight="false" outlineLevel="0" collapsed="false">
      <c r="A82" s="0" t="str">
        <f aca="false">Chase1168_2026!A82</f>
        <v>DEBIT</v>
      </c>
      <c r="B82" s="14" t="n">
        <f aca="false">Chase1168_2026!B82</f>
        <v>46163</v>
      </c>
      <c r="C82" s="0" t="str">
        <f aca="false">Chase1168_2026!C82</f>
        <v>Online Transfer to CHK ...0709 transaction#: 29309161931 05/21</v>
      </c>
      <c r="D82" s="7" t="n">
        <f aca="false">Chase1168_2026!D82</f>
        <v>-500</v>
      </c>
      <c r="E82" s="0" t="str">
        <f aca="false">Chase1168_2026!E82</f>
        <v>ACCT_XFER</v>
      </c>
      <c r="F82" s="7" t="n">
        <f aca="false">Chase1168_2026!F82</f>
        <v>49625.3</v>
      </c>
      <c r="G82" s="0" t="str">
        <f aca="false">Chase1168_2026!G82</f>
        <v>Transfer to DWGCGroup_Savings</v>
      </c>
      <c r="H82" s="15" t="n">
        <f aca="false">IF($B82="","",DATE(YEAR($B82),MONTH($B82),1))</f>
        <v>46143</v>
      </c>
      <c r="I82" s="0" t="str">
        <f aca="false">IF($G82="","Uncategorized — Review",IFERROR(INDEX(Mapping!$B:$B,MATCH($G82,Mapping!$A:$A,0)),"Uncategorized — Review"))</f>
        <v>Transfer to DWG Savings</v>
      </c>
      <c r="J82" s="0" t="str">
        <f aca="false">IF($G82="","Uncategorized — Review",IFERROR(INDEX(Mapping!$C:$C,MATCH($G82,Mapping!$A:$A,0)),"Uncategorized — Review"))</f>
        <v>Intercompany &amp; Savings Transfers</v>
      </c>
    </row>
    <row r="83" customFormat="false" ht="15" hidden="false" customHeight="false" outlineLevel="0" collapsed="false">
      <c r="A83" s="0" t="str">
        <f aca="false">Chase1168_2026!A83</f>
        <v>DEBIT</v>
      </c>
      <c r="B83" s="14" t="n">
        <f aca="false">Chase1168_2026!B83</f>
        <v>46163</v>
      </c>
      <c r="C83" s="0" t="str">
        <f aca="false">Chase1168_2026!C83</f>
        <v>Online Transfer to CHK ...1117 transaction#: 29309160621 05/21</v>
      </c>
      <c r="D83" s="7" t="n">
        <f aca="false">Chase1168_2026!D83</f>
        <v>-2000</v>
      </c>
      <c r="E83" s="0" t="str">
        <f aca="false">Chase1168_2026!E83</f>
        <v>ACCT_XFER</v>
      </c>
      <c r="F83" s="7" t="n">
        <f aca="false">Chase1168_2026!F83</f>
        <v>50125.3</v>
      </c>
      <c r="G83" s="0" t="str">
        <f aca="false">Chase1168_2026!G83</f>
        <v>Transfer to Angela Dunning</v>
      </c>
      <c r="H83" s="15" t="n">
        <f aca="false">IF($B83="","",DATE(YEAR($B83),MONTH($B83),1))</f>
        <v>46143</v>
      </c>
      <c r="I83" s="0" t="str">
        <f aca="false">IF($G83="","Uncategorized — Review",IFERROR(INDEX(Mapping!$B:$B,MATCH($G83,Mapping!$A:$A,0)),"Uncategorized — Review"))</f>
        <v>Transfer to Angela Dunning</v>
      </c>
      <c r="J83" s="0" t="str">
        <f aca="false">IF($G83="","Uncategorized — Review",IFERROR(INDEX(Mapping!$C:$C,MATCH($G83,Mapping!$A:$A,0)),"Uncategorized — Review"))</f>
        <v>Owner / Family Distributions</v>
      </c>
    </row>
    <row r="84" customFormat="false" ht="15" hidden="false" customHeight="false" outlineLevel="0" collapsed="false">
      <c r="A84" s="0" t="str">
        <f aca="false">Chase1168_2026!A84</f>
        <v>DEBIT</v>
      </c>
      <c r="B84" s="14" t="n">
        <f aca="false">Chase1168_2026!B84</f>
        <v>46163</v>
      </c>
      <c r="C84" s="0" t="str">
        <f aca="false">Chase1168_2026!C84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PAYMENTS/OCMT/COP26 53112,48/EXCH/3537.4833/CNTR/647312 33/INT/ANDRES_52763ATHOTMAIL.C TRN: 5326500141RE 05/21</v>
      </c>
      <c r="D84" s="7" t="n">
        <f aca="false">Chase1168_2026!D84</f>
        <v>-750</v>
      </c>
      <c r="E84" s="0" t="str">
        <f aca="false">Chase1168_2026!E84</f>
        <v>WIRE_OUTGOING</v>
      </c>
      <c r="F84" s="7" t="n">
        <f aca="false">Chase1168_2026!F84</f>
        <v>52125.3</v>
      </c>
      <c r="G84" s="0" t="str">
        <f aca="false">Chase1168_2026!G84</f>
        <v>Andres Alarcon Payroll</v>
      </c>
      <c r="H84" s="15" t="n">
        <f aca="false">IF($B84="","",DATE(YEAR($B84),MONTH($B84),1))</f>
        <v>46143</v>
      </c>
      <c r="I84" s="0" t="str">
        <f aca="false">IF($G84="","Uncategorized — Review",IFERROR(INDEX(Mapping!$B:$B,MATCH($G84,Mapping!$A:$A,0)),"Uncategorized — Review"))</f>
        <v>Andres Alarcon Payroll</v>
      </c>
      <c r="J84" s="0" t="str">
        <f aca="false">IF($G84="","Uncategorized — Review",IFERROR(INDEX(Mapping!$C:$C,MATCH($G84,Mapping!$A:$A,0)),"Uncategorized — Review"))</f>
        <v>Payroll &amp; Contractors</v>
      </c>
    </row>
    <row r="85" customFormat="false" ht="15" hidden="false" customHeight="false" outlineLevel="0" collapsed="false">
      <c r="A85" s="0" t="str">
        <f aca="false">Chase1168_2026!A85</f>
        <v>DEBIT</v>
      </c>
      <c r="B85" s="14" t="n">
        <f aca="false">Chase1168_2026!B85</f>
        <v>46163</v>
      </c>
      <c r="C85" s="0" t="str">
        <f aca="false">Chase1168_2026!C85</f>
        <v>ORIG CO NAME:PRINCIPAL-CCAPNL       ORIG ID:9INDPNLEFT DESC DATE:051926 CO ENTRY DESCR:PRIN FINANSEC:PPD    TRACE#:091000017262514 EED:260521   IND ID:                             IND NAME:JOHN B DUNNING TRN: 1417262514TC</v>
      </c>
      <c r="D85" s="7" t="n">
        <f aca="false">Chase1168_2026!D85</f>
        <v>-331.54</v>
      </c>
      <c r="E85" s="0" t="str">
        <f aca="false">Chase1168_2026!E85</f>
        <v>ACH_DEBIT</v>
      </c>
      <c r="F85" s="7" t="n">
        <f aca="false">Chase1168_2026!F85</f>
        <v>52875.3</v>
      </c>
      <c r="G85" s="0" t="str">
        <f aca="false">Chase1168_2026!G85</f>
        <v>???</v>
      </c>
      <c r="H85" s="15" t="n">
        <f aca="false">IF($B85="","",DATE(YEAR($B85),MONTH($B85),1))</f>
        <v>46143</v>
      </c>
      <c r="I85" s="0" t="str">
        <f aca="false">IF($G85="","Uncategorized — Review",IFERROR(INDEX(Mapping!$B:$B,MATCH($G85,Mapping!$A:$A,0)),"Uncategorized — Review"))</f>
        <v>???</v>
      </c>
      <c r="J85" s="0" t="str">
        <f aca="false">IF($G85="","Uncategorized — Review",IFERROR(INDEX(Mapping!$C:$C,MATCH($G85,Mapping!$A:$A,0)),"Uncategorized — Review"))</f>
        <v>Uncategorized — Review</v>
      </c>
    </row>
    <row r="86" customFormat="false" ht="15" hidden="false" customHeight="false" outlineLevel="0" collapsed="false">
      <c r="A86" s="0" t="str">
        <f aca="false">Chase1168_2026!A86</f>
        <v>DEBIT</v>
      </c>
      <c r="B86" s="14" t="n">
        <f aca="false">Chase1168_2026!B86</f>
        <v>46163</v>
      </c>
      <c r="C86" s="0" t="str">
        <f aca="false">Chase1168_2026!C86</f>
        <v>Zelle payment to Jeffrey Seider JPM99chsj6i2</v>
      </c>
      <c r="D86" s="7" t="n">
        <f aca="false">Chase1168_2026!D86</f>
        <v>-200</v>
      </c>
      <c r="E86" s="0" t="str">
        <f aca="false">Chase1168_2026!E86</f>
        <v>CHASE_TO_PARTNERFI</v>
      </c>
      <c r="F86" s="7" t="n">
        <f aca="false">Chase1168_2026!F86</f>
        <v>53206.84</v>
      </c>
      <c r="G86" s="0" t="str">
        <f aca="false">Chase1168_2026!G86</f>
        <v>Zelle - Jeff Seider</v>
      </c>
      <c r="H86" s="15" t="n">
        <f aca="false">IF($B86="","",DATE(YEAR($B86),MONTH($B86),1))</f>
        <v>46143</v>
      </c>
      <c r="I86" s="0" t="str">
        <f aca="false">IF($G86="","Uncategorized — Review",IFERROR(INDEX(Mapping!$B:$B,MATCH($G86,Mapping!$A:$A,0)),"Uncategorized — Review"))</f>
        <v>Zelle - Jeff Seider</v>
      </c>
      <c r="J86" s="0" t="str">
        <f aca="false">IF($G86="","Uncategorized — Review",IFERROR(INDEX(Mapping!$C:$C,MATCH($G86,Mapping!$A:$A,0)),"Uncategorized — Review"))</f>
        <v>P2P Payments (Zelle/Venmo/PayPal)</v>
      </c>
    </row>
    <row r="87" customFormat="false" ht="15" hidden="false" customHeight="false" outlineLevel="0" collapsed="false">
      <c r="A87" s="0" t="str">
        <f aca="false">Chase1168_2026!A87</f>
        <v>DEBIT</v>
      </c>
      <c r="B87" s="14" t="n">
        <f aca="false">Chase1168_2026!B87</f>
        <v>46163</v>
      </c>
      <c r="C87" s="0" t="str">
        <f aca="false">Chase1168_2026!C87</f>
        <v>GODADDY#4092998346 480-5058855 AZ            05/20</v>
      </c>
      <c r="D87" s="7" t="n">
        <f aca="false">Chase1168_2026!D87</f>
        <v>-19.97</v>
      </c>
      <c r="E87" s="0" t="str">
        <f aca="false">Chase1168_2026!E87</f>
        <v>DEBIT_CARD</v>
      </c>
      <c r="F87" s="7" t="n">
        <f aca="false">Chase1168_2026!F87</f>
        <v>53406.84</v>
      </c>
      <c r="G87" s="0" t="str">
        <f aca="false">Chase1168_2026!G87</f>
        <v>Go Daddy</v>
      </c>
      <c r="H87" s="15" t="n">
        <f aca="false">IF($B87="","",DATE(YEAR($B87),MONTH($B87),1))</f>
        <v>46143</v>
      </c>
      <c r="I87" s="0" t="str">
        <f aca="false">IF($G87="","Uncategorized — Review",IFERROR(INDEX(Mapping!$B:$B,MATCH($G87,Mapping!$A:$A,0)),"Uncategorized — Review"))</f>
        <v>Go Daddy</v>
      </c>
      <c r="J87" s="0" t="str">
        <f aca="false">IF($G87="","Uncategorized — Review",IFERROR(INDEX(Mapping!$C:$C,MATCH($G87,Mapping!$A:$A,0)),"Uncategorized — Review"))</f>
        <v>DWG Operating</v>
      </c>
    </row>
    <row r="88" customFormat="false" ht="15" hidden="false" customHeight="false" outlineLevel="0" collapsed="false">
      <c r="A88" s="0" t="str">
        <f aca="false">Chase1168_2026!A88</f>
        <v>DEBIT</v>
      </c>
      <c r="B88" s="14" t="n">
        <f aca="false">Chase1168_2026!B88</f>
        <v>46162</v>
      </c>
      <c r="C88" s="0" t="str">
        <f aca="false">Chase1168_2026!C88</f>
        <v>Zelle payment to Estella Martinez JPM99cho2o00</v>
      </c>
      <c r="D88" s="7" t="n">
        <f aca="false">Chase1168_2026!D88</f>
        <v>-1000</v>
      </c>
      <c r="E88" s="0" t="str">
        <f aca="false">Chase1168_2026!E88</f>
        <v>CHASE_TO_PARTNERFI</v>
      </c>
      <c r="F88" s="7" t="n">
        <f aca="false">Chase1168_2026!F88</f>
        <v>53426.81</v>
      </c>
      <c r="G88" s="0" t="str">
        <f aca="false">Chase1168_2026!G88</f>
        <v>Zelle - Estella M.</v>
      </c>
      <c r="H88" s="15" t="n">
        <f aca="false">IF($B88="","",DATE(YEAR($B88),MONTH($B88),1))</f>
        <v>46143</v>
      </c>
      <c r="I88" s="0" t="str">
        <f aca="false">IF($G88="","Uncategorized — Review",IFERROR(INDEX(Mapping!$B:$B,MATCH($G88,Mapping!$A:$A,0)),"Uncategorized — Review"))</f>
        <v>Zelle - Estella M.</v>
      </c>
      <c r="J88" s="0" t="str">
        <f aca="false">IF($G88="","Uncategorized — Review",IFERROR(INDEX(Mapping!$C:$C,MATCH($G88,Mapping!$A:$A,0)),"Uncategorized — Review"))</f>
        <v>P2P Payments (Zelle/Venmo/PayPal)</v>
      </c>
    </row>
    <row r="89" customFormat="false" ht="15" hidden="false" customHeight="false" outlineLevel="0" collapsed="false">
      <c r="A89" s="0" t="str">
        <f aca="false">Chase1168_2026!A89</f>
        <v>DEBIT</v>
      </c>
      <c r="B89" s="14" t="n">
        <f aca="false">Chase1168_2026!B89</f>
        <v>46161</v>
      </c>
      <c r="C89" s="0" t="str">
        <f aca="false">Chase1168_2026!C89</f>
        <v>ORIG CO NAME:TXU ENERGY             ORIG ID:1001020329 DESC DATE:       CO ENTRY DESCR:TXUE_ACH  SEC:WEB    TRACE#:021000026902061 EED:260519   IND ID:900062431557                 IND NAME:DWG CAPITAL GROUP          17333702810000000000000000000003524 1066071                                       DIRECT DEBITING TRN: 1396902061TC</v>
      </c>
      <c r="D89" s="7" t="n">
        <f aca="false">Chase1168_2026!D89</f>
        <v>-252.8</v>
      </c>
      <c r="E89" s="0" t="str">
        <f aca="false">Chase1168_2026!E89</f>
        <v>ACH_DEBIT</v>
      </c>
      <c r="F89" s="7" t="n">
        <f aca="false">Chase1168_2026!F89</f>
        <v>54426.81</v>
      </c>
      <c r="G89" s="0" t="str">
        <f aca="false">Chase1168_2026!G89</f>
        <v>Texas - House Utilities</v>
      </c>
      <c r="H89" s="15" t="n">
        <f aca="false">IF($B89="","",DATE(YEAR($B89),MONTH($B89),1))</f>
        <v>46143</v>
      </c>
      <c r="I89" s="0" t="str">
        <f aca="false">IF($G89="","Uncategorized — Review",IFERROR(INDEX(Mapping!$B:$B,MATCH($G89,Mapping!$A:$A,0)),"Uncategorized — Review"))</f>
        <v>Texas - House Utilities</v>
      </c>
      <c r="J89" s="0" t="str">
        <f aca="false">IF($G89="","Uncategorized — Review",IFERROR(INDEX(Mapping!$C:$C,MATCH($G89,Mapping!$A:$A,0)),"Uncategorized — Review"))</f>
        <v>Personal — Owner</v>
      </c>
    </row>
    <row r="90" customFormat="false" ht="15" hidden="false" customHeight="false" outlineLevel="0" collapsed="false">
      <c r="A90" s="0" t="str">
        <f aca="false">Chase1168_2026!A90</f>
        <v>DEBIT</v>
      </c>
      <c r="B90" s="14" t="n">
        <f aca="false">Chase1168_2026!B90</f>
        <v>46161</v>
      </c>
      <c r="C90" s="0" t="str">
        <f aca="false">Chase1168_2026!C90</f>
        <v>Online Transfer to CHK ...1117 transaction#: 29277924467 05/19</v>
      </c>
      <c r="D90" s="7" t="n">
        <f aca="false">Chase1168_2026!D90</f>
        <v>-3000</v>
      </c>
      <c r="E90" s="0" t="str">
        <f aca="false">Chase1168_2026!E90</f>
        <v>ACCT_XFER</v>
      </c>
      <c r="F90" s="7" t="n">
        <f aca="false">Chase1168_2026!F90</f>
        <v>54679.61</v>
      </c>
      <c r="G90" s="0" t="str">
        <f aca="false">Chase1168_2026!G90</f>
        <v>Transfer to Angela Dunning</v>
      </c>
      <c r="H90" s="15" t="n">
        <f aca="false">IF($B90="","",DATE(YEAR($B90),MONTH($B90),1))</f>
        <v>46143</v>
      </c>
      <c r="I90" s="0" t="str">
        <f aca="false">IF($G90="","Uncategorized — Review",IFERROR(INDEX(Mapping!$B:$B,MATCH($G90,Mapping!$A:$A,0)),"Uncategorized — Review"))</f>
        <v>Transfer to Angela Dunning</v>
      </c>
      <c r="J90" s="0" t="str">
        <f aca="false">IF($G90="","Uncategorized — Review",IFERROR(INDEX(Mapping!$C:$C,MATCH($G90,Mapping!$A:$A,0)),"Uncategorized — Review"))</f>
        <v>Owner / Family Distributions</v>
      </c>
    </row>
    <row r="91" customFormat="false" ht="15" hidden="false" customHeight="false" outlineLevel="0" collapsed="false">
      <c r="A91" s="0" t="str">
        <f aca="false">Chase1168_2026!A91</f>
        <v>DEBIT</v>
      </c>
      <c r="B91" s="14" t="n">
        <f aca="false">Chase1168_2026!B91</f>
        <v>46161</v>
      </c>
      <c r="C91" s="0" t="str">
        <f aca="false">Chase1168_2026!C91</f>
        <v>PAYPAL *RUTHALCANCI 402-935-7733 CA          05/19</v>
      </c>
      <c r="D91" s="7" t="n">
        <f aca="false">Chase1168_2026!D91</f>
        <v>-313.94</v>
      </c>
      <c r="E91" s="0" t="str">
        <f aca="false">Chase1168_2026!E91</f>
        <v>DEBIT_CARD</v>
      </c>
      <c r="F91" s="7" t="n">
        <f aca="false">Chase1168_2026!F91</f>
        <v>57679.61</v>
      </c>
      <c r="G91" s="0" t="str">
        <f aca="false">Chase1168_2026!G91</f>
        <v>Ruth Alcancia - Forward Bridge Payment</v>
      </c>
      <c r="H91" s="15" t="n">
        <f aca="false">IF($B91="","",DATE(YEAR($B91),MONTH($B91),1))</f>
        <v>46143</v>
      </c>
      <c r="I91" s="0" t="str">
        <f aca="false">IF($G91="","Uncategorized — Review",IFERROR(INDEX(Mapping!$B:$B,MATCH($G91,Mapping!$A:$A,0)),"Uncategorized — Review"))</f>
        <v>Ruth Alcancia - Forward Bridge Payment</v>
      </c>
      <c r="J91" s="0" t="str">
        <f aca="false">IF($G91="","Uncategorized — Review",IFERROR(INDEX(Mapping!$C:$C,MATCH($G91,Mapping!$A:$A,0)),"Uncategorized — Review"))</f>
        <v>Payroll &amp; Contractors</v>
      </c>
    </row>
    <row r="92" customFormat="false" ht="15" hidden="false" customHeight="false" outlineLevel="0" collapsed="false">
      <c r="A92" s="0" t="str">
        <f aca="false">Chase1168_2026!A92</f>
        <v>DEBIT</v>
      </c>
      <c r="B92" s="14" t="n">
        <f aca="false">Chase1168_2026!B92</f>
        <v>46160</v>
      </c>
      <c r="C92" s="0" t="str">
        <f aca="false">Chase1168_2026!C92</f>
        <v>DNH*GODADDY#4091061067 480-5058855 AZ        05/18</v>
      </c>
      <c r="D92" s="7" t="n">
        <f aca="false">Chase1168_2026!D92</f>
        <v>-70.96</v>
      </c>
      <c r="E92" s="0" t="str">
        <f aca="false">Chase1168_2026!E92</f>
        <v>DEBIT_CARD</v>
      </c>
      <c r="F92" s="7" t="n">
        <f aca="false">Chase1168_2026!F92</f>
        <v>57993.55</v>
      </c>
      <c r="G92" s="0" t="str">
        <f aca="false">Chase1168_2026!G92</f>
        <v>Go Daddy</v>
      </c>
      <c r="H92" s="15" t="n">
        <f aca="false">IF($B92="","",DATE(YEAR($B92),MONTH($B92),1))</f>
        <v>46143</v>
      </c>
      <c r="I92" s="0" t="str">
        <f aca="false">IF($G92="","Uncategorized — Review",IFERROR(INDEX(Mapping!$B:$B,MATCH($G92,Mapping!$A:$A,0)),"Uncategorized — Review"))</f>
        <v>Go Daddy</v>
      </c>
      <c r="J92" s="0" t="str">
        <f aca="false">IF($G92="","Uncategorized — Review",IFERROR(INDEX(Mapping!$C:$C,MATCH($G92,Mapping!$A:$A,0)),"Uncategorized — Review"))</f>
        <v>DWG Operating</v>
      </c>
    </row>
    <row r="93" customFormat="false" ht="15" hidden="false" customHeight="false" outlineLevel="0" collapsed="false">
      <c r="A93" s="0" t="str">
        <f aca="false">Chase1168_2026!A93</f>
        <v>DEBIT</v>
      </c>
      <c r="B93" s="14" t="n">
        <f aca="false">Chase1168_2026!B93</f>
        <v>46160</v>
      </c>
      <c r="C93" s="0" t="str">
        <f aca="false">Chase1168_2026!C93</f>
        <v>DNH*GODADDY#4091060996 480-5058855 AZ        05/18</v>
      </c>
      <c r="D93" s="7" t="n">
        <f aca="false">Chase1168_2026!D93</f>
        <v>-16.98</v>
      </c>
      <c r="E93" s="0" t="str">
        <f aca="false">Chase1168_2026!E93</f>
        <v>DEBIT_CARD</v>
      </c>
      <c r="F93" s="7" t="n">
        <f aca="false">Chase1168_2026!F93</f>
        <v>58064.51</v>
      </c>
      <c r="G93" s="0" t="str">
        <f aca="false">Chase1168_2026!G93</f>
        <v>Go Daddy</v>
      </c>
      <c r="H93" s="15" t="n">
        <f aca="false">IF($B93="","",DATE(YEAR($B93),MONTH($B93),1))</f>
        <v>46143</v>
      </c>
      <c r="I93" s="0" t="str">
        <f aca="false">IF($G93="","Uncategorized — Review",IFERROR(INDEX(Mapping!$B:$B,MATCH($G93,Mapping!$A:$A,0)),"Uncategorized — Review"))</f>
        <v>Go Daddy</v>
      </c>
      <c r="J93" s="0" t="str">
        <f aca="false">IF($G93="","Uncategorized — Review",IFERROR(INDEX(Mapping!$C:$C,MATCH($G93,Mapping!$A:$A,0)),"Uncategorized — Review"))</f>
        <v>DWG Operating</v>
      </c>
    </row>
    <row r="94" customFormat="false" ht="15" hidden="false" customHeight="false" outlineLevel="0" collapsed="false">
      <c r="A94" s="0" t="str">
        <f aca="false">Chase1168_2026!A94</f>
        <v>DEBIT</v>
      </c>
      <c r="B94" s="14" t="n">
        <f aca="false">Chase1168_2026!B94</f>
        <v>46160</v>
      </c>
      <c r="C94" s="0" t="str">
        <f aca="false">Chase1168_2026!C94</f>
        <v>Basic Online Payroll Payment 11218832659 to ########4122</v>
      </c>
      <c r="D94" s="7" t="n">
        <f aca="false">Chase1168_2026!D94</f>
        <v>-2000</v>
      </c>
      <c r="E94" s="0" t="str">
        <f aca="false">Chase1168_2026!E94</f>
        <v>BASIC_PAYROLL</v>
      </c>
      <c r="F94" s="7" t="n">
        <f aca="false">Chase1168_2026!F94</f>
        <v>58081.49</v>
      </c>
      <c r="G94" s="0" t="str">
        <f aca="false">Chase1168_2026!G94</f>
        <v>Mike Paytonjian - Payroll</v>
      </c>
      <c r="H94" s="15" t="n">
        <f aca="false">IF($B94="","",DATE(YEAR($B94),MONTH($B94),1))</f>
        <v>46143</v>
      </c>
      <c r="I94" s="0" t="str">
        <f aca="false">IF($G94="","Uncategorized — Review",IFERROR(INDEX(Mapping!$B:$B,MATCH($G94,Mapping!$A:$A,0)),"Uncategorized — Review"))</f>
        <v>Mike Paytonjian - Payroll</v>
      </c>
      <c r="J94" s="0" t="str">
        <f aca="false">IF($G94="","Uncategorized — Review",IFERROR(INDEX(Mapping!$C:$C,MATCH($G94,Mapping!$A:$A,0)),"Uncategorized — Review"))</f>
        <v>Payroll &amp; Contractors</v>
      </c>
    </row>
    <row r="95" customFormat="false" ht="15" hidden="false" customHeight="false" outlineLevel="0" collapsed="false">
      <c r="A95" s="0" t="str">
        <f aca="false">Chase1168_2026!A95</f>
        <v>DEBIT</v>
      </c>
      <c r="B95" s="14" t="n">
        <f aca="false">Chase1168_2026!B95</f>
        <v>46160</v>
      </c>
      <c r="C95" s="0" t="str">
        <f aca="false">Chase1168_2026!C95</f>
        <v>ORIG CO NAME:VENMO                  ORIG ID:3264681992 DESC DATE:260516 CO ENTRY DESCR:PAYMENT   SEC:WEB    TRACE#:021000020656240 EED:260518   IND ID:1050328998310                IND NAME:JUDD DUNNING                                                                                                 260516PPZYI4 TRN: 1380656240TC</v>
      </c>
      <c r="D95" s="7" t="n">
        <f aca="false">Chase1168_2026!D95</f>
        <v>-1</v>
      </c>
      <c r="E95" s="0" t="str">
        <f aca="false">Chase1168_2026!E95</f>
        <v>ACH_DEBIT</v>
      </c>
      <c r="F95" s="7" t="n">
        <f aca="false">Chase1168_2026!F95</f>
        <v>60081.49</v>
      </c>
      <c r="G95" s="0" t="str">
        <f aca="false">Chase1168_2026!G95</f>
        <v>Venmo</v>
      </c>
      <c r="H95" s="15" t="n">
        <f aca="false">IF($B95="","",DATE(YEAR($B95),MONTH($B95),1))</f>
        <v>46143</v>
      </c>
      <c r="I95" s="0" t="str">
        <f aca="false">IF($G95="","Uncategorized — Review",IFERROR(INDEX(Mapping!$B:$B,MATCH($G95,Mapping!$A:$A,0)),"Uncategorized — Review"))</f>
        <v>Venmo</v>
      </c>
      <c r="J95" s="0" t="str">
        <f aca="false">IF($G95="","Uncategorized — Review",IFERROR(INDEX(Mapping!$C:$C,MATCH($G95,Mapping!$A:$A,0)),"Uncategorized — Review"))</f>
        <v>P2P Payments (Zelle/Venmo/PayPal)</v>
      </c>
    </row>
    <row r="96" customFormat="false" ht="15" hidden="false" customHeight="false" outlineLevel="0" collapsed="false">
      <c r="A96" s="0" t="str">
        <f aca="false">Chase1168_2026!A96</f>
        <v>DEBIT</v>
      </c>
      <c r="B96" s="14" t="n">
        <f aca="false">Chase1168_2026!B96</f>
        <v>46160</v>
      </c>
      <c r="C96" s="0" t="str">
        <f aca="false">Chase1168_2026!C96</f>
        <v>ORIG CO NAME:VENMO                  ORIG ID:3264681992 DESC DATE:260516 CO ENTRY DESCR:PAYMENT   SEC:WEB    TRACE#:021000020656219 EED:260518   IND ID:1050328986800                IND NAME:JUDD DUNNING                                                                                                 260516PPZYI4 TRN: 1380656219TC</v>
      </c>
      <c r="D96" s="7" t="n">
        <f aca="false">Chase1168_2026!D96</f>
        <v>-100</v>
      </c>
      <c r="E96" s="0" t="str">
        <f aca="false">Chase1168_2026!E96</f>
        <v>ACH_DEBIT</v>
      </c>
      <c r="F96" s="7" t="n">
        <f aca="false">Chase1168_2026!F96</f>
        <v>60082.49</v>
      </c>
      <c r="G96" s="0" t="str">
        <f aca="false">Chase1168_2026!G96</f>
        <v>Venmo</v>
      </c>
      <c r="H96" s="15" t="n">
        <f aca="false">IF($B96="","",DATE(YEAR($B96),MONTH($B96),1))</f>
        <v>46143</v>
      </c>
      <c r="I96" s="0" t="str">
        <f aca="false">IF($G96="","Uncategorized — Review",IFERROR(INDEX(Mapping!$B:$B,MATCH($G96,Mapping!$A:$A,0)),"Uncategorized — Review"))</f>
        <v>Venmo</v>
      </c>
      <c r="J96" s="0" t="str">
        <f aca="false">IF($G96="","Uncategorized — Review",IFERROR(INDEX(Mapping!$C:$C,MATCH($G96,Mapping!$A:$A,0)),"Uncategorized — Review"))</f>
        <v>P2P Payments (Zelle/Venmo/PayPal)</v>
      </c>
    </row>
    <row r="97" customFormat="false" ht="15" hidden="false" customHeight="false" outlineLevel="0" collapsed="false">
      <c r="A97" s="0" t="str">
        <f aca="false">Chase1168_2026!A97</f>
        <v>DEBIT</v>
      </c>
      <c r="B97" s="14" t="n">
        <f aca="false">Chase1168_2026!B97</f>
        <v>46160</v>
      </c>
      <c r="C97" s="0" t="str">
        <f aca="false">Chase1168_2026!C97</f>
        <v>Online Transfer to CHK ...3922 transaction#: 29255498410 05/18</v>
      </c>
      <c r="D97" s="7" t="n">
        <f aca="false">Chase1168_2026!D97</f>
        <v>-5000</v>
      </c>
      <c r="E97" s="0" t="str">
        <f aca="false">Chase1168_2026!E97</f>
        <v>ACCT_XFER</v>
      </c>
      <c r="F97" s="7" t="n">
        <f aca="false">Chase1168_2026!F97</f>
        <v>60182.49</v>
      </c>
      <c r="G97" s="0" t="str">
        <f aca="false">Chase1168_2026!G97</f>
        <v>Transfer to DWG Capital Partners</v>
      </c>
      <c r="H97" s="15" t="n">
        <f aca="false">IF($B97="","",DATE(YEAR($B97),MONTH($B97),1))</f>
        <v>46143</v>
      </c>
      <c r="I97" s="0" t="str">
        <f aca="false">IF($G97="","Uncategorized — Review",IFERROR(INDEX(Mapping!$B:$B,MATCH($G97,Mapping!$A:$A,0)),"Uncategorized — Review"))</f>
        <v>Transfer to DWG Capital Partners</v>
      </c>
      <c r="J97" s="0" t="str">
        <f aca="false">IF($G97="","Uncategorized — Review",IFERROR(INDEX(Mapping!$C:$C,MATCH($G97,Mapping!$A:$A,0)),"Uncategorized — Review"))</f>
        <v>Intercompany &amp; Savings Transfers</v>
      </c>
    </row>
    <row r="98" customFormat="false" ht="15" hidden="false" customHeight="false" outlineLevel="0" collapsed="false">
      <c r="A98" s="0" t="str">
        <f aca="false">Chase1168_2026!A98</f>
        <v>DEBIT</v>
      </c>
      <c r="B98" s="14" t="n">
        <f aca="false">Chase1168_2026!B98</f>
        <v>46160</v>
      </c>
      <c r="C98" s="0" t="str">
        <f aca="false">Chase1168_2026!C98</f>
        <v>Online Transfer to CHK ...1117 transaction#: 29250942768 05/18</v>
      </c>
      <c r="D98" s="7" t="n">
        <f aca="false">Chase1168_2026!D98</f>
        <v>-3000</v>
      </c>
      <c r="E98" s="0" t="str">
        <f aca="false">Chase1168_2026!E98</f>
        <v>ACCT_XFER</v>
      </c>
      <c r="F98" s="7" t="n">
        <f aca="false">Chase1168_2026!F98</f>
        <v>65182.49</v>
      </c>
      <c r="G98" s="0" t="str">
        <f aca="false">Chase1168_2026!G98</f>
        <v>Transfer to Angela Dunning</v>
      </c>
      <c r="H98" s="15" t="n">
        <f aca="false">IF($B98="","",DATE(YEAR($B98),MONTH($B98),1))</f>
        <v>46143</v>
      </c>
      <c r="I98" s="0" t="str">
        <f aca="false">IF($G98="","Uncategorized — Review",IFERROR(INDEX(Mapping!$B:$B,MATCH($G98,Mapping!$A:$A,0)),"Uncategorized — Review"))</f>
        <v>Transfer to Angela Dunning</v>
      </c>
      <c r="J98" s="0" t="str">
        <f aca="false">IF($G98="","Uncategorized — Review",IFERROR(INDEX(Mapping!$C:$C,MATCH($G98,Mapping!$A:$A,0)),"Uncategorized — Review"))</f>
        <v>Owner / Family Distributions</v>
      </c>
    </row>
    <row r="99" customFormat="false" ht="15" hidden="false" customHeight="false" outlineLevel="0" collapsed="false">
      <c r="A99" s="0" t="str">
        <f aca="false">Chase1168_2026!A99</f>
        <v>DEBIT</v>
      </c>
      <c r="B99" s="14" t="n">
        <f aca="false">Chase1168_2026!B99</f>
        <v>46160</v>
      </c>
      <c r="C99" s="0" t="str">
        <f aca="false">Chase1168_2026!C99</f>
        <v>ORIG CO NAME:LEASEDIRECT            ORIG ID:138190450  DESC DATE:260515 CO ENTRY DESCR:19226_1   SEC:CCD    TRACE#:043000099396934 EED:260518   IND ID:1556926                      IND NAME:DWG CAPITAL GROUP          INV# 596692263 DUE 05/15/26 REC# 10 11047514                                      19227 TRN: 1389396934TC</v>
      </c>
      <c r="D99" s="7" t="n">
        <f aca="false">Chase1168_2026!D99</f>
        <v>-104.01</v>
      </c>
      <c r="E99" s="0" t="str">
        <f aca="false">Chase1168_2026!E99</f>
        <v>ACH_DEBIT</v>
      </c>
      <c r="F99" s="7" t="n">
        <f aca="false">Chase1168_2026!F99</f>
        <v>68182.49</v>
      </c>
      <c r="G99" s="0" t="str">
        <f aca="false">Chase1168_2026!G99</f>
        <v>DWG Marketing</v>
      </c>
      <c r="H99" s="15" t="n">
        <f aca="false">IF($B99="","",DATE(YEAR($B99),MONTH($B99),1))</f>
        <v>46143</v>
      </c>
      <c r="I99" s="0" t="str">
        <f aca="false">IF($G99="","Uncategorized — Review",IFERROR(INDEX(Mapping!$B:$B,MATCH($G99,Mapping!$A:$A,0)),"Uncategorized — Review"))</f>
        <v>DWG Marketing</v>
      </c>
      <c r="J99" s="0" t="str">
        <f aca="false">IF($G99="","Uncategorized — Review",IFERROR(INDEX(Mapping!$C:$C,MATCH($G99,Mapping!$A:$A,0)),"Uncategorized — Review"))</f>
        <v>DWG Operating</v>
      </c>
    </row>
    <row r="100" customFormat="false" ht="15" hidden="false" customHeight="false" outlineLevel="0" collapsed="false">
      <c r="A100" s="0" t="str">
        <f aca="false">Chase1168_2026!A100</f>
        <v>DEBIT</v>
      </c>
      <c r="B100" s="14" t="n">
        <f aca="false">Chase1168_2026!B100</f>
        <v>46156</v>
      </c>
      <c r="C100" s="0" t="str">
        <f aca="false">Chase1168_2026!C100</f>
        <v>ORIG CO NAME:VENMO                  ORIG ID:3264681992 DESC DATE:260514 CO ENTRY DESCR:PAYMENT   SEC:WEB    TRACE#:021000020137136 EED:260514   IND ID:1050290351281                IND NAME:JUDD DUNNING                                                                                                 260514PPZKFA TRN: 1340137136TC</v>
      </c>
      <c r="D100" s="7" t="n">
        <f aca="false">Chase1168_2026!D100</f>
        <v>-100</v>
      </c>
      <c r="E100" s="0" t="str">
        <f aca="false">Chase1168_2026!E100</f>
        <v>ACH_DEBIT</v>
      </c>
      <c r="F100" s="7" t="n">
        <f aca="false">Chase1168_2026!F100</f>
        <v>68286.5</v>
      </c>
      <c r="G100" s="0" t="str">
        <f aca="false">Chase1168_2026!G100</f>
        <v>Venmo</v>
      </c>
      <c r="H100" s="15" t="n">
        <f aca="false">IF($B100="","",DATE(YEAR($B100),MONTH($B100),1))</f>
        <v>46143</v>
      </c>
      <c r="I100" s="0" t="str">
        <f aca="false">IF($G100="","Uncategorized — Review",IFERROR(INDEX(Mapping!$B:$B,MATCH($G100,Mapping!$A:$A,0)),"Uncategorized — Review"))</f>
        <v>Venmo</v>
      </c>
      <c r="J100" s="0" t="str">
        <f aca="false">IF($G100="","Uncategorized — Review",IFERROR(INDEX(Mapping!$C:$C,MATCH($G100,Mapping!$A:$A,0)),"Uncategorized — Review"))</f>
        <v>P2P Payments (Zelle/Venmo/PayPal)</v>
      </c>
    </row>
    <row r="101" customFormat="false" ht="15" hidden="false" customHeight="false" outlineLevel="0" collapsed="false">
      <c r="A101" s="0" t="str">
        <f aca="false">Chase1168_2026!A101</f>
        <v>DEBIT</v>
      </c>
      <c r="B101" s="14" t="n">
        <f aca="false">Chase1168_2026!B101</f>
        <v>46156</v>
      </c>
      <c r="C101" s="0" t="str">
        <f aca="false">Chase1168_2026!C101</f>
        <v>Basic Online Payroll Payment 11217335419 to #####5820</v>
      </c>
      <c r="D101" s="7" t="n">
        <f aca="false">Chase1168_2026!D101</f>
        <v>-3500</v>
      </c>
      <c r="E101" s="0" t="str">
        <f aca="false">Chase1168_2026!E101</f>
        <v>BASIC_PAYROLL</v>
      </c>
      <c r="F101" s="7" t="n">
        <f aca="false">Chase1168_2026!F101</f>
        <v>68386.5</v>
      </c>
      <c r="G101" s="0" t="str">
        <f aca="false">Chase1168_2026!G101</f>
        <v>Chase Hall - Payroll</v>
      </c>
      <c r="H101" s="15" t="n">
        <f aca="false">IF($B101="","",DATE(YEAR($B101),MONTH($B101),1))</f>
        <v>46143</v>
      </c>
      <c r="I101" s="0" t="str">
        <f aca="false">IF($G101="","Uncategorized — Review",IFERROR(INDEX(Mapping!$B:$B,MATCH($G101,Mapping!$A:$A,0)),"Uncategorized — Review"))</f>
        <v>Chase Hall - Payroll</v>
      </c>
      <c r="J101" s="0" t="str">
        <f aca="false">IF($G101="","Uncategorized — Review",IFERROR(INDEX(Mapping!$C:$C,MATCH($G101,Mapping!$A:$A,0)),"Uncategorized — Review"))</f>
        <v>Payroll &amp; Contractors</v>
      </c>
    </row>
    <row r="102" customFormat="false" ht="15" hidden="false" customHeight="false" outlineLevel="0" collapsed="false">
      <c r="A102" s="0" t="str">
        <f aca="false">Chase1168_2026!A102</f>
        <v>DEBIT</v>
      </c>
      <c r="B102" s="14" t="n">
        <f aca="false">Chase1168_2026!B102</f>
        <v>46155</v>
      </c>
      <c r="C102" s="0" t="str">
        <f aca="false">Chase1168_2026!C102</f>
        <v>ORIG CO NAME:VENMO                  ORIG ID:3264681992 DESC DATE:260513 CO ENTRY DESCR:PAYMENT   SEC:WEB    TRACE#:021000026721135 EED:260513   IND ID:1050277041223                IND NAME:JUDD DUNNING                                                                                                 260513PPZCLG TRN: 1336721135TC</v>
      </c>
      <c r="D102" s="7" t="n">
        <f aca="false">Chase1168_2026!D102</f>
        <v>-130</v>
      </c>
      <c r="E102" s="0" t="str">
        <f aca="false">Chase1168_2026!E102</f>
        <v>ACH_DEBIT</v>
      </c>
      <c r="F102" s="7" t="n">
        <f aca="false">Chase1168_2026!F102</f>
        <v>71886.5</v>
      </c>
      <c r="G102" s="0" t="str">
        <f aca="false">Chase1168_2026!G102</f>
        <v>Venmo</v>
      </c>
      <c r="H102" s="15" t="n">
        <f aca="false">IF($B102="","",DATE(YEAR($B102),MONTH($B102),1))</f>
        <v>46143</v>
      </c>
      <c r="I102" s="0" t="str">
        <f aca="false">IF($G102="","Uncategorized — Review",IFERROR(INDEX(Mapping!$B:$B,MATCH($G102,Mapping!$A:$A,0)),"Uncategorized — Review"))</f>
        <v>Venmo</v>
      </c>
      <c r="J102" s="0" t="str">
        <f aca="false">IF($G102="","Uncategorized — Review",IFERROR(INDEX(Mapping!$C:$C,MATCH($G102,Mapping!$A:$A,0)),"Uncategorized — Review"))</f>
        <v>P2P Payments (Zelle/Venmo/PayPal)</v>
      </c>
    </row>
    <row r="103" customFormat="false" ht="15" hidden="false" customHeight="false" outlineLevel="0" collapsed="false">
      <c r="A103" s="0" t="str">
        <f aca="false">Chase1168_2026!A103</f>
        <v>DEBIT</v>
      </c>
      <c r="B103" s="14" t="n">
        <f aca="false">Chase1168_2026!B103</f>
        <v>46155</v>
      </c>
      <c r="C103" s="0" t="str">
        <f aca="false">Chase1168_2026!C103</f>
        <v>DNH*GODADDY#4087372849 480-5058855 AZ        05/13</v>
      </c>
      <c r="D103" s="7" t="n">
        <f aca="false">Chase1168_2026!D103</f>
        <v>-45.96</v>
      </c>
      <c r="E103" s="0" t="str">
        <f aca="false">Chase1168_2026!E103</f>
        <v>DEBIT_CARD</v>
      </c>
      <c r="F103" s="7" t="n">
        <f aca="false">Chase1168_2026!F103</f>
        <v>72016.5</v>
      </c>
      <c r="G103" s="0" t="str">
        <f aca="false">Chase1168_2026!G103</f>
        <v>Go Daddy</v>
      </c>
      <c r="H103" s="15" t="n">
        <f aca="false">IF($B103="","",DATE(YEAR($B103),MONTH($B103),1))</f>
        <v>46143</v>
      </c>
      <c r="I103" s="0" t="str">
        <f aca="false">IF($G103="","Uncategorized — Review",IFERROR(INDEX(Mapping!$B:$B,MATCH($G103,Mapping!$A:$A,0)),"Uncategorized — Review"))</f>
        <v>Go Daddy</v>
      </c>
      <c r="J103" s="0" t="str">
        <f aca="false">IF($G103="","Uncategorized — Review",IFERROR(INDEX(Mapping!$C:$C,MATCH($G103,Mapping!$A:$A,0)),"Uncategorized — Review"))</f>
        <v>DWG Operating</v>
      </c>
    </row>
    <row r="104" customFormat="false" ht="15" hidden="false" customHeight="false" outlineLevel="0" collapsed="false">
      <c r="A104" s="0" t="str">
        <f aca="false">Chase1168_2026!A104</f>
        <v>DEBIT</v>
      </c>
      <c r="B104" s="14" t="n">
        <f aca="false">Chase1168_2026!B104</f>
        <v>46155</v>
      </c>
      <c r="C104" s="0" t="str">
        <f aca="false">Chase1168_2026!C104</f>
        <v>Online Transfer to CHK ...1117 transaction#: 29196764714 05/13</v>
      </c>
      <c r="D104" s="7" t="n">
        <f aca="false">Chase1168_2026!D104</f>
        <v>-5000</v>
      </c>
      <c r="E104" s="0" t="str">
        <f aca="false">Chase1168_2026!E104</f>
        <v>ACCT_XFER</v>
      </c>
      <c r="F104" s="7" t="n">
        <f aca="false">Chase1168_2026!F104</f>
        <v>72062.46</v>
      </c>
      <c r="G104" s="0" t="str">
        <f aca="false">Chase1168_2026!G104</f>
        <v>Transfer to Angela Dunning</v>
      </c>
      <c r="H104" s="15" t="n">
        <f aca="false">IF($B104="","",DATE(YEAR($B104),MONTH($B104),1))</f>
        <v>46143</v>
      </c>
      <c r="I104" s="0" t="str">
        <f aca="false">IF($G104="","Uncategorized — Review",IFERROR(INDEX(Mapping!$B:$B,MATCH($G104,Mapping!$A:$A,0)),"Uncategorized — Review"))</f>
        <v>Transfer to Angela Dunning</v>
      </c>
      <c r="J104" s="0" t="str">
        <f aca="false">IF($G104="","Uncategorized — Review",IFERROR(INDEX(Mapping!$C:$C,MATCH($G104,Mapping!$A:$A,0)),"Uncategorized — Review"))</f>
        <v>Owner / Family Distributions</v>
      </c>
    </row>
    <row r="105" customFormat="false" ht="15" hidden="false" customHeight="false" outlineLevel="0" collapsed="false">
      <c r="A105" s="0" t="str">
        <f aca="false">Chase1168_2026!A105</f>
        <v>DEBIT</v>
      </c>
      <c r="B105" s="14" t="n">
        <f aca="false">Chase1168_2026!B105</f>
        <v>46154</v>
      </c>
      <c r="C105" s="0" t="str">
        <f aca="false">Chase1168_2026!C105</f>
        <v>DNH*GODADDY#4085851010 480-5058855 AZ        05/11</v>
      </c>
      <c r="D105" s="7" t="n">
        <f aca="false">Chase1168_2026!D105</f>
        <v>-60.73</v>
      </c>
      <c r="E105" s="0" t="str">
        <f aca="false">Chase1168_2026!E105</f>
        <v>DEBIT_CARD</v>
      </c>
      <c r="F105" s="7" t="n">
        <f aca="false">Chase1168_2026!F105</f>
        <v>77062.46</v>
      </c>
      <c r="G105" s="0" t="str">
        <f aca="false">Chase1168_2026!G105</f>
        <v>Go Daddy</v>
      </c>
      <c r="H105" s="15" t="n">
        <f aca="false">IF($B105="","",DATE(YEAR($B105),MONTH($B105),1))</f>
        <v>46143</v>
      </c>
      <c r="I105" s="0" t="str">
        <f aca="false">IF($G105="","Uncategorized — Review",IFERROR(INDEX(Mapping!$B:$B,MATCH($G105,Mapping!$A:$A,0)),"Uncategorized — Review"))</f>
        <v>Go Daddy</v>
      </c>
      <c r="J105" s="0" t="str">
        <f aca="false">IF($G105="","Uncategorized — Review",IFERROR(INDEX(Mapping!$C:$C,MATCH($G105,Mapping!$A:$A,0)),"Uncategorized — Review"))</f>
        <v>DWG Operating</v>
      </c>
    </row>
    <row r="106" customFormat="false" ht="15" hidden="false" customHeight="false" outlineLevel="0" collapsed="false">
      <c r="A106" s="0" t="str">
        <f aca="false">Chase1168_2026!A106</f>
        <v>DEBIT</v>
      </c>
      <c r="B106" s="14" t="n">
        <f aca="false">Chase1168_2026!B106</f>
        <v>46153</v>
      </c>
      <c r="C106" s="0" t="str">
        <f aca="false">Chase1168_2026!C106</f>
        <v>Online Transfer to CHK ...1117 transaction#: 29184329466 05/11</v>
      </c>
      <c r="D106" s="7" t="n">
        <f aca="false">Chase1168_2026!D106</f>
        <v>-3000</v>
      </c>
      <c r="E106" s="0" t="str">
        <f aca="false">Chase1168_2026!E106</f>
        <v>ACCT_XFER</v>
      </c>
      <c r="F106" s="7" t="n">
        <f aca="false">Chase1168_2026!F106</f>
        <v>77123.19</v>
      </c>
      <c r="G106" s="0" t="str">
        <f aca="false">Chase1168_2026!G106</f>
        <v>Transfer to Angela Dunning</v>
      </c>
      <c r="H106" s="15" t="n">
        <f aca="false">IF($B106="","",DATE(YEAR($B106),MONTH($B106),1))</f>
        <v>46143</v>
      </c>
      <c r="I106" s="0" t="str">
        <f aca="false">IF($G106="","Uncategorized — Review",IFERROR(INDEX(Mapping!$B:$B,MATCH($G106,Mapping!$A:$A,0)),"Uncategorized — Review"))</f>
        <v>Transfer to Angela Dunning</v>
      </c>
      <c r="J106" s="0" t="str">
        <f aca="false">IF($G106="","Uncategorized — Review",IFERROR(INDEX(Mapping!$C:$C,MATCH($G106,Mapping!$A:$A,0)),"Uncategorized — Review"))</f>
        <v>Owner / Family Distributions</v>
      </c>
    </row>
    <row r="107" customFormat="false" ht="15" hidden="false" customHeight="false" outlineLevel="0" collapsed="false">
      <c r="A107" s="0" t="str">
        <f aca="false">Chase1168_2026!A107</f>
        <v>DEBIT</v>
      </c>
      <c r="B107" s="14" t="n">
        <f aca="false">Chase1168_2026!B107</f>
        <v>46153</v>
      </c>
      <c r="C107" s="0" t="str">
        <f aca="false">Chase1168_2026!C107</f>
        <v>ORIG CO NAME:VENMO                  ORIG ID:3264681992 DESC DATE:260511 CO ENTRY DESCR:PAYMENT   SEC:WEB    TRACE#:021000024722071 EED:260511   IND ID:1050222397824                IND NAME:JUDD DUNNING                                                                                                 260511PPZP1A TRN: 1314722071TC</v>
      </c>
      <c r="D107" s="7" t="n">
        <f aca="false">Chase1168_2026!D107</f>
        <v>-500</v>
      </c>
      <c r="E107" s="0" t="str">
        <f aca="false">Chase1168_2026!E107</f>
        <v>ACH_DEBIT</v>
      </c>
      <c r="F107" s="7" t="n">
        <f aca="false">Chase1168_2026!F107</f>
        <v>80123.19</v>
      </c>
      <c r="G107" s="0" t="str">
        <f aca="false">Chase1168_2026!G107</f>
        <v>Venmo</v>
      </c>
      <c r="H107" s="15" t="n">
        <f aca="false">IF($B107="","",DATE(YEAR($B107),MONTH($B107),1))</f>
        <v>46143</v>
      </c>
      <c r="I107" s="0" t="str">
        <f aca="false">IF($G107="","Uncategorized — Review",IFERROR(INDEX(Mapping!$B:$B,MATCH($G107,Mapping!$A:$A,0)),"Uncategorized — Review"))</f>
        <v>Venmo</v>
      </c>
      <c r="J107" s="0" t="str">
        <f aca="false">IF($G107="","Uncategorized — Review",IFERROR(INDEX(Mapping!$C:$C,MATCH($G107,Mapping!$A:$A,0)),"Uncategorized — Review"))</f>
        <v>P2P Payments (Zelle/Venmo/PayPal)</v>
      </c>
    </row>
    <row r="108" customFormat="false" ht="15" hidden="false" customHeight="false" outlineLevel="0" collapsed="false">
      <c r="A108" s="0" t="str">
        <f aca="false">Chase1168_2026!A108</f>
        <v>DEBIT</v>
      </c>
      <c r="B108" s="14" t="n">
        <f aca="false">Chase1168_2026!B108</f>
        <v>46153</v>
      </c>
      <c r="C108" s="0" t="str">
        <f aca="false">Chase1168_2026!C108</f>
        <v>Basic Online Payroll Payment 11217851110 to ########4122</v>
      </c>
      <c r="D108" s="7" t="n">
        <f aca="false">Chase1168_2026!D108</f>
        <v>-1750</v>
      </c>
      <c r="E108" s="0" t="str">
        <f aca="false">Chase1168_2026!E108</f>
        <v>BASIC_PAYROLL</v>
      </c>
      <c r="F108" s="7" t="n">
        <f aca="false">Chase1168_2026!F108</f>
        <v>80623.19</v>
      </c>
      <c r="G108" s="0" t="str">
        <f aca="false">Chase1168_2026!G108</f>
        <v>Mike Paytonjian - Payroll</v>
      </c>
      <c r="H108" s="15" t="n">
        <f aca="false">IF($B108="","",DATE(YEAR($B108),MONTH($B108),1))</f>
        <v>46143</v>
      </c>
      <c r="I108" s="0" t="str">
        <f aca="false">IF($G108="","Uncategorized — Review",IFERROR(INDEX(Mapping!$B:$B,MATCH($G108,Mapping!$A:$A,0)),"Uncategorized — Review"))</f>
        <v>Mike Paytonjian - Payroll</v>
      </c>
      <c r="J108" s="0" t="str">
        <f aca="false">IF($G108="","Uncategorized — Review",IFERROR(INDEX(Mapping!$C:$C,MATCH($G108,Mapping!$A:$A,0)),"Uncategorized — Review"))</f>
        <v>Payroll &amp; Contractors</v>
      </c>
    </row>
    <row r="109" customFormat="false" ht="15" hidden="false" customHeight="false" outlineLevel="0" collapsed="false">
      <c r="A109" s="0" t="str">
        <f aca="false">Chase1168_2026!A109</f>
        <v>DEBIT</v>
      </c>
      <c r="B109" s="14" t="n">
        <f aca="false">Chase1168_2026!B109</f>
        <v>46153</v>
      </c>
      <c r="C109" s="0" t="str">
        <f aca="false">Chase1168_2026!C109</f>
        <v>PAYPAL *RUTHALCANCI 402-935-7733 CA          05/11</v>
      </c>
      <c r="D109" s="7" t="n">
        <f aca="false">Chase1168_2026!D109</f>
        <v>-313.95</v>
      </c>
      <c r="E109" s="0" t="str">
        <f aca="false">Chase1168_2026!E109</f>
        <v>DEBIT_CARD</v>
      </c>
      <c r="F109" s="7" t="n">
        <f aca="false">Chase1168_2026!F109</f>
        <v>82373.19</v>
      </c>
      <c r="G109" s="0" t="str">
        <f aca="false">Chase1168_2026!G109</f>
        <v>Ruth Alcancia - Forward Bridge Payment</v>
      </c>
      <c r="H109" s="15" t="n">
        <f aca="false">IF($B109="","",DATE(YEAR($B109),MONTH($B109),1))</f>
        <v>46143</v>
      </c>
      <c r="I109" s="0" t="str">
        <f aca="false">IF($G109="","Uncategorized — Review",IFERROR(INDEX(Mapping!$B:$B,MATCH($G109,Mapping!$A:$A,0)),"Uncategorized — Review"))</f>
        <v>Ruth Alcancia - Forward Bridge Payment</v>
      </c>
      <c r="J109" s="0" t="str">
        <f aca="false">IF($G109="","Uncategorized — Review",IFERROR(INDEX(Mapping!$C:$C,MATCH($G109,Mapping!$A:$A,0)),"Uncategorized — Review"))</f>
        <v>Payroll &amp; Contractors</v>
      </c>
    </row>
    <row r="110" customFormat="false" ht="15" hidden="false" customHeight="false" outlineLevel="0" collapsed="false">
      <c r="A110" s="0" t="str">
        <f aca="false">Chase1168_2026!A110</f>
        <v>DEBIT</v>
      </c>
      <c r="B110" s="14" t="n">
        <f aca="false">Chase1168_2026!B110</f>
        <v>46153</v>
      </c>
      <c r="C110" s="0" t="str">
        <f aca="false">Chase1168_2026!C110</f>
        <v>DNH*GODADDY#4085216059 480-5058855 AZ        05/10</v>
      </c>
      <c r="D110" s="7" t="n">
        <f aca="false">Chase1168_2026!D110</f>
        <v>-28.98</v>
      </c>
      <c r="E110" s="0" t="str">
        <f aca="false">Chase1168_2026!E110</f>
        <v>DEBIT_CARD</v>
      </c>
      <c r="F110" s="7" t="n">
        <f aca="false">Chase1168_2026!F110</f>
        <v>82687.14</v>
      </c>
      <c r="G110" s="0" t="str">
        <f aca="false">Chase1168_2026!G110</f>
        <v>Go Daddy</v>
      </c>
      <c r="H110" s="15" t="n">
        <f aca="false">IF($B110="","",DATE(YEAR($B110),MONTH($B110),1))</f>
        <v>46143</v>
      </c>
      <c r="I110" s="0" t="str">
        <f aca="false">IF($G110="","Uncategorized — Review",IFERROR(INDEX(Mapping!$B:$B,MATCH($G110,Mapping!$A:$A,0)),"Uncategorized — Review"))</f>
        <v>Go Daddy</v>
      </c>
      <c r="J110" s="0" t="str">
        <f aca="false">IF($G110="","Uncategorized — Review",IFERROR(INDEX(Mapping!$C:$C,MATCH($G110,Mapping!$A:$A,0)),"Uncategorized — Review"))</f>
        <v>DWG Operating</v>
      </c>
    </row>
    <row r="111" customFormat="false" ht="15" hidden="false" customHeight="false" outlineLevel="0" collapsed="false">
      <c r="A111" s="0" t="str">
        <f aca="false">Chase1168_2026!A111</f>
        <v>DEBIT</v>
      </c>
      <c r="B111" s="14" t="n">
        <f aca="false">Chase1168_2026!B111</f>
        <v>46153</v>
      </c>
      <c r="C111" s="0" t="str">
        <f aca="false">Chase1168_2026!C111</f>
        <v>Zelle payment to Jeffrey Seider JPM99cgh0fmq</v>
      </c>
      <c r="D111" s="7" t="n">
        <f aca="false">Chase1168_2026!D111</f>
        <v>-500</v>
      </c>
      <c r="E111" s="0" t="str">
        <f aca="false">Chase1168_2026!E111</f>
        <v>CHASE_TO_PARTNERFI</v>
      </c>
      <c r="F111" s="7" t="n">
        <f aca="false">Chase1168_2026!F111</f>
        <v>82716.12</v>
      </c>
      <c r="G111" s="0" t="str">
        <f aca="false">Chase1168_2026!G111</f>
        <v>Zelle - Jeff Seider</v>
      </c>
      <c r="H111" s="15" t="n">
        <f aca="false">IF($B111="","",DATE(YEAR($B111),MONTH($B111),1))</f>
        <v>46143</v>
      </c>
      <c r="I111" s="0" t="str">
        <f aca="false">IF($G111="","Uncategorized — Review",IFERROR(INDEX(Mapping!$B:$B,MATCH($G111,Mapping!$A:$A,0)),"Uncategorized — Review"))</f>
        <v>Zelle - Jeff Seider</v>
      </c>
      <c r="J111" s="0" t="str">
        <f aca="false">IF($G111="","Uncategorized — Review",IFERROR(INDEX(Mapping!$C:$C,MATCH($G111,Mapping!$A:$A,0)),"Uncategorized — Review"))</f>
        <v>P2P Payments (Zelle/Venmo/PayPal)</v>
      </c>
    </row>
    <row r="112" customFormat="false" ht="15" hidden="false" customHeight="false" outlineLevel="0" collapsed="false">
      <c r="A112" s="0" t="str">
        <f aca="false">Chase1168_2026!A112</f>
        <v>DEBIT</v>
      </c>
      <c r="B112" s="14" t="n">
        <f aca="false">Chase1168_2026!B112</f>
        <v>46153</v>
      </c>
      <c r="C112" s="0" t="str">
        <f aca="false">Chase1168_2026!C112</f>
        <v>DNH*GODADDY#4084627118 480-5058855 AZ        05/09</v>
      </c>
      <c r="D112" s="7" t="n">
        <f aca="false">Chase1168_2026!D112</f>
        <v>-13.79</v>
      </c>
      <c r="E112" s="0" t="str">
        <f aca="false">Chase1168_2026!E112</f>
        <v>DEBIT_CARD</v>
      </c>
      <c r="F112" s="7" t="n">
        <f aca="false">Chase1168_2026!F112</f>
        <v>83216.12</v>
      </c>
      <c r="G112" s="0" t="str">
        <f aca="false">Chase1168_2026!G112</f>
        <v>Go Daddy</v>
      </c>
      <c r="H112" s="15" t="n">
        <f aca="false">IF($B112="","",DATE(YEAR($B112),MONTH($B112),1))</f>
        <v>46143</v>
      </c>
      <c r="I112" s="0" t="str">
        <f aca="false">IF($G112="","Uncategorized — Review",IFERROR(INDEX(Mapping!$B:$B,MATCH($G112,Mapping!$A:$A,0)),"Uncategorized — Review"))</f>
        <v>Go Daddy</v>
      </c>
      <c r="J112" s="0" t="str">
        <f aca="false">IF($G112="","Uncategorized — Review",IFERROR(INDEX(Mapping!$C:$C,MATCH($G112,Mapping!$A:$A,0)),"Uncategorized — Review"))</f>
        <v>DWG Operating</v>
      </c>
    </row>
    <row r="113" customFormat="false" ht="15" hidden="false" customHeight="false" outlineLevel="0" collapsed="false">
      <c r="A113" s="0" t="str">
        <f aca="false">Chase1168_2026!A113</f>
        <v>DEBIT</v>
      </c>
      <c r="B113" s="14" t="n">
        <f aca="false">Chase1168_2026!B113</f>
        <v>46153</v>
      </c>
      <c r="C113" s="0" t="str">
        <f aca="false">Chase1168_2026!C113</f>
        <v>Zelle payment to Soumi Biswas JPM99cgce69w</v>
      </c>
      <c r="D113" s="7" t="n">
        <f aca="false">Chase1168_2026!D113</f>
        <v>-166.74</v>
      </c>
      <c r="E113" s="0" t="str">
        <f aca="false">Chase1168_2026!E113</f>
        <v>CHASE_TO_PARTNERFI</v>
      </c>
      <c r="F113" s="7" t="n">
        <f aca="false">Chase1168_2026!F113</f>
        <v>83229.91</v>
      </c>
      <c r="G113" s="0" t="str">
        <f aca="false">Chase1168_2026!G113</f>
        <v>Employee Travel Reimbursement</v>
      </c>
      <c r="H113" s="15" t="n">
        <f aca="false">IF($B113="","",DATE(YEAR($B113),MONTH($B113),1))</f>
        <v>46143</v>
      </c>
      <c r="I113" s="0" t="str">
        <f aca="false">IF($G113="","Uncategorized — Review",IFERROR(INDEX(Mapping!$B:$B,MATCH($G113,Mapping!$A:$A,0)),"Uncategorized — Review"))</f>
        <v>Employee Travel Reimbursement</v>
      </c>
      <c r="J113" s="0" t="str">
        <f aca="false">IF($G113="","Uncategorized — Review",IFERROR(INDEX(Mapping!$C:$C,MATCH($G113,Mapping!$A:$A,0)),"Uncategorized — Review"))</f>
        <v>Business Travel</v>
      </c>
    </row>
    <row r="114" customFormat="false" ht="15" hidden="false" customHeight="false" outlineLevel="0" collapsed="false">
      <c r="A114" s="0" t="str">
        <f aca="false">Chase1168_2026!A114</f>
        <v>DEBIT</v>
      </c>
      <c r="B114" s="14" t="n">
        <f aca="false">Chase1168_2026!B114</f>
        <v>46153</v>
      </c>
      <c r="C114" s="0" t="str">
        <f aca="false">Chase1168_2026!C114</f>
        <v>DNH*GODADDY#4083621839 480-5058855 AZ        05/08</v>
      </c>
      <c r="D114" s="7" t="n">
        <f aca="false">Chase1168_2026!D114</f>
        <v>-33.97</v>
      </c>
      <c r="E114" s="0" t="str">
        <f aca="false">Chase1168_2026!E114</f>
        <v>DEBIT_CARD</v>
      </c>
      <c r="F114" s="7" t="n">
        <f aca="false">Chase1168_2026!F114</f>
        <v>83396.65</v>
      </c>
      <c r="G114" s="0" t="str">
        <f aca="false">Chase1168_2026!G114</f>
        <v>Go Daddy</v>
      </c>
      <c r="H114" s="15" t="n">
        <f aca="false">IF($B114="","",DATE(YEAR($B114),MONTH($B114),1))</f>
        <v>46143</v>
      </c>
      <c r="I114" s="0" t="str">
        <f aca="false">IF($G114="","Uncategorized — Review",IFERROR(INDEX(Mapping!$B:$B,MATCH($G114,Mapping!$A:$A,0)),"Uncategorized — Review"))</f>
        <v>Go Daddy</v>
      </c>
      <c r="J114" s="0" t="str">
        <f aca="false">IF($G114="","Uncategorized — Review",IFERROR(INDEX(Mapping!$C:$C,MATCH($G114,Mapping!$A:$A,0)),"Uncategorized — Review"))</f>
        <v>DWG Operating</v>
      </c>
    </row>
    <row r="115" customFormat="false" ht="15" hidden="false" customHeight="false" outlineLevel="0" collapsed="false">
      <c r="A115" s="0" t="str">
        <f aca="false">Chase1168_2026!A115</f>
        <v>DEBIT</v>
      </c>
      <c r="B115" s="14" t="n">
        <f aca="false">Chase1168_2026!B115</f>
        <v>46150</v>
      </c>
      <c r="C115" s="0" t="str">
        <f aca="false">Chase1168_2026!C115</f>
        <v>Online Transfer to CHK ...1117 transaction#: 29146058585 05/08</v>
      </c>
      <c r="D115" s="7" t="n">
        <f aca="false">Chase1168_2026!D115</f>
        <v>-5000</v>
      </c>
      <c r="E115" s="0" t="str">
        <f aca="false">Chase1168_2026!E115</f>
        <v>ACCT_XFER</v>
      </c>
      <c r="F115" s="7" t="n">
        <f aca="false">Chase1168_2026!F115</f>
        <v>83430.62</v>
      </c>
      <c r="G115" s="0" t="str">
        <f aca="false">Chase1168_2026!G115</f>
        <v>Transfer to Angela Dunning</v>
      </c>
      <c r="H115" s="15" t="n">
        <f aca="false">IF($B115="","",DATE(YEAR($B115),MONTH($B115),1))</f>
        <v>46143</v>
      </c>
      <c r="I115" s="0" t="str">
        <f aca="false">IF($G115="","Uncategorized — Review",IFERROR(INDEX(Mapping!$B:$B,MATCH($G115,Mapping!$A:$A,0)),"Uncategorized — Review"))</f>
        <v>Transfer to Angela Dunning</v>
      </c>
      <c r="J115" s="0" t="str">
        <f aca="false">IF($G115="","Uncategorized — Review",IFERROR(INDEX(Mapping!$C:$C,MATCH($G115,Mapping!$A:$A,0)),"Uncategorized — Review"))</f>
        <v>Owner / Family Distributions</v>
      </c>
    </row>
    <row r="116" customFormat="false" ht="15" hidden="false" customHeight="false" outlineLevel="0" collapsed="false">
      <c r="A116" s="0" t="str">
        <f aca="false">Chase1168_2026!A116</f>
        <v>DEBIT</v>
      </c>
      <c r="B116" s="14" t="n">
        <f aca="false">Chase1168_2026!B116</f>
        <v>46150</v>
      </c>
      <c r="C116" s="0" t="str">
        <f aca="false">Chase1168_2026!C116</f>
        <v>DNH*GODADDY#4082675002 480-5058855 AZ        05/07</v>
      </c>
      <c r="D116" s="7" t="n">
        <f aca="false">Chase1168_2026!D116</f>
        <v>-11.99</v>
      </c>
      <c r="E116" s="0" t="str">
        <f aca="false">Chase1168_2026!E116</f>
        <v>DEBIT_CARD</v>
      </c>
      <c r="F116" s="7" t="n">
        <f aca="false">Chase1168_2026!F116</f>
        <v>88430.62</v>
      </c>
      <c r="G116" s="0" t="str">
        <f aca="false">Chase1168_2026!G116</f>
        <v>Go Daddy</v>
      </c>
      <c r="H116" s="15" t="n">
        <f aca="false">IF($B116="","",DATE(YEAR($B116),MONTH($B116),1))</f>
        <v>46143</v>
      </c>
      <c r="I116" s="0" t="str">
        <f aca="false">IF($G116="","Uncategorized — Review",IFERROR(INDEX(Mapping!$B:$B,MATCH($G116,Mapping!$A:$A,0)),"Uncategorized — Review"))</f>
        <v>Go Daddy</v>
      </c>
      <c r="J116" s="0" t="str">
        <f aca="false">IF($G116="","Uncategorized — Review",IFERROR(INDEX(Mapping!$C:$C,MATCH($G116,Mapping!$A:$A,0)),"Uncategorized — Review"))</f>
        <v>DWG Operating</v>
      </c>
    </row>
    <row r="117" customFormat="false" ht="15" hidden="false" customHeight="false" outlineLevel="0" collapsed="false">
      <c r="A117" s="0" t="str">
        <f aca="false">Chase1168_2026!A117</f>
        <v>DEBIT</v>
      </c>
      <c r="B117" s="14" t="n">
        <f aca="false">Chase1168_2026!B117</f>
        <v>46149</v>
      </c>
      <c r="C117" s="0" t="str">
        <f aca="false">Chase1168_2026!C117</f>
        <v>ONLINE FX INTERNATIONAL WIRE FEE</v>
      </c>
      <c r="D117" s="7" t="n">
        <f aca="false">Chase1168_2026!D117</f>
        <v>-5</v>
      </c>
      <c r="E117" s="0" t="str">
        <f aca="false">Chase1168_2026!E117</f>
        <v>FEE_TRANSACTION</v>
      </c>
      <c r="F117" s="7" t="n">
        <f aca="false">Chase1168_2026!F117</f>
        <v>88442.61</v>
      </c>
      <c r="G117" s="0" t="str">
        <f aca="false">Chase1168_2026!G117</f>
        <v>Andres Alarcon Payroll</v>
      </c>
      <c r="H117" s="15" t="n">
        <f aca="false">IF($B117="","",DATE(YEAR($B117),MONTH($B117),1))</f>
        <v>46143</v>
      </c>
      <c r="I117" s="0" t="str">
        <f aca="false">IF($G117="","Uncategorized — Review",IFERROR(INDEX(Mapping!$B:$B,MATCH($G117,Mapping!$A:$A,0)),"Uncategorized — Review"))</f>
        <v>Andres Alarcon Payroll</v>
      </c>
      <c r="J117" s="0" t="str">
        <f aca="false">IF($G117="","Uncategorized — Review",IFERROR(INDEX(Mapping!$C:$C,MATCH($G117,Mapping!$A:$A,0)),"Uncategorized — Review"))</f>
        <v>Payroll &amp; Contractors</v>
      </c>
    </row>
    <row r="118" customFormat="false" ht="15" hidden="false" customHeight="false" outlineLevel="0" collapsed="false">
      <c r="A118" s="0" t="str">
        <f aca="false">Chase1168_2026!A118</f>
        <v>DEBIT</v>
      </c>
      <c r="B118" s="14" t="n">
        <f aca="false">Chase1168_2026!B118</f>
        <v>46149</v>
      </c>
      <c r="C118" s="0" t="str">
        <f aca="false">Chase1168_2026!C118</f>
        <v>Zelle payment to Michael Paytonjian JPM99cg4bnko</v>
      </c>
      <c r="D118" s="7" t="n">
        <f aca="false">Chase1168_2026!D118</f>
        <v>-18</v>
      </c>
      <c r="E118" s="0" t="str">
        <f aca="false">Chase1168_2026!E118</f>
        <v>CHASE_TO_PARTNERFI</v>
      </c>
      <c r="F118" s="7" t="n">
        <f aca="false">Chase1168_2026!F118</f>
        <v>88447.61</v>
      </c>
      <c r="G118" s="0" t="str">
        <f aca="false">Chase1168_2026!G118</f>
        <v>Office/Miscellaneous Reimbursement - Mike P.</v>
      </c>
      <c r="H118" s="15" t="n">
        <f aca="false">IF($B118="","",DATE(YEAR($B118),MONTH($B118),1))</f>
        <v>46143</v>
      </c>
      <c r="I118" s="0" t="str">
        <f aca="false">IF($G118="","Uncategorized — Review",IFERROR(INDEX(Mapping!$B:$B,MATCH($G118,Mapping!$A:$A,0)),"Uncategorized — Review"))</f>
        <v>Office/Miscellaneous Reimbursement - Mike P.</v>
      </c>
      <c r="J118" s="0" t="str">
        <f aca="false">IF($G118="","Uncategorized — Review",IFERROR(INDEX(Mapping!$C:$C,MATCH($G118,Mapping!$A:$A,0)),"Uncategorized — Review"))</f>
        <v>DWG Operating</v>
      </c>
    </row>
    <row r="119" customFormat="false" ht="15" hidden="false" customHeight="false" outlineLevel="0" collapsed="false">
      <c r="A119" s="0" t="str">
        <f aca="false">Chase1168_2026!A119</f>
        <v>DEBIT</v>
      </c>
      <c r="B119" s="14" t="n">
        <f aca="false">Chase1168_2026!B119</f>
        <v>46149</v>
      </c>
      <c r="C119" s="0" t="str">
        <f aca="false">Chase1168_2026!C119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PAYMENTS/OCMT/COP26 48172,75/EXCH/3530.8970/CNTR/241594 53/INT/ANDRES_52763ATHOTMAIL.C TRN: 6533600127RE 05/07</v>
      </c>
      <c r="D119" s="7" t="n">
        <f aca="false">Chase1168_2026!D119</f>
        <v>-750</v>
      </c>
      <c r="E119" s="0" t="str">
        <f aca="false">Chase1168_2026!E119</f>
        <v>WIRE_OUTGOING</v>
      </c>
      <c r="F119" s="7" t="n">
        <f aca="false">Chase1168_2026!F119</f>
        <v>88465.61</v>
      </c>
      <c r="G119" s="0" t="str">
        <f aca="false">Chase1168_2026!G119</f>
        <v>Andres Alarcon Payroll</v>
      </c>
      <c r="H119" s="15" t="n">
        <f aca="false">IF($B119="","",DATE(YEAR($B119),MONTH($B119),1))</f>
        <v>46143</v>
      </c>
      <c r="I119" s="0" t="str">
        <f aca="false">IF($G119="","Uncategorized — Review",IFERROR(INDEX(Mapping!$B:$B,MATCH($G119,Mapping!$A:$A,0)),"Uncategorized — Review"))</f>
        <v>Andres Alarcon Payroll</v>
      </c>
      <c r="J119" s="0" t="str">
        <f aca="false">IF($G119="","Uncategorized — Review",IFERROR(INDEX(Mapping!$C:$C,MATCH($G119,Mapping!$A:$A,0)),"Uncategorized — Review"))</f>
        <v>Payroll &amp; Contractors</v>
      </c>
    </row>
    <row r="120" customFormat="false" ht="15" hidden="false" customHeight="false" outlineLevel="0" collapsed="false">
      <c r="A120" s="0" t="str">
        <f aca="false">Chase1168_2026!A120</f>
        <v>DEBIT</v>
      </c>
      <c r="B120" s="14" t="n">
        <f aca="false">Chase1168_2026!B120</f>
        <v>46148</v>
      </c>
      <c r="C120" s="0" t="str">
        <f aca="false">Chase1168_2026!C120</f>
        <v>ONLINE DOMESTIC WIRE FEE</v>
      </c>
      <c r="D120" s="7" t="n">
        <f aca="false">Chase1168_2026!D120</f>
        <v>-25</v>
      </c>
      <c r="E120" s="0" t="str">
        <f aca="false">Chase1168_2026!E120</f>
        <v>FEE_TRANSACTION</v>
      </c>
      <c r="F120" s="7" t="n">
        <f aca="false">Chase1168_2026!F120</f>
        <v>89215.61</v>
      </c>
      <c r="G120" s="0" t="str">
        <f aca="false">Chase1168_2026!G120</f>
        <v>Wire Fee</v>
      </c>
      <c r="H120" s="15" t="n">
        <f aca="false">IF($B120="","",DATE(YEAR($B120),MONTH($B120),1))</f>
        <v>46143</v>
      </c>
      <c r="I120" s="0" t="str">
        <f aca="false">IF($G120="","Uncategorized — Review",IFERROR(INDEX(Mapping!$B:$B,MATCH($G120,Mapping!$A:$A,0)),"Uncategorized — Review"))</f>
        <v>Wire Fee</v>
      </c>
      <c r="J120" s="0" t="str">
        <f aca="false">IF($G120="","Uncategorized — Review",IFERROR(INDEX(Mapping!$C:$C,MATCH($G120,Mapping!$A:$A,0)),"Uncategorized — Review"))</f>
        <v>DWG Operating</v>
      </c>
    </row>
    <row r="121" customFormat="false" ht="15" hidden="false" customHeight="false" outlineLevel="0" collapsed="false">
      <c r="A121" s="0" t="str">
        <f aca="false">Chase1168_2026!A121</f>
        <v>DEBIT</v>
      </c>
      <c r="B121" s="14" t="n">
        <f aca="false">Chase1168_2026!B121</f>
        <v>46148</v>
      </c>
      <c r="C121" s="0" t="str">
        <f aca="false">Chase1168_2026!C121</f>
        <v>Online Transfer to CHK ...7753 transaction#: 29113353132 05/06</v>
      </c>
      <c r="D121" s="7" t="n">
        <f aca="false">Chase1168_2026!D121</f>
        <v>-7956.18</v>
      </c>
      <c r="E121" s="0" t="str">
        <f aca="false">Chase1168_2026!E121</f>
        <v>ACCT_XFER</v>
      </c>
      <c r="F121" s="7" t="n">
        <f aca="false">Chase1168_2026!F121</f>
        <v>89240.61</v>
      </c>
      <c r="G121" s="0" t="str">
        <f aca="false">Chase1168_2026!G121</f>
        <v>Transfer to DWG Capital Group_Costar</v>
      </c>
      <c r="H121" s="15" t="n">
        <f aca="false">IF($B121="","",DATE(YEAR($B121),MONTH($B121),1))</f>
        <v>46143</v>
      </c>
      <c r="I121" s="0" t="str">
        <f aca="false">IF($G121="","Uncategorized — Review",IFERROR(INDEX(Mapping!$B:$B,MATCH($G121,Mapping!$A:$A,0)),"Uncategorized — Review"))</f>
        <v>Transfer to DWG Capital Group_Costar</v>
      </c>
      <c r="J121" s="0" t="str">
        <f aca="false">IF($G121="","Uncategorized — Review",IFERROR(INDEX(Mapping!$C:$C,MATCH($G121,Mapping!$A:$A,0)),"Uncategorized — Review"))</f>
        <v>Intercompany &amp; Savings Transfers</v>
      </c>
    </row>
    <row r="122" customFormat="false" ht="15" hidden="false" customHeight="false" outlineLevel="0" collapsed="false">
      <c r="A122" s="0" t="str">
        <f aca="false">Chase1168_2026!A122</f>
        <v>DEBIT</v>
      </c>
      <c r="B122" s="14" t="n">
        <f aca="false">Chase1168_2026!B122</f>
        <v>46148</v>
      </c>
      <c r="C122" s="0" t="str">
        <f aca="false">Chase1168_2026!C122</f>
        <v>ONLINE DOMESTIC WIRE TRANSFER A/C: HUGH GEHRKE LOS ANGELES CA 90025 US REF: MDC 15 TRN: 3008136126ES 05/06</v>
      </c>
      <c r="D122" s="7" t="n">
        <f aca="false">Chase1168_2026!D122</f>
        <v>-16875</v>
      </c>
      <c r="E122" s="0" t="str">
        <f aca="false">Chase1168_2026!E122</f>
        <v>WIRE_OUTGOING</v>
      </c>
      <c r="F122" s="7" t="n">
        <f aca="false">Chase1168_2026!F122</f>
        <v>97196.79</v>
      </c>
      <c r="G122" s="0" t="str">
        <f aca="false">Chase1168_2026!G122</f>
        <v>Hugh Gerhke - MDC Commission</v>
      </c>
      <c r="H122" s="15" t="n">
        <f aca="false">IF($B122="","",DATE(YEAR($B122),MONTH($B122),1))</f>
        <v>46143</v>
      </c>
      <c r="I122" s="0" t="str">
        <f aca="false">IF($G122="","Uncategorized — Review",IFERROR(INDEX(Mapping!$B:$B,MATCH($G122,Mapping!$A:$A,0)),"Uncategorized — Review"))</f>
        <v>Hugh Gerhke - MDC Commission</v>
      </c>
      <c r="J122" s="0" t="str">
        <f aca="false">IF($G122="","Uncategorized — Review",IFERROR(INDEX(Mapping!$C:$C,MATCH($G122,Mapping!$A:$A,0)),"Uncategorized — Review"))</f>
        <v>Commissions — Outgoing</v>
      </c>
    </row>
    <row r="123" customFormat="false" ht="15" hidden="false" customHeight="false" outlineLevel="0" collapsed="false">
      <c r="A123" s="0" t="str">
        <f aca="false">Chase1168_2026!A123</f>
        <v>DEBIT</v>
      </c>
      <c r="B123" s="14" t="n">
        <f aca="false">Chase1168_2026!B123</f>
        <v>46148</v>
      </c>
      <c r="C123" s="0" t="str">
        <f aca="false">Chase1168_2026!C123</f>
        <v>DNH*GODADDY#4081029222 480-5058855 AZ        05/05</v>
      </c>
      <c r="D123" s="7" t="n">
        <f aca="false">Chase1168_2026!D123</f>
        <v>-19.97</v>
      </c>
      <c r="E123" s="0" t="str">
        <f aca="false">Chase1168_2026!E123</f>
        <v>DEBIT_CARD</v>
      </c>
      <c r="F123" s="7" t="n">
        <f aca="false">Chase1168_2026!F123</f>
        <v>114071.79</v>
      </c>
      <c r="G123" s="0" t="str">
        <f aca="false">Chase1168_2026!G123</f>
        <v>Go Daddy</v>
      </c>
      <c r="H123" s="15" t="n">
        <f aca="false">IF($B123="","",DATE(YEAR($B123),MONTH($B123),1))</f>
        <v>46143</v>
      </c>
      <c r="I123" s="0" t="str">
        <f aca="false">IF($G123="","Uncategorized — Review",IFERROR(INDEX(Mapping!$B:$B,MATCH($G123,Mapping!$A:$A,0)),"Uncategorized — Review"))</f>
        <v>Go Daddy</v>
      </c>
      <c r="J123" s="0" t="str">
        <f aca="false">IF($G123="","Uncategorized — Review",IFERROR(INDEX(Mapping!$C:$C,MATCH($G123,Mapping!$A:$A,0)),"Uncategorized — Review"))</f>
        <v>DWG Operating</v>
      </c>
    </row>
    <row r="124" customFormat="false" ht="15" hidden="false" customHeight="false" outlineLevel="0" collapsed="false">
      <c r="A124" s="0" t="str">
        <f aca="false">Chase1168_2026!A124</f>
        <v>DEBIT</v>
      </c>
      <c r="B124" s="14" t="n">
        <f aca="false">Chase1168_2026!B124</f>
        <v>46147</v>
      </c>
      <c r="C124" s="0" t="str">
        <f aca="false">Chase1168_2026!C124</f>
        <v>DOMESTIC INCOMING WIRE FEE</v>
      </c>
      <c r="D124" s="7" t="n">
        <f aca="false">Chase1168_2026!D124</f>
        <v>-15</v>
      </c>
      <c r="E124" s="0" t="str">
        <f aca="false">Chase1168_2026!E124</f>
        <v>FEE_TRANSACTION</v>
      </c>
      <c r="F124" s="7" t="n">
        <f aca="false">Chase1168_2026!F124</f>
        <v>114091.76</v>
      </c>
      <c r="G124" s="0" t="str">
        <f aca="false">Chase1168_2026!G124</f>
        <v>Wire Fee</v>
      </c>
      <c r="H124" s="15" t="n">
        <f aca="false">IF($B124="","",DATE(YEAR($B124),MONTH($B124),1))</f>
        <v>46143</v>
      </c>
      <c r="I124" s="0" t="str">
        <f aca="false">IF($G124="","Uncategorized — Review",IFERROR(INDEX(Mapping!$B:$B,MATCH($G124,Mapping!$A:$A,0)),"Uncategorized — Review"))</f>
        <v>Wire Fee</v>
      </c>
      <c r="J124" s="0" t="str">
        <f aca="false">IF($G124="","Uncategorized — Review",IFERROR(INDEX(Mapping!$C:$C,MATCH($G124,Mapping!$A:$A,0)),"Uncategorized — Review"))</f>
        <v>DWG Operating</v>
      </c>
    </row>
    <row r="125" customFormat="false" ht="15" hidden="false" customHeight="false" outlineLevel="0" collapsed="false">
      <c r="A125" s="0" t="str">
        <f aca="false">Chase1168_2026!A125</f>
        <v>DEBIT</v>
      </c>
      <c r="B125" s="14" t="n">
        <f aca="false">Chase1168_2026!B125</f>
        <v>46147</v>
      </c>
      <c r="C125" s="0" t="str">
        <f aca="false">Chase1168_2026!C125</f>
        <v>Online RealTime payroll payment  11218161583 Payment Id REFERENCE#: 8218161583RX  to  6812</v>
      </c>
      <c r="D125" s="7" t="n">
        <f aca="false">Chase1168_2026!D125</f>
        <v>-1500</v>
      </c>
      <c r="E125" s="0" t="str">
        <f aca="false">Chase1168_2026!E125</f>
        <v>BASIC_PAYROLL</v>
      </c>
      <c r="F125" s="7" t="n">
        <f aca="false">Chase1168_2026!F125</f>
        <v>114106.76</v>
      </c>
      <c r="G125" s="0" t="str">
        <f aca="false">Chase1168_2026!G125</f>
        <v>Meg Maran - MDC Commission</v>
      </c>
      <c r="H125" s="15" t="n">
        <f aca="false">IF($B125="","",DATE(YEAR($B125),MONTH($B125),1))</f>
        <v>46143</v>
      </c>
      <c r="I125" s="0" t="str">
        <f aca="false">IF($G125="","Uncategorized — Review",IFERROR(INDEX(Mapping!$B:$B,MATCH($G125,Mapping!$A:$A,0)),"Uncategorized — Review"))</f>
        <v>Meg Maran - MDC Commission</v>
      </c>
      <c r="J125" s="0" t="str">
        <f aca="false">IF($G125="","Uncategorized — Review",IFERROR(INDEX(Mapping!$C:$C,MATCH($G125,Mapping!$A:$A,0)),"Uncategorized — Review"))</f>
        <v>Commissions — Outgoing</v>
      </c>
    </row>
    <row r="126" customFormat="false" ht="15" hidden="false" customHeight="false" outlineLevel="0" collapsed="false">
      <c r="A126" s="0" t="str">
        <f aca="false">Chase1168_2026!A126</f>
        <v>DEBIT</v>
      </c>
      <c r="B126" s="14" t="n">
        <f aca="false">Chase1168_2026!B126</f>
        <v>46147</v>
      </c>
      <c r="C126" s="0" t="str">
        <f aca="false">Chase1168_2026!C126</f>
        <v>ORIG CO NAME:BLUESHIELDCA           ORIG ID:7529219311 DESC DATE:260504 CO ENTRY DESCR:BILL PAY  SEC:CCD    TRACE#:031101110674219 EED:260505   IND ID:15767649691                  IND NAME:JOHN DUNNING TRN: 1250674219TC</v>
      </c>
      <c r="D126" s="7" t="n">
        <f aca="false">Chase1168_2026!D126</f>
        <v>-1293.42</v>
      </c>
      <c r="E126" s="0" t="str">
        <f aca="false">Chase1168_2026!E126</f>
        <v>ACH_DEBIT</v>
      </c>
      <c r="F126" s="7" t="n">
        <f aca="false">Chase1168_2026!F126</f>
        <v>115606.76</v>
      </c>
      <c r="G126" s="0" t="str">
        <f aca="false">Chase1168_2026!G126</f>
        <v>Personal - Health Insurance</v>
      </c>
      <c r="H126" s="15" t="n">
        <f aca="false">IF($B126="","",DATE(YEAR($B126),MONTH($B126),1))</f>
        <v>46143</v>
      </c>
      <c r="I126" s="0" t="str">
        <f aca="false">IF($G126="","Uncategorized — Review",IFERROR(INDEX(Mapping!$B:$B,MATCH($G126,Mapping!$A:$A,0)),"Uncategorized — Review"))</f>
        <v>Personal - Health (incl. Ins.)</v>
      </c>
      <c r="J126" s="0" t="str">
        <f aca="false">IF($G126="","Uncategorized — Review",IFERROR(INDEX(Mapping!$C:$C,MATCH($G126,Mapping!$A:$A,0)),"Uncategorized — Review"))</f>
        <v>Personal — Owner</v>
      </c>
    </row>
    <row r="127" customFormat="false" ht="15" hidden="false" customHeight="false" outlineLevel="0" collapsed="false">
      <c r="A127" s="0" t="str">
        <f aca="false">Chase1168_2026!A127</f>
        <v>CREDIT</v>
      </c>
      <c r="B127" s="14" t="n">
        <f aca="false">Chase1168_2026!B127</f>
        <v>46147</v>
      </c>
      <c r="C127" s="0" t="str">
        <f aca="false">Chase1168_2026!C127</f>
        <v>CHIPS CREDIT VIA: BANK OF AMERICA, N.A./0959 B/O: ESCROW ACCOUNT FOR PRIMA TITLE GROU76102 US REF: NBNF=DWG CAPITAL GROUP LOS ANGELES CA 90066-3638 US/AC-000000002836 OR G=/488095158602 76102 US OGB=/48809 5158602 FORT WORTH TX 76102-2602 OB I=/URI/ESCROW NO. FL2026-0008 PARKL AN DSARASOTA SSN: 00574644 TRN: 0143534125FC</v>
      </c>
      <c r="D127" s="7" t="n">
        <f aca="false">Chase1168_2026!D127</f>
        <v>114000</v>
      </c>
      <c r="E127" s="0" t="str">
        <f aca="false">Chase1168_2026!E127</f>
        <v>WIRE_INCOMING</v>
      </c>
      <c r="F127" s="7" t="n">
        <f aca="false">Chase1168_2026!F127</f>
        <v>116900.18</v>
      </c>
      <c r="G127" s="0" t="str">
        <f aca="false">Chase1168_2026!G127</f>
        <v>Incoming Commission: MDC</v>
      </c>
      <c r="H127" s="15" t="n">
        <f aca="false">IF($B127="","",DATE(YEAR($B127),MONTH($B127),1))</f>
        <v>46143</v>
      </c>
      <c r="I127" s="0" t="str">
        <f aca="false">IF($G127="","Uncategorized — Review",IFERROR(INDEX(Mapping!$B:$B,MATCH($G127,Mapping!$A:$A,0)),"Uncategorized — Review"))</f>
        <v>Incoming Commission: MDC</v>
      </c>
      <c r="J127" s="0" t="str">
        <f aca="false">IF($G127="","Uncategorized — Review",IFERROR(INDEX(Mapping!$C:$C,MATCH($G127,Mapping!$A:$A,0)),"Uncategorized — Review"))</f>
        <v>Commissions — Incoming</v>
      </c>
    </row>
    <row r="128" customFormat="false" ht="15" hidden="false" customHeight="false" outlineLevel="0" collapsed="false">
      <c r="A128" s="0" t="str">
        <f aca="false">Chase1168_2026!A128</f>
        <v>DEBIT</v>
      </c>
      <c r="B128" s="14" t="n">
        <f aca="false">Chase1168_2026!B128</f>
        <v>46146</v>
      </c>
      <c r="C128" s="0" t="str">
        <f aca="false">Chase1168_2026!C128</f>
        <v>Zelle payment to Johnathan Pach 29088482185</v>
      </c>
      <c r="D128" s="7" t="n">
        <f aca="false">Chase1168_2026!D128</f>
        <v>-325</v>
      </c>
      <c r="E128" s="0" t="str">
        <f aca="false">Chase1168_2026!E128</f>
        <v>QUICKPAY_DEBIT</v>
      </c>
      <c r="F128" s="7" t="n">
        <f aca="false">Chase1168_2026!F128</f>
        <v>2900.18</v>
      </c>
      <c r="G128" s="0" t="str">
        <f aca="false">Chase1168_2026!G128</f>
        <v>Zelle/P2P</v>
      </c>
      <c r="H128" s="15" t="n">
        <f aca="false">IF($B128="","",DATE(YEAR($B128),MONTH($B128),1))</f>
        <v>46143</v>
      </c>
      <c r="I128" s="0" t="str">
        <f aca="false">IF($G128="","Uncategorized — Review",IFERROR(INDEX(Mapping!$B:$B,MATCH($G128,Mapping!$A:$A,0)),"Uncategorized — Review"))</f>
        <v>Zelle/P2P</v>
      </c>
      <c r="J128" s="0" t="str">
        <f aca="false">IF($G128="","Uncategorized — Review",IFERROR(INDEX(Mapping!$C:$C,MATCH($G128,Mapping!$A:$A,0)),"Uncategorized — Review"))</f>
        <v>P2P Payments (Zelle/Venmo/PayPal)</v>
      </c>
    </row>
    <row r="129" customFormat="false" ht="15" hidden="false" customHeight="false" outlineLevel="0" collapsed="false">
      <c r="A129" s="0" t="str">
        <f aca="false">Chase1168_2026!A129</f>
        <v>DEBIT</v>
      </c>
      <c r="B129" s="14" t="n">
        <f aca="false">Chase1168_2026!B129</f>
        <v>46146</v>
      </c>
      <c r="C129" s="0" t="str">
        <f aca="false">Chase1168_2026!C129</f>
        <v>ORIG CO NAME:SELECT PORTFOLIO       ORIG ID:1870465626 DESC DATE:       CO ENTRY DESCR:SPS       SEC:WEB    TRACE#:021000024001045 EED:260504   IND ID:0037017712                   IND NAME:John Barker Dunning TRN: 1244001045TC</v>
      </c>
      <c r="D129" s="7" t="n">
        <f aca="false">Chase1168_2026!D129</f>
        <v>-4190.21</v>
      </c>
      <c r="E129" s="0" t="str">
        <f aca="false">Chase1168_2026!E129</f>
        <v>ACH_DEBIT</v>
      </c>
      <c r="F129" s="7" t="n">
        <f aca="false">Chase1168_2026!F129</f>
        <v>3225.18</v>
      </c>
      <c r="G129" s="0" t="str">
        <f aca="false">Chase1168_2026!G129</f>
        <v>Moab E7 Mortgage Payment</v>
      </c>
      <c r="H129" s="15" t="n">
        <f aca="false">IF($B129="","",DATE(YEAR($B129),MONTH($B129),1))</f>
        <v>46143</v>
      </c>
      <c r="I129" s="0" t="str">
        <f aca="false">IF($G129="","Uncategorized — Review",IFERROR(INDEX(Mapping!$B:$B,MATCH($G129,Mapping!$A:$A,0)),"Uncategorized — Review"))</f>
        <v>Moab E7 Mortgage Payment</v>
      </c>
      <c r="J129" s="0" t="str">
        <f aca="false">IF($G129="","Uncategorized — Review",IFERROR(INDEX(Mapping!$C:$C,MATCH($G129,Mapping!$A:$A,0)),"Uncategorized — Review"))</f>
        <v>Deal-Specific</v>
      </c>
    </row>
    <row r="130" customFormat="false" ht="15" hidden="false" customHeight="false" outlineLevel="0" collapsed="false">
      <c r="A130" s="0" t="str">
        <f aca="false">Chase1168_2026!A130</f>
        <v>DEBIT</v>
      </c>
      <c r="B130" s="14" t="n">
        <f aca="false">Chase1168_2026!B130</f>
        <v>46146</v>
      </c>
      <c r="C130" s="0" t="str">
        <f aca="false">Chase1168_2026!C130</f>
        <v>ORIG CO NAME:SELECT PORTFOLIO       ORIG ID:1870465626 DESC DATE:       CO ENTRY DESCR:SPS       SEC:WEB    TRACE#:021000024001046 EED:260504   IND ID:0037017720                   IND NAME:John Barker Dunning TRN: 1244001046TC</v>
      </c>
      <c r="D130" s="7" t="n">
        <f aca="false">Chase1168_2026!D130</f>
        <v>-4366.2</v>
      </c>
      <c r="E130" s="0" t="str">
        <f aca="false">Chase1168_2026!E130</f>
        <v>ACH_DEBIT</v>
      </c>
      <c r="F130" s="7" t="n">
        <f aca="false">Chase1168_2026!F130</f>
        <v>7415.39</v>
      </c>
      <c r="G130" s="0" t="str">
        <f aca="false">Chase1168_2026!G130</f>
        <v>Moab E4 Mortgage Payment</v>
      </c>
      <c r="H130" s="15" t="n">
        <f aca="false">IF($B130="","",DATE(YEAR($B130),MONTH($B130),1))</f>
        <v>46143</v>
      </c>
      <c r="I130" s="0" t="str">
        <f aca="false">IF($G130="","Uncategorized — Review",IFERROR(INDEX(Mapping!$B:$B,MATCH($G130,Mapping!$A:$A,0)),"Uncategorized — Review"))</f>
        <v>Moab E4 Mortgage Payment</v>
      </c>
      <c r="J130" s="0" t="str">
        <f aca="false">IF($G130="","Uncategorized — Review",IFERROR(INDEX(Mapping!$C:$C,MATCH($G130,Mapping!$A:$A,0)),"Uncategorized — Review"))</f>
        <v>Deal-Specific</v>
      </c>
    </row>
    <row r="131" customFormat="false" ht="15" hidden="false" customHeight="false" outlineLevel="0" collapsed="false">
      <c r="A131" s="0" t="str">
        <f aca="false">Chase1168_2026!A131</f>
        <v>DEBIT</v>
      </c>
      <c r="B131" s="14" t="n">
        <f aca="false">Chase1168_2026!B131</f>
        <v>46146</v>
      </c>
      <c r="C131" s="0" t="str">
        <f aca="false">Chase1168_2026!C131</f>
        <v>Basic Online Payroll Payment 11216755408 to ########4122</v>
      </c>
      <c r="D131" s="7" t="n">
        <f aca="false">Chase1168_2026!D131</f>
        <v>-1750</v>
      </c>
      <c r="E131" s="0" t="str">
        <f aca="false">Chase1168_2026!E131</f>
        <v>BASIC_PAYROLL</v>
      </c>
      <c r="F131" s="7" t="n">
        <f aca="false">Chase1168_2026!F131</f>
        <v>11781.59</v>
      </c>
      <c r="G131" s="0" t="str">
        <f aca="false">Chase1168_2026!G131</f>
        <v>Mike Paytonjian - Payroll</v>
      </c>
      <c r="H131" s="15" t="n">
        <f aca="false">IF($B131="","",DATE(YEAR($B131),MONTH($B131),1))</f>
        <v>46143</v>
      </c>
      <c r="I131" s="0" t="str">
        <f aca="false">IF($G131="","Uncategorized — Review",IFERROR(INDEX(Mapping!$B:$B,MATCH($G131,Mapping!$A:$A,0)),"Uncategorized — Review"))</f>
        <v>Mike Paytonjian - Payroll</v>
      </c>
      <c r="J131" s="0" t="str">
        <f aca="false">IF($G131="","Uncategorized — Review",IFERROR(INDEX(Mapping!$C:$C,MATCH($G131,Mapping!$A:$A,0)),"Uncategorized — Review"))</f>
        <v>Payroll &amp; Contractors</v>
      </c>
    </row>
    <row r="132" customFormat="false" ht="15" hidden="false" customHeight="false" outlineLevel="0" collapsed="false">
      <c r="A132" s="0" t="str">
        <f aca="false">Chase1168_2026!A132</f>
        <v>DEBIT</v>
      </c>
      <c r="B132" s="14" t="n">
        <f aca="false">Chase1168_2026!B132</f>
        <v>46146</v>
      </c>
      <c r="C132" s="0" t="str">
        <f aca="false">Chase1168_2026!C132</f>
        <v>PAYPAL *JEFFD1980 402-935-7733 CA            05/04</v>
      </c>
      <c r="D132" s="7" t="n">
        <f aca="false">Chase1168_2026!D132</f>
        <v>-1.33</v>
      </c>
      <c r="E132" s="0" t="str">
        <f aca="false">Chase1168_2026!E132</f>
        <v>DEBIT_CARD</v>
      </c>
      <c r="F132" s="7" t="n">
        <f aca="false">Chase1168_2026!F132</f>
        <v>13531.59</v>
      </c>
      <c r="G132" s="0" t="str">
        <f aca="false">Chase1168_2026!G132</f>
        <v>Personal - Entertainment</v>
      </c>
      <c r="H132" s="15" t="n">
        <f aca="false">IF($B132="","",DATE(YEAR($B132),MONTH($B132),1))</f>
        <v>46143</v>
      </c>
      <c r="I132" s="0" t="str">
        <f aca="false">IF($G132="","Uncategorized — Review",IFERROR(INDEX(Mapping!$B:$B,MATCH($G132,Mapping!$A:$A,0)),"Uncategorized — Review"))</f>
        <v>Personal - Entertainment</v>
      </c>
      <c r="J132" s="0" t="str">
        <f aca="false">IF($G132="","Uncategorized — Review",IFERROR(INDEX(Mapping!$C:$C,MATCH($G132,Mapping!$A:$A,0)),"Uncategorized — Review"))</f>
        <v>Personal — Owner</v>
      </c>
    </row>
    <row r="133" customFormat="false" ht="15" hidden="false" customHeight="false" outlineLevel="0" collapsed="false">
      <c r="A133" s="0" t="str">
        <f aca="false">Chase1168_2026!A133</f>
        <v>DEBIT</v>
      </c>
      <c r="B133" s="14" t="n">
        <f aca="false">Chase1168_2026!B133</f>
        <v>46146</v>
      </c>
      <c r="C133" s="0" t="str">
        <f aca="false">Chase1168_2026!C133</f>
        <v>PAYPAL *BAFILEGIRL6 402-935-7733 CA          05/04</v>
      </c>
      <c r="D133" s="7" t="n">
        <f aca="false">Chase1168_2026!D133</f>
        <v>-1.33</v>
      </c>
      <c r="E133" s="0" t="str">
        <f aca="false">Chase1168_2026!E133</f>
        <v>DEBIT_CARD</v>
      </c>
      <c r="F133" s="7" t="n">
        <f aca="false">Chase1168_2026!F133</f>
        <v>13532.92</v>
      </c>
      <c r="G133" s="0" t="str">
        <f aca="false">Chase1168_2026!G133</f>
        <v>Personal - Entertainment</v>
      </c>
      <c r="H133" s="15" t="n">
        <f aca="false">IF($B133="","",DATE(YEAR($B133),MONTH($B133),1))</f>
        <v>46143</v>
      </c>
      <c r="I133" s="0" t="str">
        <f aca="false">IF($G133="","Uncategorized — Review",IFERROR(INDEX(Mapping!$B:$B,MATCH($G133,Mapping!$A:$A,0)),"Uncategorized — Review"))</f>
        <v>Personal - Entertainment</v>
      </c>
      <c r="J133" s="0" t="str">
        <f aca="false">IF($G133="","Uncategorized — Review",IFERROR(INDEX(Mapping!$C:$C,MATCH($G133,Mapping!$A:$A,0)),"Uncategorized — Review"))</f>
        <v>Personal — Owner</v>
      </c>
    </row>
    <row r="134" customFormat="false" ht="15" hidden="false" customHeight="false" outlineLevel="0" collapsed="false">
      <c r="A134" s="0" t="str">
        <f aca="false">Chase1168_2026!A134</f>
        <v>DEBIT</v>
      </c>
      <c r="B134" s="14" t="n">
        <f aca="false">Chase1168_2026!B134</f>
        <v>46146</v>
      </c>
      <c r="C134" s="0" t="str">
        <f aca="false">Chase1168_2026!C134</f>
        <v>PAYPAL *TOMMY 402-935-7733 CA                05/04</v>
      </c>
      <c r="D134" s="7" t="n">
        <f aca="false">Chase1168_2026!D134</f>
        <v>-1.33</v>
      </c>
      <c r="E134" s="0" t="str">
        <f aca="false">Chase1168_2026!E134</f>
        <v>DEBIT_CARD</v>
      </c>
      <c r="F134" s="7" t="n">
        <f aca="false">Chase1168_2026!F134</f>
        <v>13534.25</v>
      </c>
      <c r="G134" s="0" t="str">
        <f aca="false">Chase1168_2026!G134</f>
        <v>Personal - Entertainment</v>
      </c>
      <c r="H134" s="15" t="n">
        <f aca="false">IF($B134="","",DATE(YEAR($B134),MONTH($B134),1))</f>
        <v>46143</v>
      </c>
      <c r="I134" s="0" t="str">
        <f aca="false">IF($G134="","Uncategorized — Review",IFERROR(INDEX(Mapping!$B:$B,MATCH($G134,Mapping!$A:$A,0)),"Uncategorized — Review"))</f>
        <v>Personal - Entertainment</v>
      </c>
      <c r="J134" s="0" t="str">
        <f aca="false">IF($G134="","Uncategorized — Review",IFERROR(INDEX(Mapping!$C:$C,MATCH($G134,Mapping!$A:$A,0)),"Uncategorized — Review"))</f>
        <v>Personal — Owner</v>
      </c>
    </row>
    <row r="135" customFormat="false" ht="15" hidden="false" customHeight="false" outlineLevel="0" collapsed="false">
      <c r="A135" s="0" t="str">
        <f aca="false">Chase1168_2026!A135</f>
        <v>DEBIT</v>
      </c>
      <c r="B135" s="14" t="n">
        <f aca="false">Chase1168_2026!B135</f>
        <v>46146</v>
      </c>
      <c r="C135" s="0" t="str">
        <f aca="false">Chase1168_2026!C135</f>
        <v>PAYPAL *LIAM.BLUME 402-935-7733 CA           05/04</v>
      </c>
      <c r="D135" s="7" t="n">
        <f aca="false">Chase1168_2026!D135</f>
        <v>-1.33</v>
      </c>
      <c r="E135" s="0" t="str">
        <f aca="false">Chase1168_2026!E135</f>
        <v>DEBIT_CARD</v>
      </c>
      <c r="F135" s="7" t="n">
        <f aca="false">Chase1168_2026!F135</f>
        <v>13535.58</v>
      </c>
      <c r="G135" s="0" t="str">
        <f aca="false">Chase1168_2026!G135</f>
        <v>Personal - Entertainment</v>
      </c>
      <c r="H135" s="15" t="n">
        <f aca="false">IF($B135="","",DATE(YEAR($B135),MONTH($B135),1))</f>
        <v>46143</v>
      </c>
      <c r="I135" s="0" t="str">
        <f aca="false">IF($G135="","Uncategorized — Review",IFERROR(INDEX(Mapping!$B:$B,MATCH($G135,Mapping!$A:$A,0)),"Uncategorized — Review"))</f>
        <v>Personal - Entertainment</v>
      </c>
      <c r="J135" s="0" t="str">
        <f aca="false">IF($G135="","Uncategorized — Review",IFERROR(INDEX(Mapping!$C:$C,MATCH($G135,Mapping!$A:$A,0)),"Uncategorized — Review"))</f>
        <v>Personal — Owner</v>
      </c>
    </row>
    <row r="136" customFormat="false" ht="15" hidden="false" customHeight="false" outlineLevel="0" collapsed="false">
      <c r="A136" s="0" t="str">
        <f aca="false">Chase1168_2026!A136</f>
        <v>DEBIT</v>
      </c>
      <c r="B136" s="14" t="n">
        <f aca="false">Chase1168_2026!B136</f>
        <v>46146</v>
      </c>
      <c r="C136" s="0" t="str">
        <f aca="false">Chase1168_2026!C136</f>
        <v>PAYPAL *RUTHALCANCI 402-935-7733 CA          05/04</v>
      </c>
      <c r="D136" s="7" t="n">
        <f aca="false">Chase1168_2026!D136</f>
        <v>-262.5</v>
      </c>
      <c r="E136" s="0" t="str">
        <f aca="false">Chase1168_2026!E136</f>
        <v>DEBIT_CARD</v>
      </c>
      <c r="F136" s="7" t="n">
        <f aca="false">Chase1168_2026!F136</f>
        <v>13536.91</v>
      </c>
      <c r="G136" s="0" t="str">
        <f aca="false">Chase1168_2026!G136</f>
        <v>Ruth Alcancia - Forward Bridge Payment</v>
      </c>
      <c r="H136" s="15" t="n">
        <f aca="false">IF($B136="","",DATE(YEAR($B136),MONTH($B136),1))</f>
        <v>46143</v>
      </c>
      <c r="I136" s="0" t="str">
        <f aca="false">IF($G136="","Uncategorized — Review",IFERROR(INDEX(Mapping!$B:$B,MATCH($G136,Mapping!$A:$A,0)),"Uncategorized — Review"))</f>
        <v>Ruth Alcancia - Forward Bridge Payment</v>
      </c>
      <c r="J136" s="0" t="str">
        <f aca="false">IF($G136="","Uncategorized — Review",IFERROR(INDEX(Mapping!$C:$C,MATCH($G136,Mapping!$A:$A,0)),"Uncategorized — Review"))</f>
        <v>Payroll &amp; Contractors</v>
      </c>
    </row>
    <row r="137" customFormat="false" ht="15" hidden="false" customHeight="false" outlineLevel="0" collapsed="false">
      <c r="A137" s="0" t="str">
        <f aca="false">Chase1168_2026!A137</f>
        <v>DEBIT</v>
      </c>
      <c r="B137" s="14" t="n">
        <f aca="false">Chase1168_2026!B137</f>
        <v>46146</v>
      </c>
      <c r="C137" s="0" t="str">
        <f aca="false">Chase1168_2026!C137</f>
        <v>Zelle payment to Jeffrey Seider JPM99cfp30jl</v>
      </c>
      <c r="D137" s="7" t="n">
        <f aca="false">Chase1168_2026!D137</f>
        <v>-300</v>
      </c>
      <c r="E137" s="0" t="str">
        <f aca="false">Chase1168_2026!E137</f>
        <v>CHASE_TO_PARTNERFI</v>
      </c>
      <c r="F137" s="7" t="n">
        <f aca="false">Chase1168_2026!F137</f>
        <v>13799.41</v>
      </c>
      <c r="G137" s="0" t="str">
        <f aca="false">Chase1168_2026!G137</f>
        <v>Zelle - Jeff Seider</v>
      </c>
      <c r="H137" s="15" t="n">
        <f aca="false">IF($B137="","",DATE(YEAR($B137),MONTH($B137),1))</f>
        <v>46143</v>
      </c>
      <c r="I137" s="0" t="str">
        <f aca="false">IF($G137="","Uncategorized — Review",IFERROR(INDEX(Mapping!$B:$B,MATCH($G137,Mapping!$A:$A,0)),"Uncategorized — Review"))</f>
        <v>Zelle - Jeff Seider</v>
      </c>
      <c r="J137" s="0" t="str">
        <f aca="false">IF($G137="","Uncategorized — Review",IFERROR(INDEX(Mapping!$C:$C,MATCH($G137,Mapping!$A:$A,0)),"Uncategorized — Review"))</f>
        <v>P2P Payments (Zelle/Venmo/PayPal)</v>
      </c>
    </row>
    <row r="138" customFormat="false" ht="15" hidden="false" customHeight="false" outlineLevel="0" collapsed="false">
      <c r="A138" s="0" t="str">
        <f aca="false">Chase1168_2026!A138</f>
        <v>DEBIT</v>
      </c>
      <c r="B138" s="14" t="n">
        <f aca="false">Chase1168_2026!B138</f>
        <v>46146</v>
      </c>
      <c r="C138" s="0" t="str">
        <f aca="false">Chase1168_2026!C138</f>
        <v>Online Transfer to CHK ...6586 transaction#: 29077050617 05/04</v>
      </c>
      <c r="D138" s="7" t="n">
        <f aca="false">Chase1168_2026!D138</f>
        <v>-300</v>
      </c>
      <c r="E138" s="0" t="str">
        <f aca="false">Chase1168_2026!E138</f>
        <v>ACCT_XFER</v>
      </c>
      <c r="F138" s="7" t="n">
        <f aca="false">Chase1168_2026!F138</f>
        <v>14099.41</v>
      </c>
      <c r="G138" s="0" t="str">
        <f aca="false">Chase1168_2026!G138</f>
        <v>Transfer to TGAIF Fund</v>
      </c>
      <c r="H138" s="15" t="n">
        <f aca="false">IF($B138="","",DATE(YEAR($B138),MONTH($B138),1))</f>
        <v>46143</v>
      </c>
      <c r="I138" s="0" t="str">
        <f aca="false">IF($G138="","Uncategorized — Review",IFERROR(INDEX(Mapping!$B:$B,MATCH($G138,Mapping!$A:$A,0)),"Uncategorized — Review"))</f>
        <v>Transfer to TGAIF Fund</v>
      </c>
      <c r="J138" s="0" t="str">
        <f aca="false">IF($G138="","Uncategorized — Review",IFERROR(INDEX(Mapping!$C:$C,MATCH($G138,Mapping!$A:$A,0)),"Uncategorized — Review"))</f>
        <v>Intercompany &amp; Savings Transfers</v>
      </c>
    </row>
    <row r="139" customFormat="false" ht="15" hidden="false" customHeight="false" outlineLevel="0" collapsed="false">
      <c r="A139" s="0" t="str">
        <f aca="false">Chase1168_2026!A139</f>
        <v>DEBIT</v>
      </c>
      <c r="B139" s="14" t="n">
        <f aca="false">Chase1168_2026!B139</f>
        <v>46146</v>
      </c>
      <c r="C139" s="0" t="str">
        <f aca="false">Chase1168_2026!C139</f>
        <v>Online Transfer to CHK ...0709 transaction#: 29077008561 05/04</v>
      </c>
      <c r="D139" s="7" t="n">
        <f aca="false">Chase1168_2026!D139</f>
        <v>-500</v>
      </c>
      <c r="E139" s="0" t="str">
        <f aca="false">Chase1168_2026!E139</f>
        <v>ACCT_XFER</v>
      </c>
      <c r="F139" s="7" t="n">
        <f aca="false">Chase1168_2026!F139</f>
        <v>14399.41</v>
      </c>
      <c r="G139" s="0" t="str">
        <f aca="false">Chase1168_2026!G139</f>
        <v>Transfer to DWGCGroup_Savings</v>
      </c>
      <c r="H139" s="15" t="n">
        <f aca="false">IF($B139="","",DATE(YEAR($B139),MONTH($B139),1))</f>
        <v>46143</v>
      </c>
      <c r="I139" s="0" t="str">
        <f aca="false">IF($G139="","Uncategorized — Review",IFERROR(INDEX(Mapping!$B:$B,MATCH($G139,Mapping!$A:$A,0)),"Uncategorized — Review"))</f>
        <v>Transfer to DWG Savings</v>
      </c>
      <c r="J139" s="0" t="str">
        <f aca="false">IF($G139="","Uncategorized — Review",IFERROR(INDEX(Mapping!$C:$C,MATCH($G139,Mapping!$A:$A,0)),"Uncategorized — Review"))</f>
        <v>Intercompany &amp; Savings Transfers</v>
      </c>
    </row>
    <row r="140" customFormat="false" ht="15" hidden="false" customHeight="false" outlineLevel="0" collapsed="false">
      <c r="A140" s="0" t="str">
        <f aca="false">Chase1168_2026!A140</f>
        <v>DEBIT</v>
      </c>
      <c r="B140" s="14" t="n">
        <f aca="false">Chase1168_2026!B140</f>
        <v>46146</v>
      </c>
      <c r="C140" s="0" t="str">
        <f aca="false">Chase1168_2026!C140</f>
        <v>Online Transfer to CHK ...1117 transaction#: 29077017918 05/04</v>
      </c>
      <c r="D140" s="7" t="n">
        <f aca="false">Chase1168_2026!D140</f>
        <v>-3000</v>
      </c>
      <c r="E140" s="0" t="str">
        <f aca="false">Chase1168_2026!E140</f>
        <v>ACCT_XFER</v>
      </c>
      <c r="F140" s="7" t="n">
        <f aca="false">Chase1168_2026!F140</f>
        <v>14899.41</v>
      </c>
      <c r="G140" s="0" t="str">
        <f aca="false">Chase1168_2026!G140</f>
        <v>Transfer to Angela Dunning</v>
      </c>
      <c r="H140" s="15" t="n">
        <f aca="false">IF($B140="","",DATE(YEAR($B140),MONTH($B140),1))</f>
        <v>46143</v>
      </c>
      <c r="I140" s="0" t="str">
        <f aca="false">IF($G140="","Uncategorized — Review",IFERROR(INDEX(Mapping!$B:$B,MATCH($G140,Mapping!$A:$A,0)),"Uncategorized — Review"))</f>
        <v>Transfer to Angela Dunning</v>
      </c>
      <c r="J140" s="0" t="str">
        <f aca="false">IF($G140="","Uncategorized — Review",IFERROR(INDEX(Mapping!$C:$C,MATCH($G140,Mapping!$A:$A,0)),"Uncategorized — Review"))</f>
        <v>Owner / Family Distributions</v>
      </c>
    </row>
    <row r="141" customFormat="false" ht="15" hidden="false" customHeight="false" outlineLevel="0" collapsed="false">
      <c r="A141" s="0" t="str">
        <f aca="false">Chase1168_2026!A141</f>
        <v>DEBIT</v>
      </c>
      <c r="B141" s="14" t="n">
        <f aca="false">Chase1168_2026!B141</f>
        <v>46146</v>
      </c>
      <c r="C141" s="0" t="str">
        <f aca="false">Chase1168_2026!C141</f>
        <v>PAYPAL *PRAGERUNIVE P 833-772-4378 CA        05/03</v>
      </c>
      <c r="D141" s="7" t="n">
        <f aca="false">Chase1168_2026!D141</f>
        <v>-10.78</v>
      </c>
      <c r="E141" s="0" t="str">
        <f aca="false">Chase1168_2026!E141</f>
        <v>DEBIT_CARD</v>
      </c>
      <c r="F141" s="7" t="n">
        <f aca="false">Chase1168_2026!F141</f>
        <v>17899.41</v>
      </c>
      <c r="G141" s="0" t="str">
        <f aca="false">Chase1168_2026!G141</f>
        <v>DWGCP Business Development</v>
      </c>
      <c r="H141" s="15" t="n">
        <f aca="false">IF($B141="","",DATE(YEAR($B141),MONTH($B141),1))</f>
        <v>46143</v>
      </c>
      <c r="I141" s="0" t="str">
        <f aca="false">IF($G141="","Uncategorized — Review",IFERROR(INDEX(Mapping!$B:$B,MATCH($G141,Mapping!$A:$A,0)),"Uncategorized — Review"))</f>
        <v>DWGCP Business Development</v>
      </c>
      <c r="J141" s="0" t="str">
        <f aca="false">IF($G141="","Uncategorized — Review",IFERROR(INDEX(Mapping!$C:$C,MATCH($G141,Mapping!$A:$A,0)),"Uncategorized — Review"))</f>
        <v>DWG Operating</v>
      </c>
    </row>
    <row r="142" customFormat="false" ht="15" hidden="false" customHeight="false" outlineLevel="0" collapsed="false">
      <c r="A142" s="0" t="str">
        <f aca="false">Chase1168_2026!A142</f>
        <v>DEBIT</v>
      </c>
      <c r="B142" s="14" t="n">
        <f aca="false">Chase1168_2026!B142</f>
        <v>46146</v>
      </c>
      <c r="C142" s="0" t="str">
        <f aca="false">Chase1168_2026!C142</f>
        <v>DNH*GODADDY#4078685355 480-5058855 AZ        05/02</v>
      </c>
      <c r="D142" s="7" t="n">
        <f aca="false">Chase1168_2026!D142</f>
        <v>-5.99</v>
      </c>
      <c r="E142" s="0" t="str">
        <f aca="false">Chase1168_2026!E142</f>
        <v>DEBIT_CARD</v>
      </c>
      <c r="F142" s="7" t="n">
        <f aca="false">Chase1168_2026!F142</f>
        <v>17910.19</v>
      </c>
      <c r="G142" s="0" t="str">
        <f aca="false">Chase1168_2026!G142</f>
        <v>Go Daddy</v>
      </c>
      <c r="H142" s="15" t="n">
        <f aca="false">IF($B142="","",DATE(YEAR($B142),MONTH($B142),1))</f>
        <v>46143</v>
      </c>
      <c r="I142" s="0" t="str">
        <f aca="false">IF($G142="","Uncategorized — Review",IFERROR(INDEX(Mapping!$B:$B,MATCH($G142,Mapping!$A:$A,0)),"Uncategorized — Review"))</f>
        <v>Go Daddy</v>
      </c>
      <c r="J142" s="0" t="str">
        <f aca="false">IF($G142="","Uncategorized — Review",IFERROR(INDEX(Mapping!$C:$C,MATCH($G142,Mapping!$A:$A,0)),"Uncategorized — Review"))</f>
        <v>DWG Operating</v>
      </c>
    </row>
    <row r="143" customFormat="false" ht="15" hidden="false" customHeight="false" outlineLevel="0" collapsed="false">
      <c r="A143" s="0" t="str">
        <f aca="false">Chase1168_2026!A143</f>
        <v>DEBIT</v>
      </c>
      <c r="B143" s="14" t="n">
        <f aca="false">Chase1168_2026!B143</f>
        <v>46146</v>
      </c>
      <c r="C143" s="0" t="str">
        <f aca="false">Chase1168_2026!C143</f>
        <v>ORIG CO NAME:EMPLOYMENT DEVEL       ORIG ID:2282533055 DESC DATE:050126 CO ENTRY DESCR:EDD EFTPMTSEC:CCD    TRACE#:042000016029479 EED:260504   IND ID:1351068640                   IND NAME:DWG CAPITAL GROUP                                                                                            PAYMENT TRN: 1246029479TC</v>
      </c>
      <c r="D143" s="7" t="n">
        <f aca="false">Chase1168_2026!D143</f>
        <v>-291</v>
      </c>
      <c r="E143" s="0" t="str">
        <f aca="false">Chase1168_2026!E143</f>
        <v>ACH_DEBIT</v>
      </c>
      <c r="F143" s="7" t="n">
        <f aca="false">Chase1168_2026!F143</f>
        <v>17916.18</v>
      </c>
      <c r="G143" s="16" t="n">
        <f aca="false">Chase1168_2026!G143</f>
        <v>0</v>
      </c>
      <c r="H143" s="15" t="n">
        <f aca="false">IF($B143="","",DATE(YEAR($B143),MONTH($B143),1))</f>
        <v>46143</v>
      </c>
      <c r="I143" s="0" t="str">
        <f aca="false">IF($G143="","Uncategorized — Review",IFERROR(INDEX(Mapping!$B:$B,MATCH($G143,Mapping!$A:$A,0)),"Uncategorized — Review"))</f>
        <v>Uncategorized — Review</v>
      </c>
      <c r="J143" s="0" t="str">
        <f aca="false">IF($G143="","Uncategorized — Review",IFERROR(INDEX(Mapping!$C:$C,MATCH($G143,Mapping!$A:$A,0)),"Uncategorized — Review"))</f>
        <v>Uncategorized — Review</v>
      </c>
    </row>
    <row r="144" customFormat="false" ht="15" hidden="false" customHeight="false" outlineLevel="0" collapsed="false">
      <c r="A144" s="0" t="str">
        <f aca="false">Chase1168_2026!A144</f>
        <v>DEBIT</v>
      </c>
      <c r="B144" s="14" t="n">
        <f aca="false">Chase1168_2026!B144</f>
        <v>46146</v>
      </c>
      <c r="C144" s="0" t="str">
        <f aca="false">Chase1168_2026!C144</f>
        <v>DNH*GODADDY#4077842333 480-5058855 AZ        05/01</v>
      </c>
      <c r="D144" s="7" t="n">
        <f aca="false">Chase1168_2026!D144</f>
        <v>-33.97</v>
      </c>
      <c r="E144" s="0" t="str">
        <f aca="false">Chase1168_2026!E144</f>
        <v>DEBIT_CARD</v>
      </c>
      <c r="F144" s="7" t="n">
        <f aca="false">Chase1168_2026!F144</f>
        <v>18207.18</v>
      </c>
      <c r="G144" s="0" t="str">
        <f aca="false">Chase1168_2026!G144</f>
        <v>Go Daddy</v>
      </c>
      <c r="H144" s="15" t="n">
        <f aca="false">IF($B144="","",DATE(YEAR($B144),MONTH($B144),1))</f>
        <v>46143</v>
      </c>
      <c r="I144" s="0" t="str">
        <f aca="false">IF($G144="","Uncategorized — Review",IFERROR(INDEX(Mapping!$B:$B,MATCH($G144,Mapping!$A:$A,0)),"Uncategorized — Review"))</f>
        <v>Go Daddy</v>
      </c>
      <c r="J144" s="0" t="str">
        <f aca="false">IF($G144="","Uncategorized — Review",IFERROR(INDEX(Mapping!$C:$C,MATCH($G144,Mapping!$A:$A,0)),"Uncategorized — Review"))</f>
        <v>DWG Operating</v>
      </c>
    </row>
    <row r="145" customFormat="false" ht="15" hidden="false" customHeight="false" outlineLevel="0" collapsed="false">
      <c r="A145" s="0" t="str">
        <f aca="false">Chase1168_2026!A145</f>
        <v>DEBIT</v>
      </c>
      <c r="B145" s="14" t="n">
        <f aca="false">Chase1168_2026!B145</f>
        <v>46143</v>
      </c>
      <c r="C145" s="0" t="str">
        <f aca="false">Chase1168_2026!C145</f>
        <v>STANDARD ACH PMNTS INITIAL FEE QTY = 7</v>
      </c>
      <c r="D145" s="7" t="n">
        <f aca="false">Chase1168_2026!D145</f>
        <v>-17.5</v>
      </c>
      <c r="E145" s="0" t="str">
        <f aca="false">Chase1168_2026!E145</f>
        <v>FEE_TRANSACTION</v>
      </c>
      <c r="F145" s="7" t="n">
        <f aca="false">Chase1168_2026!F145</f>
        <v>18241.15</v>
      </c>
      <c r="G145" s="0" t="str">
        <f aca="false">Chase1168_2026!G145</f>
        <v>Bank Fees</v>
      </c>
      <c r="H145" s="15" t="n">
        <f aca="false">IF($B145="","",DATE(YEAR($B145),MONTH($B145),1))</f>
        <v>46143</v>
      </c>
      <c r="I145" s="0" t="str">
        <f aca="false">IF($G145="","Uncategorized — Review",IFERROR(INDEX(Mapping!$B:$B,MATCH($G145,Mapping!$A:$A,0)),"Uncategorized — Review"))</f>
        <v>Bank Fees</v>
      </c>
      <c r="J145" s="0" t="str">
        <f aca="false">IF($G145="","Uncategorized — Review",IFERROR(INDEX(Mapping!$C:$C,MATCH($G145,Mapping!$A:$A,0)),"Uncategorized — Review"))</f>
        <v>DWG Operating</v>
      </c>
    </row>
    <row r="146" customFormat="false" ht="15" hidden="false" customHeight="false" outlineLevel="0" collapsed="false">
      <c r="A146" s="0" t="str">
        <f aca="false">Chase1168_2026!A146</f>
        <v>DEBIT</v>
      </c>
      <c r="B146" s="14" t="n">
        <f aca="false">Chase1168_2026!B146</f>
        <v>46143</v>
      </c>
      <c r="C146" s="0" t="str">
        <f aca="false">Chase1168_2026!C146</f>
        <v>ORIG CO NAME:VENMO                  ORIG ID:3264681992 DESC DATE:260501 CO ENTRY DESCR:PAYMENT   SEC:WEB    TRACE#:021000029540738 EED:260501   IND ID:1049980492507                IND NAME:JUDD DUNNING                                                                                                 260501PPZO17 TRN: 1219540738TC</v>
      </c>
      <c r="D146" s="7" t="n">
        <f aca="false">Chase1168_2026!D146</f>
        <v>-150</v>
      </c>
      <c r="E146" s="0" t="str">
        <f aca="false">Chase1168_2026!E146</f>
        <v>ACH_DEBIT</v>
      </c>
      <c r="F146" s="7" t="n">
        <f aca="false">Chase1168_2026!F146</f>
        <v>18258.65</v>
      </c>
      <c r="G146" s="0" t="str">
        <f aca="false">Chase1168_2026!G146</f>
        <v>Venmo</v>
      </c>
      <c r="H146" s="15" t="n">
        <f aca="false">IF($B146="","",DATE(YEAR($B146),MONTH($B146),1))</f>
        <v>46143</v>
      </c>
      <c r="I146" s="0" t="str">
        <f aca="false">IF($G146="","Uncategorized — Review",IFERROR(INDEX(Mapping!$B:$B,MATCH($G146,Mapping!$A:$A,0)),"Uncategorized — Review"))</f>
        <v>Venmo</v>
      </c>
      <c r="J146" s="0" t="str">
        <f aca="false">IF($G146="","Uncategorized — Review",IFERROR(INDEX(Mapping!$C:$C,MATCH($G146,Mapping!$A:$A,0)),"Uncategorized — Review"))</f>
        <v>P2P Payments (Zelle/Venmo/PayPal)</v>
      </c>
    </row>
    <row r="147" customFormat="false" ht="15" hidden="false" customHeight="false" outlineLevel="0" collapsed="false">
      <c r="A147" s="0" t="str">
        <f aca="false">Chase1168_2026!A147</f>
        <v>DEBIT</v>
      </c>
      <c r="B147" s="14" t="n">
        <f aca="false">Chase1168_2026!B147</f>
        <v>46143</v>
      </c>
      <c r="C147" s="0" t="str">
        <f aca="false">Chase1168_2026!C147</f>
        <v>ORIG CO NAME:GEICO                  ORIG ID:3530075853 DESC DATE:260430 CO ENTRY DESCR:PREM COLL SEC:PPD    TRACE#:021000022536535 EED:260501   IND ID:                             IND NAME:ANGELA TRN: 1212536535TC</v>
      </c>
      <c r="D147" s="7" t="n">
        <f aca="false">Chase1168_2026!D147</f>
        <v>-617.48</v>
      </c>
      <c r="E147" s="0" t="str">
        <f aca="false">Chase1168_2026!E147</f>
        <v>ACH_DEBIT</v>
      </c>
      <c r="F147" s="7" t="n">
        <f aca="false">Chase1168_2026!F147</f>
        <v>18408.65</v>
      </c>
      <c r="G147" s="0" t="str">
        <f aca="false">Chase1168_2026!G147</f>
        <v>Personal - Car Insurance</v>
      </c>
      <c r="H147" s="15" t="n">
        <f aca="false">IF($B147="","",DATE(YEAR($B147),MONTH($B147),1))</f>
        <v>46143</v>
      </c>
      <c r="I147" s="0" t="str">
        <f aca="false">IF($G147="","Uncategorized — Review",IFERROR(INDEX(Mapping!$B:$B,MATCH($G147,Mapping!$A:$A,0)),"Uncategorized — Review"))</f>
        <v>Personal - Car &amp; Auto</v>
      </c>
      <c r="J147" s="0" t="str">
        <f aca="false">IF($G147="","Uncategorized — Review",IFERROR(INDEX(Mapping!$C:$C,MATCH($G147,Mapping!$A:$A,0)),"Uncategorized — Review"))</f>
        <v>Personal — Owner</v>
      </c>
    </row>
    <row r="148" customFormat="false" ht="15" hidden="false" customHeight="false" outlineLevel="0" collapsed="false">
      <c r="A148" s="0" t="str">
        <f aca="false">Chase1168_2026!A148</f>
        <v>DEBIT</v>
      </c>
      <c r="B148" s="14" t="n">
        <f aca="false">Chase1168_2026!B148</f>
        <v>46143</v>
      </c>
      <c r="C148" s="0" t="str">
        <f aca="false">Chase1168_2026!C148</f>
        <v>ORIG CO NAME:BLUESHIELDCA           ORIG ID:7529219311 DESC DATE:260430 CO ENTRY DESCR:BILL PAY  SEC:CCD    TRACE#:031101116152207 EED:260501   IND ID:15761246761                  IND NAME:ANGELA DUNNING TRN: 1216152207TC</v>
      </c>
      <c r="D148" s="7" t="n">
        <f aca="false">Chase1168_2026!D148</f>
        <v>-974.85</v>
      </c>
      <c r="E148" s="0" t="str">
        <f aca="false">Chase1168_2026!E148</f>
        <v>ACH_DEBIT</v>
      </c>
      <c r="F148" s="7" t="n">
        <f aca="false">Chase1168_2026!F148</f>
        <v>19026.13</v>
      </c>
      <c r="G148" s="0" t="str">
        <f aca="false">Chase1168_2026!G148</f>
        <v>Personal - Health Insurance</v>
      </c>
      <c r="H148" s="15" t="n">
        <f aca="false">IF($B148="","",DATE(YEAR($B148),MONTH($B148),1))</f>
        <v>46143</v>
      </c>
      <c r="I148" s="0" t="str">
        <f aca="false">IF($G148="","Uncategorized — Review",IFERROR(INDEX(Mapping!$B:$B,MATCH($G148,Mapping!$A:$A,0)),"Uncategorized — Review"))</f>
        <v>Personal - Health (incl. Ins.)</v>
      </c>
      <c r="J148" s="0" t="str">
        <f aca="false">IF($G148="","Uncategorized — Review",IFERROR(INDEX(Mapping!$C:$C,MATCH($G148,Mapping!$A:$A,0)),"Uncategorized — Review"))</f>
        <v>Personal — Owner</v>
      </c>
    </row>
    <row r="149" customFormat="false" ht="15" hidden="false" customHeight="false" outlineLevel="0" collapsed="false">
      <c r="A149" s="0" t="str">
        <f aca="false">Chase1168_2026!A149</f>
        <v>DEBIT</v>
      </c>
      <c r="B149" s="14" t="n">
        <f aca="false">Chase1168_2026!B149</f>
        <v>46143</v>
      </c>
      <c r="C149" s="0" t="str">
        <f aca="false">Chase1168_2026!C149</f>
        <v>ORIG CO NAME:GM Financial           ORIG ID:I522190781 DESC DATE:260501 CO ENTRY DESCR:GMF Pymt  SEC:WEB    TRACE#:091000016699401 EED:260501   IND ID:00112079186353               IND NAME:ANGELA DUNNING TRN: 1216699401TC</v>
      </c>
      <c r="D149" s="7" t="n">
        <f aca="false">Chase1168_2026!D149</f>
        <v>-1063.05</v>
      </c>
      <c r="E149" s="0" t="str">
        <f aca="false">Chase1168_2026!E149</f>
        <v>ACH_DEBIT</v>
      </c>
      <c r="F149" s="7" t="n">
        <f aca="false">Chase1168_2026!F149</f>
        <v>20000.98</v>
      </c>
      <c r="G149" s="0" t="str">
        <f aca="false">Chase1168_2026!G149</f>
        <v>Personal - Car</v>
      </c>
      <c r="H149" s="15" t="n">
        <f aca="false">IF($B149="","",DATE(YEAR($B149),MONTH($B149),1))</f>
        <v>46143</v>
      </c>
      <c r="I149" s="0" t="str">
        <f aca="false">IF($G149="","Uncategorized — Review",IFERROR(INDEX(Mapping!$B:$B,MATCH($G149,Mapping!$A:$A,0)),"Uncategorized — Review"))</f>
        <v>Personal - Car &amp; Auto</v>
      </c>
      <c r="J149" s="0" t="str">
        <f aca="false">IF($G149="","Uncategorized — Review",IFERROR(INDEX(Mapping!$C:$C,MATCH($G149,Mapping!$A:$A,0)),"Uncategorized — Review"))</f>
        <v>Personal — Owner</v>
      </c>
    </row>
    <row r="150" customFormat="false" ht="15" hidden="false" customHeight="false" outlineLevel="0" collapsed="false">
      <c r="A150" s="0" t="str">
        <f aca="false">Chase1168_2026!A150</f>
        <v>DEBIT</v>
      </c>
      <c r="B150" s="14" t="n">
        <f aca="false">Chase1168_2026!B150</f>
        <v>46143</v>
      </c>
      <c r="C150" s="0" t="str">
        <f aca="false">Chase1168_2026!C150</f>
        <v>Zelle payment to natalie cordova JPM99cf7c3c2</v>
      </c>
      <c r="D150" s="7" t="n">
        <f aca="false">Chase1168_2026!D150</f>
        <v>-500</v>
      </c>
      <c r="E150" s="0" t="str">
        <f aca="false">Chase1168_2026!E150</f>
        <v>CHASE_TO_PARTNERFI</v>
      </c>
      <c r="F150" s="7" t="n">
        <f aca="false">Chase1168_2026!F150</f>
        <v>21064.03</v>
      </c>
      <c r="G150" s="0" t="str">
        <f aca="false">Chase1168_2026!G150</f>
        <v>Zelle - Natalie C.</v>
      </c>
      <c r="H150" s="15" t="n">
        <f aca="false">IF($B150="","",DATE(YEAR($B150),MONTH($B150),1))</f>
        <v>46143</v>
      </c>
      <c r="I150" s="0" t="str">
        <f aca="false">IF($G150="","Uncategorized — Review",IFERROR(INDEX(Mapping!$B:$B,MATCH($G150,Mapping!$A:$A,0)),"Uncategorized — Review"))</f>
        <v>Zelle - Natalie C.</v>
      </c>
      <c r="J150" s="0" t="str">
        <f aca="false">IF($G150="","Uncategorized — Review",IFERROR(INDEX(Mapping!$C:$C,MATCH($G150,Mapping!$A:$A,0)),"Uncategorized — Review"))</f>
        <v>P2P Payments (Zelle/Venmo/PayPal)</v>
      </c>
    </row>
    <row r="151" customFormat="false" ht="15" hidden="false" customHeight="false" outlineLevel="0" collapsed="false">
      <c r="A151" s="0" t="str">
        <f aca="false">Chase1168_2026!A151</f>
        <v>CREDIT</v>
      </c>
      <c r="B151" s="14" t="n">
        <f aca="false">Chase1168_2026!B151</f>
        <v>46143</v>
      </c>
      <c r="C151" s="0" t="str">
        <f aca="false">Chase1168_2026!C151</f>
        <v>ORIG CO NAME:GI CAPITAL GROUP       ORIG ID:9200502235 DESC DATE:260501 CO ENTRY DESCR:ACH Pmt   SEC:CCD    TRACE#:021000026610717 EED:260501   IND ID:11217147186                  IND NAME:DWG CAPITAL GROUP          For May-2026 (E4: $4190.21 + E7: 43 66.20 = $8,556.41) TRN: 1216610717TC</v>
      </c>
      <c r="D151" s="7" t="n">
        <f aca="false">Chase1168_2026!D151</f>
        <v>8556.41</v>
      </c>
      <c r="E151" s="0" t="str">
        <f aca="false">Chase1168_2026!E151</f>
        <v>ACH_CREDIT</v>
      </c>
      <c r="F151" s="7" t="n">
        <f aca="false">Chase1168_2026!F151</f>
        <v>21564.03</v>
      </c>
      <c r="G151" s="0" t="str">
        <f aca="false">Chase1168_2026!G151</f>
        <v>Incoming MOAB Mortgage Coverage</v>
      </c>
      <c r="H151" s="15" t="n">
        <f aca="false">IF($B151="","",DATE(YEAR($B151),MONTH($B151),1))</f>
        <v>46143</v>
      </c>
      <c r="I151" s="0" t="str">
        <f aca="false">IF($G151="","Uncategorized — Review",IFERROR(INDEX(Mapping!$B:$B,MATCH($G151,Mapping!$A:$A,0)),"Uncategorized — Review"))</f>
        <v>Incoming MOAB Mortgage Coverage</v>
      </c>
      <c r="J151" s="0" t="str">
        <f aca="false">IF($G151="","Uncategorized — Review",IFERROR(INDEX(Mapping!$C:$C,MATCH($G151,Mapping!$A:$A,0)),"Uncategorized — Review"))</f>
        <v>Deal-Specific</v>
      </c>
    </row>
    <row r="152" customFormat="false" ht="15" hidden="false" customHeight="false" outlineLevel="0" collapsed="false">
      <c r="A152" s="0" t="str">
        <f aca="false">Chase1168_2026!A152</f>
        <v>DEBIT</v>
      </c>
      <c r="B152" s="14" t="n">
        <f aca="false">Chase1168_2026!B152</f>
        <v>46142</v>
      </c>
      <c r="C152" s="0" t="str">
        <f aca="false">Chase1168_2026!C152</f>
        <v>Basic Online Payroll Payment 11215663814 to #####5820</v>
      </c>
      <c r="D152" s="7" t="n">
        <f aca="false">Chase1168_2026!D152</f>
        <v>-3500</v>
      </c>
      <c r="E152" s="0" t="str">
        <f aca="false">Chase1168_2026!E152</f>
        <v>BASIC_PAYROLL</v>
      </c>
      <c r="F152" s="7" t="n">
        <f aca="false">Chase1168_2026!F152</f>
        <v>13007.62</v>
      </c>
      <c r="G152" s="0" t="str">
        <f aca="false">Chase1168_2026!G152</f>
        <v>Chase Hall - Payroll</v>
      </c>
      <c r="H152" s="15" t="n">
        <f aca="false">IF($B152="","",DATE(YEAR($B152),MONTH($B152),1))</f>
        <v>46113</v>
      </c>
      <c r="I152" s="0" t="str">
        <f aca="false">IF($G152="","Uncategorized — Review",IFERROR(INDEX(Mapping!$B:$B,MATCH($G152,Mapping!$A:$A,0)),"Uncategorized — Review"))</f>
        <v>Chase Hall - Payroll</v>
      </c>
      <c r="J152" s="0" t="str">
        <f aca="false">IF($G152="","Uncategorized — Review",IFERROR(INDEX(Mapping!$C:$C,MATCH($G152,Mapping!$A:$A,0)),"Uncategorized — Review"))</f>
        <v>Payroll &amp; Contractors</v>
      </c>
    </row>
    <row r="153" customFormat="false" ht="15" hidden="false" customHeight="false" outlineLevel="0" collapsed="false">
      <c r="A153" s="0" t="str">
        <f aca="false">Chase1168_2026!A153</f>
        <v>DEBIT</v>
      </c>
      <c r="B153" s="14" t="n">
        <f aca="false">Chase1168_2026!B153</f>
        <v>46142</v>
      </c>
      <c r="C153" s="0" t="str">
        <f aca="false">Chase1168_2026!C153</f>
        <v>ORIG CO NAME:SBA EIDL LOAN          ORIG ID:7300000118 DESC DATE:260429 CO ENTRY DESCR:PAYMENT   SEC:CCD    TRACE#:041036048645279 EED:260430   IND ID:0000                         IND NAME:JOHN DUNNING               1871308204                                                                        ACH TRANSACTION TRN: 1208645279TC</v>
      </c>
      <c r="D153" s="7" t="n">
        <f aca="false">Chase1168_2026!D153</f>
        <v>-2524</v>
      </c>
      <c r="E153" s="0" t="str">
        <f aca="false">Chase1168_2026!E153</f>
        <v>ACH_DEBIT</v>
      </c>
      <c r="F153" s="7" t="n">
        <f aca="false">Chase1168_2026!F153</f>
        <v>16507.62</v>
      </c>
      <c r="G153" s="0" t="str">
        <f aca="false">Chase1168_2026!G153</f>
        <v>SBC EIDL Loan</v>
      </c>
      <c r="H153" s="15" t="n">
        <f aca="false">IF($B153="","",DATE(YEAR($B153),MONTH($B153),1))</f>
        <v>46113</v>
      </c>
      <c r="I153" s="0" t="str">
        <f aca="false">IF($G153="","Uncategorized — Review",IFERROR(INDEX(Mapping!$B:$B,MATCH($G153,Mapping!$A:$A,0)),"Uncategorized — Review"))</f>
        <v>SBC EIDL Loan</v>
      </c>
      <c r="J153" s="0" t="str">
        <f aca="false">IF($G153="","Uncategorized — Review",IFERROR(INDEX(Mapping!$C:$C,MATCH($G153,Mapping!$A:$A,0)),"Uncategorized — Review"))</f>
        <v>Credit Card &amp; Loan Payments</v>
      </c>
    </row>
    <row r="154" customFormat="false" ht="15" hidden="false" customHeight="false" outlineLevel="0" collapsed="false">
      <c r="A154" s="0" t="str">
        <f aca="false">Chase1168_2026!A154</f>
        <v>DEBIT</v>
      </c>
      <c r="B154" s="14" t="n">
        <f aca="false">Chase1168_2026!B154</f>
        <v>46141</v>
      </c>
      <c r="C154" s="0" t="str">
        <f aca="false">Chase1168_2026!C154</f>
        <v>ORIG CO NAME:GEICO            CO ENTRY DESCR:PREM COLL  SEC:PPD                        ORIG ID:3530075853</v>
      </c>
      <c r="D154" s="7" t="n">
        <f aca="false">Chase1168_2026!D154</f>
        <v>-1240.27</v>
      </c>
      <c r="E154" s="0" t="str">
        <f aca="false">Chase1168_2026!E154</f>
        <v>ACH_DEBIT</v>
      </c>
      <c r="F154" s="7" t="str">
        <f aca="false">Chase1168_2026!F154</f>
        <v> </v>
      </c>
      <c r="G154" s="0" t="str">
        <f aca="false">Chase1168_2026!G154</f>
        <v>Personal - Car Insurance</v>
      </c>
      <c r="H154" s="15" t="n">
        <f aca="false">IF($B154="","",DATE(YEAR($B154),MONTH($B154),1))</f>
        <v>46113</v>
      </c>
      <c r="I154" s="0" t="str">
        <f aca="false">IF($G154="","Uncategorized — Review",IFERROR(INDEX(Mapping!$B:$B,MATCH($G154,Mapping!$A:$A,0)),"Uncategorized — Review"))</f>
        <v>Personal - Car &amp; Auto</v>
      </c>
      <c r="J154" s="0" t="str">
        <f aca="false">IF($G154="","Uncategorized — Review",IFERROR(INDEX(Mapping!$C:$C,MATCH($G154,Mapping!$A:$A,0)),"Uncategorized — Review"))</f>
        <v>Personal — Owner</v>
      </c>
    </row>
    <row r="155" customFormat="false" ht="15" hidden="false" customHeight="false" outlineLevel="0" collapsed="false">
      <c r="A155" s="0" t="str">
        <f aca="false">Chase1168_2026!A155</f>
        <v>DEBIT</v>
      </c>
      <c r="B155" s="14" t="n">
        <f aca="false">Chase1168_2026!B155</f>
        <v>46140</v>
      </c>
      <c r="C155" s="0" t="str">
        <f aca="false">Chase1168_2026!C155</f>
        <v>DNH*GODADDY#4075135447 480-5058855 AZ        04/28</v>
      </c>
      <c r="D155" s="7" t="n">
        <f aca="false">Chase1168_2026!D155</f>
        <v>-22.98</v>
      </c>
      <c r="E155" s="0" t="str">
        <f aca="false">Chase1168_2026!E155</f>
        <v>DEBIT_CARD</v>
      </c>
      <c r="F155" s="7" t="n">
        <f aca="false">Chase1168_2026!F155</f>
        <v>6071.89</v>
      </c>
      <c r="G155" s="0" t="str">
        <f aca="false">Chase1168_2026!G155</f>
        <v>Go Daddy</v>
      </c>
      <c r="H155" s="15" t="n">
        <f aca="false">IF($B155="","",DATE(YEAR($B155),MONTH($B155),1))</f>
        <v>46113</v>
      </c>
      <c r="I155" s="0" t="str">
        <f aca="false">IF($G155="","Uncategorized — Review",IFERROR(INDEX(Mapping!$B:$B,MATCH($G155,Mapping!$A:$A,0)),"Uncategorized — Review"))</f>
        <v>Go Daddy</v>
      </c>
      <c r="J155" s="0" t="str">
        <f aca="false">IF($G155="","Uncategorized — Review",IFERROR(INDEX(Mapping!$C:$C,MATCH($G155,Mapping!$A:$A,0)),"Uncategorized — Review"))</f>
        <v>DWG Operating</v>
      </c>
    </row>
    <row r="156" customFormat="false" ht="15" hidden="false" customHeight="false" outlineLevel="0" collapsed="false">
      <c r="A156" s="0" t="str">
        <f aca="false">Chase1168_2026!A156</f>
        <v>DEBIT</v>
      </c>
      <c r="B156" s="14" t="n">
        <f aca="false">Chase1168_2026!B156</f>
        <v>46140</v>
      </c>
      <c r="C156" s="0" t="str">
        <f aca="false">Chase1168_2026!C156</f>
        <v>ORIG CO NAME:BANNER LIFE            ORIG ID:1521236145 DESC DATE:260427 CO ENTRY DESCR:PREM DEBITSEC:PPD    TRACE#:091000011992129 EED:260428   IND ID:                             IND NAME:ANGELA L DUNNING TRN: 1181992129TC</v>
      </c>
      <c r="D156" s="7" t="n">
        <f aca="false">Chase1168_2026!D156</f>
        <v>-12.5</v>
      </c>
      <c r="E156" s="0" t="str">
        <f aca="false">Chase1168_2026!E156</f>
        <v>ACH_DEBIT</v>
      </c>
      <c r="F156" s="7" t="n">
        <f aca="false">Chase1168_2026!F156</f>
        <v>6094.87</v>
      </c>
      <c r="G156" s="0" t="str">
        <f aca="false">Chase1168_2026!G156</f>
        <v>Life Insurance</v>
      </c>
      <c r="H156" s="15" t="n">
        <f aca="false">IF($B156="","",DATE(YEAR($B156),MONTH($B156),1))</f>
        <v>46113</v>
      </c>
      <c r="I156" s="0" t="str">
        <f aca="false">IF($G156="","Uncategorized — Review",IFERROR(INDEX(Mapping!$B:$B,MATCH($G156,Mapping!$A:$A,0)),"Uncategorized — Review"))</f>
        <v>Personal - Life Insurance</v>
      </c>
      <c r="J156" s="0" t="str">
        <f aca="false">IF($G156="","Uncategorized — Review",IFERROR(INDEX(Mapping!$C:$C,MATCH($G156,Mapping!$A:$A,0)),"Uncategorized — Review"))</f>
        <v>Personal — Owner</v>
      </c>
    </row>
    <row r="157" customFormat="false" ht="15" hidden="false" customHeight="false" outlineLevel="0" collapsed="false">
      <c r="A157" s="0" t="str">
        <f aca="false">Chase1168_2026!A157</f>
        <v>DEBIT</v>
      </c>
      <c r="B157" s="14" t="n">
        <f aca="false">Chase1168_2026!B157</f>
        <v>46140</v>
      </c>
      <c r="C157" s="0" t="str">
        <f aca="false">Chase1168_2026!C157</f>
        <v>ORIG CO NAME:BANNER LIFE            ORIG ID:1521236145 DESC DATE:260427 CO ENTRY DESCR:PREM DEBITSEC:PPD    TRACE#:091000011992130 EED:260428   IND ID:                             IND NAME:JOHN  DUNNING TRN: 1181992130TC</v>
      </c>
      <c r="D157" s="7" t="n">
        <f aca="false">Chase1168_2026!D157</f>
        <v>-22.92</v>
      </c>
      <c r="E157" s="0" t="str">
        <f aca="false">Chase1168_2026!E157</f>
        <v>ACH_DEBIT</v>
      </c>
      <c r="F157" s="7" t="n">
        <f aca="false">Chase1168_2026!F157</f>
        <v>6107.37</v>
      </c>
      <c r="G157" s="0" t="str">
        <f aca="false">Chase1168_2026!G157</f>
        <v>Life Insurance</v>
      </c>
      <c r="H157" s="15" t="n">
        <f aca="false">IF($B157="","",DATE(YEAR($B157),MONTH($B157),1))</f>
        <v>46113</v>
      </c>
      <c r="I157" s="0" t="str">
        <f aca="false">IF($G157="","Uncategorized — Review",IFERROR(INDEX(Mapping!$B:$B,MATCH($G157,Mapping!$A:$A,0)),"Uncategorized — Review"))</f>
        <v>Personal - Life Insurance</v>
      </c>
      <c r="J157" s="0" t="str">
        <f aca="false">IF($G157="","Uncategorized — Review",IFERROR(INDEX(Mapping!$C:$C,MATCH($G157,Mapping!$A:$A,0)),"Uncategorized — Review"))</f>
        <v>Personal — Owner</v>
      </c>
    </row>
    <row r="158" customFormat="false" ht="15" hidden="false" customHeight="false" outlineLevel="0" collapsed="false">
      <c r="A158" s="0" t="str">
        <f aca="false">Chase1168_2026!A158</f>
        <v>DEBIT</v>
      </c>
      <c r="B158" s="14" t="n">
        <f aca="false">Chase1168_2026!B158</f>
        <v>46140</v>
      </c>
      <c r="C158" s="0" t="str">
        <f aca="false">Chase1168_2026!C158</f>
        <v>Online Transfer to CHK ...1117 transaction#: 28993634559 04/28</v>
      </c>
      <c r="D158" s="7" t="n">
        <f aca="false">Chase1168_2026!D158</f>
        <v>-2000</v>
      </c>
      <c r="E158" s="0" t="str">
        <f aca="false">Chase1168_2026!E158</f>
        <v>ACCT_XFER</v>
      </c>
      <c r="F158" s="7" t="n">
        <f aca="false">Chase1168_2026!F158</f>
        <v>6130.29</v>
      </c>
      <c r="G158" s="0" t="str">
        <f aca="false">Chase1168_2026!G158</f>
        <v>Transfer to Angela Dunning</v>
      </c>
      <c r="H158" s="15" t="n">
        <f aca="false">IF($B158="","",DATE(YEAR($B158),MONTH($B158),1))</f>
        <v>46113</v>
      </c>
      <c r="I158" s="0" t="str">
        <f aca="false">IF($G158="","Uncategorized — Review",IFERROR(INDEX(Mapping!$B:$B,MATCH($G158,Mapping!$A:$A,0)),"Uncategorized — Review"))</f>
        <v>Transfer to Angela Dunning</v>
      </c>
      <c r="J158" s="0" t="str">
        <f aca="false">IF($G158="","Uncategorized — Review",IFERROR(INDEX(Mapping!$C:$C,MATCH($G158,Mapping!$A:$A,0)),"Uncategorized — Review"))</f>
        <v>Owner / Family Distributions</v>
      </c>
    </row>
    <row r="159" customFormat="false" ht="15" hidden="false" customHeight="false" outlineLevel="0" collapsed="false">
      <c r="A159" s="0" t="str">
        <f aca="false">Chase1168_2026!A159</f>
        <v>DEBIT</v>
      </c>
      <c r="B159" s="14" t="n">
        <f aca="false">Chase1168_2026!B159</f>
        <v>46140</v>
      </c>
      <c r="C159" s="0" t="str">
        <f aca="false">Chase1168_2026!C159</f>
        <v>PAYPAL *RUTHALCANCI 402-935-7733 CA          04/28</v>
      </c>
      <c r="D159" s="7" t="n">
        <f aca="false">Chase1168_2026!D159</f>
        <v>-252.21</v>
      </c>
      <c r="E159" s="0" t="str">
        <f aca="false">Chase1168_2026!E159</f>
        <v>DEBIT_CARD</v>
      </c>
      <c r="F159" s="7" t="n">
        <f aca="false">Chase1168_2026!F159</f>
        <v>8130.29</v>
      </c>
      <c r="G159" s="0" t="str">
        <f aca="false">Chase1168_2026!G159</f>
        <v>Ruth Alcancia - Forward Bridge Payment</v>
      </c>
      <c r="H159" s="15" t="n">
        <f aca="false">IF($B159="","",DATE(YEAR($B159),MONTH($B159),1))</f>
        <v>46113</v>
      </c>
      <c r="I159" s="0" t="str">
        <f aca="false">IF($G159="","Uncategorized — Review",IFERROR(INDEX(Mapping!$B:$B,MATCH($G159,Mapping!$A:$A,0)),"Uncategorized — Review"))</f>
        <v>Ruth Alcancia - Forward Bridge Payment</v>
      </c>
      <c r="J159" s="0" t="str">
        <f aca="false">IF($G159="","Uncategorized — Review",IFERROR(INDEX(Mapping!$C:$C,MATCH($G159,Mapping!$A:$A,0)),"Uncategorized — Review"))</f>
        <v>Payroll &amp; Contractors</v>
      </c>
    </row>
    <row r="160" customFormat="false" ht="15" hidden="false" customHeight="false" outlineLevel="0" collapsed="false">
      <c r="A160" s="0" t="str">
        <f aca="false">Chase1168_2026!A160</f>
        <v>DEBIT</v>
      </c>
      <c r="B160" s="14" t="n">
        <f aca="false">Chase1168_2026!B160</f>
        <v>46139</v>
      </c>
      <c r="C160" s="0" t="str">
        <f aca="false">Chase1168_2026!C160</f>
        <v>Online Transfer to CHK ...0709 transaction#: 28990875134 04/27</v>
      </c>
      <c r="D160" s="7" t="n">
        <f aca="false">Chase1168_2026!D160</f>
        <v>-100</v>
      </c>
      <c r="E160" s="0" t="str">
        <f aca="false">Chase1168_2026!E160</f>
        <v>ACCT_XFER</v>
      </c>
      <c r="F160" s="7" t="n">
        <f aca="false">Chase1168_2026!F160</f>
        <v>8382.5</v>
      </c>
      <c r="G160" s="0" t="str">
        <f aca="false">Chase1168_2026!G160</f>
        <v>Transfer to DWG Capital Group_Savings</v>
      </c>
      <c r="H160" s="15" t="n">
        <f aca="false">IF($B160="","",DATE(YEAR($B160),MONTH($B160),1))</f>
        <v>46113</v>
      </c>
      <c r="I160" s="0" t="str">
        <f aca="false">IF($G160="","Uncategorized — Review",IFERROR(INDEX(Mapping!$B:$B,MATCH($G160,Mapping!$A:$A,0)),"Uncategorized — Review"))</f>
        <v>Transfer to DWG Savings</v>
      </c>
      <c r="J160" s="0" t="str">
        <f aca="false">IF($G160="","Uncategorized — Review",IFERROR(INDEX(Mapping!$C:$C,MATCH($G160,Mapping!$A:$A,0)),"Uncategorized — Review"))</f>
        <v>Intercompany &amp; Savings Transfers</v>
      </c>
    </row>
    <row r="161" customFormat="false" ht="15" hidden="false" customHeight="false" outlineLevel="0" collapsed="false">
      <c r="A161" s="0" t="str">
        <f aca="false">Chase1168_2026!A161</f>
        <v>DEBIT</v>
      </c>
      <c r="B161" s="14" t="n">
        <f aca="false">Chase1168_2026!B161</f>
        <v>46139</v>
      </c>
      <c r="C161" s="0" t="str">
        <f aca="false">Chase1168_2026!C161</f>
        <v>ORIG CO NAME:INTUIT *               ORIG ID:0000756346 DESC DATE:260427 CO ENTRY DESCR:QBooks OnlSEC:CCD    TRACE#:021000025208866 EED:260427   IND ID:0207602                      IND NAME:DWG CAPITAL GROUP                                                                                            800-446-8848 TRN: 1175208866TC</v>
      </c>
      <c r="D161" s="7" t="n">
        <f aca="false">Chase1168_2026!D161</f>
        <v>-121.21</v>
      </c>
      <c r="E161" s="0" t="str">
        <f aca="false">Chase1168_2026!E161</f>
        <v>ACH_DEBIT</v>
      </c>
      <c r="F161" s="7" t="n">
        <f aca="false">Chase1168_2026!F161</f>
        <v>8482.5</v>
      </c>
      <c r="G161" s="0" t="str">
        <f aca="false">Chase1168_2026!G161</f>
        <v>Software/Accounting</v>
      </c>
      <c r="H161" s="15" t="n">
        <f aca="false">IF($B161="","",DATE(YEAR($B161),MONTH($B161),1))</f>
        <v>46113</v>
      </c>
      <c r="I161" s="0" t="str">
        <f aca="false">IF($G161="","Uncategorized — Review",IFERROR(INDEX(Mapping!$B:$B,MATCH($G161,Mapping!$A:$A,0)),"Uncategorized — Review"))</f>
        <v>Software/Accounting</v>
      </c>
      <c r="J161" s="0" t="str">
        <f aca="false">IF($G161="","Uncategorized — Review",IFERROR(INDEX(Mapping!$C:$C,MATCH($G161,Mapping!$A:$A,0)),"Uncategorized — Review"))</f>
        <v>DWG Operating</v>
      </c>
    </row>
    <row r="162" customFormat="false" ht="15" hidden="false" customHeight="false" outlineLevel="0" collapsed="false">
      <c r="A162" s="0" t="str">
        <f aca="false">Chase1168_2026!A162</f>
        <v>DEBIT</v>
      </c>
      <c r="B162" s="14" t="n">
        <f aca="false">Chase1168_2026!B162</f>
        <v>46139</v>
      </c>
      <c r="C162" s="0" t="str">
        <f aca="false">Chase1168_2026!C162</f>
        <v>DNH*GODADDY#4074140861 480-5058855 AZ        04/27</v>
      </c>
      <c r="D162" s="7" t="n">
        <f aca="false">Chase1168_2026!D162</f>
        <v>-17.98</v>
      </c>
      <c r="E162" s="0" t="str">
        <f aca="false">Chase1168_2026!E162</f>
        <v>DEBIT_CARD</v>
      </c>
      <c r="F162" s="7" t="n">
        <f aca="false">Chase1168_2026!F162</f>
        <v>8603.71</v>
      </c>
      <c r="G162" s="0" t="str">
        <f aca="false">Chase1168_2026!G162</f>
        <v>Go Daddy</v>
      </c>
      <c r="H162" s="15" t="n">
        <f aca="false">IF($B162="","",DATE(YEAR($B162),MONTH($B162),1))</f>
        <v>46113</v>
      </c>
      <c r="I162" s="0" t="str">
        <f aca="false">IF($G162="","Uncategorized — Review",IFERROR(INDEX(Mapping!$B:$B,MATCH($G162,Mapping!$A:$A,0)),"Uncategorized — Review"))</f>
        <v>Go Daddy</v>
      </c>
      <c r="J162" s="0" t="str">
        <f aca="false">IF($G162="","Uncategorized — Review",IFERROR(INDEX(Mapping!$C:$C,MATCH($G162,Mapping!$A:$A,0)),"Uncategorized — Review"))</f>
        <v>DWG Operating</v>
      </c>
    </row>
    <row r="163" customFormat="false" ht="15" hidden="false" customHeight="false" outlineLevel="0" collapsed="false">
      <c r="A163" s="0" t="str">
        <f aca="false">Chase1168_2026!A163</f>
        <v>DEBIT</v>
      </c>
      <c r="B163" s="14" t="n">
        <f aca="false">Chase1168_2026!B163</f>
        <v>46139</v>
      </c>
      <c r="C163" s="0" t="str">
        <f aca="false">Chase1168_2026!C163</f>
        <v>Basic Online Payroll Payment 11215871738 to ########4122</v>
      </c>
      <c r="D163" s="7" t="n">
        <f aca="false">Chase1168_2026!D163</f>
        <v>-1750</v>
      </c>
      <c r="E163" s="0" t="str">
        <f aca="false">Chase1168_2026!E163</f>
        <v>BASIC_PAYROLL</v>
      </c>
      <c r="F163" s="7" t="n">
        <f aca="false">Chase1168_2026!F163</f>
        <v>8621.69</v>
      </c>
      <c r="G163" s="0" t="str">
        <f aca="false">Chase1168_2026!G163</f>
        <v>Mike Paytonjian - Payroll</v>
      </c>
      <c r="H163" s="15" t="n">
        <f aca="false">IF($B163="","",DATE(YEAR($B163),MONTH($B163),1))</f>
        <v>46113</v>
      </c>
      <c r="I163" s="0" t="str">
        <f aca="false">IF($G163="","Uncategorized — Review",IFERROR(INDEX(Mapping!$B:$B,MATCH($G163,Mapping!$A:$A,0)),"Uncategorized — Review"))</f>
        <v>Mike Paytonjian - Payroll</v>
      </c>
      <c r="J163" s="0" t="str">
        <f aca="false">IF($G163="","Uncategorized — Review",IFERROR(INDEX(Mapping!$C:$C,MATCH($G163,Mapping!$A:$A,0)),"Uncategorized — Review"))</f>
        <v>Payroll &amp; Contractors</v>
      </c>
    </row>
    <row r="164" customFormat="false" ht="15" hidden="false" customHeight="false" outlineLevel="0" collapsed="false">
      <c r="A164" s="0" t="str">
        <f aca="false">Chase1168_2026!A164</f>
        <v>DEBIT</v>
      </c>
      <c r="B164" s="14" t="n">
        <f aca="false">Chase1168_2026!B164</f>
        <v>46139</v>
      </c>
      <c r="C164" s="0" t="str">
        <f aca="false">Chase1168_2026!C164</f>
        <v>ORIG CO NAME:VENMO                  ORIG ID:3264681992 DESC DATE:260425 CO ENTRY DESCR:PAYMENT   SEC:WEB    TRACE#:021000028608910 EED:260427   IND ID:1049840986680                IND NAME:JUDD DUNNING                                                                                                 260425PPZF9K TRN: 1178608910TC</v>
      </c>
      <c r="D164" s="7" t="n">
        <f aca="false">Chase1168_2026!D164</f>
        <v>-100</v>
      </c>
      <c r="E164" s="0" t="str">
        <f aca="false">Chase1168_2026!E164</f>
        <v>ACH_DEBIT</v>
      </c>
      <c r="F164" s="7" t="n">
        <f aca="false">Chase1168_2026!F164</f>
        <v>10371.69</v>
      </c>
      <c r="G164" s="0" t="str">
        <f aca="false">Chase1168_2026!G164</f>
        <v>Venmo</v>
      </c>
      <c r="H164" s="15" t="n">
        <f aca="false">IF($B164="","",DATE(YEAR($B164),MONTH($B164),1))</f>
        <v>46113</v>
      </c>
      <c r="I164" s="0" t="str">
        <f aca="false">IF($G164="","Uncategorized — Review",IFERROR(INDEX(Mapping!$B:$B,MATCH($G164,Mapping!$A:$A,0)),"Uncategorized — Review"))</f>
        <v>Venmo</v>
      </c>
      <c r="J164" s="0" t="str">
        <f aca="false">IF($G164="","Uncategorized — Review",IFERROR(INDEX(Mapping!$C:$C,MATCH($G164,Mapping!$A:$A,0)),"Uncategorized — Review"))</f>
        <v>P2P Payments (Zelle/Venmo/PayPal)</v>
      </c>
    </row>
    <row r="165" customFormat="false" ht="15" hidden="false" customHeight="false" outlineLevel="0" collapsed="false">
      <c r="A165" s="0" t="str">
        <f aca="false">Chase1168_2026!A165</f>
        <v>DEBIT</v>
      </c>
      <c r="B165" s="14" t="n">
        <f aca="false">Chase1168_2026!B165</f>
        <v>46139</v>
      </c>
      <c r="C165" s="0" t="str">
        <f aca="false">Chase1168_2026!C165</f>
        <v>Disney Plus 888-9057888 CA                   04/26</v>
      </c>
      <c r="D165" s="7" t="n">
        <f aca="false">Chase1168_2026!D165</f>
        <v>-20.51</v>
      </c>
      <c r="E165" s="0" t="str">
        <f aca="false">Chase1168_2026!E165</f>
        <v>DEBIT_CARD</v>
      </c>
      <c r="F165" s="7" t="n">
        <f aca="false">Chase1168_2026!F165</f>
        <v>10471.69</v>
      </c>
      <c r="G165" s="0" t="str">
        <f aca="false">Chase1168_2026!G165</f>
        <v>Personal - Subscriptions</v>
      </c>
      <c r="H165" s="15" t="n">
        <f aca="false">IF($B165="","",DATE(YEAR($B165),MONTH($B165),1))</f>
        <v>46113</v>
      </c>
      <c r="I165" s="0" t="str">
        <f aca="false">IF($G165="","Uncategorized — Review",IFERROR(INDEX(Mapping!$B:$B,MATCH($G165,Mapping!$A:$A,0)),"Uncategorized — Review"))</f>
        <v>Personal - Subscriptions</v>
      </c>
      <c r="J165" s="0" t="str">
        <f aca="false">IF($G165="","Uncategorized — Review",IFERROR(INDEX(Mapping!$C:$C,MATCH($G165,Mapping!$A:$A,0)),"Uncategorized — Review"))</f>
        <v>Personal — Owner</v>
      </c>
    </row>
    <row r="166" customFormat="false" ht="15" hidden="false" customHeight="false" outlineLevel="0" collapsed="false">
      <c r="A166" s="0" t="str">
        <f aca="false">Chase1168_2026!A166</f>
        <v>DEBIT</v>
      </c>
      <c r="B166" s="14" t="n">
        <f aca="false">Chase1168_2026!B166</f>
        <v>46139</v>
      </c>
      <c r="C166" s="0" t="str">
        <f aca="false">Chase1168_2026!C166</f>
        <v>DNH*GODADDY#4072993950 480-5058855 AZ        04/25</v>
      </c>
      <c r="D166" s="7" t="n">
        <f aca="false">Chase1168_2026!D166</f>
        <v>-16.98</v>
      </c>
      <c r="E166" s="0" t="str">
        <f aca="false">Chase1168_2026!E166</f>
        <v>DEBIT_CARD</v>
      </c>
      <c r="F166" s="7" t="n">
        <f aca="false">Chase1168_2026!F166</f>
        <v>10492.2</v>
      </c>
      <c r="G166" s="0" t="str">
        <f aca="false">Chase1168_2026!G166</f>
        <v>Go Daddy</v>
      </c>
      <c r="H166" s="15" t="n">
        <f aca="false">IF($B166="","",DATE(YEAR($B166),MONTH($B166),1))</f>
        <v>46113</v>
      </c>
      <c r="I166" s="0" t="str">
        <f aca="false">IF($G166="","Uncategorized — Review",IFERROR(INDEX(Mapping!$B:$B,MATCH($G166,Mapping!$A:$A,0)),"Uncategorized — Review"))</f>
        <v>Go Daddy</v>
      </c>
      <c r="J166" s="0" t="str">
        <f aca="false">IF($G166="","Uncategorized — Review",IFERROR(INDEX(Mapping!$C:$C,MATCH($G166,Mapping!$A:$A,0)),"Uncategorized — Review"))</f>
        <v>DWG Operating</v>
      </c>
    </row>
    <row r="167" customFormat="false" ht="15" hidden="false" customHeight="false" outlineLevel="0" collapsed="false">
      <c r="A167" s="0" t="str">
        <f aca="false">Chase1168_2026!A167</f>
        <v>DEBIT</v>
      </c>
      <c r="B167" s="14" t="n">
        <f aca="false">Chase1168_2026!B167</f>
        <v>46139</v>
      </c>
      <c r="C167" s="0" t="str">
        <f aca="false">Chase1168_2026!C167</f>
        <v>DNH*GODADDY.COM TEMPE AZ             064092  04/25</v>
      </c>
      <c r="D167" s="7" t="n">
        <f aca="false">Chase1168_2026!D167</f>
        <v>-479.64</v>
      </c>
      <c r="E167" s="0" t="str">
        <f aca="false">Chase1168_2026!E167</f>
        <v>DEBIT_CARD</v>
      </c>
      <c r="F167" s="7" t="n">
        <f aca="false">Chase1168_2026!F167</f>
        <v>10509.18</v>
      </c>
      <c r="G167" s="0" t="str">
        <f aca="false">Chase1168_2026!G167</f>
        <v>Go Daddy</v>
      </c>
      <c r="H167" s="15" t="n">
        <f aca="false">IF($B167="","",DATE(YEAR($B167),MONTH($B167),1))</f>
        <v>46113</v>
      </c>
      <c r="I167" s="0" t="str">
        <f aca="false">IF($G167="","Uncategorized — Review",IFERROR(INDEX(Mapping!$B:$B,MATCH($G167,Mapping!$A:$A,0)),"Uncategorized — Review"))</f>
        <v>Go Daddy</v>
      </c>
      <c r="J167" s="0" t="str">
        <f aca="false">IF($G167="","Uncategorized — Review",IFERROR(INDEX(Mapping!$C:$C,MATCH($G167,Mapping!$A:$A,0)),"Uncategorized — Review"))</f>
        <v>DWG Operating</v>
      </c>
    </row>
    <row r="168" customFormat="false" ht="15" hidden="false" customHeight="false" outlineLevel="0" collapsed="false">
      <c r="A168" s="0" t="str">
        <f aca="false">Chase1168_2026!A168</f>
        <v>DEBIT</v>
      </c>
      <c r="B168" s="14" t="n">
        <f aca="false">Chase1168_2026!B168</f>
        <v>46139</v>
      </c>
      <c r="C168" s="0" t="str">
        <f aca="false">Chase1168_2026!C168</f>
        <v>LA VEGAN PLACE LOS ANGELES CA                04/23</v>
      </c>
      <c r="D168" s="7" t="n">
        <f aca="false">Chase1168_2026!D168</f>
        <v>-68.36</v>
      </c>
      <c r="E168" s="0" t="str">
        <f aca="false">Chase1168_2026!E168</f>
        <v>DEBIT_CARD</v>
      </c>
      <c r="F168" s="7" t="n">
        <f aca="false">Chase1168_2026!F168</f>
        <v>10988.82</v>
      </c>
      <c r="G168" s="0" t="str">
        <f aca="false">Chase1168_2026!G168</f>
        <v>Personal - Food</v>
      </c>
      <c r="H168" s="15" t="n">
        <f aca="false">IF($B168="","",DATE(YEAR($B168),MONTH($B168),1))</f>
        <v>46113</v>
      </c>
      <c r="I168" s="0" t="str">
        <f aca="false">IF($G168="","Uncategorized — Review",IFERROR(INDEX(Mapping!$B:$B,MATCH($G168,Mapping!$A:$A,0)),"Uncategorized — Review"))</f>
        <v>Personal - Food &amp; Dining</v>
      </c>
      <c r="J168" s="0" t="str">
        <f aca="false">IF($G168="","Uncategorized — Review",IFERROR(INDEX(Mapping!$C:$C,MATCH($G168,Mapping!$A:$A,0)),"Uncategorized — Review"))</f>
        <v>Personal — Owner</v>
      </c>
    </row>
    <row r="169" customFormat="false" ht="15" hidden="false" customHeight="false" outlineLevel="0" collapsed="false">
      <c r="A169" s="0" t="str">
        <f aca="false">Chase1168_2026!A169</f>
        <v>DEBIT</v>
      </c>
      <c r="B169" s="14" t="n">
        <f aca="false">Chase1168_2026!B169</f>
        <v>46136</v>
      </c>
      <c r="C169" s="0" t="str">
        <f aca="false">Chase1168_2026!C169</f>
        <v>ORIG CO NAME:VENMO                  ORIG ID:3264681992 DESC DATE:260424 CO ENTRY DESCR:PAYMENT   SEC:WEB    TRACE#:021000024822730 EED:260424   IND ID:1049834086881                IND NAME:JUDD DUNNING                                                                                                 260424PPZE9V TRN: 1144822730TC</v>
      </c>
      <c r="D169" s="7" t="n">
        <f aca="false">Chase1168_2026!D169</f>
        <v>-150</v>
      </c>
      <c r="E169" s="0" t="str">
        <f aca="false">Chase1168_2026!E169</f>
        <v>ACH_DEBIT</v>
      </c>
      <c r="F169" s="7" t="n">
        <f aca="false">Chase1168_2026!F169</f>
        <v>11057.18</v>
      </c>
      <c r="G169" s="0" t="str">
        <f aca="false">Chase1168_2026!G169</f>
        <v>Venmo</v>
      </c>
      <c r="H169" s="15" t="n">
        <f aca="false">IF($B169="","",DATE(YEAR($B169),MONTH($B169),1))</f>
        <v>46113</v>
      </c>
      <c r="I169" s="0" t="str">
        <f aca="false">IF($G169="","Uncategorized — Review",IFERROR(INDEX(Mapping!$B:$B,MATCH($G169,Mapping!$A:$A,0)),"Uncategorized — Review"))</f>
        <v>Venmo</v>
      </c>
      <c r="J169" s="0" t="str">
        <f aca="false">IF($G169="","Uncategorized — Review",IFERROR(INDEX(Mapping!$C:$C,MATCH($G169,Mapping!$A:$A,0)),"Uncategorized — Review"))</f>
        <v>P2P Payments (Zelle/Venmo/PayPal)</v>
      </c>
    </row>
    <row r="170" customFormat="false" ht="15" hidden="false" customHeight="false" outlineLevel="0" collapsed="false">
      <c r="A170" s="0" t="str">
        <f aca="false">Chase1168_2026!A170</f>
        <v>DEBIT</v>
      </c>
      <c r="B170" s="14" t="n">
        <f aca="false">Chase1168_2026!B170</f>
        <v>46136</v>
      </c>
      <c r="C170" s="0" t="str">
        <f aca="false">Chase1168_2026!C170</f>
        <v>SQ *THE WILTERN</v>
      </c>
      <c r="D170" s="7" t="n">
        <f aca="false">Chase1168_2026!D170</f>
        <v>-27.45</v>
      </c>
      <c r="E170" s="0" t="str">
        <f aca="false">Chase1168_2026!E170</f>
        <v>DEBIT_CARD</v>
      </c>
      <c r="F170" s="7" t="n">
        <f aca="false">Chase1168_2026!F170</f>
        <v>11207.18</v>
      </c>
      <c r="G170" s="0" t="str">
        <f aca="false">Chase1168_2026!G170</f>
        <v>Personal - Entertainment</v>
      </c>
      <c r="H170" s="15" t="n">
        <f aca="false">IF($B170="","",DATE(YEAR($B170),MONTH($B170),1))</f>
        <v>46113</v>
      </c>
      <c r="I170" s="0" t="str">
        <f aca="false">IF($G170="","Uncategorized — Review",IFERROR(INDEX(Mapping!$B:$B,MATCH($G170,Mapping!$A:$A,0)),"Uncategorized — Review"))</f>
        <v>Personal - Entertainment</v>
      </c>
      <c r="J170" s="0" t="str">
        <f aca="false">IF($G170="","Uncategorized — Review",IFERROR(INDEX(Mapping!$C:$C,MATCH($G170,Mapping!$A:$A,0)),"Uncategorized — Review"))</f>
        <v>Personal — Owner</v>
      </c>
    </row>
    <row r="171" customFormat="false" ht="15" hidden="false" customHeight="false" outlineLevel="0" collapsed="false">
      <c r="A171" s="0" t="str">
        <f aca="false">Chase1168_2026!A171</f>
        <v>DEBIT</v>
      </c>
      <c r="B171" s="14" t="n">
        <f aca="false">Chase1168_2026!B171</f>
        <v>46136</v>
      </c>
      <c r="C171" s="0" t="str">
        <f aca="false">Chase1168_2026!C171</f>
        <v>SQ *THE WILTERN (BAR-0 Los Angeles CA        04/23</v>
      </c>
      <c r="D171" s="7" t="n">
        <f aca="false">Chase1168_2026!D171</f>
        <v>-9.22</v>
      </c>
      <c r="E171" s="0" t="str">
        <f aca="false">Chase1168_2026!E171</f>
        <v>DEBIT_CARD</v>
      </c>
      <c r="F171" s="7" t="n">
        <f aca="false">Chase1168_2026!F171</f>
        <v>11234.63</v>
      </c>
      <c r="G171" s="0" t="str">
        <f aca="false">Chase1168_2026!G171</f>
        <v>Personal - Entertainment</v>
      </c>
      <c r="H171" s="15" t="n">
        <f aca="false">IF($B171="","",DATE(YEAR($B171),MONTH($B171),1))</f>
        <v>46113</v>
      </c>
      <c r="I171" s="0" t="str">
        <f aca="false">IF($G171="","Uncategorized — Review",IFERROR(INDEX(Mapping!$B:$B,MATCH($G171,Mapping!$A:$A,0)),"Uncategorized — Review"))</f>
        <v>Personal - Entertainment</v>
      </c>
      <c r="J171" s="0" t="str">
        <f aca="false">IF($G171="","Uncategorized — Review",IFERROR(INDEX(Mapping!$C:$C,MATCH($G171,Mapping!$A:$A,0)),"Uncategorized — Review"))</f>
        <v>Personal — Owner</v>
      </c>
    </row>
    <row r="172" customFormat="false" ht="15" hidden="false" customHeight="false" outlineLevel="0" collapsed="false">
      <c r="A172" s="0" t="str">
        <f aca="false">Chase1168_2026!A172</f>
        <v>DEBIT</v>
      </c>
      <c r="B172" s="14" t="n">
        <f aca="false">Chase1168_2026!B172</f>
        <v>46136</v>
      </c>
      <c r="C172" s="0" t="str">
        <f aca="false">Chase1168_2026!C172</f>
        <v>Experian* ProtectMyID 866-5849446 CA         04/23</v>
      </c>
      <c r="D172" s="7" t="n">
        <f aca="false">Chase1168_2026!D172</f>
        <v>-17.95</v>
      </c>
      <c r="E172" s="0" t="str">
        <f aca="false">Chase1168_2026!E172</f>
        <v>DEBIT_CARD</v>
      </c>
      <c r="F172" s="7" t="n">
        <f aca="false">Chase1168_2026!F172</f>
        <v>11243.85</v>
      </c>
      <c r="G172" s="0" t="str">
        <f aca="false">Chase1168_2026!G172</f>
        <v>Personal - Subscriptions</v>
      </c>
      <c r="H172" s="15" t="n">
        <f aca="false">IF($B172="","",DATE(YEAR($B172),MONTH($B172),1))</f>
        <v>46113</v>
      </c>
      <c r="I172" s="0" t="str">
        <f aca="false">IF($G172="","Uncategorized — Review",IFERROR(INDEX(Mapping!$B:$B,MATCH($G172,Mapping!$A:$A,0)),"Uncategorized — Review"))</f>
        <v>Personal - Subscriptions</v>
      </c>
      <c r="J172" s="0" t="str">
        <f aca="false">IF($G172="","Uncategorized — Review",IFERROR(INDEX(Mapping!$C:$C,MATCH($G172,Mapping!$A:$A,0)),"Uncategorized — Review"))</f>
        <v>Personal — Owner</v>
      </c>
    </row>
    <row r="173" customFormat="false" ht="15" hidden="false" customHeight="false" outlineLevel="0" collapsed="false">
      <c r="A173" s="0" t="str">
        <f aca="false">Chase1168_2026!A173</f>
        <v>DEBIT</v>
      </c>
      <c r="B173" s="14" t="n">
        <f aca="false">Chase1168_2026!B173</f>
        <v>46136</v>
      </c>
      <c r="C173" s="0" t="str">
        <f aca="false">Chase1168_2026!C173</f>
        <v>DNH*GODADDY#4071285630 480-5058855 AZ        04/23</v>
      </c>
      <c r="D173" s="7" t="n">
        <f aca="false">Chase1168_2026!D173</f>
        <v>-43.97</v>
      </c>
      <c r="E173" s="0" t="str">
        <f aca="false">Chase1168_2026!E173</f>
        <v>DEBIT_CARD</v>
      </c>
      <c r="F173" s="7" t="n">
        <f aca="false">Chase1168_2026!F173</f>
        <v>11261.8</v>
      </c>
      <c r="G173" s="0" t="str">
        <f aca="false">Chase1168_2026!G173</f>
        <v>Go Daddy</v>
      </c>
      <c r="H173" s="15" t="n">
        <f aca="false">IF($B173="","",DATE(YEAR($B173),MONTH($B173),1))</f>
        <v>46113</v>
      </c>
      <c r="I173" s="0" t="str">
        <f aca="false">IF($G173="","Uncategorized — Review",IFERROR(INDEX(Mapping!$B:$B,MATCH($G173,Mapping!$A:$A,0)),"Uncategorized — Review"))</f>
        <v>Go Daddy</v>
      </c>
      <c r="J173" s="0" t="str">
        <f aca="false">IF($G173="","Uncategorized — Review",IFERROR(INDEX(Mapping!$C:$C,MATCH($G173,Mapping!$A:$A,0)),"Uncategorized — Review"))</f>
        <v>DWG Operating</v>
      </c>
    </row>
    <row r="174" customFormat="false" ht="15" hidden="false" customHeight="false" outlineLevel="0" collapsed="false">
      <c r="A174" s="0" t="str">
        <f aca="false">Chase1168_2026!A174</f>
        <v>DEBIT</v>
      </c>
      <c r="B174" s="14" t="n">
        <f aca="false">Chase1168_2026!B174</f>
        <v>46136</v>
      </c>
      <c r="C174" s="0" t="str">
        <f aca="false">Chase1168_2026!C174</f>
        <v>DNH*GODADDY#4071284900 480-5058855 AZ        04/23</v>
      </c>
      <c r="D174" s="7" t="n">
        <f aca="false">Chase1168_2026!D174</f>
        <v>-40.18</v>
      </c>
      <c r="E174" s="0" t="str">
        <f aca="false">Chase1168_2026!E174</f>
        <v>DEBIT_CARD</v>
      </c>
      <c r="F174" s="7" t="n">
        <f aca="false">Chase1168_2026!F174</f>
        <v>11305.77</v>
      </c>
      <c r="G174" s="0" t="str">
        <f aca="false">Chase1168_2026!G174</f>
        <v>Go Daddy</v>
      </c>
      <c r="H174" s="15" t="n">
        <f aca="false">IF($B174="","",DATE(YEAR($B174),MONTH($B174),1))</f>
        <v>46113</v>
      </c>
      <c r="I174" s="0" t="str">
        <f aca="false">IF($G174="","Uncategorized — Review",IFERROR(INDEX(Mapping!$B:$B,MATCH($G174,Mapping!$A:$A,0)),"Uncategorized — Review"))</f>
        <v>Go Daddy</v>
      </c>
      <c r="J174" s="0" t="str">
        <f aca="false">IF($G174="","Uncategorized — Review",IFERROR(INDEX(Mapping!$C:$C,MATCH($G174,Mapping!$A:$A,0)),"Uncategorized — Review"))</f>
        <v>DWG Operating</v>
      </c>
    </row>
    <row r="175" customFormat="false" ht="15" hidden="false" customHeight="false" outlineLevel="0" collapsed="false">
      <c r="A175" s="0" t="str">
        <f aca="false">Chase1168_2026!A175</f>
        <v>DEBIT</v>
      </c>
      <c r="B175" s="14" t="n">
        <f aca="false">Chase1168_2026!B175</f>
        <v>46135</v>
      </c>
      <c r="C175" s="0" t="str">
        <f aca="false">Chase1168_2026!C175</f>
        <v>ONLINE FX INTERNATIONAL WIRE FEE</v>
      </c>
      <c r="D175" s="7" t="n">
        <f aca="false">Chase1168_2026!D175</f>
        <v>-5</v>
      </c>
      <c r="E175" s="0" t="str">
        <f aca="false">Chase1168_2026!E175</f>
        <v>FEE_TRANSACTION</v>
      </c>
      <c r="F175" s="7" t="n">
        <f aca="false">Chase1168_2026!F175</f>
        <v>11345.95</v>
      </c>
      <c r="G175" s="0" t="str">
        <f aca="false">Chase1168_2026!G175</f>
        <v>Andres Alarcon Payroll</v>
      </c>
      <c r="H175" s="15" t="n">
        <f aca="false">IF($B175="","",DATE(YEAR($B175),MONTH($B175),1))</f>
        <v>46113</v>
      </c>
      <c r="I175" s="0" t="str">
        <f aca="false">IF($G175="","Uncategorized — Review",IFERROR(INDEX(Mapping!$B:$B,MATCH($G175,Mapping!$A:$A,0)),"Uncategorized — Review"))</f>
        <v>Andres Alarcon Payroll</v>
      </c>
      <c r="J175" s="0" t="str">
        <f aca="false">IF($G175="","Uncategorized — Review",IFERROR(INDEX(Mapping!$C:$C,MATCH($G175,Mapping!$A:$A,0)),"Uncategorized — Review"))</f>
        <v>Payroll &amp; Contractors</v>
      </c>
    </row>
    <row r="176" customFormat="false" ht="15" hidden="false" customHeight="false" outlineLevel="0" collapsed="false">
      <c r="A176" s="0" t="str">
        <f aca="false">Chase1168_2026!A176</f>
        <v>DEBIT</v>
      </c>
      <c r="B176" s="14" t="n">
        <f aca="false">Chase1168_2026!B176</f>
        <v>46135</v>
      </c>
      <c r="C176" s="0" t="str">
        <f aca="false">Chase1168_2026!C176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PAYMENTS/OCMT/COP25 46788,35/EXCH/3395.7178/CNTR/305787 05/INT/ANDRES_52763ATHOTMAIL.C TRN: 4827000113RE 04/23</v>
      </c>
      <c r="D176" s="7" t="n">
        <f aca="false">Chase1168_2026!D176</f>
        <v>-750</v>
      </c>
      <c r="E176" s="0" t="str">
        <f aca="false">Chase1168_2026!E176</f>
        <v>WIRE_OUTGOING</v>
      </c>
      <c r="F176" s="7" t="n">
        <f aca="false">Chase1168_2026!F176</f>
        <v>11350.95</v>
      </c>
      <c r="G176" s="0" t="str">
        <f aca="false">Chase1168_2026!G176</f>
        <v>Andres Alarcon Payroll</v>
      </c>
      <c r="H176" s="15" t="n">
        <f aca="false">IF($B176="","",DATE(YEAR($B176),MONTH($B176),1))</f>
        <v>46113</v>
      </c>
      <c r="I176" s="0" t="str">
        <f aca="false">IF($G176="","Uncategorized — Review",IFERROR(INDEX(Mapping!$B:$B,MATCH($G176,Mapping!$A:$A,0)),"Uncategorized — Review"))</f>
        <v>Andres Alarcon Payroll</v>
      </c>
      <c r="J176" s="0" t="str">
        <f aca="false">IF($G176="","Uncategorized — Review",IFERROR(INDEX(Mapping!$C:$C,MATCH($G176,Mapping!$A:$A,0)),"Uncategorized — Review"))</f>
        <v>Payroll &amp; Contractors</v>
      </c>
    </row>
    <row r="177" customFormat="false" ht="15" hidden="false" customHeight="false" outlineLevel="0" collapsed="false">
      <c r="A177" s="0" t="str">
        <f aca="false">Chase1168_2026!A177</f>
        <v>DEBIT</v>
      </c>
      <c r="B177" s="14" t="n">
        <f aca="false">Chase1168_2026!B177</f>
        <v>46135</v>
      </c>
      <c r="C177" s="0" t="str">
        <f aca="false">Chase1168_2026!C177</f>
        <v>Online Transfer to CHK ...1117 transaction#: 28931879433 04/23</v>
      </c>
      <c r="D177" s="7" t="n">
        <f aca="false">Chase1168_2026!D177</f>
        <v>-5000</v>
      </c>
      <c r="E177" s="0" t="str">
        <f aca="false">Chase1168_2026!E177</f>
        <v>ACCT_XFER</v>
      </c>
      <c r="F177" s="7" t="n">
        <f aca="false">Chase1168_2026!F177</f>
        <v>12100.95</v>
      </c>
      <c r="G177" s="0" t="str">
        <f aca="false">Chase1168_2026!G177</f>
        <v>Transfer to Angela Dunning</v>
      </c>
      <c r="H177" s="15" t="n">
        <f aca="false">IF($B177="","",DATE(YEAR($B177),MONTH($B177),1))</f>
        <v>46113</v>
      </c>
      <c r="I177" s="0" t="str">
        <f aca="false">IF($G177="","Uncategorized — Review",IFERROR(INDEX(Mapping!$B:$B,MATCH($G177,Mapping!$A:$A,0)),"Uncategorized — Review"))</f>
        <v>Transfer to Angela Dunning</v>
      </c>
      <c r="J177" s="0" t="str">
        <f aca="false">IF($G177="","Uncategorized — Review",IFERROR(INDEX(Mapping!$C:$C,MATCH($G177,Mapping!$A:$A,0)),"Uncategorized — Review"))</f>
        <v>Owner / Family Distributions</v>
      </c>
    </row>
    <row r="178" customFormat="false" ht="15" hidden="false" customHeight="false" outlineLevel="0" collapsed="false">
      <c r="A178" s="0" t="str">
        <f aca="false">Chase1168_2026!A178</f>
        <v>DEBIT</v>
      </c>
      <c r="B178" s="14" t="n">
        <f aca="false">Chase1168_2026!B178</f>
        <v>46135</v>
      </c>
      <c r="C178" s="0" t="str">
        <f aca="false">Chase1168_2026!C178</f>
        <v>TST*BLUEYS KITCHEN MAR Los Angeles CA        04/22</v>
      </c>
      <c r="D178" s="7" t="n">
        <f aca="false">Chase1168_2026!D178</f>
        <v>-112.43</v>
      </c>
      <c r="E178" s="0" t="str">
        <f aca="false">Chase1168_2026!E178</f>
        <v>DEBIT_CARD</v>
      </c>
      <c r="F178" s="7" t="n">
        <f aca="false">Chase1168_2026!F178</f>
        <v>17100.95</v>
      </c>
      <c r="G178" s="0" t="str">
        <f aca="false">Chase1168_2026!G178</f>
        <v>Team Lunch</v>
      </c>
      <c r="H178" s="15" t="n">
        <f aca="false">IF($B178="","",DATE(YEAR($B178),MONTH($B178),1))</f>
        <v>46113</v>
      </c>
      <c r="I178" s="0" t="str">
        <f aca="false">IF($G178="","Uncategorized — Review",IFERROR(INDEX(Mapping!$B:$B,MATCH($G178,Mapping!$A:$A,0)),"Uncategorized — Review"))</f>
        <v>Team Lunch</v>
      </c>
      <c r="J178" s="0" t="str">
        <f aca="false">IF($G178="","Uncategorized — Review",IFERROR(INDEX(Mapping!$C:$C,MATCH($G178,Mapping!$A:$A,0)),"Uncategorized — Review"))</f>
        <v>DWG Operating</v>
      </c>
    </row>
    <row r="179" customFormat="false" ht="15" hidden="false" customHeight="false" outlineLevel="0" collapsed="false">
      <c r="A179" s="0" t="str">
        <f aca="false">Chase1168_2026!A179</f>
        <v>DEBIT</v>
      </c>
      <c r="B179" s="14" t="n">
        <f aca="false">Chase1168_2026!B179</f>
        <v>46135</v>
      </c>
      <c r="C179" s="0" t="str">
        <f aca="false">Chase1168_2026!C179</f>
        <v>SQ *ALANA'S COFFEE ROA Los Angeles CA        04/22</v>
      </c>
      <c r="D179" s="7" t="n">
        <f aca="false">Chase1168_2026!D179</f>
        <v>-6.49</v>
      </c>
      <c r="E179" s="0" t="str">
        <f aca="false">Chase1168_2026!E179</f>
        <v>DEBIT_CARD</v>
      </c>
      <c r="F179" s="7" t="n">
        <f aca="false">Chase1168_2026!F179</f>
        <v>17213.38</v>
      </c>
      <c r="G179" s="0" t="str">
        <f aca="false">Chase1168_2026!G179</f>
        <v>Personal - Food</v>
      </c>
      <c r="H179" s="15" t="n">
        <f aca="false">IF($B179="","",DATE(YEAR($B179),MONTH($B179),1))</f>
        <v>46113</v>
      </c>
      <c r="I179" s="0" t="str">
        <f aca="false">IF($G179="","Uncategorized — Review",IFERROR(INDEX(Mapping!$B:$B,MATCH($G179,Mapping!$A:$A,0)),"Uncategorized — Review"))</f>
        <v>Personal - Food &amp; Dining</v>
      </c>
      <c r="J179" s="0" t="str">
        <f aca="false">IF($G179="","Uncategorized — Review",IFERROR(INDEX(Mapping!$C:$C,MATCH($G179,Mapping!$A:$A,0)),"Uncategorized — Review"))</f>
        <v>Personal — Owner</v>
      </c>
    </row>
    <row r="180" customFormat="false" ht="15" hidden="false" customHeight="false" outlineLevel="0" collapsed="false">
      <c r="A180" s="0" t="str">
        <f aca="false">Chase1168_2026!A180</f>
        <v>DEBIT</v>
      </c>
      <c r="B180" s="14" t="n">
        <f aca="false">Chase1168_2026!B180</f>
        <v>46135</v>
      </c>
      <c r="C180" s="0" t="str">
        <f aca="false">Chase1168_2026!C180</f>
        <v>SQ *ALANA'S COFFEE ROA Los Angeles CA        04/22</v>
      </c>
      <c r="D180" s="7" t="n">
        <f aca="false">Chase1168_2026!D180</f>
        <v>-33.49</v>
      </c>
      <c r="E180" s="0" t="str">
        <f aca="false">Chase1168_2026!E180</f>
        <v>DEBIT_CARD</v>
      </c>
      <c r="F180" s="7" t="n">
        <f aca="false">Chase1168_2026!F180</f>
        <v>17219.87</v>
      </c>
      <c r="G180" s="0" t="str">
        <f aca="false">Chase1168_2026!G180</f>
        <v>Personal - Food</v>
      </c>
      <c r="H180" s="15" t="n">
        <f aca="false">IF($B180="","",DATE(YEAR($B180),MONTH($B180),1))</f>
        <v>46113</v>
      </c>
      <c r="I180" s="0" t="str">
        <f aca="false">IF($G180="","Uncategorized — Review",IFERROR(INDEX(Mapping!$B:$B,MATCH($G180,Mapping!$A:$A,0)),"Uncategorized — Review"))</f>
        <v>Personal - Food &amp; Dining</v>
      </c>
      <c r="J180" s="0" t="str">
        <f aca="false">IF($G180="","Uncategorized — Review",IFERROR(INDEX(Mapping!$C:$C,MATCH($G180,Mapping!$A:$A,0)),"Uncategorized — Review"))</f>
        <v>Personal — Owner</v>
      </c>
    </row>
    <row r="181" customFormat="false" ht="15" hidden="false" customHeight="false" outlineLevel="0" collapsed="false">
      <c r="A181" s="0" t="str">
        <f aca="false">Chase1168_2026!A181</f>
        <v>DEBIT</v>
      </c>
      <c r="B181" s="14" t="n">
        <f aca="false">Chase1168_2026!B181</f>
        <v>46135</v>
      </c>
      <c r="C181" s="0" t="str">
        <f aca="false">Chase1168_2026!C181</f>
        <v>DNH*GODADDY#4070583774 480-5058855 AZ        04/22</v>
      </c>
      <c r="D181" s="7" t="n">
        <f aca="false">Chase1168_2026!D181</f>
        <v>-250.02</v>
      </c>
      <c r="E181" s="0" t="str">
        <f aca="false">Chase1168_2026!E181</f>
        <v>DEBIT_CARD</v>
      </c>
      <c r="F181" s="7" t="n">
        <f aca="false">Chase1168_2026!F181</f>
        <v>17253.36</v>
      </c>
      <c r="G181" s="0" t="str">
        <f aca="false">Chase1168_2026!G181</f>
        <v>Go Daddy</v>
      </c>
      <c r="H181" s="15" t="n">
        <f aca="false">IF($B181="","",DATE(YEAR($B181),MONTH($B181),1))</f>
        <v>46113</v>
      </c>
      <c r="I181" s="0" t="str">
        <f aca="false">IF($G181="","Uncategorized — Review",IFERROR(INDEX(Mapping!$B:$B,MATCH($G181,Mapping!$A:$A,0)),"Uncategorized — Review"))</f>
        <v>Go Daddy</v>
      </c>
      <c r="J181" s="0" t="str">
        <f aca="false">IF($G181="","Uncategorized — Review",IFERROR(INDEX(Mapping!$C:$C,MATCH($G181,Mapping!$A:$A,0)),"Uncategorized — Review"))</f>
        <v>DWG Operating</v>
      </c>
    </row>
    <row r="182" customFormat="false" ht="15" hidden="false" customHeight="false" outlineLevel="0" collapsed="false">
      <c r="A182" s="0" t="str">
        <f aca="false">Chase1168_2026!A182</f>
        <v>CREDIT</v>
      </c>
      <c r="B182" s="14" t="n">
        <f aca="false">Chase1168_2026!B182</f>
        <v>46135</v>
      </c>
      <c r="C182" s="0" t="str">
        <f aca="false">Chase1168_2026!C182</f>
        <v>Online Transfer from CHK ...9335 transaction#: 28931902991</v>
      </c>
      <c r="D182" s="7" t="n">
        <f aca="false">Chase1168_2026!D182</f>
        <v>15000</v>
      </c>
      <c r="E182" s="0" t="str">
        <f aca="false">Chase1168_2026!E182</f>
        <v>ACCT_XFER</v>
      </c>
      <c r="F182" s="7" t="n">
        <f aca="false">Chase1168_2026!F182</f>
        <v>17503.38</v>
      </c>
      <c r="G182" s="0" t="str">
        <f aca="false">Chase1168_2026!G182</f>
        <v>Poseidon Asset Group (Incoming)</v>
      </c>
      <c r="H182" s="15" t="n">
        <f aca="false">IF($B182="","",DATE(YEAR($B182),MONTH($B182),1))</f>
        <v>46113</v>
      </c>
      <c r="I182" s="0" t="str">
        <f aca="false">IF($G182="","Uncategorized — Review",IFERROR(INDEX(Mapping!$B:$B,MATCH($G182,Mapping!$A:$A,0)),"Uncategorized — Review"))</f>
        <v>Poseidon Asset Group (Incoming)</v>
      </c>
      <c r="J182" s="0" t="str">
        <f aca="false">IF($G182="","Uncategorized — Review",IFERROR(INDEX(Mapping!$C:$C,MATCH($G182,Mapping!$A:$A,0)),"Uncategorized — Review"))</f>
        <v>Poseidon Asset Group</v>
      </c>
    </row>
    <row r="183" customFormat="false" ht="15" hidden="false" customHeight="false" outlineLevel="0" collapsed="false">
      <c r="A183" s="0" t="str">
        <f aca="false">Chase1168_2026!A183</f>
        <v>DEBIT</v>
      </c>
      <c r="B183" s="14" t="n">
        <f aca="false">Chase1168_2026!B183</f>
        <v>46134</v>
      </c>
      <c r="C183" s="0" t="str">
        <f aca="false">Chase1168_2026!C183</f>
        <v>NON-CHASE ATM FEE-WITH</v>
      </c>
      <c r="D183" s="7" t="n">
        <f aca="false">Chase1168_2026!D183</f>
        <v>-3</v>
      </c>
      <c r="E183" s="0" t="str">
        <f aca="false">Chase1168_2026!E183</f>
        <v>FEE_TRANSACTION</v>
      </c>
      <c r="F183" s="7" t="n">
        <f aca="false">Chase1168_2026!F183</f>
        <v>2503.38</v>
      </c>
      <c r="G183" s="0" t="str">
        <f aca="false">Chase1168_2026!G183</f>
        <v>Bank Fees</v>
      </c>
      <c r="H183" s="15" t="n">
        <f aca="false">IF($B183="","",DATE(YEAR($B183),MONTH($B183),1))</f>
        <v>46113</v>
      </c>
      <c r="I183" s="0" t="str">
        <f aca="false">IF($G183="","Uncategorized — Review",IFERROR(INDEX(Mapping!$B:$B,MATCH($G183,Mapping!$A:$A,0)),"Uncategorized — Review"))</f>
        <v>Bank Fees</v>
      </c>
      <c r="J183" s="0" t="str">
        <f aca="false">IF($G183="","Uncategorized — Review",IFERROR(INDEX(Mapping!$C:$C,MATCH($G183,Mapping!$A:$A,0)),"Uncategorized — Review"))</f>
        <v>DWG Operating</v>
      </c>
    </row>
    <row r="184" customFormat="false" ht="15" hidden="false" customHeight="false" outlineLevel="0" collapsed="false">
      <c r="A184" s="0" t="str">
        <f aca="false">Chase1168_2026!A184</f>
        <v>DEBIT</v>
      </c>
      <c r="B184" s="14" t="n">
        <f aca="false">Chase1168_2026!B184</f>
        <v>46134</v>
      </c>
      <c r="C184" s="0" t="str">
        <f aca="false">Chase1168_2026!C184</f>
        <v>NON-CHASE ATM WITHDRAW               342118  04/2212403 VEN</v>
      </c>
      <c r="D184" s="7" t="n">
        <f aca="false">Chase1168_2026!D184</f>
        <v>-103.95</v>
      </c>
      <c r="E184" s="0" t="str">
        <f aca="false">Chase1168_2026!E184</f>
        <v>ATM</v>
      </c>
      <c r="F184" s="7" t="n">
        <f aca="false">Chase1168_2026!F184</f>
        <v>2506.38</v>
      </c>
      <c r="G184" s="0" t="str">
        <f aca="false">Chase1168_2026!G184</f>
        <v>ATM/Cash</v>
      </c>
      <c r="H184" s="15" t="n">
        <f aca="false">IF($B184="","",DATE(YEAR($B184),MONTH($B184),1))</f>
        <v>46113</v>
      </c>
      <c r="I184" s="0" t="str">
        <f aca="false">IF($G184="","Uncategorized — Review",IFERROR(INDEX(Mapping!$B:$B,MATCH($G184,Mapping!$A:$A,0)),"Uncategorized — Review"))</f>
        <v>ATM/Cash</v>
      </c>
      <c r="J184" s="0" t="str">
        <f aca="false">IF($G184="","Uncategorized — Review",IFERROR(INDEX(Mapping!$C:$C,MATCH($G184,Mapping!$A:$A,0)),"Uncategorized — Review"))</f>
        <v>Uncategorized — Review</v>
      </c>
    </row>
    <row r="185" customFormat="false" ht="15" hidden="false" customHeight="false" outlineLevel="0" collapsed="false">
      <c r="A185" s="0" t="str">
        <f aca="false">Chase1168_2026!A185</f>
        <v>DEBIT</v>
      </c>
      <c r="B185" s="14" t="n">
        <f aca="false">Chase1168_2026!B185</f>
        <v>46134</v>
      </c>
      <c r="C185" s="0" t="str">
        <f aca="false">Chase1168_2026!C185</f>
        <v>INDIA'S OVEN LOS ANGELES CA                  04/21</v>
      </c>
      <c r="D185" s="7" t="n">
        <f aca="false">Chase1168_2026!D185</f>
        <v>-34.96</v>
      </c>
      <c r="E185" s="0" t="str">
        <f aca="false">Chase1168_2026!E185</f>
        <v>DEBIT_CARD</v>
      </c>
      <c r="F185" s="7" t="n">
        <f aca="false">Chase1168_2026!F185</f>
        <v>2610.33</v>
      </c>
      <c r="G185" s="0" t="str">
        <f aca="false">Chase1168_2026!G185</f>
        <v>Personal - Food</v>
      </c>
      <c r="H185" s="15" t="n">
        <f aca="false">IF($B185="","",DATE(YEAR($B185),MONTH($B185),1))</f>
        <v>46113</v>
      </c>
      <c r="I185" s="0" t="str">
        <f aca="false">IF($G185="","Uncategorized — Review",IFERROR(INDEX(Mapping!$B:$B,MATCH($G185,Mapping!$A:$A,0)),"Uncategorized — Review"))</f>
        <v>Personal - Food &amp; Dining</v>
      </c>
      <c r="J185" s="0" t="str">
        <f aca="false">IF($G185="","Uncategorized — Review",IFERROR(INDEX(Mapping!$C:$C,MATCH($G185,Mapping!$A:$A,0)),"Uncategorized — Review"))</f>
        <v>Personal — Owner</v>
      </c>
    </row>
    <row r="186" customFormat="false" ht="15" hidden="false" customHeight="false" outlineLevel="0" collapsed="false">
      <c r="A186" s="0" t="str">
        <f aca="false">Chase1168_2026!A186</f>
        <v>DEBIT</v>
      </c>
      <c r="B186" s="14" t="n">
        <f aca="false">Chase1168_2026!B186</f>
        <v>46134</v>
      </c>
      <c r="C186" s="0" t="str">
        <f aca="false">Chase1168_2026!C186</f>
        <v>COMPLETE EYE CARE CENT LOS ANGELES CA        04/21</v>
      </c>
      <c r="D186" s="7" t="n">
        <f aca="false">Chase1168_2026!D186</f>
        <v>-50</v>
      </c>
      <c r="E186" s="0" t="str">
        <f aca="false">Chase1168_2026!E186</f>
        <v>DEBIT_CARD</v>
      </c>
      <c r="F186" s="7" t="n">
        <f aca="false">Chase1168_2026!F186</f>
        <v>2645.29</v>
      </c>
      <c r="G186" s="0" t="str">
        <f aca="false">Chase1168_2026!G186</f>
        <v>Personal - Health</v>
      </c>
      <c r="H186" s="15" t="n">
        <f aca="false">IF($B186="","",DATE(YEAR($B186),MONTH($B186),1))</f>
        <v>46113</v>
      </c>
      <c r="I186" s="0" t="str">
        <f aca="false">IF($G186="","Uncategorized — Review",IFERROR(INDEX(Mapping!$B:$B,MATCH($G186,Mapping!$A:$A,0)),"Uncategorized — Review"))</f>
        <v>Personal - Health (incl. Ins.)</v>
      </c>
      <c r="J186" s="0" t="str">
        <f aca="false">IF($G186="","Uncategorized — Review",IFERROR(INDEX(Mapping!$C:$C,MATCH($G186,Mapping!$A:$A,0)),"Uncategorized — Review"))</f>
        <v>Personal — Owner</v>
      </c>
    </row>
    <row r="187" customFormat="false" ht="15" hidden="false" customHeight="false" outlineLevel="0" collapsed="false">
      <c r="A187" s="0" t="str">
        <f aca="false">Chase1168_2026!A187</f>
        <v>DEBIT</v>
      </c>
      <c r="B187" s="14" t="n">
        <f aca="false">Chase1168_2026!B187</f>
        <v>46134</v>
      </c>
      <c r="C187" s="0" t="str">
        <f aca="false">Chase1168_2026!C187</f>
        <v>STARBUCKS STORE 22640 LOS ANGELES CA         04/21</v>
      </c>
      <c r="D187" s="7" t="n">
        <f aca="false">Chase1168_2026!D187</f>
        <v>-5.25</v>
      </c>
      <c r="E187" s="0" t="str">
        <f aca="false">Chase1168_2026!E187</f>
        <v>DEBIT_CARD</v>
      </c>
      <c r="F187" s="7" t="n">
        <f aca="false">Chase1168_2026!F187</f>
        <v>2695.29</v>
      </c>
      <c r="G187" s="0" t="str">
        <f aca="false">Chase1168_2026!G187</f>
        <v>Meals/Dining</v>
      </c>
      <c r="H187" s="15" t="n">
        <f aca="false">IF($B187="","",DATE(YEAR($B187),MONTH($B187),1))</f>
        <v>46113</v>
      </c>
      <c r="I187" s="0" t="str">
        <f aca="false">IF($G187="","Uncategorized — Review",IFERROR(INDEX(Mapping!$B:$B,MATCH($G187,Mapping!$A:$A,0)),"Uncategorized — Review"))</f>
        <v>Personal - Food &amp; Dining</v>
      </c>
      <c r="J187" s="0" t="str">
        <f aca="false">IF($G187="","Uncategorized — Review",IFERROR(INDEX(Mapping!$C:$C,MATCH($G187,Mapping!$A:$A,0)),"Uncategorized — Review"))</f>
        <v>Personal — Owner</v>
      </c>
    </row>
    <row r="188" customFormat="false" ht="15" hidden="false" customHeight="false" outlineLevel="0" collapsed="false">
      <c r="A188" s="0" t="str">
        <f aca="false">Chase1168_2026!A188</f>
        <v>DEBIT</v>
      </c>
      <c r="B188" s="14" t="n">
        <f aca="false">Chase1168_2026!B188</f>
        <v>46133</v>
      </c>
      <c r="C188" s="0" t="str">
        <f aca="false">Chase1168_2026!C188</f>
        <v>ORIG CO NAME:VENMO                  ORIG ID:3264681992 DESC DATE:260421 CO ENTRY DESCR:PAYMENT   SEC:WEB    TRACE#:021000024216381 EED:260421   IND ID:1049766456242                IND NAME:JUDD DUNNING                                                                                                 260421PPZG9S TRN: 1114216381TC</v>
      </c>
      <c r="D188" s="7" t="n">
        <f aca="false">Chase1168_2026!D188</f>
        <v>-135</v>
      </c>
      <c r="E188" s="0" t="str">
        <f aca="false">Chase1168_2026!E188</f>
        <v>ACH_DEBIT</v>
      </c>
      <c r="F188" s="7" t="n">
        <f aca="false">Chase1168_2026!F188</f>
        <v>2700.54</v>
      </c>
      <c r="G188" s="0" t="str">
        <f aca="false">Chase1168_2026!G188</f>
        <v>Venmo</v>
      </c>
      <c r="H188" s="15" t="n">
        <f aca="false">IF($B188="","",DATE(YEAR($B188),MONTH($B188),1))</f>
        <v>46113</v>
      </c>
      <c r="I188" s="0" t="str">
        <f aca="false">IF($G188="","Uncategorized — Review",IFERROR(INDEX(Mapping!$B:$B,MATCH($G188,Mapping!$A:$A,0)),"Uncategorized — Review"))</f>
        <v>Venmo</v>
      </c>
      <c r="J188" s="0" t="str">
        <f aca="false">IF($G188="","Uncategorized — Review",IFERROR(INDEX(Mapping!$C:$C,MATCH($G188,Mapping!$A:$A,0)),"Uncategorized — Review"))</f>
        <v>P2P Payments (Zelle/Venmo/PayPal)</v>
      </c>
    </row>
    <row r="189" customFormat="false" ht="15" hidden="false" customHeight="false" outlineLevel="0" collapsed="false">
      <c r="A189" s="0" t="str">
        <f aca="false">Chase1168_2026!A189</f>
        <v>DEBIT</v>
      </c>
      <c r="B189" s="14" t="n">
        <f aca="false">Chase1168_2026!B189</f>
        <v>46133</v>
      </c>
      <c r="C189" s="0" t="str">
        <f aca="false">Chase1168_2026!C189</f>
        <v>ORIG CO NAME:VENMO                  ORIG ID:3264681992 DESC DATE:260421 CO ENTRY DESCR:PAYMENT   SEC:WEB    TRACE#:021000024216202 EED:260421   IND ID:1049766445607                IND NAME:JUDD DUNNING                                                                                                 260421PPZG9S TRN: 1114216202TC</v>
      </c>
      <c r="D189" s="7" t="n">
        <f aca="false">Chase1168_2026!D189</f>
        <v>-225</v>
      </c>
      <c r="E189" s="0" t="str">
        <f aca="false">Chase1168_2026!E189</f>
        <v>ACH_DEBIT</v>
      </c>
      <c r="F189" s="7" t="n">
        <f aca="false">Chase1168_2026!F189</f>
        <v>2835.54</v>
      </c>
      <c r="G189" s="0" t="str">
        <f aca="false">Chase1168_2026!G189</f>
        <v>Venmo</v>
      </c>
      <c r="H189" s="15" t="n">
        <f aca="false">IF($B189="","",DATE(YEAR($B189),MONTH($B189),1))</f>
        <v>46113</v>
      </c>
      <c r="I189" s="0" t="str">
        <f aca="false">IF($G189="","Uncategorized — Review",IFERROR(INDEX(Mapping!$B:$B,MATCH($G189,Mapping!$A:$A,0)),"Uncategorized — Review"))</f>
        <v>Venmo</v>
      </c>
      <c r="J189" s="0" t="str">
        <f aca="false">IF($G189="","Uncategorized — Review",IFERROR(INDEX(Mapping!$C:$C,MATCH($G189,Mapping!$A:$A,0)),"Uncategorized — Review"))</f>
        <v>P2P Payments (Zelle/Venmo/PayPal)</v>
      </c>
    </row>
    <row r="190" customFormat="false" ht="15" hidden="false" customHeight="false" outlineLevel="0" collapsed="false">
      <c r="A190" s="0" t="str">
        <f aca="false">Chase1168_2026!A190</f>
        <v>DEBIT</v>
      </c>
      <c r="B190" s="14" t="n">
        <f aca="false">Chase1168_2026!B190</f>
        <v>46133</v>
      </c>
      <c r="C190" s="0" t="str">
        <f aca="false">Chase1168_2026!C190</f>
        <v>Online Transfer to CHK ...1117 transaction#: 28914431344 04/21</v>
      </c>
      <c r="D190" s="7" t="n">
        <f aca="false">Chase1168_2026!D190</f>
        <v>-3000</v>
      </c>
      <c r="E190" s="0" t="str">
        <f aca="false">Chase1168_2026!E190</f>
        <v>ACCT_XFER</v>
      </c>
      <c r="F190" s="7" t="n">
        <f aca="false">Chase1168_2026!F190</f>
        <v>3060.54</v>
      </c>
      <c r="G190" s="0" t="str">
        <f aca="false">Chase1168_2026!G190</f>
        <v>Transfer to Angela Dunning</v>
      </c>
      <c r="H190" s="15" t="n">
        <f aca="false">IF($B190="","",DATE(YEAR($B190),MONTH($B190),1))</f>
        <v>46113</v>
      </c>
      <c r="I190" s="0" t="str">
        <f aca="false">IF($G190="","Uncategorized — Review",IFERROR(INDEX(Mapping!$B:$B,MATCH($G190,Mapping!$A:$A,0)),"Uncategorized — Review"))</f>
        <v>Transfer to Angela Dunning</v>
      </c>
      <c r="J190" s="0" t="str">
        <f aca="false">IF($G190="","Uncategorized — Review",IFERROR(INDEX(Mapping!$C:$C,MATCH($G190,Mapping!$A:$A,0)),"Uncategorized — Review"))</f>
        <v>Owner / Family Distributions</v>
      </c>
    </row>
    <row r="191" customFormat="false" ht="15" hidden="false" customHeight="false" outlineLevel="0" collapsed="false">
      <c r="A191" s="0" t="str">
        <f aca="false">Chase1168_2026!A191</f>
        <v>DEBIT</v>
      </c>
      <c r="B191" s="14" t="n">
        <f aca="false">Chase1168_2026!B191</f>
        <v>46133</v>
      </c>
      <c r="C191" s="0" t="str">
        <f aca="false">Chase1168_2026!C191</f>
        <v>DNH*GODADDY.COM TEMPE AZ             013304  04/21</v>
      </c>
      <c r="D191" s="7" t="n">
        <f aca="false">Chase1168_2026!D191</f>
        <v>-335.52</v>
      </c>
      <c r="E191" s="0" t="str">
        <f aca="false">Chase1168_2026!E191</f>
        <v>DEBIT_CARD</v>
      </c>
      <c r="F191" s="7" t="n">
        <f aca="false">Chase1168_2026!F191</f>
        <v>6060.54</v>
      </c>
      <c r="G191" s="0" t="str">
        <f aca="false">Chase1168_2026!G191</f>
        <v>Go Daddy</v>
      </c>
      <c r="H191" s="15" t="n">
        <f aca="false">IF($B191="","",DATE(YEAR($B191),MONTH($B191),1))</f>
        <v>46113</v>
      </c>
      <c r="I191" s="0" t="str">
        <f aca="false">IF($G191="","Uncategorized — Review",IFERROR(INDEX(Mapping!$B:$B,MATCH($G191,Mapping!$A:$A,0)),"Uncategorized — Review"))</f>
        <v>Go Daddy</v>
      </c>
      <c r="J191" s="0" t="str">
        <f aca="false">IF($G191="","Uncategorized — Review",IFERROR(INDEX(Mapping!$C:$C,MATCH($G191,Mapping!$A:$A,0)),"Uncategorized — Review"))</f>
        <v>DWG Operating</v>
      </c>
    </row>
    <row r="192" customFormat="false" ht="15" hidden="false" customHeight="false" outlineLevel="0" collapsed="false">
      <c r="A192" s="0" t="str">
        <f aca="false">Chase1168_2026!A192</f>
        <v>DEBIT</v>
      </c>
      <c r="B192" s="14" t="n">
        <f aca="false">Chase1168_2026!B192</f>
        <v>46133</v>
      </c>
      <c r="C192" s="0" t="str">
        <f aca="false">Chase1168_2026!C192</f>
        <v>ORIG CO NAME:PRINCIPAL-CCAPNL       ORIG ID:9INDPNLEFT DESC DATE:041926 CO ENTRY DESCR:PRIN FINANSEC:PPD    TRACE#:091000010561989 EED:260421   IND ID:                             IND NAME:JOHN B DUNNING TRN: 1110561989TC</v>
      </c>
      <c r="D192" s="7" t="n">
        <f aca="false">Chase1168_2026!D192</f>
        <v>-331.54</v>
      </c>
      <c r="E192" s="0" t="str">
        <f aca="false">Chase1168_2026!E192</f>
        <v>ACH_DEBIT</v>
      </c>
      <c r="F192" s="7" t="n">
        <f aca="false">Chase1168_2026!F192</f>
        <v>6396.06</v>
      </c>
      <c r="G192" s="0" t="str">
        <f aca="false">Chase1168_2026!G192</f>
        <v>XXX?</v>
      </c>
      <c r="H192" s="15" t="n">
        <f aca="false">IF($B192="","",DATE(YEAR($B192),MONTH($B192),1))</f>
        <v>46113</v>
      </c>
      <c r="I192" s="0" t="str">
        <f aca="false">IF($G192="","Uncategorized — Review",IFERROR(INDEX(Mapping!$B:$B,MATCH($G192,Mapping!$A:$A,0)),"Uncategorized — Review"))</f>
        <v>XXX?</v>
      </c>
      <c r="J192" s="0" t="str">
        <f aca="false">IF($G192="","Uncategorized — Review",IFERROR(INDEX(Mapping!$C:$C,MATCH($G192,Mapping!$A:$A,0)),"Uncategorized — Review"))</f>
        <v>Uncategorized — Review</v>
      </c>
    </row>
    <row r="193" customFormat="false" ht="15" hidden="false" customHeight="false" outlineLevel="0" collapsed="false">
      <c r="A193" s="0" t="str">
        <f aca="false">Chase1168_2026!A193</f>
        <v>DEBIT</v>
      </c>
      <c r="B193" s="14" t="n">
        <f aca="false">Chase1168_2026!B193</f>
        <v>46133</v>
      </c>
      <c r="C193" s="0" t="str">
        <f aca="false">Chase1168_2026!C193</f>
        <v>DNH*GODADDY#4069060035 480-5058855 AZ        04/20</v>
      </c>
      <c r="D193" s="7" t="n">
        <f aca="false">Chase1168_2026!D193</f>
        <v>-19.97</v>
      </c>
      <c r="E193" s="0" t="str">
        <f aca="false">Chase1168_2026!E193</f>
        <v>DEBIT_CARD</v>
      </c>
      <c r="F193" s="7" t="n">
        <f aca="false">Chase1168_2026!F193</f>
        <v>6727.6</v>
      </c>
      <c r="G193" s="0" t="str">
        <f aca="false">Chase1168_2026!G193</f>
        <v>Go Daddy</v>
      </c>
      <c r="H193" s="15" t="n">
        <f aca="false">IF($B193="","",DATE(YEAR($B193),MONTH($B193),1))</f>
        <v>46113</v>
      </c>
      <c r="I193" s="0" t="str">
        <f aca="false">IF($G193="","Uncategorized — Review",IFERROR(INDEX(Mapping!$B:$B,MATCH($G193,Mapping!$A:$A,0)),"Uncategorized — Review"))</f>
        <v>Go Daddy</v>
      </c>
      <c r="J193" s="0" t="str">
        <f aca="false">IF($G193="","Uncategorized — Review",IFERROR(INDEX(Mapping!$C:$C,MATCH($G193,Mapping!$A:$A,0)),"Uncategorized — Review"))</f>
        <v>DWG Operating</v>
      </c>
    </row>
    <row r="194" customFormat="false" ht="15" hidden="false" customHeight="false" outlineLevel="0" collapsed="false">
      <c r="A194" s="0" t="str">
        <f aca="false">Chase1168_2026!A194</f>
        <v>DEBIT</v>
      </c>
      <c r="B194" s="14" t="n">
        <f aca="false">Chase1168_2026!B194</f>
        <v>46133</v>
      </c>
      <c r="C194" s="0" t="str">
        <f aca="false">Chase1168_2026!C194</f>
        <v>DNH*GODADDY#4069053724 480-5058855 AZ        04/20</v>
      </c>
      <c r="D194" s="7" t="n">
        <f aca="false">Chase1168_2026!D194</f>
        <v>-36.18</v>
      </c>
      <c r="E194" s="0" t="str">
        <f aca="false">Chase1168_2026!E194</f>
        <v>DEBIT_CARD</v>
      </c>
      <c r="F194" s="7" t="n">
        <f aca="false">Chase1168_2026!F194</f>
        <v>6747.57</v>
      </c>
      <c r="G194" s="0" t="str">
        <f aca="false">Chase1168_2026!G194</f>
        <v>Go Daddy</v>
      </c>
      <c r="H194" s="15" t="n">
        <f aca="false">IF($B194="","",DATE(YEAR($B194),MONTH($B194),1))</f>
        <v>46113</v>
      </c>
      <c r="I194" s="0" t="str">
        <f aca="false">IF($G194="","Uncategorized — Review",IFERROR(INDEX(Mapping!$B:$B,MATCH($G194,Mapping!$A:$A,0)),"Uncategorized — Review"))</f>
        <v>Go Daddy</v>
      </c>
      <c r="J194" s="0" t="str">
        <f aca="false">IF($G194="","Uncategorized — Review",IFERROR(INDEX(Mapping!$C:$C,MATCH($G194,Mapping!$A:$A,0)),"Uncategorized — Review"))</f>
        <v>DWG Operating</v>
      </c>
    </row>
    <row r="195" customFormat="false" ht="15" hidden="false" customHeight="false" outlineLevel="0" collapsed="false">
      <c r="A195" s="0" t="str">
        <f aca="false">Chase1168_2026!A195</f>
        <v>DEBIT</v>
      </c>
      <c r="B195" s="14" t="n">
        <f aca="false">Chase1168_2026!B195</f>
        <v>46132</v>
      </c>
      <c r="C195" s="0" t="str">
        <f aca="false">Chase1168_2026!C195</f>
        <v>ORIG CO NAME:TXU ENERGY             ORIG ID:1001020329 DESC DATE:       CO ENTRY DESCR:TXUE_ACH  SEC:WEB    TRACE#:021000028995862 EED:260420   IND ID:900062431557                 IND NAME:DWG CAPITAL GROUP          17333702810000000000000000000003515 1942327                                       DIRECT DEBITING TRN: 1108995862TC</v>
      </c>
      <c r="D195" s="7" t="n">
        <f aca="false">Chase1168_2026!D195</f>
        <v>-238.53</v>
      </c>
      <c r="E195" s="0" t="str">
        <f aca="false">Chase1168_2026!E195</f>
        <v>ACH_DEBIT</v>
      </c>
      <c r="F195" s="7" t="n">
        <f aca="false">Chase1168_2026!F195</f>
        <v>6783.75</v>
      </c>
      <c r="G195" s="0" t="str">
        <f aca="false">Chase1168_2026!G195</f>
        <v>Texas - House Utilities</v>
      </c>
      <c r="H195" s="15" t="n">
        <f aca="false">IF($B195="","",DATE(YEAR($B195),MONTH($B195),1))</f>
        <v>46113</v>
      </c>
      <c r="I195" s="0" t="str">
        <f aca="false">IF($G195="","Uncategorized — Review",IFERROR(INDEX(Mapping!$B:$B,MATCH($G195,Mapping!$A:$A,0)),"Uncategorized — Review"))</f>
        <v>Texas - House Utilities</v>
      </c>
      <c r="J195" s="0" t="str">
        <f aca="false">IF($G195="","Uncategorized — Review",IFERROR(INDEX(Mapping!$C:$C,MATCH($G195,Mapping!$A:$A,0)),"Uncategorized — Review"))</f>
        <v>Personal — Owner</v>
      </c>
    </row>
    <row r="196" customFormat="false" ht="15" hidden="false" customHeight="false" outlineLevel="0" collapsed="false">
      <c r="A196" s="0" t="str">
        <f aca="false">Chase1168_2026!A196</f>
        <v>DEBIT</v>
      </c>
      <c r="B196" s="14" t="n">
        <f aca="false">Chase1168_2026!B196</f>
        <v>46132</v>
      </c>
      <c r="C196" s="0" t="str">
        <f aca="false">Chase1168_2026!C196</f>
        <v>Basic Online Payroll Payment 11214915752 to ########4122</v>
      </c>
      <c r="D196" s="7" t="n">
        <f aca="false">Chase1168_2026!D196</f>
        <v>-1750</v>
      </c>
      <c r="E196" s="0" t="str">
        <f aca="false">Chase1168_2026!E196</f>
        <v>BASIC_PAYROLL</v>
      </c>
      <c r="F196" s="7" t="n">
        <f aca="false">Chase1168_2026!F196</f>
        <v>7022.28</v>
      </c>
      <c r="G196" s="0" t="str">
        <f aca="false">Chase1168_2026!G196</f>
        <v>Mike Paytonjian - Payroll</v>
      </c>
      <c r="H196" s="15" t="n">
        <f aca="false">IF($B196="","",DATE(YEAR($B196),MONTH($B196),1))</f>
        <v>46113</v>
      </c>
      <c r="I196" s="0" t="str">
        <f aca="false">IF($G196="","Uncategorized — Review",IFERROR(INDEX(Mapping!$B:$B,MATCH($G196,Mapping!$A:$A,0)),"Uncategorized — Review"))</f>
        <v>Mike Paytonjian - Payroll</v>
      </c>
      <c r="J196" s="0" t="str">
        <f aca="false">IF($G196="","Uncategorized — Review",IFERROR(INDEX(Mapping!$C:$C,MATCH($G196,Mapping!$A:$A,0)),"Uncategorized — Review"))</f>
        <v>Payroll &amp; Contractors</v>
      </c>
    </row>
    <row r="197" customFormat="false" ht="15" hidden="false" customHeight="false" outlineLevel="0" collapsed="false">
      <c r="A197" s="0" t="str">
        <f aca="false">Chase1168_2026!A197</f>
        <v>DEBIT</v>
      </c>
      <c r="B197" s="14" t="n">
        <f aca="false">Chase1168_2026!B197</f>
        <v>46132</v>
      </c>
      <c r="C197" s="0" t="str">
        <f aca="false">Chase1168_2026!C197</f>
        <v>ORIG CO NAME:VENMO                  ORIG ID:3264681992 DESC DATE:260418 CO ENTRY DESCR:PAYMENT   SEC:WEB    TRACE#:021000021099799 EED:260420   IND ID:1049701647951                IND NAME:JUDD DUNNING                                                                                                 260418PPZYDI TRN: 1101099799TC</v>
      </c>
      <c r="D197" s="7" t="n">
        <f aca="false">Chase1168_2026!D197</f>
        <v>-10</v>
      </c>
      <c r="E197" s="0" t="str">
        <f aca="false">Chase1168_2026!E197</f>
        <v>ACH_DEBIT</v>
      </c>
      <c r="F197" s="7" t="n">
        <f aca="false">Chase1168_2026!F197</f>
        <v>8772.28</v>
      </c>
      <c r="G197" s="0" t="str">
        <f aca="false">Chase1168_2026!G197</f>
        <v>Venmo</v>
      </c>
      <c r="H197" s="15" t="n">
        <f aca="false">IF($B197="","",DATE(YEAR($B197),MONTH($B197),1))</f>
        <v>46113</v>
      </c>
      <c r="I197" s="0" t="str">
        <f aca="false">IF($G197="","Uncategorized — Review",IFERROR(INDEX(Mapping!$B:$B,MATCH($G197,Mapping!$A:$A,0)),"Uncategorized — Review"))</f>
        <v>Venmo</v>
      </c>
      <c r="J197" s="0" t="str">
        <f aca="false">IF($G197="","Uncategorized — Review",IFERROR(INDEX(Mapping!$C:$C,MATCH($G197,Mapping!$A:$A,0)),"Uncategorized — Review"))</f>
        <v>P2P Payments (Zelle/Venmo/PayPal)</v>
      </c>
    </row>
    <row r="198" customFormat="false" ht="15" hidden="false" customHeight="false" outlineLevel="0" collapsed="false">
      <c r="A198" s="0" t="str">
        <f aca="false">Chase1168_2026!A198</f>
        <v>DEBIT</v>
      </c>
      <c r="B198" s="14" t="n">
        <f aca="false">Chase1168_2026!B198</f>
        <v>46132</v>
      </c>
      <c r="C198" s="0" t="str">
        <f aca="false">Chase1168_2026!C198</f>
        <v>ORIG CO NAME:VENMO                  ORIG ID:3264681992 DESC DATE:260418 CO ENTRY DESCR:PAYMENT   SEC:WEB    TRACE#:021000021098283 EED:260420   IND ID:1049701357055                IND NAME:JUDD DUNNING                                                                                                 260418PPZYDI TRN: 1101098283TC</v>
      </c>
      <c r="D198" s="7" t="n">
        <f aca="false">Chase1168_2026!D198</f>
        <v>-1000</v>
      </c>
      <c r="E198" s="0" t="str">
        <f aca="false">Chase1168_2026!E198</f>
        <v>ACH_DEBIT</v>
      </c>
      <c r="F198" s="7" t="n">
        <f aca="false">Chase1168_2026!F198</f>
        <v>8782.28</v>
      </c>
      <c r="G198" s="0" t="str">
        <f aca="false">Chase1168_2026!G198</f>
        <v>Venmo</v>
      </c>
      <c r="H198" s="15" t="n">
        <f aca="false">IF($B198="","",DATE(YEAR($B198),MONTH($B198),1))</f>
        <v>46113</v>
      </c>
      <c r="I198" s="0" t="str">
        <f aca="false">IF($G198="","Uncategorized — Review",IFERROR(INDEX(Mapping!$B:$B,MATCH($G198,Mapping!$A:$A,0)),"Uncategorized — Review"))</f>
        <v>Venmo</v>
      </c>
      <c r="J198" s="0" t="str">
        <f aca="false">IF($G198="","Uncategorized — Review",IFERROR(INDEX(Mapping!$C:$C,MATCH($G198,Mapping!$A:$A,0)),"Uncategorized — Review"))</f>
        <v>P2P Payments (Zelle/Venmo/PayPal)</v>
      </c>
    </row>
    <row r="199" customFormat="false" ht="15" hidden="false" customHeight="false" outlineLevel="0" collapsed="false">
      <c r="A199" s="0" t="str">
        <f aca="false">Chase1168_2026!A199</f>
        <v>DEBIT</v>
      </c>
      <c r="B199" s="14" t="n">
        <f aca="false">Chase1168_2026!B199</f>
        <v>46132</v>
      </c>
      <c r="C199" s="0" t="str">
        <f aca="false">Chase1168_2026!C199</f>
        <v>DNH*GODADDY#4067994296 480-5058855 AZ        04/19</v>
      </c>
      <c r="D199" s="7" t="n">
        <f aca="false">Chase1168_2026!D199</f>
        <v>-107.88</v>
      </c>
      <c r="E199" s="0" t="str">
        <f aca="false">Chase1168_2026!E199</f>
        <v>DEBIT_CARD</v>
      </c>
      <c r="F199" s="7" t="n">
        <f aca="false">Chase1168_2026!F199</f>
        <v>9782.28</v>
      </c>
      <c r="G199" s="0" t="str">
        <f aca="false">Chase1168_2026!G199</f>
        <v>Go Daddy</v>
      </c>
      <c r="H199" s="15" t="n">
        <f aca="false">IF($B199="","",DATE(YEAR($B199),MONTH($B199),1))</f>
        <v>46113</v>
      </c>
      <c r="I199" s="0" t="str">
        <f aca="false">IF($G199="","Uncategorized — Review",IFERROR(INDEX(Mapping!$B:$B,MATCH($G199,Mapping!$A:$A,0)),"Uncategorized — Review"))</f>
        <v>Go Daddy</v>
      </c>
      <c r="J199" s="0" t="str">
        <f aca="false">IF($G199="","Uncategorized — Review",IFERROR(INDEX(Mapping!$C:$C,MATCH($G199,Mapping!$A:$A,0)),"Uncategorized — Review"))</f>
        <v>DWG Operating</v>
      </c>
    </row>
    <row r="200" customFormat="false" ht="15" hidden="false" customHeight="false" outlineLevel="0" collapsed="false">
      <c r="A200" s="0" t="str">
        <f aca="false">Chase1168_2026!A200</f>
        <v>DEBIT</v>
      </c>
      <c r="B200" s="14" t="n">
        <f aca="false">Chase1168_2026!B200</f>
        <v>46132</v>
      </c>
      <c r="C200" s="0" t="str">
        <f aca="false">Chase1168_2026!C200</f>
        <v>Zelle payment to natalie cordova JPM99cdozkx8</v>
      </c>
      <c r="D200" s="7" t="n">
        <f aca="false">Chase1168_2026!D200</f>
        <v>-500</v>
      </c>
      <c r="E200" s="0" t="str">
        <f aca="false">Chase1168_2026!E200</f>
        <v>CHASE_TO_PARTNERFI</v>
      </c>
      <c r="F200" s="7" t="n">
        <f aca="false">Chase1168_2026!F200</f>
        <v>9890.16</v>
      </c>
      <c r="G200" s="0" t="str">
        <f aca="false">Chase1168_2026!G200</f>
        <v>Zelle - Natalie C.</v>
      </c>
      <c r="H200" s="15" t="n">
        <f aca="false">IF($B200="","",DATE(YEAR($B200),MONTH($B200),1))</f>
        <v>46113</v>
      </c>
      <c r="I200" s="0" t="str">
        <f aca="false">IF($G200="","Uncategorized — Review",IFERROR(INDEX(Mapping!$B:$B,MATCH($G200,Mapping!$A:$A,0)),"Uncategorized — Review"))</f>
        <v>Zelle - Natalie C.</v>
      </c>
      <c r="J200" s="0" t="str">
        <f aca="false">IF($G200="","Uncategorized — Review",IFERROR(INDEX(Mapping!$C:$C,MATCH($G200,Mapping!$A:$A,0)),"Uncategorized — Review"))</f>
        <v>P2P Payments (Zelle/Venmo/PayPal)</v>
      </c>
    </row>
    <row r="201" customFormat="false" ht="15" hidden="false" customHeight="false" outlineLevel="0" collapsed="false">
      <c r="A201" s="0" t="str">
        <f aca="false">Chase1168_2026!A201</f>
        <v>DEBIT</v>
      </c>
      <c r="B201" s="14" t="n">
        <f aca="false">Chase1168_2026!B201</f>
        <v>46132</v>
      </c>
      <c r="C201" s="0" t="str">
        <f aca="false">Chase1168_2026!C201</f>
        <v>DNH*GODADDY#4067674317 480-5058855 AZ        04/18</v>
      </c>
      <c r="D201" s="7" t="n">
        <f aca="false">Chase1168_2026!D201</f>
        <v>-16.98</v>
      </c>
      <c r="E201" s="0" t="str">
        <f aca="false">Chase1168_2026!E201</f>
        <v>DEBIT_CARD</v>
      </c>
      <c r="F201" s="7" t="n">
        <f aca="false">Chase1168_2026!F201</f>
        <v>10390.16</v>
      </c>
      <c r="G201" s="0" t="str">
        <f aca="false">Chase1168_2026!G201</f>
        <v>Go Daddy</v>
      </c>
      <c r="H201" s="15" t="n">
        <f aca="false">IF($B201="","",DATE(YEAR($B201),MONTH($B201),1))</f>
        <v>46113</v>
      </c>
      <c r="I201" s="0" t="str">
        <f aca="false">IF($G201="","Uncategorized — Review",IFERROR(INDEX(Mapping!$B:$B,MATCH($G201,Mapping!$A:$A,0)),"Uncategorized — Review"))</f>
        <v>Go Daddy</v>
      </c>
      <c r="J201" s="0" t="str">
        <f aca="false">IF($G201="","Uncategorized — Review",IFERROR(INDEX(Mapping!$C:$C,MATCH($G201,Mapping!$A:$A,0)),"Uncategorized — Review"))</f>
        <v>DWG Operating</v>
      </c>
    </row>
    <row r="202" customFormat="false" ht="15" hidden="false" customHeight="false" outlineLevel="0" collapsed="false">
      <c r="A202" s="0" t="str">
        <f aca="false">Chase1168_2026!A202</f>
        <v>DEBIT</v>
      </c>
      <c r="B202" s="14" t="n">
        <f aca="false">Chase1168_2026!B202</f>
        <v>46132</v>
      </c>
      <c r="C202" s="0" t="str">
        <f aca="false">Chase1168_2026!C202</f>
        <v>DNH*GODADDY#4067672486 480-5058855 AZ        04/18</v>
      </c>
      <c r="D202" s="7" t="n">
        <f aca="false">Chase1168_2026!D202</f>
        <v>-70.96</v>
      </c>
      <c r="E202" s="0" t="str">
        <f aca="false">Chase1168_2026!E202</f>
        <v>DEBIT_CARD</v>
      </c>
      <c r="F202" s="7" t="n">
        <f aca="false">Chase1168_2026!F202</f>
        <v>10407.14</v>
      </c>
      <c r="G202" s="0" t="str">
        <f aca="false">Chase1168_2026!G202</f>
        <v>Go Daddy</v>
      </c>
      <c r="H202" s="15" t="n">
        <f aca="false">IF($B202="","",DATE(YEAR($B202),MONTH($B202),1))</f>
        <v>46113</v>
      </c>
      <c r="I202" s="0" t="str">
        <f aca="false">IF($G202="","Uncategorized — Review",IFERROR(INDEX(Mapping!$B:$B,MATCH($G202,Mapping!$A:$A,0)),"Uncategorized — Review"))</f>
        <v>Go Daddy</v>
      </c>
      <c r="J202" s="0" t="str">
        <f aca="false">IF($G202="","Uncategorized — Review",IFERROR(INDEX(Mapping!$C:$C,MATCH($G202,Mapping!$A:$A,0)),"Uncategorized — Review"))</f>
        <v>DWG Operating</v>
      </c>
    </row>
    <row r="203" customFormat="false" ht="15" hidden="false" customHeight="false" outlineLevel="0" collapsed="false">
      <c r="A203" s="0" t="str">
        <f aca="false">Chase1168_2026!A203</f>
        <v>DEBIT</v>
      </c>
      <c r="B203" s="14" t="n">
        <f aca="false">Chase1168_2026!B203</f>
        <v>46132</v>
      </c>
      <c r="C203" s="0" t="str">
        <f aca="false">Chase1168_2026!C203</f>
        <v>DNH*GODADDY#4067670355 480-5058855 AZ        04/18</v>
      </c>
      <c r="D203" s="7" t="n">
        <f aca="false">Chase1168_2026!D203</f>
        <v>-52.36</v>
      </c>
      <c r="E203" s="0" t="str">
        <f aca="false">Chase1168_2026!E203</f>
        <v>DEBIT_CARD</v>
      </c>
      <c r="F203" s="7" t="n">
        <f aca="false">Chase1168_2026!F203</f>
        <v>10478.1</v>
      </c>
      <c r="G203" s="0" t="str">
        <f aca="false">Chase1168_2026!G203</f>
        <v>Go Daddy</v>
      </c>
      <c r="H203" s="15" t="n">
        <f aca="false">IF($B203="","",DATE(YEAR($B203),MONTH($B203),1))</f>
        <v>46113</v>
      </c>
      <c r="I203" s="0" t="str">
        <f aca="false">IF($G203="","Uncategorized — Review",IFERROR(INDEX(Mapping!$B:$B,MATCH($G203,Mapping!$A:$A,0)),"Uncategorized — Review"))</f>
        <v>Go Daddy</v>
      </c>
      <c r="J203" s="0" t="str">
        <f aca="false">IF($G203="","Uncategorized — Review",IFERROR(INDEX(Mapping!$C:$C,MATCH($G203,Mapping!$A:$A,0)),"Uncategorized — Review"))</f>
        <v>DWG Operating</v>
      </c>
    </row>
    <row r="204" customFormat="false" ht="15" hidden="false" customHeight="false" outlineLevel="0" collapsed="false">
      <c r="A204" s="0" t="str">
        <f aca="false">Chase1168_2026!A204</f>
        <v>DEBIT</v>
      </c>
      <c r="B204" s="14" t="n">
        <f aca="false">Chase1168_2026!B204</f>
        <v>46132</v>
      </c>
      <c r="C204" s="0" t="str">
        <f aca="false">Chase1168_2026!C204</f>
        <v>Zelle payment to Jeffrey Seider JPM99cdo09z8</v>
      </c>
      <c r="D204" s="7" t="n">
        <f aca="false">Chase1168_2026!D204</f>
        <v>-150</v>
      </c>
      <c r="E204" s="0" t="str">
        <f aca="false">Chase1168_2026!E204</f>
        <v>CHASE_TO_PARTNERFI</v>
      </c>
      <c r="F204" s="7" t="n">
        <f aca="false">Chase1168_2026!F204</f>
        <v>10530.46</v>
      </c>
      <c r="G204" s="0" t="str">
        <f aca="false">Chase1168_2026!G204</f>
        <v>Zelle - Jeff Seider</v>
      </c>
      <c r="H204" s="15" t="n">
        <f aca="false">IF($B204="","",DATE(YEAR($B204),MONTH($B204),1))</f>
        <v>46113</v>
      </c>
      <c r="I204" s="0" t="str">
        <f aca="false">IF($G204="","Uncategorized — Review",IFERROR(INDEX(Mapping!$B:$B,MATCH($G204,Mapping!$A:$A,0)),"Uncategorized — Review"))</f>
        <v>Zelle - Jeff Seider</v>
      </c>
      <c r="J204" s="0" t="str">
        <f aca="false">IF($G204="","Uncategorized — Review",IFERROR(INDEX(Mapping!$C:$C,MATCH($G204,Mapping!$A:$A,0)),"Uncategorized — Review"))</f>
        <v>P2P Payments (Zelle/Venmo/PayPal)</v>
      </c>
    </row>
    <row r="205" customFormat="false" ht="15" hidden="false" customHeight="false" outlineLevel="0" collapsed="false">
      <c r="A205" s="0" t="str">
        <f aca="false">Chase1168_2026!A205</f>
        <v>DEBIT</v>
      </c>
      <c r="B205" s="14" t="n">
        <f aca="false">Chase1168_2026!B205</f>
        <v>46132</v>
      </c>
      <c r="C205" s="0" t="str">
        <f aca="false">Chase1168_2026!C205</f>
        <v>Online Transfer to CHK ...1117 transaction#: 28880170101 04/20</v>
      </c>
      <c r="D205" s="7" t="n">
        <f aca="false">Chase1168_2026!D205</f>
        <v>-2000</v>
      </c>
      <c r="E205" s="0" t="str">
        <f aca="false">Chase1168_2026!E205</f>
        <v>ACCT_XFER</v>
      </c>
      <c r="F205" s="7" t="n">
        <f aca="false">Chase1168_2026!F205</f>
        <v>10680.46</v>
      </c>
      <c r="G205" s="0" t="str">
        <f aca="false">Chase1168_2026!G205</f>
        <v>Transfer to Angela Dunning</v>
      </c>
      <c r="H205" s="15" t="n">
        <f aca="false">IF($B205="","",DATE(YEAR($B205),MONTH($B205),1))</f>
        <v>46113</v>
      </c>
      <c r="I205" s="0" t="str">
        <f aca="false">IF($G205="","Uncategorized — Review",IFERROR(INDEX(Mapping!$B:$B,MATCH($G205,Mapping!$A:$A,0)),"Uncategorized — Review"))</f>
        <v>Transfer to Angela Dunning</v>
      </c>
      <c r="J205" s="0" t="str">
        <f aca="false">IF($G205="","Uncategorized — Review",IFERROR(INDEX(Mapping!$C:$C,MATCH($G205,Mapping!$A:$A,0)),"Uncategorized — Review"))</f>
        <v>Owner / Family Distributions</v>
      </c>
    </row>
    <row r="206" customFormat="false" ht="15" hidden="false" customHeight="false" outlineLevel="0" collapsed="false">
      <c r="A206" s="0" t="str">
        <f aca="false">Chase1168_2026!A206</f>
        <v>DEBIT</v>
      </c>
      <c r="B206" s="14" t="n">
        <f aca="false">Chase1168_2026!B206</f>
        <v>46132</v>
      </c>
      <c r="C206" s="0" t="str">
        <f aca="false">Chase1168_2026!C206</f>
        <v>DNH*GODADDY#4066737894 480-5058855 AZ        04/17</v>
      </c>
      <c r="D206" s="7" t="n">
        <f aca="false">Chase1168_2026!D206</f>
        <v>-26.18</v>
      </c>
      <c r="E206" s="0" t="str">
        <f aca="false">Chase1168_2026!E206</f>
        <v>DEBIT_CARD</v>
      </c>
      <c r="F206" s="7" t="n">
        <f aca="false">Chase1168_2026!F206</f>
        <v>12680.46</v>
      </c>
      <c r="G206" s="0" t="str">
        <f aca="false">Chase1168_2026!G206</f>
        <v>Go Daddy</v>
      </c>
      <c r="H206" s="15" t="n">
        <f aca="false">IF($B206="","",DATE(YEAR($B206),MONTH($B206),1))</f>
        <v>46113</v>
      </c>
      <c r="I206" s="0" t="str">
        <f aca="false">IF($G206="","Uncategorized — Review",IFERROR(INDEX(Mapping!$B:$B,MATCH($G206,Mapping!$A:$A,0)),"Uncategorized — Review"))</f>
        <v>Go Daddy</v>
      </c>
      <c r="J206" s="0" t="str">
        <f aca="false">IF($G206="","Uncategorized — Review",IFERROR(INDEX(Mapping!$C:$C,MATCH($G206,Mapping!$A:$A,0)),"Uncategorized — Review"))</f>
        <v>DWG Operating</v>
      </c>
    </row>
    <row r="207" customFormat="false" ht="15" hidden="false" customHeight="false" outlineLevel="0" collapsed="false">
      <c r="A207" s="0" t="str">
        <f aca="false">Chase1168_2026!A207</f>
        <v>DEBIT</v>
      </c>
      <c r="B207" s="14" t="n">
        <f aca="false">Chase1168_2026!B207</f>
        <v>46132</v>
      </c>
      <c r="C207" s="0" t="str">
        <f aca="false">Chase1168_2026!C207</f>
        <v>PAYPAL *PANASONICAV 402-935-7733 CA          04/18</v>
      </c>
      <c r="D207" s="7" t="n">
        <f aca="false">Chase1168_2026!D207</f>
        <v>-36.94</v>
      </c>
      <c r="E207" s="0" t="str">
        <f aca="false">Chase1168_2026!E207</f>
        <v>DEBIT_CARD</v>
      </c>
      <c r="F207" s="7" t="n">
        <f aca="false">Chase1168_2026!F207</f>
        <v>12706.64</v>
      </c>
      <c r="G207" s="0" t="str">
        <f aca="false">Chase1168_2026!G207</f>
        <v>PayPal</v>
      </c>
      <c r="H207" s="15" t="n">
        <f aca="false">IF($B207="","",DATE(YEAR($B207),MONTH($B207),1))</f>
        <v>46113</v>
      </c>
      <c r="I207" s="0" t="str">
        <f aca="false">IF($G207="","Uncategorized — Review",IFERROR(INDEX(Mapping!$B:$B,MATCH($G207,Mapping!$A:$A,0)),"Uncategorized — Review"))</f>
        <v>PayPal</v>
      </c>
      <c r="J207" s="0" t="str">
        <f aca="false">IF($G207="","Uncategorized — Review",IFERROR(INDEX(Mapping!$C:$C,MATCH($G207,Mapping!$A:$A,0)),"Uncategorized — Review"))</f>
        <v>P2P Payments (Zelle/Venmo/PayPal)</v>
      </c>
    </row>
    <row r="208" customFormat="false" ht="15" hidden="false" customHeight="false" outlineLevel="0" collapsed="false">
      <c r="A208" s="0" t="str">
        <f aca="false">Chase1168_2026!A208</f>
        <v>DEBIT</v>
      </c>
      <c r="B208" s="14" t="n">
        <f aca="false">Chase1168_2026!B208</f>
        <v>46132</v>
      </c>
      <c r="C208" s="0" t="str">
        <f aca="false">Chase1168_2026!C208</f>
        <v>PAYPAL *RUTHALCANCI 402-935-7733 CA          04/17</v>
      </c>
      <c r="D208" s="7" t="n">
        <f aca="false">Chase1168_2026!D208</f>
        <v>-180.18</v>
      </c>
      <c r="E208" s="0" t="str">
        <f aca="false">Chase1168_2026!E208</f>
        <v>DEBIT_CARD</v>
      </c>
      <c r="F208" s="7" t="n">
        <f aca="false">Chase1168_2026!F208</f>
        <v>12743.58</v>
      </c>
      <c r="G208" s="0" t="str">
        <f aca="false">Chase1168_2026!G208</f>
        <v>Ruth Alcancia - Forward Bridge Payment</v>
      </c>
      <c r="H208" s="15" t="n">
        <f aca="false">IF($B208="","",DATE(YEAR($B208),MONTH($B208),1))</f>
        <v>46113</v>
      </c>
      <c r="I208" s="0" t="str">
        <f aca="false">IF($G208="","Uncategorized — Review",IFERROR(INDEX(Mapping!$B:$B,MATCH($G208,Mapping!$A:$A,0)),"Uncategorized — Review"))</f>
        <v>Ruth Alcancia - Forward Bridge Payment</v>
      </c>
      <c r="J208" s="0" t="str">
        <f aca="false">IF($G208="","Uncategorized — Review",IFERROR(INDEX(Mapping!$C:$C,MATCH($G208,Mapping!$A:$A,0)),"Uncategorized — Review"))</f>
        <v>Payroll &amp; Contractors</v>
      </c>
    </row>
    <row r="209" customFormat="false" ht="15" hidden="false" customHeight="false" outlineLevel="0" collapsed="false">
      <c r="A209" s="0" t="str">
        <f aca="false">Chase1168_2026!A209</f>
        <v>DEBIT</v>
      </c>
      <c r="B209" s="14" t="n">
        <f aca="false">Chase1168_2026!B209</f>
        <v>46129</v>
      </c>
      <c r="C209" s="0" t="str">
        <f aca="false">Chase1168_2026!C209</f>
        <v>PAYPAL *SENTHA 402-935-7733 CA               04/16</v>
      </c>
      <c r="D209" s="7" t="n">
        <f aca="false">Chase1168_2026!D209</f>
        <v>-309</v>
      </c>
      <c r="E209" s="0" t="str">
        <f aca="false">Chase1168_2026!E209</f>
        <v>DEBIT_CARD</v>
      </c>
      <c r="F209" s="7" t="n">
        <f aca="false">Chase1168_2026!F209</f>
        <v>12923.76</v>
      </c>
      <c r="G209" s="0" t="str">
        <f aca="false">Chase1168_2026!G209</f>
        <v>Personal - Health</v>
      </c>
      <c r="H209" s="15" t="n">
        <f aca="false">IF($B209="","",DATE(YEAR($B209),MONTH($B209),1))</f>
        <v>46113</v>
      </c>
      <c r="I209" s="0" t="str">
        <f aca="false">IF($G209="","Uncategorized — Review",IFERROR(INDEX(Mapping!$B:$B,MATCH($G209,Mapping!$A:$A,0)),"Uncategorized — Review"))</f>
        <v>Personal - Health (incl. Ins.)</v>
      </c>
      <c r="J209" s="0" t="str">
        <f aca="false">IF($G209="","Uncategorized — Review",IFERROR(INDEX(Mapping!$C:$C,MATCH($G209,Mapping!$A:$A,0)),"Uncategorized — Review"))</f>
        <v>Personal — Owner</v>
      </c>
    </row>
    <row r="210" customFormat="false" ht="15" hidden="false" customHeight="false" outlineLevel="0" collapsed="false">
      <c r="A210" s="0" t="str">
        <f aca="false">Chase1168_2026!A210</f>
        <v>DEBIT</v>
      </c>
      <c r="B210" s="14" t="n">
        <f aca="false">Chase1168_2026!B210</f>
        <v>46128</v>
      </c>
      <c r="C210" s="0" t="str">
        <f aca="false">Chase1168_2026!C210</f>
        <v>Basic Online Payroll Payment 11215663811 to #####5820</v>
      </c>
      <c r="D210" s="7" t="n">
        <f aca="false">Chase1168_2026!D210</f>
        <v>-3500</v>
      </c>
      <c r="E210" s="0" t="str">
        <f aca="false">Chase1168_2026!E210</f>
        <v>BASIC_PAYROLL</v>
      </c>
      <c r="F210" s="7" t="n">
        <f aca="false">Chase1168_2026!F210</f>
        <v>13232.76</v>
      </c>
      <c r="G210" s="0" t="str">
        <f aca="false">Chase1168_2026!G210</f>
        <v>Chase Hall - Payroll</v>
      </c>
      <c r="H210" s="15" t="n">
        <f aca="false">IF($B210="","",DATE(YEAR($B210),MONTH($B210),1))</f>
        <v>46113</v>
      </c>
      <c r="I210" s="0" t="str">
        <f aca="false">IF($G210="","Uncategorized — Review",IFERROR(INDEX(Mapping!$B:$B,MATCH($G210,Mapping!$A:$A,0)),"Uncategorized — Review"))</f>
        <v>Chase Hall - Payroll</v>
      </c>
      <c r="J210" s="0" t="str">
        <f aca="false">IF($G210="","Uncategorized — Review",IFERROR(INDEX(Mapping!$C:$C,MATCH($G210,Mapping!$A:$A,0)),"Uncategorized — Review"))</f>
        <v>Payroll &amp; Contractors</v>
      </c>
    </row>
    <row r="211" customFormat="false" ht="15" hidden="false" customHeight="false" outlineLevel="0" collapsed="false">
      <c r="A211" s="0" t="str">
        <f aca="false">Chase1168_2026!A211</f>
        <v>DEBIT</v>
      </c>
      <c r="B211" s="14" t="n">
        <f aca="false">Chase1168_2026!B211</f>
        <v>46128</v>
      </c>
      <c r="C211" s="0" t="str">
        <f aca="false">Chase1168_2026!C211</f>
        <v>DNH*GODADDY#4065751808 480-5058855 AZ        04/16</v>
      </c>
      <c r="D211" s="7" t="n">
        <f aca="false">Chase1168_2026!D211</f>
        <v>-180</v>
      </c>
      <c r="E211" s="0" t="str">
        <f aca="false">Chase1168_2026!E211</f>
        <v>DEBIT_CARD</v>
      </c>
      <c r="F211" s="7" t="n">
        <f aca="false">Chase1168_2026!F211</f>
        <v>16732.76</v>
      </c>
      <c r="G211" s="0" t="str">
        <f aca="false">Chase1168_2026!G211</f>
        <v>Go Daddy</v>
      </c>
      <c r="H211" s="15" t="n">
        <f aca="false">IF($B211="","",DATE(YEAR($B211),MONTH($B211),1))</f>
        <v>46113</v>
      </c>
      <c r="I211" s="0" t="str">
        <f aca="false">IF($G211="","Uncategorized — Review",IFERROR(INDEX(Mapping!$B:$B,MATCH($G211,Mapping!$A:$A,0)),"Uncategorized — Review"))</f>
        <v>Go Daddy</v>
      </c>
      <c r="J211" s="0" t="str">
        <f aca="false">IF($G211="","Uncategorized — Review",IFERROR(INDEX(Mapping!$C:$C,MATCH($G211,Mapping!$A:$A,0)),"Uncategorized — Review"))</f>
        <v>DWG Operating</v>
      </c>
    </row>
    <row r="212" customFormat="false" ht="15" hidden="false" customHeight="false" outlineLevel="0" collapsed="false">
      <c r="A212" s="0" t="str">
        <f aca="false">Chase1168_2026!A212</f>
        <v>DEBIT</v>
      </c>
      <c r="B212" s="14" t="n">
        <f aca="false">Chase1168_2026!B212</f>
        <v>46128</v>
      </c>
      <c r="C212" s="0" t="str">
        <f aca="false">Chase1168_2026!C212</f>
        <v>ORIG CO NAME:LEASEDIRECT            ORIG ID:138190450  DESC DATE:260415 CO ENTRY DESCR:18469_1   SEC:CCD    TRACE#:043000095155918 EED:260416   IND ID:1556926                      IND NAME:DWG CAPITAL GROUP          INV# 596331148 DUE 04/15/26 REC# 10 10939079                                      18470 TRN: 1065155918TC</v>
      </c>
      <c r="D212" s="7" t="n">
        <f aca="false">Chase1168_2026!D212</f>
        <v>-104.01</v>
      </c>
      <c r="E212" s="0" t="str">
        <f aca="false">Chase1168_2026!E212</f>
        <v>ACH_DEBIT</v>
      </c>
      <c r="F212" s="7" t="n">
        <f aca="false">Chase1168_2026!F212</f>
        <v>16912.76</v>
      </c>
      <c r="G212" s="0" t="str">
        <f aca="false">Chase1168_2026!G212</f>
        <v>DWG Marketing</v>
      </c>
      <c r="H212" s="15" t="n">
        <f aca="false">IF($B212="","",DATE(YEAR($B212),MONTH($B212),1))</f>
        <v>46113</v>
      </c>
      <c r="I212" s="0" t="str">
        <f aca="false">IF($G212="","Uncategorized — Review",IFERROR(INDEX(Mapping!$B:$B,MATCH($G212,Mapping!$A:$A,0)),"Uncategorized — Review"))</f>
        <v>DWG Marketing</v>
      </c>
      <c r="J212" s="0" t="str">
        <f aca="false">IF($G212="","Uncategorized — Review",IFERROR(INDEX(Mapping!$C:$C,MATCH($G212,Mapping!$A:$A,0)),"Uncategorized — Review"))</f>
        <v>DWG Operating</v>
      </c>
    </row>
    <row r="213" customFormat="false" ht="15" hidden="false" customHeight="false" outlineLevel="0" collapsed="false">
      <c r="A213" s="0" t="str">
        <f aca="false">Chase1168_2026!A213</f>
        <v>DEBIT</v>
      </c>
      <c r="B213" s="14" t="n">
        <f aca="false">Chase1168_2026!B213</f>
        <v>46126</v>
      </c>
      <c r="C213" s="0" t="str">
        <f aca="false">Chase1168_2026!C213</f>
        <v>DNH*GODADDY#4063458126 480-5058855 AZ        04/13</v>
      </c>
      <c r="D213" s="7" t="n">
        <f aca="false">Chase1168_2026!D213</f>
        <v>-45.96</v>
      </c>
      <c r="E213" s="0" t="str">
        <f aca="false">Chase1168_2026!E213</f>
        <v>DEBIT_CARD</v>
      </c>
      <c r="F213" s="7" t="n">
        <f aca="false">Chase1168_2026!F213</f>
        <v>17016.77</v>
      </c>
      <c r="G213" s="0" t="str">
        <f aca="false">Chase1168_2026!G213</f>
        <v>Go Daddy</v>
      </c>
      <c r="H213" s="15" t="n">
        <f aca="false">IF($B213="","",DATE(YEAR($B213),MONTH($B213),1))</f>
        <v>46113</v>
      </c>
      <c r="I213" s="0" t="str">
        <f aca="false">IF($G213="","Uncategorized — Review",IFERROR(INDEX(Mapping!$B:$B,MATCH($G213,Mapping!$A:$A,0)),"Uncategorized — Review"))</f>
        <v>Go Daddy</v>
      </c>
      <c r="J213" s="0" t="str">
        <f aca="false">IF($G213="","Uncategorized — Review",IFERROR(INDEX(Mapping!$C:$C,MATCH($G213,Mapping!$A:$A,0)),"Uncategorized — Review"))</f>
        <v>DWG Operating</v>
      </c>
    </row>
    <row r="214" customFormat="false" ht="15" hidden="false" customHeight="false" outlineLevel="0" collapsed="false">
      <c r="A214" s="0" t="str">
        <f aca="false">Chase1168_2026!A214</f>
        <v>DEBIT</v>
      </c>
      <c r="B214" s="14" t="n">
        <f aca="false">Chase1168_2026!B214</f>
        <v>46125</v>
      </c>
      <c r="C214" s="0" t="str">
        <f aca="false">Chase1168_2026!C214</f>
        <v>Basic Online Payroll Payment 11214001823 to ########4122</v>
      </c>
      <c r="D214" s="7" t="n">
        <f aca="false">Chase1168_2026!D214</f>
        <v>-1750</v>
      </c>
      <c r="E214" s="0" t="str">
        <f aca="false">Chase1168_2026!E214</f>
        <v>BASIC_PAYROLL</v>
      </c>
      <c r="F214" s="7" t="n">
        <f aca="false">Chase1168_2026!F214</f>
        <v>17062.73</v>
      </c>
      <c r="G214" s="0" t="str">
        <f aca="false">Chase1168_2026!G214</f>
        <v>Mike Paytonjian - Payroll</v>
      </c>
      <c r="H214" s="15" t="n">
        <f aca="false">IF($B214="","",DATE(YEAR($B214),MONTH($B214),1))</f>
        <v>46113</v>
      </c>
      <c r="I214" s="0" t="str">
        <f aca="false">IF($G214="","Uncategorized — Review",IFERROR(INDEX(Mapping!$B:$B,MATCH($G214,Mapping!$A:$A,0)),"Uncategorized — Review"))</f>
        <v>Mike Paytonjian - Payroll</v>
      </c>
      <c r="J214" s="0" t="str">
        <f aca="false">IF($G214="","Uncategorized — Review",IFERROR(INDEX(Mapping!$C:$C,MATCH($G214,Mapping!$A:$A,0)),"Uncategorized — Review"))</f>
        <v>Payroll &amp; Contractors</v>
      </c>
    </row>
    <row r="215" customFormat="false" ht="15" hidden="false" customHeight="false" outlineLevel="0" collapsed="false">
      <c r="A215" s="0" t="str">
        <f aca="false">Chase1168_2026!A215</f>
        <v>DEBIT</v>
      </c>
      <c r="B215" s="14" t="n">
        <f aca="false">Chase1168_2026!B215</f>
        <v>46125</v>
      </c>
      <c r="C215" s="0" t="str">
        <f aca="false">Chase1168_2026!C215</f>
        <v>DNH*GODADDY.COM TEMPE AZ             056825  04/12</v>
      </c>
      <c r="D215" s="7" t="n">
        <f aca="false">Chase1168_2026!D215</f>
        <v>-359.88</v>
      </c>
      <c r="E215" s="0" t="str">
        <f aca="false">Chase1168_2026!E215</f>
        <v>DEBIT_CARD</v>
      </c>
      <c r="F215" s="7" t="n">
        <f aca="false">Chase1168_2026!F215</f>
        <v>18812.73</v>
      </c>
      <c r="G215" s="0" t="str">
        <f aca="false">Chase1168_2026!G215</f>
        <v>Go Daddy</v>
      </c>
      <c r="H215" s="15" t="n">
        <f aca="false">IF($B215="","",DATE(YEAR($B215),MONTH($B215),1))</f>
        <v>46113</v>
      </c>
      <c r="I215" s="0" t="str">
        <f aca="false">IF($G215="","Uncategorized — Review",IFERROR(INDEX(Mapping!$B:$B,MATCH($G215,Mapping!$A:$A,0)),"Uncategorized — Review"))</f>
        <v>Go Daddy</v>
      </c>
      <c r="J215" s="0" t="str">
        <f aca="false">IF($G215="","Uncategorized — Review",IFERROR(INDEX(Mapping!$C:$C,MATCH($G215,Mapping!$A:$A,0)),"Uncategorized — Review"))</f>
        <v>DWG Operating</v>
      </c>
    </row>
    <row r="216" customFormat="false" ht="15" hidden="false" customHeight="false" outlineLevel="0" collapsed="false">
      <c r="A216" s="0" t="str">
        <f aca="false">Chase1168_2026!A216</f>
        <v>DEBIT</v>
      </c>
      <c r="B216" s="14" t="n">
        <f aca="false">Chase1168_2026!B216</f>
        <v>46125</v>
      </c>
      <c r="C216" s="0" t="str">
        <f aca="false">Chase1168_2026!C216</f>
        <v>DNH*GODADDY#4061811332 480-5058855 AZ        04/11</v>
      </c>
      <c r="D216" s="7" t="n">
        <f aca="false">Chase1168_2026!D216</f>
        <v>-60.73</v>
      </c>
      <c r="E216" s="0" t="str">
        <f aca="false">Chase1168_2026!E216</f>
        <v>DEBIT_CARD</v>
      </c>
      <c r="F216" s="7" t="n">
        <f aca="false">Chase1168_2026!F216</f>
        <v>19172.61</v>
      </c>
      <c r="G216" s="0" t="str">
        <f aca="false">Chase1168_2026!G216</f>
        <v>Go Daddy</v>
      </c>
      <c r="H216" s="15" t="n">
        <f aca="false">IF($B216="","",DATE(YEAR($B216),MONTH($B216),1))</f>
        <v>46113</v>
      </c>
      <c r="I216" s="0" t="str">
        <f aca="false">IF($G216="","Uncategorized — Review",IFERROR(INDEX(Mapping!$B:$B,MATCH($G216,Mapping!$A:$A,0)),"Uncategorized — Review"))</f>
        <v>Go Daddy</v>
      </c>
      <c r="J216" s="0" t="str">
        <f aca="false">IF($G216="","Uncategorized — Review",IFERROR(INDEX(Mapping!$C:$C,MATCH($G216,Mapping!$A:$A,0)),"Uncategorized — Review"))</f>
        <v>DWG Operating</v>
      </c>
    </row>
    <row r="217" customFormat="false" ht="15" hidden="false" customHeight="false" outlineLevel="0" collapsed="false">
      <c r="A217" s="0" t="str">
        <f aca="false">Chase1168_2026!A217</f>
        <v>DEBIT</v>
      </c>
      <c r="B217" s="14" t="n">
        <f aca="false">Chase1168_2026!B217</f>
        <v>46125</v>
      </c>
      <c r="C217" s="0" t="str">
        <f aca="false">Chase1168_2026!C217</f>
        <v>ORIG CO NAME:BANNER LIFE            ORIG ID:1521236145 DESC DATE:260410 CO ENTRY DESCR:PREM DEBITSEC:PPD    TRACE#:091000015227953 EED:260413   IND ID:                             IND NAME:ANGELA L DUNNING TRN: 1035227953TC</v>
      </c>
      <c r="D217" s="7" t="n">
        <f aca="false">Chase1168_2026!D217</f>
        <v>-171.21</v>
      </c>
      <c r="E217" s="0" t="str">
        <f aca="false">Chase1168_2026!E217</f>
        <v>ACH_DEBIT</v>
      </c>
      <c r="F217" s="7" t="n">
        <f aca="false">Chase1168_2026!F217</f>
        <v>19233.34</v>
      </c>
      <c r="G217" s="0" t="str">
        <f aca="false">Chase1168_2026!G217</f>
        <v>Personal - Life Insurance</v>
      </c>
      <c r="H217" s="15" t="n">
        <f aca="false">IF($B217="","",DATE(YEAR($B217),MONTH($B217),1))</f>
        <v>46113</v>
      </c>
      <c r="I217" s="0" t="str">
        <f aca="false">IF($G217="","Uncategorized — Review",IFERROR(INDEX(Mapping!$B:$B,MATCH($G217,Mapping!$A:$A,0)),"Uncategorized — Review"))</f>
        <v>Personal - Life Insurance</v>
      </c>
      <c r="J217" s="0" t="str">
        <f aca="false">IF($G217="","Uncategorized — Review",IFERROR(INDEX(Mapping!$C:$C,MATCH($G217,Mapping!$A:$A,0)),"Uncategorized — Review"))</f>
        <v>Personal — Owner</v>
      </c>
    </row>
    <row r="218" customFormat="false" ht="15" hidden="false" customHeight="false" outlineLevel="0" collapsed="false">
      <c r="A218" s="0" t="str">
        <f aca="false">Chase1168_2026!A218</f>
        <v>DEBIT</v>
      </c>
      <c r="B218" s="14" t="n">
        <f aca="false">Chase1168_2026!B218</f>
        <v>46125</v>
      </c>
      <c r="C218" s="0" t="str">
        <f aca="false">Chase1168_2026!C218</f>
        <v>PAYPAL *RUTHALCANCI 402-935-7733 CA          04/11</v>
      </c>
      <c r="D218" s="7" t="n">
        <f aca="false">Chase1168_2026!D218</f>
        <v>-200</v>
      </c>
      <c r="E218" s="0" t="str">
        <f aca="false">Chase1168_2026!E218</f>
        <v>DEBIT_CARD</v>
      </c>
      <c r="F218" s="7" t="n">
        <f aca="false">Chase1168_2026!F218</f>
        <v>19404.55</v>
      </c>
      <c r="G218" s="0" t="str">
        <f aca="false">Chase1168_2026!G218</f>
        <v>Ruth Alcancia - Forward Bridge Payment</v>
      </c>
      <c r="H218" s="15" t="n">
        <f aca="false">IF($B218="","",DATE(YEAR($B218),MONTH($B218),1))</f>
        <v>46113</v>
      </c>
      <c r="I218" s="0" t="str">
        <f aca="false">IF($G218="","Uncategorized — Review",IFERROR(INDEX(Mapping!$B:$B,MATCH($G218,Mapping!$A:$A,0)),"Uncategorized — Review"))</f>
        <v>Ruth Alcancia - Forward Bridge Payment</v>
      </c>
      <c r="J218" s="0" t="str">
        <f aca="false">IF($G218="","Uncategorized — Review",IFERROR(INDEX(Mapping!$C:$C,MATCH($G218,Mapping!$A:$A,0)),"Uncategorized — Review"))</f>
        <v>Payroll &amp; Contractors</v>
      </c>
    </row>
    <row r="219" customFormat="false" ht="15" hidden="false" customHeight="false" outlineLevel="0" collapsed="false">
      <c r="A219" s="0" t="str">
        <f aca="false">Chase1168_2026!A219</f>
        <v>DEBIT</v>
      </c>
      <c r="B219" s="14" t="n">
        <f aca="false">Chase1168_2026!B219</f>
        <v>46125</v>
      </c>
      <c r="C219" s="0" t="str">
        <f aca="false">Chase1168_2026!C219</f>
        <v>HLU*HULUPLUS hulu.com/bill CA                04/11</v>
      </c>
      <c r="D219" s="7" t="n">
        <f aca="false">Chase1168_2026!D219</f>
        <v>-58.97</v>
      </c>
      <c r="E219" s="0" t="str">
        <f aca="false">Chase1168_2026!E219</f>
        <v>DEBIT_CARD</v>
      </c>
      <c r="F219" s="7" t="n">
        <f aca="false">Chase1168_2026!F219</f>
        <v>19604.55</v>
      </c>
      <c r="G219" s="0" t="str">
        <f aca="false">Chase1168_2026!G219</f>
        <v>Personal - Subscriptions</v>
      </c>
      <c r="H219" s="15" t="n">
        <f aca="false">IF($B219="","",DATE(YEAR($B219),MONTH($B219),1))</f>
        <v>46113</v>
      </c>
      <c r="I219" s="0" t="str">
        <f aca="false">IF($G219="","Uncategorized — Review",IFERROR(INDEX(Mapping!$B:$B,MATCH($G219,Mapping!$A:$A,0)),"Uncategorized — Review"))</f>
        <v>Personal - Subscriptions</v>
      </c>
      <c r="J219" s="0" t="str">
        <f aca="false">IF($G219="","Uncategorized — Review",IFERROR(INDEX(Mapping!$C:$C,MATCH($G219,Mapping!$A:$A,0)),"Uncategorized — Review"))</f>
        <v>Personal — Owner</v>
      </c>
    </row>
    <row r="220" customFormat="false" ht="15" hidden="false" customHeight="false" outlineLevel="0" collapsed="false">
      <c r="A220" s="0" t="str">
        <f aca="false">Chase1168_2026!A220</f>
        <v>DEBIT</v>
      </c>
      <c r="B220" s="14" t="n">
        <f aca="false">Chase1168_2026!B220</f>
        <v>46125</v>
      </c>
      <c r="C220" s="0" t="str">
        <f aca="false">Chase1168_2026!C220</f>
        <v>DNH*GODADDY#4061168252 480-5058855 AZ        04/10</v>
      </c>
      <c r="D220" s="7" t="n">
        <f aca="false">Chase1168_2026!D220</f>
        <v>-28.98</v>
      </c>
      <c r="E220" s="0" t="str">
        <f aca="false">Chase1168_2026!E220</f>
        <v>DEBIT_CARD</v>
      </c>
      <c r="F220" s="7" t="n">
        <f aca="false">Chase1168_2026!F220</f>
        <v>19663.52</v>
      </c>
      <c r="G220" s="0" t="str">
        <f aca="false">Chase1168_2026!G220</f>
        <v>Go Daddy</v>
      </c>
      <c r="H220" s="15" t="n">
        <f aca="false">IF($B220="","",DATE(YEAR($B220),MONTH($B220),1))</f>
        <v>46113</v>
      </c>
      <c r="I220" s="0" t="str">
        <f aca="false">IF($G220="","Uncategorized — Review",IFERROR(INDEX(Mapping!$B:$B,MATCH($G220,Mapping!$A:$A,0)),"Uncategorized — Review"))</f>
        <v>Go Daddy</v>
      </c>
      <c r="J220" s="0" t="str">
        <f aca="false">IF($G220="","Uncategorized — Review",IFERROR(INDEX(Mapping!$C:$C,MATCH($G220,Mapping!$A:$A,0)),"Uncategorized — Review"))</f>
        <v>DWG Operating</v>
      </c>
    </row>
    <row r="221" customFormat="false" ht="15" hidden="false" customHeight="false" outlineLevel="0" collapsed="false">
      <c r="A221" s="0" t="str">
        <f aca="false">Chase1168_2026!A221</f>
        <v>DEBIT</v>
      </c>
      <c r="B221" s="14" t="n">
        <f aca="false">Chase1168_2026!B221</f>
        <v>46122</v>
      </c>
      <c r="C221" s="0" t="str">
        <f aca="false">Chase1168_2026!C221</f>
        <v>DNH*GODADDY#4060216639 480-5058855 AZ        04/09</v>
      </c>
      <c r="D221" s="7" t="n">
        <f aca="false">Chase1168_2026!D221</f>
        <v>-13.79</v>
      </c>
      <c r="E221" s="0" t="str">
        <f aca="false">Chase1168_2026!E221</f>
        <v>DEBIT_CARD</v>
      </c>
      <c r="F221" s="7" t="n">
        <f aca="false">Chase1168_2026!F221</f>
        <v>19692.5</v>
      </c>
      <c r="G221" s="0" t="str">
        <f aca="false">Chase1168_2026!G221</f>
        <v>Go Daddy</v>
      </c>
      <c r="H221" s="15" t="n">
        <f aca="false">IF($B221="","",DATE(YEAR($B221),MONTH($B221),1))</f>
        <v>46113</v>
      </c>
      <c r="I221" s="0" t="str">
        <f aca="false">IF($G221="","Uncategorized — Review",IFERROR(INDEX(Mapping!$B:$B,MATCH($G221,Mapping!$A:$A,0)),"Uncategorized — Review"))</f>
        <v>Go Daddy</v>
      </c>
      <c r="J221" s="0" t="str">
        <f aca="false">IF($G221="","Uncategorized — Review",IFERROR(INDEX(Mapping!$C:$C,MATCH($G221,Mapping!$A:$A,0)),"Uncategorized — Review"))</f>
        <v>DWG Operating</v>
      </c>
    </row>
    <row r="222" customFormat="false" ht="15" hidden="false" customHeight="false" outlineLevel="0" collapsed="false">
      <c r="A222" s="0" t="str">
        <f aca="false">Chase1168_2026!A222</f>
        <v>DEBIT</v>
      </c>
      <c r="B222" s="14" t="n">
        <f aca="false">Chase1168_2026!B222</f>
        <v>46121</v>
      </c>
      <c r="C222" s="0" t="str">
        <f aca="false">Chase1168_2026!C222</f>
        <v>ONLINE FX INTERNATIONAL WIRE FEE</v>
      </c>
      <c r="D222" s="7" t="n">
        <f aca="false">Chase1168_2026!D222</f>
        <v>-5</v>
      </c>
      <c r="E222" s="0" t="str">
        <f aca="false">Chase1168_2026!E222</f>
        <v>FEE_TRANSACTION</v>
      </c>
      <c r="F222" s="7" t="n">
        <f aca="false">Chase1168_2026!F222</f>
        <v>19706.29</v>
      </c>
      <c r="G222" s="0" t="str">
        <f aca="false">Chase1168_2026!G222</f>
        <v>Andres Alarcon Payroll</v>
      </c>
      <c r="H222" s="15" t="n">
        <f aca="false">IF($B222="","",DATE(YEAR($B222),MONTH($B222),1))</f>
        <v>46113</v>
      </c>
      <c r="I222" s="0" t="str">
        <f aca="false">IF($G222="","Uncategorized — Review",IFERROR(INDEX(Mapping!$B:$B,MATCH($G222,Mapping!$A:$A,0)),"Uncategorized — Review"))</f>
        <v>Andres Alarcon Payroll</v>
      </c>
      <c r="J222" s="0" t="str">
        <f aca="false">IF($G222="","Uncategorized — Review",IFERROR(INDEX(Mapping!$C:$C,MATCH($G222,Mapping!$A:$A,0)),"Uncategorized — Review"))</f>
        <v>Payroll &amp; Contractors</v>
      </c>
    </row>
    <row r="223" customFormat="false" ht="15" hidden="false" customHeight="false" outlineLevel="0" collapsed="false">
      <c r="A223" s="0" t="str">
        <f aca="false">Chase1168_2026!A223</f>
        <v>DEBIT</v>
      </c>
      <c r="B223" s="14" t="n">
        <f aca="false">Chase1168_2026!B223</f>
        <v>46121</v>
      </c>
      <c r="C223" s="0" t="str">
        <f aca="false">Chase1168_2026!C223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PAYMENTS/OCMT/COP26 07309,08/EXCH/3476.4121/CNTR/174315 87/INT/ANDRES_52763ATHOTMAIL.C TRN: 7830500099RE 04/09</v>
      </c>
      <c r="D223" s="7" t="n">
        <f aca="false">Chase1168_2026!D223</f>
        <v>-750</v>
      </c>
      <c r="E223" s="0" t="str">
        <f aca="false">Chase1168_2026!E223</f>
        <v>WIRE_OUTGOING</v>
      </c>
      <c r="F223" s="7" t="n">
        <f aca="false">Chase1168_2026!F223</f>
        <v>19711.29</v>
      </c>
      <c r="G223" s="0" t="str">
        <f aca="false">Chase1168_2026!G223</f>
        <v>Andres Alarcon Payroll</v>
      </c>
      <c r="H223" s="15" t="n">
        <f aca="false">IF($B223="","",DATE(YEAR($B223),MONTH($B223),1))</f>
        <v>46113</v>
      </c>
      <c r="I223" s="0" t="str">
        <f aca="false">IF($G223="","Uncategorized — Review",IFERROR(INDEX(Mapping!$B:$B,MATCH($G223,Mapping!$A:$A,0)),"Uncategorized — Review"))</f>
        <v>Andres Alarcon Payroll</v>
      </c>
      <c r="J223" s="0" t="str">
        <f aca="false">IF($G223="","Uncategorized — Review",IFERROR(INDEX(Mapping!$C:$C,MATCH($G223,Mapping!$A:$A,0)),"Uncategorized — Review"))</f>
        <v>Payroll &amp; Contractors</v>
      </c>
    </row>
    <row r="224" customFormat="false" ht="15" hidden="false" customHeight="false" outlineLevel="0" collapsed="false">
      <c r="A224" s="0" t="str">
        <f aca="false">Chase1168_2026!A224</f>
        <v>DEBIT</v>
      </c>
      <c r="B224" s="14" t="n">
        <f aca="false">Chase1168_2026!B224</f>
        <v>46121</v>
      </c>
      <c r="C224" s="0" t="str">
        <f aca="false">Chase1168_2026!C224</f>
        <v>DNH*GODADDY#4059324261 480-5058855 AZ        04/08</v>
      </c>
      <c r="D224" s="7" t="n">
        <f aca="false">Chase1168_2026!D224</f>
        <v>-33.97</v>
      </c>
      <c r="E224" s="0" t="str">
        <f aca="false">Chase1168_2026!E224</f>
        <v>DEBIT_CARD</v>
      </c>
      <c r="F224" s="7" t="n">
        <f aca="false">Chase1168_2026!F224</f>
        <v>20461.29</v>
      </c>
      <c r="G224" s="0" t="str">
        <f aca="false">Chase1168_2026!G224</f>
        <v>Go Daddy</v>
      </c>
      <c r="H224" s="15" t="n">
        <f aca="false">IF($B224="","",DATE(YEAR($B224),MONTH($B224),1))</f>
        <v>46113</v>
      </c>
      <c r="I224" s="0" t="str">
        <f aca="false">IF($G224="","Uncategorized — Review",IFERROR(INDEX(Mapping!$B:$B,MATCH($G224,Mapping!$A:$A,0)),"Uncategorized — Review"))</f>
        <v>Go Daddy</v>
      </c>
      <c r="J224" s="0" t="str">
        <f aca="false">IF($G224="","Uncategorized — Review",IFERROR(INDEX(Mapping!$C:$C,MATCH($G224,Mapping!$A:$A,0)),"Uncategorized — Review"))</f>
        <v>DWG Operating</v>
      </c>
    </row>
    <row r="225" customFormat="false" ht="15" hidden="false" customHeight="false" outlineLevel="0" collapsed="false">
      <c r="A225" s="0" t="str">
        <f aca="false">Chase1168_2026!A225</f>
        <v>DEBIT</v>
      </c>
      <c r="B225" s="14" t="n">
        <f aca="false">Chase1168_2026!B225</f>
        <v>46120</v>
      </c>
      <c r="C225" s="0" t="str">
        <f aca="false">Chase1168_2026!C225</f>
        <v>Online Transfer to CHK ...2508 transaction#: 28750417957 04/08</v>
      </c>
      <c r="D225" s="7" t="n">
        <f aca="false">Chase1168_2026!D225</f>
        <v>-400</v>
      </c>
      <c r="E225" s="0" t="str">
        <f aca="false">Chase1168_2026!E225</f>
        <v>ACCT_XFER</v>
      </c>
      <c r="F225" s="7" t="n">
        <f aca="false">Chase1168_2026!F225</f>
        <v>20495.26</v>
      </c>
      <c r="G225" s="0" t="str">
        <f aca="false">Chase1168_2026!G225</f>
        <v>Transfer to Theut Glass</v>
      </c>
      <c r="H225" s="15" t="n">
        <f aca="false">IF($B225="","",DATE(YEAR($B225),MONTH($B225),1))</f>
        <v>46113</v>
      </c>
      <c r="I225" s="0" t="str">
        <f aca="false">IF($G225="","Uncategorized — Review",IFERROR(INDEX(Mapping!$B:$B,MATCH($G225,Mapping!$A:$A,0)),"Uncategorized — Review"))</f>
        <v>Transfer to Theut Glass</v>
      </c>
      <c r="J225" s="0" t="str">
        <f aca="false">IF($G225="","Uncategorized — Review",IFERROR(INDEX(Mapping!$C:$C,MATCH($G225,Mapping!$A:$A,0)),"Uncategorized — Review"))</f>
        <v>Intercompany &amp; Savings Transfers</v>
      </c>
    </row>
    <row r="226" customFormat="false" ht="15" hidden="false" customHeight="false" outlineLevel="0" collapsed="false">
      <c r="A226" s="0" t="str">
        <f aca="false">Chase1168_2026!A226</f>
        <v>DEBIT</v>
      </c>
      <c r="B226" s="14" t="n">
        <f aca="false">Chase1168_2026!B226</f>
        <v>46120</v>
      </c>
      <c r="C226" s="0" t="str">
        <f aca="false">Chase1168_2026!C226</f>
        <v>Online Transfer to CHK ...1117 transaction#: 28750406621 04/08</v>
      </c>
      <c r="D226" s="7" t="n">
        <f aca="false">Chase1168_2026!D226</f>
        <v>-3000</v>
      </c>
      <c r="E226" s="0" t="str">
        <f aca="false">Chase1168_2026!E226</f>
        <v>ACCT_XFER</v>
      </c>
      <c r="F226" s="7" t="n">
        <f aca="false">Chase1168_2026!F226</f>
        <v>20895.26</v>
      </c>
      <c r="G226" s="0" t="str">
        <f aca="false">Chase1168_2026!G226</f>
        <v>Transfer to Angela Dunning</v>
      </c>
      <c r="H226" s="15" t="n">
        <f aca="false">IF($B226="","",DATE(YEAR($B226),MONTH($B226),1))</f>
        <v>46113</v>
      </c>
      <c r="I226" s="0" t="str">
        <f aca="false">IF($G226="","Uncategorized — Review",IFERROR(INDEX(Mapping!$B:$B,MATCH($G226,Mapping!$A:$A,0)),"Uncategorized — Review"))</f>
        <v>Transfer to Angela Dunning</v>
      </c>
      <c r="J226" s="0" t="str">
        <f aca="false">IF($G226="","Uncategorized — Review",IFERROR(INDEX(Mapping!$C:$C,MATCH($G226,Mapping!$A:$A,0)),"Uncategorized — Review"))</f>
        <v>Owner / Family Distributions</v>
      </c>
    </row>
    <row r="227" customFormat="false" ht="15" hidden="false" customHeight="false" outlineLevel="0" collapsed="false">
      <c r="A227" s="0" t="str">
        <f aca="false">Chase1168_2026!A227</f>
        <v>DEBIT</v>
      </c>
      <c r="B227" s="14" t="n">
        <f aca="false">Chase1168_2026!B227</f>
        <v>46120</v>
      </c>
      <c r="C227" s="0" t="str">
        <f aca="false">Chase1168_2026!C227</f>
        <v>Zelle payment to Jeffrey Seider JPM99ccd8orf</v>
      </c>
      <c r="D227" s="7" t="n">
        <f aca="false">Chase1168_2026!D227</f>
        <v>-200</v>
      </c>
      <c r="E227" s="0" t="str">
        <f aca="false">Chase1168_2026!E227</f>
        <v>CHASE_TO_PARTNERFI</v>
      </c>
      <c r="F227" s="7" t="n">
        <f aca="false">Chase1168_2026!F227</f>
        <v>23895.26</v>
      </c>
      <c r="G227" s="0" t="str">
        <f aca="false">Chase1168_2026!G227</f>
        <v>Zelle - Jeff Seider</v>
      </c>
      <c r="H227" s="15" t="n">
        <f aca="false">IF($B227="","",DATE(YEAR($B227),MONTH($B227),1))</f>
        <v>46113</v>
      </c>
      <c r="I227" s="0" t="str">
        <f aca="false">IF($G227="","Uncategorized — Review",IFERROR(INDEX(Mapping!$B:$B,MATCH($G227,Mapping!$A:$A,0)),"Uncategorized — Review"))</f>
        <v>Zelle - Jeff Seider</v>
      </c>
      <c r="J227" s="0" t="str">
        <f aca="false">IF($G227="","Uncategorized — Review",IFERROR(INDEX(Mapping!$C:$C,MATCH($G227,Mapping!$A:$A,0)),"Uncategorized — Review"))</f>
        <v>P2P Payments (Zelle/Venmo/PayPal)</v>
      </c>
    </row>
    <row r="228" customFormat="false" ht="15" hidden="false" customHeight="false" outlineLevel="0" collapsed="false">
      <c r="A228" s="0" t="str">
        <f aca="false">Chase1168_2026!A228</f>
        <v>DEBIT</v>
      </c>
      <c r="B228" s="14" t="n">
        <f aca="false">Chase1168_2026!B228</f>
        <v>46120</v>
      </c>
      <c r="C228" s="0" t="str">
        <f aca="false">Chase1168_2026!C228</f>
        <v>ORIG CO NAME:FRANCHISE TAX BO       ORIG ID:1282532045 DESC DATE:260408 CO ENTRY DESCR:PAYMENTS  SEC:CCD    TRACE#:042000016488412 EED:260408   IND ID:127529069    PM              IND NAME:DWG CAPI TRN: 0986488412TC</v>
      </c>
      <c r="D228" s="7" t="n">
        <f aca="false">Chase1168_2026!D228</f>
        <v>-800</v>
      </c>
      <c r="E228" s="0" t="str">
        <f aca="false">Chase1168_2026!E228</f>
        <v>ACH_DEBIT</v>
      </c>
      <c r="F228" s="7" t="n">
        <f aca="false">Chase1168_2026!F228</f>
        <v>24095.26</v>
      </c>
      <c r="G228" s="0" t="str">
        <f aca="false">Chase1168_2026!G228</f>
        <v>DWG Capital Group - Taxes</v>
      </c>
      <c r="H228" s="15" t="n">
        <f aca="false">IF($B228="","",DATE(YEAR($B228),MONTH($B228),1))</f>
        <v>46113</v>
      </c>
      <c r="I228" s="0" t="str">
        <f aca="false">IF($G228="","Uncategorized — Review",IFERROR(INDEX(Mapping!$B:$B,MATCH($G228,Mapping!$A:$A,0)),"Uncategorized — Review"))</f>
        <v>Taxes</v>
      </c>
      <c r="J228" s="0" t="str">
        <f aca="false">IF($G228="","Uncategorized — Review",IFERROR(INDEX(Mapping!$C:$C,MATCH($G228,Mapping!$A:$A,0)),"Uncategorized — Review"))</f>
        <v>Taxes</v>
      </c>
    </row>
    <row r="229" customFormat="false" ht="15" hidden="false" customHeight="false" outlineLevel="0" collapsed="false">
      <c r="A229" s="0" t="str">
        <f aca="false">Chase1168_2026!A229</f>
        <v>DEBIT</v>
      </c>
      <c r="B229" s="14" t="n">
        <f aca="false">Chase1168_2026!B229</f>
        <v>46120</v>
      </c>
      <c r="C229" s="0" t="str">
        <f aca="false">Chase1168_2026!C229</f>
        <v>DNH*GODADDY#4058599825 480-5058855 AZ        04/07</v>
      </c>
      <c r="D229" s="7" t="n">
        <f aca="false">Chase1168_2026!D229</f>
        <v>-11.99</v>
      </c>
      <c r="E229" s="0" t="str">
        <f aca="false">Chase1168_2026!E229</f>
        <v>DEBIT_CARD</v>
      </c>
      <c r="F229" s="7" t="n">
        <f aca="false">Chase1168_2026!F229</f>
        <v>24895.26</v>
      </c>
      <c r="G229" s="0" t="str">
        <f aca="false">Chase1168_2026!G229</f>
        <v>Go Daddy</v>
      </c>
      <c r="H229" s="15" t="n">
        <f aca="false">IF($B229="","",DATE(YEAR($B229),MONTH($B229),1))</f>
        <v>46113</v>
      </c>
      <c r="I229" s="0" t="str">
        <f aca="false">IF($G229="","Uncategorized — Review",IFERROR(INDEX(Mapping!$B:$B,MATCH($G229,Mapping!$A:$A,0)),"Uncategorized — Review"))</f>
        <v>Go Daddy</v>
      </c>
      <c r="J229" s="0" t="str">
        <f aca="false">IF($G229="","Uncategorized — Review",IFERROR(INDEX(Mapping!$C:$C,MATCH($G229,Mapping!$A:$A,0)),"Uncategorized — Review"))</f>
        <v>DWG Operating</v>
      </c>
    </row>
    <row r="230" customFormat="false" ht="15" hidden="false" customHeight="false" outlineLevel="0" collapsed="false">
      <c r="A230" s="0" t="str">
        <f aca="false">Chase1168_2026!A230</f>
        <v>CREDIT</v>
      </c>
      <c r="B230" s="14" t="n">
        <f aca="false">Chase1168_2026!B230</f>
        <v>46120</v>
      </c>
      <c r="C230" s="0" t="str">
        <f aca="false">Chase1168_2026!C230</f>
        <v>Online Transfer from CHK ...9335 transaction#: 28750412871</v>
      </c>
      <c r="D230" s="7" t="n">
        <f aca="false">Chase1168_2026!D230</f>
        <v>20000</v>
      </c>
      <c r="E230" s="0" t="str">
        <f aca="false">Chase1168_2026!E230</f>
        <v>ACCT_XFER</v>
      </c>
      <c r="F230" s="7" t="n">
        <f aca="false">Chase1168_2026!F230</f>
        <v>24907.25</v>
      </c>
      <c r="G230" s="0" t="str">
        <f aca="false">Chase1168_2026!G230</f>
        <v>Poseidon Asset Group (Incoming)</v>
      </c>
      <c r="H230" s="15" t="n">
        <f aca="false">IF($B230="","",DATE(YEAR($B230),MONTH($B230),1))</f>
        <v>46113</v>
      </c>
      <c r="I230" s="0" t="str">
        <f aca="false">IF($G230="","Uncategorized — Review",IFERROR(INDEX(Mapping!$B:$B,MATCH($G230,Mapping!$A:$A,0)),"Uncategorized — Review"))</f>
        <v>Poseidon Asset Group (Incoming)</v>
      </c>
      <c r="J230" s="0" t="str">
        <f aca="false">IF($G230="","Uncategorized — Review",IFERROR(INDEX(Mapping!$C:$C,MATCH($G230,Mapping!$A:$A,0)),"Uncategorized — Review"))</f>
        <v>Poseidon Asset Group</v>
      </c>
    </row>
    <row r="231" customFormat="false" ht="15" hidden="false" customHeight="false" outlineLevel="0" collapsed="false">
      <c r="A231" s="0" t="str">
        <f aca="false">Chase1168_2026!A231</f>
        <v>DEBIT</v>
      </c>
      <c r="B231" s="14" t="n">
        <f aca="false">Chase1168_2026!B231</f>
        <v>46118</v>
      </c>
      <c r="C231" s="0" t="str">
        <f aca="false">Chase1168_2026!C231</f>
        <v>Zelle payment to Chase Hall 28730054069</v>
      </c>
      <c r="D231" s="7" t="n">
        <f aca="false">Chase1168_2026!D231</f>
        <v>-315</v>
      </c>
      <c r="E231" s="0" t="str">
        <f aca="false">Chase1168_2026!E231</f>
        <v>QUICKPAY_DEBIT</v>
      </c>
      <c r="F231" s="7" t="n">
        <f aca="false">Chase1168_2026!F231</f>
        <v>4907.25</v>
      </c>
      <c r="G231" s="0" t="str">
        <f aca="false">Chase1168_2026!G231</f>
        <v>Team Travel - Reimbursement</v>
      </c>
      <c r="H231" s="15" t="n">
        <f aca="false">IF($B231="","",DATE(YEAR($B231),MONTH($B231),1))</f>
        <v>46113</v>
      </c>
      <c r="I231" s="0" t="str">
        <f aca="false">IF($G231="","Uncategorized — Review",IFERROR(INDEX(Mapping!$B:$B,MATCH($G231,Mapping!$A:$A,0)),"Uncategorized — Review"))</f>
        <v>Team Travel - Reimbursement</v>
      </c>
      <c r="J231" s="0" t="str">
        <f aca="false">IF($G231="","Uncategorized — Review",IFERROR(INDEX(Mapping!$C:$C,MATCH($G231,Mapping!$A:$A,0)),"Uncategorized — Review"))</f>
        <v>Business Travel</v>
      </c>
    </row>
    <row r="232" customFormat="false" ht="15" hidden="false" customHeight="false" outlineLevel="0" collapsed="false">
      <c r="A232" s="0" t="str">
        <f aca="false">Chase1168_2026!A232</f>
        <v>DEBIT</v>
      </c>
      <c r="B232" s="14" t="n">
        <f aca="false">Chase1168_2026!B232</f>
        <v>46118</v>
      </c>
      <c r="C232" s="0" t="str">
        <f aca="false">Chase1168_2026!C232</f>
        <v>Basic Online Payroll Payment 11212936277 to ########4122</v>
      </c>
      <c r="D232" s="7" t="n">
        <f aca="false">Chase1168_2026!D232</f>
        <v>-1750</v>
      </c>
      <c r="E232" s="0" t="str">
        <f aca="false">Chase1168_2026!E232</f>
        <v>BASIC_PAYROLL</v>
      </c>
      <c r="F232" s="7" t="n">
        <f aca="false">Chase1168_2026!F232</f>
        <v>5222.25</v>
      </c>
      <c r="G232" s="0" t="str">
        <f aca="false">Chase1168_2026!G232</f>
        <v>Mike Paytonjian - Payroll</v>
      </c>
      <c r="H232" s="15" t="n">
        <f aca="false">IF($B232="","",DATE(YEAR($B232),MONTH($B232),1))</f>
        <v>46113</v>
      </c>
      <c r="I232" s="0" t="str">
        <f aca="false">IF($G232="","Uncategorized — Review",IFERROR(INDEX(Mapping!$B:$B,MATCH($G232,Mapping!$A:$A,0)),"Uncategorized — Review"))</f>
        <v>Mike Paytonjian - Payroll</v>
      </c>
      <c r="J232" s="0" t="str">
        <f aca="false">IF($G232="","Uncategorized — Review",IFERROR(INDEX(Mapping!$C:$C,MATCH($G232,Mapping!$A:$A,0)),"Uncategorized — Review"))</f>
        <v>Payroll &amp; Contractors</v>
      </c>
    </row>
    <row r="233" customFormat="false" ht="15" hidden="false" customHeight="false" outlineLevel="0" collapsed="false">
      <c r="A233" s="0" t="str">
        <f aca="false">Chase1168_2026!A233</f>
        <v>DEBIT</v>
      </c>
      <c r="B233" s="14" t="n">
        <f aca="false">Chase1168_2026!B233</f>
        <v>46118</v>
      </c>
      <c r="C233" s="0" t="str">
        <f aca="false">Chase1168_2026!C233</f>
        <v>PAYPAL *STEVEMCBETH19 402-935-7733 CA        04/06</v>
      </c>
      <c r="D233" s="7" t="n">
        <f aca="false">Chase1168_2026!D233</f>
        <v>-103.2</v>
      </c>
      <c r="E233" s="0" t="str">
        <f aca="false">Chase1168_2026!E233</f>
        <v>DEBIT_CARD</v>
      </c>
      <c r="F233" s="7" t="n">
        <f aca="false">Chase1168_2026!F233</f>
        <v>6972.25</v>
      </c>
      <c r="G233" s="0" t="str">
        <f aca="false">Chase1168_2026!G233</f>
        <v>Personal - Paypal</v>
      </c>
      <c r="H233" s="15" t="n">
        <f aca="false">IF($B233="","",DATE(YEAR($B233),MONTH($B233),1))</f>
        <v>46113</v>
      </c>
      <c r="I233" s="0" t="str">
        <f aca="false">IF($G233="","Uncategorized — Review",IFERROR(INDEX(Mapping!$B:$B,MATCH($G233,Mapping!$A:$A,0)),"Uncategorized — Review"))</f>
        <v>Personal - Paypal</v>
      </c>
      <c r="J233" s="0" t="str">
        <f aca="false">IF($G233="","Uncategorized — Review",IFERROR(INDEX(Mapping!$C:$C,MATCH($G233,Mapping!$A:$A,0)),"Uncategorized — Review"))</f>
        <v>Personal — Owner</v>
      </c>
    </row>
    <row r="234" customFormat="false" ht="15" hidden="false" customHeight="false" outlineLevel="0" collapsed="false">
      <c r="A234" s="0" t="str">
        <f aca="false">Chase1168_2026!A234</f>
        <v>DEBIT</v>
      </c>
      <c r="B234" s="14" t="n">
        <f aca="false">Chase1168_2026!B234</f>
        <v>46118</v>
      </c>
      <c r="C234" s="0" t="str">
        <f aca="false">Chase1168_2026!C234</f>
        <v>DNH*GODADDY#4057078506 480-5058855 AZ        04/05</v>
      </c>
      <c r="D234" s="7" t="n">
        <f aca="false">Chase1168_2026!D234</f>
        <v>-67.34</v>
      </c>
      <c r="E234" s="0" t="str">
        <f aca="false">Chase1168_2026!E234</f>
        <v>DEBIT_CARD</v>
      </c>
      <c r="F234" s="7" t="n">
        <f aca="false">Chase1168_2026!F234</f>
        <v>7075.45</v>
      </c>
      <c r="G234" s="0" t="str">
        <f aca="false">Chase1168_2026!G234</f>
        <v>Go Daddy</v>
      </c>
      <c r="H234" s="15" t="n">
        <f aca="false">IF($B234="","",DATE(YEAR($B234),MONTH($B234),1))</f>
        <v>46113</v>
      </c>
      <c r="I234" s="0" t="str">
        <f aca="false">IF($G234="","Uncategorized — Review",IFERROR(INDEX(Mapping!$B:$B,MATCH($G234,Mapping!$A:$A,0)),"Uncategorized — Review"))</f>
        <v>Go Daddy</v>
      </c>
      <c r="J234" s="0" t="str">
        <f aca="false">IF($G234="","Uncategorized — Review",IFERROR(INDEX(Mapping!$C:$C,MATCH($G234,Mapping!$A:$A,0)),"Uncategorized — Review"))</f>
        <v>DWG Operating</v>
      </c>
    </row>
    <row r="235" customFormat="false" ht="15" hidden="false" customHeight="false" outlineLevel="0" collapsed="false">
      <c r="A235" s="0" t="str">
        <f aca="false">Chase1168_2026!A235</f>
        <v>DEBIT</v>
      </c>
      <c r="B235" s="14" t="n">
        <f aca="false">Chase1168_2026!B235</f>
        <v>46118</v>
      </c>
      <c r="C235" s="0" t="str">
        <f aca="false">Chase1168_2026!C235</f>
        <v>PAYPAL *RUTHALCANCI 402-935-7733 CA          04/05</v>
      </c>
      <c r="D235" s="7" t="n">
        <f aca="false">Chase1168_2026!D235</f>
        <v>-159.6</v>
      </c>
      <c r="E235" s="0" t="str">
        <f aca="false">Chase1168_2026!E235</f>
        <v>DEBIT_CARD</v>
      </c>
      <c r="F235" s="7" t="n">
        <f aca="false">Chase1168_2026!F235</f>
        <v>7142.79</v>
      </c>
      <c r="G235" s="0" t="str">
        <f aca="false">Chase1168_2026!G235</f>
        <v>Ruth Alcancia - Forward Bridge Payment</v>
      </c>
      <c r="H235" s="15" t="n">
        <f aca="false">IF($B235="","",DATE(YEAR($B235),MONTH($B235),1))</f>
        <v>46113</v>
      </c>
      <c r="I235" s="0" t="str">
        <f aca="false">IF($G235="","Uncategorized — Review",IFERROR(INDEX(Mapping!$B:$B,MATCH($G235,Mapping!$A:$A,0)),"Uncategorized — Review"))</f>
        <v>Ruth Alcancia - Forward Bridge Payment</v>
      </c>
      <c r="J235" s="0" t="str">
        <f aca="false">IF($G235="","Uncategorized — Review",IFERROR(INDEX(Mapping!$C:$C,MATCH($G235,Mapping!$A:$A,0)),"Uncategorized — Review"))</f>
        <v>Payroll &amp; Contractors</v>
      </c>
    </row>
    <row r="236" customFormat="false" ht="15" hidden="false" customHeight="false" outlineLevel="0" collapsed="false">
      <c r="A236" s="0" t="str">
        <f aca="false">Chase1168_2026!A236</f>
        <v>DEBIT</v>
      </c>
      <c r="B236" s="14" t="n">
        <f aca="false">Chase1168_2026!B236</f>
        <v>46115</v>
      </c>
      <c r="C236" s="0" t="str">
        <f aca="false">Chase1168_2026!C236</f>
        <v>Zelle payment to Chase Hall 28688644260</v>
      </c>
      <c r="D236" s="7" t="n">
        <f aca="false">Chase1168_2026!D236</f>
        <v>-3500</v>
      </c>
      <c r="E236" s="0" t="str">
        <f aca="false">Chase1168_2026!E236</f>
        <v>QUICKPAY_DEBIT</v>
      </c>
      <c r="F236" s="7" t="n">
        <f aca="false">Chase1168_2026!F236</f>
        <v>7302.39</v>
      </c>
      <c r="G236" s="0" t="str">
        <f aca="false">Chase1168_2026!G236</f>
        <v>Chase Hall - Payroll</v>
      </c>
      <c r="H236" s="15" t="n">
        <f aca="false">IF($B236="","",DATE(YEAR($B236),MONTH($B236),1))</f>
        <v>46113</v>
      </c>
      <c r="I236" s="0" t="str">
        <f aca="false">IF($G236="","Uncategorized — Review",IFERROR(INDEX(Mapping!$B:$B,MATCH($G236,Mapping!$A:$A,0)),"Uncategorized — Review"))</f>
        <v>Chase Hall - Payroll</v>
      </c>
      <c r="J236" s="0" t="str">
        <f aca="false">IF($G236="","Uncategorized — Review",IFERROR(INDEX(Mapping!$C:$C,MATCH($G236,Mapping!$A:$A,0)),"Uncategorized — Review"))</f>
        <v>Payroll &amp; Contractors</v>
      </c>
    </row>
    <row r="237" customFormat="false" ht="15" hidden="false" customHeight="false" outlineLevel="0" collapsed="false">
      <c r="A237" s="0" t="str">
        <f aca="false">Chase1168_2026!A237</f>
        <v>DEBIT</v>
      </c>
      <c r="B237" s="14" t="n">
        <f aca="false">Chase1168_2026!B237</f>
        <v>46115</v>
      </c>
      <c r="C237" s="0" t="str">
        <f aca="false">Chase1168_2026!C237</f>
        <v>PAYPAL *PRAGERUNIVE P 833-772-4378 CA        04/03</v>
      </c>
      <c r="D237" s="7" t="n">
        <f aca="false">Chase1168_2026!D237</f>
        <v>-10.78</v>
      </c>
      <c r="E237" s="0" t="str">
        <f aca="false">Chase1168_2026!E237</f>
        <v>DEBIT_CARD</v>
      </c>
      <c r="F237" s="7" t="n">
        <f aca="false">Chase1168_2026!F237</f>
        <v>10802.39</v>
      </c>
      <c r="G237" s="0" t="str">
        <f aca="false">Chase1168_2026!G237</f>
        <v>DWGCP Business Development</v>
      </c>
      <c r="H237" s="15" t="n">
        <f aca="false">IF($B237="","",DATE(YEAR($B237),MONTH($B237),1))</f>
        <v>46113</v>
      </c>
      <c r="I237" s="0" t="str">
        <f aca="false">IF($G237="","Uncategorized — Review",IFERROR(INDEX(Mapping!$B:$B,MATCH($G237,Mapping!$A:$A,0)),"Uncategorized — Review"))</f>
        <v>DWGCP Business Development</v>
      </c>
      <c r="J237" s="0" t="str">
        <f aca="false">IF($G237="","Uncategorized — Review",IFERROR(INDEX(Mapping!$C:$C,MATCH($G237,Mapping!$A:$A,0)),"Uncategorized — Review"))</f>
        <v>DWG Operating</v>
      </c>
    </row>
    <row r="238" customFormat="false" ht="15" hidden="false" customHeight="false" outlineLevel="0" collapsed="false">
      <c r="A238" s="0" t="str">
        <f aca="false">Chase1168_2026!A238</f>
        <v>CREDIT</v>
      </c>
      <c r="B238" s="14" t="n">
        <f aca="false">Chase1168_2026!B238</f>
        <v>46115</v>
      </c>
      <c r="C238" s="0" t="str">
        <f aca="false">Chase1168_2026!C238</f>
        <v>ORIG CO NAME:GI CAPITAL GROUP       ORIG ID:9200502235 DESC DATE:260403 CO ENTRY DESCR:ACH Pmt   SEC:CCD    TRACE#:021000027199418 EED:260403   IND ID:11212558773                  IND NAME:DWG CAPITAL GROUP          E4: $4,190.21 + E7: 4,366.20 = $8,5 56.41- APRIL 2026. TRN: 0937199418TC</v>
      </c>
      <c r="D238" s="7" t="n">
        <f aca="false">Chase1168_2026!D238</f>
        <v>8556.41</v>
      </c>
      <c r="E238" s="0" t="str">
        <f aca="false">Chase1168_2026!E238</f>
        <v>ACH_CREDIT</v>
      </c>
      <c r="F238" s="7" t="n">
        <f aca="false">Chase1168_2026!F238</f>
        <v>10813.17</v>
      </c>
      <c r="G238" s="0" t="str">
        <f aca="false">Chase1168_2026!G238</f>
        <v>Incoming MOAB Mortgage Coverage</v>
      </c>
      <c r="H238" s="15" t="n">
        <f aca="false">IF($B238="","",DATE(YEAR($B238),MONTH($B238),1))</f>
        <v>46113</v>
      </c>
      <c r="I238" s="0" t="str">
        <f aca="false">IF($G238="","Uncategorized — Review",IFERROR(INDEX(Mapping!$B:$B,MATCH($G238,Mapping!$A:$A,0)),"Uncategorized — Review"))</f>
        <v>Incoming MOAB Mortgage Coverage</v>
      </c>
      <c r="J238" s="0" t="str">
        <f aca="false">IF($G238="","Uncategorized — Review",IFERROR(INDEX(Mapping!$C:$C,MATCH($G238,Mapping!$A:$A,0)),"Uncategorized — Review"))</f>
        <v>Deal-Specific</v>
      </c>
    </row>
    <row r="239" customFormat="false" ht="15" hidden="false" customHeight="false" outlineLevel="0" collapsed="false">
      <c r="A239" s="0" t="str">
        <f aca="false">Chase1168_2026!A239</f>
        <v>DEBIT</v>
      </c>
      <c r="B239" s="14" t="n">
        <f aca="false">Chase1168_2026!B239</f>
        <v>46114</v>
      </c>
      <c r="C239" s="0" t="str">
        <f aca="false">Chase1168_2026!C239</f>
        <v>DNH*GODADDY#4054362197 480-5058855 AZ        04/02</v>
      </c>
      <c r="D239" s="7" t="n">
        <f aca="false">Chase1168_2026!D239</f>
        <v>-20.97</v>
      </c>
      <c r="E239" s="0" t="str">
        <f aca="false">Chase1168_2026!E239</f>
        <v>DEBIT_CARD</v>
      </c>
      <c r="F239" s="7" t="n">
        <f aca="false">Chase1168_2026!F239</f>
        <v>2256.76</v>
      </c>
      <c r="G239" s="0" t="str">
        <f aca="false">Chase1168_2026!G239</f>
        <v>Go Daddy</v>
      </c>
      <c r="H239" s="15" t="n">
        <f aca="false">IF($B239="","",DATE(YEAR($B239),MONTH($B239),1))</f>
        <v>46113</v>
      </c>
      <c r="I239" s="0" t="str">
        <f aca="false">IF($G239="","Uncategorized — Review",IFERROR(INDEX(Mapping!$B:$B,MATCH($G239,Mapping!$A:$A,0)),"Uncategorized — Review"))</f>
        <v>Go Daddy</v>
      </c>
      <c r="J239" s="0" t="str">
        <f aca="false">IF($G239="","Uncategorized — Review",IFERROR(INDEX(Mapping!$C:$C,MATCH($G239,Mapping!$A:$A,0)),"Uncategorized — Review"))</f>
        <v>DWG Operating</v>
      </c>
    </row>
    <row r="240" customFormat="false" ht="15" hidden="false" customHeight="false" outlineLevel="0" collapsed="false">
      <c r="A240" s="0" t="str">
        <f aca="false">Chase1168_2026!A240</f>
        <v>DEBIT</v>
      </c>
      <c r="B240" s="14" t="n">
        <f aca="false">Chase1168_2026!B240</f>
        <v>46114</v>
      </c>
      <c r="C240" s="0" t="str">
        <f aca="false">Chase1168_2026!C240</f>
        <v>DNH*GODADDY#4053652623 480-5058855 AZ        04/01</v>
      </c>
      <c r="D240" s="7" t="n">
        <f aca="false">Chase1168_2026!D240</f>
        <v>-241.19</v>
      </c>
      <c r="E240" s="0" t="str">
        <f aca="false">Chase1168_2026!E240</f>
        <v>DEBIT_CARD</v>
      </c>
      <c r="F240" s="7" t="n">
        <f aca="false">Chase1168_2026!F240</f>
        <v>2277.73</v>
      </c>
      <c r="G240" s="0" t="str">
        <f aca="false">Chase1168_2026!G240</f>
        <v>Go Daddy</v>
      </c>
      <c r="H240" s="15" t="n">
        <f aca="false">IF($B240="","",DATE(YEAR($B240),MONTH($B240),1))</f>
        <v>46113</v>
      </c>
      <c r="I240" s="0" t="str">
        <f aca="false">IF($G240="","Uncategorized — Review",IFERROR(INDEX(Mapping!$B:$B,MATCH($G240,Mapping!$A:$A,0)),"Uncategorized — Review"))</f>
        <v>Go Daddy</v>
      </c>
      <c r="J240" s="0" t="str">
        <f aca="false">IF($G240="","Uncategorized — Review",IFERROR(INDEX(Mapping!$C:$C,MATCH($G240,Mapping!$A:$A,0)),"Uncategorized — Review"))</f>
        <v>DWG Operating</v>
      </c>
    </row>
    <row r="241" customFormat="false" ht="15" hidden="false" customHeight="false" outlineLevel="0" collapsed="false">
      <c r="A241" s="0" t="str">
        <f aca="false">Chase1168_2026!A241</f>
        <v>DEBIT</v>
      </c>
      <c r="B241" s="14" t="n">
        <f aca="false">Chase1168_2026!B241</f>
        <v>46113</v>
      </c>
      <c r="C241" s="0" t="str">
        <f aca="false">Chase1168_2026!C241</f>
        <v>STANDARD ACH PMNTS INITIAL FEE QTY = 8</v>
      </c>
      <c r="D241" s="7" t="n">
        <f aca="false">Chase1168_2026!D241</f>
        <v>-20</v>
      </c>
      <c r="E241" s="0" t="str">
        <f aca="false">Chase1168_2026!E241</f>
        <v>FEE_TRANSACTION</v>
      </c>
      <c r="F241" s="7" t="n">
        <f aca="false">Chase1168_2026!F241</f>
        <v>2518.92</v>
      </c>
      <c r="G241" s="0" t="str">
        <f aca="false">Chase1168_2026!G241</f>
        <v>Bank Fees</v>
      </c>
      <c r="H241" s="15" t="n">
        <f aca="false">IF($B241="","",DATE(YEAR($B241),MONTH($B241),1))</f>
        <v>46113</v>
      </c>
      <c r="I241" s="0" t="str">
        <f aca="false">IF($G241="","Uncategorized — Review",IFERROR(INDEX(Mapping!$B:$B,MATCH($G241,Mapping!$A:$A,0)),"Uncategorized — Review"))</f>
        <v>Bank Fees</v>
      </c>
      <c r="J241" s="0" t="str">
        <f aca="false">IF($G241="","Uncategorized — Review",IFERROR(INDEX(Mapping!$C:$C,MATCH($G241,Mapping!$A:$A,0)),"Uncategorized — Review"))</f>
        <v>DWG Operating</v>
      </c>
    </row>
    <row r="242" customFormat="false" ht="15" hidden="false" customHeight="false" outlineLevel="0" collapsed="false">
      <c r="A242" s="0" t="str">
        <f aca="false">Chase1168_2026!A242</f>
        <v>DEBIT</v>
      </c>
      <c r="B242" s="14" t="n">
        <f aca="false">Chase1168_2026!B242</f>
        <v>46113</v>
      </c>
      <c r="C242" s="0" t="str">
        <f aca="false">Chase1168_2026!C242</f>
        <v>ORIG CO NAME:SELECT PORTFOLIO       ORIG ID:1870465626 DESC DATE:       CO ENTRY DESCR:SPS       SEC:WEB    TRACE#:021000026827892 EED:260401   IND ID:0037017712                   IND NAME:John Barker Dunning TRN: 0916827892TC</v>
      </c>
      <c r="D242" s="7" t="n">
        <f aca="false">Chase1168_2026!D242</f>
        <v>-4190.21</v>
      </c>
      <c r="E242" s="0" t="str">
        <f aca="false">Chase1168_2026!E242</f>
        <v>ACH_DEBIT</v>
      </c>
      <c r="F242" s="7" t="n">
        <f aca="false">Chase1168_2026!F242</f>
        <v>2538.92</v>
      </c>
      <c r="G242" s="0" t="str">
        <f aca="false">Chase1168_2026!G242</f>
        <v>Moab E4 Mortgage Payment</v>
      </c>
      <c r="H242" s="15" t="n">
        <f aca="false">IF($B242="","",DATE(YEAR($B242),MONTH($B242),1))</f>
        <v>46113</v>
      </c>
      <c r="I242" s="0" t="str">
        <f aca="false">IF($G242="","Uncategorized — Review",IFERROR(INDEX(Mapping!$B:$B,MATCH($G242,Mapping!$A:$A,0)),"Uncategorized — Review"))</f>
        <v>Moab E4 Mortgage Payment</v>
      </c>
      <c r="J242" s="0" t="str">
        <f aca="false">IF($G242="","Uncategorized — Review",IFERROR(INDEX(Mapping!$C:$C,MATCH($G242,Mapping!$A:$A,0)),"Uncategorized — Review"))</f>
        <v>Deal-Specific</v>
      </c>
    </row>
    <row r="243" customFormat="false" ht="15" hidden="false" customHeight="false" outlineLevel="0" collapsed="false">
      <c r="A243" s="0" t="str">
        <f aca="false">Chase1168_2026!A243</f>
        <v>DEBIT</v>
      </c>
      <c r="B243" s="14" t="n">
        <f aca="false">Chase1168_2026!B243</f>
        <v>46113</v>
      </c>
      <c r="C243" s="0" t="str">
        <f aca="false">Chase1168_2026!C243</f>
        <v>ORIG CO NAME:SELECT PORTFOLIO       ORIG ID:1870465626 DESC DATE:       CO ENTRY DESCR:SPS       SEC:WEB    TRACE#:021000026827893 EED:260401   IND ID:0037017720                   IND NAME:John Barker Dunning TRN: 0916827893TC</v>
      </c>
      <c r="D243" s="7" t="n">
        <f aca="false">Chase1168_2026!D243</f>
        <v>-4366.2</v>
      </c>
      <c r="E243" s="0" t="str">
        <f aca="false">Chase1168_2026!E243</f>
        <v>ACH_DEBIT</v>
      </c>
      <c r="F243" s="7" t="n">
        <f aca="false">Chase1168_2026!F243</f>
        <v>6729.13</v>
      </c>
      <c r="G243" s="0" t="str">
        <f aca="false">Chase1168_2026!G243</f>
        <v>Moab E7 Mortgage Payment</v>
      </c>
      <c r="H243" s="15" t="n">
        <f aca="false">IF($B243="","",DATE(YEAR($B243),MONTH($B243),1))</f>
        <v>46113</v>
      </c>
      <c r="I243" s="0" t="str">
        <f aca="false">IF($G243="","Uncategorized — Review",IFERROR(INDEX(Mapping!$B:$B,MATCH($G243,Mapping!$A:$A,0)),"Uncategorized — Review"))</f>
        <v>Moab E7 Mortgage Payment</v>
      </c>
      <c r="J243" s="0" t="str">
        <f aca="false">IF($G243="","Uncategorized — Review",IFERROR(INDEX(Mapping!$C:$C,MATCH($G243,Mapping!$A:$A,0)),"Uncategorized — Review"))</f>
        <v>Deal-Specific</v>
      </c>
    </row>
    <row r="244" customFormat="false" ht="15" hidden="false" customHeight="false" outlineLevel="0" collapsed="false">
      <c r="A244" s="0" t="str">
        <f aca="false">Chase1168_2026!A244</f>
        <v>DEBIT</v>
      </c>
      <c r="B244" s="14" t="n">
        <f aca="false">Chase1168_2026!B244</f>
        <v>46113</v>
      </c>
      <c r="C244" s="0" t="str">
        <f aca="false">Chase1168_2026!C244</f>
        <v>ORIG CO NAME:BLUESHIELDCA           ORIG ID:7529219311 DESC DATE:260331 CO ENTRY DESCR:BILL PAY  SEC:CCD    TRACE#:031101111214604 EED:260401   IND ID:15753249311                  IND NAME:ANGELA DUNNING TRN: 0911214604TC</v>
      </c>
      <c r="D244" s="7" t="n">
        <f aca="false">Chase1168_2026!D244</f>
        <v>-974.85</v>
      </c>
      <c r="E244" s="0" t="str">
        <f aca="false">Chase1168_2026!E244</f>
        <v>ACH_DEBIT</v>
      </c>
      <c r="F244" s="7" t="n">
        <f aca="false">Chase1168_2026!F244</f>
        <v>11095.33</v>
      </c>
      <c r="G244" s="0" t="str">
        <f aca="false">Chase1168_2026!G244</f>
        <v>Personal - Health Insurance</v>
      </c>
      <c r="H244" s="15" t="n">
        <f aca="false">IF($B244="","",DATE(YEAR($B244),MONTH($B244),1))</f>
        <v>46113</v>
      </c>
      <c r="I244" s="0" t="str">
        <f aca="false">IF($G244="","Uncategorized — Review",IFERROR(INDEX(Mapping!$B:$B,MATCH($G244,Mapping!$A:$A,0)),"Uncategorized — Review"))</f>
        <v>Personal - Health (incl. Ins.)</v>
      </c>
      <c r="J244" s="0" t="str">
        <f aca="false">IF($G244="","Uncategorized — Review",IFERROR(INDEX(Mapping!$C:$C,MATCH($G244,Mapping!$A:$A,0)),"Uncategorized — Review"))</f>
        <v>Personal — Owner</v>
      </c>
    </row>
    <row r="245" customFormat="false" ht="15" hidden="false" customHeight="false" outlineLevel="0" collapsed="false">
      <c r="A245" s="0" t="str">
        <f aca="false">Chase1168_2026!A245</f>
        <v>DEBIT</v>
      </c>
      <c r="B245" s="14" t="n">
        <f aca="false">Chase1168_2026!B245</f>
        <v>46112</v>
      </c>
      <c r="C245" s="0" t="str">
        <f aca="false">Chase1168_2026!C245</f>
        <v>BLUE SHIELD CALIFORNI 800-393-6130 CA        03/31</v>
      </c>
      <c r="D245" s="7" t="n">
        <f aca="false">Chase1168_2026!D245</f>
        <v>-1293.42</v>
      </c>
      <c r="E245" s="0" t="str">
        <f aca="false">Chase1168_2026!E245</f>
        <v>DEBIT_CARD</v>
      </c>
      <c r="F245" s="7" t="n">
        <f aca="false">Chase1168_2026!F245</f>
        <v>12070.18</v>
      </c>
      <c r="G245" s="0" t="str">
        <f aca="false">Chase1168_2026!G245</f>
        <v>Personal - Health Insurance</v>
      </c>
      <c r="H245" s="15" t="n">
        <f aca="false">IF($B245="","",DATE(YEAR($B245),MONTH($B245),1))</f>
        <v>46082</v>
      </c>
      <c r="I245" s="0" t="str">
        <f aca="false">IF($G245="","Uncategorized — Review",IFERROR(INDEX(Mapping!$B:$B,MATCH($G245,Mapping!$A:$A,0)),"Uncategorized — Review"))</f>
        <v>Personal - Health (incl. Ins.)</v>
      </c>
      <c r="J245" s="0" t="str">
        <f aca="false">IF($G245="","Uncategorized — Review",IFERROR(INDEX(Mapping!$C:$C,MATCH($G245,Mapping!$A:$A,0)),"Uncategorized — Review"))</f>
        <v>Personal — Owner</v>
      </c>
    </row>
    <row r="246" customFormat="false" ht="15" hidden="false" customHeight="false" outlineLevel="0" collapsed="false">
      <c r="A246" s="0" t="str">
        <f aca="false">Chase1168_2026!A246</f>
        <v>DEBIT</v>
      </c>
      <c r="B246" s="14" t="n">
        <f aca="false">Chase1168_2026!B246</f>
        <v>46112</v>
      </c>
      <c r="C246" s="0" t="str">
        <f aca="false">Chase1168_2026!C246</f>
        <v>ORIG CO NAME:GEICO                  ORIG ID:3530075853 DESC DATE:260330 CO ENTRY DESCR:PREM COLL SEC:PPD    TRACE#:021000020092805 EED:260331   IND ID:                             IND NAME:ANGELA TRN: 0900092805TC</v>
      </c>
      <c r="D246" s="7" t="n">
        <f aca="false">Chase1168_2026!D246</f>
        <v>-617.48</v>
      </c>
      <c r="E246" s="0" t="str">
        <f aca="false">Chase1168_2026!E246</f>
        <v>ACH_DEBIT</v>
      </c>
      <c r="F246" s="7" t="n">
        <f aca="false">Chase1168_2026!F246</f>
        <v>13363.6</v>
      </c>
      <c r="G246" s="0" t="str">
        <f aca="false">Chase1168_2026!G246</f>
        <v>Personal - Car Insurance</v>
      </c>
      <c r="H246" s="15" t="n">
        <f aca="false">IF($B246="","",DATE(YEAR($B246),MONTH($B246),1))</f>
        <v>46082</v>
      </c>
      <c r="I246" s="0" t="str">
        <f aca="false">IF($G246="","Uncategorized — Review",IFERROR(INDEX(Mapping!$B:$B,MATCH($G246,Mapping!$A:$A,0)),"Uncategorized — Review"))</f>
        <v>Personal - Car &amp; Auto</v>
      </c>
      <c r="J246" s="0" t="str">
        <f aca="false">IF($G246="","Uncategorized — Review",IFERROR(INDEX(Mapping!$C:$C,MATCH($G246,Mapping!$A:$A,0)),"Uncategorized — Review"))</f>
        <v>Personal — Owner</v>
      </c>
    </row>
    <row r="247" customFormat="false" ht="15" hidden="false" customHeight="false" outlineLevel="0" collapsed="false">
      <c r="A247" s="0" t="str">
        <f aca="false">Chase1168_2026!A247</f>
        <v>DEBIT</v>
      </c>
      <c r="B247" s="14" t="n">
        <f aca="false">Chase1168_2026!B247</f>
        <v>46111</v>
      </c>
      <c r="C247" s="0" t="str">
        <f aca="false">Chase1168_2026!C247</f>
        <v>Basic Online Payroll Payment 11212049326 to ########4122</v>
      </c>
      <c r="D247" s="7" t="n">
        <f aca="false">Chase1168_2026!D247</f>
        <v>-1750</v>
      </c>
      <c r="E247" s="0" t="str">
        <f aca="false">Chase1168_2026!E247</f>
        <v>BASIC_PAYROLL</v>
      </c>
      <c r="F247" s="7" t="n">
        <f aca="false">Chase1168_2026!F247</f>
        <v>13981.08</v>
      </c>
      <c r="G247" s="0" t="str">
        <f aca="false">Chase1168_2026!G247</f>
        <v>Mike Paytonjian - Payroll</v>
      </c>
      <c r="H247" s="15" t="n">
        <f aca="false">IF($B247="","",DATE(YEAR($B247),MONTH($B247),1))</f>
        <v>46082</v>
      </c>
      <c r="I247" s="0" t="str">
        <f aca="false">IF($G247="","Uncategorized — Review",IFERROR(INDEX(Mapping!$B:$B,MATCH($G247,Mapping!$A:$A,0)),"Uncategorized — Review"))</f>
        <v>Mike Paytonjian - Payroll</v>
      </c>
      <c r="J247" s="0" t="str">
        <f aca="false">IF($G247="","Uncategorized — Review",IFERROR(INDEX(Mapping!$C:$C,MATCH($G247,Mapping!$A:$A,0)),"Uncategorized — Review"))</f>
        <v>Payroll &amp; Contractors</v>
      </c>
    </row>
    <row r="248" customFormat="false" ht="15" hidden="false" customHeight="false" outlineLevel="0" collapsed="false">
      <c r="A248" s="0" t="str">
        <f aca="false">Chase1168_2026!A248</f>
        <v>DEBIT</v>
      </c>
      <c r="B248" s="14" t="n">
        <f aca="false">Chase1168_2026!B248</f>
        <v>46111</v>
      </c>
      <c r="C248" s="0" t="str">
        <f aca="false">Chase1168_2026!C248</f>
        <v>ORIG CO NAME:VENMO                  ORIG ID:3264681992 DESC DATE:260328 CO ENTRY DESCR:PAYMENT   SEC:WEB    TRACE#:021000024514291 EED:260330   IND ID:1049220124349                IND NAME:JUDD DUNNING                                                                                                 260328PPZJ2X TRN: 0894514291TC</v>
      </c>
      <c r="D248" s="7" t="n">
        <f aca="false">Chase1168_2026!D248</f>
        <v>-300</v>
      </c>
      <c r="E248" s="0" t="str">
        <f aca="false">Chase1168_2026!E248</f>
        <v>ACH_DEBIT</v>
      </c>
      <c r="F248" s="7" t="n">
        <f aca="false">Chase1168_2026!F248</f>
        <v>15731.08</v>
      </c>
      <c r="G248" s="0" t="str">
        <f aca="false">Chase1168_2026!G248</f>
        <v>Venmo</v>
      </c>
      <c r="H248" s="15" t="n">
        <f aca="false">IF($B248="","",DATE(YEAR($B248),MONTH($B248),1))</f>
        <v>46082</v>
      </c>
      <c r="I248" s="0" t="str">
        <f aca="false">IF($G248="","Uncategorized — Review",IFERROR(INDEX(Mapping!$B:$B,MATCH($G248,Mapping!$A:$A,0)),"Uncategorized — Review"))</f>
        <v>Venmo</v>
      </c>
      <c r="J248" s="0" t="str">
        <f aca="false">IF($G248="","Uncategorized — Review",IFERROR(INDEX(Mapping!$C:$C,MATCH($G248,Mapping!$A:$A,0)),"Uncategorized — Review"))</f>
        <v>P2P Payments (Zelle/Venmo/PayPal)</v>
      </c>
    </row>
    <row r="249" customFormat="false" ht="15" hidden="false" customHeight="false" outlineLevel="0" collapsed="false">
      <c r="A249" s="0" t="str">
        <f aca="false">Chase1168_2026!A249</f>
        <v>DEBIT</v>
      </c>
      <c r="B249" s="14" t="n">
        <f aca="false">Chase1168_2026!B249</f>
        <v>46111</v>
      </c>
      <c r="C249" s="0" t="str">
        <f aca="false">Chase1168_2026!C249</f>
        <v>ORIG CO NAME:GEICO                  ORIG ID:3530075853 DESC DATE:260328 CO ENTRY DESCR:PREM COLL SEC:PPD    TRACE#:021000024735358 EED:260330   IND ID:                             IND NAME:ANGELA DUNNING TRN: 0894735358TC</v>
      </c>
      <c r="D249" s="7" t="n">
        <f aca="false">Chase1168_2026!D249</f>
        <v>-1240.27</v>
      </c>
      <c r="E249" s="0" t="str">
        <f aca="false">Chase1168_2026!E249</f>
        <v>ACH_DEBIT</v>
      </c>
      <c r="F249" s="7" t="n">
        <f aca="false">Chase1168_2026!F249</f>
        <v>16031.08</v>
      </c>
      <c r="G249" s="0" t="str">
        <f aca="false">Chase1168_2026!G249</f>
        <v>Personal - Car Insurance</v>
      </c>
      <c r="H249" s="15" t="n">
        <f aca="false">IF($B249="","",DATE(YEAR($B249),MONTH($B249),1))</f>
        <v>46082</v>
      </c>
      <c r="I249" s="0" t="str">
        <f aca="false">IF($G249="","Uncategorized — Review",IFERROR(INDEX(Mapping!$B:$B,MATCH($G249,Mapping!$A:$A,0)),"Uncategorized — Review"))</f>
        <v>Personal - Car &amp; Auto</v>
      </c>
      <c r="J249" s="0" t="str">
        <f aca="false">IF($G249="","Uncategorized — Review",IFERROR(INDEX(Mapping!$C:$C,MATCH($G249,Mapping!$A:$A,0)),"Uncategorized — Review"))</f>
        <v>Personal — Owner</v>
      </c>
    </row>
    <row r="250" customFormat="false" ht="15" hidden="false" customHeight="false" outlineLevel="0" collapsed="false">
      <c r="A250" s="0" t="str">
        <f aca="false">Chase1168_2026!A250</f>
        <v>DEBIT</v>
      </c>
      <c r="B250" s="14" t="n">
        <f aca="false">Chase1168_2026!B250</f>
        <v>46111</v>
      </c>
      <c r="C250" s="0" t="str">
        <f aca="false">Chase1168_2026!C250</f>
        <v>PAYPAL *PANASONICAV 402-935-7733 CA          03/29</v>
      </c>
      <c r="D250" s="7" t="n">
        <f aca="false">Chase1168_2026!D250</f>
        <v>-36.08</v>
      </c>
      <c r="E250" s="0" t="str">
        <f aca="false">Chase1168_2026!E250</f>
        <v>DEBIT_CARD</v>
      </c>
      <c r="F250" s="7" t="n">
        <f aca="false">Chase1168_2026!F250</f>
        <v>17271.35</v>
      </c>
      <c r="G250" s="0" t="str">
        <f aca="false">Chase1168_2026!G250</f>
        <v>PayPal</v>
      </c>
      <c r="H250" s="15" t="n">
        <f aca="false">IF($B250="","",DATE(YEAR($B250),MONTH($B250),1))</f>
        <v>46082</v>
      </c>
      <c r="I250" s="0" t="str">
        <f aca="false">IF($G250="","Uncategorized — Review",IFERROR(INDEX(Mapping!$B:$B,MATCH($G250,Mapping!$A:$A,0)),"Uncategorized — Review"))</f>
        <v>PayPal</v>
      </c>
      <c r="J250" s="0" t="str">
        <f aca="false">IF($G250="","Uncategorized — Review",IFERROR(INDEX(Mapping!$C:$C,MATCH($G250,Mapping!$A:$A,0)),"Uncategorized — Review"))</f>
        <v>P2P Payments (Zelle/Venmo/PayPal)</v>
      </c>
    </row>
    <row r="251" customFormat="false" ht="15" hidden="false" customHeight="false" outlineLevel="0" collapsed="false">
      <c r="A251" s="0" t="str">
        <f aca="false">Chase1168_2026!A251</f>
        <v>DEBIT</v>
      </c>
      <c r="B251" s="14" t="n">
        <f aca="false">Chase1168_2026!B251</f>
        <v>46111</v>
      </c>
      <c r="C251" s="0" t="str">
        <f aca="false">Chase1168_2026!C251</f>
        <v>DNH*GODADDY#4050682815 480-5058855 AZ        03/28</v>
      </c>
      <c r="D251" s="7" t="n">
        <f aca="false">Chase1168_2026!D251</f>
        <v>-22.98</v>
      </c>
      <c r="E251" s="0" t="str">
        <f aca="false">Chase1168_2026!E251</f>
        <v>DEBIT_CARD</v>
      </c>
      <c r="F251" s="7" t="n">
        <f aca="false">Chase1168_2026!F251</f>
        <v>17307.43</v>
      </c>
      <c r="G251" s="0" t="str">
        <f aca="false">Chase1168_2026!G251</f>
        <v>Go Daddy</v>
      </c>
      <c r="H251" s="15" t="n">
        <f aca="false">IF($B251="","",DATE(YEAR($B251),MONTH($B251),1))</f>
        <v>46082</v>
      </c>
      <c r="I251" s="0" t="str">
        <f aca="false">IF($G251="","Uncategorized — Review",IFERROR(INDEX(Mapping!$B:$B,MATCH($G251,Mapping!$A:$A,0)),"Uncategorized — Review"))</f>
        <v>Go Daddy</v>
      </c>
      <c r="J251" s="0" t="str">
        <f aca="false">IF($G251="","Uncategorized — Review",IFERROR(INDEX(Mapping!$C:$C,MATCH($G251,Mapping!$A:$A,0)),"Uncategorized — Review"))</f>
        <v>DWG Operating</v>
      </c>
    </row>
    <row r="252" customFormat="false" ht="15" hidden="false" customHeight="false" outlineLevel="0" collapsed="false">
      <c r="A252" s="0" t="str">
        <f aca="false">Chase1168_2026!A252</f>
        <v>DEBIT</v>
      </c>
      <c r="B252" s="14" t="n">
        <f aca="false">Chase1168_2026!B252</f>
        <v>46111</v>
      </c>
      <c r="C252" s="0" t="str">
        <f aca="false">Chase1168_2026!C252</f>
        <v>ORIG CO NAME:BANNER LIFE            ORIG ID:1521236145 DESC DATE:260327 CO ENTRY DESCR:PREM DEBITSEC:PPD    TRACE#:091000011563621 EED:260330   IND ID:                             IND NAME:ANGELA L DUNNING TRN: 0891563621TC</v>
      </c>
      <c r="D252" s="7" t="n">
        <f aca="false">Chase1168_2026!D252</f>
        <v>-12.5</v>
      </c>
      <c r="E252" s="0" t="str">
        <f aca="false">Chase1168_2026!E252</f>
        <v>ACH_DEBIT</v>
      </c>
      <c r="F252" s="7" t="n">
        <f aca="false">Chase1168_2026!F252</f>
        <v>17330.41</v>
      </c>
      <c r="G252" s="0" t="str">
        <f aca="false">Chase1168_2026!G252</f>
        <v>Personal - Life Insurance</v>
      </c>
      <c r="H252" s="15" t="n">
        <f aca="false">IF($B252="","",DATE(YEAR($B252),MONTH($B252),1))</f>
        <v>46082</v>
      </c>
      <c r="I252" s="0" t="str">
        <f aca="false">IF($G252="","Uncategorized — Review",IFERROR(INDEX(Mapping!$B:$B,MATCH($G252,Mapping!$A:$A,0)),"Uncategorized — Review"))</f>
        <v>Personal - Life Insurance</v>
      </c>
      <c r="J252" s="0" t="str">
        <f aca="false">IF($G252="","Uncategorized — Review",IFERROR(INDEX(Mapping!$C:$C,MATCH($G252,Mapping!$A:$A,0)),"Uncategorized — Review"))</f>
        <v>Personal — Owner</v>
      </c>
    </row>
    <row r="253" customFormat="false" ht="15" hidden="false" customHeight="false" outlineLevel="0" collapsed="false">
      <c r="A253" s="0" t="str">
        <f aca="false">Chase1168_2026!A253</f>
        <v>DEBIT</v>
      </c>
      <c r="B253" s="14" t="n">
        <f aca="false">Chase1168_2026!B253</f>
        <v>46111</v>
      </c>
      <c r="C253" s="0" t="str">
        <f aca="false">Chase1168_2026!C253</f>
        <v>ORIG CO NAME:BANNER LIFE            ORIG ID:1521236145 DESC DATE:260327 CO ENTRY DESCR:PREM DEBITSEC:PPD    TRACE#:091000011563622 EED:260330   IND ID:                             IND NAME:JOHN  DUNNING TRN: 0891563622TC</v>
      </c>
      <c r="D253" s="7" t="n">
        <f aca="false">Chase1168_2026!D253</f>
        <v>-22.92</v>
      </c>
      <c r="E253" s="0" t="str">
        <f aca="false">Chase1168_2026!E253</f>
        <v>ACH_DEBIT</v>
      </c>
      <c r="F253" s="7" t="n">
        <f aca="false">Chase1168_2026!F253</f>
        <v>17342.91</v>
      </c>
      <c r="G253" s="0" t="str">
        <f aca="false">Chase1168_2026!G253</f>
        <v>Personal - Life Insurance</v>
      </c>
      <c r="H253" s="15" t="n">
        <f aca="false">IF($B253="","",DATE(YEAR($B253),MONTH($B253),1))</f>
        <v>46082</v>
      </c>
      <c r="I253" s="0" t="str">
        <f aca="false">IF($G253="","Uncategorized — Review",IFERROR(INDEX(Mapping!$B:$B,MATCH($G253,Mapping!$A:$A,0)),"Uncategorized — Review"))</f>
        <v>Personal - Life Insurance</v>
      </c>
      <c r="J253" s="0" t="str">
        <f aca="false">IF($G253="","Uncategorized — Review",IFERROR(INDEX(Mapping!$C:$C,MATCH($G253,Mapping!$A:$A,0)),"Uncategorized — Review"))</f>
        <v>Personal — Owner</v>
      </c>
    </row>
    <row r="254" customFormat="false" ht="15" hidden="false" customHeight="false" outlineLevel="0" collapsed="false">
      <c r="A254" s="0" t="str">
        <f aca="false">Chase1168_2026!A254</f>
        <v>DEBIT</v>
      </c>
      <c r="B254" s="14" t="n">
        <f aca="false">Chase1168_2026!B254</f>
        <v>46111</v>
      </c>
      <c r="C254" s="0" t="str">
        <f aca="false">Chase1168_2026!C254</f>
        <v>ORIG CO NAME:SBA EIDL LOAN          ORIG ID:7300000118 DESC DATE:260327 CO ENTRY DESCR:PAYMENT   SEC:CCD    TRACE#:041036048326153 EED:260330   IND ID:0000                         IND NAME:JOHN DUNNING               1871308204                                                                        ACH TRANSACTION TRN: 0898326153TC</v>
      </c>
      <c r="D254" s="7" t="n">
        <f aca="false">Chase1168_2026!D254</f>
        <v>-2524</v>
      </c>
      <c r="E254" s="0" t="str">
        <f aca="false">Chase1168_2026!E254</f>
        <v>ACH_DEBIT</v>
      </c>
      <c r="F254" s="7" t="n">
        <f aca="false">Chase1168_2026!F254</f>
        <v>17365.83</v>
      </c>
      <c r="G254" s="0" t="str">
        <f aca="false">Chase1168_2026!G254</f>
        <v>SBC EIDL Loan</v>
      </c>
      <c r="H254" s="15" t="n">
        <f aca="false">IF($B254="","",DATE(YEAR($B254),MONTH($B254),1))</f>
        <v>46082</v>
      </c>
      <c r="I254" s="0" t="str">
        <f aca="false">IF($G254="","Uncategorized — Review",IFERROR(INDEX(Mapping!$B:$B,MATCH($G254,Mapping!$A:$A,0)),"Uncategorized — Review"))</f>
        <v>SBC EIDL Loan</v>
      </c>
      <c r="J254" s="0" t="str">
        <f aca="false">IF($G254="","Uncategorized — Review",IFERROR(INDEX(Mapping!$C:$C,MATCH($G254,Mapping!$A:$A,0)),"Uncategorized — Review"))</f>
        <v>Credit Card &amp; Loan Payments</v>
      </c>
    </row>
    <row r="255" customFormat="false" ht="15" hidden="false" customHeight="false" outlineLevel="0" collapsed="false">
      <c r="A255" s="0" t="str">
        <f aca="false">Chase1168_2026!A255</f>
        <v>DEBIT</v>
      </c>
      <c r="B255" s="14" t="n">
        <f aca="false">Chase1168_2026!B255</f>
        <v>46111</v>
      </c>
      <c r="C255" s="0" t="str">
        <f aca="false">Chase1168_2026!C255</f>
        <v>Online Transfer to CHK ...6975 transaction#: 28600206024 03/30</v>
      </c>
      <c r="D255" s="7" t="n">
        <f aca="false">Chase1168_2026!D255</f>
        <v>-1000</v>
      </c>
      <c r="E255" s="0" t="str">
        <f aca="false">Chase1168_2026!E255</f>
        <v>ACCT_XFER</v>
      </c>
      <c r="F255" s="7" t="n">
        <f aca="false">Chase1168_2026!F255</f>
        <v>19889.83</v>
      </c>
      <c r="G255" s="0" t="str">
        <f aca="false">Chase1168_2026!G255</f>
        <v>Transfer to Ava Perez-Dunning</v>
      </c>
      <c r="H255" s="15" t="n">
        <f aca="false">IF($B255="","",DATE(YEAR($B255),MONTH($B255),1))</f>
        <v>46082</v>
      </c>
      <c r="I255" s="0" t="str">
        <f aca="false">IF($G255="","Uncategorized — Review",IFERROR(INDEX(Mapping!$B:$B,MATCH($G255,Mapping!$A:$A,0)),"Uncategorized — Review"))</f>
        <v>Transfer to Ava Perez-Dunning</v>
      </c>
      <c r="J255" s="0" t="str">
        <f aca="false">IF($G255="","Uncategorized — Review",IFERROR(INDEX(Mapping!$C:$C,MATCH($G255,Mapping!$A:$A,0)),"Uncategorized — Review"))</f>
        <v>Owner / Family Distributions</v>
      </c>
    </row>
    <row r="256" customFormat="false" ht="15" hidden="false" customHeight="false" outlineLevel="0" collapsed="false">
      <c r="A256" s="0" t="str">
        <f aca="false">Chase1168_2026!A256</f>
        <v>DEBIT</v>
      </c>
      <c r="B256" s="14" t="n">
        <f aca="false">Chase1168_2026!B256</f>
        <v>46111</v>
      </c>
      <c r="C256" s="0" t="str">
        <f aca="false">Chase1168_2026!C256</f>
        <v>Online Transfer to CHK ...1117 transaction#: 28600194009 03/30</v>
      </c>
      <c r="D256" s="7" t="n">
        <f aca="false">Chase1168_2026!D256</f>
        <v>-10000</v>
      </c>
      <c r="E256" s="0" t="str">
        <f aca="false">Chase1168_2026!E256</f>
        <v>ACCT_XFER</v>
      </c>
      <c r="F256" s="7" t="n">
        <f aca="false">Chase1168_2026!F256</f>
        <v>20889.83</v>
      </c>
      <c r="G256" s="0" t="str">
        <f aca="false">Chase1168_2026!G256</f>
        <v>Transfer to Angela Dunning</v>
      </c>
      <c r="H256" s="15" t="n">
        <f aca="false">IF($B256="","",DATE(YEAR($B256),MONTH($B256),1))</f>
        <v>46082</v>
      </c>
      <c r="I256" s="0" t="str">
        <f aca="false">IF($G256="","Uncategorized — Review",IFERROR(INDEX(Mapping!$B:$B,MATCH($G256,Mapping!$A:$A,0)),"Uncategorized — Review"))</f>
        <v>Transfer to Angela Dunning</v>
      </c>
      <c r="J256" s="0" t="str">
        <f aca="false">IF($G256="","Uncategorized — Review",IFERROR(INDEX(Mapping!$C:$C,MATCH($G256,Mapping!$A:$A,0)),"Uncategorized — Review"))</f>
        <v>Owner / Family Distributions</v>
      </c>
    </row>
    <row r="257" customFormat="false" ht="15" hidden="false" customHeight="false" outlineLevel="0" collapsed="false">
      <c r="A257" s="0" t="str">
        <f aca="false">Chase1168_2026!A257</f>
        <v>DEBIT</v>
      </c>
      <c r="B257" s="14" t="n">
        <f aca="false">Chase1168_2026!B257</f>
        <v>46111</v>
      </c>
      <c r="C257" s="0" t="str">
        <f aca="false">Chase1168_2026!C257</f>
        <v>PAYPAL *RUTHALCANCI 402-935-7733 CA          03/28</v>
      </c>
      <c r="D257" s="7" t="n">
        <f aca="false">Chase1168_2026!D257</f>
        <v>-75</v>
      </c>
      <c r="E257" s="0" t="str">
        <f aca="false">Chase1168_2026!E257</f>
        <v>DEBIT_CARD</v>
      </c>
      <c r="F257" s="7" t="n">
        <f aca="false">Chase1168_2026!F257</f>
        <v>30889.83</v>
      </c>
      <c r="G257" s="0" t="str">
        <f aca="false">Chase1168_2026!G257</f>
        <v>Ruth Alcancia - Forward Bridge Payment</v>
      </c>
      <c r="H257" s="15" t="n">
        <f aca="false">IF($B257="","",DATE(YEAR($B257),MONTH($B257),1))</f>
        <v>46082</v>
      </c>
      <c r="I257" s="0" t="str">
        <f aca="false">IF($G257="","Uncategorized — Review",IFERROR(INDEX(Mapping!$B:$B,MATCH($G257,Mapping!$A:$A,0)),"Uncategorized — Review"))</f>
        <v>Ruth Alcancia - Forward Bridge Payment</v>
      </c>
      <c r="J257" s="0" t="str">
        <f aca="false">IF($G257="","Uncategorized — Review",IFERROR(INDEX(Mapping!$C:$C,MATCH($G257,Mapping!$A:$A,0)),"Uncategorized — Review"))</f>
        <v>Payroll &amp; Contractors</v>
      </c>
    </row>
    <row r="258" customFormat="false" ht="15" hidden="false" customHeight="false" outlineLevel="0" collapsed="false">
      <c r="A258" s="0" t="str">
        <f aca="false">Chase1168_2026!A258</f>
        <v>DEBIT</v>
      </c>
      <c r="B258" s="14" t="n">
        <f aca="false">Chase1168_2026!B258</f>
        <v>46111</v>
      </c>
      <c r="C258" s="0" t="str">
        <f aca="false">Chase1168_2026!C258</f>
        <v>PAYPAL *ELICITDESIG 805-506-5150 CA          03/28</v>
      </c>
      <c r="D258" s="7" t="n">
        <f aca="false">Chase1168_2026!D258</f>
        <v>-1</v>
      </c>
      <c r="E258" s="0" t="str">
        <f aca="false">Chase1168_2026!E258</f>
        <v>DEBIT_CARD</v>
      </c>
      <c r="F258" s="7" t="n">
        <f aca="false">Chase1168_2026!F258</f>
        <v>30964.83</v>
      </c>
      <c r="G258" s="0" t="str">
        <f aca="false">Chase1168_2026!G258</f>
        <v>PayPal</v>
      </c>
      <c r="H258" s="15" t="n">
        <f aca="false">IF($B258="","",DATE(YEAR($B258),MONTH($B258),1))</f>
        <v>46082</v>
      </c>
      <c r="I258" s="0" t="str">
        <f aca="false">IF($G258="","Uncategorized — Review",IFERROR(INDEX(Mapping!$B:$B,MATCH($G258,Mapping!$A:$A,0)),"Uncategorized — Review"))</f>
        <v>PayPal</v>
      </c>
      <c r="J258" s="0" t="str">
        <f aca="false">IF($G258="","Uncategorized — Review",IFERROR(INDEX(Mapping!$C:$C,MATCH($G258,Mapping!$A:$A,0)),"Uncategorized — Review"))</f>
        <v>P2P Payments (Zelle/Venmo/PayPal)</v>
      </c>
    </row>
    <row r="259" customFormat="false" ht="15" hidden="false" customHeight="false" outlineLevel="0" collapsed="false">
      <c r="A259" s="0" t="str">
        <f aca="false">Chase1168_2026!A259</f>
        <v>DEBIT</v>
      </c>
      <c r="B259" s="14" t="n">
        <f aca="false">Chase1168_2026!B259</f>
        <v>46111</v>
      </c>
      <c r="C259" s="0" t="str">
        <f aca="false">Chase1168_2026!C259</f>
        <v>DNH*GODADDY#4049898342 480-5058855 AZ        03/27</v>
      </c>
      <c r="D259" s="7" t="n">
        <f aca="false">Chase1168_2026!D259</f>
        <v>-17.98</v>
      </c>
      <c r="E259" s="0" t="str">
        <f aca="false">Chase1168_2026!E259</f>
        <v>DEBIT_CARD</v>
      </c>
      <c r="F259" s="7" t="n">
        <f aca="false">Chase1168_2026!F259</f>
        <v>30965.83</v>
      </c>
      <c r="G259" s="0" t="str">
        <f aca="false">Chase1168_2026!G259</f>
        <v>Go Daddy</v>
      </c>
      <c r="H259" s="15" t="n">
        <f aca="false">IF($B259="","",DATE(YEAR($B259),MONTH($B259),1))</f>
        <v>46082</v>
      </c>
      <c r="I259" s="0" t="str">
        <f aca="false">IF($G259="","Uncategorized — Review",IFERROR(INDEX(Mapping!$B:$B,MATCH($G259,Mapping!$A:$A,0)),"Uncategorized — Review"))</f>
        <v>Go Daddy</v>
      </c>
      <c r="J259" s="0" t="str">
        <f aca="false">IF($G259="","Uncategorized — Review",IFERROR(INDEX(Mapping!$C:$C,MATCH($G259,Mapping!$A:$A,0)),"Uncategorized — Review"))</f>
        <v>DWG Operating</v>
      </c>
    </row>
    <row r="260" customFormat="false" ht="15" hidden="false" customHeight="false" outlineLevel="0" collapsed="false">
      <c r="A260" s="0" t="str">
        <f aca="false">Chase1168_2026!A260</f>
        <v>CREDIT</v>
      </c>
      <c r="B260" s="14" t="n">
        <f aca="false">Chase1168_2026!B260</f>
        <v>46111</v>
      </c>
      <c r="C260" s="0" t="str">
        <f aca="false">Chase1168_2026!C260</f>
        <v>Online Transfer from CHK ...9335 transaction#: 28600213789</v>
      </c>
      <c r="D260" s="7" t="n">
        <f aca="false">Chase1168_2026!D260</f>
        <v>5000</v>
      </c>
      <c r="E260" s="0" t="str">
        <f aca="false">Chase1168_2026!E260</f>
        <v>ACCT_XFER</v>
      </c>
      <c r="F260" s="7" t="n">
        <f aca="false">Chase1168_2026!F260</f>
        <v>30983.81</v>
      </c>
      <c r="G260" s="0" t="str">
        <f aca="false">Chase1168_2026!G260</f>
        <v>Poseidon Asset Group (Incoming)</v>
      </c>
      <c r="H260" s="15" t="n">
        <f aca="false">IF($B260="","",DATE(YEAR($B260),MONTH($B260),1))</f>
        <v>46082</v>
      </c>
      <c r="I260" s="0" t="str">
        <f aca="false">IF($G260="","Uncategorized — Review",IFERROR(INDEX(Mapping!$B:$B,MATCH($G260,Mapping!$A:$A,0)),"Uncategorized — Review"))</f>
        <v>Poseidon Asset Group (Incoming)</v>
      </c>
      <c r="J260" s="0" t="str">
        <f aca="false">IF($G260="","Uncategorized — Review",IFERROR(INDEX(Mapping!$C:$C,MATCH($G260,Mapping!$A:$A,0)),"Uncategorized — Review"))</f>
        <v>Poseidon Asset Group</v>
      </c>
    </row>
    <row r="261" customFormat="false" ht="15" hidden="false" customHeight="false" outlineLevel="0" collapsed="false">
      <c r="A261" s="0" t="str">
        <f aca="false">Chase1168_2026!A261</f>
        <v>CREDIT</v>
      </c>
      <c r="B261" s="14" t="n">
        <f aca="false">Chase1168_2026!B261</f>
        <v>46111</v>
      </c>
      <c r="C261" s="0" t="str">
        <f aca="false">Chase1168_2026!C261</f>
        <v>Online Transfer from CHK ...9335 transaction#: 28600211780</v>
      </c>
      <c r="D261" s="7" t="n">
        <f aca="false">Chase1168_2026!D261</f>
        <v>5000</v>
      </c>
      <c r="E261" s="0" t="str">
        <f aca="false">Chase1168_2026!E261</f>
        <v>ACCT_XFER</v>
      </c>
      <c r="F261" s="7" t="n">
        <f aca="false">Chase1168_2026!F261</f>
        <v>25983.81</v>
      </c>
      <c r="G261" s="0" t="str">
        <f aca="false">Chase1168_2026!G261</f>
        <v>Poseidon Asset Group (Incoming)</v>
      </c>
      <c r="H261" s="15" t="n">
        <f aca="false">IF($B261="","",DATE(YEAR($B261),MONTH($B261),1))</f>
        <v>46082</v>
      </c>
      <c r="I261" s="0" t="str">
        <f aca="false">IF($G261="","Uncategorized — Review",IFERROR(INDEX(Mapping!$B:$B,MATCH($G261,Mapping!$A:$A,0)),"Uncategorized — Review"))</f>
        <v>Poseidon Asset Group (Incoming)</v>
      </c>
      <c r="J261" s="0" t="str">
        <f aca="false">IF($G261="","Uncategorized — Review",IFERROR(INDEX(Mapping!$C:$C,MATCH($G261,Mapping!$A:$A,0)),"Uncategorized — Review"))</f>
        <v>Poseidon Asset Group</v>
      </c>
    </row>
    <row r="262" customFormat="false" ht="15" hidden="false" customHeight="false" outlineLevel="0" collapsed="false">
      <c r="A262" s="0" t="str">
        <f aca="false">Chase1168_2026!A262</f>
        <v>CREDIT</v>
      </c>
      <c r="B262" s="14" t="n">
        <f aca="false">Chase1168_2026!B262</f>
        <v>46111</v>
      </c>
      <c r="C262" s="0" t="str">
        <f aca="false">Chase1168_2026!C262</f>
        <v>Online Transfer from CHK ...9335 transaction#: 28600210630</v>
      </c>
      <c r="D262" s="7" t="n">
        <f aca="false">Chase1168_2026!D262</f>
        <v>5000</v>
      </c>
      <c r="E262" s="0" t="str">
        <f aca="false">Chase1168_2026!E262</f>
        <v>ACCT_XFER</v>
      </c>
      <c r="F262" s="7" t="n">
        <f aca="false">Chase1168_2026!F262</f>
        <v>20983.81</v>
      </c>
      <c r="G262" s="0" t="str">
        <f aca="false">Chase1168_2026!G262</f>
        <v>Poseidon Asset Group (Incoming)</v>
      </c>
      <c r="H262" s="15" t="n">
        <f aca="false">IF($B262="","",DATE(YEAR($B262),MONTH($B262),1))</f>
        <v>46082</v>
      </c>
      <c r="I262" s="0" t="str">
        <f aca="false">IF($G262="","Uncategorized — Review",IFERROR(INDEX(Mapping!$B:$B,MATCH($G262,Mapping!$A:$A,0)),"Uncategorized — Review"))</f>
        <v>Poseidon Asset Group (Incoming)</v>
      </c>
      <c r="J262" s="0" t="str">
        <f aca="false">IF($G262="","Uncategorized — Review",IFERROR(INDEX(Mapping!$C:$C,MATCH($G262,Mapping!$A:$A,0)),"Uncategorized — Review"))</f>
        <v>Poseidon Asset Group</v>
      </c>
    </row>
    <row r="263" customFormat="false" ht="15" hidden="false" customHeight="false" outlineLevel="0" collapsed="false">
      <c r="A263" s="0" t="str">
        <f aca="false">Chase1168_2026!A263</f>
        <v>DEBIT</v>
      </c>
      <c r="B263" s="14" t="n">
        <f aca="false">Chase1168_2026!B263</f>
        <v>46108</v>
      </c>
      <c r="C263" s="0" t="str">
        <f aca="false">Chase1168_2026!C263</f>
        <v>ORIG CO NAME:VENMO                  ORIG ID:3264681992 DESC DATE:260327 CO ENTRY DESCR:PAYMENT   SEC:WEB    TRACE#:021000027867372 EED:260327   IND ID:1049215207126                IND NAME:JUDD DUNNING                                                                                                 260327PPZHO8 TRN: 0867867372TC</v>
      </c>
      <c r="D263" s="7" t="n">
        <f aca="false">Chase1168_2026!D263</f>
        <v>-135</v>
      </c>
      <c r="E263" s="0" t="str">
        <f aca="false">Chase1168_2026!E263</f>
        <v>ACH_DEBIT</v>
      </c>
      <c r="F263" s="7" t="n">
        <f aca="false">Chase1168_2026!F263</f>
        <v>15983.81</v>
      </c>
      <c r="G263" s="0" t="str">
        <f aca="false">Chase1168_2026!G263</f>
        <v>Venmo</v>
      </c>
      <c r="H263" s="15" t="n">
        <f aca="false">IF($B263="","",DATE(YEAR($B263),MONTH($B263),1))</f>
        <v>46082</v>
      </c>
      <c r="I263" s="0" t="str">
        <f aca="false">IF($G263="","Uncategorized — Review",IFERROR(INDEX(Mapping!$B:$B,MATCH($G263,Mapping!$A:$A,0)),"Uncategorized — Review"))</f>
        <v>Venmo</v>
      </c>
      <c r="J263" s="0" t="str">
        <f aca="false">IF($G263="","Uncategorized — Review",IFERROR(INDEX(Mapping!$C:$C,MATCH($G263,Mapping!$A:$A,0)),"Uncategorized — Review"))</f>
        <v>P2P Payments (Zelle/Venmo/PayPal)</v>
      </c>
    </row>
    <row r="264" customFormat="false" ht="15" hidden="false" customHeight="false" outlineLevel="0" collapsed="false">
      <c r="A264" s="0" t="str">
        <f aca="false">Chase1168_2026!A264</f>
        <v>DEBIT</v>
      </c>
      <c r="B264" s="14" t="n">
        <f aca="false">Chase1168_2026!B264</f>
        <v>46108</v>
      </c>
      <c r="C264" s="0" t="str">
        <f aca="false">Chase1168_2026!C264</f>
        <v>ORIG CO NAME:VENMO                  ORIG ID:3264681992 DESC DATE:260327 CO ENTRY DESCR:PAYMENT   SEC:WEB    TRACE#:021000029380667 EED:260327   IND ID:1049210990620                IND NAME:JUDD DUNNING                                                                                                 260327PPZH85 TRN: 0869380667TC</v>
      </c>
      <c r="D264" s="7" t="n">
        <f aca="false">Chase1168_2026!D264</f>
        <v>-1</v>
      </c>
      <c r="E264" s="0" t="str">
        <f aca="false">Chase1168_2026!E264</f>
        <v>ACH_DEBIT</v>
      </c>
      <c r="F264" s="7" t="n">
        <f aca="false">Chase1168_2026!F264</f>
        <v>16118.81</v>
      </c>
      <c r="G264" s="0" t="str">
        <f aca="false">Chase1168_2026!G264</f>
        <v>Venmo</v>
      </c>
      <c r="H264" s="15" t="n">
        <f aca="false">IF($B264="","",DATE(YEAR($B264),MONTH($B264),1))</f>
        <v>46082</v>
      </c>
      <c r="I264" s="0" t="str">
        <f aca="false">IF($G264="","Uncategorized — Review",IFERROR(INDEX(Mapping!$B:$B,MATCH($G264,Mapping!$A:$A,0)),"Uncategorized — Review"))</f>
        <v>Venmo</v>
      </c>
      <c r="J264" s="0" t="str">
        <f aca="false">IF($G264="","Uncategorized — Review",IFERROR(INDEX(Mapping!$C:$C,MATCH($G264,Mapping!$A:$A,0)),"Uncategorized — Review"))</f>
        <v>P2P Payments (Zelle/Venmo/PayPal)</v>
      </c>
    </row>
    <row r="265" customFormat="false" ht="15" hidden="false" customHeight="false" outlineLevel="0" collapsed="false">
      <c r="A265" s="0" t="str">
        <f aca="false">Chase1168_2026!A265</f>
        <v>DEBIT</v>
      </c>
      <c r="B265" s="14" t="n">
        <f aca="false">Chase1168_2026!B265</f>
        <v>46108</v>
      </c>
      <c r="C265" s="0" t="str">
        <f aca="false">Chase1168_2026!C265</f>
        <v>Zelle payment to Michael Paytonjian JPM99cas1ylz</v>
      </c>
      <c r="D265" s="7" t="n">
        <f aca="false">Chase1168_2026!D265</f>
        <v>-55</v>
      </c>
      <c r="E265" s="0" t="str">
        <f aca="false">Chase1168_2026!E265</f>
        <v>CHASE_TO_PARTNERFI</v>
      </c>
      <c r="F265" s="7" t="n">
        <f aca="false">Chase1168_2026!F265</f>
        <v>16119.81</v>
      </c>
      <c r="G265" s="0" t="str">
        <f aca="false">Chase1168_2026!G265</f>
        <v>Office/Miscellaneous Reimbursement - Mike P.</v>
      </c>
      <c r="H265" s="15" t="n">
        <f aca="false">IF($B265="","",DATE(YEAR($B265),MONTH($B265),1))</f>
        <v>46082</v>
      </c>
      <c r="I265" s="0" t="str">
        <f aca="false">IF($G265="","Uncategorized — Review",IFERROR(INDEX(Mapping!$B:$B,MATCH($G265,Mapping!$A:$A,0)),"Uncategorized — Review"))</f>
        <v>Office/Miscellaneous Reimbursement - Mike P.</v>
      </c>
      <c r="J265" s="0" t="str">
        <f aca="false">IF($G265="","Uncategorized — Review",IFERROR(INDEX(Mapping!$C:$C,MATCH($G265,Mapping!$A:$A,0)),"Uncategorized — Review"))</f>
        <v>DWG Operating</v>
      </c>
    </row>
    <row r="266" customFormat="false" ht="15" hidden="false" customHeight="false" outlineLevel="0" collapsed="false">
      <c r="A266" s="0" t="str">
        <f aca="false">Chase1168_2026!A266</f>
        <v>DEBIT</v>
      </c>
      <c r="B266" s="14" t="n">
        <f aca="false">Chase1168_2026!B266</f>
        <v>46108</v>
      </c>
      <c r="C266" s="0" t="str">
        <f aca="false">Chase1168_2026!C266</f>
        <v>ORIG CO NAME:INTUIT *               ORIG ID:0000756346 DESC DATE:260327 CO ENTRY DESCR:QBooks OnlSEC:CCD    TRACE#:021000024598051 EED:260327   IND ID:9758835                      IND NAME:DWG CAPITAL GROUP                                                                                            800-446-8848 TRN: 0864598051TC</v>
      </c>
      <c r="D266" s="7" t="n">
        <f aca="false">Chase1168_2026!D266</f>
        <v>-121.21</v>
      </c>
      <c r="E266" s="0" t="str">
        <f aca="false">Chase1168_2026!E266</f>
        <v>ACH_DEBIT</v>
      </c>
      <c r="F266" s="7" t="n">
        <f aca="false">Chase1168_2026!F266</f>
        <v>16174.81</v>
      </c>
      <c r="G266" s="0" t="str">
        <f aca="false">Chase1168_2026!G266</f>
        <v>Software/Accounting</v>
      </c>
      <c r="H266" s="15" t="n">
        <f aca="false">IF($B266="","",DATE(YEAR($B266),MONTH($B266),1))</f>
        <v>46082</v>
      </c>
      <c r="I266" s="0" t="str">
        <f aca="false">IF($G266="","Uncategorized — Review",IFERROR(INDEX(Mapping!$B:$B,MATCH($G266,Mapping!$A:$A,0)),"Uncategorized — Review"))</f>
        <v>Software/Accounting</v>
      </c>
      <c r="J266" s="0" t="str">
        <f aca="false">IF($G266="","Uncategorized — Review",IFERROR(INDEX(Mapping!$C:$C,MATCH($G266,Mapping!$A:$A,0)),"Uncategorized — Review"))</f>
        <v>DWG Operating</v>
      </c>
    </row>
    <row r="267" customFormat="false" ht="15" hidden="false" customHeight="false" outlineLevel="0" collapsed="false">
      <c r="A267" s="0" t="str">
        <f aca="false">Chase1168_2026!A267</f>
        <v>DEBIT</v>
      </c>
      <c r="B267" s="14" t="n">
        <f aca="false">Chase1168_2026!B267</f>
        <v>46107</v>
      </c>
      <c r="C267" s="0" t="str">
        <f aca="false">Chase1168_2026!C267</f>
        <v>ONLINE FX INTERNATIONAL WIRE FEE</v>
      </c>
      <c r="D267" s="7" t="n">
        <f aca="false">Chase1168_2026!D267</f>
        <v>-5</v>
      </c>
      <c r="E267" s="0" t="str">
        <f aca="false">Chase1168_2026!E267</f>
        <v>FEE_TRANSACTION</v>
      </c>
      <c r="F267" s="7" t="n">
        <f aca="false">Chase1168_2026!F267</f>
        <v>16296.02</v>
      </c>
      <c r="G267" s="0" t="str">
        <f aca="false">Chase1168_2026!G267</f>
        <v>Andres Alarcon Payroll</v>
      </c>
      <c r="H267" s="15" t="n">
        <f aca="false">IF($B267="","",DATE(YEAR($B267),MONTH($B267),1))</f>
        <v>46082</v>
      </c>
      <c r="I267" s="0" t="str">
        <f aca="false">IF($G267="","Uncategorized — Review",IFERROR(INDEX(Mapping!$B:$B,MATCH($G267,Mapping!$A:$A,0)),"Uncategorized — Review"))</f>
        <v>Andres Alarcon Payroll</v>
      </c>
      <c r="J267" s="0" t="str">
        <f aca="false">IF($G267="","Uncategorized — Review",IFERROR(INDEX(Mapping!$C:$C,MATCH($G267,Mapping!$A:$A,0)),"Uncategorized — Review"))</f>
        <v>Payroll &amp; Contractors</v>
      </c>
    </row>
    <row r="268" customFormat="false" ht="15" hidden="false" customHeight="false" outlineLevel="0" collapsed="false">
      <c r="A268" s="0" t="str">
        <f aca="false">Chase1168_2026!A268</f>
        <v>DEBIT</v>
      </c>
      <c r="B268" s="14" t="n">
        <f aca="false">Chase1168_2026!B268</f>
        <v>46107</v>
      </c>
      <c r="C268" s="0" t="str">
        <f aca="false">Chase1168_2026!C268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PAYMENTS/OCMT/COP26 28093,75/EXCH/3504.1250/CNTR/191432 56/INT/ANDRES_52763ATHOTMAIL.C TRN: 8226300085RE 03/26</v>
      </c>
      <c r="D268" s="7" t="n">
        <f aca="false">Chase1168_2026!D268</f>
        <v>-750</v>
      </c>
      <c r="E268" s="0" t="str">
        <f aca="false">Chase1168_2026!E268</f>
        <v>WIRE_OUTGOING</v>
      </c>
      <c r="F268" s="7" t="n">
        <f aca="false">Chase1168_2026!F268</f>
        <v>16301.02</v>
      </c>
      <c r="G268" s="0" t="str">
        <f aca="false">Chase1168_2026!G268</f>
        <v>Andres Alarcon Payroll</v>
      </c>
      <c r="H268" s="15" t="n">
        <f aca="false">IF($B268="","",DATE(YEAR($B268),MONTH($B268),1))</f>
        <v>46082</v>
      </c>
      <c r="I268" s="0" t="str">
        <f aca="false">IF($G268="","Uncategorized — Review",IFERROR(INDEX(Mapping!$B:$B,MATCH($G268,Mapping!$A:$A,0)),"Uncategorized — Review"))</f>
        <v>Andres Alarcon Payroll</v>
      </c>
      <c r="J268" s="0" t="str">
        <f aca="false">IF($G268="","Uncategorized — Review",IFERROR(INDEX(Mapping!$C:$C,MATCH($G268,Mapping!$A:$A,0)),"Uncategorized — Review"))</f>
        <v>Payroll &amp; Contractors</v>
      </c>
    </row>
    <row r="269" customFormat="false" ht="15" hidden="false" customHeight="false" outlineLevel="0" collapsed="false">
      <c r="A269" s="0" t="str">
        <f aca="false">Chase1168_2026!A269</f>
        <v>DEBIT</v>
      </c>
      <c r="B269" s="14" t="n">
        <f aca="false">Chase1168_2026!B269</f>
        <v>46107</v>
      </c>
      <c r="C269" s="0" t="str">
        <f aca="false">Chase1168_2026!C269</f>
        <v>Disney Plus 888-9057888 CA                   03/26</v>
      </c>
      <c r="D269" s="7" t="n">
        <f aca="false">Chase1168_2026!D269</f>
        <v>-20.51</v>
      </c>
      <c r="E269" s="0" t="str">
        <f aca="false">Chase1168_2026!E269</f>
        <v>DEBIT_CARD</v>
      </c>
      <c r="F269" s="7" t="n">
        <f aca="false">Chase1168_2026!F269</f>
        <v>17051.02</v>
      </c>
      <c r="G269" s="0" t="str">
        <f aca="false">Chase1168_2026!G269</f>
        <v>Personal - Subscriptions</v>
      </c>
      <c r="H269" s="15" t="n">
        <f aca="false">IF($B269="","",DATE(YEAR($B269),MONTH($B269),1))</f>
        <v>46082</v>
      </c>
      <c r="I269" s="0" t="str">
        <f aca="false">IF($G269="","Uncategorized — Review",IFERROR(INDEX(Mapping!$B:$B,MATCH($G269,Mapping!$A:$A,0)),"Uncategorized — Review"))</f>
        <v>Personal - Subscriptions</v>
      </c>
      <c r="J269" s="0" t="str">
        <f aca="false">IF($G269="","Uncategorized — Review",IFERROR(INDEX(Mapping!$C:$C,MATCH($G269,Mapping!$A:$A,0)),"Uncategorized — Review"))</f>
        <v>Personal — Owner</v>
      </c>
    </row>
    <row r="270" customFormat="false" ht="15" hidden="false" customHeight="false" outlineLevel="0" collapsed="false">
      <c r="A270" s="0" t="str">
        <f aca="false">Chase1168_2026!A270</f>
        <v>DEBIT</v>
      </c>
      <c r="B270" s="14" t="n">
        <f aca="false">Chase1168_2026!B270</f>
        <v>46106</v>
      </c>
      <c r="C270" s="0" t="str">
        <f aca="false">Chase1168_2026!C270</f>
        <v>DNH*GODADDY#4047870979 480-5058855 AZ        03/25</v>
      </c>
      <c r="D270" s="7" t="n">
        <f aca="false">Chase1168_2026!D270</f>
        <v>-16.98</v>
      </c>
      <c r="E270" s="0" t="str">
        <f aca="false">Chase1168_2026!E270</f>
        <v>DEBIT_CARD</v>
      </c>
      <c r="F270" s="7" t="n">
        <f aca="false">Chase1168_2026!F270</f>
        <v>17071.53</v>
      </c>
      <c r="G270" s="0" t="str">
        <f aca="false">Chase1168_2026!G270</f>
        <v>Go Daddy</v>
      </c>
      <c r="H270" s="15" t="n">
        <f aca="false">IF($B270="","",DATE(YEAR($B270),MONTH($B270),1))</f>
        <v>46082</v>
      </c>
      <c r="I270" s="0" t="str">
        <f aca="false">IF($G270="","Uncategorized — Review",IFERROR(INDEX(Mapping!$B:$B,MATCH($G270,Mapping!$A:$A,0)),"Uncategorized — Review"))</f>
        <v>Go Daddy</v>
      </c>
      <c r="J270" s="0" t="str">
        <f aca="false">IF($G270="","Uncategorized — Review",IFERROR(INDEX(Mapping!$C:$C,MATCH($G270,Mapping!$A:$A,0)),"Uncategorized — Review"))</f>
        <v>DWG Operating</v>
      </c>
    </row>
    <row r="271" customFormat="false" ht="15" hidden="false" customHeight="false" outlineLevel="0" collapsed="false">
      <c r="A271" s="0" t="str">
        <f aca="false">Chase1168_2026!A271</f>
        <v>DEBIT</v>
      </c>
      <c r="B271" s="14" t="n">
        <f aca="false">Chase1168_2026!B271</f>
        <v>46105</v>
      </c>
      <c r="C271" s="0" t="str">
        <f aca="false">Chase1168_2026!C271</f>
        <v>Online Transfer to CHK ...1117 transaction#: 28554783025 03/24</v>
      </c>
      <c r="D271" s="7" t="n">
        <f aca="false">Chase1168_2026!D271</f>
        <v>-2000</v>
      </c>
      <c r="E271" s="0" t="str">
        <f aca="false">Chase1168_2026!E271</f>
        <v>ACCT_XFER</v>
      </c>
      <c r="F271" s="7" t="n">
        <f aca="false">Chase1168_2026!F271</f>
        <v>17088.51</v>
      </c>
      <c r="G271" s="0" t="str">
        <f aca="false">Chase1168_2026!G271</f>
        <v>Transfer to Angela Dunning</v>
      </c>
      <c r="H271" s="15" t="n">
        <f aca="false">IF($B271="","",DATE(YEAR($B271),MONTH($B271),1))</f>
        <v>46082</v>
      </c>
      <c r="I271" s="0" t="str">
        <f aca="false">IF($G271="","Uncategorized — Review",IFERROR(INDEX(Mapping!$B:$B,MATCH($G271,Mapping!$A:$A,0)),"Uncategorized — Review"))</f>
        <v>Transfer to Angela Dunning</v>
      </c>
      <c r="J271" s="0" t="str">
        <f aca="false">IF($G271="","Uncategorized — Review",IFERROR(INDEX(Mapping!$C:$C,MATCH($G271,Mapping!$A:$A,0)),"Uncategorized — Review"))</f>
        <v>Owner / Family Distributions</v>
      </c>
    </row>
    <row r="272" customFormat="false" ht="15" hidden="false" customHeight="false" outlineLevel="0" collapsed="false">
      <c r="A272" s="0" t="str">
        <f aca="false">Chase1168_2026!A272</f>
        <v>DEBIT</v>
      </c>
      <c r="B272" s="14" t="n">
        <f aca="false">Chase1168_2026!B272</f>
        <v>46105</v>
      </c>
      <c r="C272" s="0" t="str">
        <f aca="false">Chase1168_2026!C272</f>
        <v>Online Transfer to CHK ...1927 transaction#: 28554759024 03/24</v>
      </c>
      <c r="D272" s="7" t="n">
        <f aca="false">Chase1168_2026!D272</f>
        <v>-200</v>
      </c>
      <c r="E272" s="0" t="str">
        <f aca="false">Chase1168_2026!E272</f>
        <v>ACCT_XFER</v>
      </c>
      <c r="F272" s="7" t="n">
        <f aca="false">Chase1168_2026!F272</f>
        <v>19088.51</v>
      </c>
      <c r="G272" s="0" t="str">
        <f aca="false">Chase1168_2026!G272</f>
        <v>Transfer to Judd Sol Prop</v>
      </c>
      <c r="H272" s="15" t="n">
        <f aca="false">IF($B272="","",DATE(YEAR($B272),MONTH($B272),1))</f>
        <v>46082</v>
      </c>
      <c r="I272" s="0" t="str">
        <f aca="false">IF($G272="","Uncategorized — Review",IFERROR(INDEX(Mapping!$B:$B,MATCH($G272,Mapping!$A:$A,0)),"Uncategorized — Review"))</f>
        <v>Transfer to Judd Sol Prop</v>
      </c>
      <c r="J272" s="0" t="str">
        <f aca="false">IF($G272="","Uncategorized — Review",IFERROR(INDEX(Mapping!$C:$C,MATCH($G272,Mapping!$A:$A,0)),"Uncategorized — Review"))</f>
        <v>Intercompany &amp; Savings Transfers</v>
      </c>
    </row>
    <row r="273" customFormat="false" ht="15" hidden="false" customHeight="false" outlineLevel="0" collapsed="false">
      <c r="A273" s="0" t="str">
        <f aca="false">Chase1168_2026!A273</f>
        <v>DEBIT</v>
      </c>
      <c r="B273" s="14" t="n">
        <f aca="false">Chase1168_2026!B273</f>
        <v>46105</v>
      </c>
      <c r="C273" s="0" t="str">
        <f aca="false">Chase1168_2026!C273</f>
        <v>DNH*GODADDY#4046489149 480-5058855 AZ        03/23</v>
      </c>
      <c r="D273" s="7" t="n">
        <f aca="false">Chase1168_2026!D273</f>
        <v>-43.97</v>
      </c>
      <c r="E273" s="0" t="str">
        <f aca="false">Chase1168_2026!E273</f>
        <v>DEBIT_CARD</v>
      </c>
      <c r="F273" s="7" t="n">
        <f aca="false">Chase1168_2026!F273</f>
        <v>19288.51</v>
      </c>
      <c r="G273" s="0" t="str">
        <f aca="false">Chase1168_2026!G273</f>
        <v>Go Daddy</v>
      </c>
      <c r="H273" s="15" t="n">
        <f aca="false">IF($B273="","",DATE(YEAR($B273),MONTH($B273),1))</f>
        <v>46082</v>
      </c>
      <c r="I273" s="0" t="str">
        <f aca="false">IF($G273="","Uncategorized — Review",IFERROR(INDEX(Mapping!$B:$B,MATCH($G273,Mapping!$A:$A,0)),"Uncategorized — Review"))</f>
        <v>Go Daddy</v>
      </c>
      <c r="J273" s="0" t="str">
        <f aca="false">IF($G273="","Uncategorized — Review",IFERROR(INDEX(Mapping!$C:$C,MATCH($G273,Mapping!$A:$A,0)),"Uncategorized — Review"))</f>
        <v>DWG Operating</v>
      </c>
    </row>
    <row r="274" customFormat="false" ht="15" hidden="false" customHeight="false" outlineLevel="0" collapsed="false">
      <c r="A274" s="0" t="str">
        <f aca="false">Chase1168_2026!A274</f>
        <v>DEBIT</v>
      </c>
      <c r="B274" s="14" t="n">
        <f aca="false">Chase1168_2026!B274</f>
        <v>46104</v>
      </c>
      <c r="C274" s="0" t="str">
        <f aca="false">Chase1168_2026!C274</f>
        <v>Basic Online Payroll Payment 11211190487 to ########4122</v>
      </c>
      <c r="D274" s="7" t="n">
        <f aca="false">Chase1168_2026!D274</f>
        <v>-1750</v>
      </c>
      <c r="E274" s="0" t="str">
        <f aca="false">Chase1168_2026!E274</f>
        <v>BASIC_PAYROLL</v>
      </c>
      <c r="F274" s="7" t="n">
        <f aca="false">Chase1168_2026!F274</f>
        <v>19332.48</v>
      </c>
      <c r="G274" s="0" t="str">
        <f aca="false">Chase1168_2026!G274</f>
        <v>Mike Paytonjian - Payroll</v>
      </c>
      <c r="H274" s="15" t="n">
        <f aca="false">IF($B274="","",DATE(YEAR($B274),MONTH($B274),1))</f>
        <v>46082</v>
      </c>
      <c r="I274" s="0" t="str">
        <f aca="false">IF($G274="","Uncategorized — Review",IFERROR(INDEX(Mapping!$B:$B,MATCH($G274,Mapping!$A:$A,0)),"Uncategorized — Review"))</f>
        <v>Mike Paytonjian - Payroll</v>
      </c>
      <c r="J274" s="0" t="str">
        <f aca="false">IF($G274="","Uncategorized — Review",IFERROR(INDEX(Mapping!$C:$C,MATCH($G274,Mapping!$A:$A,0)),"Uncategorized — Review"))</f>
        <v>Payroll &amp; Contractors</v>
      </c>
    </row>
    <row r="275" customFormat="false" ht="15" hidden="false" customHeight="false" outlineLevel="0" collapsed="false">
      <c r="A275" s="0" t="str">
        <f aca="false">Chase1168_2026!A275</f>
        <v>DEBIT</v>
      </c>
      <c r="B275" s="14" t="n">
        <f aca="false">Chase1168_2026!B275</f>
        <v>46104</v>
      </c>
      <c r="C275" s="0" t="str">
        <f aca="false">Chase1168_2026!C275</f>
        <v>ORIG CO NAME:VENMO                  ORIG ID:3264681992 DESC DATE:260322 CO ENTRY DESCR:PAYMENT   SEC:WEB    TRACE#:021000023913415 EED:260323   IND ID:1049088028690                IND NAME:JUDD DUNNING                                                                                                 260322PPZ3H9 TRN: 0823913415TC</v>
      </c>
      <c r="D275" s="7" t="n">
        <f aca="false">Chase1168_2026!D275</f>
        <v>-25</v>
      </c>
      <c r="E275" s="0" t="str">
        <f aca="false">Chase1168_2026!E275</f>
        <v>ACH_DEBIT</v>
      </c>
      <c r="F275" s="7" t="n">
        <f aca="false">Chase1168_2026!F275</f>
        <v>21082.48</v>
      </c>
      <c r="G275" s="0" t="str">
        <f aca="false">Chase1168_2026!G275</f>
        <v>Venmo</v>
      </c>
      <c r="H275" s="15" t="n">
        <f aca="false">IF($B275="","",DATE(YEAR($B275),MONTH($B275),1))</f>
        <v>46082</v>
      </c>
      <c r="I275" s="0" t="str">
        <f aca="false">IF($G275="","Uncategorized — Review",IFERROR(INDEX(Mapping!$B:$B,MATCH($G275,Mapping!$A:$A,0)),"Uncategorized — Review"))</f>
        <v>Venmo</v>
      </c>
      <c r="J275" s="0" t="str">
        <f aca="false">IF($G275="","Uncategorized — Review",IFERROR(INDEX(Mapping!$C:$C,MATCH($G275,Mapping!$A:$A,0)),"Uncategorized — Review"))</f>
        <v>P2P Payments (Zelle/Venmo/PayPal)</v>
      </c>
    </row>
    <row r="276" customFormat="false" ht="15" hidden="false" customHeight="false" outlineLevel="0" collapsed="false">
      <c r="A276" s="0" t="str">
        <f aca="false">Chase1168_2026!A276</f>
        <v>DEBIT</v>
      </c>
      <c r="B276" s="14" t="n">
        <f aca="false">Chase1168_2026!B276</f>
        <v>46104</v>
      </c>
      <c r="C276" s="0" t="str">
        <f aca="false">Chase1168_2026!C276</f>
        <v>ORIG CO NAME:VENMO                  ORIG ID:3264681992 DESC DATE:260322 CO ENTRY DESCR:PAYMENT   SEC:WEB    TRACE#:021000023903097 EED:260323   IND ID:1049088721561                IND NAME:JUDD DUNNING                                                                                                 260322PPZ3H9 TRN: 0823903097TC</v>
      </c>
      <c r="D276" s="7" t="n">
        <f aca="false">Chase1168_2026!D276</f>
        <v>-25</v>
      </c>
      <c r="E276" s="0" t="str">
        <f aca="false">Chase1168_2026!E276</f>
        <v>ACH_DEBIT</v>
      </c>
      <c r="F276" s="7" t="n">
        <f aca="false">Chase1168_2026!F276</f>
        <v>21107.48</v>
      </c>
      <c r="G276" s="0" t="str">
        <f aca="false">Chase1168_2026!G276</f>
        <v>Venmo</v>
      </c>
      <c r="H276" s="15" t="n">
        <f aca="false">IF($B276="","",DATE(YEAR($B276),MONTH($B276),1))</f>
        <v>46082</v>
      </c>
      <c r="I276" s="0" t="str">
        <f aca="false">IF($G276="","Uncategorized — Review",IFERROR(INDEX(Mapping!$B:$B,MATCH($G276,Mapping!$A:$A,0)),"Uncategorized — Review"))</f>
        <v>Venmo</v>
      </c>
      <c r="J276" s="0" t="str">
        <f aca="false">IF($G276="","Uncategorized — Review",IFERROR(INDEX(Mapping!$C:$C,MATCH($G276,Mapping!$A:$A,0)),"Uncategorized — Review"))</f>
        <v>P2P Payments (Zelle/Venmo/PayPal)</v>
      </c>
    </row>
    <row r="277" customFormat="false" ht="15" hidden="false" customHeight="false" outlineLevel="0" collapsed="false">
      <c r="A277" s="0" t="str">
        <f aca="false">Chase1168_2026!A277</f>
        <v>DEBIT</v>
      </c>
      <c r="B277" s="14" t="n">
        <f aca="false">Chase1168_2026!B277</f>
        <v>46104</v>
      </c>
      <c r="C277" s="0" t="str">
        <f aca="false">Chase1168_2026!C277</f>
        <v>ORIG CO NAME:VENMO                  ORIG ID:3264681992 DESC DATE:260322 CO ENTRY DESCR:PAYMENT   SEC:WEB    TRACE#:021000023999806 EED:260323   IND ID:1049105564811                IND NAME:JUDD DUNNING                                                                                                 260322PPZ3J3 TRN: 0823999806TC</v>
      </c>
      <c r="D277" s="7" t="n">
        <f aca="false">Chase1168_2026!D277</f>
        <v>-1000</v>
      </c>
      <c r="E277" s="0" t="str">
        <f aca="false">Chase1168_2026!E277</f>
        <v>ACH_DEBIT</v>
      </c>
      <c r="F277" s="7" t="n">
        <f aca="false">Chase1168_2026!F277</f>
        <v>21132.48</v>
      </c>
      <c r="G277" s="0" t="str">
        <f aca="false">Chase1168_2026!G277</f>
        <v>Venmo</v>
      </c>
      <c r="H277" s="15" t="n">
        <f aca="false">IF($B277="","",DATE(YEAR($B277),MONTH($B277),1))</f>
        <v>46082</v>
      </c>
      <c r="I277" s="0" t="str">
        <f aca="false">IF($G277="","Uncategorized — Review",IFERROR(INDEX(Mapping!$B:$B,MATCH($G277,Mapping!$A:$A,0)),"Uncategorized — Review"))</f>
        <v>Venmo</v>
      </c>
      <c r="J277" s="0" t="str">
        <f aca="false">IF($G277="","Uncategorized — Review",IFERROR(INDEX(Mapping!$C:$C,MATCH($G277,Mapping!$A:$A,0)),"Uncategorized — Review"))</f>
        <v>P2P Payments (Zelle/Venmo/PayPal)</v>
      </c>
    </row>
    <row r="278" customFormat="false" ht="15" hidden="false" customHeight="false" outlineLevel="0" collapsed="false">
      <c r="A278" s="0" t="str">
        <f aca="false">Chase1168_2026!A278</f>
        <v>DEBIT</v>
      </c>
      <c r="B278" s="14" t="n">
        <f aca="false">Chase1168_2026!B278</f>
        <v>46104</v>
      </c>
      <c r="C278" s="0" t="str">
        <f aca="false">Chase1168_2026!C278</f>
        <v>Online Transfer to CHK ...1117 transaction#: 28532226913 03/23</v>
      </c>
      <c r="D278" s="7" t="n">
        <f aca="false">Chase1168_2026!D278</f>
        <v>-5000</v>
      </c>
      <c r="E278" s="0" t="str">
        <f aca="false">Chase1168_2026!E278</f>
        <v>ACCT_XFER</v>
      </c>
      <c r="F278" s="7" t="n">
        <f aca="false">Chase1168_2026!F278</f>
        <v>22132.48</v>
      </c>
      <c r="G278" s="0" t="str">
        <f aca="false">Chase1168_2026!G278</f>
        <v>Transfer to Angela Dunning</v>
      </c>
      <c r="H278" s="15" t="n">
        <f aca="false">IF($B278="","",DATE(YEAR($B278),MONTH($B278),1))</f>
        <v>46082</v>
      </c>
      <c r="I278" s="0" t="str">
        <f aca="false">IF($G278="","Uncategorized — Review",IFERROR(INDEX(Mapping!$B:$B,MATCH($G278,Mapping!$A:$A,0)),"Uncategorized — Review"))</f>
        <v>Transfer to Angela Dunning</v>
      </c>
      <c r="J278" s="0" t="str">
        <f aca="false">IF($G278="","Uncategorized — Review",IFERROR(INDEX(Mapping!$C:$C,MATCH($G278,Mapping!$A:$A,0)),"Uncategorized — Review"))</f>
        <v>Owner / Family Distributions</v>
      </c>
    </row>
    <row r="279" customFormat="false" ht="15" hidden="false" customHeight="false" outlineLevel="0" collapsed="false">
      <c r="A279" s="0" t="str">
        <f aca="false">Chase1168_2026!A279</f>
        <v>DEBIT</v>
      </c>
      <c r="B279" s="14" t="n">
        <f aca="false">Chase1168_2026!B279</f>
        <v>46104</v>
      </c>
      <c r="C279" s="0" t="str">
        <f aca="false">Chase1168_2026!C279</f>
        <v>Online Payment 28532215798 To PENTAGON FEDERAL CREDIT UNION 03/23</v>
      </c>
      <c r="D279" s="7" t="n">
        <f aca="false">Chase1168_2026!D279</f>
        <v>-7100</v>
      </c>
      <c r="E279" s="0" t="str">
        <f aca="false">Chase1168_2026!E279</f>
        <v>BILLPAY</v>
      </c>
      <c r="F279" s="7" t="n">
        <f aca="false">Chase1168_2026!F279</f>
        <v>27132.48</v>
      </c>
      <c r="G279" s="0" t="str">
        <f aca="false">Chase1168_2026!G279</f>
        <v>Personal - California Mortgage PMT</v>
      </c>
      <c r="H279" s="15" t="n">
        <f aca="false">IF($B279="","",DATE(YEAR($B279),MONTH($B279),1))</f>
        <v>46082</v>
      </c>
      <c r="I279" s="0" t="str">
        <f aca="false">IF($G279="","Uncategorized — Review",IFERROR(INDEX(Mapping!$B:$B,MATCH($G279,Mapping!$A:$A,0)),"Uncategorized — Review"))</f>
        <v>Personal - California Mortgage PMT</v>
      </c>
      <c r="J279" s="0" t="str">
        <f aca="false">IF($G279="","Uncategorized — Review",IFERROR(INDEX(Mapping!$C:$C,MATCH($G279,Mapping!$A:$A,0)),"Uncategorized — Review"))</f>
        <v>Personal — Owner</v>
      </c>
    </row>
    <row r="280" customFormat="false" ht="15" hidden="false" customHeight="false" outlineLevel="0" collapsed="false">
      <c r="A280" s="0" t="str">
        <f aca="false">Chase1168_2026!A280</f>
        <v>DEBIT</v>
      </c>
      <c r="B280" s="14" t="n">
        <f aca="false">Chase1168_2026!B280</f>
        <v>46104</v>
      </c>
      <c r="C280" s="0" t="str">
        <f aca="false">Chase1168_2026!C280</f>
        <v>Online Payment 28532213061 To MERCEDES BENZ FINANCIAL 03/23</v>
      </c>
      <c r="D280" s="7" t="n">
        <f aca="false">Chase1168_2026!D280</f>
        <v>-500</v>
      </c>
      <c r="E280" s="0" t="str">
        <f aca="false">Chase1168_2026!E280</f>
        <v>BILLPAY</v>
      </c>
      <c r="F280" s="7" t="n">
        <f aca="false">Chase1168_2026!F280</f>
        <v>34232.48</v>
      </c>
      <c r="G280" s="0" t="str">
        <f aca="false">Chase1168_2026!G280</f>
        <v>Personal - Car (Mercedes)</v>
      </c>
      <c r="H280" s="15" t="n">
        <f aca="false">IF($B280="","",DATE(YEAR($B280),MONTH($B280),1))</f>
        <v>46082</v>
      </c>
      <c r="I280" s="0" t="str">
        <f aca="false">IF($G280="","Uncategorized — Review",IFERROR(INDEX(Mapping!$B:$B,MATCH($G280,Mapping!$A:$A,0)),"Uncategorized — Review"))</f>
        <v>Personal - Car &amp; Auto</v>
      </c>
      <c r="J280" s="0" t="str">
        <f aca="false">IF($G280="","Uncategorized — Review",IFERROR(INDEX(Mapping!$C:$C,MATCH($G280,Mapping!$A:$A,0)),"Uncategorized — Review"))</f>
        <v>Personal — Owner</v>
      </c>
    </row>
    <row r="281" customFormat="false" ht="15" hidden="false" customHeight="false" outlineLevel="0" collapsed="false">
      <c r="A281" s="0" t="str">
        <f aca="false">Chase1168_2026!A281</f>
        <v>DEBIT</v>
      </c>
      <c r="B281" s="14" t="n">
        <f aca="false">Chase1168_2026!B281</f>
        <v>46104</v>
      </c>
      <c r="C281" s="0" t="str">
        <f aca="false">Chase1168_2026!C281</f>
        <v>Online Payment 28532201379 To MERCEDES BENZ FINANCIAL SVCS 03/23</v>
      </c>
      <c r="D281" s="7" t="n">
        <f aca="false">Chase1168_2026!D281</f>
        <v>-1400</v>
      </c>
      <c r="E281" s="0" t="str">
        <f aca="false">Chase1168_2026!E281</f>
        <v>BILLPAY</v>
      </c>
      <c r="F281" s="7" t="n">
        <f aca="false">Chase1168_2026!F281</f>
        <v>34732.48</v>
      </c>
      <c r="G281" s="0" t="str">
        <f aca="false">Chase1168_2026!G281</f>
        <v>Personal - Car (Mercedes)</v>
      </c>
      <c r="H281" s="15" t="n">
        <f aca="false">IF($B281="","",DATE(YEAR($B281),MONTH($B281),1))</f>
        <v>46082</v>
      </c>
      <c r="I281" s="0" t="str">
        <f aca="false">IF($G281="","Uncategorized — Review",IFERROR(INDEX(Mapping!$B:$B,MATCH($G281,Mapping!$A:$A,0)),"Uncategorized — Review"))</f>
        <v>Personal - Car &amp; Auto</v>
      </c>
      <c r="J281" s="0" t="str">
        <f aca="false">IF($G281="","Uncategorized — Review",IFERROR(INDEX(Mapping!$C:$C,MATCH($G281,Mapping!$A:$A,0)),"Uncategorized — Review"))</f>
        <v>Personal — Owner</v>
      </c>
    </row>
    <row r="282" customFormat="false" ht="15" hidden="false" customHeight="false" outlineLevel="0" collapsed="false">
      <c r="A282" s="0" t="str">
        <f aca="false">Chase1168_2026!A282</f>
        <v>DEBIT</v>
      </c>
      <c r="B282" s="14" t="n">
        <f aca="false">Chase1168_2026!B282</f>
        <v>46104</v>
      </c>
      <c r="C282" s="0" t="str">
        <f aca="false">Chase1168_2026!C282</f>
        <v>Online Payment 28532189469 To MERCEDES BENZ FINANCIAL 03/23</v>
      </c>
      <c r="D282" s="7" t="n">
        <f aca="false">Chase1168_2026!D282</f>
        <v>-600</v>
      </c>
      <c r="E282" s="0" t="str">
        <f aca="false">Chase1168_2026!E282</f>
        <v>BILLPAY</v>
      </c>
      <c r="F282" s="7" t="n">
        <f aca="false">Chase1168_2026!F282</f>
        <v>36132.48</v>
      </c>
      <c r="G282" s="0" t="str">
        <f aca="false">Chase1168_2026!G282</f>
        <v>Personal - Car (Mercedes)</v>
      </c>
      <c r="H282" s="15" t="n">
        <f aca="false">IF($B282="","",DATE(YEAR($B282),MONTH($B282),1))</f>
        <v>46082</v>
      </c>
      <c r="I282" s="0" t="str">
        <f aca="false">IF($G282="","Uncategorized — Review",IFERROR(INDEX(Mapping!$B:$B,MATCH($G282,Mapping!$A:$A,0)),"Uncategorized — Review"))</f>
        <v>Personal - Car &amp; Auto</v>
      </c>
      <c r="J282" s="0" t="str">
        <f aca="false">IF($G282="","Uncategorized — Review",IFERROR(INDEX(Mapping!$C:$C,MATCH($G282,Mapping!$A:$A,0)),"Uncategorized — Review"))</f>
        <v>Personal — Owner</v>
      </c>
    </row>
    <row r="283" customFormat="false" ht="15" hidden="false" customHeight="false" outlineLevel="0" collapsed="false">
      <c r="A283" s="0" t="str">
        <f aca="false">Chase1168_2026!A283</f>
        <v>DEBIT</v>
      </c>
      <c r="B283" s="14" t="n">
        <f aca="false">Chase1168_2026!B283</f>
        <v>46104</v>
      </c>
      <c r="C283" s="0" t="str">
        <f aca="false">Chase1168_2026!C283</f>
        <v>Online Payment 28532149218 To LOS ANGELES MUNICIPAL SERVICE 03/23</v>
      </c>
      <c r="D283" s="7" t="n">
        <f aca="false">Chase1168_2026!D283</f>
        <v>-1811.09</v>
      </c>
      <c r="E283" s="0" t="str">
        <f aca="false">Chase1168_2026!E283</f>
        <v>BILLPAY</v>
      </c>
      <c r="F283" s="7" t="n">
        <f aca="false">Chase1168_2026!F283</f>
        <v>36732.48</v>
      </c>
      <c r="G283" s="0" t="str">
        <f aca="false">Chase1168_2026!G283</f>
        <v>???</v>
      </c>
      <c r="H283" s="15" t="n">
        <f aca="false">IF($B283="","",DATE(YEAR($B283),MONTH($B283),1))</f>
        <v>46082</v>
      </c>
      <c r="I283" s="0" t="str">
        <f aca="false">IF($G283="","Uncategorized — Review",IFERROR(INDEX(Mapping!$B:$B,MATCH($G283,Mapping!$A:$A,0)),"Uncategorized — Review"))</f>
        <v>???</v>
      </c>
      <c r="J283" s="0" t="str">
        <f aca="false">IF($G283="","Uncategorized — Review",IFERROR(INDEX(Mapping!$C:$C,MATCH($G283,Mapping!$A:$A,0)),"Uncategorized — Review"))</f>
        <v>Uncategorized — Review</v>
      </c>
    </row>
    <row r="284" customFormat="false" ht="15" hidden="false" customHeight="false" outlineLevel="0" collapsed="false">
      <c r="A284" s="0" t="str">
        <f aca="false">Chase1168_2026!A284</f>
        <v>DEBIT</v>
      </c>
      <c r="B284" s="14" t="n">
        <f aca="false">Chase1168_2026!B284</f>
        <v>46104</v>
      </c>
      <c r="C284" s="0" t="str">
        <f aca="false">Chase1168_2026!C284</f>
        <v>PAYPAL *RUTHALCANCI 402-935-7733 CA          03/22</v>
      </c>
      <c r="D284" s="7" t="n">
        <f aca="false">Chase1168_2026!D284</f>
        <v>-365.4</v>
      </c>
      <c r="E284" s="0" t="str">
        <f aca="false">Chase1168_2026!E284</f>
        <v>DEBIT_CARD</v>
      </c>
      <c r="F284" s="7" t="n">
        <f aca="false">Chase1168_2026!F284</f>
        <v>38543.57</v>
      </c>
      <c r="G284" s="0" t="str">
        <f aca="false">Chase1168_2026!G284</f>
        <v>Ruth Alcancia - Forward Bridge Payment</v>
      </c>
      <c r="H284" s="15" t="n">
        <f aca="false">IF($B284="","",DATE(YEAR($B284),MONTH($B284),1))</f>
        <v>46082</v>
      </c>
      <c r="I284" s="0" t="str">
        <f aca="false">IF($G284="","Uncategorized — Review",IFERROR(INDEX(Mapping!$B:$B,MATCH($G284,Mapping!$A:$A,0)),"Uncategorized — Review"))</f>
        <v>Ruth Alcancia - Forward Bridge Payment</v>
      </c>
      <c r="J284" s="0" t="str">
        <f aca="false">IF($G284="","Uncategorized — Review",IFERROR(INDEX(Mapping!$C:$C,MATCH($G284,Mapping!$A:$A,0)),"Uncategorized — Review"))</f>
        <v>Payroll &amp; Contractors</v>
      </c>
    </row>
    <row r="285" customFormat="false" ht="15" hidden="false" customHeight="false" outlineLevel="0" collapsed="false">
      <c r="A285" s="0" t="str">
        <f aca="false">Chase1168_2026!A285</f>
        <v>DEBIT</v>
      </c>
      <c r="B285" s="14" t="n">
        <f aca="false">Chase1168_2026!B285</f>
        <v>46104</v>
      </c>
      <c r="C285" s="0" t="str">
        <f aca="false">Chase1168_2026!C285</f>
        <v>Experian* ProtectMyID 866-5849446 CA         03/22</v>
      </c>
      <c r="D285" s="7" t="n">
        <f aca="false">Chase1168_2026!D285</f>
        <v>-17.95</v>
      </c>
      <c r="E285" s="0" t="str">
        <f aca="false">Chase1168_2026!E285</f>
        <v>DEBIT_CARD</v>
      </c>
      <c r="F285" s="7" t="n">
        <f aca="false">Chase1168_2026!F285</f>
        <v>38908.97</v>
      </c>
      <c r="G285" s="0" t="str">
        <f aca="false">Chase1168_2026!G285</f>
        <v>Personal - Subscriptions</v>
      </c>
      <c r="H285" s="15" t="n">
        <f aca="false">IF($B285="","",DATE(YEAR($B285),MONTH($B285),1))</f>
        <v>46082</v>
      </c>
      <c r="I285" s="0" t="str">
        <f aca="false">IF($G285="","Uncategorized — Review",IFERROR(INDEX(Mapping!$B:$B,MATCH($G285,Mapping!$A:$A,0)),"Uncategorized — Review"))</f>
        <v>Personal - Subscriptions</v>
      </c>
      <c r="J285" s="0" t="str">
        <f aca="false">IF($G285="","Uncategorized — Review",IFERROR(INDEX(Mapping!$C:$C,MATCH($G285,Mapping!$A:$A,0)),"Uncategorized — Review"))</f>
        <v>Personal — Owner</v>
      </c>
    </row>
    <row r="286" customFormat="false" ht="15" hidden="false" customHeight="false" outlineLevel="0" collapsed="false">
      <c r="A286" s="0" t="str">
        <f aca="false">Chase1168_2026!A286</f>
        <v>DEBIT</v>
      </c>
      <c r="B286" s="14" t="n">
        <f aca="false">Chase1168_2026!B286</f>
        <v>46104</v>
      </c>
      <c r="C286" s="0" t="str">
        <f aca="false">Chase1168_2026!C286</f>
        <v>Zelle payment to Jeffrey Seider JPM99ca1oakq</v>
      </c>
      <c r="D286" s="7" t="n">
        <f aca="false">Chase1168_2026!D286</f>
        <v>-100</v>
      </c>
      <c r="E286" s="0" t="str">
        <f aca="false">Chase1168_2026!E286</f>
        <v>CHASE_TO_PARTNERFI</v>
      </c>
      <c r="F286" s="7" t="n">
        <f aca="false">Chase1168_2026!F286</f>
        <v>38926.92</v>
      </c>
      <c r="G286" s="0" t="str">
        <f aca="false">Chase1168_2026!G286</f>
        <v>Zelle - Jeff Seider</v>
      </c>
      <c r="H286" s="15" t="n">
        <f aca="false">IF($B286="","",DATE(YEAR($B286),MONTH($B286),1))</f>
        <v>46082</v>
      </c>
      <c r="I286" s="0" t="str">
        <f aca="false">IF($G286="","Uncategorized — Review",IFERROR(INDEX(Mapping!$B:$B,MATCH($G286,Mapping!$A:$A,0)),"Uncategorized — Review"))</f>
        <v>Zelle - Jeff Seider</v>
      </c>
      <c r="J286" s="0" t="str">
        <f aca="false">IF($G286="","Uncategorized — Review",IFERROR(INDEX(Mapping!$C:$C,MATCH($G286,Mapping!$A:$A,0)),"Uncategorized — Review"))</f>
        <v>P2P Payments (Zelle/Venmo/PayPal)</v>
      </c>
    </row>
    <row r="287" customFormat="false" ht="15" hidden="false" customHeight="false" outlineLevel="0" collapsed="false">
      <c r="A287" s="0" t="str">
        <f aca="false">Chase1168_2026!A287</f>
        <v>DEBIT</v>
      </c>
      <c r="B287" s="14" t="n">
        <f aca="false">Chase1168_2026!B287</f>
        <v>46104</v>
      </c>
      <c r="C287" s="0" t="str">
        <f aca="false">Chase1168_2026!C287</f>
        <v>Online Transfer to CHK ...1117 transaction#: 28521606774 03/23</v>
      </c>
      <c r="D287" s="7" t="n">
        <f aca="false">Chase1168_2026!D287</f>
        <v>-3000</v>
      </c>
      <c r="E287" s="0" t="str">
        <f aca="false">Chase1168_2026!E287</f>
        <v>ACCT_XFER</v>
      </c>
      <c r="F287" s="7" t="n">
        <f aca="false">Chase1168_2026!F287</f>
        <v>39026.92</v>
      </c>
      <c r="G287" s="0" t="str">
        <f aca="false">Chase1168_2026!G287</f>
        <v>Transfer to Angela Dunning</v>
      </c>
      <c r="H287" s="15" t="n">
        <f aca="false">IF($B287="","",DATE(YEAR($B287),MONTH($B287),1))</f>
        <v>46082</v>
      </c>
      <c r="I287" s="0" t="str">
        <f aca="false">IF($G287="","Uncategorized — Review",IFERROR(INDEX(Mapping!$B:$B,MATCH($G287,Mapping!$A:$A,0)),"Uncategorized — Review"))</f>
        <v>Transfer to Angela Dunning</v>
      </c>
      <c r="J287" s="0" t="str">
        <f aca="false">IF($G287="","Uncategorized — Review",IFERROR(INDEX(Mapping!$C:$C,MATCH($G287,Mapping!$A:$A,0)),"Uncategorized — Review"))</f>
        <v>Owner / Family Distributions</v>
      </c>
    </row>
    <row r="288" customFormat="false" ht="15" hidden="false" customHeight="false" outlineLevel="0" collapsed="false">
      <c r="A288" s="0" t="str">
        <f aca="false">Chase1168_2026!A288</f>
        <v>DEBIT</v>
      </c>
      <c r="B288" s="14" t="n">
        <f aca="false">Chase1168_2026!B288</f>
        <v>46104</v>
      </c>
      <c r="C288" s="0" t="str">
        <f aca="false">Chase1168_2026!C288</f>
        <v>Online Transfer to CHK ...0709 transaction#: 28521616236 03/23</v>
      </c>
      <c r="D288" s="7" t="n">
        <f aca="false">Chase1168_2026!D288</f>
        <v>-1000</v>
      </c>
      <c r="E288" s="0" t="str">
        <f aca="false">Chase1168_2026!E288</f>
        <v>ACCT_XFER</v>
      </c>
      <c r="F288" s="7" t="n">
        <f aca="false">Chase1168_2026!F288</f>
        <v>42026.92</v>
      </c>
      <c r="G288" s="0" t="str">
        <f aca="false">Chase1168_2026!G288</f>
        <v>Transfer to DWG Capital Group_Savings</v>
      </c>
      <c r="H288" s="15" t="n">
        <f aca="false">IF($B288="","",DATE(YEAR($B288),MONTH($B288),1))</f>
        <v>46082</v>
      </c>
      <c r="I288" s="0" t="str">
        <f aca="false">IF($G288="","Uncategorized — Review",IFERROR(INDEX(Mapping!$B:$B,MATCH($G288,Mapping!$A:$A,0)),"Uncategorized — Review"))</f>
        <v>Transfer to DWG Savings</v>
      </c>
      <c r="J288" s="0" t="str">
        <f aca="false">IF($G288="","Uncategorized — Review",IFERROR(INDEX(Mapping!$C:$C,MATCH($G288,Mapping!$A:$A,0)),"Uncategorized — Review"))</f>
        <v>Intercompany &amp; Savings Transfers</v>
      </c>
    </row>
    <row r="289" customFormat="false" ht="15" hidden="false" customHeight="false" outlineLevel="0" collapsed="false">
      <c r="A289" s="0" t="str">
        <f aca="false">Chase1168_2026!A289</f>
        <v>DEBIT</v>
      </c>
      <c r="B289" s="14" t="n">
        <f aca="false">Chase1168_2026!B289</f>
        <v>46104</v>
      </c>
      <c r="C289" s="0" t="str">
        <f aca="false">Chase1168_2026!C289</f>
        <v>ORIG CO NAME:PRINCIPAL-CCAPNL       ORIG ID:9INDPNLEFT DESC DATE:031926 CO ENTRY DESCR:PRIN FINANSEC:PPD    TRACE#:091000010270425 EED:260323   IND ID:                             IND NAME:JOHN B DUNNING TRN: 0820270425TC</v>
      </c>
      <c r="D289" s="7" t="n">
        <f aca="false">Chase1168_2026!D289</f>
        <v>-331.54</v>
      </c>
      <c r="E289" s="0" t="str">
        <f aca="false">Chase1168_2026!E289</f>
        <v>ACH_DEBIT</v>
      </c>
      <c r="F289" s="7" t="n">
        <f aca="false">Chase1168_2026!F289</f>
        <v>43026.92</v>
      </c>
      <c r="G289" s="0" t="str">
        <f aca="false">Chase1168_2026!G289</f>
        <v>Loan/Mortgage</v>
      </c>
      <c r="H289" s="15" t="n">
        <f aca="false">IF($B289="","",DATE(YEAR($B289),MONTH($B289),1))</f>
        <v>46082</v>
      </c>
      <c r="I289" s="0" t="str">
        <f aca="false">IF($G289="","Uncategorized — Review",IFERROR(INDEX(Mapping!$B:$B,MATCH($G289,Mapping!$A:$A,0)),"Uncategorized — Review"))</f>
        <v>Loan/Mortgage</v>
      </c>
      <c r="J289" s="0" t="str">
        <f aca="false">IF($G289="","Uncategorized — Review",IFERROR(INDEX(Mapping!$C:$C,MATCH($G289,Mapping!$A:$A,0)),"Uncategorized — Review"))</f>
        <v>Credit Card &amp; Loan Payments</v>
      </c>
    </row>
    <row r="290" customFormat="false" ht="15" hidden="false" customHeight="false" outlineLevel="0" collapsed="false">
      <c r="A290" s="0" t="str">
        <f aca="false">Chase1168_2026!A290</f>
        <v>CREDIT</v>
      </c>
      <c r="B290" s="14" t="n">
        <f aca="false">Chase1168_2026!B290</f>
        <v>46104</v>
      </c>
      <c r="C290" s="0" t="str">
        <f aca="false">Chase1168_2026!C290</f>
        <v>Online Transfer from CHK ...9335 transaction#: 28532232790</v>
      </c>
      <c r="D290" s="7" t="n">
        <f aca="false">Chase1168_2026!D290</f>
        <v>20000</v>
      </c>
      <c r="E290" s="0" t="str">
        <f aca="false">Chase1168_2026!E290</f>
        <v>ACCT_XFER</v>
      </c>
      <c r="F290" s="7" t="n">
        <f aca="false">Chase1168_2026!F290</f>
        <v>43358.46</v>
      </c>
      <c r="G290" s="0" t="str">
        <f aca="false">Chase1168_2026!G290</f>
        <v>Poseidon Asset Group (Incoming)</v>
      </c>
      <c r="H290" s="15" t="n">
        <f aca="false">IF($B290="","",DATE(YEAR($B290),MONTH($B290),1))</f>
        <v>46082</v>
      </c>
      <c r="I290" s="0" t="str">
        <f aca="false">IF($G290="","Uncategorized — Review",IFERROR(INDEX(Mapping!$B:$B,MATCH($G290,Mapping!$A:$A,0)),"Uncategorized — Review"))</f>
        <v>Poseidon Asset Group (Incoming)</v>
      </c>
      <c r="J290" s="0" t="str">
        <f aca="false">IF($G290="","Uncategorized — Review",IFERROR(INDEX(Mapping!$C:$C,MATCH($G290,Mapping!$A:$A,0)),"Uncategorized — Review"))</f>
        <v>Poseidon Asset Group</v>
      </c>
    </row>
    <row r="291" customFormat="false" ht="15" hidden="false" customHeight="false" outlineLevel="0" collapsed="false">
      <c r="A291" s="0" t="str">
        <f aca="false">Chase1168_2026!A291</f>
        <v>DEBIT</v>
      </c>
      <c r="B291" s="14" t="n">
        <f aca="false">Chase1168_2026!B291</f>
        <v>46101</v>
      </c>
      <c r="C291" s="0" t="str">
        <f aca="false">Chase1168_2026!C291</f>
        <v>Zelle payment to Chase Hall 28513194423</v>
      </c>
      <c r="D291" s="7" t="n">
        <f aca="false">Chase1168_2026!D291</f>
        <v>-3500</v>
      </c>
      <c r="E291" s="0" t="str">
        <f aca="false">Chase1168_2026!E291</f>
        <v>QUICKPAY_DEBIT</v>
      </c>
      <c r="F291" s="7" t="n">
        <f aca="false">Chase1168_2026!F291</f>
        <v>23358.46</v>
      </c>
      <c r="G291" s="0" t="str">
        <f aca="false">Chase1168_2026!G291</f>
        <v>Chase Hall - Payroll</v>
      </c>
      <c r="H291" s="15" t="n">
        <f aca="false">IF($B291="","",DATE(YEAR($B291),MONTH($B291),1))</f>
        <v>46082</v>
      </c>
      <c r="I291" s="0" t="str">
        <f aca="false">IF($G291="","Uncategorized — Review",IFERROR(INDEX(Mapping!$B:$B,MATCH($G291,Mapping!$A:$A,0)),"Uncategorized — Review"))</f>
        <v>Chase Hall - Payroll</v>
      </c>
      <c r="J291" s="0" t="str">
        <f aca="false">IF($G291="","Uncategorized — Review",IFERROR(INDEX(Mapping!$C:$C,MATCH($G291,Mapping!$A:$A,0)),"Uncategorized — Review"))</f>
        <v>Payroll &amp; Contractors</v>
      </c>
    </row>
    <row r="292" customFormat="false" ht="15" hidden="false" customHeight="false" outlineLevel="0" collapsed="false">
      <c r="A292" s="0" t="str">
        <f aca="false">Chase1168_2026!A292</f>
        <v>DEBIT</v>
      </c>
      <c r="B292" s="14" t="n">
        <f aca="false">Chase1168_2026!B292</f>
        <v>46101</v>
      </c>
      <c r="C292" s="0" t="str">
        <f aca="false">Chase1168_2026!C292</f>
        <v>DNH*GODADDY#4043416344 480-5058855 AZ        03/20</v>
      </c>
      <c r="D292" s="7" t="n">
        <f aca="false">Chase1168_2026!D292</f>
        <v>-19.97</v>
      </c>
      <c r="E292" s="0" t="str">
        <f aca="false">Chase1168_2026!E292</f>
        <v>DEBIT_CARD</v>
      </c>
      <c r="F292" s="7" t="n">
        <f aca="false">Chase1168_2026!F292</f>
        <v>26858.46</v>
      </c>
      <c r="G292" s="0" t="str">
        <f aca="false">Chase1168_2026!G292</f>
        <v>Go Daddy</v>
      </c>
      <c r="H292" s="15" t="n">
        <f aca="false">IF($B292="","",DATE(YEAR($B292),MONTH($B292),1))</f>
        <v>46082</v>
      </c>
      <c r="I292" s="0" t="str">
        <f aca="false">IF($G292="","Uncategorized — Review",IFERROR(INDEX(Mapping!$B:$B,MATCH($G292,Mapping!$A:$A,0)),"Uncategorized — Review"))</f>
        <v>Go Daddy</v>
      </c>
      <c r="J292" s="0" t="str">
        <f aca="false">IF($G292="","Uncategorized — Review",IFERROR(INDEX(Mapping!$C:$C,MATCH($G292,Mapping!$A:$A,0)),"Uncategorized — Review"))</f>
        <v>DWG Operating</v>
      </c>
    </row>
    <row r="293" customFormat="false" ht="15" hidden="false" customHeight="false" outlineLevel="0" collapsed="false">
      <c r="A293" s="0" t="str">
        <f aca="false">Chase1168_2026!A293</f>
        <v>DEBIT</v>
      </c>
      <c r="B293" s="14" t="n">
        <f aca="false">Chase1168_2026!B293</f>
        <v>46100</v>
      </c>
      <c r="C293" s="0" t="str">
        <f aca="false">Chase1168_2026!C293</f>
        <v>ORIG CO NAME:VENMO                  ORIG ID:3264681992 DESC DATE:260319 CO ENTRY DESCR:PAYMENT   SEC:WEB    TRACE#:021000021356699 EED:260319   IND ID:1049029688429                IND NAME:JUDD DUNNING                                                                                                 260319PPZNDI TRN: 0781356699TC</v>
      </c>
      <c r="D293" s="7" t="n">
        <f aca="false">Chase1168_2026!D293</f>
        <v>-10</v>
      </c>
      <c r="E293" s="0" t="str">
        <f aca="false">Chase1168_2026!E293</f>
        <v>ACH_DEBIT</v>
      </c>
      <c r="F293" s="7" t="n">
        <f aca="false">Chase1168_2026!F293</f>
        <v>26878.43</v>
      </c>
      <c r="G293" s="0" t="str">
        <f aca="false">Chase1168_2026!G293</f>
        <v>Venmo</v>
      </c>
      <c r="H293" s="15" t="n">
        <f aca="false">IF($B293="","",DATE(YEAR($B293),MONTH($B293),1))</f>
        <v>46082</v>
      </c>
      <c r="I293" s="0" t="str">
        <f aca="false">IF($G293="","Uncategorized — Review",IFERROR(INDEX(Mapping!$B:$B,MATCH($G293,Mapping!$A:$A,0)),"Uncategorized — Review"))</f>
        <v>Venmo</v>
      </c>
      <c r="J293" s="0" t="str">
        <f aca="false">IF($G293="","Uncategorized — Review",IFERROR(INDEX(Mapping!$C:$C,MATCH($G293,Mapping!$A:$A,0)),"Uncategorized — Review"))</f>
        <v>P2P Payments (Zelle/Venmo/PayPal)</v>
      </c>
    </row>
    <row r="294" customFormat="false" ht="15" hidden="false" customHeight="false" outlineLevel="0" collapsed="false">
      <c r="A294" s="0" t="str">
        <f aca="false">Chase1168_2026!A294</f>
        <v>DEBIT</v>
      </c>
      <c r="B294" s="14" t="n">
        <f aca="false">Chase1168_2026!B294</f>
        <v>46100</v>
      </c>
      <c r="C294" s="0" t="str">
        <f aca="false">Chase1168_2026!C294</f>
        <v>DNH*GODADDY#4041786086 480-5058855 AZ        03/18</v>
      </c>
      <c r="D294" s="7" t="n">
        <f aca="false">Chase1168_2026!D294</f>
        <v>-22.98</v>
      </c>
      <c r="E294" s="0" t="str">
        <f aca="false">Chase1168_2026!E294</f>
        <v>DEBIT_CARD</v>
      </c>
      <c r="F294" s="7" t="n">
        <f aca="false">Chase1168_2026!F294</f>
        <v>26888.43</v>
      </c>
      <c r="G294" s="0" t="str">
        <f aca="false">Chase1168_2026!G294</f>
        <v>Go Daddy</v>
      </c>
      <c r="H294" s="15" t="n">
        <f aca="false">IF($B294="","",DATE(YEAR($B294),MONTH($B294),1))</f>
        <v>46082</v>
      </c>
      <c r="I294" s="0" t="str">
        <f aca="false">IF($G294="","Uncategorized — Review",IFERROR(INDEX(Mapping!$B:$B,MATCH($G294,Mapping!$A:$A,0)),"Uncategorized — Review"))</f>
        <v>Go Daddy</v>
      </c>
      <c r="J294" s="0" t="str">
        <f aca="false">IF($G294="","Uncategorized — Review",IFERROR(INDEX(Mapping!$C:$C,MATCH($G294,Mapping!$A:$A,0)),"Uncategorized — Review"))</f>
        <v>DWG Operating</v>
      </c>
    </row>
    <row r="295" customFormat="false" ht="15" hidden="false" customHeight="false" outlineLevel="0" collapsed="false">
      <c r="A295" s="0" t="str">
        <f aca="false">Chase1168_2026!A295</f>
        <v>DEBIT</v>
      </c>
      <c r="B295" s="14" t="n">
        <f aca="false">Chase1168_2026!B295</f>
        <v>46100</v>
      </c>
      <c r="C295" s="0" t="str">
        <f aca="false">Chase1168_2026!C295</f>
        <v>DNH*GODADDY#4041785798 480-5058855 AZ        03/18</v>
      </c>
      <c r="D295" s="7" t="n">
        <f aca="false">Chase1168_2026!D295</f>
        <v>-47.98</v>
      </c>
      <c r="E295" s="0" t="str">
        <f aca="false">Chase1168_2026!E295</f>
        <v>DEBIT_CARD</v>
      </c>
      <c r="F295" s="7" t="n">
        <f aca="false">Chase1168_2026!F295</f>
        <v>26911.41</v>
      </c>
      <c r="G295" s="0" t="str">
        <f aca="false">Chase1168_2026!G295</f>
        <v>Go Daddy</v>
      </c>
      <c r="H295" s="15" t="n">
        <f aca="false">IF($B295="","",DATE(YEAR($B295),MONTH($B295),1))</f>
        <v>46082</v>
      </c>
      <c r="I295" s="0" t="str">
        <f aca="false">IF($G295="","Uncategorized — Review",IFERROR(INDEX(Mapping!$B:$B,MATCH($G295,Mapping!$A:$A,0)),"Uncategorized — Review"))</f>
        <v>Go Daddy</v>
      </c>
      <c r="J295" s="0" t="str">
        <f aca="false">IF($G295="","Uncategorized — Review",IFERROR(INDEX(Mapping!$C:$C,MATCH($G295,Mapping!$A:$A,0)),"Uncategorized — Review"))</f>
        <v>DWG Operating</v>
      </c>
    </row>
    <row r="296" customFormat="false" ht="15" hidden="false" customHeight="false" outlineLevel="0" collapsed="false">
      <c r="A296" s="0" t="str">
        <f aca="false">Chase1168_2026!A296</f>
        <v>DEBIT</v>
      </c>
      <c r="B296" s="14" t="n">
        <f aca="false">Chase1168_2026!B296</f>
        <v>46100</v>
      </c>
      <c r="C296" s="0" t="str">
        <f aca="false">Chase1168_2026!C296</f>
        <v>DNH*GODADDY#4041785872 480-5058855 AZ        03/18</v>
      </c>
      <c r="D296" s="7" t="n">
        <f aca="false">Chase1168_2026!D296</f>
        <v>-16.98</v>
      </c>
      <c r="E296" s="0" t="str">
        <f aca="false">Chase1168_2026!E296</f>
        <v>DEBIT_CARD</v>
      </c>
      <c r="F296" s="7" t="n">
        <f aca="false">Chase1168_2026!F296</f>
        <v>26959.39</v>
      </c>
      <c r="G296" s="0" t="str">
        <f aca="false">Chase1168_2026!G296</f>
        <v>Go Daddy</v>
      </c>
      <c r="H296" s="15" t="n">
        <f aca="false">IF($B296="","",DATE(YEAR($B296),MONTH($B296),1))</f>
        <v>46082</v>
      </c>
      <c r="I296" s="0" t="str">
        <f aca="false">IF($G296="","Uncategorized — Review",IFERROR(INDEX(Mapping!$B:$B,MATCH($G296,Mapping!$A:$A,0)),"Uncategorized — Review"))</f>
        <v>Go Daddy</v>
      </c>
      <c r="J296" s="0" t="str">
        <f aca="false">IF($G296="","Uncategorized — Review",IFERROR(INDEX(Mapping!$C:$C,MATCH($G296,Mapping!$A:$A,0)),"Uncategorized — Review"))</f>
        <v>DWG Operating</v>
      </c>
    </row>
    <row r="297" customFormat="false" ht="15" hidden="false" customHeight="false" outlineLevel="0" collapsed="false">
      <c r="A297" s="0" t="str">
        <f aca="false">Chase1168_2026!A297</f>
        <v>DEBIT</v>
      </c>
      <c r="B297" s="14" t="n">
        <f aca="false">Chase1168_2026!B297</f>
        <v>46098</v>
      </c>
      <c r="C297" s="0" t="str">
        <f aca="false">Chase1168_2026!C297</f>
        <v>Zelle payment to natalie cordova JPM99c9jibbu</v>
      </c>
      <c r="D297" s="7" t="n">
        <f aca="false">Chase1168_2026!D297</f>
        <v>-500</v>
      </c>
      <c r="E297" s="0" t="str">
        <f aca="false">Chase1168_2026!E297</f>
        <v>CHASE_TO_PARTNERFI</v>
      </c>
      <c r="F297" s="7" t="n">
        <f aca="false">Chase1168_2026!F297</f>
        <v>26976.37</v>
      </c>
      <c r="G297" s="0" t="str">
        <f aca="false">Chase1168_2026!G297</f>
        <v>Zelle - Natalie C.</v>
      </c>
      <c r="H297" s="15" t="n">
        <f aca="false">IF($B297="","",DATE(YEAR($B297),MONTH($B297),1))</f>
        <v>46082</v>
      </c>
      <c r="I297" s="0" t="str">
        <f aca="false">IF($G297="","Uncategorized — Review",IFERROR(INDEX(Mapping!$B:$B,MATCH($G297,Mapping!$A:$A,0)),"Uncategorized — Review"))</f>
        <v>Zelle - Natalie C.</v>
      </c>
      <c r="J297" s="0" t="str">
        <f aca="false">IF($G297="","Uncategorized — Review",IFERROR(INDEX(Mapping!$C:$C,MATCH($G297,Mapping!$A:$A,0)),"Uncategorized — Review"))</f>
        <v>P2P Payments (Zelle/Venmo/PayPal)</v>
      </c>
    </row>
    <row r="298" customFormat="false" ht="15" hidden="false" customHeight="false" outlineLevel="0" collapsed="false">
      <c r="A298" s="0" t="str">
        <f aca="false">Chase1168_2026!A298</f>
        <v>DEBIT</v>
      </c>
      <c r="B298" s="14" t="n">
        <f aca="false">Chase1168_2026!B298</f>
        <v>46098</v>
      </c>
      <c r="C298" s="0" t="str">
        <f aca="false">Chase1168_2026!C298</f>
        <v>Online Transfer to CHK ...1117 transaction#: 28471503036 03/17</v>
      </c>
      <c r="D298" s="7" t="n">
        <f aca="false">Chase1168_2026!D298</f>
        <v>-4000</v>
      </c>
      <c r="E298" s="0" t="str">
        <f aca="false">Chase1168_2026!E298</f>
        <v>ACCT_XFER</v>
      </c>
      <c r="F298" s="7" t="n">
        <f aca="false">Chase1168_2026!F298</f>
        <v>27476.37</v>
      </c>
      <c r="G298" s="0" t="str">
        <f aca="false">Chase1168_2026!G298</f>
        <v>Transfer to Angela Dunning</v>
      </c>
      <c r="H298" s="15" t="n">
        <f aca="false">IF($B298="","",DATE(YEAR($B298),MONTH($B298),1))</f>
        <v>46082</v>
      </c>
      <c r="I298" s="0" t="str">
        <f aca="false">IF($G298="","Uncategorized — Review",IFERROR(INDEX(Mapping!$B:$B,MATCH($G298,Mapping!$A:$A,0)),"Uncategorized — Review"))</f>
        <v>Transfer to Angela Dunning</v>
      </c>
      <c r="J298" s="0" t="str">
        <f aca="false">IF($G298="","Uncategorized — Review",IFERROR(INDEX(Mapping!$C:$C,MATCH($G298,Mapping!$A:$A,0)),"Uncategorized — Review"))</f>
        <v>Owner / Family Distributions</v>
      </c>
    </row>
    <row r="299" customFormat="false" ht="15" hidden="false" customHeight="false" outlineLevel="0" collapsed="false">
      <c r="A299" s="0" t="str">
        <f aca="false">Chase1168_2026!A299</f>
        <v>DEBIT</v>
      </c>
      <c r="B299" s="14" t="n">
        <f aca="false">Chase1168_2026!B299</f>
        <v>46098</v>
      </c>
      <c r="C299" s="0" t="str">
        <f aca="false">Chase1168_2026!C299</f>
        <v>Zelle payment to Jeffrey Seider JPM99c9jhy0y</v>
      </c>
      <c r="D299" s="7" t="n">
        <f aca="false">Chase1168_2026!D299</f>
        <v>-400</v>
      </c>
      <c r="E299" s="0" t="str">
        <f aca="false">Chase1168_2026!E299</f>
        <v>CHASE_TO_PARTNERFI</v>
      </c>
      <c r="F299" s="7" t="n">
        <f aca="false">Chase1168_2026!F299</f>
        <v>31476.37</v>
      </c>
      <c r="G299" s="0" t="str">
        <f aca="false">Chase1168_2026!G299</f>
        <v>Zelle - Jeff Seider</v>
      </c>
      <c r="H299" s="15" t="n">
        <f aca="false">IF($B299="","",DATE(YEAR($B299),MONTH($B299),1))</f>
        <v>46082</v>
      </c>
      <c r="I299" s="0" t="str">
        <f aca="false">IF($G299="","Uncategorized — Review",IFERROR(INDEX(Mapping!$B:$B,MATCH($G299,Mapping!$A:$A,0)),"Uncategorized — Review"))</f>
        <v>Zelle - Jeff Seider</v>
      </c>
      <c r="J299" s="0" t="str">
        <f aca="false">IF($G299="","Uncategorized — Review",IFERROR(INDEX(Mapping!$C:$C,MATCH($G299,Mapping!$A:$A,0)),"Uncategorized — Review"))</f>
        <v>P2P Payments (Zelle/Venmo/PayPal)</v>
      </c>
    </row>
    <row r="300" customFormat="false" ht="15" hidden="false" customHeight="false" outlineLevel="0" collapsed="false">
      <c r="A300" s="0" t="str">
        <f aca="false">Chase1168_2026!A300</f>
        <v>DEBIT</v>
      </c>
      <c r="B300" s="14" t="n">
        <f aca="false">Chase1168_2026!B300</f>
        <v>46098</v>
      </c>
      <c r="C300" s="0" t="str">
        <f aca="false">Chase1168_2026!C300</f>
        <v>Zelle payment to Michael Paytonjian JPM99c9i6x9z</v>
      </c>
      <c r="D300" s="7" t="n">
        <f aca="false">Chase1168_2026!D300</f>
        <v>-60</v>
      </c>
      <c r="E300" s="0" t="str">
        <f aca="false">Chase1168_2026!E300</f>
        <v>CHASE_TO_PARTNERFI</v>
      </c>
      <c r="F300" s="7" t="n">
        <f aca="false">Chase1168_2026!F300</f>
        <v>31876.37</v>
      </c>
      <c r="G300" s="0" t="str">
        <f aca="false">Chase1168_2026!G300</f>
        <v>Office/Miscellaneous Reimbursement - Mike P.</v>
      </c>
      <c r="H300" s="15" t="n">
        <f aca="false">IF($B300="","",DATE(YEAR($B300),MONTH($B300),1))</f>
        <v>46082</v>
      </c>
      <c r="I300" s="0" t="str">
        <f aca="false">IF($G300="","Uncategorized — Review",IFERROR(INDEX(Mapping!$B:$B,MATCH($G300,Mapping!$A:$A,0)),"Uncategorized — Review"))</f>
        <v>Office/Miscellaneous Reimbursement - Mike P.</v>
      </c>
      <c r="J300" s="0" t="str">
        <f aca="false">IF($G300="","Uncategorized — Review",IFERROR(INDEX(Mapping!$C:$C,MATCH($G300,Mapping!$A:$A,0)),"Uncategorized — Review"))</f>
        <v>DWG Operating</v>
      </c>
    </row>
    <row r="301" customFormat="false" ht="15" hidden="false" customHeight="false" outlineLevel="0" collapsed="false">
      <c r="A301" s="0" t="str">
        <f aca="false">Chase1168_2026!A301</f>
        <v>DEBIT</v>
      </c>
      <c r="B301" s="14" t="n">
        <f aca="false">Chase1168_2026!B301</f>
        <v>46098</v>
      </c>
      <c r="C301" s="0" t="str">
        <f aca="false">Chase1168_2026!C301</f>
        <v>ORIG CO NAME:LEASEDIRECT            ORIG ID:138190450  DESC DATE:260315 CO ENTRY DESCR:17769_1   SEC:CCD    TRACE#:043000094158622 EED:260317   IND ID:1556926                      IND NAME:DWG CAPITAL GROUP          INV# 595930634 DUE 03/15/26 REC# 10 10801496                                      17770 TRN: 0764158622TC</v>
      </c>
      <c r="D301" s="7" t="n">
        <f aca="false">Chase1168_2026!D301</f>
        <v>-104.01</v>
      </c>
      <c r="E301" s="0" t="str">
        <f aca="false">Chase1168_2026!E301</f>
        <v>ACH_DEBIT</v>
      </c>
      <c r="F301" s="7" t="n">
        <f aca="false">Chase1168_2026!F301</f>
        <v>31936.37</v>
      </c>
      <c r="G301" s="0" t="str">
        <f aca="false">Chase1168_2026!G301</f>
        <v>DWG Marketing</v>
      </c>
      <c r="H301" s="15" t="n">
        <f aca="false">IF($B301="","",DATE(YEAR($B301),MONTH($B301),1))</f>
        <v>46082</v>
      </c>
      <c r="I301" s="0" t="str">
        <f aca="false">IF($G301="","Uncategorized — Review",IFERROR(INDEX(Mapping!$B:$B,MATCH($G301,Mapping!$A:$A,0)),"Uncategorized — Review"))</f>
        <v>DWG Marketing</v>
      </c>
      <c r="J301" s="0" t="str">
        <f aca="false">IF($G301="","Uncategorized — Review",IFERROR(INDEX(Mapping!$C:$C,MATCH($G301,Mapping!$A:$A,0)),"Uncategorized — Review"))</f>
        <v>DWG Operating</v>
      </c>
    </row>
    <row r="302" customFormat="false" ht="15" hidden="false" customHeight="false" outlineLevel="0" collapsed="false">
      <c r="A302" s="0" t="str">
        <f aca="false">Chase1168_2026!A302</f>
        <v>DEBIT</v>
      </c>
      <c r="B302" s="14" t="n">
        <f aca="false">Chase1168_2026!B302</f>
        <v>46097</v>
      </c>
      <c r="C302" s="0" t="str">
        <f aca="false">Chase1168_2026!C302</f>
        <v>Basic Online Payroll Payment 11210255892 to ########4122</v>
      </c>
      <c r="D302" s="7" t="n">
        <f aca="false">Chase1168_2026!D302</f>
        <v>-1750</v>
      </c>
      <c r="E302" s="0" t="str">
        <f aca="false">Chase1168_2026!E302</f>
        <v>BASIC_PAYROLL</v>
      </c>
      <c r="F302" s="7" t="n">
        <f aca="false">Chase1168_2026!F302</f>
        <v>32040.38</v>
      </c>
      <c r="G302" s="0" t="str">
        <f aca="false">Chase1168_2026!G302</f>
        <v>Mike Paytonjian - Payroll</v>
      </c>
      <c r="H302" s="15" t="n">
        <f aca="false">IF($B302="","",DATE(YEAR($B302),MONTH($B302),1))</f>
        <v>46082</v>
      </c>
      <c r="I302" s="0" t="str">
        <f aca="false">IF($G302="","Uncategorized — Review",IFERROR(INDEX(Mapping!$B:$B,MATCH($G302,Mapping!$A:$A,0)),"Uncategorized — Review"))</f>
        <v>Mike Paytonjian - Payroll</v>
      </c>
      <c r="J302" s="0" t="str">
        <f aca="false">IF($G302="","Uncategorized — Review",IFERROR(INDEX(Mapping!$C:$C,MATCH($G302,Mapping!$A:$A,0)),"Uncategorized — Review"))</f>
        <v>Payroll &amp; Contractors</v>
      </c>
    </row>
    <row r="303" customFormat="false" ht="15" hidden="false" customHeight="false" outlineLevel="0" collapsed="false">
      <c r="A303" s="0" t="str">
        <f aca="false">Chase1168_2026!A303</f>
        <v>DEBIT</v>
      </c>
      <c r="B303" s="14" t="n">
        <f aca="false">Chase1168_2026!B303</f>
        <v>46097</v>
      </c>
      <c r="C303" s="0" t="str">
        <f aca="false">Chase1168_2026!C303</f>
        <v>ORIG CO NAME:VENMO                  ORIG ID:3264681992 DESC DATE:260314 CO ENTRY DESCR:PAYMENT   SEC:WEB    TRACE#:021000024277892 EED:260316   IND ID:1048922486831                IND NAME:JUDD DUNNING                                                                                                 260314PPZLCB TRN: 0754277892TC</v>
      </c>
      <c r="D303" s="7" t="n">
        <f aca="false">Chase1168_2026!D303</f>
        <v>-150</v>
      </c>
      <c r="E303" s="0" t="str">
        <f aca="false">Chase1168_2026!E303</f>
        <v>ACH_DEBIT</v>
      </c>
      <c r="F303" s="7" t="n">
        <f aca="false">Chase1168_2026!F303</f>
        <v>33790.38</v>
      </c>
      <c r="G303" s="0" t="str">
        <f aca="false">Chase1168_2026!G303</f>
        <v>Venmo</v>
      </c>
      <c r="H303" s="15" t="n">
        <f aca="false">IF($B303="","",DATE(YEAR($B303),MONTH($B303),1))</f>
        <v>46082</v>
      </c>
      <c r="I303" s="0" t="str">
        <f aca="false">IF($G303="","Uncategorized — Review",IFERROR(INDEX(Mapping!$B:$B,MATCH($G303,Mapping!$A:$A,0)),"Uncategorized — Review"))</f>
        <v>Venmo</v>
      </c>
      <c r="J303" s="0" t="str">
        <f aca="false">IF($G303="","Uncategorized — Review",IFERROR(INDEX(Mapping!$C:$C,MATCH($G303,Mapping!$A:$A,0)),"Uncategorized — Review"))</f>
        <v>P2P Payments (Zelle/Venmo/PayPal)</v>
      </c>
    </row>
    <row r="304" customFormat="false" ht="15" hidden="false" customHeight="false" outlineLevel="0" collapsed="false">
      <c r="A304" s="0" t="str">
        <f aca="false">Chase1168_2026!A304</f>
        <v>DEBIT</v>
      </c>
      <c r="B304" s="14" t="n">
        <f aca="false">Chase1168_2026!B304</f>
        <v>46097</v>
      </c>
      <c r="C304" s="0" t="str">
        <f aca="false">Chase1168_2026!C304</f>
        <v>Online Transfer to CHK ...1117 transaction#: 28441762407 03/16</v>
      </c>
      <c r="D304" s="7" t="n">
        <f aca="false">Chase1168_2026!D304</f>
        <v>-3000</v>
      </c>
      <c r="E304" s="0" t="str">
        <f aca="false">Chase1168_2026!E304</f>
        <v>ACCT_XFER</v>
      </c>
      <c r="F304" s="7" t="n">
        <f aca="false">Chase1168_2026!F304</f>
        <v>33940.38</v>
      </c>
      <c r="G304" s="0" t="str">
        <f aca="false">Chase1168_2026!G304</f>
        <v>Transfer to Angela Dunning</v>
      </c>
      <c r="H304" s="15" t="n">
        <f aca="false">IF($B304="","",DATE(YEAR($B304),MONTH($B304),1))</f>
        <v>46082</v>
      </c>
      <c r="I304" s="0" t="str">
        <f aca="false">IF($G304="","Uncategorized — Review",IFERROR(INDEX(Mapping!$B:$B,MATCH($G304,Mapping!$A:$A,0)),"Uncategorized — Review"))</f>
        <v>Transfer to Angela Dunning</v>
      </c>
      <c r="J304" s="0" t="str">
        <f aca="false">IF($G304="","Uncategorized — Review",IFERROR(INDEX(Mapping!$C:$C,MATCH($G304,Mapping!$A:$A,0)),"Uncategorized — Review"))</f>
        <v>Owner / Family Distributions</v>
      </c>
    </row>
    <row r="305" customFormat="false" ht="15" hidden="false" customHeight="false" outlineLevel="0" collapsed="false">
      <c r="A305" s="0" t="str">
        <f aca="false">Chase1168_2026!A305</f>
        <v>DEBIT</v>
      </c>
      <c r="B305" s="14" t="n">
        <f aca="false">Chase1168_2026!B305</f>
        <v>46097</v>
      </c>
      <c r="C305" s="0" t="str">
        <f aca="false">Chase1168_2026!C305</f>
        <v>SQ *CB ENTERTAINMENT AN gosq.com AZ          03/13</v>
      </c>
      <c r="D305" s="7" t="n">
        <f aca="false">Chase1168_2026!D305</f>
        <v>-600</v>
      </c>
      <c r="E305" s="0" t="str">
        <f aca="false">Chase1168_2026!E305</f>
        <v>DEBIT_CARD</v>
      </c>
      <c r="F305" s="7" t="n">
        <f aca="false">Chase1168_2026!F305</f>
        <v>36940.38</v>
      </c>
      <c r="G305" s="0" t="str">
        <f aca="false">Chase1168_2026!G305</f>
        <v>Deal Specific: 260 S Hibbert</v>
      </c>
      <c r="H305" s="15" t="n">
        <f aca="false">IF($B305="","",DATE(YEAR($B305),MONTH($B305),1))</f>
        <v>46082</v>
      </c>
      <c r="I305" s="0" t="str">
        <f aca="false">IF($G305="","Uncategorized — Review",IFERROR(INDEX(Mapping!$B:$B,MATCH($G305,Mapping!$A:$A,0)),"Uncategorized — Review"))</f>
        <v>Deal Specific: 260 S Hibbert</v>
      </c>
      <c r="J305" s="0" t="str">
        <f aca="false">IF($G305="","Uncategorized — Review",IFERROR(INDEX(Mapping!$C:$C,MATCH($G305,Mapping!$A:$A,0)),"Uncategorized — Review"))</f>
        <v>Deal-Specific</v>
      </c>
    </row>
    <row r="306" customFormat="false" ht="15" hidden="false" customHeight="false" outlineLevel="0" collapsed="false">
      <c r="A306" s="0" t="str">
        <f aca="false">Chase1168_2026!A306</f>
        <v>DEBIT</v>
      </c>
      <c r="B306" s="14" t="n">
        <f aca="false">Chase1168_2026!B306</f>
        <v>46097</v>
      </c>
      <c r="C306" s="0" t="str">
        <f aca="false">Chase1168_2026!C306</f>
        <v>PAYPAL *RUTHALCANCI 402-935-7733 CA          03/13</v>
      </c>
      <c r="D306" s="7" t="n">
        <f aca="false">Chase1168_2026!D306</f>
        <v>-300</v>
      </c>
      <c r="E306" s="0" t="str">
        <f aca="false">Chase1168_2026!E306</f>
        <v>DEBIT_CARD</v>
      </c>
      <c r="F306" s="7" t="n">
        <f aca="false">Chase1168_2026!F306</f>
        <v>37540.38</v>
      </c>
      <c r="G306" s="0" t="str">
        <f aca="false">Chase1168_2026!G306</f>
        <v>Ruth Alcancia - Forward Bridge Payment</v>
      </c>
      <c r="H306" s="15" t="n">
        <f aca="false">IF($B306="","",DATE(YEAR($B306),MONTH($B306),1))</f>
        <v>46082</v>
      </c>
      <c r="I306" s="0" t="str">
        <f aca="false">IF($G306="","Uncategorized — Review",IFERROR(INDEX(Mapping!$B:$B,MATCH($G306,Mapping!$A:$A,0)),"Uncategorized — Review"))</f>
        <v>Ruth Alcancia - Forward Bridge Payment</v>
      </c>
      <c r="J306" s="0" t="str">
        <f aca="false">IF($G306="","Uncategorized — Review",IFERROR(INDEX(Mapping!$C:$C,MATCH($G306,Mapping!$A:$A,0)),"Uncategorized — Review"))</f>
        <v>Payroll &amp; Contractors</v>
      </c>
    </row>
    <row r="307" customFormat="false" ht="15" hidden="false" customHeight="false" outlineLevel="0" collapsed="false">
      <c r="A307" s="0" t="str">
        <f aca="false">Chase1168_2026!A307</f>
        <v>DEBIT</v>
      </c>
      <c r="B307" s="14" t="n">
        <f aca="false">Chase1168_2026!B307</f>
        <v>46094</v>
      </c>
      <c r="C307" s="0" t="str">
        <f aca="false">Chase1168_2026!C307</f>
        <v>Zelle payment to Michael Paytonjian JPM99c90uzp9</v>
      </c>
      <c r="D307" s="7" t="n">
        <f aca="false">Chase1168_2026!D307</f>
        <v>-25</v>
      </c>
      <c r="E307" s="0" t="str">
        <f aca="false">Chase1168_2026!E307</f>
        <v>CHASE_TO_PARTNERFI</v>
      </c>
      <c r="F307" s="7" t="n">
        <f aca="false">Chase1168_2026!F307</f>
        <v>37840.38</v>
      </c>
      <c r="G307" s="0" t="str">
        <f aca="false">Chase1168_2026!G307</f>
        <v>Office/Miscellaneous Reimbursement - Mike P.</v>
      </c>
      <c r="H307" s="15" t="n">
        <f aca="false">IF($B307="","",DATE(YEAR($B307),MONTH($B307),1))</f>
        <v>46082</v>
      </c>
      <c r="I307" s="0" t="str">
        <f aca="false">IF($G307="","Uncategorized — Review",IFERROR(INDEX(Mapping!$B:$B,MATCH($G307,Mapping!$A:$A,0)),"Uncategorized — Review"))</f>
        <v>Office/Miscellaneous Reimbursement - Mike P.</v>
      </c>
      <c r="J307" s="0" t="str">
        <f aca="false">IF($G307="","Uncategorized — Review",IFERROR(INDEX(Mapping!$C:$C,MATCH($G307,Mapping!$A:$A,0)),"Uncategorized — Review"))</f>
        <v>DWG Operating</v>
      </c>
    </row>
    <row r="308" customFormat="false" ht="15" hidden="false" customHeight="false" outlineLevel="0" collapsed="false">
      <c r="A308" s="0" t="str">
        <f aca="false">Chase1168_2026!A308</f>
        <v>DEBIT</v>
      </c>
      <c r="B308" s="14" t="n">
        <f aca="false">Chase1168_2026!B308</f>
        <v>46093</v>
      </c>
      <c r="C308" s="0" t="str">
        <f aca="false">Chase1168_2026!C308</f>
        <v>ONLINE FX INTERNATIONAL WIRE FEE</v>
      </c>
      <c r="D308" s="7" t="n">
        <f aca="false">Chase1168_2026!D308</f>
        <v>-5</v>
      </c>
      <c r="E308" s="0" t="str">
        <f aca="false">Chase1168_2026!E308</f>
        <v>FEE_TRANSACTION</v>
      </c>
      <c r="F308" s="7" t="n">
        <f aca="false">Chase1168_2026!F308</f>
        <v>37865.38</v>
      </c>
      <c r="G308" s="0" t="str">
        <f aca="false">Chase1168_2026!G308</f>
        <v>Andres Alarcon Payroll</v>
      </c>
      <c r="H308" s="15" t="n">
        <f aca="false">IF($B308="","",DATE(YEAR($B308),MONTH($B308),1))</f>
        <v>46082</v>
      </c>
      <c r="I308" s="0" t="str">
        <f aca="false">IF($G308="","Uncategorized — Review",IFERROR(INDEX(Mapping!$B:$B,MATCH($G308,Mapping!$A:$A,0)),"Uncategorized — Review"))</f>
        <v>Andres Alarcon Payroll</v>
      </c>
      <c r="J308" s="0" t="str">
        <f aca="false">IF($G308="","Uncategorized — Review",IFERROR(INDEX(Mapping!$C:$C,MATCH($G308,Mapping!$A:$A,0)),"Uncategorized — Review"))</f>
        <v>Payroll &amp; Contractors</v>
      </c>
    </row>
    <row r="309" customFormat="false" ht="15" hidden="false" customHeight="false" outlineLevel="0" collapsed="false">
      <c r="A309" s="0" t="str">
        <f aca="false">Chase1168_2026!A309</f>
        <v>DEBIT</v>
      </c>
      <c r="B309" s="14" t="n">
        <f aca="false">Chase1168_2026!B309</f>
        <v>46093</v>
      </c>
      <c r="C309" s="0" t="str">
        <f aca="false">Chase1168_2026!C309</f>
        <v>ORIG CO NAME:VENMO                  ORIG ID:3264681992 DESC DATE:260312 CO ENTRY DESCR:PAYMENT   SEC:WEB    TRACE#:021000022732380 EED:260312   IND ID:1048871907632                IND NAME:JUDD DUNNING                                                                                                 260312PPZ6BI TRN: 0712732380TC</v>
      </c>
      <c r="D309" s="7" t="n">
        <f aca="false">Chase1168_2026!D309</f>
        <v>-7</v>
      </c>
      <c r="E309" s="0" t="str">
        <f aca="false">Chase1168_2026!E309</f>
        <v>ACH_DEBIT</v>
      </c>
      <c r="F309" s="7" t="n">
        <f aca="false">Chase1168_2026!F309</f>
        <v>37870.38</v>
      </c>
      <c r="G309" s="0" t="str">
        <f aca="false">Chase1168_2026!G309</f>
        <v>Venmo</v>
      </c>
      <c r="H309" s="15" t="n">
        <f aca="false">IF($B309="","",DATE(YEAR($B309),MONTH($B309),1))</f>
        <v>46082</v>
      </c>
      <c r="I309" s="0" t="str">
        <f aca="false">IF($G309="","Uncategorized — Review",IFERROR(INDEX(Mapping!$B:$B,MATCH($G309,Mapping!$A:$A,0)),"Uncategorized — Review"))</f>
        <v>Venmo</v>
      </c>
      <c r="J309" s="0" t="str">
        <f aca="false">IF($G309="","Uncategorized — Review",IFERROR(INDEX(Mapping!$C:$C,MATCH($G309,Mapping!$A:$A,0)),"Uncategorized — Review"))</f>
        <v>P2P Payments (Zelle/Venmo/PayPal)</v>
      </c>
    </row>
    <row r="310" customFormat="false" ht="15" hidden="false" customHeight="false" outlineLevel="0" collapsed="false">
      <c r="A310" s="0" t="str">
        <f aca="false">Chase1168_2026!A310</f>
        <v>DEBIT</v>
      </c>
      <c r="B310" s="14" t="n">
        <f aca="false">Chase1168_2026!B310</f>
        <v>46093</v>
      </c>
      <c r="C310" s="0" t="str">
        <f aca="false">Chase1168_2026!C310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PAYMENTS/OCMT/COP26 48914,80/EXCH/3531.8864/CNTR/343952 76/INT/ANDRES_52763ATHOTMAIL.C TRN: 4324500071RE 03/12</v>
      </c>
      <c r="D310" s="7" t="n">
        <f aca="false">Chase1168_2026!D310</f>
        <v>-750</v>
      </c>
      <c r="E310" s="0" t="str">
        <f aca="false">Chase1168_2026!E310</f>
        <v>WIRE_OUTGOING</v>
      </c>
      <c r="F310" s="7" t="n">
        <f aca="false">Chase1168_2026!F310</f>
        <v>37877.38</v>
      </c>
      <c r="G310" s="0" t="str">
        <f aca="false">Chase1168_2026!G310</f>
        <v>Andres Alarcon Payroll</v>
      </c>
      <c r="H310" s="15" t="n">
        <f aca="false">IF($B310="","",DATE(YEAR($B310),MONTH($B310),1))</f>
        <v>46082</v>
      </c>
      <c r="I310" s="0" t="str">
        <f aca="false">IF($G310="","Uncategorized — Review",IFERROR(INDEX(Mapping!$B:$B,MATCH($G310,Mapping!$A:$A,0)),"Uncategorized — Review"))</f>
        <v>Andres Alarcon Payroll</v>
      </c>
      <c r="J310" s="0" t="str">
        <f aca="false">IF($G310="","Uncategorized — Review",IFERROR(INDEX(Mapping!$C:$C,MATCH($G310,Mapping!$A:$A,0)),"Uncategorized — Review"))</f>
        <v>Payroll &amp; Contractors</v>
      </c>
    </row>
    <row r="311" customFormat="false" ht="15" hidden="false" customHeight="false" outlineLevel="0" collapsed="false">
      <c r="A311" s="0" t="str">
        <f aca="false">Chase1168_2026!A311</f>
        <v>DEBIT</v>
      </c>
      <c r="B311" s="14" t="n">
        <f aca="false">Chase1168_2026!B311</f>
        <v>46092</v>
      </c>
      <c r="C311" s="0" t="str">
        <f aca="false">Chase1168_2026!C311</f>
        <v>ORIG CO NAME:VENMO                  ORIG ID:3264681992 DESC DATE:260311 CO ENTRY DESCR:PAYMENT   SEC:WEB    TRACE#:021000029330511 EED:260311   IND ID:1048863637177                IND NAME:JUDD DUNNING                                                                                                 260311PPZZ0K TRN: 0709330511TC</v>
      </c>
      <c r="D311" s="7" t="n">
        <f aca="false">Chase1168_2026!D311</f>
        <v>-10</v>
      </c>
      <c r="E311" s="0" t="str">
        <f aca="false">Chase1168_2026!E311</f>
        <v>ACH_DEBIT</v>
      </c>
      <c r="F311" s="7" t="n">
        <f aca="false">Chase1168_2026!F311</f>
        <v>38627.38</v>
      </c>
      <c r="G311" s="0" t="str">
        <f aca="false">Chase1168_2026!G311</f>
        <v>Venmo</v>
      </c>
      <c r="H311" s="15" t="n">
        <f aca="false">IF($B311="","",DATE(YEAR($B311),MONTH($B311),1))</f>
        <v>46082</v>
      </c>
      <c r="I311" s="0" t="str">
        <f aca="false">IF($G311="","Uncategorized — Review",IFERROR(INDEX(Mapping!$B:$B,MATCH($G311,Mapping!$A:$A,0)),"Uncategorized — Review"))</f>
        <v>Venmo</v>
      </c>
      <c r="J311" s="0" t="str">
        <f aca="false">IF($G311="","Uncategorized — Review",IFERROR(INDEX(Mapping!$C:$C,MATCH($G311,Mapping!$A:$A,0)),"Uncategorized — Review"))</f>
        <v>P2P Payments (Zelle/Venmo/PayPal)</v>
      </c>
    </row>
    <row r="312" customFormat="false" ht="15" hidden="false" customHeight="false" outlineLevel="0" collapsed="false">
      <c r="A312" s="0" t="str">
        <f aca="false">Chase1168_2026!A312</f>
        <v>DEBIT</v>
      </c>
      <c r="B312" s="14" t="n">
        <f aca="false">Chase1168_2026!B312</f>
        <v>46092</v>
      </c>
      <c r="C312" s="0" t="str">
        <f aca="false">Chase1168_2026!C312</f>
        <v>HLU*HULUPLUS hulu.com/bill CA                03/11</v>
      </c>
      <c r="D312" s="7" t="n">
        <f aca="false">Chase1168_2026!D312</f>
        <v>-57.97</v>
      </c>
      <c r="E312" s="0" t="str">
        <f aca="false">Chase1168_2026!E312</f>
        <v>DEBIT_CARD</v>
      </c>
      <c r="F312" s="7" t="n">
        <f aca="false">Chase1168_2026!F312</f>
        <v>38637.38</v>
      </c>
      <c r="G312" s="0" t="str">
        <f aca="false">Chase1168_2026!G312</f>
        <v>Personal - Subscriptions</v>
      </c>
      <c r="H312" s="15" t="n">
        <f aca="false">IF($B312="","",DATE(YEAR($B312),MONTH($B312),1))</f>
        <v>46082</v>
      </c>
      <c r="I312" s="0" t="str">
        <f aca="false">IF($G312="","Uncategorized — Review",IFERROR(INDEX(Mapping!$B:$B,MATCH($G312,Mapping!$A:$A,0)),"Uncategorized — Review"))</f>
        <v>Personal - Subscriptions</v>
      </c>
      <c r="J312" s="0" t="str">
        <f aca="false">IF($G312="","Uncategorized — Review",IFERROR(INDEX(Mapping!$C:$C,MATCH($G312,Mapping!$A:$A,0)),"Uncategorized — Review"))</f>
        <v>Personal — Owner</v>
      </c>
    </row>
    <row r="313" customFormat="false" ht="15" hidden="false" customHeight="false" outlineLevel="0" collapsed="false">
      <c r="A313" s="0" t="str">
        <f aca="false">Chase1168_2026!A313</f>
        <v>DSLIP</v>
      </c>
      <c r="B313" s="14" t="n">
        <f aca="false">Chase1168_2026!B313</f>
        <v>46092</v>
      </c>
      <c r="C313" s="0" t="str">
        <f aca="false">Chase1168_2026!C313</f>
        <v>DEPOSIT  ID NUMBER 745929</v>
      </c>
      <c r="D313" s="7" t="n">
        <f aca="false">Chase1168_2026!D313</f>
        <v>20000</v>
      </c>
      <c r="E313" s="0" t="str">
        <f aca="false">Chase1168_2026!E313</f>
        <v>DEPOSIT</v>
      </c>
      <c r="F313" s="7" t="n">
        <f aca="false">Chase1168_2026!F313</f>
        <v>38695.35</v>
      </c>
      <c r="G313" s="0" t="str">
        <f aca="false">Chase1168_2026!G313</f>
        <v>Deal Specific: 260 S Hibbert</v>
      </c>
      <c r="H313" s="15" t="n">
        <f aca="false">IF($B313="","",DATE(YEAR($B313),MONTH($B313),1))</f>
        <v>46082</v>
      </c>
      <c r="I313" s="0" t="str">
        <f aca="false">IF($G313="","Uncategorized — Review",IFERROR(INDEX(Mapping!$B:$B,MATCH($G313,Mapping!$A:$A,0)),"Uncategorized — Review"))</f>
        <v>Deal Specific: 260 S Hibbert</v>
      </c>
      <c r="J313" s="0" t="str">
        <f aca="false">IF($G313="","Uncategorized — Review",IFERROR(INDEX(Mapping!$C:$C,MATCH($G313,Mapping!$A:$A,0)),"Uncategorized — Review"))</f>
        <v>Deal-Specific</v>
      </c>
    </row>
    <row r="314" customFormat="false" ht="15" hidden="false" customHeight="false" outlineLevel="0" collapsed="false">
      <c r="A314" s="0" t="str">
        <f aca="false">Chase1168_2026!A314</f>
        <v>DEBIT</v>
      </c>
      <c r="B314" s="14" t="n">
        <f aca="false">Chase1168_2026!B314</f>
        <v>46090</v>
      </c>
      <c r="C314" s="0" t="str">
        <f aca="false">Chase1168_2026!C314</f>
        <v>Zelle payment to Estella Martinez</v>
      </c>
      <c r="D314" s="7" t="n">
        <f aca="false">Chase1168_2026!D314</f>
        <v>-1000</v>
      </c>
      <c r="E314" s="0" t="str">
        <f aca="false">Chase1168_2026!E314</f>
        <v>CHASE_TO_PARTNERFI</v>
      </c>
      <c r="F314" s="7" t="n">
        <f aca="false">Chase1168_2026!F314</f>
        <v>18695.35</v>
      </c>
      <c r="G314" s="0" t="str">
        <f aca="false">Chase1168_2026!G314</f>
        <v>Zelle - Estella M.</v>
      </c>
      <c r="H314" s="15" t="n">
        <f aca="false">IF($B314="","",DATE(YEAR($B314),MONTH($B314),1))</f>
        <v>46082</v>
      </c>
      <c r="I314" s="0" t="str">
        <f aca="false">IF($G314="","Uncategorized — Review",IFERROR(INDEX(Mapping!$B:$B,MATCH($G314,Mapping!$A:$A,0)),"Uncategorized — Review"))</f>
        <v>Zelle - Estella M.</v>
      </c>
      <c r="J314" s="0" t="str">
        <f aca="false">IF($G314="","Uncategorized — Review",IFERROR(INDEX(Mapping!$C:$C,MATCH($G314,Mapping!$A:$A,0)),"Uncategorized — Review"))</f>
        <v>P2P Payments (Zelle/Venmo/PayPal)</v>
      </c>
    </row>
    <row r="315" customFormat="false" ht="15" hidden="false" customHeight="false" outlineLevel="0" collapsed="false">
      <c r="A315" s="0" t="str">
        <f aca="false">Chase1168_2026!A315</f>
        <v>DEBIT</v>
      </c>
      <c r="B315" s="14" t="n">
        <f aca="false">Chase1168_2026!B315</f>
        <v>46090</v>
      </c>
      <c r="C315" s="0" t="str">
        <f aca="false">Chase1168_2026!C315</f>
        <v>Basic Online Payroll Payment 11209253820 to ########4122</v>
      </c>
      <c r="D315" s="7" t="n">
        <f aca="false">Chase1168_2026!D315</f>
        <v>-1750</v>
      </c>
      <c r="E315" s="0" t="str">
        <f aca="false">Chase1168_2026!E315</f>
        <v>BASIC_PAYROLL</v>
      </c>
      <c r="F315" s="7" t="n">
        <f aca="false">Chase1168_2026!F315</f>
        <v>19695.35</v>
      </c>
      <c r="G315" s="0" t="str">
        <f aca="false">Chase1168_2026!G315</f>
        <v>Mike Paytonjian - Payroll</v>
      </c>
      <c r="H315" s="15" t="n">
        <f aca="false">IF($B315="","",DATE(YEAR($B315),MONTH($B315),1))</f>
        <v>46082</v>
      </c>
      <c r="I315" s="0" t="str">
        <f aca="false">IF($G315="","Uncategorized — Review",IFERROR(INDEX(Mapping!$B:$B,MATCH($G315,Mapping!$A:$A,0)),"Uncategorized — Review"))</f>
        <v>Mike Paytonjian - Payroll</v>
      </c>
      <c r="J315" s="0" t="str">
        <f aca="false">IF($G315="","Uncategorized — Review",IFERROR(INDEX(Mapping!$C:$C,MATCH($G315,Mapping!$A:$A,0)),"Uncategorized — Review"))</f>
        <v>Payroll &amp; Contractors</v>
      </c>
    </row>
    <row r="316" customFormat="false" ht="15" hidden="false" customHeight="false" outlineLevel="0" collapsed="false">
      <c r="A316" s="0" t="str">
        <f aca="false">Chase1168_2026!A316</f>
        <v>DEBIT</v>
      </c>
      <c r="B316" s="14" t="n">
        <f aca="false">Chase1168_2026!B316</f>
        <v>46090</v>
      </c>
      <c r="C316" s="0" t="str">
        <f aca="false">Chase1168_2026!C316</f>
        <v>Online Transfer to CHK ...1117 transaction#: 28362200172 03/09</v>
      </c>
      <c r="D316" s="7" t="n">
        <f aca="false">Chase1168_2026!D316</f>
        <v>-5000</v>
      </c>
      <c r="E316" s="0" t="str">
        <f aca="false">Chase1168_2026!E316</f>
        <v>ACCT_XFER</v>
      </c>
      <c r="F316" s="7" t="n">
        <f aca="false">Chase1168_2026!F316</f>
        <v>21445.35</v>
      </c>
      <c r="G316" s="0" t="str">
        <f aca="false">Chase1168_2026!G316</f>
        <v>Transfer to Angela Dunning</v>
      </c>
      <c r="H316" s="15" t="n">
        <f aca="false">IF($B316="","",DATE(YEAR($B316),MONTH($B316),1))</f>
        <v>46082</v>
      </c>
      <c r="I316" s="0" t="str">
        <f aca="false">IF($G316="","Uncategorized — Review",IFERROR(INDEX(Mapping!$B:$B,MATCH($G316,Mapping!$A:$A,0)),"Uncategorized — Review"))</f>
        <v>Transfer to Angela Dunning</v>
      </c>
      <c r="J316" s="0" t="str">
        <f aca="false">IF($G316="","Uncategorized — Review",IFERROR(INDEX(Mapping!$C:$C,MATCH($G316,Mapping!$A:$A,0)),"Uncategorized — Review"))</f>
        <v>Owner / Family Distributions</v>
      </c>
    </row>
    <row r="317" customFormat="false" ht="15" hidden="false" customHeight="false" outlineLevel="0" collapsed="false">
      <c r="A317" s="0" t="str">
        <f aca="false">Chase1168_2026!A317</f>
        <v>DEBIT</v>
      </c>
      <c r="B317" s="14" t="n">
        <f aca="false">Chase1168_2026!B317</f>
        <v>46087</v>
      </c>
      <c r="C317" s="0" t="str">
        <f aca="false">Chase1168_2026!C317</f>
        <v>ORIG CO NAME:VENMO                  ORIG ID:3264681992 DESC DATE:260306 CO ENTRY DESCR:PAYMENT   SEC:WEB    TRACE#:021000026775183 EED:260306   IND ID:1048733723456                IND NAME:JUDD DUNNING                                                                                                 260306PPZTGS TRN: 0656775183TC</v>
      </c>
      <c r="D317" s="7" t="n">
        <f aca="false">Chase1168_2026!D317</f>
        <v>-50</v>
      </c>
      <c r="E317" s="0" t="str">
        <f aca="false">Chase1168_2026!E317</f>
        <v>ACH_DEBIT</v>
      </c>
      <c r="F317" s="7" t="n">
        <f aca="false">Chase1168_2026!F317</f>
        <v>26445.35</v>
      </c>
      <c r="G317" s="0" t="str">
        <f aca="false">Chase1168_2026!G317</f>
        <v>Venmo</v>
      </c>
      <c r="H317" s="15" t="n">
        <f aca="false">IF($B317="","",DATE(YEAR($B317),MONTH($B317),1))</f>
        <v>46082</v>
      </c>
      <c r="I317" s="0" t="str">
        <f aca="false">IF($G317="","Uncategorized — Review",IFERROR(INDEX(Mapping!$B:$B,MATCH($G317,Mapping!$A:$A,0)),"Uncategorized — Review"))</f>
        <v>Venmo</v>
      </c>
      <c r="J317" s="0" t="str">
        <f aca="false">IF($G317="","Uncategorized — Review",IFERROR(INDEX(Mapping!$C:$C,MATCH($G317,Mapping!$A:$A,0)),"Uncategorized — Review"))</f>
        <v>P2P Payments (Zelle/Venmo/PayPal)</v>
      </c>
    </row>
    <row r="318" customFormat="false" ht="15" hidden="false" customHeight="false" outlineLevel="0" collapsed="false">
      <c r="A318" s="0" t="str">
        <f aca="false">Chase1168_2026!A318</f>
        <v>DEBIT</v>
      </c>
      <c r="B318" s="14" t="n">
        <f aca="false">Chase1168_2026!B318</f>
        <v>46087</v>
      </c>
      <c r="C318" s="0" t="str">
        <f aca="false">Chase1168_2026!C318</f>
        <v>PAYPAL *ELICITDESIG 805-506-5150 CA          03/06</v>
      </c>
      <c r="D318" s="7" t="n">
        <f aca="false">Chase1168_2026!D318</f>
        <v>-100</v>
      </c>
      <c r="E318" s="0" t="str">
        <f aca="false">Chase1168_2026!E318</f>
        <v>DEBIT_CARD</v>
      </c>
      <c r="F318" s="7" t="n">
        <f aca="false">Chase1168_2026!F318</f>
        <v>26495.35</v>
      </c>
      <c r="G318" s="0" t="str">
        <f aca="false">Chase1168_2026!G318</f>
        <v>Personal - Paypal</v>
      </c>
      <c r="H318" s="15" t="n">
        <f aca="false">IF($B318="","",DATE(YEAR($B318),MONTH($B318),1))</f>
        <v>46082</v>
      </c>
      <c r="I318" s="0" t="str">
        <f aca="false">IF($G318="","Uncategorized — Review",IFERROR(INDEX(Mapping!$B:$B,MATCH($G318,Mapping!$A:$A,0)),"Uncategorized — Review"))</f>
        <v>Personal - Paypal</v>
      </c>
      <c r="J318" s="0" t="str">
        <f aca="false">IF($G318="","Uncategorized — Review",IFERROR(INDEX(Mapping!$C:$C,MATCH($G318,Mapping!$A:$A,0)),"Uncategorized — Review"))</f>
        <v>Personal — Owner</v>
      </c>
    </row>
    <row r="319" customFormat="false" ht="15" hidden="false" customHeight="false" outlineLevel="0" collapsed="false">
      <c r="A319" s="0" t="str">
        <f aca="false">Chase1168_2026!A319</f>
        <v>DEBIT</v>
      </c>
      <c r="B319" s="14" t="n">
        <f aca="false">Chase1168_2026!B319</f>
        <v>46087</v>
      </c>
      <c r="C319" s="0" t="str">
        <f aca="false">Chase1168_2026!C319</f>
        <v>PAYPAL *RUTHALCANCI 402-935-7733 CA          03/06</v>
      </c>
      <c r="D319" s="7" t="n">
        <f aca="false">Chase1168_2026!D319</f>
        <v>-250</v>
      </c>
      <c r="E319" s="0" t="str">
        <f aca="false">Chase1168_2026!E319</f>
        <v>DEBIT_CARD</v>
      </c>
      <c r="F319" s="7" t="n">
        <f aca="false">Chase1168_2026!F319</f>
        <v>26595.35</v>
      </c>
      <c r="G319" s="0" t="str">
        <f aca="false">Chase1168_2026!G319</f>
        <v>Ruth Alcancia - Forward Bridge Payment</v>
      </c>
      <c r="H319" s="15" t="n">
        <f aca="false">IF($B319="","",DATE(YEAR($B319),MONTH($B319),1))</f>
        <v>46082</v>
      </c>
      <c r="I319" s="0" t="str">
        <f aca="false">IF($G319="","Uncategorized — Review",IFERROR(INDEX(Mapping!$B:$B,MATCH($G319,Mapping!$A:$A,0)),"Uncategorized — Review"))</f>
        <v>Ruth Alcancia - Forward Bridge Payment</v>
      </c>
      <c r="J319" s="0" t="str">
        <f aca="false">IF($G319="","Uncategorized — Review",IFERROR(INDEX(Mapping!$C:$C,MATCH($G319,Mapping!$A:$A,0)),"Uncategorized — Review"))</f>
        <v>Payroll &amp; Contractors</v>
      </c>
    </row>
    <row r="320" customFormat="false" ht="15" hidden="false" customHeight="false" outlineLevel="0" collapsed="false">
      <c r="A320" s="0" t="str">
        <f aca="false">Chase1168_2026!A320</f>
        <v>DEBIT</v>
      </c>
      <c r="B320" s="14" t="n">
        <f aca="false">Chase1168_2026!B320</f>
        <v>46085</v>
      </c>
      <c r="C320" s="0" t="str">
        <f aca="false">Chase1168_2026!C320</f>
        <v>ORIG CO NAME:TXWORKFORCECOMM        ORIG ID:2146000320 DESC DATE:260303 CO ENTRY DESCR:DEBIT     SEC:CCD    TRACE#:021000029287563 EED:260304   IND ID:(512)463-2325                IND NAME:TWC-203092024                                                                                                TWC UI TAX TRN: 0639287563TC</v>
      </c>
      <c r="D320" s="7" t="n">
        <f aca="false">Chase1168_2026!D320</f>
        <v>-60</v>
      </c>
      <c r="E320" s="0" t="str">
        <f aca="false">Chase1168_2026!E320</f>
        <v>ACH_DEBIT</v>
      </c>
      <c r="F320" s="7" t="n">
        <f aca="false">Chase1168_2026!F320</f>
        <v>26845.35</v>
      </c>
      <c r="G320" s="0" t="str">
        <f aca="false">Chase1168_2026!G320</f>
        <v>Taxes</v>
      </c>
      <c r="H320" s="15" t="n">
        <f aca="false">IF($B320="","",DATE(YEAR($B320),MONTH($B320),1))</f>
        <v>46082</v>
      </c>
      <c r="I320" s="0" t="str">
        <f aca="false">IF($G320="","Uncategorized — Review",IFERROR(INDEX(Mapping!$B:$B,MATCH($G320,Mapping!$A:$A,0)),"Uncategorized — Review"))</f>
        <v>Taxes</v>
      </c>
      <c r="J320" s="0" t="str">
        <f aca="false">IF($G320="","Uncategorized — Review",IFERROR(INDEX(Mapping!$C:$C,MATCH($G320,Mapping!$A:$A,0)),"Uncategorized — Review"))</f>
        <v>Taxes</v>
      </c>
    </row>
    <row r="321" customFormat="false" ht="15" hidden="false" customHeight="false" outlineLevel="0" collapsed="false">
      <c r="A321" s="0" t="str">
        <f aca="false">Chase1168_2026!A321</f>
        <v>DEBIT</v>
      </c>
      <c r="B321" s="14" t="n">
        <f aca="false">Chase1168_2026!B321</f>
        <v>46085</v>
      </c>
      <c r="C321" s="0" t="str">
        <f aca="false">Chase1168_2026!C321</f>
        <v>PAYPAL *PRAGERUNIVE P 833-772-4378 CA        03/03</v>
      </c>
      <c r="D321" s="7" t="n">
        <f aca="false">Chase1168_2026!D321</f>
        <v>-10.78</v>
      </c>
      <c r="E321" s="0" t="str">
        <f aca="false">Chase1168_2026!E321</f>
        <v>DEBIT_CARD</v>
      </c>
      <c r="F321" s="7" t="n">
        <f aca="false">Chase1168_2026!F321</f>
        <v>26905.35</v>
      </c>
      <c r="G321" s="0" t="str">
        <f aca="false">Chase1168_2026!G321</f>
        <v>DWGCP Business Development</v>
      </c>
      <c r="H321" s="15" t="n">
        <f aca="false">IF($B321="","",DATE(YEAR($B321),MONTH($B321),1))</f>
        <v>46082</v>
      </c>
      <c r="I321" s="0" t="str">
        <f aca="false">IF($G321="","Uncategorized — Review",IFERROR(INDEX(Mapping!$B:$B,MATCH($G321,Mapping!$A:$A,0)),"Uncategorized — Review"))</f>
        <v>DWGCP Business Development</v>
      </c>
      <c r="J321" s="0" t="str">
        <f aca="false">IF($G321="","Uncategorized — Review",IFERROR(INDEX(Mapping!$C:$C,MATCH($G321,Mapping!$A:$A,0)),"Uncategorized — Review"))</f>
        <v>DWG Operating</v>
      </c>
    </row>
    <row r="322" customFormat="false" ht="15" hidden="false" customHeight="false" outlineLevel="0" collapsed="false">
      <c r="A322" s="0" t="str">
        <f aca="false">Chase1168_2026!A322</f>
        <v>CREDIT</v>
      </c>
      <c r="B322" s="14" t="n">
        <f aca="false">Chase1168_2026!B322</f>
        <v>46085</v>
      </c>
      <c r="C322" s="0" t="str">
        <f aca="false">Chase1168_2026!C322</f>
        <v>ORIG CO NAME:GI CAPITAL GROUP       ORIG ID:9200502235 DESC DATE:260304 CO ENTRY DESCR:ACH Pmt   SEC:CCD    TRACE#:021000020626212 EED:260304   IND ID:11209545562                  IND NAME:DWG CAPITAL GROUP          DWG CAPITAL GROUP (E4: $4190.21 + E 7: 4366.20 = $8,556.41) - FOR MARCH H 2026. TRN: 0630626212TC</v>
      </c>
      <c r="D322" s="7" t="n">
        <f aca="false">Chase1168_2026!D322</f>
        <v>8556.41</v>
      </c>
      <c r="E322" s="0" t="str">
        <f aca="false">Chase1168_2026!E322</f>
        <v>ACH_CREDIT</v>
      </c>
      <c r="F322" s="7" t="n">
        <f aca="false">Chase1168_2026!F322</f>
        <v>26916.13</v>
      </c>
      <c r="G322" s="0" t="str">
        <f aca="false">Chase1168_2026!G322</f>
        <v>Incoming MOAB Mortgage Coverage</v>
      </c>
      <c r="H322" s="15" t="n">
        <f aca="false">IF($B322="","",DATE(YEAR($B322),MONTH($B322),1))</f>
        <v>46082</v>
      </c>
      <c r="I322" s="0" t="str">
        <f aca="false">IF($G322="","Uncategorized — Review",IFERROR(INDEX(Mapping!$B:$B,MATCH($G322,Mapping!$A:$A,0)),"Uncategorized — Review"))</f>
        <v>Incoming MOAB Mortgage Coverage</v>
      </c>
      <c r="J322" s="0" t="str">
        <f aca="false">IF($G322="","Uncategorized — Review",IFERROR(INDEX(Mapping!$C:$C,MATCH($G322,Mapping!$A:$A,0)),"Uncategorized — Review"))</f>
        <v>Deal-Specific</v>
      </c>
    </row>
    <row r="323" customFormat="false" ht="15" hidden="false" customHeight="false" outlineLevel="0" collapsed="false">
      <c r="A323" s="0" t="str">
        <f aca="false">Chase1168_2026!A323</f>
        <v>DEBIT</v>
      </c>
      <c r="B323" s="14" t="n">
        <f aca="false">Chase1168_2026!B323</f>
        <v>46084</v>
      </c>
      <c r="C323" s="0" t="str">
        <f aca="false">Chase1168_2026!C323</f>
        <v>ORIG CO NAME:SELECT PORTFOLIO       ORIG ID:1870465626 DESC DATE:       CO ENTRY DESCR:SPS       SEC:WEB    TRACE#:021000028945925 EED:260303   IND ID:0037017712                   IND NAME:John Barker Dunning TRN: 0628945925TC</v>
      </c>
      <c r="D323" s="7" t="n">
        <f aca="false">Chase1168_2026!D323</f>
        <v>-4190.21</v>
      </c>
      <c r="E323" s="0" t="str">
        <f aca="false">Chase1168_2026!E323</f>
        <v>ACH_DEBIT</v>
      </c>
      <c r="F323" s="7" t="n">
        <f aca="false">Chase1168_2026!F323</f>
        <v>18359.72</v>
      </c>
      <c r="G323" s="0" t="str">
        <f aca="false">Chase1168_2026!G323</f>
        <v>Moab E4 Mortgage Payment</v>
      </c>
      <c r="H323" s="15" t="n">
        <f aca="false">IF($B323="","",DATE(YEAR($B323),MONTH($B323),1))</f>
        <v>46082</v>
      </c>
      <c r="I323" s="0" t="str">
        <f aca="false">IF($G323="","Uncategorized — Review",IFERROR(INDEX(Mapping!$B:$B,MATCH($G323,Mapping!$A:$A,0)),"Uncategorized — Review"))</f>
        <v>Moab E4 Mortgage Payment</v>
      </c>
      <c r="J323" s="0" t="str">
        <f aca="false">IF($G323="","Uncategorized — Review",IFERROR(INDEX(Mapping!$C:$C,MATCH($G323,Mapping!$A:$A,0)),"Uncategorized — Review"))</f>
        <v>Deal-Specific</v>
      </c>
    </row>
    <row r="324" customFormat="false" ht="15" hidden="false" customHeight="false" outlineLevel="0" collapsed="false">
      <c r="A324" s="0" t="str">
        <f aca="false">Chase1168_2026!A324</f>
        <v>DEBIT</v>
      </c>
      <c r="B324" s="14" t="n">
        <f aca="false">Chase1168_2026!B324</f>
        <v>46084</v>
      </c>
      <c r="C324" s="0" t="str">
        <f aca="false">Chase1168_2026!C324</f>
        <v>ORIG CO NAME:SELECT PORTFOLIO       ORIG ID:1870465626 DESC DATE:       CO ENTRY DESCR:SPS       SEC:WEB    TRACE#:021000028945926 EED:260303   IND ID:0037017720                   IND NAME:John Barker Dunning TRN: 0628945926TC</v>
      </c>
      <c r="D324" s="7" t="n">
        <f aca="false">Chase1168_2026!D324</f>
        <v>-4366.2</v>
      </c>
      <c r="E324" s="0" t="str">
        <f aca="false">Chase1168_2026!E324</f>
        <v>ACH_DEBIT</v>
      </c>
      <c r="F324" s="7" t="n">
        <f aca="false">Chase1168_2026!F324</f>
        <v>22549.93</v>
      </c>
      <c r="G324" s="0" t="str">
        <f aca="false">Chase1168_2026!G324</f>
        <v>Moab E7 Mortgage Payment</v>
      </c>
      <c r="H324" s="15" t="n">
        <f aca="false">IF($B324="","",DATE(YEAR($B324),MONTH($B324),1))</f>
        <v>46082</v>
      </c>
      <c r="I324" s="0" t="str">
        <f aca="false">IF($G324="","Uncategorized — Review",IFERROR(INDEX(Mapping!$B:$B,MATCH($G324,Mapping!$A:$A,0)),"Uncategorized — Review"))</f>
        <v>Moab E7 Mortgage Payment</v>
      </c>
      <c r="J324" s="0" t="str">
        <f aca="false">IF($G324="","Uncategorized — Review",IFERROR(INDEX(Mapping!$C:$C,MATCH($G324,Mapping!$A:$A,0)),"Uncategorized — Review"))</f>
        <v>Deal-Specific</v>
      </c>
    </row>
    <row r="325" customFormat="false" ht="15" hidden="false" customHeight="false" outlineLevel="0" collapsed="false">
      <c r="A325" s="0" t="str">
        <f aca="false">Chase1168_2026!A325</f>
        <v>DEBIT</v>
      </c>
      <c r="B325" s="14" t="n">
        <f aca="false">Chase1168_2026!B325</f>
        <v>46084</v>
      </c>
      <c r="C325" s="0" t="str">
        <f aca="false">Chase1168_2026!C325</f>
        <v>Zelle payment to Jeffrey Seider JPM99c7sxkk1</v>
      </c>
      <c r="D325" s="7" t="n">
        <f aca="false">Chase1168_2026!D325</f>
        <v>-100</v>
      </c>
      <c r="E325" s="0" t="str">
        <f aca="false">Chase1168_2026!E325</f>
        <v>CHASE_TO_PARTNERFI</v>
      </c>
      <c r="F325" s="7" t="n">
        <f aca="false">Chase1168_2026!F325</f>
        <v>26916.13</v>
      </c>
      <c r="G325" s="0" t="str">
        <f aca="false">Chase1168_2026!G325</f>
        <v>Zelle - Jeff Seider</v>
      </c>
      <c r="H325" s="15" t="n">
        <f aca="false">IF($B325="","",DATE(YEAR($B325),MONTH($B325),1))</f>
        <v>46082</v>
      </c>
      <c r="I325" s="0" t="str">
        <f aca="false">IF($G325="","Uncategorized — Review",IFERROR(INDEX(Mapping!$B:$B,MATCH($G325,Mapping!$A:$A,0)),"Uncategorized — Review"))</f>
        <v>Zelle - Jeff Seider</v>
      </c>
      <c r="J325" s="0" t="str">
        <f aca="false">IF($G325="","Uncategorized — Review",IFERROR(INDEX(Mapping!$C:$C,MATCH($G325,Mapping!$A:$A,0)),"Uncategorized — Review"))</f>
        <v>P2P Payments (Zelle/Venmo/PayPal)</v>
      </c>
    </row>
    <row r="326" customFormat="false" ht="15" hidden="false" customHeight="false" outlineLevel="0" collapsed="false">
      <c r="A326" s="0" t="str">
        <f aca="false">Chase1168_2026!A326</f>
        <v>DEBIT</v>
      </c>
      <c r="B326" s="14" t="n">
        <f aca="false">Chase1168_2026!B326</f>
        <v>46084</v>
      </c>
      <c r="C326" s="0" t="str">
        <f aca="false">Chase1168_2026!C326</f>
        <v>Online Payment 28293374043 To PENTAGON FEDERAL CREDIT UNION 03/03</v>
      </c>
      <c r="D326" s="7" t="n">
        <f aca="false">Chase1168_2026!D326</f>
        <v>-7100</v>
      </c>
      <c r="E326" s="0" t="str">
        <f aca="false">Chase1168_2026!E326</f>
        <v>BILLPAY</v>
      </c>
      <c r="F326" s="7" t="n">
        <f aca="false">Chase1168_2026!F326</f>
        <v>27016.13</v>
      </c>
      <c r="G326" s="0" t="str">
        <f aca="false">Chase1168_2026!G326</f>
        <v>Personal - California Mortgage PMT</v>
      </c>
      <c r="H326" s="15" t="n">
        <f aca="false">IF($B326="","",DATE(YEAR($B326),MONTH($B326),1))</f>
        <v>46082</v>
      </c>
      <c r="I326" s="0" t="str">
        <f aca="false">IF($G326="","Uncategorized — Review",IFERROR(INDEX(Mapping!$B:$B,MATCH($G326,Mapping!$A:$A,0)),"Uncategorized — Review"))</f>
        <v>Personal - California Mortgage PMT</v>
      </c>
      <c r="J326" s="0" t="str">
        <f aca="false">IF($G326="","Uncategorized — Review",IFERROR(INDEX(Mapping!$C:$C,MATCH($G326,Mapping!$A:$A,0)),"Uncategorized — Review"))</f>
        <v>Personal — Owner</v>
      </c>
    </row>
    <row r="327" customFormat="false" ht="15" hidden="false" customHeight="false" outlineLevel="0" collapsed="false">
      <c r="A327" s="0" t="str">
        <f aca="false">Chase1168_2026!A327</f>
        <v>DEBIT</v>
      </c>
      <c r="B327" s="14" t="n">
        <f aca="false">Chase1168_2026!B327</f>
        <v>46084</v>
      </c>
      <c r="C327" s="0" t="str">
        <f aca="false">Chase1168_2026!C327</f>
        <v>Online Payment 28293370826 To MERCEDES BENZ FINANCIAL 03/03</v>
      </c>
      <c r="D327" s="7" t="n">
        <f aca="false">Chase1168_2026!D327</f>
        <v>-500</v>
      </c>
      <c r="E327" s="0" t="str">
        <f aca="false">Chase1168_2026!E327</f>
        <v>BILLPAY</v>
      </c>
      <c r="F327" s="7" t="n">
        <f aca="false">Chase1168_2026!F327</f>
        <v>34116.13</v>
      </c>
      <c r="G327" s="0" t="str">
        <f aca="false">Chase1168_2026!G327</f>
        <v>Personal - Car (Mercedes)</v>
      </c>
      <c r="H327" s="15" t="n">
        <f aca="false">IF($B327="","",DATE(YEAR($B327),MONTH($B327),1))</f>
        <v>46082</v>
      </c>
      <c r="I327" s="0" t="str">
        <f aca="false">IF($G327="","Uncategorized — Review",IFERROR(INDEX(Mapping!$B:$B,MATCH($G327,Mapping!$A:$A,0)),"Uncategorized — Review"))</f>
        <v>Personal - Car &amp; Auto</v>
      </c>
      <c r="J327" s="0" t="str">
        <f aca="false">IF($G327="","Uncategorized — Review",IFERROR(INDEX(Mapping!$C:$C,MATCH($G327,Mapping!$A:$A,0)),"Uncategorized — Review"))</f>
        <v>Personal — Owner</v>
      </c>
    </row>
    <row r="328" customFormat="false" ht="15" hidden="false" customHeight="false" outlineLevel="0" collapsed="false">
      <c r="A328" s="0" t="str">
        <f aca="false">Chase1168_2026!A328</f>
        <v>DEBIT</v>
      </c>
      <c r="B328" s="14" t="n">
        <f aca="false">Chase1168_2026!B328</f>
        <v>46084</v>
      </c>
      <c r="C328" s="0" t="str">
        <f aca="false">Chase1168_2026!C328</f>
        <v>Online Payment 28293338182 To MERCEDES BENZ FINANCIAL SVCS 03/03</v>
      </c>
      <c r="D328" s="7" t="n">
        <f aca="false">Chase1168_2026!D328</f>
        <v>-1400</v>
      </c>
      <c r="E328" s="0" t="str">
        <f aca="false">Chase1168_2026!E328</f>
        <v>BILLPAY</v>
      </c>
      <c r="F328" s="7" t="n">
        <f aca="false">Chase1168_2026!F328</f>
        <v>34616.13</v>
      </c>
      <c r="G328" s="0" t="str">
        <f aca="false">Chase1168_2026!G328</f>
        <v>Personal - Car (Mercedes)</v>
      </c>
      <c r="H328" s="15" t="n">
        <f aca="false">IF($B328="","",DATE(YEAR($B328),MONTH($B328),1))</f>
        <v>46082</v>
      </c>
      <c r="I328" s="0" t="str">
        <f aca="false">IF($G328="","Uncategorized — Review",IFERROR(INDEX(Mapping!$B:$B,MATCH($G328,Mapping!$A:$A,0)),"Uncategorized — Review"))</f>
        <v>Personal - Car &amp; Auto</v>
      </c>
      <c r="J328" s="0" t="str">
        <f aca="false">IF($G328="","Uncategorized — Review",IFERROR(INDEX(Mapping!$C:$C,MATCH($G328,Mapping!$A:$A,0)),"Uncategorized — Review"))</f>
        <v>Personal — Owner</v>
      </c>
    </row>
    <row r="329" customFormat="false" ht="15" hidden="false" customHeight="false" outlineLevel="0" collapsed="false">
      <c r="A329" s="0" t="str">
        <f aca="false">Chase1168_2026!A329</f>
        <v>DEBIT</v>
      </c>
      <c r="B329" s="14" t="n">
        <f aca="false">Chase1168_2026!B329</f>
        <v>46084</v>
      </c>
      <c r="C329" s="0" t="str">
        <f aca="false">Chase1168_2026!C329</f>
        <v>Online Payment 28293336104 To MERCEDES BENZ FINANCIAL 03/03</v>
      </c>
      <c r="D329" s="7" t="n">
        <f aca="false">Chase1168_2026!D329</f>
        <v>-300</v>
      </c>
      <c r="E329" s="0" t="str">
        <f aca="false">Chase1168_2026!E329</f>
        <v>BILLPAY</v>
      </c>
      <c r="F329" s="7" t="n">
        <f aca="false">Chase1168_2026!F329</f>
        <v>36016.13</v>
      </c>
      <c r="G329" s="0" t="str">
        <f aca="false">Chase1168_2026!G329</f>
        <v>Personal - Car (Mercedes)</v>
      </c>
      <c r="H329" s="15" t="n">
        <f aca="false">IF($B329="","",DATE(YEAR($B329),MONTH($B329),1))</f>
        <v>46082</v>
      </c>
      <c r="I329" s="0" t="str">
        <f aca="false">IF($G329="","Uncategorized — Review",IFERROR(INDEX(Mapping!$B:$B,MATCH($G329,Mapping!$A:$A,0)),"Uncategorized — Review"))</f>
        <v>Personal - Car &amp; Auto</v>
      </c>
      <c r="J329" s="0" t="str">
        <f aca="false">IF($G329="","Uncategorized — Review",IFERROR(INDEX(Mapping!$C:$C,MATCH($G329,Mapping!$A:$A,0)),"Uncategorized — Review"))</f>
        <v>Personal — Owner</v>
      </c>
    </row>
    <row r="330" customFormat="false" ht="15" hidden="false" customHeight="false" outlineLevel="0" collapsed="false">
      <c r="A330" s="0" t="str">
        <f aca="false">Chase1168_2026!A330</f>
        <v>DEBIT</v>
      </c>
      <c r="B330" s="14" t="n">
        <f aca="false">Chase1168_2026!B330</f>
        <v>46084</v>
      </c>
      <c r="C330" s="0" t="str">
        <f aca="false">Chase1168_2026!C330</f>
        <v>Online Transfer to CHK ...1117 transaction#: 28293237253 03/03</v>
      </c>
      <c r="D330" s="7" t="n">
        <f aca="false">Chase1168_2026!D330</f>
        <v>-5000</v>
      </c>
      <c r="E330" s="0" t="str">
        <f aca="false">Chase1168_2026!E330</f>
        <v>ACCT_XFER</v>
      </c>
      <c r="F330" s="7" t="n">
        <f aca="false">Chase1168_2026!F330</f>
        <v>36316.13</v>
      </c>
      <c r="G330" s="0" t="str">
        <f aca="false">Chase1168_2026!G330</f>
        <v>Transfer to Angela Dunning</v>
      </c>
      <c r="H330" s="15" t="n">
        <f aca="false">IF($B330="","",DATE(YEAR($B330),MONTH($B330),1))</f>
        <v>46082</v>
      </c>
      <c r="I330" s="0" t="str">
        <f aca="false">IF($G330="","Uncategorized — Review",IFERROR(INDEX(Mapping!$B:$B,MATCH($G330,Mapping!$A:$A,0)),"Uncategorized — Review"))</f>
        <v>Transfer to Angela Dunning</v>
      </c>
      <c r="J330" s="0" t="str">
        <f aca="false">IF($G330="","Uncategorized — Review",IFERROR(INDEX(Mapping!$C:$C,MATCH($G330,Mapping!$A:$A,0)),"Uncategorized — Review"))</f>
        <v>Owner / Family Distributions</v>
      </c>
    </row>
    <row r="331" customFormat="false" ht="15" hidden="false" customHeight="false" outlineLevel="0" collapsed="false">
      <c r="A331" s="0" t="str">
        <f aca="false">Chase1168_2026!A331</f>
        <v>DEBIT</v>
      </c>
      <c r="B331" s="14" t="n">
        <f aca="false">Chase1168_2026!B331</f>
        <v>46084</v>
      </c>
      <c r="C331" s="0" t="str">
        <f aca="false">Chase1168_2026!C331</f>
        <v>DNH*GODADDY#4029020482 480-5058855 AZ        03/02</v>
      </c>
      <c r="D331" s="7" t="n">
        <f aca="false">Chase1168_2026!D331</f>
        <v>-20.97</v>
      </c>
      <c r="E331" s="0" t="str">
        <f aca="false">Chase1168_2026!E331</f>
        <v>DEBIT_CARD</v>
      </c>
      <c r="F331" s="7" t="n">
        <f aca="false">Chase1168_2026!F331</f>
        <v>41316.13</v>
      </c>
      <c r="G331" s="0" t="str">
        <f aca="false">Chase1168_2026!G331</f>
        <v>Go Daddy</v>
      </c>
      <c r="H331" s="15" t="n">
        <f aca="false">IF($B331="","",DATE(YEAR($B331),MONTH($B331),1))</f>
        <v>46082</v>
      </c>
      <c r="I331" s="0" t="str">
        <f aca="false">IF($G331="","Uncategorized — Review",IFERROR(INDEX(Mapping!$B:$B,MATCH($G331,Mapping!$A:$A,0)),"Uncategorized — Review"))</f>
        <v>Go Daddy</v>
      </c>
      <c r="J331" s="0" t="str">
        <f aca="false">IF($G331="","Uncategorized — Review",IFERROR(INDEX(Mapping!$C:$C,MATCH($G331,Mapping!$A:$A,0)),"Uncategorized — Review"))</f>
        <v>DWG Operating</v>
      </c>
    </row>
    <row r="332" customFormat="false" ht="15" hidden="false" customHeight="false" outlineLevel="0" collapsed="false">
      <c r="A332" s="0" t="str">
        <f aca="false">Chase1168_2026!A332</f>
        <v>CREDIT</v>
      </c>
      <c r="B332" s="14" t="n">
        <f aca="false">Chase1168_2026!B332</f>
        <v>46084</v>
      </c>
      <c r="C332" s="0" t="str">
        <f aca="false">Chase1168_2026!C332</f>
        <v>Online Transfer from CHK ...9335 transaction#: 28293264811</v>
      </c>
      <c r="D332" s="7" t="n">
        <f aca="false">Chase1168_2026!D332</f>
        <v>20000</v>
      </c>
      <c r="E332" s="0" t="str">
        <f aca="false">Chase1168_2026!E332</f>
        <v>ACCT_XFER</v>
      </c>
      <c r="F332" s="7" t="n">
        <f aca="false">Chase1168_2026!F332</f>
        <v>41337.1</v>
      </c>
      <c r="G332" s="0" t="str">
        <f aca="false">Chase1168_2026!G332</f>
        <v>Poseidon Asset Group (Incoming)</v>
      </c>
      <c r="H332" s="15" t="n">
        <f aca="false">IF($B332="","",DATE(YEAR($B332),MONTH($B332),1))</f>
        <v>46082</v>
      </c>
      <c r="I332" s="0" t="str">
        <f aca="false">IF($G332="","Uncategorized — Review",IFERROR(INDEX(Mapping!$B:$B,MATCH($G332,Mapping!$A:$A,0)),"Uncategorized — Review"))</f>
        <v>Poseidon Asset Group (Incoming)</v>
      </c>
      <c r="J332" s="0" t="str">
        <f aca="false">IF($G332="","Uncategorized — Review",IFERROR(INDEX(Mapping!$C:$C,MATCH($G332,Mapping!$A:$A,0)),"Uncategorized — Review"))</f>
        <v>Poseidon Asset Group</v>
      </c>
    </row>
    <row r="333" customFormat="false" ht="15" hidden="false" customHeight="false" outlineLevel="0" collapsed="false">
      <c r="A333" s="0" t="str">
        <f aca="false">Chase1168_2026!A333</f>
        <v>DEBIT</v>
      </c>
      <c r="B333" s="14" t="n">
        <f aca="false">Chase1168_2026!B333</f>
        <v>46083</v>
      </c>
      <c r="C333" s="0" t="str">
        <f aca="false">Chase1168_2026!C333</f>
        <v>STANDARD ACH PMNTS INITIAL FEE QTY = 6</v>
      </c>
      <c r="D333" s="7" t="n">
        <f aca="false">Chase1168_2026!D333</f>
        <v>-15</v>
      </c>
      <c r="E333" s="0" t="str">
        <f aca="false">Chase1168_2026!E333</f>
        <v>FEE_TRANSACTION</v>
      </c>
      <c r="F333" s="7" t="n">
        <f aca="false">Chase1168_2026!F333</f>
        <v>21337.1</v>
      </c>
      <c r="G333" s="0" t="str">
        <f aca="false">Chase1168_2026!G333</f>
        <v>Bank Fees</v>
      </c>
      <c r="H333" s="15" t="n">
        <f aca="false">IF($B333="","",DATE(YEAR($B333),MONTH($B333),1))</f>
        <v>46082</v>
      </c>
      <c r="I333" s="0" t="str">
        <f aca="false">IF($G333="","Uncategorized — Review",IFERROR(INDEX(Mapping!$B:$B,MATCH($G333,Mapping!$A:$A,0)),"Uncategorized — Review"))</f>
        <v>Bank Fees</v>
      </c>
      <c r="J333" s="0" t="str">
        <f aca="false">IF($G333="","Uncategorized — Review",IFERROR(INDEX(Mapping!$C:$C,MATCH($G333,Mapping!$A:$A,0)),"Uncategorized — Review"))</f>
        <v>DWG Operating</v>
      </c>
    </row>
    <row r="334" customFormat="false" ht="15" hidden="false" customHeight="false" outlineLevel="0" collapsed="false">
      <c r="A334" s="0" t="str">
        <f aca="false">Chase1168_2026!A334</f>
        <v>DEBIT</v>
      </c>
      <c r="B334" s="14" t="n">
        <f aca="false">Chase1168_2026!B334</f>
        <v>46083</v>
      </c>
      <c r="C334" s="0" t="str">
        <f aca="false">Chase1168_2026!C334</f>
        <v>Online Transfer to CHK ...1117 transaction#: 28278843987 03/02</v>
      </c>
      <c r="D334" s="7" t="n">
        <f aca="false">Chase1168_2026!D334</f>
        <v>-4000</v>
      </c>
      <c r="E334" s="0" t="str">
        <f aca="false">Chase1168_2026!E334</f>
        <v>ACCT_XFER</v>
      </c>
      <c r="F334" s="7" t="n">
        <f aca="false">Chase1168_2026!F334</f>
        <v>21352.1</v>
      </c>
      <c r="G334" s="0" t="str">
        <f aca="false">Chase1168_2026!G334</f>
        <v>Transfer to Angela Dunning</v>
      </c>
      <c r="H334" s="15" t="n">
        <f aca="false">IF($B334="","",DATE(YEAR($B334),MONTH($B334),1))</f>
        <v>46082</v>
      </c>
      <c r="I334" s="0" t="str">
        <f aca="false">IF($G334="","Uncategorized — Review",IFERROR(INDEX(Mapping!$B:$B,MATCH($G334,Mapping!$A:$A,0)),"Uncategorized — Review"))</f>
        <v>Transfer to Angela Dunning</v>
      </c>
      <c r="J334" s="0" t="str">
        <f aca="false">IF($G334="","Uncategorized — Review",IFERROR(INDEX(Mapping!$C:$C,MATCH($G334,Mapping!$A:$A,0)),"Uncategorized — Review"))</f>
        <v>Owner / Family Distributions</v>
      </c>
    </row>
    <row r="335" customFormat="false" ht="15" hidden="false" customHeight="false" outlineLevel="0" collapsed="false">
      <c r="A335" s="0" t="str">
        <f aca="false">Chase1168_2026!A335</f>
        <v>DEBIT</v>
      </c>
      <c r="B335" s="14" t="n">
        <f aca="false">Chase1168_2026!B335</f>
        <v>46083</v>
      </c>
      <c r="C335" s="0" t="str">
        <f aca="false">Chase1168_2026!C335</f>
        <v>ORIG CO NAME:VENMO                  ORIG ID:3264681992 DESC DATE:260302 CO ENTRY DESCR:PAYMENT   SEC:WEB    TRACE#:021000027371021 EED:260302   IND ID:1048641843710                IND NAME:JUDD DUNNING                                                                                                 260302PPZO3D TRN: 0617371021TC</v>
      </c>
      <c r="D335" s="7" t="n">
        <f aca="false">Chase1168_2026!D335</f>
        <v>-150</v>
      </c>
      <c r="E335" s="0" t="str">
        <f aca="false">Chase1168_2026!E335</f>
        <v>ACH_DEBIT</v>
      </c>
      <c r="F335" s="7" t="n">
        <f aca="false">Chase1168_2026!F335</f>
        <v>25352.1</v>
      </c>
      <c r="G335" s="0" t="str">
        <f aca="false">Chase1168_2026!G335</f>
        <v>Venmo</v>
      </c>
      <c r="H335" s="15" t="n">
        <f aca="false">IF($B335="","",DATE(YEAR($B335),MONTH($B335),1))</f>
        <v>46082</v>
      </c>
      <c r="I335" s="0" t="str">
        <f aca="false">IF($G335="","Uncategorized — Review",IFERROR(INDEX(Mapping!$B:$B,MATCH($G335,Mapping!$A:$A,0)),"Uncategorized — Review"))</f>
        <v>Venmo</v>
      </c>
      <c r="J335" s="0" t="str">
        <f aca="false">IF($G335="","Uncategorized — Review",IFERROR(INDEX(Mapping!$C:$C,MATCH($G335,Mapping!$A:$A,0)),"Uncategorized — Review"))</f>
        <v>P2P Payments (Zelle/Venmo/PayPal)</v>
      </c>
    </row>
    <row r="336" customFormat="false" ht="15" hidden="false" customHeight="false" outlineLevel="0" collapsed="false">
      <c r="A336" s="0" t="str">
        <f aca="false">Chase1168_2026!A336</f>
        <v>DEBIT</v>
      </c>
      <c r="B336" s="14" t="n">
        <f aca="false">Chase1168_2026!B336</f>
        <v>46083</v>
      </c>
      <c r="C336" s="0" t="str">
        <f aca="false">Chase1168_2026!C336</f>
        <v>Basic Online Payroll Payment 11208245234 to ########4122</v>
      </c>
      <c r="D336" s="7" t="n">
        <f aca="false">Chase1168_2026!D336</f>
        <v>-1750</v>
      </c>
      <c r="E336" s="0" t="str">
        <f aca="false">Chase1168_2026!E336</f>
        <v>BASIC_PAYROLL</v>
      </c>
      <c r="F336" s="7" t="n">
        <f aca="false">Chase1168_2026!F336</f>
        <v>25502.1</v>
      </c>
      <c r="G336" s="0" t="str">
        <f aca="false">Chase1168_2026!G336</f>
        <v>Mike Paytonjian - Payroll</v>
      </c>
      <c r="H336" s="15" t="n">
        <f aca="false">IF($B336="","",DATE(YEAR($B336),MONTH($B336),1))</f>
        <v>46082</v>
      </c>
      <c r="I336" s="0" t="str">
        <f aca="false">IF($G336="","Uncategorized — Review",IFERROR(INDEX(Mapping!$B:$B,MATCH($G336,Mapping!$A:$A,0)),"Uncategorized — Review"))</f>
        <v>Mike Paytonjian - Payroll</v>
      </c>
      <c r="J336" s="0" t="str">
        <f aca="false">IF($G336="","Uncategorized — Review",IFERROR(INDEX(Mapping!$C:$C,MATCH($G336,Mapping!$A:$A,0)),"Uncategorized — Review"))</f>
        <v>Payroll &amp; Contractors</v>
      </c>
    </row>
    <row r="337" customFormat="false" ht="15" hidden="false" customHeight="false" outlineLevel="0" collapsed="false">
      <c r="A337" s="0" t="str">
        <f aca="false">Chase1168_2026!A337</f>
        <v>DEBIT</v>
      </c>
      <c r="B337" s="14" t="n">
        <f aca="false">Chase1168_2026!B337</f>
        <v>46083</v>
      </c>
      <c r="C337" s="0" t="str">
        <f aca="false">Chase1168_2026!C337</f>
        <v>INDEED USI26-01648168 AUSTIN TX      132437  03/02</v>
      </c>
      <c r="D337" s="7" t="n">
        <f aca="false">Chase1168_2026!D337</f>
        <v>-125.69</v>
      </c>
      <c r="E337" s="0" t="str">
        <f aca="false">Chase1168_2026!E337</f>
        <v>DEBIT_CARD</v>
      </c>
      <c r="F337" s="7" t="n">
        <f aca="false">Chase1168_2026!F337</f>
        <v>27252.1</v>
      </c>
      <c r="G337" s="0" t="str">
        <f aca="false">Chase1168_2026!G337</f>
        <v>DWG HR</v>
      </c>
      <c r="H337" s="15" t="n">
        <f aca="false">IF($B337="","",DATE(YEAR($B337),MONTH($B337),1))</f>
        <v>46082</v>
      </c>
      <c r="I337" s="0" t="str">
        <f aca="false">IF($G337="","Uncategorized — Review",IFERROR(INDEX(Mapping!$B:$B,MATCH($G337,Mapping!$A:$A,0)),"Uncategorized — Review"))</f>
        <v>DWG HR</v>
      </c>
      <c r="J337" s="0" t="str">
        <f aca="false">IF($G337="","Uncategorized — Review",IFERROR(INDEX(Mapping!$C:$C,MATCH($G337,Mapping!$A:$A,0)),"Uncategorized — Review"))</f>
        <v>Payroll &amp; Contractors</v>
      </c>
    </row>
    <row r="338" customFormat="false" ht="15" hidden="false" customHeight="false" outlineLevel="0" collapsed="false">
      <c r="A338" s="0" t="str">
        <f aca="false">Chase1168_2026!A338</f>
        <v>DEBIT</v>
      </c>
      <c r="B338" s="14" t="n">
        <f aca="false">Chase1168_2026!B338</f>
        <v>46083</v>
      </c>
      <c r="C338" s="0" t="str">
        <f aca="false">Chase1168_2026!C338</f>
        <v>ORIG CO NAME:VENMO                  ORIG ID:3264681992 DESC DATE:260228 CO ENTRY DESCR:PAYMENT   SEC:WEB    TRACE#:021000027992792 EED:260302   IND ID:1048599690814                IND NAME:JUDD DUNNING                                                                                                 260228PPZLCJ TRN: 0617992792TC</v>
      </c>
      <c r="D338" s="7" t="n">
        <f aca="false">Chase1168_2026!D338</f>
        <v>-130</v>
      </c>
      <c r="E338" s="0" t="str">
        <f aca="false">Chase1168_2026!E338</f>
        <v>ACH_DEBIT</v>
      </c>
      <c r="F338" s="7" t="n">
        <f aca="false">Chase1168_2026!F338</f>
        <v>27377.79</v>
      </c>
      <c r="G338" s="0" t="str">
        <f aca="false">Chase1168_2026!G338</f>
        <v>Venmo</v>
      </c>
      <c r="H338" s="15" t="n">
        <f aca="false">IF($B338="","",DATE(YEAR($B338),MONTH($B338),1))</f>
        <v>46082</v>
      </c>
      <c r="I338" s="0" t="str">
        <f aca="false">IF($G338="","Uncategorized — Review",IFERROR(INDEX(Mapping!$B:$B,MATCH($G338,Mapping!$A:$A,0)),"Uncategorized — Review"))</f>
        <v>Venmo</v>
      </c>
      <c r="J338" s="0" t="str">
        <f aca="false">IF($G338="","Uncategorized — Review",IFERROR(INDEX(Mapping!$C:$C,MATCH($G338,Mapping!$A:$A,0)),"Uncategorized — Review"))</f>
        <v>P2P Payments (Zelle/Venmo/PayPal)</v>
      </c>
    </row>
    <row r="339" customFormat="false" ht="15" hidden="false" customHeight="false" outlineLevel="0" collapsed="false">
      <c r="A339" s="0" t="str">
        <f aca="false">Chase1168_2026!A339</f>
        <v>DEBIT</v>
      </c>
      <c r="B339" s="14" t="n">
        <f aca="false">Chase1168_2026!B339</f>
        <v>46083</v>
      </c>
      <c r="C339" s="0" t="str">
        <f aca="false">Chase1168_2026!C339</f>
        <v>ORIG CO NAME:GEICO                  ORIG ID:3530075853 DESC DATE:260228 CO ENTRY DESCR:PREM COLL SEC:PPD    TRACE#:021000028461185 EED:260302   IND ID:                             IND NAME:ANGELA TRN: 0618461185TC</v>
      </c>
      <c r="D339" s="7" t="n">
        <f aca="false">Chase1168_2026!D339</f>
        <v>-627.18</v>
      </c>
      <c r="E339" s="0" t="str">
        <f aca="false">Chase1168_2026!E339</f>
        <v>ACH_DEBIT</v>
      </c>
      <c r="F339" s="7" t="n">
        <f aca="false">Chase1168_2026!F339</f>
        <v>27507.79</v>
      </c>
      <c r="G339" s="0" t="str">
        <f aca="false">Chase1168_2026!G339</f>
        <v>Personal - Car Insurance</v>
      </c>
      <c r="H339" s="15" t="n">
        <f aca="false">IF($B339="","",DATE(YEAR($B339),MONTH($B339),1))</f>
        <v>46082</v>
      </c>
      <c r="I339" s="0" t="str">
        <f aca="false">IF($G339="","Uncategorized — Review",IFERROR(INDEX(Mapping!$B:$B,MATCH($G339,Mapping!$A:$A,0)),"Uncategorized — Review"))</f>
        <v>Personal - Car &amp; Auto</v>
      </c>
      <c r="J339" s="0" t="str">
        <f aca="false">IF($G339="","Uncategorized — Review",IFERROR(INDEX(Mapping!$C:$C,MATCH($G339,Mapping!$A:$A,0)),"Uncategorized — Review"))</f>
        <v>Personal — Owner</v>
      </c>
    </row>
    <row r="340" customFormat="false" ht="15" hidden="false" customHeight="false" outlineLevel="0" collapsed="false">
      <c r="A340" s="0" t="str">
        <f aca="false">Chase1168_2026!A340</f>
        <v>DEBIT</v>
      </c>
      <c r="B340" s="14" t="n">
        <f aca="false">Chase1168_2026!B340</f>
        <v>46083</v>
      </c>
      <c r="C340" s="0" t="str">
        <f aca="false">Chase1168_2026!C340</f>
        <v>ORIG CO NAME:BLUESHIELDCA           ORIG ID:7529219311 DESC DATE:260228 CO ENTRY DESCR:BILL PAY  SEC:CCD    TRACE#:031101117609030 EED:260302   IND ID:15745020721                  IND NAME:ANGELA DUNNING TRN: 0617609030TC</v>
      </c>
      <c r="D340" s="7" t="n">
        <f aca="false">Chase1168_2026!D340</f>
        <v>-974.85</v>
      </c>
      <c r="E340" s="0" t="str">
        <f aca="false">Chase1168_2026!E340</f>
        <v>ACH_DEBIT</v>
      </c>
      <c r="F340" s="7" t="n">
        <f aca="false">Chase1168_2026!F340</f>
        <v>28134.97</v>
      </c>
      <c r="G340" s="0" t="str">
        <f aca="false">Chase1168_2026!G340</f>
        <v>Personal - Health Insurance</v>
      </c>
      <c r="H340" s="15" t="n">
        <f aca="false">IF($B340="","",DATE(YEAR($B340),MONTH($B340),1))</f>
        <v>46082</v>
      </c>
      <c r="I340" s="0" t="str">
        <f aca="false">IF($G340="","Uncategorized — Review",IFERROR(INDEX(Mapping!$B:$B,MATCH($G340,Mapping!$A:$A,0)),"Uncategorized — Review"))</f>
        <v>Personal - Health (incl. Ins.)</v>
      </c>
      <c r="J340" s="0" t="str">
        <f aca="false">IF($G340="","Uncategorized — Review",IFERROR(INDEX(Mapping!$C:$C,MATCH($G340,Mapping!$A:$A,0)),"Uncategorized — Review"))</f>
        <v>Personal — Owner</v>
      </c>
    </row>
    <row r="341" customFormat="false" ht="15" hidden="false" customHeight="false" outlineLevel="0" collapsed="false">
      <c r="A341" s="0" t="str">
        <f aca="false">Chase1168_2026!A341</f>
        <v>DEBIT</v>
      </c>
      <c r="B341" s="14" t="n">
        <f aca="false">Chase1168_2026!B341</f>
        <v>46083</v>
      </c>
      <c r="C341" s="0" t="str">
        <f aca="false">Chase1168_2026!C341</f>
        <v>ORIG CO NAME:VENMO                  ORIG ID:3264681992 DESC DATE:260301 CO ENTRY DESCR:PAYMENT   SEC:WEB    TRACE#:021000029498444 EED:260302   IND ID:1048627644877                IND NAME:JUDD DUNNING                                                                                                 260301PPZN46 TRN: 0619498444TC</v>
      </c>
      <c r="D341" s="7" t="n">
        <f aca="false">Chase1168_2026!D341</f>
        <v>-1000</v>
      </c>
      <c r="E341" s="0" t="str">
        <f aca="false">Chase1168_2026!E341</f>
        <v>ACH_DEBIT</v>
      </c>
      <c r="F341" s="7" t="n">
        <f aca="false">Chase1168_2026!F341</f>
        <v>29109.82</v>
      </c>
      <c r="G341" s="0" t="str">
        <f aca="false">Chase1168_2026!G341</f>
        <v>Venmo</v>
      </c>
      <c r="H341" s="15" t="n">
        <f aca="false">IF($B341="","",DATE(YEAR($B341),MONTH($B341),1))</f>
        <v>46082</v>
      </c>
      <c r="I341" s="0" t="str">
        <f aca="false">IF($G341="","Uncategorized — Review",IFERROR(INDEX(Mapping!$B:$B,MATCH($G341,Mapping!$A:$A,0)),"Uncategorized — Review"))</f>
        <v>Venmo</v>
      </c>
      <c r="J341" s="0" t="str">
        <f aca="false">IF($G341="","Uncategorized — Review",IFERROR(INDEX(Mapping!$C:$C,MATCH($G341,Mapping!$A:$A,0)),"Uncategorized — Review"))</f>
        <v>P2P Payments (Zelle/Venmo/PayPal)</v>
      </c>
    </row>
    <row r="342" customFormat="false" ht="15" hidden="false" customHeight="false" outlineLevel="0" collapsed="false">
      <c r="A342" s="0" t="str">
        <f aca="false">Chase1168_2026!A342</f>
        <v>DEBIT</v>
      </c>
      <c r="B342" s="14" t="n">
        <f aca="false">Chase1168_2026!B342</f>
        <v>46083</v>
      </c>
      <c r="C342" s="0" t="str">
        <f aca="false">Chase1168_2026!C342</f>
        <v>ORIG CO NAME:GEICO                  ORIG ID:3530075853 DESC DATE:260228 CO ENTRY DESCR:PREM COLL SEC:PPD    TRACE#:021000028454855 EED:260302   IND ID:                             IND NAME:ANGELA DUNNING TRN: 0618454855TC</v>
      </c>
      <c r="D342" s="7" t="n">
        <f aca="false">Chase1168_2026!D342</f>
        <v>-1240.27</v>
      </c>
      <c r="E342" s="0" t="str">
        <f aca="false">Chase1168_2026!E342</f>
        <v>ACH_DEBIT</v>
      </c>
      <c r="F342" s="7" t="n">
        <f aca="false">Chase1168_2026!F342</f>
        <v>30109.82</v>
      </c>
      <c r="G342" s="0" t="str">
        <f aca="false">Chase1168_2026!G342</f>
        <v>Personal - Car Insurance</v>
      </c>
      <c r="H342" s="15" t="n">
        <f aca="false">IF($B342="","",DATE(YEAR($B342),MONTH($B342),1))</f>
        <v>46082</v>
      </c>
      <c r="I342" s="0" t="str">
        <f aca="false">IF($G342="","Uncategorized — Review",IFERROR(INDEX(Mapping!$B:$B,MATCH($G342,Mapping!$A:$A,0)),"Uncategorized — Review"))</f>
        <v>Personal - Car &amp; Auto</v>
      </c>
      <c r="J342" s="0" t="str">
        <f aca="false">IF($G342="","Uncategorized — Review",IFERROR(INDEX(Mapping!$C:$C,MATCH($G342,Mapping!$A:$A,0)),"Uncategorized — Review"))</f>
        <v>Personal — Owner</v>
      </c>
    </row>
    <row r="343" customFormat="false" ht="15" hidden="false" customHeight="false" outlineLevel="0" collapsed="false">
      <c r="A343" s="0" t="str">
        <f aca="false">Chase1168_2026!A343</f>
        <v>DEBIT</v>
      </c>
      <c r="B343" s="14" t="n">
        <f aca="false">Chase1168_2026!B343</f>
        <v>46083</v>
      </c>
      <c r="C343" s="0" t="str">
        <f aca="false">Chase1168_2026!C343</f>
        <v>ORIG CO NAME:SBA EIDL LOAN          ORIG ID:7300000118 DESC DATE:260227 CO ENTRY DESCR:PAYMENT   SEC:CCD    TRACE#:041036046873063 EED:260302   IND ID:0000                         IND NAME:JOHN DUNNING               1871308204                                                                        ACH TRANSACTION TRN: 0616873063TC</v>
      </c>
      <c r="D343" s="7" t="n">
        <f aca="false">Chase1168_2026!D343</f>
        <v>-2524</v>
      </c>
      <c r="E343" s="0" t="str">
        <f aca="false">Chase1168_2026!E343</f>
        <v>ACH_DEBIT</v>
      </c>
      <c r="F343" s="7" t="n">
        <f aca="false">Chase1168_2026!F343</f>
        <v>31350.09</v>
      </c>
      <c r="G343" s="0" t="str">
        <f aca="false">Chase1168_2026!G343</f>
        <v>SBC EIDL Loan</v>
      </c>
      <c r="H343" s="15" t="n">
        <f aca="false">IF($B343="","",DATE(YEAR($B343),MONTH($B343),1))</f>
        <v>46082</v>
      </c>
      <c r="I343" s="0" t="str">
        <f aca="false">IF($G343="","Uncategorized — Review",IFERROR(INDEX(Mapping!$B:$B,MATCH($G343,Mapping!$A:$A,0)),"Uncategorized — Review"))</f>
        <v>SBC EIDL Loan</v>
      </c>
      <c r="J343" s="0" t="str">
        <f aca="false">IF($G343="","Uncategorized — Review",IFERROR(INDEX(Mapping!$C:$C,MATCH($G343,Mapping!$A:$A,0)),"Uncategorized — Review"))</f>
        <v>Credit Card &amp; Loan Payments</v>
      </c>
    </row>
    <row r="344" customFormat="false" ht="15" hidden="false" customHeight="false" outlineLevel="0" collapsed="false">
      <c r="A344" s="0" t="str">
        <f aca="false">Chase1168_2026!A344</f>
        <v>DEBIT</v>
      </c>
      <c r="B344" s="14" t="n">
        <f aca="false">Chase1168_2026!B344</f>
        <v>46083</v>
      </c>
      <c r="C344" s="0" t="str">
        <f aca="false">Chase1168_2026!C344</f>
        <v>DNH*GODADDY#4027384917 480-5058855 AZ        02/28</v>
      </c>
      <c r="D344" s="7" t="n">
        <f aca="false">Chase1168_2026!D344</f>
        <v>-22.98</v>
      </c>
      <c r="E344" s="0" t="str">
        <f aca="false">Chase1168_2026!E344</f>
        <v>DEBIT_CARD</v>
      </c>
      <c r="F344" s="7" t="n">
        <f aca="false">Chase1168_2026!F344</f>
        <v>33874.09</v>
      </c>
      <c r="G344" s="0" t="str">
        <f aca="false">Chase1168_2026!G344</f>
        <v>Go Daddy</v>
      </c>
      <c r="H344" s="15" t="n">
        <f aca="false">IF($B344="","",DATE(YEAR($B344),MONTH($B344),1))</f>
        <v>46082</v>
      </c>
      <c r="I344" s="0" t="str">
        <f aca="false">IF($G344="","Uncategorized — Review",IFERROR(INDEX(Mapping!$B:$B,MATCH($G344,Mapping!$A:$A,0)),"Uncategorized — Review"))</f>
        <v>Go Daddy</v>
      </c>
      <c r="J344" s="0" t="str">
        <f aca="false">IF($G344="","Uncategorized — Review",IFERROR(INDEX(Mapping!$C:$C,MATCH($G344,Mapping!$A:$A,0)),"Uncategorized — Review"))</f>
        <v>DWG Operating</v>
      </c>
    </row>
    <row r="345" customFormat="false" ht="15" hidden="false" customHeight="false" outlineLevel="0" collapsed="false">
      <c r="A345" s="0" t="str">
        <f aca="false">Chase1168_2026!A345</f>
        <v>DEBIT</v>
      </c>
      <c r="B345" s="14" t="n">
        <f aca="false">Chase1168_2026!B345</f>
        <v>46083</v>
      </c>
      <c r="C345" s="0" t="str">
        <f aca="false">Chase1168_2026!C345</f>
        <v>BLUE SHIELD CALIFORNI 800-393-6130 CA        02/28</v>
      </c>
      <c r="D345" s="7" t="n">
        <f aca="false">Chase1168_2026!D345</f>
        <v>-1293.42</v>
      </c>
      <c r="E345" s="0" t="str">
        <f aca="false">Chase1168_2026!E345</f>
        <v>DEBIT_CARD</v>
      </c>
      <c r="F345" s="7" t="n">
        <f aca="false">Chase1168_2026!F345</f>
        <v>33897.07</v>
      </c>
      <c r="G345" s="0" t="str">
        <f aca="false">Chase1168_2026!G345</f>
        <v>Personal - Health Insurance</v>
      </c>
      <c r="H345" s="15" t="n">
        <f aca="false">IF($B345="","",DATE(YEAR($B345),MONTH($B345),1))</f>
        <v>46082</v>
      </c>
      <c r="I345" s="0" t="str">
        <f aca="false">IF($G345="","Uncategorized — Review",IFERROR(INDEX(Mapping!$B:$B,MATCH($G345,Mapping!$A:$A,0)),"Uncategorized — Review"))</f>
        <v>Personal - Health (incl. Ins.)</v>
      </c>
      <c r="J345" s="0" t="str">
        <f aca="false">IF($G345="","Uncategorized — Review",IFERROR(INDEX(Mapping!$C:$C,MATCH($G345,Mapping!$A:$A,0)),"Uncategorized — Review"))</f>
        <v>Personal — Owner</v>
      </c>
    </row>
    <row r="346" customFormat="false" ht="15" hidden="false" customHeight="false" outlineLevel="0" collapsed="false">
      <c r="A346" s="0" t="str">
        <f aca="false">Chase1168_2026!A346</f>
        <v>DEBIT</v>
      </c>
      <c r="B346" s="14" t="n">
        <f aca="false">Chase1168_2026!B346</f>
        <v>46083</v>
      </c>
      <c r="C346" s="0" t="str">
        <f aca="false">Chase1168_2026!C346</f>
        <v>ORIG CO NAME:BANNER LIFE            ORIG ID:1521236145 DESC DATE:260227 CO ENTRY DESCR:PREM DEBITSEC:PPD    TRACE#:091000015779174 EED:260302   IND ID:                             IND NAME:ANGELA L DUNNING TRN: 0615779174TC</v>
      </c>
      <c r="D346" s="7" t="n">
        <f aca="false">Chase1168_2026!D346</f>
        <v>-12.5</v>
      </c>
      <c r="E346" s="0" t="str">
        <f aca="false">Chase1168_2026!E346</f>
        <v>ACH_DEBIT</v>
      </c>
      <c r="F346" s="7" t="n">
        <f aca="false">Chase1168_2026!F346</f>
        <v>35190.49</v>
      </c>
      <c r="G346" s="0" t="str">
        <f aca="false">Chase1168_2026!G346</f>
        <v>Personal - Life Insurance</v>
      </c>
      <c r="H346" s="15" t="n">
        <f aca="false">IF($B346="","",DATE(YEAR($B346),MONTH($B346),1))</f>
        <v>46082</v>
      </c>
      <c r="I346" s="0" t="str">
        <f aca="false">IF($G346="","Uncategorized — Review",IFERROR(INDEX(Mapping!$B:$B,MATCH($G346,Mapping!$A:$A,0)),"Uncategorized — Review"))</f>
        <v>Personal - Life Insurance</v>
      </c>
      <c r="J346" s="0" t="str">
        <f aca="false">IF($G346="","Uncategorized — Review",IFERROR(INDEX(Mapping!$C:$C,MATCH($G346,Mapping!$A:$A,0)),"Uncategorized — Review"))</f>
        <v>Personal — Owner</v>
      </c>
    </row>
    <row r="347" customFormat="false" ht="15" hidden="false" customHeight="false" outlineLevel="0" collapsed="false">
      <c r="A347" s="0" t="str">
        <f aca="false">Chase1168_2026!A347</f>
        <v>DEBIT</v>
      </c>
      <c r="B347" s="14" t="n">
        <f aca="false">Chase1168_2026!B347</f>
        <v>46083</v>
      </c>
      <c r="C347" s="0" t="str">
        <f aca="false">Chase1168_2026!C347</f>
        <v>ORIG CO NAME:BANNER LIFE            ORIG ID:1521236145 DESC DATE:260227 CO ENTRY DESCR:PREM DEBITSEC:PPD    TRACE#:091000015779175 EED:260302   IND ID:                             IND NAME:JOHN  DUNNING TRN: 0615779175TC</v>
      </c>
      <c r="D347" s="7" t="n">
        <f aca="false">Chase1168_2026!D347</f>
        <v>-22.92</v>
      </c>
      <c r="E347" s="0" t="str">
        <f aca="false">Chase1168_2026!E347</f>
        <v>ACH_DEBIT</v>
      </c>
      <c r="F347" s="7" t="n">
        <f aca="false">Chase1168_2026!F347</f>
        <v>35202.99</v>
      </c>
      <c r="G347" s="0" t="str">
        <f aca="false">Chase1168_2026!G347</f>
        <v>Personal - Life Insurance</v>
      </c>
      <c r="H347" s="15" t="n">
        <f aca="false">IF($B347="","",DATE(YEAR($B347),MONTH($B347),1))</f>
        <v>46082</v>
      </c>
      <c r="I347" s="0" t="str">
        <f aca="false">IF($G347="","Uncategorized — Review",IFERROR(INDEX(Mapping!$B:$B,MATCH($G347,Mapping!$A:$A,0)),"Uncategorized — Review"))</f>
        <v>Personal - Life Insurance</v>
      </c>
      <c r="J347" s="0" t="str">
        <f aca="false">IF($G347="","Uncategorized — Review",IFERROR(INDEX(Mapping!$C:$C,MATCH($G347,Mapping!$A:$A,0)),"Uncategorized — Review"))</f>
        <v>Personal — Owner</v>
      </c>
    </row>
    <row r="348" customFormat="false" ht="15" hidden="false" customHeight="false" outlineLevel="0" collapsed="false">
      <c r="A348" s="0" t="str">
        <f aca="false">Chase1168_2026!A348</f>
        <v>DEBIT</v>
      </c>
      <c r="B348" s="14" t="n">
        <f aca="false">Chase1168_2026!B348</f>
        <v>46080</v>
      </c>
      <c r="C348" s="0" t="str">
        <f aca="false">Chase1168_2026!C348</f>
        <v>ORIG CO NAME:INTUIT *               ORIG ID:0000756346 DESC DATE:260227 CO ENTRY DESCR:QBooks OnlSEC:CCD    TRACE#:021000028841557 EED:260227   IND ID:9792767                      IND NAME:DWG CAPITAL GROUP                                                                                            800-446-8848 TRN: 0588841557TC</v>
      </c>
      <c r="D348" s="7" t="n">
        <f aca="false">Chase1168_2026!D348</f>
        <v>-121.21</v>
      </c>
      <c r="E348" s="0" t="str">
        <f aca="false">Chase1168_2026!E348</f>
        <v>ACH_DEBIT</v>
      </c>
      <c r="F348" s="7" t="n">
        <f aca="false">Chase1168_2026!F348</f>
        <v>35225.91</v>
      </c>
      <c r="G348" s="0" t="str">
        <f aca="false">Chase1168_2026!G348</f>
        <v>Software/Accounting</v>
      </c>
      <c r="H348" s="15" t="n">
        <f aca="false">IF($B348="","",DATE(YEAR($B348),MONTH($B348),1))</f>
        <v>46054</v>
      </c>
      <c r="I348" s="0" t="str">
        <f aca="false">IF($G348="","Uncategorized — Review",IFERROR(INDEX(Mapping!$B:$B,MATCH($G348,Mapping!$A:$A,0)),"Uncategorized — Review"))</f>
        <v>Software/Accounting</v>
      </c>
      <c r="J348" s="0" t="str">
        <f aca="false">IF($G348="","Uncategorized — Review",IFERROR(INDEX(Mapping!$C:$C,MATCH($G348,Mapping!$A:$A,0)),"Uncategorized — Review"))</f>
        <v>DWG Operating</v>
      </c>
    </row>
    <row r="349" customFormat="false" ht="15" hidden="false" customHeight="false" outlineLevel="0" collapsed="false">
      <c r="A349" s="0" t="str">
        <f aca="false">Chase1168_2026!A349</f>
        <v>DEBIT</v>
      </c>
      <c r="B349" s="14" t="n">
        <f aca="false">Chase1168_2026!B349</f>
        <v>46080</v>
      </c>
      <c r="C349" s="0" t="str">
        <f aca="false">Chase1168_2026!C349</f>
        <v>PAYPAL *RUTHALCANCI 402-935-7733 CA          02/26</v>
      </c>
      <c r="D349" s="7" t="n">
        <f aca="false">Chase1168_2026!D349</f>
        <v>-250</v>
      </c>
      <c r="E349" s="0" t="str">
        <f aca="false">Chase1168_2026!E349</f>
        <v>DEBIT_CARD</v>
      </c>
      <c r="F349" s="7" t="n">
        <f aca="false">Chase1168_2026!F349</f>
        <v>35347.12</v>
      </c>
      <c r="G349" s="0" t="str">
        <f aca="false">Chase1168_2026!G349</f>
        <v>Ruth Alcancia - Forward Bridge Payment</v>
      </c>
      <c r="H349" s="15" t="n">
        <f aca="false">IF($B349="","",DATE(YEAR($B349),MONTH($B349),1))</f>
        <v>46054</v>
      </c>
      <c r="I349" s="0" t="str">
        <f aca="false">IF($G349="","Uncategorized — Review",IFERROR(INDEX(Mapping!$B:$B,MATCH($G349,Mapping!$A:$A,0)),"Uncategorized — Review"))</f>
        <v>Ruth Alcancia - Forward Bridge Payment</v>
      </c>
      <c r="J349" s="0" t="str">
        <f aca="false">IF($G349="","Uncategorized — Review",IFERROR(INDEX(Mapping!$C:$C,MATCH($G349,Mapping!$A:$A,0)),"Uncategorized — Review"))</f>
        <v>Payroll &amp; Contractors</v>
      </c>
    </row>
    <row r="350" customFormat="false" ht="15" hidden="false" customHeight="false" outlineLevel="0" collapsed="false">
      <c r="A350" s="0" t="str">
        <f aca="false">Chase1168_2026!A350</f>
        <v>DEBIT</v>
      </c>
      <c r="B350" s="14" t="n">
        <f aca="false">Chase1168_2026!B350</f>
        <v>46079</v>
      </c>
      <c r="C350" s="0" t="str">
        <f aca="false">Chase1168_2026!C350</f>
        <v>ONLINE FX INTERNATIONAL WIRE FEE</v>
      </c>
      <c r="D350" s="7" t="n">
        <f aca="false">Chase1168_2026!D350</f>
        <v>-5</v>
      </c>
      <c r="E350" s="0" t="str">
        <f aca="false">Chase1168_2026!E350</f>
        <v>FEE_TRANSACTION</v>
      </c>
      <c r="F350" s="7" t="n">
        <f aca="false">Chase1168_2026!F350</f>
        <v>35597.12</v>
      </c>
      <c r="G350" s="0" t="str">
        <f aca="false">Chase1168_2026!G350</f>
        <v>Andres Alarcon Payroll</v>
      </c>
      <c r="H350" s="15" t="n">
        <f aca="false">IF($B350="","",DATE(YEAR($B350),MONTH($B350),1))</f>
        <v>46054</v>
      </c>
      <c r="I350" s="0" t="str">
        <f aca="false">IF($G350="","Uncategorized — Review",IFERROR(INDEX(Mapping!$B:$B,MATCH($G350,Mapping!$A:$A,0)),"Uncategorized — Review"))</f>
        <v>Andres Alarcon Payroll</v>
      </c>
      <c r="J350" s="0" t="str">
        <f aca="false">IF($G350="","Uncategorized — Review",IFERROR(INDEX(Mapping!$C:$C,MATCH($G350,Mapping!$A:$A,0)),"Uncategorized — Review"))</f>
        <v>Payroll &amp; Contractors</v>
      </c>
    </row>
    <row r="351" customFormat="false" ht="15" hidden="false" customHeight="false" outlineLevel="0" collapsed="false">
      <c r="A351" s="0" t="str">
        <f aca="false">Chase1168_2026!A351</f>
        <v>DEBIT</v>
      </c>
      <c r="B351" s="14" t="n">
        <f aca="false">Chase1168_2026!B351</f>
        <v>46079</v>
      </c>
      <c r="C351" s="0" t="str">
        <f aca="false">Chase1168_2026!C351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PAYMENTS/OCMT/COP26 35063,20/EXCH/3513.4176/CNTR/102880 84/INT/ANDRES_52763ATHOTMAIL.C TRN: 3635700057RE 02/26</v>
      </c>
      <c r="D351" s="7" t="n">
        <f aca="false">Chase1168_2026!D351</f>
        <v>-750</v>
      </c>
      <c r="E351" s="0" t="str">
        <f aca="false">Chase1168_2026!E351</f>
        <v>WIRE_OUTGOING</v>
      </c>
      <c r="F351" s="7" t="n">
        <f aca="false">Chase1168_2026!F351</f>
        <v>35602.12</v>
      </c>
      <c r="G351" s="0" t="str">
        <f aca="false">Chase1168_2026!G351</f>
        <v>Andres Alarcon Payroll</v>
      </c>
      <c r="H351" s="15" t="n">
        <f aca="false">IF($B351="","",DATE(YEAR($B351),MONTH($B351),1))</f>
        <v>46054</v>
      </c>
      <c r="I351" s="0" t="str">
        <f aca="false">IF($G351="","Uncategorized — Review",IFERROR(INDEX(Mapping!$B:$B,MATCH($G351,Mapping!$A:$A,0)),"Uncategorized — Review"))</f>
        <v>Andres Alarcon Payroll</v>
      </c>
      <c r="J351" s="0" t="str">
        <f aca="false">IF($G351="","Uncategorized — Review",IFERROR(INDEX(Mapping!$C:$C,MATCH($G351,Mapping!$A:$A,0)),"Uncategorized — Review"))</f>
        <v>Payroll &amp; Contractors</v>
      </c>
    </row>
    <row r="352" customFormat="false" ht="15" hidden="false" customHeight="false" outlineLevel="0" collapsed="false">
      <c r="A352" s="0" t="str">
        <f aca="false">Chase1168_2026!A352</f>
        <v>DEBIT</v>
      </c>
      <c r="B352" s="14" t="n">
        <f aca="false">Chase1168_2026!B352</f>
        <v>46079</v>
      </c>
      <c r="C352" s="0" t="str">
        <f aca="false">Chase1168_2026!C352</f>
        <v>DISNEY PLUS ECOM LAKE BUENA VI FL    148281  02/26</v>
      </c>
      <c r="D352" s="7" t="n">
        <f aca="false">Chase1168_2026!D352</f>
        <v>-20.51</v>
      </c>
      <c r="E352" s="0" t="str">
        <f aca="false">Chase1168_2026!E352</f>
        <v>DEBIT_CARD</v>
      </c>
      <c r="F352" s="7" t="n">
        <f aca="false">Chase1168_2026!F352</f>
        <v>36352.12</v>
      </c>
      <c r="G352" s="0" t="str">
        <f aca="false">Chase1168_2026!G352</f>
        <v>Personal - Subscriptions</v>
      </c>
      <c r="H352" s="15" t="n">
        <f aca="false">IF($B352="","",DATE(YEAR($B352),MONTH($B352),1))</f>
        <v>46054</v>
      </c>
      <c r="I352" s="0" t="str">
        <f aca="false">IF($G352="","Uncategorized — Review",IFERROR(INDEX(Mapping!$B:$B,MATCH($G352,Mapping!$A:$A,0)),"Uncategorized — Review"))</f>
        <v>Personal - Subscriptions</v>
      </c>
      <c r="J352" s="0" t="str">
        <f aca="false">IF($G352="","Uncategorized — Review",IFERROR(INDEX(Mapping!$C:$C,MATCH($G352,Mapping!$A:$A,0)),"Uncategorized — Review"))</f>
        <v>Personal — Owner</v>
      </c>
    </row>
    <row r="353" customFormat="false" ht="15" hidden="false" customHeight="false" outlineLevel="0" collapsed="false">
      <c r="A353" s="0" t="str">
        <f aca="false">Chase1168_2026!A353</f>
        <v>DEBIT</v>
      </c>
      <c r="B353" s="14" t="n">
        <f aca="false">Chase1168_2026!B353</f>
        <v>46078</v>
      </c>
      <c r="C353" s="0" t="str">
        <f aca="false">Chase1168_2026!C353</f>
        <v>Zelle payment to Jeffrey Seider JPM99c6ymzxp</v>
      </c>
      <c r="D353" s="7" t="n">
        <f aca="false">Chase1168_2026!D353</f>
        <v>-200</v>
      </c>
      <c r="E353" s="0" t="str">
        <f aca="false">Chase1168_2026!E353</f>
        <v>CHASE_TO_PARTNERFI</v>
      </c>
      <c r="F353" s="7" t="n">
        <f aca="false">Chase1168_2026!F353</f>
        <v>36372.63</v>
      </c>
      <c r="G353" s="0" t="str">
        <f aca="false">Chase1168_2026!G353</f>
        <v>Zelle - Jeff Seider</v>
      </c>
      <c r="H353" s="15" t="n">
        <f aca="false">IF($B353="","",DATE(YEAR($B353),MONTH($B353),1))</f>
        <v>46054</v>
      </c>
      <c r="I353" s="0" t="str">
        <f aca="false">IF($G353="","Uncategorized — Review",IFERROR(INDEX(Mapping!$B:$B,MATCH($G353,Mapping!$A:$A,0)),"Uncategorized — Review"))</f>
        <v>Zelle - Jeff Seider</v>
      </c>
      <c r="J353" s="0" t="str">
        <f aca="false">IF($G353="","Uncategorized — Review",IFERROR(INDEX(Mapping!$C:$C,MATCH($G353,Mapping!$A:$A,0)),"Uncategorized — Review"))</f>
        <v>P2P Payments (Zelle/Venmo/PayPal)</v>
      </c>
    </row>
    <row r="354" customFormat="false" ht="15" hidden="false" customHeight="false" outlineLevel="0" collapsed="false">
      <c r="A354" s="0" t="str">
        <f aca="false">Chase1168_2026!A354</f>
        <v>DEBIT</v>
      </c>
      <c r="B354" s="14" t="n">
        <f aca="false">Chase1168_2026!B354</f>
        <v>46078</v>
      </c>
      <c r="C354" s="0" t="str">
        <f aca="false">Chase1168_2026!C354</f>
        <v>Experian* ProtectMyID 866-5849446 CA         02/24</v>
      </c>
      <c r="D354" s="7" t="n">
        <f aca="false">Chase1168_2026!D354</f>
        <v>-17.95</v>
      </c>
      <c r="E354" s="0" t="str">
        <f aca="false">Chase1168_2026!E354</f>
        <v>DEBIT_CARD</v>
      </c>
      <c r="F354" s="7" t="n">
        <f aca="false">Chase1168_2026!F354</f>
        <v>36572.63</v>
      </c>
      <c r="G354" s="0" t="str">
        <f aca="false">Chase1168_2026!G354</f>
        <v>Personal - Subscriptions</v>
      </c>
      <c r="H354" s="15" t="n">
        <f aca="false">IF($B354="","",DATE(YEAR($B354),MONTH($B354),1))</f>
        <v>46054</v>
      </c>
      <c r="I354" s="0" t="str">
        <f aca="false">IF($G354="","Uncategorized — Review",IFERROR(INDEX(Mapping!$B:$B,MATCH($G354,Mapping!$A:$A,0)),"Uncategorized — Review"))</f>
        <v>Personal - Subscriptions</v>
      </c>
      <c r="J354" s="0" t="str">
        <f aca="false">IF($G354="","Uncategorized — Review",IFERROR(INDEX(Mapping!$C:$C,MATCH($G354,Mapping!$A:$A,0)),"Uncategorized — Review"))</f>
        <v>Personal — Owner</v>
      </c>
    </row>
    <row r="355" customFormat="false" ht="15" hidden="false" customHeight="false" outlineLevel="0" collapsed="false">
      <c r="A355" s="0" t="str">
        <f aca="false">Chase1168_2026!A355</f>
        <v>CREDIT</v>
      </c>
      <c r="B355" s="14" t="n">
        <f aca="false">Chase1168_2026!B355</f>
        <v>46078</v>
      </c>
      <c r="C355" s="0" t="str">
        <f aca="false">Chase1168_2026!C355</f>
        <v>Online Transfer from CHK ...9335 transaction#: 28201888543</v>
      </c>
      <c r="D355" s="7" t="n">
        <f aca="false">Chase1168_2026!D355</f>
        <v>30000</v>
      </c>
      <c r="E355" s="0" t="str">
        <f aca="false">Chase1168_2026!E355</f>
        <v>ACCT_XFER</v>
      </c>
      <c r="F355" s="7" t="n">
        <f aca="false">Chase1168_2026!F355</f>
        <v>36590.58</v>
      </c>
      <c r="G355" s="0" t="str">
        <f aca="false">Chase1168_2026!G355</f>
        <v>Poseidon Asset Group (Incoming)</v>
      </c>
      <c r="H355" s="15" t="n">
        <f aca="false">IF($B355="","",DATE(YEAR($B355),MONTH($B355),1))</f>
        <v>46054</v>
      </c>
      <c r="I355" s="0" t="str">
        <f aca="false">IF($G355="","Uncategorized — Review",IFERROR(INDEX(Mapping!$B:$B,MATCH($G355,Mapping!$A:$A,0)),"Uncategorized — Review"))</f>
        <v>Poseidon Asset Group (Incoming)</v>
      </c>
      <c r="J355" s="0" t="str">
        <f aca="false">IF($G355="","Uncategorized — Review",IFERROR(INDEX(Mapping!$C:$C,MATCH($G355,Mapping!$A:$A,0)),"Uncategorized — Review"))</f>
        <v>Poseidon Asset Group</v>
      </c>
    </row>
    <row r="356" customFormat="false" ht="15" hidden="false" customHeight="false" outlineLevel="0" collapsed="false">
      <c r="A356" s="0" t="str">
        <f aca="false">Chase1168_2026!A356</f>
        <v>DEBIT</v>
      </c>
      <c r="B356" s="14" t="n">
        <f aca="false">Chase1168_2026!B356</f>
        <v>46077</v>
      </c>
      <c r="C356" s="0" t="str">
        <f aca="false">Chase1168_2026!C356</f>
        <v>Zelle payment to Jeffrey Seider JPM99c6vmuh1</v>
      </c>
      <c r="D356" s="7" t="n">
        <f aca="false">Chase1168_2026!D356</f>
        <v>-200</v>
      </c>
      <c r="E356" s="0" t="str">
        <f aca="false">Chase1168_2026!E356</f>
        <v>CHASE_TO_PARTNERFI</v>
      </c>
      <c r="F356" s="7" t="n">
        <f aca="false">Chase1168_2026!F356</f>
        <v>6590.58</v>
      </c>
      <c r="G356" s="0" t="str">
        <f aca="false">Chase1168_2026!G356</f>
        <v>Zelle - Jeff Seider</v>
      </c>
      <c r="H356" s="15" t="n">
        <f aca="false">IF($B356="","",DATE(YEAR($B356),MONTH($B356),1))</f>
        <v>46054</v>
      </c>
      <c r="I356" s="0" t="str">
        <f aca="false">IF($G356="","Uncategorized — Review",IFERROR(INDEX(Mapping!$B:$B,MATCH($G356,Mapping!$A:$A,0)),"Uncategorized — Review"))</f>
        <v>Zelle - Jeff Seider</v>
      </c>
      <c r="J356" s="0" t="str">
        <f aca="false">IF($G356="","Uncategorized — Review",IFERROR(INDEX(Mapping!$C:$C,MATCH($G356,Mapping!$A:$A,0)),"Uncategorized — Review"))</f>
        <v>P2P Payments (Zelle/Venmo/PayPal)</v>
      </c>
    </row>
    <row r="357" customFormat="false" ht="15" hidden="false" customHeight="false" outlineLevel="0" collapsed="false">
      <c r="A357" s="0" t="str">
        <f aca="false">Chase1168_2026!A357</f>
        <v>DEBIT</v>
      </c>
      <c r="B357" s="14" t="n">
        <f aca="false">Chase1168_2026!B357</f>
        <v>46077</v>
      </c>
      <c r="C357" s="0" t="str">
        <f aca="false">Chase1168_2026!C357</f>
        <v>UPWORK * -895402644 866-262-4478 CA          02/23</v>
      </c>
      <c r="D357" s="7" t="n">
        <f aca="false">Chase1168_2026!D357</f>
        <v>-201.25</v>
      </c>
      <c r="E357" s="0" t="str">
        <f aca="false">Chase1168_2026!E357</f>
        <v>DEBIT_CARD</v>
      </c>
      <c r="F357" s="7" t="n">
        <f aca="false">Chase1168_2026!F357</f>
        <v>6790.58</v>
      </c>
      <c r="G357" s="0" t="str">
        <f aca="false">Chase1168_2026!G357</f>
        <v>Upwork - Sergei M.</v>
      </c>
      <c r="H357" s="15" t="n">
        <f aca="false">IF($B357="","",DATE(YEAR($B357),MONTH($B357),1))</f>
        <v>46054</v>
      </c>
      <c r="I357" s="0" t="str">
        <f aca="false">IF($G357="","Uncategorized — Review",IFERROR(INDEX(Mapping!$B:$B,MATCH($G357,Mapping!$A:$A,0)),"Uncategorized — Review"))</f>
        <v>Upwork - Sergei M.</v>
      </c>
      <c r="J357" s="0" t="str">
        <f aca="false">IF($G357="","Uncategorized — Review",IFERROR(INDEX(Mapping!$C:$C,MATCH($G357,Mapping!$A:$A,0)),"Uncategorized — Review"))</f>
        <v>Payroll &amp; Contractors</v>
      </c>
    </row>
    <row r="358" customFormat="false" ht="15" hidden="false" customHeight="false" outlineLevel="0" collapsed="false">
      <c r="A358" s="0" t="str">
        <f aca="false">Chase1168_2026!A358</f>
        <v>DEBIT</v>
      </c>
      <c r="B358" s="14" t="n">
        <f aca="false">Chase1168_2026!B358</f>
        <v>46076</v>
      </c>
      <c r="C358" s="0" t="str">
        <f aca="false">Chase1168_2026!C358</f>
        <v>Basic Online Payroll Payment 11207252540 to ########4122</v>
      </c>
      <c r="D358" s="7" t="n">
        <f aca="false">Chase1168_2026!D358</f>
        <v>-1750</v>
      </c>
      <c r="E358" s="0" t="str">
        <f aca="false">Chase1168_2026!E358</f>
        <v>BASIC_PAYROLL</v>
      </c>
      <c r="F358" s="7" t="n">
        <f aca="false">Chase1168_2026!F358</f>
        <v>6991.83</v>
      </c>
      <c r="G358" s="0" t="str">
        <f aca="false">Chase1168_2026!G358</f>
        <v>Mike Paytonjian - Payroll</v>
      </c>
      <c r="H358" s="15" t="n">
        <f aca="false">IF($B358="","",DATE(YEAR($B358),MONTH($B358),1))</f>
        <v>46054</v>
      </c>
      <c r="I358" s="0" t="str">
        <f aca="false">IF($G358="","Uncategorized — Review",IFERROR(INDEX(Mapping!$B:$B,MATCH($G358,Mapping!$A:$A,0)),"Uncategorized — Review"))</f>
        <v>Mike Paytonjian - Payroll</v>
      </c>
      <c r="J358" s="0" t="str">
        <f aca="false">IF($G358="","Uncategorized — Review",IFERROR(INDEX(Mapping!$C:$C,MATCH($G358,Mapping!$A:$A,0)),"Uncategorized — Review"))</f>
        <v>Payroll &amp; Contractors</v>
      </c>
    </row>
    <row r="359" customFormat="false" ht="15" hidden="false" customHeight="false" outlineLevel="0" collapsed="false">
      <c r="A359" s="0" t="str">
        <f aca="false">Chase1168_2026!A359</f>
        <v>DEBIT</v>
      </c>
      <c r="B359" s="14" t="n">
        <f aca="false">Chase1168_2026!B359</f>
        <v>46076</v>
      </c>
      <c r="C359" s="0" t="str">
        <f aca="false">Chase1168_2026!C359</f>
        <v>ORIG CO NAME:VENMO                  ORIG ID:3264681992 DESC DATE:260222 CO ENTRY DESCR:PAYMENT   SEC:WEB    TRACE#:021000024258552 EED:260223   IND ID:1048445485530                IND NAME:JUDD DUNNING                                                                                                 260222PPZ54L TRN: 0544258552TC</v>
      </c>
      <c r="D359" s="7" t="n">
        <f aca="false">Chase1168_2026!D359</f>
        <v>-520</v>
      </c>
      <c r="E359" s="0" t="str">
        <f aca="false">Chase1168_2026!E359</f>
        <v>ACH_DEBIT</v>
      </c>
      <c r="F359" s="7" t="n">
        <f aca="false">Chase1168_2026!F359</f>
        <v>8741.83</v>
      </c>
      <c r="G359" s="0" t="str">
        <f aca="false">Chase1168_2026!G359</f>
        <v>Venmo</v>
      </c>
      <c r="H359" s="15" t="n">
        <f aca="false">IF($B359="","",DATE(YEAR($B359),MONTH($B359),1))</f>
        <v>46054</v>
      </c>
      <c r="I359" s="0" t="str">
        <f aca="false">IF($G359="","Uncategorized — Review",IFERROR(INDEX(Mapping!$B:$B,MATCH($G359,Mapping!$A:$A,0)),"Uncategorized — Review"))</f>
        <v>Venmo</v>
      </c>
      <c r="J359" s="0" t="str">
        <f aca="false">IF($G359="","Uncategorized — Review",IFERROR(INDEX(Mapping!$C:$C,MATCH($G359,Mapping!$A:$A,0)),"Uncategorized — Review"))</f>
        <v>P2P Payments (Zelle/Venmo/PayPal)</v>
      </c>
    </row>
    <row r="360" customFormat="false" ht="15" hidden="false" customHeight="false" outlineLevel="0" collapsed="false">
      <c r="A360" s="0" t="str">
        <f aca="false">Chase1168_2026!A360</f>
        <v>DEBIT</v>
      </c>
      <c r="B360" s="14" t="n">
        <f aca="false">Chase1168_2026!B360</f>
        <v>46076</v>
      </c>
      <c r="C360" s="0" t="str">
        <f aca="false">Chase1168_2026!C360</f>
        <v>ORIG CO NAME:PRINCIPAL-CCAPNL       ORIG ID:9INDPNLEFT DESC DATE:021926 CO ENTRY DESCR:PRIN FINANSEC:PPD    TRACE#:091000010096869 EED:260223   IND ID:                             IND NAME:JOHN B DUNNING TRN: 0540096869TC</v>
      </c>
      <c r="D360" s="7" t="n">
        <f aca="false">Chase1168_2026!D360</f>
        <v>-331.54</v>
      </c>
      <c r="E360" s="0" t="str">
        <f aca="false">Chase1168_2026!E360</f>
        <v>ACH_DEBIT</v>
      </c>
      <c r="F360" s="7" t="n">
        <f aca="false">Chase1168_2026!F360</f>
        <v>9261.83</v>
      </c>
      <c r="G360" s="0" t="str">
        <f aca="false">Chase1168_2026!G360</f>
        <v>???</v>
      </c>
      <c r="H360" s="15" t="n">
        <f aca="false">IF($B360="","",DATE(YEAR($B360),MONTH($B360),1))</f>
        <v>46054</v>
      </c>
      <c r="I360" s="0" t="str">
        <f aca="false">IF($G360="","Uncategorized — Review",IFERROR(INDEX(Mapping!$B:$B,MATCH($G360,Mapping!$A:$A,0)),"Uncategorized — Review"))</f>
        <v>???</v>
      </c>
      <c r="J360" s="0" t="str">
        <f aca="false">IF($G360="","Uncategorized — Review",IFERROR(INDEX(Mapping!$C:$C,MATCH($G360,Mapping!$A:$A,0)),"Uncategorized — Review"))</f>
        <v>Uncategorized — Review</v>
      </c>
    </row>
    <row r="361" customFormat="false" ht="15" hidden="false" customHeight="false" outlineLevel="0" collapsed="false">
      <c r="A361" s="0" t="str">
        <f aca="false">Chase1168_2026!A361</f>
        <v>DEBIT</v>
      </c>
      <c r="B361" s="14" t="n">
        <f aca="false">Chase1168_2026!B361</f>
        <v>46073</v>
      </c>
      <c r="C361" s="0" t="str">
        <f aca="false">Chase1168_2026!C361</f>
        <v>ORIG CO NAME:VENMO                  ORIG ID:3264681992 DESC DATE:260220 CO ENTRY DESCR:PAYMENT   SEC:WEB    TRACE#:021000027838610 EED:260220   IND ID:1048422449899                IND NAME:JUDD DUNNING                                                                                                 260220PPZ12L TRN: 0517838610TC</v>
      </c>
      <c r="D361" s="7" t="n">
        <f aca="false">Chase1168_2026!D361</f>
        <v>-50</v>
      </c>
      <c r="E361" s="0" t="str">
        <f aca="false">Chase1168_2026!E361</f>
        <v>ACH_DEBIT</v>
      </c>
      <c r="F361" s="7" t="n">
        <f aca="false">Chase1168_2026!F361</f>
        <v>9593.37</v>
      </c>
      <c r="G361" s="0" t="str">
        <f aca="false">Chase1168_2026!G361</f>
        <v>Venmo</v>
      </c>
      <c r="H361" s="15" t="n">
        <f aca="false">IF($B361="","",DATE(YEAR($B361),MONTH($B361),1))</f>
        <v>46054</v>
      </c>
      <c r="I361" s="0" t="str">
        <f aca="false">IF($G361="","Uncategorized — Review",IFERROR(INDEX(Mapping!$B:$B,MATCH($G361,Mapping!$A:$A,0)),"Uncategorized — Review"))</f>
        <v>Venmo</v>
      </c>
      <c r="J361" s="0" t="str">
        <f aca="false">IF($G361="","Uncategorized — Review",IFERROR(INDEX(Mapping!$C:$C,MATCH($G361,Mapping!$A:$A,0)),"Uncategorized — Review"))</f>
        <v>P2P Payments (Zelle/Venmo/PayPal)</v>
      </c>
    </row>
    <row r="362" customFormat="false" ht="15" hidden="false" customHeight="false" outlineLevel="0" collapsed="false">
      <c r="A362" s="0" t="str">
        <f aca="false">Chase1168_2026!A362</f>
        <v>DEBIT</v>
      </c>
      <c r="B362" s="14" t="n">
        <f aca="false">Chase1168_2026!B362</f>
        <v>46073</v>
      </c>
      <c r="C362" s="0" t="str">
        <f aca="false">Chase1168_2026!C362</f>
        <v>Online Transfer to CHK ...1117 transaction#: 28136530949 02/20</v>
      </c>
      <c r="D362" s="7" t="n">
        <f aca="false">Chase1168_2026!D362</f>
        <v>-2000</v>
      </c>
      <c r="E362" s="0" t="str">
        <f aca="false">Chase1168_2026!E362</f>
        <v>ACCT_XFER</v>
      </c>
      <c r="F362" s="7" t="n">
        <f aca="false">Chase1168_2026!F362</f>
        <v>9643.37</v>
      </c>
      <c r="G362" s="0" t="str">
        <f aca="false">Chase1168_2026!G362</f>
        <v>Transfer to Angela Dunning</v>
      </c>
      <c r="H362" s="15" t="n">
        <f aca="false">IF($B362="","",DATE(YEAR($B362),MONTH($B362),1))</f>
        <v>46054</v>
      </c>
      <c r="I362" s="0" t="str">
        <f aca="false">IF($G362="","Uncategorized — Review",IFERROR(INDEX(Mapping!$B:$B,MATCH($G362,Mapping!$A:$A,0)),"Uncategorized — Review"))</f>
        <v>Transfer to Angela Dunning</v>
      </c>
      <c r="J362" s="0" t="str">
        <f aca="false">IF($G362="","Uncategorized — Review",IFERROR(INDEX(Mapping!$C:$C,MATCH($G362,Mapping!$A:$A,0)),"Uncategorized — Review"))</f>
        <v>Owner / Family Distributions</v>
      </c>
    </row>
    <row r="363" customFormat="false" ht="15" hidden="false" customHeight="false" outlineLevel="0" collapsed="false">
      <c r="A363" s="0" t="str">
        <f aca="false">Chase1168_2026!A363</f>
        <v>DEBIT</v>
      </c>
      <c r="B363" s="14" t="n">
        <f aca="false">Chase1168_2026!B363</f>
        <v>46072</v>
      </c>
      <c r="C363" s="0" t="str">
        <f aca="false">Chase1168_2026!C363</f>
        <v>Online Transfer to CHK ...1117 transaction#: 28131472847 02/19</v>
      </c>
      <c r="D363" s="7" t="n">
        <f aca="false">Chase1168_2026!D363</f>
        <v>-5000</v>
      </c>
      <c r="E363" s="0" t="str">
        <f aca="false">Chase1168_2026!E363</f>
        <v>ACCT_XFER</v>
      </c>
      <c r="F363" s="7" t="n">
        <f aca="false">Chase1168_2026!F363</f>
        <v>11643.37</v>
      </c>
      <c r="G363" s="0" t="str">
        <f aca="false">Chase1168_2026!G363</f>
        <v>Transfer to Angela Dunning</v>
      </c>
      <c r="H363" s="15" t="n">
        <f aca="false">IF($B363="","",DATE(YEAR($B363),MONTH($B363),1))</f>
        <v>46054</v>
      </c>
      <c r="I363" s="0" t="str">
        <f aca="false">IF($G363="","Uncategorized — Review",IFERROR(INDEX(Mapping!$B:$B,MATCH($G363,Mapping!$A:$A,0)),"Uncategorized — Review"))</f>
        <v>Transfer to Angela Dunning</v>
      </c>
      <c r="J363" s="0" t="str">
        <f aca="false">IF($G363="","Uncategorized — Review",IFERROR(INDEX(Mapping!$C:$C,MATCH($G363,Mapping!$A:$A,0)),"Uncategorized — Review"))</f>
        <v>Owner / Family Distributions</v>
      </c>
    </row>
    <row r="364" customFormat="false" ht="15" hidden="false" customHeight="false" outlineLevel="0" collapsed="false">
      <c r="A364" s="0" t="str">
        <f aca="false">Chase1168_2026!A364</f>
        <v>DEBIT</v>
      </c>
      <c r="B364" s="14" t="n">
        <f aca="false">Chase1168_2026!B364</f>
        <v>46072</v>
      </c>
      <c r="C364" s="0" t="str">
        <f aca="false">Chase1168_2026!C364</f>
        <v>DNH*GODADDY#4020305699 480-5058855 AZ        02/18</v>
      </c>
      <c r="D364" s="7" t="n">
        <f aca="false">Chase1168_2026!D364</f>
        <v>-16.98</v>
      </c>
      <c r="E364" s="0" t="str">
        <f aca="false">Chase1168_2026!E364</f>
        <v>DEBIT_CARD</v>
      </c>
      <c r="F364" s="7" t="n">
        <f aca="false">Chase1168_2026!F364</f>
        <v>16643.37</v>
      </c>
      <c r="G364" s="0" t="str">
        <f aca="false">Chase1168_2026!G364</f>
        <v>Go Daddy</v>
      </c>
      <c r="H364" s="15" t="n">
        <f aca="false">IF($B364="","",DATE(YEAR($B364),MONTH($B364),1))</f>
        <v>46054</v>
      </c>
      <c r="I364" s="0" t="str">
        <f aca="false">IF($G364="","Uncategorized — Review",IFERROR(INDEX(Mapping!$B:$B,MATCH($G364,Mapping!$A:$A,0)),"Uncategorized — Review"))</f>
        <v>Go Daddy</v>
      </c>
      <c r="J364" s="0" t="str">
        <f aca="false">IF($G364="","Uncategorized — Review",IFERROR(INDEX(Mapping!$C:$C,MATCH($G364,Mapping!$A:$A,0)),"Uncategorized — Review"))</f>
        <v>DWG Operating</v>
      </c>
    </row>
    <row r="365" customFormat="false" ht="15" hidden="false" customHeight="false" outlineLevel="0" collapsed="false">
      <c r="A365" s="0" t="str">
        <f aca="false">Chase1168_2026!A365</f>
        <v>DEBIT</v>
      </c>
      <c r="B365" s="14" t="n">
        <f aca="false">Chase1168_2026!B365</f>
        <v>46072</v>
      </c>
      <c r="C365" s="0" t="str">
        <f aca="false">Chase1168_2026!C365</f>
        <v>DNH*GODADDY#4020304870 480-5058855 AZ        02/18</v>
      </c>
      <c r="D365" s="7" t="n">
        <f aca="false">Chase1168_2026!D365</f>
        <v>-22.98</v>
      </c>
      <c r="E365" s="0" t="str">
        <f aca="false">Chase1168_2026!E365</f>
        <v>DEBIT_CARD</v>
      </c>
      <c r="F365" s="7" t="n">
        <f aca="false">Chase1168_2026!F365</f>
        <v>16660.35</v>
      </c>
      <c r="G365" s="0" t="str">
        <f aca="false">Chase1168_2026!G365</f>
        <v>Go Daddy</v>
      </c>
      <c r="H365" s="15" t="n">
        <f aca="false">IF($B365="","",DATE(YEAR($B365),MONTH($B365),1))</f>
        <v>46054</v>
      </c>
      <c r="I365" s="0" t="str">
        <f aca="false">IF($G365="","Uncategorized — Review",IFERROR(INDEX(Mapping!$B:$B,MATCH($G365,Mapping!$A:$A,0)),"Uncategorized — Review"))</f>
        <v>Go Daddy</v>
      </c>
      <c r="J365" s="0" t="str">
        <f aca="false">IF($G365="","Uncategorized — Review",IFERROR(INDEX(Mapping!$C:$C,MATCH($G365,Mapping!$A:$A,0)),"Uncategorized — Review"))</f>
        <v>DWG Operating</v>
      </c>
    </row>
    <row r="366" customFormat="false" ht="15" hidden="false" customHeight="false" outlineLevel="0" collapsed="false">
      <c r="A366" s="0" t="str">
        <f aca="false">Chase1168_2026!A366</f>
        <v>CREDIT</v>
      </c>
      <c r="B366" s="14" t="n">
        <f aca="false">Chase1168_2026!B366</f>
        <v>46072</v>
      </c>
      <c r="C366" s="0" t="str">
        <f aca="false">Chase1168_2026!C366</f>
        <v>Online Transfer from CHK ...9335 transaction#: 28131453248</v>
      </c>
      <c r="D366" s="7" t="n">
        <f aca="false">Chase1168_2026!D366</f>
        <v>10000</v>
      </c>
      <c r="E366" s="0" t="str">
        <f aca="false">Chase1168_2026!E366</f>
        <v>ACCT_XFER</v>
      </c>
      <c r="F366" s="7" t="n">
        <f aca="false">Chase1168_2026!F366</f>
        <v>16683.33</v>
      </c>
      <c r="G366" s="0" t="str">
        <f aca="false">Chase1168_2026!G366</f>
        <v>Poseidon Asset Group (Incoming)</v>
      </c>
      <c r="H366" s="15" t="n">
        <f aca="false">IF($B366="","",DATE(YEAR($B366),MONTH($B366),1))</f>
        <v>46054</v>
      </c>
      <c r="I366" s="0" t="str">
        <f aca="false">IF($G366="","Uncategorized — Review",IFERROR(INDEX(Mapping!$B:$B,MATCH($G366,Mapping!$A:$A,0)),"Uncategorized — Review"))</f>
        <v>Poseidon Asset Group (Incoming)</v>
      </c>
      <c r="J366" s="0" t="str">
        <f aca="false">IF($G366="","Uncategorized — Review",IFERROR(INDEX(Mapping!$C:$C,MATCH($G366,Mapping!$A:$A,0)),"Uncategorized — Review"))</f>
        <v>Poseidon Asset Group</v>
      </c>
    </row>
    <row r="367" customFormat="false" ht="15" hidden="false" customHeight="false" outlineLevel="0" collapsed="false">
      <c r="A367" s="0" t="str">
        <f aca="false">Chase1168_2026!A367</f>
        <v>DEBIT</v>
      </c>
      <c r="B367" s="14" t="n">
        <f aca="false">Chase1168_2026!B367</f>
        <v>46071</v>
      </c>
      <c r="C367" s="0" t="str">
        <f aca="false">Chase1168_2026!C367</f>
        <v>ORIG CO NAME:VENMO                  ORIG ID:3264681992 DESC DATE:260218 CO ENTRY DESCR:PAYMENT   SEC:WEB    TRACE#:021000022006962 EED:260218   IND ID:1048383555063                IND NAME:JUDD DUNNING                                                                                                 260218PPZGK7 TRN: 0492006962TC</v>
      </c>
      <c r="D367" s="7" t="n">
        <f aca="false">Chase1168_2026!D367</f>
        <v>-300</v>
      </c>
      <c r="E367" s="0" t="str">
        <f aca="false">Chase1168_2026!E367</f>
        <v>ACH_DEBIT</v>
      </c>
      <c r="F367" s="7" t="n">
        <f aca="false">Chase1168_2026!F367</f>
        <v>6683.33</v>
      </c>
      <c r="G367" s="0" t="str">
        <f aca="false">Chase1168_2026!G367</f>
        <v>Venmo</v>
      </c>
      <c r="H367" s="15" t="n">
        <f aca="false">IF($B367="","",DATE(YEAR($B367),MONTH($B367),1))</f>
        <v>46054</v>
      </c>
      <c r="I367" s="0" t="str">
        <f aca="false">IF($G367="","Uncategorized — Review",IFERROR(INDEX(Mapping!$B:$B,MATCH($G367,Mapping!$A:$A,0)),"Uncategorized — Review"))</f>
        <v>Venmo</v>
      </c>
      <c r="J367" s="0" t="str">
        <f aca="false">IF($G367="","Uncategorized — Review",IFERROR(INDEX(Mapping!$C:$C,MATCH($G367,Mapping!$A:$A,0)),"Uncategorized — Review"))</f>
        <v>P2P Payments (Zelle/Venmo/PayPal)</v>
      </c>
    </row>
    <row r="368" customFormat="false" ht="15" hidden="false" customHeight="false" outlineLevel="0" collapsed="false">
      <c r="A368" s="0" t="str">
        <f aca="false">Chase1168_2026!A368</f>
        <v>CREDIT</v>
      </c>
      <c r="B368" s="14" t="n">
        <f aca="false">Chase1168_2026!B368</f>
        <v>46071</v>
      </c>
      <c r="C368" s="0" t="str">
        <f aca="false">Chase1168_2026!C368</f>
        <v>ORIG CO NAME:ALLSTATE INS CO        ORIG ID:1360719665 DESC DATE:FEB 26 CO ENTRY DESCR:PREM REF  SEC:CCD    TRACE#:091000014802024 EED:260218   IND ID:540074272948                 IND NAME:DUNNING                    *Refund                                                                           ERF.010   010 D TRN: 0494802024TC</v>
      </c>
      <c r="D368" s="7" t="n">
        <f aca="false">Chase1168_2026!D368</f>
        <v>1688.08</v>
      </c>
      <c r="E368" s="0" t="str">
        <f aca="false">Chase1168_2026!E368</f>
        <v>ACH_CREDIT</v>
      </c>
      <c r="F368" s="7" t="n">
        <f aca="false">Chase1168_2026!F368</f>
        <v>6983.33</v>
      </c>
      <c r="G368" s="0" t="str">
        <f aca="false">Chase1168_2026!G368</f>
        <v>Insurance</v>
      </c>
      <c r="H368" s="15" t="n">
        <f aca="false">IF($B368="","",DATE(YEAR($B368),MONTH($B368),1))</f>
        <v>46054</v>
      </c>
      <c r="I368" s="0" t="str">
        <f aca="false">IF($G368="","Uncategorized — Review",IFERROR(INDEX(Mapping!$B:$B,MATCH($G368,Mapping!$A:$A,0)),"Uncategorized — Review"))</f>
        <v>Insurance</v>
      </c>
      <c r="J368" s="0" t="str">
        <f aca="false">IF($G368="","Uncategorized — Review",IFERROR(INDEX(Mapping!$C:$C,MATCH($G368,Mapping!$A:$A,0)),"Uncategorized — Review"))</f>
        <v>Adjustments</v>
      </c>
    </row>
    <row r="369" customFormat="false" ht="15" hidden="false" customHeight="false" outlineLevel="0" collapsed="false">
      <c r="A369" s="0" t="str">
        <f aca="false">Chase1168_2026!A369</f>
        <v>DEBIT</v>
      </c>
      <c r="B369" s="14" t="n">
        <f aca="false">Chase1168_2026!B369</f>
        <v>46070</v>
      </c>
      <c r="C369" s="0" t="str">
        <f aca="false">Chase1168_2026!C369</f>
        <v>DOMESTIC WIRE FEE</v>
      </c>
      <c r="D369" s="7" t="n">
        <f aca="false">Chase1168_2026!D369</f>
        <v>-35</v>
      </c>
      <c r="E369" s="0" t="str">
        <f aca="false">Chase1168_2026!E369</f>
        <v>FEE_TRANSACTION</v>
      </c>
      <c r="F369" s="7" t="n">
        <f aca="false">Chase1168_2026!F369</f>
        <v>5295.25</v>
      </c>
      <c r="G369" s="0" t="str">
        <f aca="false">Chase1168_2026!G369</f>
        <v>Wire Fee</v>
      </c>
      <c r="H369" s="15" t="n">
        <f aca="false">IF($B369="","",DATE(YEAR($B369),MONTH($B369),1))</f>
        <v>46054</v>
      </c>
      <c r="I369" s="0" t="str">
        <f aca="false">IF($G369="","Uncategorized — Review",IFERROR(INDEX(Mapping!$B:$B,MATCH($G369,Mapping!$A:$A,0)),"Uncategorized — Review"))</f>
        <v>Wire Fee</v>
      </c>
      <c r="J369" s="0" t="str">
        <f aca="false">IF($G369="","Uncategorized — Review",IFERROR(INDEX(Mapping!$C:$C,MATCH($G369,Mapping!$A:$A,0)),"Uncategorized — Review"))</f>
        <v>DWG Operating</v>
      </c>
    </row>
    <row r="370" customFormat="false" ht="15" hidden="false" customHeight="false" outlineLevel="0" collapsed="false">
      <c r="A370" s="0" t="str">
        <f aca="false">Chase1168_2026!A370</f>
        <v>DEBIT</v>
      </c>
      <c r="B370" s="14" t="n">
        <f aca="false">Chase1168_2026!B370</f>
        <v>46070</v>
      </c>
      <c r="C370" s="0" t="str">
        <f aca="false">Chase1168_2026!C370</f>
        <v>DOMESTIC WIRE TRANSFER A/C: GI CAPITAL GROUP RICHMOND CA 94804-5637 US TRN: 3959426048ES 02/17</v>
      </c>
      <c r="D370" s="7" t="n">
        <f aca="false">Chase1168_2026!D370</f>
        <v>-177000</v>
      </c>
      <c r="E370" s="0" t="str">
        <f aca="false">Chase1168_2026!E370</f>
        <v>WIRE_OUTGOING</v>
      </c>
      <c r="F370" s="7" t="n">
        <f aca="false">Chase1168_2026!F370</f>
        <v>5365.25</v>
      </c>
      <c r="G370" s="0" t="str">
        <f aca="false">Chase1168_2026!G370</f>
        <v>Due to Andrew – MAG Pass-Through 30%</v>
      </c>
      <c r="H370" s="15" t="n">
        <f aca="false">IF($B370="","",DATE(YEAR($B370),MONTH($B370),1))</f>
        <v>46054</v>
      </c>
      <c r="I370" s="0" t="str">
        <f aca="false">IF($G370="","Uncategorized — Review",IFERROR(INDEX(Mapping!$B:$B,MATCH($G370,Mapping!$A:$A,0)),"Uncategorized — Review"))</f>
        <v>Due to Andrew – MAG Pass-Through 30%</v>
      </c>
      <c r="J370" s="0" t="str">
        <f aca="false">IF($G370="","Uncategorized — Review",IFERROR(INDEX(Mapping!$C:$C,MATCH($G370,Mapping!$A:$A,0)),"Uncategorized — Review"))</f>
        <v>MAG Pass-Through</v>
      </c>
    </row>
    <row r="371" customFormat="false" ht="15" hidden="false" customHeight="false" outlineLevel="0" collapsed="false">
      <c r="A371" s="0" t="str">
        <f aca="false">Chase1168_2026!A371</f>
        <v>DEBIT</v>
      </c>
      <c r="B371" s="14" t="n">
        <f aca="false">Chase1168_2026!B371</f>
        <v>46070</v>
      </c>
      <c r="C371" s="0" t="str">
        <f aca="false">Chase1168_2026!C371</f>
        <v>DOMESTIC WIRE TRANSFER A/C: MITCHELL ASSET GROUP INC DALLAS TX 75219-3216 US TRN: 3954726048ES 02/17</v>
      </c>
      <c r="D371" s="7" t="n">
        <f aca="false">Chase1168_2026!D371</f>
        <v>-413000</v>
      </c>
      <c r="E371" s="0" t="str">
        <f aca="false">Chase1168_2026!E371</f>
        <v>WIRE_OUTGOING</v>
      </c>
      <c r="F371" s="7" t="n">
        <f aca="false">Chase1168_2026!F371</f>
        <v>182365.25</v>
      </c>
      <c r="G371" s="0" t="str">
        <f aca="false">Chase1168_2026!G371</f>
        <v>Due to Dax – MAG Pass-Through 70%</v>
      </c>
      <c r="H371" s="15" t="n">
        <f aca="false">IF($B371="","",DATE(YEAR($B371),MONTH($B371),1))</f>
        <v>46054</v>
      </c>
      <c r="I371" s="0" t="str">
        <f aca="false">IF($G371="","Uncategorized — Review",IFERROR(INDEX(Mapping!$B:$B,MATCH($G371,Mapping!$A:$A,0)),"Uncategorized — Review"))</f>
        <v>Due to Dax – MAG Pass-Through 70%</v>
      </c>
      <c r="J371" s="0" t="str">
        <f aca="false">IF($G371="","Uncategorized — Review",IFERROR(INDEX(Mapping!$C:$C,MATCH($G371,Mapping!$A:$A,0)),"Uncategorized — Review"))</f>
        <v>MAG Pass-Through</v>
      </c>
    </row>
    <row r="372" customFormat="false" ht="15" hidden="false" customHeight="false" outlineLevel="0" collapsed="false">
      <c r="A372" s="0" t="str">
        <f aca="false">Chase1168_2026!A372</f>
        <v>DEBIT</v>
      </c>
      <c r="B372" s="14" t="n">
        <f aca="false">Chase1168_2026!B372</f>
        <v>46070</v>
      </c>
      <c r="C372" s="0" t="str">
        <f aca="false">Chase1168_2026!C372</f>
        <v>ORIG CO NAME:VENMO                  ORIG ID:3264681992 DESC DATE:260215 CO ENTRY DESCR:PAYMENT   SEC:WEB    TRACE#:021000027252662 EED:260217   IND ID:1048318091262                IND NAME:JUDD DUNNING                                                                                                 260215PPZRW7 TRN: 0487252662TC</v>
      </c>
      <c r="D372" s="7" t="n">
        <f aca="false">Chase1168_2026!D372</f>
        <v>-15</v>
      </c>
      <c r="E372" s="0" t="str">
        <f aca="false">Chase1168_2026!E372</f>
        <v>ACH_DEBIT</v>
      </c>
      <c r="F372" s="7" t="n">
        <f aca="false">Chase1168_2026!F372</f>
        <v>595365.25</v>
      </c>
      <c r="G372" s="0" t="str">
        <f aca="false">Chase1168_2026!G372</f>
        <v>Venmo</v>
      </c>
      <c r="H372" s="15" t="n">
        <f aca="false">IF($B372="","",DATE(YEAR($B372),MONTH($B372),1))</f>
        <v>46054</v>
      </c>
      <c r="I372" s="0" t="str">
        <f aca="false">IF($G372="","Uncategorized — Review",IFERROR(INDEX(Mapping!$B:$B,MATCH($G372,Mapping!$A:$A,0)),"Uncategorized — Review"))</f>
        <v>Venmo</v>
      </c>
      <c r="J372" s="0" t="str">
        <f aca="false">IF($G372="","Uncategorized — Review",IFERROR(INDEX(Mapping!$C:$C,MATCH($G372,Mapping!$A:$A,0)),"Uncategorized — Review"))</f>
        <v>P2P Payments (Zelle/Venmo/PayPal)</v>
      </c>
    </row>
    <row r="373" customFormat="false" ht="15" hidden="false" customHeight="false" outlineLevel="0" collapsed="false">
      <c r="A373" s="0" t="str">
        <f aca="false">Chase1168_2026!A373</f>
        <v>DEBIT</v>
      </c>
      <c r="B373" s="14" t="n">
        <f aca="false">Chase1168_2026!B373</f>
        <v>46070</v>
      </c>
      <c r="C373" s="0" t="str">
        <f aca="false">Chase1168_2026!C373</f>
        <v>ORIG CO NAME:VENMO                  ORIG ID:3264681992 DESC DATE:260214 CO ENTRY DESCR:PAYMENT   SEC:WEB    TRACE#:021000027056558 EED:260217   IND ID:1048294919487                IND NAME:JUDD DUNNING                                                                                                 260214PPZQCA TRN: 0487056558TC</v>
      </c>
      <c r="D373" s="7" t="n">
        <f aca="false">Chase1168_2026!D373</f>
        <v>-20</v>
      </c>
      <c r="E373" s="0" t="str">
        <f aca="false">Chase1168_2026!E373</f>
        <v>ACH_DEBIT</v>
      </c>
      <c r="F373" s="7" t="n">
        <f aca="false">Chase1168_2026!F373</f>
        <v>595380.25</v>
      </c>
      <c r="G373" s="0" t="str">
        <f aca="false">Chase1168_2026!G373</f>
        <v>Venmo</v>
      </c>
      <c r="H373" s="15" t="n">
        <f aca="false">IF($B373="","",DATE(YEAR($B373),MONTH($B373),1))</f>
        <v>46054</v>
      </c>
      <c r="I373" s="0" t="str">
        <f aca="false">IF($G373="","Uncategorized — Review",IFERROR(INDEX(Mapping!$B:$B,MATCH($G373,Mapping!$A:$A,0)),"Uncategorized — Review"))</f>
        <v>Venmo</v>
      </c>
      <c r="J373" s="0" t="str">
        <f aca="false">IF($G373="","Uncategorized — Review",IFERROR(INDEX(Mapping!$C:$C,MATCH($G373,Mapping!$A:$A,0)),"Uncategorized — Review"))</f>
        <v>P2P Payments (Zelle/Venmo/PayPal)</v>
      </c>
    </row>
    <row r="374" customFormat="false" ht="15" hidden="false" customHeight="false" outlineLevel="0" collapsed="false">
      <c r="A374" s="0" t="str">
        <f aca="false">Chase1168_2026!A374</f>
        <v>DEBIT</v>
      </c>
      <c r="B374" s="14" t="n">
        <f aca="false">Chase1168_2026!B374</f>
        <v>46070</v>
      </c>
      <c r="C374" s="0" t="str">
        <f aca="false">Chase1168_2026!C374</f>
        <v>ORIG CO NAME:LEASEDIRECT            ORIG ID:138190450  DESC DATE:260215 CO ENTRY DESCR:17106_1   SEC:CCD    TRACE#:043000097638596 EED:260217   IND ID:1556926                      IND NAME:DWG CAPITAL GROUP          INV# 595485753 DUE 02/15/26 REC# 10 10682152                                      17107 TRN: 0487638596TC</v>
      </c>
      <c r="D374" s="7" t="n">
        <f aca="false">Chase1168_2026!D374</f>
        <v>-104.01</v>
      </c>
      <c r="E374" s="0" t="str">
        <f aca="false">Chase1168_2026!E374</f>
        <v>ACH_DEBIT</v>
      </c>
      <c r="F374" s="7" t="n">
        <f aca="false">Chase1168_2026!F374</f>
        <v>595400.25</v>
      </c>
      <c r="G374" s="0" t="str">
        <f aca="false">Chase1168_2026!G374</f>
        <v>DWG Marketing</v>
      </c>
      <c r="H374" s="15" t="n">
        <f aca="false">IF($B374="","",DATE(YEAR($B374),MONTH($B374),1))</f>
        <v>46054</v>
      </c>
      <c r="I374" s="0" t="str">
        <f aca="false">IF($G374="","Uncategorized — Review",IFERROR(INDEX(Mapping!$B:$B,MATCH($G374,Mapping!$A:$A,0)),"Uncategorized — Review"))</f>
        <v>DWG Marketing</v>
      </c>
      <c r="J374" s="0" t="str">
        <f aca="false">IF($G374="","Uncategorized — Review",IFERROR(INDEX(Mapping!$C:$C,MATCH($G374,Mapping!$A:$A,0)),"Uncategorized — Review"))</f>
        <v>DWG Operating</v>
      </c>
    </row>
    <row r="375" customFormat="false" ht="15" hidden="false" customHeight="false" outlineLevel="0" collapsed="false">
      <c r="A375" s="0" t="str">
        <f aca="false">Chase1168_2026!A375</f>
        <v>DEBIT</v>
      </c>
      <c r="B375" s="14" t="n">
        <f aca="false">Chase1168_2026!B375</f>
        <v>46070</v>
      </c>
      <c r="C375" s="0" t="str">
        <f aca="false">Chase1168_2026!C375</f>
        <v>UPWORK * -893276395 866-262-4478 CA          02/16</v>
      </c>
      <c r="D375" s="7" t="n">
        <f aca="false">Chase1168_2026!D375</f>
        <v>-385</v>
      </c>
      <c r="E375" s="0" t="str">
        <f aca="false">Chase1168_2026!E375</f>
        <v>DEBIT_CARD</v>
      </c>
      <c r="F375" s="7" t="n">
        <f aca="false">Chase1168_2026!F375</f>
        <v>595504.26</v>
      </c>
      <c r="G375" s="0" t="str">
        <f aca="false">Chase1168_2026!G375</f>
        <v>Upwork - Sergei M.</v>
      </c>
      <c r="H375" s="15" t="n">
        <f aca="false">IF($B375="","",DATE(YEAR($B375),MONTH($B375),1))</f>
        <v>46054</v>
      </c>
      <c r="I375" s="0" t="str">
        <f aca="false">IF($G375="","Uncategorized — Review",IFERROR(INDEX(Mapping!$B:$B,MATCH($G375,Mapping!$A:$A,0)),"Uncategorized — Review"))</f>
        <v>Upwork - Sergei M.</v>
      </c>
      <c r="J375" s="0" t="str">
        <f aca="false">IF($G375="","Uncategorized — Review",IFERROR(INDEX(Mapping!$C:$C,MATCH($G375,Mapping!$A:$A,0)),"Uncategorized — Review"))</f>
        <v>Payroll &amp; Contractors</v>
      </c>
    </row>
    <row r="376" customFormat="false" ht="15" hidden="false" customHeight="false" outlineLevel="0" collapsed="false">
      <c r="A376" s="0" t="str">
        <f aca="false">Chase1168_2026!A376</f>
        <v>DEBIT</v>
      </c>
      <c r="B376" s="14" t="n">
        <f aca="false">Chase1168_2026!B376</f>
        <v>46070</v>
      </c>
      <c r="C376" s="0" t="str">
        <f aca="false">Chase1168_2026!C376</f>
        <v>Online Transfer to CHK ...1117 transaction#: 28092314687 02/17</v>
      </c>
      <c r="D376" s="7" t="n">
        <f aca="false">Chase1168_2026!D376</f>
        <v>-10000</v>
      </c>
      <c r="E376" s="0" t="str">
        <f aca="false">Chase1168_2026!E376</f>
        <v>ACCT_XFER</v>
      </c>
      <c r="F376" s="7" t="n">
        <f aca="false">Chase1168_2026!F376</f>
        <v>595889.26</v>
      </c>
      <c r="G376" s="0" t="str">
        <f aca="false">Chase1168_2026!G376</f>
        <v>Transfer to Angela Dunning</v>
      </c>
      <c r="H376" s="15" t="n">
        <f aca="false">IF($B376="","",DATE(YEAR($B376),MONTH($B376),1))</f>
        <v>46054</v>
      </c>
      <c r="I376" s="0" t="str">
        <f aca="false">IF($G376="","Uncategorized — Review",IFERROR(INDEX(Mapping!$B:$B,MATCH($G376,Mapping!$A:$A,0)),"Uncategorized — Review"))</f>
        <v>Transfer to Angela Dunning</v>
      </c>
      <c r="J376" s="0" t="str">
        <f aca="false">IF($G376="","Uncategorized — Review",IFERROR(INDEX(Mapping!$C:$C,MATCH($G376,Mapping!$A:$A,0)),"Uncategorized — Review"))</f>
        <v>Owner / Family Distributions</v>
      </c>
    </row>
    <row r="377" customFormat="false" ht="15" hidden="false" customHeight="false" outlineLevel="0" collapsed="false">
      <c r="A377" s="0" t="str">
        <f aca="false">Chase1168_2026!A377</f>
        <v>DEBIT</v>
      </c>
      <c r="B377" s="14" t="n">
        <f aca="false">Chase1168_2026!B377</f>
        <v>46070</v>
      </c>
      <c r="C377" s="0" t="str">
        <f aca="false">Chase1168_2026!C377</f>
        <v>PAYPAL *RUTHALCANCI 402-935-7733 CA          02/16</v>
      </c>
      <c r="D377" s="7" t="n">
        <f aca="false">Chase1168_2026!D377</f>
        <v>-150</v>
      </c>
      <c r="E377" s="0" t="str">
        <f aca="false">Chase1168_2026!E377</f>
        <v>DEBIT_CARD</v>
      </c>
      <c r="F377" s="7" t="n">
        <f aca="false">Chase1168_2026!F377</f>
        <v>605889.26</v>
      </c>
      <c r="G377" s="0" t="str">
        <f aca="false">Chase1168_2026!G377</f>
        <v>Ruth Alcancia - Forward Bridge Payment</v>
      </c>
      <c r="H377" s="15" t="n">
        <f aca="false">IF($B377="","",DATE(YEAR($B377),MONTH($B377),1))</f>
        <v>46054</v>
      </c>
      <c r="I377" s="0" t="str">
        <f aca="false">IF($G377="","Uncategorized — Review",IFERROR(INDEX(Mapping!$B:$B,MATCH($G377,Mapping!$A:$A,0)),"Uncategorized — Review"))</f>
        <v>Ruth Alcancia - Forward Bridge Payment</v>
      </c>
      <c r="J377" s="0" t="str">
        <f aca="false">IF($G377="","Uncategorized — Review",IFERROR(INDEX(Mapping!$C:$C,MATCH($G377,Mapping!$A:$A,0)),"Uncategorized — Review"))</f>
        <v>Payroll &amp; Contractors</v>
      </c>
    </row>
    <row r="378" customFormat="false" ht="15" hidden="false" customHeight="false" outlineLevel="0" collapsed="false">
      <c r="A378" s="0" t="str">
        <f aca="false">Chase1168_2026!A378</f>
        <v>DEBIT</v>
      </c>
      <c r="B378" s="14" t="n">
        <f aca="false">Chase1168_2026!B378</f>
        <v>46070</v>
      </c>
      <c r="C378" s="0" t="str">
        <f aca="false">Chase1168_2026!C378</f>
        <v>Zelle payment to Jeffrey Seider JPM99c5pgh22</v>
      </c>
      <c r="D378" s="7" t="n">
        <f aca="false">Chase1168_2026!D378</f>
        <v>-300</v>
      </c>
      <c r="E378" s="0" t="str">
        <f aca="false">Chase1168_2026!E378</f>
        <v>CHASE_TO_PARTNERFI</v>
      </c>
      <c r="F378" s="7" t="n">
        <f aca="false">Chase1168_2026!F378</f>
        <v>606039.26</v>
      </c>
      <c r="G378" s="0" t="str">
        <f aca="false">Chase1168_2026!G378</f>
        <v>Zelle - Jeff Seider</v>
      </c>
      <c r="H378" s="15" t="n">
        <f aca="false">IF($B378="","",DATE(YEAR($B378),MONTH($B378),1))</f>
        <v>46054</v>
      </c>
      <c r="I378" s="0" t="str">
        <f aca="false">IF($G378="","Uncategorized — Review",IFERROR(INDEX(Mapping!$B:$B,MATCH($G378,Mapping!$A:$A,0)),"Uncategorized — Review"))</f>
        <v>Zelle - Jeff Seider</v>
      </c>
      <c r="J378" s="0" t="str">
        <f aca="false">IF($G378="","Uncategorized — Review",IFERROR(INDEX(Mapping!$C:$C,MATCH($G378,Mapping!$A:$A,0)),"Uncategorized — Review"))</f>
        <v>P2P Payments (Zelle/Venmo/PayPal)</v>
      </c>
    </row>
    <row r="379" customFormat="false" ht="15" hidden="false" customHeight="false" outlineLevel="0" collapsed="false">
      <c r="A379" s="0" t="str">
        <f aca="false">Chase1168_2026!A379</f>
        <v>DEBIT</v>
      </c>
      <c r="B379" s="14" t="n">
        <f aca="false">Chase1168_2026!B379</f>
        <v>46066</v>
      </c>
      <c r="C379" s="0" t="str">
        <f aca="false">Chase1168_2026!C379</f>
        <v>DOMESTIC INCOMING WIRE FEE</v>
      </c>
      <c r="D379" s="7" t="n">
        <f aca="false">Chase1168_2026!D379</f>
        <v>-15</v>
      </c>
      <c r="E379" s="0" t="str">
        <f aca="false">Chase1168_2026!E379</f>
        <v>FEE_TRANSACTION</v>
      </c>
      <c r="F379" s="7" t="n">
        <f aca="false">Chase1168_2026!F379</f>
        <v>606339.26</v>
      </c>
      <c r="G379" s="0" t="str">
        <f aca="false">Chase1168_2026!G379</f>
        <v>Wire Fee</v>
      </c>
      <c r="H379" s="15" t="n">
        <f aca="false">IF($B379="","",DATE(YEAR($B379),MONTH($B379),1))</f>
        <v>46054</v>
      </c>
      <c r="I379" s="0" t="str">
        <f aca="false">IF($G379="","Uncategorized — Review",IFERROR(INDEX(Mapping!$B:$B,MATCH($G379,Mapping!$A:$A,0)),"Uncategorized — Review"))</f>
        <v>Wire Fee</v>
      </c>
      <c r="J379" s="0" t="str">
        <f aca="false">IF($G379="","Uncategorized — Review",IFERROR(INDEX(Mapping!$C:$C,MATCH($G379,Mapping!$A:$A,0)),"Uncategorized — Review"))</f>
        <v>DWG Operating</v>
      </c>
    </row>
    <row r="380" customFormat="false" ht="15" hidden="false" customHeight="false" outlineLevel="0" collapsed="false">
      <c r="A380" s="0" t="str">
        <f aca="false">Chase1168_2026!A380</f>
        <v>DEBIT</v>
      </c>
      <c r="B380" s="14" t="n">
        <f aca="false">Chase1168_2026!B380</f>
        <v>46066</v>
      </c>
      <c r="C380" s="0" t="str">
        <f aca="false">Chase1168_2026!C380</f>
        <v>Basic Online Payroll Payment 11206512871 to ########4122</v>
      </c>
      <c r="D380" s="7" t="n">
        <f aca="false">Chase1168_2026!D380</f>
        <v>-1750</v>
      </c>
      <c r="E380" s="0" t="str">
        <f aca="false">Chase1168_2026!E380</f>
        <v>BASIC_PAYROLL</v>
      </c>
      <c r="F380" s="7" t="n">
        <f aca="false">Chase1168_2026!F380</f>
        <v>606354.26</v>
      </c>
      <c r="G380" s="0" t="str">
        <f aca="false">Chase1168_2026!G380</f>
        <v>Mike Paytonjian - Payroll</v>
      </c>
      <c r="H380" s="15" t="n">
        <f aca="false">IF($B380="","",DATE(YEAR($B380),MONTH($B380),1))</f>
        <v>46054</v>
      </c>
      <c r="I380" s="0" t="str">
        <f aca="false">IF($G380="","Uncategorized — Review",IFERROR(INDEX(Mapping!$B:$B,MATCH($G380,Mapping!$A:$A,0)),"Uncategorized — Review"))</f>
        <v>Mike Paytonjian - Payroll</v>
      </c>
      <c r="J380" s="0" t="str">
        <f aca="false">IF($G380="","Uncategorized — Review",IFERROR(INDEX(Mapping!$C:$C,MATCH($G380,Mapping!$A:$A,0)),"Uncategorized — Review"))</f>
        <v>Payroll &amp; Contractors</v>
      </c>
    </row>
    <row r="381" customFormat="false" ht="15" hidden="false" customHeight="false" outlineLevel="0" collapsed="false">
      <c r="A381" s="0" t="str">
        <f aca="false">Chase1168_2026!A381</f>
        <v>CREDIT</v>
      </c>
      <c r="B381" s="14" t="n">
        <f aca="false">Chase1168_2026!B381</f>
        <v>46066</v>
      </c>
      <c r="C381" s="0" t="str">
        <f aca="false">Chase1168_2026!C381</f>
        <v>FEDWIRE CREDIT VIA: TEXAS CAPITAL BANK/111017979 B/O: FIDELITY NATIONAL TITLE INSURANCE DALLAS TX 75234 REF: CHASE NYC/CTR/BNF=DWG CAPITAL GROUP LOS ANGELES CA 90066-3638 US/AC-00 0000002836 RFB=WB50458 OBI=/URI/FN- 25-4846-F 10568-10590 E PIN E ST. T ULSA, OK PROPADDR-10568-1059 0 E PI NE ST. N, TULSA, O IMAD: 0213MMQFMP6M004347 TRN: 1309601044FF</v>
      </c>
      <c r="D381" s="7" t="n">
        <f aca="false">Chase1168_2026!D381</f>
        <v>600000</v>
      </c>
      <c r="E381" s="0" t="str">
        <f aca="false">Chase1168_2026!E381</f>
        <v>WIRE_INCOMING</v>
      </c>
      <c r="F381" s="7" t="n">
        <f aca="false">Chase1168_2026!F381</f>
        <v>608104.26</v>
      </c>
      <c r="G381" s="0" t="str">
        <f aca="false">Chase1168_2026!G381</f>
        <v>MAG Capital Partners Pass-Through Wire – 70/30 Split</v>
      </c>
      <c r="H381" s="15" t="n">
        <f aca="false">IF($B381="","",DATE(YEAR($B381),MONTH($B381),1))</f>
        <v>46054</v>
      </c>
      <c r="I381" s="0" t="str">
        <f aca="false">IF($G381="","Uncategorized — Review",IFERROR(INDEX(Mapping!$B:$B,MATCH($G381,Mapping!$A:$A,0)),"Uncategorized — Review"))</f>
        <v>MAG Capital Partners Pass-Through Wire – 70/30 Split</v>
      </c>
      <c r="J381" s="0" t="str">
        <f aca="false">IF($G381="","Uncategorized — Review",IFERROR(INDEX(Mapping!$C:$C,MATCH($G381,Mapping!$A:$A,0)),"Uncategorized — Review"))</f>
        <v>MAG Pass-Through</v>
      </c>
    </row>
    <row r="382" customFormat="false" ht="15" hidden="false" customHeight="false" outlineLevel="0" collapsed="false">
      <c r="A382" s="0" t="str">
        <f aca="false">Chase1168_2026!A382</f>
        <v>DEBIT</v>
      </c>
      <c r="B382" s="14" t="n">
        <f aca="false">Chase1168_2026!B382</f>
        <v>46065</v>
      </c>
      <c r="C382" s="0" t="str">
        <f aca="false">Chase1168_2026!C382</f>
        <v>ONLINE FX INTERNATIONAL WIRE FEE</v>
      </c>
      <c r="D382" s="7" t="n">
        <f aca="false">Chase1168_2026!D382</f>
        <v>-5</v>
      </c>
      <c r="E382" s="0" t="str">
        <f aca="false">Chase1168_2026!E382</f>
        <v>FEE_TRANSACTION</v>
      </c>
      <c r="F382" s="7" t="n">
        <f aca="false">Chase1168_2026!F382</f>
        <v>8104.26</v>
      </c>
      <c r="G382" s="0" t="str">
        <f aca="false">Chase1168_2026!G382</f>
        <v>Andres Alarcon Payroll</v>
      </c>
      <c r="H382" s="15" t="n">
        <f aca="false">IF($B382="","",DATE(YEAR($B382),MONTH($B382),1))</f>
        <v>46054</v>
      </c>
      <c r="I382" s="0" t="str">
        <f aca="false">IF($G382="","Uncategorized — Review",IFERROR(INDEX(Mapping!$B:$B,MATCH($G382,Mapping!$A:$A,0)),"Uncategorized — Review"))</f>
        <v>Andres Alarcon Payroll</v>
      </c>
      <c r="J382" s="0" t="str">
        <f aca="false">IF($G382="","Uncategorized — Review",IFERROR(INDEX(Mapping!$C:$C,MATCH($G382,Mapping!$A:$A,0)),"Uncategorized — Review"))</f>
        <v>Payroll &amp; Contractors</v>
      </c>
    </row>
    <row r="383" customFormat="false" ht="15" hidden="false" customHeight="false" outlineLevel="0" collapsed="false">
      <c r="A383" s="0" t="str">
        <f aca="false">Chase1168_2026!A383</f>
        <v>DEBIT</v>
      </c>
      <c r="B383" s="14" t="n">
        <f aca="false">Chase1168_2026!B383</f>
        <v>46065</v>
      </c>
      <c r="C383" s="0" t="str">
        <f aca="false">Chase1168_2026!C383</f>
        <v>ORIG CO NAME:VENMO                  ORIG ID:3264681992 DESC DATE:260212 CO ENTRY DESCR:PAYMENT   SEC:WEB    TRACE#:021000021092744 EED:260212   IND ID:1048251345815                IND NAME:JUDD DUNNING                                                                                                 260212PPZEZP TRN: 0431092744TC</v>
      </c>
      <c r="D383" s="7" t="n">
        <f aca="false">Chase1168_2026!D383</f>
        <v>-275</v>
      </c>
      <c r="E383" s="0" t="str">
        <f aca="false">Chase1168_2026!E383</f>
        <v>ACH_DEBIT</v>
      </c>
      <c r="F383" s="7" t="n">
        <f aca="false">Chase1168_2026!F383</f>
        <v>8109.26</v>
      </c>
      <c r="G383" s="0" t="str">
        <f aca="false">Chase1168_2026!G383</f>
        <v>Venmo</v>
      </c>
      <c r="H383" s="15" t="n">
        <f aca="false">IF($B383="","",DATE(YEAR($B383),MONTH($B383),1))</f>
        <v>46054</v>
      </c>
      <c r="I383" s="0" t="str">
        <f aca="false">IF($G383="","Uncategorized — Review",IFERROR(INDEX(Mapping!$B:$B,MATCH($G383,Mapping!$A:$A,0)),"Uncategorized — Review"))</f>
        <v>Venmo</v>
      </c>
      <c r="J383" s="0" t="str">
        <f aca="false">IF($G383="","Uncategorized — Review",IFERROR(INDEX(Mapping!$C:$C,MATCH($G383,Mapping!$A:$A,0)),"Uncategorized — Review"))</f>
        <v>P2P Payments (Zelle/Venmo/PayPal)</v>
      </c>
    </row>
    <row r="384" customFormat="false" ht="15" hidden="false" customHeight="false" outlineLevel="0" collapsed="false">
      <c r="A384" s="0" t="str">
        <f aca="false">Chase1168_2026!A384</f>
        <v>DEBIT</v>
      </c>
      <c r="B384" s="14" t="n">
        <f aca="false">Chase1168_2026!B384</f>
        <v>46065</v>
      </c>
      <c r="C384" s="0" t="str">
        <f aca="false">Chase1168_2026!C384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PAYMENTS/OCMT/COP26 19851,18/EXCH/3493.1349/CNTR/138835 64/INT/ANDRES_52763ATHOTMAIL.C TRN: 6800600043RE 02/12</v>
      </c>
      <c r="D384" s="7" t="n">
        <f aca="false">Chase1168_2026!D384</f>
        <v>-750</v>
      </c>
      <c r="E384" s="0" t="str">
        <f aca="false">Chase1168_2026!E384</f>
        <v>WIRE_OUTGOING</v>
      </c>
      <c r="F384" s="7" t="n">
        <f aca="false">Chase1168_2026!F384</f>
        <v>8384.26</v>
      </c>
      <c r="G384" s="0" t="str">
        <f aca="false">Chase1168_2026!G384</f>
        <v>Andres Alarcon Payroll</v>
      </c>
      <c r="H384" s="15" t="n">
        <f aca="false">IF($B384="","",DATE(YEAR($B384),MONTH($B384),1))</f>
        <v>46054</v>
      </c>
      <c r="I384" s="0" t="str">
        <f aca="false">IF($G384="","Uncategorized — Review",IFERROR(INDEX(Mapping!$B:$B,MATCH($G384,Mapping!$A:$A,0)),"Uncategorized — Review"))</f>
        <v>Andres Alarcon Payroll</v>
      </c>
      <c r="J384" s="0" t="str">
        <f aca="false">IF($G384="","Uncategorized — Review",IFERROR(INDEX(Mapping!$C:$C,MATCH($G384,Mapping!$A:$A,0)),"Uncategorized — Review"))</f>
        <v>Payroll &amp; Contractors</v>
      </c>
    </row>
    <row r="385" customFormat="false" ht="15" hidden="false" customHeight="false" outlineLevel="0" collapsed="false">
      <c r="A385" s="0" t="str">
        <f aca="false">Chase1168_2026!A385</f>
        <v>DEBIT</v>
      </c>
      <c r="B385" s="14" t="n">
        <f aca="false">Chase1168_2026!B385</f>
        <v>46064</v>
      </c>
      <c r="C385" s="0" t="str">
        <f aca="false">Chase1168_2026!C385</f>
        <v>ORIG CO NAME:VENMO                  ORIG ID:3264681992 DESC DATE:260211 CO ENTRY DESCR:PAYMENT   SEC:WEB    TRACE#:021000028072837 EED:260211   IND ID:1048216129110                IND NAME:JUDD DUNNING                                                                                                 260211PPZV00 TRN: 0428072837TC</v>
      </c>
      <c r="D385" s="7" t="n">
        <f aca="false">Chase1168_2026!D385</f>
        <v>-85</v>
      </c>
      <c r="E385" s="0" t="str">
        <f aca="false">Chase1168_2026!E385</f>
        <v>ACH_DEBIT</v>
      </c>
      <c r="F385" s="7" t="n">
        <f aca="false">Chase1168_2026!F385</f>
        <v>9134.26</v>
      </c>
      <c r="G385" s="0" t="str">
        <f aca="false">Chase1168_2026!G385</f>
        <v>Venmo</v>
      </c>
      <c r="H385" s="15" t="n">
        <f aca="false">IF($B385="","",DATE(YEAR($B385),MONTH($B385),1))</f>
        <v>46054</v>
      </c>
      <c r="I385" s="0" t="str">
        <f aca="false">IF($G385="","Uncategorized — Review",IFERROR(INDEX(Mapping!$B:$B,MATCH($G385,Mapping!$A:$A,0)),"Uncategorized — Review"))</f>
        <v>Venmo</v>
      </c>
      <c r="J385" s="0" t="str">
        <f aca="false">IF($G385="","Uncategorized — Review",IFERROR(INDEX(Mapping!$C:$C,MATCH($G385,Mapping!$A:$A,0)),"Uncategorized — Review"))</f>
        <v>P2P Payments (Zelle/Venmo/PayPal)</v>
      </c>
    </row>
    <row r="386" customFormat="false" ht="15" hidden="false" customHeight="false" outlineLevel="0" collapsed="false">
      <c r="A386" s="0" t="str">
        <f aca="false">Chase1168_2026!A386</f>
        <v>DEBIT</v>
      </c>
      <c r="B386" s="14" t="n">
        <f aca="false">Chase1168_2026!B386</f>
        <v>46064</v>
      </c>
      <c r="C386" s="0" t="str">
        <f aca="false">Chase1168_2026!C386</f>
        <v>ORIG CO NAME:ALLSTATE V&amp;P INS       ORIG ID:1360719665 DESC DATE:FEB 26 CO ENTRY DESCR:INS PREM  SEC:PPD    TRACE#:021000022479465 EED:260211   IND ID:                             IND NAME:DUNNING TRN: 0422479465TC</v>
      </c>
      <c r="D386" s="7" t="n">
        <f aca="false">Chase1168_2026!D386</f>
        <v>-897.12</v>
      </c>
      <c r="E386" s="0" t="str">
        <f aca="false">Chase1168_2026!E386</f>
        <v>ACH_DEBIT</v>
      </c>
      <c r="F386" s="7" t="n">
        <f aca="false">Chase1168_2026!F386</f>
        <v>9219.26</v>
      </c>
      <c r="G386" s="0" t="str">
        <f aca="false">Chase1168_2026!G386</f>
        <v>Personal - Car</v>
      </c>
      <c r="H386" s="15" t="n">
        <f aca="false">IF($B386="","",DATE(YEAR($B386),MONTH($B386),1))</f>
        <v>46054</v>
      </c>
      <c r="I386" s="0" t="str">
        <f aca="false">IF($G386="","Uncategorized — Review",IFERROR(INDEX(Mapping!$B:$B,MATCH($G386,Mapping!$A:$A,0)),"Uncategorized — Review"))</f>
        <v>Personal - Car &amp; Auto</v>
      </c>
      <c r="J386" s="0" t="str">
        <f aca="false">IF($G386="","Uncategorized — Review",IFERROR(INDEX(Mapping!$C:$C,MATCH($G386,Mapping!$A:$A,0)),"Uncategorized — Review"))</f>
        <v>Personal — Owner</v>
      </c>
    </row>
    <row r="387" customFormat="false" ht="15" hidden="false" customHeight="false" outlineLevel="0" collapsed="false">
      <c r="A387" s="0" t="str">
        <f aca="false">Chase1168_2026!A387</f>
        <v>DEBIT</v>
      </c>
      <c r="B387" s="14" t="n">
        <f aca="false">Chase1168_2026!B387</f>
        <v>46064</v>
      </c>
      <c r="C387" s="0" t="str">
        <f aca="false">Chase1168_2026!C387</f>
        <v>ORIG CO NAME:GM Financial           ORIG ID:I522190781 DESC DATE:260211 CO ENTRY DESCR:GMF Pymt  SEC:WEB    TRACE#:091000018969211 EED:260211   IND ID:00112079186353               IND NAME:ANGELA DUNNING TRN: 0428969211TC</v>
      </c>
      <c r="D387" s="7" t="n">
        <f aca="false">Chase1168_2026!D387</f>
        <v>-1249.96</v>
      </c>
      <c r="E387" s="0" t="str">
        <f aca="false">Chase1168_2026!E387</f>
        <v>ACH_DEBIT</v>
      </c>
      <c r="F387" s="7" t="n">
        <f aca="false">Chase1168_2026!F387</f>
        <v>10116.38</v>
      </c>
      <c r="G387" s="0" t="str">
        <f aca="false">Chase1168_2026!G387</f>
        <v>Personal - Car</v>
      </c>
      <c r="H387" s="15" t="n">
        <f aca="false">IF($B387="","",DATE(YEAR($B387),MONTH($B387),1))</f>
        <v>46054</v>
      </c>
      <c r="I387" s="0" t="str">
        <f aca="false">IF($G387="","Uncategorized — Review",IFERROR(INDEX(Mapping!$B:$B,MATCH($G387,Mapping!$A:$A,0)),"Uncategorized — Review"))</f>
        <v>Personal - Car &amp; Auto</v>
      </c>
      <c r="J387" s="0" t="str">
        <f aca="false">IF($G387="","Uncategorized — Review",IFERROR(INDEX(Mapping!$C:$C,MATCH($G387,Mapping!$A:$A,0)),"Uncategorized — Review"))</f>
        <v>Personal — Owner</v>
      </c>
    </row>
    <row r="388" customFormat="false" ht="15" hidden="false" customHeight="false" outlineLevel="0" collapsed="false">
      <c r="A388" s="0" t="str">
        <f aca="false">Chase1168_2026!A388</f>
        <v>DEBIT</v>
      </c>
      <c r="B388" s="14" t="n">
        <f aca="false">Chase1168_2026!B388</f>
        <v>46064</v>
      </c>
      <c r="C388" s="0" t="str">
        <f aca="false">Chase1168_2026!C388</f>
        <v>HLU*HULUPLUS hulu.com/bill CA                02/11</v>
      </c>
      <c r="D388" s="7" t="n">
        <f aca="false">Chase1168_2026!D388</f>
        <v>-57.97</v>
      </c>
      <c r="E388" s="0" t="str">
        <f aca="false">Chase1168_2026!E388</f>
        <v>DEBIT_CARD</v>
      </c>
      <c r="F388" s="7" t="n">
        <f aca="false">Chase1168_2026!F388</f>
        <v>11366.34</v>
      </c>
      <c r="G388" s="0" t="str">
        <f aca="false">Chase1168_2026!G388</f>
        <v>Personal - Subscriptions</v>
      </c>
      <c r="H388" s="15" t="n">
        <f aca="false">IF($B388="","",DATE(YEAR($B388),MONTH($B388),1))</f>
        <v>46054</v>
      </c>
      <c r="I388" s="0" t="str">
        <f aca="false">IF($G388="","Uncategorized — Review",IFERROR(INDEX(Mapping!$B:$B,MATCH($G388,Mapping!$A:$A,0)),"Uncategorized — Review"))</f>
        <v>Personal - Subscriptions</v>
      </c>
      <c r="J388" s="0" t="str">
        <f aca="false">IF($G388="","Uncategorized — Review",IFERROR(INDEX(Mapping!$C:$C,MATCH($G388,Mapping!$A:$A,0)),"Uncategorized — Review"))</f>
        <v>Personal — Owner</v>
      </c>
    </row>
    <row r="389" customFormat="false" ht="15" hidden="false" customHeight="false" outlineLevel="0" collapsed="false">
      <c r="A389" s="0" t="str">
        <f aca="false">Chase1168_2026!A389</f>
        <v>DEBIT</v>
      </c>
      <c r="B389" s="14" t="n">
        <f aca="false">Chase1168_2026!B389</f>
        <v>46063</v>
      </c>
      <c r="C389" s="0" t="str">
        <f aca="false">Chase1168_2026!C389</f>
        <v>Zelle payment to Chase Hall 28023831222</v>
      </c>
      <c r="D389" s="7" t="n">
        <f aca="false">Chase1168_2026!D389</f>
        <v>-3500</v>
      </c>
      <c r="E389" s="0" t="str">
        <f aca="false">Chase1168_2026!E389</f>
        <v>QUICKPAY_DEBIT</v>
      </c>
      <c r="F389" s="7" t="n">
        <f aca="false">Chase1168_2026!F389</f>
        <v>11424.31</v>
      </c>
      <c r="G389" s="0" t="str">
        <f aca="false">Chase1168_2026!G389</f>
        <v>Chase Hall - Payroll</v>
      </c>
      <c r="H389" s="15" t="n">
        <f aca="false">IF($B389="","",DATE(YEAR($B389),MONTH($B389),1))</f>
        <v>46054</v>
      </c>
      <c r="I389" s="0" t="str">
        <f aca="false">IF($G389="","Uncategorized — Review",IFERROR(INDEX(Mapping!$B:$B,MATCH($G389,Mapping!$A:$A,0)),"Uncategorized — Review"))</f>
        <v>Chase Hall - Payroll</v>
      </c>
      <c r="J389" s="0" t="str">
        <f aca="false">IF($G389="","Uncategorized — Review",IFERROR(INDEX(Mapping!$C:$C,MATCH($G389,Mapping!$A:$A,0)),"Uncategorized — Review"))</f>
        <v>Payroll &amp; Contractors</v>
      </c>
    </row>
    <row r="390" customFormat="false" ht="15" hidden="false" customHeight="false" outlineLevel="0" collapsed="false">
      <c r="A390" s="0" t="str">
        <f aca="false">Chase1168_2026!A390</f>
        <v>DEBIT</v>
      </c>
      <c r="B390" s="14" t="n">
        <f aca="false">Chase1168_2026!B390</f>
        <v>46063</v>
      </c>
      <c r="C390" s="0" t="str">
        <f aca="false">Chase1168_2026!C390</f>
        <v>ORIG CO NAME:VENMO                  ORIG ID:3264681992 DESC DATE:260210 CO ENTRY DESCR:PAYMENT   SEC:WEB    TRACE#:021000023776797 EED:260210   IND ID:1048193213255                IND NAME:JUDD DUNNING                                                                                                 260210PPZKWW TRN: 0413776797TC</v>
      </c>
      <c r="D390" s="7" t="n">
        <f aca="false">Chase1168_2026!D390</f>
        <v>-30</v>
      </c>
      <c r="E390" s="0" t="str">
        <f aca="false">Chase1168_2026!E390</f>
        <v>ACH_DEBIT</v>
      </c>
      <c r="F390" s="7" t="n">
        <f aca="false">Chase1168_2026!F390</f>
        <v>14924.31</v>
      </c>
      <c r="G390" s="0" t="str">
        <f aca="false">Chase1168_2026!G390</f>
        <v>Venmo</v>
      </c>
      <c r="H390" s="15" t="n">
        <f aca="false">IF($B390="","",DATE(YEAR($B390),MONTH($B390),1))</f>
        <v>46054</v>
      </c>
      <c r="I390" s="0" t="str">
        <f aca="false">IF($G390="","Uncategorized — Review",IFERROR(INDEX(Mapping!$B:$B,MATCH($G390,Mapping!$A:$A,0)),"Uncategorized — Review"))</f>
        <v>Venmo</v>
      </c>
      <c r="J390" s="0" t="str">
        <f aca="false">IF($G390="","Uncategorized — Review",IFERROR(INDEX(Mapping!$C:$C,MATCH($G390,Mapping!$A:$A,0)),"Uncategorized — Review"))</f>
        <v>P2P Payments (Zelle/Venmo/PayPal)</v>
      </c>
    </row>
    <row r="391" customFormat="false" ht="15" hidden="false" customHeight="false" outlineLevel="0" collapsed="false">
      <c r="A391" s="0" t="str">
        <f aca="false">Chase1168_2026!A391</f>
        <v>DEBIT</v>
      </c>
      <c r="B391" s="14" t="n">
        <f aca="false">Chase1168_2026!B391</f>
        <v>46063</v>
      </c>
      <c r="C391" s="0" t="str">
        <f aca="false">Chase1168_2026!C391</f>
        <v>UPWORK * -891141635 866-262-4478 CA          02/09</v>
      </c>
      <c r="D391" s="7" t="n">
        <f aca="false">Chase1168_2026!D391</f>
        <v>-70</v>
      </c>
      <c r="E391" s="0" t="str">
        <f aca="false">Chase1168_2026!E391</f>
        <v>DEBIT_CARD</v>
      </c>
      <c r="F391" s="7" t="n">
        <f aca="false">Chase1168_2026!F391</f>
        <v>14954.31</v>
      </c>
      <c r="G391" s="0" t="str">
        <f aca="false">Chase1168_2026!G391</f>
        <v>Upwork - Sergei M.</v>
      </c>
      <c r="H391" s="15" t="n">
        <f aca="false">IF($B391="","",DATE(YEAR($B391),MONTH($B391),1))</f>
        <v>46054</v>
      </c>
      <c r="I391" s="0" t="str">
        <f aca="false">IF($G391="","Uncategorized — Review",IFERROR(INDEX(Mapping!$B:$B,MATCH($G391,Mapping!$A:$A,0)),"Uncategorized — Review"))</f>
        <v>Upwork - Sergei M.</v>
      </c>
      <c r="J391" s="0" t="str">
        <f aca="false">IF($G391="","Uncategorized — Review",IFERROR(INDEX(Mapping!$C:$C,MATCH($G391,Mapping!$A:$A,0)),"Uncategorized — Review"))</f>
        <v>Payroll &amp; Contractors</v>
      </c>
    </row>
    <row r="392" customFormat="false" ht="15" hidden="false" customHeight="false" outlineLevel="0" collapsed="false">
      <c r="A392" s="0" t="str">
        <f aca="false">Chase1168_2026!A392</f>
        <v>DEBIT</v>
      </c>
      <c r="B392" s="14" t="n">
        <f aca="false">Chase1168_2026!B392</f>
        <v>46062</v>
      </c>
      <c r="C392" s="0" t="str">
        <f aca="false">Chase1168_2026!C392</f>
        <v>Basic Online Payroll Payment 11205579194 to ########4122</v>
      </c>
      <c r="D392" s="7" t="n">
        <f aca="false">Chase1168_2026!D392</f>
        <v>-1750</v>
      </c>
      <c r="E392" s="0" t="str">
        <f aca="false">Chase1168_2026!E392</f>
        <v>BASIC_PAYROLL</v>
      </c>
      <c r="F392" s="7" t="n">
        <f aca="false">Chase1168_2026!F392</f>
        <v>15024.31</v>
      </c>
      <c r="G392" s="0" t="str">
        <f aca="false">Chase1168_2026!G392</f>
        <v>Mike Paytonjian - Payroll</v>
      </c>
      <c r="H392" s="15" t="n">
        <f aca="false">IF($B392="","",DATE(YEAR($B392),MONTH($B392),1))</f>
        <v>46054</v>
      </c>
      <c r="I392" s="0" t="str">
        <f aca="false">IF($G392="","Uncategorized — Review",IFERROR(INDEX(Mapping!$B:$B,MATCH($G392,Mapping!$A:$A,0)),"Uncategorized — Review"))</f>
        <v>Mike Paytonjian - Payroll</v>
      </c>
      <c r="J392" s="0" t="str">
        <f aca="false">IF($G392="","Uncategorized — Review",IFERROR(INDEX(Mapping!$C:$C,MATCH($G392,Mapping!$A:$A,0)),"Uncategorized — Review"))</f>
        <v>Payroll &amp; Contractors</v>
      </c>
    </row>
    <row r="393" customFormat="false" ht="15" hidden="false" customHeight="false" outlineLevel="0" collapsed="false">
      <c r="A393" s="0" t="str">
        <f aca="false">Chase1168_2026!A393</f>
        <v>DEBIT</v>
      </c>
      <c r="B393" s="14" t="n">
        <f aca="false">Chase1168_2026!B393</f>
        <v>46062</v>
      </c>
      <c r="C393" s="0" t="str">
        <f aca="false">Chase1168_2026!C393</f>
        <v>ORIG CO NAME:VENMO                  ORIG ID:3264681992 DESC DATE:260207 CO ENTRY DESCR:PAYMENT   SEC:WEB    TRACE#:021000021911085 EED:260209   IND ID:1048133922663                IND NAME:JUDD DUNNING                                                                                                 260207PPZ9AJ TRN: 0401911085TC</v>
      </c>
      <c r="D393" s="7" t="n">
        <f aca="false">Chase1168_2026!D393</f>
        <v>-50</v>
      </c>
      <c r="E393" s="0" t="str">
        <f aca="false">Chase1168_2026!E393</f>
        <v>ACH_DEBIT</v>
      </c>
      <c r="F393" s="7" t="n">
        <f aca="false">Chase1168_2026!F393</f>
        <v>16774.31</v>
      </c>
      <c r="G393" s="0" t="str">
        <f aca="false">Chase1168_2026!G393</f>
        <v>Venmo</v>
      </c>
      <c r="H393" s="15" t="n">
        <f aca="false">IF($B393="","",DATE(YEAR($B393),MONTH($B393),1))</f>
        <v>46054</v>
      </c>
      <c r="I393" s="0" t="str">
        <f aca="false">IF($G393="","Uncategorized — Review",IFERROR(INDEX(Mapping!$B:$B,MATCH($G393,Mapping!$A:$A,0)),"Uncategorized — Review"))</f>
        <v>Venmo</v>
      </c>
      <c r="J393" s="0" t="str">
        <f aca="false">IF($G393="","Uncategorized — Review",IFERROR(INDEX(Mapping!$C:$C,MATCH($G393,Mapping!$A:$A,0)),"Uncategorized — Review"))</f>
        <v>P2P Payments (Zelle/Venmo/PayPal)</v>
      </c>
    </row>
    <row r="394" customFormat="false" ht="15" hidden="false" customHeight="false" outlineLevel="0" collapsed="false">
      <c r="A394" s="0" t="str">
        <f aca="false">Chase1168_2026!A394</f>
        <v>DEBIT</v>
      </c>
      <c r="B394" s="14" t="n">
        <f aca="false">Chase1168_2026!B394</f>
        <v>46062</v>
      </c>
      <c r="C394" s="0" t="str">
        <f aca="false">Chase1168_2026!C394</f>
        <v>Online Transfer to CHK ...1117 transaction#: 28005408120 02/09</v>
      </c>
      <c r="D394" s="7" t="n">
        <f aca="false">Chase1168_2026!D394</f>
        <v>-3000</v>
      </c>
      <c r="E394" s="0" t="str">
        <f aca="false">Chase1168_2026!E394</f>
        <v>ACCT_XFER</v>
      </c>
      <c r="F394" s="7" t="n">
        <f aca="false">Chase1168_2026!F394</f>
        <v>16824.31</v>
      </c>
      <c r="G394" s="0" t="str">
        <f aca="false">Chase1168_2026!G394</f>
        <v>Transfer to Angela Dunning</v>
      </c>
      <c r="H394" s="15" t="n">
        <f aca="false">IF($B394="","",DATE(YEAR($B394),MONTH($B394),1))</f>
        <v>46054</v>
      </c>
      <c r="I394" s="0" t="str">
        <f aca="false">IF($G394="","Uncategorized — Review",IFERROR(INDEX(Mapping!$B:$B,MATCH($G394,Mapping!$A:$A,0)),"Uncategorized — Review"))</f>
        <v>Transfer to Angela Dunning</v>
      </c>
      <c r="J394" s="0" t="str">
        <f aca="false">IF($G394="","Uncategorized — Review",IFERROR(INDEX(Mapping!$C:$C,MATCH($G394,Mapping!$A:$A,0)),"Uncategorized — Review"))</f>
        <v>Owner / Family Distributions</v>
      </c>
    </row>
    <row r="395" customFormat="false" ht="15" hidden="false" customHeight="false" outlineLevel="0" collapsed="false">
      <c r="A395" s="0" t="str">
        <f aca="false">Chase1168_2026!A395</f>
        <v>DEBIT</v>
      </c>
      <c r="B395" s="14" t="n">
        <f aca="false">Chase1168_2026!B395</f>
        <v>46062</v>
      </c>
      <c r="C395" s="0" t="str">
        <f aca="false">Chase1168_2026!C395</f>
        <v>PAYPAL *RUTHALCANCI 402-935-7733 CA          02/07</v>
      </c>
      <c r="D395" s="7" t="n">
        <f aca="false">Chase1168_2026!D395</f>
        <v>-200</v>
      </c>
      <c r="E395" s="0" t="str">
        <f aca="false">Chase1168_2026!E395</f>
        <v>DEBIT_CARD</v>
      </c>
      <c r="F395" s="7" t="n">
        <f aca="false">Chase1168_2026!F395</f>
        <v>19824.31</v>
      </c>
      <c r="G395" s="0" t="str">
        <f aca="false">Chase1168_2026!G395</f>
        <v>Ruth Alcancia - Forward Bridge Payment</v>
      </c>
      <c r="H395" s="15" t="n">
        <f aca="false">IF($B395="","",DATE(YEAR($B395),MONTH($B395),1))</f>
        <v>46054</v>
      </c>
      <c r="I395" s="0" t="str">
        <f aca="false">IF($G395="","Uncategorized — Review",IFERROR(INDEX(Mapping!$B:$B,MATCH($G395,Mapping!$A:$A,0)),"Uncategorized — Review"))</f>
        <v>Ruth Alcancia - Forward Bridge Payment</v>
      </c>
      <c r="J395" s="0" t="str">
        <f aca="false">IF($G395="","Uncategorized — Review",IFERROR(INDEX(Mapping!$C:$C,MATCH($G395,Mapping!$A:$A,0)),"Uncategorized — Review"))</f>
        <v>Payroll &amp; Contractors</v>
      </c>
    </row>
    <row r="396" customFormat="false" ht="15" hidden="false" customHeight="false" outlineLevel="0" collapsed="false">
      <c r="A396" s="0" t="str">
        <f aca="false">Chase1168_2026!A396</f>
        <v>DEBIT</v>
      </c>
      <c r="B396" s="14" t="n">
        <f aca="false">Chase1168_2026!B396</f>
        <v>46059</v>
      </c>
      <c r="C396" s="0" t="str">
        <f aca="false">Chase1168_2026!C396</f>
        <v>Zelle payment to Jeffrey Seider JPM99c4qagly</v>
      </c>
      <c r="D396" s="7" t="n">
        <f aca="false">Chase1168_2026!D396</f>
        <v>-200</v>
      </c>
      <c r="E396" s="0" t="str">
        <f aca="false">Chase1168_2026!E396</f>
        <v>CHASE_TO_PARTNERFI</v>
      </c>
      <c r="F396" s="7" t="n">
        <f aca="false">Chase1168_2026!F396</f>
        <v>20024.31</v>
      </c>
      <c r="G396" s="0" t="str">
        <f aca="false">Chase1168_2026!G396</f>
        <v>Zelle - Jeff Seider</v>
      </c>
      <c r="H396" s="15" t="n">
        <f aca="false">IF($B396="","",DATE(YEAR($B396),MONTH($B396),1))</f>
        <v>46054</v>
      </c>
      <c r="I396" s="0" t="str">
        <f aca="false">IF($G396="","Uncategorized — Review",IFERROR(INDEX(Mapping!$B:$B,MATCH($G396,Mapping!$A:$A,0)),"Uncategorized — Review"))</f>
        <v>Zelle - Jeff Seider</v>
      </c>
      <c r="J396" s="0" t="str">
        <f aca="false">IF($G396="","Uncategorized — Review",IFERROR(INDEX(Mapping!$C:$C,MATCH($G396,Mapping!$A:$A,0)),"Uncategorized — Review"))</f>
        <v>P2P Payments (Zelle/Venmo/PayPal)</v>
      </c>
    </row>
    <row r="397" customFormat="false" ht="15" hidden="false" customHeight="false" outlineLevel="0" collapsed="false">
      <c r="A397" s="0" t="str">
        <f aca="false">Chase1168_2026!A397</f>
        <v>DEBIT</v>
      </c>
      <c r="B397" s="14" t="n">
        <f aca="false">Chase1168_2026!B397</f>
        <v>46059</v>
      </c>
      <c r="C397" s="0" t="str">
        <f aca="false">Chase1168_2026!C397</f>
        <v>Zelle payment to Jeffrey Seider JPM99c4qaj93</v>
      </c>
      <c r="D397" s="7" t="n">
        <f aca="false">Chase1168_2026!D397</f>
        <v>-200</v>
      </c>
      <c r="E397" s="0" t="str">
        <f aca="false">Chase1168_2026!E397</f>
        <v>CHASE_TO_PARTNERFI</v>
      </c>
      <c r="F397" s="7" t="n">
        <f aca="false">Chase1168_2026!F397</f>
        <v>20224.31</v>
      </c>
      <c r="G397" s="0" t="str">
        <f aca="false">Chase1168_2026!G397</f>
        <v>Zelle - Jeff Seider</v>
      </c>
      <c r="H397" s="15" t="n">
        <f aca="false">IF($B397="","",DATE(YEAR($B397),MONTH($B397),1))</f>
        <v>46054</v>
      </c>
      <c r="I397" s="0" t="str">
        <f aca="false">IF($G397="","Uncategorized — Review",IFERROR(INDEX(Mapping!$B:$B,MATCH($G397,Mapping!$A:$A,0)),"Uncategorized — Review"))</f>
        <v>Zelle - Jeff Seider</v>
      </c>
      <c r="J397" s="0" t="str">
        <f aca="false">IF($G397="","Uncategorized — Review",IFERROR(INDEX(Mapping!$C:$C,MATCH($G397,Mapping!$A:$A,0)),"Uncategorized — Review"))</f>
        <v>P2P Payments (Zelle/Venmo/PayPal)</v>
      </c>
    </row>
    <row r="398" customFormat="false" ht="15" hidden="false" customHeight="false" outlineLevel="0" collapsed="false">
      <c r="A398" s="0" t="str">
        <f aca="false">Chase1168_2026!A398</f>
        <v>CREDIT</v>
      </c>
      <c r="B398" s="14" t="n">
        <f aca="false">Chase1168_2026!B398</f>
        <v>46059</v>
      </c>
      <c r="C398" s="0" t="str">
        <f aca="false">Chase1168_2026!C398</f>
        <v>Online Transfer from CHK ...9335 transaction#: 27978462862</v>
      </c>
      <c r="D398" s="7" t="n">
        <f aca="false">Chase1168_2026!D398</f>
        <v>20000</v>
      </c>
      <c r="E398" s="0" t="str">
        <f aca="false">Chase1168_2026!E398</f>
        <v>ACCT_XFER</v>
      </c>
      <c r="F398" s="7" t="n">
        <f aca="false">Chase1168_2026!F398</f>
        <v>20424.31</v>
      </c>
      <c r="G398" s="0" t="str">
        <f aca="false">Chase1168_2026!G398</f>
        <v>Deal Specific: 260 S Hibbert</v>
      </c>
      <c r="H398" s="15" t="n">
        <f aca="false">IF($B398="","",DATE(YEAR($B398),MONTH($B398),1))</f>
        <v>46054</v>
      </c>
      <c r="I398" s="0" t="str">
        <f aca="false">IF($G398="","Uncategorized — Review",IFERROR(INDEX(Mapping!$B:$B,MATCH($G398,Mapping!$A:$A,0)),"Uncategorized — Review"))</f>
        <v>Deal Specific: 260 S Hibbert</v>
      </c>
      <c r="J398" s="0" t="str">
        <f aca="false">IF($G398="","Uncategorized — Review",IFERROR(INDEX(Mapping!$C:$C,MATCH($G398,Mapping!$A:$A,0)),"Uncategorized — Review"))</f>
        <v>Deal-Specific</v>
      </c>
    </row>
    <row r="399" customFormat="false" ht="15" hidden="false" customHeight="false" outlineLevel="0" collapsed="false">
      <c r="A399" s="0" t="str">
        <f aca="false">Chase1168_2026!A399</f>
        <v>DEBIT</v>
      </c>
      <c r="B399" s="14" t="n">
        <f aca="false">Chase1168_2026!B399</f>
        <v>46058</v>
      </c>
      <c r="C399" s="0" t="str">
        <f aca="false">Chase1168_2026!C399</f>
        <v>ORIG CO NAME:VENMO                  ORIG ID:3264681992 DESC DATE:260205 CO ENTRY DESCR:PAYMENT   SEC:WEB    TRACE#:021000027626157 EED:260205   IND ID:1048080704408                IND NAME:JUDD DUNNING                                                                                                 260205PPZOHD TRN: 0367626157TC</v>
      </c>
      <c r="D399" s="7" t="n">
        <f aca="false">Chase1168_2026!D399</f>
        <v>-800</v>
      </c>
      <c r="E399" s="0" t="str">
        <f aca="false">Chase1168_2026!E399</f>
        <v>ACH_DEBIT</v>
      </c>
      <c r="F399" s="7" t="n">
        <f aca="false">Chase1168_2026!F399</f>
        <v>424.31</v>
      </c>
      <c r="G399" s="0" t="str">
        <f aca="false">Chase1168_2026!G399</f>
        <v>Venmo</v>
      </c>
      <c r="H399" s="15" t="n">
        <f aca="false">IF($B399="","",DATE(YEAR($B399),MONTH($B399),1))</f>
        <v>46054</v>
      </c>
      <c r="I399" s="0" t="str">
        <f aca="false">IF($G399="","Uncategorized — Review",IFERROR(INDEX(Mapping!$B:$B,MATCH($G399,Mapping!$A:$A,0)),"Uncategorized — Review"))</f>
        <v>Venmo</v>
      </c>
      <c r="J399" s="0" t="str">
        <f aca="false">IF($G399="","Uncategorized — Review",IFERROR(INDEX(Mapping!$C:$C,MATCH($G399,Mapping!$A:$A,0)),"Uncategorized — Review"))</f>
        <v>P2P Payments (Zelle/Venmo/PayPal)</v>
      </c>
    </row>
    <row r="400" customFormat="false" ht="15" hidden="false" customHeight="false" outlineLevel="0" collapsed="false">
      <c r="A400" s="0" t="str">
        <f aca="false">Chase1168_2026!A400</f>
        <v>DEBIT</v>
      </c>
      <c r="B400" s="14" t="n">
        <f aca="false">Chase1168_2026!B400</f>
        <v>46057</v>
      </c>
      <c r="C400" s="0" t="str">
        <f aca="false">Chase1168_2026!C400</f>
        <v>ORIG CO NAME:VENMO                  ORIG ID:3264681992 DESC DATE:260204 CO ENTRY DESCR:PAYMENT   SEC:WEB    TRACE#:021000023030375 EED:260204   IND ID:1048061201127                IND NAME:JUDD DUNNING                                                                                                 260204PPZED8 TRN: 0353030375TC</v>
      </c>
      <c r="D400" s="7" t="n">
        <f aca="false">Chase1168_2026!D400</f>
        <v>-1</v>
      </c>
      <c r="E400" s="0" t="str">
        <f aca="false">Chase1168_2026!E400</f>
        <v>ACH_DEBIT</v>
      </c>
      <c r="F400" s="7" t="n">
        <f aca="false">Chase1168_2026!F400</f>
        <v>1224.31</v>
      </c>
      <c r="G400" s="0" t="str">
        <f aca="false">Chase1168_2026!G400</f>
        <v>Venmo</v>
      </c>
      <c r="H400" s="15" t="n">
        <f aca="false">IF($B400="","",DATE(YEAR($B400),MONTH($B400),1))</f>
        <v>46054</v>
      </c>
      <c r="I400" s="0" t="str">
        <f aca="false">IF($G400="","Uncategorized — Review",IFERROR(INDEX(Mapping!$B:$B,MATCH($G400,Mapping!$A:$A,0)),"Uncategorized — Review"))</f>
        <v>Venmo</v>
      </c>
      <c r="J400" s="0" t="str">
        <f aca="false">IF($G400="","Uncategorized — Review",IFERROR(INDEX(Mapping!$C:$C,MATCH($G400,Mapping!$A:$A,0)),"Uncategorized — Review"))</f>
        <v>P2P Payments (Zelle/Venmo/PayPal)</v>
      </c>
    </row>
    <row r="401" customFormat="false" ht="15" hidden="false" customHeight="false" outlineLevel="0" collapsed="false">
      <c r="A401" s="0" t="str">
        <f aca="false">Chase1168_2026!A401</f>
        <v>DEBIT</v>
      </c>
      <c r="B401" s="14" t="n">
        <f aca="false">Chase1168_2026!B401</f>
        <v>46057</v>
      </c>
      <c r="C401" s="0" t="str">
        <f aca="false">Chase1168_2026!C401</f>
        <v>PAYPAL *PRAGERUNIVE P 833-772-4378 CA        02/03</v>
      </c>
      <c r="D401" s="7" t="n">
        <f aca="false">Chase1168_2026!D401</f>
        <v>-10.78</v>
      </c>
      <c r="E401" s="0" t="str">
        <f aca="false">Chase1168_2026!E401</f>
        <v>DEBIT_CARD</v>
      </c>
      <c r="F401" s="7" t="n">
        <f aca="false">Chase1168_2026!F401</f>
        <v>1225.31</v>
      </c>
      <c r="G401" s="0" t="str">
        <f aca="false">Chase1168_2026!G401</f>
        <v>DWGCP Business Development</v>
      </c>
      <c r="H401" s="15" t="n">
        <f aca="false">IF($B401="","",DATE(YEAR($B401),MONTH($B401),1))</f>
        <v>46054</v>
      </c>
      <c r="I401" s="0" t="str">
        <f aca="false">IF($G401="","Uncategorized — Review",IFERROR(INDEX(Mapping!$B:$B,MATCH($G401,Mapping!$A:$A,0)),"Uncategorized — Review"))</f>
        <v>DWGCP Business Development</v>
      </c>
      <c r="J401" s="0" t="str">
        <f aca="false">IF($G401="","Uncategorized — Review",IFERROR(INDEX(Mapping!$C:$C,MATCH($G401,Mapping!$A:$A,0)),"Uncategorized — Review"))</f>
        <v>DWG Operating</v>
      </c>
    </row>
    <row r="402" customFormat="false" ht="15" hidden="false" customHeight="false" outlineLevel="0" collapsed="false">
      <c r="A402" s="0" t="str">
        <f aca="false">Chase1168_2026!A402</f>
        <v>DEBIT</v>
      </c>
      <c r="B402" s="14" t="n">
        <f aca="false">Chase1168_2026!B402</f>
        <v>46056</v>
      </c>
      <c r="C402" s="0" t="str">
        <f aca="false">Chase1168_2026!C402</f>
        <v>ORIG CO NAME:VENMO                  ORIG ID:3264681992 DESC DATE:260203 CO ENTRY DESCR:PAYMENT   SEC:WEB    TRACE#:021000029238914 EED:260203   IND ID:1048052690190                IND NAME:JUDD DUNNING                                                                                                 260203PPZCZB TRN: 0349238914TC</v>
      </c>
      <c r="D402" s="7" t="n">
        <f aca="false">Chase1168_2026!D402</f>
        <v>-80</v>
      </c>
      <c r="E402" s="0" t="str">
        <f aca="false">Chase1168_2026!E402</f>
        <v>ACH_DEBIT</v>
      </c>
      <c r="F402" s="7" t="n">
        <f aca="false">Chase1168_2026!F402</f>
        <v>1236.09</v>
      </c>
      <c r="G402" s="0" t="str">
        <f aca="false">Chase1168_2026!G402</f>
        <v>Venmo</v>
      </c>
      <c r="H402" s="15" t="n">
        <f aca="false">IF($B402="","",DATE(YEAR($B402),MONTH($B402),1))</f>
        <v>46054</v>
      </c>
      <c r="I402" s="0" t="str">
        <f aca="false">IF($G402="","Uncategorized — Review",IFERROR(INDEX(Mapping!$B:$B,MATCH($G402,Mapping!$A:$A,0)),"Uncategorized — Review"))</f>
        <v>Venmo</v>
      </c>
      <c r="J402" s="0" t="str">
        <f aca="false">IF($G402="","Uncategorized — Review",IFERROR(INDEX(Mapping!$C:$C,MATCH($G402,Mapping!$A:$A,0)),"Uncategorized — Review"))</f>
        <v>P2P Payments (Zelle/Venmo/PayPal)</v>
      </c>
    </row>
    <row r="403" customFormat="false" ht="15" hidden="false" customHeight="false" outlineLevel="0" collapsed="false">
      <c r="A403" s="0" t="str">
        <f aca="false">Chase1168_2026!A403</f>
        <v>DEBIT</v>
      </c>
      <c r="B403" s="14" t="n">
        <f aca="false">Chase1168_2026!B403</f>
        <v>46056</v>
      </c>
      <c r="C403" s="0" t="str">
        <f aca="false">Chase1168_2026!C403</f>
        <v>ORIG CO NAME:SELECT PORTFOLIO       ORIG ID:1870465626 DESC DATE:       CO ENTRY DESCR:SPS       SEC:WEB    TRACE#:021000029606713 EED:260203   IND ID:0037017712                   IND NAME:John Barker Dunning TRN: 0349606713TC</v>
      </c>
      <c r="D403" s="7" t="n">
        <f aca="false">Chase1168_2026!D403</f>
        <v>-4190.21</v>
      </c>
      <c r="E403" s="0" t="str">
        <f aca="false">Chase1168_2026!E403</f>
        <v>ACH_DEBIT</v>
      </c>
      <c r="F403" s="7" t="n">
        <f aca="false">Chase1168_2026!F403</f>
        <v>1316.09</v>
      </c>
      <c r="G403" s="0" t="str">
        <f aca="false">Chase1168_2026!G403</f>
        <v>Moab E4 Mortgage Payment</v>
      </c>
      <c r="H403" s="15" t="n">
        <f aca="false">IF($B403="","",DATE(YEAR($B403),MONTH($B403),1))</f>
        <v>46054</v>
      </c>
      <c r="I403" s="0" t="str">
        <f aca="false">IF($G403="","Uncategorized — Review",IFERROR(INDEX(Mapping!$B:$B,MATCH($G403,Mapping!$A:$A,0)),"Uncategorized — Review"))</f>
        <v>Moab E4 Mortgage Payment</v>
      </c>
      <c r="J403" s="0" t="str">
        <f aca="false">IF($G403="","Uncategorized — Review",IFERROR(INDEX(Mapping!$C:$C,MATCH($G403,Mapping!$A:$A,0)),"Uncategorized — Review"))</f>
        <v>Deal-Specific</v>
      </c>
    </row>
    <row r="404" customFormat="false" ht="15" hidden="false" customHeight="false" outlineLevel="0" collapsed="false">
      <c r="A404" s="0" t="str">
        <f aca="false">Chase1168_2026!A404</f>
        <v>DEBIT</v>
      </c>
      <c r="B404" s="14" t="n">
        <f aca="false">Chase1168_2026!B404</f>
        <v>46056</v>
      </c>
      <c r="C404" s="0" t="str">
        <f aca="false">Chase1168_2026!C404</f>
        <v>ORIG CO NAME:SELECT PORTFOLIO       ORIG ID:1870465626 DESC DATE:       CO ENTRY DESCR:SPS       SEC:WEB    TRACE#:021000029606714 EED:260203   IND ID:0037017720                   IND NAME:John Barker Dunning TRN: 0349606714TC</v>
      </c>
      <c r="D404" s="7" t="n">
        <f aca="false">Chase1168_2026!D404</f>
        <v>-4366.2</v>
      </c>
      <c r="E404" s="0" t="str">
        <f aca="false">Chase1168_2026!E404</f>
        <v>ACH_DEBIT</v>
      </c>
      <c r="F404" s="7" t="n">
        <f aca="false">Chase1168_2026!F404</f>
        <v>5506.3</v>
      </c>
      <c r="G404" s="0" t="str">
        <f aca="false">Chase1168_2026!G404</f>
        <v>Moab E7 Mortgage Payment</v>
      </c>
      <c r="H404" s="15" t="n">
        <f aca="false">IF($B404="","",DATE(YEAR($B404),MONTH($B404),1))</f>
        <v>46054</v>
      </c>
      <c r="I404" s="0" t="str">
        <f aca="false">IF($G404="","Uncategorized — Review",IFERROR(INDEX(Mapping!$B:$B,MATCH($G404,Mapping!$A:$A,0)),"Uncategorized — Review"))</f>
        <v>Moab E7 Mortgage Payment</v>
      </c>
      <c r="J404" s="0" t="str">
        <f aca="false">IF($G404="","Uncategorized — Review",IFERROR(INDEX(Mapping!$C:$C,MATCH($G404,Mapping!$A:$A,0)),"Uncategorized — Review"))</f>
        <v>Deal-Specific</v>
      </c>
    </row>
    <row r="405" customFormat="false" ht="15" hidden="false" customHeight="false" outlineLevel="0" collapsed="false">
      <c r="A405" s="0" t="str">
        <f aca="false">Chase1168_2026!A405</f>
        <v>DEBIT</v>
      </c>
      <c r="B405" s="14" t="n">
        <f aca="false">Chase1168_2026!B405</f>
        <v>46056</v>
      </c>
      <c r="C405" s="0" t="str">
        <f aca="false">Chase1168_2026!C405</f>
        <v>Online Transfer to CHK ...9335 transaction#: 27936308043 02/03</v>
      </c>
      <c r="D405" s="7" t="n">
        <f aca="false">Chase1168_2026!D405</f>
        <v>-8556.41</v>
      </c>
      <c r="E405" s="0" t="str">
        <f aca="false">Chase1168_2026!E405</f>
        <v>ACCT_XFER</v>
      </c>
      <c r="F405" s="7" t="n">
        <f aca="false">Chase1168_2026!F405</f>
        <v>9872.5</v>
      </c>
      <c r="G405" s="0" t="str">
        <f aca="false">Chase1168_2026!G405</f>
        <v>Poseidon Asset Group (Outgoing)</v>
      </c>
      <c r="H405" s="15" t="n">
        <f aca="false">IF($B405="","",DATE(YEAR($B405),MONTH($B405),1))</f>
        <v>46054</v>
      </c>
      <c r="I405" s="0" t="str">
        <f aca="false">IF($G405="","Uncategorized — Review",IFERROR(INDEX(Mapping!$B:$B,MATCH($G405,Mapping!$A:$A,0)),"Uncategorized — Review"))</f>
        <v>Poseidon Asset Group (Outgoing)</v>
      </c>
      <c r="J405" s="0" t="str">
        <f aca="false">IF($G405="","Uncategorized — Review",IFERROR(INDEX(Mapping!$C:$C,MATCH($G405,Mapping!$A:$A,0)),"Uncategorized — Review"))</f>
        <v>Poseidon Asset Group</v>
      </c>
    </row>
    <row r="406" customFormat="false" ht="15" hidden="false" customHeight="false" outlineLevel="0" collapsed="false">
      <c r="A406" s="0" t="str">
        <f aca="false">Chase1168_2026!A406</f>
        <v>DEBIT</v>
      </c>
      <c r="B406" s="14" t="n">
        <f aca="false">Chase1168_2026!B406</f>
        <v>46056</v>
      </c>
      <c r="C406" s="0" t="str">
        <f aca="false">Chase1168_2026!C406</f>
        <v>Zelle payment to Jeffrey Seider JPM99c4bwlzo</v>
      </c>
      <c r="D406" s="7" t="n">
        <f aca="false">Chase1168_2026!D406</f>
        <v>-200</v>
      </c>
      <c r="E406" s="0" t="str">
        <f aca="false">Chase1168_2026!E406</f>
        <v>CHASE_TO_PARTNERFI</v>
      </c>
      <c r="F406" s="7" t="n">
        <f aca="false">Chase1168_2026!F406</f>
        <v>18428.91</v>
      </c>
      <c r="G406" s="0" t="str">
        <f aca="false">Chase1168_2026!G406</f>
        <v>Zelle - Jeff Seider</v>
      </c>
      <c r="H406" s="15" t="n">
        <f aca="false">IF($B406="","",DATE(YEAR($B406),MONTH($B406),1))</f>
        <v>46054</v>
      </c>
      <c r="I406" s="0" t="str">
        <f aca="false">IF($G406="","Uncategorized — Review",IFERROR(INDEX(Mapping!$B:$B,MATCH($G406,Mapping!$A:$A,0)),"Uncategorized — Review"))</f>
        <v>Zelle - Jeff Seider</v>
      </c>
      <c r="J406" s="0" t="str">
        <f aca="false">IF($G406="","Uncategorized — Review",IFERROR(INDEX(Mapping!$C:$C,MATCH($G406,Mapping!$A:$A,0)),"Uncategorized — Review"))</f>
        <v>P2P Payments (Zelle/Venmo/PayPal)</v>
      </c>
    </row>
    <row r="407" customFormat="false" ht="15" hidden="false" customHeight="false" outlineLevel="0" collapsed="false">
      <c r="A407" s="0" t="str">
        <f aca="false">Chase1168_2026!A407</f>
        <v>DEBIT</v>
      </c>
      <c r="B407" s="14" t="n">
        <f aca="false">Chase1168_2026!B407</f>
        <v>46056</v>
      </c>
      <c r="C407" s="0" t="str">
        <f aca="false">Chase1168_2026!C407</f>
        <v>Online Transfer to CHK ...1117 transaction#: 27936175999 02/03</v>
      </c>
      <c r="D407" s="7" t="n">
        <f aca="false">Chase1168_2026!D407</f>
        <v>-2000</v>
      </c>
      <c r="E407" s="0" t="str">
        <f aca="false">Chase1168_2026!E407</f>
        <v>ACCT_XFER</v>
      </c>
      <c r="F407" s="7" t="n">
        <f aca="false">Chase1168_2026!F407</f>
        <v>18628.91</v>
      </c>
      <c r="G407" s="0" t="str">
        <f aca="false">Chase1168_2026!G407</f>
        <v>Transfer to Angela Dunning</v>
      </c>
      <c r="H407" s="15" t="n">
        <f aca="false">IF($B407="","",DATE(YEAR($B407),MONTH($B407),1))</f>
        <v>46054</v>
      </c>
      <c r="I407" s="0" t="str">
        <f aca="false">IF($G407="","Uncategorized — Review",IFERROR(INDEX(Mapping!$B:$B,MATCH($G407,Mapping!$A:$A,0)),"Uncategorized — Review"))</f>
        <v>Transfer to Angela Dunning</v>
      </c>
      <c r="J407" s="0" t="str">
        <f aca="false">IF($G407="","Uncategorized — Review",IFERROR(INDEX(Mapping!$C:$C,MATCH($G407,Mapping!$A:$A,0)),"Uncategorized — Review"))</f>
        <v>Owner / Family Distributions</v>
      </c>
    </row>
    <row r="408" customFormat="false" ht="15" hidden="false" customHeight="false" outlineLevel="0" collapsed="false">
      <c r="A408" s="0" t="str">
        <f aca="false">Chase1168_2026!A408</f>
        <v>DEBIT</v>
      </c>
      <c r="B408" s="14" t="n">
        <f aca="false">Chase1168_2026!B408</f>
        <v>46056</v>
      </c>
      <c r="C408" s="0" t="str">
        <f aca="false">Chase1168_2026!C408</f>
        <v>DNH*GODADDY#4008519948 480-5058855 AZ        02/02</v>
      </c>
      <c r="D408" s="7" t="n">
        <f aca="false">Chase1168_2026!D408</f>
        <v>-20.97</v>
      </c>
      <c r="E408" s="0" t="str">
        <f aca="false">Chase1168_2026!E408</f>
        <v>DEBIT_CARD</v>
      </c>
      <c r="F408" s="7" t="n">
        <f aca="false">Chase1168_2026!F408</f>
        <v>20628.91</v>
      </c>
      <c r="G408" s="0" t="str">
        <f aca="false">Chase1168_2026!G408</f>
        <v>Go Daddy</v>
      </c>
      <c r="H408" s="15" t="n">
        <f aca="false">IF($B408="","",DATE(YEAR($B408),MONTH($B408),1))</f>
        <v>46054</v>
      </c>
      <c r="I408" s="0" t="str">
        <f aca="false">IF($G408="","Uncategorized — Review",IFERROR(INDEX(Mapping!$B:$B,MATCH($G408,Mapping!$A:$A,0)),"Uncategorized — Review"))</f>
        <v>Go Daddy</v>
      </c>
      <c r="J408" s="0" t="str">
        <f aca="false">IF($G408="","Uncategorized — Review",IFERROR(INDEX(Mapping!$C:$C,MATCH($G408,Mapping!$A:$A,0)),"Uncategorized — Review"))</f>
        <v>DWG Operating</v>
      </c>
    </row>
    <row r="409" customFormat="false" ht="15" hidden="false" customHeight="false" outlineLevel="0" collapsed="false">
      <c r="A409" s="0" t="str">
        <f aca="false">Chase1168_2026!A409</f>
        <v>CREDIT</v>
      </c>
      <c r="B409" s="14" t="n">
        <f aca="false">Chase1168_2026!B409</f>
        <v>46056</v>
      </c>
      <c r="C409" s="0" t="str">
        <f aca="false">Chase1168_2026!C409</f>
        <v>ORIG CO NAME:GI CAPITAL GROUP       ORIG ID:9200502235 DESC DATE:260203 CO ENTRY DESCR:ACH Pmt   SEC:CCD    TRACE#:021000022818285 EED:260203   IND ID:11205656711                  IND NAME:DWG CAPITAL GROUP          PAYMENTS FOR: E4-$4190.21 &amp; E7-$436 6.20 TRN: 0342818285TC</v>
      </c>
      <c r="D409" s="7" t="n">
        <f aca="false">Chase1168_2026!D409</f>
        <v>8556.41</v>
      </c>
      <c r="E409" s="0" t="str">
        <f aca="false">Chase1168_2026!E409</f>
        <v>ACH_CREDIT</v>
      </c>
      <c r="F409" s="7" t="n">
        <f aca="false">Chase1168_2026!F409</f>
        <v>20649.88</v>
      </c>
      <c r="G409" s="0" t="str">
        <f aca="false">Chase1168_2026!G409</f>
        <v>Incoming MOAB Mortgage Coverage</v>
      </c>
      <c r="H409" s="15" t="n">
        <f aca="false">IF($B409="","",DATE(YEAR($B409),MONTH($B409),1))</f>
        <v>46054</v>
      </c>
      <c r="I409" s="0" t="str">
        <f aca="false">IF($G409="","Uncategorized — Review",IFERROR(INDEX(Mapping!$B:$B,MATCH($G409,Mapping!$A:$A,0)),"Uncategorized — Review"))</f>
        <v>Incoming MOAB Mortgage Coverage</v>
      </c>
      <c r="J409" s="0" t="str">
        <f aca="false">IF($G409="","Uncategorized — Review",IFERROR(INDEX(Mapping!$C:$C,MATCH($G409,Mapping!$A:$A,0)),"Uncategorized — Review"))</f>
        <v>Deal-Specific</v>
      </c>
    </row>
    <row r="410" customFormat="false" ht="15" hidden="false" customHeight="false" outlineLevel="0" collapsed="false">
      <c r="A410" s="0" t="str">
        <f aca="false">Chase1168_2026!A410</f>
        <v>DEBIT</v>
      </c>
      <c r="B410" s="14" t="n">
        <f aca="false">Chase1168_2026!B410</f>
        <v>46055</v>
      </c>
      <c r="C410" s="0" t="str">
        <f aca="false">Chase1168_2026!C410</f>
        <v>STANDARD ACH PMNTS INITIAL FEE QTY = 7</v>
      </c>
      <c r="D410" s="7" t="n">
        <f aca="false">Chase1168_2026!D410</f>
        <v>-17.5</v>
      </c>
      <c r="E410" s="0" t="str">
        <f aca="false">Chase1168_2026!E410</f>
        <v>FEE_TRANSACTION</v>
      </c>
      <c r="F410" s="7" t="n">
        <f aca="false">Chase1168_2026!F410</f>
        <v>12093.47</v>
      </c>
      <c r="G410" s="0" t="str">
        <f aca="false">Chase1168_2026!G410</f>
        <v>Bank Fees</v>
      </c>
      <c r="H410" s="15" t="n">
        <f aca="false">IF($B410="","",DATE(YEAR($B410),MONTH($B410),1))</f>
        <v>46054</v>
      </c>
      <c r="I410" s="0" t="str">
        <f aca="false">IF($G410="","Uncategorized — Review",IFERROR(INDEX(Mapping!$B:$B,MATCH($G410,Mapping!$A:$A,0)),"Uncategorized — Review"))</f>
        <v>Bank Fees</v>
      </c>
      <c r="J410" s="0" t="str">
        <f aca="false">IF($G410="","Uncategorized — Review",IFERROR(INDEX(Mapping!$C:$C,MATCH($G410,Mapping!$A:$A,0)),"Uncategorized — Review"))</f>
        <v>DWG Operating</v>
      </c>
    </row>
    <row r="411" customFormat="false" ht="15" hidden="false" customHeight="false" outlineLevel="0" collapsed="false">
      <c r="A411" s="0" t="str">
        <f aca="false">Chase1168_2026!A411</f>
        <v>DEBIT</v>
      </c>
      <c r="B411" s="14" t="n">
        <f aca="false">Chase1168_2026!B411</f>
        <v>46055</v>
      </c>
      <c r="C411" s="0" t="str">
        <f aca="false">Chase1168_2026!C411</f>
        <v>ORIG CO NAME:VENMO                  ORIG ID:3264681992 DESC DATE:260202 CO ENTRY DESCR:PAYMENT   SEC:WEB    TRACE#:021000021714129 EED:260202   IND ID:1048035217316                IND NAME:JUDD DUNNING                                                                                                 260202PPZ3KG TRN: 0331714129TC</v>
      </c>
      <c r="D411" s="7" t="n">
        <f aca="false">Chase1168_2026!D411</f>
        <v>-450</v>
      </c>
      <c r="E411" s="0" t="str">
        <f aca="false">Chase1168_2026!E411</f>
        <v>ACH_DEBIT</v>
      </c>
      <c r="F411" s="7" t="n">
        <f aca="false">Chase1168_2026!F411</f>
        <v>12110.97</v>
      </c>
      <c r="G411" s="0" t="str">
        <f aca="false">Chase1168_2026!G411</f>
        <v>Venmo</v>
      </c>
      <c r="H411" s="15" t="n">
        <f aca="false">IF($B411="","",DATE(YEAR($B411),MONTH($B411),1))</f>
        <v>46054</v>
      </c>
      <c r="I411" s="0" t="str">
        <f aca="false">IF($G411="","Uncategorized — Review",IFERROR(INDEX(Mapping!$B:$B,MATCH($G411,Mapping!$A:$A,0)),"Uncategorized — Review"))</f>
        <v>Venmo</v>
      </c>
      <c r="J411" s="0" t="str">
        <f aca="false">IF($G411="","Uncategorized — Review",IFERROR(INDEX(Mapping!$C:$C,MATCH($G411,Mapping!$A:$A,0)),"Uncategorized — Review"))</f>
        <v>P2P Payments (Zelle/Venmo/PayPal)</v>
      </c>
    </row>
    <row r="412" customFormat="false" ht="15" hidden="false" customHeight="false" outlineLevel="0" collapsed="false">
      <c r="A412" s="0" t="str">
        <f aca="false">Chase1168_2026!A412</f>
        <v>DEBIT</v>
      </c>
      <c r="B412" s="14" t="n">
        <f aca="false">Chase1168_2026!B412</f>
        <v>46055</v>
      </c>
      <c r="C412" s="0" t="str">
        <f aca="false">Chase1168_2026!C412</f>
        <v>Zelle payment to Estella Martinez JPM99c48ojdd</v>
      </c>
      <c r="D412" s="7" t="n">
        <f aca="false">Chase1168_2026!D412</f>
        <v>-800</v>
      </c>
      <c r="E412" s="0" t="str">
        <f aca="false">Chase1168_2026!E412</f>
        <v>CHASE_TO_PARTNERFI</v>
      </c>
      <c r="F412" s="7" t="n">
        <f aca="false">Chase1168_2026!F412</f>
        <v>12560.97</v>
      </c>
      <c r="G412" s="0" t="str">
        <f aca="false">Chase1168_2026!G412</f>
        <v>Zelle - Estella M.</v>
      </c>
      <c r="H412" s="15" t="n">
        <f aca="false">IF($B412="","",DATE(YEAR($B412),MONTH($B412),1))</f>
        <v>46054</v>
      </c>
      <c r="I412" s="0" t="str">
        <f aca="false">IF($G412="","Uncategorized — Review",IFERROR(INDEX(Mapping!$B:$B,MATCH($G412,Mapping!$A:$A,0)),"Uncategorized — Review"))</f>
        <v>Zelle - Estella M.</v>
      </c>
      <c r="J412" s="0" t="str">
        <f aca="false">IF($G412="","Uncategorized — Review",IFERROR(INDEX(Mapping!$C:$C,MATCH($G412,Mapping!$A:$A,0)),"Uncategorized — Review"))</f>
        <v>P2P Payments (Zelle/Venmo/PayPal)</v>
      </c>
    </row>
    <row r="413" customFormat="false" ht="15" hidden="false" customHeight="false" outlineLevel="0" collapsed="false">
      <c r="A413" s="0" t="str">
        <f aca="false">Chase1168_2026!A413</f>
        <v>DEBIT</v>
      </c>
      <c r="B413" s="14" t="n">
        <f aca="false">Chase1168_2026!B413</f>
        <v>46055</v>
      </c>
      <c r="C413" s="0" t="str">
        <f aca="false">Chase1168_2026!C413</f>
        <v>Basic Online Payroll Payment 11204626604 to ########4122</v>
      </c>
      <c r="D413" s="7" t="n">
        <f aca="false">Chase1168_2026!D413</f>
        <v>-1750</v>
      </c>
      <c r="E413" s="0" t="str">
        <f aca="false">Chase1168_2026!E413</f>
        <v>BASIC_PAYROLL</v>
      </c>
      <c r="F413" s="7" t="n">
        <f aca="false">Chase1168_2026!F413</f>
        <v>13360.97</v>
      </c>
      <c r="G413" s="0" t="str">
        <f aca="false">Chase1168_2026!G413</f>
        <v>Mike Paytonjian - Payroll</v>
      </c>
      <c r="H413" s="15" t="n">
        <f aca="false">IF($B413="","",DATE(YEAR($B413),MONTH($B413),1))</f>
        <v>46054</v>
      </c>
      <c r="I413" s="0" t="str">
        <f aca="false">IF($G413="","Uncategorized — Review",IFERROR(INDEX(Mapping!$B:$B,MATCH($G413,Mapping!$A:$A,0)),"Uncategorized — Review"))</f>
        <v>Mike Paytonjian - Payroll</v>
      </c>
      <c r="J413" s="0" t="str">
        <f aca="false">IF($G413="","Uncategorized — Review",IFERROR(INDEX(Mapping!$C:$C,MATCH($G413,Mapping!$A:$A,0)),"Uncategorized — Review"))</f>
        <v>Payroll &amp; Contractors</v>
      </c>
    </row>
    <row r="414" customFormat="false" ht="15" hidden="false" customHeight="false" outlineLevel="0" collapsed="false">
      <c r="A414" s="0" t="str">
        <f aca="false">Chase1168_2026!A414</f>
        <v>DEBIT</v>
      </c>
      <c r="B414" s="14" t="n">
        <f aca="false">Chase1168_2026!B414</f>
        <v>46055</v>
      </c>
      <c r="C414" s="0" t="str">
        <f aca="false">Chase1168_2026!C414</f>
        <v>INDEED USI26-00770533 AUSTIN TX      132802  02/02</v>
      </c>
      <c r="D414" s="7" t="n">
        <f aca="false">Chase1168_2026!D414</f>
        <v>-23.34</v>
      </c>
      <c r="E414" s="0" t="str">
        <f aca="false">Chase1168_2026!E414</f>
        <v>DEBIT_CARD</v>
      </c>
      <c r="F414" s="7" t="n">
        <f aca="false">Chase1168_2026!F414</f>
        <v>15110.97</v>
      </c>
      <c r="G414" s="0" t="str">
        <f aca="false">Chase1168_2026!G414</f>
        <v>DWG HR</v>
      </c>
      <c r="H414" s="15" t="n">
        <f aca="false">IF($B414="","",DATE(YEAR($B414),MONTH($B414),1))</f>
        <v>46054</v>
      </c>
      <c r="I414" s="0" t="str">
        <f aca="false">IF($G414="","Uncategorized — Review",IFERROR(INDEX(Mapping!$B:$B,MATCH($G414,Mapping!$A:$A,0)),"Uncategorized — Review"))</f>
        <v>DWG HR</v>
      </c>
      <c r="J414" s="0" t="str">
        <f aca="false">IF($G414="","Uncategorized — Review",IFERROR(INDEX(Mapping!$C:$C,MATCH($G414,Mapping!$A:$A,0)),"Uncategorized — Review"))</f>
        <v>Payroll &amp; Contractors</v>
      </c>
    </row>
    <row r="415" customFormat="false" ht="15" hidden="false" customHeight="false" outlineLevel="0" collapsed="false">
      <c r="A415" s="0" t="str">
        <f aca="false">Chase1168_2026!A415</f>
        <v>DEBIT</v>
      </c>
      <c r="B415" s="14" t="n">
        <f aca="false">Chase1168_2026!B415</f>
        <v>46055</v>
      </c>
      <c r="C415" s="0" t="str">
        <f aca="false">Chase1168_2026!C415</f>
        <v>ORIG CO NAME:VENMO                  ORIG ID:3264681992 DESC DATE:260131 CO ENTRY DESCR:PAYMENT   SEC:WEB    TRACE#:021000022317664 EED:260202   IND ID:1047974621894                IND NAME:JUDD DUNNING                                                                                                 260131PPZSAZ TRN: 0332317664TC</v>
      </c>
      <c r="D415" s="7" t="n">
        <f aca="false">Chase1168_2026!D415</f>
        <v>-200</v>
      </c>
      <c r="E415" s="0" t="str">
        <f aca="false">Chase1168_2026!E415</f>
        <v>ACH_DEBIT</v>
      </c>
      <c r="F415" s="7" t="n">
        <f aca="false">Chase1168_2026!F415</f>
        <v>15134.31</v>
      </c>
      <c r="G415" s="0" t="str">
        <f aca="false">Chase1168_2026!G415</f>
        <v>Venmo</v>
      </c>
      <c r="H415" s="15" t="n">
        <f aca="false">IF($B415="","",DATE(YEAR($B415),MONTH($B415),1))</f>
        <v>46054</v>
      </c>
      <c r="I415" s="0" t="str">
        <f aca="false">IF($G415="","Uncategorized — Review",IFERROR(INDEX(Mapping!$B:$B,MATCH($G415,Mapping!$A:$A,0)),"Uncategorized — Review"))</f>
        <v>Venmo</v>
      </c>
      <c r="J415" s="0" t="str">
        <f aca="false">IF($G415="","Uncategorized — Review",IFERROR(INDEX(Mapping!$C:$C,MATCH($G415,Mapping!$A:$A,0)),"Uncategorized — Review"))</f>
        <v>P2P Payments (Zelle/Venmo/PayPal)</v>
      </c>
    </row>
    <row r="416" customFormat="false" ht="15" hidden="false" customHeight="false" outlineLevel="0" collapsed="false">
      <c r="A416" s="0" t="str">
        <f aca="false">Chase1168_2026!A416</f>
        <v>DEBIT</v>
      </c>
      <c r="B416" s="14" t="n">
        <f aca="false">Chase1168_2026!B416</f>
        <v>46055</v>
      </c>
      <c r="C416" s="0" t="str">
        <f aca="false">Chase1168_2026!C416</f>
        <v>ORIG CO NAME:BLUESHIELDCA           ORIG ID:7529219311 DESC DATE:260131 CO ENTRY DESCR:BILL PAY  SEC:CCD    TRACE#:031101111763501 EED:260202   IND ID:15737009221                  IND NAME:ANGELA DUNNING TRN: 0331763501TC</v>
      </c>
      <c r="D416" s="7" t="n">
        <f aca="false">Chase1168_2026!D416</f>
        <v>-974.84</v>
      </c>
      <c r="E416" s="0" t="str">
        <f aca="false">Chase1168_2026!E416</f>
        <v>ACH_DEBIT</v>
      </c>
      <c r="F416" s="7" t="n">
        <f aca="false">Chase1168_2026!F416</f>
        <v>15334.31</v>
      </c>
      <c r="G416" s="0" t="str">
        <f aca="false">Chase1168_2026!G416</f>
        <v>Personal - Health Insurance</v>
      </c>
      <c r="H416" s="15" t="n">
        <f aca="false">IF($B416="","",DATE(YEAR($B416),MONTH($B416),1))</f>
        <v>46054</v>
      </c>
      <c r="I416" s="0" t="str">
        <f aca="false">IF($G416="","Uncategorized — Review",IFERROR(INDEX(Mapping!$B:$B,MATCH($G416,Mapping!$A:$A,0)),"Uncategorized — Review"))</f>
        <v>Personal - Health (incl. Ins.)</v>
      </c>
      <c r="J416" s="0" t="str">
        <f aca="false">IF($G416="","Uncategorized — Review",IFERROR(INDEX(Mapping!$C:$C,MATCH($G416,Mapping!$A:$A,0)),"Uncategorized — Review"))</f>
        <v>Personal — Owner</v>
      </c>
    </row>
    <row r="417" customFormat="false" ht="15" hidden="false" customHeight="false" outlineLevel="0" collapsed="false">
      <c r="A417" s="0" t="str">
        <f aca="false">Chase1168_2026!A417</f>
        <v>DEBIT</v>
      </c>
      <c r="B417" s="14" t="n">
        <f aca="false">Chase1168_2026!B417</f>
        <v>46055</v>
      </c>
      <c r="C417" s="0" t="str">
        <f aca="false">Chase1168_2026!C417</f>
        <v>Zelle payment to natalie cordova JPM99c40n5rw</v>
      </c>
      <c r="D417" s="7" t="n">
        <f aca="false">Chase1168_2026!D417</f>
        <v>-500</v>
      </c>
      <c r="E417" s="0" t="str">
        <f aca="false">Chase1168_2026!E417</f>
        <v>CHASE_TO_PARTNERFI</v>
      </c>
      <c r="F417" s="7" t="n">
        <f aca="false">Chase1168_2026!F417</f>
        <v>16309.15</v>
      </c>
      <c r="G417" s="0" t="str">
        <f aca="false">Chase1168_2026!G417</f>
        <v>Zelle - Natalie C.</v>
      </c>
      <c r="H417" s="15" t="n">
        <f aca="false">IF($B417="","",DATE(YEAR($B417),MONTH($B417),1))</f>
        <v>46054</v>
      </c>
      <c r="I417" s="0" t="str">
        <f aca="false">IF($G417="","Uncategorized — Review",IFERROR(INDEX(Mapping!$B:$B,MATCH($G417,Mapping!$A:$A,0)),"Uncategorized — Review"))</f>
        <v>Zelle - Natalie C.</v>
      </c>
      <c r="J417" s="0" t="str">
        <f aca="false">IF($G417="","Uncategorized — Review",IFERROR(INDEX(Mapping!$C:$C,MATCH($G417,Mapping!$A:$A,0)),"Uncategorized — Review"))</f>
        <v>P2P Payments (Zelle/Venmo/PayPal)</v>
      </c>
    </row>
    <row r="418" customFormat="false" ht="15" hidden="false" customHeight="false" outlineLevel="0" collapsed="false">
      <c r="A418" s="0" t="str">
        <f aca="false">Chase1168_2026!A418</f>
        <v>DEBIT</v>
      </c>
      <c r="B418" s="14" t="n">
        <f aca="false">Chase1168_2026!B418</f>
        <v>46055</v>
      </c>
      <c r="C418" s="0" t="str">
        <f aca="false">Chase1168_2026!C418</f>
        <v>BLUE SHIELD CALIFORNI 800-393-6130 CA        01/31</v>
      </c>
      <c r="D418" s="7" t="n">
        <f aca="false">Chase1168_2026!D418</f>
        <v>-1293.42</v>
      </c>
      <c r="E418" s="0" t="str">
        <f aca="false">Chase1168_2026!E418</f>
        <v>DEBIT_CARD</v>
      </c>
      <c r="F418" s="7" t="n">
        <f aca="false">Chase1168_2026!F418</f>
        <v>16809.15</v>
      </c>
      <c r="G418" s="0" t="str">
        <f aca="false">Chase1168_2026!G418</f>
        <v>Personal - Health Insurance</v>
      </c>
      <c r="H418" s="15" t="n">
        <f aca="false">IF($B418="","",DATE(YEAR($B418),MONTH($B418),1))</f>
        <v>46054</v>
      </c>
      <c r="I418" s="0" t="str">
        <f aca="false">IF($G418="","Uncategorized — Review",IFERROR(INDEX(Mapping!$B:$B,MATCH($G418,Mapping!$A:$A,0)),"Uncategorized — Review"))</f>
        <v>Personal - Health (incl. Ins.)</v>
      </c>
      <c r="J418" s="0" t="str">
        <f aca="false">IF($G418="","Uncategorized — Review",IFERROR(INDEX(Mapping!$C:$C,MATCH($G418,Mapping!$A:$A,0)),"Uncategorized — Review"))</f>
        <v>Personal — Owner</v>
      </c>
    </row>
    <row r="419" customFormat="false" ht="15" hidden="false" customHeight="false" outlineLevel="0" collapsed="false">
      <c r="A419" s="0" t="str">
        <f aca="false">Chase1168_2026!A419</f>
        <v>DEBIT</v>
      </c>
      <c r="B419" s="14" t="n">
        <f aca="false">Chase1168_2026!B419</f>
        <v>46055</v>
      </c>
      <c r="C419" s="0" t="str">
        <f aca="false">Chase1168_2026!C419</f>
        <v>ORIG CO NAME:GEICO                  ORIG ID:3530075853 DESC DATE:260130 CO ENTRY DESCR:PREM COLL SEC:PPD    TRACE#:021000028827919 EED:260202   IND ID:                             IND NAME:ANGELA TRN: 0338827919TC</v>
      </c>
      <c r="D419" s="7" t="n">
        <f aca="false">Chase1168_2026!D419</f>
        <v>-619.85</v>
      </c>
      <c r="E419" s="0" t="str">
        <f aca="false">Chase1168_2026!E419</f>
        <v>ACH_DEBIT</v>
      </c>
      <c r="F419" s="7" t="n">
        <f aca="false">Chase1168_2026!F419</f>
        <v>18102.57</v>
      </c>
      <c r="G419" s="0" t="str">
        <f aca="false">Chase1168_2026!G419</f>
        <v>Personal - Car Insurance</v>
      </c>
      <c r="H419" s="15" t="n">
        <f aca="false">IF($B419="","",DATE(YEAR($B419),MONTH($B419),1))</f>
        <v>46054</v>
      </c>
      <c r="I419" s="0" t="str">
        <f aca="false">IF($G419="","Uncategorized — Review",IFERROR(INDEX(Mapping!$B:$B,MATCH($G419,Mapping!$A:$A,0)),"Uncategorized — Review"))</f>
        <v>Personal - Car &amp; Auto</v>
      </c>
      <c r="J419" s="0" t="str">
        <f aca="false">IF($G419="","Uncategorized — Review",IFERROR(INDEX(Mapping!$C:$C,MATCH($G419,Mapping!$A:$A,0)),"Uncategorized — Review"))</f>
        <v>Personal — Owner</v>
      </c>
    </row>
    <row r="420" customFormat="false" ht="15" hidden="false" customHeight="false" outlineLevel="0" collapsed="false">
      <c r="A420" s="0" t="str">
        <f aca="false">Chase1168_2026!A420</f>
        <v>CREDIT</v>
      </c>
      <c r="B420" s="14" t="n">
        <f aca="false">Chase1168_2026!B420</f>
        <v>46055</v>
      </c>
      <c r="C420" s="0" t="str">
        <f aca="false">Chase1168_2026!C420</f>
        <v>Online Transfer from CHK ...9335 transaction#: 27927945998</v>
      </c>
      <c r="D420" s="7" t="n">
        <f aca="false">Chase1168_2026!D420</f>
        <v>8556.41</v>
      </c>
      <c r="E420" s="0" t="str">
        <f aca="false">Chase1168_2026!E420</f>
        <v>ACCT_XFER</v>
      </c>
      <c r="F420" s="7" t="n">
        <f aca="false">Chase1168_2026!F420</f>
        <v>18722.42</v>
      </c>
      <c r="G420" s="0" t="str">
        <f aca="false">Chase1168_2026!G420</f>
        <v>Poseidon Asset Group (Incoming)</v>
      </c>
      <c r="H420" s="15" t="n">
        <f aca="false">IF($B420="","",DATE(YEAR($B420),MONTH($B420),1))</f>
        <v>46054</v>
      </c>
      <c r="I420" s="0" t="str">
        <f aca="false">IF($G420="","Uncategorized — Review",IFERROR(INDEX(Mapping!$B:$B,MATCH($G420,Mapping!$A:$A,0)),"Uncategorized — Review"))</f>
        <v>Poseidon Asset Group (Incoming)</v>
      </c>
      <c r="J420" s="0" t="str">
        <f aca="false">IF($G420="","Uncategorized — Review",IFERROR(INDEX(Mapping!$C:$C,MATCH($G420,Mapping!$A:$A,0)),"Uncategorized — Review"))</f>
        <v>Poseidon Asset Group</v>
      </c>
    </row>
    <row r="421" customFormat="false" ht="15" hidden="false" customHeight="false" outlineLevel="0" collapsed="false">
      <c r="A421" s="0" t="str">
        <f aca="false">Chase1168_2026!A421</f>
        <v>DEBIT</v>
      </c>
      <c r="B421" s="14" t="n">
        <f aca="false">Chase1168_2026!B421</f>
        <v>46052</v>
      </c>
      <c r="C421" s="0" t="str">
        <f aca="false">Chase1168_2026!C421</f>
        <v>ORIG CO NAME:VENMO                  ORIG ID:3264681992 DESC DATE:260130 CO ENTRY DESCR:PAYMENT   SEC:WEB    TRACE#:021000025511947 EED:260130   IND ID:1047959018855                IND NAME:JUDD DUNNING                                                                                                 260130PPZQK7 TRN: 0305511947TC</v>
      </c>
      <c r="D421" s="7" t="n">
        <f aca="false">Chase1168_2026!D421</f>
        <v>-300</v>
      </c>
      <c r="E421" s="0" t="str">
        <f aca="false">Chase1168_2026!E421</f>
        <v>ACH_DEBIT</v>
      </c>
      <c r="F421" s="7" t="n">
        <f aca="false">Chase1168_2026!F421</f>
        <v>10166.01</v>
      </c>
      <c r="G421" s="0" t="str">
        <f aca="false">Chase1168_2026!G421</f>
        <v>Venmo</v>
      </c>
      <c r="H421" s="15" t="n">
        <f aca="false">IF($B421="","",DATE(YEAR($B421),MONTH($B421),1))</f>
        <v>46023</v>
      </c>
      <c r="I421" s="0" t="str">
        <f aca="false">IF($G421="","Uncategorized — Review",IFERROR(INDEX(Mapping!$B:$B,MATCH($G421,Mapping!$A:$A,0)),"Uncategorized — Review"))</f>
        <v>Venmo</v>
      </c>
      <c r="J421" s="0" t="str">
        <f aca="false">IF($G421="","Uncategorized — Review",IFERROR(INDEX(Mapping!$C:$C,MATCH($G421,Mapping!$A:$A,0)),"Uncategorized — Review"))</f>
        <v>P2P Payments (Zelle/Venmo/PayPal)</v>
      </c>
    </row>
    <row r="422" customFormat="false" ht="15" hidden="false" customHeight="false" outlineLevel="0" collapsed="false">
      <c r="A422" s="0" t="str">
        <f aca="false">Chase1168_2026!A422</f>
        <v>DEBIT</v>
      </c>
      <c r="B422" s="14" t="n">
        <f aca="false">Chase1168_2026!B422</f>
        <v>46052</v>
      </c>
      <c r="C422" s="0" t="str">
        <f aca="false">Chase1168_2026!C422</f>
        <v>ORIG CO NAME:SBA EIDL LOAN          ORIG ID:7300000118 DESC DATE:260129 CO ENTRY DESCR:PAYMENT   SEC:CCD    TRACE#:041036048501392 EED:260130   IND ID:0000                         IND NAME:JOHN DUNNING               1871308204                                                                        ACH TRANSACTION TRN: 0308501392TC</v>
      </c>
      <c r="D422" s="7" t="n">
        <f aca="false">Chase1168_2026!D422</f>
        <v>-2524</v>
      </c>
      <c r="E422" s="0" t="str">
        <f aca="false">Chase1168_2026!E422</f>
        <v>ACH_DEBIT</v>
      </c>
      <c r="F422" s="7" t="n">
        <f aca="false">Chase1168_2026!F422</f>
        <v>10466.01</v>
      </c>
      <c r="G422" s="0" t="str">
        <f aca="false">Chase1168_2026!G422</f>
        <v>SBC EIDL Loan</v>
      </c>
      <c r="H422" s="15" t="n">
        <f aca="false">IF($B422="","",DATE(YEAR($B422),MONTH($B422),1))</f>
        <v>46023</v>
      </c>
      <c r="I422" s="0" t="str">
        <f aca="false">IF($G422="","Uncategorized — Review",IFERROR(INDEX(Mapping!$B:$B,MATCH($G422,Mapping!$A:$A,0)),"Uncategorized — Review"))</f>
        <v>SBC EIDL Loan</v>
      </c>
      <c r="J422" s="0" t="str">
        <f aca="false">IF($G422="","Uncategorized — Review",IFERROR(INDEX(Mapping!$C:$C,MATCH($G422,Mapping!$A:$A,0)),"Uncategorized — Review"))</f>
        <v>Credit Card &amp; Loan Payments</v>
      </c>
    </row>
    <row r="423" customFormat="false" ht="15" hidden="false" customHeight="false" outlineLevel="0" collapsed="false">
      <c r="A423" s="0" t="str">
        <f aca="false">Chase1168_2026!A423</f>
        <v>DEBIT</v>
      </c>
      <c r="B423" s="14" t="n">
        <f aca="false">Chase1168_2026!B423</f>
        <v>46052</v>
      </c>
      <c r="C423" s="0" t="str">
        <f aca="false">Chase1168_2026!C423</f>
        <v>DNH*GODADDY#4005319493 480-5058855 AZ        01/29</v>
      </c>
      <c r="D423" s="7" t="n">
        <f aca="false">Chase1168_2026!D423</f>
        <v>-22.98</v>
      </c>
      <c r="E423" s="0" t="str">
        <f aca="false">Chase1168_2026!E423</f>
        <v>DEBIT_CARD</v>
      </c>
      <c r="F423" s="7" t="n">
        <f aca="false">Chase1168_2026!F423</f>
        <v>12990.01</v>
      </c>
      <c r="G423" s="0" t="str">
        <f aca="false">Chase1168_2026!G423</f>
        <v>Go Daddy</v>
      </c>
      <c r="H423" s="15" t="n">
        <f aca="false">IF($B423="","",DATE(YEAR($B423),MONTH($B423),1))</f>
        <v>46023</v>
      </c>
      <c r="I423" s="0" t="str">
        <f aca="false">IF($G423="","Uncategorized — Review",IFERROR(INDEX(Mapping!$B:$B,MATCH($G423,Mapping!$A:$A,0)),"Uncategorized — Review"))</f>
        <v>Go Daddy</v>
      </c>
      <c r="J423" s="0" t="str">
        <f aca="false">IF($G423="","Uncategorized — Review",IFERROR(INDEX(Mapping!$C:$C,MATCH($G423,Mapping!$A:$A,0)),"Uncategorized — Review"))</f>
        <v>DWG Operating</v>
      </c>
    </row>
    <row r="424" customFormat="false" ht="15" hidden="false" customHeight="false" outlineLevel="0" collapsed="false">
      <c r="A424" s="0" t="str">
        <f aca="false">Chase1168_2026!A424</f>
        <v>DEBIT</v>
      </c>
      <c r="B424" s="14" t="n">
        <f aca="false">Chase1168_2026!B424</f>
        <v>46051</v>
      </c>
      <c r="C424" s="0" t="str">
        <f aca="false">Chase1168_2026!C424</f>
        <v>ONLINE FX INTERNATIONAL WIRE FEE</v>
      </c>
      <c r="D424" s="7" t="n">
        <f aca="false">Chase1168_2026!D424</f>
        <v>-5</v>
      </c>
      <c r="E424" s="0" t="str">
        <f aca="false">Chase1168_2026!E424</f>
        <v>FEE_TRANSACTION</v>
      </c>
      <c r="F424" s="7" t="n">
        <f aca="false">Chase1168_2026!F424</f>
        <v>13012.99</v>
      </c>
      <c r="G424" s="0" t="str">
        <f aca="false">Chase1168_2026!G424</f>
        <v>Andres Alarcon Payroll</v>
      </c>
      <c r="H424" s="15" t="n">
        <f aca="false">IF($B424="","",DATE(YEAR($B424),MONTH($B424),1))</f>
        <v>46023</v>
      </c>
      <c r="I424" s="0" t="str">
        <f aca="false">IF($G424="","Uncategorized — Review",IFERROR(INDEX(Mapping!$B:$B,MATCH($G424,Mapping!$A:$A,0)),"Uncategorized — Review"))</f>
        <v>Andres Alarcon Payroll</v>
      </c>
      <c r="J424" s="0" t="str">
        <f aca="false">IF($G424="","Uncategorized — Review",IFERROR(INDEX(Mapping!$C:$C,MATCH($G424,Mapping!$A:$A,0)),"Uncategorized — Review"))</f>
        <v>Payroll &amp; Contractors</v>
      </c>
    </row>
    <row r="425" customFormat="false" ht="15" hidden="false" customHeight="false" outlineLevel="0" collapsed="false">
      <c r="A425" s="0" t="str">
        <f aca="false">Chase1168_2026!A425</f>
        <v>DEBIT</v>
      </c>
      <c r="B425" s="14" t="n">
        <f aca="false">Chase1168_2026!B425</f>
        <v>46051</v>
      </c>
      <c r="C425" s="0" t="str">
        <f aca="false">Chase1168_2026!C425</f>
        <v>Zelle payment to Jeffrey Seider JPM99c3oeo6h</v>
      </c>
      <c r="D425" s="7" t="n">
        <f aca="false">Chase1168_2026!D425</f>
        <v>-250</v>
      </c>
      <c r="E425" s="0" t="str">
        <f aca="false">Chase1168_2026!E425</f>
        <v>CHASE_TO_PARTNERFI</v>
      </c>
      <c r="F425" s="7" t="n">
        <f aca="false">Chase1168_2026!F425</f>
        <v>13017.99</v>
      </c>
      <c r="G425" s="0" t="str">
        <f aca="false">Chase1168_2026!G425</f>
        <v>Zelle - Jeff Seider</v>
      </c>
      <c r="H425" s="15" t="n">
        <f aca="false">IF($B425="","",DATE(YEAR($B425),MONTH($B425),1))</f>
        <v>46023</v>
      </c>
      <c r="I425" s="0" t="str">
        <f aca="false">IF($G425="","Uncategorized — Review",IFERROR(INDEX(Mapping!$B:$B,MATCH($G425,Mapping!$A:$A,0)),"Uncategorized — Review"))</f>
        <v>Zelle - Jeff Seider</v>
      </c>
      <c r="J425" s="0" t="str">
        <f aca="false">IF($G425="","Uncategorized — Review",IFERROR(INDEX(Mapping!$C:$C,MATCH($G425,Mapping!$A:$A,0)),"Uncategorized — Review"))</f>
        <v>P2P Payments (Zelle/Venmo/PayPal)</v>
      </c>
    </row>
    <row r="426" customFormat="false" ht="15" hidden="false" customHeight="false" outlineLevel="0" collapsed="false">
      <c r="A426" s="0" t="str">
        <f aca="false">Chase1168_2026!A426</f>
        <v>DEBIT</v>
      </c>
      <c r="B426" s="14" t="n">
        <f aca="false">Chase1168_2026!B426</f>
        <v>46051</v>
      </c>
      <c r="C426" s="0" t="str">
        <f aca="false">Chase1168_2026!C426</f>
        <v>Zelle payment to Michael Paytonjian JPM99c3o4ems</v>
      </c>
      <c r="D426" s="7" t="n">
        <f aca="false">Chase1168_2026!D426</f>
        <v>-35</v>
      </c>
      <c r="E426" s="0" t="str">
        <f aca="false">Chase1168_2026!E426</f>
        <v>CHASE_TO_PARTNERFI</v>
      </c>
      <c r="F426" s="7" t="n">
        <f aca="false">Chase1168_2026!F426</f>
        <v>13267.99</v>
      </c>
      <c r="G426" s="0" t="str">
        <f aca="false">Chase1168_2026!G426</f>
        <v>Office/Miscellaneous Reimbursement - Mike P.</v>
      </c>
      <c r="H426" s="15" t="n">
        <f aca="false">IF($B426="","",DATE(YEAR($B426),MONTH($B426),1))</f>
        <v>46023</v>
      </c>
      <c r="I426" s="0" t="str">
        <f aca="false">IF($G426="","Uncategorized — Review",IFERROR(INDEX(Mapping!$B:$B,MATCH($G426,Mapping!$A:$A,0)),"Uncategorized — Review"))</f>
        <v>Office/Miscellaneous Reimbursement - Mike P.</v>
      </c>
      <c r="J426" s="0" t="str">
        <f aca="false">IF($G426="","Uncategorized — Review",IFERROR(INDEX(Mapping!$C:$C,MATCH($G426,Mapping!$A:$A,0)),"Uncategorized — Review"))</f>
        <v>DWG Operating</v>
      </c>
    </row>
    <row r="427" customFormat="false" ht="15" hidden="false" customHeight="false" outlineLevel="0" collapsed="false">
      <c r="A427" s="0" t="str">
        <f aca="false">Chase1168_2026!A427</f>
        <v>DEBIT</v>
      </c>
      <c r="B427" s="14" t="n">
        <f aca="false">Chase1168_2026!B427</f>
        <v>46051</v>
      </c>
      <c r="C427" s="0" t="str">
        <f aca="false">Chase1168_2026!C427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PAYMENTS/OCMT/COP26 30909,18/EXCH/3507.8789/CNTR/490935 63/INT/ANDRES_52763ATHOTMAIL.C TRN: 5792300029RE 01/29</v>
      </c>
      <c r="D427" s="7" t="n">
        <f aca="false">Chase1168_2026!D427</f>
        <v>-750</v>
      </c>
      <c r="E427" s="0" t="str">
        <f aca="false">Chase1168_2026!E427</f>
        <v>WIRE_OUTGOING</v>
      </c>
      <c r="F427" s="7" t="n">
        <f aca="false">Chase1168_2026!F427</f>
        <v>13302.99</v>
      </c>
      <c r="G427" s="0" t="str">
        <f aca="false">Chase1168_2026!G427</f>
        <v>Andres Alarcon Payroll</v>
      </c>
      <c r="H427" s="15" t="n">
        <f aca="false">IF($B427="","",DATE(YEAR($B427),MONTH($B427),1))</f>
        <v>46023</v>
      </c>
      <c r="I427" s="0" t="str">
        <f aca="false">IF($G427="","Uncategorized — Review",IFERROR(INDEX(Mapping!$B:$B,MATCH($G427,Mapping!$A:$A,0)),"Uncategorized — Review"))</f>
        <v>Andres Alarcon Payroll</v>
      </c>
      <c r="J427" s="0" t="str">
        <f aca="false">IF($G427="","Uncategorized — Review",IFERROR(INDEX(Mapping!$C:$C,MATCH($G427,Mapping!$A:$A,0)),"Uncategorized — Review"))</f>
        <v>Payroll &amp; Contractors</v>
      </c>
    </row>
    <row r="428" customFormat="false" ht="15" hidden="false" customHeight="false" outlineLevel="0" collapsed="false">
      <c r="A428" s="0" t="str">
        <f aca="false">Chase1168_2026!A428</f>
        <v>DEBIT</v>
      </c>
      <c r="B428" s="14" t="n">
        <f aca="false">Chase1168_2026!B428</f>
        <v>46051</v>
      </c>
      <c r="C428" s="0" t="str">
        <f aca="false">Chase1168_2026!C428</f>
        <v>ORIG CO NAME:GEICO                  ORIG ID:3530075853 DESC DATE:260128 CO ENTRY DESCR:PREM COLL SEC:PPD    TRACE#:021000024666151 EED:260129   IND ID:                             IND NAME:ANGELA DUNNING TRN: 0294666151TC</v>
      </c>
      <c r="D428" s="7" t="n">
        <f aca="false">Chase1168_2026!D428</f>
        <v>-1242.31</v>
      </c>
      <c r="E428" s="0" t="str">
        <f aca="false">Chase1168_2026!E428</f>
        <v>ACH_DEBIT</v>
      </c>
      <c r="F428" s="7" t="n">
        <f aca="false">Chase1168_2026!F428</f>
        <v>14052.99</v>
      </c>
      <c r="G428" s="0" t="str">
        <f aca="false">Chase1168_2026!G428</f>
        <v>Personal - Car Insurance</v>
      </c>
      <c r="H428" s="15" t="n">
        <f aca="false">IF($B428="","",DATE(YEAR($B428),MONTH($B428),1))</f>
        <v>46023</v>
      </c>
      <c r="I428" s="0" t="str">
        <f aca="false">IF($G428="","Uncategorized — Review",IFERROR(INDEX(Mapping!$B:$B,MATCH($G428,Mapping!$A:$A,0)),"Uncategorized — Review"))</f>
        <v>Personal - Car &amp; Auto</v>
      </c>
      <c r="J428" s="0" t="str">
        <f aca="false">IF($G428="","Uncategorized — Review",IFERROR(INDEX(Mapping!$C:$C,MATCH($G428,Mapping!$A:$A,0)),"Uncategorized — Review"))</f>
        <v>Personal — Owner</v>
      </c>
    </row>
    <row r="429" customFormat="false" ht="15" hidden="false" customHeight="false" outlineLevel="0" collapsed="false">
      <c r="A429" s="0" t="str">
        <f aca="false">Chase1168_2026!A429</f>
        <v>DEBIT</v>
      </c>
      <c r="B429" s="14" t="n">
        <f aca="false">Chase1168_2026!B429</f>
        <v>46050</v>
      </c>
      <c r="C429" s="0" t="str">
        <f aca="false">Chase1168_2026!C429</f>
        <v>ORIG CO NAME:VENMO                  ORIG ID:3264681992 DESC DATE:260128 CO ENTRY DESCR:PAYMENT   SEC:WEB    TRACE#:021000026277489 EED:260128   IND ID:1047913862519                IND NAME:JUDD DUNNING                                                                                                 260128PPZ65G TRN: 0286277489TC</v>
      </c>
      <c r="D429" s="7" t="n">
        <f aca="false">Chase1168_2026!D429</f>
        <v>-200</v>
      </c>
      <c r="E429" s="0" t="str">
        <f aca="false">Chase1168_2026!E429</f>
        <v>ACH_DEBIT</v>
      </c>
      <c r="F429" s="7" t="n">
        <f aca="false">Chase1168_2026!F429</f>
        <v>15295.3</v>
      </c>
      <c r="G429" s="0" t="str">
        <f aca="false">Chase1168_2026!G429</f>
        <v>Venmo</v>
      </c>
      <c r="H429" s="15" t="n">
        <f aca="false">IF($B429="","",DATE(YEAR($B429),MONTH($B429),1))</f>
        <v>46023</v>
      </c>
      <c r="I429" s="0" t="str">
        <f aca="false">IF($G429="","Uncategorized — Review",IFERROR(INDEX(Mapping!$B:$B,MATCH($G429,Mapping!$A:$A,0)),"Uncategorized — Review"))</f>
        <v>Venmo</v>
      </c>
      <c r="J429" s="0" t="str">
        <f aca="false">IF($G429="","Uncategorized — Review",IFERROR(INDEX(Mapping!$C:$C,MATCH($G429,Mapping!$A:$A,0)),"Uncategorized — Review"))</f>
        <v>P2P Payments (Zelle/Venmo/PayPal)</v>
      </c>
    </row>
    <row r="430" customFormat="false" ht="15" hidden="false" customHeight="false" outlineLevel="0" collapsed="false">
      <c r="A430" s="0" t="str">
        <f aca="false">Chase1168_2026!A430</f>
        <v>DEBIT</v>
      </c>
      <c r="B430" s="14" t="n">
        <f aca="false">Chase1168_2026!B430</f>
        <v>46050</v>
      </c>
      <c r="C430" s="0" t="str">
        <f aca="false">Chase1168_2026!C430</f>
        <v>ORIG CO NAME:BANNER LIFE            ORIG ID:1521236145 DESC DATE:260127 CO ENTRY DESCR:PREM DEBITSEC:PPD    TRACE#:091000017124067 EED:260128   IND ID:                             IND NAME:ANGELA L DUNNING TRN: 0287124067TC</v>
      </c>
      <c r="D430" s="7" t="n">
        <f aca="false">Chase1168_2026!D430</f>
        <v>-12.5</v>
      </c>
      <c r="E430" s="0" t="str">
        <f aca="false">Chase1168_2026!E430</f>
        <v>ACH_DEBIT</v>
      </c>
      <c r="F430" s="7" t="n">
        <f aca="false">Chase1168_2026!F430</f>
        <v>15495.3</v>
      </c>
      <c r="G430" s="0" t="str">
        <f aca="false">Chase1168_2026!G430</f>
        <v>Personal - Life Insurance</v>
      </c>
      <c r="H430" s="15" t="n">
        <f aca="false">IF($B430="","",DATE(YEAR($B430),MONTH($B430),1))</f>
        <v>46023</v>
      </c>
      <c r="I430" s="0" t="str">
        <f aca="false">IF($G430="","Uncategorized — Review",IFERROR(INDEX(Mapping!$B:$B,MATCH($G430,Mapping!$A:$A,0)),"Uncategorized — Review"))</f>
        <v>Personal - Life Insurance</v>
      </c>
      <c r="J430" s="0" t="str">
        <f aca="false">IF($G430="","Uncategorized — Review",IFERROR(INDEX(Mapping!$C:$C,MATCH($G430,Mapping!$A:$A,0)),"Uncategorized — Review"))</f>
        <v>Personal — Owner</v>
      </c>
    </row>
    <row r="431" customFormat="false" ht="15" hidden="false" customHeight="false" outlineLevel="0" collapsed="false">
      <c r="A431" s="0" t="str">
        <f aca="false">Chase1168_2026!A431</f>
        <v>DEBIT</v>
      </c>
      <c r="B431" s="14" t="n">
        <f aca="false">Chase1168_2026!B431</f>
        <v>46050</v>
      </c>
      <c r="C431" s="0" t="str">
        <f aca="false">Chase1168_2026!C431</f>
        <v>ORIG CO NAME:BANNER LIFE            ORIG ID:1521236145 DESC DATE:260127 CO ENTRY DESCR:PREM DEBITSEC:PPD    TRACE#:091000017124068 EED:260128   IND ID:                             IND NAME:JOHN  DUNNING TRN: 0287124068TC</v>
      </c>
      <c r="D431" s="7" t="n">
        <f aca="false">Chase1168_2026!D431</f>
        <v>-22.92</v>
      </c>
      <c r="E431" s="0" t="str">
        <f aca="false">Chase1168_2026!E431</f>
        <v>ACH_DEBIT</v>
      </c>
      <c r="F431" s="7" t="n">
        <f aca="false">Chase1168_2026!F431</f>
        <v>15507.8</v>
      </c>
      <c r="G431" s="0" t="str">
        <f aca="false">Chase1168_2026!G431</f>
        <v>Personal - Life Insurance</v>
      </c>
      <c r="H431" s="15" t="n">
        <f aca="false">IF($B431="","",DATE(YEAR($B431),MONTH($B431),1))</f>
        <v>46023</v>
      </c>
      <c r="I431" s="0" t="str">
        <f aca="false">IF($G431="","Uncategorized — Review",IFERROR(INDEX(Mapping!$B:$B,MATCH($G431,Mapping!$A:$A,0)),"Uncategorized — Review"))</f>
        <v>Personal - Life Insurance</v>
      </c>
      <c r="J431" s="0" t="str">
        <f aca="false">IF($G431="","Uncategorized — Review",IFERROR(INDEX(Mapping!$C:$C,MATCH($G431,Mapping!$A:$A,0)),"Uncategorized — Review"))</f>
        <v>Personal — Owner</v>
      </c>
    </row>
    <row r="432" customFormat="false" ht="15" hidden="false" customHeight="false" outlineLevel="0" collapsed="false">
      <c r="A432" s="0" t="str">
        <f aca="false">Chase1168_2026!A432</f>
        <v>DEBIT</v>
      </c>
      <c r="B432" s="14" t="n">
        <f aca="false">Chase1168_2026!B432</f>
        <v>46049</v>
      </c>
      <c r="C432" s="0" t="str">
        <f aca="false">Chase1168_2026!C432</f>
        <v>ORIG CO NAME:VENMO                  ORIG ID:3264681992 DESC DATE:260127 CO ENTRY DESCR:PAYMENT   SEC:WEB    TRACE#:021000023177254 EED:260127   IND ID:1047893679747                IND NAME:JUDD DUNNING                                                                                                 260127PPZVED TRN: 0273177254TC</v>
      </c>
      <c r="D432" s="7" t="n">
        <f aca="false">Chase1168_2026!D432</f>
        <v>-40</v>
      </c>
      <c r="E432" s="0" t="str">
        <f aca="false">Chase1168_2026!E432</f>
        <v>ACH_DEBIT</v>
      </c>
      <c r="F432" s="7" t="n">
        <f aca="false">Chase1168_2026!F432</f>
        <v>15530.72</v>
      </c>
      <c r="G432" s="0" t="str">
        <f aca="false">Chase1168_2026!G432</f>
        <v>Venmo</v>
      </c>
      <c r="H432" s="15" t="n">
        <f aca="false">IF($B432="","",DATE(YEAR($B432),MONTH($B432),1))</f>
        <v>46023</v>
      </c>
      <c r="I432" s="0" t="str">
        <f aca="false">IF($G432="","Uncategorized — Review",IFERROR(INDEX(Mapping!$B:$B,MATCH($G432,Mapping!$A:$A,0)),"Uncategorized — Review"))</f>
        <v>Venmo</v>
      </c>
      <c r="J432" s="0" t="str">
        <f aca="false">IF($G432="","Uncategorized — Review",IFERROR(INDEX(Mapping!$C:$C,MATCH($G432,Mapping!$A:$A,0)),"Uncategorized — Review"))</f>
        <v>P2P Payments (Zelle/Venmo/PayPal)</v>
      </c>
    </row>
    <row r="433" customFormat="false" ht="15" hidden="false" customHeight="false" outlineLevel="0" collapsed="false">
      <c r="A433" s="0" t="str">
        <f aca="false">Chase1168_2026!A433</f>
        <v>DEBIT</v>
      </c>
      <c r="B433" s="14" t="n">
        <f aca="false">Chase1168_2026!B433</f>
        <v>46049</v>
      </c>
      <c r="C433" s="0" t="str">
        <f aca="false">Chase1168_2026!C433</f>
        <v>Online Payment 27845179527 To PENTAGON FEDERAL CREDIT UNION 01/27</v>
      </c>
      <c r="D433" s="7" t="n">
        <f aca="false">Chase1168_2026!D433</f>
        <v>-7100</v>
      </c>
      <c r="E433" s="0" t="str">
        <f aca="false">Chase1168_2026!E433</f>
        <v>BILLPAY</v>
      </c>
      <c r="F433" s="7" t="n">
        <f aca="false">Chase1168_2026!F433</f>
        <v>15570.72</v>
      </c>
      <c r="G433" s="0" t="str">
        <f aca="false">Chase1168_2026!G433</f>
        <v>Personal - California Mortgage PMT</v>
      </c>
      <c r="H433" s="15" t="n">
        <f aca="false">IF($B433="","",DATE(YEAR($B433),MONTH($B433),1))</f>
        <v>46023</v>
      </c>
      <c r="I433" s="0" t="str">
        <f aca="false">IF($G433="","Uncategorized — Review",IFERROR(INDEX(Mapping!$B:$B,MATCH($G433,Mapping!$A:$A,0)),"Uncategorized — Review"))</f>
        <v>Personal - California Mortgage PMT</v>
      </c>
      <c r="J433" s="0" t="str">
        <f aca="false">IF($G433="","Uncategorized — Review",IFERROR(INDEX(Mapping!$C:$C,MATCH($G433,Mapping!$A:$A,0)),"Uncategorized — Review"))</f>
        <v>Personal — Owner</v>
      </c>
    </row>
    <row r="434" customFormat="false" ht="15" hidden="false" customHeight="false" outlineLevel="0" collapsed="false">
      <c r="A434" s="0" t="str">
        <f aca="false">Chase1168_2026!A434</f>
        <v>DEBIT</v>
      </c>
      <c r="B434" s="14" t="n">
        <f aca="false">Chase1168_2026!B434</f>
        <v>46049</v>
      </c>
      <c r="C434" s="0" t="str">
        <f aca="false">Chase1168_2026!C434</f>
        <v>Online Payment 27845117544 To MERCEDES BENZ FINANCIAL 01/27</v>
      </c>
      <c r="D434" s="7" t="n">
        <f aca="false">Chase1168_2026!D434</f>
        <v>-500</v>
      </c>
      <c r="E434" s="0" t="str">
        <f aca="false">Chase1168_2026!E434</f>
        <v>BILLPAY</v>
      </c>
      <c r="F434" s="7" t="n">
        <f aca="false">Chase1168_2026!F434</f>
        <v>22670.72</v>
      </c>
      <c r="G434" s="0" t="str">
        <f aca="false">Chase1168_2026!G434</f>
        <v>Personal - Car (Mercedes)</v>
      </c>
      <c r="H434" s="15" t="n">
        <f aca="false">IF($B434="","",DATE(YEAR($B434),MONTH($B434),1))</f>
        <v>46023</v>
      </c>
      <c r="I434" s="0" t="str">
        <f aca="false">IF($G434="","Uncategorized — Review",IFERROR(INDEX(Mapping!$B:$B,MATCH($G434,Mapping!$A:$A,0)),"Uncategorized — Review"))</f>
        <v>Personal - Car &amp; Auto</v>
      </c>
      <c r="J434" s="0" t="str">
        <f aca="false">IF($G434="","Uncategorized — Review",IFERROR(INDEX(Mapping!$C:$C,MATCH($G434,Mapping!$A:$A,0)),"Uncategorized — Review"))</f>
        <v>Personal — Owner</v>
      </c>
    </row>
    <row r="435" customFormat="false" ht="15" hidden="false" customHeight="false" outlineLevel="0" collapsed="false">
      <c r="A435" s="0" t="str">
        <f aca="false">Chase1168_2026!A435</f>
        <v>DEBIT</v>
      </c>
      <c r="B435" s="14" t="n">
        <f aca="false">Chase1168_2026!B435</f>
        <v>46049</v>
      </c>
      <c r="C435" s="0" t="str">
        <f aca="false">Chase1168_2026!C435</f>
        <v>Online Payment 27845142816 To MERCEDES BENZ FINANCIAL 01/27</v>
      </c>
      <c r="D435" s="7" t="n">
        <f aca="false">Chase1168_2026!D435</f>
        <v>-200</v>
      </c>
      <c r="E435" s="0" t="str">
        <f aca="false">Chase1168_2026!E435</f>
        <v>BILLPAY</v>
      </c>
      <c r="F435" s="7" t="n">
        <f aca="false">Chase1168_2026!F435</f>
        <v>23170.72</v>
      </c>
      <c r="G435" s="0" t="str">
        <f aca="false">Chase1168_2026!G435</f>
        <v>Personal - Car (Mercedes)</v>
      </c>
      <c r="H435" s="15" t="n">
        <f aca="false">IF($B435="","",DATE(YEAR($B435),MONTH($B435),1))</f>
        <v>46023</v>
      </c>
      <c r="I435" s="0" t="str">
        <f aca="false">IF($G435="","Uncategorized — Review",IFERROR(INDEX(Mapping!$B:$B,MATCH($G435,Mapping!$A:$A,0)),"Uncategorized — Review"))</f>
        <v>Personal - Car &amp; Auto</v>
      </c>
      <c r="J435" s="0" t="str">
        <f aca="false">IF($G435="","Uncategorized — Review",IFERROR(INDEX(Mapping!$C:$C,MATCH($G435,Mapping!$A:$A,0)),"Uncategorized — Review"))</f>
        <v>Personal — Owner</v>
      </c>
    </row>
    <row r="436" customFormat="false" ht="15" hidden="false" customHeight="false" outlineLevel="0" collapsed="false">
      <c r="A436" s="0" t="str">
        <f aca="false">Chase1168_2026!A436</f>
        <v>DEBIT</v>
      </c>
      <c r="B436" s="14" t="n">
        <f aca="false">Chase1168_2026!B436</f>
        <v>46049</v>
      </c>
      <c r="C436" s="0" t="str">
        <f aca="false">Chase1168_2026!C436</f>
        <v>Online Payment 27845121860 To MERCEDES BENZ FINANCIAL SVCS 01/27</v>
      </c>
      <c r="D436" s="7" t="n">
        <f aca="false">Chase1168_2026!D436</f>
        <v>-1400</v>
      </c>
      <c r="E436" s="0" t="str">
        <f aca="false">Chase1168_2026!E436</f>
        <v>BILLPAY</v>
      </c>
      <c r="F436" s="7" t="n">
        <f aca="false">Chase1168_2026!F436</f>
        <v>23370.72</v>
      </c>
      <c r="G436" s="0" t="str">
        <f aca="false">Chase1168_2026!G436</f>
        <v>Personal - Car (Mercedes)</v>
      </c>
      <c r="H436" s="15" t="n">
        <f aca="false">IF($B436="","",DATE(YEAR($B436),MONTH($B436),1))</f>
        <v>46023</v>
      </c>
      <c r="I436" s="0" t="str">
        <f aca="false">IF($G436="","Uncategorized — Review",IFERROR(INDEX(Mapping!$B:$B,MATCH($G436,Mapping!$A:$A,0)),"Uncategorized — Review"))</f>
        <v>Personal - Car &amp; Auto</v>
      </c>
      <c r="J436" s="0" t="str">
        <f aca="false">IF($G436="","Uncategorized — Review",IFERROR(INDEX(Mapping!$C:$C,MATCH($G436,Mapping!$A:$A,0)),"Uncategorized — Review"))</f>
        <v>Personal — Owner</v>
      </c>
    </row>
    <row r="437" customFormat="false" ht="15" hidden="false" customHeight="false" outlineLevel="0" collapsed="false">
      <c r="A437" s="0" t="str">
        <f aca="false">Chase1168_2026!A437</f>
        <v>DEBIT</v>
      </c>
      <c r="B437" s="14" t="n">
        <f aca="false">Chase1168_2026!B437</f>
        <v>46049</v>
      </c>
      <c r="C437" s="0" t="str">
        <f aca="false">Chase1168_2026!C437</f>
        <v>Online Payment 27845140053 To MERCEDES BENZ FINANCIAL 01/27</v>
      </c>
      <c r="D437" s="7" t="n">
        <f aca="false">Chase1168_2026!D437</f>
        <v>-500</v>
      </c>
      <c r="E437" s="0" t="str">
        <f aca="false">Chase1168_2026!E437</f>
        <v>BILLPAY</v>
      </c>
      <c r="F437" s="7" t="n">
        <f aca="false">Chase1168_2026!F437</f>
        <v>24770.72</v>
      </c>
      <c r="G437" s="0" t="str">
        <f aca="false">Chase1168_2026!G437</f>
        <v>Personal - Car (Mercedes)</v>
      </c>
      <c r="H437" s="15" t="n">
        <f aca="false">IF($B437="","",DATE(YEAR($B437),MONTH($B437),1))</f>
        <v>46023</v>
      </c>
      <c r="I437" s="0" t="str">
        <f aca="false">IF($G437="","Uncategorized — Review",IFERROR(INDEX(Mapping!$B:$B,MATCH($G437,Mapping!$A:$A,0)),"Uncategorized — Review"))</f>
        <v>Personal - Car &amp; Auto</v>
      </c>
      <c r="J437" s="0" t="str">
        <f aca="false">IF($G437="","Uncategorized — Review",IFERROR(INDEX(Mapping!$C:$C,MATCH($G437,Mapping!$A:$A,0)),"Uncategorized — Review"))</f>
        <v>Personal — Owner</v>
      </c>
    </row>
    <row r="438" customFormat="false" ht="15" hidden="false" customHeight="false" outlineLevel="0" collapsed="false">
      <c r="A438" s="0" t="str">
        <f aca="false">Chase1168_2026!A438</f>
        <v>DEBIT</v>
      </c>
      <c r="B438" s="14" t="n">
        <f aca="false">Chase1168_2026!B438</f>
        <v>46049</v>
      </c>
      <c r="C438" s="0" t="str">
        <f aca="false">Chase1168_2026!C438</f>
        <v>Online Transfer to CHK ...1117 transaction#: 27845107163 01/27</v>
      </c>
      <c r="D438" s="7" t="n">
        <f aca="false">Chase1168_2026!D438</f>
        <v>-5000</v>
      </c>
      <c r="E438" s="0" t="str">
        <f aca="false">Chase1168_2026!E438</f>
        <v>ACCT_XFER</v>
      </c>
      <c r="F438" s="7" t="n">
        <f aca="false">Chase1168_2026!F438</f>
        <v>25270.72</v>
      </c>
      <c r="G438" s="0" t="str">
        <f aca="false">Chase1168_2026!G438</f>
        <v>Transfer to Angela Dunning</v>
      </c>
      <c r="H438" s="15" t="n">
        <f aca="false">IF($B438="","",DATE(YEAR($B438),MONTH($B438),1))</f>
        <v>46023</v>
      </c>
      <c r="I438" s="0" t="str">
        <f aca="false">IF($G438="","Uncategorized — Review",IFERROR(INDEX(Mapping!$B:$B,MATCH($G438,Mapping!$A:$A,0)),"Uncategorized — Review"))</f>
        <v>Transfer to Angela Dunning</v>
      </c>
      <c r="J438" s="0" t="str">
        <f aca="false">IF($G438="","Uncategorized — Review",IFERROR(INDEX(Mapping!$C:$C,MATCH($G438,Mapping!$A:$A,0)),"Uncategorized — Review"))</f>
        <v>Owner / Family Distributions</v>
      </c>
    </row>
    <row r="439" customFormat="false" ht="15" hidden="false" customHeight="false" outlineLevel="0" collapsed="false">
      <c r="A439" s="0" t="str">
        <f aca="false">Chase1168_2026!A439</f>
        <v>DEBIT</v>
      </c>
      <c r="B439" s="14" t="n">
        <f aca="false">Chase1168_2026!B439</f>
        <v>46049</v>
      </c>
      <c r="C439" s="0" t="str">
        <f aca="false">Chase1168_2026!C439</f>
        <v>Online Transfer to CHK ...6975 transaction#: 27845110664 01/27</v>
      </c>
      <c r="D439" s="7" t="n">
        <f aca="false">Chase1168_2026!D439</f>
        <v>-1000</v>
      </c>
      <c r="E439" s="0" t="str">
        <f aca="false">Chase1168_2026!E439</f>
        <v>ACCT_XFER</v>
      </c>
      <c r="F439" s="7" t="n">
        <f aca="false">Chase1168_2026!F439</f>
        <v>30270.72</v>
      </c>
      <c r="G439" s="0" t="str">
        <f aca="false">Chase1168_2026!G439</f>
        <v>Transfer to Ava Perez-Dunning</v>
      </c>
      <c r="H439" s="15" t="n">
        <f aca="false">IF($B439="","",DATE(YEAR($B439),MONTH($B439),1))</f>
        <v>46023</v>
      </c>
      <c r="I439" s="0" t="str">
        <f aca="false">IF($G439="","Uncategorized — Review",IFERROR(INDEX(Mapping!$B:$B,MATCH($G439,Mapping!$A:$A,0)),"Uncategorized — Review"))</f>
        <v>Transfer to Ava Perez-Dunning</v>
      </c>
      <c r="J439" s="0" t="str">
        <f aca="false">IF($G439="","Uncategorized — Review",IFERROR(INDEX(Mapping!$C:$C,MATCH($G439,Mapping!$A:$A,0)),"Uncategorized — Review"))</f>
        <v>Owner / Family Distributions</v>
      </c>
    </row>
    <row r="440" customFormat="false" ht="15" hidden="false" customHeight="false" outlineLevel="0" collapsed="false">
      <c r="A440" s="0" t="str">
        <f aca="false">Chase1168_2026!A440</f>
        <v>DEBIT</v>
      </c>
      <c r="B440" s="14" t="n">
        <f aca="false">Chase1168_2026!B440</f>
        <v>46049</v>
      </c>
      <c r="C440" s="0" t="str">
        <f aca="false">Chase1168_2026!C440</f>
        <v>Online Transfer to CHK ...7899 transaction#: 27845074391 01/27</v>
      </c>
      <c r="D440" s="7" t="n">
        <f aca="false">Chase1168_2026!D440</f>
        <v>-10000</v>
      </c>
      <c r="E440" s="0" t="str">
        <f aca="false">Chase1168_2026!E440</f>
        <v>ACCT_XFER</v>
      </c>
      <c r="F440" s="7" t="n">
        <f aca="false">Chase1168_2026!F440</f>
        <v>31270.72</v>
      </c>
      <c r="G440" s="0" t="str">
        <f aca="false">Chase1168_2026!G440</f>
        <v>Transfer to TX Personal Joint</v>
      </c>
      <c r="H440" s="15" t="n">
        <f aca="false">IF($B440="","",DATE(YEAR($B440),MONTH($B440),1))</f>
        <v>46023</v>
      </c>
      <c r="I440" s="0" t="str">
        <f aca="false">IF($G440="","Uncategorized — Review",IFERROR(INDEX(Mapping!$B:$B,MATCH($G440,Mapping!$A:$A,0)),"Uncategorized — Review"))</f>
        <v>Transfer to TX Personal Joint</v>
      </c>
      <c r="J440" s="0" t="str">
        <f aca="false">IF($G440="","Uncategorized — Review",IFERROR(INDEX(Mapping!$C:$C,MATCH($G440,Mapping!$A:$A,0)),"Uncategorized — Review"))</f>
        <v>Owner / Family Distributions</v>
      </c>
    </row>
    <row r="441" customFormat="false" ht="15" hidden="false" customHeight="false" outlineLevel="0" collapsed="false">
      <c r="A441" s="0" t="str">
        <f aca="false">Chase1168_2026!A441</f>
        <v>DEBIT</v>
      </c>
      <c r="B441" s="14" t="n">
        <f aca="false">Chase1168_2026!B441</f>
        <v>46049</v>
      </c>
      <c r="C441" s="0" t="str">
        <f aca="false">Chase1168_2026!C441</f>
        <v>ORIG CO NAME:INTUIT *               ORIG ID:0000756346 DESC DATE:260127 CO ENTRY DESCR:QBooks OnlSEC:CCD    TRACE#:021000024869716 EED:260127   IND ID:9501089                      IND NAME:DWG CAPITAL GROUP                                                                                            800-446-8848 TRN: 0274869716TC</v>
      </c>
      <c r="D441" s="7" t="n">
        <f aca="false">Chase1168_2026!D441</f>
        <v>-121.21</v>
      </c>
      <c r="E441" s="0" t="str">
        <f aca="false">Chase1168_2026!E441</f>
        <v>ACH_DEBIT</v>
      </c>
      <c r="F441" s="7" t="n">
        <f aca="false">Chase1168_2026!F441</f>
        <v>41270.72</v>
      </c>
      <c r="G441" s="0" t="str">
        <f aca="false">Chase1168_2026!G441</f>
        <v>Software/Accounting</v>
      </c>
      <c r="H441" s="15" t="n">
        <f aca="false">IF($B441="","",DATE(YEAR($B441),MONTH($B441),1))</f>
        <v>46023</v>
      </c>
      <c r="I441" s="0" t="str">
        <f aca="false">IF($G441="","Uncategorized — Review",IFERROR(INDEX(Mapping!$B:$B,MATCH($G441,Mapping!$A:$A,0)),"Uncategorized — Review"))</f>
        <v>Software/Accounting</v>
      </c>
      <c r="J441" s="0" t="str">
        <f aca="false">IF($G441="","Uncategorized — Review",IFERROR(INDEX(Mapping!$C:$C,MATCH($G441,Mapping!$A:$A,0)),"Uncategorized — Review"))</f>
        <v>DWG Operating</v>
      </c>
    </row>
    <row r="442" customFormat="false" ht="15" hidden="false" customHeight="false" outlineLevel="0" collapsed="false">
      <c r="A442" s="0" t="str">
        <f aca="false">Chase1168_2026!A442</f>
        <v>DEBIT</v>
      </c>
      <c r="B442" s="14" t="n">
        <f aca="false">Chase1168_2026!B442</f>
        <v>46049</v>
      </c>
      <c r="C442" s="0" t="str">
        <f aca="false">Chase1168_2026!C442</f>
        <v>Online Transfer to CHK ...9816 transaction#: 27841610828 01/27</v>
      </c>
      <c r="D442" s="7" t="n">
        <f aca="false">Chase1168_2026!D442</f>
        <v>-200</v>
      </c>
      <c r="E442" s="0" t="str">
        <f aca="false">Chase1168_2026!E442</f>
        <v>ACCT_XFER</v>
      </c>
      <c r="F442" s="7" t="n">
        <f aca="false">Chase1168_2026!F442</f>
        <v>41391.93</v>
      </c>
      <c r="G442" s="0" t="str">
        <f aca="false">Chase1168_2026!G442</f>
        <v>Transfer to SPF</v>
      </c>
      <c r="H442" s="15" t="n">
        <f aca="false">IF($B442="","",DATE(YEAR($B442),MONTH($B442),1))</f>
        <v>46023</v>
      </c>
      <c r="I442" s="0" t="str">
        <f aca="false">IF($G442="","Uncategorized — Review",IFERROR(INDEX(Mapping!$B:$B,MATCH($G442,Mapping!$A:$A,0)),"Uncategorized — Review"))</f>
        <v>Transfer to SPF</v>
      </c>
      <c r="J442" s="0" t="str">
        <f aca="false">IF($G442="","Uncategorized — Review",IFERROR(INDEX(Mapping!$C:$C,MATCH($G442,Mapping!$A:$A,0)),"Uncategorized — Review"))</f>
        <v>Intercompany &amp; Savings Transfers</v>
      </c>
    </row>
    <row r="443" customFormat="false" ht="15" hidden="false" customHeight="false" outlineLevel="0" collapsed="false">
      <c r="A443" s="0" t="str">
        <f aca="false">Chase1168_2026!A443</f>
        <v>DEBIT</v>
      </c>
      <c r="B443" s="14" t="n">
        <f aca="false">Chase1168_2026!B443</f>
        <v>46049</v>
      </c>
      <c r="C443" s="0" t="str">
        <f aca="false">Chase1168_2026!C443</f>
        <v>Zelle payment to Jeffrey Seider JPM99c3f4jx2</v>
      </c>
      <c r="D443" s="7" t="n">
        <f aca="false">Chase1168_2026!D443</f>
        <v>-200</v>
      </c>
      <c r="E443" s="0" t="str">
        <f aca="false">Chase1168_2026!E443</f>
        <v>CHASE_TO_PARTNERFI</v>
      </c>
      <c r="F443" s="7" t="n">
        <f aca="false">Chase1168_2026!F443</f>
        <v>41591.93</v>
      </c>
      <c r="G443" s="0" t="str">
        <f aca="false">Chase1168_2026!G443</f>
        <v>Zelle - Jeff Seider</v>
      </c>
      <c r="H443" s="15" t="n">
        <f aca="false">IF($B443="","",DATE(YEAR($B443),MONTH($B443),1))</f>
        <v>46023</v>
      </c>
      <c r="I443" s="0" t="str">
        <f aca="false">IF($G443="","Uncategorized — Review",IFERROR(INDEX(Mapping!$B:$B,MATCH($G443,Mapping!$A:$A,0)),"Uncategorized — Review"))</f>
        <v>Zelle - Jeff Seider</v>
      </c>
      <c r="J443" s="0" t="str">
        <f aca="false">IF($G443="","Uncategorized — Review",IFERROR(INDEX(Mapping!$C:$C,MATCH($G443,Mapping!$A:$A,0)),"Uncategorized — Review"))</f>
        <v>P2P Payments (Zelle/Venmo/PayPal)</v>
      </c>
    </row>
    <row r="444" customFormat="false" ht="15" hidden="false" customHeight="false" outlineLevel="0" collapsed="false">
      <c r="A444" s="0" t="str">
        <f aca="false">Chase1168_2026!A444</f>
        <v>CREDIT</v>
      </c>
      <c r="B444" s="14" t="n">
        <f aca="false">Chase1168_2026!B444</f>
        <v>46049</v>
      </c>
      <c r="C444" s="0" t="str">
        <f aca="false">Chase1168_2026!C444</f>
        <v>Online Transfer from CHK ...9335 transaction#: 27845061443</v>
      </c>
      <c r="D444" s="7" t="n">
        <f aca="false">Chase1168_2026!D444</f>
        <v>30000</v>
      </c>
      <c r="E444" s="0" t="str">
        <f aca="false">Chase1168_2026!E444</f>
        <v>ACCT_XFER</v>
      </c>
      <c r="F444" s="7" t="n">
        <f aca="false">Chase1168_2026!F444</f>
        <v>41791.93</v>
      </c>
      <c r="G444" s="0" t="str">
        <f aca="false">Chase1168_2026!G444</f>
        <v>Poseidon Asset Group (Incoming)</v>
      </c>
      <c r="H444" s="15" t="n">
        <f aca="false">IF($B444="","",DATE(YEAR($B444),MONTH($B444),1))</f>
        <v>46023</v>
      </c>
      <c r="I444" s="0" t="str">
        <f aca="false">IF($G444="","Uncategorized — Review",IFERROR(INDEX(Mapping!$B:$B,MATCH($G444,Mapping!$A:$A,0)),"Uncategorized — Review"))</f>
        <v>Poseidon Asset Group (Incoming)</v>
      </c>
      <c r="J444" s="0" t="str">
        <f aca="false">IF($G444="","Uncategorized — Review",IFERROR(INDEX(Mapping!$C:$C,MATCH($G444,Mapping!$A:$A,0)),"Uncategorized — Review"))</f>
        <v>Poseidon Asset Group</v>
      </c>
    </row>
    <row r="445" customFormat="false" ht="15" hidden="false" customHeight="false" outlineLevel="0" collapsed="false">
      <c r="A445" s="0" t="str">
        <f aca="false">Chase1168_2026!A445</f>
        <v>DEBIT</v>
      </c>
      <c r="B445" s="14" t="n">
        <f aca="false">Chase1168_2026!B445</f>
        <v>46048</v>
      </c>
      <c r="C445" s="0" t="str">
        <f aca="false">Chase1168_2026!C445</f>
        <v>ORIG CO NAME:VENMO                  ORIG ID:3264681992 DESC DATE:260126 CO ENTRY DESCR:PAYMENT   SEC:WEB    TRACE#:021000028544178 EED:260126   IND ID:1047858105605                IND NAME:JUDD DUNNING                                                                                                 260126PPZE7D TRN: 0268544178TC</v>
      </c>
      <c r="D445" s="7" t="n">
        <f aca="false">Chase1168_2026!D445</f>
        <v>-20</v>
      </c>
      <c r="E445" s="0" t="str">
        <f aca="false">Chase1168_2026!E445</f>
        <v>ACH_DEBIT</v>
      </c>
      <c r="F445" s="7" t="n">
        <f aca="false">Chase1168_2026!F445</f>
        <v>11791.93</v>
      </c>
      <c r="G445" s="0" t="str">
        <f aca="false">Chase1168_2026!G445</f>
        <v>Venmo</v>
      </c>
      <c r="H445" s="15" t="n">
        <f aca="false">IF($B445="","",DATE(YEAR($B445),MONTH($B445),1))</f>
        <v>46023</v>
      </c>
      <c r="I445" s="0" t="str">
        <f aca="false">IF($G445="","Uncategorized — Review",IFERROR(INDEX(Mapping!$B:$B,MATCH($G445,Mapping!$A:$A,0)),"Uncategorized — Review"))</f>
        <v>Venmo</v>
      </c>
      <c r="J445" s="0" t="str">
        <f aca="false">IF($G445="","Uncategorized — Review",IFERROR(INDEX(Mapping!$C:$C,MATCH($G445,Mapping!$A:$A,0)),"Uncategorized — Review"))</f>
        <v>P2P Payments (Zelle/Venmo/PayPal)</v>
      </c>
    </row>
    <row r="446" customFormat="false" ht="15" hidden="false" customHeight="false" outlineLevel="0" collapsed="false">
      <c r="A446" s="0" t="str">
        <f aca="false">Chase1168_2026!A446</f>
        <v>DEBIT</v>
      </c>
      <c r="B446" s="14" t="n">
        <f aca="false">Chase1168_2026!B446</f>
        <v>46048</v>
      </c>
      <c r="C446" s="0" t="str">
        <f aca="false">Chase1168_2026!C446</f>
        <v>Basic Online Payroll Payment 11203666650 to ########4122</v>
      </c>
      <c r="D446" s="7" t="n">
        <f aca="false">Chase1168_2026!D446</f>
        <v>-1750</v>
      </c>
      <c r="E446" s="0" t="str">
        <f aca="false">Chase1168_2026!E446</f>
        <v>BASIC_PAYROLL</v>
      </c>
      <c r="F446" s="7" t="n">
        <f aca="false">Chase1168_2026!F446</f>
        <v>11811.93</v>
      </c>
      <c r="G446" s="0" t="str">
        <f aca="false">Chase1168_2026!G446</f>
        <v>Mike Paytonjian - Payroll</v>
      </c>
      <c r="H446" s="15" t="n">
        <f aca="false">IF($B446="","",DATE(YEAR($B446),MONTH($B446),1))</f>
        <v>46023</v>
      </c>
      <c r="I446" s="0" t="str">
        <f aca="false">IF($G446="","Uncategorized — Review",IFERROR(INDEX(Mapping!$B:$B,MATCH($G446,Mapping!$A:$A,0)),"Uncategorized — Review"))</f>
        <v>Mike Paytonjian - Payroll</v>
      </c>
      <c r="J446" s="0" t="str">
        <f aca="false">IF($G446="","Uncategorized — Review",IFERROR(INDEX(Mapping!$C:$C,MATCH($G446,Mapping!$A:$A,0)),"Uncategorized — Review"))</f>
        <v>Payroll &amp; Contractors</v>
      </c>
    </row>
    <row r="447" customFormat="false" ht="15" hidden="false" customHeight="false" outlineLevel="0" collapsed="false">
      <c r="A447" s="0" t="str">
        <f aca="false">Chase1168_2026!A447</f>
        <v>DEBIT</v>
      </c>
      <c r="B447" s="14" t="n">
        <f aca="false">Chase1168_2026!B447</f>
        <v>46048</v>
      </c>
      <c r="C447" s="0" t="str">
        <f aca="false">Chase1168_2026!C447</f>
        <v>DISNEY PLUS ECOM LAKE BUENA VI FL    085357  01/26</v>
      </c>
      <c r="D447" s="7" t="n">
        <f aca="false">Chase1168_2026!D447</f>
        <v>-20.51</v>
      </c>
      <c r="E447" s="0" t="str">
        <f aca="false">Chase1168_2026!E447</f>
        <v>DEBIT_CARD</v>
      </c>
      <c r="F447" s="7" t="n">
        <f aca="false">Chase1168_2026!F447</f>
        <v>13561.93</v>
      </c>
      <c r="G447" s="0" t="str">
        <f aca="false">Chase1168_2026!G447</f>
        <v>Personal - Subscriptions</v>
      </c>
      <c r="H447" s="15" t="n">
        <f aca="false">IF($B447="","",DATE(YEAR($B447),MONTH($B447),1))</f>
        <v>46023</v>
      </c>
      <c r="I447" s="0" t="str">
        <f aca="false">IF($G447="","Uncategorized — Review",IFERROR(INDEX(Mapping!$B:$B,MATCH($G447,Mapping!$A:$A,0)),"Uncategorized — Review"))</f>
        <v>Personal - Subscriptions</v>
      </c>
      <c r="J447" s="0" t="str">
        <f aca="false">IF($G447="","Uncategorized — Review",IFERROR(INDEX(Mapping!$C:$C,MATCH($G447,Mapping!$A:$A,0)),"Uncategorized — Review"))</f>
        <v>Personal — Owner</v>
      </c>
    </row>
    <row r="448" customFormat="false" ht="15" hidden="false" customHeight="false" outlineLevel="0" collapsed="false">
      <c r="A448" s="0" t="str">
        <f aca="false">Chase1168_2026!A448</f>
        <v>DEBIT</v>
      </c>
      <c r="B448" s="14" t="n">
        <f aca="false">Chase1168_2026!B448</f>
        <v>46048</v>
      </c>
      <c r="C448" s="0" t="str">
        <f aca="false">Chase1168_2026!C448</f>
        <v>ORIG CO NAME:VENMO                  ORIG ID:3264681992 DESC DATE:260125 CO ENTRY DESCR:PAYMENT   SEC:WEB    TRACE#:021000022481623 EED:260126   IND ID:1047846760637                IND NAME:JUDD DUNNING                                                                                                 260125PPZDAJ TRN: 0262481623TC</v>
      </c>
      <c r="D448" s="7" t="n">
        <f aca="false">Chase1168_2026!D448</f>
        <v>-1000</v>
      </c>
      <c r="E448" s="0" t="str">
        <f aca="false">Chase1168_2026!E448</f>
        <v>ACH_DEBIT</v>
      </c>
      <c r="F448" s="7" t="n">
        <f aca="false">Chase1168_2026!F448</f>
        <v>13582.44</v>
      </c>
      <c r="G448" s="0" t="str">
        <f aca="false">Chase1168_2026!G448</f>
        <v>Venmo</v>
      </c>
      <c r="H448" s="15" t="n">
        <f aca="false">IF($B448="","",DATE(YEAR($B448),MONTH($B448),1))</f>
        <v>46023</v>
      </c>
      <c r="I448" s="0" t="str">
        <f aca="false">IF($G448="","Uncategorized — Review",IFERROR(INDEX(Mapping!$B:$B,MATCH($G448,Mapping!$A:$A,0)),"Uncategorized — Review"))</f>
        <v>Venmo</v>
      </c>
      <c r="J448" s="0" t="str">
        <f aca="false">IF($G448="","Uncategorized — Review",IFERROR(INDEX(Mapping!$C:$C,MATCH($G448,Mapping!$A:$A,0)),"Uncategorized — Review"))</f>
        <v>P2P Payments (Zelle/Venmo/PayPal)</v>
      </c>
    </row>
    <row r="449" customFormat="false" ht="15" hidden="false" customHeight="false" outlineLevel="0" collapsed="false">
      <c r="A449" s="0" t="str">
        <f aca="false">Chase1168_2026!A449</f>
        <v>DEBIT</v>
      </c>
      <c r="B449" s="14" t="n">
        <f aca="false">Chase1168_2026!B449</f>
        <v>46048</v>
      </c>
      <c r="C449" s="0" t="str">
        <f aca="false">Chase1168_2026!C449</f>
        <v>PAYPAL *RUTHALCANCI 402-935-7733 CA          01/25</v>
      </c>
      <c r="D449" s="7" t="n">
        <f aca="false">Chase1168_2026!D449</f>
        <v>-100</v>
      </c>
      <c r="E449" s="0" t="str">
        <f aca="false">Chase1168_2026!E449</f>
        <v>DEBIT_CARD</v>
      </c>
      <c r="F449" s="7" t="n">
        <f aca="false">Chase1168_2026!F449</f>
        <v>14582.44</v>
      </c>
      <c r="G449" s="0" t="str">
        <f aca="false">Chase1168_2026!G449</f>
        <v>Ruth Alcancia - Forward Bridge Payment</v>
      </c>
      <c r="H449" s="15" t="n">
        <f aca="false">IF($B449="","",DATE(YEAR($B449),MONTH($B449),1))</f>
        <v>46023</v>
      </c>
      <c r="I449" s="0" t="str">
        <f aca="false">IF($G449="","Uncategorized — Review",IFERROR(INDEX(Mapping!$B:$B,MATCH($G449,Mapping!$A:$A,0)),"Uncategorized — Review"))</f>
        <v>Ruth Alcancia - Forward Bridge Payment</v>
      </c>
      <c r="J449" s="0" t="str">
        <f aca="false">IF($G449="","Uncategorized — Review",IFERROR(INDEX(Mapping!$C:$C,MATCH($G449,Mapping!$A:$A,0)),"Uncategorized — Review"))</f>
        <v>Payroll &amp; Contractors</v>
      </c>
    </row>
    <row r="450" customFormat="false" ht="15" hidden="false" customHeight="false" outlineLevel="0" collapsed="false">
      <c r="A450" s="0" t="str">
        <f aca="false">Chase1168_2026!A450</f>
        <v>DEBIT</v>
      </c>
      <c r="B450" s="14" t="n">
        <f aca="false">Chase1168_2026!B450</f>
        <v>46048</v>
      </c>
      <c r="C450" s="0" t="str">
        <f aca="false">Chase1168_2026!C450</f>
        <v>Online Transfer to CHK ...0709 transaction#: 27810912696 01/26</v>
      </c>
      <c r="D450" s="7" t="n">
        <f aca="false">Chase1168_2026!D450</f>
        <v>-1000</v>
      </c>
      <c r="E450" s="0" t="str">
        <f aca="false">Chase1168_2026!E450</f>
        <v>ACCT_XFER</v>
      </c>
      <c r="F450" s="7" t="n">
        <f aca="false">Chase1168_2026!F450</f>
        <v>14682.44</v>
      </c>
      <c r="G450" s="0" t="str">
        <f aca="false">Chase1168_2026!G450</f>
        <v>Transfer to DWG Capital Group_Savings</v>
      </c>
      <c r="H450" s="15" t="n">
        <f aca="false">IF($B450="","",DATE(YEAR($B450),MONTH($B450),1))</f>
        <v>46023</v>
      </c>
      <c r="I450" s="0" t="str">
        <f aca="false">IF($G450="","Uncategorized — Review",IFERROR(INDEX(Mapping!$B:$B,MATCH($G450,Mapping!$A:$A,0)),"Uncategorized — Review"))</f>
        <v>Transfer to DWG Savings</v>
      </c>
      <c r="J450" s="0" t="str">
        <f aca="false">IF($G450="","Uncategorized — Review",IFERROR(INDEX(Mapping!$C:$C,MATCH($G450,Mapping!$A:$A,0)),"Uncategorized — Review"))</f>
        <v>Intercompany &amp; Savings Transfers</v>
      </c>
    </row>
    <row r="451" customFormat="false" ht="15" hidden="false" customHeight="false" outlineLevel="0" collapsed="false">
      <c r="A451" s="0" t="str">
        <f aca="false">Chase1168_2026!A451</f>
        <v>DEBIT</v>
      </c>
      <c r="B451" s="14" t="n">
        <f aca="false">Chase1168_2026!B451</f>
        <v>46045</v>
      </c>
      <c r="C451" s="0" t="str">
        <f aca="false">Chase1168_2026!C451</f>
        <v>ORIG CO NAME:VENMO                  ORIG ID:3264681992 DESC DATE:260123 CO ENTRY DESCR:PAYMENT   SEC:WEB    TRACE#:021000020695823 EED:260123   IND ID:1047805350013                IND NAME:JUDD DUNNING                                                                                                 260123PPZ789 TRN: 0230695823TC</v>
      </c>
      <c r="D451" s="7" t="n">
        <f aca="false">Chase1168_2026!D451</f>
        <v>-300</v>
      </c>
      <c r="E451" s="0" t="str">
        <f aca="false">Chase1168_2026!E451</f>
        <v>ACH_DEBIT</v>
      </c>
      <c r="F451" s="7" t="n">
        <f aca="false">Chase1168_2026!F451</f>
        <v>15682.44</v>
      </c>
      <c r="G451" s="0" t="str">
        <f aca="false">Chase1168_2026!G451</f>
        <v>Venmo</v>
      </c>
      <c r="H451" s="15" t="n">
        <f aca="false">IF($B451="","",DATE(YEAR($B451),MONTH($B451),1))</f>
        <v>46023</v>
      </c>
      <c r="I451" s="0" t="str">
        <f aca="false">IF($G451="","Uncategorized — Review",IFERROR(INDEX(Mapping!$B:$B,MATCH($G451,Mapping!$A:$A,0)),"Uncategorized — Review"))</f>
        <v>Venmo</v>
      </c>
      <c r="J451" s="0" t="str">
        <f aca="false">IF($G451="","Uncategorized — Review",IFERROR(INDEX(Mapping!$C:$C,MATCH($G451,Mapping!$A:$A,0)),"Uncategorized — Review"))</f>
        <v>P2P Payments (Zelle/Venmo/PayPal)</v>
      </c>
    </row>
    <row r="452" customFormat="false" ht="15" hidden="false" customHeight="false" outlineLevel="0" collapsed="false">
      <c r="A452" s="0" t="str">
        <f aca="false">Chase1168_2026!A452</f>
        <v>DEBIT</v>
      </c>
      <c r="B452" s="14" t="n">
        <f aca="false">Chase1168_2026!B452</f>
        <v>46044</v>
      </c>
      <c r="C452" s="0" t="str">
        <f aca="false">Chase1168_2026!C452</f>
        <v>Experian* ProtectMyID 866-5849446 CA         01/22</v>
      </c>
      <c r="D452" s="7" t="n">
        <f aca="false">Chase1168_2026!D452</f>
        <v>-17.95</v>
      </c>
      <c r="E452" s="0" t="str">
        <f aca="false">Chase1168_2026!E452</f>
        <v>DEBIT_CARD</v>
      </c>
      <c r="F452" s="7" t="n">
        <f aca="false">Chase1168_2026!F452</f>
        <v>15982.44</v>
      </c>
      <c r="G452" s="0" t="str">
        <f aca="false">Chase1168_2026!G452</f>
        <v>Personal - Subscriptions</v>
      </c>
      <c r="H452" s="15" t="n">
        <f aca="false">IF($B452="","",DATE(YEAR($B452),MONTH($B452),1))</f>
        <v>46023</v>
      </c>
      <c r="I452" s="0" t="str">
        <f aca="false">IF($G452="","Uncategorized — Review",IFERROR(INDEX(Mapping!$B:$B,MATCH($G452,Mapping!$A:$A,0)),"Uncategorized — Review"))</f>
        <v>Personal - Subscriptions</v>
      </c>
      <c r="J452" s="0" t="str">
        <f aca="false">IF($G452="","Uncategorized — Review",IFERROR(INDEX(Mapping!$C:$C,MATCH($G452,Mapping!$A:$A,0)),"Uncategorized — Review"))</f>
        <v>Personal — Owner</v>
      </c>
    </row>
    <row r="453" customFormat="false" ht="15" hidden="false" customHeight="false" outlineLevel="0" collapsed="false">
      <c r="A453" s="0" t="str">
        <f aca="false">Chase1168_2026!A453</f>
        <v>DEBIT</v>
      </c>
      <c r="B453" s="14" t="n">
        <f aca="false">Chase1168_2026!B453</f>
        <v>46043</v>
      </c>
      <c r="C453" s="0" t="str">
        <f aca="false">Chase1168_2026!C453</f>
        <v>Online Transfer to CHK ...0709 transaction#: 27778991353 01/21</v>
      </c>
      <c r="D453" s="7" t="n">
        <f aca="false">Chase1168_2026!D453</f>
        <v>-142</v>
      </c>
      <c r="E453" s="0" t="str">
        <f aca="false">Chase1168_2026!E453</f>
        <v>ACCT_XFER</v>
      </c>
      <c r="F453" s="7" t="n">
        <f aca="false">Chase1168_2026!F453</f>
        <v>16000.39</v>
      </c>
      <c r="G453" s="0" t="str">
        <f aca="false">Chase1168_2026!G453</f>
        <v>Transfer to DWG Capital Group_Savings</v>
      </c>
      <c r="H453" s="15" t="n">
        <f aca="false">IF($B453="","",DATE(YEAR($B453),MONTH($B453),1))</f>
        <v>46023</v>
      </c>
      <c r="I453" s="0" t="str">
        <f aca="false">IF($G453="","Uncategorized — Review",IFERROR(INDEX(Mapping!$B:$B,MATCH($G453,Mapping!$A:$A,0)),"Uncategorized — Review"))</f>
        <v>Transfer to DWG Savings</v>
      </c>
      <c r="J453" s="0" t="str">
        <f aca="false">IF($G453="","Uncategorized — Review",IFERROR(INDEX(Mapping!$C:$C,MATCH($G453,Mapping!$A:$A,0)),"Uncategorized — Review"))</f>
        <v>Intercompany &amp; Savings Transfers</v>
      </c>
    </row>
    <row r="454" customFormat="false" ht="15" hidden="false" customHeight="false" outlineLevel="0" collapsed="false">
      <c r="A454" s="0" t="str">
        <f aca="false">Chase1168_2026!A454</f>
        <v>DEBIT</v>
      </c>
      <c r="B454" s="14" t="n">
        <f aca="false">Chase1168_2026!B454</f>
        <v>46043</v>
      </c>
      <c r="C454" s="0" t="str">
        <f aca="false">Chase1168_2026!C454</f>
        <v>INDEED USI26-00536001 AUSTIN TX      082631  01/21</v>
      </c>
      <c r="D454" s="7" t="n">
        <f aca="false">Chase1168_2026!D454</f>
        <v>-500.08</v>
      </c>
      <c r="E454" s="0" t="str">
        <f aca="false">Chase1168_2026!E454</f>
        <v>DEBIT_CARD</v>
      </c>
      <c r="F454" s="7" t="n">
        <f aca="false">Chase1168_2026!F454</f>
        <v>16142.39</v>
      </c>
      <c r="G454" s="0" t="str">
        <f aca="false">Chase1168_2026!G454</f>
        <v>DWG HR</v>
      </c>
      <c r="H454" s="15" t="n">
        <f aca="false">IF($B454="","",DATE(YEAR($B454),MONTH($B454),1))</f>
        <v>46023</v>
      </c>
      <c r="I454" s="0" t="str">
        <f aca="false">IF($G454="","Uncategorized — Review",IFERROR(INDEX(Mapping!$B:$B,MATCH($G454,Mapping!$A:$A,0)),"Uncategorized — Review"))</f>
        <v>DWG HR</v>
      </c>
      <c r="J454" s="0" t="str">
        <f aca="false">IF($G454="","Uncategorized — Review",IFERROR(INDEX(Mapping!$C:$C,MATCH($G454,Mapping!$A:$A,0)),"Uncategorized — Review"))</f>
        <v>Payroll &amp; Contractors</v>
      </c>
    </row>
    <row r="455" customFormat="false" ht="15" hidden="false" customHeight="false" outlineLevel="0" collapsed="false">
      <c r="A455" s="0" t="str">
        <f aca="false">Chase1168_2026!A455</f>
        <v>DEBIT</v>
      </c>
      <c r="B455" s="14" t="n">
        <f aca="false">Chase1168_2026!B455</f>
        <v>46043</v>
      </c>
      <c r="C455" s="0" t="str">
        <f aca="false">Chase1168_2026!C455</f>
        <v>ORIG CO NAME:PRINCIPAL-CCAPNL       ORIG ID:9INDPNLEFT DESC DATE:011926 CO ENTRY DESCR:PRIN FINANSEC:PPD    TRACE#:091000018188408 EED:260121   IND ID:                             IND NAME:JOHN B DUNNING TRN: 0218188408TC</v>
      </c>
      <c r="D455" s="7" t="n">
        <f aca="false">Chase1168_2026!D455</f>
        <v>-331.54</v>
      </c>
      <c r="E455" s="0" t="str">
        <f aca="false">Chase1168_2026!E455</f>
        <v>ACH_DEBIT</v>
      </c>
      <c r="F455" s="7" t="n">
        <f aca="false">Chase1168_2026!F455</f>
        <v>16642.47</v>
      </c>
      <c r="G455" s="0" t="str">
        <f aca="false">Chase1168_2026!G455</f>
        <v>???</v>
      </c>
      <c r="H455" s="15" t="n">
        <f aca="false">IF($B455="","",DATE(YEAR($B455),MONTH($B455),1))</f>
        <v>46023</v>
      </c>
      <c r="I455" s="0" t="str">
        <f aca="false">IF($G455="","Uncategorized — Review",IFERROR(INDEX(Mapping!$B:$B,MATCH($G455,Mapping!$A:$A,0)),"Uncategorized — Review"))</f>
        <v>???</v>
      </c>
      <c r="J455" s="0" t="str">
        <f aca="false">IF($G455="","Uncategorized — Review",IFERROR(INDEX(Mapping!$C:$C,MATCH($G455,Mapping!$A:$A,0)),"Uncategorized — Review"))</f>
        <v>Uncategorized — Review</v>
      </c>
    </row>
    <row r="456" customFormat="false" ht="15" hidden="false" customHeight="false" outlineLevel="0" collapsed="false">
      <c r="A456" s="0" t="str">
        <f aca="false">Chase1168_2026!A456</f>
        <v>DEBIT</v>
      </c>
      <c r="B456" s="14" t="n">
        <f aca="false">Chase1168_2026!B456</f>
        <v>46043</v>
      </c>
      <c r="C456" s="0" t="str">
        <f aca="false">Chase1168_2026!C456</f>
        <v>Online Transfer to CHK ...1117 transaction#: 27771975389 01/21</v>
      </c>
      <c r="D456" s="7" t="n">
        <f aca="false">Chase1168_2026!D456</f>
        <v>-5000</v>
      </c>
      <c r="E456" s="0" t="str">
        <f aca="false">Chase1168_2026!E456</f>
        <v>ACCT_XFER</v>
      </c>
      <c r="F456" s="7" t="n">
        <f aca="false">Chase1168_2026!F456</f>
        <v>16974.01</v>
      </c>
      <c r="G456" s="0" t="str">
        <f aca="false">Chase1168_2026!G456</f>
        <v>Transfer to Angela Dunning</v>
      </c>
      <c r="H456" s="15" t="n">
        <f aca="false">IF($B456="","",DATE(YEAR($B456),MONTH($B456),1))</f>
        <v>46023</v>
      </c>
      <c r="I456" s="0" t="str">
        <f aca="false">IF($G456="","Uncategorized — Review",IFERROR(INDEX(Mapping!$B:$B,MATCH($G456,Mapping!$A:$A,0)),"Uncategorized — Review"))</f>
        <v>Transfer to Angela Dunning</v>
      </c>
      <c r="J456" s="0" t="str">
        <f aca="false">IF($G456="","Uncategorized — Review",IFERROR(INDEX(Mapping!$C:$C,MATCH($G456,Mapping!$A:$A,0)),"Uncategorized — Review"))</f>
        <v>Owner / Family Distributions</v>
      </c>
    </row>
    <row r="457" customFormat="false" ht="15" hidden="false" customHeight="false" outlineLevel="0" collapsed="false">
      <c r="A457" s="0" t="str">
        <f aca="false">Chase1168_2026!A457</f>
        <v>DEBIT</v>
      </c>
      <c r="B457" s="14" t="n">
        <f aca="false">Chase1168_2026!B457</f>
        <v>46043</v>
      </c>
      <c r="C457" s="0" t="str">
        <f aca="false">Chase1168_2026!C457</f>
        <v>Online Transfer to CHK ...1117 transaction#: 27772070463 01/21</v>
      </c>
      <c r="D457" s="7" t="n">
        <f aca="false">Chase1168_2026!D457</f>
        <v>-5000</v>
      </c>
      <c r="E457" s="0" t="str">
        <f aca="false">Chase1168_2026!E457</f>
        <v>ACCT_XFER</v>
      </c>
      <c r="F457" s="7" t="n">
        <f aca="false">Chase1168_2026!F457</f>
        <v>21974.01</v>
      </c>
      <c r="G457" s="0" t="str">
        <f aca="false">Chase1168_2026!G457</f>
        <v>Transfer to Angela Dunning</v>
      </c>
      <c r="H457" s="15" t="n">
        <f aca="false">IF($B457="","",DATE(YEAR($B457),MONTH($B457),1))</f>
        <v>46023</v>
      </c>
      <c r="I457" s="0" t="str">
        <f aca="false">IF($G457="","Uncategorized — Review",IFERROR(INDEX(Mapping!$B:$B,MATCH($G457,Mapping!$A:$A,0)),"Uncategorized — Review"))</f>
        <v>Transfer to Angela Dunning</v>
      </c>
      <c r="J457" s="0" t="str">
        <f aca="false">IF($G457="","Uncategorized — Review",IFERROR(INDEX(Mapping!$C:$C,MATCH($G457,Mapping!$A:$A,0)),"Uncategorized — Review"))</f>
        <v>Owner / Family Distributions</v>
      </c>
    </row>
    <row r="458" customFormat="false" ht="15" hidden="false" customHeight="false" outlineLevel="0" collapsed="false">
      <c r="A458" s="0" t="str">
        <f aca="false">Chase1168_2026!A458</f>
        <v>DEBIT</v>
      </c>
      <c r="B458" s="14" t="n">
        <f aca="false">Chase1168_2026!B458</f>
        <v>46043</v>
      </c>
      <c r="C458" s="0" t="str">
        <f aca="false">Chase1168_2026!C458</f>
        <v>Zelle payment to Jared Iorio 27771544205</v>
      </c>
      <c r="D458" s="7" t="n">
        <f aca="false">Chase1168_2026!D458</f>
        <v>-200</v>
      </c>
      <c r="E458" s="0" t="str">
        <f aca="false">Chase1168_2026!E458</f>
        <v>QUICKPAY_DEBIT</v>
      </c>
      <c r="F458" s="7" t="n">
        <f aca="false">Chase1168_2026!F458</f>
        <v>26974.01</v>
      </c>
      <c r="G458" s="0" t="str">
        <f aca="false">Chase1168_2026!G458</f>
        <v>Zelle - Jared Iorio</v>
      </c>
      <c r="H458" s="15" t="n">
        <f aca="false">IF($B458="","",DATE(YEAR($B458),MONTH($B458),1))</f>
        <v>46023</v>
      </c>
      <c r="I458" s="0" t="str">
        <f aca="false">IF($G458="","Uncategorized — Review",IFERROR(INDEX(Mapping!$B:$B,MATCH($G458,Mapping!$A:$A,0)),"Uncategorized — Review"))</f>
        <v>Zelle - Jared Iorio</v>
      </c>
      <c r="J458" s="0" t="str">
        <f aca="false">IF($G458="","Uncategorized — Review",IFERROR(INDEX(Mapping!$C:$C,MATCH($G458,Mapping!$A:$A,0)),"Uncategorized — Review"))</f>
        <v>P2P Payments (Zelle/Venmo/PayPal)</v>
      </c>
    </row>
    <row r="459" customFormat="false" ht="15" hidden="false" customHeight="false" outlineLevel="0" collapsed="false">
      <c r="A459" s="0" t="str">
        <f aca="false">Chase1168_2026!A459</f>
        <v>CREDIT</v>
      </c>
      <c r="B459" s="14" t="n">
        <f aca="false">Chase1168_2026!B459</f>
        <v>46043</v>
      </c>
      <c r="C459" s="0" t="str">
        <f aca="false">Chase1168_2026!C459</f>
        <v>Online Transfer from CHK ...9335 transaction#: 27771975106</v>
      </c>
      <c r="D459" s="7" t="n">
        <f aca="false">Chase1168_2026!D459</f>
        <v>20000</v>
      </c>
      <c r="E459" s="0" t="str">
        <f aca="false">Chase1168_2026!E459</f>
        <v>ACCT_XFER</v>
      </c>
      <c r="F459" s="7" t="n">
        <f aca="false">Chase1168_2026!F459</f>
        <v>27174.01</v>
      </c>
      <c r="G459" s="0" t="str">
        <f aca="false">Chase1168_2026!G459</f>
        <v>Poseidon Asset Group (Incoming)</v>
      </c>
      <c r="H459" s="15" t="n">
        <f aca="false">IF($B459="","",DATE(YEAR($B459),MONTH($B459),1))</f>
        <v>46023</v>
      </c>
      <c r="I459" s="0" t="str">
        <f aca="false">IF($G459="","Uncategorized — Review",IFERROR(INDEX(Mapping!$B:$B,MATCH($G459,Mapping!$A:$A,0)),"Uncategorized — Review"))</f>
        <v>Poseidon Asset Group (Incoming)</v>
      </c>
      <c r="J459" s="0" t="str">
        <f aca="false">IF($G459="","Uncategorized — Review",IFERROR(INDEX(Mapping!$C:$C,MATCH($G459,Mapping!$A:$A,0)),"Uncategorized — Review"))</f>
        <v>Poseidon Asset Group</v>
      </c>
    </row>
    <row r="460" customFormat="false" ht="15" hidden="false" customHeight="false" outlineLevel="0" collapsed="false">
      <c r="A460" s="0" t="str">
        <f aca="false">Chase1168_2026!A460</f>
        <v>DEBIT</v>
      </c>
      <c r="B460" s="14" t="n">
        <f aca="false">Chase1168_2026!B460</f>
        <v>46042</v>
      </c>
      <c r="C460" s="0" t="str">
        <f aca="false">Chase1168_2026!C460</f>
        <v>ORIG CO NAME:VENMO                  ORIG ID:3264681992 DESC DATE:260118 CO ENTRY DESCR:PAYMENT   SEC:WEB    TRACE#:021000020136267 EED:260120   IND ID:1047707182406                IND NAME:JUDD DUNNING                                                                                                 260119PPZ0OP TRN: 0200136267TC</v>
      </c>
      <c r="D460" s="7" t="n">
        <f aca="false">Chase1168_2026!D460</f>
        <v>-1</v>
      </c>
      <c r="E460" s="0" t="str">
        <f aca="false">Chase1168_2026!E460</f>
        <v>ACH_DEBIT</v>
      </c>
      <c r="F460" s="7" t="n">
        <f aca="false">Chase1168_2026!F460</f>
        <v>7174.01</v>
      </c>
      <c r="G460" s="0" t="str">
        <f aca="false">Chase1168_2026!G460</f>
        <v>Venmo</v>
      </c>
      <c r="H460" s="15" t="n">
        <f aca="false">IF($B460="","",DATE(YEAR($B460),MONTH($B460),1))</f>
        <v>46023</v>
      </c>
      <c r="I460" s="0" t="str">
        <f aca="false">IF($G460="","Uncategorized — Review",IFERROR(INDEX(Mapping!$B:$B,MATCH($G460,Mapping!$A:$A,0)),"Uncategorized — Review"))</f>
        <v>Venmo</v>
      </c>
      <c r="J460" s="0" t="str">
        <f aca="false">IF($G460="","Uncategorized — Review",IFERROR(INDEX(Mapping!$C:$C,MATCH($G460,Mapping!$A:$A,0)),"Uncategorized — Review"))</f>
        <v>P2P Payments (Zelle/Venmo/PayPal)</v>
      </c>
    </row>
    <row r="461" customFormat="false" ht="15" hidden="false" customHeight="false" outlineLevel="0" collapsed="false">
      <c r="A461" s="0" t="str">
        <f aca="false">Chase1168_2026!A461</f>
        <v>DEBIT</v>
      </c>
      <c r="B461" s="14" t="n">
        <f aca="false">Chase1168_2026!B461</f>
        <v>46042</v>
      </c>
      <c r="C461" s="0" t="str">
        <f aca="false">Chase1168_2026!C461</f>
        <v>ORIG CO NAME:VENMO                  ORIG ID:3264681992 DESC DATE:260117 CO ENTRY DESCR:PAYMENT   SEC:WEB    TRACE#:021000020210328 EED:260120   IND ID:1047678998660                IND NAME:JUDD DUNNING                                                                                                 260117PPZYRL TRN: 0200210328TC</v>
      </c>
      <c r="D461" s="7" t="n">
        <f aca="false">Chase1168_2026!D461</f>
        <v>-5</v>
      </c>
      <c r="E461" s="0" t="str">
        <f aca="false">Chase1168_2026!E461</f>
        <v>ACH_DEBIT</v>
      </c>
      <c r="F461" s="7" t="n">
        <f aca="false">Chase1168_2026!F461</f>
        <v>7175.01</v>
      </c>
      <c r="G461" s="0" t="str">
        <f aca="false">Chase1168_2026!G461</f>
        <v>Venmo</v>
      </c>
      <c r="H461" s="15" t="n">
        <f aca="false">IF($B461="","",DATE(YEAR($B461),MONTH($B461),1))</f>
        <v>46023</v>
      </c>
      <c r="I461" s="0" t="str">
        <f aca="false">IF($G461="","Uncategorized — Review",IFERROR(INDEX(Mapping!$B:$B,MATCH($G461,Mapping!$A:$A,0)),"Uncategorized — Review"))</f>
        <v>Venmo</v>
      </c>
      <c r="J461" s="0" t="str">
        <f aca="false">IF($G461="","Uncategorized — Review",IFERROR(INDEX(Mapping!$C:$C,MATCH($G461,Mapping!$A:$A,0)),"Uncategorized — Review"))</f>
        <v>P2P Payments (Zelle/Venmo/PayPal)</v>
      </c>
    </row>
    <row r="462" customFormat="false" ht="15" hidden="false" customHeight="false" outlineLevel="0" collapsed="false">
      <c r="A462" s="0" t="str">
        <f aca="false">Chase1168_2026!A462</f>
        <v>DEBIT</v>
      </c>
      <c r="B462" s="14" t="n">
        <f aca="false">Chase1168_2026!B462</f>
        <v>46042</v>
      </c>
      <c r="C462" s="0" t="str">
        <f aca="false">Chase1168_2026!C462</f>
        <v>ORIG CO NAME:VENMO                  ORIG ID:3264681992 DESC DATE:260117 CO ENTRY DESCR:PAYMENT   SEC:WEB    TRACE#:021000020209491 EED:260120   IND ID:1047678857800                IND NAME:JUDD DUNNING                                                                                                 260117PPZYRL TRN: 0200209491TC</v>
      </c>
      <c r="D462" s="7" t="n">
        <f aca="false">Chase1168_2026!D462</f>
        <v>-20</v>
      </c>
      <c r="E462" s="0" t="str">
        <f aca="false">Chase1168_2026!E462</f>
        <v>ACH_DEBIT</v>
      </c>
      <c r="F462" s="7" t="n">
        <f aca="false">Chase1168_2026!F462</f>
        <v>7180.01</v>
      </c>
      <c r="G462" s="0" t="str">
        <f aca="false">Chase1168_2026!G462</f>
        <v>Venmo</v>
      </c>
      <c r="H462" s="15" t="n">
        <f aca="false">IF($B462="","",DATE(YEAR($B462),MONTH($B462),1))</f>
        <v>46023</v>
      </c>
      <c r="I462" s="0" t="str">
        <f aca="false">IF($G462="","Uncategorized — Review",IFERROR(INDEX(Mapping!$B:$B,MATCH($G462,Mapping!$A:$A,0)),"Uncategorized — Review"))</f>
        <v>Venmo</v>
      </c>
      <c r="J462" s="0" t="str">
        <f aca="false">IF($G462="","Uncategorized — Review",IFERROR(INDEX(Mapping!$C:$C,MATCH($G462,Mapping!$A:$A,0)),"Uncategorized — Review"))</f>
        <v>P2P Payments (Zelle/Venmo/PayPal)</v>
      </c>
    </row>
    <row r="463" customFormat="false" ht="15" hidden="false" customHeight="false" outlineLevel="0" collapsed="false">
      <c r="A463" s="0" t="str">
        <f aca="false">Chase1168_2026!A463</f>
        <v>DEBIT</v>
      </c>
      <c r="B463" s="14" t="n">
        <f aca="false">Chase1168_2026!B463</f>
        <v>46042</v>
      </c>
      <c r="C463" s="0" t="str">
        <f aca="false">Chase1168_2026!C463</f>
        <v>ORIG CO NAME:VENMO                  ORIG ID:3264681992 DESC DATE:260118 CO ENTRY DESCR:PAYMENT   SEC:WEB    TRACE#:021000020136407 EED:260120   IND ID:1047707162085                IND NAME:JUDD DUNNING                                                                                                 260119PPZ0OP TRN: 0200136407TC</v>
      </c>
      <c r="D463" s="7" t="n">
        <f aca="false">Chase1168_2026!D463</f>
        <v>-20</v>
      </c>
      <c r="E463" s="0" t="str">
        <f aca="false">Chase1168_2026!E463</f>
        <v>ACH_DEBIT</v>
      </c>
      <c r="F463" s="7" t="n">
        <f aca="false">Chase1168_2026!F463</f>
        <v>7200.01</v>
      </c>
      <c r="G463" s="0" t="str">
        <f aca="false">Chase1168_2026!G463</f>
        <v>Venmo</v>
      </c>
      <c r="H463" s="15" t="n">
        <f aca="false">IF($B463="","",DATE(YEAR($B463),MONTH($B463),1))</f>
        <v>46023</v>
      </c>
      <c r="I463" s="0" t="str">
        <f aca="false">IF($G463="","Uncategorized — Review",IFERROR(INDEX(Mapping!$B:$B,MATCH($G463,Mapping!$A:$A,0)),"Uncategorized — Review"))</f>
        <v>Venmo</v>
      </c>
      <c r="J463" s="0" t="str">
        <f aca="false">IF($G463="","Uncategorized — Review",IFERROR(INDEX(Mapping!$C:$C,MATCH($G463,Mapping!$A:$A,0)),"Uncategorized — Review"))</f>
        <v>P2P Payments (Zelle/Venmo/PayPal)</v>
      </c>
    </row>
    <row r="464" customFormat="false" ht="15" hidden="false" customHeight="false" outlineLevel="0" collapsed="false">
      <c r="A464" s="0" t="str">
        <f aca="false">Chase1168_2026!A464</f>
        <v>DEBIT</v>
      </c>
      <c r="B464" s="14" t="n">
        <f aca="false">Chase1168_2026!B464</f>
        <v>46042</v>
      </c>
      <c r="C464" s="0" t="str">
        <f aca="false">Chase1168_2026!C464</f>
        <v>UPWORK * -884680981 866-262-4478 CA          01/19</v>
      </c>
      <c r="D464" s="7" t="n">
        <f aca="false">Chase1168_2026!D464</f>
        <v>-105</v>
      </c>
      <c r="E464" s="0" t="str">
        <f aca="false">Chase1168_2026!E464</f>
        <v>DEBIT_CARD</v>
      </c>
      <c r="F464" s="7" t="n">
        <f aca="false">Chase1168_2026!F464</f>
        <v>7220.01</v>
      </c>
      <c r="G464" s="0" t="str">
        <f aca="false">Chase1168_2026!G464</f>
        <v>Upwork - Sergei M.</v>
      </c>
      <c r="H464" s="15" t="n">
        <f aca="false">IF($B464="","",DATE(YEAR($B464),MONTH($B464),1))</f>
        <v>46023</v>
      </c>
      <c r="I464" s="0" t="str">
        <f aca="false">IF($G464="","Uncategorized — Review",IFERROR(INDEX(Mapping!$B:$B,MATCH($G464,Mapping!$A:$A,0)),"Uncategorized — Review"))</f>
        <v>Upwork - Sergei M.</v>
      </c>
      <c r="J464" s="0" t="str">
        <f aca="false">IF($G464="","Uncategorized — Review",IFERROR(INDEX(Mapping!$C:$C,MATCH($G464,Mapping!$A:$A,0)),"Uncategorized — Review"))</f>
        <v>Payroll &amp; Contractors</v>
      </c>
    </row>
    <row r="465" customFormat="false" ht="15" hidden="false" customHeight="false" outlineLevel="0" collapsed="false">
      <c r="A465" s="0" t="str">
        <f aca="false">Chase1168_2026!A465</f>
        <v>DEBIT</v>
      </c>
      <c r="B465" s="14" t="n">
        <f aca="false">Chase1168_2026!B465</f>
        <v>46042</v>
      </c>
      <c r="C465" s="0" t="str">
        <f aca="false">Chase1168_2026!C465</f>
        <v>PAYPAL *BAFILEGIRL6 402-935-7733 CA          01/19</v>
      </c>
      <c r="D465" s="7" t="n">
        <f aca="false">Chase1168_2026!D465</f>
        <v>-103.2</v>
      </c>
      <c r="E465" s="0" t="str">
        <f aca="false">Chase1168_2026!E465</f>
        <v>DEBIT_CARD</v>
      </c>
      <c r="F465" s="7" t="n">
        <f aca="false">Chase1168_2026!F465</f>
        <v>7325.01</v>
      </c>
      <c r="G465" s="0" t="str">
        <f aca="false">Chase1168_2026!G465</f>
        <v>Personal - Health</v>
      </c>
      <c r="H465" s="15" t="n">
        <f aca="false">IF($B465="","",DATE(YEAR($B465),MONTH($B465),1))</f>
        <v>46023</v>
      </c>
      <c r="I465" s="0" t="str">
        <f aca="false">IF($G465="","Uncategorized — Review",IFERROR(INDEX(Mapping!$B:$B,MATCH($G465,Mapping!$A:$A,0)),"Uncategorized — Review"))</f>
        <v>Personal - Health (incl. Ins.)</v>
      </c>
      <c r="J465" s="0" t="str">
        <f aca="false">IF($G465="","Uncategorized — Review",IFERROR(INDEX(Mapping!$C:$C,MATCH($G465,Mapping!$A:$A,0)),"Uncategorized — Review"))</f>
        <v>Personal — Owner</v>
      </c>
    </row>
    <row r="466" customFormat="false" ht="15" hidden="false" customHeight="false" outlineLevel="0" collapsed="false">
      <c r="A466" s="0" t="str">
        <f aca="false">Chase1168_2026!A466</f>
        <v>DEBIT</v>
      </c>
      <c r="B466" s="14" t="n">
        <f aca="false">Chase1168_2026!B466</f>
        <v>46042</v>
      </c>
      <c r="C466" s="0" t="str">
        <f aca="false">Chase1168_2026!C466</f>
        <v>DNH*GODADDY#3995498649 480-5058855 AZ        01/18</v>
      </c>
      <c r="D466" s="7" t="n">
        <f aca="false">Chase1168_2026!D466</f>
        <v>-16.98</v>
      </c>
      <c r="E466" s="0" t="str">
        <f aca="false">Chase1168_2026!E466</f>
        <v>DEBIT_CARD</v>
      </c>
      <c r="F466" s="7" t="n">
        <f aca="false">Chase1168_2026!F466</f>
        <v>7428.21</v>
      </c>
      <c r="G466" s="0" t="str">
        <f aca="false">Chase1168_2026!G466</f>
        <v>Go Daddy</v>
      </c>
      <c r="H466" s="15" t="n">
        <f aca="false">IF($B466="","",DATE(YEAR($B466),MONTH($B466),1))</f>
        <v>46023</v>
      </c>
      <c r="I466" s="0" t="str">
        <f aca="false">IF($G466="","Uncategorized — Review",IFERROR(INDEX(Mapping!$B:$B,MATCH($G466,Mapping!$A:$A,0)),"Uncategorized — Review"))</f>
        <v>Go Daddy</v>
      </c>
      <c r="J466" s="0" t="str">
        <f aca="false">IF($G466="","Uncategorized — Review",IFERROR(INDEX(Mapping!$C:$C,MATCH($G466,Mapping!$A:$A,0)),"Uncategorized — Review"))</f>
        <v>DWG Operating</v>
      </c>
    </row>
    <row r="467" customFormat="false" ht="15" hidden="false" customHeight="false" outlineLevel="0" collapsed="false">
      <c r="A467" s="0" t="str">
        <f aca="false">Chase1168_2026!A467</f>
        <v>DEBIT</v>
      </c>
      <c r="B467" s="14" t="n">
        <f aca="false">Chase1168_2026!B467</f>
        <v>46042</v>
      </c>
      <c r="C467" s="0" t="str">
        <f aca="false">Chase1168_2026!C467</f>
        <v>DNH*GODADDY#3995498549 480-5058855 AZ        01/18</v>
      </c>
      <c r="D467" s="7" t="n">
        <f aca="false">Chase1168_2026!D467</f>
        <v>-22.98</v>
      </c>
      <c r="E467" s="0" t="str">
        <f aca="false">Chase1168_2026!E467</f>
        <v>DEBIT_CARD</v>
      </c>
      <c r="F467" s="7" t="n">
        <f aca="false">Chase1168_2026!F467</f>
        <v>7445.19</v>
      </c>
      <c r="G467" s="0" t="str">
        <f aca="false">Chase1168_2026!G467</f>
        <v>Go Daddy</v>
      </c>
      <c r="H467" s="15" t="n">
        <f aca="false">IF($B467="","",DATE(YEAR($B467),MONTH($B467),1))</f>
        <v>46023</v>
      </c>
      <c r="I467" s="0" t="str">
        <f aca="false">IF($G467="","Uncategorized — Review",IFERROR(INDEX(Mapping!$B:$B,MATCH($G467,Mapping!$A:$A,0)),"Uncategorized — Review"))</f>
        <v>Go Daddy</v>
      </c>
      <c r="J467" s="0" t="str">
        <f aca="false">IF($G467="","Uncategorized — Review",IFERROR(INDEX(Mapping!$C:$C,MATCH($G467,Mapping!$A:$A,0)),"Uncategorized — Review"))</f>
        <v>DWG Operating</v>
      </c>
    </row>
    <row r="468" customFormat="false" ht="15" hidden="false" customHeight="false" outlineLevel="0" collapsed="false">
      <c r="A468" s="0" t="str">
        <f aca="false">Chase1168_2026!A468</f>
        <v>DEBIT</v>
      </c>
      <c r="B468" s="14" t="n">
        <f aca="false">Chase1168_2026!B468</f>
        <v>46042</v>
      </c>
      <c r="C468" s="0" t="str">
        <f aca="false">Chase1168_2026!C468</f>
        <v>Online Transfer to CHK ...1117 transaction#: 27743673026 01/20</v>
      </c>
      <c r="D468" s="7" t="n">
        <f aca="false">Chase1168_2026!D468</f>
        <v>-4000</v>
      </c>
      <c r="E468" s="0" t="str">
        <f aca="false">Chase1168_2026!E468</f>
        <v>ACCT_XFER</v>
      </c>
      <c r="F468" s="7" t="n">
        <f aca="false">Chase1168_2026!F468</f>
        <v>7468.17</v>
      </c>
      <c r="G468" s="0" t="str">
        <f aca="false">Chase1168_2026!G468</f>
        <v>Transfer to Angela Dunning</v>
      </c>
      <c r="H468" s="15" t="n">
        <f aca="false">IF($B468="","",DATE(YEAR($B468),MONTH($B468),1))</f>
        <v>46023</v>
      </c>
      <c r="I468" s="0" t="str">
        <f aca="false">IF($G468="","Uncategorized — Review",IFERROR(INDEX(Mapping!$B:$B,MATCH($G468,Mapping!$A:$A,0)),"Uncategorized — Review"))</f>
        <v>Transfer to Angela Dunning</v>
      </c>
      <c r="J468" s="0" t="str">
        <f aca="false">IF($G468="","Uncategorized — Review",IFERROR(INDEX(Mapping!$C:$C,MATCH($G468,Mapping!$A:$A,0)),"Uncategorized — Review"))</f>
        <v>Owner / Family Distributions</v>
      </c>
    </row>
    <row r="469" customFormat="false" ht="15" hidden="false" customHeight="false" outlineLevel="0" collapsed="false">
      <c r="A469" s="0" t="str">
        <f aca="false">Chase1168_2026!A469</f>
        <v>DEBIT</v>
      </c>
      <c r="B469" s="14" t="n">
        <f aca="false">Chase1168_2026!B469</f>
        <v>46038</v>
      </c>
      <c r="C469" s="0" t="str">
        <f aca="false">Chase1168_2026!C469</f>
        <v>ORIG CO NAME:VENMO                  ORIG ID:3264681992 DESC DATE:260116 CO ENTRY DESCR:PAYMENT   SEC:WEB    TRACE#:021000022004596 EED:260116   IND ID:1047659998816                IND NAME:JUDD DUNNING                                                                                                 260116PPZWXG TRN: 0162004596TC</v>
      </c>
      <c r="D469" s="7" t="n">
        <f aca="false">Chase1168_2026!D469</f>
        <v>-80</v>
      </c>
      <c r="E469" s="0" t="str">
        <f aca="false">Chase1168_2026!E469</f>
        <v>ACH_DEBIT</v>
      </c>
      <c r="F469" s="7" t="n">
        <f aca="false">Chase1168_2026!F469</f>
        <v>11468.17</v>
      </c>
      <c r="G469" s="0" t="str">
        <f aca="false">Chase1168_2026!G469</f>
        <v>Venmo</v>
      </c>
      <c r="H469" s="15" t="n">
        <f aca="false">IF($B469="","",DATE(YEAR($B469),MONTH($B469),1))</f>
        <v>46023</v>
      </c>
      <c r="I469" s="0" t="str">
        <f aca="false">IF($G469="","Uncategorized — Review",IFERROR(INDEX(Mapping!$B:$B,MATCH($G469,Mapping!$A:$A,0)),"Uncategorized — Review"))</f>
        <v>Venmo</v>
      </c>
      <c r="J469" s="0" t="str">
        <f aca="false">IF($G469="","Uncategorized — Review",IFERROR(INDEX(Mapping!$C:$C,MATCH($G469,Mapping!$A:$A,0)),"Uncategorized — Review"))</f>
        <v>P2P Payments (Zelle/Venmo/PayPal)</v>
      </c>
    </row>
    <row r="470" customFormat="false" ht="15" hidden="false" customHeight="false" outlineLevel="0" collapsed="false">
      <c r="A470" s="0" t="str">
        <f aca="false">Chase1168_2026!A470</f>
        <v>DEBIT</v>
      </c>
      <c r="B470" s="14" t="n">
        <f aca="false">Chase1168_2026!B470</f>
        <v>46038</v>
      </c>
      <c r="C470" s="0" t="str">
        <f aca="false">Chase1168_2026!C470</f>
        <v>ORIG CO NAME:VENMO                  ORIG ID:3264681992 DESC DATE:260116 CO ENTRY DESCR:PAYMENT   SEC:WEB    TRACE#:021000022004340 EED:260116   IND ID:1047659926999                IND NAME:JUDD DUNNING                                                                                                 260116PPZWXG TRN: 0162004340TC</v>
      </c>
      <c r="D470" s="7" t="n">
        <f aca="false">Chase1168_2026!D470</f>
        <v>-160</v>
      </c>
      <c r="E470" s="0" t="str">
        <f aca="false">Chase1168_2026!E470</f>
        <v>ACH_DEBIT</v>
      </c>
      <c r="F470" s="7" t="n">
        <f aca="false">Chase1168_2026!F470</f>
        <v>11548.17</v>
      </c>
      <c r="G470" s="0" t="str">
        <f aca="false">Chase1168_2026!G470</f>
        <v>Venmo</v>
      </c>
      <c r="H470" s="15" t="n">
        <f aca="false">IF($B470="","",DATE(YEAR($B470),MONTH($B470),1))</f>
        <v>46023</v>
      </c>
      <c r="I470" s="0" t="str">
        <f aca="false">IF($G470="","Uncategorized — Review",IFERROR(INDEX(Mapping!$B:$B,MATCH($G470,Mapping!$A:$A,0)),"Uncategorized — Review"))</f>
        <v>Venmo</v>
      </c>
      <c r="J470" s="0" t="str">
        <f aca="false">IF($G470="","Uncategorized — Review",IFERROR(INDEX(Mapping!$C:$C,MATCH($G470,Mapping!$A:$A,0)),"Uncategorized — Review"))</f>
        <v>P2P Payments (Zelle/Venmo/PayPal)</v>
      </c>
    </row>
    <row r="471" customFormat="false" ht="15" hidden="false" customHeight="false" outlineLevel="0" collapsed="false">
      <c r="A471" s="0" t="str">
        <f aca="false">Chase1168_2026!A471</f>
        <v>DEBIT</v>
      </c>
      <c r="B471" s="14" t="n">
        <f aca="false">Chase1168_2026!B471</f>
        <v>46038</v>
      </c>
      <c r="C471" s="0" t="str">
        <f aca="false">Chase1168_2026!C471</f>
        <v>ORIG CO NAME:VENMO                  ORIG ID:3264681992 DESC DATE:260116 CO ENTRY DESCR:PAYMENT   SEC:WEB    TRACE#:021000022019532 EED:260116   IND ID:1047641922302                IND NAME:JUDD DUNNING                                                                                                 260116PPZONN TRN: 0162019532TC</v>
      </c>
      <c r="D471" s="7" t="n">
        <f aca="false">Chase1168_2026!D471</f>
        <v>-5</v>
      </c>
      <c r="E471" s="0" t="str">
        <f aca="false">Chase1168_2026!E471</f>
        <v>ACH_DEBIT</v>
      </c>
      <c r="F471" s="7" t="n">
        <f aca="false">Chase1168_2026!F471</f>
        <v>11708.17</v>
      </c>
      <c r="G471" s="0" t="str">
        <f aca="false">Chase1168_2026!G471</f>
        <v>Venmo</v>
      </c>
      <c r="H471" s="15" t="n">
        <f aca="false">IF($B471="","",DATE(YEAR($B471),MONTH($B471),1))</f>
        <v>46023</v>
      </c>
      <c r="I471" s="0" t="str">
        <f aca="false">IF($G471="","Uncategorized — Review",IFERROR(INDEX(Mapping!$B:$B,MATCH($G471,Mapping!$A:$A,0)),"Uncategorized — Review"))</f>
        <v>Venmo</v>
      </c>
      <c r="J471" s="0" t="str">
        <f aca="false">IF($G471="","Uncategorized — Review",IFERROR(INDEX(Mapping!$C:$C,MATCH($G471,Mapping!$A:$A,0)),"Uncategorized — Review"))</f>
        <v>P2P Payments (Zelle/Venmo/PayPal)</v>
      </c>
    </row>
    <row r="472" customFormat="false" ht="15" hidden="false" customHeight="false" outlineLevel="0" collapsed="false">
      <c r="A472" s="0" t="str">
        <f aca="false">Chase1168_2026!A472</f>
        <v>DEBIT</v>
      </c>
      <c r="B472" s="14" t="n">
        <f aca="false">Chase1168_2026!B472</f>
        <v>46038</v>
      </c>
      <c r="C472" s="0" t="str">
        <f aca="false">Chase1168_2026!C472</f>
        <v>Basic Online Payroll Payment 11202940291 to ########4122</v>
      </c>
      <c r="D472" s="7" t="n">
        <f aca="false">Chase1168_2026!D472</f>
        <v>-1750</v>
      </c>
      <c r="E472" s="0" t="str">
        <f aca="false">Chase1168_2026!E472</f>
        <v>BASIC_PAYROLL</v>
      </c>
      <c r="F472" s="7" t="n">
        <f aca="false">Chase1168_2026!F472</f>
        <v>11713.17</v>
      </c>
      <c r="G472" s="0" t="str">
        <f aca="false">Chase1168_2026!G472</f>
        <v>Mike Paytonjian - Payroll</v>
      </c>
      <c r="H472" s="15" t="n">
        <f aca="false">IF($B472="","",DATE(YEAR($B472),MONTH($B472),1))</f>
        <v>46023</v>
      </c>
      <c r="I472" s="0" t="str">
        <f aca="false">IF($G472="","Uncategorized — Review",IFERROR(INDEX(Mapping!$B:$B,MATCH($G472,Mapping!$A:$A,0)),"Uncategorized — Review"))</f>
        <v>Mike Paytonjian - Payroll</v>
      </c>
      <c r="J472" s="0" t="str">
        <f aca="false">IF($G472="","Uncategorized — Review",IFERROR(INDEX(Mapping!$C:$C,MATCH($G472,Mapping!$A:$A,0)),"Uncategorized — Review"))</f>
        <v>Payroll &amp; Contractors</v>
      </c>
    </row>
    <row r="473" customFormat="false" ht="15" hidden="false" customHeight="false" outlineLevel="0" collapsed="false">
      <c r="A473" s="0" t="str">
        <f aca="false">Chase1168_2026!A473</f>
        <v>DEBIT</v>
      </c>
      <c r="B473" s="14" t="n">
        <f aca="false">Chase1168_2026!B473</f>
        <v>46038</v>
      </c>
      <c r="C473" s="0" t="str">
        <f aca="false">Chase1168_2026!C473</f>
        <v>ORIG CO NAME:LEASEDIRECT            ORIG ID:138190450  DESC DATE:260115 CO ENTRY DESCR:16426_1   SEC:CCD    TRACE#:043000090416975 EED:260116   IND ID:1556926                      IND NAME:DWG CAPITAL GROUP          INV# 593662924 DUE 01/15/26 REC# 10 10586393                                      16427 TRN: 0160416975TC</v>
      </c>
      <c r="D473" s="7" t="n">
        <f aca="false">Chase1168_2026!D473</f>
        <v>-104.01</v>
      </c>
      <c r="E473" s="0" t="str">
        <f aca="false">Chase1168_2026!E473</f>
        <v>ACH_DEBIT</v>
      </c>
      <c r="F473" s="7" t="n">
        <f aca="false">Chase1168_2026!F473</f>
        <v>13463.17</v>
      </c>
      <c r="G473" s="0" t="str">
        <f aca="false">Chase1168_2026!G473</f>
        <v>DWG Marketing</v>
      </c>
      <c r="H473" s="15" t="n">
        <f aca="false">IF($B473="","",DATE(YEAR($B473),MONTH($B473),1))</f>
        <v>46023</v>
      </c>
      <c r="I473" s="0" t="str">
        <f aca="false">IF($G473="","Uncategorized — Review",IFERROR(INDEX(Mapping!$B:$B,MATCH($G473,Mapping!$A:$A,0)),"Uncategorized — Review"))</f>
        <v>DWG Marketing</v>
      </c>
      <c r="J473" s="0" t="str">
        <f aca="false">IF($G473="","Uncategorized — Review",IFERROR(INDEX(Mapping!$C:$C,MATCH($G473,Mapping!$A:$A,0)),"Uncategorized — Review"))</f>
        <v>DWG Operating</v>
      </c>
    </row>
    <row r="474" customFormat="false" ht="15" hidden="false" customHeight="false" outlineLevel="0" collapsed="false">
      <c r="A474" s="0" t="str">
        <f aca="false">Chase1168_2026!A474</f>
        <v>DEBIT</v>
      </c>
      <c r="B474" s="14" t="n">
        <f aca="false">Chase1168_2026!B474</f>
        <v>46037</v>
      </c>
      <c r="C474" s="0" t="str">
        <f aca="false">Chase1168_2026!C474</f>
        <v>ONLINE FX INTERNATIONAL WIRE FEE</v>
      </c>
      <c r="D474" s="7" t="n">
        <f aca="false">Chase1168_2026!D474</f>
        <v>-5</v>
      </c>
      <c r="E474" s="0" t="str">
        <f aca="false">Chase1168_2026!E474</f>
        <v>FEE_TRANSACTION</v>
      </c>
      <c r="F474" s="7" t="n">
        <f aca="false">Chase1168_2026!F474</f>
        <v>13567.18</v>
      </c>
      <c r="G474" s="0" t="str">
        <f aca="false">Chase1168_2026!G474</f>
        <v>Andres Alarcon Payroll</v>
      </c>
      <c r="H474" s="15" t="n">
        <f aca="false">IF($B474="","",DATE(YEAR($B474),MONTH($B474),1))</f>
        <v>46023</v>
      </c>
      <c r="I474" s="0" t="str">
        <f aca="false">IF($G474="","Uncategorized — Review",IFERROR(INDEX(Mapping!$B:$B,MATCH($G474,Mapping!$A:$A,0)),"Uncategorized — Review"))</f>
        <v>Andres Alarcon Payroll</v>
      </c>
      <c r="J474" s="0" t="str">
        <f aca="false">IF($G474="","Uncategorized — Review",IFERROR(INDEX(Mapping!$C:$C,MATCH($G474,Mapping!$A:$A,0)),"Uncategorized — Review"))</f>
        <v>Payroll &amp; Contractors</v>
      </c>
    </row>
    <row r="475" customFormat="false" ht="15" hidden="false" customHeight="false" outlineLevel="0" collapsed="false">
      <c r="A475" s="0" t="str">
        <f aca="false">Chase1168_2026!A475</f>
        <v>DEBIT</v>
      </c>
      <c r="B475" s="14" t="n">
        <f aca="false">Chase1168_2026!B475</f>
        <v>46037</v>
      </c>
      <c r="C475" s="0" t="str">
        <f aca="false">Chase1168_2026!C475</f>
        <v>ORIG CO NAME:VENMO                  ORIG ID:3264681992 DESC DATE:260115 CO ENTRY DESCR:PAYMENT   SEC:WEB    TRACE#:021000029409951 EED:260115   IND ID:1047640850315                IND NAME:JUDD DUNNING                                                                                                 260115PPZNOO TRN: 0159409951TC</v>
      </c>
      <c r="D475" s="7" t="n">
        <f aca="false">Chase1168_2026!D475</f>
        <v>-1</v>
      </c>
      <c r="E475" s="0" t="str">
        <f aca="false">Chase1168_2026!E475</f>
        <v>ACH_DEBIT</v>
      </c>
      <c r="F475" s="7" t="n">
        <f aca="false">Chase1168_2026!F475</f>
        <v>13572.18</v>
      </c>
      <c r="G475" s="0" t="str">
        <f aca="false">Chase1168_2026!G475</f>
        <v>Venmo</v>
      </c>
      <c r="H475" s="15" t="n">
        <f aca="false">IF($B475="","",DATE(YEAR($B475),MONTH($B475),1))</f>
        <v>46023</v>
      </c>
      <c r="I475" s="0" t="str">
        <f aca="false">IF($G475="","Uncategorized — Review",IFERROR(INDEX(Mapping!$B:$B,MATCH($G475,Mapping!$A:$A,0)),"Uncategorized — Review"))</f>
        <v>Venmo</v>
      </c>
      <c r="J475" s="0" t="str">
        <f aca="false">IF($G475="","Uncategorized — Review",IFERROR(INDEX(Mapping!$C:$C,MATCH($G475,Mapping!$A:$A,0)),"Uncategorized — Review"))</f>
        <v>P2P Payments (Zelle/Venmo/PayPal)</v>
      </c>
    </row>
    <row r="476" customFormat="false" ht="15" hidden="false" customHeight="false" outlineLevel="0" collapsed="false">
      <c r="A476" s="0" t="str">
        <f aca="false">Chase1168_2026!A476</f>
        <v>DEBIT</v>
      </c>
      <c r="B476" s="14" t="n">
        <f aca="false">Chase1168_2026!B476</f>
        <v>46037</v>
      </c>
      <c r="C476" s="0" t="str">
        <f aca="false">Chase1168_2026!C476</f>
        <v>ORIG CO NAME:VENMO                  ORIG ID:3264681992 DESC DATE:260115 CO ENTRY DESCR:PAYMENT   SEC:WEB    TRACE#:021000029410389 EED:260115   IND ID:1047640913419                IND NAME:JUDD DUNNING                                                                                                 260115PPZNOO TRN: 0159410389TC</v>
      </c>
      <c r="D476" s="7" t="n">
        <f aca="false">Chase1168_2026!D476</f>
        <v>-130</v>
      </c>
      <c r="E476" s="0" t="str">
        <f aca="false">Chase1168_2026!E476</f>
        <v>ACH_DEBIT</v>
      </c>
      <c r="F476" s="7" t="n">
        <f aca="false">Chase1168_2026!F476</f>
        <v>13573.18</v>
      </c>
      <c r="G476" s="0" t="str">
        <f aca="false">Chase1168_2026!G476</f>
        <v>Venmo</v>
      </c>
      <c r="H476" s="15" t="n">
        <f aca="false">IF($B476="","",DATE(YEAR($B476),MONTH($B476),1))</f>
        <v>46023</v>
      </c>
      <c r="I476" s="0" t="str">
        <f aca="false">IF($G476="","Uncategorized — Review",IFERROR(INDEX(Mapping!$B:$B,MATCH($G476,Mapping!$A:$A,0)),"Uncategorized — Review"))</f>
        <v>Venmo</v>
      </c>
      <c r="J476" s="0" t="str">
        <f aca="false">IF($G476="","Uncategorized — Review",IFERROR(INDEX(Mapping!$C:$C,MATCH($G476,Mapping!$A:$A,0)),"Uncategorized — Review"))</f>
        <v>P2P Payments (Zelle/Venmo/PayPal)</v>
      </c>
    </row>
    <row r="477" customFormat="false" ht="15" hidden="false" customHeight="false" outlineLevel="0" collapsed="false">
      <c r="A477" s="0" t="str">
        <f aca="false">Chase1168_2026!A477</f>
        <v>DEBIT</v>
      </c>
      <c r="B477" s="14" t="n">
        <f aca="false">Chase1168_2026!B477</f>
        <v>46037</v>
      </c>
      <c r="C477" s="0" t="str">
        <f aca="false">Chase1168_2026!C477</f>
        <v>ORIG CO NAME:VENMO                  ORIG ID:3264681992 DESC DATE:260115 CO ENTRY DESCR:PAYMENT   SEC:WEB    TRACE#:021000029410078 EED:260115   IND ID:1047640839385                IND NAME:JUDD DUNNING                                                                                                 260115PPZNOO TRN: 0159410078TC</v>
      </c>
      <c r="D477" s="7" t="n">
        <f aca="false">Chase1168_2026!D477</f>
        <v>-150</v>
      </c>
      <c r="E477" s="0" t="str">
        <f aca="false">Chase1168_2026!E477</f>
        <v>ACH_DEBIT</v>
      </c>
      <c r="F477" s="7" t="n">
        <f aca="false">Chase1168_2026!F477</f>
        <v>13703.18</v>
      </c>
      <c r="G477" s="0" t="str">
        <f aca="false">Chase1168_2026!G477</f>
        <v>Venmo</v>
      </c>
      <c r="H477" s="15" t="n">
        <f aca="false">IF($B477="","",DATE(YEAR($B477),MONTH($B477),1))</f>
        <v>46023</v>
      </c>
      <c r="I477" s="0" t="str">
        <f aca="false">IF($G477="","Uncategorized — Review",IFERROR(INDEX(Mapping!$B:$B,MATCH($G477,Mapping!$A:$A,0)),"Uncategorized — Review"))</f>
        <v>Venmo</v>
      </c>
      <c r="J477" s="0" t="str">
        <f aca="false">IF($G477="","Uncategorized — Review",IFERROR(INDEX(Mapping!$C:$C,MATCH($G477,Mapping!$A:$A,0)),"Uncategorized — Review"))</f>
        <v>P2P Payments (Zelle/Venmo/PayPal)</v>
      </c>
    </row>
    <row r="478" customFormat="false" ht="15" hidden="false" customHeight="false" outlineLevel="0" collapsed="false">
      <c r="A478" s="0" t="str">
        <f aca="false">Chase1168_2026!A478</f>
        <v>DEBIT</v>
      </c>
      <c r="B478" s="14" t="n">
        <f aca="false">Chase1168_2026!B478</f>
        <v>46037</v>
      </c>
      <c r="C478" s="0" t="str">
        <f aca="false">Chase1168_2026!C478</f>
        <v>ORIG CO NAME:VENMO                  ORIG ID:3264681992 DESC DATE:260115 CO ENTRY DESCR:PAYMENT   SEC:WEB    TRACE#:021000029410003 EED:260115   IND ID:1047640823643                IND NAME:JUDD DUNNING                                                                                                 260115PPZNOO TRN: 0159410003TC</v>
      </c>
      <c r="D478" s="7" t="n">
        <f aca="false">Chase1168_2026!D478</f>
        <v>-800</v>
      </c>
      <c r="E478" s="0" t="str">
        <f aca="false">Chase1168_2026!E478</f>
        <v>ACH_DEBIT</v>
      </c>
      <c r="F478" s="7" t="n">
        <f aca="false">Chase1168_2026!F478</f>
        <v>13853.18</v>
      </c>
      <c r="G478" s="0" t="str">
        <f aca="false">Chase1168_2026!G478</f>
        <v>Venmo</v>
      </c>
      <c r="H478" s="15" t="n">
        <f aca="false">IF($B478="","",DATE(YEAR($B478),MONTH($B478),1))</f>
        <v>46023</v>
      </c>
      <c r="I478" s="0" t="str">
        <f aca="false">IF($G478="","Uncategorized — Review",IFERROR(INDEX(Mapping!$B:$B,MATCH($G478,Mapping!$A:$A,0)),"Uncategorized — Review"))</f>
        <v>Venmo</v>
      </c>
      <c r="J478" s="0" t="str">
        <f aca="false">IF($G478="","Uncategorized — Review",IFERROR(INDEX(Mapping!$C:$C,MATCH($G478,Mapping!$A:$A,0)),"Uncategorized — Review"))</f>
        <v>P2P Payments (Zelle/Venmo/PayPal)</v>
      </c>
    </row>
    <row r="479" customFormat="false" ht="15" hidden="false" customHeight="false" outlineLevel="0" collapsed="false">
      <c r="A479" s="0" t="str">
        <f aca="false">Chase1168_2026!A479</f>
        <v>DEBIT</v>
      </c>
      <c r="B479" s="14" t="n">
        <f aca="false">Chase1168_2026!B479</f>
        <v>46037</v>
      </c>
      <c r="C479" s="0" t="str">
        <f aca="false">Chase1168_2026!C479</f>
        <v>ORIG CO NAME:VENMO                  ORIG ID:3264681992 DESC DATE:260115 CO ENTRY DESCR:PAYMENT   SEC:WEB    TRACE#:021000029409948 EED:260115   IND ID:1047640828476                IND NAME:JUDD DUNNING                                                                                                 260115PPZNOO TRN: 0159409948TC</v>
      </c>
      <c r="D479" s="7" t="n">
        <f aca="false">Chase1168_2026!D479</f>
        <v>-1000</v>
      </c>
      <c r="E479" s="0" t="str">
        <f aca="false">Chase1168_2026!E479</f>
        <v>ACH_DEBIT</v>
      </c>
      <c r="F479" s="7" t="n">
        <f aca="false">Chase1168_2026!F479</f>
        <v>14653.18</v>
      </c>
      <c r="G479" s="0" t="str">
        <f aca="false">Chase1168_2026!G479</f>
        <v>Venmo</v>
      </c>
      <c r="H479" s="15" t="n">
        <f aca="false">IF($B479="","",DATE(YEAR($B479),MONTH($B479),1))</f>
        <v>46023</v>
      </c>
      <c r="I479" s="0" t="str">
        <f aca="false">IF($G479="","Uncategorized — Review",IFERROR(INDEX(Mapping!$B:$B,MATCH($G479,Mapping!$A:$A,0)),"Uncategorized — Review"))</f>
        <v>Venmo</v>
      </c>
      <c r="J479" s="0" t="str">
        <f aca="false">IF($G479="","Uncategorized — Review",IFERROR(INDEX(Mapping!$C:$C,MATCH($G479,Mapping!$A:$A,0)),"Uncategorized — Review"))</f>
        <v>P2P Payments (Zelle/Venmo/PayPal)</v>
      </c>
    </row>
    <row r="480" customFormat="false" ht="15" hidden="false" customHeight="false" outlineLevel="0" collapsed="false">
      <c r="A480" s="0" t="str">
        <f aca="false">Chase1168_2026!A480</f>
        <v>DEBIT</v>
      </c>
      <c r="B480" s="14" t="n">
        <f aca="false">Chase1168_2026!B480</f>
        <v>46037</v>
      </c>
      <c r="C480" s="0" t="str">
        <f aca="false">Chase1168_2026!C480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PAYMENTS/OCMT/COP26 34139,28/EXCH/3512.1857/CNTR/641220 11/INT/ANDRES_52763ATHOTMAIL.C TRN: 5044400015RE 01/15</v>
      </c>
      <c r="D480" s="7" t="n">
        <f aca="false">Chase1168_2026!D480</f>
        <v>-750</v>
      </c>
      <c r="E480" s="0" t="str">
        <f aca="false">Chase1168_2026!E480</f>
        <v>WIRE_OUTGOING</v>
      </c>
      <c r="F480" s="7" t="n">
        <f aca="false">Chase1168_2026!F480</f>
        <v>15653.18</v>
      </c>
      <c r="G480" s="0" t="str">
        <f aca="false">Chase1168_2026!G480</f>
        <v>Andres Alarcon Payroll</v>
      </c>
      <c r="H480" s="15" t="n">
        <f aca="false">IF($B480="","",DATE(YEAR($B480),MONTH($B480),1))</f>
        <v>46023</v>
      </c>
      <c r="I480" s="0" t="str">
        <f aca="false">IF($G480="","Uncategorized — Review",IFERROR(INDEX(Mapping!$B:$B,MATCH($G480,Mapping!$A:$A,0)),"Uncategorized — Review"))</f>
        <v>Andres Alarcon Payroll</v>
      </c>
      <c r="J480" s="0" t="str">
        <f aca="false">IF($G480="","Uncategorized — Review",IFERROR(INDEX(Mapping!$C:$C,MATCH($G480,Mapping!$A:$A,0)),"Uncategorized — Review"))</f>
        <v>Payroll &amp; Contractors</v>
      </c>
    </row>
    <row r="481" customFormat="false" ht="15" hidden="false" customHeight="false" outlineLevel="0" collapsed="false">
      <c r="A481" s="0" t="str">
        <f aca="false">Chase1168_2026!A481</f>
        <v>DEBIT</v>
      </c>
      <c r="B481" s="14" t="n">
        <f aca="false">Chase1168_2026!B481</f>
        <v>46037</v>
      </c>
      <c r="C481" s="0" t="str">
        <f aca="false">Chase1168_2026!C481</f>
        <v>PAYPAL *RUTHALCANCI 402-935-7733 CA          01/15</v>
      </c>
      <c r="D481" s="7" t="n">
        <f aca="false">Chase1168_2026!D481</f>
        <v>-200</v>
      </c>
      <c r="E481" s="0" t="str">
        <f aca="false">Chase1168_2026!E481</f>
        <v>DEBIT_CARD</v>
      </c>
      <c r="F481" s="7" t="n">
        <f aca="false">Chase1168_2026!F481</f>
        <v>16403.18</v>
      </c>
      <c r="G481" s="0" t="str">
        <f aca="false">Chase1168_2026!G481</f>
        <v>Ruth Alcancia - Forward Bridge Payment</v>
      </c>
      <c r="H481" s="15" t="n">
        <f aca="false">IF($B481="","",DATE(YEAR($B481),MONTH($B481),1))</f>
        <v>46023</v>
      </c>
      <c r="I481" s="0" t="str">
        <f aca="false">IF($G481="","Uncategorized — Review",IFERROR(INDEX(Mapping!$B:$B,MATCH($G481,Mapping!$A:$A,0)),"Uncategorized — Review"))</f>
        <v>Ruth Alcancia - Forward Bridge Payment</v>
      </c>
      <c r="J481" s="0" t="str">
        <f aca="false">IF($G481="","Uncategorized — Review",IFERROR(INDEX(Mapping!$C:$C,MATCH($G481,Mapping!$A:$A,0)),"Uncategorized — Review"))</f>
        <v>Payroll &amp; Contractors</v>
      </c>
    </row>
    <row r="482" customFormat="false" ht="15" hidden="false" customHeight="false" outlineLevel="0" collapsed="false">
      <c r="A482" s="0" t="str">
        <f aca="false">Chase1168_2026!A482</f>
        <v>DEBIT</v>
      </c>
      <c r="B482" s="14" t="n">
        <f aca="false">Chase1168_2026!B482</f>
        <v>46036</v>
      </c>
      <c r="C482" s="0" t="str">
        <f aca="false">Chase1168_2026!C482</f>
        <v>Zelle payment to Jeffrey Seider JPM99c1xy8gr</v>
      </c>
      <c r="D482" s="7" t="n">
        <f aca="false">Chase1168_2026!D482</f>
        <v>-200</v>
      </c>
      <c r="E482" s="0" t="str">
        <f aca="false">Chase1168_2026!E482</f>
        <v>CHASE_TO_PARTNERFI</v>
      </c>
      <c r="F482" s="7" t="n">
        <f aca="false">Chase1168_2026!F482</f>
        <v>16603.18</v>
      </c>
      <c r="G482" s="0" t="str">
        <f aca="false">Chase1168_2026!G482</f>
        <v>Zelle - Jeff Seider</v>
      </c>
      <c r="H482" s="15" t="n">
        <f aca="false">IF($B482="","",DATE(YEAR($B482),MONTH($B482),1))</f>
        <v>46023</v>
      </c>
      <c r="I482" s="0" t="str">
        <f aca="false">IF($G482="","Uncategorized — Review",IFERROR(INDEX(Mapping!$B:$B,MATCH($G482,Mapping!$A:$A,0)),"Uncategorized — Review"))</f>
        <v>Zelle - Jeff Seider</v>
      </c>
      <c r="J482" s="0" t="str">
        <f aca="false">IF($G482="","Uncategorized — Review",IFERROR(INDEX(Mapping!$C:$C,MATCH($G482,Mapping!$A:$A,0)),"Uncategorized — Review"))</f>
        <v>P2P Payments (Zelle/Venmo/PayPal)</v>
      </c>
    </row>
    <row r="483" customFormat="false" ht="15" hidden="false" customHeight="false" outlineLevel="0" collapsed="false">
      <c r="A483" s="0" t="str">
        <f aca="false">Chase1168_2026!A483</f>
        <v>DEBIT</v>
      </c>
      <c r="B483" s="14" t="n">
        <f aca="false">Chase1168_2026!B483</f>
        <v>46035</v>
      </c>
      <c r="C483" s="0" t="str">
        <f aca="false">Chase1168_2026!C483</f>
        <v>Online Transfer to CHK ...1117 transaction#: 27686014571 01/13</v>
      </c>
      <c r="D483" s="7" t="n">
        <f aca="false">Chase1168_2026!D483</f>
        <v>-5000</v>
      </c>
      <c r="E483" s="0" t="str">
        <f aca="false">Chase1168_2026!E483</f>
        <v>ACCT_XFER</v>
      </c>
      <c r="F483" s="7" t="n">
        <f aca="false">Chase1168_2026!F483</f>
        <v>16803.18</v>
      </c>
      <c r="G483" s="0" t="str">
        <f aca="false">Chase1168_2026!G483</f>
        <v>Transfer to Angela Dunning</v>
      </c>
      <c r="H483" s="15" t="n">
        <f aca="false">IF($B483="","",DATE(YEAR($B483),MONTH($B483),1))</f>
        <v>46023</v>
      </c>
      <c r="I483" s="0" t="str">
        <f aca="false">IF($G483="","Uncategorized — Review",IFERROR(INDEX(Mapping!$B:$B,MATCH($G483,Mapping!$A:$A,0)),"Uncategorized — Review"))</f>
        <v>Transfer to Angela Dunning</v>
      </c>
      <c r="J483" s="0" t="str">
        <f aca="false">IF($G483="","Uncategorized — Review",IFERROR(INDEX(Mapping!$C:$C,MATCH($G483,Mapping!$A:$A,0)),"Uncategorized — Review"))</f>
        <v>Owner / Family Distributions</v>
      </c>
    </row>
    <row r="484" customFormat="false" ht="15" hidden="false" customHeight="false" outlineLevel="0" collapsed="false">
      <c r="A484" s="0" t="str">
        <f aca="false">Chase1168_2026!A484</f>
        <v>DEBIT</v>
      </c>
      <c r="B484" s="14" t="n">
        <f aca="false">Chase1168_2026!B484</f>
        <v>46035</v>
      </c>
      <c r="C484" s="0" t="str">
        <f aca="false">Chase1168_2026!C484</f>
        <v>ORIG CO NAME:ALLSTATE V&amp;P INS       ORIG ID:1360719665 DESC DATE:JAN 26 CO ENTRY DESCR:INS PREM  SEC:PPD    TRACE#:021000022131132 EED:260113   IND ID:                             IND NAME:DUNNING TRN: 0132131132TC</v>
      </c>
      <c r="D484" s="7" t="n">
        <f aca="false">Chase1168_2026!D484</f>
        <v>-1533.71</v>
      </c>
      <c r="E484" s="0" t="str">
        <f aca="false">Chase1168_2026!E484</f>
        <v>ACH_DEBIT</v>
      </c>
      <c r="F484" s="7" t="n">
        <f aca="false">Chase1168_2026!F484</f>
        <v>21803.18</v>
      </c>
      <c r="G484" s="0" t="str">
        <f aca="false">Chase1168_2026!G484</f>
        <v>Personal - Car</v>
      </c>
      <c r="H484" s="15" t="n">
        <f aca="false">IF($B484="","",DATE(YEAR($B484),MONTH($B484),1))</f>
        <v>46023</v>
      </c>
      <c r="I484" s="0" t="str">
        <f aca="false">IF($G484="","Uncategorized — Review",IFERROR(INDEX(Mapping!$B:$B,MATCH($G484,Mapping!$A:$A,0)),"Uncategorized — Review"))</f>
        <v>Personal - Car &amp; Auto</v>
      </c>
      <c r="J484" s="0" t="str">
        <f aca="false">IF($G484="","Uncategorized — Review",IFERROR(INDEX(Mapping!$C:$C,MATCH($G484,Mapping!$A:$A,0)),"Uncategorized — Review"))</f>
        <v>Personal — Owner</v>
      </c>
    </row>
    <row r="485" customFormat="false" ht="15" hidden="false" customHeight="false" outlineLevel="0" collapsed="false">
      <c r="A485" s="0" t="str">
        <f aca="false">Chase1168_2026!A485</f>
        <v>DEBIT</v>
      </c>
      <c r="B485" s="14" t="n">
        <f aca="false">Chase1168_2026!B485</f>
        <v>46035</v>
      </c>
      <c r="C485" s="0" t="str">
        <f aca="false">Chase1168_2026!C485</f>
        <v>UPWORK * -882616871 866-262-4478 CA          01/12</v>
      </c>
      <c r="D485" s="7" t="n">
        <f aca="false">Chase1168_2026!D485</f>
        <v>-577.5</v>
      </c>
      <c r="E485" s="0" t="str">
        <f aca="false">Chase1168_2026!E485</f>
        <v>DEBIT_CARD</v>
      </c>
      <c r="F485" s="7" t="n">
        <f aca="false">Chase1168_2026!F485</f>
        <v>23336.89</v>
      </c>
      <c r="G485" s="0" t="str">
        <f aca="false">Chase1168_2026!G485</f>
        <v>Upwork - Sergei M.</v>
      </c>
      <c r="H485" s="15" t="n">
        <f aca="false">IF($B485="","",DATE(YEAR($B485),MONTH($B485),1))</f>
        <v>46023</v>
      </c>
      <c r="I485" s="0" t="str">
        <f aca="false">IF($G485="","Uncategorized — Review",IFERROR(INDEX(Mapping!$B:$B,MATCH($G485,Mapping!$A:$A,0)),"Uncategorized — Review"))</f>
        <v>Upwork - Sergei M.</v>
      </c>
      <c r="J485" s="0" t="str">
        <f aca="false">IF($G485="","Uncategorized — Review",IFERROR(INDEX(Mapping!$C:$C,MATCH($G485,Mapping!$A:$A,0)),"Uncategorized — Review"))</f>
        <v>Payroll &amp; Contractors</v>
      </c>
    </row>
    <row r="486" customFormat="false" ht="15" hidden="false" customHeight="false" outlineLevel="0" collapsed="false">
      <c r="A486" s="0" t="str">
        <f aca="false">Chase1168_2026!A486</f>
        <v>CREDIT</v>
      </c>
      <c r="B486" s="14" t="n">
        <f aca="false">Chase1168_2026!B486</f>
        <v>46035</v>
      </c>
      <c r="C486" s="0" t="str">
        <f aca="false">Chase1168_2026!C486</f>
        <v>Online Transfer from CHK ...9335 transaction#: 27686013256</v>
      </c>
      <c r="D486" s="7" t="n">
        <f aca="false">Chase1168_2026!D486</f>
        <v>20000</v>
      </c>
      <c r="E486" s="0" t="str">
        <f aca="false">Chase1168_2026!E486</f>
        <v>ACCT_XFER</v>
      </c>
      <c r="F486" s="7" t="n">
        <f aca="false">Chase1168_2026!F486</f>
        <v>23914.39</v>
      </c>
      <c r="G486" s="0" t="str">
        <f aca="false">Chase1168_2026!G486</f>
        <v>Poseidon Asset Group (Incoming)</v>
      </c>
      <c r="H486" s="15" t="n">
        <f aca="false">IF($B486="","",DATE(YEAR($B486),MONTH($B486),1))</f>
        <v>46023</v>
      </c>
      <c r="I486" s="0" t="str">
        <f aca="false">IF($G486="","Uncategorized — Review",IFERROR(INDEX(Mapping!$B:$B,MATCH($G486,Mapping!$A:$A,0)),"Uncategorized — Review"))</f>
        <v>Poseidon Asset Group (Incoming)</v>
      </c>
      <c r="J486" s="0" t="str">
        <f aca="false">IF($G486="","Uncategorized — Review",IFERROR(INDEX(Mapping!$C:$C,MATCH($G486,Mapping!$A:$A,0)),"Uncategorized — Review"))</f>
        <v>Poseidon Asset Group</v>
      </c>
    </row>
    <row r="487" customFormat="false" ht="15" hidden="false" customHeight="false" outlineLevel="0" collapsed="false">
      <c r="A487" s="0" t="str">
        <f aca="false">Chase1168_2026!A487</f>
        <v>DEBIT</v>
      </c>
      <c r="B487" s="14" t="n">
        <f aca="false">Chase1168_2026!B487</f>
        <v>46034</v>
      </c>
      <c r="C487" s="0" t="str">
        <f aca="false">Chase1168_2026!C487</f>
        <v>Basic Online Payroll Payment 11202084140 to ########4122</v>
      </c>
      <c r="D487" s="7" t="n">
        <f aca="false">Chase1168_2026!D487</f>
        <v>-1750</v>
      </c>
      <c r="E487" s="0" t="str">
        <f aca="false">Chase1168_2026!E487</f>
        <v>BASIC_PAYROLL</v>
      </c>
      <c r="F487" s="7" t="n">
        <f aca="false">Chase1168_2026!F487</f>
        <v>3914.39</v>
      </c>
      <c r="G487" s="0" t="str">
        <f aca="false">Chase1168_2026!G487</f>
        <v>Mike Paytonjian - Payroll</v>
      </c>
      <c r="H487" s="15" t="n">
        <f aca="false">IF($B487="","",DATE(YEAR($B487),MONTH($B487),1))</f>
        <v>46023</v>
      </c>
      <c r="I487" s="0" t="str">
        <f aca="false">IF($G487="","Uncategorized — Review",IFERROR(INDEX(Mapping!$B:$B,MATCH($G487,Mapping!$A:$A,0)),"Uncategorized — Review"))</f>
        <v>Mike Paytonjian - Payroll</v>
      </c>
      <c r="J487" s="0" t="str">
        <f aca="false">IF($G487="","Uncategorized — Review",IFERROR(INDEX(Mapping!$C:$C,MATCH($G487,Mapping!$A:$A,0)),"Uncategorized — Review"))</f>
        <v>Payroll &amp; Contractors</v>
      </c>
    </row>
    <row r="488" customFormat="false" ht="15" hidden="false" customHeight="false" outlineLevel="0" collapsed="false">
      <c r="A488" s="0" t="str">
        <f aca="false">Chase1168_2026!A488</f>
        <v>DEBIT</v>
      </c>
      <c r="B488" s="14" t="n">
        <f aca="false">Chase1168_2026!B488</f>
        <v>46034</v>
      </c>
      <c r="C488" s="0" t="str">
        <f aca="false">Chase1168_2026!C488</f>
        <v>ORIG CO NAME:VENMO                  ORIG ID:3264681992 DESC DATE:260110 CO ENTRY DESCR:PAYMENT   SEC:WEB    TRACE#:021000025526358 EED:260112   IND ID:1047525378779                IND NAME:JUDD DUNNING                                                                                                 260110PPZGOI TRN: 0125526358TC</v>
      </c>
      <c r="D488" s="7" t="n">
        <f aca="false">Chase1168_2026!D488</f>
        <v>-2</v>
      </c>
      <c r="E488" s="0" t="str">
        <f aca="false">Chase1168_2026!E488</f>
        <v>ACH_DEBIT</v>
      </c>
      <c r="F488" s="7" t="n">
        <f aca="false">Chase1168_2026!F488</f>
        <v>5664.39</v>
      </c>
      <c r="G488" s="0" t="str">
        <f aca="false">Chase1168_2026!G488</f>
        <v>Venmo</v>
      </c>
      <c r="H488" s="15" t="n">
        <f aca="false">IF($B488="","",DATE(YEAR($B488),MONTH($B488),1))</f>
        <v>46023</v>
      </c>
      <c r="I488" s="0" t="str">
        <f aca="false">IF($G488="","Uncategorized — Review",IFERROR(INDEX(Mapping!$B:$B,MATCH($G488,Mapping!$A:$A,0)),"Uncategorized — Review"))</f>
        <v>Venmo</v>
      </c>
      <c r="J488" s="0" t="str">
        <f aca="false">IF($G488="","Uncategorized — Review",IFERROR(INDEX(Mapping!$C:$C,MATCH($G488,Mapping!$A:$A,0)),"Uncategorized — Review"))</f>
        <v>P2P Payments (Zelle/Venmo/PayPal)</v>
      </c>
    </row>
    <row r="489" customFormat="false" ht="15" hidden="false" customHeight="false" outlineLevel="0" collapsed="false">
      <c r="A489" s="0" t="str">
        <f aca="false">Chase1168_2026!A489</f>
        <v>DEBIT</v>
      </c>
      <c r="B489" s="14" t="n">
        <f aca="false">Chase1168_2026!B489</f>
        <v>46034</v>
      </c>
      <c r="C489" s="0" t="str">
        <f aca="false">Chase1168_2026!C489</f>
        <v>ORIG CO NAME:VENMO                  ORIG ID:3264681992 DESC DATE:260111 CO ENTRY DESCR:PAYMENT   SEC:WEB    TRACE#:021000026272572 EED:260112   IND ID:1047555120249                IND NAME:JUDD DUNNING                                                                                                 260111PPZIHA TRN: 0126272572TC</v>
      </c>
      <c r="D489" s="7" t="n">
        <f aca="false">Chase1168_2026!D489</f>
        <v>-10</v>
      </c>
      <c r="E489" s="0" t="str">
        <f aca="false">Chase1168_2026!E489</f>
        <v>ACH_DEBIT</v>
      </c>
      <c r="F489" s="7" t="n">
        <f aca="false">Chase1168_2026!F489</f>
        <v>5666.39</v>
      </c>
      <c r="G489" s="0" t="str">
        <f aca="false">Chase1168_2026!G489</f>
        <v>Venmo</v>
      </c>
      <c r="H489" s="15" t="n">
        <f aca="false">IF($B489="","",DATE(YEAR($B489),MONTH($B489),1))</f>
        <v>46023</v>
      </c>
      <c r="I489" s="0" t="str">
        <f aca="false">IF($G489="","Uncategorized — Review",IFERROR(INDEX(Mapping!$B:$B,MATCH($G489,Mapping!$A:$A,0)),"Uncategorized — Review"))</f>
        <v>Venmo</v>
      </c>
      <c r="J489" s="0" t="str">
        <f aca="false">IF($G489="","Uncategorized — Review",IFERROR(INDEX(Mapping!$C:$C,MATCH($G489,Mapping!$A:$A,0)),"Uncategorized — Review"))</f>
        <v>P2P Payments (Zelle/Venmo/PayPal)</v>
      </c>
    </row>
    <row r="490" customFormat="false" ht="15" hidden="false" customHeight="false" outlineLevel="0" collapsed="false">
      <c r="A490" s="0" t="str">
        <f aca="false">Chase1168_2026!A490</f>
        <v>DEBIT</v>
      </c>
      <c r="B490" s="14" t="n">
        <f aca="false">Chase1168_2026!B490</f>
        <v>46034</v>
      </c>
      <c r="C490" s="0" t="str">
        <f aca="false">Chase1168_2026!C490</f>
        <v>ORIG CO NAME:BANNER LIFE            ORIG ID:1521236145 DESC DATE:260111 CO ENTRY DESCR:PREM DEBITSEC:PPD    TRACE#:091000015918257 EED:260112   IND ID:                             IND NAME:ANGELA L DUNNING TRN: 0125918257TC</v>
      </c>
      <c r="D490" s="7" t="n">
        <f aca="false">Chase1168_2026!D490</f>
        <v>-171.21</v>
      </c>
      <c r="E490" s="0" t="str">
        <f aca="false">Chase1168_2026!E490</f>
        <v>ACH_DEBIT</v>
      </c>
      <c r="F490" s="7" t="n">
        <f aca="false">Chase1168_2026!F490</f>
        <v>5676.39</v>
      </c>
      <c r="G490" s="0" t="str">
        <f aca="false">Chase1168_2026!G490</f>
        <v>Personal - Life Insurance</v>
      </c>
      <c r="H490" s="15" t="n">
        <f aca="false">IF($B490="","",DATE(YEAR($B490),MONTH($B490),1))</f>
        <v>46023</v>
      </c>
      <c r="I490" s="0" t="str">
        <f aca="false">IF($G490="","Uncategorized — Review",IFERROR(INDEX(Mapping!$B:$B,MATCH($G490,Mapping!$A:$A,0)),"Uncategorized — Review"))</f>
        <v>Personal - Life Insurance</v>
      </c>
      <c r="J490" s="0" t="str">
        <f aca="false">IF($G490="","Uncategorized — Review",IFERROR(INDEX(Mapping!$C:$C,MATCH($G490,Mapping!$A:$A,0)),"Uncategorized — Review"))</f>
        <v>Personal — Owner</v>
      </c>
    </row>
    <row r="491" customFormat="false" ht="15" hidden="false" customHeight="false" outlineLevel="0" collapsed="false">
      <c r="A491" s="0" t="str">
        <f aca="false">Chase1168_2026!A491</f>
        <v>DEBIT</v>
      </c>
      <c r="B491" s="14" t="n">
        <f aca="false">Chase1168_2026!B491</f>
        <v>46034</v>
      </c>
      <c r="C491" s="0" t="str">
        <f aca="false">Chase1168_2026!C491</f>
        <v>ORIG CO NAME:GM Financial           ORIG ID:I522190781 DESC DATE:260112 CO ENTRY DESCR:GMF Pymt  SEC:PPD    TRACE#:091000015743792 EED:260112   IND ID:                             IND NAME:ANGELA DUNNING TRN: 0125743792TC</v>
      </c>
      <c r="D491" s="7" t="n">
        <f aca="false">Chase1168_2026!D491</f>
        <v>-1249.96</v>
      </c>
      <c r="E491" s="0" t="str">
        <f aca="false">Chase1168_2026!E491</f>
        <v>ACH_DEBIT</v>
      </c>
      <c r="F491" s="7" t="n">
        <f aca="false">Chase1168_2026!F491</f>
        <v>5847.6</v>
      </c>
      <c r="G491" s="0" t="str">
        <f aca="false">Chase1168_2026!G491</f>
        <v>Personal - Car</v>
      </c>
      <c r="H491" s="15" t="n">
        <f aca="false">IF($B491="","",DATE(YEAR($B491),MONTH($B491),1))</f>
        <v>46023</v>
      </c>
      <c r="I491" s="0" t="str">
        <f aca="false">IF($G491="","Uncategorized — Review",IFERROR(INDEX(Mapping!$B:$B,MATCH($G491,Mapping!$A:$A,0)),"Uncategorized — Review"))</f>
        <v>Personal - Car &amp; Auto</v>
      </c>
      <c r="J491" s="0" t="str">
        <f aca="false">IF($G491="","Uncategorized — Review",IFERROR(INDEX(Mapping!$C:$C,MATCH($G491,Mapping!$A:$A,0)),"Uncategorized — Review"))</f>
        <v>Personal — Owner</v>
      </c>
    </row>
    <row r="492" customFormat="false" ht="15" hidden="false" customHeight="false" outlineLevel="0" collapsed="false">
      <c r="A492" s="0" t="str">
        <f aca="false">Chase1168_2026!A492</f>
        <v>DEBIT</v>
      </c>
      <c r="B492" s="14" t="n">
        <f aca="false">Chase1168_2026!B492</f>
        <v>46034</v>
      </c>
      <c r="C492" s="0" t="str">
        <f aca="false">Chase1168_2026!C492</f>
        <v>HLU*HULUPLUS hulu.com/bill CA                01/11</v>
      </c>
      <c r="D492" s="7" t="n">
        <f aca="false">Chase1168_2026!D492</f>
        <v>-56.97</v>
      </c>
      <c r="E492" s="0" t="str">
        <f aca="false">Chase1168_2026!E492</f>
        <v>DEBIT_CARD</v>
      </c>
      <c r="F492" s="7" t="n">
        <f aca="false">Chase1168_2026!F492</f>
        <v>7097.56</v>
      </c>
      <c r="G492" s="0" t="str">
        <f aca="false">Chase1168_2026!G492</f>
        <v>Personal - Subscriptions</v>
      </c>
      <c r="H492" s="15" t="n">
        <f aca="false">IF($B492="","",DATE(YEAR($B492),MONTH($B492),1))</f>
        <v>46023</v>
      </c>
      <c r="I492" s="0" t="str">
        <f aca="false">IF($G492="","Uncategorized — Review",IFERROR(INDEX(Mapping!$B:$B,MATCH($G492,Mapping!$A:$A,0)),"Uncategorized — Review"))</f>
        <v>Personal - Subscriptions</v>
      </c>
      <c r="J492" s="0" t="str">
        <f aca="false">IF($G492="","Uncategorized — Review",IFERROR(INDEX(Mapping!$C:$C,MATCH($G492,Mapping!$A:$A,0)),"Uncategorized — Review"))</f>
        <v>Personal — Owner</v>
      </c>
    </row>
    <row r="493" customFormat="false" ht="15" hidden="false" customHeight="false" outlineLevel="0" collapsed="false">
      <c r="A493" s="0" t="str">
        <f aca="false">Chase1168_2026!A493</f>
        <v>DEBIT</v>
      </c>
      <c r="B493" s="14" t="n">
        <f aca="false">Chase1168_2026!B493</f>
        <v>46034</v>
      </c>
      <c r="C493" s="0" t="str">
        <f aca="false">Chase1168_2026!C493</f>
        <v>Zelle payment to Estella Martinez JPM99c1ikrhw</v>
      </c>
      <c r="D493" s="7" t="n">
        <f aca="false">Chase1168_2026!D493</f>
        <v>-800</v>
      </c>
      <c r="E493" s="0" t="str">
        <f aca="false">Chase1168_2026!E493</f>
        <v>CHASE_TO_PARTNERFI</v>
      </c>
      <c r="F493" s="7" t="n">
        <f aca="false">Chase1168_2026!F493</f>
        <v>7154.53</v>
      </c>
      <c r="G493" s="0" t="str">
        <f aca="false">Chase1168_2026!G493</f>
        <v>Zelle - Estella M.</v>
      </c>
      <c r="H493" s="15" t="n">
        <f aca="false">IF($B493="","",DATE(YEAR($B493),MONTH($B493),1))</f>
        <v>46023</v>
      </c>
      <c r="I493" s="0" t="str">
        <f aca="false">IF($G493="","Uncategorized — Review",IFERROR(INDEX(Mapping!$B:$B,MATCH($G493,Mapping!$A:$A,0)),"Uncategorized — Review"))</f>
        <v>Zelle - Estella M.</v>
      </c>
      <c r="J493" s="0" t="str">
        <f aca="false">IF($G493="","Uncategorized — Review",IFERROR(INDEX(Mapping!$C:$C,MATCH($G493,Mapping!$A:$A,0)),"Uncategorized — Review"))</f>
        <v>P2P Payments (Zelle/Venmo/PayPal)</v>
      </c>
    </row>
    <row r="494" customFormat="false" ht="15" hidden="false" customHeight="false" outlineLevel="0" collapsed="false">
      <c r="A494" s="0" t="str">
        <f aca="false">Chase1168_2026!A494</f>
        <v>DEBIT</v>
      </c>
      <c r="B494" s="14" t="n">
        <f aca="false">Chase1168_2026!B494</f>
        <v>46034</v>
      </c>
      <c r="C494" s="0" t="str">
        <f aca="false">Chase1168_2026!C494</f>
        <v>PAYPAL *RUTHALCANCI 402-935-7733 CA          01/09</v>
      </c>
      <c r="D494" s="7" t="n">
        <f aca="false">Chase1168_2026!D494</f>
        <v>-125</v>
      </c>
      <c r="E494" s="0" t="str">
        <f aca="false">Chase1168_2026!E494</f>
        <v>DEBIT_CARD</v>
      </c>
      <c r="F494" s="7" t="n">
        <f aca="false">Chase1168_2026!F494</f>
        <v>7954.53</v>
      </c>
      <c r="G494" s="0" t="str">
        <f aca="false">Chase1168_2026!G494</f>
        <v>Ruth Alcancia - Forward Bridge Payment</v>
      </c>
      <c r="H494" s="15" t="n">
        <f aca="false">IF($B494="","",DATE(YEAR($B494),MONTH($B494),1))</f>
        <v>46023</v>
      </c>
      <c r="I494" s="0" t="str">
        <f aca="false">IF($G494="","Uncategorized — Review",IFERROR(INDEX(Mapping!$B:$B,MATCH($G494,Mapping!$A:$A,0)),"Uncategorized — Review"))</f>
        <v>Ruth Alcancia - Forward Bridge Payment</v>
      </c>
      <c r="J494" s="0" t="str">
        <f aca="false">IF($G494="","Uncategorized — Review",IFERROR(INDEX(Mapping!$C:$C,MATCH($G494,Mapping!$A:$A,0)),"Uncategorized — Review"))</f>
        <v>Payroll &amp; Contractors</v>
      </c>
    </row>
    <row r="495" customFormat="false" ht="15" hidden="false" customHeight="false" outlineLevel="0" collapsed="false">
      <c r="A495" s="0" t="str">
        <f aca="false">Chase1168_2026!A495</f>
        <v>DEBIT</v>
      </c>
      <c r="B495" s="14" t="n">
        <f aca="false">Chase1168_2026!B495</f>
        <v>46031</v>
      </c>
      <c r="C495" s="0" t="str">
        <f aca="false">Chase1168_2026!C495</f>
        <v>Online Transfer to CHK ...2508 transaction#: 27647360816 01/09</v>
      </c>
      <c r="D495" s="7" t="n">
        <f aca="false">Chase1168_2026!D495</f>
        <v>-300</v>
      </c>
      <c r="E495" s="0" t="str">
        <f aca="false">Chase1168_2026!E495</f>
        <v>ACCT_XFER</v>
      </c>
      <c r="F495" s="7" t="n">
        <f aca="false">Chase1168_2026!F495</f>
        <v>8079.53</v>
      </c>
      <c r="G495" s="0" t="str">
        <f aca="false">Chase1168_2026!G495</f>
        <v>Transfer to Theut Glass</v>
      </c>
      <c r="H495" s="15" t="n">
        <f aca="false">IF($B495="","",DATE(YEAR($B495),MONTH($B495),1))</f>
        <v>46023</v>
      </c>
      <c r="I495" s="0" t="str">
        <f aca="false">IF($G495="","Uncategorized — Review",IFERROR(INDEX(Mapping!$B:$B,MATCH($G495,Mapping!$A:$A,0)),"Uncategorized — Review"))</f>
        <v>Transfer to Theut Glass</v>
      </c>
      <c r="J495" s="0" t="str">
        <f aca="false">IF($G495="","Uncategorized — Review",IFERROR(INDEX(Mapping!$C:$C,MATCH($G495,Mapping!$A:$A,0)),"Uncategorized — Review"))</f>
        <v>Intercompany &amp; Savings Transfers</v>
      </c>
    </row>
    <row r="496" customFormat="false" ht="15" hidden="false" customHeight="false" outlineLevel="0" collapsed="false">
      <c r="A496" s="0" t="str">
        <f aca="false">Chase1168_2026!A496</f>
        <v>DEBIT</v>
      </c>
      <c r="B496" s="14" t="n">
        <f aca="false">Chase1168_2026!B496</f>
        <v>46030</v>
      </c>
      <c r="C496" s="0" t="str">
        <f aca="false">Chase1168_2026!C496</f>
        <v>Online Transfer to CHK ...1117 transaction#: 27630247476 01/08</v>
      </c>
      <c r="D496" s="7" t="n">
        <f aca="false">Chase1168_2026!D496</f>
        <v>-2000</v>
      </c>
      <c r="E496" s="0" t="str">
        <f aca="false">Chase1168_2026!E496</f>
        <v>ACCT_XFER</v>
      </c>
      <c r="F496" s="7" t="n">
        <f aca="false">Chase1168_2026!F496</f>
        <v>8379.53</v>
      </c>
      <c r="G496" s="0" t="str">
        <f aca="false">Chase1168_2026!G496</f>
        <v>Transfer to Angela Dunning</v>
      </c>
      <c r="H496" s="15" t="n">
        <f aca="false">IF($B496="","",DATE(YEAR($B496),MONTH($B496),1))</f>
        <v>46023</v>
      </c>
      <c r="I496" s="0" t="str">
        <f aca="false">IF($G496="","Uncategorized — Review",IFERROR(INDEX(Mapping!$B:$B,MATCH($G496,Mapping!$A:$A,0)),"Uncategorized — Review"))</f>
        <v>Transfer to Angela Dunning</v>
      </c>
      <c r="J496" s="0" t="str">
        <f aca="false">IF($G496="","Uncategorized — Review",IFERROR(INDEX(Mapping!$C:$C,MATCH($G496,Mapping!$A:$A,0)),"Uncategorized — Review"))</f>
        <v>Owner / Family Distributions</v>
      </c>
    </row>
    <row r="497" customFormat="false" ht="15" hidden="false" customHeight="false" outlineLevel="0" collapsed="false">
      <c r="A497" s="0" t="str">
        <f aca="false">Chase1168_2026!A497</f>
        <v>DEBIT</v>
      </c>
      <c r="B497" s="14" t="n">
        <f aca="false">Chase1168_2026!B497</f>
        <v>46030</v>
      </c>
      <c r="C497" s="0" t="str">
        <f aca="false">Chase1168_2026!C497</f>
        <v>WWW.PERPLEXITY.AI WWW.PERPLEXIT CA           01/07</v>
      </c>
      <c r="D497" s="7" t="n">
        <f aca="false">Chase1168_2026!D497</f>
        <v>-21.28</v>
      </c>
      <c r="E497" s="0" t="str">
        <f aca="false">Chase1168_2026!E497</f>
        <v>DEBIT_CARD</v>
      </c>
      <c r="F497" s="7" t="n">
        <f aca="false">Chase1168_2026!F497</f>
        <v>10379.53</v>
      </c>
      <c r="G497" s="0" t="str">
        <f aca="false">Chase1168_2026!G497</f>
        <v>AI Subscriptions</v>
      </c>
      <c r="H497" s="15" t="n">
        <f aca="false">IF($B497="","",DATE(YEAR($B497),MONTH($B497),1))</f>
        <v>46023</v>
      </c>
      <c r="I497" s="0" t="str">
        <f aca="false">IF($G497="","Uncategorized — Review",IFERROR(INDEX(Mapping!$B:$B,MATCH($G497,Mapping!$A:$A,0)),"Uncategorized — Review"))</f>
        <v>AI Subscriptions</v>
      </c>
      <c r="J497" s="0" t="str">
        <f aca="false">IF($G497="","Uncategorized — Review",IFERROR(INDEX(Mapping!$C:$C,MATCH($G497,Mapping!$A:$A,0)),"Uncategorized — Review"))</f>
        <v>DWG Operating</v>
      </c>
    </row>
    <row r="498" customFormat="false" ht="15" hidden="false" customHeight="false" outlineLevel="0" collapsed="false">
      <c r="A498" s="0" t="str">
        <f aca="false">Chase1168_2026!A498</f>
        <v>DEBIT</v>
      </c>
      <c r="B498" s="14" t="n">
        <f aca="false">Chase1168_2026!B498</f>
        <v>46028</v>
      </c>
      <c r="C498" s="0" t="str">
        <f aca="false">Chase1168_2026!C498</f>
        <v>Online Transfer to CHK ...7753 transaction#: 27603732322 01/06</v>
      </c>
      <c r="D498" s="7" t="n">
        <f aca="false">Chase1168_2026!D498</f>
        <v>-5000</v>
      </c>
      <c r="E498" s="0" t="str">
        <f aca="false">Chase1168_2026!E498</f>
        <v>ACCT_XFER</v>
      </c>
      <c r="F498" s="7" t="n">
        <f aca="false">Chase1168_2026!F498</f>
        <v>10400.81</v>
      </c>
      <c r="G498" s="0" t="str">
        <f aca="false">Chase1168_2026!G498</f>
        <v>Transfer to DWG Capital Group_Costar</v>
      </c>
      <c r="H498" s="15" t="n">
        <f aca="false">IF($B498="","",DATE(YEAR($B498),MONTH($B498),1))</f>
        <v>46023</v>
      </c>
      <c r="I498" s="0" t="str">
        <f aca="false">IF($G498="","Uncategorized — Review",IFERROR(INDEX(Mapping!$B:$B,MATCH($G498,Mapping!$A:$A,0)),"Uncategorized — Review"))</f>
        <v>Transfer to DWG Capital Group_Costar</v>
      </c>
      <c r="J498" s="0" t="str">
        <f aca="false">IF($G498="","Uncategorized — Review",IFERROR(INDEX(Mapping!$C:$C,MATCH($G498,Mapping!$A:$A,0)),"Uncategorized — Review"))</f>
        <v>Intercompany &amp; Savings Transfers</v>
      </c>
    </row>
    <row r="499" customFormat="false" ht="15" hidden="false" customHeight="false" outlineLevel="0" collapsed="false">
      <c r="A499" s="0" t="str">
        <f aca="false">Chase1168_2026!A499</f>
        <v>DEBIT</v>
      </c>
      <c r="B499" s="14" t="n">
        <f aca="false">Chase1168_2026!B499</f>
        <v>46028</v>
      </c>
      <c r="C499" s="0" t="str">
        <f aca="false">Chase1168_2026!C499</f>
        <v>UPWORK * -880597086 866-262-4478 CA          01/05</v>
      </c>
      <c r="D499" s="7" t="n">
        <f aca="false">Chase1168_2026!D499</f>
        <v>-288.75</v>
      </c>
      <c r="E499" s="0" t="str">
        <f aca="false">Chase1168_2026!E499</f>
        <v>DEBIT_CARD</v>
      </c>
      <c r="F499" s="7" t="n">
        <f aca="false">Chase1168_2026!F499</f>
        <v>15400.81</v>
      </c>
      <c r="G499" s="0" t="str">
        <f aca="false">Chase1168_2026!G499</f>
        <v>Upwork - Sergei M.</v>
      </c>
      <c r="H499" s="15" t="n">
        <f aca="false">IF($B499="","",DATE(YEAR($B499),MONTH($B499),1))</f>
        <v>46023</v>
      </c>
      <c r="I499" s="0" t="str">
        <f aca="false">IF($G499="","Uncategorized — Review",IFERROR(INDEX(Mapping!$B:$B,MATCH($G499,Mapping!$A:$A,0)),"Uncategorized — Review"))</f>
        <v>Upwork - Sergei M.</v>
      </c>
      <c r="J499" s="0" t="str">
        <f aca="false">IF($G499="","Uncategorized — Review",IFERROR(INDEX(Mapping!$C:$C,MATCH($G499,Mapping!$A:$A,0)),"Uncategorized — Review"))</f>
        <v>Payroll &amp; Contractors</v>
      </c>
    </row>
    <row r="500" customFormat="false" ht="15" hidden="false" customHeight="false" outlineLevel="0" collapsed="false">
      <c r="A500" s="0" t="str">
        <f aca="false">Chase1168_2026!A500</f>
        <v>DEBIT</v>
      </c>
      <c r="B500" s="14" t="n">
        <f aca="false">Chase1168_2026!B500</f>
        <v>46027</v>
      </c>
      <c r="C500" s="0" t="str">
        <f aca="false">Chase1168_2026!C500</f>
        <v>ORIG CO NAME:VENMO                  ORIG ID:3264681992 DESC DATE:260105 CO ENTRY DESCR:PAYMENT   SEC:WEB    TRACE#:021000022981601 EED:260105   IND ID:1047404480254                IND NAME:JUDD DUNNING                                                                                                 260105PPZ2BF TRN: 0052981601TC</v>
      </c>
      <c r="D500" s="7" t="n">
        <f aca="false">Chase1168_2026!D500</f>
        <v>-75</v>
      </c>
      <c r="E500" s="0" t="str">
        <f aca="false">Chase1168_2026!E500</f>
        <v>ACH_DEBIT</v>
      </c>
      <c r="F500" s="7" t="n">
        <f aca="false">Chase1168_2026!F500</f>
        <v>15689.56</v>
      </c>
      <c r="G500" s="0" t="str">
        <f aca="false">Chase1168_2026!G500</f>
        <v>Venmo</v>
      </c>
      <c r="H500" s="15" t="n">
        <f aca="false">IF($B500="","",DATE(YEAR($B500),MONTH($B500),1))</f>
        <v>46023</v>
      </c>
      <c r="I500" s="0" t="str">
        <f aca="false">IF($G500="","Uncategorized — Review",IFERROR(INDEX(Mapping!$B:$B,MATCH($G500,Mapping!$A:$A,0)),"Uncategorized — Review"))</f>
        <v>Venmo</v>
      </c>
      <c r="J500" s="0" t="str">
        <f aca="false">IF($G500="","Uncategorized — Review",IFERROR(INDEX(Mapping!$C:$C,MATCH($G500,Mapping!$A:$A,0)),"Uncategorized — Review"))</f>
        <v>P2P Payments (Zelle/Venmo/PayPal)</v>
      </c>
    </row>
    <row r="501" customFormat="false" ht="15" hidden="false" customHeight="false" outlineLevel="0" collapsed="false">
      <c r="A501" s="0" t="str">
        <f aca="false">Chase1168_2026!A501</f>
        <v>DEBIT</v>
      </c>
      <c r="B501" s="14" t="n">
        <f aca="false">Chase1168_2026!B501</f>
        <v>46027</v>
      </c>
      <c r="C501" s="0" t="str">
        <f aca="false">Chase1168_2026!C501</f>
        <v>Basic Online Payroll Payment 11201211266 to ########4122</v>
      </c>
      <c r="D501" s="7" t="n">
        <f aca="false">Chase1168_2026!D501</f>
        <v>-1750</v>
      </c>
      <c r="E501" s="0" t="str">
        <f aca="false">Chase1168_2026!E501</f>
        <v>BASIC_PAYROLL</v>
      </c>
      <c r="F501" s="7" t="n">
        <f aca="false">Chase1168_2026!F501</f>
        <v>15764.56</v>
      </c>
      <c r="G501" s="0" t="str">
        <f aca="false">Chase1168_2026!G501</f>
        <v>Mike Paytonjian - Payroll</v>
      </c>
      <c r="H501" s="15" t="n">
        <f aca="false">IF($B501="","",DATE(YEAR($B501),MONTH($B501),1))</f>
        <v>46023</v>
      </c>
      <c r="I501" s="0" t="str">
        <f aca="false">IF($G501="","Uncategorized — Review",IFERROR(INDEX(Mapping!$B:$B,MATCH($G501,Mapping!$A:$A,0)),"Uncategorized — Review"))</f>
        <v>Mike Paytonjian - Payroll</v>
      </c>
      <c r="J501" s="0" t="str">
        <f aca="false">IF($G501="","Uncategorized — Review",IFERROR(INDEX(Mapping!$C:$C,MATCH($G501,Mapping!$A:$A,0)),"Uncategorized — Review"))</f>
        <v>Payroll &amp; Contractors</v>
      </c>
    </row>
    <row r="502" customFormat="false" ht="15" hidden="false" customHeight="false" outlineLevel="0" collapsed="false">
      <c r="A502" s="0" t="str">
        <f aca="false">Chase1168_2026!A502</f>
        <v>DEBIT</v>
      </c>
      <c r="B502" s="14" t="n">
        <f aca="false">Chase1168_2026!B502</f>
        <v>46027</v>
      </c>
      <c r="C502" s="0" t="str">
        <f aca="false">Chase1168_2026!C502</f>
        <v>ORIG CO NAME:VENMO                  ORIG ID:3264681992 DESC DATE:260104 CO ENTRY DESCR:PAYMENT   SEC:WEB    TRACE#:021000021639338 EED:260105   IND ID:1047399547267                IND NAME:JUDD DUNNING                                                                                                 260104PPZ1CY TRN: 0051639338TC</v>
      </c>
      <c r="D502" s="7" t="n">
        <f aca="false">Chase1168_2026!D502</f>
        <v>-150</v>
      </c>
      <c r="E502" s="0" t="str">
        <f aca="false">Chase1168_2026!E502</f>
        <v>ACH_DEBIT</v>
      </c>
      <c r="F502" s="7" t="n">
        <f aca="false">Chase1168_2026!F502</f>
        <v>17514.56</v>
      </c>
      <c r="G502" s="0" t="str">
        <f aca="false">Chase1168_2026!G502</f>
        <v>Venmo</v>
      </c>
      <c r="H502" s="15" t="n">
        <f aca="false">IF($B502="","",DATE(YEAR($B502),MONTH($B502),1))</f>
        <v>46023</v>
      </c>
      <c r="I502" s="0" t="str">
        <f aca="false">IF($G502="","Uncategorized — Review",IFERROR(INDEX(Mapping!$B:$B,MATCH($G502,Mapping!$A:$A,0)),"Uncategorized — Review"))</f>
        <v>Venmo</v>
      </c>
      <c r="J502" s="0" t="str">
        <f aca="false">IF($G502="","Uncategorized — Review",IFERROR(INDEX(Mapping!$C:$C,MATCH($G502,Mapping!$A:$A,0)),"Uncategorized — Review"))</f>
        <v>P2P Payments (Zelle/Venmo/PayPal)</v>
      </c>
    </row>
    <row r="503" customFormat="false" ht="15" hidden="false" customHeight="false" outlineLevel="0" collapsed="false">
      <c r="A503" s="0" t="str">
        <f aca="false">Chase1168_2026!A503</f>
        <v>DEBIT</v>
      </c>
      <c r="B503" s="14" t="n">
        <f aca="false">Chase1168_2026!B503</f>
        <v>46027</v>
      </c>
      <c r="C503" s="0" t="str">
        <f aca="false">Chase1168_2026!C503</f>
        <v>Zelle payment to Jeffrey Seider JPM99c0yf7aa</v>
      </c>
      <c r="D503" s="7" t="n">
        <f aca="false">Chase1168_2026!D503</f>
        <v>-150</v>
      </c>
      <c r="E503" s="0" t="str">
        <f aca="false">Chase1168_2026!E503</f>
        <v>CHASE_TO_PARTNERFI</v>
      </c>
      <c r="F503" s="7" t="n">
        <f aca="false">Chase1168_2026!F503</f>
        <v>17664.56</v>
      </c>
      <c r="G503" s="0" t="str">
        <f aca="false">Chase1168_2026!G503</f>
        <v>Zelle - Jeff Seider</v>
      </c>
      <c r="H503" s="15" t="n">
        <f aca="false">IF($B503="","",DATE(YEAR($B503),MONTH($B503),1))</f>
        <v>46023</v>
      </c>
      <c r="I503" s="0" t="str">
        <f aca="false">IF($G503="","Uncategorized — Review",IFERROR(INDEX(Mapping!$B:$B,MATCH($G503,Mapping!$A:$A,0)),"Uncategorized — Review"))</f>
        <v>Zelle - Jeff Seider</v>
      </c>
      <c r="J503" s="0" t="str">
        <f aca="false">IF($G503="","Uncategorized — Review",IFERROR(INDEX(Mapping!$C:$C,MATCH($G503,Mapping!$A:$A,0)),"Uncategorized — Review"))</f>
        <v>P2P Payments (Zelle/Venmo/PayPal)</v>
      </c>
    </row>
    <row r="504" customFormat="false" ht="15" hidden="false" customHeight="false" outlineLevel="0" collapsed="false">
      <c r="A504" s="0" t="str">
        <f aca="false">Chase1168_2026!A504</f>
        <v>DEBIT</v>
      </c>
      <c r="B504" s="14" t="n">
        <f aca="false">Chase1168_2026!B504</f>
        <v>46027</v>
      </c>
      <c r="C504" s="0" t="str">
        <f aca="false">Chase1168_2026!C504</f>
        <v>Online Transfer to CHK ...6975 transaction#: 27584872329 01/05</v>
      </c>
      <c r="D504" s="7" t="n">
        <f aca="false">Chase1168_2026!D504</f>
        <v>-200</v>
      </c>
      <c r="E504" s="0" t="str">
        <f aca="false">Chase1168_2026!E504</f>
        <v>ACCT_XFER</v>
      </c>
      <c r="F504" s="7" t="n">
        <f aca="false">Chase1168_2026!F504</f>
        <v>17814.56</v>
      </c>
      <c r="G504" s="0" t="str">
        <f aca="false">Chase1168_2026!G504</f>
        <v>Transfer to Ava Perez-Dunning</v>
      </c>
      <c r="H504" s="15" t="n">
        <f aca="false">IF($B504="","",DATE(YEAR($B504),MONTH($B504),1))</f>
        <v>46023</v>
      </c>
      <c r="I504" s="0" t="str">
        <f aca="false">IF($G504="","Uncategorized — Review",IFERROR(INDEX(Mapping!$B:$B,MATCH($G504,Mapping!$A:$A,0)),"Uncategorized — Review"))</f>
        <v>Transfer to Ava Perez-Dunning</v>
      </c>
      <c r="J504" s="0" t="str">
        <f aca="false">IF($G504="","Uncategorized — Review",IFERROR(INDEX(Mapping!$C:$C,MATCH($G504,Mapping!$A:$A,0)),"Uncategorized — Review"))</f>
        <v>Owner / Family Distributions</v>
      </c>
    </row>
    <row r="505" customFormat="false" ht="15" hidden="false" customHeight="false" outlineLevel="0" collapsed="false">
      <c r="A505" s="0" t="str">
        <f aca="false">Chase1168_2026!A505</f>
        <v>DEBIT</v>
      </c>
      <c r="B505" s="14" t="n">
        <f aca="false">Chase1168_2026!B505</f>
        <v>46027</v>
      </c>
      <c r="C505" s="0" t="str">
        <f aca="false">Chase1168_2026!C505</f>
        <v>Online Transfer to CHK ...1117 transaction#: 27584627654 01/05</v>
      </c>
      <c r="D505" s="7" t="n">
        <f aca="false">Chase1168_2026!D505</f>
        <v>-1000</v>
      </c>
      <c r="E505" s="0" t="str">
        <f aca="false">Chase1168_2026!E505</f>
        <v>ACCT_XFER</v>
      </c>
      <c r="F505" s="7" t="n">
        <f aca="false">Chase1168_2026!F505</f>
        <v>18014.56</v>
      </c>
      <c r="G505" s="0" t="str">
        <f aca="false">Chase1168_2026!G505</f>
        <v>Transfer to Angela Dunning</v>
      </c>
      <c r="H505" s="15" t="n">
        <f aca="false">IF($B505="","",DATE(YEAR($B505),MONTH($B505),1))</f>
        <v>46023</v>
      </c>
      <c r="I505" s="0" t="str">
        <f aca="false">IF($G505="","Uncategorized — Review",IFERROR(INDEX(Mapping!$B:$B,MATCH($G505,Mapping!$A:$A,0)),"Uncategorized — Review"))</f>
        <v>Transfer to Angela Dunning</v>
      </c>
      <c r="J505" s="0" t="str">
        <f aca="false">IF($G505="","Uncategorized — Review",IFERROR(INDEX(Mapping!$C:$C,MATCH($G505,Mapping!$A:$A,0)),"Uncategorized — Review"))</f>
        <v>Owner / Family Distributions</v>
      </c>
    </row>
    <row r="506" customFormat="false" ht="15" hidden="false" customHeight="false" outlineLevel="0" collapsed="false">
      <c r="A506" s="0" t="str">
        <f aca="false">Chase1168_2026!A506</f>
        <v>DEBIT</v>
      </c>
      <c r="B506" s="14" t="n">
        <f aca="false">Chase1168_2026!B506</f>
        <v>46027</v>
      </c>
      <c r="C506" s="0" t="str">
        <f aca="false">Chase1168_2026!C506</f>
        <v>PAYPAL *BAFILEGIRL6 402-935-7733 CA          01/04</v>
      </c>
      <c r="D506" s="7" t="n">
        <f aca="false">Chase1168_2026!D506</f>
        <v>-309</v>
      </c>
      <c r="E506" s="0" t="str">
        <f aca="false">Chase1168_2026!E506</f>
        <v>DEBIT_CARD</v>
      </c>
      <c r="F506" s="7" t="n">
        <f aca="false">Chase1168_2026!F506</f>
        <v>19014.56</v>
      </c>
      <c r="G506" s="0" t="str">
        <f aca="false">Chase1168_2026!G506</f>
        <v>Personal - Health</v>
      </c>
      <c r="H506" s="15" t="n">
        <f aca="false">IF($B506="","",DATE(YEAR($B506),MONTH($B506),1))</f>
        <v>46023</v>
      </c>
      <c r="I506" s="0" t="str">
        <f aca="false">IF($G506="","Uncategorized — Review",IFERROR(INDEX(Mapping!$B:$B,MATCH($G506,Mapping!$A:$A,0)),"Uncategorized — Review"))</f>
        <v>Personal - Health (incl. Ins.)</v>
      </c>
      <c r="J506" s="0" t="str">
        <f aca="false">IF($G506="","Uncategorized — Review",IFERROR(INDEX(Mapping!$C:$C,MATCH($G506,Mapping!$A:$A,0)),"Uncategorized — Review"))</f>
        <v>Personal — Owner</v>
      </c>
    </row>
    <row r="507" customFormat="false" ht="15" hidden="false" customHeight="false" outlineLevel="0" collapsed="false">
      <c r="A507" s="0" t="str">
        <f aca="false">Chase1168_2026!A507</f>
        <v>DEBIT</v>
      </c>
      <c r="B507" s="14" t="n">
        <f aca="false">Chase1168_2026!B507</f>
        <v>46027</v>
      </c>
      <c r="C507" s="0" t="str">
        <f aca="false">Chase1168_2026!C507</f>
        <v>PAYPAL *PRAGERUNIVE P 833-772-4378 CA        01/03</v>
      </c>
      <c r="D507" s="7" t="n">
        <f aca="false">Chase1168_2026!D507</f>
        <v>-10.78</v>
      </c>
      <c r="E507" s="0" t="str">
        <f aca="false">Chase1168_2026!E507</f>
        <v>DEBIT_CARD</v>
      </c>
      <c r="F507" s="7" t="n">
        <f aca="false">Chase1168_2026!F507</f>
        <v>19323.56</v>
      </c>
      <c r="G507" s="0" t="str">
        <f aca="false">Chase1168_2026!G507</f>
        <v>DWGCP Business Development</v>
      </c>
      <c r="H507" s="15" t="n">
        <f aca="false">IF($B507="","",DATE(YEAR($B507),MONTH($B507),1))</f>
        <v>46023</v>
      </c>
      <c r="I507" s="0" t="str">
        <f aca="false">IF($G507="","Uncategorized — Review",IFERROR(INDEX(Mapping!$B:$B,MATCH($G507,Mapping!$A:$A,0)),"Uncategorized — Review"))</f>
        <v>DWGCP Business Development</v>
      </c>
      <c r="J507" s="0" t="str">
        <f aca="false">IF($G507="","Uncategorized — Review",IFERROR(INDEX(Mapping!$C:$C,MATCH($G507,Mapping!$A:$A,0)),"Uncategorized — Review"))</f>
        <v>DWG Operating</v>
      </c>
    </row>
    <row r="508" customFormat="false" ht="15" hidden="false" customHeight="false" outlineLevel="0" collapsed="false">
      <c r="A508" s="0" t="str">
        <f aca="false">Chase1168_2026!A508</f>
        <v>DEBIT</v>
      </c>
      <c r="B508" s="14" t="n">
        <f aca="false">Chase1168_2026!B508</f>
        <v>46027</v>
      </c>
      <c r="C508" s="0" t="str">
        <f aca="false">Chase1168_2026!C508</f>
        <v>BLUE SHIELD CALIFORNI 800-393-6130 CA        01/03</v>
      </c>
      <c r="D508" s="7" t="n">
        <f aca="false">Chase1168_2026!D508</f>
        <v>-1293.42</v>
      </c>
      <c r="E508" s="0" t="str">
        <f aca="false">Chase1168_2026!E508</f>
        <v>DEBIT_CARD</v>
      </c>
      <c r="F508" s="7" t="n">
        <f aca="false">Chase1168_2026!F508</f>
        <v>19334.34</v>
      </c>
      <c r="G508" s="0" t="str">
        <f aca="false">Chase1168_2026!G508</f>
        <v>Personal - Health Insurance</v>
      </c>
      <c r="H508" s="15" t="n">
        <f aca="false">IF($B508="","",DATE(YEAR($B508),MONTH($B508),1))</f>
        <v>46023</v>
      </c>
      <c r="I508" s="0" t="str">
        <f aca="false">IF($G508="","Uncategorized — Review",IFERROR(INDEX(Mapping!$B:$B,MATCH($G508,Mapping!$A:$A,0)),"Uncategorized — Review"))</f>
        <v>Personal - Health (incl. Ins.)</v>
      </c>
      <c r="J508" s="0" t="str">
        <f aca="false">IF($G508="","Uncategorized — Review",IFERROR(INDEX(Mapping!$C:$C,MATCH($G508,Mapping!$A:$A,0)),"Uncategorized — Review"))</f>
        <v>Personal — Owner</v>
      </c>
    </row>
    <row r="509" customFormat="false" ht="15" hidden="false" customHeight="false" outlineLevel="0" collapsed="false">
      <c r="A509" s="0" t="str">
        <f aca="false">Chase1168_2026!A509</f>
        <v>DEBIT</v>
      </c>
      <c r="B509" s="14" t="n">
        <f aca="false">Chase1168_2026!B509</f>
        <v>46024</v>
      </c>
      <c r="C509" s="0" t="str">
        <f aca="false">Chase1168_2026!C509</f>
        <v>STD ACH PMNTS VOLUME FEE QTY = 3</v>
      </c>
      <c r="D509" s="7" t="n">
        <f aca="false">Chase1168_2026!D509</f>
        <v>-0.45</v>
      </c>
      <c r="E509" s="0" t="str">
        <f aca="false">Chase1168_2026!E509</f>
        <v>FEE_TRANSACTION</v>
      </c>
      <c r="F509" s="7" t="n">
        <f aca="false">Chase1168_2026!F509</f>
        <v>20627.76</v>
      </c>
      <c r="G509" s="0" t="str">
        <f aca="false">Chase1168_2026!G509</f>
        <v>Bank Fees</v>
      </c>
      <c r="H509" s="15" t="n">
        <f aca="false">IF($B509="","",DATE(YEAR($B509),MONTH($B509),1))</f>
        <v>46023</v>
      </c>
      <c r="I509" s="0" t="str">
        <f aca="false">IF($G509="","Uncategorized — Review",IFERROR(INDEX(Mapping!$B:$B,MATCH($G509,Mapping!$A:$A,0)),"Uncategorized — Review"))</f>
        <v>Bank Fees</v>
      </c>
      <c r="J509" s="0" t="str">
        <f aca="false">IF($G509="","Uncategorized — Review",IFERROR(INDEX(Mapping!$C:$C,MATCH($G509,Mapping!$A:$A,0)),"Uncategorized — Review"))</f>
        <v>DWG Operating</v>
      </c>
    </row>
    <row r="510" customFormat="false" ht="15" hidden="false" customHeight="false" outlineLevel="0" collapsed="false">
      <c r="A510" s="0" t="str">
        <f aca="false">Chase1168_2026!A510</f>
        <v>DEBIT</v>
      </c>
      <c r="B510" s="14" t="n">
        <f aca="false">Chase1168_2026!B510</f>
        <v>46024</v>
      </c>
      <c r="C510" s="0" t="str">
        <f aca="false">Chase1168_2026!C510</f>
        <v>STANDARD ACH PMNTS INITIAL FEE QTY = 10</v>
      </c>
      <c r="D510" s="7" t="n">
        <f aca="false">Chase1168_2026!D510</f>
        <v>-25</v>
      </c>
      <c r="E510" s="0" t="str">
        <f aca="false">Chase1168_2026!E510</f>
        <v>FEE_TRANSACTION</v>
      </c>
      <c r="F510" s="7" t="n">
        <f aca="false">Chase1168_2026!F510</f>
        <v>20628.21</v>
      </c>
      <c r="G510" s="0" t="str">
        <f aca="false">Chase1168_2026!G510</f>
        <v>Bank Fees</v>
      </c>
      <c r="H510" s="15" t="n">
        <f aca="false">IF($B510="","",DATE(YEAR($B510),MONTH($B510),1))</f>
        <v>46023</v>
      </c>
      <c r="I510" s="0" t="str">
        <f aca="false">IF($G510="","Uncategorized — Review",IFERROR(INDEX(Mapping!$B:$B,MATCH($G510,Mapping!$A:$A,0)),"Uncategorized — Review"))</f>
        <v>Bank Fees</v>
      </c>
      <c r="J510" s="0" t="str">
        <f aca="false">IF($G510="","Uncategorized — Review",IFERROR(INDEX(Mapping!$C:$C,MATCH($G510,Mapping!$A:$A,0)),"Uncategorized — Review"))</f>
        <v>DWG Operating</v>
      </c>
    </row>
    <row r="511" customFormat="false" ht="15" hidden="false" customHeight="false" outlineLevel="0" collapsed="false">
      <c r="A511" s="0" t="str">
        <f aca="false">Chase1168_2026!A511</f>
        <v>DEBIT</v>
      </c>
      <c r="B511" s="14" t="n">
        <f aca="false">Chase1168_2026!B511</f>
        <v>46024</v>
      </c>
      <c r="C511" s="0" t="str">
        <f aca="false">Chase1168_2026!C511</f>
        <v>RTP/Same Day - High Value</v>
      </c>
      <c r="D511" s="7" t="n">
        <f aca="false">Chase1168_2026!D511</f>
        <v>-100</v>
      </c>
      <c r="E511" s="0" t="str">
        <f aca="false">Chase1168_2026!E511</f>
        <v>FEE_TRANSACTION</v>
      </c>
      <c r="F511" s="7" t="n">
        <f aca="false">Chase1168_2026!F511</f>
        <v>20653.21</v>
      </c>
      <c r="G511" s="0" t="str">
        <f aca="false">Chase1168_2026!G511</f>
        <v>Bank Fees</v>
      </c>
      <c r="H511" s="15" t="n">
        <f aca="false">IF($B511="","",DATE(YEAR($B511),MONTH($B511),1))</f>
        <v>46023</v>
      </c>
      <c r="I511" s="0" t="str">
        <f aca="false">IF($G511="","Uncategorized — Review",IFERROR(INDEX(Mapping!$B:$B,MATCH($G511,Mapping!$A:$A,0)),"Uncategorized — Review"))</f>
        <v>Bank Fees</v>
      </c>
      <c r="J511" s="0" t="str">
        <f aca="false">IF($G511="","Uncategorized — Review",IFERROR(INDEX(Mapping!$C:$C,MATCH($G511,Mapping!$A:$A,0)),"Uncategorized — Review"))</f>
        <v>DWG Operating</v>
      </c>
    </row>
    <row r="512" customFormat="false" ht="15" hidden="false" customHeight="false" outlineLevel="0" collapsed="false">
      <c r="A512" s="0" t="str">
        <f aca="false">Chase1168_2026!A512</f>
        <v>DEBIT</v>
      </c>
      <c r="B512" s="14" t="n">
        <f aca="false">Chase1168_2026!B512</f>
        <v>46024</v>
      </c>
      <c r="C512" s="0" t="str">
        <f aca="false">Chase1168_2026!C512</f>
        <v>ORIG CO NAME:VENMO                  ORIG ID:3264681992 DESC DATE:260102 CO ENTRY DESCR:PAYMENT   SEC:WEB    TRACE#:021000027042589 EED:260102   IND ID:1047357227122                IND NAME:JUDD DUNNING                                                                                                 260102PPZY76 TRN: 0027042589TC</v>
      </c>
      <c r="D512" s="7" t="n">
        <f aca="false">Chase1168_2026!D512</f>
        <v>-3000</v>
      </c>
      <c r="E512" s="0" t="str">
        <f aca="false">Chase1168_2026!E512</f>
        <v>ACH_DEBIT</v>
      </c>
      <c r="F512" s="7" t="n">
        <f aca="false">Chase1168_2026!F512</f>
        <v>20753.21</v>
      </c>
      <c r="G512" s="0" t="str">
        <f aca="false">Chase1168_2026!G512</f>
        <v>Venmo</v>
      </c>
      <c r="H512" s="15" t="n">
        <f aca="false">IF($B512="","",DATE(YEAR($B512),MONTH($B512),1))</f>
        <v>46023</v>
      </c>
      <c r="I512" s="0" t="str">
        <f aca="false">IF($G512="","Uncategorized — Review",IFERROR(INDEX(Mapping!$B:$B,MATCH($G512,Mapping!$A:$A,0)),"Uncategorized — Review"))</f>
        <v>Venmo</v>
      </c>
      <c r="J512" s="0" t="str">
        <f aca="false">IF($G512="","Uncategorized — Review",IFERROR(INDEX(Mapping!$C:$C,MATCH($G512,Mapping!$A:$A,0)),"Uncategorized — Review"))</f>
        <v>P2P Payments (Zelle/Venmo/PayPal)</v>
      </c>
    </row>
    <row r="513" customFormat="false" ht="15" hidden="false" customHeight="false" outlineLevel="0" collapsed="false">
      <c r="A513" s="0" t="str">
        <f aca="false">Chase1168_2026!A513</f>
        <v>DEBIT</v>
      </c>
      <c r="B513" s="14" t="n">
        <f aca="false">Chase1168_2026!B513</f>
        <v>46024</v>
      </c>
      <c r="C513" s="0" t="str">
        <f aca="false">Chase1168_2026!C513</f>
        <v>DNH*GODADDY#3983010540 480-5058855 AZ        01/02</v>
      </c>
      <c r="D513" s="7" t="n">
        <f aca="false">Chase1168_2026!D513</f>
        <v>-20.97</v>
      </c>
      <c r="E513" s="0" t="str">
        <f aca="false">Chase1168_2026!E513</f>
        <v>DEBIT_CARD</v>
      </c>
      <c r="F513" s="7" t="n">
        <f aca="false">Chase1168_2026!F513</f>
        <v>23753.21</v>
      </c>
      <c r="G513" s="0" t="str">
        <f aca="false">Chase1168_2026!G513</f>
        <v>Go Daddy</v>
      </c>
      <c r="H513" s="15" t="n">
        <f aca="false">IF($B513="","",DATE(YEAR($B513),MONTH($B513),1))</f>
        <v>46023</v>
      </c>
      <c r="I513" s="0" t="str">
        <f aca="false">IF($G513="","Uncategorized — Review",IFERROR(INDEX(Mapping!$B:$B,MATCH($G513,Mapping!$A:$A,0)),"Uncategorized — Review"))</f>
        <v>Go Daddy</v>
      </c>
      <c r="J513" s="0" t="str">
        <f aca="false">IF($G513="","Uncategorized — Review",IFERROR(INDEX(Mapping!$C:$C,MATCH($G513,Mapping!$A:$A,0)),"Uncategorized — Review"))</f>
        <v>DWG Operating</v>
      </c>
    </row>
    <row r="514" customFormat="false" ht="15" hidden="false" customHeight="false" outlineLevel="0" collapsed="false">
      <c r="A514" s="0" t="str">
        <f aca="false">Chase1168_2026!A514</f>
        <v>DEBIT</v>
      </c>
      <c r="B514" s="14" t="n">
        <f aca="false">Chase1168_2026!B514</f>
        <v>46024</v>
      </c>
      <c r="C514" s="0" t="str">
        <f aca="false">Chase1168_2026!C514</f>
        <v>INDEED USI26-00014440 AUSTIN TX      012796  01/02</v>
      </c>
      <c r="D514" s="7" t="n">
        <f aca="false">Chase1168_2026!D514</f>
        <v>-437.2</v>
      </c>
      <c r="E514" s="0" t="str">
        <f aca="false">Chase1168_2026!E514</f>
        <v>DEBIT_CARD</v>
      </c>
      <c r="F514" s="7" t="n">
        <f aca="false">Chase1168_2026!F514</f>
        <v>23774.18</v>
      </c>
      <c r="G514" s="0" t="str">
        <f aca="false">Chase1168_2026!G514</f>
        <v>DWG HR</v>
      </c>
      <c r="H514" s="15" t="n">
        <f aca="false">IF($B514="","",DATE(YEAR($B514),MONTH($B514),1))</f>
        <v>46023</v>
      </c>
      <c r="I514" s="0" t="str">
        <f aca="false">IF($G514="","Uncategorized — Review",IFERROR(INDEX(Mapping!$B:$B,MATCH($G514,Mapping!$A:$A,0)),"Uncategorized — Review"))</f>
        <v>DWG HR</v>
      </c>
      <c r="J514" s="0" t="str">
        <f aca="false">IF($G514="","Uncategorized — Review",IFERROR(INDEX(Mapping!$C:$C,MATCH($G514,Mapping!$A:$A,0)),"Uncategorized — Review"))</f>
        <v>Payroll &amp; Contractors</v>
      </c>
    </row>
    <row r="515" customFormat="false" ht="15" hidden="false" customHeight="false" outlineLevel="0" collapsed="false">
      <c r="A515" s="0" t="str">
        <f aca="false">Chase1168_2026!A515</f>
        <v>DEBIT</v>
      </c>
      <c r="B515" s="14" t="n">
        <f aca="false">Chase1168_2026!B515</f>
        <v>46024</v>
      </c>
      <c r="C515" s="0" t="str">
        <f aca="false">Chase1168_2026!C515</f>
        <v>Online Transfer to CHK ...1117 transaction#: 27551465996 01/02</v>
      </c>
      <c r="D515" s="7" t="n">
        <f aca="false">Chase1168_2026!D515</f>
        <v>-5000</v>
      </c>
      <c r="E515" s="0" t="str">
        <f aca="false">Chase1168_2026!E515</f>
        <v>ACCT_XFER</v>
      </c>
      <c r="F515" s="7" t="n">
        <f aca="false">Chase1168_2026!F515</f>
        <v>24211.38</v>
      </c>
      <c r="G515" s="0" t="str">
        <f aca="false">Chase1168_2026!G515</f>
        <v>Transfer to Angela Dunning</v>
      </c>
      <c r="H515" s="15" t="n">
        <f aca="false">IF($B515="","",DATE(YEAR($B515),MONTH($B515),1))</f>
        <v>46023</v>
      </c>
      <c r="I515" s="0" t="str">
        <f aca="false">IF($G515="","Uncategorized — Review",IFERROR(INDEX(Mapping!$B:$B,MATCH($G515,Mapping!$A:$A,0)),"Uncategorized — Review"))</f>
        <v>Transfer to Angela Dunning</v>
      </c>
      <c r="J515" s="0" t="str">
        <f aca="false">IF($G515="","Uncategorized — Review",IFERROR(INDEX(Mapping!$C:$C,MATCH($G515,Mapping!$A:$A,0)),"Uncategorized — Review"))</f>
        <v>Owner / Family Distributions</v>
      </c>
    </row>
    <row r="516" customFormat="false" ht="15" hidden="false" customHeight="false" outlineLevel="0" collapsed="false">
      <c r="A516" s="0" t="str">
        <f aca="false">Chase1168_2026!A516</f>
        <v>DEBIT</v>
      </c>
      <c r="B516" s="14" t="n">
        <f aca="false">Chase1168_2026!B516</f>
        <v>46024</v>
      </c>
      <c r="C516" s="0" t="str">
        <f aca="false">Chase1168_2026!C516</f>
        <v>ORIG CO NAME:VENMO                  ORIG ID:3264681992 DESC DATE:260101 CO ENTRY DESCR:PAYMENT   SEC:WEB    TRACE#:021000028613809 EED:260102   IND ID:1047327145080                IND NAME:JUDD DUNNING                                                                                                 260101PPZPHZ TRN: 0028613809TC</v>
      </c>
      <c r="D516" s="7" t="n">
        <f aca="false">Chase1168_2026!D516</f>
        <v>-20</v>
      </c>
      <c r="E516" s="0" t="str">
        <f aca="false">Chase1168_2026!E516</f>
        <v>ACH_DEBIT</v>
      </c>
      <c r="F516" s="7" t="n">
        <f aca="false">Chase1168_2026!F516</f>
        <v>29211.38</v>
      </c>
      <c r="G516" s="0" t="str">
        <f aca="false">Chase1168_2026!G516</f>
        <v>Venmo</v>
      </c>
      <c r="H516" s="15" t="n">
        <f aca="false">IF($B516="","",DATE(YEAR($B516),MONTH($B516),1))</f>
        <v>46023</v>
      </c>
      <c r="I516" s="0" t="str">
        <f aca="false">IF($G516="","Uncategorized — Review",IFERROR(INDEX(Mapping!$B:$B,MATCH($G516,Mapping!$A:$A,0)),"Uncategorized — Review"))</f>
        <v>Venmo</v>
      </c>
      <c r="J516" s="0" t="str">
        <f aca="false">IF($G516="","Uncategorized — Review",IFERROR(INDEX(Mapping!$C:$C,MATCH($G516,Mapping!$A:$A,0)),"Uncategorized — Review"))</f>
        <v>P2P Payments (Zelle/Venmo/PayPal)</v>
      </c>
    </row>
    <row r="517" customFormat="false" ht="15" hidden="false" customHeight="false" outlineLevel="0" collapsed="false">
      <c r="A517" s="0" t="str">
        <f aca="false">Chase1168_2026!A517</f>
        <v>DEBIT</v>
      </c>
      <c r="B517" s="14" t="n">
        <f aca="false">Chase1168_2026!B517</f>
        <v>46024</v>
      </c>
      <c r="C517" s="0" t="str">
        <f aca="false">Chase1168_2026!C517</f>
        <v>ORIG CO NAME:BLUESHIELDCA           ORIG ID:7529219311 DESC DATE:251231 CO ENTRY DESCR:BILL PAY  SEC:CCD    TRACE#:031101115700064 EED:260102   IND ID:15728029331                  IND NAME:ANGELA DUNNING TRN: 0025700064TC</v>
      </c>
      <c r="D517" s="7" t="n">
        <f aca="false">Chase1168_2026!D517</f>
        <v>-974.85</v>
      </c>
      <c r="E517" s="0" t="str">
        <f aca="false">Chase1168_2026!E517</f>
        <v>ACH_DEBIT</v>
      </c>
      <c r="F517" s="7" t="n">
        <f aca="false">Chase1168_2026!F517</f>
        <v>29231.38</v>
      </c>
      <c r="G517" s="0" t="str">
        <f aca="false">Chase1168_2026!G517</f>
        <v>Personal - Health Insurance</v>
      </c>
      <c r="H517" s="15" t="n">
        <f aca="false">IF($B517="","",DATE(YEAR($B517),MONTH($B517),1))</f>
        <v>46023</v>
      </c>
      <c r="I517" s="0" t="str">
        <f aca="false">IF($G517="","Uncategorized — Review",IFERROR(INDEX(Mapping!$B:$B,MATCH($G517,Mapping!$A:$A,0)),"Uncategorized — Review"))</f>
        <v>Personal - Health (incl. Ins.)</v>
      </c>
      <c r="J517" s="0" t="str">
        <f aca="false">IF($G517="","Uncategorized — Review",IFERROR(INDEX(Mapping!$C:$C,MATCH($G517,Mapping!$A:$A,0)),"Uncategorized — Review"))</f>
        <v>Personal — Owner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32"/>
  </cols>
  <sheetData>
    <row r="1" customFormat="false" ht="15" hidden="false" customHeight="false" outlineLevel="0" collapsed="false">
      <c r="A1" s="9" t="s">
        <v>131</v>
      </c>
      <c r="B1" s="9" t="s">
        <v>129</v>
      </c>
      <c r="C1" s="9" t="s">
        <v>130</v>
      </c>
    </row>
    <row r="2" customFormat="false" ht="15" hidden="false" customHeight="false" outlineLevel="0" collapsed="false">
      <c r="A2" s="0" t="s">
        <v>109</v>
      </c>
      <c r="B2" s="0" t="s">
        <v>109</v>
      </c>
      <c r="C2" s="0" t="s">
        <v>108</v>
      </c>
    </row>
    <row r="3" customFormat="false" ht="15" hidden="false" customHeight="false" outlineLevel="0" collapsed="false">
      <c r="A3" s="0" t="s">
        <v>79</v>
      </c>
      <c r="B3" s="0" t="s">
        <v>79</v>
      </c>
      <c r="C3" s="0" t="s">
        <v>78</v>
      </c>
    </row>
    <row r="4" customFormat="false" ht="15" hidden="false" customHeight="false" outlineLevel="0" collapsed="false">
      <c r="A4" s="0" t="s">
        <v>110</v>
      </c>
      <c r="B4" s="0" t="s">
        <v>110</v>
      </c>
      <c r="C4" s="0" t="s">
        <v>108</v>
      </c>
    </row>
    <row r="5" customFormat="false" ht="15" hidden="false" customHeight="false" outlineLevel="0" collapsed="false">
      <c r="A5" s="0" t="s">
        <v>51</v>
      </c>
      <c r="B5" s="0" t="s">
        <v>51</v>
      </c>
      <c r="C5" s="0" t="s">
        <v>50</v>
      </c>
    </row>
    <row r="6" customFormat="false" ht="15" hidden="false" customHeight="false" outlineLevel="0" collapsed="false">
      <c r="A6" s="0" t="s">
        <v>80</v>
      </c>
      <c r="B6" s="0" t="s">
        <v>80</v>
      </c>
      <c r="C6" s="0" t="s">
        <v>78</v>
      </c>
    </row>
    <row r="7" customFormat="false" ht="15" hidden="false" customHeight="false" outlineLevel="0" collapsed="false">
      <c r="A7" s="0" t="s">
        <v>81</v>
      </c>
      <c r="B7" s="0" t="s">
        <v>81</v>
      </c>
      <c r="C7" s="0" t="s">
        <v>78</v>
      </c>
    </row>
    <row r="8" customFormat="false" ht="15" hidden="false" customHeight="false" outlineLevel="0" collapsed="false">
      <c r="A8" s="0" t="s">
        <v>52</v>
      </c>
      <c r="B8" s="0" t="s">
        <v>52</v>
      </c>
      <c r="C8" s="0" t="s">
        <v>50</v>
      </c>
    </row>
    <row r="9" customFormat="false" ht="15" hidden="false" customHeight="false" outlineLevel="0" collapsed="false">
      <c r="A9" s="0" t="s">
        <v>132</v>
      </c>
      <c r="B9" s="0" t="s">
        <v>76</v>
      </c>
      <c r="C9" s="0" t="s">
        <v>76</v>
      </c>
    </row>
    <row r="10" customFormat="false" ht="15" hidden="false" customHeight="false" outlineLevel="0" collapsed="false">
      <c r="A10" s="0" t="s">
        <v>53</v>
      </c>
      <c r="B10" s="0" t="s">
        <v>53</v>
      </c>
      <c r="C10" s="0" t="s">
        <v>50</v>
      </c>
    </row>
    <row r="11" customFormat="false" ht="15" hidden="false" customHeight="false" outlineLevel="0" collapsed="false">
      <c r="A11" s="0" t="s">
        <v>82</v>
      </c>
      <c r="B11" s="0" t="s">
        <v>82</v>
      </c>
      <c r="C11" s="0" t="s">
        <v>78</v>
      </c>
    </row>
    <row r="12" customFormat="false" ht="15" hidden="false" customHeight="false" outlineLevel="0" collapsed="false">
      <c r="A12" s="0" t="s">
        <v>83</v>
      </c>
      <c r="B12" s="0" t="s">
        <v>83</v>
      </c>
      <c r="C12" s="0" t="s">
        <v>78</v>
      </c>
    </row>
    <row r="13" customFormat="false" ht="15" hidden="false" customHeight="false" outlineLevel="0" collapsed="false">
      <c r="A13" s="0" t="s">
        <v>17</v>
      </c>
      <c r="B13" s="0" t="s">
        <v>17</v>
      </c>
      <c r="C13" s="0" t="s">
        <v>16</v>
      </c>
    </row>
    <row r="14" customFormat="false" ht="15" hidden="false" customHeight="false" outlineLevel="0" collapsed="false">
      <c r="A14" s="0" t="s">
        <v>30</v>
      </c>
      <c r="B14" s="0" t="s">
        <v>30</v>
      </c>
      <c r="C14" s="0" t="s">
        <v>29</v>
      </c>
    </row>
    <row r="15" customFormat="false" ht="15" hidden="false" customHeight="false" outlineLevel="0" collapsed="false">
      <c r="A15" s="0" t="s">
        <v>31</v>
      </c>
      <c r="B15" s="0" t="s">
        <v>31</v>
      </c>
      <c r="C15" s="0" t="s">
        <v>29</v>
      </c>
    </row>
    <row r="16" customFormat="false" ht="15" hidden="false" customHeight="false" outlineLevel="0" collapsed="false">
      <c r="A16" s="0" t="s">
        <v>91</v>
      </c>
      <c r="B16" s="0" t="s">
        <v>91</v>
      </c>
      <c r="C16" s="0" t="s">
        <v>90</v>
      </c>
    </row>
    <row r="17" customFormat="false" ht="15" hidden="false" customHeight="false" outlineLevel="0" collapsed="false">
      <c r="A17" s="0" t="s">
        <v>84</v>
      </c>
      <c r="B17" s="0" t="s">
        <v>84</v>
      </c>
      <c r="C17" s="0" t="s">
        <v>78</v>
      </c>
    </row>
    <row r="18" customFormat="false" ht="15" hidden="false" customHeight="false" outlineLevel="0" collapsed="false">
      <c r="A18" s="0" t="s">
        <v>26</v>
      </c>
      <c r="B18" s="0" t="s">
        <v>26</v>
      </c>
      <c r="C18" s="0" t="s">
        <v>25</v>
      </c>
    </row>
    <row r="19" customFormat="false" ht="15" hidden="false" customHeight="false" outlineLevel="0" collapsed="false">
      <c r="A19" s="0" t="s">
        <v>23</v>
      </c>
      <c r="B19" s="0" t="s">
        <v>23</v>
      </c>
      <c r="C19" s="0" t="s">
        <v>22</v>
      </c>
    </row>
    <row r="20" customFormat="false" ht="15" hidden="false" customHeight="false" outlineLevel="0" collapsed="false">
      <c r="A20" s="0" t="s">
        <v>18</v>
      </c>
      <c r="B20" s="0" t="s">
        <v>18</v>
      </c>
      <c r="C20" s="0" t="s">
        <v>16</v>
      </c>
    </row>
    <row r="21" customFormat="false" ht="15" hidden="false" customHeight="false" outlineLevel="0" collapsed="false">
      <c r="A21" s="0" t="s">
        <v>106</v>
      </c>
      <c r="B21" s="0" t="s">
        <v>106</v>
      </c>
      <c r="C21" s="0" t="s">
        <v>105</v>
      </c>
    </row>
    <row r="22" customFormat="false" ht="15" hidden="false" customHeight="false" outlineLevel="0" collapsed="false">
      <c r="A22" s="0" t="s">
        <v>133</v>
      </c>
      <c r="B22" s="0" t="s">
        <v>95</v>
      </c>
      <c r="C22" s="0" t="s">
        <v>94</v>
      </c>
    </row>
    <row r="23" customFormat="false" ht="15" hidden="false" customHeight="false" outlineLevel="0" collapsed="false">
      <c r="A23" s="0" t="s">
        <v>73</v>
      </c>
      <c r="B23" s="0" t="s">
        <v>73</v>
      </c>
      <c r="C23" s="0" t="s">
        <v>72</v>
      </c>
    </row>
    <row r="24" customFormat="false" ht="15" hidden="false" customHeight="false" outlineLevel="0" collapsed="false">
      <c r="A24" s="0" t="s">
        <v>32</v>
      </c>
      <c r="B24" s="0" t="s">
        <v>32</v>
      </c>
      <c r="C24" s="0" t="s">
        <v>29</v>
      </c>
    </row>
    <row r="25" customFormat="false" ht="15" hidden="false" customHeight="false" outlineLevel="0" collapsed="false">
      <c r="A25" s="0" t="s">
        <v>134</v>
      </c>
      <c r="B25" s="0" t="s">
        <v>96</v>
      </c>
      <c r="C25" s="0" t="s">
        <v>94</v>
      </c>
    </row>
    <row r="26" customFormat="false" ht="15" hidden="false" customHeight="false" outlineLevel="0" collapsed="false">
      <c r="A26" s="0" t="s">
        <v>27</v>
      </c>
      <c r="B26" s="0" t="s">
        <v>27</v>
      </c>
      <c r="C26" s="0" t="s">
        <v>25</v>
      </c>
    </row>
    <row r="27" customFormat="false" ht="15" hidden="false" customHeight="false" outlineLevel="0" collapsed="false">
      <c r="A27" s="0" t="s">
        <v>54</v>
      </c>
      <c r="B27" s="0" t="s">
        <v>54</v>
      </c>
      <c r="C27" s="0" t="s">
        <v>50</v>
      </c>
    </row>
    <row r="28" customFormat="false" ht="15" hidden="false" customHeight="false" outlineLevel="0" collapsed="false">
      <c r="A28" s="0" t="s">
        <v>19</v>
      </c>
      <c r="B28" s="0" t="s">
        <v>19</v>
      </c>
      <c r="C28" s="0" t="s">
        <v>16</v>
      </c>
    </row>
    <row r="29" customFormat="false" ht="15" hidden="false" customHeight="false" outlineLevel="0" collapsed="false">
      <c r="A29" s="0" t="s">
        <v>20</v>
      </c>
      <c r="B29" s="0" t="s">
        <v>20</v>
      </c>
      <c r="C29" s="0" t="s">
        <v>16</v>
      </c>
    </row>
    <row r="30" customFormat="false" ht="15" hidden="false" customHeight="false" outlineLevel="0" collapsed="false">
      <c r="A30" s="0" t="s">
        <v>85</v>
      </c>
      <c r="B30" s="0" t="s">
        <v>85</v>
      </c>
      <c r="C30" s="0" t="s">
        <v>78</v>
      </c>
    </row>
    <row r="31" customFormat="false" ht="15" hidden="false" customHeight="false" outlineLevel="0" collapsed="false">
      <c r="A31" s="0" t="s">
        <v>59</v>
      </c>
      <c r="B31" s="0" t="s">
        <v>59</v>
      </c>
      <c r="C31" s="0" t="s">
        <v>58</v>
      </c>
    </row>
    <row r="32" customFormat="false" ht="15" hidden="false" customHeight="false" outlineLevel="0" collapsed="false">
      <c r="A32" s="0" t="s">
        <v>97</v>
      </c>
      <c r="B32" s="0" t="s">
        <v>97</v>
      </c>
      <c r="C32" s="0" t="s">
        <v>94</v>
      </c>
    </row>
    <row r="33" customFormat="false" ht="15" hidden="false" customHeight="false" outlineLevel="0" collapsed="false">
      <c r="A33" s="0" t="s">
        <v>135</v>
      </c>
      <c r="B33" s="0" t="s">
        <v>98</v>
      </c>
      <c r="C33" s="0" t="s">
        <v>94</v>
      </c>
    </row>
    <row r="34" customFormat="false" ht="15" hidden="false" customHeight="false" outlineLevel="0" collapsed="false">
      <c r="A34" s="0" t="s">
        <v>136</v>
      </c>
      <c r="B34" s="0" t="s">
        <v>98</v>
      </c>
      <c r="C34" s="0" t="s">
        <v>94</v>
      </c>
    </row>
    <row r="35" customFormat="false" ht="15" hidden="false" customHeight="false" outlineLevel="0" collapsed="false">
      <c r="A35" s="0" t="s">
        <v>137</v>
      </c>
      <c r="B35" s="0" t="s">
        <v>98</v>
      </c>
      <c r="C35" s="0" t="s">
        <v>94</v>
      </c>
    </row>
    <row r="36" customFormat="false" ht="15" hidden="false" customHeight="false" outlineLevel="0" collapsed="false">
      <c r="A36" s="0" t="s">
        <v>99</v>
      </c>
      <c r="B36" s="0" t="s">
        <v>99</v>
      </c>
      <c r="C36" s="0" t="s">
        <v>94</v>
      </c>
    </row>
    <row r="37" customFormat="false" ht="15" hidden="false" customHeight="false" outlineLevel="0" collapsed="false">
      <c r="A37" s="0" t="s">
        <v>138</v>
      </c>
      <c r="B37" s="0" t="s">
        <v>96</v>
      </c>
      <c r="C37" s="0" t="s">
        <v>94</v>
      </c>
    </row>
    <row r="38" customFormat="false" ht="15" hidden="false" customHeight="false" outlineLevel="0" collapsed="false">
      <c r="A38" s="0" t="s">
        <v>139</v>
      </c>
      <c r="B38" s="0" t="s">
        <v>100</v>
      </c>
      <c r="C38" s="0" t="s">
        <v>94</v>
      </c>
    </row>
    <row r="39" customFormat="false" ht="15" hidden="false" customHeight="false" outlineLevel="0" collapsed="false">
      <c r="A39" s="0" t="s">
        <v>140</v>
      </c>
      <c r="B39" s="0" t="s">
        <v>100</v>
      </c>
      <c r="C39" s="0" t="s">
        <v>94</v>
      </c>
    </row>
    <row r="40" customFormat="false" ht="15" hidden="false" customHeight="false" outlineLevel="0" collapsed="false">
      <c r="A40" s="0" t="s">
        <v>95</v>
      </c>
      <c r="B40" s="0" t="s">
        <v>95</v>
      </c>
      <c r="C40" s="0" t="s">
        <v>94</v>
      </c>
    </row>
    <row r="41" customFormat="false" ht="15" hidden="false" customHeight="false" outlineLevel="0" collapsed="false">
      <c r="A41" s="0" t="s">
        <v>101</v>
      </c>
      <c r="B41" s="0" t="s">
        <v>101</v>
      </c>
      <c r="C41" s="0" t="s">
        <v>94</v>
      </c>
    </row>
    <row r="42" customFormat="false" ht="15" hidden="false" customHeight="false" outlineLevel="0" collapsed="false">
      <c r="A42" s="0" t="s">
        <v>102</v>
      </c>
      <c r="B42" s="0" t="s">
        <v>102</v>
      </c>
      <c r="C42" s="0" t="s">
        <v>94</v>
      </c>
    </row>
    <row r="43" customFormat="false" ht="15" hidden="false" customHeight="false" outlineLevel="0" collapsed="false">
      <c r="A43" s="0" t="s">
        <v>35</v>
      </c>
      <c r="B43" s="0" t="s">
        <v>35</v>
      </c>
      <c r="C43" s="0" t="s">
        <v>34</v>
      </c>
    </row>
    <row r="44" customFormat="false" ht="15" hidden="false" customHeight="false" outlineLevel="0" collapsed="false">
      <c r="A44" s="0" t="s">
        <v>36</v>
      </c>
      <c r="B44" s="0" t="s">
        <v>36</v>
      </c>
      <c r="C44" s="0" t="s">
        <v>34</v>
      </c>
    </row>
    <row r="45" customFormat="false" ht="15" hidden="false" customHeight="false" outlineLevel="0" collapsed="false">
      <c r="A45" s="0" t="s">
        <v>55</v>
      </c>
      <c r="B45" s="0" t="s">
        <v>55</v>
      </c>
      <c r="C45" s="0" t="s">
        <v>50</v>
      </c>
    </row>
    <row r="46" customFormat="false" ht="15" hidden="false" customHeight="false" outlineLevel="0" collapsed="false">
      <c r="A46" s="0" t="s">
        <v>74</v>
      </c>
      <c r="B46" s="0" t="s">
        <v>74</v>
      </c>
      <c r="C46" s="0" t="s">
        <v>72</v>
      </c>
    </row>
    <row r="47" customFormat="false" ht="15" hidden="false" customHeight="false" outlineLevel="0" collapsed="false">
      <c r="A47" s="0" t="s">
        <v>86</v>
      </c>
      <c r="B47" s="0" t="s">
        <v>86</v>
      </c>
      <c r="C47" s="0" t="s">
        <v>78</v>
      </c>
    </row>
    <row r="48" customFormat="false" ht="15" hidden="false" customHeight="false" outlineLevel="0" collapsed="false">
      <c r="A48" s="0" t="s">
        <v>76</v>
      </c>
      <c r="B48" s="0" t="s">
        <v>76</v>
      </c>
      <c r="C48" s="0" t="s">
        <v>76</v>
      </c>
    </row>
    <row r="49" customFormat="false" ht="15" hidden="false" customHeight="false" outlineLevel="0" collapsed="false">
      <c r="A49" s="0" t="s">
        <v>87</v>
      </c>
      <c r="B49" s="0" t="s">
        <v>87</v>
      </c>
      <c r="C49" s="0" t="s">
        <v>78</v>
      </c>
    </row>
    <row r="50" customFormat="false" ht="15" hidden="false" customHeight="false" outlineLevel="0" collapsed="false">
      <c r="A50" s="0" t="s">
        <v>92</v>
      </c>
      <c r="B50" s="0" t="s">
        <v>92</v>
      </c>
      <c r="C50" s="0" t="s">
        <v>90</v>
      </c>
    </row>
    <row r="51" customFormat="false" ht="15" hidden="false" customHeight="false" outlineLevel="0" collapsed="false">
      <c r="A51" s="0" t="s">
        <v>103</v>
      </c>
      <c r="B51" s="0" t="s">
        <v>103</v>
      </c>
      <c r="C51" s="0" t="s">
        <v>94</v>
      </c>
    </row>
    <row r="52" customFormat="false" ht="15" hidden="false" customHeight="false" outlineLevel="0" collapsed="false">
      <c r="A52" s="0" t="s">
        <v>68</v>
      </c>
      <c r="B52" s="0" t="s">
        <v>68</v>
      </c>
      <c r="C52" s="0" t="s">
        <v>67</v>
      </c>
    </row>
    <row r="53" customFormat="false" ht="15" hidden="false" customHeight="false" outlineLevel="0" collapsed="false">
      <c r="A53" s="0" t="s">
        <v>69</v>
      </c>
      <c r="B53" s="0" t="s">
        <v>69</v>
      </c>
      <c r="C53" s="0" t="s">
        <v>67</v>
      </c>
    </row>
    <row r="54" customFormat="false" ht="15" hidden="false" customHeight="false" outlineLevel="0" collapsed="false">
      <c r="A54" s="0" t="s">
        <v>39</v>
      </c>
      <c r="B54" s="0" t="s">
        <v>39</v>
      </c>
      <c r="C54" s="0" t="s">
        <v>38</v>
      </c>
    </row>
    <row r="55" customFormat="false" ht="15" hidden="false" customHeight="false" outlineLevel="0" collapsed="false">
      <c r="A55" s="0" t="s">
        <v>141</v>
      </c>
      <c r="B55" s="0" t="s">
        <v>40</v>
      </c>
      <c r="C55" s="0" t="s">
        <v>38</v>
      </c>
    </row>
    <row r="56" customFormat="false" ht="15" hidden="false" customHeight="false" outlineLevel="0" collapsed="false">
      <c r="A56" s="0" t="s">
        <v>41</v>
      </c>
      <c r="B56" s="0" t="s">
        <v>41</v>
      </c>
      <c r="C56" s="0" t="s">
        <v>38</v>
      </c>
    </row>
    <row r="57" customFormat="false" ht="15" hidden="false" customHeight="false" outlineLevel="0" collapsed="false">
      <c r="A57" s="0" t="s">
        <v>42</v>
      </c>
      <c r="B57" s="0" t="s">
        <v>42</v>
      </c>
      <c r="C57" s="0" t="s">
        <v>38</v>
      </c>
    </row>
    <row r="58" customFormat="false" ht="15" hidden="false" customHeight="false" outlineLevel="0" collapsed="false">
      <c r="A58" s="0" t="s">
        <v>142</v>
      </c>
      <c r="B58" s="0" t="s">
        <v>40</v>
      </c>
      <c r="C58" s="0" t="s">
        <v>38</v>
      </c>
    </row>
    <row r="59" customFormat="false" ht="15" hidden="false" customHeight="false" outlineLevel="0" collapsed="false">
      <c r="A59" s="0" t="s">
        <v>43</v>
      </c>
      <c r="B59" s="0" t="s">
        <v>43</v>
      </c>
      <c r="C59" s="0" t="s">
        <v>38</v>
      </c>
    </row>
    <row r="60" customFormat="false" ht="15" hidden="false" customHeight="false" outlineLevel="0" collapsed="false">
      <c r="A60" s="0" t="s">
        <v>44</v>
      </c>
      <c r="B60" s="0" t="s">
        <v>44</v>
      </c>
      <c r="C60" s="0" t="s">
        <v>38</v>
      </c>
    </row>
    <row r="61" customFormat="false" ht="15" hidden="false" customHeight="false" outlineLevel="0" collapsed="false">
      <c r="A61" s="0" t="s">
        <v>45</v>
      </c>
      <c r="B61" s="0" t="s">
        <v>45</v>
      </c>
      <c r="C61" s="0" t="s">
        <v>38</v>
      </c>
    </row>
    <row r="62" customFormat="false" ht="15" hidden="false" customHeight="false" outlineLevel="0" collapsed="false">
      <c r="A62" s="0" t="s">
        <v>46</v>
      </c>
      <c r="B62" s="0" t="s">
        <v>46</v>
      </c>
      <c r="C62" s="0" t="s">
        <v>38</v>
      </c>
    </row>
    <row r="63" customFormat="false" ht="15" hidden="false" customHeight="false" outlineLevel="0" collapsed="false">
      <c r="A63" s="0" t="s">
        <v>47</v>
      </c>
      <c r="B63" s="0" t="s">
        <v>47</v>
      </c>
      <c r="C63" s="0" t="s">
        <v>38</v>
      </c>
    </row>
    <row r="64" customFormat="false" ht="15" hidden="false" customHeight="false" outlineLevel="0" collapsed="false">
      <c r="A64" s="0" t="s">
        <v>70</v>
      </c>
      <c r="B64" s="0" t="s">
        <v>70</v>
      </c>
      <c r="C64" s="0" t="s">
        <v>67</v>
      </c>
    </row>
    <row r="65" customFormat="false" ht="15" hidden="false" customHeight="false" outlineLevel="0" collapsed="false">
      <c r="A65" s="0" t="s">
        <v>48</v>
      </c>
      <c r="B65" s="0" t="s">
        <v>48</v>
      </c>
      <c r="C65" s="0" t="s">
        <v>38</v>
      </c>
    </row>
    <row r="66" customFormat="false" ht="15" hidden="false" customHeight="false" outlineLevel="0" collapsed="false">
      <c r="A66" s="0" t="s">
        <v>56</v>
      </c>
      <c r="B66" s="0" t="s">
        <v>56</v>
      </c>
      <c r="C66" s="0" t="s">
        <v>50</v>
      </c>
    </row>
    <row r="67" customFormat="false" ht="15" hidden="false" customHeight="false" outlineLevel="0" collapsed="false">
      <c r="A67" s="0" t="s">
        <v>60</v>
      </c>
      <c r="B67" s="0" t="s">
        <v>60</v>
      </c>
      <c r="C67" s="0" t="s">
        <v>58</v>
      </c>
    </row>
    <row r="68" customFormat="false" ht="15" hidden="false" customHeight="false" outlineLevel="0" collapsed="false">
      <c r="A68" s="0" t="s">
        <v>88</v>
      </c>
      <c r="B68" s="0" t="s">
        <v>88</v>
      </c>
      <c r="C68" s="0" t="s">
        <v>78</v>
      </c>
    </row>
    <row r="69" customFormat="false" ht="15" hidden="false" customHeight="false" outlineLevel="0" collapsed="false">
      <c r="A69" s="0" t="s">
        <v>111</v>
      </c>
      <c r="B69" s="0" t="s">
        <v>111</v>
      </c>
      <c r="C69" s="0" t="s">
        <v>108</v>
      </c>
    </row>
    <row r="70" customFormat="false" ht="15" hidden="false" customHeight="false" outlineLevel="0" collapsed="false">
      <c r="A70" s="0" t="s">
        <v>61</v>
      </c>
      <c r="B70" s="0" t="s">
        <v>61</v>
      </c>
      <c r="C70" s="0" t="s">
        <v>58</v>
      </c>
    </row>
    <row r="71" customFormat="false" ht="15" hidden="false" customHeight="false" outlineLevel="0" collapsed="false">
      <c r="A71" s="0" t="s">
        <v>62</v>
      </c>
      <c r="B71" s="0" t="s">
        <v>62</v>
      </c>
      <c r="C71" s="0" t="s">
        <v>58</v>
      </c>
    </row>
    <row r="72" customFormat="false" ht="15" hidden="false" customHeight="false" outlineLevel="0" collapsed="false">
      <c r="A72" s="0" t="s">
        <v>63</v>
      </c>
      <c r="B72" s="0" t="s">
        <v>63</v>
      </c>
      <c r="C72" s="0" t="s">
        <v>58</v>
      </c>
    </row>
    <row r="73" customFormat="false" ht="15" hidden="false" customHeight="false" outlineLevel="0" collapsed="false">
      <c r="A73" s="0" t="s">
        <v>64</v>
      </c>
      <c r="B73" s="0" t="s">
        <v>64</v>
      </c>
      <c r="C73" s="0" t="s">
        <v>58</v>
      </c>
    </row>
    <row r="74" customFormat="false" ht="15" hidden="false" customHeight="false" outlineLevel="0" collapsed="false">
      <c r="A74" s="0" t="s">
        <v>65</v>
      </c>
      <c r="B74" s="0" t="s">
        <v>65</v>
      </c>
      <c r="C74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9" t="s">
        <v>122</v>
      </c>
      <c r="B1" s="9" t="s">
        <v>123</v>
      </c>
      <c r="C1" s="9" t="s">
        <v>124</v>
      </c>
      <c r="D1" s="9" t="s">
        <v>125</v>
      </c>
      <c r="E1" s="9" t="s">
        <v>126</v>
      </c>
      <c r="F1" s="9" t="s">
        <v>127</v>
      </c>
      <c r="G1" s="9" t="s">
        <v>12</v>
      </c>
    </row>
    <row r="2" customFormat="false" ht="15" hidden="false" customHeight="false" outlineLevel="0" collapsed="false">
      <c r="A2" s="0" t="s">
        <v>143</v>
      </c>
      <c r="B2" s="14" t="n">
        <v>46188</v>
      </c>
      <c r="C2" s="16" t="s">
        <v>144</v>
      </c>
      <c r="D2" s="7" t="n">
        <v>-15</v>
      </c>
      <c r="E2" s="16" t="s">
        <v>145</v>
      </c>
      <c r="F2" s="7" t="s">
        <v>146</v>
      </c>
      <c r="G2" s="16" t="s">
        <v>60</v>
      </c>
    </row>
    <row r="3" customFormat="false" ht="15" hidden="false" customHeight="false" outlineLevel="0" collapsed="false">
      <c r="A3" s="0" t="s">
        <v>143</v>
      </c>
      <c r="B3" s="14" t="n">
        <v>46188</v>
      </c>
      <c r="C3" s="16" t="s">
        <v>147</v>
      </c>
      <c r="D3" s="7" t="n">
        <v>-1000</v>
      </c>
      <c r="E3" s="16" t="s">
        <v>148</v>
      </c>
      <c r="F3" s="7" t="s">
        <v>146</v>
      </c>
      <c r="G3" s="16" t="s">
        <v>68</v>
      </c>
    </row>
    <row r="4" customFormat="false" ht="15" hidden="false" customHeight="false" outlineLevel="0" collapsed="false">
      <c r="A4" s="0" t="s">
        <v>143</v>
      </c>
      <c r="B4" s="14" t="n">
        <v>46188</v>
      </c>
      <c r="C4" s="16" t="s">
        <v>149</v>
      </c>
      <c r="D4" s="7" t="n">
        <v>-2000</v>
      </c>
      <c r="E4" s="16" t="s">
        <v>150</v>
      </c>
      <c r="F4" s="7" t="s">
        <v>146</v>
      </c>
      <c r="G4" s="16" t="s">
        <v>54</v>
      </c>
    </row>
    <row r="5" customFormat="false" ht="15" hidden="false" customHeight="false" outlineLevel="0" collapsed="false">
      <c r="A5" s="0" t="s">
        <v>143</v>
      </c>
      <c r="B5" s="14" t="n">
        <v>46188</v>
      </c>
      <c r="C5" s="16" t="s">
        <v>151</v>
      </c>
      <c r="D5" s="7" t="n">
        <v>-150</v>
      </c>
      <c r="E5" s="16" t="s">
        <v>145</v>
      </c>
      <c r="F5" s="7" t="s">
        <v>146</v>
      </c>
      <c r="G5" s="16" t="s">
        <v>60</v>
      </c>
    </row>
    <row r="6" customFormat="false" ht="15" hidden="false" customHeight="false" outlineLevel="0" collapsed="false">
      <c r="A6" s="0" t="s">
        <v>143</v>
      </c>
      <c r="B6" s="14" t="n">
        <v>46188</v>
      </c>
      <c r="C6" s="16" t="s">
        <v>152</v>
      </c>
      <c r="D6" s="7" t="n">
        <v>-200</v>
      </c>
      <c r="E6" s="16" t="s">
        <v>145</v>
      </c>
      <c r="F6" s="7" t="s">
        <v>146</v>
      </c>
      <c r="G6" s="16" t="s">
        <v>60</v>
      </c>
    </row>
    <row r="7" customFormat="false" ht="15" hidden="false" customHeight="false" outlineLevel="0" collapsed="false">
      <c r="A7" s="0" t="s">
        <v>143</v>
      </c>
      <c r="B7" s="14" t="n">
        <v>46188</v>
      </c>
      <c r="C7" s="16" t="s">
        <v>153</v>
      </c>
      <c r="D7" s="7" t="n">
        <v>-500</v>
      </c>
      <c r="E7" s="16" t="s">
        <v>148</v>
      </c>
      <c r="F7" s="7" t="s">
        <v>146</v>
      </c>
      <c r="G7" s="16" t="s">
        <v>68</v>
      </c>
    </row>
    <row r="8" customFormat="false" ht="15" hidden="false" customHeight="false" outlineLevel="0" collapsed="false">
      <c r="A8" s="0" t="s">
        <v>143</v>
      </c>
      <c r="B8" s="14" t="n">
        <v>46188</v>
      </c>
      <c r="C8" s="16" t="s">
        <v>154</v>
      </c>
      <c r="D8" s="7" t="n">
        <v>-200</v>
      </c>
      <c r="E8" s="16" t="s">
        <v>148</v>
      </c>
      <c r="F8" s="7" t="s">
        <v>146</v>
      </c>
      <c r="G8" s="16" t="s">
        <v>68</v>
      </c>
    </row>
    <row r="9" customFormat="false" ht="15" hidden="false" customHeight="false" outlineLevel="0" collapsed="false">
      <c r="A9" s="0" t="s">
        <v>143</v>
      </c>
      <c r="B9" s="14" t="n">
        <v>46188</v>
      </c>
      <c r="C9" s="16" t="s">
        <v>155</v>
      </c>
      <c r="D9" s="7" t="n">
        <v>-200</v>
      </c>
      <c r="E9" s="16" t="s">
        <v>156</v>
      </c>
      <c r="F9" s="7" t="s">
        <v>146</v>
      </c>
      <c r="G9" s="16" t="s">
        <v>63</v>
      </c>
    </row>
    <row r="10" customFormat="false" ht="15" hidden="false" customHeight="false" outlineLevel="0" collapsed="false">
      <c r="A10" s="0" t="s">
        <v>143</v>
      </c>
      <c r="B10" s="14" t="n">
        <v>46188</v>
      </c>
      <c r="C10" s="16" t="s">
        <v>157</v>
      </c>
      <c r="D10" s="7" t="n">
        <v>-3000</v>
      </c>
      <c r="E10" s="16" t="s">
        <v>148</v>
      </c>
      <c r="F10" s="7" t="s">
        <v>146</v>
      </c>
      <c r="G10" s="16" t="s">
        <v>68</v>
      </c>
    </row>
    <row r="11" customFormat="false" ht="15" hidden="false" customHeight="false" outlineLevel="0" collapsed="false">
      <c r="A11" s="0" t="s">
        <v>143</v>
      </c>
      <c r="B11" s="14" t="n">
        <v>46188</v>
      </c>
      <c r="C11" s="16" t="s">
        <v>158</v>
      </c>
      <c r="D11" s="7" t="n">
        <v>-45.96</v>
      </c>
      <c r="E11" s="16" t="s">
        <v>159</v>
      </c>
      <c r="F11" s="7" t="s">
        <v>146</v>
      </c>
      <c r="G11" s="16" t="s">
        <v>84</v>
      </c>
    </row>
    <row r="12" customFormat="false" ht="15" hidden="false" customHeight="false" outlineLevel="0" collapsed="false">
      <c r="A12" s="0" t="s">
        <v>143</v>
      </c>
      <c r="B12" s="14" t="n">
        <v>46185</v>
      </c>
      <c r="C12" s="16" t="s">
        <v>160</v>
      </c>
      <c r="D12" s="7" t="n">
        <v>-60.73</v>
      </c>
      <c r="E12" s="16" t="s">
        <v>161</v>
      </c>
      <c r="F12" s="7" t="n">
        <v>24009.79</v>
      </c>
      <c r="G12" s="16" t="s">
        <v>84</v>
      </c>
    </row>
    <row r="13" customFormat="false" ht="15" hidden="false" customHeight="false" outlineLevel="0" collapsed="false">
      <c r="A13" s="0" t="s">
        <v>143</v>
      </c>
      <c r="B13" s="14" t="n">
        <v>46184</v>
      </c>
      <c r="C13" s="16" t="s">
        <v>162</v>
      </c>
      <c r="D13" s="7" t="n">
        <v>-200</v>
      </c>
      <c r="E13" s="16" t="s">
        <v>156</v>
      </c>
      <c r="F13" s="7" t="n">
        <v>24070.52</v>
      </c>
      <c r="G13" s="16" t="s">
        <v>63</v>
      </c>
    </row>
    <row r="14" customFormat="false" ht="15" hidden="false" customHeight="false" outlineLevel="0" collapsed="false">
      <c r="A14" s="0" t="s">
        <v>143</v>
      </c>
      <c r="B14" s="14" t="n">
        <v>46184</v>
      </c>
      <c r="C14" s="16" t="s">
        <v>163</v>
      </c>
      <c r="D14" s="7" t="n">
        <v>-3500</v>
      </c>
      <c r="E14" s="16" t="s">
        <v>150</v>
      </c>
      <c r="F14" s="7" t="n">
        <v>24270.52</v>
      </c>
      <c r="G14" s="16" t="s">
        <v>52</v>
      </c>
    </row>
    <row r="15" customFormat="false" ht="15" hidden="false" customHeight="false" outlineLevel="0" collapsed="false">
      <c r="A15" s="0" t="s">
        <v>143</v>
      </c>
      <c r="B15" s="14" t="n">
        <v>46184</v>
      </c>
      <c r="C15" s="16" t="s">
        <v>164</v>
      </c>
      <c r="D15" s="7" t="n">
        <v>-28.98</v>
      </c>
      <c r="E15" s="16" t="s">
        <v>161</v>
      </c>
      <c r="F15" s="7" t="n">
        <v>27770.52</v>
      </c>
      <c r="G15" s="16" t="s">
        <v>84</v>
      </c>
    </row>
    <row r="16" customFormat="false" ht="15" hidden="false" customHeight="false" outlineLevel="0" collapsed="false">
      <c r="A16" s="0" t="s">
        <v>143</v>
      </c>
      <c r="B16" s="14" t="n">
        <v>46183</v>
      </c>
      <c r="C16" s="16" t="s">
        <v>165</v>
      </c>
      <c r="D16" s="7" t="n">
        <v>-81.18</v>
      </c>
      <c r="E16" s="16" t="s">
        <v>161</v>
      </c>
      <c r="F16" s="7" t="n">
        <v>27799.5</v>
      </c>
      <c r="G16" s="16" t="s">
        <v>55</v>
      </c>
    </row>
    <row r="17" customFormat="false" ht="15" hidden="false" customHeight="false" outlineLevel="0" collapsed="false">
      <c r="A17" s="0" t="s">
        <v>143</v>
      </c>
      <c r="B17" s="14" t="n">
        <v>46183</v>
      </c>
      <c r="C17" s="16" t="s">
        <v>166</v>
      </c>
      <c r="D17" s="7" t="n">
        <v>-13.79</v>
      </c>
      <c r="E17" s="16" t="s">
        <v>161</v>
      </c>
      <c r="F17" s="7" t="n">
        <v>27880.68</v>
      </c>
      <c r="G17" s="16" t="s">
        <v>84</v>
      </c>
    </row>
    <row r="18" customFormat="false" ht="15" hidden="false" customHeight="false" outlineLevel="0" collapsed="false">
      <c r="A18" s="0" t="s">
        <v>143</v>
      </c>
      <c r="B18" s="14" t="n">
        <v>46182</v>
      </c>
      <c r="C18" s="16" t="s">
        <v>167</v>
      </c>
      <c r="D18" s="7" t="n">
        <v>-2000</v>
      </c>
      <c r="E18" s="16" t="s">
        <v>148</v>
      </c>
      <c r="F18" s="7" t="n">
        <v>27894.47</v>
      </c>
      <c r="G18" s="16" t="s">
        <v>68</v>
      </c>
    </row>
    <row r="19" customFormat="false" ht="15" hidden="false" customHeight="false" outlineLevel="0" collapsed="false">
      <c r="A19" s="0" t="s">
        <v>143</v>
      </c>
      <c r="B19" s="14" t="n">
        <v>46182</v>
      </c>
      <c r="C19" s="16" t="s">
        <v>168</v>
      </c>
      <c r="D19" s="7" t="n">
        <v>-555</v>
      </c>
      <c r="E19" s="16" t="s">
        <v>145</v>
      </c>
      <c r="F19" s="7" t="n">
        <v>29894.47</v>
      </c>
      <c r="G19" s="16" t="s">
        <v>60</v>
      </c>
    </row>
    <row r="20" customFormat="false" ht="15" hidden="false" customHeight="false" outlineLevel="0" collapsed="false">
      <c r="A20" s="0" t="s">
        <v>143</v>
      </c>
      <c r="B20" s="14" t="n">
        <v>46182</v>
      </c>
      <c r="C20" s="16" t="s">
        <v>169</v>
      </c>
      <c r="D20" s="7" t="n">
        <v>-33.97</v>
      </c>
      <c r="E20" s="16" t="s">
        <v>161</v>
      </c>
      <c r="F20" s="7" t="n">
        <v>30449.47</v>
      </c>
      <c r="G20" s="16" t="s">
        <v>84</v>
      </c>
    </row>
    <row r="21" customFormat="false" ht="15" hidden="false" customHeight="false" outlineLevel="0" collapsed="false">
      <c r="A21" s="0" t="s">
        <v>143</v>
      </c>
      <c r="B21" s="14" t="n">
        <v>46181</v>
      </c>
      <c r="C21" s="16" t="s">
        <v>170</v>
      </c>
      <c r="D21" s="7" t="n">
        <v>-95</v>
      </c>
      <c r="E21" s="16" t="s">
        <v>156</v>
      </c>
      <c r="F21" s="7" t="n">
        <v>30483.44</v>
      </c>
      <c r="G21" s="16" t="s">
        <v>85</v>
      </c>
    </row>
    <row r="22" customFormat="false" ht="15" hidden="false" customHeight="false" outlineLevel="0" collapsed="false">
      <c r="A22" s="0" t="s">
        <v>143</v>
      </c>
      <c r="B22" s="14" t="n">
        <v>46181</v>
      </c>
      <c r="C22" s="16" t="s">
        <v>171</v>
      </c>
      <c r="D22" s="7" t="n">
        <v>-2000</v>
      </c>
      <c r="E22" s="16" t="s">
        <v>150</v>
      </c>
      <c r="F22" s="7" t="n">
        <v>30578.44</v>
      </c>
      <c r="G22" s="16" t="s">
        <v>54</v>
      </c>
    </row>
    <row r="23" customFormat="false" ht="15" hidden="false" customHeight="false" outlineLevel="0" collapsed="false">
      <c r="A23" s="0" t="s">
        <v>143</v>
      </c>
      <c r="B23" s="14" t="n">
        <v>46181</v>
      </c>
      <c r="C23" s="16" t="s">
        <v>172</v>
      </c>
      <c r="D23" s="7" t="n">
        <v>-300</v>
      </c>
      <c r="E23" s="16" t="s">
        <v>145</v>
      </c>
      <c r="F23" s="7" t="n">
        <v>32578.44</v>
      </c>
      <c r="G23" s="16" t="s">
        <v>60</v>
      </c>
    </row>
    <row r="24" customFormat="false" ht="15" hidden="false" customHeight="false" outlineLevel="0" collapsed="false">
      <c r="A24" s="0" t="s">
        <v>143</v>
      </c>
      <c r="B24" s="14" t="n">
        <v>46181</v>
      </c>
      <c r="C24" s="16" t="s">
        <v>173</v>
      </c>
      <c r="D24" s="7" t="n">
        <v>-3000</v>
      </c>
      <c r="E24" s="16" t="s">
        <v>148</v>
      </c>
      <c r="F24" s="7" t="n">
        <v>32878.44</v>
      </c>
      <c r="G24" s="16" t="s">
        <v>68</v>
      </c>
    </row>
    <row r="25" customFormat="false" ht="15" hidden="false" customHeight="false" outlineLevel="0" collapsed="false">
      <c r="A25" s="0" t="s">
        <v>143</v>
      </c>
      <c r="B25" s="14" t="n">
        <v>46181</v>
      </c>
      <c r="C25" s="16" t="s">
        <v>174</v>
      </c>
      <c r="D25" s="7" t="n">
        <v>-11.99</v>
      </c>
      <c r="E25" s="16" t="s">
        <v>161</v>
      </c>
      <c r="F25" s="7" t="n">
        <v>35878.44</v>
      </c>
      <c r="G25" s="16" t="s">
        <v>84</v>
      </c>
    </row>
    <row r="26" customFormat="false" ht="15" hidden="false" customHeight="false" outlineLevel="0" collapsed="false">
      <c r="A26" s="0" t="s">
        <v>143</v>
      </c>
      <c r="B26" s="14" t="n">
        <v>46181</v>
      </c>
      <c r="C26" s="16" t="s">
        <v>175</v>
      </c>
      <c r="D26" s="7" t="n">
        <v>-108.14</v>
      </c>
      <c r="E26" s="16" t="s">
        <v>161</v>
      </c>
      <c r="F26" s="7" t="n">
        <v>35890.43</v>
      </c>
      <c r="G26" s="16" t="s">
        <v>55</v>
      </c>
    </row>
    <row r="27" customFormat="false" ht="15" hidden="false" customHeight="false" outlineLevel="0" collapsed="false">
      <c r="A27" s="0" t="s">
        <v>143</v>
      </c>
      <c r="B27" s="14" t="n">
        <v>46181</v>
      </c>
      <c r="C27" s="16" t="s">
        <v>176</v>
      </c>
      <c r="D27" s="7" t="n">
        <v>-19.97</v>
      </c>
      <c r="E27" s="16" t="s">
        <v>161</v>
      </c>
      <c r="F27" s="7" t="n">
        <v>35998.57</v>
      </c>
      <c r="G27" s="16" t="s">
        <v>84</v>
      </c>
    </row>
    <row r="28" customFormat="false" ht="15" hidden="false" customHeight="false" outlineLevel="0" collapsed="false">
      <c r="A28" s="0" t="s">
        <v>143</v>
      </c>
      <c r="B28" s="14" t="n">
        <v>46177</v>
      </c>
      <c r="C28" s="16" t="s">
        <v>177</v>
      </c>
      <c r="D28" s="7" t="n">
        <v>-5</v>
      </c>
      <c r="E28" s="16" t="s">
        <v>178</v>
      </c>
      <c r="F28" s="7" t="n">
        <v>36018.54</v>
      </c>
      <c r="G28" s="16" t="s">
        <v>51</v>
      </c>
    </row>
    <row r="29" customFormat="false" ht="15" hidden="false" customHeight="false" outlineLevel="0" collapsed="false">
      <c r="A29" s="0" t="s">
        <v>143</v>
      </c>
      <c r="B29" s="14" t="n">
        <v>46177</v>
      </c>
      <c r="C29" s="16" t="s">
        <v>179</v>
      </c>
      <c r="D29" s="7" t="n">
        <v>-750</v>
      </c>
      <c r="E29" s="16" t="s">
        <v>180</v>
      </c>
      <c r="F29" s="7" t="n">
        <v>36023.54</v>
      </c>
      <c r="G29" s="16" t="s">
        <v>51</v>
      </c>
    </row>
    <row r="30" customFormat="false" ht="15" hidden="false" customHeight="false" outlineLevel="0" collapsed="false">
      <c r="A30" s="0" t="s">
        <v>143</v>
      </c>
      <c r="B30" s="14" t="n">
        <v>46177</v>
      </c>
      <c r="C30" s="16" t="s">
        <v>181</v>
      </c>
      <c r="D30" s="7" t="n">
        <v>-10.78</v>
      </c>
      <c r="E30" s="16" t="s">
        <v>161</v>
      </c>
      <c r="F30" s="7" t="n">
        <v>36773.54</v>
      </c>
      <c r="G30" s="16" t="s">
        <v>83</v>
      </c>
    </row>
    <row r="31" customFormat="false" ht="15" hidden="false" customHeight="false" outlineLevel="0" collapsed="false">
      <c r="A31" s="0" t="s">
        <v>182</v>
      </c>
      <c r="B31" s="14" t="n">
        <v>46176</v>
      </c>
      <c r="C31" s="16" t="s">
        <v>183</v>
      </c>
      <c r="D31" s="7" t="n">
        <v>8556.41</v>
      </c>
      <c r="E31" s="16" t="s">
        <v>184</v>
      </c>
      <c r="F31" s="7" t="n">
        <v>36784.32</v>
      </c>
      <c r="G31" s="16" t="s">
        <v>18</v>
      </c>
    </row>
    <row r="32" customFormat="false" ht="15" hidden="false" customHeight="false" outlineLevel="0" collapsed="false">
      <c r="A32" s="0" t="s">
        <v>143</v>
      </c>
      <c r="B32" s="14" t="n">
        <v>46175</v>
      </c>
      <c r="C32" s="16" t="s">
        <v>185</v>
      </c>
      <c r="D32" s="7" t="n">
        <v>-200</v>
      </c>
      <c r="E32" s="16" t="s">
        <v>148</v>
      </c>
      <c r="F32" s="7" t="n">
        <v>28227.91</v>
      </c>
      <c r="G32" s="16" t="s">
        <v>45</v>
      </c>
    </row>
    <row r="33" customFormat="false" ht="15" hidden="false" customHeight="false" outlineLevel="0" collapsed="false">
      <c r="A33" s="0" t="s">
        <v>143</v>
      </c>
      <c r="B33" s="14" t="n">
        <v>46175</v>
      </c>
      <c r="C33" s="16" t="s">
        <v>186</v>
      </c>
      <c r="D33" s="7" t="n">
        <v>-200</v>
      </c>
      <c r="E33" s="16" t="s">
        <v>148</v>
      </c>
      <c r="F33" s="7" t="n">
        <v>28427.91</v>
      </c>
      <c r="G33" s="16" t="s">
        <v>45</v>
      </c>
    </row>
    <row r="34" customFormat="false" ht="15" hidden="false" customHeight="false" outlineLevel="0" collapsed="false">
      <c r="A34" s="0" t="s">
        <v>143</v>
      </c>
      <c r="B34" s="14" t="n">
        <v>46175</v>
      </c>
      <c r="C34" s="16" t="s">
        <v>187</v>
      </c>
      <c r="D34" s="7" t="n">
        <v>-200</v>
      </c>
      <c r="E34" s="16" t="s">
        <v>148</v>
      </c>
      <c r="F34" s="7" t="n">
        <v>28627.91</v>
      </c>
      <c r="G34" s="16" t="s">
        <v>45</v>
      </c>
    </row>
    <row r="35" customFormat="false" ht="15" hidden="false" customHeight="false" outlineLevel="0" collapsed="false">
      <c r="A35" s="0" t="s">
        <v>143</v>
      </c>
      <c r="B35" s="14" t="n">
        <v>46175</v>
      </c>
      <c r="C35" s="16" t="s">
        <v>188</v>
      </c>
      <c r="D35" s="7" t="n">
        <v>-200</v>
      </c>
      <c r="E35" s="16" t="s">
        <v>148</v>
      </c>
      <c r="F35" s="7" t="n">
        <v>28827.91</v>
      </c>
      <c r="G35" s="16" t="s">
        <v>42</v>
      </c>
    </row>
    <row r="36" customFormat="false" ht="15" hidden="false" customHeight="false" outlineLevel="0" collapsed="false">
      <c r="A36" s="0" t="s">
        <v>143</v>
      </c>
      <c r="B36" s="14" t="n">
        <v>46175</v>
      </c>
      <c r="C36" s="16" t="s">
        <v>189</v>
      </c>
      <c r="D36" s="7" t="n">
        <v>-300</v>
      </c>
      <c r="E36" s="16" t="s">
        <v>148</v>
      </c>
      <c r="F36" s="7" t="n">
        <v>29027.91</v>
      </c>
      <c r="G36" s="16" t="s">
        <v>43</v>
      </c>
    </row>
    <row r="37" customFormat="false" ht="15" hidden="false" customHeight="false" outlineLevel="0" collapsed="false">
      <c r="A37" s="0" t="s">
        <v>143</v>
      </c>
      <c r="B37" s="14" t="n">
        <v>46175</v>
      </c>
      <c r="C37" s="16" t="s">
        <v>190</v>
      </c>
      <c r="D37" s="7" t="n">
        <v>-2000</v>
      </c>
      <c r="E37" s="16" t="s">
        <v>148</v>
      </c>
      <c r="F37" s="7" t="n">
        <v>29327.91</v>
      </c>
      <c r="G37" s="16" t="s">
        <v>68</v>
      </c>
    </row>
    <row r="38" customFormat="false" ht="15" hidden="false" customHeight="false" outlineLevel="0" collapsed="false">
      <c r="A38" s="0" t="s">
        <v>143</v>
      </c>
      <c r="B38" s="14" t="n">
        <v>46175</v>
      </c>
      <c r="C38" s="16" t="s">
        <v>191</v>
      </c>
      <c r="D38" s="7" t="n">
        <v>-5.99</v>
      </c>
      <c r="E38" s="16" t="s">
        <v>161</v>
      </c>
      <c r="F38" s="7" t="n">
        <v>31327.91</v>
      </c>
      <c r="G38" s="16" t="s">
        <v>84</v>
      </c>
    </row>
    <row r="39" customFormat="false" ht="15" hidden="false" customHeight="false" outlineLevel="0" collapsed="false">
      <c r="A39" s="0" t="s">
        <v>143</v>
      </c>
      <c r="B39" s="14" t="n">
        <v>46175</v>
      </c>
      <c r="C39" s="16" t="s">
        <v>192</v>
      </c>
      <c r="D39" s="7" t="n">
        <v>-33.97</v>
      </c>
      <c r="E39" s="16" t="s">
        <v>161</v>
      </c>
      <c r="F39" s="7" t="n">
        <v>31333.9</v>
      </c>
      <c r="G39" s="16" t="s">
        <v>84</v>
      </c>
    </row>
    <row r="40" customFormat="false" ht="15" hidden="false" customHeight="false" outlineLevel="0" collapsed="false">
      <c r="A40" s="0" t="s">
        <v>182</v>
      </c>
      <c r="B40" s="14" t="n">
        <v>46175</v>
      </c>
      <c r="C40" s="16" t="s">
        <v>193</v>
      </c>
      <c r="D40" s="7" t="n">
        <v>30000</v>
      </c>
      <c r="E40" s="16" t="s">
        <v>148</v>
      </c>
      <c r="F40" s="7" t="n">
        <v>31367.87</v>
      </c>
      <c r="G40" s="16" t="s">
        <v>35</v>
      </c>
    </row>
    <row r="41" customFormat="false" ht="15" hidden="false" customHeight="false" outlineLevel="0" collapsed="false">
      <c r="A41" s="0" t="s">
        <v>143</v>
      </c>
      <c r="B41" s="14" t="n">
        <v>46174</v>
      </c>
      <c r="C41" s="16" t="s">
        <v>194</v>
      </c>
      <c r="D41" s="7" t="n">
        <v>-15</v>
      </c>
      <c r="E41" s="16" t="s">
        <v>178</v>
      </c>
      <c r="F41" s="7" t="n">
        <v>1367.87</v>
      </c>
      <c r="G41" s="16" t="s">
        <v>80</v>
      </c>
    </row>
    <row r="42" customFormat="false" ht="15" hidden="false" customHeight="false" outlineLevel="0" collapsed="false">
      <c r="A42" s="0" t="s">
        <v>143</v>
      </c>
      <c r="B42" s="14" t="n">
        <v>46174</v>
      </c>
      <c r="C42" s="16" t="s">
        <v>195</v>
      </c>
      <c r="D42" s="7" t="n">
        <v>-0.6</v>
      </c>
      <c r="E42" s="16" t="s">
        <v>178</v>
      </c>
      <c r="F42" s="7" t="n">
        <v>1382.87</v>
      </c>
      <c r="G42" s="16" t="s">
        <v>80</v>
      </c>
    </row>
    <row r="43" customFormat="false" ht="15" hidden="false" customHeight="false" outlineLevel="0" collapsed="false">
      <c r="A43" s="0" t="s">
        <v>143</v>
      </c>
      <c r="B43" s="14" t="n">
        <v>46174</v>
      </c>
      <c r="C43" s="16" t="s">
        <v>196</v>
      </c>
      <c r="D43" s="7" t="n">
        <v>-25</v>
      </c>
      <c r="E43" s="16" t="s">
        <v>178</v>
      </c>
      <c r="F43" s="7" t="n">
        <v>1383.47</v>
      </c>
      <c r="G43" s="16" t="s">
        <v>80</v>
      </c>
    </row>
    <row r="44" customFormat="false" ht="15" hidden="false" customHeight="false" outlineLevel="0" collapsed="false">
      <c r="A44" s="0" t="s">
        <v>143</v>
      </c>
      <c r="B44" s="14" t="n">
        <v>46174</v>
      </c>
      <c r="C44" s="16" t="s">
        <v>197</v>
      </c>
      <c r="D44" s="7" t="n">
        <v>-25</v>
      </c>
      <c r="E44" s="16" t="s">
        <v>178</v>
      </c>
      <c r="F44" s="7" t="n">
        <v>1408.47</v>
      </c>
      <c r="G44" s="16" t="s">
        <v>80</v>
      </c>
    </row>
    <row r="45" customFormat="false" ht="15" hidden="false" customHeight="false" outlineLevel="0" collapsed="false">
      <c r="A45" s="0" t="s">
        <v>143</v>
      </c>
      <c r="B45" s="14" t="n">
        <v>46174</v>
      </c>
      <c r="C45" s="16" t="s">
        <v>198</v>
      </c>
      <c r="D45" s="7" t="n">
        <v>-537</v>
      </c>
      <c r="E45" s="16" t="s">
        <v>145</v>
      </c>
      <c r="F45" s="7" t="n">
        <v>1433.47</v>
      </c>
      <c r="G45" s="16" t="s">
        <v>103</v>
      </c>
    </row>
    <row r="46" customFormat="false" ht="15" hidden="false" customHeight="false" outlineLevel="0" collapsed="false">
      <c r="A46" s="0" t="s">
        <v>143</v>
      </c>
      <c r="B46" s="14" t="n">
        <v>46174</v>
      </c>
      <c r="C46" s="16" t="s">
        <v>199</v>
      </c>
      <c r="D46" s="7" t="n">
        <v>-4190.21</v>
      </c>
      <c r="E46" s="16" t="s">
        <v>145</v>
      </c>
      <c r="F46" s="7" t="n">
        <v>1970.47</v>
      </c>
      <c r="G46" s="16" t="s">
        <v>20</v>
      </c>
    </row>
    <row r="47" customFormat="false" ht="15" hidden="false" customHeight="false" outlineLevel="0" collapsed="false">
      <c r="A47" s="0" t="s">
        <v>143</v>
      </c>
      <c r="B47" s="14" t="n">
        <v>46174</v>
      </c>
      <c r="C47" s="16" t="s">
        <v>200</v>
      </c>
      <c r="D47" s="7" t="n">
        <v>-4366.2</v>
      </c>
      <c r="E47" s="16" t="s">
        <v>145</v>
      </c>
      <c r="F47" s="7" t="n">
        <v>6160.68</v>
      </c>
      <c r="G47" s="16" t="s">
        <v>19</v>
      </c>
    </row>
    <row r="48" customFormat="false" ht="15" hidden="false" customHeight="false" outlineLevel="0" collapsed="false">
      <c r="A48" s="0" t="s">
        <v>143</v>
      </c>
      <c r="B48" s="14" t="n">
        <v>46174</v>
      </c>
      <c r="C48" s="16" t="s">
        <v>201</v>
      </c>
      <c r="D48" s="7" t="n">
        <v>-2000</v>
      </c>
      <c r="E48" s="16" t="s">
        <v>150</v>
      </c>
      <c r="F48" s="7" t="n">
        <v>10526.88</v>
      </c>
      <c r="G48" s="16" t="s">
        <v>54</v>
      </c>
    </row>
    <row r="49" customFormat="false" ht="15" hidden="false" customHeight="false" outlineLevel="0" collapsed="false">
      <c r="A49" s="0" t="s">
        <v>143</v>
      </c>
      <c r="B49" s="14" t="n">
        <v>46174</v>
      </c>
      <c r="C49" s="16" t="s">
        <v>202</v>
      </c>
      <c r="D49" s="7" t="n">
        <v>-974.85</v>
      </c>
      <c r="E49" s="16" t="s">
        <v>145</v>
      </c>
      <c r="F49" s="7" t="n">
        <v>12526.88</v>
      </c>
      <c r="G49" s="16" t="s">
        <v>140</v>
      </c>
    </row>
    <row r="50" customFormat="false" ht="15" hidden="false" customHeight="false" outlineLevel="0" collapsed="false">
      <c r="A50" s="0" t="s">
        <v>143</v>
      </c>
      <c r="B50" s="14" t="n">
        <v>46174</v>
      </c>
      <c r="C50" s="16" t="s">
        <v>203</v>
      </c>
      <c r="D50" s="7" t="n">
        <v>-1124.22</v>
      </c>
      <c r="E50" s="16" t="s">
        <v>145</v>
      </c>
      <c r="F50" s="7" t="n">
        <v>13501.73</v>
      </c>
      <c r="G50" s="16" t="s">
        <v>137</v>
      </c>
    </row>
    <row r="51" customFormat="false" ht="15" hidden="false" customHeight="false" outlineLevel="0" collapsed="false">
      <c r="A51" s="0" t="s">
        <v>143</v>
      </c>
      <c r="B51" s="14" t="n">
        <v>46174</v>
      </c>
      <c r="C51" s="16" t="s">
        <v>204</v>
      </c>
      <c r="D51" s="7" t="n">
        <v>-1293.42</v>
      </c>
      <c r="E51" s="16" t="s">
        <v>145</v>
      </c>
      <c r="F51" s="7" t="n">
        <v>14625.95</v>
      </c>
      <c r="G51" s="16" t="s">
        <v>140</v>
      </c>
    </row>
    <row r="52" customFormat="false" ht="15" hidden="false" customHeight="false" outlineLevel="0" collapsed="false">
      <c r="A52" s="0" t="s">
        <v>143</v>
      </c>
      <c r="B52" s="14" t="n">
        <v>46174</v>
      </c>
      <c r="C52" s="16" t="s">
        <v>205</v>
      </c>
      <c r="D52" s="7" t="n">
        <v>-3000</v>
      </c>
      <c r="E52" s="16" t="s">
        <v>148</v>
      </c>
      <c r="F52" s="7" t="n">
        <v>15919.37</v>
      </c>
      <c r="G52" s="16" t="s">
        <v>68</v>
      </c>
    </row>
    <row r="53" customFormat="false" ht="15" hidden="false" customHeight="false" outlineLevel="0" collapsed="false">
      <c r="A53" s="0" t="s">
        <v>143</v>
      </c>
      <c r="B53" s="14" t="n">
        <v>46174</v>
      </c>
      <c r="C53" s="16" t="s">
        <v>206</v>
      </c>
      <c r="D53" s="7" t="n">
        <v>-2524</v>
      </c>
      <c r="E53" s="16" t="s">
        <v>145</v>
      </c>
      <c r="F53" s="7" t="n">
        <v>18919.37</v>
      </c>
      <c r="G53" s="16" t="s">
        <v>74</v>
      </c>
    </row>
    <row r="54" customFormat="false" ht="15" hidden="false" customHeight="false" outlineLevel="0" collapsed="false">
      <c r="A54" s="0" t="s">
        <v>143</v>
      </c>
      <c r="B54" s="14" t="n">
        <v>46171</v>
      </c>
      <c r="C54" s="16" t="s">
        <v>207</v>
      </c>
      <c r="D54" s="7" t="n">
        <v>-1240.27</v>
      </c>
      <c r="E54" s="16" t="s">
        <v>145</v>
      </c>
      <c r="F54" s="7" t="n">
        <v>21443.37</v>
      </c>
      <c r="G54" s="16" t="s">
        <v>137</v>
      </c>
    </row>
    <row r="55" customFormat="false" ht="15" hidden="false" customHeight="false" outlineLevel="0" collapsed="false">
      <c r="A55" s="0" t="s">
        <v>143</v>
      </c>
      <c r="B55" s="14" t="n">
        <v>46171</v>
      </c>
      <c r="C55" s="16" t="s">
        <v>208</v>
      </c>
      <c r="D55" s="7" t="n">
        <v>-159.6</v>
      </c>
      <c r="E55" s="16" t="s">
        <v>161</v>
      </c>
      <c r="F55" s="7" t="n">
        <v>22683.64</v>
      </c>
      <c r="G55" s="16" t="s">
        <v>55</v>
      </c>
    </row>
    <row r="56" customFormat="false" ht="15" hidden="false" customHeight="false" outlineLevel="0" collapsed="false">
      <c r="A56" s="0" t="s">
        <v>143</v>
      </c>
      <c r="B56" s="14" t="n">
        <v>46170</v>
      </c>
      <c r="C56" s="16" t="s">
        <v>209</v>
      </c>
      <c r="D56" s="7" t="n">
        <v>-22.98</v>
      </c>
      <c r="E56" s="16" t="s">
        <v>161</v>
      </c>
      <c r="F56" s="7" t="n">
        <v>22843.24</v>
      </c>
      <c r="G56" s="16" t="s">
        <v>84</v>
      </c>
    </row>
    <row r="57" customFormat="false" ht="15" hidden="false" customHeight="false" outlineLevel="0" collapsed="false">
      <c r="A57" s="0" t="s">
        <v>143</v>
      </c>
      <c r="B57" s="14" t="n">
        <v>46170</v>
      </c>
      <c r="C57" s="16" t="s">
        <v>210</v>
      </c>
      <c r="D57" s="7" t="n">
        <v>-3500</v>
      </c>
      <c r="E57" s="16" t="s">
        <v>150</v>
      </c>
      <c r="F57" s="7" t="n">
        <v>22866.22</v>
      </c>
      <c r="G57" s="16" t="s">
        <v>52</v>
      </c>
    </row>
    <row r="58" customFormat="false" ht="15" hidden="false" customHeight="false" outlineLevel="0" collapsed="false">
      <c r="A58" s="0" t="s">
        <v>143</v>
      </c>
      <c r="B58" s="14" t="n">
        <v>46170</v>
      </c>
      <c r="C58" s="16" t="s">
        <v>211</v>
      </c>
      <c r="D58" s="7" t="n">
        <v>-12.5</v>
      </c>
      <c r="E58" s="16" t="s">
        <v>145</v>
      </c>
      <c r="F58" s="7" t="n">
        <v>26366.22</v>
      </c>
      <c r="G58" s="16" t="s">
        <v>95</v>
      </c>
    </row>
    <row r="59" customFormat="false" ht="15" hidden="false" customHeight="false" outlineLevel="0" collapsed="false">
      <c r="A59" s="0" t="s">
        <v>143</v>
      </c>
      <c r="B59" s="14" t="n">
        <v>46170</v>
      </c>
      <c r="C59" s="16" t="s">
        <v>212</v>
      </c>
      <c r="D59" s="7" t="n">
        <v>-22.92</v>
      </c>
      <c r="E59" s="16" t="s">
        <v>145</v>
      </c>
      <c r="F59" s="7" t="n">
        <v>26378.72</v>
      </c>
      <c r="G59" s="16" t="s">
        <v>95</v>
      </c>
    </row>
    <row r="60" customFormat="false" ht="15" hidden="false" customHeight="false" outlineLevel="0" collapsed="false">
      <c r="A60" s="0" t="s">
        <v>143</v>
      </c>
      <c r="B60" s="14" t="n">
        <v>46170</v>
      </c>
      <c r="C60" s="16" t="s">
        <v>213</v>
      </c>
      <c r="D60" s="7" t="n">
        <v>-17.98</v>
      </c>
      <c r="E60" s="16" t="s">
        <v>161</v>
      </c>
      <c r="F60" s="7" t="n">
        <v>26401.64</v>
      </c>
      <c r="G60" s="16" t="s">
        <v>84</v>
      </c>
    </row>
    <row r="61" customFormat="false" ht="15" hidden="false" customHeight="false" outlineLevel="0" collapsed="false">
      <c r="A61" s="0" t="s">
        <v>143</v>
      </c>
      <c r="B61" s="14" t="n">
        <v>46169</v>
      </c>
      <c r="C61" s="16" t="s">
        <v>214</v>
      </c>
      <c r="D61" s="7" t="n">
        <v>-121.21</v>
      </c>
      <c r="E61" s="16" t="s">
        <v>145</v>
      </c>
      <c r="F61" s="7" t="n">
        <v>26419.62</v>
      </c>
      <c r="G61" s="16" t="s">
        <v>86</v>
      </c>
    </row>
    <row r="62" customFormat="false" ht="15" hidden="false" customHeight="false" outlineLevel="0" collapsed="false">
      <c r="A62" s="0" t="s">
        <v>143</v>
      </c>
      <c r="B62" s="14" t="n">
        <v>46169</v>
      </c>
      <c r="C62" s="16" t="s">
        <v>215</v>
      </c>
      <c r="D62" s="7" t="n">
        <v>-26.18</v>
      </c>
      <c r="E62" s="16" t="s">
        <v>161</v>
      </c>
      <c r="F62" s="7" t="n">
        <v>26540.83</v>
      </c>
      <c r="G62" s="16" t="s">
        <v>84</v>
      </c>
    </row>
    <row r="63" customFormat="false" ht="15" hidden="false" customHeight="false" outlineLevel="0" collapsed="false">
      <c r="A63" s="0" t="s">
        <v>143</v>
      </c>
      <c r="B63" s="14" t="n">
        <v>46168</v>
      </c>
      <c r="C63" s="16" t="s">
        <v>216</v>
      </c>
      <c r="D63" s="7" t="n">
        <v>-1000</v>
      </c>
      <c r="E63" s="16" t="s">
        <v>148</v>
      </c>
      <c r="F63" s="7" t="n">
        <v>26567.01</v>
      </c>
      <c r="G63" s="16" t="s">
        <v>70</v>
      </c>
    </row>
    <row r="64" customFormat="false" ht="15" hidden="false" customHeight="false" outlineLevel="0" collapsed="false">
      <c r="A64" s="0" t="s">
        <v>143</v>
      </c>
      <c r="B64" s="14" t="n">
        <v>46168</v>
      </c>
      <c r="C64" s="16" t="s">
        <v>217</v>
      </c>
      <c r="D64" s="7" t="n">
        <v>-1000</v>
      </c>
      <c r="E64" s="16" t="s">
        <v>148</v>
      </c>
      <c r="F64" s="7" t="n">
        <v>27567.01</v>
      </c>
      <c r="G64" s="16" t="s">
        <v>69</v>
      </c>
    </row>
    <row r="65" customFormat="false" ht="15" hidden="false" customHeight="false" outlineLevel="0" collapsed="false">
      <c r="A65" s="0" t="s">
        <v>143</v>
      </c>
      <c r="B65" s="14" t="n">
        <v>46168</v>
      </c>
      <c r="C65" s="16" t="s">
        <v>218</v>
      </c>
      <c r="D65" s="7" t="n">
        <v>-1000</v>
      </c>
      <c r="E65" s="16" t="s">
        <v>148</v>
      </c>
      <c r="F65" s="7" t="n">
        <v>28567.01</v>
      </c>
      <c r="G65" s="16" t="s">
        <v>68</v>
      </c>
    </row>
    <row r="66" customFormat="false" ht="15" hidden="false" customHeight="false" outlineLevel="0" collapsed="false">
      <c r="A66" s="0" t="s">
        <v>143</v>
      </c>
      <c r="B66" s="14" t="n">
        <v>46168</v>
      </c>
      <c r="C66" s="16" t="s">
        <v>219</v>
      </c>
      <c r="D66" s="7" t="n">
        <v>-7100</v>
      </c>
      <c r="E66" s="16" t="s">
        <v>220</v>
      </c>
      <c r="F66" s="7" t="n">
        <v>29567.01</v>
      </c>
      <c r="G66" s="16" t="s">
        <v>97</v>
      </c>
    </row>
    <row r="67" customFormat="false" ht="15" hidden="false" customHeight="false" outlineLevel="0" collapsed="false">
      <c r="A67" s="0" t="s">
        <v>143</v>
      </c>
      <c r="B67" s="14" t="n">
        <v>46168</v>
      </c>
      <c r="C67" s="16" t="s">
        <v>221</v>
      </c>
      <c r="D67" s="7" t="n">
        <v>-1800</v>
      </c>
      <c r="E67" s="16" t="s">
        <v>220</v>
      </c>
      <c r="F67" s="7" t="n">
        <v>36667.01</v>
      </c>
      <c r="G67" s="16" t="s">
        <v>81</v>
      </c>
    </row>
    <row r="68" customFormat="false" ht="15" hidden="false" customHeight="false" outlineLevel="0" collapsed="false">
      <c r="A68" s="0" t="s">
        <v>143</v>
      </c>
      <c r="B68" s="14" t="n">
        <v>46168</v>
      </c>
      <c r="C68" s="16" t="s">
        <v>222</v>
      </c>
      <c r="D68" s="7" t="n">
        <v>-1400</v>
      </c>
      <c r="E68" s="16" t="s">
        <v>220</v>
      </c>
      <c r="F68" s="7" t="n">
        <v>38467.01</v>
      </c>
      <c r="G68" s="16" t="s">
        <v>136</v>
      </c>
    </row>
    <row r="69" customFormat="false" ht="15" hidden="false" customHeight="false" outlineLevel="0" collapsed="false">
      <c r="A69" s="0" t="s">
        <v>143</v>
      </c>
      <c r="B69" s="14" t="n">
        <v>46168</v>
      </c>
      <c r="C69" s="16" t="s">
        <v>223</v>
      </c>
      <c r="D69" s="7" t="n">
        <v>-500</v>
      </c>
      <c r="E69" s="16" t="s">
        <v>220</v>
      </c>
      <c r="F69" s="7" t="n">
        <v>39867.01</v>
      </c>
      <c r="G69" s="16" t="s">
        <v>136</v>
      </c>
    </row>
    <row r="70" customFormat="false" ht="15" hidden="false" customHeight="false" outlineLevel="0" collapsed="false">
      <c r="A70" s="0" t="s">
        <v>143</v>
      </c>
      <c r="B70" s="14" t="n">
        <v>46168</v>
      </c>
      <c r="C70" s="16" t="s">
        <v>224</v>
      </c>
      <c r="D70" s="7" t="n">
        <v>-1700</v>
      </c>
      <c r="E70" s="16" t="s">
        <v>220</v>
      </c>
      <c r="F70" s="7" t="n">
        <v>40367.01</v>
      </c>
      <c r="G70" s="16" t="s">
        <v>136</v>
      </c>
    </row>
    <row r="71" customFormat="false" ht="15" hidden="false" customHeight="false" outlineLevel="0" collapsed="false">
      <c r="A71" s="0" t="s">
        <v>143</v>
      </c>
      <c r="B71" s="14" t="n">
        <v>46168</v>
      </c>
      <c r="C71" s="16" t="s">
        <v>225</v>
      </c>
      <c r="D71" s="7" t="n">
        <v>-600</v>
      </c>
      <c r="E71" s="16" t="s">
        <v>220</v>
      </c>
      <c r="F71" s="7" t="n">
        <v>42067.01</v>
      </c>
      <c r="G71" s="16" t="s">
        <v>136</v>
      </c>
    </row>
    <row r="72" customFormat="false" ht="15" hidden="false" customHeight="false" outlineLevel="0" collapsed="false">
      <c r="A72" s="0" t="s">
        <v>143</v>
      </c>
      <c r="B72" s="14" t="n">
        <v>46168</v>
      </c>
      <c r="C72" s="16" t="s">
        <v>226</v>
      </c>
      <c r="D72" s="7" t="n">
        <v>-20.51</v>
      </c>
      <c r="E72" s="16" t="s">
        <v>161</v>
      </c>
      <c r="F72" s="7" t="n">
        <v>42667.01</v>
      </c>
      <c r="G72" s="16" t="s">
        <v>102</v>
      </c>
    </row>
    <row r="73" customFormat="false" ht="15" hidden="false" customHeight="false" outlineLevel="0" collapsed="false">
      <c r="A73" s="0" t="s">
        <v>143</v>
      </c>
      <c r="B73" s="14" t="n">
        <v>46168</v>
      </c>
      <c r="C73" s="16" t="s">
        <v>227</v>
      </c>
      <c r="D73" s="7" t="n">
        <v>-16.98</v>
      </c>
      <c r="E73" s="16" t="s">
        <v>161</v>
      </c>
      <c r="F73" s="7" t="n">
        <v>42687.52</v>
      </c>
      <c r="G73" s="16" t="s">
        <v>84</v>
      </c>
    </row>
    <row r="74" customFormat="false" ht="15" hidden="false" customHeight="false" outlineLevel="0" collapsed="false">
      <c r="A74" s="0" t="s">
        <v>143</v>
      </c>
      <c r="B74" s="14" t="n">
        <v>46168</v>
      </c>
      <c r="C74" s="16" t="s">
        <v>228</v>
      </c>
      <c r="D74" s="7" t="n">
        <v>-150</v>
      </c>
      <c r="E74" s="16" t="s">
        <v>156</v>
      </c>
      <c r="F74" s="7" t="n">
        <v>42704.5</v>
      </c>
      <c r="G74" s="16" t="s">
        <v>63</v>
      </c>
    </row>
    <row r="75" customFormat="false" ht="15" hidden="false" customHeight="false" outlineLevel="0" collapsed="false">
      <c r="A75" s="0" t="s">
        <v>143</v>
      </c>
      <c r="B75" s="14" t="n">
        <v>46168</v>
      </c>
      <c r="C75" s="16" t="s">
        <v>229</v>
      </c>
      <c r="D75" s="7" t="n">
        <v>-3000</v>
      </c>
      <c r="E75" s="16" t="s">
        <v>148</v>
      </c>
      <c r="F75" s="7" t="n">
        <v>42854.5</v>
      </c>
      <c r="G75" s="16" t="s">
        <v>68</v>
      </c>
    </row>
    <row r="76" customFormat="false" ht="15" hidden="false" customHeight="false" outlineLevel="0" collapsed="false">
      <c r="A76" s="0" t="s">
        <v>143</v>
      </c>
      <c r="B76" s="14" t="n">
        <v>46168</v>
      </c>
      <c r="C76" s="16" t="s">
        <v>230</v>
      </c>
      <c r="D76" s="7" t="n">
        <v>-1500</v>
      </c>
      <c r="E76" s="16" t="s">
        <v>148</v>
      </c>
      <c r="F76" s="7" t="n">
        <v>45854.5</v>
      </c>
      <c r="G76" s="16" t="s">
        <v>142</v>
      </c>
    </row>
    <row r="77" customFormat="false" ht="15" hidden="false" customHeight="false" outlineLevel="0" collapsed="false">
      <c r="A77" s="0" t="s">
        <v>143</v>
      </c>
      <c r="B77" s="14" t="n">
        <v>46168</v>
      </c>
      <c r="C77" s="16" t="s">
        <v>231</v>
      </c>
      <c r="D77" s="7" t="n">
        <v>-43.97</v>
      </c>
      <c r="E77" s="16" t="s">
        <v>161</v>
      </c>
      <c r="F77" s="7" t="n">
        <v>47354.5</v>
      </c>
      <c r="G77" s="16" t="s">
        <v>84</v>
      </c>
    </row>
    <row r="78" customFormat="false" ht="15" hidden="false" customHeight="false" outlineLevel="0" collapsed="false">
      <c r="A78" s="0" t="s">
        <v>143</v>
      </c>
      <c r="B78" s="14" t="n">
        <v>46168</v>
      </c>
      <c r="C78" s="16" t="s">
        <v>232</v>
      </c>
      <c r="D78" s="7" t="n">
        <v>-203.88</v>
      </c>
      <c r="E78" s="16" t="s">
        <v>161</v>
      </c>
      <c r="F78" s="7" t="n">
        <v>47398.47</v>
      </c>
      <c r="G78" s="16" t="s">
        <v>84</v>
      </c>
    </row>
    <row r="79" customFormat="false" ht="15" hidden="false" customHeight="false" outlineLevel="0" collapsed="false">
      <c r="A79" s="0" t="s">
        <v>143</v>
      </c>
      <c r="B79" s="14" t="n">
        <v>46164</v>
      </c>
      <c r="C79" s="16" t="s">
        <v>233</v>
      </c>
      <c r="D79" s="7" t="n">
        <v>-2000</v>
      </c>
      <c r="E79" s="16" t="s">
        <v>150</v>
      </c>
      <c r="F79" s="7" t="n">
        <v>47602.35</v>
      </c>
      <c r="G79" s="16" t="s">
        <v>54</v>
      </c>
    </row>
    <row r="80" customFormat="false" ht="15" hidden="false" customHeight="false" outlineLevel="0" collapsed="false">
      <c r="A80" s="0" t="s">
        <v>143</v>
      </c>
      <c r="B80" s="14" t="n">
        <v>46164</v>
      </c>
      <c r="C80" s="16" t="s">
        <v>234</v>
      </c>
      <c r="D80" s="7" t="n">
        <v>-17.95</v>
      </c>
      <c r="E80" s="16" t="s">
        <v>161</v>
      </c>
      <c r="F80" s="7" t="n">
        <v>49602.35</v>
      </c>
      <c r="G80" s="16" t="s">
        <v>102</v>
      </c>
    </row>
    <row r="81" customFormat="false" ht="15" hidden="false" customHeight="false" outlineLevel="0" collapsed="false">
      <c r="A81" s="0" t="s">
        <v>143</v>
      </c>
      <c r="B81" s="14" t="n">
        <v>46163</v>
      </c>
      <c r="C81" s="16" t="s">
        <v>177</v>
      </c>
      <c r="D81" s="7" t="n">
        <v>-5</v>
      </c>
      <c r="E81" s="16" t="s">
        <v>178</v>
      </c>
      <c r="F81" s="7" t="n">
        <v>49620.3</v>
      </c>
      <c r="G81" s="16" t="s">
        <v>51</v>
      </c>
    </row>
    <row r="82" customFormat="false" ht="15" hidden="false" customHeight="false" outlineLevel="0" collapsed="false">
      <c r="A82" s="0" t="s">
        <v>143</v>
      </c>
      <c r="B82" s="14" t="n">
        <v>46163</v>
      </c>
      <c r="C82" s="16" t="s">
        <v>235</v>
      </c>
      <c r="D82" s="7" t="n">
        <v>-500</v>
      </c>
      <c r="E82" s="16" t="s">
        <v>148</v>
      </c>
      <c r="F82" s="7" t="n">
        <v>49625.3</v>
      </c>
      <c r="G82" s="16" t="s">
        <v>142</v>
      </c>
    </row>
    <row r="83" customFormat="false" ht="15" hidden="false" customHeight="false" outlineLevel="0" collapsed="false">
      <c r="A83" s="0" t="s">
        <v>143</v>
      </c>
      <c r="B83" s="14" t="n">
        <v>46163</v>
      </c>
      <c r="C83" s="16" t="s">
        <v>236</v>
      </c>
      <c r="D83" s="7" t="n">
        <v>-2000</v>
      </c>
      <c r="E83" s="16" t="s">
        <v>148</v>
      </c>
      <c r="F83" s="7" t="n">
        <v>50125.3</v>
      </c>
      <c r="G83" s="16" t="s">
        <v>68</v>
      </c>
    </row>
    <row r="84" customFormat="false" ht="15" hidden="false" customHeight="false" outlineLevel="0" collapsed="false">
      <c r="A84" s="0" t="s">
        <v>143</v>
      </c>
      <c r="B84" s="14" t="n">
        <v>46163</v>
      </c>
      <c r="C84" s="16" t="s">
        <v>237</v>
      </c>
      <c r="D84" s="7" t="n">
        <v>-750</v>
      </c>
      <c r="E84" s="16" t="s">
        <v>180</v>
      </c>
      <c r="F84" s="7" t="n">
        <v>52125.3</v>
      </c>
      <c r="G84" s="16" t="s">
        <v>51</v>
      </c>
    </row>
    <row r="85" customFormat="false" ht="15" hidden="false" customHeight="false" outlineLevel="0" collapsed="false">
      <c r="A85" s="0" t="s">
        <v>143</v>
      </c>
      <c r="B85" s="14" t="n">
        <v>46163</v>
      </c>
      <c r="C85" s="16" t="s">
        <v>238</v>
      </c>
      <c r="D85" s="7" t="n">
        <v>-331.54</v>
      </c>
      <c r="E85" s="16" t="s">
        <v>145</v>
      </c>
      <c r="F85" s="7" t="n">
        <v>52875.3</v>
      </c>
      <c r="G85" s="16" t="s">
        <v>109</v>
      </c>
    </row>
    <row r="86" customFormat="false" ht="15" hidden="false" customHeight="false" outlineLevel="0" collapsed="false">
      <c r="A86" s="0" t="s">
        <v>143</v>
      </c>
      <c r="B86" s="14" t="n">
        <v>46163</v>
      </c>
      <c r="C86" s="16" t="s">
        <v>239</v>
      </c>
      <c r="D86" s="7" t="n">
        <v>-200</v>
      </c>
      <c r="E86" s="16" t="s">
        <v>156</v>
      </c>
      <c r="F86" s="7" t="n">
        <v>53206.84</v>
      </c>
      <c r="G86" s="16" t="s">
        <v>63</v>
      </c>
    </row>
    <row r="87" customFormat="false" ht="15" hidden="false" customHeight="false" outlineLevel="0" collapsed="false">
      <c r="A87" s="0" t="s">
        <v>143</v>
      </c>
      <c r="B87" s="14" t="n">
        <v>46163</v>
      </c>
      <c r="C87" s="16" t="s">
        <v>240</v>
      </c>
      <c r="D87" s="7" t="n">
        <v>-19.97</v>
      </c>
      <c r="E87" s="16" t="s">
        <v>161</v>
      </c>
      <c r="F87" s="7" t="n">
        <v>53406.84</v>
      </c>
      <c r="G87" s="16" t="s">
        <v>84</v>
      </c>
    </row>
    <row r="88" customFormat="false" ht="15" hidden="false" customHeight="false" outlineLevel="0" collapsed="false">
      <c r="A88" s="0" t="s">
        <v>143</v>
      </c>
      <c r="B88" s="14" t="n">
        <v>46162</v>
      </c>
      <c r="C88" s="16" t="s">
        <v>241</v>
      </c>
      <c r="D88" s="7" t="n">
        <v>-1000</v>
      </c>
      <c r="E88" s="16" t="s">
        <v>156</v>
      </c>
      <c r="F88" s="7" t="n">
        <v>53426.81</v>
      </c>
      <c r="G88" s="16" t="s">
        <v>61</v>
      </c>
    </row>
    <row r="89" customFormat="false" ht="15" hidden="false" customHeight="false" outlineLevel="0" collapsed="false">
      <c r="A89" s="0" t="s">
        <v>143</v>
      </c>
      <c r="B89" s="14" t="n">
        <v>46161</v>
      </c>
      <c r="C89" s="16" t="s">
        <v>242</v>
      </c>
      <c r="D89" s="7" t="n">
        <v>-252.8</v>
      </c>
      <c r="E89" s="16" t="s">
        <v>145</v>
      </c>
      <c r="F89" s="7" t="n">
        <v>54426.81</v>
      </c>
      <c r="G89" s="16" t="s">
        <v>103</v>
      </c>
    </row>
    <row r="90" customFormat="false" ht="15" hidden="false" customHeight="false" outlineLevel="0" collapsed="false">
      <c r="A90" s="0" t="s">
        <v>143</v>
      </c>
      <c r="B90" s="14" t="n">
        <v>46161</v>
      </c>
      <c r="C90" s="16" t="s">
        <v>243</v>
      </c>
      <c r="D90" s="7" t="n">
        <v>-3000</v>
      </c>
      <c r="E90" s="16" t="s">
        <v>148</v>
      </c>
      <c r="F90" s="7" t="n">
        <v>54679.61</v>
      </c>
      <c r="G90" s="16" t="s">
        <v>68</v>
      </c>
    </row>
    <row r="91" customFormat="false" ht="15" hidden="false" customHeight="false" outlineLevel="0" collapsed="false">
      <c r="A91" s="0" t="s">
        <v>143</v>
      </c>
      <c r="B91" s="14" t="n">
        <v>46161</v>
      </c>
      <c r="C91" s="16" t="s">
        <v>244</v>
      </c>
      <c r="D91" s="7" t="n">
        <v>-313.94</v>
      </c>
      <c r="E91" s="16" t="s">
        <v>161</v>
      </c>
      <c r="F91" s="7" t="n">
        <v>57679.61</v>
      </c>
      <c r="G91" s="16" t="s">
        <v>55</v>
      </c>
    </row>
    <row r="92" customFormat="false" ht="15" hidden="false" customHeight="false" outlineLevel="0" collapsed="false">
      <c r="A92" s="0" t="s">
        <v>143</v>
      </c>
      <c r="B92" s="14" t="n">
        <v>46160</v>
      </c>
      <c r="C92" s="16" t="s">
        <v>245</v>
      </c>
      <c r="D92" s="7" t="n">
        <v>-70.96</v>
      </c>
      <c r="E92" s="16" t="s">
        <v>161</v>
      </c>
      <c r="F92" s="7" t="n">
        <v>57993.55</v>
      </c>
      <c r="G92" s="16" t="s">
        <v>84</v>
      </c>
    </row>
    <row r="93" customFormat="false" ht="15" hidden="false" customHeight="false" outlineLevel="0" collapsed="false">
      <c r="A93" s="0" t="s">
        <v>143</v>
      </c>
      <c r="B93" s="14" t="n">
        <v>46160</v>
      </c>
      <c r="C93" s="16" t="s">
        <v>246</v>
      </c>
      <c r="D93" s="7" t="n">
        <v>-16.98</v>
      </c>
      <c r="E93" s="16" t="s">
        <v>161</v>
      </c>
      <c r="F93" s="7" t="n">
        <v>58064.51</v>
      </c>
      <c r="G93" s="16" t="s">
        <v>84</v>
      </c>
    </row>
    <row r="94" customFormat="false" ht="15" hidden="false" customHeight="false" outlineLevel="0" collapsed="false">
      <c r="A94" s="0" t="s">
        <v>143</v>
      </c>
      <c r="B94" s="14" t="n">
        <v>46160</v>
      </c>
      <c r="C94" s="16" t="s">
        <v>247</v>
      </c>
      <c r="D94" s="7" t="n">
        <v>-2000</v>
      </c>
      <c r="E94" s="16" t="s">
        <v>150</v>
      </c>
      <c r="F94" s="7" t="n">
        <v>58081.49</v>
      </c>
      <c r="G94" s="16" t="s">
        <v>54</v>
      </c>
    </row>
    <row r="95" customFormat="false" ht="15" hidden="false" customHeight="false" outlineLevel="0" collapsed="false">
      <c r="A95" s="0" t="s">
        <v>143</v>
      </c>
      <c r="B95" s="14" t="n">
        <v>46160</v>
      </c>
      <c r="C95" s="16" t="s">
        <v>248</v>
      </c>
      <c r="D95" s="7" t="n">
        <v>-1</v>
      </c>
      <c r="E95" s="16" t="s">
        <v>145</v>
      </c>
      <c r="F95" s="7" t="n">
        <v>60081.49</v>
      </c>
      <c r="G95" s="16" t="s">
        <v>60</v>
      </c>
    </row>
    <row r="96" customFormat="false" ht="15" hidden="false" customHeight="false" outlineLevel="0" collapsed="false">
      <c r="A96" s="0" t="s">
        <v>143</v>
      </c>
      <c r="B96" s="14" t="n">
        <v>46160</v>
      </c>
      <c r="C96" s="16" t="s">
        <v>249</v>
      </c>
      <c r="D96" s="7" t="n">
        <v>-100</v>
      </c>
      <c r="E96" s="16" t="s">
        <v>145</v>
      </c>
      <c r="F96" s="7" t="n">
        <v>60082.49</v>
      </c>
      <c r="G96" s="16" t="s">
        <v>60</v>
      </c>
    </row>
    <row r="97" customFormat="false" ht="15" hidden="false" customHeight="false" outlineLevel="0" collapsed="false">
      <c r="A97" s="0" t="s">
        <v>143</v>
      </c>
      <c r="B97" s="14" t="n">
        <v>46160</v>
      </c>
      <c r="C97" s="16" t="s">
        <v>250</v>
      </c>
      <c r="D97" s="7" t="n">
        <v>-5000</v>
      </c>
      <c r="E97" s="16" t="s">
        <v>148</v>
      </c>
      <c r="F97" s="7" t="n">
        <v>60182.49</v>
      </c>
      <c r="G97" s="16" t="s">
        <v>41</v>
      </c>
    </row>
    <row r="98" customFormat="false" ht="15" hidden="false" customHeight="false" outlineLevel="0" collapsed="false">
      <c r="A98" s="0" t="s">
        <v>143</v>
      </c>
      <c r="B98" s="14" t="n">
        <v>46160</v>
      </c>
      <c r="C98" s="16" t="s">
        <v>251</v>
      </c>
      <c r="D98" s="7" t="n">
        <v>-3000</v>
      </c>
      <c r="E98" s="16" t="s">
        <v>148</v>
      </c>
      <c r="F98" s="7" t="n">
        <v>65182.49</v>
      </c>
      <c r="G98" s="16" t="s">
        <v>68</v>
      </c>
    </row>
    <row r="99" customFormat="false" ht="15" hidden="false" customHeight="false" outlineLevel="0" collapsed="false">
      <c r="A99" s="0" t="s">
        <v>143</v>
      </c>
      <c r="B99" s="14" t="n">
        <v>46160</v>
      </c>
      <c r="C99" s="16" t="s">
        <v>252</v>
      </c>
      <c r="D99" s="7" t="n">
        <v>-104.01</v>
      </c>
      <c r="E99" s="16" t="s">
        <v>145</v>
      </c>
      <c r="F99" s="7" t="n">
        <v>68182.49</v>
      </c>
      <c r="G99" s="16" t="s">
        <v>82</v>
      </c>
    </row>
    <row r="100" customFormat="false" ht="15" hidden="false" customHeight="false" outlineLevel="0" collapsed="false">
      <c r="A100" s="0" t="s">
        <v>143</v>
      </c>
      <c r="B100" s="14" t="n">
        <v>46156</v>
      </c>
      <c r="C100" s="16" t="s">
        <v>253</v>
      </c>
      <c r="D100" s="7" t="n">
        <v>-100</v>
      </c>
      <c r="E100" s="16" t="s">
        <v>145</v>
      </c>
      <c r="F100" s="7" t="n">
        <v>68286.5</v>
      </c>
      <c r="G100" s="16" t="s">
        <v>60</v>
      </c>
    </row>
    <row r="101" customFormat="false" ht="15" hidden="false" customHeight="false" outlineLevel="0" collapsed="false">
      <c r="A101" s="0" t="s">
        <v>143</v>
      </c>
      <c r="B101" s="14" t="n">
        <v>46156</v>
      </c>
      <c r="C101" s="16" t="s">
        <v>254</v>
      </c>
      <c r="D101" s="7" t="n">
        <v>-3500</v>
      </c>
      <c r="E101" s="16" t="s">
        <v>150</v>
      </c>
      <c r="F101" s="7" t="n">
        <v>68386.5</v>
      </c>
      <c r="G101" s="16" t="s">
        <v>52</v>
      </c>
    </row>
    <row r="102" customFormat="false" ht="15" hidden="false" customHeight="false" outlineLevel="0" collapsed="false">
      <c r="A102" s="0" t="s">
        <v>143</v>
      </c>
      <c r="B102" s="14" t="n">
        <v>46155</v>
      </c>
      <c r="C102" s="16" t="s">
        <v>255</v>
      </c>
      <c r="D102" s="7" t="n">
        <v>-130</v>
      </c>
      <c r="E102" s="16" t="s">
        <v>145</v>
      </c>
      <c r="F102" s="7" t="n">
        <v>71886.5</v>
      </c>
      <c r="G102" s="16" t="s">
        <v>60</v>
      </c>
    </row>
    <row r="103" customFormat="false" ht="15" hidden="false" customHeight="false" outlineLevel="0" collapsed="false">
      <c r="A103" s="0" t="s">
        <v>143</v>
      </c>
      <c r="B103" s="14" t="n">
        <v>46155</v>
      </c>
      <c r="C103" s="16" t="s">
        <v>256</v>
      </c>
      <c r="D103" s="7" t="n">
        <v>-45.96</v>
      </c>
      <c r="E103" s="16" t="s">
        <v>161</v>
      </c>
      <c r="F103" s="7" t="n">
        <v>72016.5</v>
      </c>
      <c r="G103" s="16" t="s">
        <v>84</v>
      </c>
    </row>
    <row r="104" customFormat="false" ht="15" hidden="false" customHeight="false" outlineLevel="0" collapsed="false">
      <c r="A104" s="0" t="s">
        <v>143</v>
      </c>
      <c r="B104" s="14" t="n">
        <v>46155</v>
      </c>
      <c r="C104" s="16" t="s">
        <v>257</v>
      </c>
      <c r="D104" s="7" t="n">
        <v>-5000</v>
      </c>
      <c r="E104" s="16" t="s">
        <v>148</v>
      </c>
      <c r="F104" s="7" t="n">
        <v>72062.46</v>
      </c>
      <c r="G104" s="16" t="s">
        <v>68</v>
      </c>
    </row>
    <row r="105" customFormat="false" ht="15" hidden="false" customHeight="false" outlineLevel="0" collapsed="false">
      <c r="A105" s="0" t="s">
        <v>143</v>
      </c>
      <c r="B105" s="14" t="n">
        <v>46154</v>
      </c>
      <c r="C105" s="16" t="s">
        <v>258</v>
      </c>
      <c r="D105" s="7" t="n">
        <v>-60.73</v>
      </c>
      <c r="E105" s="16" t="s">
        <v>161</v>
      </c>
      <c r="F105" s="7" t="n">
        <v>77062.46</v>
      </c>
      <c r="G105" s="16" t="s">
        <v>84</v>
      </c>
    </row>
    <row r="106" customFormat="false" ht="15" hidden="false" customHeight="false" outlineLevel="0" collapsed="false">
      <c r="A106" s="0" t="s">
        <v>143</v>
      </c>
      <c r="B106" s="14" t="n">
        <v>46153</v>
      </c>
      <c r="C106" s="16" t="s">
        <v>259</v>
      </c>
      <c r="D106" s="7" t="n">
        <v>-3000</v>
      </c>
      <c r="E106" s="16" t="s">
        <v>148</v>
      </c>
      <c r="F106" s="7" t="n">
        <v>77123.19</v>
      </c>
      <c r="G106" s="16" t="s">
        <v>68</v>
      </c>
    </row>
    <row r="107" customFormat="false" ht="15" hidden="false" customHeight="false" outlineLevel="0" collapsed="false">
      <c r="A107" s="0" t="s">
        <v>143</v>
      </c>
      <c r="B107" s="14" t="n">
        <v>46153</v>
      </c>
      <c r="C107" s="16" t="s">
        <v>260</v>
      </c>
      <c r="D107" s="7" t="n">
        <v>-500</v>
      </c>
      <c r="E107" s="16" t="s">
        <v>145</v>
      </c>
      <c r="F107" s="7" t="n">
        <v>80123.19</v>
      </c>
      <c r="G107" s="16" t="s">
        <v>60</v>
      </c>
    </row>
    <row r="108" customFormat="false" ht="15" hidden="false" customHeight="false" outlineLevel="0" collapsed="false">
      <c r="A108" s="0" t="s">
        <v>143</v>
      </c>
      <c r="B108" s="14" t="n">
        <v>46153</v>
      </c>
      <c r="C108" s="16" t="s">
        <v>261</v>
      </c>
      <c r="D108" s="7" t="n">
        <v>-1750</v>
      </c>
      <c r="E108" s="16" t="s">
        <v>150</v>
      </c>
      <c r="F108" s="7" t="n">
        <v>80623.19</v>
      </c>
      <c r="G108" s="16" t="s">
        <v>54</v>
      </c>
    </row>
    <row r="109" customFormat="false" ht="15" hidden="false" customHeight="false" outlineLevel="0" collapsed="false">
      <c r="A109" s="0" t="s">
        <v>143</v>
      </c>
      <c r="B109" s="14" t="n">
        <v>46153</v>
      </c>
      <c r="C109" s="16" t="s">
        <v>262</v>
      </c>
      <c r="D109" s="7" t="n">
        <v>-313.95</v>
      </c>
      <c r="E109" s="16" t="s">
        <v>161</v>
      </c>
      <c r="F109" s="7" t="n">
        <v>82373.19</v>
      </c>
      <c r="G109" s="16" t="s">
        <v>55</v>
      </c>
    </row>
    <row r="110" customFormat="false" ht="15" hidden="false" customHeight="false" outlineLevel="0" collapsed="false">
      <c r="A110" s="0" t="s">
        <v>143</v>
      </c>
      <c r="B110" s="14" t="n">
        <v>46153</v>
      </c>
      <c r="C110" s="16" t="s">
        <v>263</v>
      </c>
      <c r="D110" s="7" t="n">
        <v>-28.98</v>
      </c>
      <c r="E110" s="16" t="s">
        <v>161</v>
      </c>
      <c r="F110" s="7" t="n">
        <v>82687.14</v>
      </c>
      <c r="G110" s="16" t="s">
        <v>84</v>
      </c>
    </row>
    <row r="111" customFormat="false" ht="15" hidden="false" customHeight="false" outlineLevel="0" collapsed="false">
      <c r="A111" s="0" t="s">
        <v>143</v>
      </c>
      <c r="B111" s="14" t="n">
        <v>46153</v>
      </c>
      <c r="C111" s="16" t="s">
        <v>264</v>
      </c>
      <c r="D111" s="7" t="n">
        <v>-500</v>
      </c>
      <c r="E111" s="16" t="s">
        <v>156</v>
      </c>
      <c r="F111" s="7" t="n">
        <v>82716.12</v>
      </c>
      <c r="G111" s="16" t="s">
        <v>63</v>
      </c>
    </row>
    <row r="112" customFormat="false" ht="15" hidden="false" customHeight="false" outlineLevel="0" collapsed="false">
      <c r="A112" s="0" t="s">
        <v>143</v>
      </c>
      <c r="B112" s="14" t="n">
        <v>46153</v>
      </c>
      <c r="C112" s="16" t="s">
        <v>265</v>
      </c>
      <c r="D112" s="7" t="n">
        <v>-13.79</v>
      </c>
      <c r="E112" s="16" t="s">
        <v>161</v>
      </c>
      <c r="F112" s="7" t="n">
        <v>83216.12</v>
      </c>
      <c r="G112" s="16" t="s">
        <v>84</v>
      </c>
    </row>
    <row r="113" customFormat="false" ht="15" hidden="false" customHeight="false" outlineLevel="0" collapsed="false">
      <c r="A113" s="0" t="s">
        <v>143</v>
      </c>
      <c r="B113" s="14" t="n">
        <v>46153</v>
      </c>
      <c r="C113" s="16" t="s">
        <v>266</v>
      </c>
      <c r="D113" s="7" t="n">
        <v>-166.74</v>
      </c>
      <c r="E113" s="16" t="s">
        <v>156</v>
      </c>
      <c r="F113" s="7" t="n">
        <v>83229.91</v>
      </c>
      <c r="G113" s="16" t="s">
        <v>91</v>
      </c>
    </row>
    <row r="114" customFormat="false" ht="15" hidden="false" customHeight="false" outlineLevel="0" collapsed="false">
      <c r="A114" s="0" t="s">
        <v>143</v>
      </c>
      <c r="B114" s="14" t="n">
        <v>46153</v>
      </c>
      <c r="C114" s="16" t="s">
        <v>267</v>
      </c>
      <c r="D114" s="7" t="n">
        <v>-33.97</v>
      </c>
      <c r="E114" s="16" t="s">
        <v>161</v>
      </c>
      <c r="F114" s="7" t="n">
        <v>83396.65</v>
      </c>
      <c r="G114" s="16" t="s">
        <v>84</v>
      </c>
    </row>
    <row r="115" customFormat="false" ht="15" hidden="false" customHeight="false" outlineLevel="0" collapsed="false">
      <c r="A115" s="0" t="s">
        <v>143</v>
      </c>
      <c r="B115" s="14" t="n">
        <v>46150</v>
      </c>
      <c r="C115" s="16" t="s">
        <v>268</v>
      </c>
      <c r="D115" s="7" t="n">
        <v>-5000</v>
      </c>
      <c r="E115" s="16" t="s">
        <v>148</v>
      </c>
      <c r="F115" s="7" t="n">
        <v>83430.62</v>
      </c>
      <c r="G115" s="16" t="s">
        <v>68</v>
      </c>
    </row>
    <row r="116" customFormat="false" ht="15" hidden="false" customHeight="false" outlineLevel="0" collapsed="false">
      <c r="A116" s="0" t="s">
        <v>143</v>
      </c>
      <c r="B116" s="14" t="n">
        <v>46150</v>
      </c>
      <c r="C116" s="16" t="s">
        <v>269</v>
      </c>
      <c r="D116" s="7" t="n">
        <v>-11.99</v>
      </c>
      <c r="E116" s="16" t="s">
        <v>161</v>
      </c>
      <c r="F116" s="7" t="n">
        <v>88430.62</v>
      </c>
      <c r="G116" s="16" t="s">
        <v>84</v>
      </c>
    </row>
    <row r="117" customFormat="false" ht="15" hidden="false" customHeight="false" outlineLevel="0" collapsed="false">
      <c r="A117" s="0" t="s">
        <v>143</v>
      </c>
      <c r="B117" s="14" t="n">
        <v>46149</v>
      </c>
      <c r="C117" s="16" t="s">
        <v>177</v>
      </c>
      <c r="D117" s="7" t="n">
        <v>-5</v>
      </c>
      <c r="E117" s="16" t="s">
        <v>178</v>
      </c>
      <c r="F117" s="7" t="n">
        <v>88442.61</v>
      </c>
      <c r="G117" s="16" t="s">
        <v>51</v>
      </c>
    </row>
    <row r="118" customFormat="false" ht="15" hidden="false" customHeight="false" outlineLevel="0" collapsed="false">
      <c r="A118" s="0" t="s">
        <v>143</v>
      </c>
      <c r="B118" s="14" t="n">
        <v>46149</v>
      </c>
      <c r="C118" s="16" t="s">
        <v>270</v>
      </c>
      <c r="D118" s="7" t="n">
        <v>-18</v>
      </c>
      <c r="E118" s="16" t="s">
        <v>156</v>
      </c>
      <c r="F118" s="7" t="n">
        <v>88447.61</v>
      </c>
      <c r="G118" s="16" t="s">
        <v>85</v>
      </c>
    </row>
    <row r="119" customFormat="false" ht="15" hidden="false" customHeight="false" outlineLevel="0" collapsed="false">
      <c r="A119" s="0" t="s">
        <v>143</v>
      </c>
      <c r="B119" s="14" t="n">
        <v>46149</v>
      </c>
      <c r="C119" s="16" t="s">
        <v>271</v>
      </c>
      <c r="D119" s="7" t="n">
        <v>-750</v>
      </c>
      <c r="E119" s="16" t="s">
        <v>180</v>
      </c>
      <c r="F119" s="7" t="n">
        <v>88465.61</v>
      </c>
      <c r="G119" s="16" t="s">
        <v>51</v>
      </c>
    </row>
    <row r="120" customFormat="false" ht="15" hidden="false" customHeight="false" outlineLevel="0" collapsed="false">
      <c r="A120" s="0" t="s">
        <v>143</v>
      </c>
      <c r="B120" s="14" t="n">
        <v>46148</v>
      </c>
      <c r="C120" s="16" t="s">
        <v>272</v>
      </c>
      <c r="D120" s="7" t="n">
        <v>-25</v>
      </c>
      <c r="E120" s="16" t="s">
        <v>178</v>
      </c>
      <c r="F120" s="7" t="n">
        <v>89215.61</v>
      </c>
      <c r="G120" s="16" t="s">
        <v>88</v>
      </c>
    </row>
    <row r="121" customFormat="false" ht="15" hidden="false" customHeight="false" outlineLevel="0" collapsed="false">
      <c r="A121" s="0" t="s">
        <v>143</v>
      </c>
      <c r="B121" s="14" t="n">
        <v>46148</v>
      </c>
      <c r="C121" s="16" t="s">
        <v>273</v>
      </c>
      <c r="D121" s="7" t="n">
        <v>-7956.18</v>
      </c>
      <c r="E121" s="16" t="s">
        <v>148</v>
      </c>
      <c r="F121" s="7" t="n">
        <v>89240.61</v>
      </c>
      <c r="G121" s="16" t="s">
        <v>39</v>
      </c>
    </row>
    <row r="122" customFormat="false" ht="15" hidden="false" customHeight="false" outlineLevel="0" collapsed="false">
      <c r="A122" s="0" t="s">
        <v>143</v>
      </c>
      <c r="B122" s="14" t="n">
        <v>46148</v>
      </c>
      <c r="C122" s="16" t="s">
        <v>274</v>
      </c>
      <c r="D122" s="7" t="n">
        <v>-16875</v>
      </c>
      <c r="E122" s="16" t="s">
        <v>180</v>
      </c>
      <c r="F122" s="7" t="n">
        <v>97196.79</v>
      </c>
      <c r="G122" s="16" t="s">
        <v>26</v>
      </c>
    </row>
    <row r="123" customFormat="false" ht="15" hidden="false" customHeight="false" outlineLevel="0" collapsed="false">
      <c r="A123" s="0" t="s">
        <v>143</v>
      </c>
      <c r="B123" s="14" t="n">
        <v>46148</v>
      </c>
      <c r="C123" s="16" t="s">
        <v>275</v>
      </c>
      <c r="D123" s="7" t="n">
        <v>-19.97</v>
      </c>
      <c r="E123" s="16" t="s">
        <v>161</v>
      </c>
      <c r="F123" s="7" t="n">
        <v>114071.79</v>
      </c>
      <c r="G123" s="16" t="s">
        <v>84</v>
      </c>
    </row>
    <row r="124" customFormat="false" ht="15" hidden="false" customHeight="false" outlineLevel="0" collapsed="false">
      <c r="A124" s="0" t="s">
        <v>143</v>
      </c>
      <c r="B124" s="14" t="n">
        <v>46147</v>
      </c>
      <c r="C124" s="16" t="s">
        <v>276</v>
      </c>
      <c r="D124" s="7" t="n">
        <v>-15</v>
      </c>
      <c r="E124" s="16" t="s">
        <v>178</v>
      </c>
      <c r="F124" s="7" t="n">
        <v>114091.76</v>
      </c>
      <c r="G124" s="16" t="s">
        <v>88</v>
      </c>
    </row>
    <row r="125" customFormat="false" ht="15" hidden="false" customHeight="false" outlineLevel="0" collapsed="false">
      <c r="A125" s="0" t="s">
        <v>143</v>
      </c>
      <c r="B125" s="14" t="n">
        <v>46147</v>
      </c>
      <c r="C125" s="16" t="s">
        <v>277</v>
      </c>
      <c r="D125" s="7" t="n">
        <v>-1500</v>
      </c>
      <c r="E125" s="16" t="s">
        <v>150</v>
      </c>
      <c r="F125" s="7" t="n">
        <v>114106.76</v>
      </c>
      <c r="G125" s="16" t="s">
        <v>27</v>
      </c>
    </row>
    <row r="126" customFormat="false" ht="15" hidden="false" customHeight="false" outlineLevel="0" collapsed="false">
      <c r="A126" s="0" t="s">
        <v>143</v>
      </c>
      <c r="B126" s="14" t="n">
        <v>46147</v>
      </c>
      <c r="C126" s="16" t="s">
        <v>278</v>
      </c>
      <c r="D126" s="7" t="n">
        <v>-1293.42</v>
      </c>
      <c r="E126" s="16" t="s">
        <v>145</v>
      </c>
      <c r="F126" s="7" t="n">
        <v>115606.76</v>
      </c>
      <c r="G126" s="16" t="s">
        <v>140</v>
      </c>
    </row>
    <row r="127" customFormat="false" ht="15" hidden="false" customHeight="false" outlineLevel="0" collapsed="false">
      <c r="A127" s="0" t="s">
        <v>182</v>
      </c>
      <c r="B127" s="14" t="n">
        <v>46147</v>
      </c>
      <c r="C127" s="16" t="s">
        <v>279</v>
      </c>
      <c r="D127" s="7" t="n">
        <v>114000</v>
      </c>
      <c r="E127" s="16" t="s">
        <v>280</v>
      </c>
      <c r="F127" s="7" t="n">
        <v>116900.18</v>
      </c>
      <c r="G127" s="16" t="s">
        <v>23</v>
      </c>
    </row>
    <row r="128" customFormat="false" ht="15" hidden="false" customHeight="false" outlineLevel="0" collapsed="false">
      <c r="A128" s="0" t="s">
        <v>143</v>
      </c>
      <c r="B128" s="14" t="n">
        <v>46146</v>
      </c>
      <c r="C128" s="16" t="s">
        <v>281</v>
      </c>
      <c r="D128" s="7" t="n">
        <v>-325</v>
      </c>
      <c r="E128" s="16" t="s">
        <v>282</v>
      </c>
      <c r="F128" s="7" t="n">
        <v>2900.18</v>
      </c>
      <c r="G128" s="16" t="s">
        <v>65</v>
      </c>
    </row>
    <row r="129" customFormat="false" ht="15" hidden="false" customHeight="false" outlineLevel="0" collapsed="false">
      <c r="A129" s="0" t="s">
        <v>143</v>
      </c>
      <c r="B129" s="14" t="n">
        <v>46146</v>
      </c>
      <c r="C129" s="16" t="s">
        <v>283</v>
      </c>
      <c r="D129" s="7" t="n">
        <v>-4190.21</v>
      </c>
      <c r="E129" s="16" t="s">
        <v>145</v>
      </c>
      <c r="F129" s="7" t="n">
        <v>3225.18</v>
      </c>
      <c r="G129" s="16" t="s">
        <v>20</v>
      </c>
    </row>
    <row r="130" customFormat="false" ht="15" hidden="false" customHeight="false" outlineLevel="0" collapsed="false">
      <c r="A130" s="0" t="s">
        <v>143</v>
      </c>
      <c r="B130" s="14" t="n">
        <v>46146</v>
      </c>
      <c r="C130" s="16" t="s">
        <v>284</v>
      </c>
      <c r="D130" s="7" t="n">
        <v>-4366.2</v>
      </c>
      <c r="E130" s="16" t="s">
        <v>145</v>
      </c>
      <c r="F130" s="7" t="n">
        <v>7415.39</v>
      </c>
      <c r="G130" s="16" t="s">
        <v>19</v>
      </c>
    </row>
    <row r="131" customFormat="false" ht="15" hidden="false" customHeight="false" outlineLevel="0" collapsed="false">
      <c r="A131" s="0" t="s">
        <v>143</v>
      </c>
      <c r="B131" s="14" t="n">
        <v>46146</v>
      </c>
      <c r="C131" s="16" t="s">
        <v>285</v>
      </c>
      <c r="D131" s="7" t="n">
        <v>-1750</v>
      </c>
      <c r="E131" s="16" t="s">
        <v>150</v>
      </c>
      <c r="F131" s="7" t="n">
        <v>11781.59</v>
      </c>
      <c r="G131" s="16" t="s">
        <v>54</v>
      </c>
    </row>
    <row r="132" customFormat="false" ht="15" hidden="false" customHeight="false" outlineLevel="0" collapsed="false">
      <c r="A132" s="0" t="s">
        <v>143</v>
      </c>
      <c r="B132" s="14" t="n">
        <v>46146</v>
      </c>
      <c r="C132" s="16" t="s">
        <v>286</v>
      </c>
      <c r="D132" s="7" t="n">
        <v>-1.33</v>
      </c>
      <c r="E132" s="16" t="s">
        <v>161</v>
      </c>
      <c r="F132" s="7" t="n">
        <v>13531.59</v>
      </c>
      <c r="G132" s="16" t="s">
        <v>99</v>
      </c>
    </row>
    <row r="133" customFormat="false" ht="15" hidden="false" customHeight="false" outlineLevel="0" collapsed="false">
      <c r="A133" s="0" t="s">
        <v>143</v>
      </c>
      <c r="B133" s="14" t="n">
        <v>46146</v>
      </c>
      <c r="C133" s="16" t="s">
        <v>287</v>
      </c>
      <c r="D133" s="7" t="n">
        <v>-1.33</v>
      </c>
      <c r="E133" s="16" t="s">
        <v>161</v>
      </c>
      <c r="F133" s="7" t="n">
        <v>13532.92</v>
      </c>
      <c r="G133" s="16" t="s">
        <v>99</v>
      </c>
    </row>
    <row r="134" customFormat="false" ht="15" hidden="false" customHeight="false" outlineLevel="0" collapsed="false">
      <c r="A134" s="0" t="s">
        <v>143</v>
      </c>
      <c r="B134" s="14" t="n">
        <v>46146</v>
      </c>
      <c r="C134" s="16" t="s">
        <v>288</v>
      </c>
      <c r="D134" s="7" t="n">
        <v>-1.33</v>
      </c>
      <c r="E134" s="16" t="s">
        <v>161</v>
      </c>
      <c r="F134" s="7" t="n">
        <v>13534.25</v>
      </c>
      <c r="G134" s="16" t="s">
        <v>99</v>
      </c>
    </row>
    <row r="135" customFormat="false" ht="15" hidden="false" customHeight="false" outlineLevel="0" collapsed="false">
      <c r="A135" s="0" t="s">
        <v>143</v>
      </c>
      <c r="B135" s="14" t="n">
        <v>46146</v>
      </c>
      <c r="C135" s="16" t="s">
        <v>289</v>
      </c>
      <c r="D135" s="7" t="n">
        <v>-1.33</v>
      </c>
      <c r="E135" s="16" t="s">
        <v>161</v>
      </c>
      <c r="F135" s="7" t="n">
        <v>13535.58</v>
      </c>
      <c r="G135" s="16" t="s">
        <v>99</v>
      </c>
    </row>
    <row r="136" customFormat="false" ht="15" hidden="false" customHeight="false" outlineLevel="0" collapsed="false">
      <c r="A136" s="0" t="s">
        <v>143</v>
      </c>
      <c r="B136" s="14" t="n">
        <v>46146</v>
      </c>
      <c r="C136" s="16" t="s">
        <v>290</v>
      </c>
      <c r="D136" s="7" t="n">
        <v>-262.5</v>
      </c>
      <c r="E136" s="16" t="s">
        <v>161</v>
      </c>
      <c r="F136" s="7" t="n">
        <v>13536.91</v>
      </c>
      <c r="G136" s="16" t="s">
        <v>55</v>
      </c>
    </row>
    <row r="137" customFormat="false" ht="15" hidden="false" customHeight="false" outlineLevel="0" collapsed="false">
      <c r="A137" s="0" t="s">
        <v>143</v>
      </c>
      <c r="B137" s="14" t="n">
        <v>46146</v>
      </c>
      <c r="C137" s="16" t="s">
        <v>291</v>
      </c>
      <c r="D137" s="7" t="n">
        <v>-300</v>
      </c>
      <c r="E137" s="16" t="s">
        <v>156</v>
      </c>
      <c r="F137" s="7" t="n">
        <v>13799.41</v>
      </c>
      <c r="G137" s="16" t="s">
        <v>63</v>
      </c>
    </row>
    <row r="138" customFormat="false" ht="15" hidden="false" customHeight="false" outlineLevel="0" collapsed="false">
      <c r="A138" s="0" t="s">
        <v>143</v>
      </c>
      <c r="B138" s="14" t="n">
        <v>46146</v>
      </c>
      <c r="C138" s="16" t="s">
        <v>292</v>
      </c>
      <c r="D138" s="7" t="n">
        <v>-300</v>
      </c>
      <c r="E138" s="16" t="s">
        <v>148</v>
      </c>
      <c r="F138" s="7" t="n">
        <v>14099.41</v>
      </c>
      <c r="G138" s="16" t="s">
        <v>47</v>
      </c>
    </row>
    <row r="139" customFormat="false" ht="15" hidden="false" customHeight="false" outlineLevel="0" collapsed="false">
      <c r="A139" s="0" t="s">
        <v>143</v>
      </c>
      <c r="B139" s="14" t="n">
        <v>46146</v>
      </c>
      <c r="C139" s="16" t="s">
        <v>293</v>
      </c>
      <c r="D139" s="7" t="n">
        <v>-500</v>
      </c>
      <c r="E139" s="16" t="s">
        <v>148</v>
      </c>
      <c r="F139" s="7" t="n">
        <v>14399.41</v>
      </c>
      <c r="G139" s="16" t="s">
        <v>142</v>
      </c>
    </row>
    <row r="140" customFormat="false" ht="15" hidden="false" customHeight="false" outlineLevel="0" collapsed="false">
      <c r="A140" s="0" t="s">
        <v>143</v>
      </c>
      <c r="B140" s="14" t="n">
        <v>46146</v>
      </c>
      <c r="C140" s="16" t="s">
        <v>294</v>
      </c>
      <c r="D140" s="7" t="n">
        <v>-3000</v>
      </c>
      <c r="E140" s="16" t="s">
        <v>148</v>
      </c>
      <c r="F140" s="7" t="n">
        <v>14899.41</v>
      </c>
      <c r="G140" s="16" t="s">
        <v>68</v>
      </c>
    </row>
    <row r="141" customFormat="false" ht="15" hidden="false" customHeight="false" outlineLevel="0" collapsed="false">
      <c r="A141" s="0" t="s">
        <v>143</v>
      </c>
      <c r="B141" s="14" t="n">
        <v>46146</v>
      </c>
      <c r="C141" s="16" t="s">
        <v>295</v>
      </c>
      <c r="D141" s="7" t="n">
        <v>-10.78</v>
      </c>
      <c r="E141" s="16" t="s">
        <v>161</v>
      </c>
      <c r="F141" s="7" t="n">
        <v>17899.41</v>
      </c>
      <c r="G141" s="16" t="s">
        <v>83</v>
      </c>
    </row>
    <row r="142" customFormat="false" ht="15" hidden="false" customHeight="false" outlineLevel="0" collapsed="false">
      <c r="A142" s="0" t="s">
        <v>143</v>
      </c>
      <c r="B142" s="14" t="n">
        <v>46146</v>
      </c>
      <c r="C142" s="16" t="s">
        <v>296</v>
      </c>
      <c r="D142" s="7" t="n">
        <v>-5.99</v>
      </c>
      <c r="E142" s="16" t="s">
        <v>161</v>
      </c>
      <c r="F142" s="7" t="n">
        <v>17910.19</v>
      </c>
      <c r="G142" s="16" t="s">
        <v>84</v>
      </c>
    </row>
    <row r="143" customFormat="false" ht="15" hidden="false" customHeight="false" outlineLevel="0" collapsed="false">
      <c r="A143" s="0" t="s">
        <v>143</v>
      </c>
      <c r="B143" s="14" t="n">
        <v>46146</v>
      </c>
      <c r="C143" s="16" t="s">
        <v>297</v>
      </c>
      <c r="D143" s="7" t="n">
        <v>-291</v>
      </c>
      <c r="E143" s="16" t="s">
        <v>145</v>
      </c>
      <c r="F143" s="7" t="n">
        <v>17916.18</v>
      </c>
    </row>
    <row r="144" customFormat="false" ht="15" hidden="false" customHeight="false" outlineLevel="0" collapsed="false">
      <c r="A144" s="0" t="s">
        <v>143</v>
      </c>
      <c r="B144" s="14" t="n">
        <v>46146</v>
      </c>
      <c r="C144" s="16" t="s">
        <v>298</v>
      </c>
      <c r="D144" s="7" t="n">
        <v>-33.97</v>
      </c>
      <c r="E144" s="16" t="s">
        <v>161</v>
      </c>
      <c r="F144" s="7" t="n">
        <v>18207.18</v>
      </c>
      <c r="G144" s="16" t="s">
        <v>84</v>
      </c>
    </row>
    <row r="145" customFormat="false" ht="15" hidden="false" customHeight="false" outlineLevel="0" collapsed="false">
      <c r="A145" s="0" t="s">
        <v>143</v>
      </c>
      <c r="B145" s="14" t="n">
        <v>46143</v>
      </c>
      <c r="C145" s="16" t="s">
        <v>299</v>
      </c>
      <c r="D145" s="7" t="n">
        <v>-17.5</v>
      </c>
      <c r="E145" s="16" t="s">
        <v>178</v>
      </c>
      <c r="F145" s="7" t="n">
        <v>18241.15</v>
      </c>
      <c r="G145" s="16" t="s">
        <v>80</v>
      </c>
    </row>
    <row r="146" customFormat="false" ht="15" hidden="false" customHeight="false" outlineLevel="0" collapsed="false">
      <c r="A146" s="0" t="s">
        <v>143</v>
      </c>
      <c r="B146" s="14" t="n">
        <v>46143</v>
      </c>
      <c r="C146" s="16" t="s">
        <v>300</v>
      </c>
      <c r="D146" s="7" t="n">
        <v>-150</v>
      </c>
      <c r="E146" s="16" t="s">
        <v>145</v>
      </c>
      <c r="F146" s="7" t="n">
        <v>18258.65</v>
      </c>
      <c r="G146" s="16" t="s">
        <v>60</v>
      </c>
    </row>
    <row r="147" customFormat="false" ht="15" hidden="false" customHeight="false" outlineLevel="0" collapsed="false">
      <c r="A147" s="0" t="s">
        <v>143</v>
      </c>
      <c r="B147" s="14" t="n">
        <v>46143</v>
      </c>
      <c r="C147" s="16" t="s">
        <v>301</v>
      </c>
      <c r="D147" s="7" t="n">
        <v>-617.48</v>
      </c>
      <c r="E147" s="16" t="s">
        <v>145</v>
      </c>
      <c r="F147" s="7" t="n">
        <v>18408.65</v>
      </c>
      <c r="G147" s="16" t="s">
        <v>137</v>
      </c>
    </row>
    <row r="148" customFormat="false" ht="15" hidden="false" customHeight="false" outlineLevel="0" collapsed="false">
      <c r="A148" s="0" t="s">
        <v>143</v>
      </c>
      <c r="B148" s="14" t="n">
        <v>46143</v>
      </c>
      <c r="C148" s="16" t="s">
        <v>302</v>
      </c>
      <c r="D148" s="7" t="n">
        <v>-974.85</v>
      </c>
      <c r="E148" s="16" t="s">
        <v>145</v>
      </c>
      <c r="F148" s="7" t="n">
        <v>19026.13</v>
      </c>
      <c r="G148" s="16" t="s">
        <v>140</v>
      </c>
    </row>
    <row r="149" customFormat="false" ht="15" hidden="false" customHeight="false" outlineLevel="0" collapsed="false">
      <c r="A149" s="0" t="s">
        <v>143</v>
      </c>
      <c r="B149" s="14" t="n">
        <v>46143</v>
      </c>
      <c r="C149" s="16" t="s">
        <v>303</v>
      </c>
      <c r="D149" s="7" t="n">
        <v>-1063.05</v>
      </c>
      <c r="E149" s="16" t="s">
        <v>145</v>
      </c>
      <c r="F149" s="7" t="n">
        <v>20000.98</v>
      </c>
      <c r="G149" s="16" t="s">
        <v>135</v>
      </c>
    </row>
    <row r="150" customFormat="false" ht="15" hidden="false" customHeight="false" outlineLevel="0" collapsed="false">
      <c r="A150" s="0" t="s">
        <v>143</v>
      </c>
      <c r="B150" s="14" t="n">
        <v>46143</v>
      </c>
      <c r="C150" s="16" t="s">
        <v>304</v>
      </c>
      <c r="D150" s="7" t="n">
        <v>-500</v>
      </c>
      <c r="E150" s="16" t="s">
        <v>156</v>
      </c>
      <c r="F150" s="7" t="n">
        <v>21064.03</v>
      </c>
      <c r="G150" s="16" t="s">
        <v>64</v>
      </c>
    </row>
    <row r="151" customFormat="false" ht="15" hidden="false" customHeight="false" outlineLevel="0" collapsed="false">
      <c r="A151" s="0" t="s">
        <v>182</v>
      </c>
      <c r="B151" s="14" t="n">
        <v>46143</v>
      </c>
      <c r="C151" s="16" t="s">
        <v>305</v>
      </c>
      <c r="D151" s="7" t="n">
        <v>8556.41</v>
      </c>
      <c r="E151" s="16" t="s">
        <v>184</v>
      </c>
      <c r="F151" s="7" t="n">
        <v>21564.03</v>
      </c>
      <c r="G151" s="16" t="s">
        <v>18</v>
      </c>
    </row>
    <row r="152" customFormat="false" ht="15" hidden="false" customHeight="false" outlineLevel="0" collapsed="false">
      <c r="A152" s="0" t="s">
        <v>143</v>
      </c>
      <c r="B152" s="14" t="n">
        <v>46142</v>
      </c>
      <c r="C152" s="16" t="s">
        <v>306</v>
      </c>
      <c r="D152" s="7" t="n">
        <v>-3500</v>
      </c>
      <c r="E152" s="16" t="s">
        <v>150</v>
      </c>
      <c r="F152" s="7" t="n">
        <v>13007.62</v>
      </c>
      <c r="G152" s="16" t="s">
        <v>52</v>
      </c>
    </row>
    <row r="153" customFormat="false" ht="15" hidden="false" customHeight="false" outlineLevel="0" collapsed="false">
      <c r="A153" s="0" t="s">
        <v>143</v>
      </c>
      <c r="B153" s="14" t="n">
        <v>46142</v>
      </c>
      <c r="C153" s="16" t="s">
        <v>307</v>
      </c>
      <c r="D153" s="7" t="n">
        <v>-2524</v>
      </c>
      <c r="E153" s="16" t="s">
        <v>145</v>
      </c>
      <c r="F153" s="7" t="n">
        <v>16507.62</v>
      </c>
      <c r="G153" s="16" t="s">
        <v>74</v>
      </c>
    </row>
    <row r="154" customFormat="false" ht="15" hidden="false" customHeight="false" outlineLevel="0" collapsed="false">
      <c r="A154" s="0" t="s">
        <v>143</v>
      </c>
      <c r="B154" s="14" t="n">
        <v>46141</v>
      </c>
      <c r="C154" s="16" t="s">
        <v>308</v>
      </c>
      <c r="D154" s="7" t="n">
        <v>-1240.27</v>
      </c>
      <c r="E154" s="16" t="s">
        <v>145</v>
      </c>
      <c r="F154" s="7" t="s">
        <v>146</v>
      </c>
      <c r="G154" s="16" t="s">
        <v>137</v>
      </c>
    </row>
    <row r="155" customFormat="false" ht="15" hidden="false" customHeight="false" outlineLevel="0" collapsed="false">
      <c r="A155" s="0" t="s">
        <v>143</v>
      </c>
      <c r="B155" s="14" t="n">
        <v>46140</v>
      </c>
      <c r="C155" s="16" t="s">
        <v>309</v>
      </c>
      <c r="D155" s="7" t="n">
        <v>-22.98</v>
      </c>
      <c r="E155" s="16" t="s">
        <v>161</v>
      </c>
      <c r="F155" s="7" t="n">
        <v>6071.89</v>
      </c>
      <c r="G155" s="16" t="s">
        <v>84</v>
      </c>
    </row>
    <row r="156" customFormat="false" ht="15" hidden="false" customHeight="false" outlineLevel="0" collapsed="false">
      <c r="A156" s="0" t="s">
        <v>143</v>
      </c>
      <c r="B156" s="14" t="n">
        <v>46140</v>
      </c>
      <c r="C156" s="16" t="s">
        <v>310</v>
      </c>
      <c r="D156" s="7" t="n">
        <v>-12.5</v>
      </c>
      <c r="E156" s="16" t="s">
        <v>145</v>
      </c>
      <c r="F156" s="7" t="n">
        <v>6094.87</v>
      </c>
      <c r="G156" s="16" t="s">
        <v>133</v>
      </c>
    </row>
    <row r="157" customFormat="false" ht="15" hidden="false" customHeight="false" outlineLevel="0" collapsed="false">
      <c r="A157" s="0" t="s">
        <v>143</v>
      </c>
      <c r="B157" s="14" t="n">
        <v>46140</v>
      </c>
      <c r="C157" s="16" t="s">
        <v>311</v>
      </c>
      <c r="D157" s="7" t="n">
        <v>-22.92</v>
      </c>
      <c r="E157" s="16" t="s">
        <v>145</v>
      </c>
      <c r="F157" s="7" t="n">
        <v>6107.37</v>
      </c>
      <c r="G157" s="16" t="s">
        <v>133</v>
      </c>
    </row>
    <row r="158" customFormat="false" ht="15" hidden="false" customHeight="false" outlineLevel="0" collapsed="false">
      <c r="A158" s="0" t="s">
        <v>143</v>
      </c>
      <c r="B158" s="14" t="n">
        <v>46140</v>
      </c>
      <c r="C158" s="16" t="s">
        <v>312</v>
      </c>
      <c r="D158" s="7" t="n">
        <v>-2000</v>
      </c>
      <c r="E158" s="16" t="s">
        <v>148</v>
      </c>
      <c r="F158" s="7" t="n">
        <v>6130.29</v>
      </c>
      <c r="G158" s="16" t="s">
        <v>68</v>
      </c>
    </row>
    <row r="159" customFormat="false" ht="15" hidden="false" customHeight="false" outlineLevel="0" collapsed="false">
      <c r="A159" s="0" t="s">
        <v>143</v>
      </c>
      <c r="B159" s="14" t="n">
        <v>46140</v>
      </c>
      <c r="C159" s="16" t="s">
        <v>313</v>
      </c>
      <c r="D159" s="7" t="n">
        <v>-252.21</v>
      </c>
      <c r="E159" s="16" t="s">
        <v>161</v>
      </c>
      <c r="F159" s="7" t="n">
        <v>8130.29</v>
      </c>
      <c r="G159" s="16" t="s">
        <v>55</v>
      </c>
    </row>
    <row r="160" customFormat="false" ht="15" hidden="false" customHeight="false" outlineLevel="0" collapsed="false">
      <c r="A160" s="0" t="s">
        <v>143</v>
      </c>
      <c r="B160" s="14" t="n">
        <v>46139</v>
      </c>
      <c r="C160" s="16" t="s">
        <v>314</v>
      </c>
      <c r="D160" s="7" t="n">
        <v>-100</v>
      </c>
      <c r="E160" s="16" t="s">
        <v>148</v>
      </c>
      <c r="F160" s="7" t="n">
        <v>8382.5</v>
      </c>
      <c r="G160" s="16" t="s">
        <v>141</v>
      </c>
    </row>
    <row r="161" customFormat="false" ht="15" hidden="false" customHeight="false" outlineLevel="0" collapsed="false">
      <c r="A161" s="0" t="s">
        <v>143</v>
      </c>
      <c r="B161" s="14" t="n">
        <v>46139</v>
      </c>
      <c r="C161" s="16" t="s">
        <v>315</v>
      </c>
      <c r="D161" s="7" t="n">
        <v>-121.21</v>
      </c>
      <c r="E161" s="16" t="s">
        <v>145</v>
      </c>
      <c r="F161" s="7" t="n">
        <v>8482.5</v>
      </c>
      <c r="G161" s="16" t="s">
        <v>86</v>
      </c>
    </row>
    <row r="162" customFormat="false" ht="15" hidden="false" customHeight="false" outlineLevel="0" collapsed="false">
      <c r="A162" s="0" t="s">
        <v>143</v>
      </c>
      <c r="B162" s="14" t="n">
        <v>46139</v>
      </c>
      <c r="C162" s="16" t="s">
        <v>316</v>
      </c>
      <c r="D162" s="7" t="n">
        <v>-17.98</v>
      </c>
      <c r="E162" s="16" t="s">
        <v>161</v>
      </c>
      <c r="F162" s="7" t="n">
        <v>8603.71</v>
      </c>
      <c r="G162" s="16" t="s">
        <v>84</v>
      </c>
    </row>
    <row r="163" customFormat="false" ht="15" hidden="false" customHeight="false" outlineLevel="0" collapsed="false">
      <c r="A163" s="0" t="s">
        <v>143</v>
      </c>
      <c r="B163" s="14" t="n">
        <v>46139</v>
      </c>
      <c r="C163" s="16" t="s">
        <v>317</v>
      </c>
      <c r="D163" s="7" t="n">
        <v>-1750</v>
      </c>
      <c r="E163" s="16" t="s">
        <v>150</v>
      </c>
      <c r="F163" s="7" t="n">
        <v>8621.69</v>
      </c>
      <c r="G163" s="16" t="s">
        <v>54</v>
      </c>
    </row>
    <row r="164" customFormat="false" ht="15" hidden="false" customHeight="false" outlineLevel="0" collapsed="false">
      <c r="A164" s="0" t="s">
        <v>143</v>
      </c>
      <c r="B164" s="14" t="n">
        <v>46139</v>
      </c>
      <c r="C164" s="16" t="s">
        <v>318</v>
      </c>
      <c r="D164" s="7" t="n">
        <v>-100</v>
      </c>
      <c r="E164" s="16" t="s">
        <v>145</v>
      </c>
      <c r="F164" s="7" t="n">
        <v>10371.69</v>
      </c>
      <c r="G164" s="16" t="s">
        <v>60</v>
      </c>
    </row>
    <row r="165" customFormat="false" ht="15" hidden="false" customHeight="false" outlineLevel="0" collapsed="false">
      <c r="A165" s="0" t="s">
        <v>143</v>
      </c>
      <c r="B165" s="14" t="n">
        <v>46139</v>
      </c>
      <c r="C165" s="16" t="s">
        <v>319</v>
      </c>
      <c r="D165" s="7" t="n">
        <v>-20.51</v>
      </c>
      <c r="E165" s="16" t="s">
        <v>161</v>
      </c>
      <c r="F165" s="7" t="n">
        <v>10471.69</v>
      </c>
      <c r="G165" s="16" t="s">
        <v>102</v>
      </c>
    </row>
    <row r="166" customFormat="false" ht="15" hidden="false" customHeight="false" outlineLevel="0" collapsed="false">
      <c r="A166" s="0" t="s">
        <v>143</v>
      </c>
      <c r="B166" s="14" t="n">
        <v>46139</v>
      </c>
      <c r="C166" s="16" t="s">
        <v>320</v>
      </c>
      <c r="D166" s="7" t="n">
        <v>-16.98</v>
      </c>
      <c r="E166" s="16" t="s">
        <v>161</v>
      </c>
      <c r="F166" s="7" t="n">
        <v>10492.2</v>
      </c>
      <c r="G166" s="16" t="s">
        <v>84</v>
      </c>
    </row>
    <row r="167" customFormat="false" ht="15" hidden="false" customHeight="false" outlineLevel="0" collapsed="false">
      <c r="A167" s="0" t="s">
        <v>143</v>
      </c>
      <c r="B167" s="14" t="n">
        <v>46139</v>
      </c>
      <c r="C167" s="16" t="s">
        <v>321</v>
      </c>
      <c r="D167" s="7" t="n">
        <v>-479.64</v>
      </c>
      <c r="E167" s="16" t="s">
        <v>161</v>
      </c>
      <c r="F167" s="7" t="n">
        <v>10509.18</v>
      </c>
      <c r="G167" s="16" t="s">
        <v>84</v>
      </c>
    </row>
    <row r="168" customFormat="false" ht="15" hidden="false" customHeight="false" outlineLevel="0" collapsed="false">
      <c r="A168" s="0" t="s">
        <v>143</v>
      </c>
      <c r="B168" s="14" t="n">
        <v>46139</v>
      </c>
      <c r="C168" s="16" t="s">
        <v>322</v>
      </c>
      <c r="D168" s="7" t="n">
        <v>-68.36</v>
      </c>
      <c r="E168" s="16" t="s">
        <v>161</v>
      </c>
      <c r="F168" s="7" t="n">
        <v>10988.82</v>
      </c>
      <c r="G168" s="16" t="s">
        <v>138</v>
      </c>
    </row>
    <row r="169" customFormat="false" ht="15" hidden="false" customHeight="false" outlineLevel="0" collapsed="false">
      <c r="A169" s="0" t="s">
        <v>143</v>
      </c>
      <c r="B169" s="14" t="n">
        <v>46136</v>
      </c>
      <c r="C169" s="16" t="s">
        <v>323</v>
      </c>
      <c r="D169" s="7" t="n">
        <v>-150</v>
      </c>
      <c r="E169" s="16" t="s">
        <v>145</v>
      </c>
      <c r="F169" s="7" t="n">
        <v>11057.18</v>
      </c>
      <c r="G169" s="16" t="s">
        <v>60</v>
      </c>
    </row>
    <row r="170" customFormat="false" ht="15" hidden="false" customHeight="false" outlineLevel="0" collapsed="false">
      <c r="A170" s="0" t="s">
        <v>143</v>
      </c>
      <c r="B170" s="14" t="n">
        <v>46136</v>
      </c>
      <c r="C170" s="16" t="s">
        <v>324</v>
      </c>
      <c r="D170" s="7" t="n">
        <v>-27.45</v>
      </c>
      <c r="E170" s="16" t="s">
        <v>161</v>
      </c>
      <c r="F170" s="7" t="n">
        <v>11207.18</v>
      </c>
      <c r="G170" s="16" t="s">
        <v>99</v>
      </c>
    </row>
    <row r="171" customFormat="false" ht="15" hidden="false" customHeight="false" outlineLevel="0" collapsed="false">
      <c r="A171" s="0" t="s">
        <v>143</v>
      </c>
      <c r="B171" s="14" t="n">
        <v>46136</v>
      </c>
      <c r="C171" s="16" t="s">
        <v>325</v>
      </c>
      <c r="D171" s="7" t="n">
        <v>-9.22</v>
      </c>
      <c r="E171" s="16" t="s">
        <v>161</v>
      </c>
      <c r="F171" s="7" t="n">
        <v>11234.63</v>
      </c>
      <c r="G171" s="16" t="s">
        <v>99</v>
      </c>
    </row>
    <row r="172" customFormat="false" ht="15" hidden="false" customHeight="false" outlineLevel="0" collapsed="false">
      <c r="A172" s="0" t="s">
        <v>143</v>
      </c>
      <c r="B172" s="14" t="n">
        <v>46136</v>
      </c>
      <c r="C172" s="16" t="s">
        <v>326</v>
      </c>
      <c r="D172" s="7" t="n">
        <v>-17.95</v>
      </c>
      <c r="E172" s="16" t="s">
        <v>161</v>
      </c>
      <c r="F172" s="7" t="n">
        <v>11243.85</v>
      </c>
      <c r="G172" s="16" t="s">
        <v>102</v>
      </c>
    </row>
    <row r="173" customFormat="false" ht="15" hidden="false" customHeight="false" outlineLevel="0" collapsed="false">
      <c r="A173" s="0" t="s">
        <v>143</v>
      </c>
      <c r="B173" s="14" t="n">
        <v>46136</v>
      </c>
      <c r="C173" s="16" t="s">
        <v>327</v>
      </c>
      <c r="D173" s="7" t="n">
        <v>-43.97</v>
      </c>
      <c r="E173" s="16" t="s">
        <v>161</v>
      </c>
      <c r="F173" s="7" t="n">
        <v>11261.8</v>
      </c>
      <c r="G173" s="16" t="s">
        <v>84</v>
      </c>
    </row>
    <row r="174" customFormat="false" ht="15" hidden="false" customHeight="false" outlineLevel="0" collapsed="false">
      <c r="A174" s="0" t="s">
        <v>143</v>
      </c>
      <c r="B174" s="14" t="n">
        <v>46136</v>
      </c>
      <c r="C174" s="16" t="s">
        <v>328</v>
      </c>
      <c r="D174" s="7" t="n">
        <v>-40.18</v>
      </c>
      <c r="E174" s="16" t="s">
        <v>161</v>
      </c>
      <c r="F174" s="7" t="n">
        <v>11305.77</v>
      </c>
      <c r="G174" s="16" t="s">
        <v>84</v>
      </c>
    </row>
    <row r="175" customFormat="false" ht="15" hidden="false" customHeight="false" outlineLevel="0" collapsed="false">
      <c r="A175" s="0" t="s">
        <v>143</v>
      </c>
      <c r="B175" s="14" t="n">
        <v>46135</v>
      </c>
      <c r="C175" s="16" t="s">
        <v>177</v>
      </c>
      <c r="D175" s="7" t="n">
        <v>-5</v>
      </c>
      <c r="E175" s="16" t="s">
        <v>178</v>
      </c>
      <c r="F175" s="7" t="n">
        <v>11345.95</v>
      </c>
      <c r="G175" s="16" t="s">
        <v>51</v>
      </c>
    </row>
    <row r="176" customFormat="false" ht="15" hidden="false" customHeight="false" outlineLevel="0" collapsed="false">
      <c r="A176" s="0" t="s">
        <v>143</v>
      </c>
      <c r="B176" s="14" t="n">
        <v>46135</v>
      </c>
      <c r="C176" s="16" t="s">
        <v>329</v>
      </c>
      <c r="D176" s="7" t="n">
        <v>-750</v>
      </c>
      <c r="E176" s="16" t="s">
        <v>180</v>
      </c>
      <c r="F176" s="7" t="n">
        <v>11350.95</v>
      </c>
      <c r="G176" s="16" t="s">
        <v>51</v>
      </c>
    </row>
    <row r="177" customFormat="false" ht="15" hidden="false" customHeight="false" outlineLevel="0" collapsed="false">
      <c r="A177" s="0" t="s">
        <v>143</v>
      </c>
      <c r="B177" s="14" t="n">
        <v>46135</v>
      </c>
      <c r="C177" s="16" t="s">
        <v>330</v>
      </c>
      <c r="D177" s="7" t="n">
        <v>-5000</v>
      </c>
      <c r="E177" s="16" t="s">
        <v>148</v>
      </c>
      <c r="F177" s="7" t="n">
        <v>12100.95</v>
      </c>
      <c r="G177" s="16" t="s">
        <v>68</v>
      </c>
    </row>
    <row r="178" customFormat="false" ht="15" hidden="false" customHeight="false" outlineLevel="0" collapsed="false">
      <c r="A178" s="0" t="s">
        <v>143</v>
      </c>
      <c r="B178" s="14" t="n">
        <v>46135</v>
      </c>
      <c r="C178" s="16" t="s">
        <v>331</v>
      </c>
      <c r="D178" s="7" t="n">
        <v>-112.43</v>
      </c>
      <c r="E178" s="16" t="s">
        <v>161</v>
      </c>
      <c r="F178" s="7" t="n">
        <v>17100.95</v>
      </c>
      <c r="G178" s="16" t="s">
        <v>87</v>
      </c>
    </row>
    <row r="179" customFormat="false" ht="15" hidden="false" customHeight="false" outlineLevel="0" collapsed="false">
      <c r="A179" s="0" t="s">
        <v>143</v>
      </c>
      <c r="B179" s="14" t="n">
        <v>46135</v>
      </c>
      <c r="C179" s="16" t="s">
        <v>332</v>
      </c>
      <c r="D179" s="7" t="n">
        <v>-6.49</v>
      </c>
      <c r="E179" s="16" t="s">
        <v>161</v>
      </c>
      <c r="F179" s="7" t="n">
        <v>17213.38</v>
      </c>
      <c r="G179" s="16" t="s">
        <v>138</v>
      </c>
    </row>
    <row r="180" customFormat="false" ht="15" hidden="false" customHeight="false" outlineLevel="0" collapsed="false">
      <c r="A180" s="0" t="s">
        <v>143</v>
      </c>
      <c r="B180" s="14" t="n">
        <v>46135</v>
      </c>
      <c r="C180" s="16" t="s">
        <v>332</v>
      </c>
      <c r="D180" s="7" t="n">
        <v>-33.49</v>
      </c>
      <c r="E180" s="16" t="s">
        <v>161</v>
      </c>
      <c r="F180" s="7" t="n">
        <v>17219.87</v>
      </c>
      <c r="G180" s="16" t="s">
        <v>138</v>
      </c>
    </row>
    <row r="181" customFormat="false" ht="15" hidden="false" customHeight="false" outlineLevel="0" collapsed="false">
      <c r="A181" s="0" t="s">
        <v>143</v>
      </c>
      <c r="B181" s="14" t="n">
        <v>46135</v>
      </c>
      <c r="C181" s="16" t="s">
        <v>333</v>
      </c>
      <c r="D181" s="7" t="n">
        <v>-250.02</v>
      </c>
      <c r="E181" s="16" t="s">
        <v>161</v>
      </c>
      <c r="F181" s="7" t="n">
        <v>17253.36</v>
      </c>
      <c r="G181" s="16" t="s">
        <v>84</v>
      </c>
    </row>
    <row r="182" customFormat="false" ht="15" hidden="false" customHeight="false" outlineLevel="0" collapsed="false">
      <c r="A182" s="0" t="s">
        <v>182</v>
      </c>
      <c r="B182" s="14" t="n">
        <v>46135</v>
      </c>
      <c r="C182" s="16" t="s">
        <v>334</v>
      </c>
      <c r="D182" s="7" t="n">
        <v>15000</v>
      </c>
      <c r="E182" s="16" t="s">
        <v>148</v>
      </c>
      <c r="F182" s="7" t="n">
        <v>17503.38</v>
      </c>
      <c r="G182" s="16" t="s">
        <v>35</v>
      </c>
    </row>
    <row r="183" customFormat="false" ht="15" hidden="false" customHeight="false" outlineLevel="0" collapsed="false">
      <c r="A183" s="0" t="s">
        <v>143</v>
      </c>
      <c r="B183" s="14" t="n">
        <v>46134</v>
      </c>
      <c r="C183" s="16" t="s">
        <v>335</v>
      </c>
      <c r="D183" s="7" t="n">
        <v>-3</v>
      </c>
      <c r="E183" s="16" t="s">
        <v>178</v>
      </c>
      <c r="F183" s="7" t="n">
        <v>2503.38</v>
      </c>
      <c r="G183" s="16" t="s">
        <v>80</v>
      </c>
    </row>
    <row r="184" customFormat="false" ht="15" hidden="false" customHeight="false" outlineLevel="0" collapsed="false">
      <c r="A184" s="0" t="s">
        <v>143</v>
      </c>
      <c r="B184" s="14" t="n">
        <v>46134</v>
      </c>
      <c r="C184" s="16" t="s">
        <v>336</v>
      </c>
      <c r="D184" s="7" t="n">
        <v>-103.95</v>
      </c>
      <c r="E184" s="16" t="s">
        <v>337</v>
      </c>
      <c r="F184" s="7" t="n">
        <v>2506.38</v>
      </c>
      <c r="G184" s="16" t="s">
        <v>110</v>
      </c>
    </row>
    <row r="185" customFormat="false" ht="15" hidden="false" customHeight="false" outlineLevel="0" collapsed="false">
      <c r="A185" s="0" t="s">
        <v>143</v>
      </c>
      <c r="B185" s="14" t="n">
        <v>46134</v>
      </c>
      <c r="C185" s="16" t="s">
        <v>338</v>
      </c>
      <c r="D185" s="7" t="n">
        <v>-34.96</v>
      </c>
      <c r="E185" s="16" t="s">
        <v>161</v>
      </c>
      <c r="F185" s="7" t="n">
        <v>2610.33</v>
      </c>
      <c r="G185" s="16" t="s">
        <v>138</v>
      </c>
    </row>
    <row r="186" customFormat="false" ht="15" hidden="false" customHeight="false" outlineLevel="0" collapsed="false">
      <c r="A186" s="0" t="s">
        <v>143</v>
      </c>
      <c r="B186" s="14" t="n">
        <v>46134</v>
      </c>
      <c r="C186" s="16" t="s">
        <v>339</v>
      </c>
      <c r="D186" s="7" t="n">
        <v>-50</v>
      </c>
      <c r="E186" s="16" t="s">
        <v>161</v>
      </c>
      <c r="F186" s="7" t="n">
        <v>2645.29</v>
      </c>
      <c r="G186" s="16" t="s">
        <v>139</v>
      </c>
    </row>
    <row r="187" customFormat="false" ht="15" hidden="false" customHeight="false" outlineLevel="0" collapsed="false">
      <c r="A187" s="0" t="s">
        <v>143</v>
      </c>
      <c r="B187" s="14" t="n">
        <v>46134</v>
      </c>
      <c r="C187" s="16" t="s">
        <v>340</v>
      </c>
      <c r="D187" s="7" t="n">
        <v>-5.25</v>
      </c>
      <c r="E187" s="16" t="s">
        <v>161</v>
      </c>
      <c r="F187" s="7" t="n">
        <v>2695.29</v>
      </c>
      <c r="G187" s="16" t="s">
        <v>134</v>
      </c>
    </row>
    <row r="188" customFormat="false" ht="15" hidden="false" customHeight="false" outlineLevel="0" collapsed="false">
      <c r="A188" s="0" t="s">
        <v>143</v>
      </c>
      <c r="B188" s="14" t="n">
        <v>46133</v>
      </c>
      <c r="C188" s="16" t="s">
        <v>341</v>
      </c>
      <c r="D188" s="7" t="n">
        <v>-135</v>
      </c>
      <c r="E188" s="16" t="s">
        <v>145</v>
      </c>
      <c r="F188" s="7" t="n">
        <v>2700.54</v>
      </c>
      <c r="G188" s="16" t="s">
        <v>60</v>
      </c>
    </row>
    <row r="189" customFormat="false" ht="15" hidden="false" customHeight="false" outlineLevel="0" collapsed="false">
      <c r="A189" s="0" t="s">
        <v>143</v>
      </c>
      <c r="B189" s="14" t="n">
        <v>46133</v>
      </c>
      <c r="C189" s="16" t="s">
        <v>342</v>
      </c>
      <c r="D189" s="7" t="n">
        <v>-225</v>
      </c>
      <c r="E189" s="16" t="s">
        <v>145</v>
      </c>
      <c r="F189" s="7" t="n">
        <v>2835.54</v>
      </c>
      <c r="G189" s="16" t="s">
        <v>60</v>
      </c>
    </row>
    <row r="190" customFormat="false" ht="15" hidden="false" customHeight="false" outlineLevel="0" collapsed="false">
      <c r="A190" s="0" t="s">
        <v>143</v>
      </c>
      <c r="B190" s="14" t="n">
        <v>46133</v>
      </c>
      <c r="C190" s="16" t="s">
        <v>343</v>
      </c>
      <c r="D190" s="7" t="n">
        <v>-3000</v>
      </c>
      <c r="E190" s="16" t="s">
        <v>148</v>
      </c>
      <c r="F190" s="7" t="n">
        <v>3060.54</v>
      </c>
      <c r="G190" s="16" t="s">
        <v>68</v>
      </c>
    </row>
    <row r="191" customFormat="false" ht="15" hidden="false" customHeight="false" outlineLevel="0" collapsed="false">
      <c r="A191" s="0" t="s">
        <v>143</v>
      </c>
      <c r="B191" s="14" t="n">
        <v>46133</v>
      </c>
      <c r="C191" s="16" t="s">
        <v>344</v>
      </c>
      <c r="D191" s="7" t="n">
        <v>-335.52</v>
      </c>
      <c r="E191" s="16" t="s">
        <v>161</v>
      </c>
      <c r="F191" s="7" t="n">
        <v>6060.54</v>
      </c>
      <c r="G191" s="16" t="s">
        <v>84</v>
      </c>
    </row>
    <row r="192" customFormat="false" ht="15" hidden="false" customHeight="false" outlineLevel="0" collapsed="false">
      <c r="A192" s="0" t="s">
        <v>143</v>
      </c>
      <c r="B192" s="14" t="n">
        <v>46133</v>
      </c>
      <c r="C192" s="16" t="s">
        <v>345</v>
      </c>
      <c r="D192" s="7" t="n">
        <v>-331.54</v>
      </c>
      <c r="E192" s="16" t="s">
        <v>145</v>
      </c>
      <c r="F192" s="7" t="n">
        <v>6396.06</v>
      </c>
      <c r="G192" s="16" t="s">
        <v>111</v>
      </c>
    </row>
    <row r="193" customFormat="false" ht="15" hidden="false" customHeight="false" outlineLevel="0" collapsed="false">
      <c r="A193" s="0" t="s">
        <v>143</v>
      </c>
      <c r="B193" s="14" t="n">
        <v>46133</v>
      </c>
      <c r="C193" s="16" t="s">
        <v>346</v>
      </c>
      <c r="D193" s="7" t="n">
        <v>-19.97</v>
      </c>
      <c r="E193" s="16" t="s">
        <v>161</v>
      </c>
      <c r="F193" s="7" t="n">
        <v>6727.6</v>
      </c>
      <c r="G193" s="16" t="s">
        <v>84</v>
      </c>
    </row>
    <row r="194" customFormat="false" ht="15" hidden="false" customHeight="false" outlineLevel="0" collapsed="false">
      <c r="A194" s="0" t="s">
        <v>143</v>
      </c>
      <c r="B194" s="14" t="n">
        <v>46133</v>
      </c>
      <c r="C194" s="16" t="s">
        <v>347</v>
      </c>
      <c r="D194" s="7" t="n">
        <v>-36.18</v>
      </c>
      <c r="E194" s="16" t="s">
        <v>161</v>
      </c>
      <c r="F194" s="7" t="n">
        <v>6747.57</v>
      </c>
      <c r="G194" s="16" t="s">
        <v>84</v>
      </c>
    </row>
    <row r="195" customFormat="false" ht="15" hidden="false" customHeight="false" outlineLevel="0" collapsed="false">
      <c r="A195" s="0" t="s">
        <v>143</v>
      </c>
      <c r="B195" s="14" t="n">
        <v>46132</v>
      </c>
      <c r="C195" s="16" t="s">
        <v>348</v>
      </c>
      <c r="D195" s="7" t="n">
        <v>-238.53</v>
      </c>
      <c r="E195" s="16" t="s">
        <v>145</v>
      </c>
      <c r="F195" s="7" t="n">
        <v>6783.75</v>
      </c>
      <c r="G195" s="16" t="s">
        <v>103</v>
      </c>
    </row>
    <row r="196" customFormat="false" ht="15" hidden="false" customHeight="false" outlineLevel="0" collapsed="false">
      <c r="A196" s="0" t="s">
        <v>143</v>
      </c>
      <c r="B196" s="14" t="n">
        <v>46132</v>
      </c>
      <c r="C196" s="16" t="s">
        <v>349</v>
      </c>
      <c r="D196" s="7" t="n">
        <v>-1750</v>
      </c>
      <c r="E196" s="16" t="s">
        <v>150</v>
      </c>
      <c r="F196" s="7" t="n">
        <v>7022.28</v>
      </c>
      <c r="G196" s="16" t="s">
        <v>54</v>
      </c>
    </row>
    <row r="197" customFormat="false" ht="15" hidden="false" customHeight="false" outlineLevel="0" collapsed="false">
      <c r="A197" s="0" t="s">
        <v>143</v>
      </c>
      <c r="B197" s="14" t="n">
        <v>46132</v>
      </c>
      <c r="C197" s="16" t="s">
        <v>350</v>
      </c>
      <c r="D197" s="7" t="n">
        <v>-10</v>
      </c>
      <c r="E197" s="16" t="s">
        <v>145</v>
      </c>
      <c r="F197" s="7" t="n">
        <v>8772.28</v>
      </c>
      <c r="G197" s="16" t="s">
        <v>60</v>
      </c>
    </row>
    <row r="198" customFormat="false" ht="15" hidden="false" customHeight="false" outlineLevel="0" collapsed="false">
      <c r="A198" s="0" t="s">
        <v>143</v>
      </c>
      <c r="B198" s="14" t="n">
        <v>46132</v>
      </c>
      <c r="C198" s="16" t="s">
        <v>351</v>
      </c>
      <c r="D198" s="7" t="n">
        <v>-1000</v>
      </c>
      <c r="E198" s="16" t="s">
        <v>145</v>
      </c>
      <c r="F198" s="7" t="n">
        <v>8782.28</v>
      </c>
      <c r="G198" s="16" t="s">
        <v>60</v>
      </c>
    </row>
    <row r="199" customFormat="false" ht="15" hidden="false" customHeight="false" outlineLevel="0" collapsed="false">
      <c r="A199" s="0" t="s">
        <v>143</v>
      </c>
      <c r="B199" s="14" t="n">
        <v>46132</v>
      </c>
      <c r="C199" s="16" t="s">
        <v>352</v>
      </c>
      <c r="D199" s="7" t="n">
        <v>-107.88</v>
      </c>
      <c r="E199" s="16" t="s">
        <v>161</v>
      </c>
      <c r="F199" s="7" t="n">
        <v>9782.28</v>
      </c>
      <c r="G199" s="16" t="s">
        <v>84</v>
      </c>
    </row>
    <row r="200" customFormat="false" ht="15" hidden="false" customHeight="false" outlineLevel="0" collapsed="false">
      <c r="A200" s="0" t="s">
        <v>143</v>
      </c>
      <c r="B200" s="14" t="n">
        <v>46132</v>
      </c>
      <c r="C200" s="16" t="s">
        <v>353</v>
      </c>
      <c r="D200" s="7" t="n">
        <v>-500</v>
      </c>
      <c r="E200" s="16" t="s">
        <v>156</v>
      </c>
      <c r="F200" s="7" t="n">
        <v>9890.16</v>
      </c>
      <c r="G200" s="16" t="s">
        <v>64</v>
      </c>
    </row>
    <row r="201" customFormat="false" ht="15" hidden="false" customHeight="false" outlineLevel="0" collapsed="false">
      <c r="A201" s="0" t="s">
        <v>143</v>
      </c>
      <c r="B201" s="14" t="n">
        <v>46132</v>
      </c>
      <c r="C201" s="16" t="s">
        <v>354</v>
      </c>
      <c r="D201" s="7" t="n">
        <v>-16.98</v>
      </c>
      <c r="E201" s="16" t="s">
        <v>161</v>
      </c>
      <c r="F201" s="7" t="n">
        <v>10390.16</v>
      </c>
      <c r="G201" s="16" t="s">
        <v>84</v>
      </c>
    </row>
    <row r="202" customFormat="false" ht="15" hidden="false" customHeight="false" outlineLevel="0" collapsed="false">
      <c r="A202" s="0" t="s">
        <v>143</v>
      </c>
      <c r="B202" s="14" t="n">
        <v>46132</v>
      </c>
      <c r="C202" s="16" t="s">
        <v>355</v>
      </c>
      <c r="D202" s="7" t="n">
        <v>-70.96</v>
      </c>
      <c r="E202" s="16" t="s">
        <v>161</v>
      </c>
      <c r="F202" s="7" t="n">
        <v>10407.14</v>
      </c>
      <c r="G202" s="16" t="s">
        <v>84</v>
      </c>
    </row>
    <row r="203" customFormat="false" ht="15" hidden="false" customHeight="false" outlineLevel="0" collapsed="false">
      <c r="A203" s="0" t="s">
        <v>143</v>
      </c>
      <c r="B203" s="14" t="n">
        <v>46132</v>
      </c>
      <c r="C203" s="16" t="s">
        <v>356</v>
      </c>
      <c r="D203" s="7" t="n">
        <v>-52.36</v>
      </c>
      <c r="E203" s="16" t="s">
        <v>161</v>
      </c>
      <c r="F203" s="7" t="n">
        <v>10478.1</v>
      </c>
      <c r="G203" s="16" t="s">
        <v>84</v>
      </c>
    </row>
    <row r="204" customFormat="false" ht="15" hidden="false" customHeight="false" outlineLevel="0" collapsed="false">
      <c r="A204" s="0" t="s">
        <v>143</v>
      </c>
      <c r="B204" s="14" t="n">
        <v>46132</v>
      </c>
      <c r="C204" s="16" t="s">
        <v>357</v>
      </c>
      <c r="D204" s="7" t="n">
        <v>-150</v>
      </c>
      <c r="E204" s="16" t="s">
        <v>156</v>
      </c>
      <c r="F204" s="7" t="n">
        <v>10530.46</v>
      </c>
      <c r="G204" s="16" t="s">
        <v>63</v>
      </c>
    </row>
    <row r="205" customFormat="false" ht="15" hidden="false" customHeight="false" outlineLevel="0" collapsed="false">
      <c r="A205" s="0" t="s">
        <v>143</v>
      </c>
      <c r="B205" s="14" t="n">
        <v>46132</v>
      </c>
      <c r="C205" s="16" t="s">
        <v>358</v>
      </c>
      <c r="D205" s="7" t="n">
        <v>-2000</v>
      </c>
      <c r="E205" s="16" t="s">
        <v>148</v>
      </c>
      <c r="F205" s="7" t="n">
        <v>10680.46</v>
      </c>
      <c r="G205" s="16" t="s">
        <v>68</v>
      </c>
    </row>
    <row r="206" customFormat="false" ht="15" hidden="false" customHeight="false" outlineLevel="0" collapsed="false">
      <c r="A206" s="0" t="s">
        <v>143</v>
      </c>
      <c r="B206" s="14" t="n">
        <v>46132</v>
      </c>
      <c r="C206" s="16" t="s">
        <v>359</v>
      </c>
      <c r="D206" s="7" t="n">
        <v>-26.18</v>
      </c>
      <c r="E206" s="16" t="s">
        <v>161</v>
      </c>
      <c r="F206" s="7" t="n">
        <v>12680.46</v>
      </c>
      <c r="G206" s="16" t="s">
        <v>84</v>
      </c>
    </row>
    <row r="207" customFormat="false" ht="15" hidden="false" customHeight="false" outlineLevel="0" collapsed="false">
      <c r="A207" s="0" t="s">
        <v>143</v>
      </c>
      <c r="B207" s="14" t="n">
        <v>46132</v>
      </c>
      <c r="C207" s="16" t="s">
        <v>360</v>
      </c>
      <c r="D207" s="7" t="n">
        <v>-36.94</v>
      </c>
      <c r="E207" s="16" t="s">
        <v>161</v>
      </c>
      <c r="F207" s="7" t="n">
        <v>12706.64</v>
      </c>
      <c r="G207" s="16" t="s">
        <v>59</v>
      </c>
    </row>
    <row r="208" customFormat="false" ht="15" hidden="false" customHeight="false" outlineLevel="0" collapsed="false">
      <c r="A208" s="0" t="s">
        <v>143</v>
      </c>
      <c r="B208" s="14" t="n">
        <v>46132</v>
      </c>
      <c r="C208" s="16" t="s">
        <v>361</v>
      </c>
      <c r="D208" s="7" t="n">
        <v>-180.18</v>
      </c>
      <c r="E208" s="16" t="s">
        <v>161</v>
      </c>
      <c r="F208" s="7" t="n">
        <v>12743.58</v>
      </c>
      <c r="G208" s="16" t="s">
        <v>55</v>
      </c>
    </row>
    <row r="209" customFormat="false" ht="15" hidden="false" customHeight="false" outlineLevel="0" collapsed="false">
      <c r="A209" s="0" t="s">
        <v>143</v>
      </c>
      <c r="B209" s="14" t="n">
        <v>46129</v>
      </c>
      <c r="C209" s="16" t="s">
        <v>362</v>
      </c>
      <c r="D209" s="7" t="n">
        <v>-309</v>
      </c>
      <c r="E209" s="16" t="s">
        <v>161</v>
      </c>
      <c r="F209" s="7" t="n">
        <v>12923.76</v>
      </c>
      <c r="G209" s="16" t="s">
        <v>139</v>
      </c>
    </row>
    <row r="210" customFormat="false" ht="15" hidden="false" customHeight="false" outlineLevel="0" collapsed="false">
      <c r="A210" s="0" t="s">
        <v>143</v>
      </c>
      <c r="B210" s="14" t="n">
        <v>46128</v>
      </c>
      <c r="C210" s="16" t="s">
        <v>363</v>
      </c>
      <c r="D210" s="7" t="n">
        <v>-3500</v>
      </c>
      <c r="E210" s="16" t="s">
        <v>150</v>
      </c>
      <c r="F210" s="7" t="n">
        <v>13232.76</v>
      </c>
      <c r="G210" s="16" t="s">
        <v>52</v>
      </c>
    </row>
    <row r="211" customFormat="false" ht="15" hidden="false" customHeight="false" outlineLevel="0" collapsed="false">
      <c r="A211" s="0" t="s">
        <v>143</v>
      </c>
      <c r="B211" s="14" t="n">
        <v>46128</v>
      </c>
      <c r="C211" s="16" t="s">
        <v>364</v>
      </c>
      <c r="D211" s="7" t="n">
        <v>-180</v>
      </c>
      <c r="E211" s="16" t="s">
        <v>161</v>
      </c>
      <c r="F211" s="7" t="n">
        <v>16732.76</v>
      </c>
      <c r="G211" s="16" t="s">
        <v>84</v>
      </c>
    </row>
    <row r="212" customFormat="false" ht="15" hidden="false" customHeight="false" outlineLevel="0" collapsed="false">
      <c r="A212" s="0" t="s">
        <v>143</v>
      </c>
      <c r="B212" s="14" t="n">
        <v>46128</v>
      </c>
      <c r="C212" s="16" t="s">
        <v>365</v>
      </c>
      <c r="D212" s="7" t="n">
        <v>-104.01</v>
      </c>
      <c r="E212" s="16" t="s">
        <v>145</v>
      </c>
      <c r="F212" s="7" t="n">
        <v>16912.76</v>
      </c>
      <c r="G212" s="16" t="s">
        <v>82</v>
      </c>
    </row>
    <row r="213" customFormat="false" ht="15" hidden="false" customHeight="false" outlineLevel="0" collapsed="false">
      <c r="A213" s="0" t="s">
        <v>143</v>
      </c>
      <c r="B213" s="14" t="n">
        <v>46126</v>
      </c>
      <c r="C213" s="16" t="s">
        <v>366</v>
      </c>
      <c r="D213" s="7" t="n">
        <v>-45.96</v>
      </c>
      <c r="E213" s="16" t="s">
        <v>161</v>
      </c>
      <c r="F213" s="7" t="n">
        <v>17016.77</v>
      </c>
      <c r="G213" s="16" t="s">
        <v>84</v>
      </c>
    </row>
    <row r="214" customFormat="false" ht="15" hidden="false" customHeight="false" outlineLevel="0" collapsed="false">
      <c r="A214" s="0" t="s">
        <v>143</v>
      </c>
      <c r="B214" s="14" t="n">
        <v>46125</v>
      </c>
      <c r="C214" s="16" t="s">
        <v>367</v>
      </c>
      <c r="D214" s="7" t="n">
        <v>-1750</v>
      </c>
      <c r="E214" s="16" t="s">
        <v>150</v>
      </c>
      <c r="F214" s="7" t="n">
        <v>17062.73</v>
      </c>
      <c r="G214" s="16" t="s">
        <v>54</v>
      </c>
    </row>
    <row r="215" customFormat="false" ht="15" hidden="false" customHeight="false" outlineLevel="0" collapsed="false">
      <c r="A215" s="0" t="s">
        <v>143</v>
      </c>
      <c r="B215" s="14" t="n">
        <v>46125</v>
      </c>
      <c r="C215" s="16" t="s">
        <v>368</v>
      </c>
      <c r="D215" s="7" t="n">
        <v>-359.88</v>
      </c>
      <c r="E215" s="16" t="s">
        <v>161</v>
      </c>
      <c r="F215" s="7" t="n">
        <v>18812.73</v>
      </c>
      <c r="G215" s="16" t="s">
        <v>84</v>
      </c>
    </row>
    <row r="216" customFormat="false" ht="15" hidden="false" customHeight="false" outlineLevel="0" collapsed="false">
      <c r="A216" s="0" t="s">
        <v>143</v>
      </c>
      <c r="B216" s="14" t="n">
        <v>46125</v>
      </c>
      <c r="C216" s="16" t="s">
        <v>369</v>
      </c>
      <c r="D216" s="7" t="n">
        <v>-60.73</v>
      </c>
      <c r="E216" s="16" t="s">
        <v>161</v>
      </c>
      <c r="F216" s="7" t="n">
        <v>19172.61</v>
      </c>
      <c r="G216" s="16" t="s">
        <v>84</v>
      </c>
    </row>
    <row r="217" customFormat="false" ht="15" hidden="false" customHeight="false" outlineLevel="0" collapsed="false">
      <c r="A217" s="0" t="s">
        <v>143</v>
      </c>
      <c r="B217" s="14" t="n">
        <v>46125</v>
      </c>
      <c r="C217" s="16" t="s">
        <v>370</v>
      </c>
      <c r="D217" s="7" t="n">
        <v>-171.21</v>
      </c>
      <c r="E217" s="16" t="s">
        <v>145</v>
      </c>
      <c r="F217" s="7" t="n">
        <v>19233.34</v>
      </c>
      <c r="G217" s="16" t="s">
        <v>95</v>
      </c>
    </row>
    <row r="218" customFormat="false" ht="15" hidden="false" customHeight="false" outlineLevel="0" collapsed="false">
      <c r="A218" s="0" t="s">
        <v>143</v>
      </c>
      <c r="B218" s="14" t="n">
        <v>46125</v>
      </c>
      <c r="C218" s="16" t="s">
        <v>371</v>
      </c>
      <c r="D218" s="7" t="n">
        <v>-200</v>
      </c>
      <c r="E218" s="16" t="s">
        <v>161</v>
      </c>
      <c r="F218" s="7" t="n">
        <v>19404.55</v>
      </c>
      <c r="G218" s="16" t="s">
        <v>55</v>
      </c>
    </row>
    <row r="219" customFormat="false" ht="15" hidden="false" customHeight="false" outlineLevel="0" collapsed="false">
      <c r="A219" s="0" t="s">
        <v>143</v>
      </c>
      <c r="B219" s="14" t="n">
        <v>46125</v>
      </c>
      <c r="C219" s="16" t="s">
        <v>372</v>
      </c>
      <c r="D219" s="7" t="n">
        <v>-58.97</v>
      </c>
      <c r="E219" s="16" t="s">
        <v>161</v>
      </c>
      <c r="F219" s="7" t="n">
        <v>19604.55</v>
      </c>
      <c r="G219" s="16" t="s">
        <v>102</v>
      </c>
    </row>
    <row r="220" customFormat="false" ht="15" hidden="false" customHeight="false" outlineLevel="0" collapsed="false">
      <c r="A220" s="0" t="s">
        <v>143</v>
      </c>
      <c r="B220" s="14" t="n">
        <v>46125</v>
      </c>
      <c r="C220" s="16" t="s">
        <v>373</v>
      </c>
      <c r="D220" s="7" t="n">
        <v>-28.98</v>
      </c>
      <c r="E220" s="16" t="s">
        <v>161</v>
      </c>
      <c r="F220" s="7" t="n">
        <v>19663.52</v>
      </c>
      <c r="G220" s="16" t="s">
        <v>84</v>
      </c>
    </row>
    <row r="221" customFormat="false" ht="15" hidden="false" customHeight="false" outlineLevel="0" collapsed="false">
      <c r="A221" s="0" t="s">
        <v>143</v>
      </c>
      <c r="B221" s="14" t="n">
        <v>46122</v>
      </c>
      <c r="C221" s="16" t="s">
        <v>374</v>
      </c>
      <c r="D221" s="7" t="n">
        <v>-13.79</v>
      </c>
      <c r="E221" s="16" t="s">
        <v>161</v>
      </c>
      <c r="F221" s="7" t="n">
        <v>19692.5</v>
      </c>
      <c r="G221" s="16" t="s">
        <v>84</v>
      </c>
    </row>
    <row r="222" customFormat="false" ht="15" hidden="false" customHeight="false" outlineLevel="0" collapsed="false">
      <c r="A222" s="0" t="s">
        <v>143</v>
      </c>
      <c r="B222" s="14" t="n">
        <v>46121</v>
      </c>
      <c r="C222" s="16" t="s">
        <v>177</v>
      </c>
      <c r="D222" s="7" t="n">
        <v>-5</v>
      </c>
      <c r="E222" s="16" t="s">
        <v>178</v>
      </c>
      <c r="F222" s="7" t="n">
        <v>19706.29</v>
      </c>
      <c r="G222" s="16" t="s">
        <v>51</v>
      </c>
    </row>
    <row r="223" customFormat="false" ht="15" hidden="false" customHeight="false" outlineLevel="0" collapsed="false">
      <c r="A223" s="0" t="s">
        <v>143</v>
      </c>
      <c r="B223" s="14" t="n">
        <v>46121</v>
      </c>
      <c r="C223" s="16" t="s">
        <v>375</v>
      </c>
      <c r="D223" s="7" t="n">
        <v>-750</v>
      </c>
      <c r="E223" s="16" t="s">
        <v>180</v>
      </c>
      <c r="F223" s="7" t="n">
        <v>19711.29</v>
      </c>
      <c r="G223" s="16" t="s">
        <v>51</v>
      </c>
    </row>
    <row r="224" customFormat="false" ht="15" hidden="false" customHeight="false" outlineLevel="0" collapsed="false">
      <c r="A224" s="0" t="s">
        <v>143</v>
      </c>
      <c r="B224" s="14" t="n">
        <v>46121</v>
      </c>
      <c r="C224" s="16" t="s">
        <v>376</v>
      </c>
      <c r="D224" s="7" t="n">
        <v>-33.97</v>
      </c>
      <c r="E224" s="16" t="s">
        <v>161</v>
      </c>
      <c r="F224" s="7" t="n">
        <v>20461.29</v>
      </c>
      <c r="G224" s="16" t="s">
        <v>84</v>
      </c>
    </row>
    <row r="225" customFormat="false" ht="15" hidden="false" customHeight="false" outlineLevel="0" collapsed="false">
      <c r="A225" s="0" t="s">
        <v>143</v>
      </c>
      <c r="B225" s="14" t="n">
        <v>46120</v>
      </c>
      <c r="C225" s="16" t="s">
        <v>377</v>
      </c>
      <c r="D225" s="7" t="n">
        <v>-400</v>
      </c>
      <c r="E225" s="16" t="s">
        <v>148</v>
      </c>
      <c r="F225" s="7" t="n">
        <v>20495.26</v>
      </c>
      <c r="G225" s="16" t="s">
        <v>48</v>
      </c>
    </row>
    <row r="226" customFormat="false" ht="15" hidden="false" customHeight="false" outlineLevel="0" collapsed="false">
      <c r="A226" s="0" t="s">
        <v>143</v>
      </c>
      <c r="B226" s="14" t="n">
        <v>46120</v>
      </c>
      <c r="C226" s="16" t="s">
        <v>378</v>
      </c>
      <c r="D226" s="7" t="n">
        <v>-3000</v>
      </c>
      <c r="E226" s="16" t="s">
        <v>148</v>
      </c>
      <c r="F226" s="7" t="n">
        <v>20895.26</v>
      </c>
      <c r="G226" s="16" t="s">
        <v>68</v>
      </c>
    </row>
    <row r="227" customFormat="false" ht="15" hidden="false" customHeight="false" outlineLevel="0" collapsed="false">
      <c r="A227" s="0" t="s">
        <v>143</v>
      </c>
      <c r="B227" s="14" t="n">
        <v>46120</v>
      </c>
      <c r="C227" s="16" t="s">
        <v>379</v>
      </c>
      <c r="D227" s="7" t="n">
        <v>-200</v>
      </c>
      <c r="E227" s="16" t="s">
        <v>156</v>
      </c>
      <c r="F227" s="7" t="n">
        <v>23895.26</v>
      </c>
      <c r="G227" s="16" t="s">
        <v>63</v>
      </c>
    </row>
    <row r="228" customFormat="false" ht="15" hidden="false" customHeight="false" outlineLevel="0" collapsed="false">
      <c r="A228" s="0" t="s">
        <v>143</v>
      </c>
      <c r="B228" s="14" t="n">
        <v>46120</v>
      </c>
      <c r="C228" s="16" t="s">
        <v>380</v>
      </c>
      <c r="D228" s="7" t="n">
        <v>-800</v>
      </c>
      <c r="E228" s="16" t="s">
        <v>145</v>
      </c>
      <c r="F228" s="7" t="n">
        <v>24095.26</v>
      </c>
      <c r="G228" s="16" t="s">
        <v>132</v>
      </c>
    </row>
    <row r="229" customFormat="false" ht="15" hidden="false" customHeight="false" outlineLevel="0" collapsed="false">
      <c r="A229" s="0" t="s">
        <v>143</v>
      </c>
      <c r="B229" s="14" t="n">
        <v>46120</v>
      </c>
      <c r="C229" s="16" t="s">
        <v>381</v>
      </c>
      <c r="D229" s="7" t="n">
        <v>-11.99</v>
      </c>
      <c r="E229" s="16" t="s">
        <v>161</v>
      </c>
      <c r="F229" s="7" t="n">
        <v>24895.26</v>
      </c>
      <c r="G229" s="16" t="s">
        <v>84</v>
      </c>
    </row>
    <row r="230" customFormat="false" ht="15" hidden="false" customHeight="false" outlineLevel="0" collapsed="false">
      <c r="A230" s="0" t="s">
        <v>182</v>
      </c>
      <c r="B230" s="14" t="n">
        <v>46120</v>
      </c>
      <c r="C230" s="16" t="s">
        <v>382</v>
      </c>
      <c r="D230" s="7" t="n">
        <v>20000</v>
      </c>
      <c r="E230" s="16" t="s">
        <v>148</v>
      </c>
      <c r="F230" s="7" t="n">
        <v>24907.25</v>
      </c>
      <c r="G230" s="16" t="s">
        <v>35</v>
      </c>
    </row>
    <row r="231" customFormat="false" ht="15" hidden="false" customHeight="false" outlineLevel="0" collapsed="false">
      <c r="A231" s="0" t="s">
        <v>143</v>
      </c>
      <c r="B231" s="14" t="n">
        <v>46118</v>
      </c>
      <c r="C231" s="16" t="s">
        <v>383</v>
      </c>
      <c r="D231" s="7" t="n">
        <v>-315</v>
      </c>
      <c r="E231" s="16" t="s">
        <v>282</v>
      </c>
      <c r="F231" s="7" t="n">
        <v>4907.25</v>
      </c>
      <c r="G231" s="16" t="s">
        <v>92</v>
      </c>
    </row>
    <row r="232" customFormat="false" ht="15" hidden="false" customHeight="false" outlineLevel="0" collapsed="false">
      <c r="A232" s="0" t="s">
        <v>143</v>
      </c>
      <c r="B232" s="14" t="n">
        <v>46118</v>
      </c>
      <c r="C232" s="16" t="s">
        <v>384</v>
      </c>
      <c r="D232" s="7" t="n">
        <v>-1750</v>
      </c>
      <c r="E232" s="16" t="s">
        <v>150</v>
      </c>
      <c r="F232" s="7" t="n">
        <v>5222.25</v>
      </c>
      <c r="G232" s="16" t="s">
        <v>54</v>
      </c>
    </row>
    <row r="233" customFormat="false" ht="15" hidden="false" customHeight="false" outlineLevel="0" collapsed="false">
      <c r="A233" s="0" t="s">
        <v>143</v>
      </c>
      <c r="B233" s="14" t="n">
        <v>46118</v>
      </c>
      <c r="C233" s="16" t="s">
        <v>385</v>
      </c>
      <c r="D233" s="7" t="n">
        <v>-103.2</v>
      </c>
      <c r="E233" s="16" t="s">
        <v>161</v>
      </c>
      <c r="F233" s="7" t="n">
        <v>6972.25</v>
      </c>
      <c r="G233" s="16" t="s">
        <v>101</v>
      </c>
    </row>
    <row r="234" customFormat="false" ht="15" hidden="false" customHeight="false" outlineLevel="0" collapsed="false">
      <c r="A234" s="0" t="s">
        <v>143</v>
      </c>
      <c r="B234" s="14" t="n">
        <v>46118</v>
      </c>
      <c r="C234" s="16" t="s">
        <v>386</v>
      </c>
      <c r="D234" s="7" t="n">
        <v>-67.34</v>
      </c>
      <c r="E234" s="16" t="s">
        <v>161</v>
      </c>
      <c r="F234" s="7" t="n">
        <v>7075.45</v>
      </c>
      <c r="G234" s="16" t="s">
        <v>84</v>
      </c>
    </row>
    <row r="235" customFormat="false" ht="15" hidden="false" customHeight="false" outlineLevel="0" collapsed="false">
      <c r="A235" s="0" t="s">
        <v>143</v>
      </c>
      <c r="B235" s="14" t="n">
        <v>46118</v>
      </c>
      <c r="C235" s="16" t="s">
        <v>387</v>
      </c>
      <c r="D235" s="7" t="n">
        <v>-159.6</v>
      </c>
      <c r="E235" s="16" t="s">
        <v>161</v>
      </c>
      <c r="F235" s="7" t="n">
        <v>7142.79</v>
      </c>
      <c r="G235" s="16" t="s">
        <v>55</v>
      </c>
    </row>
    <row r="236" customFormat="false" ht="15" hidden="false" customHeight="false" outlineLevel="0" collapsed="false">
      <c r="A236" s="0" t="s">
        <v>143</v>
      </c>
      <c r="B236" s="14" t="n">
        <v>46115</v>
      </c>
      <c r="C236" s="16" t="s">
        <v>388</v>
      </c>
      <c r="D236" s="7" t="n">
        <v>-3500</v>
      </c>
      <c r="E236" s="16" t="s">
        <v>282</v>
      </c>
      <c r="F236" s="7" t="n">
        <v>7302.39</v>
      </c>
      <c r="G236" s="16" t="s">
        <v>52</v>
      </c>
    </row>
    <row r="237" customFormat="false" ht="15" hidden="false" customHeight="false" outlineLevel="0" collapsed="false">
      <c r="A237" s="0" t="s">
        <v>143</v>
      </c>
      <c r="B237" s="14" t="n">
        <v>46115</v>
      </c>
      <c r="C237" s="16" t="s">
        <v>389</v>
      </c>
      <c r="D237" s="7" t="n">
        <v>-10.78</v>
      </c>
      <c r="E237" s="16" t="s">
        <v>161</v>
      </c>
      <c r="F237" s="7" t="n">
        <v>10802.39</v>
      </c>
      <c r="G237" s="16" t="s">
        <v>83</v>
      </c>
    </row>
    <row r="238" customFormat="false" ht="15" hidden="false" customHeight="false" outlineLevel="0" collapsed="false">
      <c r="A238" s="0" t="s">
        <v>182</v>
      </c>
      <c r="B238" s="14" t="n">
        <v>46115</v>
      </c>
      <c r="C238" s="16" t="s">
        <v>390</v>
      </c>
      <c r="D238" s="7" t="n">
        <v>8556.41</v>
      </c>
      <c r="E238" s="16" t="s">
        <v>184</v>
      </c>
      <c r="F238" s="7" t="n">
        <v>10813.17</v>
      </c>
      <c r="G238" s="16" t="s">
        <v>18</v>
      </c>
    </row>
    <row r="239" customFormat="false" ht="15" hidden="false" customHeight="false" outlineLevel="0" collapsed="false">
      <c r="A239" s="0" t="s">
        <v>143</v>
      </c>
      <c r="B239" s="14" t="n">
        <v>46114</v>
      </c>
      <c r="C239" s="16" t="s">
        <v>391</v>
      </c>
      <c r="D239" s="7" t="n">
        <v>-20.97</v>
      </c>
      <c r="E239" s="16" t="s">
        <v>161</v>
      </c>
      <c r="F239" s="7" t="n">
        <v>2256.76</v>
      </c>
      <c r="G239" s="16" t="s">
        <v>84</v>
      </c>
    </row>
    <row r="240" customFormat="false" ht="15" hidden="false" customHeight="false" outlineLevel="0" collapsed="false">
      <c r="A240" s="0" t="s">
        <v>143</v>
      </c>
      <c r="B240" s="14" t="n">
        <v>46114</v>
      </c>
      <c r="C240" s="16" t="s">
        <v>392</v>
      </c>
      <c r="D240" s="7" t="n">
        <v>-241.19</v>
      </c>
      <c r="E240" s="16" t="s">
        <v>161</v>
      </c>
      <c r="F240" s="7" t="n">
        <v>2277.73</v>
      </c>
      <c r="G240" s="16" t="s">
        <v>84</v>
      </c>
    </row>
    <row r="241" customFormat="false" ht="15" hidden="false" customHeight="false" outlineLevel="0" collapsed="false">
      <c r="A241" s="0" t="s">
        <v>143</v>
      </c>
      <c r="B241" s="14" t="n">
        <v>46113</v>
      </c>
      <c r="C241" s="16" t="s">
        <v>393</v>
      </c>
      <c r="D241" s="7" t="n">
        <v>-20</v>
      </c>
      <c r="E241" s="16" t="s">
        <v>178</v>
      </c>
      <c r="F241" s="7" t="n">
        <v>2518.92</v>
      </c>
      <c r="G241" s="16" t="s">
        <v>80</v>
      </c>
    </row>
    <row r="242" customFormat="false" ht="15" hidden="false" customHeight="false" outlineLevel="0" collapsed="false">
      <c r="A242" s="0" t="s">
        <v>143</v>
      </c>
      <c r="B242" s="14" t="n">
        <v>46113</v>
      </c>
      <c r="C242" s="16" t="s">
        <v>394</v>
      </c>
      <c r="D242" s="7" t="n">
        <v>-4190.21</v>
      </c>
      <c r="E242" s="16" t="s">
        <v>145</v>
      </c>
      <c r="F242" s="7" t="n">
        <v>2538.92</v>
      </c>
      <c r="G242" s="16" t="s">
        <v>19</v>
      </c>
    </row>
    <row r="243" customFormat="false" ht="15" hidden="false" customHeight="false" outlineLevel="0" collapsed="false">
      <c r="A243" s="0" t="s">
        <v>143</v>
      </c>
      <c r="B243" s="14" t="n">
        <v>46113</v>
      </c>
      <c r="C243" s="16" t="s">
        <v>395</v>
      </c>
      <c r="D243" s="7" t="n">
        <v>-4366.2</v>
      </c>
      <c r="E243" s="16" t="s">
        <v>145</v>
      </c>
      <c r="F243" s="7" t="n">
        <v>6729.13</v>
      </c>
      <c r="G243" s="16" t="s">
        <v>20</v>
      </c>
    </row>
    <row r="244" customFormat="false" ht="15" hidden="false" customHeight="false" outlineLevel="0" collapsed="false">
      <c r="A244" s="0" t="s">
        <v>143</v>
      </c>
      <c r="B244" s="14" t="n">
        <v>46113</v>
      </c>
      <c r="C244" s="16" t="s">
        <v>396</v>
      </c>
      <c r="D244" s="7" t="n">
        <v>-974.85</v>
      </c>
      <c r="E244" s="16" t="s">
        <v>145</v>
      </c>
      <c r="F244" s="7" t="n">
        <v>11095.33</v>
      </c>
      <c r="G244" s="16" t="s">
        <v>140</v>
      </c>
    </row>
    <row r="245" customFormat="false" ht="15" hidden="false" customHeight="false" outlineLevel="0" collapsed="false">
      <c r="A245" s="0" t="s">
        <v>143</v>
      </c>
      <c r="B245" s="14" t="n">
        <v>46112</v>
      </c>
      <c r="C245" s="16" t="s">
        <v>397</v>
      </c>
      <c r="D245" s="7" t="n">
        <v>-1293.42</v>
      </c>
      <c r="E245" s="16" t="s">
        <v>161</v>
      </c>
      <c r="F245" s="7" t="n">
        <v>12070.18</v>
      </c>
      <c r="G245" s="16" t="s">
        <v>140</v>
      </c>
    </row>
    <row r="246" customFormat="false" ht="15" hidden="false" customHeight="false" outlineLevel="0" collapsed="false">
      <c r="A246" s="0" t="s">
        <v>143</v>
      </c>
      <c r="B246" s="14" t="n">
        <v>46112</v>
      </c>
      <c r="C246" s="16" t="s">
        <v>398</v>
      </c>
      <c r="D246" s="7" t="n">
        <v>-617.48</v>
      </c>
      <c r="E246" s="16" t="s">
        <v>145</v>
      </c>
      <c r="F246" s="7" t="n">
        <v>13363.6</v>
      </c>
      <c r="G246" s="16" t="s">
        <v>137</v>
      </c>
    </row>
    <row r="247" customFormat="false" ht="15" hidden="false" customHeight="false" outlineLevel="0" collapsed="false">
      <c r="A247" s="0" t="s">
        <v>143</v>
      </c>
      <c r="B247" s="14" t="n">
        <v>46111</v>
      </c>
      <c r="C247" s="16" t="s">
        <v>399</v>
      </c>
      <c r="D247" s="7" t="n">
        <v>-1750</v>
      </c>
      <c r="E247" s="16" t="s">
        <v>150</v>
      </c>
      <c r="F247" s="7" t="n">
        <v>13981.08</v>
      </c>
      <c r="G247" s="16" t="s">
        <v>54</v>
      </c>
    </row>
    <row r="248" customFormat="false" ht="15" hidden="false" customHeight="false" outlineLevel="0" collapsed="false">
      <c r="A248" s="0" t="s">
        <v>143</v>
      </c>
      <c r="B248" s="14" t="n">
        <v>46111</v>
      </c>
      <c r="C248" s="16" t="s">
        <v>400</v>
      </c>
      <c r="D248" s="7" t="n">
        <v>-300</v>
      </c>
      <c r="E248" s="16" t="s">
        <v>145</v>
      </c>
      <c r="F248" s="7" t="n">
        <v>15731.08</v>
      </c>
      <c r="G248" s="16" t="s">
        <v>60</v>
      </c>
    </row>
    <row r="249" customFormat="false" ht="15" hidden="false" customHeight="false" outlineLevel="0" collapsed="false">
      <c r="A249" s="0" t="s">
        <v>143</v>
      </c>
      <c r="B249" s="14" t="n">
        <v>46111</v>
      </c>
      <c r="C249" s="16" t="s">
        <v>401</v>
      </c>
      <c r="D249" s="7" t="n">
        <v>-1240.27</v>
      </c>
      <c r="E249" s="16" t="s">
        <v>145</v>
      </c>
      <c r="F249" s="7" t="n">
        <v>16031.08</v>
      </c>
      <c r="G249" s="16" t="s">
        <v>137</v>
      </c>
    </row>
    <row r="250" customFormat="false" ht="15" hidden="false" customHeight="false" outlineLevel="0" collapsed="false">
      <c r="A250" s="0" t="s">
        <v>143</v>
      </c>
      <c r="B250" s="14" t="n">
        <v>46111</v>
      </c>
      <c r="C250" s="16" t="s">
        <v>402</v>
      </c>
      <c r="D250" s="7" t="n">
        <v>-36.08</v>
      </c>
      <c r="E250" s="16" t="s">
        <v>161</v>
      </c>
      <c r="F250" s="7" t="n">
        <v>17271.35</v>
      </c>
      <c r="G250" s="16" t="s">
        <v>59</v>
      </c>
    </row>
    <row r="251" customFormat="false" ht="15" hidden="false" customHeight="false" outlineLevel="0" collapsed="false">
      <c r="A251" s="0" t="s">
        <v>143</v>
      </c>
      <c r="B251" s="14" t="n">
        <v>46111</v>
      </c>
      <c r="C251" s="16" t="s">
        <v>403</v>
      </c>
      <c r="D251" s="7" t="n">
        <v>-22.98</v>
      </c>
      <c r="E251" s="16" t="s">
        <v>161</v>
      </c>
      <c r="F251" s="7" t="n">
        <v>17307.43</v>
      </c>
      <c r="G251" s="16" t="s">
        <v>84</v>
      </c>
    </row>
    <row r="252" customFormat="false" ht="15" hidden="false" customHeight="false" outlineLevel="0" collapsed="false">
      <c r="A252" s="0" t="s">
        <v>143</v>
      </c>
      <c r="B252" s="14" t="n">
        <v>46111</v>
      </c>
      <c r="C252" s="16" t="s">
        <v>404</v>
      </c>
      <c r="D252" s="7" t="n">
        <v>-12.5</v>
      </c>
      <c r="E252" s="16" t="s">
        <v>145</v>
      </c>
      <c r="F252" s="7" t="n">
        <v>17330.41</v>
      </c>
      <c r="G252" s="16" t="s">
        <v>95</v>
      </c>
    </row>
    <row r="253" customFormat="false" ht="15" hidden="false" customHeight="false" outlineLevel="0" collapsed="false">
      <c r="A253" s="0" t="s">
        <v>143</v>
      </c>
      <c r="B253" s="14" t="n">
        <v>46111</v>
      </c>
      <c r="C253" s="16" t="s">
        <v>405</v>
      </c>
      <c r="D253" s="7" t="n">
        <v>-22.92</v>
      </c>
      <c r="E253" s="16" t="s">
        <v>145</v>
      </c>
      <c r="F253" s="7" t="n">
        <v>17342.91</v>
      </c>
      <c r="G253" s="16" t="s">
        <v>95</v>
      </c>
    </row>
    <row r="254" customFormat="false" ht="15" hidden="false" customHeight="false" outlineLevel="0" collapsed="false">
      <c r="A254" s="0" t="s">
        <v>143</v>
      </c>
      <c r="B254" s="14" t="n">
        <v>46111</v>
      </c>
      <c r="C254" s="16" t="s">
        <v>406</v>
      </c>
      <c r="D254" s="7" t="n">
        <v>-2524</v>
      </c>
      <c r="E254" s="16" t="s">
        <v>145</v>
      </c>
      <c r="F254" s="7" t="n">
        <v>17365.83</v>
      </c>
      <c r="G254" s="16" t="s">
        <v>74</v>
      </c>
    </row>
    <row r="255" customFormat="false" ht="15" hidden="false" customHeight="false" outlineLevel="0" collapsed="false">
      <c r="A255" s="0" t="s">
        <v>143</v>
      </c>
      <c r="B255" s="14" t="n">
        <v>46111</v>
      </c>
      <c r="C255" s="16" t="s">
        <v>407</v>
      </c>
      <c r="D255" s="7" t="n">
        <v>-1000</v>
      </c>
      <c r="E255" s="16" t="s">
        <v>148</v>
      </c>
      <c r="F255" s="7" t="n">
        <v>19889.83</v>
      </c>
      <c r="G255" s="16" t="s">
        <v>69</v>
      </c>
    </row>
    <row r="256" customFormat="false" ht="15" hidden="false" customHeight="false" outlineLevel="0" collapsed="false">
      <c r="A256" s="0" t="s">
        <v>143</v>
      </c>
      <c r="B256" s="14" t="n">
        <v>46111</v>
      </c>
      <c r="C256" s="16" t="s">
        <v>408</v>
      </c>
      <c r="D256" s="7" t="n">
        <v>-10000</v>
      </c>
      <c r="E256" s="16" t="s">
        <v>148</v>
      </c>
      <c r="F256" s="7" t="n">
        <v>20889.83</v>
      </c>
      <c r="G256" s="16" t="s">
        <v>68</v>
      </c>
    </row>
    <row r="257" customFormat="false" ht="15" hidden="false" customHeight="false" outlineLevel="0" collapsed="false">
      <c r="A257" s="0" t="s">
        <v>143</v>
      </c>
      <c r="B257" s="14" t="n">
        <v>46111</v>
      </c>
      <c r="C257" s="16" t="s">
        <v>409</v>
      </c>
      <c r="D257" s="7" t="n">
        <v>-75</v>
      </c>
      <c r="E257" s="16" t="s">
        <v>161</v>
      </c>
      <c r="F257" s="7" t="n">
        <v>30889.83</v>
      </c>
      <c r="G257" s="16" t="s">
        <v>55</v>
      </c>
    </row>
    <row r="258" customFormat="false" ht="15" hidden="false" customHeight="false" outlineLevel="0" collapsed="false">
      <c r="A258" s="0" t="s">
        <v>143</v>
      </c>
      <c r="B258" s="14" t="n">
        <v>46111</v>
      </c>
      <c r="C258" s="16" t="s">
        <v>410</v>
      </c>
      <c r="D258" s="7" t="n">
        <v>-1</v>
      </c>
      <c r="E258" s="16" t="s">
        <v>161</v>
      </c>
      <c r="F258" s="7" t="n">
        <v>30964.83</v>
      </c>
      <c r="G258" s="16" t="s">
        <v>59</v>
      </c>
    </row>
    <row r="259" customFormat="false" ht="15" hidden="false" customHeight="false" outlineLevel="0" collapsed="false">
      <c r="A259" s="0" t="s">
        <v>143</v>
      </c>
      <c r="B259" s="14" t="n">
        <v>46111</v>
      </c>
      <c r="C259" s="16" t="s">
        <v>411</v>
      </c>
      <c r="D259" s="7" t="n">
        <v>-17.98</v>
      </c>
      <c r="E259" s="16" t="s">
        <v>161</v>
      </c>
      <c r="F259" s="7" t="n">
        <v>30965.83</v>
      </c>
      <c r="G259" s="16" t="s">
        <v>84</v>
      </c>
    </row>
    <row r="260" customFormat="false" ht="15" hidden="false" customHeight="false" outlineLevel="0" collapsed="false">
      <c r="A260" s="0" t="s">
        <v>182</v>
      </c>
      <c r="B260" s="14" t="n">
        <v>46111</v>
      </c>
      <c r="C260" s="16" t="s">
        <v>412</v>
      </c>
      <c r="D260" s="7" t="n">
        <v>5000</v>
      </c>
      <c r="E260" s="16" t="s">
        <v>148</v>
      </c>
      <c r="F260" s="7" t="n">
        <v>30983.81</v>
      </c>
      <c r="G260" s="16" t="s">
        <v>35</v>
      </c>
    </row>
    <row r="261" customFormat="false" ht="15" hidden="false" customHeight="false" outlineLevel="0" collapsed="false">
      <c r="A261" s="0" t="s">
        <v>182</v>
      </c>
      <c r="B261" s="14" t="n">
        <v>46111</v>
      </c>
      <c r="C261" s="16" t="s">
        <v>413</v>
      </c>
      <c r="D261" s="7" t="n">
        <v>5000</v>
      </c>
      <c r="E261" s="16" t="s">
        <v>148</v>
      </c>
      <c r="F261" s="7" t="n">
        <v>25983.81</v>
      </c>
      <c r="G261" s="16" t="s">
        <v>35</v>
      </c>
    </row>
    <row r="262" customFormat="false" ht="15" hidden="false" customHeight="false" outlineLevel="0" collapsed="false">
      <c r="A262" s="0" t="s">
        <v>182</v>
      </c>
      <c r="B262" s="14" t="n">
        <v>46111</v>
      </c>
      <c r="C262" s="16" t="s">
        <v>414</v>
      </c>
      <c r="D262" s="7" t="n">
        <v>5000</v>
      </c>
      <c r="E262" s="16" t="s">
        <v>148</v>
      </c>
      <c r="F262" s="7" t="n">
        <v>20983.81</v>
      </c>
      <c r="G262" s="16" t="s">
        <v>35</v>
      </c>
    </row>
    <row r="263" customFormat="false" ht="15" hidden="false" customHeight="false" outlineLevel="0" collapsed="false">
      <c r="A263" s="0" t="s">
        <v>143</v>
      </c>
      <c r="B263" s="14" t="n">
        <v>46108</v>
      </c>
      <c r="C263" s="16" t="s">
        <v>415</v>
      </c>
      <c r="D263" s="7" t="n">
        <v>-135</v>
      </c>
      <c r="E263" s="16" t="s">
        <v>145</v>
      </c>
      <c r="F263" s="7" t="n">
        <v>15983.81</v>
      </c>
      <c r="G263" s="16" t="s">
        <v>60</v>
      </c>
    </row>
    <row r="264" customFormat="false" ht="15" hidden="false" customHeight="false" outlineLevel="0" collapsed="false">
      <c r="A264" s="0" t="s">
        <v>143</v>
      </c>
      <c r="B264" s="14" t="n">
        <v>46108</v>
      </c>
      <c r="C264" s="16" t="s">
        <v>416</v>
      </c>
      <c r="D264" s="7" t="n">
        <v>-1</v>
      </c>
      <c r="E264" s="16" t="s">
        <v>145</v>
      </c>
      <c r="F264" s="7" t="n">
        <v>16118.81</v>
      </c>
      <c r="G264" s="16" t="s">
        <v>60</v>
      </c>
    </row>
    <row r="265" customFormat="false" ht="15" hidden="false" customHeight="false" outlineLevel="0" collapsed="false">
      <c r="A265" s="0" t="s">
        <v>143</v>
      </c>
      <c r="B265" s="14" t="n">
        <v>46108</v>
      </c>
      <c r="C265" s="16" t="s">
        <v>417</v>
      </c>
      <c r="D265" s="7" t="n">
        <v>-55</v>
      </c>
      <c r="E265" s="16" t="s">
        <v>156</v>
      </c>
      <c r="F265" s="7" t="n">
        <v>16119.81</v>
      </c>
      <c r="G265" s="16" t="s">
        <v>85</v>
      </c>
    </row>
    <row r="266" customFormat="false" ht="15" hidden="false" customHeight="false" outlineLevel="0" collapsed="false">
      <c r="A266" s="0" t="s">
        <v>143</v>
      </c>
      <c r="B266" s="14" t="n">
        <v>46108</v>
      </c>
      <c r="C266" s="16" t="s">
        <v>418</v>
      </c>
      <c r="D266" s="7" t="n">
        <v>-121.21</v>
      </c>
      <c r="E266" s="16" t="s">
        <v>145</v>
      </c>
      <c r="F266" s="7" t="n">
        <v>16174.81</v>
      </c>
      <c r="G266" s="16" t="s">
        <v>86</v>
      </c>
    </row>
    <row r="267" customFormat="false" ht="15" hidden="false" customHeight="false" outlineLevel="0" collapsed="false">
      <c r="A267" s="0" t="s">
        <v>143</v>
      </c>
      <c r="B267" s="14" t="n">
        <v>46107</v>
      </c>
      <c r="C267" s="16" t="s">
        <v>177</v>
      </c>
      <c r="D267" s="7" t="n">
        <v>-5</v>
      </c>
      <c r="E267" s="16" t="s">
        <v>178</v>
      </c>
      <c r="F267" s="7" t="n">
        <v>16296.02</v>
      </c>
      <c r="G267" s="16" t="s">
        <v>51</v>
      </c>
    </row>
    <row r="268" customFormat="false" ht="15" hidden="false" customHeight="false" outlineLevel="0" collapsed="false">
      <c r="A268" s="0" t="s">
        <v>143</v>
      </c>
      <c r="B268" s="14" t="n">
        <v>46107</v>
      </c>
      <c r="C268" s="16" t="s">
        <v>419</v>
      </c>
      <c r="D268" s="7" t="n">
        <v>-750</v>
      </c>
      <c r="E268" s="16" t="s">
        <v>180</v>
      </c>
      <c r="F268" s="7" t="n">
        <v>16301.02</v>
      </c>
      <c r="G268" s="16" t="s">
        <v>51</v>
      </c>
    </row>
    <row r="269" customFormat="false" ht="15" hidden="false" customHeight="false" outlineLevel="0" collapsed="false">
      <c r="A269" s="0" t="s">
        <v>143</v>
      </c>
      <c r="B269" s="14" t="n">
        <v>46107</v>
      </c>
      <c r="C269" s="16" t="s">
        <v>420</v>
      </c>
      <c r="D269" s="7" t="n">
        <v>-20.51</v>
      </c>
      <c r="E269" s="16" t="s">
        <v>161</v>
      </c>
      <c r="F269" s="7" t="n">
        <v>17051.02</v>
      </c>
      <c r="G269" s="16" t="s">
        <v>102</v>
      </c>
    </row>
    <row r="270" customFormat="false" ht="15" hidden="false" customHeight="false" outlineLevel="0" collapsed="false">
      <c r="A270" s="0" t="s">
        <v>143</v>
      </c>
      <c r="B270" s="14" t="n">
        <v>46106</v>
      </c>
      <c r="C270" s="16" t="s">
        <v>421</v>
      </c>
      <c r="D270" s="7" t="n">
        <v>-16.98</v>
      </c>
      <c r="E270" s="16" t="s">
        <v>161</v>
      </c>
      <c r="F270" s="7" t="n">
        <v>17071.53</v>
      </c>
      <c r="G270" s="16" t="s">
        <v>84</v>
      </c>
    </row>
    <row r="271" customFormat="false" ht="15" hidden="false" customHeight="false" outlineLevel="0" collapsed="false">
      <c r="A271" s="0" t="s">
        <v>143</v>
      </c>
      <c r="B271" s="14" t="n">
        <v>46105</v>
      </c>
      <c r="C271" s="16" t="s">
        <v>422</v>
      </c>
      <c r="D271" s="7" t="n">
        <v>-2000</v>
      </c>
      <c r="E271" s="16" t="s">
        <v>148</v>
      </c>
      <c r="F271" s="7" t="n">
        <v>17088.51</v>
      </c>
      <c r="G271" s="16" t="s">
        <v>68</v>
      </c>
    </row>
    <row r="272" customFormat="false" ht="15" hidden="false" customHeight="false" outlineLevel="0" collapsed="false">
      <c r="A272" s="0" t="s">
        <v>143</v>
      </c>
      <c r="B272" s="14" t="n">
        <v>46105</v>
      </c>
      <c r="C272" s="16" t="s">
        <v>423</v>
      </c>
      <c r="D272" s="7" t="n">
        <v>-200</v>
      </c>
      <c r="E272" s="16" t="s">
        <v>148</v>
      </c>
      <c r="F272" s="7" t="n">
        <v>19088.51</v>
      </c>
      <c r="G272" s="16" t="s">
        <v>44</v>
      </c>
    </row>
    <row r="273" customFormat="false" ht="15" hidden="false" customHeight="false" outlineLevel="0" collapsed="false">
      <c r="A273" s="0" t="s">
        <v>143</v>
      </c>
      <c r="B273" s="14" t="n">
        <v>46105</v>
      </c>
      <c r="C273" s="16" t="s">
        <v>424</v>
      </c>
      <c r="D273" s="7" t="n">
        <v>-43.97</v>
      </c>
      <c r="E273" s="16" t="s">
        <v>161</v>
      </c>
      <c r="F273" s="7" t="n">
        <v>19288.51</v>
      </c>
      <c r="G273" s="16" t="s">
        <v>84</v>
      </c>
    </row>
    <row r="274" customFormat="false" ht="15" hidden="false" customHeight="false" outlineLevel="0" collapsed="false">
      <c r="A274" s="0" t="s">
        <v>143</v>
      </c>
      <c r="B274" s="14" t="n">
        <v>46104</v>
      </c>
      <c r="C274" s="16" t="s">
        <v>425</v>
      </c>
      <c r="D274" s="7" t="n">
        <v>-1750</v>
      </c>
      <c r="E274" s="16" t="s">
        <v>150</v>
      </c>
      <c r="F274" s="7" t="n">
        <v>19332.48</v>
      </c>
      <c r="G274" s="16" t="s">
        <v>54</v>
      </c>
    </row>
    <row r="275" customFormat="false" ht="15" hidden="false" customHeight="false" outlineLevel="0" collapsed="false">
      <c r="A275" s="0" t="s">
        <v>143</v>
      </c>
      <c r="B275" s="14" t="n">
        <v>46104</v>
      </c>
      <c r="C275" s="16" t="s">
        <v>426</v>
      </c>
      <c r="D275" s="7" t="n">
        <v>-25</v>
      </c>
      <c r="E275" s="16" t="s">
        <v>145</v>
      </c>
      <c r="F275" s="7" t="n">
        <v>21082.48</v>
      </c>
      <c r="G275" s="16" t="s">
        <v>60</v>
      </c>
    </row>
    <row r="276" customFormat="false" ht="15" hidden="false" customHeight="false" outlineLevel="0" collapsed="false">
      <c r="A276" s="0" t="s">
        <v>143</v>
      </c>
      <c r="B276" s="14" t="n">
        <v>46104</v>
      </c>
      <c r="C276" s="16" t="s">
        <v>427</v>
      </c>
      <c r="D276" s="7" t="n">
        <v>-25</v>
      </c>
      <c r="E276" s="16" t="s">
        <v>145</v>
      </c>
      <c r="F276" s="7" t="n">
        <v>21107.48</v>
      </c>
      <c r="G276" s="16" t="s">
        <v>60</v>
      </c>
    </row>
    <row r="277" customFormat="false" ht="15" hidden="false" customHeight="false" outlineLevel="0" collapsed="false">
      <c r="A277" s="0" t="s">
        <v>143</v>
      </c>
      <c r="B277" s="14" t="n">
        <v>46104</v>
      </c>
      <c r="C277" s="16" t="s">
        <v>428</v>
      </c>
      <c r="D277" s="7" t="n">
        <v>-1000</v>
      </c>
      <c r="E277" s="16" t="s">
        <v>145</v>
      </c>
      <c r="F277" s="7" t="n">
        <v>21132.48</v>
      </c>
      <c r="G277" s="16" t="s">
        <v>60</v>
      </c>
    </row>
    <row r="278" customFormat="false" ht="15" hidden="false" customHeight="false" outlineLevel="0" collapsed="false">
      <c r="A278" s="0" t="s">
        <v>143</v>
      </c>
      <c r="B278" s="14" t="n">
        <v>46104</v>
      </c>
      <c r="C278" s="16" t="s">
        <v>429</v>
      </c>
      <c r="D278" s="7" t="n">
        <v>-5000</v>
      </c>
      <c r="E278" s="16" t="s">
        <v>148</v>
      </c>
      <c r="F278" s="7" t="n">
        <v>22132.48</v>
      </c>
      <c r="G278" s="16" t="s">
        <v>68</v>
      </c>
    </row>
    <row r="279" customFormat="false" ht="15" hidden="false" customHeight="false" outlineLevel="0" collapsed="false">
      <c r="A279" s="0" t="s">
        <v>143</v>
      </c>
      <c r="B279" s="14" t="n">
        <v>46104</v>
      </c>
      <c r="C279" s="16" t="s">
        <v>430</v>
      </c>
      <c r="D279" s="7" t="n">
        <v>-7100</v>
      </c>
      <c r="E279" s="16" t="s">
        <v>220</v>
      </c>
      <c r="F279" s="7" t="n">
        <v>27132.48</v>
      </c>
      <c r="G279" s="16" t="s">
        <v>97</v>
      </c>
    </row>
    <row r="280" customFormat="false" ht="15" hidden="false" customHeight="false" outlineLevel="0" collapsed="false">
      <c r="A280" s="0" t="s">
        <v>143</v>
      </c>
      <c r="B280" s="14" t="n">
        <v>46104</v>
      </c>
      <c r="C280" s="16" t="s">
        <v>431</v>
      </c>
      <c r="D280" s="7" t="n">
        <v>-500</v>
      </c>
      <c r="E280" s="16" t="s">
        <v>220</v>
      </c>
      <c r="F280" s="7" t="n">
        <v>34232.48</v>
      </c>
      <c r="G280" s="16" t="s">
        <v>136</v>
      </c>
    </row>
    <row r="281" customFormat="false" ht="15" hidden="false" customHeight="false" outlineLevel="0" collapsed="false">
      <c r="A281" s="0" t="s">
        <v>143</v>
      </c>
      <c r="B281" s="14" t="n">
        <v>46104</v>
      </c>
      <c r="C281" s="16" t="s">
        <v>432</v>
      </c>
      <c r="D281" s="7" t="n">
        <v>-1400</v>
      </c>
      <c r="E281" s="16" t="s">
        <v>220</v>
      </c>
      <c r="F281" s="7" t="n">
        <v>34732.48</v>
      </c>
      <c r="G281" s="16" t="s">
        <v>136</v>
      </c>
    </row>
    <row r="282" customFormat="false" ht="15" hidden="false" customHeight="false" outlineLevel="0" collapsed="false">
      <c r="A282" s="0" t="s">
        <v>143</v>
      </c>
      <c r="B282" s="14" t="n">
        <v>46104</v>
      </c>
      <c r="C282" s="16" t="s">
        <v>433</v>
      </c>
      <c r="D282" s="7" t="n">
        <v>-600</v>
      </c>
      <c r="E282" s="16" t="s">
        <v>220</v>
      </c>
      <c r="F282" s="7" t="n">
        <v>36132.48</v>
      </c>
      <c r="G282" s="16" t="s">
        <v>136</v>
      </c>
    </row>
    <row r="283" customFormat="false" ht="15" hidden="false" customHeight="false" outlineLevel="0" collapsed="false">
      <c r="A283" s="0" t="s">
        <v>143</v>
      </c>
      <c r="B283" s="14" t="n">
        <v>46104</v>
      </c>
      <c r="C283" s="16" t="s">
        <v>434</v>
      </c>
      <c r="D283" s="7" t="n">
        <v>-1811.09</v>
      </c>
      <c r="E283" s="16" t="s">
        <v>220</v>
      </c>
      <c r="F283" s="7" t="n">
        <v>36732.48</v>
      </c>
      <c r="G283" s="16" t="s">
        <v>109</v>
      </c>
    </row>
    <row r="284" customFormat="false" ht="15" hidden="false" customHeight="false" outlineLevel="0" collapsed="false">
      <c r="A284" s="0" t="s">
        <v>143</v>
      </c>
      <c r="B284" s="14" t="n">
        <v>46104</v>
      </c>
      <c r="C284" s="16" t="s">
        <v>435</v>
      </c>
      <c r="D284" s="7" t="n">
        <v>-365.4</v>
      </c>
      <c r="E284" s="16" t="s">
        <v>161</v>
      </c>
      <c r="F284" s="7" t="n">
        <v>38543.57</v>
      </c>
      <c r="G284" s="16" t="s">
        <v>55</v>
      </c>
    </row>
    <row r="285" customFormat="false" ht="15" hidden="false" customHeight="false" outlineLevel="0" collapsed="false">
      <c r="A285" s="0" t="s">
        <v>143</v>
      </c>
      <c r="B285" s="14" t="n">
        <v>46104</v>
      </c>
      <c r="C285" s="16" t="s">
        <v>436</v>
      </c>
      <c r="D285" s="7" t="n">
        <v>-17.95</v>
      </c>
      <c r="E285" s="16" t="s">
        <v>161</v>
      </c>
      <c r="F285" s="7" t="n">
        <v>38908.97</v>
      </c>
      <c r="G285" s="16" t="s">
        <v>102</v>
      </c>
    </row>
    <row r="286" customFormat="false" ht="15" hidden="false" customHeight="false" outlineLevel="0" collapsed="false">
      <c r="A286" s="0" t="s">
        <v>143</v>
      </c>
      <c r="B286" s="14" t="n">
        <v>46104</v>
      </c>
      <c r="C286" s="16" t="s">
        <v>437</v>
      </c>
      <c r="D286" s="7" t="n">
        <v>-100</v>
      </c>
      <c r="E286" s="16" t="s">
        <v>156</v>
      </c>
      <c r="F286" s="7" t="n">
        <v>38926.92</v>
      </c>
      <c r="G286" s="16" t="s">
        <v>63</v>
      </c>
    </row>
    <row r="287" customFormat="false" ht="15" hidden="false" customHeight="false" outlineLevel="0" collapsed="false">
      <c r="A287" s="0" t="s">
        <v>143</v>
      </c>
      <c r="B287" s="14" t="n">
        <v>46104</v>
      </c>
      <c r="C287" s="16" t="s">
        <v>438</v>
      </c>
      <c r="D287" s="7" t="n">
        <v>-3000</v>
      </c>
      <c r="E287" s="16" t="s">
        <v>148</v>
      </c>
      <c r="F287" s="7" t="n">
        <v>39026.92</v>
      </c>
      <c r="G287" s="16" t="s">
        <v>68</v>
      </c>
    </row>
    <row r="288" customFormat="false" ht="15" hidden="false" customHeight="false" outlineLevel="0" collapsed="false">
      <c r="A288" s="0" t="s">
        <v>143</v>
      </c>
      <c r="B288" s="14" t="n">
        <v>46104</v>
      </c>
      <c r="C288" s="16" t="s">
        <v>439</v>
      </c>
      <c r="D288" s="7" t="n">
        <v>-1000</v>
      </c>
      <c r="E288" s="16" t="s">
        <v>148</v>
      </c>
      <c r="F288" s="7" t="n">
        <v>42026.92</v>
      </c>
      <c r="G288" s="16" t="s">
        <v>141</v>
      </c>
    </row>
    <row r="289" customFormat="false" ht="15" hidden="false" customHeight="false" outlineLevel="0" collapsed="false">
      <c r="A289" s="0" t="s">
        <v>143</v>
      </c>
      <c r="B289" s="14" t="n">
        <v>46104</v>
      </c>
      <c r="C289" s="16" t="s">
        <v>440</v>
      </c>
      <c r="D289" s="7" t="n">
        <v>-331.54</v>
      </c>
      <c r="E289" s="16" t="s">
        <v>145</v>
      </c>
      <c r="F289" s="7" t="n">
        <v>43026.92</v>
      </c>
      <c r="G289" s="16" t="s">
        <v>73</v>
      </c>
    </row>
    <row r="290" customFormat="false" ht="15" hidden="false" customHeight="false" outlineLevel="0" collapsed="false">
      <c r="A290" s="0" t="s">
        <v>182</v>
      </c>
      <c r="B290" s="14" t="n">
        <v>46104</v>
      </c>
      <c r="C290" s="16" t="s">
        <v>441</v>
      </c>
      <c r="D290" s="7" t="n">
        <v>20000</v>
      </c>
      <c r="E290" s="16" t="s">
        <v>148</v>
      </c>
      <c r="F290" s="7" t="n">
        <v>43358.46</v>
      </c>
      <c r="G290" s="16" t="s">
        <v>35</v>
      </c>
    </row>
    <row r="291" customFormat="false" ht="15" hidden="false" customHeight="false" outlineLevel="0" collapsed="false">
      <c r="A291" s="0" t="s">
        <v>143</v>
      </c>
      <c r="B291" s="14" t="n">
        <v>46101</v>
      </c>
      <c r="C291" s="16" t="s">
        <v>442</v>
      </c>
      <c r="D291" s="7" t="n">
        <v>-3500</v>
      </c>
      <c r="E291" s="16" t="s">
        <v>282</v>
      </c>
      <c r="F291" s="7" t="n">
        <v>23358.46</v>
      </c>
      <c r="G291" s="16" t="s">
        <v>52</v>
      </c>
    </row>
    <row r="292" customFormat="false" ht="15" hidden="false" customHeight="false" outlineLevel="0" collapsed="false">
      <c r="A292" s="0" t="s">
        <v>143</v>
      </c>
      <c r="B292" s="14" t="n">
        <v>46101</v>
      </c>
      <c r="C292" s="16" t="s">
        <v>443</v>
      </c>
      <c r="D292" s="7" t="n">
        <v>-19.97</v>
      </c>
      <c r="E292" s="16" t="s">
        <v>161</v>
      </c>
      <c r="F292" s="7" t="n">
        <v>26858.46</v>
      </c>
      <c r="G292" s="16" t="s">
        <v>84</v>
      </c>
    </row>
    <row r="293" customFormat="false" ht="15" hidden="false" customHeight="false" outlineLevel="0" collapsed="false">
      <c r="A293" s="0" t="s">
        <v>143</v>
      </c>
      <c r="B293" s="14" t="n">
        <v>46100</v>
      </c>
      <c r="C293" s="16" t="s">
        <v>444</v>
      </c>
      <c r="D293" s="7" t="n">
        <v>-10</v>
      </c>
      <c r="E293" s="16" t="s">
        <v>145</v>
      </c>
      <c r="F293" s="7" t="n">
        <v>26878.43</v>
      </c>
      <c r="G293" s="16" t="s">
        <v>60</v>
      </c>
    </row>
    <row r="294" customFormat="false" ht="15" hidden="false" customHeight="false" outlineLevel="0" collapsed="false">
      <c r="A294" s="0" t="s">
        <v>143</v>
      </c>
      <c r="B294" s="14" t="n">
        <v>46100</v>
      </c>
      <c r="C294" s="16" t="s">
        <v>445</v>
      </c>
      <c r="D294" s="7" t="n">
        <v>-22.98</v>
      </c>
      <c r="E294" s="16" t="s">
        <v>161</v>
      </c>
      <c r="F294" s="7" t="n">
        <v>26888.43</v>
      </c>
      <c r="G294" s="16" t="s">
        <v>84</v>
      </c>
    </row>
    <row r="295" customFormat="false" ht="15" hidden="false" customHeight="false" outlineLevel="0" collapsed="false">
      <c r="A295" s="0" t="s">
        <v>143</v>
      </c>
      <c r="B295" s="14" t="n">
        <v>46100</v>
      </c>
      <c r="C295" s="16" t="s">
        <v>446</v>
      </c>
      <c r="D295" s="7" t="n">
        <v>-47.98</v>
      </c>
      <c r="E295" s="16" t="s">
        <v>161</v>
      </c>
      <c r="F295" s="7" t="n">
        <v>26911.41</v>
      </c>
      <c r="G295" s="16" t="s">
        <v>84</v>
      </c>
    </row>
    <row r="296" customFormat="false" ht="15" hidden="false" customHeight="false" outlineLevel="0" collapsed="false">
      <c r="A296" s="0" t="s">
        <v>143</v>
      </c>
      <c r="B296" s="14" t="n">
        <v>46100</v>
      </c>
      <c r="C296" s="16" t="s">
        <v>447</v>
      </c>
      <c r="D296" s="7" t="n">
        <v>-16.98</v>
      </c>
      <c r="E296" s="16" t="s">
        <v>161</v>
      </c>
      <c r="F296" s="7" t="n">
        <v>26959.39</v>
      </c>
      <c r="G296" s="16" t="s">
        <v>84</v>
      </c>
    </row>
    <row r="297" customFormat="false" ht="15" hidden="false" customHeight="false" outlineLevel="0" collapsed="false">
      <c r="A297" s="0" t="s">
        <v>143</v>
      </c>
      <c r="B297" s="14" t="n">
        <v>46098</v>
      </c>
      <c r="C297" s="16" t="s">
        <v>448</v>
      </c>
      <c r="D297" s="7" t="n">
        <v>-500</v>
      </c>
      <c r="E297" s="16" t="s">
        <v>156</v>
      </c>
      <c r="F297" s="7" t="n">
        <v>26976.37</v>
      </c>
      <c r="G297" s="16" t="s">
        <v>64</v>
      </c>
    </row>
    <row r="298" customFormat="false" ht="15" hidden="false" customHeight="false" outlineLevel="0" collapsed="false">
      <c r="A298" s="0" t="s">
        <v>143</v>
      </c>
      <c r="B298" s="14" t="n">
        <v>46098</v>
      </c>
      <c r="C298" s="16" t="s">
        <v>449</v>
      </c>
      <c r="D298" s="7" t="n">
        <v>-4000</v>
      </c>
      <c r="E298" s="16" t="s">
        <v>148</v>
      </c>
      <c r="F298" s="7" t="n">
        <v>27476.37</v>
      </c>
      <c r="G298" s="16" t="s">
        <v>68</v>
      </c>
    </row>
    <row r="299" customFormat="false" ht="15" hidden="false" customHeight="false" outlineLevel="0" collapsed="false">
      <c r="A299" s="0" t="s">
        <v>143</v>
      </c>
      <c r="B299" s="14" t="n">
        <v>46098</v>
      </c>
      <c r="C299" s="16" t="s">
        <v>450</v>
      </c>
      <c r="D299" s="7" t="n">
        <v>-400</v>
      </c>
      <c r="E299" s="16" t="s">
        <v>156</v>
      </c>
      <c r="F299" s="7" t="n">
        <v>31476.37</v>
      </c>
      <c r="G299" s="16" t="s">
        <v>63</v>
      </c>
    </row>
    <row r="300" customFormat="false" ht="15" hidden="false" customHeight="false" outlineLevel="0" collapsed="false">
      <c r="A300" s="0" t="s">
        <v>143</v>
      </c>
      <c r="B300" s="14" t="n">
        <v>46098</v>
      </c>
      <c r="C300" s="16" t="s">
        <v>451</v>
      </c>
      <c r="D300" s="7" t="n">
        <v>-60</v>
      </c>
      <c r="E300" s="16" t="s">
        <v>156</v>
      </c>
      <c r="F300" s="7" t="n">
        <v>31876.37</v>
      </c>
      <c r="G300" s="16" t="s">
        <v>85</v>
      </c>
    </row>
    <row r="301" customFormat="false" ht="15" hidden="false" customHeight="false" outlineLevel="0" collapsed="false">
      <c r="A301" s="0" t="s">
        <v>143</v>
      </c>
      <c r="B301" s="14" t="n">
        <v>46098</v>
      </c>
      <c r="C301" s="16" t="s">
        <v>452</v>
      </c>
      <c r="D301" s="7" t="n">
        <v>-104.01</v>
      </c>
      <c r="E301" s="16" t="s">
        <v>145</v>
      </c>
      <c r="F301" s="7" t="n">
        <v>31936.37</v>
      </c>
      <c r="G301" s="16" t="s">
        <v>82</v>
      </c>
    </row>
    <row r="302" customFormat="false" ht="15" hidden="false" customHeight="false" outlineLevel="0" collapsed="false">
      <c r="A302" s="0" t="s">
        <v>143</v>
      </c>
      <c r="B302" s="14" t="n">
        <v>46097</v>
      </c>
      <c r="C302" s="16" t="s">
        <v>453</v>
      </c>
      <c r="D302" s="7" t="n">
        <v>-1750</v>
      </c>
      <c r="E302" s="16" t="s">
        <v>150</v>
      </c>
      <c r="F302" s="7" t="n">
        <v>32040.38</v>
      </c>
      <c r="G302" s="16" t="s">
        <v>54</v>
      </c>
    </row>
    <row r="303" customFormat="false" ht="15" hidden="false" customHeight="false" outlineLevel="0" collapsed="false">
      <c r="A303" s="0" t="s">
        <v>143</v>
      </c>
      <c r="B303" s="14" t="n">
        <v>46097</v>
      </c>
      <c r="C303" s="16" t="s">
        <v>454</v>
      </c>
      <c r="D303" s="7" t="n">
        <v>-150</v>
      </c>
      <c r="E303" s="16" t="s">
        <v>145</v>
      </c>
      <c r="F303" s="7" t="n">
        <v>33790.38</v>
      </c>
      <c r="G303" s="16" t="s">
        <v>60</v>
      </c>
    </row>
    <row r="304" customFormat="false" ht="15" hidden="false" customHeight="false" outlineLevel="0" collapsed="false">
      <c r="A304" s="0" t="s">
        <v>143</v>
      </c>
      <c r="B304" s="14" t="n">
        <v>46097</v>
      </c>
      <c r="C304" s="16" t="s">
        <v>455</v>
      </c>
      <c r="D304" s="7" t="n">
        <v>-3000</v>
      </c>
      <c r="E304" s="16" t="s">
        <v>148</v>
      </c>
      <c r="F304" s="7" t="n">
        <v>33940.38</v>
      </c>
      <c r="G304" s="16" t="s">
        <v>68</v>
      </c>
    </row>
    <row r="305" customFormat="false" ht="15" hidden="false" customHeight="false" outlineLevel="0" collapsed="false">
      <c r="A305" s="0" t="s">
        <v>143</v>
      </c>
      <c r="B305" s="14" t="n">
        <v>46097</v>
      </c>
      <c r="C305" s="16" t="s">
        <v>456</v>
      </c>
      <c r="D305" s="7" t="n">
        <v>-600</v>
      </c>
      <c r="E305" s="16" t="s">
        <v>161</v>
      </c>
      <c r="F305" s="7" t="n">
        <v>36940.38</v>
      </c>
      <c r="G305" s="16" t="s">
        <v>17</v>
      </c>
    </row>
    <row r="306" customFormat="false" ht="15" hidden="false" customHeight="false" outlineLevel="0" collapsed="false">
      <c r="A306" s="0" t="s">
        <v>143</v>
      </c>
      <c r="B306" s="14" t="n">
        <v>46097</v>
      </c>
      <c r="C306" s="16" t="s">
        <v>457</v>
      </c>
      <c r="D306" s="7" t="n">
        <v>-300</v>
      </c>
      <c r="E306" s="16" t="s">
        <v>161</v>
      </c>
      <c r="F306" s="7" t="n">
        <v>37540.38</v>
      </c>
      <c r="G306" s="16" t="s">
        <v>55</v>
      </c>
    </row>
    <row r="307" customFormat="false" ht="15" hidden="false" customHeight="false" outlineLevel="0" collapsed="false">
      <c r="A307" s="0" t="s">
        <v>143</v>
      </c>
      <c r="B307" s="14" t="n">
        <v>46094</v>
      </c>
      <c r="C307" s="16" t="s">
        <v>458</v>
      </c>
      <c r="D307" s="7" t="n">
        <v>-25</v>
      </c>
      <c r="E307" s="16" t="s">
        <v>156</v>
      </c>
      <c r="F307" s="7" t="n">
        <v>37840.38</v>
      </c>
      <c r="G307" s="16" t="s">
        <v>85</v>
      </c>
    </row>
    <row r="308" customFormat="false" ht="15" hidden="false" customHeight="false" outlineLevel="0" collapsed="false">
      <c r="A308" s="0" t="s">
        <v>143</v>
      </c>
      <c r="B308" s="14" t="n">
        <v>46093</v>
      </c>
      <c r="C308" s="16" t="s">
        <v>177</v>
      </c>
      <c r="D308" s="7" t="n">
        <v>-5</v>
      </c>
      <c r="E308" s="16" t="s">
        <v>178</v>
      </c>
      <c r="F308" s="7" t="n">
        <v>37865.38</v>
      </c>
      <c r="G308" s="16" t="s">
        <v>51</v>
      </c>
    </row>
    <row r="309" customFormat="false" ht="15" hidden="false" customHeight="false" outlineLevel="0" collapsed="false">
      <c r="A309" s="0" t="s">
        <v>143</v>
      </c>
      <c r="B309" s="14" t="n">
        <v>46093</v>
      </c>
      <c r="C309" s="16" t="s">
        <v>459</v>
      </c>
      <c r="D309" s="7" t="n">
        <v>-7</v>
      </c>
      <c r="E309" s="16" t="s">
        <v>145</v>
      </c>
      <c r="F309" s="7" t="n">
        <v>37870.38</v>
      </c>
      <c r="G309" s="16" t="s">
        <v>60</v>
      </c>
    </row>
    <row r="310" customFormat="false" ht="15" hidden="false" customHeight="false" outlineLevel="0" collapsed="false">
      <c r="A310" s="0" t="s">
        <v>143</v>
      </c>
      <c r="B310" s="14" t="n">
        <v>46093</v>
      </c>
      <c r="C310" s="16" t="s">
        <v>460</v>
      </c>
      <c r="D310" s="7" t="n">
        <v>-750</v>
      </c>
      <c r="E310" s="16" t="s">
        <v>180</v>
      </c>
      <c r="F310" s="7" t="n">
        <v>37877.38</v>
      </c>
      <c r="G310" s="16" t="s">
        <v>51</v>
      </c>
    </row>
    <row r="311" customFormat="false" ht="15" hidden="false" customHeight="false" outlineLevel="0" collapsed="false">
      <c r="A311" s="0" t="s">
        <v>143</v>
      </c>
      <c r="B311" s="14" t="n">
        <v>46092</v>
      </c>
      <c r="C311" s="16" t="s">
        <v>461</v>
      </c>
      <c r="D311" s="7" t="n">
        <v>-10</v>
      </c>
      <c r="E311" s="16" t="s">
        <v>145</v>
      </c>
      <c r="F311" s="7" t="n">
        <v>38627.38</v>
      </c>
      <c r="G311" s="16" t="s">
        <v>60</v>
      </c>
    </row>
    <row r="312" customFormat="false" ht="15" hidden="false" customHeight="false" outlineLevel="0" collapsed="false">
      <c r="A312" s="0" t="s">
        <v>143</v>
      </c>
      <c r="B312" s="14" t="n">
        <v>46092</v>
      </c>
      <c r="C312" s="16" t="s">
        <v>462</v>
      </c>
      <c r="D312" s="7" t="n">
        <v>-57.97</v>
      </c>
      <c r="E312" s="16" t="s">
        <v>161</v>
      </c>
      <c r="F312" s="7" t="n">
        <v>38637.38</v>
      </c>
      <c r="G312" s="16" t="s">
        <v>102</v>
      </c>
    </row>
    <row r="313" customFormat="false" ht="15" hidden="false" customHeight="false" outlineLevel="0" collapsed="false">
      <c r="A313" s="0" t="s">
        <v>463</v>
      </c>
      <c r="B313" s="14" t="n">
        <v>46092</v>
      </c>
      <c r="C313" s="16" t="s">
        <v>464</v>
      </c>
      <c r="D313" s="7" t="n">
        <v>20000</v>
      </c>
      <c r="E313" s="16" t="s">
        <v>465</v>
      </c>
      <c r="F313" s="7" t="n">
        <v>38695.35</v>
      </c>
      <c r="G313" s="16" t="s">
        <v>17</v>
      </c>
    </row>
    <row r="314" customFormat="false" ht="15" hidden="false" customHeight="false" outlineLevel="0" collapsed="false">
      <c r="A314" s="0" t="s">
        <v>143</v>
      </c>
      <c r="B314" s="14" t="n">
        <v>46090</v>
      </c>
      <c r="C314" s="16" t="s">
        <v>466</v>
      </c>
      <c r="D314" s="7" t="n">
        <v>-1000</v>
      </c>
      <c r="E314" s="16" t="s">
        <v>156</v>
      </c>
      <c r="F314" s="7" t="n">
        <v>18695.35</v>
      </c>
      <c r="G314" s="16" t="s">
        <v>61</v>
      </c>
    </row>
    <row r="315" customFormat="false" ht="15" hidden="false" customHeight="false" outlineLevel="0" collapsed="false">
      <c r="A315" s="0" t="s">
        <v>143</v>
      </c>
      <c r="B315" s="14" t="n">
        <v>46090</v>
      </c>
      <c r="C315" s="16" t="s">
        <v>467</v>
      </c>
      <c r="D315" s="7" t="n">
        <v>-1750</v>
      </c>
      <c r="E315" s="16" t="s">
        <v>150</v>
      </c>
      <c r="F315" s="7" t="n">
        <v>19695.35</v>
      </c>
      <c r="G315" s="16" t="s">
        <v>54</v>
      </c>
    </row>
    <row r="316" customFormat="false" ht="15" hidden="false" customHeight="false" outlineLevel="0" collapsed="false">
      <c r="A316" s="0" t="s">
        <v>143</v>
      </c>
      <c r="B316" s="14" t="n">
        <v>46090</v>
      </c>
      <c r="C316" s="16" t="s">
        <v>468</v>
      </c>
      <c r="D316" s="7" t="n">
        <v>-5000</v>
      </c>
      <c r="E316" s="16" t="s">
        <v>148</v>
      </c>
      <c r="F316" s="7" t="n">
        <v>21445.35</v>
      </c>
      <c r="G316" s="16" t="s">
        <v>68</v>
      </c>
    </row>
    <row r="317" customFormat="false" ht="15" hidden="false" customHeight="false" outlineLevel="0" collapsed="false">
      <c r="A317" s="0" t="s">
        <v>143</v>
      </c>
      <c r="B317" s="14" t="n">
        <v>46087</v>
      </c>
      <c r="C317" s="16" t="s">
        <v>469</v>
      </c>
      <c r="D317" s="7" t="n">
        <v>-50</v>
      </c>
      <c r="E317" s="16" t="s">
        <v>145</v>
      </c>
      <c r="F317" s="7" t="n">
        <v>26445.35</v>
      </c>
      <c r="G317" s="16" t="s">
        <v>60</v>
      </c>
    </row>
    <row r="318" customFormat="false" ht="15" hidden="false" customHeight="false" outlineLevel="0" collapsed="false">
      <c r="A318" s="0" t="s">
        <v>143</v>
      </c>
      <c r="B318" s="14" t="n">
        <v>46087</v>
      </c>
      <c r="C318" s="16" t="s">
        <v>470</v>
      </c>
      <c r="D318" s="7" t="n">
        <v>-100</v>
      </c>
      <c r="E318" s="16" t="s">
        <v>161</v>
      </c>
      <c r="F318" s="7" t="n">
        <v>26495.35</v>
      </c>
      <c r="G318" s="16" t="s">
        <v>101</v>
      </c>
    </row>
    <row r="319" customFormat="false" ht="15" hidden="false" customHeight="false" outlineLevel="0" collapsed="false">
      <c r="A319" s="0" t="s">
        <v>143</v>
      </c>
      <c r="B319" s="14" t="n">
        <v>46087</v>
      </c>
      <c r="C319" s="16" t="s">
        <v>471</v>
      </c>
      <c r="D319" s="7" t="n">
        <v>-250</v>
      </c>
      <c r="E319" s="16" t="s">
        <v>161</v>
      </c>
      <c r="F319" s="7" t="n">
        <v>26595.35</v>
      </c>
      <c r="G319" s="16" t="s">
        <v>55</v>
      </c>
    </row>
    <row r="320" customFormat="false" ht="15" hidden="false" customHeight="false" outlineLevel="0" collapsed="false">
      <c r="A320" s="0" t="s">
        <v>143</v>
      </c>
      <c r="B320" s="14" t="n">
        <v>46085</v>
      </c>
      <c r="C320" s="16" t="s">
        <v>472</v>
      </c>
      <c r="D320" s="7" t="n">
        <v>-60</v>
      </c>
      <c r="E320" s="16" t="s">
        <v>145</v>
      </c>
      <c r="F320" s="7" t="n">
        <v>26845.35</v>
      </c>
      <c r="G320" s="16" t="s">
        <v>76</v>
      </c>
    </row>
    <row r="321" customFormat="false" ht="15" hidden="false" customHeight="false" outlineLevel="0" collapsed="false">
      <c r="A321" s="0" t="s">
        <v>143</v>
      </c>
      <c r="B321" s="14" t="n">
        <v>46085</v>
      </c>
      <c r="C321" s="16" t="s">
        <v>473</v>
      </c>
      <c r="D321" s="7" t="n">
        <v>-10.78</v>
      </c>
      <c r="E321" s="16" t="s">
        <v>161</v>
      </c>
      <c r="F321" s="7" t="n">
        <v>26905.35</v>
      </c>
      <c r="G321" s="16" t="s">
        <v>83</v>
      </c>
    </row>
    <row r="322" customFormat="false" ht="15" hidden="false" customHeight="false" outlineLevel="0" collapsed="false">
      <c r="A322" s="0" t="s">
        <v>182</v>
      </c>
      <c r="B322" s="14" t="n">
        <v>46085</v>
      </c>
      <c r="C322" s="16" t="s">
        <v>474</v>
      </c>
      <c r="D322" s="7" t="n">
        <v>8556.41</v>
      </c>
      <c r="E322" s="16" t="s">
        <v>184</v>
      </c>
      <c r="F322" s="7" t="n">
        <v>26916.13</v>
      </c>
      <c r="G322" s="16" t="s">
        <v>18</v>
      </c>
    </row>
    <row r="323" customFormat="false" ht="15" hidden="false" customHeight="false" outlineLevel="0" collapsed="false">
      <c r="A323" s="0" t="s">
        <v>143</v>
      </c>
      <c r="B323" s="14" t="n">
        <v>46084</v>
      </c>
      <c r="C323" s="16" t="s">
        <v>475</v>
      </c>
      <c r="D323" s="7" t="n">
        <v>-4190.21</v>
      </c>
      <c r="E323" s="16" t="s">
        <v>145</v>
      </c>
      <c r="F323" s="7" t="n">
        <v>18359.72</v>
      </c>
      <c r="G323" s="16" t="s">
        <v>19</v>
      </c>
    </row>
    <row r="324" customFormat="false" ht="15" hidden="false" customHeight="false" outlineLevel="0" collapsed="false">
      <c r="A324" s="0" t="s">
        <v>143</v>
      </c>
      <c r="B324" s="14" t="n">
        <v>46084</v>
      </c>
      <c r="C324" s="16" t="s">
        <v>476</v>
      </c>
      <c r="D324" s="7" t="n">
        <v>-4366.2</v>
      </c>
      <c r="E324" s="16" t="s">
        <v>145</v>
      </c>
      <c r="F324" s="7" t="n">
        <v>22549.93</v>
      </c>
      <c r="G324" s="16" t="s">
        <v>20</v>
      </c>
    </row>
    <row r="325" customFormat="false" ht="15" hidden="false" customHeight="false" outlineLevel="0" collapsed="false">
      <c r="A325" s="0" t="s">
        <v>143</v>
      </c>
      <c r="B325" s="14" t="n">
        <v>46084</v>
      </c>
      <c r="C325" s="16" t="s">
        <v>477</v>
      </c>
      <c r="D325" s="7" t="n">
        <v>-100</v>
      </c>
      <c r="E325" s="16" t="s">
        <v>156</v>
      </c>
      <c r="F325" s="7" t="n">
        <v>26916.13</v>
      </c>
      <c r="G325" s="16" t="s">
        <v>63</v>
      </c>
    </row>
    <row r="326" customFormat="false" ht="15" hidden="false" customHeight="false" outlineLevel="0" collapsed="false">
      <c r="A326" s="0" t="s">
        <v>143</v>
      </c>
      <c r="B326" s="14" t="n">
        <v>46084</v>
      </c>
      <c r="C326" s="16" t="s">
        <v>478</v>
      </c>
      <c r="D326" s="7" t="n">
        <v>-7100</v>
      </c>
      <c r="E326" s="16" t="s">
        <v>220</v>
      </c>
      <c r="F326" s="7" t="n">
        <v>27016.13</v>
      </c>
      <c r="G326" s="16" t="s">
        <v>97</v>
      </c>
    </row>
    <row r="327" customFormat="false" ht="15" hidden="false" customHeight="false" outlineLevel="0" collapsed="false">
      <c r="A327" s="0" t="s">
        <v>143</v>
      </c>
      <c r="B327" s="14" t="n">
        <v>46084</v>
      </c>
      <c r="C327" s="16" t="s">
        <v>479</v>
      </c>
      <c r="D327" s="7" t="n">
        <v>-500</v>
      </c>
      <c r="E327" s="16" t="s">
        <v>220</v>
      </c>
      <c r="F327" s="7" t="n">
        <v>34116.13</v>
      </c>
      <c r="G327" s="16" t="s">
        <v>136</v>
      </c>
    </row>
    <row r="328" customFormat="false" ht="15" hidden="false" customHeight="false" outlineLevel="0" collapsed="false">
      <c r="A328" s="0" t="s">
        <v>143</v>
      </c>
      <c r="B328" s="14" t="n">
        <v>46084</v>
      </c>
      <c r="C328" s="16" t="s">
        <v>480</v>
      </c>
      <c r="D328" s="7" t="n">
        <v>-1400</v>
      </c>
      <c r="E328" s="16" t="s">
        <v>220</v>
      </c>
      <c r="F328" s="7" t="n">
        <v>34616.13</v>
      </c>
      <c r="G328" s="16" t="s">
        <v>136</v>
      </c>
    </row>
    <row r="329" customFormat="false" ht="15" hidden="false" customHeight="false" outlineLevel="0" collapsed="false">
      <c r="A329" s="0" t="s">
        <v>143</v>
      </c>
      <c r="B329" s="14" t="n">
        <v>46084</v>
      </c>
      <c r="C329" s="16" t="s">
        <v>481</v>
      </c>
      <c r="D329" s="7" t="n">
        <v>-300</v>
      </c>
      <c r="E329" s="16" t="s">
        <v>220</v>
      </c>
      <c r="F329" s="7" t="n">
        <v>36016.13</v>
      </c>
      <c r="G329" s="16" t="s">
        <v>136</v>
      </c>
    </row>
    <row r="330" customFormat="false" ht="15" hidden="false" customHeight="false" outlineLevel="0" collapsed="false">
      <c r="A330" s="0" t="s">
        <v>143</v>
      </c>
      <c r="B330" s="14" t="n">
        <v>46084</v>
      </c>
      <c r="C330" s="16" t="s">
        <v>482</v>
      </c>
      <c r="D330" s="7" t="n">
        <v>-5000</v>
      </c>
      <c r="E330" s="16" t="s">
        <v>148</v>
      </c>
      <c r="F330" s="7" t="n">
        <v>36316.13</v>
      </c>
      <c r="G330" s="16" t="s">
        <v>68</v>
      </c>
    </row>
    <row r="331" customFormat="false" ht="15" hidden="false" customHeight="false" outlineLevel="0" collapsed="false">
      <c r="A331" s="0" t="s">
        <v>143</v>
      </c>
      <c r="B331" s="14" t="n">
        <v>46084</v>
      </c>
      <c r="C331" s="16" t="s">
        <v>483</v>
      </c>
      <c r="D331" s="7" t="n">
        <v>-20.97</v>
      </c>
      <c r="E331" s="16" t="s">
        <v>161</v>
      </c>
      <c r="F331" s="7" t="n">
        <v>41316.13</v>
      </c>
      <c r="G331" s="16" t="s">
        <v>84</v>
      </c>
    </row>
    <row r="332" customFormat="false" ht="15" hidden="false" customHeight="false" outlineLevel="0" collapsed="false">
      <c r="A332" s="0" t="s">
        <v>182</v>
      </c>
      <c r="B332" s="14" t="n">
        <v>46084</v>
      </c>
      <c r="C332" s="16" t="s">
        <v>484</v>
      </c>
      <c r="D332" s="7" t="n">
        <v>20000</v>
      </c>
      <c r="E332" s="16" t="s">
        <v>148</v>
      </c>
      <c r="F332" s="7" t="n">
        <v>41337.1</v>
      </c>
      <c r="G332" s="16" t="s">
        <v>35</v>
      </c>
    </row>
    <row r="333" customFormat="false" ht="15" hidden="false" customHeight="false" outlineLevel="0" collapsed="false">
      <c r="A333" s="0" t="s">
        <v>143</v>
      </c>
      <c r="B333" s="14" t="n">
        <v>46083</v>
      </c>
      <c r="C333" s="16" t="s">
        <v>485</v>
      </c>
      <c r="D333" s="7" t="n">
        <v>-15</v>
      </c>
      <c r="E333" s="16" t="s">
        <v>178</v>
      </c>
      <c r="F333" s="7" t="n">
        <v>21337.1</v>
      </c>
      <c r="G333" s="16" t="s">
        <v>80</v>
      </c>
    </row>
    <row r="334" customFormat="false" ht="15" hidden="false" customHeight="false" outlineLevel="0" collapsed="false">
      <c r="A334" s="0" t="s">
        <v>143</v>
      </c>
      <c r="B334" s="14" t="n">
        <v>46083</v>
      </c>
      <c r="C334" s="16" t="s">
        <v>486</v>
      </c>
      <c r="D334" s="7" t="n">
        <v>-4000</v>
      </c>
      <c r="E334" s="16" t="s">
        <v>148</v>
      </c>
      <c r="F334" s="7" t="n">
        <v>21352.1</v>
      </c>
      <c r="G334" s="16" t="s">
        <v>68</v>
      </c>
    </row>
    <row r="335" customFormat="false" ht="15" hidden="false" customHeight="false" outlineLevel="0" collapsed="false">
      <c r="A335" s="0" t="s">
        <v>143</v>
      </c>
      <c r="B335" s="14" t="n">
        <v>46083</v>
      </c>
      <c r="C335" s="16" t="s">
        <v>487</v>
      </c>
      <c r="D335" s="7" t="n">
        <v>-150</v>
      </c>
      <c r="E335" s="16" t="s">
        <v>145</v>
      </c>
      <c r="F335" s="7" t="n">
        <v>25352.1</v>
      </c>
      <c r="G335" s="16" t="s">
        <v>60</v>
      </c>
    </row>
    <row r="336" customFormat="false" ht="15" hidden="false" customHeight="false" outlineLevel="0" collapsed="false">
      <c r="A336" s="0" t="s">
        <v>143</v>
      </c>
      <c r="B336" s="14" t="n">
        <v>46083</v>
      </c>
      <c r="C336" s="16" t="s">
        <v>488</v>
      </c>
      <c r="D336" s="7" t="n">
        <v>-1750</v>
      </c>
      <c r="E336" s="16" t="s">
        <v>150</v>
      </c>
      <c r="F336" s="7" t="n">
        <v>25502.1</v>
      </c>
      <c r="G336" s="16" t="s">
        <v>54</v>
      </c>
    </row>
    <row r="337" customFormat="false" ht="15" hidden="false" customHeight="false" outlineLevel="0" collapsed="false">
      <c r="A337" s="0" t="s">
        <v>143</v>
      </c>
      <c r="B337" s="14" t="n">
        <v>46083</v>
      </c>
      <c r="C337" s="16" t="s">
        <v>489</v>
      </c>
      <c r="D337" s="7" t="n">
        <v>-125.69</v>
      </c>
      <c r="E337" s="16" t="s">
        <v>161</v>
      </c>
      <c r="F337" s="7" t="n">
        <v>27252.1</v>
      </c>
      <c r="G337" s="16" t="s">
        <v>53</v>
      </c>
    </row>
    <row r="338" customFormat="false" ht="15" hidden="false" customHeight="false" outlineLevel="0" collapsed="false">
      <c r="A338" s="0" t="s">
        <v>143</v>
      </c>
      <c r="B338" s="14" t="n">
        <v>46083</v>
      </c>
      <c r="C338" s="16" t="s">
        <v>490</v>
      </c>
      <c r="D338" s="7" t="n">
        <v>-130</v>
      </c>
      <c r="E338" s="16" t="s">
        <v>145</v>
      </c>
      <c r="F338" s="7" t="n">
        <v>27377.79</v>
      </c>
      <c r="G338" s="16" t="s">
        <v>60</v>
      </c>
    </row>
    <row r="339" customFormat="false" ht="15" hidden="false" customHeight="false" outlineLevel="0" collapsed="false">
      <c r="A339" s="0" t="s">
        <v>143</v>
      </c>
      <c r="B339" s="14" t="n">
        <v>46083</v>
      </c>
      <c r="C339" s="16" t="s">
        <v>491</v>
      </c>
      <c r="D339" s="7" t="n">
        <v>-627.18</v>
      </c>
      <c r="E339" s="16" t="s">
        <v>145</v>
      </c>
      <c r="F339" s="7" t="n">
        <v>27507.79</v>
      </c>
      <c r="G339" s="16" t="s">
        <v>137</v>
      </c>
    </row>
    <row r="340" customFormat="false" ht="15" hidden="false" customHeight="false" outlineLevel="0" collapsed="false">
      <c r="A340" s="0" t="s">
        <v>143</v>
      </c>
      <c r="B340" s="14" t="n">
        <v>46083</v>
      </c>
      <c r="C340" s="16" t="s">
        <v>492</v>
      </c>
      <c r="D340" s="7" t="n">
        <v>-974.85</v>
      </c>
      <c r="E340" s="16" t="s">
        <v>145</v>
      </c>
      <c r="F340" s="7" t="n">
        <v>28134.97</v>
      </c>
      <c r="G340" s="16" t="s">
        <v>140</v>
      </c>
    </row>
    <row r="341" customFormat="false" ht="15" hidden="false" customHeight="false" outlineLevel="0" collapsed="false">
      <c r="A341" s="0" t="s">
        <v>143</v>
      </c>
      <c r="B341" s="14" t="n">
        <v>46083</v>
      </c>
      <c r="C341" s="16" t="s">
        <v>493</v>
      </c>
      <c r="D341" s="7" t="n">
        <v>-1000</v>
      </c>
      <c r="E341" s="16" t="s">
        <v>145</v>
      </c>
      <c r="F341" s="7" t="n">
        <v>29109.82</v>
      </c>
      <c r="G341" s="16" t="s">
        <v>60</v>
      </c>
    </row>
    <row r="342" customFormat="false" ht="15" hidden="false" customHeight="false" outlineLevel="0" collapsed="false">
      <c r="A342" s="0" t="s">
        <v>143</v>
      </c>
      <c r="B342" s="14" t="n">
        <v>46083</v>
      </c>
      <c r="C342" s="16" t="s">
        <v>494</v>
      </c>
      <c r="D342" s="7" t="n">
        <v>-1240.27</v>
      </c>
      <c r="E342" s="16" t="s">
        <v>145</v>
      </c>
      <c r="F342" s="7" t="n">
        <v>30109.82</v>
      </c>
      <c r="G342" s="16" t="s">
        <v>137</v>
      </c>
    </row>
    <row r="343" customFormat="false" ht="15" hidden="false" customHeight="false" outlineLevel="0" collapsed="false">
      <c r="A343" s="0" t="s">
        <v>143</v>
      </c>
      <c r="B343" s="14" t="n">
        <v>46083</v>
      </c>
      <c r="C343" s="16" t="s">
        <v>495</v>
      </c>
      <c r="D343" s="7" t="n">
        <v>-2524</v>
      </c>
      <c r="E343" s="16" t="s">
        <v>145</v>
      </c>
      <c r="F343" s="7" t="n">
        <v>31350.09</v>
      </c>
      <c r="G343" s="16" t="s">
        <v>74</v>
      </c>
    </row>
    <row r="344" customFormat="false" ht="15" hidden="false" customHeight="false" outlineLevel="0" collapsed="false">
      <c r="A344" s="0" t="s">
        <v>143</v>
      </c>
      <c r="B344" s="14" t="n">
        <v>46083</v>
      </c>
      <c r="C344" s="16" t="s">
        <v>496</v>
      </c>
      <c r="D344" s="7" t="n">
        <v>-22.98</v>
      </c>
      <c r="E344" s="16" t="s">
        <v>161</v>
      </c>
      <c r="F344" s="7" t="n">
        <v>33874.09</v>
      </c>
      <c r="G344" s="16" t="s">
        <v>84</v>
      </c>
    </row>
    <row r="345" customFormat="false" ht="15" hidden="false" customHeight="false" outlineLevel="0" collapsed="false">
      <c r="A345" s="0" t="s">
        <v>143</v>
      </c>
      <c r="B345" s="14" t="n">
        <v>46083</v>
      </c>
      <c r="C345" s="16" t="s">
        <v>497</v>
      </c>
      <c r="D345" s="7" t="n">
        <v>-1293.42</v>
      </c>
      <c r="E345" s="16" t="s">
        <v>161</v>
      </c>
      <c r="F345" s="7" t="n">
        <v>33897.07</v>
      </c>
      <c r="G345" s="16" t="s">
        <v>140</v>
      </c>
    </row>
    <row r="346" customFormat="false" ht="15" hidden="false" customHeight="false" outlineLevel="0" collapsed="false">
      <c r="A346" s="0" t="s">
        <v>143</v>
      </c>
      <c r="B346" s="14" t="n">
        <v>46083</v>
      </c>
      <c r="C346" s="16" t="s">
        <v>498</v>
      </c>
      <c r="D346" s="7" t="n">
        <v>-12.5</v>
      </c>
      <c r="E346" s="16" t="s">
        <v>145</v>
      </c>
      <c r="F346" s="7" t="n">
        <v>35190.49</v>
      </c>
      <c r="G346" s="16" t="s">
        <v>95</v>
      </c>
    </row>
    <row r="347" customFormat="false" ht="15" hidden="false" customHeight="false" outlineLevel="0" collapsed="false">
      <c r="A347" s="0" t="s">
        <v>143</v>
      </c>
      <c r="B347" s="14" t="n">
        <v>46083</v>
      </c>
      <c r="C347" s="16" t="s">
        <v>499</v>
      </c>
      <c r="D347" s="7" t="n">
        <v>-22.92</v>
      </c>
      <c r="E347" s="16" t="s">
        <v>145</v>
      </c>
      <c r="F347" s="7" t="n">
        <v>35202.99</v>
      </c>
      <c r="G347" s="16" t="s">
        <v>95</v>
      </c>
    </row>
    <row r="348" customFormat="false" ht="15" hidden="false" customHeight="false" outlineLevel="0" collapsed="false">
      <c r="A348" s="0" t="s">
        <v>143</v>
      </c>
      <c r="B348" s="14" t="n">
        <v>46080</v>
      </c>
      <c r="C348" s="16" t="s">
        <v>500</v>
      </c>
      <c r="D348" s="7" t="n">
        <v>-121.21</v>
      </c>
      <c r="E348" s="16" t="s">
        <v>145</v>
      </c>
      <c r="F348" s="7" t="n">
        <v>35225.91</v>
      </c>
      <c r="G348" s="16" t="s">
        <v>86</v>
      </c>
    </row>
    <row r="349" customFormat="false" ht="15" hidden="false" customHeight="false" outlineLevel="0" collapsed="false">
      <c r="A349" s="0" t="s">
        <v>143</v>
      </c>
      <c r="B349" s="14" t="n">
        <v>46080</v>
      </c>
      <c r="C349" s="16" t="s">
        <v>501</v>
      </c>
      <c r="D349" s="7" t="n">
        <v>-250</v>
      </c>
      <c r="E349" s="16" t="s">
        <v>161</v>
      </c>
      <c r="F349" s="7" t="n">
        <v>35347.12</v>
      </c>
      <c r="G349" s="16" t="s">
        <v>55</v>
      </c>
    </row>
    <row r="350" customFormat="false" ht="15" hidden="false" customHeight="false" outlineLevel="0" collapsed="false">
      <c r="A350" s="0" t="s">
        <v>143</v>
      </c>
      <c r="B350" s="14" t="n">
        <v>46079</v>
      </c>
      <c r="C350" s="16" t="s">
        <v>177</v>
      </c>
      <c r="D350" s="7" t="n">
        <v>-5</v>
      </c>
      <c r="E350" s="16" t="s">
        <v>178</v>
      </c>
      <c r="F350" s="7" t="n">
        <v>35597.12</v>
      </c>
      <c r="G350" s="16" t="s">
        <v>51</v>
      </c>
    </row>
    <row r="351" customFormat="false" ht="15" hidden="false" customHeight="false" outlineLevel="0" collapsed="false">
      <c r="A351" s="0" t="s">
        <v>143</v>
      </c>
      <c r="B351" s="14" t="n">
        <v>46079</v>
      </c>
      <c r="C351" s="16" t="s">
        <v>502</v>
      </c>
      <c r="D351" s="7" t="n">
        <v>-750</v>
      </c>
      <c r="E351" s="16" t="s">
        <v>180</v>
      </c>
      <c r="F351" s="7" t="n">
        <v>35602.12</v>
      </c>
      <c r="G351" s="16" t="s">
        <v>51</v>
      </c>
    </row>
    <row r="352" customFormat="false" ht="15" hidden="false" customHeight="false" outlineLevel="0" collapsed="false">
      <c r="A352" s="0" t="s">
        <v>143</v>
      </c>
      <c r="B352" s="14" t="n">
        <v>46079</v>
      </c>
      <c r="C352" s="16" t="s">
        <v>503</v>
      </c>
      <c r="D352" s="7" t="n">
        <v>-20.51</v>
      </c>
      <c r="E352" s="16" t="s">
        <v>161</v>
      </c>
      <c r="F352" s="7" t="n">
        <v>36352.12</v>
      </c>
      <c r="G352" s="16" t="s">
        <v>102</v>
      </c>
    </row>
    <row r="353" customFormat="false" ht="15" hidden="false" customHeight="false" outlineLevel="0" collapsed="false">
      <c r="A353" s="0" t="s">
        <v>143</v>
      </c>
      <c r="B353" s="14" t="n">
        <v>46078</v>
      </c>
      <c r="C353" s="16" t="s">
        <v>504</v>
      </c>
      <c r="D353" s="7" t="n">
        <v>-200</v>
      </c>
      <c r="E353" s="16" t="s">
        <v>156</v>
      </c>
      <c r="F353" s="7" t="n">
        <v>36372.63</v>
      </c>
      <c r="G353" s="16" t="s">
        <v>63</v>
      </c>
    </row>
    <row r="354" customFormat="false" ht="15" hidden="false" customHeight="false" outlineLevel="0" collapsed="false">
      <c r="A354" s="0" t="s">
        <v>143</v>
      </c>
      <c r="B354" s="14" t="n">
        <v>46078</v>
      </c>
      <c r="C354" s="16" t="s">
        <v>505</v>
      </c>
      <c r="D354" s="7" t="n">
        <v>-17.95</v>
      </c>
      <c r="E354" s="16" t="s">
        <v>161</v>
      </c>
      <c r="F354" s="7" t="n">
        <v>36572.63</v>
      </c>
      <c r="G354" s="16" t="s">
        <v>102</v>
      </c>
    </row>
    <row r="355" customFormat="false" ht="15" hidden="false" customHeight="false" outlineLevel="0" collapsed="false">
      <c r="A355" s="0" t="s">
        <v>182</v>
      </c>
      <c r="B355" s="14" t="n">
        <v>46078</v>
      </c>
      <c r="C355" s="16" t="s">
        <v>506</v>
      </c>
      <c r="D355" s="7" t="n">
        <v>30000</v>
      </c>
      <c r="E355" s="16" t="s">
        <v>148</v>
      </c>
      <c r="F355" s="7" t="n">
        <v>36590.58</v>
      </c>
      <c r="G355" s="16" t="s">
        <v>35</v>
      </c>
    </row>
    <row r="356" customFormat="false" ht="15" hidden="false" customHeight="false" outlineLevel="0" collapsed="false">
      <c r="A356" s="0" t="s">
        <v>143</v>
      </c>
      <c r="B356" s="14" t="n">
        <v>46077</v>
      </c>
      <c r="C356" s="16" t="s">
        <v>507</v>
      </c>
      <c r="D356" s="7" t="n">
        <v>-200</v>
      </c>
      <c r="E356" s="16" t="s">
        <v>156</v>
      </c>
      <c r="F356" s="7" t="n">
        <v>6590.58</v>
      </c>
      <c r="G356" s="16" t="s">
        <v>63</v>
      </c>
    </row>
    <row r="357" customFormat="false" ht="15" hidden="false" customHeight="false" outlineLevel="0" collapsed="false">
      <c r="A357" s="0" t="s">
        <v>143</v>
      </c>
      <c r="B357" s="14" t="n">
        <v>46077</v>
      </c>
      <c r="C357" s="16" t="s">
        <v>508</v>
      </c>
      <c r="D357" s="7" t="n">
        <v>-201.25</v>
      </c>
      <c r="E357" s="16" t="s">
        <v>161</v>
      </c>
      <c r="F357" s="7" t="n">
        <v>6790.58</v>
      </c>
      <c r="G357" s="16" t="s">
        <v>56</v>
      </c>
    </row>
    <row r="358" customFormat="false" ht="15" hidden="false" customHeight="false" outlineLevel="0" collapsed="false">
      <c r="A358" s="0" t="s">
        <v>143</v>
      </c>
      <c r="B358" s="14" t="n">
        <v>46076</v>
      </c>
      <c r="C358" s="16" t="s">
        <v>509</v>
      </c>
      <c r="D358" s="7" t="n">
        <v>-1750</v>
      </c>
      <c r="E358" s="16" t="s">
        <v>150</v>
      </c>
      <c r="F358" s="7" t="n">
        <v>6991.83</v>
      </c>
      <c r="G358" s="16" t="s">
        <v>54</v>
      </c>
    </row>
    <row r="359" customFormat="false" ht="15" hidden="false" customHeight="false" outlineLevel="0" collapsed="false">
      <c r="A359" s="0" t="s">
        <v>143</v>
      </c>
      <c r="B359" s="14" t="n">
        <v>46076</v>
      </c>
      <c r="C359" s="16" t="s">
        <v>510</v>
      </c>
      <c r="D359" s="7" t="n">
        <v>-520</v>
      </c>
      <c r="E359" s="16" t="s">
        <v>145</v>
      </c>
      <c r="F359" s="7" t="n">
        <v>8741.83</v>
      </c>
      <c r="G359" s="16" t="s">
        <v>60</v>
      </c>
    </row>
    <row r="360" customFormat="false" ht="15" hidden="false" customHeight="false" outlineLevel="0" collapsed="false">
      <c r="A360" s="0" t="s">
        <v>143</v>
      </c>
      <c r="B360" s="14" t="n">
        <v>46076</v>
      </c>
      <c r="C360" s="16" t="s">
        <v>511</v>
      </c>
      <c r="D360" s="7" t="n">
        <v>-331.54</v>
      </c>
      <c r="E360" s="16" t="s">
        <v>145</v>
      </c>
      <c r="F360" s="7" t="n">
        <v>9261.83</v>
      </c>
      <c r="G360" s="16" t="s">
        <v>109</v>
      </c>
    </row>
    <row r="361" customFormat="false" ht="15" hidden="false" customHeight="false" outlineLevel="0" collapsed="false">
      <c r="A361" s="0" t="s">
        <v>143</v>
      </c>
      <c r="B361" s="14" t="n">
        <v>46073</v>
      </c>
      <c r="C361" s="16" t="s">
        <v>512</v>
      </c>
      <c r="D361" s="7" t="n">
        <v>-50</v>
      </c>
      <c r="E361" s="16" t="s">
        <v>145</v>
      </c>
      <c r="F361" s="7" t="n">
        <v>9593.37</v>
      </c>
      <c r="G361" s="16" t="s">
        <v>60</v>
      </c>
    </row>
    <row r="362" customFormat="false" ht="15" hidden="false" customHeight="false" outlineLevel="0" collapsed="false">
      <c r="A362" s="0" t="s">
        <v>143</v>
      </c>
      <c r="B362" s="14" t="n">
        <v>46073</v>
      </c>
      <c r="C362" s="16" t="s">
        <v>513</v>
      </c>
      <c r="D362" s="7" t="n">
        <v>-2000</v>
      </c>
      <c r="E362" s="16" t="s">
        <v>148</v>
      </c>
      <c r="F362" s="7" t="n">
        <v>9643.37</v>
      </c>
      <c r="G362" s="16" t="s">
        <v>68</v>
      </c>
    </row>
    <row r="363" customFormat="false" ht="15" hidden="false" customHeight="false" outlineLevel="0" collapsed="false">
      <c r="A363" s="0" t="s">
        <v>143</v>
      </c>
      <c r="B363" s="14" t="n">
        <v>46072</v>
      </c>
      <c r="C363" s="16" t="s">
        <v>514</v>
      </c>
      <c r="D363" s="7" t="n">
        <v>-5000</v>
      </c>
      <c r="E363" s="16" t="s">
        <v>148</v>
      </c>
      <c r="F363" s="7" t="n">
        <v>11643.37</v>
      </c>
      <c r="G363" s="16" t="s">
        <v>68</v>
      </c>
    </row>
    <row r="364" customFormat="false" ht="15" hidden="false" customHeight="false" outlineLevel="0" collapsed="false">
      <c r="A364" s="0" t="s">
        <v>143</v>
      </c>
      <c r="B364" s="14" t="n">
        <v>46072</v>
      </c>
      <c r="C364" s="16" t="s">
        <v>515</v>
      </c>
      <c r="D364" s="7" t="n">
        <v>-16.98</v>
      </c>
      <c r="E364" s="16" t="s">
        <v>161</v>
      </c>
      <c r="F364" s="7" t="n">
        <v>16643.37</v>
      </c>
      <c r="G364" s="16" t="s">
        <v>84</v>
      </c>
    </row>
    <row r="365" customFormat="false" ht="15" hidden="false" customHeight="false" outlineLevel="0" collapsed="false">
      <c r="A365" s="0" t="s">
        <v>143</v>
      </c>
      <c r="B365" s="14" t="n">
        <v>46072</v>
      </c>
      <c r="C365" s="16" t="s">
        <v>516</v>
      </c>
      <c r="D365" s="7" t="n">
        <v>-22.98</v>
      </c>
      <c r="E365" s="16" t="s">
        <v>161</v>
      </c>
      <c r="F365" s="7" t="n">
        <v>16660.35</v>
      </c>
      <c r="G365" s="16" t="s">
        <v>84</v>
      </c>
    </row>
    <row r="366" customFormat="false" ht="15" hidden="false" customHeight="false" outlineLevel="0" collapsed="false">
      <c r="A366" s="0" t="s">
        <v>182</v>
      </c>
      <c r="B366" s="14" t="n">
        <v>46072</v>
      </c>
      <c r="C366" s="16" t="s">
        <v>517</v>
      </c>
      <c r="D366" s="7" t="n">
        <v>10000</v>
      </c>
      <c r="E366" s="16" t="s">
        <v>148</v>
      </c>
      <c r="F366" s="7" t="n">
        <v>16683.33</v>
      </c>
      <c r="G366" s="16" t="s">
        <v>35</v>
      </c>
    </row>
    <row r="367" customFormat="false" ht="15" hidden="false" customHeight="false" outlineLevel="0" collapsed="false">
      <c r="A367" s="0" t="s">
        <v>143</v>
      </c>
      <c r="B367" s="14" t="n">
        <v>46071</v>
      </c>
      <c r="C367" s="16" t="s">
        <v>518</v>
      </c>
      <c r="D367" s="7" t="n">
        <v>-300</v>
      </c>
      <c r="E367" s="16" t="s">
        <v>145</v>
      </c>
      <c r="F367" s="7" t="n">
        <v>6683.33</v>
      </c>
      <c r="G367" s="16" t="s">
        <v>60</v>
      </c>
    </row>
    <row r="368" customFormat="false" ht="15" hidden="false" customHeight="false" outlineLevel="0" collapsed="false">
      <c r="A368" s="0" t="s">
        <v>182</v>
      </c>
      <c r="B368" s="14" t="n">
        <v>46071</v>
      </c>
      <c r="C368" s="16" t="s">
        <v>519</v>
      </c>
      <c r="D368" s="7" t="n">
        <v>1688.08</v>
      </c>
      <c r="E368" s="16" t="s">
        <v>184</v>
      </c>
      <c r="F368" s="7" t="n">
        <v>6983.33</v>
      </c>
      <c r="G368" s="16" t="s">
        <v>106</v>
      </c>
    </row>
    <row r="369" customFormat="false" ht="15" hidden="false" customHeight="false" outlineLevel="0" collapsed="false">
      <c r="A369" s="0" t="s">
        <v>143</v>
      </c>
      <c r="B369" s="14" t="n">
        <v>46070</v>
      </c>
      <c r="C369" s="16" t="s">
        <v>520</v>
      </c>
      <c r="D369" s="7" t="n">
        <v>-35</v>
      </c>
      <c r="E369" s="16" t="s">
        <v>178</v>
      </c>
      <c r="F369" s="7" t="n">
        <v>5295.25</v>
      </c>
      <c r="G369" s="16" t="s">
        <v>88</v>
      </c>
    </row>
    <row r="370" customFormat="false" ht="15" hidden="false" customHeight="false" outlineLevel="0" collapsed="false">
      <c r="A370" s="0" t="s">
        <v>143</v>
      </c>
      <c r="B370" s="14" t="n">
        <v>46070</v>
      </c>
      <c r="C370" s="16" t="s">
        <v>521</v>
      </c>
      <c r="D370" s="7" t="n">
        <v>-177000</v>
      </c>
      <c r="E370" s="16" t="s">
        <v>180</v>
      </c>
      <c r="F370" s="7" t="n">
        <v>5365.25</v>
      </c>
      <c r="G370" s="16" t="s">
        <v>30</v>
      </c>
    </row>
    <row r="371" customFormat="false" ht="15" hidden="false" customHeight="false" outlineLevel="0" collapsed="false">
      <c r="A371" s="0" t="s">
        <v>143</v>
      </c>
      <c r="B371" s="14" t="n">
        <v>46070</v>
      </c>
      <c r="C371" s="16" t="s">
        <v>522</v>
      </c>
      <c r="D371" s="7" t="n">
        <v>-413000</v>
      </c>
      <c r="E371" s="16" t="s">
        <v>180</v>
      </c>
      <c r="F371" s="7" t="n">
        <v>182365.25</v>
      </c>
      <c r="G371" s="16" t="s">
        <v>31</v>
      </c>
    </row>
    <row r="372" customFormat="false" ht="15" hidden="false" customHeight="false" outlineLevel="0" collapsed="false">
      <c r="A372" s="0" t="s">
        <v>143</v>
      </c>
      <c r="B372" s="14" t="n">
        <v>46070</v>
      </c>
      <c r="C372" s="16" t="s">
        <v>523</v>
      </c>
      <c r="D372" s="7" t="n">
        <v>-15</v>
      </c>
      <c r="E372" s="16" t="s">
        <v>145</v>
      </c>
      <c r="F372" s="7" t="n">
        <v>595365.25</v>
      </c>
      <c r="G372" s="16" t="s">
        <v>60</v>
      </c>
    </row>
    <row r="373" customFormat="false" ht="15" hidden="false" customHeight="false" outlineLevel="0" collapsed="false">
      <c r="A373" s="0" t="s">
        <v>143</v>
      </c>
      <c r="B373" s="14" t="n">
        <v>46070</v>
      </c>
      <c r="C373" s="16" t="s">
        <v>524</v>
      </c>
      <c r="D373" s="7" t="n">
        <v>-20</v>
      </c>
      <c r="E373" s="16" t="s">
        <v>145</v>
      </c>
      <c r="F373" s="7" t="n">
        <v>595380.25</v>
      </c>
      <c r="G373" s="16" t="s">
        <v>60</v>
      </c>
    </row>
    <row r="374" customFormat="false" ht="15" hidden="false" customHeight="false" outlineLevel="0" collapsed="false">
      <c r="A374" s="0" t="s">
        <v>143</v>
      </c>
      <c r="B374" s="14" t="n">
        <v>46070</v>
      </c>
      <c r="C374" s="16" t="s">
        <v>525</v>
      </c>
      <c r="D374" s="7" t="n">
        <v>-104.01</v>
      </c>
      <c r="E374" s="16" t="s">
        <v>145</v>
      </c>
      <c r="F374" s="7" t="n">
        <v>595400.25</v>
      </c>
      <c r="G374" s="16" t="s">
        <v>82</v>
      </c>
    </row>
    <row r="375" customFormat="false" ht="15" hidden="false" customHeight="false" outlineLevel="0" collapsed="false">
      <c r="A375" s="0" t="s">
        <v>143</v>
      </c>
      <c r="B375" s="14" t="n">
        <v>46070</v>
      </c>
      <c r="C375" s="16" t="s">
        <v>526</v>
      </c>
      <c r="D375" s="7" t="n">
        <v>-385</v>
      </c>
      <c r="E375" s="16" t="s">
        <v>161</v>
      </c>
      <c r="F375" s="7" t="n">
        <v>595504.26</v>
      </c>
      <c r="G375" s="16" t="s">
        <v>56</v>
      </c>
    </row>
    <row r="376" customFormat="false" ht="15" hidden="false" customHeight="false" outlineLevel="0" collapsed="false">
      <c r="A376" s="0" t="s">
        <v>143</v>
      </c>
      <c r="B376" s="14" t="n">
        <v>46070</v>
      </c>
      <c r="C376" s="16" t="s">
        <v>527</v>
      </c>
      <c r="D376" s="7" t="n">
        <v>-10000</v>
      </c>
      <c r="E376" s="16" t="s">
        <v>148</v>
      </c>
      <c r="F376" s="7" t="n">
        <v>595889.26</v>
      </c>
      <c r="G376" s="16" t="s">
        <v>68</v>
      </c>
    </row>
    <row r="377" customFormat="false" ht="15" hidden="false" customHeight="false" outlineLevel="0" collapsed="false">
      <c r="A377" s="0" t="s">
        <v>143</v>
      </c>
      <c r="B377" s="14" t="n">
        <v>46070</v>
      </c>
      <c r="C377" s="16" t="s">
        <v>528</v>
      </c>
      <c r="D377" s="7" t="n">
        <v>-150</v>
      </c>
      <c r="E377" s="16" t="s">
        <v>161</v>
      </c>
      <c r="F377" s="7" t="n">
        <v>605889.26</v>
      </c>
      <c r="G377" s="16" t="s">
        <v>55</v>
      </c>
    </row>
    <row r="378" customFormat="false" ht="15" hidden="false" customHeight="false" outlineLevel="0" collapsed="false">
      <c r="A378" s="0" t="s">
        <v>143</v>
      </c>
      <c r="B378" s="14" t="n">
        <v>46070</v>
      </c>
      <c r="C378" s="16" t="s">
        <v>529</v>
      </c>
      <c r="D378" s="7" t="n">
        <v>-300</v>
      </c>
      <c r="E378" s="16" t="s">
        <v>156</v>
      </c>
      <c r="F378" s="7" t="n">
        <v>606039.26</v>
      </c>
      <c r="G378" s="16" t="s">
        <v>63</v>
      </c>
    </row>
    <row r="379" customFormat="false" ht="15" hidden="false" customHeight="false" outlineLevel="0" collapsed="false">
      <c r="A379" s="0" t="s">
        <v>143</v>
      </c>
      <c r="B379" s="14" t="n">
        <v>46066</v>
      </c>
      <c r="C379" s="16" t="s">
        <v>276</v>
      </c>
      <c r="D379" s="7" t="n">
        <v>-15</v>
      </c>
      <c r="E379" s="16" t="s">
        <v>178</v>
      </c>
      <c r="F379" s="7" t="n">
        <v>606339.26</v>
      </c>
      <c r="G379" s="16" t="s">
        <v>88</v>
      </c>
    </row>
    <row r="380" customFormat="false" ht="15" hidden="false" customHeight="false" outlineLevel="0" collapsed="false">
      <c r="A380" s="0" t="s">
        <v>143</v>
      </c>
      <c r="B380" s="14" t="n">
        <v>46066</v>
      </c>
      <c r="C380" s="16" t="s">
        <v>530</v>
      </c>
      <c r="D380" s="7" t="n">
        <v>-1750</v>
      </c>
      <c r="E380" s="16" t="s">
        <v>150</v>
      </c>
      <c r="F380" s="7" t="n">
        <v>606354.26</v>
      </c>
      <c r="G380" s="16" t="s">
        <v>54</v>
      </c>
    </row>
    <row r="381" customFormat="false" ht="15" hidden="false" customHeight="false" outlineLevel="0" collapsed="false">
      <c r="A381" s="0" t="s">
        <v>182</v>
      </c>
      <c r="B381" s="14" t="n">
        <v>46066</v>
      </c>
      <c r="C381" s="16" t="s">
        <v>531</v>
      </c>
      <c r="D381" s="7" t="n">
        <v>600000</v>
      </c>
      <c r="E381" s="16" t="s">
        <v>280</v>
      </c>
      <c r="F381" s="7" t="n">
        <v>608104.26</v>
      </c>
      <c r="G381" s="16" t="s">
        <v>32</v>
      </c>
    </row>
    <row r="382" customFormat="false" ht="15" hidden="false" customHeight="false" outlineLevel="0" collapsed="false">
      <c r="A382" s="0" t="s">
        <v>143</v>
      </c>
      <c r="B382" s="14" t="n">
        <v>46065</v>
      </c>
      <c r="C382" s="16" t="s">
        <v>177</v>
      </c>
      <c r="D382" s="7" t="n">
        <v>-5</v>
      </c>
      <c r="E382" s="16" t="s">
        <v>178</v>
      </c>
      <c r="F382" s="7" t="n">
        <v>8104.26</v>
      </c>
      <c r="G382" s="16" t="s">
        <v>51</v>
      </c>
    </row>
    <row r="383" customFormat="false" ht="15" hidden="false" customHeight="false" outlineLevel="0" collapsed="false">
      <c r="A383" s="0" t="s">
        <v>143</v>
      </c>
      <c r="B383" s="14" t="n">
        <v>46065</v>
      </c>
      <c r="C383" s="16" t="s">
        <v>532</v>
      </c>
      <c r="D383" s="7" t="n">
        <v>-275</v>
      </c>
      <c r="E383" s="16" t="s">
        <v>145</v>
      </c>
      <c r="F383" s="7" t="n">
        <v>8109.26</v>
      </c>
      <c r="G383" s="16" t="s">
        <v>60</v>
      </c>
    </row>
    <row r="384" customFormat="false" ht="15" hidden="false" customHeight="false" outlineLevel="0" collapsed="false">
      <c r="A384" s="0" t="s">
        <v>143</v>
      </c>
      <c r="B384" s="14" t="n">
        <v>46065</v>
      </c>
      <c r="C384" s="16" t="s">
        <v>533</v>
      </c>
      <c r="D384" s="7" t="n">
        <v>-750</v>
      </c>
      <c r="E384" s="16" t="s">
        <v>180</v>
      </c>
      <c r="F384" s="7" t="n">
        <v>8384.26</v>
      </c>
      <c r="G384" s="16" t="s">
        <v>51</v>
      </c>
    </row>
    <row r="385" customFormat="false" ht="15" hidden="false" customHeight="false" outlineLevel="0" collapsed="false">
      <c r="A385" s="0" t="s">
        <v>143</v>
      </c>
      <c r="B385" s="14" t="n">
        <v>46064</v>
      </c>
      <c r="C385" s="16" t="s">
        <v>534</v>
      </c>
      <c r="D385" s="7" t="n">
        <v>-85</v>
      </c>
      <c r="E385" s="16" t="s">
        <v>145</v>
      </c>
      <c r="F385" s="7" t="n">
        <v>9134.26</v>
      </c>
      <c r="G385" s="16" t="s">
        <v>60</v>
      </c>
    </row>
    <row r="386" customFormat="false" ht="15" hidden="false" customHeight="false" outlineLevel="0" collapsed="false">
      <c r="A386" s="0" t="s">
        <v>143</v>
      </c>
      <c r="B386" s="14" t="n">
        <v>46064</v>
      </c>
      <c r="C386" s="16" t="s">
        <v>535</v>
      </c>
      <c r="D386" s="7" t="n">
        <v>-897.12</v>
      </c>
      <c r="E386" s="16" t="s">
        <v>145</v>
      </c>
      <c r="F386" s="7" t="n">
        <v>9219.26</v>
      </c>
      <c r="G386" s="16" t="s">
        <v>135</v>
      </c>
    </row>
    <row r="387" customFormat="false" ht="15" hidden="false" customHeight="false" outlineLevel="0" collapsed="false">
      <c r="A387" s="0" t="s">
        <v>143</v>
      </c>
      <c r="B387" s="14" t="n">
        <v>46064</v>
      </c>
      <c r="C387" s="16" t="s">
        <v>536</v>
      </c>
      <c r="D387" s="7" t="n">
        <v>-1249.96</v>
      </c>
      <c r="E387" s="16" t="s">
        <v>145</v>
      </c>
      <c r="F387" s="7" t="n">
        <v>10116.38</v>
      </c>
      <c r="G387" s="16" t="s">
        <v>135</v>
      </c>
    </row>
    <row r="388" customFormat="false" ht="15" hidden="false" customHeight="false" outlineLevel="0" collapsed="false">
      <c r="A388" s="0" t="s">
        <v>143</v>
      </c>
      <c r="B388" s="14" t="n">
        <v>46064</v>
      </c>
      <c r="C388" s="16" t="s">
        <v>537</v>
      </c>
      <c r="D388" s="7" t="n">
        <v>-57.97</v>
      </c>
      <c r="E388" s="16" t="s">
        <v>161</v>
      </c>
      <c r="F388" s="7" t="n">
        <v>11366.34</v>
      </c>
      <c r="G388" s="16" t="s">
        <v>102</v>
      </c>
    </row>
    <row r="389" customFormat="false" ht="15" hidden="false" customHeight="false" outlineLevel="0" collapsed="false">
      <c r="A389" s="0" t="s">
        <v>143</v>
      </c>
      <c r="B389" s="14" t="n">
        <v>46063</v>
      </c>
      <c r="C389" s="16" t="s">
        <v>538</v>
      </c>
      <c r="D389" s="7" t="n">
        <v>-3500</v>
      </c>
      <c r="E389" s="16" t="s">
        <v>282</v>
      </c>
      <c r="F389" s="7" t="n">
        <v>11424.31</v>
      </c>
      <c r="G389" s="16" t="s">
        <v>52</v>
      </c>
    </row>
    <row r="390" customFormat="false" ht="15" hidden="false" customHeight="false" outlineLevel="0" collapsed="false">
      <c r="A390" s="0" t="s">
        <v>143</v>
      </c>
      <c r="B390" s="14" t="n">
        <v>46063</v>
      </c>
      <c r="C390" s="16" t="s">
        <v>539</v>
      </c>
      <c r="D390" s="7" t="n">
        <v>-30</v>
      </c>
      <c r="E390" s="16" t="s">
        <v>145</v>
      </c>
      <c r="F390" s="7" t="n">
        <v>14924.31</v>
      </c>
      <c r="G390" s="16" t="s">
        <v>60</v>
      </c>
    </row>
    <row r="391" customFormat="false" ht="15" hidden="false" customHeight="false" outlineLevel="0" collapsed="false">
      <c r="A391" s="0" t="s">
        <v>143</v>
      </c>
      <c r="B391" s="14" t="n">
        <v>46063</v>
      </c>
      <c r="C391" s="16" t="s">
        <v>540</v>
      </c>
      <c r="D391" s="7" t="n">
        <v>-70</v>
      </c>
      <c r="E391" s="16" t="s">
        <v>161</v>
      </c>
      <c r="F391" s="7" t="n">
        <v>14954.31</v>
      </c>
      <c r="G391" s="16" t="s">
        <v>56</v>
      </c>
    </row>
    <row r="392" customFormat="false" ht="15" hidden="false" customHeight="false" outlineLevel="0" collapsed="false">
      <c r="A392" s="0" t="s">
        <v>143</v>
      </c>
      <c r="B392" s="14" t="n">
        <v>46062</v>
      </c>
      <c r="C392" s="16" t="s">
        <v>541</v>
      </c>
      <c r="D392" s="7" t="n">
        <v>-1750</v>
      </c>
      <c r="E392" s="16" t="s">
        <v>150</v>
      </c>
      <c r="F392" s="7" t="n">
        <v>15024.31</v>
      </c>
      <c r="G392" s="16" t="s">
        <v>54</v>
      </c>
    </row>
    <row r="393" customFormat="false" ht="15" hidden="false" customHeight="false" outlineLevel="0" collapsed="false">
      <c r="A393" s="0" t="s">
        <v>143</v>
      </c>
      <c r="B393" s="14" t="n">
        <v>46062</v>
      </c>
      <c r="C393" s="16" t="s">
        <v>542</v>
      </c>
      <c r="D393" s="7" t="n">
        <v>-50</v>
      </c>
      <c r="E393" s="16" t="s">
        <v>145</v>
      </c>
      <c r="F393" s="7" t="n">
        <v>16774.31</v>
      </c>
      <c r="G393" s="16" t="s">
        <v>60</v>
      </c>
    </row>
    <row r="394" customFormat="false" ht="15" hidden="false" customHeight="false" outlineLevel="0" collapsed="false">
      <c r="A394" s="0" t="s">
        <v>143</v>
      </c>
      <c r="B394" s="14" t="n">
        <v>46062</v>
      </c>
      <c r="C394" s="16" t="s">
        <v>543</v>
      </c>
      <c r="D394" s="7" t="n">
        <v>-3000</v>
      </c>
      <c r="E394" s="16" t="s">
        <v>148</v>
      </c>
      <c r="F394" s="7" t="n">
        <v>16824.31</v>
      </c>
      <c r="G394" s="16" t="s">
        <v>68</v>
      </c>
    </row>
    <row r="395" customFormat="false" ht="15" hidden="false" customHeight="false" outlineLevel="0" collapsed="false">
      <c r="A395" s="0" t="s">
        <v>143</v>
      </c>
      <c r="B395" s="14" t="n">
        <v>46062</v>
      </c>
      <c r="C395" s="16" t="s">
        <v>544</v>
      </c>
      <c r="D395" s="7" t="n">
        <v>-200</v>
      </c>
      <c r="E395" s="16" t="s">
        <v>161</v>
      </c>
      <c r="F395" s="7" t="n">
        <v>19824.31</v>
      </c>
      <c r="G395" s="16" t="s">
        <v>55</v>
      </c>
    </row>
    <row r="396" customFormat="false" ht="15" hidden="false" customHeight="false" outlineLevel="0" collapsed="false">
      <c r="A396" s="0" t="s">
        <v>143</v>
      </c>
      <c r="B396" s="14" t="n">
        <v>46059</v>
      </c>
      <c r="C396" s="16" t="s">
        <v>545</v>
      </c>
      <c r="D396" s="7" t="n">
        <v>-200</v>
      </c>
      <c r="E396" s="16" t="s">
        <v>156</v>
      </c>
      <c r="F396" s="7" t="n">
        <v>20024.31</v>
      </c>
      <c r="G396" s="16" t="s">
        <v>63</v>
      </c>
    </row>
    <row r="397" customFormat="false" ht="15" hidden="false" customHeight="false" outlineLevel="0" collapsed="false">
      <c r="A397" s="0" t="s">
        <v>143</v>
      </c>
      <c r="B397" s="14" t="n">
        <v>46059</v>
      </c>
      <c r="C397" s="16" t="s">
        <v>546</v>
      </c>
      <c r="D397" s="7" t="n">
        <v>-200</v>
      </c>
      <c r="E397" s="16" t="s">
        <v>156</v>
      </c>
      <c r="F397" s="7" t="n">
        <v>20224.31</v>
      </c>
      <c r="G397" s="16" t="s">
        <v>63</v>
      </c>
    </row>
    <row r="398" customFormat="false" ht="15" hidden="false" customHeight="false" outlineLevel="0" collapsed="false">
      <c r="A398" s="0" t="s">
        <v>182</v>
      </c>
      <c r="B398" s="14" t="n">
        <v>46059</v>
      </c>
      <c r="C398" s="16" t="s">
        <v>547</v>
      </c>
      <c r="D398" s="7" t="n">
        <v>20000</v>
      </c>
      <c r="E398" s="16" t="s">
        <v>148</v>
      </c>
      <c r="F398" s="7" t="n">
        <v>20424.31</v>
      </c>
      <c r="G398" s="16" t="s">
        <v>17</v>
      </c>
    </row>
    <row r="399" customFormat="false" ht="15" hidden="false" customHeight="false" outlineLevel="0" collapsed="false">
      <c r="A399" s="0" t="s">
        <v>143</v>
      </c>
      <c r="B399" s="14" t="n">
        <v>46058</v>
      </c>
      <c r="C399" s="16" t="s">
        <v>548</v>
      </c>
      <c r="D399" s="7" t="n">
        <v>-800</v>
      </c>
      <c r="E399" s="16" t="s">
        <v>145</v>
      </c>
      <c r="F399" s="7" t="n">
        <v>424.31</v>
      </c>
      <c r="G399" s="16" t="s">
        <v>60</v>
      </c>
    </row>
    <row r="400" customFormat="false" ht="15" hidden="false" customHeight="false" outlineLevel="0" collapsed="false">
      <c r="A400" s="0" t="s">
        <v>143</v>
      </c>
      <c r="B400" s="14" t="n">
        <v>46057</v>
      </c>
      <c r="C400" s="16" t="s">
        <v>549</v>
      </c>
      <c r="D400" s="7" t="n">
        <v>-1</v>
      </c>
      <c r="E400" s="16" t="s">
        <v>145</v>
      </c>
      <c r="F400" s="7" t="n">
        <v>1224.31</v>
      </c>
      <c r="G400" s="16" t="s">
        <v>60</v>
      </c>
    </row>
    <row r="401" customFormat="false" ht="15" hidden="false" customHeight="false" outlineLevel="0" collapsed="false">
      <c r="A401" s="0" t="s">
        <v>143</v>
      </c>
      <c r="B401" s="14" t="n">
        <v>46057</v>
      </c>
      <c r="C401" s="16" t="s">
        <v>550</v>
      </c>
      <c r="D401" s="7" t="n">
        <v>-10.78</v>
      </c>
      <c r="E401" s="16" t="s">
        <v>161</v>
      </c>
      <c r="F401" s="7" t="n">
        <v>1225.31</v>
      </c>
      <c r="G401" s="16" t="s">
        <v>83</v>
      </c>
    </row>
    <row r="402" customFormat="false" ht="15" hidden="false" customHeight="false" outlineLevel="0" collapsed="false">
      <c r="A402" s="0" t="s">
        <v>143</v>
      </c>
      <c r="B402" s="14" t="n">
        <v>46056</v>
      </c>
      <c r="C402" s="16" t="s">
        <v>551</v>
      </c>
      <c r="D402" s="7" t="n">
        <v>-80</v>
      </c>
      <c r="E402" s="16" t="s">
        <v>145</v>
      </c>
      <c r="F402" s="7" t="n">
        <v>1236.09</v>
      </c>
      <c r="G402" s="16" t="s">
        <v>60</v>
      </c>
    </row>
    <row r="403" customFormat="false" ht="15" hidden="false" customHeight="false" outlineLevel="0" collapsed="false">
      <c r="A403" s="0" t="s">
        <v>143</v>
      </c>
      <c r="B403" s="14" t="n">
        <v>46056</v>
      </c>
      <c r="C403" s="16" t="s">
        <v>552</v>
      </c>
      <c r="D403" s="7" t="n">
        <v>-4190.21</v>
      </c>
      <c r="E403" s="16" t="s">
        <v>145</v>
      </c>
      <c r="F403" s="7" t="n">
        <v>1316.09</v>
      </c>
      <c r="G403" s="16" t="s">
        <v>19</v>
      </c>
    </row>
    <row r="404" customFormat="false" ht="15" hidden="false" customHeight="false" outlineLevel="0" collapsed="false">
      <c r="A404" s="0" t="s">
        <v>143</v>
      </c>
      <c r="B404" s="14" t="n">
        <v>46056</v>
      </c>
      <c r="C404" s="16" t="s">
        <v>553</v>
      </c>
      <c r="D404" s="7" t="n">
        <v>-4366.2</v>
      </c>
      <c r="E404" s="16" t="s">
        <v>145</v>
      </c>
      <c r="F404" s="7" t="n">
        <v>5506.3</v>
      </c>
      <c r="G404" s="16" t="s">
        <v>20</v>
      </c>
    </row>
    <row r="405" customFormat="false" ht="15" hidden="false" customHeight="false" outlineLevel="0" collapsed="false">
      <c r="A405" s="0" t="s">
        <v>143</v>
      </c>
      <c r="B405" s="14" t="n">
        <v>46056</v>
      </c>
      <c r="C405" s="16" t="s">
        <v>554</v>
      </c>
      <c r="D405" s="7" t="n">
        <v>-8556.41</v>
      </c>
      <c r="E405" s="16" t="s">
        <v>148</v>
      </c>
      <c r="F405" s="7" t="n">
        <v>9872.5</v>
      </c>
      <c r="G405" s="16" t="s">
        <v>36</v>
      </c>
    </row>
    <row r="406" customFormat="false" ht="15" hidden="false" customHeight="false" outlineLevel="0" collapsed="false">
      <c r="A406" s="0" t="s">
        <v>143</v>
      </c>
      <c r="B406" s="14" t="n">
        <v>46056</v>
      </c>
      <c r="C406" s="16" t="s">
        <v>555</v>
      </c>
      <c r="D406" s="7" t="n">
        <v>-200</v>
      </c>
      <c r="E406" s="16" t="s">
        <v>156</v>
      </c>
      <c r="F406" s="7" t="n">
        <v>18428.91</v>
      </c>
      <c r="G406" s="16" t="s">
        <v>63</v>
      </c>
    </row>
    <row r="407" customFormat="false" ht="15" hidden="false" customHeight="false" outlineLevel="0" collapsed="false">
      <c r="A407" s="0" t="s">
        <v>143</v>
      </c>
      <c r="B407" s="14" t="n">
        <v>46056</v>
      </c>
      <c r="C407" s="16" t="s">
        <v>556</v>
      </c>
      <c r="D407" s="7" t="n">
        <v>-2000</v>
      </c>
      <c r="E407" s="16" t="s">
        <v>148</v>
      </c>
      <c r="F407" s="7" t="n">
        <v>18628.91</v>
      </c>
      <c r="G407" s="16" t="s">
        <v>68</v>
      </c>
    </row>
    <row r="408" customFormat="false" ht="15" hidden="false" customHeight="false" outlineLevel="0" collapsed="false">
      <c r="A408" s="0" t="s">
        <v>143</v>
      </c>
      <c r="B408" s="14" t="n">
        <v>46056</v>
      </c>
      <c r="C408" s="16" t="s">
        <v>557</v>
      </c>
      <c r="D408" s="7" t="n">
        <v>-20.97</v>
      </c>
      <c r="E408" s="16" t="s">
        <v>161</v>
      </c>
      <c r="F408" s="7" t="n">
        <v>20628.91</v>
      </c>
      <c r="G408" s="16" t="s">
        <v>84</v>
      </c>
    </row>
    <row r="409" customFormat="false" ht="15" hidden="false" customHeight="false" outlineLevel="0" collapsed="false">
      <c r="A409" s="0" t="s">
        <v>182</v>
      </c>
      <c r="B409" s="14" t="n">
        <v>46056</v>
      </c>
      <c r="C409" s="16" t="s">
        <v>558</v>
      </c>
      <c r="D409" s="7" t="n">
        <v>8556.41</v>
      </c>
      <c r="E409" s="16" t="s">
        <v>184</v>
      </c>
      <c r="F409" s="7" t="n">
        <v>20649.88</v>
      </c>
      <c r="G409" s="16" t="s">
        <v>18</v>
      </c>
    </row>
    <row r="410" customFormat="false" ht="15" hidden="false" customHeight="false" outlineLevel="0" collapsed="false">
      <c r="A410" s="0" t="s">
        <v>143</v>
      </c>
      <c r="B410" s="14" t="n">
        <v>46055</v>
      </c>
      <c r="C410" s="16" t="s">
        <v>299</v>
      </c>
      <c r="D410" s="7" t="n">
        <v>-17.5</v>
      </c>
      <c r="E410" s="16" t="s">
        <v>178</v>
      </c>
      <c r="F410" s="7" t="n">
        <v>12093.47</v>
      </c>
      <c r="G410" s="16" t="s">
        <v>80</v>
      </c>
    </row>
    <row r="411" customFormat="false" ht="15" hidden="false" customHeight="false" outlineLevel="0" collapsed="false">
      <c r="A411" s="0" t="s">
        <v>143</v>
      </c>
      <c r="B411" s="14" t="n">
        <v>46055</v>
      </c>
      <c r="C411" s="16" t="s">
        <v>559</v>
      </c>
      <c r="D411" s="7" t="n">
        <v>-450</v>
      </c>
      <c r="E411" s="16" t="s">
        <v>145</v>
      </c>
      <c r="F411" s="7" t="n">
        <v>12110.97</v>
      </c>
      <c r="G411" s="16" t="s">
        <v>60</v>
      </c>
    </row>
    <row r="412" customFormat="false" ht="15" hidden="false" customHeight="false" outlineLevel="0" collapsed="false">
      <c r="A412" s="0" t="s">
        <v>143</v>
      </c>
      <c r="B412" s="14" t="n">
        <v>46055</v>
      </c>
      <c r="C412" s="16" t="s">
        <v>560</v>
      </c>
      <c r="D412" s="7" t="n">
        <v>-800</v>
      </c>
      <c r="E412" s="16" t="s">
        <v>156</v>
      </c>
      <c r="F412" s="7" t="n">
        <v>12560.97</v>
      </c>
      <c r="G412" s="16" t="s">
        <v>61</v>
      </c>
    </row>
    <row r="413" customFormat="false" ht="15" hidden="false" customHeight="false" outlineLevel="0" collapsed="false">
      <c r="A413" s="0" t="s">
        <v>143</v>
      </c>
      <c r="B413" s="14" t="n">
        <v>46055</v>
      </c>
      <c r="C413" s="16" t="s">
        <v>561</v>
      </c>
      <c r="D413" s="7" t="n">
        <v>-1750</v>
      </c>
      <c r="E413" s="16" t="s">
        <v>150</v>
      </c>
      <c r="F413" s="7" t="n">
        <v>13360.97</v>
      </c>
      <c r="G413" s="16" t="s">
        <v>54</v>
      </c>
    </row>
    <row r="414" customFormat="false" ht="15" hidden="false" customHeight="false" outlineLevel="0" collapsed="false">
      <c r="A414" s="0" t="s">
        <v>143</v>
      </c>
      <c r="B414" s="14" t="n">
        <v>46055</v>
      </c>
      <c r="C414" s="16" t="s">
        <v>562</v>
      </c>
      <c r="D414" s="7" t="n">
        <v>-23.34</v>
      </c>
      <c r="E414" s="16" t="s">
        <v>161</v>
      </c>
      <c r="F414" s="7" t="n">
        <v>15110.97</v>
      </c>
      <c r="G414" s="16" t="s">
        <v>53</v>
      </c>
    </row>
    <row r="415" customFormat="false" ht="15" hidden="false" customHeight="false" outlineLevel="0" collapsed="false">
      <c r="A415" s="0" t="s">
        <v>143</v>
      </c>
      <c r="B415" s="14" t="n">
        <v>46055</v>
      </c>
      <c r="C415" s="16" t="s">
        <v>563</v>
      </c>
      <c r="D415" s="7" t="n">
        <v>-200</v>
      </c>
      <c r="E415" s="16" t="s">
        <v>145</v>
      </c>
      <c r="F415" s="7" t="n">
        <v>15134.31</v>
      </c>
      <c r="G415" s="16" t="s">
        <v>60</v>
      </c>
    </row>
    <row r="416" customFormat="false" ht="15" hidden="false" customHeight="false" outlineLevel="0" collapsed="false">
      <c r="A416" s="0" t="s">
        <v>143</v>
      </c>
      <c r="B416" s="14" t="n">
        <v>46055</v>
      </c>
      <c r="C416" s="16" t="s">
        <v>564</v>
      </c>
      <c r="D416" s="7" t="n">
        <v>-974.84</v>
      </c>
      <c r="E416" s="16" t="s">
        <v>145</v>
      </c>
      <c r="F416" s="7" t="n">
        <v>15334.31</v>
      </c>
      <c r="G416" s="16" t="s">
        <v>140</v>
      </c>
    </row>
    <row r="417" customFormat="false" ht="15" hidden="false" customHeight="false" outlineLevel="0" collapsed="false">
      <c r="A417" s="0" t="s">
        <v>143</v>
      </c>
      <c r="B417" s="14" t="n">
        <v>46055</v>
      </c>
      <c r="C417" s="16" t="s">
        <v>565</v>
      </c>
      <c r="D417" s="7" t="n">
        <v>-500</v>
      </c>
      <c r="E417" s="16" t="s">
        <v>156</v>
      </c>
      <c r="F417" s="7" t="n">
        <v>16309.15</v>
      </c>
      <c r="G417" s="16" t="s">
        <v>64</v>
      </c>
    </row>
    <row r="418" customFormat="false" ht="15" hidden="false" customHeight="false" outlineLevel="0" collapsed="false">
      <c r="A418" s="0" t="s">
        <v>143</v>
      </c>
      <c r="B418" s="14" t="n">
        <v>46055</v>
      </c>
      <c r="C418" s="16" t="s">
        <v>566</v>
      </c>
      <c r="D418" s="7" t="n">
        <v>-1293.42</v>
      </c>
      <c r="E418" s="16" t="s">
        <v>161</v>
      </c>
      <c r="F418" s="7" t="n">
        <v>16809.15</v>
      </c>
      <c r="G418" s="16" t="s">
        <v>140</v>
      </c>
    </row>
    <row r="419" customFormat="false" ht="15" hidden="false" customHeight="false" outlineLevel="0" collapsed="false">
      <c r="A419" s="0" t="s">
        <v>143</v>
      </c>
      <c r="B419" s="14" t="n">
        <v>46055</v>
      </c>
      <c r="C419" s="16" t="s">
        <v>567</v>
      </c>
      <c r="D419" s="7" t="n">
        <v>-619.85</v>
      </c>
      <c r="E419" s="16" t="s">
        <v>145</v>
      </c>
      <c r="F419" s="7" t="n">
        <v>18102.57</v>
      </c>
      <c r="G419" s="16" t="s">
        <v>137</v>
      </c>
    </row>
    <row r="420" customFormat="false" ht="15" hidden="false" customHeight="false" outlineLevel="0" collapsed="false">
      <c r="A420" s="0" t="s">
        <v>182</v>
      </c>
      <c r="B420" s="14" t="n">
        <v>46055</v>
      </c>
      <c r="C420" s="16" t="s">
        <v>568</v>
      </c>
      <c r="D420" s="7" t="n">
        <v>8556.41</v>
      </c>
      <c r="E420" s="16" t="s">
        <v>148</v>
      </c>
      <c r="F420" s="7" t="n">
        <v>18722.42</v>
      </c>
      <c r="G420" s="16" t="s">
        <v>35</v>
      </c>
    </row>
    <row r="421" customFormat="false" ht="15" hidden="false" customHeight="false" outlineLevel="0" collapsed="false">
      <c r="A421" s="0" t="s">
        <v>143</v>
      </c>
      <c r="B421" s="14" t="n">
        <v>46052</v>
      </c>
      <c r="C421" s="16" t="s">
        <v>569</v>
      </c>
      <c r="D421" s="7" t="n">
        <v>-300</v>
      </c>
      <c r="E421" s="16" t="s">
        <v>145</v>
      </c>
      <c r="F421" s="7" t="n">
        <v>10166.01</v>
      </c>
      <c r="G421" s="16" t="s">
        <v>60</v>
      </c>
    </row>
    <row r="422" customFormat="false" ht="15" hidden="false" customHeight="false" outlineLevel="0" collapsed="false">
      <c r="A422" s="0" t="s">
        <v>143</v>
      </c>
      <c r="B422" s="14" t="n">
        <v>46052</v>
      </c>
      <c r="C422" s="16" t="s">
        <v>570</v>
      </c>
      <c r="D422" s="7" t="n">
        <v>-2524</v>
      </c>
      <c r="E422" s="16" t="s">
        <v>145</v>
      </c>
      <c r="F422" s="7" t="n">
        <v>10466.01</v>
      </c>
      <c r="G422" s="16" t="s">
        <v>74</v>
      </c>
    </row>
    <row r="423" customFormat="false" ht="15" hidden="false" customHeight="false" outlineLevel="0" collapsed="false">
      <c r="A423" s="0" t="s">
        <v>143</v>
      </c>
      <c r="B423" s="14" t="n">
        <v>46052</v>
      </c>
      <c r="C423" s="16" t="s">
        <v>571</v>
      </c>
      <c r="D423" s="7" t="n">
        <v>-22.98</v>
      </c>
      <c r="E423" s="16" t="s">
        <v>161</v>
      </c>
      <c r="F423" s="7" t="n">
        <v>12990.01</v>
      </c>
      <c r="G423" s="16" t="s">
        <v>84</v>
      </c>
    </row>
    <row r="424" customFormat="false" ht="15" hidden="false" customHeight="false" outlineLevel="0" collapsed="false">
      <c r="A424" s="0" t="s">
        <v>143</v>
      </c>
      <c r="B424" s="14" t="n">
        <v>46051</v>
      </c>
      <c r="C424" s="16" t="s">
        <v>177</v>
      </c>
      <c r="D424" s="7" t="n">
        <v>-5</v>
      </c>
      <c r="E424" s="16" t="s">
        <v>178</v>
      </c>
      <c r="F424" s="7" t="n">
        <v>13012.99</v>
      </c>
      <c r="G424" s="16" t="s">
        <v>51</v>
      </c>
    </row>
    <row r="425" customFormat="false" ht="15" hidden="false" customHeight="false" outlineLevel="0" collapsed="false">
      <c r="A425" s="0" t="s">
        <v>143</v>
      </c>
      <c r="B425" s="14" t="n">
        <v>46051</v>
      </c>
      <c r="C425" s="16" t="s">
        <v>572</v>
      </c>
      <c r="D425" s="7" t="n">
        <v>-250</v>
      </c>
      <c r="E425" s="16" t="s">
        <v>156</v>
      </c>
      <c r="F425" s="7" t="n">
        <v>13017.99</v>
      </c>
      <c r="G425" s="16" t="s">
        <v>63</v>
      </c>
    </row>
    <row r="426" customFormat="false" ht="15" hidden="false" customHeight="false" outlineLevel="0" collapsed="false">
      <c r="A426" s="0" t="s">
        <v>143</v>
      </c>
      <c r="B426" s="14" t="n">
        <v>46051</v>
      </c>
      <c r="C426" s="16" t="s">
        <v>573</v>
      </c>
      <c r="D426" s="7" t="n">
        <v>-35</v>
      </c>
      <c r="E426" s="16" t="s">
        <v>156</v>
      </c>
      <c r="F426" s="7" t="n">
        <v>13267.99</v>
      </c>
      <c r="G426" s="16" t="s">
        <v>85</v>
      </c>
    </row>
    <row r="427" customFormat="false" ht="15" hidden="false" customHeight="false" outlineLevel="0" collapsed="false">
      <c r="A427" s="0" t="s">
        <v>143</v>
      </c>
      <c r="B427" s="14" t="n">
        <v>46051</v>
      </c>
      <c r="C427" s="16" t="s">
        <v>574</v>
      </c>
      <c r="D427" s="7" t="n">
        <v>-750</v>
      </c>
      <c r="E427" s="16" t="s">
        <v>180</v>
      </c>
      <c r="F427" s="7" t="n">
        <v>13302.99</v>
      </c>
      <c r="G427" s="16" t="s">
        <v>51</v>
      </c>
    </row>
    <row r="428" customFormat="false" ht="15" hidden="false" customHeight="false" outlineLevel="0" collapsed="false">
      <c r="A428" s="0" t="s">
        <v>143</v>
      </c>
      <c r="B428" s="14" t="n">
        <v>46051</v>
      </c>
      <c r="C428" s="16" t="s">
        <v>575</v>
      </c>
      <c r="D428" s="7" t="n">
        <v>-1242.31</v>
      </c>
      <c r="E428" s="16" t="s">
        <v>145</v>
      </c>
      <c r="F428" s="7" t="n">
        <v>14052.99</v>
      </c>
      <c r="G428" s="16" t="s">
        <v>137</v>
      </c>
    </row>
    <row r="429" customFormat="false" ht="15" hidden="false" customHeight="false" outlineLevel="0" collapsed="false">
      <c r="A429" s="0" t="s">
        <v>143</v>
      </c>
      <c r="B429" s="14" t="n">
        <v>46050</v>
      </c>
      <c r="C429" s="16" t="s">
        <v>576</v>
      </c>
      <c r="D429" s="7" t="n">
        <v>-200</v>
      </c>
      <c r="E429" s="16" t="s">
        <v>145</v>
      </c>
      <c r="F429" s="7" t="n">
        <v>15295.3</v>
      </c>
      <c r="G429" s="16" t="s">
        <v>60</v>
      </c>
    </row>
    <row r="430" customFormat="false" ht="15" hidden="false" customHeight="false" outlineLevel="0" collapsed="false">
      <c r="A430" s="0" t="s">
        <v>143</v>
      </c>
      <c r="B430" s="14" t="n">
        <v>46050</v>
      </c>
      <c r="C430" s="16" t="s">
        <v>577</v>
      </c>
      <c r="D430" s="7" t="n">
        <v>-12.5</v>
      </c>
      <c r="E430" s="16" t="s">
        <v>145</v>
      </c>
      <c r="F430" s="7" t="n">
        <v>15495.3</v>
      </c>
      <c r="G430" s="16" t="s">
        <v>95</v>
      </c>
    </row>
    <row r="431" customFormat="false" ht="15" hidden="false" customHeight="false" outlineLevel="0" collapsed="false">
      <c r="A431" s="0" t="s">
        <v>143</v>
      </c>
      <c r="B431" s="14" t="n">
        <v>46050</v>
      </c>
      <c r="C431" s="16" t="s">
        <v>578</v>
      </c>
      <c r="D431" s="7" t="n">
        <v>-22.92</v>
      </c>
      <c r="E431" s="16" t="s">
        <v>145</v>
      </c>
      <c r="F431" s="7" t="n">
        <v>15507.8</v>
      </c>
      <c r="G431" s="16" t="s">
        <v>95</v>
      </c>
    </row>
    <row r="432" customFormat="false" ht="15" hidden="false" customHeight="false" outlineLevel="0" collapsed="false">
      <c r="A432" s="0" t="s">
        <v>143</v>
      </c>
      <c r="B432" s="14" t="n">
        <v>46049</v>
      </c>
      <c r="C432" s="16" t="s">
        <v>579</v>
      </c>
      <c r="D432" s="7" t="n">
        <v>-40</v>
      </c>
      <c r="E432" s="16" t="s">
        <v>145</v>
      </c>
      <c r="F432" s="7" t="n">
        <v>15530.72</v>
      </c>
      <c r="G432" s="16" t="s">
        <v>60</v>
      </c>
    </row>
    <row r="433" customFormat="false" ht="15" hidden="false" customHeight="false" outlineLevel="0" collapsed="false">
      <c r="A433" s="0" t="s">
        <v>143</v>
      </c>
      <c r="B433" s="14" t="n">
        <v>46049</v>
      </c>
      <c r="C433" s="16" t="s">
        <v>580</v>
      </c>
      <c r="D433" s="7" t="n">
        <v>-7100</v>
      </c>
      <c r="E433" s="16" t="s">
        <v>220</v>
      </c>
      <c r="F433" s="7" t="n">
        <v>15570.72</v>
      </c>
      <c r="G433" s="16" t="s">
        <v>97</v>
      </c>
    </row>
    <row r="434" customFormat="false" ht="15" hidden="false" customHeight="false" outlineLevel="0" collapsed="false">
      <c r="A434" s="0" t="s">
        <v>143</v>
      </c>
      <c r="B434" s="14" t="n">
        <v>46049</v>
      </c>
      <c r="C434" s="16" t="s">
        <v>581</v>
      </c>
      <c r="D434" s="7" t="n">
        <v>-500</v>
      </c>
      <c r="E434" s="16" t="s">
        <v>220</v>
      </c>
      <c r="F434" s="7" t="n">
        <v>22670.72</v>
      </c>
      <c r="G434" s="16" t="s">
        <v>136</v>
      </c>
    </row>
    <row r="435" customFormat="false" ht="15" hidden="false" customHeight="false" outlineLevel="0" collapsed="false">
      <c r="A435" s="0" t="s">
        <v>143</v>
      </c>
      <c r="B435" s="14" t="n">
        <v>46049</v>
      </c>
      <c r="C435" s="16" t="s">
        <v>582</v>
      </c>
      <c r="D435" s="7" t="n">
        <v>-200</v>
      </c>
      <c r="E435" s="16" t="s">
        <v>220</v>
      </c>
      <c r="F435" s="7" t="n">
        <v>23170.72</v>
      </c>
      <c r="G435" s="16" t="s">
        <v>136</v>
      </c>
    </row>
    <row r="436" customFormat="false" ht="15" hidden="false" customHeight="false" outlineLevel="0" collapsed="false">
      <c r="A436" s="0" t="s">
        <v>143</v>
      </c>
      <c r="B436" s="14" t="n">
        <v>46049</v>
      </c>
      <c r="C436" s="16" t="s">
        <v>583</v>
      </c>
      <c r="D436" s="7" t="n">
        <v>-1400</v>
      </c>
      <c r="E436" s="16" t="s">
        <v>220</v>
      </c>
      <c r="F436" s="7" t="n">
        <v>23370.72</v>
      </c>
      <c r="G436" s="16" t="s">
        <v>136</v>
      </c>
    </row>
    <row r="437" customFormat="false" ht="15" hidden="false" customHeight="false" outlineLevel="0" collapsed="false">
      <c r="A437" s="0" t="s">
        <v>143</v>
      </c>
      <c r="B437" s="14" t="n">
        <v>46049</v>
      </c>
      <c r="C437" s="16" t="s">
        <v>584</v>
      </c>
      <c r="D437" s="7" t="n">
        <v>-500</v>
      </c>
      <c r="E437" s="16" t="s">
        <v>220</v>
      </c>
      <c r="F437" s="7" t="n">
        <v>24770.72</v>
      </c>
      <c r="G437" s="16" t="s">
        <v>136</v>
      </c>
    </row>
    <row r="438" customFormat="false" ht="15" hidden="false" customHeight="false" outlineLevel="0" collapsed="false">
      <c r="A438" s="0" t="s">
        <v>143</v>
      </c>
      <c r="B438" s="14" t="n">
        <v>46049</v>
      </c>
      <c r="C438" s="16" t="s">
        <v>585</v>
      </c>
      <c r="D438" s="7" t="n">
        <v>-5000</v>
      </c>
      <c r="E438" s="16" t="s">
        <v>148</v>
      </c>
      <c r="F438" s="7" t="n">
        <v>25270.72</v>
      </c>
      <c r="G438" s="16" t="s">
        <v>68</v>
      </c>
    </row>
    <row r="439" customFormat="false" ht="15" hidden="false" customHeight="false" outlineLevel="0" collapsed="false">
      <c r="A439" s="0" t="s">
        <v>143</v>
      </c>
      <c r="B439" s="14" t="n">
        <v>46049</v>
      </c>
      <c r="C439" s="16" t="s">
        <v>586</v>
      </c>
      <c r="D439" s="7" t="n">
        <v>-1000</v>
      </c>
      <c r="E439" s="16" t="s">
        <v>148</v>
      </c>
      <c r="F439" s="7" t="n">
        <v>30270.72</v>
      </c>
      <c r="G439" s="16" t="s">
        <v>69</v>
      </c>
    </row>
    <row r="440" customFormat="false" ht="15" hidden="false" customHeight="false" outlineLevel="0" collapsed="false">
      <c r="A440" s="0" t="s">
        <v>143</v>
      </c>
      <c r="B440" s="14" t="n">
        <v>46049</v>
      </c>
      <c r="C440" s="16" t="s">
        <v>587</v>
      </c>
      <c r="D440" s="7" t="n">
        <v>-10000</v>
      </c>
      <c r="E440" s="16" t="s">
        <v>148</v>
      </c>
      <c r="F440" s="7" t="n">
        <v>31270.72</v>
      </c>
      <c r="G440" s="16" t="s">
        <v>70</v>
      </c>
    </row>
    <row r="441" customFormat="false" ht="15" hidden="false" customHeight="false" outlineLevel="0" collapsed="false">
      <c r="A441" s="0" t="s">
        <v>143</v>
      </c>
      <c r="B441" s="14" t="n">
        <v>46049</v>
      </c>
      <c r="C441" s="16" t="s">
        <v>588</v>
      </c>
      <c r="D441" s="7" t="n">
        <v>-121.21</v>
      </c>
      <c r="E441" s="16" t="s">
        <v>145</v>
      </c>
      <c r="F441" s="7" t="n">
        <v>41270.72</v>
      </c>
      <c r="G441" s="16" t="s">
        <v>86</v>
      </c>
    </row>
    <row r="442" customFormat="false" ht="15" hidden="false" customHeight="false" outlineLevel="0" collapsed="false">
      <c r="A442" s="0" t="s">
        <v>143</v>
      </c>
      <c r="B442" s="14" t="n">
        <v>46049</v>
      </c>
      <c r="C442" s="16" t="s">
        <v>589</v>
      </c>
      <c r="D442" s="7" t="n">
        <v>-200</v>
      </c>
      <c r="E442" s="16" t="s">
        <v>148</v>
      </c>
      <c r="F442" s="7" t="n">
        <v>41391.93</v>
      </c>
      <c r="G442" s="16" t="s">
        <v>46</v>
      </c>
    </row>
    <row r="443" customFormat="false" ht="15" hidden="false" customHeight="false" outlineLevel="0" collapsed="false">
      <c r="A443" s="0" t="s">
        <v>143</v>
      </c>
      <c r="B443" s="14" t="n">
        <v>46049</v>
      </c>
      <c r="C443" s="16" t="s">
        <v>590</v>
      </c>
      <c r="D443" s="7" t="n">
        <v>-200</v>
      </c>
      <c r="E443" s="16" t="s">
        <v>156</v>
      </c>
      <c r="F443" s="7" t="n">
        <v>41591.93</v>
      </c>
      <c r="G443" s="16" t="s">
        <v>63</v>
      </c>
    </row>
    <row r="444" customFormat="false" ht="15" hidden="false" customHeight="false" outlineLevel="0" collapsed="false">
      <c r="A444" s="0" t="s">
        <v>182</v>
      </c>
      <c r="B444" s="14" t="n">
        <v>46049</v>
      </c>
      <c r="C444" s="16" t="s">
        <v>591</v>
      </c>
      <c r="D444" s="7" t="n">
        <v>30000</v>
      </c>
      <c r="E444" s="16" t="s">
        <v>148</v>
      </c>
      <c r="F444" s="7" t="n">
        <v>41791.93</v>
      </c>
      <c r="G444" s="16" t="s">
        <v>35</v>
      </c>
    </row>
    <row r="445" customFormat="false" ht="15" hidden="false" customHeight="false" outlineLevel="0" collapsed="false">
      <c r="A445" s="0" t="s">
        <v>143</v>
      </c>
      <c r="B445" s="14" t="n">
        <v>46048</v>
      </c>
      <c r="C445" s="16" t="s">
        <v>592</v>
      </c>
      <c r="D445" s="7" t="n">
        <v>-20</v>
      </c>
      <c r="E445" s="16" t="s">
        <v>145</v>
      </c>
      <c r="F445" s="7" t="n">
        <v>11791.93</v>
      </c>
      <c r="G445" s="16" t="s">
        <v>60</v>
      </c>
    </row>
    <row r="446" customFormat="false" ht="15" hidden="false" customHeight="false" outlineLevel="0" collapsed="false">
      <c r="A446" s="0" t="s">
        <v>143</v>
      </c>
      <c r="B446" s="14" t="n">
        <v>46048</v>
      </c>
      <c r="C446" s="16" t="s">
        <v>593</v>
      </c>
      <c r="D446" s="7" t="n">
        <v>-1750</v>
      </c>
      <c r="E446" s="16" t="s">
        <v>150</v>
      </c>
      <c r="F446" s="7" t="n">
        <v>11811.93</v>
      </c>
      <c r="G446" s="16" t="s">
        <v>54</v>
      </c>
    </row>
    <row r="447" customFormat="false" ht="15" hidden="false" customHeight="false" outlineLevel="0" collapsed="false">
      <c r="A447" s="0" t="s">
        <v>143</v>
      </c>
      <c r="B447" s="14" t="n">
        <v>46048</v>
      </c>
      <c r="C447" s="16" t="s">
        <v>594</v>
      </c>
      <c r="D447" s="7" t="n">
        <v>-20.51</v>
      </c>
      <c r="E447" s="16" t="s">
        <v>161</v>
      </c>
      <c r="F447" s="7" t="n">
        <v>13561.93</v>
      </c>
      <c r="G447" s="16" t="s">
        <v>102</v>
      </c>
    </row>
    <row r="448" customFormat="false" ht="15" hidden="false" customHeight="false" outlineLevel="0" collapsed="false">
      <c r="A448" s="0" t="s">
        <v>143</v>
      </c>
      <c r="B448" s="14" t="n">
        <v>46048</v>
      </c>
      <c r="C448" s="16" t="s">
        <v>595</v>
      </c>
      <c r="D448" s="7" t="n">
        <v>-1000</v>
      </c>
      <c r="E448" s="16" t="s">
        <v>145</v>
      </c>
      <c r="F448" s="7" t="n">
        <v>13582.44</v>
      </c>
      <c r="G448" s="16" t="s">
        <v>60</v>
      </c>
    </row>
    <row r="449" customFormat="false" ht="15" hidden="false" customHeight="false" outlineLevel="0" collapsed="false">
      <c r="A449" s="0" t="s">
        <v>143</v>
      </c>
      <c r="B449" s="14" t="n">
        <v>46048</v>
      </c>
      <c r="C449" s="16" t="s">
        <v>596</v>
      </c>
      <c r="D449" s="7" t="n">
        <v>-100</v>
      </c>
      <c r="E449" s="16" t="s">
        <v>161</v>
      </c>
      <c r="F449" s="7" t="n">
        <v>14582.44</v>
      </c>
      <c r="G449" s="16" t="s">
        <v>55</v>
      </c>
    </row>
    <row r="450" customFormat="false" ht="15" hidden="false" customHeight="false" outlineLevel="0" collapsed="false">
      <c r="A450" s="0" t="s">
        <v>143</v>
      </c>
      <c r="B450" s="14" t="n">
        <v>46048</v>
      </c>
      <c r="C450" s="16" t="s">
        <v>597</v>
      </c>
      <c r="D450" s="7" t="n">
        <v>-1000</v>
      </c>
      <c r="E450" s="16" t="s">
        <v>148</v>
      </c>
      <c r="F450" s="7" t="n">
        <v>14682.44</v>
      </c>
      <c r="G450" s="16" t="s">
        <v>141</v>
      </c>
    </row>
    <row r="451" customFormat="false" ht="15" hidden="false" customHeight="false" outlineLevel="0" collapsed="false">
      <c r="A451" s="0" t="s">
        <v>143</v>
      </c>
      <c r="B451" s="14" t="n">
        <v>46045</v>
      </c>
      <c r="C451" s="16" t="s">
        <v>598</v>
      </c>
      <c r="D451" s="7" t="n">
        <v>-300</v>
      </c>
      <c r="E451" s="16" t="s">
        <v>145</v>
      </c>
      <c r="F451" s="7" t="n">
        <v>15682.44</v>
      </c>
      <c r="G451" s="16" t="s">
        <v>60</v>
      </c>
    </row>
    <row r="452" customFormat="false" ht="15" hidden="false" customHeight="false" outlineLevel="0" collapsed="false">
      <c r="A452" s="0" t="s">
        <v>143</v>
      </c>
      <c r="B452" s="14" t="n">
        <v>46044</v>
      </c>
      <c r="C452" s="16" t="s">
        <v>599</v>
      </c>
      <c r="D452" s="7" t="n">
        <v>-17.95</v>
      </c>
      <c r="E452" s="16" t="s">
        <v>161</v>
      </c>
      <c r="F452" s="7" t="n">
        <v>15982.44</v>
      </c>
      <c r="G452" s="16" t="s">
        <v>102</v>
      </c>
    </row>
    <row r="453" customFormat="false" ht="15" hidden="false" customHeight="false" outlineLevel="0" collapsed="false">
      <c r="A453" s="0" t="s">
        <v>143</v>
      </c>
      <c r="B453" s="14" t="n">
        <v>46043</v>
      </c>
      <c r="C453" s="16" t="s">
        <v>600</v>
      </c>
      <c r="D453" s="7" t="n">
        <v>-142</v>
      </c>
      <c r="E453" s="16" t="s">
        <v>148</v>
      </c>
      <c r="F453" s="7" t="n">
        <v>16000.39</v>
      </c>
      <c r="G453" s="16" t="s">
        <v>141</v>
      </c>
    </row>
    <row r="454" customFormat="false" ht="15" hidden="false" customHeight="false" outlineLevel="0" collapsed="false">
      <c r="A454" s="0" t="s">
        <v>143</v>
      </c>
      <c r="B454" s="14" t="n">
        <v>46043</v>
      </c>
      <c r="C454" s="16" t="s">
        <v>601</v>
      </c>
      <c r="D454" s="7" t="n">
        <v>-500.08</v>
      </c>
      <c r="E454" s="16" t="s">
        <v>161</v>
      </c>
      <c r="F454" s="7" t="n">
        <v>16142.39</v>
      </c>
      <c r="G454" s="16" t="s">
        <v>53</v>
      </c>
    </row>
    <row r="455" customFormat="false" ht="15" hidden="false" customHeight="false" outlineLevel="0" collapsed="false">
      <c r="A455" s="0" t="s">
        <v>143</v>
      </c>
      <c r="B455" s="14" t="n">
        <v>46043</v>
      </c>
      <c r="C455" s="16" t="s">
        <v>602</v>
      </c>
      <c r="D455" s="7" t="n">
        <v>-331.54</v>
      </c>
      <c r="E455" s="16" t="s">
        <v>145</v>
      </c>
      <c r="F455" s="7" t="n">
        <v>16642.47</v>
      </c>
      <c r="G455" s="16" t="s">
        <v>109</v>
      </c>
    </row>
    <row r="456" customFormat="false" ht="15" hidden="false" customHeight="false" outlineLevel="0" collapsed="false">
      <c r="A456" s="0" t="s">
        <v>143</v>
      </c>
      <c r="B456" s="14" t="n">
        <v>46043</v>
      </c>
      <c r="C456" s="16" t="s">
        <v>603</v>
      </c>
      <c r="D456" s="7" t="n">
        <v>-5000</v>
      </c>
      <c r="E456" s="16" t="s">
        <v>148</v>
      </c>
      <c r="F456" s="7" t="n">
        <v>16974.01</v>
      </c>
      <c r="G456" s="16" t="s">
        <v>68</v>
      </c>
    </row>
    <row r="457" customFormat="false" ht="15" hidden="false" customHeight="false" outlineLevel="0" collapsed="false">
      <c r="A457" s="0" t="s">
        <v>143</v>
      </c>
      <c r="B457" s="14" t="n">
        <v>46043</v>
      </c>
      <c r="C457" s="16" t="s">
        <v>604</v>
      </c>
      <c r="D457" s="7" t="n">
        <v>-5000</v>
      </c>
      <c r="E457" s="16" t="s">
        <v>148</v>
      </c>
      <c r="F457" s="7" t="n">
        <v>21974.01</v>
      </c>
      <c r="G457" s="16" t="s">
        <v>68</v>
      </c>
    </row>
    <row r="458" customFormat="false" ht="15" hidden="false" customHeight="false" outlineLevel="0" collapsed="false">
      <c r="A458" s="0" t="s">
        <v>143</v>
      </c>
      <c r="B458" s="14" t="n">
        <v>46043</v>
      </c>
      <c r="C458" s="16" t="s">
        <v>605</v>
      </c>
      <c r="D458" s="7" t="n">
        <v>-200</v>
      </c>
      <c r="E458" s="16" t="s">
        <v>282</v>
      </c>
      <c r="F458" s="7" t="n">
        <v>26974.01</v>
      </c>
      <c r="G458" s="16" t="s">
        <v>62</v>
      </c>
    </row>
    <row r="459" customFormat="false" ht="15" hidden="false" customHeight="false" outlineLevel="0" collapsed="false">
      <c r="A459" s="0" t="s">
        <v>182</v>
      </c>
      <c r="B459" s="14" t="n">
        <v>46043</v>
      </c>
      <c r="C459" s="16" t="s">
        <v>606</v>
      </c>
      <c r="D459" s="7" t="n">
        <v>20000</v>
      </c>
      <c r="E459" s="16" t="s">
        <v>148</v>
      </c>
      <c r="F459" s="7" t="n">
        <v>27174.01</v>
      </c>
      <c r="G459" s="16" t="s">
        <v>35</v>
      </c>
    </row>
    <row r="460" customFormat="false" ht="15" hidden="false" customHeight="false" outlineLevel="0" collapsed="false">
      <c r="A460" s="0" t="s">
        <v>143</v>
      </c>
      <c r="B460" s="14" t="n">
        <v>46042</v>
      </c>
      <c r="C460" s="16" t="s">
        <v>607</v>
      </c>
      <c r="D460" s="7" t="n">
        <v>-1</v>
      </c>
      <c r="E460" s="16" t="s">
        <v>145</v>
      </c>
      <c r="F460" s="7" t="n">
        <v>7174.01</v>
      </c>
      <c r="G460" s="16" t="s">
        <v>60</v>
      </c>
    </row>
    <row r="461" customFormat="false" ht="15" hidden="false" customHeight="false" outlineLevel="0" collapsed="false">
      <c r="A461" s="0" t="s">
        <v>143</v>
      </c>
      <c r="B461" s="14" t="n">
        <v>46042</v>
      </c>
      <c r="C461" s="16" t="s">
        <v>608</v>
      </c>
      <c r="D461" s="7" t="n">
        <v>-5</v>
      </c>
      <c r="E461" s="16" t="s">
        <v>145</v>
      </c>
      <c r="F461" s="7" t="n">
        <v>7175.01</v>
      </c>
      <c r="G461" s="16" t="s">
        <v>60</v>
      </c>
    </row>
    <row r="462" customFormat="false" ht="15" hidden="false" customHeight="false" outlineLevel="0" collapsed="false">
      <c r="A462" s="0" t="s">
        <v>143</v>
      </c>
      <c r="B462" s="14" t="n">
        <v>46042</v>
      </c>
      <c r="C462" s="16" t="s">
        <v>609</v>
      </c>
      <c r="D462" s="7" t="n">
        <v>-20</v>
      </c>
      <c r="E462" s="16" t="s">
        <v>145</v>
      </c>
      <c r="F462" s="7" t="n">
        <v>7180.01</v>
      </c>
      <c r="G462" s="16" t="s">
        <v>60</v>
      </c>
    </row>
    <row r="463" customFormat="false" ht="15" hidden="false" customHeight="false" outlineLevel="0" collapsed="false">
      <c r="A463" s="0" t="s">
        <v>143</v>
      </c>
      <c r="B463" s="14" t="n">
        <v>46042</v>
      </c>
      <c r="C463" s="16" t="s">
        <v>610</v>
      </c>
      <c r="D463" s="7" t="n">
        <v>-20</v>
      </c>
      <c r="E463" s="16" t="s">
        <v>145</v>
      </c>
      <c r="F463" s="7" t="n">
        <v>7200.01</v>
      </c>
      <c r="G463" s="16" t="s">
        <v>60</v>
      </c>
    </row>
    <row r="464" customFormat="false" ht="15" hidden="false" customHeight="false" outlineLevel="0" collapsed="false">
      <c r="A464" s="0" t="s">
        <v>143</v>
      </c>
      <c r="B464" s="14" t="n">
        <v>46042</v>
      </c>
      <c r="C464" s="16" t="s">
        <v>611</v>
      </c>
      <c r="D464" s="7" t="n">
        <v>-105</v>
      </c>
      <c r="E464" s="16" t="s">
        <v>161</v>
      </c>
      <c r="F464" s="7" t="n">
        <v>7220.01</v>
      </c>
      <c r="G464" s="16" t="s">
        <v>56</v>
      </c>
    </row>
    <row r="465" customFormat="false" ht="15" hidden="false" customHeight="false" outlineLevel="0" collapsed="false">
      <c r="A465" s="0" t="s">
        <v>143</v>
      </c>
      <c r="B465" s="14" t="n">
        <v>46042</v>
      </c>
      <c r="C465" s="16" t="s">
        <v>612</v>
      </c>
      <c r="D465" s="7" t="n">
        <v>-103.2</v>
      </c>
      <c r="E465" s="16" t="s">
        <v>161</v>
      </c>
      <c r="F465" s="7" t="n">
        <v>7325.01</v>
      </c>
      <c r="G465" s="16" t="s">
        <v>139</v>
      </c>
    </row>
    <row r="466" customFormat="false" ht="15" hidden="false" customHeight="false" outlineLevel="0" collapsed="false">
      <c r="A466" s="0" t="s">
        <v>143</v>
      </c>
      <c r="B466" s="14" t="n">
        <v>46042</v>
      </c>
      <c r="C466" s="16" t="s">
        <v>613</v>
      </c>
      <c r="D466" s="7" t="n">
        <v>-16.98</v>
      </c>
      <c r="E466" s="16" t="s">
        <v>161</v>
      </c>
      <c r="F466" s="7" t="n">
        <v>7428.21</v>
      </c>
      <c r="G466" s="16" t="s">
        <v>84</v>
      </c>
    </row>
    <row r="467" customFormat="false" ht="15" hidden="false" customHeight="false" outlineLevel="0" collapsed="false">
      <c r="A467" s="0" t="s">
        <v>143</v>
      </c>
      <c r="B467" s="14" t="n">
        <v>46042</v>
      </c>
      <c r="C467" s="16" t="s">
        <v>614</v>
      </c>
      <c r="D467" s="7" t="n">
        <v>-22.98</v>
      </c>
      <c r="E467" s="16" t="s">
        <v>161</v>
      </c>
      <c r="F467" s="7" t="n">
        <v>7445.19</v>
      </c>
      <c r="G467" s="16" t="s">
        <v>84</v>
      </c>
    </row>
    <row r="468" customFormat="false" ht="15" hidden="false" customHeight="false" outlineLevel="0" collapsed="false">
      <c r="A468" s="0" t="s">
        <v>143</v>
      </c>
      <c r="B468" s="14" t="n">
        <v>46042</v>
      </c>
      <c r="C468" s="16" t="s">
        <v>615</v>
      </c>
      <c r="D468" s="7" t="n">
        <v>-4000</v>
      </c>
      <c r="E468" s="16" t="s">
        <v>148</v>
      </c>
      <c r="F468" s="7" t="n">
        <v>7468.17</v>
      </c>
      <c r="G468" s="16" t="s">
        <v>68</v>
      </c>
    </row>
    <row r="469" customFormat="false" ht="15" hidden="false" customHeight="false" outlineLevel="0" collapsed="false">
      <c r="A469" s="0" t="s">
        <v>143</v>
      </c>
      <c r="B469" s="14" t="n">
        <v>46038</v>
      </c>
      <c r="C469" s="16" t="s">
        <v>616</v>
      </c>
      <c r="D469" s="7" t="n">
        <v>-80</v>
      </c>
      <c r="E469" s="16" t="s">
        <v>145</v>
      </c>
      <c r="F469" s="7" t="n">
        <v>11468.17</v>
      </c>
      <c r="G469" s="16" t="s">
        <v>60</v>
      </c>
    </row>
    <row r="470" customFormat="false" ht="15" hidden="false" customHeight="false" outlineLevel="0" collapsed="false">
      <c r="A470" s="0" t="s">
        <v>143</v>
      </c>
      <c r="B470" s="14" t="n">
        <v>46038</v>
      </c>
      <c r="C470" s="16" t="s">
        <v>617</v>
      </c>
      <c r="D470" s="7" t="n">
        <v>-160</v>
      </c>
      <c r="E470" s="16" t="s">
        <v>145</v>
      </c>
      <c r="F470" s="7" t="n">
        <v>11548.17</v>
      </c>
      <c r="G470" s="16" t="s">
        <v>60</v>
      </c>
    </row>
    <row r="471" customFormat="false" ht="15" hidden="false" customHeight="false" outlineLevel="0" collapsed="false">
      <c r="A471" s="0" t="s">
        <v>143</v>
      </c>
      <c r="B471" s="14" t="n">
        <v>46038</v>
      </c>
      <c r="C471" s="16" t="s">
        <v>618</v>
      </c>
      <c r="D471" s="7" t="n">
        <v>-5</v>
      </c>
      <c r="E471" s="16" t="s">
        <v>145</v>
      </c>
      <c r="F471" s="7" t="n">
        <v>11708.17</v>
      </c>
      <c r="G471" s="16" t="s">
        <v>60</v>
      </c>
    </row>
    <row r="472" customFormat="false" ht="15" hidden="false" customHeight="false" outlineLevel="0" collapsed="false">
      <c r="A472" s="0" t="s">
        <v>143</v>
      </c>
      <c r="B472" s="14" t="n">
        <v>46038</v>
      </c>
      <c r="C472" s="16" t="s">
        <v>619</v>
      </c>
      <c r="D472" s="7" t="n">
        <v>-1750</v>
      </c>
      <c r="E472" s="16" t="s">
        <v>150</v>
      </c>
      <c r="F472" s="7" t="n">
        <v>11713.17</v>
      </c>
      <c r="G472" s="16" t="s">
        <v>54</v>
      </c>
    </row>
    <row r="473" customFormat="false" ht="15" hidden="false" customHeight="false" outlineLevel="0" collapsed="false">
      <c r="A473" s="0" t="s">
        <v>143</v>
      </c>
      <c r="B473" s="14" t="n">
        <v>46038</v>
      </c>
      <c r="C473" s="16" t="s">
        <v>620</v>
      </c>
      <c r="D473" s="7" t="n">
        <v>-104.01</v>
      </c>
      <c r="E473" s="16" t="s">
        <v>145</v>
      </c>
      <c r="F473" s="7" t="n">
        <v>13463.17</v>
      </c>
      <c r="G473" s="16" t="s">
        <v>82</v>
      </c>
    </row>
    <row r="474" customFormat="false" ht="15" hidden="false" customHeight="false" outlineLevel="0" collapsed="false">
      <c r="A474" s="0" t="s">
        <v>143</v>
      </c>
      <c r="B474" s="14" t="n">
        <v>46037</v>
      </c>
      <c r="C474" s="16" t="s">
        <v>177</v>
      </c>
      <c r="D474" s="7" t="n">
        <v>-5</v>
      </c>
      <c r="E474" s="16" t="s">
        <v>178</v>
      </c>
      <c r="F474" s="7" t="n">
        <v>13567.18</v>
      </c>
      <c r="G474" s="16" t="s">
        <v>51</v>
      </c>
    </row>
    <row r="475" customFormat="false" ht="15" hidden="false" customHeight="false" outlineLevel="0" collapsed="false">
      <c r="A475" s="0" t="s">
        <v>143</v>
      </c>
      <c r="B475" s="14" t="n">
        <v>46037</v>
      </c>
      <c r="C475" s="16" t="s">
        <v>621</v>
      </c>
      <c r="D475" s="7" t="n">
        <v>-1</v>
      </c>
      <c r="E475" s="16" t="s">
        <v>145</v>
      </c>
      <c r="F475" s="7" t="n">
        <v>13572.18</v>
      </c>
      <c r="G475" s="16" t="s">
        <v>60</v>
      </c>
    </row>
    <row r="476" customFormat="false" ht="15" hidden="false" customHeight="false" outlineLevel="0" collapsed="false">
      <c r="A476" s="0" t="s">
        <v>143</v>
      </c>
      <c r="B476" s="14" t="n">
        <v>46037</v>
      </c>
      <c r="C476" s="16" t="s">
        <v>622</v>
      </c>
      <c r="D476" s="7" t="n">
        <v>-130</v>
      </c>
      <c r="E476" s="16" t="s">
        <v>145</v>
      </c>
      <c r="F476" s="7" t="n">
        <v>13573.18</v>
      </c>
      <c r="G476" s="16" t="s">
        <v>60</v>
      </c>
    </row>
    <row r="477" customFormat="false" ht="15" hidden="false" customHeight="false" outlineLevel="0" collapsed="false">
      <c r="A477" s="0" t="s">
        <v>143</v>
      </c>
      <c r="B477" s="14" t="n">
        <v>46037</v>
      </c>
      <c r="C477" s="16" t="s">
        <v>623</v>
      </c>
      <c r="D477" s="7" t="n">
        <v>-150</v>
      </c>
      <c r="E477" s="16" t="s">
        <v>145</v>
      </c>
      <c r="F477" s="7" t="n">
        <v>13703.18</v>
      </c>
      <c r="G477" s="16" t="s">
        <v>60</v>
      </c>
    </row>
    <row r="478" customFormat="false" ht="15" hidden="false" customHeight="false" outlineLevel="0" collapsed="false">
      <c r="A478" s="0" t="s">
        <v>143</v>
      </c>
      <c r="B478" s="14" t="n">
        <v>46037</v>
      </c>
      <c r="C478" s="16" t="s">
        <v>624</v>
      </c>
      <c r="D478" s="7" t="n">
        <v>-800</v>
      </c>
      <c r="E478" s="16" t="s">
        <v>145</v>
      </c>
      <c r="F478" s="7" t="n">
        <v>13853.18</v>
      </c>
      <c r="G478" s="16" t="s">
        <v>60</v>
      </c>
    </row>
    <row r="479" customFormat="false" ht="15" hidden="false" customHeight="false" outlineLevel="0" collapsed="false">
      <c r="A479" s="0" t="s">
        <v>143</v>
      </c>
      <c r="B479" s="14" t="n">
        <v>46037</v>
      </c>
      <c r="C479" s="16" t="s">
        <v>625</v>
      </c>
      <c r="D479" s="7" t="n">
        <v>-1000</v>
      </c>
      <c r="E479" s="16" t="s">
        <v>145</v>
      </c>
      <c r="F479" s="7" t="n">
        <v>14653.18</v>
      </c>
      <c r="G479" s="16" t="s">
        <v>60</v>
      </c>
    </row>
    <row r="480" customFormat="false" ht="15" hidden="false" customHeight="false" outlineLevel="0" collapsed="false">
      <c r="A480" s="0" t="s">
        <v>143</v>
      </c>
      <c r="B480" s="14" t="n">
        <v>46037</v>
      </c>
      <c r="C480" s="16" t="s">
        <v>626</v>
      </c>
      <c r="D480" s="7" t="n">
        <v>-750</v>
      </c>
      <c r="E480" s="16" t="s">
        <v>180</v>
      </c>
      <c r="F480" s="7" t="n">
        <v>15653.18</v>
      </c>
      <c r="G480" s="16" t="s">
        <v>51</v>
      </c>
    </row>
    <row r="481" customFormat="false" ht="15" hidden="false" customHeight="false" outlineLevel="0" collapsed="false">
      <c r="A481" s="0" t="s">
        <v>143</v>
      </c>
      <c r="B481" s="14" t="n">
        <v>46037</v>
      </c>
      <c r="C481" s="16" t="s">
        <v>627</v>
      </c>
      <c r="D481" s="7" t="n">
        <v>-200</v>
      </c>
      <c r="E481" s="16" t="s">
        <v>161</v>
      </c>
      <c r="F481" s="7" t="n">
        <v>16403.18</v>
      </c>
      <c r="G481" s="16" t="s">
        <v>55</v>
      </c>
    </row>
    <row r="482" customFormat="false" ht="15" hidden="false" customHeight="false" outlineLevel="0" collapsed="false">
      <c r="A482" s="0" t="s">
        <v>143</v>
      </c>
      <c r="B482" s="14" t="n">
        <v>46036</v>
      </c>
      <c r="C482" s="16" t="s">
        <v>628</v>
      </c>
      <c r="D482" s="7" t="n">
        <v>-200</v>
      </c>
      <c r="E482" s="16" t="s">
        <v>156</v>
      </c>
      <c r="F482" s="7" t="n">
        <v>16603.18</v>
      </c>
      <c r="G482" s="16" t="s">
        <v>63</v>
      </c>
    </row>
    <row r="483" customFormat="false" ht="15" hidden="false" customHeight="false" outlineLevel="0" collapsed="false">
      <c r="A483" s="0" t="s">
        <v>143</v>
      </c>
      <c r="B483" s="14" t="n">
        <v>46035</v>
      </c>
      <c r="C483" s="16" t="s">
        <v>629</v>
      </c>
      <c r="D483" s="7" t="n">
        <v>-5000</v>
      </c>
      <c r="E483" s="16" t="s">
        <v>148</v>
      </c>
      <c r="F483" s="7" t="n">
        <v>16803.18</v>
      </c>
      <c r="G483" s="16" t="s">
        <v>68</v>
      </c>
    </row>
    <row r="484" customFormat="false" ht="15" hidden="false" customHeight="false" outlineLevel="0" collapsed="false">
      <c r="A484" s="0" t="s">
        <v>143</v>
      </c>
      <c r="B484" s="14" t="n">
        <v>46035</v>
      </c>
      <c r="C484" s="16" t="s">
        <v>630</v>
      </c>
      <c r="D484" s="7" t="n">
        <v>-1533.71</v>
      </c>
      <c r="E484" s="16" t="s">
        <v>145</v>
      </c>
      <c r="F484" s="7" t="n">
        <v>21803.18</v>
      </c>
      <c r="G484" s="16" t="s">
        <v>135</v>
      </c>
    </row>
    <row r="485" customFormat="false" ht="15" hidden="false" customHeight="false" outlineLevel="0" collapsed="false">
      <c r="A485" s="0" t="s">
        <v>143</v>
      </c>
      <c r="B485" s="14" t="n">
        <v>46035</v>
      </c>
      <c r="C485" s="16" t="s">
        <v>631</v>
      </c>
      <c r="D485" s="7" t="n">
        <v>-577.5</v>
      </c>
      <c r="E485" s="16" t="s">
        <v>161</v>
      </c>
      <c r="F485" s="7" t="n">
        <v>23336.89</v>
      </c>
      <c r="G485" s="16" t="s">
        <v>56</v>
      </c>
    </row>
    <row r="486" customFormat="false" ht="15" hidden="false" customHeight="false" outlineLevel="0" collapsed="false">
      <c r="A486" s="0" t="s">
        <v>182</v>
      </c>
      <c r="B486" s="14" t="n">
        <v>46035</v>
      </c>
      <c r="C486" s="16" t="s">
        <v>632</v>
      </c>
      <c r="D486" s="7" t="n">
        <v>20000</v>
      </c>
      <c r="E486" s="16" t="s">
        <v>148</v>
      </c>
      <c r="F486" s="7" t="n">
        <v>23914.39</v>
      </c>
      <c r="G486" s="16" t="s">
        <v>35</v>
      </c>
    </row>
    <row r="487" customFormat="false" ht="15" hidden="false" customHeight="false" outlineLevel="0" collapsed="false">
      <c r="A487" s="0" t="s">
        <v>143</v>
      </c>
      <c r="B487" s="14" t="n">
        <v>46034</v>
      </c>
      <c r="C487" s="16" t="s">
        <v>633</v>
      </c>
      <c r="D487" s="7" t="n">
        <v>-1750</v>
      </c>
      <c r="E487" s="16" t="s">
        <v>150</v>
      </c>
      <c r="F487" s="7" t="n">
        <v>3914.39</v>
      </c>
      <c r="G487" s="16" t="s">
        <v>54</v>
      </c>
    </row>
    <row r="488" customFormat="false" ht="15" hidden="false" customHeight="false" outlineLevel="0" collapsed="false">
      <c r="A488" s="0" t="s">
        <v>143</v>
      </c>
      <c r="B488" s="14" t="n">
        <v>46034</v>
      </c>
      <c r="C488" s="16" t="s">
        <v>634</v>
      </c>
      <c r="D488" s="7" t="n">
        <v>-2</v>
      </c>
      <c r="E488" s="16" t="s">
        <v>145</v>
      </c>
      <c r="F488" s="7" t="n">
        <v>5664.39</v>
      </c>
      <c r="G488" s="16" t="s">
        <v>60</v>
      </c>
    </row>
    <row r="489" customFormat="false" ht="15" hidden="false" customHeight="false" outlineLevel="0" collapsed="false">
      <c r="A489" s="0" t="s">
        <v>143</v>
      </c>
      <c r="B489" s="14" t="n">
        <v>46034</v>
      </c>
      <c r="C489" s="16" t="s">
        <v>635</v>
      </c>
      <c r="D489" s="7" t="n">
        <v>-10</v>
      </c>
      <c r="E489" s="16" t="s">
        <v>145</v>
      </c>
      <c r="F489" s="7" t="n">
        <v>5666.39</v>
      </c>
      <c r="G489" s="16" t="s">
        <v>60</v>
      </c>
    </row>
    <row r="490" customFormat="false" ht="15" hidden="false" customHeight="false" outlineLevel="0" collapsed="false">
      <c r="A490" s="0" t="s">
        <v>143</v>
      </c>
      <c r="B490" s="14" t="n">
        <v>46034</v>
      </c>
      <c r="C490" s="16" t="s">
        <v>636</v>
      </c>
      <c r="D490" s="7" t="n">
        <v>-171.21</v>
      </c>
      <c r="E490" s="16" t="s">
        <v>145</v>
      </c>
      <c r="F490" s="7" t="n">
        <v>5676.39</v>
      </c>
      <c r="G490" s="16" t="s">
        <v>95</v>
      </c>
    </row>
    <row r="491" customFormat="false" ht="15" hidden="false" customHeight="false" outlineLevel="0" collapsed="false">
      <c r="A491" s="0" t="s">
        <v>143</v>
      </c>
      <c r="B491" s="14" t="n">
        <v>46034</v>
      </c>
      <c r="C491" s="16" t="s">
        <v>637</v>
      </c>
      <c r="D491" s="7" t="n">
        <v>-1249.96</v>
      </c>
      <c r="E491" s="16" t="s">
        <v>145</v>
      </c>
      <c r="F491" s="7" t="n">
        <v>5847.6</v>
      </c>
      <c r="G491" s="16" t="s">
        <v>135</v>
      </c>
    </row>
    <row r="492" customFormat="false" ht="15" hidden="false" customHeight="false" outlineLevel="0" collapsed="false">
      <c r="A492" s="0" t="s">
        <v>143</v>
      </c>
      <c r="B492" s="14" t="n">
        <v>46034</v>
      </c>
      <c r="C492" s="16" t="s">
        <v>638</v>
      </c>
      <c r="D492" s="7" t="n">
        <v>-56.97</v>
      </c>
      <c r="E492" s="16" t="s">
        <v>161</v>
      </c>
      <c r="F492" s="7" t="n">
        <v>7097.56</v>
      </c>
      <c r="G492" s="16" t="s">
        <v>102</v>
      </c>
    </row>
    <row r="493" customFormat="false" ht="15" hidden="false" customHeight="false" outlineLevel="0" collapsed="false">
      <c r="A493" s="0" t="s">
        <v>143</v>
      </c>
      <c r="B493" s="14" t="n">
        <v>46034</v>
      </c>
      <c r="C493" s="16" t="s">
        <v>639</v>
      </c>
      <c r="D493" s="7" t="n">
        <v>-800</v>
      </c>
      <c r="E493" s="16" t="s">
        <v>156</v>
      </c>
      <c r="F493" s="7" t="n">
        <v>7154.53</v>
      </c>
      <c r="G493" s="16" t="s">
        <v>61</v>
      </c>
    </row>
    <row r="494" customFormat="false" ht="15" hidden="false" customHeight="false" outlineLevel="0" collapsed="false">
      <c r="A494" s="0" t="s">
        <v>143</v>
      </c>
      <c r="B494" s="14" t="n">
        <v>46034</v>
      </c>
      <c r="C494" s="16" t="s">
        <v>640</v>
      </c>
      <c r="D494" s="7" t="n">
        <v>-125</v>
      </c>
      <c r="E494" s="16" t="s">
        <v>161</v>
      </c>
      <c r="F494" s="7" t="n">
        <v>7954.53</v>
      </c>
      <c r="G494" s="16" t="s">
        <v>55</v>
      </c>
    </row>
    <row r="495" customFormat="false" ht="15" hidden="false" customHeight="false" outlineLevel="0" collapsed="false">
      <c r="A495" s="0" t="s">
        <v>143</v>
      </c>
      <c r="B495" s="14" t="n">
        <v>46031</v>
      </c>
      <c r="C495" s="16" t="s">
        <v>641</v>
      </c>
      <c r="D495" s="7" t="n">
        <v>-300</v>
      </c>
      <c r="E495" s="16" t="s">
        <v>148</v>
      </c>
      <c r="F495" s="7" t="n">
        <v>8079.53</v>
      </c>
      <c r="G495" s="16" t="s">
        <v>48</v>
      </c>
    </row>
    <row r="496" customFormat="false" ht="15" hidden="false" customHeight="false" outlineLevel="0" collapsed="false">
      <c r="A496" s="0" t="s">
        <v>143</v>
      </c>
      <c r="B496" s="14" t="n">
        <v>46030</v>
      </c>
      <c r="C496" s="16" t="s">
        <v>642</v>
      </c>
      <c r="D496" s="7" t="n">
        <v>-2000</v>
      </c>
      <c r="E496" s="16" t="s">
        <v>148</v>
      </c>
      <c r="F496" s="7" t="n">
        <v>8379.53</v>
      </c>
      <c r="G496" s="16" t="s">
        <v>68</v>
      </c>
    </row>
    <row r="497" customFormat="false" ht="15" hidden="false" customHeight="false" outlineLevel="0" collapsed="false">
      <c r="A497" s="0" t="s">
        <v>143</v>
      </c>
      <c r="B497" s="14" t="n">
        <v>46030</v>
      </c>
      <c r="C497" s="16" t="s">
        <v>643</v>
      </c>
      <c r="D497" s="7" t="n">
        <v>-21.28</v>
      </c>
      <c r="E497" s="16" t="s">
        <v>161</v>
      </c>
      <c r="F497" s="7" t="n">
        <v>10379.53</v>
      </c>
      <c r="G497" s="16" t="s">
        <v>79</v>
      </c>
    </row>
    <row r="498" customFormat="false" ht="15" hidden="false" customHeight="false" outlineLevel="0" collapsed="false">
      <c r="A498" s="0" t="s">
        <v>143</v>
      </c>
      <c r="B498" s="14" t="n">
        <v>46028</v>
      </c>
      <c r="C498" s="16" t="s">
        <v>644</v>
      </c>
      <c r="D498" s="7" t="n">
        <v>-5000</v>
      </c>
      <c r="E498" s="16" t="s">
        <v>148</v>
      </c>
      <c r="F498" s="7" t="n">
        <v>10400.81</v>
      </c>
      <c r="G498" s="16" t="s">
        <v>39</v>
      </c>
    </row>
    <row r="499" customFormat="false" ht="15" hidden="false" customHeight="false" outlineLevel="0" collapsed="false">
      <c r="A499" s="0" t="s">
        <v>143</v>
      </c>
      <c r="B499" s="14" t="n">
        <v>46028</v>
      </c>
      <c r="C499" s="16" t="s">
        <v>645</v>
      </c>
      <c r="D499" s="7" t="n">
        <v>-288.75</v>
      </c>
      <c r="E499" s="16" t="s">
        <v>161</v>
      </c>
      <c r="F499" s="7" t="n">
        <v>15400.81</v>
      </c>
      <c r="G499" s="16" t="s">
        <v>56</v>
      </c>
    </row>
    <row r="500" customFormat="false" ht="15" hidden="false" customHeight="false" outlineLevel="0" collapsed="false">
      <c r="A500" s="0" t="s">
        <v>143</v>
      </c>
      <c r="B500" s="14" t="n">
        <v>46027</v>
      </c>
      <c r="C500" s="16" t="s">
        <v>646</v>
      </c>
      <c r="D500" s="7" t="n">
        <v>-75</v>
      </c>
      <c r="E500" s="16" t="s">
        <v>145</v>
      </c>
      <c r="F500" s="7" t="n">
        <v>15689.56</v>
      </c>
      <c r="G500" s="16" t="s">
        <v>60</v>
      </c>
    </row>
    <row r="501" customFormat="false" ht="15" hidden="false" customHeight="false" outlineLevel="0" collapsed="false">
      <c r="A501" s="0" t="s">
        <v>143</v>
      </c>
      <c r="B501" s="14" t="n">
        <v>46027</v>
      </c>
      <c r="C501" s="16" t="s">
        <v>647</v>
      </c>
      <c r="D501" s="7" t="n">
        <v>-1750</v>
      </c>
      <c r="E501" s="16" t="s">
        <v>150</v>
      </c>
      <c r="F501" s="7" t="n">
        <v>15764.56</v>
      </c>
      <c r="G501" s="16" t="s">
        <v>54</v>
      </c>
    </row>
    <row r="502" customFormat="false" ht="15" hidden="false" customHeight="false" outlineLevel="0" collapsed="false">
      <c r="A502" s="0" t="s">
        <v>143</v>
      </c>
      <c r="B502" s="14" t="n">
        <v>46027</v>
      </c>
      <c r="C502" s="16" t="s">
        <v>648</v>
      </c>
      <c r="D502" s="7" t="n">
        <v>-150</v>
      </c>
      <c r="E502" s="16" t="s">
        <v>145</v>
      </c>
      <c r="F502" s="7" t="n">
        <v>17514.56</v>
      </c>
      <c r="G502" s="16" t="s">
        <v>60</v>
      </c>
    </row>
    <row r="503" customFormat="false" ht="15" hidden="false" customHeight="false" outlineLevel="0" collapsed="false">
      <c r="A503" s="0" t="s">
        <v>143</v>
      </c>
      <c r="B503" s="14" t="n">
        <v>46027</v>
      </c>
      <c r="C503" s="16" t="s">
        <v>649</v>
      </c>
      <c r="D503" s="7" t="n">
        <v>-150</v>
      </c>
      <c r="E503" s="16" t="s">
        <v>156</v>
      </c>
      <c r="F503" s="7" t="n">
        <v>17664.56</v>
      </c>
      <c r="G503" s="16" t="s">
        <v>63</v>
      </c>
    </row>
    <row r="504" customFormat="false" ht="15" hidden="false" customHeight="false" outlineLevel="0" collapsed="false">
      <c r="A504" s="0" t="s">
        <v>143</v>
      </c>
      <c r="B504" s="14" t="n">
        <v>46027</v>
      </c>
      <c r="C504" s="16" t="s">
        <v>650</v>
      </c>
      <c r="D504" s="7" t="n">
        <v>-200</v>
      </c>
      <c r="E504" s="16" t="s">
        <v>148</v>
      </c>
      <c r="F504" s="7" t="n">
        <v>17814.56</v>
      </c>
      <c r="G504" s="16" t="s">
        <v>69</v>
      </c>
    </row>
    <row r="505" customFormat="false" ht="15" hidden="false" customHeight="false" outlineLevel="0" collapsed="false">
      <c r="A505" s="0" t="s">
        <v>143</v>
      </c>
      <c r="B505" s="14" t="n">
        <v>46027</v>
      </c>
      <c r="C505" s="16" t="s">
        <v>651</v>
      </c>
      <c r="D505" s="7" t="n">
        <v>-1000</v>
      </c>
      <c r="E505" s="16" t="s">
        <v>148</v>
      </c>
      <c r="F505" s="7" t="n">
        <v>18014.56</v>
      </c>
      <c r="G505" s="16" t="s">
        <v>68</v>
      </c>
    </row>
    <row r="506" customFormat="false" ht="15" hidden="false" customHeight="false" outlineLevel="0" collapsed="false">
      <c r="A506" s="0" t="s">
        <v>143</v>
      </c>
      <c r="B506" s="14" t="n">
        <v>46027</v>
      </c>
      <c r="C506" s="16" t="s">
        <v>652</v>
      </c>
      <c r="D506" s="7" t="n">
        <v>-309</v>
      </c>
      <c r="E506" s="16" t="s">
        <v>161</v>
      </c>
      <c r="F506" s="7" t="n">
        <v>19014.56</v>
      </c>
      <c r="G506" s="16" t="s">
        <v>139</v>
      </c>
    </row>
    <row r="507" customFormat="false" ht="15" hidden="false" customHeight="false" outlineLevel="0" collapsed="false">
      <c r="A507" s="0" t="s">
        <v>143</v>
      </c>
      <c r="B507" s="14" t="n">
        <v>46027</v>
      </c>
      <c r="C507" s="16" t="s">
        <v>653</v>
      </c>
      <c r="D507" s="7" t="n">
        <v>-10.78</v>
      </c>
      <c r="E507" s="16" t="s">
        <v>161</v>
      </c>
      <c r="F507" s="7" t="n">
        <v>19323.56</v>
      </c>
      <c r="G507" s="16" t="s">
        <v>83</v>
      </c>
    </row>
    <row r="508" customFormat="false" ht="15" hidden="false" customHeight="false" outlineLevel="0" collapsed="false">
      <c r="A508" s="0" t="s">
        <v>143</v>
      </c>
      <c r="B508" s="14" t="n">
        <v>46027</v>
      </c>
      <c r="C508" s="16" t="s">
        <v>654</v>
      </c>
      <c r="D508" s="7" t="n">
        <v>-1293.42</v>
      </c>
      <c r="E508" s="16" t="s">
        <v>161</v>
      </c>
      <c r="F508" s="7" t="n">
        <v>19334.34</v>
      </c>
      <c r="G508" s="16" t="s">
        <v>140</v>
      </c>
    </row>
    <row r="509" customFormat="false" ht="15" hidden="false" customHeight="false" outlineLevel="0" collapsed="false">
      <c r="A509" s="0" t="s">
        <v>143</v>
      </c>
      <c r="B509" s="14" t="n">
        <v>46024</v>
      </c>
      <c r="C509" s="16" t="s">
        <v>655</v>
      </c>
      <c r="D509" s="7" t="n">
        <v>-0.45</v>
      </c>
      <c r="E509" s="16" t="s">
        <v>178</v>
      </c>
      <c r="F509" s="7" t="n">
        <v>20627.76</v>
      </c>
      <c r="G509" s="16" t="s">
        <v>80</v>
      </c>
    </row>
    <row r="510" customFormat="false" ht="15" hidden="false" customHeight="false" outlineLevel="0" collapsed="false">
      <c r="A510" s="0" t="s">
        <v>143</v>
      </c>
      <c r="B510" s="14" t="n">
        <v>46024</v>
      </c>
      <c r="C510" s="16" t="s">
        <v>197</v>
      </c>
      <c r="D510" s="7" t="n">
        <v>-25</v>
      </c>
      <c r="E510" s="16" t="s">
        <v>178</v>
      </c>
      <c r="F510" s="7" t="n">
        <v>20628.21</v>
      </c>
      <c r="G510" s="16" t="s">
        <v>80</v>
      </c>
    </row>
    <row r="511" customFormat="false" ht="15" hidden="false" customHeight="false" outlineLevel="0" collapsed="false">
      <c r="A511" s="0" t="s">
        <v>143</v>
      </c>
      <c r="B511" s="14" t="n">
        <v>46024</v>
      </c>
      <c r="C511" s="16" t="s">
        <v>196</v>
      </c>
      <c r="D511" s="7" t="n">
        <v>-100</v>
      </c>
      <c r="E511" s="16" t="s">
        <v>178</v>
      </c>
      <c r="F511" s="7" t="n">
        <v>20653.21</v>
      </c>
      <c r="G511" s="16" t="s">
        <v>80</v>
      </c>
    </row>
    <row r="512" customFormat="false" ht="15" hidden="false" customHeight="false" outlineLevel="0" collapsed="false">
      <c r="A512" s="0" t="s">
        <v>143</v>
      </c>
      <c r="B512" s="14" t="n">
        <v>46024</v>
      </c>
      <c r="C512" s="16" t="s">
        <v>656</v>
      </c>
      <c r="D512" s="7" t="n">
        <v>-3000</v>
      </c>
      <c r="E512" s="16" t="s">
        <v>145</v>
      </c>
      <c r="F512" s="7" t="n">
        <v>20753.21</v>
      </c>
      <c r="G512" s="16" t="s">
        <v>60</v>
      </c>
    </row>
    <row r="513" customFormat="false" ht="15" hidden="false" customHeight="false" outlineLevel="0" collapsed="false">
      <c r="A513" s="0" t="s">
        <v>143</v>
      </c>
      <c r="B513" s="14" t="n">
        <v>46024</v>
      </c>
      <c r="C513" s="16" t="s">
        <v>657</v>
      </c>
      <c r="D513" s="7" t="n">
        <v>-20.97</v>
      </c>
      <c r="E513" s="16" t="s">
        <v>161</v>
      </c>
      <c r="F513" s="7" t="n">
        <v>23753.21</v>
      </c>
      <c r="G513" s="16" t="s">
        <v>84</v>
      </c>
    </row>
    <row r="514" customFormat="false" ht="15" hidden="false" customHeight="false" outlineLevel="0" collapsed="false">
      <c r="A514" s="0" t="s">
        <v>143</v>
      </c>
      <c r="B514" s="14" t="n">
        <v>46024</v>
      </c>
      <c r="C514" s="16" t="s">
        <v>658</v>
      </c>
      <c r="D514" s="7" t="n">
        <v>-437.2</v>
      </c>
      <c r="E514" s="16" t="s">
        <v>161</v>
      </c>
      <c r="F514" s="7" t="n">
        <v>23774.18</v>
      </c>
      <c r="G514" s="16" t="s">
        <v>53</v>
      </c>
    </row>
    <row r="515" customFormat="false" ht="15" hidden="false" customHeight="false" outlineLevel="0" collapsed="false">
      <c r="A515" s="0" t="s">
        <v>143</v>
      </c>
      <c r="B515" s="14" t="n">
        <v>46024</v>
      </c>
      <c r="C515" s="16" t="s">
        <v>659</v>
      </c>
      <c r="D515" s="7" t="n">
        <v>-5000</v>
      </c>
      <c r="E515" s="16" t="s">
        <v>148</v>
      </c>
      <c r="F515" s="7" t="n">
        <v>24211.38</v>
      </c>
      <c r="G515" s="16" t="s">
        <v>68</v>
      </c>
    </row>
    <row r="516" customFormat="false" ht="15" hidden="false" customHeight="false" outlineLevel="0" collapsed="false">
      <c r="A516" s="0" t="s">
        <v>143</v>
      </c>
      <c r="B516" s="14" t="n">
        <v>46024</v>
      </c>
      <c r="C516" s="16" t="s">
        <v>660</v>
      </c>
      <c r="D516" s="7" t="n">
        <v>-20</v>
      </c>
      <c r="E516" s="16" t="s">
        <v>145</v>
      </c>
      <c r="F516" s="7" t="n">
        <v>29211.38</v>
      </c>
      <c r="G516" s="16" t="s">
        <v>60</v>
      </c>
    </row>
    <row r="517" customFormat="false" ht="15" hidden="false" customHeight="false" outlineLevel="0" collapsed="false">
      <c r="A517" s="0" t="s">
        <v>143</v>
      </c>
      <c r="B517" s="14" t="n">
        <v>46024</v>
      </c>
      <c r="C517" s="16" t="s">
        <v>661</v>
      </c>
      <c r="D517" s="7" t="n">
        <v>-974.85</v>
      </c>
      <c r="E517" s="16" t="s">
        <v>145</v>
      </c>
      <c r="F517" s="7" t="n">
        <v>29231.38</v>
      </c>
      <c r="G517" s="16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2026-07-09T22:45:07Z</dcterms:created>
  <dc:creator>openpyxl</dc:creator>
  <dc:description/>
  <dc:language>en-US</dc:language>
  <cp:lastModifiedBy/>
  <dcterms:modified xsi:type="dcterms:W3CDTF">2026-07-09T22:45:07Z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