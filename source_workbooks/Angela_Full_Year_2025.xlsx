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Chase Bank\Angela Main Account\"/>
    </mc:Choice>
  </mc:AlternateContent>
  <xr:revisionPtr revIDLastSave="0" documentId="8_{49C435B5-7429-4030-A3AC-1B5B614C68E0}" xr6:coauthVersionLast="47" xr6:coauthVersionMax="47" xr10:uidLastSave="{00000000-0000-0000-0000-000000000000}"/>
  <bookViews>
    <workbookView xWindow="-28920" yWindow="4110" windowWidth="29040" windowHeight="15720" xr2:uid="{92F07820-EACF-4633-A559-A4AC2D056338}"/>
  </bookViews>
  <sheets>
    <sheet name="Transaction Summary" sheetId="3" r:id="rId1"/>
    <sheet name="Transfers" sheetId="4" r:id="rId2"/>
    <sheet name="Transaction Details" sheetId="5" r:id="rId3"/>
    <sheet name="Monthly Breakdown" sheetId="6" r:id="rId4"/>
    <sheet name="Category Rules" sheetId="2" r:id="rId5"/>
    <sheet name="Angela_2025_Chase1117_Activity_" sheetId="1" r:id="rId6"/>
  </sheets>
  <calcPr calcId="0"/>
</workbook>
</file>

<file path=xl/calcChain.xml><?xml version="1.0" encoding="utf-8"?>
<calcChain xmlns="http://schemas.openxmlformats.org/spreadsheetml/2006/main">
  <c r="A6" i="5" l="1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A57" i="5"/>
  <c r="B57" i="5"/>
  <c r="C57" i="5"/>
  <c r="D57" i="5"/>
  <c r="A58" i="5"/>
  <c r="B58" i="5"/>
  <c r="C58" i="5"/>
  <c r="D58" i="5"/>
  <c r="A59" i="5"/>
  <c r="B59" i="5"/>
  <c r="C59" i="5"/>
  <c r="D59" i="5"/>
  <c r="A60" i="5"/>
  <c r="B60" i="5"/>
  <c r="C60" i="5"/>
  <c r="D60" i="5"/>
  <c r="A61" i="5"/>
  <c r="B61" i="5"/>
  <c r="C61" i="5"/>
  <c r="D61" i="5"/>
  <c r="A62" i="5"/>
  <c r="B62" i="5"/>
  <c r="C62" i="5"/>
  <c r="D62" i="5"/>
  <c r="A63" i="5"/>
  <c r="B63" i="5"/>
  <c r="C63" i="5"/>
  <c r="D63" i="5"/>
  <c r="A64" i="5"/>
  <c r="B64" i="5"/>
  <c r="C64" i="5"/>
  <c r="D64" i="5"/>
  <c r="A65" i="5"/>
  <c r="B65" i="5"/>
  <c r="C65" i="5"/>
  <c r="D65" i="5"/>
  <c r="A66" i="5"/>
  <c r="B66" i="5"/>
  <c r="C66" i="5"/>
  <c r="D66" i="5"/>
  <c r="A67" i="5"/>
  <c r="B67" i="5"/>
  <c r="C67" i="5"/>
  <c r="D67" i="5"/>
  <c r="A68" i="5"/>
  <c r="B68" i="5"/>
  <c r="C68" i="5"/>
  <c r="D68" i="5"/>
  <c r="A69" i="5"/>
  <c r="B69" i="5"/>
  <c r="C69" i="5"/>
  <c r="D69" i="5"/>
  <c r="A70" i="5"/>
  <c r="B70" i="5"/>
  <c r="C70" i="5"/>
  <c r="D70" i="5"/>
  <c r="A71" i="5"/>
  <c r="B71" i="5"/>
  <c r="C71" i="5"/>
  <c r="D71" i="5"/>
  <c r="A72" i="5"/>
  <c r="B72" i="5"/>
  <c r="C72" i="5"/>
  <c r="D72" i="5"/>
  <c r="A73" i="5"/>
  <c r="B73" i="5"/>
  <c r="C73" i="5"/>
  <c r="D73" i="5"/>
  <c r="A74" i="5"/>
  <c r="B74" i="5"/>
  <c r="C74" i="5"/>
  <c r="D74" i="5"/>
  <c r="A75" i="5"/>
  <c r="B75" i="5"/>
  <c r="C75" i="5"/>
  <c r="D75" i="5"/>
  <c r="A76" i="5"/>
  <c r="B76" i="5"/>
  <c r="C76" i="5"/>
  <c r="D76" i="5"/>
  <c r="A77" i="5"/>
  <c r="B77" i="5"/>
  <c r="C77" i="5"/>
  <c r="D77" i="5"/>
  <c r="A78" i="5"/>
  <c r="B78" i="5"/>
  <c r="C78" i="5"/>
  <c r="D78" i="5"/>
  <c r="A79" i="5"/>
  <c r="B79" i="5"/>
  <c r="C79" i="5"/>
  <c r="D79" i="5"/>
  <c r="A80" i="5"/>
  <c r="B80" i="5"/>
  <c r="C80" i="5"/>
  <c r="D80" i="5"/>
  <c r="A81" i="5"/>
  <c r="B81" i="5"/>
  <c r="C81" i="5"/>
  <c r="D81" i="5"/>
  <c r="A82" i="5"/>
  <c r="B82" i="5"/>
  <c r="C82" i="5"/>
  <c r="D82" i="5"/>
  <c r="A83" i="5"/>
  <c r="B83" i="5"/>
  <c r="C83" i="5"/>
  <c r="D83" i="5"/>
  <c r="A84" i="5"/>
  <c r="B84" i="5"/>
  <c r="C84" i="5"/>
  <c r="D84" i="5"/>
  <c r="A85" i="5"/>
  <c r="B85" i="5"/>
  <c r="C85" i="5"/>
  <c r="D85" i="5"/>
  <c r="A86" i="5"/>
  <c r="B86" i="5"/>
  <c r="C86" i="5"/>
  <c r="D86" i="5"/>
  <c r="A87" i="5"/>
  <c r="B87" i="5"/>
  <c r="C87" i="5"/>
  <c r="D87" i="5"/>
  <c r="A88" i="5"/>
  <c r="B88" i="5"/>
  <c r="C88" i="5"/>
  <c r="D88" i="5"/>
  <c r="A89" i="5"/>
  <c r="B89" i="5"/>
  <c r="C89" i="5"/>
  <c r="D89" i="5"/>
  <c r="A90" i="5"/>
  <c r="B90" i="5"/>
  <c r="C90" i="5"/>
  <c r="D90" i="5"/>
  <c r="A91" i="5"/>
  <c r="B91" i="5"/>
  <c r="C91" i="5"/>
  <c r="D91" i="5"/>
  <c r="A92" i="5"/>
  <c r="B92" i="5"/>
  <c r="C92" i="5"/>
  <c r="D92" i="5"/>
  <c r="A93" i="5"/>
  <c r="B93" i="5"/>
  <c r="C93" i="5"/>
  <c r="D93" i="5"/>
  <c r="A94" i="5"/>
  <c r="B94" i="5"/>
  <c r="C94" i="5"/>
  <c r="D94" i="5"/>
  <c r="A95" i="5"/>
  <c r="B95" i="5"/>
  <c r="C95" i="5"/>
  <c r="D95" i="5"/>
  <c r="A96" i="5"/>
  <c r="B96" i="5"/>
  <c r="C96" i="5"/>
  <c r="D96" i="5"/>
  <c r="A97" i="5"/>
  <c r="B97" i="5"/>
  <c r="C97" i="5"/>
  <c r="D97" i="5"/>
  <c r="A98" i="5"/>
  <c r="B98" i="5"/>
  <c r="C98" i="5"/>
  <c r="D98" i="5"/>
  <c r="A99" i="5"/>
  <c r="B99" i="5"/>
  <c r="C99" i="5"/>
  <c r="D99" i="5"/>
  <c r="A100" i="5"/>
  <c r="B100" i="5"/>
  <c r="C100" i="5"/>
  <c r="D100" i="5"/>
  <c r="A101" i="5"/>
  <c r="B101" i="5"/>
  <c r="C101" i="5"/>
  <c r="D101" i="5"/>
  <c r="A102" i="5"/>
  <c r="B102" i="5"/>
  <c r="C102" i="5"/>
  <c r="D102" i="5"/>
  <c r="A103" i="5"/>
  <c r="B103" i="5"/>
  <c r="C103" i="5"/>
  <c r="D103" i="5"/>
  <c r="A104" i="5"/>
  <c r="B104" i="5"/>
  <c r="C104" i="5"/>
  <c r="D104" i="5"/>
  <c r="A105" i="5"/>
  <c r="B105" i="5"/>
  <c r="C105" i="5"/>
  <c r="D105" i="5"/>
  <c r="A106" i="5"/>
  <c r="B106" i="5"/>
  <c r="C106" i="5"/>
  <c r="D106" i="5"/>
  <c r="A107" i="5"/>
  <c r="B107" i="5"/>
  <c r="C107" i="5"/>
  <c r="D107" i="5"/>
  <c r="A108" i="5"/>
  <c r="B108" i="5"/>
  <c r="C108" i="5"/>
  <c r="D108" i="5"/>
  <c r="A109" i="5"/>
  <c r="B109" i="5"/>
  <c r="C109" i="5"/>
  <c r="D109" i="5"/>
  <c r="A110" i="5"/>
  <c r="B110" i="5"/>
  <c r="C110" i="5"/>
  <c r="D110" i="5"/>
  <c r="A111" i="5"/>
  <c r="B111" i="5"/>
  <c r="C111" i="5"/>
  <c r="D111" i="5"/>
  <c r="A112" i="5"/>
  <c r="B112" i="5"/>
  <c r="C112" i="5"/>
  <c r="D112" i="5"/>
  <c r="A113" i="5"/>
  <c r="B113" i="5"/>
  <c r="C113" i="5"/>
  <c r="D113" i="5"/>
  <c r="A114" i="5"/>
  <c r="B114" i="5"/>
  <c r="C114" i="5"/>
  <c r="D114" i="5"/>
  <c r="A115" i="5"/>
  <c r="B115" i="5"/>
  <c r="C115" i="5"/>
  <c r="D115" i="5"/>
  <c r="A116" i="5"/>
  <c r="B116" i="5"/>
  <c r="C116" i="5"/>
  <c r="D116" i="5"/>
  <c r="A117" i="5"/>
  <c r="B117" i="5"/>
  <c r="C117" i="5"/>
  <c r="D117" i="5"/>
  <c r="A118" i="5"/>
  <c r="B118" i="5"/>
  <c r="C118" i="5"/>
  <c r="D118" i="5"/>
  <c r="A119" i="5"/>
  <c r="B119" i="5"/>
  <c r="C119" i="5"/>
  <c r="D119" i="5"/>
  <c r="A120" i="5"/>
  <c r="B120" i="5"/>
  <c r="C120" i="5"/>
  <c r="D120" i="5"/>
  <c r="A121" i="5"/>
  <c r="B121" i="5"/>
  <c r="C121" i="5"/>
  <c r="D121" i="5"/>
  <c r="A122" i="5"/>
  <c r="B122" i="5"/>
  <c r="C122" i="5"/>
  <c r="D122" i="5"/>
  <c r="A123" i="5"/>
  <c r="B123" i="5"/>
  <c r="C123" i="5"/>
  <c r="D123" i="5"/>
  <c r="A124" i="5"/>
  <c r="B124" i="5"/>
  <c r="C124" i="5"/>
  <c r="D124" i="5"/>
  <c r="A125" i="5"/>
  <c r="B125" i="5"/>
  <c r="C125" i="5"/>
  <c r="D125" i="5"/>
  <c r="A126" i="5"/>
  <c r="B126" i="5"/>
  <c r="C126" i="5"/>
  <c r="D126" i="5"/>
  <c r="A127" i="5"/>
  <c r="B127" i="5"/>
  <c r="C127" i="5"/>
  <c r="D127" i="5"/>
  <c r="A128" i="5"/>
  <c r="B128" i="5"/>
  <c r="C128" i="5"/>
  <c r="D128" i="5"/>
  <c r="A129" i="5"/>
  <c r="B129" i="5"/>
  <c r="C129" i="5"/>
  <c r="D129" i="5"/>
  <c r="A130" i="5"/>
  <c r="B130" i="5"/>
  <c r="C130" i="5"/>
  <c r="D130" i="5"/>
  <c r="A131" i="5"/>
  <c r="B131" i="5"/>
  <c r="C131" i="5"/>
  <c r="D131" i="5"/>
  <c r="A132" i="5"/>
  <c r="B132" i="5"/>
  <c r="C132" i="5"/>
  <c r="D132" i="5"/>
  <c r="A133" i="5"/>
  <c r="B133" i="5"/>
  <c r="C133" i="5"/>
  <c r="D133" i="5"/>
  <c r="A134" i="5"/>
  <c r="B134" i="5"/>
  <c r="C134" i="5"/>
  <c r="D134" i="5"/>
  <c r="A135" i="5"/>
  <c r="B135" i="5"/>
  <c r="C135" i="5"/>
  <c r="D135" i="5"/>
  <c r="A136" i="5"/>
  <c r="B136" i="5"/>
  <c r="C136" i="5"/>
  <c r="D136" i="5"/>
  <c r="A137" i="5"/>
  <c r="B137" i="5"/>
  <c r="C137" i="5"/>
  <c r="D137" i="5"/>
  <c r="A138" i="5"/>
  <c r="B138" i="5"/>
  <c r="C138" i="5"/>
  <c r="D138" i="5"/>
  <c r="A139" i="5"/>
  <c r="B139" i="5"/>
  <c r="C139" i="5"/>
  <c r="D139" i="5"/>
  <c r="A140" i="5"/>
  <c r="B140" i="5"/>
  <c r="C140" i="5"/>
  <c r="D140" i="5"/>
  <c r="A141" i="5"/>
  <c r="B141" i="5"/>
  <c r="C141" i="5"/>
  <c r="D141" i="5"/>
  <c r="A142" i="5"/>
  <c r="B142" i="5"/>
  <c r="C142" i="5"/>
  <c r="D142" i="5"/>
  <c r="A143" i="5"/>
  <c r="B143" i="5"/>
  <c r="C143" i="5"/>
  <c r="D143" i="5"/>
  <c r="A144" i="5"/>
  <c r="B144" i="5"/>
  <c r="C144" i="5"/>
  <c r="D144" i="5"/>
  <c r="A145" i="5"/>
  <c r="B145" i="5"/>
  <c r="C145" i="5"/>
  <c r="D145" i="5"/>
  <c r="A146" i="5"/>
  <c r="B146" i="5"/>
  <c r="C146" i="5"/>
  <c r="D146" i="5"/>
  <c r="A147" i="5"/>
  <c r="B147" i="5"/>
  <c r="C147" i="5"/>
  <c r="D147" i="5"/>
  <c r="A148" i="5"/>
  <c r="B148" i="5"/>
  <c r="C148" i="5"/>
  <c r="D148" i="5"/>
  <c r="A149" i="5"/>
  <c r="B149" i="5"/>
  <c r="C149" i="5"/>
  <c r="D149" i="5"/>
  <c r="A150" i="5"/>
  <c r="B150" i="5"/>
  <c r="C150" i="5"/>
  <c r="D150" i="5"/>
  <c r="A151" i="5"/>
  <c r="B151" i="5"/>
  <c r="C151" i="5"/>
  <c r="D151" i="5"/>
  <c r="A152" i="5"/>
  <c r="B152" i="5"/>
  <c r="C152" i="5"/>
  <c r="D152" i="5"/>
  <c r="A153" i="5"/>
  <c r="B153" i="5"/>
  <c r="C153" i="5"/>
  <c r="D153" i="5"/>
  <c r="A154" i="5"/>
  <c r="B154" i="5"/>
  <c r="C154" i="5"/>
  <c r="D154" i="5"/>
  <c r="A155" i="5"/>
  <c r="B155" i="5"/>
  <c r="C155" i="5"/>
  <c r="D155" i="5"/>
  <c r="A156" i="5"/>
  <c r="B156" i="5"/>
  <c r="C156" i="5"/>
  <c r="D156" i="5"/>
  <c r="A157" i="5"/>
  <c r="B157" i="5"/>
  <c r="C157" i="5"/>
  <c r="D157" i="5"/>
  <c r="A158" i="5"/>
  <c r="B158" i="5"/>
  <c r="C158" i="5"/>
  <c r="D158" i="5"/>
  <c r="A159" i="5"/>
  <c r="B159" i="5"/>
  <c r="C159" i="5"/>
  <c r="D159" i="5"/>
  <c r="A160" i="5"/>
  <c r="B160" i="5"/>
  <c r="C160" i="5"/>
  <c r="D160" i="5"/>
  <c r="A161" i="5"/>
  <c r="B161" i="5"/>
  <c r="C161" i="5"/>
  <c r="D161" i="5"/>
  <c r="A162" i="5"/>
  <c r="B162" i="5"/>
  <c r="C162" i="5"/>
  <c r="D162" i="5"/>
  <c r="A163" i="5"/>
  <c r="B163" i="5"/>
  <c r="C163" i="5"/>
  <c r="D163" i="5"/>
  <c r="A164" i="5"/>
  <c r="B164" i="5"/>
  <c r="C164" i="5"/>
  <c r="D164" i="5"/>
  <c r="A165" i="5"/>
  <c r="B165" i="5"/>
  <c r="C165" i="5"/>
  <c r="D165" i="5"/>
  <c r="A166" i="5"/>
  <c r="B166" i="5"/>
  <c r="C166" i="5"/>
  <c r="D166" i="5"/>
  <c r="A167" i="5"/>
  <c r="B167" i="5"/>
  <c r="C167" i="5"/>
  <c r="D167" i="5"/>
  <c r="A168" i="5"/>
  <c r="B168" i="5"/>
  <c r="C168" i="5"/>
  <c r="D168" i="5"/>
  <c r="A169" i="5"/>
  <c r="B169" i="5"/>
  <c r="C169" i="5"/>
  <c r="D169" i="5"/>
  <c r="A170" i="5"/>
  <c r="B170" i="5"/>
  <c r="C170" i="5"/>
  <c r="D170" i="5"/>
  <c r="A171" i="5"/>
  <c r="B171" i="5"/>
  <c r="C171" i="5"/>
  <c r="D171" i="5"/>
  <c r="A172" i="5"/>
  <c r="B172" i="5"/>
  <c r="C172" i="5"/>
  <c r="D172" i="5"/>
  <c r="A173" i="5"/>
  <c r="B173" i="5"/>
  <c r="C173" i="5"/>
  <c r="D173" i="5"/>
  <c r="A174" i="5"/>
  <c r="B174" i="5"/>
  <c r="C174" i="5"/>
  <c r="D174" i="5"/>
  <c r="A175" i="5"/>
  <c r="B175" i="5"/>
  <c r="C175" i="5"/>
  <c r="D175" i="5"/>
  <c r="A176" i="5"/>
  <c r="B176" i="5"/>
  <c r="C176" i="5"/>
  <c r="D176" i="5"/>
  <c r="A177" i="5"/>
  <c r="B177" i="5"/>
  <c r="C177" i="5"/>
  <c r="D177" i="5"/>
  <c r="A178" i="5"/>
  <c r="B178" i="5"/>
  <c r="C178" i="5"/>
  <c r="D178" i="5"/>
  <c r="A179" i="5"/>
  <c r="B179" i="5"/>
  <c r="C179" i="5"/>
  <c r="D179" i="5"/>
  <c r="A180" i="5"/>
  <c r="B180" i="5"/>
  <c r="C180" i="5"/>
  <c r="D180" i="5"/>
  <c r="A181" i="5"/>
  <c r="B181" i="5"/>
  <c r="C181" i="5"/>
  <c r="D181" i="5"/>
  <c r="A182" i="5"/>
  <c r="B182" i="5"/>
  <c r="C182" i="5"/>
  <c r="D182" i="5"/>
  <c r="A183" i="5"/>
  <c r="B183" i="5"/>
  <c r="C183" i="5"/>
  <c r="D183" i="5"/>
  <c r="A184" i="5"/>
  <c r="B184" i="5"/>
  <c r="C184" i="5"/>
  <c r="D184" i="5"/>
  <c r="A185" i="5"/>
  <c r="B185" i="5"/>
  <c r="C185" i="5"/>
  <c r="D185" i="5"/>
  <c r="A186" i="5"/>
  <c r="B186" i="5"/>
  <c r="C186" i="5"/>
  <c r="D186" i="5"/>
  <c r="A187" i="5"/>
  <c r="B187" i="5"/>
  <c r="C187" i="5"/>
  <c r="D187" i="5"/>
  <c r="A188" i="5"/>
  <c r="B188" i="5"/>
  <c r="C188" i="5"/>
  <c r="D188" i="5"/>
  <c r="A189" i="5"/>
  <c r="B189" i="5"/>
  <c r="C189" i="5"/>
  <c r="D189" i="5"/>
  <c r="A190" i="5"/>
  <c r="B190" i="5"/>
  <c r="C190" i="5"/>
  <c r="D190" i="5"/>
  <c r="A191" i="5"/>
  <c r="B191" i="5"/>
  <c r="C191" i="5"/>
  <c r="D191" i="5"/>
  <c r="A192" i="5"/>
  <c r="B192" i="5"/>
  <c r="C192" i="5"/>
  <c r="D192" i="5"/>
  <c r="A193" i="5"/>
  <c r="B193" i="5"/>
  <c r="C193" i="5"/>
  <c r="D193" i="5"/>
  <c r="A194" i="5"/>
  <c r="B194" i="5"/>
  <c r="C194" i="5"/>
  <c r="D194" i="5"/>
  <c r="A195" i="5"/>
  <c r="B195" i="5"/>
  <c r="C195" i="5"/>
  <c r="D195" i="5"/>
  <c r="A196" i="5"/>
  <c r="B196" i="5"/>
  <c r="C196" i="5"/>
  <c r="D196" i="5"/>
  <c r="A197" i="5"/>
  <c r="B197" i="5"/>
  <c r="C197" i="5"/>
  <c r="D197" i="5"/>
  <c r="A198" i="5"/>
  <c r="B198" i="5"/>
  <c r="C198" i="5"/>
  <c r="D198" i="5"/>
  <c r="A199" i="5"/>
  <c r="B199" i="5"/>
  <c r="C199" i="5"/>
  <c r="D199" i="5"/>
  <c r="A200" i="5"/>
  <c r="B200" i="5"/>
  <c r="C200" i="5"/>
  <c r="D200" i="5"/>
  <c r="A201" i="5"/>
  <c r="B201" i="5"/>
  <c r="C201" i="5"/>
  <c r="D201" i="5"/>
  <c r="A202" i="5"/>
  <c r="B202" i="5"/>
  <c r="C202" i="5"/>
  <c r="D202" i="5"/>
  <c r="A203" i="5"/>
  <c r="B203" i="5"/>
  <c r="C203" i="5"/>
  <c r="D203" i="5"/>
  <c r="A204" i="5"/>
  <c r="B204" i="5"/>
  <c r="C204" i="5"/>
  <c r="D204" i="5"/>
  <c r="A205" i="5"/>
  <c r="B205" i="5"/>
  <c r="C205" i="5"/>
  <c r="D205" i="5"/>
  <c r="A206" i="5"/>
  <c r="B206" i="5"/>
  <c r="C206" i="5"/>
  <c r="D206" i="5"/>
  <c r="A207" i="5"/>
  <c r="B207" i="5"/>
  <c r="C207" i="5"/>
  <c r="D207" i="5"/>
  <c r="A208" i="5"/>
  <c r="B208" i="5"/>
  <c r="C208" i="5"/>
  <c r="D208" i="5"/>
  <c r="A209" i="5"/>
  <c r="B209" i="5"/>
  <c r="C209" i="5"/>
  <c r="D209" i="5"/>
  <c r="A210" i="5"/>
  <c r="B210" i="5"/>
  <c r="C210" i="5"/>
  <c r="D210" i="5"/>
  <c r="A211" i="5"/>
  <c r="B211" i="5"/>
  <c r="C211" i="5"/>
  <c r="D211" i="5"/>
  <c r="A212" i="5"/>
  <c r="B212" i="5"/>
  <c r="C212" i="5"/>
  <c r="D212" i="5"/>
  <c r="A213" i="5"/>
  <c r="B213" i="5"/>
  <c r="C213" i="5"/>
  <c r="D213" i="5"/>
  <c r="A214" i="5"/>
  <c r="B214" i="5"/>
  <c r="C214" i="5"/>
  <c r="D214" i="5"/>
  <c r="A215" i="5"/>
  <c r="B215" i="5"/>
  <c r="C215" i="5"/>
  <c r="D215" i="5"/>
  <c r="A216" i="5"/>
  <c r="B216" i="5"/>
  <c r="C216" i="5"/>
  <c r="D216" i="5"/>
  <c r="A217" i="5"/>
  <c r="B217" i="5"/>
  <c r="C217" i="5"/>
  <c r="D217" i="5"/>
  <c r="A218" i="5"/>
  <c r="B218" i="5"/>
  <c r="C218" i="5"/>
  <c r="D218" i="5"/>
  <c r="A219" i="5"/>
  <c r="B219" i="5"/>
  <c r="C219" i="5"/>
  <c r="D219" i="5"/>
  <c r="A220" i="5"/>
  <c r="B220" i="5"/>
  <c r="C220" i="5"/>
  <c r="D220" i="5"/>
  <c r="A221" i="5"/>
  <c r="B221" i="5"/>
  <c r="C221" i="5"/>
  <c r="D221" i="5"/>
  <c r="A222" i="5"/>
  <c r="B222" i="5"/>
  <c r="C222" i="5"/>
  <c r="D222" i="5"/>
  <c r="A223" i="5"/>
  <c r="B223" i="5"/>
  <c r="C223" i="5"/>
  <c r="D223" i="5"/>
  <c r="A224" i="5"/>
  <c r="B224" i="5"/>
  <c r="C224" i="5"/>
  <c r="D224" i="5"/>
  <c r="A225" i="5"/>
  <c r="B225" i="5"/>
  <c r="C225" i="5"/>
  <c r="D225" i="5"/>
  <c r="A226" i="5"/>
  <c r="B226" i="5"/>
  <c r="C226" i="5"/>
  <c r="D226" i="5"/>
  <c r="A227" i="5"/>
  <c r="B227" i="5"/>
  <c r="C227" i="5"/>
  <c r="D227" i="5"/>
  <c r="A228" i="5"/>
  <c r="B228" i="5"/>
  <c r="C228" i="5"/>
  <c r="D228" i="5"/>
  <c r="A229" i="5"/>
  <c r="B229" i="5"/>
  <c r="C229" i="5"/>
  <c r="D229" i="5"/>
  <c r="A230" i="5"/>
  <c r="B230" i="5"/>
  <c r="C230" i="5"/>
  <c r="D230" i="5"/>
  <c r="A231" i="5"/>
  <c r="B231" i="5"/>
  <c r="C231" i="5"/>
  <c r="D231" i="5"/>
  <c r="A232" i="5"/>
  <c r="B232" i="5"/>
  <c r="C232" i="5"/>
  <c r="D232" i="5"/>
  <c r="A233" i="5"/>
  <c r="B233" i="5"/>
  <c r="C233" i="5"/>
  <c r="D233" i="5"/>
  <c r="A234" i="5"/>
  <c r="B234" i="5"/>
  <c r="C234" i="5"/>
  <c r="D234" i="5"/>
  <c r="A235" i="5"/>
  <c r="B235" i="5"/>
  <c r="C235" i="5"/>
  <c r="D235" i="5"/>
  <c r="A236" i="5"/>
  <c r="B236" i="5"/>
  <c r="C236" i="5"/>
  <c r="D236" i="5"/>
  <c r="A237" i="5"/>
  <c r="B237" i="5"/>
  <c r="C237" i="5"/>
  <c r="D237" i="5"/>
  <c r="A238" i="5"/>
  <c r="B238" i="5"/>
  <c r="C238" i="5"/>
  <c r="D238" i="5"/>
  <c r="A239" i="5"/>
  <c r="B239" i="5"/>
  <c r="C239" i="5"/>
  <c r="D239" i="5"/>
  <c r="A240" i="5"/>
  <c r="B240" i="5"/>
  <c r="C240" i="5"/>
  <c r="D240" i="5"/>
  <c r="A241" i="5"/>
  <c r="B241" i="5"/>
  <c r="C241" i="5"/>
  <c r="D241" i="5"/>
  <c r="A242" i="5"/>
  <c r="B242" i="5"/>
  <c r="C242" i="5"/>
  <c r="D242" i="5"/>
  <c r="A243" i="5"/>
  <c r="B243" i="5"/>
  <c r="C243" i="5"/>
  <c r="D243" i="5"/>
  <c r="A244" i="5"/>
  <c r="B244" i="5"/>
  <c r="C244" i="5"/>
  <c r="D244" i="5"/>
  <c r="A245" i="5"/>
  <c r="B245" i="5"/>
  <c r="C245" i="5"/>
  <c r="D245" i="5"/>
  <c r="A246" i="5"/>
  <c r="B246" i="5"/>
  <c r="C246" i="5"/>
  <c r="D246" i="5"/>
  <c r="A247" i="5"/>
  <c r="B247" i="5"/>
  <c r="C247" i="5"/>
  <c r="D247" i="5"/>
  <c r="A248" i="5"/>
  <c r="B248" i="5"/>
  <c r="C248" i="5"/>
  <c r="D248" i="5"/>
  <c r="A249" i="5"/>
  <c r="B249" i="5"/>
  <c r="C249" i="5"/>
  <c r="D249" i="5"/>
  <c r="A250" i="5"/>
  <c r="B250" i="5"/>
  <c r="C250" i="5"/>
  <c r="D250" i="5"/>
  <c r="A251" i="5"/>
  <c r="B251" i="5"/>
  <c r="C251" i="5"/>
  <c r="D251" i="5"/>
  <c r="A252" i="5"/>
  <c r="B252" i="5"/>
  <c r="C252" i="5"/>
  <c r="D252" i="5"/>
  <c r="A253" i="5"/>
  <c r="B253" i="5"/>
  <c r="C253" i="5"/>
  <c r="D253" i="5"/>
  <c r="A254" i="5"/>
  <c r="B254" i="5"/>
  <c r="C254" i="5"/>
  <c r="D254" i="5"/>
  <c r="A255" i="5"/>
  <c r="B255" i="5"/>
  <c r="C255" i="5"/>
  <c r="D255" i="5"/>
  <c r="A256" i="5"/>
  <c r="B256" i="5"/>
  <c r="C256" i="5"/>
  <c r="D256" i="5"/>
  <c r="A257" i="5"/>
  <c r="B257" i="5"/>
  <c r="C257" i="5"/>
  <c r="D257" i="5"/>
  <c r="A258" i="5"/>
  <c r="B258" i="5"/>
  <c r="C258" i="5"/>
  <c r="D258" i="5"/>
  <c r="A259" i="5"/>
  <c r="B259" i="5"/>
  <c r="C259" i="5"/>
  <c r="D259" i="5"/>
  <c r="A260" i="5"/>
  <c r="B260" i="5"/>
  <c r="C260" i="5"/>
  <c r="D260" i="5"/>
  <c r="A261" i="5"/>
  <c r="B261" i="5"/>
  <c r="C261" i="5"/>
  <c r="D261" i="5"/>
  <c r="A262" i="5"/>
  <c r="B262" i="5"/>
  <c r="C262" i="5"/>
  <c r="D262" i="5"/>
  <c r="A263" i="5"/>
  <c r="B263" i="5"/>
  <c r="C263" i="5"/>
  <c r="D263" i="5"/>
  <c r="A264" i="5"/>
  <c r="B264" i="5"/>
  <c r="C264" i="5"/>
  <c r="D264" i="5"/>
  <c r="A265" i="5"/>
  <c r="B265" i="5"/>
  <c r="C265" i="5"/>
  <c r="D265" i="5"/>
  <c r="A266" i="5"/>
  <c r="B266" i="5"/>
  <c r="C266" i="5"/>
  <c r="D266" i="5"/>
  <c r="A267" i="5"/>
  <c r="B267" i="5"/>
  <c r="C267" i="5"/>
  <c r="D267" i="5"/>
  <c r="A268" i="5"/>
  <c r="B268" i="5"/>
  <c r="C268" i="5"/>
  <c r="D268" i="5"/>
  <c r="A269" i="5"/>
  <c r="B269" i="5"/>
  <c r="C269" i="5"/>
  <c r="D269" i="5"/>
  <c r="A270" i="5"/>
  <c r="B270" i="5"/>
  <c r="C270" i="5"/>
  <c r="D270" i="5"/>
  <c r="A271" i="5"/>
  <c r="B271" i="5"/>
  <c r="C271" i="5"/>
  <c r="D271" i="5"/>
  <c r="A272" i="5"/>
  <c r="B272" i="5"/>
  <c r="C272" i="5"/>
  <c r="D272" i="5"/>
  <c r="A273" i="5"/>
  <c r="B273" i="5"/>
  <c r="C273" i="5"/>
  <c r="D273" i="5"/>
  <c r="A274" i="5"/>
  <c r="B274" i="5"/>
  <c r="C274" i="5"/>
  <c r="D274" i="5"/>
  <c r="A275" i="5"/>
  <c r="B275" i="5"/>
  <c r="C275" i="5"/>
  <c r="D275" i="5"/>
  <c r="A276" i="5"/>
  <c r="B276" i="5"/>
  <c r="C276" i="5"/>
  <c r="D276" i="5"/>
  <c r="A277" i="5"/>
  <c r="B277" i="5"/>
  <c r="C277" i="5"/>
  <c r="D277" i="5"/>
  <c r="A278" i="5"/>
  <c r="B278" i="5"/>
  <c r="C278" i="5"/>
  <c r="D278" i="5"/>
  <c r="A279" i="5"/>
  <c r="B279" i="5"/>
  <c r="C279" i="5"/>
  <c r="D279" i="5"/>
  <c r="A280" i="5"/>
  <c r="B280" i="5"/>
  <c r="C280" i="5"/>
  <c r="D280" i="5"/>
  <c r="A281" i="5"/>
  <c r="B281" i="5"/>
  <c r="C281" i="5"/>
  <c r="D281" i="5"/>
  <c r="A282" i="5"/>
  <c r="B282" i="5"/>
  <c r="C282" i="5"/>
  <c r="D282" i="5"/>
  <c r="A283" i="5"/>
  <c r="B283" i="5"/>
  <c r="C283" i="5"/>
  <c r="D283" i="5"/>
  <c r="A284" i="5"/>
  <c r="B284" i="5"/>
  <c r="C284" i="5"/>
  <c r="D284" i="5"/>
  <c r="A285" i="5"/>
  <c r="B285" i="5"/>
  <c r="C285" i="5"/>
  <c r="D285" i="5"/>
  <c r="A286" i="5"/>
  <c r="B286" i="5"/>
  <c r="C286" i="5"/>
  <c r="D286" i="5"/>
  <c r="A287" i="5"/>
  <c r="B287" i="5"/>
  <c r="C287" i="5"/>
  <c r="D287" i="5"/>
  <c r="A288" i="5"/>
  <c r="B288" i="5"/>
  <c r="C288" i="5"/>
  <c r="D288" i="5"/>
  <c r="A289" i="5"/>
  <c r="B289" i="5"/>
  <c r="C289" i="5"/>
  <c r="D289" i="5"/>
  <c r="A290" i="5"/>
  <c r="B290" i="5"/>
  <c r="C290" i="5"/>
  <c r="D290" i="5"/>
  <c r="A291" i="5"/>
  <c r="B291" i="5"/>
  <c r="C291" i="5"/>
  <c r="D291" i="5"/>
  <c r="A292" i="5"/>
  <c r="B292" i="5"/>
  <c r="C292" i="5"/>
  <c r="D292" i="5"/>
  <c r="A293" i="5"/>
  <c r="B293" i="5"/>
  <c r="C293" i="5"/>
  <c r="D293" i="5"/>
  <c r="A294" i="5"/>
  <c r="B294" i="5"/>
  <c r="C294" i="5"/>
  <c r="D294" i="5"/>
  <c r="A295" i="5"/>
  <c r="B295" i="5"/>
  <c r="C295" i="5"/>
  <c r="D295" i="5"/>
  <c r="A296" i="5"/>
  <c r="B296" i="5"/>
  <c r="C296" i="5"/>
  <c r="D296" i="5"/>
  <c r="A297" i="5"/>
  <c r="B297" i="5"/>
  <c r="C297" i="5"/>
  <c r="D297" i="5"/>
  <c r="A298" i="5"/>
  <c r="B298" i="5"/>
  <c r="C298" i="5"/>
  <c r="D298" i="5"/>
  <c r="A299" i="5"/>
  <c r="B299" i="5"/>
  <c r="C299" i="5"/>
  <c r="D299" i="5"/>
  <c r="A300" i="5"/>
  <c r="B300" i="5"/>
  <c r="C300" i="5"/>
  <c r="D300" i="5"/>
  <c r="A301" i="5"/>
  <c r="B301" i="5"/>
  <c r="C301" i="5"/>
  <c r="D301" i="5"/>
  <c r="A302" i="5"/>
  <c r="B302" i="5"/>
  <c r="C302" i="5"/>
  <c r="D302" i="5"/>
  <c r="A303" i="5"/>
  <c r="B303" i="5"/>
  <c r="C303" i="5"/>
  <c r="D303" i="5"/>
  <c r="A304" i="5"/>
  <c r="B304" i="5"/>
  <c r="C304" i="5"/>
  <c r="D304" i="5"/>
  <c r="A305" i="5"/>
  <c r="B305" i="5"/>
  <c r="C305" i="5"/>
  <c r="D305" i="5"/>
  <c r="A306" i="5"/>
  <c r="B306" i="5"/>
  <c r="C306" i="5"/>
  <c r="D306" i="5"/>
  <c r="A307" i="5"/>
  <c r="B307" i="5"/>
  <c r="C307" i="5"/>
  <c r="D307" i="5"/>
  <c r="A308" i="5"/>
  <c r="B308" i="5"/>
  <c r="C308" i="5"/>
  <c r="D308" i="5"/>
  <c r="A309" i="5"/>
  <c r="B309" i="5"/>
  <c r="C309" i="5"/>
  <c r="D309" i="5"/>
  <c r="A310" i="5"/>
  <c r="B310" i="5"/>
  <c r="C310" i="5"/>
  <c r="D310" i="5"/>
  <c r="A311" i="5"/>
  <c r="B311" i="5"/>
  <c r="C311" i="5"/>
  <c r="D311" i="5"/>
  <c r="A312" i="5"/>
  <c r="B312" i="5"/>
  <c r="C312" i="5"/>
  <c r="D312" i="5"/>
  <c r="A313" i="5"/>
  <c r="B313" i="5"/>
  <c r="C313" i="5"/>
  <c r="D313" i="5"/>
  <c r="A314" i="5"/>
  <c r="B314" i="5"/>
  <c r="C314" i="5"/>
  <c r="D314" i="5"/>
  <c r="A315" i="5"/>
  <c r="B315" i="5"/>
  <c r="C315" i="5"/>
  <c r="D315" i="5"/>
  <c r="A316" i="5"/>
  <c r="B316" i="5"/>
  <c r="C316" i="5"/>
  <c r="D316" i="5"/>
  <c r="A317" i="5"/>
  <c r="B317" i="5"/>
  <c r="C317" i="5"/>
  <c r="D317" i="5"/>
  <c r="A318" i="5"/>
  <c r="B318" i="5"/>
  <c r="C318" i="5"/>
  <c r="D318" i="5"/>
  <c r="A319" i="5"/>
  <c r="B319" i="5"/>
  <c r="C319" i="5"/>
  <c r="D319" i="5"/>
  <c r="A320" i="5"/>
  <c r="B320" i="5"/>
  <c r="C320" i="5"/>
  <c r="D320" i="5"/>
  <c r="A321" i="5"/>
  <c r="B321" i="5"/>
  <c r="C321" i="5"/>
  <c r="D321" i="5"/>
  <c r="A322" i="5"/>
  <c r="B322" i="5"/>
  <c r="C322" i="5"/>
  <c r="D322" i="5"/>
  <c r="A323" i="5"/>
  <c r="B323" i="5"/>
  <c r="C323" i="5"/>
  <c r="D323" i="5"/>
  <c r="A324" i="5"/>
  <c r="B324" i="5"/>
  <c r="C324" i="5"/>
  <c r="D324" i="5"/>
  <c r="A325" i="5"/>
  <c r="B325" i="5"/>
  <c r="C325" i="5"/>
  <c r="D325" i="5"/>
  <c r="A326" i="5"/>
  <c r="B326" i="5"/>
  <c r="C326" i="5"/>
  <c r="D326" i="5"/>
  <c r="A327" i="5"/>
  <c r="B327" i="5"/>
  <c r="C327" i="5"/>
  <c r="D327" i="5"/>
  <c r="A328" i="5"/>
  <c r="B328" i="5"/>
  <c r="C328" i="5"/>
  <c r="D328" i="5"/>
  <c r="A329" i="5"/>
  <c r="B329" i="5"/>
  <c r="C329" i="5"/>
  <c r="D329" i="5"/>
  <c r="A330" i="5"/>
  <c r="B330" i="5"/>
  <c r="C330" i="5"/>
  <c r="D330" i="5"/>
  <c r="A331" i="5"/>
  <c r="B331" i="5"/>
  <c r="C331" i="5"/>
  <c r="D331" i="5"/>
  <c r="A332" i="5"/>
  <c r="B332" i="5"/>
  <c r="C332" i="5"/>
  <c r="D332" i="5"/>
  <c r="A333" i="5"/>
  <c r="B333" i="5"/>
  <c r="C333" i="5"/>
  <c r="D333" i="5"/>
  <c r="A334" i="5"/>
  <c r="B334" i="5"/>
  <c r="C334" i="5"/>
  <c r="D334" i="5"/>
  <c r="A335" i="5"/>
  <c r="B335" i="5"/>
  <c r="C335" i="5"/>
  <c r="D335" i="5"/>
  <c r="A336" i="5"/>
  <c r="B336" i="5"/>
  <c r="C336" i="5"/>
  <c r="D336" i="5"/>
  <c r="A337" i="5"/>
  <c r="B337" i="5"/>
  <c r="C337" i="5"/>
  <c r="D337" i="5"/>
  <c r="A338" i="5"/>
  <c r="B338" i="5"/>
  <c r="C338" i="5"/>
  <c r="D338" i="5"/>
  <c r="A339" i="5"/>
  <c r="B339" i="5"/>
  <c r="C339" i="5"/>
  <c r="D339" i="5"/>
  <c r="A340" i="5"/>
  <c r="B340" i="5"/>
  <c r="C340" i="5"/>
  <c r="D340" i="5"/>
  <c r="A341" i="5"/>
  <c r="B341" i="5"/>
  <c r="C341" i="5"/>
  <c r="D341" i="5"/>
  <c r="A342" i="5"/>
  <c r="B342" i="5"/>
  <c r="C342" i="5"/>
  <c r="D342" i="5"/>
  <c r="A343" i="5"/>
  <c r="B343" i="5"/>
  <c r="C343" i="5"/>
  <c r="D343" i="5"/>
  <c r="A344" i="5"/>
  <c r="B344" i="5"/>
  <c r="C344" i="5"/>
  <c r="D344" i="5"/>
  <c r="A345" i="5"/>
  <c r="B345" i="5"/>
  <c r="C345" i="5"/>
  <c r="D345" i="5"/>
  <c r="A346" i="5"/>
  <c r="B346" i="5"/>
  <c r="C346" i="5"/>
  <c r="D346" i="5"/>
  <c r="A347" i="5"/>
  <c r="B347" i="5"/>
  <c r="C347" i="5"/>
  <c r="D347" i="5"/>
  <c r="A348" i="5"/>
  <c r="B348" i="5"/>
  <c r="C348" i="5"/>
  <c r="D348" i="5"/>
  <c r="A349" i="5"/>
  <c r="B349" i="5"/>
  <c r="C349" i="5"/>
  <c r="D349" i="5"/>
  <c r="A350" i="5"/>
  <c r="B350" i="5"/>
  <c r="C350" i="5"/>
  <c r="D350" i="5"/>
  <c r="A351" i="5"/>
  <c r="B351" i="5"/>
  <c r="C351" i="5"/>
  <c r="D351" i="5"/>
  <c r="A352" i="5"/>
  <c r="B352" i="5"/>
  <c r="C352" i="5"/>
  <c r="D352" i="5"/>
  <c r="A353" i="5"/>
  <c r="B353" i="5"/>
  <c r="C353" i="5"/>
  <c r="D353" i="5"/>
  <c r="A354" i="5"/>
  <c r="B354" i="5"/>
  <c r="C354" i="5"/>
  <c r="D354" i="5"/>
  <c r="A355" i="5"/>
  <c r="B355" i="5"/>
  <c r="C355" i="5"/>
  <c r="D355" i="5"/>
  <c r="A356" i="5"/>
  <c r="B356" i="5"/>
  <c r="C356" i="5"/>
  <c r="D356" i="5"/>
  <c r="A357" i="5"/>
  <c r="B357" i="5"/>
  <c r="C357" i="5"/>
  <c r="D357" i="5"/>
  <c r="A358" i="5"/>
  <c r="B358" i="5"/>
  <c r="C358" i="5"/>
  <c r="D358" i="5"/>
  <c r="A359" i="5"/>
  <c r="B359" i="5"/>
  <c r="C359" i="5"/>
  <c r="D359" i="5"/>
  <c r="A360" i="5"/>
  <c r="B360" i="5"/>
  <c r="C360" i="5"/>
  <c r="D360" i="5"/>
  <c r="A361" i="5"/>
  <c r="B361" i="5"/>
  <c r="C361" i="5"/>
  <c r="D361" i="5"/>
  <c r="A362" i="5"/>
  <c r="B362" i="5"/>
  <c r="C362" i="5"/>
  <c r="D362" i="5"/>
  <c r="A363" i="5"/>
  <c r="B363" i="5"/>
  <c r="C363" i="5"/>
  <c r="D363" i="5"/>
  <c r="A364" i="5"/>
  <c r="B364" i="5"/>
  <c r="C364" i="5"/>
  <c r="D364" i="5"/>
  <c r="A365" i="5"/>
  <c r="B365" i="5"/>
  <c r="C365" i="5"/>
  <c r="D365" i="5"/>
  <c r="A366" i="5"/>
  <c r="B366" i="5"/>
  <c r="C366" i="5"/>
  <c r="D366" i="5"/>
  <c r="A367" i="5"/>
  <c r="B367" i="5"/>
  <c r="C367" i="5"/>
  <c r="D367" i="5"/>
  <c r="A368" i="5"/>
  <c r="B368" i="5"/>
  <c r="C368" i="5"/>
  <c r="D368" i="5"/>
  <c r="A369" i="5"/>
  <c r="B369" i="5"/>
  <c r="C369" i="5"/>
  <c r="D369" i="5"/>
  <c r="A370" i="5"/>
  <c r="B370" i="5"/>
  <c r="C370" i="5"/>
  <c r="D370" i="5"/>
  <c r="A371" i="5"/>
  <c r="B371" i="5"/>
  <c r="C371" i="5"/>
  <c r="D371" i="5"/>
  <c r="A372" i="5"/>
  <c r="B372" i="5"/>
  <c r="C372" i="5"/>
  <c r="D372" i="5"/>
  <c r="A373" i="5"/>
  <c r="B373" i="5"/>
  <c r="C373" i="5"/>
  <c r="D373" i="5"/>
  <c r="A374" i="5"/>
  <c r="B374" i="5"/>
  <c r="C374" i="5"/>
  <c r="D374" i="5"/>
  <c r="A375" i="5"/>
  <c r="B375" i="5"/>
  <c r="C375" i="5"/>
  <c r="D375" i="5"/>
  <c r="A376" i="5"/>
  <c r="B376" i="5"/>
  <c r="C376" i="5"/>
  <c r="D376" i="5"/>
  <c r="A377" i="5"/>
  <c r="B377" i="5"/>
  <c r="C377" i="5"/>
  <c r="D377" i="5"/>
  <c r="A378" i="5"/>
  <c r="B378" i="5"/>
  <c r="C378" i="5"/>
  <c r="D378" i="5"/>
  <c r="A379" i="5"/>
  <c r="B379" i="5"/>
  <c r="C379" i="5"/>
  <c r="D379" i="5"/>
  <c r="A380" i="5"/>
  <c r="B380" i="5"/>
  <c r="C380" i="5"/>
  <c r="D380" i="5"/>
  <c r="A381" i="5"/>
  <c r="B381" i="5"/>
  <c r="C381" i="5"/>
  <c r="D381" i="5"/>
  <c r="A382" i="5"/>
  <c r="B382" i="5"/>
  <c r="C382" i="5"/>
  <c r="D382" i="5"/>
  <c r="A383" i="5"/>
  <c r="B383" i="5"/>
  <c r="C383" i="5"/>
  <c r="D383" i="5"/>
  <c r="A384" i="5"/>
  <c r="B384" i="5"/>
  <c r="C384" i="5"/>
  <c r="D384" i="5"/>
  <c r="A385" i="5"/>
  <c r="B385" i="5"/>
  <c r="C385" i="5"/>
  <c r="D385" i="5"/>
  <c r="A386" i="5"/>
  <c r="B386" i="5"/>
  <c r="C386" i="5"/>
  <c r="D386" i="5"/>
  <c r="A387" i="5"/>
  <c r="B387" i="5"/>
  <c r="C387" i="5"/>
  <c r="D387" i="5"/>
  <c r="A388" i="5"/>
  <c r="B388" i="5"/>
  <c r="C388" i="5"/>
  <c r="D388" i="5"/>
  <c r="A389" i="5"/>
  <c r="B389" i="5"/>
  <c r="C389" i="5"/>
  <c r="D389" i="5"/>
  <c r="A390" i="5"/>
  <c r="B390" i="5"/>
  <c r="C390" i="5"/>
  <c r="D390" i="5"/>
  <c r="A391" i="5"/>
  <c r="B391" i="5"/>
  <c r="C391" i="5"/>
  <c r="D391" i="5"/>
  <c r="A392" i="5"/>
  <c r="B392" i="5"/>
  <c r="C392" i="5"/>
  <c r="D392" i="5"/>
  <c r="A393" i="5"/>
  <c r="B393" i="5"/>
  <c r="C393" i="5"/>
  <c r="D393" i="5"/>
  <c r="A394" i="5"/>
  <c r="B394" i="5"/>
  <c r="C394" i="5"/>
  <c r="D394" i="5"/>
  <c r="A395" i="5"/>
  <c r="B395" i="5"/>
  <c r="C395" i="5"/>
  <c r="D395" i="5"/>
  <c r="A396" i="5"/>
  <c r="B396" i="5"/>
  <c r="C396" i="5"/>
  <c r="D396" i="5"/>
  <c r="A397" i="5"/>
  <c r="B397" i="5"/>
  <c r="C397" i="5"/>
  <c r="D397" i="5"/>
  <c r="A398" i="5"/>
  <c r="B398" i="5"/>
  <c r="C398" i="5"/>
  <c r="D398" i="5"/>
  <c r="A399" i="5"/>
  <c r="B399" i="5"/>
  <c r="C399" i="5"/>
  <c r="D399" i="5"/>
  <c r="A400" i="5"/>
  <c r="B400" i="5"/>
  <c r="C400" i="5"/>
  <c r="D400" i="5"/>
  <c r="A401" i="5"/>
  <c r="B401" i="5"/>
  <c r="C401" i="5"/>
  <c r="D401" i="5"/>
  <c r="A402" i="5"/>
  <c r="B402" i="5"/>
  <c r="C402" i="5"/>
  <c r="D402" i="5"/>
  <c r="A403" i="5"/>
  <c r="B403" i="5"/>
  <c r="C403" i="5"/>
  <c r="D403" i="5"/>
  <c r="A404" i="5"/>
  <c r="B404" i="5"/>
  <c r="C404" i="5"/>
  <c r="D404" i="5"/>
  <c r="A405" i="5"/>
  <c r="B405" i="5"/>
  <c r="C405" i="5"/>
  <c r="D405" i="5"/>
  <c r="A406" i="5"/>
  <c r="B406" i="5"/>
  <c r="C406" i="5"/>
  <c r="D406" i="5"/>
  <c r="A407" i="5"/>
  <c r="B407" i="5"/>
  <c r="C407" i="5"/>
  <c r="D407" i="5"/>
  <c r="A408" i="5"/>
  <c r="B408" i="5"/>
  <c r="C408" i="5"/>
  <c r="D408" i="5"/>
  <c r="A409" i="5"/>
  <c r="B409" i="5"/>
  <c r="C409" i="5"/>
  <c r="D409" i="5"/>
  <c r="A410" i="5"/>
  <c r="B410" i="5"/>
  <c r="C410" i="5"/>
  <c r="D410" i="5"/>
  <c r="A411" i="5"/>
  <c r="B411" i="5"/>
  <c r="C411" i="5"/>
  <c r="D411" i="5"/>
  <c r="A412" i="5"/>
  <c r="B412" i="5"/>
  <c r="C412" i="5"/>
  <c r="D412" i="5"/>
  <c r="A413" i="5"/>
  <c r="B413" i="5"/>
  <c r="C413" i="5"/>
  <c r="D413" i="5"/>
  <c r="A414" i="5"/>
  <c r="B414" i="5"/>
  <c r="C414" i="5"/>
  <c r="D414" i="5"/>
  <c r="A415" i="5"/>
  <c r="B415" i="5"/>
  <c r="C415" i="5"/>
  <c r="D415" i="5"/>
  <c r="A416" i="5"/>
  <c r="B416" i="5"/>
  <c r="C416" i="5"/>
  <c r="D416" i="5"/>
  <c r="A417" i="5"/>
  <c r="B417" i="5"/>
  <c r="C417" i="5"/>
  <c r="D417" i="5"/>
  <c r="A418" i="5"/>
  <c r="B418" i="5"/>
  <c r="C418" i="5"/>
  <c r="D418" i="5"/>
  <c r="A419" i="5"/>
  <c r="B419" i="5"/>
  <c r="C419" i="5"/>
  <c r="D419" i="5"/>
  <c r="A420" i="5"/>
  <c r="B420" i="5"/>
  <c r="C420" i="5"/>
  <c r="D420" i="5"/>
  <c r="A421" i="5"/>
  <c r="B421" i="5"/>
  <c r="C421" i="5"/>
  <c r="D421" i="5"/>
  <c r="A422" i="5"/>
  <c r="B422" i="5"/>
  <c r="C422" i="5"/>
  <c r="D422" i="5"/>
  <c r="A423" i="5"/>
  <c r="B423" i="5"/>
  <c r="C423" i="5"/>
  <c r="D423" i="5"/>
  <c r="A424" i="5"/>
  <c r="B424" i="5"/>
  <c r="C424" i="5"/>
  <c r="D424" i="5"/>
  <c r="A425" i="5"/>
  <c r="B425" i="5"/>
  <c r="C425" i="5"/>
  <c r="D425" i="5"/>
  <c r="A426" i="5"/>
  <c r="B426" i="5"/>
  <c r="C426" i="5"/>
  <c r="D426" i="5"/>
  <c r="A427" i="5"/>
  <c r="B427" i="5"/>
  <c r="C427" i="5"/>
  <c r="D427" i="5"/>
  <c r="A428" i="5"/>
  <c r="B428" i="5"/>
  <c r="C428" i="5"/>
  <c r="D428" i="5"/>
  <c r="A429" i="5"/>
  <c r="B429" i="5"/>
  <c r="C429" i="5"/>
  <c r="D429" i="5"/>
  <c r="A430" i="5"/>
  <c r="B430" i="5"/>
  <c r="C430" i="5"/>
  <c r="D430" i="5"/>
  <c r="A431" i="5"/>
  <c r="B431" i="5"/>
  <c r="C431" i="5"/>
  <c r="D431" i="5"/>
  <c r="A432" i="5"/>
  <c r="B432" i="5"/>
  <c r="C432" i="5"/>
  <c r="D432" i="5"/>
  <c r="A433" i="5"/>
  <c r="B433" i="5"/>
  <c r="C433" i="5"/>
  <c r="D433" i="5"/>
  <c r="A434" i="5"/>
  <c r="B434" i="5"/>
  <c r="C434" i="5"/>
  <c r="D434" i="5"/>
  <c r="A435" i="5"/>
  <c r="B435" i="5"/>
  <c r="C435" i="5"/>
  <c r="D435" i="5"/>
  <c r="A436" i="5"/>
  <c r="B436" i="5"/>
  <c r="C436" i="5"/>
  <c r="D436" i="5"/>
  <c r="A437" i="5"/>
  <c r="B437" i="5"/>
  <c r="C437" i="5"/>
  <c r="D437" i="5"/>
  <c r="A438" i="5"/>
  <c r="B438" i="5"/>
  <c r="C438" i="5"/>
  <c r="D438" i="5"/>
  <c r="A439" i="5"/>
  <c r="B439" i="5"/>
  <c r="C439" i="5"/>
  <c r="D439" i="5"/>
  <c r="A440" i="5"/>
  <c r="B440" i="5"/>
  <c r="C440" i="5"/>
  <c r="D440" i="5"/>
  <c r="A441" i="5"/>
  <c r="B441" i="5"/>
  <c r="C441" i="5"/>
  <c r="D441" i="5"/>
  <c r="A442" i="5"/>
  <c r="B442" i="5"/>
  <c r="C442" i="5"/>
  <c r="D442" i="5"/>
  <c r="A443" i="5"/>
  <c r="B443" i="5"/>
  <c r="C443" i="5"/>
  <c r="D443" i="5"/>
  <c r="A444" i="5"/>
  <c r="B444" i="5"/>
  <c r="C444" i="5"/>
  <c r="D444" i="5"/>
  <c r="A445" i="5"/>
  <c r="B445" i="5"/>
  <c r="C445" i="5"/>
  <c r="D445" i="5"/>
  <c r="A446" i="5"/>
  <c r="B446" i="5"/>
  <c r="C446" i="5"/>
  <c r="D446" i="5"/>
  <c r="A447" i="5"/>
  <c r="B447" i="5"/>
  <c r="C447" i="5"/>
  <c r="D447" i="5"/>
  <c r="A448" i="5"/>
  <c r="B448" i="5"/>
  <c r="C448" i="5"/>
  <c r="D448" i="5"/>
  <c r="A449" i="5"/>
  <c r="B449" i="5"/>
  <c r="C449" i="5"/>
  <c r="D449" i="5"/>
  <c r="A450" i="5"/>
  <c r="B450" i="5"/>
  <c r="C450" i="5"/>
  <c r="D450" i="5"/>
  <c r="A451" i="5"/>
  <c r="B451" i="5"/>
  <c r="C451" i="5"/>
  <c r="D451" i="5"/>
  <c r="A452" i="5"/>
  <c r="B452" i="5"/>
  <c r="C452" i="5"/>
  <c r="D452" i="5"/>
  <c r="A453" i="5"/>
  <c r="B453" i="5"/>
  <c r="C453" i="5"/>
  <c r="D453" i="5"/>
  <c r="A454" i="5"/>
  <c r="B454" i="5"/>
  <c r="C454" i="5"/>
  <c r="D454" i="5"/>
  <c r="A455" i="5"/>
  <c r="B455" i="5"/>
  <c r="C455" i="5"/>
  <c r="D455" i="5"/>
  <c r="A456" i="5"/>
  <c r="B456" i="5"/>
  <c r="C456" i="5"/>
  <c r="D456" i="5"/>
  <c r="A457" i="5"/>
  <c r="B457" i="5"/>
  <c r="C457" i="5"/>
  <c r="D457" i="5"/>
  <c r="A458" i="5"/>
  <c r="B458" i="5"/>
  <c r="C458" i="5"/>
  <c r="D458" i="5"/>
  <c r="A459" i="5"/>
  <c r="B459" i="5"/>
  <c r="C459" i="5"/>
  <c r="D459" i="5"/>
  <c r="A460" i="5"/>
  <c r="B460" i="5"/>
  <c r="C460" i="5"/>
  <c r="D460" i="5"/>
  <c r="A461" i="5"/>
  <c r="B461" i="5"/>
  <c r="C461" i="5"/>
  <c r="D461" i="5"/>
  <c r="A462" i="5"/>
  <c r="B462" i="5"/>
  <c r="C462" i="5"/>
  <c r="D462" i="5"/>
  <c r="A463" i="5"/>
  <c r="B463" i="5"/>
  <c r="C463" i="5"/>
  <c r="D463" i="5"/>
  <c r="A464" i="5"/>
  <c r="B464" i="5"/>
  <c r="C464" i="5"/>
  <c r="D464" i="5"/>
  <c r="A465" i="5"/>
  <c r="B465" i="5"/>
  <c r="C465" i="5"/>
  <c r="D465" i="5"/>
  <c r="A466" i="5"/>
  <c r="B466" i="5"/>
  <c r="C466" i="5"/>
  <c r="D466" i="5"/>
  <c r="A467" i="5"/>
  <c r="B467" i="5"/>
  <c r="C467" i="5"/>
  <c r="D467" i="5"/>
  <c r="A468" i="5"/>
  <c r="B468" i="5"/>
  <c r="C468" i="5"/>
  <c r="D468" i="5"/>
  <c r="A469" i="5"/>
  <c r="B469" i="5"/>
  <c r="C469" i="5"/>
  <c r="D469" i="5"/>
  <c r="A470" i="5"/>
  <c r="B470" i="5"/>
  <c r="C470" i="5"/>
  <c r="D470" i="5"/>
  <c r="A471" i="5"/>
  <c r="B471" i="5"/>
  <c r="C471" i="5"/>
  <c r="D471" i="5"/>
  <c r="A472" i="5"/>
  <c r="B472" i="5"/>
  <c r="C472" i="5"/>
  <c r="D472" i="5"/>
  <c r="A473" i="5"/>
  <c r="B473" i="5"/>
  <c r="C473" i="5"/>
  <c r="D473" i="5"/>
  <c r="A474" i="5"/>
  <c r="B474" i="5"/>
  <c r="C474" i="5"/>
  <c r="D474" i="5"/>
  <c r="A475" i="5"/>
  <c r="B475" i="5"/>
  <c r="C475" i="5"/>
  <c r="D475" i="5"/>
  <c r="A476" i="5"/>
  <c r="B476" i="5"/>
  <c r="C476" i="5"/>
  <c r="D476" i="5"/>
  <c r="A477" i="5"/>
  <c r="B477" i="5"/>
  <c r="C477" i="5"/>
  <c r="D477" i="5"/>
  <c r="A478" i="5"/>
  <c r="B478" i="5"/>
  <c r="C478" i="5"/>
  <c r="D478" i="5"/>
  <c r="A479" i="5"/>
  <c r="B479" i="5"/>
  <c r="C479" i="5"/>
  <c r="D479" i="5"/>
  <c r="A480" i="5"/>
  <c r="B480" i="5"/>
  <c r="C480" i="5"/>
  <c r="D480" i="5"/>
  <c r="A481" i="5"/>
  <c r="B481" i="5"/>
  <c r="C481" i="5"/>
  <c r="D481" i="5"/>
  <c r="A482" i="5"/>
  <c r="B482" i="5"/>
  <c r="C482" i="5"/>
  <c r="D482" i="5"/>
  <c r="A483" i="5"/>
  <c r="B483" i="5"/>
  <c r="C483" i="5"/>
  <c r="D483" i="5"/>
  <c r="A484" i="5"/>
  <c r="B484" i="5"/>
  <c r="C484" i="5"/>
  <c r="D484" i="5"/>
  <c r="A485" i="5"/>
  <c r="B485" i="5"/>
  <c r="C485" i="5"/>
  <c r="D485" i="5"/>
  <c r="A486" i="5"/>
  <c r="B486" i="5"/>
  <c r="C486" i="5"/>
  <c r="D486" i="5"/>
  <c r="A487" i="5"/>
  <c r="B487" i="5"/>
  <c r="C487" i="5"/>
  <c r="D487" i="5"/>
  <c r="A488" i="5"/>
  <c r="B488" i="5"/>
  <c r="C488" i="5"/>
  <c r="D488" i="5"/>
  <c r="A489" i="5"/>
  <c r="B489" i="5"/>
  <c r="C489" i="5"/>
  <c r="D489" i="5"/>
  <c r="A490" i="5"/>
  <c r="B490" i="5"/>
  <c r="C490" i="5"/>
  <c r="D490" i="5"/>
  <c r="A491" i="5"/>
  <c r="B491" i="5"/>
  <c r="C491" i="5"/>
  <c r="D491" i="5"/>
  <c r="A492" i="5"/>
  <c r="B492" i="5"/>
  <c r="C492" i="5"/>
  <c r="D492" i="5"/>
  <c r="A493" i="5"/>
  <c r="B493" i="5"/>
  <c r="C493" i="5"/>
  <c r="D493" i="5"/>
  <c r="A494" i="5"/>
  <c r="B494" i="5"/>
  <c r="C494" i="5"/>
  <c r="D494" i="5"/>
  <c r="A495" i="5"/>
  <c r="B495" i="5"/>
  <c r="C495" i="5"/>
  <c r="D495" i="5"/>
  <c r="A496" i="5"/>
  <c r="B496" i="5"/>
  <c r="C496" i="5"/>
  <c r="D496" i="5"/>
  <c r="A497" i="5"/>
  <c r="B497" i="5"/>
  <c r="C497" i="5"/>
  <c r="D497" i="5"/>
  <c r="A498" i="5"/>
  <c r="B498" i="5"/>
  <c r="C498" i="5"/>
  <c r="D498" i="5"/>
  <c r="A499" i="5"/>
  <c r="B499" i="5"/>
  <c r="C499" i="5"/>
  <c r="D499" i="5"/>
  <c r="A500" i="5"/>
  <c r="B500" i="5"/>
  <c r="C500" i="5"/>
  <c r="D500" i="5"/>
  <c r="A501" i="5"/>
  <c r="B501" i="5"/>
  <c r="C501" i="5"/>
  <c r="D501" i="5"/>
  <c r="A502" i="5"/>
  <c r="B502" i="5"/>
  <c r="C502" i="5"/>
  <c r="D502" i="5"/>
  <c r="A503" i="5"/>
  <c r="B503" i="5"/>
  <c r="C503" i="5"/>
  <c r="D503" i="5"/>
  <c r="A504" i="5"/>
  <c r="B504" i="5"/>
  <c r="C504" i="5"/>
  <c r="D504" i="5"/>
  <c r="A505" i="5"/>
  <c r="B505" i="5"/>
  <c r="C505" i="5"/>
  <c r="D505" i="5"/>
  <c r="A506" i="5"/>
  <c r="B506" i="5"/>
  <c r="C506" i="5"/>
  <c r="D506" i="5"/>
  <c r="A507" i="5"/>
  <c r="B507" i="5"/>
  <c r="C507" i="5"/>
  <c r="D507" i="5"/>
  <c r="A508" i="5"/>
  <c r="B508" i="5"/>
  <c r="C508" i="5"/>
  <c r="D508" i="5"/>
  <c r="A509" i="5"/>
  <c r="B509" i="5"/>
  <c r="C509" i="5"/>
  <c r="D509" i="5"/>
  <c r="A510" i="5"/>
  <c r="B510" i="5"/>
  <c r="C510" i="5"/>
  <c r="D510" i="5"/>
  <c r="A511" i="5"/>
  <c r="B511" i="5"/>
  <c r="C511" i="5"/>
  <c r="D511" i="5"/>
  <c r="A512" i="5"/>
  <c r="B512" i="5"/>
  <c r="C512" i="5"/>
  <c r="D512" i="5"/>
  <c r="A513" i="5"/>
  <c r="B513" i="5"/>
  <c r="C513" i="5"/>
  <c r="D513" i="5"/>
  <c r="A514" i="5"/>
  <c r="B514" i="5"/>
  <c r="C514" i="5"/>
  <c r="D514" i="5"/>
  <c r="A515" i="5"/>
  <c r="B515" i="5"/>
  <c r="C515" i="5"/>
  <c r="D515" i="5"/>
  <c r="A516" i="5"/>
  <c r="B516" i="5"/>
  <c r="C516" i="5"/>
  <c r="D516" i="5"/>
  <c r="A517" i="5"/>
  <c r="B517" i="5"/>
  <c r="C517" i="5"/>
  <c r="D517" i="5"/>
  <c r="A518" i="5"/>
  <c r="B518" i="5"/>
  <c r="C518" i="5"/>
  <c r="D518" i="5"/>
  <c r="A519" i="5"/>
  <c r="B519" i="5"/>
  <c r="C519" i="5"/>
  <c r="D519" i="5"/>
  <c r="A520" i="5"/>
  <c r="B520" i="5"/>
  <c r="C520" i="5"/>
  <c r="D520" i="5"/>
  <c r="A521" i="5"/>
  <c r="B521" i="5"/>
  <c r="C521" i="5"/>
  <c r="D521" i="5"/>
  <c r="A522" i="5"/>
  <c r="B522" i="5"/>
  <c r="C522" i="5"/>
  <c r="D522" i="5"/>
  <c r="A523" i="5"/>
  <c r="B523" i="5"/>
  <c r="C523" i="5"/>
  <c r="D523" i="5"/>
  <c r="A524" i="5"/>
  <c r="B524" i="5"/>
  <c r="C524" i="5"/>
  <c r="D524" i="5"/>
  <c r="A525" i="5"/>
  <c r="B525" i="5"/>
  <c r="C525" i="5"/>
  <c r="D525" i="5"/>
  <c r="A526" i="5"/>
  <c r="B526" i="5"/>
  <c r="C526" i="5"/>
  <c r="D526" i="5"/>
  <c r="A527" i="5"/>
  <c r="B527" i="5"/>
  <c r="C527" i="5"/>
  <c r="D527" i="5"/>
  <c r="A528" i="5"/>
  <c r="B528" i="5"/>
  <c r="C528" i="5"/>
  <c r="D528" i="5"/>
  <c r="A529" i="5"/>
  <c r="B529" i="5"/>
  <c r="C529" i="5"/>
  <c r="D529" i="5"/>
  <c r="A530" i="5"/>
  <c r="B530" i="5"/>
  <c r="C530" i="5"/>
  <c r="D530" i="5"/>
  <c r="A531" i="5"/>
  <c r="B531" i="5"/>
  <c r="C531" i="5"/>
  <c r="D531" i="5"/>
  <c r="A532" i="5"/>
  <c r="B532" i="5"/>
  <c r="C532" i="5"/>
  <c r="D532" i="5"/>
  <c r="A533" i="5"/>
  <c r="B533" i="5"/>
  <c r="C533" i="5"/>
  <c r="D533" i="5"/>
  <c r="A534" i="5"/>
  <c r="B534" i="5"/>
  <c r="C534" i="5"/>
  <c r="D534" i="5"/>
  <c r="A535" i="5"/>
  <c r="B535" i="5"/>
  <c r="C535" i="5"/>
  <c r="D535" i="5"/>
  <c r="A536" i="5"/>
  <c r="B536" i="5"/>
  <c r="C536" i="5"/>
  <c r="D536" i="5"/>
  <c r="A537" i="5"/>
  <c r="B537" i="5"/>
  <c r="C537" i="5"/>
  <c r="D537" i="5"/>
  <c r="A538" i="5"/>
  <c r="B538" i="5"/>
  <c r="C538" i="5"/>
  <c r="D538" i="5"/>
  <c r="A539" i="5"/>
  <c r="B539" i="5"/>
  <c r="C539" i="5"/>
  <c r="D539" i="5"/>
  <c r="A540" i="5"/>
  <c r="B540" i="5"/>
  <c r="C540" i="5"/>
  <c r="D540" i="5"/>
  <c r="A541" i="5"/>
  <c r="B541" i="5"/>
  <c r="C541" i="5"/>
  <c r="D541" i="5"/>
  <c r="A542" i="5"/>
  <c r="B542" i="5"/>
  <c r="C542" i="5"/>
  <c r="D542" i="5"/>
  <c r="A543" i="5"/>
  <c r="B543" i="5"/>
  <c r="C543" i="5"/>
  <c r="D543" i="5"/>
  <c r="A544" i="5"/>
  <c r="B544" i="5"/>
  <c r="C544" i="5"/>
  <c r="D544" i="5"/>
  <c r="A545" i="5"/>
  <c r="B545" i="5"/>
  <c r="C545" i="5"/>
  <c r="D545" i="5"/>
  <c r="A546" i="5"/>
  <c r="B546" i="5"/>
  <c r="C546" i="5"/>
  <c r="D546" i="5"/>
  <c r="A547" i="5"/>
  <c r="B547" i="5"/>
  <c r="C547" i="5"/>
  <c r="D547" i="5"/>
  <c r="A548" i="5"/>
  <c r="B548" i="5"/>
  <c r="C548" i="5"/>
  <c r="D548" i="5"/>
  <c r="A549" i="5"/>
  <c r="B549" i="5"/>
  <c r="C549" i="5"/>
  <c r="D549" i="5"/>
  <c r="A550" i="5"/>
  <c r="B550" i="5"/>
  <c r="C550" i="5"/>
  <c r="D550" i="5"/>
  <c r="A551" i="5"/>
  <c r="B551" i="5"/>
  <c r="C551" i="5"/>
  <c r="D551" i="5"/>
  <c r="A552" i="5"/>
  <c r="B552" i="5"/>
  <c r="C552" i="5"/>
  <c r="D552" i="5"/>
  <c r="A553" i="5"/>
  <c r="B553" i="5"/>
  <c r="C553" i="5"/>
  <c r="D553" i="5"/>
  <c r="A554" i="5"/>
  <c r="B554" i="5"/>
  <c r="C554" i="5"/>
  <c r="D554" i="5"/>
  <c r="A555" i="5"/>
  <c r="B555" i="5"/>
  <c r="C555" i="5"/>
  <c r="D555" i="5"/>
  <c r="A556" i="5"/>
  <c r="B556" i="5"/>
  <c r="C556" i="5"/>
  <c r="D556" i="5"/>
  <c r="A557" i="5"/>
  <c r="B557" i="5"/>
  <c r="C557" i="5"/>
  <c r="D557" i="5"/>
  <c r="A558" i="5"/>
  <c r="B558" i="5"/>
  <c r="C558" i="5"/>
  <c r="D558" i="5"/>
  <c r="A559" i="5"/>
  <c r="B559" i="5"/>
  <c r="C559" i="5"/>
  <c r="D559" i="5"/>
  <c r="A560" i="5"/>
  <c r="B560" i="5"/>
  <c r="C560" i="5"/>
  <c r="D560" i="5"/>
  <c r="A561" i="5"/>
  <c r="B561" i="5"/>
  <c r="C561" i="5"/>
  <c r="D561" i="5"/>
  <c r="A562" i="5"/>
  <c r="B562" i="5"/>
  <c r="C562" i="5"/>
  <c r="D562" i="5"/>
  <c r="A563" i="5"/>
  <c r="B563" i="5"/>
  <c r="C563" i="5"/>
  <c r="D563" i="5"/>
  <c r="A564" i="5"/>
  <c r="B564" i="5"/>
  <c r="C564" i="5"/>
  <c r="D564" i="5"/>
  <c r="A565" i="5"/>
  <c r="B565" i="5"/>
  <c r="C565" i="5"/>
  <c r="D565" i="5"/>
  <c r="A566" i="5"/>
  <c r="B566" i="5"/>
  <c r="C566" i="5"/>
  <c r="D566" i="5"/>
  <c r="A567" i="5"/>
  <c r="B567" i="5"/>
  <c r="C567" i="5"/>
  <c r="D567" i="5"/>
  <c r="A568" i="5"/>
  <c r="B568" i="5"/>
  <c r="C568" i="5"/>
  <c r="D568" i="5"/>
  <c r="A569" i="5"/>
  <c r="B569" i="5"/>
  <c r="C569" i="5"/>
  <c r="D569" i="5"/>
  <c r="A570" i="5"/>
  <c r="B570" i="5"/>
  <c r="C570" i="5"/>
  <c r="D570" i="5"/>
  <c r="A571" i="5"/>
  <c r="B571" i="5"/>
  <c r="C571" i="5"/>
  <c r="D571" i="5"/>
  <c r="A572" i="5"/>
  <c r="B572" i="5"/>
  <c r="C572" i="5"/>
  <c r="D572" i="5"/>
  <c r="A573" i="5"/>
  <c r="B573" i="5"/>
  <c r="C573" i="5"/>
  <c r="D573" i="5"/>
  <c r="A574" i="5"/>
  <c r="B574" i="5"/>
  <c r="C574" i="5"/>
  <c r="D574" i="5"/>
  <c r="A575" i="5"/>
  <c r="B575" i="5"/>
  <c r="C575" i="5"/>
  <c r="D575" i="5"/>
  <c r="A576" i="5"/>
  <c r="B576" i="5"/>
  <c r="C576" i="5"/>
  <c r="D576" i="5"/>
  <c r="A577" i="5"/>
  <c r="B577" i="5"/>
  <c r="C577" i="5"/>
  <c r="D577" i="5"/>
  <c r="A578" i="5"/>
  <c r="B578" i="5"/>
  <c r="C578" i="5"/>
  <c r="D578" i="5"/>
  <c r="A579" i="5"/>
  <c r="B579" i="5"/>
  <c r="C579" i="5"/>
  <c r="D579" i="5"/>
  <c r="A580" i="5"/>
  <c r="B580" i="5"/>
  <c r="C580" i="5"/>
  <c r="D580" i="5"/>
  <c r="A581" i="5"/>
  <c r="B581" i="5"/>
  <c r="C581" i="5"/>
  <c r="D581" i="5"/>
  <c r="A582" i="5"/>
  <c r="B582" i="5"/>
  <c r="C582" i="5"/>
  <c r="D582" i="5"/>
  <c r="A583" i="5"/>
  <c r="B583" i="5"/>
  <c r="C583" i="5"/>
  <c r="D583" i="5"/>
  <c r="A584" i="5"/>
  <c r="B584" i="5"/>
  <c r="C584" i="5"/>
  <c r="D584" i="5"/>
  <c r="A585" i="5"/>
  <c r="B585" i="5"/>
  <c r="C585" i="5"/>
  <c r="D585" i="5"/>
  <c r="A586" i="5"/>
  <c r="B586" i="5"/>
  <c r="C586" i="5"/>
  <c r="D586" i="5"/>
  <c r="A587" i="5"/>
  <c r="B587" i="5"/>
  <c r="C587" i="5"/>
  <c r="D587" i="5"/>
  <c r="A588" i="5"/>
  <c r="B588" i="5"/>
  <c r="C588" i="5"/>
  <c r="D588" i="5"/>
  <c r="A589" i="5"/>
  <c r="B589" i="5"/>
  <c r="C589" i="5"/>
  <c r="D589" i="5"/>
  <c r="A590" i="5"/>
  <c r="B590" i="5"/>
  <c r="C590" i="5"/>
  <c r="D590" i="5"/>
  <c r="A591" i="5"/>
  <c r="B591" i="5"/>
  <c r="C591" i="5"/>
  <c r="D591" i="5"/>
  <c r="A592" i="5"/>
  <c r="B592" i="5"/>
  <c r="C592" i="5"/>
  <c r="D592" i="5"/>
  <c r="A593" i="5"/>
  <c r="B593" i="5"/>
  <c r="C593" i="5"/>
  <c r="D593" i="5"/>
  <c r="A594" i="5"/>
  <c r="B594" i="5"/>
  <c r="C594" i="5"/>
  <c r="D594" i="5"/>
  <c r="A595" i="5"/>
  <c r="B595" i="5"/>
  <c r="C595" i="5"/>
  <c r="D595" i="5"/>
  <c r="A596" i="5"/>
  <c r="B596" i="5"/>
  <c r="C596" i="5"/>
  <c r="D596" i="5"/>
  <c r="A597" i="5"/>
  <c r="B597" i="5"/>
  <c r="C597" i="5"/>
  <c r="D597" i="5"/>
  <c r="A598" i="5"/>
  <c r="B598" i="5"/>
  <c r="C598" i="5"/>
  <c r="D598" i="5"/>
  <c r="A599" i="5"/>
  <c r="B599" i="5"/>
  <c r="C599" i="5"/>
  <c r="D599" i="5"/>
  <c r="A600" i="5"/>
  <c r="B600" i="5"/>
  <c r="C600" i="5"/>
  <c r="D600" i="5"/>
  <c r="A601" i="5"/>
  <c r="B601" i="5"/>
  <c r="C601" i="5"/>
  <c r="D601" i="5"/>
  <c r="A602" i="5"/>
  <c r="B602" i="5"/>
  <c r="C602" i="5"/>
  <c r="D602" i="5"/>
  <c r="A603" i="5"/>
  <c r="B603" i="5"/>
  <c r="C603" i="5"/>
  <c r="D603" i="5"/>
  <c r="A604" i="5"/>
  <c r="B604" i="5"/>
  <c r="C604" i="5"/>
  <c r="D604" i="5"/>
  <c r="A605" i="5"/>
  <c r="B605" i="5"/>
  <c r="C605" i="5"/>
  <c r="D605" i="5"/>
  <c r="A606" i="5"/>
  <c r="B606" i="5"/>
  <c r="C606" i="5"/>
  <c r="D606" i="5"/>
  <c r="A607" i="5"/>
  <c r="B607" i="5"/>
  <c r="C607" i="5"/>
  <c r="D607" i="5"/>
  <c r="A608" i="5"/>
  <c r="B608" i="5"/>
  <c r="C608" i="5"/>
  <c r="D608" i="5"/>
  <c r="A609" i="5"/>
  <c r="B609" i="5"/>
  <c r="C609" i="5"/>
  <c r="D609" i="5"/>
  <c r="A610" i="5"/>
  <c r="B610" i="5"/>
  <c r="C610" i="5"/>
  <c r="D610" i="5"/>
  <c r="A611" i="5"/>
  <c r="B611" i="5"/>
  <c r="C611" i="5"/>
  <c r="D611" i="5"/>
  <c r="A612" i="5"/>
  <c r="B612" i="5"/>
  <c r="C612" i="5"/>
  <c r="D612" i="5"/>
  <c r="A613" i="5"/>
  <c r="B613" i="5"/>
  <c r="C613" i="5"/>
  <c r="D613" i="5"/>
  <c r="A614" i="5"/>
  <c r="B614" i="5"/>
  <c r="C614" i="5"/>
  <c r="D614" i="5"/>
  <c r="A615" i="5"/>
  <c r="B615" i="5"/>
  <c r="C615" i="5"/>
  <c r="D615" i="5"/>
  <c r="A616" i="5"/>
  <c r="B616" i="5"/>
  <c r="C616" i="5"/>
  <c r="D616" i="5"/>
  <c r="A617" i="5"/>
  <c r="B617" i="5"/>
  <c r="C617" i="5"/>
  <c r="D617" i="5"/>
  <c r="A618" i="5"/>
  <c r="B618" i="5"/>
  <c r="C618" i="5"/>
  <c r="D618" i="5"/>
  <c r="A619" i="5"/>
  <c r="B619" i="5"/>
  <c r="C619" i="5"/>
  <c r="D619" i="5"/>
  <c r="A620" i="5"/>
  <c r="B620" i="5"/>
  <c r="C620" i="5"/>
  <c r="D620" i="5"/>
  <c r="A621" i="5"/>
  <c r="B621" i="5"/>
  <c r="C621" i="5"/>
  <c r="D621" i="5"/>
  <c r="A622" i="5"/>
  <c r="B622" i="5"/>
  <c r="C622" i="5"/>
  <c r="D622" i="5"/>
  <c r="A623" i="5"/>
  <c r="B623" i="5"/>
  <c r="C623" i="5"/>
  <c r="D623" i="5"/>
  <c r="A624" i="5"/>
  <c r="B624" i="5"/>
  <c r="C624" i="5"/>
  <c r="D624" i="5"/>
  <c r="A625" i="5"/>
  <c r="B625" i="5"/>
  <c r="C625" i="5"/>
  <c r="D625" i="5"/>
  <c r="A626" i="5"/>
  <c r="B626" i="5"/>
  <c r="C626" i="5"/>
  <c r="D626" i="5"/>
  <c r="A627" i="5"/>
  <c r="B627" i="5"/>
  <c r="C627" i="5"/>
  <c r="D627" i="5"/>
  <c r="A628" i="5"/>
  <c r="B628" i="5"/>
  <c r="C628" i="5"/>
  <c r="D628" i="5"/>
  <c r="A629" i="5"/>
  <c r="B629" i="5"/>
  <c r="C629" i="5"/>
  <c r="D629" i="5"/>
  <c r="A630" i="5"/>
  <c r="B630" i="5"/>
  <c r="C630" i="5"/>
  <c r="D630" i="5"/>
  <c r="A631" i="5"/>
  <c r="B631" i="5"/>
  <c r="C631" i="5"/>
  <c r="D631" i="5"/>
  <c r="A632" i="5"/>
  <c r="B632" i="5"/>
  <c r="C632" i="5"/>
  <c r="D632" i="5"/>
  <c r="A633" i="5"/>
  <c r="B633" i="5"/>
  <c r="C633" i="5"/>
  <c r="D633" i="5"/>
  <c r="A634" i="5"/>
  <c r="B634" i="5"/>
  <c r="C634" i="5"/>
  <c r="D634" i="5"/>
  <c r="A635" i="5"/>
  <c r="B635" i="5"/>
  <c r="C635" i="5"/>
  <c r="D635" i="5"/>
  <c r="A636" i="5"/>
  <c r="B636" i="5"/>
  <c r="C636" i="5"/>
  <c r="D636" i="5"/>
  <c r="A637" i="5"/>
  <c r="B637" i="5"/>
  <c r="C637" i="5"/>
  <c r="D637" i="5"/>
  <c r="A638" i="5"/>
  <c r="B638" i="5"/>
  <c r="C638" i="5"/>
  <c r="D638" i="5"/>
  <c r="A639" i="5"/>
  <c r="B639" i="5"/>
  <c r="C639" i="5"/>
  <c r="D639" i="5"/>
  <c r="A640" i="5"/>
  <c r="B640" i="5"/>
  <c r="C640" i="5"/>
  <c r="D640" i="5"/>
  <c r="A641" i="5"/>
  <c r="B641" i="5"/>
  <c r="C641" i="5"/>
  <c r="D641" i="5"/>
  <c r="A642" i="5"/>
  <c r="B642" i="5"/>
  <c r="C642" i="5"/>
  <c r="D642" i="5"/>
  <c r="A643" i="5"/>
  <c r="B643" i="5"/>
  <c r="C643" i="5"/>
  <c r="D643" i="5"/>
  <c r="A644" i="5"/>
  <c r="B644" i="5"/>
  <c r="C644" i="5"/>
  <c r="D644" i="5"/>
  <c r="A645" i="5"/>
  <c r="B645" i="5"/>
  <c r="C645" i="5"/>
  <c r="D645" i="5"/>
  <c r="A646" i="5"/>
  <c r="B646" i="5"/>
  <c r="C646" i="5"/>
  <c r="D646" i="5"/>
  <c r="A647" i="5"/>
  <c r="B647" i="5"/>
  <c r="C647" i="5"/>
  <c r="D647" i="5"/>
  <c r="A648" i="5"/>
  <c r="B648" i="5"/>
  <c r="C648" i="5"/>
  <c r="D648" i="5"/>
  <c r="A649" i="5"/>
  <c r="B649" i="5"/>
  <c r="C649" i="5"/>
  <c r="D649" i="5"/>
  <c r="A650" i="5"/>
  <c r="B650" i="5"/>
  <c r="C650" i="5"/>
  <c r="D650" i="5"/>
  <c r="A651" i="5"/>
  <c r="B651" i="5"/>
  <c r="C651" i="5"/>
  <c r="D651" i="5"/>
  <c r="A652" i="5"/>
  <c r="B652" i="5"/>
  <c r="C652" i="5"/>
  <c r="D652" i="5"/>
  <c r="A653" i="5"/>
  <c r="B653" i="5"/>
  <c r="C653" i="5"/>
  <c r="D653" i="5"/>
  <c r="A654" i="5"/>
  <c r="B654" i="5"/>
  <c r="C654" i="5"/>
  <c r="D654" i="5"/>
  <c r="A655" i="5"/>
  <c r="B655" i="5"/>
  <c r="C655" i="5"/>
  <c r="D655" i="5"/>
  <c r="A656" i="5"/>
  <c r="B656" i="5"/>
  <c r="C656" i="5"/>
  <c r="D656" i="5"/>
  <c r="A657" i="5"/>
  <c r="B657" i="5"/>
  <c r="C657" i="5"/>
  <c r="D657" i="5"/>
  <c r="A658" i="5"/>
  <c r="B658" i="5"/>
  <c r="C658" i="5"/>
  <c r="D658" i="5"/>
  <c r="A659" i="5"/>
  <c r="B659" i="5"/>
  <c r="C659" i="5"/>
  <c r="D659" i="5"/>
  <c r="A660" i="5"/>
  <c r="B660" i="5"/>
  <c r="C660" i="5"/>
  <c r="D660" i="5"/>
  <c r="A661" i="5"/>
  <c r="B661" i="5"/>
  <c r="C661" i="5"/>
  <c r="D661" i="5"/>
  <c r="A662" i="5"/>
  <c r="B662" i="5"/>
  <c r="C662" i="5"/>
  <c r="D662" i="5"/>
  <c r="A663" i="5"/>
  <c r="B663" i="5"/>
  <c r="C663" i="5"/>
  <c r="D663" i="5"/>
  <c r="A664" i="5"/>
  <c r="B664" i="5"/>
  <c r="C664" i="5"/>
  <c r="D664" i="5"/>
  <c r="A665" i="5"/>
  <c r="B665" i="5"/>
  <c r="C665" i="5"/>
  <c r="D665" i="5"/>
  <c r="A666" i="5"/>
  <c r="B666" i="5"/>
  <c r="C666" i="5"/>
  <c r="D666" i="5"/>
  <c r="A667" i="5"/>
  <c r="B667" i="5"/>
  <c r="C667" i="5"/>
  <c r="D667" i="5"/>
  <c r="A668" i="5"/>
  <c r="B668" i="5"/>
  <c r="C668" i="5"/>
  <c r="D668" i="5"/>
  <c r="A669" i="5"/>
  <c r="B669" i="5"/>
  <c r="C669" i="5"/>
  <c r="D669" i="5"/>
  <c r="A670" i="5"/>
  <c r="B670" i="5"/>
  <c r="C670" i="5"/>
  <c r="D670" i="5"/>
  <c r="A671" i="5"/>
  <c r="B671" i="5"/>
  <c r="C671" i="5"/>
  <c r="D671" i="5"/>
  <c r="A672" i="5"/>
  <c r="B672" i="5"/>
  <c r="C672" i="5"/>
  <c r="D672" i="5"/>
  <c r="A673" i="5"/>
  <c r="B673" i="5"/>
  <c r="C673" i="5"/>
  <c r="D673" i="5"/>
  <c r="A674" i="5"/>
  <c r="B674" i="5"/>
  <c r="C674" i="5"/>
  <c r="D674" i="5"/>
  <c r="A675" i="5"/>
  <c r="B675" i="5"/>
  <c r="C675" i="5"/>
  <c r="D675" i="5"/>
  <c r="A676" i="5"/>
  <c r="B676" i="5"/>
  <c r="C676" i="5"/>
  <c r="D676" i="5"/>
  <c r="A677" i="5"/>
  <c r="B677" i="5"/>
  <c r="C677" i="5"/>
  <c r="D677" i="5"/>
  <c r="A678" i="5"/>
  <c r="B678" i="5"/>
  <c r="C678" i="5"/>
  <c r="D678" i="5"/>
  <c r="A679" i="5"/>
  <c r="B679" i="5"/>
  <c r="C679" i="5"/>
  <c r="D679" i="5"/>
  <c r="A680" i="5"/>
  <c r="B680" i="5"/>
  <c r="C680" i="5"/>
  <c r="D680" i="5"/>
  <c r="A681" i="5"/>
  <c r="B681" i="5"/>
  <c r="C681" i="5"/>
  <c r="D681" i="5"/>
  <c r="A682" i="5"/>
  <c r="B682" i="5"/>
  <c r="C682" i="5"/>
  <c r="D682" i="5"/>
  <c r="A683" i="5"/>
  <c r="B683" i="5"/>
  <c r="C683" i="5"/>
  <c r="D683" i="5"/>
  <c r="A684" i="5"/>
  <c r="B684" i="5"/>
  <c r="C684" i="5"/>
  <c r="D684" i="5"/>
  <c r="A685" i="5"/>
  <c r="B685" i="5"/>
  <c r="C685" i="5"/>
  <c r="D685" i="5"/>
  <c r="A686" i="5"/>
  <c r="B686" i="5"/>
  <c r="C686" i="5"/>
  <c r="D686" i="5"/>
  <c r="A687" i="5"/>
  <c r="B687" i="5"/>
  <c r="C687" i="5"/>
  <c r="D687" i="5"/>
  <c r="A688" i="5"/>
  <c r="B688" i="5"/>
  <c r="C688" i="5"/>
  <c r="D688" i="5"/>
  <c r="A689" i="5"/>
  <c r="B689" i="5"/>
  <c r="C689" i="5"/>
  <c r="D689" i="5"/>
  <c r="A690" i="5"/>
  <c r="B690" i="5"/>
  <c r="C690" i="5"/>
  <c r="D690" i="5"/>
  <c r="A691" i="5"/>
  <c r="B691" i="5"/>
  <c r="C691" i="5"/>
  <c r="D691" i="5"/>
  <c r="A692" i="5"/>
  <c r="B692" i="5"/>
  <c r="C692" i="5"/>
  <c r="D692" i="5"/>
  <c r="A693" i="5"/>
  <c r="B693" i="5"/>
  <c r="C693" i="5"/>
  <c r="D693" i="5"/>
  <c r="A694" i="5"/>
  <c r="B694" i="5"/>
  <c r="C694" i="5"/>
  <c r="D694" i="5"/>
  <c r="A695" i="5"/>
  <c r="B695" i="5"/>
  <c r="C695" i="5"/>
  <c r="D695" i="5"/>
  <c r="A696" i="5"/>
  <c r="B696" i="5"/>
  <c r="C696" i="5"/>
  <c r="D696" i="5"/>
  <c r="A697" i="5"/>
  <c r="B697" i="5"/>
  <c r="C697" i="5"/>
  <c r="D697" i="5"/>
  <c r="A698" i="5"/>
  <c r="B698" i="5"/>
  <c r="C698" i="5"/>
  <c r="D698" i="5"/>
  <c r="A699" i="5"/>
  <c r="B699" i="5"/>
  <c r="C699" i="5"/>
  <c r="D699" i="5"/>
  <c r="A700" i="5"/>
  <c r="B700" i="5"/>
  <c r="C700" i="5"/>
  <c r="D700" i="5"/>
  <c r="A701" i="5"/>
  <c r="B701" i="5"/>
  <c r="C701" i="5"/>
  <c r="D701" i="5"/>
  <c r="A702" i="5"/>
  <c r="B702" i="5"/>
  <c r="C702" i="5"/>
  <c r="D702" i="5"/>
  <c r="A703" i="5"/>
  <c r="B703" i="5"/>
  <c r="C703" i="5"/>
  <c r="D703" i="5"/>
  <c r="A704" i="5"/>
  <c r="B704" i="5"/>
  <c r="C704" i="5"/>
  <c r="D704" i="5"/>
  <c r="A705" i="5"/>
  <c r="B705" i="5"/>
  <c r="C705" i="5"/>
  <c r="D705" i="5"/>
  <c r="A706" i="5"/>
  <c r="B706" i="5"/>
  <c r="C706" i="5"/>
  <c r="D706" i="5"/>
  <c r="A707" i="5"/>
  <c r="B707" i="5"/>
  <c r="C707" i="5"/>
  <c r="D707" i="5"/>
  <c r="A708" i="5"/>
  <c r="B708" i="5"/>
  <c r="C708" i="5"/>
  <c r="D708" i="5"/>
  <c r="A709" i="5"/>
  <c r="B709" i="5"/>
  <c r="C709" i="5"/>
  <c r="D709" i="5"/>
  <c r="A710" i="5"/>
  <c r="B710" i="5"/>
  <c r="C710" i="5"/>
  <c r="D710" i="5"/>
  <c r="A711" i="5"/>
  <c r="B711" i="5"/>
  <c r="C711" i="5"/>
  <c r="D711" i="5"/>
  <c r="A712" i="5"/>
  <c r="B712" i="5"/>
  <c r="C712" i="5"/>
  <c r="D712" i="5"/>
  <c r="A713" i="5"/>
  <c r="B713" i="5"/>
  <c r="C713" i="5"/>
  <c r="D713" i="5"/>
  <c r="A714" i="5"/>
  <c r="B714" i="5"/>
  <c r="C714" i="5"/>
  <c r="D714" i="5"/>
  <c r="A715" i="5"/>
  <c r="B715" i="5"/>
  <c r="C715" i="5"/>
  <c r="D715" i="5"/>
  <c r="A716" i="5"/>
  <c r="B716" i="5"/>
  <c r="C716" i="5"/>
  <c r="D716" i="5"/>
  <c r="A717" i="5"/>
  <c r="B717" i="5"/>
  <c r="C717" i="5"/>
  <c r="D717" i="5"/>
  <c r="A718" i="5"/>
  <c r="B718" i="5"/>
  <c r="C718" i="5"/>
  <c r="D718" i="5"/>
  <c r="A719" i="5"/>
  <c r="B719" i="5"/>
  <c r="C719" i="5"/>
  <c r="D719" i="5"/>
  <c r="A720" i="5"/>
  <c r="B720" i="5"/>
  <c r="C720" i="5"/>
  <c r="D720" i="5"/>
  <c r="A721" i="5"/>
  <c r="B721" i="5"/>
  <c r="C721" i="5"/>
  <c r="D721" i="5"/>
  <c r="A722" i="5"/>
  <c r="B722" i="5"/>
  <c r="C722" i="5"/>
  <c r="D722" i="5"/>
  <c r="A723" i="5"/>
  <c r="B723" i="5"/>
  <c r="C723" i="5"/>
  <c r="D723" i="5"/>
  <c r="A724" i="5"/>
  <c r="B724" i="5"/>
  <c r="C724" i="5"/>
  <c r="D724" i="5"/>
  <c r="A725" i="5"/>
  <c r="B725" i="5"/>
  <c r="C725" i="5"/>
  <c r="D725" i="5"/>
  <c r="A726" i="5"/>
  <c r="B726" i="5"/>
  <c r="C726" i="5"/>
  <c r="D726" i="5"/>
  <c r="A727" i="5"/>
  <c r="B727" i="5"/>
  <c r="C727" i="5"/>
  <c r="D727" i="5"/>
  <c r="A728" i="5"/>
  <c r="B728" i="5"/>
  <c r="C728" i="5"/>
  <c r="D728" i="5"/>
  <c r="A729" i="5"/>
  <c r="B729" i="5"/>
  <c r="C729" i="5"/>
  <c r="D729" i="5"/>
  <c r="A730" i="5"/>
  <c r="B730" i="5"/>
  <c r="C730" i="5"/>
  <c r="D730" i="5"/>
  <c r="A731" i="5"/>
  <c r="B731" i="5"/>
  <c r="C731" i="5"/>
  <c r="D731" i="5"/>
  <c r="A732" i="5"/>
  <c r="B732" i="5"/>
  <c r="C732" i="5"/>
  <c r="D732" i="5"/>
  <c r="A733" i="5"/>
  <c r="B733" i="5"/>
  <c r="C733" i="5"/>
  <c r="D733" i="5"/>
  <c r="A734" i="5"/>
  <c r="B734" i="5"/>
  <c r="C734" i="5"/>
  <c r="D734" i="5"/>
  <c r="A735" i="5"/>
  <c r="B735" i="5"/>
  <c r="C735" i="5"/>
  <c r="D735" i="5"/>
  <c r="A736" i="5"/>
  <c r="B736" i="5"/>
  <c r="C736" i="5"/>
  <c r="D736" i="5"/>
  <c r="A737" i="5"/>
  <c r="B737" i="5"/>
  <c r="C737" i="5"/>
  <c r="D737" i="5"/>
  <c r="A738" i="5"/>
  <c r="B738" i="5"/>
  <c r="C738" i="5"/>
  <c r="D738" i="5"/>
  <c r="A739" i="5"/>
  <c r="B739" i="5"/>
  <c r="C739" i="5"/>
  <c r="D739" i="5"/>
  <c r="A740" i="5"/>
  <c r="B740" i="5"/>
  <c r="C740" i="5"/>
  <c r="D740" i="5"/>
  <c r="A741" i="5"/>
  <c r="B741" i="5"/>
  <c r="C741" i="5"/>
  <c r="D741" i="5"/>
  <c r="A742" i="5"/>
  <c r="B742" i="5"/>
  <c r="C742" i="5"/>
  <c r="D742" i="5"/>
  <c r="A743" i="5"/>
  <c r="B743" i="5"/>
  <c r="C743" i="5"/>
  <c r="D743" i="5"/>
  <c r="A744" i="5"/>
  <c r="B744" i="5"/>
  <c r="C744" i="5"/>
  <c r="D744" i="5"/>
  <c r="A745" i="5"/>
  <c r="B745" i="5"/>
  <c r="C745" i="5"/>
  <c r="D745" i="5"/>
  <c r="A746" i="5"/>
  <c r="B746" i="5"/>
  <c r="C746" i="5"/>
  <c r="D746" i="5"/>
  <c r="A747" i="5"/>
  <c r="B747" i="5"/>
  <c r="C747" i="5"/>
  <c r="D747" i="5"/>
  <c r="A748" i="5"/>
  <c r="B748" i="5"/>
  <c r="C748" i="5"/>
  <c r="D748" i="5"/>
  <c r="A749" i="5"/>
  <c r="B749" i="5"/>
  <c r="C749" i="5"/>
  <c r="D749" i="5"/>
  <c r="A750" i="5"/>
  <c r="B750" i="5"/>
  <c r="C750" i="5"/>
  <c r="D750" i="5"/>
  <c r="A751" i="5"/>
  <c r="B751" i="5"/>
  <c r="C751" i="5"/>
  <c r="D751" i="5"/>
  <c r="A752" i="5"/>
  <c r="B752" i="5"/>
  <c r="C752" i="5"/>
  <c r="D752" i="5"/>
  <c r="A753" i="5"/>
  <c r="B753" i="5"/>
  <c r="C753" i="5"/>
  <c r="D753" i="5"/>
  <c r="A754" i="5"/>
  <c r="B754" i="5"/>
  <c r="C754" i="5"/>
  <c r="D754" i="5"/>
  <c r="A755" i="5"/>
  <c r="B755" i="5"/>
  <c r="C755" i="5"/>
  <c r="D755" i="5"/>
  <c r="A756" i="5"/>
  <c r="B756" i="5"/>
  <c r="C756" i="5"/>
  <c r="D756" i="5"/>
  <c r="A757" i="5"/>
  <c r="B757" i="5"/>
  <c r="C757" i="5"/>
  <c r="D757" i="5"/>
  <c r="A758" i="5"/>
  <c r="B758" i="5"/>
  <c r="C758" i="5"/>
  <c r="D758" i="5"/>
  <c r="A759" i="5"/>
  <c r="B759" i="5"/>
  <c r="C759" i="5"/>
  <c r="D759" i="5"/>
  <c r="A760" i="5"/>
  <c r="B760" i="5"/>
  <c r="C760" i="5"/>
  <c r="D760" i="5"/>
  <c r="A761" i="5"/>
  <c r="B761" i="5"/>
  <c r="C761" i="5"/>
  <c r="D761" i="5"/>
  <c r="A762" i="5"/>
  <c r="B762" i="5"/>
  <c r="C762" i="5"/>
  <c r="D762" i="5"/>
  <c r="A763" i="5"/>
  <c r="B763" i="5"/>
  <c r="C763" i="5"/>
  <c r="D763" i="5"/>
  <c r="A764" i="5"/>
  <c r="B764" i="5"/>
  <c r="C764" i="5"/>
  <c r="D764" i="5"/>
  <c r="A765" i="5"/>
  <c r="B765" i="5"/>
  <c r="C765" i="5"/>
  <c r="D765" i="5"/>
  <c r="A766" i="5"/>
  <c r="B766" i="5"/>
  <c r="C766" i="5"/>
  <c r="D766" i="5"/>
  <c r="A767" i="5"/>
  <c r="B767" i="5"/>
  <c r="C767" i="5"/>
  <c r="D767" i="5"/>
  <c r="A768" i="5"/>
  <c r="B768" i="5"/>
  <c r="C768" i="5"/>
  <c r="D768" i="5"/>
  <c r="A769" i="5"/>
  <c r="B769" i="5"/>
  <c r="C769" i="5"/>
  <c r="D769" i="5"/>
  <c r="A770" i="5"/>
  <c r="B770" i="5"/>
  <c r="C770" i="5"/>
  <c r="D770" i="5"/>
  <c r="A771" i="5"/>
  <c r="B771" i="5"/>
  <c r="C771" i="5"/>
  <c r="D771" i="5"/>
  <c r="A772" i="5"/>
  <c r="B772" i="5"/>
  <c r="C772" i="5"/>
  <c r="D772" i="5"/>
  <c r="A773" i="5"/>
  <c r="B773" i="5"/>
  <c r="C773" i="5"/>
  <c r="D773" i="5"/>
  <c r="A774" i="5"/>
  <c r="B774" i="5"/>
  <c r="C774" i="5"/>
  <c r="D774" i="5"/>
  <c r="A775" i="5"/>
  <c r="B775" i="5"/>
  <c r="C775" i="5"/>
  <c r="D775" i="5"/>
  <c r="A776" i="5"/>
  <c r="B776" i="5"/>
  <c r="C776" i="5"/>
  <c r="D776" i="5"/>
  <c r="A777" i="5"/>
  <c r="B777" i="5"/>
  <c r="C777" i="5"/>
  <c r="D777" i="5"/>
  <c r="A778" i="5"/>
  <c r="B778" i="5"/>
  <c r="C778" i="5"/>
  <c r="D778" i="5"/>
  <c r="A779" i="5"/>
  <c r="B779" i="5"/>
  <c r="C779" i="5"/>
  <c r="D779" i="5"/>
  <c r="A780" i="5"/>
  <c r="B780" i="5"/>
  <c r="C780" i="5"/>
  <c r="D780" i="5"/>
  <c r="A781" i="5"/>
  <c r="B781" i="5"/>
  <c r="C781" i="5"/>
  <c r="D781" i="5"/>
  <c r="A782" i="5"/>
  <c r="B782" i="5"/>
  <c r="C782" i="5"/>
  <c r="D782" i="5"/>
  <c r="A783" i="5"/>
  <c r="B783" i="5"/>
  <c r="C783" i="5"/>
  <c r="D783" i="5"/>
  <c r="A784" i="5"/>
  <c r="B784" i="5"/>
  <c r="C784" i="5"/>
  <c r="D784" i="5"/>
  <c r="A785" i="5"/>
  <c r="B785" i="5"/>
  <c r="C785" i="5"/>
  <c r="D785" i="5"/>
  <c r="A786" i="5"/>
  <c r="B786" i="5"/>
  <c r="C786" i="5"/>
  <c r="D786" i="5"/>
  <c r="A787" i="5"/>
  <c r="B787" i="5"/>
  <c r="C787" i="5"/>
  <c r="D787" i="5"/>
  <c r="A788" i="5"/>
  <c r="B788" i="5"/>
  <c r="C788" i="5"/>
  <c r="D788" i="5"/>
  <c r="A789" i="5"/>
  <c r="B789" i="5"/>
  <c r="C789" i="5"/>
  <c r="D789" i="5"/>
  <c r="A790" i="5"/>
  <c r="B790" i="5"/>
  <c r="C790" i="5"/>
  <c r="D790" i="5"/>
  <c r="A791" i="5"/>
  <c r="B791" i="5"/>
  <c r="C791" i="5"/>
  <c r="D791" i="5"/>
  <c r="A792" i="5"/>
  <c r="B792" i="5"/>
  <c r="C792" i="5"/>
  <c r="D792" i="5"/>
  <c r="A793" i="5"/>
  <c r="B793" i="5"/>
  <c r="C793" i="5"/>
  <c r="D793" i="5"/>
  <c r="A794" i="5"/>
  <c r="B794" i="5"/>
  <c r="C794" i="5"/>
  <c r="D794" i="5"/>
  <c r="A795" i="5"/>
  <c r="B795" i="5"/>
  <c r="C795" i="5"/>
  <c r="D795" i="5"/>
  <c r="A796" i="5"/>
  <c r="B796" i="5"/>
  <c r="C796" i="5"/>
  <c r="D796" i="5"/>
  <c r="A797" i="5"/>
  <c r="B797" i="5"/>
  <c r="C797" i="5"/>
  <c r="D797" i="5"/>
  <c r="A798" i="5"/>
  <c r="B798" i="5"/>
  <c r="C798" i="5"/>
  <c r="D798" i="5"/>
  <c r="A799" i="5"/>
  <c r="B799" i="5"/>
  <c r="C799" i="5"/>
  <c r="D799" i="5"/>
  <c r="A800" i="5"/>
  <c r="B800" i="5"/>
  <c r="C800" i="5"/>
  <c r="D800" i="5"/>
  <c r="A801" i="5"/>
  <c r="B801" i="5"/>
  <c r="C801" i="5"/>
  <c r="D801" i="5"/>
  <c r="A802" i="5"/>
  <c r="B802" i="5"/>
  <c r="C802" i="5"/>
  <c r="D802" i="5"/>
  <c r="A803" i="5"/>
  <c r="B803" i="5"/>
  <c r="C803" i="5"/>
  <c r="D803" i="5"/>
  <c r="A804" i="5"/>
  <c r="B804" i="5"/>
  <c r="C804" i="5"/>
  <c r="D804" i="5"/>
  <c r="A805" i="5"/>
  <c r="B805" i="5"/>
  <c r="C805" i="5"/>
  <c r="D805" i="5"/>
  <c r="A806" i="5"/>
  <c r="B806" i="5"/>
  <c r="C806" i="5"/>
  <c r="D806" i="5"/>
  <c r="A807" i="5"/>
  <c r="B807" i="5"/>
  <c r="C807" i="5"/>
  <c r="D807" i="5"/>
  <c r="A808" i="5"/>
  <c r="B808" i="5"/>
  <c r="C808" i="5"/>
  <c r="D808" i="5"/>
  <c r="A809" i="5"/>
  <c r="B809" i="5"/>
  <c r="C809" i="5"/>
  <c r="D809" i="5"/>
  <c r="A810" i="5"/>
  <c r="B810" i="5"/>
  <c r="C810" i="5"/>
  <c r="D810" i="5"/>
  <c r="A811" i="5"/>
  <c r="B811" i="5"/>
  <c r="C811" i="5"/>
  <c r="D811" i="5"/>
  <c r="A812" i="5"/>
  <c r="B812" i="5"/>
  <c r="C812" i="5"/>
  <c r="D812" i="5"/>
  <c r="A813" i="5"/>
  <c r="B813" i="5"/>
  <c r="C813" i="5"/>
  <c r="D813" i="5"/>
  <c r="A814" i="5"/>
  <c r="B814" i="5"/>
  <c r="C814" i="5"/>
  <c r="D814" i="5"/>
  <c r="A815" i="5"/>
  <c r="B815" i="5"/>
  <c r="C815" i="5"/>
  <c r="D815" i="5"/>
  <c r="A816" i="5"/>
  <c r="B816" i="5"/>
  <c r="C816" i="5"/>
  <c r="D816" i="5"/>
  <c r="A817" i="5"/>
  <c r="B817" i="5"/>
  <c r="C817" i="5"/>
  <c r="D817" i="5"/>
  <c r="A818" i="5"/>
  <c r="B818" i="5"/>
  <c r="C818" i="5"/>
  <c r="D818" i="5"/>
  <c r="A819" i="5"/>
  <c r="B819" i="5"/>
  <c r="C819" i="5"/>
  <c r="D819" i="5"/>
  <c r="A820" i="5"/>
  <c r="B820" i="5"/>
  <c r="C820" i="5"/>
  <c r="D820" i="5"/>
  <c r="A821" i="5"/>
  <c r="B821" i="5"/>
  <c r="C821" i="5"/>
  <c r="D821" i="5"/>
  <c r="A822" i="5"/>
  <c r="B822" i="5"/>
  <c r="C822" i="5"/>
  <c r="D822" i="5"/>
  <c r="A823" i="5"/>
  <c r="B823" i="5"/>
  <c r="C823" i="5"/>
  <c r="D823" i="5"/>
  <c r="A824" i="5"/>
  <c r="B824" i="5"/>
  <c r="C824" i="5"/>
  <c r="D824" i="5"/>
  <c r="A825" i="5"/>
  <c r="B825" i="5"/>
  <c r="C825" i="5"/>
  <c r="D825" i="5"/>
  <c r="A826" i="5"/>
  <c r="B826" i="5"/>
  <c r="C826" i="5"/>
  <c r="D826" i="5"/>
  <c r="A827" i="5"/>
  <c r="B827" i="5"/>
  <c r="C827" i="5"/>
  <c r="D827" i="5"/>
  <c r="A828" i="5"/>
  <c r="B828" i="5"/>
  <c r="C828" i="5"/>
  <c r="D828" i="5"/>
  <c r="A829" i="5"/>
  <c r="B829" i="5"/>
  <c r="C829" i="5"/>
  <c r="D829" i="5"/>
  <c r="A830" i="5"/>
  <c r="B830" i="5"/>
  <c r="C830" i="5"/>
  <c r="D830" i="5"/>
  <c r="A831" i="5"/>
  <c r="B831" i="5"/>
  <c r="C831" i="5"/>
  <c r="D831" i="5"/>
  <c r="A832" i="5"/>
  <c r="B832" i="5"/>
  <c r="C832" i="5"/>
  <c r="D832" i="5"/>
  <c r="A833" i="5"/>
  <c r="B833" i="5"/>
  <c r="C833" i="5"/>
  <c r="D833" i="5"/>
  <c r="A834" i="5"/>
  <c r="B834" i="5"/>
  <c r="C834" i="5"/>
  <c r="D834" i="5"/>
  <c r="A835" i="5"/>
  <c r="B835" i="5"/>
  <c r="C835" i="5"/>
  <c r="D835" i="5"/>
  <c r="A836" i="5"/>
  <c r="B836" i="5"/>
  <c r="C836" i="5"/>
  <c r="D836" i="5"/>
  <c r="A837" i="5"/>
  <c r="B837" i="5"/>
  <c r="C837" i="5"/>
  <c r="D837" i="5"/>
  <c r="A838" i="5"/>
  <c r="B838" i="5"/>
  <c r="C838" i="5"/>
  <c r="D838" i="5"/>
  <c r="A839" i="5"/>
  <c r="B839" i="5"/>
  <c r="C839" i="5"/>
  <c r="D839" i="5"/>
  <c r="A840" i="5"/>
  <c r="B840" i="5"/>
  <c r="C840" i="5"/>
  <c r="D840" i="5"/>
  <c r="A841" i="5"/>
  <c r="B841" i="5"/>
  <c r="C841" i="5"/>
  <c r="D841" i="5"/>
  <c r="A842" i="5"/>
  <c r="B842" i="5"/>
  <c r="C842" i="5"/>
  <c r="D842" i="5"/>
  <c r="A843" i="5"/>
  <c r="B843" i="5"/>
  <c r="C843" i="5"/>
  <c r="D843" i="5"/>
  <c r="A844" i="5"/>
  <c r="B844" i="5"/>
  <c r="C844" i="5"/>
  <c r="D844" i="5"/>
  <c r="A845" i="5"/>
  <c r="B845" i="5"/>
  <c r="C845" i="5"/>
  <c r="D845" i="5"/>
  <c r="A846" i="5"/>
  <c r="B846" i="5"/>
  <c r="C846" i="5"/>
  <c r="D846" i="5"/>
  <c r="A847" i="5"/>
  <c r="B847" i="5"/>
  <c r="C847" i="5"/>
  <c r="D847" i="5"/>
  <c r="A848" i="5"/>
  <c r="B848" i="5"/>
  <c r="C848" i="5"/>
  <c r="D848" i="5"/>
  <c r="A849" i="5"/>
  <c r="B849" i="5"/>
  <c r="C849" i="5"/>
  <c r="D849" i="5"/>
  <c r="A850" i="5"/>
  <c r="B850" i="5"/>
  <c r="C850" i="5"/>
  <c r="D850" i="5"/>
  <c r="A851" i="5"/>
  <c r="B851" i="5"/>
  <c r="C851" i="5"/>
  <c r="D851" i="5"/>
  <c r="A852" i="5"/>
  <c r="B852" i="5"/>
  <c r="C852" i="5"/>
  <c r="D852" i="5"/>
  <c r="A853" i="5"/>
  <c r="B853" i="5"/>
  <c r="C853" i="5"/>
  <c r="D853" i="5"/>
  <c r="A854" i="5"/>
  <c r="B854" i="5"/>
  <c r="C854" i="5"/>
  <c r="D854" i="5"/>
  <c r="A855" i="5"/>
  <c r="B855" i="5"/>
  <c r="C855" i="5"/>
  <c r="D855" i="5"/>
  <c r="A856" i="5"/>
  <c r="B856" i="5"/>
  <c r="C856" i="5"/>
  <c r="D856" i="5"/>
  <c r="A857" i="5"/>
  <c r="B857" i="5"/>
  <c r="C857" i="5"/>
  <c r="D857" i="5"/>
  <c r="A858" i="5"/>
  <c r="B858" i="5"/>
  <c r="C858" i="5"/>
  <c r="D858" i="5"/>
  <c r="A859" i="5"/>
  <c r="B859" i="5"/>
  <c r="C859" i="5"/>
  <c r="D859" i="5"/>
  <c r="A860" i="5"/>
  <c r="B860" i="5"/>
  <c r="C860" i="5"/>
  <c r="D860" i="5"/>
  <c r="A861" i="5"/>
  <c r="B861" i="5"/>
  <c r="C861" i="5"/>
  <c r="D861" i="5"/>
  <c r="A862" i="5"/>
  <c r="B862" i="5"/>
  <c r="C862" i="5"/>
  <c r="D862" i="5"/>
  <c r="A863" i="5"/>
  <c r="B863" i="5"/>
  <c r="C863" i="5"/>
  <c r="D863" i="5"/>
  <c r="A864" i="5"/>
  <c r="B864" i="5"/>
  <c r="C864" i="5"/>
  <c r="D864" i="5"/>
  <c r="A865" i="5"/>
  <c r="B865" i="5"/>
  <c r="C865" i="5"/>
  <c r="D865" i="5"/>
  <c r="A866" i="5"/>
  <c r="B866" i="5"/>
  <c r="C866" i="5"/>
  <c r="D866" i="5"/>
  <c r="A867" i="5"/>
  <c r="B867" i="5"/>
  <c r="C867" i="5"/>
  <c r="D867" i="5"/>
  <c r="A868" i="5"/>
  <c r="B868" i="5"/>
  <c r="C868" i="5"/>
  <c r="D868" i="5"/>
  <c r="A869" i="5"/>
  <c r="B869" i="5"/>
  <c r="C869" i="5"/>
  <c r="D869" i="5"/>
  <c r="A870" i="5"/>
  <c r="B870" i="5"/>
  <c r="C870" i="5"/>
  <c r="D870" i="5"/>
  <c r="A871" i="5"/>
  <c r="B871" i="5"/>
  <c r="C871" i="5"/>
  <c r="D871" i="5"/>
  <c r="A872" i="5"/>
  <c r="B872" i="5"/>
  <c r="C872" i="5"/>
  <c r="D872" i="5"/>
  <c r="A873" i="5"/>
  <c r="B873" i="5"/>
  <c r="C873" i="5"/>
  <c r="D873" i="5"/>
  <c r="A874" i="5"/>
  <c r="B874" i="5"/>
  <c r="C874" i="5"/>
  <c r="D874" i="5"/>
  <c r="A875" i="5"/>
  <c r="B875" i="5"/>
  <c r="C875" i="5"/>
  <c r="D875" i="5"/>
  <c r="A876" i="5"/>
  <c r="B876" i="5"/>
  <c r="C876" i="5"/>
  <c r="D876" i="5"/>
  <c r="A877" i="5"/>
  <c r="B877" i="5"/>
  <c r="C877" i="5"/>
  <c r="D877" i="5"/>
  <c r="A878" i="5"/>
  <c r="B878" i="5"/>
  <c r="C878" i="5"/>
  <c r="D878" i="5"/>
  <c r="A879" i="5"/>
  <c r="B879" i="5"/>
  <c r="C879" i="5"/>
  <c r="D879" i="5"/>
  <c r="A880" i="5"/>
  <c r="B880" i="5"/>
  <c r="C880" i="5"/>
  <c r="D880" i="5"/>
  <c r="A881" i="5"/>
  <c r="B881" i="5"/>
  <c r="C881" i="5"/>
  <c r="D881" i="5"/>
  <c r="A882" i="5"/>
  <c r="B882" i="5"/>
  <c r="C882" i="5"/>
  <c r="D882" i="5"/>
  <c r="A883" i="5"/>
  <c r="B883" i="5"/>
  <c r="C883" i="5"/>
  <c r="D883" i="5"/>
  <c r="A884" i="5"/>
  <c r="B884" i="5"/>
  <c r="C884" i="5"/>
  <c r="D884" i="5"/>
  <c r="A885" i="5"/>
  <c r="B885" i="5"/>
  <c r="C885" i="5"/>
  <c r="D885" i="5"/>
  <c r="A886" i="5"/>
  <c r="B886" i="5"/>
  <c r="C886" i="5"/>
  <c r="D886" i="5"/>
  <c r="A887" i="5"/>
  <c r="B887" i="5"/>
  <c r="C887" i="5"/>
  <c r="D887" i="5"/>
  <c r="A888" i="5"/>
  <c r="B888" i="5"/>
  <c r="C888" i="5"/>
  <c r="D888" i="5"/>
  <c r="A889" i="5"/>
  <c r="B889" i="5"/>
  <c r="C889" i="5"/>
  <c r="D889" i="5"/>
  <c r="A890" i="5"/>
  <c r="B890" i="5"/>
  <c r="C890" i="5"/>
  <c r="D890" i="5"/>
  <c r="A891" i="5"/>
  <c r="B891" i="5"/>
  <c r="C891" i="5"/>
  <c r="D891" i="5"/>
  <c r="A892" i="5"/>
  <c r="B892" i="5"/>
  <c r="C892" i="5"/>
  <c r="D892" i="5"/>
  <c r="A893" i="5"/>
  <c r="B893" i="5"/>
  <c r="C893" i="5"/>
  <c r="D893" i="5"/>
  <c r="A894" i="5"/>
  <c r="B894" i="5"/>
  <c r="C894" i="5"/>
  <c r="D894" i="5"/>
  <c r="A895" i="5"/>
  <c r="B895" i="5"/>
  <c r="C895" i="5"/>
  <c r="D895" i="5"/>
  <c r="A896" i="5"/>
  <c r="B896" i="5"/>
  <c r="C896" i="5"/>
  <c r="D896" i="5"/>
  <c r="A897" i="5"/>
  <c r="B897" i="5"/>
  <c r="C897" i="5"/>
  <c r="D897" i="5"/>
  <c r="A898" i="5"/>
  <c r="B898" i="5"/>
  <c r="C898" i="5"/>
  <c r="D898" i="5"/>
  <c r="A899" i="5"/>
  <c r="B899" i="5"/>
  <c r="C899" i="5"/>
  <c r="D899" i="5"/>
  <c r="A900" i="5"/>
  <c r="B900" i="5"/>
  <c r="C900" i="5"/>
  <c r="D900" i="5"/>
  <c r="A901" i="5"/>
  <c r="B901" i="5"/>
  <c r="C901" i="5"/>
  <c r="D901" i="5"/>
  <c r="A902" i="5"/>
  <c r="B902" i="5"/>
  <c r="C902" i="5"/>
  <c r="D902" i="5"/>
  <c r="A903" i="5"/>
  <c r="B903" i="5"/>
  <c r="C903" i="5"/>
  <c r="D903" i="5"/>
  <c r="A904" i="5"/>
  <c r="B904" i="5"/>
  <c r="C904" i="5"/>
  <c r="D904" i="5"/>
  <c r="A905" i="5"/>
  <c r="B905" i="5"/>
  <c r="C905" i="5"/>
  <c r="D905" i="5"/>
  <c r="A906" i="5"/>
  <c r="B906" i="5"/>
  <c r="C906" i="5"/>
  <c r="D906" i="5"/>
  <c r="A907" i="5"/>
  <c r="B907" i="5"/>
  <c r="C907" i="5"/>
  <c r="D907" i="5"/>
  <c r="A908" i="5"/>
  <c r="B908" i="5"/>
  <c r="C908" i="5"/>
  <c r="D908" i="5"/>
  <c r="A909" i="5"/>
  <c r="B909" i="5"/>
  <c r="C909" i="5"/>
  <c r="D909" i="5"/>
  <c r="A910" i="5"/>
  <c r="B910" i="5"/>
  <c r="C910" i="5"/>
  <c r="D910" i="5"/>
  <c r="A911" i="5"/>
  <c r="B911" i="5"/>
  <c r="C911" i="5"/>
  <c r="D911" i="5"/>
  <c r="A912" i="5"/>
  <c r="B912" i="5"/>
  <c r="C912" i="5"/>
  <c r="D912" i="5"/>
  <c r="A913" i="5"/>
  <c r="B913" i="5"/>
  <c r="C913" i="5"/>
  <c r="D913" i="5"/>
  <c r="A914" i="5"/>
  <c r="B914" i="5"/>
  <c r="C914" i="5"/>
  <c r="D914" i="5"/>
  <c r="A915" i="5"/>
  <c r="B915" i="5"/>
  <c r="C915" i="5"/>
  <c r="D915" i="5"/>
  <c r="A916" i="5"/>
  <c r="B916" i="5"/>
  <c r="C916" i="5"/>
  <c r="D916" i="5"/>
  <c r="A917" i="5"/>
  <c r="B917" i="5"/>
  <c r="C917" i="5"/>
  <c r="D917" i="5"/>
  <c r="A918" i="5"/>
  <c r="B918" i="5"/>
  <c r="C918" i="5"/>
  <c r="D918" i="5"/>
  <c r="A919" i="5"/>
  <c r="B919" i="5"/>
  <c r="C919" i="5"/>
  <c r="D919" i="5"/>
  <c r="A920" i="5"/>
  <c r="B920" i="5"/>
  <c r="C920" i="5"/>
  <c r="D920" i="5"/>
  <c r="A921" i="5"/>
  <c r="B921" i="5"/>
  <c r="C921" i="5"/>
  <c r="D921" i="5"/>
  <c r="A922" i="5"/>
  <c r="B922" i="5"/>
  <c r="C922" i="5"/>
  <c r="D922" i="5"/>
  <c r="A923" i="5"/>
  <c r="B923" i="5"/>
  <c r="C923" i="5"/>
  <c r="D923" i="5"/>
  <c r="A924" i="5"/>
  <c r="B924" i="5"/>
  <c r="C924" i="5"/>
  <c r="D924" i="5"/>
  <c r="A925" i="5"/>
  <c r="B925" i="5"/>
  <c r="C925" i="5"/>
  <c r="D925" i="5"/>
  <c r="A926" i="5"/>
  <c r="B926" i="5"/>
  <c r="C926" i="5"/>
  <c r="D926" i="5"/>
  <c r="A927" i="5"/>
  <c r="B927" i="5"/>
  <c r="C927" i="5"/>
  <c r="D927" i="5"/>
  <c r="A928" i="5"/>
  <c r="B928" i="5"/>
  <c r="C928" i="5"/>
  <c r="D928" i="5"/>
  <c r="A929" i="5"/>
  <c r="B929" i="5"/>
  <c r="C929" i="5"/>
  <c r="D929" i="5"/>
  <c r="A930" i="5"/>
  <c r="B930" i="5"/>
  <c r="C930" i="5"/>
  <c r="D930" i="5"/>
  <c r="A931" i="5"/>
  <c r="B931" i="5"/>
  <c r="C931" i="5"/>
  <c r="D931" i="5"/>
  <c r="A932" i="5"/>
  <c r="B932" i="5"/>
  <c r="C932" i="5"/>
  <c r="D932" i="5"/>
  <c r="A933" i="5"/>
  <c r="B933" i="5"/>
  <c r="C933" i="5"/>
  <c r="D933" i="5"/>
  <c r="A934" i="5"/>
  <c r="B934" i="5"/>
  <c r="C934" i="5"/>
  <c r="D934" i="5"/>
  <c r="A935" i="5"/>
  <c r="B935" i="5"/>
  <c r="C935" i="5"/>
  <c r="D935" i="5"/>
  <c r="A936" i="5"/>
  <c r="B936" i="5"/>
  <c r="C936" i="5"/>
  <c r="D936" i="5"/>
  <c r="A937" i="5"/>
  <c r="B937" i="5"/>
  <c r="C937" i="5"/>
  <c r="D937" i="5"/>
  <c r="A938" i="5"/>
  <c r="B938" i="5"/>
  <c r="C938" i="5"/>
  <c r="D938" i="5"/>
  <c r="A939" i="5"/>
  <c r="B939" i="5"/>
  <c r="C939" i="5"/>
  <c r="D939" i="5"/>
  <c r="A940" i="5"/>
  <c r="B940" i="5"/>
  <c r="C940" i="5"/>
  <c r="D940" i="5"/>
  <c r="A941" i="5"/>
  <c r="B941" i="5"/>
  <c r="C941" i="5"/>
  <c r="D941" i="5"/>
  <c r="A942" i="5"/>
  <c r="B942" i="5"/>
  <c r="C942" i="5"/>
  <c r="D942" i="5"/>
  <c r="A943" i="5"/>
  <c r="B943" i="5"/>
  <c r="C943" i="5"/>
  <c r="D943" i="5"/>
  <c r="A944" i="5"/>
  <c r="B944" i="5"/>
  <c r="C944" i="5"/>
  <c r="D944" i="5"/>
  <c r="A945" i="5"/>
  <c r="B945" i="5"/>
  <c r="C945" i="5"/>
  <c r="D945" i="5"/>
  <c r="A946" i="5"/>
  <c r="B946" i="5"/>
  <c r="C946" i="5"/>
  <c r="D946" i="5"/>
  <c r="A947" i="5"/>
  <c r="B947" i="5"/>
  <c r="C947" i="5"/>
  <c r="D947" i="5"/>
  <c r="A948" i="5"/>
  <c r="B948" i="5"/>
  <c r="C948" i="5"/>
  <c r="D948" i="5"/>
  <c r="A949" i="5"/>
  <c r="B949" i="5"/>
  <c r="C949" i="5"/>
  <c r="D949" i="5"/>
  <c r="A950" i="5"/>
  <c r="B950" i="5"/>
  <c r="C950" i="5"/>
  <c r="D950" i="5"/>
  <c r="A951" i="5"/>
  <c r="B951" i="5"/>
  <c r="C951" i="5"/>
  <c r="D951" i="5"/>
  <c r="A952" i="5"/>
  <c r="B952" i="5"/>
  <c r="C952" i="5"/>
  <c r="D952" i="5"/>
  <c r="A953" i="5"/>
  <c r="B953" i="5"/>
  <c r="C953" i="5"/>
  <c r="D953" i="5"/>
  <c r="A954" i="5"/>
  <c r="B954" i="5"/>
  <c r="C954" i="5"/>
  <c r="D954" i="5"/>
  <c r="A955" i="5"/>
  <c r="B955" i="5"/>
  <c r="C955" i="5"/>
  <c r="D955" i="5"/>
  <c r="A956" i="5"/>
  <c r="B956" i="5"/>
  <c r="C956" i="5"/>
  <c r="D956" i="5"/>
  <c r="A957" i="5"/>
  <c r="B957" i="5"/>
  <c r="C957" i="5"/>
  <c r="D957" i="5"/>
  <c r="A958" i="5"/>
  <c r="B958" i="5"/>
  <c r="C958" i="5"/>
  <c r="D958" i="5"/>
  <c r="A959" i="5"/>
  <c r="B959" i="5"/>
  <c r="C959" i="5"/>
  <c r="D959" i="5"/>
  <c r="A960" i="5"/>
  <c r="B960" i="5"/>
  <c r="C960" i="5"/>
  <c r="D960" i="5"/>
  <c r="A961" i="5"/>
  <c r="B961" i="5"/>
  <c r="C961" i="5"/>
  <c r="D961" i="5"/>
  <c r="A962" i="5"/>
  <c r="B962" i="5"/>
  <c r="C962" i="5"/>
  <c r="D962" i="5"/>
  <c r="A963" i="5"/>
  <c r="B963" i="5"/>
  <c r="C963" i="5"/>
  <c r="D963" i="5"/>
  <c r="A964" i="5"/>
  <c r="B964" i="5"/>
  <c r="C964" i="5"/>
  <c r="D964" i="5"/>
  <c r="A965" i="5"/>
  <c r="B965" i="5"/>
  <c r="C965" i="5"/>
  <c r="D965" i="5"/>
  <c r="A966" i="5"/>
  <c r="B966" i="5"/>
  <c r="C966" i="5"/>
  <c r="D966" i="5"/>
  <c r="A967" i="5"/>
  <c r="B967" i="5"/>
  <c r="C967" i="5"/>
  <c r="D967" i="5"/>
  <c r="A968" i="5"/>
  <c r="B968" i="5"/>
  <c r="C968" i="5"/>
  <c r="D968" i="5"/>
  <c r="A969" i="5"/>
  <c r="B969" i="5"/>
  <c r="C969" i="5"/>
  <c r="D969" i="5"/>
  <c r="A970" i="5"/>
  <c r="B970" i="5"/>
  <c r="C970" i="5"/>
  <c r="D970" i="5"/>
  <c r="A971" i="5"/>
  <c r="B971" i="5"/>
  <c r="C971" i="5"/>
  <c r="D971" i="5"/>
  <c r="A972" i="5"/>
  <c r="B972" i="5"/>
  <c r="C972" i="5"/>
  <c r="D972" i="5"/>
  <c r="A973" i="5"/>
  <c r="B973" i="5"/>
  <c r="C973" i="5"/>
  <c r="D973" i="5"/>
  <c r="A974" i="5"/>
  <c r="B974" i="5"/>
  <c r="C974" i="5"/>
  <c r="D974" i="5"/>
  <c r="A975" i="5"/>
  <c r="B975" i="5"/>
  <c r="C975" i="5"/>
  <c r="D975" i="5"/>
  <c r="A976" i="5"/>
  <c r="B976" i="5"/>
  <c r="C976" i="5"/>
  <c r="D976" i="5"/>
  <c r="A977" i="5"/>
  <c r="B977" i="5"/>
  <c r="C977" i="5"/>
  <c r="D977" i="5"/>
  <c r="A978" i="5"/>
  <c r="B978" i="5"/>
  <c r="C978" i="5"/>
  <c r="D978" i="5"/>
  <c r="A979" i="5"/>
  <c r="B979" i="5"/>
  <c r="C979" i="5"/>
  <c r="D979" i="5"/>
  <c r="A980" i="5"/>
  <c r="B980" i="5"/>
  <c r="C980" i="5"/>
  <c r="D980" i="5"/>
  <c r="A981" i="5"/>
  <c r="B981" i="5"/>
  <c r="C981" i="5"/>
  <c r="D981" i="5"/>
  <c r="A982" i="5"/>
  <c r="B982" i="5"/>
  <c r="C982" i="5"/>
  <c r="D982" i="5"/>
  <c r="A983" i="5"/>
  <c r="B983" i="5"/>
  <c r="C983" i="5"/>
  <c r="D983" i="5"/>
  <c r="A984" i="5"/>
  <c r="B984" i="5"/>
  <c r="C984" i="5"/>
  <c r="D984" i="5"/>
  <c r="A985" i="5"/>
  <c r="B985" i="5"/>
  <c r="C985" i="5"/>
  <c r="D985" i="5"/>
  <c r="A986" i="5"/>
  <c r="B986" i="5"/>
  <c r="C986" i="5"/>
  <c r="D986" i="5"/>
  <c r="A987" i="5"/>
  <c r="B987" i="5"/>
  <c r="C987" i="5"/>
  <c r="D987" i="5"/>
  <c r="A988" i="5"/>
  <c r="B988" i="5"/>
  <c r="C988" i="5"/>
  <c r="D988" i="5"/>
  <c r="A989" i="5"/>
  <c r="B989" i="5"/>
  <c r="C989" i="5"/>
  <c r="D989" i="5"/>
  <c r="A990" i="5"/>
  <c r="B990" i="5"/>
  <c r="C990" i="5"/>
  <c r="D990" i="5"/>
  <c r="A991" i="5"/>
  <c r="B991" i="5"/>
  <c r="C991" i="5"/>
  <c r="D991" i="5"/>
  <c r="A992" i="5"/>
  <c r="B992" i="5"/>
  <c r="C992" i="5"/>
  <c r="D992" i="5"/>
  <c r="A993" i="5"/>
  <c r="B993" i="5"/>
  <c r="C993" i="5"/>
  <c r="D993" i="5"/>
  <c r="A994" i="5"/>
  <c r="B994" i="5"/>
  <c r="C994" i="5"/>
  <c r="D994" i="5"/>
  <c r="A995" i="5"/>
  <c r="B995" i="5"/>
  <c r="C995" i="5"/>
  <c r="D995" i="5"/>
  <c r="A996" i="5"/>
  <c r="B996" i="5"/>
  <c r="C996" i="5"/>
  <c r="D996" i="5"/>
  <c r="A997" i="5"/>
  <c r="B997" i="5"/>
  <c r="C997" i="5"/>
  <c r="D997" i="5"/>
  <c r="A998" i="5"/>
  <c r="B998" i="5"/>
  <c r="C998" i="5"/>
  <c r="D998" i="5"/>
  <c r="A999" i="5"/>
  <c r="B999" i="5"/>
  <c r="C999" i="5"/>
  <c r="D999" i="5"/>
  <c r="A1000" i="5"/>
  <c r="B1000" i="5"/>
  <c r="C1000" i="5"/>
  <c r="D1000" i="5"/>
  <c r="A1001" i="5"/>
  <c r="B1001" i="5"/>
  <c r="C1001" i="5"/>
  <c r="D1001" i="5"/>
  <c r="A1002" i="5"/>
  <c r="B1002" i="5"/>
  <c r="C1002" i="5"/>
  <c r="D1002" i="5"/>
  <c r="A1003" i="5"/>
  <c r="B1003" i="5"/>
  <c r="C1003" i="5"/>
  <c r="D1003" i="5"/>
  <c r="A1004" i="5"/>
  <c r="B1004" i="5"/>
  <c r="C1004" i="5"/>
  <c r="D1004" i="5"/>
  <c r="A1005" i="5"/>
  <c r="B1005" i="5"/>
  <c r="C1005" i="5"/>
  <c r="D1005" i="5"/>
  <c r="A1006" i="5"/>
  <c r="B1006" i="5"/>
  <c r="C1006" i="5"/>
  <c r="D1006" i="5"/>
  <c r="A1007" i="5"/>
  <c r="B1007" i="5"/>
  <c r="C1007" i="5"/>
  <c r="D1007" i="5"/>
  <c r="A1008" i="5"/>
  <c r="B1008" i="5"/>
  <c r="C1008" i="5"/>
  <c r="D1008" i="5"/>
  <c r="A1009" i="5"/>
  <c r="B1009" i="5"/>
  <c r="C1009" i="5"/>
  <c r="D1009" i="5"/>
  <c r="A1010" i="5"/>
  <c r="B1010" i="5"/>
  <c r="C1010" i="5"/>
  <c r="D1010" i="5"/>
  <c r="A1011" i="5"/>
  <c r="B1011" i="5"/>
  <c r="C1011" i="5"/>
  <c r="D1011" i="5"/>
  <c r="A1012" i="5"/>
  <c r="B1012" i="5"/>
  <c r="C1012" i="5"/>
  <c r="D1012" i="5"/>
  <c r="A1013" i="5"/>
  <c r="B1013" i="5"/>
  <c r="C1013" i="5"/>
  <c r="D1013" i="5"/>
  <c r="A1014" i="5"/>
  <c r="B1014" i="5"/>
  <c r="C1014" i="5"/>
  <c r="D1014" i="5"/>
  <c r="A1015" i="5"/>
  <c r="B1015" i="5"/>
  <c r="C1015" i="5"/>
  <c r="D1015" i="5"/>
  <c r="A1016" i="5"/>
  <c r="B1016" i="5"/>
  <c r="C1016" i="5"/>
  <c r="D1016" i="5"/>
  <c r="A1017" i="5"/>
  <c r="B1017" i="5"/>
  <c r="C1017" i="5"/>
  <c r="D1017" i="5"/>
  <c r="A1018" i="5"/>
  <c r="B1018" i="5"/>
  <c r="C1018" i="5"/>
  <c r="D1018" i="5"/>
  <c r="A1019" i="5"/>
  <c r="B1019" i="5"/>
  <c r="C1019" i="5"/>
  <c r="D1019" i="5"/>
  <c r="A1020" i="5"/>
  <c r="B1020" i="5"/>
  <c r="C1020" i="5"/>
  <c r="D1020" i="5"/>
  <c r="A1021" i="5"/>
  <c r="B1021" i="5"/>
  <c r="C1021" i="5"/>
  <c r="D1021" i="5"/>
  <c r="A1022" i="5"/>
  <c r="B1022" i="5"/>
  <c r="C1022" i="5"/>
  <c r="D1022" i="5"/>
  <c r="A1023" i="5"/>
  <c r="B1023" i="5"/>
  <c r="C1023" i="5"/>
  <c r="D1023" i="5"/>
  <c r="A1024" i="5"/>
  <c r="B1024" i="5"/>
  <c r="C1024" i="5"/>
  <c r="D1024" i="5"/>
  <c r="A1025" i="5"/>
  <c r="B1025" i="5"/>
  <c r="C1025" i="5"/>
  <c r="D1025" i="5"/>
  <c r="A1026" i="5"/>
  <c r="B1026" i="5"/>
  <c r="C1026" i="5"/>
  <c r="D1026" i="5"/>
  <c r="A1027" i="5"/>
  <c r="B1027" i="5"/>
  <c r="C1027" i="5"/>
  <c r="D1027" i="5"/>
  <c r="A1028" i="5"/>
  <c r="B1028" i="5"/>
  <c r="C1028" i="5"/>
  <c r="D1028" i="5"/>
  <c r="A1029" i="5"/>
  <c r="B1029" i="5"/>
  <c r="C1029" i="5"/>
  <c r="D1029" i="5"/>
  <c r="A1030" i="5"/>
  <c r="B1030" i="5"/>
  <c r="C1030" i="5"/>
  <c r="D1030" i="5"/>
  <c r="A1031" i="5"/>
  <c r="B1031" i="5"/>
  <c r="C1031" i="5"/>
  <c r="D1031" i="5"/>
  <c r="A1032" i="5"/>
  <c r="B1032" i="5"/>
  <c r="C1032" i="5"/>
  <c r="D1032" i="5"/>
  <c r="A1033" i="5"/>
  <c r="B1033" i="5"/>
  <c r="C1033" i="5"/>
  <c r="D1033" i="5"/>
  <c r="A1034" i="5"/>
  <c r="B1034" i="5"/>
  <c r="C1034" i="5"/>
  <c r="D1034" i="5"/>
  <c r="A1035" i="5"/>
  <c r="B1035" i="5"/>
  <c r="C1035" i="5"/>
  <c r="D1035" i="5"/>
  <c r="A1036" i="5"/>
  <c r="B1036" i="5"/>
  <c r="C1036" i="5"/>
  <c r="D1036" i="5"/>
  <c r="A1037" i="5"/>
  <c r="B1037" i="5"/>
  <c r="C1037" i="5"/>
  <c r="D1037" i="5"/>
  <c r="A1038" i="5"/>
  <c r="B1038" i="5"/>
  <c r="C1038" i="5"/>
  <c r="D1038" i="5"/>
  <c r="A1039" i="5"/>
  <c r="B1039" i="5"/>
  <c r="C1039" i="5"/>
  <c r="D1039" i="5"/>
  <c r="A1040" i="5"/>
  <c r="B1040" i="5"/>
  <c r="C1040" i="5"/>
  <c r="D1040" i="5"/>
  <c r="A1041" i="5"/>
  <c r="B1041" i="5"/>
  <c r="C1041" i="5"/>
  <c r="D1041" i="5"/>
  <c r="A1042" i="5"/>
  <c r="B1042" i="5"/>
  <c r="C1042" i="5"/>
  <c r="D1042" i="5"/>
  <c r="A1043" i="5"/>
  <c r="B1043" i="5"/>
  <c r="C1043" i="5"/>
  <c r="D1043" i="5"/>
  <c r="A1044" i="5"/>
  <c r="B1044" i="5"/>
  <c r="C1044" i="5"/>
  <c r="D1044" i="5"/>
  <c r="A1045" i="5"/>
  <c r="B1045" i="5"/>
  <c r="C1045" i="5"/>
  <c r="D1045" i="5"/>
  <c r="A1046" i="5"/>
  <c r="B1046" i="5"/>
  <c r="C1046" i="5"/>
  <c r="D1046" i="5"/>
  <c r="A1047" i="5"/>
  <c r="B1047" i="5"/>
  <c r="C1047" i="5"/>
  <c r="D1047" i="5"/>
  <c r="A1048" i="5"/>
  <c r="B1048" i="5"/>
  <c r="C1048" i="5"/>
  <c r="D1048" i="5"/>
  <c r="A1049" i="5"/>
  <c r="B1049" i="5"/>
  <c r="C1049" i="5"/>
  <c r="D1049" i="5"/>
  <c r="A1050" i="5"/>
  <c r="B1050" i="5"/>
  <c r="C1050" i="5"/>
  <c r="D1050" i="5"/>
  <c r="A1051" i="5"/>
  <c r="B1051" i="5"/>
  <c r="C1051" i="5"/>
  <c r="D1051" i="5"/>
  <c r="A1052" i="5"/>
  <c r="B1052" i="5"/>
  <c r="C1052" i="5"/>
  <c r="D1052" i="5"/>
  <c r="A1053" i="5"/>
  <c r="B1053" i="5"/>
  <c r="C1053" i="5"/>
  <c r="D1053" i="5"/>
  <c r="A1054" i="5"/>
  <c r="B1054" i="5"/>
  <c r="C1054" i="5"/>
  <c r="D1054" i="5"/>
  <c r="A1055" i="5"/>
  <c r="B1055" i="5"/>
  <c r="C1055" i="5"/>
  <c r="D1055" i="5"/>
  <c r="A1056" i="5"/>
  <c r="B1056" i="5"/>
  <c r="C1056" i="5"/>
  <c r="D1056" i="5"/>
  <c r="A1057" i="5"/>
  <c r="B1057" i="5"/>
  <c r="C1057" i="5"/>
  <c r="D1057" i="5"/>
  <c r="A1058" i="5"/>
  <c r="B1058" i="5"/>
  <c r="C1058" i="5"/>
  <c r="D1058" i="5"/>
  <c r="A1059" i="5"/>
  <c r="B1059" i="5"/>
  <c r="C1059" i="5"/>
  <c r="D1059" i="5"/>
  <c r="A1060" i="5"/>
  <c r="B1060" i="5"/>
  <c r="C1060" i="5"/>
  <c r="D1060" i="5"/>
  <c r="A1061" i="5"/>
  <c r="B1061" i="5"/>
  <c r="C1061" i="5"/>
  <c r="D1061" i="5"/>
  <c r="A1062" i="5"/>
  <c r="B1062" i="5"/>
  <c r="C1062" i="5"/>
  <c r="D1062" i="5"/>
  <c r="A1063" i="5"/>
  <c r="B1063" i="5"/>
  <c r="C1063" i="5"/>
  <c r="D1063" i="5"/>
  <c r="A1064" i="5"/>
  <c r="B1064" i="5"/>
  <c r="C1064" i="5"/>
  <c r="D1064" i="5"/>
  <c r="A1065" i="5"/>
  <c r="B1065" i="5"/>
  <c r="C1065" i="5"/>
  <c r="D1065" i="5"/>
  <c r="A1066" i="5"/>
  <c r="B1066" i="5"/>
  <c r="C1066" i="5"/>
  <c r="D1066" i="5"/>
  <c r="A1067" i="5"/>
  <c r="B1067" i="5"/>
  <c r="C1067" i="5"/>
  <c r="D1067" i="5"/>
  <c r="A1068" i="5"/>
  <c r="B1068" i="5"/>
  <c r="C1068" i="5"/>
  <c r="D1068" i="5"/>
  <c r="A1069" i="5"/>
  <c r="B1069" i="5"/>
  <c r="C1069" i="5"/>
  <c r="D1069" i="5"/>
  <c r="A1070" i="5"/>
  <c r="B1070" i="5"/>
  <c r="C1070" i="5"/>
  <c r="D1070" i="5"/>
  <c r="A1071" i="5"/>
  <c r="B1071" i="5"/>
  <c r="C1071" i="5"/>
  <c r="D1071" i="5"/>
  <c r="A1072" i="5"/>
  <c r="B1072" i="5"/>
  <c r="C1072" i="5"/>
  <c r="D1072" i="5"/>
  <c r="A1073" i="5"/>
  <c r="B1073" i="5"/>
  <c r="C1073" i="5"/>
  <c r="D1073" i="5"/>
  <c r="A1074" i="5"/>
  <c r="B1074" i="5"/>
  <c r="C1074" i="5"/>
  <c r="D1074" i="5"/>
  <c r="A1075" i="5"/>
  <c r="B1075" i="5"/>
  <c r="C1075" i="5"/>
  <c r="D1075" i="5"/>
  <c r="A1076" i="5"/>
  <c r="B1076" i="5"/>
  <c r="C1076" i="5"/>
  <c r="D1076" i="5"/>
  <c r="A1077" i="5"/>
  <c r="B1077" i="5"/>
  <c r="C1077" i="5"/>
  <c r="D1077" i="5"/>
  <c r="A1078" i="5"/>
  <c r="B1078" i="5"/>
  <c r="C1078" i="5"/>
  <c r="D1078" i="5"/>
  <c r="A1079" i="5"/>
  <c r="B1079" i="5"/>
  <c r="C1079" i="5"/>
  <c r="D1079" i="5"/>
  <c r="A1080" i="5"/>
  <c r="B1080" i="5"/>
  <c r="C1080" i="5"/>
  <c r="D1080" i="5"/>
  <c r="A1081" i="5"/>
  <c r="B1081" i="5"/>
  <c r="C1081" i="5"/>
  <c r="D1081" i="5"/>
  <c r="A1082" i="5"/>
  <c r="B1082" i="5"/>
  <c r="C1082" i="5"/>
  <c r="D1082" i="5"/>
  <c r="A1083" i="5"/>
  <c r="B1083" i="5"/>
  <c r="C1083" i="5"/>
  <c r="D1083" i="5"/>
  <c r="A1084" i="5"/>
  <c r="B1084" i="5"/>
  <c r="C1084" i="5"/>
  <c r="D1084" i="5"/>
  <c r="A1085" i="5"/>
  <c r="B1085" i="5"/>
  <c r="C1085" i="5"/>
  <c r="D1085" i="5"/>
  <c r="A1086" i="5"/>
  <c r="B1086" i="5"/>
  <c r="C1086" i="5"/>
  <c r="D1086" i="5"/>
  <c r="A1087" i="5"/>
  <c r="B1087" i="5"/>
  <c r="C1087" i="5"/>
  <c r="D1087" i="5"/>
  <c r="A1088" i="5"/>
  <c r="B1088" i="5"/>
  <c r="C1088" i="5"/>
  <c r="D1088" i="5"/>
  <c r="A1089" i="5"/>
  <c r="B1089" i="5"/>
  <c r="C1089" i="5"/>
  <c r="D1089" i="5"/>
  <c r="A1090" i="5"/>
  <c r="B1090" i="5"/>
  <c r="C1090" i="5"/>
  <c r="D1090" i="5"/>
  <c r="A1091" i="5"/>
  <c r="B1091" i="5"/>
  <c r="C1091" i="5"/>
  <c r="D1091" i="5"/>
  <c r="A1092" i="5"/>
  <c r="B1092" i="5"/>
  <c r="C1092" i="5"/>
  <c r="D1092" i="5"/>
  <c r="A1093" i="5"/>
  <c r="B1093" i="5"/>
  <c r="C1093" i="5"/>
  <c r="D1093" i="5"/>
  <c r="A1094" i="5"/>
  <c r="B1094" i="5"/>
  <c r="C1094" i="5"/>
  <c r="D1094" i="5"/>
  <c r="A1095" i="5"/>
  <c r="B1095" i="5"/>
  <c r="C1095" i="5"/>
  <c r="D1095" i="5"/>
  <c r="A1096" i="5"/>
  <c r="B1096" i="5"/>
  <c r="C1096" i="5"/>
  <c r="D1096" i="5"/>
  <c r="A1097" i="5"/>
  <c r="B1097" i="5"/>
  <c r="C1097" i="5"/>
  <c r="D1097" i="5"/>
  <c r="A1098" i="5"/>
  <c r="B1098" i="5"/>
  <c r="C1098" i="5"/>
  <c r="D1098" i="5"/>
  <c r="A1099" i="5"/>
  <c r="B1099" i="5"/>
  <c r="C1099" i="5"/>
  <c r="D1099" i="5"/>
  <c r="A1100" i="5"/>
  <c r="B1100" i="5"/>
  <c r="C1100" i="5"/>
  <c r="D1100" i="5"/>
  <c r="A1101" i="5"/>
  <c r="B1101" i="5"/>
  <c r="C1101" i="5"/>
  <c r="D1101" i="5"/>
  <c r="A1102" i="5"/>
  <c r="B1102" i="5"/>
  <c r="C1102" i="5"/>
  <c r="D1102" i="5"/>
  <c r="A1103" i="5"/>
  <c r="B1103" i="5"/>
  <c r="C1103" i="5"/>
  <c r="D1103" i="5"/>
  <c r="A1104" i="5"/>
  <c r="B1104" i="5"/>
  <c r="C1104" i="5"/>
  <c r="D1104" i="5"/>
  <c r="A1105" i="5"/>
  <c r="B1105" i="5"/>
  <c r="C1105" i="5"/>
  <c r="D1105" i="5"/>
  <c r="A1106" i="5"/>
  <c r="B1106" i="5"/>
  <c r="C1106" i="5"/>
  <c r="D1106" i="5"/>
  <c r="A1107" i="5"/>
  <c r="B1107" i="5"/>
  <c r="C1107" i="5"/>
  <c r="D1107" i="5"/>
  <c r="A1108" i="5"/>
  <c r="B1108" i="5"/>
  <c r="C1108" i="5"/>
  <c r="D1108" i="5"/>
  <c r="A1109" i="5"/>
  <c r="B1109" i="5"/>
  <c r="C1109" i="5"/>
  <c r="D1109" i="5"/>
  <c r="A1110" i="5"/>
  <c r="B1110" i="5"/>
  <c r="C1110" i="5"/>
  <c r="D1110" i="5"/>
  <c r="A1111" i="5"/>
  <c r="B1111" i="5"/>
  <c r="C1111" i="5"/>
  <c r="D1111" i="5"/>
  <c r="A1112" i="5"/>
  <c r="B1112" i="5"/>
  <c r="C1112" i="5"/>
  <c r="D1112" i="5"/>
  <c r="A1113" i="5"/>
  <c r="B1113" i="5"/>
  <c r="C1113" i="5"/>
  <c r="D1113" i="5"/>
  <c r="A1114" i="5"/>
  <c r="B1114" i="5"/>
  <c r="C1114" i="5"/>
  <c r="D1114" i="5"/>
  <c r="A1115" i="5"/>
  <c r="B1115" i="5"/>
  <c r="C1115" i="5"/>
  <c r="D1115" i="5"/>
  <c r="A1116" i="5"/>
  <c r="B1116" i="5"/>
  <c r="C1116" i="5"/>
  <c r="D1116" i="5"/>
  <c r="A1117" i="5"/>
  <c r="B1117" i="5"/>
  <c r="C1117" i="5"/>
  <c r="D1117" i="5"/>
  <c r="A1118" i="5"/>
  <c r="B1118" i="5"/>
  <c r="C1118" i="5"/>
  <c r="D1118" i="5"/>
  <c r="A1119" i="5"/>
  <c r="B1119" i="5"/>
  <c r="C1119" i="5"/>
  <c r="D1119" i="5"/>
  <c r="A1120" i="5"/>
  <c r="B1120" i="5"/>
  <c r="C1120" i="5"/>
  <c r="D1120" i="5"/>
  <c r="A1121" i="5"/>
  <c r="B1121" i="5"/>
  <c r="C1121" i="5"/>
  <c r="D1121" i="5"/>
  <c r="A1122" i="5"/>
  <c r="B1122" i="5"/>
  <c r="C1122" i="5"/>
  <c r="D1122" i="5"/>
  <c r="A1123" i="5"/>
  <c r="B1123" i="5"/>
  <c r="C1123" i="5"/>
  <c r="D1123" i="5"/>
  <c r="A1124" i="5"/>
  <c r="B1124" i="5"/>
  <c r="C1124" i="5"/>
  <c r="D1124" i="5"/>
  <c r="A1125" i="5"/>
  <c r="B1125" i="5"/>
  <c r="C1125" i="5"/>
  <c r="D1125" i="5"/>
  <c r="A1126" i="5"/>
  <c r="B1126" i="5"/>
  <c r="C1126" i="5"/>
  <c r="D1126" i="5"/>
  <c r="A1127" i="5"/>
  <c r="B1127" i="5"/>
  <c r="C1127" i="5"/>
  <c r="D1127" i="5"/>
  <c r="A1128" i="5"/>
  <c r="B1128" i="5"/>
  <c r="C1128" i="5"/>
  <c r="D1128" i="5"/>
  <c r="A1129" i="5"/>
  <c r="B1129" i="5"/>
  <c r="C1129" i="5"/>
  <c r="D1129" i="5"/>
  <c r="A1130" i="5"/>
  <c r="B1130" i="5"/>
  <c r="C1130" i="5"/>
  <c r="D1130" i="5"/>
  <c r="A1131" i="5"/>
  <c r="B1131" i="5"/>
  <c r="C1131" i="5"/>
  <c r="D1131" i="5"/>
  <c r="A1132" i="5"/>
  <c r="B1132" i="5"/>
  <c r="C1132" i="5"/>
  <c r="D1132" i="5"/>
  <c r="A1133" i="5"/>
  <c r="B1133" i="5"/>
  <c r="C1133" i="5"/>
  <c r="D1133" i="5"/>
  <c r="A1134" i="5"/>
  <c r="B1134" i="5"/>
  <c r="C1134" i="5"/>
  <c r="D1134" i="5"/>
  <c r="A1135" i="5"/>
  <c r="B1135" i="5"/>
  <c r="C1135" i="5"/>
  <c r="D1135" i="5"/>
  <c r="A1136" i="5"/>
  <c r="B1136" i="5"/>
  <c r="C1136" i="5"/>
  <c r="D1136" i="5"/>
  <c r="A1137" i="5"/>
  <c r="B1137" i="5"/>
  <c r="C1137" i="5"/>
  <c r="D1137" i="5"/>
  <c r="A1138" i="5"/>
  <c r="B1138" i="5"/>
  <c r="C1138" i="5"/>
  <c r="D1138" i="5"/>
  <c r="A1139" i="5"/>
  <c r="B1139" i="5"/>
  <c r="C1139" i="5"/>
  <c r="D1139" i="5"/>
  <c r="A1140" i="5"/>
  <c r="B1140" i="5"/>
  <c r="C1140" i="5"/>
  <c r="D1140" i="5"/>
  <c r="A1141" i="5"/>
  <c r="B1141" i="5"/>
  <c r="C1141" i="5"/>
  <c r="D1141" i="5"/>
  <c r="A1142" i="5"/>
  <c r="B1142" i="5"/>
  <c r="C1142" i="5"/>
  <c r="D1142" i="5"/>
  <c r="A1143" i="5"/>
  <c r="B1143" i="5"/>
  <c r="C1143" i="5"/>
  <c r="D1143" i="5"/>
  <c r="A1144" i="5"/>
  <c r="B1144" i="5"/>
  <c r="C1144" i="5"/>
  <c r="D1144" i="5"/>
  <c r="A1145" i="5"/>
  <c r="B1145" i="5"/>
  <c r="C1145" i="5"/>
  <c r="D1145" i="5"/>
  <c r="A1146" i="5"/>
  <c r="B1146" i="5"/>
  <c r="C1146" i="5"/>
  <c r="D1146" i="5"/>
  <c r="A1147" i="5"/>
  <c r="B1147" i="5"/>
  <c r="C1147" i="5"/>
  <c r="D1147" i="5"/>
  <c r="A1148" i="5"/>
  <c r="B1148" i="5"/>
  <c r="C1148" i="5"/>
  <c r="D1148" i="5"/>
  <c r="A1149" i="5"/>
  <c r="B1149" i="5"/>
  <c r="C1149" i="5"/>
  <c r="D1149" i="5"/>
  <c r="A1150" i="5"/>
  <c r="B1150" i="5"/>
  <c r="C1150" i="5"/>
  <c r="D1150" i="5"/>
  <c r="A1151" i="5"/>
  <c r="B1151" i="5"/>
  <c r="C1151" i="5"/>
  <c r="D1151" i="5"/>
  <c r="A1152" i="5"/>
  <c r="B1152" i="5"/>
  <c r="C1152" i="5"/>
  <c r="D1152" i="5"/>
  <c r="A1153" i="5"/>
  <c r="B1153" i="5"/>
  <c r="C1153" i="5"/>
  <c r="D1153" i="5"/>
  <c r="A1154" i="5"/>
  <c r="B1154" i="5"/>
  <c r="C1154" i="5"/>
  <c r="D1154" i="5"/>
  <c r="A1155" i="5"/>
  <c r="B1155" i="5"/>
  <c r="C1155" i="5"/>
  <c r="D1155" i="5"/>
  <c r="A1156" i="5"/>
  <c r="B1156" i="5"/>
  <c r="C1156" i="5"/>
  <c r="D1156" i="5"/>
  <c r="A1157" i="5"/>
  <c r="B1157" i="5"/>
  <c r="C1157" i="5"/>
  <c r="D1157" i="5"/>
  <c r="A1158" i="5"/>
  <c r="B1158" i="5"/>
  <c r="C1158" i="5"/>
  <c r="D1158" i="5"/>
  <c r="A1159" i="5"/>
  <c r="B1159" i="5"/>
  <c r="C1159" i="5"/>
  <c r="D1159" i="5"/>
  <c r="A1160" i="5"/>
  <c r="B1160" i="5"/>
  <c r="C1160" i="5"/>
  <c r="D1160" i="5"/>
  <c r="A1161" i="5"/>
  <c r="B1161" i="5"/>
  <c r="C1161" i="5"/>
  <c r="D1161" i="5"/>
  <c r="A1162" i="5"/>
  <c r="B1162" i="5"/>
  <c r="C1162" i="5"/>
  <c r="D1162" i="5"/>
  <c r="A1163" i="5"/>
  <c r="B1163" i="5"/>
  <c r="C1163" i="5"/>
  <c r="D1163" i="5"/>
  <c r="A1164" i="5"/>
  <c r="B1164" i="5"/>
  <c r="C1164" i="5"/>
  <c r="D1164" i="5"/>
  <c r="A1165" i="5"/>
  <c r="B1165" i="5"/>
  <c r="C1165" i="5"/>
  <c r="D1165" i="5"/>
  <c r="A1166" i="5"/>
  <c r="B1166" i="5"/>
  <c r="C1166" i="5"/>
  <c r="D1166" i="5"/>
  <c r="A1167" i="5"/>
  <c r="B1167" i="5"/>
  <c r="C1167" i="5"/>
  <c r="D1167" i="5"/>
  <c r="A1168" i="5"/>
  <c r="B1168" i="5"/>
  <c r="C1168" i="5"/>
  <c r="D1168" i="5"/>
  <c r="A1169" i="5"/>
  <c r="B1169" i="5"/>
  <c r="C1169" i="5"/>
  <c r="D1169" i="5"/>
  <c r="A1170" i="5"/>
  <c r="B1170" i="5"/>
  <c r="C1170" i="5"/>
  <c r="D1170" i="5"/>
  <c r="A1171" i="5"/>
  <c r="B1171" i="5"/>
  <c r="C1171" i="5"/>
  <c r="D1171" i="5"/>
  <c r="A1172" i="5"/>
  <c r="B1172" i="5"/>
  <c r="C1172" i="5"/>
  <c r="D1172" i="5"/>
  <c r="A1173" i="5"/>
  <c r="B1173" i="5"/>
  <c r="C1173" i="5"/>
  <c r="D1173" i="5"/>
  <c r="A1174" i="5"/>
  <c r="B1174" i="5"/>
  <c r="C1174" i="5"/>
  <c r="D1174" i="5"/>
  <c r="A1175" i="5"/>
  <c r="B1175" i="5"/>
  <c r="C1175" i="5"/>
  <c r="D1175" i="5"/>
  <c r="A1176" i="5"/>
  <c r="B1176" i="5"/>
  <c r="C1176" i="5"/>
  <c r="D1176" i="5"/>
  <c r="A1177" i="5"/>
  <c r="B1177" i="5"/>
  <c r="C1177" i="5"/>
  <c r="D1177" i="5"/>
  <c r="A1178" i="5"/>
  <c r="B1178" i="5"/>
  <c r="C1178" i="5"/>
  <c r="D1178" i="5"/>
  <c r="A1179" i="5"/>
  <c r="B1179" i="5"/>
  <c r="C1179" i="5"/>
  <c r="D1179" i="5"/>
  <c r="A1180" i="5"/>
  <c r="B1180" i="5"/>
  <c r="C1180" i="5"/>
  <c r="D1180" i="5"/>
  <c r="A1181" i="5"/>
  <c r="B1181" i="5"/>
  <c r="C1181" i="5"/>
  <c r="D1181" i="5"/>
  <c r="A1182" i="5"/>
  <c r="B1182" i="5"/>
  <c r="C1182" i="5"/>
  <c r="D1182" i="5"/>
  <c r="A1183" i="5"/>
  <c r="B1183" i="5"/>
  <c r="C1183" i="5"/>
  <c r="D1183" i="5"/>
  <c r="A1184" i="5"/>
  <c r="B1184" i="5"/>
  <c r="C1184" i="5"/>
  <c r="D1184" i="5"/>
  <c r="A1185" i="5"/>
  <c r="B1185" i="5"/>
  <c r="C1185" i="5"/>
  <c r="D1185" i="5"/>
  <c r="A1186" i="5"/>
  <c r="B1186" i="5"/>
  <c r="C1186" i="5"/>
  <c r="D1186" i="5"/>
  <c r="A1187" i="5"/>
  <c r="B1187" i="5"/>
  <c r="C1187" i="5"/>
  <c r="D1187" i="5"/>
  <c r="A1188" i="5"/>
  <c r="B1188" i="5"/>
  <c r="C1188" i="5"/>
  <c r="D1188" i="5"/>
  <c r="A1189" i="5"/>
  <c r="B1189" i="5"/>
  <c r="C1189" i="5"/>
  <c r="D1189" i="5"/>
  <c r="A1190" i="5"/>
  <c r="B1190" i="5"/>
  <c r="C1190" i="5"/>
  <c r="D1190" i="5"/>
  <c r="A1191" i="5"/>
  <c r="B1191" i="5"/>
  <c r="C1191" i="5"/>
  <c r="D1191" i="5"/>
  <c r="A1192" i="5"/>
  <c r="B1192" i="5"/>
  <c r="C1192" i="5"/>
  <c r="D1192" i="5"/>
  <c r="A1193" i="5"/>
  <c r="B1193" i="5"/>
  <c r="C1193" i="5"/>
  <c r="D1193" i="5"/>
  <c r="A1194" i="5"/>
  <c r="B1194" i="5"/>
  <c r="C1194" i="5"/>
  <c r="D1194" i="5"/>
  <c r="A1195" i="5"/>
  <c r="B1195" i="5"/>
  <c r="C1195" i="5"/>
  <c r="D1195" i="5"/>
  <c r="A1196" i="5"/>
  <c r="B1196" i="5"/>
  <c r="C1196" i="5"/>
  <c r="D1196" i="5"/>
  <c r="A1197" i="5"/>
  <c r="B1197" i="5"/>
  <c r="C1197" i="5"/>
  <c r="D1197" i="5"/>
  <c r="A1198" i="5"/>
  <c r="B1198" i="5"/>
  <c r="C1198" i="5"/>
  <c r="D1198" i="5"/>
  <c r="A1199" i="5"/>
  <c r="B1199" i="5"/>
  <c r="C1199" i="5"/>
  <c r="D1199" i="5"/>
  <c r="A1200" i="5"/>
  <c r="B1200" i="5"/>
  <c r="C1200" i="5"/>
  <c r="D1200" i="5"/>
  <c r="A1201" i="5"/>
  <c r="B1201" i="5"/>
  <c r="C1201" i="5"/>
  <c r="D1201" i="5"/>
  <c r="A1202" i="5"/>
  <c r="B1202" i="5"/>
  <c r="C1202" i="5"/>
  <c r="D1202" i="5"/>
  <c r="A1203" i="5"/>
  <c r="B1203" i="5"/>
  <c r="C1203" i="5"/>
  <c r="D1203" i="5"/>
  <c r="A1204" i="5"/>
  <c r="B1204" i="5"/>
  <c r="C1204" i="5"/>
  <c r="D1204" i="5"/>
  <c r="A1205" i="5"/>
  <c r="B1205" i="5"/>
  <c r="C1205" i="5"/>
  <c r="D1205" i="5"/>
  <c r="A1206" i="5"/>
  <c r="B1206" i="5"/>
  <c r="C1206" i="5"/>
  <c r="D1206" i="5"/>
  <c r="A1207" i="5"/>
  <c r="B1207" i="5"/>
  <c r="C1207" i="5"/>
  <c r="D1207" i="5"/>
  <c r="A1208" i="5"/>
  <c r="B1208" i="5"/>
  <c r="C1208" i="5"/>
  <c r="D1208" i="5"/>
  <c r="A1209" i="5"/>
  <c r="B1209" i="5"/>
  <c r="C1209" i="5"/>
  <c r="D1209" i="5"/>
  <c r="A1210" i="5"/>
  <c r="B1210" i="5"/>
  <c r="C1210" i="5"/>
  <c r="D1210" i="5"/>
  <c r="A1211" i="5"/>
  <c r="B1211" i="5"/>
  <c r="C1211" i="5"/>
  <c r="D1211" i="5"/>
  <c r="A1212" i="5"/>
  <c r="B1212" i="5"/>
  <c r="C1212" i="5"/>
  <c r="D1212" i="5"/>
  <c r="A1213" i="5"/>
  <c r="B1213" i="5"/>
  <c r="C1213" i="5"/>
  <c r="D1213" i="5"/>
  <c r="A1214" i="5"/>
  <c r="B1214" i="5"/>
  <c r="C1214" i="5"/>
  <c r="D1214" i="5"/>
  <c r="A1215" i="5"/>
  <c r="B1215" i="5"/>
  <c r="C1215" i="5"/>
  <c r="D1215" i="5"/>
  <c r="A1216" i="5"/>
  <c r="B1216" i="5"/>
  <c r="C1216" i="5"/>
  <c r="D1216" i="5"/>
  <c r="A1217" i="5"/>
  <c r="B1217" i="5"/>
  <c r="C1217" i="5"/>
  <c r="D1217" i="5"/>
  <c r="A1218" i="5"/>
  <c r="B1218" i="5"/>
  <c r="C1218" i="5"/>
  <c r="D1218" i="5"/>
  <c r="A1219" i="5"/>
  <c r="B1219" i="5"/>
  <c r="C1219" i="5"/>
  <c r="D1219" i="5"/>
  <c r="A1220" i="5"/>
  <c r="B1220" i="5"/>
  <c r="C1220" i="5"/>
  <c r="D1220" i="5"/>
  <c r="A1221" i="5"/>
  <c r="B1221" i="5"/>
  <c r="C1221" i="5"/>
  <c r="D1221" i="5"/>
  <c r="A1222" i="5"/>
  <c r="B1222" i="5"/>
  <c r="C1222" i="5"/>
  <c r="D1222" i="5"/>
  <c r="A1223" i="5"/>
  <c r="B1223" i="5"/>
  <c r="C1223" i="5"/>
  <c r="D1223" i="5"/>
  <c r="A1224" i="5"/>
  <c r="B1224" i="5"/>
  <c r="C1224" i="5"/>
  <c r="D1224" i="5"/>
  <c r="A1225" i="5"/>
  <c r="B1225" i="5"/>
  <c r="C1225" i="5"/>
  <c r="D1225" i="5"/>
  <c r="A1226" i="5"/>
  <c r="B1226" i="5"/>
  <c r="C1226" i="5"/>
  <c r="D1226" i="5"/>
  <c r="A1227" i="5"/>
  <c r="B1227" i="5"/>
  <c r="C1227" i="5"/>
  <c r="D1227" i="5"/>
  <c r="A1228" i="5"/>
  <c r="B1228" i="5"/>
  <c r="C1228" i="5"/>
  <c r="D1228" i="5"/>
  <c r="A1229" i="5"/>
  <c r="B1229" i="5"/>
  <c r="C1229" i="5"/>
  <c r="D1229" i="5"/>
  <c r="A1230" i="5"/>
  <c r="B1230" i="5"/>
  <c r="C1230" i="5"/>
  <c r="D1230" i="5"/>
  <c r="A1231" i="5"/>
  <c r="B1231" i="5"/>
  <c r="C1231" i="5"/>
  <c r="D1231" i="5"/>
  <c r="A1232" i="5"/>
  <c r="B1232" i="5"/>
  <c r="C1232" i="5"/>
  <c r="D1232" i="5"/>
  <c r="A1233" i="5"/>
  <c r="B1233" i="5"/>
  <c r="C1233" i="5"/>
  <c r="D1233" i="5"/>
  <c r="A1234" i="5"/>
  <c r="B1234" i="5"/>
  <c r="C1234" i="5"/>
  <c r="D1234" i="5"/>
  <c r="A1235" i="5"/>
  <c r="B1235" i="5"/>
  <c r="C1235" i="5"/>
  <c r="D1235" i="5"/>
  <c r="A1236" i="5"/>
  <c r="B1236" i="5"/>
  <c r="C1236" i="5"/>
  <c r="D1236" i="5"/>
  <c r="A1237" i="5"/>
  <c r="B1237" i="5"/>
  <c r="C1237" i="5"/>
  <c r="D1237" i="5"/>
  <c r="A1238" i="5"/>
  <c r="B1238" i="5"/>
  <c r="C1238" i="5"/>
  <c r="D1238" i="5"/>
  <c r="A1239" i="5"/>
  <c r="B1239" i="5"/>
  <c r="C1239" i="5"/>
  <c r="D1239" i="5"/>
  <c r="A1240" i="5"/>
  <c r="B1240" i="5"/>
  <c r="C1240" i="5"/>
  <c r="D1240" i="5"/>
  <c r="A1241" i="5"/>
  <c r="B1241" i="5"/>
  <c r="C1241" i="5"/>
  <c r="D1241" i="5"/>
  <c r="A1242" i="5"/>
  <c r="B1242" i="5"/>
  <c r="C1242" i="5"/>
  <c r="D1242" i="5"/>
  <c r="A1243" i="5"/>
  <c r="B1243" i="5"/>
  <c r="C1243" i="5"/>
  <c r="D1243" i="5"/>
  <c r="A1244" i="5"/>
  <c r="B1244" i="5"/>
  <c r="C1244" i="5"/>
  <c r="D1244" i="5"/>
  <c r="A1245" i="5"/>
  <c r="B1245" i="5"/>
  <c r="C1245" i="5"/>
  <c r="D1245" i="5"/>
  <c r="A1246" i="5"/>
  <c r="B1246" i="5"/>
  <c r="C1246" i="5"/>
  <c r="D1246" i="5"/>
  <c r="A1247" i="5"/>
  <c r="B1247" i="5"/>
  <c r="C1247" i="5"/>
  <c r="D1247" i="5"/>
  <c r="A1248" i="5"/>
  <c r="B1248" i="5"/>
  <c r="C1248" i="5"/>
  <c r="D1248" i="5"/>
  <c r="A1249" i="5"/>
  <c r="B1249" i="5"/>
  <c r="C1249" i="5"/>
  <c r="D1249" i="5"/>
  <c r="A1250" i="5"/>
  <c r="B1250" i="5"/>
  <c r="C1250" i="5"/>
  <c r="D1250" i="5"/>
  <c r="A1251" i="5"/>
  <c r="B1251" i="5"/>
  <c r="C1251" i="5"/>
  <c r="D1251" i="5"/>
  <c r="A1252" i="5"/>
  <c r="B1252" i="5"/>
  <c r="C1252" i="5"/>
  <c r="D1252" i="5"/>
  <c r="A1253" i="5"/>
  <c r="B1253" i="5"/>
  <c r="C1253" i="5"/>
  <c r="D1253" i="5"/>
  <c r="A1254" i="5"/>
  <c r="B1254" i="5"/>
  <c r="C1254" i="5"/>
  <c r="D1254" i="5"/>
  <c r="A1255" i="5"/>
  <c r="B1255" i="5"/>
  <c r="C1255" i="5"/>
  <c r="D1255" i="5"/>
  <c r="A1256" i="5"/>
  <c r="B1256" i="5"/>
  <c r="C1256" i="5"/>
  <c r="D1256" i="5"/>
  <c r="A1257" i="5"/>
  <c r="B1257" i="5"/>
  <c r="C1257" i="5"/>
  <c r="D1257" i="5"/>
  <c r="A1258" i="5"/>
  <c r="B1258" i="5"/>
  <c r="C1258" i="5"/>
  <c r="D1258" i="5"/>
  <c r="A1259" i="5"/>
  <c r="B1259" i="5"/>
  <c r="C1259" i="5"/>
  <c r="D1259" i="5"/>
  <c r="A1260" i="5"/>
  <c r="B1260" i="5"/>
  <c r="C1260" i="5"/>
  <c r="D1260" i="5"/>
  <c r="A1261" i="5"/>
  <c r="B1261" i="5"/>
  <c r="C1261" i="5"/>
  <c r="D1261" i="5"/>
  <c r="A1262" i="5"/>
  <c r="B1262" i="5"/>
  <c r="C1262" i="5"/>
  <c r="D1262" i="5"/>
  <c r="A1263" i="5"/>
  <c r="B1263" i="5"/>
  <c r="C1263" i="5"/>
  <c r="D1263" i="5"/>
  <c r="A1264" i="5"/>
  <c r="B1264" i="5"/>
  <c r="C1264" i="5"/>
  <c r="D1264" i="5"/>
  <c r="A1265" i="5"/>
  <c r="B1265" i="5"/>
  <c r="C1265" i="5"/>
  <c r="D1265" i="5"/>
  <c r="A1266" i="5"/>
  <c r="B1266" i="5"/>
  <c r="C1266" i="5"/>
  <c r="D1266" i="5"/>
  <c r="A1267" i="5"/>
  <c r="B1267" i="5"/>
  <c r="C1267" i="5"/>
  <c r="D1267" i="5"/>
  <c r="A1268" i="5"/>
  <c r="B1268" i="5"/>
  <c r="C1268" i="5"/>
  <c r="D1268" i="5"/>
  <c r="A1269" i="5"/>
  <c r="B1269" i="5"/>
  <c r="C1269" i="5"/>
  <c r="D1269" i="5"/>
  <c r="A1270" i="5"/>
  <c r="B1270" i="5"/>
  <c r="C1270" i="5"/>
  <c r="D1270" i="5"/>
  <c r="A1271" i="5"/>
  <c r="B1271" i="5"/>
  <c r="C1271" i="5"/>
  <c r="D1271" i="5"/>
  <c r="A1272" i="5"/>
  <c r="B1272" i="5"/>
  <c r="C1272" i="5"/>
  <c r="D1272" i="5"/>
  <c r="A1273" i="5"/>
  <c r="B1273" i="5"/>
  <c r="C1273" i="5"/>
  <c r="D1273" i="5"/>
  <c r="A1274" i="5"/>
  <c r="B1274" i="5"/>
  <c r="C1274" i="5"/>
  <c r="D1274" i="5"/>
  <c r="A1275" i="5"/>
  <c r="B1275" i="5"/>
  <c r="C1275" i="5"/>
  <c r="D1275" i="5"/>
  <c r="A1276" i="5"/>
  <c r="B1276" i="5"/>
  <c r="C1276" i="5"/>
  <c r="D1276" i="5"/>
  <c r="A1277" i="5"/>
  <c r="B1277" i="5"/>
  <c r="C1277" i="5"/>
  <c r="D1277" i="5"/>
  <c r="A1278" i="5"/>
  <c r="B1278" i="5"/>
  <c r="C1278" i="5"/>
  <c r="D1278" i="5"/>
  <c r="A1279" i="5"/>
  <c r="B1279" i="5"/>
  <c r="C1279" i="5"/>
  <c r="D1279" i="5"/>
  <c r="A1280" i="5"/>
  <c r="B1280" i="5"/>
  <c r="C1280" i="5"/>
  <c r="D1280" i="5"/>
  <c r="A1281" i="5"/>
  <c r="B1281" i="5"/>
  <c r="C1281" i="5"/>
  <c r="D1281" i="5"/>
  <c r="A1282" i="5"/>
  <c r="B1282" i="5"/>
  <c r="C1282" i="5"/>
  <c r="D1282" i="5"/>
  <c r="A1283" i="5"/>
  <c r="B1283" i="5"/>
  <c r="C1283" i="5"/>
  <c r="D1283" i="5"/>
  <c r="A1284" i="5"/>
  <c r="B1284" i="5"/>
  <c r="C1284" i="5"/>
  <c r="D1284" i="5"/>
  <c r="A1285" i="5"/>
  <c r="B1285" i="5"/>
  <c r="C1285" i="5"/>
  <c r="D1285" i="5"/>
  <c r="A1286" i="5"/>
  <c r="B1286" i="5"/>
  <c r="C1286" i="5"/>
  <c r="D1286" i="5"/>
  <c r="A1287" i="5"/>
  <c r="B1287" i="5"/>
  <c r="C1287" i="5"/>
  <c r="D1287" i="5"/>
  <c r="A1288" i="5"/>
  <c r="B1288" i="5"/>
  <c r="C1288" i="5"/>
  <c r="D1288" i="5"/>
  <c r="A1289" i="5"/>
  <c r="B1289" i="5"/>
  <c r="C1289" i="5"/>
  <c r="D1289" i="5"/>
  <c r="A1290" i="5"/>
  <c r="B1290" i="5"/>
  <c r="C1290" i="5"/>
  <c r="D1290" i="5"/>
  <c r="A1291" i="5"/>
  <c r="B1291" i="5"/>
  <c r="C1291" i="5"/>
  <c r="D1291" i="5"/>
  <c r="A1292" i="5"/>
  <c r="B1292" i="5"/>
  <c r="C1292" i="5"/>
  <c r="D1292" i="5"/>
  <c r="A1293" i="5"/>
  <c r="B1293" i="5"/>
  <c r="C1293" i="5"/>
  <c r="D1293" i="5"/>
  <c r="A1294" i="5"/>
  <c r="B1294" i="5"/>
  <c r="C1294" i="5"/>
  <c r="D1294" i="5"/>
  <c r="A1295" i="5"/>
  <c r="B1295" i="5"/>
  <c r="C1295" i="5"/>
  <c r="D1295" i="5"/>
  <c r="A1296" i="5"/>
  <c r="B1296" i="5"/>
  <c r="C1296" i="5"/>
  <c r="D1296" i="5"/>
  <c r="A1297" i="5"/>
  <c r="B1297" i="5"/>
  <c r="C1297" i="5"/>
  <c r="D1297" i="5"/>
  <c r="A1298" i="5"/>
  <c r="B1298" i="5"/>
  <c r="C1298" i="5"/>
  <c r="D1298" i="5"/>
  <c r="A1299" i="5"/>
  <c r="B1299" i="5"/>
  <c r="C1299" i="5"/>
  <c r="D1299" i="5"/>
  <c r="A1300" i="5"/>
  <c r="B1300" i="5"/>
  <c r="C1300" i="5"/>
  <c r="D1300" i="5"/>
  <c r="A1301" i="5"/>
  <c r="B1301" i="5"/>
  <c r="C1301" i="5"/>
  <c r="D1301" i="5"/>
  <c r="A1302" i="5"/>
  <c r="B1302" i="5"/>
  <c r="C1302" i="5"/>
  <c r="D1302" i="5"/>
  <c r="A1303" i="5"/>
  <c r="B1303" i="5"/>
  <c r="C1303" i="5"/>
  <c r="D1303" i="5"/>
  <c r="A1304" i="5"/>
  <c r="B1304" i="5"/>
  <c r="C1304" i="5"/>
  <c r="D1304" i="5"/>
  <c r="A1305" i="5"/>
  <c r="B1305" i="5"/>
  <c r="C1305" i="5"/>
  <c r="D1305" i="5"/>
  <c r="A1306" i="5"/>
  <c r="B1306" i="5"/>
  <c r="C1306" i="5"/>
  <c r="D1306" i="5"/>
  <c r="A1307" i="5"/>
  <c r="B1307" i="5"/>
  <c r="C1307" i="5"/>
  <c r="D1307" i="5"/>
  <c r="A1308" i="5"/>
  <c r="B1308" i="5"/>
  <c r="C1308" i="5"/>
  <c r="D1308" i="5"/>
  <c r="A1309" i="5"/>
  <c r="B1309" i="5"/>
  <c r="C1309" i="5"/>
  <c r="D1309" i="5"/>
  <c r="A1310" i="5"/>
  <c r="B1310" i="5"/>
  <c r="C1310" i="5"/>
  <c r="D1310" i="5"/>
  <c r="A1311" i="5"/>
  <c r="B1311" i="5"/>
  <c r="C1311" i="5"/>
  <c r="D1311" i="5"/>
  <c r="A1312" i="5"/>
  <c r="B1312" i="5"/>
  <c r="C1312" i="5"/>
  <c r="D1312" i="5"/>
  <c r="A1313" i="5"/>
  <c r="B1313" i="5"/>
  <c r="C1313" i="5"/>
  <c r="D1313" i="5"/>
  <c r="A1314" i="5"/>
  <c r="B1314" i="5"/>
  <c r="C1314" i="5"/>
  <c r="D1314" i="5"/>
  <c r="A1315" i="5"/>
  <c r="B1315" i="5"/>
  <c r="C1315" i="5"/>
  <c r="D1315" i="5"/>
  <c r="A1316" i="5"/>
  <c r="B1316" i="5"/>
  <c r="C1316" i="5"/>
  <c r="D1316" i="5"/>
  <c r="A1317" i="5"/>
  <c r="B1317" i="5"/>
  <c r="C1317" i="5"/>
  <c r="D1317" i="5"/>
  <c r="A1318" i="5"/>
  <c r="B1318" i="5"/>
  <c r="C1318" i="5"/>
  <c r="D1318" i="5"/>
  <c r="A1319" i="5"/>
  <c r="B1319" i="5"/>
  <c r="C1319" i="5"/>
  <c r="D1319" i="5"/>
  <c r="A1320" i="5"/>
  <c r="B1320" i="5"/>
  <c r="C1320" i="5"/>
  <c r="D1320" i="5"/>
  <c r="A1321" i="5"/>
  <c r="B1321" i="5"/>
  <c r="C1321" i="5"/>
  <c r="D1321" i="5"/>
  <c r="A1322" i="5"/>
  <c r="B1322" i="5"/>
  <c r="C1322" i="5"/>
  <c r="D1322" i="5"/>
  <c r="A1323" i="5"/>
  <c r="B1323" i="5"/>
  <c r="C1323" i="5"/>
  <c r="D1323" i="5"/>
  <c r="A1324" i="5"/>
  <c r="B1324" i="5"/>
  <c r="C1324" i="5"/>
  <c r="D1324" i="5"/>
  <c r="A1325" i="5"/>
  <c r="B1325" i="5"/>
  <c r="C1325" i="5"/>
  <c r="D1325" i="5"/>
  <c r="A1326" i="5"/>
  <c r="B1326" i="5"/>
  <c r="C1326" i="5"/>
  <c r="D1326" i="5"/>
  <c r="A1327" i="5"/>
  <c r="B1327" i="5"/>
  <c r="C1327" i="5"/>
  <c r="D1327" i="5"/>
  <c r="A1328" i="5"/>
  <c r="B1328" i="5"/>
  <c r="C1328" i="5"/>
  <c r="D1328" i="5"/>
  <c r="A1329" i="5"/>
  <c r="B1329" i="5"/>
  <c r="C1329" i="5"/>
  <c r="D1329" i="5"/>
  <c r="A1330" i="5"/>
  <c r="B1330" i="5"/>
  <c r="C1330" i="5"/>
  <c r="D1330" i="5"/>
  <c r="A1331" i="5"/>
  <c r="B1331" i="5"/>
  <c r="C1331" i="5"/>
  <c r="D1331" i="5"/>
  <c r="A1332" i="5"/>
  <c r="B1332" i="5"/>
  <c r="C1332" i="5"/>
  <c r="D1332" i="5"/>
  <c r="A1333" i="5"/>
  <c r="B1333" i="5"/>
  <c r="C1333" i="5"/>
  <c r="D1333" i="5"/>
  <c r="A1334" i="5"/>
  <c r="B1334" i="5"/>
  <c r="C1334" i="5"/>
  <c r="D1334" i="5"/>
  <c r="A1335" i="5"/>
  <c r="B1335" i="5"/>
  <c r="C1335" i="5"/>
  <c r="D1335" i="5"/>
  <c r="A1336" i="5"/>
  <c r="B1336" i="5"/>
  <c r="C1336" i="5"/>
  <c r="D1336" i="5"/>
  <c r="A1337" i="5"/>
  <c r="B1337" i="5"/>
  <c r="C1337" i="5"/>
  <c r="D1337" i="5"/>
  <c r="A1338" i="5"/>
  <c r="B1338" i="5"/>
  <c r="C1338" i="5"/>
  <c r="D1338" i="5"/>
  <c r="A1339" i="5"/>
  <c r="B1339" i="5"/>
  <c r="C1339" i="5"/>
  <c r="D1339" i="5"/>
  <c r="A1340" i="5"/>
  <c r="B1340" i="5"/>
  <c r="C1340" i="5"/>
  <c r="D1340" i="5"/>
  <c r="A1341" i="5"/>
  <c r="B1341" i="5"/>
  <c r="C1341" i="5"/>
  <c r="D1341" i="5"/>
  <c r="A1342" i="5"/>
  <c r="B1342" i="5"/>
  <c r="C1342" i="5"/>
  <c r="D1342" i="5"/>
  <c r="A1343" i="5"/>
  <c r="B1343" i="5"/>
  <c r="C1343" i="5"/>
  <c r="D1343" i="5"/>
  <c r="A1344" i="5"/>
  <c r="B1344" i="5"/>
  <c r="C1344" i="5"/>
  <c r="D1344" i="5"/>
  <c r="A1345" i="5"/>
  <c r="B1345" i="5"/>
  <c r="C1345" i="5"/>
  <c r="D1345" i="5"/>
  <c r="A1346" i="5"/>
  <c r="B1346" i="5"/>
  <c r="C1346" i="5"/>
  <c r="D1346" i="5"/>
  <c r="A1347" i="5"/>
  <c r="B1347" i="5"/>
  <c r="C1347" i="5"/>
  <c r="D1347" i="5"/>
  <c r="A1348" i="5"/>
  <c r="B1348" i="5"/>
  <c r="C1348" i="5"/>
  <c r="D1348" i="5"/>
  <c r="A1349" i="5"/>
  <c r="B1349" i="5"/>
  <c r="C1349" i="5"/>
  <c r="D1349" i="5"/>
  <c r="A1350" i="5"/>
  <c r="B1350" i="5"/>
  <c r="C1350" i="5"/>
  <c r="D1350" i="5"/>
  <c r="A1351" i="5"/>
  <c r="B1351" i="5"/>
  <c r="C1351" i="5"/>
  <c r="D1351" i="5"/>
  <c r="A1352" i="5"/>
  <c r="B1352" i="5"/>
  <c r="C1352" i="5"/>
  <c r="D1352" i="5"/>
  <c r="A1353" i="5"/>
  <c r="B1353" i="5"/>
  <c r="C1353" i="5"/>
  <c r="D1353" i="5"/>
  <c r="A1354" i="5"/>
  <c r="B1354" i="5"/>
  <c r="C1354" i="5"/>
  <c r="D1354" i="5"/>
  <c r="A1355" i="5"/>
  <c r="B1355" i="5"/>
  <c r="C1355" i="5"/>
  <c r="D1355" i="5"/>
  <c r="A1356" i="5"/>
  <c r="B1356" i="5"/>
  <c r="C1356" i="5"/>
  <c r="D1356" i="5"/>
  <c r="A1357" i="5"/>
  <c r="B1357" i="5"/>
  <c r="C1357" i="5"/>
  <c r="D1357" i="5"/>
  <c r="A1358" i="5"/>
  <c r="B1358" i="5"/>
  <c r="C1358" i="5"/>
  <c r="D1358" i="5"/>
  <c r="A1359" i="5"/>
  <c r="B1359" i="5"/>
  <c r="C1359" i="5"/>
  <c r="D1359" i="5"/>
  <c r="A1360" i="5"/>
  <c r="B1360" i="5"/>
  <c r="C1360" i="5"/>
  <c r="D1360" i="5"/>
  <c r="A1361" i="5"/>
  <c r="B1361" i="5"/>
  <c r="C1361" i="5"/>
  <c r="D1361" i="5"/>
  <c r="A1362" i="5"/>
  <c r="B1362" i="5"/>
  <c r="C1362" i="5"/>
  <c r="D1362" i="5"/>
  <c r="A1363" i="5"/>
  <c r="B1363" i="5"/>
  <c r="C1363" i="5"/>
  <c r="D1363" i="5"/>
  <c r="A1364" i="5"/>
  <c r="B1364" i="5"/>
  <c r="C1364" i="5"/>
  <c r="D1364" i="5"/>
  <c r="A1365" i="5"/>
  <c r="B1365" i="5"/>
  <c r="C1365" i="5"/>
  <c r="D1365" i="5"/>
  <c r="A1366" i="5"/>
  <c r="B1366" i="5"/>
  <c r="C1366" i="5"/>
  <c r="D1366" i="5"/>
  <c r="A1367" i="5"/>
  <c r="B1367" i="5"/>
  <c r="C1367" i="5"/>
  <c r="D1367" i="5"/>
  <c r="A1368" i="5"/>
  <c r="B1368" i="5"/>
  <c r="C1368" i="5"/>
  <c r="D1368" i="5"/>
  <c r="A1369" i="5"/>
  <c r="B1369" i="5"/>
  <c r="C1369" i="5"/>
  <c r="D1369" i="5"/>
  <c r="A1370" i="5"/>
  <c r="B1370" i="5"/>
  <c r="C1370" i="5"/>
  <c r="D1370" i="5"/>
  <c r="A1371" i="5"/>
  <c r="B1371" i="5"/>
  <c r="C1371" i="5"/>
  <c r="D1371" i="5"/>
  <c r="A1372" i="5"/>
  <c r="B1372" i="5"/>
  <c r="C1372" i="5"/>
  <c r="D1372" i="5"/>
  <c r="A1373" i="5"/>
  <c r="B1373" i="5"/>
  <c r="C1373" i="5"/>
  <c r="D1373" i="5"/>
  <c r="A1374" i="5"/>
  <c r="B1374" i="5"/>
  <c r="C1374" i="5"/>
  <c r="D1374" i="5"/>
  <c r="A1375" i="5"/>
  <c r="B1375" i="5"/>
  <c r="C1375" i="5"/>
  <c r="D1375" i="5"/>
  <c r="A1376" i="5"/>
  <c r="B1376" i="5"/>
  <c r="C1376" i="5"/>
  <c r="D1376" i="5"/>
  <c r="A1377" i="5"/>
  <c r="B1377" i="5"/>
  <c r="C1377" i="5"/>
  <c r="D1377" i="5"/>
  <c r="A1378" i="5"/>
  <c r="B1378" i="5"/>
  <c r="C1378" i="5"/>
  <c r="D1378" i="5"/>
  <c r="A1379" i="5"/>
  <c r="B1379" i="5"/>
  <c r="C1379" i="5"/>
  <c r="D1379" i="5"/>
  <c r="A1380" i="5"/>
  <c r="B1380" i="5"/>
  <c r="C1380" i="5"/>
  <c r="D1380" i="5"/>
  <c r="A1381" i="5"/>
  <c r="B1381" i="5"/>
  <c r="C1381" i="5"/>
  <c r="D1381" i="5"/>
  <c r="A1382" i="5"/>
  <c r="B1382" i="5"/>
  <c r="C1382" i="5"/>
  <c r="D1382" i="5"/>
  <c r="A1383" i="5"/>
  <c r="B1383" i="5"/>
  <c r="C1383" i="5"/>
  <c r="D1383" i="5"/>
  <c r="A1384" i="5"/>
  <c r="B1384" i="5"/>
  <c r="C1384" i="5"/>
  <c r="D1384" i="5"/>
  <c r="A1385" i="5"/>
  <c r="B1385" i="5"/>
  <c r="C1385" i="5"/>
  <c r="D1385" i="5"/>
  <c r="A1386" i="5"/>
  <c r="B1386" i="5"/>
  <c r="C1386" i="5"/>
  <c r="D1386" i="5"/>
  <c r="A1387" i="5"/>
  <c r="B1387" i="5"/>
  <c r="C1387" i="5"/>
  <c r="D1387" i="5"/>
  <c r="A1388" i="5"/>
  <c r="B1388" i="5"/>
  <c r="C1388" i="5"/>
  <c r="D1388" i="5"/>
  <c r="A1389" i="5"/>
  <c r="B1389" i="5"/>
  <c r="C1389" i="5"/>
  <c r="D1389" i="5"/>
  <c r="A1390" i="5"/>
  <c r="B1390" i="5"/>
  <c r="C1390" i="5"/>
  <c r="D1390" i="5"/>
  <c r="A1391" i="5"/>
  <c r="B1391" i="5"/>
  <c r="C1391" i="5"/>
  <c r="D1391" i="5"/>
  <c r="A1392" i="5"/>
  <c r="B1392" i="5"/>
  <c r="C1392" i="5"/>
  <c r="D1392" i="5"/>
  <c r="A1393" i="5"/>
  <c r="B1393" i="5"/>
  <c r="C1393" i="5"/>
  <c r="D1393" i="5"/>
  <c r="A1394" i="5"/>
  <c r="B1394" i="5"/>
  <c r="C1394" i="5"/>
  <c r="D1394" i="5"/>
  <c r="A1395" i="5"/>
  <c r="B1395" i="5"/>
  <c r="C1395" i="5"/>
  <c r="D1395" i="5"/>
  <c r="A1396" i="5"/>
  <c r="B1396" i="5"/>
  <c r="C1396" i="5"/>
  <c r="D1396" i="5"/>
  <c r="A1397" i="5"/>
  <c r="B1397" i="5"/>
  <c r="C1397" i="5"/>
  <c r="D1397" i="5"/>
  <c r="A1398" i="5"/>
  <c r="B1398" i="5"/>
  <c r="C1398" i="5"/>
  <c r="D1398" i="5"/>
  <c r="A1399" i="5"/>
  <c r="B1399" i="5"/>
  <c r="C1399" i="5"/>
  <c r="D1399" i="5"/>
  <c r="A1400" i="5"/>
  <c r="B1400" i="5"/>
  <c r="C1400" i="5"/>
  <c r="D1400" i="5"/>
  <c r="A1401" i="5"/>
  <c r="B1401" i="5"/>
  <c r="C1401" i="5"/>
  <c r="D1401" i="5"/>
  <c r="A1402" i="5"/>
  <c r="B1402" i="5"/>
  <c r="C1402" i="5"/>
  <c r="D1402" i="5"/>
  <c r="A1403" i="5"/>
  <c r="B1403" i="5"/>
  <c r="C1403" i="5"/>
  <c r="D1403" i="5"/>
  <c r="A1404" i="5"/>
  <c r="B1404" i="5"/>
  <c r="C1404" i="5"/>
  <c r="D1404" i="5"/>
  <c r="A1405" i="5"/>
  <c r="B1405" i="5"/>
  <c r="C1405" i="5"/>
  <c r="D1405" i="5"/>
  <c r="A1406" i="5"/>
  <c r="B1406" i="5"/>
  <c r="C1406" i="5"/>
  <c r="D1406" i="5"/>
  <c r="A1407" i="5"/>
  <c r="B1407" i="5"/>
  <c r="C1407" i="5"/>
  <c r="D1407" i="5"/>
  <c r="A1408" i="5"/>
  <c r="B1408" i="5"/>
  <c r="C1408" i="5"/>
  <c r="D1408" i="5"/>
  <c r="A1409" i="5"/>
  <c r="B1409" i="5"/>
  <c r="C1409" i="5"/>
  <c r="D1409" i="5"/>
  <c r="A1410" i="5"/>
  <c r="B1410" i="5"/>
  <c r="C1410" i="5"/>
  <c r="D1410" i="5"/>
  <c r="A1411" i="5"/>
  <c r="B1411" i="5"/>
  <c r="C1411" i="5"/>
  <c r="D1411" i="5"/>
  <c r="A1412" i="5"/>
  <c r="B1412" i="5"/>
  <c r="C1412" i="5"/>
  <c r="D1412" i="5"/>
  <c r="A1413" i="5"/>
  <c r="B1413" i="5"/>
  <c r="C1413" i="5"/>
  <c r="D1413" i="5"/>
  <c r="A1414" i="5"/>
  <c r="B1414" i="5"/>
  <c r="C1414" i="5"/>
  <c r="D1414" i="5"/>
  <c r="A1415" i="5"/>
  <c r="B1415" i="5"/>
  <c r="C1415" i="5"/>
  <c r="D1415" i="5"/>
  <c r="A1416" i="5"/>
  <c r="B1416" i="5"/>
  <c r="C1416" i="5"/>
  <c r="D1416" i="5"/>
  <c r="A1417" i="5"/>
  <c r="B1417" i="5"/>
  <c r="C1417" i="5"/>
  <c r="D1417" i="5"/>
  <c r="A1418" i="5"/>
  <c r="B1418" i="5"/>
  <c r="C1418" i="5"/>
  <c r="D1418" i="5"/>
  <c r="A1419" i="5"/>
  <c r="B1419" i="5"/>
  <c r="C1419" i="5"/>
  <c r="D1419" i="5"/>
  <c r="A1420" i="5"/>
  <c r="B1420" i="5"/>
  <c r="C1420" i="5"/>
  <c r="D1420" i="5"/>
  <c r="A1421" i="5"/>
  <c r="B1421" i="5"/>
  <c r="C1421" i="5"/>
  <c r="D1421" i="5"/>
  <c r="A1422" i="5"/>
  <c r="B1422" i="5"/>
  <c r="C1422" i="5"/>
  <c r="D1422" i="5"/>
  <c r="A1423" i="5"/>
  <c r="B1423" i="5"/>
  <c r="C1423" i="5"/>
  <c r="D1423" i="5"/>
  <c r="A1424" i="5"/>
  <c r="B1424" i="5"/>
  <c r="C1424" i="5"/>
  <c r="D1424" i="5"/>
  <c r="A1425" i="5"/>
  <c r="B1425" i="5"/>
  <c r="C1425" i="5"/>
  <c r="D1425" i="5"/>
  <c r="A1426" i="5"/>
  <c r="B1426" i="5"/>
  <c r="C1426" i="5"/>
  <c r="D1426" i="5"/>
  <c r="A1427" i="5"/>
  <c r="B1427" i="5"/>
  <c r="C1427" i="5"/>
  <c r="D1427" i="5"/>
  <c r="A1428" i="5"/>
  <c r="B1428" i="5"/>
  <c r="C1428" i="5"/>
  <c r="D1428" i="5"/>
  <c r="A1429" i="5"/>
  <c r="B1429" i="5"/>
  <c r="C1429" i="5"/>
  <c r="D1429" i="5"/>
  <c r="A1430" i="5"/>
  <c r="B1430" i="5"/>
  <c r="C1430" i="5"/>
  <c r="D1430" i="5"/>
  <c r="A1431" i="5"/>
  <c r="B1431" i="5"/>
  <c r="C1431" i="5"/>
  <c r="D1431" i="5"/>
  <c r="A1432" i="5"/>
  <c r="B1432" i="5"/>
  <c r="C1432" i="5"/>
  <c r="D1432" i="5"/>
  <c r="A1433" i="5"/>
  <c r="B1433" i="5"/>
  <c r="C1433" i="5"/>
  <c r="D1433" i="5"/>
  <c r="A1434" i="5"/>
  <c r="B1434" i="5"/>
  <c r="C1434" i="5"/>
  <c r="D1434" i="5"/>
  <c r="A1435" i="5"/>
  <c r="B1435" i="5"/>
  <c r="C1435" i="5"/>
  <c r="D1435" i="5"/>
  <c r="A1436" i="5"/>
  <c r="B1436" i="5"/>
  <c r="C1436" i="5"/>
  <c r="D1436" i="5"/>
  <c r="A1437" i="5"/>
  <c r="B1437" i="5"/>
  <c r="C1437" i="5"/>
  <c r="D1437" i="5"/>
  <c r="A1438" i="5"/>
  <c r="B1438" i="5"/>
  <c r="C1438" i="5"/>
  <c r="D1438" i="5"/>
  <c r="A1439" i="5"/>
  <c r="B1439" i="5"/>
  <c r="C1439" i="5"/>
  <c r="D1439" i="5"/>
  <c r="A1440" i="5"/>
  <c r="B1440" i="5"/>
  <c r="C1440" i="5"/>
  <c r="D1440" i="5"/>
  <c r="A1441" i="5"/>
  <c r="B1441" i="5"/>
  <c r="C1441" i="5"/>
  <c r="D1441" i="5"/>
  <c r="A1442" i="5"/>
  <c r="B1442" i="5"/>
  <c r="C1442" i="5"/>
  <c r="D1442" i="5"/>
  <c r="A1443" i="5"/>
  <c r="B1443" i="5"/>
  <c r="C1443" i="5"/>
  <c r="D1443" i="5"/>
  <c r="A1444" i="5"/>
  <c r="B1444" i="5"/>
  <c r="C1444" i="5"/>
  <c r="D1444" i="5"/>
  <c r="A1445" i="5"/>
  <c r="B1445" i="5"/>
  <c r="C1445" i="5"/>
  <c r="D1445" i="5"/>
  <c r="A1446" i="5"/>
  <c r="B1446" i="5"/>
  <c r="C1446" i="5"/>
  <c r="D1446" i="5"/>
  <c r="A1447" i="5"/>
  <c r="B1447" i="5"/>
  <c r="C1447" i="5"/>
  <c r="D1447" i="5"/>
  <c r="A1448" i="5"/>
  <c r="B1448" i="5"/>
  <c r="C1448" i="5"/>
  <c r="D1448" i="5"/>
  <c r="A1449" i="5"/>
  <c r="B1449" i="5"/>
  <c r="C1449" i="5"/>
  <c r="D1449" i="5"/>
  <c r="A1450" i="5"/>
  <c r="B1450" i="5"/>
  <c r="C1450" i="5"/>
  <c r="D1450" i="5"/>
  <c r="A1451" i="5"/>
  <c r="B1451" i="5"/>
  <c r="C1451" i="5"/>
  <c r="D1451" i="5"/>
  <c r="A1452" i="5"/>
  <c r="B1452" i="5"/>
  <c r="C1452" i="5"/>
  <c r="D1452" i="5"/>
  <c r="A1453" i="5"/>
  <c r="B1453" i="5"/>
  <c r="C1453" i="5"/>
  <c r="D1453" i="5"/>
  <c r="A1454" i="5"/>
  <c r="B1454" i="5"/>
  <c r="C1454" i="5"/>
  <c r="D1454" i="5"/>
  <c r="A1455" i="5"/>
  <c r="B1455" i="5"/>
  <c r="C1455" i="5"/>
  <c r="D1455" i="5"/>
  <c r="A1456" i="5"/>
  <c r="B1456" i="5"/>
  <c r="C1456" i="5"/>
  <c r="D1456" i="5"/>
  <c r="A1457" i="5"/>
  <c r="B1457" i="5"/>
  <c r="C1457" i="5"/>
  <c r="D1457" i="5"/>
  <c r="A1458" i="5"/>
  <c r="B1458" i="5"/>
  <c r="C1458" i="5"/>
  <c r="D1458" i="5"/>
  <c r="A1459" i="5"/>
  <c r="B1459" i="5"/>
  <c r="C1459" i="5"/>
  <c r="D1459" i="5"/>
  <c r="A1460" i="5"/>
  <c r="B1460" i="5"/>
  <c r="C1460" i="5"/>
  <c r="D1460" i="5"/>
  <c r="A1461" i="5"/>
  <c r="B1461" i="5"/>
  <c r="C1461" i="5"/>
  <c r="D1461" i="5"/>
  <c r="A1462" i="5"/>
  <c r="B1462" i="5"/>
  <c r="C1462" i="5"/>
  <c r="D1462" i="5"/>
  <c r="A1463" i="5"/>
  <c r="B1463" i="5"/>
  <c r="C1463" i="5"/>
  <c r="D1463" i="5"/>
  <c r="A1464" i="5"/>
  <c r="B1464" i="5"/>
  <c r="C1464" i="5"/>
  <c r="D1464" i="5"/>
  <c r="A1465" i="5"/>
  <c r="B1465" i="5"/>
  <c r="C1465" i="5"/>
  <c r="D1465" i="5"/>
  <c r="A1466" i="5"/>
  <c r="B1466" i="5"/>
  <c r="C1466" i="5"/>
  <c r="D1466" i="5"/>
  <c r="A1467" i="5"/>
  <c r="B1467" i="5"/>
  <c r="C1467" i="5"/>
  <c r="D1467" i="5"/>
  <c r="A1468" i="5"/>
  <c r="B1468" i="5"/>
  <c r="C1468" i="5"/>
  <c r="D1468" i="5"/>
  <c r="A1469" i="5"/>
  <c r="B1469" i="5"/>
  <c r="C1469" i="5"/>
  <c r="D1469" i="5"/>
  <c r="A1470" i="5"/>
  <c r="B1470" i="5"/>
  <c r="C1470" i="5"/>
  <c r="D1470" i="5"/>
  <c r="A1471" i="5"/>
  <c r="B1471" i="5"/>
  <c r="C1471" i="5"/>
  <c r="D1471" i="5"/>
  <c r="A1472" i="5"/>
  <c r="B1472" i="5"/>
  <c r="C1472" i="5"/>
  <c r="D1472" i="5"/>
  <c r="A1473" i="5"/>
  <c r="B1473" i="5"/>
  <c r="C1473" i="5"/>
  <c r="D1473" i="5"/>
  <c r="A1474" i="5"/>
  <c r="B1474" i="5"/>
  <c r="C1474" i="5"/>
  <c r="D1474" i="5"/>
  <c r="A1475" i="5"/>
  <c r="B1475" i="5"/>
  <c r="C1475" i="5"/>
  <c r="D1475" i="5"/>
  <c r="A1476" i="5"/>
  <c r="B1476" i="5"/>
  <c r="C1476" i="5"/>
  <c r="D1476" i="5"/>
  <c r="A1477" i="5"/>
  <c r="B1477" i="5"/>
  <c r="C1477" i="5"/>
  <c r="D1477" i="5"/>
  <c r="A1478" i="5"/>
  <c r="B1478" i="5"/>
  <c r="C1478" i="5"/>
  <c r="D1478" i="5"/>
  <c r="A1479" i="5"/>
  <c r="B1479" i="5"/>
  <c r="C1479" i="5"/>
  <c r="D1479" i="5"/>
  <c r="A1480" i="5"/>
  <c r="B1480" i="5"/>
  <c r="C1480" i="5"/>
  <c r="D1480" i="5"/>
  <c r="A1481" i="5"/>
  <c r="B1481" i="5"/>
  <c r="C1481" i="5"/>
  <c r="D1481" i="5"/>
  <c r="A1482" i="5"/>
  <c r="B1482" i="5"/>
  <c r="C1482" i="5"/>
  <c r="D1482" i="5"/>
  <c r="A1483" i="5"/>
  <c r="B1483" i="5"/>
  <c r="C1483" i="5"/>
  <c r="D1483" i="5"/>
  <c r="A1484" i="5"/>
  <c r="B1484" i="5"/>
  <c r="C1484" i="5"/>
  <c r="D1484" i="5"/>
  <c r="A1485" i="5"/>
  <c r="B1485" i="5"/>
  <c r="C1485" i="5"/>
  <c r="D1485" i="5"/>
  <c r="A1486" i="5"/>
  <c r="B1486" i="5"/>
  <c r="C1486" i="5"/>
  <c r="D1486" i="5"/>
  <c r="A1487" i="5"/>
  <c r="B1487" i="5"/>
  <c r="C1487" i="5"/>
  <c r="D1487" i="5"/>
  <c r="A1488" i="5"/>
  <c r="B1488" i="5"/>
  <c r="C1488" i="5"/>
  <c r="D1488" i="5"/>
  <c r="A1489" i="5"/>
  <c r="B1489" i="5"/>
  <c r="C1489" i="5"/>
  <c r="D1489" i="5"/>
  <c r="A1490" i="5"/>
  <c r="B1490" i="5"/>
  <c r="C1490" i="5"/>
  <c r="D1490" i="5"/>
  <c r="A1491" i="5"/>
  <c r="B1491" i="5"/>
  <c r="C1491" i="5"/>
  <c r="D1491" i="5"/>
  <c r="A1492" i="5"/>
  <c r="B1492" i="5"/>
  <c r="C1492" i="5"/>
  <c r="D1492" i="5"/>
  <c r="A1493" i="5"/>
  <c r="B1493" i="5"/>
  <c r="C1493" i="5"/>
  <c r="D1493" i="5"/>
  <c r="A1494" i="5"/>
  <c r="B1494" i="5"/>
  <c r="C1494" i="5"/>
  <c r="D1494" i="5"/>
  <c r="A1495" i="5"/>
  <c r="B1495" i="5"/>
  <c r="C1495" i="5"/>
  <c r="D1495" i="5"/>
  <c r="A1496" i="5"/>
  <c r="B1496" i="5"/>
  <c r="C1496" i="5"/>
  <c r="D1496" i="5"/>
  <c r="A1497" i="5"/>
  <c r="B1497" i="5"/>
  <c r="C1497" i="5"/>
  <c r="D1497" i="5"/>
  <c r="A1498" i="5"/>
  <c r="B1498" i="5"/>
  <c r="C1498" i="5"/>
  <c r="D1498" i="5"/>
  <c r="A1499" i="5"/>
  <c r="B1499" i="5"/>
  <c r="C1499" i="5"/>
  <c r="D1499" i="5"/>
  <c r="A1500" i="5"/>
  <c r="B1500" i="5"/>
  <c r="C1500" i="5"/>
  <c r="D1500" i="5"/>
  <c r="A1501" i="5"/>
  <c r="B1501" i="5"/>
  <c r="C1501" i="5"/>
  <c r="D1501" i="5"/>
  <c r="A1502" i="5"/>
  <c r="B1502" i="5"/>
  <c r="C1502" i="5"/>
  <c r="D1502" i="5"/>
  <c r="A1503" i="5"/>
  <c r="B1503" i="5"/>
  <c r="C1503" i="5"/>
  <c r="D1503" i="5"/>
  <c r="A1504" i="5"/>
  <c r="B1504" i="5"/>
  <c r="C1504" i="5"/>
  <c r="D1504" i="5"/>
  <c r="A1505" i="5"/>
  <c r="B1505" i="5"/>
  <c r="C1505" i="5"/>
  <c r="D1505" i="5"/>
  <c r="A1506" i="5"/>
  <c r="B1506" i="5"/>
  <c r="C1506" i="5"/>
  <c r="D1506" i="5"/>
  <c r="A1507" i="5"/>
  <c r="B1507" i="5"/>
  <c r="C1507" i="5"/>
  <c r="D1507" i="5"/>
  <c r="A1508" i="5"/>
  <c r="B1508" i="5"/>
  <c r="C1508" i="5"/>
  <c r="D1508" i="5"/>
  <c r="A1509" i="5"/>
  <c r="B1509" i="5"/>
  <c r="C1509" i="5"/>
  <c r="D1509" i="5"/>
  <c r="A1510" i="5"/>
  <c r="B1510" i="5"/>
  <c r="C1510" i="5"/>
  <c r="D1510" i="5"/>
  <c r="A1511" i="5"/>
  <c r="B1511" i="5"/>
  <c r="C1511" i="5"/>
  <c r="D1511" i="5"/>
  <c r="A1512" i="5"/>
  <c r="B1512" i="5"/>
  <c r="C1512" i="5"/>
  <c r="D1512" i="5"/>
  <c r="A1513" i="5"/>
  <c r="B1513" i="5"/>
  <c r="C1513" i="5"/>
  <c r="D1513" i="5"/>
  <c r="A1514" i="5"/>
  <c r="B1514" i="5"/>
  <c r="C1514" i="5"/>
  <c r="D1514" i="5"/>
  <c r="A1515" i="5"/>
  <c r="B1515" i="5"/>
  <c r="C1515" i="5"/>
  <c r="D1515" i="5"/>
  <c r="A1516" i="5"/>
  <c r="B1516" i="5"/>
  <c r="C1516" i="5"/>
  <c r="D1516" i="5"/>
  <c r="A1517" i="5"/>
  <c r="B1517" i="5"/>
  <c r="C1517" i="5"/>
  <c r="D1517" i="5"/>
  <c r="A1518" i="5"/>
  <c r="B1518" i="5"/>
  <c r="C1518" i="5"/>
  <c r="D1518" i="5"/>
  <c r="A1519" i="5"/>
  <c r="B1519" i="5"/>
  <c r="C1519" i="5"/>
  <c r="D1519" i="5"/>
  <c r="A1520" i="5"/>
  <c r="B1520" i="5"/>
  <c r="C1520" i="5"/>
  <c r="D1520" i="5"/>
  <c r="A1521" i="5"/>
  <c r="B1521" i="5"/>
  <c r="C1521" i="5"/>
  <c r="D1521" i="5"/>
  <c r="A1522" i="5"/>
  <c r="B1522" i="5"/>
  <c r="C1522" i="5"/>
  <c r="D1522" i="5"/>
  <c r="A1523" i="5"/>
  <c r="B1523" i="5"/>
  <c r="C1523" i="5"/>
  <c r="D1523" i="5"/>
  <c r="A1524" i="5"/>
  <c r="B1524" i="5"/>
  <c r="C1524" i="5"/>
  <c r="D1524" i="5"/>
  <c r="A1525" i="5"/>
  <c r="B1525" i="5"/>
  <c r="C1525" i="5"/>
  <c r="D1525" i="5"/>
  <c r="A1526" i="5"/>
  <c r="B1526" i="5"/>
  <c r="C1526" i="5"/>
  <c r="D1526" i="5"/>
  <c r="A1527" i="5"/>
  <c r="B1527" i="5"/>
  <c r="C1527" i="5"/>
  <c r="D1527" i="5"/>
  <c r="A1528" i="5"/>
  <c r="B1528" i="5"/>
  <c r="C1528" i="5"/>
  <c r="D1528" i="5"/>
  <c r="A1529" i="5"/>
  <c r="B1529" i="5"/>
  <c r="C1529" i="5"/>
  <c r="D1529" i="5"/>
  <c r="A1530" i="5"/>
  <c r="B1530" i="5"/>
  <c r="C1530" i="5"/>
  <c r="D1530" i="5"/>
  <c r="A1531" i="5"/>
  <c r="B1531" i="5"/>
  <c r="C1531" i="5"/>
  <c r="D1531" i="5"/>
  <c r="A1532" i="5"/>
  <c r="B1532" i="5"/>
  <c r="C1532" i="5"/>
  <c r="D1532" i="5"/>
  <c r="A1533" i="5"/>
  <c r="B1533" i="5"/>
  <c r="C1533" i="5"/>
  <c r="D1533" i="5"/>
  <c r="A1534" i="5"/>
  <c r="B1534" i="5"/>
  <c r="C1534" i="5"/>
  <c r="D1534" i="5"/>
  <c r="A1535" i="5"/>
  <c r="B1535" i="5"/>
  <c r="C1535" i="5"/>
  <c r="D1535" i="5"/>
  <c r="A1536" i="5"/>
  <c r="B1536" i="5"/>
  <c r="C1536" i="5"/>
  <c r="D1536" i="5"/>
  <c r="A1537" i="5"/>
  <c r="B1537" i="5"/>
  <c r="C1537" i="5"/>
  <c r="D1537" i="5"/>
  <c r="A1538" i="5"/>
  <c r="B1538" i="5"/>
  <c r="C1538" i="5"/>
  <c r="D1538" i="5"/>
  <c r="A1539" i="5"/>
  <c r="B1539" i="5"/>
  <c r="C1539" i="5"/>
  <c r="D1539" i="5"/>
  <c r="A1540" i="5"/>
  <c r="B1540" i="5"/>
  <c r="C1540" i="5"/>
  <c r="D1540" i="5"/>
  <c r="A1541" i="5"/>
  <c r="B1541" i="5"/>
  <c r="C1541" i="5"/>
  <c r="D1541" i="5"/>
  <c r="A1542" i="5"/>
  <c r="B1542" i="5"/>
  <c r="C1542" i="5"/>
  <c r="D1542" i="5"/>
  <c r="A1543" i="5"/>
  <c r="B1543" i="5"/>
  <c r="C1543" i="5"/>
  <c r="D1543" i="5"/>
  <c r="A1544" i="5"/>
  <c r="B1544" i="5"/>
  <c r="C1544" i="5"/>
  <c r="D1544" i="5"/>
  <c r="A1545" i="5"/>
  <c r="B1545" i="5"/>
  <c r="C1545" i="5"/>
  <c r="D1545" i="5"/>
  <c r="A1546" i="5"/>
  <c r="B1546" i="5"/>
  <c r="C1546" i="5"/>
  <c r="D1546" i="5"/>
  <c r="A1547" i="5"/>
  <c r="B1547" i="5"/>
  <c r="C1547" i="5"/>
  <c r="D1547" i="5"/>
  <c r="A1548" i="5"/>
  <c r="B1548" i="5"/>
  <c r="C1548" i="5"/>
  <c r="D1548" i="5"/>
  <c r="A1549" i="5"/>
  <c r="B1549" i="5"/>
  <c r="C1549" i="5"/>
  <c r="D1549" i="5"/>
  <c r="A1550" i="5"/>
  <c r="B1550" i="5"/>
  <c r="C1550" i="5"/>
  <c r="D1550" i="5"/>
  <c r="A1551" i="5"/>
  <c r="B1551" i="5"/>
  <c r="C1551" i="5"/>
  <c r="D1551" i="5"/>
  <c r="A1552" i="5"/>
  <c r="B1552" i="5"/>
  <c r="C1552" i="5"/>
  <c r="D1552" i="5"/>
  <c r="A1553" i="5"/>
  <c r="B1553" i="5"/>
  <c r="C1553" i="5"/>
  <c r="D1553" i="5"/>
  <c r="A1554" i="5"/>
  <c r="B1554" i="5"/>
  <c r="C1554" i="5"/>
  <c r="D1554" i="5"/>
  <c r="A1555" i="5"/>
  <c r="B1555" i="5"/>
  <c r="C1555" i="5"/>
  <c r="D1555" i="5"/>
  <c r="A1556" i="5"/>
  <c r="B1556" i="5"/>
  <c r="C1556" i="5"/>
  <c r="D1556" i="5"/>
  <c r="A1557" i="5"/>
  <c r="B1557" i="5"/>
  <c r="C1557" i="5"/>
  <c r="D1557" i="5"/>
  <c r="A1558" i="5"/>
  <c r="B1558" i="5"/>
  <c r="C1558" i="5"/>
  <c r="D1558" i="5"/>
  <c r="A1559" i="5"/>
  <c r="B1559" i="5"/>
  <c r="C1559" i="5"/>
  <c r="D1559" i="5"/>
  <c r="A1560" i="5"/>
  <c r="B1560" i="5"/>
  <c r="C1560" i="5"/>
  <c r="D1560" i="5"/>
  <c r="A1561" i="5"/>
  <c r="B1561" i="5"/>
  <c r="C1561" i="5"/>
  <c r="D1561" i="5"/>
  <c r="A1562" i="5"/>
  <c r="B1562" i="5"/>
  <c r="C1562" i="5"/>
  <c r="D1562" i="5"/>
  <c r="A1563" i="5"/>
  <c r="B1563" i="5"/>
  <c r="C1563" i="5"/>
  <c r="D1563" i="5"/>
  <c r="A1564" i="5"/>
  <c r="B1564" i="5"/>
  <c r="C1564" i="5"/>
  <c r="D1564" i="5"/>
  <c r="A1565" i="5"/>
  <c r="B1565" i="5"/>
  <c r="C1565" i="5"/>
  <c r="D1565" i="5"/>
  <c r="A1566" i="5"/>
  <c r="B1566" i="5"/>
  <c r="C1566" i="5"/>
  <c r="D1566" i="5"/>
  <c r="A1567" i="5"/>
  <c r="B1567" i="5"/>
  <c r="C1567" i="5"/>
  <c r="D1567" i="5"/>
  <c r="A1568" i="5"/>
  <c r="B1568" i="5"/>
  <c r="C1568" i="5"/>
  <c r="D1568" i="5"/>
  <c r="A1569" i="5"/>
  <c r="B1569" i="5"/>
  <c r="C1569" i="5"/>
  <c r="D1569" i="5"/>
  <c r="A1570" i="5"/>
  <c r="B1570" i="5"/>
  <c r="C1570" i="5"/>
  <c r="D1570" i="5"/>
  <c r="A1571" i="5"/>
  <c r="B1571" i="5"/>
  <c r="C1571" i="5"/>
  <c r="D1571" i="5"/>
  <c r="A1572" i="5"/>
  <c r="B1572" i="5"/>
  <c r="C1572" i="5"/>
  <c r="D1572" i="5"/>
  <c r="A1573" i="5"/>
  <c r="B1573" i="5"/>
  <c r="C1573" i="5"/>
  <c r="D1573" i="5"/>
  <c r="A1574" i="5"/>
  <c r="B1574" i="5"/>
  <c r="C1574" i="5"/>
  <c r="D1574" i="5"/>
  <c r="A1575" i="5"/>
  <c r="B1575" i="5"/>
  <c r="C1575" i="5"/>
  <c r="D1575" i="5"/>
  <c r="A1576" i="5"/>
  <c r="B1576" i="5"/>
  <c r="C1576" i="5"/>
  <c r="D1576" i="5"/>
  <c r="A1577" i="5"/>
  <c r="B1577" i="5"/>
  <c r="C1577" i="5"/>
  <c r="D1577" i="5"/>
  <c r="A1578" i="5"/>
  <c r="B1578" i="5"/>
  <c r="C1578" i="5"/>
  <c r="D1578" i="5"/>
  <c r="A1579" i="5"/>
  <c r="B1579" i="5"/>
  <c r="C1579" i="5"/>
  <c r="D1579" i="5"/>
  <c r="A1580" i="5"/>
  <c r="B1580" i="5"/>
  <c r="C1580" i="5"/>
  <c r="D1580" i="5"/>
  <c r="A1581" i="5"/>
  <c r="B1581" i="5"/>
  <c r="C1581" i="5"/>
  <c r="D1581" i="5"/>
  <c r="A1582" i="5"/>
  <c r="B1582" i="5"/>
  <c r="C1582" i="5"/>
  <c r="D1582" i="5"/>
  <c r="A1583" i="5"/>
  <c r="B1583" i="5"/>
  <c r="C1583" i="5"/>
  <c r="D1583" i="5"/>
  <c r="A1584" i="5"/>
  <c r="B1584" i="5"/>
  <c r="C1584" i="5"/>
  <c r="D1584" i="5"/>
  <c r="A1585" i="5"/>
  <c r="B1585" i="5"/>
  <c r="C1585" i="5"/>
  <c r="D1585" i="5"/>
  <c r="A1586" i="5"/>
  <c r="B1586" i="5"/>
  <c r="C1586" i="5"/>
  <c r="D1586" i="5"/>
  <c r="A1587" i="5"/>
  <c r="B1587" i="5"/>
  <c r="C1587" i="5"/>
  <c r="D1587" i="5"/>
  <c r="A1588" i="5"/>
  <c r="B1588" i="5"/>
  <c r="C1588" i="5"/>
  <c r="D1588" i="5"/>
  <c r="A1589" i="5"/>
  <c r="B1589" i="5"/>
  <c r="C1589" i="5"/>
  <c r="D1589" i="5"/>
  <c r="A1590" i="5"/>
  <c r="B1590" i="5"/>
  <c r="C1590" i="5"/>
  <c r="D1590" i="5"/>
  <c r="A1591" i="5"/>
  <c r="B1591" i="5"/>
  <c r="C1591" i="5"/>
  <c r="D1591" i="5"/>
  <c r="A1592" i="5"/>
  <c r="B1592" i="5"/>
  <c r="C1592" i="5"/>
  <c r="D1592" i="5"/>
  <c r="A1593" i="5"/>
  <c r="B1593" i="5"/>
  <c r="C1593" i="5"/>
  <c r="D1593" i="5"/>
  <c r="A1594" i="5"/>
  <c r="B1594" i="5"/>
  <c r="C1594" i="5"/>
  <c r="D1594" i="5"/>
  <c r="A1595" i="5"/>
  <c r="B1595" i="5"/>
  <c r="C1595" i="5"/>
  <c r="D1595" i="5"/>
  <c r="A1596" i="5"/>
  <c r="B1596" i="5"/>
  <c r="C1596" i="5"/>
  <c r="D1596" i="5"/>
  <c r="A1597" i="5"/>
  <c r="B1597" i="5"/>
  <c r="C1597" i="5"/>
  <c r="D1597" i="5"/>
  <c r="A1598" i="5"/>
  <c r="B1598" i="5"/>
  <c r="C1598" i="5"/>
  <c r="D1598" i="5"/>
  <c r="A1599" i="5"/>
  <c r="B1599" i="5"/>
  <c r="C1599" i="5"/>
  <c r="D1599" i="5"/>
  <c r="A1600" i="5"/>
  <c r="B1600" i="5"/>
  <c r="C1600" i="5"/>
  <c r="D1600" i="5"/>
  <c r="A1601" i="5"/>
  <c r="B1601" i="5"/>
  <c r="C1601" i="5"/>
  <c r="D1601" i="5"/>
  <c r="A1602" i="5"/>
  <c r="B1602" i="5"/>
  <c r="C1602" i="5"/>
  <c r="D1602" i="5"/>
  <c r="A1603" i="5"/>
  <c r="B1603" i="5"/>
  <c r="C1603" i="5"/>
  <c r="D1603" i="5"/>
  <c r="A1604" i="5"/>
  <c r="B1604" i="5"/>
  <c r="C1604" i="5"/>
  <c r="D1604" i="5"/>
  <c r="A1605" i="5"/>
  <c r="B1605" i="5"/>
  <c r="C1605" i="5"/>
  <c r="D1605" i="5"/>
  <c r="A1606" i="5"/>
  <c r="B1606" i="5"/>
  <c r="C1606" i="5"/>
  <c r="D1606" i="5"/>
  <c r="A1607" i="5"/>
  <c r="B1607" i="5"/>
  <c r="C1607" i="5"/>
  <c r="D1607" i="5"/>
  <c r="A1608" i="5"/>
  <c r="B1608" i="5"/>
  <c r="C1608" i="5"/>
  <c r="D1608" i="5"/>
  <c r="A1609" i="5"/>
  <c r="B1609" i="5"/>
  <c r="C1609" i="5"/>
  <c r="D1609" i="5"/>
  <c r="A1610" i="5"/>
  <c r="B1610" i="5"/>
  <c r="C1610" i="5"/>
  <c r="D1610" i="5"/>
  <c r="A1611" i="5"/>
  <c r="B1611" i="5"/>
  <c r="C1611" i="5"/>
  <c r="D1611" i="5"/>
  <c r="A1612" i="5"/>
  <c r="B1612" i="5"/>
  <c r="C1612" i="5"/>
  <c r="D1612" i="5"/>
  <c r="A1613" i="5"/>
  <c r="B1613" i="5"/>
  <c r="C1613" i="5"/>
  <c r="D1613" i="5"/>
  <c r="A1614" i="5"/>
  <c r="B1614" i="5"/>
  <c r="C1614" i="5"/>
  <c r="D1614" i="5"/>
  <c r="A1615" i="5"/>
  <c r="B1615" i="5"/>
  <c r="C1615" i="5"/>
  <c r="D1615" i="5"/>
  <c r="A1616" i="5"/>
  <c r="B1616" i="5"/>
  <c r="C1616" i="5"/>
  <c r="D1616" i="5"/>
  <c r="A1617" i="5"/>
  <c r="B1617" i="5"/>
  <c r="C1617" i="5"/>
  <c r="D1617" i="5"/>
  <c r="A1618" i="5"/>
  <c r="B1618" i="5"/>
  <c r="C1618" i="5"/>
  <c r="D1618" i="5"/>
  <c r="A1619" i="5"/>
  <c r="B1619" i="5"/>
  <c r="C1619" i="5"/>
  <c r="D1619" i="5"/>
  <c r="A1620" i="5"/>
  <c r="B1620" i="5"/>
  <c r="C1620" i="5"/>
  <c r="D1620" i="5"/>
  <c r="A1621" i="5"/>
  <c r="B1621" i="5"/>
  <c r="C1621" i="5"/>
  <c r="D1621" i="5"/>
  <c r="A1622" i="5"/>
  <c r="B1622" i="5"/>
  <c r="C1622" i="5"/>
  <c r="D1622" i="5"/>
  <c r="A1623" i="5"/>
  <c r="B1623" i="5"/>
  <c r="C1623" i="5"/>
  <c r="D1623" i="5"/>
  <c r="A1624" i="5"/>
  <c r="B1624" i="5"/>
  <c r="C1624" i="5"/>
  <c r="D1624" i="5"/>
  <c r="A1625" i="5"/>
  <c r="B1625" i="5"/>
  <c r="C1625" i="5"/>
  <c r="D1625" i="5"/>
  <c r="A1626" i="5"/>
  <c r="B1626" i="5"/>
  <c r="C1626" i="5"/>
  <c r="D1626" i="5"/>
  <c r="A1627" i="5"/>
  <c r="B1627" i="5"/>
  <c r="C1627" i="5"/>
  <c r="D1627" i="5"/>
  <c r="A1628" i="5"/>
  <c r="B1628" i="5"/>
  <c r="C1628" i="5"/>
  <c r="D1628" i="5"/>
  <c r="A1629" i="5"/>
  <c r="B1629" i="5"/>
  <c r="C1629" i="5"/>
  <c r="D1629" i="5"/>
  <c r="A1630" i="5"/>
  <c r="B1630" i="5"/>
  <c r="C1630" i="5"/>
  <c r="D1630" i="5"/>
  <c r="A1631" i="5"/>
  <c r="B1631" i="5"/>
  <c r="C1631" i="5"/>
  <c r="D1631" i="5"/>
  <c r="A1632" i="5"/>
  <c r="B1632" i="5"/>
  <c r="C1632" i="5"/>
  <c r="D1632" i="5"/>
  <c r="A1633" i="5"/>
  <c r="B1633" i="5"/>
  <c r="C1633" i="5"/>
  <c r="D1633" i="5"/>
  <c r="A1634" i="5"/>
  <c r="B1634" i="5"/>
  <c r="C1634" i="5"/>
  <c r="D1634" i="5"/>
  <c r="A1635" i="5"/>
  <c r="B1635" i="5"/>
  <c r="C1635" i="5"/>
  <c r="D1635" i="5"/>
  <c r="A1636" i="5"/>
  <c r="B1636" i="5"/>
  <c r="C1636" i="5"/>
  <c r="D1636" i="5"/>
  <c r="A1637" i="5"/>
  <c r="B1637" i="5"/>
  <c r="C1637" i="5"/>
  <c r="D1637" i="5"/>
  <c r="A1638" i="5"/>
  <c r="B1638" i="5"/>
  <c r="C1638" i="5"/>
  <c r="D1638" i="5"/>
  <c r="A1639" i="5"/>
  <c r="B1639" i="5"/>
  <c r="C1639" i="5"/>
  <c r="D1639" i="5"/>
  <c r="A1640" i="5"/>
  <c r="B1640" i="5"/>
  <c r="C1640" i="5"/>
  <c r="D1640" i="5"/>
  <c r="A1641" i="5"/>
  <c r="B1641" i="5"/>
  <c r="C1641" i="5"/>
  <c r="D1641" i="5"/>
  <c r="A1642" i="5"/>
  <c r="B1642" i="5"/>
  <c r="C1642" i="5"/>
  <c r="D1642" i="5"/>
  <c r="A1643" i="5"/>
  <c r="B1643" i="5"/>
  <c r="C1643" i="5"/>
  <c r="D1643" i="5"/>
  <c r="A1644" i="5"/>
  <c r="B1644" i="5"/>
  <c r="C1644" i="5"/>
  <c r="D1644" i="5"/>
  <c r="A1645" i="5"/>
  <c r="B1645" i="5"/>
  <c r="C1645" i="5"/>
  <c r="D1645" i="5"/>
  <c r="A1646" i="5"/>
  <c r="B1646" i="5"/>
  <c r="C1646" i="5"/>
  <c r="D1646" i="5"/>
  <c r="A1647" i="5"/>
  <c r="B1647" i="5"/>
  <c r="C1647" i="5"/>
  <c r="D1647" i="5"/>
  <c r="A1648" i="5"/>
  <c r="B1648" i="5"/>
  <c r="C1648" i="5"/>
  <c r="D1648" i="5"/>
  <c r="A1649" i="5"/>
  <c r="B1649" i="5"/>
  <c r="C1649" i="5"/>
  <c r="D1649" i="5"/>
  <c r="A1650" i="5"/>
  <c r="B1650" i="5"/>
  <c r="C1650" i="5"/>
  <c r="D1650" i="5"/>
  <c r="A1651" i="5"/>
  <c r="B1651" i="5"/>
  <c r="C1651" i="5"/>
  <c r="D1651" i="5"/>
  <c r="A1652" i="5"/>
  <c r="B1652" i="5"/>
  <c r="C1652" i="5"/>
  <c r="D1652" i="5"/>
  <c r="A1653" i="5"/>
  <c r="B1653" i="5"/>
  <c r="C1653" i="5"/>
  <c r="D1653" i="5"/>
  <c r="A1654" i="5"/>
  <c r="B1654" i="5"/>
  <c r="C1654" i="5"/>
  <c r="D1654" i="5"/>
  <c r="A1655" i="5"/>
  <c r="B1655" i="5"/>
  <c r="C1655" i="5"/>
  <c r="D1655" i="5"/>
  <c r="A1656" i="5"/>
  <c r="B1656" i="5"/>
  <c r="C1656" i="5"/>
  <c r="D1656" i="5"/>
  <c r="A1657" i="5"/>
  <c r="B1657" i="5"/>
  <c r="C1657" i="5"/>
  <c r="D1657" i="5"/>
  <c r="A1658" i="5"/>
  <c r="B1658" i="5"/>
  <c r="C1658" i="5"/>
  <c r="D1658" i="5"/>
  <c r="A1659" i="5"/>
  <c r="B1659" i="5"/>
  <c r="C1659" i="5"/>
  <c r="D1659" i="5"/>
  <c r="A1660" i="5"/>
  <c r="B1660" i="5"/>
  <c r="C1660" i="5"/>
  <c r="D1660" i="5"/>
  <c r="A1661" i="5"/>
  <c r="B1661" i="5"/>
  <c r="C1661" i="5"/>
  <c r="D1661" i="5"/>
  <c r="A1662" i="5"/>
  <c r="B1662" i="5"/>
  <c r="C1662" i="5"/>
  <c r="D1662" i="5"/>
  <c r="A1663" i="5"/>
  <c r="B1663" i="5"/>
  <c r="C1663" i="5"/>
  <c r="D1663" i="5"/>
  <c r="A1664" i="5"/>
  <c r="B1664" i="5"/>
  <c r="C1664" i="5"/>
  <c r="D1664" i="5"/>
  <c r="A1665" i="5"/>
  <c r="B1665" i="5"/>
  <c r="C1665" i="5"/>
  <c r="D1665" i="5"/>
  <c r="A1666" i="5"/>
  <c r="B1666" i="5"/>
  <c r="C1666" i="5"/>
  <c r="D1666" i="5"/>
  <c r="A1667" i="5"/>
  <c r="B1667" i="5"/>
  <c r="C1667" i="5"/>
  <c r="D1667" i="5"/>
  <c r="A1668" i="5"/>
  <c r="B1668" i="5"/>
  <c r="C1668" i="5"/>
  <c r="D1668" i="5"/>
  <c r="A1669" i="5"/>
  <c r="B1669" i="5"/>
  <c r="C1669" i="5"/>
  <c r="D1669" i="5"/>
  <c r="A1670" i="5"/>
  <c r="B1670" i="5"/>
  <c r="C1670" i="5"/>
  <c r="D1670" i="5"/>
  <c r="A1671" i="5"/>
  <c r="B1671" i="5"/>
  <c r="C1671" i="5"/>
  <c r="D1671" i="5"/>
  <c r="A1672" i="5"/>
  <c r="B1672" i="5"/>
  <c r="C1672" i="5"/>
  <c r="D1672" i="5"/>
  <c r="A1673" i="5"/>
  <c r="B1673" i="5"/>
  <c r="C1673" i="5"/>
  <c r="D1673" i="5"/>
  <c r="A1674" i="5"/>
  <c r="B1674" i="5"/>
  <c r="C1674" i="5"/>
  <c r="D1674" i="5"/>
  <c r="A1675" i="5"/>
  <c r="B1675" i="5"/>
  <c r="C1675" i="5"/>
  <c r="D1675" i="5"/>
  <c r="A1676" i="5"/>
  <c r="B1676" i="5"/>
  <c r="C1676" i="5"/>
  <c r="D1676" i="5"/>
  <c r="A1677" i="5"/>
  <c r="B1677" i="5"/>
  <c r="C1677" i="5"/>
  <c r="D1677" i="5"/>
  <c r="A1678" i="5"/>
  <c r="B1678" i="5"/>
  <c r="C1678" i="5"/>
  <c r="D1678" i="5"/>
  <c r="A1679" i="5"/>
  <c r="B1679" i="5"/>
  <c r="C1679" i="5"/>
  <c r="D1679" i="5"/>
  <c r="A1680" i="5"/>
  <c r="B1680" i="5"/>
  <c r="C1680" i="5"/>
  <c r="D1680" i="5"/>
  <c r="A1681" i="5"/>
  <c r="B1681" i="5"/>
  <c r="C1681" i="5"/>
  <c r="D1681" i="5"/>
  <c r="A1682" i="5"/>
  <c r="B1682" i="5"/>
  <c r="C1682" i="5"/>
  <c r="D1682" i="5"/>
  <c r="A1683" i="5"/>
  <c r="B1683" i="5"/>
  <c r="C1683" i="5"/>
  <c r="D1683" i="5"/>
  <c r="A1684" i="5"/>
  <c r="B1684" i="5"/>
  <c r="C1684" i="5"/>
  <c r="D1684" i="5"/>
  <c r="A1685" i="5"/>
  <c r="B1685" i="5"/>
  <c r="C1685" i="5"/>
  <c r="D1685" i="5"/>
  <c r="A1686" i="5"/>
  <c r="B1686" i="5"/>
  <c r="C1686" i="5"/>
  <c r="D1686" i="5"/>
  <c r="A1687" i="5"/>
  <c r="B1687" i="5"/>
  <c r="C1687" i="5"/>
  <c r="D1687" i="5"/>
  <c r="A1688" i="5"/>
  <c r="B1688" i="5"/>
  <c r="C1688" i="5"/>
  <c r="D1688" i="5"/>
  <c r="A1689" i="5"/>
  <c r="B1689" i="5"/>
  <c r="C1689" i="5"/>
  <c r="D1689" i="5"/>
  <c r="A1690" i="5"/>
  <c r="B1690" i="5"/>
  <c r="C1690" i="5"/>
  <c r="D1690" i="5"/>
  <c r="A1691" i="5"/>
  <c r="B1691" i="5"/>
  <c r="C1691" i="5"/>
  <c r="D1691" i="5"/>
  <c r="A1692" i="5"/>
  <c r="B1692" i="5"/>
  <c r="C1692" i="5"/>
  <c r="D1692" i="5"/>
  <c r="A1693" i="5"/>
  <c r="B1693" i="5"/>
  <c r="C1693" i="5"/>
  <c r="D1693" i="5"/>
  <c r="A1694" i="5"/>
  <c r="B1694" i="5"/>
  <c r="C1694" i="5"/>
  <c r="D1694" i="5"/>
  <c r="A1695" i="5"/>
  <c r="B1695" i="5"/>
  <c r="C1695" i="5"/>
  <c r="D1695" i="5"/>
  <c r="A1696" i="5"/>
  <c r="B1696" i="5"/>
  <c r="C1696" i="5"/>
  <c r="D1696" i="5"/>
  <c r="A1697" i="5"/>
  <c r="B1697" i="5"/>
  <c r="C1697" i="5"/>
  <c r="D1697" i="5"/>
  <c r="A1698" i="5"/>
  <c r="B1698" i="5"/>
  <c r="C1698" i="5"/>
  <c r="D1698" i="5"/>
  <c r="A1699" i="5"/>
  <c r="B1699" i="5"/>
  <c r="C1699" i="5"/>
  <c r="D1699" i="5"/>
  <c r="A1700" i="5"/>
  <c r="B1700" i="5"/>
  <c r="C1700" i="5"/>
  <c r="D1700" i="5"/>
  <c r="A1701" i="5"/>
  <c r="B1701" i="5"/>
  <c r="C1701" i="5"/>
  <c r="D1701" i="5"/>
  <c r="A1702" i="5"/>
  <c r="B1702" i="5"/>
  <c r="C1702" i="5"/>
  <c r="D1702" i="5"/>
  <c r="A1703" i="5"/>
  <c r="B1703" i="5"/>
  <c r="C1703" i="5"/>
  <c r="D1703" i="5"/>
  <c r="A1704" i="5"/>
  <c r="B1704" i="5"/>
  <c r="C1704" i="5"/>
  <c r="D1704" i="5"/>
  <c r="A1705" i="5"/>
  <c r="B1705" i="5"/>
  <c r="C1705" i="5"/>
  <c r="D1705" i="5"/>
  <c r="A1706" i="5"/>
  <c r="B1706" i="5"/>
  <c r="C1706" i="5"/>
  <c r="D1706" i="5"/>
  <c r="A1707" i="5"/>
  <c r="B1707" i="5"/>
  <c r="C1707" i="5"/>
  <c r="D1707" i="5"/>
  <c r="A1708" i="5"/>
  <c r="B1708" i="5"/>
  <c r="C1708" i="5"/>
  <c r="D1708" i="5"/>
  <c r="A1709" i="5"/>
  <c r="B1709" i="5"/>
  <c r="C1709" i="5"/>
  <c r="D1709" i="5"/>
  <c r="A1710" i="5"/>
  <c r="B1710" i="5"/>
  <c r="C1710" i="5"/>
  <c r="D1710" i="5"/>
  <c r="A1711" i="5"/>
  <c r="B1711" i="5"/>
  <c r="C1711" i="5"/>
  <c r="D1711" i="5"/>
  <c r="A1712" i="5"/>
  <c r="B1712" i="5"/>
  <c r="C1712" i="5"/>
  <c r="D1712" i="5"/>
  <c r="A1713" i="5"/>
  <c r="B1713" i="5"/>
  <c r="C1713" i="5"/>
  <c r="D1713" i="5"/>
  <c r="A1714" i="5"/>
  <c r="B1714" i="5"/>
  <c r="C1714" i="5"/>
  <c r="D1714" i="5"/>
  <c r="A1715" i="5"/>
  <c r="B1715" i="5"/>
  <c r="C1715" i="5"/>
  <c r="D1715" i="5"/>
  <c r="A1716" i="5"/>
  <c r="B1716" i="5"/>
  <c r="C1716" i="5"/>
  <c r="D1716" i="5"/>
  <c r="A1717" i="5"/>
  <c r="B1717" i="5"/>
  <c r="C1717" i="5"/>
  <c r="D1717" i="5"/>
  <c r="A1718" i="5"/>
  <c r="B1718" i="5"/>
  <c r="C1718" i="5"/>
  <c r="D1718" i="5"/>
  <c r="A1719" i="5"/>
  <c r="B1719" i="5"/>
  <c r="C1719" i="5"/>
  <c r="D1719" i="5"/>
  <c r="A1720" i="5"/>
  <c r="B1720" i="5"/>
  <c r="C1720" i="5"/>
  <c r="D1720" i="5"/>
  <c r="A1721" i="5"/>
  <c r="B1721" i="5"/>
  <c r="C1721" i="5"/>
  <c r="D1721" i="5"/>
  <c r="A1722" i="5"/>
  <c r="B1722" i="5"/>
  <c r="C1722" i="5"/>
  <c r="D1722" i="5"/>
  <c r="A1723" i="5"/>
  <c r="B1723" i="5"/>
  <c r="C1723" i="5"/>
  <c r="D1723" i="5"/>
  <c r="A1724" i="5"/>
  <c r="B1724" i="5"/>
  <c r="C1724" i="5"/>
  <c r="D1724" i="5"/>
  <c r="A1725" i="5"/>
  <c r="B1725" i="5"/>
  <c r="C1725" i="5"/>
  <c r="D1725" i="5"/>
  <c r="A1726" i="5"/>
  <c r="B1726" i="5"/>
  <c r="C1726" i="5"/>
  <c r="D1726" i="5"/>
  <c r="A1727" i="5"/>
  <c r="B1727" i="5"/>
  <c r="C1727" i="5"/>
  <c r="D1727" i="5"/>
  <c r="A1728" i="5"/>
  <c r="B1728" i="5"/>
  <c r="C1728" i="5"/>
  <c r="D1728" i="5"/>
  <c r="A1729" i="5"/>
  <c r="B1729" i="5"/>
  <c r="C1729" i="5"/>
  <c r="D1729" i="5"/>
  <c r="A1730" i="5"/>
  <c r="B1730" i="5"/>
  <c r="C1730" i="5"/>
  <c r="D1730" i="5"/>
  <c r="A1731" i="5"/>
  <c r="B1731" i="5"/>
  <c r="C1731" i="5"/>
  <c r="D1731" i="5"/>
  <c r="A1732" i="5"/>
  <c r="B1732" i="5"/>
  <c r="C1732" i="5"/>
  <c r="D1732" i="5"/>
  <c r="A1733" i="5"/>
  <c r="B1733" i="5"/>
  <c r="C1733" i="5"/>
  <c r="D1733" i="5"/>
  <c r="A1734" i="5"/>
  <c r="B1734" i="5"/>
  <c r="C1734" i="5"/>
  <c r="D1734" i="5"/>
  <c r="A1735" i="5"/>
  <c r="B1735" i="5"/>
  <c r="C1735" i="5"/>
  <c r="D1735" i="5"/>
  <c r="A1736" i="5"/>
  <c r="B1736" i="5"/>
  <c r="C1736" i="5"/>
  <c r="D1736" i="5"/>
  <c r="A1737" i="5"/>
  <c r="B1737" i="5"/>
  <c r="C1737" i="5"/>
  <c r="D1737" i="5"/>
  <c r="A1738" i="5"/>
  <c r="B1738" i="5"/>
  <c r="C1738" i="5"/>
  <c r="D1738" i="5"/>
  <c r="A1739" i="5"/>
  <c r="B1739" i="5"/>
  <c r="C1739" i="5"/>
  <c r="D1739" i="5"/>
  <c r="A1740" i="5"/>
  <c r="B1740" i="5"/>
  <c r="C1740" i="5"/>
  <c r="D1740" i="5"/>
  <c r="A1741" i="5"/>
  <c r="B1741" i="5"/>
  <c r="C1741" i="5"/>
  <c r="D1741" i="5"/>
  <c r="A1742" i="5"/>
  <c r="B1742" i="5"/>
  <c r="C1742" i="5"/>
  <c r="D1742" i="5"/>
  <c r="A1743" i="5"/>
  <c r="B1743" i="5"/>
  <c r="C1743" i="5"/>
  <c r="D1743" i="5"/>
  <c r="A1744" i="5"/>
  <c r="B1744" i="5"/>
  <c r="C1744" i="5"/>
  <c r="D1744" i="5"/>
  <c r="A1745" i="5"/>
  <c r="B1745" i="5"/>
  <c r="C1745" i="5"/>
  <c r="D1745" i="5"/>
  <c r="A1746" i="5"/>
  <c r="B1746" i="5"/>
  <c r="C1746" i="5"/>
  <c r="D1746" i="5"/>
  <c r="A1747" i="5"/>
  <c r="B1747" i="5"/>
  <c r="C1747" i="5"/>
  <c r="D1747" i="5"/>
  <c r="A1748" i="5"/>
  <c r="B1748" i="5"/>
  <c r="C1748" i="5"/>
  <c r="D1748" i="5"/>
  <c r="A1749" i="5"/>
  <c r="B1749" i="5"/>
  <c r="C1749" i="5"/>
  <c r="D1749" i="5"/>
  <c r="A1750" i="5"/>
  <c r="B1750" i="5"/>
  <c r="C1750" i="5"/>
  <c r="D1750" i="5"/>
  <c r="A1751" i="5"/>
  <c r="B1751" i="5"/>
  <c r="C1751" i="5"/>
  <c r="D1751" i="5"/>
  <c r="A1752" i="5"/>
  <c r="B1752" i="5"/>
  <c r="C1752" i="5"/>
  <c r="D1752" i="5"/>
  <c r="A1753" i="5"/>
  <c r="B1753" i="5"/>
  <c r="C1753" i="5"/>
  <c r="D1753" i="5"/>
  <c r="A1754" i="5"/>
  <c r="B1754" i="5"/>
  <c r="C1754" i="5"/>
  <c r="D1754" i="5"/>
  <c r="A1755" i="5"/>
  <c r="B1755" i="5"/>
  <c r="C1755" i="5"/>
  <c r="D1755" i="5"/>
  <c r="A1756" i="5"/>
  <c r="B1756" i="5"/>
  <c r="C1756" i="5"/>
  <c r="D1756" i="5"/>
  <c r="A1757" i="5"/>
  <c r="B1757" i="5"/>
  <c r="C1757" i="5"/>
  <c r="D1757" i="5"/>
  <c r="A1758" i="5"/>
  <c r="B1758" i="5"/>
  <c r="C1758" i="5"/>
  <c r="D1758" i="5"/>
  <c r="A1759" i="5"/>
  <c r="B1759" i="5"/>
  <c r="C1759" i="5"/>
  <c r="D1759" i="5"/>
  <c r="A1760" i="5"/>
  <c r="B1760" i="5"/>
  <c r="C1760" i="5"/>
  <c r="D1760" i="5"/>
  <c r="A1761" i="5"/>
  <c r="B1761" i="5"/>
  <c r="C1761" i="5"/>
  <c r="D1761" i="5"/>
  <c r="A1762" i="5"/>
  <c r="B1762" i="5"/>
  <c r="C1762" i="5"/>
  <c r="D1762" i="5"/>
  <c r="A1763" i="5"/>
  <c r="B1763" i="5"/>
  <c r="C1763" i="5"/>
  <c r="D1763" i="5"/>
  <c r="A1764" i="5"/>
  <c r="B1764" i="5"/>
  <c r="C1764" i="5"/>
  <c r="D1764" i="5"/>
  <c r="A1765" i="5"/>
  <c r="B1765" i="5"/>
  <c r="C1765" i="5"/>
  <c r="D1765" i="5"/>
  <c r="A1766" i="5"/>
  <c r="B1766" i="5"/>
  <c r="C1766" i="5"/>
  <c r="D1766" i="5"/>
  <c r="A1767" i="5"/>
  <c r="B1767" i="5"/>
  <c r="C1767" i="5"/>
  <c r="D1767" i="5"/>
  <c r="A1768" i="5"/>
  <c r="B1768" i="5"/>
  <c r="C1768" i="5"/>
  <c r="D1768" i="5"/>
  <c r="A1769" i="5"/>
  <c r="B1769" i="5"/>
  <c r="C1769" i="5"/>
  <c r="D1769" i="5"/>
  <c r="A1770" i="5"/>
  <c r="B1770" i="5"/>
  <c r="C1770" i="5"/>
  <c r="D1770" i="5"/>
  <c r="A1771" i="5"/>
  <c r="B1771" i="5"/>
  <c r="C1771" i="5"/>
  <c r="D1771" i="5"/>
  <c r="A1772" i="5"/>
  <c r="B1772" i="5"/>
  <c r="C1772" i="5"/>
  <c r="D1772" i="5"/>
  <c r="A1773" i="5"/>
  <c r="B1773" i="5"/>
  <c r="C1773" i="5"/>
  <c r="D1773" i="5"/>
  <c r="A1774" i="5"/>
  <c r="B1774" i="5"/>
  <c r="C1774" i="5"/>
  <c r="D1774" i="5"/>
  <c r="A1775" i="5"/>
  <c r="B1775" i="5"/>
  <c r="C1775" i="5"/>
  <c r="D1775" i="5"/>
  <c r="A1776" i="5"/>
  <c r="B1776" i="5"/>
  <c r="C1776" i="5"/>
  <c r="D1776" i="5"/>
  <c r="A1777" i="5"/>
  <c r="B1777" i="5"/>
  <c r="C1777" i="5"/>
  <c r="D1777" i="5"/>
  <c r="A1778" i="5"/>
  <c r="B1778" i="5"/>
  <c r="C1778" i="5"/>
  <c r="D1778" i="5"/>
  <c r="A1779" i="5"/>
  <c r="B1779" i="5"/>
  <c r="C1779" i="5"/>
  <c r="D1779" i="5"/>
  <c r="A1780" i="5"/>
  <c r="B1780" i="5"/>
  <c r="C1780" i="5"/>
  <c r="D1780" i="5"/>
  <c r="A1781" i="5"/>
  <c r="B1781" i="5"/>
  <c r="C1781" i="5"/>
  <c r="D1781" i="5"/>
  <c r="A1782" i="5"/>
  <c r="B1782" i="5"/>
  <c r="C1782" i="5"/>
  <c r="D1782" i="5"/>
  <c r="A1783" i="5"/>
  <c r="B1783" i="5"/>
  <c r="C1783" i="5"/>
  <c r="D1783" i="5"/>
  <c r="A1784" i="5"/>
  <c r="B1784" i="5"/>
  <c r="C1784" i="5"/>
  <c r="D1784" i="5"/>
  <c r="A1785" i="5"/>
  <c r="B1785" i="5"/>
  <c r="C1785" i="5"/>
  <c r="D1785" i="5"/>
  <c r="A1786" i="5"/>
  <c r="B1786" i="5"/>
  <c r="C1786" i="5"/>
  <c r="D1786" i="5"/>
  <c r="A1787" i="5"/>
  <c r="B1787" i="5"/>
  <c r="C1787" i="5"/>
  <c r="D1787" i="5"/>
  <c r="A1788" i="5"/>
  <c r="B1788" i="5"/>
  <c r="C1788" i="5"/>
  <c r="D1788" i="5"/>
  <c r="A1789" i="5"/>
  <c r="B1789" i="5"/>
  <c r="C1789" i="5"/>
  <c r="D1789" i="5"/>
  <c r="A1790" i="5"/>
  <c r="B1790" i="5"/>
  <c r="C1790" i="5"/>
  <c r="D1790" i="5"/>
  <c r="A1791" i="5"/>
  <c r="B1791" i="5"/>
  <c r="C1791" i="5"/>
  <c r="D1791" i="5"/>
  <c r="A1792" i="5"/>
  <c r="B1792" i="5"/>
  <c r="C1792" i="5"/>
  <c r="D1792" i="5"/>
  <c r="A1793" i="5"/>
  <c r="B1793" i="5"/>
  <c r="C1793" i="5"/>
  <c r="D1793" i="5"/>
  <c r="A1794" i="5"/>
  <c r="B1794" i="5"/>
  <c r="C1794" i="5"/>
  <c r="D1794" i="5"/>
  <c r="A1795" i="5"/>
  <c r="B1795" i="5"/>
  <c r="C1795" i="5"/>
  <c r="D1795" i="5"/>
  <c r="A1796" i="5"/>
  <c r="B1796" i="5"/>
  <c r="C1796" i="5"/>
  <c r="D1796" i="5"/>
  <c r="A1797" i="5"/>
  <c r="B1797" i="5"/>
  <c r="C1797" i="5"/>
  <c r="D1797" i="5"/>
  <c r="A1798" i="5"/>
  <c r="B1798" i="5"/>
  <c r="C1798" i="5"/>
  <c r="D1798" i="5"/>
  <c r="A1799" i="5"/>
  <c r="B1799" i="5"/>
  <c r="C1799" i="5"/>
  <c r="D1799" i="5"/>
  <c r="A1800" i="5"/>
  <c r="B1800" i="5"/>
  <c r="C1800" i="5"/>
  <c r="D1800" i="5"/>
  <c r="A1801" i="5"/>
  <c r="B1801" i="5"/>
  <c r="C1801" i="5"/>
  <c r="D1801" i="5"/>
  <c r="A1802" i="5"/>
  <c r="B1802" i="5"/>
  <c r="C1802" i="5"/>
  <c r="D1802" i="5"/>
  <c r="A1803" i="5"/>
  <c r="B1803" i="5"/>
  <c r="C1803" i="5"/>
  <c r="D1803" i="5"/>
  <c r="A1804" i="5"/>
  <c r="B1804" i="5"/>
  <c r="C1804" i="5"/>
  <c r="D1804" i="5"/>
  <c r="A1805" i="5"/>
  <c r="B1805" i="5"/>
  <c r="C1805" i="5"/>
  <c r="D1805" i="5"/>
  <c r="A1806" i="5"/>
  <c r="B1806" i="5"/>
  <c r="C1806" i="5"/>
  <c r="D1806" i="5"/>
  <c r="A1807" i="5"/>
  <c r="B1807" i="5"/>
  <c r="C1807" i="5"/>
  <c r="D1807" i="5"/>
  <c r="A1808" i="5"/>
  <c r="B1808" i="5"/>
  <c r="C1808" i="5"/>
  <c r="D1808" i="5"/>
  <c r="A1809" i="5"/>
  <c r="B1809" i="5"/>
  <c r="C1809" i="5"/>
  <c r="D1809" i="5"/>
  <c r="A1810" i="5"/>
  <c r="B1810" i="5"/>
  <c r="C1810" i="5"/>
  <c r="D1810" i="5"/>
  <c r="A1811" i="5"/>
  <c r="B1811" i="5"/>
  <c r="C1811" i="5"/>
  <c r="D1811" i="5"/>
  <c r="A1812" i="5"/>
  <c r="B1812" i="5"/>
  <c r="C1812" i="5"/>
  <c r="D1812" i="5"/>
  <c r="A1813" i="5"/>
  <c r="B1813" i="5"/>
  <c r="C1813" i="5"/>
  <c r="D1813" i="5"/>
  <c r="A1814" i="5"/>
  <c r="B1814" i="5"/>
  <c r="C1814" i="5"/>
  <c r="D1814" i="5"/>
  <c r="A1815" i="5"/>
  <c r="B1815" i="5"/>
  <c r="C1815" i="5"/>
  <c r="D1815" i="5"/>
  <c r="A1816" i="5"/>
  <c r="B1816" i="5"/>
  <c r="C1816" i="5"/>
  <c r="D1816" i="5"/>
  <c r="A1817" i="5"/>
  <c r="B1817" i="5"/>
  <c r="C1817" i="5"/>
  <c r="D1817" i="5"/>
  <c r="A1818" i="5"/>
  <c r="B1818" i="5"/>
  <c r="C1818" i="5"/>
  <c r="D1818" i="5"/>
  <c r="A1819" i="5"/>
  <c r="B1819" i="5"/>
  <c r="C1819" i="5"/>
  <c r="D1819" i="5"/>
  <c r="A1820" i="5"/>
  <c r="B1820" i="5"/>
  <c r="C1820" i="5"/>
  <c r="D1820" i="5"/>
  <c r="A1821" i="5"/>
  <c r="B1821" i="5"/>
  <c r="C1821" i="5"/>
  <c r="D1821" i="5"/>
  <c r="A1822" i="5"/>
  <c r="B1822" i="5"/>
  <c r="C1822" i="5"/>
  <c r="D1822" i="5"/>
  <c r="A1823" i="5"/>
  <c r="B1823" i="5"/>
  <c r="C1823" i="5"/>
  <c r="D1823" i="5"/>
  <c r="A1824" i="5"/>
  <c r="B1824" i="5"/>
  <c r="C1824" i="5"/>
  <c r="D1824" i="5"/>
  <c r="A1825" i="5"/>
  <c r="B1825" i="5"/>
  <c r="C1825" i="5"/>
  <c r="D1825" i="5"/>
  <c r="A1826" i="5"/>
  <c r="B1826" i="5"/>
  <c r="C1826" i="5"/>
  <c r="D1826" i="5"/>
  <c r="A1827" i="5"/>
  <c r="B1827" i="5"/>
  <c r="C1827" i="5"/>
  <c r="D1827" i="5"/>
  <c r="A1828" i="5"/>
  <c r="B1828" i="5"/>
  <c r="C1828" i="5"/>
  <c r="D1828" i="5"/>
  <c r="A1829" i="5"/>
  <c r="B1829" i="5"/>
  <c r="C1829" i="5"/>
  <c r="D1829" i="5"/>
  <c r="A1830" i="5"/>
  <c r="B1830" i="5"/>
  <c r="C1830" i="5"/>
  <c r="D1830" i="5"/>
  <c r="A1831" i="5"/>
  <c r="B1831" i="5"/>
  <c r="C1831" i="5"/>
  <c r="D1831" i="5"/>
  <c r="A1832" i="5"/>
  <c r="B1832" i="5"/>
  <c r="C1832" i="5"/>
  <c r="D1832" i="5"/>
  <c r="A1833" i="5"/>
  <c r="B1833" i="5"/>
  <c r="C1833" i="5"/>
  <c r="D1833" i="5"/>
  <c r="A1834" i="5"/>
  <c r="B1834" i="5"/>
  <c r="C1834" i="5"/>
  <c r="D1834" i="5"/>
  <c r="A1835" i="5"/>
  <c r="B1835" i="5"/>
  <c r="C1835" i="5"/>
  <c r="D1835" i="5"/>
  <c r="A1836" i="5"/>
  <c r="B1836" i="5"/>
  <c r="C1836" i="5"/>
  <c r="D1836" i="5"/>
  <c r="A1837" i="5"/>
  <c r="B1837" i="5"/>
  <c r="C1837" i="5"/>
  <c r="D1837" i="5"/>
  <c r="A1838" i="5"/>
  <c r="B1838" i="5"/>
  <c r="C1838" i="5"/>
  <c r="D1838" i="5"/>
  <c r="A1839" i="5"/>
  <c r="B1839" i="5"/>
  <c r="C1839" i="5"/>
  <c r="D1839" i="5"/>
  <c r="A1840" i="5"/>
  <c r="B1840" i="5"/>
  <c r="C1840" i="5"/>
  <c r="D1840" i="5"/>
  <c r="A1841" i="5"/>
  <c r="B1841" i="5"/>
  <c r="C1841" i="5"/>
  <c r="D1841" i="5"/>
  <c r="A1842" i="5"/>
  <c r="B1842" i="5"/>
  <c r="C1842" i="5"/>
  <c r="D1842" i="5"/>
  <c r="A1843" i="5"/>
  <c r="B1843" i="5"/>
  <c r="C1843" i="5"/>
  <c r="D1843" i="5"/>
  <c r="A1844" i="5"/>
  <c r="B1844" i="5"/>
  <c r="C1844" i="5"/>
  <c r="D1844" i="5"/>
  <c r="A1845" i="5"/>
  <c r="B1845" i="5"/>
  <c r="C1845" i="5"/>
  <c r="D1845" i="5"/>
  <c r="A1846" i="5"/>
  <c r="B1846" i="5"/>
  <c r="C1846" i="5"/>
  <c r="D1846" i="5"/>
  <c r="A1847" i="5"/>
  <c r="B1847" i="5"/>
  <c r="C1847" i="5"/>
  <c r="D1847" i="5"/>
  <c r="A1848" i="5"/>
  <c r="B1848" i="5"/>
  <c r="C1848" i="5"/>
  <c r="D1848" i="5"/>
  <c r="A1849" i="5"/>
  <c r="B1849" i="5"/>
  <c r="C1849" i="5"/>
  <c r="D1849" i="5"/>
  <c r="A1850" i="5"/>
  <c r="B1850" i="5"/>
  <c r="C1850" i="5"/>
  <c r="D1850" i="5"/>
  <c r="A1851" i="5"/>
  <c r="B1851" i="5"/>
  <c r="C1851" i="5"/>
  <c r="D1851" i="5"/>
  <c r="A1852" i="5"/>
  <c r="B1852" i="5"/>
  <c r="C1852" i="5"/>
  <c r="D1852" i="5"/>
  <c r="A1853" i="5"/>
  <c r="B1853" i="5"/>
  <c r="C1853" i="5"/>
  <c r="D1853" i="5"/>
  <c r="A1854" i="5"/>
  <c r="B1854" i="5"/>
  <c r="C1854" i="5"/>
  <c r="D1854" i="5"/>
  <c r="A1855" i="5"/>
  <c r="B1855" i="5"/>
  <c r="C1855" i="5"/>
  <c r="D1855" i="5"/>
  <c r="A1856" i="5"/>
  <c r="B1856" i="5"/>
  <c r="C1856" i="5"/>
  <c r="D1856" i="5"/>
  <c r="A1857" i="5"/>
  <c r="B1857" i="5"/>
  <c r="C1857" i="5"/>
  <c r="D1857" i="5"/>
  <c r="A1858" i="5"/>
  <c r="B1858" i="5"/>
  <c r="C1858" i="5"/>
  <c r="D1858" i="5"/>
  <c r="A1859" i="5"/>
  <c r="B1859" i="5"/>
  <c r="C1859" i="5"/>
  <c r="D1859" i="5"/>
  <c r="A1860" i="5"/>
  <c r="B1860" i="5"/>
  <c r="C1860" i="5"/>
  <c r="D1860" i="5"/>
  <c r="A1861" i="5"/>
  <c r="B1861" i="5"/>
  <c r="C1861" i="5"/>
  <c r="D1861" i="5"/>
  <c r="A1862" i="5"/>
  <c r="B1862" i="5"/>
  <c r="C1862" i="5"/>
  <c r="D1862" i="5"/>
  <c r="A1863" i="5"/>
  <c r="B1863" i="5"/>
  <c r="C1863" i="5"/>
  <c r="D1863" i="5"/>
  <c r="A1864" i="5"/>
  <c r="B1864" i="5"/>
  <c r="C1864" i="5"/>
  <c r="D1864" i="5"/>
  <c r="A1865" i="5"/>
  <c r="B1865" i="5"/>
  <c r="C1865" i="5"/>
  <c r="D1865" i="5"/>
  <c r="A1866" i="5"/>
  <c r="B1866" i="5"/>
  <c r="C1866" i="5"/>
  <c r="D1866" i="5"/>
  <c r="A1867" i="5"/>
  <c r="B1867" i="5"/>
  <c r="C1867" i="5"/>
  <c r="D1867" i="5"/>
  <c r="A1868" i="5"/>
  <c r="B1868" i="5"/>
  <c r="C1868" i="5"/>
  <c r="D1868" i="5"/>
  <c r="A1869" i="5"/>
  <c r="B1869" i="5"/>
  <c r="C1869" i="5"/>
  <c r="D1869" i="5"/>
  <c r="A1870" i="5"/>
  <c r="B1870" i="5"/>
  <c r="C1870" i="5"/>
  <c r="D1870" i="5"/>
  <c r="A1871" i="5"/>
  <c r="B1871" i="5"/>
  <c r="C1871" i="5"/>
  <c r="D1871" i="5"/>
  <c r="A1872" i="5"/>
  <c r="B1872" i="5"/>
  <c r="C1872" i="5"/>
  <c r="D1872" i="5"/>
  <c r="A1873" i="5"/>
  <c r="B1873" i="5"/>
  <c r="C1873" i="5"/>
  <c r="D1873" i="5"/>
  <c r="A1874" i="5"/>
  <c r="B1874" i="5"/>
  <c r="C1874" i="5"/>
  <c r="D1874" i="5"/>
  <c r="A1875" i="5"/>
  <c r="B1875" i="5"/>
  <c r="C1875" i="5"/>
  <c r="D1875" i="5"/>
  <c r="A1876" i="5"/>
  <c r="B1876" i="5"/>
  <c r="C1876" i="5"/>
  <c r="D1876" i="5"/>
  <c r="A1877" i="5"/>
  <c r="B1877" i="5"/>
  <c r="C1877" i="5"/>
  <c r="D1877" i="5"/>
  <c r="A1878" i="5"/>
  <c r="B1878" i="5"/>
  <c r="C1878" i="5"/>
  <c r="D1878" i="5"/>
  <c r="A1879" i="5"/>
  <c r="B1879" i="5"/>
  <c r="C1879" i="5"/>
  <c r="D1879" i="5"/>
  <c r="A1880" i="5"/>
  <c r="B1880" i="5"/>
  <c r="C1880" i="5"/>
  <c r="D1880" i="5"/>
  <c r="A1881" i="5"/>
  <c r="B1881" i="5"/>
  <c r="C1881" i="5"/>
  <c r="D1881" i="5"/>
  <c r="A1882" i="5"/>
  <c r="B1882" i="5"/>
  <c r="C1882" i="5"/>
  <c r="D1882" i="5"/>
  <c r="A1883" i="5"/>
  <c r="B1883" i="5"/>
  <c r="C1883" i="5"/>
  <c r="D1883" i="5"/>
  <c r="A1884" i="5"/>
  <c r="B1884" i="5"/>
  <c r="C1884" i="5"/>
  <c r="D1884" i="5"/>
  <c r="A1885" i="5"/>
  <c r="B1885" i="5"/>
  <c r="C1885" i="5"/>
  <c r="D1885" i="5"/>
  <c r="A1886" i="5"/>
  <c r="B1886" i="5"/>
  <c r="C1886" i="5"/>
  <c r="D1886" i="5"/>
  <c r="A1887" i="5"/>
  <c r="B1887" i="5"/>
  <c r="C1887" i="5"/>
  <c r="D1887" i="5"/>
  <c r="A1888" i="5"/>
  <c r="B1888" i="5"/>
  <c r="C1888" i="5"/>
  <c r="D1888" i="5"/>
  <c r="A1889" i="5"/>
  <c r="B1889" i="5"/>
  <c r="C1889" i="5"/>
  <c r="D1889" i="5"/>
  <c r="A1890" i="5"/>
  <c r="B1890" i="5"/>
  <c r="C1890" i="5"/>
  <c r="D1890" i="5"/>
  <c r="A1891" i="5"/>
  <c r="B1891" i="5"/>
  <c r="C1891" i="5"/>
  <c r="D1891" i="5"/>
  <c r="A1892" i="5"/>
  <c r="B1892" i="5"/>
  <c r="C1892" i="5"/>
  <c r="D1892" i="5"/>
  <c r="A1893" i="5"/>
  <c r="B1893" i="5"/>
  <c r="C1893" i="5"/>
  <c r="D1893" i="5"/>
  <c r="A1894" i="5"/>
  <c r="B1894" i="5"/>
  <c r="C1894" i="5"/>
  <c r="D1894" i="5"/>
  <c r="A1895" i="5"/>
  <c r="B1895" i="5"/>
  <c r="C1895" i="5"/>
  <c r="D1895" i="5"/>
  <c r="A1896" i="5"/>
  <c r="B1896" i="5"/>
  <c r="C1896" i="5"/>
  <c r="D1896" i="5"/>
  <c r="A1897" i="5"/>
  <c r="B1897" i="5"/>
  <c r="C1897" i="5"/>
  <c r="D1897" i="5"/>
  <c r="A1898" i="5"/>
  <c r="B1898" i="5"/>
  <c r="C1898" i="5"/>
  <c r="D1898" i="5"/>
  <c r="A1899" i="5"/>
  <c r="B1899" i="5"/>
  <c r="C1899" i="5"/>
  <c r="D1899" i="5"/>
  <c r="A1900" i="5"/>
  <c r="B1900" i="5"/>
  <c r="C1900" i="5"/>
  <c r="D1900" i="5"/>
  <c r="A1901" i="5"/>
  <c r="B1901" i="5"/>
  <c r="C1901" i="5"/>
  <c r="D1901" i="5"/>
  <c r="A1902" i="5"/>
  <c r="B1902" i="5"/>
  <c r="C1902" i="5"/>
  <c r="D1902" i="5"/>
  <c r="A1903" i="5"/>
  <c r="B1903" i="5"/>
  <c r="C1903" i="5"/>
  <c r="D1903" i="5"/>
  <c r="A1904" i="5"/>
  <c r="B1904" i="5"/>
  <c r="C1904" i="5"/>
  <c r="D1904" i="5"/>
  <c r="A1905" i="5"/>
  <c r="B1905" i="5"/>
  <c r="C1905" i="5"/>
  <c r="D1905" i="5"/>
  <c r="A1906" i="5"/>
  <c r="B1906" i="5"/>
  <c r="C1906" i="5"/>
  <c r="D1906" i="5"/>
  <c r="A1907" i="5"/>
  <c r="B1907" i="5"/>
  <c r="C1907" i="5"/>
  <c r="D1907" i="5"/>
  <c r="A1908" i="5"/>
  <c r="B1908" i="5"/>
  <c r="C1908" i="5"/>
  <c r="D1908" i="5"/>
  <c r="A1909" i="5"/>
  <c r="B1909" i="5"/>
  <c r="C1909" i="5"/>
  <c r="D1909" i="5"/>
  <c r="A1910" i="5"/>
  <c r="B1910" i="5"/>
  <c r="C1910" i="5"/>
  <c r="D1910" i="5"/>
  <c r="A1911" i="5"/>
  <c r="B1911" i="5"/>
  <c r="C1911" i="5"/>
  <c r="D1911" i="5"/>
  <c r="A1912" i="5"/>
  <c r="B1912" i="5"/>
  <c r="C1912" i="5"/>
  <c r="D1912" i="5"/>
  <c r="A1913" i="5"/>
  <c r="B1913" i="5"/>
  <c r="C1913" i="5"/>
  <c r="D1913" i="5"/>
  <c r="A1914" i="5"/>
  <c r="B1914" i="5"/>
  <c r="C1914" i="5"/>
  <c r="D1914" i="5"/>
  <c r="A1915" i="5"/>
  <c r="B1915" i="5"/>
  <c r="C1915" i="5"/>
  <c r="D1915" i="5"/>
  <c r="A1916" i="5"/>
  <c r="B1916" i="5"/>
  <c r="C1916" i="5"/>
  <c r="D1916" i="5"/>
  <c r="A1917" i="5"/>
  <c r="B1917" i="5"/>
  <c r="C1917" i="5"/>
  <c r="D1917" i="5"/>
  <c r="A1918" i="5"/>
  <c r="B1918" i="5"/>
  <c r="C1918" i="5"/>
  <c r="D1918" i="5"/>
  <c r="A1919" i="5"/>
  <c r="B1919" i="5"/>
  <c r="C1919" i="5"/>
  <c r="D1919" i="5"/>
  <c r="A1920" i="5"/>
  <c r="B1920" i="5"/>
  <c r="C1920" i="5"/>
  <c r="D1920" i="5"/>
  <c r="A1921" i="5"/>
  <c r="B1921" i="5"/>
  <c r="C1921" i="5"/>
  <c r="D1921" i="5"/>
  <c r="A1922" i="5"/>
  <c r="B1922" i="5"/>
  <c r="C1922" i="5"/>
  <c r="D1922" i="5"/>
  <c r="A1923" i="5"/>
  <c r="B1923" i="5"/>
  <c r="C1923" i="5"/>
  <c r="D1923" i="5"/>
  <c r="A1924" i="5"/>
  <c r="B1924" i="5"/>
  <c r="C1924" i="5"/>
  <c r="D1924" i="5"/>
  <c r="A1925" i="5"/>
  <c r="B1925" i="5"/>
  <c r="C1925" i="5"/>
  <c r="D1925" i="5"/>
  <c r="A1926" i="5"/>
  <c r="B1926" i="5"/>
  <c r="C1926" i="5"/>
  <c r="D1926" i="5"/>
  <c r="A1927" i="5"/>
  <c r="B1927" i="5"/>
  <c r="C1927" i="5"/>
  <c r="D1927" i="5"/>
  <c r="A1928" i="5"/>
  <c r="B1928" i="5"/>
  <c r="C1928" i="5"/>
  <c r="D1928" i="5"/>
  <c r="A1929" i="5"/>
  <c r="B1929" i="5"/>
  <c r="C1929" i="5"/>
  <c r="D1929" i="5"/>
  <c r="A1930" i="5"/>
  <c r="B1930" i="5"/>
  <c r="C1930" i="5"/>
  <c r="D1930" i="5"/>
  <c r="A1931" i="5"/>
  <c r="B1931" i="5"/>
  <c r="C1931" i="5"/>
  <c r="D1931" i="5"/>
  <c r="A1932" i="5"/>
  <c r="B1932" i="5"/>
  <c r="C1932" i="5"/>
  <c r="D1932" i="5"/>
  <c r="A1933" i="5"/>
  <c r="B1933" i="5"/>
  <c r="C1933" i="5"/>
  <c r="D1933" i="5"/>
  <c r="A1934" i="5"/>
  <c r="B1934" i="5"/>
  <c r="C1934" i="5"/>
  <c r="D1934" i="5"/>
  <c r="A1935" i="5"/>
  <c r="B1935" i="5"/>
  <c r="C1935" i="5"/>
  <c r="D1935" i="5"/>
  <c r="A1936" i="5"/>
  <c r="B1936" i="5"/>
  <c r="C1936" i="5"/>
  <c r="D1936" i="5"/>
  <c r="A1937" i="5"/>
  <c r="B1937" i="5"/>
  <c r="C1937" i="5"/>
  <c r="D1937" i="5"/>
  <c r="A1938" i="5"/>
  <c r="B1938" i="5"/>
  <c r="C1938" i="5"/>
  <c r="D1938" i="5"/>
  <c r="A1939" i="5"/>
  <c r="B1939" i="5"/>
  <c r="C1939" i="5"/>
  <c r="D1939" i="5"/>
  <c r="A1940" i="5"/>
  <c r="B1940" i="5"/>
  <c r="C1940" i="5"/>
  <c r="D1940" i="5"/>
  <c r="A1941" i="5"/>
  <c r="B1941" i="5"/>
  <c r="C1941" i="5"/>
  <c r="D1941" i="5"/>
  <c r="A1942" i="5"/>
  <c r="B1942" i="5"/>
  <c r="C1942" i="5"/>
  <c r="D1942" i="5"/>
  <c r="A1943" i="5"/>
  <c r="B1943" i="5"/>
  <c r="C1943" i="5"/>
  <c r="D1943" i="5"/>
  <c r="A1944" i="5"/>
  <c r="B1944" i="5"/>
  <c r="C1944" i="5"/>
  <c r="D1944" i="5"/>
  <c r="A1945" i="5"/>
  <c r="B1945" i="5"/>
  <c r="C1945" i="5"/>
  <c r="D1945" i="5"/>
  <c r="A1946" i="5"/>
  <c r="B1946" i="5"/>
  <c r="C1946" i="5"/>
  <c r="D1946" i="5"/>
  <c r="A1947" i="5"/>
  <c r="B1947" i="5"/>
  <c r="C1947" i="5"/>
  <c r="D1947" i="5"/>
  <c r="A1948" i="5"/>
  <c r="B1948" i="5"/>
  <c r="C1948" i="5"/>
  <c r="D1948" i="5"/>
  <c r="A1949" i="5"/>
  <c r="B1949" i="5"/>
  <c r="C1949" i="5"/>
  <c r="D1949" i="5"/>
  <c r="A1950" i="5"/>
  <c r="B1950" i="5"/>
  <c r="C1950" i="5"/>
  <c r="D1950" i="5"/>
  <c r="A1951" i="5"/>
  <c r="B1951" i="5"/>
  <c r="C1951" i="5"/>
  <c r="D1951" i="5"/>
  <c r="A1952" i="5"/>
  <c r="B1952" i="5"/>
  <c r="C1952" i="5"/>
  <c r="D1952" i="5"/>
  <c r="A1953" i="5"/>
  <c r="B1953" i="5"/>
  <c r="C1953" i="5"/>
  <c r="D1953" i="5"/>
  <c r="A1954" i="5"/>
  <c r="B1954" i="5"/>
  <c r="C1954" i="5"/>
  <c r="D1954" i="5"/>
  <c r="A1955" i="5"/>
  <c r="B1955" i="5"/>
  <c r="C1955" i="5"/>
  <c r="D1955" i="5"/>
  <c r="A1956" i="5"/>
  <c r="B1956" i="5"/>
  <c r="C1956" i="5"/>
  <c r="D1956" i="5"/>
  <c r="A1957" i="5"/>
  <c r="B1957" i="5"/>
  <c r="C1957" i="5"/>
  <c r="D1957" i="5"/>
  <c r="A1958" i="5"/>
  <c r="B1958" i="5"/>
  <c r="C1958" i="5"/>
  <c r="D1958" i="5"/>
  <c r="A1959" i="5"/>
  <c r="B1959" i="5"/>
  <c r="C1959" i="5"/>
  <c r="D1959" i="5"/>
  <c r="A1960" i="5"/>
  <c r="B1960" i="5"/>
  <c r="C1960" i="5"/>
  <c r="D1960" i="5"/>
  <c r="A1961" i="5"/>
  <c r="B1961" i="5"/>
  <c r="C1961" i="5"/>
  <c r="D1961" i="5"/>
  <c r="A1962" i="5"/>
  <c r="B1962" i="5"/>
  <c r="C1962" i="5"/>
  <c r="D1962" i="5"/>
  <c r="A1963" i="5"/>
  <c r="B1963" i="5"/>
  <c r="C1963" i="5"/>
  <c r="D1963" i="5"/>
  <c r="A1964" i="5"/>
  <c r="B1964" i="5"/>
  <c r="C1964" i="5"/>
  <c r="D1964" i="5"/>
  <c r="A1965" i="5"/>
  <c r="B1965" i="5"/>
  <c r="C1965" i="5"/>
  <c r="D1965" i="5"/>
  <c r="A1966" i="5"/>
  <c r="B1966" i="5"/>
  <c r="C1966" i="5"/>
  <c r="D1966" i="5"/>
  <c r="A1967" i="5"/>
  <c r="B1967" i="5"/>
  <c r="C1967" i="5"/>
  <c r="D1967" i="5"/>
  <c r="A1968" i="5"/>
  <c r="B1968" i="5"/>
  <c r="C1968" i="5"/>
  <c r="D1968" i="5"/>
  <c r="A1969" i="5"/>
  <c r="B1969" i="5"/>
  <c r="C1969" i="5"/>
  <c r="D1969" i="5"/>
  <c r="A1970" i="5"/>
  <c r="B1970" i="5"/>
  <c r="C1970" i="5"/>
  <c r="D1970" i="5"/>
  <c r="A1971" i="5"/>
  <c r="B1971" i="5"/>
  <c r="C1971" i="5"/>
  <c r="D1971" i="5"/>
  <c r="A1972" i="5"/>
  <c r="B1972" i="5"/>
  <c r="C1972" i="5"/>
  <c r="D1972" i="5"/>
  <c r="A1973" i="5"/>
  <c r="B1973" i="5"/>
  <c r="C1973" i="5"/>
  <c r="D1973" i="5"/>
  <c r="A1974" i="5"/>
  <c r="B1974" i="5"/>
  <c r="C1974" i="5"/>
  <c r="D1974" i="5"/>
  <c r="A1975" i="5"/>
  <c r="B1975" i="5"/>
  <c r="C1975" i="5"/>
  <c r="D1975" i="5"/>
  <c r="A1976" i="5"/>
  <c r="B1976" i="5"/>
  <c r="C1976" i="5"/>
  <c r="D1976" i="5"/>
  <c r="A1977" i="5"/>
  <c r="B1977" i="5"/>
  <c r="C1977" i="5"/>
  <c r="D1977" i="5"/>
  <c r="A1978" i="5"/>
  <c r="B1978" i="5"/>
  <c r="C1978" i="5"/>
  <c r="D1978" i="5"/>
  <c r="A1979" i="5"/>
  <c r="B1979" i="5"/>
  <c r="C1979" i="5"/>
  <c r="D1979" i="5"/>
  <c r="A1980" i="5"/>
  <c r="B1980" i="5"/>
  <c r="C1980" i="5"/>
  <c r="D1980" i="5"/>
  <c r="A1981" i="5"/>
  <c r="B1981" i="5"/>
  <c r="C1981" i="5"/>
  <c r="D1981" i="5"/>
  <c r="A1982" i="5"/>
  <c r="B1982" i="5"/>
  <c r="C1982" i="5"/>
  <c r="D1982" i="5"/>
  <c r="A1983" i="5"/>
  <c r="B1983" i="5"/>
  <c r="C1983" i="5"/>
  <c r="D1983" i="5"/>
  <c r="A1984" i="5"/>
  <c r="B1984" i="5"/>
  <c r="C1984" i="5"/>
  <c r="D1984" i="5"/>
  <c r="A1985" i="5"/>
  <c r="B1985" i="5"/>
  <c r="C1985" i="5"/>
  <c r="D1985" i="5"/>
  <c r="A1986" i="5"/>
  <c r="B1986" i="5"/>
  <c r="C1986" i="5"/>
  <c r="D1986" i="5"/>
  <c r="A1987" i="5"/>
  <c r="B1987" i="5"/>
  <c r="C1987" i="5"/>
  <c r="D1987" i="5"/>
  <c r="A1988" i="5"/>
  <c r="B1988" i="5"/>
  <c r="C1988" i="5"/>
  <c r="D1988" i="5"/>
  <c r="A1989" i="5"/>
  <c r="B1989" i="5"/>
  <c r="C1989" i="5"/>
  <c r="D1989" i="5"/>
  <c r="A1990" i="5"/>
  <c r="B1990" i="5"/>
  <c r="C1990" i="5"/>
  <c r="D1990" i="5"/>
  <c r="A1991" i="5"/>
  <c r="B1991" i="5"/>
  <c r="C1991" i="5"/>
  <c r="D1991" i="5"/>
  <c r="A1992" i="5"/>
  <c r="B1992" i="5"/>
  <c r="C1992" i="5"/>
  <c r="D1992" i="5"/>
  <c r="A1993" i="5"/>
  <c r="B1993" i="5"/>
  <c r="C1993" i="5"/>
  <c r="D1993" i="5"/>
  <c r="A1994" i="5"/>
  <c r="B1994" i="5"/>
  <c r="C1994" i="5"/>
  <c r="D1994" i="5"/>
  <c r="A1995" i="5"/>
  <c r="B1995" i="5"/>
  <c r="C1995" i="5"/>
  <c r="D1995" i="5"/>
  <c r="A1996" i="5"/>
  <c r="B1996" i="5"/>
  <c r="C1996" i="5"/>
  <c r="D1996" i="5"/>
  <c r="A1997" i="5"/>
  <c r="B1997" i="5"/>
  <c r="C1997" i="5"/>
  <c r="D1997" i="5"/>
  <c r="A1998" i="5"/>
  <c r="B1998" i="5"/>
  <c r="C1998" i="5"/>
  <c r="D1998" i="5"/>
  <c r="A1999" i="5"/>
  <c r="B1999" i="5"/>
  <c r="C1999" i="5"/>
  <c r="D1999" i="5"/>
  <c r="A2000" i="5"/>
  <c r="B2000" i="5"/>
  <c r="C2000" i="5"/>
  <c r="D2000" i="5"/>
  <c r="A2001" i="5"/>
  <c r="B2001" i="5"/>
  <c r="C2001" i="5"/>
  <c r="D2001" i="5"/>
  <c r="A2002" i="5"/>
  <c r="B2002" i="5"/>
  <c r="C2002" i="5"/>
  <c r="D2002" i="5"/>
  <c r="A2003" i="5"/>
  <c r="B2003" i="5"/>
  <c r="C2003" i="5"/>
  <c r="D2003" i="5"/>
  <c r="A2004" i="5"/>
  <c r="B2004" i="5"/>
  <c r="C2004" i="5"/>
  <c r="D2004" i="5"/>
  <c r="A2005" i="5"/>
  <c r="B2005" i="5"/>
  <c r="C2005" i="5"/>
  <c r="D2005" i="5"/>
  <c r="A2006" i="5"/>
  <c r="B2006" i="5"/>
  <c r="C2006" i="5"/>
  <c r="D2006" i="5"/>
  <c r="A2007" i="5"/>
  <c r="B2007" i="5"/>
  <c r="C2007" i="5"/>
  <c r="D2007" i="5"/>
  <c r="A2008" i="5"/>
  <c r="B2008" i="5"/>
  <c r="C2008" i="5"/>
  <c r="D2008" i="5"/>
  <c r="A2009" i="5"/>
  <c r="B2009" i="5"/>
  <c r="C2009" i="5"/>
  <c r="D2009" i="5"/>
  <c r="A2010" i="5"/>
  <c r="B2010" i="5"/>
  <c r="C2010" i="5"/>
  <c r="D2010" i="5"/>
  <c r="A2011" i="5"/>
  <c r="B2011" i="5"/>
  <c r="C2011" i="5"/>
  <c r="D2011" i="5"/>
  <c r="A2012" i="5"/>
  <c r="B2012" i="5"/>
  <c r="C2012" i="5"/>
  <c r="D2012" i="5"/>
  <c r="A2013" i="5"/>
  <c r="B2013" i="5"/>
  <c r="C2013" i="5"/>
  <c r="D2013" i="5"/>
  <c r="A2014" i="5"/>
  <c r="B2014" i="5"/>
  <c r="C2014" i="5"/>
  <c r="D2014" i="5"/>
  <c r="A2015" i="5"/>
  <c r="B2015" i="5"/>
  <c r="C2015" i="5"/>
  <c r="D2015" i="5"/>
  <c r="A2016" i="5"/>
  <c r="B2016" i="5"/>
  <c r="C2016" i="5"/>
  <c r="D2016" i="5"/>
  <c r="A2017" i="5"/>
  <c r="B2017" i="5"/>
  <c r="C2017" i="5"/>
  <c r="D2017" i="5"/>
  <c r="A2018" i="5"/>
  <c r="B2018" i="5"/>
  <c r="C2018" i="5"/>
  <c r="D2018" i="5"/>
  <c r="A2019" i="5"/>
  <c r="B2019" i="5"/>
  <c r="C2019" i="5"/>
  <c r="D2019" i="5"/>
  <c r="A2020" i="5"/>
  <c r="B2020" i="5"/>
  <c r="C2020" i="5"/>
  <c r="D2020" i="5"/>
  <c r="A2021" i="5"/>
  <c r="B2021" i="5"/>
  <c r="C2021" i="5"/>
  <c r="D2021" i="5"/>
  <c r="A2022" i="5"/>
  <c r="B2022" i="5"/>
  <c r="C2022" i="5"/>
  <c r="D2022" i="5"/>
  <c r="A2023" i="5"/>
  <c r="B2023" i="5"/>
  <c r="C2023" i="5"/>
  <c r="D2023" i="5"/>
  <c r="A2024" i="5"/>
  <c r="B2024" i="5"/>
  <c r="C2024" i="5"/>
  <c r="D2024" i="5"/>
  <c r="A2025" i="5"/>
  <c r="B2025" i="5"/>
  <c r="C2025" i="5"/>
  <c r="D2025" i="5"/>
  <c r="A2026" i="5"/>
  <c r="B2026" i="5"/>
  <c r="C2026" i="5"/>
  <c r="D2026" i="5"/>
  <c r="A2027" i="5"/>
  <c r="B2027" i="5"/>
  <c r="C2027" i="5"/>
  <c r="D2027" i="5"/>
  <c r="A2028" i="5"/>
  <c r="B2028" i="5"/>
  <c r="C2028" i="5"/>
  <c r="D2028" i="5"/>
  <c r="A2029" i="5"/>
  <c r="B2029" i="5"/>
  <c r="C2029" i="5"/>
  <c r="D2029" i="5"/>
  <c r="A2030" i="5"/>
  <c r="B2030" i="5"/>
  <c r="C2030" i="5"/>
  <c r="D2030" i="5"/>
  <c r="A2031" i="5"/>
  <c r="B2031" i="5"/>
  <c r="C2031" i="5"/>
  <c r="D2031" i="5"/>
  <c r="A2032" i="5"/>
  <c r="B2032" i="5"/>
  <c r="C2032" i="5"/>
  <c r="D2032" i="5"/>
  <c r="A2033" i="5"/>
  <c r="B2033" i="5"/>
  <c r="C2033" i="5"/>
  <c r="D2033" i="5"/>
  <c r="A2034" i="5"/>
  <c r="B2034" i="5"/>
  <c r="C2034" i="5"/>
  <c r="D2034" i="5"/>
  <c r="A2035" i="5"/>
  <c r="B2035" i="5"/>
  <c r="C2035" i="5"/>
  <c r="D2035" i="5"/>
  <c r="A2036" i="5"/>
  <c r="B2036" i="5"/>
  <c r="C2036" i="5"/>
  <c r="D2036" i="5"/>
  <c r="A2037" i="5"/>
  <c r="B2037" i="5"/>
  <c r="C2037" i="5"/>
  <c r="D2037" i="5"/>
  <c r="A2038" i="5"/>
  <c r="B2038" i="5"/>
  <c r="C2038" i="5"/>
  <c r="D2038" i="5"/>
  <c r="A2039" i="5"/>
  <c r="B2039" i="5"/>
  <c r="C2039" i="5"/>
  <c r="D2039" i="5"/>
  <c r="A2040" i="5"/>
  <c r="B2040" i="5"/>
  <c r="C2040" i="5"/>
  <c r="D2040" i="5"/>
  <c r="A2041" i="5"/>
  <c r="B2041" i="5"/>
  <c r="C2041" i="5"/>
  <c r="D2041" i="5"/>
  <c r="A2042" i="5"/>
  <c r="B2042" i="5"/>
  <c r="C2042" i="5"/>
  <c r="D2042" i="5"/>
  <c r="A2043" i="5"/>
  <c r="B2043" i="5"/>
  <c r="C2043" i="5"/>
  <c r="D2043" i="5"/>
  <c r="A2044" i="5"/>
  <c r="B2044" i="5"/>
  <c r="C2044" i="5"/>
  <c r="D2044" i="5"/>
  <c r="A2045" i="5"/>
  <c r="B2045" i="5"/>
  <c r="C2045" i="5"/>
  <c r="D2045" i="5"/>
  <c r="A2046" i="5"/>
  <c r="B2046" i="5"/>
  <c r="C2046" i="5"/>
  <c r="D2046" i="5"/>
  <c r="A2047" i="5"/>
  <c r="B2047" i="5"/>
  <c r="C2047" i="5"/>
  <c r="D2047" i="5"/>
  <c r="A2048" i="5"/>
  <c r="B2048" i="5"/>
  <c r="C2048" i="5"/>
  <c r="D2048" i="5"/>
  <c r="A2049" i="5"/>
  <c r="B2049" i="5"/>
  <c r="C2049" i="5"/>
  <c r="D2049" i="5"/>
  <c r="A2050" i="5"/>
  <c r="B2050" i="5"/>
  <c r="C2050" i="5"/>
  <c r="D2050" i="5"/>
  <c r="A2051" i="5"/>
  <c r="B2051" i="5"/>
  <c r="C2051" i="5"/>
  <c r="D2051" i="5"/>
  <c r="A2052" i="5"/>
  <c r="B2052" i="5"/>
  <c r="C2052" i="5"/>
  <c r="D2052" i="5"/>
  <c r="A2053" i="5"/>
  <c r="B2053" i="5"/>
  <c r="C2053" i="5"/>
  <c r="D2053" i="5"/>
  <c r="A2054" i="5"/>
  <c r="B2054" i="5"/>
  <c r="C2054" i="5"/>
  <c r="D2054" i="5"/>
  <c r="A2055" i="5"/>
  <c r="B2055" i="5"/>
  <c r="C2055" i="5"/>
  <c r="D2055" i="5"/>
  <c r="A2056" i="5"/>
  <c r="B2056" i="5"/>
  <c r="C2056" i="5"/>
  <c r="D2056" i="5"/>
  <c r="A2057" i="5"/>
  <c r="B2057" i="5"/>
  <c r="C2057" i="5"/>
  <c r="D2057" i="5"/>
  <c r="A2058" i="5"/>
  <c r="B2058" i="5"/>
  <c r="C2058" i="5"/>
  <c r="D2058" i="5"/>
  <c r="A2059" i="5"/>
  <c r="B2059" i="5"/>
  <c r="C2059" i="5"/>
  <c r="D2059" i="5"/>
  <c r="A2060" i="5"/>
  <c r="B2060" i="5"/>
  <c r="C2060" i="5"/>
  <c r="D2060" i="5"/>
  <c r="A2061" i="5"/>
  <c r="B2061" i="5"/>
  <c r="C2061" i="5"/>
  <c r="D2061" i="5"/>
  <c r="A2062" i="5"/>
  <c r="B2062" i="5"/>
  <c r="C2062" i="5"/>
  <c r="D2062" i="5"/>
  <c r="A2063" i="5"/>
  <c r="B2063" i="5"/>
  <c r="C2063" i="5"/>
  <c r="D2063" i="5"/>
  <c r="A2064" i="5"/>
  <c r="B2064" i="5"/>
  <c r="C2064" i="5"/>
  <c r="D2064" i="5"/>
  <c r="A2065" i="5"/>
  <c r="B2065" i="5"/>
  <c r="C2065" i="5"/>
  <c r="D2065" i="5"/>
  <c r="A2066" i="5"/>
  <c r="B2066" i="5"/>
  <c r="C2066" i="5"/>
  <c r="D2066" i="5"/>
  <c r="A2067" i="5"/>
  <c r="B2067" i="5"/>
  <c r="C2067" i="5"/>
  <c r="D2067" i="5"/>
  <c r="A2068" i="5"/>
  <c r="B2068" i="5"/>
  <c r="C2068" i="5"/>
  <c r="D2068" i="5"/>
  <c r="A2069" i="5"/>
  <c r="B2069" i="5"/>
  <c r="C2069" i="5"/>
  <c r="D2069" i="5"/>
  <c r="A2070" i="5"/>
  <c r="B2070" i="5"/>
  <c r="C2070" i="5"/>
  <c r="D2070" i="5"/>
  <c r="A2071" i="5"/>
  <c r="B2071" i="5"/>
  <c r="C2071" i="5"/>
  <c r="D2071" i="5"/>
  <c r="A2072" i="5"/>
  <c r="B2072" i="5"/>
  <c r="C2072" i="5"/>
  <c r="D2072" i="5"/>
  <c r="A2073" i="5"/>
  <c r="B2073" i="5"/>
  <c r="C2073" i="5"/>
  <c r="D2073" i="5"/>
  <c r="A2074" i="5"/>
  <c r="B2074" i="5"/>
  <c r="C2074" i="5"/>
  <c r="D2074" i="5"/>
  <c r="A2075" i="5"/>
  <c r="B2075" i="5"/>
  <c r="C2075" i="5"/>
  <c r="D2075" i="5"/>
  <c r="A2076" i="5"/>
  <c r="B2076" i="5"/>
  <c r="C2076" i="5"/>
  <c r="D2076" i="5"/>
  <c r="A2077" i="5"/>
  <c r="B2077" i="5"/>
  <c r="C2077" i="5"/>
  <c r="D2077" i="5"/>
  <c r="A2078" i="5"/>
  <c r="B2078" i="5"/>
  <c r="C2078" i="5"/>
  <c r="D2078" i="5"/>
  <c r="A2079" i="5"/>
  <c r="B2079" i="5"/>
  <c r="C2079" i="5"/>
  <c r="D2079" i="5"/>
  <c r="A2080" i="5"/>
  <c r="B2080" i="5"/>
  <c r="C2080" i="5"/>
  <c r="D2080" i="5"/>
  <c r="A2081" i="5"/>
  <c r="B2081" i="5"/>
  <c r="C2081" i="5"/>
  <c r="D2081" i="5"/>
  <c r="A2082" i="5"/>
  <c r="B2082" i="5"/>
  <c r="C2082" i="5"/>
  <c r="D2082" i="5"/>
  <c r="A2083" i="5"/>
  <c r="B2083" i="5"/>
  <c r="C2083" i="5"/>
  <c r="D2083" i="5"/>
  <c r="A2084" i="5"/>
  <c r="B2084" i="5"/>
  <c r="C2084" i="5"/>
  <c r="D2084" i="5"/>
  <c r="A2085" i="5"/>
  <c r="B2085" i="5"/>
  <c r="C2085" i="5"/>
  <c r="D2085" i="5"/>
  <c r="A2086" i="5"/>
  <c r="B2086" i="5"/>
  <c r="C2086" i="5"/>
  <c r="D2086" i="5"/>
  <c r="A2087" i="5"/>
  <c r="B2087" i="5"/>
  <c r="C2087" i="5"/>
  <c r="D2087" i="5"/>
  <c r="A2088" i="5"/>
  <c r="B2088" i="5"/>
  <c r="C2088" i="5"/>
  <c r="D2088" i="5"/>
  <c r="A2089" i="5"/>
  <c r="B2089" i="5"/>
  <c r="C2089" i="5"/>
  <c r="D2089" i="5"/>
  <c r="A2090" i="5"/>
  <c r="B2090" i="5"/>
  <c r="C2090" i="5"/>
  <c r="D2090" i="5"/>
  <c r="A2091" i="5"/>
  <c r="B2091" i="5"/>
  <c r="C2091" i="5"/>
  <c r="D2091" i="5"/>
  <c r="A2092" i="5"/>
  <c r="B2092" i="5"/>
  <c r="C2092" i="5"/>
  <c r="D2092" i="5"/>
  <c r="A2093" i="5"/>
  <c r="B2093" i="5"/>
  <c r="C2093" i="5"/>
  <c r="D2093" i="5"/>
  <c r="A2094" i="5"/>
  <c r="B2094" i="5"/>
  <c r="C2094" i="5"/>
  <c r="D2094" i="5"/>
  <c r="A2095" i="5"/>
  <c r="B2095" i="5"/>
  <c r="C2095" i="5"/>
  <c r="D2095" i="5"/>
  <c r="A2096" i="5"/>
  <c r="B2096" i="5"/>
  <c r="C2096" i="5"/>
  <c r="D2096" i="5"/>
  <c r="A2097" i="5"/>
  <c r="B2097" i="5"/>
  <c r="C2097" i="5"/>
  <c r="D2097" i="5"/>
  <c r="A2098" i="5"/>
  <c r="B2098" i="5"/>
  <c r="C2098" i="5"/>
  <c r="D2098" i="5"/>
  <c r="A2099" i="5"/>
  <c r="B2099" i="5"/>
  <c r="C2099" i="5"/>
  <c r="D2099" i="5"/>
  <c r="A2100" i="5"/>
  <c r="B2100" i="5"/>
  <c r="C2100" i="5"/>
  <c r="D2100" i="5"/>
  <c r="A2101" i="5"/>
  <c r="B2101" i="5"/>
  <c r="C2101" i="5"/>
  <c r="D2101" i="5"/>
  <c r="A2102" i="5"/>
  <c r="B2102" i="5"/>
  <c r="C2102" i="5"/>
  <c r="D2102" i="5"/>
  <c r="A2103" i="5"/>
  <c r="B2103" i="5"/>
  <c r="C2103" i="5"/>
  <c r="D2103" i="5"/>
  <c r="A2104" i="5"/>
  <c r="B2104" i="5"/>
  <c r="C2104" i="5"/>
  <c r="D2104" i="5"/>
  <c r="A2105" i="5"/>
  <c r="B2105" i="5"/>
  <c r="C2105" i="5"/>
  <c r="D2105" i="5"/>
  <c r="A2106" i="5"/>
  <c r="B2106" i="5"/>
  <c r="C2106" i="5"/>
  <c r="D2106" i="5"/>
  <c r="A2107" i="5"/>
  <c r="B2107" i="5"/>
  <c r="C2107" i="5"/>
  <c r="D2107" i="5"/>
  <c r="A2108" i="5"/>
  <c r="B2108" i="5"/>
  <c r="C2108" i="5"/>
  <c r="D2108" i="5"/>
  <c r="A2109" i="5"/>
  <c r="B2109" i="5"/>
  <c r="C2109" i="5"/>
  <c r="D2109" i="5"/>
  <c r="A2110" i="5"/>
  <c r="B2110" i="5"/>
  <c r="C2110" i="5"/>
  <c r="D2110" i="5"/>
  <c r="A2111" i="5"/>
  <c r="B2111" i="5"/>
  <c r="C2111" i="5"/>
  <c r="D2111" i="5"/>
  <c r="A2112" i="5"/>
  <c r="B2112" i="5"/>
  <c r="C2112" i="5"/>
  <c r="D2112" i="5"/>
  <c r="A2113" i="5"/>
  <c r="B2113" i="5"/>
  <c r="C2113" i="5"/>
  <c r="D2113" i="5"/>
  <c r="A2114" i="5"/>
  <c r="B2114" i="5"/>
  <c r="C2114" i="5"/>
  <c r="D2114" i="5"/>
  <c r="A2115" i="5"/>
  <c r="B2115" i="5"/>
  <c r="C2115" i="5"/>
  <c r="D2115" i="5"/>
  <c r="A2116" i="5"/>
  <c r="B2116" i="5"/>
  <c r="C2116" i="5"/>
  <c r="D2116" i="5"/>
  <c r="A2117" i="5"/>
  <c r="B2117" i="5"/>
  <c r="C2117" i="5"/>
  <c r="D2117" i="5"/>
  <c r="A2118" i="5"/>
  <c r="B2118" i="5"/>
  <c r="C2118" i="5"/>
  <c r="D2118" i="5"/>
  <c r="A2119" i="5"/>
  <c r="B2119" i="5"/>
  <c r="C2119" i="5"/>
  <c r="D2119" i="5"/>
  <c r="A2120" i="5"/>
  <c r="B2120" i="5"/>
  <c r="C2120" i="5"/>
  <c r="D2120" i="5"/>
  <c r="A2121" i="5"/>
  <c r="B2121" i="5"/>
  <c r="C2121" i="5"/>
  <c r="D2121" i="5"/>
  <c r="A2122" i="5"/>
  <c r="B2122" i="5"/>
  <c r="C2122" i="5"/>
  <c r="D2122" i="5"/>
  <c r="A2123" i="5"/>
  <c r="B2123" i="5"/>
  <c r="C2123" i="5"/>
  <c r="D2123" i="5"/>
  <c r="A2124" i="5"/>
  <c r="B2124" i="5"/>
  <c r="C2124" i="5"/>
  <c r="D2124" i="5"/>
  <c r="A2125" i="5"/>
  <c r="B2125" i="5"/>
  <c r="C2125" i="5"/>
  <c r="D2125" i="5"/>
  <c r="A2126" i="5"/>
  <c r="B2126" i="5"/>
  <c r="C2126" i="5"/>
  <c r="D2126" i="5"/>
  <c r="A2127" i="5"/>
  <c r="B2127" i="5"/>
  <c r="C2127" i="5"/>
  <c r="D2127" i="5"/>
  <c r="A2128" i="5"/>
  <c r="B2128" i="5"/>
  <c r="C2128" i="5"/>
  <c r="D2128" i="5"/>
  <c r="A2129" i="5"/>
  <c r="B2129" i="5"/>
  <c r="C2129" i="5"/>
  <c r="D2129" i="5"/>
  <c r="A2130" i="5"/>
  <c r="B2130" i="5"/>
  <c r="C2130" i="5"/>
  <c r="D2130" i="5"/>
  <c r="A2131" i="5"/>
  <c r="B2131" i="5"/>
  <c r="C2131" i="5"/>
  <c r="D2131" i="5"/>
  <c r="A2132" i="5"/>
  <c r="B2132" i="5"/>
  <c r="C2132" i="5"/>
  <c r="D2132" i="5"/>
  <c r="A2133" i="5"/>
  <c r="B2133" i="5"/>
  <c r="C2133" i="5"/>
  <c r="D2133" i="5"/>
  <c r="A2134" i="5"/>
  <c r="B2134" i="5"/>
  <c r="C2134" i="5"/>
  <c r="D2134" i="5"/>
  <c r="A2135" i="5"/>
  <c r="B2135" i="5"/>
  <c r="C2135" i="5"/>
  <c r="D2135" i="5"/>
  <c r="A2136" i="5"/>
  <c r="B2136" i="5"/>
  <c r="C2136" i="5"/>
  <c r="D2136" i="5"/>
  <c r="A2137" i="5"/>
  <c r="B2137" i="5"/>
  <c r="C2137" i="5"/>
  <c r="D2137" i="5"/>
  <c r="A2138" i="5"/>
  <c r="B2138" i="5"/>
  <c r="C2138" i="5"/>
  <c r="D2138" i="5"/>
  <c r="A2139" i="5"/>
  <c r="B2139" i="5"/>
  <c r="C2139" i="5"/>
  <c r="D2139" i="5"/>
  <c r="A2140" i="5"/>
  <c r="B2140" i="5"/>
  <c r="C2140" i="5"/>
  <c r="D2140" i="5"/>
  <c r="A2141" i="5"/>
  <c r="B2141" i="5"/>
  <c r="C2141" i="5"/>
  <c r="D2141" i="5"/>
  <c r="A2142" i="5"/>
  <c r="B2142" i="5"/>
  <c r="C2142" i="5"/>
  <c r="D2142" i="5"/>
  <c r="A2143" i="5"/>
  <c r="B2143" i="5"/>
  <c r="C2143" i="5"/>
  <c r="D2143" i="5"/>
  <c r="A2144" i="5"/>
  <c r="B2144" i="5"/>
  <c r="C2144" i="5"/>
  <c r="D2144" i="5"/>
  <c r="A2145" i="5"/>
  <c r="B2145" i="5"/>
  <c r="C2145" i="5"/>
  <c r="D2145" i="5"/>
  <c r="A2146" i="5"/>
  <c r="B2146" i="5"/>
  <c r="C2146" i="5"/>
  <c r="D2146" i="5"/>
  <c r="A2147" i="5"/>
  <c r="B2147" i="5"/>
  <c r="C2147" i="5"/>
  <c r="D2147" i="5"/>
  <c r="A2148" i="5"/>
  <c r="B2148" i="5"/>
  <c r="C2148" i="5"/>
  <c r="D2148" i="5"/>
  <c r="A2149" i="5"/>
  <c r="B2149" i="5"/>
  <c r="C2149" i="5"/>
  <c r="D2149" i="5"/>
  <c r="A2150" i="5"/>
  <c r="B2150" i="5"/>
  <c r="C2150" i="5"/>
  <c r="D2150" i="5"/>
  <c r="A2151" i="5"/>
  <c r="B2151" i="5"/>
  <c r="C2151" i="5"/>
  <c r="D2151" i="5"/>
  <c r="A2152" i="5"/>
  <c r="B2152" i="5"/>
  <c r="C2152" i="5"/>
  <c r="D2152" i="5"/>
  <c r="A2153" i="5"/>
  <c r="B2153" i="5"/>
  <c r="C2153" i="5"/>
  <c r="D2153" i="5"/>
  <c r="A2154" i="5"/>
  <c r="B2154" i="5"/>
  <c r="C2154" i="5"/>
  <c r="D2154" i="5"/>
  <c r="A2155" i="5"/>
  <c r="B2155" i="5"/>
  <c r="C2155" i="5"/>
  <c r="D2155" i="5"/>
  <c r="A2156" i="5"/>
  <c r="B2156" i="5"/>
  <c r="C2156" i="5"/>
  <c r="D2156" i="5"/>
  <c r="A2157" i="5"/>
  <c r="B2157" i="5"/>
  <c r="C2157" i="5"/>
  <c r="D2157" i="5"/>
  <c r="A2158" i="5"/>
  <c r="B2158" i="5"/>
  <c r="C2158" i="5"/>
  <c r="D2158" i="5"/>
  <c r="A2159" i="5"/>
  <c r="B2159" i="5"/>
  <c r="C2159" i="5"/>
  <c r="D2159" i="5"/>
  <c r="A2160" i="5"/>
  <c r="B2160" i="5"/>
  <c r="C2160" i="5"/>
  <c r="D2160" i="5"/>
  <c r="A2161" i="5"/>
  <c r="B2161" i="5"/>
  <c r="C2161" i="5"/>
  <c r="D2161" i="5"/>
  <c r="A2162" i="5"/>
  <c r="B2162" i="5"/>
  <c r="C2162" i="5"/>
  <c r="D2162" i="5"/>
  <c r="A2163" i="5"/>
  <c r="B2163" i="5"/>
  <c r="C2163" i="5"/>
  <c r="D2163" i="5"/>
  <c r="A2164" i="5"/>
  <c r="B2164" i="5"/>
  <c r="C2164" i="5"/>
  <c r="D2164" i="5"/>
  <c r="A2165" i="5"/>
  <c r="B2165" i="5"/>
  <c r="C2165" i="5"/>
  <c r="D2165" i="5"/>
  <c r="A2166" i="5"/>
  <c r="B2166" i="5"/>
  <c r="C2166" i="5"/>
  <c r="D2166" i="5"/>
  <c r="A2167" i="5"/>
  <c r="B2167" i="5"/>
  <c r="C2167" i="5"/>
  <c r="D2167" i="5"/>
  <c r="A2168" i="5"/>
  <c r="B2168" i="5"/>
  <c r="C2168" i="5"/>
  <c r="D2168" i="5"/>
  <c r="A2169" i="5"/>
  <c r="B2169" i="5"/>
  <c r="C2169" i="5"/>
  <c r="D2169" i="5"/>
  <c r="A2170" i="5"/>
  <c r="B2170" i="5"/>
  <c r="C2170" i="5"/>
  <c r="D2170" i="5"/>
  <c r="A2171" i="5"/>
  <c r="B2171" i="5"/>
  <c r="C2171" i="5"/>
  <c r="D2171" i="5"/>
  <c r="A2172" i="5"/>
  <c r="B2172" i="5"/>
  <c r="C2172" i="5"/>
  <c r="D2172" i="5"/>
  <c r="A2173" i="5"/>
  <c r="B2173" i="5"/>
  <c r="C2173" i="5"/>
  <c r="D2173" i="5"/>
  <c r="A2174" i="5"/>
  <c r="B2174" i="5"/>
  <c r="C2174" i="5"/>
  <c r="D2174" i="5"/>
  <c r="A2175" i="5"/>
  <c r="B2175" i="5"/>
  <c r="C2175" i="5"/>
  <c r="D2175" i="5"/>
  <c r="A2176" i="5"/>
  <c r="B2176" i="5"/>
  <c r="C2176" i="5"/>
  <c r="D2176" i="5"/>
  <c r="A2177" i="5"/>
  <c r="B2177" i="5"/>
  <c r="C2177" i="5"/>
  <c r="D2177" i="5"/>
  <c r="A2178" i="5"/>
  <c r="B2178" i="5"/>
  <c r="C2178" i="5"/>
  <c r="D2178" i="5"/>
  <c r="A2179" i="5"/>
  <c r="B2179" i="5"/>
  <c r="C2179" i="5"/>
  <c r="D2179" i="5"/>
  <c r="A2180" i="5"/>
  <c r="B2180" i="5"/>
  <c r="C2180" i="5"/>
  <c r="D2180" i="5"/>
  <c r="A2181" i="5"/>
  <c r="B2181" i="5"/>
  <c r="C2181" i="5"/>
  <c r="D2181" i="5"/>
  <c r="A2182" i="5"/>
  <c r="B2182" i="5"/>
  <c r="C2182" i="5"/>
  <c r="D2182" i="5"/>
  <c r="A2183" i="5"/>
  <c r="B2183" i="5"/>
  <c r="C2183" i="5"/>
  <c r="D2183" i="5"/>
  <c r="A2184" i="5"/>
  <c r="B2184" i="5"/>
  <c r="C2184" i="5"/>
  <c r="D2184" i="5"/>
  <c r="A2185" i="5"/>
  <c r="B2185" i="5"/>
  <c r="C2185" i="5"/>
  <c r="D2185" i="5"/>
  <c r="A2186" i="5"/>
  <c r="B2186" i="5"/>
  <c r="C2186" i="5"/>
  <c r="D2186" i="5"/>
  <c r="A2187" i="5"/>
  <c r="B2187" i="5"/>
  <c r="C2187" i="5"/>
  <c r="D2187" i="5"/>
  <c r="A2188" i="5"/>
  <c r="B2188" i="5"/>
  <c r="C2188" i="5"/>
  <c r="D2188" i="5"/>
  <c r="A2189" i="5"/>
  <c r="B2189" i="5"/>
  <c r="C2189" i="5"/>
  <c r="D2189" i="5"/>
  <c r="A2190" i="5"/>
  <c r="B2190" i="5"/>
  <c r="C2190" i="5"/>
  <c r="D2190" i="5"/>
  <c r="A2191" i="5"/>
  <c r="B2191" i="5"/>
  <c r="C2191" i="5"/>
  <c r="D2191" i="5"/>
  <c r="A2192" i="5"/>
  <c r="B2192" i="5"/>
  <c r="C2192" i="5"/>
  <c r="D2192" i="5"/>
  <c r="A2193" i="5"/>
  <c r="B2193" i="5"/>
  <c r="C2193" i="5"/>
  <c r="D2193" i="5"/>
  <c r="A2194" i="5"/>
  <c r="B2194" i="5"/>
  <c r="C2194" i="5"/>
  <c r="D2194" i="5"/>
  <c r="A2195" i="5"/>
  <c r="B2195" i="5"/>
  <c r="C2195" i="5"/>
  <c r="D2195" i="5"/>
  <c r="A2196" i="5"/>
  <c r="B2196" i="5"/>
  <c r="C2196" i="5"/>
  <c r="D2196" i="5"/>
  <c r="A2197" i="5"/>
  <c r="B2197" i="5"/>
  <c r="C2197" i="5"/>
  <c r="D2197" i="5"/>
  <c r="A2198" i="5"/>
  <c r="B2198" i="5"/>
  <c r="C2198" i="5"/>
  <c r="D2198" i="5"/>
  <c r="A2199" i="5"/>
  <c r="B2199" i="5"/>
  <c r="C2199" i="5"/>
  <c r="D2199" i="5"/>
  <c r="A2200" i="5"/>
  <c r="B2200" i="5"/>
  <c r="C2200" i="5"/>
  <c r="D2200" i="5"/>
  <c r="A2201" i="5"/>
  <c r="B2201" i="5"/>
  <c r="C2201" i="5"/>
  <c r="D2201" i="5"/>
  <c r="A2202" i="5"/>
  <c r="B2202" i="5"/>
  <c r="C2202" i="5"/>
  <c r="D2202" i="5"/>
  <c r="A2203" i="5"/>
  <c r="B2203" i="5"/>
  <c r="C2203" i="5"/>
  <c r="D2203" i="5"/>
  <c r="A2204" i="5"/>
  <c r="B2204" i="5"/>
  <c r="C2204" i="5"/>
  <c r="D2204" i="5"/>
  <c r="A2205" i="5"/>
  <c r="B2205" i="5"/>
  <c r="C2205" i="5"/>
  <c r="D2205" i="5"/>
  <c r="A2206" i="5"/>
  <c r="B2206" i="5"/>
  <c r="C2206" i="5"/>
  <c r="D2206" i="5"/>
  <c r="A2207" i="5"/>
  <c r="B2207" i="5"/>
  <c r="C2207" i="5"/>
  <c r="D2207" i="5"/>
  <c r="A2208" i="5"/>
  <c r="B2208" i="5"/>
  <c r="C2208" i="5"/>
  <c r="D2208" i="5"/>
  <c r="A2209" i="5"/>
  <c r="B2209" i="5"/>
  <c r="C2209" i="5"/>
  <c r="D2209" i="5"/>
  <c r="A2210" i="5"/>
  <c r="B2210" i="5"/>
  <c r="C2210" i="5"/>
  <c r="D2210" i="5"/>
  <c r="A2211" i="5"/>
  <c r="B2211" i="5"/>
  <c r="C2211" i="5"/>
  <c r="D2211" i="5"/>
  <c r="A2212" i="5"/>
  <c r="B2212" i="5"/>
  <c r="C2212" i="5"/>
  <c r="D2212" i="5"/>
  <c r="A2213" i="5"/>
  <c r="B2213" i="5"/>
  <c r="C2213" i="5"/>
  <c r="D2213" i="5"/>
  <c r="A2214" i="5"/>
  <c r="B2214" i="5"/>
  <c r="C2214" i="5"/>
  <c r="D2214" i="5"/>
  <c r="A2215" i="5"/>
  <c r="B2215" i="5"/>
  <c r="C2215" i="5"/>
  <c r="D2215" i="5"/>
  <c r="A2216" i="5"/>
  <c r="B2216" i="5"/>
  <c r="C2216" i="5"/>
  <c r="D2216" i="5"/>
  <c r="A2217" i="5"/>
  <c r="B2217" i="5"/>
  <c r="C2217" i="5"/>
  <c r="D2217" i="5"/>
  <c r="A2218" i="5"/>
  <c r="B2218" i="5"/>
  <c r="C2218" i="5"/>
  <c r="D2218" i="5"/>
  <c r="A2219" i="5"/>
  <c r="B2219" i="5"/>
  <c r="C2219" i="5"/>
  <c r="D2219" i="5"/>
  <c r="A2220" i="5"/>
  <c r="B2220" i="5"/>
  <c r="C2220" i="5"/>
  <c r="D2220" i="5"/>
  <c r="A2221" i="5"/>
  <c r="B2221" i="5"/>
  <c r="C2221" i="5"/>
  <c r="D2221" i="5"/>
  <c r="A2222" i="5"/>
  <c r="B2222" i="5"/>
  <c r="C2222" i="5"/>
  <c r="D2222" i="5"/>
  <c r="A2223" i="5"/>
  <c r="B2223" i="5"/>
  <c r="C2223" i="5"/>
  <c r="D2223" i="5"/>
  <c r="A2224" i="5"/>
  <c r="B2224" i="5"/>
  <c r="C2224" i="5"/>
  <c r="D2224" i="5"/>
  <c r="A2225" i="5"/>
  <c r="B2225" i="5"/>
  <c r="C2225" i="5"/>
  <c r="D2225" i="5"/>
  <c r="A2226" i="5"/>
  <c r="B2226" i="5"/>
  <c r="C2226" i="5"/>
  <c r="D2226" i="5"/>
  <c r="A2227" i="5"/>
  <c r="B2227" i="5"/>
  <c r="C2227" i="5"/>
  <c r="D2227" i="5"/>
  <c r="A2228" i="5"/>
  <c r="B2228" i="5"/>
  <c r="C2228" i="5"/>
  <c r="D2228" i="5"/>
  <c r="A2229" i="5"/>
  <c r="B2229" i="5"/>
  <c r="C2229" i="5"/>
  <c r="D2229" i="5"/>
  <c r="A2230" i="5"/>
  <c r="B2230" i="5"/>
  <c r="C2230" i="5"/>
  <c r="D2230" i="5"/>
  <c r="A2231" i="5"/>
  <c r="B2231" i="5"/>
  <c r="C2231" i="5"/>
  <c r="D2231" i="5"/>
  <c r="A2232" i="5"/>
  <c r="B2232" i="5"/>
  <c r="C2232" i="5"/>
  <c r="D2232" i="5"/>
  <c r="A2233" i="5"/>
  <c r="B2233" i="5"/>
  <c r="C2233" i="5"/>
  <c r="D2233" i="5"/>
  <c r="A2234" i="5"/>
  <c r="B2234" i="5"/>
  <c r="C2234" i="5"/>
  <c r="D2234" i="5"/>
  <c r="A2235" i="5"/>
  <c r="B2235" i="5"/>
  <c r="C2235" i="5"/>
  <c r="D2235" i="5"/>
  <c r="A2236" i="5"/>
  <c r="B2236" i="5"/>
  <c r="C2236" i="5"/>
  <c r="D2236" i="5"/>
  <c r="A2237" i="5"/>
  <c r="B2237" i="5"/>
  <c r="C2237" i="5"/>
  <c r="D2237" i="5"/>
  <c r="A2238" i="5"/>
  <c r="B2238" i="5"/>
  <c r="C2238" i="5"/>
  <c r="D2238" i="5"/>
  <c r="A2239" i="5"/>
  <c r="B2239" i="5"/>
  <c r="C2239" i="5"/>
  <c r="D2239" i="5"/>
  <c r="A2240" i="5"/>
  <c r="B2240" i="5"/>
  <c r="C2240" i="5"/>
  <c r="D2240" i="5"/>
  <c r="A2241" i="5"/>
  <c r="B2241" i="5"/>
  <c r="C2241" i="5"/>
  <c r="D2241" i="5"/>
  <c r="A2242" i="5"/>
  <c r="B2242" i="5"/>
  <c r="C2242" i="5"/>
  <c r="D2242" i="5"/>
  <c r="A2243" i="5"/>
  <c r="B2243" i="5"/>
  <c r="C2243" i="5"/>
  <c r="D2243" i="5"/>
  <c r="A2244" i="5"/>
  <c r="B2244" i="5"/>
  <c r="C2244" i="5"/>
  <c r="D2244" i="5"/>
  <c r="A2245" i="5"/>
  <c r="B2245" i="5"/>
  <c r="C2245" i="5"/>
  <c r="D2245" i="5"/>
  <c r="A2246" i="5"/>
  <c r="B2246" i="5"/>
  <c r="C2246" i="5"/>
  <c r="D2246" i="5"/>
  <c r="A2247" i="5"/>
  <c r="B2247" i="5"/>
  <c r="C2247" i="5"/>
  <c r="D2247" i="5"/>
  <c r="A2248" i="5"/>
  <c r="B2248" i="5"/>
  <c r="C2248" i="5"/>
  <c r="D2248" i="5"/>
  <c r="A2249" i="5"/>
  <c r="B2249" i="5"/>
  <c r="C2249" i="5"/>
  <c r="D2249" i="5"/>
  <c r="A2250" i="5"/>
  <c r="B2250" i="5"/>
  <c r="C2250" i="5"/>
  <c r="D2250" i="5"/>
  <c r="A2251" i="5"/>
  <c r="B2251" i="5"/>
  <c r="C2251" i="5"/>
  <c r="D2251" i="5"/>
  <c r="A2252" i="5"/>
  <c r="B2252" i="5"/>
  <c r="C2252" i="5"/>
  <c r="D2252" i="5"/>
  <c r="A2253" i="5"/>
  <c r="B2253" i="5"/>
  <c r="C2253" i="5"/>
  <c r="D2253" i="5"/>
  <c r="A2254" i="5"/>
  <c r="B2254" i="5"/>
  <c r="C2254" i="5"/>
  <c r="D2254" i="5"/>
  <c r="A2255" i="5"/>
  <c r="B2255" i="5"/>
  <c r="C2255" i="5"/>
  <c r="D2255" i="5"/>
  <c r="A2256" i="5"/>
  <c r="B2256" i="5"/>
  <c r="C2256" i="5"/>
  <c r="D2256" i="5"/>
  <c r="A2257" i="5"/>
  <c r="B2257" i="5"/>
  <c r="C2257" i="5"/>
  <c r="D2257" i="5"/>
  <c r="A2258" i="5"/>
  <c r="B2258" i="5"/>
  <c r="C2258" i="5"/>
  <c r="D2258" i="5"/>
  <c r="A2259" i="5"/>
  <c r="B2259" i="5"/>
  <c r="C2259" i="5"/>
  <c r="D2259" i="5"/>
  <c r="A2260" i="5"/>
  <c r="B2260" i="5"/>
  <c r="C2260" i="5"/>
  <c r="D2260" i="5"/>
  <c r="A2261" i="5"/>
  <c r="B2261" i="5"/>
  <c r="C2261" i="5"/>
  <c r="D2261" i="5"/>
  <c r="A2262" i="5"/>
  <c r="B2262" i="5"/>
  <c r="C2262" i="5"/>
  <c r="D2262" i="5"/>
  <c r="A2263" i="5"/>
  <c r="B2263" i="5"/>
  <c r="C2263" i="5"/>
  <c r="D2263" i="5"/>
  <c r="A2264" i="5"/>
  <c r="B2264" i="5"/>
  <c r="C2264" i="5"/>
  <c r="D2264" i="5"/>
  <c r="A2265" i="5"/>
  <c r="B2265" i="5"/>
  <c r="C2265" i="5"/>
  <c r="D2265" i="5"/>
  <c r="A2266" i="5"/>
  <c r="B2266" i="5"/>
  <c r="C2266" i="5"/>
  <c r="D2266" i="5"/>
  <c r="A2267" i="5"/>
  <c r="B2267" i="5"/>
  <c r="C2267" i="5"/>
  <c r="D2267" i="5"/>
  <c r="A2268" i="5"/>
  <c r="B2268" i="5"/>
  <c r="C2268" i="5"/>
  <c r="D2268" i="5"/>
  <c r="A2269" i="5"/>
  <c r="B2269" i="5"/>
  <c r="C2269" i="5"/>
  <c r="D2269" i="5"/>
  <c r="A2270" i="5"/>
  <c r="B2270" i="5"/>
  <c r="C2270" i="5"/>
  <c r="D2270" i="5"/>
  <c r="A2271" i="5"/>
  <c r="B2271" i="5"/>
  <c r="C2271" i="5"/>
  <c r="D2271" i="5"/>
  <c r="A2272" i="5"/>
  <c r="B2272" i="5"/>
  <c r="C2272" i="5"/>
  <c r="D2272" i="5"/>
  <c r="A2273" i="5"/>
  <c r="B2273" i="5"/>
  <c r="C2273" i="5"/>
  <c r="D2273" i="5"/>
  <c r="A2274" i="5"/>
  <c r="B2274" i="5"/>
  <c r="C2274" i="5"/>
  <c r="D2274" i="5"/>
  <c r="A2275" i="5"/>
  <c r="B2275" i="5"/>
  <c r="C2275" i="5"/>
  <c r="D2275" i="5"/>
  <c r="A2276" i="5"/>
  <c r="B2276" i="5"/>
  <c r="C2276" i="5"/>
  <c r="D2276" i="5"/>
  <c r="A2277" i="5"/>
  <c r="B2277" i="5"/>
  <c r="C2277" i="5"/>
  <c r="D2277" i="5"/>
  <c r="A2278" i="5"/>
  <c r="B2278" i="5"/>
  <c r="C2278" i="5"/>
  <c r="D2278" i="5"/>
  <c r="A2279" i="5"/>
  <c r="B2279" i="5"/>
  <c r="C2279" i="5"/>
  <c r="D2279" i="5"/>
  <c r="A2280" i="5"/>
  <c r="B2280" i="5"/>
  <c r="C2280" i="5"/>
  <c r="D2280" i="5"/>
  <c r="A2281" i="5"/>
  <c r="B2281" i="5"/>
  <c r="C2281" i="5"/>
  <c r="D2281" i="5"/>
  <c r="A2282" i="5"/>
  <c r="B2282" i="5"/>
  <c r="C2282" i="5"/>
  <c r="D2282" i="5"/>
  <c r="A2283" i="5"/>
  <c r="B2283" i="5"/>
  <c r="C2283" i="5"/>
  <c r="D2283" i="5"/>
  <c r="A2284" i="5"/>
  <c r="B2284" i="5"/>
  <c r="C2284" i="5"/>
  <c r="D2284" i="5"/>
  <c r="A2285" i="5"/>
  <c r="B2285" i="5"/>
  <c r="C2285" i="5"/>
  <c r="D2285" i="5"/>
  <c r="A2286" i="5"/>
  <c r="B2286" i="5"/>
  <c r="C2286" i="5"/>
  <c r="D2286" i="5"/>
  <c r="A2287" i="5"/>
  <c r="B2287" i="5"/>
  <c r="C2287" i="5"/>
  <c r="D2287" i="5"/>
  <c r="A2288" i="5"/>
  <c r="B2288" i="5"/>
  <c r="C2288" i="5"/>
  <c r="D2288" i="5"/>
  <c r="A2289" i="5"/>
  <c r="B2289" i="5"/>
  <c r="C2289" i="5"/>
  <c r="D2289" i="5"/>
  <c r="A2290" i="5"/>
  <c r="B2290" i="5"/>
  <c r="C2290" i="5"/>
  <c r="D2290" i="5"/>
  <c r="A2291" i="5"/>
  <c r="B2291" i="5"/>
  <c r="C2291" i="5"/>
  <c r="D2291" i="5"/>
  <c r="A2292" i="5"/>
  <c r="B2292" i="5"/>
  <c r="C2292" i="5"/>
  <c r="D2292" i="5"/>
  <c r="A2293" i="5"/>
  <c r="B2293" i="5"/>
  <c r="C2293" i="5"/>
  <c r="D2293" i="5"/>
  <c r="A2294" i="5"/>
  <c r="B2294" i="5"/>
  <c r="C2294" i="5"/>
  <c r="D2294" i="5"/>
  <c r="A2295" i="5"/>
  <c r="B2295" i="5"/>
  <c r="C2295" i="5"/>
  <c r="D2295" i="5"/>
  <c r="A2296" i="5"/>
  <c r="B2296" i="5"/>
  <c r="C2296" i="5"/>
  <c r="D2296" i="5"/>
  <c r="A2297" i="5"/>
  <c r="B2297" i="5"/>
  <c r="C2297" i="5"/>
  <c r="D2297" i="5"/>
  <c r="A2298" i="5"/>
  <c r="B2298" i="5"/>
  <c r="C2298" i="5"/>
  <c r="D2298" i="5"/>
  <c r="A2299" i="5"/>
  <c r="B2299" i="5"/>
  <c r="C2299" i="5"/>
  <c r="D2299" i="5"/>
  <c r="A2300" i="5"/>
  <c r="B2300" i="5"/>
  <c r="C2300" i="5"/>
  <c r="D2300" i="5"/>
  <c r="A2301" i="5"/>
  <c r="B2301" i="5"/>
  <c r="C2301" i="5"/>
  <c r="D2301" i="5"/>
  <c r="A2302" i="5"/>
  <c r="B2302" i="5"/>
  <c r="C2302" i="5"/>
  <c r="D2302" i="5"/>
  <c r="A2303" i="5"/>
  <c r="B2303" i="5"/>
  <c r="C2303" i="5"/>
  <c r="D2303" i="5"/>
  <c r="D5" i="5"/>
  <c r="C5" i="5"/>
  <c r="B5" i="5"/>
  <c r="A5" i="5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M6" i="6"/>
  <c r="L6" i="6"/>
  <c r="K6" i="6"/>
  <c r="J6" i="6"/>
  <c r="I6" i="6"/>
  <c r="H6" i="6"/>
  <c r="G6" i="6"/>
  <c r="F6" i="6"/>
  <c r="E6" i="6"/>
  <c r="D6" i="6"/>
  <c r="C6" i="6"/>
  <c r="B6" i="6"/>
  <c r="N5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  <c r="C34" i="4"/>
  <c r="B34" i="4"/>
  <c r="C32" i="4"/>
  <c r="B32" i="4"/>
  <c r="C31" i="4"/>
  <c r="B31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0" i="4"/>
  <c r="B10" i="4"/>
  <c r="C9" i="4"/>
  <c r="B9" i="4"/>
  <c r="C8" i="4"/>
  <c r="B8" i="4"/>
  <c r="C7" i="4"/>
  <c r="B7" i="4"/>
  <c r="C6" i="4"/>
  <c r="B6" i="4"/>
  <c r="C88" i="3"/>
  <c r="B88" i="3"/>
  <c r="C86" i="3"/>
  <c r="B86" i="3"/>
  <c r="C85" i="3"/>
  <c r="B85" i="3"/>
  <c r="C83" i="3"/>
  <c r="B83" i="3"/>
  <c r="C82" i="3"/>
  <c r="B82" i="3"/>
  <c r="C81" i="3"/>
  <c r="B81" i="3"/>
  <c r="C80" i="3"/>
  <c r="B80" i="3"/>
  <c r="C79" i="3"/>
  <c r="B79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4" i="3"/>
  <c r="B54" i="3"/>
  <c r="C53" i="3"/>
  <c r="B53" i="3"/>
  <c r="C52" i="3"/>
  <c r="B52" i="3"/>
  <c r="C51" i="3"/>
  <c r="B51" i="3"/>
  <c r="C50" i="3"/>
  <c r="B50" i="3"/>
  <c r="C49" i="3"/>
  <c r="B49" i="3"/>
  <c r="C47" i="3"/>
  <c r="B47" i="3"/>
  <c r="C46" i="3"/>
  <c r="B46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5" i="3"/>
  <c r="B25" i="3"/>
  <c r="C24" i="3"/>
  <c r="B24" i="3"/>
  <c r="C23" i="3"/>
  <c r="B23" i="3"/>
  <c r="C22" i="3"/>
  <c r="B22" i="3"/>
  <c r="C21" i="3"/>
  <c r="B21" i="3"/>
  <c r="C16" i="3"/>
  <c r="B16" i="3"/>
  <c r="C15" i="3"/>
  <c r="B15" i="3"/>
  <c r="C14" i="3"/>
  <c r="B14" i="3"/>
  <c r="B10" i="3"/>
  <c r="B9" i="3"/>
  <c r="B8" i="3"/>
  <c r="G3" i="1" a="1"/>
  <c r="G3" i="1" s="1"/>
  <c r="G4" i="1" a="1"/>
  <c r="G4" i="1" s="1"/>
  <c r="G5" i="1" a="1"/>
  <c r="G5" i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/>
  <c r="G30" i="1" a="1"/>
  <c r="G30" i="1" s="1"/>
  <c r="G31" i="1" a="1"/>
  <c r="G31" i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/>
  <c r="G83" i="1" a="1"/>
  <c r="G83" i="1" s="1"/>
  <c r="G84" i="1" a="1"/>
  <c r="G84" i="1" s="1"/>
  <c r="G85" i="1" a="1"/>
  <c r="G85" i="1"/>
  <c r="G86" i="1" a="1"/>
  <c r="G86" i="1" s="1"/>
  <c r="G87" i="1" a="1"/>
  <c r="G87" i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/>
  <c r="G96" i="1" a="1"/>
  <c r="G96" i="1" s="1"/>
  <c r="G97" i="1" a="1"/>
  <c r="G97" i="1" s="1"/>
  <c r="G98" i="1" a="1"/>
  <c r="G98" i="1"/>
  <c r="G99" i="1" a="1"/>
  <c r="G99" i="1" s="1"/>
  <c r="G100" i="1" a="1"/>
  <c r="G100" i="1" s="1"/>
  <c r="G101" i="1" a="1"/>
  <c r="G101" i="1"/>
  <c r="G102" i="1" a="1"/>
  <c r="G102" i="1" s="1"/>
  <c r="G103" i="1" a="1"/>
  <c r="G103" i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/>
  <c r="G118" i="1" a="1"/>
  <c r="G118" i="1" s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 s="1"/>
  <c r="G135" i="1" a="1"/>
  <c r="G135" i="1"/>
  <c r="G136" i="1" a="1"/>
  <c r="G136" i="1" s="1"/>
  <c r="G137" i="1" a="1"/>
  <c r="G137" i="1" s="1"/>
  <c r="G138" i="1" a="1"/>
  <c r="G138" i="1"/>
  <c r="G139" i="1" a="1"/>
  <c r="G139" i="1" s="1"/>
  <c r="G140" i="1" a="1"/>
  <c r="G140" i="1" s="1"/>
  <c r="G141" i="1" a="1"/>
  <c r="G141" i="1" s="1"/>
  <c r="G142" i="1" a="1"/>
  <c r="G142" i="1" s="1"/>
  <c r="G143" i="1" a="1"/>
  <c r="G143" i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/>
  <c r="G166" i="1" a="1"/>
  <c r="G166" i="1" s="1"/>
  <c r="G167" i="1" a="1"/>
  <c r="G167" i="1" s="1"/>
  <c r="G168" i="1" a="1"/>
  <c r="G168" i="1" s="1"/>
  <c r="G169" i="1" a="1"/>
  <c r="G169" i="1" s="1"/>
  <c r="G170" i="1" a="1"/>
  <c r="G170" i="1"/>
  <c r="G171" i="1" a="1"/>
  <c r="G171" i="1" s="1"/>
  <c r="G172" i="1" a="1"/>
  <c r="G172" i="1" s="1"/>
  <c r="G173" i="1" a="1"/>
  <c r="G173" i="1"/>
  <c r="G174" i="1" a="1"/>
  <c r="G174" i="1" s="1"/>
  <c r="G175" i="1" a="1"/>
  <c r="G175" i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/>
  <c r="G206" i="1" a="1"/>
  <c r="G206" i="1" s="1"/>
  <c r="G207" i="1" a="1"/>
  <c r="G207" i="1"/>
  <c r="G208" i="1" a="1"/>
  <c r="G208" i="1" s="1"/>
  <c r="G209" i="1" a="1"/>
  <c r="G209" i="1" s="1"/>
  <c r="G210" i="1" a="1"/>
  <c r="G210" i="1"/>
  <c r="G211" i="1" a="1"/>
  <c r="G211" i="1" s="1"/>
  <c r="G212" i="1" a="1"/>
  <c r="G212" i="1" s="1"/>
  <c r="G213" i="1" a="1"/>
  <c r="G213" i="1" s="1"/>
  <c r="G214" i="1" a="1"/>
  <c r="G214" i="1" s="1"/>
  <c r="G215" i="1" a="1"/>
  <c r="G215" i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/>
  <c r="G230" i="1" a="1"/>
  <c r="G230" i="1" s="1"/>
  <c r="G231" i="1" a="1"/>
  <c r="G231" i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/>
  <c r="G243" i="1" a="1"/>
  <c r="G243" i="1" s="1"/>
  <c r="G244" i="1" a="1"/>
  <c r="G244" i="1" s="1"/>
  <c r="G245" i="1" a="1"/>
  <c r="G245" i="1"/>
  <c r="G246" i="1" a="1"/>
  <c r="G246" i="1" s="1"/>
  <c r="G247" i="1" a="1"/>
  <c r="G247" i="1" s="1"/>
  <c r="G248" i="1" a="1"/>
  <c r="G248" i="1" s="1"/>
  <c r="G249" i="1" a="1"/>
  <c r="G249" i="1" s="1"/>
  <c r="G250" i="1" a="1"/>
  <c r="G250" i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/>
  <c r="G259" i="1" a="1"/>
  <c r="G259" i="1" s="1"/>
  <c r="G260" i="1" a="1"/>
  <c r="G260" i="1" s="1"/>
  <c r="G261" i="1" a="1"/>
  <c r="G261" i="1" s="1"/>
  <c r="G262" i="1" a="1"/>
  <c r="G262" i="1" s="1"/>
  <c r="G263" i="1" a="1"/>
  <c r="G263" i="1"/>
  <c r="G264" i="1" a="1"/>
  <c r="G264" i="1" s="1"/>
  <c r="G265" i="1" a="1"/>
  <c r="G265" i="1" s="1"/>
  <c r="G266" i="1" a="1"/>
  <c r="G266" i="1"/>
  <c r="G267" i="1" a="1"/>
  <c r="G267" i="1" s="1"/>
  <c r="G268" i="1" a="1"/>
  <c r="G268" i="1" s="1"/>
  <c r="G269" i="1" a="1"/>
  <c r="G269" i="1" s="1"/>
  <c r="G270" i="1" a="1"/>
  <c r="G270" i="1" s="1"/>
  <c r="G271" i="1" a="1"/>
  <c r="G271" i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/>
  <c r="G286" i="1" a="1"/>
  <c r="G286" i="1" s="1"/>
  <c r="G287" i="1" a="1"/>
  <c r="G287" i="1"/>
  <c r="G288" i="1" a="1"/>
  <c r="G288" i="1" s="1"/>
  <c r="G289" i="1" a="1"/>
  <c r="G289" i="1" s="1"/>
  <c r="G290" i="1" a="1"/>
  <c r="G290" i="1"/>
  <c r="G291" i="1" a="1"/>
  <c r="G291" i="1" s="1"/>
  <c r="G292" i="1" a="1"/>
  <c r="G292" i="1" s="1"/>
  <c r="G293" i="1" a="1"/>
  <c r="G293" i="1"/>
  <c r="G294" i="1" a="1"/>
  <c r="G294" i="1" s="1"/>
  <c r="G295" i="1" a="1"/>
  <c r="G295" i="1" s="1"/>
  <c r="G296" i="1" a="1"/>
  <c r="G296" i="1" s="1"/>
  <c r="G297" i="1" a="1"/>
  <c r="G297" i="1" s="1"/>
  <c r="G298" i="1" a="1"/>
  <c r="G298" i="1"/>
  <c r="G299" i="1" a="1"/>
  <c r="G299" i="1" s="1"/>
  <c r="G300" i="1" a="1"/>
  <c r="G300" i="1" s="1"/>
  <c r="G301" i="1" a="1"/>
  <c r="G301" i="1" s="1"/>
  <c r="G302" i="1" a="1"/>
  <c r="G302" i="1" s="1"/>
  <c r="G303" i="1" a="1"/>
  <c r="G303" i="1"/>
  <c r="G304" i="1" a="1"/>
  <c r="G304" i="1" s="1"/>
  <c r="G305" i="1" a="1"/>
  <c r="G305" i="1" s="1"/>
  <c r="G306" i="1" a="1"/>
  <c r="G306" i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/>
  <c r="G334" i="1" a="1"/>
  <c r="G334" i="1" s="1"/>
  <c r="G335" i="1" a="1"/>
  <c r="G335" i="1"/>
  <c r="G336" i="1" a="1"/>
  <c r="G336" i="1" s="1"/>
  <c r="G337" i="1" a="1"/>
  <c r="G337" i="1" s="1"/>
  <c r="G338" i="1" a="1"/>
  <c r="G338" i="1"/>
  <c r="G339" i="1" a="1"/>
  <c r="G339" i="1" s="1"/>
  <c r="G340" i="1" a="1"/>
  <c r="G340" i="1" s="1"/>
  <c r="G341" i="1" a="1"/>
  <c r="G341" i="1"/>
  <c r="G342" i="1" a="1"/>
  <c r="G342" i="1" s="1"/>
  <c r="G343" i="1" a="1"/>
  <c r="G343" i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/>
  <c r="G371" i="1" a="1"/>
  <c r="G371" i="1" s="1"/>
  <c r="G372" i="1" a="1"/>
  <c r="G372" i="1" s="1"/>
  <c r="G373" i="1" a="1"/>
  <c r="G373" i="1"/>
  <c r="G374" i="1" a="1"/>
  <c r="G374" i="1" s="1"/>
  <c r="G375" i="1" a="1"/>
  <c r="G375" i="1" s="1"/>
  <c r="G376" i="1" a="1"/>
  <c r="G376" i="1" s="1"/>
  <c r="G377" i="1" a="1"/>
  <c r="G377" i="1" s="1"/>
  <c r="G378" i="1" a="1"/>
  <c r="G378" i="1"/>
  <c r="G379" i="1" a="1"/>
  <c r="G379" i="1" s="1"/>
  <c r="G380" i="1" a="1"/>
  <c r="G380" i="1" s="1"/>
  <c r="G381" i="1" a="1"/>
  <c r="G381" i="1"/>
  <c r="G382" i="1" a="1"/>
  <c r="G382" i="1" s="1"/>
  <c r="G383" i="1" a="1"/>
  <c r="G383" i="1" s="1"/>
  <c r="G384" i="1" a="1"/>
  <c r="G384" i="1" s="1"/>
  <c r="G385" i="1" a="1"/>
  <c r="G385" i="1" s="1"/>
  <c r="G386" i="1" a="1"/>
  <c r="G386" i="1"/>
  <c r="G387" i="1" a="1"/>
  <c r="G387" i="1" s="1"/>
  <c r="G388" i="1" a="1"/>
  <c r="G388" i="1" s="1"/>
  <c r="G389" i="1" a="1"/>
  <c r="G389" i="1" s="1"/>
  <c r="G390" i="1" a="1"/>
  <c r="G390" i="1" s="1"/>
  <c r="G391" i="1" a="1"/>
  <c r="G391" i="1"/>
  <c r="G392" i="1" a="1"/>
  <c r="G392" i="1" s="1"/>
  <c r="G393" i="1" a="1"/>
  <c r="G393" i="1" s="1"/>
  <c r="G394" i="1" a="1"/>
  <c r="G394" i="1"/>
  <c r="G395" i="1" a="1"/>
  <c r="G395" i="1" s="1"/>
  <c r="G396" i="1" a="1"/>
  <c r="G396" i="1" s="1"/>
  <c r="G397" i="1" a="1"/>
  <c r="G397" i="1" s="1"/>
  <c r="G398" i="1" a="1"/>
  <c r="G398" i="1" s="1"/>
  <c r="G399" i="1" a="1"/>
  <c r="G399" i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/>
  <c r="G422" i="1" a="1"/>
  <c r="G422" i="1" s="1"/>
  <c r="G423" i="1" a="1"/>
  <c r="G423" i="1" s="1"/>
  <c r="G424" i="1" a="1"/>
  <c r="G424" i="1" s="1"/>
  <c r="G425" i="1" a="1"/>
  <c r="G425" i="1" s="1"/>
  <c r="G426" i="1" a="1"/>
  <c r="G426" i="1"/>
  <c r="G427" i="1" a="1"/>
  <c r="G427" i="1" s="1"/>
  <c r="G428" i="1" a="1"/>
  <c r="G428" i="1" s="1"/>
  <c r="G429" i="1" a="1"/>
  <c r="G429" i="1"/>
  <c r="G430" i="1" a="1"/>
  <c r="G430" i="1" s="1"/>
  <c r="G431" i="1" a="1"/>
  <c r="G431" i="1"/>
  <c r="G432" i="1" a="1"/>
  <c r="G432" i="1" s="1"/>
  <c r="G433" i="1" a="1"/>
  <c r="G433" i="1" s="1"/>
  <c r="G434" i="1" a="1"/>
  <c r="G434" i="1"/>
  <c r="G435" i="1" a="1"/>
  <c r="G435" i="1" s="1"/>
  <c r="G436" i="1" a="1"/>
  <c r="G436" i="1" s="1"/>
  <c r="G437" i="1" a="1"/>
  <c r="G437" i="1" s="1"/>
  <c r="G438" i="1" a="1"/>
  <c r="G438" i="1" s="1"/>
  <c r="G439" i="1" a="1"/>
  <c r="G439" i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/>
  <c r="G446" i="1" a="1"/>
  <c r="G446" i="1" s="1"/>
  <c r="G447" i="1" a="1"/>
  <c r="G447" i="1"/>
  <c r="G448" i="1" a="1"/>
  <c r="G448" i="1" s="1"/>
  <c r="G449" i="1" a="1"/>
  <c r="G449" i="1" s="1"/>
  <c r="G450" i="1" a="1"/>
  <c r="G450" i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/>
  <c r="G459" i="1" a="1"/>
  <c r="G459" i="1" s="1"/>
  <c r="G460" i="1" a="1"/>
  <c r="G460" i="1" s="1"/>
  <c r="G461" i="1" a="1"/>
  <c r="G461" i="1" s="1"/>
  <c r="G462" i="1" a="1"/>
  <c r="G462" i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/>
  <c r="G470" i="1" a="1"/>
  <c r="G470" i="1"/>
  <c r="G471" i="1" a="1"/>
  <c r="G471" i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/>
  <c r="G494" i="1" a="1"/>
  <c r="G494" i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/>
  <c r="G515" i="1" a="1"/>
  <c r="G515" i="1" s="1"/>
  <c r="G516" i="1" a="1"/>
  <c r="G516" i="1" s="1"/>
  <c r="G517" i="1" a="1"/>
  <c r="G517" i="1" s="1"/>
  <c r="G518" i="1" a="1"/>
  <c r="G518" i="1"/>
  <c r="G519" i="1" a="1"/>
  <c r="G519" i="1" s="1"/>
  <c r="G520" i="1" a="1"/>
  <c r="G520" i="1"/>
  <c r="G521" i="1" a="1"/>
  <c r="G521" i="1"/>
  <c r="G522" i="1" a="1"/>
  <c r="G522" i="1"/>
  <c r="G523" i="1" a="1"/>
  <c r="G523" i="1" s="1"/>
  <c r="G524" i="1" a="1"/>
  <c r="G524" i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/>
  <c r="G541" i="1" a="1"/>
  <c r="G541" i="1"/>
  <c r="G542" i="1" a="1"/>
  <c r="G542" i="1"/>
  <c r="G543" i="1" a="1"/>
  <c r="G543" i="1" s="1"/>
  <c r="G544" i="1" a="1"/>
  <c r="G544" i="1"/>
  <c r="G545" i="1" a="1"/>
  <c r="G545" i="1"/>
  <c r="G546" i="1" a="1"/>
  <c r="G546" i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/>
  <c r="G554" i="1" a="1"/>
  <c r="G554" i="1" s="1"/>
  <c r="G555" i="1" a="1"/>
  <c r="G555" i="1" s="1"/>
  <c r="G556" i="1" a="1"/>
  <c r="G556" i="1" s="1"/>
  <c r="G557" i="1" a="1"/>
  <c r="G557" i="1" s="1"/>
  <c r="G558" i="1" a="1"/>
  <c r="G558" i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/>
  <c r="G565" i="1" a="1"/>
  <c r="G565" i="1"/>
  <c r="G566" i="1" a="1"/>
  <c r="G566" i="1" s="1"/>
  <c r="G567" i="1" a="1"/>
  <c r="G567" i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/>
  <c r="G575" i="1" a="1"/>
  <c r="G575" i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/>
  <c r="G593" i="1" a="1"/>
  <c r="G593" i="1"/>
  <c r="G594" i="1" a="1"/>
  <c r="G594" i="1"/>
  <c r="G595" i="1" a="1"/>
  <c r="G595" i="1" s="1"/>
  <c r="G596" i="1" a="1"/>
  <c r="G596" i="1" s="1"/>
  <c r="G597" i="1" a="1"/>
  <c r="G597" i="1"/>
  <c r="G598" i="1" a="1"/>
  <c r="G598" i="1"/>
  <c r="G599" i="1" a="1"/>
  <c r="G599" i="1"/>
  <c r="G600" i="1" a="1"/>
  <c r="G600" i="1" s="1"/>
  <c r="G601" i="1" a="1"/>
  <c r="G601" i="1" s="1"/>
  <c r="G602" i="1" a="1"/>
  <c r="G602" i="1"/>
  <c r="G603" i="1" a="1"/>
  <c r="G603" i="1" s="1"/>
  <c r="G604" i="1" a="1"/>
  <c r="G604" i="1" s="1"/>
  <c r="G605" i="1" a="1"/>
  <c r="G605" i="1" s="1"/>
  <c r="G606" i="1" a="1"/>
  <c r="G606" i="1"/>
  <c r="G607" i="1" a="1"/>
  <c r="G607" i="1"/>
  <c r="G608" i="1" a="1"/>
  <c r="G608" i="1"/>
  <c r="G609" i="1" a="1"/>
  <c r="G609" i="1"/>
  <c r="G610" i="1" a="1"/>
  <c r="G610" i="1"/>
  <c r="G611" i="1" a="1"/>
  <c r="G611" i="1" s="1"/>
  <c r="G612" i="1" a="1"/>
  <c r="G612" i="1" s="1"/>
  <c r="G613" i="1" a="1"/>
  <c r="G613" i="1"/>
  <c r="G614" i="1" a="1"/>
  <c r="G614" i="1" s="1"/>
  <c r="G615" i="1" a="1"/>
  <c r="G615" i="1" s="1"/>
  <c r="G616" i="1" a="1"/>
  <c r="G616" i="1" s="1"/>
  <c r="G617" i="1" a="1"/>
  <c r="G617" i="1" s="1"/>
  <c r="G618" i="1" a="1"/>
  <c r="G618" i="1"/>
  <c r="G619" i="1" a="1"/>
  <c r="G619" i="1" s="1"/>
  <c r="G620" i="1" a="1"/>
  <c r="G620" i="1"/>
  <c r="G621" i="1" a="1"/>
  <c r="G621" i="1" s="1"/>
  <c r="G622" i="1" a="1"/>
  <c r="G622" i="1"/>
  <c r="G623" i="1" a="1"/>
  <c r="G623" i="1" s="1"/>
  <c r="G624" i="1" a="1"/>
  <c r="G624" i="1" s="1"/>
  <c r="G625" i="1" a="1"/>
  <c r="G625" i="1" s="1"/>
  <c r="G626" i="1" a="1"/>
  <c r="G626" i="1"/>
  <c r="G627" i="1" a="1"/>
  <c r="G627" i="1" s="1"/>
  <c r="G628" i="1" a="1"/>
  <c r="G628" i="1"/>
  <c r="G629" i="1" a="1"/>
  <c r="G629" i="1"/>
  <c r="G630" i="1" a="1"/>
  <c r="G630" i="1" s="1"/>
  <c r="G631" i="1" a="1"/>
  <c r="G631" i="1" s="1"/>
  <c r="G632" i="1" a="1"/>
  <c r="G632" i="1"/>
  <c r="G633" i="1" a="1"/>
  <c r="G633" i="1"/>
  <c r="G634" i="1" a="1"/>
  <c r="G634" i="1" s="1"/>
  <c r="G635" i="1" a="1"/>
  <c r="G635" i="1" s="1"/>
  <c r="G636" i="1" a="1"/>
  <c r="G636" i="1"/>
  <c r="G637" i="1" a="1"/>
  <c r="G637" i="1" s="1"/>
  <c r="G638" i="1" a="1"/>
  <c r="G638" i="1" s="1"/>
  <c r="G639" i="1" a="1"/>
  <c r="G639" i="1" s="1"/>
  <c r="G640" i="1" a="1"/>
  <c r="G640" i="1" s="1"/>
  <c r="G641" i="1" a="1"/>
  <c r="G641" i="1"/>
  <c r="G642" i="1" a="1"/>
  <c r="G642" i="1" s="1"/>
  <c r="G643" i="1" a="1"/>
  <c r="G643" i="1" s="1"/>
  <c r="G644" i="1" a="1"/>
  <c r="G644" i="1" s="1"/>
  <c r="G645" i="1" a="1"/>
  <c r="G645" i="1" s="1"/>
  <c r="G646" i="1" a="1"/>
  <c r="G646" i="1"/>
  <c r="G647" i="1" a="1"/>
  <c r="G647" i="1" s="1"/>
  <c r="G648" i="1" a="1"/>
  <c r="G648" i="1"/>
  <c r="G649" i="1" a="1"/>
  <c r="G649" i="1" s="1"/>
  <c r="G650" i="1" a="1"/>
  <c r="G650" i="1" s="1"/>
  <c r="G651" i="1" a="1"/>
  <c r="G651" i="1" s="1"/>
  <c r="G652" i="1" a="1"/>
  <c r="G652" i="1"/>
  <c r="G653" i="1" a="1"/>
  <c r="G653" i="1"/>
  <c r="G654" i="1" a="1"/>
  <c r="G654" i="1"/>
  <c r="G655" i="1" a="1"/>
  <c r="G655" i="1" s="1"/>
  <c r="G656" i="1" a="1"/>
  <c r="G656" i="1" s="1"/>
  <c r="G657" i="1" a="1"/>
  <c r="G657" i="1" s="1"/>
  <c r="G658" i="1" a="1"/>
  <c r="G658" i="1"/>
  <c r="G659" i="1" a="1"/>
  <c r="G659" i="1" s="1"/>
  <c r="G660" i="1" a="1"/>
  <c r="G660" i="1" s="1"/>
  <c r="G661" i="1" a="1"/>
  <c r="G661" i="1"/>
  <c r="G662" i="1" a="1"/>
  <c r="G662" i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/>
  <c r="G670" i="1" a="1"/>
  <c r="G670" i="1" s="1"/>
  <c r="G671" i="1" a="1"/>
  <c r="G671" i="1" s="1"/>
  <c r="G672" i="1" a="1"/>
  <c r="G672" i="1"/>
  <c r="G673" i="1" a="1"/>
  <c r="G673" i="1" s="1"/>
  <c r="G674" i="1" a="1"/>
  <c r="G674" i="1"/>
  <c r="G675" i="1" a="1"/>
  <c r="G675" i="1" s="1"/>
  <c r="G676" i="1" a="1"/>
  <c r="G676" i="1"/>
  <c r="G677" i="1" a="1"/>
  <c r="G677" i="1" s="1"/>
  <c r="G678" i="1" a="1"/>
  <c r="G678" i="1" s="1"/>
  <c r="G679" i="1" a="1"/>
  <c r="G679" i="1" s="1"/>
  <c r="G680" i="1" a="1"/>
  <c r="G680" i="1" s="1"/>
  <c r="G681" i="1" a="1"/>
  <c r="G681" i="1"/>
  <c r="G682" i="1" a="1"/>
  <c r="G682" i="1" s="1"/>
  <c r="G683" i="1" a="1"/>
  <c r="G683" i="1"/>
  <c r="G684" i="1" a="1"/>
  <c r="G684" i="1" s="1"/>
  <c r="G685" i="1" a="1"/>
  <c r="G685" i="1" s="1"/>
  <c r="G686" i="1" a="1"/>
  <c r="G686" i="1" s="1"/>
  <c r="G687" i="1" a="1"/>
  <c r="G687" i="1"/>
  <c r="G688" i="1" a="1"/>
  <c r="G688" i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/>
  <c r="G699" i="1" a="1"/>
  <c r="G699" i="1" s="1"/>
  <c r="G700" i="1" a="1"/>
  <c r="G700" i="1"/>
  <c r="G701" i="1" a="1"/>
  <c r="G701" i="1" s="1"/>
  <c r="G702" i="1" a="1"/>
  <c r="G702" i="1"/>
  <c r="G703" i="1" a="1"/>
  <c r="G703" i="1"/>
  <c r="G704" i="1" a="1"/>
  <c r="G704" i="1"/>
  <c r="G705" i="1" a="1"/>
  <c r="G705" i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/>
  <c r="G716" i="1" a="1"/>
  <c r="G716" i="1" s="1"/>
  <c r="G717" i="1" a="1"/>
  <c r="G717" i="1" s="1"/>
  <c r="G718" i="1" a="1"/>
  <c r="G718" i="1" s="1"/>
  <c r="G719" i="1" a="1"/>
  <c r="G719" i="1"/>
  <c r="G720" i="1" a="1"/>
  <c r="G720" i="1"/>
  <c r="G721" i="1" a="1"/>
  <c r="G721" i="1"/>
  <c r="G722" i="1" a="1"/>
  <c r="G722" i="1"/>
  <c r="G723" i="1" a="1"/>
  <c r="G723" i="1" s="1"/>
  <c r="G724" i="1" a="1"/>
  <c r="G724" i="1"/>
  <c r="G725" i="1" a="1"/>
  <c r="G725" i="1" s="1"/>
  <c r="G726" i="1" a="1"/>
  <c r="G726" i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/>
  <c r="G733" i="1" a="1"/>
  <c r="G733" i="1" s="1"/>
  <c r="G734" i="1" a="1"/>
  <c r="G734" i="1" s="1"/>
  <c r="G735" i="1" a="1"/>
  <c r="G735" i="1" s="1"/>
  <c r="G736" i="1" a="1"/>
  <c r="G736" i="1"/>
  <c r="G737" i="1" a="1"/>
  <c r="G737" i="1"/>
  <c r="G738" i="1" a="1"/>
  <c r="G738" i="1"/>
  <c r="G739" i="1" a="1"/>
  <c r="G739" i="1"/>
  <c r="G740" i="1" a="1"/>
  <c r="G740" i="1" s="1"/>
  <c r="G741" i="1" a="1"/>
  <c r="G741" i="1" s="1"/>
  <c r="G742" i="1" a="1"/>
  <c r="G742" i="1"/>
  <c r="G743" i="1" a="1"/>
  <c r="G743" i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/>
  <c r="G754" i="1" a="1"/>
  <c r="G754" i="1"/>
  <c r="G755" i="1" a="1"/>
  <c r="G755" i="1"/>
  <c r="G756" i="1" a="1"/>
  <c r="G756" i="1"/>
  <c r="G757" i="1" a="1"/>
  <c r="G757" i="1" s="1"/>
  <c r="G758" i="1" a="1"/>
  <c r="G758" i="1"/>
  <c r="G759" i="1" a="1"/>
  <c r="G759" i="1"/>
  <c r="G760" i="1" a="1"/>
  <c r="G760" i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/>
  <c r="G771" i="1" a="1"/>
  <c r="G771" i="1"/>
  <c r="G772" i="1" a="1"/>
  <c r="G772" i="1"/>
  <c r="G773" i="1" a="1"/>
  <c r="G773" i="1" s="1"/>
  <c r="G774" i="1" a="1"/>
  <c r="G774" i="1" s="1"/>
  <c r="G775" i="1" a="1"/>
  <c r="G775" i="1"/>
  <c r="G776" i="1" a="1"/>
  <c r="G776" i="1"/>
  <c r="G777" i="1" a="1"/>
  <c r="G777" i="1"/>
  <c r="G778" i="1" a="1"/>
  <c r="G778" i="1" s="1"/>
  <c r="G779" i="1" a="1"/>
  <c r="G779" i="1" s="1"/>
  <c r="G780" i="1" a="1"/>
  <c r="G780" i="1" s="1"/>
  <c r="G781" i="1" a="1"/>
  <c r="G781" i="1" s="1"/>
  <c r="G782" i="1" a="1"/>
  <c r="G782" i="1"/>
  <c r="G783" i="1" a="1"/>
  <c r="G783" i="1" s="1"/>
  <c r="G784" i="1" a="1"/>
  <c r="G784" i="1" s="1"/>
  <c r="G785" i="1" a="1"/>
  <c r="G785" i="1" s="1"/>
  <c r="G786" i="1" a="1"/>
  <c r="G786" i="1" s="1"/>
  <c r="G787" i="1" a="1"/>
  <c r="G787" i="1"/>
  <c r="G788" i="1" a="1"/>
  <c r="G788" i="1"/>
  <c r="G789" i="1" a="1"/>
  <c r="G789" i="1" s="1"/>
  <c r="G790" i="1" a="1"/>
  <c r="G790" i="1" s="1"/>
  <c r="G791" i="1" a="1"/>
  <c r="G791" i="1" s="1"/>
  <c r="G792" i="1" a="1"/>
  <c r="G792" i="1"/>
  <c r="G793" i="1" a="1"/>
  <c r="G793" i="1"/>
  <c r="G794" i="1" a="1"/>
  <c r="G794" i="1"/>
  <c r="G795" i="1" a="1"/>
  <c r="G795" i="1" s="1"/>
  <c r="G796" i="1" a="1"/>
  <c r="G796" i="1" s="1"/>
  <c r="G797" i="1" a="1"/>
  <c r="G797" i="1" s="1"/>
  <c r="G798" i="1" a="1"/>
  <c r="G798" i="1"/>
  <c r="G799" i="1" a="1"/>
  <c r="G799" i="1"/>
  <c r="G800" i="1" a="1"/>
  <c r="G800" i="1" s="1"/>
  <c r="G801" i="1" a="1"/>
  <c r="G801" i="1" s="1"/>
  <c r="G802" i="1" a="1"/>
  <c r="G802" i="1" s="1"/>
  <c r="G803" i="1" a="1"/>
  <c r="G803" i="1" s="1"/>
  <c r="G804" i="1" a="1"/>
  <c r="G804" i="1"/>
  <c r="G805" i="1" a="1"/>
  <c r="G805" i="1" s="1"/>
  <c r="G806" i="1" a="1"/>
  <c r="G806" i="1" s="1"/>
  <c r="G807" i="1" a="1"/>
  <c r="G807" i="1" s="1"/>
  <c r="G808" i="1" a="1"/>
  <c r="G808" i="1" s="1"/>
  <c r="G809" i="1" a="1"/>
  <c r="G809" i="1"/>
  <c r="G810" i="1" a="1"/>
  <c r="G810" i="1"/>
  <c r="G811" i="1" a="1"/>
  <c r="G811" i="1"/>
  <c r="G812" i="1" a="1"/>
  <c r="G812" i="1" s="1"/>
  <c r="G813" i="1" a="1"/>
  <c r="G813" i="1" s="1"/>
  <c r="G814" i="1" a="1"/>
  <c r="G814" i="1"/>
  <c r="G815" i="1" a="1"/>
  <c r="G815" i="1"/>
  <c r="G816" i="1" a="1"/>
  <c r="G816" i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/>
  <c r="G827" i="1" a="1"/>
  <c r="G827" i="1"/>
  <c r="G828" i="1" a="1"/>
  <c r="G828" i="1"/>
  <c r="G829" i="1" a="1"/>
  <c r="G829" i="1" s="1"/>
  <c r="G830" i="1" a="1"/>
  <c r="G830" i="1"/>
  <c r="G831" i="1" a="1"/>
  <c r="G831" i="1"/>
  <c r="G832" i="1" a="1"/>
  <c r="G832" i="1"/>
  <c r="G833" i="1" a="1"/>
  <c r="G833" i="1"/>
  <c r="G834" i="1" a="1"/>
  <c r="G834" i="1" s="1"/>
  <c r="G835" i="1" a="1"/>
  <c r="G835" i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/>
  <c r="G844" i="1" a="1"/>
  <c r="G844" i="1"/>
  <c r="G845" i="1" a="1"/>
  <c r="G845" i="1" s="1"/>
  <c r="G846" i="1" a="1"/>
  <c r="G846" i="1" s="1"/>
  <c r="G847" i="1" a="1"/>
  <c r="G847" i="1"/>
  <c r="G848" i="1" a="1"/>
  <c r="G848" i="1" s="1"/>
  <c r="G849" i="1" a="1"/>
  <c r="G849" i="1"/>
  <c r="G850" i="1" a="1"/>
  <c r="G850" i="1"/>
  <c r="G851" i="1" a="1"/>
  <c r="G851" i="1" s="1"/>
  <c r="G852" i="1" a="1"/>
  <c r="G852" i="1"/>
  <c r="G853" i="1" a="1"/>
  <c r="G853" i="1" s="1"/>
  <c r="G854" i="1" a="1"/>
  <c r="G854" i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/>
  <c r="G861" i="1" a="1"/>
  <c r="G861" i="1" s="1"/>
  <c r="G862" i="1" a="1"/>
  <c r="G862" i="1" s="1"/>
  <c r="G863" i="1" a="1"/>
  <c r="G863" i="1" s="1"/>
  <c r="G864" i="1" a="1"/>
  <c r="G864" i="1"/>
  <c r="G865" i="1" a="1"/>
  <c r="G865" i="1" s="1"/>
  <c r="G866" i="1" a="1"/>
  <c r="G866" i="1"/>
  <c r="G867" i="1" a="1"/>
  <c r="G867" i="1"/>
  <c r="G868" i="1" a="1"/>
  <c r="G868" i="1" s="1"/>
  <c r="G869" i="1" a="1"/>
  <c r="G869" i="1" s="1"/>
  <c r="G870" i="1" a="1"/>
  <c r="G870" i="1"/>
  <c r="G871" i="1" a="1"/>
  <c r="G871" i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/>
  <c r="G882" i="1" a="1"/>
  <c r="G882" i="1" s="1"/>
  <c r="G883" i="1" a="1"/>
  <c r="G883" i="1"/>
  <c r="G884" i="1" a="1"/>
  <c r="G884" i="1"/>
  <c r="G885" i="1" a="1"/>
  <c r="G885" i="1" s="1"/>
  <c r="G886" i="1" a="1"/>
  <c r="G886" i="1"/>
  <c r="G887" i="1" a="1"/>
  <c r="G887" i="1"/>
  <c r="G888" i="1" a="1"/>
  <c r="G888" i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/>
  <c r="G899" i="1" a="1"/>
  <c r="G899" i="1" s="1"/>
  <c r="G900" i="1" a="1"/>
  <c r="G900" i="1"/>
  <c r="G901" i="1" a="1"/>
  <c r="G901" i="1" s="1"/>
  <c r="G902" i="1" a="1"/>
  <c r="G902" i="1" s="1"/>
  <c r="G903" i="1" a="1"/>
  <c r="G903" i="1"/>
  <c r="G904" i="1" a="1"/>
  <c r="G904" i="1"/>
  <c r="G905" i="1" a="1"/>
  <c r="G905" i="1"/>
  <c r="G906" i="1" a="1"/>
  <c r="G906" i="1" s="1"/>
  <c r="G907" i="1" a="1"/>
  <c r="G907" i="1" s="1"/>
  <c r="G908" i="1" a="1"/>
  <c r="G908" i="1" s="1"/>
  <c r="G909" i="1" a="1"/>
  <c r="G909" i="1" s="1"/>
  <c r="G910" i="1" a="1"/>
  <c r="G910" i="1"/>
  <c r="G911" i="1" a="1"/>
  <c r="G911" i="1" s="1"/>
  <c r="G912" i="1" a="1"/>
  <c r="G912" i="1" s="1"/>
  <c r="G913" i="1" a="1"/>
  <c r="G913" i="1" s="1"/>
  <c r="G914" i="1" a="1"/>
  <c r="G914" i="1" s="1"/>
  <c r="G915" i="1" a="1"/>
  <c r="G915" i="1"/>
  <c r="G916" i="1" a="1"/>
  <c r="G916" i="1" s="1"/>
  <c r="G917" i="1" a="1"/>
  <c r="G917" i="1" s="1"/>
  <c r="G918" i="1" a="1"/>
  <c r="G918" i="1" s="1"/>
  <c r="G919" i="1" a="1"/>
  <c r="G919" i="1" s="1"/>
  <c r="G920" i="1" a="1"/>
  <c r="G920" i="1"/>
  <c r="G921" i="1" a="1"/>
  <c r="G921" i="1"/>
  <c r="G922" i="1" a="1"/>
  <c r="G922" i="1"/>
  <c r="G923" i="1" a="1"/>
  <c r="G923" i="1" s="1"/>
  <c r="G924" i="1" a="1"/>
  <c r="G924" i="1" s="1"/>
  <c r="G925" i="1" a="1"/>
  <c r="G925" i="1" s="1"/>
  <c r="G926" i="1" a="1"/>
  <c r="G926" i="1"/>
  <c r="G927" i="1" a="1"/>
  <c r="G927" i="1"/>
  <c r="G928" i="1" a="1"/>
  <c r="G928" i="1" s="1"/>
  <c r="G929" i="1" a="1"/>
  <c r="G929" i="1" s="1"/>
  <c r="G930" i="1" a="1"/>
  <c r="G930" i="1" s="1"/>
  <c r="G931" i="1" a="1"/>
  <c r="G931" i="1" s="1"/>
  <c r="G932" i="1" a="1"/>
  <c r="G932" i="1"/>
  <c r="G933" i="1" a="1"/>
  <c r="G933" i="1" s="1"/>
  <c r="G934" i="1" a="1"/>
  <c r="G934" i="1" s="1"/>
  <c r="G935" i="1" a="1"/>
  <c r="G935" i="1" s="1"/>
  <c r="G936" i="1" a="1"/>
  <c r="G936" i="1" s="1"/>
  <c r="G937" i="1" a="1"/>
  <c r="G937" i="1"/>
  <c r="G938" i="1" a="1"/>
  <c r="G938" i="1"/>
  <c r="G939" i="1" a="1"/>
  <c r="G939" i="1"/>
  <c r="G940" i="1" a="1"/>
  <c r="G940" i="1" s="1"/>
  <c r="G941" i="1" a="1"/>
  <c r="G941" i="1" s="1"/>
  <c r="G942" i="1" a="1"/>
  <c r="G942" i="1" s="1"/>
  <c r="G943" i="1" a="1"/>
  <c r="G943" i="1"/>
  <c r="G944" i="1" a="1"/>
  <c r="G944" i="1"/>
  <c r="G945" i="1" a="1"/>
  <c r="G945" i="1" s="1"/>
  <c r="G946" i="1" a="1"/>
  <c r="G946" i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/>
  <c r="G955" i="1" a="1"/>
  <c r="G955" i="1"/>
  <c r="G956" i="1" a="1"/>
  <c r="G956" i="1"/>
  <c r="G957" i="1" a="1"/>
  <c r="G957" i="1" s="1"/>
  <c r="G958" i="1" a="1"/>
  <c r="G958" i="1"/>
  <c r="G959" i="1" a="1"/>
  <c r="G959" i="1"/>
  <c r="G960" i="1" a="1"/>
  <c r="G960" i="1"/>
  <c r="G961" i="1" a="1"/>
  <c r="G961" i="1"/>
  <c r="G962" i="1" a="1"/>
  <c r="G962" i="1" s="1"/>
  <c r="G963" i="1" a="1"/>
  <c r="G963" i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/>
  <c r="G972" i="1" a="1"/>
  <c r="G972" i="1"/>
  <c r="G973" i="1" a="1"/>
  <c r="G973" i="1" s="1"/>
  <c r="G974" i="1" a="1"/>
  <c r="G974" i="1" s="1"/>
  <c r="G975" i="1" a="1"/>
  <c r="G975" i="1"/>
  <c r="G976" i="1" a="1"/>
  <c r="G976" i="1"/>
  <c r="G977" i="1" a="1"/>
  <c r="G977" i="1"/>
  <c r="G978" i="1" a="1"/>
  <c r="G978" i="1"/>
  <c r="G979" i="1" a="1"/>
  <c r="G979" i="1" s="1"/>
  <c r="G980" i="1" a="1"/>
  <c r="G980" i="1"/>
  <c r="G981" i="1" a="1"/>
  <c r="G981" i="1" s="1"/>
  <c r="G982" i="1" a="1"/>
  <c r="G982" i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/>
  <c r="G989" i="1" a="1"/>
  <c r="G989" i="1" s="1"/>
  <c r="G990" i="1" a="1"/>
  <c r="G990" i="1" s="1"/>
  <c r="G991" i="1" a="1"/>
  <c r="G991" i="1" s="1"/>
  <c r="G992" i="1" a="1"/>
  <c r="G992" i="1"/>
  <c r="G993" i="1" a="1"/>
  <c r="G993" i="1"/>
  <c r="G994" i="1" a="1"/>
  <c r="G994" i="1"/>
  <c r="G995" i="1" a="1"/>
  <c r="G995" i="1"/>
  <c r="G996" i="1" a="1"/>
  <c r="G996" i="1" s="1"/>
  <c r="G997" i="1" a="1"/>
  <c r="G997" i="1" s="1"/>
  <c r="G998" i="1" a="1"/>
  <c r="G998" i="1"/>
  <c r="G999" i="1" a="1"/>
  <c r="G999" i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/>
  <c r="G1010" i="1" a="1"/>
  <c r="G1010" i="1"/>
  <c r="G1011" i="1" a="1"/>
  <c r="G1011" i="1"/>
  <c r="G1012" i="1" a="1"/>
  <c r="G1012" i="1"/>
  <c r="G1013" i="1" a="1"/>
  <c r="G1013" i="1" s="1"/>
  <c r="G1014" i="1" a="1"/>
  <c r="G1014" i="1"/>
  <c r="G1015" i="1" a="1"/>
  <c r="G1015" i="1"/>
  <c r="G1016" i="1" a="1"/>
  <c r="G1016" i="1"/>
  <c r="G1017" i="1" a="1"/>
  <c r="G1017" i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/>
  <c r="G1027" i="1" a="1"/>
  <c r="G1027" i="1"/>
  <c r="G1028" i="1" a="1"/>
  <c r="G1028" i="1"/>
  <c r="G1029" i="1" a="1"/>
  <c r="G1029" i="1" s="1"/>
  <c r="G1030" i="1" a="1"/>
  <c r="G1030" i="1" s="1"/>
  <c r="G1031" i="1" a="1"/>
  <c r="G1031" i="1"/>
  <c r="G1032" i="1" a="1"/>
  <c r="G1032" i="1"/>
  <c r="G1033" i="1" a="1"/>
  <c r="G1033" i="1"/>
  <c r="G1034" i="1" a="1"/>
  <c r="G1034" i="1"/>
  <c r="G1035" i="1" a="1"/>
  <c r="G1035" i="1" s="1"/>
  <c r="G1036" i="1" a="1"/>
  <c r="G1036" i="1" s="1"/>
  <c r="G1037" i="1" a="1"/>
  <c r="G1037" i="1" s="1"/>
  <c r="G1038" i="1" a="1"/>
  <c r="G1038" i="1"/>
  <c r="G1039" i="1" a="1"/>
  <c r="G1039" i="1" s="1"/>
  <c r="G1040" i="1" a="1"/>
  <c r="G1040" i="1"/>
  <c r="G1041" i="1" a="1"/>
  <c r="G1041" i="1" s="1"/>
  <c r="G1042" i="1" a="1"/>
  <c r="G1042" i="1" s="1"/>
  <c r="G1043" i="1" a="1"/>
  <c r="G1043" i="1"/>
  <c r="G1044" i="1" a="1"/>
  <c r="G1044" i="1"/>
  <c r="G1045" i="1" a="1"/>
  <c r="G1045" i="1" s="1"/>
  <c r="G1046" i="1" a="1"/>
  <c r="G1046" i="1" s="1"/>
  <c r="G1047" i="1" a="1"/>
  <c r="G1047" i="1" s="1"/>
  <c r="G1048" i="1" a="1"/>
  <c r="G1048" i="1"/>
  <c r="G1049" i="1" a="1"/>
  <c r="G1049" i="1"/>
  <c r="G1050" i="1" a="1"/>
  <c r="G1050" i="1"/>
  <c r="G1051" i="1" a="1"/>
  <c r="G1051" i="1"/>
  <c r="G1052" i="1" a="1"/>
  <c r="G1052" i="1" s="1"/>
  <c r="G1053" i="1" a="1"/>
  <c r="G1053" i="1" s="1"/>
  <c r="G1054" i="1" a="1"/>
  <c r="G1054" i="1"/>
  <c r="G1055" i="1" a="1"/>
  <c r="G1055" i="1"/>
  <c r="G1056" i="1" a="1"/>
  <c r="G1056" i="1" s="1"/>
  <c r="G1057" i="1" a="1"/>
  <c r="G1057" i="1"/>
  <c r="G1058" i="1" a="1"/>
  <c r="G1058" i="1" s="1"/>
  <c r="G1059" i="1" a="1"/>
  <c r="G1059" i="1" s="1"/>
  <c r="G1060" i="1" a="1"/>
  <c r="G1060" i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/>
  <c r="G1066" i="1" a="1"/>
  <c r="G1066" i="1" s="1"/>
  <c r="G1067" i="1" a="1"/>
  <c r="G1067" i="1"/>
  <c r="G1068" i="1" a="1"/>
  <c r="G1068" i="1"/>
  <c r="G1069" i="1" a="1"/>
  <c r="G1069" i="1" s="1"/>
  <c r="G1070" i="1" a="1"/>
  <c r="G1070" i="1"/>
  <c r="G1071" i="1" a="1"/>
  <c r="G1071" i="1"/>
  <c r="G1072" i="1" a="1"/>
  <c r="G1072" i="1"/>
  <c r="G1073" i="1" a="1"/>
  <c r="G1073" i="1" s="1"/>
  <c r="G1074" i="1" a="1"/>
  <c r="G1074" i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/>
  <c r="G1083" i="1" a="1"/>
  <c r="G1083" i="1"/>
  <c r="G1084" i="1" a="1"/>
  <c r="G1084" i="1"/>
  <c r="G1085" i="1" a="1"/>
  <c r="G1085" i="1" s="1"/>
  <c r="G1086" i="1" a="1"/>
  <c r="G1086" i="1"/>
  <c r="G1087" i="1" a="1"/>
  <c r="G1087" i="1"/>
  <c r="G1088" i="1" a="1"/>
  <c r="G1088" i="1"/>
  <c r="G1089" i="1" a="1"/>
  <c r="G1089" i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/>
  <c r="G1100" i="1" a="1"/>
  <c r="G1100" i="1" s="1"/>
  <c r="G1101" i="1" a="1"/>
  <c r="G1101" i="1" s="1"/>
  <c r="G1102" i="1" a="1"/>
  <c r="G1102" i="1" s="1"/>
  <c r="G1103" i="1" a="1"/>
  <c r="G1103" i="1"/>
  <c r="G1104" i="1" a="1"/>
  <c r="G1104" i="1"/>
  <c r="G1105" i="1" a="1"/>
  <c r="G1105" i="1"/>
  <c r="G1106" i="1" a="1"/>
  <c r="G1106" i="1"/>
  <c r="G1107" i="1" a="1"/>
  <c r="G1107" i="1" s="1"/>
  <c r="G1108" i="1" a="1"/>
  <c r="G1108" i="1"/>
  <c r="G1109" i="1" a="1"/>
  <c r="G1109" i="1" s="1"/>
  <c r="G1110" i="1" a="1"/>
  <c r="G1110" i="1"/>
  <c r="G1111" i="1" a="1"/>
  <c r="G1111" i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/>
  <c r="G1123" i="1" a="1"/>
  <c r="G1123" i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/>
  <c r="G1140" i="1" a="1"/>
  <c r="G1140" i="1"/>
  <c r="G1141" i="1" a="1"/>
  <c r="G1141" i="1" s="1"/>
  <c r="G1142" i="1" a="1"/>
  <c r="G1142" i="1"/>
  <c r="G1143" i="1" a="1"/>
  <c r="G1143" i="1"/>
  <c r="G1144" i="1" a="1"/>
  <c r="G1144" i="1"/>
  <c r="G1145" i="1" a="1"/>
  <c r="G1145" i="1"/>
  <c r="G1146" i="1" a="1"/>
  <c r="G1146" i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/>
  <c r="G1157" i="1" a="1"/>
  <c r="G1157" i="1" s="1"/>
  <c r="G1158" i="1" a="1"/>
  <c r="G1158" i="1" s="1"/>
  <c r="G1159" i="1" a="1"/>
  <c r="G1159" i="1" s="1"/>
  <c r="G1160" i="1" a="1"/>
  <c r="G1160" i="1"/>
  <c r="G1161" i="1" a="1"/>
  <c r="G1161" i="1"/>
  <c r="G1162" i="1" a="1"/>
  <c r="G1162" i="1"/>
  <c r="G1163" i="1" a="1"/>
  <c r="G1163" i="1"/>
  <c r="G1164" i="1" a="1"/>
  <c r="G1164" i="1"/>
  <c r="G1165" i="1" a="1"/>
  <c r="G1165" i="1"/>
  <c r="G1166" i="1" a="1"/>
  <c r="G1166" i="1" s="1"/>
  <c r="G1167" i="1" a="1"/>
  <c r="G1167" i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/>
  <c r="G1178" i="1" a="1"/>
  <c r="G1178" i="1"/>
  <c r="G1179" i="1" a="1"/>
  <c r="G1179" i="1" s="1"/>
  <c r="G1180" i="1" a="1"/>
  <c r="G1180" i="1"/>
  <c r="G1181" i="1" a="1"/>
  <c r="G1181" i="1"/>
  <c r="G1182" i="1" a="1"/>
  <c r="G1182" i="1" s="1"/>
  <c r="G1183" i="1" a="1"/>
  <c r="G1183" i="1" s="1"/>
  <c r="G1184" i="1" a="1"/>
  <c r="G1184" i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/>
  <c r="G1192" i="1" a="1"/>
  <c r="G1192" i="1"/>
  <c r="G1193" i="1" a="1"/>
  <c r="G1193" i="1" s="1"/>
  <c r="G1194" i="1" a="1"/>
  <c r="G1194" i="1"/>
  <c r="G1195" i="1" a="1"/>
  <c r="G1195" i="1"/>
  <c r="G1196" i="1" a="1"/>
  <c r="G1196" i="1" s="1"/>
  <c r="G1197" i="1" a="1"/>
  <c r="G1197" i="1"/>
  <c r="G1198" i="1" a="1"/>
  <c r="G1198" i="1" s="1"/>
  <c r="G1199" i="1" a="1"/>
  <c r="G1199" i="1" s="1"/>
  <c r="G1200" i="1" a="1"/>
  <c r="G1200" i="1" s="1"/>
  <c r="G1201" i="1" a="1"/>
  <c r="G1201" i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/>
  <c r="G1208" i="1" a="1"/>
  <c r="G1208" i="1"/>
  <c r="G1209" i="1" a="1"/>
  <c r="G1209" i="1"/>
  <c r="G1210" i="1" a="1"/>
  <c r="G1210" i="1" s="1"/>
  <c r="G1211" i="1" a="1"/>
  <c r="G1211" i="1"/>
  <c r="G1212" i="1" a="1"/>
  <c r="G1212" i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/>
  <c r="G1224" i="1" a="1"/>
  <c r="G1224" i="1"/>
  <c r="G1225" i="1" a="1"/>
  <c r="G1225" i="1"/>
  <c r="G1226" i="1" a="1"/>
  <c r="G1226" i="1"/>
  <c r="G1227" i="1" a="1"/>
  <c r="G1227" i="1" s="1"/>
  <c r="G1228" i="1" a="1"/>
  <c r="G1228" i="1"/>
  <c r="G1229" i="1" a="1"/>
  <c r="G1229" i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/>
  <c r="G1236" i="1" a="1"/>
  <c r="G1236" i="1" s="1"/>
  <c r="G1237" i="1" a="1"/>
  <c r="G1237" i="1" s="1"/>
  <c r="G1238" i="1" a="1"/>
  <c r="G1238" i="1" s="1"/>
  <c r="G1239" i="1" a="1"/>
  <c r="G1239" i="1"/>
  <c r="G1240" i="1" a="1"/>
  <c r="G1240" i="1"/>
  <c r="G1241" i="1" a="1"/>
  <c r="G1241" i="1"/>
  <c r="G1242" i="1" a="1"/>
  <c r="G1242" i="1"/>
  <c r="G1243" i="1" a="1"/>
  <c r="G1243" i="1"/>
  <c r="G1244" i="1" a="1"/>
  <c r="G1244" i="1" s="1"/>
  <c r="G1245" i="1" a="1"/>
  <c r="G1245" i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/>
  <c r="G1253" i="1" a="1"/>
  <c r="G1253" i="1" s="1"/>
  <c r="G1254" i="1" a="1"/>
  <c r="G1254" i="1" s="1"/>
  <c r="G1255" i="1" a="1"/>
  <c r="G1255" i="1"/>
  <c r="G1256" i="1" a="1"/>
  <c r="G1256" i="1"/>
  <c r="G1257" i="1" a="1"/>
  <c r="G1257" i="1"/>
  <c r="G1258" i="1" a="1"/>
  <c r="G1258" i="1"/>
  <c r="G1259" i="1" a="1"/>
  <c r="G1259" i="1"/>
  <c r="G1260" i="1" a="1"/>
  <c r="G1260" i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/>
  <c r="G1270" i="1" a="1"/>
  <c r="G1270" i="1" s="1"/>
  <c r="G1271" i="1" a="1"/>
  <c r="G1271" i="1"/>
  <c r="G1272" i="1" a="1"/>
  <c r="G1272" i="1"/>
  <c r="G1273" i="1" a="1"/>
  <c r="G1273" i="1"/>
  <c r="G1274" i="1" a="1"/>
  <c r="G1274" i="1"/>
  <c r="G1275" i="1" a="1"/>
  <c r="G1275" i="1"/>
  <c r="G1276" i="1" a="1"/>
  <c r="G1276" i="1"/>
  <c r="G1277" i="1" a="1"/>
  <c r="G1277" i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/>
  <c r="G1289" i="1" a="1"/>
  <c r="G1289" i="1"/>
  <c r="G1290" i="1" a="1"/>
  <c r="G1290" i="1"/>
  <c r="G1291" i="1" a="1"/>
  <c r="G1291" i="1"/>
  <c r="G1292" i="1" a="1"/>
  <c r="G1292" i="1"/>
  <c r="G1293" i="1" a="1"/>
  <c r="G1293" i="1"/>
  <c r="G1294" i="1" a="1"/>
  <c r="G1294" i="1" s="1"/>
  <c r="G1295" i="1" a="1"/>
  <c r="G1295" i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/>
  <c r="G1304" i="1" a="1"/>
  <c r="G1304" i="1" s="1"/>
  <c r="G1305" i="1" a="1"/>
  <c r="G1305" i="1"/>
  <c r="G1306" i="1" a="1"/>
  <c r="G1306" i="1"/>
  <c r="G1307" i="1" a="1"/>
  <c r="G1307" i="1"/>
  <c r="G1308" i="1" a="1"/>
  <c r="G1308" i="1"/>
  <c r="G1309" i="1" a="1"/>
  <c r="G1309" i="1"/>
  <c r="G1310" i="1" a="1"/>
  <c r="G1310" i="1" s="1"/>
  <c r="G1311" i="1" a="1"/>
  <c r="G1311" i="1" s="1"/>
  <c r="G1312" i="1" a="1"/>
  <c r="G1312" i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/>
  <c r="G1320" i="1" a="1"/>
  <c r="G1320" i="1"/>
  <c r="G1321" i="1" a="1"/>
  <c r="G1321" i="1" s="1"/>
  <c r="G1322" i="1" a="1"/>
  <c r="G1322" i="1"/>
  <c r="G1323" i="1" a="1"/>
  <c r="G1323" i="1"/>
  <c r="G1324" i="1" a="1"/>
  <c r="G1324" i="1"/>
  <c r="G1325" i="1" a="1"/>
  <c r="G1325" i="1"/>
  <c r="G1326" i="1" a="1"/>
  <c r="G1326" i="1" s="1"/>
  <c r="G1327" i="1" a="1"/>
  <c r="G1327" i="1" s="1"/>
  <c r="G1328" i="1" a="1"/>
  <c r="G1328" i="1" s="1"/>
  <c r="G1329" i="1" a="1"/>
  <c r="G1329" i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/>
  <c r="G1336" i="1" a="1"/>
  <c r="G1336" i="1"/>
  <c r="G1337" i="1" a="1"/>
  <c r="G1337" i="1"/>
  <c r="G1338" i="1" a="1"/>
  <c r="G1338" i="1" s="1"/>
  <c r="G1339" i="1" a="1"/>
  <c r="G1339" i="1"/>
  <c r="G1340" i="1" a="1"/>
  <c r="G1340" i="1"/>
  <c r="G1341" i="1" a="1"/>
  <c r="G1341" i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/>
  <c r="G1352" i="1" a="1"/>
  <c r="G1352" i="1"/>
  <c r="G1353" i="1" a="1"/>
  <c r="G1353" i="1"/>
  <c r="G1354" i="1" a="1"/>
  <c r="G1354" i="1"/>
  <c r="G1355" i="1" a="1"/>
  <c r="G1355" i="1" s="1"/>
  <c r="G1356" i="1" a="1"/>
  <c r="G1356" i="1"/>
  <c r="G1357" i="1" a="1"/>
  <c r="G1357" i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/>
  <c r="G1364" i="1" a="1"/>
  <c r="G1364" i="1" s="1"/>
  <c r="G1365" i="1" a="1"/>
  <c r="G1365" i="1" s="1"/>
  <c r="G1366" i="1" a="1"/>
  <c r="G1366" i="1" s="1"/>
  <c r="G1367" i="1" a="1"/>
  <c r="G1367" i="1"/>
  <c r="G1368" i="1" a="1"/>
  <c r="G1368" i="1"/>
  <c r="G1369" i="1" a="1"/>
  <c r="G1369" i="1"/>
  <c r="G1370" i="1" a="1"/>
  <c r="G1370" i="1"/>
  <c r="G1371" i="1" a="1"/>
  <c r="G1371" i="1"/>
  <c r="G1372" i="1" a="1"/>
  <c r="G1372" i="1" s="1"/>
  <c r="G1373" i="1" a="1"/>
  <c r="G1373" i="1"/>
  <c r="G1374" i="1" a="1"/>
  <c r="G1374" i="1" s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/>
  <c r="G1384" i="1" a="1"/>
  <c r="G1384" i="1"/>
  <c r="G1385" i="1" a="1"/>
  <c r="G1385" i="1"/>
  <c r="G1386" i="1" a="1"/>
  <c r="G1386" i="1"/>
  <c r="G1387" i="1" a="1"/>
  <c r="G1387" i="1"/>
  <c r="G1388" i="1" a="1"/>
  <c r="G1388" i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/>
  <c r="G1400" i="1" a="1"/>
  <c r="G1400" i="1"/>
  <c r="G1401" i="1" a="1"/>
  <c r="G1401" i="1"/>
  <c r="G1402" i="1" a="1"/>
  <c r="G1402" i="1"/>
  <c r="G1403" i="1" a="1"/>
  <c r="G1403" i="1"/>
  <c r="G1404" i="1" a="1"/>
  <c r="G1404" i="1"/>
  <c r="G1405" i="1" a="1"/>
  <c r="G1405" i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/>
  <c r="G1417" i="1" a="1"/>
  <c r="G1417" i="1"/>
  <c r="G1418" i="1" a="1"/>
  <c r="G1418" i="1"/>
  <c r="G1419" i="1" a="1"/>
  <c r="G1419" i="1"/>
  <c r="G1420" i="1" a="1"/>
  <c r="G1420" i="1"/>
  <c r="G1421" i="1" a="1"/>
  <c r="G1421" i="1"/>
  <c r="G1422" i="1" a="1"/>
  <c r="G1422" i="1" s="1"/>
  <c r="G1423" i="1" a="1"/>
  <c r="G1423" i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 s="1"/>
  <c r="G1429" i="1" a="1"/>
  <c r="G1429" i="1" s="1"/>
  <c r="G1430" i="1" a="1"/>
  <c r="G1430" i="1" s="1"/>
  <c r="G1431" i="1" a="1"/>
  <c r="G1431" i="1"/>
  <c r="G1432" i="1" a="1"/>
  <c r="G1432" i="1" s="1"/>
  <c r="G1433" i="1" a="1"/>
  <c r="G1433" i="1"/>
  <c r="G1434" i="1" a="1"/>
  <c r="G1434" i="1"/>
  <c r="G1435" i="1" a="1"/>
  <c r="G1435" i="1"/>
  <c r="G1436" i="1" a="1"/>
  <c r="G1436" i="1"/>
  <c r="G1437" i="1" a="1"/>
  <c r="G1437" i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 s="1"/>
  <c r="G1446" i="1" a="1"/>
  <c r="G1446" i="1" s="1"/>
  <c r="G1447" i="1" a="1"/>
  <c r="G1447" i="1"/>
  <c r="G1448" i="1" a="1"/>
  <c r="G1448" i="1"/>
  <c r="G1449" i="1" a="1"/>
  <c r="G1449" i="1" s="1"/>
  <c r="G1450" i="1" a="1"/>
  <c r="G1450" i="1"/>
  <c r="G1451" i="1" a="1"/>
  <c r="G1451" i="1"/>
  <c r="G1452" i="1" a="1"/>
  <c r="G1452" i="1"/>
  <c r="G1453" i="1" a="1"/>
  <c r="G1453" i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/>
  <c r="G1464" i="1" a="1"/>
  <c r="G1464" i="1"/>
  <c r="G1465" i="1" a="1"/>
  <c r="G1465" i="1"/>
  <c r="G1466" i="1" a="1"/>
  <c r="G1466" i="1" s="1"/>
  <c r="G1467" i="1" a="1"/>
  <c r="G1467" i="1"/>
  <c r="G1468" i="1" a="1"/>
  <c r="G1468" i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/>
  <c r="G1478" i="1" a="1"/>
  <c r="G1478" i="1" s="1"/>
  <c r="G1479" i="1" a="1"/>
  <c r="G1479" i="1"/>
  <c r="G1480" i="1" a="1"/>
  <c r="G1480" i="1"/>
  <c r="G1481" i="1" a="1"/>
  <c r="G1481" i="1"/>
  <c r="G1482" i="1" a="1"/>
  <c r="G1482" i="1"/>
  <c r="G1483" i="1" a="1"/>
  <c r="G1483" i="1" s="1"/>
  <c r="G1484" i="1" a="1"/>
  <c r="G1484" i="1"/>
  <c r="G1485" i="1" a="1"/>
  <c r="G1485" i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/>
  <c r="G1497" i="1" a="1"/>
  <c r="G1497" i="1"/>
  <c r="G1498" i="1" a="1"/>
  <c r="G1498" i="1"/>
  <c r="G1499" i="1" a="1"/>
  <c r="G1499" i="1"/>
  <c r="G1500" i="1" a="1"/>
  <c r="G1500" i="1" s="1"/>
  <c r="G1501" i="1" a="1"/>
  <c r="G1501" i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/>
  <c r="G1512" i="1" a="1"/>
  <c r="G1512" i="1" s="1"/>
  <c r="G1513" i="1" a="1"/>
  <c r="G1513" i="1"/>
  <c r="G1514" i="1" a="1"/>
  <c r="G1514" i="1"/>
  <c r="G1515" i="1" a="1"/>
  <c r="G1515" i="1"/>
  <c r="G1516" i="1" a="1"/>
  <c r="G1516" i="1"/>
  <c r="G1517" i="1" a="1"/>
  <c r="G1517" i="1" s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/>
  <c r="G1528" i="1" a="1"/>
  <c r="G1528" i="1"/>
  <c r="G1529" i="1" a="1"/>
  <c r="G1529" i="1" s="1"/>
  <c r="G1530" i="1" a="1"/>
  <c r="G1530" i="1"/>
  <c r="G1531" i="1" a="1"/>
  <c r="G1531" i="1"/>
  <c r="G1532" i="1" a="1"/>
  <c r="G1532" i="1"/>
  <c r="G1533" i="1" a="1"/>
  <c r="G1533" i="1"/>
  <c r="G1534" i="1" a="1"/>
  <c r="G1534" i="1" s="1"/>
  <c r="G1535" i="1" a="1"/>
  <c r="G1535" i="1" s="1"/>
  <c r="G1536" i="1" a="1"/>
  <c r="G1536" i="1" s="1"/>
  <c r="G1537" i="1" a="1"/>
  <c r="G1537" i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/>
  <c r="G1545" i="1" a="1"/>
  <c r="G1545" i="1"/>
  <c r="G1546" i="1" a="1"/>
  <c r="G1546" i="1" s="1"/>
  <c r="G1547" i="1" a="1"/>
  <c r="G1547" i="1"/>
  <c r="G1548" i="1" a="1"/>
  <c r="G1548" i="1"/>
  <c r="G1549" i="1" a="1"/>
  <c r="G1549" i="1"/>
  <c r="G1550" i="1" a="1"/>
  <c r="G1550" i="1" s="1"/>
  <c r="G1551" i="1" a="1"/>
  <c r="G1551" i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/>
  <c r="G1560" i="1" a="1"/>
  <c r="G1560" i="1" s="1"/>
  <c r="G1561" i="1" a="1"/>
  <c r="G1561" i="1"/>
  <c r="G1562" i="1" a="1"/>
  <c r="G1562" i="1"/>
  <c r="G1563" i="1" a="1"/>
  <c r="G1563" i="1" s="1"/>
  <c r="G1564" i="1" a="1"/>
  <c r="G1564" i="1"/>
  <c r="G1565" i="1" a="1"/>
  <c r="G1565" i="1"/>
  <c r="G1566" i="1" a="1"/>
  <c r="G1566" i="1" s="1"/>
  <c r="G1567" i="1" a="1"/>
  <c r="G1567" i="1" s="1"/>
  <c r="G1568" i="1" a="1"/>
  <c r="G1568" i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 s="1"/>
  <c r="G1575" i="1" a="1"/>
  <c r="G1575" i="1" s="1"/>
  <c r="G1576" i="1" a="1"/>
  <c r="G1576" i="1"/>
  <c r="G1577" i="1" a="1"/>
  <c r="G1577" i="1" s="1"/>
  <c r="G1578" i="1" a="1"/>
  <c r="G1578" i="1"/>
  <c r="G1579" i="1" a="1"/>
  <c r="G1579" i="1"/>
  <c r="G1580" i="1" a="1"/>
  <c r="G1580" i="1" s="1"/>
  <c r="G1581" i="1" a="1"/>
  <c r="G1581" i="1"/>
  <c r="G1582" i="1" a="1"/>
  <c r="G1582" i="1" s="1"/>
  <c r="G1583" i="1" a="1"/>
  <c r="G1583" i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 s="1"/>
  <c r="G1591" i="1" a="1"/>
  <c r="G1591" i="1"/>
  <c r="G1592" i="1" a="1"/>
  <c r="G1592" i="1"/>
  <c r="G1593" i="1" a="1"/>
  <c r="G1593" i="1" s="1"/>
  <c r="G1594" i="1" a="1"/>
  <c r="G1594" i="1" s="1"/>
  <c r="G1595" i="1" a="1"/>
  <c r="G1595" i="1"/>
  <c r="G1596" i="1" a="1"/>
  <c r="G1596" i="1"/>
  <c r="G1597" i="1" a="1"/>
  <c r="G1597" i="1"/>
  <c r="G1598" i="1" a="1"/>
  <c r="G1598" i="1" s="1"/>
  <c r="G1599" i="1" a="1"/>
  <c r="G1599" i="1" s="1"/>
  <c r="G1600" i="1" a="1"/>
  <c r="G1600" i="1" s="1"/>
  <c r="G1601" i="1" a="1"/>
  <c r="G1601" i="1" s="1"/>
  <c r="G1602" i="1" a="1"/>
  <c r="G1602" i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/>
  <c r="G1608" i="1" a="1"/>
  <c r="G1608" i="1"/>
  <c r="G1609" i="1" a="1"/>
  <c r="G1609" i="1" s="1"/>
  <c r="G1610" i="1" a="1"/>
  <c r="G1610" i="1"/>
  <c r="G1611" i="1" a="1"/>
  <c r="G1611" i="1" s="1"/>
  <c r="G1612" i="1" a="1"/>
  <c r="G1612" i="1"/>
  <c r="G1613" i="1" a="1"/>
  <c r="G1613" i="1"/>
  <c r="G1614" i="1" a="1"/>
  <c r="G1614" i="1" s="1"/>
  <c r="G1615" i="1" a="1"/>
  <c r="G1615" i="1"/>
  <c r="G1616" i="1" a="1"/>
  <c r="G1616" i="1"/>
  <c r="G1617" i="1" a="1"/>
  <c r="G1617" i="1"/>
  <c r="G1618" i="1" a="1"/>
  <c r="G1618" i="1" s="1"/>
  <c r="G1619" i="1" a="1"/>
  <c r="G1619" i="1" s="1"/>
  <c r="G1620" i="1" a="1"/>
  <c r="G1620" i="1"/>
  <c r="G1621" i="1" a="1"/>
  <c r="G1621" i="1"/>
  <c r="G1622" i="1" a="1"/>
  <c r="G1622" i="1" s="1"/>
  <c r="G1623" i="1" a="1"/>
  <c r="G1623" i="1"/>
  <c r="G1624" i="1" a="1"/>
  <c r="G1624" i="1"/>
  <c r="G1625" i="1" a="1"/>
  <c r="G1625" i="1"/>
  <c r="G1626" i="1" a="1"/>
  <c r="G1626" i="1" s="1"/>
  <c r="G1627" i="1" a="1"/>
  <c r="G1627" i="1" s="1"/>
  <c r="G1628" i="1" a="1"/>
  <c r="G1628" i="1" s="1"/>
  <c r="G1629" i="1" a="1"/>
  <c r="G1629" i="1"/>
  <c r="G1630" i="1" a="1"/>
  <c r="G1630" i="1"/>
  <c r="G1631" i="1" a="1"/>
  <c r="G1631" i="1" s="1"/>
  <c r="G1632" i="1" a="1"/>
  <c r="G1632" i="1" s="1"/>
  <c r="G1633" i="1" a="1"/>
  <c r="G1633" i="1"/>
  <c r="G1634" i="1" a="1"/>
  <c r="G1634" i="1"/>
  <c r="G1635" i="1" a="1"/>
  <c r="G1635" i="1" s="1"/>
  <c r="G1636" i="1" a="1"/>
  <c r="G1636" i="1"/>
  <c r="G1637" i="1" a="1"/>
  <c r="G1637" i="1" s="1"/>
  <c r="G1638" i="1" a="1"/>
  <c r="G1638" i="1" s="1"/>
  <c r="G1639" i="1" a="1"/>
  <c r="G1639" i="1" s="1"/>
  <c r="G1640" i="1" a="1"/>
  <c r="G1640" i="1"/>
  <c r="G1641" i="1" a="1"/>
  <c r="G1641" i="1"/>
  <c r="G1642" i="1" a="1"/>
  <c r="G1642" i="1"/>
  <c r="G1643" i="1" a="1"/>
  <c r="G1643" i="1" s="1"/>
  <c r="G1644" i="1" a="1"/>
  <c r="G1644" i="1" s="1"/>
  <c r="G1645" i="1" a="1"/>
  <c r="G1645" i="1" s="1"/>
  <c r="G1646" i="1" a="1"/>
  <c r="G1646" i="1"/>
  <c r="G1647" i="1" a="1"/>
  <c r="G1647" i="1"/>
  <c r="G1648" i="1" a="1"/>
  <c r="G1648" i="1" s="1"/>
  <c r="G1649" i="1" a="1"/>
  <c r="G1649" i="1" s="1"/>
  <c r="G1650" i="1" a="1"/>
  <c r="G1650" i="1"/>
  <c r="G1651" i="1" a="1"/>
  <c r="G1651" i="1" s="1"/>
  <c r="G1652" i="1" a="1"/>
  <c r="G1652" i="1" s="1"/>
  <c r="G1653" i="1" a="1"/>
  <c r="G1653" i="1"/>
  <c r="G1654" i="1" a="1"/>
  <c r="G1654" i="1" s="1"/>
  <c r="G1655" i="1" a="1"/>
  <c r="G1655" i="1" s="1"/>
  <c r="G1656" i="1" a="1"/>
  <c r="G1656" i="1" s="1"/>
  <c r="G1657" i="1" a="1"/>
  <c r="G1657" i="1"/>
  <c r="G1658" i="1" a="1"/>
  <c r="G1658" i="1"/>
  <c r="G1659" i="1" a="1"/>
  <c r="G1659" i="1" s="1"/>
  <c r="G1660" i="1" a="1"/>
  <c r="G1660" i="1" s="1"/>
  <c r="G1661" i="1" a="1"/>
  <c r="G1661" i="1" s="1"/>
  <c r="G1662" i="1" a="1"/>
  <c r="G1662" i="1" s="1"/>
  <c r="G1663" i="1" a="1"/>
  <c r="G1663" i="1"/>
  <c r="G1664" i="1" a="1"/>
  <c r="G1664" i="1"/>
  <c r="G1665" i="1" a="1"/>
  <c r="G1665" i="1" s="1"/>
  <c r="G1666" i="1" a="1"/>
  <c r="G1666" i="1" s="1"/>
  <c r="G1667" i="1" a="1"/>
  <c r="G1667" i="1" s="1"/>
  <c r="G1668" i="1" a="1"/>
  <c r="G1668" i="1"/>
  <c r="G1669" i="1" a="1"/>
  <c r="G1669" i="1" s="1"/>
  <c r="G1670" i="1" a="1"/>
  <c r="G1670" i="1"/>
  <c r="G1671" i="1" a="1"/>
  <c r="G1671" i="1" s="1"/>
  <c r="G1672" i="1" a="1"/>
  <c r="G1672" i="1" s="1"/>
  <c r="G1673" i="1" a="1"/>
  <c r="G1673" i="1" s="1"/>
  <c r="G1674" i="1" a="1"/>
  <c r="G1674" i="1"/>
  <c r="G1675" i="1" a="1"/>
  <c r="G1675" i="1" s="1"/>
  <c r="G1676" i="1" a="1"/>
  <c r="G1676" i="1"/>
  <c r="G1677" i="1" a="1"/>
  <c r="G1677" i="1" s="1"/>
  <c r="G1678" i="1" a="1"/>
  <c r="G1678" i="1" s="1"/>
  <c r="G1679" i="1" a="1"/>
  <c r="G1679" i="1" s="1"/>
  <c r="G1680" i="1" a="1"/>
  <c r="G1680" i="1"/>
  <c r="G1681" i="1" a="1"/>
  <c r="G1681" i="1"/>
  <c r="G1682" i="1" a="1"/>
  <c r="G1682" i="1" s="1"/>
  <c r="G1683" i="1" a="1"/>
  <c r="G1683" i="1" s="1"/>
  <c r="G1684" i="1" a="1"/>
  <c r="G1684" i="1" s="1"/>
  <c r="G1685" i="1" a="1"/>
  <c r="G1685" i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 s="1"/>
  <c r="G1693" i="1" a="1"/>
  <c r="G1693" i="1"/>
  <c r="G1694" i="1" a="1"/>
  <c r="G1694" i="1" s="1"/>
  <c r="G1695" i="1" a="1"/>
  <c r="G1695" i="1" s="1"/>
  <c r="G1696" i="1" a="1"/>
  <c r="G1696" i="1" s="1"/>
  <c r="G1697" i="1" a="1"/>
  <c r="G1697" i="1"/>
  <c r="G1698" i="1" a="1"/>
  <c r="G1698" i="1"/>
  <c r="G1699" i="1" a="1"/>
  <c r="G1699" i="1" s="1"/>
  <c r="G1700" i="1" a="1"/>
  <c r="G1700" i="1"/>
  <c r="G1701" i="1" a="1"/>
  <c r="G1701" i="1" s="1"/>
  <c r="G1702" i="1" a="1"/>
  <c r="G1702" i="1"/>
  <c r="G1703" i="1" a="1"/>
  <c r="G1703" i="1" s="1"/>
  <c r="G1704" i="1" a="1"/>
  <c r="G1704" i="1" s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/>
  <c r="G1710" i="1" a="1"/>
  <c r="G1710" i="1"/>
  <c r="G1711" i="1" a="1"/>
  <c r="G1711" i="1" s="1"/>
  <c r="G1712" i="1" a="1"/>
  <c r="G1712" i="1" s="1"/>
  <c r="G1713" i="1" a="1"/>
  <c r="G1713" i="1" s="1"/>
  <c r="G1714" i="1" a="1"/>
  <c r="G1714" i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/>
  <c r="G1720" i="1" a="1"/>
  <c r="G1720" i="1" s="1"/>
  <c r="G1721" i="1" a="1"/>
  <c r="G1721" i="1"/>
  <c r="G1722" i="1" a="1"/>
  <c r="G1722" i="1" s="1"/>
  <c r="G1723" i="1" a="1"/>
  <c r="G1723" i="1" s="1"/>
  <c r="G1724" i="1" a="1"/>
  <c r="G1724" i="1"/>
  <c r="G1725" i="1" a="1"/>
  <c r="G1725" i="1" s="1"/>
  <c r="G1726" i="1" a="1"/>
  <c r="G1726" i="1"/>
  <c r="G1727" i="1" a="1"/>
  <c r="G1727" i="1"/>
  <c r="G1728" i="1" a="1"/>
  <c r="G1728" i="1" s="1"/>
  <c r="G1729" i="1" a="1"/>
  <c r="G1729" i="1" s="1"/>
  <c r="G1730" i="1" a="1"/>
  <c r="G1730" i="1" s="1"/>
  <c r="G1731" i="1" a="1"/>
  <c r="G1731" i="1" s="1"/>
  <c r="G1732" i="1" a="1"/>
  <c r="G1732" i="1" s="1"/>
  <c r="G1733" i="1" a="1"/>
  <c r="G1733" i="1" s="1"/>
  <c r="G1734" i="1" a="1"/>
  <c r="G1734" i="1"/>
  <c r="G1735" i="1" a="1"/>
  <c r="G1735" i="1" s="1"/>
  <c r="G1736" i="1" a="1"/>
  <c r="G1736" i="1"/>
  <c r="G1737" i="1" a="1"/>
  <c r="G1737" i="1" s="1"/>
  <c r="G1738" i="1" a="1"/>
  <c r="G1738" i="1"/>
  <c r="G1739" i="1" a="1"/>
  <c r="G1739" i="1" s="1"/>
  <c r="G1740" i="1" a="1"/>
  <c r="G1740" i="1"/>
  <c r="G1741" i="1" a="1"/>
  <c r="G1741" i="1"/>
  <c r="G1742" i="1" a="1"/>
  <c r="G1742" i="1" s="1"/>
  <c r="G1743" i="1" a="1"/>
  <c r="G1743" i="1"/>
  <c r="G1744" i="1" a="1"/>
  <c r="G1744" i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/>
  <c r="G1752" i="1" a="1"/>
  <c r="G1752" i="1" s="1"/>
  <c r="G1753" i="1" a="1"/>
  <c r="G1753" i="1"/>
  <c r="G1754" i="1" a="1"/>
  <c r="G1754" i="1" s="1"/>
  <c r="G1755" i="1" a="1"/>
  <c r="G1755" i="1" s="1"/>
  <c r="G1756" i="1" a="1"/>
  <c r="G1756" i="1" s="1"/>
  <c r="G1757" i="1" a="1"/>
  <c r="G1757" i="1"/>
  <c r="G1758" i="1" a="1"/>
  <c r="G1758" i="1"/>
  <c r="G1759" i="1" a="1"/>
  <c r="G1759" i="1" s="1"/>
  <c r="G1760" i="1" a="1"/>
  <c r="G1760" i="1" s="1"/>
  <c r="G1761" i="1" a="1"/>
  <c r="G1761" i="1"/>
  <c r="G1762" i="1" a="1"/>
  <c r="G1762" i="1" s="1"/>
  <c r="G1763" i="1" a="1"/>
  <c r="G1763" i="1" s="1"/>
  <c r="G1764" i="1" a="1"/>
  <c r="G1764" i="1"/>
  <c r="G1765" i="1" a="1"/>
  <c r="G1765" i="1"/>
  <c r="G1766" i="1" a="1"/>
  <c r="G1766" i="1" s="1"/>
  <c r="G1767" i="1" a="1"/>
  <c r="G1767" i="1" s="1"/>
  <c r="G1768" i="1" a="1"/>
  <c r="G1768" i="1"/>
  <c r="G1769" i="1" a="1"/>
  <c r="G1769" i="1" s="1"/>
  <c r="G1770" i="1" a="1"/>
  <c r="G1770" i="1"/>
  <c r="G1771" i="1" a="1"/>
  <c r="G1771" i="1" s="1"/>
  <c r="G1772" i="1" a="1"/>
  <c r="G1772" i="1" s="1"/>
  <c r="G1773" i="1" a="1"/>
  <c r="G1773" i="1" s="1"/>
  <c r="G1774" i="1" a="1"/>
  <c r="G1774" i="1"/>
  <c r="G1775" i="1" a="1"/>
  <c r="G1775" i="1"/>
  <c r="G1776" i="1" a="1"/>
  <c r="G1776" i="1" s="1"/>
  <c r="G1777" i="1" a="1"/>
  <c r="G1777" i="1"/>
  <c r="G1778" i="1" a="1"/>
  <c r="G1778" i="1"/>
  <c r="G1779" i="1" a="1"/>
  <c r="G1779" i="1" s="1"/>
  <c r="G1780" i="1" a="1"/>
  <c r="G1780" i="1" s="1"/>
  <c r="G1781" i="1" a="1"/>
  <c r="G1781" i="1"/>
  <c r="G1782" i="1" a="1"/>
  <c r="G1782" i="1" s="1"/>
  <c r="G1783" i="1" a="1"/>
  <c r="G1783" i="1" s="1"/>
  <c r="G1784" i="1" a="1"/>
  <c r="G1784" i="1" s="1"/>
  <c r="G1785" i="1" a="1"/>
  <c r="G1785" i="1" s="1"/>
  <c r="G1786" i="1" a="1"/>
  <c r="G1786" i="1" s="1"/>
  <c r="G1787" i="1" a="1"/>
  <c r="G1787" i="1" s="1"/>
  <c r="G1788" i="1" a="1"/>
  <c r="G1788" i="1" s="1"/>
  <c r="G1789" i="1" a="1"/>
  <c r="G1789" i="1" s="1"/>
  <c r="G1790" i="1" a="1"/>
  <c r="G1790" i="1" s="1"/>
  <c r="G1791" i="1" a="1"/>
  <c r="G1791" i="1"/>
  <c r="G1792" i="1" a="1"/>
  <c r="G1792" i="1"/>
  <c r="G1793" i="1" a="1"/>
  <c r="G1793" i="1"/>
  <c r="G1794" i="1" a="1"/>
  <c r="G1794" i="1"/>
  <c r="G1795" i="1" a="1"/>
  <c r="G1795" i="1" s="1"/>
  <c r="G1796" i="1" a="1"/>
  <c r="G1796" i="1" s="1"/>
  <c r="G1797" i="1" a="1"/>
  <c r="G1797" i="1" s="1"/>
  <c r="G1798" i="1" a="1"/>
  <c r="G1798" i="1" s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/>
  <c r="G1805" i="1" a="1"/>
  <c r="G1805" i="1" s="1"/>
  <c r="G1806" i="1" a="1"/>
  <c r="G1806" i="1" s="1"/>
  <c r="G1807" i="1" a="1"/>
  <c r="G1807" i="1" s="1"/>
  <c r="G1808" i="1" a="1"/>
  <c r="G1808" i="1"/>
  <c r="G1809" i="1" a="1"/>
  <c r="G1809" i="1"/>
  <c r="G1810" i="1" a="1"/>
  <c r="G1810" i="1"/>
  <c r="G1811" i="1" a="1"/>
  <c r="G1811" i="1" s="1"/>
  <c r="G1812" i="1" a="1"/>
  <c r="G1812" i="1" s="1"/>
  <c r="G1813" i="1" a="1"/>
  <c r="G1813" i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 s="1"/>
  <c r="G1820" i="1" a="1"/>
  <c r="G1820" i="1"/>
  <c r="G1821" i="1" a="1"/>
  <c r="G1821" i="1"/>
  <c r="G1822" i="1" a="1"/>
  <c r="G1822" i="1" s="1"/>
  <c r="G1823" i="1" a="1"/>
  <c r="G1823" i="1" s="1"/>
  <c r="G1824" i="1" a="1"/>
  <c r="G1824" i="1" s="1"/>
  <c r="G1825" i="1" a="1"/>
  <c r="G1825" i="1"/>
  <c r="G1826" i="1" a="1"/>
  <c r="G1826" i="1"/>
  <c r="G1827" i="1" a="1"/>
  <c r="G1827" i="1" s="1"/>
  <c r="G1828" i="1" a="1"/>
  <c r="G1828" i="1" s="1"/>
  <c r="G1829" i="1" a="1"/>
  <c r="G1829" i="1" s="1"/>
  <c r="G1830" i="1" a="1"/>
  <c r="G1830" i="1"/>
  <c r="G1831" i="1" a="1"/>
  <c r="G1831" i="1" s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 s="1"/>
  <c r="G1837" i="1" a="1"/>
  <c r="G1837" i="1"/>
  <c r="G1838" i="1" a="1"/>
  <c r="G1838" i="1"/>
  <c r="G1839" i="1" a="1"/>
  <c r="G1839" i="1" s="1"/>
  <c r="G1840" i="1" a="1"/>
  <c r="G1840" i="1" s="1"/>
  <c r="G1841" i="1" a="1"/>
  <c r="G1841" i="1" s="1"/>
  <c r="G1842" i="1" a="1"/>
  <c r="G1842" i="1"/>
  <c r="G1843" i="1" a="1"/>
  <c r="G1843" i="1" s="1"/>
  <c r="G1844" i="1" a="1"/>
  <c r="G1844" i="1" s="1"/>
  <c r="G1845" i="1" a="1"/>
  <c r="G1845" i="1" s="1"/>
  <c r="G1846" i="1" a="1"/>
  <c r="G1846" i="1" s="1"/>
  <c r="G1847" i="1" a="1"/>
  <c r="G1847" i="1"/>
  <c r="G1848" i="1" a="1"/>
  <c r="G1848" i="1" s="1"/>
  <c r="G1849" i="1" a="1"/>
  <c r="G1849" i="1" s="1"/>
  <c r="G1850" i="1" a="1"/>
  <c r="G1850" i="1" s="1"/>
  <c r="G1851" i="1" a="1"/>
  <c r="G1851" i="1" s="1"/>
  <c r="G1852" i="1" a="1"/>
  <c r="G1852" i="1"/>
  <c r="G1853" i="1" a="1"/>
  <c r="G1853" i="1" s="1"/>
  <c r="G1854" i="1" a="1"/>
  <c r="G1854" i="1"/>
  <c r="G1855" i="1" a="1"/>
  <c r="G1855" i="1"/>
  <c r="G1856" i="1" a="1"/>
  <c r="G1856" i="1" s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 s="1"/>
  <c r="G1862" i="1" a="1"/>
  <c r="G1862" i="1" s="1"/>
  <c r="G1863" i="1" a="1"/>
  <c r="G1863" i="1" s="1"/>
  <c r="G1864" i="1" a="1"/>
  <c r="G1864" i="1"/>
  <c r="G1865" i="1" a="1"/>
  <c r="G1865" i="1" s="1"/>
  <c r="G1866" i="1" a="1"/>
  <c r="G1866" i="1" s="1"/>
  <c r="G1867" i="1" a="1"/>
  <c r="G1867" i="1" s="1"/>
  <c r="G1868" i="1" a="1"/>
  <c r="G1868" i="1"/>
  <c r="G1869" i="1" a="1"/>
  <c r="G1869" i="1"/>
  <c r="G1870" i="1" a="1"/>
  <c r="G1870" i="1" s="1"/>
  <c r="G1871" i="1" a="1"/>
  <c r="G1871" i="1"/>
  <c r="G1872" i="1" a="1"/>
  <c r="G1872" i="1"/>
  <c r="G1873" i="1" a="1"/>
  <c r="G1873" i="1" s="1"/>
  <c r="G1874" i="1" a="1"/>
  <c r="G1874" i="1" s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/>
  <c r="G1882" i="1" a="1"/>
  <c r="G1882" i="1" s="1"/>
  <c r="G1883" i="1" a="1"/>
  <c r="G1883" i="1" s="1"/>
  <c r="G1884" i="1" a="1"/>
  <c r="G1884" i="1" s="1"/>
  <c r="G1885" i="1" a="1"/>
  <c r="G1885" i="1"/>
  <c r="G1886" i="1" a="1"/>
  <c r="G1886" i="1"/>
  <c r="G1887" i="1" a="1"/>
  <c r="G1887" i="1" s="1"/>
  <c r="G1888" i="1" a="1"/>
  <c r="G1888" i="1"/>
  <c r="G1889" i="1" a="1"/>
  <c r="G1889" i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/>
  <c r="G1897" i="1" a="1"/>
  <c r="G1897" i="1" s="1"/>
  <c r="G1898" i="1" a="1"/>
  <c r="G1898" i="1"/>
  <c r="G1899" i="1" a="1"/>
  <c r="G1899" i="1" s="1"/>
  <c r="G1900" i="1" a="1"/>
  <c r="G1900" i="1" s="1"/>
  <c r="G1901" i="1" a="1"/>
  <c r="G1901" i="1" s="1"/>
  <c r="G1902" i="1" a="1"/>
  <c r="G1902" i="1"/>
  <c r="G1903" i="1" a="1"/>
  <c r="G1903" i="1"/>
  <c r="G1904" i="1" a="1"/>
  <c r="G1904" i="1" s="1"/>
  <c r="G1905" i="1" a="1"/>
  <c r="G1905" i="1"/>
  <c r="G1906" i="1" a="1"/>
  <c r="G1906" i="1"/>
  <c r="G1907" i="1" a="1"/>
  <c r="G1907" i="1" s="1"/>
  <c r="G1908" i="1" a="1"/>
  <c r="G1908" i="1"/>
  <c r="G1909" i="1" a="1"/>
  <c r="G1909" i="1" s="1"/>
  <c r="G1910" i="1" a="1"/>
  <c r="G1910" i="1" s="1"/>
  <c r="G1911" i="1" a="1"/>
  <c r="G1911" i="1" s="1"/>
  <c r="G1912" i="1" a="1"/>
  <c r="G1912" i="1" s="1"/>
  <c r="G1913" i="1" a="1"/>
  <c r="G1913" i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/>
  <c r="G1920" i="1" a="1"/>
  <c r="G1920" i="1"/>
  <c r="G1921" i="1" a="1"/>
  <c r="G1921" i="1" s="1"/>
  <c r="G1922" i="1" a="1"/>
  <c r="G1922" i="1"/>
  <c r="G1923" i="1" a="1"/>
  <c r="G1923" i="1" s="1"/>
  <c r="G1924" i="1" a="1"/>
  <c r="G1924" i="1"/>
  <c r="G1925" i="1" a="1"/>
  <c r="G1925" i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/>
  <c r="G1931" i="1" a="1"/>
  <c r="G1931" i="1" s="1"/>
  <c r="G1932" i="1" a="1"/>
  <c r="G1932" i="1"/>
  <c r="G1933" i="1" a="1"/>
  <c r="G1933" i="1" s="1"/>
  <c r="G1934" i="1" a="1"/>
  <c r="G1934" i="1" s="1"/>
  <c r="G1935" i="1" a="1"/>
  <c r="G1935" i="1" s="1"/>
  <c r="G1936" i="1" a="1"/>
  <c r="G1936" i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/>
  <c r="G1942" i="1" a="1"/>
  <c r="G1942" i="1"/>
  <c r="G1943" i="1" a="1"/>
  <c r="G1943" i="1" s="1"/>
  <c r="G1944" i="1" a="1"/>
  <c r="G1944" i="1" s="1"/>
  <c r="G1945" i="1" a="1"/>
  <c r="G1945" i="1" s="1"/>
  <c r="G1946" i="1" a="1"/>
  <c r="G1946" i="1" s="1"/>
  <c r="G1947" i="1" a="1"/>
  <c r="G1947" i="1" s="1"/>
  <c r="G1948" i="1" a="1"/>
  <c r="G1948" i="1"/>
  <c r="G1949" i="1" a="1"/>
  <c r="G1949" i="1"/>
  <c r="G1950" i="1" a="1"/>
  <c r="G1950" i="1" s="1"/>
  <c r="G1951" i="1" a="1"/>
  <c r="G1951" i="1" s="1"/>
  <c r="G1952" i="1" a="1"/>
  <c r="G1952" i="1" s="1"/>
  <c r="G1953" i="1" a="1"/>
  <c r="G1953" i="1"/>
  <c r="G1954" i="1" a="1"/>
  <c r="G1954" i="1"/>
  <c r="G1955" i="1" a="1"/>
  <c r="G1955" i="1" s="1"/>
  <c r="G1956" i="1" a="1"/>
  <c r="G1956" i="1"/>
  <c r="G1957" i="1" a="1"/>
  <c r="G1957" i="1" s="1"/>
  <c r="G1958" i="1" a="1"/>
  <c r="G1958" i="1"/>
  <c r="G1959" i="1" a="1"/>
  <c r="G1959" i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 s="1"/>
  <c r="G1965" i="1" a="1"/>
  <c r="G1965" i="1"/>
  <c r="G1966" i="1" a="1"/>
  <c r="G1966" i="1"/>
  <c r="G1967" i="1" a="1"/>
  <c r="G1967" i="1" s="1"/>
  <c r="G1968" i="1" a="1"/>
  <c r="G1968" i="1" s="1"/>
  <c r="G1969" i="1" a="1"/>
  <c r="G1969" i="1" s="1"/>
  <c r="G1970" i="1" a="1"/>
  <c r="G1970" i="1"/>
  <c r="G1971" i="1" a="1"/>
  <c r="G1971" i="1" s="1"/>
  <c r="G1972" i="1" a="1"/>
  <c r="G1972" i="1" s="1"/>
  <c r="G1973" i="1" a="1"/>
  <c r="G1973" i="1"/>
  <c r="G1974" i="1" a="1"/>
  <c r="G1974" i="1" s="1"/>
  <c r="G1975" i="1" a="1"/>
  <c r="G1975" i="1"/>
  <c r="G1976" i="1" a="1"/>
  <c r="G1976" i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/>
  <c r="G1983" i="1" a="1"/>
  <c r="G1983" i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/>
  <c r="G1989" i="1" a="1"/>
  <c r="G1989" i="1" s="1"/>
  <c r="G1990" i="1" a="1"/>
  <c r="G1990" i="1"/>
  <c r="G1991" i="1" a="1"/>
  <c r="G1991" i="1" s="1"/>
  <c r="G1992" i="1" a="1"/>
  <c r="G1992" i="1"/>
  <c r="G1993" i="1" a="1"/>
  <c r="G1993" i="1"/>
  <c r="G1994" i="1" a="1"/>
  <c r="G1994" i="1" s="1"/>
  <c r="G1995" i="1" a="1"/>
  <c r="G1995" i="1" s="1"/>
  <c r="G1996" i="1" a="1"/>
  <c r="G1996" i="1"/>
  <c r="G1997" i="1" a="1"/>
  <c r="G1997" i="1" s="1"/>
  <c r="G1998" i="1" a="1"/>
  <c r="G1998" i="1" s="1"/>
  <c r="G1999" i="1" a="1"/>
  <c r="G1999" i="1"/>
  <c r="G2000" i="1" a="1"/>
  <c r="G2000" i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/>
  <c r="G2006" i="1" a="1"/>
  <c r="G2006" i="1" s="1"/>
  <c r="G2007" i="1" a="1"/>
  <c r="G2007" i="1" s="1"/>
  <c r="G2008" i="1" a="1"/>
  <c r="G2008" i="1" s="1"/>
  <c r="G2009" i="1" a="1"/>
  <c r="G2009" i="1"/>
  <c r="G2010" i="1" a="1"/>
  <c r="G2010" i="1"/>
  <c r="G2011" i="1" a="1"/>
  <c r="G2011" i="1" s="1"/>
  <c r="G2012" i="1" a="1"/>
  <c r="G2012" i="1" s="1"/>
  <c r="G2013" i="1" a="1"/>
  <c r="G2013" i="1"/>
  <c r="G2014" i="1" a="1"/>
  <c r="G2014" i="1" s="1"/>
  <c r="G2015" i="1" a="1"/>
  <c r="G2015" i="1"/>
  <c r="G2016" i="1" a="1"/>
  <c r="G2016" i="1"/>
  <c r="G2017" i="1" a="1"/>
  <c r="G2017" i="1"/>
  <c r="G2018" i="1" a="1"/>
  <c r="G2018" i="1" s="1"/>
  <c r="G2019" i="1" a="1"/>
  <c r="G2019" i="1" s="1"/>
  <c r="G2020" i="1" a="1"/>
  <c r="G2020" i="1"/>
  <c r="G2021" i="1" a="1"/>
  <c r="G2021" i="1" s="1"/>
  <c r="G2022" i="1" a="1"/>
  <c r="G2022" i="1"/>
  <c r="G2023" i="1" a="1"/>
  <c r="G2023" i="1" s="1"/>
  <c r="G2024" i="1" a="1"/>
  <c r="G2024" i="1" s="1"/>
  <c r="G2025" i="1" a="1"/>
  <c r="G2025" i="1" s="1"/>
  <c r="G2026" i="1" a="1"/>
  <c r="G2026" i="1"/>
  <c r="G2027" i="1" a="1"/>
  <c r="G2027" i="1" s="1"/>
  <c r="G2028" i="1" a="1"/>
  <c r="G2028" i="1" s="1"/>
  <c r="G2029" i="1" a="1"/>
  <c r="G2029" i="1" s="1"/>
  <c r="G2030" i="1" a="1"/>
  <c r="G2030" i="1"/>
  <c r="G2031" i="1" a="1"/>
  <c r="G2031" i="1" s="1"/>
  <c r="G2032" i="1" a="1"/>
  <c r="G2032" i="1" s="1"/>
  <c r="G2033" i="1" a="1"/>
  <c r="G2033" i="1"/>
  <c r="G2034" i="1" a="1"/>
  <c r="G2034" i="1"/>
  <c r="G2035" i="1" a="1"/>
  <c r="G2035" i="1" s="1"/>
  <c r="G2036" i="1" a="1"/>
  <c r="G2036" i="1"/>
  <c r="G2037" i="1" a="1"/>
  <c r="G2037" i="1"/>
  <c r="G2038" i="1" a="1"/>
  <c r="G2038" i="1" s="1"/>
  <c r="G2039" i="1" a="1"/>
  <c r="G2039" i="1"/>
  <c r="G2040" i="1" a="1"/>
  <c r="G2040" i="1" s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/>
  <c r="G2048" i="1" a="1"/>
  <c r="G2048" i="1" s="1"/>
  <c r="G2049" i="1" a="1"/>
  <c r="G2049" i="1" s="1"/>
  <c r="G2050" i="1" a="1"/>
  <c r="G2050" i="1"/>
  <c r="G2051" i="1" a="1"/>
  <c r="G2051" i="1" s="1"/>
  <c r="G2052" i="1" a="1"/>
  <c r="G2052" i="1"/>
  <c r="G2053" i="1" a="1"/>
  <c r="G2053" i="1"/>
  <c r="G2054" i="1" a="1"/>
  <c r="G2054" i="1"/>
  <c r="G2055" i="1" a="1"/>
  <c r="G2055" i="1" s="1"/>
  <c r="G2056" i="1" a="1"/>
  <c r="G2056" i="1"/>
  <c r="G2057" i="1" a="1"/>
  <c r="G2057" i="1" s="1"/>
  <c r="G2058" i="1" a="1"/>
  <c r="G2058" i="1" s="1"/>
  <c r="G2059" i="1" a="1"/>
  <c r="G2059" i="1" s="1"/>
  <c r="G2060" i="1" a="1"/>
  <c r="G2060" i="1"/>
  <c r="G2061" i="1" a="1"/>
  <c r="G2061" i="1" s="1"/>
  <c r="G2062" i="1" a="1"/>
  <c r="G2062" i="1" s="1"/>
  <c r="G2063" i="1" a="1"/>
  <c r="G2063" i="1" s="1"/>
  <c r="G2064" i="1" a="1"/>
  <c r="G2064" i="1"/>
  <c r="G2065" i="1" a="1"/>
  <c r="G2065" i="1" s="1"/>
  <c r="G2066" i="1" a="1"/>
  <c r="G2066" i="1" s="1"/>
  <c r="G2067" i="1" a="1"/>
  <c r="G2067" i="1" s="1"/>
  <c r="G2068" i="1" a="1"/>
  <c r="G2068" i="1" s="1"/>
  <c r="G2069" i="1" a="1"/>
  <c r="G2069" i="1"/>
  <c r="G2070" i="1" a="1"/>
  <c r="G2070" i="1"/>
  <c r="G2071" i="1" a="1"/>
  <c r="G2071" i="1"/>
  <c r="G2072" i="1" a="1"/>
  <c r="G2072" i="1" s="1"/>
  <c r="G2073" i="1" a="1"/>
  <c r="G2073" i="1"/>
  <c r="G2074" i="1" a="1"/>
  <c r="G2074" i="1" s="1"/>
  <c r="G2075" i="1" a="1"/>
  <c r="G2075" i="1" s="1"/>
  <c r="G2076" i="1" a="1"/>
  <c r="G2076" i="1"/>
  <c r="G2077" i="1" a="1"/>
  <c r="G2077" i="1"/>
  <c r="G2078" i="1" a="1"/>
  <c r="G2078" i="1" s="1"/>
  <c r="G2079" i="1" a="1"/>
  <c r="G2079" i="1" s="1"/>
  <c r="G2080" i="1" a="1"/>
  <c r="G2080" i="1" s="1"/>
  <c r="G2081" i="1" a="1"/>
  <c r="G2081" i="1"/>
  <c r="G2082" i="1" a="1"/>
  <c r="G2082" i="1" s="1"/>
  <c r="G2083" i="1" a="1"/>
  <c r="G2083" i="1" s="1"/>
  <c r="G2084" i="1" a="1"/>
  <c r="G2084" i="1"/>
  <c r="G2085" i="1" a="1"/>
  <c r="G2085" i="1"/>
  <c r="G2086" i="1" a="1"/>
  <c r="G2086" i="1" s="1"/>
  <c r="G2087" i="1" a="1"/>
  <c r="G2087" i="1" s="1"/>
  <c r="G2088" i="1" a="1"/>
  <c r="G2088" i="1" s="1"/>
  <c r="G2089" i="1" a="1"/>
  <c r="G2089" i="1"/>
  <c r="G2090" i="1" a="1"/>
  <c r="G2090" i="1" s="1"/>
  <c r="G2091" i="1" a="1"/>
  <c r="G2091" i="1" s="1"/>
  <c r="G2092" i="1" a="1"/>
  <c r="G2092" i="1"/>
  <c r="G2093" i="1" a="1"/>
  <c r="G2093" i="1" s="1"/>
  <c r="G2094" i="1" a="1"/>
  <c r="G2094" i="1" s="1"/>
  <c r="G2095" i="1" a="1"/>
  <c r="G2095" i="1" s="1"/>
  <c r="G2096" i="1" a="1"/>
  <c r="G2096" i="1" s="1"/>
  <c r="G2097" i="1" a="1"/>
  <c r="G2097" i="1"/>
  <c r="G2098" i="1" a="1"/>
  <c r="G2098" i="1" s="1"/>
  <c r="G2099" i="1" a="1"/>
  <c r="G2099" i="1" s="1"/>
  <c r="G2100" i="1" a="1"/>
  <c r="G2100" i="1"/>
  <c r="G2101" i="1" a="1"/>
  <c r="G2101" i="1" s="1"/>
  <c r="G2102" i="1" a="1"/>
  <c r="G2102" i="1" s="1"/>
  <c r="G2103" i="1" a="1"/>
  <c r="G2103" i="1" s="1"/>
  <c r="G2104" i="1" a="1"/>
  <c r="G2104" i="1" s="1"/>
  <c r="G2105" i="1" a="1"/>
  <c r="G2105" i="1"/>
  <c r="G2106" i="1" a="1"/>
  <c r="G2106" i="1" s="1"/>
  <c r="G2107" i="1" a="1"/>
  <c r="G2107" i="1" s="1"/>
  <c r="G2108" i="1" a="1"/>
  <c r="G2108" i="1"/>
  <c r="G2109" i="1" a="1"/>
  <c r="G2109" i="1" s="1"/>
  <c r="G2110" i="1" a="1"/>
  <c r="G2110" i="1" s="1"/>
  <c r="G2111" i="1" a="1"/>
  <c r="G2111" i="1" s="1"/>
  <c r="G2112" i="1" a="1"/>
  <c r="G2112" i="1" s="1"/>
  <c r="G2113" i="1" a="1"/>
  <c r="G2113" i="1"/>
  <c r="G2114" i="1" a="1"/>
  <c r="G2114" i="1" s="1"/>
  <c r="G2115" i="1" a="1"/>
  <c r="G2115" i="1" s="1"/>
  <c r="G2116" i="1" a="1"/>
  <c r="G2116" i="1"/>
  <c r="G2117" i="1" a="1"/>
  <c r="G2117" i="1" s="1"/>
  <c r="G2118" i="1" a="1"/>
  <c r="G2118" i="1" s="1"/>
  <c r="G2119" i="1" a="1"/>
  <c r="G2119" i="1" s="1"/>
  <c r="G2120" i="1" a="1"/>
  <c r="G2120" i="1" s="1"/>
  <c r="G2121" i="1" a="1"/>
  <c r="G2121" i="1"/>
  <c r="G2122" i="1" a="1"/>
  <c r="G2122" i="1" s="1"/>
  <c r="G2123" i="1" a="1"/>
  <c r="G2123" i="1" s="1"/>
  <c r="G2124" i="1" a="1"/>
  <c r="G2124" i="1"/>
  <c r="G2125" i="1" a="1"/>
  <c r="G2125" i="1" s="1"/>
  <c r="G2126" i="1" a="1"/>
  <c r="G2126" i="1" s="1"/>
  <c r="G2127" i="1" a="1"/>
  <c r="G2127" i="1" s="1"/>
  <c r="G2128" i="1" a="1"/>
  <c r="G2128" i="1" s="1"/>
  <c r="G2129" i="1" a="1"/>
  <c r="G2129" i="1" s="1"/>
  <c r="G2130" i="1" a="1"/>
  <c r="G2130" i="1" s="1"/>
  <c r="G2131" i="1" a="1"/>
  <c r="G2131" i="1" s="1"/>
  <c r="G2132" i="1" a="1"/>
  <c r="G2132" i="1"/>
  <c r="G2133" i="1" a="1"/>
  <c r="G2133" i="1" s="1"/>
  <c r="G2134" i="1" a="1"/>
  <c r="G2134" i="1" s="1"/>
  <c r="G2135" i="1" a="1"/>
  <c r="G2135" i="1" s="1"/>
  <c r="G2136" i="1" a="1"/>
  <c r="G2136" i="1" s="1"/>
  <c r="G2137" i="1" a="1"/>
  <c r="G2137" i="1" s="1"/>
  <c r="G2138" i="1" a="1"/>
  <c r="G2138" i="1" s="1"/>
  <c r="G2139" i="1" a="1"/>
  <c r="G2139" i="1" s="1"/>
  <c r="G2140" i="1" a="1"/>
  <c r="G2140" i="1"/>
  <c r="G2141" i="1" a="1"/>
  <c r="G2141" i="1" s="1"/>
  <c r="G2142" i="1" a="1"/>
  <c r="G2142" i="1" s="1"/>
  <c r="G2143" i="1" a="1"/>
  <c r="G2143" i="1" s="1"/>
  <c r="G2144" i="1" a="1"/>
  <c r="G2144" i="1" s="1"/>
  <c r="G2145" i="1" a="1"/>
  <c r="G2145" i="1" s="1"/>
  <c r="G2146" i="1" a="1"/>
  <c r="G2146" i="1" s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 s="1"/>
  <c r="G2152" i="1" a="1"/>
  <c r="G2152" i="1" s="1"/>
  <c r="G2153" i="1" a="1"/>
  <c r="G2153" i="1" s="1"/>
  <c r="G2154" i="1" a="1"/>
  <c r="G2154" i="1" s="1"/>
  <c r="G2155" i="1" a="1"/>
  <c r="G2155" i="1" s="1"/>
  <c r="G2156" i="1" a="1"/>
  <c r="G2156" i="1"/>
  <c r="G2157" i="1" a="1"/>
  <c r="G2157" i="1" s="1"/>
  <c r="G2158" i="1" a="1"/>
  <c r="G2158" i="1" s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 s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 s="1"/>
  <c r="G2170" i="1" a="1"/>
  <c r="G2170" i="1" s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 s="1"/>
  <c r="G2177" i="1" a="1"/>
  <c r="G2177" i="1" s="1"/>
  <c r="G2178" i="1" a="1"/>
  <c r="G2178" i="1" s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 s="1"/>
  <c r="G2189" i="1" a="1"/>
  <c r="G2189" i="1" s="1"/>
  <c r="G2190" i="1" a="1"/>
  <c r="G2190" i="1" s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 s="1"/>
  <c r="G2197" i="1" a="1"/>
  <c r="G2197" i="1" s="1"/>
  <c r="G2198" i="1" a="1"/>
  <c r="G2198" i="1" s="1"/>
  <c r="G2199" i="1" a="1"/>
  <c r="G2199" i="1" s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209" i="1" a="1"/>
  <c r="G2209" i="1" s="1"/>
  <c r="G2210" i="1" a="1"/>
  <c r="G2210" i="1" s="1"/>
  <c r="G2211" i="1" a="1"/>
  <c r="G2211" i="1" s="1"/>
  <c r="G2212" i="1" a="1"/>
  <c r="G2212" i="1" s="1"/>
  <c r="G2213" i="1" a="1"/>
  <c r="G2213" i="1" s="1"/>
  <c r="G2214" i="1" a="1"/>
  <c r="G2214" i="1" s="1"/>
  <c r="G2215" i="1" a="1"/>
  <c r="G2215" i="1" s="1"/>
  <c r="G2216" i="1" a="1"/>
  <c r="G2216" i="1" s="1"/>
  <c r="G2217" i="1" a="1"/>
  <c r="G2217" i="1" s="1"/>
  <c r="G2218" i="1" a="1"/>
  <c r="G2218" i="1" s="1"/>
  <c r="G2219" i="1" a="1"/>
  <c r="G2219" i="1" s="1"/>
  <c r="G2220" i="1" a="1"/>
  <c r="G2220" i="1" s="1"/>
  <c r="G2221" i="1" a="1"/>
  <c r="G2221" i="1" s="1"/>
  <c r="G2222" i="1" a="1"/>
  <c r="G2222" i="1" s="1"/>
  <c r="G2223" i="1" a="1"/>
  <c r="G2223" i="1" s="1"/>
  <c r="G2224" i="1" a="1"/>
  <c r="G2224" i="1" s="1"/>
  <c r="G2225" i="1" a="1"/>
  <c r="G2225" i="1" s="1"/>
  <c r="G2226" i="1" a="1"/>
  <c r="G2226" i="1" s="1"/>
  <c r="G2227" i="1" a="1"/>
  <c r="G2227" i="1" s="1"/>
  <c r="G2228" i="1" a="1"/>
  <c r="G2228" i="1" s="1"/>
  <c r="G2229" i="1" a="1"/>
  <c r="G2229" i="1" s="1"/>
  <c r="G2230" i="1" a="1"/>
  <c r="G2230" i="1" s="1"/>
  <c r="G2231" i="1" a="1"/>
  <c r="G2231" i="1" s="1"/>
  <c r="G2232" i="1" a="1"/>
  <c r="G2232" i="1" s="1"/>
  <c r="G2233" i="1" a="1"/>
  <c r="G2233" i="1" s="1"/>
  <c r="G2234" i="1" a="1"/>
  <c r="G2234" i="1" s="1"/>
  <c r="G2235" i="1" a="1"/>
  <c r="G2235" i="1" s="1"/>
  <c r="G2236" i="1" a="1"/>
  <c r="G2236" i="1" s="1"/>
  <c r="G2237" i="1" a="1"/>
  <c r="G2237" i="1" s="1"/>
  <c r="G2238" i="1" a="1"/>
  <c r="G2238" i="1" s="1"/>
  <c r="G2239" i="1" a="1"/>
  <c r="G2239" i="1" s="1"/>
  <c r="G2240" i="1" a="1"/>
  <c r="G2240" i="1" s="1"/>
  <c r="G2241" i="1" a="1"/>
  <c r="G2241" i="1" s="1"/>
  <c r="G2242" i="1" a="1"/>
  <c r="G2242" i="1" s="1"/>
  <c r="G2243" i="1" a="1"/>
  <c r="G2243" i="1" s="1"/>
  <c r="G2244" i="1" a="1"/>
  <c r="G2244" i="1" s="1"/>
  <c r="G2245" i="1" a="1"/>
  <c r="G2245" i="1" s="1"/>
  <c r="G2246" i="1" a="1"/>
  <c r="G2246" i="1" s="1"/>
  <c r="G2247" i="1" a="1"/>
  <c r="G2247" i="1" s="1"/>
  <c r="G2248" i="1" a="1"/>
  <c r="G2248" i="1" s="1"/>
  <c r="G2249" i="1" a="1"/>
  <c r="G2249" i="1" s="1"/>
  <c r="G2250" i="1" a="1"/>
  <c r="G2250" i="1" s="1"/>
  <c r="G2251" i="1" a="1"/>
  <c r="G2251" i="1" s="1"/>
  <c r="G2252" i="1" a="1"/>
  <c r="G2252" i="1" s="1"/>
  <c r="G2253" i="1" a="1"/>
  <c r="G2253" i="1" s="1"/>
  <c r="G2254" i="1" a="1"/>
  <c r="G2254" i="1" s="1"/>
  <c r="G2255" i="1" a="1"/>
  <c r="G2255" i="1" s="1"/>
  <c r="G2256" i="1" a="1"/>
  <c r="G2256" i="1" s="1"/>
  <c r="G2257" i="1" a="1"/>
  <c r="G2257" i="1" s="1"/>
  <c r="G2258" i="1" a="1"/>
  <c r="G2258" i="1" s="1"/>
  <c r="G2259" i="1" a="1"/>
  <c r="G2259" i="1" s="1"/>
  <c r="G2260" i="1" a="1"/>
  <c r="G2260" i="1" s="1"/>
  <c r="G2261" i="1" a="1"/>
  <c r="G2261" i="1" s="1"/>
  <c r="G2262" i="1" a="1"/>
  <c r="G2262" i="1" s="1"/>
  <c r="G2263" i="1" a="1"/>
  <c r="G2263" i="1" s="1"/>
  <c r="G2264" i="1" a="1"/>
  <c r="G2264" i="1" s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 s="1"/>
  <c r="G2270" i="1" a="1"/>
  <c r="G2270" i="1" s="1"/>
  <c r="G2271" i="1" a="1"/>
  <c r="G2271" i="1" s="1"/>
  <c r="G2272" i="1" a="1"/>
  <c r="G2272" i="1" s="1"/>
  <c r="G2273" i="1" a="1"/>
  <c r="G2273" i="1" s="1"/>
  <c r="G2274" i="1" a="1"/>
  <c r="G2274" i="1" s="1"/>
  <c r="G2275" i="1" a="1"/>
  <c r="G2275" i="1" s="1"/>
  <c r="G2276" i="1" a="1"/>
  <c r="G2276" i="1" s="1"/>
  <c r="G2277" i="1" a="1"/>
  <c r="G2277" i="1" s="1"/>
  <c r="G2278" i="1" a="1"/>
  <c r="G2278" i="1" s="1"/>
  <c r="G2279" i="1" a="1"/>
  <c r="G2279" i="1" s="1"/>
  <c r="G2280" i="1" a="1"/>
  <c r="G2280" i="1" s="1"/>
  <c r="G2281" i="1" a="1"/>
  <c r="G2281" i="1" s="1"/>
  <c r="G2282" i="1" a="1"/>
  <c r="G2282" i="1" s="1"/>
  <c r="G2283" i="1" a="1"/>
  <c r="G2283" i="1" s="1"/>
  <c r="G2284" i="1" a="1"/>
  <c r="G2284" i="1" s="1"/>
  <c r="G2285" i="1" a="1"/>
  <c r="G2285" i="1" s="1"/>
  <c r="G2286" i="1" a="1"/>
  <c r="G2286" i="1" s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 s="1"/>
  <c r="G2292" i="1" a="1"/>
  <c r="G2292" i="1" s="1"/>
  <c r="G2293" i="1" a="1"/>
  <c r="G2293" i="1" s="1"/>
  <c r="G2294" i="1" a="1"/>
  <c r="G2294" i="1" s="1"/>
  <c r="G2295" i="1" a="1"/>
  <c r="G2295" i="1" s="1"/>
  <c r="G2296" i="1" a="1"/>
  <c r="G2296" i="1" s="1"/>
  <c r="G2297" i="1" a="1"/>
  <c r="G2297" i="1" s="1"/>
  <c r="G2298" i="1" a="1"/>
  <c r="G2298" i="1" s="1"/>
  <c r="G2299" i="1" a="1"/>
  <c r="G2299" i="1" s="1"/>
  <c r="G2300" i="1" a="1"/>
  <c r="G2300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<sst xmlns="http://schemas.openxmlformats.org/spreadsheetml/2006/main" count="7805" uniqueCount="2637">
  <si>
    <t>Details</t>
  </si>
  <si>
    <t>Posting Date</t>
  </si>
  <si>
    <t>Description</t>
  </si>
  <si>
    <t>Amount</t>
  </si>
  <si>
    <t>Type</t>
  </si>
  <si>
    <t>Balance</t>
  </si>
  <si>
    <t>DEBIT</t>
  </si>
  <si>
    <t>FOREIGN EXCHANGE RATE ADJUSTMENT FEE         12/30CITY OF V</t>
  </si>
  <si>
    <t>FEE_TRANSACTION</t>
  </si>
  <si>
    <t>BLUE SHIELD CALIFORNI 800-393-6130 CA        12/31</t>
  </si>
  <si>
    <t>DEBIT_CARD</t>
  </si>
  <si>
    <t>CITY OF VANCOUVER PARKI VANCOUVER BC         12/30 CA DOLLAR  9.00 X 0.7322222 (EXCHG RTE)</t>
  </si>
  <si>
    <t>FOREIGN EXCHANGE RATE ADJUSTMENT FEE         12/29BCF - ONL</t>
  </si>
  <si>
    <t>FOREIGN EXCHANGE RATE ADJUSTMENT FEE         12/29TSESHAHT</t>
  </si>
  <si>
    <t>PENTESTER.COM PENTESTER.COM FL               12/30</t>
  </si>
  <si>
    <t>BCF - ONLINE SALES &amp; BO VICTORIA BC          12/29 CA DOLLAR  20.00 X 0.7325000 (EXCHG RTE)</t>
  </si>
  <si>
    <t>TSESHAHT MARKET LP PORT ALBERNI BC           12/29 CA DOLLAR  83.88 X 0.7331903 (EXCHG RTE)</t>
  </si>
  <si>
    <t>FOREIGN EXCHANGE RATE ADJUSTMENT FEE         12/26BEACHES G</t>
  </si>
  <si>
    <t>FOREIGN EXCHANGE RATE ADJUSTMENT FEE         12/28TOFINO PH</t>
  </si>
  <si>
    <t>FOREIGN EXCHANGE RATE ADJUSTMENT FEE         12/28PHARMASAV</t>
  </si>
  <si>
    <t>FOREIGN EXCHANGE RATE ADJUSTMENT FEE 161371  12/28TOFINO PH</t>
  </si>
  <si>
    <t>NON-CHASE ATM FEE-WITH</t>
  </si>
  <si>
    <t>CHANGE.ORG CHANGE.ORG CA                     12/29</t>
  </si>
  <si>
    <t>UNITED      01643573314 UNITED.COM TX        12/28</t>
  </si>
  <si>
    <t>PHARMASAVE HEALTH CENTR TOFINO BC            12/28 CA DOLLAR  94.60 X 0.7330867 (EXCHG RTE)</t>
  </si>
  <si>
    <t>NON-CHASE ATM WITHDRAW               161371  12/28TOFINO PH CA DOLLAR  200.00 X 0.7331527 (EXCHG RTE)</t>
  </si>
  <si>
    <t>ATM</t>
  </si>
  <si>
    <t>TOFINO PHARMACY TOFINO BC                    12/28 CA DOLLAR  55.61 X 0.7331415 (EXCHG RTE)</t>
  </si>
  <si>
    <t>APPLE.COM/BILL 866-712-7753 CA               12/28</t>
  </si>
  <si>
    <t>CVSExtraCare 80074672 800-746-7287 RI        12/28</t>
  </si>
  <si>
    <t>ETSY ETSY.COM*MYBESTST BROOKLYN NY   026418  12/28</t>
  </si>
  <si>
    <t>AMAZON MKTPL*G97NU7U Amzn.com/bill WA        12/29</t>
  </si>
  <si>
    <t>Online Payment 27487618584 To SOUTHERN CALIFORNIA GAS CO 12/29</t>
  </si>
  <si>
    <t>BILLPAY</t>
  </si>
  <si>
    <t>Online Payment 27487587941 To SAFECO INSURANCE COMPANY 12/29</t>
  </si>
  <si>
    <t>Online Payment 27487600332 To FRONTIER TELEPHONE 12/29</t>
  </si>
  <si>
    <t>Online Payment 27487584978 To AMERICAN EDUCATION SERVICES 12/29</t>
  </si>
  <si>
    <t>Online Payment 27487593905 To MERCEDES-BENZ FINANCIAL SERVICES 12/29</t>
  </si>
  <si>
    <t>Zelle payment to shaffa JPM99c009caw</t>
  </si>
  <si>
    <t>CHASE_TO_PARTNERFI</t>
  </si>
  <si>
    <t>SPACEWEATHERNEWS.COM SPACEWEATHERN CO        12/26</t>
  </si>
  <si>
    <t>Prime Video Channels amzn.com/bill WA        12/26</t>
  </si>
  <si>
    <t>BEACHES GROCERY TOFINO BC                    12/26 CA DOLLAR  25.25 X 0.7318812 (EXCHG RTE)</t>
  </si>
  <si>
    <t>Zara.com New York NY                         12/28</t>
  </si>
  <si>
    <t>CREDIT</t>
  </si>
  <si>
    <t>Zelle payment from ROSE LI 27489760917</t>
  </si>
  <si>
    <t>QUICKPAY_CREDIT</t>
  </si>
  <si>
    <t>MANGO.COM NEW YORK NY                079194  12/25</t>
  </si>
  <si>
    <t>MANGO.COM NEW YORK NY                149515  12/25</t>
  </si>
  <si>
    <t>LUKE UNFILTERED WEARECHANGE.O FL             12/25</t>
  </si>
  <si>
    <t>AMAZON PRIME*953A22S Amzn.com/bill WA        12/24</t>
  </si>
  <si>
    <t>ATT*BILL PAYMENT 800-288-2020 TX             12/24</t>
  </si>
  <si>
    <t>FOREIGN EXCHANGE RATE ADJUSTMENT FEE         12/22BCF - ONL</t>
  </si>
  <si>
    <t>BCF - ONLINE SALES &amp; BO VICTORIA BC          12/22 CA DOLLAR  20.00 X 0.7280000 (EXCHG RTE)</t>
  </si>
  <si>
    <t>UNITED      01623542161 UNITED.COM TX        12/23</t>
  </si>
  <si>
    <t>FOREIGN EXCHANGE RATE ADJUSTMENT FEE         12/22PHARMASAV</t>
  </si>
  <si>
    <t>APPLE COM BILL CUPERTINO CA          286935  12/23</t>
  </si>
  <si>
    <t>mango.com USA 866-6664664 NY                 12/23</t>
  </si>
  <si>
    <t>PHARMASAVE HEALTH CENTR TOFINO BC            12/22 CA DOLLAR  84.37 X 0.7271542 (EXCHG RTE)</t>
  </si>
  <si>
    <t>UNITED      016235854 800-864-8331 TX        12/22</t>
  </si>
  <si>
    <t>UNITED      01643511562 UNITED.COM TX        12/22</t>
  </si>
  <si>
    <t>EXPEDIA 73319226325815 EXPEDIA.COM WA        12/22</t>
  </si>
  <si>
    <t>FOREIGN EXCHANGE RATE ADJUSTMENT FEE         12/19TOFINO PH</t>
  </si>
  <si>
    <t>FOREIGN EXCHANGE RATE ADJUSTMENT FEE         12/19TOFINO CO</t>
  </si>
  <si>
    <t>UBER   *TRIP HELP.UB SAN FRANCISCO CA133877  12/22</t>
  </si>
  <si>
    <t>CARBON HEALTH CARBONHEALTH. CA               12/22</t>
  </si>
  <si>
    <t>NEXTLINK BROADBAND 855-6985465 TX            12/20</t>
  </si>
  <si>
    <t>SCRIBD* R680020687 SCRIBD.COM CA             12/20</t>
  </si>
  <si>
    <t>mango.com USA 866-6664664 NY                 12/20</t>
  </si>
  <si>
    <t>TOFINO PHARMACY TOFINO BC                    12/19 CA DOLLAR  59.34 X 0.7271655 (EXCHG RTE)</t>
  </si>
  <si>
    <t>TOFINO CONSUMERS CO-OP TOFINO BC             12/19 CA DOLLAR  691.99 X 0.7271059 (EXCHG RTE)</t>
  </si>
  <si>
    <t>TOFINO PHARMACY TOFINO BC                    12/19 CA DOLLAR  547.06 X 0.7271049 (EXCHG RTE)</t>
  </si>
  <si>
    <t>Online Transfer from CHK ...1168 transaction#: 27426095666</t>
  </si>
  <si>
    <t>ACCT_XFER</t>
  </si>
  <si>
    <t>FOREIGN EXCHANGE RATE ADJUSTMENT FEE         12/18BCF - COA</t>
  </si>
  <si>
    <t>BCF - COASTAL RENAISSAN VICTORIA BC          12/18 CA DOLLAR  86.99 X 0.7270951 (EXCHG RTE)</t>
  </si>
  <si>
    <t>THE EPOCH TIMES 833-699-1888 NY              12/18</t>
  </si>
  <si>
    <t>UNITED      01643545314 HOUSTON TX           12/18</t>
  </si>
  <si>
    <t>UNITED      01643545278 HOUSTON TX           12/18</t>
  </si>
  <si>
    <t>Online Transfer from CHK ...1168 transaction#: 27395193487</t>
  </si>
  <si>
    <t>FOREIGN EXCHANGE RATE ADJUSTMENT FEE 746107  12/18TSAWWASSE</t>
  </si>
  <si>
    <t>NON-CHASE ATM WITHDRAW               746107  12/18TSAWWASSE CA DOLLAR  200.00 X 0.7273730 (EXCHG RTE)</t>
  </si>
  <si>
    <t>UBER   * PENDING SAN FRANCISCO CA    018517  12/18</t>
  </si>
  <si>
    <t>UBER   * EATS PENDIN SAN FRANCISCO CA134152  12/18</t>
  </si>
  <si>
    <t>LEELA QUANTUM TECH LEELAQ.COM NM             12/17</t>
  </si>
  <si>
    <t>RADIOLOGY PARTNERS HOU 888-2556812 TX        12/17</t>
  </si>
  <si>
    <t>UNITED      01643543320 UNITED.COM TX        12/17</t>
  </si>
  <si>
    <t>TST*BLUEYS KITCHEN MAR Los Angeles CA        12/16</t>
  </si>
  <si>
    <t>CARBON HEALTH 141-52002133 CA                12/16</t>
  </si>
  <si>
    <t>PEETS 13403 MARINA DEL RE CA                 12/16</t>
  </si>
  <si>
    <t>Amazon.com*351VN9UK3 Amzn.com/bill WA        12/16</t>
  </si>
  <si>
    <t>Amazon.com*5Z4WP2PJ3 Amzn.com/bill WA        12/16</t>
  </si>
  <si>
    <t>WITHDRAWAL 12/16</t>
  </si>
  <si>
    <t>MISC_DEBIT</t>
  </si>
  <si>
    <t>CVS/PHARMACY #09493 MAR VISTA CA     065004  12/16</t>
  </si>
  <si>
    <t>CVS/PHARMACY #09493 MAR VISTA CA     051318  12/16</t>
  </si>
  <si>
    <t>AMAZON MKTPL*UB7860X Amzn.com/bill WA        12/16</t>
  </si>
  <si>
    <t>AMAZON MKTPL*N51JM2E Amzn.com/bill WA        12/16</t>
  </si>
  <si>
    <t>AMAZON MKTPL*Z50RX3V Amzn.com/bill WA        12/16</t>
  </si>
  <si>
    <t>Prime Video Channels amzn.com/bill WA        12/14</t>
  </si>
  <si>
    <t>Amazon Tips*JD33U72V Amzn.com/bill WA        12/14</t>
  </si>
  <si>
    <t>AMAZON PRIME*2918H9X Amzn.com/bill WA        12/14</t>
  </si>
  <si>
    <t>APPLE.COM/BILL 866-712-7753 CA               12/14</t>
  </si>
  <si>
    <t>DBZ MARKETPLACE US INC NEW CASTLE DE 028219  12/14</t>
  </si>
  <si>
    <t>AMAZON MKTPL*PR11S9U Amzn.com/bill WA        12/14</t>
  </si>
  <si>
    <t>UBER   * EATS PENDIN SAN FRANCISCO CA138069  12/13</t>
  </si>
  <si>
    <t>UBER   * EATS PENDIN SAN FRANCISCO CA026332  12/13</t>
  </si>
  <si>
    <t>AMAZON MKTPL*KX1JI1Y Amzn.com/bill WA        12/14</t>
  </si>
  <si>
    <t>Amazon.com*PX5E60S43 Amzn.com/bill WA        12/13</t>
  </si>
  <si>
    <t>AMERICAN AIR00183186836 FORT WORTH TX        12/13</t>
  </si>
  <si>
    <t>AMERICAN AIR00173237226 FORT WORTH TX        12/12</t>
  </si>
  <si>
    <t>BANDCAMPYOUNGANDCOLDRE BANDCAMPCOM CA        12/14</t>
  </si>
  <si>
    <t>AMAZON MKTPL*073KD3H Amzn.com/bill WA        12/13</t>
  </si>
  <si>
    <t>AMAZON MKTPL*G65WY60 Amzn.com/bill WA        12/13</t>
  </si>
  <si>
    <t>LADOT METER PARKING LOS ANGELES CA           12/12</t>
  </si>
  <si>
    <t>SQ *THE ANTI AGING CENT Torrance CA          12/12</t>
  </si>
  <si>
    <t>AMAZON MKTPL*Y65BE7T Amzn.com/bill WA        12/12</t>
  </si>
  <si>
    <t>Amazon.com*SF9M83YD3 Amzn.com/bill WA        12/12</t>
  </si>
  <si>
    <t>Zara.com 212-3551415 NY                      12/12</t>
  </si>
  <si>
    <t>UBER   * EATS PENDIN SAN FRANCISCO CA086880  12/12</t>
  </si>
  <si>
    <t>LADOT PARKING CITATION LOS ANGELES CA352038  12/12</t>
  </si>
  <si>
    <t>CVS/PHARMACY #09 09493 MAR VISTA CA  869933  12/12</t>
  </si>
  <si>
    <t>WITHDRAWAL 12/12</t>
  </si>
  <si>
    <t>PARKING METERS - IPS CULVER CITY CA          12/11</t>
  </si>
  <si>
    <t>CASABLANCA RESTAURANT VENICE CA              12/10</t>
  </si>
  <si>
    <t>Online Transfer from CHK ...1168 transaction#: 27302571456</t>
  </si>
  <si>
    <t>DSLIP</t>
  </si>
  <si>
    <t>DEPOSIT  ID NUMBER 142311</t>
  </si>
  <si>
    <t>DEPOSIT</t>
  </si>
  <si>
    <t>UBER   * EATS PENDIN SAN FRANCISCO CA083920  12/11</t>
  </si>
  <si>
    <t>UBER   * EATS PENDIN SAN FRANCISCO CA017695  12/11</t>
  </si>
  <si>
    <t>RAINBOW ACRES LOS ANGELES CA         816608  12/11</t>
  </si>
  <si>
    <t>68160 4962 SPEEDWAY MARINA DEL RE CA 331797  12/11</t>
  </si>
  <si>
    <t>PAVILIONS #2105 MARINA DEL RE CA     814772  12/11</t>
  </si>
  <si>
    <t>AMAZON MKTPL*957NS1S Amzn.com/bill WA        12/11</t>
  </si>
  <si>
    <t>AMAZON MKTPL*C19PX5I Amzn.com/bill WA        12/11</t>
  </si>
  <si>
    <t>AMAZON MKTPL*2R8R88R Amzn.com/bill WA        12/10</t>
  </si>
  <si>
    <t>AMAZON MKTPL*ES2PS0W Amzn.com/bill WA        12/10</t>
  </si>
  <si>
    <t>UBER * EATS PENDING SAN FRANCISCO CA 177413  12/10</t>
  </si>
  <si>
    <t>APPLE.COM/BILL 866-712-7753 CA               12/10</t>
  </si>
  <si>
    <t>Amazon.com*6E1Q18T43 Amzn.com/bill WA        12/10</t>
  </si>
  <si>
    <t>AMAZON MKTPL*0X6NS6E Amzn.com/bill WA        12/10</t>
  </si>
  <si>
    <t>GELSON'S MARKET #29 SANTA MONICA CA          12/08</t>
  </si>
  <si>
    <t>Zara.com 212-3551415 NY                      12/10</t>
  </si>
  <si>
    <t>Zara.com/USA 855-6359272 NY                  12/09</t>
  </si>
  <si>
    <t>AMAZON MKTPL*SG36R39 Amzn.com/bill WA        12/09</t>
  </si>
  <si>
    <t>AMAZON MKTPL*A43I74P Amzn.com/bill WA        12/09</t>
  </si>
  <si>
    <t>Amazon.com*FB7T26D23 Amzn.com/bill WA        12/09</t>
  </si>
  <si>
    <t>COMPLETE EYE CARE CENT LOS ANGELES CA        12/08</t>
  </si>
  <si>
    <t>SQ *BERRY FLASH PHOTO Los Angeles CA         12/08</t>
  </si>
  <si>
    <t>Zara.com 212-3551415 NY                      12/09</t>
  </si>
  <si>
    <t>FOREIGN EXCHANGE RATE ADJUSTMENT FEE         12/05BCF - ONL</t>
  </si>
  <si>
    <t>APPLE COM BILL CUPERTINO CA          385488  12/08</t>
  </si>
  <si>
    <t>TRADER JOE S #00 3212 SANTA MONICA CA501008  12/08</t>
  </si>
  <si>
    <t>SP RX COMPOUND SHOP.RXCOMPOU TX              12/08</t>
  </si>
  <si>
    <t>UBER * EATS PENDING SAN FRANCISCO CA 110203  12/07</t>
  </si>
  <si>
    <t>Online Transfer to CHK ...6975 transaction#: 27244113748 12/08</t>
  </si>
  <si>
    <t>Prime Video Channels amzn.com/bill WA        12/07</t>
  </si>
  <si>
    <t>FANDANGO    * FANDANGO.COM CA                12/07</t>
  </si>
  <si>
    <t>UBER   * EATS PENDIN SAN FRANCISCO CA145015  12/07</t>
  </si>
  <si>
    <t>ATM WITHDRAWAL                       000323  12/0612335 VEN</t>
  </si>
  <si>
    <t>ATM WITHDRAWAL                       000321  12/0612335 VEN</t>
  </si>
  <si>
    <t>Amazon Tips*IX641199 Amzn.com/bill WA        12/06</t>
  </si>
  <si>
    <t>AMAZON MKTPL*BI6NH2K Amzn.com/bill WA        12/06</t>
  </si>
  <si>
    <t>AMAZON MKTPL*BI1KV8D Amzn.com/bill WA        12/06</t>
  </si>
  <si>
    <t>GOOGLE *YouTubePremi g.co/helppay# CA        12/06</t>
  </si>
  <si>
    <t>BCF - ONLINE SALES &amp; BO VICTORIA BC          12/05 CA DOLLAR  20.00 X 0.7240000 (EXCHG RTE)</t>
  </si>
  <si>
    <t>FANDANGO    * FANDANGO.COM CA                12/06</t>
  </si>
  <si>
    <t>SP AURO WELLNESS AUROWELLNESS. CA            12/06</t>
  </si>
  <si>
    <t>PSYCHOLOGY TODAY PSYCHOLOGYTOD SD            12/06</t>
  </si>
  <si>
    <t>ELEVENLABS.IO ELEVENLABS.IO NY               12/06</t>
  </si>
  <si>
    <t>AMAZON MKTPL*BI0MV0R Amzn.com/bill WA        12/05</t>
  </si>
  <si>
    <t>Amazon.com*BI6W79ML1 Amzn.com/bill WA        12/05</t>
  </si>
  <si>
    <t>AT&amp;T DEVICE/EQUIP SHIP 8003310500 TX         12/05</t>
  </si>
  <si>
    <t>Online Transfer from CHK ...1168 transaction#: 27228456762</t>
  </si>
  <si>
    <t>Online Transfer from CHK ...1168 transaction#: 27244081613</t>
  </si>
  <si>
    <t>AMAZON MKTPL*BI7JL33 Amzn.com/bill WA        12/05</t>
  </si>
  <si>
    <t>AMAZON MKTPL*BI9J579 Amzn.com/bill WA        12/05</t>
  </si>
  <si>
    <t>AMAZON MKTPL*BI1CJ3J Amzn.com/bill WA        12/05</t>
  </si>
  <si>
    <t>UBER   * EATS PENDIN SAN FRANCISCO CA076605  12/04</t>
  </si>
  <si>
    <t>EXPEDIA 73319226325815 EXPEDIA.COM WA        12/05</t>
  </si>
  <si>
    <t>UNITED      01643511562 UNITED.COM TX        12/04</t>
  </si>
  <si>
    <t>UNITED      016235421 800-864-8331 TX        12/04</t>
  </si>
  <si>
    <t>UBER   *TRIP HELP.UB SAN FRANCISCO CA133173  12/04</t>
  </si>
  <si>
    <t>UBER   * EATS PENDIN SAN FRANCISCO CA074321  12/04</t>
  </si>
  <si>
    <t>AT&amp;T 3Z71 190620 VENICE CA           790081  12/04</t>
  </si>
  <si>
    <t>UBER   * EATS PENDIN SAN FRANCISCO CA018618  12/03</t>
  </si>
  <si>
    <t>Amazon.com*BI5NO2H22 Amzn.com/bill WA        12/04</t>
  </si>
  <si>
    <t>APPLE.COM/BILL 866-712-7753 CA               12/03</t>
  </si>
  <si>
    <t>AMAZON MKTPL*BI1DB4F Amzn.com/bill WA        12/03</t>
  </si>
  <si>
    <t>Zara.com 212-3551415 NY                      12/04</t>
  </si>
  <si>
    <t>Online Transfer from CHK ...1168 transaction#: 27206053886</t>
  </si>
  <si>
    <t>UBER * EATS PENDING SAN FRANCISCO CA 833396  12/03</t>
  </si>
  <si>
    <t>MICROSOFT*MICROSOFT 36 REDMOND WA    132085  12/02</t>
  </si>
  <si>
    <t>UBER * EATS PENDING SAN FRANCISCO CA 693006  12/02</t>
  </si>
  <si>
    <t>SQ *BALANCED ROOT APOTH gosq.com CO          12/03</t>
  </si>
  <si>
    <t>GETTY MUSEUM STORE 131-04407059 CA           12/03</t>
  </si>
  <si>
    <t>CTYDCOFFEGETTY LOS ANGELES CA                12/02</t>
  </si>
  <si>
    <t>REPUBLIC SERVICES TRA 866-576-5548 AZ        12/02</t>
  </si>
  <si>
    <t>METRO EXPRESSLANES WE 323-793-8900 CA        12/01</t>
  </si>
  <si>
    <t>Online Transfer from CHK ...1168 transaction#: 27190448427</t>
  </si>
  <si>
    <t>UBER   *EATS HELP.UB SAN FRANCISCO CA029106  12/01</t>
  </si>
  <si>
    <t>mango.com USA 866-6664664 NY                 12/02</t>
  </si>
  <si>
    <t>UBER * EATS PENDING SAN FRANCISCO CA 279809  12/01</t>
  </si>
  <si>
    <t>UBER   * EATS PENDIN SAN FRANCISCO CA138229  12/01</t>
  </si>
  <si>
    <t>SQ *BANNERMEDIUM gosq.com CA                 12/02</t>
  </si>
  <si>
    <t>Amazon.com*BB8AY7PT0 Amzn.com/bill WA        12/01</t>
  </si>
  <si>
    <t>AMAZON MKTPL*BB38O1I Amzn.com/bill WA        12/01</t>
  </si>
  <si>
    <t>AMAZON MKTPL*BB90U41 Amzn.com/bill WA        12/01</t>
  </si>
  <si>
    <t>Online Payment 27169169292 To MERCEDES-BENZ FINANCIAL SERVICES 12/01</t>
  </si>
  <si>
    <t>Online Payment 27169133876 To SAFECO INSURANCE COMPANY 12/01</t>
  </si>
  <si>
    <t>Online Payment 27169125807 To FRONTIER TELEPHONE 12/01</t>
  </si>
  <si>
    <t>Online Payment 27169097066 To AMERICAN EDUCATION SERVICES 12/01</t>
  </si>
  <si>
    <t>Online Payment 27169069773 To SOUTHERN CALIFORNIA GAS CO 12/01</t>
  </si>
  <si>
    <t>UBER * EATS PENDING SAN FRANCISCO CA 925598  11/30</t>
  </si>
  <si>
    <t>THE GETTY PARKING LOS ANGELES CA             11/30</t>
  </si>
  <si>
    <t>GETTY MUSEUM STORE 131-04407059 CA           11/30</t>
  </si>
  <si>
    <t>Amazon Tips*BB843964 Amzn.com/bill WA        11/30</t>
  </si>
  <si>
    <t>GETTYVILLAESP LOS ANGELES CA                 11/30</t>
  </si>
  <si>
    <t>UBER * EATS PENDING SAN FRANCISCO CA 746036  11/30</t>
  </si>
  <si>
    <t>Amazon.com*BB9079XK1 Amzn.com/bill WA        11/30</t>
  </si>
  <si>
    <t>BLUE SHIELD CALIFORNI 800-393-6130 CA        11/30</t>
  </si>
  <si>
    <t>Kindle Svcs*BB8WD5LH0 888-802-3080 WA        11/30</t>
  </si>
  <si>
    <t>Kindle Svcs*BB29U2LW0 888-802-3080 WA        11/30</t>
  </si>
  <si>
    <t>UBER * EATS PENDING SAN FRANCISCO CA 846519  11/30</t>
  </si>
  <si>
    <t>PENTESTER.COM BOCA RATON FL          010949  11/29</t>
  </si>
  <si>
    <t>Amazon.com*BB7N85H42 Amzn.com/bill WA        11/30</t>
  </si>
  <si>
    <t>CVS/PHARMACY #09493 MAR VISTA CA     023621  11/29</t>
  </si>
  <si>
    <t>Amazon.com*BB67V2C90 Amzn.com/bill WA        11/29</t>
  </si>
  <si>
    <t>WP*WORDPRESS MGAAZLT WORDPRESS.COM CA        11/29</t>
  </si>
  <si>
    <t>Amazon Tips*B22X6120 Amzn.com/bill WA        11/28</t>
  </si>
  <si>
    <t>AMAZON MKTPL*BB4II24 Amzn.com/bill WA        11/28</t>
  </si>
  <si>
    <t>AMAZON MKTPL*BB74T8N Amzn.com/bill WA        11/28</t>
  </si>
  <si>
    <t>CVSExtraCare 80074672 800-746-7287 RI        11/28</t>
  </si>
  <si>
    <t>AMAZON MKTPL*B22P467 Amzn.com/bill WA        11/28</t>
  </si>
  <si>
    <t>Online Transfer from CHK ...1168 transaction#: 27139566934</t>
  </si>
  <si>
    <t>UBER * EATS PENDING SAN FRANCISCO CA 380103  11/28</t>
  </si>
  <si>
    <t>APPLE.COM/BILL 866-712-7753 CA               11/28</t>
  </si>
  <si>
    <t>Nasty Gal - DBZ New Castle DE                11/28</t>
  </si>
  <si>
    <t>AMAZON MKTPL*BB2T45O Amzn.com/bill WA        11/28</t>
  </si>
  <si>
    <t>Amazon.com*B23GM7QJ0 Amzn.com/bill WA        11/27</t>
  </si>
  <si>
    <t>AMAZON MKTPL*BB6GN1C Amzn.com/bill WA        11/27</t>
  </si>
  <si>
    <t>PEETS 13403 MARINA DEL RE CA                 11/26</t>
  </si>
  <si>
    <t>SPACEWEATHERNEWS.COM SPACEWEATHERN CO        11/26</t>
  </si>
  <si>
    <t>Prime Video Channels amzn.com/bill WA        11/26</t>
  </si>
  <si>
    <t>AMAZON MKTPL*B27G439 Amzn.com/bill WA        11/26</t>
  </si>
  <si>
    <t>Zara.com 212-3551415 NY                      11/27</t>
  </si>
  <si>
    <t>Zelle payment from JOE SAUNDERS 27126797327</t>
  </si>
  <si>
    <t>TST*BEETHOVEN Los Angeles CA                 11/25</t>
  </si>
  <si>
    <t>AMAZON MKTPL*B22AM02 Amzn.com/bill WA        11/26</t>
  </si>
  <si>
    <t>Zelle payment from ME CAN'T BELIEVE, INC. 27103730324</t>
  </si>
  <si>
    <t>Online Transfer to CHK ...6975 transaction#: 27092757349 11/25</t>
  </si>
  <si>
    <t>UBER   * EATS PENDIN SAN FRANCISCO CA076050  11/25</t>
  </si>
  <si>
    <t>UBER *TRIP SAN FRANCISCO CA          197299  11/25</t>
  </si>
  <si>
    <t>UBER *TRIP SAN FRANCISCO CA          330362  11/25</t>
  </si>
  <si>
    <t>UBER * EATS PENDING SAN FRANCISCO CA 045898  11/24</t>
  </si>
  <si>
    <t>LUKE UNFILTERED WEARECHANGE.O FL             11/25</t>
  </si>
  <si>
    <t>AMAZON PRIME*QJ8OB53 Amzn.com/bill WA        11/25</t>
  </si>
  <si>
    <t>Amazon Tips*B21Y1401 Amzn.com/bill WA        11/24</t>
  </si>
  <si>
    <t>ATT*BILL PAYMENT 800-288-2020 TX             11/24</t>
  </si>
  <si>
    <t>AMAZON MKTPL*B29YV7M Amzn.com/bill WA        11/25</t>
  </si>
  <si>
    <t>AMAZON MKTPL*B29VM5M Amzn.com/bill WA        11/25</t>
  </si>
  <si>
    <t>AMAZON MKTPL*B23KM8X Amzn.com/bill WA        11/25</t>
  </si>
  <si>
    <t>Zara.com 212-3551415 NY                      11/25</t>
  </si>
  <si>
    <t>UBER   * EATS PENDIN SAN FRANCISCO CA078224  11/24</t>
  </si>
  <si>
    <t>UBER * EATS PENDING SAN FRANCISCO CA 342277  11/23</t>
  </si>
  <si>
    <t>PACOS TACOS LOS ANGELES CA                   11/23</t>
  </si>
  <si>
    <t>AMAZON MKTPL*B20O453 Amzn.com/bill WA        11/23</t>
  </si>
  <si>
    <t>UBER * EATS PENDING SAN FRANCISCO CA 442999  11/23</t>
  </si>
  <si>
    <t>NON-CHASE ATM WITHDRAW               785855  11/23US BANK 3</t>
  </si>
  <si>
    <t>APPLE.COM/BILL 866-712-7753 CA               11/23</t>
  </si>
  <si>
    <t>AMAZON MKTPL*B23MP1Z Amzn.com/bill WA        11/23</t>
  </si>
  <si>
    <t>Amazon.com*B21QB14Y2 Amzn.com/bill WA        11/23</t>
  </si>
  <si>
    <t>LUGG HOLD #HJZORQ LUGG.COM CA                11/23</t>
  </si>
  <si>
    <t>THE HOME DEPOT #6611 LOS ANGELES CA  149269  11/22</t>
  </si>
  <si>
    <t>UBER *LOQUIPLAYAV SAN FRANCISCO CA   839487  11/22</t>
  </si>
  <si>
    <t>Zara.com 212-3551415 NY                      11/21</t>
  </si>
  <si>
    <t>Zara.com 212-3551415 NY                      11/22</t>
  </si>
  <si>
    <t>STAPLES 0127 VENICE CA               852344  11/21</t>
  </si>
  <si>
    <t>UBER * EATS PENDING SAN FRANCISCO CA 213417  11/20</t>
  </si>
  <si>
    <t>Amazon.com*B08IN5201 Amzn.com/bill WA        11/21</t>
  </si>
  <si>
    <t>AMAZON MKTPL*B00AT95 Amzn.com/bill WA        11/21</t>
  </si>
  <si>
    <t>Amazon.com*B03S00Q41 Amzn.com/bill WA        11/20</t>
  </si>
  <si>
    <t>NEXTLINK BROADBAND 855-6985465 TX            11/20</t>
  </si>
  <si>
    <t>Amazon.com*B05K86BB1 Amzn.com/bill WA        11/20</t>
  </si>
  <si>
    <t>ANTHROPOLOGIE.COM ANTHROPOLOGIE PA           11/20</t>
  </si>
  <si>
    <t>AMAZON MKTPL*B090P0V Amzn.com/bill WA        11/20</t>
  </si>
  <si>
    <t>Online Transfer from CHK ...1168 transaction#: 27047057340</t>
  </si>
  <si>
    <t>SAM EDELMAN 888-889-9609 MO                  11/20</t>
  </si>
  <si>
    <t>GRANDVIEW CLEANERS LOS ANGELES CA            11/19</t>
  </si>
  <si>
    <t>SQ *BERRY FLASH PHOTO Los Angeles CA         11/19</t>
  </si>
  <si>
    <t>AMAZON MKTPL*B095E6E Amzn.com/bill WA        11/19</t>
  </si>
  <si>
    <t>Amazon.com*B07X73A02 Amzn.com/bill WA        11/19</t>
  </si>
  <si>
    <t>Zara.com 212-3551415 NY                      11/20</t>
  </si>
  <si>
    <t>Online Transfer from CHK ...1168 transaction#: 27030460003</t>
  </si>
  <si>
    <t>Online Transfer from CHK ...1168 transaction#: 27023994927</t>
  </si>
  <si>
    <t>UBER   * EATS PENDIN SAN FRANCISCO CA135190  11/19</t>
  </si>
  <si>
    <t>AMAZON MKTPL*B051V8P Amzn.com/bill WA        11/19</t>
  </si>
  <si>
    <t>UBER   * EATS PENDIN SAN FRANCISCO CA022972  11/18</t>
  </si>
  <si>
    <t>AMAZON MKTPL*B07QR2T Amzn.com/bill WA        11/18</t>
  </si>
  <si>
    <t>UNITED      01643468504 UNITED.COM TX        11/18</t>
  </si>
  <si>
    <t>AMERICAN AIR00173222315 FORT WORTH TX        11/17</t>
  </si>
  <si>
    <t>UNITED      016234965 800-864-8331 TX        11/17</t>
  </si>
  <si>
    <t>Zara.com/USA 855-6359272 NY                  11/18</t>
  </si>
  <si>
    <t>eBay O*22-13645-53506 San Jose CA            11/18</t>
  </si>
  <si>
    <t>EXPEDIA 73304262893051 EXPEDIA.COM WA        11/18</t>
  </si>
  <si>
    <t>AMAZON MKTPL*B033E9F Amzn.com/bill WA        11/18</t>
  </si>
  <si>
    <t>ZARA USA INC. ESTADOS UNIDO NY       086291  11/14</t>
  </si>
  <si>
    <t>LAZ PARKING L17804-FLAS 3104467925 CA        11/17</t>
  </si>
  <si>
    <t>AMAZON MKTPL*B02UW03 Amzn.com/bill WA        11/18</t>
  </si>
  <si>
    <t>LEELA QUANTUM TECH LEELAQ.COM NM             11/17</t>
  </si>
  <si>
    <t>Amazon Tips*B86O279T Amzn.com/bill WA        11/17</t>
  </si>
  <si>
    <t>AMAZON MKTPL*B87NL5W Amzn.com/bill WA        11/18</t>
  </si>
  <si>
    <t>THE C. G. JUNG INSTIT 310-556-1193 CA        11/18</t>
  </si>
  <si>
    <t>2418 AMC AMC MARINA MARINA DEL RE CA         11/16</t>
  </si>
  <si>
    <t>Online Payment 26997573809 To SOUTHERN CALIFORNIA GAS CO 11/17</t>
  </si>
  <si>
    <t>DARIUSJWRIGHT HOLLAND PARK                   11/17</t>
  </si>
  <si>
    <t>CPH LIABILITY INSURAN 800-875-1911 IL        11/17</t>
  </si>
  <si>
    <t>RAINBOW ACRES LOS ANGELES CA         097142  11/16</t>
  </si>
  <si>
    <t>SP HEALTHRANGERSTORE HEALTHRANGERS TX        11/16</t>
  </si>
  <si>
    <t>UBER   * EATS PENDIN SAN FRANCISCO CA077256  11/15</t>
  </si>
  <si>
    <t>DICE.FM DICE.FM NY                           11/16</t>
  </si>
  <si>
    <t>Amazon.com*B83GQ1IC1 Amzn.com/bill WA        11/16</t>
  </si>
  <si>
    <t>AMAZON MKTPL*B826N12 Amzn.com/bill WA        11/15</t>
  </si>
  <si>
    <t>SP BODYBIO INC. BODYBIO.COM NJ               11/15</t>
  </si>
  <si>
    <t>AMAZON MKTPL*B86X076 Amzn.com/bill WA        11/15</t>
  </si>
  <si>
    <t>PAVILIONS #2105 MARINA DEL RE CA             11/14</t>
  </si>
  <si>
    <t>APPLE.COM/BILL 866-712-7753 CA               11/14</t>
  </si>
  <si>
    <t>AMAZON MKTPL*B88L326 Amzn.com/bill WA        11/14</t>
  </si>
  <si>
    <t>Online Transfer from CHK ...1168 transaction#: 26997501218</t>
  </si>
  <si>
    <t>FOREIGN EXCHANGE RATE ADJUSTMENT FEE         11/13BCF - ONL</t>
  </si>
  <si>
    <t>ATM WITHDRAWAL                       008841  11/1412335 VEN</t>
  </si>
  <si>
    <t>AMAZON PRIME*IT4DG2L Amzn.com/bill WA        11/14</t>
  </si>
  <si>
    <t>AMAZON MKTPL*B88H55Z Amzn.com/bill WA        11/14</t>
  </si>
  <si>
    <t>Prime Video Channels amzn.com/bill WA        11/14</t>
  </si>
  <si>
    <t>BCF - ONLINE SALES &amp; BO VICTORIA BC          11/13 CA DOLLAR  167.00 X 0.7151497 (EXCHG RTE)</t>
  </si>
  <si>
    <t>AMC 9640 ONLINE 888-440-4262 KS              11/14</t>
  </si>
  <si>
    <t>VER.SO VER.SO CA                             11/13</t>
  </si>
  <si>
    <t>ATM CHECK DEPOSIT 11/14 12335 VENICE BLVD LOS ANGELES CA</t>
  </si>
  <si>
    <t>ATM_DEPOSIT</t>
  </si>
  <si>
    <t>CVS/PHARMACY #09493 MAR VISTA CA     061848  11/13</t>
  </si>
  <si>
    <t>UBER * EATS PENDING SAN FRANCISCO CA 282131  11/13</t>
  </si>
  <si>
    <t>mango.com USA 866-6664664 NY                 11/13</t>
  </si>
  <si>
    <t>UBER   * EATS PENDIN SAN FRANCISCO CA015258  11/12</t>
  </si>
  <si>
    <t>AMAZON MKTPL*B81SV5E Amzn.com/bill WA        11/12</t>
  </si>
  <si>
    <t>Online Transfer from CHK ...1168 transaction#: 26948042394</t>
  </si>
  <si>
    <t>Etsy.com*ThriceRound ETSY.COM NY             11/12</t>
  </si>
  <si>
    <t>UBER   * EATS PENDIN SAN FRANCISCO CA014448  11/11</t>
  </si>
  <si>
    <t>AMAZON MKTPL*B81JU6C Amzn.com/bill WA        11/11</t>
  </si>
  <si>
    <t>AMAZON MKTPL*B81222O Amzn.com/bill WA        11/11</t>
  </si>
  <si>
    <t>Amazon Tips*BT95G3YQ Amzn.com/bill WA        11/10</t>
  </si>
  <si>
    <t>AMAZON MKTPL*BT8FB4Y Amzn.com/bill WA        11/10</t>
  </si>
  <si>
    <t>Zara.com/USA 855-6359272 NY                  11/10</t>
  </si>
  <si>
    <t>ANTHROPOLOGIE.COM ANTHROPOLOGIE PA           11/11</t>
  </si>
  <si>
    <t>AMAZON MKTPL*BT3OR1X Amzn.com/bill WA        11/10</t>
  </si>
  <si>
    <t>Zara.com 212-3551415 NY                      11/12</t>
  </si>
  <si>
    <t>Etsy.com*Multiple Shop ETSY.COM NY           11/10</t>
  </si>
  <si>
    <t>APPLE.COM/BILL 866-712-7753 CA               11/10</t>
  </si>
  <si>
    <t>Amazon.com*BT5HE22S0 Amzn.com/bill WA        11/09</t>
  </si>
  <si>
    <t>SP BLUEPRINT.BRYANJO BLUEPRINT.BRY CA        11/09</t>
  </si>
  <si>
    <t>APPLE COM BILL CUPERTINO CA          529130  11/08</t>
  </si>
  <si>
    <t>PAVILIONS #2105 MARINA DEL RE CA             11/08</t>
  </si>
  <si>
    <t>HANDY J CAR WASH LOS ANGELES CA              11/08</t>
  </si>
  <si>
    <t>AMAZON MKTPL*BT5FT5J Amzn.com/bill WA        11/09</t>
  </si>
  <si>
    <t>AMAZON MKTPL*BT82E98 Amzn.com/bill WA        11/08</t>
  </si>
  <si>
    <t>mango.com USA 866-6664664 NY                 11/08</t>
  </si>
  <si>
    <t>AMAZON MKTPL*BT9G16H Amzn.com/bill WA        11/08</t>
  </si>
  <si>
    <t>Amazon Tips*BT9YI4OC Amzn.com/bill WA        11/08</t>
  </si>
  <si>
    <t>Prime Video Channels amzn.com/bill WA        11/07</t>
  </si>
  <si>
    <t>Online Transfer from CHK ...1168 transaction#: 26903952731</t>
  </si>
  <si>
    <t>ANTHROPOLOGIE.COM ANTHROPOLOGIE PA           11/07</t>
  </si>
  <si>
    <t>UBER * EATS PENDING SAN FRANCISCO CA 331406  11/06</t>
  </si>
  <si>
    <t>Amazon Tips*BT65L01Z Amzn.com/bill WA        11/07</t>
  </si>
  <si>
    <t>Amazon.com*NK44L69T2 Amzn.com/bill WA        11/06</t>
  </si>
  <si>
    <t>Amazon.com*BT3431AW1 Amzn.com/bill WA        11/06</t>
  </si>
  <si>
    <t>STARBUCKS D27 DFW DALLAS TX                  11/06</t>
  </si>
  <si>
    <t>AMAZON MKTPL*NK9RW8K Amzn.com/bill WA        11/06</t>
  </si>
  <si>
    <t>GOOGLE *YouTubePremi g.co/helppay# CA        11/06</t>
  </si>
  <si>
    <t>Amazon.com*NK22Z02N2 Amzn.com/bill WA        11/06</t>
  </si>
  <si>
    <t>PSYCHOLOGY TODAY PSYCHOLOGYTOD SD            11/06</t>
  </si>
  <si>
    <t>ELEVENLABS.IO ELEVENLABS.IO NY               11/06</t>
  </si>
  <si>
    <t>Amazon.com*BT34I0LT1 Amzn.com/bill WA        11/05</t>
  </si>
  <si>
    <t>AMERICAN AIR00144758265 FORT WORTH TX        11/06</t>
  </si>
  <si>
    <t>TARGET T-1981 WEATHERFORD TX         048610  11/05</t>
  </si>
  <si>
    <t>T J MAXX #1295 WEATHERFORD TX        008400  11/05</t>
  </si>
  <si>
    <t>WITHDRAWAL 11/05</t>
  </si>
  <si>
    <t>TIGER MART #51 WEATHERFORD TX        367500  11/05</t>
  </si>
  <si>
    <t>AMAZON MKTPL*BT5SN0C Amzn.com/bill WA        11/05</t>
  </si>
  <si>
    <t>Zara.com/USA 855-6359272 NY                  11/04</t>
  </si>
  <si>
    <t>Online Transfer from CHK ...1168 transaction#: 26851521144</t>
  </si>
  <si>
    <t>AMERICAN AIR00183183845 FORT WORTH TX        11/03</t>
  </si>
  <si>
    <t>PSVJ   *JPMC FEE 800-420-1663 NC             11/03</t>
  </si>
  <si>
    <t>LA CITY HOUSING ONLIN 844-663-4411 CA        11/03</t>
  </si>
  <si>
    <t>UNITED      01643432182 UNITED.COM TX        11/03</t>
  </si>
  <si>
    <t>UNITED      01623455997 UNITED.COM TX        11/03</t>
  </si>
  <si>
    <t>mango.com USA 866-6664664 NY                 11/03</t>
  </si>
  <si>
    <t>AMAZON MKTPL*NK6A622 Amzn.com/bill WA        11/03</t>
  </si>
  <si>
    <t>AMERICAN AIR00106376482 FORT WORTH TX        11/03</t>
  </si>
  <si>
    <t>Kimbell Art Museum Fort Worth TX             11/02</t>
  </si>
  <si>
    <t>FSP*KIMBELL ART MUSEUM FORT WORTH TX         11/02</t>
  </si>
  <si>
    <t>APPLE.COM/BILL 866-712-7753 CA               11/02</t>
  </si>
  <si>
    <t>ANTHROPOLOGIE.COM ANTHROPOLOGIE PA           11/03</t>
  </si>
  <si>
    <t>ANTHROPOLOGIE  00548 FORT WORTH TX   676200  11/01</t>
  </si>
  <si>
    <t>SQ *BOULEVARD OF GREENS Fort Worth TX        11/01</t>
  </si>
  <si>
    <t>Zelle payment to Denise Quezada JPM99bt4feaa</t>
  </si>
  <si>
    <t>mango.com USA 866-6664664 NY                 11/01</t>
  </si>
  <si>
    <t>FANDANGO    * FANDANGO.COM CA                11/01</t>
  </si>
  <si>
    <t>BLUE SHIELD CALIFORNI 800-393-6130 CA        10/31</t>
  </si>
  <si>
    <t>Zara.com 212-3551415 NY                      11/01</t>
  </si>
  <si>
    <t>Zelle payment from JOE SAUNDERS 26804366181</t>
  </si>
  <si>
    <t>Online Transfer from CHK ...1168 transaction#: 26826976865</t>
  </si>
  <si>
    <t>Online Transfer from CHK ...1168 transaction#: 26805748908</t>
  </si>
  <si>
    <t>NTTA AUTOCHARGE 972-818-6882 TX              10/30</t>
  </si>
  <si>
    <t>AMAZON MKTPL*N41PM6S Amzn.com/bill WA        10/31</t>
  </si>
  <si>
    <t>SQ *REA COMMERCIAL SECU gosq.com CA          10/30</t>
  </si>
  <si>
    <t>Online Transfer from CHK ...1168 transaction#: 26790501746</t>
  </si>
  <si>
    <t>PENTESTER.COM PENTESTER.COM FL               10/30</t>
  </si>
  <si>
    <t>TST*SUNDOWN AT GRANADA Dallas TX             10/29</t>
  </si>
  <si>
    <t>LOTT CLEANERS (MAIN ST WEATHERFORD TX        10/28</t>
  </si>
  <si>
    <t>TIGER MART #51 WEATHERFORD TX        698182  10/29</t>
  </si>
  <si>
    <t>WHOLEFDS FTW #10 3400 FORT WORTH TX          10/29 Purchase $490.41 Cash Back $100.00</t>
  </si>
  <si>
    <t>Amazon.com*N405750D2 Amzn.com/bill WA        10/29</t>
  </si>
  <si>
    <t>APPLE.COM/BILL 866-712-7753 CA               10/29</t>
  </si>
  <si>
    <t>CVSExtraCare 80074672 800-746-7287 RI        10/28</t>
  </si>
  <si>
    <t>TM *LIVE NATION C-T U 800-653-8000 CA        10/29</t>
  </si>
  <si>
    <t>Online Payment 26745728385 To SAFECO INSURANCE COMPANY 10/28</t>
  </si>
  <si>
    <t>Online Payment 26745701138 To FRONTIER TELEPHONE 10/28</t>
  </si>
  <si>
    <t>Online Payment 26745715225 To AMERICAN EDUCATION SERVICES 10/28</t>
  </si>
  <si>
    <t>Online Payment 26745691177 To MERCEDES-BENZ FINANCIAL SERVICES 10/28</t>
  </si>
  <si>
    <t>Amazon Tips*N499673D Amzn.com/bill WA        10/28</t>
  </si>
  <si>
    <t>SP DERMRAYS US KOWLOON                       10/28</t>
  </si>
  <si>
    <t>Amazon.com*N48AI5291 Amzn.com/bill WA        10/28</t>
  </si>
  <si>
    <t>Amazon.com*N49ER69T0 Amzn.com/bill WA        10/28</t>
  </si>
  <si>
    <t>AMAZON MKTPL*N47NU57 Amzn.com/bill WA        10/28</t>
  </si>
  <si>
    <t>AMAZON MKTPL*N45OB08 Amzn.com/bill WA        10/27</t>
  </si>
  <si>
    <t>Online Transfer from CHK ...1168 transaction#: 26745678520</t>
  </si>
  <si>
    <t>Amazon.com*NU6C57YU2 Amzn.com/bill WA        10/27</t>
  </si>
  <si>
    <t>SPACEWEATHERNEWS.COM SPACEWEATHERN CO        10/26</t>
  </si>
  <si>
    <t>Amazon.com*N45Z67BS1 Amzn.com/bill WA        10/27</t>
  </si>
  <si>
    <t>SP RAJANIMD STORE.RAJANIM OR                 10/26</t>
  </si>
  <si>
    <t>Prime Video Channels amzn.com/bill WA        10/26</t>
  </si>
  <si>
    <t>TICKETS*WEST SIDE STO 844-223-5661 DE        10/26</t>
  </si>
  <si>
    <t>ODYSSEY THEATRE ENSEMB 310-4772055 CA        10/26</t>
  </si>
  <si>
    <t>FANDANGO    * FANDANGO.COM CA                10/25</t>
  </si>
  <si>
    <t>UBER   * EATS PENDIN SAN FRANCISCO CA073551  10/24</t>
  </si>
  <si>
    <t>LUKE UNFILTERED WEARECHANGE.O FL             10/25</t>
  </si>
  <si>
    <t>AMAZON PRIME*N46NP3T Amzn.com/bill WA        10/24</t>
  </si>
  <si>
    <t>Amazon Tips*NU44M5VB Amzn.com/bill WA        10/24</t>
  </si>
  <si>
    <t>Amazon Tips*N49WO23G Amzn.com/bill WA        10/24</t>
  </si>
  <si>
    <t>ATT*BILL PAYMENT 800-288-2020 TX             10/24</t>
  </si>
  <si>
    <t>X22REPORT.TV 667-2225972 DE                  10/24</t>
  </si>
  <si>
    <t>SQ *PATRIOT SEPTIC Weatherford TX            10/17</t>
  </si>
  <si>
    <t>SQ *PATRIOT SEPTIC gosq.com TX               10/17</t>
  </si>
  <si>
    <t>Online Transfer from CHK ...1168 transaction#: 26726374041</t>
  </si>
  <si>
    <t>Online Transfer to CHK ...6975 transaction#: 26711714810 10/24</t>
  </si>
  <si>
    <t>FANDANGO    * FANDANGO.COM CA                10/24</t>
  </si>
  <si>
    <t>Amazon.com*N46X56ZP0 Amzn.com/bill WA        10/24</t>
  </si>
  <si>
    <t>Amazon Tips*N46ND7CY Amzn.com/bill WA        10/23</t>
  </si>
  <si>
    <t>APPLE.COM/BILL 866-712-7753 CA               10/24</t>
  </si>
  <si>
    <t>Amazon.com*NU91N5W51 Amzn.com/bill WA        10/23</t>
  </si>
  <si>
    <t>AMERICAN AIR00183183845 FORT WORTH TX        10/22</t>
  </si>
  <si>
    <t>AMAZON MKTPL*N443W9Z Amzn.com/bill WA        10/24</t>
  </si>
  <si>
    <t>AMERICAN AIR00173206646 FORT WORTH TX        10/22</t>
  </si>
  <si>
    <t>Zelle payment from JESSICA PURSE WFCT0ZF383WR</t>
  </si>
  <si>
    <t>PARTNERFI_TO_CHASE</t>
  </si>
  <si>
    <t>Online Transfer from CHK ...1168 transaction#: 26703923651</t>
  </si>
  <si>
    <t>Amazon.com*NU5ZW3U21 Amzn.com/bill WA        10/23</t>
  </si>
  <si>
    <t>ALL FAMILY PHARMACY LLC BOCA RATON FL        10/22</t>
  </si>
  <si>
    <t>Amazon.com*NU5V09U70 Amzn.com/bill WA        10/22</t>
  </si>
  <si>
    <t>LOTT CLEANERS (MAIN ST WEATHERFORD TX        10/21</t>
  </si>
  <si>
    <t>Amazon.com*NU9IC9JL2 Amzn.com/bill WA        10/23</t>
  </si>
  <si>
    <t>ZARA USA INC. ESTADOS UNIDO NY       026512  10/19</t>
  </si>
  <si>
    <t>Amazon.com*NU9SV6DR1 Amzn.com/bill WA        10/22</t>
  </si>
  <si>
    <t>Amazon.com*NU6SO4D11 Amzn.com/bill WA        10/22</t>
  </si>
  <si>
    <t>CLEAR REVOLUTION SKINC 800-6892197 FL        10/21</t>
  </si>
  <si>
    <t>PIC-UP WEATHERFORD TX                128000  10/21</t>
  </si>
  <si>
    <t>NEXTLINK BROADBAND 855-6985465 TX            10/20</t>
  </si>
  <si>
    <t>UBER   *TRIP HELP.UBER.COM CA                10/20</t>
  </si>
  <si>
    <t>AMAZON MKTPL*NU4HR6A Amzn.com/bill WA        10/19</t>
  </si>
  <si>
    <t>WALGREENS STORE 1317 S WEATHERFORD TX843367  10/18</t>
  </si>
  <si>
    <t>AMAZON MKTPL*NU2VE23 Amzn.com/bill WA        10/19</t>
  </si>
  <si>
    <t>AMAZON MKTPL*NU9TF3J Amzn.com/bill WA        10/19</t>
  </si>
  <si>
    <t>Amazon Tips*NU2TB243 Amzn.com/bill WA        10/18</t>
  </si>
  <si>
    <t>UNITED      01623412623 UNITED.COM TX        10/18</t>
  </si>
  <si>
    <t>FANDANGO    * FANDANGO.COM CA                10/18</t>
  </si>
  <si>
    <t>Zara.com New York NY                         10/19</t>
  </si>
  <si>
    <t>THE C. G. JUNG INSTIT 310-556-1193 CA        10/19</t>
  </si>
  <si>
    <t>ALLIANZ EVENT INS ALLIANZINS.US VA           10/18</t>
  </si>
  <si>
    <t>TM *THE CULT 800-653-8000 CA                 10/18</t>
  </si>
  <si>
    <t>ROSAS CAFE &amp; TORTILLA WEATHERFORD TX         10/17</t>
  </si>
  <si>
    <t>LEELA QUANTUM TECH LEELAQ.COM NM             10/17</t>
  </si>
  <si>
    <t>Amazon Tips*NM2P27PJ Amzn.com/bill WA        10/17</t>
  </si>
  <si>
    <t>Amazon Tips*NU1AP6FZ Amzn.com/bill WA        10/17</t>
  </si>
  <si>
    <t>Amazon.com*NM1J00I41 Amzn.com/bill WA        10/17</t>
  </si>
  <si>
    <t>WONDERFEEL 415-3766516 CA                    10/17</t>
  </si>
  <si>
    <t>AMAZON MKTPL*NM3CC2G Amzn.com/bill WA        10/17</t>
  </si>
  <si>
    <t>AMAZON MKTPL*NU2922F Amzn.com/bill WA        10/18</t>
  </si>
  <si>
    <t>Online Transfer from CHK ...1168 transaction#: 26650936452</t>
  </si>
  <si>
    <t>FANDANGO    * FANDANGO.COM CA                10/17</t>
  </si>
  <si>
    <t>AMAZON MKTPL*NM8A21U Amzn.com/bill WA        10/17</t>
  </si>
  <si>
    <t>AMAZON MKTPL*NM5CU00 Amzn.com/bill WA        10/17</t>
  </si>
  <si>
    <t>AMAZON MKTPL*NU6E77C Amzn.com/bill WA        10/17</t>
  </si>
  <si>
    <t>AMAZON MKTPL*NM1N88U Amzn.com/bill WA        10/17</t>
  </si>
  <si>
    <t>FILM ALLEY - WEATHERFO WEATHERFORD TX        10/16</t>
  </si>
  <si>
    <t>FANDANGO    * FANDANGO.COM CA                10/16</t>
  </si>
  <si>
    <t>AMAZON MKTPL*NU9M19C Amzn.com/bill WA        10/17</t>
  </si>
  <si>
    <t>AMAZON MKTPL*NM1L58W Amzn.com/bill WA        10/16</t>
  </si>
  <si>
    <t>Amazon.com*NM69U7241 Amzn.com/bill WA        10/16</t>
  </si>
  <si>
    <t>Zara.com New York NY                         10/17</t>
  </si>
  <si>
    <t>Online Transfer to CHK ...6975 transaction#: 26609835602 10/16</t>
  </si>
  <si>
    <t>UBER   * EATS PENDIN SAN FRANCISCO CA083673  10/15</t>
  </si>
  <si>
    <t>Amazon.com*NM28S9UE0 Amzn.com/bill WA        10/16</t>
  </si>
  <si>
    <t>Amazon.com*NM0HN3U50 Amzn.com/bill WA        10/16</t>
  </si>
  <si>
    <t>DFW iStore Express Dallas TX                 10/16</t>
  </si>
  <si>
    <t>TST* CREWS 1972 - LEMO LOS ANGELES CA        10/16</t>
  </si>
  <si>
    <t>Online Transfer from CHK ...1168 transaction#: 26609843786</t>
  </si>
  <si>
    <t>AMERICAN AIR00183182239 FORT WORTH TX        10/14</t>
  </si>
  <si>
    <t>UBER * EATS PENDING SAN FRANCISCO CA 241937  10/15</t>
  </si>
  <si>
    <t>AMERICAN AIR00106365943 FORT WORTH TX        10/15</t>
  </si>
  <si>
    <t>AMERICAN AIR00144739370 FORT WORTH TX        10/15</t>
  </si>
  <si>
    <t>LADOT PARKING CITATIO 866-561-9742 CA        10/15</t>
  </si>
  <si>
    <t>Prime Video Channels amzn.com/bill WA        10/14</t>
  </si>
  <si>
    <t>AMAZON PRIME*NF8LX1U Amzn.com/bill WA        10/14</t>
  </si>
  <si>
    <t>APPLE.COM/BILL 866-712-7753 CA               10/14</t>
  </si>
  <si>
    <t>CASABLANCA VENICE CA                         10/13</t>
  </si>
  <si>
    <t>Zara.com New York NY                         10/15</t>
  </si>
  <si>
    <t>UBER   * EATS PENDIN SAN FRANCISCO CA086110  10/14</t>
  </si>
  <si>
    <t>ATM WITHDRAWAL                       006322  10/1412335 VEN</t>
  </si>
  <si>
    <t>CVS/PHARMACY #09493 MAR VISTA CA     000345  10/14</t>
  </si>
  <si>
    <t>Etsy.com*Multiple Shop ETSY.COM NY           10/14</t>
  </si>
  <si>
    <t>Etsy.com*GrandmaSassyP ETSY.COM NY           10/14</t>
  </si>
  <si>
    <t>UBER * EATS PENDING SAN FRANCISCO CA 989246  10/13</t>
  </si>
  <si>
    <t>AMAZON MKTPL*NM2ZH2E Amzn.com/bill WA        10/14</t>
  </si>
  <si>
    <t>AMAZON MKTPL*NF4RN77 Amzn.com/bill WA        10/14</t>
  </si>
  <si>
    <t>AMAZON MKTPL*NF7RA27 Amzn.com/bill WA        10/14</t>
  </si>
  <si>
    <t>NOVO COFFEE B DENVER CO                      10/12</t>
  </si>
  <si>
    <t>HOTEL JEROME ASPEN ASPEN CO                  10/12</t>
  </si>
  <si>
    <t>SQ *BALANCED ROOT APOTH Denver CO            10/12</t>
  </si>
  <si>
    <t>UNITED      01643374435 UNITED.COM TX        10/11</t>
  </si>
  <si>
    <t>UBER   * EATS PENDIN SAN FRANCISCO CA136822  10/11</t>
  </si>
  <si>
    <t>TST*SPRING CAFE - ASPEN Aspen CO             10/11</t>
  </si>
  <si>
    <t>SQ *BALANCED ROOT APOTH Denver CO            10/10</t>
  </si>
  <si>
    <t>SQ *THE CORNER BEET Denver CO                10/10</t>
  </si>
  <si>
    <t>POPULUS HOTEL DENVER CO                      10/10</t>
  </si>
  <si>
    <t>Online Transfer from CHK ...1168 transaction#: 26583611322</t>
  </si>
  <si>
    <t>Online Transfer from CHK ...1168 transaction#: 26575731814</t>
  </si>
  <si>
    <t>WALGREENS STORE 15 SUN AVON CO       734195  10/10</t>
  </si>
  <si>
    <t>UBER   * EATS PENDIN SAN FRANCISCO CA083424  10/10</t>
  </si>
  <si>
    <t>DENVER ARTS COMPLEX GA DENVER CO             10/10</t>
  </si>
  <si>
    <t>APPLE.COM/BILL 866-712-7753 CA               10/10</t>
  </si>
  <si>
    <t>SQ *BALANCED ROOT APOTH Denver CO            10/09</t>
  </si>
  <si>
    <t>Amazon Tips*NF9IL9P6 Amzn.com/bill WA        10/09</t>
  </si>
  <si>
    <t>UBER * EATS PENDING SAN FRANCISCO CA 505728  10/09</t>
  </si>
  <si>
    <t>CHECK</t>
  </si>
  <si>
    <t>CHECK 8700  10/09</t>
  </si>
  <si>
    <t>CHECK_PAID</t>
  </si>
  <si>
    <t>Online Transfer to CHK ...6975 transaction#: 26525867156 10/09</t>
  </si>
  <si>
    <t>UBER * EATS PENDING SAN FRANCISCO CA 399394  10/08</t>
  </si>
  <si>
    <t>Amazon.com*NV04M3SZ2 Amzn.com/bill WA        10/08</t>
  </si>
  <si>
    <t>Online Transfer from CHK ...1168 transaction#: 26525916775</t>
  </si>
  <si>
    <t>Online Transfer from CHK ...1168 transaction#: 26525858310</t>
  </si>
  <si>
    <t>APPLE COM BILL CUPERTINO CA          588964  10/08</t>
  </si>
  <si>
    <t>UBER   * EATS PENDIN SAN FRANCISCO CA149495  10/07</t>
  </si>
  <si>
    <t>UNITED      01643363772 UNITED.COM TX        10/07</t>
  </si>
  <si>
    <t>Prime Video Channels amzn.com/bill WA        10/07</t>
  </si>
  <si>
    <t>PAVILIONS #2105 MARINA DEL RE CA             10/07</t>
  </si>
  <si>
    <t>ATM WITHDRAWAL                       005043  10/0712335 VEN</t>
  </si>
  <si>
    <t>RAINBOW ACRES LOS ANGELES CA         210998  10/07</t>
  </si>
  <si>
    <t>AMAZON MKTPL*NV6J63X Amzn.com/bill WA        10/07</t>
  </si>
  <si>
    <t>AMAZON MKTPL*NV4OC59 Amzn.com/bill WA        10/07</t>
  </si>
  <si>
    <t>UBER *EATS SAN FRANCISCO CA          676356  10/06</t>
  </si>
  <si>
    <t>AMAZON MKTPL*NV8R759 Amzn.com/bill WA        10/07</t>
  </si>
  <si>
    <t>AMAZON MKTPL*NV5ZC3S Amzn.com/bill WA        10/06</t>
  </si>
  <si>
    <t>AMAZON MKTPL*NF2N023 Amzn.com/bill WA        10/06</t>
  </si>
  <si>
    <t>Zara.com/USA 855-6359272 NY                  10/06</t>
  </si>
  <si>
    <t>WORLD MARKET ECOMM https://www.f CA          10/06</t>
  </si>
  <si>
    <t>ATM CHECK DEPOSIT 10/07 12335 VENICE BLVD LOS ANGELES CA</t>
  </si>
  <si>
    <t>UBER   * EATS PENDIN SAN FRANCISCO CA149345  10/06</t>
  </si>
  <si>
    <t>ETSY ETSY.COM*MULTIPLE BROOKLYN NY   146508  10/06</t>
  </si>
  <si>
    <t>GOOGLE *YouTubePremi g.co/helppay# CA        10/06</t>
  </si>
  <si>
    <t>AMAZON MKTPL*NV32K36 Amzn.com/bill WA        10/06</t>
  </si>
  <si>
    <t>Amazon.com*NV9LS9AH2 Amzn.com/bill WA        10/06</t>
  </si>
  <si>
    <t>PSYCHOLOGY TODAY PSYCHOLOGYTOD SD            10/06</t>
  </si>
  <si>
    <t>ELEVENLABS.IO ELEVENLABS.IO NY               10/06</t>
  </si>
  <si>
    <t>eBay O*22-13645-53506 San Jose CA            10/05</t>
  </si>
  <si>
    <t>THE HOME DEPOT #6611 LOS ANGELES CA  658482  10/04</t>
  </si>
  <si>
    <t>COFFEE BEAN &amp; TEA SANTA MONICA CA            10/04</t>
  </si>
  <si>
    <t>FANDANGO    * FANDANGO.COM CA                10/05</t>
  </si>
  <si>
    <t>SP JEFFREYCAMPBELL JEFFREYCAMPBE CA          10/04</t>
  </si>
  <si>
    <t>ETSY ETSY.COM*MULTIPLE BROOKLYN NY   085417  10/04</t>
  </si>
  <si>
    <t>Etsy.com*wwwNEOMFGcom ETSY.COM NY            10/04</t>
  </si>
  <si>
    <t>2418 AMC AMC MARINA MARINA DEL RE CA         10/03</t>
  </si>
  <si>
    <t>EXPEDIA 73261956282627 EXPEDIA.COM WA        10/04</t>
  </si>
  <si>
    <t>FANDANGO    * FANDANGO.COM CA                10/03</t>
  </si>
  <si>
    <t>Zara.com New York NY                         10/06</t>
  </si>
  <si>
    <t>APPLE COM BILL CUPERTINO CA          664810  10/03</t>
  </si>
  <si>
    <t>CVS/PHARMACY #09 09493 MAR VISTA CA  060282  10/02</t>
  </si>
  <si>
    <t>ALLAN JEFFRIES FRAMIN SANTA MONICA CA        10/02</t>
  </si>
  <si>
    <t>CITY OF SANTA MONICA SANTA MONICA CA         10/02</t>
  </si>
  <si>
    <t>SQ *COMPUDOC COMPUTER S gosq.com TX          10/02</t>
  </si>
  <si>
    <t>UNITED      01643349800 UNITED.COM TX        10/02</t>
  </si>
  <si>
    <t>Zara.com New York NY                         10/03</t>
  </si>
  <si>
    <t>Online Transfer to CHK ...6975 transaction#: 26444488744 10/02</t>
  </si>
  <si>
    <t>Amazon Grocery Subscr 888-280-4331 WA        10/02</t>
  </si>
  <si>
    <t>SQ *REA COMMERCIAL SECU gosq.com CA          10/01</t>
  </si>
  <si>
    <t>ANTHROPOLOGIE.COM ANTHROPOLOGIE PA           10/01</t>
  </si>
  <si>
    <t>Online Transfer from CHK ...1168 transaction#: 26444487991</t>
  </si>
  <si>
    <t>UBER   *EATS HELP.UBER.COM CA                10/01</t>
  </si>
  <si>
    <t>VER.SO VER.SO CA                             10/01</t>
  </si>
  <si>
    <t>LISA HO GUINAN, D.M. MARINA DEL RE CA310096  09/30</t>
  </si>
  <si>
    <t>BLUE SHIELD CALIFORNI 800-393-6130 CA        09/30</t>
  </si>
  <si>
    <t>PENTESTER.COM PENTESTER.COM FL               09/30</t>
  </si>
  <si>
    <t>VER.SO VER.SO CA                             09/30</t>
  </si>
  <si>
    <t>UBER * EATS PENDING SAN FRANCISCO CA 087305  09/29</t>
  </si>
  <si>
    <t>GRANDVIEW CLEANERS LOS ANGELES CA            09/29</t>
  </si>
  <si>
    <t>Amazon Tips*DT06J8P9 Amzn.com/bill WA        09/28</t>
  </si>
  <si>
    <t>TM *TICKETMASTER 800-653-8000 CA             09/29</t>
  </si>
  <si>
    <t>APPLE.COM/BILL 866-712-7753 CA               09/28</t>
  </si>
  <si>
    <t>CVSExtraCare 80074672 800-746-7287 RI        09/28</t>
  </si>
  <si>
    <t>mango.com USA 866-6664664 NY                 09/28</t>
  </si>
  <si>
    <t>UBER * EATS PENDING SAN FRANCISCO CA 944441  09/27</t>
  </si>
  <si>
    <t>AMAZON MKTPL*RD0RI1F Amzn.com/bill WA        09/28</t>
  </si>
  <si>
    <t>Amazon.com*NJ41359M0 Amzn.com/bill WA        09/27</t>
  </si>
  <si>
    <t>Amazon.com*1M9N03SB3 Amzn.com/bill WA        09/27</t>
  </si>
  <si>
    <t>Zara.com New York NY                         09/29</t>
  </si>
  <si>
    <t>HWB TAPIN2 1 LOS ANGELES CA                  09/26</t>
  </si>
  <si>
    <t>SPACEWEATHERNEWS.COM SPACEWEATHERN CO        09/26</t>
  </si>
  <si>
    <t>Prime Video Channels amzn.com/bill WA        09/26</t>
  </si>
  <si>
    <t>AMERICAN AIR00183182239 FORT WORTH TX        09/26</t>
  </si>
  <si>
    <t>AMERICAN AIR00173190501 FORT WORTH TX        09/26</t>
  </si>
  <si>
    <t>DICE.FM DICE.FM NY                           09/26</t>
  </si>
  <si>
    <t>Offer: Chevron</t>
  </si>
  <si>
    <t>MISC_CREDIT</t>
  </si>
  <si>
    <t>CVS/PHARMACY #09493 MAR VISTA CA     059435  09/26</t>
  </si>
  <si>
    <t>Online Transfer to CHK ...6975 transaction#: 26362275442 09/26</t>
  </si>
  <si>
    <t>Online Payment 26362187638 To MERCEDES-BENZ FINANCIAL SERVICES 09/26</t>
  </si>
  <si>
    <t>Online Payment 26362168719 To SAFECO INSURANCE COMPANY 09/26</t>
  </si>
  <si>
    <t>Online Payment 26362142893 To FRONTIER TELEPHONE 09/26</t>
  </si>
  <si>
    <t>Online Payment 26362141756 To AMERICAN EDUCATION SERVICES 09/26</t>
  </si>
  <si>
    <t>CHEVRON 0306890 SANTA MONICA CA              09/25</t>
  </si>
  <si>
    <t>Colorado Symphony Denver CO                  09/25</t>
  </si>
  <si>
    <t>TM *TICKETMASTER 800-653-8000 CA             09/26</t>
  </si>
  <si>
    <t>Zara.com New York NY                         09/26</t>
  </si>
  <si>
    <t>Online Transfer from CHK ...1168 transaction#: 26362138416</t>
  </si>
  <si>
    <t>Online Transfer from CHK ...1168 transaction#: 26362241272</t>
  </si>
  <si>
    <t>LUKE UNFILTERED WEARECHANGE.O FL             09/25</t>
  </si>
  <si>
    <t>AMAZON PRIME*4I6XZ4F Amzn.com/bill WA        09/24</t>
  </si>
  <si>
    <t>PAVILIONS #2105 MARINA DEL RE CA             09/24</t>
  </si>
  <si>
    <t>Amazon Tips*NJ92S209 Amzn.com/bill WA        09/24</t>
  </si>
  <si>
    <t>ATT*BILL PAYMENT 800-288-2020 TX             09/24</t>
  </si>
  <si>
    <t>MACYS   .COM 800-289-6229 OH                 09/24</t>
  </si>
  <si>
    <t>Zara.com New York NY                         09/25</t>
  </si>
  <si>
    <t>Zelle payment from JOE SAUNDERS 26349230128</t>
  </si>
  <si>
    <t>CHECK 8699  09/24</t>
  </si>
  <si>
    <t>TOCK AT*INN SEVENTH R INNOFTHESEVE IL        09/23</t>
  </si>
  <si>
    <t>APPLE.COM/BILL 866-712-7753 CA               09/23</t>
  </si>
  <si>
    <t>Amazon.com*WO2LH6NV3 Amzn.com/bill WA        09/23</t>
  </si>
  <si>
    <t>Etsy.com*ThriceRound ETSY.COM NY             09/23</t>
  </si>
  <si>
    <t>Etsy.com*Hurstjewelry ETSY.COM NY            09/23</t>
  </si>
  <si>
    <t>Etsy.com*Multiple Shop ETSY.COM NY           09/23</t>
  </si>
  <si>
    <t>Zara.com New York NY                         09/23</t>
  </si>
  <si>
    <t>Online Transfer from CHK ...1168 transaction#: 26330021112</t>
  </si>
  <si>
    <t>FOREIGN EXCHANGE RATE ADJUSTMENT FEE         09/20DONATE TR</t>
  </si>
  <si>
    <t>TM *LIVE NATION C-T U 800-653-8000 CA        09/22</t>
  </si>
  <si>
    <t>SUBSTANCELOSANG TKTS RESTLESSNITES CA        09/22</t>
  </si>
  <si>
    <t>UBER   * EATS PENDIN SAN FRANCISCO CA073697  09/21</t>
  </si>
  <si>
    <t>AMAZON MKTPL*YT43R17 Amzn.com/bill WA        09/22</t>
  </si>
  <si>
    <t>Amazon.com*0T8MS47Z3 Amzn.com/bill WA        09/22</t>
  </si>
  <si>
    <t>UNITED      01643319329 UNITED.COM TX        09/21</t>
  </si>
  <si>
    <t>UNITED      01623336122 UNITED.COM TX        09/20</t>
  </si>
  <si>
    <t>TST*BEETHOVEN Los Angeles CA                 09/20</t>
  </si>
  <si>
    <t>DONATE TR ALMANCIL                           09/20 Pound Sterl100.00 X 1.356400 (EXCHG RTE)</t>
  </si>
  <si>
    <t>NEXTLINK BROADBAND 855-6985465 TX            09/20</t>
  </si>
  <si>
    <t>2418 AMC AMC MARINA MARINA DEL RE CA         09/19</t>
  </si>
  <si>
    <t>EXPEDIA 73247130784041 EXPEDIA.COM WA        09/20</t>
  </si>
  <si>
    <t>SQ *BERRY FLASH PHOTO Los Angeles CA         09/19</t>
  </si>
  <si>
    <t>Amazon Tips*O44LN3M2 Amzn.com/bill WA        09/19</t>
  </si>
  <si>
    <t>Zelle payment from MARY MARGARET TRAHAN 26302212842</t>
  </si>
  <si>
    <t>Online Transfer from CHK ...1168 transaction#: 26302109823</t>
  </si>
  <si>
    <t>Online Transfer from CHK ...1168 transaction#: 26290707850</t>
  </si>
  <si>
    <t>Online Transfer from CHK ...1168 transaction#: 26320064034</t>
  </si>
  <si>
    <t>RAINBOW ACRES LOS ANGELES CA         494382  09/19</t>
  </si>
  <si>
    <t>AMAZON MKTPL*3S6S83K Amzn.com/bill WA        09/19</t>
  </si>
  <si>
    <t>SP PHOTOSFORHEADSTON PHOTOSFORHEAD TX        09/19</t>
  </si>
  <si>
    <t>Online Transfer to CHK ...6975 transaction#: 26275118264 09/19</t>
  </si>
  <si>
    <t>Zelle payment to jeff seider JPM99bnrclh3</t>
  </si>
  <si>
    <t>AMC 9640 ONLINE 888-440-4262 KS              09/19</t>
  </si>
  <si>
    <t>SAM EDELMAN 888-889-9609 MO                  09/18</t>
  </si>
  <si>
    <t>AMAZON MKTPL*HG3J50L Amzn.com/bill WA        09/18</t>
  </si>
  <si>
    <t>Amazon.com*3D4UB8873 Amzn.com/bill WA        09/18</t>
  </si>
  <si>
    <t>UBER   * EATS PENDIN SAN FRANCISCO CA019195  09/18</t>
  </si>
  <si>
    <t>AMAZON MKTPL*2U6VV3H Amzn.com/bill WA        09/18</t>
  </si>
  <si>
    <t>GRANDVIEW CLEANERS LOS ANGELES CA            09/17</t>
  </si>
  <si>
    <t>LEELA QUANTUM TECH LEELAQ.COM NM             09/17</t>
  </si>
  <si>
    <t>TYLER HENRY NETWORK FIRESIDECHAT. CA         09/17</t>
  </si>
  <si>
    <t>Zara.com New York NY                         09/18</t>
  </si>
  <si>
    <t>Online Transfer from CHK ...1168 transaction#: 26264155297</t>
  </si>
  <si>
    <t>CVS/PHARMACY #09493 MAR VISTA CA     058378  09/17</t>
  </si>
  <si>
    <t>ATM WITHDRAWAL                       003172  09/1712335 VEN</t>
  </si>
  <si>
    <t>UBER * EATS PENDING SAN FRANCISCO CA 012796  09/17</t>
  </si>
  <si>
    <t>mango.com USA 866-6664664 NY                 09/17</t>
  </si>
  <si>
    <t>EXPEDIA 73244144608262 EXPEDIA.COM WA        09/17</t>
  </si>
  <si>
    <t>FASTRAK VIOLATION CEN 415-486-8655 CA        09/17</t>
  </si>
  <si>
    <t>AMAZON MKTPL*8A9KA2D Amzn.com/bill WA        09/17</t>
  </si>
  <si>
    <t>SP RAJANIMD STORE.RAJANIM OR                 09/16</t>
  </si>
  <si>
    <t>Zara.com New York NY                         09/17</t>
  </si>
  <si>
    <t>ATM CHECK DEPOSIT 09/17 12335 VENICE BLVD LOS ANGELES CA</t>
  </si>
  <si>
    <t>AMAZON MKTPL*IF3TX0X Amzn.com/bill WA        09/16</t>
  </si>
  <si>
    <t>Colorado Symphony Denver CO                  09/16</t>
  </si>
  <si>
    <t>UNITED      01643305863 UNITED.COM TX        09/15</t>
  </si>
  <si>
    <t>UNITED      01623321899 UNITED.COM TX        09/15</t>
  </si>
  <si>
    <t>Amazon Tips*OM3EU0B6 Amzn.com/bill WA        09/15</t>
  </si>
  <si>
    <t>AMAZON MKTPL*VY9P04T Amzn.com/bill WA        09/15</t>
  </si>
  <si>
    <t>Online Transfer from CHK ...1168 transaction#: 26241892299</t>
  </si>
  <si>
    <t>UBER   * EATS PENDIN SAN FRANCISCO CA149956  09/15</t>
  </si>
  <si>
    <t>Online Transfer to CHK ...6975 transaction#: 26227238438 09/15</t>
  </si>
  <si>
    <t>Prime Video Channels amzn.com/bill WA        09/14</t>
  </si>
  <si>
    <t>AMAZON PRIME*NY8D41S Amzn.com/bill WA        09/14</t>
  </si>
  <si>
    <t>APPLE.COM/BILL 866-712-7753 CA               09/14</t>
  </si>
  <si>
    <t>AMAZON MKTPL*BE3AB3J Amzn.com/bill WA        09/15</t>
  </si>
  <si>
    <t>AMAZON MKTPL*AQ6LE0N Amzn.com/bill WA        09/14</t>
  </si>
  <si>
    <t>Amazon.com*M11DW80B3 Amzn.com/bill WA        09/14</t>
  </si>
  <si>
    <t>AMAZON MKTPL*LQ8I80I Amzn.com/bill WA        09/14</t>
  </si>
  <si>
    <t>LinkedInPreB *79786816 855-6535653 CA        09/14</t>
  </si>
  <si>
    <t>LADOT METER PARKING LOS ANGELES CA           09/13</t>
  </si>
  <si>
    <t>AMAZON MKTPL*P33TT84 Amzn.com/bill WA        09/14</t>
  </si>
  <si>
    <t>AMAZON MKTPL*QU78R1S Amzn.com/bill WA        09/14</t>
  </si>
  <si>
    <t>GRANDVIEW CLEANERS LOS ANGELES CA            09/12</t>
  </si>
  <si>
    <t>HANDY J CAR WASH LOS ANGELES CA              09/12</t>
  </si>
  <si>
    <t>AMERICAN AIR00183181303 FORT WORTH TX        09/11</t>
  </si>
  <si>
    <t>AMERICAN AIR00173181644 FORT WORTH TX        09/11</t>
  </si>
  <si>
    <t>Online Transfer from CHK ...1168 transaction#: 26227236840</t>
  </si>
  <si>
    <t>PAVILIONS #2105 MARINA DEL RE CA     955014  09/11</t>
  </si>
  <si>
    <t>LA CHAMBER ORCHESTRA LACO.ORG CA             09/11</t>
  </si>
  <si>
    <t>Amazon Tips*9F55A57T Amzn.com/bill WA        09/10</t>
  </si>
  <si>
    <t>Etsy.com*LastRitesUniq ETSY.COM NY           09/10</t>
  </si>
  <si>
    <t>UBR* PENDING.UBER.CO SAN FRANCISCO CA475661  09/09</t>
  </si>
  <si>
    <t>UBR* PENDING.UBER.CO SAN FRANCISCO CA895009  09/09</t>
  </si>
  <si>
    <t>AMAZON MKTPL*H67EG7R Amzn.com/bill WA        09/10</t>
  </si>
  <si>
    <t>TST*BEETHOVEN Los Angeles CA                 09/09</t>
  </si>
  <si>
    <t>HAIGOOD &amp; CAMPBELL LLC 800-7660016 TX        09/09</t>
  </si>
  <si>
    <t>Amazon.com*C97PR5FF3 Amzn.com/bill WA        09/09</t>
  </si>
  <si>
    <t>APPLE COM BILL CUPERTINO CA          540679  09/09</t>
  </si>
  <si>
    <t>APPLE.COM/BILL 866-712-7753 CA               09/09</t>
  </si>
  <si>
    <t>AMAZON MKTPL*0I0BK83 Amzn.com/bill WA        09/08</t>
  </si>
  <si>
    <t>AMAZON MKTPL*J75Q716 Amzn.com/bill WA        09/08</t>
  </si>
  <si>
    <t>Online Transfer from CHK ...1168 transaction#: 26165909390</t>
  </si>
  <si>
    <t>UBER * EATS PENDING SAN FRANCISCO CA 115453  09/07</t>
  </si>
  <si>
    <t>Prime Video Channels amzn.com/bill WA        09/07</t>
  </si>
  <si>
    <t>UBER   * EATS PENDIN SAN FRANCISCO CA076257  09/07</t>
  </si>
  <si>
    <t>AMAZON MKTPL*IF32Q7W Amzn.com/bill WA        09/07</t>
  </si>
  <si>
    <t>SP MITO RED LIGHT MITOREDLIGHT. AZ           09/07</t>
  </si>
  <si>
    <t>UBER *TRIP SAN FRANCISCO CA          663539  09/07</t>
  </si>
  <si>
    <t>PP*FOREVER GREY VALLEY VILLAG CA             09/06</t>
  </si>
  <si>
    <t>TST* CHECKER HALL LOS ANGELES CA             09/07</t>
  </si>
  <si>
    <t>UBER * EATS PENDING SAN FRANCISCO CA 401460  09/06</t>
  </si>
  <si>
    <t>GOOGLE *YouTubePremi g.co/helppay# CA        09/06</t>
  </si>
  <si>
    <t>AMC 0446 MARINA MARK MARINA DEL RE CA        09/05</t>
  </si>
  <si>
    <t>SP RAJANIMD STORE.RAJANIM OR                 09/06</t>
  </si>
  <si>
    <t>PSYCHOLOGY TODAY PSYCHOLOGYTOD SD            09/06</t>
  </si>
  <si>
    <t>ELEVENLABS.IO ELEVENLABS.IO NY               09/06</t>
  </si>
  <si>
    <t>ETSY, INC. 718-8557955 NY                    09/06</t>
  </si>
  <si>
    <t>Amazon Tips*SY7971JD Amzn.com/bill WA        09/05</t>
  </si>
  <si>
    <t>PAYPAL *SPIRITUNITY S 818-807-3396 CA        09/06</t>
  </si>
  <si>
    <t>AMAZON MKTPL*FQ66M6Q Amzn.com/bill WA        09/05</t>
  </si>
  <si>
    <t>CVS/PHARMACY #08871 MARINA DEL RE CA 017441  09/05</t>
  </si>
  <si>
    <t>CVS/PHARMACY #08871 MARINA DEL RE CA 063689  09/05</t>
  </si>
  <si>
    <t>UBR* PENDING.UBER.CO SAN FRANCISCO CA571861  09/04</t>
  </si>
  <si>
    <t>Amazon Tips*NF9RB9GT Amzn.com/bill WA        09/05</t>
  </si>
  <si>
    <t>HOLLYWOOD BOWL 410-6882489 CA                09/04</t>
  </si>
  <si>
    <t>HWB TAPIN2 1 LOS ANGELES CA                  09/04</t>
  </si>
  <si>
    <t>AMAZON MKTPL*DE8H64X Amzn.com/bill WA        09/05</t>
  </si>
  <si>
    <t>Amazon.com*DA6XR0NM3 Amzn.com/bill WA        09/04</t>
  </si>
  <si>
    <t>Zara.com New York NY                         09/05</t>
  </si>
  <si>
    <t>Online Transfer from CHK ...1168 transaction#: 26125672034</t>
  </si>
  <si>
    <t>CVS/PHARMACY #09493 MAR VISTA CA     013273  09/04</t>
  </si>
  <si>
    <t>WITHDRAWAL 09/04</t>
  </si>
  <si>
    <t>mango.com USA 866-6664664 NY                 09/04</t>
  </si>
  <si>
    <t>Amazon.com*NC0XR0KX3 Amzn.com/bill WA        09/04</t>
  </si>
  <si>
    <t>Amazon.com*WA1NT6OL3 Amzn.com/bill WA        09/04</t>
  </si>
  <si>
    <t>Zara.com/USA 855-6359272 NY                  09/03</t>
  </si>
  <si>
    <t>DEPOSIT  ID NUMBER 125555</t>
  </si>
  <si>
    <t>THE HOME DEPOT #6611 LOS ANGELES CA  048209  09/03</t>
  </si>
  <si>
    <t>UBER *TRIP SAN FRANCISCO CA          087930  09/03</t>
  </si>
  <si>
    <t>UBER   * PENDING SAN FRANCISCO CA    013031  09/03</t>
  </si>
  <si>
    <t>APPLE.COM/BILL 866-712-7753 CA               09/02</t>
  </si>
  <si>
    <t>BANDCAMPYOUNGANDCOLDRE BANDCAMPCOM CA        09/02</t>
  </si>
  <si>
    <t>ZARA USA PREOWNED WWW.ZARA.COM/ NY           09/03</t>
  </si>
  <si>
    <t>Online Transfer from CHK ...1168 transaction#: 26095018368</t>
  </si>
  <si>
    <t>ETSY ETSY.COM*WWWNEOMF BROOKLYN NY   085840  09/02</t>
  </si>
  <si>
    <t>PNM*THE TOLLROADS SANTA CLARA CA     641325  09/02</t>
  </si>
  <si>
    <t>UBER *TRIP SAN FRANCISCO CA          115932  09/02</t>
  </si>
  <si>
    <t>ETSY, INC. 718-8557955 NY                    09/02</t>
  </si>
  <si>
    <t>TRU*TRUEDARK TRUEDARK.COM WA                 09/02</t>
  </si>
  <si>
    <t>AMAZON MKTPL*EL36710 Amzn.com/bill WA        09/01</t>
  </si>
  <si>
    <t>LODGEROOM/CHECKERHAL LODGEROOMHLP. CA        09/01</t>
  </si>
  <si>
    <t>AMAZON MKTPL*YK60I7C Amzn.com/bill WA        09/01</t>
  </si>
  <si>
    <t>UBER   * EATS PENDIN SAN FRANCISCO CA027017  08/31</t>
  </si>
  <si>
    <t>LEELA QUANTUM TECH LLC 770-9908805 NM        08/31</t>
  </si>
  <si>
    <t>Amazon.com*2W3DU5PC3 Amzn.com/bill WA        09/01</t>
  </si>
  <si>
    <t>FANDANGO    * FANDANGO.COM CA                08/31</t>
  </si>
  <si>
    <t>Amazon Tips*5J4S754E Amzn.com/bill WA        08/31</t>
  </si>
  <si>
    <t>BLUE SHIELD CALIFORNI 800-393-6130 CA        08/31</t>
  </si>
  <si>
    <t>CVS/PHARMACY #09493 MAR VISTA CA     047375  08/30</t>
  </si>
  <si>
    <t>HANDY J CAR WASH LOS ANGELES CA      008189  08/30</t>
  </si>
  <si>
    <t>ALLAN JEFFRIES FRAMIN SANTA MONICA CA        08/30</t>
  </si>
  <si>
    <t>CITY OF SANTA MONICA SANTA MONICA CA         08/30</t>
  </si>
  <si>
    <t>PENTESTER.COM PENTESTER.COM FL               08/30</t>
  </si>
  <si>
    <t>Amazon.com*LA97T9TW3 Amzn.com/bill WA        08/30</t>
  </si>
  <si>
    <t>Online Payment 26034219474 To SOUTHERN CALIFORNIA GAS CO 09/02</t>
  </si>
  <si>
    <t>Online Payment 26034208979 To SAFECO INSURANCE COMPANY 09/02</t>
  </si>
  <si>
    <t>Online Payment 26034177505 To FRONTIER TELEPHONE 09/02</t>
  </si>
  <si>
    <t>Online Payment 26034181700 To AMERICAN EDUCATION SERVICES 09/02</t>
  </si>
  <si>
    <t>AMAZON MKTPL*NR55R3K Amzn.com/bill WA        08/30</t>
  </si>
  <si>
    <t>GOOGLE *Google One g.co/helppay# CA          08/29</t>
  </si>
  <si>
    <t>1928 JEWELRY COMPANY 818-841-1928 CA         08/29</t>
  </si>
  <si>
    <t>Zelle payment from MARY MARGARET TRAHAN 26048506345</t>
  </si>
  <si>
    <t>Online Transfer from CHK ...1168 transaction#: 26059022499</t>
  </si>
  <si>
    <t>Online Transfer from CHK ...1168 transaction#: 26056697513</t>
  </si>
  <si>
    <t>CVSExtraCare 80074672 800-746-7287 RI        08/28</t>
  </si>
  <si>
    <t>LA CABANA - VENICE VENICE CA                 08/27</t>
  </si>
  <si>
    <t>CSC* VACATIA INC 855-8596983 AZ              08/26</t>
  </si>
  <si>
    <t>GELSON'S MARKET #29 SANTA MONICA CA  626415  08/28</t>
  </si>
  <si>
    <t>Zelle payment to Aaron Frankel JPM99bl2oq0i</t>
  </si>
  <si>
    <t>APPLE COM BILL CUPERTINO CA          906763  08/28</t>
  </si>
  <si>
    <t>Amazon Tips*FK3TF2TZ Amzn.com/bill WA        08/28</t>
  </si>
  <si>
    <t>GRANDVIEW CLEANERS LOS ANGELES CA            08/27</t>
  </si>
  <si>
    <t>Amazon.com*FC8BK7UT3 Amzn.com/bill WA        08/28</t>
  </si>
  <si>
    <t>Online Transfer from CHK ...1168 transaction#: 26012643460</t>
  </si>
  <si>
    <t>UBER * EATS PENDING SAN FRANCISCO CA 886923  08/27</t>
  </si>
  <si>
    <t>FOLLOW YOUR HEART MARK CANOGA PARK CA952907  08/26</t>
  </si>
  <si>
    <t>Amazon.com*0C3TC6PL3 Amzn.com/bill WA        08/27</t>
  </si>
  <si>
    <t>SPACEWEATHERNEWS.COM SPACEWEATHERN CO        08/26</t>
  </si>
  <si>
    <t>AMAZON MKTPL*HG4N82P Amzn.com/bill WA        08/26</t>
  </si>
  <si>
    <t>AMAZON MKTPL*CX7M04U Amzn.com/bill WA        08/26</t>
  </si>
  <si>
    <t>Amazon.com*DS7VQ71D3 Amzn.com/bill WA        08/27</t>
  </si>
  <si>
    <t>AMAZON MKTPL*8B9WY56 Amzn.com/bill WA        08/27</t>
  </si>
  <si>
    <t>Prime Video Channels amzn.com/bill WA        08/26</t>
  </si>
  <si>
    <t>Zara.com New York NY                         08/26</t>
  </si>
  <si>
    <t>NON-CHASE ATM WITHDRAW               001246  08/262876 S. B</t>
  </si>
  <si>
    <t>NON-CHASE ATM WITHDRAW               001245  08/262876 S. B</t>
  </si>
  <si>
    <t>NNTCWWW.TARGET.COM 3 BROOKLYN PARK MN852176  08/24</t>
  </si>
  <si>
    <t>UBER   * EATS PENDIN SAN FRANCISCO CA029390  08/25</t>
  </si>
  <si>
    <t>SCREENFIT LLC WWW.SCREENFIT MD               08/26</t>
  </si>
  <si>
    <t>AMAZON MKTPL*Q86C78E Amzn.com/bill WA        08/26</t>
  </si>
  <si>
    <t>TST*BLUEYS KITCHEN MAR Los Angeles CA        08/25</t>
  </si>
  <si>
    <t>COMPLETE EYE CARE CENT LOS ANGELES CA        08/25</t>
  </si>
  <si>
    <t>SP HEALTHRANGERSTORE HEALTHRANGERS TX        08/25</t>
  </si>
  <si>
    <t>LEELA QUANTUM TECH LLC 770-9908805 NM        08/25</t>
  </si>
  <si>
    <t>AMAZON MKTPL*SL3RE56 Amzn.com/bill WA        08/25</t>
  </si>
  <si>
    <t>Online Transfer from CHK ...1168 transaction#: 25989102624</t>
  </si>
  <si>
    <t>NNTCWWW.TARGET.COM 8 BROOKLYN PARK MN362881  08/24</t>
  </si>
  <si>
    <t>NON-CHASE ATM WITHDRAW               295494  08/25US BANK W</t>
  </si>
  <si>
    <t>CVS/PHARMACY #09493 MAR VISTA CA     035975  08/25</t>
  </si>
  <si>
    <t>UBER * EATS PENDING SAN FRANCISCO CA 217759  08/24</t>
  </si>
  <si>
    <t>LUKE UNFILTERED WEARECHANGE.O FL             08/25</t>
  </si>
  <si>
    <t>AMAZON PRIME*WY3H92O Amzn.com/bill WA        08/24</t>
  </si>
  <si>
    <t>ATM WITHDRAWAL                       003896  08/2412335 VEN</t>
  </si>
  <si>
    <t>ATT*BILL PAYMENT 800-288-2020 TX             08/24</t>
  </si>
  <si>
    <t>SP LA PANTHERE STUDI LAPANTHERESTU TN        08/24</t>
  </si>
  <si>
    <t>AXS.COMSOUTHERN CAL 888-929-7849 CA          08/24</t>
  </si>
  <si>
    <t>AMAZON MKTPL*4K69Q0D Amzn.com/bill WA        08/24</t>
  </si>
  <si>
    <t>UBER   * PENDING SAN FRANCISCO CA    088956  08/23</t>
  </si>
  <si>
    <t>APPLE.COM/BILL 866-712-7753 CA               08/23</t>
  </si>
  <si>
    <t>Amazon Tips*024A3075 Amzn.com/bill WA        08/23</t>
  </si>
  <si>
    <t>SP JEFFREYCAMPBELL JEFFREYCAMPBE CA          08/23</t>
  </si>
  <si>
    <t>UBER   *TRIP HELP.UB SAN FRANCISCO CA142287  08/23</t>
  </si>
  <si>
    <t>FREEPEOPLE.COM FREEPEOPLE.CO PA              08/25</t>
  </si>
  <si>
    <t>Amazon Tips*YK4A77GN Amzn.com/bill WA        08/22</t>
  </si>
  <si>
    <t>CITY OF SANTA MONICA SANTA MONICA CA         08/22</t>
  </si>
  <si>
    <t>REPUBLIC SERVICES TRA 866-576-5548 AZ        08/22</t>
  </si>
  <si>
    <t>QDI*QUEST DIAGNOSTICS 800-758-6047 CA        08/23</t>
  </si>
  <si>
    <t>BANDCAMPFABRIKARECORDS BANDCAMPCOM CA        08/22</t>
  </si>
  <si>
    <t>Online Transfer from CHK ...1168 transaction#: 25966607553</t>
  </si>
  <si>
    <t>ATM CHECK DEPOSIT 08/25 12335 VENICE BLVD LOS ANGELES CA</t>
  </si>
  <si>
    <t>LENSCRAFTERS  0074 SANTA MONICA CA   227840  08/22</t>
  </si>
  <si>
    <t>EYE EXAM  0174 SANTA MONICA CA       747789  08/22</t>
  </si>
  <si>
    <t>Amazon.com*QH9GI03I3 Amzn.com/bill WA        08/22</t>
  </si>
  <si>
    <t>AMAZON MKTPL*JV3LT3G Amzn.com/bill WA        08/22</t>
  </si>
  <si>
    <t>DBZ Marketplace US Inc New Castle DE         08/22</t>
  </si>
  <si>
    <t>UBER   * EATS PENDIN SAN FRANCISCO CA078388  08/21</t>
  </si>
  <si>
    <t>MED*CEDARS SINAI MEDI 866-803-1777 CA        08/22</t>
  </si>
  <si>
    <t>Amazon.com*TP3286YP3 Amzn.com/bill WA        08/21</t>
  </si>
  <si>
    <t>THE C. G. JUNG INSTIT 310-556-1193 CA        08/22</t>
  </si>
  <si>
    <t>Amazon Tips*G85111TT Amzn.com/bill WA        08/21</t>
  </si>
  <si>
    <t>BANDCAMPXMALDEUTSCHLA BANDCAMPCOM CA         08/21</t>
  </si>
  <si>
    <t>BANDCAMPYOUNGANDCOLDRE BANDCAMPCOM CA        08/21</t>
  </si>
  <si>
    <t>Online Transfer from CHK ...1168 transaction#: 25936284809</t>
  </si>
  <si>
    <t>UBER * EATS PENDING SAN FRANCISCO CA 705863  08/21</t>
  </si>
  <si>
    <t>NTTA AUTOCHARGE 972-818-6882 TX              08/20</t>
  </si>
  <si>
    <t>AMAZON MKTPL*VY6AY4T Amzn.com/bill WA        08/20</t>
  </si>
  <si>
    <t>AMAZON MKTPL*Q59QG7M Amzn.com/bill WA        08/20</t>
  </si>
  <si>
    <t>AMAZON MKTPL*XW7WM9Z Amzn.com/bill WA        08/20</t>
  </si>
  <si>
    <t>NEXTLINK BROADBAND 855-6985465 TX            08/20</t>
  </si>
  <si>
    <t>Amazon.com*ZX0NQ7Q43 Amzn.com/bill WA        08/20</t>
  </si>
  <si>
    <t>Zara.com New York NY                         08/21</t>
  </si>
  <si>
    <t>GELSON'S MARKET #29 SANTA MONICA CA  616776  08/20</t>
  </si>
  <si>
    <t>GELSONS VIA INSTACAR INSTACART.COM CA        08/20</t>
  </si>
  <si>
    <t>UBER   * EATS PENDIN SAN FRANCISCO CA073582  08/19</t>
  </si>
  <si>
    <t>LODGEROOM/CHECKERHAL LODGEROOMHLP. CA        08/20</t>
  </si>
  <si>
    <t>Amazon.com*TS7WL2JJ3 Amzn.com/bill WA        08/20</t>
  </si>
  <si>
    <t>Online Transfer from CHK ...1168 transaction#: 25921308693</t>
  </si>
  <si>
    <t>ROSAS CAFE &amp; TORTILLA WEATHERFORD TX         08/18</t>
  </si>
  <si>
    <t>AMERICAN AI 001063326 800-433-7300 TX        08/18</t>
  </si>
  <si>
    <t>AMERICAN AIR00144692314 FORT WORTH TX        08/19</t>
  </si>
  <si>
    <t>THE C. G. JUNG INSTIT 310-556-1193 CA        08/18</t>
  </si>
  <si>
    <t>AMAZON MKTPL*5A3MK1C Amzn.com/bill WA        08/19</t>
  </si>
  <si>
    <t>LEELA QUANTUM TECH LEELAQ.COM NM             08/17</t>
  </si>
  <si>
    <t>AMAZON MKTPL*K401B49 Amzn.com/bill WA        08/18</t>
  </si>
  <si>
    <t>NON-CHASE ATM WITHDRAW               665882  08/161101 HEMP</t>
  </si>
  <si>
    <t>SQ *PURE MASSAGE WEATHERFORD TX              08/15</t>
  </si>
  <si>
    <t>AT&amp;T PO91 79078 HUDSON OAKS TX               08/16</t>
  </si>
  <si>
    <t>BLU JASMINE HUDSON OAKS TX                   08/15</t>
  </si>
  <si>
    <t>RACETRAC2403  00024034 WEATHERFORD TX        08/14</t>
  </si>
  <si>
    <t>LOTT CLEANERS (MAIN ST WEATHERFORD TX        08/14</t>
  </si>
  <si>
    <t>Zelle payment from MARY MARGARET TRAHAN 25886764189</t>
  </si>
  <si>
    <t>Online Transfer from CHK ...1168 transaction#: 25898320989</t>
  </si>
  <si>
    <t>HOMEGOODS #1084 WEATHERFORD TX       047618  08/15</t>
  </si>
  <si>
    <t>Zelle payment to Britt Magadini JPM99bjkdu1f</t>
  </si>
  <si>
    <t>TARGET T-1981 WEATHERFORD TX         005530  08/15</t>
  </si>
  <si>
    <t>ATM WITHDRAWAL                       003382  08/14225 E INT</t>
  </si>
  <si>
    <t>MOVIETAVERN W 7TH ST BO FORT WORTH TX        08/14</t>
  </si>
  <si>
    <t>Prime Video Channels amzn.com/bill WA        08/14</t>
  </si>
  <si>
    <t>AMAZON PRIME*OJ3QP8G Amzn.com/bill WA        08/14</t>
  </si>
  <si>
    <t>APPLE.COM/BILL 866-712-7753 CA               08/14</t>
  </si>
  <si>
    <t>SP LA PANTHERE STUDI LAPANTHERESTU TN        08/14</t>
  </si>
  <si>
    <t>AMAZON MKTPL*NP88Q1G Amzn.com/bill WA        08/14</t>
  </si>
  <si>
    <t>Amazon.com*GQ4R45CK3 Amzn.com/bill WA        08/14</t>
  </si>
  <si>
    <t>AMAZON MKTPL*YC5VL0U Amzn.com/bill WA        08/13</t>
  </si>
  <si>
    <t>AMERICAN AIR00183179344 FORT WORTH TX        08/12</t>
  </si>
  <si>
    <t>AMERICAN AIR00173161939 FORT WORTH TX        08/12</t>
  </si>
  <si>
    <t>HOBBYLOBBY WEATHERFORD TX            015730  08/13</t>
  </si>
  <si>
    <t>Online Payment 25829720041 To MERCEDES-BENZ FINANCIAL SERVICES 08/13</t>
  </si>
  <si>
    <t>WHOLEFDS FTW #10 3400 FORT WORTH TX  240015  08/12</t>
  </si>
  <si>
    <t>UBER   * EATS PENDIN SAN FRANCISCO CA072165  08/12</t>
  </si>
  <si>
    <t>MONTGOMERY STREE 2601 FORT WORTH TX  751144  08/12</t>
  </si>
  <si>
    <t>Online Transfer to CHK ...6975 transaction#: 25826313668 08/12</t>
  </si>
  <si>
    <t>AMAZON MKTPL*NL0GF12 Amzn.com/bill WA        08/12</t>
  </si>
  <si>
    <t>Zara.com 212-3551415 NY                      08/11</t>
  </si>
  <si>
    <t>Online Transfer from CHK ...1168 transaction#: 25826286791</t>
  </si>
  <si>
    <t>AMAZON MKTPL*QT1JK9P Amzn.com/bill WA        08/11</t>
  </si>
  <si>
    <t>WORLD MARKET  #135 FT. WORTH TX      018536  08/10</t>
  </si>
  <si>
    <t>TRADER JOE S #40 2701 FORT WORTH TX  263768  08/10</t>
  </si>
  <si>
    <t>MONTGOMERY STREE 2601 FORT WORTH TX  458546  08/10</t>
  </si>
  <si>
    <t>AMAZON MKTPL*OI7OH1P Amzn.com/bill WA        08/11</t>
  </si>
  <si>
    <t>AMAZON MKTPL*H588F4F Amzn.com/bill WA        08/11</t>
  </si>
  <si>
    <t>APPLE.COM/BILL 866-712-7753 CA               08/10</t>
  </si>
  <si>
    <t>KOHLS #0993 WEATHERFORD TX                   08/08</t>
  </si>
  <si>
    <t>APPLE.COM/BILL 866-712-7753 CA               08/09</t>
  </si>
  <si>
    <t>Amazon Tips*C44RV7PS Amzn.com/bill WA        08/08</t>
  </si>
  <si>
    <t>AMAZON MKTPL*W80P34T Amzn.com/bill WA        08/09</t>
  </si>
  <si>
    <t>AMAZON MKTPL*526P60Q Amzn.com/bill WA        08/09</t>
  </si>
  <si>
    <t>AMAZON MKTPL*M30OG95 Amzn.com/bill WA        08/08</t>
  </si>
  <si>
    <t>FILM ALLEY WEATHERFORD 817-3413232 TX        08/07</t>
  </si>
  <si>
    <t>HOMEGOODS #1084 WEATHERFORD TX       037267  08/08</t>
  </si>
  <si>
    <t>ROSAS CAFE &amp; TORTILLA WEATHERFORD TX         08/07</t>
  </si>
  <si>
    <t>Prime Video Channels amzn.com/bill WA        08/07</t>
  </si>
  <si>
    <t>FANDANGO    * FANDANGO.COM CA                08/07</t>
  </si>
  <si>
    <t>Amazon.com*KC3RX3PV3 Amzn.com/bill WA        08/07</t>
  </si>
  <si>
    <t>AMAZON MKTPL*VO0VA5E Amzn.com/bill WA        08/07</t>
  </si>
  <si>
    <t>ZARA USA PREOWNED WWW.ZARA.COM/ NY           08/08</t>
  </si>
  <si>
    <t>HOMEGOODS #1084 WEATHERFORD TX       028309  08/07</t>
  </si>
  <si>
    <t>COAST TO COAST AM 855-939-1997 TX            08/07</t>
  </si>
  <si>
    <t>AMERICAN AIR00183178923 FORT WORTH TX        08/05</t>
  </si>
  <si>
    <t>AMERICAN AIR00173157836 FORT WORTH TX        08/05</t>
  </si>
  <si>
    <t>AMAZON MKTPL*NU5V25I Amzn.com/bill WA        08/06</t>
  </si>
  <si>
    <t>NNTCWWW.TARGET.COM 4 BROOKLYN PARK MN361134  08/05</t>
  </si>
  <si>
    <t>UBER   * EATS PENDIN SAN FRANCISCO CA089209  08/06</t>
  </si>
  <si>
    <t>GOOGLE *YouTubePremi g.co/helppay# CA        08/06</t>
  </si>
  <si>
    <t>PSYCHOLOGY TODAY PSYCHOLOGYTOD SD            08/06</t>
  </si>
  <si>
    <t>ELEVENLABS.IO ELEVENLABS.IO NY               08/06</t>
  </si>
  <si>
    <t>Amazon.com*FK0H282J3 Amzn.com/bill WA        08/06</t>
  </si>
  <si>
    <t>AMAZON MKTPL*LY2GD0A Amzn.com/bill WA        08/06</t>
  </si>
  <si>
    <t>AMAZON MKTPL*B85GN6A Amzn.com/bill WA        08/06</t>
  </si>
  <si>
    <t>WALGREENS STORE 1317 S WEATHERFORD TX914720  08/05</t>
  </si>
  <si>
    <t>FANDANGO    * FANDANGO.COM CA                08/05</t>
  </si>
  <si>
    <t>Zara.com New York NY                         08/05</t>
  </si>
  <si>
    <t>Amazon Tips*634MQ6EV Amzn.com/bill WA        08/05</t>
  </si>
  <si>
    <t>AMAZON MKTPL*CY3U801 Amzn.com/bill WA        08/05</t>
  </si>
  <si>
    <t>Amazon.com*H776U0UC3 Amzn.com/bill WA        08/05</t>
  </si>
  <si>
    <t>Zelle payment to Aaron Frankel JPM99bi6t50g</t>
  </si>
  <si>
    <t>Zelle payment to Aaron Frankel JPM99bi6ss2e</t>
  </si>
  <si>
    <t>Zelle payment to jeff seider JPM99bi6l321</t>
  </si>
  <si>
    <t>Zelle payment to Denise Quezada JPM99bi6krf6</t>
  </si>
  <si>
    <t>SP RAJANIMD STORE.RAJANIM OR                 08/04</t>
  </si>
  <si>
    <t>TARGET T-1981 WEATHERFORD TX         018335  08/03</t>
  </si>
  <si>
    <t>TIGER MART #51 WEATHERFORD TX        356800  08/03</t>
  </si>
  <si>
    <t>SP HEALTHRANGERSTORE HEALTHRANGERS TX        08/03</t>
  </si>
  <si>
    <t>Amazon.com*3P6650W23 Amzn.com/bill WA        08/03</t>
  </si>
  <si>
    <t>Amazon.com*XD1F27OZ3 Amzn.com/bill WA        08/03</t>
  </si>
  <si>
    <t>AMAZON MKTPL*DC3CP8N Amzn.com/bill WA        08/03</t>
  </si>
  <si>
    <t>FASTRAK VIOLATION CEN 415-486-8655 CA        08/03</t>
  </si>
  <si>
    <t>AMAZON MKTPL*2D0XM90 Amzn.com/bill WA        08/04</t>
  </si>
  <si>
    <t>AMAZON MKTPL*GY4ZM6Z Amzn.com/bill WA        08/03</t>
  </si>
  <si>
    <t>AMAZON MKTPL*TO7N22D Amzn.com/bill WA        08/03</t>
  </si>
  <si>
    <t>FANDANGO    * FANDANGO.COM CA                08/02</t>
  </si>
  <si>
    <t>APPLE.COM/BILL 866-712-7753 CA               08/02</t>
  </si>
  <si>
    <t>ASCEND.ACADEMY ASCENDTHEFREQ AR              08/02</t>
  </si>
  <si>
    <t>FILM ALLEY WEATHERFORD 817-3413232 TX        08/01</t>
  </si>
  <si>
    <t>FILM ALLEY - WEATHERFO WEATHERFORD TX        08/02</t>
  </si>
  <si>
    <t>FANDANGO    * FANDANGO.COM CA                08/01</t>
  </si>
  <si>
    <t>AMAZON MKTPL*SU2WE7D Amzn.com/bill WA        08/02</t>
  </si>
  <si>
    <t>Zelle payment from MARY MARGARET TRAHAN 25732925175</t>
  </si>
  <si>
    <t>T J MAXX #1295 WEATHERFORD TX        055914  08/01</t>
  </si>
  <si>
    <t>Amazon Tips*AM0CU2CA Amzn.com/bill WA        07/31</t>
  </si>
  <si>
    <t>BLUE SHIELD CALIFORNI 800-393-6130 CA        07/31</t>
  </si>
  <si>
    <t>Zelle payment from JOE SAUNDERS 25698163412</t>
  </si>
  <si>
    <t>UBER   * EATS PENDIN SAN FRANCISCO CA072120  07/31</t>
  </si>
  <si>
    <t>Online Payment 25666123733 To SAFECO INSURANCE COMPANY 07/31</t>
  </si>
  <si>
    <t>Online Payment 25666121815 To FRONTIER TELEPHONE 07/31</t>
  </si>
  <si>
    <t>Online Payment 25666130263 To AMERICAN EDUCATION SERVICES 07/31</t>
  </si>
  <si>
    <t>Online Payment 25666106149 To SOUTHERN CALIFORNIA GAS CO 07/31</t>
  </si>
  <si>
    <t>SP MUSEUM QUALITY AR MUSEUMQUALITY VA        07/30</t>
  </si>
  <si>
    <t>NTTA AUTOCHARGE 972-818-6882 TX              07/30</t>
  </si>
  <si>
    <t>AMAZON MKTPL*WJ90N5J Amzn.com/bill WA        07/30</t>
  </si>
  <si>
    <t>AMAZON MKTPL*5Q5WZ85 Amzn.com/bill WA        07/30</t>
  </si>
  <si>
    <t>AMAZON MKTPL*SP3B343 Amzn.com/bill WA        07/31</t>
  </si>
  <si>
    <t>AMAZON MKTPL*MG1SE7F Amzn.com/bill WA        07/30</t>
  </si>
  <si>
    <t>AMAZON MKTPL*ER9DO1G Amzn.com/bill WA        07/30</t>
  </si>
  <si>
    <t>AMAZON MKTPL*MF2BT5H Amzn.com/bill WA        07/31</t>
  </si>
  <si>
    <t>LAX AIRP THE MARKET LA LOS ANGELES CA        07/29</t>
  </si>
  <si>
    <t>AMERICAN AI 0012604394 LOS ANGELES CA        07/29</t>
  </si>
  <si>
    <t xml:space="preserve">CHECK 8709  </t>
  </si>
  <si>
    <t>HOMEGOODS #1084 WEATHERFORD TX       053308  07/30</t>
  </si>
  <si>
    <t>HOBBYLOBBY WEATHERFORD TX            013561  07/30</t>
  </si>
  <si>
    <t>UBER   * EATS PENDIN SAN FRANCISCO CA025953  07/30</t>
  </si>
  <si>
    <t>Amazon.com*LP8ZG8X93 Amzn.com/bill WA        07/30</t>
  </si>
  <si>
    <t>Amazon.com*GK5819ZL3 Amzn.com/bill WA        07/30</t>
  </si>
  <si>
    <t>FREEPEOPLE.COM FREEPEOPLE.CO PA              07/29</t>
  </si>
  <si>
    <t>ROSAS CAFE &amp; TORTILLA WEATHERFORD TX         07/29</t>
  </si>
  <si>
    <t>DFW AIRPORT PARKING DFW AIRPORT TX           07/29</t>
  </si>
  <si>
    <t>PALM SPRINGS TENNIS AD LAKE FOREST CA        07/29</t>
  </si>
  <si>
    <t>AMAZON MKTPL*VU0MP9V Amzn.com/bill WA        07/29</t>
  </si>
  <si>
    <t>Online Transfer from CHK ...1168 transaction#: 25655989311</t>
  </si>
  <si>
    <t>UBER   * EATS PENDIN SAN FRANCISCO CA363778  07/29</t>
  </si>
  <si>
    <t>AMERICAN AI 001063196 800-433-7300 TX        07/28</t>
  </si>
  <si>
    <t>Amazon.com*7G8Y19YX3 Amzn.com/bill WA        07/28</t>
  </si>
  <si>
    <t>CVSExtraCare 80074672 800-746-7287 RI        07/28</t>
  </si>
  <si>
    <t>AMAZON MKTPL*L976H35 Amzn.com/bill WA        07/28</t>
  </si>
  <si>
    <t>AMAZON MKTPL*6A4WQ12 Amzn.com/bill WA        07/28</t>
  </si>
  <si>
    <t>GELSON'S MARKET #29 SANTA MONICA CA  759204  07/28</t>
  </si>
  <si>
    <t>APPLE.COM/BILL 866-712-7753 CA               07/28</t>
  </si>
  <si>
    <t>AMAZON MKTPL*352OY96 Amzn.com/bill WA        07/28</t>
  </si>
  <si>
    <t>AMAZON MKTPL*OB6NA15 Amzn.com/bill WA        07/28</t>
  </si>
  <si>
    <t>NUART THEATRE  209 LOS ANGELES CA            07/26</t>
  </si>
  <si>
    <t>LADOT METER PARKING LOS ANGELES CA           07/26</t>
  </si>
  <si>
    <t>DON ANTONIOS RESTAURAN LOS ANGELES CA        07/26</t>
  </si>
  <si>
    <t>SPACEWEATHERNEWS.COM SPACEWEATHERN CO        07/26</t>
  </si>
  <si>
    <t>Prime Video Channels amzn.com/bill WA        07/26</t>
  </si>
  <si>
    <t>FANDANGO    * FANDANGO.COM CA                07/26</t>
  </si>
  <si>
    <t>Amazon.com*BS4YP22U3 Amzn.com/bill WA        07/26</t>
  </si>
  <si>
    <t>AMAZON MKTPL*1C2RL5N Amzn.com/bill WA        07/26</t>
  </si>
  <si>
    <t>AMAZON MKTPL*CE8VZ01 Amzn.com/bill WA        07/26</t>
  </si>
  <si>
    <t>DBZ Marketplace US Inc New Castle DE         07/26</t>
  </si>
  <si>
    <t>AMAZON MKTPL*RH6UE1O Amzn.com/bill WA        07/26</t>
  </si>
  <si>
    <t>UBER   * EATS PENDIN SAN FRANCISCO CA019234  07/25</t>
  </si>
  <si>
    <t>AMAZON MKTPL*1984X54 Amzn.com/bill WA        07/26</t>
  </si>
  <si>
    <t>AMAZON MKTPL*IV5M49A Amzn.com/bill WA        07/25</t>
  </si>
  <si>
    <t>Online Transfer from CHK ...1168 transaction#: 25621756173</t>
  </si>
  <si>
    <t>Online Transfer from CHK ...1168 transaction#: 25641512442</t>
  </si>
  <si>
    <t>CVS/PHARMACY #09493 MAR VISTA CA     016840  07/25</t>
  </si>
  <si>
    <t>UBER   *TRIP HELP.UB SAN FRANCISCO CA089006  07/25</t>
  </si>
  <si>
    <t>LUKE UNFILTERED WEARECHANGE.O FL             07/25</t>
  </si>
  <si>
    <t>AMAZON PRIME*538R979 Amzn.com/bill WA        07/24</t>
  </si>
  <si>
    <t>AMAZON MKTPL*3T0LC78 Amzn.com/bill WA        07/25</t>
  </si>
  <si>
    <t>THE UPS STORE 4398 310-9156580 CA            07/24</t>
  </si>
  <si>
    <t>LADOT METER PARKING LOS ANGELES CA           07/24</t>
  </si>
  <si>
    <t>GRANDVIEW CLEANERS LOS ANGELES CA            07/24</t>
  </si>
  <si>
    <t>ALLAN JEFFRIES FRAMIN SANTA MONICA CA        07/24</t>
  </si>
  <si>
    <t>CITY OF SANTA MONICA SANTA MONICA CA         07/24</t>
  </si>
  <si>
    <t>ATT*BILL PAYMENT 800-288-2020 TX             07/24</t>
  </si>
  <si>
    <t>AMAZON MKTPL*WU3YK8J Amzn.com/bill WA        07/25</t>
  </si>
  <si>
    <t>ATM WITHDRAWAL                       006473  07/2412335 VEN</t>
  </si>
  <si>
    <t>CVS/PHARMACY #09493 MAR VISTA CA     040663  07/24</t>
  </si>
  <si>
    <t>AMAZON MKTPL*O59390F Amzn.com/bill WA        07/24</t>
  </si>
  <si>
    <t>SQ *HEARTS AND HALOS Long Beach CA           07/23</t>
  </si>
  <si>
    <t>APPLE.COM/BILL 866-712-7753 CA               07/23</t>
  </si>
  <si>
    <t>LIFEWAVE LLC 858-4599876 CA                  07/23</t>
  </si>
  <si>
    <t>AMAZON MKTPL*JD4C82U Amzn.com/bill WA        07/23</t>
  </si>
  <si>
    <t>Online Transfer from CHK ...1168 transaction#: 25596612709</t>
  </si>
  <si>
    <t>JACO BOOYENS MINISTR WWW.JACOBOOYE TX        07/23</t>
  </si>
  <si>
    <t>AMAZON MKTPL*1T8J548 Amzn.com/bill WA        07/23</t>
  </si>
  <si>
    <t>Zara.com 212-3551415 NY                      07/23</t>
  </si>
  <si>
    <t>TACOS TAMIX ON SEPULVE CULVER CITY CA        07/22</t>
  </si>
  <si>
    <t>AMAZON MKTPL*QQ2AR3P Amzn.com/bill WA        07/23</t>
  </si>
  <si>
    <t>GELSON'S MARKET #29 SANTA MONICA CA          07/22 Purchase $666.41 Cash Back $100.00</t>
  </si>
  <si>
    <t>GRANDVIEW CLEANERS LOS ANGELES CA            07/21</t>
  </si>
  <si>
    <t>AMAZON MKTPL*WZ52A1O Amzn.com/bill WA        07/22</t>
  </si>
  <si>
    <t>FACEPLASTIC.ACADEMY ABU DHABI                07/21</t>
  </si>
  <si>
    <t>VONS #2270 LOS ANGELES CA                    07/21</t>
  </si>
  <si>
    <t>Zara.com 212-3551415 NY                      07/22</t>
  </si>
  <si>
    <t>AMAZON MKTPL*H17VY6L Amzn.com/bill WA        07/21</t>
  </si>
  <si>
    <t>Amazon.com*2D6ZJ9P83 Amzn.com/bill WA        07/21</t>
  </si>
  <si>
    <t>Online Transfer from CHK ...1168 transaction#: 25576008777</t>
  </si>
  <si>
    <t>TRADER JOE S #00 3212 SANTA MONICA CA100820  07/21</t>
  </si>
  <si>
    <t>UBER   *EATS HELP.UB SAN FRANCISCO CA365165  07/20</t>
  </si>
  <si>
    <t>UBER   * EATS PENDIN SAN FRANCISCO CA019766  07/20</t>
  </si>
  <si>
    <t>TST*BLUEYS KITCHEN MAR Los Angeles CA        07/20</t>
  </si>
  <si>
    <t>AMAZON MKTPL*CL5PW7B Amzn.com/bill WA        07/21</t>
  </si>
  <si>
    <t>NEXTLINK BROADBAND 855-6985465 TX            07/20</t>
  </si>
  <si>
    <t>SP BODYHEALTH.COM LL BODYHEALTH.CO FL        07/20</t>
  </si>
  <si>
    <t>GUMROAD* DALEN SHAWN GUMROAD.COM CA          07/20</t>
  </si>
  <si>
    <t>UBER   * EATS PENDIN SAN FRANCISCO CA018759  07/19</t>
  </si>
  <si>
    <t>FANDANGO    * FANDANGO.COM CA                07/20</t>
  </si>
  <si>
    <t>AMAZON MKTPL*VS2P84E Amzn.com/bill WA        07/19</t>
  </si>
  <si>
    <t>SPIRAL STAIRCASE AT THE TOPANGA CA           07/18</t>
  </si>
  <si>
    <t>INN OF THE SEVENTH RAY 310-4551311 CA        07/18</t>
  </si>
  <si>
    <t>THE GETTY PARKING 310-440-6900 CA            07/20</t>
  </si>
  <si>
    <t>GETTY MUSEUM STORE 131-04407059 CA           07/18</t>
  </si>
  <si>
    <t>Amazon Tips*XL1C30QF Amzn.com/bill WA        07/18</t>
  </si>
  <si>
    <t>GETTYVILLAESP LOS ANGELES CA                 07/18</t>
  </si>
  <si>
    <t>MED*CEDARS SINAI MEDI 866-803-1777 CA        07/19</t>
  </si>
  <si>
    <t>Zara.com 212-3551415 NY                      07/19</t>
  </si>
  <si>
    <t>AMERICAN AIR00173145307 FORT WORTH TX        07/17</t>
  </si>
  <si>
    <t>Online Transfer from CHK ...1168 transaction#: 25558040698</t>
  </si>
  <si>
    <t>UBER   *TRIP HELP.UB SAN FRANCISCO CA089193  07/18</t>
  </si>
  <si>
    <t>UBER   *TRIP HELP.UB SAN FRANCISCO CA369861  07/18</t>
  </si>
  <si>
    <t>Online Payment 25532123469 To MERCEDES-BENZ FINANCIAL SERVICES 07/18</t>
  </si>
  <si>
    <t>UBER   * EATS PENDIN SAN FRANCISCO CA014371  07/17</t>
  </si>
  <si>
    <t>ROCKET 171 LOS ANGELES CA            614807  07/17</t>
  </si>
  <si>
    <t>Amazon.com*DU1KH21O3 Amzn.com/bill WA        07/17</t>
  </si>
  <si>
    <t>AMAZON MKTPL*2H9JT5Y Amzn.com/bill WA        07/17</t>
  </si>
  <si>
    <t>Online Transfer from CHK ...1168 transaction#: 25532010124</t>
  </si>
  <si>
    <t>UBER   * EATS PENDIN SAN FRANCISCO CA085693  07/16</t>
  </si>
  <si>
    <t>AMAZON MKTPL*C68973X Amzn.com/bill WA        07/16</t>
  </si>
  <si>
    <t>AMAZON MKTPL*HI2GO1E Amzn.com/bill WA        07/16</t>
  </si>
  <si>
    <t>BOWL STORE 1 LOS ANGELES CA                  07/15</t>
  </si>
  <si>
    <t>Zelle payment from EUNICE G CHANG 25506827100</t>
  </si>
  <si>
    <t>UBER   * EATS PENDIN SAN FRANCISCO CA074050  07/15</t>
  </si>
  <si>
    <t>Amazon Tips*NR8HQ7G6 Amzn.com/bill WA        07/14</t>
  </si>
  <si>
    <t>Prime Video Channels amzn.com/bill WA        07/14</t>
  </si>
  <si>
    <t>LADOT PARKING CITATIO 866-561-9742 CA        07/14</t>
  </si>
  <si>
    <t>AMAZON PRIME*NR2GU50 Amzn.com/bill WA        07/14</t>
  </si>
  <si>
    <t>TCB*MTA METER MTA MC SAN FRANCISCO CA        07/13</t>
  </si>
  <si>
    <t>TCB*MTA METER MTA MC SAN FRANCISCO CA        07/12</t>
  </si>
  <si>
    <t>GELSON'S MARKET #29 SANTA MONICA CA  723151  07/14</t>
  </si>
  <si>
    <t>APPLE COM BILL CUPERTINO CA          200806  07/14</t>
  </si>
  <si>
    <t>GoFundMe Support for GOFUNDME.COM CA         07/14</t>
  </si>
  <si>
    <t>Amazon.com*NR4SM7GZ0 Amzn.com/bill WA        07/13</t>
  </si>
  <si>
    <t>AMAZON MKTPL*NR1MK23 Amzn.com/bill WA        07/13</t>
  </si>
  <si>
    <t>UBER   * PENDING SAN FRANCISCO CA    027696  07/12</t>
  </si>
  <si>
    <t>UBER   * EATS PENDIN SAN FRANCISCO CA079429  07/13</t>
  </si>
  <si>
    <t>SHAW SHOES SAN FRANCISCO CA                  07/12</t>
  </si>
  <si>
    <t>UBER   *TRIP HELP.UB SAN FRANCISCO CA074780  07/12</t>
  </si>
  <si>
    <t>UBER   * PENDING SAN FRANCISCO CA    225997  07/12</t>
  </si>
  <si>
    <t>UBER   * PENDING SAN FRANCISCO CA    083298  07/12</t>
  </si>
  <si>
    <t>UBER   *TRIP HELP.UB SAN FRANCISCO CA023026  07/12</t>
  </si>
  <si>
    <t>UBER   * PENDING SAN FRANCISCO CA    089606  07/11</t>
  </si>
  <si>
    <t>Online Transfer from CHK ...1168 transaction#: 25474633803</t>
  </si>
  <si>
    <t>UBER   * EATS PENDIN SAN FRANCISCO CA014395  07/10</t>
  </si>
  <si>
    <t>CVS/PHARMACY #09099 FREMONT CA       053179  07/10</t>
  </si>
  <si>
    <t>NON-CHASE ATM WITHDRAW               303329  07/1050940 MES</t>
  </si>
  <si>
    <t>APPLE.COM/BILL 866-712-7753 CA               07/10</t>
  </si>
  <si>
    <t>APPLE.COM/BILL 866-712-7753 CA               07/09</t>
  </si>
  <si>
    <t>Zara.com 212-3551415 NY                      07/09</t>
  </si>
  <si>
    <t>UBER   * EATS PENDIN SAN FRANCISCO CA082856  07/07</t>
  </si>
  <si>
    <t>Prime Video Channels amzn.com/bill WA        07/07</t>
  </si>
  <si>
    <t>AMAZON MKTPL*NL3CN56 Amzn.com/bill WA        07/08</t>
  </si>
  <si>
    <t>AMAZON MKTPL*NL8GD2L Amzn.com/bill WA        07/07</t>
  </si>
  <si>
    <t>AMAZON MKTPL*NL9V20C Amzn.com/bill WA        07/07</t>
  </si>
  <si>
    <t>Amazon.com*NL25G5O80 Amzn.com/bill WA        07/07</t>
  </si>
  <si>
    <t>UBER   * EATS PENDIN SAN FRANCISCO CA017454  07/06</t>
  </si>
  <si>
    <t>PAVILIONS #2105 MARINA DEL RE CA             07/06</t>
  </si>
  <si>
    <t>AMAZON MKTPL*N30HP3W Amzn.com/bill WA        07/07</t>
  </si>
  <si>
    <t>GOOGLE *YouTubePremi g.co/helppay# CA        07/06</t>
  </si>
  <si>
    <t>HWB TAPIN2 1 LOS ANGELES CA                  07/05</t>
  </si>
  <si>
    <t>PSYCHOLOGY TODAY PSYCHOLOGYTOD SD            07/06</t>
  </si>
  <si>
    <t>ELEVENLABS.IO ELEVENLABS.IO NY               07/06</t>
  </si>
  <si>
    <t>Zelle payment to Aaron Frankel JPM99bepuub8</t>
  </si>
  <si>
    <t>CORPUS CHRISTI WATERSH 361-9470631 TX        07/05</t>
  </si>
  <si>
    <t>Amazon Tips*NL6HZ83A Amzn.com/bill WA        07/05</t>
  </si>
  <si>
    <t>AMAZON MKTPL*N36Z20I Amzn.com/bill WA        07/06</t>
  </si>
  <si>
    <t>AMAZON MKTPL*N38XH9W Amzn.com/bill WA        07/07</t>
  </si>
  <si>
    <t>IC* INSTACART INSTACART.COM CA               07/05</t>
  </si>
  <si>
    <t>AMAZON MKTPL*N30GE42 Amzn.com/bill WA        07/05</t>
  </si>
  <si>
    <t>AMAZON MKTPL*N35E165 Amzn.com/bill WA        07/04</t>
  </si>
  <si>
    <t>AMAZON MKTPL*N39VR0B Amzn.com/bill WA        07/04</t>
  </si>
  <si>
    <t>UNITED      01643106062 UNITED.COM TX        07/03</t>
  </si>
  <si>
    <t>Amazon.com*NL47E3LV2 Amzn.com/bill WA        07/04</t>
  </si>
  <si>
    <t>AMAZON MKTPL*NL20J64 Amzn.com/bill WA        07/04</t>
  </si>
  <si>
    <t>AMAZON MKTPL*N38RT7V Amzn.com/bill WA        07/03</t>
  </si>
  <si>
    <t>APPLE.COM/BILL 866-712-7753 CA               07/03</t>
  </si>
  <si>
    <t>AMAZON MKTPL*N30KX2W Amzn.com/bill WA        07/03</t>
  </si>
  <si>
    <t>Zelle payment from ROSE LI 25400716551</t>
  </si>
  <si>
    <t>Online Transfer from CHK ...1168 transaction#: 25383580147</t>
  </si>
  <si>
    <t>UNITED      01643106062 UNITED.COM TX        07/04</t>
  </si>
  <si>
    <t>CVS/PHARMACY #09493 MAR VISTA CA     008109  07/03</t>
  </si>
  <si>
    <t>ATM WITHDRAWAL                       004265  07/0312335 VEN</t>
  </si>
  <si>
    <t>SP SFERRA SFERRA.COM NJ                      07/03</t>
  </si>
  <si>
    <t>SEE TICKETS* THIS CH SEETICKETS.US CA        07/02</t>
  </si>
  <si>
    <t>AMAZON MKTPL*N34PM6J Amzn.com/bill WA        07/02</t>
  </si>
  <si>
    <t>AMAZON MKTPL*N388283 Amzn.com/bill WA        07/02</t>
  </si>
  <si>
    <t>ATM CHECK DEPOSIT 07/03 12335 VENICE BLVD LOS ANGELES CA</t>
  </si>
  <si>
    <t>Online Payment 25333609985 To SAFECO INSURANCE COMPANY 07/02</t>
  </si>
  <si>
    <t>Online Payment 25333600409 To MERCEDES BENZ FINANCIAL 07/02</t>
  </si>
  <si>
    <t>Online Payment 25333582907 To AMERICAN EDUCATION SERVICES 07/02</t>
  </si>
  <si>
    <t>Online Payment 25333588488 To MERCEDES-BENZ FINANCIAL SERVICES 07/02</t>
  </si>
  <si>
    <t>Online Payment 25333575706 To FRONTIER TELEPHONE 07/02</t>
  </si>
  <si>
    <t>COSTCO *ANNUAL RENEWA 800-774-2678 WA        07/01</t>
  </si>
  <si>
    <t>Online Transfer to CHK ...0709 transaction#: 25332905154 07/01</t>
  </si>
  <si>
    <t>GELSON'S MARKET #29 SANTA MONICA CA  358678  06/30</t>
  </si>
  <si>
    <t>BLUE SHIELD CALIFORNI 800-393-6130 CA        06/30</t>
  </si>
  <si>
    <t>LAZY ACRES 27 SAN DIEGO CA                   06/29 Purchase $47.69 Cash Back $100.00</t>
  </si>
  <si>
    <t>Online Transfer to CHK ...6975 transaction#: 25303064046 06/30</t>
  </si>
  <si>
    <t>SQ *TRILOGY SANCTUARY La Jolla CA            06/29</t>
  </si>
  <si>
    <t>LYFT   *RIDE SAT 8PM LYFT.COM CA             06/29</t>
  </si>
  <si>
    <t>UBER   * EATS PENDIN SAN FRANCISCO CA366468  06/28</t>
  </si>
  <si>
    <t>EXPEDIA 73156381129471 EXPEDIA.COM WA        06/28</t>
  </si>
  <si>
    <t>Amazon.com*N32RX7JK2 Amzn.com/bill WA        06/29</t>
  </si>
  <si>
    <t>APPLE.COM/BILL 866-712-7753 CA               06/28</t>
  </si>
  <si>
    <t>CVSExtraCare 80074672 800-746-7287 RI        06/28</t>
  </si>
  <si>
    <t>AMAZON MKTPL*NQ0QJ78 Amzn.com/bill WA        06/28</t>
  </si>
  <si>
    <t>UBER   * EATS PENDIN SAN FRANCISCO CA087461  06/27</t>
  </si>
  <si>
    <t>AMAZON MKTPL*N33IC2O Amzn.com/bill WA        06/27</t>
  </si>
  <si>
    <t>Zara.com/USA 855-6359272 NY                  06/27</t>
  </si>
  <si>
    <t>AMAZON MKTPL*NQ06441 Amzn.com/bill WA        06/27</t>
  </si>
  <si>
    <t>Zelle payment from MARY MILITE TREIGER WFCT0YYTKTHP</t>
  </si>
  <si>
    <t>Zelle payment from MARY MILITE TREIGER WFCT0YYTKQ2C</t>
  </si>
  <si>
    <t>Zelle payment from MARY MILITE TREIGER WFCT0YYTKLSG</t>
  </si>
  <si>
    <t>AMAZON MKTPL*NQ0OG5Y Amzn.com/bill WA        06/27</t>
  </si>
  <si>
    <t>SPACEWEATHERNEWS.COM SPACEWEATHERN CO        06/26</t>
  </si>
  <si>
    <t>COPENHAGEN PASTRY CULVER CITY CA             06/26</t>
  </si>
  <si>
    <t>SQ *BERRY FLASH PHOTO Los Angeles CA         06/26</t>
  </si>
  <si>
    <t>Prime Video Channels amzn.com/bill WA        06/26</t>
  </si>
  <si>
    <t>AMAZON MKTPL*NQ2HI6E Amzn.com/bill WA        06/27</t>
  </si>
  <si>
    <t>Amazon.com*NQ7E47JK0 Amzn.com/bill WA        06/26</t>
  </si>
  <si>
    <t>AMAZON MKTPL*NQ89910 Amzn.com/bill WA        06/26</t>
  </si>
  <si>
    <t>AMAZON MKTPL*NQ6BX10 Amzn.com/bill WA        06/26</t>
  </si>
  <si>
    <t>Zelle payment from JOE SAUNDERS 25280372586</t>
  </si>
  <si>
    <t>ATT*BILL PAYMENT 800-288-2020 TX             06/25</t>
  </si>
  <si>
    <t>Online Transfer from CHK ...1168 transaction#: 25262867466</t>
  </si>
  <si>
    <t>FAARHA INC #43159 LOS ANGELES CA     548402  06/25</t>
  </si>
  <si>
    <t>LUKE UNFILTERED WEARECHANGE.O FL             06/25</t>
  </si>
  <si>
    <t>AMAZON PRIME*NQ4W52F Amzn.com/bill WA        06/25</t>
  </si>
  <si>
    <t>AMAZON MKTPL*NO38T1R Amzn.com/bill WA        06/24</t>
  </si>
  <si>
    <t>GRANDVIEW CLEANERS LOS ANGELES CA            06/23</t>
  </si>
  <si>
    <t>APPLE.COM/BILL 866-712-7753 CA               06/23</t>
  </si>
  <si>
    <t>AMERICAN AIR00183175236 FORT WORTH TX        06/22</t>
  </si>
  <si>
    <t>AMERICAN AIR00173128106 FORT WORTH TX        06/22</t>
  </si>
  <si>
    <t>TRADER JOE S #11 TRADE LOS ANGELES CA649821  06/23</t>
  </si>
  <si>
    <t>GELSON'S MARKET #29 SANTA MONICA CA          06/23 Purchase $582.47 Cash Back $40.00</t>
  </si>
  <si>
    <t>TST* CAFE GRATITUDE - V VENICE CA            06/23</t>
  </si>
  <si>
    <t>UNITED      01643073661 UNITED.COM TX        06/22</t>
  </si>
  <si>
    <t>UNITED      01624979289 UNITED.COM TX        06/22</t>
  </si>
  <si>
    <t>EXPEDIA 73149326670415 EXPEDIA.COM WA        06/22</t>
  </si>
  <si>
    <t>UBER   * EATS PENDIN SAN FRANCISCO CA027815  06/21</t>
  </si>
  <si>
    <t>AMAZON MKTPL*NO7WC62 Amzn.com/bill WA        06/23</t>
  </si>
  <si>
    <t>FANDANGO    * FANDANGO.COM CA                06/22</t>
  </si>
  <si>
    <t>AMAZON MKTPL*NO2I78X Amzn.com/bill WA        06/22</t>
  </si>
  <si>
    <t>AMAZON MKTPL*NO42H5H Amzn.com/bill WA        06/22</t>
  </si>
  <si>
    <t>SP JEFFREYCAMPBELL JEFFREYCAMPBE CA          06/21</t>
  </si>
  <si>
    <t>Zara.com 212-3551415 NY                      06/21</t>
  </si>
  <si>
    <t>UBER   * EATS PENDIN SAN FRANCISCO CA074912  06/20</t>
  </si>
  <si>
    <t>FIRE ANT CONTROL OF. tchoate10@yah TX        06/20</t>
  </si>
  <si>
    <t>Amazon.com*NO18G71Q1 Amzn.com/bill WA        06/20</t>
  </si>
  <si>
    <t>QDI*QUEST DIAGNOSTICS 800-758-6047 CA        06/21</t>
  </si>
  <si>
    <t>AMAZON MKTPL*NO72X25 Amzn.com/bill WA        06/22</t>
  </si>
  <si>
    <t>NEXTLINK BROADBAND 855-6985465 TX            06/20</t>
  </si>
  <si>
    <t>Zelle payment from TANYA MILLER HNA0JF8S4QL1</t>
  </si>
  <si>
    <t>Online Transfer from CHK ...1168 transaction#: 25232122097</t>
  </si>
  <si>
    <t>WITHDRAWAL 06/20</t>
  </si>
  <si>
    <t>Zelle payment to Angela Dunning JPM99bcux2jk</t>
  </si>
  <si>
    <t>UBER   * EATS PENDIN SAN FRANCISCO CA013816  06/19</t>
  </si>
  <si>
    <t>Amazon.com*NO72O0AT1 Amzn.com/bill WA        06/20</t>
  </si>
  <si>
    <t>LAPHIL HWBOWL WEB 323-850-2000 CA            06/20</t>
  </si>
  <si>
    <t>LAPHIL HWBOWL WEB 323-850-2000 CA            06/19</t>
  </si>
  <si>
    <t>SP GLOMELANIN GLOMELANIN.CO GA               06/19</t>
  </si>
  <si>
    <t>Amazon Tips*NO4BW7BM Amzn.com/bill WA        06/19</t>
  </si>
  <si>
    <t>Online Transfer from CHK ...1168 transaction#: 25200276037</t>
  </si>
  <si>
    <t>DEPOSIT  ID NUMBER 109171</t>
  </si>
  <si>
    <t>AMAZON MKTPL*NA5B99I Amzn.com/bill WA        06/18</t>
  </si>
  <si>
    <t>Amazon.com*NA8Q949X1 Amzn.com/bill WA        06/17</t>
  </si>
  <si>
    <t>PAVILIONS #2105 MARINA DEL RE CA             06/17</t>
  </si>
  <si>
    <t>PEETS 13403 MARINA DEL RE CA                 06/17</t>
  </si>
  <si>
    <t>SQ *BERRY FLASH PHOTO Los Angeles CA         06/17</t>
  </si>
  <si>
    <t>HANDY J CAR WASH LOS ANGELES CA              06/17</t>
  </si>
  <si>
    <t>JON RAPPOPORT JONRAPPOPORT. NC               06/17</t>
  </si>
  <si>
    <t>UBER   * EATS PENDIN SAN FRANCISCO CA072451  06/16</t>
  </si>
  <si>
    <t>AMAZON MKTPL*NA0N77S Amzn.com/bill WA        06/17</t>
  </si>
  <si>
    <t>Amazon.com*NO35R8NR2 Amzn.com/bill WA        06/16</t>
  </si>
  <si>
    <t>AMAZON MKTPL*NA75C0X Amzn.com/bill WA        06/16</t>
  </si>
  <si>
    <t>AMAZON MKTPL*NA91Z75 Amzn.com/bill WA        06/16</t>
  </si>
  <si>
    <t>Prime Video Channels amzn.com/bill WA        06/14</t>
  </si>
  <si>
    <t>AMAZON PRIME*NA3L79I Amzn.com/bill WA        06/14</t>
  </si>
  <si>
    <t>APPLE.COM/BILL 866-712-7753 CA               06/14</t>
  </si>
  <si>
    <t>Amazon.com*NA8EE6WO2 Amzn.com/bill WA        06/15</t>
  </si>
  <si>
    <t>AMAZON MKTPL*NA90010 Amzn.com/bill WA        06/15</t>
  </si>
  <si>
    <t>AMAZON MKTPL*NA2V549 Amzn.com/bill WA        06/14</t>
  </si>
  <si>
    <t>AMAZON MKTPL*NA1QU0K Amzn.com/bill WA        06/13</t>
  </si>
  <si>
    <t>AMAZON MKTPL*NA07F4N Amzn.com/bill WA        06/14</t>
  </si>
  <si>
    <t>AMAZON MKTPL*NA5QI8F Amzn.com/bill WA        06/13</t>
  </si>
  <si>
    <t>Zelle payment to Britt Magadini JPM99bc2xyle</t>
  </si>
  <si>
    <t>SP RAJANIMD STORE.RAJANIM OR                 06/13</t>
  </si>
  <si>
    <t>CITY OF SANTA MONICA SANTA MONICA CA         06/12</t>
  </si>
  <si>
    <t>AMAZON MKTPL*NH5Z37W Amzn.com/bill WA        06/12</t>
  </si>
  <si>
    <t>AMAZON MKTPL*NH0D459 Amzn.com/bill WA        06/12</t>
  </si>
  <si>
    <t>Amazon Tips*NA4MW8VK Amzn.com/bill WA        06/12</t>
  </si>
  <si>
    <t>PAVILIONS #2105 MARINA DEL RE CA             06/11</t>
  </si>
  <si>
    <t>LA COUNTY TTC PAY 213-974-2111 CA            06/11</t>
  </si>
  <si>
    <t>SERVICE FEE 213-974-2111 TN                  06/11</t>
  </si>
  <si>
    <t>LADOT PARKING CITATIO 866-561-9742 CA        06/11</t>
  </si>
  <si>
    <t>LOS ANGELES INTERNATIO LOS ANGELES CA        06/10</t>
  </si>
  <si>
    <t>AMERICAN AI 00126018895 DALLAS TX            06/10</t>
  </si>
  <si>
    <t>AMAZON MKTPL*NA87V20 Amzn.com/bill WA        06/11</t>
  </si>
  <si>
    <t>Online Payment 25091711990 To SOUTHERN CALIFORNIA GAS CO 06/11</t>
  </si>
  <si>
    <t>Online Payment 25091682812 To FRONTIER TELEPHONE 06/11</t>
  </si>
  <si>
    <t>GELSON'S MARKET #29 SANTA MONICA CA  790230  06/10</t>
  </si>
  <si>
    <t>Amazon.com*NH2V44H91 Amzn.com/bill WA        06/10</t>
  </si>
  <si>
    <t>Zara.com New York NY                         06/10</t>
  </si>
  <si>
    <t>AMAZON MKTPL*NH5HD8M Amzn.com/bill WA        06/10</t>
  </si>
  <si>
    <t>Online Transfer from CHK ...1168 transaction#: 25094128940</t>
  </si>
  <si>
    <t>ZOLA.COM*REGISTRY ZOLA.COM NY                06/10</t>
  </si>
  <si>
    <t>APPLE.COM/BILL 866-712-7753 CA               06/10</t>
  </si>
  <si>
    <t>AMERICAN AIR00144629112 FORT WORTH TX        06/09</t>
  </si>
  <si>
    <t>APPLE.COM/BILL 866-712-7753 CA               06/09</t>
  </si>
  <si>
    <t>Amazon.com*NH8SL5AP1 Amzn.com/bill WA        06/09</t>
  </si>
  <si>
    <t>AMAZON MKTPL*NH90L2E Amzn.com/bill WA        06/09</t>
  </si>
  <si>
    <t>Online Transfer from CHK ...1168 transaction#: 25076703692</t>
  </si>
  <si>
    <t>AMAZON MKTPLACE PMTS Amzn.com/bill WA        06/09</t>
  </si>
  <si>
    <t>HOMEGOODS #1084 WEATHERFORD TX       038034  06/09</t>
  </si>
  <si>
    <t>T J MAXX #1295 WEATHERFORD TX        062871  06/09</t>
  </si>
  <si>
    <t>TIGER MART #51 WEATHERFORD TX        250400  06/09</t>
  </si>
  <si>
    <t>UBER   * EATS PENDIN SAN FRANCISCO CA027486  06/08</t>
  </si>
  <si>
    <t>TARGET T-1981 WEATHERFORD TX         003314  06/07</t>
  </si>
  <si>
    <t>Prime Video Channels amzn.com/bill WA        06/07</t>
  </si>
  <si>
    <t>FANDANGO    * FANDANGO.COM CA                06/07</t>
  </si>
  <si>
    <t>AMAZON MKTPL*NH03D8H Amzn.com/bill WA        06/06</t>
  </si>
  <si>
    <t>Zara.com 212-3551415 NY                      06/06</t>
  </si>
  <si>
    <t>AMAZON MKTPL*NH5ZJ9Q Amzn.com/bill WA        06/07</t>
  </si>
  <si>
    <t>AMAZON MKTPL*NH4PU0V Amzn.com/bill WA        06/06</t>
  </si>
  <si>
    <t>AMAZON MKTPL*N69DP5K Amzn.com/bill WA        06/06</t>
  </si>
  <si>
    <t>AMAZON MKTPL*N65CD9K Amzn.com/bill WA        06/06</t>
  </si>
  <si>
    <t>Online Transfer from CHK ...1168 transaction#: 25071815929</t>
  </si>
  <si>
    <t>THE HOME DEPOT #6515 WEATHERFORD TX  030515  06/06</t>
  </si>
  <si>
    <t>GOOGLE *YouTubePremi g.co/helppay# CA        06/06</t>
  </si>
  <si>
    <t>SP MCW CARPETBAGS MCWHANDMADE.C CA           06/06</t>
  </si>
  <si>
    <t>AXS.COMSOUTHERN CAL 888-929-7849 CA          06/06</t>
  </si>
  <si>
    <t>AMAZON MKTPL*N664O69 Amzn.com/bill WA        06/06</t>
  </si>
  <si>
    <t>PSYCHOLOGY TODAY PSYCHOLOGYTOD SD            06/06</t>
  </si>
  <si>
    <t>ELEVENLABS.IO ELEVENLABS.IO NY               06/06</t>
  </si>
  <si>
    <t>AMAZON MKTPL*N692R32 Amzn.com/bill WA        06/06</t>
  </si>
  <si>
    <t>AMAZON MKTPL*N62163K Amzn.com/bill WA        06/05</t>
  </si>
  <si>
    <t>AMAZON MKTPL*N67ZV06 Amzn.com/bill WA        06/05</t>
  </si>
  <si>
    <t>Online Transfer from CHK ...1168 transaction#: 25030613857</t>
  </si>
  <si>
    <t>NNTCWWW.TARGET.COM 2 BROOKLYN PARK MN851020  06/04</t>
  </si>
  <si>
    <t>CENTRAL MARKET #545 FT WORTH TX      675802  06/05</t>
  </si>
  <si>
    <t>APPLE.COM/BILL 866-712-7753 CA               06/05</t>
  </si>
  <si>
    <t>Online Transfer from CHK ...1168 transaction#: 25022244648</t>
  </si>
  <si>
    <t>NTTA AUTOCHARGE 972-818-6882 TX              06/03</t>
  </si>
  <si>
    <t>HOMEGOODS #1084 WEATHERFORD TX       044588  06/03</t>
  </si>
  <si>
    <t>ATM WITHDRAWAL                       009436  06/03225 E INT</t>
  </si>
  <si>
    <t>Amazon.com*N68BZ6P41 Amzn.com/bill WA        06/03</t>
  </si>
  <si>
    <t>FANDANGO    * FANDANGO.COM CA                06/02</t>
  </si>
  <si>
    <t>AMAZON MKTPL*N69J333 Amzn.com/bill WA        06/02</t>
  </si>
  <si>
    <t>Zara.com/USA 855-6359272 NY                  06/02</t>
  </si>
  <si>
    <t>ORIG CO NAME:PAYPAL                 ORIG ID:PAYPALSI77 DESC DATE:250602 CO ENTRY DESCR:INST XFER SEC:WEB    TRACE#:021000022575562 EED:250602   IND ID:BOOHOOCOMPL                  IND NAME:JOHN DUNNING                                                                                                 250602PPZ5L6 TRN: 1532575562TC</t>
  </si>
  <si>
    <t>ACH_DEBIT</t>
  </si>
  <si>
    <t>ORIG CO NAME:PAYPAL                 ORIG ID:PAYPALSI77 DESC DATE:250601 CO ENTRY DESCR:INST XFER SEC:WEB    TRACE#:021000023508871 EED:250602   IND ID:P374C3E405                   IND NAME:JOHN DUNNING                                                                                                 250601PPZ4UH TRN: 1533508871TC</t>
  </si>
  <si>
    <t>WHOLEFDS FTW #10 3400 FORT WORTH TX  456867  06/01</t>
  </si>
  <si>
    <t>ASCEND.ACADEMY ASCENDTHEFREQ AR              06/01</t>
  </si>
  <si>
    <t>SQ *REA COMMERCIAL SECU gosq.com CA          06/01</t>
  </si>
  <si>
    <t>AMAZON MKTPL*NN2YP7Y Amzn.com/bill WA        06/01</t>
  </si>
  <si>
    <t>AMAZON MKTPL*N61V70L Amzn.com/bill WA        06/01</t>
  </si>
  <si>
    <t>THE C. G. JUNG INSTIT 310-556-1193 CA        06/02</t>
  </si>
  <si>
    <t>Amazon.com*N65J27N31 Amzn.com/bill WA        06/02</t>
  </si>
  <si>
    <t>PORTAL TO ASCENSION PORTALTOASCEN CA         05/31</t>
  </si>
  <si>
    <t>TEXACO 0305171 WEATHERFORD TX                05/31</t>
  </si>
  <si>
    <t>WALGREENS STORE 1317 S WEATHERFORD TX816481  05/31</t>
  </si>
  <si>
    <t>AMAZON MKTPL*NN96D4Y Amzn.com/bill WA        05/31</t>
  </si>
  <si>
    <t>ATM WITHDRAWAL                       003175  05/31225 E INT</t>
  </si>
  <si>
    <t>BLUE SHIELD CALIFORNI 800-393-6130 CA        05/31</t>
  </si>
  <si>
    <t>REPUBLIC SERVICES TRA 866-576-5548 AZ        05/31</t>
  </si>
  <si>
    <t>AMAZON MKTPL*NN5JT5D Amzn.com/bill WA        05/31</t>
  </si>
  <si>
    <t>AMAZON MKTPL*NN8DC1S Amzn.com/bill WA        05/31</t>
  </si>
  <si>
    <t>Amazon.com*NN48608I0 Amzn.com/bill WA        05/30</t>
  </si>
  <si>
    <t>AMAZON MKTPL*N621S3V Amzn.com/bill WA        05/31</t>
  </si>
  <si>
    <t>Zara.com/USA 855-6359272 NY                  05/31</t>
  </si>
  <si>
    <t>Online Transfer from CHK ...1168 transaction#: 24987610062</t>
  </si>
  <si>
    <t>NNTCWWW.TARGET.COM 6 BROOKLYN PARK MN791581  05/29</t>
  </si>
  <si>
    <t>UBER   * EATS PENDIN SAN FRANCISCO CA022602  05/29</t>
  </si>
  <si>
    <t>Zara.com 212-3551415 NY                      05/30</t>
  </si>
  <si>
    <t>Amazon.com*N630G4012 Amzn.com/bill WA        05/30</t>
  </si>
  <si>
    <t>AMAZON MKTPL*NN6T92B Amzn.com/bill WA        05/30</t>
  </si>
  <si>
    <t>CLASSICALWISDOM.COM CLASSICALWISD FL         05/29</t>
  </si>
  <si>
    <t>Nastygal.com 333-3110804 PA                  05/29</t>
  </si>
  <si>
    <t>ORIG CO NAME:PAYPAL                 ORIG ID:PAYPALSI77 DESC DATE:250529 CO ENTRY DESCR:INST XFER SEC:WEB    TRACE#:021000027584371 EED:250529   IND ID:BOOHOOCOMPL                  IND NAME:JOHN DUNNING                                                                                                 250529PPZJR8 TRN: 1497584371TC</t>
  </si>
  <si>
    <t>CVSExtraCare 80074672 800-746-7287 RI        05/28</t>
  </si>
  <si>
    <t>AMAZON MKTPL*N60AD24 Amzn.com/bill WA        05/28</t>
  </si>
  <si>
    <t>AMERICAN AI 001446179 800-433-7300 TX        05/27</t>
  </si>
  <si>
    <t>AMERICAN AIR00172281023 FORT WORTH TX        05/27</t>
  </si>
  <si>
    <t>AMERICAN AIR00172280599 FORT WORTH TX        05/27</t>
  </si>
  <si>
    <t>TARGET T-1981 WEATHERFORD TX         005830  05/28</t>
  </si>
  <si>
    <t>UBER   * EATS PENDIN SAN FRANCISCO CA022508  05/28</t>
  </si>
  <si>
    <t>APPLE.COM/BILL 866-712-7753 CA               05/28</t>
  </si>
  <si>
    <t>Patreon* Membership Internet CA              05/28</t>
  </si>
  <si>
    <t>AMAZON MKTPL*NN9CY3J Amzn.com/bill WA        05/28</t>
  </si>
  <si>
    <t>AMAZON MKTPL*N62NW1O Amzn.com/bill WA        05/28</t>
  </si>
  <si>
    <t>AMAZON MKTPL*NN8ME81 Amzn.com/bill WA        05/28</t>
  </si>
  <si>
    <t>SELF-PORTRAIT ISLINGTON                      05/27</t>
  </si>
  <si>
    <t>ANTHROPOLOGIE.COM ANTHROPOLOGIE PA           05/27</t>
  </si>
  <si>
    <t>Zelle payment from JOE SAUNDERS 24922478936</t>
  </si>
  <si>
    <t>Online Payment 24911088468 To SOUTHERN CALIFORNIA GAS CO 05/27</t>
  </si>
  <si>
    <t>Online Payment 24911074402 To SAFECO INSURANCE COMPANY 05/27</t>
  </si>
  <si>
    <t>Online Payment 24911055504 To FRONTIER TELEPHONE 05/27</t>
  </si>
  <si>
    <t>Online Payment 24911070562 To AMERICAN EDUCATION SERVICES 05/27</t>
  </si>
  <si>
    <t>Online Payment 24911051909 To MERCEDES-BENZ FINANCIAL SERVICES 05/27</t>
  </si>
  <si>
    <t>WALGREENS STORE 1317 S WEATHERFORD TX862192  05/26</t>
  </si>
  <si>
    <t>SPACEWEATHERNEWS.COM SPACEWEATHERN CO        05/26</t>
  </si>
  <si>
    <t>TST* CLEAN JUICE - CLEA FORT WORTH TX        05/26</t>
  </si>
  <si>
    <t>Prime Video Channels amzn.com/bill WA        05/26</t>
  </si>
  <si>
    <t>AMERICAN AIR00144616911 FORT WORTH TX        05/26</t>
  </si>
  <si>
    <t>AMERICAN AI 001446158 800-433-7300 TX        05/25</t>
  </si>
  <si>
    <t>AMERICAN AI 001062723 800-433-7300 TX        05/25</t>
  </si>
  <si>
    <t>LUKE UNFILTERED WEARECHANGE.O FL             05/25</t>
  </si>
  <si>
    <t>AMAZON PRIME*NN7AU8H Amzn.com/bill WA        05/24</t>
  </si>
  <si>
    <t>ATT*BILL PAYMENT 800-288-2020 TX             05/24</t>
  </si>
  <si>
    <t>Categories</t>
  </si>
  <si>
    <t>Keyword</t>
  </si>
  <si>
    <t>Category</t>
  </si>
  <si>
    <t>DOORDASH</t>
  </si>
  <si>
    <t>Uber Eats</t>
  </si>
  <si>
    <t>AMAZON</t>
  </si>
  <si>
    <t>Amazon</t>
  </si>
  <si>
    <t>PRIME VIDEO</t>
  </si>
  <si>
    <t>POSHMARK</t>
  </si>
  <si>
    <t>Poshmark</t>
  </si>
  <si>
    <t>GRANDVIEW</t>
  </si>
  <si>
    <t>Personal - Clothing</t>
  </si>
  <si>
    <t>AMERICAN AI</t>
  </si>
  <si>
    <t>Personal Travel</t>
  </si>
  <si>
    <t xml:space="preserve">UNITED  </t>
  </si>
  <si>
    <t>EXPEDIA</t>
  </si>
  <si>
    <t>SEVENTH</t>
  </si>
  <si>
    <t>SOUTHWEST</t>
  </si>
  <si>
    <t>FRONTIER AI</t>
  </si>
  <si>
    <t>Frontier</t>
  </si>
  <si>
    <t>CAMFT</t>
  </si>
  <si>
    <t>Personal - Work</t>
  </si>
  <si>
    <t>BLUE SHIELD</t>
  </si>
  <si>
    <t>Personal - Health Insurance</t>
  </si>
  <si>
    <t>ATT~*BILL</t>
  </si>
  <si>
    <t>AT&amp;T</t>
  </si>
  <si>
    <t>LEELEE</t>
  </si>
  <si>
    <t>Zelle-Leelee</t>
  </si>
  <si>
    <t>MARY MARGARET TRAHAN</t>
  </si>
  <si>
    <t>Zelle from Mary Margaret Trahan</t>
  </si>
  <si>
    <t>TANYA MILLER</t>
  </si>
  <si>
    <t>Zelle from Tanya Miller</t>
  </si>
  <si>
    <t>ROSE LI</t>
  </si>
  <si>
    <t>Zelle from Rose Li</t>
  </si>
  <si>
    <t>EUNICE G CHANG</t>
  </si>
  <si>
    <t>Zelle from Eunice G Chang</t>
  </si>
  <si>
    <t>G-EUNICE LLC</t>
  </si>
  <si>
    <t>Zelle from G-Eunice LLC</t>
  </si>
  <si>
    <t>BRITT MAGADINI</t>
  </si>
  <si>
    <t>Zelle to Britt Magadini</t>
  </si>
  <si>
    <t>NATALIE CORDOVA</t>
  </si>
  <si>
    <t>Zelle to Natalie Cordova</t>
  </si>
  <si>
    <t>SHAFFA</t>
  </si>
  <si>
    <t>Zelle to Shaffa</t>
  </si>
  <si>
    <t>PALM SPRINGS</t>
  </si>
  <si>
    <t>Palm Springs</t>
  </si>
  <si>
    <t>EXCHANGE RATE</t>
  </si>
  <si>
    <t>Personal Travel - Canada</t>
  </si>
  <si>
    <t>CHK ...1168</t>
  </si>
  <si>
    <t>Transfer from DWG Capital Group</t>
  </si>
  <si>
    <t>CHK ...6975</t>
  </si>
  <si>
    <t>Transfer to Ava</t>
  </si>
  <si>
    <t>UBER</t>
  </si>
  <si>
    <t>Personal - Uber</t>
  </si>
  <si>
    <t>FEDEX</t>
  </si>
  <si>
    <t>Shipping</t>
  </si>
  <si>
    <t>UPS</t>
  </si>
  <si>
    <t>HANDY J</t>
  </si>
  <si>
    <t>Personal - Car</t>
  </si>
  <si>
    <t>JUNG INSTIT</t>
  </si>
  <si>
    <t>Donation</t>
  </si>
  <si>
    <t>AIT~* DONATION</t>
  </si>
  <si>
    <t>AUDIBLE</t>
  </si>
  <si>
    <t>Personal - Entertainment</t>
  </si>
  <si>
    <t>TM ~*</t>
  </si>
  <si>
    <t>EB ~*</t>
  </si>
  <si>
    <t>LA PHIL</t>
  </si>
  <si>
    <t>STAGE WEST THEATRE</t>
  </si>
  <si>
    <t>CASA MANANA</t>
  </si>
  <si>
    <t>SSP~*ART DECO</t>
  </si>
  <si>
    <t>KIMBELL ART MUSEUM</t>
  </si>
  <si>
    <t>61 OSTERIA</t>
  </si>
  <si>
    <t>Personal - Food</t>
  </si>
  <si>
    <t>CENTRAL MARKET</t>
  </si>
  <si>
    <t>WHOLEFDS</t>
  </si>
  <si>
    <t>WHOLE FOODS</t>
  </si>
  <si>
    <t>RESTAURANT</t>
  </si>
  <si>
    <t>STARBUCKS</t>
  </si>
  <si>
    <t>MONTGOMERY</t>
  </si>
  <si>
    <t>ROSAS CAFE</t>
  </si>
  <si>
    <t>PAVILIONS</t>
  </si>
  <si>
    <t>PACOS TACOS</t>
  </si>
  <si>
    <t>COSTCO</t>
  </si>
  <si>
    <t>FRESH PRESSED</t>
  </si>
  <si>
    <t>TST~*</t>
  </si>
  <si>
    <t>IC~* INSTACART</t>
  </si>
  <si>
    <t>GELSON'S</t>
  </si>
  <si>
    <t>PANTRY ON MAGNOLIA</t>
  </si>
  <si>
    <t>MITSUWA</t>
  </si>
  <si>
    <t>MAMOLO'S</t>
  </si>
  <si>
    <t>COLORADO DONUTS</t>
  </si>
  <si>
    <t>PINGO DOCE</t>
  </si>
  <si>
    <t>SABOR A ESPANA</t>
  </si>
  <si>
    <t>CASA DIAMANTINA</t>
  </si>
  <si>
    <t>ORIGINAL MEXICAN EA</t>
  </si>
  <si>
    <t>COFFEE BEAN</t>
  </si>
  <si>
    <t>FAIRCHILDS VINEGA</t>
  </si>
  <si>
    <t>EXCHG RTE</t>
  </si>
  <si>
    <t>FILM ALLEY</t>
  </si>
  <si>
    <t>MODERN ART</t>
  </si>
  <si>
    <t>AMC</t>
  </si>
  <si>
    <t>FANDANGO</t>
  </si>
  <si>
    <t>CINEMARK</t>
  </si>
  <si>
    <t>COLD CAVE</t>
  </si>
  <si>
    <t>WORLD MARKET</t>
  </si>
  <si>
    <t>Personal - Shopping</t>
  </si>
  <si>
    <t>ZARA</t>
  </si>
  <si>
    <t>BENBROOK</t>
  </si>
  <si>
    <t>MANGO.COM</t>
  </si>
  <si>
    <t>TARGET</t>
  </si>
  <si>
    <t>ANTIQ</t>
  </si>
  <si>
    <t>HOMEGOODS</t>
  </si>
  <si>
    <t>HOME GOODS</t>
  </si>
  <si>
    <t>MACYS</t>
  </si>
  <si>
    <t>ANNA SUI</t>
  </si>
  <si>
    <t>WHIMSY</t>
  </si>
  <si>
    <t>ANTHROPOLOGIE</t>
  </si>
  <si>
    <t>EBAY</t>
  </si>
  <si>
    <t>OLYXIR</t>
  </si>
  <si>
    <t>MEADOWS MUSEUM</t>
  </si>
  <si>
    <t>T J MAXX</t>
  </si>
  <si>
    <t>HOBBYLOBBY</t>
  </si>
  <si>
    <t>GOODWILL</t>
  </si>
  <si>
    <t>RUMORS RICH</t>
  </si>
  <si>
    <t>TIMELINE SHOP</t>
  </si>
  <si>
    <t>PAKRAT ECLECTIBLES</t>
  </si>
  <si>
    <t>BESTBUYCOM</t>
  </si>
  <si>
    <t>ROSS STORES</t>
  </si>
  <si>
    <t>JEFFREYCAMPBELL</t>
  </si>
  <si>
    <t>MCW CARPETBAGS</t>
  </si>
  <si>
    <t>HOME DEPOT</t>
  </si>
  <si>
    <t>ZIMMERMANN</t>
  </si>
  <si>
    <t>ETSY</t>
  </si>
  <si>
    <t>Etsy</t>
  </si>
  <si>
    <t>MUTZEL</t>
  </si>
  <si>
    <t>Personal - Health</t>
  </si>
  <si>
    <t>CVS</t>
  </si>
  <si>
    <t>ANTI AGING</t>
  </si>
  <si>
    <t>RAJANI</t>
  </si>
  <si>
    <t>BLUEPRINT</t>
  </si>
  <si>
    <t>6DAYWEIGHT</t>
  </si>
  <si>
    <t>VALASTA</t>
  </si>
  <si>
    <t>WELLNESS COMPANY</t>
  </si>
  <si>
    <t>AURO WELLNESS</t>
  </si>
  <si>
    <t>WALGREENS</t>
  </si>
  <si>
    <t>L`ARTE NAILS</t>
  </si>
  <si>
    <t>TEXAS HEALTHCARE</t>
  </si>
  <si>
    <t>VERSO HEALTH</t>
  </si>
  <si>
    <t>DEXA SCAN</t>
  </si>
  <si>
    <t>ALL FAMILY HEALTH</t>
  </si>
  <si>
    <t>LIFEPROFITNESS</t>
  </si>
  <si>
    <t>MVP-GLOW</t>
  </si>
  <si>
    <t>EDEN BOTANICALS</t>
  </si>
  <si>
    <t>COVEPURE</t>
  </si>
  <si>
    <t>LISA HO GUINAN</t>
  </si>
  <si>
    <t>ACTIVESKIN REPAIR</t>
  </si>
  <si>
    <t>COMPLETE EYE CARE</t>
  </si>
  <si>
    <t>BODYBIO</t>
  </si>
  <si>
    <t>QUEST DIAGNOSTICS</t>
  </si>
  <si>
    <t>EIGHT SLEEP</t>
  </si>
  <si>
    <t>HEALTHTRACKRX</t>
  </si>
  <si>
    <t>NTTA</t>
  </si>
  <si>
    <t>SHELL</t>
  </si>
  <si>
    <t xml:space="preserve">QT </t>
  </si>
  <si>
    <t>SPEEDWAY</t>
  </si>
  <si>
    <t>PNM~*THE TOLLROAD</t>
  </si>
  <si>
    <t>MERCEDES BENZ</t>
  </si>
  <si>
    <t>LADOT METER PARKING</t>
  </si>
  <si>
    <t>GOOGLE</t>
  </si>
  <si>
    <t>YouTube Premium</t>
  </si>
  <si>
    <t>ELEVEN</t>
  </si>
  <si>
    <t>Personal - Subscription</t>
  </si>
  <si>
    <t>PSYCHOLOGY</t>
  </si>
  <si>
    <t>KINDLE</t>
  </si>
  <si>
    <t>LEELA QUANTUM</t>
  </si>
  <si>
    <t>REA COMMERCIAL</t>
  </si>
  <si>
    <t>SCRIBD</t>
  </si>
  <si>
    <t>PENTESTER.COM</t>
  </si>
  <si>
    <t>LUKE UNFILTERED</t>
  </si>
  <si>
    <t>SPACEWEATHERNEWS</t>
  </si>
  <si>
    <t>BASHAR</t>
  </si>
  <si>
    <t>JON RAPPOPORT</t>
  </si>
  <si>
    <t>CLASSICALWISDOM</t>
  </si>
  <si>
    <t>BODHILIVE</t>
  </si>
  <si>
    <t>ANCIENT ORIGINS</t>
  </si>
  <si>
    <t>KO-FI.COM</t>
  </si>
  <si>
    <t>SPOTIFY</t>
  </si>
  <si>
    <t>TIMOTHYPOOL</t>
  </si>
  <si>
    <t>LEAKPROJECT</t>
  </si>
  <si>
    <t>RATEPUNK</t>
  </si>
  <si>
    <t>MCAFEE</t>
  </si>
  <si>
    <t>WORDPRESS</t>
  </si>
  <si>
    <t>GAIA</t>
  </si>
  <si>
    <t>FREEPEOPLE</t>
  </si>
  <si>
    <t>LOTT CLEANERS</t>
  </si>
  <si>
    <t>FARM RIO</t>
  </si>
  <si>
    <t>UNREAL FUR</t>
  </si>
  <si>
    <t>DARK GARDEN</t>
  </si>
  <si>
    <t>NON-CHASE ATM FEE</t>
  </si>
  <si>
    <t>Bank Fees</t>
  </si>
  <si>
    <t>JPMC FEE</t>
  </si>
  <si>
    <t>DFW AIRPORT PARKING</t>
  </si>
  <si>
    <t>AA KIOSK</t>
  </si>
  <si>
    <t>TAP AIR</t>
  </si>
  <si>
    <t>VIATORTRIPADVISOR</t>
  </si>
  <si>
    <t>VIRGINATLA</t>
  </si>
  <si>
    <t>GETYOURGUIDE</t>
  </si>
  <si>
    <t>TOURSBYLOCALS</t>
  </si>
  <si>
    <t>PANASONIC AVIONICS</t>
  </si>
  <si>
    <t>ALLIANZ EVENT INS</t>
  </si>
  <si>
    <t>PATRIOT SEPTIC</t>
  </si>
  <si>
    <t>Personal - House Bills</t>
  </si>
  <si>
    <t>REPUBLIC SERVICES</t>
  </si>
  <si>
    <t>LA CITY HOUSING</t>
  </si>
  <si>
    <t>Deposit</t>
  </si>
  <si>
    <t>WITHDRAW</t>
  </si>
  <si>
    <t>Withdrawal</t>
  </si>
  <si>
    <t>APPLE</t>
  </si>
  <si>
    <t>Apple</t>
  </si>
  <si>
    <t>TEXAS GENERAL ST</t>
  </si>
  <si>
    <t>PHOTOSFORHEADSTON</t>
  </si>
  <si>
    <t>CHK ...9335</t>
  </si>
  <si>
    <t>Transfer from Poseidon Asset Group</t>
  </si>
  <si>
    <t>RAYSTARLIGH</t>
  </si>
  <si>
    <t>PayPal ACH - RAYSTARLIGH</t>
  </si>
  <si>
    <t>OTHERSIDEMI</t>
  </si>
  <si>
    <t>PayPal ACH - OTHERSIDEMI</t>
  </si>
  <si>
    <t>PSYCHICMARY</t>
  </si>
  <si>
    <t>PayPal ACH - PSYCHICMARY</t>
  </si>
  <si>
    <t>MINERAL WELLS CENTER</t>
  </si>
  <si>
    <t>GOLDEN RULE LLC</t>
  </si>
  <si>
    <t>AFTER SCHOOL AMERICA</t>
  </si>
  <si>
    <t>Personal - Misc</t>
  </si>
  <si>
    <t>HAIGOOD &amp; CAMPBELL</t>
  </si>
  <si>
    <t>CENTER FOR STORY</t>
  </si>
  <si>
    <t>MERRIMAC &amp; NORTH</t>
  </si>
  <si>
    <t>WILSHIRE &amp; FAIRFAX</t>
  </si>
  <si>
    <t>RAINBOW ACRES</t>
  </si>
  <si>
    <t>UBER   *TRIP HELP.UB SAN FRANCISCO CA075384  05/24</t>
  </si>
  <si>
    <t>UBER   *TRIP HELP.UB SAN FRANCISCO CA029429  05/23</t>
  </si>
  <si>
    <t>WITCHES BREW TOURS GAL NEW ORLEANS LA        05/23</t>
  </si>
  <si>
    <t>SQ *KRISTINE KOLVA-BAR NEW ORLEANS LA        05/23</t>
  </si>
  <si>
    <t>PP*CUAUHTLI NEW ORLEANS LA                   05/23</t>
  </si>
  <si>
    <t>FRENCH MARKET PRODUCE NEW ORLEANS LA         05/23</t>
  </si>
  <si>
    <t>90949 -NEW ORLEANS PAR NEW ORLEANS LA        05/23</t>
  </si>
  <si>
    <t>Zelle payment from JOE SAUNDERS 24910856667</t>
  </si>
  <si>
    <t>Online Transfer from CHK ...9335 transaction#: 24883648954</t>
  </si>
  <si>
    <t>Online Transfer from CHK ...1168 transaction#: 24883701527</t>
  </si>
  <si>
    <t>Online Transfer from CHK ...1168 transaction#: 24911027530</t>
  </si>
  <si>
    <t>Cemetery Tours NOLA, L New Orleans LA        05/23</t>
  </si>
  <si>
    <t>APPLE COM BILL CUPERTINO CA          406820  05/23</t>
  </si>
  <si>
    <t>SQ *BACKATOWN NEW ORLEANS LA                 05/23</t>
  </si>
  <si>
    <t>MARIE LAVEAU'S NEW ORLEANS LA                05/22</t>
  </si>
  <si>
    <t>CVS/PHARMACY #02728 NEW ORLEANS LA   046573  05/22</t>
  </si>
  <si>
    <t>DD *DOORDASH TARGET 855-431-0459 CA          05/22</t>
  </si>
  <si>
    <t>MICHAELS STORES 8760 WEATHERFORD TX  168390  05/21</t>
  </si>
  <si>
    <t>WITHDRAWAL 05/21</t>
  </si>
  <si>
    <t>NEXTLINK BROADBAND 855-6985465 TX            05/20</t>
  </si>
  <si>
    <t>AMAZON MKTPL*NZ9RR8F Amzn.com/bill WA        05/21</t>
  </si>
  <si>
    <t>Amazon.com*NZ2TQ0FO0 Amzn.com/bill WA        05/21</t>
  </si>
  <si>
    <t>AMERICAN AIR00172275978 FORT WORTH TX        05/19</t>
  </si>
  <si>
    <t>WALGREENS STORE 1317 S WEATHERFORD TX548554  05/20</t>
  </si>
  <si>
    <t>AMAZON MKTPL*NW3BL0R Amzn.com/bill WA        05/20</t>
  </si>
  <si>
    <t>AMAZON MKTPL*NW6IC3Y Amzn.com/bill WA        05/20</t>
  </si>
  <si>
    <t>Amazon.com*NW0PB4IJ0 Amzn.com/bill WA        05/20</t>
  </si>
  <si>
    <t>NTTA AUTOCHARGE 972-818-6882 TX              05/19</t>
  </si>
  <si>
    <t>Amazon.com*NZ4SW77G2 Amzn.com/bill WA        05/19</t>
  </si>
  <si>
    <t>Online Transfer from CHK ...1168 transaction#: 24837290718</t>
  </si>
  <si>
    <t>UBER   * EATS PENDIN SAN FRANCISCO CA223152  05/19</t>
  </si>
  <si>
    <t>TARGET T-1981 WEATHERFORD TX         057505  05/19</t>
  </si>
  <si>
    <t>HOBBYLOBBY WEATHERFORD TX            026312  05/19</t>
  </si>
  <si>
    <t>GRANADA THEATER TICK WWW.GRANADATH TX        05/18</t>
  </si>
  <si>
    <t>AMAZON MKTPL*NZ5TS2H Amzn.com/bill WA        05/18</t>
  </si>
  <si>
    <t>TARGET        00019810 WEATHERFORD TX        05/16</t>
  </si>
  <si>
    <t>LOTT CLEANERS (MAIN ST WEATHERFORD TX        05/16</t>
  </si>
  <si>
    <t>AMAZON MKTPL*NW7YJ8G Amzn.com/bill WA        05/17</t>
  </si>
  <si>
    <t>TARGET T-1981 WEATHERFORD TX         009137  05/16</t>
  </si>
  <si>
    <t>SQ *STUDIO 74 VINTAGE Fort Worth TX          05/15</t>
  </si>
  <si>
    <t>AMAZON MKTPL*NW06B5N Amzn.com/bill WA        05/15</t>
  </si>
  <si>
    <t>AMAZON MKTPL*NZ4FS8Z Amzn.com/bill WA        05/15</t>
  </si>
  <si>
    <t>AMAZON MKTPL*NW24C94 Amzn.com/bill WA        05/15</t>
  </si>
  <si>
    <t>AMAZON MKTPL*NZ8L16Z Amzn.com/bill WA        05/15</t>
  </si>
  <si>
    <t>AMAZON MKTPL*NW0HJ64 Amzn.com/bill WA        05/15</t>
  </si>
  <si>
    <t>KIMBELL ART MUSEUM FORT WORTH TX             05/14</t>
  </si>
  <si>
    <t>AMAZON PRIME*NW6YV1O Amzn.com/bill WA        05/14</t>
  </si>
  <si>
    <t>MONTGOMERY STREE 2601 FORT WORTH TX  221040  05/14</t>
  </si>
  <si>
    <t>Zelle payment to joe saunders 24763107727</t>
  </si>
  <si>
    <t>QUICKPAY_DEBIT</t>
  </si>
  <si>
    <t>APPLE COM BILL CUPERTINO CA          595464  05/14</t>
  </si>
  <si>
    <t>Prime Video Channels amzn.com/bill WA        05/14</t>
  </si>
  <si>
    <t>AMAZON MKTPL*NI21N5W Amzn.com/bill WA        05/14</t>
  </si>
  <si>
    <t>TST* CLEAN JUICE - CLEA FORT WORTH TX        05/14</t>
  </si>
  <si>
    <t>SQ *BOULEVARD OF GREENS Fort Worth TX        05/13</t>
  </si>
  <si>
    <t>TARGET T-1981 WEATHERFORD TX         064239  05/13</t>
  </si>
  <si>
    <t>SHELL SERVICE STATION WEATHERFORD TX 224230  05/13</t>
  </si>
  <si>
    <t>CENTRAL MARKET #545 FT WORTH TX      659989  05/13</t>
  </si>
  <si>
    <t>STARBUCKS 85549 LOS ANGELES CA               05/12</t>
  </si>
  <si>
    <t>Zara.com 212-3551415 NY                      05/13</t>
  </si>
  <si>
    <t>Zara.com New York NY                         05/12</t>
  </si>
  <si>
    <t>AMAZON MKTPL*NI45O06 Amzn.com/bill WA        05/12</t>
  </si>
  <si>
    <t>UBER   * EATS PENDIN SAN FRANCISCO CA022649  05/12</t>
  </si>
  <si>
    <t>UBER   * EATS PENDIN SAN FRANCISCO CA024682  05/11</t>
  </si>
  <si>
    <t>CVS/PHARMACY #09493 MAR VISTA CA     045436  05/11</t>
  </si>
  <si>
    <t>WWW.BODHILIVE.COM WWW.BODHILIVE NC           05/11</t>
  </si>
  <si>
    <t>UBER   * PENDING SAN FRANCISCO CA    229636  05/10</t>
  </si>
  <si>
    <t>UBER   * EATS PENDIN SAN FRANCISCO CA013281  05/10</t>
  </si>
  <si>
    <t>UBER   * PENDING SAN FRANCISCO CA    028626  05/10</t>
  </si>
  <si>
    <t>ASCEND.ACADEMY ASCENDTHEFREQ AR              05/10</t>
  </si>
  <si>
    <t>GRANDVIEW CLEANERS LOS ANGELES CA            05/09</t>
  </si>
  <si>
    <t>TST*BLUEYS KITCHEN MAR Los Angeles CA        05/09</t>
  </si>
  <si>
    <t>AMAZON MKTPL*NW3AX4N Amzn.com/bill WA        05/09</t>
  </si>
  <si>
    <t>AMAZON MKTPL*NW17G6N Amzn.com/bill WA        05/09</t>
  </si>
  <si>
    <t>ATM CHECK DEPOSIT 05/11 12335 VENICE BLVD LOS ANGELES CA</t>
  </si>
  <si>
    <t>UBER   *TRIP HELP.UB SAN FRANCISCO CA368707  05/09</t>
  </si>
  <si>
    <t>APPLE COM BILL CUPERTINO CA          604252  05/09</t>
  </si>
  <si>
    <t>UBER   *TRIP HELP.UB SAN FRANCISCO CA359271  05/09</t>
  </si>
  <si>
    <t>UBER   * EATS PENDIN SAN FRANCISCO CA194963  05/08</t>
  </si>
  <si>
    <t>APPLE.COM/BILL 866-712-7753 CA               05/09</t>
  </si>
  <si>
    <t>AMAZON MKTPL*NW0G90F Amzn.com/bill WA        05/08</t>
  </si>
  <si>
    <t>Zara.com 212-3551415 NY                      05/09</t>
  </si>
  <si>
    <t>RAINBOW ACRES LOS ANGELES CA         584534  05/08</t>
  </si>
  <si>
    <t>GELSON'S MARKET #29 SANTA MONICA CA  390562  05/08</t>
  </si>
  <si>
    <t>UBER   * EATS PENDIN SAN FRANCISCO CA356599  05/08</t>
  </si>
  <si>
    <t>UBER   *TRIP HELP.UB SAN FRANCISCO CA195741  05/07</t>
  </si>
  <si>
    <t>TST*BLUEYS KITCHEN MAR Los Angeles CA        05/07</t>
  </si>
  <si>
    <t>Prime Video Channels amzn.com/bill WA        05/07</t>
  </si>
  <si>
    <t>AMAZON MKTPL*NI2047I Amzn.com/bill WA        05/08</t>
  </si>
  <si>
    <t>AMAZON MKTPL*NI0F439 Amzn.com/bill WA        05/07</t>
  </si>
  <si>
    <t>Amazon.com*NI31J6W82 Amzn.com/bill WA        05/08</t>
  </si>
  <si>
    <t>AMAZON MKTPL*NB6R33I Amzn.com/bill WA        05/08</t>
  </si>
  <si>
    <t>Amazon.com*NB8X73IE1 Amzn.com/bill WA        05/08</t>
  </si>
  <si>
    <t>Amazon.com*NB50457Q1 Amzn.com/bill WA        05/07</t>
  </si>
  <si>
    <t>AMAZON MKTPL*NB30W6I Amzn.com/bill WA        05/08</t>
  </si>
  <si>
    <t>Zara.com 212-3551415 NY                      05/08</t>
  </si>
  <si>
    <t>UBER   *TRIP HELP.UB SAN FRANCISCO CA194264  05/07</t>
  </si>
  <si>
    <t>UBER   *TRIP HELP.UB SAN FRANCISCO CA366209  05/07</t>
  </si>
  <si>
    <t>UBER   * PENDING SAN FRANCISCO CA    364054  05/06</t>
  </si>
  <si>
    <t>UBER   * PENDING SAN FRANCISCO CA    365315  05/06</t>
  </si>
  <si>
    <t>AMAZON MKTPL*NB21427 Amzn.com/bill WA        05/07</t>
  </si>
  <si>
    <t>AMAZON MKTPL*NI3439S Amzn.com/bill WA        05/07</t>
  </si>
  <si>
    <t>GRANDVIEW CLEANERS LOS ANGELES CA            05/06</t>
  </si>
  <si>
    <t>PEETS 13403 MARINA DEL RE CA                 05/06</t>
  </si>
  <si>
    <t>SQ *KREATION ORGANIC Marina del Re CA        05/06</t>
  </si>
  <si>
    <t>CITY OF SANTA MONICA SANTA MONICA CA         05/06</t>
  </si>
  <si>
    <t>AMAZON MKTPL*NI68Y16 Amzn.com/bill WA        05/06</t>
  </si>
  <si>
    <t>2418 AMC AMC MARINA MARINA DEL RE CA         05/05</t>
  </si>
  <si>
    <t>Zelle payment from G-EUNICE LLC 24685736347</t>
  </si>
  <si>
    <t>Online Transfer from CHK ...1168 transaction#: 24678761006</t>
  </si>
  <si>
    <t>CVS/PHARMACY #09493 MAR VISTA CA     045167  05/06</t>
  </si>
  <si>
    <t>GOOGLE *YouTubePremi g.co/helppay# CA        05/06</t>
  </si>
  <si>
    <t>UBER   *TRIP HELP.UB SAN FRANCISCO CA026914  05/05</t>
  </si>
  <si>
    <t>PSYCHOLOGY TODAY PSYCHOLOGYTOD SD            05/06</t>
  </si>
  <si>
    <t>ELEVENLABS.IO ELEVENLABS.IO NY               05/06</t>
  </si>
  <si>
    <t>GELSON'S MARKET #29 SANTA MONICA CA  158395  05/05</t>
  </si>
  <si>
    <t>THE HOME DEPOT #6611 LOS ANGELES CA  676961  05/04</t>
  </si>
  <si>
    <t>AMC 9640 ONLINE 888-440-4262 KS              05/05</t>
  </si>
  <si>
    <t>UBER   * EATS PENDIN SAN FRANCISCO CA225571  05/04</t>
  </si>
  <si>
    <t>UBER   * PENDING SAN FRANCISCO CA    029167  05/03</t>
  </si>
  <si>
    <t>AMAZON MKTPL*NB38A1T Amzn.com/bill WA        05/04</t>
  </si>
  <si>
    <t>Amazon.com*NB2KW9TV0 Amzn.com/bill WA        05/04</t>
  </si>
  <si>
    <t>UTRECHT ART 800447189 SANTA MONICA CA        05/03</t>
  </si>
  <si>
    <t>GELSON'S MARKET #29 SANTA MONICA CA  190805  05/03</t>
  </si>
  <si>
    <t>UBER   *TRIP HELP.UB SAN FRANCISCO CA223383  05/03</t>
  </si>
  <si>
    <t>APPLE.COM/BILL 866-712-7753 CA               05/03</t>
  </si>
  <si>
    <t>AMAZON MKTPL*NB18S5C Amzn.com/bill WA        05/02</t>
  </si>
  <si>
    <t>AMAZON MKTPL*NI7RY2C Amzn.com/bill WA        05/02</t>
  </si>
  <si>
    <t>SHUTTERS COAST RESTR SANTA MONICA CA         05/01</t>
  </si>
  <si>
    <t>SQ *REA COMMERCIAL SECU gosq.com CA          05/01</t>
  </si>
  <si>
    <t>CVS/PHARMACY #09493 MAR VISTA CA     049224  05/01</t>
  </si>
  <si>
    <t>ATM WITHDRAWAL                       006710  05/0112335 VEN</t>
  </si>
  <si>
    <t>UBER *EATS HELP.UBER.C 800-5928996 CA        05/01</t>
  </si>
  <si>
    <t>SQ *THE ANTI AGING CENT Torrance CA          04/30</t>
  </si>
  <si>
    <t>BLUE SHIELD CALIFORNI 800-393-6130 CA        04/30</t>
  </si>
  <si>
    <t>Zelle payment from JOE SAUNDERS 24611530932</t>
  </si>
  <si>
    <t>Zelle payment from JOE SAUNDERS 24611523361</t>
  </si>
  <si>
    <t>Online Payment 24584068549 To SOUTHERN CALIFORNIA GAS CO 04/30</t>
  </si>
  <si>
    <t>Online Payment 24584061198 To SAFECO INSURANCE COMPANY 04/30</t>
  </si>
  <si>
    <t>Online Payment 24584050121 To FRONTIER TELEPHONE 04/30</t>
  </si>
  <si>
    <t>Online Payment 24584026762 To AMERICAN EDUCATION SERVICES 04/30</t>
  </si>
  <si>
    <t>Online Payment 24584026288 To MERCEDES-BENZ FINANCIAL SERVICES 04/30</t>
  </si>
  <si>
    <t>AMAZON MKTPL*G55DM7K Amzn.com/bill WA        04/29</t>
  </si>
  <si>
    <t>AMAZON MKTPL*J18R73J Amzn.com/bill WA        04/29</t>
  </si>
  <si>
    <t>Zara.com 212-3551415 NY                      04/30</t>
  </si>
  <si>
    <t>STAPLES 0127 VENICE CA               948282  04/29</t>
  </si>
  <si>
    <t>AMAZON MKTPL*E43XJ97 Amzn.com/bill WA        04/29</t>
  </si>
  <si>
    <t>UBER   * EATS PENDIN SAN FRANCISCO CA363243  04/28</t>
  </si>
  <si>
    <t>Patreon* Membership Internet CA              04/29</t>
  </si>
  <si>
    <t>TEXAS LEISURE HOT T. TXLEISURE.COM TX        04/29</t>
  </si>
  <si>
    <t>PARKING METERS - IPS CULVER CITY CA          04/28</t>
  </si>
  <si>
    <t>PAVILIONS #2105 MARINA DEL RE CA             04/28</t>
  </si>
  <si>
    <t>SQ *KREATION ORGANIC Marina del Re CA        04/28</t>
  </si>
  <si>
    <t>CVSExtraCare 80074672 800-746-7287 RI        04/28</t>
  </si>
  <si>
    <t>Zara.com 212-3551415 NY                      04/28</t>
  </si>
  <si>
    <t>Zara.com 212-3551415 NY                      04/29</t>
  </si>
  <si>
    <t>Online Transfer from CHK ...1168 transaction#: 24583838082</t>
  </si>
  <si>
    <t>Online Transfer from CHK ...1168 transaction#: 24584054283</t>
  </si>
  <si>
    <t>RAINBOW ACRES LOS ANGELES CA         418766  04/28</t>
  </si>
  <si>
    <t>APPLE.COM/BILL 866-712-7753 CA               04/28</t>
  </si>
  <si>
    <t>NNTCWWW.TARGET.COM 7 BROOKLYN PARK MN360813  04/27</t>
  </si>
  <si>
    <t>NNTCWWW.TARGET.COM 6 BROOKLYN PARK MN512699  04/27</t>
  </si>
  <si>
    <t>Amazon.com*M27L70XJ3 Amzn.com/bill WA        04/28</t>
  </si>
  <si>
    <t>Amazon.com*2N51S3BZ3 Amzn.com/bill WA        04/28</t>
  </si>
  <si>
    <t>HIDDEN TREASURES TOPANGA CA          565399  04/27</t>
  </si>
  <si>
    <t>SPIRAL STAIRCASE AT THE TOPANGA CA           04/27</t>
  </si>
  <si>
    <t>Amazon.com*5N0KV96Y3 Amzn.com/bill WA        04/27</t>
  </si>
  <si>
    <t>SPACEWEATHERNEWS.COM SPACEWEATHERN CO        04/26</t>
  </si>
  <si>
    <t>GRANDVIEW CLEANERS LOS ANGELES CA            04/26</t>
  </si>
  <si>
    <t>Prime Video Channels amzn.com/bill WA        04/26</t>
  </si>
  <si>
    <t>AMAZON MKTPL*WG55D2S Amzn.com/bill WA        04/26</t>
  </si>
  <si>
    <t>Zelle payment to Britt Magadini JPM99b662mzv</t>
  </si>
  <si>
    <t>HANDY J CAR WASH LOS ANGELES CA              04/25</t>
  </si>
  <si>
    <t>AMAZON MKTPL*N253U6I Amzn.com/bill WA        04/25</t>
  </si>
  <si>
    <t>LUKE UNFILTERED WEARECHANGE.O FL             04/25</t>
  </si>
  <si>
    <t>AMAZON PRIME*Q00KQ9D Amzn.com/bill WA        04/24</t>
  </si>
  <si>
    <t>AMAZON MKTPL*KV2S04Q Amzn.com/bill WA        04/25</t>
  </si>
  <si>
    <t>ATT*BILL PAYMENT 800-288-2020 TX             04/24</t>
  </si>
  <si>
    <t>AMAZON MKTPL*AA6MS6Z Amzn.com/bill WA        04/24</t>
  </si>
  <si>
    <t>Amazon.com*A235712W3 Amzn.com/bill WA        04/24</t>
  </si>
  <si>
    <t>THE UPS STORE 4398 310-9156580 CA            04/23</t>
  </si>
  <si>
    <t>LADOT METER PARKING LOS ANGELES CA           04/23</t>
  </si>
  <si>
    <t>SQ *BERRY FLASH PHOTO Los Angeles CA         04/23</t>
  </si>
  <si>
    <t>CVS/PHARMACY #09493 MAR VISTA CA     057999  04/23</t>
  </si>
  <si>
    <t>CVS/PHARMACY #09493 MAR VISTA CA     049330  04/23</t>
  </si>
  <si>
    <t>UBER   *TRIP HELP.UB SAN FRANCISCO CA019345  04/23</t>
  </si>
  <si>
    <t>APPLE COM BILL CUPERTINO CA          326998  04/23</t>
  </si>
  <si>
    <t>AMAZON MKTPL*8B64W1O Amzn.com/bill WA        04/23</t>
  </si>
  <si>
    <t>AMAZON MKTPL*BI8MF0O Amzn.com/bill WA        04/22</t>
  </si>
  <si>
    <t>PALM SPRINGS TENNIS HO LAKE FOREST CA        04/21</t>
  </si>
  <si>
    <t>CA DMV FEE 678-7315516 TN                    04/20</t>
  </si>
  <si>
    <t>Online Transfer from CHK ...1168 transaction#: 24514397533</t>
  </si>
  <si>
    <t>CEDARS SINAI C O MCKE 800-303-3044 CA        04/21</t>
  </si>
  <si>
    <t>GRANADA THEATER TICK WWW.GRANADATH TX        04/21</t>
  </si>
  <si>
    <t>TM *KONTRAVOID 800-653-8000 CA               04/22</t>
  </si>
  <si>
    <t>SQ *KREATION ORGANIC Marina del Re CA        04/21</t>
  </si>
  <si>
    <t>Zara.com New York NY                         04/22</t>
  </si>
  <si>
    <t>FOREIGN EXCHANGE RATE ADJUSTMENT FEE         04/18BA46 PRON</t>
  </si>
  <si>
    <t>FOREIGN EXCHANGE RATE ADJUSTMENT FEE         04/18BASILICA</t>
  </si>
  <si>
    <t>WITHDRAWAL 04/21</t>
  </si>
  <si>
    <t>UBER   * EATS PENDIN SAN FRANCISCO CA352062  04/20</t>
  </si>
  <si>
    <t>Online Transfer to CHK ...6975 transaction#: 24483927545 04/21</t>
  </si>
  <si>
    <t>STATE OF CALIF DMV INT 800-7770133 CA        04/20</t>
  </si>
  <si>
    <t>UBER   * PENDING SAN FRANCISCO CA    014374  04/19</t>
  </si>
  <si>
    <t>NEXTLINK BROADBAND 855-6985465 TX            04/20</t>
  </si>
  <si>
    <t>GELSON'S MARKET #29 SANTA MONICA CA          04/19 Purchase $118.36 Cash Back $100.00</t>
  </si>
  <si>
    <t>TST* CAFE GRATITUDE - V VENICE CA            04/20</t>
  </si>
  <si>
    <t>UBER   *TRIP HELP.UB SAN FRANCISCO CA352297  04/19</t>
  </si>
  <si>
    <t>UBER   * PENDING SAN FRANCISCO CA    022707  04/19</t>
  </si>
  <si>
    <t>AMAZON MKTPL*XS3YC3G Amzn.com/bill WA        04/19</t>
  </si>
  <si>
    <t>BASILICA SANTA MARIA IN ROMA                 04/18 Euro       73.00 X 1.141096 (EXCHG RTE)</t>
  </si>
  <si>
    <t>BA46 PRONTO TAXI 6645 ROMA                   04/18 Euro       15.50 X 1.141290 (EXCHG RTE)</t>
  </si>
  <si>
    <t>Online Transfer from CHK ...1168 transaction#: 24490845191</t>
  </si>
  <si>
    <t>FOREIGN EXCHANGE RATE ADJUSTMENT FEE 318944  04/18PZZA VITT</t>
  </si>
  <si>
    <t>UBER   * PENDING SAN FRANCISCO CA    014500  04/18</t>
  </si>
  <si>
    <t>NON-CHASE ATM WITHDRAW               318944  04/18PZZA VITT Euro       300.00 X 1.141100 (EXCHG RTE)</t>
  </si>
  <si>
    <t>FOREIGN EXCHANGE RATE ADJUSTMENT FEE         04/16VIVATK152</t>
  </si>
  <si>
    <t>NON-CHASE ATM WITHDRAW               007111  04/17B&amp;F ROMA</t>
  </si>
  <si>
    <t>VIVATK152143955500 WWW. BOLOGNA              04/16 Euro       35.00 X 1.142571 (EXCHG RTE)</t>
  </si>
  <si>
    <t>NON-CHASE ATM WITHDRAW               987130  04/16PIAZZA ES</t>
  </si>
  <si>
    <t>FOREIGN EXCHANGE RATE ADJUSTMENT FEE         04/14CC ZARA 9</t>
  </si>
  <si>
    <t>FOREIGN EXCHANGE RATE ADJUSTMENT FEE         04/14VIATORTRI</t>
  </si>
  <si>
    <t>Prime Video Channels amzn.com/bill WA        04/14</t>
  </si>
  <si>
    <t>VIATORTRIPADVISOR UK LONDON                  04/14 Euro       169.50 X 1.147139 (EXCHG RTE)</t>
  </si>
  <si>
    <t>AMAZON PRIME*NE3PL1P Amzn.com/bill WA        04/14</t>
  </si>
  <si>
    <t>CC ZARA 9226 ROMA                            04/14 Euro       89.95 X 1.147082 (EXCHG RTE)</t>
  </si>
  <si>
    <t>APPLE.COM/BILL 866-712-7753 CA               04/14</t>
  </si>
  <si>
    <t>FOREIGN EXCHANGE RATE ADJUSTMENT FEE         04/11BIGLIETTE</t>
  </si>
  <si>
    <t>FOREIGN EXCHANGE RATE ADJUSTMENT FEE         04/11GIUNTI ED</t>
  </si>
  <si>
    <t>FOREIGN EXCHANGE RATE ADJUSTMENT FEE         04/12OASI'S VO</t>
  </si>
  <si>
    <t>NON-CHASE ATM WITHDRAW               272053  04/14VIA DELLA</t>
  </si>
  <si>
    <t>OASI'S VOLTERRA                              04/12 Euro       250.00 X 1.147120 (EXCHG RTE)</t>
  </si>
  <si>
    <t>GIUNTI EDITORE SPA FIRENZE                   04/11 Euro       96.00 X 1.122813 (EXCHG RTE)</t>
  </si>
  <si>
    <t>BIGLIETTERIA PALAZZO PI FIRENZE              04/11 Euro       44.00 X 1.122727 (EXCHG RTE)</t>
  </si>
  <si>
    <t>Zelle payment from ROSE LI 24406442912</t>
  </si>
  <si>
    <t>FOREIGN EXCHANGE RATE ADJUSTMENT FEE         04/09BIGLIETTE</t>
  </si>
  <si>
    <t>FOREIGN EXCHANGE RATE ADJUSTMENT FEE         04/09DA FRANCA</t>
  </si>
  <si>
    <t>FOREIGN EXCHANGE RATE ADJUSTMENT FEE         04/09BOOK SHOP</t>
  </si>
  <si>
    <t>APPLE.COM/BILL 866-712-7753 CA               04/10</t>
  </si>
  <si>
    <t>BOOK SHOP DUOMO S.G SESTO FIORENT            04/09 Euro       67.70 X 1.099409 (EXCHG RTE)</t>
  </si>
  <si>
    <t>BIGLIETTERIA DUOMO S SESTO FIORENT           04/09 Euro       30.00 X 1.099333 (EXCHG RTE)</t>
  </si>
  <si>
    <t>DA FRANCA DI TESTI M MONTERIGGIONI           04/09 Euro       60.00 X 1.099333 (EXCHG RTE)</t>
  </si>
  <si>
    <t>NON-CHASE ATM WITHDRAW               653570  04/09VIA SAN G</t>
  </si>
  <si>
    <t>Online Transfer to CHK ...6975 transaction#: 24350300468 04/09</t>
  </si>
  <si>
    <t>AMAZON MKTPL*6E5QR5I Amzn.com/bill WA        04/09</t>
  </si>
  <si>
    <t>APPLE.COM/BILL 866-712-7753 CA               04/09</t>
  </si>
  <si>
    <t>AMAZON MKTPLACE PMTS Amzn.com/bill WA        04/09</t>
  </si>
  <si>
    <t>FOREIGN EXCHANGE RATE ADJUSTMENT FEE         04/07ASPIT ROM</t>
  </si>
  <si>
    <t>FOREIGN EXCHANGE RATE ADJUSTMENT FEE         04/05TESORI DE</t>
  </si>
  <si>
    <t>FOREIGN EXCHANGE RATE ADJUSTMENT FEE         04/07OPERA DEL</t>
  </si>
  <si>
    <t>FOREIGN EXCHANGE RATE ADJUSTMENT FEE 925869  04/08PZA TOLOM</t>
  </si>
  <si>
    <t>UBER   *TRIP HELP.UB SAN FRANCISCO CA022358  04/08</t>
  </si>
  <si>
    <t>UBER   *TRIP HELP.UB SAN FRANCISCO CA022843  04/08</t>
  </si>
  <si>
    <t>NON-CHASE ATM WITHDRAW               925869  04/08PZA TOLOM Euro       300.00 X 1.105200 (EXCHG RTE)</t>
  </si>
  <si>
    <t>Prime Video Channels amzn.com/bill WA        04/07</t>
  </si>
  <si>
    <t>OPERA DEL DUOMO DI ORVI ORVIETO              04/07 Euro       112.00 X 1.110982 (EXCHG RTE)</t>
  </si>
  <si>
    <t>ASPIT ROMA NORD      - ORVIETO               04/07 Euro       7.90 X 1.111392 (EXCHG RTE)</t>
  </si>
  <si>
    <t>TESORI DEI FARNESE CAPRAROLA                 04/05 Euro       65.00 X 1.111077 (EXCHG RTE)</t>
  </si>
  <si>
    <t>FOREIGN EXCHANGE RATE ADJUSTMENT FEE         04/05PALAZZO F</t>
  </si>
  <si>
    <t>FOREIGN EXCHANGE RATE ADJUSTMENT FEE         04/05SACRO BOS</t>
  </si>
  <si>
    <t>FOREIGN EXCHANGE RATE ADJUSTMENT FEE         04/04MUSEO CRI</t>
  </si>
  <si>
    <t>FOREIGN EXCHANGE RATE ADJUSTMENT FEE         04/04CATACOMBE</t>
  </si>
  <si>
    <t>FOREIGN EXCHANGE RATE ADJUSTMENT FEE         04/05RISTORANT</t>
  </si>
  <si>
    <t>UBER   *TRIP HELP.UB SAN FRANCISCO CA013416  04/07</t>
  </si>
  <si>
    <t>NON-CHASE ATM WITHDRAW               368240  04/06VIA DEL P</t>
  </si>
  <si>
    <t>GOOGLE *YouTubePremi g.co/helppay# CA        04/06</t>
  </si>
  <si>
    <t>UBER   * EATS PENDIN SAN FRANCISCO CA358583  04/05</t>
  </si>
  <si>
    <t>PSYCHOLOGY TODAY PSYCHOLOGYTOD SD            04/06</t>
  </si>
  <si>
    <t>ELEVENLABS.IO-9F432E ELEVENLABS.IO NY        04/06</t>
  </si>
  <si>
    <t>ITALIARAIL.COM 8773757245 MA                 04/05</t>
  </si>
  <si>
    <t>PALAZZO FARNESE CAPRAROLA                    04/05 Euro       10.00 X 1.111000 (EXCHG RTE)</t>
  </si>
  <si>
    <t>UBER   * PENDING SAN FRANCISCO CA    017202  04/04</t>
  </si>
  <si>
    <t>RISTORANTE DEI  MOSTRI BOMARZO               04/05 Euro       115.00 X 1.111043 (EXCHG RTE)</t>
  </si>
  <si>
    <t>SACRO BOSCO DI BOMARZO BOMARZO               04/05 Euro       13.00 X 1.110769 (EXCHG RTE)</t>
  </si>
  <si>
    <t>CATACOMBE DI PRISCILLA ROMA                  04/04 Euro       52.10 X 1.111132 (EXCHG RTE)</t>
  </si>
  <si>
    <t>MUSEO CRIPTA CAPPUCCINI ROMA                 04/04 Euro       29.00 X 1.111034 (EXCHG RTE)</t>
  </si>
  <si>
    <t>APPLE.COM/BILL 866-712-7753 CA               04/03</t>
  </si>
  <si>
    <t>UBER   *TRIP HELP.UB SAN FRANCISCO CA012946  04/02</t>
  </si>
  <si>
    <t>UBER   * PENDING SAN FRANCISCO CA    358125  04/01</t>
  </si>
  <si>
    <t>AMAZON MKTPL*OG56I72 Amzn.com/bill WA        04/01</t>
  </si>
  <si>
    <t>LAX AIRP LAMILL LOS ANGELES CA               03/31</t>
  </si>
  <si>
    <t>AMAZON MKTPL*2S1LZ33 Amzn.com/bill WA        04/01</t>
  </si>
  <si>
    <t>AMAZON MKTPL*LW4YC34 Amzn.com/bill WA        04/01</t>
  </si>
  <si>
    <t>LAX THE ECONOMIST Los Angeles CA             03/31</t>
  </si>
  <si>
    <t>PORTAL TO ASCENSION PORTALTOASCEN CA         03/31</t>
  </si>
  <si>
    <t>BLUE SHIELD CALIFORNI 800-393-6130 CA        03/31</t>
  </si>
  <si>
    <t>Online Transfer to CHK ...6975 transaction#: 24237495408 03/31</t>
  </si>
  <si>
    <t>GELSON'S MARKET #29 SANTA MONICA CA          03/30 Purchase $83.46 Cash Back $100.00</t>
  </si>
  <si>
    <t>CVS/PHARMACY #08871 MARINA DEL RE CA 050454  03/30</t>
  </si>
  <si>
    <t>UBER   * EATS PENDIN SAN FRANCISCO CA012720  03/29</t>
  </si>
  <si>
    <t>TARGET T-0198 CULVER CITY CA         049909  03/29</t>
  </si>
  <si>
    <t>UBER   *TRIP HELP.UB SAN FRANCISCO CA022420  03/29</t>
  </si>
  <si>
    <t>Amazon.com*2N94B1OQ3 Amzn.com/bill WA        03/30</t>
  </si>
  <si>
    <t>UBER   *TRIP HELP.UB SAN FRANCISCO CA028881  03/29</t>
  </si>
  <si>
    <t>Amazon.com*9E4H43413 Amzn.com/bill WA        03/30</t>
  </si>
  <si>
    <t>AMAZON MKTPL*YM88E3V Amzn.com/bill WA        03/30</t>
  </si>
  <si>
    <t>AMAZON MKTPL*LJ94C6T Amzn.com/bill WA        03/30</t>
  </si>
  <si>
    <t>BASHAR COMMUNICATIONS BASHAR.ORG CA          03/29</t>
  </si>
  <si>
    <t>Online Payment 24217262158 To SAFECO INSURANCE COMPANY 03/31</t>
  </si>
  <si>
    <t>Online Payment 24217255610 To AMERICAN EDUCATION SERVICES 03/31</t>
  </si>
  <si>
    <t>Online Payment 24217268970 To MERCEDES-BENZ FINANCIAL SERVICES 03/31</t>
  </si>
  <si>
    <t>Online Payment 24217261056 To SOUTHERN CALIFORNIA GAS CO 03/31</t>
  </si>
  <si>
    <t>Online Payment 24217252991 To FRONTIER TELEPHONE 03/31</t>
  </si>
  <si>
    <t>AMAZON MKTPL*YI8J51Z Amzn.com/bill WA        03/29</t>
  </si>
  <si>
    <t>AAA CULVER CITY-R CULVER CITY CA             03/28</t>
  </si>
  <si>
    <t>GRANDVIEW CLEANERS LOS ANGELES CA            03/28</t>
  </si>
  <si>
    <t>THE UPS STORE 4398 310-9156580 CA            03/28</t>
  </si>
  <si>
    <t>CVSExtraCare 80074672 800-746-7287 RI        03/28</t>
  </si>
  <si>
    <t>AMAZON MKTPL*BL3AJ2P Amzn.com/bill WA        03/28</t>
  </si>
  <si>
    <t>Amazon.com*FI13Y1843 Amzn.com/bill WA        03/28</t>
  </si>
  <si>
    <t>GRUBHUB*LAVEGAN GRUBHUB.COM NY               03/28</t>
  </si>
  <si>
    <t>Online Transfer from CHK ...1168 transaction#: 24237495017</t>
  </si>
  <si>
    <t>UBER   *TRIP HELP.UB SAN FRANCISCO CA017263  03/28</t>
  </si>
  <si>
    <t>CVS/PHARMACY #09493 MAR VISTA CA     027827  03/28</t>
  </si>
  <si>
    <t>APPLE.COM/BILL 866-712-7753 CA               03/28</t>
  </si>
  <si>
    <t>NNTCWWW.TARGET.COM 9 BROOKLYN PARK MN391631  03/27</t>
  </si>
  <si>
    <t>NNTCWWW.TARGET.COM 4 BROOKLYN PARK MN392536  03/28</t>
  </si>
  <si>
    <t>Patreon* Membership Internet CA              03/28</t>
  </si>
  <si>
    <t>AMAZON MKTPL*DE2JT10 Amzn.com/bill WA        03/28</t>
  </si>
  <si>
    <t>Online Transfer from CHK ...1168 transaction#: 24215632050</t>
  </si>
  <si>
    <t>Online Transfer from CHK ...1168 transaction#: 24215711884</t>
  </si>
  <si>
    <t>ZARA USA INC. ESTADOS UNIDO NY       366841  03/24</t>
  </si>
  <si>
    <t>NNTCWWW.TARGET.COM 5 BROOKLYN PARK MN850921  03/26</t>
  </si>
  <si>
    <t>NNTCWWW.TARGET.COM 5 BROOKLYN PARK MN321721  03/26</t>
  </si>
  <si>
    <t>SPACEWEATHERNEWS.COM SPACEWEATHERN CO        03/26</t>
  </si>
  <si>
    <t>Prime Video Channels amzn.com/bill WA        03/26</t>
  </si>
  <si>
    <t>LIFEWAVE LLC 858-4599876 CA                  03/26</t>
  </si>
  <si>
    <t>UBER   * EATS PENDIN SAN FRANCISCO CA198304  03/26</t>
  </si>
  <si>
    <t>UBER   *TRIP HELP.UB SAN FRANCISCO CA018915  03/26</t>
  </si>
  <si>
    <t>CHECK 8708  03/26</t>
  </si>
  <si>
    <t>UBER   * PENDING SAN FRANCISCO CA    018378  03/25</t>
  </si>
  <si>
    <t>THE UPS STORE 4398 310-9156580 CA            03/25</t>
  </si>
  <si>
    <t>TST*BLUEYS KITCHEN MAR Los Angeles CA        03/25</t>
  </si>
  <si>
    <t>GRANDVIEW CLEANERS LOS ANGELES CA            03/25</t>
  </si>
  <si>
    <t>Amazon.com*YH2NL2ZP3 Amzn.com/bill WA        03/25</t>
  </si>
  <si>
    <t>Zara.com New York NY                         03/26</t>
  </si>
  <si>
    <t>UBER   *TRIP HELP.UB SAN FRANCISCO CA194741  03/25</t>
  </si>
  <si>
    <t>LUKE UNFILTERED WEARECHANGE.O FL             03/25</t>
  </si>
  <si>
    <t>AMAZON PRIME*HS0S34O Amzn.com/bill WA        03/24</t>
  </si>
  <si>
    <t>ROSS STORES #311 VENICE CA                   03/24</t>
  </si>
  <si>
    <t>ATT*BILL PAYMENT 800-288-2020 TX             03/24</t>
  </si>
  <si>
    <t>Amazon.com*HL1DI9MR3 Amzn.com/bill WA        03/24</t>
  </si>
  <si>
    <t>Amazon.com*TY14T0S13 Amzn.com/bill WA        03/24</t>
  </si>
  <si>
    <t>Zelle payment from JOE SAUNDERS 24169203809</t>
  </si>
  <si>
    <t>UBER   * EATS PENDIN SAN FRANCISCO CA029047  03/24</t>
  </si>
  <si>
    <t>UBER   * PENDING SAN FRANCISCO CA    012912  03/24</t>
  </si>
  <si>
    <t>UBER TRIP* TRIP SAN FRANCISCO CA     710005  03/24</t>
  </si>
  <si>
    <t>UBER   * EATS PENDIN SAN FRANCISCO CA024251  03/23</t>
  </si>
  <si>
    <t>APPLE.COM/BILL 866-712-7753 CA               03/23</t>
  </si>
  <si>
    <t>SP HEALTHRANGERSTORE HEALTHRANGERS TX        03/23</t>
  </si>
  <si>
    <t>PAVILIONS #2105 MARINA DEL RE CA             03/22</t>
  </si>
  <si>
    <t>2418 AMC AMC MARINA MARINA DEL RE CA         03/22</t>
  </si>
  <si>
    <t>CVS/PHARMACY #08871 MARINA DEL RE CA 007240  03/22</t>
  </si>
  <si>
    <t>PACOS TACOS LOS ANGELES CA                   03/22</t>
  </si>
  <si>
    <t>SP HEALTHRANGERSTORE HEALTHRANGERS TX        03/22</t>
  </si>
  <si>
    <t>AMAZON MKTPL*L61215J Amzn.com/bill WA        03/23</t>
  </si>
  <si>
    <t>AMAZON MKTPL*R37WP58 Amzn.com/bill WA        03/22</t>
  </si>
  <si>
    <t>AMAZON MKTPL*608H20J Amzn.com/bill WA        03/23</t>
  </si>
  <si>
    <t>AMC 9640 ONLINE 888-440-4262 KS              03/22</t>
  </si>
  <si>
    <t>AMAZON MKTPL*LS0Z841 Amzn.com/bill WA        03/24</t>
  </si>
  <si>
    <t>AMAZON MKTPL*I26RW0B Amzn.com/bill WA        03/22</t>
  </si>
  <si>
    <t>TST*BLUEYS KITCHEN MAR Los Angeles CA        03/21</t>
  </si>
  <si>
    <t>COMPLETE EYE CARE CENT LOS ANGELES CA        03/21</t>
  </si>
  <si>
    <t>SQ *THE ANTI AGING CENT Torrance CA          03/21</t>
  </si>
  <si>
    <t>AMAZON MKTPL*JC5XH9J Amzn.com/bill WA        03/21</t>
  </si>
  <si>
    <t>AMAZON MKTPL*T09QQ7V Amzn.com/bill WA        03/21</t>
  </si>
  <si>
    <t>ZARA USA PREOWNED WWW.ZARA.COM/ NY           03/22</t>
  </si>
  <si>
    <t>AMAZON MKTPL*283OE87 Amzn.com/bill WA        03/22</t>
  </si>
  <si>
    <t>AMAZON MKTPL*008FZ54 Amzn.com/bill WA        03/22</t>
  </si>
  <si>
    <t>AMAZON MKTPL*Q59B982 Amzn.com/bill WA        03/21</t>
  </si>
  <si>
    <t>Online Transfer from CHK ...1168 transaction#: 24164561463</t>
  </si>
  <si>
    <t>Online Transfer from CHK ...1168 transaction#: 24151012416</t>
  </si>
  <si>
    <t>FOREIGN EXCHANGE RATE ADJUSTMENT FEE         03/21PRENOTAZ.</t>
  </si>
  <si>
    <t>CVS/PHARMACY #09493 MAR VISTA CA     026153  03/21</t>
  </si>
  <si>
    <t>WITHDRAWAL 03/21</t>
  </si>
  <si>
    <t>PRENOTAZ.SACROBOSCO BOMARZO                  03/21 Euro       28.00 X 1.091786 (EXCHG RTE)</t>
  </si>
  <si>
    <t>AMAZON MKTPL*DN9PE3T Amzn.com/bill WA        03/21</t>
  </si>
  <si>
    <t>AMAZON MKTPL*0L9D22U Amzn.com/bill WA        03/21</t>
  </si>
  <si>
    <t>AMAZON MKTPL*012JL7G Amzn.com/bill WA        03/21</t>
  </si>
  <si>
    <t>AMAZON MKTPL*QJ60L0K Amzn.com/bill WA        03/21</t>
  </si>
  <si>
    <t>NEXTLINK BROADBAND 855-6985465 TX            03/20</t>
  </si>
  <si>
    <t>Online Transfer from CHK ...1168 transaction#: 24136911754</t>
  </si>
  <si>
    <t>UBER   * PENDING SAN FRANCISCO CA    357596  04/18</t>
  </si>
  <si>
    <t>DEPOSIT  ID NUMBER 141079</t>
  </si>
  <si>
    <t>TRADER JOE S #00 TRAD SANTA MONICA CA544618  03/20</t>
  </si>
  <si>
    <t>GELSON'S MARKET #29 SANTA MONICA CA  939800  03/20</t>
  </si>
  <si>
    <t>TEXAS LEISURE HOT T.. 188-87211115 TX        03/20</t>
  </si>
  <si>
    <t>AMAZON MKTPL*4H4EM4Z Amzn.com/bill WA        03/20</t>
  </si>
  <si>
    <t>Amazon.com*3Z85Y2CK3 Amzn.com/bill WA        03/20</t>
  </si>
  <si>
    <t>UBER   * EATS PENDIN SAN FRANCISCO CA226245  03/19</t>
  </si>
  <si>
    <t>PATRIOT PHARMA OTC 519-317-0990 ON           03/19</t>
  </si>
  <si>
    <t>Zelle payment from TANYA MILLER HNA01ZN98PKC</t>
  </si>
  <si>
    <t>Online Transfer from CHK ...1168 transaction#: 24115020521</t>
  </si>
  <si>
    <t>AMAZON MKTPL*DL2HY3J Amzn.com/bill WA        03/19</t>
  </si>
  <si>
    <t>Online Payment 24099614327 To FRONTIER TELEPHONE 03/18</t>
  </si>
  <si>
    <t>UBER   * EATS PENDIN SAN FRANCISCO CA224571  03/18</t>
  </si>
  <si>
    <t>LADOT PARKING CITATION LOS ANGELES CA140883  03/18</t>
  </si>
  <si>
    <t>UNITED      01644811761 UNITED.COM TX        03/17</t>
  </si>
  <si>
    <t>UNITED      01624696252 UNITED.COM TX        03/17</t>
  </si>
  <si>
    <t>Prime Video *260NU1ET 888-802-3080 WA        03/17</t>
  </si>
  <si>
    <t>PNM*THE TOLLROADS SANTA CLARA CA     126451  03/17</t>
  </si>
  <si>
    <t>UBER   * EATS PENDIN SAN FRANCISCO CA026678  03/17</t>
  </si>
  <si>
    <t>SP RAJANIMD STORE.RAJANIM OR                 03/17</t>
  </si>
  <si>
    <t>Zelle payment to jeff seider JPM99b1mo5oj</t>
  </si>
  <si>
    <t>APPLE.COM/BILL 866-712-7753 CA               03/16</t>
  </si>
  <si>
    <t>UBER   *TRIP HELP.UB SAN FRANCISCO CA012618  03/16</t>
  </si>
  <si>
    <t>SQ *THE FALAFEL FACTORY gosq.com CA          03/16</t>
  </si>
  <si>
    <t>UBER   * EATS PENDIN SAN FRANCISCO CA193793  03/15</t>
  </si>
  <si>
    <t>Prime Video Channels amzn.com/bill WA        03/14</t>
  </si>
  <si>
    <t>AMAZON PRIME*6J0WO5C Amzn.com/bill WA        03/14</t>
  </si>
  <si>
    <t>APPLE.COM/BILL 866-712-7753 CA               03/14</t>
  </si>
  <si>
    <t>AMERICAN AIR00172230626 FORT WORTH TX        03/12</t>
  </si>
  <si>
    <t>Online Transfer from CHK ...1168 transaction#: 24082324824</t>
  </si>
  <si>
    <t>Amazon.com*5L3CK2YN3 Amzn.com/bill WA        03/14</t>
  </si>
  <si>
    <t>AMAZON MKTPL*P66RG63 Amzn.com/bill WA        03/14</t>
  </si>
  <si>
    <t>GRANDVIEW CLEANERS LOS ANGELES CA            03/13</t>
  </si>
  <si>
    <t>SQ *ABY PARTY RENTAL Los Angeles CA          03/13</t>
  </si>
  <si>
    <t>Amazon.com*3Z1VK5C93 Amzn.com/bill WA        03/13</t>
  </si>
  <si>
    <t>THE C. G. JUNG INSTIT 310-556-1193 CA        03/14</t>
  </si>
  <si>
    <t>Online Transfer from CHK ...1168 transaction#: 24055096297</t>
  </si>
  <si>
    <t>UBER   * EATS PENDIN SAN FRANCISCO CA352880  03/13</t>
  </si>
  <si>
    <t>RAINBOW ACRES LOS ANGELES CA         122178  03/13</t>
  </si>
  <si>
    <t>CVS/PHARMACY #09493 MAR VISTA CA     039106  03/13</t>
  </si>
  <si>
    <t>AMAZON MKTPL*7J1RD8L Amzn.com/bill WA        03/13</t>
  </si>
  <si>
    <t>AMERICAN AIR00144559032 FORT WORTH TX        03/12</t>
  </si>
  <si>
    <t>AMAZON MKTPL*CT2BG7K Amzn.com/bill WA        03/12</t>
  </si>
  <si>
    <t>AMAZON MKTPL*7B07D4I Amzn.com/bill WA        03/12</t>
  </si>
  <si>
    <t>AMAZON MKTPL*CO5Y55A Amzn.com/bill WA        03/12</t>
  </si>
  <si>
    <t>AMAZON MKTPL*GN8EF0D Amzn.com/bill WA        03/12</t>
  </si>
  <si>
    <t>AMAZON MKTPL*8X1ZB6V Amzn.com/bill WA        03/12</t>
  </si>
  <si>
    <t>AMAZON MKTPL*5847617 Amzn.com/bill WA        03/12</t>
  </si>
  <si>
    <t>LADOT PARKING CITATIO 866-561-9742 CA        03/11</t>
  </si>
  <si>
    <t>AMAZON MKTPL*YL6PB6Y Amzn.com/bill WA        03/12</t>
  </si>
  <si>
    <t>Zara.com New York NY                         03/11</t>
  </si>
  <si>
    <t>GELSON'S MARKET #29 SANTA MONICA CA  982984  03/11</t>
  </si>
  <si>
    <t>WITHDRAWAL 03/11</t>
  </si>
  <si>
    <t>CVS/PHARMACY #09493 MAR VISTA CA     045531  03/11</t>
  </si>
  <si>
    <t>SQ *BERRY FLASH PHOTO Los Angeles CA         03/10</t>
  </si>
  <si>
    <t>AMAZON MKTPL*NU8XX41 Amzn.com/bill WA        03/11</t>
  </si>
  <si>
    <t>Online Transfer from CHK ...1168 transaction#: 24013494894</t>
  </si>
  <si>
    <t>DEPOSIT  ID NUMBER 107511</t>
  </si>
  <si>
    <t>AMAZON MKTPL*R825P2K Amzn.com/bill WA        03/10</t>
  </si>
  <si>
    <t>APPLE COM BILL CUPERTINO CA          634463  03/09</t>
  </si>
  <si>
    <t>Zelle payment to Aaron Frankel JPM99b0ty9bd</t>
  </si>
  <si>
    <t>AMAZON MKTPL*VR4NK15 Amzn.com/bill WA        03/09</t>
  </si>
  <si>
    <t>APPLE.COM/BILL 866-712-7753 CA               03/09</t>
  </si>
  <si>
    <t>AMAZON MKTPL*KR1FJ6L Amzn.com/bill WA        03/10</t>
  </si>
  <si>
    <t>THE HOME DEPOT #6611 LOS ANGELES CA  017278  03/08</t>
  </si>
  <si>
    <t>AMAZON MKTPL*6N6YX82 Amzn.com/bill WA        03/09</t>
  </si>
  <si>
    <t>NNTCWWW.TARGET.COM 2 BROOKLYN PARK MN552199  03/07</t>
  </si>
  <si>
    <t>AMAZON MKTPL*DL9OB4W Amzn.com/bill WA        03/08</t>
  </si>
  <si>
    <t>NNTCWWW.TARGET.COM 3 BROOKLYN PARK MN851758  03/07</t>
  </si>
  <si>
    <t>SQ *REA COMMERCIAL SECU gosq.com CA          03/08</t>
  </si>
  <si>
    <t>AMAZON MKTPL*S26UZ74 Amzn.com/bill WA        03/08</t>
  </si>
  <si>
    <t>VIKTOR BENES MARINA MARINA DEL RE CA         03/07</t>
  </si>
  <si>
    <t>SQ *ABY PARTY RENTAL Los Angeles CA          03/07</t>
  </si>
  <si>
    <t>Prime Video Channels amzn.com/bill WA        03/07</t>
  </si>
  <si>
    <t>AMAZON MKTPL*X61W46N Amzn.com/bill WA        03/07</t>
  </si>
  <si>
    <t>GELSON'S MARKET #29 SANTA MONICA CA          03/06</t>
  </si>
  <si>
    <t>Online Transfer from CHK ...1168 transaction#: 24006838713</t>
  </si>
  <si>
    <t>GELSON'S MARKETS #10 MARINA DEL RE CA617369  03/07</t>
  </si>
  <si>
    <t>AMAZON MKTPL*XP06O9V Amzn.com/bill WA        03/07</t>
  </si>
  <si>
    <t>STUBHUB, INC. 866-788-2482 CA                03/07</t>
  </si>
  <si>
    <t>AMC 9640 ONLINE 888-440-4262 KS              03/07</t>
  </si>
  <si>
    <t>AMAZON MKTPL*R83UW9W Amzn.com/bill WA        03/06</t>
  </si>
  <si>
    <t>AMAZON MKTPL*DZ45L39 Amzn.com/bill WA        03/06</t>
  </si>
  <si>
    <t>TRADER JOE S #00 TRAD SANTA MONICA CA403355  03/06</t>
  </si>
  <si>
    <t>GOOGLE *YouTubePremi g.co/helppay# CA        03/06</t>
  </si>
  <si>
    <t>PAVILIONS #2105 MARINA DEL RE CA             03/05</t>
  </si>
  <si>
    <t>PSYCHOLOGY TODAY PSYCHOLOGYTOD SD            03/06</t>
  </si>
  <si>
    <t>ELEVENLABS.IO ELEVENLABS.IO NY               03/06</t>
  </si>
  <si>
    <t>AMAZON MKTPL*U19IL1A Amzn.com/bill WA        03/05</t>
  </si>
  <si>
    <t>Online Transfer from CHK ...1168 transaction#: 23962544128</t>
  </si>
  <si>
    <t>STAPLES 0951 WESTCHESTER CA          323899  03/05</t>
  </si>
  <si>
    <t>UBER   * EATS PENDIN SAN FRANCISCO CA197834  03/05</t>
  </si>
  <si>
    <t>AMAZON MKTPL*QN0LG1M Amzn.com/bill WA        03/04</t>
  </si>
  <si>
    <t>AMAZON MKTPL*7W3FA4G Amzn.com/bill WA        03/04</t>
  </si>
  <si>
    <t>BOLIVAR CAFE  AREPA B SANTA MONICA CA        03/03</t>
  </si>
  <si>
    <t>CITY OF SANTA MONICA SANTA MONICA CA         03/03</t>
  </si>
  <si>
    <t>FOREIGN EXCHANGE RATE ADJUSTMENT FEE         03/03WP*elaine</t>
  </si>
  <si>
    <t>SQ *ABY PARTY RENTAL Los Angeles CA          03/03</t>
  </si>
  <si>
    <t>SQ *BERRY FLASH PHOTO Los Angeles CA         03/03</t>
  </si>
  <si>
    <t>AMAZON MKTPL*YE75600 Amzn.com/bill WA        03/03</t>
  </si>
  <si>
    <t>WP*elainethorpe.com Margate                  03/03 Pound Sterl14.35 X 1.262718 (EXCHG RTE)</t>
  </si>
  <si>
    <t>APPLE.COM/BILL 866-712-7753 CA               03/03</t>
  </si>
  <si>
    <t>THE HOME DEPOT #6611 LOS ANGELES CA  509094  03/03</t>
  </si>
  <si>
    <t>UBER   * EATS PENDIN SAN FRANCISCO CA192409  03/02</t>
  </si>
  <si>
    <t>LADOT METER PARKING LOS ANGELES CA           03/01</t>
  </si>
  <si>
    <t>AMAZON MKTPL*X11EU5Y Amzn.com/bill WA        03/02</t>
  </si>
  <si>
    <t>SQ *KREATION ORGANIC Marina del Re CA        02/28</t>
  </si>
  <si>
    <t>CVSExtraCare 80074672 800-746-7287 RI        02/28</t>
  </si>
  <si>
    <t>Online Payment 23890030842 To SOUTHERN CALIFORNIA GAS CO 02/28</t>
  </si>
  <si>
    <t>BLUE SHIELD CALIFORNI 800-393-6130 CA        02/28</t>
  </si>
  <si>
    <t>APPLE COM BILL CUPERTINO CA          375697  02/28</t>
  </si>
  <si>
    <t>SP RAJANIMD STORE.RAJANIM OR                 02/28</t>
  </si>
  <si>
    <t>Patreon* Membership Internet CA              02/28</t>
  </si>
  <si>
    <t>AMAZON MKTPL*BJ4BV69 Amzn.com/bill WA        02/27</t>
  </si>
  <si>
    <t>Online Payment 23870542750 To SOUTHERN CALIFORNIA GAS CO 02/27</t>
  </si>
  <si>
    <t>Online Payment 23870552397 To SAFECO INSURANCE COMPANY 02/27</t>
  </si>
  <si>
    <t>Online Payment 23870551367 To FRONTIER TELEPHONE 02/27</t>
  </si>
  <si>
    <t>Online Payment 23870550270 To AMERICAN EDUCATION SERVICES 02/27</t>
  </si>
  <si>
    <t>Online Payment 23870549261 To MERCEDES-BENZ FINANCIAL SERVICES 02/27</t>
  </si>
  <si>
    <t>SPACEWEATHERNEWS.COM SPACEWEATHERN CO        02/26</t>
  </si>
  <si>
    <t>Prime Video Channels amzn.com/bill WA        02/26</t>
  </si>
  <si>
    <t>AMAZON MKTPL*B86LO8R Amzn.com/bill WA        02/26</t>
  </si>
  <si>
    <t>TST*BLUEYS KITCHEN MAR Los Angeles CA        02/26</t>
  </si>
  <si>
    <t>AMAZON MKTPL*IR12E1D Amzn.com/bill WA        02/26</t>
  </si>
  <si>
    <t>Online Transfer from CHK ...1168 transaction#: 23870517982</t>
  </si>
  <si>
    <t>AMAZON MKTPL*BF8VG9L Amzn.com/bill WA        02/26</t>
  </si>
  <si>
    <t>AMAZON MKTPL*HC73S02 Amzn.com/bill WA        02/25</t>
  </si>
  <si>
    <t>UBER   * EATS PENDIN SAN FRANCISCO CA027452  02/25</t>
  </si>
  <si>
    <t>WITHDRAWAL 02/25</t>
  </si>
  <si>
    <t>AMAZON MKTPL*TL8RQ46 Amzn.com/bill WA        02/25</t>
  </si>
  <si>
    <t>LUKE UNFILTERED WEARECHANGE.O FL             02/25</t>
  </si>
  <si>
    <t>AMAZON PRIME*IO9Y83V Amzn.com/bill WA        02/24</t>
  </si>
  <si>
    <t>CHEVRON 0306890 SANTA MONICA CA              02/24</t>
  </si>
  <si>
    <t>NTTA AUTOCHARGE 972-818-6882 TX              02/24</t>
  </si>
  <si>
    <t>TST*BLUEYS KITCHEN MAR Los Angeles CA        02/24</t>
  </si>
  <si>
    <t>SQ *REA COMMERCIAL SECU gosq.com CA          02/24</t>
  </si>
  <si>
    <t>ATT*BILL PAYMENT 800-288-2020 TX             02/24</t>
  </si>
  <si>
    <t>GRANDVIEW CLEANERS LOS ANGELES CA            02/24</t>
  </si>
  <si>
    <t>AMAZON MKTPL*MJ8TB2Y Amzn.com/bill WA        02/25</t>
  </si>
  <si>
    <t>Online Transfer from CHK ...1168 transaction#: 23844823362</t>
  </si>
  <si>
    <t>GELSON'S MARKET #29 SANTA MONICA CA  684818  02/24</t>
  </si>
  <si>
    <t>TRADER JOE S #00 TRAD SANTA MONICA CA964403  02/24</t>
  </si>
  <si>
    <t>GELSON'S MARKET #29 SANTA MONICA CA  707575  02/24</t>
  </si>
  <si>
    <t>AMAZON MKTPL*BN7TA0H Amzn.com/bill WA        02/24</t>
  </si>
  <si>
    <t>REPUBLIC SERVICES TRA 866-576-5548 AZ        02/23</t>
  </si>
  <si>
    <t>APPLE.COM/BILL 866-712-7753 CA               02/23</t>
  </si>
  <si>
    <t>WWW.MCAFEE.COM/CHARGE 800-627-7306 TX        02/23</t>
  </si>
  <si>
    <t>UBER   * EATS PENDIN SAN FRANCISCO CA222064  02/21</t>
  </si>
  <si>
    <t>Zelle payment from JOE SAUNDERS 23839335671</t>
  </si>
  <si>
    <t>Online Transfer from CHK ...1168 transaction#: 23833474879</t>
  </si>
  <si>
    <t>SQ *BOULEVARD OF GREENS Fort Worth TX        02/20</t>
  </si>
  <si>
    <t>NEXTLINK BROADBAND 855-6985465 TX            02/20</t>
  </si>
  <si>
    <t>Zelle payment from ROSE LI 23796433383</t>
  </si>
  <si>
    <t>HOMEGOODS #1084 WEATHERFORD TX       046453  02/20</t>
  </si>
  <si>
    <t>TARGET T-1981 WEATHERFORD TX         051359  02/20</t>
  </si>
  <si>
    <t>UBER   * EATS PENDIN SAN FRANCISCO CA026528  02/20</t>
  </si>
  <si>
    <t>ATM WITHDRAWAL                       004952  02/20420 THROC</t>
  </si>
  <si>
    <t>WORDPRESS U4BKQKRBGJ WORDPRESS.COM CA        02/20</t>
  </si>
  <si>
    <t>TJ NAILS WEATHERFORD TX                      02/19</t>
  </si>
  <si>
    <t>ATM CHECK DEPOSIT 02/20 420 THROCKMORTON ST FORT WORTH TX</t>
  </si>
  <si>
    <t>UBER   * EATS PENDIN SAN FRANCISCO CA028409  02/19</t>
  </si>
  <si>
    <t>AMAZON MKTPL*QZ55V3F Amzn.com/bill WA        02/19</t>
  </si>
  <si>
    <t>UBER   * EATS PENDIN SAN FRANCISCO CA017412  02/17</t>
  </si>
  <si>
    <t>WALGREENS STORE 1317 S WEATHERFORD TX957986  02/17</t>
  </si>
  <si>
    <t>AMAZON MKTPL*0D3CD69 Amzn.com/bill WA        02/18</t>
  </si>
  <si>
    <t>AMAZON MKTPL*J33N02U Amzn.com/bill WA        02/18</t>
  </si>
  <si>
    <t>Amazon.com*UV8OV9I43 Amzn.com/bill WA        02/15</t>
  </si>
  <si>
    <t>DD *DOORDASH PASTAFIN 855-431-0459 CA        02/15</t>
  </si>
  <si>
    <t>Prime Video Channels amzn.com/bill WA        02/14</t>
  </si>
  <si>
    <t>DD *DOORDASH ALBERTSO 855-431-0459 CA        02/15</t>
  </si>
  <si>
    <t>DD *DOORDASH TARGET 855-431-0459 CA          02/15</t>
  </si>
  <si>
    <t>www.cvs.com 800-746-7287 RI                  02/15</t>
  </si>
  <si>
    <t>Zara.com/USA 855-6359272 NY                  02/16</t>
  </si>
  <si>
    <t>Amazon Prime*X69CP2Y Amzn.com/bill WA        02/14</t>
  </si>
  <si>
    <t>APPLE.COM/BILL 866-712-7753 CA               02/14</t>
  </si>
  <si>
    <t>AMAZON MKTPL*P518O7R Amzn.com/bill WA        02/14</t>
  </si>
  <si>
    <t>AMZN Mktp US*V73R07N Amzn.com/bill WA        02/13</t>
  </si>
  <si>
    <t>AMAZON MKTPL*RS3R94R Amzn.com/bill WA        02/14</t>
  </si>
  <si>
    <t>Online Transfer to CHK ...6975 transaction#: 23713693603 02/13</t>
  </si>
  <si>
    <t>DD *DOORDASH TARGET 855-431-0459 CA          02/13</t>
  </si>
  <si>
    <t>ROSAS CAFE &amp; TORTILLA WEATHERFORD TX         02/11</t>
  </si>
  <si>
    <t>AMAZON MKTPL*2Y91256 Amzn.com/bill WA        02/12</t>
  </si>
  <si>
    <t>AMAZON MKTPL*P50AY0B Amzn.com/bill WA        02/12</t>
  </si>
  <si>
    <t>AMZN Mktp US*MF8RV03 Amzn.com/bill WA        02/12</t>
  </si>
  <si>
    <t>DD *DOORDASH WALGREEN 855-431-0459 CA        02/11</t>
  </si>
  <si>
    <t>Online Transfer from CHK ...1168 transaction#: 23704917261</t>
  </si>
  <si>
    <t>ASCEND.ACADEMY ASCENDTHEFREQ AR              02/10</t>
  </si>
  <si>
    <t>AMAZON MKTPL*5U3S718 Amzn.com/bill WA        02/10</t>
  </si>
  <si>
    <t>CNP* VOGUE - DIGITAL CONDENAST.COM NY        02/10</t>
  </si>
  <si>
    <t>AMAZON MKTPL*8N5EB7W Amzn.com/bill WA        02/10</t>
  </si>
  <si>
    <t>APPLE COM BILL CUPERTINO CA          551357  02/09</t>
  </si>
  <si>
    <t>SQ *BOULEVARD OF GREENS Fort Worth TX        02/09</t>
  </si>
  <si>
    <t>CENTRAL MARKET #545 FT WORTH TX      144730  02/09</t>
  </si>
  <si>
    <t>MID CITIES ANTIQUE MAL HURST TX      950816  02/09</t>
  </si>
  <si>
    <t>AMAZON MKTPL*RZ5X31G Amzn.com/bill WA        02/10</t>
  </si>
  <si>
    <t>DD *DOORDASH BLUJASMI 855-431-0459 CA        02/09</t>
  </si>
  <si>
    <t>TIGER MART #51 WEATHERFORD TX        809000  02/08</t>
  </si>
  <si>
    <t>TIES TO THE PAST ANTIQU FORT WORTH TX        02/08</t>
  </si>
  <si>
    <t>PRESS CAFE FORT WORTH TX                     02/08</t>
  </si>
  <si>
    <t>AMAZON MKTPL*Z72B84K Amzn.com/bill WA        02/08</t>
  </si>
  <si>
    <t>ROSAS CAFE &amp; TORTILLA WEATHERFORD TX         02/07</t>
  </si>
  <si>
    <t>Prime Video Channels amzn.com/bill WA        02/07</t>
  </si>
  <si>
    <t>FILM ALLEY - WEATHERFO WEATHERFORD TX        02/07</t>
  </si>
  <si>
    <t>Online Transfer from CHK ...1168 transaction#: 23680819812</t>
  </si>
  <si>
    <t>AZLE ANTIQUE MAL AZLE TX             162236  02/07</t>
  </si>
  <si>
    <t>TM *MAJOR ACCIDENT 800-653-8000 CA           02/07</t>
  </si>
  <si>
    <t>TST* CLEAN JUICE - CLEA FORT WORTH TX        02/07</t>
  </si>
  <si>
    <t>Online Transfer from CHK ...1168 transaction#: 23643723741</t>
  </si>
  <si>
    <t>TARGET T-1981 WEATHERFORD TX         016174  02/06</t>
  </si>
  <si>
    <t>NON-CHASE ATM WITHDRAW               001180  02/06102 E. I-</t>
  </si>
  <si>
    <t>GOOGLE *YouTubePremi g.co/helppay# CA        02/06</t>
  </si>
  <si>
    <t>PSYCHOLOGY TODAY PSYCHOLOGYTOD SD            02/06</t>
  </si>
  <si>
    <t>SQ *AIN'T THAT SOMETHIN AZLE TX              02/05</t>
  </si>
  <si>
    <t>AMAZON MKTPL*B485M1H Amzn.com/bill WA        02/05</t>
  </si>
  <si>
    <t>AZLE ANTIQUE MAL AZLE TX             947459  02/05</t>
  </si>
  <si>
    <t>AZLE ANTIQUE MAL AZLE TX             946390  02/05</t>
  </si>
  <si>
    <t>A TO Z AZLE TX                       816460  02/05</t>
  </si>
  <si>
    <t>NTTA AUTOCHARGE 972-818-6882 TX              02/04</t>
  </si>
  <si>
    <t>Zara.com 212-3551415 NY                      02/05</t>
  </si>
  <si>
    <t>MID CITIES ANTIQUE MAL HURST TX      368151  02/04</t>
  </si>
  <si>
    <t>LONESTAR ANTIQUES MALL HALTOM CITY TX490264  02/04</t>
  </si>
  <si>
    <t>WHOLEFDS FTW #10 3400 FORT WORTH TX  541507  02/02</t>
  </si>
  <si>
    <t>BARNESNOBLE 4801 OVERT FORTH WORTH TX750002  02/02</t>
  </si>
  <si>
    <t>WESTSIDE ANTIQUE MARKE ALEDO TX              02/02</t>
  </si>
  <si>
    <t>APPLE.COM/BILL 866-712-7753 CA               02/02</t>
  </si>
  <si>
    <t>TARGET T-1981 WEATHERFORD TX         037018  02/01</t>
  </si>
  <si>
    <t>FILM ALLEY WEATHERFORD 817-3413232 TX        02/01</t>
  </si>
  <si>
    <t>CENTRAL MARKET #545 FT WORTH TX      787208  02/01</t>
  </si>
  <si>
    <t>TST* CLEAN JUICE - CLEA FORT WORTH TX        02/02</t>
  </si>
  <si>
    <t>FILM ALLEY - WEATHERFO WEATHERFORD TX        02/01</t>
  </si>
  <si>
    <t>FSP*CAMFT 858-292-2638 CA                    02/01</t>
  </si>
  <si>
    <t>SQ *BOULEVARD OF GREENS Fort Worth TX        01/31</t>
  </si>
  <si>
    <t>LOS ANGELES AIRPORT LOS ANGELES CA           01/31</t>
  </si>
  <si>
    <t>Online Transfer from CHK ...1168 transaction#: 23589080712</t>
  </si>
  <si>
    <t>Online Transfer from CHK ...1168 transaction#: 23598489996</t>
  </si>
  <si>
    <t>BLUE SHIELD CALIFORNI 800-393-6130 CA        01/31</t>
  </si>
  <si>
    <t>VONS #2270 LOS ANGELES CA                    01/30</t>
  </si>
  <si>
    <t>BIG O TIRES OF WEST LA LOS ANGELES CA385820  01/30</t>
  </si>
  <si>
    <t>A NOISE WITHIN 626-3563100 CA                01/28</t>
  </si>
  <si>
    <t>ZARA USA PREOWNED WWW.ZARA.COM/ NY           01/29</t>
  </si>
  <si>
    <t>PALM SPRINGS TENNIS HO LAKE FOREST CA        01/27</t>
  </si>
  <si>
    <t>Online Transfer from CHK ...1168 transaction#: 23554260004</t>
  </si>
  <si>
    <t>Patreon* Membership Internet CA              01/29</t>
  </si>
  <si>
    <t>CVSExtraCare 80074672 800-746-7287 RI        01/28</t>
  </si>
  <si>
    <t>Online Payment 23523601200 To SAFECO INSURANCE COMPANY 01/27</t>
  </si>
  <si>
    <t>Online Payment 23523581109 To AMERICAN EDUCATION SERVICES 01/27</t>
  </si>
  <si>
    <t>Online Payment 23523580346 To MERCEDES-BENZ FINANCIAL SERVICES 01/27</t>
  </si>
  <si>
    <t>Online Payment 23523590343 To FRONTIER TELEPHONE 01/27</t>
  </si>
  <si>
    <t>WHOLEFDS WLA 100 11666 LOS ANGELES CA547389  01/27</t>
  </si>
  <si>
    <t>TRADER JOE S #00 TRAD SANTA MONICA CA338580  01/27</t>
  </si>
  <si>
    <t>WWW.ACADEMYMUSEUM.ORG 132-39303000 CA        01/27</t>
  </si>
  <si>
    <t>SPACEWEATHERNEWS.COM SPACEWEATHERN CO        01/26</t>
  </si>
  <si>
    <t>Prime Video Channels amzn.com/bill WA        01/26</t>
  </si>
  <si>
    <t>GELSON'S MARKET #29 SANTA MONICA CA  725901  01/25</t>
  </si>
  <si>
    <t>Amazon.com*ZC9NX9ZG0 Amzn.com/bill WA        01/26</t>
  </si>
  <si>
    <t>AMZN Mktp US*ZC2ES9L Amzn.com/bill WA        01/26</t>
  </si>
  <si>
    <t>LUKE UNFILTERED HTTPSWEARECHA FL             01/25</t>
  </si>
  <si>
    <t>Amazon Prime*ZG5EY1T Amzn.com/bill WA        01/24</t>
  </si>
  <si>
    <t>GRANDVIEW CLEANERS LOS ANGELES CA            01/24</t>
  </si>
  <si>
    <t>GOOGLE *Google One 855-836-3987 CA           01/25</t>
  </si>
  <si>
    <t>ATT*BILL PAYMENT 800-288-2020 TX             01/24</t>
  </si>
  <si>
    <t>APPLE.COM/BILL 866-712-7753 CA               01/24</t>
  </si>
  <si>
    <t>Online Transfer from CHK ...1168 transaction#: 23523622078</t>
  </si>
  <si>
    <t>Online Transfer from CHK ...1168 transaction#: 23523553903</t>
  </si>
  <si>
    <t>CVS/PHARMACY #09493 MAR VISTA CA     040392  01/24</t>
  </si>
  <si>
    <t>CVS/PHARMACY #09493 MAR VISTA CA     047084  01/23</t>
  </si>
  <si>
    <t>TST*BLUEYS KITCHEN MAR Los Angeles CA        01/23</t>
  </si>
  <si>
    <t>ATM CHECK DEPOSIT 01/24 12335 VENICE BLVD LOS ANGELES CA</t>
  </si>
  <si>
    <t>LISA HO GUINAN, D.M. MARINA DEL RE CA242959  01/23</t>
  </si>
  <si>
    <t>PACOS TACOS LOS ANGELES CA                   01/22</t>
  </si>
  <si>
    <t>LAPHIL HWBOWL WEB 323-850-2000 CA            01/23</t>
  </si>
  <si>
    <t>Zara.com 212-3551415 NY                      01/23</t>
  </si>
  <si>
    <t>CVS/PHARMACY #09493 MAR VISTA CA     009838  01/22</t>
  </si>
  <si>
    <t>Zelle payment to Aaron Frankel JPM99avoqs3c</t>
  </si>
  <si>
    <t>CVS/PHARMACY #09493 MAR VISTA CA     048507  01/22</t>
  </si>
  <si>
    <t>AMAZON MKTPL*ZC3LC9G Amzn.com/bill WA        01/22</t>
  </si>
  <si>
    <t>GELSON'S MARKET #29 SANTA MONICA CA  915828  01/21</t>
  </si>
  <si>
    <t>AMAZON MKTPL*ZC4VM1T Amzn.com/bill WA        01/21</t>
  </si>
  <si>
    <t>GRANDVIEW CLEANERS LOS ANGELES CA            01/20</t>
  </si>
  <si>
    <t>WHOLEFDS WLA 100 11666 LOS ANGELES CA523028  01/20</t>
  </si>
  <si>
    <t>WHOLEFDS WLA 100 11666 LOS ANGELES CA928527  01/20</t>
  </si>
  <si>
    <t>NEXTLINK BROADBAND 855-6985465 TX            01/20</t>
  </si>
  <si>
    <t>AMAZON MKTPL*Z51TA85 Amzn.com/bill WA        01/20</t>
  </si>
  <si>
    <t>LAPHIL HWBOWL WEB 323-850-2000 CA            01/20</t>
  </si>
  <si>
    <t>AMC 9640 ONLINE 888-440-4262 KS              01/19</t>
  </si>
  <si>
    <t>A NOISE WITHIN 626-3563100 CA                01/19</t>
  </si>
  <si>
    <t>FOLLOW YOUR HEART MARK CANOGA PARK CA503898  01/18</t>
  </si>
  <si>
    <t>AMAZON MKTPL*Z514T4R Amzn.com/bill WA        01/18</t>
  </si>
  <si>
    <t>ANTHROPOLOGIE.COM ANTHROPOLOGIE PA           01/20</t>
  </si>
  <si>
    <t>ANTHROPOLOGIE.COM ANTHROPOLOGIE PA           01/19</t>
  </si>
  <si>
    <t>AMAZON MKTPL*Z56YE9R Amzn.com/bill WA        01/18</t>
  </si>
  <si>
    <t>AMZN Mktp US*Z542N0R Amzn.com/bill WA        01/18</t>
  </si>
  <si>
    <t>AMAZON MKTPL*ZG0D94K Amzn.com/bill WA        01/18</t>
  </si>
  <si>
    <t>Zelle payment from AILEEN SMOLLINS WFCT0YG85LK6</t>
  </si>
  <si>
    <t>Online Transfer from CHK ...1168 transaction#: 23450617971</t>
  </si>
  <si>
    <t>Online Transfer from CHK ...1168 transaction#: 23439350713</t>
  </si>
  <si>
    <t>ATM CHECK DEPOSIT 01/18 12335 VENICE BLVD LOS ANGELES CA</t>
  </si>
  <si>
    <t>CVS/PHARMACY #09493 MAR VISTA CA     043728  01/17</t>
  </si>
  <si>
    <t>LADOT METER PARKING LOS ANGELES CA           01/16</t>
  </si>
  <si>
    <t>MED*DEERFIELD PLAINS 682-284-1911 TX         01/17</t>
  </si>
  <si>
    <t>QDI*QUEST DIAGNOSTICS 800-758-6047 CA        01/17</t>
  </si>
  <si>
    <t>DBA DELEK ENTERP LOS ANGELES CA      711849  01/16</t>
  </si>
  <si>
    <t>LADOT PARKING CITATION LOS ANGELES CA104903  01/16</t>
  </si>
  <si>
    <t>TST*BLUEYS KITCHEN MAR Los Angeles CA        01/15</t>
  </si>
  <si>
    <t>Zara.com New York NY                         01/16</t>
  </si>
  <si>
    <t>Prime Video Channels amzn.com/bill WA        01/14</t>
  </si>
  <si>
    <t>APPLE.COM/BILL 866-712-7753 CA               01/14</t>
  </si>
  <si>
    <t>Online Transfer from CHK ...1168 transaction#: 23396403832</t>
  </si>
  <si>
    <t>OVERDRAFT FEE FOR A $385.77 CARD PURCHASE WITH PIN - DETAILS: 6014050113WHOLEFDS PLV #10 12746 PLAYA VISTA CA0############7494                                                                                           07</t>
  </si>
  <si>
    <t>Amazon Prime*Z577L1E Amzn.com/bill WA        01/14</t>
  </si>
  <si>
    <t>B&amp;H LOT #4 MARINA DEL RE CA                  01/13</t>
  </si>
  <si>
    <t>WHOLEFDS PLV #10 12746 PLAYA VISTA CA601405  01/13</t>
  </si>
  <si>
    <t>TRADER JOE S #20 TRA MARINA DEL RE CA222120  01/13</t>
  </si>
  <si>
    <t>AMC 9640 ONLINE 888-440-4262 KS              01/13</t>
  </si>
  <si>
    <t>Zara.com 212-3551415 NY                      01/13</t>
  </si>
  <si>
    <t>UNITED      01644643573 UNITED.COM TX        01/12</t>
  </si>
  <si>
    <t>UNITED      01624506907 UNITED.COM TX        01/12</t>
  </si>
  <si>
    <t>UBER EATS* EATS SAN FRANCISCO CA     607552  01/11</t>
  </si>
  <si>
    <t>Zelle payment to Aaron Frankel JPM99aumd5gu</t>
  </si>
  <si>
    <t>GRANDVIEW CLEANERS LOS ANGELES CA            01/10</t>
  </si>
  <si>
    <t>SQ *KREATION ORGANIC Marina del Re CA        01/10</t>
  </si>
  <si>
    <t>AMC 9640 ONLINE 888-440-4262 KS              01/11</t>
  </si>
  <si>
    <t>Zara.com New York NY                         01/11</t>
  </si>
  <si>
    <t>UBER EATS* EATS SAN FRANCISCO CA     558419  01/09</t>
  </si>
  <si>
    <t>APPLE.COM/BILL 866-712-7753 CA               01/10</t>
  </si>
  <si>
    <t>CONSCIOUSLY ELEVATED L 181-4312401 TX        01/10</t>
  </si>
  <si>
    <t>Online Transfer from CHK ...1168 transaction#: 23337021115</t>
  </si>
  <si>
    <t>THE HOME DEPOT #6611 LOS ANGELES CA  579191  01/09</t>
  </si>
  <si>
    <t>WHOLEFDS PIC #10 2121 SANTA MONICA CA031993  01/09</t>
  </si>
  <si>
    <t>GELSON'S MARKET #29 SANTA MONICA CA  183942  01/09</t>
  </si>
  <si>
    <t>UBER   * EATS PENDIN SAN FRANCISCO CA025248  01/09</t>
  </si>
  <si>
    <t>UBER   * PENDING SAN FRANCISCO CA    022252  01/08</t>
  </si>
  <si>
    <t>CPH LIABILITY INSURAN 800-875-1911 IL        01/09</t>
  </si>
  <si>
    <t>UBER   * EATS PENDIN SAN FRANCISCO CA362529  01/08</t>
  </si>
  <si>
    <t>Zelle payment from EUNICE G CHANG 23333375876</t>
  </si>
  <si>
    <t>SQ *MOON JUICE Venice CA                     01/07</t>
  </si>
  <si>
    <t>GRANDVIEW CLEANERS LOS ANGELES CA            01/07</t>
  </si>
  <si>
    <t>PAVILIONS #2105 MARINA DEL RE CA             01/07</t>
  </si>
  <si>
    <t>Prime Video Channels amzn.com/bill WA        01/07</t>
  </si>
  <si>
    <t>Nastygal.com 333-3110804 PA                  01/07</t>
  </si>
  <si>
    <t>GELSON'S MARKET #29 SANTA MONICA CA          01/07 Purchase $36.36 Cash Back $100.00</t>
  </si>
  <si>
    <t>CVS/PHARMACY #09493 MAR VISTA CA     038657  01/07</t>
  </si>
  <si>
    <t>TST*BLUEYS KITCHEN MAR Los Angeles CA        01/06</t>
  </si>
  <si>
    <t>DD *DOORDASH BLUJASMI 855-431-0459 CA        01/07</t>
  </si>
  <si>
    <t>GOOGLE *YouTubePremi g.co/helppay# CA        01/06</t>
  </si>
  <si>
    <t>PSYCHOLOGY TODAY HTTPSWWW.PSYC SD            01/06</t>
  </si>
  <si>
    <t>Online Payment 23288644604 To SOUTHERN CALIFORNIA GAS CO 01/06</t>
  </si>
  <si>
    <t>Online Payment 23288635812 To FRONTIER TELEPHONE 01/06</t>
  </si>
  <si>
    <t>Zelle payment to Aaron Frankel JPM99au6o0tc</t>
  </si>
  <si>
    <t>RAINBOW ACRES LOS ANGELES CA         529826  01/04</t>
  </si>
  <si>
    <t>FANDANGO    * FANDANGO.COM CA                01/04</t>
  </si>
  <si>
    <t>CHEVRON 0306890 SANTA MONICA CA              01/03</t>
  </si>
  <si>
    <t>HANDY J CAR WASH LOS ANGELES CA              01/03</t>
  </si>
  <si>
    <t>KEAVY'S CORNER LLC 863-304-1004 FL           01/03</t>
  </si>
  <si>
    <t>AIR CANADA  0144275856 888-2472262 NY        01/04</t>
  </si>
  <si>
    <t>AIR CANADA  0144280052 888-2472262 NY        01/04</t>
  </si>
  <si>
    <t>GELSON'S MARKET #29 SANTA MONICA CA  360098  01/03</t>
  </si>
  <si>
    <t>NON-CHASE ATM WITHDRAW               002032  01/0312681 W W</t>
  </si>
  <si>
    <t>Online Payment 23270623184 To SAFECO INSURANCE COMPANY 01/03</t>
  </si>
  <si>
    <t>Online Payment 23270605687 To FRONTIER TELEPHONE 01/03</t>
  </si>
  <si>
    <t>Online Payment 23270615784 To AMERICAN EDUCATION SERVICES 01/03</t>
  </si>
  <si>
    <t>Online Payment 23270593270 To MERCEDES-BENZ FINANCIAL SERVICES 01/03</t>
  </si>
  <si>
    <t>FOLLOW YOUR HEART MARK CANOGA PARK CA197182  01/02</t>
  </si>
  <si>
    <t>NTTA AUTOCHARGE 972-818-6882 TX              01/02</t>
  </si>
  <si>
    <t>APPLE.COM/BILL 866-712-7753 CA               01/03</t>
  </si>
  <si>
    <t>AIR CANADA  0144280052 888-2472262 NY        01/02</t>
  </si>
  <si>
    <t>FREEPEOPLE.COM HTTPSWWW.FREE PA              01/02</t>
  </si>
  <si>
    <t>Online Transfer from CHK ...1168 transaction#: 23270584350</t>
  </si>
  <si>
    <t>FOREIGN EXCHANGE RATE ADJUSTMENT FEE         01/01BCF - COA</t>
  </si>
  <si>
    <t>FOREIGN EXCHANGE RATE ADJUSTMENT FEE         01/01AIR CAN*</t>
  </si>
  <si>
    <t>FOREIGN EXCHANGE RATE ADJUSTMENT FEE         01/01TSESHAHT</t>
  </si>
  <si>
    <t>BCF - COASTAL RENAISSAN VICTORIA BC          01/01 CA DOLLAR  28.33 X 0.6974938 (EXCHG RTE)</t>
  </si>
  <si>
    <t>TSESHAHT MARKET LP PORT ALBERNI BC           01/01 CA DOLLAR  70.51 X 0.6974897 (EXCHG RTE)</t>
  </si>
  <si>
    <t>AIR CAN*    01442800 AIRCANADA.COM MB        01/01 CA DOLLAR  40.00 X 0.6975000 (EXCHG RTE)</t>
  </si>
  <si>
    <t>AIR CAN*    01442800 AIRCANADA.COM MB        01/01 CA DOLLAR  50.00 X 0.6976000 (EXCHG RTE)</t>
  </si>
  <si>
    <t>AIR CAN*    01442800 AIRCANADA.COM MB        01/01 CA DOLLAR  54.81 X 0.6975005 (EXCHG RTE)</t>
  </si>
  <si>
    <t>AIR CAN*    01442800 AIRCANADA.COM MB        01/01 CA DOLLAR  150.00 X 0.6975333 (EXCHG RTE)</t>
  </si>
  <si>
    <t>CHANGE.ORG</t>
  </si>
  <si>
    <t>CARBON HEALTH</t>
  </si>
  <si>
    <t>THE EPOCH TIMES</t>
  </si>
  <si>
    <t>RADIOLOGY PARTNERS</t>
  </si>
  <si>
    <t>PEETS</t>
  </si>
  <si>
    <t>DBZ</t>
  </si>
  <si>
    <t>Nasty Gal</t>
  </si>
  <si>
    <t>Nastygal</t>
  </si>
  <si>
    <t>BANDCAMP</t>
  </si>
  <si>
    <t>LADOT PARKING</t>
  </si>
  <si>
    <t>PARKING METERS - IPS</t>
  </si>
  <si>
    <t>SQ *BERRY FLASH PHOTO</t>
  </si>
  <si>
    <t>TRADER JOE</t>
  </si>
  <si>
    <t>SP RX COMPOUND</t>
  </si>
  <si>
    <t>MICROSOFT</t>
  </si>
  <si>
    <t>SQ *BALANCED ROOT APOTH</t>
  </si>
  <si>
    <t>GETTY</t>
  </si>
  <si>
    <t>METRO EXPRESSLANES</t>
  </si>
  <si>
    <t>CAN'T BELIEVE</t>
  </si>
  <si>
    <t>Zelle from ME Can't Believe Inc</t>
  </si>
  <si>
    <t>LUGG HOLD</t>
  </si>
  <si>
    <t>STAPLES</t>
  </si>
  <si>
    <t>SAM EDELMAN</t>
  </si>
  <si>
    <t>LAZ PARKING</t>
  </si>
  <si>
    <t>CPH LIABILITY</t>
  </si>
  <si>
    <t>SP HEALTHRANGERSTORE</t>
  </si>
  <si>
    <t>DICE.FM</t>
  </si>
  <si>
    <t>VER.SO</t>
  </si>
  <si>
    <t>TIGER MART</t>
  </si>
  <si>
    <t>SQ *BOULEVARD OF GREENS</t>
  </si>
  <si>
    <t>Denise Quezada</t>
  </si>
  <si>
    <t>Zelle to Denise Quezada</t>
  </si>
  <si>
    <t>SP DERMRAYS</t>
  </si>
  <si>
    <t>TICKETS*WEST SIDE</t>
  </si>
  <si>
    <t>ODYSSEY THEATRE</t>
  </si>
  <si>
    <t>X22REPORT</t>
  </si>
  <si>
    <t>JESSICA PURSE</t>
  </si>
  <si>
    <t>Zelle from Jessica Purse</t>
  </si>
  <si>
    <t>ALL FAMILY PHARMACY</t>
  </si>
  <si>
    <t>CLEAR REVOLUTION SKINC</t>
  </si>
  <si>
    <t>WONDERFEEL</t>
  </si>
  <si>
    <t>DFW iStore Express</t>
  </si>
  <si>
    <t>CASABLANCA VENICE</t>
  </si>
  <si>
    <t>NOVO COFFEE</t>
  </si>
  <si>
    <t>HOTEL JEROME</t>
  </si>
  <si>
    <t>SQ *THE CORNER BEET</t>
  </si>
  <si>
    <t>POPULUS HOTEL</t>
  </si>
  <si>
    <t>DENVER ARTS COMPLEX</t>
  </si>
  <si>
    <t>ALLAN JEFFRIES FRAMIN</t>
  </si>
  <si>
    <t>CITY OF SANTA MONICA</t>
  </si>
  <si>
    <t>SQ *COMPUDOC</t>
  </si>
  <si>
    <t>HWB</t>
  </si>
  <si>
    <t>CHEVRON</t>
  </si>
  <si>
    <t>Colorado Symphony</t>
  </si>
  <si>
    <t>SUBSTANCELOSANG</t>
  </si>
  <si>
    <t>jeff seider</t>
  </si>
  <si>
    <t>Zelle to Jeff Seider</t>
  </si>
  <si>
    <t>TYLER HENRY NETWORK</t>
  </si>
  <si>
    <t>FASTRAK VIOLATION</t>
  </si>
  <si>
    <t>LA CHAMBER ORCHESTRA</t>
  </si>
  <si>
    <t>SP MITO RED LIGHT</t>
  </si>
  <si>
    <t>PP*FOREVER GREY</t>
  </si>
  <si>
    <t>PAYPAL *SPIRITUNITY</t>
  </si>
  <si>
    <t>HOLLYWOOD BOWL</t>
  </si>
  <si>
    <t>TRU*TRUEDARK</t>
  </si>
  <si>
    <t>LODGEROOM</t>
  </si>
  <si>
    <t>1928 JEWELRY</t>
  </si>
  <si>
    <t>LA CABANA</t>
  </si>
  <si>
    <t>CSC* VACATIA</t>
  </si>
  <si>
    <t>Aaron Frankel</t>
  </si>
  <si>
    <t>Zelle to Aaron Frankel</t>
  </si>
  <si>
    <t>FOLLOW YOUR HEART</t>
  </si>
  <si>
    <t>SCREENFIT</t>
  </si>
  <si>
    <t>SP LA PANTHERE STUDI</t>
  </si>
  <si>
    <t>AXS.COM</t>
  </si>
  <si>
    <t>LENSCRAFTERS</t>
  </si>
  <si>
    <t>EYE EXAM</t>
  </si>
  <si>
    <t>CEDARS SINAI</t>
  </si>
  <si>
    <t>GELSONS VIA INSTACAR</t>
  </si>
  <si>
    <t>SQ *PURE MASSAGE</t>
  </si>
  <si>
    <t>RACETRAC</t>
  </si>
  <si>
    <t>MOVIETAVERN</t>
  </si>
  <si>
    <t>KOHLS</t>
  </si>
  <si>
    <t>COAST TO COAST AM</t>
  </si>
  <si>
    <t>SP MUSEUM QUALITY AR</t>
  </si>
  <si>
    <t>LAX AIRP</t>
  </si>
  <si>
    <t>LAX THE ECONOMIST</t>
  </si>
  <si>
    <t>NUART THEATRE</t>
  </si>
  <si>
    <t>DON ANTONIOS</t>
  </si>
  <si>
    <t>JACO BOOYENS MINISTR</t>
  </si>
  <si>
    <t>TACOS TAMIX</t>
  </si>
  <si>
    <t>FACEPLASTIC.ACADEMY</t>
  </si>
  <si>
    <t>SP BODYHEALTH.COM</t>
  </si>
  <si>
    <t>GUMROAD</t>
  </si>
  <si>
    <t>BOWL STORE</t>
  </si>
  <si>
    <t>GoFundMe</t>
  </si>
  <si>
    <t>SHAW SHOES</t>
  </si>
  <si>
    <t>CORPUS CHRISTI WATERSH</t>
  </si>
  <si>
    <t>SP SFERRA</t>
  </si>
  <si>
    <t>SEE TICKETS</t>
  </si>
  <si>
    <t>LAZY ACRES</t>
  </si>
  <si>
    <t>LYFT</t>
  </si>
  <si>
    <t>MARY MILITE TREIGER</t>
  </si>
  <si>
    <t>Zelle from Mary Milite Treiger</t>
  </si>
  <si>
    <t>COPENHAGEN PASTRY</t>
  </si>
  <si>
    <t>FIRE ANT CONTROL</t>
  </si>
  <si>
    <t>Angela Dunning</t>
  </si>
  <si>
    <t>Zelle to Angela Dunning</t>
  </si>
  <si>
    <t>SP GLOMELANIN</t>
  </si>
  <si>
    <t>LA COUNTY TTC PAY</t>
  </si>
  <si>
    <t>SERVICE FEE 213-974-2111</t>
  </si>
  <si>
    <t>LOS ANGELES INTERNATIO</t>
  </si>
  <si>
    <t>ZOLA.COM</t>
  </si>
  <si>
    <t>JOHN DUNNING</t>
  </si>
  <si>
    <t>PayPal ACH - John Dunning</t>
  </si>
  <si>
    <t>ASCEND.ACADEMY</t>
  </si>
  <si>
    <t>PORTAL TO ASCENSION</t>
  </si>
  <si>
    <t>TEXACO</t>
  </si>
  <si>
    <t>Patreon</t>
  </si>
  <si>
    <t>SELF-PORTRAIT</t>
  </si>
  <si>
    <t>MICHAELS STORES</t>
  </si>
  <si>
    <t>GRANADA THEATER</t>
  </si>
  <si>
    <t>SQ *STUDIO 74 VINTAGE</t>
  </si>
  <si>
    <t>UTRECHT ART</t>
  </si>
  <si>
    <t>SHUTTERS COAST RESTR</t>
  </si>
  <si>
    <t>TEXAS LEISURE HOT T</t>
  </si>
  <si>
    <t>HIDDEN TREASURES</t>
  </si>
  <si>
    <t>SPIRAL STAIRCASE AT THE</t>
  </si>
  <si>
    <t>CA DMV FEE</t>
  </si>
  <si>
    <t>STATE OF CALIF DMV</t>
  </si>
  <si>
    <t>ITALIARAIL.COM</t>
  </si>
  <si>
    <t>AAA CULVER CITY</t>
  </si>
  <si>
    <t>GRUBHUB</t>
  </si>
  <si>
    <t>LIFEWAVE</t>
  </si>
  <si>
    <t>PATRIOT PHARMA</t>
  </si>
  <si>
    <t>SQ *THE FALAFEL FACTORY</t>
  </si>
  <si>
    <t>SQ *ABY PARTY RENTAL</t>
  </si>
  <si>
    <t>VIKTOR BENES</t>
  </si>
  <si>
    <t>STUBHUB</t>
  </si>
  <si>
    <t>BOLIVAR CAFE</t>
  </si>
  <si>
    <t>AMZN Mktp</t>
  </si>
  <si>
    <t>TJ NAILS</t>
  </si>
  <si>
    <t>CNP* VOGUE</t>
  </si>
  <si>
    <t>PRESS CAFE</t>
  </si>
  <si>
    <t>A TO Z AZLE</t>
  </si>
  <si>
    <t>AIN'T THAT SOMETHIN</t>
  </si>
  <si>
    <t>BARNESNOBLE</t>
  </si>
  <si>
    <t>VONS</t>
  </si>
  <si>
    <t>BIG O TIRES</t>
  </si>
  <si>
    <t>A NOISE WITHIN</t>
  </si>
  <si>
    <t>WWW.ACADEMYMUSEUM.ORG</t>
  </si>
  <si>
    <t>Aileen Smollins</t>
  </si>
  <si>
    <t>Zelle from Aileen Smollins</t>
  </si>
  <si>
    <t>MED*DEERFIELD PLAINS</t>
  </si>
  <si>
    <t>DBA DELEK ENTERP</t>
  </si>
  <si>
    <t>B&amp;H LOT</t>
  </si>
  <si>
    <t>CONSCIOUSLY ELEVATED</t>
  </si>
  <si>
    <t>SQ *MOON JUICE</t>
  </si>
  <si>
    <t>KREATION ORGANIC</t>
  </si>
  <si>
    <t>AIR CANADA</t>
  </si>
  <si>
    <t>HEARTS AND HALOS</t>
  </si>
  <si>
    <t>TCB*MTA METER</t>
  </si>
  <si>
    <t>TRILOGY SANCTUARY</t>
  </si>
  <si>
    <t>BLU JASMINE</t>
  </si>
  <si>
    <t>LOS ANGELES AIRPORT</t>
  </si>
  <si>
    <t>SQ *BANNERMEDIUM</t>
  </si>
  <si>
    <t>DARIUSJWRIGHT</t>
  </si>
  <si>
    <t>ROCKET 171</t>
  </si>
  <si>
    <t>FAARHA INC</t>
  </si>
  <si>
    <t>KEAVY'S CORNER</t>
  </si>
  <si>
    <t>PIC-UP WEATHERFORD</t>
  </si>
  <si>
    <t>CHK ...0709</t>
  </si>
  <si>
    <t>Transfer to DWG Capital Group_Savings</t>
  </si>
  <si>
    <t>Chase Personal Banking — Angela</t>
  </si>
  <si>
    <t>Statement Summary  |  Jan 2, 2025 – Dec 31, 2025</t>
  </si>
  <si>
    <t>Account</t>
  </si>
  <si>
    <t>Angela — Chase 1117</t>
  </si>
  <si>
    <t>Statement Period</t>
  </si>
  <si>
    <t>Jan 2025 – Dec 2025</t>
  </si>
  <si>
    <t>TOTALS</t>
  </si>
  <si>
    <t>Charges (Outflows)</t>
  </si>
  <si>
    <t>Credits &amp; Payments (Inflows)</t>
  </si>
  <si>
    <t>Net Balance</t>
  </si>
  <si>
    <t>ACTIVITY — INFLOWS vs OUTFLOWS</t>
  </si>
  <si>
    <t>Flow</t>
  </si>
  <si>
    <t># Txns</t>
  </si>
  <si>
    <t>Inflows (Credits)</t>
  </si>
  <si>
    <t>Outflows (Charges)</t>
  </si>
  <si>
    <t>Net</t>
  </si>
  <si>
    <t>SPEND BY CATEGORY</t>
  </si>
  <si>
    <t>% of Charges</t>
  </si>
  <si>
    <t>Transfers</t>
  </si>
  <si>
    <t>Subtotal — Transfers</t>
  </si>
  <si>
    <t>Zelle</t>
  </si>
  <si>
    <t>Zelle from Joe Saunders</t>
  </si>
  <si>
    <t>Zelle to Joe Saunders</t>
  </si>
  <si>
    <t>Subtotal — Zelle</t>
  </si>
  <si>
    <t>PayPal ACH</t>
  </si>
  <si>
    <t>Subtotal — PayPal ACH</t>
  </si>
  <si>
    <t>Personal Travel - Italy</t>
  </si>
  <si>
    <t>Personal Travel - New Orleans</t>
  </si>
  <si>
    <t>Subtotal — Personal Travel</t>
  </si>
  <si>
    <t>Personal - Everyday</t>
  </si>
  <si>
    <t>Subtotal — Personal - Everyday</t>
  </si>
  <si>
    <t>Brands &amp; Services</t>
  </si>
  <si>
    <t>Subtotal — Brands &amp; Services</t>
  </si>
  <si>
    <t>Bank &amp; Admin</t>
  </si>
  <si>
    <t>Checks Paid</t>
  </si>
  <si>
    <t>Subtotal — Bank &amp; Admin</t>
  </si>
  <si>
    <t>Subtotal — Donation</t>
  </si>
  <si>
    <t>NET — ALL CATEGORIES</t>
  </si>
  <si>
    <t>Transfers  |  Jan 2, 2025 – Dec 31, 2025</t>
  </si>
  <si>
    <t>Transfers (Own Accounts)</t>
  </si>
  <si>
    <t>Subtotal — Transfers (Own Accounts)</t>
  </si>
  <si>
    <t>Zelle (Person-to-Person)</t>
  </si>
  <si>
    <t>Subtotal — Zelle (Person-to-Person)</t>
  </si>
  <si>
    <t>TOTAL — ALL TRANSFERS</t>
  </si>
  <si>
    <t>Monthly Breakdown by Category  |  Jan 2025 – Dec 2025</t>
  </si>
  <si>
    <t>Total</t>
  </si>
  <si>
    <t>TOTAL — ALL CATEGORIES</t>
  </si>
  <si>
    <t>Transaction Detail  |  Jan 2, 2025 – Dec 31, 2025</t>
  </si>
  <si>
    <t>Date</t>
  </si>
  <si>
    <t>Merchant /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</si>
</sst>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\(&quot;$&quot;#,##0.00\)"/>
    <numFmt numFmtId="166" formatCode="0.0%"/>
    <numFmt numFmtId="167" formatCode="mmm\ yyyy"/>
    <numFmt numFmtId="168" formatCode="&quot;$&quot;#,##0;\(&quot;$&quot;#,##0\)"/>
    <numFmt numFmtId="169" formatCode="mm/dd/yyyy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Narrow"/>
      <scheme val="minor"/>
    </font>
    <font>
      <sz val="10"/>
      <color rgb="FFFFFFFF"/>
      <name val="Aptos Narrow"/>
      <scheme val="minor"/>
    </font>
    <font>
      <b/>
      <sz val="9"/>
      <color rgb="FF6B6B6B"/>
      <name val="Aptos Narrow"/>
      <scheme val="minor"/>
    </font>
    <font>
      <sz val="11"/>
      <color rgb="FF010101"/>
      <name val="Aptos Narrow"/>
      <scheme val="minor"/>
    </font>
    <font>
      <b/>
      <sz val="11"/>
      <color rgb="FFFFFFFF"/>
      <name val="Aptos Narrow"/>
      <scheme val="minor"/>
    </font>
    <font>
      <b/>
      <sz val="10"/>
      <color rgb="FF6B6B6B"/>
      <name val="Aptos Narrow"/>
      <scheme val="minor"/>
    </font>
    <font>
      <b/>
      <sz val="11"/>
      <color rgb="FF01010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2C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33" borderId="0" xfId="0" applyFont="1" applyFill="1"/>
    <xf numFmtId="0" fontId="19" fillId="33" borderId="0" xfId="0" applyFont="1" applyFill="1"/>
    <xf numFmtId="0" fontId="20" fillId="0" borderId="0" xfId="0" applyFont="1" applyFill="1"/>
    <xf numFmtId="0" fontId="21" fillId="0" borderId="0" xfId="0" applyFont="1" applyFill="1"/>
    <xf numFmtId="0" fontId="22" fillId="33" borderId="0" xfId="0" applyFont="1" applyFill="1"/>
    <xf numFmtId="0" fontId="21" fillId="34" borderId="0" xfId="0" applyFont="1" applyFill="1"/>
    <xf numFmtId="0" fontId="23" fillId="34" borderId="0" xfId="0" applyFont="1" applyFill="1"/>
    <xf numFmtId="164" fontId="21" fillId="34" borderId="0" xfId="0" applyNumberFormat="1" applyFont="1" applyFill="1"/>
    <xf numFmtId="0" fontId="20" fillId="0" borderId="10" xfId="0" applyFont="1" applyFill="1" applyBorder="1"/>
    <xf numFmtId="164" fontId="21" fillId="0" borderId="0" xfId="0" applyNumberFormat="1" applyFont="1" applyFill="1"/>
    <xf numFmtId="166" fontId="21" fillId="0" borderId="0" xfId="0" applyNumberFormat="1" applyFont="1" applyFill="1"/>
    <xf numFmtId="0" fontId="24" fillId="35" borderId="11" xfId="0" applyFont="1" applyFill="1" applyBorder="1"/>
    <xf numFmtId="166" fontId="24" fillId="35" borderId="11" xfId="0" applyNumberFormat="1" applyFont="1" applyFill="1" applyBorder="1"/>
    <xf numFmtId="164" fontId="24" fillId="35" borderId="11" xfId="0" applyNumberFormat="1" applyFont="1" applyFill="1" applyBorder="1"/>
    <xf numFmtId="0" fontId="22" fillId="33" borderId="12" xfId="0" applyFont="1" applyFill="1" applyBorder="1"/>
    <xf numFmtId="166" fontId="22" fillId="33" borderId="12" xfId="0" applyNumberFormat="1" applyFont="1" applyFill="1" applyBorder="1"/>
    <xf numFmtId="164" fontId="22" fillId="33" borderId="12" xfId="0" applyNumberFormat="1" applyFont="1" applyFill="1" applyBorder="1"/>
    <xf numFmtId="1" fontId="21" fillId="0" borderId="0" xfId="0" applyNumberFormat="1" applyFont="1" applyFill="1"/>
    <xf numFmtId="1" fontId="24" fillId="35" borderId="11" xfId="0" applyNumberFormat="1" applyFont="1" applyFill="1" applyBorder="1"/>
    <xf numFmtId="1" fontId="22" fillId="33" borderId="12" xfId="0" applyNumberFormat="1" applyFont="1" applyFill="1" applyBorder="1"/>
    <xf numFmtId="167" fontId="20" fillId="0" borderId="0" xfId="0" applyNumberFormat="1" applyFont="1" applyFill="1"/>
    <xf numFmtId="168" fontId="21" fillId="0" borderId="0" xfId="0" applyNumberFormat="1" applyFont="1" applyFill="1"/>
    <xf numFmtId="168" fontId="22" fillId="33" borderId="0" xfId="0" applyNumberFormat="1" applyFont="1" applyFill="1"/>
    <xf numFmtId="169" fontId="21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5328E6-0F5C-44E4-A383-429D37AB689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78690f-1bcb-467c-8e01-a5ad38ba41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4CD4-C81E-4534-8157-74562A2CF0F6}">
  <dimension ref="A1:C88"/>
  <sheetViews>
    <sheetView tabSelected="1" workbookViewId="0">
      <selection activeCell="K27" sqref="K27"/>
    </sheetView>
  </sheetViews>
  <sheetFormatPr defaultRowHeight="15" x14ac:dyDescent="0.25"/>
  <cols>
    <col min="1" max="1" width="62.85546875" customWidth="1"/>
    <col min="2" max="2" width="21" customWidth="1"/>
    <col min="3" max="3" width="17.140625" customWidth="1"/>
  </cols>
  <sheetData>
    <row r="1" spans="1:3" ht="18.75" x14ac:dyDescent="0.3">
      <c r="A1" s="3" t="s">
        <v>2587</v>
      </c>
      <c r="B1" s="3"/>
      <c r="C1" s="3"/>
    </row>
    <row r="2" spans="1:3" x14ac:dyDescent="0.25">
      <c r="A2" s="4" t="s">
        <v>2588</v>
      </c>
      <c r="B2" s="4"/>
      <c r="C2" s="4"/>
    </row>
    <row r="4" spans="1:3" x14ac:dyDescent="0.25">
      <c r="A4" s="5" t="s">
        <v>2589</v>
      </c>
      <c r="B4" s="6" t="s">
        <v>2590</v>
      </c>
    </row>
    <row r="5" spans="1:3" x14ac:dyDescent="0.25">
      <c r="A5" s="5" t="s">
        <v>2591</v>
      </c>
      <c r="B5" s="6" t="s">
        <v>2592</v>
      </c>
    </row>
    <row r="7" spans="1:3" x14ac:dyDescent="0.25">
      <c r="A7" s="7" t="s">
        <v>2593</v>
      </c>
      <c r="B7" s="7"/>
      <c r="C7" s="7"/>
    </row>
    <row r="8" spans="1:3" x14ac:dyDescent="0.25">
      <c r="A8" s="9" t="s">
        <v>2594</v>
      </c>
      <c r="B8" s="10">
        <f>SUMIF(Angela_2025_Chase1117_Activity_!$D$2:$D$2300,"&lt;0")</f>
        <v>-336303.62999999948</v>
      </c>
      <c r="C8" s="8"/>
    </row>
    <row r="9" spans="1:3" x14ac:dyDescent="0.25">
      <c r="A9" s="9" t="s">
        <v>2595</v>
      </c>
      <c r="B9" s="10">
        <f>SUMIF(Angela_2025_Chase1117_Activity_!$D$2:$D$2300,"&gt;0")</f>
        <v>335062.41000000003</v>
      </c>
      <c r="C9" s="8"/>
    </row>
    <row r="10" spans="1:3" x14ac:dyDescent="0.25">
      <c r="A10" s="9" t="s">
        <v>2596</v>
      </c>
      <c r="B10" s="10">
        <f>B8+B9</f>
        <v>-1241.2199999994482</v>
      </c>
      <c r="C10" s="8"/>
    </row>
    <row r="12" spans="1:3" x14ac:dyDescent="0.25">
      <c r="A12" s="7" t="s">
        <v>2597</v>
      </c>
      <c r="B12" s="7"/>
      <c r="C12" s="7"/>
    </row>
    <row r="13" spans="1:3" x14ac:dyDescent="0.25">
      <c r="A13" s="11" t="s">
        <v>2598</v>
      </c>
      <c r="B13" s="11" t="s">
        <v>2599</v>
      </c>
      <c r="C13" s="11" t="s">
        <v>3</v>
      </c>
    </row>
    <row r="14" spans="1:3" x14ac:dyDescent="0.25">
      <c r="A14" s="6" t="s">
        <v>2600</v>
      </c>
      <c r="B14" s="6">
        <f>COUNTIF(Angela_2025_Chase1117_Activity_!$D$2:$D$2300,"&gt;0")</f>
        <v>173</v>
      </c>
      <c r="C14" s="12">
        <f>B9</f>
        <v>335062.41000000003</v>
      </c>
    </row>
    <row r="15" spans="1:3" x14ac:dyDescent="0.25">
      <c r="A15" s="6" t="s">
        <v>2601</v>
      </c>
      <c r="B15" s="6">
        <f>COUNTIF(Angela_2025_Chase1117_Activity_!$D$2:$D$2300,"&lt;0")</f>
        <v>2126</v>
      </c>
      <c r="C15" s="12">
        <f>B8</f>
        <v>-336303.62999999948</v>
      </c>
    </row>
    <row r="16" spans="1:3" x14ac:dyDescent="0.25">
      <c r="A16" s="6" t="s">
        <v>2602</v>
      </c>
      <c r="B16" s="6">
        <f>B14+B15</f>
        <v>2299</v>
      </c>
      <c r="C16" s="12">
        <f>C14+C15</f>
        <v>-1241.2199999994482</v>
      </c>
    </row>
    <row r="18" spans="1:3" x14ac:dyDescent="0.25">
      <c r="A18" s="7" t="s">
        <v>2603</v>
      </c>
      <c r="B18" s="7"/>
      <c r="C18" s="7"/>
    </row>
    <row r="19" spans="1:3" x14ac:dyDescent="0.25">
      <c r="A19" s="11" t="s">
        <v>1418</v>
      </c>
      <c r="B19" s="11" t="s">
        <v>3</v>
      </c>
      <c r="C19" s="11" t="s">
        <v>2604</v>
      </c>
    </row>
    <row r="20" spans="1:3" x14ac:dyDescent="0.25">
      <c r="A20" s="5" t="s">
        <v>2605</v>
      </c>
      <c r="B20" s="5"/>
      <c r="C20" s="5"/>
    </row>
    <row r="21" spans="1:3" x14ac:dyDescent="0.25">
      <c r="A21" s="6" t="s">
        <v>1465</v>
      </c>
      <c r="B21" s="12">
        <f>SUMIF(Angela_2025_Chase1117_Activity_!$G$2:$G$2300,$A21,Angela_2025_Chase1117_Activity_!$D$2:$D$2300)</f>
        <v>306000</v>
      </c>
      <c r="C21" s="13">
        <f>B21/$B$8</f>
        <v>-0.90989205201264245</v>
      </c>
    </row>
    <row r="22" spans="1:3" x14ac:dyDescent="0.25">
      <c r="A22" s="6" t="s">
        <v>1467</v>
      </c>
      <c r="B22" s="12">
        <f>SUMIF(Angela_2025_Chase1117_Activity_!$G$2:$G$2300,$A22,Angela_2025_Chase1117_Activity_!$D$2:$D$2300)</f>
        <v>-12500</v>
      </c>
      <c r="C22" s="13">
        <f>B22/$B$8</f>
        <v>3.7168792974372651E-2</v>
      </c>
    </row>
    <row r="23" spans="1:3" x14ac:dyDescent="0.25">
      <c r="A23" s="6" t="s">
        <v>1638</v>
      </c>
      <c r="B23" s="12">
        <f>SUMIF(Angela_2025_Chase1117_Activity_!$G$2:$G$2300,$A23,Angela_2025_Chase1117_Activity_!$D$2:$D$2300)</f>
        <v>1000</v>
      </c>
      <c r="C23" s="13">
        <f>B23/$B$8</f>
        <v>-2.973503437949812E-3</v>
      </c>
    </row>
    <row r="24" spans="1:3" x14ac:dyDescent="0.25">
      <c r="A24" s="6" t="s">
        <v>2586</v>
      </c>
      <c r="B24" s="12">
        <f>SUMIF(Angela_2025_Chase1117_Activity_!$G$2:$G$2300,$A24,Angela_2025_Chase1117_Activity_!$D$2:$D$2300)</f>
        <v>-300</v>
      </c>
      <c r="C24" s="13">
        <f>B24/$B$8</f>
        <v>8.9205103138494362E-4</v>
      </c>
    </row>
    <row r="25" spans="1:3" x14ac:dyDescent="0.25">
      <c r="A25" s="14" t="s">
        <v>2606</v>
      </c>
      <c r="B25" s="16">
        <f>SUM(B21:B24)</f>
        <v>294200</v>
      </c>
      <c r="C25" s="15">
        <f>SUM(C21:C24)</f>
        <v>-0.87480471144483463</v>
      </c>
    </row>
    <row r="26" spans="1:3" x14ac:dyDescent="0.25">
      <c r="A26" s="5" t="s">
        <v>2607</v>
      </c>
      <c r="B26" s="5"/>
      <c r="C26" s="5"/>
    </row>
    <row r="27" spans="1:3" x14ac:dyDescent="0.25">
      <c r="A27" s="6" t="s">
        <v>1445</v>
      </c>
      <c r="B27" s="12">
        <f>SUMIF(Angela_2025_Chase1117_Activity_!$G$2:$G$2300,$A27,Angela_2025_Chase1117_Activity_!$D$2:$D$2300)</f>
        <v>375</v>
      </c>
      <c r="C27" s="13">
        <f>B27/$B$8</f>
        <v>-1.1150637892311794E-3</v>
      </c>
    </row>
    <row r="28" spans="1:3" x14ac:dyDescent="0.25">
      <c r="A28" s="6" t="s">
        <v>1449</v>
      </c>
      <c r="B28" s="12">
        <f>SUMIF(Angela_2025_Chase1117_Activity_!$G$2:$G$2300,$A28,Angela_2025_Chase1117_Activity_!$D$2:$D$2300)</f>
        <v>1350</v>
      </c>
      <c r="C28" s="13">
        <f>B28/$B$8</f>
        <v>-4.0142296412322464E-3</v>
      </c>
    </row>
    <row r="29" spans="1:3" x14ac:dyDescent="0.25">
      <c r="A29" s="6" t="s">
        <v>2608</v>
      </c>
      <c r="B29" s="12">
        <f>SUMIF(Angela_2025_Chase1117_Activity_!$G$2:$G$2300,$A29,Angela_2025_Chase1117_Activity_!$D$2:$D$2300)</f>
        <v>3950</v>
      </c>
      <c r="C29" s="13">
        <f>B29/$B$8</f>
        <v>-1.1745338579901758E-2</v>
      </c>
    </row>
    <row r="30" spans="1:3" x14ac:dyDescent="0.25">
      <c r="A30" s="6" t="s">
        <v>2609</v>
      </c>
      <c r="B30" s="12">
        <f>SUMIF(Angela_2025_Chase1117_Activity_!$G$2:$G$2300,$A30,Angela_2025_Chase1117_Activity_!$D$2:$D$2300)</f>
        <v>-500</v>
      </c>
      <c r="C30" s="13">
        <f>B30/$B$8</f>
        <v>1.486751718974906E-3</v>
      </c>
    </row>
    <row r="31" spans="1:3" x14ac:dyDescent="0.25">
      <c r="A31" s="6" t="s">
        <v>1447</v>
      </c>
      <c r="B31" s="12">
        <f>SUMIF(Angela_2025_Chase1117_Activity_!$G$2:$G$2300,$A31,Angela_2025_Chase1117_Activity_!$D$2:$D$2300)</f>
        <v>200</v>
      </c>
      <c r="C31" s="13">
        <f>B31/$B$8</f>
        <v>-5.9470068758996238E-4</v>
      </c>
    </row>
    <row r="32" spans="1:3" x14ac:dyDescent="0.25">
      <c r="A32" s="6" t="s">
        <v>1455</v>
      </c>
      <c r="B32" s="12">
        <f>SUMIF(Angela_2025_Chase1117_Activity_!$G$2:$G$2300,$A32,Angela_2025_Chase1117_Activity_!$D$2:$D$2300)</f>
        <v>-1100</v>
      </c>
      <c r="C32" s="13">
        <f>B32/$B$8</f>
        <v>3.2708537817447932E-3</v>
      </c>
    </row>
    <row r="33" spans="1:3" x14ac:dyDescent="0.25">
      <c r="A33" s="6" t="s">
        <v>1451</v>
      </c>
      <c r="B33" s="12">
        <f>SUMIF(Angela_2025_Chase1117_Activity_!$G$2:$G$2300,$A33,Angela_2025_Chase1117_Activity_!$D$2:$D$2300)</f>
        <v>350</v>
      </c>
      <c r="C33" s="13">
        <f>B33/$B$8</f>
        <v>-1.0407262032824341E-3</v>
      </c>
    </row>
    <row r="34" spans="1:3" x14ac:dyDescent="0.25">
      <c r="A34" s="6" t="s">
        <v>1453</v>
      </c>
      <c r="B34" s="12">
        <f>SUMIF(Angela_2025_Chase1117_Activity_!$G$2:$G$2300,$A34,Angela_2025_Chase1117_Activity_!$D$2:$D$2300)</f>
        <v>175</v>
      </c>
      <c r="C34" s="13">
        <f>B34/$B$8</f>
        <v>-5.2036310164121707E-4</v>
      </c>
    </row>
    <row r="35" spans="1:3" x14ac:dyDescent="0.25">
      <c r="A35" s="6" t="s">
        <v>1459</v>
      </c>
      <c r="B35" s="12">
        <f>SUMIF(Angela_2025_Chase1117_Activity_!$G$2:$G$2300,$A35,Angela_2025_Chase1117_Activity_!$D$2:$D$2300)</f>
        <v>-500</v>
      </c>
      <c r="C35" s="13">
        <f>B35/$B$8</f>
        <v>1.486751718974906E-3</v>
      </c>
    </row>
    <row r="36" spans="1:3" x14ac:dyDescent="0.25">
      <c r="A36" s="6" t="s">
        <v>2484</v>
      </c>
      <c r="B36" s="12">
        <f>SUMIF(Angela_2025_Chase1117_Activity_!$G$2:$G$2300,$A36,Angela_2025_Chase1117_Activity_!$D$2:$D$2300)</f>
        <v>-2350</v>
      </c>
      <c r="C36" s="13">
        <f>B36/$B$8</f>
        <v>6.9877330791820579E-3</v>
      </c>
    </row>
    <row r="37" spans="1:3" x14ac:dyDescent="0.25">
      <c r="A37" s="6" t="s">
        <v>2445</v>
      </c>
      <c r="B37" s="12">
        <f>SUMIF(Angela_2025_Chase1117_Activity_!$G$2:$G$2300,$A37,Angela_2025_Chase1117_Activity_!$D$2:$D$2300)</f>
        <v>-1225</v>
      </c>
      <c r="C37" s="13">
        <f>B37/$B$8</f>
        <v>3.6425417114885196E-3</v>
      </c>
    </row>
    <row r="38" spans="1:3" x14ac:dyDescent="0.25">
      <c r="A38" s="6" t="s">
        <v>2470</v>
      </c>
      <c r="B38" s="12">
        <f>SUMIF(Angela_2025_Chase1117_Activity_!$G$2:$G$2300,$A38,Angela_2025_Chase1117_Activity_!$D$2:$D$2300)</f>
        <v>-300</v>
      </c>
      <c r="C38" s="13">
        <f>B38/$B$8</f>
        <v>8.9205103138494362E-4</v>
      </c>
    </row>
    <row r="39" spans="1:3" x14ac:dyDescent="0.25">
      <c r="A39" s="6" t="s">
        <v>2517</v>
      </c>
      <c r="B39" s="12">
        <f>SUMIF(Angela_2025_Chase1117_Activity_!$G$2:$G$2300,$A39,Angela_2025_Chase1117_Activity_!$D$2:$D$2300)</f>
        <v>1015</v>
      </c>
      <c r="C39" s="13">
        <f>B39/$B$8</f>
        <v>-3.0181059895190592E-3</v>
      </c>
    </row>
    <row r="40" spans="1:3" x14ac:dyDescent="0.25">
      <c r="A40" s="6" t="s">
        <v>2451</v>
      </c>
      <c r="B40" s="12">
        <f>SUMIF(Angela_2025_Chase1117_Activity_!$G$2:$G$2300,$A40,Angela_2025_Chase1117_Activity_!$D$2:$D$2300)</f>
        <v>150</v>
      </c>
      <c r="C40" s="13">
        <f>B40/$B$8</f>
        <v>-4.4602551569247181E-4</v>
      </c>
    </row>
    <row r="41" spans="1:3" x14ac:dyDescent="0.25">
      <c r="A41" s="6" t="s">
        <v>2566</v>
      </c>
      <c r="B41" s="12">
        <f>SUMIF(Angela_2025_Chase1117_Activity_!$G$2:$G$2300,$A41,Angela_2025_Chase1117_Activity_!$D$2:$D$2300)</f>
        <v>175</v>
      </c>
      <c r="C41" s="13">
        <f>B41/$B$8</f>
        <v>-5.2036310164121707E-4</v>
      </c>
    </row>
    <row r="42" spans="1:3" x14ac:dyDescent="0.25">
      <c r="A42" s="6" t="s">
        <v>2433</v>
      </c>
      <c r="B42" s="12">
        <f>SUMIF(Angela_2025_Chase1117_Activity_!$G$2:$G$2300,$A42,Angela_2025_Chase1117_Activity_!$D$2:$D$2300)</f>
        <v>150</v>
      </c>
      <c r="C42" s="13">
        <f>B42/$B$8</f>
        <v>-4.4602551569247181E-4</v>
      </c>
    </row>
    <row r="43" spans="1:3" x14ac:dyDescent="0.25">
      <c r="A43" s="6" t="s">
        <v>2521</v>
      </c>
      <c r="B43" s="12">
        <f>SUMIF(Angela_2025_Chase1117_Activity_!$G$2:$G$2300,$A43,Angela_2025_Chase1117_Activity_!$D$2:$D$2300)</f>
        <v>-500</v>
      </c>
      <c r="C43" s="13">
        <f>B43/$B$8</f>
        <v>1.486751718974906E-3</v>
      </c>
    </row>
    <row r="44" spans="1:3" x14ac:dyDescent="0.25">
      <c r="A44" s="14" t="s">
        <v>2610</v>
      </c>
      <c r="B44" s="16">
        <f>SUM(B27:B43)</f>
        <v>1415</v>
      </c>
      <c r="C44" s="15">
        <f>SUM(C27:C43)</f>
        <v>-4.2075073646989829E-3</v>
      </c>
    </row>
    <row r="45" spans="1:3" x14ac:dyDescent="0.25">
      <c r="A45" s="5" t="s">
        <v>2611</v>
      </c>
      <c r="B45" s="5"/>
      <c r="C45" s="5"/>
    </row>
    <row r="46" spans="1:3" x14ac:dyDescent="0.25">
      <c r="A46" s="6" t="s">
        <v>2528</v>
      </c>
      <c r="B46" s="12">
        <f>SUMIF(Angela_2025_Chase1117_Activity_!$G$2:$G$2300,$A46,Angela_2025_Chase1117_Activity_!$D$2:$D$2300)</f>
        <v>-844.45</v>
      </c>
      <c r="C46" s="13">
        <f>B46/$B$8</f>
        <v>2.5109749781767189E-3</v>
      </c>
    </row>
    <row r="47" spans="1:3" x14ac:dyDescent="0.25">
      <c r="A47" s="14" t="s">
        <v>2612</v>
      </c>
      <c r="B47" s="16">
        <f>SUM(B46:B46)</f>
        <v>-844.45</v>
      </c>
      <c r="C47" s="15">
        <f>SUM(C46:C46)</f>
        <v>2.5109749781767189E-3</v>
      </c>
    </row>
    <row r="48" spans="1:3" x14ac:dyDescent="0.25">
      <c r="A48" s="5" t="s">
        <v>1429</v>
      </c>
      <c r="B48" s="5"/>
      <c r="C48" s="5"/>
    </row>
    <row r="49" spans="1:3" x14ac:dyDescent="0.25">
      <c r="A49" s="6" t="s">
        <v>1429</v>
      </c>
      <c r="B49" s="12">
        <f>SUMIF(Angela_2025_Chase1117_Activity_!$G$2:$G$2300,$A49,Angela_2025_Chase1117_Activity_!$D$2:$D$2300)</f>
        <v>-22591.100000000002</v>
      </c>
      <c r="C49" s="13">
        <f>B49/$B$8</f>
        <v>6.717471351706801E-2</v>
      </c>
    </row>
    <row r="50" spans="1:3" x14ac:dyDescent="0.25">
      <c r="A50" s="6" t="s">
        <v>1463</v>
      </c>
      <c r="B50" s="12">
        <f>SUMIF(Angela_2025_Chase1117_Activity_!$G$2:$G$2300,$A50,Angela_2025_Chase1117_Activity_!$D$2:$D$2300)</f>
        <v>-2353.7200000000007</v>
      </c>
      <c r="C50" s="13">
        <f>B50/$B$8</f>
        <v>6.9987945119712337E-3</v>
      </c>
    </row>
    <row r="51" spans="1:3" x14ac:dyDescent="0.25">
      <c r="A51" s="6" t="s">
        <v>2613</v>
      </c>
      <c r="B51" s="12">
        <f>SUMIF(Angela_2025_Chase1117_Activity_!$G$2:$G$2300,$A51,Angela_2025_Chase1117_Activity_!$D$2:$D$2300)</f>
        <v>-2243.96</v>
      </c>
      <c r="C51" s="13">
        <f>B51/$B$8</f>
        <v>6.6724227746218605E-3</v>
      </c>
    </row>
    <row r="52" spans="1:3" x14ac:dyDescent="0.25">
      <c r="A52" s="6" t="s">
        <v>2614</v>
      </c>
      <c r="B52" s="12">
        <f>SUMIF(Angela_2025_Chase1117_Activity_!$G$2:$G$2300,$A52,Angela_2025_Chase1117_Activity_!$D$2:$D$2300)</f>
        <v>-649.48</v>
      </c>
      <c r="C52" s="13">
        <f>B52/$B$8</f>
        <v>1.931231012879644E-3</v>
      </c>
    </row>
    <row r="53" spans="1:3" x14ac:dyDescent="0.25">
      <c r="A53" s="6" t="s">
        <v>1461</v>
      </c>
      <c r="B53" s="12">
        <f>SUMIF(Angela_2025_Chase1117_Activity_!$G$2:$G$2300,$A53,Angela_2025_Chase1117_Activity_!$D$2:$D$2300)</f>
        <v>-599.26</v>
      </c>
      <c r="C53" s="13">
        <f>B53/$B$8</f>
        <v>1.7819016702258043E-3</v>
      </c>
    </row>
    <row r="54" spans="1:3" x14ac:dyDescent="0.25">
      <c r="A54" s="14" t="s">
        <v>2615</v>
      </c>
      <c r="B54" s="16">
        <f>SUM(B49:B53)</f>
        <v>-28437.52</v>
      </c>
      <c r="C54" s="15">
        <f>SUM(C49:C53)</f>
        <v>8.4559063486766561E-2</v>
      </c>
    </row>
    <row r="55" spans="1:3" x14ac:dyDescent="0.25">
      <c r="A55" s="5" t="s">
        <v>2616</v>
      </c>
      <c r="B55" s="5"/>
      <c r="C55" s="5"/>
    </row>
    <row r="56" spans="1:3" x14ac:dyDescent="0.25">
      <c r="A56" s="6" t="s">
        <v>1551</v>
      </c>
      <c r="B56" s="12">
        <f>SUMIF(Angela_2025_Chase1117_Activity_!$G$2:$G$2300,$A56,Angela_2025_Chase1117_Activity_!$D$2:$D$2300)</f>
        <v>-27397.68</v>
      </c>
      <c r="C56" s="13">
        <f>B56/$B$8</f>
        <v>8.1467095671848802E-2</v>
      </c>
    </row>
    <row r="57" spans="1:3" x14ac:dyDescent="0.25">
      <c r="A57" s="6" t="s">
        <v>1439</v>
      </c>
      <c r="B57" s="12">
        <f>SUMIF(Angela_2025_Chase1117_Activity_!$G$2:$G$2300,$A57,Angela_2025_Chase1117_Activity_!$D$2:$D$2300)</f>
        <v>-11666.229999999998</v>
      </c>
      <c r="C57" s="13">
        <f>B57/$B$8</f>
        <v>3.4689575012913226E-2</v>
      </c>
    </row>
    <row r="58" spans="1:3" x14ac:dyDescent="0.25">
      <c r="A58" s="6" t="s">
        <v>1427</v>
      </c>
      <c r="B58" s="12">
        <f>SUMIF(Angela_2025_Chase1117_Activity_!$G$2:$G$2300,$A58,Angela_2025_Chase1117_Activity_!$D$2:$D$2300)</f>
        <v>-8755.4</v>
      </c>
      <c r="C58" s="13">
        <f>B58/$B$8</f>
        <v>2.6034212000625782E-2</v>
      </c>
    </row>
    <row r="59" spans="1:3" x14ac:dyDescent="0.25">
      <c r="A59" s="6" t="s">
        <v>1587</v>
      </c>
      <c r="B59" s="12">
        <f>SUMIF(Angela_2025_Chase1117_Activity_!$G$2:$G$2300,$A59,Angela_2025_Chase1117_Activity_!$D$2:$D$2300)</f>
        <v>-6134.1799999999957</v>
      </c>
      <c r="C59" s="13">
        <f>B59/$B$8</f>
        <v>1.8240005319002967E-2</v>
      </c>
    </row>
    <row r="60" spans="1:3" x14ac:dyDescent="0.25">
      <c r="A60" s="6" t="s">
        <v>1474</v>
      </c>
      <c r="B60" s="12">
        <f>SUMIF(Angela_2025_Chase1117_Activity_!$G$2:$G$2300,$A60,Angela_2025_Chase1117_Activity_!$D$2:$D$2300)</f>
        <v>-2737.2699999999995</v>
      </c>
      <c r="C60" s="13">
        <f>B60/$B$8</f>
        <v>8.1392817555968801E-3</v>
      </c>
    </row>
    <row r="61" spans="1:3" x14ac:dyDescent="0.25">
      <c r="A61" s="6" t="s">
        <v>1488</v>
      </c>
      <c r="B61" s="12">
        <f>SUMIF(Angela_2025_Chase1117_Activity_!$G$2:$G$2300,$A61,Angela_2025_Chase1117_Activity_!$D$2:$D$2300)</f>
        <v>-33048.720000000008</v>
      </c>
      <c r="C61" s="13">
        <f>B61/$B$8</f>
        <v>9.8270482539840734E-2</v>
      </c>
    </row>
    <row r="62" spans="1:3" x14ac:dyDescent="0.25">
      <c r="A62" s="6" t="s">
        <v>1479</v>
      </c>
      <c r="B62" s="12">
        <f>SUMIF(Angela_2025_Chase1117_Activity_!$G$2:$G$2300,$A62,Angela_2025_Chase1117_Activity_!$D$2:$D$2300)</f>
        <v>-14953.76</v>
      </c>
      <c r="C62" s="13">
        <f>B62/$B$8</f>
        <v>4.446505677027638E-2</v>
      </c>
    </row>
    <row r="63" spans="1:3" x14ac:dyDescent="0.25">
      <c r="A63" s="6" t="s">
        <v>1521</v>
      </c>
      <c r="B63" s="12">
        <f>SUMIF(Angela_2025_Chase1117_Activity_!$G$2:$G$2300,$A63,Angela_2025_Chase1117_Activity_!$D$2:$D$2300)</f>
        <v>-55519.629999999968</v>
      </c>
      <c r="C63" s="13">
        <f>B63/$B$8</f>
        <v>0.16508781067870143</v>
      </c>
    </row>
    <row r="64" spans="1:3" x14ac:dyDescent="0.25">
      <c r="A64" s="6" t="s">
        <v>1627</v>
      </c>
      <c r="B64" s="12">
        <f>SUMIF(Angela_2025_Chase1117_Activity_!$G$2:$G$2300,$A64,Angela_2025_Chase1117_Activity_!$D$2:$D$2300)</f>
        <v>-27610.999999999989</v>
      </c>
      <c r="C64" s="13">
        <f>B64/$B$8</f>
        <v>8.2101403425232228E-2</v>
      </c>
    </row>
    <row r="65" spans="1:3" x14ac:dyDescent="0.25">
      <c r="A65" s="6" t="s">
        <v>1648</v>
      </c>
      <c r="B65" s="12">
        <f>SUMIF(Angela_2025_Chase1117_Activity_!$G$2:$G$2300,$A65,Angela_2025_Chase1117_Activity_!$D$2:$D$2300)</f>
        <v>-2083.2999999999997</v>
      </c>
      <c r="C65" s="13">
        <f>B65/$B$8</f>
        <v>6.1946997122808425E-3</v>
      </c>
    </row>
    <row r="66" spans="1:3" x14ac:dyDescent="0.25">
      <c r="A66" s="6" t="s">
        <v>1469</v>
      </c>
      <c r="B66" s="12">
        <f>SUMIF(Angela_2025_Chase1117_Activity_!$G$2:$G$2300,$A66,Angela_2025_Chase1117_Activity_!$D$2:$D$2300)</f>
        <v>-1740.4400000000007</v>
      </c>
      <c r="C66" s="13">
        <f>B66/$B$8</f>
        <v>5.1752043235453729E-3</v>
      </c>
    </row>
    <row r="67" spans="1:3" x14ac:dyDescent="0.25">
      <c r="A67" s="6" t="s">
        <v>1437</v>
      </c>
      <c r="B67" s="12">
        <f>SUMIF(Angela_2025_Chase1117_Activity_!$G$2:$G$2300,$A67,Angela_2025_Chase1117_Activity_!$D$2:$D$2300)</f>
        <v>-1758</v>
      </c>
      <c r="C67" s="13">
        <f>B67/$B$8</f>
        <v>5.22741904391577E-3</v>
      </c>
    </row>
    <row r="68" spans="1:3" x14ac:dyDescent="0.25">
      <c r="A68" s="14" t="s">
        <v>2617</v>
      </c>
      <c r="B68" s="16">
        <f>SUM(B56:B67)</f>
        <v>-193405.60999999996</v>
      </c>
      <c r="C68" s="15">
        <f>SUM(C56:C67)</f>
        <v>0.57509224625378041</v>
      </c>
    </row>
    <row r="69" spans="1:3" x14ac:dyDescent="0.25">
      <c r="A69" s="5" t="s">
        <v>2618</v>
      </c>
      <c r="B69" s="5"/>
      <c r="C69" s="5"/>
    </row>
    <row r="70" spans="1:3" x14ac:dyDescent="0.25">
      <c r="A70" s="6" t="s">
        <v>1422</v>
      </c>
      <c r="B70" s="12">
        <f>SUMIF(Angela_2025_Chase1117_Activity_!$G$2:$G$2300,$A70,Angela_2025_Chase1117_Activity_!$D$2:$D$2300)</f>
        <v>-34402.750000000044</v>
      </c>
      <c r="C70" s="13">
        <f>B70/$B$8</f>
        <v>0.10229669539992803</v>
      </c>
    </row>
    <row r="71" spans="1:3" x14ac:dyDescent="0.25">
      <c r="A71" s="6" t="s">
        <v>1549</v>
      </c>
      <c r="B71" s="12">
        <f>SUMIF(Angela_2025_Chase1117_Activity_!$G$2:$G$2300,$A71,Angela_2025_Chase1117_Activity_!$D$2:$D$2300)</f>
        <v>-3314.1800000000003</v>
      </c>
      <c r="C71" s="13">
        <f>B71/$B$8</f>
        <v>9.8547256239845081E-3</v>
      </c>
    </row>
    <row r="72" spans="1:3" x14ac:dyDescent="0.25">
      <c r="A72" s="6" t="s">
        <v>1585</v>
      </c>
      <c r="B72" s="12">
        <f>SUMIF(Angela_2025_Chase1117_Activity_!$G$2:$G$2300,$A72,Angela_2025_Chase1117_Activity_!$D$2:$D$2300)</f>
        <v>-297.86000000000007</v>
      </c>
      <c r="C72" s="13">
        <f>B72/$B$8</f>
        <v>8.8568773402773119E-4</v>
      </c>
    </row>
    <row r="73" spans="1:3" x14ac:dyDescent="0.25">
      <c r="A73" s="6" t="s">
        <v>1634</v>
      </c>
      <c r="B73" s="12">
        <f>SUMIF(Angela_2025_Chase1117_Activity_!$G$2:$G$2300,$A73,Angela_2025_Chase1117_Activity_!$D$2:$D$2300)</f>
        <v>-1498.0200000000004</v>
      </c>
      <c r="C73" s="13">
        <f>B73/$B$8</f>
        <v>4.4543676201175787E-3</v>
      </c>
    </row>
    <row r="74" spans="1:3" x14ac:dyDescent="0.25">
      <c r="A74" s="6" t="s">
        <v>1441</v>
      </c>
      <c r="B74" s="12">
        <f>SUMIF(Angela_2025_Chase1117_Activity_!$G$2:$G$2300,$A74,Angela_2025_Chase1117_Activity_!$D$2:$D$2300)</f>
        <v>-7449.5300000000007</v>
      </c>
      <c r="C74" s="13">
        <f>B74/$B$8</f>
        <v>2.2151203066110264E-2</v>
      </c>
    </row>
    <row r="75" spans="1:3" x14ac:dyDescent="0.25">
      <c r="A75" s="6" t="s">
        <v>1471</v>
      </c>
      <c r="B75" s="12">
        <f>SUMIF(Angela_2025_Chase1117_Activity_!$G$2:$G$2300,$A75,Angela_2025_Chase1117_Activity_!$D$2:$D$2300)</f>
        <v>-315.89000000000004</v>
      </c>
      <c r="C75" s="13">
        <f>B75/$B$8</f>
        <v>9.3930000101396626E-4</v>
      </c>
    </row>
    <row r="76" spans="1:3" x14ac:dyDescent="0.25">
      <c r="A76" s="6" t="s">
        <v>1420</v>
      </c>
      <c r="B76" s="12">
        <f>SUMIF(Angela_2025_Chase1117_Activity_!$G$2:$G$2300,$A76,Angela_2025_Chase1117_Activity_!$D$2:$D$2300)</f>
        <v>-8471.840000000002</v>
      </c>
      <c r="C76" s="13">
        <f>B76/$B$8</f>
        <v>2.519104536576074E-2</v>
      </c>
    </row>
    <row r="77" spans="1:3" x14ac:dyDescent="0.25">
      <c r="A77" s="14" t="s">
        <v>2619</v>
      </c>
      <c r="B77" s="16">
        <f>SUM(B70:B76)</f>
        <v>-55750.070000000043</v>
      </c>
      <c r="C77" s="15">
        <f>SUM(C70:C76)</f>
        <v>0.16577302481094286</v>
      </c>
    </row>
    <row r="78" spans="1:3" x14ac:dyDescent="0.25">
      <c r="A78" s="5" t="s">
        <v>2620</v>
      </c>
      <c r="B78" s="5"/>
      <c r="C78" s="5"/>
    </row>
    <row r="79" spans="1:3" x14ac:dyDescent="0.25">
      <c r="A79" s="6" t="s">
        <v>1615</v>
      </c>
      <c r="B79" s="12">
        <f>SUMIF(Angela_2025_Chase1117_Activity_!$G$2:$G$2300,$A79,Angela_2025_Chase1117_Activity_!$D$2:$D$2300)</f>
        <v>-83.5</v>
      </c>
      <c r="C79" s="13">
        <f>B79/$B$8</f>
        <v>2.4828753706880932E-4</v>
      </c>
    </row>
    <row r="80" spans="1:3" x14ac:dyDescent="0.25">
      <c r="A80" s="6" t="s">
        <v>2621</v>
      </c>
      <c r="B80" s="12">
        <f>SUMIF(Angela_2025_Chase1117_Activity_!$G$2:$G$2300,$A80,Angela_2025_Chase1117_Activity_!$D$2:$D$2300)</f>
        <v>-6680</v>
      </c>
      <c r="C80" s="13">
        <f>B80/$B$8</f>
        <v>1.9863002965504743E-2</v>
      </c>
    </row>
    <row r="81" spans="1:3" x14ac:dyDescent="0.25">
      <c r="A81" s="6" t="s">
        <v>1630</v>
      </c>
      <c r="B81" s="12">
        <f>SUMIF(Angela_2025_Chase1117_Activity_!$G$2:$G$2300,$A81,Angela_2025_Chase1117_Activity_!$D$2:$D$2300)</f>
        <v>16346.960000000001</v>
      </c>
      <c r="C81" s="13">
        <f>B81/$B$8</f>
        <v>-4.8607741760028064E-2</v>
      </c>
    </row>
    <row r="82" spans="1:3" x14ac:dyDescent="0.25">
      <c r="A82" s="6" t="s">
        <v>1632</v>
      </c>
      <c r="B82" s="12">
        <f>SUMIF(Angela_2025_Chase1117_Activity_!$G$2:$G$2300,$A82,Angela_2025_Chase1117_Activity_!$D$2:$D$2300)</f>
        <v>-25626.699999999997</v>
      </c>
      <c r="C82" s="13">
        <f>B82/$B$8</f>
        <v>7.6201080553308445E-2</v>
      </c>
    </row>
    <row r="83" spans="1:3" x14ac:dyDescent="0.25">
      <c r="A83" s="14" t="s">
        <v>2622</v>
      </c>
      <c r="B83" s="16">
        <f>SUM(B79:B82)</f>
        <v>-16043.239999999996</v>
      </c>
      <c r="C83" s="15">
        <f>SUM(C79:C82)</f>
        <v>4.7704629295853937E-2</v>
      </c>
    </row>
    <row r="84" spans="1:3" x14ac:dyDescent="0.25">
      <c r="A84" s="5" t="s">
        <v>1476</v>
      </c>
      <c r="B84" s="5"/>
      <c r="C84" s="5"/>
    </row>
    <row r="85" spans="1:3" x14ac:dyDescent="0.25">
      <c r="A85" s="6" t="s">
        <v>1476</v>
      </c>
      <c r="B85" s="12">
        <f>SUMIF(Angela_2025_Chase1117_Activity_!$G$2:$G$2300,$A85,Angela_2025_Chase1117_Activity_!$D$2:$D$2300)</f>
        <v>-2375.33</v>
      </c>
      <c r="C85" s="13">
        <f>B85/$B$8</f>
        <v>7.0630519212653269E-3</v>
      </c>
    </row>
    <row r="86" spans="1:3" x14ac:dyDescent="0.25">
      <c r="A86" s="14" t="s">
        <v>2623</v>
      </c>
      <c r="B86" s="16">
        <f>SUM(B85:B85)</f>
        <v>-2375.33</v>
      </c>
      <c r="C86" s="15">
        <f>SUM(C85:C85)</f>
        <v>7.0630519212653269E-3</v>
      </c>
    </row>
    <row r="87" spans="1:3" ht="15.75" thickBot="1" x14ac:dyDescent="0.3"/>
    <row r="88" spans="1:3" ht="15.75" thickTop="1" x14ac:dyDescent="0.25">
      <c r="A88" s="17" t="s">
        <v>2624</v>
      </c>
      <c r="B88" s="19">
        <f>B25+B44+B47+B54+B68+B77+B83+B86</f>
        <v>-1241.2200000000266</v>
      </c>
      <c r="C88" s="18">
        <f>C25+C44+C47+C54+C68+C77+C83+C86</f>
        <v>3.6907719372522418E-3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AFF5-3087-4F19-9C5F-19F16CE49A70}">
  <dimension ref="A1:C34"/>
  <sheetViews>
    <sheetView workbookViewId="0"/>
  </sheetViews>
  <sheetFormatPr defaultRowHeight="15" x14ac:dyDescent="0.25"/>
  <cols>
    <col min="1" max="1" width="62.85546875" customWidth="1"/>
    <col min="2" max="2" width="21" customWidth="1"/>
    <col min="3" max="3" width="13.28515625" customWidth="1"/>
  </cols>
  <sheetData>
    <row r="1" spans="1:3" ht="18.75" x14ac:dyDescent="0.3">
      <c r="A1" s="3" t="s">
        <v>2587</v>
      </c>
      <c r="B1" s="3"/>
      <c r="C1" s="3"/>
    </row>
    <row r="2" spans="1:3" x14ac:dyDescent="0.25">
      <c r="A2" s="4" t="s">
        <v>2625</v>
      </c>
      <c r="B2" s="4"/>
      <c r="C2" s="4"/>
    </row>
    <row r="4" spans="1:3" x14ac:dyDescent="0.25">
      <c r="A4" s="11" t="s">
        <v>1418</v>
      </c>
      <c r="B4" s="11" t="s">
        <v>3</v>
      </c>
      <c r="C4" s="11" t="s">
        <v>2599</v>
      </c>
    </row>
    <row r="5" spans="1:3" x14ac:dyDescent="0.25">
      <c r="A5" s="5" t="s">
        <v>2626</v>
      </c>
      <c r="B5" s="5"/>
      <c r="C5" s="5"/>
    </row>
    <row r="6" spans="1:3" x14ac:dyDescent="0.25">
      <c r="A6" s="6" t="s">
        <v>1465</v>
      </c>
      <c r="B6" s="12">
        <f>SUMIF(Angela_2025_Chase1117_Activity_!$G$2:$G$2300,$A6,Angela_2025_Chase1117_Activity_!$D$2:$D$2300)</f>
        <v>306000</v>
      </c>
      <c r="C6" s="20">
        <f>COUNTIF(Angela_2025_Chase1117_Activity_!$G$2:$G$2300,$A6)</f>
        <v>103</v>
      </c>
    </row>
    <row r="7" spans="1:3" x14ac:dyDescent="0.25">
      <c r="A7" s="6" t="s">
        <v>1467</v>
      </c>
      <c r="B7" s="12">
        <f>SUMIF(Angela_2025_Chase1117_Activity_!$G$2:$G$2300,$A7,Angela_2025_Chase1117_Activity_!$D$2:$D$2300)</f>
        <v>-12500</v>
      </c>
      <c r="C7" s="20">
        <f>COUNTIF(Angela_2025_Chase1117_Activity_!$G$2:$G$2300,$A7)</f>
        <v>15</v>
      </c>
    </row>
    <row r="8" spans="1:3" x14ac:dyDescent="0.25">
      <c r="A8" s="6" t="s">
        <v>1638</v>
      </c>
      <c r="B8" s="12">
        <f>SUMIF(Angela_2025_Chase1117_Activity_!$G$2:$G$2300,$A8,Angela_2025_Chase1117_Activity_!$D$2:$D$2300)</f>
        <v>1000</v>
      </c>
      <c r="C8" s="20">
        <f>COUNTIF(Angela_2025_Chase1117_Activity_!$G$2:$G$2300,$A8)</f>
        <v>1</v>
      </c>
    </row>
    <row r="9" spans="1:3" x14ac:dyDescent="0.25">
      <c r="A9" s="6" t="s">
        <v>2586</v>
      </c>
      <c r="B9" s="12">
        <f>SUMIF(Angela_2025_Chase1117_Activity_!$G$2:$G$2300,$A9,Angela_2025_Chase1117_Activity_!$D$2:$D$2300)</f>
        <v>-300</v>
      </c>
      <c r="C9" s="20">
        <f>COUNTIF(Angela_2025_Chase1117_Activity_!$G$2:$G$2300,$A9)</f>
        <v>1</v>
      </c>
    </row>
    <row r="10" spans="1:3" x14ac:dyDescent="0.25">
      <c r="A10" s="14" t="s">
        <v>2627</v>
      </c>
      <c r="B10" s="16">
        <f>SUM(B6:B9)</f>
        <v>294200</v>
      </c>
      <c r="C10" s="21">
        <f>SUM(C6:C9)</f>
        <v>120</v>
      </c>
    </row>
    <row r="11" spans="1:3" x14ac:dyDescent="0.25">
      <c r="A11" s="5" t="s">
        <v>2628</v>
      </c>
      <c r="B11" s="5"/>
      <c r="C11" s="5"/>
    </row>
    <row r="12" spans="1:3" x14ac:dyDescent="0.25">
      <c r="A12" s="6" t="s">
        <v>1445</v>
      </c>
      <c r="B12" s="12">
        <f>SUMIF(Angela_2025_Chase1117_Activity_!$G$2:$G$2300,$A12,Angela_2025_Chase1117_Activity_!$D$2:$D$2300)</f>
        <v>375</v>
      </c>
      <c r="C12" s="20">
        <f>COUNTIF(Angela_2025_Chase1117_Activity_!$G$2:$G$2300,$A12)</f>
        <v>4</v>
      </c>
    </row>
    <row r="13" spans="1:3" x14ac:dyDescent="0.25">
      <c r="A13" s="6" t="s">
        <v>1449</v>
      </c>
      <c r="B13" s="12">
        <f>SUMIF(Angela_2025_Chase1117_Activity_!$G$2:$G$2300,$A13,Angela_2025_Chase1117_Activity_!$D$2:$D$2300)</f>
        <v>1350</v>
      </c>
      <c r="C13" s="20">
        <f>COUNTIF(Angela_2025_Chase1117_Activity_!$G$2:$G$2300,$A13)</f>
        <v>4</v>
      </c>
    </row>
    <row r="14" spans="1:3" x14ac:dyDescent="0.25">
      <c r="A14" s="6" t="s">
        <v>2608</v>
      </c>
      <c r="B14" s="12">
        <f>SUMIF(Angela_2025_Chase1117_Activity_!$G$2:$G$2300,$A14,Angela_2025_Chase1117_Activity_!$D$2:$D$2300)</f>
        <v>3950</v>
      </c>
      <c r="C14" s="20">
        <f>COUNTIF(Angela_2025_Chase1117_Activity_!$G$2:$G$2300,$A14)</f>
        <v>11</v>
      </c>
    </row>
    <row r="15" spans="1:3" x14ac:dyDescent="0.25">
      <c r="A15" s="6" t="s">
        <v>2609</v>
      </c>
      <c r="B15" s="12">
        <f>SUMIF(Angela_2025_Chase1117_Activity_!$G$2:$G$2300,$A15,Angela_2025_Chase1117_Activity_!$D$2:$D$2300)</f>
        <v>-500</v>
      </c>
      <c r="C15" s="20">
        <f>COUNTIF(Angela_2025_Chase1117_Activity_!$G$2:$G$2300,$A15)</f>
        <v>1</v>
      </c>
    </row>
    <row r="16" spans="1:3" x14ac:dyDescent="0.25">
      <c r="A16" s="6" t="s">
        <v>1447</v>
      </c>
      <c r="B16" s="12">
        <f>SUMIF(Angela_2025_Chase1117_Activity_!$G$2:$G$2300,$A16,Angela_2025_Chase1117_Activity_!$D$2:$D$2300)</f>
        <v>200</v>
      </c>
      <c r="C16" s="20">
        <f>COUNTIF(Angela_2025_Chase1117_Activity_!$G$2:$G$2300,$A16)</f>
        <v>2</v>
      </c>
    </row>
    <row r="17" spans="1:3" x14ac:dyDescent="0.25">
      <c r="A17" s="6" t="s">
        <v>1455</v>
      </c>
      <c r="B17" s="12">
        <f>SUMIF(Angela_2025_Chase1117_Activity_!$G$2:$G$2300,$A17,Angela_2025_Chase1117_Activity_!$D$2:$D$2300)</f>
        <v>-1100</v>
      </c>
      <c r="C17" s="20">
        <f>COUNTIF(Angela_2025_Chase1117_Activity_!$G$2:$G$2300,$A17)</f>
        <v>3</v>
      </c>
    </row>
    <row r="18" spans="1:3" x14ac:dyDescent="0.25">
      <c r="A18" s="6" t="s">
        <v>1451</v>
      </c>
      <c r="B18" s="12">
        <f>SUMIF(Angela_2025_Chase1117_Activity_!$G$2:$G$2300,$A18,Angela_2025_Chase1117_Activity_!$D$2:$D$2300)</f>
        <v>350</v>
      </c>
      <c r="C18" s="20">
        <f>COUNTIF(Angela_2025_Chase1117_Activity_!$G$2:$G$2300,$A18)</f>
        <v>2</v>
      </c>
    </row>
    <row r="19" spans="1:3" x14ac:dyDescent="0.25">
      <c r="A19" s="6" t="s">
        <v>1453</v>
      </c>
      <c r="B19" s="12">
        <f>SUMIF(Angela_2025_Chase1117_Activity_!$G$2:$G$2300,$A19,Angela_2025_Chase1117_Activity_!$D$2:$D$2300)</f>
        <v>175</v>
      </c>
      <c r="C19" s="20">
        <f>COUNTIF(Angela_2025_Chase1117_Activity_!$G$2:$G$2300,$A19)</f>
        <v>1</v>
      </c>
    </row>
    <row r="20" spans="1:3" x14ac:dyDescent="0.25">
      <c r="A20" s="6" t="s">
        <v>1459</v>
      </c>
      <c r="B20" s="12">
        <f>SUMIF(Angela_2025_Chase1117_Activity_!$G$2:$G$2300,$A20,Angela_2025_Chase1117_Activity_!$D$2:$D$2300)</f>
        <v>-500</v>
      </c>
      <c r="C20" s="20">
        <f>COUNTIF(Angela_2025_Chase1117_Activity_!$G$2:$G$2300,$A20)</f>
        <v>1</v>
      </c>
    </row>
    <row r="21" spans="1:3" x14ac:dyDescent="0.25">
      <c r="A21" s="6" t="s">
        <v>2484</v>
      </c>
      <c r="B21" s="12">
        <f>SUMIF(Angela_2025_Chase1117_Activity_!$G$2:$G$2300,$A21,Angela_2025_Chase1117_Activity_!$D$2:$D$2300)</f>
        <v>-2350</v>
      </c>
      <c r="C21" s="20">
        <f>COUNTIF(Angela_2025_Chase1117_Activity_!$G$2:$G$2300,$A21)</f>
        <v>8</v>
      </c>
    </row>
    <row r="22" spans="1:3" x14ac:dyDescent="0.25">
      <c r="A22" s="6" t="s">
        <v>2445</v>
      </c>
      <c r="B22" s="12">
        <f>SUMIF(Angela_2025_Chase1117_Activity_!$G$2:$G$2300,$A22,Angela_2025_Chase1117_Activity_!$D$2:$D$2300)</f>
        <v>-1225</v>
      </c>
      <c r="C22" s="20">
        <f>COUNTIF(Angela_2025_Chase1117_Activity_!$G$2:$G$2300,$A22)</f>
        <v>2</v>
      </c>
    </row>
    <row r="23" spans="1:3" x14ac:dyDescent="0.25">
      <c r="A23" s="6" t="s">
        <v>2470</v>
      </c>
      <c r="B23" s="12">
        <f>SUMIF(Angela_2025_Chase1117_Activity_!$G$2:$G$2300,$A23,Angela_2025_Chase1117_Activity_!$D$2:$D$2300)</f>
        <v>-300</v>
      </c>
      <c r="C23" s="20">
        <f>COUNTIF(Angela_2025_Chase1117_Activity_!$G$2:$G$2300,$A23)</f>
        <v>3</v>
      </c>
    </row>
    <row r="24" spans="1:3" x14ac:dyDescent="0.25">
      <c r="A24" s="6" t="s">
        <v>2517</v>
      </c>
      <c r="B24" s="12">
        <f>SUMIF(Angela_2025_Chase1117_Activity_!$G$2:$G$2300,$A24,Angela_2025_Chase1117_Activity_!$D$2:$D$2300)</f>
        <v>1015</v>
      </c>
      <c r="C24" s="20">
        <f>COUNTIF(Angela_2025_Chase1117_Activity_!$G$2:$G$2300,$A24)</f>
        <v>3</v>
      </c>
    </row>
    <row r="25" spans="1:3" x14ac:dyDescent="0.25">
      <c r="A25" s="6" t="s">
        <v>2451</v>
      </c>
      <c r="B25" s="12">
        <f>SUMIF(Angela_2025_Chase1117_Activity_!$G$2:$G$2300,$A25,Angela_2025_Chase1117_Activity_!$D$2:$D$2300)</f>
        <v>150</v>
      </c>
      <c r="C25" s="20">
        <f>COUNTIF(Angela_2025_Chase1117_Activity_!$G$2:$G$2300,$A25)</f>
        <v>1</v>
      </c>
    </row>
    <row r="26" spans="1:3" x14ac:dyDescent="0.25">
      <c r="A26" s="6" t="s">
        <v>2566</v>
      </c>
      <c r="B26" s="12">
        <f>SUMIF(Angela_2025_Chase1117_Activity_!$G$2:$G$2300,$A26,Angela_2025_Chase1117_Activity_!$D$2:$D$2300)</f>
        <v>175</v>
      </c>
      <c r="C26" s="20">
        <f>COUNTIF(Angela_2025_Chase1117_Activity_!$G$2:$G$2300,$A26)</f>
        <v>1</v>
      </c>
    </row>
    <row r="27" spans="1:3" x14ac:dyDescent="0.25">
      <c r="A27" s="6" t="s">
        <v>2433</v>
      </c>
      <c r="B27" s="12">
        <f>SUMIF(Angela_2025_Chase1117_Activity_!$G$2:$G$2300,$A27,Angela_2025_Chase1117_Activity_!$D$2:$D$2300)</f>
        <v>150</v>
      </c>
      <c r="C27" s="20">
        <f>COUNTIF(Angela_2025_Chase1117_Activity_!$G$2:$G$2300,$A27)</f>
        <v>1</v>
      </c>
    </row>
    <row r="28" spans="1:3" x14ac:dyDescent="0.25">
      <c r="A28" s="6" t="s">
        <v>2521</v>
      </c>
      <c r="B28" s="12">
        <f>SUMIF(Angela_2025_Chase1117_Activity_!$G$2:$G$2300,$A28,Angela_2025_Chase1117_Activity_!$D$2:$D$2300)</f>
        <v>-500</v>
      </c>
      <c r="C28" s="20">
        <f>COUNTIF(Angela_2025_Chase1117_Activity_!$G$2:$G$2300,$A28)</f>
        <v>1</v>
      </c>
    </row>
    <row r="29" spans="1:3" x14ac:dyDescent="0.25">
      <c r="A29" s="14" t="s">
        <v>2629</v>
      </c>
      <c r="B29" s="16">
        <f>SUM(B12:B28)</f>
        <v>1415</v>
      </c>
      <c r="C29" s="21">
        <f>SUM(C12:C28)</f>
        <v>49</v>
      </c>
    </row>
    <row r="30" spans="1:3" x14ac:dyDescent="0.25">
      <c r="A30" s="5" t="s">
        <v>2611</v>
      </c>
      <c r="B30" s="5"/>
      <c r="C30" s="5"/>
    </row>
    <row r="31" spans="1:3" x14ac:dyDescent="0.25">
      <c r="A31" s="6" t="s">
        <v>2528</v>
      </c>
      <c r="B31" s="12">
        <f>SUMIF(Angela_2025_Chase1117_Activity_!$G$2:$G$2300,$A31,Angela_2025_Chase1117_Activity_!$D$2:$D$2300)</f>
        <v>-844.45</v>
      </c>
      <c r="C31" s="20">
        <f>COUNTIF(Angela_2025_Chase1117_Activity_!$G$2:$G$2300,$A31)</f>
        <v>3</v>
      </c>
    </row>
    <row r="32" spans="1:3" x14ac:dyDescent="0.25">
      <c r="A32" s="14" t="s">
        <v>2612</v>
      </c>
      <c r="B32" s="16">
        <f>SUM(B31:B31)</f>
        <v>-844.45</v>
      </c>
      <c r="C32" s="21">
        <f>SUM(C31:C31)</f>
        <v>3</v>
      </c>
    </row>
    <row r="33" spans="1:3" ht="15.75" thickBot="1" x14ac:dyDescent="0.3"/>
    <row r="34" spans="1:3" ht="15.75" thickTop="1" x14ac:dyDescent="0.25">
      <c r="A34" s="17" t="s">
        <v>2630</v>
      </c>
      <c r="B34" s="19">
        <f>B10+B29+B32</f>
        <v>294770.55</v>
      </c>
      <c r="C34" s="22">
        <f>C10+C29+C32</f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4CB5-B6B5-4B38-A33B-DAA4A390BA3C}">
  <dimension ref="A1:D2303"/>
  <sheetViews>
    <sheetView workbookViewId="0"/>
  </sheetViews>
  <sheetFormatPr defaultRowHeight="15" x14ac:dyDescent="0.25"/>
  <cols>
    <col min="1" max="1" width="17.140625" customWidth="1"/>
    <col min="2" max="2" width="72.42578125" customWidth="1"/>
    <col min="3" max="3" width="41.85546875" customWidth="1"/>
    <col min="4" max="4" width="19" customWidth="1"/>
  </cols>
  <sheetData>
    <row r="1" spans="1:4" ht="18.75" x14ac:dyDescent="0.3">
      <c r="A1" s="3" t="s">
        <v>2587</v>
      </c>
      <c r="B1" s="3"/>
      <c r="C1" s="3"/>
      <c r="D1" s="3"/>
    </row>
    <row r="2" spans="1:4" x14ac:dyDescent="0.25">
      <c r="A2" s="4" t="s">
        <v>2634</v>
      </c>
      <c r="B2" s="4"/>
      <c r="C2" s="4"/>
      <c r="D2" s="4"/>
    </row>
    <row r="4" spans="1:4" x14ac:dyDescent="0.25">
      <c r="A4" s="11" t="s">
        <v>2635</v>
      </c>
      <c r="B4" s="11" t="s">
        <v>2636</v>
      </c>
      <c r="C4" s="11" t="s">
        <v>1418</v>
      </c>
      <c r="D4" s="11" t="s">
        <v>3</v>
      </c>
    </row>
    <row r="5" spans="1:4" x14ac:dyDescent="0.25">
      <c r="A5" s="26">
        <f>Angela_2025_Chase1117_Activity_!B2</f>
        <v>46022</v>
      </c>
      <c r="B5" s="6" t="str">
        <f>Angela_2025_Chase1117_Activity_!C2</f>
        <v>FOREIGN EXCHANGE RATE ADJUSTMENT FEE         12/30CITY OF V</v>
      </c>
      <c r="C5" s="6" t="str">
        <f>Angela_2025_Chase1117_Activity_!G2</f>
        <v>Personal Travel - Canada</v>
      </c>
      <c r="D5" s="12">
        <f>Angela_2025_Chase1117_Activity_!D2</f>
        <v>-0.19</v>
      </c>
    </row>
    <row r="6" spans="1:4" x14ac:dyDescent="0.25">
      <c r="A6" s="26">
        <f>Angela_2025_Chase1117_Activity_!B3</f>
        <v>46022</v>
      </c>
      <c r="B6" s="6" t="str">
        <f>Angela_2025_Chase1117_Activity_!C3</f>
        <v>BLUE SHIELD CALIFORNI 800-393-6130 CA        12/31</v>
      </c>
      <c r="C6" s="6" t="str">
        <f>Angela_2025_Chase1117_Activity_!G3</f>
        <v>Personal - Health Insurance</v>
      </c>
      <c r="D6" s="12">
        <f>Angela_2025_Chase1117_Activity_!D3</f>
        <v>-1275.3</v>
      </c>
    </row>
    <row r="7" spans="1:4" x14ac:dyDescent="0.25">
      <c r="A7" s="26">
        <f>Angela_2025_Chase1117_Activity_!B4</f>
        <v>46022</v>
      </c>
      <c r="B7" s="6" t="str">
        <f>Angela_2025_Chase1117_Activity_!C4</f>
        <v>CITY OF VANCOUVER PARKI VANCOUVER BC         12/30 CA DOLLAR  9.00 X 0.7322222 (EXCHG RTE)</v>
      </c>
      <c r="C7" s="6" t="str">
        <f>Angela_2025_Chase1117_Activity_!G4</f>
        <v>Personal Travel - Canada</v>
      </c>
      <c r="D7" s="12">
        <f>Angela_2025_Chase1117_Activity_!D4</f>
        <v>-6.59</v>
      </c>
    </row>
    <row r="8" spans="1:4" x14ac:dyDescent="0.25">
      <c r="A8" s="26">
        <f>Angela_2025_Chase1117_Activity_!B5</f>
        <v>46021</v>
      </c>
      <c r="B8" s="6" t="str">
        <f>Angela_2025_Chase1117_Activity_!C5</f>
        <v>FOREIGN EXCHANGE RATE ADJUSTMENT FEE         12/29BCF - ONL</v>
      </c>
      <c r="C8" s="6" t="str">
        <f>Angela_2025_Chase1117_Activity_!G5</f>
        <v>Personal Travel - Canada</v>
      </c>
      <c r="D8" s="12">
        <f>Angela_2025_Chase1117_Activity_!D5</f>
        <v>-0.43</v>
      </c>
    </row>
    <row r="9" spans="1:4" x14ac:dyDescent="0.25">
      <c r="A9" s="26">
        <f>Angela_2025_Chase1117_Activity_!B6</f>
        <v>46021</v>
      </c>
      <c r="B9" s="6" t="str">
        <f>Angela_2025_Chase1117_Activity_!C6</f>
        <v>FOREIGN EXCHANGE RATE ADJUSTMENT FEE         12/29TSESHAHT</v>
      </c>
      <c r="C9" s="6" t="str">
        <f>Angela_2025_Chase1117_Activity_!G6</f>
        <v>Personal Travel - Canada</v>
      </c>
      <c r="D9" s="12">
        <f>Angela_2025_Chase1117_Activity_!D6</f>
        <v>-1.84</v>
      </c>
    </row>
    <row r="10" spans="1:4" x14ac:dyDescent="0.25">
      <c r="A10" s="26">
        <f>Angela_2025_Chase1117_Activity_!B7</f>
        <v>46021</v>
      </c>
      <c r="B10" s="6" t="str">
        <f>Angela_2025_Chase1117_Activity_!C7</f>
        <v>PENTESTER.COM PENTESTER.COM FL               12/30</v>
      </c>
      <c r="C10" s="6" t="str">
        <f>Angela_2025_Chase1117_Activity_!G7</f>
        <v>Personal - Subscription</v>
      </c>
      <c r="D10" s="12">
        <f>Angela_2025_Chase1117_Activity_!D7</f>
        <v>-19</v>
      </c>
    </row>
    <row r="11" spans="1:4" x14ac:dyDescent="0.25">
      <c r="A11" s="26">
        <f>Angela_2025_Chase1117_Activity_!B8</f>
        <v>46021</v>
      </c>
      <c r="B11" s="6" t="str">
        <f>Angela_2025_Chase1117_Activity_!C8</f>
        <v>BCF - ONLINE SALES &amp; BO VICTORIA BC          12/29 CA DOLLAR  20.00 X 0.7325000 (EXCHG RTE)</v>
      </c>
      <c r="C11" s="6" t="str">
        <f>Angela_2025_Chase1117_Activity_!G8</f>
        <v>Personal Travel - Canada</v>
      </c>
      <c r="D11" s="12">
        <f>Angela_2025_Chase1117_Activity_!D8</f>
        <v>-14.65</v>
      </c>
    </row>
    <row r="12" spans="1:4" x14ac:dyDescent="0.25">
      <c r="A12" s="26">
        <f>Angela_2025_Chase1117_Activity_!B9</f>
        <v>46021</v>
      </c>
      <c r="B12" s="6" t="str">
        <f>Angela_2025_Chase1117_Activity_!C9</f>
        <v>TSESHAHT MARKET LP PORT ALBERNI BC           12/29 CA DOLLAR  83.88 X 0.7331903 (EXCHG RTE)</v>
      </c>
      <c r="C12" s="6" t="str">
        <f>Angela_2025_Chase1117_Activity_!G9</f>
        <v>Personal Travel - Canada</v>
      </c>
      <c r="D12" s="12">
        <f>Angela_2025_Chase1117_Activity_!D9</f>
        <v>-61.5</v>
      </c>
    </row>
    <row r="13" spans="1:4" x14ac:dyDescent="0.25">
      <c r="A13" s="26">
        <f>Angela_2025_Chase1117_Activity_!B10</f>
        <v>46020</v>
      </c>
      <c r="B13" s="6" t="str">
        <f>Angela_2025_Chase1117_Activity_!C10</f>
        <v>FOREIGN EXCHANGE RATE ADJUSTMENT FEE         12/26BEACHES G</v>
      </c>
      <c r="C13" s="6" t="str">
        <f>Angela_2025_Chase1117_Activity_!G10</f>
        <v>Personal Travel - Canada</v>
      </c>
      <c r="D13" s="12">
        <f>Angela_2025_Chase1117_Activity_!D10</f>
        <v>-0.55000000000000004</v>
      </c>
    </row>
    <row r="14" spans="1:4" x14ac:dyDescent="0.25">
      <c r="A14" s="26">
        <f>Angela_2025_Chase1117_Activity_!B11</f>
        <v>46020</v>
      </c>
      <c r="B14" s="6" t="str">
        <f>Angela_2025_Chase1117_Activity_!C11</f>
        <v>FOREIGN EXCHANGE RATE ADJUSTMENT FEE         12/28TOFINO PH</v>
      </c>
      <c r="C14" s="6" t="str">
        <f>Angela_2025_Chase1117_Activity_!G11</f>
        <v>Personal Travel - Canada</v>
      </c>
      <c r="D14" s="12">
        <f>Angela_2025_Chase1117_Activity_!D11</f>
        <v>-1.22</v>
      </c>
    </row>
    <row r="15" spans="1:4" x14ac:dyDescent="0.25">
      <c r="A15" s="26">
        <f>Angela_2025_Chase1117_Activity_!B12</f>
        <v>46020</v>
      </c>
      <c r="B15" s="6" t="str">
        <f>Angela_2025_Chase1117_Activity_!C12</f>
        <v>FOREIGN EXCHANGE RATE ADJUSTMENT FEE         12/28PHARMASAV</v>
      </c>
      <c r="C15" s="6" t="str">
        <f>Angela_2025_Chase1117_Activity_!G12</f>
        <v>Personal Travel - Canada</v>
      </c>
      <c r="D15" s="12">
        <f>Angela_2025_Chase1117_Activity_!D12</f>
        <v>-2.08</v>
      </c>
    </row>
    <row r="16" spans="1:4" x14ac:dyDescent="0.25">
      <c r="A16" s="26">
        <f>Angela_2025_Chase1117_Activity_!B13</f>
        <v>46020</v>
      </c>
      <c r="B16" s="6" t="str">
        <f>Angela_2025_Chase1117_Activity_!C13</f>
        <v>FOREIGN EXCHANGE RATE ADJUSTMENT FEE 161371  12/28TOFINO PH</v>
      </c>
      <c r="C16" s="6" t="str">
        <f>Angela_2025_Chase1117_Activity_!G13</f>
        <v>Personal Travel - Canada</v>
      </c>
      <c r="D16" s="12">
        <f>Angela_2025_Chase1117_Activity_!D13</f>
        <v>-4.46</v>
      </c>
    </row>
    <row r="17" spans="1:4" x14ac:dyDescent="0.25">
      <c r="A17" s="26">
        <f>Angela_2025_Chase1117_Activity_!B14</f>
        <v>46020</v>
      </c>
      <c r="B17" s="6" t="str">
        <f>Angela_2025_Chase1117_Activity_!C14</f>
        <v>NON-CHASE ATM FEE-WITH</v>
      </c>
      <c r="C17" s="6" t="str">
        <f>Angela_2025_Chase1117_Activity_!G14</f>
        <v>Bank Fees</v>
      </c>
      <c r="D17" s="12">
        <f>Angela_2025_Chase1117_Activity_!D14</f>
        <v>-5</v>
      </c>
    </row>
    <row r="18" spans="1:4" x14ac:dyDescent="0.25">
      <c r="A18" s="26">
        <f>Angela_2025_Chase1117_Activity_!B15</f>
        <v>46020</v>
      </c>
      <c r="B18" s="6" t="str">
        <f>Angela_2025_Chase1117_Activity_!C15</f>
        <v>CHANGE.ORG CHANGE.ORG CA                     12/29</v>
      </c>
      <c r="C18" s="6" t="str">
        <f>Angela_2025_Chase1117_Activity_!G15</f>
        <v>Donation</v>
      </c>
      <c r="D18" s="12">
        <f>Angela_2025_Chase1117_Activity_!D15</f>
        <v>-18.329999999999998</v>
      </c>
    </row>
    <row r="19" spans="1:4" x14ac:dyDescent="0.25">
      <c r="A19" s="26">
        <f>Angela_2025_Chase1117_Activity_!B16</f>
        <v>46020</v>
      </c>
      <c r="B19" s="6" t="str">
        <f>Angela_2025_Chase1117_Activity_!C16</f>
        <v>UNITED      01643573314 UNITED.COM TX        12/28</v>
      </c>
      <c r="C19" s="6" t="str">
        <f>Angela_2025_Chase1117_Activity_!G16</f>
        <v>Personal Travel</v>
      </c>
      <c r="D19" s="12">
        <f>Angela_2025_Chase1117_Activity_!D16</f>
        <v>-25</v>
      </c>
    </row>
    <row r="20" spans="1:4" x14ac:dyDescent="0.25">
      <c r="A20" s="26">
        <f>Angela_2025_Chase1117_Activity_!B17</f>
        <v>46020</v>
      </c>
      <c r="B20" s="6" t="str">
        <f>Angela_2025_Chase1117_Activity_!C17</f>
        <v>UNITED      01643573314 UNITED.COM TX        12/28</v>
      </c>
      <c r="C20" s="6" t="str">
        <f>Angela_2025_Chase1117_Activity_!G17</f>
        <v>Personal Travel</v>
      </c>
      <c r="D20" s="12">
        <f>Angela_2025_Chase1117_Activity_!D17</f>
        <v>-25</v>
      </c>
    </row>
    <row r="21" spans="1:4" x14ac:dyDescent="0.25">
      <c r="A21" s="26">
        <f>Angela_2025_Chase1117_Activity_!B18</f>
        <v>46020</v>
      </c>
      <c r="B21" s="6" t="str">
        <f>Angela_2025_Chase1117_Activity_!C18</f>
        <v>UNITED      01643573314 UNITED.COM TX        12/28</v>
      </c>
      <c r="C21" s="6" t="str">
        <f>Angela_2025_Chase1117_Activity_!G18</f>
        <v>Personal Travel</v>
      </c>
      <c r="D21" s="12">
        <f>Angela_2025_Chase1117_Activity_!D18</f>
        <v>-25</v>
      </c>
    </row>
    <row r="22" spans="1:4" x14ac:dyDescent="0.25">
      <c r="A22" s="26">
        <f>Angela_2025_Chase1117_Activity_!B19</f>
        <v>46020</v>
      </c>
      <c r="B22" s="6" t="str">
        <f>Angela_2025_Chase1117_Activity_!C19</f>
        <v>UNITED      01643573314 UNITED.COM TX        12/28</v>
      </c>
      <c r="C22" s="6" t="str">
        <f>Angela_2025_Chase1117_Activity_!G19</f>
        <v>Personal Travel</v>
      </c>
      <c r="D22" s="12">
        <f>Angela_2025_Chase1117_Activity_!D19</f>
        <v>-25</v>
      </c>
    </row>
    <row r="23" spans="1:4" x14ac:dyDescent="0.25">
      <c r="A23" s="26">
        <f>Angela_2025_Chase1117_Activity_!B20</f>
        <v>46020</v>
      </c>
      <c r="B23" s="6" t="str">
        <f>Angela_2025_Chase1117_Activity_!C20</f>
        <v>UNITED      01643573314 UNITED.COM TX        12/28</v>
      </c>
      <c r="C23" s="6" t="str">
        <f>Angela_2025_Chase1117_Activity_!G20</f>
        <v>Personal Travel</v>
      </c>
      <c r="D23" s="12">
        <f>Angela_2025_Chase1117_Activity_!D20</f>
        <v>-32</v>
      </c>
    </row>
    <row r="24" spans="1:4" x14ac:dyDescent="0.25">
      <c r="A24" s="26">
        <f>Angela_2025_Chase1117_Activity_!B21</f>
        <v>46020</v>
      </c>
      <c r="B24" s="6" t="str">
        <f>Angela_2025_Chase1117_Activity_!C21</f>
        <v>PHARMASAVE HEALTH CENTR TOFINO BC            12/28 CA DOLLAR  94.60 X 0.7330867 (EXCHG RTE)</v>
      </c>
      <c r="C24" s="6" t="str">
        <f>Angela_2025_Chase1117_Activity_!G21</f>
        <v>Personal Travel - Canada</v>
      </c>
      <c r="D24" s="12">
        <f>Angela_2025_Chase1117_Activity_!D21</f>
        <v>-69.349999999999994</v>
      </c>
    </row>
    <row r="25" spans="1:4" x14ac:dyDescent="0.25">
      <c r="A25" s="26">
        <f>Angela_2025_Chase1117_Activity_!B22</f>
        <v>46020</v>
      </c>
      <c r="B25" s="6" t="str">
        <f>Angela_2025_Chase1117_Activity_!C22</f>
        <v>NON-CHASE ATM WITHDRAW               161371  12/28TOFINO PH CA DOLLAR  200.00 X 0.7331527 (EXCHG RTE)</v>
      </c>
      <c r="C25" s="6" t="str">
        <f>Angela_2025_Chase1117_Activity_!G22</f>
        <v>Personal Travel - Canada</v>
      </c>
      <c r="D25" s="12">
        <f>Angela_2025_Chase1117_Activity_!D22</f>
        <v>-148.83000000000001</v>
      </c>
    </row>
    <row r="26" spans="1:4" x14ac:dyDescent="0.25">
      <c r="A26" s="26">
        <f>Angela_2025_Chase1117_Activity_!B23</f>
        <v>46020</v>
      </c>
      <c r="B26" s="6" t="str">
        <f>Angela_2025_Chase1117_Activity_!C23</f>
        <v>TOFINO PHARMACY TOFINO BC                    12/28 CA DOLLAR  55.61 X 0.7331415 (EXCHG RTE)</v>
      </c>
      <c r="C26" s="6" t="str">
        <f>Angela_2025_Chase1117_Activity_!G23</f>
        <v>Personal Travel - Canada</v>
      </c>
      <c r="D26" s="12">
        <f>Angela_2025_Chase1117_Activity_!D23</f>
        <v>-40.770000000000003</v>
      </c>
    </row>
    <row r="27" spans="1:4" x14ac:dyDescent="0.25">
      <c r="A27" s="26">
        <f>Angela_2025_Chase1117_Activity_!B24</f>
        <v>46020</v>
      </c>
      <c r="B27" s="6" t="str">
        <f>Angela_2025_Chase1117_Activity_!C24</f>
        <v>APPLE.COM/BILL 866-712-7753 CA               12/28</v>
      </c>
      <c r="C27" s="6" t="str">
        <f>Angela_2025_Chase1117_Activity_!G24</f>
        <v>Apple</v>
      </c>
      <c r="D27" s="12">
        <f>Angela_2025_Chase1117_Activity_!D24</f>
        <v>-5.99</v>
      </c>
    </row>
    <row r="28" spans="1:4" x14ac:dyDescent="0.25">
      <c r="A28" s="26">
        <f>Angela_2025_Chase1117_Activity_!B25</f>
        <v>46020</v>
      </c>
      <c r="B28" s="6" t="str">
        <f>Angela_2025_Chase1117_Activity_!C25</f>
        <v>CVSExtraCare 80074672 800-746-7287 RI        12/28</v>
      </c>
      <c r="C28" s="6" t="str">
        <f>Angela_2025_Chase1117_Activity_!G25</f>
        <v>Personal - Health</v>
      </c>
      <c r="D28" s="12">
        <f>Angela_2025_Chase1117_Activity_!D25</f>
        <v>-5.49</v>
      </c>
    </row>
    <row r="29" spans="1:4" x14ac:dyDescent="0.25">
      <c r="A29" s="26">
        <f>Angela_2025_Chase1117_Activity_!B26</f>
        <v>46020</v>
      </c>
      <c r="B29" s="6" t="str">
        <f>Angela_2025_Chase1117_Activity_!C26</f>
        <v>ETSY ETSY.COM*MYBESTST BROOKLYN NY   026418  12/28</v>
      </c>
      <c r="C29" s="6" t="str">
        <f>Angela_2025_Chase1117_Activity_!G26</f>
        <v>Etsy</v>
      </c>
      <c r="D29" s="12">
        <f>Angela_2025_Chase1117_Activity_!D26</f>
        <v>-349.66</v>
      </c>
    </row>
    <row r="30" spans="1:4" x14ac:dyDescent="0.25">
      <c r="A30" s="26">
        <f>Angela_2025_Chase1117_Activity_!B27</f>
        <v>46020</v>
      </c>
      <c r="B30" s="6" t="str">
        <f>Angela_2025_Chase1117_Activity_!C27</f>
        <v>AMAZON MKTPL*G97NU7U Amzn.com/bill WA        12/29</v>
      </c>
      <c r="C30" s="6" t="str">
        <f>Angela_2025_Chase1117_Activity_!G27</f>
        <v>Amazon</v>
      </c>
      <c r="D30" s="12">
        <f>Angela_2025_Chase1117_Activity_!D27</f>
        <v>-29.86</v>
      </c>
    </row>
    <row r="31" spans="1:4" x14ac:dyDescent="0.25">
      <c r="A31" s="26">
        <f>Angela_2025_Chase1117_Activity_!B28</f>
        <v>46020</v>
      </c>
      <c r="B31" s="6" t="str">
        <f>Angela_2025_Chase1117_Activity_!C28</f>
        <v>Online Payment 27487618584 To SOUTHERN CALIFORNIA GAS CO 12/29</v>
      </c>
      <c r="C31" s="6" t="str">
        <f>Angela_2025_Chase1117_Activity_!G28</f>
        <v>Personal - House Bills</v>
      </c>
      <c r="D31" s="12">
        <f>Angela_2025_Chase1117_Activity_!D28</f>
        <v>-300</v>
      </c>
    </row>
    <row r="32" spans="1:4" x14ac:dyDescent="0.25">
      <c r="A32" s="26">
        <f>Angela_2025_Chase1117_Activity_!B29</f>
        <v>46020</v>
      </c>
      <c r="B32" s="6" t="str">
        <f>Angela_2025_Chase1117_Activity_!C29</f>
        <v>Online Payment 27487587941 To SAFECO INSURANCE COMPANY 12/29</v>
      </c>
      <c r="C32" s="6" t="str">
        <f>Angela_2025_Chase1117_Activity_!G29</f>
        <v>Personal - House Bills</v>
      </c>
      <c r="D32" s="12">
        <f>Angela_2025_Chase1117_Activity_!D29</f>
        <v>-120</v>
      </c>
    </row>
    <row r="33" spans="1:4" x14ac:dyDescent="0.25">
      <c r="A33" s="26">
        <f>Angela_2025_Chase1117_Activity_!B30</f>
        <v>46020</v>
      </c>
      <c r="B33" s="6" t="str">
        <f>Angela_2025_Chase1117_Activity_!C30</f>
        <v>Online Payment 27487600332 To FRONTIER TELEPHONE 12/29</v>
      </c>
      <c r="C33" s="6" t="str">
        <f>Angela_2025_Chase1117_Activity_!G30</f>
        <v>Personal - House Bills</v>
      </c>
      <c r="D33" s="12">
        <f>Angela_2025_Chase1117_Activity_!D30</f>
        <v>-340</v>
      </c>
    </row>
    <row r="34" spans="1:4" x14ac:dyDescent="0.25">
      <c r="A34" s="26">
        <f>Angela_2025_Chase1117_Activity_!B31</f>
        <v>46020</v>
      </c>
      <c r="B34" s="6" t="str">
        <f>Angela_2025_Chase1117_Activity_!C31</f>
        <v>Online Payment 27487584978 To AMERICAN EDUCATION SERVICES 12/29</v>
      </c>
      <c r="C34" s="6" t="str">
        <f>Angela_2025_Chase1117_Activity_!G31</f>
        <v>Personal - House Bills</v>
      </c>
      <c r="D34" s="12">
        <f>Angela_2025_Chase1117_Activity_!D31</f>
        <v>-320</v>
      </c>
    </row>
    <row r="35" spans="1:4" x14ac:dyDescent="0.25">
      <c r="A35" s="26">
        <f>Angela_2025_Chase1117_Activity_!B32</f>
        <v>46020</v>
      </c>
      <c r="B35" s="6" t="str">
        <f>Angela_2025_Chase1117_Activity_!C32</f>
        <v>Online Payment 27487593905 To MERCEDES-BENZ FINANCIAL SERVICES 12/29</v>
      </c>
      <c r="C35" s="6" t="str">
        <f>Angela_2025_Chase1117_Activity_!G32</f>
        <v>Personal - House Bills</v>
      </c>
      <c r="D35" s="12">
        <f>Angela_2025_Chase1117_Activity_!D32</f>
        <v>-700</v>
      </c>
    </row>
    <row r="36" spans="1:4" x14ac:dyDescent="0.25">
      <c r="A36" s="26">
        <f>Angela_2025_Chase1117_Activity_!B33</f>
        <v>46020</v>
      </c>
      <c r="B36" s="6" t="str">
        <f>Angela_2025_Chase1117_Activity_!C33</f>
        <v>Zelle payment to shaffa JPM99c009caw</v>
      </c>
      <c r="C36" s="6" t="str">
        <f>Angela_2025_Chase1117_Activity_!G33</f>
        <v>Zelle to Shaffa</v>
      </c>
      <c r="D36" s="12">
        <f>Angela_2025_Chase1117_Activity_!D33</f>
        <v>-500</v>
      </c>
    </row>
    <row r="37" spans="1:4" x14ac:dyDescent="0.25">
      <c r="A37" s="26">
        <f>Angela_2025_Chase1117_Activity_!B34</f>
        <v>46020</v>
      </c>
      <c r="B37" s="6" t="str">
        <f>Angela_2025_Chase1117_Activity_!C34</f>
        <v>SPACEWEATHERNEWS.COM SPACEWEATHERN CO        12/26</v>
      </c>
      <c r="C37" s="6" t="str">
        <f>Angela_2025_Chase1117_Activity_!G34</f>
        <v>Personal - Subscription</v>
      </c>
      <c r="D37" s="12">
        <f>Angela_2025_Chase1117_Activity_!D34</f>
        <v>-5.99</v>
      </c>
    </row>
    <row r="38" spans="1:4" x14ac:dyDescent="0.25">
      <c r="A38" s="26">
        <f>Angela_2025_Chase1117_Activity_!B35</f>
        <v>46020</v>
      </c>
      <c r="B38" s="6" t="str">
        <f>Angela_2025_Chase1117_Activity_!C35</f>
        <v>Prime Video Channels amzn.com/bill WA        12/26</v>
      </c>
      <c r="C38" s="6" t="str">
        <f>Angela_2025_Chase1117_Activity_!G35</f>
        <v>Amazon</v>
      </c>
      <c r="D38" s="12">
        <f>Angela_2025_Chase1117_Activity_!D35</f>
        <v>-6.99</v>
      </c>
    </row>
    <row r="39" spans="1:4" x14ac:dyDescent="0.25">
      <c r="A39" s="26">
        <f>Angela_2025_Chase1117_Activity_!B36</f>
        <v>46020</v>
      </c>
      <c r="B39" s="6" t="str">
        <f>Angela_2025_Chase1117_Activity_!C36</f>
        <v>BEACHES GROCERY TOFINO BC                    12/26 CA DOLLAR  25.25 X 0.7318812 (EXCHG RTE)</v>
      </c>
      <c r="C39" s="6" t="str">
        <f>Angela_2025_Chase1117_Activity_!G36</f>
        <v>Personal Travel - Canada</v>
      </c>
      <c r="D39" s="12">
        <f>Angela_2025_Chase1117_Activity_!D36</f>
        <v>-18.48</v>
      </c>
    </row>
    <row r="40" spans="1:4" x14ac:dyDescent="0.25">
      <c r="A40" s="26">
        <f>Angela_2025_Chase1117_Activity_!B37</f>
        <v>46020</v>
      </c>
      <c r="B40" s="6" t="str">
        <f>Angela_2025_Chase1117_Activity_!C37</f>
        <v>Zara.com New York NY                         12/28</v>
      </c>
      <c r="C40" s="6" t="str">
        <f>Angela_2025_Chase1117_Activity_!G37</f>
        <v>Personal - Shopping</v>
      </c>
      <c r="D40" s="12">
        <f>Angela_2025_Chase1117_Activity_!D37</f>
        <v>-509.2</v>
      </c>
    </row>
    <row r="41" spans="1:4" x14ac:dyDescent="0.25">
      <c r="A41" s="26">
        <f>Angela_2025_Chase1117_Activity_!B38</f>
        <v>46020</v>
      </c>
      <c r="B41" s="6" t="str">
        <f>Angela_2025_Chase1117_Activity_!C38</f>
        <v>Zelle payment from ROSE LI 27489760917</v>
      </c>
      <c r="C41" s="6" t="str">
        <f>Angela_2025_Chase1117_Activity_!G38</f>
        <v>Zelle from Rose Li</v>
      </c>
      <c r="D41" s="12">
        <f>Angela_2025_Chase1117_Activity_!D38</f>
        <v>300</v>
      </c>
    </row>
    <row r="42" spans="1:4" x14ac:dyDescent="0.25">
      <c r="A42" s="26">
        <f>Angela_2025_Chase1117_Activity_!B39</f>
        <v>46017</v>
      </c>
      <c r="B42" s="6" t="str">
        <f>Angela_2025_Chase1117_Activity_!C39</f>
        <v>MANGO.COM NEW YORK NY                079194  12/25</v>
      </c>
      <c r="C42" s="6" t="str">
        <f>Angela_2025_Chase1117_Activity_!G39</f>
        <v>Personal - Shopping</v>
      </c>
      <c r="D42" s="12">
        <f>Angela_2025_Chase1117_Activity_!D39</f>
        <v>-101.35</v>
      </c>
    </row>
    <row r="43" spans="1:4" x14ac:dyDescent="0.25">
      <c r="A43" s="26">
        <f>Angela_2025_Chase1117_Activity_!B40</f>
        <v>46017</v>
      </c>
      <c r="B43" s="6" t="str">
        <f>Angela_2025_Chase1117_Activity_!C40</f>
        <v>MANGO.COM NEW YORK NY                149515  12/25</v>
      </c>
      <c r="C43" s="6" t="str">
        <f>Angela_2025_Chase1117_Activity_!G40</f>
        <v>Personal - Shopping</v>
      </c>
      <c r="D43" s="12">
        <f>Angela_2025_Chase1117_Activity_!D40</f>
        <v>-195.4</v>
      </c>
    </row>
    <row r="44" spans="1:4" x14ac:dyDescent="0.25">
      <c r="A44" s="26">
        <f>Angela_2025_Chase1117_Activity_!B41</f>
        <v>46017</v>
      </c>
      <c r="B44" s="6" t="str">
        <f>Angela_2025_Chase1117_Activity_!C41</f>
        <v>LUKE UNFILTERED WEARECHANGE.O FL             12/25</v>
      </c>
      <c r="C44" s="6" t="str">
        <f>Angela_2025_Chase1117_Activity_!G41</f>
        <v>Personal - Subscription</v>
      </c>
      <c r="D44" s="12">
        <f>Angela_2025_Chase1117_Activity_!D41</f>
        <v>-15</v>
      </c>
    </row>
    <row r="45" spans="1:4" x14ac:dyDescent="0.25">
      <c r="A45" s="26">
        <f>Angela_2025_Chase1117_Activity_!B42</f>
        <v>46017</v>
      </c>
      <c r="B45" s="6" t="str">
        <f>Angela_2025_Chase1117_Activity_!C42</f>
        <v>AMAZON PRIME*953A22S Amzn.com/bill WA        12/24</v>
      </c>
      <c r="C45" s="6" t="str">
        <f>Angela_2025_Chase1117_Activity_!G42</f>
        <v>Amazon</v>
      </c>
      <c r="D45" s="12">
        <f>Angela_2025_Chase1117_Activity_!D42</f>
        <v>-16.45</v>
      </c>
    </row>
    <row r="46" spans="1:4" x14ac:dyDescent="0.25">
      <c r="A46" s="26">
        <f>Angela_2025_Chase1117_Activity_!B43</f>
        <v>46017</v>
      </c>
      <c r="B46" s="6" t="str">
        <f>Angela_2025_Chase1117_Activity_!C43</f>
        <v>ATT*BILL PAYMENT 800-288-2020 TX             12/24</v>
      </c>
      <c r="C46" s="6" t="str">
        <f>Angela_2025_Chase1117_Activity_!G43</f>
        <v>AT&amp;T</v>
      </c>
      <c r="D46" s="12">
        <f>Angela_2025_Chase1117_Activity_!D43</f>
        <v>-608.30999999999995</v>
      </c>
    </row>
    <row r="47" spans="1:4" x14ac:dyDescent="0.25">
      <c r="A47" s="26">
        <f>Angela_2025_Chase1117_Activity_!B44</f>
        <v>46015</v>
      </c>
      <c r="B47" s="6" t="str">
        <f>Angela_2025_Chase1117_Activity_!C44</f>
        <v>FOREIGN EXCHANGE RATE ADJUSTMENT FEE         12/22BCF - ONL</v>
      </c>
      <c r="C47" s="6" t="str">
        <f>Angela_2025_Chase1117_Activity_!G44</f>
        <v>Personal Travel - Canada</v>
      </c>
      <c r="D47" s="12">
        <f>Angela_2025_Chase1117_Activity_!D44</f>
        <v>-0.43</v>
      </c>
    </row>
    <row r="48" spans="1:4" x14ac:dyDescent="0.25">
      <c r="A48" s="26">
        <f>Angela_2025_Chase1117_Activity_!B45</f>
        <v>46015</v>
      </c>
      <c r="B48" s="6" t="str">
        <f>Angela_2025_Chase1117_Activity_!C45</f>
        <v>BCF - ONLINE SALES &amp; BO VICTORIA BC          12/22 CA DOLLAR  20.00 X 0.7280000 (EXCHG RTE)</v>
      </c>
      <c r="C48" s="6" t="str">
        <f>Angela_2025_Chase1117_Activity_!G45</f>
        <v>Personal Travel - Canada</v>
      </c>
      <c r="D48" s="12">
        <f>Angela_2025_Chase1117_Activity_!D45</f>
        <v>-14.56</v>
      </c>
    </row>
    <row r="49" spans="1:4" x14ac:dyDescent="0.25">
      <c r="A49" s="26">
        <f>Angela_2025_Chase1117_Activity_!B46</f>
        <v>46015</v>
      </c>
      <c r="B49" s="6" t="str">
        <f>Angela_2025_Chase1117_Activity_!C46</f>
        <v>UNITED      01623542161 UNITED.COM TX        12/23</v>
      </c>
      <c r="C49" s="6" t="str">
        <f>Angela_2025_Chase1117_Activity_!G46</f>
        <v>Personal Travel</v>
      </c>
      <c r="D49" s="12">
        <f>Angela_2025_Chase1117_Activity_!D46</f>
        <v>614.57000000000005</v>
      </c>
    </row>
    <row r="50" spans="1:4" x14ac:dyDescent="0.25">
      <c r="A50" s="26">
        <f>Angela_2025_Chase1117_Activity_!B47</f>
        <v>46015</v>
      </c>
      <c r="B50" s="6" t="str">
        <f>Angela_2025_Chase1117_Activity_!C47</f>
        <v>UNITED      01623542161 UNITED.COM TX        12/23</v>
      </c>
      <c r="C50" s="6" t="str">
        <f>Angela_2025_Chase1117_Activity_!G47</f>
        <v>Personal Travel</v>
      </c>
      <c r="D50" s="12">
        <f>Angela_2025_Chase1117_Activity_!D47</f>
        <v>614.57000000000005</v>
      </c>
    </row>
    <row r="51" spans="1:4" x14ac:dyDescent="0.25">
      <c r="A51" s="26">
        <f>Angela_2025_Chase1117_Activity_!B48</f>
        <v>46015</v>
      </c>
      <c r="B51" s="6" t="str">
        <f>Angela_2025_Chase1117_Activity_!C48</f>
        <v>UNITED      01623542161 UNITED.COM TX        12/23</v>
      </c>
      <c r="C51" s="6" t="str">
        <f>Angela_2025_Chase1117_Activity_!G48</f>
        <v>Personal Travel</v>
      </c>
      <c r="D51" s="12">
        <f>Angela_2025_Chase1117_Activity_!D48</f>
        <v>614.57000000000005</v>
      </c>
    </row>
    <row r="52" spans="1:4" x14ac:dyDescent="0.25">
      <c r="A52" s="26">
        <f>Angela_2025_Chase1117_Activity_!B49</f>
        <v>46015</v>
      </c>
      <c r="B52" s="6" t="str">
        <f>Angela_2025_Chase1117_Activity_!C49</f>
        <v>UNITED      01623542161 UNITED.COM TX        12/23</v>
      </c>
      <c r="C52" s="6" t="str">
        <f>Angela_2025_Chase1117_Activity_!G49</f>
        <v>Personal Travel</v>
      </c>
      <c r="D52" s="12">
        <f>Angela_2025_Chase1117_Activity_!D49</f>
        <v>614.57000000000005</v>
      </c>
    </row>
    <row r="53" spans="1:4" x14ac:dyDescent="0.25">
      <c r="A53" s="26">
        <f>Angela_2025_Chase1117_Activity_!B50</f>
        <v>46014</v>
      </c>
      <c r="B53" s="6" t="str">
        <f>Angela_2025_Chase1117_Activity_!C50</f>
        <v>FOREIGN EXCHANGE RATE ADJUSTMENT FEE         12/22PHARMASAV</v>
      </c>
      <c r="C53" s="6" t="str">
        <f>Angela_2025_Chase1117_Activity_!G50</f>
        <v>Personal Travel - Canada</v>
      </c>
      <c r="D53" s="12">
        <f>Angela_2025_Chase1117_Activity_!D50</f>
        <v>-1.84</v>
      </c>
    </row>
    <row r="54" spans="1:4" x14ac:dyDescent="0.25">
      <c r="A54" s="26">
        <f>Angela_2025_Chase1117_Activity_!B51</f>
        <v>46014</v>
      </c>
      <c r="B54" s="6" t="str">
        <f>Angela_2025_Chase1117_Activity_!C51</f>
        <v>APPLE COM BILL CUPERTINO CA          286935  12/23</v>
      </c>
      <c r="C54" s="6" t="str">
        <f>Angela_2025_Chase1117_Activity_!G51</f>
        <v>Apple</v>
      </c>
      <c r="D54" s="12">
        <f>Angela_2025_Chase1117_Activity_!D51</f>
        <v>-10.99</v>
      </c>
    </row>
    <row r="55" spans="1:4" x14ac:dyDescent="0.25">
      <c r="A55" s="26">
        <f>Angela_2025_Chase1117_Activity_!B52</f>
        <v>46014</v>
      </c>
      <c r="B55" s="6" t="str">
        <f>Angela_2025_Chase1117_Activity_!C52</f>
        <v>mango.com USA 866-6664664 NY                 12/23</v>
      </c>
      <c r="C55" s="6" t="str">
        <f>Angela_2025_Chase1117_Activity_!G52</f>
        <v>Personal - Shopping</v>
      </c>
      <c r="D55" s="12">
        <f>Angela_2025_Chase1117_Activity_!D52</f>
        <v>-373.11</v>
      </c>
    </row>
    <row r="56" spans="1:4" x14ac:dyDescent="0.25">
      <c r="A56" s="26">
        <f>Angela_2025_Chase1117_Activity_!B53</f>
        <v>46014</v>
      </c>
      <c r="B56" s="6" t="str">
        <f>Angela_2025_Chase1117_Activity_!C53</f>
        <v>PHARMASAVE HEALTH CENTR TOFINO BC            12/22 CA DOLLAR  84.37 X 0.7271542 (EXCHG RTE)</v>
      </c>
      <c r="C56" s="6" t="str">
        <f>Angela_2025_Chase1117_Activity_!G53</f>
        <v>Personal Travel - Canada</v>
      </c>
      <c r="D56" s="12">
        <f>Angela_2025_Chase1117_Activity_!D53</f>
        <v>-61.35</v>
      </c>
    </row>
    <row r="57" spans="1:4" x14ac:dyDescent="0.25">
      <c r="A57" s="26">
        <f>Angela_2025_Chase1117_Activity_!B54</f>
        <v>46014</v>
      </c>
      <c r="B57" s="6" t="str">
        <f>Angela_2025_Chase1117_Activity_!C54</f>
        <v>UNITED      016235854 800-864-8331 TX        12/22</v>
      </c>
      <c r="C57" s="6" t="str">
        <f>Angela_2025_Chase1117_Activity_!G54</f>
        <v>Personal Travel</v>
      </c>
      <c r="D57" s="12">
        <f>Angela_2025_Chase1117_Activity_!D54</f>
        <v>-643.22</v>
      </c>
    </row>
    <row r="58" spans="1:4" x14ac:dyDescent="0.25">
      <c r="A58" s="26">
        <f>Angela_2025_Chase1117_Activity_!B55</f>
        <v>46014</v>
      </c>
      <c r="B58" s="6" t="str">
        <f>Angela_2025_Chase1117_Activity_!C55</f>
        <v>UNITED      016235854 800-864-8331 TX        12/22</v>
      </c>
      <c r="C58" s="6" t="str">
        <f>Angela_2025_Chase1117_Activity_!G55</f>
        <v>Personal Travel</v>
      </c>
      <c r="D58" s="12">
        <f>Angela_2025_Chase1117_Activity_!D55</f>
        <v>-643.22</v>
      </c>
    </row>
    <row r="59" spans="1:4" x14ac:dyDescent="0.25">
      <c r="A59" s="26">
        <f>Angela_2025_Chase1117_Activity_!B56</f>
        <v>46014</v>
      </c>
      <c r="B59" s="6" t="str">
        <f>Angela_2025_Chase1117_Activity_!C56</f>
        <v>UNITED      016235854 800-864-8331 TX        12/22</v>
      </c>
      <c r="C59" s="6" t="str">
        <f>Angela_2025_Chase1117_Activity_!G56</f>
        <v>Personal Travel</v>
      </c>
      <c r="D59" s="12">
        <f>Angela_2025_Chase1117_Activity_!D56</f>
        <v>-643.22</v>
      </c>
    </row>
    <row r="60" spans="1:4" x14ac:dyDescent="0.25">
      <c r="A60" s="26">
        <f>Angela_2025_Chase1117_Activity_!B57</f>
        <v>46014</v>
      </c>
      <c r="B60" s="6" t="str">
        <f>Angela_2025_Chase1117_Activity_!C57</f>
        <v>UNITED      016235854 800-864-8331 TX        12/22</v>
      </c>
      <c r="C60" s="6" t="str">
        <f>Angela_2025_Chase1117_Activity_!G57</f>
        <v>Personal Travel</v>
      </c>
      <c r="D60" s="12">
        <f>Angela_2025_Chase1117_Activity_!D57</f>
        <v>-643.22</v>
      </c>
    </row>
    <row r="61" spans="1:4" x14ac:dyDescent="0.25">
      <c r="A61" s="26">
        <f>Angela_2025_Chase1117_Activity_!B58</f>
        <v>46014</v>
      </c>
      <c r="B61" s="6" t="str">
        <f>Angela_2025_Chase1117_Activity_!C58</f>
        <v>UNITED      01643511562 UNITED.COM TX        12/22</v>
      </c>
      <c r="C61" s="6" t="str">
        <f>Angela_2025_Chase1117_Activity_!G58</f>
        <v>Personal Travel</v>
      </c>
      <c r="D61" s="12">
        <f>Angela_2025_Chase1117_Activity_!D58</f>
        <v>35.99</v>
      </c>
    </row>
    <row r="62" spans="1:4" x14ac:dyDescent="0.25">
      <c r="A62" s="26">
        <f>Angela_2025_Chase1117_Activity_!B59</f>
        <v>46014</v>
      </c>
      <c r="B62" s="6" t="str">
        <f>Angela_2025_Chase1117_Activity_!C59</f>
        <v>UNITED      01643511562 UNITED.COM TX        12/22</v>
      </c>
      <c r="C62" s="6" t="str">
        <f>Angela_2025_Chase1117_Activity_!G59</f>
        <v>Personal Travel</v>
      </c>
      <c r="D62" s="12">
        <f>Angela_2025_Chase1117_Activity_!D59</f>
        <v>35.99</v>
      </c>
    </row>
    <row r="63" spans="1:4" x14ac:dyDescent="0.25">
      <c r="A63" s="26">
        <f>Angela_2025_Chase1117_Activity_!B60</f>
        <v>46014</v>
      </c>
      <c r="B63" s="6" t="str">
        <f>Angela_2025_Chase1117_Activity_!C60</f>
        <v>UNITED      01643511562 UNITED.COM TX        12/22</v>
      </c>
      <c r="C63" s="6" t="str">
        <f>Angela_2025_Chase1117_Activity_!G60</f>
        <v>Personal Travel</v>
      </c>
      <c r="D63" s="12">
        <f>Angela_2025_Chase1117_Activity_!D60</f>
        <v>35.99</v>
      </c>
    </row>
    <row r="64" spans="1:4" x14ac:dyDescent="0.25">
      <c r="A64" s="26">
        <f>Angela_2025_Chase1117_Activity_!B61</f>
        <v>46014</v>
      </c>
      <c r="B64" s="6" t="str">
        <f>Angela_2025_Chase1117_Activity_!C61</f>
        <v>UNITED      01643511562 UNITED.COM TX        12/22</v>
      </c>
      <c r="C64" s="6" t="str">
        <f>Angela_2025_Chase1117_Activity_!G61</f>
        <v>Personal Travel</v>
      </c>
      <c r="D64" s="12">
        <f>Angela_2025_Chase1117_Activity_!D61</f>
        <v>35.99</v>
      </c>
    </row>
    <row r="65" spans="1:4" x14ac:dyDescent="0.25">
      <c r="A65" s="26">
        <f>Angela_2025_Chase1117_Activity_!B62</f>
        <v>46014</v>
      </c>
      <c r="B65" s="6" t="str">
        <f>Angela_2025_Chase1117_Activity_!C62</f>
        <v>EXPEDIA 73319226325815 EXPEDIA.COM WA        12/22</v>
      </c>
      <c r="C65" s="6" t="str">
        <f>Angela_2025_Chase1117_Activity_!G62</f>
        <v>Personal Travel</v>
      </c>
      <c r="D65" s="12">
        <f>Angela_2025_Chase1117_Activity_!D62</f>
        <v>445.33</v>
      </c>
    </row>
    <row r="66" spans="1:4" x14ac:dyDescent="0.25">
      <c r="A66" s="26">
        <f>Angela_2025_Chase1117_Activity_!B63</f>
        <v>46013</v>
      </c>
      <c r="B66" s="6" t="str">
        <f>Angela_2025_Chase1117_Activity_!C63</f>
        <v>FOREIGN EXCHANGE RATE ADJUSTMENT FEE         12/19TOFINO PH</v>
      </c>
      <c r="C66" s="6" t="str">
        <f>Angela_2025_Chase1117_Activity_!G63</f>
        <v>Personal Travel - Canada</v>
      </c>
      <c r="D66" s="12">
        <f>Angela_2025_Chase1117_Activity_!D63</f>
        <v>-1.29</v>
      </c>
    </row>
    <row r="67" spans="1:4" x14ac:dyDescent="0.25">
      <c r="A67" s="26">
        <f>Angela_2025_Chase1117_Activity_!B64</f>
        <v>46013</v>
      </c>
      <c r="B67" s="6" t="str">
        <f>Angela_2025_Chase1117_Activity_!C64</f>
        <v>FOREIGN EXCHANGE RATE ADJUSTMENT FEE         12/19TOFINO PH</v>
      </c>
      <c r="C67" s="6" t="str">
        <f>Angela_2025_Chase1117_Activity_!G64</f>
        <v>Personal Travel - Canada</v>
      </c>
      <c r="D67" s="12">
        <f>Angela_2025_Chase1117_Activity_!D64</f>
        <v>-11.93</v>
      </c>
    </row>
    <row r="68" spans="1:4" x14ac:dyDescent="0.25">
      <c r="A68" s="26">
        <f>Angela_2025_Chase1117_Activity_!B65</f>
        <v>46013</v>
      </c>
      <c r="B68" s="6" t="str">
        <f>Angela_2025_Chase1117_Activity_!C65</f>
        <v>FOREIGN EXCHANGE RATE ADJUSTMENT FEE         12/19TOFINO CO</v>
      </c>
      <c r="C68" s="6" t="str">
        <f>Angela_2025_Chase1117_Activity_!G65</f>
        <v>Personal Travel - Canada</v>
      </c>
      <c r="D68" s="12">
        <f>Angela_2025_Chase1117_Activity_!D65</f>
        <v>-15.09</v>
      </c>
    </row>
    <row r="69" spans="1:4" x14ac:dyDescent="0.25">
      <c r="A69" s="26">
        <f>Angela_2025_Chase1117_Activity_!B66</f>
        <v>46013</v>
      </c>
      <c r="B69" s="6" t="str">
        <f>Angela_2025_Chase1117_Activity_!C66</f>
        <v>UBER   *TRIP HELP.UB SAN FRANCISCO CA133877  12/22</v>
      </c>
      <c r="C69" s="6" t="str">
        <f>Angela_2025_Chase1117_Activity_!G66</f>
        <v>Personal - Uber</v>
      </c>
      <c r="D69" s="12">
        <f>Angela_2025_Chase1117_Activity_!D66</f>
        <v>-15</v>
      </c>
    </row>
    <row r="70" spans="1:4" x14ac:dyDescent="0.25">
      <c r="A70" s="26">
        <f>Angela_2025_Chase1117_Activity_!B67</f>
        <v>46013</v>
      </c>
      <c r="B70" s="6" t="str">
        <f>Angela_2025_Chase1117_Activity_!C67</f>
        <v>CARBON HEALTH CARBONHEALTH. CA               12/22</v>
      </c>
      <c r="C70" s="6" t="str">
        <f>Angela_2025_Chase1117_Activity_!G67</f>
        <v>Personal - Health</v>
      </c>
      <c r="D70" s="12">
        <f>Angela_2025_Chase1117_Activity_!D67</f>
        <v>-60</v>
      </c>
    </row>
    <row r="71" spans="1:4" x14ac:dyDescent="0.25">
      <c r="A71" s="26">
        <f>Angela_2025_Chase1117_Activity_!B68</f>
        <v>46013</v>
      </c>
      <c r="B71" s="6" t="str">
        <f>Angela_2025_Chase1117_Activity_!C68</f>
        <v>NEXTLINK BROADBAND 855-6985465 TX            12/20</v>
      </c>
      <c r="C71" s="6" t="str">
        <f>Angela_2025_Chase1117_Activity_!G68</f>
        <v>Personal - House Bills</v>
      </c>
      <c r="D71" s="12">
        <f>Angela_2025_Chase1117_Activity_!D68</f>
        <v>-149.96</v>
      </c>
    </row>
    <row r="72" spans="1:4" x14ac:dyDescent="0.25">
      <c r="A72" s="26">
        <f>Angela_2025_Chase1117_Activity_!B69</f>
        <v>46013</v>
      </c>
      <c r="B72" s="6" t="str">
        <f>Angela_2025_Chase1117_Activity_!C69</f>
        <v>SCRIBD* R680020687 SCRIBD.COM CA             12/20</v>
      </c>
      <c r="C72" s="6" t="str">
        <f>Angela_2025_Chase1117_Activity_!G69</f>
        <v>Personal - Subscription</v>
      </c>
      <c r="D72" s="12">
        <f>Angela_2025_Chase1117_Activity_!D69</f>
        <v>-11.99</v>
      </c>
    </row>
    <row r="73" spans="1:4" x14ac:dyDescent="0.25">
      <c r="A73" s="26">
        <f>Angela_2025_Chase1117_Activity_!B70</f>
        <v>46013</v>
      </c>
      <c r="B73" s="6" t="str">
        <f>Angela_2025_Chase1117_Activity_!C70</f>
        <v>mango.com USA 866-6664664 NY                 12/20</v>
      </c>
      <c r="C73" s="6" t="str">
        <f>Angela_2025_Chase1117_Activity_!G70</f>
        <v>Personal - Shopping</v>
      </c>
      <c r="D73" s="12">
        <f>Angela_2025_Chase1117_Activity_!D70</f>
        <v>-208.5</v>
      </c>
    </row>
    <row r="74" spans="1:4" x14ac:dyDescent="0.25">
      <c r="A74" s="26">
        <f>Angela_2025_Chase1117_Activity_!B71</f>
        <v>46013</v>
      </c>
      <c r="B74" s="6" t="str">
        <f>Angela_2025_Chase1117_Activity_!C71</f>
        <v>TOFINO PHARMACY TOFINO BC                    12/19 CA DOLLAR  59.34 X 0.7271655 (EXCHG RTE)</v>
      </c>
      <c r="C74" s="6" t="str">
        <f>Angela_2025_Chase1117_Activity_!G71</f>
        <v>Personal Travel - Canada</v>
      </c>
      <c r="D74" s="12">
        <f>Angela_2025_Chase1117_Activity_!D71</f>
        <v>-43.15</v>
      </c>
    </row>
    <row r="75" spans="1:4" x14ac:dyDescent="0.25">
      <c r="A75" s="26">
        <f>Angela_2025_Chase1117_Activity_!B72</f>
        <v>46013</v>
      </c>
      <c r="B75" s="6" t="str">
        <f>Angela_2025_Chase1117_Activity_!C72</f>
        <v>TOFINO CONSUMERS CO-OP TOFINO BC             12/19 CA DOLLAR  691.99 X 0.7271059 (EXCHG RTE)</v>
      </c>
      <c r="C75" s="6" t="str">
        <f>Angela_2025_Chase1117_Activity_!G72</f>
        <v>Personal Travel - Canada</v>
      </c>
      <c r="D75" s="12">
        <f>Angela_2025_Chase1117_Activity_!D72</f>
        <v>-503.15</v>
      </c>
    </row>
    <row r="76" spans="1:4" x14ac:dyDescent="0.25">
      <c r="A76" s="26">
        <f>Angela_2025_Chase1117_Activity_!B73</f>
        <v>46013</v>
      </c>
      <c r="B76" s="6" t="str">
        <f>Angela_2025_Chase1117_Activity_!C73</f>
        <v>TOFINO PHARMACY TOFINO BC                    12/19 CA DOLLAR  547.06 X 0.7271049 (EXCHG RTE)</v>
      </c>
      <c r="C76" s="6" t="str">
        <f>Angela_2025_Chase1117_Activity_!G73</f>
        <v>Personal Travel - Canada</v>
      </c>
      <c r="D76" s="12">
        <f>Angela_2025_Chase1117_Activity_!D73</f>
        <v>-397.77</v>
      </c>
    </row>
    <row r="77" spans="1:4" x14ac:dyDescent="0.25">
      <c r="A77" s="26">
        <f>Angela_2025_Chase1117_Activity_!B74</f>
        <v>46013</v>
      </c>
      <c r="B77" s="6" t="str">
        <f>Angela_2025_Chase1117_Activity_!C74</f>
        <v>Online Transfer from CHK ...1168 transaction#: 27426095666</v>
      </c>
      <c r="C77" s="6" t="str">
        <f>Angela_2025_Chase1117_Activity_!G74</f>
        <v>Transfer from DWG Capital Group</v>
      </c>
      <c r="D77" s="12">
        <f>Angela_2025_Chase1117_Activity_!D74</f>
        <v>5000</v>
      </c>
    </row>
    <row r="78" spans="1:4" x14ac:dyDescent="0.25">
      <c r="A78" s="26">
        <f>Angela_2025_Chase1117_Activity_!B75</f>
        <v>46010</v>
      </c>
      <c r="B78" s="6" t="str">
        <f>Angela_2025_Chase1117_Activity_!C75</f>
        <v>FOREIGN EXCHANGE RATE ADJUSTMENT FEE         12/18BCF - COA</v>
      </c>
      <c r="C78" s="6" t="str">
        <f>Angela_2025_Chase1117_Activity_!G75</f>
        <v>Personal Travel - Canada</v>
      </c>
      <c r="D78" s="12">
        <f>Angela_2025_Chase1117_Activity_!D75</f>
        <v>-1.89</v>
      </c>
    </row>
    <row r="79" spans="1:4" x14ac:dyDescent="0.25">
      <c r="A79" s="26">
        <f>Angela_2025_Chase1117_Activity_!B76</f>
        <v>46010</v>
      </c>
      <c r="B79" s="6" t="str">
        <f>Angela_2025_Chase1117_Activity_!C76</f>
        <v>BCF - COASTAL RENAISSAN VICTORIA BC          12/18 CA DOLLAR  86.99 X 0.7270951 (EXCHG RTE)</v>
      </c>
      <c r="C79" s="6" t="str">
        <f>Angela_2025_Chase1117_Activity_!G76</f>
        <v>Personal Travel - Canada</v>
      </c>
      <c r="D79" s="12">
        <f>Angela_2025_Chase1117_Activity_!D76</f>
        <v>-63.25</v>
      </c>
    </row>
    <row r="80" spans="1:4" x14ac:dyDescent="0.25">
      <c r="A80" s="26">
        <f>Angela_2025_Chase1117_Activity_!B77</f>
        <v>46010</v>
      </c>
      <c r="B80" s="6" t="str">
        <f>Angela_2025_Chase1117_Activity_!C77</f>
        <v>THE EPOCH TIMES 833-699-1888 NY              12/18</v>
      </c>
      <c r="C80" s="6" t="str">
        <f>Angela_2025_Chase1117_Activity_!G77</f>
        <v>Personal - Subscription</v>
      </c>
      <c r="D80" s="12">
        <f>Angela_2025_Chase1117_Activity_!D77</f>
        <v>-99</v>
      </c>
    </row>
    <row r="81" spans="1:4" x14ac:dyDescent="0.25">
      <c r="A81" s="26">
        <f>Angela_2025_Chase1117_Activity_!B78</f>
        <v>46010</v>
      </c>
      <c r="B81" s="6" t="str">
        <f>Angela_2025_Chase1117_Activity_!C78</f>
        <v>UNITED      01643545314 HOUSTON TX           12/18</v>
      </c>
      <c r="C81" s="6" t="str">
        <f>Angela_2025_Chase1117_Activity_!G78</f>
        <v>Personal Travel</v>
      </c>
      <c r="D81" s="12">
        <f>Angela_2025_Chase1117_Activity_!D78</f>
        <v>-100</v>
      </c>
    </row>
    <row r="82" spans="1:4" x14ac:dyDescent="0.25">
      <c r="A82" s="26">
        <f>Angela_2025_Chase1117_Activity_!B79</f>
        <v>46010</v>
      </c>
      <c r="B82" s="6" t="str">
        <f>Angela_2025_Chase1117_Activity_!C79</f>
        <v>UNITED      01643545278 HOUSTON TX           12/18</v>
      </c>
      <c r="C82" s="6" t="str">
        <f>Angela_2025_Chase1117_Activity_!G79</f>
        <v>Personal Travel</v>
      </c>
      <c r="D82" s="12">
        <f>Angela_2025_Chase1117_Activity_!D79</f>
        <v>-50</v>
      </c>
    </row>
    <row r="83" spans="1:4" x14ac:dyDescent="0.25">
      <c r="A83" s="26">
        <f>Angela_2025_Chase1117_Activity_!B80</f>
        <v>46010</v>
      </c>
      <c r="B83" s="6" t="str">
        <f>Angela_2025_Chase1117_Activity_!C80</f>
        <v>Online Transfer from CHK ...1168 transaction#: 27395193487</v>
      </c>
      <c r="C83" s="6" t="str">
        <f>Angela_2025_Chase1117_Activity_!G80</f>
        <v>Transfer from DWG Capital Group</v>
      </c>
      <c r="D83" s="12">
        <f>Angela_2025_Chase1117_Activity_!D80</f>
        <v>3000</v>
      </c>
    </row>
    <row r="84" spans="1:4" x14ac:dyDescent="0.25">
      <c r="A84" s="26">
        <f>Angela_2025_Chase1117_Activity_!B81</f>
        <v>46009</v>
      </c>
      <c r="B84" s="6" t="str">
        <f>Angela_2025_Chase1117_Activity_!C81</f>
        <v>FOREIGN EXCHANGE RATE ADJUSTMENT FEE 746107  12/18TSAWWASSE</v>
      </c>
      <c r="C84" s="6" t="str">
        <f>Angela_2025_Chase1117_Activity_!G81</f>
        <v>Personal Travel - Canada</v>
      </c>
      <c r="D84" s="12">
        <f>Angela_2025_Chase1117_Activity_!D81</f>
        <v>-4.55</v>
      </c>
    </row>
    <row r="85" spans="1:4" x14ac:dyDescent="0.25">
      <c r="A85" s="26">
        <f>Angela_2025_Chase1117_Activity_!B82</f>
        <v>46009</v>
      </c>
      <c r="B85" s="6" t="str">
        <f>Angela_2025_Chase1117_Activity_!C82</f>
        <v>NON-CHASE ATM FEE-WITH</v>
      </c>
      <c r="C85" s="6" t="str">
        <f>Angela_2025_Chase1117_Activity_!G82</f>
        <v>Bank Fees</v>
      </c>
      <c r="D85" s="12">
        <f>Angela_2025_Chase1117_Activity_!D82</f>
        <v>-5</v>
      </c>
    </row>
    <row r="86" spans="1:4" x14ac:dyDescent="0.25">
      <c r="A86" s="26">
        <f>Angela_2025_Chase1117_Activity_!B83</f>
        <v>46009</v>
      </c>
      <c r="B86" s="6" t="str">
        <f>Angela_2025_Chase1117_Activity_!C83</f>
        <v>NON-CHASE ATM WITHDRAW               746107  12/18TSAWWASSE CA DOLLAR  200.00 X 0.7273730 (EXCHG RTE)</v>
      </c>
      <c r="C86" s="6" t="str">
        <f>Angela_2025_Chase1117_Activity_!G83</f>
        <v>Personal Travel - Canada</v>
      </c>
      <c r="D86" s="12">
        <f>Angela_2025_Chase1117_Activity_!D83</f>
        <v>-151.65</v>
      </c>
    </row>
    <row r="87" spans="1:4" x14ac:dyDescent="0.25">
      <c r="A87" s="26">
        <f>Angela_2025_Chase1117_Activity_!B84</f>
        <v>46009</v>
      </c>
      <c r="B87" s="6" t="str">
        <f>Angela_2025_Chase1117_Activity_!C84</f>
        <v>UBER   * PENDING SAN FRANCISCO CA    018517  12/18</v>
      </c>
      <c r="C87" s="6" t="str">
        <f>Angela_2025_Chase1117_Activity_!G84</f>
        <v>Personal - Uber</v>
      </c>
      <c r="D87" s="12">
        <f>Angela_2025_Chase1117_Activity_!D84</f>
        <v>-62.83</v>
      </c>
    </row>
    <row r="88" spans="1:4" x14ac:dyDescent="0.25">
      <c r="A88" s="26">
        <f>Angela_2025_Chase1117_Activity_!B85</f>
        <v>46009</v>
      </c>
      <c r="B88" s="6" t="str">
        <f>Angela_2025_Chase1117_Activity_!C85</f>
        <v>UBER   * EATS PENDIN SAN FRANCISCO CA134152  12/18</v>
      </c>
      <c r="C88" s="6" t="str">
        <f>Angela_2025_Chase1117_Activity_!G85</f>
        <v>Uber Eats</v>
      </c>
      <c r="D88" s="12">
        <f>Angela_2025_Chase1117_Activity_!D85</f>
        <v>-35.39</v>
      </c>
    </row>
    <row r="89" spans="1:4" x14ac:dyDescent="0.25">
      <c r="A89" s="26">
        <f>Angela_2025_Chase1117_Activity_!B86</f>
        <v>46009</v>
      </c>
      <c r="B89" s="6" t="str">
        <f>Angela_2025_Chase1117_Activity_!C86</f>
        <v>LEELA QUANTUM TECH LEELAQ.COM NM             12/17</v>
      </c>
      <c r="C89" s="6" t="str">
        <f>Angela_2025_Chase1117_Activity_!G86</f>
        <v>Personal - Subscription</v>
      </c>
      <c r="D89" s="12">
        <f>Angela_2025_Chase1117_Activity_!D86</f>
        <v>-30</v>
      </c>
    </row>
    <row r="90" spans="1:4" x14ac:dyDescent="0.25">
      <c r="A90" s="26">
        <f>Angela_2025_Chase1117_Activity_!B87</f>
        <v>46009</v>
      </c>
      <c r="B90" s="6" t="str">
        <f>Angela_2025_Chase1117_Activity_!C87</f>
        <v>RADIOLOGY PARTNERS HOU 888-2556812 TX        12/17</v>
      </c>
      <c r="C90" s="6" t="str">
        <f>Angela_2025_Chase1117_Activity_!G87</f>
        <v>Personal - Health</v>
      </c>
      <c r="D90" s="12">
        <f>Angela_2025_Chase1117_Activity_!D87</f>
        <v>-1028</v>
      </c>
    </row>
    <row r="91" spans="1:4" x14ac:dyDescent="0.25">
      <c r="A91" s="26">
        <f>Angela_2025_Chase1117_Activity_!B88</f>
        <v>46009</v>
      </c>
      <c r="B91" s="6" t="str">
        <f>Angela_2025_Chase1117_Activity_!C88</f>
        <v>UNITED      01643543320 UNITED.COM TX        12/17</v>
      </c>
      <c r="C91" s="6" t="str">
        <f>Angela_2025_Chase1117_Activity_!G88</f>
        <v>Personal Travel</v>
      </c>
      <c r="D91" s="12">
        <f>Angela_2025_Chase1117_Activity_!D88</f>
        <v>-40</v>
      </c>
    </row>
    <row r="92" spans="1:4" x14ac:dyDescent="0.25">
      <c r="A92" s="26">
        <f>Angela_2025_Chase1117_Activity_!B89</f>
        <v>46009</v>
      </c>
      <c r="B92" s="6" t="str">
        <f>Angela_2025_Chase1117_Activity_!C89</f>
        <v>UNITED      01643543320 UNITED.COM TX        12/17</v>
      </c>
      <c r="C92" s="6" t="str">
        <f>Angela_2025_Chase1117_Activity_!G89</f>
        <v>Personal Travel</v>
      </c>
      <c r="D92" s="12">
        <f>Angela_2025_Chase1117_Activity_!D89</f>
        <v>-40</v>
      </c>
    </row>
    <row r="93" spans="1:4" x14ac:dyDescent="0.25">
      <c r="A93" s="26">
        <f>Angela_2025_Chase1117_Activity_!B90</f>
        <v>46009</v>
      </c>
      <c r="B93" s="6" t="str">
        <f>Angela_2025_Chase1117_Activity_!C90</f>
        <v>UNITED      01643543320 UNITED.COM TX        12/17</v>
      </c>
      <c r="C93" s="6" t="str">
        <f>Angela_2025_Chase1117_Activity_!G90</f>
        <v>Personal Travel</v>
      </c>
      <c r="D93" s="12">
        <f>Angela_2025_Chase1117_Activity_!D90</f>
        <v>-40</v>
      </c>
    </row>
    <row r="94" spans="1:4" x14ac:dyDescent="0.25">
      <c r="A94" s="26">
        <f>Angela_2025_Chase1117_Activity_!B91</f>
        <v>46009</v>
      </c>
      <c r="B94" s="6" t="str">
        <f>Angela_2025_Chase1117_Activity_!C91</f>
        <v>UNITED      01643543320 UNITED.COM TX        12/17</v>
      </c>
      <c r="C94" s="6" t="str">
        <f>Angela_2025_Chase1117_Activity_!G91</f>
        <v>Personal Travel</v>
      </c>
      <c r="D94" s="12">
        <f>Angela_2025_Chase1117_Activity_!D91</f>
        <v>-40</v>
      </c>
    </row>
    <row r="95" spans="1:4" x14ac:dyDescent="0.25">
      <c r="A95" s="26">
        <f>Angela_2025_Chase1117_Activity_!B92</f>
        <v>46009</v>
      </c>
      <c r="B95" s="6" t="str">
        <f>Angela_2025_Chase1117_Activity_!C92</f>
        <v>UNITED      01643543320 UNITED.COM TX        12/17</v>
      </c>
      <c r="C95" s="6" t="str">
        <f>Angela_2025_Chase1117_Activity_!G92</f>
        <v>Personal Travel</v>
      </c>
      <c r="D95" s="12">
        <f>Angela_2025_Chase1117_Activity_!D92</f>
        <v>-50</v>
      </c>
    </row>
    <row r="96" spans="1:4" x14ac:dyDescent="0.25">
      <c r="A96" s="26">
        <f>Angela_2025_Chase1117_Activity_!B93</f>
        <v>46008</v>
      </c>
      <c r="B96" s="6" t="str">
        <f>Angela_2025_Chase1117_Activity_!C93</f>
        <v>TST*BLUEYS KITCHEN MAR Los Angeles CA        12/16</v>
      </c>
      <c r="C96" s="6" t="str">
        <f>Angela_2025_Chase1117_Activity_!G93</f>
        <v>Personal - Food</v>
      </c>
      <c r="D96" s="12">
        <f>Angela_2025_Chase1117_Activity_!D93</f>
        <v>-80.540000000000006</v>
      </c>
    </row>
    <row r="97" spans="1:4" x14ac:dyDescent="0.25">
      <c r="A97" s="26">
        <f>Angela_2025_Chase1117_Activity_!B94</f>
        <v>46008</v>
      </c>
      <c r="B97" s="6" t="str">
        <f>Angela_2025_Chase1117_Activity_!C94</f>
        <v>CARBON HEALTH 141-52002133 CA                12/16</v>
      </c>
      <c r="C97" s="6" t="str">
        <f>Angela_2025_Chase1117_Activity_!G94</f>
        <v>Personal - Health</v>
      </c>
      <c r="D97" s="12">
        <f>Angela_2025_Chase1117_Activity_!D94</f>
        <v>-60</v>
      </c>
    </row>
    <row r="98" spans="1:4" x14ac:dyDescent="0.25">
      <c r="A98" s="26">
        <f>Angela_2025_Chase1117_Activity_!B95</f>
        <v>46008</v>
      </c>
      <c r="B98" s="6" t="str">
        <f>Angela_2025_Chase1117_Activity_!C95</f>
        <v>PEETS 13403 MARINA DEL RE CA                 12/16</v>
      </c>
      <c r="C98" s="6" t="str">
        <f>Angela_2025_Chase1117_Activity_!G95</f>
        <v>Personal - Food</v>
      </c>
      <c r="D98" s="12">
        <f>Angela_2025_Chase1117_Activity_!D95</f>
        <v>-13.8</v>
      </c>
    </row>
    <row r="99" spans="1:4" x14ac:dyDescent="0.25">
      <c r="A99" s="26">
        <f>Angela_2025_Chase1117_Activity_!B96</f>
        <v>46008</v>
      </c>
      <c r="B99" s="6" t="str">
        <f>Angela_2025_Chase1117_Activity_!C96</f>
        <v>Amazon.com*351VN9UK3 Amzn.com/bill WA        12/16</v>
      </c>
      <c r="C99" s="6" t="str">
        <f>Angela_2025_Chase1117_Activity_!G96</f>
        <v>Amazon</v>
      </c>
      <c r="D99" s="12">
        <f>Angela_2025_Chase1117_Activity_!D96</f>
        <v>-21.94</v>
      </c>
    </row>
    <row r="100" spans="1:4" x14ac:dyDescent="0.25">
      <c r="A100" s="26">
        <f>Angela_2025_Chase1117_Activity_!B97</f>
        <v>46008</v>
      </c>
      <c r="B100" s="6" t="str">
        <f>Angela_2025_Chase1117_Activity_!C97</f>
        <v>Amazon.com*5Z4WP2PJ3 Amzn.com/bill WA        12/16</v>
      </c>
      <c r="C100" s="6" t="str">
        <f>Angela_2025_Chase1117_Activity_!G97</f>
        <v>Amazon</v>
      </c>
      <c r="D100" s="12">
        <f>Angela_2025_Chase1117_Activity_!D97</f>
        <v>-102.76</v>
      </c>
    </row>
    <row r="101" spans="1:4" x14ac:dyDescent="0.25">
      <c r="A101" s="26">
        <f>Angela_2025_Chase1117_Activity_!B98</f>
        <v>46007</v>
      </c>
      <c r="B101" s="6" t="str">
        <f>Angela_2025_Chase1117_Activity_!C98</f>
        <v>WITHDRAWAL 12/16</v>
      </c>
      <c r="C101" s="6" t="str">
        <f>Angela_2025_Chase1117_Activity_!G98</f>
        <v>Withdrawal</v>
      </c>
      <c r="D101" s="12">
        <f>Angela_2025_Chase1117_Activity_!D98</f>
        <v>-500</v>
      </c>
    </row>
    <row r="102" spans="1:4" x14ac:dyDescent="0.25">
      <c r="A102" s="26">
        <f>Angela_2025_Chase1117_Activity_!B99</f>
        <v>46007</v>
      </c>
      <c r="B102" s="6" t="str">
        <f>Angela_2025_Chase1117_Activity_!C99</f>
        <v>CVS/PHARMACY #09493 MAR VISTA CA     065004  12/16</v>
      </c>
      <c r="C102" s="6" t="str">
        <f>Angela_2025_Chase1117_Activity_!G99</f>
        <v>Personal - Health</v>
      </c>
      <c r="D102" s="12">
        <f>Angela_2025_Chase1117_Activity_!D99</f>
        <v>-0.86</v>
      </c>
    </row>
    <row r="103" spans="1:4" x14ac:dyDescent="0.25">
      <c r="A103" s="26">
        <f>Angela_2025_Chase1117_Activity_!B100</f>
        <v>46007</v>
      </c>
      <c r="B103" s="6" t="str">
        <f>Angela_2025_Chase1117_Activity_!C100</f>
        <v>CVS/PHARMACY #09493 MAR VISTA CA     051318  12/16</v>
      </c>
      <c r="C103" s="6" t="str">
        <f>Angela_2025_Chase1117_Activity_!G100</f>
        <v>Personal - Health</v>
      </c>
      <c r="D103" s="12">
        <f>Angela_2025_Chase1117_Activity_!D100</f>
        <v>-139.02000000000001</v>
      </c>
    </row>
    <row r="104" spans="1:4" x14ac:dyDescent="0.25">
      <c r="A104" s="26">
        <f>Angela_2025_Chase1117_Activity_!B101</f>
        <v>46007</v>
      </c>
      <c r="B104" s="6" t="str">
        <f>Angela_2025_Chase1117_Activity_!C101</f>
        <v>AMAZON MKTPL*UB7860X Amzn.com/bill WA        12/16</v>
      </c>
      <c r="C104" s="6" t="str">
        <f>Angela_2025_Chase1117_Activity_!G101</f>
        <v>Amazon</v>
      </c>
      <c r="D104" s="12">
        <f>Angela_2025_Chase1117_Activity_!D101</f>
        <v>-27.28</v>
      </c>
    </row>
    <row r="105" spans="1:4" x14ac:dyDescent="0.25">
      <c r="A105" s="26">
        <f>Angela_2025_Chase1117_Activity_!B102</f>
        <v>46007</v>
      </c>
      <c r="B105" s="6" t="str">
        <f>Angela_2025_Chase1117_Activity_!C102</f>
        <v>AMAZON MKTPL*N51JM2E Amzn.com/bill WA        12/16</v>
      </c>
      <c r="C105" s="6" t="str">
        <f>Angela_2025_Chase1117_Activity_!G102</f>
        <v>Amazon</v>
      </c>
      <c r="D105" s="12">
        <f>Angela_2025_Chase1117_Activity_!D102</f>
        <v>-36.869999999999997</v>
      </c>
    </row>
    <row r="106" spans="1:4" x14ac:dyDescent="0.25">
      <c r="A106" s="26">
        <f>Angela_2025_Chase1117_Activity_!B103</f>
        <v>46007</v>
      </c>
      <c r="B106" s="6" t="str">
        <f>Angela_2025_Chase1117_Activity_!C103</f>
        <v>AMAZON MKTPL*Z50RX3V Amzn.com/bill WA        12/16</v>
      </c>
      <c r="C106" s="6" t="str">
        <f>Angela_2025_Chase1117_Activity_!G103</f>
        <v>Amazon</v>
      </c>
      <c r="D106" s="12">
        <f>Angela_2025_Chase1117_Activity_!D103</f>
        <v>-29.62</v>
      </c>
    </row>
    <row r="107" spans="1:4" x14ac:dyDescent="0.25">
      <c r="A107" s="26">
        <f>Angela_2025_Chase1117_Activity_!B104</f>
        <v>46006</v>
      </c>
      <c r="B107" s="6" t="str">
        <f>Angela_2025_Chase1117_Activity_!C104</f>
        <v>Prime Video Channels amzn.com/bill WA        12/14</v>
      </c>
      <c r="C107" s="6" t="str">
        <f>Angela_2025_Chase1117_Activity_!G104</f>
        <v>Amazon</v>
      </c>
      <c r="D107" s="12">
        <f>Angela_2025_Chase1117_Activity_!D104</f>
        <v>-18.489999999999998</v>
      </c>
    </row>
    <row r="108" spans="1:4" x14ac:dyDescent="0.25">
      <c r="A108" s="26">
        <f>Angela_2025_Chase1117_Activity_!B105</f>
        <v>46006</v>
      </c>
      <c r="B108" s="6" t="str">
        <f>Angela_2025_Chase1117_Activity_!C105</f>
        <v>Amazon Tips*JD33U72V Amzn.com/bill WA        12/14</v>
      </c>
      <c r="C108" s="6" t="str">
        <f>Angela_2025_Chase1117_Activity_!G105</f>
        <v>Amazon</v>
      </c>
      <c r="D108" s="12">
        <f>Angela_2025_Chase1117_Activity_!D105</f>
        <v>-20</v>
      </c>
    </row>
    <row r="109" spans="1:4" x14ac:dyDescent="0.25">
      <c r="A109" s="26">
        <f>Angela_2025_Chase1117_Activity_!B106</f>
        <v>46006</v>
      </c>
      <c r="B109" s="6" t="str">
        <f>Angela_2025_Chase1117_Activity_!C106</f>
        <v>AMAZON PRIME*2918H9X Amzn.com/bill WA        12/14</v>
      </c>
      <c r="C109" s="6" t="str">
        <f>Angela_2025_Chase1117_Activity_!G106</f>
        <v>Amazon</v>
      </c>
      <c r="D109" s="12">
        <f>Angela_2025_Chase1117_Activity_!D106</f>
        <v>-16.45</v>
      </c>
    </row>
    <row r="110" spans="1:4" x14ac:dyDescent="0.25">
      <c r="A110" s="26">
        <f>Angela_2025_Chase1117_Activity_!B107</f>
        <v>46006</v>
      </c>
      <c r="B110" s="6" t="str">
        <f>Angela_2025_Chase1117_Activity_!C107</f>
        <v>APPLE.COM/BILL 866-712-7753 CA               12/14</v>
      </c>
      <c r="C110" s="6" t="str">
        <f>Angela_2025_Chase1117_Activity_!G107</f>
        <v>Apple</v>
      </c>
      <c r="D110" s="12">
        <f>Angela_2025_Chase1117_Activity_!D107</f>
        <v>-59.99</v>
      </c>
    </row>
    <row r="111" spans="1:4" x14ac:dyDescent="0.25">
      <c r="A111" s="26">
        <f>Angela_2025_Chase1117_Activity_!B108</f>
        <v>46006</v>
      </c>
      <c r="B111" s="6" t="str">
        <f>Angela_2025_Chase1117_Activity_!C108</f>
        <v>DBZ MARKETPLACE US INC NEW CASTLE DE 028219  12/14</v>
      </c>
      <c r="C111" s="6" t="str">
        <f>Angela_2025_Chase1117_Activity_!G108</f>
        <v>Personal - Clothing</v>
      </c>
      <c r="D111" s="12">
        <f>Angela_2025_Chase1117_Activity_!D108</f>
        <v>-98.77</v>
      </c>
    </row>
    <row r="112" spans="1:4" x14ac:dyDescent="0.25">
      <c r="A112" s="26">
        <f>Angela_2025_Chase1117_Activity_!B109</f>
        <v>46006</v>
      </c>
      <c r="B112" s="6" t="str">
        <f>Angela_2025_Chase1117_Activity_!C109</f>
        <v>AMAZON MKTPL*PR11S9U Amzn.com/bill WA        12/14</v>
      </c>
      <c r="C112" s="6" t="str">
        <f>Angela_2025_Chase1117_Activity_!G109</f>
        <v>Amazon</v>
      </c>
      <c r="D112" s="12">
        <f>Angela_2025_Chase1117_Activity_!D109</f>
        <v>-9.57</v>
      </c>
    </row>
    <row r="113" spans="1:4" x14ac:dyDescent="0.25">
      <c r="A113" s="26">
        <f>Angela_2025_Chase1117_Activity_!B110</f>
        <v>46006</v>
      </c>
      <c r="B113" s="6" t="str">
        <f>Angela_2025_Chase1117_Activity_!C110</f>
        <v>UBER   * EATS PENDIN SAN FRANCISCO CA138069  12/13</v>
      </c>
      <c r="C113" s="6" t="str">
        <f>Angela_2025_Chase1117_Activity_!G110</f>
        <v>Uber Eats</v>
      </c>
      <c r="D113" s="12">
        <f>Angela_2025_Chase1117_Activity_!D110</f>
        <v>-46.28</v>
      </c>
    </row>
    <row r="114" spans="1:4" x14ac:dyDescent="0.25">
      <c r="A114" s="26">
        <f>Angela_2025_Chase1117_Activity_!B111</f>
        <v>46006</v>
      </c>
      <c r="B114" s="6" t="str">
        <f>Angela_2025_Chase1117_Activity_!C111</f>
        <v>UBER   * EATS PENDIN SAN FRANCISCO CA026332  12/13</v>
      </c>
      <c r="C114" s="6" t="str">
        <f>Angela_2025_Chase1117_Activity_!G111</f>
        <v>Uber Eats</v>
      </c>
      <c r="D114" s="12">
        <f>Angela_2025_Chase1117_Activity_!D111</f>
        <v>-18.96</v>
      </c>
    </row>
    <row r="115" spans="1:4" x14ac:dyDescent="0.25">
      <c r="A115" s="26">
        <f>Angela_2025_Chase1117_Activity_!B112</f>
        <v>46006</v>
      </c>
      <c r="B115" s="6" t="str">
        <f>Angela_2025_Chase1117_Activity_!C112</f>
        <v>AMAZON MKTPL*KX1JI1Y Amzn.com/bill WA        12/14</v>
      </c>
      <c r="C115" s="6" t="str">
        <f>Angela_2025_Chase1117_Activity_!G112</f>
        <v>Amazon</v>
      </c>
      <c r="D115" s="12">
        <f>Angela_2025_Chase1117_Activity_!D112</f>
        <v>-17.55</v>
      </c>
    </row>
    <row r="116" spans="1:4" x14ac:dyDescent="0.25">
      <c r="A116" s="26">
        <f>Angela_2025_Chase1117_Activity_!B113</f>
        <v>46006</v>
      </c>
      <c r="B116" s="6" t="str">
        <f>Angela_2025_Chase1117_Activity_!C113</f>
        <v>Amazon.com*PX5E60S43 Amzn.com/bill WA        12/13</v>
      </c>
      <c r="C116" s="6" t="str">
        <f>Angela_2025_Chase1117_Activity_!G113</f>
        <v>Amazon</v>
      </c>
      <c r="D116" s="12">
        <f>Angela_2025_Chase1117_Activity_!D113</f>
        <v>-91.22</v>
      </c>
    </row>
    <row r="117" spans="1:4" x14ac:dyDescent="0.25">
      <c r="A117" s="26">
        <f>Angela_2025_Chase1117_Activity_!B114</f>
        <v>46006</v>
      </c>
      <c r="B117" s="6" t="str">
        <f>Angela_2025_Chase1117_Activity_!C114</f>
        <v>AMERICAN AIR00183186836 FORT WORTH TX        12/13</v>
      </c>
      <c r="C117" s="6" t="str">
        <f>Angela_2025_Chase1117_Activity_!G114</f>
        <v>Personal Travel</v>
      </c>
      <c r="D117" s="12">
        <f>Angela_2025_Chase1117_Activity_!D114</f>
        <v>-17.46</v>
      </c>
    </row>
    <row r="118" spans="1:4" x14ac:dyDescent="0.25">
      <c r="A118" s="26">
        <f>Angela_2025_Chase1117_Activity_!B115</f>
        <v>46006</v>
      </c>
      <c r="B118" s="6" t="str">
        <f>Angela_2025_Chase1117_Activity_!C115</f>
        <v>AMERICAN AIR00183186836 FORT WORTH TX        12/13</v>
      </c>
      <c r="C118" s="6" t="str">
        <f>Angela_2025_Chase1117_Activity_!G115</f>
        <v>Personal Travel</v>
      </c>
      <c r="D118" s="12">
        <f>Angela_2025_Chase1117_Activity_!D115</f>
        <v>-20.95</v>
      </c>
    </row>
    <row r="119" spans="1:4" x14ac:dyDescent="0.25">
      <c r="A119" s="26">
        <f>Angela_2025_Chase1117_Activity_!B116</f>
        <v>46006</v>
      </c>
      <c r="B119" s="6" t="str">
        <f>Angela_2025_Chase1117_Activity_!C116</f>
        <v>AMERICAN AIR00183186836 FORT WORTH TX        12/13</v>
      </c>
      <c r="C119" s="6" t="str">
        <f>Angela_2025_Chase1117_Activity_!G116</f>
        <v>Personal Travel</v>
      </c>
      <c r="D119" s="12">
        <f>Angela_2025_Chase1117_Activity_!D116</f>
        <v>-20.95</v>
      </c>
    </row>
    <row r="120" spans="1:4" x14ac:dyDescent="0.25">
      <c r="A120" s="26">
        <f>Angela_2025_Chase1117_Activity_!B117</f>
        <v>46006</v>
      </c>
      <c r="B120" s="6" t="str">
        <f>Angela_2025_Chase1117_Activity_!C117</f>
        <v>AMERICAN AIR00173237226 FORT WORTH TX        12/12</v>
      </c>
      <c r="C120" s="6" t="str">
        <f>Angela_2025_Chase1117_Activity_!G117</f>
        <v>Personal Travel</v>
      </c>
      <c r="D120" s="12">
        <f>Angela_2025_Chase1117_Activity_!D117</f>
        <v>-305.49</v>
      </c>
    </row>
    <row r="121" spans="1:4" x14ac:dyDescent="0.25">
      <c r="A121" s="26">
        <f>Angela_2025_Chase1117_Activity_!B118</f>
        <v>46006</v>
      </c>
      <c r="B121" s="6" t="str">
        <f>Angela_2025_Chase1117_Activity_!C118</f>
        <v>AMERICAN AIR00173237226 FORT WORTH TX        12/12</v>
      </c>
      <c r="C121" s="6" t="str">
        <f>Angela_2025_Chase1117_Activity_!G118</f>
        <v>Personal Travel</v>
      </c>
      <c r="D121" s="12">
        <f>Angela_2025_Chase1117_Activity_!D118</f>
        <v>-305.49</v>
      </c>
    </row>
    <row r="122" spans="1:4" x14ac:dyDescent="0.25">
      <c r="A122" s="26">
        <f>Angela_2025_Chase1117_Activity_!B119</f>
        <v>46006</v>
      </c>
      <c r="B122" s="6" t="str">
        <f>Angela_2025_Chase1117_Activity_!C119</f>
        <v>AMERICAN AIR00173237226 FORT WORTH TX        12/12</v>
      </c>
      <c r="C122" s="6" t="str">
        <f>Angela_2025_Chase1117_Activity_!G119</f>
        <v>Personal Travel</v>
      </c>
      <c r="D122" s="12">
        <f>Angela_2025_Chase1117_Activity_!D119</f>
        <v>-305.49</v>
      </c>
    </row>
    <row r="123" spans="1:4" x14ac:dyDescent="0.25">
      <c r="A123" s="26">
        <f>Angela_2025_Chase1117_Activity_!B120</f>
        <v>46006</v>
      </c>
      <c r="B123" s="6" t="str">
        <f>Angela_2025_Chase1117_Activity_!C120</f>
        <v>BANDCAMPYOUNGANDCOLDRE BANDCAMPCOM CA        12/14</v>
      </c>
      <c r="C123" s="6" t="str">
        <f>Angela_2025_Chase1117_Activity_!G120</f>
        <v>Personal - Entertainment</v>
      </c>
      <c r="D123" s="12">
        <f>Angela_2025_Chase1117_Activity_!D120</f>
        <v>-153.94999999999999</v>
      </c>
    </row>
    <row r="124" spans="1:4" x14ac:dyDescent="0.25">
      <c r="A124" s="26">
        <f>Angela_2025_Chase1117_Activity_!B121</f>
        <v>46006</v>
      </c>
      <c r="B124" s="6" t="str">
        <f>Angela_2025_Chase1117_Activity_!C121</f>
        <v>AMAZON MKTPL*073KD3H Amzn.com/bill WA        12/13</v>
      </c>
      <c r="C124" s="6" t="str">
        <f>Angela_2025_Chase1117_Activity_!G121</f>
        <v>Amazon</v>
      </c>
      <c r="D124" s="12">
        <f>Angela_2025_Chase1117_Activity_!D121</f>
        <v>-32.869999999999997</v>
      </c>
    </row>
    <row r="125" spans="1:4" x14ac:dyDescent="0.25">
      <c r="A125" s="26">
        <f>Angela_2025_Chase1117_Activity_!B122</f>
        <v>46006</v>
      </c>
      <c r="B125" s="6" t="str">
        <f>Angela_2025_Chase1117_Activity_!C122</f>
        <v>AMAZON MKTPL*G65WY60 Amzn.com/bill WA        12/13</v>
      </c>
      <c r="C125" s="6" t="str">
        <f>Angela_2025_Chase1117_Activity_!G122</f>
        <v>Amazon</v>
      </c>
      <c r="D125" s="12">
        <f>Angela_2025_Chase1117_Activity_!D122</f>
        <v>-52.39</v>
      </c>
    </row>
    <row r="126" spans="1:4" x14ac:dyDescent="0.25">
      <c r="A126" s="26">
        <f>Angela_2025_Chase1117_Activity_!B123</f>
        <v>46006</v>
      </c>
      <c r="B126" s="6" t="str">
        <f>Angela_2025_Chase1117_Activity_!C123</f>
        <v>LADOT METER PARKING LOS ANGELES CA           12/12</v>
      </c>
      <c r="C126" s="6" t="str">
        <f>Angela_2025_Chase1117_Activity_!G123</f>
        <v>Personal - Car</v>
      </c>
      <c r="D126" s="12">
        <f>Angela_2025_Chase1117_Activity_!D123</f>
        <v>-2</v>
      </c>
    </row>
    <row r="127" spans="1:4" x14ac:dyDescent="0.25">
      <c r="A127" s="26">
        <f>Angela_2025_Chase1117_Activity_!B124</f>
        <v>46006</v>
      </c>
      <c r="B127" s="6" t="str">
        <f>Angela_2025_Chase1117_Activity_!C124</f>
        <v>SQ *THE ANTI AGING CENT Torrance CA          12/12</v>
      </c>
      <c r="C127" s="6" t="str">
        <f>Angela_2025_Chase1117_Activity_!G124</f>
        <v>Personal - Health</v>
      </c>
      <c r="D127" s="12">
        <f>Angela_2025_Chase1117_Activity_!D124</f>
        <v>-453</v>
      </c>
    </row>
    <row r="128" spans="1:4" x14ac:dyDescent="0.25">
      <c r="A128" s="26">
        <f>Angela_2025_Chase1117_Activity_!B125</f>
        <v>46006</v>
      </c>
      <c r="B128" s="6" t="str">
        <f>Angela_2025_Chase1117_Activity_!C125</f>
        <v>AMAZON MKTPL*Y65BE7T Amzn.com/bill WA        12/12</v>
      </c>
      <c r="C128" s="6" t="str">
        <f>Angela_2025_Chase1117_Activity_!G125</f>
        <v>Amazon</v>
      </c>
      <c r="D128" s="12">
        <f>Angela_2025_Chase1117_Activity_!D125</f>
        <v>-103.06</v>
      </c>
    </row>
    <row r="129" spans="1:4" x14ac:dyDescent="0.25">
      <c r="A129" s="26">
        <f>Angela_2025_Chase1117_Activity_!B126</f>
        <v>46006</v>
      </c>
      <c r="B129" s="6" t="str">
        <f>Angela_2025_Chase1117_Activity_!C126</f>
        <v>Amazon.com*SF9M83YD3 Amzn.com/bill WA        12/12</v>
      </c>
      <c r="C129" s="6" t="str">
        <f>Angela_2025_Chase1117_Activity_!G126</f>
        <v>Amazon</v>
      </c>
      <c r="D129" s="12">
        <f>Angela_2025_Chase1117_Activity_!D126</f>
        <v>-12.03</v>
      </c>
    </row>
    <row r="130" spans="1:4" x14ac:dyDescent="0.25">
      <c r="A130" s="26">
        <f>Angela_2025_Chase1117_Activity_!B127</f>
        <v>46006</v>
      </c>
      <c r="B130" s="6" t="str">
        <f>Angela_2025_Chase1117_Activity_!C127</f>
        <v>Zara.com 212-3551415 NY                      12/12</v>
      </c>
      <c r="C130" s="6" t="str">
        <f>Angela_2025_Chase1117_Activity_!G127</f>
        <v>Personal - Shopping</v>
      </c>
      <c r="D130" s="12">
        <f>Angela_2025_Chase1117_Activity_!D127</f>
        <v>-136.04</v>
      </c>
    </row>
    <row r="131" spans="1:4" x14ac:dyDescent="0.25">
      <c r="A131" s="26">
        <f>Angela_2025_Chase1117_Activity_!B128</f>
        <v>46003</v>
      </c>
      <c r="B131" s="6" t="str">
        <f>Angela_2025_Chase1117_Activity_!C128</f>
        <v>UBER   * EATS PENDIN SAN FRANCISCO CA086880  12/12</v>
      </c>
      <c r="C131" s="6" t="str">
        <f>Angela_2025_Chase1117_Activity_!G128</f>
        <v>Uber Eats</v>
      </c>
      <c r="D131" s="12">
        <f>Angela_2025_Chase1117_Activity_!D128</f>
        <v>-18.96</v>
      </c>
    </row>
    <row r="132" spans="1:4" x14ac:dyDescent="0.25">
      <c r="A132" s="26">
        <f>Angela_2025_Chase1117_Activity_!B129</f>
        <v>46003</v>
      </c>
      <c r="B132" s="6" t="str">
        <f>Angela_2025_Chase1117_Activity_!C129</f>
        <v>LADOT PARKING CITATION LOS ANGELES CA352038  12/12</v>
      </c>
      <c r="C132" s="6" t="str">
        <f>Angela_2025_Chase1117_Activity_!G129</f>
        <v>Personal - Car</v>
      </c>
      <c r="D132" s="12">
        <f>Angela_2025_Chase1117_Activity_!D129</f>
        <v>-57</v>
      </c>
    </row>
    <row r="133" spans="1:4" x14ac:dyDescent="0.25">
      <c r="A133" s="26">
        <f>Angela_2025_Chase1117_Activity_!B130</f>
        <v>46003</v>
      </c>
      <c r="B133" s="6" t="str">
        <f>Angela_2025_Chase1117_Activity_!C130</f>
        <v>CVS/PHARMACY #09 09493 MAR VISTA CA  869933  12/12</v>
      </c>
      <c r="C133" s="6" t="str">
        <f>Angela_2025_Chase1117_Activity_!G130</f>
        <v>Personal - Health</v>
      </c>
      <c r="D133" s="12">
        <f>Angela_2025_Chase1117_Activity_!D130</f>
        <v>-26.31</v>
      </c>
    </row>
    <row r="134" spans="1:4" x14ac:dyDescent="0.25">
      <c r="A134" s="26">
        <f>Angela_2025_Chase1117_Activity_!B131</f>
        <v>46003</v>
      </c>
      <c r="B134" s="6" t="str">
        <f>Angela_2025_Chase1117_Activity_!C131</f>
        <v>WITHDRAWAL 12/12</v>
      </c>
      <c r="C134" s="6" t="str">
        <f>Angela_2025_Chase1117_Activity_!G131</f>
        <v>Withdrawal</v>
      </c>
      <c r="D134" s="12">
        <f>Angela_2025_Chase1117_Activity_!D131</f>
        <v>-1391</v>
      </c>
    </row>
    <row r="135" spans="1:4" x14ac:dyDescent="0.25">
      <c r="A135" s="26">
        <f>Angela_2025_Chase1117_Activity_!B132</f>
        <v>46003</v>
      </c>
      <c r="B135" s="6" t="str">
        <f>Angela_2025_Chase1117_Activity_!C132</f>
        <v>PARKING METERS - IPS CULVER CITY CA          12/11</v>
      </c>
      <c r="C135" s="6" t="str">
        <f>Angela_2025_Chase1117_Activity_!G132</f>
        <v>Personal - Car</v>
      </c>
      <c r="D135" s="12">
        <f>Angela_2025_Chase1117_Activity_!D132</f>
        <v>-1</v>
      </c>
    </row>
    <row r="136" spans="1:4" x14ac:dyDescent="0.25">
      <c r="A136" s="26">
        <f>Angela_2025_Chase1117_Activity_!B133</f>
        <v>46003</v>
      </c>
      <c r="B136" s="6" t="str">
        <f>Angela_2025_Chase1117_Activity_!C133</f>
        <v>CASABLANCA RESTAURANT VENICE CA              12/10</v>
      </c>
      <c r="C136" s="6" t="str">
        <f>Angela_2025_Chase1117_Activity_!G133</f>
        <v>Personal - Food</v>
      </c>
      <c r="D136" s="12">
        <f>Angela_2025_Chase1117_Activity_!D133</f>
        <v>-104.73</v>
      </c>
    </row>
    <row r="137" spans="1:4" x14ac:dyDescent="0.25">
      <c r="A137" s="26">
        <f>Angela_2025_Chase1117_Activity_!B134</f>
        <v>46003</v>
      </c>
      <c r="B137" s="6" t="str">
        <f>Angela_2025_Chase1117_Activity_!C134</f>
        <v>Online Transfer from CHK ...1168 transaction#: 27302571456</v>
      </c>
      <c r="C137" s="6" t="str">
        <f>Angela_2025_Chase1117_Activity_!G134</f>
        <v>Transfer from DWG Capital Group</v>
      </c>
      <c r="D137" s="12">
        <f>Angela_2025_Chase1117_Activity_!D134</f>
        <v>5000</v>
      </c>
    </row>
    <row r="138" spans="1:4" x14ac:dyDescent="0.25">
      <c r="A138" s="26">
        <f>Angela_2025_Chase1117_Activity_!B135</f>
        <v>46003</v>
      </c>
      <c r="B138" s="6" t="str">
        <f>Angela_2025_Chase1117_Activity_!C135</f>
        <v>DEPOSIT  ID NUMBER 142311</v>
      </c>
      <c r="C138" s="6" t="str">
        <f>Angela_2025_Chase1117_Activity_!G135</f>
        <v>Deposit</v>
      </c>
      <c r="D138" s="12">
        <f>Angela_2025_Chase1117_Activity_!D135</f>
        <v>175</v>
      </c>
    </row>
    <row r="139" spans="1:4" x14ac:dyDescent="0.25">
      <c r="A139" s="26">
        <f>Angela_2025_Chase1117_Activity_!B136</f>
        <v>46002</v>
      </c>
      <c r="B139" s="6" t="str">
        <f>Angela_2025_Chase1117_Activity_!C136</f>
        <v>UBER   * EATS PENDIN SAN FRANCISCO CA083920  12/11</v>
      </c>
      <c r="C139" s="6" t="str">
        <f>Angela_2025_Chase1117_Activity_!G136</f>
        <v>Uber Eats</v>
      </c>
      <c r="D139" s="12">
        <f>Angela_2025_Chase1117_Activity_!D136</f>
        <v>-93.12</v>
      </c>
    </row>
    <row r="140" spans="1:4" x14ac:dyDescent="0.25">
      <c r="A140" s="26">
        <f>Angela_2025_Chase1117_Activity_!B137</f>
        <v>46002</v>
      </c>
      <c r="B140" s="6" t="str">
        <f>Angela_2025_Chase1117_Activity_!C137</f>
        <v>UBER   * EATS PENDIN SAN FRANCISCO CA017695  12/11</v>
      </c>
      <c r="C140" s="6" t="str">
        <f>Angela_2025_Chase1117_Activity_!G137</f>
        <v>Uber Eats</v>
      </c>
      <c r="D140" s="12">
        <f>Angela_2025_Chase1117_Activity_!D137</f>
        <v>-22.93</v>
      </c>
    </row>
    <row r="141" spans="1:4" x14ac:dyDescent="0.25">
      <c r="A141" s="26">
        <f>Angela_2025_Chase1117_Activity_!B138</f>
        <v>46002</v>
      </c>
      <c r="B141" s="6" t="str">
        <f>Angela_2025_Chase1117_Activity_!C138</f>
        <v>RAINBOW ACRES LOS ANGELES CA         816608  12/11</v>
      </c>
      <c r="C141" s="6" t="str">
        <f>Angela_2025_Chase1117_Activity_!G138</f>
        <v>Personal - Misc</v>
      </c>
      <c r="D141" s="12">
        <f>Angela_2025_Chase1117_Activity_!D138</f>
        <v>-44.68</v>
      </c>
    </row>
    <row r="142" spans="1:4" x14ac:dyDescent="0.25">
      <c r="A142" s="26">
        <f>Angela_2025_Chase1117_Activity_!B139</f>
        <v>46002</v>
      </c>
      <c r="B142" s="6" t="str">
        <f>Angela_2025_Chase1117_Activity_!C139</f>
        <v>68160 4962 SPEEDWAY MARINA DEL RE CA 331797  12/11</v>
      </c>
      <c r="C142" s="6" t="str">
        <f>Angela_2025_Chase1117_Activity_!G139</f>
        <v>Personal - Car</v>
      </c>
      <c r="D142" s="12">
        <f>Angela_2025_Chase1117_Activity_!D139</f>
        <v>-57.06</v>
      </c>
    </row>
    <row r="143" spans="1:4" x14ac:dyDescent="0.25">
      <c r="A143" s="26">
        <f>Angela_2025_Chase1117_Activity_!B140</f>
        <v>46002</v>
      </c>
      <c r="B143" s="6" t="str">
        <f>Angela_2025_Chase1117_Activity_!C140</f>
        <v>PAVILIONS #2105 MARINA DEL RE CA     814772  12/11</v>
      </c>
      <c r="C143" s="6" t="str">
        <f>Angela_2025_Chase1117_Activity_!G140</f>
        <v>Personal - Food</v>
      </c>
      <c r="D143" s="12">
        <f>Angela_2025_Chase1117_Activity_!D140</f>
        <v>-288.20999999999998</v>
      </c>
    </row>
    <row r="144" spans="1:4" x14ac:dyDescent="0.25">
      <c r="A144" s="26">
        <f>Angela_2025_Chase1117_Activity_!B141</f>
        <v>46002</v>
      </c>
      <c r="B144" s="6" t="str">
        <f>Angela_2025_Chase1117_Activity_!C141</f>
        <v>AMAZON MKTPL*957NS1S Amzn.com/bill WA        12/11</v>
      </c>
      <c r="C144" s="6" t="str">
        <f>Angela_2025_Chase1117_Activity_!G141</f>
        <v>Amazon</v>
      </c>
      <c r="D144" s="12">
        <f>Angela_2025_Chase1117_Activity_!D141</f>
        <v>-37.299999999999997</v>
      </c>
    </row>
    <row r="145" spans="1:4" x14ac:dyDescent="0.25">
      <c r="A145" s="26">
        <f>Angela_2025_Chase1117_Activity_!B142</f>
        <v>46002</v>
      </c>
      <c r="B145" s="6" t="str">
        <f>Angela_2025_Chase1117_Activity_!C142</f>
        <v>AMAZON MKTPL*C19PX5I Amzn.com/bill WA        12/11</v>
      </c>
      <c r="C145" s="6" t="str">
        <f>Angela_2025_Chase1117_Activity_!G142</f>
        <v>Amazon</v>
      </c>
      <c r="D145" s="12">
        <f>Angela_2025_Chase1117_Activity_!D142</f>
        <v>-325.94</v>
      </c>
    </row>
    <row r="146" spans="1:4" x14ac:dyDescent="0.25">
      <c r="A146" s="26">
        <f>Angela_2025_Chase1117_Activity_!B143</f>
        <v>46002</v>
      </c>
      <c r="B146" s="6" t="str">
        <f>Angela_2025_Chase1117_Activity_!C143</f>
        <v>AMAZON MKTPL*2R8R88R Amzn.com/bill WA        12/10</v>
      </c>
      <c r="C146" s="6" t="str">
        <f>Angela_2025_Chase1117_Activity_!G143</f>
        <v>Amazon</v>
      </c>
      <c r="D146" s="12">
        <f>Angela_2025_Chase1117_Activity_!D143</f>
        <v>-78.959999999999994</v>
      </c>
    </row>
    <row r="147" spans="1:4" x14ac:dyDescent="0.25">
      <c r="A147" s="26">
        <f>Angela_2025_Chase1117_Activity_!B144</f>
        <v>46002</v>
      </c>
      <c r="B147" s="6" t="str">
        <f>Angela_2025_Chase1117_Activity_!C144</f>
        <v>AMAZON MKTPL*ES2PS0W Amzn.com/bill WA        12/10</v>
      </c>
      <c r="C147" s="6" t="str">
        <f>Angela_2025_Chase1117_Activity_!G144</f>
        <v>Amazon</v>
      </c>
      <c r="D147" s="12">
        <f>Angela_2025_Chase1117_Activity_!D144</f>
        <v>-155.74</v>
      </c>
    </row>
    <row r="148" spans="1:4" x14ac:dyDescent="0.25">
      <c r="A148" s="26">
        <f>Angela_2025_Chase1117_Activity_!B145</f>
        <v>46001</v>
      </c>
      <c r="B148" s="6" t="str">
        <f>Angela_2025_Chase1117_Activity_!C145</f>
        <v>UBER * EATS PENDING SAN FRANCISCO CA 177413  12/10</v>
      </c>
      <c r="C148" s="6" t="str">
        <f>Angela_2025_Chase1117_Activity_!G145</f>
        <v>Uber Eats</v>
      </c>
      <c r="D148" s="12">
        <f>Angela_2025_Chase1117_Activity_!D145</f>
        <v>-74.75</v>
      </c>
    </row>
    <row r="149" spans="1:4" x14ac:dyDescent="0.25">
      <c r="A149" s="26">
        <f>Angela_2025_Chase1117_Activity_!B146</f>
        <v>46001</v>
      </c>
      <c r="B149" s="6" t="str">
        <f>Angela_2025_Chase1117_Activity_!C146</f>
        <v>APPLE.COM/BILL 866-712-7753 CA               12/10</v>
      </c>
      <c r="C149" s="6" t="str">
        <f>Angela_2025_Chase1117_Activity_!G146</f>
        <v>Apple</v>
      </c>
      <c r="D149" s="12">
        <f>Angela_2025_Chase1117_Activity_!D146</f>
        <v>-12.99</v>
      </c>
    </row>
    <row r="150" spans="1:4" x14ac:dyDescent="0.25">
      <c r="A150" s="26">
        <f>Angela_2025_Chase1117_Activity_!B147</f>
        <v>46001</v>
      </c>
      <c r="B150" s="6" t="str">
        <f>Angela_2025_Chase1117_Activity_!C147</f>
        <v>Amazon.com*6E1Q18T43 Amzn.com/bill WA        12/10</v>
      </c>
      <c r="C150" s="6" t="str">
        <f>Angela_2025_Chase1117_Activity_!G147</f>
        <v>Amazon</v>
      </c>
      <c r="D150" s="12">
        <f>Angela_2025_Chase1117_Activity_!D147</f>
        <v>-127.52</v>
      </c>
    </row>
    <row r="151" spans="1:4" x14ac:dyDescent="0.25">
      <c r="A151" s="26">
        <f>Angela_2025_Chase1117_Activity_!B148</f>
        <v>46001</v>
      </c>
      <c r="B151" s="6" t="str">
        <f>Angela_2025_Chase1117_Activity_!C148</f>
        <v>AMAZON MKTPL*0X6NS6E Amzn.com/bill WA        12/10</v>
      </c>
      <c r="C151" s="6" t="str">
        <f>Angela_2025_Chase1117_Activity_!G148</f>
        <v>Amazon</v>
      </c>
      <c r="D151" s="12">
        <f>Angela_2025_Chase1117_Activity_!D148</f>
        <v>-98.72</v>
      </c>
    </row>
    <row r="152" spans="1:4" x14ac:dyDescent="0.25">
      <c r="A152" s="26">
        <f>Angela_2025_Chase1117_Activity_!B149</f>
        <v>46001</v>
      </c>
      <c r="B152" s="6" t="str">
        <f>Angela_2025_Chase1117_Activity_!C149</f>
        <v>GELSON'S MARKET #29 SANTA MONICA CA          12/08</v>
      </c>
      <c r="C152" s="6" t="str">
        <f>Angela_2025_Chase1117_Activity_!G149</f>
        <v>Personal - Food</v>
      </c>
      <c r="D152" s="12">
        <f>Angela_2025_Chase1117_Activity_!D149</f>
        <v>-373.49</v>
      </c>
    </row>
    <row r="153" spans="1:4" x14ac:dyDescent="0.25">
      <c r="A153" s="26">
        <f>Angela_2025_Chase1117_Activity_!B150</f>
        <v>46001</v>
      </c>
      <c r="B153" s="6" t="str">
        <f>Angela_2025_Chase1117_Activity_!C150</f>
        <v>Zara.com 212-3551415 NY                      12/10</v>
      </c>
      <c r="C153" s="6" t="str">
        <f>Angela_2025_Chase1117_Activity_!G150</f>
        <v>Personal - Shopping</v>
      </c>
      <c r="D153" s="12">
        <f>Angela_2025_Chase1117_Activity_!D150</f>
        <v>-240.12</v>
      </c>
    </row>
    <row r="154" spans="1:4" x14ac:dyDescent="0.25">
      <c r="A154" s="26">
        <f>Angela_2025_Chase1117_Activity_!B151</f>
        <v>46001</v>
      </c>
      <c r="B154" s="6" t="str">
        <f>Angela_2025_Chase1117_Activity_!C151</f>
        <v>Zara.com/USA 855-6359272 NY                  12/09</v>
      </c>
      <c r="C154" s="6" t="str">
        <f>Angela_2025_Chase1117_Activity_!G151</f>
        <v>Personal - Shopping</v>
      </c>
      <c r="D154" s="12">
        <f>Angela_2025_Chase1117_Activity_!D151</f>
        <v>-346.14</v>
      </c>
    </row>
    <row r="155" spans="1:4" x14ac:dyDescent="0.25">
      <c r="A155" s="26">
        <f>Angela_2025_Chase1117_Activity_!B152</f>
        <v>46000</v>
      </c>
      <c r="B155" s="6" t="str">
        <f>Angela_2025_Chase1117_Activity_!C152</f>
        <v>AMAZON MKTPL*SG36R39 Amzn.com/bill WA        12/09</v>
      </c>
      <c r="C155" s="6" t="str">
        <f>Angela_2025_Chase1117_Activity_!G152</f>
        <v>Amazon</v>
      </c>
      <c r="D155" s="12">
        <f>Angela_2025_Chase1117_Activity_!D152</f>
        <v>-44.12</v>
      </c>
    </row>
    <row r="156" spans="1:4" x14ac:dyDescent="0.25">
      <c r="A156" s="26">
        <f>Angela_2025_Chase1117_Activity_!B153</f>
        <v>46000</v>
      </c>
      <c r="B156" s="6" t="str">
        <f>Angela_2025_Chase1117_Activity_!C153</f>
        <v>AMAZON MKTPL*A43I74P Amzn.com/bill WA        12/09</v>
      </c>
      <c r="C156" s="6" t="str">
        <f>Angela_2025_Chase1117_Activity_!G153</f>
        <v>Amazon</v>
      </c>
      <c r="D156" s="12">
        <f>Angela_2025_Chase1117_Activity_!D153</f>
        <v>-60.46</v>
      </c>
    </row>
    <row r="157" spans="1:4" x14ac:dyDescent="0.25">
      <c r="A157" s="26">
        <f>Angela_2025_Chase1117_Activity_!B154</f>
        <v>46000</v>
      </c>
      <c r="B157" s="6" t="str">
        <f>Angela_2025_Chase1117_Activity_!C154</f>
        <v>Amazon.com*FB7T26D23 Amzn.com/bill WA        12/09</v>
      </c>
      <c r="C157" s="6" t="str">
        <f>Angela_2025_Chase1117_Activity_!G154</f>
        <v>Amazon</v>
      </c>
      <c r="D157" s="12">
        <f>Angela_2025_Chase1117_Activity_!D154</f>
        <v>-48.97</v>
      </c>
    </row>
    <row r="158" spans="1:4" x14ac:dyDescent="0.25">
      <c r="A158" s="26">
        <f>Angela_2025_Chase1117_Activity_!B155</f>
        <v>46000</v>
      </c>
      <c r="B158" s="6" t="str">
        <f>Angela_2025_Chase1117_Activity_!C155</f>
        <v>COMPLETE EYE CARE CENT LOS ANGELES CA        12/08</v>
      </c>
      <c r="C158" s="6" t="str">
        <f>Angela_2025_Chase1117_Activity_!G155</f>
        <v>Personal - Health</v>
      </c>
      <c r="D158" s="12">
        <f>Angela_2025_Chase1117_Activity_!D155</f>
        <v>-1340</v>
      </c>
    </row>
    <row r="159" spans="1:4" x14ac:dyDescent="0.25">
      <c r="A159" s="26">
        <f>Angela_2025_Chase1117_Activity_!B156</f>
        <v>46000</v>
      </c>
      <c r="B159" s="6" t="str">
        <f>Angela_2025_Chase1117_Activity_!C156</f>
        <v>SQ *BERRY FLASH PHOTO Los Angeles CA         12/08</v>
      </c>
      <c r="C159" s="6" t="str">
        <f>Angela_2025_Chase1117_Activity_!G156</f>
        <v>Personal - Shopping</v>
      </c>
      <c r="D159" s="12">
        <f>Angela_2025_Chase1117_Activity_!D156</f>
        <v>-33.130000000000003</v>
      </c>
    </row>
    <row r="160" spans="1:4" x14ac:dyDescent="0.25">
      <c r="A160" s="26">
        <f>Angela_2025_Chase1117_Activity_!B157</f>
        <v>46000</v>
      </c>
      <c r="B160" s="6" t="str">
        <f>Angela_2025_Chase1117_Activity_!C157</f>
        <v>Zara.com 212-3551415 NY                      12/09</v>
      </c>
      <c r="C160" s="6" t="str">
        <f>Angela_2025_Chase1117_Activity_!G157</f>
        <v>Personal - Shopping</v>
      </c>
      <c r="D160" s="12">
        <f>Angela_2025_Chase1117_Activity_!D157</f>
        <v>-245.67</v>
      </c>
    </row>
    <row r="161" spans="1:4" x14ac:dyDescent="0.25">
      <c r="A161" s="26">
        <f>Angela_2025_Chase1117_Activity_!B158</f>
        <v>46000</v>
      </c>
      <c r="B161" s="6" t="str">
        <f>Angela_2025_Chase1117_Activity_!C158</f>
        <v>Zara.com 212-3551415 NY                      12/09</v>
      </c>
      <c r="C161" s="6" t="str">
        <f>Angela_2025_Chase1117_Activity_!G158</f>
        <v>Personal - Shopping</v>
      </c>
      <c r="D161" s="12">
        <f>Angela_2025_Chase1117_Activity_!D158</f>
        <v>-535.4</v>
      </c>
    </row>
    <row r="162" spans="1:4" x14ac:dyDescent="0.25">
      <c r="A162" s="26">
        <f>Angela_2025_Chase1117_Activity_!B159</f>
        <v>45999</v>
      </c>
      <c r="B162" s="6" t="str">
        <f>Angela_2025_Chase1117_Activity_!C159</f>
        <v>FOREIGN EXCHANGE RATE ADJUSTMENT FEE         12/05BCF - ONL</v>
      </c>
      <c r="C162" s="6" t="str">
        <f>Angela_2025_Chase1117_Activity_!G159</f>
        <v>Personal Travel - Canada</v>
      </c>
      <c r="D162" s="12">
        <f>Angela_2025_Chase1117_Activity_!D159</f>
        <v>-0.43</v>
      </c>
    </row>
    <row r="163" spans="1:4" x14ac:dyDescent="0.25">
      <c r="A163" s="26">
        <f>Angela_2025_Chase1117_Activity_!B160</f>
        <v>45999</v>
      </c>
      <c r="B163" s="6" t="str">
        <f>Angela_2025_Chase1117_Activity_!C160</f>
        <v>FOREIGN EXCHANGE RATE ADJUSTMENT FEE         12/05BCF - ONL</v>
      </c>
      <c r="C163" s="6" t="str">
        <f>Angela_2025_Chase1117_Activity_!G160</f>
        <v>Personal Travel - Canada</v>
      </c>
      <c r="D163" s="12">
        <f>Angela_2025_Chase1117_Activity_!D160</f>
        <v>-0.43</v>
      </c>
    </row>
    <row r="164" spans="1:4" x14ac:dyDescent="0.25">
      <c r="A164" s="26">
        <f>Angela_2025_Chase1117_Activity_!B161</f>
        <v>45999</v>
      </c>
      <c r="B164" s="6" t="str">
        <f>Angela_2025_Chase1117_Activity_!C161</f>
        <v>FOREIGN EXCHANGE RATE ADJUSTMENT FEE         12/05BCF - ONL</v>
      </c>
      <c r="C164" s="6" t="str">
        <f>Angela_2025_Chase1117_Activity_!G161</f>
        <v>Personal Travel - Canada</v>
      </c>
      <c r="D164" s="12">
        <f>Angela_2025_Chase1117_Activity_!D161</f>
        <v>-0.43</v>
      </c>
    </row>
    <row r="165" spans="1:4" x14ac:dyDescent="0.25">
      <c r="A165" s="26">
        <f>Angela_2025_Chase1117_Activity_!B162</f>
        <v>45999</v>
      </c>
      <c r="B165" s="6" t="str">
        <f>Angela_2025_Chase1117_Activity_!C162</f>
        <v>APPLE COM BILL CUPERTINO CA          385488  12/08</v>
      </c>
      <c r="C165" s="6" t="str">
        <f>Angela_2025_Chase1117_Activity_!G162</f>
        <v>Apple</v>
      </c>
      <c r="D165" s="12">
        <f>Angela_2025_Chase1117_Activity_!D162</f>
        <v>-6.99</v>
      </c>
    </row>
    <row r="166" spans="1:4" x14ac:dyDescent="0.25">
      <c r="A166" s="26">
        <f>Angela_2025_Chase1117_Activity_!B163</f>
        <v>45999</v>
      </c>
      <c r="B166" s="6" t="str">
        <f>Angela_2025_Chase1117_Activity_!C163</f>
        <v>TRADER JOE S #00 3212 SANTA MONICA CA501008  12/08</v>
      </c>
      <c r="C166" s="6" t="str">
        <f>Angela_2025_Chase1117_Activity_!G163</f>
        <v>Personal - Food</v>
      </c>
      <c r="D166" s="12">
        <f>Angela_2025_Chase1117_Activity_!D163</f>
        <v>-184.16</v>
      </c>
    </row>
    <row r="167" spans="1:4" x14ac:dyDescent="0.25">
      <c r="A167" s="26">
        <f>Angela_2025_Chase1117_Activity_!B164</f>
        <v>45999</v>
      </c>
      <c r="B167" s="6" t="str">
        <f>Angela_2025_Chase1117_Activity_!C164</f>
        <v>SP RX COMPOUND SHOP.RXCOMPOU TX              12/08</v>
      </c>
      <c r="C167" s="6" t="str">
        <f>Angela_2025_Chase1117_Activity_!G164</f>
        <v>Personal - Health</v>
      </c>
      <c r="D167" s="12">
        <f>Angela_2025_Chase1117_Activity_!D164</f>
        <v>-130</v>
      </c>
    </row>
    <row r="168" spans="1:4" x14ac:dyDescent="0.25">
      <c r="A168" s="26">
        <f>Angela_2025_Chase1117_Activity_!B165</f>
        <v>45999</v>
      </c>
      <c r="B168" s="6" t="str">
        <f>Angela_2025_Chase1117_Activity_!C165</f>
        <v>UBER * EATS PENDING SAN FRANCISCO CA 110203  12/07</v>
      </c>
      <c r="C168" s="6" t="str">
        <f>Angela_2025_Chase1117_Activity_!G165</f>
        <v>Uber Eats</v>
      </c>
      <c r="D168" s="12">
        <f>Angela_2025_Chase1117_Activity_!D165</f>
        <v>-34.22</v>
      </c>
    </row>
    <row r="169" spans="1:4" x14ac:dyDescent="0.25">
      <c r="A169" s="26">
        <f>Angela_2025_Chase1117_Activity_!B166</f>
        <v>45999</v>
      </c>
      <c r="B169" s="6" t="str">
        <f>Angela_2025_Chase1117_Activity_!C166</f>
        <v>Online Transfer to CHK ...6975 transaction#: 27244113748 12/08</v>
      </c>
      <c r="C169" s="6" t="str">
        <f>Angela_2025_Chase1117_Activity_!G166</f>
        <v>Transfer to Ava</v>
      </c>
      <c r="D169" s="12">
        <f>Angela_2025_Chase1117_Activity_!D166</f>
        <v>-1100</v>
      </c>
    </row>
    <row r="170" spans="1:4" x14ac:dyDescent="0.25">
      <c r="A170" s="26">
        <f>Angela_2025_Chase1117_Activity_!B167</f>
        <v>45999</v>
      </c>
      <c r="B170" s="6" t="str">
        <f>Angela_2025_Chase1117_Activity_!C167</f>
        <v>Prime Video Channels amzn.com/bill WA        12/07</v>
      </c>
      <c r="C170" s="6" t="str">
        <f>Angela_2025_Chase1117_Activity_!G167</f>
        <v>Amazon</v>
      </c>
      <c r="D170" s="12">
        <f>Angela_2025_Chase1117_Activity_!D167</f>
        <v>-13.99</v>
      </c>
    </row>
    <row r="171" spans="1:4" x14ac:dyDescent="0.25">
      <c r="A171" s="26">
        <f>Angela_2025_Chase1117_Activity_!B168</f>
        <v>45999</v>
      </c>
      <c r="B171" s="6" t="str">
        <f>Angela_2025_Chase1117_Activity_!C168</f>
        <v>FANDANGO    * FANDANGO.COM CA                12/07</v>
      </c>
      <c r="C171" s="6" t="str">
        <f>Angela_2025_Chase1117_Activity_!G168</f>
        <v>Personal - Entertainment</v>
      </c>
      <c r="D171" s="12">
        <f>Angela_2025_Chase1117_Activity_!D168</f>
        <v>-70.72</v>
      </c>
    </row>
    <row r="172" spans="1:4" x14ac:dyDescent="0.25">
      <c r="A172" s="26">
        <f>Angela_2025_Chase1117_Activity_!B169</f>
        <v>45999</v>
      </c>
      <c r="B172" s="6" t="str">
        <f>Angela_2025_Chase1117_Activity_!C169</f>
        <v>UBER   * EATS PENDIN SAN FRANCISCO CA145015  12/07</v>
      </c>
      <c r="C172" s="6" t="str">
        <f>Angela_2025_Chase1117_Activity_!G169</f>
        <v>Uber Eats</v>
      </c>
      <c r="D172" s="12">
        <f>Angela_2025_Chase1117_Activity_!D169</f>
        <v>-33.76</v>
      </c>
    </row>
    <row r="173" spans="1:4" x14ac:dyDescent="0.25">
      <c r="A173" s="26">
        <f>Angela_2025_Chase1117_Activity_!B170</f>
        <v>45999</v>
      </c>
      <c r="B173" s="6" t="str">
        <f>Angela_2025_Chase1117_Activity_!C170</f>
        <v>ATM WITHDRAWAL                       000323  12/0612335 VEN</v>
      </c>
      <c r="C173" s="6" t="str">
        <f>Angela_2025_Chase1117_Activity_!G170</f>
        <v>Withdrawal</v>
      </c>
      <c r="D173" s="12">
        <f>Angela_2025_Chase1117_Activity_!D170</f>
        <v>-500</v>
      </c>
    </row>
    <row r="174" spans="1:4" x14ac:dyDescent="0.25">
      <c r="A174" s="26">
        <f>Angela_2025_Chase1117_Activity_!B171</f>
        <v>45999</v>
      </c>
      <c r="B174" s="6" t="str">
        <f>Angela_2025_Chase1117_Activity_!C171</f>
        <v>ATM WITHDRAWAL                       000321  12/0612335 VEN</v>
      </c>
      <c r="C174" s="6" t="str">
        <f>Angela_2025_Chase1117_Activity_!G171</f>
        <v>Withdrawal</v>
      </c>
      <c r="D174" s="12">
        <f>Angela_2025_Chase1117_Activity_!D171</f>
        <v>-500</v>
      </c>
    </row>
    <row r="175" spans="1:4" x14ac:dyDescent="0.25">
      <c r="A175" s="26">
        <f>Angela_2025_Chase1117_Activity_!B172</f>
        <v>45999</v>
      </c>
      <c r="B175" s="6" t="str">
        <f>Angela_2025_Chase1117_Activity_!C172</f>
        <v>Amazon Tips*IX641199 Amzn.com/bill WA        12/06</v>
      </c>
      <c r="C175" s="6" t="str">
        <f>Angela_2025_Chase1117_Activity_!G172</f>
        <v>Amazon</v>
      </c>
      <c r="D175" s="12">
        <f>Angela_2025_Chase1117_Activity_!D172</f>
        <v>-20</v>
      </c>
    </row>
    <row r="176" spans="1:4" x14ac:dyDescent="0.25">
      <c r="A176" s="26">
        <f>Angela_2025_Chase1117_Activity_!B173</f>
        <v>45999</v>
      </c>
      <c r="B176" s="6" t="str">
        <f>Angela_2025_Chase1117_Activity_!C173</f>
        <v>AMAZON MKTPL*BI6NH2K Amzn.com/bill WA        12/06</v>
      </c>
      <c r="C176" s="6" t="str">
        <f>Angela_2025_Chase1117_Activity_!G173</f>
        <v>Amazon</v>
      </c>
      <c r="D176" s="12">
        <f>Angela_2025_Chase1117_Activity_!D173</f>
        <v>-22.49</v>
      </c>
    </row>
    <row r="177" spans="1:4" x14ac:dyDescent="0.25">
      <c r="A177" s="26">
        <f>Angela_2025_Chase1117_Activity_!B174</f>
        <v>45999</v>
      </c>
      <c r="B177" s="6" t="str">
        <f>Angela_2025_Chase1117_Activity_!C174</f>
        <v>AMAZON MKTPL*BI1KV8D Amzn.com/bill WA        12/06</v>
      </c>
      <c r="C177" s="6" t="str">
        <f>Angela_2025_Chase1117_Activity_!G174</f>
        <v>Amazon</v>
      </c>
      <c r="D177" s="12">
        <f>Angela_2025_Chase1117_Activity_!D174</f>
        <v>-18.62</v>
      </c>
    </row>
    <row r="178" spans="1:4" x14ac:dyDescent="0.25">
      <c r="A178" s="26">
        <f>Angela_2025_Chase1117_Activity_!B175</f>
        <v>45999</v>
      </c>
      <c r="B178" s="6" t="str">
        <f>Angela_2025_Chase1117_Activity_!C175</f>
        <v>GOOGLE *YouTubePremi g.co/helppay# CA        12/06</v>
      </c>
      <c r="C178" s="6" t="str">
        <f>Angela_2025_Chase1117_Activity_!G175</f>
        <v>YouTube Premium</v>
      </c>
      <c r="D178" s="12">
        <f>Angela_2025_Chase1117_Activity_!D175</f>
        <v>-13.99</v>
      </c>
    </row>
    <row r="179" spans="1:4" x14ac:dyDescent="0.25">
      <c r="A179" s="26">
        <f>Angela_2025_Chase1117_Activity_!B176</f>
        <v>45999</v>
      </c>
      <c r="B179" s="6" t="str">
        <f>Angela_2025_Chase1117_Activity_!C176</f>
        <v>BCF - ONLINE SALES &amp; BO VICTORIA BC          12/05 CA DOLLAR  20.00 X 0.7240000 (EXCHG RTE)</v>
      </c>
      <c r="C179" s="6" t="str">
        <f>Angela_2025_Chase1117_Activity_!G176</f>
        <v>Personal Travel - Canada</v>
      </c>
      <c r="D179" s="12">
        <f>Angela_2025_Chase1117_Activity_!D176</f>
        <v>-14.48</v>
      </c>
    </row>
    <row r="180" spans="1:4" x14ac:dyDescent="0.25">
      <c r="A180" s="26">
        <f>Angela_2025_Chase1117_Activity_!B177</f>
        <v>45999</v>
      </c>
      <c r="B180" s="6" t="str">
        <f>Angela_2025_Chase1117_Activity_!C177</f>
        <v>BCF - ONLINE SALES &amp; BO VICTORIA BC          12/05 CA DOLLAR  20.00 X 0.7240000 (EXCHG RTE)</v>
      </c>
      <c r="C180" s="6" t="str">
        <f>Angela_2025_Chase1117_Activity_!G177</f>
        <v>Personal Travel - Canada</v>
      </c>
      <c r="D180" s="12">
        <f>Angela_2025_Chase1117_Activity_!D177</f>
        <v>-14.48</v>
      </c>
    </row>
    <row r="181" spans="1:4" x14ac:dyDescent="0.25">
      <c r="A181" s="26">
        <f>Angela_2025_Chase1117_Activity_!B178</f>
        <v>45999</v>
      </c>
      <c r="B181" s="6" t="str">
        <f>Angela_2025_Chase1117_Activity_!C178</f>
        <v>BCF - ONLINE SALES &amp; BO VICTORIA BC          12/05 CA DOLLAR  20.00 X 0.7240000 (EXCHG RTE)</v>
      </c>
      <c r="C181" s="6" t="str">
        <f>Angela_2025_Chase1117_Activity_!G178</f>
        <v>Personal Travel - Canada</v>
      </c>
      <c r="D181" s="12">
        <f>Angela_2025_Chase1117_Activity_!D178</f>
        <v>-14.48</v>
      </c>
    </row>
    <row r="182" spans="1:4" x14ac:dyDescent="0.25">
      <c r="A182" s="26">
        <f>Angela_2025_Chase1117_Activity_!B179</f>
        <v>45999</v>
      </c>
      <c r="B182" s="6" t="str">
        <f>Angela_2025_Chase1117_Activity_!C179</f>
        <v>FANDANGO    * FANDANGO.COM CA                12/06</v>
      </c>
      <c r="C182" s="6" t="str">
        <f>Angela_2025_Chase1117_Activity_!G179</f>
        <v>Personal - Entertainment</v>
      </c>
      <c r="D182" s="12">
        <f>Angela_2025_Chase1117_Activity_!D179</f>
        <v>-41.96</v>
      </c>
    </row>
    <row r="183" spans="1:4" x14ac:dyDescent="0.25">
      <c r="A183" s="26">
        <f>Angela_2025_Chase1117_Activity_!B180</f>
        <v>45999</v>
      </c>
      <c r="B183" s="6" t="str">
        <f>Angela_2025_Chase1117_Activity_!C180</f>
        <v>SP AURO WELLNESS AUROWELLNESS. CA            12/06</v>
      </c>
      <c r="C183" s="6" t="str">
        <f>Angela_2025_Chase1117_Activity_!G180</f>
        <v>Personal - Health</v>
      </c>
      <c r="D183" s="12">
        <f>Angela_2025_Chase1117_Activity_!D180</f>
        <v>-1136.9100000000001</v>
      </c>
    </row>
    <row r="184" spans="1:4" x14ac:dyDescent="0.25">
      <c r="A184" s="26">
        <f>Angela_2025_Chase1117_Activity_!B181</f>
        <v>45999</v>
      </c>
      <c r="B184" s="6" t="str">
        <f>Angela_2025_Chase1117_Activity_!C181</f>
        <v>PSYCHOLOGY TODAY PSYCHOLOGYTOD SD            12/06</v>
      </c>
      <c r="C184" s="6" t="str">
        <f>Angela_2025_Chase1117_Activity_!G181</f>
        <v>Personal - Subscription</v>
      </c>
      <c r="D184" s="12">
        <f>Angela_2025_Chase1117_Activity_!D181</f>
        <v>-29.95</v>
      </c>
    </row>
    <row r="185" spans="1:4" x14ac:dyDescent="0.25">
      <c r="A185" s="26">
        <f>Angela_2025_Chase1117_Activity_!B182</f>
        <v>45999</v>
      </c>
      <c r="B185" s="6" t="str">
        <f>Angela_2025_Chase1117_Activity_!C182</f>
        <v>ELEVENLABS.IO ELEVENLABS.IO NY               12/06</v>
      </c>
      <c r="C185" s="6" t="str">
        <f>Angela_2025_Chase1117_Activity_!G182</f>
        <v>Personal - Subscription</v>
      </c>
      <c r="D185" s="12">
        <f>Angela_2025_Chase1117_Activity_!D182</f>
        <v>-22</v>
      </c>
    </row>
    <row r="186" spans="1:4" x14ac:dyDescent="0.25">
      <c r="A186" s="26">
        <f>Angela_2025_Chase1117_Activity_!B183</f>
        <v>45999</v>
      </c>
      <c r="B186" s="6" t="str">
        <f>Angela_2025_Chase1117_Activity_!C183</f>
        <v>AMAZON MKTPL*BI0MV0R Amzn.com/bill WA        12/05</v>
      </c>
      <c r="C186" s="6" t="str">
        <f>Angela_2025_Chase1117_Activity_!G183</f>
        <v>Amazon</v>
      </c>
      <c r="D186" s="12">
        <f>Angela_2025_Chase1117_Activity_!D183</f>
        <v>-73.400000000000006</v>
      </c>
    </row>
    <row r="187" spans="1:4" x14ac:dyDescent="0.25">
      <c r="A187" s="26">
        <f>Angela_2025_Chase1117_Activity_!B184</f>
        <v>45999</v>
      </c>
      <c r="B187" s="6" t="str">
        <f>Angela_2025_Chase1117_Activity_!C184</f>
        <v>Amazon.com*BI6W79ML1 Amzn.com/bill WA        12/05</v>
      </c>
      <c r="C187" s="6" t="str">
        <f>Angela_2025_Chase1117_Activity_!G184</f>
        <v>Amazon</v>
      </c>
      <c r="D187" s="12">
        <f>Angela_2025_Chase1117_Activity_!D184</f>
        <v>-189.33</v>
      </c>
    </row>
    <row r="188" spans="1:4" x14ac:dyDescent="0.25">
      <c r="A188" s="26">
        <f>Angela_2025_Chase1117_Activity_!B185</f>
        <v>45999</v>
      </c>
      <c r="B188" s="6" t="str">
        <f>Angela_2025_Chase1117_Activity_!C185</f>
        <v>AT&amp;T DEVICE/EQUIP SHIP 8003310500 TX         12/05</v>
      </c>
      <c r="C188" s="6" t="str">
        <f>Angela_2025_Chase1117_Activity_!G185</f>
        <v>AT&amp;T</v>
      </c>
      <c r="D188" s="12">
        <f>Angela_2025_Chase1117_Activity_!D185</f>
        <v>-107.25</v>
      </c>
    </row>
    <row r="189" spans="1:4" x14ac:dyDescent="0.25">
      <c r="A189" s="26">
        <f>Angela_2025_Chase1117_Activity_!B186</f>
        <v>45999</v>
      </c>
      <c r="B189" s="6" t="str">
        <f>Angela_2025_Chase1117_Activity_!C186</f>
        <v>Online Transfer from CHK ...1168 transaction#: 27228456762</v>
      </c>
      <c r="C189" s="6" t="str">
        <f>Angela_2025_Chase1117_Activity_!G186</f>
        <v>Transfer from DWG Capital Group</v>
      </c>
      <c r="D189" s="12">
        <f>Angela_2025_Chase1117_Activity_!D186</f>
        <v>3000</v>
      </c>
    </row>
    <row r="190" spans="1:4" x14ac:dyDescent="0.25">
      <c r="A190" s="26">
        <f>Angela_2025_Chase1117_Activity_!B187</f>
        <v>45999</v>
      </c>
      <c r="B190" s="6" t="str">
        <f>Angela_2025_Chase1117_Activity_!C187</f>
        <v>Online Transfer from CHK ...1168 transaction#: 27244081613</v>
      </c>
      <c r="C190" s="6" t="str">
        <f>Angela_2025_Chase1117_Activity_!G187</f>
        <v>Transfer from DWG Capital Group</v>
      </c>
      <c r="D190" s="12">
        <f>Angela_2025_Chase1117_Activity_!D187</f>
        <v>5000</v>
      </c>
    </row>
    <row r="191" spans="1:4" x14ac:dyDescent="0.25">
      <c r="A191" s="26">
        <f>Angela_2025_Chase1117_Activity_!B188</f>
        <v>45996</v>
      </c>
      <c r="B191" s="6" t="str">
        <f>Angela_2025_Chase1117_Activity_!C188</f>
        <v>AMAZON MKTPL*BI7JL33 Amzn.com/bill WA        12/05</v>
      </c>
      <c r="C191" s="6" t="str">
        <f>Angela_2025_Chase1117_Activity_!G188</f>
        <v>Amazon</v>
      </c>
      <c r="D191" s="12">
        <f>Angela_2025_Chase1117_Activity_!D188</f>
        <v>-14.24</v>
      </c>
    </row>
    <row r="192" spans="1:4" x14ac:dyDescent="0.25">
      <c r="A192" s="26">
        <f>Angela_2025_Chase1117_Activity_!B189</f>
        <v>45996</v>
      </c>
      <c r="B192" s="6" t="str">
        <f>Angela_2025_Chase1117_Activity_!C189</f>
        <v>AMAZON MKTPL*BI9J579 Amzn.com/bill WA        12/05</v>
      </c>
      <c r="C192" s="6" t="str">
        <f>Angela_2025_Chase1117_Activity_!G189</f>
        <v>Amazon</v>
      </c>
      <c r="D192" s="12">
        <f>Angela_2025_Chase1117_Activity_!D189</f>
        <v>-143.19</v>
      </c>
    </row>
    <row r="193" spans="1:4" x14ac:dyDescent="0.25">
      <c r="A193" s="26">
        <f>Angela_2025_Chase1117_Activity_!B190</f>
        <v>45996</v>
      </c>
      <c r="B193" s="6" t="str">
        <f>Angela_2025_Chase1117_Activity_!C190</f>
        <v>AMAZON MKTPL*BI1CJ3J Amzn.com/bill WA        12/05</v>
      </c>
      <c r="C193" s="6" t="str">
        <f>Angela_2025_Chase1117_Activity_!G190</f>
        <v>Amazon</v>
      </c>
      <c r="D193" s="12">
        <f>Angela_2025_Chase1117_Activity_!D190</f>
        <v>-30.07</v>
      </c>
    </row>
    <row r="194" spans="1:4" x14ac:dyDescent="0.25">
      <c r="A194" s="26">
        <f>Angela_2025_Chase1117_Activity_!B191</f>
        <v>45996</v>
      </c>
      <c r="B194" s="6" t="str">
        <f>Angela_2025_Chase1117_Activity_!C191</f>
        <v>UBER   * EATS PENDIN SAN FRANCISCO CA076605  12/04</v>
      </c>
      <c r="C194" s="6" t="str">
        <f>Angela_2025_Chase1117_Activity_!G191</f>
        <v>Uber Eats</v>
      </c>
      <c r="D194" s="12">
        <f>Angela_2025_Chase1117_Activity_!D191</f>
        <v>-126.39</v>
      </c>
    </row>
    <row r="195" spans="1:4" x14ac:dyDescent="0.25">
      <c r="A195" s="26">
        <f>Angela_2025_Chase1117_Activity_!B192</f>
        <v>45996</v>
      </c>
      <c r="B195" s="6" t="str">
        <f>Angela_2025_Chase1117_Activity_!C192</f>
        <v>EXPEDIA 73319226325815 EXPEDIA.COM WA        12/05</v>
      </c>
      <c r="C195" s="6" t="str">
        <f>Angela_2025_Chase1117_Activity_!G192</f>
        <v>Personal Travel</v>
      </c>
      <c r="D195" s="12">
        <f>Angela_2025_Chase1117_Activity_!D192</f>
        <v>-445.33</v>
      </c>
    </row>
    <row r="196" spans="1:4" x14ac:dyDescent="0.25">
      <c r="A196" s="26">
        <f>Angela_2025_Chase1117_Activity_!B193</f>
        <v>45996</v>
      </c>
      <c r="B196" s="6" t="str">
        <f>Angela_2025_Chase1117_Activity_!C193</f>
        <v>UNITED      01643511562 UNITED.COM TX        12/04</v>
      </c>
      <c r="C196" s="6" t="str">
        <f>Angela_2025_Chase1117_Activity_!G193</f>
        <v>Personal Travel</v>
      </c>
      <c r="D196" s="12">
        <f>Angela_2025_Chase1117_Activity_!D193</f>
        <v>-35.99</v>
      </c>
    </row>
    <row r="197" spans="1:4" x14ac:dyDescent="0.25">
      <c r="A197" s="26">
        <f>Angela_2025_Chase1117_Activity_!B194</f>
        <v>45996</v>
      </c>
      <c r="B197" s="6" t="str">
        <f>Angela_2025_Chase1117_Activity_!C194</f>
        <v>UNITED      01643511562 UNITED.COM TX        12/04</v>
      </c>
      <c r="C197" s="6" t="str">
        <f>Angela_2025_Chase1117_Activity_!G194</f>
        <v>Personal Travel</v>
      </c>
      <c r="D197" s="12">
        <f>Angela_2025_Chase1117_Activity_!D194</f>
        <v>-35.99</v>
      </c>
    </row>
    <row r="198" spans="1:4" x14ac:dyDescent="0.25">
      <c r="A198" s="26">
        <f>Angela_2025_Chase1117_Activity_!B195</f>
        <v>45996</v>
      </c>
      <c r="B198" s="6" t="str">
        <f>Angela_2025_Chase1117_Activity_!C195</f>
        <v>UNITED      01643511562 UNITED.COM TX        12/04</v>
      </c>
      <c r="C198" s="6" t="str">
        <f>Angela_2025_Chase1117_Activity_!G195</f>
        <v>Personal Travel</v>
      </c>
      <c r="D198" s="12">
        <f>Angela_2025_Chase1117_Activity_!D195</f>
        <v>-35.99</v>
      </c>
    </row>
    <row r="199" spans="1:4" x14ac:dyDescent="0.25">
      <c r="A199" s="26">
        <f>Angela_2025_Chase1117_Activity_!B196</f>
        <v>45996</v>
      </c>
      <c r="B199" s="6" t="str">
        <f>Angela_2025_Chase1117_Activity_!C196</f>
        <v>UNITED      01643511562 UNITED.COM TX        12/04</v>
      </c>
      <c r="C199" s="6" t="str">
        <f>Angela_2025_Chase1117_Activity_!G196</f>
        <v>Personal Travel</v>
      </c>
      <c r="D199" s="12">
        <f>Angela_2025_Chase1117_Activity_!D196</f>
        <v>-35.99</v>
      </c>
    </row>
    <row r="200" spans="1:4" x14ac:dyDescent="0.25">
      <c r="A200" s="26">
        <f>Angela_2025_Chase1117_Activity_!B197</f>
        <v>45996</v>
      </c>
      <c r="B200" s="6" t="str">
        <f>Angela_2025_Chase1117_Activity_!C197</f>
        <v>UNITED      016235421 800-864-8331 TX        12/04</v>
      </c>
      <c r="C200" s="6" t="str">
        <f>Angela_2025_Chase1117_Activity_!G197</f>
        <v>Personal Travel</v>
      </c>
      <c r="D200" s="12">
        <f>Angela_2025_Chase1117_Activity_!D197</f>
        <v>-614.57000000000005</v>
      </c>
    </row>
    <row r="201" spans="1:4" x14ac:dyDescent="0.25">
      <c r="A201" s="26">
        <f>Angela_2025_Chase1117_Activity_!B198</f>
        <v>45996</v>
      </c>
      <c r="B201" s="6" t="str">
        <f>Angela_2025_Chase1117_Activity_!C198</f>
        <v>UNITED      016235421 800-864-8331 TX        12/04</v>
      </c>
      <c r="C201" s="6" t="str">
        <f>Angela_2025_Chase1117_Activity_!G198</f>
        <v>Personal Travel</v>
      </c>
      <c r="D201" s="12">
        <f>Angela_2025_Chase1117_Activity_!D198</f>
        <v>-614.57000000000005</v>
      </c>
    </row>
    <row r="202" spans="1:4" x14ac:dyDescent="0.25">
      <c r="A202" s="26">
        <f>Angela_2025_Chase1117_Activity_!B199</f>
        <v>45996</v>
      </c>
      <c r="B202" s="6" t="str">
        <f>Angela_2025_Chase1117_Activity_!C199</f>
        <v>UNITED      016235421 800-864-8331 TX        12/04</v>
      </c>
      <c r="C202" s="6" t="str">
        <f>Angela_2025_Chase1117_Activity_!G199</f>
        <v>Personal Travel</v>
      </c>
      <c r="D202" s="12">
        <f>Angela_2025_Chase1117_Activity_!D199</f>
        <v>-614.57000000000005</v>
      </c>
    </row>
    <row r="203" spans="1:4" x14ac:dyDescent="0.25">
      <c r="A203" s="26">
        <f>Angela_2025_Chase1117_Activity_!B200</f>
        <v>45996</v>
      </c>
      <c r="B203" s="6" t="str">
        <f>Angela_2025_Chase1117_Activity_!C200</f>
        <v>UNITED      016235421 800-864-8331 TX        12/04</v>
      </c>
      <c r="C203" s="6" t="str">
        <f>Angela_2025_Chase1117_Activity_!G200</f>
        <v>Personal Travel</v>
      </c>
      <c r="D203" s="12">
        <f>Angela_2025_Chase1117_Activity_!D200</f>
        <v>-614.57000000000005</v>
      </c>
    </row>
    <row r="204" spans="1:4" x14ac:dyDescent="0.25">
      <c r="A204" s="26">
        <f>Angela_2025_Chase1117_Activity_!B201</f>
        <v>45995</v>
      </c>
      <c r="B204" s="6" t="str">
        <f>Angela_2025_Chase1117_Activity_!C201</f>
        <v>UBER   *TRIP HELP.UB SAN FRANCISCO CA133173  12/04</v>
      </c>
      <c r="C204" s="6" t="str">
        <f>Angela_2025_Chase1117_Activity_!G201</f>
        <v>Personal - Uber</v>
      </c>
      <c r="D204" s="12">
        <f>Angela_2025_Chase1117_Activity_!D201</f>
        <v>-17.920000000000002</v>
      </c>
    </row>
    <row r="205" spans="1:4" x14ac:dyDescent="0.25">
      <c r="A205" s="26">
        <f>Angela_2025_Chase1117_Activity_!B202</f>
        <v>45995</v>
      </c>
      <c r="B205" s="6" t="str">
        <f>Angela_2025_Chase1117_Activity_!C202</f>
        <v>UBER   * EATS PENDIN SAN FRANCISCO CA074321  12/04</v>
      </c>
      <c r="C205" s="6" t="str">
        <f>Angela_2025_Chase1117_Activity_!G202</f>
        <v>Uber Eats</v>
      </c>
      <c r="D205" s="12">
        <f>Angela_2025_Chase1117_Activity_!D202</f>
        <v>-13.97</v>
      </c>
    </row>
    <row r="206" spans="1:4" x14ac:dyDescent="0.25">
      <c r="A206" s="26">
        <f>Angela_2025_Chase1117_Activity_!B203</f>
        <v>45995</v>
      </c>
      <c r="B206" s="6" t="str">
        <f>Angela_2025_Chase1117_Activity_!C203</f>
        <v>AT&amp;T 3Z71 190620 VENICE CA           790081  12/04</v>
      </c>
      <c r="C206" s="6" t="str">
        <f>Angela_2025_Chase1117_Activity_!G203</f>
        <v>AT&amp;T</v>
      </c>
      <c r="D206" s="12">
        <f>Angela_2025_Chase1117_Activity_!D203</f>
        <v>-97.98</v>
      </c>
    </row>
    <row r="207" spans="1:4" x14ac:dyDescent="0.25">
      <c r="A207" s="26">
        <f>Angela_2025_Chase1117_Activity_!B204</f>
        <v>45995</v>
      </c>
      <c r="B207" s="6" t="str">
        <f>Angela_2025_Chase1117_Activity_!C204</f>
        <v>UBER   * EATS PENDIN SAN FRANCISCO CA018618  12/03</v>
      </c>
      <c r="C207" s="6" t="str">
        <f>Angela_2025_Chase1117_Activity_!G204</f>
        <v>Uber Eats</v>
      </c>
      <c r="D207" s="12">
        <f>Angela_2025_Chase1117_Activity_!D204</f>
        <v>-129.82</v>
      </c>
    </row>
    <row r="208" spans="1:4" x14ac:dyDescent="0.25">
      <c r="A208" s="26">
        <f>Angela_2025_Chase1117_Activity_!B205</f>
        <v>45995</v>
      </c>
      <c r="B208" s="6" t="str">
        <f>Angela_2025_Chase1117_Activity_!C205</f>
        <v>Amazon.com*BI5NO2H22 Amzn.com/bill WA        12/04</v>
      </c>
      <c r="C208" s="6" t="str">
        <f>Angela_2025_Chase1117_Activity_!G205</f>
        <v>Amazon</v>
      </c>
      <c r="D208" s="12">
        <f>Angela_2025_Chase1117_Activity_!D205</f>
        <v>-28.64</v>
      </c>
    </row>
    <row r="209" spans="1:4" x14ac:dyDescent="0.25">
      <c r="A209" s="26">
        <f>Angela_2025_Chase1117_Activity_!B206</f>
        <v>45995</v>
      </c>
      <c r="B209" s="6" t="str">
        <f>Angela_2025_Chase1117_Activity_!C206</f>
        <v>APPLE.COM/BILL 866-712-7753 CA               12/03</v>
      </c>
      <c r="C209" s="6" t="str">
        <f>Angela_2025_Chase1117_Activity_!G206</f>
        <v>Apple</v>
      </c>
      <c r="D209" s="12">
        <f>Angela_2025_Chase1117_Activity_!D206</f>
        <v>-3.99</v>
      </c>
    </row>
    <row r="210" spans="1:4" x14ac:dyDescent="0.25">
      <c r="A210" s="26">
        <f>Angela_2025_Chase1117_Activity_!B207</f>
        <v>45995</v>
      </c>
      <c r="B210" s="6" t="str">
        <f>Angela_2025_Chase1117_Activity_!C207</f>
        <v>AMAZON MKTPL*BI1DB4F Amzn.com/bill WA        12/03</v>
      </c>
      <c r="C210" s="6" t="str">
        <f>Angela_2025_Chase1117_Activity_!G207</f>
        <v>Amazon</v>
      </c>
      <c r="D210" s="12">
        <f>Angela_2025_Chase1117_Activity_!D207</f>
        <v>-37.299999999999997</v>
      </c>
    </row>
    <row r="211" spans="1:4" x14ac:dyDescent="0.25">
      <c r="A211" s="26">
        <f>Angela_2025_Chase1117_Activity_!B208</f>
        <v>45995</v>
      </c>
      <c r="B211" s="6" t="str">
        <f>Angela_2025_Chase1117_Activity_!C208</f>
        <v>Zara.com 212-3551415 NY                      12/04</v>
      </c>
      <c r="C211" s="6" t="str">
        <f>Angela_2025_Chase1117_Activity_!G208</f>
        <v>Personal - Shopping</v>
      </c>
      <c r="D211" s="12">
        <f>Angela_2025_Chase1117_Activity_!D208</f>
        <v>-602.61</v>
      </c>
    </row>
    <row r="212" spans="1:4" x14ac:dyDescent="0.25">
      <c r="A212" s="26">
        <f>Angela_2025_Chase1117_Activity_!B209</f>
        <v>45995</v>
      </c>
      <c r="B212" s="6" t="str">
        <f>Angela_2025_Chase1117_Activity_!C209</f>
        <v>Online Transfer from CHK ...1168 transaction#: 27206053886</v>
      </c>
      <c r="C212" s="6" t="str">
        <f>Angela_2025_Chase1117_Activity_!G209</f>
        <v>Transfer from DWG Capital Group</v>
      </c>
      <c r="D212" s="12">
        <f>Angela_2025_Chase1117_Activity_!D209</f>
        <v>5000</v>
      </c>
    </row>
    <row r="213" spans="1:4" x14ac:dyDescent="0.25">
      <c r="A213" s="26">
        <f>Angela_2025_Chase1117_Activity_!B210</f>
        <v>45994</v>
      </c>
      <c r="B213" s="6" t="str">
        <f>Angela_2025_Chase1117_Activity_!C210</f>
        <v>UBER * EATS PENDING SAN FRANCISCO CA 833396  12/03</v>
      </c>
      <c r="C213" s="6" t="str">
        <f>Angela_2025_Chase1117_Activity_!G210</f>
        <v>Uber Eats</v>
      </c>
      <c r="D213" s="12">
        <f>Angela_2025_Chase1117_Activity_!D210</f>
        <v>-25.99</v>
      </c>
    </row>
    <row r="214" spans="1:4" x14ac:dyDescent="0.25">
      <c r="A214" s="26">
        <f>Angela_2025_Chase1117_Activity_!B211</f>
        <v>45994</v>
      </c>
      <c r="B214" s="6" t="str">
        <f>Angela_2025_Chase1117_Activity_!C211</f>
        <v>MICROSOFT*MICROSOFT 36 REDMOND WA    132085  12/02</v>
      </c>
      <c r="C214" s="6" t="str">
        <f>Angela_2025_Chase1117_Activity_!G211</f>
        <v>Personal - Subscription</v>
      </c>
      <c r="D214" s="12">
        <f>Angela_2025_Chase1117_Activity_!D211</f>
        <v>-19.989999999999998</v>
      </c>
    </row>
    <row r="215" spans="1:4" x14ac:dyDescent="0.25">
      <c r="A215" s="26">
        <f>Angela_2025_Chase1117_Activity_!B212</f>
        <v>45994</v>
      </c>
      <c r="B215" s="6" t="str">
        <f>Angela_2025_Chase1117_Activity_!C212</f>
        <v>UBER * EATS PENDING SAN FRANCISCO CA 693006  12/02</v>
      </c>
      <c r="C215" s="6" t="str">
        <f>Angela_2025_Chase1117_Activity_!G212</f>
        <v>Uber Eats</v>
      </c>
      <c r="D215" s="12">
        <f>Angela_2025_Chase1117_Activity_!D212</f>
        <v>-50.55</v>
      </c>
    </row>
    <row r="216" spans="1:4" x14ac:dyDescent="0.25">
      <c r="A216" s="26">
        <f>Angela_2025_Chase1117_Activity_!B213</f>
        <v>45994</v>
      </c>
      <c r="B216" s="6" t="str">
        <f>Angela_2025_Chase1117_Activity_!C213</f>
        <v>SQ *BALANCED ROOT APOTH gosq.com CO          12/03</v>
      </c>
      <c r="C216" s="6" t="str">
        <f>Angela_2025_Chase1117_Activity_!G213</f>
        <v>Personal - Health</v>
      </c>
      <c r="D216" s="12">
        <f>Angela_2025_Chase1117_Activity_!D213</f>
        <v>-267</v>
      </c>
    </row>
    <row r="217" spans="1:4" x14ac:dyDescent="0.25">
      <c r="A217" s="26">
        <f>Angela_2025_Chase1117_Activity_!B214</f>
        <v>45994</v>
      </c>
      <c r="B217" s="6" t="str">
        <f>Angela_2025_Chase1117_Activity_!C214</f>
        <v>GETTY MUSEUM STORE 131-04407059 CA           12/03</v>
      </c>
      <c r="C217" s="6" t="str">
        <f>Angela_2025_Chase1117_Activity_!G214</f>
        <v>Personal - Entertainment</v>
      </c>
      <c r="D217" s="12">
        <f>Angela_2025_Chase1117_Activity_!D214</f>
        <v>-320.69</v>
      </c>
    </row>
    <row r="218" spans="1:4" x14ac:dyDescent="0.25">
      <c r="A218" s="26">
        <f>Angela_2025_Chase1117_Activity_!B215</f>
        <v>45994</v>
      </c>
      <c r="B218" s="6" t="str">
        <f>Angela_2025_Chase1117_Activity_!C215</f>
        <v>GETTY MUSEUM STORE 131-04407059 CA           12/03</v>
      </c>
      <c r="C218" s="6" t="str">
        <f>Angela_2025_Chase1117_Activity_!G215</f>
        <v>Personal - Entertainment</v>
      </c>
      <c r="D218" s="12">
        <f>Angela_2025_Chase1117_Activity_!D215</f>
        <v>-38.409999999999997</v>
      </c>
    </row>
    <row r="219" spans="1:4" x14ac:dyDescent="0.25">
      <c r="A219" s="26">
        <f>Angela_2025_Chase1117_Activity_!B216</f>
        <v>45994</v>
      </c>
      <c r="B219" s="6" t="str">
        <f>Angela_2025_Chase1117_Activity_!C216</f>
        <v>CTYDCOFFEGETTY LOS ANGELES CA                12/02</v>
      </c>
      <c r="C219" s="6" t="str">
        <f>Angela_2025_Chase1117_Activity_!G216</f>
        <v>Personal - Entertainment</v>
      </c>
      <c r="D219" s="12">
        <f>Angela_2025_Chase1117_Activity_!D216</f>
        <v>-19.46</v>
      </c>
    </row>
    <row r="220" spans="1:4" x14ac:dyDescent="0.25">
      <c r="A220" s="26">
        <f>Angela_2025_Chase1117_Activity_!B217</f>
        <v>45994</v>
      </c>
      <c r="B220" s="6" t="str">
        <f>Angela_2025_Chase1117_Activity_!C217</f>
        <v>REPUBLIC SERVICES TRA 866-576-5548 AZ        12/02</v>
      </c>
      <c r="C220" s="6" t="str">
        <f>Angela_2025_Chase1117_Activity_!G217</f>
        <v>Personal - House Bills</v>
      </c>
      <c r="D220" s="12">
        <f>Angela_2025_Chase1117_Activity_!D217</f>
        <v>-184.06</v>
      </c>
    </row>
    <row r="221" spans="1:4" x14ac:dyDescent="0.25">
      <c r="A221" s="26">
        <f>Angela_2025_Chase1117_Activity_!B218</f>
        <v>45994</v>
      </c>
      <c r="B221" s="6" t="str">
        <f>Angela_2025_Chase1117_Activity_!C218</f>
        <v>METRO EXPRESSLANES WE 323-793-8900 CA        12/01</v>
      </c>
      <c r="C221" s="6" t="str">
        <f>Angela_2025_Chase1117_Activity_!G218</f>
        <v>Personal - Car</v>
      </c>
      <c r="D221" s="12">
        <f>Angela_2025_Chase1117_Activity_!D218</f>
        <v>-8.6</v>
      </c>
    </row>
    <row r="222" spans="1:4" x14ac:dyDescent="0.25">
      <c r="A222" s="26">
        <f>Angela_2025_Chase1117_Activity_!B219</f>
        <v>45994</v>
      </c>
      <c r="B222" s="6" t="str">
        <f>Angela_2025_Chase1117_Activity_!C219</f>
        <v>Online Transfer from CHK ...1168 transaction#: 27190448427</v>
      </c>
      <c r="C222" s="6" t="str">
        <f>Angela_2025_Chase1117_Activity_!G219</f>
        <v>Transfer from DWG Capital Group</v>
      </c>
      <c r="D222" s="12">
        <f>Angela_2025_Chase1117_Activity_!D219</f>
        <v>2000</v>
      </c>
    </row>
    <row r="223" spans="1:4" x14ac:dyDescent="0.25">
      <c r="A223" s="26">
        <f>Angela_2025_Chase1117_Activity_!B220</f>
        <v>45993</v>
      </c>
      <c r="B223" s="6" t="str">
        <f>Angela_2025_Chase1117_Activity_!C220</f>
        <v>UBER   *EATS HELP.UB SAN FRANCISCO CA029106  12/01</v>
      </c>
      <c r="C223" s="6" t="str">
        <f>Angela_2025_Chase1117_Activity_!G220</f>
        <v>Uber Eats</v>
      </c>
      <c r="D223" s="12">
        <f>Angela_2025_Chase1117_Activity_!D220</f>
        <v>-5</v>
      </c>
    </row>
    <row r="224" spans="1:4" x14ac:dyDescent="0.25">
      <c r="A224" s="26">
        <f>Angela_2025_Chase1117_Activity_!B221</f>
        <v>45993</v>
      </c>
      <c r="B224" s="6" t="str">
        <f>Angela_2025_Chase1117_Activity_!C221</f>
        <v>mango.com USA 866-6664664 NY                 12/02</v>
      </c>
      <c r="C224" s="6" t="str">
        <f>Angela_2025_Chase1117_Activity_!G221</f>
        <v>Personal - Shopping</v>
      </c>
      <c r="D224" s="12">
        <f>Angela_2025_Chase1117_Activity_!D221</f>
        <v>-279.83</v>
      </c>
    </row>
    <row r="225" spans="1:4" x14ac:dyDescent="0.25">
      <c r="A225" s="26">
        <f>Angela_2025_Chase1117_Activity_!B222</f>
        <v>45993</v>
      </c>
      <c r="B225" s="6" t="str">
        <f>Angela_2025_Chase1117_Activity_!C222</f>
        <v>UBER * EATS PENDING SAN FRANCISCO CA 279809  12/01</v>
      </c>
      <c r="C225" s="6" t="str">
        <f>Angela_2025_Chase1117_Activity_!G222</f>
        <v>Uber Eats</v>
      </c>
      <c r="D225" s="12">
        <f>Angela_2025_Chase1117_Activity_!D222</f>
        <v>-38.840000000000003</v>
      </c>
    </row>
    <row r="226" spans="1:4" x14ac:dyDescent="0.25">
      <c r="A226" s="26">
        <f>Angela_2025_Chase1117_Activity_!B223</f>
        <v>45993</v>
      </c>
      <c r="B226" s="6" t="str">
        <f>Angela_2025_Chase1117_Activity_!C223</f>
        <v>UBER   * EATS PENDIN SAN FRANCISCO CA138229  12/01</v>
      </c>
      <c r="C226" s="6" t="str">
        <f>Angela_2025_Chase1117_Activity_!G223</f>
        <v>Uber Eats</v>
      </c>
      <c r="D226" s="12">
        <f>Angela_2025_Chase1117_Activity_!D223</f>
        <v>-10.06</v>
      </c>
    </row>
    <row r="227" spans="1:4" x14ac:dyDescent="0.25">
      <c r="A227" s="26">
        <f>Angela_2025_Chase1117_Activity_!B224</f>
        <v>45993</v>
      </c>
      <c r="B227" s="6" t="str">
        <f>Angela_2025_Chase1117_Activity_!C224</f>
        <v>SQ *BANNERMEDIUM gosq.com CA                 12/02</v>
      </c>
      <c r="C227" s="6" t="str">
        <f>Angela_2025_Chase1117_Activity_!G224</f>
        <v>Personal - Shopping</v>
      </c>
      <c r="D227" s="12">
        <f>Angela_2025_Chase1117_Activity_!D224</f>
        <v>-185</v>
      </c>
    </row>
    <row r="228" spans="1:4" x14ac:dyDescent="0.25">
      <c r="A228" s="26">
        <f>Angela_2025_Chase1117_Activity_!B225</f>
        <v>45993</v>
      </c>
      <c r="B228" s="6" t="str">
        <f>Angela_2025_Chase1117_Activity_!C225</f>
        <v>Amazon.com*BB8AY7PT0 Amzn.com/bill WA        12/01</v>
      </c>
      <c r="C228" s="6" t="str">
        <f>Angela_2025_Chase1117_Activity_!G225</f>
        <v>Amazon</v>
      </c>
      <c r="D228" s="12">
        <f>Angela_2025_Chase1117_Activity_!D225</f>
        <v>-20.84</v>
      </c>
    </row>
    <row r="229" spans="1:4" x14ac:dyDescent="0.25">
      <c r="A229" s="26">
        <f>Angela_2025_Chase1117_Activity_!B226</f>
        <v>45993</v>
      </c>
      <c r="B229" s="6" t="str">
        <f>Angela_2025_Chase1117_Activity_!C226</f>
        <v>AMAZON MKTPL*BB38O1I Amzn.com/bill WA        12/01</v>
      </c>
      <c r="C229" s="6" t="str">
        <f>Angela_2025_Chase1117_Activity_!G226</f>
        <v>Amazon</v>
      </c>
      <c r="D229" s="12">
        <f>Angela_2025_Chase1117_Activity_!D226</f>
        <v>-43.88</v>
      </c>
    </row>
    <row r="230" spans="1:4" x14ac:dyDescent="0.25">
      <c r="A230" s="26">
        <f>Angela_2025_Chase1117_Activity_!B227</f>
        <v>45993</v>
      </c>
      <c r="B230" s="6" t="str">
        <f>Angela_2025_Chase1117_Activity_!C227</f>
        <v>AMAZON MKTPL*BB90U41 Amzn.com/bill WA        12/01</v>
      </c>
      <c r="C230" s="6" t="str">
        <f>Angela_2025_Chase1117_Activity_!G227</f>
        <v>Amazon</v>
      </c>
      <c r="D230" s="12">
        <f>Angela_2025_Chase1117_Activity_!D227</f>
        <v>-170.11</v>
      </c>
    </row>
    <row r="231" spans="1:4" x14ac:dyDescent="0.25">
      <c r="A231" s="26">
        <f>Angela_2025_Chase1117_Activity_!B228</f>
        <v>45992</v>
      </c>
      <c r="B231" s="6" t="str">
        <f>Angela_2025_Chase1117_Activity_!C228</f>
        <v>Online Payment 27169169292 To MERCEDES-BENZ FINANCIAL SERVICES 12/01</v>
      </c>
      <c r="C231" s="6" t="str">
        <f>Angela_2025_Chase1117_Activity_!G228</f>
        <v>Personal - House Bills</v>
      </c>
      <c r="D231" s="12">
        <f>Angela_2025_Chase1117_Activity_!D228</f>
        <v>-700</v>
      </c>
    </row>
    <row r="232" spans="1:4" x14ac:dyDescent="0.25">
      <c r="A232" s="26">
        <f>Angela_2025_Chase1117_Activity_!B229</f>
        <v>45992</v>
      </c>
      <c r="B232" s="6" t="str">
        <f>Angela_2025_Chase1117_Activity_!C229</f>
        <v>Online Payment 27169133876 To SAFECO INSURANCE COMPANY 12/01</v>
      </c>
      <c r="C232" s="6" t="str">
        <f>Angela_2025_Chase1117_Activity_!G229</f>
        <v>Personal - House Bills</v>
      </c>
      <c r="D232" s="12">
        <f>Angela_2025_Chase1117_Activity_!D229</f>
        <v>-120</v>
      </c>
    </row>
    <row r="233" spans="1:4" x14ac:dyDescent="0.25">
      <c r="A233" s="26">
        <f>Angela_2025_Chase1117_Activity_!B230</f>
        <v>45992</v>
      </c>
      <c r="B233" s="6" t="str">
        <f>Angela_2025_Chase1117_Activity_!C230</f>
        <v>Online Payment 27169125807 To FRONTIER TELEPHONE 12/01</v>
      </c>
      <c r="C233" s="6" t="str">
        <f>Angela_2025_Chase1117_Activity_!G230</f>
        <v>Personal - House Bills</v>
      </c>
      <c r="D233" s="12">
        <f>Angela_2025_Chase1117_Activity_!D230</f>
        <v>-350</v>
      </c>
    </row>
    <row r="234" spans="1:4" x14ac:dyDescent="0.25">
      <c r="A234" s="26">
        <f>Angela_2025_Chase1117_Activity_!B231</f>
        <v>45992</v>
      </c>
      <c r="B234" s="6" t="str">
        <f>Angela_2025_Chase1117_Activity_!C231</f>
        <v>Online Payment 27169097066 To AMERICAN EDUCATION SERVICES 12/01</v>
      </c>
      <c r="C234" s="6" t="str">
        <f>Angela_2025_Chase1117_Activity_!G231</f>
        <v>Personal - House Bills</v>
      </c>
      <c r="D234" s="12">
        <f>Angela_2025_Chase1117_Activity_!D231</f>
        <v>-320</v>
      </c>
    </row>
    <row r="235" spans="1:4" x14ac:dyDescent="0.25">
      <c r="A235" s="26">
        <f>Angela_2025_Chase1117_Activity_!B232</f>
        <v>45992</v>
      </c>
      <c r="B235" s="6" t="str">
        <f>Angela_2025_Chase1117_Activity_!C232</f>
        <v>Online Payment 27169069773 To SOUTHERN CALIFORNIA GAS CO 12/01</v>
      </c>
      <c r="C235" s="6" t="str">
        <f>Angela_2025_Chase1117_Activity_!G232</f>
        <v>Personal - House Bills</v>
      </c>
      <c r="D235" s="12">
        <f>Angela_2025_Chase1117_Activity_!D232</f>
        <v>-300</v>
      </c>
    </row>
    <row r="236" spans="1:4" x14ac:dyDescent="0.25">
      <c r="A236" s="26">
        <f>Angela_2025_Chase1117_Activity_!B233</f>
        <v>45992</v>
      </c>
      <c r="B236" s="6" t="str">
        <f>Angela_2025_Chase1117_Activity_!C233</f>
        <v>UBER * EATS PENDING SAN FRANCISCO CA 925598  11/30</v>
      </c>
      <c r="C236" s="6" t="str">
        <f>Angela_2025_Chase1117_Activity_!G233</f>
        <v>Uber Eats</v>
      </c>
      <c r="D236" s="12">
        <f>Angela_2025_Chase1117_Activity_!D233</f>
        <v>-39.97</v>
      </c>
    </row>
    <row r="237" spans="1:4" x14ac:dyDescent="0.25">
      <c r="A237" s="26">
        <f>Angela_2025_Chase1117_Activity_!B234</f>
        <v>45992</v>
      </c>
      <c r="B237" s="6" t="str">
        <f>Angela_2025_Chase1117_Activity_!C234</f>
        <v>THE GETTY PARKING LOS ANGELES CA             11/30</v>
      </c>
      <c r="C237" s="6" t="str">
        <f>Angela_2025_Chase1117_Activity_!G234</f>
        <v>Personal - Entertainment</v>
      </c>
      <c r="D237" s="12">
        <f>Angela_2025_Chase1117_Activity_!D234</f>
        <v>-25</v>
      </c>
    </row>
    <row r="238" spans="1:4" x14ac:dyDescent="0.25">
      <c r="A238" s="26">
        <f>Angela_2025_Chase1117_Activity_!B235</f>
        <v>45992</v>
      </c>
      <c r="B238" s="6" t="str">
        <f>Angela_2025_Chase1117_Activity_!C235</f>
        <v>GETTY MUSEUM STORE 131-04407059 CA           11/30</v>
      </c>
      <c r="C238" s="6" t="str">
        <f>Angela_2025_Chase1117_Activity_!G235</f>
        <v>Personal - Entertainment</v>
      </c>
      <c r="D238" s="12">
        <f>Angela_2025_Chase1117_Activity_!D235</f>
        <v>-142.68</v>
      </c>
    </row>
    <row r="239" spans="1:4" x14ac:dyDescent="0.25">
      <c r="A239" s="26">
        <f>Angela_2025_Chase1117_Activity_!B236</f>
        <v>45992</v>
      </c>
      <c r="B239" s="6" t="str">
        <f>Angela_2025_Chase1117_Activity_!C236</f>
        <v>GETTY MUSEUM STORE 131-04407059 CA           11/30</v>
      </c>
      <c r="C239" s="6" t="str">
        <f>Angela_2025_Chase1117_Activity_!G236</f>
        <v>Personal - Entertainment</v>
      </c>
      <c r="D239" s="12">
        <f>Angela_2025_Chase1117_Activity_!D236</f>
        <v>-200.02</v>
      </c>
    </row>
    <row r="240" spans="1:4" x14ac:dyDescent="0.25">
      <c r="A240" s="26">
        <f>Angela_2025_Chase1117_Activity_!B237</f>
        <v>45992</v>
      </c>
      <c r="B240" s="6" t="str">
        <f>Angela_2025_Chase1117_Activity_!C237</f>
        <v>Amazon Tips*BB843964 Amzn.com/bill WA        11/30</v>
      </c>
      <c r="C240" s="6" t="str">
        <f>Angela_2025_Chase1117_Activity_!G237</f>
        <v>Amazon</v>
      </c>
      <c r="D240" s="12">
        <f>Angela_2025_Chase1117_Activity_!D237</f>
        <v>-20</v>
      </c>
    </row>
    <row r="241" spans="1:4" x14ac:dyDescent="0.25">
      <c r="A241" s="26">
        <f>Angela_2025_Chase1117_Activity_!B238</f>
        <v>45992</v>
      </c>
      <c r="B241" s="6" t="str">
        <f>Angela_2025_Chase1117_Activity_!C238</f>
        <v>GETTYVILLAESP LOS ANGELES CA                 11/30</v>
      </c>
      <c r="C241" s="6" t="str">
        <f>Angela_2025_Chase1117_Activity_!G238</f>
        <v>Personal - Entertainment</v>
      </c>
      <c r="D241" s="12">
        <f>Angela_2025_Chase1117_Activity_!D238</f>
        <v>-30.49</v>
      </c>
    </row>
    <row r="242" spans="1:4" x14ac:dyDescent="0.25">
      <c r="A242" s="26">
        <f>Angela_2025_Chase1117_Activity_!B239</f>
        <v>45992</v>
      </c>
      <c r="B242" s="6" t="str">
        <f>Angela_2025_Chase1117_Activity_!C239</f>
        <v>UBER * EATS PENDING SAN FRANCISCO CA 746036  11/30</v>
      </c>
      <c r="C242" s="6" t="str">
        <f>Angela_2025_Chase1117_Activity_!G239</f>
        <v>Uber Eats</v>
      </c>
      <c r="D242" s="12">
        <f>Angela_2025_Chase1117_Activity_!D239</f>
        <v>-12.97</v>
      </c>
    </row>
    <row r="243" spans="1:4" x14ac:dyDescent="0.25">
      <c r="A243" s="26">
        <f>Angela_2025_Chase1117_Activity_!B240</f>
        <v>45992</v>
      </c>
      <c r="B243" s="6" t="str">
        <f>Angela_2025_Chase1117_Activity_!C240</f>
        <v>Amazon.com*BB9079XK1 Amzn.com/bill WA        11/30</v>
      </c>
      <c r="C243" s="6" t="str">
        <f>Angela_2025_Chase1117_Activity_!G240</f>
        <v>Amazon</v>
      </c>
      <c r="D243" s="12">
        <f>Angela_2025_Chase1117_Activity_!D240</f>
        <v>-58.82</v>
      </c>
    </row>
    <row r="244" spans="1:4" x14ac:dyDescent="0.25">
      <c r="A244" s="26">
        <f>Angela_2025_Chase1117_Activity_!B241</f>
        <v>45992</v>
      </c>
      <c r="B244" s="6" t="str">
        <f>Angela_2025_Chase1117_Activity_!C241</f>
        <v>BLUE SHIELD CALIFORNI 800-393-6130 CA        11/30</v>
      </c>
      <c r="C244" s="6" t="str">
        <f>Angela_2025_Chase1117_Activity_!G241</f>
        <v>Personal - Health Insurance</v>
      </c>
      <c r="D244" s="12">
        <f>Angela_2025_Chase1117_Activity_!D241</f>
        <v>-944.63</v>
      </c>
    </row>
    <row r="245" spans="1:4" x14ac:dyDescent="0.25">
      <c r="A245" s="26">
        <f>Angela_2025_Chase1117_Activity_!B242</f>
        <v>45992</v>
      </c>
      <c r="B245" s="6" t="str">
        <f>Angela_2025_Chase1117_Activity_!C242</f>
        <v>Kindle Svcs*BB8WD5LH0 888-802-3080 WA        11/30</v>
      </c>
      <c r="C245" s="6" t="str">
        <f>Angela_2025_Chase1117_Activity_!G242</f>
        <v>Personal - Subscription</v>
      </c>
      <c r="D245" s="12">
        <f>Angela_2025_Chase1117_Activity_!D242</f>
        <v>-15.99</v>
      </c>
    </row>
    <row r="246" spans="1:4" x14ac:dyDescent="0.25">
      <c r="A246" s="26">
        <f>Angela_2025_Chase1117_Activity_!B243</f>
        <v>45992</v>
      </c>
      <c r="B246" s="6" t="str">
        <f>Angela_2025_Chase1117_Activity_!C243</f>
        <v>Kindle Svcs*BB29U2LW0 888-802-3080 WA        11/30</v>
      </c>
      <c r="C246" s="6" t="str">
        <f>Angela_2025_Chase1117_Activity_!G243</f>
        <v>Personal - Subscription</v>
      </c>
      <c r="D246" s="12">
        <f>Angela_2025_Chase1117_Activity_!D243</f>
        <v>-15.99</v>
      </c>
    </row>
    <row r="247" spans="1:4" x14ac:dyDescent="0.25">
      <c r="A247" s="26">
        <f>Angela_2025_Chase1117_Activity_!B244</f>
        <v>45992</v>
      </c>
      <c r="B247" s="6" t="str">
        <f>Angela_2025_Chase1117_Activity_!C244</f>
        <v>UBER * EATS PENDING SAN FRANCISCO CA 846519  11/30</v>
      </c>
      <c r="C247" s="6" t="str">
        <f>Angela_2025_Chase1117_Activity_!G244</f>
        <v>Uber Eats</v>
      </c>
      <c r="D247" s="12">
        <f>Angela_2025_Chase1117_Activity_!D244</f>
        <v>-44.68</v>
      </c>
    </row>
    <row r="248" spans="1:4" x14ac:dyDescent="0.25">
      <c r="A248" s="26">
        <f>Angela_2025_Chase1117_Activity_!B245</f>
        <v>45992</v>
      </c>
      <c r="B248" s="6" t="str">
        <f>Angela_2025_Chase1117_Activity_!C245</f>
        <v>PENTESTER.COM BOCA RATON FL          010949  11/29</v>
      </c>
      <c r="C248" s="6" t="str">
        <f>Angela_2025_Chase1117_Activity_!G245</f>
        <v>Personal - Subscription</v>
      </c>
      <c r="D248" s="12">
        <f>Angela_2025_Chase1117_Activity_!D245</f>
        <v>-19</v>
      </c>
    </row>
    <row r="249" spans="1:4" x14ac:dyDescent="0.25">
      <c r="A249" s="26">
        <f>Angela_2025_Chase1117_Activity_!B246</f>
        <v>45992</v>
      </c>
      <c r="B249" s="6" t="str">
        <f>Angela_2025_Chase1117_Activity_!C246</f>
        <v>Amazon.com*BB7N85H42 Amzn.com/bill WA        11/30</v>
      </c>
      <c r="C249" s="6" t="str">
        <f>Angela_2025_Chase1117_Activity_!G246</f>
        <v>Amazon</v>
      </c>
      <c r="D249" s="12">
        <f>Angela_2025_Chase1117_Activity_!D246</f>
        <v>-18.38</v>
      </c>
    </row>
    <row r="250" spans="1:4" x14ac:dyDescent="0.25">
      <c r="A250" s="26">
        <f>Angela_2025_Chase1117_Activity_!B247</f>
        <v>45992</v>
      </c>
      <c r="B250" s="6" t="str">
        <f>Angela_2025_Chase1117_Activity_!C247</f>
        <v>CVS/PHARMACY #09493 MAR VISTA CA     023621  11/29</v>
      </c>
      <c r="C250" s="6" t="str">
        <f>Angela_2025_Chase1117_Activity_!G247</f>
        <v>Personal - Health</v>
      </c>
      <c r="D250" s="12">
        <f>Angela_2025_Chase1117_Activity_!D247</f>
        <v>-126.17</v>
      </c>
    </row>
    <row r="251" spans="1:4" x14ac:dyDescent="0.25">
      <c r="A251" s="26">
        <f>Angela_2025_Chase1117_Activity_!B248</f>
        <v>45992</v>
      </c>
      <c r="B251" s="6" t="str">
        <f>Angela_2025_Chase1117_Activity_!C248</f>
        <v>Amazon.com*BB67V2C90 Amzn.com/bill WA        11/29</v>
      </c>
      <c r="C251" s="6" t="str">
        <f>Angela_2025_Chase1117_Activity_!G248</f>
        <v>Amazon</v>
      </c>
      <c r="D251" s="12">
        <f>Angela_2025_Chase1117_Activity_!D248</f>
        <v>-100.4</v>
      </c>
    </row>
    <row r="252" spans="1:4" x14ac:dyDescent="0.25">
      <c r="A252" s="26">
        <f>Angela_2025_Chase1117_Activity_!B249</f>
        <v>45992</v>
      </c>
      <c r="B252" s="6" t="str">
        <f>Angela_2025_Chase1117_Activity_!C249</f>
        <v>WP*WORDPRESS MGAAZLT WORDPRESS.COM CA        11/29</v>
      </c>
      <c r="C252" s="6" t="str">
        <f>Angela_2025_Chase1117_Activity_!G249</f>
        <v>Personal - Subscription</v>
      </c>
      <c r="D252" s="12">
        <f>Angela_2025_Chase1117_Activity_!D249</f>
        <v>-22</v>
      </c>
    </row>
    <row r="253" spans="1:4" x14ac:dyDescent="0.25">
      <c r="A253" s="26">
        <f>Angela_2025_Chase1117_Activity_!B250</f>
        <v>45992</v>
      </c>
      <c r="B253" s="6" t="str">
        <f>Angela_2025_Chase1117_Activity_!C250</f>
        <v>Amazon Tips*B22X6120 Amzn.com/bill WA        11/28</v>
      </c>
      <c r="C253" s="6" t="str">
        <f>Angela_2025_Chase1117_Activity_!G250</f>
        <v>Amazon</v>
      </c>
      <c r="D253" s="12">
        <f>Angela_2025_Chase1117_Activity_!D250</f>
        <v>-20</v>
      </c>
    </row>
    <row r="254" spans="1:4" x14ac:dyDescent="0.25">
      <c r="A254" s="26">
        <f>Angela_2025_Chase1117_Activity_!B251</f>
        <v>45992</v>
      </c>
      <c r="B254" s="6" t="str">
        <f>Angela_2025_Chase1117_Activity_!C251</f>
        <v>AMAZON MKTPL*BB4II24 Amzn.com/bill WA        11/28</v>
      </c>
      <c r="C254" s="6" t="str">
        <f>Angela_2025_Chase1117_Activity_!G251</f>
        <v>Amazon</v>
      </c>
      <c r="D254" s="12">
        <f>Angela_2025_Chase1117_Activity_!D251</f>
        <v>-78.14</v>
      </c>
    </row>
    <row r="255" spans="1:4" x14ac:dyDescent="0.25">
      <c r="A255" s="26">
        <f>Angela_2025_Chase1117_Activity_!B252</f>
        <v>45992</v>
      </c>
      <c r="B255" s="6" t="str">
        <f>Angela_2025_Chase1117_Activity_!C252</f>
        <v>AMAZON MKTPL*BB74T8N Amzn.com/bill WA        11/28</v>
      </c>
      <c r="C255" s="6" t="str">
        <f>Angela_2025_Chase1117_Activity_!G252</f>
        <v>Amazon</v>
      </c>
      <c r="D255" s="12">
        <f>Angela_2025_Chase1117_Activity_!D252</f>
        <v>-40.47</v>
      </c>
    </row>
    <row r="256" spans="1:4" x14ac:dyDescent="0.25">
      <c r="A256" s="26">
        <f>Angela_2025_Chase1117_Activity_!B253</f>
        <v>45992</v>
      </c>
      <c r="B256" s="6" t="str">
        <f>Angela_2025_Chase1117_Activity_!C253</f>
        <v>CVSExtraCare 80074672 800-746-7287 RI        11/28</v>
      </c>
      <c r="C256" s="6" t="str">
        <f>Angela_2025_Chase1117_Activity_!G253</f>
        <v>Personal - Health</v>
      </c>
      <c r="D256" s="12">
        <f>Angela_2025_Chase1117_Activity_!D253</f>
        <v>-5.49</v>
      </c>
    </row>
    <row r="257" spans="1:4" x14ac:dyDescent="0.25">
      <c r="A257" s="26">
        <f>Angela_2025_Chase1117_Activity_!B254</f>
        <v>45992</v>
      </c>
      <c r="B257" s="6" t="str">
        <f>Angela_2025_Chase1117_Activity_!C254</f>
        <v>AMAZON MKTPL*B22P467 Amzn.com/bill WA        11/28</v>
      </c>
      <c r="C257" s="6" t="str">
        <f>Angela_2025_Chase1117_Activity_!G254</f>
        <v>Amazon</v>
      </c>
      <c r="D257" s="12">
        <f>Angela_2025_Chase1117_Activity_!D254</f>
        <v>-27.43</v>
      </c>
    </row>
    <row r="258" spans="1:4" x14ac:dyDescent="0.25">
      <c r="A258" s="26">
        <f>Angela_2025_Chase1117_Activity_!B255</f>
        <v>45992</v>
      </c>
      <c r="B258" s="6" t="str">
        <f>Angela_2025_Chase1117_Activity_!C255</f>
        <v>Online Transfer from CHK ...1168 transaction#: 27139566934</v>
      </c>
      <c r="C258" s="6" t="str">
        <f>Angela_2025_Chase1117_Activity_!G255</f>
        <v>Transfer from DWG Capital Group</v>
      </c>
      <c r="D258" s="12">
        <f>Angela_2025_Chase1117_Activity_!D255</f>
        <v>3000</v>
      </c>
    </row>
    <row r="259" spans="1:4" x14ac:dyDescent="0.25">
      <c r="A259" s="26">
        <f>Angela_2025_Chase1117_Activity_!B256</f>
        <v>45989</v>
      </c>
      <c r="B259" s="6" t="str">
        <f>Angela_2025_Chase1117_Activity_!C256</f>
        <v>UBER * EATS PENDING SAN FRANCISCO CA 380103  11/28</v>
      </c>
      <c r="C259" s="6" t="str">
        <f>Angela_2025_Chase1117_Activity_!G256</f>
        <v>Uber Eats</v>
      </c>
      <c r="D259" s="12">
        <f>Angela_2025_Chase1117_Activity_!D256</f>
        <v>-37.340000000000003</v>
      </c>
    </row>
    <row r="260" spans="1:4" x14ac:dyDescent="0.25">
      <c r="A260" s="26">
        <f>Angela_2025_Chase1117_Activity_!B257</f>
        <v>45989</v>
      </c>
      <c r="B260" s="6" t="str">
        <f>Angela_2025_Chase1117_Activity_!C257</f>
        <v>APPLE.COM/BILL 866-712-7753 CA               11/28</v>
      </c>
      <c r="C260" s="6" t="str">
        <f>Angela_2025_Chase1117_Activity_!G257</f>
        <v>Apple</v>
      </c>
      <c r="D260" s="12">
        <f>Angela_2025_Chase1117_Activity_!D257</f>
        <v>-5.99</v>
      </c>
    </row>
    <row r="261" spans="1:4" x14ac:dyDescent="0.25">
      <c r="A261" s="26">
        <f>Angela_2025_Chase1117_Activity_!B258</f>
        <v>45989</v>
      </c>
      <c r="B261" s="6" t="str">
        <f>Angela_2025_Chase1117_Activity_!C258</f>
        <v>Nasty Gal - DBZ New Castle DE                11/28</v>
      </c>
      <c r="C261" s="6" t="str">
        <f>Angela_2025_Chase1117_Activity_!G258</f>
        <v>Personal - Clothing</v>
      </c>
      <c r="D261" s="12">
        <f>Angela_2025_Chase1117_Activity_!D258</f>
        <v>-332.54</v>
      </c>
    </row>
    <row r="262" spans="1:4" x14ac:dyDescent="0.25">
      <c r="A262" s="26">
        <f>Angela_2025_Chase1117_Activity_!B259</f>
        <v>45989</v>
      </c>
      <c r="B262" s="6" t="str">
        <f>Angela_2025_Chase1117_Activity_!C259</f>
        <v>AMAZON MKTPL*BB2T45O Amzn.com/bill WA        11/28</v>
      </c>
      <c r="C262" s="6" t="str">
        <f>Angela_2025_Chase1117_Activity_!G259</f>
        <v>Amazon</v>
      </c>
      <c r="D262" s="12">
        <f>Angela_2025_Chase1117_Activity_!D259</f>
        <v>-42.79</v>
      </c>
    </row>
    <row r="263" spans="1:4" x14ac:dyDescent="0.25">
      <c r="A263" s="26">
        <f>Angela_2025_Chase1117_Activity_!B260</f>
        <v>45989</v>
      </c>
      <c r="B263" s="6" t="str">
        <f>Angela_2025_Chase1117_Activity_!C260</f>
        <v>Amazon.com*B23GM7QJ0 Amzn.com/bill WA        11/27</v>
      </c>
      <c r="C263" s="6" t="str">
        <f>Angela_2025_Chase1117_Activity_!G260</f>
        <v>Amazon</v>
      </c>
      <c r="D263" s="12">
        <f>Angela_2025_Chase1117_Activity_!D260</f>
        <v>-124.17</v>
      </c>
    </row>
    <row r="264" spans="1:4" x14ac:dyDescent="0.25">
      <c r="A264" s="26">
        <f>Angela_2025_Chase1117_Activity_!B261</f>
        <v>45989</v>
      </c>
      <c r="B264" s="6" t="str">
        <f>Angela_2025_Chase1117_Activity_!C261</f>
        <v>AMAZON MKTPL*BB6GN1C Amzn.com/bill WA        11/27</v>
      </c>
      <c r="C264" s="6" t="str">
        <f>Angela_2025_Chase1117_Activity_!G261</f>
        <v>Amazon</v>
      </c>
      <c r="D264" s="12">
        <f>Angela_2025_Chase1117_Activity_!D261</f>
        <v>-35.119999999999997</v>
      </c>
    </row>
    <row r="265" spans="1:4" x14ac:dyDescent="0.25">
      <c r="A265" s="26">
        <f>Angela_2025_Chase1117_Activity_!B262</f>
        <v>45989</v>
      </c>
      <c r="B265" s="6" t="str">
        <f>Angela_2025_Chase1117_Activity_!C262</f>
        <v>PEETS 13403 MARINA DEL RE CA                 11/26</v>
      </c>
      <c r="C265" s="6" t="str">
        <f>Angela_2025_Chase1117_Activity_!G262</f>
        <v>Personal - Food</v>
      </c>
      <c r="D265" s="12">
        <f>Angela_2025_Chase1117_Activity_!D262</f>
        <v>-27.1</v>
      </c>
    </row>
    <row r="266" spans="1:4" x14ac:dyDescent="0.25">
      <c r="A266" s="26">
        <f>Angela_2025_Chase1117_Activity_!B263</f>
        <v>45989</v>
      </c>
      <c r="B266" s="6" t="str">
        <f>Angela_2025_Chase1117_Activity_!C263</f>
        <v>SPACEWEATHERNEWS.COM SPACEWEATHERN CO        11/26</v>
      </c>
      <c r="C266" s="6" t="str">
        <f>Angela_2025_Chase1117_Activity_!G263</f>
        <v>Personal - Subscription</v>
      </c>
      <c r="D266" s="12">
        <f>Angela_2025_Chase1117_Activity_!D263</f>
        <v>-5.99</v>
      </c>
    </row>
    <row r="267" spans="1:4" x14ac:dyDescent="0.25">
      <c r="A267" s="26">
        <f>Angela_2025_Chase1117_Activity_!B264</f>
        <v>45989</v>
      </c>
      <c r="B267" s="6" t="str">
        <f>Angela_2025_Chase1117_Activity_!C264</f>
        <v>Prime Video Channels amzn.com/bill WA        11/26</v>
      </c>
      <c r="C267" s="6" t="str">
        <f>Angela_2025_Chase1117_Activity_!G264</f>
        <v>Amazon</v>
      </c>
      <c r="D267" s="12">
        <f>Angela_2025_Chase1117_Activity_!D264</f>
        <v>-6.99</v>
      </c>
    </row>
    <row r="268" spans="1:4" x14ac:dyDescent="0.25">
      <c r="A268" s="26">
        <f>Angela_2025_Chase1117_Activity_!B265</f>
        <v>45989</v>
      </c>
      <c r="B268" s="6" t="str">
        <f>Angela_2025_Chase1117_Activity_!C265</f>
        <v>AMAZON MKTPL*B27G439 Amzn.com/bill WA        11/26</v>
      </c>
      <c r="C268" s="6" t="str">
        <f>Angela_2025_Chase1117_Activity_!G265</f>
        <v>Amazon</v>
      </c>
      <c r="D268" s="12">
        <f>Angela_2025_Chase1117_Activity_!D265</f>
        <v>-28.51</v>
      </c>
    </row>
    <row r="269" spans="1:4" x14ac:dyDescent="0.25">
      <c r="A269" s="26">
        <f>Angela_2025_Chase1117_Activity_!B266</f>
        <v>45989</v>
      </c>
      <c r="B269" s="6" t="str">
        <f>Angela_2025_Chase1117_Activity_!C266</f>
        <v>Zara.com 212-3551415 NY                      11/27</v>
      </c>
      <c r="C269" s="6" t="str">
        <f>Angela_2025_Chase1117_Activity_!G266</f>
        <v>Personal - Shopping</v>
      </c>
      <c r="D269" s="12">
        <f>Angela_2025_Chase1117_Activity_!D266</f>
        <v>-188.95</v>
      </c>
    </row>
    <row r="270" spans="1:4" x14ac:dyDescent="0.25">
      <c r="A270" s="26">
        <f>Angela_2025_Chase1117_Activity_!B267</f>
        <v>45989</v>
      </c>
      <c r="B270" s="6" t="str">
        <f>Angela_2025_Chase1117_Activity_!C267</f>
        <v>Zara.com 212-3551415 NY                      11/27</v>
      </c>
      <c r="C270" s="6" t="str">
        <f>Angela_2025_Chase1117_Activity_!G267</f>
        <v>Personal - Shopping</v>
      </c>
      <c r="D270" s="12">
        <f>Angela_2025_Chase1117_Activity_!D267</f>
        <v>-621.97</v>
      </c>
    </row>
    <row r="271" spans="1:4" x14ac:dyDescent="0.25">
      <c r="A271" s="26">
        <f>Angela_2025_Chase1117_Activity_!B268</f>
        <v>45989</v>
      </c>
      <c r="B271" s="6" t="str">
        <f>Angela_2025_Chase1117_Activity_!C268</f>
        <v>Zelle payment from JOE SAUNDERS 27126797327</v>
      </c>
      <c r="C271" s="6" t="str">
        <f>Angela_2025_Chase1117_Activity_!G268</f>
        <v>Zelle from Joe Saunders</v>
      </c>
      <c r="D271" s="12">
        <f>Angela_2025_Chase1117_Activity_!D268</f>
        <v>500</v>
      </c>
    </row>
    <row r="272" spans="1:4" x14ac:dyDescent="0.25">
      <c r="A272" s="26">
        <f>Angela_2025_Chase1117_Activity_!B269</f>
        <v>45987</v>
      </c>
      <c r="B272" s="6" t="str">
        <f>Angela_2025_Chase1117_Activity_!C269</f>
        <v>TST*BEETHOVEN Los Angeles CA                 11/25</v>
      </c>
      <c r="C272" s="6" t="str">
        <f>Angela_2025_Chase1117_Activity_!G269</f>
        <v>Personal - Food</v>
      </c>
      <c r="D272" s="12">
        <f>Angela_2025_Chase1117_Activity_!D269</f>
        <v>-189.96</v>
      </c>
    </row>
    <row r="273" spans="1:4" x14ac:dyDescent="0.25">
      <c r="A273" s="26">
        <f>Angela_2025_Chase1117_Activity_!B270</f>
        <v>45987</v>
      </c>
      <c r="B273" s="6" t="str">
        <f>Angela_2025_Chase1117_Activity_!C270</f>
        <v>AMAZON MKTPL*B22AM02 Amzn.com/bill WA        11/26</v>
      </c>
      <c r="C273" s="6" t="str">
        <f>Angela_2025_Chase1117_Activity_!G270</f>
        <v>Amazon</v>
      </c>
      <c r="D273" s="12">
        <f>Angela_2025_Chase1117_Activity_!D270</f>
        <v>-129.47</v>
      </c>
    </row>
    <row r="274" spans="1:4" x14ac:dyDescent="0.25">
      <c r="A274" s="26">
        <f>Angela_2025_Chase1117_Activity_!B271</f>
        <v>45987</v>
      </c>
      <c r="B274" s="6" t="str">
        <f>Angela_2025_Chase1117_Activity_!C271</f>
        <v>Zelle payment from ME CAN'T BELIEVE, INC. 27103730324</v>
      </c>
      <c r="C274" s="6" t="str">
        <f>Angela_2025_Chase1117_Activity_!G271</f>
        <v>Zelle from ME Can't Believe Inc</v>
      </c>
      <c r="D274" s="12">
        <f>Angela_2025_Chase1117_Activity_!D271</f>
        <v>150</v>
      </c>
    </row>
    <row r="275" spans="1:4" x14ac:dyDescent="0.25">
      <c r="A275" s="26">
        <f>Angela_2025_Chase1117_Activity_!B272</f>
        <v>45986</v>
      </c>
      <c r="B275" s="6" t="str">
        <f>Angela_2025_Chase1117_Activity_!C272</f>
        <v>Online Transfer to CHK ...6975 transaction#: 27092757349 11/25</v>
      </c>
      <c r="C275" s="6" t="str">
        <f>Angela_2025_Chase1117_Activity_!G272</f>
        <v>Transfer to Ava</v>
      </c>
      <c r="D275" s="12">
        <f>Angela_2025_Chase1117_Activity_!D272</f>
        <v>-100</v>
      </c>
    </row>
    <row r="276" spans="1:4" x14ac:dyDescent="0.25">
      <c r="A276" s="26">
        <f>Angela_2025_Chase1117_Activity_!B273</f>
        <v>45986</v>
      </c>
      <c r="B276" s="6" t="str">
        <f>Angela_2025_Chase1117_Activity_!C273</f>
        <v>UBER   * EATS PENDIN SAN FRANCISCO CA076050  11/25</v>
      </c>
      <c r="C276" s="6" t="str">
        <f>Angela_2025_Chase1117_Activity_!G273</f>
        <v>Uber Eats</v>
      </c>
      <c r="D276" s="12">
        <f>Angela_2025_Chase1117_Activity_!D273</f>
        <v>-12.95</v>
      </c>
    </row>
    <row r="277" spans="1:4" x14ac:dyDescent="0.25">
      <c r="A277" s="26">
        <f>Angela_2025_Chase1117_Activity_!B274</f>
        <v>45986</v>
      </c>
      <c r="B277" s="6" t="str">
        <f>Angela_2025_Chase1117_Activity_!C274</f>
        <v>UBER *TRIP SAN FRANCISCO CA          197299  11/25</v>
      </c>
      <c r="C277" s="6" t="str">
        <f>Angela_2025_Chase1117_Activity_!G274</f>
        <v>Personal - Uber</v>
      </c>
      <c r="D277" s="12">
        <f>Angela_2025_Chase1117_Activity_!D274</f>
        <v>-17.920000000000002</v>
      </c>
    </row>
    <row r="278" spans="1:4" x14ac:dyDescent="0.25">
      <c r="A278" s="26">
        <f>Angela_2025_Chase1117_Activity_!B275</f>
        <v>45986</v>
      </c>
      <c r="B278" s="6" t="str">
        <f>Angela_2025_Chase1117_Activity_!C275</f>
        <v>UBER *TRIP SAN FRANCISCO CA          330362  11/25</v>
      </c>
      <c r="C278" s="6" t="str">
        <f>Angela_2025_Chase1117_Activity_!G275</f>
        <v>Personal - Uber</v>
      </c>
      <c r="D278" s="12">
        <f>Angela_2025_Chase1117_Activity_!D275</f>
        <v>-18.77</v>
      </c>
    </row>
    <row r="279" spans="1:4" x14ac:dyDescent="0.25">
      <c r="A279" s="26">
        <f>Angela_2025_Chase1117_Activity_!B276</f>
        <v>45986</v>
      </c>
      <c r="B279" s="6" t="str">
        <f>Angela_2025_Chase1117_Activity_!C276</f>
        <v>UBER * EATS PENDING SAN FRANCISCO CA 045898  11/24</v>
      </c>
      <c r="C279" s="6" t="str">
        <f>Angela_2025_Chase1117_Activity_!G276</f>
        <v>Uber Eats</v>
      </c>
      <c r="D279" s="12">
        <f>Angela_2025_Chase1117_Activity_!D276</f>
        <v>-99.94</v>
      </c>
    </row>
    <row r="280" spans="1:4" x14ac:dyDescent="0.25">
      <c r="A280" s="26">
        <f>Angela_2025_Chase1117_Activity_!B277</f>
        <v>45986</v>
      </c>
      <c r="B280" s="6" t="str">
        <f>Angela_2025_Chase1117_Activity_!C277</f>
        <v>LUKE UNFILTERED WEARECHANGE.O FL             11/25</v>
      </c>
      <c r="C280" s="6" t="str">
        <f>Angela_2025_Chase1117_Activity_!G277</f>
        <v>Personal - Subscription</v>
      </c>
      <c r="D280" s="12">
        <f>Angela_2025_Chase1117_Activity_!D277</f>
        <v>-15</v>
      </c>
    </row>
    <row r="281" spans="1:4" x14ac:dyDescent="0.25">
      <c r="A281" s="26">
        <f>Angela_2025_Chase1117_Activity_!B278</f>
        <v>45986</v>
      </c>
      <c r="B281" s="6" t="str">
        <f>Angela_2025_Chase1117_Activity_!C278</f>
        <v>AMAZON PRIME*QJ8OB53 Amzn.com/bill WA        11/25</v>
      </c>
      <c r="C281" s="6" t="str">
        <f>Angela_2025_Chase1117_Activity_!G278</f>
        <v>Amazon</v>
      </c>
      <c r="D281" s="12">
        <f>Angela_2025_Chase1117_Activity_!D278</f>
        <v>-16.45</v>
      </c>
    </row>
    <row r="282" spans="1:4" x14ac:dyDescent="0.25">
      <c r="A282" s="26">
        <f>Angela_2025_Chase1117_Activity_!B279</f>
        <v>45986</v>
      </c>
      <c r="B282" s="6" t="str">
        <f>Angela_2025_Chase1117_Activity_!C279</f>
        <v>Amazon Tips*B21Y1401 Amzn.com/bill WA        11/24</v>
      </c>
      <c r="C282" s="6" t="str">
        <f>Angela_2025_Chase1117_Activity_!G279</f>
        <v>Amazon</v>
      </c>
      <c r="D282" s="12">
        <f>Angela_2025_Chase1117_Activity_!D279</f>
        <v>-20</v>
      </c>
    </row>
    <row r="283" spans="1:4" x14ac:dyDescent="0.25">
      <c r="A283" s="26">
        <f>Angela_2025_Chase1117_Activity_!B280</f>
        <v>45986</v>
      </c>
      <c r="B283" s="6" t="str">
        <f>Angela_2025_Chase1117_Activity_!C280</f>
        <v>ATT*BILL PAYMENT 800-288-2020 TX             11/24</v>
      </c>
      <c r="C283" s="6" t="str">
        <f>Angela_2025_Chase1117_Activity_!G280</f>
        <v>AT&amp;T</v>
      </c>
      <c r="D283" s="12">
        <f>Angela_2025_Chase1117_Activity_!D280</f>
        <v>-544.65</v>
      </c>
    </row>
    <row r="284" spans="1:4" x14ac:dyDescent="0.25">
      <c r="A284" s="26">
        <f>Angela_2025_Chase1117_Activity_!B281</f>
        <v>45986</v>
      </c>
      <c r="B284" s="6" t="str">
        <f>Angela_2025_Chase1117_Activity_!C281</f>
        <v>AMAZON MKTPL*B29YV7M Amzn.com/bill WA        11/25</v>
      </c>
      <c r="C284" s="6" t="str">
        <f>Angela_2025_Chase1117_Activity_!G281</f>
        <v>Amazon</v>
      </c>
      <c r="D284" s="12">
        <f>Angela_2025_Chase1117_Activity_!D281</f>
        <v>-13.01</v>
      </c>
    </row>
    <row r="285" spans="1:4" x14ac:dyDescent="0.25">
      <c r="A285" s="26">
        <f>Angela_2025_Chase1117_Activity_!B282</f>
        <v>45986</v>
      </c>
      <c r="B285" s="6" t="str">
        <f>Angela_2025_Chase1117_Activity_!C282</f>
        <v>AMAZON MKTPL*B29VM5M Amzn.com/bill WA        11/25</v>
      </c>
      <c r="C285" s="6" t="str">
        <f>Angela_2025_Chase1117_Activity_!G282</f>
        <v>Amazon</v>
      </c>
      <c r="D285" s="12">
        <f>Angela_2025_Chase1117_Activity_!D282</f>
        <v>-3.2</v>
      </c>
    </row>
    <row r="286" spans="1:4" x14ac:dyDescent="0.25">
      <c r="A286" s="26">
        <f>Angela_2025_Chase1117_Activity_!B283</f>
        <v>45986</v>
      </c>
      <c r="B286" s="6" t="str">
        <f>Angela_2025_Chase1117_Activity_!C283</f>
        <v>AMAZON MKTPL*B23KM8X Amzn.com/bill WA        11/25</v>
      </c>
      <c r="C286" s="6" t="str">
        <f>Angela_2025_Chase1117_Activity_!G283</f>
        <v>Amazon</v>
      </c>
      <c r="D286" s="12">
        <f>Angela_2025_Chase1117_Activity_!D283</f>
        <v>-15.35</v>
      </c>
    </row>
    <row r="287" spans="1:4" x14ac:dyDescent="0.25">
      <c r="A287" s="26">
        <f>Angela_2025_Chase1117_Activity_!B284</f>
        <v>45986</v>
      </c>
      <c r="B287" s="6" t="str">
        <f>Angela_2025_Chase1117_Activity_!C284</f>
        <v>Zara.com 212-3551415 NY                      11/25</v>
      </c>
      <c r="C287" s="6" t="str">
        <f>Angela_2025_Chase1117_Activity_!G284</f>
        <v>Personal - Shopping</v>
      </c>
      <c r="D287" s="12">
        <f>Angela_2025_Chase1117_Activity_!D284</f>
        <v>-190.91</v>
      </c>
    </row>
    <row r="288" spans="1:4" x14ac:dyDescent="0.25">
      <c r="A288" s="26">
        <f>Angela_2025_Chase1117_Activity_!B285</f>
        <v>45985</v>
      </c>
      <c r="B288" s="6" t="str">
        <f>Angela_2025_Chase1117_Activity_!C285</f>
        <v>NON-CHASE ATM FEE-WITH</v>
      </c>
      <c r="C288" s="6" t="str">
        <f>Angela_2025_Chase1117_Activity_!G285</f>
        <v>Bank Fees</v>
      </c>
      <c r="D288" s="12">
        <f>Angela_2025_Chase1117_Activity_!D285</f>
        <v>-3</v>
      </c>
    </row>
    <row r="289" spans="1:4" x14ac:dyDescent="0.25">
      <c r="A289" s="26">
        <f>Angela_2025_Chase1117_Activity_!B286</f>
        <v>45985</v>
      </c>
      <c r="B289" s="6" t="str">
        <f>Angela_2025_Chase1117_Activity_!C286</f>
        <v>UBER   * EATS PENDIN SAN FRANCISCO CA078224  11/24</v>
      </c>
      <c r="C289" s="6" t="str">
        <f>Angela_2025_Chase1117_Activity_!G286</f>
        <v>Uber Eats</v>
      </c>
      <c r="D289" s="12">
        <f>Angela_2025_Chase1117_Activity_!D286</f>
        <v>-12.97</v>
      </c>
    </row>
    <row r="290" spans="1:4" x14ac:dyDescent="0.25">
      <c r="A290" s="26">
        <f>Angela_2025_Chase1117_Activity_!B287</f>
        <v>45985</v>
      </c>
      <c r="B290" s="6" t="str">
        <f>Angela_2025_Chase1117_Activity_!C287</f>
        <v>UBER * EATS PENDING SAN FRANCISCO CA 342277  11/23</v>
      </c>
      <c r="C290" s="6" t="str">
        <f>Angela_2025_Chase1117_Activity_!G287</f>
        <v>Uber Eats</v>
      </c>
      <c r="D290" s="12">
        <f>Angela_2025_Chase1117_Activity_!D287</f>
        <v>-29.83</v>
      </c>
    </row>
    <row r="291" spans="1:4" x14ac:dyDescent="0.25">
      <c r="A291" s="26">
        <f>Angela_2025_Chase1117_Activity_!B288</f>
        <v>45985</v>
      </c>
      <c r="B291" s="6" t="str">
        <f>Angela_2025_Chase1117_Activity_!C288</f>
        <v>PACOS TACOS LOS ANGELES CA                   11/23</v>
      </c>
      <c r="C291" s="6" t="str">
        <f>Angela_2025_Chase1117_Activity_!G288</f>
        <v>Personal - Food</v>
      </c>
      <c r="D291" s="12">
        <f>Angela_2025_Chase1117_Activity_!D288</f>
        <v>-132.28</v>
      </c>
    </row>
    <row r="292" spans="1:4" x14ac:dyDescent="0.25">
      <c r="A292" s="26">
        <f>Angela_2025_Chase1117_Activity_!B289</f>
        <v>45985</v>
      </c>
      <c r="B292" s="6" t="str">
        <f>Angela_2025_Chase1117_Activity_!C289</f>
        <v>AMAZON MKTPL*B20O453 Amzn.com/bill WA        11/23</v>
      </c>
      <c r="C292" s="6" t="str">
        <f>Angela_2025_Chase1117_Activity_!G289</f>
        <v>Amazon</v>
      </c>
      <c r="D292" s="12">
        <f>Angela_2025_Chase1117_Activity_!D289</f>
        <v>-15.35</v>
      </c>
    </row>
    <row r="293" spans="1:4" x14ac:dyDescent="0.25">
      <c r="A293" s="26">
        <f>Angela_2025_Chase1117_Activity_!B290</f>
        <v>45985</v>
      </c>
      <c r="B293" s="6" t="str">
        <f>Angela_2025_Chase1117_Activity_!C290</f>
        <v>UBER * EATS PENDING SAN FRANCISCO CA 442999  11/23</v>
      </c>
      <c r="C293" s="6" t="str">
        <f>Angela_2025_Chase1117_Activity_!G290</f>
        <v>Uber Eats</v>
      </c>
      <c r="D293" s="12">
        <f>Angela_2025_Chase1117_Activity_!D290</f>
        <v>-16.920000000000002</v>
      </c>
    </row>
    <row r="294" spans="1:4" x14ac:dyDescent="0.25">
      <c r="A294" s="26">
        <f>Angela_2025_Chase1117_Activity_!B291</f>
        <v>45985</v>
      </c>
      <c r="B294" s="6" t="str">
        <f>Angela_2025_Chase1117_Activity_!C291</f>
        <v>NON-CHASE ATM WITHDRAW               785855  11/23US BANK 3</v>
      </c>
      <c r="C294" s="6" t="str">
        <f>Angela_2025_Chase1117_Activity_!G291</f>
        <v>Withdrawal</v>
      </c>
      <c r="D294" s="12">
        <f>Angela_2025_Chase1117_Activity_!D291</f>
        <v>-503.5</v>
      </c>
    </row>
    <row r="295" spans="1:4" x14ac:dyDescent="0.25">
      <c r="A295" s="26">
        <f>Angela_2025_Chase1117_Activity_!B292</f>
        <v>45985</v>
      </c>
      <c r="B295" s="6" t="str">
        <f>Angela_2025_Chase1117_Activity_!C292</f>
        <v>APPLE.COM/BILL 866-712-7753 CA               11/23</v>
      </c>
      <c r="C295" s="6" t="str">
        <f>Angela_2025_Chase1117_Activity_!G292</f>
        <v>Apple</v>
      </c>
      <c r="D295" s="12">
        <f>Angela_2025_Chase1117_Activity_!D292</f>
        <v>-10.99</v>
      </c>
    </row>
    <row r="296" spans="1:4" x14ac:dyDescent="0.25">
      <c r="A296" s="26">
        <f>Angela_2025_Chase1117_Activity_!B293</f>
        <v>45985</v>
      </c>
      <c r="B296" s="6" t="str">
        <f>Angela_2025_Chase1117_Activity_!C293</f>
        <v>AMAZON MKTPL*B23MP1Z Amzn.com/bill WA        11/23</v>
      </c>
      <c r="C296" s="6" t="str">
        <f>Angela_2025_Chase1117_Activity_!G293</f>
        <v>Amazon</v>
      </c>
      <c r="D296" s="12">
        <f>Angela_2025_Chase1117_Activity_!D293</f>
        <v>-54.33</v>
      </c>
    </row>
    <row r="297" spans="1:4" x14ac:dyDescent="0.25">
      <c r="A297" s="26">
        <f>Angela_2025_Chase1117_Activity_!B294</f>
        <v>45985</v>
      </c>
      <c r="B297" s="6" t="str">
        <f>Angela_2025_Chase1117_Activity_!C294</f>
        <v>Amazon.com*B21QB14Y2 Amzn.com/bill WA        11/23</v>
      </c>
      <c r="C297" s="6" t="str">
        <f>Angela_2025_Chase1117_Activity_!G294</f>
        <v>Amazon</v>
      </c>
      <c r="D297" s="12">
        <f>Angela_2025_Chase1117_Activity_!D294</f>
        <v>-82.74</v>
      </c>
    </row>
    <row r="298" spans="1:4" x14ac:dyDescent="0.25">
      <c r="A298" s="26">
        <f>Angela_2025_Chase1117_Activity_!B295</f>
        <v>45985</v>
      </c>
      <c r="B298" s="6" t="str">
        <f>Angela_2025_Chase1117_Activity_!C295</f>
        <v>LUGG HOLD #HJZORQ LUGG.COM CA                11/23</v>
      </c>
      <c r="C298" s="6" t="str">
        <f>Angela_2025_Chase1117_Activity_!G295</f>
        <v>Shipping</v>
      </c>
      <c r="D298" s="12">
        <f>Angela_2025_Chase1117_Activity_!D295</f>
        <v>-126.26</v>
      </c>
    </row>
    <row r="299" spans="1:4" x14ac:dyDescent="0.25">
      <c r="A299" s="26">
        <f>Angela_2025_Chase1117_Activity_!B296</f>
        <v>45985</v>
      </c>
      <c r="B299" s="6" t="str">
        <f>Angela_2025_Chase1117_Activity_!C296</f>
        <v>THE HOME DEPOT #6611 LOS ANGELES CA  149269  11/22</v>
      </c>
      <c r="C299" s="6" t="str">
        <f>Angela_2025_Chase1117_Activity_!G296</f>
        <v>Personal - Shopping</v>
      </c>
      <c r="D299" s="12">
        <f>Angela_2025_Chase1117_Activity_!D296</f>
        <v>-273.52999999999997</v>
      </c>
    </row>
    <row r="300" spans="1:4" x14ac:dyDescent="0.25">
      <c r="A300" s="26">
        <f>Angela_2025_Chase1117_Activity_!B297</f>
        <v>45985</v>
      </c>
      <c r="B300" s="6" t="str">
        <f>Angela_2025_Chase1117_Activity_!C297</f>
        <v>UBER *LOQUIPLAYAV SAN FRANCISCO CA   839487  11/22</v>
      </c>
      <c r="C300" s="6" t="str">
        <f>Angela_2025_Chase1117_Activity_!G297</f>
        <v>Personal - Uber</v>
      </c>
      <c r="D300" s="12">
        <f>Angela_2025_Chase1117_Activity_!D297</f>
        <v>-43.61</v>
      </c>
    </row>
    <row r="301" spans="1:4" x14ac:dyDescent="0.25">
      <c r="A301" s="26">
        <f>Angela_2025_Chase1117_Activity_!B298</f>
        <v>45985</v>
      </c>
      <c r="B301" s="6" t="str">
        <f>Angela_2025_Chase1117_Activity_!C298</f>
        <v>Zara.com 212-3551415 NY                      11/21</v>
      </c>
      <c r="C301" s="6" t="str">
        <f>Angela_2025_Chase1117_Activity_!G298</f>
        <v>Personal - Shopping</v>
      </c>
      <c r="D301" s="12">
        <f>Angela_2025_Chase1117_Activity_!D298</f>
        <v>-226.67</v>
      </c>
    </row>
    <row r="302" spans="1:4" x14ac:dyDescent="0.25">
      <c r="A302" s="26">
        <f>Angela_2025_Chase1117_Activity_!B299</f>
        <v>45985</v>
      </c>
      <c r="B302" s="6" t="str">
        <f>Angela_2025_Chase1117_Activity_!C299</f>
        <v>Zara.com 212-3551415 NY                      11/22</v>
      </c>
      <c r="C302" s="6" t="str">
        <f>Angela_2025_Chase1117_Activity_!G299</f>
        <v>Personal - Shopping</v>
      </c>
      <c r="D302" s="12">
        <f>Angela_2025_Chase1117_Activity_!D299</f>
        <v>-664.92</v>
      </c>
    </row>
    <row r="303" spans="1:4" x14ac:dyDescent="0.25">
      <c r="A303" s="26">
        <f>Angela_2025_Chase1117_Activity_!B300</f>
        <v>45985</v>
      </c>
      <c r="B303" s="6" t="str">
        <f>Angela_2025_Chase1117_Activity_!C300</f>
        <v>Zara.com 212-3551415 NY                      11/22</v>
      </c>
      <c r="C303" s="6" t="str">
        <f>Angela_2025_Chase1117_Activity_!G300</f>
        <v>Personal - Shopping</v>
      </c>
      <c r="D303" s="12">
        <f>Angela_2025_Chase1117_Activity_!D300</f>
        <v>-895.32</v>
      </c>
    </row>
    <row r="304" spans="1:4" x14ac:dyDescent="0.25">
      <c r="A304" s="26">
        <f>Angela_2025_Chase1117_Activity_!B301</f>
        <v>45982</v>
      </c>
      <c r="B304" s="6" t="str">
        <f>Angela_2025_Chase1117_Activity_!C301</f>
        <v>STAPLES 0127 VENICE CA               852344  11/21</v>
      </c>
      <c r="C304" s="6" t="str">
        <f>Angela_2025_Chase1117_Activity_!G301</f>
        <v>Personal - Shopping</v>
      </c>
      <c r="D304" s="12">
        <f>Angela_2025_Chase1117_Activity_!D301</f>
        <v>-86.1</v>
      </c>
    </row>
    <row r="305" spans="1:4" x14ac:dyDescent="0.25">
      <c r="A305" s="26">
        <f>Angela_2025_Chase1117_Activity_!B302</f>
        <v>45982</v>
      </c>
      <c r="B305" s="6" t="str">
        <f>Angela_2025_Chase1117_Activity_!C302</f>
        <v>UBER * EATS PENDING SAN FRANCISCO CA 213417  11/20</v>
      </c>
      <c r="C305" s="6" t="str">
        <f>Angela_2025_Chase1117_Activity_!G302</f>
        <v>Uber Eats</v>
      </c>
      <c r="D305" s="12">
        <f>Angela_2025_Chase1117_Activity_!D302</f>
        <v>-34.15</v>
      </c>
    </row>
    <row r="306" spans="1:4" x14ac:dyDescent="0.25">
      <c r="A306" s="26">
        <f>Angela_2025_Chase1117_Activity_!B303</f>
        <v>45982</v>
      </c>
      <c r="B306" s="6" t="str">
        <f>Angela_2025_Chase1117_Activity_!C303</f>
        <v>Amazon.com*B08IN5201 Amzn.com/bill WA        11/21</v>
      </c>
      <c r="C306" s="6" t="str">
        <f>Angela_2025_Chase1117_Activity_!G303</f>
        <v>Amazon</v>
      </c>
      <c r="D306" s="12">
        <f>Angela_2025_Chase1117_Activity_!D303</f>
        <v>-13.18</v>
      </c>
    </row>
    <row r="307" spans="1:4" x14ac:dyDescent="0.25">
      <c r="A307" s="26">
        <f>Angela_2025_Chase1117_Activity_!B304</f>
        <v>45982</v>
      </c>
      <c r="B307" s="6" t="str">
        <f>Angela_2025_Chase1117_Activity_!C304</f>
        <v>AMAZON MKTPL*B00AT95 Amzn.com/bill WA        11/21</v>
      </c>
      <c r="C307" s="6" t="str">
        <f>Angela_2025_Chase1117_Activity_!G304</f>
        <v>Amazon</v>
      </c>
      <c r="D307" s="12">
        <f>Angela_2025_Chase1117_Activity_!D304</f>
        <v>-39.950000000000003</v>
      </c>
    </row>
    <row r="308" spans="1:4" x14ac:dyDescent="0.25">
      <c r="A308" s="26">
        <f>Angela_2025_Chase1117_Activity_!B305</f>
        <v>45982</v>
      </c>
      <c r="B308" s="6" t="str">
        <f>Angela_2025_Chase1117_Activity_!C305</f>
        <v>Amazon.com*B03S00Q41 Amzn.com/bill WA        11/20</v>
      </c>
      <c r="C308" s="6" t="str">
        <f>Angela_2025_Chase1117_Activity_!G305</f>
        <v>Amazon</v>
      </c>
      <c r="D308" s="12">
        <f>Angela_2025_Chase1117_Activity_!D305</f>
        <v>-23.92</v>
      </c>
    </row>
    <row r="309" spans="1:4" x14ac:dyDescent="0.25">
      <c r="A309" s="26">
        <f>Angela_2025_Chase1117_Activity_!B306</f>
        <v>45982</v>
      </c>
      <c r="B309" s="6" t="str">
        <f>Angela_2025_Chase1117_Activity_!C306</f>
        <v>NEXTLINK BROADBAND 855-6985465 TX            11/20</v>
      </c>
      <c r="C309" s="6" t="str">
        <f>Angela_2025_Chase1117_Activity_!G306</f>
        <v>Personal - House Bills</v>
      </c>
      <c r="D309" s="12">
        <f>Angela_2025_Chase1117_Activity_!D306</f>
        <v>-149.96</v>
      </c>
    </row>
    <row r="310" spans="1:4" x14ac:dyDescent="0.25">
      <c r="A310" s="26">
        <f>Angela_2025_Chase1117_Activity_!B307</f>
        <v>45982</v>
      </c>
      <c r="B310" s="6" t="str">
        <f>Angela_2025_Chase1117_Activity_!C307</f>
        <v>Amazon.com*B05K86BB1 Amzn.com/bill WA        11/20</v>
      </c>
      <c r="C310" s="6" t="str">
        <f>Angela_2025_Chase1117_Activity_!G307</f>
        <v>Amazon</v>
      </c>
      <c r="D310" s="12">
        <f>Angela_2025_Chase1117_Activity_!D307</f>
        <v>-18.59</v>
      </c>
    </row>
    <row r="311" spans="1:4" x14ac:dyDescent="0.25">
      <c r="A311" s="26">
        <f>Angela_2025_Chase1117_Activity_!B308</f>
        <v>45982</v>
      </c>
      <c r="B311" s="6" t="str">
        <f>Angela_2025_Chase1117_Activity_!C308</f>
        <v>ANTHROPOLOGIE.COM ANTHROPOLOGIE PA           11/20</v>
      </c>
      <c r="C311" s="6" t="str">
        <f>Angela_2025_Chase1117_Activity_!G308</f>
        <v>Personal - Shopping</v>
      </c>
      <c r="D311" s="12">
        <f>Angela_2025_Chase1117_Activity_!D308</f>
        <v>-539.17999999999995</v>
      </c>
    </row>
    <row r="312" spans="1:4" x14ac:dyDescent="0.25">
      <c r="A312" s="26">
        <f>Angela_2025_Chase1117_Activity_!B309</f>
        <v>45982</v>
      </c>
      <c r="B312" s="6" t="str">
        <f>Angela_2025_Chase1117_Activity_!C309</f>
        <v>AMAZON MKTPL*B090P0V Amzn.com/bill WA        11/20</v>
      </c>
      <c r="C312" s="6" t="str">
        <f>Angela_2025_Chase1117_Activity_!G309</f>
        <v>Amazon</v>
      </c>
      <c r="D312" s="12">
        <f>Angela_2025_Chase1117_Activity_!D309</f>
        <v>-462.47</v>
      </c>
    </row>
    <row r="313" spans="1:4" x14ac:dyDescent="0.25">
      <c r="A313" s="26">
        <f>Angela_2025_Chase1117_Activity_!B310</f>
        <v>45982</v>
      </c>
      <c r="B313" s="6" t="str">
        <f>Angela_2025_Chase1117_Activity_!C310</f>
        <v>Online Transfer from CHK ...1168 transaction#: 27047057340</v>
      </c>
      <c r="C313" s="6" t="str">
        <f>Angela_2025_Chase1117_Activity_!G310</f>
        <v>Transfer from DWG Capital Group</v>
      </c>
      <c r="D313" s="12">
        <f>Angela_2025_Chase1117_Activity_!D310</f>
        <v>5000</v>
      </c>
    </row>
    <row r="314" spans="1:4" x14ac:dyDescent="0.25">
      <c r="A314" s="26">
        <f>Angela_2025_Chase1117_Activity_!B311</f>
        <v>45981</v>
      </c>
      <c r="B314" s="6" t="str">
        <f>Angela_2025_Chase1117_Activity_!C311</f>
        <v>SAM EDELMAN 888-889-9609 MO                  11/20</v>
      </c>
      <c r="C314" s="6" t="str">
        <f>Angela_2025_Chase1117_Activity_!G311</f>
        <v>Personal - Clothing</v>
      </c>
      <c r="D314" s="12">
        <f>Angela_2025_Chase1117_Activity_!D311</f>
        <v>-368.53</v>
      </c>
    </row>
    <row r="315" spans="1:4" x14ac:dyDescent="0.25">
      <c r="A315" s="26">
        <f>Angela_2025_Chase1117_Activity_!B312</f>
        <v>45981</v>
      </c>
      <c r="B315" s="6" t="str">
        <f>Angela_2025_Chase1117_Activity_!C312</f>
        <v>GRANDVIEW CLEANERS LOS ANGELES CA            11/19</v>
      </c>
      <c r="C315" s="6" t="str">
        <f>Angela_2025_Chase1117_Activity_!G312</f>
        <v>Personal - Clothing</v>
      </c>
      <c r="D315" s="12">
        <f>Angela_2025_Chase1117_Activity_!D312</f>
        <v>-438.19</v>
      </c>
    </row>
    <row r="316" spans="1:4" x14ac:dyDescent="0.25">
      <c r="A316" s="26">
        <f>Angela_2025_Chase1117_Activity_!B313</f>
        <v>45981</v>
      </c>
      <c r="B316" s="6" t="str">
        <f>Angela_2025_Chase1117_Activity_!C313</f>
        <v>SQ *BERRY FLASH PHOTO Los Angeles CA         11/19</v>
      </c>
      <c r="C316" s="6" t="str">
        <f>Angela_2025_Chase1117_Activity_!G313</f>
        <v>Personal - Shopping</v>
      </c>
      <c r="D316" s="12">
        <f>Angela_2025_Chase1117_Activity_!D313</f>
        <v>-289.27999999999997</v>
      </c>
    </row>
    <row r="317" spans="1:4" x14ac:dyDescent="0.25">
      <c r="A317" s="26">
        <f>Angela_2025_Chase1117_Activity_!B314</f>
        <v>45981</v>
      </c>
      <c r="B317" s="6" t="str">
        <f>Angela_2025_Chase1117_Activity_!C314</f>
        <v>AMAZON MKTPL*B095E6E Amzn.com/bill WA        11/19</v>
      </c>
      <c r="C317" s="6" t="str">
        <f>Angela_2025_Chase1117_Activity_!G314</f>
        <v>Amazon</v>
      </c>
      <c r="D317" s="12">
        <f>Angela_2025_Chase1117_Activity_!D314</f>
        <v>-66.11</v>
      </c>
    </row>
    <row r="318" spans="1:4" x14ac:dyDescent="0.25">
      <c r="A318" s="26">
        <f>Angela_2025_Chase1117_Activity_!B315</f>
        <v>45981</v>
      </c>
      <c r="B318" s="6" t="str">
        <f>Angela_2025_Chase1117_Activity_!C315</f>
        <v>Amazon.com*B07X73A02 Amzn.com/bill WA        11/19</v>
      </c>
      <c r="C318" s="6" t="str">
        <f>Angela_2025_Chase1117_Activity_!G315</f>
        <v>Amazon</v>
      </c>
      <c r="D318" s="12">
        <f>Angela_2025_Chase1117_Activity_!D315</f>
        <v>-26.55</v>
      </c>
    </row>
    <row r="319" spans="1:4" x14ac:dyDescent="0.25">
      <c r="A319" s="26">
        <f>Angela_2025_Chase1117_Activity_!B316</f>
        <v>45981</v>
      </c>
      <c r="B319" s="6" t="str">
        <f>Angela_2025_Chase1117_Activity_!C316</f>
        <v>Zara.com 212-3551415 NY                      11/20</v>
      </c>
      <c r="C319" s="6" t="str">
        <f>Angela_2025_Chase1117_Activity_!G316</f>
        <v>Personal - Shopping</v>
      </c>
      <c r="D319" s="12">
        <f>Angela_2025_Chase1117_Activity_!D316</f>
        <v>-592.79</v>
      </c>
    </row>
    <row r="320" spans="1:4" x14ac:dyDescent="0.25">
      <c r="A320" s="26">
        <f>Angela_2025_Chase1117_Activity_!B317</f>
        <v>45981</v>
      </c>
      <c r="B320" s="6" t="str">
        <f>Angela_2025_Chase1117_Activity_!C317</f>
        <v>Online Transfer from CHK ...1168 transaction#: 27030460003</v>
      </c>
      <c r="C320" s="6" t="str">
        <f>Angela_2025_Chase1117_Activity_!G317</f>
        <v>Transfer from DWG Capital Group</v>
      </c>
      <c r="D320" s="12">
        <f>Angela_2025_Chase1117_Activity_!D317</f>
        <v>2000</v>
      </c>
    </row>
    <row r="321" spans="1:4" x14ac:dyDescent="0.25">
      <c r="A321" s="26">
        <f>Angela_2025_Chase1117_Activity_!B318</f>
        <v>45981</v>
      </c>
      <c r="B321" s="6" t="str">
        <f>Angela_2025_Chase1117_Activity_!C318</f>
        <v>Online Transfer from CHK ...1168 transaction#: 27023994927</v>
      </c>
      <c r="C321" s="6" t="str">
        <f>Angela_2025_Chase1117_Activity_!G318</f>
        <v>Transfer from DWG Capital Group</v>
      </c>
      <c r="D321" s="12">
        <f>Angela_2025_Chase1117_Activity_!D318</f>
        <v>2000</v>
      </c>
    </row>
    <row r="322" spans="1:4" x14ac:dyDescent="0.25">
      <c r="A322" s="26">
        <f>Angela_2025_Chase1117_Activity_!B319</f>
        <v>45980</v>
      </c>
      <c r="B322" s="6" t="str">
        <f>Angela_2025_Chase1117_Activity_!C319</f>
        <v>UBER   * EATS PENDIN SAN FRANCISCO CA135190  11/19</v>
      </c>
      <c r="C322" s="6" t="str">
        <f>Angela_2025_Chase1117_Activity_!G319</f>
        <v>Uber Eats</v>
      </c>
      <c r="D322" s="12">
        <f>Angela_2025_Chase1117_Activity_!D319</f>
        <v>-34.369999999999997</v>
      </c>
    </row>
    <row r="323" spans="1:4" x14ac:dyDescent="0.25">
      <c r="A323" s="26">
        <f>Angela_2025_Chase1117_Activity_!B320</f>
        <v>45980</v>
      </c>
      <c r="B323" s="6" t="str">
        <f>Angela_2025_Chase1117_Activity_!C320</f>
        <v>AMAZON MKTPL*B051V8P Amzn.com/bill WA        11/19</v>
      </c>
      <c r="C323" s="6" t="str">
        <f>Angela_2025_Chase1117_Activity_!G320</f>
        <v>Amazon</v>
      </c>
      <c r="D323" s="12">
        <f>Angela_2025_Chase1117_Activity_!D320</f>
        <v>-9.85</v>
      </c>
    </row>
    <row r="324" spans="1:4" x14ac:dyDescent="0.25">
      <c r="A324" s="26">
        <f>Angela_2025_Chase1117_Activity_!B321</f>
        <v>45980</v>
      </c>
      <c r="B324" s="6" t="str">
        <f>Angela_2025_Chase1117_Activity_!C321</f>
        <v>UBER   * EATS PENDIN SAN FRANCISCO CA022972  11/18</v>
      </c>
      <c r="C324" s="6" t="str">
        <f>Angela_2025_Chase1117_Activity_!G321</f>
        <v>Uber Eats</v>
      </c>
      <c r="D324" s="12">
        <f>Angela_2025_Chase1117_Activity_!D321</f>
        <v>-88.92</v>
      </c>
    </row>
    <row r="325" spans="1:4" x14ac:dyDescent="0.25">
      <c r="A325" s="26">
        <f>Angela_2025_Chase1117_Activity_!B322</f>
        <v>45980</v>
      </c>
      <c r="B325" s="6" t="str">
        <f>Angela_2025_Chase1117_Activity_!C322</f>
        <v>AMAZON MKTPL*B07QR2T Amzn.com/bill WA        11/18</v>
      </c>
      <c r="C325" s="6" t="str">
        <f>Angela_2025_Chase1117_Activity_!G322</f>
        <v>Amazon</v>
      </c>
      <c r="D325" s="12">
        <f>Angela_2025_Chase1117_Activity_!D322</f>
        <v>-40.549999999999997</v>
      </c>
    </row>
    <row r="326" spans="1:4" x14ac:dyDescent="0.25">
      <c r="A326" s="26">
        <f>Angela_2025_Chase1117_Activity_!B323</f>
        <v>45980</v>
      </c>
      <c r="B326" s="6" t="str">
        <f>Angela_2025_Chase1117_Activity_!C323</f>
        <v>UNITED      01643468504 UNITED.COM TX        11/18</v>
      </c>
      <c r="C326" s="6" t="str">
        <f>Angela_2025_Chase1117_Activity_!G323</f>
        <v>Personal Travel</v>
      </c>
      <c r="D326" s="12">
        <f>Angela_2025_Chase1117_Activity_!D323</f>
        <v>-85.99</v>
      </c>
    </row>
    <row r="327" spans="1:4" x14ac:dyDescent="0.25">
      <c r="A327" s="26">
        <f>Angela_2025_Chase1117_Activity_!B324</f>
        <v>45980</v>
      </c>
      <c r="B327" s="6" t="str">
        <f>Angela_2025_Chase1117_Activity_!C324</f>
        <v>AMERICAN AIR00173222315 FORT WORTH TX        11/17</v>
      </c>
      <c r="C327" s="6" t="str">
        <f>Angela_2025_Chase1117_Activity_!G324</f>
        <v>Personal Travel</v>
      </c>
      <c r="D327" s="12">
        <f>Angela_2025_Chase1117_Activity_!D324</f>
        <v>-288.48</v>
      </c>
    </row>
    <row r="328" spans="1:4" x14ac:dyDescent="0.25">
      <c r="A328" s="26">
        <f>Angela_2025_Chase1117_Activity_!B325</f>
        <v>45980</v>
      </c>
      <c r="B328" s="6" t="str">
        <f>Angela_2025_Chase1117_Activity_!C325</f>
        <v>UNITED      016234965 800-864-8331 TX        11/17</v>
      </c>
      <c r="C328" s="6" t="str">
        <f>Angela_2025_Chase1117_Activity_!G325</f>
        <v>Personal Travel</v>
      </c>
      <c r="D328" s="12">
        <f>Angela_2025_Chase1117_Activity_!D325</f>
        <v>-149.47999999999999</v>
      </c>
    </row>
    <row r="329" spans="1:4" x14ac:dyDescent="0.25">
      <c r="A329" s="26">
        <f>Angela_2025_Chase1117_Activity_!B326</f>
        <v>45980</v>
      </c>
      <c r="B329" s="6" t="str">
        <f>Angela_2025_Chase1117_Activity_!C326</f>
        <v>Zara.com/USA 855-6359272 NY                  11/18</v>
      </c>
      <c r="C329" s="6" t="str">
        <f>Angela_2025_Chase1117_Activity_!G326</f>
        <v>Personal - Shopping</v>
      </c>
      <c r="D329" s="12">
        <f>Angela_2025_Chase1117_Activity_!D326</f>
        <v>-680.56</v>
      </c>
    </row>
    <row r="330" spans="1:4" x14ac:dyDescent="0.25">
      <c r="A330" s="26">
        <f>Angela_2025_Chase1117_Activity_!B327</f>
        <v>45980</v>
      </c>
      <c r="B330" s="6" t="str">
        <f>Angela_2025_Chase1117_Activity_!C327</f>
        <v>eBay O*22-13645-53506 San Jose CA            11/18</v>
      </c>
      <c r="C330" s="6" t="str">
        <f>Angela_2025_Chase1117_Activity_!G327</f>
        <v>Personal - Shopping</v>
      </c>
      <c r="D330" s="12">
        <f>Angela_2025_Chase1117_Activity_!D327</f>
        <v>230.27</v>
      </c>
    </row>
    <row r="331" spans="1:4" x14ac:dyDescent="0.25">
      <c r="A331" s="26">
        <f>Angela_2025_Chase1117_Activity_!B328</f>
        <v>45979</v>
      </c>
      <c r="B331" s="6" t="str">
        <f>Angela_2025_Chase1117_Activity_!C328</f>
        <v>EXPEDIA 73304262893051 EXPEDIA.COM WA        11/18</v>
      </c>
      <c r="C331" s="6" t="str">
        <f>Angela_2025_Chase1117_Activity_!G328</f>
        <v>Personal Travel</v>
      </c>
      <c r="D331" s="12">
        <f>Angela_2025_Chase1117_Activity_!D328</f>
        <v>-7.58</v>
      </c>
    </row>
    <row r="332" spans="1:4" x14ac:dyDescent="0.25">
      <c r="A332" s="26">
        <f>Angela_2025_Chase1117_Activity_!B329</f>
        <v>45979</v>
      </c>
      <c r="B332" s="6" t="str">
        <f>Angela_2025_Chase1117_Activity_!C329</f>
        <v>AMAZON MKTPL*B033E9F Amzn.com/bill WA        11/18</v>
      </c>
      <c r="C332" s="6" t="str">
        <f>Angela_2025_Chase1117_Activity_!G329</f>
        <v>Amazon</v>
      </c>
      <c r="D332" s="12">
        <f>Angela_2025_Chase1117_Activity_!D329</f>
        <v>-97.84</v>
      </c>
    </row>
    <row r="333" spans="1:4" x14ac:dyDescent="0.25">
      <c r="A333" s="26">
        <f>Angela_2025_Chase1117_Activity_!B330</f>
        <v>45979</v>
      </c>
      <c r="B333" s="6" t="str">
        <f>Angela_2025_Chase1117_Activity_!C330</f>
        <v>ZARA USA INC. ESTADOS UNIDO NY       086291  11/14</v>
      </c>
      <c r="C333" s="6" t="str">
        <f>Angela_2025_Chase1117_Activity_!G330</f>
        <v>Personal - Shopping</v>
      </c>
      <c r="D333" s="12">
        <f>Angela_2025_Chase1117_Activity_!D330</f>
        <v>-147.01</v>
      </c>
    </row>
    <row r="334" spans="1:4" x14ac:dyDescent="0.25">
      <c r="A334" s="26">
        <f>Angela_2025_Chase1117_Activity_!B331</f>
        <v>45979</v>
      </c>
      <c r="B334" s="6" t="str">
        <f>Angela_2025_Chase1117_Activity_!C331</f>
        <v>LAZ PARKING L17804-FLAS 3104467925 CA        11/17</v>
      </c>
      <c r="C334" s="6" t="str">
        <f>Angela_2025_Chase1117_Activity_!G331</f>
        <v>Personal - Car</v>
      </c>
      <c r="D334" s="12">
        <f>Angela_2025_Chase1117_Activity_!D331</f>
        <v>-9</v>
      </c>
    </row>
    <row r="335" spans="1:4" x14ac:dyDescent="0.25">
      <c r="A335" s="26">
        <f>Angela_2025_Chase1117_Activity_!B332</f>
        <v>45979</v>
      </c>
      <c r="B335" s="6" t="str">
        <f>Angela_2025_Chase1117_Activity_!C332</f>
        <v>AMAZON MKTPL*B02UW03 Amzn.com/bill WA        11/18</v>
      </c>
      <c r="C335" s="6" t="str">
        <f>Angela_2025_Chase1117_Activity_!G332</f>
        <v>Amazon</v>
      </c>
      <c r="D335" s="12">
        <f>Angela_2025_Chase1117_Activity_!D332</f>
        <v>-88.88</v>
      </c>
    </row>
    <row r="336" spans="1:4" x14ac:dyDescent="0.25">
      <c r="A336" s="26">
        <f>Angela_2025_Chase1117_Activity_!B333</f>
        <v>45979</v>
      </c>
      <c r="B336" s="6" t="str">
        <f>Angela_2025_Chase1117_Activity_!C333</f>
        <v>LEELA QUANTUM TECH LEELAQ.COM NM             11/17</v>
      </c>
      <c r="C336" s="6" t="str">
        <f>Angela_2025_Chase1117_Activity_!G333</f>
        <v>Personal - Subscription</v>
      </c>
      <c r="D336" s="12">
        <f>Angela_2025_Chase1117_Activity_!D333</f>
        <v>-30</v>
      </c>
    </row>
    <row r="337" spans="1:4" x14ac:dyDescent="0.25">
      <c r="A337" s="26">
        <f>Angela_2025_Chase1117_Activity_!B334</f>
        <v>45979</v>
      </c>
      <c r="B337" s="6" t="str">
        <f>Angela_2025_Chase1117_Activity_!C334</f>
        <v>Amazon Tips*B86O279T Amzn.com/bill WA        11/17</v>
      </c>
      <c r="C337" s="6" t="str">
        <f>Angela_2025_Chase1117_Activity_!G334</f>
        <v>Amazon</v>
      </c>
      <c r="D337" s="12">
        <f>Angela_2025_Chase1117_Activity_!D334</f>
        <v>-20</v>
      </c>
    </row>
    <row r="338" spans="1:4" x14ac:dyDescent="0.25">
      <c r="A338" s="26">
        <f>Angela_2025_Chase1117_Activity_!B335</f>
        <v>45979</v>
      </c>
      <c r="B338" s="6" t="str">
        <f>Angela_2025_Chase1117_Activity_!C335</f>
        <v>AMAZON MKTPL*B87NL5W Amzn.com/bill WA        11/18</v>
      </c>
      <c r="C338" s="6" t="str">
        <f>Angela_2025_Chase1117_Activity_!G335</f>
        <v>Amazon</v>
      </c>
      <c r="D338" s="12">
        <f>Angela_2025_Chase1117_Activity_!D335</f>
        <v>-20.66</v>
      </c>
    </row>
    <row r="339" spans="1:4" x14ac:dyDescent="0.25">
      <c r="A339" s="26">
        <f>Angela_2025_Chase1117_Activity_!B336</f>
        <v>45979</v>
      </c>
      <c r="B339" s="6" t="str">
        <f>Angela_2025_Chase1117_Activity_!C336</f>
        <v>THE C. G. JUNG INSTIT 310-556-1193 CA        11/18</v>
      </c>
      <c r="C339" s="6" t="str">
        <f>Angela_2025_Chase1117_Activity_!G336</f>
        <v>Donation</v>
      </c>
      <c r="D339" s="12">
        <f>Angela_2025_Chase1117_Activity_!D336</f>
        <v>-75</v>
      </c>
    </row>
    <row r="340" spans="1:4" x14ac:dyDescent="0.25">
      <c r="A340" s="26">
        <f>Angela_2025_Chase1117_Activity_!B337</f>
        <v>45979</v>
      </c>
      <c r="B340" s="6" t="str">
        <f>Angela_2025_Chase1117_Activity_!C337</f>
        <v>2418 AMC AMC MARINA MARINA DEL RE CA         11/16</v>
      </c>
      <c r="C340" s="6" t="str">
        <f>Angela_2025_Chase1117_Activity_!G337</f>
        <v>Personal - Entertainment</v>
      </c>
      <c r="D340" s="12">
        <f>Angela_2025_Chase1117_Activity_!D337</f>
        <v>-37.15</v>
      </c>
    </row>
    <row r="341" spans="1:4" x14ac:dyDescent="0.25">
      <c r="A341" s="26">
        <f>Angela_2025_Chase1117_Activity_!B338</f>
        <v>45978</v>
      </c>
      <c r="B341" s="6" t="str">
        <f>Angela_2025_Chase1117_Activity_!C338</f>
        <v>Online Payment 26997573809 To SOUTHERN CALIFORNIA GAS CO 11/17</v>
      </c>
      <c r="C341" s="6" t="str">
        <f>Angela_2025_Chase1117_Activity_!G338</f>
        <v>Personal - House Bills</v>
      </c>
      <c r="D341" s="12">
        <f>Angela_2025_Chase1117_Activity_!D338</f>
        <v>-200</v>
      </c>
    </row>
    <row r="342" spans="1:4" x14ac:dyDescent="0.25">
      <c r="A342" s="26">
        <f>Angela_2025_Chase1117_Activity_!B339</f>
        <v>45978</v>
      </c>
      <c r="B342" s="6" t="str">
        <f>Angela_2025_Chase1117_Activity_!C339</f>
        <v>DARIUSJWRIGHT HOLLAND PARK                   11/17</v>
      </c>
      <c r="C342" s="6" t="str">
        <f>Angela_2025_Chase1117_Activity_!G339</f>
        <v>Personal - Shopping</v>
      </c>
      <c r="D342" s="12">
        <f>Angela_2025_Chase1117_Activity_!D339</f>
        <v>-500</v>
      </c>
    </row>
    <row r="343" spans="1:4" x14ac:dyDescent="0.25">
      <c r="A343" s="26">
        <f>Angela_2025_Chase1117_Activity_!B340</f>
        <v>45978</v>
      </c>
      <c r="B343" s="6" t="str">
        <f>Angela_2025_Chase1117_Activity_!C340</f>
        <v>CPH LIABILITY INSURAN 800-875-1911 IL        11/17</v>
      </c>
      <c r="C343" s="6" t="str">
        <f>Angela_2025_Chase1117_Activity_!G340</f>
        <v>Personal - Work</v>
      </c>
      <c r="D343" s="12">
        <f>Angela_2025_Chase1117_Activity_!D340</f>
        <v>-769</v>
      </c>
    </row>
    <row r="344" spans="1:4" x14ac:dyDescent="0.25">
      <c r="A344" s="26">
        <f>Angela_2025_Chase1117_Activity_!B341</f>
        <v>45978</v>
      </c>
      <c r="B344" s="6" t="str">
        <f>Angela_2025_Chase1117_Activity_!C341</f>
        <v>RAINBOW ACRES LOS ANGELES CA         097142  11/16</v>
      </c>
      <c r="C344" s="6" t="str">
        <f>Angela_2025_Chase1117_Activity_!G341</f>
        <v>Personal - Misc</v>
      </c>
      <c r="D344" s="12">
        <f>Angela_2025_Chase1117_Activity_!D341</f>
        <v>-382.81</v>
      </c>
    </row>
    <row r="345" spans="1:4" x14ac:dyDescent="0.25">
      <c r="A345" s="26">
        <f>Angela_2025_Chase1117_Activity_!B342</f>
        <v>45978</v>
      </c>
      <c r="B345" s="6" t="str">
        <f>Angela_2025_Chase1117_Activity_!C342</f>
        <v>SP HEALTHRANGERSTORE HEALTHRANGERS TX        11/16</v>
      </c>
      <c r="C345" s="6" t="str">
        <f>Angela_2025_Chase1117_Activity_!G342</f>
        <v>Personal - Health</v>
      </c>
      <c r="D345" s="12">
        <f>Angela_2025_Chase1117_Activity_!D342</f>
        <v>-167.34</v>
      </c>
    </row>
    <row r="346" spans="1:4" x14ac:dyDescent="0.25">
      <c r="A346" s="26">
        <f>Angela_2025_Chase1117_Activity_!B343</f>
        <v>45978</v>
      </c>
      <c r="B346" s="6" t="str">
        <f>Angela_2025_Chase1117_Activity_!C343</f>
        <v>UBER   * EATS PENDIN SAN FRANCISCO CA077256  11/15</v>
      </c>
      <c r="C346" s="6" t="str">
        <f>Angela_2025_Chase1117_Activity_!G343</f>
        <v>Uber Eats</v>
      </c>
      <c r="D346" s="12">
        <f>Angela_2025_Chase1117_Activity_!D343</f>
        <v>-107.83</v>
      </c>
    </row>
    <row r="347" spans="1:4" x14ac:dyDescent="0.25">
      <c r="A347" s="26">
        <f>Angela_2025_Chase1117_Activity_!B344</f>
        <v>45978</v>
      </c>
      <c r="B347" s="6" t="str">
        <f>Angela_2025_Chase1117_Activity_!C344</f>
        <v>DICE.FM DICE.FM NY                           11/16</v>
      </c>
      <c r="C347" s="6" t="str">
        <f>Angela_2025_Chase1117_Activity_!G344</f>
        <v>Personal - Entertainment</v>
      </c>
      <c r="D347" s="12">
        <f>Angela_2025_Chase1117_Activity_!D344</f>
        <v>-234.84</v>
      </c>
    </row>
    <row r="348" spans="1:4" x14ac:dyDescent="0.25">
      <c r="A348" s="26">
        <f>Angela_2025_Chase1117_Activity_!B345</f>
        <v>45978</v>
      </c>
      <c r="B348" s="6" t="str">
        <f>Angela_2025_Chase1117_Activity_!C345</f>
        <v>Amazon.com*B83GQ1IC1 Amzn.com/bill WA        11/16</v>
      </c>
      <c r="C348" s="6" t="str">
        <f>Angela_2025_Chase1117_Activity_!G345</f>
        <v>Amazon</v>
      </c>
      <c r="D348" s="12">
        <f>Angela_2025_Chase1117_Activity_!D345</f>
        <v>-250.16</v>
      </c>
    </row>
    <row r="349" spans="1:4" x14ac:dyDescent="0.25">
      <c r="A349" s="26">
        <f>Angela_2025_Chase1117_Activity_!B346</f>
        <v>45978</v>
      </c>
      <c r="B349" s="6" t="str">
        <f>Angela_2025_Chase1117_Activity_!C346</f>
        <v>AMAZON MKTPL*B826N12 Amzn.com/bill WA        11/15</v>
      </c>
      <c r="C349" s="6" t="str">
        <f>Angela_2025_Chase1117_Activity_!G346</f>
        <v>Amazon</v>
      </c>
      <c r="D349" s="12">
        <f>Angela_2025_Chase1117_Activity_!D346</f>
        <v>-31.77</v>
      </c>
    </row>
    <row r="350" spans="1:4" x14ac:dyDescent="0.25">
      <c r="A350" s="26">
        <f>Angela_2025_Chase1117_Activity_!B347</f>
        <v>45978</v>
      </c>
      <c r="B350" s="6" t="str">
        <f>Angela_2025_Chase1117_Activity_!C347</f>
        <v>SP BODYBIO INC. BODYBIO.COM NJ               11/15</v>
      </c>
      <c r="C350" s="6" t="str">
        <f>Angela_2025_Chase1117_Activity_!G347</f>
        <v>Personal - Health</v>
      </c>
      <c r="D350" s="12">
        <f>Angela_2025_Chase1117_Activity_!D347</f>
        <v>-186.58</v>
      </c>
    </row>
    <row r="351" spans="1:4" x14ac:dyDescent="0.25">
      <c r="A351" s="26">
        <f>Angela_2025_Chase1117_Activity_!B348</f>
        <v>45978</v>
      </c>
      <c r="B351" s="6" t="str">
        <f>Angela_2025_Chase1117_Activity_!C348</f>
        <v>AMAZON MKTPL*B86X076 Amzn.com/bill WA        11/15</v>
      </c>
      <c r="C351" s="6" t="str">
        <f>Angela_2025_Chase1117_Activity_!G348</f>
        <v>Amazon</v>
      </c>
      <c r="D351" s="12">
        <f>Angela_2025_Chase1117_Activity_!D348</f>
        <v>-160.88999999999999</v>
      </c>
    </row>
    <row r="352" spans="1:4" x14ac:dyDescent="0.25">
      <c r="A352" s="26">
        <f>Angela_2025_Chase1117_Activity_!B349</f>
        <v>45978</v>
      </c>
      <c r="B352" s="6" t="str">
        <f>Angela_2025_Chase1117_Activity_!C349</f>
        <v>PAVILIONS #2105 MARINA DEL RE CA             11/14</v>
      </c>
      <c r="C352" s="6" t="str">
        <f>Angela_2025_Chase1117_Activity_!G349</f>
        <v>Personal - Food</v>
      </c>
      <c r="D352" s="12">
        <f>Angela_2025_Chase1117_Activity_!D349</f>
        <v>-392.73</v>
      </c>
    </row>
    <row r="353" spans="1:4" x14ac:dyDescent="0.25">
      <c r="A353" s="26">
        <f>Angela_2025_Chase1117_Activity_!B350</f>
        <v>45978</v>
      </c>
      <c r="B353" s="6" t="str">
        <f>Angela_2025_Chase1117_Activity_!C350</f>
        <v>APPLE.COM/BILL 866-712-7753 CA               11/14</v>
      </c>
      <c r="C353" s="6" t="str">
        <f>Angela_2025_Chase1117_Activity_!G350</f>
        <v>Apple</v>
      </c>
      <c r="D353" s="12">
        <f>Angela_2025_Chase1117_Activity_!D350</f>
        <v>-59.99</v>
      </c>
    </row>
    <row r="354" spans="1:4" x14ac:dyDescent="0.25">
      <c r="A354" s="26">
        <f>Angela_2025_Chase1117_Activity_!B351</f>
        <v>45978</v>
      </c>
      <c r="B354" s="6" t="str">
        <f>Angela_2025_Chase1117_Activity_!C351</f>
        <v>AMAZON MKTPL*B88L326 Amzn.com/bill WA        11/14</v>
      </c>
      <c r="C354" s="6" t="str">
        <f>Angela_2025_Chase1117_Activity_!G351</f>
        <v>Amazon</v>
      </c>
      <c r="D354" s="12">
        <f>Angela_2025_Chase1117_Activity_!D351</f>
        <v>-638.48</v>
      </c>
    </row>
    <row r="355" spans="1:4" x14ac:dyDescent="0.25">
      <c r="A355" s="26">
        <f>Angela_2025_Chase1117_Activity_!B352</f>
        <v>45978</v>
      </c>
      <c r="B355" s="6" t="str">
        <f>Angela_2025_Chase1117_Activity_!C352</f>
        <v>Online Transfer from CHK ...1168 transaction#: 26997501218</v>
      </c>
      <c r="C355" s="6" t="str">
        <f>Angela_2025_Chase1117_Activity_!G352</f>
        <v>Transfer from DWG Capital Group</v>
      </c>
      <c r="D355" s="12">
        <f>Angela_2025_Chase1117_Activity_!D352</f>
        <v>2000</v>
      </c>
    </row>
    <row r="356" spans="1:4" x14ac:dyDescent="0.25">
      <c r="A356" s="26">
        <f>Angela_2025_Chase1117_Activity_!B353</f>
        <v>45975</v>
      </c>
      <c r="B356" s="6" t="str">
        <f>Angela_2025_Chase1117_Activity_!C353</f>
        <v>FOREIGN EXCHANGE RATE ADJUSTMENT FEE         11/13BCF - ONL</v>
      </c>
      <c r="C356" s="6" t="str">
        <f>Angela_2025_Chase1117_Activity_!G353</f>
        <v>Personal Travel - Canada</v>
      </c>
      <c r="D356" s="12">
        <f>Angela_2025_Chase1117_Activity_!D353</f>
        <v>-3.58</v>
      </c>
    </row>
    <row r="357" spans="1:4" x14ac:dyDescent="0.25">
      <c r="A357" s="26">
        <f>Angela_2025_Chase1117_Activity_!B354</f>
        <v>45975</v>
      </c>
      <c r="B357" s="6" t="str">
        <f>Angela_2025_Chase1117_Activity_!C354</f>
        <v>ATM WITHDRAWAL                       008841  11/1412335 VEN</v>
      </c>
      <c r="C357" s="6" t="str">
        <f>Angela_2025_Chase1117_Activity_!G354</f>
        <v>Withdrawal</v>
      </c>
      <c r="D357" s="12">
        <f>Angela_2025_Chase1117_Activity_!D354</f>
        <v>-500</v>
      </c>
    </row>
    <row r="358" spans="1:4" x14ac:dyDescent="0.25">
      <c r="A358" s="26">
        <f>Angela_2025_Chase1117_Activity_!B355</f>
        <v>45975</v>
      </c>
      <c r="B358" s="6" t="str">
        <f>Angela_2025_Chase1117_Activity_!C355</f>
        <v>AMAZON PRIME*IT4DG2L Amzn.com/bill WA        11/14</v>
      </c>
      <c r="C358" s="6" t="str">
        <f>Angela_2025_Chase1117_Activity_!G355</f>
        <v>Amazon</v>
      </c>
      <c r="D358" s="12">
        <f>Angela_2025_Chase1117_Activity_!D355</f>
        <v>-16.45</v>
      </c>
    </row>
    <row r="359" spans="1:4" x14ac:dyDescent="0.25">
      <c r="A359" s="26">
        <f>Angela_2025_Chase1117_Activity_!B356</f>
        <v>45975</v>
      </c>
      <c r="B359" s="6" t="str">
        <f>Angela_2025_Chase1117_Activity_!C356</f>
        <v>AMAZON MKTPL*B88H55Z Amzn.com/bill WA        11/14</v>
      </c>
      <c r="C359" s="6" t="str">
        <f>Angela_2025_Chase1117_Activity_!G356</f>
        <v>Amazon</v>
      </c>
      <c r="D359" s="12">
        <f>Angela_2025_Chase1117_Activity_!D356</f>
        <v>-37.299999999999997</v>
      </c>
    </row>
    <row r="360" spans="1:4" x14ac:dyDescent="0.25">
      <c r="A360" s="26">
        <f>Angela_2025_Chase1117_Activity_!B357</f>
        <v>45975</v>
      </c>
      <c r="B360" s="6" t="str">
        <f>Angela_2025_Chase1117_Activity_!C357</f>
        <v>Prime Video Channels amzn.com/bill WA        11/14</v>
      </c>
      <c r="C360" s="6" t="str">
        <f>Angela_2025_Chase1117_Activity_!G357</f>
        <v>Amazon</v>
      </c>
      <c r="D360" s="12">
        <f>Angela_2025_Chase1117_Activity_!D357</f>
        <v>-16.989999999999998</v>
      </c>
    </row>
    <row r="361" spans="1:4" x14ac:dyDescent="0.25">
      <c r="A361" s="26">
        <f>Angela_2025_Chase1117_Activity_!B358</f>
        <v>45975</v>
      </c>
      <c r="B361" s="6" t="str">
        <f>Angela_2025_Chase1117_Activity_!C358</f>
        <v>BCF - ONLINE SALES &amp; BO VICTORIA BC          11/13 CA DOLLAR  167.00 X 0.7151497 (EXCHG RTE)</v>
      </c>
      <c r="C361" s="6" t="str">
        <f>Angela_2025_Chase1117_Activity_!G358</f>
        <v>Personal Travel - Canada</v>
      </c>
      <c r="D361" s="12">
        <f>Angela_2025_Chase1117_Activity_!D358</f>
        <v>-119.43</v>
      </c>
    </row>
    <row r="362" spans="1:4" x14ac:dyDescent="0.25">
      <c r="A362" s="26">
        <f>Angela_2025_Chase1117_Activity_!B359</f>
        <v>45975</v>
      </c>
      <c r="B362" s="6" t="str">
        <f>Angela_2025_Chase1117_Activity_!C359</f>
        <v>AMC 9640 ONLINE 888-440-4262 KS              11/14</v>
      </c>
      <c r="C362" s="6" t="str">
        <f>Angela_2025_Chase1117_Activity_!G359</f>
        <v>Personal - Entertainment</v>
      </c>
      <c r="D362" s="12">
        <f>Angela_2025_Chase1117_Activity_!D359</f>
        <v>-62.94</v>
      </c>
    </row>
    <row r="363" spans="1:4" x14ac:dyDescent="0.25">
      <c r="A363" s="26">
        <f>Angela_2025_Chase1117_Activity_!B360</f>
        <v>45975</v>
      </c>
      <c r="B363" s="6" t="str">
        <f>Angela_2025_Chase1117_Activity_!C360</f>
        <v>VER.SO VER.SO CA                             11/13</v>
      </c>
      <c r="C363" s="6" t="str">
        <f>Angela_2025_Chase1117_Activity_!G360</f>
        <v>Personal - Health</v>
      </c>
      <c r="D363" s="12">
        <f>Angela_2025_Chase1117_Activity_!D360</f>
        <v>-666.74</v>
      </c>
    </row>
    <row r="364" spans="1:4" x14ac:dyDescent="0.25">
      <c r="A364" s="26">
        <f>Angela_2025_Chase1117_Activity_!B361</f>
        <v>45975</v>
      </c>
      <c r="B364" s="6" t="str">
        <f>Angela_2025_Chase1117_Activity_!C361</f>
        <v>ATM CHECK DEPOSIT 11/14 12335 VENICE BLVD LOS ANGELES CA</v>
      </c>
      <c r="C364" s="6" t="str">
        <f>Angela_2025_Chase1117_Activity_!G361</f>
        <v>Deposit</v>
      </c>
      <c r="D364" s="12">
        <f>Angela_2025_Chase1117_Activity_!D361</f>
        <v>4282.71</v>
      </c>
    </row>
    <row r="365" spans="1:4" x14ac:dyDescent="0.25">
      <c r="A365" s="26">
        <f>Angela_2025_Chase1117_Activity_!B362</f>
        <v>45974</v>
      </c>
      <c r="B365" s="6" t="str">
        <f>Angela_2025_Chase1117_Activity_!C362</f>
        <v>CVS/PHARMACY #09493 MAR VISTA CA     061848  11/13</v>
      </c>
      <c r="C365" s="6" t="str">
        <f>Angela_2025_Chase1117_Activity_!G362</f>
        <v>Personal - Health</v>
      </c>
      <c r="D365" s="12">
        <f>Angela_2025_Chase1117_Activity_!D362</f>
        <v>-190.27</v>
      </c>
    </row>
    <row r="366" spans="1:4" x14ac:dyDescent="0.25">
      <c r="A366" s="26">
        <f>Angela_2025_Chase1117_Activity_!B363</f>
        <v>45974</v>
      </c>
      <c r="B366" s="6" t="str">
        <f>Angela_2025_Chase1117_Activity_!C363</f>
        <v>UBER * EATS PENDING SAN FRANCISCO CA 282131  11/13</v>
      </c>
      <c r="C366" s="6" t="str">
        <f>Angela_2025_Chase1117_Activity_!G363</f>
        <v>Uber Eats</v>
      </c>
      <c r="D366" s="12">
        <f>Angela_2025_Chase1117_Activity_!D363</f>
        <v>-31.21</v>
      </c>
    </row>
    <row r="367" spans="1:4" x14ac:dyDescent="0.25">
      <c r="A367" s="26">
        <f>Angela_2025_Chase1117_Activity_!B364</f>
        <v>45974</v>
      </c>
      <c r="B367" s="6" t="str">
        <f>Angela_2025_Chase1117_Activity_!C364</f>
        <v>mango.com USA 866-6664664 NY                 11/13</v>
      </c>
      <c r="C367" s="6" t="str">
        <f>Angela_2025_Chase1117_Activity_!G364</f>
        <v>Personal - Shopping</v>
      </c>
      <c r="D367" s="12">
        <f>Angela_2025_Chase1117_Activity_!D364</f>
        <v>-342.02</v>
      </c>
    </row>
    <row r="368" spans="1:4" x14ac:dyDescent="0.25">
      <c r="A368" s="26">
        <f>Angela_2025_Chase1117_Activity_!B365</f>
        <v>45974</v>
      </c>
      <c r="B368" s="6" t="str">
        <f>Angela_2025_Chase1117_Activity_!C365</f>
        <v>UBER   * EATS PENDIN SAN FRANCISCO CA015258  11/12</v>
      </c>
      <c r="C368" s="6" t="str">
        <f>Angela_2025_Chase1117_Activity_!G365</f>
        <v>Uber Eats</v>
      </c>
      <c r="D368" s="12">
        <f>Angela_2025_Chase1117_Activity_!D365</f>
        <v>-44.24</v>
      </c>
    </row>
    <row r="369" spans="1:4" x14ac:dyDescent="0.25">
      <c r="A369" s="26">
        <f>Angela_2025_Chase1117_Activity_!B366</f>
        <v>45974</v>
      </c>
      <c r="B369" s="6" t="str">
        <f>Angela_2025_Chase1117_Activity_!C366</f>
        <v>AMAZON MKTPL*B81SV5E Amzn.com/bill WA        11/12</v>
      </c>
      <c r="C369" s="6" t="str">
        <f>Angela_2025_Chase1117_Activity_!G366</f>
        <v>Amazon</v>
      </c>
      <c r="D369" s="12">
        <f>Angela_2025_Chase1117_Activity_!D366</f>
        <v>-58.29</v>
      </c>
    </row>
    <row r="370" spans="1:4" x14ac:dyDescent="0.25">
      <c r="A370" s="26">
        <f>Angela_2025_Chase1117_Activity_!B367</f>
        <v>45974</v>
      </c>
      <c r="B370" s="6" t="str">
        <f>Angela_2025_Chase1117_Activity_!C367</f>
        <v>Online Transfer from CHK ...1168 transaction#: 26948042394</v>
      </c>
      <c r="C370" s="6" t="str">
        <f>Angela_2025_Chase1117_Activity_!G367</f>
        <v>Transfer from DWG Capital Group</v>
      </c>
      <c r="D370" s="12">
        <f>Angela_2025_Chase1117_Activity_!D367</f>
        <v>2000</v>
      </c>
    </row>
    <row r="371" spans="1:4" x14ac:dyDescent="0.25">
      <c r="A371" s="26">
        <f>Angela_2025_Chase1117_Activity_!B368</f>
        <v>45973</v>
      </c>
      <c r="B371" s="6" t="str">
        <f>Angela_2025_Chase1117_Activity_!C368</f>
        <v>Etsy.com*ThriceRound ETSY.COM NY             11/12</v>
      </c>
      <c r="C371" s="6" t="str">
        <f>Angela_2025_Chase1117_Activity_!G368</f>
        <v>Etsy</v>
      </c>
      <c r="D371" s="12">
        <f>Angela_2025_Chase1117_Activity_!D368</f>
        <v>-38.409999999999997</v>
      </c>
    </row>
    <row r="372" spans="1:4" x14ac:dyDescent="0.25">
      <c r="A372" s="26">
        <f>Angela_2025_Chase1117_Activity_!B369</f>
        <v>45973</v>
      </c>
      <c r="B372" s="6" t="str">
        <f>Angela_2025_Chase1117_Activity_!C369</f>
        <v>UBER   * EATS PENDIN SAN FRANCISCO CA014448  11/11</v>
      </c>
      <c r="C372" s="6" t="str">
        <f>Angela_2025_Chase1117_Activity_!G369</f>
        <v>Uber Eats</v>
      </c>
      <c r="D372" s="12">
        <f>Angela_2025_Chase1117_Activity_!D369</f>
        <v>-110.91</v>
      </c>
    </row>
    <row r="373" spans="1:4" x14ac:dyDescent="0.25">
      <c r="A373" s="26">
        <f>Angela_2025_Chase1117_Activity_!B370</f>
        <v>45973</v>
      </c>
      <c r="B373" s="6" t="str">
        <f>Angela_2025_Chase1117_Activity_!C370</f>
        <v>AMAZON MKTPL*B81JU6C Amzn.com/bill WA        11/11</v>
      </c>
      <c r="C373" s="6" t="str">
        <f>Angela_2025_Chase1117_Activity_!G370</f>
        <v>Amazon</v>
      </c>
      <c r="D373" s="12">
        <f>Angela_2025_Chase1117_Activity_!D370</f>
        <v>-78.5</v>
      </c>
    </row>
    <row r="374" spans="1:4" x14ac:dyDescent="0.25">
      <c r="A374" s="26">
        <f>Angela_2025_Chase1117_Activity_!B371</f>
        <v>45973</v>
      </c>
      <c r="B374" s="6" t="str">
        <f>Angela_2025_Chase1117_Activity_!C371</f>
        <v>AMAZON MKTPL*B81222O Amzn.com/bill WA        11/11</v>
      </c>
      <c r="C374" s="6" t="str">
        <f>Angela_2025_Chase1117_Activity_!G371</f>
        <v>Amazon</v>
      </c>
      <c r="D374" s="12">
        <f>Angela_2025_Chase1117_Activity_!D371</f>
        <v>-58.29</v>
      </c>
    </row>
    <row r="375" spans="1:4" x14ac:dyDescent="0.25">
      <c r="A375" s="26">
        <f>Angela_2025_Chase1117_Activity_!B372</f>
        <v>45973</v>
      </c>
      <c r="B375" s="6" t="str">
        <f>Angela_2025_Chase1117_Activity_!C372</f>
        <v>Amazon Tips*BT95G3YQ Amzn.com/bill WA        11/10</v>
      </c>
      <c r="C375" s="6" t="str">
        <f>Angela_2025_Chase1117_Activity_!G372</f>
        <v>Amazon</v>
      </c>
      <c r="D375" s="12">
        <f>Angela_2025_Chase1117_Activity_!D372</f>
        <v>-20</v>
      </c>
    </row>
    <row r="376" spans="1:4" x14ac:dyDescent="0.25">
      <c r="A376" s="26">
        <f>Angela_2025_Chase1117_Activity_!B373</f>
        <v>45973</v>
      </c>
      <c r="B376" s="6" t="str">
        <f>Angela_2025_Chase1117_Activity_!C373</f>
        <v>AMAZON MKTPL*BT8FB4Y Amzn.com/bill WA        11/10</v>
      </c>
      <c r="C376" s="6" t="str">
        <f>Angela_2025_Chase1117_Activity_!G373</f>
        <v>Amazon</v>
      </c>
      <c r="D376" s="12">
        <f>Angela_2025_Chase1117_Activity_!D373</f>
        <v>-29.56</v>
      </c>
    </row>
    <row r="377" spans="1:4" x14ac:dyDescent="0.25">
      <c r="A377" s="26">
        <f>Angela_2025_Chase1117_Activity_!B374</f>
        <v>45973</v>
      </c>
      <c r="B377" s="6" t="str">
        <f>Angela_2025_Chase1117_Activity_!C374</f>
        <v>Zara.com/USA 855-6359272 NY                  11/10</v>
      </c>
      <c r="C377" s="6" t="str">
        <f>Angela_2025_Chase1117_Activity_!G374</f>
        <v>Personal - Shopping</v>
      </c>
      <c r="D377" s="12">
        <f>Angela_2025_Chase1117_Activity_!D374</f>
        <v>-640.21</v>
      </c>
    </row>
    <row r="378" spans="1:4" x14ac:dyDescent="0.25">
      <c r="A378" s="26">
        <f>Angela_2025_Chase1117_Activity_!B375</f>
        <v>45973</v>
      </c>
      <c r="B378" s="6" t="str">
        <f>Angela_2025_Chase1117_Activity_!C375</f>
        <v>ANTHROPOLOGIE.COM ANTHROPOLOGIE PA           11/11</v>
      </c>
      <c r="C378" s="6" t="str">
        <f>Angela_2025_Chase1117_Activity_!G375</f>
        <v>Personal - Shopping</v>
      </c>
      <c r="D378" s="12">
        <f>Angela_2025_Chase1117_Activity_!D375</f>
        <v>-122.67</v>
      </c>
    </row>
    <row r="379" spans="1:4" x14ac:dyDescent="0.25">
      <c r="A379" s="26">
        <f>Angela_2025_Chase1117_Activity_!B376</f>
        <v>45973</v>
      </c>
      <c r="B379" s="6" t="str">
        <f>Angela_2025_Chase1117_Activity_!C376</f>
        <v>ANTHROPOLOGIE.COM ANTHROPOLOGIE PA           11/11</v>
      </c>
      <c r="C379" s="6" t="str">
        <f>Angela_2025_Chase1117_Activity_!G376</f>
        <v>Personal - Shopping</v>
      </c>
      <c r="D379" s="12">
        <f>Angela_2025_Chase1117_Activity_!D376</f>
        <v>-139.22</v>
      </c>
    </row>
    <row r="380" spans="1:4" x14ac:dyDescent="0.25">
      <c r="A380" s="26">
        <f>Angela_2025_Chase1117_Activity_!B377</f>
        <v>45973</v>
      </c>
      <c r="B380" s="6" t="str">
        <f>Angela_2025_Chase1117_Activity_!C377</f>
        <v>AMAZON MKTPL*BT3OR1X Amzn.com/bill WA        11/10</v>
      </c>
      <c r="C380" s="6" t="str">
        <f>Angela_2025_Chase1117_Activity_!G377</f>
        <v>Amazon</v>
      </c>
      <c r="D380" s="12">
        <f>Angela_2025_Chase1117_Activity_!D377</f>
        <v>-26.59</v>
      </c>
    </row>
    <row r="381" spans="1:4" x14ac:dyDescent="0.25">
      <c r="A381" s="26">
        <f>Angela_2025_Chase1117_Activity_!B378</f>
        <v>45973</v>
      </c>
      <c r="B381" s="6" t="str">
        <f>Angela_2025_Chase1117_Activity_!C378</f>
        <v>Zara.com 212-3551415 NY                      11/12</v>
      </c>
      <c r="C381" s="6" t="str">
        <f>Angela_2025_Chase1117_Activity_!G378</f>
        <v>Personal - Shopping</v>
      </c>
      <c r="D381" s="12">
        <f>Angela_2025_Chase1117_Activity_!D378</f>
        <v>-305.87</v>
      </c>
    </row>
    <row r="382" spans="1:4" x14ac:dyDescent="0.25">
      <c r="A382" s="26">
        <f>Angela_2025_Chase1117_Activity_!B379</f>
        <v>45971</v>
      </c>
      <c r="B382" s="6" t="str">
        <f>Angela_2025_Chase1117_Activity_!C379</f>
        <v>Etsy.com*Multiple Shop ETSY.COM NY           11/10</v>
      </c>
      <c r="C382" s="6" t="str">
        <f>Angela_2025_Chase1117_Activity_!G379</f>
        <v>Etsy</v>
      </c>
      <c r="D382" s="12">
        <f>Angela_2025_Chase1117_Activity_!D379</f>
        <v>-83.61</v>
      </c>
    </row>
    <row r="383" spans="1:4" x14ac:dyDescent="0.25">
      <c r="A383" s="26">
        <f>Angela_2025_Chase1117_Activity_!B380</f>
        <v>45971</v>
      </c>
      <c r="B383" s="6" t="str">
        <f>Angela_2025_Chase1117_Activity_!C380</f>
        <v>APPLE.COM/BILL 866-712-7753 CA               11/10</v>
      </c>
      <c r="C383" s="6" t="str">
        <f>Angela_2025_Chase1117_Activity_!G380</f>
        <v>Apple</v>
      </c>
      <c r="D383" s="12">
        <f>Angela_2025_Chase1117_Activity_!D380</f>
        <v>-12.99</v>
      </c>
    </row>
    <row r="384" spans="1:4" x14ac:dyDescent="0.25">
      <c r="A384" s="26">
        <f>Angela_2025_Chase1117_Activity_!B381</f>
        <v>45971</v>
      </c>
      <c r="B384" s="6" t="str">
        <f>Angela_2025_Chase1117_Activity_!C381</f>
        <v>Amazon.com*BT5HE22S0 Amzn.com/bill WA        11/09</v>
      </c>
      <c r="C384" s="6" t="str">
        <f>Angela_2025_Chase1117_Activity_!G381</f>
        <v>Amazon</v>
      </c>
      <c r="D384" s="12">
        <f>Angela_2025_Chase1117_Activity_!D381</f>
        <v>-95.63</v>
      </c>
    </row>
    <row r="385" spans="1:4" x14ac:dyDescent="0.25">
      <c r="A385" s="26">
        <f>Angela_2025_Chase1117_Activity_!B382</f>
        <v>45971</v>
      </c>
      <c r="B385" s="6" t="str">
        <f>Angela_2025_Chase1117_Activity_!C382</f>
        <v>SP BLUEPRINT.BRYANJO BLUEPRINT.BRY CA        11/09</v>
      </c>
      <c r="C385" s="6" t="str">
        <f>Angela_2025_Chase1117_Activity_!G382</f>
        <v>Personal - Health</v>
      </c>
      <c r="D385" s="12">
        <f>Angela_2025_Chase1117_Activity_!D382</f>
        <v>-401.75</v>
      </c>
    </row>
    <row r="386" spans="1:4" x14ac:dyDescent="0.25">
      <c r="A386" s="26">
        <f>Angela_2025_Chase1117_Activity_!B383</f>
        <v>45971</v>
      </c>
      <c r="B386" s="6" t="str">
        <f>Angela_2025_Chase1117_Activity_!C383</f>
        <v>APPLE COM BILL CUPERTINO CA          529130  11/08</v>
      </c>
      <c r="C386" s="6" t="str">
        <f>Angela_2025_Chase1117_Activity_!G383</f>
        <v>Apple</v>
      </c>
      <c r="D386" s="12">
        <f>Angela_2025_Chase1117_Activity_!D383</f>
        <v>-6.99</v>
      </c>
    </row>
    <row r="387" spans="1:4" x14ac:dyDescent="0.25">
      <c r="A387" s="26">
        <f>Angela_2025_Chase1117_Activity_!B384</f>
        <v>45971</v>
      </c>
      <c r="B387" s="6" t="str">
        <f>Angela_2025_Chase1117_Activity_!C384</f>
        <v>PAVILIONS #2105 MARINA DEL RE CA             11/08</v>
      </c>
      <c r="C387" s="6" t="str">
        <f>Angela_2025_Chase1117_Activity_!G384</f>
        <v>Personal - Food</v>
      </c>
      <c r="D387" s="12">
        <f>Angela_2025_Chase1117_Activity_!D384</f>
        <v>-573.65</v>
      </c>
    </row>
    <row r="388" spans="1:4" x14ac:dyDescent="0.25">
      <c r="A388" s="26">
        <f>Angela_2025_Chase1117_Activity_!B385</f>
        <v>45971</v>
      </c>
      <c r="B388" s="6" t="str">
        <f>Angela_2025_Chase1117_Activity_!C385</f>
        <v>HANDY J CAR WASH LOS ANGELES CA              11/08</v>
      </c>
      <c r="C388" s="6" t="str">
        <f>Angela_2025_Chase1117_Activity_!G385</f>
        <v>Personal - Car</v>
      </c>
      <c r="D388" s="12">
        <f>Angela_2025_Chase1117_Activity_!D385</f>
        <v>-34.659999999999997</v>
      </c>
    </row>
    <row r="389" spans="1:4" x14ac:dyDescent="0.25">
      <c r="A389" s="26">
        <f>Angela_2025_Chase1117_Activity_!B386</f>
        <v>45971</v>
      </c>
      <c r="B389" s="6" t="str">
        <f>Angela_2025_Chase1117_Activity_!C386</f>
        <v>AMAZON MKTPL*BT5FT5J Amzn.com/bill WA        11/09</v>
      </c>
      <c r="C389" s="6" t="str">
        <f>Angela_2025_Chase1117_Activity_!G386</f>
        <v>Amazon</v>
      </c>
      <c r="D389" s="12">
        <f>Angela_2025_Chase1117_Activity_!D386</f>
        <v>-27.99</v>
      </c>
    </row>
    <row r="390" spans="1:4" x14ac:dyDescent="0.25">
      <c r="A390" s="26">
        <f>Angela_2025_Chase1117_Activity_!B387</f>
        <v>45971</v>
      </c>
      <c r="B390" s="6" t="str">
        <f>Angela_2025_Chase1117_Activity_!C387</f>
        <v>AMAZON MKTPL*BT82E98 Amzn.com/bill WA        11/08</v>
      </c>
      <c r="C390" s="6" t="str">
        <f>Angela_2025_Chase1117_Activity_!G387</f>
        <v>Amazon</v>
      </c>
      <c r="D390" s="12">
        <f>Angela_2025_Chase1117_Activity_!D387</f>
        <v>-105.78</v>
      </c>
    </row>
    <row r="391" spans="1:4" x14ac:dyDescent="0.25">
      <c r="A391" s="26">
        <f>Angela_2025_Chase1117_Activity_!B388</f>
        <v>45971</v>
      </c>
      <c r="B391" s="6" t="str">
        <f>Angela_2025_Chase1117_Activity_!C388</f>
        <v>mango.com USA 866-6664664 NY                 11/08</v>
      </c>
      <c r="C391" s="6" t="str">
        <f>Angela_2025_Chase1117_Activity_!G388</f>
        <v>Personal - Shopping</v>
      </c>
      <c r="D391" s="12">
        <f>Angela_2025_Chase1117_Activity_!D388</f>
        <v>-603.58000000000004</v>
      </c>
    </row>
    <row r="392" spans="1:4" x14ac:dyDescent="0.25">
      <c r="A392" s="26">
        <f>Angela_2025_Chase1117_Activity_!B389</f>
        <v>45971</v>
      </c>
      <c r="B392" s="6" t="str">
        <f>Angela_2025_Chase1117_Activity_!C389</f>
        <v>AMAZON MKTPL*BT9G16H Amzn.com/bill WA        11/08</v>
      </c>
      <c r="C392" s="6" t="str">
        <f>Angela_2025_Chase1117_Activity_!G389</f>
        <v>Amazon</v>
      </c>
      <c r="D392" s="12">
        <f>Angela_2025_Chase1117_Activity_!D389</f>
        <v>-39.07</v>
      </c>
    </row>
    <row r="393" spans="1:4" x14ac:dyDescent="0.25">
      <c r="A393" s="26">
        <f>Angela_2025_Chase1117_Activity_!B390</f>
        <v>45971</v>
      </c>
      <c r="B393" s="6" t="str">
        <f>Angela_2025_Chase1117_Activity_!C390</f>
        <v>Amazon Tips*BT9YI4OC Amzn.com/bill WA        11/08</v>
      </c>
      <c r="C393" s="6" t="str">
        <f>Angela_2025_Chase1117_Activity_!G390</f>
        <v>Amazon</v>
      </c>
      <c r="D393" s="12">
        <f>Angela_2025_Chase1117_Activity_!D390</f>
        <v>-10</v>
      </c>
    </row>
    <row r="394" spans="1:4" x14ac:dyDescent="0.25">
      <c r="A394" s="26">
        <f>Angela_2025_Chase1117_Activity_!B391</f>
        <v>45971</v>
      </c>
      <c r="B394" s="6" t="str">
        <f>Angela_2025_Chase1117_Activity_!C391</f>
        <v>Prime Video Channels amzn.com/bill WA        11/07</v>
      </c>
      <c r="C394" s="6" t="str">
        <f>Angela_2025_Chase1117_Activity_!G391</f>
        <v>Amazon</v>
      </c>
      <c r="D394" s="12">
        <f>Angela_2025_Chase1117_Activity_!D391</f>
        <v>-13.99</v>
      </c>
    </row>
    <row r="395" spans="1:4" x14ac:dyDescent="0.25">
      <c r="A395" s="26">
        <f>Angela_2025_Chase1117_Activity_!B392</f>
        <v>45971</v>
      </c>
      <c r="B395" s="6" t="str">
        <f>Angela_2025_Chase1117_Activity_!C392</f>
        <v>Online Transfer from CHK ...1168 transaction#: 26903952731</v>
      </c>
      <c r="C395" s="6" t="str">
        <f>Angela_2025_Chase1117_Activity_!G392</f>
        <v>Transfer from DWG Capital Group</v>
      </c>
      <c r="D395" s="12">
        <f>Angela_2025_Chase1117_Activity_!D392</f>
        <v>2000</v>
      </c>
    </row>
    <row r="396" spans="1:4" x14ac:dyDescent="0.25">
      <c r="A396" s="26">
        <f>Angela_2025_Chase1117_Activity_!B393</f>
        <v>45968</v>
      </c>
      <c r="B396" s="6" t="str">
        <f>Angela_2025_Chase1117_Activity_!C393</f>
        <v>ANTHROPOLOGIE.COM ANTHROPOLOGIE PA           11/07</v>
      </c>
      <c r="C396" s="6" t="str">
        <f>Angela_2025_Chase1117_Activity_!G393</f>
        <v>Personal - Shopping</v>
      </c>
      <c r="D396" s="12">
        <f>Angela_2025_Chase1117_Activity_!D393</f>
        <v>-207.74</v>
      </c>
    </row>
    <row r="397" spans="1:4" x14ac:dyDescent="0.25">
      <c r="A397" s="26">
        <f>Angela_2025_Chase1117_Activity_!B394</f>
        <v>45968</v>
      </c>
      <c r="B397" s="6" t="str">
        <f>Angela_2025_Chase1117_Activity_!C394</f>
        <v>UBER * EATS PENDING SAN FRANCISCO CA 331406  11/06</v>
      </c>
      <c r="C397" s="6" t="str">
        <f>Angela_2025_Chase1117_Activity_!G394</f>
        <v>Uber Eats</v>
      </c>
      <c r="D397" s="12">
        <f>Angela_2025_Chase1117_Activity_!D394</f>
        <v>-59.36</v>
      </c>
    </row>
    <row r="398" spans="1:4" x14ac:dyDescent="0.25">
      <c r="A398" s="26">
        <f>Angela_2025_Chase1117_Activity_!B395</f>
        <v>45968</v>
      </c>
      <c r="B398" s="6" t="str">
        <f>Angela_2025_Chase1117_Activity_!C395</f>
        <v>Amazon Tips*BT65L01Z Amzn.com/bill WA        11/07</v>
      </c>
      <c r="C398" s="6" t="str">
        <f>Angela_2025_Chase1117_Activity_!G395</f>
        <v>Amazon</v>
      </c>
      <c r="D398" s="12">
        <f>Angela_2025_Chase1117_Activity_!D395</f>
        <v>-30</v>
      </c>
    </row>
    <row r="399" spans="1:4" x14ac:dyDescent="0.25">
      <c r="A399" s="26">
        <f>Angela_2025_Chase1117_Activity_!B396</f>
        <v>45968</v>
      </c>
      <c r="B399" s="6" t="str">
        <f>Angela_2025_Chase1117_Activity_!C396</f>
        <v>Amazon.com*NK44L69T2 Amzn.com/bill WA        11/06</v>
      </c>
      <c r="C399" s="6" t="str">
        <f>Angela_2025_Chase1117_Activity_!G396</f>
        <v>Amazon</v>
      </c>
      <c r="D399" s="12">
        <f>Angela_2025_Chase1117_Activity_!D396</f>
        <v>-7.89</v>
      </c>
    </row>
    <row r="400" spans="1:4" x14ac:dyDescent="0.25">
      <c r="A400" s="26">
        <f>Angela_2025_Chase1117_Activity_!B397</f>
        <v>45968</v>
      </c>
      <c r="B400" s="6" t="str">
        <f>Angela_2025_Chase1117_Activity_!C397</f>
        <v>Amazon.com*BT3431AW1 Amzn.com/bill WA        11/06</v>
      </c>
      <c r="C400" s="6" t="str">
        <f>Angela_2025_Chase1117_Activity_!G397</f>
        <v>Amazon</v>
      </c>
      <c r="D400" s="12">
        <f>Angela_2025_Chase1117_Activity_!D397</f>
        <v>-190.52</v>
      </c>
    </row>
    <row r="401" spans="1:4" x14ac:dyDescent="0.25">
      <c r="A401" s="26">
        <f>Angela_2025_Chase1117_Activity_!B398</f>
        <v>45968</v>
      </c>
      <c r="B401" s="6" t="str">
        <f>Angela_2025_Chase1117_Activity_!C398</f>
        <v>STARBUCKS D27 DFW DALLAS TX                  11/06</v>
      </c>
      <c r="C401" s="6" t="str">
        <f>Angela_2025_Chase1117_Activity_!G398</f>
        <v>Personal - Food</v>
      </c>
      <c r="D401" s="12">
        <f>Angela_2025_Chase1117_Activity_!D398</f>
        <v>-11.42</v>
      </c>
    </row>
    <row r="402" spans="1:4" x14ac:dyDescent="0.25">
      <c r="A402" s="26">
        <f>Angela_2025_Chase1117_Activity_!B399</f>
        <v>45968</v>
      </c>
      <c r="B402" s="6" t="str">
        <f>Angela_2025_Chase1117_Activity_!C399</f>
        <v>AMAZON MKTPL*NK9RW8K Amzn.com/bill WA        11/06</v>
      </c>
      <c r="C402" s="6" t="str">
        <f>Angela_2025_Chase1117_Activity_!G399</f>
        <v>Amazon</v>
      </c>
      <c r="D402" s="12">
        <f>Angela_2025_Chase1117_Activity_!D399</f>
        <v>-9.85</v>
      </c>
    </row>
    <row r="403" spans="1:4" x14ac:dyDescent="0.25">
      <c r="A403" s="26">
        <f>Angela_2025_Chase1117_Activity_!B400</f>
        <v>45967</v>
      </c>
      <c r="B403" s="6" t="str">
        <f>Angela_2025_Chase1117_Activity_!C400</f>
        <v>GOOGLE *YouTubePremi g.co/helppay# CA        11/06</v>
      </c>
      <c r="C403" s="6" t="str">
        <f>Angela_2025_Chase1117_Activity_!G400</f>
        <v>YouTube Premium</v>
      </c>
      <c r="D403" s="12">
        <f>Angela_2025_Chase1117_Activity_!D400</f>
        <v>-13.99</v>
      </c>
    </row>
    <row r="404" spans="1:4" x14ac:dyDescent="0.25">
      <c r="A404" s="26">
        <f>Angela_2025_Chase1117_Activity_!B401</f>
        <v>45967</v>
      </c>
      <c r="B404" s="6" t="str">
        <f>Angela_2025_Chase1117_Activity_!C401</f>
        <v>Amazon.com*NK22Z02N2 Amzn.com/bill WA        11/06</v>
      </c>
      <c r="C404" s="6" t="str">
        <f>Angela_2025_Chase1117_Activity_!G401</f>
        <v>Amazon</v>
      </c>
      <c r="D404" s="12">
        <f>Angela_2025_Chase1117_Activity_!D401</f>
        <v>-9.8800000000000008</v>
      </c>
    </row>
    <row r="405" spans="1:4" x14ac:dyDescent="0.25">
      <c r="A405" s="26">
        <f>Angela_2025_Chase1117_Activity_!B402</f>
        <v>45967</v>
      </c>
      <c r="B405" s="6" t="str">
        <f>Angela_2025_Chase1117_Activity_!C402</f>
        <v>PSYCHOLOGY TODAY PSYCHOLOGYTOD SD            11/06</v>
      </c>
      <c r="C405" s="6" t="str">
        <f>Angela_2025_Chase1117_Activity_!G402</f>
        <v>Personal - Subscription</v>
      </c>
      <c r="D405" s="12">
        <f>Angela_2025_Chase1117_Activity_!D402</f>
        <v>-29.95</v>
      </c>
    </row>
    <row r="406" spans="1:4" x14ac:dyDescent="0.25">
      <c r="A406" s="26">
        <f>Angela_2025_Chase1117_Activity_!B403</f>
        <v>45967</v>
      </c>
      <c r="B406" s="6" t="str">
        <f>Angela_2025_Chase1117_Activity_!C403</f>
        <v>ELEVENLABS.IO ELEVENLABS.IO NY               11/06</v>
      </c>
      <c r="C406" s="6" t="str">
        <f>Angela_2025_Chase1117_Activity_!G403</f>
        <v>Personal - Subscription</v>
      </c>
      <c r="D406" s="12">
        <f>Angela_2025_Chase1117_Activity_!D403</f>
        <v>-22</v>
      </c>
    </row>
    <row r="407" spans="1:4" x14ac:dyDescent="0.25">
      <c r="A407" s="26">
        <f>Angela_2025_Chase1117_Activity_!B404</f>
        <v>45967</v>
      </c>
      <c r="B407" s="6" t="str">
        <f>Angela_2025_Chase1117_Activity_!C404</f>
        <v>Amazon.com*BT34I0LT1 Amzn.com/bill WA        11/05</v>
      </c>
      <c r="C407" s="6" t="str">
        <f>Angela_2025_Chase1117_Activity_!G404</f>
        <v>Amazon</v>
      </c>
      <c r="D407" s="12">
        <f>Angela_2025_Chase1117_Activity_!D404</f>
        <v>-286.58999999999997</v>
      </c>
    </row>
    <row r="408" spans="1:4" x14ac:dyDescent="0.25">
      <c r="A408" s="26">
        <f>Angela_2025_Chase1117_Activity_!B405</f>
        <v>45967</v>
      </c>
      <c r="B408" s="6" t="str">
        <f>Angela_2025_Chase1117_Activity_!C405</f>
        <v>AMERICAN AIR00144758265 FORT WORTH TX        11/06</v>
      </c>
      <c r="C408" s="6" t="str">
        <f>Angela_2025_Chase1117_Activity_!G405</f>
        <v>Personal Travel</v>
      </c>
      <c r="D408" s="12">
        <f>Angela_2025_Chase1117_Activity_!D405</f>
        <v>-35</v>
      </c>
    </row>
    <row r="409" spans="1:4" x14ac:dyDescent="0.25">
      <c r="A409" s="26">
        <f>Angela_2025_Chase1117_Activity_!B406</f>
        <v>45967</v>
      </c>
      <c r="B409" s="6" t="str">
        <f>Angela_2025_Chase1117_Activity_!C406</f>
        <v>AMERICAN AIR00144758265 FORT WORTH TX        11/06</v>
      </c>
      <c r="C409" s="6" t="str">
        <f>Angela_2025_Chase1117_Activity_!G406</f>
        <v>Personal Travel</v>
      </c>
      <c r="D409" s="12">
        <f>Angela_2025_Chase1117_Activity_!D406</f>
        <v>-35</v>
      </c>
    </row>
    <row r="410" spans="1:4" x14ac:dyDescent="0.25">
      <c r="A410" s="26">
        <f>Angela_2025_Chase1117_Activity_!B407</f>
        <v>45967</v>
      </c>
      <c r="B410" s="6" t="str">
        <f>Angela_2025_Chase1117_Activity_!C407</f>
        <v>AMERICAN AIR00144758265 FORT WORTH TX        11/06</v>
      </c>
      <c r="C410" s="6" t="str">
        <f>Angela_2025_Chase1117_Activity_!G407</f>
        <v>Personal Travel</v>
      </c>
      <c r="D410" s="12">
        <f>Angela_2025_Chase1117_Activity_!D407</f>
        <v>-45</v>
      </c>
    </row>
    <row r="411" spans="1:4" x14ac:dyDescent="0.25">
      <c r="A411" s="26">
        <f>Angela_2025_Chase1117_Activity_!B408</f>
        <v>45967</v>
      </c>
      <c r="B411" s="6" t="str">
        <f>Angela_2025_Chase1117_Activity_!C408</f>
        <v>AMERICAN AIR00144758265 FORT WORTH TX        11/06</v>
      </c>
      <c r="C411" s="6" t="str">
        <f>Angela_2025_Chase1117_Activity_!G408</f>
        <v>Personal Travel</v>
      </c>
      <c r="D411" s="12">
        <f>Angela_2025_Chase1117_Activity_!D408</f>
        <v>-45</v>
      </c>
    </row>
    <row r="412" spans="1:4" x14ac:dyDescent="0.25">
      <c r="A412" s="26">
        <f>Angela_2025_Chase1117_Activity_!B409</f>
        <v>45966</v>
      </c>
      <c r="B412" s="6" t="str">
        <f>Angela_2025_Chase1117_Activity_!C409</f>
        <v>TARGET T-1981 WEATHERFORD TX         048610  11/05</v>
      </c>
      <c r="C412" s="6" t="str">
        <f>Angela_2025_Chase1117_Activity_!G409</f>
        <v>Personal - Shopping</v>
      </c>
      <c r="D412" s="12">
        <f>Angela_2025_Chase1117_Activity_!D409</f>
        <v>-269.52999999999997</v>
      </c>
    </row>
    <row r="413" spans="1:4" x14ac:dyDescent="0.25">
      <c r="A413" s="26">
        <f>Angela_2025_Chase1117_Activity_!B410</f>
        <v>45966</v>
      </c>
      <c r="B413" s="6" t="str">
        <f>Angela_2025_Chase1117_Activity_!C410</f>
        <v>T J MAXX #1295 WEATHERFORD TX        008400  11/05</v>
      </c>
      <c r="C413" s="6" t="str">
        <f>Angela_2025_Chase1117_Activity_!G410</f>
        <v>Personal - Shopping</v>
      </c>
      <c r="D413" s="12">
        <f>Angela_2025_Chase1117_Activity_!D410</f>
        <v>-269.49</v>
      </c>
    </row>
    <row r="414" spans="1:4" x14ac:dyDescent="0.25">
      <c r="A414" s="26">
        <f>Angela_2025_Chase1117_Activity_!B411</f>
        <v>45966</v>
      </c>
      <c r="B414" s="6" t="str">
        <f>Angela_2025_Chase1117_Activity_!C411</f>
        <v>WITHDRAWAL 11/05</v>
      </c>
      <c r="C414" s="6" t="str">
        <f>Angela_2025_Chase1117_Activity_!G411</f>
        <v>Withdrawal</v>
      </c>
      <c r="D414" s="12">
        <f>Angela_2025_Chase1117_Activity_!D411</f>
        <v>-1600</v>
      </c>
    </row>
    <row r="415" spans="1:4" x14ac:dyDescent="0.25">
      <c r="A415" s="26">
        <f>Angela_2025_Chase1117_Activity_!B412</f>
        <v>45966</v>
      </c>
      <c r="B415" s="6" t="str">
        <f>Angela_2025_Chase1117_Activity_!C412</f>
        <v>TIGER MART #51 WEATHERFORD TX        367500  11/05</v>
      </c>
      <c r="C415" s="6" t="str">
        <f>Angela_2025_Chase1117_Activity_!G412</f>
        <v>Personal - Car</v>
      </c>
      <c r="D415" s="12">
        <f>Angela_2025_Chase1117_Activity_!D412</f>
        <v>-52.11</v>
      </c>
    </row>
    <row r="416" spans="1:4" x14ac:dyDescent="0.25">
      <c r="A416" s="26">
        <f>Angela_2025_Chase1117_Activity_!B413</f>
        <v>45966</v>
      </c>
      <c r="B416" s="6" t="str">
        <f>Angela_2025_Chase1117_Activity_!C413</f>
        <v>AMAZON MKTPL*BT5SN0C Amzn.com/bill WA        11/05</v>
      </c>
      <c r="C416" s="6" t="str">
        <f>Angela_2025_Chase1117_Activity_!G413</f>
        <v>Amazon</v>
      </c>
      <c r="D416" s="12">
        <f>Angela_2025_Chase1117_Activity_!D413</f>
        <v>-29.87</v>
      </c>
    </row>
    <row r="417" spans="1:4" x14ac:dyDescent="0.25">
      <c r="A417" s="26">
        <f>Angela_2025_Chase1117_Activity_!B414</f>
        <v>45966</v>
      </c>
      <c r="B417" s="6" t="str">
        <f>Angela_2025_Chase1117_Activity_!C414</f>
        <v>Zara.com/USA 855-6359272 NY                  11/04</v>
      </c>
      <c r="C417" s="6" t="str">
        <f>Angela_2025_Chase1117_Activity_!G414</f>
        <v>Personal - Shopping</v>
      </c>
      <c r="D417" s="12">
        <f>Angela_2025_Chase1117_Activity_!D414</f>
        <v>-563.58000000000004</v>
      </c>
    </row>
    <row r="418" spans="1:4" x14ac:dyDescent="0.25">
      <c r="A418" s="26">
        <f>Angela_2025_Chase1117_Activity_!B415</f>
        <v>45966</v>
      </c>
      <c r="B418" s="6" t="str">
        <f>Angela_2025_Chase1117_Activity_!C415</f>
        <v>Online Transfer from CHK ...1168 transaction#: 26851521144</v>
      </c>
      <c r="C418" s="6" t="str">
        <f>Angela_2025_Chase1117_Activity_!G415</f>
        <v>Transfer from DWG Capital Group</v>
      </c>
      <c r="D418" s="12">
        <f>Angela_2025_Chase1117_Activity_!D415</f>
        <v>5000</v>
      </c>
    </row>
    <row r="419" spans="1:4" x14ac:dyDescent="0.25">
      <c r="A419" s="26">
        <f>Angela_2025_Chase1117_Activity_!B416</f>
        <v>45966</v>
      </c>
      <c r="B419" s="6" t="str">
        <f>Angela_2025_Chase1117_Activity_!C416</f>
        <v>AMERICAN AIR00183183845 FORT WORTH TX        11/03</v>
      </c>
      <c r="C419" s="6" t="str">
        <f>Angela_2025_Chase1117_Activity_!G416</f>
        <v>Personal Travel</v>
      </c>
      <c r="D419" s="12">
        <f>Angela_2025_Chase1117_Activity_!D416</f>
        <v>34.44</v>
      </c>
    </row>
    <row r="420" spans="1:4" x14ac:dyDescent="0.25">
      <c r="A420" s="26">
        <f>Angela_2025_Chase1117_Activity_!B417</f>
        <v>45966</v>
      </c>
      <c r="B420" s="6" t="str">
        <f>Angela_2025_Chase1117_Activity_!C417</f>
        <v>AMERICAN AIR00183183845 FORT WORTH TX        11/03</v>
      </c>
      <c r="C420" s="6" t="str">
        <f>Angela_2025_Chase1117_Activity_!G417</f>
        <v>Personal Travel</v>
      </c>
      <c r="D420" s="12">
        <f>Angela_2025_Chase1117_Activity_!D417</f>
        <v>34.44</v>
      </c>
    </row>
    <row r="421" spans="1:4" x14ac:dyDescent="0.25">
      <c r="A421" s="26">
        <f>Angela_2025_Chase1117_Activity_!B418</f>
        <v>45965</v>
      </c>
      <c r="B421" s="6" t="str">
        <f>Angela_2025_Chase1117_Activity_!C418</f>
        <v>PSVJ   *JPMC FEE 800-420-1663 NC             11/03</v>
      </c>
      <c r="C421" s="6" t="str">
        <f>Angela_2025_Chase1117_Activity_!G418</f>
        <v>Bank Fees</v>
      </c>
      <c r="D421" s="12">
        <f>Angela_2025_Chase1117_Activity_!D418</f>
        <v>-14.5</v>
      </c>
    </row>
    <row r="422" spans="1:4" x14ac:dyDescent="0.25">
      <c r="A422" s="26">
        <f>Angela_2025_Chase1117_Activity_!B419</f>
        <v>45965</v>
      </c>
      <c r="B422" s="6" t="str">
        <f>Angela_2025_Chase1117_Activity_!C419</f>
        <v>LA CITY HOUSING ONLIN 844-663-4411 CA        11/03</v>
      </c>
      <c r="C422" s="6" t="str">
        <f>Angela_2025_Chase1117_Activity_!G419</f>
        <v>Personal - House Bills</v>
      </c>
      <c r="D422" s="12">
        <f>Angela_2025_Chase1117_Activity_!D419</f>
        <v>-582.15</v>
      </c>
    </row>
    <row r="423" spans="1:4" x14ac:dyDescent="0.25">
      <c r="A423" s="26">
        <f>Angela_2025_Chase1117_Activity_!B420</f>
        <v>45965</v>
      </c>
      <c r="B423" s="6" t="str">
        <f>Angela_2025_Chase1117_Activity_!C420</f>
        <v>UNITED      01643432182 UNITED.COM TX        11/03</v>
      </c>
      <c r="C423" s="6" t="str">
        <f>Angela_2025_Chase1117_Activity_!G420</f>
        <v>Personal Travel</v>
      </c>
      <c r="D423" s="12">
        <f>Angela_2025_Chase1117_Activity_!D420</f>
        <v>-74.989999999999995</v>
      </c>
    </row>
    <row r="424" spans="1:4" x14ac:dyDescent="0.25">
      <c r="A424" s="26">
        <f>Angela_2025_Chase1117_Activity_!B421</f>
        <v>45965</v>
      </c>
      <c r="B424" s="6" t="str">
        <f>Angela_2025_Chase1117_Activity_!C421</f>
        <v>UNITED      01643432182 UNITED.COM TX        11/03</v>
      </c>
      <c r="C424" s="6" t="str">
        <f>Angela_2025_Chase1117_Activity_!G421</f>
        <v>Personal Travel</v>
      </c>
      <c r="D424" s="12">
        <f>Angela_2025_Chase1117_Activity_!D421</f>
        <v>-74.989999999999995</v>
      </c>
    </row>
    <row r="425" spans="1:4" x14ac:dyDescent="0.25">
      <c r="A425" s="26">
        <f>Angela_2025_Chase1117_Activity_!B422</f>
        <v>45965</v>
      </c>
      <c r="B425" s="6" t="str">
        <f>Angela_2025_Chase1117_Activity_!C422</f>
        <v>UNITED      01643432182 UNITED.COM TX        11/03</v>
      </c>
      <c r="C425" s="6" t="str">
        <f>Angela_2025_Chase1117_Activity_!G422</f>
        <v>Personal Travel</v>
      </c>
      <c r="D425" s="12">
        <f>Angela_2025_Chase1117_Activity_!D422</f>
        <v>-87.99</v>
      </c>
    </row>
    <row r="426" spans="1:4" x14ac:dyDescent="0.25">
      <c r="A426" s="26">
        <f>Angela_2025_Chase1117_Activity_!B423</f>
        <v>45965</v>
      </c>
      <c r="B426" s="6" t="str">
        <f>Angela_2025_Chase1117_Activity_!C423</f>
        <v>UNITED      01643432182 UNITED.COM TX        11/03</v>
      </c>
      <c r="C426" s="6" t="str">
        <f>Angela_2025_Chase1117_Activity_!G423</f>
        <v>Personal Travel</v>
      </c>
      <c r="D426" s="12">
        <f>Angela_2025_Chase1117_Activity_!D423</f>
        <v>-87.99</v>
      </c>
    </row>
    <row r="427" spans="1:4" x14ac:dyDescent="0.25">
      <c r="A427" s="26">
        <f>Angela_2025_Chase1117_Activity_!B424</f>
        <v>45965</v>
      </c>
      <c r="B427" s="6" t="str">
        <f>Angela_2025_Chase1117_Activity_!C424</f>
        <v>UNITED      01623455997 UNITED.COM TX        11/03</v>
      </c>
      <c r="C427" s="6" t="str">
        <f>Angela_2025_Chase1117_Activity_!G424</f>
        <v>Personal Travel</v>
      </c>
      <c r="D427" s="12">
        <f>Angela_2025_Chase1117_Activity_!D424</f>
        <v>-361.45</v>
      </c>
    </row>
    <row r="428" spans="1:4" x14ac:dyDescent="0.25">
      <c r="A428" s="26">
        <f>Angela_2025_Chase1117_Activity_!B425</f>
        <v>45965</v>
      </c>
      <c r="B428" s="6" t="str">
        <f>Angela_2025_Chase1117_Activity_!C425</f>
        <v>UNITED      01623455997 UNITED.COM TX        11/03</v>
      </c>
      <c r="C428" s="6" t="str">
        <f>Angela_2025_Chase1117_Activity_!G425</f>
        <v>Personal Travel</v>
      </c>
      <c r="D428" s="12">
        <f>Angela_2025_Chase1117_Activity_!D425</f>
        <v>-361.45</v>
      </c>
    </row>
    <row r="429" spans="1:4" x14ac:dyDescent="0.25">
      <c r="A429" s="26">
        <f>Angela_2025_Chase1117_Activity_!B426</f>
        <v>45965</v>
      </c>
      <c r="B429" s="6" t="str">
        <f>Angela_2025_Chase1117_Activity_!C426</f>
        <v>UNITED      01623455997 UNITED.COM TX        11/03</v>
      </c>
      <c r="C429" s="6" t="str">
        <f>Angela_2025_Chase1117_Activity_!G426</f>
        <v>Personal Travel</v>
      </c>
      <c r="D429" s="12">
        <f>Angela_2025_Chase1117_Activity_!D426</f>
        <v>-361.45</v>
      </c>
    </row>
    <row r="430" spans="1:4" x14ac:dyDescent="0.25">
      <c r="A430" s="26">
        <f>Angela_2025_Chase1117_Activity_!B427</f>
        <v>45965</v>
      </c>
      <c r="B430" s="6" t="str">
        <f>Angela_2025_Chase1117_Activity_!C427</f>
        <v>UNITED      01623455997 UNITED.COM TX        11/03</v>
      </c>
      <c r="C430" s="6" t="str">
        <f>Angela_2025_Chase1117_Activity_!G427</f>
        <v>Personal Travel</v>
      </c>
      <c r="D430" s="12">
        <f>Angela_2025_Chase1117_Activity_!D427</f>
        <v>-361.45</v>
      </c>
    </row>
    <row r="431" spans="1:4" x14ac:dyDescent="0.25">
      <c r="A431" s="26">
        <f>Angela_2025_Chase1117_Activity_!B428</f>
        <v>45964</v>
      </c>
      <c r="B431" s="6" t="str">
        <f>Angela_2025_Chase1117_Activity_!C428</f>
        <v>mango.com USA 866-6664664 NY                 11/03</v>
      </c>
      <c r="C431" s="6" t="str">
        <f>Angela_2025_Chase1117_Activity_!G428</f>
        <v>Personal - Shopping</v>
      </c>
      <c r="D431" s="12">
        <f>Angela_2025_Chase1117_Activity_!D428</f>
        <v>-258.10000000000002</v>
      </c>
    </row>
    <row r="432" spans="1:4" x14ac:dyDescent="0.25">
      <c r="A432" s="26">
        <f>Angela_2025_Chase1117_Activity_!B429</f>
        <v>45964</v>
      </c>
      <c r="B432" s="6" t="str">
        <f>Angela_2025_Chase1117_Activity_!C429</f>
        <v>AMAZON MKTPL*NK6A622 Amzn.com/bill WA        11/03</v>
      </c>
      <c r="C432" s="6" t="str">
        <f>Angela_2025_Chase1117_Activity_!G429</f>
        <v>Amazon</v>
      </c>
      <c r="D432" s="12">
        <f>Angela_2025_Chase1117_Activity_!D429</f>
        <v>-20.97</v>
      </c>
    </row>
    <row r="433" spans="1:4" x14ac:dyDescent="0.25">
      <c r="A433" s="26">
        <f>Angela_2025_Chase1117_Activity_!B430</f>
        <v>45964</v>
      </c>
      <c r="B433" s="6" t="str">
        <f>Angela_2025_Chase1117_Activity_!C430</f>
        <v>AMERICAN AIR00106376482 FORT WORTH TX        11/03</v>
      </c>
      <c r="C433" s="6" t="str">
        <f>Angela_2025_Chase1117_Activity_!G430</f>
        <v>Personal Travel</v>
      </c>
      <c r="D433" s="12">
        <f>Angela_2025_Chase1117_Activity_!D430</f>
        <v>-70.69</v>
      </c>
    </row>
    <row r="434" spans="1:4" x14ac:dyDescent="0.25">
      <c r="A434" s="26">
        <f>Angela_2025_Chase1117_Activity_!B431</f>
        <v>45964</v>
      </c>
      <c r="B434" s="6" t="str">
        <f>Angela_2025_Chase1117_Activity_!C431</f>
        <v>AMERICAN AIR00106376482 FORT WORTH TX        11/03</v>
      </c>
      <c r="C434" s="6" t="str">
        <f>Angela_2025_Chase1117_Activity_!G431</f>
        <v>Personal Travel</v>
      </c>
      <c r="D434" s="12">
        <f>Angela_2025_Chase1117_Activity_!D431</f>
        <v>-96.08</v>
      </c>
    </row>
    <row r="435" spans="1:4" x14ac:dyDescent="0.25">
      <c r="A435" s="26">
        <f>Angela_2025_Chase1117_Activity_!B432</f>
        <v>45964</v>
      </c>
      <c r="B435" s="6" t="str">
        <f>Angela_2025_Chase1117_Activity_!C432</f>
        <v>Kimbell Art Museum Fort Worth TX             11/02</v>
      </c>
      <c r="C435" s="6" t="str">
        <f>Angela_2025_Chase1117_Activity_!G432</f>
        <v>Personal - Entertainment</v>
      </c>
      <c r="D435" s="12">
        <f>Angela_2025_Chase1117_Activity_!D432</f>
        <v>-84</v>
      </c>
    </row>
    <row r="436" spans="1:4" x14ac:dyDescent="0.25">
      <c r="A436" s="26">
        <f>Angela_2025_Chase1117_Activity_!B433</f>
        <v>45964</v>
      </c>
      <c r="B436" s="6" t="str">
        <f>Angela_2025_Chase1117_Activity_!C433</f>
        <v>FSP*KIMBELL ART MUSEUM FORT WORTH TX         11/02</v>
      </c>
      <c r="C436" s="6" t="str">
        <f>Angela_2025_Chase1117_Activity_!G433</f>
        <v>Personal - Entertainment</v>
      </c>
      <c r="D436" s="12">
        <f>Angela_2025_Chase1117_Activity_!D433</f>
        <v>-118.48</v>
      </c>
    </row>
    <row r="437" spans="1:4" x14ac:dyDescent="0.25">
      <c r="A437" s="26">
        <f>Angela_2025_Chase1117_Activity_!B434</f>
        <v>45964</v>
      </c>
      <c r="B437" s="6" t="str">
        <f>Angela_2025_Chase1117_Activity_!C434</f>
        <v>Kimbell Art Museum Fort Worth TX             11/02</v>
      </c>
      <c r="C437" s="6" t="str">
        <f>Angela_2025_Chase1117_Activity_!G434</f>
        <v>Personal - Entertainment</v>
      </c>
      <c r="D437" s="12">
        <f>Angela_2025_Chase1117_Activity_!D434</f>
        <v>-36</v>
      </c>
    </row>
    <row r="438" spans="1:4" x14ac:dyDescent="0.25">
      <c r="A438" s="26">
        <f>Angela_2025_Chase1117_Activity_!B435</f>
        <v>45964</v>
      </c>
      <c r="B438" s="6" t="str">
        <f>Angela_2025_Chase1117_Activity_!C435</f>
        <v>APPLE.COM/BILL 866-712-7753 CA               11/02</v>
      </c>
      <c r="C438" s="6" t="str">
        <f>Angela_2025_Chase1117_Activity_!G435</f>
        <v>Apple</v>
      </c>
      <c r="D438" s="12">
        <f>Angela_2025_Chase1117_Activity_!D435</f>
        <v>-3.99</v>
      </c>
    </row>
    <row r="439" spans="1:4" x14ac:dyDescent="0.25">
      <c r="A439" s="26">
        <f>Angela_2025_Chase1117_Activity_!B436</f>
        <v>45964</v>
      </c>
      <c r="B439" s="6" t="str">
        <f>Angela_2025_Chase1117_Activity_!C436</f>
        <v>ANTHROPOLOGIE.COM ANTHROPOLOGIE PA           11/03</v>
      </c>
      <c r="C439" s="6" t="str">
        <f>Angela_2025_Chase1117_Activity_!G436</f>
        <v>Personal - Shopping</v>
      </c>
      <c r="D439" s="12">
        <f>Angela_2025_Chase1117_Activity_!D436</f>
        <v>-786.7</v>
      </c>
    </row>
    <row r="440" spans="1:4" x14ac:dyDescent="0.25">
      <c r="A440" s="26">
        <f>Angela_2025_Chase1117_Activity_!B437</f>
        <v>45964</v>
      </c>
      <c r="B440" s="6" t="str">
        <f>Angela_2025_Chase1117_Activity_!C437</f>
        <v>ANTHROPOLOGIE  00548 FORT WORTH TX   676200  11/01</v>
      </c>
      <c r="C440" s="6" t="str">
        <f>Angela_2025_Chase1117_Activity_!G437</f>
        <v>Personal - Shopping</v>
      </c>
      <c r="D440" s="12">
        <f>Angela_2025_Chase1117_Activity_!D437</f>
        <v>-523.92999999999995</v>
      </c>
    </row>
    <row r="441" spans="1:4" x14ac:dyDescent="0.25">
      <c r="A441" s="26">
        <f>Angela_2025_Chase1117_Activity_!B438</f>
        <v>45964</v>
      </c>
      <c r="B441" s="6" t="str">
        <f>Angela_2025_Chase1117_Activity_!C438</f>
        <v>SQ *BOULEVARD OF GREENS Fort Worth TX        11/01</v>
      </c>
      <c r="C441" s="6" t="str">
        <f>Angela_2025_Chase1117_Activity_!G438</f>
        <v>Personal - Food</v>
      </c>
      <c r="D441" s="12">
        <f>Angela_2025_Chase1117_Activity_!D438</f>
        <v>-7.06</v>
      </c>
    </row>
    <row r="442" spans="1:4" x14ac:dyDescent="0.25">
      <c r="A442" s="26">
        <f>Angela_2025_Chase1117_Activity_!B439</f>
        <v>45964</v>
      </c>
      <c r="B442" s="6" t="str">
        <f>Angela_2025_Chase1117_Activity_!C439</f>
        <v>Zelle payment to Denise Quezada JPM99bt4feaa</v>
      </c>
      <c r="C442" s="6" t="str">
        <f>Angela_2025_Chase1117_Activity_!G439</f>
        <v>Zelle to Denise Quezada</v>
      </c>
      <c r="D442" s="12">
        <f>Angela_2025_Chase1117_Activity_!D439</f>
        <v>-725</v>
      </c>
    </row>
    <row r="443" spans="1:4" x14ac:dyDescent="0.25">
      <c r="A443" s="26">
        <f>Angela_2025_Chase1117_Activity_!B440</f>
        <v>45964</v>
      </c>
      <c r="B443" s="6" t="str">
        <f>Angela_2025_Chase1117_Activity_!C440</f>
        <v>mango.com USA 866-6664664 NY                 11/01</v>
      </c>
      <c r="C443" s="6" t="str">
        <f>Angela_2025_Chase1117_Activity_!G440</f>
        <v>Personal - Shopping</v>
      </c>
      <c r="D443" s="12">
        <f>Angela_2025_Chase1117_Activity_!D440</f>
        <v>-253.81</v>
      </c>
    </row>
    <row r="444" spans="1:4" x14ac:dyDescent="0.25">
      <c r="A444" s="26">
        <f>Angela_2025_Chase1117_Activity_!B441</f>
        <v>45964</v>
      </c>
      <c r="B444" s="6" t="str">
        <f>Angela_2025_Chase1117_Activity_!C441</f>
        <v>FANDANGO    * FANDANGO.COM CA                11/01</v>
      </c>
      <c r="C444" s="6" t="str">
        <f>Angela_2025_Chase1117_Activity_!G441</f>
        <v>Personal - Entertainment</v>
      </c>
      <c r="D444" s="12">
        <f>Angela_2025_Chase1117_Activity_!D441</f>
        <v>-41.07</v>
      </c>
    </row>
    <row r="445" spans="1:4" x14ac:dyDescent="0.25">
      <c r="A445" s="26">
        <f>Angela_2025_Chase1117_Activity_!B442</f>
        <v>45964</v>
      </c>
      <c r="B445" s="6" t="str">
        <f>Angela_2025_Chase1117_Activity_!C442</f>
        <v>BLUE SHIELD CALIFORNI 800-393-6130 CA        10/31</v>
      </c>
      <c r="C445" s="6" t="str">
        <f>Angela_2025_Chase1117_Activity_!G442</f>
        <v>Personal - Health Insurance</v>
      </c>
      <c r="D445" s="12">
        <f>Angela_2025_Chase1117_Activity_!D442</f>
        <v>-944.63</v>
      </c>
    </row>
    <row r="446" spans="1:4" x14ac:dyDescent="0.25">
      <c r="A446" s="26">
        <f>Angela_2025_Chase1117_Activity_!B443</f>
        <v>45964</v>
      </c>
      <c r="B446" s="6" t="str">
        <f>Angela_2025_Chase1117_Activity_!C443</f>
        <v>Zara.com 212-3551415 NY                      11/01</v>
      </c>
      <c r="C446" s="6" t="str">
        <f>Angela_2025_Chase1117_Activity_!G443</f>
        <v>Personal - Shopping</v>
      </c>
      <c r="D446" s="12">
        <f>Angela_2025_Chase1117_Activity_!D443</f>
        <v>-795.54</v>
      </c>
    </row>
    <row r="447" spans="1:4" x14ac:dyDescent="0.25">
      <c r="A447" s="26">
        <f>Angela_2025_Chase1117_Activity_!B444</f>
        <v>45964</v>
      </c>
      <c r="B447" s="6" t="str">
        <f>Angela_2025_Chase1117_Activity_!C444</f>
        <v>Zelle payment from JOE SAUNDERS 26804366181</v>
      </c>
      <c r="C447" s="6" t="str">
        <f>Angela_2025_Chase1117_Activity_!G444</f>
        <v>Zelle from Joe Saunders</v>
      </c>
      <c r="D447" s="12">
        <f>Angela_2025_Chase1117_Activity_!D444</f>
        <v>500</v>
      </c>
    </row>
    <row r="448" spans="1:4" x14ac:dyDescent="0.25">
      <c r="A448" s="26">
        <f>Angela_2025_Chase1117_Activity_!B445</f>
        <v>45964</v>
      </c>
      <c r="B448" s="6" t="str">
        <f>Angela_2025_Chase1117_Activity_!C445</f>
        <v>Online Transfer from CHK ...1168 transaction#: 26826976865</v>
      </c>
      <c r="C448" s="6" t="str">
        <f>Angela_2025_Chase1117_Activity_!G445</f>
        <v>Transfer from DWG Capital Group</v>
      </c>
      <c r="D448" s="12">
        <f>Angela_2025_Chase1117_Activity_!D445</f>
        <v>3000</v>
      </c>
    </row>
    <row r="449" spans="1:4" x14ac:dyDescent="0.25">
      <c r="A449" s="26">
        <f>Angela_2025_Chase1117_Activity_!B446</f>
        <v>45964</v>
      </c>
      <c r="B449" s="6" t="str">
        <f>Angela_2025_Chase1117_Activity_!C446</f>
        <v>Online Transfer from CHK ...1168 transaction#: 26805748908</v>
      </c>
      <c r="C449" s="6" t="str">
        <f>Angela_2025_Chase1117_Activity_!G446</f>
        <v>Transfer from DWG Capital Group</v>
      </c>
      <c r="D449" s="12">
        <f>Angela_2025_Chase1117_Activity_!D446</f>
        <v>3000</v>
      </c>
    </row>
    <row r="450" spans="1:4" x14ac:dyDescent="0.25">
      <c r="A450" s="26">
        <f>Angela_2025_Chase1117_Activity_!B447</f>
        <v>45961</v>
      </c>
      <c r="B450" s="6" t="str">
        <f>Angela_2025_Chase1117_Activity_!C447</f>
        <v>NTTA AUTOCHARGE 972-818-6882 TX              10/30</v>
      </c>
      <c r="C450" s="6" t="str">
        <f>Angela_2025_Chase1117_Activity_!G447</f>
        <v>Personal - Car</v>
      </c>
      <c r="D450" s="12">
        <f>Angela_2025_Chase1117_Activity_!D447</f>
        <v>-40</v>
      </c>
    </row>
    <row r="451" spans="1:4" x14ac:dyDescent="0.25">
      <c r="A451" s="26">
        <f>Angela_2025_Chase1117_Activity_!B448</f>
        <v>45961</v>
      </c>
      <c r="B451" s="6" t="str">
        <f>Angela_2025_Chase1117_Activity_!C448</f>
        <v>AMAZON MKTPL*N41PM6S Amzn.com/bill WA        10/31</v>
      </c>
      <c r="C451" s="6" t="str">
        <f>Angela_2025_Chase1117_Activity_!G448</f>
        <v>Amazon</v>
      </c>
      <c r="D451" s="12">
        <f>Angela_2025_Chase1117_Activity_!D448</f>
        <v>-99.98</v>
      </c>
    </row>
    <row r="452" spans="1:4" x14ac:dyDescent="0.25">
      <c r="A452" s="26">
        <f>Angela_2025_Chase1117_Activity_!B449</f>
        <v>45961</v>
      </c>
      <c r="B452" s="6" t="str">
        <f>Angela_2025_Chase1117_Activity_!C449</f>
        <v>SQ *REA COMMERCIAL SECU gosq.com CA          10/30</v>
      </c>
      <c r="C452" s="6" t="str">
        <f>Angela_2025_Chase1117_Activity_!G449</f>
        <v>Personal - Subscription</v>
      </c>
      <c r="D452" s="12">
        <f>Angela_2025_Chase1117_Activity_!D449</f>
        <v>-100</v>
      </c>
    </row>
    <row r="453" spans="1:4" x14ac:dyDescent="0.25">
      <c r="A453" s="26">
        <f>Angela_2025_Chase1117_Activity_!B450</f>
        <v>45961</v>
      </c>
      <c r="B453" s="6" t="str">
        <f>Angela_2025_Chase1117_Activity_!C450</f>
        <v>SQ *REA COMMERCIAL SECU gosq.com CA          10/30</v>
      </c>
      <c r="C453" s="6" t="str">
        <f>Angela_2025_Chase1117_Activity_!G450</f>
        <v>Personal - Subscription</v>
      </c>
      <c r="D453" s="12">
        <f>Angela_2025_Chase1117_Activity_!D450</f>
        <v>-100</v>
      </c>
    </row>
    <row r="454" spans="1:4" x14ac:dyDescent="0.25">
      <c r="A454" s="26">
        <f>Angela_2025_Chase1117_Activity_!B451</f>
        <v>45961</v>
      </c>
      <c r="B454" s="6" t="str">
        <f>Angela_2025_Chase1117_Activity_!C451</f>
        <v>Online Transfer from CHK ...1168 transaction#: 26790501746</v>
      </c>
      <c r="C454" s="6" t="str">
        <f>Angela_2025_Chase1117_Activity_!G451</f>
        <v>Transfer from DWG Capital Group</v>
      </c>
      <c r="D454" s="12">
        <f>Angela_2025_Chase1117_Activity_!D451</f>
        <v>1000</v>
      </c>
    </row>
    <row r="455" spans="1:4" x14ac:dyDescent="0.25">
      <c r="A455" s="26">
        <f>Angela_2025_Chase1117_Activity_!B452</f>
        <v>45960</v>
      </c>
      <c r="B455" s="6" t="str">
        <f>Angela_2025_Chase1117_Activity_!C452</f>
        <v>PENTESTER.COM PENTESTER.COM FL               10/30</v>
      </c>
      <c r="C455" s="6" t="str">
        <f>Angela_2025_Chase1117_Activity_!G452</f>
        <v>Personal - Subscription</v>
      </c>
      <c r="D455" s="12">
        <f>Angela_2025_Chase1117_Activity_!D452</f>
        <v>-19</v>
      </c>
    </row>
    <row r="456" spans="1:4" x14ac:dyDescent="0.25">
      <c r="A456" s="26">
        <f>Angela_2025_Chase1117_Activity_!B453</f>
        <v>45960</v>
      </c>
      <c r="B456" s="6" t="str">
        <f>Angela_2025_Chase1117_Activity_!C453</f>
        <v>TST*SUNDOWN AT GRANADA Dallas TX             10/29</v>
      </c>
      <c r="C456" s="6" t="str">
        <f>Angela_2025_Chase1117_Activity_!G453</f>
        <v>Personal - Food</v>
      </c>
      <c r="D456" s="12">
        <f>Angela_2025_Chase1117_Activity_!D453</f>
        <v>-69.8</v>
      </c>
    </row>
    <row r="457" spans="1:4" x14ac:dyDescent="0.25">
      <c r="A457" s="26">
        <f>Angela_2025_Chase1117_Activity_!B454</f>
        <v>45960</v>
      </c>
      <c r="B457" s="6" t="str">
        <f>Angela_2025_Chase1117_Activity_!C454</f>
        <v>LOTT CLEANERS (MAIN ST WEATHERFORD TX        10/28</v>
      </c>
      <c r="C457" s="6" t="str">
        <f>Angela_2025_Chase1117_Activity_!G454</f>
        <v>Personal - Clothing</v>
      </c>
      <c r="D457" s="12">
        <f>Angela_2025_Chase1117_Activity_!D454</f>
        <v>-112.75</v>
      </c>
    </row>
    <row r="458" spans="1:4" x14ac:dyDescent="0.25">
      <c r="A458" s="26">
        <f>Angela_2025_Chase1117_Activity_!B455</f>
        <v>45959</v>
      </c>
      <c r="B458" s="6" t="str">
        <f>Angela_2025_Chase1117_Activity_!C455</f>
        <v>TIGER MART #51 WEATHERFORD TX        698182  10/29</v>
      </c>
      <c r="C458" s="6" t="str">
        <f>Angela_2025_Chase1117_Activity_!G455</f>
        <v>Personal - Car</v>
      </c>
      <c r="D458" s="12">
        <f>Angela_2025_Chase1117_Activity_!D455</f>
        <v>-6.81</v>
      </c>
    </row>
    <row r="459" spans="1:4" x14ac:dyDescent="0.25">
      <c r="A459" s="26">
        <f>Angela_2025_Chase1117_Activity_!B456</f>
        <v>45959</v>
      </c>
      <c r="B459" s="6" t="str">
        <f>Angela_2025_Chase1117_Activity_!C456</f>
        <v>WHOLEFDS FTW #10 3400 FORT WORTH TX          10/29 Purchase $490.41 Cash Back $100.00</v>
      </c>
      <c r="C459" s="6" t="str">
        <f>Angela_2025_Chase1117_Activity_!G456</f>
        <v>Personal - Food</v>
      </c>
      <c r="D459" s="12">
        <f>Angela_2025_Chase1117_Activity_!D456</f>
        <v>-590.41</v>
      </c>
    </row>
    <row r="460" spans="1:4" x14ac:dyDescent="0.25">
      <c r="A460" s="26">
        <f>Angela_2025_Chase1117_Activity_!B457</f>
        <v>45959</v>
      </c>
      <c r="B460" s="6" t="str">
        <f>Angela_2025_Chase1117_Activity_!C457</f>
        <v>Amazon.com*N405750D2 Amzn.com/bill WA        10/29</v>
      </c>
      <c r="C460" s="6" t="str">
        <f>Angela_2025_Chase1117_Activity_!G457</f>
        <v>Amazon</v>
      </c>
      <c r="D460" s="12">
        <f>Angela_2025_Chase1117_Activity_!D457</f>
        <v>-20.87</v>
      </c>
    </row>
    <row r="461" spans="1:4" x14ac:dyDescent="0.25">
      <c r="A461" s="26">
        <f>Angela_2025_Chase1117_Activity_!B458</f>
        <v>45959</v>
      </c>
      <c r="B461" s="6" t="str">
        <f>Angela_2025_Chase1117_Activity_!C458</f>
        <v>APPLE.COM/BILL 866-712-7753 CA               10/29</v>
      </c>
      <c r="C461" s="6" t="str">
        <f>Angela_2025_Chase1117_Activity_!G458</f>
        <v>Apple</v>
      </c>
      <c r="D461" s="12">
        <f>Angela_2025_Chase1117_Activity_!D458</f>
        <v>-5.99</v>
      </c>
    </row>
    <row r="462" spans="1:4" x14ac:dyDescent="0.25">
      <c r="A462" s="26">
        <f>Angela_2025_Chase1117_Activity_!B459</f>
        <v>45959</v>
      </c>
      <c r="B462" s="6" t="str">
        <f>Angela_2025_Chase1117_Activity_!C459</f>
        <v>CVSExtraCare 80074672 800-746-7287 RI        10/28</v>
      </c>
      <c r="C462" s="6" t="str">
        <f>Angela_2025_Chase1117_Activity_!G459</f>
        <v>Personal - Health</v>
      </c>
      <c r="D462" s="12">
        <f>Angela_2025_Chase1117_Activity_!D459</f>
        <v>-5.49</v>
      </c>
    </row>
    <row r="463" spans="1:4" x14ac:dyDescent="0.25">
      <c r="A463" s="26">
        <f>Angela_2025_Chase1117_Activity_!B460</f>
        <v>45959</v>
      </c>
      <c r="B463" s="6" t="str">
        <f>Angela_2025_Chase1117_Activity_!C460</f>
        <v>TM *LIVE NATION C-T U 800-653-8000 CA        10/29</v>
      </c>
      <c r="C463" s="6" t="str">
        <f>Angela_2025_Chase1117_Activity_!G460</f>
        <v>Personal - Entertainment</v>
      </c>
      <c r="D463" s="12">
        <f>Angela_2025_Chase1117_Activity_!D460</f>
        <v>80</v>
      </c>
    </row>
    <row r="464" spans="1:4" x14ac:dyDescent="0.25">
      <c r="A464" s="26">
        <f>Angela_2025_Chase1117_Activity_!B461</f>
        <v>45958</v>
      </c>
      <c r="B464" s="6" t="str">
        <f>Angela_2025_Chase1117_Activity_!C461</f>
        <v>Online Payment 26745728385 To SAFECO INSURANCE COMPANY 10/28</v>
      </c>
      <c r="C464" s="6" t="str">
        <f>Angela_2025_Chase1117_Activity_!G461</f>
        <v>Personal - House Bills</v>
      </c>
      <c r="D464" s="12">
        <f>Angela_2025_Chase1117_Activity_!D461</f>
        <v>-120</v>
      </c>
    </row>
    <row r="465" spans="1:4" x14ac:dyDescent="0.25">
      <c r="A465" s="26">
        <f>Angela_2025_Chase1117_Activity_!B462</f>
        <v>45958</v>
      </c>
      <c r="B465" s="6" t="str">
        <f>Angela_2025_Chase1117_Activity_!C462</f>
        <v>Online Payment 26745701138 To FRONTIER TELEPHONE 10/28</v>
      </c>
      <c r="C465" s="6" t="str">
        <f>Angela_2025_Chase1117_Activity_!G462</f>
        <v>Personal - House Bills</v>
      </c>
      <c r="D465" s="12">
        <f>Angela_2025_Chase1117_Activity_!D462</f>
        <v>-300</v>
      </c>
    </row>
    <row r="466" spans="1:4" x14ac:dyDescent="0.25">
      <c r="A466" s="26">
        <f>Angela_2025_Chase1117_Activity_!B463</f>
        <v>45958</v>
      </c>
      <c r="B466" s="6" t="str">
        <f>Angela_2025_Chase1117_Activity_!C463</f>
        <v>Online Payment 26745715225 To AMERICAN EDUCATION SERVICES 10/28</v>
      </c>
      <c r="C466" s="6" t="str">
        <f>Angela_2025_Chase1117_Activity_!G463</f>
        <v>Personal - House Bills</v>
      </c>
      <c r="D466" s="12">
        <f>Angela_2025_Chase1117_Activity_!D463</f>
        <v>-320</v>
      </c>
    </row>
    <row r="467" spans="1:4" x14ac:dyDescent="0.25">
      <c r="A467" s="26">
        <f>Angela_2025_Chase1117_Activity_!B464</f>
        <v>45958</v>
      </c>
      <c r="B467" s="6" t="str">
        <f>Angela_2025_Chase1117_Activity_!C464</f>
        <v>Online Payment 26745691177 To MERCEDES-BENZ FINANCIAL SERVICES 10/28</v>
      </c>
      <c r="C467" s="6" t="str">
        <f>Angela_2025_Chase1117_Activity_!G464</f>
        <v>Personal - House Bills</v>
      </c>
      <c r="D467" s="12">
        <f>Angela_2025_Chase1117_Activity_!D464</f>
        <v>-700</v>
      </c>
    </row>
    <row r="468" spans="1:4" x14ac:dyDescent="0.25">
      <c r="A468" s="26">
        <f>Angela_2025_Chase1117_Activity_!B465</f>
        <v>45958</v>
      </c>
      <c r="B468" s="6" t="str">
        <f>Angela_2025_Chase1117_Activity_!C465</f>
        <v>Amazon Tips*N499673D Amzn.com/bill WA        10/28</v>
      </c>
      <c r="C468" s="6" t="str">
        <f>Angela_2025_Chase1117_Activity_!G465</f>
        <v>Amazon</v>
      </c>
      <c r="D468" s="12">
        <f>Angela_2025_Chase1117_Activity_!D465</f>
        <v>-10</v>
      </c>
    </row>
    <row r="469" spans="1:4" x14ac:dyDescent="0.25">
      <c r="A469" s="26">
        <f>Angela_2025_Chase1117_Activity_!B466</f>
        <v>45958</v>
      </c>
      <c r="B469" s="6" t="str">
        <f>Angela_2025_Chase1117_Activity_!C466</f>
        <v>SP DERMRAYS US KOWLOON                       10/28</v>
      </c>
      <c r="C469" s="6" t="str">
        <f>Angela_2025_Chase1117_Activity_!G466</f>
        <v>Personal - Health</v>
      </c>
      <c r="D469" s="12">
        <f>Angela_2025_Chase1117_Activity_!D466</f>
        <v>-559</v>
      </c>
    </row>
    <row r="470" spans="1:4" x14ac:dyDescent="0.25">
      <c r="A470" s="26">
        <f>Angela_2025_Chase1117_Activity_!B467</f>
        <v>45958</v>
      </c>
      <c r="B470" s="6" t="str">
        <f>Angela_2025_Chase1117_Activity_!C467</f>
        <v>Amazon.com*N48AI5291 Amzn.com/bill WA        10/28</v>
      </c>
      <c r="C470" s="6" t="str">
        <f>Angela_2025_Chase1117_Activity_!G467</f>
        <v>Amazon</v>
      </c>
      <c r="D470" s="12">
        <f>Angela_2025_Chase1117_Activity_!D467</f>
        <v>-14.54</v>
      </c>
    </row>
    <row r="471" spans="1:4" x14ac:dyDescent="0.25">
      <c r="A471" s="26">
        <f>Angela_2025_Chase1117_Activity_!B468</f>
        <v>45958</v>
      </c>
      <c r="B471" s="6" t="str">
        <f>Angela_2025_Chase1117_Activity_!C468</f>
        <v>Amazon.com*N49ER69T0 Amzn.com/bill WA        10/28</v>
      </c>
      <c r="C471" s="6" t="str">
        <f>Angela_2025_Chase1117_Activity_!G468</f>
        <v>Amazon</v>
      </c>
      <c r="D471" s="12">
        <f>Angela_2025_Chase1117_Activity_!D468</f>
        <v>-109.74</v>
      </c>
    </row>
    <row r="472" spans="1:4" x14ac:dyDescent="0.25">
      <c r="A472" s="26">
        <f>Angela_2025_Chase1117_Activity_!B469</f>
        <v>45958</v>
      </c>
      <c r="B472" s="6" t="str">
        <f>Angela_2025_Chase1117_Activity_!C469</f>
        <v>AMAZON MKTPL*N47NU57 Amzn.com/bill WA        10/28</v>
      </c>
      <c r="C472" s="6" t="str">
        <f>Angela_2025_Chase1117_Activity_!G469</f>
        <v>Amazon</v>
      </c>
      <c r="D472" s="12">
        <f>Angela_2025_Chase1117_Activity_!D469</f>
        <v>-77.25</v>
      </c>
    </row>
    <row r="473" spans="1:4" x14ac:dyDescent="0.25">
      <c r="A473" s="26">
        <f>Angela_2025_Chase1117_Activity_!B470</f>
        <v>45958</v>
      </c>
      <c r="B473" s="6" t="str">
        <f>Angela_2025_Chase1117_Activity_!C470</f>
        <v>AMAZON MKTPL*N45OB08 Amzn.com/bill WA        10/27</v>
      </c>
      <c r="C473" s="6" t="str">
        <f>Angela_2025_Chase1117_Activity_!G470</f>
        <v>Amazon</v>
      </c>
      <c r="D473" s="12">
        <f>Angela_2025_Chase1117_Activity_!D470</f>
        <v>-69.069999999999993</v>
      </c>
    </row>
    <row r="474" spans="1:4" x14ac:dyDescent="0.25">
      <c r="A474" s="26">
        <f>Angela_2025_Chase1117_Activity_!B471</f>
        <v>45958</v>
      </c>
      <c r="B474" s="6" t="str">
        <f>Angela_2025_Chase1117_Activity_!C471</f>
        <v>Online Transfer from CHK ...1168 transaction#: 26745678520</v>
      </c>
      <c r="C474" s="6" t="str">
        <f>Angela_2025_Chase1117_Activity_!G471</f>
        <v>Transfer from DWG Capital Group</v>
      </c>
      <c r="D474" s="12">
        <f>Angela_2025_Chase1117_Activity_!D471</f>
        <v>3000</v>
      </c>
    </row>
    <row r="475" spans="1:4" x14ac:dyDescent="0.25">
      <c r="A475" s="26">
        <f>Angela_2025_Chase1117_Activity_!B472</f>
        <v>45957</v>
      </c>
      <c r="B475" s="6" t="str">
        <f>Angela_2025_Chase1117_Activity_!C472</f>
        <v>Amazon.com*NU6C57YU2 Amzn.com/bill WA        10/27</v>
      </c>
      <c r="C475" s="6" t="str">
        <f>Angela_2025_Chase1117_Activity_!G472</f>
        <v>Amazon</v>
      </c>
      <c r="D475" s="12">
        <f>Angela_2025_Chase1117_Activity_!D472</f>
        <v>-12.58</v>
      </c>
    </row>
    <row r="476" spans="1:4" x14ac:dyDescent="0.25">
      <c r="A476" s="26">
        <f>Angela_2025_Chase1117_Activity_!B473</f>
        <v>45957</v>
      </c>
      <c r="B476" s="6" t="str">
        <f>Angela_2025_Chase1117_Activity_!C473</f>
        <v>SPACEWEATHERNEWS.COM SPACEWEATHERN CO        10/26</v>
      </c>
      <c r="C476" s="6" t="str">
        <f>Angela_2025_Chase1117_Activity_!G473</f>
        <v>Personal - Subscription</v>
      </c>
      <c r="D476" s="12">
        <f>Angela_2025_Chase1117_Activity_!D473</f>
        <v>-5.99</v>
      </c>
    </row>
    <row r="477" spans="1:4" x14ac:dyDescent="0.25">
      <c r="A477" s="26">
        <f>Angela_2025_Chase1117_Activity_!B474</f>
        <v>45957</v>
      </c>
      <c r="B477" s="6" t="str">
        <f>Angela_2025_Chase1117_Activity_!C474</f>
        <v>Amazon.com*N45Z67BS1 Amzn.com/bill WA        10/27</v>
      </c>
      <c r="C477" s="6" t="str">
        <f>Angela_2025_Chase1117_Activity_!G474</f>
        <v>Amazon</v>
      </c>
      <c r="D477" s="12">
        <f>Angela_2025_Chase1117_Activity_!D474</f>
        <v>-194.39</v>
      </c>
    </row>
    <row r="478" spans="1:4" x14ac:dyDescent="0.25">
      <c r="A478" s="26">
        <f>Angela_2025_Chase1117_Activity_!B475</f>
        <v>45957</v>
      </c>
      <c r="B478" s="6" t="str">
        <f>Angela_2025_Chase1117_Activity_!C475</f>
        <v>SP RAJANIMD STORE.RAJANIM OR                 10/26</v>
      </c>
      <c r="C478" s="6" t="str">
        <f>Angela_2025_Chase1117_Activity_!G475</f>
        <v>Personal - Health</v>
      </c>
      <c r="D478" s="12">
        <f>Angela_2025_Chase1117_Activity_!D475</f>
        <v>-650.16999999999996</v>
      </c>
    </row>
    <row r="479" spans="1:4" x14ac:dyDescent="0.25">
      <c r="A479" s="26">
        <f>Angela_2025_Chase1117_Activity_!B476</f>
        <v>45957</v>
      </c>
      <c r="B479" s="6" t="str">
        <f>Angela_2025_Chase1117_Activity_!C476</f>
        <v>Prime Video Channels amzn.com/bill WA        10/26</v>
      </c>
      <c r="C479" s="6" t="str">
        <f>Angela_2025_Chase1117_Activity_!G476</f>
        <v>Amazon</v>
      </c>
      <c r="D479" s="12">
        <f>Angela_2025_Chase1117_Activity_!D476</f>
        <v>-6.99</v>
      </c>
    </row>
    <row r="480" spans="1:4" x14ac:dyDescent="0.25">
      <c r="A480" s="26">
        <f>Angela_2025_Chase1117_Activity_!B477</f>
        <v>45957</v>
      </c>
      <c r="B480" s="6" t="str">
        <f>Angela_2025_Chase1117_Activity_!C477</f>
        <v>TICKETS*WEST SIDE STO 844-223-5661 DE        10/26</v>
      </c>
      <c r="C480" s="6" t="str">
        <f>Angela_2025_Chase1117_Activity_!G477</f>
        <v>Personal - Entertainment</v>
      </c>
      <c r="D480" s="12">
        <f>Angela_2025_Chase1117_Activity_!D477</f>
        <v>-408.96</v>
      </c>
    </row>
    <row r="481" spans="1:4" x14ac:dyDescent="0.25">
      <c r="A481" s="26">
        <f>Angela_2025_Chase1117_Activity_!B478</f>
        <v>45957</v>
      </c>
      <c r="B481" s="6" t="str">
        <f>Angela_2025_Chase1117_Activity_!C478</f>
        <v>ODYSSEY THEATRE ENSEMB 310-4772055 CA        10/26</v>
      </c>
      <c r="C481" s="6" t="str">
        <f>Angela_2025_Chase1117_Activity_!G478</f>
        <v>Personal - Entertainment</v>
      </c>
      <c r="D481" s="12">
        <f>Angela_2025_Chase1117_Activity_!D478</f>
        <v>-172</v>
      </c>
    </row>
    <row r="482" spans="1:4" x14ac:dyDescent="0.25">
      <c r="A482" s="26">
        <f>Angela_2025_Chase1117_Activity_!B479</f>
        <v>45957</v>
      </c>
      <c r="B482" s="6" t="str">
        <f>Angela_2025_Chase1117_Activity_!C479</f>
        <v>FANDANGO    * FANDANGO.COM CA                10/25</v>
      </c>
      <c r="C482" s="6" t="str">
        <f>Angela_2025_Chase1117_Activity_!G479</f>
        <v>Personal - Entertainment</v>
      </c>
      <c r="D482" s="12">
        <f>Angela_2025_Chase1117_Activity_!D479</f>
        <v>-49.76</v>
      </c>
    </row>
    <row r="483" spans="1:4" x14ac:dyDescent="0.25">
      <c r="A483" s="26">
        <f>Angela_2025_Chase1117_Activity_!B480</f>
        <v>45957</v>
      </c>
      <c r="B483" s="6" t="str">
        <f>Angela_2025_Chase1117_Activity_!C480</f>
        <v>UBER   * EATS PENDIN SAN FRANCISCO CA073551  10/24</v>
      </c>
      <c r="C483" s="6" t="str">
        <f>Angela_2025_Chase1117_Activity_!G480</f>
        <v>Uber Eats</v>
      </c>
      <c r="D483" s="12">
        <f>Angela_2025_Chase1117_Activity_!D480</f>
        <v>-85.75</v>
      </c>
    </row>
    <row r="484" spans="1:4" x14ac:dyDescent="0.25">
      <c r="A484" s="26">
        <f>Angela_2025_Chase1117_Activity_!B481</f>
        <v>45957</v>
      </c>
      <c r="B484" s="6" t="str">
        <f>Angela_2025_Chase1117_Activity_!C481</f>
        <v>LUKE UNFILTERED WEARECHANGE.O FL             10/25</v>
      </c>
      <c r="C484" s="6" t="str">
        <f>Angela_2025_Chase1117_Activity_!G481</f>
        <v>Personal - Subscription</v>
      </c>
      <c r="D484" s="12">
        <f>Angela_2025_Chase1117_Activity_!D481</f>
        <v>-15</v>
      </c>
    </row>
    <row r="485" spans="1:4" x14ac:dyDescent="0.25">
      <c r="A485" s="26">
        <f>Angela_2025_Chase1117_Activity_!B482</f>
        <v>45957</v>
      </c>
      <c r="B485" s="6" t="str">
        <f>Angela_2025_Chase1117_Activity_!C482</f>
        <v>AMAZON PRIME*N46NP3T Amzn.com/bill WA        10/24</v>
      </c>
      <c r="C485" s="6" t="str">
        <f>Angela_2025_Chase1117_Activity_!G482</f>
        <v>Amazon</v>
      </c>
      <c r="D485" s="12">
        <f>Angela_2025_Chase1117_Activity_!D482</f>
        <v>-16.45</v>
      </c>
    </row>
    <row r="486" spans="1:4" x14ac:dyDescent="0.25">
      <c r="A486" s="26">
        <f>Angela_2025_Chase1117_Activity_!B483</f>
        <v>45957</v>
      </c>
      <c r="B486" s="6" t="str">
        <f>Angela_2025_Chase1117_Activity_!C483</f>
        <v>FANDANGO    * FANDANGO.COM CA                10/25</v>
      </c>
      <c r="C486" s="6" t="str">
        <f>Angela_2025_Chase1117_Activity_!G483</f>
        <v>Personal - Entertainment</v>
      </c>
      <c r="D486" s="12">
        <f>Angela_2025_Chase1117_Activity_!D483</f>
        <v>-43.92</v>
      </c>
    </row>
    <row r="487" spans="1:4" x14ac:dyDescent="0.25">
      <c r="A487" s="26">
        <f>Angela_2025_Chase1117_Activity_!B484</f>
        <v>45957</v>
      </c>
      <c r="B487" s="6" t="str">
        <f>Angela_2025_Chase1117_Activity_!C484</f>
        <v>Amazon Tips*NU44M5VB Amzn.com/bill WA        10/24</v>
      </c>
      <c r="C487" s="6" t="str">
        <f>Angela_2025_Chase1117_Activity_!G484</f>
        <v>Amazon</v>
      </c>
      <c r="D487" s="12">
        <f>Angela_2025_Chase1117_Activity_!D484</f>
        <v>-20</v>
      </c>
    </row>
    <row r="488" spans="1:4" x14ac:dyDescent="0.25">
      <c r="A488" s="26">
        <f>Angela_2025_Chase1117_Activity_!B485</f>
        <v>45957</v>
      </c>
      <c r="B488" s="6" t="str">
        <f>Angela_2025_Chase1117_Activity_!C485</f>
        <v>Amazon Tips*N49WO23G Amzn.com/bill WA        10/24</v>
      </c>
      <c r="C488" s="6" t="str">
        <f>Angela_2025_Chase1117_Activity_!G485</f>
        <v>Amazon</v>
      </c>
      <c r="D488" s="12">
        <f>Angela_2025_Chase1117_Activity_!D485</f>
        <v>-20</v>
      </c>
    </row>
    <row r="489" spans="1:4" x14ac:dyDescent="0.25">
      <c r="A489" s="26">
        <f>Angela_2025_Chase1117_Activity_!B486</f>
        <v>45957</v>
      </c>
      <c r="B489" s="6" t="str">
        <f>Angela_2025_Chase1117_Activity_!C486</f>
        <v>ATT*BILL PAYMENT 800-288-2020 TX             10/24</v>
      </c>
      <c r="C489" s="6" t="str">
        <f>Angela_2025_Chase1117_Activity_!G486</f>
        <v>AT&amp;T</v>
      </c>
      <c r="D489" s="12">
        <f>Angela_2025_Chase1117_Activity_!D486</f>
        <v>-579.63</v>
      </c>
    </row>
    <row r="490" spans="1:4" x14ac:dyDescent="0.25">
      <c r="A490" s="26">
        <f>Angela_2025_Chase1117_Activity_!B487</f>
        <v>45957</v>
      </c>
      <c r="B490" s="6" t="str">
        <f>Angela_2025_Chase1117_Activity_!C487</f>
        <v>X22REPORT.TV 667-2225972 DE                  10/24</v>
      </c>
      <c r="C490" s="6" t="str">
        <f>Angela_2025_Chase1117_Activity_!G487</f>
        <v>Personal - Subscription</v>
      </c>
      <c r="D490" s="12">
        <f>Angela_2025_Chase1117_Activity_!D487</f>
        <v>-39.99</v>
      </c>
    </row>
    <row r="491" spans="1:4" x14ac:dyDescent="0.25">
      <c r="A491" s="26">
        <f>Angela_2025_Chase1117_Activity_!B488</f>
        <v>45957</v>
      </c>
      <c r="B491" s="6" t="str">
        <f>Angela_2025_Chase1117_Activity_!C488</f>
        <v>SQ *PATRIOT SEPTIC Weatherford TX            10/17</v>
      </c>
      <c r="C491" s="6" t="str">
        <f>Angela_2025_Chase1117_Activity_!G488</f>
        <v>Personal - House Bills</v>
      </c>
      <c r="D491" s="12">
        <f>Angela_2025_Chase1117_Activity_!D488</f>
        <v>-150</v>
      </c>
    </row>
    <row r="492" spans="1:4" x14ac:dyDescent="0.25">
      <c r="A492" s="26">
        <f>Angela_2025_Chase1117_Activity_!B489</f>
        <v>45957</v>
      </c>
      <c r="B492" s="6" t="str">
        <f>Angela_2025_Chase1117_Activity_!C489</f>
        <v>SQ *PATRIOT SEPTIC gosq.com TX               10/17</v>
      </c>
      <c r="C492" s="6" t="str">
        <f>Angela_2025_Chase1117_Activity_!G489</f>
        <v>Personal - House Bills</v>
      </c>
      <c r="D492" s="12">
        <f>Angela_2025_Chase1117_Activity_!D489</f>
        <v>-400</v>
      </c>
    </row>
    <row r="493" spans="1:4" x14ac:dyDescent="0.25">
      <c r="A493" s="26">
        <f>Angela_2025_Chase1117_Activity_!B490</f>
        <v>45957</v>
      </c>
      <c r="B493" s="6" t="str">
        <f>Angela_2025_Chase1117_Activity_!C490</f>
        <v>Online Transfer from CHK ...1168 transaction#: 26726374041</v>
      </c>
      <c r="C493" s="6" t="str">
        <f>Angela_2025_Chase1117_Activity_!G490</f>
        <v>Transfer from DWG Capital Group</v>
      </c>
      <c r="D493" s="12">
        <f>Angela_2025_Chase1117_Activity_!D490</f>
        <v>2000</v>
      </c>
    </row>
    <row r="494" spans="1:4" x14ac:dyDescent="0.25">
      <c r="A494" s="26">
        <f>Angela_2025_Chase1117_Activity_!B491</f>
        <v>45954</v>
      </c>
      <c r="B494" s="6" t="str">
        <f>Angela_2025_Chase1117_Activity_!C491</f>
        <v>Online Transfer to CHK ...6975 transaction#: 26711714810 10/24</v>
      </c>
      <c r="C494" s="6" t="str">
        <f>Angela_2025_Chase1117_Activity_!G491</f>
        <v>Transfer to Ava</v>
      </c>
      <c r="D494" s="12">
        <f>Angela_2025_Chase1117_Activity_!D491</f>
        <v>-200</v>
      </c>
    </row>
    <row r="495" spans="1:4" x14ac:dyDescent="0.25">
      <c r="A495" s="26">
        <f>Angela_2025_Chase1117_Activity_!B492</f>
        <v>45954</v>
      </c>
      <c r="B495" s="6" t="str">
        <f>Angela_2025_Chase1117_Activity_!C492</f>
        <v>FANDANGO    * FANDANGO.COM CA                10/24</v>
      </c>
      <c r="C495" s="6" t="str">
        <f>Angela_2025_Chase1117_Activity_!G492</f>
        <v>Personal - Entertainment</v>
      </c>
      <c r="D495" s="12">
        <f>Angela_2025_Chase1117_Activity_!D492</f>
        <v>-28.74</v>
      </c>
    </row>
    <row r="496" spans="1:4" x14ac:dyDescent="0.25">
      <c r="A496" s="26">
        <f>Angela_2025_Chase1117_Activity_!B493</f>
        <v>45954</v>
      </c>
      <c r="B496" s="6" t="str">
        <f>Angela_2025_Chase1117_Activity_!C493</f>
        <v>Amazon.com*N46X56ZP0 Amzn.com/bill WA        10/24</v>
      </c>
      <c r="C496" s="6" t="str">
        <f>Angela_2025_Chase1117_Activity_!G493</f>
        <v>Amazon</v>
      </c>
      <c r="D496" s="12">
        <f>Angela_2025_Chase1117_Activity_!D493</f>
        <v>-16.22</v>
      </c>
    </row>
    <row r="497" spans="1:4" x14ac:dyDescent="0.25">
      <c r="A497" s="26">
        <f>Angela_2025_Chase1117_Activity_!B494</f>
        <v>45954</v>
      </c>
      <c r="B497" s="6" t="str">
        <f>Angela_2025_Chase1117_Activity_!C494</f>
        <v>Amazon Tips*N46ND7CY Amzn.com/bill WA        10/23</v>
      </c>
      <c r="C497" s="6" t="str">
        <f>Angela_2025_Chase1117_Activity_!G494</f>
        <v>Amazon</v>
      </c>
      <c r="D497" s="12">
        <f>Angela_2025_Chase1117_Activity_!D494</f>
        <v>-20</v>
      </c>
    </row>
    <row r="498" spans="1:4" x14ac:dyDescent="0.25">
      <c r="A498" s="26">
        <f>Angela_2025_Chase1117_Activity_!B495</f>
        <v>45954</v>
      </c>
      <c r="B498" s="6" t="str">
        <f>Angela_2025_Chase1117_Activity_!C495</f>
        <v>APPLE.COM/BILL 866-712-7753 CA               10/24</v>
      </c>
      <c r="C498" s="6" t="str">
        <f>Angela_2025_Chase1117_Activity_!G495</f>
        <v>Apple</v>
      </c>
      <c r="D498" s="12">
        <f>Angela_2025_Chase1117_Activity_!D495</f>
        <v>-10.99</v>
      </c>
    </row>
    <row r="499" spans="1:4" x14ac:dyDescent="0.25">
      <c r="A499" s="26">
        <f>Angela_2025_Chase1117_Activity_!B496</f>
        <v>45954</v>
      </c>
      <c r="B499" s="6" t="str">
        <f>Angela_2025_Chase1117_Activity_!C496</f>
        <v>Amazon.com*NU91N5W51 Amzn.com/bill WA        10/23</v>
      </c>
      <c r="C499" s="6" t="str">
        <f>Angela_2025_Chase1117_Activity_!G496</f>
        <v>Amazon</v>
      </c>
      <c r="D499" s="12">
        <f>Angela_2025_Chase1117_Activity_!D496</f>
        <v>-135.49</v>
      </c>
    </row>
    <row r="500" spans="1:4" x14ac:dyDescent="0.25">
      <c r="A500" s="26">
        <f>Angela_2025_Chase1117_Activity_!B497</f>
        <v>45954</v>
      </c>
      <c r="B500" s="6" t="str">
        <f>Angela_2025_Chase1117_Activity_!C497</f>
        <v>AMERICAN AIR00183183845 FORT WORTH TX        10/22</v>
      </c>
      <c r="C500" s="6" t="str">
        <f>Angela_2025_Chase1117_Activity_!G497</f>
        <v>Personal Travel</v>
      </c>
      <c r="D500" s="12">
        <f>Angela_2025_Chase1117_Activity_!D497</f>
        <v>-34.44</v>
      </c>
    </row>
    <row r="501" spans="1:4" x14ac:dyDescent="0.25">
      <c r="A501" s="26">
        <f>Angela_2025_Chase1117_Activity_!B498</f>
        <v>45954</v>
      </c>
      <c r="B501" s="6" t="str">
        <f>Angela_2025_Chase1117_Activity_!C498</f>
        <v>AMERICAN AIR00183183845 FORT WORTH TX        10/22</v>
      </c>
      <c r="C501" s="6" t="str">
        <f>Angela_2025_Chase1117_Activity_!G498</f>
        <v>Personal Travel</v>
      </c>
      <c r="D501" s="12">
        <f>Angela_2025_Chase1117_Activity_!D498</f>
        <v>-34.44</v>
      </c>
    </row>
    <row r="502" spans="1:4" x14ac:dyDescent="0.25">
      <c r="A502" s="26">
        <f>Angela_2025_Chase1117_Activity_!B499</f>
        <v>45954</v>
      </c>
      <c r="B502" s="6" t="str">
        <f>Angela_2025_Chase1117_Activity_!C499</f>
        <v>AMAZON MKTPL*N443W9Z Amzn.com/bill WA        10/24</v>
      </c>
      <c r="C502" s="6" t="str">
        <f>Angela_2025_Chase1117_Activity_!G499</f>
        <v>Amazon</v>
      </c>
      <c r="D502" s="12">
        <f>Angela_2025_Chase1117_Activity_!D499</f>
        <v>-134.1</v>
      </c>
    </row>
    <row r="503" spans="1:4" x14ac:dyDescent="0.25">
      <c r="A503" s="26">
        <f>Angela_2025_Chase1117_Activity_!B500</f>
        <v>45954</v>
      </c>
      <c r="B503" s="6" t="str">
        <f>Angela_2025_Chase1117_Activity_!C500</f>
        <v>AMERICAN AIR00173206646 FORT WORTH TX        10/22</v>
      </c>
      <c r="C503" s="6" t="str">
        <f>Angela_2025_Chase1117_Activity_!G500</f>
        <v>Personal Travel</v>
      </c>
      <c r="D503" s="12">
        <f>Angela_2025_Chase1117_Activity_!D500</f>
        <v>-212.49</v>
      </c>
    </row>
    <row r="504" spans="1:4" x14ac:dyDescent="0.25">
      <c r="A504" s="26">
        <f>Angela_2025_Chase1117_Activity_!B501</f>
        <v>45954</v>
      </c>
      <c r="B504" s="6" t="str">
        <f>Angela_2025_Chase1117_Activity_!C501</f>
        <v>AMERICAN AIR00173206646 FORT WORTH TX        10/22</v>
      </c>
      <c r="C504" s="6" t="str">
        <f>Angela_2025_Chase1117_Activity_!G501</f>
        <v>Personal Travel</v>
      </c>
      <c r="D504" s="12">
        <f>Angela_2025_Chase1117_Activity_!D501</f>
        <v>-212.49</v>
      </c>
    </row>
    <row r="505" spans="1:4" x14ac:dyDescent="0.25">
      <c r="A505" s="26">
        <f>Angela_2025_Chase1117_Activity_!B502</f>
        <v>45954</v>
      </c>
      <c r="B505" s="6" t="str">
        <f>Angela_2025_Chase1117_Activity_!C502</f>
        <v>Zelle payment from JESSICA PURSE WFCT0ZF383WR</v>
      </c>
      <c r="C505" s="6" t="str">
        <f>Angela_2025_Chase1117_Activity_!G502</f>
        <v>Zelle from Jessica Purse</v>
      </c>
      <c r="D505" s="12">
        <f>Angela_2025_Chase1117_Activity_!D502</f>
        <v>150</v>
      </c>
    </row>
    <row r="506" spans="1:4" x14ac:dyDescent="0.25">
      <c r="A506" s="26">
        <f>Angela_2025_Chase1117_Activity_!B503</f>
        <v>45954</v>
      </c>
      <c r="B506" s="6" t="str">
        <f>Angela_2025_Chase1117_Activity_!C503</f>
        <v>Online Transfer from CHK ...1168 transaction#: 26703923651</v>
      </c>
      <c r="C506" s="6" t="str">
        <f>Angela_2025_Chase1117_Activity_!G503</f>
        <v>Transfer from DWG Capital Group</v>
      </c>
      <c r="D506" s="12">
        <f>Angela_2025_Chase1117_Activity_!D503</f>
        <v>3000</v>
      </c>
    </row>
    <row r="507" spans="1:4" x14ac:dyDescent="0.25">
      <c r="A507" s="26">
        <f>Angela_2025_Chase1117_Activity_!B504</f>
        <v>45953</v>
      </c>
      <c r="B507" s="6" t="str">
        <f>Angela_2025_Chase1117_Activity_!C504</f>
        <v>Amazon.com*NU5ZW3U21 Amzn.com/bill WA        10/23</v>
      </c>
      <c r="C507" s="6" t="str">
        <f>Angela_2025_Chase1117_Activity_!G504</f>
        <v>Amazon</v>
      </c>
      <c r="D507" s="12">
        <f>Angela_2025_Chase1117_Activity_!D504</f>
        <v>-11.51</v>
      </c>
    </row>
    <row r="508" spans="1:4" x14ac:dyDescent="0.25">
      <c r="A508" s="26">
        <f>Angela_2025_Chase1117_Activity_!B505</f>
        <v>45953</v>
      </c>
      <c r="B508" s="6" t="str">
        <f>Angela_2025_Chase1117_Activity_!C505</f>
        <v>ALL FAMILY PHARMACY LLC BOCA RATON FL        10/22</v>
      </c>
      <c r="C508" s="6" t="str">
        <f>Angela_2025_Chase1117_Activity_!G505</f>
        <v>Personal - Health</v>
      </c>
      <c r="D508" s="12">
        <f>Angela_2025_Chase1117_Activity_!D505</f>
        <v>-474</v>
      </c>
    </row>
    <row r="509" spans="1:4" x14ac:dyDescent="0.25">
      <c r="A509" s="26">
        <f>Angela_2025_Chase1117_Activity_!B506</f>
        <v>45953</v>
      </c>
      <c r="B509" s="6" t="str">
        <f>Angela_2025_Chase1117_Activity_!C506</f>
        <v>Amazon.com*NU5V09U70 Amzn.com/bill WA        10/22</v>
      </c>
      <c r="C509" s="6" t="str">
        <f>Angela_2025_Chase1117_Activity_!G506</f>
        <v>Amazon</v>
      </c>
      <c r="D509" s="12">
        <f>Angela_2025_Chase1117_Activity_!D506</f>
        <v>-72</v>
      </c>
    </row>
    <row r="510" spans="1:4" x14ac:dyDescent="0.25">
      <c r="A510" s="26">
        <f>Angela_2025_Chase1117_Activity_!B507</f>
        <v>45953</v>
      </c>
      <c r="B510" s="6" t="str">
        <f>Angela_2025_Chase1117_Activity_!C507</f>
        <v>LOTT CLEANERS (MAIN ST WEATHERFORD TX        10/21</v>
      </c>
      <c r="C510" s="6" t="str">
        <f>Angela_2025_Chase1117_Activity_!G507</f>
        <v>Personal - Clothing</v>
      </c>
      <c r="D510" s="12">
        <f>Angela_2025_Chase1117_Activity_!D507</f>
        <v>-119.94</v>
      </c>
    </row>
    <row r="511" spans="1:4" x14ac:dyDescent="0.25">
      <c r="A511" s="26">
        <f>Angela_2025_Chase1117_Activity_!B508</f>
        <v>45953</v>
      </c>
      <c r="B511" s="6" t="str">
        <f>Angela_2025_Chase1117_Activity_!C508</f>
        <v>Amazon.com*NU9IC9JL2 Amzn.com/bill WA        10/23</v>
      </c>
      <c r="C511" s="6" t="str">
        <f>Angela_2025_Chase1117_Activity_!G508</f>
        <v>Amazon</v>
      </c>
      <c r="D511" s="12">
        <f>Angela_2025_Chase1117_Activity_!D508</f>
        <v>-193.77</v>
      </c>
    </row>
    <row r="512" spans="1:4" x14ac:dyDescent="0.25">
      <c r="A512" s="26">
        <f>Angela_2025_Chase1117_Activity_!B509</f>
        <v>45952</v>
      </c>
      <c r="B512" s="6" t="str">
        <f>Angela_2025_Chase1117_Activity_!C509</f>
        <v>ZARA USA INC. ESTADOS UNIDO NY       026512  10/19</v>
      </c>
      <c r="C512" s="6" t="str">
        <f>Angela_2025_Chase1117_Activity_!G509</f>
        <v>Personal - Shopping</v>
      </c>
      <c r="D512" s="12">
        <f>Angela_2025_Chase1117_Activity_!D509</f>
        <v>-792.88</v>
      </c>
    </row>
    <row r="513" spans="1:4" x14ac:dyDescent="0.25">
      <c r="A513" s="26">
        <f>Angela_2025_Chase1117_Activity_!B510</f>
        <v>45952</v>
      </c>
      <c r="B513" s="6" t="str">
        <f>Angela_2025_Chase1117_Activity_!C510</f>
        <v>Amazon.com*NU9SV6DR1 Amzn.com/bill WA        10/22</v>
      </c>
      <c r="C513" s="6" t="str">
        <f>Angela_2025_Chase1117_Activity_!G510</f>
        <v>Amazon</v>
      </c>
      <c r="D513" s="12">
        <f>Angela_2025_Chase1117_Activity_!D510</f>
        <v>-8.57</v>
      </c>
    </row>
    <row r="514" spans="1:4" x14ac:dyDescent="0.25">
      <c r="A514" s="26">
        <f>Angela_2025_Chase1117_Activity_!B511</f>
        <v>45952</v>
      </c>
      <c r="B514" s="6" t="str">
        <f>Angela_2025_Chase1117_Activity_!C511</f>
        <v>Amazon.com*NU6SO4D11 Amzn.com/bill WA        10/22</v>
      </c>
      <c r="C514" s="6" t="str">
        <f>Angela_2025_Chase1117_Activity_!G511</f>
        <v>Amazon</v>
      </c>
      <c r="D514" s="12">
        <f>Angela_2025_Chase1117_Activity_!D511</f>
        <v>-46.57</v>
      </c>
    </row>
    <row r="515" spans="1:4" x14ac:dyDescent="0.25">
      <c r="A515" s="26">
        <f>Angela_2025_Chase1117_Activity_!B512</f>
        <v>45952</v>
      </c>
      <c r="B515" s="6" t="str">
        <f>Angela_2025_Chase1117_Activity_!C512</f>
        <v>CLEAR REVOLUTION SKINC 800-6892197 FL        10/21</v>
      </c>
      <c r="C515" s="6" t="str">
        <f>Angela_2025_Chase1117_Activity_!G512</f>
        <v>Personal - Health</v>
      </c>
      <c r="D515" s="12">
        <f>Angela_2025_Chase1117_Activity_!D512</f>
        <v>-119.9</v>
      </c>
    </row>
    <row r="516" spans="1:4" x14ac:dyDescent="0.25">
      <c r="A516" s="26">
        <f>Angela_2025_Chase1117_Activity_!B513</f>
        <v>45951</v>
      </c>
      <c r="B516" s="6" t="str">
        <f>Angela_2025_Chase1117_Activity_!C513</f>
        <v>PIC-UP WEATHERFORD TX                128000  10/21</v>
      </c>
      <c r="C516" s="6" t="str">
        <f>Angela_2025_Chase1117_Activity_!G513</f>
        <v>Personal - Car</v>
      </c>
      <c r="D516" s="12">
        <f>Angela_2025_Chase1117_Activity_!D513</f>
        <v>-44.65</v>
      </c>
    </row>
    <row r="517" spans="1:4" x14ac:dyDescent="0.25">
      <c r="A517" s="26">
        <f>Angela_2025_Chase1117_Activity_!B514</f>
        <v>45951</v>
      </c>
      <c r="B517" s="6" t="str">
        <f>Angela_2025_Chase1117_Activity_!C514</f>
        <v>NEXTLINK BROADBAND 855-6985465 TX            10/20</v>
      </c>
      <c r="C517" s="6" t="str">
        <f>Angela_2025_Chase1117_Activity_!G514</f>
        <v>Personal - House Bills</v>
      </c>
      <c r="D517" s="12">
        <f>Angela_2025_Chase1117_Activity_!D514</f>
        <v>-149.96</v>
      </c>
    </row>
    <row r="518" spans="1:4" x14ac:dyDescent="0.25">
      <c r="A518" s="26">
        <f>Angela_2025_Chase1117_Activity_!B515</f>
        <v>45950</v>
      </c>
      <c r="B518" s="6" t="str">
        <f>Angela_2025_Chase1117_Activity_!C515</f>
        <v>UBER   *TRIP HELP.UBER.COM CA                10/20</v>
      </c>
      <c r="C518" s="6" t="str">
        <f>Angela_2025_Chase1117_Activity_!G515</f>
        <v>Personal - Uber</v>
      </c>
      <c r="D518" s="12">
        <f>Angela_2025_Chase1117_Activity_!D515</f>
        <v>-20.39</v>
      </c>
    </row>
    <row r="519" spans="1:4" x14ac:dyDescent="0.25">
      <c r="A519" s="26">
        <f>Angela_2025_Chase1117_Activity_!B516</f>
        <v>45950</v>
      </c>
      <c r="B519" s="6" t="str">
        <f>Angela_2025_Chase1117_Activity_!C516</f>
        <v>AMAZON MKTPL*NU4HR6A Amzn.com/bill WA        10/19</v>
      </c>
      <c r="C519" s="6" t="str">
        <f>Angela_2025_Chase1117_Activity_!G516</f>
        <v>Amazon</v>
      </c>
      <c r="D519" s="12">
        <f>Angela_2025_Chase1117_Activity_!D516</f>
        <v>-27.99</v>
      </c>
    </row>
    <row r="520" spans="1:4" x14ac:dyDescent="0.25">
      <c r="A520" s="26">
        <f>Angela_2025_Chase1117_Activity_!B517</f>
        <v>45950</v>
      </c>
      <c r="B520" s="6" t="str">
        <f>Angela_2025_Chase1117_Activity_!C517</f>
        <v>WALGREENS STORE 1317 S WEATHERFORD TX843367  10/18</v>
      </c>
      <c r="C520" s="6" t="str">
        <f>Angela_2025_Chase1117_Activity_!G517</f>
        <v>Personal - Health</v>
      </c>
      <c r="D520" s="12">
        <f>Angela_2025_Chase1117_Activity_!D517</f>
        <v>-153.44</v>
      </c>
    </row>
    <row r="521" spans="1:4" x14ac:dyDescent="0.25">
      <c r="A521" s="26">
        <f>Angela_2025_Chase1117_Activity_!B518</f>
        <v>45950</v>
      </c>
      <c r="B521" s="6" t="str">
        <f>Angela_2025_Chase1117_Activity_!C518</f>
        <v>AMAZON MKTPL*NU2VE23 Amzn.com/bill WA        10/19</v>
      </c>
      <c r="C521" s="6" t="str">
        <f>Angela_2025_Chase1117_Activity_!G518</f>
        <v>Amazon</v>
      </c>
      <c r="D521" s="12">
        <f>Angela_2025_Chase1117_Activity_!D518</f>
        <v>-19.739999999999998</v>
      </c>
    </row>
    <row r="522" spans="1:4" x14ac:dyDescent="0.25">
      <c r="A522" s="26">
        <f>Angela_2025_Chase1117_Activity_!B519</f>
        <v>45950</v>
      </c>
      <c r="B522" s="6" t="str">
        <f>Angela_2025_Chase1117_Activity_!C519</f>
        <v>AMAZON MKTPL*NU9TF3J Amzn.com/bill WA        10/19</v>
      </c>
      <c r="C522" s="6" t="str">
        <f>Angela_2025_Chase1117_Activity_!G519</f>
        <v>Amazon</v>
      </c>
      <c r="D522" s="12">
        <f>Angela_2025_Chase1117_Activity_!D519</f>
        <v>-17.54</v>
      </c>
    </row>
    <row r="523" spans="1:4" x14ac:dyDescent="0.25">
      <c r="A523" s="26">
        <f>Angela_2025_Chase1117_Activity_!B520</f>
        <v>45950</v>
      </c>
      <c r="B523" s="6" t="str">
        <f>Angela_2025_Chase1117_Activity_!C520</f>
        <v>Amazon Tips*NU2TB243 Amzn.com/bill WA        10/18</v>
      </c>
      <c r="C523" s="6" t="str">
        <f>Angela_2025_Chase1117_Activity_!G520</f>
        <v>Amazon</v>
      </c>
      <c r="D523" s="12">
        <f>Angela_2025_Chase1117_Activity_!D520</f>
        <v>-20</v>
      </c>
    </row>
    <row r="524" spans="1:4" x14ac:dyDescent="0.25">
      <c r="A524" s="26">
        <f>Angela_2025_Chase1117_Activity_!B521</f>
        <v>45950</v>
      </c>
      <c r="B524" s="6" t="str">
        <f>Angela_2025_Chase1117_Activity_!C521</f>
        <v>UNITED      01623412623 UNITED.COM TX        10/18</v>
      </c>
      <c r="C524" s="6" t="str">
        <f>Angela_2025_Chase1117_Activity_!G521</f>
        <v>Personal Travel</v>
      </c>
      <c r="D524" s="12">
        <f>Angela_2025_Chase1117_Activity_!D521</f>
        <v>-575.26</v>
      </c>
    </row>
    <row r="525" spans="1:4" x14ac:dyDescent="0.25">
      <c r="A525" s="26">
        <f>Angela_2025_Chase1117_Activity_!B522</f>
        <v>45950</v>
      </c>
      <c r="B525" s="6" t="str">
        <f>Angela_2025_Chase1117_Activity_!C522</f>
        <v>FANDANGO    * FANDANGO.COM CA                10/18</v>
      </c>
      <c r="C525" s="6" t="str">
        <f>Angela_2025_Chase1117_Activity_!G522</f>
        <v>Personal - Entertainment</v>
      </c>
      <c r="D525" s="12">
        <f>Angela_2025_Chase1117_Activity_!D522</f>
        <v>-54.76</v>
      </c>
    </row>
    <row r="526" spans="1:4" x14ac:dyDescent="0.25">
      <c r="A526" s="26">
        <f>Angela_2025_Chase1117_Activity_!B523</f>
        <v>45950</v>
      </c>
      <c r="B526" s="6" t="str">
        <f>Angela_2025_Chase1117_Activity_!C523</f>
        <v>Zara.com New York NY                         10/19</v>
      </c>
      <c r="C526" s="6" t="str">
        <f>Angela_2025_Chase1117_Activity_!G523</f>
        <v>Personal - Shopping</v>
      </c>
      <c r="D526" s="12">
        <f>Angela_2025_Chase1117_Activity_!D523</f>
        <v>-599.07000000000005</v>
      </c>
    </row>
    <row r="527" spans="1:4" x14ac:dyDescent="0.25">
      <c r="A527" s="26">
        <f>Angela_2025_Chase1117_Activity_!B524</f>
        <v>45950</v>
      </c>
      <c r="B527" s="6" t="str">
        <f>Angela_2025_Chase1117_Activity_!C524</f>
        <v>THE C. G. JUNG INSTIT 310-556-1193 CA        10/19</v>
      </c>
      <c r="C527" s="6" t="str">
        <f>Angela_2025_Chase1117_Activity_!G524</f>
        <v>Donation</v>
      </c>
      <c r="D527" s="12">
        <f>Angela_2025_Chase1117_Activity_!D524</f>
        <v>-125</v>
      </c>
    </row>
    <row r="528" spans="1:4" x14ac:dyDescent="0.25">
      <c r="A528" s="26">
        <f>Angela_2025_Chase1117_Activity_!B525</f>
        <v>45950</v>
      </c>
      <c r="B528" s="6" t="str">
        <f>Angela_2025_Chase1117_Activity_!C525</f>
        <v>ALLIANZ EVENT INS ALLIANZINS.US VA           10/18</v>
      </c>
      <c r="C528" s="6" t="str">
        <f>Angela_2025_Chase1117_Activity_!G525</f>
        <v>Personal Travel</v>
      </c>
      <c r="D528" s="12">
        <f>Angela_2025_Chase1117_Activity_!D525</f>
        <v>-40</v>
      </c>
    </row>
    <row r="529" spans="1:4" x14ac:dyDescent="0.25">
      <c r="A529" s="26">
        <f>Angela_2025_Chase1117_Activity_!B526</f>
        <v>45950</v>
      </c>
      <c r="B529" s="6" t="str">
        <f>Angela_2025_Chase1117_Activity_!C526</f>
        <v>TM *THE CULT 800-653-8000 CA                 10/18</v>
      </c>
      <c r="C529" s="6" t="str">
        <f>Angela_2025_Chase1117_Activity_!G526</f>
        <v>Personal - Entertainment</v>
      </c>
      <c r="D529" s="12">
        <f>Angela_2025_Chase1117_Activity_!D526</f>
        <v>-427.28</v>
      </c>
    </row>
    <row r="530" spans="1:4" x14ac:dyDescent="0.25">
      <c r="A530" s="26">
        <f>Angela_2025_Chase1117_Activity_!B527</f>
        <v>45950</v>
      </c>
      <c r="B530" s="6" t="str">
        <f>Angela_2025_Chase1117_Activity_!C527</f>
        <v>ROSAS CAFE &amp; TORTILLA WEATHERFORD TX         10/17</v>
      </c>
      <c r="C530" s="6" t="str">
        <f>Angela_2025_Chase1117_Activity_!G527</f>
        <v>Personal - Food</v>
      </c>
      <c r="D530" s="12">
        <f>Angela_2025_Chase1117_Activity_!D527</f>
        <v>-42.25</v>
      </c>
    </row>
    <row r="531" spans="1:4" x14ac:dyDescent="0.25">
      <c r="A531" s="26">
        <f>Angela_2025_Chase1117_Activity_!B528</f>
        <v>45950</v>
      </c>
      <c r="B531" s="6" t="str">
        <f>Angela_2025_Chase1117_Activity_!C528</f>
        <v>FANDANGO    * FANDANGO.COM CA                10/18</v>
      </c>
      <c r="C531" s="6" t="str">
        <f>Angela_2025_Chase1117_Activity_!G528</f>
        <v>Personal - Entertainment</v>
      </c>
      <c r="D531" s="12">
        <f>Angela_2025_Chase1117_Activity_!D528</f>
        <v>-53.76</v>
      </c>
    </row>
    <row r="532" spans="1:4" x14ac:dyDescent="0.25">
      <c r="A532" s="26">
        <f>Angela_2025_Chase1117_Activity_!B529</f>
        <v>45950</v>
      </c>
      <c r="B532" s="6" t="str">
        <f>Angela_2025_Chase1117_Activity_!C529</f>
        <v>LEELA QUANTUM TECH LEELAQ.COM NM             10/17</v>
      </c>
      <c r="C532" s="6" t="str">
        <f>Angela_2025_Chase1117_Activity_!G529</f>
        <v>Personal - Subscription</v>
      </c>
      <c r="D532" s="12">
        <f>Angela_2025_Chase1117_Activity_!D529</f>
        <v>-30</v>
      </c>
    </row>
    <row r="533" spans="1:4" x14ac:dyDescent="0.25">
      <c r="A533" s="26">
        <f>Angela_2025_Chase1117_Activity_!B530</f>
        <v>45950</v>
      </c>
      <c r="B533" s="6" t="str">
        <f>Angela_2025_Chase1117_Activity_!C530</f>
        <v>Amazon Tips*NM2P27PJ Amzn.com/bill WA        10/17</v>
      </c>
      <c r="C533" s="6" t="str">
        <f>Angela_2025_Chase1117_Activity_!G530</f>
        <v>Amazon</v>
      </c>
      <c r="D533" s="12">
        <f>Angela_2025_Chase1117_Activity_!D530</f>
        <v>-20</v>
      </c>
    </row>
    <row r="534" spans="1:4" x14ac:dyDescent="0.25">
      <c r="A534" s="26">
        <f>Angela_2025_Chase1117_Activity_!B531</f>
        <v>45950</v>
      </c>
      <c r="B534" s="6" t="str">
        <f>Angela_2025_Chase1117_Activity_!C531</f>
        <v>Amazon Tips*NU1AP6FZ Amzn.com/bill WA        10/17</v>
      </c>
      <c r="C534" s="6" t="str">
        <f>Angela_2025_Chase1117_Activity_!G531</f>
        <v>Amazon</v>
      </c>
      <c r="D534" s="12">
        <f>Angela_2025_Chase1117_Activity_!D531</f>
        <v>-20</v>
      </c>
    </row>
    <row r="535" spans="1:4" x14ac:dyDescent="0.25">
      <c r="A535" s="26">
        <f>Angela_2025_Chase1117_Activity_!B532</f>
        <v>45950</v>
      </c>
      <c r="B535" s="6" t="str">
        <f>Angela_2025_Chase1117_Activity_!C532</f>
        <v>Amazon.com*NM1J00I41 Amzn.com/bill WA        10/17</v>
      </c>
      <c r="C535" s="6" t="str">
        <f>Angela_2025_Chase1117_Activity_!G532</f>
        <v>Amazon</v>
      </c>
      <c r="D535" s="12">
        <f>Angela_2025_Chase1117_Activity_!D532</f>
        <v>-87.2</v>
      </c>
    </row>
    <row r="536" spans="1:4" x14ac:dyDescent="0.25">
      <c r="A536" s="26">
        <f>Angela_2025_Chase1117_Activity_!B533</f>
        <v>45950</v>
      </c>
      <c r="B536" s="6" t="str">
        <f>Angela_2025_Chase1117_Activity_!C533</f>
        <v>WONDERFEEL 415-3766516 CA                    10/17</v>
      </c>
      <c r="C536" s="6" t="str">
        <f>Angela_2025_Chase1117_Activity_!G533</f>
        <v>Personal - Health</v>
      </c>
      <c r="D536" s="12">
        <f>Angela_2025_Chase1117_Activity_!D533</f>
        <v>-264</v>
      </c>
    </row>
    <row r="537" spans="1:4" x14ac:dyDescent="0.25">
      <c r="A537" s="26">
        <f>Angela_2025_Chase1117_Activity_!B534</f>
        <v>45950</v>
      </c>
      <c r="B537" s="6" t="str">
        <f>Angela_2025_Chase1117_Activity_!C534</f>
        <v>AMAZON MKTPL*NM3CC2G Amzn.com/bill WA        10/17</v>
      </c>
      <c r="C537" s="6" t="str">
        <f>Angela_2025_Chase1117_Activity_!G534</f>
        <v>Amazon</v>
      </c>
      <c r="D537" s="12">
        <f>Angela_2025_Chase1117_Activity_!D534</f>
        <v>-42.69</v>
      </c>
    </row>
    <row r="538" spans="1:4" x14ac:dyDescent="0.25">
      <c r="A538" s="26">
        <f>Angela_2025_Chase1117_Activity_!B535</f>
        <v>45950</v>
      </c>
      <c r="B538" s="6" t="str">
        <f>Angela_2025_Chase1117_Activity_!C535</f>
        <v>AMAZON MKTPL*NU2922F Amzn.com/bill WA        10/18</v>
      </c>
      <c r="C538" s="6" t="str">
        <f>Angela_2025_Chase1117_Activity_!G535</f>
        <v>Amazon</v>
      </c>
      <c r="D538" s="12">
        <f>Angela_2025_Chase1117_Activity_!D535</f>
        <v>-399.45</v>
      </c>
    </row>
    <row r="539" spans="1:4" x14ac:dyDescent="0.25">
      <c r="A539" s="26">
        <f>Angela_2025_Chase1117_Activity_!B536</f>
        <v>45950</v>
      </c>
      <c r="B539" s="6" t="str">
        <f>Angela_2025_Chase1117_Activity_!C536</f>
        <v>Online Transfer from CHK ...1168 transaction#: 26650936452</v>
      </c>
      <c r="C539" s="6" t="str">
        <f>Angela_2025_Chase1117_Activity_!G536</f>
        <v>Transfer from DWG Capital Group</v>
      </c>
      <c r="D539" s="12">
        <f>Angela_2025_Chase1117_Activity_!D536</f>
        <v>3000</v>
      </c>
    </row>
    <row r="540" spans="1:4" x14ac:dyDescent="0.25">
      <c r="A540" s="26">
        <f>Angela_2025_Chase1117_Activity_!B537</f>
        <v>45947</v>
      </c>
      <c r="B540" s="6" t="str">
        <f>Angela_2025_Chase1117_Activity_!C537</f>
        <v>FANDANGO    * FANDANGO.COM CA                10/17</v>
      </c>
      <c r="C540" s="6" t="str">
        <f>Angela_2025_Chase1117_Activity_!G537</f>
        <v>Personal - Entertainment</v>
      </c>
      <c r="D540" s="12">
        <f>Angela_2025_Chase1117_Activity_!D537</f>
        <v>-41.07</v>
      </c>
    </row>
    <row r="541" spans="1:4" x14ac:dyDescent="0.25">
      <c r="A541" s="26">
        <f>Angela_2025_Chase1117_Activity_!B538</f>
        <v>45947</v>
      </c>
      <c r="B541" s="6" t="str">
        <f>Angela_2025_Chase1117_Activity_!C538</f>
        <v>AMAZON MKTPL*NM8A21U Amzn.com/bill WA        10/17</v>
      </c>
      <c r="C541" s="6" t="str">
        <f>Angela_2025_Chase1117_Activity_!G538</f>
        <v>Amazon</v>
      </c>
      <c r="D541" s="12">
        <f>Angela_2025_Chase1117_Activity_!D538</f>
        <v>-75.959999999999994</v>
      </c>
    </row>
    <row r="542" spans="1:4" x14ac:dyDescent="0.25">
      <c r="A542" s="26">
        <f>Angela_2025_Chase1117_Activity_!B539</f>
        <v>45947</v>
      </c>
      <c r="B542" s="6" t="str">
        <f>Angela_2025_Chase1117_Activity_!C539</f>
        <v>AMAZON MKTPL*NM5CU00 Amzn.com/bill WA        10/17</v>
      </c>
      <c r="C542" s="6" t="str">
        <f>Angela_2025_Chase1117_Activity_!G539</f>
        <v>Amazon</v>
      </c>
      <c r="D542" s="12">
        <f>Angela_2025_Chase1117_Activity_!D539</f>
        <v>-64.989999999999995</v>
      </c>
    </row>
    <row r="543" spans="1:4" x14ac:dyDescent="0.25">
      <c r="A543" s="26">
        <f>Angela_2025_Chase1117_Activity_!B540</f>
        <v>45947</v>
      </c>
      <c r="B543" s="6" t="str">
        <f>Angela_2025_Chase1117_Activity_!C540</f>
        <v>AMAZON MKTPL*NU6E77C Amzn.com/bill WA        10/17</v>
      </c>
      <c r="C543" s="6" t="str">
        <f>Angela_2025_Chase1117_Activity_!G540</f>
        <v>Amazon</v>
      </c>
      <c r="D543" s="12">
        <f>Angela_2025_Chase1117_Activity_!D540</f>
        <v>-32</v>
      </c>
    </row>
    <row r="544" spans="1:4" x14ac:dyDescent="0.25">
      <c r="A544" s="26">
        <f>Angela_2025_Chase1117_Activity_!B541</f>
        <v>45947</v>
      </c>
      <c r="B544" s="6" t="str">
        <f>Angela_2025_Chase1117_Activity_!C541</f>
        <v>AMAZON MKTPL*NM1N88U Amzn.com/bill WA        10/17</v>
      </c>
      <c r="C544" s="6" t="str">
        <f>Angela_2025_Chase1117_Activity_!G541</f>
        <v>Amazon</v>
      </c>
      <c r="D544" s="12">
        <f>Angela_2025_Chase1117_Activity_!D541</f>
        <v>-16.32</v>
      </c>
    </row>
    <row r="545" spans="1:4" x14ac:dyDescent="0.25">
      <c r="A545" s="26">
        <f>Angela_2025_Chase1117_Activity_!B542</f>
        <v>45947</v>
      </c>
      <c r="B545" s="6" t="str">
        <f>Angela_2025_Chase1117_Activity_!C542</f>
        <v>FILM ALLEY - WEATHERFO WEATHERFORD TX        10/16</v>
      </c>
      <c r="C545" s="6" t="str">
        <f>Angela_2025_Chase1117_Activity_!G542</f>
        <v>Personal - Entertainment</v>
      </c>
      <c r="D545" s="12">
        <f>Angela_2025_Chase1117_Activity_!D542</f>
        <v>-24.5</v>
      </c>
    </row>
    <row r="546" spans="1:4" x14ac:dyDescent="0.25">
      <c r="A546" s="26">
        <f>Angela_2025_Chase1117_Activity_!B543</f>
        <v>45947</v>
      </c>
      <c r="B546" s="6" t="str">
        <f>Angela_2025_Chase1117_Activity_!C543</f>
        <v>FANDANGO    * FANDANGO.COM CA                10/16</v>
      </c>
      <c r="C546" s="6" t="str">
        <f>Angela_2025_Chase1117_Activity_!G543</f>
        <v>Personal - Entertainment</v>
      </c>
      <c r="D546" s="12">
        <f>Angela_2025_Chase1117_Activity_!D543</f>
        <v>-47.07</v>
      </c>
    </row>
    <row r="547" spans="1:4" x14ac:dyDescent="0.25">
      <c r="A547" s="26">
        <f>Angela_2025_Chase1117_Activity_!B544</f>
        <v>45947</v>
      </c>
      <c r="B547" s="6" t="str">
        <f>Angela_2025_Chase1117_Activity_!C544</f>
        <v>AMAZON MKTPL*NU9M19C Amzn.com/bill WA        10/17</v>
      </c>
      <c r="C547" s="6" t="str">
        <f>Angela_2025_Chase1117_Activity_!G544</f>
        <v>Amazon</v>
      </c>
      <c r="D547" s="12">
        <f>Angela_2025_Chase1117_Activity_!D544</f>
        <v>-169.37</v>
      </c>
    </row>
    <row r="548" spans="1:4" x14ac:dyDescent="0.25">
      <c r="A548" s="26">
        <f>Angela_2025_Chase1117_Activity_!B545</f>
        <v>45947</v>
      </c>
      <c r="B548" s="6" t="str">
        <f>Angela_2025_Chase1117_Activity_!C545</f>
        <v>AMAZON MKTPL*NM1L58W Amzn.com/bill WA        10/16</v>
      </c>
      <c r="C548" s="6" t="str">
        <f>Angela_2025_Chase1117_Activity_!G545</f>
        <v>Amazon</v>
      </c>
      <c r="D548" s="12">
        <f>Angela_2025_Chase1117_Activity_!D545</f>
        <v>-340.53</v>
      </c>
    </row>
    <row r="549" spans="1:4" x14ac:dyDescent="0.25">
      <c r="A549" s="26">
        <f>Angela_2025_Chase1117_Activity_!B546</f>
        <v>45947</v>
      </c>
      <c r="B549" s="6" t="str">
        <f>Angela_2025_Chase1117_Activity_!C546</f>
        <v>Amazon.com*NM69U7241 Amzn.com/bill WA        10/16</v>
      </c>
      <c r="C549" s="6" t="str">
        <f>Angela_2025_Chase1117_Activity_!G546</f>
        <v>Amazon</v>
      </c>
      <c r="D549" s="12">
        <f>Angela_2025_Chase1117_Activity_!D546</f>
        <v>-132.93</v>
      </c>
    </row>
    <row r="550" spans="1:4" x14ac:dyDescent="0.25">
      <c r="A550" s="26">
        <f>Angela_2025_Chase1117_Activity_!B547</f>
        <v>45947</v>
      </c>
      <c r="B550" s="6" t="str">
        <f>Angela_2025_Chase1117_Activity_!C547</f>
        <v>Zara.com New York NY                         10/17</v>
      </c>
      <c r="C550" s="6" t="str">
        <f>Angela_2025_Chase1117_Activity_!G547</f>
        <v>Personal - Shopping</v>
      </c>
      <c r="D550" s="12">
        <f>Angela_2025_Chase1117_Activity_!D547</f>
        <v>-984.1</v>
      </c>
    </row>
    <row r="551" spans="1:4" x14ac:dyDescent="0.25">
      <c r="A551" s="26">
        <f>Angela_2025_Chase1117_Activity_!B548</f>
        <v>45946</v>
      </c>
      <c r="B551" s="6" t="str">
        <f>Angela_2025_Chase1117_Activity_!C548</f>
        <v>Online Transfer to CHK ...6975 transaction#: 26609835602 10/16</v>
      </c>
      <c r="C551" s="6" t="str">
        <f>Angela_2025_Chase1117_Activity_!G548</f>
        <v>Transfer to Ava</v>
      </c>
      <c r="D551" s="12">
        <f>Angela_2025_Chase1117_Activity_!D548</f>
        <v>-1000</v>
      </c>
    </row>
    <row r="552" spans="1:4" x14ac:dyDescent="0.25">
      <c r="A552" s="26">
        <f>Angela_2025_Chase1117_Activity_!B549</f>
        <v>45946</v>
      </c>
      <c r="B552" s="6" t="str">
        <f>Angela_2025_Chase1117_Activity_!C549</f>
        <v>UBER   * EATS PENDIN SAN FRANCISCO CA083673  10/15</v>
      </c>
      <c r="C552" s="6" t="str">
        <f>Angela_2025_Chase1117_Activity_!G549</f>
        <v>Uber Eats</v>
      </c>
      <c r="D552" s="12">
        <f>Angela_2025_Chase1117_Activity_!D549</f>
        <v>-35.92</v>
      </c>
    </row>
    <row r="553" spans="1:4" x14ac:dyDescent="0.25">
      <c r="A553" s="26">
        <f>Angela_2025_Chase1117_Activity_!B550</f>
        <v>45946</v>
      </c>
      <c r="B553" s="6" t="str">
        <f>Angela_2025_Chase1117_Activity_!C550</f>
        <v>Amazon.com*NM28S9UE0 Amzn.com/bill WA        10/16</v>
      </c>
      <c r="C553" s="6" t="str">
        <f>Angela_2025_Chase1117_Activity_!G550</f>
        <v>Amazon</v>
      </c>
      <c r="D553" s="12">
        <f>Angela_2025_Chase1117_Activity_!D550</f>
        <v>-14.36</v>
      </c>
    </row>
    <row r="554" spans="1:4" x14ac:dyDescent="0.25">
      <c r="A554" s="26">
        <f>Angela_2025_Chase1117_Activity_!B551</f>
        <v>45946</v>
      </c>
      <c r="B554" s="6" t="str">
        <f>Angela_2025_Chase1117_Activity_!C551</f>
        <v>Amazon.com*NM0HN3U50 Amzn.com/bill WA        10/16</v>
      </c>
      <c r="C554" s="6" t="str">
        <f>Angela_2025_Chase1117_Activity_!G551</f>
        <v>Amazon</v>
      </c>
      <c r="D554" s="12">
        <f>Angela_2025_Chase1117_Activity_!D551</f>
        <v>-167.94</v>
      </c>
    </row>
    <row r="555" spans="1:4" x14ac:dyDescent="0.25">
      <c r="A555" s="26">
        <f>Angela_2025_Chase1117_Activity_!B552</f>
        <v>45946</v>
      </c>
      <c r="B555" s="6" t="str">
        <f>Angela_2025_Chase1117_Activity_!C552</f>
        <v>DFW iStore Express Dallas TX                 10/16</v>
      </c>
      <c r="C555" s="6" t="str">
        <f>Angela_2025_Chase1117_Activity_!G552</f>
        <v>Apple</v>
      </c>
      <c r="D555" s="12">
        <f>Angela_2025_Chase1117_Activity_!D552</f>
        <v>-75.75</v>
      </c>
    </row>
    <row r="556" spans="1:4" x14ac:dyDescent="0.25">
      <c r="A556" s="26">
        <f>Angela_2025_Chase1117_Activity_!B553</f>
        <v>45946</v>
      </c>
      <c r="B556" s="6" t="str">
        <f>Angela_2025_Chase1117_Activity_!C553</f>
        <v>TST* CREWS 1972 - LEMO LOS ANGELES CA        10/16</v>
      </c>
      <c r="C556" s="6" t="str">
        <f>Angela_2025_Chase1117_Activity_!G553</f>
        <v>Personal - Food</v>
      </c>
      <c r="D556" s="12">
        <f>Angela_2025_Chase1117_Activity_!D553</f>
        <v>-63.93</v>
      </c>
    </row>
    <row r="557" spans="1:4" x14ac:dyDescent="0.25">
      <c r="A557" s="26">
        <f>Angela_2025_Chase1117_Activity_!B554</f>
        <v>45946</v>
      </c>
      <c r="B557" s="6" t="str">
        <f>Angela_2025_Chase1117_Activity_!C554</f>
        <v>Online Transfer from CHK ...1168 transaction#: 26609843786</v>
      </c>
      <c r="C557" s="6" t="str">
        <f>Angela_2025_Chase1117_Activity_!G554</f>
        <v>Transfer from DWG Capital Group</v>
      </c>
      <c r="D557" s="12">
        <f>Angela_2025_Chase1117_Activity_!D554</f>
        <v>3000</v>
      </c>
    </row>
    <row r="558" spans="1:4" x14ac:dyDescent="0.25">
      <c r="A558" s="26">
        <f>Angela_2025_Chase1117_Activity_!B555</f>
        <v>45946</v>
      </c>
      <c r="B558" s="6" t="str">
        <f>Angela_2025_Chase1117_Activity_!C555</f>
        <v>AMERICAN AIR00183182239 FORT WORTH TX        10/14</v>
      </c>
      <c r="C558" s="6" t="str">
        <f>Angela_2025_Chase1117_Activity_!G555</f>
        <v>Personal Travel</v>
      </c>
      <c r="D558" s="12">
        <f>Angela_2025_Chase1117_Activity_!D555</f>
        <v>45.14</v>
      </c>
    </row>
    <row r="559" spans="1:4" x14ac:dyDescent="0.25">
      <c r="A559" s="26">
        <f>Angela_2025_Chase1117_Activity_!B556</f>
        <v>45946</v>
      </c>
      <c r="B559" s="6" t="str">
        <f>Angela_2025_Chase1117_Activity_!C556</f>
        <v>AMERICAN AIR00183182239 FORT WORTH TX        10/14</v>
      </c>
      <c r="C559" s="6" t="str">
        <f>Angela_2025_Chase1117_Activity_!G556</f>
        <v>Personal Travel</v>
      </c>
      <c r="D559" s="12">
        <f>Angela_2025_Chase1117_Activity_!D556</f>
        <v>45.14</v>
      </c>
    </row>
    <row r="560" spans="1:4" x14ac:dyDescent="0.25">
      <c r="A560" s="26">
        <f>Angela_2025_Chase1117_Activity_!B557</f>
        <v>45945</v>
      </c>
      <c r="B560" s="6" t="str">
        <f>Angela_2025_Chase1117_Activity_!C557</f>
        <v>UBER * EATS PENDING SAN FRANCISCO CA 241937  10/15</v>
      </c>
      <c r="C560" s="6" t="str">
        <f>Angela_2025_Chase1117_Activity_!G557</f>
        <v>Uber Eats</v>
      </c>
      <c r="D560" s="12">
        <f>Angela_2025_Chase1117_Activity_!D557</f>
        <v>-30.77</v>
      </c>
    </row>
    <row r="561" spans="1:4" x14ac:dyDescent="0.25">
      <c r="A561" s="26">
        <f>Angela_2025_Chase1117_Activity_!B558</f>
        <v>45945</v>
      </c>
      <c r="B561" s="6" t="str">
        <f>Angela_2025_Chase1117_Activity_!C558</f>
        <v>AMERICAN AIR00106365943 FORT WORTH TX        10/15</v>
      </c>
      <c r="C561" s="6" t="str">
        <f>Angela_2025_Chase1117_Activity_!G558</f>
        <v>Personal Travel</v>
      </c>
      <c r="D561" s="12">
        <f>Angela_2025_Chase1117_Activity_!D558</f>
        <v>-80.849999999999994</v>
      </c>
    </row>
    <row r="562" spans="1:4" x14ac:dyDescent="0.25">
      <c r="A562" s="26">
        <f>Angela_2025_Chase1117_Activity_!B559</f>
        <v>45945</v>
      </c>
      <c r="B562" s="6" t="str">
        <f>Angela_2025_Chase1117_Activity_!C559</f>
        <v>AMERICAN AIR00106365943 FORT WORTH TX        10/15</v>
      </c>
      <c r="C562" s="6" t="str">
        <f>Angela_2025_Chase1117_Activity_!G559</f>
        <v>Personal Travel</v>
      </c>
      <c r="D562" s="12">
        <f>Angela_2025_Chase1117_Activity_!D559</f>
        <v>-80.849999999999994</v>
      </c>
    </row>
    <row r="563" spans="1:4" x14ac:dyDescent="0.25">
      <c r="A563" s="26">
        <f>Angela_2025_Chase1117_Activity_!B560</f>
        <v>45945</v>
      </c>
      <c r="B563" s="6" t="str">
        <f>Angela_2025_Chase1117_Activity_!C560</f>
        <v>AMERICAN AIR00144739370 FORT WORTH TX        10/15</v>
      </c>
      <c r="C563" s="6" t="str">
        <f>Angela_2025_Chase1117_Activity_!G560</f>
        <v>Personal Travel</v>
      </c>
      <c r="D563" s="12">
        <f>Angela_2025_Chase1117_Activity_!D560</f>
        <v>-35</v>
      </c>
    </row>
    <row r="564" spans="1:4" x14ac:dyDescent="0.25">
      <c r="A564" s="26">
        <f>Angela_2025_Chase1117_Activity_!B561</f>
        <v>45945</v>
      </c>
      <c r="B564" s="6" t="str">
        <f>Angela_2025_Chase1117_Activity_!C561</f>
        <v>AMERICAN AIR00144739370 FORT WORTH TX        10/15</v>
      </c>
      <c r="C564" s="6" t="str">
        <f>Angela_2025_Chase1117_Activity_!G561</f>
        <v>Personal Travel</v>
      </c>
      <c r="D564" s="12">
        <f>Angela_2025_Chase1117_Activity_!D561</f>
        <v>-35</v>
      </c>
    </row>
    <row r="565" spans="1:4" x14ac:dyDescent="0.25">
      <c r="A565" s="26">
        <f>Angela_2025_Chase1117_Activity_!B562</f>
        <v>45945</v>
      </c>
      <c r="B565" s="6" t="str">
        <f>Angela_2025_Chase1117_Activity_!C562</f>
        <v>AMERICAN AIR00144739370 FORT WORTH TX        10/15</v>
      </c>
      <c r="C565" s="6" t="str">
        <f>Angela_2025_Chase1117_Activity_!G562</f>
        <v>Personal Travel</v>
      </c>
      <c r="D565" s="12">
        <f>Angela_2025_Chase1117_Activity_!D562</f>
        <v>-45</v>
      </c>
    </row>
    <row r="566" spans="1:4" x14ac:dyDescent="0.25">
      <c r="A566" s="26">
        <f>Angela_2025_Chase1117_Activity_!B563</f>
        <v>45945</v>
      </c>
      <c r="B566" s="6" t="str">
        <f>Angela_2025_Chase1117_Activity_!C563</f>
        <v>LADOT PARKING CITATIO 866-561-9742 CA        10/15</v>
      </c>
      <c r="C566" s="6" t="str">
        <f>Angela_2025_Chase1117_Activity_!G563</f>
        <v>Personal - Car</v>
      </c>
      <c r="D566" s="12">
        <f>Angela_2025_Chase1117_Activity_!D563</f>
        <v>-47</v>
      </c>
    </row>
    <row r="567" spans="1:4" x14ac:dyDescent="0.25">
      <c r="A567" s="26">
        <f>Angela_2025_Chase1117_Activity_!B564</f>
        <v>45945</v>
      </c>
      <c r="B567" s="6" t="str">
        <f>Angela_2025_Chase1117_Activity_!C564</f>
        <v>Prime Video Channels amzn.com/bill WA        10/14</v>
      </c>
      <c r="C567" s="6" t="str">
        <f>Angela_2025_Chase1117_Activity_!G564</f>
        <v>Amazon</v>
      </c>
      <c r="D567" s="12">
        <f>Angela_2025_Chase1117_Activity_!D564</f>
        <v>-16.989999999999998</v>
      </c>
    </row>
    <row r="568" spans="1:4" x14ac:dyDescent="0.25">
      <c r="A568" s="26">
        <f>Angela_2025_Chase1117_Activity_!B565</f>
        <v>45945</v>
      </c>
      <c r="B568" s="6" t="str">
        <f>Angela_2025_Chase1117_Activity_!C565</f>
        <v>AMAZON PRIME*NF8LX1U Amzn.com/bill WA        10/14</v>
      </c>
      <c r="C568" s="6" t="str">
        <f>Angela_2025_Chase1117_Activity_!G565</f>
        <v>Amazon</v>
      </c>
      <c r="D568" s="12">
        <f>Angela_2025_Chase1117_Activity_!D565</f>
        <v>-16.45</v>
      </c>
    </row>
    <row r="569" spans="1:4" x14ac:dyDescent="0.25">
      <c r="A569" s="26">
        <f>Angela_2025_Chase1117_Activity_!B566</f>
        <v>45945</v>
      </c>
      <c r="B569" s="6" t="str">
        <f>Angela_2025_Chase1117_Activity_!C566</f>
        <v>APPLE.COM/BILL 866-712-7753 CA               10/14</v>
      </c>
      <c r="C569" s="6" t="str">
        <f>Angela_2025_Chase1117_Activity_!G566</f>
        <v>Apple</v>
      </c>
      <c r="D569" s="12">
        <f>Angela_2025_Chase1117_Activity_!D566</f>
        <v>-59.99</v>
      </c>
    </row>
    <row r="570" spans="1:4" x14ac:dyDescent="0.25">
      <c r="A570" s="26">
        <f>Angela_2025_Chase1117_Activity_!B567</f>
        <v>45945</v>
      </c>
      <c r="B570" s="6" t="str">
        <f>Angela_2025_Chase1117_Activity_!C567</f>
        <v>CASABLANCA VENICE CA                         10/13</v>
      </c>
      <c r="C570" s="6" t="str">
        <f>Angela_2025_Chase1117_Activity_!G567</f>
        <v>Personal - Food</v>
      </c>
      <c r="D570" s="12">
        <f>Angela_2025_Chase1117_Activity_!D567</f>
        <v>-140.81</v>
      </c>
    </row>
    <row r="571" spans="1:4" x14ac:dyDescent="0.25">
      <c r="A571" s="26">
        <f>Angela_2025_Chase1117_Activity_!B568</f>
        <v>45945</v>
      </c>
      <c r="B571" s="6" t="str">
        <f>Angela_2025_Chase1117_Activity_!C568</f>
        <v>Zara.com New York NY                         10/15</v>
      </c>
      <c r="C571" s="6" t="str">
        <f>Angela_2025_Chase1117_Activity_!G568</f>
        <v>Personal - Shopping</v>
      </c>
      <c r="D571" s="12">
        <f>Angela_2025_Chase1117_Activity_!D568</f>
        <v>-214.19</v>
      </c>
    </row>
    <row r="572" spans="1:4" x14ac:dyDescent="0.25">
      <c r="A572" s="26">
        <f>Angela_2025_Chase1117_Activity_!B569</f>
        <v>45944</v>
      </c>
      <c r="B572" s="6" t="str">
        <f>Angela_2025_Chase1117_Activity_!C569</f>
        <v>UBER   * EATS PENDIN SAN FRANCISCO CA086110  10/14</v>
      </c>
      <c r="C572" s="6" t="str">
        <f>Angela_2025_Chase1117_Activity_!G569</f>
        <v>Uber Eats</v>
      </c>
      <c r="D572" s="12">
        <f>Angela_2025_Chase1117_Activity_!D569</f>
        <v>-19.920000000000002</v>
      </c>
    </row>
    <row r="573" spans="1:4" x14ac:dyDescent="0.25">
      <c r="A573" s="26">
        <f>Angela_2025_Chase1117_Activity_!B570</f>
        <v>45944</v>
      </c>
      <c r="B573" s="6" t="str">
        <f>Angela_2025_Chase1117_Activity_!C570</f>
        <v>ATM WITHDRAWAL                       006322  10/1412335 VEN</v>
      </c>
      <c r="C573" s="6" t="str">
        <f>Angela_2025_Chase1117_Activity_!G570</f>
        <v>Withdrawal</v>
      </c>
      <c r="D573" s="12">
        <f>Angela_2025_Chase1117_Activity_!D570</f>
        <v>-500</v>
      </c>
    </row>
    <row r="574" spans="1:4" x14ac:dyDescent="0.25">
      <c r="A574" s="26">
        <f>Angela_2025_Chase1117_Activity_!B571</f>
        <v>45944</v>
      </c>
      <c r="B574" s="6" t="str">
        <f>Angela_2025_Chase1117_Activity_!C571</f>
        <v>CVS/PHARMACY #09493 MAR VISTA CA     000345  10/14</v>
      </c>
      <c r="C574" s="6" t="str">
        <f>Angela_2025_Chase1117_Activity_!G571</f>
        <v>Personal - Health</v>
      </c>
      <c r="D574" s="12">
        <f>Angela_2025_Chase1117_Activity_!D571</f>
        <v>-186.27</v>
      </c>
    </row>
    <row r="575" spans="1:4" x14ac:dyDescent="0.25">
      <c r="A575" s="26">
        <f>Angela_2025_Chase1117_Activity_!B572</f>
        <v>45944</v>
      </c>
      <c r="B575" s="6" t="str">
        <f>Angela_2025_Chase1117_Activity_!C572</f>
        <v>Etsy.com*Multiple Shop ETSY.COM NY           10/14</v>
      </c>
      <c r="C575" s="6" t="str">
        <f>Angela_2025_Chase1117_Activity_!G572</f>
        <v>Etsy</v>
      </c>
      <c r="D575" s="12">
        <f>Angela_2025_Chase1117_Activity_!D572</f>
        <v>-98.97</v>
      </c>
    </row>
    <row r="576" spans="1:4" x14ac:dyDescent="0.25">
      <c r="A576" s="26">
        <f>Angela_2025_Chase1117_Activity_!B573</f>
        <v>45944</v>
      </c>
      <c r="B576" s="6" t="str">
        <f>Angela_2025_Chase1117_Activity_!C573</f>
        <v>Etsy.com*GrandmaSassyP ETSY.COM NY           10/14</v>
      </c>
      <c r="C576" s="6" t="str">
        <f>Angela_2025_Chase1117_Activity_!G573</f>
        <v>Etsy</v>
      </c>
      <c r="D576" s="12">
        <f>Angela_2025_Chase1117_Activity_!D573</f>
        <v>-24.3</v>
      </c>
    </row>
    <row r="577" spans="1:4" x14ac:dyDescent="0.25">
      <c r="A577" s="26">
        <f>Angela_2025_Chase1117_Activity_!B574</f>
        <v>45944</v>
      </c>
      <c r="B577" s="6" t="str">
        <f>Angela_2025_Chase1117_Activity_!C574</f>
        <v>UBER * EATS PENDING SAN FRANCISCO CA 989246  10/13</v>
      </c>
      <c r="C577" s="6" t="str">
        <f>Angela_2025_Chase1117_Activity_!G574</f>
        <v>Uber Eats</v>
      </c>
      <c r="D577" s="12">
        <f>Angela_2025_Chase1117_Activity_!D574</f>
        <v>-16.98</v>
      </c>
    </row>
    <row r="578" spans="1:4" x14ac:dyDescent="0.25">
      <c r="A578" s="26">
        <f>Angela_2025_Chase1117_Activity_!B575</f>
        <v>45944</v>
      </c>
      <c r="B578" s="6" t="str">
        <f>Angela_2025_Chase1117_Activity_!C575</f>
        <v>AMAZON MKTPL*NM2ZH2E Amzn.com/bill WA        10/14</v>
      </c>
      <c r="C578" s="6" t="str">
        <f>Angela_2025_Chase1117_Activity_!G575</f>
        <v>Amazon</v>
      </c>
      <c r="D578" s="12">
        <f>Angela_2025_Chase1117_Activity_!D575</f>
        <v>-9.8699999999999992</v>
      </c>
    </row>
    <row r="579" spans="1:4" x14ac:dyDescent="0.25">
      <c r="A579" s="26">
        <f>Angela_2025_Chase1117_Activity_!B576</f>
        <v>45944</v>
      </c>
      <c r="B579" s="6" t="str">
        <f>Angela_2025_Chase1117_Activity_!C576</f>
        <v>AMAZON MKTPL*NF4RN77 Amzn.com/bill WA        10/14</v>
      </c>
      <c r="C579" s="6" t="str">
        <f>Angela_2025_Chase1117_Activity_!G576</f>
        <v>Amazon</v>
      </c>
      <c r="D579" s="12">
        <f>Angela_2025_Chase1117_Activity_!D576</f>
        <v>-32.93</v>
      </c>
    </row>
    <row r="580" spans="1:4" x14ac:dyDescent="0.25">
      <c r="A580" s="26">
        <f>Angela_2025_Chase1117_Activity_!B577</f>
        <v>45944</v>
      </c>
      <c r="B580" s="6" t="str">
        <f>Angela_2025_Chase1117_Activity_!C577</f>
        <v>AMAZON MKTPL*NF7RA27 Amzn.com/bill WA        10/14</v>
      </c>
      <c r="C580" s="6" t="str">
        <f>Angela_2025_Chase1117_Activity_!G577</f>
        <v>Amazon</v>
      </c>
      <c r="D580" s="12">
        <f>Angela_2025_Chase1117_Activity_!D577</f>
        <v>-51.26</v>
      </c>
    </row>
    <row r="581" spans="1:4" x14ac:dyDescent="0.25">
      <c r="A581" s="26">
        <f>Angela_2025_Chase1117_Activity_!B578</f>
        <v>45944</v>
      </c>
      <c r="B581" s="6" t="str">
        <f>Angela_2025_Chase1117_Activity_!C578</f>
        <v>NOVO COFFEE B DENVER CO                      10/12</v>
      </c>
      <c r="C581" s="6" t="str">
        <f>Angela_2025_Chase1117_Activity_!G578</f>
        <v>Personal - Food</v>
      </c>
      <c r="D581" s="12">
        <f>Angela_2025_Chase1117_Activity_!D578</f>
        <v>-20.8</v>
      </c>
    </row>
    <row r="582" spans="1:4" x14ac:dyDescent="0.25">
      <c r="A582" s="26">
        <f>Angela_2025_Chase1117_Activity_!B579</f>
        <v>45944</v>
      </c>
      <c r="B582" s="6" t="str">
        <f>Angela_2025_Chase1117_Activity_!C579</f>
        <v>HOTEL JEROME ASPEN ASPEN CO                  10/12</v>
      </c>
      <c r="C582" s="6" t="str">
        <f>Angela_2025_Chase1117_Activity_!G579</f>
        <v>Personal Travel</v>
      </c>
      <c r="D582" s="12">
        <f>Angela_2025_Chase1117_Activity_!D579</f>
        <v>-33.42</v>
      </c>
    </row>
    <row r="583" spans="1:4" x14ac:dyDescent="0.25">
      <c r="A583" s="26">
        <f>Angela_2025_Chase1117_Activity_!B580</f>
        <v>45944</v>
      </c>
      <c r="B583" s="6" t="str">
        <f>Angela_2025_Chase1117_Activity_!C580</f>
        <v>SQ *BALANCED ROOT APOTH Denver CO            10/12</v>
      </c>
      <c r="C583" s="6" t="str">
        <f>Angela_2025_Chase1117_Activity_!G580</f>
        <v>Personal - Health</v>
      </c>
      <c r="D583" s="12">
        <f>Angela_2025_Chase1117_Activity_!D580</f>
        <v>-40.93</v>
      </c>
    </row>
    <row r="584" spans="1:4" x14ac:dyDescent="0.25">
      <c r="A584" s="26">
        <f>Angela_2025_Chase1117_Activity_!B581</f>
        <v>45944</v>
      </c>
      <c r="B584" s="6" t="str">
        <f>Angela_2025_Chase1117_Activity_!C581</f>
        <v>SQ *BALANCED ROOT APOTH Denver CO            10/12</v>
      </c>
      <c r="C584" s="6" t="str">
        <f>Angela_2025_Chase1117_Activity_!G581</f>
        <v>Personal - Health</v>
      </c>
      <c r="D584" s="12">
        <f>Angela_2025_Chase1117_Activity_!D581</f>
        <v>-49.66</v>
      </c>
    </row>
    <row r="585" spans="1:4" x14ac:dyDescent="0.25">
      <c r="A585" s="26">
        <f>Angela_2025_Chase1117_Activity_!B582</f>
        <v>45944</v>
      </c>
      <c r="B585" s="6" t="str">
        <f>Angela_2025_Chase1117_Activity_!C582</f>
        <v>UNITED      01643374435 UNITED.COM TX        10/11</v>
      </c>
      <c r="C585" s="6" t="str">
        <f>Angela_2025_Chase1117_Activity_!G582</f>
        <v>Personal Travel</v>
      </c>
      <c r="D585" s="12">
        <f>Angela_2025_Chase1117_Activity_!D582</f>
        <v>-40</v>
      </c>
    </row>
    <row r="586" spans="1:4" x14ac:dyDescent="0.25">
      <c r="A586" s="26">
        <f>Angela_2025_Chase1117_Activity_!B583</f>
        <v>45944</v>
      </c>
      <c r="B586" s="6" t="str">
        <f>Angela_2025_Chase1117_Activity_!C583</f>
        <v>UNITED      01643374435 UNITED.COM TX        10/11</v>
      </c>
      <c r="C586" s="6" t="str">
        <f>Angela_2025_Chase1117_Activity_!G583</f>
        <v>Personal Travel</v>
      </c>
      <c r="D586" s="12">
        <f>Angela_2025_Chase1117_Activity_!D583</f>
        <v>-40</v>
      </c>
    </row>
    <row r="587" spans="1:4" x14ac:dyDescent="0.25">
      <c r="A587" s="26">
        <f>Angela_2025_Chase1117_Activity_!B584</f>
        <v>45944</v>
      </c>
      <c r="B587" s="6" t="str">
        <f>Angela_2025_Chase1117_Activity_!C584</f>
        <v>UNITED      01643374435 UNITED.COM TX        10/11</v>
      </c>
      <c r="C587" s="6" t="str">
        <f>Angela_2025_Chase1117_Activity_!G584</f>
        <v>Personal Travel</v>
      </c>
      <c r="D587" s="12">
        <f>Angela_2025_Chase1117_Activity_!D584</f>
        <v>-50</v>
      </c>
    </row>
    <row r="588" spans="1:4" x14ac:dyDescent="0.25">
      <c r="A588" s="26">
        <f>Angela_2025_Chase1117_Activity_!B585</f>
        <v>45944</v>
      </c>
      <c r="B588" s="6" t="str">
        <f>Angela_2025_Chase1117_Activity_!C585</f>
        <v>UBER   * EATS PENDIN SAN FRANCISCO CA136822  10/11</v>
      </c>
      <c r="C588" s="6" t="str">
        <f>Angela_2025_Chase1117_Activity_!G585</f>
        <v>Uber Eats</v>
      </c>
      <c r="D588" s="12">
        <f>Angela_2025_Chase1117_Activity_!D585</f>
        <v>-15.98</v>
      </c>
    </row>
    <row r="589" spans="1:4" x14ac:dyDescent="0.25">
      <c r="A589" s="26">
        <f>Angela_2025_Chase1117_Activity_!B586</f>
        <v>45944</v>
      </c>
      <c r="B589" s="6" t="str">
        <f>Angela_2025_Chase1117_Activity_!C586</f>
        <v>TST*SPRING CAFE - ASPEN Aspen CO             10/11</v>
      </c>
      <c r="C589" s="6" t="str">
        <f>Angela_2025_Chase1117_Activity_!G586</f>
        <v>Personal - Food</v>
      </c>
      <c r="D589" s="12">
        <f>Angela_2025_Chase1117_Activity_!D586</f>
        <v>-145.6</v>
      </c>
    </row>
    <row r="590" spans="1:4" x14ac:dyDescent="0.25">
      <c r="A590" s="26">
        <f>Angela_2025_Chase1117_Activity_!B587</f>
        <v>45944</v>
      </c>
      <c r="B590" s="6" t="str">
        <f>Angela_2025_Chase1117_Activity_!C587</f>
        <v>HOTEL JEROME ASPEN ASPEN CO                  10/12</v>
      </c>
      <c r="C590" s="6" t="str">
        <f>Angela_2025_Chase1117_Activity_!G587</f>
        <v>Personal Travel</v>
      </c>
      <c r="D590" s="12">
        <f>Angela_2025_Chase1117_Activity_!D587</f>
        <v>-593.26</v>
      </c>
    </row>
    <row r="591" spans="1:4" x14ac:dyDescent="0.25">
      <c r="A591" s="26">
        <f>Angela_2025_Chase1117_Activity_!B588</f>
        <v>45944</v>
      </c>
      <c r="B591" s="6" t="str">
        <f>Angela_2025_Chase1117_Activity_!C588</f>
        <v>SQ *BALANCED ROOT APOTH Denver CO            10/10</v>
      </c>
      <c r="C591" s="6" t="str">
        <f>Angela_2025_Chase1117_Activity_!G588</f>
        <v>Personal - Health</v>
      </c>
      <c r="D591" s="12">
        <f>Angela_2025_Chase1117_Activity_!D588</f>
        <v>-40.93</v>
      </c>
    </row>
    <row r="592" spans="1:4" x14ac:dyDescent="0.25">
      <c r="A592" s="26">
        <f>Angela_2025_Chase1117_Activity_!B589</f>
        <v>45944</v>
      </c>
      <c r="B592" s="6" t="str">
        <f>Angela_2025_Chase1117_Activity_!C589</f>
        <v>SQ *THE CORNER BEET Denver CO                10/10</v>
      </c>
      <c r="C592" s="6" t="str">
        <f>Angela_2025_Chase1117_Activity_!G589</f>
        <v>Personal - Food</v>
      </c>
      <c r="D592" s="12">
        <f>Angela_2025_Chase1117_Activity_!D589</f>
        <v>-143.9</v>
      </c>
    </row>
    <row r="593" spans="1:4" x14ac:dyDescent="0.25">
      <c r="A593" s="26">
        <f>Angela_2025_Chase1117_Activity_!B590</f>
        <v>45944</v>
      </c>
      <c r="B593" s="6" t="str">
        <f>Angela_2025_Chase1117_Activity_!C590</f>
        <v>POPULUS HOTEL DENVER CO                      10/10</v>
      </c>
      <c r="C593" s="6" t="str">
        <f>Angela_2025_Chase1117_Activity_!G590</f>
        <v>Personal Travel</v>
      </c>
      <c r="D593" s="12">
        <f>Angela_2025_Chase1117_Activity_!D590</f>
        <v>-2152.66</v>
      </c>
    </row>
    <row r="594" spans="1:4" x14ac:dyDescent="0.25">
      <c r="A594" s="26">
        <f>Angela_2025_Chase1117_Activity_!B591</f>
        <v>45944</v>
      </c>
      <c r="B594" s="6" t="str">
        <f>Angela_2025_Chase1117_Activity_!C591</f>
        <v>Online Transfer from CHK ...1168 transaction#: 26583611322</v>
      </c>
      <c r="C594" s="6" t="str">
        <f>Angela_2025_Chase1117_Activity_!G591</f>
        <v>Transfer from DWG Capital Group</v>
      </c>
      <c r="D594" s="12">
        <f>Angela_2025_Chase1117_Activity_!D591</f>
        <v>2000</v>
      </c>
    </row>
    <row r="595" spans="1:4" x14ac:dyDescent="0.25">
      <c r="A595" s="26">
        <f>Angela_2025_Chase1117_Activity_!B592</f>
        <v>45944</v>
      </c>
      <c r="B595" s="6" t="str">
        <f>Angela_2025_Chase1117_Activity_!C592</f>
        <v>Online Transfer from CHK ...1168 transaction#: 26575731814</v>
      </c>
      <c r="C595" s="6" t="str">
        <f>Angela_2025_Chase1117_Activity_!G592</f>
        <v>Transfer from DWG Capital Group</v>
      </c>
      <c r="D595" s="12">
        <f>Angela_2025_Chase1117_Activity_!D592</f>
        <v>2000</v>
      </c>
    </row>
    <row r="596" spans="1:4" x14ac:dyDescent="0.25">
      <c r="A596" s="26">
        <f>Angela_2025_Chase1117_Activity_!B593</f>
        <v>45940</v>
      </c>
      <c r="B596" s="6" t="str">
        <f>Angela_2025_Chase1117_Activity_!C593</f>
        <v>WALGREENS STORE 15 SUN AVON CO       734195  10/10</v>
      </c>
      <c r="C596" s="6" t="str">
        <f>Angela_2025_Chase1117_Activity_!G593</f>
        <v>Personal - Health</v>
      </c>
      <c r="D596" s="12">
        <f>Angela_2025_Chase1117_Activity_!D593</f>
        <v>-32.86</v>
      </c>
    </row>
    <row r="597" spans="1:4" x14ac:dyDescent="0.25">
      <c r="A597" s="26">
        <f>Angela_2025_Chase1117_Activity_!B594</f>
        <v>45940</v>
      </c>
      <c r="B597" s="6" t="str">
        <f>Angela_2025_Chase1117_Activity_!C594</f>
        <v>UBER   * EATS PENDIN SAN FRANCISCO CA083424  10/10</v>
      </c>
      <c r="C597" s="6" t="str">
        <f>Angela_2025_Chase1117_Activity_!G594</f>
        <v>Uber Eats</v>
      </c>
      <c r="D597" s="12">
        <f>Angela_2025_Chase1117_Activity_!D594</f>
        <v>-18.93</v>
      </c>
    </row>
    <row r="598" spans="1:4" x14ac:dyDescent="0.25">
      <c r="A598" s="26">
        <f>Angela_2025_Chase1117_Activity_!B595</f>
        <v>45940</v>
      </c>
      <c r="B598" s="6" t="str">
        <f>Angela_2025_Chase1117_Activity_!C595</f>
        <v>DENVER ARTS COMPLEX GA DENVER CO             10/10</v>
      </c>
      <c r="C598" s="6" t="str">
        <f>Angela_2025_Chase1117_Activity_!G595</f>
        <v>Personal - Entertainment</v>
      </c>
      <c r="D598" s="12">
        <f>Angela_2025_Chase1117_Activity_!D595</f>
        <v>-17</v>
      </c>
    </row>
    <row r="599" spans="1:4" x14ac:dyDescent="0.25">
      <c r="A599" s="26">
        <f>Angela_2025_Chase1117_Activity_!B596</f>
        <v>45940</v>
      </c>
      <c r="B599" s="6" t="str">
        <f>Angela_2025_Chase1117_Activity_!C596</f>
        <v>APPLE.COM/BILL 866-712-7753 CA               10/10</v>
      </c>
      <c r="C599" s="6" t="str">
        <f>Angela_2025_Chase1117_Activity_!G596</f>
        <v>Apple</v>
      </c>
      <c r="D599" s="12">
        <f>Angela_2025_Chase1117_Activity_!D596</f>
        <v>-12.99</v>
      </c>
    </row>
    <row r="600" spans="1:4" x14ac:dyDescent="0.25">
      <c r="A600" s="26">
        <f>Angela_2025_Chase1117_Activity_!B597</f>
        <v>45940</v>
      </c>
      <c r="B600" s="6" t="str">
        <f>Angela_2025_Chase1117_Activity_!C597</f>
        <v>SQ *BALANCED ROOT APOTH Denver CO            10/09</v>
      </c>
      <c r="C600" s="6" t="str">
        <f>Angela_2025_Chase1117_Activity_!G597</f>
        <v>Personal - Health</v>
      </c>
      <c r="D600" s="12">
        <f>Angela_2025_Chase1117_Activity_!D597</f>
        <v>-145.16999999999999</v>
      </c>
    </row>
    <row r="601" spans="1:4" x14ac:dyDescent="0.25">
      <c r="A601" s="26">
        <f>Angela_2025_Chase1117_Activity_!B598</f>
        <v>45940</v>
      </c>
      <c r="B601" s="6" t="str">
        <f>Angela_2025_Chase1117_Activity_!C598</f>
        <v>Amazon Tips*NF9IL9P6 Amzn.com/bill WA        10/09</v>
      </c>
      <c r="C601" s="6" t="str">
        <f>Angela_2025_Chase1117_Activity_!G598</f>
        <v>Amazon</v>
      </c>
      <c r="D601" s="12">
        <f>Angela_2025_Chase1117_Activity_!D598</f>
        <v>-20</v>
      </c>
    </row>
    <row r="602" spans="1:4" x14ac:dyDescent="0.25">
      <c r="A602" s="26">
        <f>Angela_2025_Chase1117_Activity_!B599</f>
        <v>45939</v>
      </c>
      <c r="B602" s="6" t="str">
        <f>Angela_2025_Chase1117_Activity_!C599</f>
        <v>UBER * EATS PENDING SAN FRANCISCO CA 505728  10/09</v>
      </c>
      <c r="C602" s="6" t="str">
        <f>Angela_2025_Chase1117_Activity_!G599</f>
        <v>Uber Eats</v>
      </c>
      <c r="D602" s="12">
        <f>Angela_2025_Chase1117_Activity_!D599</f>
        <v>-133.82</v>
      </c>
    </row>
    <row r="603" spans="1:4" x14ac:dyDescent="0.25">
      <c r="A603" s="26">
        <f>Angela_2025_Chase1117_Activity_!B600</f>
        <v>45939</v>
      </c>
      <c r="B603" s="6" t="str">
        <f>Angela_2025_Chase1117_Activity_!C600</f>
        <v>CHECK 8700  10/09</v>
      </c>
      <c r="C603" s="6" t="str">
        <f>Angela_2025_Chase1117_Activity_!G600</f>
        <v>Checks Paid</v>
      </c>
      <c r="D603" s="12">
        <f>Angela_2025_Chase1117_Activity_!D600</f>
        <v>-500</v>
      </c>
    </row>
    <row r="604" spans="1:4" x14ac:dyDescent="0.25">
      <c r="A604" s="26">
        <f>Angela_2025_Chase1117_Activity_!B601</f>
        <v>45939</v>
      </c>
      <c r="B604" s="6" t="str">
        <f>Angela_2025_Chase1117_Activity_!C601</f>
        <v>Online Transfer to CHK ...6975 transaction#: 26525867156 10/09</v>
      </c>
      <c r="C604" s="6" t="str">
        <f>Angela_2025_Chase1117_Activity_!G601</f>
        <v>Transfer to Ava</v>
      </c>
      <c r="D604" s="12">
        <f>Angela_2025_Chase1117_Activity_!D601</f>
        <v>-200</v>
      </c>
    </row>
    <row r="605" spans="1:4" x14ac:dyDescent="0.25">
      <c r="A605" s="26">
        <f>Angela_2025_Chase1117_Activity_!B602</f>
        <v>45939</v>
      </c>
      <c r="B605" s="6" t="str">
        <f>Angela_2025_Chase1117_Activity_!C602</f>
        <v>UBER * EATS PENDING SAN FRANCISCO CA 399394  10/08</v>
      </c>
      <c r="C605" s="6" t="str">
        <f>Angela_2025_Chase1117_Activity_!G602</f>
        <v>Uber Eats</v>
      </c>
      <c r="D605" s="12">
        <f>Angela_2025_Chase1117_Activity_!D602</f>
        <v>-51.51</v>
      </c>
    </row>
    <row r="606" spans="1:4" x14ac:dyDescent="0.25">
      <c r="A606" s="26">
        <f>Angela_2025_Chase1117_Activity_!B603</f>
        <v>45939</v>
      </c>
      <c r="B606" s="6" t="str">
        <f>Angela_2025_Chase1117_Activity_!C603</f>
        <v>Amazon.com*NV04M3SZ2 Amzn.com/bill WA        10/08</v>
      </c>
      <c r="C606" s="6" t="str">
        <f>Angela_2025_Chase1117_Activity_!G603</f>
        <v>Amazon</v>
      </c>
      <c r="D606" s="12">
        <f>Angela_2025_Chase1117_Activity_!D603</f>
        <v>-46.38</v>
      </c>
    </row>
    <row r="607" spans="1:4" x14ac:dyDescent="0.25">
      <c r="A607" s="26">
        <f>Angela_2025_Chase1117_Activity_!B604</f>
        <v>45939</v>
      </c>
      <c r="B607" s="6" t="str">
        <f>Angela_2025_Chase1117_Activity_!C604</f>
        <v>Online Transfer from CHK ...1168 transaction#: 26525916775</v>
      </c>
      <c r="C607" s="6" t="str">
        <f>Angela_2025_Chase1117_Activity_!G604</f>
        <v>Transfer from DWG Capital Group</v>
      </c>
      <c r="D607" s="12">
        <f>Angela_2025_Chase1117_Activity_!D604</f>
        <v>1000</v>
      </c>
    </row>
    <row r="608" spans="1:4" x14ac:dyDescent="0.25">
      <c r="A608" s="26">
        <f>Angela_2025_Chase1117_Activity_!B605</f>
        <v>45939</v>
      </c>
      <c r="B608" s="6" t="str">
        <f>Angela_2025_Chase1117_Activity_!C605</f>
        <v>Online Transfer from CHK ...1168 transaction#: 26525858310</v>
      </c>
      <c r="C608" s="6" t="str">
        <f>Angela_2025_Chase1117_Activity_!G605</f>
        <v>Transfer from DWG Capital Group</v>
      </c>
      <c r="D608" s="12">
        <f>Angela_2025_Chase1117_Activity_!D605</f>
        <v>3000</v>
      </c>
    </row>
    <row r="609" spans="1:4" x14ac:dyDescent="0.25">
      <c r="A609" s="26">
        <f>Angela_2025_Chase1117_Activity_!B606</f>
        <v>45938</v>
      </c>
      <c r="B609" s="6" t="str">
        <f>Angela_2025_Chase1117_Activity_!C606</f>
        <v>APPLE COM BILL CUPERTINO CA          588964  10/08</v>
      </c>
      <c r="C609" s="6" t="str">
        <f>Angela_2025_Chase1117_Activity_!G606</f>
        <v>Apple</v>
      </c>
      <c r="D609" s="12">
        <f>Angela_2025_Chase1117_Activity_!D606</f>
        <v>-6.99</v>
      </c>
    </row>
    <row r="610" spans="1:4" x14ac:dyDescent="0.25">
      <c r="A610" s="26">
        <f>Angela_2025_Chase1117_Activity_!B607</f>
        <v>45938</v>
      </c>
      <c r="B610" s="6" t="str">
        <f>Angela_2025_Chase1117_Activity_!C607</f>
        <v>UBER   * EATS PENDIN SAN FRANCISCO CA149495  10/07</v>
      </c>
      <c r="C610" s="6" t="str">
        <f>Angela_2025_Chase1117_Activity_!G607</f>
        <v>Uber Eats</v>
      </c>
      <c r="D610" s="12">
        <f>Angela_2025_Chase1117_Activity_!D607</f>
        <v>-53.86</v>
      </c>
    </row>
    <row r="611" spans="1:4" x14ac:dyDescent="0.25">
      <c r="A611" s="26">
        <f>Angela_2025_Chase1117_Activity_!B608</f>
        <v>45938</v>
      </c>
      <c r="B611" s="6" t="str">
        <f>Angela_2025_Chase1117_Activity_!C608</f>
        <v>UNITED      01643363772 UNITED.COM TX        10/07</v>
      </c>
      <c r="C611" s="6" t="str">
        <f>Angela_2025_Chase1117_Activity_!G608</f>
        <v>Personal Travel</v>
      </c>
      <c r="D611" s="12">
        <f>Angela_2025_Chase1117_Activity_!D608</f>
        <v>-50</v>
      </c>
    </row>
    <row r="612" spans="1:4" x14ac:dyDescent="0.25">
      <c r="A612" s="26">
        <f>Angela_2025_Chase1117_Activity_!B609</f>
        <v>45938</v>
      </c>
      <c r="B612" s="6" t="str">
        <f>Angela_2025_Chase1117_Activity_!C609</f>
        <v>Prime Video Channels amzn.com/bill WA        10/07</v>
      </c>
      <c r="C612" s="6" t="str">
        <f>Angela_2025_Chase1117_Activity_!G609</f>
        <v>Amazon</v>
      </c>
      <c r="D612" s="12">
        <f>Angela_2025_Chase1117_Activity_!D609</f>
        <v>-13.99</v>
      </c>
    </row>
    <row r="613" spans="1:4" x14ac:dyDescent="0.25">
      <c r="A613" s="26">
        <f>Angela_2025_Chase1117_Activity_!B610</f>
        <v>45938</v>
      </c>
      <c r="B613" s="6" t="str">
        <f>Angela_2025_Chase1117_Activity_!C610</f>
        <v>PAVILIONS #2105 MARINA DEL RE CA             10/07</v>
      </c>
      <c r="C613" s="6" t="str">
        <f>Angela_2025_Chase1117_Activity_!G610</f>
        <v>Personal - Food</v>
      </c>
      <c r="D613" s="12">
        <f>Angela_2025_Chase1117_Activity_!D610</f>
        <v>-187.06</v>
      </c>
    </row>
    <row r="614" spans="1:4" x14ac:dyDescent="0.25">
      <c r="A614" s="26">
        <f>Angela_2025_Chase1117_Activity_!B611</f>
        <v>45937</v>
      </c>
      <c r="B614" s="6" t="str">
        <f>Angela_2025_Chase1117_Activity_!C611</f>
        <v>ATM WITHDRAWAL                       005043  10/0712335 VEN</v>
      </c>
      <c r="C614" s="6" t="str">
        <f>Angela_2025_Chase1117_Activity_!G611</f>
        <v>Withdrawal</v>
      </c>
      <c r="D614" s="12">
        <f>Angela_2025_Chase1117_Activity_!D611</f>
        <v>-500</v>
      </c>
    </row>
    <row r="615" spans="1:4" x14ac:dyDescent="0.25">
      <c r="A615" s="26">
        <f>Angela_2025_Chase1117_Activity_!B612</f>
        <v>45937</v>
      </c>
      <c r="B615" s="6" t="str">
        <f>Angela_2025_Chase1117_Activity_!C612</f>
        <v>RAINBOW ACRES LOS ANGELES CA         210998  10/07</v>
      </c>
      <c r="C615" s="6" t="str">
        <f>Angela_2025_Chase1117_Activity_!G612</f>
        <v>Personal - Misc</v>
      </c>
      <c r="D615" s="12">
        <f>Angela_2025_Chase1117_Activity_!D612</f>
        <v>-323.60000000000002</v>
      </c>
    </row>
    <row r="616" spans="1:4" x14ac:dyDescent="0.25">
      <c r="A616" s="26">
        <f>Angela_2025_Chase1117_Activity_!B613</f>
        <v>45937</v>
      </c>
      <c r="B616" s="6" t="str">
        <f>Angela_2025_Chase1117_Activity_!C613</f>
        <v>AMAZON MKTPL*NV6J63X Amzn.com/bill WA        10/07</v>
      </c>
      <c r="C616" s="6" t="str">
        <f>Angela_2025_Chase1117_Activity_!G613</f>
        <v>Amazon</v>
      </c>
      <c r="D616" s="12">
        <f>Angela_2025_Chase1117_Activity_!D613</f>
        <v>-46.15</v>
      </c>
    </row>
    <row r="617" spans="1:4" x14ac:dyDescent="0.25">
      <c r="A617" s="26">
        <f>Angela_2025_Chase1117_Activity_!B614</f>
        <v>45937</v>
      </c>
      <c r="B617" s="6" t="str">
        <f>Angela_2025_Chase1117_Activity_!C614</f>
        <v>AMAZON MKTPL*NV4OC59 Amzn.com/bill WA        10/07</v>
      </c>
      <c r="C617" s="6" t="str">
        <f>Angela_2025_Chase1117_Activity_!G614</f>
        <v>Amazon</v>
      </c>
      <c r="D617" s="12">
        <f>Angela_2025_Chase1117_Activity_!D614</f>
        <v>-12.74</v>
      </c>
    </row>
    <row r="618" spans="1:4" x14ac:dyDescent="0.25">
      <c r="A618" s="26">
        <f>Angela_2025_Chase1117_Activity_!B615</f>
        <v>45937</v>
      </c>
      <c r="B618" s="6" t="str">
        <f>Angela_2025_Chase1117_Activity_!C615</f>
        <v>UBER *EATS SAN FRANCISCO CA          676356  10/06</v>
      </c>
      <c r="C618" s="6" t="str">
        <f>Angela_2025_Chase1117_Activity_!G615</f>
        <v>Uber Eats</v>
      </c>
      <c r="D618" s="12">
        <f>Angela_2025_Chase1117_Activity_!D615</f>
        <v>-6.91</v>
      </c>
    </row>
    <row r="619" spans="1:4" x14ac:dyDescent="0.25">
      <c r="A619" s="26">
        <f>Angela_2025_Chase1117_Activity_!B616</f>
        <v>45937</v>
      </c>
      <c r="B619" s="6" t="str">
        <f>Angela_2025_Chase1117_Activity_!C616</f>
        <v>AMAZON MKTPL*NV8R759 Amzn.com/bill WA        10/07</v>
      </c>
      <c r="C619" s="6" t="str">
        <f>Angela_2025_Chase1117_Activity_!G616</f>
        <v>Amazon</v>
      </c>
      <c r="D619" s="12">
        <f>Angela_2025_Chase1117_Activity_!D616</f>
        <v>-169.73</v>
      </c>
    </row>
    <row r="620" spans="1:4" x14ac:dyDescent="0.25">
      <c r="A620" s="26">
        <f>Angela_2025_Chase1117_Activity_!B617</f>
        <v>45937</v>
      </c>
      <c r="B620" s="6" t="str">
        <f>Angela_2025_Chase1117_Activity_!C617</f>
        <v>AMAZON MKTPL*NV5ZC3S Amzn.com/bill WA        10/06</v>
      </c>
      <c r="C620" s="6" t="str">
        <f>Angela_2025_Chase1117_Activity_!G617</f>
        <v>Amazon</v>
      </c>
      <c r="D620" s="12">
        <f>Angela_2025_Chase1117_Activity_!D617</f>
        <v>-174.75</v>
      </c>
    </row>
    <row r="621" spans="1:4" x14ac:dyDescent="0.25">
      <c r="A621" s="26">
        <f>Angela_2025_Chase1117_Activity_!B618</f>
        <v>45937</v>
      </c>
      <c r="B621" s="6" t="str">
        <f>Angela_2025_Chase1117_Activity_!C618</f>
        <v>AMAZON MKTPL*NF2N023 Amzn.com/bill WA        10/06</v>
      </c>
      <c r="C621" s="6" t="str">
        <f>Angela_2025_Chase1117_Activity_!G618</f>
        <v>Amazon</v>
      </c>
      <c r="D621" s="12">
        <f>Angela_2025_Chase1117_Activity_!D618</f>
        <v>-59.22</v>
      </c>
    </row>
    <row r="622" spans="1:4" x14ac:dyDescent="0.25">
      <c r="A622" s="26">
        <f>Angela_2025_Chase1117_Activity_!B619</f>
        <v>45937</v>
      </c>
      <c r="B622" s="6" t="str">
        <f>Angela_2025_Chase1117_Activity_!C619</f>
        <v>Zara.com/USA 855-6359272 NY                  10/06</v>
      </c>
      <c r="C622" s="6" t="str">
        <f>Angela_2025_Chase1117_Activity_!G619</f>
        <v>Personal - Shopping</v>
      </c>
      <c r="D622" s="12">
        <f>Angela_2025_Chase1117_Activity_!D619</f>
        <v>-147.02000000000001</v>
      </c>
    </row>
    <row r="623" spans="1:4" x14ac:dyDescent="0.25">
      <c r="A623" s="26">
        <f>Angela_2025_Chase1117_Activity_!B620</f>
        <v>45937</v>
      </c>
      <c r="B623" s="6" t="str">
        <f>Angela_2025_Chase1117_Activity_!C620</f>
        <v>WORLD MARKET ECOMM https://www.f CA          10/06</v>
      </c>
      <c r="C623" s="6" t="str">
        <f>Angela_2025_Chase1117_Activity_!G620</f>
        <v>Personal - Shopping</v>
      </c>
      <c r="D623" s="12">
        <f>Angela_2025_Chase1117_Activity_!D620</f>
        <v>-139.66</v>
      </c>
    </row>
    <row r="624" spans="1:4" x14ac:dyDescent="0.25">
      <c r="A624" s="26">
        <f>Angela_2025_Chase1117_Activity_!B621</f>
        <v>45937</v>
      </c>
      <c r="B624" s="6" t="str">
        <f>Angela_2025_Chase1117_Activity_!C621</f>
        <v>ATM CHECK DEPOSIT 10/07 12335 VENICE BLVD LOS ANGELES CA</v>
      </c>
      <c r="C624" s="6" t="str">
        <f>Angela_2025_Chase1117_Activity_!G621</f>
        <v>Deposit</v>
      </c>
      <c r="D624" s="12">
        <f>Angela_2025_Chase1117_Activity_!D621</f>
        <v>1225</v>
      </c>
    </row>
    <row r="625" spans="1:4" x14ac:dyDescent="0.25">
      <c r="A625" s="26">
        <f>Angela_2025_Chase1117_Activity_!B622</f>
        <v>45936</v>
      </c>
      <c r="B625" s="6" t="str">
        <f>Angela_2025_Chase1117_Activity_!C622</f>
        <v>UBER   * EATS PENDIN SAN FRANCISCO CA149345  10/06</v>
      </c>
      <c r="C625" s="6" t="str">
        <f>Angela_2025_Chase1117_Activity_!G622</f>
        <v>Uber Eats</v>
      </c>
      <c r="D625" s="12">
        <f>Angela_2025_Chase1117_Activity_!D622</f>
        <v>-68.64</v>
      </c>
    </row>
    <row r="626" spans="1:4" x14ac:dyDescent="0.25">
      <c r="A626" s="26">
        <f>Angela_2025_Chase1117_Activity_!B623</f>
        <v>45936</v>
      </c>
      <c r="B626" s="6" t="str">
        <f>Angela_2025_Chase1117_Activity_!C623</f>
        <v>ETSY ETSY.COM*MULTIPLE BROOKLYN NY   146508  10/06</v>
      </c>
      <c r="C626" s="6" t="str">
        <f>Angela_2025_Chase1117_Activity_!G623</f>
        <v>Etsy</v>
      </c>
      <c r="D626" s="12">
        <f>Angela_2025_Chase1117_Activity_!D623</f>
        <v>-291.88</v>
      </c>
    </row>
    <row r="627" spans="1:4" x14ac:dyDescent="0.25">
      <c r="A627" s="26">
        <f>Angela_2025_Chase1117_Activity_!B624</f>
        <v>45936</v>
      </c>
      <c r="B627" s="6" t="str">
        <f>Angela_2025_Chase1117_Activity_!C624</f>
        <v>GOOGLE *YouTubePremi g.co/helppay# CA        10/06</v>
      </c>
      <c r="C627" s="6" t="str">
        <f>Angela_2025_Chase1117_Activity_!G624</f>
        <v>YouTube Premium</v>
      </c>
      <c r="D627" s="12">
        <f>Angela_2025_Chase1117_Activity_!D624</f>
        <v>-13.99</v>
      </c>
    </row>
    <row r="628" spans="1:4" x14ac:dyDescent="0.25">
      <c r="A628" s="26">
        <f>Angela_2025_Chase1117_Activity_!B625</f>
        <v>45936</v>
      </c>
      <c r="B628" s="6" t="str">
        <f>Angela_2025_Chase1117_Activity_!C625</f>
        <v>AMAZON MKTPL*NV32K36 Amzn.com/bill WA        10/06</v>
      </c>
      <c r="C628" s="6" t="str">
        <f>Angela_2025_Chase1117_Activity_!G625</f>
        <v>Amazon</v>
      </c>
      <c r="D628" s="12">
        <f>Angela_2025_Chase1117_Activity_!D625</f>
        <v>-40.47</v>
      </c>
    </row>
    <row r="629" spans="1:4" x14ac:dyDescent="0.25">
      <c r="A629" s="26">
        <f>Angela_2025_Chase1117_Activity_!B626</f>
        <v>45936</v>
      </c>
      <c r="B629" s="6" t="str">
        <f>Angela_2025_Chase1117_Activity_!C626</f>
        <v>Amazon.com*NV9LS9AH2 Amzn.com/bill WA        10/06</v>
      </c>
      <c r="C629" s="6" t="str">
        <f>Angela_2025_Chase1117_Activity_!G626</f>
        <v>Amazon</v>
      </c>
      <c r="D629" s="12">
        <f>Angela_2025_Chase1117_Activity_!D626</f>
        <v>-0.28000000000000003</v>
      </c>
    </row>
    <row r="630" spans="1:4" x14ac:dyDescent="0.25">
      <c r="A630" s="26">
        <f>Angela_2025_Chase1117_Activity_!B627</f>
        <v>45936</v>
      </c>
      <c r="B630" s="6" t="str">
        <f>Angela_2025_Chase1117_Activity_!C627</f>
        <v>PSYCHOLOGY TODAY PSYCHOLOGYTOD SD            10/06</v>
      </c>
      <c r="C630" s="6" t="str">
        <f>Angela_2025_Chase1117_Activity_!G627</f>
        <v>Personal - Subscription</v>
      </c>
      <c r="D630" s="12">
        <f>Angela_2025_Chase1117_Activity_!D627</f>
        <v>-29.95</v>
      </c>
    </row>
    <row r="631" spans="1:4" x14ac:dyDescent="0.25">
      <c r="A631" s="26">
        <f>Angela_2025_Chase1117_Activity_!B628</f>
        <v>45936</v>
      </c>
      <c r="B631" s="6" t="str">
        <f>Angela_2025_Chase1117_Activity_!C628</f>
        <v>ELEVENLABS.IO ELEVENLABS.IO NY               10/06</v>
      </c>
      <c r="C631" s="6" t="str">
        <f>Angela_2025_Chase1117_Activity_!G628</f>
        <v>Personal - Subscription</v>
      </c>
      <c r="D631" s="12">
        <f>Angela_2025_Chase1117_Activity_!D628</f>
        <v>-22</v>
      </c>
    </row>
    <row r="632" spans="1:4" x14ac:dyDescent="0.25">
      <c r="A632" s="26">
        <f>Angela_2025_Chase1117_Activity_!B629</f>
        <v>45936</v>
      </c>
      <c r="B632" s="6" t="str">
        <f>Angela_2025_Chase1117_Activity_!C629</f>
        <v>eBay O*22-13645-53506 San Jose CA            10/05</v>
      </c>
      <c r="C632" s="6" t="str">
        <f>Angela_2025_Chase1117_Activity_!G629</f>
        <v>Personal - Shopping</v>
      </c>
      <c r="D632" s="12">
        <f>Angela_2025_Chase1117_Activity_!D629</f>
        <v>-230.27</v>
      </c>
    </row>
    <row r="633" spans="1:4" x14ac:dyDescent="0.25">
      <c r="A633" s="26">
        <f>Angela_2025_Chase1117_Activity_!B630</f>
        <v>45936</v>
      </c>
      <c r="B633" s="6" t="str">
        <f>Angela_2025_Chase1117_Activity_!C630</f>
        <v>THE HOME DEPOT #6611 LOS ANGELES CA  658482  10/04</v>
      </c>
      <c r="C633" s="6" t="str">
        <f>Angela_2025_Chase1117_Activity_!G630</f>
        <v>Personal - Shopping</v>
      </c>
      <c r="D633" s="12">
        <f>Angela_2025_Chase1117_Activity_!D630</f>
        <v>-53.09</v>
      </c>
    </row>
    <row r="634" spans="1:4" x14ac:dyDescent="0.25">
      <c r="A634" s="26">
        <f>Angela_2025_Chase1117_Activity_!B631</f>
        <v>45936</v>
      </c>
      <c r="B634" s="6" t="str">
        <f>Angela_2025_Chase1117_Activity_!C631</f>
        <v>COFFEE BEAN &amp; TEA SANTA MONICA CA            10/04</v>
      </c>
      <c r="C634" s="6" t="str">
        <f>Angela_2025_Chase1117_Activity_!G631</f>
        <v>Personal - Food</v>
      </c>
      <c r="D634" s="12">
        <f>Angela_2025_Chase1117_Activity_!D631</f>
        <v>-13.7</v>
      </c>
    </row>
    <row r="635" spans="1:4" x14ac:dyDescent="0.25">
      <c r="A635" s="26">
        <f>Angela_2025_Chase1117_Activity_!B632</f>
        <v>45936</v>
      </c>
      <c r="B635" s="6" t="str">
        <f>Angela_2025_Chase1117_Activity_!C632</f>
        <v>FANDANGO    * FANDANGO.COM CA                10/05</v>
      </c>
      <c r="C635" s="6" t="str">
        <f>Angela_2025_Chase1117_Activity_!G632</f>
        <v>Personal - Entertainment</v>
      </c>
      <c r="D635" s="12">
        <f>Angela_2025_Chase1117_Activity_!D632</f>
        <v>-40.36</v>
      </c>
    </row>
    <row r="636" spans="1:4" x14ac:dyDescent="0.25">
      <c r="A636" s="26">
        <f>Angela_2025_Chase1117_Activity_!B633</f>
        <v>45936</v>
      </c>
      <c r="B636" s="6" t="str">
        <f>Angela_2025_Chase1117_Activity_!C633</f>
        <v>SP JEFFREYCAMPBELL JEFFREYCAMPBE CA          10/04</v>
      </c>
      <c r="C636" s="6" t="str">
        <f>Angela_2025_Chase1117_Activity_!G633</f>
        <v>Personal - Shopping</v>
      </c>
      <c r="D636" s="12">
        <f>Angela_2025_Chase1117_Activity_!D633</f>
        <v>-317.38</v>
      </c>
    </row>
    <row r="637" spans="1:4" x14ac:dyDescent="0.25">
      <c r="A637" s="26">
        <f>Angela_2025_Chase1117_Activity_!B634</f>
        <v>45936</v>
      </c>
      <c r="B637" s="6" t="str">
        <f>Angela_2025_Chase1117_Activity_!C634</f>
        <v>ETSY ETSY.COM*MULTIPLE BROOKLYN NY   085417  10/04</v>
      </c>
      <c r="C637" s="6" t="str">
        <f>Angela_2025_Chase1117_Activity_!G634</f>
        <v>Etsy</v>
      </c>
      <c r="D637" s="12">
        <f>Angela_2025_Chase1117_Activity_!D634</f>
        <v>-128.61000000000001</v>
      </c>
    </row>
    <row r="638" spans="1:4" x14ac:dyDescent="0.25">
      <c r="A638" s="26">
        <f>Angela_2025_Chase1117_Activity_!B635</f>
        <v>45936</v>
      </c>
      <c r="B638" s="6" t="str">
        <f>Angela_2025_Chase1117_Activity_!C635</f>
        <v>Etsy.com*wwwNEOMFGcom ETSY.COM NY            10/04</v>
      </c>
      <c r="C638" s="6" t="str">
        <f>Angela_2025_Chase1117_Activity_!G635</f>
        <v>Etsy</v>
      </c>
      <c r="D638" s="12">
        <f>Angela_2025_Chase1117_Activity_!D635</f>
        <v>-369.85</v>
      </c>
    </row>
    <row r="639" spans="1:4" x14ac:dyDescent="0.25">
      <c r="A639" s="26">
        <f>Angela_2025_Chase1117_Activity_!B636</f>
        <v>45936</v>
      </c>
      <c r="B639" s="6" t="str">
        <f>Angela_2025_Chase1117_Activity_!C636</f>
        <v>2418 AMC AMC MARINA MARINA DEL RE CA         10/03</v>
      </c>
      <c r="C639" s="6" t="str">
        <f>Angela_2025_Chase1117_Activity_!G636</f>
        <v>Personal - Entertainment</v>
      </c>
      <c r="D639" s="12">
        <f>Angela_2025_Chase1117_Activity_!D636</f>
        <v>-23.43</v>
      </c>
    </row>
    <row r="640" spans="1:4" x14ac:dyDescent="0.25">
      <c r="A640" s="26">
        <f>Angela_2025_Chase1117_Activity_!B637</f>
        <v>45936</v>
      </c>
      <c r="B640" s="6" t="str">
        <f>Angela_2025_Chase1117_Activity_!C637</f>
        <v>EXPEDIA 73261956282627 EXPEDIA.COM WA        10/04</v>
      </c>
      <c r="C640" s="6" t="str">
        <f>Angela_2025_Chase1117_Activity_!G637</f>
        <v>Personal Travel</v>
      </c>
      <c r="D640" s="12">
        <f>Angela_2025_Chase1117_Activity_!D637</f>
        <v>-646.67999999999995</v>
      </c>
    </row>
    <row r="641" spans="1:4" x14ac:dyDescent="0.25">
      <c r="A641" s="26">
        <f>Angela_2025_Chase1117_Activity_!B638</f>
        <v>45936</v>
      </c>
      <c r="B641" s="6" t="str">
        <f>Angela_2025_Chase1117_Activity_!C638</f>
        <v>FANDANGO    * FANDANGO.COM CA                10/03</v>
      </c>
      <c r="C641" s="6" t="str">
        <f>Angela_2025_Chase1117_Activity_!G638</f>
        <v>Personal - Entertainment</v>
      </c>
      <c r="D641" s="12">
        <f>Angela_2025_Chase1117_Activity_!D638</f>
        <v>-77.040000000000006</v>
      </c>
    </row>
    <row r="642" spans="1:4" x14ac:dyDescent="0.25">
      <c r="A642" s="26">
        <f>Angela_2025_Chase1117_Activity_!B639</f>
        <v>45936</v>
      </c>
      <c r="B642" s="6" t="str">
        <f>Angela_2025_Chase1117_Activity_!C639</f>
        <v>Zara.com New York NY                         10/06</v>
      </c>
      <c r="C642" s="6" t="str">
        <f>Angela_2025_Chase1117_Activity_!G639</f>
        <v>Personal - Shopping</v>
      </c>
      <c r="D642" s="12">
        <f>Angela_2025_Chase1117_Activity_!D639</f>
        <v>-489.52</v>
      </c>
    </row>
    <row r="643" spans="1:4" x14ac:dyDescent="0.25">
      <c r="A643" s="26">
        <f>Angela_2025_Chase1117_Activity_!B640</f>
        <v>45933</v>
      </c>
      <c r="B643" s="6" t="str">
        <f>Angela_2025_Chase1117_Activity_!C640</f>
        <v>APPLE COM BILL CUPERTINO CA          664810  10/03</v>
      </c>
      <c r="C643" s="6" t="str">
        <f>Angela_2025_Chase1117_Activity_!G640</f>
        <v>Apple</v>
      </c>
      <c r="D643" s="12">
        <f>Angela_2025_Chase1117_Activity_!D640</f>
        <v>-3.99</v>
      </c>
    </row>
    <row r="644" spans="1:4" x14ac:dyDescent="0.25">
      <c r="A644" s="26">
        <f>Angela_2025_Chase1117_Activity_!B641</f>
        <v>45933</v>
      </c>
      <c r="B644" s="6" t="str">
        <f>Angela_2025_Chase1117_Activity_!C641</f>
        <v>CVS/PHARMACY #09 09493 MAR VISTA CA  060282  10/02</v>
      </c>
      <c r="C644" s="6" t="str">
        <f>Angela_2025_Chase1117_Activity_!G641</f>
        <v>Personal - Health</v>
      </c>
      <c r="D644" s="12">
        <f>Angela_2025_Chase1117_Activity_!D641</f>
        <v>-116.84</v>
      </c>
    </row>
    <row r="645" spans="1:4" x14ac:dyDescent="0.25">
      <c r="A645" s="26">
        <f>Angela_2025_Chase1117_Activity_!B642</f>
        <v>45933</v>
      </c>
      <c r="B645" s="6" t="str">
        <f>Angela_2025_Chase1117_Activity_!C642</f>
        <v>ALLAN JEFFRIES FRAMIN SANTA MONICA CA        10/02</v>
      </c>
      <c r="C645" s="6" t="str">
        <f>Angela_2025_Chase1117_Activity_!G642</f>
        <v>Personal - Shopping</v>
      </c>
      <c r="D645" s="12">
        <f>Angela_2025_Chase1117_Activity_!D642</f>
        <v>-408.48</v>
      </c>
    </row>
    <row r="646" spans="1:4" x14ac:dyDescent="0.25">
      <c r="A646" s="26">
        <f>Angela_2025_Chase1117_Activity_!B643</f>
        <v>45933</v>
      </c>
      <c r="B646" s="6" t="str">
        <f>Angela_2025_Chase1117_Activity_!C643</f>
        <v>CITY OF SANTA MONICA SANTA MONICA CA         10/02</v>
      </c>
      <c r="C646" s="6" t="str">
        <f>Angela_2025_Chase1117_Activity_!G643</f>
        <v>Personal - Car</v>
      </c>
      <c r="D646" s="12">
        <f>Angela_2025_Chase1117_Activity_!D643</f>
        <v>-1.25</v>
      </c>
    </row>
    <row r="647" spans="1:4" x14ac:dyDescent="0.25">
      <c r="A647" s="26">
        <f>Angela_2025_Chase1117_Activity_!B644</f>
        <v>45933</v>
      </c>
      <c r="B647" s="6" t="str">
        <f>Angela_2025_Chase1117_Activity_!C644</f>
        <v>SQ *COMPUDOC COMPUTER S gosq.com TX          10/02</v>
      </c>
      <c r="C647" s="6" t="str">
        <f>Angela_2025_Chase1117_Activity_!G644</f>
        <v>Personal - Shopping</v>
      </c>
      <c r="D647" s="12">
        <f>Angela_2025_Chase1117_Activity_!D644</f>
        <v>-181.12</v>
      </c>
    </row>
    <row r="648" spans="1:4" x14ac:dyDescent="0.25">
      <c r="A648" s="26">
        <f>Angela_2025_Chase1117_Activity_!B645</f>
        <v>45933</v>
      </c>
      <c r="B648" s="6" t="str">
        <f>Angela_2025_Chase1117_Activity_!C645</f>
        <v>UNITED      01643349800 UNITED.COM TX        10/02</v>
      </c>
      <c r="C648" s="6" t="str">
        <f>Angela_2025_Chase1117_Activity_!G645</f>
        <v>Personal Travel</v>
      </c>
      <c r="D648" s="12">
        <f>Angela_2025_Chase1117_Activity_!D645</f>
        <v>-35</v>
      </c>
    </row>
    <row r="649" spans="1:4" x14ac:dyDescent="0.25">
      <c r="A649" s="26">
        <f>Angela_2025_Chase1117_Activity_!B646</f>
        <v>45933</v>
      </c>
      <c r="B649" s="6" t="str">
        <f>Angela_2025_Chase1117_Activity_!C646</f>
        <v>UNITED      01643349800 UNITED.COM TX        10/02</v>
      </c>
      <c r="C649" s="6" t="str">
        <f>Angela_2025_Chase1117_Activity_!G646</f>
        <v>Personal Travel</v>
      </c>
      <c r="D649" s="12">
        <f>Angela_2025_Chase1117_Activity_!D646</f>
        <v>-35</v>
      </c>
    </row>
    <row r="650" spans="1:4" x14ac:dyDescent="0.25">
      <c r="A650" s="26">
        <f>Angela_2025_Chase1117_Activity_!B647</f>
        <v>45933</v>
      </c>
      <c r="B650" s="6" t="str">
        <f>Angela_2025_Chase1117_Activity_!C647</f>
        <v>Zara.com New York NY                         10/03</v>
      </c>
      <c r="C650" s="6" t="str">
        <f>Angela_2025_Chase1117_Activity_!G647</f>
        <v>Personal - Shopping</v>
      </c>
      <c r="D650" s="12">
        <f>Angela_2025_Chase1117_Activity_!D647</f>
        <v>-559.07000000000005</v>
      </c>
    </row>
    <row r="651" spans="1:4" x14ac:dyDescent="0.25">
      <c r="A651" s="26">
        <f>Angela_2025_Chase1117_Activity_!B648</f>
        <v>45932</v>
      </c>
      <c r="B651" s="6" t="str">
        <f>Angela_2025_Chase1117_Activity_!C648</f>
        <v>Online Transfer to CHK ...6975 transaction#: 26444488744 10/02</v>
      </c>
      <c r="C651" s="6" t="str">
        <f>Angela_2025_Chase1117_Activity_!G648</f>
        <v>Transfer to Ava</v>
      </c>
      <c r="D651" s="12">
        <f>Angela_2025_Chase1117_Activity_!D648</f>
        <v>-1000</v>
      </c>
    </row>
    <row r="652" spans="1:4" x14ac:dyDescent="0.25">
      <c r="A652" s="26">
        <f>Angela_2025_Chase1117_Activity_!B649</f>
        <v>45932</v>
      </c>
      <c r="B652" s="6" t="str">
        <f>Angela_2025_Chase1117_Activity_!C649</f>
        <v>Amazon Grocery Subscr 888-280-4331 WA        10/02</v>
      </c>
      <c r="C652" s="6" t="str">
        <f>Angela_2025_Chase1117_Activity_!G649</f>
        <v>Amazon</v>
      </c>
      <c r="D652" s="12">
        <f>Angela_2025_Chase1117_Activity_!D649</f>
        <v>-109.74</v>
      </c>
    </row>
    <row r="653" spans="1:4" x14ac:dyDescent="0.25">
      <c r="A653" s="26">
        <f>Angela_2025_Chase1117_Activity_!B650</f>
        <v>45932</v>
      </c>
      <c r="B653" s="6" t="str">
        <f>Angela_2025_Chase1117_Activity_!C650</f>
        <v>SQ *REA COMMERCIAL SECU gosq.com CA          10/01</v>
      </c>
      <c r="C653" s="6" t="str">
        <f>Angela_2025_Chase1117_Activity_!G650</f>
        <v>Personal - Subscription</v>
      </c>
      <c r="D653" s="12">
        <f>Angela_2025_Chase1117_Activity_!D650</f>
        <v>-100</v>
      </c>
    </row>
    <row r="654" spans="1:4" x14ac:dyDescent="0.25">
      <c r="A654" s="26">
        <f>Angela_2025_Chase1117_Activity_!B651</f>
        <v>45932</v>
      </c>
      <c r="B654" s="6" t="str">
        <f>Angela_2025_Chase1117_Activity_!C651</f>
        <v>ANTHROPOLOGIE.COM ANTHROPOLOGIE PA           10/01</v>
      </c>
      <c r="C654" s="6" t="str">
        <f>Angela_2025_Chase1117_Activity_!G651</f>
        <v>Personal - Shopping</v>
      </c>
      <c r="D654" s="12">
        <f>Angela_2025_Chase1117_Activity_!D651</f>
        <v>-57.43</v>
      </c>
    </row>
    <row r="655" spans="1:4" x14ac:dyDescent="0.25">
      <c r="A655" s="26">
        <f>Angela_2025_Chase1117_Activity_!B652</f>
        <v>45932</v>
      </c>
      <c r="B655" s="6" t="str">
        <f>Angela_2025_Chase1117_Activity_!C652</f>
        <v>ANTHROPOLOGIE.COM ANTHROPOLOGIE PA           10/01</v>
      </c>
      <c r="C655" s="6" t="str">
        <f>Angela_2025_Chase1117_Activity_!G652</f>
        <v>Personal - Shopping</v>
      </c>
      <c r="D655" s="12">
        <f>Angela_2025_Chase1117_Activity_!D652</f>
        <v>-609.79</v>
      </c>
    </row>
    <row r="656" spans="1:4" x14ac:dyDescent="0.25">
      <c r="A656" s="26">
        <f>Angela_2025_Chase1117_Activity_!B653</f>
        <v>45932</v>
      </c>
      <c r="B656" s="6" t="str">
        <f>Angela_2025_Chase1117_Activity_!C653</f>
        <v>Online Transfer from CHK ...1168 transaction#: 26444487991</v>
      </c>
      <c r="C656" s="6" t="str">
        <f>Angela_2025_Chase1117_Activity_!G653</f>
        <v>Transfer from DWG Capital Group</v>
      </c>
      <c r="D656" s="12">
        <f>Angela_2025_Chase1117_Activity_!D653</f>
        <v>3000</v>
      </c>
    </row>
    <row r="657" spans="1:4" x14ac:dyDescent="0.25">
      <c r="A657" s="26">
        <f>Angela_2025_Chase1117_Activity_!B654</f>
        <v>45931</v>
      </c>
      <c r="B657" s="6" t="str">
        <f>Angela_2025_Chase1117_Activity_!C654</f>
        <v>UBER   *EATS HELP.UBER.COM CA                10/01</v>
      </c>
      <c r="C657" s="6" t="str">
        <f>Angela_2025_Chase1117_Activity_!G654</f>
        <v>Uber Eats</v>
      </c>
      <c r="D657" s="12">
        <f>Angela_2025_Chase1117_Activity_!D654</f>
        <v>-31.01</v>
      </c>
    </row>
    <row r="658" spans="1:4" x14ac:dyDescent="0.25">
      <c r="A658" s="26">
        <f>Angela_2025_Chase1117_Activity_!B655</f>
        <v>45931</v>
      </c>
      <c r="B658" s="6" t="str">
        <f>Angela_2025_Chase1117_Activity_!C655</f>
        <v>VER.SO VER.SO CA                             10/01</v>
      </c>
      <c r="C658" s="6" t="str">
        <f>Angela_2025_Chase1117_Activity_!G655</f>
        <v>Personal - Health</v>
      </c>
      <c r="D658" s="12">
        <f>Angela_2025_Chase1117_Activity_!D655</f>
        <v>-131.69999999999999</v>
      </c>
    </row>
    <row r="659" spans="1:4" x14ac:dyDescent="0.25">
      <c r="A659" s="26">
        <f>Angela_2025_Chase1117_Activity_!B656</f>
        <v>45930</v>
      </c>
      <c r="B659" s="6" t="str">
        <f>Angela_2025_Chase1117_Activity_!C656</f>
        <v>LISA HO GUINAN, D.M. MARINA DEL RE CA310096  09/30</v>
      </c>
      <c r="C659" s="6" t="str">
        <f>Angela_2025_Chase1117_Activity_!G656</f>
        <v>Personal - Health</v>
      </c>
      <c r="D659" s="12">
        <f>Angela_2025_Chase1117_Activity_!D656</f>
        <v>-165</v>
      </c>
    </row>
    <row r="660" spans="1:4" x14ac:dyDescent="0.25">
      <c r="A660" s="26">
        <f>Angela_2025_Chase1117_Activity_!B657</f>
        <v>45930</v>
      </c>
      <c r="B660" s="6" t="str">
        <f>Angela_2025_Chase1117_Activity_!C657</f>
        <v>BLUE SHIELD CALIFORNI 800-393-6130 CA        09/30</v>
      </c>
      <c r="C660" s="6" t="str">
        <f>Angela_2025_Chase1117_Activity_!G657</f>
        <v>Personal - Health Insurance</v>
      </c>
      <c r="D660" s="12">
        <f>Angela_2025_Chase1117_Activity_!D657</f>
        <v>-944.63</v>
      </c>
    </row>
    <row r="661" spans="1:4" x14ac:dyDescent="0.25">
      <c r="A661" s="26">
        <f>Angela_2025_Chase1117_Activity_!B658</f>
        <v>45930</v>
      </c>
      <c r="B661" s="6" t="str">
        <f>Angela_2025_Chase1117_Activity_!C658</f>
        <v>PENTESTER.COM PENTESTER.COM FL               09/30</v>
      </c>
      <c r="C661" s="6" t="str">
        <f>Angela_2025_Chase1117_Activity_!G658</f>
        <v>Personal - Subscription</v>
      </c>
      <c r="D661" s="12">
        <f>Angela_2025_Chase1117_Activity_!D658</f>
        <v>-19</v>
      </c>
    </row>
    <row r="662" spans="1:4" x14ac:dyDescent="0.25">
      <c r="A662" s="26">
        <f>Angela_2025_Chase1117_Activity_!B659</f>
        <v>45930</v>
      </c>
      <c r="B662" s="6" t="str">
        <f>Angela_2025_Chase1117_Activity_!C659</f>
        <v>VER.SO VER.SO CA                             09/30</v>
      </c>
      <c r="C662" s="6" t="str">
        <f>Angela_2025_Chase1117_Activity_!G659</f>
        <v>Personal - Health</v>
      </c>
      <c r="D662" s="12">
        <f>Angela_2025_Chase1117_Activity_!D659</f>
        <v>-74.959999999999994</v>
      </c>
    </row>
    <row r="663" spans="1:4" x14ac:dyDescent="0.25">
      <c r="A663" s="26">
        <f>Angela_2025_Chase1117_Activity_!B660</f>
        <v>45930</v>
      </c>
      <c r="B663" s="6" t="str">
        <f>Angela_2025_Chase1117_Activity_!C660</f>
        <v>UBER * EATS PENDING SAN FRANCISCO CA 087305  09/29</v>
      </c>
      <c r="C663" s="6" t="str">
        <f>Angela_2025_Chase1117_Activity_!G660</f>
        <v>Uber Eats</v>
      </c>
      <c r="D663" s="12">
        <f>Angela_2025_Chase1117_Activity_!D660</f>
        <v>-74.75</v>
      </c>
    </row>
    <row r="664" spans="1:4" x14ac:dyDescent="0.25">
      <c r="A664" s="26">
        <f>Angela_2025_Chase1117_Activity_!B661</f>
        <v>45930</v>
      </c>
      <c r="B664" s="6" t="str">
        <f>Angela_2025_Chase1117_Activity_!C661</f>
        <v>GRANDVIEW CLEANERS LOS ANGELES CA            09/29</v>
      </c>
      <c r="C664" s="6" t="str">
        <f>Angela_2025_Chase1117_Activity_!G661</f>
        <v>Personal - Clothing</v>
      </c>
      <c r="D664" s="12">
        <f>Angela_2025_Chase1117_Activity_!D661</f>
        <v>-165.27</v>
      </c>
    </row>
    <row r="665" spans="1:4" x14ac:dyDescent="0.25">
      <c r="A665" s="26">
        <f>Angela_2025_Chase1117_Activity_!B662</f>
        <v>45929</v>
      </c>
      <c r="B665" s="6" t="str">
        <f>Angela_2025_Chase1117_Activity_!C662</f>
        <v>Amazon Tips*DT06J8P9 Amzn.com/bill WA        09/28</v>
      </c>
      <c r="C665" s="6" t="str">
        <f>Angela_2025_Chase1117_Activity_!G662</f>
        <v>Amazon</v>
      </c>
      <c r="D665" s="12">
        <f>Angela_2025_Chase1117_Activity_!D662</f>
        <v>-20</v>
      </c>
    </row>
    <row r="666" spans="1:4" x14ac:dyDescent="0.25">
      <c r="A666" s="26">
        <f>Angela_2025_Chase1117_Activity_!B663</f>
        <v>45929</v>
      </c>
      <c r="B666" s="6" t="str">
        <f>Angela_2025_Chase1117_Activity_!C663</f>
        <v>TM *TICKETMASTER 800-653-8000 CA             09/29</v>
      </c>
      <c r="C666" s="6" t="str">
        <f>Angela_2025_Chase1117_Activity_!G663</f>
        <v>Personal - Entertainment</v>
      </c>
      <c r="D666" s="12">
        <f>Angela_2025_Chase1117_Activity_!D663</f>
        <v>-214.66</v>
      </c>
    </row>
    <row r="667" spans="1:4" x14ac:dyDescent="0.25">
      <c r="A667" s="26">
        <f>Angela_2025_Chase1117_Activity_!B664</f>
        <v>45929</v>
      </c>
      <c r="B667" s="6" t="str">
        <f>Angela_2025_Chase1117_Activity_!C664</f>
        <v>APPLE.COM/BILL 866-712-7753 CA               09/28</v>
      </c>
      <c r="C667" s="6" t="str">
        <f>Angela_2025_Chase1117_Activity_!G664</f>
        <v>Apple</v>
      </c>
      <c r="D667" s="12">
        <f>Angela_2025_Chase1117_Activity_!D664</f>
        <v>-5.99</v>
      </c>
    </row>
    <row r="668" spans="1:4" x14ac:dyDescent="0.25">
      <c r="A668" s="26">
        <f>Angela_2025_Chase1117_Activity_!B665</f>
        <v>45929</v>
      </c>
      <c r="B668" s="6" t="str">
        <f>Angela_2025_Chase1117_Activity_!C665</f>
        <v>CVSExtraCare 80074672 800-746-7287 RI        09/28</v>
      </c>
      <c r="C668" s="6" t="str">
        <f>Angela_2025_Chase1117_Activity_!G665</f>
        <v>Personal - Health</v>
      </c>
      <c r="D668" s="12">
        <f>Angela_2025_Chase1117_Activity_!D665</f>
        <v>-5.49</v>
      </c>
    </row>
    <row r="669" spans="1:4" x14ac:dyDescent="0.25">
      <c r="A669" s="26">
        <f>Angela_2025_Chase1117_Activity_!B666</f>
        <v>45929</v>
      </c>
      <c r="B669" s="6" t="str">
        <f>Angela_2025_Chase1117_Activity_!C666</f>
        <v>mango.com USA 866-6664664 NY                 09/28</v>
      </c>
      <c r="C669" s="6" t="str">
        <f>Angela_2025_Chase1117_Activity_!G666</f>
        <v>Personal - Shopping</v>
      </c>
      <c r="D669" s="12">
        <f>Angela_2025_Chase1117_Activity_!D666</f>
        <v>-296.51</v>
      </c>
    </row>
    <row r="670" spans="1:4" x14ac:dyDescent="0.25">
      <c r="A670" s="26">
        <f>Angela_2025_Chase1117_Activity_!B667</f>
        <v>45929</v>
      </c>
      <c r="B670" s="6" t="str">
        <f>Angela_2025_Chase1117_Activity_!C667</f>
        <v>UBER * EATS PENDING SAN FRANCISCO CA 944441  09/27</v>
      </c>
      <c r="C670" s="6" t="str">
        <f>Angela_2025_Chase1117_Activity_!G667</f>
        <v>Uber Eats</v>
      </c>
      <c r="D670" s="12">
        <f>Angela_2025_Chase1117_Activity_!D667</f>
        <v>-31.15</v>
      </c>
    </row>
    <row r="671" spans="1:4" x14ac:dyDescent="0.25">
      <c r="A671" s="26">
        <f>Angela_2025_Chase1117_Activity_!B668</f>
        <v>45929</v>
      </c>
      <c r="B671" s="6" t="str">
        <f>Angela_2025_Chase1117_Activity_!C668</f>
        <v>AMAZON MKTPL*RD0RI1F Amzn.com/bill WA        09/28</v>
      </c>
      <c r="C671" s="6" t="str">
        <f>Angela_2025_Chase1117_Activity_!G668</f>
        <v>Amazon</v>
      </c>
      <c r="D671" s="12">
        <f>Angela_2025_Chase1117_Activity_!D668</f>
        <v>-24.11</v>
      </c>
    </row>
    <row r="672" spans="1:4" x14ac:dyDescent="0.25">
      <c r="A672" s="26">
        <f>Angela_2025_Chase1117_Activity_!B669</f>
        <v>45929</v>
      </c>
      <c r="B672" s="6" t="str">
        <f>Angela_2025_Chase1117_Activity_!C669</f>
        <v>Amazon.com*NJ41359M0 Amzn.com/bill WA        09/27</v>
      </c>
      <c r="C672" s="6" t="str">
        <f>Angela_2025_Chase1117_Activity_!G669</f>
        <v>Amazon</v>
      </c>
      <c r="D672" s="12">
        <f>Angela_2025_Chase1117_Activity_!D669</f>
        <v>-25.22</v>
      </c>
    </row>
    <row r="673" spans="1:4" x14ac:dyDescent="0.25">
      <c r="A673" s="26">
        <f>Angela_2025_Chase1117_Activity_!B670</f>
        <v>45929</v>
      </c>
      <c r="B673" s="6" t="str">
        <f>Angela_2025_Chase1117_Activity_!C670</f>
        <v>Amazon.com*1M9N03SB3 Amzn.com/bill WA        09/27</v>
      </c>
      <c r="C673" s="6" t="str">
        <f>Angela_2025_Chase1117_Activity_!G670</f>
        <v>Amazon</v>
      </c>
      <c r="D673" s="12">
        <f>Angela_2025_Chase1117_Activity_!D670</f>
        <v>-204.25</v>
      </c>
    </row>
    <row r="674" spans="1:4" x14ac:dyDescent="0.25">
      <c r="A674" s="26">
        <f>Angela_2025_Chase1117_Activity_!B671</f>
        <v>45929</v>
      </c>
      <c r="B674" s="6" t="str">
        <f>Angela_2025_Chase1117_Activity_!C671</f>
        <v>Zara.com New York NY                         09/29</v>
      </c>
      <c r="C674" s="6" t="str">
        <f>Angela_2025_Chase1117_Activity_!G671</f>
        <v>Personal - Shopping</v>
      </c>
      <c r="D674" s="12">
        <f>Angela_2025_Chase1117_Activity_!D671</f>
        <v>-191.7</v>
      </c>
    </row>
    <row r="675" spans="1:4" x14ac:dyDescent="0.25">
      <c r="A675" s="26">
        <f>Angela_2025_Chase1117_Activity_!B672</f>
        <v>45929</v>
      </c>
      <c r="B675" s="6" t="str">
        <f>Angela_2025_Chase1117_Activity_!C672</f>
        <v>HWB TAPIN2 1 LOS ANGELES CA                  09/26</v>
      </c>
      <c r="C675" s="6" t="str">
        <f>Angela_2025_Chase1117_Activity_!G672</f>
        <v>Personal - Entertainment</v>
      </c>
      <c r="D675" s="12">
        <f>Angela_2025_Chase1117_Activity_!D672</f>
        <v>-26.27</v>
      </c>
    </row>
    <row r="676" spans="1:4" x14ac:dyDescent="0.25">
      <c r="A676" s="26">
        <f>Angela_2025_Chase1117_Activity_!B673</f>
        <v>45929</v>
      </c>
      <c r="B676" s="6" t="str">
        <f>Angela_2025_Chase1117_Activity_!C673</f>
        <v>SPACEWEATHERNEWS.COM SPACEWEATHERN CO        09/26</v>
      </c>
      <c r="C676" s="6" t="str">
        <f>Angela_2025_Chase1117_Activity_!G673</f>
        <v>Personal - Subscription</v>
      </c>
      <c r="D676" s="12">
        <f>Angela_2025_Chase1117_Activity_!D673</f>
        <v>-5.99</v>
      </c>
    </row>
    <row r="677" spans="1:4" x14ac:dyDescent="0.25">
      <c r="A677" s="26">
        <f>Angela_2025_Chase1117_Activity_!B674</f>
        <v>45929</v>
      </c>
      <c r="B677" s="6" t="str">
        <f>Angela_2025_Chase1117_Activity_!C674</f>
        <v>Prime Video Channels amzn.com/bill WA        09/26</v>
      </c>
      <c r="C677" s="6" t="str">
        <f>Angela_2025_Chase1117_Activity_!G674</f>
        <v>Amazon</v>
      </c>
      <c r="D677" s="12">
        <f>Angela_2025_Chase1117_Activity_!D674</f>
        <v>-6.99</v>
      </c>
    </row>
    <row r="678" spans="1:4" x14ac:dyDescent="0.25">
      <c r="A678" s="26">
        <f>Angela_2025_Chase1117_Activity_!B675</f>
        <v>45929</v>
      </c>
      <c r="B678" s="6" t="str">
        <f>Angela_2025_Chase1117_Activity_!C675</f>
        <v>AMERICAN AIR00183182239 FORT WORTH TX        09/26</v>
      </c>
      <c r="C678" s="6" t="str">
        <f>Angela_2025_Chase1117_Activity_!G675</f>
        <v>Personal Travel</v>
      </c>
      <c r="D678" s="12">
        <f>Angela_2025_Chase1117_Activity_!D675</f>
        <v>-101.77</v>
      </c>
    </row>
    <row r="679" spans="1:4" x14ac:dyDescent="0.25">
      <c r="A679" s="26">
        <f>Angela_2025_Chase1117_Activity_!B676</f>
        <v>45929</v>
      </c>
      <c r="B679" s="6" t="str">
        <f>Angela_2025_Chase1117_Activity_!C676</f>
        <v>AMERICAN AIR00183182239 FORT WORTH TX        09/26</v>
      </c>
      <c r="C679" s="6" t="str">
        <f>Angela_2025_Chase1117_Activity_!G676</f>
        <v>Personal Travel</v>
      </c>
      <c r="D679" s="12">
        <f>Angela_2025_Chase1117_Activity_!D676</f>
        <v>-101.77</v>
      </c>
    </row>
    <row r="680" spans="1:4" x14ac:dyDescent="0.25">
      <c r="A680" s="26">
        <f>Angela_2025_Chase1117_Activity_!B677</f>
        <v>45929</v>
      </c>
      <c r="B680" s="6" t="str">
        <f>Angela_2025_Chase1117_Activity_!C677</f>
        <v>AMERICAN AIR00173190501 FORT WORTH TX        09/26</v>
      </c>
      <c r="C680" s="6" t="str">
        <f>Angela_2025_Chase1117_Activity_!G677</f>
        <v>Personal Travel</v>
      </c>
      <c r="D680" s="12">
        <f>Angela_2025_Chase1117_Activity_!D677</f>
        <v>-356.96</v>
      </c>
    </row>
    <row r="681" spans="1:4" x14ac:dyDescent="0.25">
      <c r="A681" s="26">
        <f>Angela_2025_Chase1117_Activity_!B678</f>
        <v>45929</v>
      </c>
      <c r="B681" s="6" t="str">
        <f>Angela_2025_Chase1117_Activity_!C678</f>
        <v>AMERICAN AIR00173190501 FORT WORTH TX        09/26</v>
      </c>
      <c r="C681" s="6" t="str">
        <f>Angela_2025_Chase1117_Activity_!G678</f>
        <v>Personal Travel</v>
      </c>
      <c r="D681" s="12">
        <f>Angela_2025_Chase1117_Activity_!D678</f>
        <v>-356.96</v>
      </c>
    </row>
    <row r="682" spans="1:4" x14ac:dyDescent="0.25">
      <c r="A682" s="26">
        <f>Angela_2025_Chase1117_Activity_!B679</f>
        <v>45929</v>
      </c>
      <c r="B682" s="6" t="str">
        <f>Angela_2025_Chase1117_Activity_!C679</f>
        <v>DICE.FM DICE.FM NY                           09/26</v>
      </c>
      <c r="C682" s="6" t="str">
        <f>Angela_2025_Chase1117_Activity_!G679</f>
        <v>Personal - Entertainment</v>
      </c>
      <c r="D682" s="12">
        <f>Angela_2025_Chase1117_Activity_!D679</f>
        <v>-76</v>
      </c>
    </row>
    <row r="683" spans="1:4" x14ac:dyDescent="0.25">
      <c r="A683" s="26">
        <f>Angela_2025_Chase1117_Activity_!B680</f>
        <v>45929</v>
      </c>
      <c r="B683" s="6" t="str">
        <f>Angela_2025_Chase1117_Activity_!C680</f>
        <v>DICE.FM DICE.FM NY                           09/26</v>
      </c>
      <c r="C683" s="6" t="str">
        <f>Angela_2025_Chase1117_Activity_!G680</f>
        <v>Personal - Entertainment</v>
      </c>
      <c r="D683" s="12">
        <f>Angela_2025_Chase1117_Activity_!D680</f>
        <v>-80</v>
      </c>
    </row>
    <row r="684" spans="1:4" x14ac:dyDescent="0.25">
      <c r="A684" s="26">
        <f>Angela_2025_Chase1117_Activity_!B681</f>
        <v>45929</v>
      </c>
      <c r="B684" s="6" t="str">
        <f>Angela_2025_Chase1117_Activity_!C681</f>
        <v>Offer: Chevron</v>
      </c>
      <c r="C684" s="6" t="str">
        <f>Angela_2025_Chase1117_Activity_!G681</f>
        <v>Personal - Car</v>
      </c>
      <c r="D684" s="12">
        <f>Angela_2025_Chase1117_Activity_!D681</f>
        <v>2.0699999999999998</v>
      </c>
    </row>
    <row r="685" spans="1:4" x14ac:dyDescent="0.25">
      <c r="A685" s="26">
        <f>Angela_2025_Chase1117_Activity_!B682</f>
        <v>45926</v>
      </c>
      <c r="B685" s="6" t="str">
        <f>Angela_2025_Chase1117_Activity_!C682</f>
        <v>CVS/PHARMACY #09493 MAR VISTA CA     059435  09/26</v>
      </c>
      <c r="C685" s="6" t="str">
        <f>Angela_2025_Chase1117_Activity_!G682</f>
        <v>Personal - Health</v>
      </c>
      <c r="D685" s="12">
        <f>Angela_2025_Chase1117_Activity_!D682</f>
        <v>-249.73</v>
      </c>
    </row>
    <row r="686" spans="1:4" x14ac:dyDescent="0.25">
      <c r="A686" s="26">
        <f>Angela_2025_Chase1117_Activity_!B683</f>
        <v>45926</v>
      </c>
      <c r="B686" s="6" t="str">
        <f>Angela_2025_Chase1117_Activity_!C683</f>
        <v>Online Transfer to CHK ...6975 transaction#: 26362275442 09/26</v>
      </c>
      <c r="C686" s="6" t="str">
        <f>Angela_2025_Chase1117_Activity_!G683</f>
        <v>Transfer to Ava</v>
      </c>
      <c r="D686" s="12">
        <f>Angela_2025_Chase1117_Activity_!D683</f>
        <v>-2000</v>
      </c>
    </row>
    <row r="687" spans="1:4" x14ac:dyDescent="0.25">
      <c r="A687" s="26">
        <f>Angela_2025_Chase1117_Activity_!B684</f>
        <v>45926</v>
      </c>
      <c r="B687" s="6" t="str">
        <f>Angela_2025_Chase1117_Activity_!C684</f>
        <v>Online Payment 26362187638 To MERCEDES-BENZ FINANCIAL SERVICES 09/26</v>
      </c>
      <c r="C687" s="6" t="str">
        <f>Angela_2025_Chase1117_Activity_!G684</f>
        <v>Personal - House Bills</v>
      </c>
      <c r="D687" s="12">
        <f>Angela_2025_Chase1117_Activity_!D684</f>
        <v>-700</v>
      </c>
    </row>
    <row r="688" spans="1:4" x14ac:dyDescent="0.25">
      <c r="A688" s="26">
        <f>Angela_2025_Chase1117_Activity_!B685</f>
        <v>45926</v>
      </c>
      <c r="B688" s="6" t="str">
        <f>Angela_2025_Chase1117_Activity_!C685</f>
        <v>Online Payment 26362168719 To SAFECO INSURANCE COMPANY 09/26</v>
      </c>
      <c r="C688" s="6" t="str">
        <f>Angela_2025_Chase1117_Activity_!G685</f>
        <v>Personal - House Bills</v>
      </c>
      <c r="D688" s="12">
        <f>Angela_2025_Chase1117_Activity_!D685</f>
        <v>-120</v>
      </c>
    </row>
    <row r="689" spans="1:4" x14ac:dyDescent="0.25">
      <c r="A689" s="26">
        <f>Angela_2025_Chase1117_Activity_!B686</f>
        <v>45926</v>
      </c>
      <c r="B689" s="6" t="str">
        <f>Angela_2025_Chase1117_Activity_!C686</f>
        <v>Online Payment 26362142893 To FRONTIER TELEPHONE 09/26</v>
      </c>
      <c r="C689" s="6" t="str">
        <f>Angela_2025_Chase1117_Activity_!G686</f>
        <v>Personal - House Bills</v>
      </c>
      <c r="D689" s="12">
        <f>Angela_2025_Chase1117_Activity_!D686</f>
        <v>-300</v>
      </c>
    </row>
    <row r="690" spans="1:4" x14ac:dyDescent="0.25">
      <c r="A690" s="26">
        <f>Angela_2025_Chase1117_Activity_!B687</f>
        <v>45926</v>
      </c>
      <c r="B690" s="6" t="str">
        <f>Angela_2025_Chase1117_Activity_!C687</f>
        <v>Online Payment 26362141756 To AMERICAN EDUCATION SERVICES 09/26</v>
      </c>
      <c r="C690" s="6" t="str">
        <f>Angela_2025_Chase1117_Activity_!G687</f>
        <v>Personal - House Bills</v>
      </c>
      <c r="D690" s="12">
        <f>Angela_2025_Chase1117_Activity_!D687</f>
        <v>-320</v>
      </c>
    </row>
    <row r="691" spans="1:4" x14ac:dyDescent="0.25">
      <c r="A691" s="26">
        <f>Angela_2025_Chase1117_Activity_!B688</f>
        <v>45926</v>
      </c>
      <c r="B691" s="6" t="str">
        <f>Angela_2025_Chase1117_Activity_!C688</f>
        <v>CHEVRON 0306890 SANTA MONICA CA              09/25</v>
      </c>
      <c r="C691" s="6" t="str">
        <f>Angela_2025_Chase1117_Activity_!G688</f>
        <v>Personal - Car</v>
      </c>
      <c r="D691" s="12">
        <f>Angela_2025_Chase1117_Activity_!D688</f>
        <v>-68.930000000000007</v>
      </c>
    </row>
    <row r="692" spans="1:4" x14ac:dyDescent="0.25">
      <c r="A692" s="26">
        <f>Angela_2025_Chase1117_Activity_!B689</f>
        <v>45926</v>
      </c>
      <c r="B692" s="6" t="str">
        <f>Angela_2025_Chase1117_Activity_!C689</f>
        <v>Colorado Symphony Denver CO                  09/25</v>
      </c>
      <c r="C692" s="6" t="str">
        <f>Angela_2025_Chase1117_Activity_!G689</f>
        <v>Personal - Entertainment</v>
      </c>
      <c r="D692" s="12">
        <f>Angela_2025_Chase1117_Activity_!D689</f>
        <v>-167.68</v>
      </c>
    </row>
    <row r="693" spans="1:4" x14ac:dyDescent="0.25">
      <c r="A693" s="26">
        <f>Angela_2025_Chase1117_Activity_!B690</f>
        <v>45926</v>
      </c>
      <c r="B693" s="6" t="str">
        <f>Angela_2025_Chase1117_Activity_!C690</f>
        <v>TM *TICKETMASTER 800-653-8000 CA             09/26</v>
      </c>
      <c r="C693" s="6" t="str">
        <f>Angela_2025_Chase1117_Activity_!G690</f>
        <v>Personal - Entertainment</v>
      </c>
      <c r="D693" s="12">
        <f>Angela_2025_Chase1117_Activity_!D690</f>
        <v>-310.27999999999997</v>
      </c>
    </row>
    <row r="694" spans="1:4" x14ac:dyDescent="0.25">
      <c r="A694" s="26">
        <f>Angela_2025_Chase1117_Activity_!B691</f>
        <v>45926</v>
      </c>
      <c r="B694" s="6" t="str">
        <f>Angela_2025_Chase1117_Activity_!C691</f>
        <v>TM *TICKETMASTER 800-653-8000 CA             09/26</v>
      </c>
      <c r="C694" s="6" t="str">
        <f>Angela_2025_Chase1117_Activity_!G691</f>
        <v>Personal - Entertainment</v>
      </c>
      <c r="D694" s="12">
        <f>Angela_2025_Chase1117_Activity_!D691</f>
        <v>-238.5</v>
      </c>
    </row>
    <row r="695" spans="1:4" x14ac:dyDescent="0.25">
      <c r="A695" s="26">
        <f>Angela_2025_Chase1117_Activity_!B692</f>
        <v>45926</v>
      </c>
      <c r="B695" s="6" t="str">
        <f>Angela_2025_Chase1117_Activity_!C692</f>
        <v>Zara.com New York NY                         09/26</v>
      </c>
      <c r="C695" s="6" t="str">
        <f>Angela_2025_Chase1117_Activity_!G692</f>
        <v>Personal - Shopping</v>
      </c>
      <c r="D695" s="12">
        <f>Angela_2025_Chase1117_Activity_!D692</f>
        <v>-478.45</v>
      </c>
    </row>
    <row r="696" spans="1:4" x14ac:dyDescent="0.25">
      <c r="A696" s="26">
        <f>Angela_2025_Chase1117_Activity_!B693</f>
        <v>45926</v>
      </c>
      <c r="B696" s="6" t="str">
        <f>Angela_2025_Chase1117_Activity_!C693</f>
        <v>Online Transfer from CHK ...1168 transaction#: 26362138416</v>
      </c>
      <c r="C696" s="6" t="str">
        <f>Angela_2025_Chase1117_Activity_!G693</f>
        <v>Transfer from DWG Capital Group</v>
      </c>
      <c r="D696" s="12">
        <f>Angela_2025_Chase1117_Activity_!D693</f>
        <v>2000</v>
      </c>
    </row>
    <row r="697" spans="1:4" x14ac:dyDescent="0.25">
      <c r="A697" s="26">
        <f>Angela_2025_Chase1117_Activity_!B694</f>
        <v>45926</v>
      </c>
      <c r="B697" s="6" t="str">
        <f>Angela_2025_Chase1117_Activity_!C694</f>
        <v>Online Transfer from CHK ...1168 transaction#: 26362241272</v>
      </c>
      <c r="C697" s="6" t="str">
        <f>Angela_2025_Chase1117_Activity_!G694</f>
        <v>Transfer from DWG Capital Group</v>
      </c>
      <c r="D697" s="12">
        <f>Angela_2025_Chase1117_Activity_!D694</f>
        <v>10000</v>
      </c>
    </row>
    <row r="698" spans="1:4" x14ac:dyDescent="0.25">
      <c r="A698" s="26">
        <f>Angela_2025_Chase1117_Activity_!B695</f>
        <v>45925</v>
      </c>
      <c r="B698" s="6" t="str">
        <f>Angela_2025_Chase1117_Activity_!C695</f>
        <v>LUKE UNFILTERED WEARECHANGE.O FL             09/25</v>
      </c>
      <c r="C698" s="6" t="str">
        <f>Angela_2025_Chase1117_Activity_!G695</f>
        <v>Personal - Subscription</v>
      </c>
      <c r="D698" s="12">
        <f>Angela_2025_Chase1117_Activity_!D695</f>
        <v>-15</v>
      </c>
    </row>
    <row r="699" spans="1:4" x14ac:dyDescent="0.25">
      <c r="A699" s="26">
        <f>Angela_2025_Chase1117_Activity_!B696</f>
        <v>45925</v>
      </c>
      <c r="B699" s="6" t="str">
        <f>Angela_2025_Chase1117_Activity_!C696</f>
        <v>AMAZON PRIME*4I6XZ4F Amzn.com/bill WA        09/24</v>
      </c>
      <c r="C699" s="6" t="str">
        <f>Angela_2025_Chase1117_Activity_!G696</f>
        <v>Amazon</v>
      </c>
      <c r="D699" s="12">
        <f>Angela_2025_Chase1117_Activity_!D696</f>
        <v>-16.45</v>
      </c>
    </row>
    <row r="700" spans="1:4" x14ac:dyDescent="0.25">
      <c r="A700" s="26">
        <f>Angela_2025_Chase1117_Activity_!B697</f>
        <v>45925</v>
      </c>
      <c r="B700" s="6" t="str">
        <f>Angela_2025_Chase1117_Activity_!C697</f>
        <v>PAVILIONS #2105 MARINA DEL RE CA             09/24</v>
      </c>
      <c r="C700" s="6" t="str">
        <f>Angela_2025_Chase1117_Activity_!G697</f>
        <v>Personal - Food</v>
      </c>
      <c r="D700" s="12">
        <f>Angela_2025_Chase1117_Activity_!D697</f>
        <v>-381.19</v>
      </c>
    </row>
    <row r="701" spans="1:4" x14ac:dyDescent="0.25">
      <c r="A701" s="26">
        <f>Angela_2025_Chase1117_Activity_!B698</f>
        <v>45925</v>
      </c>
      <c r="B701" s="6" t="str">
        <f>Angela_2025_Chase1117_Activity_!C698</f>
        <v>Amazon Tips*NJ92S209 Amzn.com/bill WA        09/24</v>
      </c>
      <c r="C701" s="6" t="str">
        <f>Angela_2025_Chase1117_Activity_!G698</f>
        <v>Amazon</v>
      </c>
      <c r="D701" s="12">
        <f>Angela_2025_Chase1117_Activity_!D698</f>
        <v>-30</v>
      </c>
    </row>
    <row r="702" spans="1:4" x14ac:dyDescent="0.25">
      <c r="A702" s="26">
        <f>Angela_2025_Chase1117_Activity_!B699</f>
        <v>45925</v>
      </c>
      <c r="B702" s="6" t="str">
        <f>Angela_2025_Chase1117_Activity_!C699</f>
        <v>ATT*BILL PAYMENT 800-288-2020 TX             09/24</v>
      </c>
      <c r="C702" s="6" t="str">
        <f>Angela_2025_Chase1117_Activity_!G699</f>
        <v>AT&amp;T</v>
      </c>
      <c r="D702" s="12">
        <f>Angela_2025_Chase1117_Activity_!D699</f>
        <v>-579.33000000000004</v>
      </c>
    </row>
    <row r="703" spans="1:4" x14ac:dyDescent="0.25">
      <c r="A703" s="26">
        <f>Angela_2025_Chase1117_Activity_!B700</f>
        <v>45925</v>
      </c>
      <c r="B703" s="6" t="str">
        <f>Angela_2025_Chase1117_Activity_!C700</f>
        <v>MACYS   .COM 800-289-6229 OH                 09/24</v>
      </c>
      <c r="C703" s="6" t="str">
        <f>Angela_2025_Chase1117_Activity_!G700</f>
        <v>Personal - Shopping</v>
      </c>
      <c r="D703" s="12">
        <f>Angela_2025_Chase1117_Activity_!D700</f>
        <v>-210.36</v>
      </c>
    </row>
    <row r="704" spans="1:4" x14ac:dyDescent="0.25">
      <c r="A704" s="26">
        <f>Angela_2025_Chase1117_Activity_!B701</f>
        <v>45925</v>
      </c>
      <c r="B704" s="6" t="str">
        <f>Angela_2025_Chase1117_Activity_!C701</f>
        <v>Zara.com New York NY                         09/25</v>
      </c>
      <c r="C704" s="6" t="str">
        <f>Angela_2025_Chase1117_Activity_!G701</f>
        <v>Personal - Shopping</v>
      </c>
      <c r="D704" s="12">
        <f>Angela_2025_Chase1117_Activity_!D701</f>
        <v>-1142.04</v>
      </c>
    </row>
    <row r="705" spans="1:4" x14ac:dyDescent="0.25">
      <c r="A705" s="26">
        <f>Angela_2025_Chase1117_Activity_!B702</f>
        <v>45925</v>
      </c>
      <c r="B705" s="6" t="str">
        <f>Angela_2025_Chase1117_Activity_!C702</f>
        <v>Zelle payment from JOE SAUNDERS 26349230128</v>
      </c>
      <c r="C705" s="6" t="str">
        <f>Angela_2025_Chase1117_Activity_!G702</f>
        <v>Zelle from Joe Saunders</v>
      </c>
      <c r="D705" s="12">
        <f>Angela_2025_Chase1117_Activity_!D702</f>
        <v>500</v>
      </c>
    </row>
    <row r="706" spans="1:4" x14ac:dyDescent="0.25">
      <c r="A706" s="26">
        <f>Angela_2025_Chase1117_Activity_!B703</f>
        <v>45924</v>
      </c>
      <c r="B706" s="6" t="str">
        <f>Angela_2025_Chase1117_Activity_!C703</f>
        <v>CHECK 8699  09/24</v>
      </c>
      <c r="C706" s="6" t="str">
        <f>Angela_2025_Chase1117_Activity_!G703</f>
        <v>Checks Paid</v>
      </c>
      <c r="D706" s="12">
        <f>Angela_2025_Chase1117_Activity_!D703</f>
        <v>-2000</v>
      </c>
    </row>
    <row r="707" spans="1:4" x14ac:dyDescent="0.25">
      <c r="A707" s="26">
        <f>Angela_2025_Chase1117_Activity_!B704</f>
        <v>45924</v>
      </c>
      <c r="B707" s="6" t="str">
        <f>Angela_2025_Chase1117_Activity_!C704</f>
        <v>TOCK AT*INN SEVENTH R INNOFTHESEVE IL        09/23</v>
      </c>
      <c r="C707" s="6" t="str">
        <f>Angela_2025_Chase1117_Activity_!G704</f>
        <v>Personal Travel</v>
      </c>
      <c r="D707" s="12">
        <f>Angela_2025_Chase1117_Activity_!D704</f>
        <v>-954.56</v>
      </c>
    </row>
    <row r="708" spans="1:4" x14ac:dyDescent="0.25">
      <c r="A708" s="26">
        <f>Angela_2025_Chase1117_Activity_!B705</f>
        <v>45924</v>
      </c>
      <c r="B708" s="6" t="str">
        <f>Angela_2025_Chase1117_Activity_!C705</f>
        <v>APPLE.COM/BILL 866-712-7753 CA               09/23</v>
      </c>
      <c r="C708" s="6" t="str">
        <f>Angela_2025_Chase1117_Activity_!G705</f>
        <v>Apple</v>
      </c>
      <c r="D708" s="12">
        <f>Angela_2025_Chase1117_Activity_!D705</f>
        <v>-10.99</v>
      </c>
    </row>
    <row r="709" spans="1:4" x14ac:dyDescent="0.25">
      <c r="A709" s="26">
        <f>Angela_2025_Chase1117_Activity_!B706</f>
        <v>45924</v>
      </c>
      <c r="B709" s="6" t="str">
        <f>Angela_2025_Chase1117_Activity_!C706</f>
        <v>Amazon.com*WO2LH6NV3 Amzn.com/bill WA        09/23</v>
      </c>
      <c r="C709" s="6" t="str">
        <f>Angela_2025_Chase1117_Activity_!G706</f>
        <v>Amazon</v>
      </c>
      <c r="D709" s="12">
        <f>Angela_2025_Chase1117_Activity_!D706</f>
        <v>-279.86</v>
      </c>
    </row>
    <row r="710" spans="1:4" x14ac:dyDescent="0.25">
      <c r="A710" s="26">
        <f>Angela_2025_Chase1117_Activity_!B707</f>
        <v>45923</v>
      </c>
      <c r="B710" s="6" t="str">
        <f>Angela_2025_Chase1117_Activity_!C707</f>
        <v>Etsy.com*ThriceRound ETSY.COM NY             09/23</v>
      </c>
      <c r="C710" s="6" t="str">
        <f>Angela_2025_Chase1117_Activity_!G707</f>
        <v>Etsy</v>
      </c>
      <c r="D710" s="12">
        <f>Angela_2025_Chase1117_Activity_!D707</f>
        <v>-153.65</v>
      </c>
    </row>
    <row r="711" spans="1:4" x14ac:dyDescent="0.25">
      <c r="A711" s="26">
        <f>Angela_2025_Chase1117_Activity_!B708</f>
        <v>45923</v>
      </c>
      <c r="B711" s="6" t="str">
        <f>Angela_2025_Chase1117_Activity_!C708</f>
        <v>Etsy.com*Hurstjewelry ETSY.COM NY            09/23</v>
      </c>
      <c r="C711" s="6" t="str">
        <f>Angela_2025_Chase1117_Activity_!G708</f>
        <v>Etsy</v>
      </c>
      <c r="D711" s="12">
        <f>Angela_2025_Chase1117_Activity_!D708</f>
        <v>-64.75</v>
      </c>
    </row>
    <row r="712" spans="1:4" x14ac:dyDescent="0.25">
      <c r="A712" s="26">
        <f>Angela_2025_Chase1117_Activity_!B709</f>
        <v>45923</v>
      </c>
      <c r="B712" s="6" t="str">
        <f>Angela_2025_Chase1117_Activity_!C709</f>
        <v>Etsy.com*Multiple Shop ETSY.COM NY           09/23</v>
      </c>
      <c r="C712" s="6" t="str">
        <f>Angela_2025_Chase1117_Activity_!G709</f>
        <v>Etsy</v>
      </c>
      <c r="D712" s="12">
        <f>Angela_2025_Chase1117_Activity_!D709</f>
        <v>-140.91999999999999</v>
      </c>
    </row>
    <row r="713" spans="1:4" x14ac:dyDescent="0.25">
      <c r="A713" s="26">
        <f>Angela_2025_Chase1117_Activity_!B710</f>
        <v>45923</v>
      </c>
      <c r="B713" s="6" t="str">
        <f>Angela_2025_Chase1117_Activity_!C710</f>
        <v>Zara.com New York NY                         09/23</v>
      </c>
      <c r="C713" s="6" t="str">
        <f>Angela_2025_Chase1117_Activity_!G710</f>
        <v>Personal - Shopping</v>
      </c>
      <c r="D713" s="12">
        <f>Angela_2025_Chase1117_Activity_!D710</f>
        <v>-394.59</v>
      </c>
    </row>
    <row r="714" spans="1:4" x14ac:dyDescent="0.25">
      <c r="A714" s="26">
        <f>Angela_2025_Chase1117_Activity_!B711</f>
        <v>45923</v>
      </c>
      <c r="B714" s="6" t="str">
        <f>Angela_2025_Chase1117_Activity_!C711</f>
        <v>Online Transfer from CHK ...1168 transaction#: 26330021112</v>
      </c>
      <c r="C714" s="6" t="str">
        <f>Angela_2025_Chase1117_Activity_!G711</f>
        <v>Transfer from DWG Capital Group</v>
      </c>
      <c r="D714" s="12">
        <f>Angela_2025_Chase1117_Activity_!D711</f>
        <v>2000</v>
      </c>
    </row>
    <row r="715" spans="1:4" x14ac:dyDescent="0.25">
      <c r="A715" s="26">
        <f>Angela_2025_Chase1117_Activity_!B712</f>
        <v>45922</v>
      </c>
      <c r="B715" s="6" t="str">
        <f>Angela_2025_Chase1117_Activity_!C712</f>
        <v>FOREIGN EXCHANGE RATE ADJUSTMENT FEE         09/20DONATE TR</v>
      </c>
      <c r="C715" s="6" t="str">
        <f>Angela_2025_Chase1117_Activity_!G712</f>
        <v>Personal Travel - Canada</v>
      </c>
      <c r="D715" s="12">
        <f>Angela_2025_Chase1117_Activity_!D712</f>
        <v>-4.0599999999999996</v>
      </c>
    </row>
    <row r="716" spans="1:4" x14ac:dyDescent="0.25">
      <c r="A716" s="26">
        <f>Angela_2025_Chase1117_Activity_!B713</f>
        <v>45922</v>
      </c>
      <c r="B716" s="6" t="str">
        <f>Angela_2025_Chase1117_Activity_!C713</f>
        <v>TM *LIVE NATION C-T U 800-653-8000 CA        09/22</v>
      </c>
      <c r="C716" s="6" t="str">
        <f>Angela_2025_Chase1117_Activity_!G713</f>
        <v>Personal - Entertainment</v>
      </c>
      <c r="D716" s="12">
        <f>Angela_2025_Chase1117_Activity_!D713</f>
        <v>-80</v>
      </c>
    </row>
    <row r="717" spans="1:4" x14ac:dyDescent="0.25">
      <c r="A717" s="26">
        <f>Angela_2025_Chase1117_Activity_!B714</f>
        <v>45922</v>
      </c>
      <c r="B717" s="6" t="str">
        <f>Angela_2025_Chase1117_Activity_!C714</f>
        <v>SUBSTANCELOSANG TKTS RESTLESSNITES CA        09/22</v>
      </c>
      <c r="C717" s="6" t="str">
        <f>Angela_2025_Chase1117_Activity_!G714</f>
        <v>Personal - Entertainment</v>
      </c>
      <c r="D717" s="12">
        <f>Angela_2025_Chase1117_Activity_!D714</f>
        <v>-414</v>
      </c>
    </row>
    <row r="718" spans="1:4" x14ac:dyDescent="0.25">
      <c r="A718" s="26">
        <f>Angela_2025_Chase1117_Activity_!B715</f>
        <v>45922</v>
      </c>
      <c r="B718" s="6" t="str">
        <f>Angela_2025_Chase1117_Activity_!C715</f>
        <v>UBER   * EATS PENDIN SAN FRANCISCO CA073697  09/21</v>
      </c>
      <c r="C718" s="6" t="str">
        <f>Angela_2025_Chase1117_Activity_!G715</f>
        <v>Uber Eats</v>
      </c>
      <c r="D718" s="12">
        <f>Angela_2025_Chase1117_Activity_!D715</f>
        <v>-149.91999999999999</v>
      </c>
    </row>
    <row r="719" spans="1:4" x14ac:dyDescent="0.25">
      <c r="A719" s="26">
        <f>Angela_2025_Chase1117_Activity_!B716</f>
        <v>45922</v>
      </c>
      <c r="B719" s="6" t="str">
        <f>Angela_2025_Chase1117_Activity_!C716</f>
        <v>AMAZON MKTPL*YT43R17 Amzn.com/bill WA        09/22</v>
      </c>
      <c r="C719" s="6" t="str">
        <f>Angela_2025_Chase1117_Activity_!G716</f>
        <v>Amazon</v>
      </c>
      <c r="D719" s="12">
        <f>Angela_2025_Chase1117_Activity_!D716</f>
        <v>-33.950000000000003</v>
      </c>
    </row>
    <row r="720" spans="1:4" x14ac:dyDescent="0.25">
      <c r="A720" s="26">
        <f>Angela_2025_Chase1117_Activity_!B717</f>
        <v>45922</v>
      </c>
      <c r="B720" s="6" t="str">
        <f>Angela_2025_Chase1117_Activity_!C717</f>
        <v>Amazon.com*0T8MS47Z3 Amzn.com/bill WA        09/22</v>
      </c>
      <c r="C720" s="6" t="str">
        <f>Angela_2025_Chase1117_Activity_!G717</f>
        <v>Amazon</v>
      </c>
      <c r="D720" s="12">
        <f>Angela_2025_Chase1117_Activity_!D717</f>
        <v>-17.55</v>
      </c>
    </row>
    <row r="721" spans="1:4" x14ac:dyDescent="0.25">
      <c r="A721" s="26">
        <f>Angela_2025_Chase1117_Activity_!B718</f>
        <v>45922</v>
      </c>
      <c r="B721" s="6" t="str">
        <f>Angela_2025_Chase1117_Activity_!C718</f>
        <v>UNITED      01643319329 UNITED.COM TX        09/21</v>
      </c>
      <c r="C721" s="6" t="str">
        <f>Angela_2025_Chase1117_Activity_!G718</f>
        <v>Personal Travel</v>
      </c>
      <c r="D721" s="12">
        <f>Angela_2025_Chase1117_Activity_!D718</f>
        <v>-85.99</v>
      </c>
    </row>
    <row r="722" spans="1:4" x14ac:dyDescent="0.25">
      <c r="A722" s="26">
        <f>Angela_2025_Chase1117_Activity_!B719</f>
        <v>45922</v>
      </c>
      <c r="B722" s="6" t="str">
        <f>Angela_2025_Chase1117_Activity_!C719</f>
        <v>UNITED      01643319329 UNITED.COM TX        09/21</v>
      </c>
      <c r="C722" s="6" t="str">
        <f>Angela_2025_Chase1117_Activity_!G719</f>
        <v>Personal Travel</v>
      </c>
      <c r="D722" s="12">
        <f>Angela_2025_Chase1117_Activity_!D719</f>
        <v>-85.99</v>
      </c>
    </row>
    <row r="723" spans="1:4" x14ac:dyDescent="0.25">
      <c r="A723" s="26">
        <f>Angela_2025_Chase1117_Activity_!B720</f>
        <v>45922</v>
      </c>
      <c r="B723" s="6" t="str">
        <f>Angela_2025_Chase1117_Activity_!C720</f>
        <v>UNITED      01623336122 UNITED.COM TX        09/20</v>
      </c>
      <c r="C723" s="6" t="str">
        <f>Angela_2025_Chase1117_Activity_!G720</f>
        <v>Personal Travel</v>
      </c>
      <c r="D723" s="12">
        <f>Angela_2025_Chase1117_Activity_!D720</f>
        <v>-263.95999999999998</v>
      </c>
    </row>
    <row r="724" spans="1:4" x14ac:dyDescent="0.25">
      <c r="A724" s="26">
        <f>Angela_2025_Chase1117_Activity_!B721</f>
        <v>45922</v>
      </c>
      <c r="B724" s="6" t="str">
        <f>Angela_2025_Chase1117_Activity_!C721</f>
        <v>UNITED      01623336122 UNITED.COM TX        09/20</v>
      </c>
      <c r="C724" s="6" t="str">
        <f>Angela_2025_Chase1117_Activity_!G721</f>
        <v>Personal Travel</v>
      </c>
      <c r="D724" s="12">
        <f>Angela_2025_Chase1117_Activity_!D721</f>
        <v>-263.95999999999998</v>
      </c>
    </row>
    <row r="725" spans="1:4" x14ac:dyDescent="0.25">
      <c r="A725" s="26">
        <f>Angela_2025_Chase1117_Activity_!B722</f>
        <v>45922</v>
      </c>
      <c r="B725" s="6" t="str">
        <f>Angela_2025_Chase1117_Activity_!C722</f>
        <v>TST*BEETHOVEN Los Angeles CA                 09/20</v>
      </c>
      <c r="C725" s="6" t="str">
        <f>Angela_2025_Chase1117_Activity_!G722</f>
        <v>Personal - Food</v>
      </c>
      <c r="D725" s="12">
        <f>Angela_2025_Chase1117_Activity_!D722</f>
        <v>-98.38</v>
      </c>
    </row>
    <row r="726" spans="1:4" x14ac:dyDescent="0.25">
      <c r="A726" s="26">
        <f>Angela_2025_Chase1117_Activity_!B723</f>
        <v>45922</v>
      </c>
      <c r="B726" s="6" t="str">
        <f>Angela_2025_Chase1117_Activity_!C723</f>
        <v>DONATE TR ALMANCIL                           09/20 Pound Sterl100.00 X 1.356400 (EXCHG RTE)</v>
      </c>
      <c r="C726" s="6" t="str">
        <f>Angela_2025_Chase1117_Activity_!G723</f>
        <v>Personal Travel - Canada</v>
      </c>
      <c r="D726" s="12">
        <f>Angela_2025_Chase1117_Activity_!D723</f>
        <v>-135.63999999999999</v>
      </c>
    </row>
    <row r="727" spans="1:4" x14ac:dyDescent="0.25">
      <c r="A727" s="26">
        <f>Angela_2025_Chase1117_Activity_!B724</f>
        <v>45922</v>
      </c>
      <c r="B727" s="6" t="str">
        <f>Angela_2025_Chase1117_Activity_!C724</f>
        <v>NEXTLINK BROADBAND 855-6985465 TX            09/20</v>
      </c>
      <c r="C727" s="6" t="str">
        <f>Angela_2025_Chase1117_Activity_!G724</f>
        <v>Personal - House Bills</v>
      </c>
      <c r="D727" s="12">
        <f>Angela_2025_Chase1117_Activity_!D724</f>
        <v>-149.96</v>
      </c>
    </row>
    <row r="728" spans="1:4" x14ac:dyDescent="0.25">
      <c r="A728" s="26">
        <f>Angela_2025_Chase1117_Activity_!B725</f>
        <v>45922</v>
      </c>
      <c r="B728" s="6" t="str">
        <f>Angela_2025_Chase1117_Activity_!C725</f>
        <v>2418 AMC AMC MARINA MARINA DEL RE CA         09/19</v>
      </c>
      <c r="C728" s="6" t="str">
        <f>Angela_2025_Chase1117_Activity_!G725</f>
        <v>Personal - Entertainment</v>
      </c>
      <c r="D728" s="12">
        <f>Angela_2025_Chase1117_Activity_!D725</f>
        <v>-13</v>
      </c>
    </row>
    <row r="729" spans="1:4" x14ac:dyDescent="0.25">
      <c r="A729" s="26">
        <f>Angela_2025_Chase1117_Activity_!B726</f>
        <v>45922</v>
      </c>
      <c r="B729" s="6" t="str">
        <f>Angela_2025_Chase1117_Activity_!C726</f>
        <v>EXPEDIA 73247130784041 EXPEDIA.COM WA        09/20</v>
      </c>
      <c r="C729" s="6" t="str">
        <f>Angela_2025_Chase1117_Activity_!G726</f>
        <v>Personal Travel</v>
      </c>
      <c r="D729" s="12">
        <f>Angela_2025_Chase1117_Activity_!D726</f>
        <v>-789.26</v>
      </c>
    </row>
    <row r="730" spans="1:4" x14ac:dyDescent="0.25">
      <c r="A730" s="26">
        <f>Angela_2025_Chase1117_Activity_!B727</f>
        <v>45922</v>
      </c>
      <c r="B730" s="6" t="str">
        <f>Angela_2025_Chase1117_Activity_!C727</f>
        <v>SQ *BERRY FLASH PHOTO Los Angeles CA         09/19</v>
      </c>
      <c r="C730" s="6" t="str">
        <f>Angela_2025_Chase1117_Activity_!G727</f>
        <v>Personal - Shopping</v>
      </c>
      <c r="D730" s="12">
        <f>Angela_2025_Chase1117_Activity_!D727</f>
        <v>-131.26</v>
      </c>
    </row>
    <row r="731" spans="1:4" x14ac:dyDescent="0.25">
      <c r="A731" s="26">
        <f>Angela_2025_Chase1117_Activity_!B728</f>
        <v>45922</v>
      </c>
      <c r="B731" s="6" t="str">
        <f>Angela_2025_Chase1117_Activity_!C728</f>
        <v>Amazon Tips*O44LN3M2 Amzn.com/bill WA        09/19</v>
      </c>
      <c r="C731" s="6" t="str">
        <f>Angela_2025_Chase1117_Activity_!G728</f>
        <v>Amazon</v>
      </c>
      <c r="D731" s="12">
        <f>Angela_2025_Chase1117_Activity_!D728</f>
        <v>-20</v>
      </c>
    </row>
    <row r="732" spans="1:4" x14ac:dyDescent="0.25">
      <c r="A732" s="26">
        <f>Angela_2025_Chase1117_Activity_!B729</f>
        <v>45922</v>
      </c>
      <c r="B732" s="6" t="str">
        <f>Angela_2025_Chase1117_Activity_!C729</f>
        <v>Zelle payment from MARY MARGARET TRAHAN 26302212842</v>
      </c>
      <c r="C732" s="6" t="str">
        <f>Angela_2025_Chase1117_Activity_!G729</f>
        <v>Zelle from Mary Margaret Trahan</v>
      </c>
      <c r="D732" s="12">
        <f>Angela_2025_Chase1117_Activity_!D729</f>
        <v>75</v>
      </c>
    </row>
    <row r="733" spans="1:4" x14ac:dyDescent="0.25">
      <c r="A733" s="26">
        <f>Angela_2025_Chase1117_Activity_!B730</f>
        <v>45922</v>
      </c>
      <c r="B733" s="6" t="str">
        <f>Angela_2025_Chase1117_Activity_!C730</f>
        <v>Online Transfer from CHK ...1168 transaction#: 26302109823</v>
      </c>
      <c r="C733" s="6" t="str">
        <f>Angela_2025_Chase1117_Activity_!G730</f>
        <v>Transfer from DWG Capital Group</v>
      </c>
      <c r="D733" s="12">
        <f>Angela_2025_Chase1117_Activity_!D730</f>
        <v>1000</v>
      </c>
    </row>
    <row r="734" spans="1:4" x14ac:dyDescent="0.25">
      <c r="A734" s="26">
        <f>Angela_2025_Chase1117_Activity_!B731</f>
        <v>45922</v>
      </c>
      <c r="B734" s="6" t="str">
        <f>Angela_2025_Chase1117_Activity_!C731</f>
        <v>Online Transfer from CHK ...1168 transaction#: 26290707850</v>
      </c>
      <c r="C734" s="6" t="str">
        <f>Angela_2025_Chase1117_Activity_!G731</f>
        <v>Transfer from DWG Capital Group</v>
      </c>
      <c r="D734" s="12">
        <f>Angela_2025_Chase1117_Activity_!D731</f>
        <v>2000</v>
      </c>
    </row>
    <row r="735" spans="1:4" x14ac:dyDescent="0.25">
      <c r="A735" s="26">
        <f>Angela_2025_Chase1117_Activity_!B732</f>
        <v>45922</v>
      </c>
      <c r="B735" s="6" t="str">
        <f>Angela_2025_Chase1117_Activity_!C732</f>
        <v>Online Transfer from CHK ...1168 transaction#: 26320064034</v>
      </c>
      <c r="C735" s="6" t="str">
        <f>Angela_2025_Chase1117_Activity_!G732</f>
        <v>Transfer from DWG Capital Group</v>
      </c>
      <c r="D735" s="12">
        <f>Angela_2025_Chase1117_Activity_!D732</f>
        <v>5000</v>
      </c>
    </row>
    <row r="736" spans="1:4" x14ac:dyDescent="0.25">
      <c r="A736" s="26">
        <f>Angela_2025_Chase1117_Activity_!B733</f>
        <v>45919</v>
      </c>
      <c r="B736" s="6" t="str">
        <f>Angela_2025_Chase1117_Activity_!C733</f>
        <v>RAINBOW ACRES LOS ANGELES CA         494382  09/19</v>
      </c>
      <c r="C736" s="6" t="str">
        <f>Angela_2025_Chase1117_Activity_!G733</f>
        <v>Personal - Misc</v>
      </c>
      <c r="D736" s="12">
        <f>Angela_2025_Chase1117_Activity_!D733</f>
        <v>-293.74</v>
      </c>
    </row>
    <row r="737" spans="1:4" x14ac:dyDescent="0.25">
      <c r="A737" s="26">
        <f>Angela_2025_Chase1117_Activity_!B734</f>
        <v>45919</v>
      </c>
      <c r="B737" s="6" t="str">
        <f>Angela_2025_Chase1117_Activity_!C734</f>
        <v>AMAZON MKTPL*3S6S83K Amzn.com/bill WA        09/19</v>
      </c>
      <c r="C737" s="6" t="str">
        <f>Angela_2025_Chase1117_Activity_!G734</f>
        <v>Amazon</v>
      </c>
      <c r="D737" s="12">
        <f>Angela_2025_Chase1117_Activity_!D734</f>
        <v>-48.92</v>
      </c>
    </row>
    <row r="738" spans="1:4" x14ac:dyDescent="0.25">
      <c r="A738" s="26">
        <f>Angela_2025_Chase1117_Activity_!B735</f>
        <v>45919</v>
      </c>
      <c r="B738" s="6" t="str">
        <f>Angela_2025_Chase1117_Activity_!C735</f>
        <v>SP PHOTOSFORHEADSTON PHOTOSFORHEAD TX        09/19</v>
      </c>
      <c r="C738" s="6" t="str">
        <f>Angela_2025_Chase1117_Activity_!G735</f>
        <v>Personal - Shopping</v>
      </c>
      <c r="D738" s="12">
        <f>Angela_2025_Chase1117_Activity_!D735</f>
        <v>-759.96</v>
      </c>
    </row>
    <row r="739" spans="1:4" x14ac:dyDescent="0.25">
      <c r="A739" s="26">
        <f>Angela_2025_Chase1117_Activity_!B736</f>
        <v>45919</v>
      </c>
      <c r="B739" s="6" t="str">
        <f>Angela_2025_Chase1117_Activity_!C736</f>
        <v>Online Transfer to CHK ...6975 transaction#: 26275118264 09/19</v>
      </c>
      <c r="C739" s="6" t="str">
        <f>Angela_2025_Chase1117_Activity_!G736</f>
        <v>Transfer to Ava</v>
      </c>
      <c r="D739" s="12">
        <f>Angela_2025_Chase1117_Activity_!D736</f>
        <v>-2300</v>
      </c>
    </row>
    <row r="740" spans="1:4" x14ac:dyDescent="0.25">
      <c r="A740" s="26">
        <f>Angela_2025_Chase1117_Activity_!B737</f>
        <v>45919</v>
      </c>
      <c r="B740" s="6" t="str">
        <f>Angela_2025_Chase1117_Activity_!C737</f>
        <v>Zelle payment to jeff seider JPM99bnrclh3</v>
      </c>
      <c r="C740" s="6" t="str">
        <f>Angela_2025_Chase1117_Activity_!G737</f>
        <v>Zelle to Jeff Seider</v>
      </c>
      <c r="D740" s="12">
        <f>Angela_2025_Chase1117_Activity_!D737</f>
        <v>-100</v>
      </c>
    </row>
    <row r="741" spans="1:4" x14ac:dyDescent="0.25">
      <c r="A741" s="26">
        <f>Angela_2025_Chase1117_Activity_!B738</f>
        <v>45919</v>
      </c>
      <c r="B741" s="6" t="str">
        <f>Angela_2025_Chase1117_Activity_!C738</f>
        <v>AMC 9640 ONLINE 888-440-4262 KS              09/19</v>
      </c>
      <c r="C741" s="6" t="str">
        <f>Angela_2025_Chase1117_Activity_!G738</f>
        <v>Personal - Entertainment</v>
      </c>
      <c r="D741" s="12">
        <f>Angela_2025_Chase1117_Activity_!D738</f>
        <v>-51.36</v>
      </c>
    </row>
    <row r="742" spans="1:4" x14ac:dyDescent="0.25">
      <c r="A742" s="26">
        <f>Angela_2025_Chase1117_Activity_!B739</f>
        <v>45919</v>
      </c>
      <c r="B742" s="6" t="str">
        <f>Angela_2025_Chase1117_Activity_!C739</f>
        <v>SAM EDELMAN 888-889-9609 MO                  09/18</v>
      </c>
      <c r="C742" s="6" t="str">
        <f>Angela_2025_Chase1117_Activity_!G739</f>
        <v>Personal - Clothing</v>
      </c>
      <c r="D742" s="12">
        <f>Angela_2025_Chase1117_Activity_!D739</f>
        <v>-561.26</v>
      </c>
    </row>
    <row r="743" spans="1:4" x14ac:dyDescent="0.25">
      <c r="A743" s="26">
        <f>Angela_2025_Chase1117_Activity_!B740</f>
        <v>45919</v>
      </c>
      <c r="B743" s="6" t="str">
        <f>Angela_2025_Chase1117_Activity_!C740</f>
        <v>AMAZON MKTPL*HG3J50L Amzn.com/bill WA        09/18</v>
      </c>
      <c r="C743" s="6" t="str">
        <f>Angela_2025_Chase1117_Activity_!G740</f>
        <v>Amazon</v>
      </c>
      <c r="D743" s="12">
        <f>Angela_2025_Chase1117_Activity_!D740</f>
        <v>-30.68</v>
      </c>
    </row>
    <row r="744" spans="1:4" x14ac:dyDescent="0.25">
      <c r="A744" s="26">
        <f>Angela_2025_Chase1117_Activity_!B741</f>
        <v>45919</v>
      </c>
      <c r="B744" s="6" t="str">
        <f>Angela_2025_Chase1117_Activity_!C741</f>
        <v>Amazon.com*3D4UB8873 Amzn.com/bill WA        09/18</v>
      </c>
      <c r="C744" s="6" t="str">
        <f>Angela_2025_Chase1117_Activity_!G741</f>
        <v>Amazon</v>
      </c>
      <c r="D744" s="12">
        <f>Angela_2025_Chase1117_Activity_!D741</f>
        <v>-95.98</v>
      </c>
    </row>
    <row r="745" spans="1:4" x14ac:dyDescent="0.25">
      <c r="A745" s="26">
        <f>Angela_2025_Chase1117_Activity_!B742</f>
        <v>45918</v>
      </c>
      <c r="B745" s="6" t="str">
        <f>Angela_2025_Chase1117_Activity_!C742</f>
        <v>UBER   * EATS PENDIN SAN FRANCISCO CA019195  09/18</v>
      </c>
      <c r="C745" s="6" t="str">
        <f>Angela_2025_Chase1117_Activity_!G742</f>
        <v>Uber Eats</v>
      </c>
      <c r="D745" s="12">
        <f>Angela_2025_Chase1117_Activity_!D742</f>
        <v>-62.61</v>
      </c>
    </row>
    <row r="746" spans="1:4" x14ac:dyDescent="0.25">
      <c r="A746" s="26">
        <f>Angela_2025_Chase1117_Activity_!B743</f>
        <v>45918</v>
      </c>
      <c r="B746" s="6" t="str">
        <f>Angela_2025_Chase1117_Activity_!C743</f>
        <v>AMAZON MKTPL*2U6VV3H Amzn.com/bill WA        09/18</v>
      </c>
      <c r="C746" s="6" t="str">
        <f>Angela_2025_Chase1117_Activity_!G743</f>
        <v>Amazon</v>
      </c>
      <c r="D746" s="12">
        <f>Angela_2025_Chase1117_Activity_!D743</f>
        <v>-63.89</v>
      </c>
    </row>
    <row r="747" spans="1:4" x14ac:dyDescent="0.25">
      <c r="A747" s="26">
        <f>Angela_2025_Chase1117_Activity_!B744</f>
        <v>45918</v>
      </c>
      <c r="B747" s="6" t="str">
        <f>Angela_2025_Chase1117_Activity_!C744</f>
        <v>GRANDVIEW CLEANERS LOS ANGELES CA            09/17</v>
      </c>
      <c r="C747" s="6" t="str">
        <f>Angela_2025_Chase1117_Activity_!G744</f>
        <v>Personal - Clothing</v>
      </c>
      <c r="D747" s="12">
        <f>Angela_2025_Chase1117_Activity_!D744</f>
        <v>-30.1</v>
      </c>
    </row>
    <row r="748" spans="1:4" x14ac:dyDescent="0.25">
      <c r="A748" s="26">
        <f>Angela_2025_Chase1117_Activity_!B745</f>
        <v>45918</v>
      </c>
      <c r="B748" s="6" t="str">
        <f>Angela_2025_Chase1117_Activity_!C745</f>
        <v>LEELA QUANTUM TECH LEELAQ.COM NM             09/17</v>
      </c>
      <c r="C748" s="6" t="str">
        <f>Angela_2025_Chase1117_Activity_!G745</f>
        <v>Personal - Subscription</v>
      </c>
      <c r="D748" s="12">
        <f>Angela_2025_Chase1117_Activity_!D745</f>
        <v>-30</v>
      </c>
    </row>
    <row r="749" spans="1:4" x14ac:dyDescent="0.25">
      <c r="A749" s="26">
        <f>Angela_2025_Chase1117_Activity_!B746</f>
        <v>45918</v>
      </c>
      <c r="B749" s="6" t="str">
        <f>Angela_2025_Chase1117_Activity_!C746</f>
        <v>TYLER HENRY NETWORK FIRESIDECHAT. CA         09/17</v>
      </c>
      <c r="C749" s="6" t="str">
        <f>Angela_2025_Chase1117_Activity_!G746</f>
        <v>Personal - Subscription</v>
      </c>
      <c r="D749" s="12">
        <f>Angela_2025_Chase1117_Activity_!D746</f>
        <v>-139.94999999999999</v>
      </c>
    </row>
    <row r="750" spans="1:4" x14ac:dyDescent="0.25">
      <c r="A750" s="26">
        <f>Angela_2025_Chase1117_Activity_!B747</f>
        <v>45918</v>
      </c>
      <c r="B750" s="6" t="str">
        <f>Angela_2025_Chase1117_Activity_!C747</f>
        <v>Zara.com New York NY                         09/18</v>
      </c>
      <c r="C750" s="6" t="str">
        <f>Angela_2025_Chase1117_Activity_!G747</f>
        <v>Personal - Shopping</v>
      </c>
      <c r="D750" s="12">
        <f>Angela_2025_Chase1117_Activity_!D747</f>
        <v>-400.17</v>
      </c>
    </row>
    <row r="751" spans="1:4" x14ac:dyDescent="0.25">
      <c r="A751" s="26">
        <f>Angela_2025_Chase1117_Activity_!B748</f>
        <v>45918</v>
      </c>
      <c r="B751" s="6" t="str">
        <f>Angela_2025_Chase1117_Activity_!C748</f>
        <v>Zara.com New York NY                         09/18</v>
      </c>
      <c r="C751" s="6" t="str">
        <f>Angela_2025_Chase1117_Activity_!G748</f>
        <v>Personal - Shopping</v>
      </c>
      <c r="D751" s="12">
        <f>Angela_2025_Chase1117_Activity_!D748</f>
        <v>-82.12</v>
      </c>
    </row>
    <row r="752" spans="1:4" x14ac:dyDescent="0.25">
      <c r="A752" s="26">
        <f>Angela_2025_Chase1117_Activity_!B749</f>
        <v>45918</v>
      </c>
      <c r="B752" s="6" t="str">
        <f>Angela_2025_Chase1117_Activity_!C749</f>
        <v>Online Transfer from CHK ...1168 transaction#: 26264155297</v>
      </c>
      <c r="C752" s="6" t="str">
        <f>Angela_2025_Chase1117_Activity_!G749</f>
        <v>Transfer from DWG Capital Group</v>
      </c>
      <c r="D752" s="12">
        <f>Angela_2025_Chase1117_Activity_!D749</f>
        <v>2000</v>
      </c>
    </row>
    <row r="753" spans="1:4" x14ac:dyDescent="0.25">
      <c r="A753" s="26">
        <f>Angela_2025_Chase1117_Activity_!B750</f>
        <v>45917</v>
      </c>
      <c r="B753" s="6" t="str">
        <f>Angela_2025_Chase1117_Activity_!C750</f>
        <v>CVS/PHARMACY #09493 MAR VISTA CA     058378  09/17</v>
      </c>
      <c r="C753" s="6" t="str">
        <f>Angela_2025_Chase1117_Activity_!G750</f>
        <v>Personal - Health</v>
      </c>
      <c r="D753" s="12">
        <f>Angela_2025_Chase1117_Activity_!D750</f>
        <v>-98.74</v>
      </c>
    </row>
    <row r="754" spans="1:4" x14ac:dyDescent="0.25">
      <c r="A754" s="26">
        <f>Angela_2025_Chase1117_Activity_!B751</f>
        <v>45917</v>
      </c>
      <c r="B754" s="6" t="str">
        <f>Angela_2025_Chase1117_Activity_!C751</f>
        <v>ATM WITHDRAWAL                       003172  09/1712335 VEN</v>
      </c>
      <c r="C754" s="6" t="str">
        <f>Angela_2025_Chase1117_Activity_!G751</f>
        <v>Withdrawal</v>
      </c>
      <c r="D754" s="12">
        <f>Angela_2025_Chase1117_Activity_!D751</f>
        <v>-500</v>
      </c>
    </row>
    <row r="755" spans="1:4" x14ac:dyDescent="0.25">
      <c r="A755" s="26">
        <f>Angela_2025_Chase1117_Activity_!B752</f>
        <v>45917</v>
      </c>
      <c r="B755" s="6" t="str">
        <f>Angela_2025_Chase1117_Activity_!C752</f>
        <v>UBER * EATS PENDING SAN FRANCISCO CA 012796  09/17</v>
      </c>
      <c r="C755" s="6" t="str">
        <f>Angela_2025_Chase1117_Activity_!G752</f>
        <v>Uber Eats</v>
      </c>
      <c r="D755" s="12">
        <f>Angela_2025_Chase1117_Activity_!D752</f>
        <v>-34.880000000000003</v>
      </c>
    </row>
    <row r="756" spans="1:4" x14ac:dyDescent="0.25">
      <c r="A756" s="26">
        <f>Angela_2025_Chase1117_Activity_!B753</f>
        <v>45917</v>
      </c>
      <c r="B756" s="6" t="str">
        <f>Angela_2025_Chase1117_Activity_!C753</f>
        <v>mango.com USA 866-6664664 NY                 09/17</v>
      </c>
      <c r="C756" s="6" t="str">
        <f>Angela_2025_Chase1117_Activity_!G753</f>
        <v>Personal - Shopping</v>
      </c>
      <c r="D756" s="12">
        <f>Angela_2025_Chase1117_Activity_!D753</f>
        <v>-313.83999999999997</v>
      </c>
    </row>
    <row r="757" spans="1:4" x14ac:dyDescent="0.25">
      <c r="A757" s="26">
        <f>Angela_2025_Chase1117_Activity_!B754</f>
        <v>45917</v>
      </c>
      <c r="B757" s="6" t="str">
        <f>Angela_2025_Chase1117_Activity_!C754</f>
        <v>EXPEDIA 73244144608262 EXPEDIA.COM WA        09/17</v>
      </c>
      <c r="C757" s="6" t="str">
        <f>Angela_2025_Chase1117_Activity_!G754</f>
        <v>Personal Travel</v>
      </c>
      <c r="D757" s="12">
        <f>Angela_2025_Chase1117_Activity_!D754</f>
        <v>-419.18</v>
      </c>
    </row>
    <row r="758" spans="1:4" x14ac:dyDescent="0.25">
      <c r="A758" s="26">
        <f>Angela_2025_Chase1117_Activity_!B755</f>
        <v>45917</v>
      </c>
      <c r="B758" s="6" t="str">
        <f>Angela_2025_Chase1117_Activity_!C755</f>
        <v>FASTRAK VIOLATION CEN 415-486-8655 CA        09/17</v>
      </c>
      <c r="C758" s="6" t="str">
        <f>Angela_2025_Chase1117_Activity_!G755</f>
        <v>Personal - Car</v>
      </c>
      <c r="D758" s="12">
        <f>Angela_2025_Chase1117_Activity_!D755</f>
        <v>-10.75</v>
      </c>
    </row>
    <row r="759" spans="1:4" x14ac:dyDescent="0.25">
      <c r="A759" s="26">
        <f>Angela_2025_Chase1117_Activity_!B756</f>
        <v>45917</v>
      </c>
      <c r="B759" s="6" t="str">
        <f>Angela_2025_Chase1117_Activity_!C756</f>
        <v>AMAZON MKTPL*8A9KA2D Amzn.com/bill WA        09/17</v>
      </c>
      <c r="C759" s="6" t="str">
        <f>Angela_2025_Chase1117_Activity_!G756</f>
        <v>Amazon</v>
      </c>
      <c r="D759" s="12">
        <f>Angela_2025_Chase1117_Activity_!D756</f>
        <v>-174.51</v>
      </c>
    </row>
    <row r="760" spans="1:4" x14ac:dyDescent="0.25">
      <c r="A760" s="26">
        <f>Angela_2025_Chase1117_Activity_!B757</f>
        <v>45917</v>
      </c>
      <c r="B760" s="6" t="str">
        <f>Angela_2025_Chase1117_Activity_!C757</f>
        <v>SP RAJANIMD STORE.RAJANIM OR                 09/16</v>
      </c>
      <c r="C760" s="6" t="str">
        <f>Angela_2025_Chase1117_Activity_!G757</f>
        <v>Personal - Health</v>
      </c>
      <c r="D760" s="12">
        <f>Angela_2025_Chase1117_Activity_!D757</f>
        <v>-356.69</v>
      </c>
    </row>
    <row r="761" spans="1:4" x14ac:dyDescent="0.25">
      <c r="A761" s="26">
        <f>Angela_2025_Chase1117_Activity_!B758</f>
        <v>45917</v>
      </c>
      <c r="B761" s="6" t="str">
        <f>Angela_2025_Chase1117_Activity_!C758</f>
        <v>Zara.com New York NY                         09/17</v>
      </c>
      <c r="C761" s="6" t="str">
        <f>Angela_2025_Chase1117_Activity_!G758</f>
        <v>Personal - Shopping</v>
      </c>
      <c r="D761" s="12">
        <f>Angela_2025_Chase1117_Activity_!D758</f>
        <v>-201.89</v>
      </c>
    </row>
    <row r="762" spans="1:4" x14ac:dyDescent="0.25">
      <c r="A762" s="26">
        <f>Angela_2025_Chase1117_Activity_!B759</f>
        <v>45917</v>
      </c>
      <c r="B762" s="6" t="str">
        <f>Angela_2025_Chase1117_Activity_!C759</f>
        <v>Zara.com New York NY                         09/17</v>
      </c>
      <c r="C762" s="6" t="str">
        <f>Angela_2025_Chase1117_Activity_!G759</f>
        <v>Personal - Shopping</v>
      </c>
      <c r="D762" s="12">
        <f>Angela_2025_Chase1117_Activity_!D759</f>
        <v>-503.97</v>
      </c>
    </row>
    <row r="763" spans="1:4" x14ac:dyDescent="0.25">
      <c r="A763" s="26">
        <f>Angela_2025_Chase1117_Activity_!B760</f>
        <v>45917</v>
      </c>
      <c r="B763" s="6" t="str">
        <f>Angela_2025_Chase1117_Activity_!C760</f>
        <v>Zara.com New York NY                         09/17</v>
      </c>
      <c r="C763" s="6" t="str">
        <f>Angela_2025_Chase1117_Activity_!G760</f>
        <v>Personal - Shopping</v>
      </c>
      <c r="D763" s="12">
        <f>Angela_2025_Chase1117_Activity_!D760</f>
        <v>76.55</v>
      </c>
    </row>
    <row r="764" spans="1:4" x14ac:dyDescent="0.25">
      <c r="A764" s="26">
        <f>Angela_2025_Chase1117_Activity_!B761</f>
        <v>45917</v>
      </c>
      <c r="B764" s="6" t="str">
        <f>Angela_2025_Chase1117_Activity_!C761</f>
        <v>ATM CHECK DEPOSIT 09/17 12335 VENICE BLVD LOS ANGELES CA</v>
      </c>
      <c r="C764" s="6" t="str">
        <f>Angela_2025_Chase1117_Activity_!G761</f>
        <v>Deposit</v>
      </c>
      <c r="D764" s="12">
        <f>Angela_2025_Chase1117_Activity_!D761</f>
        <v>2532.8000000000002</v>
      </c>
    </row>
    <row r="765" spans="1:4" x14ac:dyDescent="0.25">
      <c r="A765" s="26">
        <f>Angela_2025_Chase1117_Activity_!B762</f>
        <v>45916</v>
      </c>
      <c r="B765" s="6" t="str">
        <f>Angela_2025_Chase1117_Activity_!C762</f>
        <v>AMAZON MKTPL*IF3TX0X Amzn.com/bill WA        09/16</v>
      </c>
      <c r="C765" s="6" t="str">
        <f>Angela_2025_Chase1117_Activity_!G762</f>
        <v>Amazon</v>
      </c>
      <c r="D765" s="12">
        <f>Angela_2025_Chase1117_Activity_!D762</f>
        <v>-98.72</v>
      </c>
    </row>
    <row r="766" spans="1:4" x14ac:dyDescent="0.25">
      <c r="A766" s="26">
        <f>Angela_2025_Chase1117_Activity_!B763</f>
        <v>45916</v>
      </c>
      <c r="B766" s="6" t="str">
        <f>Angela_2025_Chase1117_Activity_!C763</f>
        <v>Colorado Symphony Denver CO                  09/16</v>
      </c>
      <c r="C766" s="6" t="str">
        <f>Angela_2025_Chase1117_Activity_!G763</f>
        <v>Personal - Entertainment</v>
      </c>
      <c r="D766" s="12">
        <f>Angela_2025_Chase1117_Activity_!D763</f>
        <v>-115.2</v>
      </c>
    </row>
    <row r="767" spans="1:4" x14ac:dyDescent="0.25">
      <c r="A767" s="26">
        <f>Angela_2025_Chase1117_Activity_!B764</f>
        <v>45916</v>
      </c>
      <c r="B767" s="6" t="str">
        <f>Angela_2025_Chase1117_Activity_!C764</f>
        <v>UNITED      01643305863 UNITED.COM TX        09/15</v>
      </c>
      <c r="C767" s="6" t="str">
        <f>Angela_2025_Chase1117_Activity_!G764</f>
        <v>Personal Travel</v>
      </c>
      <c r="D767" s="12">
        <f>Angela_2025_Chase1117_Activity_!D764</f>
        <v>-85.99</v>
      </c>
    </row>
    <row r="768" spans="1:4" x14ac:dyDescent="0.25">
      <c r="A768" s="26">
        <f>Angela_2025_Chase1117_Activity_!B765</f>
        <v>45916</v>
      </c>
      <c r="B768" s="6" t="str">
        <f>Angela_2025_Chase1117_Activity_!C765</f>
        <v>UNITED      01643305863 UNITED.COM TX        09/15</v>
      </c>
      <c r="C768" s="6" t="str">
        <f>Angela_2025_Chase1117_Activity_!G765</f>
        <v>Personal Travel</v>
      </c>
      <c r="D768" s="12">
        <f>Angela_2025_Chase1117_Activity_!D765</f>
        <v>-85.99</v>
      </c>
    </row>
    <row r="769" spans="1:4" x14ac:dyDescent="0.25">
      <c r="A769" s="26">
        <f>Angela_2025_Chase1117_Activity_!B766</f>
        <v>45916</v>
      </c>
      <c r="B769" s="6" t="str">
        <f>Angela_2025_Chase1117_Activity_!C766</f>
        <v>UNITED      01623321899 UNITED.COM TX        09/15</v>
      </c>
      <c r="C769" s="6" t="str">
        <f>Angela_2025_Chase1117_Activity_!G766</f>
        <v>Personal Travel</v>
      </c>
      <c r="D769" s="12">
        <f>Angela_2025_Chase1117_Activity_!D766</f>
        <v>-138.47999999999999</v>
      </c>
    </row>
    <row r="770" spans="1:4" x14ac:dyDescent="0.25">
      <c r="A770" s="26">
        <f>Angela_2025_Chase1117_Activity_!B767</f>
        <v>45916</v>
      </c>
      <c r="B770" s="6" t="str">
        <f>Angela_2025_Chase1117_Activity_!C767</f>
        <v>UNITED      01623321899 UNITED.COM TX        09/15</v>
      </c>
      <c r="C770" s="6" t="str">
        <f>Angela_2025_Chase1117_Activity_!G767</f>
        <v>Personal Travel</v>
      </c>
      <c r="D770" s="12">
        <f>Angela_2025_Chase1117_Activity_!D767</f>
        <v>-138.47999999999999</v>
      </c>
    </row>
    <row r="771" spans="1:4" x14ac:dyDescent="0.25">
      <c r="A771" s="26">
        <f>Angela_2025_Chase1117_Activity_!B768</f>
        <v>45916</v>
      </c>
      <c r="B771" s="6" t="str">
        <f>Angela_2025_Chase1117_Activity_!C768</f>
        <v>Colorado Symphony Denver CO                  09/16</v>
      </c>
      <c r="C771" s="6" t="str">
        <f>Angela_2025_Chase1117_Activity_!G768</f>
        <v>Personal - Entertainment</v>
      </c>
      <c r="D771" s="12">
        <f>Angela_2025_Chase1117_Activity_!D768</f>
        <v>-503.04</v>
      </c>
    </row>
    <row r="772" spans="1:4" x14ac:dyDescent="0.25">
      <c r="A772" s="26">
        <f>Angela_2025_Chase1117_Activity_!B769</f>
        <v>45916</v>
      </c>
      <c r="B772" s="6" t="str">
        <f>Angela_2025_Chase1117_Activity_!C769</f>
        <v>Amazon Tips*OM3EU0B6 Amzn.com/bill WA        09/15</v>
      </c>
      <c r="C772" s="6" t="str">
        <f>Angela_2025_Chase1117_Activity_!G769</f>
        <v>Amazon</v>
      </c>
      <c r="D772" s="12">
        <f>Angela_2025_Chase1117_Activity_!D769</f>
        <v>-30</v>
      </c>
    </row>
    <row r="773" spans="1:4" x14ac:dyDescent="0.25">
      <c r="A773" s="26">
        <f>Angela_2025_Chase1117_Activity_!B770</f>
        <v>45916</v>
      </c>
      <c r="B773" s="6" t="str">
        <f>Angela_2025_Chase1117_Activity_!C770</f>
        <v>AMAZON MKTPL*VY9P04T Amzn.com/bill WA        09/15</v>
      </c>
      <c r="C773" s="6" t="str">
        <f>Angela_2025_Chase1117_Activity_!G770</f>
        <v>Amazon</v>
      </c>
      <c r="D773" s="12">
        <f>Angela_2025_Chase1117_Activity_!D770</f>
        <v>-34.299999999999997</v>
      </c>
    </row>
    <row r="774" spans="1:4" x14ac:dyDescent="0.25">
      <c r="A774" s="26">
        <f>Angela_2025_Chase1117_Activity_!B771</f>
        <v>45916</v>
      </c>
      <c r="B774" s="6" t="str">
        <f>Angela_2025_Chase1117_Activity_!C771</f>
        <v>Online Transfer from CHK ...1168 transaction#: 26241892299</v>
      </c>
      <c r="C774" s="6" t="str">
        <f>Angela_2025_Chase1117_Activity_!G771</f>
        <v>Transfer from DWG Capital Group</v>
      </c>
      <c r="D774" s="12">
        <f>Angela_2025_Chase1117_Activity_!D771</f>
        <v>2000</v>
      </c>
    </row>
    <row r="775" spans="1:4" x14ac:dyDescent="0.25">
      <c r="A775" s="26">
        <f>Angela_2025_Chase1117_Activity_!B772</f>
        <v>45915</v>
      </c>
      <c r="B775" s="6" t="str">
        <f>Angela_2025_Chase1117_Activity_!C772</f>
        <v>UBER   * EATS PENDIN SAN FRANCISCO CA149956  09/15</v>
      </c>
      <c r="C775" s="6" t="str">
        <f>Angela_2025_Chase1117_Activity_!G772</f>
        <v>Uber Eats</v>
      </c>
      <c r="D775" s="12">
        <f>Angela_2025_Chase1117_Activity_!D772</f>
        <v>-48.57</v>
      </c>
    </row>
    <row r="776" spans="1:4" x14ac:dyDescent="0.25">
      <c r="A776" s="26">
        <f>Angela_2025_Chase1117_Activity_!B773</f>
        <v>45915</v>
      </c>
      <c r="B776" s="6" t="str">
        <f>Angela_2025_Chase1117_Activity_!C773</f>
        <v>Online Transfer to CHK ...6975 transaction#: 26227238438 09/15</v>
      </c>
      <c r="C776" s="6" t="str">
        <f>Angela_2025_Chase1117_Activity_!G773</f>
        <v>Transfer to Ava</v>
      </c>
      <c r="D776" s="12">
        <f>Angela_2025_Chase1117_Activity_!D773</f>
        <v>-100</v>
      </c>
    </row>
    <row r="777" spans="1:4" x14ac:dyDescent="0.25">
      <c r="A777" s="26">
        <f>Angela_2025_Chase1117_Activity_!B774</f>
        <v>45915</v>
      </c>
      <c r="B777" s="6" t="str">
        <f>Angela_2025_Chase1117_Activity_!C774</f>
        <v>Prime Video Channels amzn.com/bill WA        09/14</v>
      </c>
      <c r="C777" s="6" t="str">
        <f>Angela_2025_Chase1117_Activity_!G774</f>
        <v>Amazon</v>
      </c>
      <c r="D777" s="12">
        <f>Angela_2025_Chase1117_Activity_!D774</f>
        <v>-16.989999999999998</v>
      </c>
    </row>
    <row r="778" spans="1:4" x14ac:dyDescent="0.25">
      <c r="A778" s="26">
        <f>Angela_2025_Chase1117_Activity_!B775</f>
        <v>45915</v>
      </c>
      <c r="B778" s="6" t="str">
        <f>Angela_2025_Chase1117_Activity_!C775</f>
        <v>AMAZON PRIME*NY8D41S Amzn.com/bill WA        09/14</v>
      </c>
      <c r="C778" s="6" t="str">
        <f>Angela_2025_Chase1117_Activity_!G775</f>
        <v>Amazon</v>
      </c>
      <c r="D778" s="12">
        <f>Angela_2025_Chase1117_Activity_!D775</f>
        <v>-16.45</v>
      </c>
    </row>
    <row r="779" spans="1:4" x14ac:dyDescent="0.25">
      <c r="A779" s="26">
        <f>Angela_2025_Chase1117_Activity_!B776</f>
        <v>45915</v>
      </c>
      <c r="B779" s="6" t="str">
        <f>Angela_2025_Chase1117_Activity_!C776</f>
        <v>APPLE.COM/BILL 866-712-7753 CA               09/14</v>
      </c>
      <c r="C779" s="6" t="str">
        <f>Angela_2025_Chase1117_Activity_!G776</f>
        <v>Apple</v>
      </c>
      <c r="D779" s="12">
        <f>Angela_2025_Chase1117_Activity_!D776</f>
        <v>-59.99</v>
      </c>
    </row>
    <row r="780" spans="1:4" x14ac:dyDescent="0.25">
      <c r="A780" s="26">
        <f>Angela_2025_Chase1117_Activity_!B777</f>
        <v>45915</v>
      </c>
      <c r="B780" s="6" t="str">
        <f>Angela_2025_Chase1117_Activity_!C777</f>
        <v>AMAZON MKTPL*BE3AB3J Amzn.com/bill WA        09/15</v>
      </c>
      <c r="C780" s="6" t="str">
        <f>Angela_2025_Chase1117_Activity_!G777</f>
        <v>Amazon</v>
      </c>
      <c r="D780" s="12">
        <f>Angela_2025_Chase1117_Activity_!D777</f>
        <v>-24.99</v>
      </c>
    </row>
    <row r="781" spans="1:4" x14ac:dyDescent="0.25">
      <c r="A781" s="26">
        <f>Angela_2025_Chase1117_Activity_!B778</f>
        <v>45915</v>
      </c>
      <c r="B781" s="6" t="str">
        <f>Angela_2025_Chase1117_Activity_!C778</f>
        <v>AMAZON MKTPL*AQ6LE0N Amzn.com/bill WA        09/14</v>
      </c>
      <c r="C781" s="6" t="str">
        <f>Angela_2025_Chase1117_Activity_!G778</f>
        <v>Amazon</v>
      </c>
      <c r="D781" s="12">
        <f>Angela_2025_Chase1117_Activity_!D778</f>
        <v>-60.7</v>
      </c>
    </row>
    <row r="782" spans="1:4" x14ac:dyDescent="0.25">
      <c r="A782" s="26">
        <f>Angela_2025_Chase1117_Activity_!B779</f>
        <v>45915</v>
      </c>
      <c r="B782" s="6" t="str">
        <f>Angela_2025_Chase1117_Activity_!C779</f>
        <v>Amazon.com*M11DW80B3 Amzn.com/bill WA        09/14</v>
      </c>
      <c r="C782" s="6" t="str">
        <f>Angela_2025_Chase1117_Activity_!G779</f>
        <v>Amazon</v>
      </c>
      <c r="D782" s="12">
        <f>Angela_2025_Chase1117_Activity_!D779</f>
        <v>-232.9</v>
      </c>
    </row>
    <row r="783" spans="1:4" x14ac:dyDescent="0.25">
      <c r="A783" s="26">
        <f>Angela_2025_Chase1117_Activity_!B780</f>
        <v>45915</v>
      </c>
      <c r="B783" s="6" t="str">
        <f>Angela_2025_Chase1117_Activity_!C780</f>
        <v>AMAZON MKTPL*LQ8I80I Amzn.com/bill WA        09/14</v>
      </c>
      <c r="C783" s="6" t="str">
        <f>Angela_2025_Chase1117_Activity_!G780</f>
        <v>Amazon</v>
      </c>
      <c r="D783" s="12">
        <f>Angela_2025_Chase1117_Activity_!D780</f>
        <v>-99.72</v>
      </c>
    </row>
    <row r="784" spans="1:4" x14ac:dyDescent="0.25">
      <c r="A784" s="26">
        <f>Angela_2025_Chase1117_Activity_!B781</f>
        <v>45915</v>
      </c>
      <c r="B784" s="6" t="str">
        <f>Angela_2025_Chase1117_Activity_!C781</f>
        <v>LinkedInPreB *79786816 855-6535653 CA        09/14</v>
      </c>
      <c r="C784" s="6" t="str">
        <f>Angela_2025_Chase1117_Activity_!G781</f>
        <v>Personal - Entertainment</v>
      </c>
      <c r="D784" s="12">
        <f>Angela_2025_Chase1117_Activity_!D781</f>
        <v>-239.88</v>
      </c>
    </row>
    <row r="785" spans="1:4" x14ac:dyDescent="0.25">
      <c r="A785" s="26">
        <f>Angela_2025_Chase1117_Activity_!B782</f>
        <v>45915</v>
      </c>
      <c r="B785" s="6" t="str">
        <f>Angela_2025_Chase1117_Activity_!C782</f>
        <v>LADOT METER PARKING LOS ANGELES CA           09/13</v>
      </c>
      <c r="C785" s="6" t="str">
        <f>Angela_2025_Chase1117_Activity_!G782</f>
        <v>Personal - Car</v>
      </c>
      <c r="D785" s="12">
        <f>Angela_2025_Chase1117_Activity_!D782</f>
        <v>-2</v>
      </c>
    </row>
    <row r="786" spans="1:4" x14ac:dyDescent="0.25">
      <c r="A786" s="26">
        <f>Angela_2025_Chase1117_Activity_!B783</f>
        <v>45915</v>
      </c>
      <c r="B786" s="6" t="str">
        <f>Angela_2025_Chase1117_Activity_!C783</f>
        <v>AMAZON MKTPL*P33TT84 Amzn.com/bill WA        09/14</v>
      </c>
      <c r="C786" s="6" t="str">
        <f>Angela_2025_Chase1117_Activity_!G783</f>
        <v>Amazon</v>
      </c>
      <c r="D786" s="12">
        <f>Angela_2025_Chase1117_Activity_!D783</f>
        <v>-16.45</v>
      </c>
    </row>
    <row r="787" spans="1:4" x14ac:dyDescent="0.25">
      <c r="A787" s="26">
        <f>Angela_2025_Chase1117_Activity_!B784</f>
        <v>45915</v>
      </c>
      <c r="B787" s="6" t="str">
        <f>Angela_2025_Chase1117_Activity_!C784</f>
        <v>AMAZON MKTPL*QU78R1S Amzn.com/bill WA        09/14</v>
      </c>
      <c r="C787" s="6" t="str">
        <f>Angela_2025_Chase1117_Activity_!G784</f>
        <v>Amazon</v>
      </c>
      <c r="D787" s="12">
        <f>Angela_2025_Chase1117_Activity_!D784</f>
        <v>-20.83</v>
      </c>
    </row>
    <row r="788" spans="1:4" x14ac:dyDescent="0.25">
      <c r="A788" s="26">
        <f>Angela_2025_Chase1117_Activity_!B785</f>
        <v>45915</v>
      </c>
      <c r="B788" s="6" t="str">
        <f>Angela_2025_Chase1117_Activity_!C785</f>
        <v>GRANDVIEW CLEANERS LOS ANGELES CA            09/12</v>
      </c>
      <c r="C788" s="6" t="str">
        <f>Angela_2025_Chase1117_Activity_!G785</f>
        <v>Personal - Clothing</v>
      </c>
      <c r="D788" s="12">
        <f>Angela_2025_Chase1117_Activity_!D785</f>
        <v>-340</v>
      </c>
    </row>
    <row r="789" spans="1:4" x14ac:dyDescent="0.25">
      <c r="A789" s="26">
        <f>Angela_2025_Chase1117_Activity_!B786</f>
        <v>45915</v>
      </c>
      <c r="B789" s="6" t="str">
        <f>Angela_2025_Chase1117_Activity_!C786</f>
        <v>HANDY J CAR WASH LOS ANGELES CA              09/12</v>
      </c>
      <c r="C789" s="6" t="str">
        <f>Angela_2025_Chase1117_Activity_!G786</f>
        <v>Personal - Car</v>
      </c>
      <c r="D789" s="12">
        <f>Angela_2025_Chase1117_Activity_!D786</f>
        <v>-5.85</v>
      </c>
    </row>
    <row r="790" spans="1:4" x14ac:dyDescent="0.25">
      <c r="A790" s="26">
        <f>Angela_2025_Chase1117_Activity_!B787</f>
        <v>45915</v>
      </c>
      <c r="B790" s="6" t="str">
        <f>Angela_2025_Chase1117_Activity_!C787</f>
        <v>HANDY J CAR WASH LOS ANGELES CA              09/12</v>
      </c>
      <c r="C790" s="6" t="str">
        <f>Angela_2025_Chase1117_Activity_!G787</f>
        <v>Personal - Car</v>
      </c>
      <c r="D790" s="12">
        <f>Angela_2025_Chase1117_Activity_!D787</f>
        <v>-70.819999999999993</v>
      </c>
    </row>
    <row r="791" spans="1:4" x14ac:dyDescent="0.25">
      <c r="A791" s="26">
        <f>Angela_2025_Chase1117_Activity_!B788</f>
        <v>45915</v>
      </c>
      <c r="B791" s="6" t="str">
        <f>Angela_2025_Chase1117_Activity_!C788</f>
        <v>AMERICAN AIR00183181303 FORT WORTH TX        09/11</v>
      </c>
      <c r="C791" s="6" t="str">
        <f>Angela_2025_Chase1117_Activity_!G788</f>
        <v>Personal Travel</v>
      </c>
      <c r="D791" s="12">
        <f>Angela_2025_Chase1117_Activity_!D788</f>
        <v>-50.79</v>
      </c>
    </row>
    <row r="792" spans="1:4" x14ac:dyDescent="0.25">
      <c r="A792" s="26">
        <f>Angela_2025_Chase1117_Activity_!B789</f>
        <v>45915</v>
      </c>
      <c r="B792" s="6" t="str">
        <f>Angela_2025_Chase1117_Activity_!C789</f>
        <v>AMERICAN AIR00173181644 FORT WORTH TX        09/11</v>
      </c>
      <c r="C792" s="6" t="str">
        <f>Angela_2025_Chase1117_Activity_!G789</f>
        <v>Personal Travel</v>
      </c>
      <c r="D792" s="12">
        <f>Angela_2025_Chase1117_Activity_!D789</f>
        <v>-329.48</v>
      </c>
    </row>
    <row r="793" spans="1:4" x14ac:dyDescent="0.25">
      <c r="A793" s="26">
        <f>Angela_2025_Chase1117_Activity_!B790</f>
        <v>45915</v>
      </c>
      <c r="B793" s="6" t="str">
        <f>Angela_2025_Chase1117_Activity_!C790</f>
        <v>Online Transfer from CHK ...1168 transaction#: 26227236840</v>
      </c>
      <c r="C793" s="6" t="str">
        <f>Angela_2025_Chase1117_Activity_!G790</f>
        <v>Transfer from DWG Capital Group</v>
      </c>
      <c r="D793" s="12">
        <f>Angela_2025_Chase1117_Activity_!D790</f>
        <v>3000</v>
      </c>
    </row>
    <row r="794" spans="1:4" x14ac:dyDescent="0.25">
      <c r="A794" s="26">
        <f>Angela_2025_Chase1117_Activity_!B791</f>
        <v>45911</v>
      </c>
      <c r="B794" s="6" t="str">
        <f>Angela_2025_Chase1117_Activity_!C791</f>
        <v>PAVILIONS #2105 MARINA DEL RE CA     955014  09/11</v>
      </c>
      <c r="C794" s="6" t="str">
        <f>Angela_2025_Chase1117_Activity_!G791</f>
        <v>Personal - Food</v>
      </c>
      <c r="D794" s="12">
        <f>Angela_2025_Chase1117_Activity_!D791</f>
        <v>-447</v>
      </c>
    </row>
    <row r="795" spans="1:4" x14ac:dyDescent="0.25">
      <c r="A795" s="26">
        <f>Angela_2025_Chase1117_Activity_!B792</f>
        <v>45911</v>
      </c>
      <c r="B795" s="6" t="str">
        <f>Angela_2025_Chase1117_Activity_!C792</f>
        <v>LA CHAMBER ORCHESTRA LACO.ORG CA             09/11</v>
      </c>
      <c r="C795" s="6" t="str">
        <f>Angela_2025_Chase1117_Activity_!G792</f>
        <v>Personal - Entertainment</v>
      </c>
      <c r="D795" s="12">
        <f>Angela_2025_Chase1117_Activity_!D792</f>
        <v>-372</v>
      </c>
    </row>
    <row r="796" spans="1:4" x14ac:dyDescent="0.25">
      <c r="A796" s="26">
        <f>Angela_2025_Chase1117_Activity_!B793</f>
        <v>45911</v>
      </c>
      <c r="B796" s="6" t="str">
        <f>Angela_2025_Chase1117_Activity_!C793</f>
        <v>Amazon Tips*9F55A57T Amzn.com/bill WA        09/10</v>
      </c>
      <c r="C796" s="6" t="str">
        <f>Angela_2025_Chase1117_Activity_!G793</f>
        <v>Amazon</v>
      </c>
      <c r="D796" s="12">
        <f>Angela_2025_Chase1117_Activity_!D793</f>
        <v>-25</v>
      </c>
    </row>
    <row r="797" spans="1:4" x14ac:dyDescent="0.25">
      <c r="A797" s="26">
        <f>Angela_2025_Chase1117_Activity_!B794</f>
        <v>45911</v>
      </c>
      <c r="B797" s="6" t="str">
        <f>Angela_2025_Chase1117_Activity_!C794</f>
        <v>Etsy.com*LastRitesUniq ETSY.COM NY           09/10</v>
      </c>
      <c r="C797" s="6" t="str">
        <f>Angela_2025_Chase1117_Activity_!G794</f>
        <v>Etsy</v>
      </c>
      <c r="D797" s="12">
        <f>Angela_2025_Chase1117_Activity_!D794</f>
        <v>-60.35</v>
      </c>
    </row>
    <row r="798" spans="1:4" x14ac:dyDescent="0.25">
      <c r="A798" s="26">
        <f>Angela_2025_Chase1117_Activity_!B795</f>
        <v>45910</v>
      </c>
      <c r="B798" s="6" t="str">
        <f>Angela_2025_Chase1117_Activity_!C795</f>
        <v>UBR* PENDING.UBER.CO SAN FRANCISCO CA475661  09/09</v>
      </c>
      <c r="C798" s="6" t="str">
        <f>Angela_2025_Chase1117_Activity_!G795</f>
        <v>Personal - Uber</v>
      </c>
      <c r="D798" s="12">
        <f>Angela_2025_Chase1117_Activity_!D795</f>
        <v>-118.17</v>
      </c>
    </row>
    <row r="799" spans="1:4" x14ac:dyDescent="0.25">
      <c r="A799" s="26">
        <f>Angela_2025_Chase1117_Activity_!B796</f>
        <v>45910</v>
      </c>
      <c r="B799" s="6" t="str">
        <f>Angela_2025_Chase1117_Activity_!C796</f>
        <v>UBR* PENDING.UBER.CO SAN FRANCISCO CA895009  09/09</v>
      </c>
      <c r="C799" s="6" t="str">
        <f>Angela_2025_Chase1117_Activity_!G796</f>
        <v>Personal - Uber</v>
      </c>
      <c r="D799" s="12">
        <f>Angela_2025_Chase1117_Activity_!D796</f>
        <v>-99.58</v>
      </c>
    </row>
    <row r="800" spans="1:4" x14ac:dyDescent="0.25">
      <c r="A800" s="26">
        <f>Angela_2025_Chase1117_Activity_!B797</f>
        <v>45910</v>
      </c>
      <c r="B800" s="6" t="str">
        <f>Angela_2025_Chase1117_Activity_!C797</f>
        <v>AMAZON MKTPL*H67EG7R Amzn.com/bill WA        09/10</v>
      </c>
      <c r="C800" s="6" t="str">
        <f>Angela_2025_Chase1117_Activity_!G797</f>
        <v>Amazon</v>
      </c>
      <c r="D800" s="12">
        <f>Angela_2025_Chase1117_Activity_!D797</f>
        <v>-47.09</v>
      </c>
    </row>
    <row r="801" spans="1:4" x14ac:dyDescent="0.25">
      <c r="A801" s="26">
        <f>Angela_2025_Chase1117_Activity_!B798</f>
        <v>45910</v>
      </c>
      <c r="B801" s="6" t="str">
        <f>Angela_2025_Chase1117_Activity_!C798</f>
        <v>TST*BEETHOVEN Los Angeles CA                 09/09</v>
      </c>
      <c r="C801" s="6" t="str">
        <f>Angela_2025_Chase1117_Activity_!G798</f>
        <v>Personal - Food</v>
      </c>
      <c r="D801" s="12">
        <f>Angela_2025_Chase1117_Activity_!D798</f>
        <v>-351.63</v>
      </c>
    </row>
    <row r="802" spans="1:4" x14ac:dyDescent="0.25">
      <c r="A802" s="26">
        <f>Angela_2025_Chase1117_Activity_!B799</f>
        <v>45910</v>
      </c>
      <c r="B802" s="6" t="str">
        <f>Angela_2025_Chase1117_Activity_!C799</f>
        <v>HAIGOOD &amp; CAMPBELL LLC 800-7660016 TX        09/09</v>
      </c>
      <c r="C802" s="6" t="str">
        <f>Angela_2025_Chase1117_Activity_!G799</f>
        <v>Personal - Misc</v>
      </c>
      <c r="D802" s="12">
        <f>Angela_2025_Chase1117_Activity_!D799</f>
        <v>-45.82</v>
      </c>
    </row>
    <row r="803" spans="1:4" x14ac:dyDescent="0.25">
      <c r="A803" s="26">
        <f>Angela_2025_Chase1117_Activity_!B800</f>
        <v>45910</v>
      </c>
      <c r="B803" s="6" t="str">
        <f>Angela_2025_Chase1117_Activity_!C800</f>
        <v>Amazon.com*C97PR5FF3 Amzn.com/bill WA        09/09</v>
      </c>
      <c r="C803" s="6" t="str">
        <f>Angela_2025_Chase1117_Activity_!G800</f>
        <v>Amazon</v>
      </c>
      <c r="D803" s="12">
        <f>Angela_2025_Chase1117_Activity_!D800</f>
        <v>-185.51</v>
      </c>
    </row>
    <row r="804" spans="1:4" x14ac:dyDescent="0.25">
      <c r="A804" s="26">
        <f>Angela_2025_Chase1117_Activity_!B801</f>
        <v>45909</v>
      </c>
      <c r="B804" s="6" t="str">
        <f>Angela_2025_Chase1117_Activity_!C801</f>
        <v>APPLE COM BILL CUPERTINO CA          540679  09/09</v>
      </c>
      <c r="C804" s="6" t="str">
        <f>Angela_2025_Chase1117_Activity_!G801</f>
        <v>Apple</v>
      </c>
      <c r="D804" s="12">
        <f>Angela_2025_Chase1117_Activity_!D801</f>
        <v>-12.99</v>
      </c>
    </row>
    <row r="805" spans="1:4" x14ac:dyDescent="0.25">
      <c r="A805" s="26">
        <f>Angela_2025_Chase1117_Activity_!B802</f>
        <v>45909</v>
      </c>
      <c r="B805" s="6" t="str">
        <f>Angela_2025_Chase1117_Activity_!C802</f>
        <v>APPLE.COM/BILL 866-712-7753 CA               09/09</v>
      </c>
      <c r="C805" s="6" t="str">
        <f>Angela_2025_Chase1117_Activity_!G802</f>
        <v>Apple</v>
      </c>
      <c r="D805" s="12">
        <f>Angela_2025_Chase1117_Activity_!D802</f>
        <v>-6.99</v>
      </c>
    </row>
    <row r="806" spans="1:4" x14ac:dyDescent="0.25">
      <c r="A806" s="26">
        <f>Angela_2025_Chase1117_Activity_!B803</f>
        <v>45909</v>
      </c>
      <c r="B806" s="6" t="str">
        <f>Angela_2025_Chase1117_Activity_!C803</f>
        <v>AMAZON MKTPL*0I0BK83 Amzn.com/bill WA        09/08</v>
      </c>
      <c r="C806" s="6" t="str">
        <f>Angela_2025_Chase1117_Activity_!G803</f>
        <v>Amazon</v>
      </c>
      <c r="D806" s="12">
        <f>Angela_2025_Chase1117_Activity_!D803</f>
        <v>-37.270000000000003</v>
      </c>
    </row>
    <row r="807" spans="1:4" x14ac:dyDescent="0.25">
      <c r="A807" s="26">
        <f>Angela_2025_Chase1117_Activity_!B804</f>
        <v>45909</v>
      </c>
      <c r="B807" s="6" t="str">
        <f>Angela_2025_Chase1117_Activity_!C804</f>
        <v>AMAZON MKTPL*J75Q716 Amzn.com/bill WA        09/08</v>
      </c>
      <c r="C807" s="6" t="str">
        <f>Angela_2025_Chase1117_Activity_!G804</f>
        <v>Amazon</v>
      </c>
      <c r="D807" s="12">
        <f>Angela_2025_Chase1117_Activity_!D804</f>
        <v>-21.94</v>
      </c>
    </row>
    <row r="808" spans="1:4" x14ac:dyDescent="0.25">
      <c r="A808" s="26">
        <f>Angela_2025_Chase1117_Activity_!B805</f>
        <v>45909</v>
      </c>
      <c r="B808" s="6" t="str">
        <f>Angela_2025_Chase1117_Activity_!C805</f>
        <v>Online Transfer from CHK ...1168 transaction#: 26165909390</v>
      </c>
      <c r="C808" s="6" t="str">
        <f>Angela_2025_Chase1117_Activity_!G805</f>
        <v>Transfer from DWG Capital Group</v>
      </c>
      <c r="D808" s="12">
        <f>Angela_2025_Chase1117_Activity_!D805</f>
        <v>2000</v>
      </c>
    </row>
    <row r="809" spans="1:4" x14ac:dyDescent="0.25">
      <c r="A809" s="26">
        <f>Angela_2025_Chase1117_Activity_!B806</f>
        <v>45908</v>
      </c>
      <c r="B809" s="6" t="str">
        <f>Angela_2025_Chase1117_Activity_!C806</f>
        <v>UBER * EATS PENDING SAN FRANCISCO CA 115453  09/07</v>
      </c>
      <c r="C809" s="6" t="str">
        <f>Angela_2025_Chase1117_Activity_!G806</f>
        <v>Uber Eats</v>
      </c>
      <c r="D809" s="12">
        <f>Angela_2025_Chase1117_Activity_!D806</f>
        <v>-42.5</v>
      </c>
    </row>
    <row r="810" spans="1:4" x14ac:dyDescent="0.25">
      <c r="A810" s="26">
        <f>Angela_2025_Chase1117_Activity_!B807</f>
        <v>45908</v>
      </c>
      <c r="B810" s="6" t="str">
        <f>Angela_2025_Chase1117_Activity_!C807</f>
        <v>Prime Video Channels amzn.com/bill WA        09/07</v>
      </c>
      <c r="C810" s="6" t="str">
        <f>Angela_2025_Chase1117_Activity_!G807</f>
        <v>Amazon</v>
      </c>
      <c r="D810" s="12">
        <f>Angela_2025_Chase1117_Activity_!D807</f>
        <v>-13.99</v>
      </c>
    </row>
    <row r="811" spans="1:4" x14ac:dyDescent="0.25">
      <c r="A811" s="26">
        <f>Angela_2025_Chase1117_Activity_!B808</f>
        <v>45908</v>
      </c>
      <c r="B811" s="6" t="str">
        <f>Angela_2025_Chase1117_Activity_!C808</f>
        <v>UBER   * EATS PENDIN SAN FRANCISCO CA076257  09/07</v>
      </c>
      <c r="C811" s="6" t="str">
        <f>Angela_2025_Chase1117_Activity_!G808</f>
        <v>Uber Eats</v>
      </c>
      <c r="D811" s="12">
        <f>Angela_2025_Chase1117_Activity_!D808</f>
        <v>-38.82</v>
      </c>
    </row>
    <row r="812" spans="1:4" x14ac:dyDescent="0.25">
      <c r="A812" s="26">
        <f>Angela_2025_Chase1117_Activity_!B809</f>
        <v>45908</v>
      </c>
      <c r="B812" s="6" t="str">
        <f>Angela_2025_Chase1117_Activity_!C809</f>
        <v>AMAZON MKTPL*IF32Q7W Amzn.com/bill WA        09/07</v>
      </c>
      <c r="C812" s="6" t="str">
        <f>Angela_2025_Chase1117_Activity_!G809</f>
        <v>Amazon</v>
      </c>
      <c r="D812" s="12">
        <f>Angela_2025_Chase1117_Activity_!D809</f>
        <v>-38.4</v>
      </c>
    </row>
    <row r="813" spans="1:4" x14ac:dyDescent="0.25">
      <c r="A813" s="26">
        <f>Angela_2025_Chase1117_Activity_!B810</f>
        <v>45908</v>
      </c>
      <c r="B813" s="6" t="str">
        <f>Angela_2025_Chase1117_Activity_!C810</f>
        <v>SP MITO RED LIGHT MITOREDLIGHT. AZ           09/07</v>
      </c>
      <c r="C813" s="6" t="str">
        <f>Angela_2025_Chase1117_Activity_!G810</f>
        <v>Personal - Health</v>
      </c>
      <c r="D813" s="12">
        <f>Angela_2025_Chase1117_Activity_!D810</f>
        <v>-133.24</v>
      </c>
    </row>
    <row r="814" spans="1:4" x14ac:dyDescent="0.25">
      <c r="A814" s="26">
        <f>Angela_2025_Chase1117_Activity_!B811</f>
        <v>45908</v>
      </c>
      <c r="B814" s="6" t="str">
        <f>Angela_2025_Chase1117_Activity_!C811</f>
        <v>UBER *TRIP SAN FRANCISCO CA          663539  09/07</v>
      </c>
      <c r="C814" s="6" t="str">
        <f>Angela_2025_Chase1117_Activity_!G811</f>
        <v>Personal - Uber</v>
      </c>
      <c r="D814" s="12">
        <f>Angela_2025_Chase1117_Activity_!D811</f>
        <v>-51.42</v>
      </c>
    </row>
    <row r="815" spans="1:4" x14ac:dyDescent="0.25">
      <c r="A815" s="26">
        <f>Angela_2025_Chase1117_Activity_!B812</f>
        <v>45908</v>
      </c>
      <c r="B815" s="6" t="str">
        <f>Angela_2025_Chase1117_Activity_!C812</f>
        <v>PP*FOREVER GREY VALLEY VILLAG CA             09/06</v>
      </c>
      <c r="C815" s="6" t="str">
        <f>Angela_2025_Chase1117_Activity_!G812</f>
        <v>Personal - Clothing</v>
      </c>
      <c r="D815" s="12">
        <f>Angela_2025_Chase1117_Activity_!D812</f>
        <v>-90</v>
      </c>
    </row>
    <row r="816" spans="1:4" x14ac:dyDescent="0.25">
      <c r="A816" s="26">
        <f>Angela_2025_Chase1117_Activity_!B813</f>
        <v>45908</v>
      </c>
      <c r="B816" s="6" t="str">
        <f>Angela_2025_Chase1117_Activity_!C813</f>
        <v>TST* CHECKER HALL LOS ANGELES CA             09/07</v>
      </c>
      <c r="C816" s="6" t="str">
        <f>Angela_2025_Chase1117_Activity_!G813</f>
        <v>Personal - Food</v>
      </c>
      <c r="D816" s="12">
        <f>Angela_2025_Chase1117_Activity_!D813</f>
        <v>-92.44</v>
      </c>
    </row>
    <row r="817" spans="1:4" x14ac:dyDescent="0.25">
      <c r="A817" s="26">
        <f>Angela_2025_Chase1117_Activity_!B814</f>
        <v>45908</v>
      </c>
      <c r="B817" s="6" t="str">
        <f>Angela_2025_Chase1117_Activity_!C814</f>
        <v>UBER * EATS PENDING SAN FRANCISCO CA 401460  09/06</v>
      </c>
      <c r="C817" s="6" t="str">
        <f>Angela_2025_Chase1117_Activity_!G814</f>
        <v>Uber Eats</v>
      </c>
      <c r="D817" s="12">
        <f>Angela_2025_Chase1117_Activity_!D814</f>
        <v>-39.6</v>
      </c>
    </row>
    <row r="818" spans="1:4" x14ac:dyDescent="0.25">
      <c r="A818" s="26">
        <f>Angela_2025_Chase1117_Activity_!B815</f>
        <v>45908</v>
      </c>
      <c r="B818" s="6" t="str">
        <f>Angela_2025_Chase1117_Activity_!C815</f>
        <v>GOOGLE *YouTubePremi g.co/helppay# CA        09/06</v>
      </c>
      <c r="C818" s="6" t="str">
        <f>Angela_2025_Chase1117_Activity_!G815</f>
        <v>YouTube Premium</v>
      </c>
      <c r="D818" s="12">
        <f>Angela_2025_Chase1117_Activity_!D815</f>
        <v>-13.99</v>
      </c>
    </row>
    <row r="819" spans="1:4" x14ac:dyDescent="0.25">
      <c r="A819" s="26">
        <f>Angela_2025_Chase1117_Activity_!B816</f>
        <v>45908</v>
      </c>
      <c r="B819" s="6" t="str">
        <f>Angela_2025_Chase1117_Activity_!C816</f>
        <v>AMC 0446 MARINA MARK MARINA DEL RE CA        09/05</v>
      </c>
      <c r="C819" s="6" t="str">
        <f>Angela_2025_Chase1117_Activity_!G816</f>
        <v>Personal - Entertainment</v>
      </c>
      <c r="D819" s="12">
        <f>Angela_2025_Chase1117_Activity_!D816</f>
        <v>-18.34</v>
      </c>
    </row>
    <row r="820" spans="1:4" x14ac:dyDescent="0.25">
      <c r="A820" s="26">
        <f>Angela_2025_Chase1117_Activity_!B817</f>
        <v>45908</v>
      </c>
      <c r="B820" s="6" t="str">
        <f>Angela_2025_Chase1117_Activity_!C817</f>
        <v>SP RAJANIMD STORE.RAJANIM OR                 09/06</v>
      </c>
      <c r="C820" s="6" t="str">
        <f>Angela_2025_Chase1117_Activity_!G817</f>
        <v>Personal - Health</v>
      </c>
      <c r="D820" s="12">
        <f>Angela_2025_Chase1117_Activity_!D817</f>
        <v>-457.67</v>
      </c>
    </row>
    <row r="821" spans="1:4" x14ac:dyDescent="0.25">
      <c r="A821" s="26">
        <f>Angela_2025_Chase1117_Activity_!B818</f>
        <v>45908</v>
      </c>
      <c r="B821" s="6" t="str">
        <f>Angela_2025_Chase1117_Activity_!C818</f>
        <v>PSYCHOLOGY TODAY PSYCHOLOGYTOD SD            09/06</v>
      </c>
      <c r="C821" s="6" t="str">
        <f>Angela_2025_Chase1117_Activity_!G818</f>
        <v>Personal - Subscription</v>
      </c>
      <c r="D821" s="12">
        <f>Angela_2025_Chase1117_Activity_!D818</f>
        <v>-29.95</v>
      </c>
    </row>
    <row r="822" spans="1:4" x14ac:dyDescent="0.25">
      <c r="A822" s="26">
        <f>Angela_2025_Chase1117_Activity_!B819</f>
        <v>45908</v>
      </c>
      <c r="B822" s="6" t="str">
        <f>Angela_2025_Chase1117_Activity_!C819</f>
        <v>ELEVENLABS.IO ELEVENLABS.IO NY               09/06</v>
      </c>
      <c r="C822" s="6" t="str">
        <f>Angela_2025_Chase1117_Activity_!G819</f>
        <v>Personal - Subscription</v>
      </c>
      <c r="D822" s="12">
        <f>Angela_2025_Chase1117_Activity_!D819</f>
        <v>-22</v>
      </c>
    </row>
    <row r="823" spans="1:4" x14ac:dyDescent="0.25">
      <c r="A823" s="26">
        <f>Angela_2025_Chase1117_Activity_!B820</f>
        <v>45908</v>
      </c>
      <c r="B823" s="6" t="str">
        <f>Angela_2025_Chase1117_Activity_!C820</f>
        <v>ETSY, INC. 718-8557955 NY                    09/06</v>
      </c>
      <c r="C823" s="6" t="str">
        <f>Angela_2025_Chase1117_Activity_!G820</f>
        <v>Etsy</v>
      </c>
      <c r="D823" s="12">
        <f>Angela_2025_Chase1117_Activity_!D820</f>
        <v>-505.25</v>
      </c>
    </row>
    <row r="824" spans="1:4" x14ac:dyDescent="0.25">
      <c r="A824" s="26">
        <f>Angela_2025_Chase1117_Activity_!B821</f>
        <v>45908</v>
      </c>
      <c r="B824" s="6" t="str">
        <f>Angela_2025_Chase1117_Activity_!C821</f>
        <v>Amazon Tips*SY7971JD Amzn.com/bill WA        09/05</v>
      </c>
      <c r="C824" s="6" t="str">
        <f>Angela_2025_Chase1117_Activity_!G821</f>
        <v>Amazon</v>
      </c>
      <c r="D824" s="12">
        <f>Angela_2025_Chase1117_Activity_!D821</f>
        <v>-20</v>
      </c>
    </row>
    <row r="825" spans="1:4" x14ac:dyDescent="0.25">
      <c r="A825" s="26">
        <f>Angela_2025_Chase1117_Activity_!B822</f>
        <v>45908</v>
      </c>
      <c r="B825" s="6" t="str">
        <f>Angela_2025_Chase1117_Activity_!C822</f>
        <v>PAYPAL *SPIRITUNITY S 818-807-3396 CA        09/06</v>
      </c>
      <c r="C825" s="6" t="str">
        <f>Angela_2025_Chase1117_Activity_!G822</f>
        <v>Personal - Subscription</v>
      </c>
      <c r="D825" s="12">
        <f>Angela_2025_Chase1117_Activity_!D822</f>
        <v>-375</v>
      </c>
    </row>
    <row r="826" spans="1:4" x14ac:dyDescent="0.25">
      <c r="A826" s="26">
        <f>Angela_2025_Chase1117_Activity_!B823</f>
        <v>45908</v>
      </c>
      <c r="B826" s="6" t="str">
        <f>Angela_2025_Chase1117_Activity_!C823</f>
        <v>AMAZON MKTPL*FQ66M6Q Amzn.com/bill WA        09/05</v>
      </c>
      <c r="C826" s="6" t="str">
        <f>Angela_2025_Chase1117_Activity_!G823</f>
        <v>Amazon</v>
      </c>
      <c r="D826" s="12">
        <f>Angela_2025_Chase1117_Activity_!D823</f>
        <v>-9.8699999999999992</v>
      </c>
    </row>
    <row r="827" spans="1:4" x14ac:dyDescent="0.25">
      <c r="A827" s="26">
        <f>Angela_2025_Chase1117_Activity_!B824</f>
        <v>45905</v>
      </c>
      <c r="B827" s="6" t="str">
        <f>Angela_2025_Chase1117_Activity_!C824</f>
        <v>CVS/PHARMACY #08871 MARINA DEL RE CA 017441  09/05</v>
      </c>
      <c r="C827" s="6" t="str">
        <f>Angela_2025_Chase1117_Activity_!G824</f>
        <v>Personal - Health</v>
      </c>
      <c r="D827" s="12">
        <f>Angela_2025_Chase1117_Activity_!D824</f>
        <v>-305.52</v>
      </c>
    </row>
    <row r="828" spans="1:4" x14ac:dyDescent="0.25">
      <c r="A828" s="26">
        <f>Angela_2025_Chase1117_Activity_!B825</f>
        <v>45905</v>
      </c>
      <c r="B828" s="6" t="str">
        <f>Angela_2025_Chase1117_Activity_!C825</f>
        <v>CVS/PHARMACY #08871 MARINA DEL RE CA 063689  09/05</v>
      </c>
      <c r="C828" s="6" t="str">
        <f>Angela_2025_Chase1117_Activity_!G825</f>
        <v>Personal - Health</v>
      </c>
      <c r="D828" s="12">
        <f>Angela_2025_Chase1117_Activity_!D825</f>
        <v>-32.909999999999997</v>
      </c>
    </row>
    <row r="829" spans="1:4" x14ac:dyDescent="0.25">
      <c r="A829" s="26">
        <f>Angela_2025_Chase1117_Activity_!B826</f>
        <v>45905</v>
      </c>
      <c r="B829" s="6" t="str">
        <f>Angela_2025_Chase1117_Activity_!C826</f>
        <v>UBR* PENDING.UBER.CO SAN FRANCISCO CA571861  09/04</v>
      </c>
      <c r="C829" s="6" t="str">
        <f>Angela_2025_Chase1117_Activity_!G826</f>
        <v>Personal - Uber</v>
      </c>
      <c r="D829" s="12">
        <f>Angela_2025_Chase1117_Activity_!D826</f>
        <v>-74.92</v>
      </c>
    </row>
    <row r="830" spans="1:4" x14ac:dyDescent="0.25">
      <c r="A830" s="26">
        <f>Angela_2025_Chase1117_Activity_!B827</f>
        <v>45905</v>
      </c>
      <c r="B830" s="6" t="str">
        <f>Angela_2025_Chase1117_Activity_!C827</f>
        <v>Amazon Tips*NF9RB9GT Amzn.com/bill WA        09/05</v>
      </c>
      <c r="C830" s="6" t="str">
        <f>Angela_2025_Chase1117_Activity_!G827</f>
        <v>Amazon</v>
      </c>
      <c r="D830" s="12">
        <f>Angela_2025_Chase1117_Activity_!D827</f>
        <v>-30</v>
      </c>
    </row>
    <row r="831" spans="1:4" x14ac:dyDescent="0.25">
      <c r="A831" s="26">
        <f>Angela_2025_Chase1117_Activity_!B828</f>
        <v>45905</v>
      </c>
      <c r="B831" s="6" t="str">
        <f>Angela_2025_Chase1117_Activity_!C828</f>
        <v>HOLLYWOOD BOWL 410-6882489 CA                09/04</v>
      </c>
      <c r="C831" s="6" t="str">
        <f>Angela_2025_Chase1117_Activity_!G828</f>
        <v>Personal - Entertainment</v>
      </c>
      <c r="D831" s="12">
        <f>Angela_2025_Chase1117_Activity_!D828</f>
        <v>-22.06</v>
      </c>
    </row>
    <row r="832" spans="1:4" x14ac:dyDescent="0.25">
      <c r="A832" s="26">
        <f>Angela_2025_Chase1117_Activity_!B829</f>
        <v>45905</v>
      </c>
      <c r="B832" s="6" t="str">
        <f>Angela_2025_Chase1117_Activity_!C829</f>
        <v>HWB TAPIN2 1 LOS ANGELES CA                  09/04</v>
      </c>
      <c r="C832" s="6" t="str">
        <f>Angela_2025_Chase1117_Activity_!G829</f>
        <v>Personal - Entertainment</v>
      </c>
      <c r="D832" s="12">
        <f>Angela_2025_Chase1117_Activity_!D829</f>
        <v>-25.31</v>
      </c>
    </row>
    <row r="833" spans="1:4" x14ac:dyDescent="0.25">
      <c r="A833" s="26">
        <f>Angela_2025_Chase1117_Activity_!B830</f>
        <v>45905</v>
      </c>
      <c r="B833" s="6" t="str">
        <f>Angela_2025_Chase1117_Activity_!C830</f>
        <v>AMAZON MKTPL*DE8H64X Amzn.com/bill WA        09/05</v>
      </c>
      <c r="C833" s="6" t="str">
        <f>Angela_2025_Chase1117_Activity_!G830</f>
        <v>Amazon</v>
      </c>
      <c r="D833" s="12">
        <f>Angela_2025_Chase1117_Activity_!D830</f>
        <v>-80.180000000000007</v>
      </c>
    </row>
    <row r="834" spans="1:4" x14ac:dyDescent="0.25">
      <c r="A834" s="26">
        <f>Angela_2025_Chase1117_Activity_!B831</f>
        <v>45905</v>
      </c>
      <c r="B834" s="6" t="str">
        <f>Angela_2025_Chase1117_Activity_!C831</f>
        <v>Amazon.com*DA6XR0NM3 Amzn.com/bill WA        09/04</v>
      </c>
      <c r="C834" s="6" t="str">
        <f>Angela_2025_Chase1117_Activity_!G831</f>
        <v>Amazon</v>
      </c>
      <c r="D834" s="12">
        <f>Angela_2025_Chase1117_Activity_!D831</f>
        <v>-39.15</v>
      </c>
    </row>
    <row r="835" spans="1:4" x14ac:dyDescent="0.25">
      <c r="A835" s="26">
        <f>Angela_2025_Chase1117_Activity_!B832</f>
        <v>45905</v>
      </c>
      <c r="B835" s="6" t="str">
        <f>Angela_2025_Chase1117_Activity_!C832</f>
        <v>Zara.com New York NY                         09/05</v>
      </c>
      <c r="C835" s="6" t="str">
        <f>Angela_2025_Chase1117_Activity_!G832</f>
        <v>Personal - Shopping</v>
      </c>
      <c r="D835" s="12">
        <f>Angela_2025_Chase1117_Activity_!D832</f>
        <v>-371.74</v>
      </c>
    </row>
    <row r="836" spans="1:4" x14ac:dyDescent="0.25">
      <c r="A836" s="26">
        <f>Angela_2025_Chase1117_Activity_!B833</f>
        <v>45905</v>
      </c>
      <c r="B836" s="6" t="str">
        <f>Angela_2025_Chase1117_Activity_!C833</f>
        <v>Online Transfer from CHK ...1168 transaction#: 26125672034</v>
      </c>
      <c r="C836" s="6" t="str">
        <f>Angela_2025_Chase1117_Activity_!G833</f>
        <v>Transfer from DWG Capital Group</v>
      </c>
      <c r="D836" s="12">
        <f>Angela_2025_Chase1117_Activity_!D833</f>
        <v>1000</v>
      </c>
    </row>
    <row r="837" spans="1:4" x14ac:dyDescent="0.25">
      <c r="A837" s="26">
        <f>Angela_2025_Chase1117_Activity_!B834</f>
        <v>45904</v>
      </c>
      <c r="B837" s="6" t="str">
        <f>Angela_2025_Chase1117_Activity_!C834</f>
        <v>CVS/PHARMACY #09493 MAR VISTA CA     013273  09/04</v>
      </c>
      <c r="C837" s="6" t="str">
        <f>Angela_2025_Chase1117_Activity_!G834</f>
        <v>Personal - Health</v>
      </c>
      <c r="D837" s="12">
        <f>Angela_2025_Chase1117_Activity_!D834</f>
        <v>-45.09</v>
      </c>
    </row>
    <row r="838" spans="1:4" x14ac:dyDescent="0.25">
      <c r="A838" s="26">
        <f>Angela_2025_Chase1117_Activity_!B835</f>
        <v>45904</v>
      </c>
      <c r="B838" s="6" t="str">
        <f>Angela_2025_Chase1117_Activity_!C835</f>
        <v>WITHDRAWAL 09/04</v>
      </c>
      <c r="C838" s="6" t="str">
        <f>Angela_2025_Chase1117_Activity_!G835</f>
        <v>Withdrawal</v>
      </c>
      <c r="D838" s="12">
        <f>Angela_2025_Chase1117_Activity_!D835</f>
        <v>-1000</v>
      </c>
    </row>
    <row r="839" spans="1:4" x14ac:dyDescent="0.25">
      <c r="A839" s="26">
        <f>Angela_2025_Chase1117_Activity_!B836</f>
        <v>45904</v>
      </c>
      <c r="B839" s="6" t="str">
        <f>Angela_2025_Chase1117_Activity_!C836</f>
        <v>mango.com USA 866-6664664 NY                 09/04</v>
      </c>
      <c r="C839" s="6" t="str">
        <f>Angela_2025_Chase1117_Activity_!G836</f>
        <v>Personal - Shopping</v>
      </c>
      <c r="D839" s="12">
        <f>Angela_2025_Chase1117_Activity_!D836</f>
        <v>-88.4</v>
      </c>
    </row>
    <row r="840" spans="1:4" x14ac:dyDescent="0.25">
      <c r="A840" s="26">
        <f>Angela_2025_Chase1117_Activity_!B837</f>
        <v>45904</v>
      </c>
      <c r="B840" s="6" t="str">
        <f>Angela_2025_Chase1117_Activity_!C837</f>
        <v>Amazon.com*NC0XR0KX3 Amzn.com/bill WA        09/04</v>
      </c>
      <c r="C840" s="6" t="str">
        <f>Angela_2025_Chase1117_Activity_!G837</f>
        <v>Amazon</v>
      </c>
      <c r="D840" s="12">
        <f>Angela_2025_Chase1117_Activity_!D837</f>
        <v>-238.5</v>
      </c>
    </row>
    <row r="841" spans="1:4" x14ac:dyDescent="0.25">
      <c r="A841" s="26">
        <f>Angela_2025_Chase1117_Activity_!B838</f>
        <v>45904</v>
      </c>
      <c r="B841" s="6" t="str">
        <f>Angela_2025_Chase1117_Activity_!C838</f>
        <v>Amazon.com*WA1NT6OL3 Amzn.com/bill WA        09/04</v>
      </c>
      <c r="C841" s="6" t="str">
        <f>Angela_2025_Chase1117_Activity_!G838</f>
        <v>Amazon</v>
      </c>
      <c r="D841" s="12">
        <f>Angela_2025_Chase1117_Activity_!D838</f>
        <v>-39.51</v>
      </c>
    </row>
    <row r="842" spans="1:4" x14ac:dyDescent="0.25">
      <c r="A842" s="26">
        <f>Angela_2025_Chase1117_Activity_!B839</f>
        <v>45904</v>
      </c>
      <c r="B842" s="6" t="str">
        <f>Angela_2025_Chase1117_Activity_!C839</f>
        <v>Zara.com/USA 855-6359272 NY                  09/03</v>
      </c>
      <c r="C842" s="6" t="str">
        <f>Angela_2025_Chase1117_Activity_!G839</f>
        <v>Personal - Shopping</v>
      </c>
      <c r="D842" s="12">
        <f>Angela_2025_Chase1117_Activity_!D839</f>
        <v>-432.08</v>
      </c>
    </row>
    <row r="843" spans="1:4" x14ac:dyDescent="0.25">
      <c r="A843" s="26">
        <f>Angela_2025_Chase1117_Activity_!B840</f>
        <v>45904</v>
      </c>
      <c r="B843" s="6" t="str">
        <f>Angela_2025_Chase1117_Activity_!C840</f>
        <v>DEPOSIT  ID NUMBER 125555</v>
      </c>
      <c r="C843" s="6" t="str">
        <f>Angela_2025_Chase1117_Activity_!G840</f>
        <v>Deposit</v>
      </c>
      <c r="D843" s="12">
        <f>Angela_2025_Chase1117_Activity_!D840</f>
        <v>1050</v>
      </c>
    </row>
    <row r="844" spans="1:4" x14ac:dyDescent="0.25">
      <c r="A844" s="26">
        <f>Angela_2025_Chase1117_Activity_!B841</f>
        <v>45903</v>
      </c>
      <c r="B844" s="6" t="str">
        <f>Angela_2025_Chase1117_Activity_!C841</f>
        <v>THE HOME DEPOT #6611 LOS ANGELES CA  048209  09/03</v>
      </c>
      <c r="C844" s="6" t="str">
        <f>Angela_2025_Chase1117_Activity_!G841</f>
        <v>Personal - Shopping</v>
      </c>
      <c r="D844" s="12">
        <f>Angela_2025_Chase1117_Activity_!D841</f>
        <v>-128.1</v>
      </c>
    </row>
    <row r="845" spans="1:4" x14ac:dyDescent="0.25">
      <c r="A845" s="26">
        <f>Angela_2025_Chase1117_Activity_!B842</f>
        <v>45903</v>
      </c>
      <c r="B845" s="6" t="str">
        <f>Angela_2025_Chase1117_Activity_!C842</f>
        <v>UBER *TRIP SAN FRANCISCO CA          087930  09/03</v>
      </c>
      <c r="C845" s="6" t="str">
        <f>Angela_2025_Chase1117_Activity_!G842</f>
        <v>Personal - Uber</v>
      </c>
      <c r="D845" s="12">
        <f>Angela_2025_Chase1117_Activity_!D842</f>
        <v>-4</v>
      </c>
    </row>
    <row r="846" spans="1:4" x14ac:dyDescent="0.25">
      <c r="A846" s="26">
        <f>Angela_2025_Chase1117_Activity_!B843</f>
        <v>45903</v>
      </c>
      <c r="B846" s="6" t="str">
        <f>Angela_2025_Chase1117_Activity_!C843</f>
        <v>UBER   * PENDING SAN FRANCISCO CA    013031  09/03</v>
      </c>
      <c r="C846" s="6" t="str">
        <f>Angela_2025_Chase1117_Activity_!G843</f>
        <v>Personal - Uber</v>
      </c>
      <c r="D846" s="12">
        <f>Angela_2025_Chase1117_Activity_!D843</f>
        <v>-18.760000000000002</v>
      </c>
    </row>
    <row r="847" spans="1:4" x14ac:dyDescent="0.25">
      <c r="A847" s="26">
        <f>Angela_2025_Chase1117_Activity_!B844</f>
        <v>45903</v>
      </c>
      <c r="B847" s="6" t="str">
        <f>Angela_2025_Chase1117_Activity_!C844</f>
        <v>APPLE.COM/BILL 866-712-7753 CA               09/02</v>
      </c>
      <c r="C847" s="6" t="str">
        <f>Angela_2025_Chase1117_Activity_!G844</f>
        <v>Apple</v>
      </c>
      <c r="D847" s="12">
        <f>Angela_2025_Chase1117_Activity_!D844</f>
        <v>-3.99</v>
      </c>
    </row>
    <row r="848" spans="1:4" x14ac:dyDescent="0.25">
      <c r="A848" s="26">
        <f>Angela_2025_Chase1117_Activity_!B845</f>
        <v>45903</v>
      </c>
      <c r="B848" s="6" t="str">
        <f>Angela_2025_Chase1117_Activity_!C845</f>
        <v>BANDCAMPYOUNGANDCOLDRE BANDCAMPCOM CA        09/02</v>
      </c>
      <c r="C848" s="6" t="str">
        <f>Angela_2025_Chase1117_Activity_!G845</f>
        <v>Personal - Entertainment</v>
      </c>
      <c r="D848" s="12">
        <f>Angela_2025_Chase1117_Activity_!D845</f>
        <v>-125.34</v>
      </c>
    </row>
    <row r="849" spans="1:4" x14ac:dyDescent="0.25">
      <c r="A849" s="26">
        <f>Angela_2025_Chase1117_Activity_!B846</f>
        <v>45903</v>
      </c>
      <c r="B849" s="6" t="str">
        <f>Angela_2025_Chase1117_Activity_!C846</f>
        <v>ZARA USA PREOWNED WWW.ZARA.COM/ NY           09/03</v>
      </c>
      <c r="C849" s="6" t="str">
        <f>Angela_2025_Chase1117_Activity_!G846</f>
        <v>Personal - Shopping</v>
      </c>
      <c r="D849" s="12">
        <f>Angela_2025_Chase1117_Activity_!D846</f>
        <v>-34.96</v>
      </c>
    </row>
    <row r="850" spans="1:4" x14ac:dyDescent="0.25">
      <c r="A850" s="26">
        <f>Angela_2025_Chase1117_Activity_!B847</f>
        <v>45903</v>
      </c>
      <c r="B850" s="6" t="str">
        <f>Angela_2025_Chase1117_Activity_!C847</f>
        <v>Online Transfer from CHK ...1168 transaction#: 26095018368</v>
      </c>
      <c r="C850" s="6" t="str">
        <f>Angela_2025_Chase1117_Activity_!G847</f>
        <v>Transfer from DWG Capital Group</v>
      </c>
      <c r="D850" s="12">
        <f>Angela_2025_Chase1117_Activity_!D847</f>
        <v>3000</v>
      </c>
    </row>
    <row r="851" spans="1:4" x14ac:dyDescent="0.25">
      <c r="A851" s="26">
        <f>Angela_2025_Chase1117_Activity_!B848</f>
        <v>45902</v>
      </c>
      <c r="B851" s="6" t="str">
        <f>Angela_2025_Chase1117_Activity_!C848</f>
        <v>ETSY ETSY.COM*WWWNEOMF BROOKLYN NY   085840  09/02</v>
      </c>
      <c r="C851" s="6" t="str">
        <f>Angela_2025_Chase1117_Activity_!G848</f>
        <v>Etsy</v>
      </c>
      <c r="D851" s="12">
        <f>Angela_2025_Chase1117_Activity_!D848</f>
        <v>-527.16999999999996</v>
      </c>
    </row>
    <row r="852" spans="1:4" x14ac:dyDescent="0.25">
      <c r="A852" s="26">
        <f>Angela_2025_Chase1117_Activity_!B849</f>
        <v>45902</v>
      </c>
      <c r="B852" s="6" t="str">
        <f>Angela_2025_Chase1117_Activity_!C849</f>
        <v>PNM*THE TOLLROADS SANTA CLARA CA     641325  09/02</v>
      </c>
      <c r="C852" s="6" t="str">
        <f>Angela_2025_Chase1117_Activity_!G849</f>
        <v>Personal - Car</v>
      </c>
      <c r="D852" s="12">
        <f>Angela_2025_Chase1117_Activity_!D849</f>
        <v>-15.04</v>
      </c>
    </row>
    <row r="853" spans="1:4" x14ac:dyDescent="0.25">
      <c r="A853" s="26">
        <f>Angela_2025_Chase1117_Activity_!B850</f>
        <v>45902</v>
      </c>
      <c r="B853" s="6" t="str">
        <f>Angela_2025_Chase1117_Activity_!C850</f>
        <v>UBER *TRIP SAN FRANCISCO CA          115932  09/02</v>
      </c>
      <c r="C853" s="6" t="str">
        <f>Angela_2025_Chase1117_Activity_!G850</f>
        <v>Personal - Uber</v>
      </c>
      <c r="D853" s="12">
        <f>Angela_2025_Chase1117_Activity_!D850</f>
        <v>-27.96</v>
      </c>
    </row>
    <row r="854" spans="1:4" x14ac:dyDescent="0.25">
      <c r="A854" s="26">
        <f>Angela_2025_Chase1117_Activity_!B851</f>
        <v>45902</v>
      </c>
      <c r="B854" s="6" t="str">
        <f>Angela_2025_Chase1117_Activity_!C851</f>
        <v>ETSY, INC. 718-8557955 NY                    09/02</v>
      </c>
      <c r="C854" s="6" t="str">
        <f>Angela_2025_Chase1117_Activity_!G851</f>
        <v>Etsy</v>
      </c>
      <c r="D854" s="12">
        <f>Angela_2025_Chase1117_Activity_!D851</f>
        <v>-476.8</v>
      </c>
    </row>
    <row r="855" spans="1:4" x14ac:dyDescent="0.25">
      <c r="A855" s="26">
        <f>Angela_2025_Chase1117_Activity_!B852</f>
        <v>45902</v>
      </c>
      <c r="B855" s="6" t="str">
        <f>Angela_2025_Chase1117_Activity_!C852</f>
        <v>TRU*TRUEDARK TRUEDARK.COM WA                 09/02</v>
      </c>
      <c r="C855" s="6" t="str">
        <f>Angela_2025_Chase1117_Activity_!G852</f>
        <v>Personal - Health</v>
      </c>
      <c r="D855" s="12">
        <f>Angela_2025_Chase1117_Activity_!D852</f>
        <v>-239.98</v>
      </c>
    </row>
    <row r="856" spans="1:4" x14ac:dyDescent="0.25">
      <c r="A856" s="26">
        <f>Angela_2025_Chase1117_Activity_!B853</f>
        <v>45902</v>
      </c>
      <c r="B856" s="6" t="str">
        <f>Angela_2025_Chase1117_Activity_!C853</f>
        <v>AMAZON MKTPL*EL36710 Amzn.com/bill WA        09/01</v>
      </c>
      <c r="C856" s="6" t="str">
        <f>Angela_2025_Chase1117_Activity_!G853</f>
        <v>Amazon</v>
      </c>
      <c r="D856" s="12">
        <f>Angela_2025_Chase1117_Activity_!D853</f>
        <v>-32.909999999999997</v>
      </c>
    </row>
    <row r="857" spans="1:4" x14ac:dyDescent="0.25">
      <c r="A857" s="26">
        <f>Angela_2025_Chase1117_Activity_!B854</f>
        <v>45902</v>
      </c>
      <c r="B857" s="6" t="str">
        <f>Angela_2025_Chase1117_Activity_!C854</f>
        <v>LODGEROOM/CHECKERHAL LODGEROOMHLP. CA        09/01</v>
      </c>
      <c r="C857" s="6" t="str">
        <f>Angela_2025_Chase1117_Activity_!G854</f>
        <v>Personal - Entertainment</v>
      </c>
      <c r="D857" s="12">
        <f>Angela_2025_Chase1117_Activity_!D854</f>
        <v>-62.5</v>
      </c>
    </row>
    <row r="858" spans="1:4" x14ac:dyDescent="0.25">
      <c r="A858" s="26">
        <f>Angela_2025_Chase1117_Activity_!B855</f>
        <v>45902</v>
      </c>
      <c r="B858" s="6" t="str">
        <f>Angela_2025_Chase1117_Activity_!C855</f>
        <v>AMAZON MKTPL*YK60I7C Amzn.com/bill WA        09/01</v>
      </c>
      <c r="C858" s="6" t="str">
        <f>Angela_2025_Chase1117_Activity_!G855</f>
        <v>Amazon</v>
      </c>
      <c r="D858" s="12">
        <f>Angela_2025_Chase1117_Activity_!D855</f>
        <v>-70.2</v>
      </c>
    </row>
    <row r="859" spans="1:4" x14ac:dyDescent="0.25">
      <c r="A859" s="26">
        <f>Angela_2025_Chase1117_Activity_!B856</f>
        <v>45902</v>
      </c>
      <c r="B859" s="6" t="str">
        <f>Angela_2025_Chase1117_Activity_!C856</f>
        <v>UBER   * EATS PENDIN SAN FRANCISCO CA027017  08/31</v>
      </c>
      <c r="C859" s="6" t="str">
        <f>Angela_2025_Chase1117_Activity_!G856</f>
        <v>Uber Eats</v>
      </c>
      <c r="D859" s="12">
        <f>Angela_2025_Chase1117_Activity_!D856</f>
        <v>-132.79</v>
      </c>
    </row>
    <row r="860" spans="1:4" x14ac:dyDescent="0.25">
      <c r="A860" s="26">
        <f>Angela_2025_Chase1117_Activity_!B857</f>
        <v>45902</v>
      </c>
      <c r="B860" s="6" t="str">
        <f>Angela_2025_Chase1117_Activity_!C857</f>
        <v>LEELA QUANTUM TECH LLC 770-9908805 NM        08/31</v>
      </c>
      <c r="C860" s="6" t="str">
        <f>Angela_2025_Chase1117_Activity_!G857</f>
        <v>Personal - Subscription</v>
      </c>
      <c r="D860" s="12">
        <f>Angela_2025_Chase1117_Activity_!D857</f>
        <v>-1989.6</v>
      </c>
    </row>
    <row r="861" spans="1:4" x14ac:dyDescent="0.25">
      <c r="A861" s="26">
        <f>Angela_2025_Chase1117_Activity_!B858</f>
        <v>45902</v>
      </c>
      <c r="B861" s="6" t="str">
        <f>Angela_2025_Chase1117_Activity_!C858</f>
        <v>Amazon.com*2W3DU5PC3 Amzn.com/bill WA        09/01</v>
      </c>
      <c r="C861" s="6" t="str">
        <f>Angela_2025_Chase1117_Activity_!G858</f>
        <v>Amazon</v>
      </c>
      <c r="D861" s="12">
        <f>Angela_2025_Chase1117_Activity_!D858</f>
        <v>-19.34</v>
      </c>
    </row>
    <row r="862" spans="1:4" x14ac:dyDescent="0.25">
      <c r="A862" s="26">
        <f>Angela_2025_Chase1117_Activity_!B859</f>
        <v>45902</v>
      </c>
      <c r="B862" s="6" t="str">
        <f>Angela_2025_Chase1117_Activity_!C859</f>
        <v>FANDANGO    * FANDANGO.COM CA                08/31</v>
      </c>
      <c r="C862" s="6" t="str">
        <f>Angela_2025_Chase1117_Activity_!G859</f>
        <v>Personal - Entertainment</v>
      </c>
      <c r="D862" s="12">
        <f>Angela_2025_Chase1117_Activity_!D859</f>
        <v>-51.36</v>
      </c>
    </row>
    <row r="863" spans="1:4" x14ac:dyDescent="0.25">
      <c r="A863" s="26">
        <f>Angela_2025_Chase1117_Activity_!B860</f>
        <v>45902</v>
      </c>
      <c r="B863" s="6" t="str">
        <f>Angela_2025_Chase1117_Activity_!C860</f>
        <v>FANDANGO    * FANDANGO.COM CA                08/31</v>
      </c>
      <c r="C863" s="6" t="str">
        <f>Angela_2025_Chase1117_Activity_!G860</f>
        <v>Personal - Entertainment</v>
      </c>
      <c r="D863" s="12">
        <f>Angela_2025_Chase1117_Activity_!D860</f>
        <v>-76.72</v>
      </c>
    </row>
    <row r="864" spans="1:4" x14ac:dyDescent="0.25">
      <c r="A864" s="26">
        <f>Angela_2025_Chase1117_Activity_!B861</f>
        <v>45902</v>
      </c>
      <c r="B864" s="6" t="str">
        <f>Angela_2025_Chase1117_Activity_!C861</f>
        <v>Amazon Tips*5J4S754E Amzn.com/bill WA        08/31</v>
      </c>
      <c r="C864" s="6" t="str">
        <f>Angela_2025_Chase1117_Activity_!G861</f>
        <v>Amazon</v>
      </c>
      <c r="D864" s="12">
        <f>Angela_2025_Chase1117_Activity_!D861</f>
        <v>-20</v>
      </c>
    </row>
    <row r="865" spans="1:4" x14ac:dyDescent="0.25">
      <c r="A865" s="26">
        <f>Angela_2025_Chase1117_Activity_!B862</f>
        <v>45902</v>
      </c>
      <c r="B865" s="6" t="str">
        <f>Angela_2025_Chase1117_Activity_!C862</f>
        <v>BLUE SHIELD CALIFORNI 800-393-6130 CA        08/31</v>
      </c>
      <c r="C865" s="6" t="str">
        <f>Angela_2025_Chase1117_Activity_!G862</f>
        <v>Personal - Health Insurance</v>
      </c>
      <c r="D865" s="12">
        <f>Angela_2025_Chase1117_Activity_!D862</f>
        <v>-944.63</v>
      </c>
    </row>
    <row r="866" spans="1:4" x14ac:dyDescent="0.25">
      <c r="A866" s="26">
        <f>Angela_2025_Chase1117_Activity_!B863</f>
        <v>45902</v>
      </c>
      <c r="B866" s="6" t="str">
        <f>Angela_2025_Chase1117_Activity_!C863</f>
        <v>CVS/PHARMACY #09493 MAR VISTA CA     047375  08/30</v>
      </c>
      <c r="C866" s="6" t="str">
        <f>Angela_2025_Chase1117_Activity_!G863</f>
        <v>Personal - Health</v>
      </c>
      <c r="D866" s="12">
        <f>Angela_2025_Chase1117_Activity_!D863</f>
        <v>-99.21</v>
      </c>
    </row>
    <row r="867" spans="1:4" x14ac:dyDescent="0.25">
      <c r="A867" s="26">
        <f>Angela_2025_Chase1117_Activity_!B864</f>
        <v>45902</v>
      </c>
      <c r="B867" s="6" t="str">
        <f>Angela_2025_Chase1117_Activity_!C864</f>
        <v>HANDY J CAR WASH LOS ANGELES CA      008189  08/30</v>
      </c>
      <c r="C867" s="6" t="str">
        <f>Angela_2025_Chase1117_Activity_!G864</f>
        <v>Personal - Car</v>
      </c>
      <c r="D867" s="12">
        <f>Angela_2025_Chase1117_Activity_!D864</f>
        <v>-49.57</v>
      </c>
    </row>
    <row r="868" spans="1:4" x14ac:dyDescent="0.25">
      <c r="A868" s="26">
        <f>Angela_2025_Chase1117_Activity_!B865</f>
        <v>45902</v>
      </c>
      <c r="B868" s="6" t="str">
        <f>Angela_2025_Chase1117_Activity_!C865</f>
        <v>ALLAN JEFFRIES FRAMIN SANTA MONICA CA        08/30</v>
      </c>
      <c r="C868" s="6" t="str">
        <f>Angela_2025_Chase1117_Activity_!G865</f>
        <v>Personal - Shopping</v>
      </c>
      <c r="D868" s="12">
        <f>Angela_2025_Chase1117_Activity_!D865</f>
        <v>-400</v>
      </c>
    </row>
    <row r="869" spans="1:4" x14ac:dyDescent="0.25">
      <c r="A869" s="26">
        <f>Angela_2025_Chase1117_Activity_!B866</f>
        <v>45902</v>
      </c>
      <c r="B869" s="6" t="str">
        <f>Angela_2025_Chase1117_Activity_!C866</f>
        <v>ALLAN JEFFRIES FRAMIN SANTA MONICA CA        08/30</v>
      </c>
      <c r="C869" s="6" t="str">
        <f>Angela_2025_Chase1117_Activity_!G866</f>
        <v>Personal - Shopping</v>
      </c>
      <c r="D869" s="12">
        <f>Angela_2025_Chase1117_Activity_!D866</f>
        <v>-509.13</v>
      </c>
    </row>
    <row r="870" spans="1:4" x14ac:dyDescent="0.25">
      <c r="A870" s="26">
        <f>Angela_2025_Chase1117_Activity_!B867</f>
        <v>45902</v>
      </c>
      <c r="B870" s="6" t="str">
        <f>Angela_2025_Chase1117_Activity_!C867</f>
        <v>CITY OF SANTA MONICA SANTA MONICA CA         08/30</v>
      </c>
      <c r="C870" s="6" t="str">
        <f>Angela_2025_Chase1117_Activity_!G867</f>
        <v>Personal - Car</v>
      </c>
      <c r="D870" s="12">
        <f>Angela_2025_Chase1117_Activity_!D867</f>
        <v>-1.87</v>
      </c>
    </row>
    <row r="871" spans="1:4" x14ac:dyDescent="0.25">
      <c r="A871" s="26">
        <f>Angela_2025_Chase1117_Activity_!B868</f>
        <v>45902</v>
      </c>
      <c r="B871" s="6" t="str">
        <f>Angela_2025_Chase1117_Activity_!C868</f>
        <v>PENTESTER.COM PENTESTER.COM FL               08/30</v>
      </c>
      <c r="C871" s="6" t="str">
        <f>Angela_2025_Chase1117_Activity_!G868</f>
        <v>Personal - Subscription</v>
      </c>
      <c r="D871" s="12">
        <f>Angela_2025_Chase1117_Activity_!D868</f>
        <v>-19</v>
      </c>
    </row>
    <row r="872" spans="1:4" x14ac:dyDescent="0.25">
      <c r="A872" s="26">
        <f>Angela_2025_Chase1117_Activity_!B869</f>
        <v>45902</v>
      </c>
      <c r="B872" s="6" t="str">
        <f>Angela_2025_Chase1117_Activity_!C869</f>
        <v>Amazon.com*LA97T9TW3 Amzn.com/bill WA        08/30</v>
      </c>
      <c r="C872" s="6" t="str">
        <f>Angela_2025_Chase1117_Activity_!G869</f>
        <v>Amazon</v>
      </c>
      <c r="D872" s="12">
        <f>Angela_2025_Chase1117_Activity_!D869</f>
        <v>-112.8</v>
      </c>
    </row>
    <row r="873" spans="1:4" x14ac:dyDescent="0.25">
      <c r="A873" s="26">
        <f>Angela_2025_Chase1117_Activity_!B870</f>
        <v>45902</v>
      </c>
      <c r="B873" s="6" t="str">
        <f>Angela_2025_Chase1117_Activity_!C870</f>
        <v>Online Payment 26034219474 To SOUTHERN CALIFORNIA GAS CO 09/02</v>
      </c>
      <c r="C873" s="6" t="str">
        <f>Angela_2025_Chase1117_Activity_!G870</f>
        <v>Personal - House Bills</v>
      </c>
      <c r="D873" s="12">
        <f>Angela_2025_Chase1117_Activity_!D870</f>
        <v>-75</v>
      </c>
    </row>
    <row r="874" spans="1:4" x14ac:dyDescent="0.25">
      <c r="A874" s="26">
        <f>Angela_2025_Chase1117_Activity_!B871</f>
        <v>45902</v>
      </c>
      <c r="B874" s="6" t="str">
        <f>Angela_2025_Chase1117_Activity_!C871</f>
        <v>Online Payment 26034208979 To SAFECO INSURANCE COMPANY 09/02</v>
      </c>
      <c r="C874" s="6" t="str">
        <f>Angela_2025_Chase1117_Activity_!G871</f>
        <v>Personal - House Bills</v>
      </c>
      <c r="D874" s="12">
        <f>Angela_2025_Chase1117_Activity_!D871</f>
        <v>-120</v>
      </c>
    </row>
    <row r="875" spans="1:4" x14ac:dyDescent="0.25">
      <c r="A875" s="26">
        <f>Angela_2025_Chase1117_Activity_!B872</f>
        <v>45902</v>
      </c>
      <c r="B875" s="6" t="str">
        <f>Angela_2025_Chase1117_Activity_!C872</f>
        <v>Online Payment 26034177505 To FRONTIER TELEPHONE 09/02</v>
      </c>
      <c r="C875" s="6" t="str">
        <f>Angela_2025_Chase1117_Activity_!G872</f>
        <v>Personal - House Bills</v>
      </c>
      <c r="D875" s="12">
        <f>Angela_2025_Chase1117_Activity_!D872</f>
        <v>-300</v>
      </c>
    </row>
    <row r="876" spans="1:4" x14ac:dyDescent="0.25">
      <c r="A876" s="26">
        <f>Angela_2025_Chase1117_Activity_!B873</f>
        <v>45902</v>
      </c>
      <c r="B876" s="6" t="str">
        <f>Angela_2025_Chase1117_Activity_!C873</f>
        <v>Online Payment 26034181700 To AMERICAN EDUCATION SERVICES 09/02</v>
      </c>
      <c r="C876" s="6" t="str">
        <f>Angela_2025_Chase1117_Activity_!G873</f>
        <v>Personal - House Bills</v>
      </c>
      <c r="D876" s="12">
        <f>Angela_2025_Chase1117_Activity_!D873</f>
        <v>-320</v>
      </c>
    </row>
    <row r="877" spans="1:4" x14ac:dyDescent="0.25">
      <c r="A877" s="26">
        <f>Angela_2025_Chase1117_Activity_!B874</f>
        <v>45902</v>
      </c>
      <c r="B877" s="6" t="str">
        <f>Angela_2025_Chase1117_Activity_!C874</f>
        <v>AMAZON MKTPL*NR55R3K Amzn.com/bill WA        08/30</v>
      </c>
      <c r="C877" s="6" t="str">
        <f>Angela_2025_Chase1117_Activity_!G874</f>
        <v>Amazon</v>
      </c>
      <c r="D877" s="12">
        <f>Angela_2025_Chase1117_Activity_!D874</f>
        <v>-219.49</v>
      </c>
    </row>
    <row r="878" spans="1:4" x14ac:dyDescent="0.25">
      <c r="A878" s="26">
        <f>Angela_2025_Chase1117_Activity_!B875</f>
        <v>45902</v>
      </c>
      <c r="B878" s="6" t="str">
        <f>Angela_2025_Chase1117_Activity_!C875</f>
        <v>GOOGLE *Google One g.co/helppay# CA          08/29</v>
      </c>
      <c r="C878" s="6" t="str">
        <f>Angela_2025_Chase1117_Activity_!G875</f>
        <v>YouTube Premium</v>
      </c>
      <c r="D878" s="12">
        <f>Angela_2025_Chase1117_Activity_!D875</f>
        <v>-99.99</v>
      </c>
    </row>
    <row r="879" spans="1:4" x14ac:dyDescent="0.25">
      <c r="A879" s="26">
        <f>Angela_2025_Chase1117_Activity_!B876</f>
        <v>45902</v>
      </c>
      <c r="B879" s="6" t="str">
        <f>Angela_2025_Chase1117_Activity_!C876</f>
        <v>1928 JEWELRY COMPANY 818-841-1928 CA         08/29</v>
      </c>
      <c r="C879" s="6" t="str">
        <f>Angela_2025_Chase1117_Activity_!G876</f>
        <v>Personal - Shopping</v>
      </c>
      <c r="D879" s="12">
        <f>Angela_2025_Chase1117_Activity_!D876</f>
        <v>-279.01</v>
      </c>
    </row>
    <row r="880" spans="1:4" x14ac:dyDescent="0.25">
      <c r="A880" s="26">
        <f>Angela_2025_Chase1117_Activity_!B877</f>
        <v>45902</v>
      </c>
      <c r="B880" s="6" t="str">
        <f>Angela_2025_Chase1117_Activity_!C877</f>
        <v>Zelle payment from MARY MARGARET TRAHAN 26048506345</v>
      </c>
      <c r="C880" s="6" t="str">
        <f>Angela_2025_Chase1117_Activity_!G877</f>
        <v>Zelle from Mary Margaret Trahan</v>
      </c>
      <c r="D880" s="12">
        <f>Angela_2025_Chase1117_Activity_!D877</f>
        <v>75</v>
      </c>
    </row>
    <row r="881" spans="1:4" x14ac:dyDescent="0.25">
      <c r="A881" s="26">
        <f>Angela_2025_Chase1117_Activity_!B878</f>
        <v>45902</v>
      </c>
      <c r="B881" s="6" t="str">
        <f>Angela_2025_Chase1117_Activity_!C878</f>
        <v>Online Transfer from CHK ...1168 transaction#: 26059022499</v>
      </c>
      <c r="C881" s="6" t="str">
        <f>Angela_2025_Chase1117_Activity_!G878</f>
        <v>Transfer from DWG Capital Group</v>
      </c>
      <c r="D881" s="12">
        <f>Angela_2025_Chase1117_Activity_!D878</f>
        <v>2000</v>
      </c>
    </row>
    <row r="882" spans="1:4" x14ac:dyDescent="0.25">
      <c r="A882" s="26">
        <f>Angela_2025_Chase1117_Activity_!B879</f>
        <v>45902</v>
      </c>
      <c r="B882" s="6" t="str">
        <f>Angela_2025_Chase1117_Activity_!C879</f>
        <v>Online Transfer from CHK ...1168 transaction#: 26056697513</v>
      </c>
      <c r="C882" s="6" t="str">
        <f>Angela_2025_Chase1117_Activity_!G879</f>
        <v>Transfer from DWG Capital Group</v>
      </c>
      <c r="D882" s="12">
        <f>Angela_2025_Chase1117_Activity_!D879</f>
        <v>3000</v>
      </c>
    </row>
    <row r="883" spans="1:4" x14ac:dyDescent="0.25">
      <c r="A883" s="26">
        <f>Angela_2025_Chase1117_Activity_!B880</f>
        <v>45898</v>
      </c>
      <c r="B883" s="6" t="str">
        <f>Angela_2025_Chase1117_Activity_!C880</f>
        <v>CVSExtraCare 80074672 800-746-7287 RI        08/28</v>
      </c>
      <c r="C883" s="6" t="str">
        <f>Angela_2025_Chase1117_Activity_!G880</f>
        <v>Personal - Health</v>
      </c>
      <c r="D883" s="12">
        <f>Angela_2025_Chase1117_Activity_!D880</f>
        <v>-5.49</v>
      </c>
    </row>
    <row r="884" spans="1:4" x14ac:dyDescent="0.25">
      <c r="A884" s="26">
        <f>Angela_2025_Chase1117_Activity_!B881</f>
        <v>45898</v>
      </c>
      <c r="B884" s="6" t="str">
        <f>Angela_2025_Chase1117_Activity_!C881</f>
        <v>LA CABANA - VENICE VENICE CA                 08/27</v>
      </c>
      <c r="C884" s="6" t="str">
        <f>Angela_2025_Chase1117_Activity_!G881</f>
        <v>Personal - Food</v>
      </c>
      <c r="D884" s="12">
        <f>Angela_2025_Chase1117_Activity_!D881</f>
        <v>-137.51</v>
      </c>
    </row>
    <row r="885" spans="1:4" x14ac:dyDescent="0.25">
      <c r="A885" s="26">
        <f>Angela_2025_Chase1117_Activity_!B882</f>
        <v>45898</v>
      </c>
      <c r="B885" s="6" t="str">
        <f>Angela_2025_Chase1117_Activity_!C882</f>
        <v>CSC* VACATIA INC 855-8596983 AZ              08/26</v>
      </c>
      <c r="C885" s="6" t="str">
        <f>Angela_2025_Chase1117_Activity_!G882</f>
        <v>Personal Travel</v>
      </c>
      <c r="D885" s="12">
        <f>Angela_2025_Chase1117_Activity_!D882</f>
        <v>-249.86</v>
      </c>
    </row>
    <row r="886" spans="1:4" x14ac:dyDescent="0.25">
      <c r="A886" s="26">
        <f>Angela_2025_Chase1117_Activity_!B883</f>
        <v>45897</v>
      </c>
      <c r="B886" s="6" t="str">
        <f>Angela_2025_Chase1117_Activity_!C883</f>
        <v>GELSON'S MARKET #29 SANTA MONICA CA  626415  08/28</v>
      </c>
      <c r="C886" s="6" t="str">
        <f>Angela_2025_Chase1117_Activity_!G883</f>
        <v>Personal - Food</v>
      </c>
      <c r="D886" s="12">
        <f>Angela_2025_Chase1117_Activity_!D883</f>
        <v>-393.18</v>
      </c>
    </row>
    <row r="887" spans="1:4" x14ac:dyDescent="0.25">
      <c r="A887" s="26">
        <f>Angela_2025_Chase1117_Activity_!B884</f>
        <v>45897</v>
      </c>
      <c r="B887" s="6" t="str">
        <f>Angela_2025_Chase1117_Activity_!C884</f>
        <v>Zelle payment to Aaron Frankel JPM99bl2oq0i</v>
      </c>
      <c r="C887" s="6" t="str">
        <f>Angela_2025_Chase1117_Activity_!G884</f>
        <v>Zelle to Aaron Frankel</v>
      </c>
      <c r="D887" s="12">
        <f>Angela_2025_Chase1117_Activity_!D884</f>
        <v>-250</v>
      </c>
    </row>
    <row r="888" spans="1:4" x14ac:dyDescent="0.25">
      <c r="A888" s="26">
        <f>Angela_2025_Chase1117_Activity_!B885</f>
        <v>45897</v>
      </c>
      <c r="B888" s="6" t="str">
        <f>Angela_2025_Chase1117_Activity_!C885</f>
        <v>APPLE COM BILL CUPERTINO CA          906763  08/28</v>
      </c>
      <c r="C888" s="6" t="str">
        <f>Angela_2025_Chase1117_Activity_!G885</f>
        <v>Apple</v>
      </c>
      <c r="D888" s="12">
        <f>Angela_2025_Chase1117_Activity_!D885</f>
        <v>-5.99</v>
      </c>
    </row>
    <row r="889" spans="1:4" x14ac:dyDescent="0.25">
      <c r="A889" s="26">
        <f>Angela_2025_Chase1117_Activity_!B886</f>
        <v>45897</v>
      </c>
      <c r="B889" s="6" t="str">
        <f>Angela_2025_Chase1117_Activity_!C886</f>
        <v>Amazon Tips*FK3TF2TZ Amzn.com/bill WA        08/28</v>
      </c>
      <c r="C889" s="6" t="str">
        <f>Angela_2025_Chase1117_Activity_!G886</f>
        <v>Amazon</v>
      </c>
      <c r="D889" s="12">
        <f>Angela_2025_Chase1117_Activity_!D886</f>
        <v>-20</v>
      </c>
    </row>
    <row r="890" spans="1:4" x14ac:dyDescent="0.25">
      <c r="A890" s="26">
        <f>Angela_2025_Chase1117_Activity_!B887</f>
        <v>45897</v>
      </c>
      <c r="B890" s="6" t="str">
        <f>Angela_2025_Chase1117_Activity_!C887</f>
        <v>GRANDVIEW CLEANERS LOS ANGELES CA            08/27</v>
      </c>
      <c r="C890" s="6" t="str">
        <f>Angela_2025_Chase1117_Activity_!G887</f>
        <v>Personal - Clothing</v>
      </c>
      <c r="D890" s="12">
        <f>Angela_2025_Chase1117_Activity_!D887</f>
        <v>-343.66</v>
      </c>
    </row>
    <row r="891" spans="1:4" x14ac:dyDescent="0.25">
      <c r="A891" s="26">
        <f>Angela_2025_Chase1117_Activity_!B888</f>
        <v>45897</v>
      </c>
      <c r="B891" s="6" t="str">
        <f>Angela_2025_Chase1117_Activity_!C888</f>
        <v>Amazon.com*FC8BK7UT3 Amzn.com/bill WA        08/28</v>
      </c>
      <c r="C891" s="6" t="str">
        <f>Angela_2025_Chase1117_Activity_!G888</f>
        <v>Amazon</v>
      </c>
      <c r="D891" s="12">
        <f>Angela_2025_Chase1117_Activity_!D888</f>
        <v>-43.9</v>
      </c>
    </row>
    <row r="892" spans="1:4" x14ac:dyDescent="0.25">
      <c r="A892" s="26">
        <f>Angela_2025_Chase1117_Activity_!B889</f>
        <v>45897</v>
      </c>
      <c r="B892" s="6" t="str">
        <f>Angela_2025_Chase1117_Activity_!C889</f>
        <v>Online Transfer from CHK ...1168 transaction#: 26012643460</v>
      </c>
      <c r="C892" s="6" t="str">
        <f>Angela_2025_Chase1117_Activity_!G889</f>
        <v>Transfer from DWG Capital Group</v>
      </c>
      <c r="D892" s="12">
        <f>Angela_2025_Chase1117_Activity_!D889</f>
        <v>4000</v>
      </c>
    </row>
    <row r="893" spans="1:4" x14ac:dyDescent="0.25">
      <c r="A893" s="26">
        <f>Angela_2025_Chase1117_Activity_!B890</f>
        <v>45896</v>
      </c>
      <c r="B893" s="6" t="str">
        <f>Angela_2025_Chase1117_Activity_!C890</f>
        <v>UBER * EATS PENDING SAN FRANCISCO CA 886923  08/27</v>
      </c>
      <c r="C893" s="6" t="str">
        <f>Angela_2025_Chase1117_Activity_!G890</f>
        <v>Uber Eats</v>
      </c>
      <c r="D893" s="12">
        <f>Angela_2025_Chase1117_Activity_!D890</f>
        <v>-33.33</v>
      </c>
    </row>
    <row r="894" spans="1:4" x14ac:dyDescent="0.25">
      <c r="A894" s="26">
        <f>Angela_2025_Chase1117_Activity_!B891</f>
        <v>45896</v>
      </c>
      <c r="B894" s="6" t="str">
        <f>Angela_2025_Chase1117_Activity_!C891</f>
        <v>FOLLOW YOUR HEART MARK CANOGA PARK CA952907  08/26</v>
      </c>
      <c r="C894" s="6" t="str">
        <f>Angela_2025_Chase1117_Activity_!G891</f>
        <v>Personal - Food</v>
      </c>
      <c r="D894" s="12">
        <f>Angela_2025_Chase1117_Activity_!D891</f>
        <v>-313.12</v>
      </c>
    </row>
    <row r="895" spans="1:4" x14ac:dyDescent="0.25">
      <c r="A895" s="26">
        <f>Angela_2025_Chase1117_Activity_!B892</f>
        <v>45896</v>
      </c>
      <c r="B895" s="6" t="str">
        <f>Angela_2025_Chase1117_Activity_!C892</f>
        <v>Amazon.com*0C3TC6PL3 Amzn.com/bill WA        08/27</v>
      </c>
      <c r="C895" s="6" t="str">
        <f>Angela_2025_Chase1117_Activity_!G892</f>
        <v>Amazon</v>
      </c>
      <c r="D895" s="12">
        <f>Angela_2025_Chase1117_Activity_!D892</f>
        <v>-21.99</v>
      </c>
    </row>
    <row r="896" spans="1:4" x14ac:dyDescent="0.25">
      <c r="A896" s="26">
        <f>Angela_2025_Chase1117_Activity_!B893</f>
        <v>45896</v>
      </c>
      <c r="B896" s="6" t="str">
        <f>Angela_2025_Chase1117_Activity_!C893</f>
        <v>SPACEWEATHERNEWS.COM SPACEWEATHERN CO        08/26</v>
      </c>
      <c r="C896" s="6" t="str">
        <f>Angela_2025_Chase1117_Activity_!G893</f>
        <v>Personal - Subscription</v>
      </c>
      <c r="D896" s="12">
        <f>Angela_2025_Chase1117_Activity_!D893</f>
        <v>-5.99</v>
      </c>
    </row>
    <row r="897" spans="1:4" x14ac:dyDescent="0.25">
      <c r="A897" s="26">
        <f>Angela_2025_Chase1117_Activity_!B894</f>
        <v>45896</v>
      </c>
      <c r="B897" s="6" t="str">
        <f>Angela_2025_Chase1117_Activity_!C894</f>
        <v>AMAZON MKTPL*HG4N82P Amzn.com/bill WA        08/26</v>
      </c>
      <c r="C897" s="6" t="str">
        <f>Angela_2025_Chase1117_Activity_!G894</f>
        <v>Amazon</v>
      </c>
      <c r="D897" s="12">
        <f>Angela_2025_Chase1117_Activity_!D894</f>
        <v>-42.98</v>
      </c>
    </row>
    <row r="898" spans="1:4" x14ac:dyDescent="0.25">
      <c r="A898" s="26">
        <f>Angela_2025_Chase1117_Activity_!B895</f>
        <v>45896</v>
      </c>
      <c r="B898" s="6" t="str">
        <f>Angela_2025_Chase1117_Activity_!C895</f>
        <v>AMAZON MKTPL*CX7M04U Amzn.com/bill WA        08/26</v>
      </c>
      <c r="C898" s="6" t="str">
        <f>Angela_2025_Chase1117_Activity_!G895</f>
        <v>Amazon</v>
      </c>
      <c r="D898" s="12">
        <f>Angela_2025_Chase1117_Activity_!D895</f>
        <v>-32.909999999999997</v>
      </c>
    </row>
    <row r="899" spans="1:4" x14ac:dyDescent="0.25">
      <c r="A899" s="26">
        <f>Angela_2025_Chase1117_Activity_!B896</f>
        <v>45896</v>
      </c>
      <c r="B899" s="6" t="str">
        <f>Angela_2025_Chase1117_Activity_!C896</f>
        <v>Amazon.com*DS7VQ71D3 Amzn.com/bill WA        08/27</v>
      </c>
      <c r="C899" s="6" t="str">
        <f>Angela_2025_Chase1117_Activity_!G896</f>
        <v>Amazon</v>
      </c>
      <c r="D899" s="12">
        <f>Angela_2025_Chase1117_Activity_!D896</f>
        <v>-166.07</v>
      </c>
    </row>
    <row r="900" spans="1:4" x14ac:dyDescent="0.25">
      <c r="A900" s="26">
        <f>Angela_2025_Chase1117_Activity_!B897</f>
        <v>45896</v>
      </c>
      <c r="B900" s="6" t="str">
        <f>Angela_2025_Chase1117_Activity_!C897</f>
        <v>AMAZON MKTPL*8B9WY56 Amzn.com/bill WA        08/27</v>
      </c>
      <c r="C900" s="6" t="str">
        <f>Angela_2025_Chase1117_Activity_!G897</f>
        <v>Amazon</v>
      </c>
      <c r="D900" s="12">
        <f>Angela_2025_Chase1117_Activity_!D897</f>
        <v>-143.54</v>
      </c>
    </row>
    <row r="901" spans="1:4" x14ac:dyDescent="0.25">
      <c r="A901" s="26">
        <f>Angela_2025_Chase1117_Activity_!B898</f>
        <v>45896</v>
      </c>
      <c r="B901" s="6" t="str">
        <f>Angela_2025_Chase1117_Activity_!C898</f>
        <v>Prime Video Channels amzn.com/bill WA        08/26</v>
      </c>
      <c r="C901" s="6" t="str">
        <f>Angela_2025_Chase1117_Activity_!G898</f>
        <v>Amazon</v>
      </c>
      <c r="D901" s="12">
        <f>Angela_2025_Chase1117_Activity_!D898</f>
        <v>-6.99</v>
      </c>
    </row>
    <row r="902" spans="1:4" x14ac:dyDescent="0.25">
      <c r="A902" s="26">
        <f>Angela_2025_Chase1117_Activity_!B899</f>
        <v>45896</v>
      </c>
      <c r="B902" s="6" t="str">
        <f>Angela_2025_Chase1117_Activity_!C899</f>
        <v>Zara.com New York NY                         08/26</v>
      </c>
      <c r="C902" s="6" t="str">
        <f>Angela_2025_Chase1117_Activity_!G899</f>
        <v>Personal - Shopping</v>
      </c>
      <c r="D902" s="12">
        <f>Angela_2025_Chase1117_Activity_!D899</f>
        <v>-601.66999999999996</v>
      </c>
    </row>
    <row r="903" spans="1:4" x14ac:dyDescent="0.25">
      <c r="A903" s="26">
        <f>Angela_2025_Chase1117_Activity_!B900</f>
        <v>45895</v>
      </c>
      <c r="B903" s="6" t="str">
        <f>Angela_2025_Chase1117_Activity_!C900</f>
        <v>NON-CHASE ATM FEE-WITH</v>
      </c>
      <c r="C903" s="6" t="str">
        <f>Angela_2025_Chase1117_Activity_!G900</f>
        <v>Bank Fees</v>
      </c>
      <c r="D903" s="12">
        <f>Angela_2025_Chase1117_Activity_!D900</f>
        <v>-3</v>
      </c>
    </row>
    <row r="904" spans="1:4" x14ac:dyDescent="0.25">
      <c r="A904" s="26">
        <f>Angela_2025_Chase1117_Activity_!B901</f>
        <v>45895</v>
      </c>
      <c r="B904" s="6" t="str">
        <f>Angela_2025_Chase1117_Activity_!C901</f>
        <v>NON-CHASE ATM FEE-WITH</v>
      </c>
      <c r="C904" s="6" t="str">
        <f>Angela_2025_Chase1117_Activity_!G901</f>
        <v>Bank Fees</v>
      </c>
      <c r="D904" s="12">
        <f>Angela_2025_Chase1117_Activity_!D901</f>
        <v>-3</v>
      </c>
    </row>
    <row r="905" spans="1:4" x14ac:dyDescent="0.25">
      <c r="A905" s="26">
        <f>Angela_2025_Chase1117_Activity_!B902</f>
        <v>45895</v>
      </c>
      <c r="B905" s="6" t="str">
        <f>Angela_2025_Chase1117_Activity_!C902</f>
        <v>NON-CHASE ATM WITHDRAW               001246  08/262876 S. B</v>
      </c>
      <c r="C905" s="6" t="str">
        <f>Angela_2025_Chase1117_Activity_!G902</f>
        <v>Withdrawal</v>
      </c>
      <c r="D905" s="12">
        <f>Angela_2025_Chase1117_Activity_!D902</f>
        <v>-202.5</v>
      </c>
    </row>
    <row r="906" spans="1:4" x14ac:dyDescent="0.25">
      <c r="A906" s="26">
        <f>Angela_2025_Chase1117_Activity_!B903</f>
        <v>45895</v>
      </c>
      <c r="B906" s="6" t="str">
        <f>Angela_2025_Chase1117_Activity_!C903</f>
        <v>NON-CHASE ATM WITHDRAW               001245  08/262876 S. B</v>
      </c>
      <c r="C906" s="6" t="str">
        <f>Angela_2025_Chase1117_Activity_!G903</f>
        <v>Withdrawal</v>
      </c>
      <c r="D906" s="12">
        <f>Angela_2025_Chase1117_Activity_!D903</f>
        <v>-202.5</v>
      </c>
    </row>
    <row r="907" spans="1:4" x14ac:dyDescent="0.25">
      <c r="A907" s="26">
        <f>Angela_2025_Chase1117_Activity_!B904</f>
        <v>45895</v>
      </c>
      <c r="B907" s="6" t="str">
        <f>Angela_2025_Chase1117_Activity_!C904</f>
        <v>NNTCWWW.TARGET.COM 3 BROOKLYN PARK MN852176  08/24</v>
      </c>
      <c r="C907" s="6" t="str">
        <f>Angela_2025_Chase1117_Activity_!G904</f>
        <v>Personal - Shopping</v>
      </c>
      <c r="D907" s="12">
        <f>Angela_2025_Chase1117_Activity_!D904</f>
        <v>-32.9</v>
      </c>
    </row>
    <row r="908" spans="1:4" x14ac:dyDescent="0.25">
      <c r="A908" s="26">
        <f>Angela_2025_Chase1117_Activity_!B905</f>
        <v>45895</v>
      </c>
      <c r="B908" s="6" t="str">
        <f>Angela_2025_Chase1117_Activity_!C905</f>
        <v>UBER   * EATS PENDIN SAN FRANCISCO CA029390  08/25</v>
      </c>
      <c r="C908" s="6" t="str">
        <f>Angela_2025_Chase1117_Activity_!G905</f>
        <v>Uber Eats</v>
      </c>
      <c r="D908" s="12">
        <f>Angela_2025_Chase1117_Activity_!D905</f>
        <v>-88.32</v>
      </c>
    </row>
    <row r="909" spans="1:4" x14ac:dyDescent="0.25">
      <c r="A909" s="26">
        <f>Angela_2025_Chase1117_Activity_!B906</f>
        <v>45895</v>
      </c>
      <c r="B909" s="6" t="str">
        <f>Angela_2025_Chase1117_Activity_!C906</f>
        <v>SCREENFIT LLC WWW.SCREENFIT MD               08/26</v>
      </c>
      <c r="C909" s="6" t="str">
        <f>Angela_2025_Chase1117_Activity_!G906</f>
        <v>Personal - Health</v>
      </c>
      <c r="D909" s="12">
        <f>Angela_2025_Chase1117_Activity_!D906</f>
        <v>-497</v>
      </c>
    </row>
    <row r="910" spans="1:4" x14ac:dyDescent="0.25">
      <c r="A910" s="26">
        <f>Angela_2025_Chase1117_Activity_!B907</f>
        <v>45895</v>
      </c>
      <c r="B910" s="6" t="str">
        <f>Angela_2025_Chase1117_Activity_!C907</f>
        <v>AMAZON MKTPL*Q86C78E Amzn.com/bill WA        08/26</v>
      </c>
      <c r="C910" s="6" t="str">
        <f>Angela_2025_Chase1117_Activity_!G907</f>
        <v>Amazon</v>
      </c>
      <c r="D910" s="12">
        <f>Angela_2025_Chase1117_Activity_!D907</f>
        <v>-54.86</v>
      </c>
    </row>
    <row r="911" spans="1:4" x14ac:dyDescent="0.25">
      <c r="A911" s="26">
        <f>Angela_2025_Chase1117_Activity_!B908</f>
        <v>45895</v>
      </c>
      <c r="B911" s="6" t="str">
        <f>Angela_2025_Chase1117_Activity_!C908</f>
        <v>TST*BLUEYS KITCHEN MAR Los Angeles CA        08/25</v>
      </c>
      <c r="C911" s="6" t="str">
        <f>Angela_2025_Chase1117_Activity_!G908</f>
        <v>Personal - Food</v>
      </c>
      <c r="D911" s="12">
        <f>Angela_2025_Chase1117_Activity_!D908</f>
        <v>-22.9</v>
      </c>
    </row>
    <row r="912" spans="1:4" x14ac:dyDescent="0.25">
      <c r="A912" s="26">
        <f>Angela_2025_Chase1117_Activity_!B909</f>
        <v>45895</v>
      </c>
      <c r="B912" s="6" t="str">
        <f>Angela_2025_Chase1117_Activity_!C909</f>
        <v>COMPLETE EYE CARE CENT LOS ANGELES CA        08/25</v>
      </c>
      <c r="C912" s="6" t="str">
        <f>Angela_2025_Chase1117_Activity_!G909</f>
        <v>Personal - Health</v>
      </c>
      <c r="D912" s="12">
        <f>Angela_2025_Chase1117_Activity_!D909</f>
        <v>-2040</v>
      </c>
    </row>
    <row r="913" spans="1:4" x14ac:dyDescent="0.25">
      <c r="A913" s="26">
        <f>Angela_2025_Chase1117_Activity_!B910</f>
        <v>45895</v>
      </c>
      <c r="B913" s="6" t="str">
        <f>Angela_2025_Chase1117_Activity_!C910</f>
        <v>SP HEALTHRANGERSTORE HEALTHRANGERS TX        08/25</v>
      </c>
      <c r="C913" s="6" t="str">
        <f>Angela_2025_Chase1117_Activity_!G910</f>
        <v>Personal - Health</v>
      </c>
      <c r="D913" s="12">
        <f>Angela_2025_Chase1117_Activity_!D910</f>
        <v>-172.73</v>
      </c>
    </row>
    <row r="914" spans="1:4" x14ac:dyDescent="0.25">
      <c r="A914" s="26">
        <f>Angela_2025_Chase1117_Activity_!B911</f>
        <v>45895</v>
      </c>
      <c r="B914" s="6" t="str">
        <f>Angela_2025_Chase1117_Activity_!C911</f>
        <v>LEELA QUANTUM TECH LLC 770-9908805 NM        08/25</v>
      </c>
      <c r="C914" s="6" t="str">
        <f>Angela_2025_Chase1117_Activity_!G911</f>
        <v>Personal - Subscription</v>
      </c>
      <c r="D914" s="12">
        <f>Angela_2025_Chase1117_Activity_!D911</f>
        <v>-302</v>
      </c>
    </row>
    <row r="915" spans="1:4" x14ac:dyDescent="0.25">
      <c r="A915" s="26">
        <f>Angela_2025_Chase1117_Activity_!B912</f>
        <v>45895</v>
      </c>
      <c r="B915" s="6" t="str">
        <f>Angela_2025_Chase1117_Activity_!C912</f>
        <v>AMAZON MKTPL*SL3RE56 Amzn.com/bill WA        08/25</v>
      </c>
      <c r="C915" s="6" t="str">
        <f>Angela_2025_Chase1117_Activity_!G912</f>
        <v>Amazon</v>
      </c>
      <c r="D915" s="12">
        <f>Angela_2025_Chase1117_Activity_!D912</f>
        <v>-40.36</v>
      </c>
    </row>
    <row r="916" spans="1:4" x14ac:dyDescent="0.25">
      <c r="A916" s="26">
        <f>Angela_2025_Chase1117_Activity_!B913</f>
        <v>45895</v>
      </c>
      <c r="B916" s="6" t="str">
        <f>Angela_2025_Chase1117_Activity_!C913</f>
        <v>Online Transfer from CHK ...1168 transaction#: 25989102624</v>
      </c>
      <c r="C916" s="6" t="str">
        <f>Angela_2025_Chase1117_Activity_!G913</f>
        <v>Transfer from DWG Capital Group</v>
      </c>
      <c r="D916" s="12">
        <f>Angela_2025_Chase1117_Activity_!D913</f>
        <v>2000</v>
      </c>
    </row>
    <row r="917" spans="1:4" x14ac:dyDescent="0.25">
      <c r="A917" s="26">
        <f>Angela_2025_Chase1117_Activity_!B914</f>
        <v>45894</v>
      </c>
      <c r="B917" s="6" t="str">
        <f>Angela_2025_Chase1117_Activity_!C914</f>
        <v>NON-CHASE ATM FEE-WITH</v>
      </c>
      <c r="C917" s="6" t="str">
        <f>Angela_2025_Chase1117_Activity_!G914</f>
        <v>Bank Fees</v>
      </c>
      <c r="D917" s="12">
        <f>Angela_2025_Chase1117_Activity_!D914</f>
        <v>-3</v>
      </c>
    </row>
    <row r="918" spans="1:4" x14ac:dyDescent="0.25">
      <c r="A918" s="26">
        <f>Angela_2025_Chase1117_Activity_!B915</f>
        <v>45894</v>
      </c>
      <c r="B918" s="6" t="str">
        <f>Angela_2025_Chase1117_Activity_!C915</f>
        <v>NNTCWWW.TARGET.COM 8 BROOKLYN PARK MN362881  08/24</v>
      </c>
      <c r="C918" s="6" t="str">
        <f>Angela_2025_Chase1117_Activity_!G915</f>
        <v>Personal - Shopping</v>
      </c>
      <c r="D918" s="12">
        <f>Angela_2025_Chase1117_Activity_!D915</f>
        <v>-38.409999999999997</v>
      </c>
    </row>
    <row r="919" spans="1:4" x14ac:dyDescent="0.25">
      <c r="A919" s="26">
        <f>Angela_2025_Chase1117_Activity_!B916</f>
        <v>45894</v>
      </c>
      <c r="B919" s="6" t="str">
        <f>Angela_2025_Chase1117_Activity_!C916</f>
        <v>NNTCWWW.TARGET.COM 3 BROOKLYN PARK MN852176  08/24</v>
      </c>
      <c r="C919" s="6" t="str">
        <f>Angela_2025_Chase1117_Activity_!G916</f>
        <v>Personal - Shopping</v>
      </c>
      <c r="D919" s="12">
        <f>Angela_2025_Chase1117_Activity_!D916</f>
        <v>-81.17</v>
      </c>
    </row>
    <row r="920" spans="1:4" x14ac:dyDescent="0.25">
      <c r="A920" s="26">
        <f>Angela_2025_Chase1117_Activity_!B917</f>
        <v>45894</v>
      </c>
      <c r="B920" s="6" t="str">
        <f>Angela_2025_Chase1117_Activity_!C917</f>
        <v>NON-CHASE ATM WITHDRAW               295494  08/25US BANK W</v>
      </c>
      <c r="C920" s="6" t="str">
        <f>Angela_2025_Chase1117_Activity_!G917</f>
        <v>Withdrawal</v>
      </c>
      <c r="D920" s="12">
        <f>Angela_2025_Chase1117_Activity_!D917</f>
        <v>-403.5</v>
      </c>
    </row>
    <row r="921" spans="1:4" x14ac:dyDescent="0.25">
      <c r="A921" s="26">
        <f>Angela_2025_Chase1117_Activity_!B918</f>
        <v>45894</v>
      </c>
      <c r="B921" s="6" t="str">
        <f>Angela_2025_Chase1117_Activity_!C918</f>
        <v>CVS/PHARMACY #09493 MAR VISTA CA     035975  08/25</v>
      </c>
      <c r="C921" s="6" t="str">
        <f>Angela_2025_Chase1117_Activity_!G918</f>
        <v>Personal - Health</v>
      </c>
      <c r="D921" s="12">
        <f>Angela_2025_Chase1117_Activity_!D918</f>
        <v>-136.01</v>
      </c>
    </row>
    <row r="922" spans="1:4" x14ac:dyDescent="0.25">
      <c r="A922" s="26">
        <f>Angela_2025_Chase1117_Activity_!B919</f>
        <v>45894</v>
      </c>
      <c r="B922" s="6" t="str">
        <f>Angela_2025_Chase1117_Activity_!C919</f>
        <v>UBER * EATS PENDING SAN FRANCISCO CA 217759  08/24</v>
      </c>
      <c r="C922" s="6" t="str">
        <f>Angela_2025_Chase1117_Activity_!G919</f>
        <v>Uber Eats</v>
      </c>
      <c r="D922" s="12">
        <f>Angela_2025_Chase1117_Activity_!D919</f>
        <v>-96.96</v>
      </c>
    </row>
    <row r="923" spans="1:4" x14ac:dyDescent="0.25">
      <c r="A923" s="26">
        <f>Angela_2025_Chase1117_Activity_!B920</f>
        <v>45894</v>
      </c>
      <c r="B923" s="6" t="str">
        <f>Angela_2025_Chase1117_Activity_!C920</f>
        <v>LUKE UNFILTERED WEARECHANGE.O FL             08/25</v>
      </c>
      <c r="C923" s="6" t="str">
        <f>Angela_2025_Chase1117_Activity_!G920</f>
        <v>Personal - Subscription</v>
      </c>
      <c r="D923" s="12">
        <f>Angela_2025_Chase1117_Activity_!D920</f>
        <v>-15</v>
      </c>
    </row>
    <row r="924" spans="1:4" x14ac:dyDescent="0.25">
      <c r="A924" s="26">
        <f>Angela_2025_Chase1117_Activity_!B921</f>
        <v>45894</v>
      </c>
      <c r="B924" s="6" t="str">
        <f>Angela_2025_Chase1117_Activity_!C921</f>
        <v>AMAZON PRIME*WY3H92O Amzn.com/bill WA        08/24</v>
      </c>
      <c r="C924" s="6" t="str">
        <f>Angela_2025_Chase1117_Activity_!G921</f>
        <v>Amazon</v>
      </c>
      <c r="D924" s="12">
        <f>Angela_2025_Chase1117_Activity_!D921</f>
        <v>-16.45</v>
      </c>
    </row>
    <row r="925" spans="1:4" x14ac:dyDescent="0.25">
      <c r="A925" s="26">
        <f>Angela_2025_Chase1117_Activity_!B922</f>
        <v>45894</v>
      </c>
      <c r="B925" s="6" t="str">
        <f>Angela_2025_Chase1117_Activity_!C922</f>
        <v>ATM WITHDRAWAL                       003896  08/2412335 VEN</v>
      </c>
      <c r="C925" s="6" t="str">
        <f>Angela_2025_Chase1117_Activity_!G922</f>
        <v>Withdrawal</v>
      </c>
      <c r="D925" s="12">
        <f>Angela_2025_Chase1117_Activity_!D922</f>
        <v>-500</v>
      </c>
    </row>
    <row r="926" spans="1:4" x14ac:dyDescent="0.25">
      <c r="A926" s="26">
        <f>Angela_2025_Chase1117_Activity_!B923</f>
        <v>45894</v>
      </c>
      <c r="B926" s="6" t="str">
        <f>Angela_2025_Chase1117_Activity_!C923</f>
        <v>ATT*BILL PAYMENT 800-288-2020 TX             08/24</v>
      </c>
      <c r="C926" s="6" t="str">
        <f>Angela_2025_Chase1117_Activity_!G923</f>
        <v>AT&amp;T</v>
      </c>
      <c r="D926" s="12">
        <f>Angela_2025_Chase1117_Activity_!D923</f>
        <v>-579.33000000000004</v>
      </c>
    </row>
    <row r="927" spans="1:4" x14ac:dyDescent="0.25">
      <c r="A927" s="26">
        <f>Angela_2025_Chase1117_Activity_!B924</f>
        <v>45894</v>
      </c>
      <c r="B927" s="6" t="str">
        <f>Angela_2025_Chase1117_Activity_!C924</f>
        <v>SP LA PANTHERE STUDI LAPANTHERESTU TN        08/24</v>
      </c>
      <c r="C927" s="6" t="str">
        <f>Angela_2025_Chase1117_Activity_!G924</f>
        <v>Personal - Health</v>
      </c>
      <c r="D927" s="12">
        <f>Angela_2025_Chase1117_Activity_!D924</f>
        <v>-197.15</v>
      </c>
    </row>
    <row r="928" spans="1:4" x14ac:dyDescent="0.25">
      <c r="A928" s="26">
        <f>Angela_2025_Chase1117_Activity_!B925</f>
        <v>45894</v>
      </c>
      <c r="B928" s="6" t="str">
        <f>Angela_2025_Chase1117_Activity_!C925</f>
        <v>AXS.COMSOUTHERN CAL 888-929-7849 CA          08/24</v>
      </c>
      <c r="C928" s="6" t="str">
        <f>Angela_2025_Chase1117_Activity_!G925</f>
        <v>Personal - Entertainment</v>
      </c>
      <c r="D928" s="12">
        <f>Angela_2025_Chase1117_Activity_!D925</f>
        <v>-150</v>
      </c>
    </row>
    <row r="929" spans="1:4" x14ac:dyDescent="0.25">
      <c r="A929" s="26">
        <f>Angela_2025_Chase1117_Activity_!B926</f>
        <v>45894</v>
      </c>
      <c r="B929" s="6" t="str">
        <f>Angela_2025_Chase1117_Activity_!C926</f>
        <v>AXS.COMSOUTHERN CAL 888-929-7849 CA          08/24</v>
      </c>
      <c r="C929" s="6" t="str">
        <f>Angela_2025_Chase1117_Activity_!G926</f>
        <v>Personal - Entertainment</v>
      </c>
      <c r="D929" s="12">
        <f>Angela_2025_Chase1117_Activity_!D926</f>
        <v>-79.64</v>
      </c>
    </row>
    <row r="930" spans="1:4" x14ac:dyDescent="0.25">
      <c r="A930" s="26">
        <f>Angela_2025_Chase1117_Activity_!B927</f>
        <v>45894</v>
      </c>
      <c r="B930" s="6" t="str">
        <f>Angela_2025_Chase1117_Activity_!C927</f>
        <v>AMAZON MKTPL*4K69Q0D Amzn.com/bill WA        08/24</v>
      </c>
      <c r="C930" s="6" t="str">
        <f>Angela_2025_Chase1117_Activity_!G927</f>
        <v>Amazon</v>
      </c>
      <c r="D930" s="12">
        <f>Angela_2025_Chase1117_Activity_!D927</f>
        <v>-24.13</v>
      </c>
    </row>
    <row r="931" spans="1:4" x14ac:dyDescent="0.25">
      <c r="A931" s="26">
        <f>Angela_2025_Chase1117_Activity_!B928</f>
        <v>45894</v>
      </c>
      <c r="B931" s="6" t="str">
        <f>Angela_2025_Chase1117_Activity_!C928</f>
        <v>UBER   * PENDING SAN FRANCISCO CA    088956  08/23</v>
      </c>
      <c r="C931" s="6" t="str">
        <f>Angela_2025_Chase1117_Activity_!G928</f>
        <v>Personal - Uber</v>
      </c>
      <c r="D931" s="12">
        <f>Angela_2025_Chase1117_Activity_!D928</f>
        <v>-44.26</v>
      </c>
    </row>
    <row r="932" spans="1:4" x14ac:dyDescent="0.25">
      <c r="A932" s="26">
        <f>Angela_2025_Chase1117_Activity_!B929</f>
        <v>45894</v>
      </c>
      <c r="B932" s="6" t="str">
        <f>Angela_2025_Chase1117_Activity_!C929</f>
        <v>APPLE.COM/BILL 866-712-7753 CA               08/23</v>
      </c>
      <c r="C932" s="6" t="str">
        <f>Angela_2025_Chase1117_Activity_!G929</f>
        <v>Apple</v>
      </c>
      <c r="D932" s="12">
        <f>Angela_2025_Chase1117_Activity_!D929</f>
        <v>-10.99</v>
      </c>
    </row>
    <row r="933" spans="1:4" x14ac:dyDescent="0.25">
      <c r="A933" s="26">
        <f>Angela_2025_Chase1117_Activity_!B930</f>
        <v>45894</v>
      </c>
      <c r="B933" s="6" t="str">
        <f>Angela_2025_Chase1117_Activity_!C930</f>
        <v>Amazon Tips*024A3075 Amzn.com/bill WA        08/23</v>
      </c>
      <c r="C933" s="6" t="str">
        <f>Angela_2025_Chase1117_Activity_!G930</f>
        <v>Amazon</v>
      </c>
      <c r="D933" s="12">
        <f>Angela_2025_Chase1117_Activity_!D930</f>
        <v>-20</v>
      </c>
    </row>
    <row r="934" spans="1:4" x14ac:dyDescent="0.25">
      <c r="A934" s="26">
        <f>Angela_2025_Chase1117_Activity_!B931</f>
        <v>45894</v>
      </c>
      <c r="B934" s="6" t="str">
        <f>Angela_2025_Chase1117_Activity_!C931</f>
        <v>SP JEFFREYCAMPBELL JEFFREYCAMPBE CA          08/23</v>
      </c>
      <c r="C934" s="6" t="str">
        <f>Angela_2025_Chase1117_Activity_!G931</f>
        <v>Personal - Shopping</v>
      </c>
      <c r="D934" s="12">
        <f>Angela_2025_Chase1117_Activity_!D931</f>
        <v>-157.80000000000001</v>
      </c>
    </row>
    <row r="935" spans="1:4" x14ac:dyDescent="0.25">
      <c r="A935" s="26">
        <f>Angela_2025_Chase1117_Activity_!B932</f>
        <v>45894</v>
      </c>
      <c r="B935" s="6" t="str">
        <f>Angela_2025_Chase1117_Activity_!C932</f>
        <v>UBER   *TRIP HELP.UB SAN FRANCISCO CA142287  08/23</v>
      </c>
      <c r="C935" s="6" t="str">
        <f>Angela_2025_Chase1117_Activity_!G932</f>
        <v>Personal - Uber</v>
      </c>
      <c r="D935" s="12">
        <f>Angela_2025_Chase1117_Activity_!D932</f>
        <v>-54.75</v>
      </c>
    </row>
    <row r="936" spans="1:4" x14ac:dyDescent="0.25">
      <c r="A936" s="26">
        <f>Angela_2025_Chase1117_Activity_!B933</f>
        <v>45894</v>
      </c>
      <c r="B936" s="6" t="str">
        <f>Angela_2025_Chase1117_Activity_!C933</f>
        <v>FREEPEOPLE.COM FREEPEOPLE.CO PA              08/25</v>
      </c>
      <c r="C936" s="6" t="str">
        <f>Angela_2025_Chase1117_Activity_!G933</f>
        <v>Personal - Clothing</v>
      </c>
      <c r="D936" s="12">
        <f>Angela_2025_Chase1117_Activity_!D933</f>
        <v>-250.23</v>
      </c>
    </row>
    <row r="937" spans="1:4" x14ac:dyDescent="0.25">
      <c r="A937" s="26">
        <f>Angela_2025_Chase1117_Activity_!B934</f>
        <v>45894</v>
      </c>
      <c r="B937" s="6" t="str">
        <f>Angela_2025_Chase1117_Activity_!C934</f>
        <v>Amazon Tips*YK4A77GN Amzn.com/bill WA        08/22</v>
      </c>
      <c r="C937" s="6" t="str">
        <f>Angela_2025_Chase1117_Activity_!G934</f>
        <v>Amazon</v>
      </c>
      <c r="D937" s="12">
        <f>Angela_2025_Chase1117_Activity_!D934</f>
        <v>-20</v>
      </c>
    </row>
    <row r="938" spans="1:4" x14ac:dyDescent="0.25">
      <c r="A938" s="26">
        <f>Angela_2025_Chase1117_Activity_!B935</f>
        <v>45894</v>
      </c>
      <c r="B938" s="6" t="str">
        <f>Angela_2025_Chase1117_Activity_!C935</f>
        <v>CITY OF SANTA MONICA SANTA MONICA CA         08/22</v>
      </c>
      <c r="C938" s="6" t="str">
        <f>Angela_2025_Chase1117_Activity_!G935</f>
        <v>Personal - Car</v>
      </c>
      <c r="D938" s="12">
        <f>Angela_2025_Chase1117_Activity_!D935</f>
        <v>-6.25</v>
      </c>
    </row>
    <row r="939" spans="1:4" x14ac:dyDescent="0.25">
      <c r="A939" s="26">
        <f>Angela_2025_Chase1117_Activity_!B936</f>
        <v>45894</v>
      </c>
      <c r="B939" s="6" t="str">
        <f>Angela_2025_Chase1117_Activity_!C936</f>
        <v>REPUBLIC SERVICES TRA 866-576-5548 AZ        08/22</v>
      </c>
      <c r="C939" s="6" t="str">
        <f>Angela_2025_Chase1117_Activity_!G936</f>
        <v>Personal - House Bills</v>
      </c>
      <c r="D939" s="12">
        <f>Angela_2025_Chase1117_Activity_!D936</f>
        <v>-183.73</v>
      </c>
    </row>
    <row r="940" spans="1:4" x14ac:dyDescent="0.25">
      <c r="A940" s="26">
        <f>Angela_2025_Chase1117_Activity_!B937</f>
        <v>45894</v>
      </c>
      <c r="B940" s="6" t="str">
        <f>Angela_2025_Chase1117_Activity_!C937</f>
        <v>QDI*QUEST DIAGNOSTICS 800-758-6047 CA        08/23</v>
      </c>
      <c r="C940" s="6" t="str">
        <f>Angela_2025_Chase1117_Activity_!G937</f>
        <v>Personal - Health</v>
      </c>
      <c r="D940" s="12">
        <f>Angela_2025_Chase1117_Activity_!D937</f>
        <v>-21</v>
      </c>
    </row>
    <row r="941" spans="1:4" x14ac:dyDescent="0.25">
      <c r="A941" s="26">
        <f>Angela_2025_Chase1117_Activity_!B938</f>
        <v>45894</v>
      </c>
      <c r="B941" s="6" t="str">
        <f>Angela_2025_Chase1117_Activity_!C938</f>
        <v>BANDCAMPFABRIKARECORDS BANDCAMPCOM CA        08/22</v>
      </c>
      <c r="C941" s="6" t="str">
        <f>Angela_2025_Chase1117_Activity_!G938</f>
        <v>Personal - Entertainment</v>
      </c>
      <c r="D941" s="12">
        <f>Angela_2025_Chase1117_Activity_!D938</f>
        <v>-153</v>
      </c>
    </row>
    <row r="942" spans="1:4" x14ac:dyDescent="0.25">
      <c r="A942" s="26">
        <f>Angela_2025_Chase1117_Activity_!B939</f>
        <v>45894</v>
      </c>
      <c r="B942" s="6" t="str">
        <f>Angela_2025_Chase1117_Activity_!C939</f>
        <v>Online Transfer from CHK ...1168 transaction#: 25966607553</v>
      </c>
      <c r="C942" s="6" t="str">
        <f>Angela_2025_Chase1117_Activity_!G939</f>
        <v>Transfer from DWG Capital Group</v>
      </c>
      <c r="D942" s="12">
        <f>Angela_2025_Chase1117_Activity_!D939</f>
        <v>5000</v>
      </c>
    </row>
    <row r="943" spans="1:4" x14ac:dyDescent="0.25">
      <c r="A943" s="26">
        <f>Angela_2025_Chase1117_Activity_!B940</f>
        <v>45894</v>
      </c>
      <c r="B943" s="6" t="str">
        <f>Angela_2025_Chase1117_Activity_!C940</f>
        <v>ATM CHECK DEPOSIT 08/25 12335 VENICE BLVD LOS ANGELES CA</v>
      </c>
      <c r="C943" s="6" t="str">
        <f>Angela_2025_Chase1117_Activity_!G940</f>
        <v>Deposit</v>
      </c>
      <c r="D943" s="12">
        <f>Angela_2025_Chase1117_Activity_!D940</f>
        <v>175</v>
      </c>
    </row>
    <row r="944" spans="1:4" x14ac:dyDescent="0.25">
      <c r="A944" s="26">
        <f>Angela_2025_Chase1117_Activity_!B941</f>
        <v>45891</v>
      </c>
      <c r="B944" s="6" t="str">
        <f>Angela_2025_Chase1117_Activity_!C941</f>
        <v>LENSCRAFTERS  0074 SANTA MONICA CA   227840  08/22</v>
      </c>
      <c r="C944" s="6" t="str">
        <f>Angela_2025_Chase1117_Activity_!G941</f>
        <v>Personal - Health</v>
      </c>
      <c r="D944" s="12">
        <f>Angela_2025_Chase1117_Activity_!D941</f>
        <v>-371.04</v>
      </c>
    </row>
    <row r="945" spans="1:4" x14ac:dyDescent="0.25">
      <c r="A945" s="26">
        <f>Angela_2025_Chase1117_Activity_!B942</f>
        <v>45891</v>
      </c>
      <c r="B945" s="6" t="str">
        <f>Angela_2025_Chase1117_Activity_!C942</f>
        <v>EYE EXAM  0174 SANTA MONICA CA       747789  08/22</v>
      </c>
      <c r="C945" s="6" t="str">
        <f>Angela_2025_Chase1117_Activity_!G942</f>
        <v>Personal - Health</v>
      </c>
      <c r="D945" s="12">
        <f>Angela_2025_Chase1117_Activity_!D942</f>
        <v>-196.92</v>
      </c>
    </row>
    <row r="946" spans="1:4" x14ac:dyDescent="0.25">
      <c r="A946" s="26">
        <f>Angela_2025_Chase1117_Activity_!B943</f>
        <v>45891</v>
      </c>
      <c r="B946" s="6" t="str">
        <f>Angela_2025_Chase1117_Activity_!C943</f>
        <v>Amazon.com*QH9GI03I3 Amzn.com/bill WA        08/22</v>
      </c>
      <c r="C946" s="6" t="str">
        <f>Angela_2025_Chase1117_Activity_!G943</f>
        <v>Amazon</v>
      </c>
      <c r="D946" s="12">
        <f>Angela_2025_Chase1117_Activity_!D943</f>
        <v>-38.049999999999997</v>
      </c>
    </row>
    <row r="947" spans="1:4" x14ac:dyDescent="0.25">
      <c r="A947" s="26">
        <f>Angela_2025_Chase1117_Activity_!B944</f>
        <v>45891</v>
      </c>
      <c r="B947" s="6" t="str">
        <f>Angela_2025_Chase1117_Activity_!C944</f>
        <v>AMAZON MKTPL*JV3LT3G Amzn.com/bill WA        08/22</v>
      </c>
      <c r="C947" s="6" t="str">
        <f>Angela_2025_Chase1117_Activity_!G944</f>
        <v>Amazon</v>
      </c>
      <c r="D947" s="12">
        <f>Angela_2025_Chase1117_Activity_!D944</f>
        <v>-11.98</v>
      </c>
    </row>
    <row r="948" spans="1:4" x14ac:dyDescent="0.25">
      <c r="A948" s="26">
        <f>Angela_2025_Chase1117_Activity_!B945</f>
        <v>45891</v>
      </c>
      <c r="B948" s="6" t="str">
        <f>Angela_2025_Chase1117_Activity_!C945</f>
        <v>DBZ Marketplace US Inc New Castle DE         08/22</v>
      </c>
      <c r="C948" s="6" t="str">
        <f>Angela_2025_Chase1117_Activity_!G945</f>
        <v>Personal - Clothing</v>
      </c>
      <c r="D948" s="12">
        <f>Angela_2025_Chase1117_Activity_!D945</f>
        <v>-148.15</v>
      </c>
    </row>
    <row r="949" spans="1:4" x14ac:dyDescent="0.25">
      <c r="A949" s="26">
        <f>Angela_2025_Chase1117_Activity_!B946</f>
        <v>45891</v>
      </c>
      <c r="B949" s="6" t="str">
        <f>Angela_2025_Chase1117_Activity_!C946</f>
        <v>UBER   * EATS PENDIN SAN FRANCISCO CA078388  08/21</v>
      </c>
      <c r="C949" s="6" t="str">
        <f>Angela_2025_Chase1117_Activity_!G946</f>
        <v>Uber Eats</v>
      </c>
      <c r="D949" s="12">
        <f>Angela_2025_Chase1117_Activity_!D946</f>
        <v>-135</v>
      </c>
    </row>
    <row r="950" spans="1:4" x14ac:dyDescent="0.25">
      <c r="A950" s="26">
        <f>Angela_2025_Chase1117_Activity_!B947</f>
        <v>45891</v>
      </c>
      <c r="B950" s="6" t="str">
        <f>Angela_2025_Chase1117_Activity_!C947</f>
        <v>MED*CEDARS SINAI MEDI 866-803-1777 CA        08/22</v>
      </c>
      <c r="C950" s="6" t="str">
        <f>Angela_2025_Chase1117_Activity_!G947</f>
        <v>Personal - Health</v>
      </c>
      <c r="D950" s="12">
        <f>Angela_2025_Chase1117_Activity_!D947</f>
        <v>-1113.51</v>
      </c>
    </row>
    <row r="951" spans="1:4" x14ac:dyDescent="0.25">
      <c r="A951" s="26">
        <f>Angela_2025_Chase1117_Activity_!B948</f>
        <v>45891</v>
      </c>
      <c r="B951" s="6" t="str">
        <f>Angela_2025_Chase1117_Activity_!C948</f>
        <v>Amazon.com*TP3286YP3 Amzn.com/bill WA        08/21</v>
      </c>
      <c r="C951" s="6" t="str">
        <f>Angela_2025_Chase1117_Activity_!G948</f>
        <v>Amazon</v>
      </c>
      <c r="D951" s="12">
        <f>Angela_2025_Chase1117_Activity_!D948</f>
        <v>-25.54</v>
      </c>
    </row>
    <row r="952" spans="1:4" x14ac:dyDescent="0.25">
      <c r="A952" s="26">
        <f>Angela_2025_Chase1117_Activity_!B949</f>
        <v>45891</v>
      </c>
      <c r="B952" s="6" t="str">
        <f>Angela_2025_Chase1117_Activity_!C949</f>
        <v>THE C. G. JUNG INSTIT 310-556-1193 CA        08/22</v>
      </c>
      <c r="C952" s="6" t="str">
        <f>Angela_2025_Chase1117_Activity_!G949</f>
        <v>Donation</v>
      </c>
      <c r="D952" s="12">
        <f>Angela_2025_Chase1117_Activity_!D949</f>
        <v>-75</v>
      </c>
    </row>
    <row r="953" spans="1:4" x14ac:dyDescent="0.25">
      <c r="A953" s="26">
        <f>Angela_2025_Chase1117_Activity_!B950</f>
        <v>45891</v>
      </c>
      <c r="B953" s="6" t="str">
        <f>Angela_2025_Chase1117_Activity_!C950</f>
        <v>Amazon Tips*G85111TT Amzn.com/bill WA        08/21</v>
      </c>
      <c r="C953" s="6" t="str">
        <f>Angela_2025_Chase1117_Activity_!G950</f>
        <v>Amazon</v>
      </c>
      <c r="D953" s="12">
        <f>Angela_2025_Chase1117_Activity_!D950</f>
        <v>-30</v>
      </c>
    </row>
    <row r="954" spans="1:4" x14ac:dyDescent="0.25">
      <c r="A954" s="26">
        <f>Angela_2025_Chase1117_Activity_!B951</f>
        <v>45891</v>
      </c>
      <c r="B954" s="6" t="str">
        <f>Angela_2025_Chase1117_Activity_!C951</f>
        <v>BANDCAMPXMALDEUTSCHLA BANDCAMPCOM CA         08/21</v>
      </c>
      <c r="C954" s="6" t="str">
        <f>Angela_2025_Chase1117_Activity_!G951</f>
        <v>Personal - Entertainment</v>
      </c>
      <c r="D954" s="12">
        <f>Angela_2025_Chase1117_Activity_!D951</f>
        <v>-99.86</v>
      </c>
    </row>
    <row r="955" spans="1:4" x14ac:dyDescent="0.25">
      <c r="A955" s="26">
        <f>Angela_2025_Chase1117_Activity_!B952</f>
        <v>45891</v>
      </c>
      <c r="B955" s="6" t="str">
        <f>Angela_2025_Chase1117_Activity_!C952</f>
        <v>BANDCAMPYOUNGANDCOLDRE BANDCAMPCOM CA        08/21</v>
      </c>
      <c r="C955" s="6" t="str">
        <f>Angela_2025_Chase1117_Activity_!G952</f>
        <v>Personal - Entertainment</v>
      </c>
      <c r="D955" s="12">
        <f>Angela_2025_Chase1117_Activity_!D952</f>
        <v>-98.02</v>
      </c>
    </row>
    <row r="956" spans="1:4" x14ac:dyDescent="0.25">
      <c r="A956" s="26">
        <f>Angela_2025_Chase1117_Activity_!B953</f>
        <v>45891</v>
      </c>
      <c r="B956" s="6" t="str">
        <f>Angela_2025_Chase1117_Activity_!C953</f>
        <v>Online Transfer from CHK ...1168 transaction#: 25936284809</v>
      </c>
      <c r="C956" s="6" t="str">
        <f>Angela_2025_Chase1117_Activity_!G953</f>
        <v>Transfer from DWG Capital Group</v>
      </c>
      <c r="D956" s="12">
        <f>Angela_2025_Chase1117_Activity_!D953</f>
        <v>2000</v>
      </c>
    </row>
    <row r="957" spans="1:4" x14ac:dyDescent="0.25">
      <c r="A957" s="26">
        <f>Angela_2025_Chase1117_Activity_!B954</f>
        <v>45890</v>
      </c>
      <c r="B957" s="6" t="str">
        <f>Angela_2025_Chase1117_Activity_!C954</f>
        <v>UBER * EATS PENDING SAN FRANCISCO CA 705863  08/21</v>
      </c>
      <c r="C957" s="6" t="str">
        <f>Angela_2025_Chase1117_Activity_!G954</f>
        <v>Uber Eats</v>
      </c>
      <c r="D957" s="12">
        <f>Angela_2025_Chase1117_Activity_!D954</f>
        <v>-28.61</v>
      </c>
    </row>
    <row r="958" spans="1:4" x14ac:dyDescent="0.25">
      <c r="A958" s="26">
        <f>Angela_2025_Chase1117_Activity_!B955</f>
        <v>45890</v>
      </c>
      <c r="B958" s="6" t="str">
        <f>Angela_2025_Chase1117_Activity_!C955</f>
        <v>NTTA AUTOCHARGE 972-818-6882 TX              08/20</v>
      </c>
      <c r="C958" s="6" t="str">
        <f>Angela_2025_Chase1117_Activity_!G955</f>
        <v>Personal - Car</v>
      </c>
      <c r="D958" s="12">
        <f>Angela_2025_Chase1117_Activity_!D955</f>
        <v>-40</v>
      </c>
    </row>
    <row r="959" spans="1:4" x14ac:dyDescent="0.25">
      <c r="A959" s="26">
        <f>Angela_2025_Chase1117_Activity_!B956</f>
        <v>45890</v>
      </c>
      <c r="B959" s="6" t="str">
        <f>Angela_2025_Chase1117_Activity_!C956</f>
        <v>AMAZON MKTPL*VY6AY4T Amzn.com/bill WA        08/20</v>
      </c>
      <c r="C959" s="6" t="str">
        <f>Angela_2025_Chase1117_Activity_!G956</f>
        <v>Amazon</v>
      </c>
      <c r="D959" s="12">
        <f>Angela_2025_Chase1117_Activity_!D956</f>
        <v>-54.86</v>
      </c>
    </row>
    <row r="960" spans="1:4" x14ac:dyDescent="0.25">
      <c r="A960" s="26">
        <f>Angela_2025_Chase1117_Activity_!B957</f>
        <v>45890</v>
      </c>
      <c r="B960" s="6" t="str">
        <f>Angela_2025_Chase1117_Activity_!C957</f>
        <v>AMAZON MKTPL*Q59QG7M Amzn.com/bill WA        08/20</v>
      </c>
      <c r="C960" s="6" t="str">
        <f>Angela_2025_Chase1117_Activity_!G957</f>
        <v>Amazon</v>
      </c>
      <c r="D960" s="12">
        <f>Angela_2025_Chase1117_Activity_!D957</f>
        <v>-67.45</v>
      </c>
    </row>
    <row r="961" spans="1:4" x14ac:dyDescent="0.25">
      <c r="A961" s="26">
        <f>Angela_2025_Chase1117_Activity_!B958</f>
        <v>45890</v>
      </c>
      <c r="B961" s="6" t="str">
        <f>Angela_2025_Chase1117_Activity_!C958</f>
        <v>AMAZON MKTPL*XW7WM9Z Amzn.com/bill WA        08/20</v>
      </c>
      <c r="C961" s="6" t="str">
        <f>Angela_2025_Chase1117_Activity_!G958</f>
        <v>Amazon</v>
      </c>
      <c r="D961" s="12">
        <f>Angela_2025_Chase1117_Activity_!D958</f>
        <v>-6.57</v>
      </c>
    </row>
    <row r="962" spans="1:4" x14ac:dyDescent="0.25">
      <c r="A962" s="26">
        <f>Angela_2025_Chase1117_Activity_!B959</f>
        <v>45890</v>
      </c>
      <c r="B962" s="6" t="str">
        <f>Angela_2025_Chase1117_Activity_!C959</f>
        <v>NEXTLINK BROADBAND 855-6985465 TX            08/20</v>
      </c>
      <c r="C962" s="6" t="str">
        <f>Angela_2025_Chase1117_Activity_!G959</f>
        <v>Personal - House Bills</v>
      </c>
      <c r="D962" s="12">
        <f>Angela_2025_Chase1117_Activity_!D959</f>
        <v>-149.96</v>
      </c>
    </row>
    <row r="963" spans="1:4" x14ac:dyDescent="0.25">
      <c r="A963" s="26">
        <f>Angela_2025_Chase1117_Activity_!B960</f>
        <v>45890</v>
      </c>
      <c r="B963" s="6" t="str">
        <f>Angela_2025_Chase1117_Activity_!C960</f>
        <v>Amazon.com*ZX0NQ7Q43 Amzn.com/bill WA        08/20</v>
      </c>
      <c r="C963" s="6" t="str">
        <f>Angela_2025_Chase1117_Activity_!G960</f>
        <v>Amazon</v>
      </c>
      <c r="D963" s="12">
        <f>Angela_2025_Chase1117_Activity_!D960</f>
        <v>-31.35</v>
      </c>
    </row>
    <row r="964" spans="1:4" x14ac:dyDescent="0.25">
      <c r="A964" s="26">
        <f>Angela_2025_Chase1117_Activity_!B961</f>
        <v>45890</v>
      </c>
      <c r="B964" s="6" t="str">
        <f>Angela_2025_Chase1117_Activity_!C961</f>
        <v>Zara.com New York NY                         08/21</v>
      </c>
      <c r="C964" s="6" t="str">
        <f>Angela_2025_Chase1117_Activity_!G961</f>
        <v>Personal - Shopping</v>
      </c>
      <c r="D964" s="12">
        <f>Angela_2025_Chase1117_Activity_!D961</f>
        <v>-158.84</v>
      </c>
    </row>
    <row r="965" spans="1:4" x14ac:dyDescent="0.25">
      <c r="A965" s="26">
        <f>Angela_2025_Chase1117_Activity_!B962</f>
        <v>45889</v>
      </c>
      <c r="B965" s="6" t="str">
        <f>Angela_2025_Chase1117_Activity_!C962</f>
        <v>GELSON'S MARKET #29 SANTA MONICA CA  616776  08/20</v>
      </c>
      <c r="C965" s="6" t="str">
        <f>Angela_2025_Chase1117_Activity_!G962</f>
        <v>Personal - Food</v>
      </c>
      <c r="D965" s="12">
        <f>Angela_2025_Chase1117_Activity_!D962</f>
        <v>-413.07</v>
      </c>
    </row>
    <row r="966" spans="1:4" x14ac:dyDescent="0.25">
      <c r="A966" s="26">
        <f>Angela_2025_Chase1117_Activity_!B963</f>
        <v>45889</v>
      </c>
      <c r="B966" s="6" t="str">
        <f>Angela_2025_Chase1117_Activity_!C963</f>
        <v>GELSONS VIA INSTACAR INSTACART.COM CA        08/20</v>
      </c>
      <c r="C966" s="6" t="str">
        <f>Angela_2025_Chase1117_Activity_!G963</f>
        <v>Personal - Food</v>
      </c>
      <c r="D966" s="12">
        <f>Angela_2025_Chase1117_Activity_!D963</f>
        <v>-33.56</v>
      </c>
    </row>
    <row r="967" spans="1:4" x14ac:dyDescent="0.25">
      <c r="A967" s="26">
        <f>Angela_2025_Chase1117_Activity_!B964</f>
        <v>45889</v>
      </c>
      <c r="B967" s="6" t="str">
        <f>Angela_2025_Chase1117_Activity_!C964</f>
        <v>UBER   * EATS PENDIN SAN FRANCISCO CA073582  08/19</v>
      </c>
      <c r="C967" s="6" t="str">
        <f>Angela_2025_Chase1117_Activity_!G964</f>
        <v>Uber Eats</v>
      </c>
      <c r="D967" s="12">
        <f>Angela_2025_Chase1117_Activity_!D964</f>
        <v>-49.98</v>
      </c>
    </row>
    <row r="968" spans="1:4" x14ac:dyDescent="0.25">
      <c r="A968" s="26">
        <f>Angela_2025_Chase1117_Activity_!B965</f>
        <v>45889</v>
      </c>
      <c r="B968" s="6" t="str">
        <f>Angela_2025_Chase1117_Activity_!C965</f>
        <v>LODGEROOM/CHECKERHAL LODGEROOMHLP. CA        08/20</v>
      </c>
      <c r="C968" s="6" t="str">
        <f>Angela_2025_Chase1117_Activity_!G965</f>
        <v>Personal - Entertainment</v>
      </c>
      <c r="D968" s="12">
        <f>Angela_2025_Chase1117_Activity_!D965</f>
        <v>-62.5</v>
      </c>
    </row>
    <row r="969" spans="1:4" x14ac:dyDescent="0.25">
      <c r="A969" s="26">
        <f>Angela_2025_Chase1117_Activity_!B966</f>
        <v>45889</v>
      </c>
      <c r="B969" s="6" t="str">
        <f>Angela_2025_Chase1117_Activity_!C966</f>
        <v>Amazon.com*TS7WL2JJ3 Amzn.com/bill WA        08/20</v>
      </c>
      <c r="C969" s="6" t="str">
        <f>Angela_2025_Chase1117_Activity_!G966</f>
        <v>Amazon</v>
      </c>
      <c r="D969" s="12">
        <f>Angela_2025_Chase1117_Activity_!D966</f>
        <v>-248.32</v>
      </c>
    </row>
    <row r="970" spans="1:4" x14ac:dyDescent="0.25">
      <c r="A970" s="26">
        <f>Angela_2025_Chase1117_Activity_!B967</f>
        <v>45889</v>
      </c>
      <c r="B970" s="6" t="str">
        <f>Angela_2025_Chase1117_Activity_!C967</f>
        <v>Online Transfer from CHK ...1168 transaction#: 25921308693</v>
      </c>
      <c r="C970" s="6" t="str">
        <f>Angela_2025_Chase1117_Activity_!G967</f>
        <v>Transfer from DWG Capital Group</v>
      </c>
      <c r="D970" s="12">
        <f>Angela_2025_Chase1117_Activity_!D967</f>
        <v>3000</v>
      </c>
    </row>
    <row r="971" spans="1:4" x14ac:dyDescent="0.25">
      <c r="A971" s="26">
        <f>Angela_2025_Chase1117_Activity_!B968</f>
        <v>45888</v>
      </c>
      <c r="B971" s="6" t="str">
        <f>Angela_2025_Chase1117_Activity_!C968</f>
        <v>ROSAS CAFE &amp; TORTILLA WEATHERFORD TX         08/18</v>
      </c>
      <c r="C971" s="6" t="str">
        <f>Angela_2025_Chase1117_Activity_!G968</f>
        <v>Personal - Food</v>
      </c>
      <c r="D971" s="12">
        <f>Angela_2025_Chase1117_Activity_!D968</f>
        <v>-28.51</v>
      </c>
    </row>
    <row r="972" spans="1:4" x14ac:dyDescent="0.25">
      <c r="A972" s="26">
        <f>Angela_2025_Chase1117_Activity_!B969</f>
        <v>45888</v>
      </c>
      <c r="B972" s="6" t="str">
        <f>Angela_2025_Chase1117_Activity_!C969</f>
        <v>AMERICAN AI 001063326 800-433-7300 TX        08/18</v>
      </c>
      <c r="C972" s="6" t="str">
        <f>Angela_2025_Chase1117_Activity_!G969</f>
        <v>Personal Travel</v>
      </c>
      <c r="D972" s="12">
        <f>Angela_2025_Chase1117_Activity_!D969</f>
        <v>-36.1</v>
      </c>
    </row>
    <row r="973" spans="1:4" x14ac:dyDescent="0.25">
      <c r="A973" s="26">
        <f>Angela_2025_Chase1117_Activity_!B970</f>
        <v>45888</v>
      </c>
      <c r="B973" s="6" t="str">
        <f>Angela_2025_Chase1117_Activity_!C970</f>
        <v>AMERICAN AI 001063326 800-433-7300 TX        08/18</v>
      </c>
      <c r="C973" s="6" t="str">
        <f>Angela_2025_Chase1117_Activity_!G970</f>
        <v>Personal Travel</v>
      </c>
      <c r="D973" s="12">
        <f>Angela_2025_Chase1117_Activity_!D970</f>
        <v>-36.1</v>
      </c>
    </row>
    <row r="974" spans="1:4" x14ac:dyDescent="0.25">
      <c r="A974" s="26">
        <f>Angela_2025_Chase1117_Activity_!B971</f>
        <v>45888</v>
      </c>
      <c r="B974" s="6" t="str">
        <f>Angela_2025_Chase1117_Activity_!C971</f>
        <v>AMERICAN AIR00144692314 FORT WORTH TX        08/19</v>
      </c>
      <c r="C974" s="6" t="str">
        <f>Angela_2025_Chase1117_Activity_!G971</f>
        <v>Personal Travel</v>
      </c>
      <c r="D974" s="12">
        <f>Angela_2025_Chase1117_Activity_!D971</f>
        <v>-35</v>
      </c>
    </row>
    <row r="975" spans="1:4" x14ac:dyDescent="0.25">
      <c r="A975" s="26">
        <f>Angela_2025_Chase1117_Activity_!B972</f>
        <v>45888</v>
      </c>
      <c r="B975" s="6" t="str">
        <f>Angela_2025_Chase1117_Activity_!C972</f>
        <v>AMERICAN AIR00144692314 FORT WORTH TX        08/19</v>
      </c>
      <c r="C975" s="6" t="str">
        <f>Angela_2025_Chase1117_Activity_!G972</f>
        <v>Personal Travel</v>
      </c>
      <c r="D975" s="12">
        <f>Angela_2025_Chase1117_Activity_!D972</f>
        <v>-35</v>
      </c>
    </row>
    <row r="976" spans="1:4" x14ac:dyDescent="0.25">
      <c r="A976" s="26">
        <f>Angela_2025_Chase1117_Activity_!B973</f>
        <v>45888</v>
      </c>
      <c r="B976" s="6" t="str">
        <f>Angela_2025_Chase1117_Activity_!C973</f>
        <v>AMERICAN AIR00144692314 FORT WORTH TX        08/19</v>
      </c>
      <c r="C976" s="6" t="str">
        <f>Angela_2025_Chase1117_Activity_!G973</f>
        <v>Personal Travel</v>
      </c>
      <c r="D976" s="12">
        <f>Angela_2025_Chase1117_Activity_!D973</f>
        <v>-45</v>
      </c>
    </row>
    <row r="977" spans="1:4" x14ac:dyDescent="0.25">
      <c r="A977" s="26">
        <f>Angela_2025_Chase1117_Activity_!B974</f>
        <v>45888</v>
      </c>
      <c r="B977" s="6" t="str">
        <f>Angela_2025_Chase1117_Activity_!C974</f>
        <v>THE C. G. JUNG INSTIT 310-556-1193 CA        08/18</v>
      </c>
      <c r="C977" s="6" t="str">
        <f>Angela_2025_Chase1117_Activity_!G974</f>
        <v>Donation</v>
      </c>
      <c r="D977" s="12">
        <f>Angela_2025_Chase1117_Activity_!D974</f>
        <v>-520</v>
      </c>
    </row>
    <row r="978" spans="1:4" x14ac:dyDescent="0.25">
      <c r="A978" s="26">
        <f>Angela_2025_Chase1117_Activity_!B975</f>
        <v>45888</v>
      </c>
      <c r="B978" s="6" t="str">
        <f>Angela_2025_Chase1117_Activity_!C975</f>
        <v>AMAZON MKTPL*5A3MK1C Amzn.com/bill WA        08/19</v>
      </c>
      <c r="C978" s="6" t="str">
        <f>Angela_2025_Chase1117_Activity_!G975</f>
        <v>Amazon</v>
      </c>
      <c r="D978" s="12">
        <f>Angela_2025_Chase1117_Activity_!D975</f>
        <v>-98.7</v>
      </c>
    </row>
    <row r="979" spans="1:4" x14ac:dyDescent="0.25">
      <c r="A979" s="26">
        <f>Angela_2025_Chase1117_Activity_!B976</f>
        <v>45887</v>
      </c>
      <c r="B979" s="6" t="str">
        <f>Angela_2025_Chase1117_Activity_!C976</f>
        <v>NON-CHASE ATM FEE-WITH</v>
      </c>
      <c r="C979" s="6" t="str">
        <f>Angela_2025_Chase1117_Activity_!G976</f>
        <v>Bank Fees</v>
      </c>
      <c r="D979" s="12">
        <f>Angela_2025_Chase1117_Activity_!D976</f>
        <v>-3</v>
      </c>
    </row>
    <row r="980" spans="1:4" x14ac:dyDescent="0.25">
      <c r="A980" s="26">
        <f>Angela_2025_Chase1117_Activity_!B977</f>
        <v>45887</v>
      </c>
      <c r="B980" s="6" t="str">
        <f>Angela_2025_Chase1117_Activity_!C977</f>
        <v>LEELA QUANTUM TECH LEELAQ.COM NM             08/17</v>
      </c>
      <c r="C980" s="6" t="str">
        <f>Angela_2025_Chase1117_Activity_!G977</f>
        <v>Personal - Subscription</v>
      </c>
      <c r="D980" s="12">
        <f>Angela_2025_Chase1117_Activity_!D977</f>
        <v>-65</v>
      </c>
    </row>
    <row r="981" spans="1:4" x14ac:dyDescent="0.25">
      <c r="A981" s="26">
        <f>Angela_2025_Chase1117_Activity_!B978</f>
        <v>45887</v>
      </c>
      <c r="B981" s="6" t="str">
        <f>Angela_2025_Chase1117_Activity_!C978</f>
        <v>AMAZON MKTPL*K401B49 Amzn.com/bill WA        08/18</v>
      </c>
      <c r="C981" s="6" t="str">
        <f>Angela_2025_Chase1117_Activity_!G978</f>
        <v>Amazon</v>
      </c>
      <c r="D981" s="12">
        <f>Angela_2025_Chase1117_Activity_!D978</f>
        <v>-35.6</v>
      </c>
    </row>
    <row r="982" spans="1:4" x14ac:dyDescent="0.25">
      <c r="A982" s="26">
        <f>Angela_2025_Chase1117_Activity_!B979</f>
        <v>45887</v>
      </c>
      <c r="B982" s="6" t="str">
        <f>Angela_2025_Chase1117_Activity_!C979</f>
        <v>NON-CHASE ATM WITHDRAW               665882  08/161101 HEMP</v>
      </c>
      <c r="C982" s="6" t="str">
        <f>Angela_2025_Chase1117_Activity_!G979</f>
        <v>Withdrawal</v>
      </c>
      <c r="D982" s="12">
        <f>Angela_2025_Chase1117_Activity_!D979</f>
        <v>-303</v>
      </c>
    </row>
    <row r="983" spans="1:4" x14ac:dyDescent="0.25">
      <c r="A983" s="26">
        <f>Angela_2025_Chase1117_Activity_!B980</f>
        <v>45887</v>
      </c>
      <c r="B983" s="6" t="str">
        <f>Angela_2025_Chase1117_Activity_!C980</f>
        <v>SQ *PURE MASSAGE WEATHERFORD TX              08/15</v>
      </c>
      <c r="C983" s="6" t="str">
        <f>Angela_2025_Chase1117_Activity_!G980</f>
        <v>Personal - Health</v>
      </c>
      <c r="D983" s="12">
        <f>Angela_2025_Chase1117_Activity_!D980</f>
        <v>-88</v>
      </c>
    </row>
    <row r="984" spans="1:4" x14ac:dyDescent="0.25">
      <c r="A984" s="26">
        <f>Angela_2025_Chase1117_Activity_!B981</f>
        <v>45887</v>
      </c>
      <c r="B984" s="6" t="str">
        <f>Angela_2025_Chase1117_Activity_!C981</f>
        <v>AT&amp;T PO91 79078 HUDSON OAKS TX               08/16</v>
      </c>
      <c r="C984" s="6" t="str">
        <f>Angela_2025_Chase1117_Activity_!G981</f>
        <v>AT&amp;T</v>
      </c>
      <c r="D984" s="12">
        <f>Angela_2025_Chase1117_Activity_!D981</f>
        <v>-216.49</v>
      </c>
    </row>
    <row r="985" spans="1:4" x14ac:dyDescent="0.25">
      <c r="A985" s="26">
        <f>Angela_2025_Chase1117_Activity_!B982</f>
        <v>45887</v>
      </c>
      <c r="B985" s="6" t="str">
        <f>Angela_2025_Chase1117_Activity_!C982</f>
        <v>BLU JASMINE HUDSON OAKS TX                   08/15</v>
      </c>
      <c r="C985" s="6" t="str">
        <f>Angela_2025_Chase1117_Activity_!G982</f>
        <v>Personal - Food</v>
      </c>
      <c r="D985" s="12">
        <f>Angela_2025_Chase1117_Activity_!D982</f>
        <v>-116.81</v>
      </c>
    </row>
    <row r="986" spans="1:4" x14ac:dyDescent="0.25">
      <c r="A986" s="26">
        <f>Angela_2025_Chase1117_Activity_!B983</f>
        <v>45887</v>
      </c>
      <c r="B986" s="6" t="str">
        <f>Angela_2025_Chase1117_Activity_!C983</f>
        <v>RACETRAC2403  00024034 WEATHERFORD TX        08/14</v>
      </c>
      <c r="C986" s="6" t="str">
        <f>Angela_2025_Chase1117_Activity_!G983</f>
        <v>Personal - Car</v>
      </c>
      <c r="D986" s="12">
        <f>Angela_2025_Chase1117_Activity_!D983</f>
        <v>-48.78</v>
      </c>
    </row>
    <row r="987" spans="1:4" x14ac:dyDescent="0.25">
      <c r="A987" s="26">
        <f>Angela_2025_Chase1117_Activity_!B984</f>
        <v>45887</v>
      </c>
      <c r="B987" s="6" t="str">
        <f>Angela_2025_Chase1117_Activity_!C984</f>
        <v>LOTT CLEANERS (MAIN ST WEATHERFORD TX        08/14</v>
      </c>
      <c r="C987" s="6" t="str">
        <f>Angela_2025_Chase1117_Activity_!G984</f>
        <v>Personal - Clothing</v>
      </c>
      <c r="D987" s="12">
        <f>Angela_2025_Chase1117_Activity_!D984</f>
        <v>-74.5</v>
      </c>
    </row>
    <row r="988" spans="1:4" x14ac:dyDescent="0.25">
      <c r="A988" s="26">
        <f>Angela_2025_Chase1117_Activity_!B985</f>
        <v>45887</v>
      </c>
      <c r="B988" s="6" t="str">
        <f>Angela_2025_Chase1117_Activity_!C985</f>
        <v>Zelle payment from MARY MARGARET TRAHAN 25886764189</v>
      </c>
      <c r="C988" s="6" t="str">
        <f>Angela_2025_Chase1117_Activity_!G985</f>
        <v>Zelle from Mary Margaret Trahan</v>
      </c>
      <c r="D988" s="12">
        <f>Angela_2025_Chase1117_Activity_!D985</f>
        <v>75</v>
      </c>
    </row>
    <row r="989" spans="1:4" x14ac:dyDescent="0.25">
      <c r="A989" s="26">
        <f>Angela_2025_Chase1117_Activity_!B986</f>
        <v>45887</v>
      </c>
      <c r="B989" s="6" t="str">
        <f>Angela_2025_Chase1117_Activity_!C986</f>
        <v>Online Transfer from CHK ...1168 transaction#: 25898320989</v>
      </c>
      <c r="C989" s="6" t="str">
        <f>Angela_2025_Chase1117_Activity_!G986</f>
        <v>Transfer from DWG Capital Group</v>
      </c>
      <c r="D989" s="12">
        <f>Angela_2025_Chase1117_Activity_!D986</f>
        <v>1000</v>
      </c>
    </row>
    <row r="990" spans="1:4" x14ac:dyDescent="0.25">
      <c r="A990" s="26">
        <f>Angela_2025_Chase1117_Activity_!B987</f>
        <v>45884</v>
      </c>
      <c r="B990" s="6" t="str">
        <f>Angela_2025_Chase1117_Activity_!C987</f>
        <v>HOMEGOODS #1084 WEATHERFORD TX       047618  08/15</v>
      </c>
      <c r="C990" s="6" t="str">
        <f>Angela_2025_Chase1117_Activity_!G987</f>
        <v>Personal - Shopping</v>
      </c>
      <c r="D990" s="12">
        <f>Angela_2025_Chase1117_Activity_!D987</f>
        <v>-206.25</v>
      </c>
    </row>
    <row r="991" spans="1:4" x14ac:dyDescent="0.25">
      <c r="A991" s="26">
        <f>Angela_2025_Chase1117_Activity_!B988</f>
        <v>45884</v>
      </c>
      <c r="B991" s="6" t="str">
        <f>Angela_2025_Chase1117_Activity_!C988</f>
        <v>Zelle payment to Britt Magadini JPM99bjkdu1f</v>
      </c>
      <c r="C991" s="6" t="str">
        <f>Angela_2025_Chase1117_Activity_!G988</f>
        <v>Zelle to Britt Magadini</v>
      </c>
      <c r="D991" s="12">
        <f>Angela_2025_Chase1117_Activity_!D988</f>
        <v>-300</v>
      </c>
    </row>
    <row r="992" spans="1:4" x14ac:dyDescent="0.25">
      <c r="A992" s="26">
        <f>Angela_2025_Chase1117_Activity_!B989</f>
        <v>45884</v>
      </c>
      <c r="B992" s="6" t="str">
        <f>Angela_2025_Chase1117_Activity_!C989</f>
        <v>TARGET T-1981 WEATHERFORD TX         005530  08/15</v>
      </c>
      <c r="C992" s="6" t="str">
        <f>Angela_2025_Chase1117_Activity_!G989</f>
        <v>Personal - Shopping</v>
      </c>
      <c r="D992" s="12">
        <f>Angela_2025_Chase1117_Activity_!D989</f>
        <v>-266.37</v>
      </c>
    </row>
    <row r="993" spans="1:4" x14ac:dyDescent="0.25">
      <c r="A993" s="26">
        <f>Angela_2025_Chase1117_Activity_!B990</f>
        <v>45884</v>
      </c>
      <c r="B993" s="6" t="str">
        <f>Angela_2025_Chase1117_Activity_!C990</f>
        <v>ATM WITHDRAWAL                       003382  08/14225 E INT</v>
      </c>
      <c r="C993" s="6" t="str">
        <f>Angela_2025_Chase1117_Activity_!G990</f>
        <v>Withdrawal</v>
      </c>
      <c r="D993" s="12">
        <f>Angela_2025_Chase1117_Activity_!D990</f>
        <v>-600</v>
      </c>
    </row>
    <row r="994" spans="1:4" x14ac:dyDescent="0.25">
      <c r="A994" s="26">
        <f>Angela_2025_Chase1117_Activity_!B991</f>
        <v>45884</v>
      </c>
      <c r="B994" s="6" t="str">
        <f>Angela_2025_Chase1117_Activity_!C991</f>
        <v>MOVIETAVERN W 7TH ST BO FORT WORTH TX        08/14</v>
      </c>
      <c r="C994" s="6" t="str">
        <f>Angela_2025_Chase1117_Activity_!G991</f>
        <v>Personal - Entertainment</v>
      </c>
      <c r="D994" s="12">
        <f>Angela_2025_Chase1117_Activity_!D991</f>
        <v>-23.82</v>
      </c>
    </row>
    <row r="995" spans="1:4" x14ac:dyDescent="0.25">
      <c r="A995" s="26">
        <f>Angela_2025_Chase1117_Activity_!B992</f>
        <v>45884</v>
      </c>
      <c r="B995" s="6" t="str">
        <f>Angela_2025_Chase1117_Activity_!C992</f>
        <v>Prime Video Channels amzn.com/bill WA        08/14</v>
      </c>
      <c r="C995" s="6" t="str">
        <f>Angela_2025_Chase1117_Activity_!G992</f>
        <v>Amazon</v>
      </c>
      <c r="D995" s="12">
        <f>Angela_2025_Chase1117_Activity_!D992</f>
        <v>-16.989999999999998</v>
      </c>
    </row>
    <row r="996" spans="1:4" x14ac:dyDescent="0.25">
      <c r="A996" s="26">
        <f>Angela_2025_Chase1117_Activity_!B993</f>
        <v>45884</v>
      </c>
      <c r="B996" s="6" t="str">
        <f>Angela_2025_Chase1117_Activity_!C993</f>
        <v>AMAZON PRIME*OJ3QP8G Amzn.com/bill WA        08/14</v>
      </c>
      <c r="C996" s="6" t="str">
        <f>Angela_2025_Chase1117_Activity_!G993</f>
        <v>Amazon</v>
      </c>
      <c r="D996" s="12">
        <f>Angela_2025_Chase1117_Activity_!D993</f>
        <v>-16.45</v>
      </c>
    </row>
    <row r="997" spans="1:4" x14ac:dyDescent="0.25">
      <c r="A997" s="26">
        <f>Angela_2025_Chase1117_Activity_!B994</f>
        <v>45884</v>
      </c>
      <c r="B997" s="6" t="str">
        <f>Angela_2025_Chase1117_Activity_!C994</f>
        <v>APPLE.COM/BILL 866-712-7753 CA               08/14</v>
      </c>
      <c r="C997" s="6" t="str">
        <f>Angela_2025_Chase1117_Activity_!G994</f>
        <v>Apple</v>
      </c>
      <c r="D997" s="12">
        <f>Angela_2025_Chase1117_Activity_!D994</f>
        <v>-59.99</v>
      </c>
    </row>
    <row r="998" spans="1:4" x14ac:dyDescent="0.25">
      <c r="A998" s="26">
        <f>Angela_2025_Chase1117_Activity_!B995</f>
        <v>45883</v>
      </c>
      <c r="B998" s="6" t="str">
        <f>Angela_2025_Chase1117_Activity_!C995</f>
        <v>SP LA PANTHERE STUDI LAPANTHERESTU TN        08/14</v>
      </c>
      <c r="C998" s="6" t="str">
        <f>Angela_2025_Chase1117_Activity_!G995</f>
        <v>Personal - Health</v>
      </c>
      <c r="D998" s="12">
        <f>Angela_2025_Chase1117_Activity_!D995</f>
        <v>-230.48</v>
      </c>
    </row>
    <row r="999" spans="1:4" x14ac:dyDescent="0.25">
      <c r="A999" s="26">
        <f>Angela_2025_Chase1117_Activity_!B996</f>
        <v>45883</v>
      </c>
      <c r="B999" s="6" t="str">
        <f>Angela_2025_Chase1117_Activity_!C996</f>
        <v>SP LA PANTHERE STUDI LAPANTHERESTU TN        08/14</v>
      </c>
      <c r="C999" s="6" t="str">
        <f>Angela_2025_Chase1117_Activity_!G996</f>
        <v>Personal - Health</v>
      </c>
      <c r="D999" s="12">
        <f>Angela_2025_Chase1117_Activity_!D996</f>
        <v>-78.98</v>
      </c>
    </row>
    <row r="1000" spans="1:4" x14ac:dyDescent="0.25">
      <c r="A1000" s="26">
        <f>Angela_2025_Chase1117_Activity_!B997</f>
        <v>45883</v>
      </c>
      <c r="B1000" s="6" t="str">
        <f>Angela_2025_Chase1117_Activity_!C997</f>
        <v>AMAZON MKTPL*NP88Q1G Amzn.com/bill WA        08/14</v>
      </c>
      <c r="C1000" s="6" t="str">
        <f>Angela_2025_Chase1117_Activity_!G997</f>
        <v>Amazon</v>
      </c>
      <c r="D1000" s="12">
        <f>Angela_2025_Chase1117_Activity_!D997</f>
        <v>-29.98</v>
      </c>
    </row>
    <row r="1001" spans="1:4" x14ac:dyDescent="0.25">
      <c r="A1001" s="26">
        <f>Angela_2025_Chase1117_Activity_!B998</f>
        <v>45883</v>
      </c>
      <c r="B1001" s="6" t="str">
        <f>Angela_2025_Chase1117_Activity_!C998</f>
        <v>Amazon.com*GQ4R45CK3 Amzn.com/bill WA        08/14</v>
      </c>
      <c r="C1001" s="6" t="str">
        <f>Angela_2025_Chase1117_Activity_!G998</f>
        <v>Amazon</v>
      </c>
      <c r="D1001" s="12">
        <f>Angela_2025_Chase1117_Activity_!D998</f>
        <v>-43.64</v>
      </c>
    </row>
    <row r="1002" spans="1:4" x14ac:dyDescent="0.25">
      <c r="A1002" s="26">
        <f>Angela_2025_Chase1117_Activity_!B999</f>
        <v>45883</v>
      </c>
      <c r="B1002" s="6" t="str">
        <f>Angela_2025_Chase1117_Activity_!C999</f>
        <v>AMAZON MKTPL*YC5VL0U Amzn.com/bill WA        08/13</v>
      </c>
      <c r="C1002" s="6" t="str">
        <f>Angela_2025_Chase1117_Activity_!G999</f>
        <v>Amazon</v>
      </c>
      <c r="D1002" s="12">
        <f>Angela_2025_Chase1117_Activity_!D999</f>
        <v>-117.87</v>
      </c>
    </row>
    <row r="1003" spans="1:4" x14ac:dyDescent="0.25">
      <c r="A1003" s="26">
        <f>Angela_2025_Chase1117_Activity_!B1000</f>
        <v>45883</v>
      </c>
      <c r="B1003" s="6" t="str">
        <f>Angela_2025_Chase1117_Activity_!C1000</f>
        <v>AMERICAN AIR00183179344 FORT WORTH TX        08/12</v>
      </c>
      <c r="C1003" s="6" t="str">
        <f>Angela_2025_Chase1117_Activity_!G1000</f>
        <v>Personal Travel</v>
      </c>
      <c r="D1003" s="12">
        <f>Angela_2025_Chase1117_Activity_!D1000</f>
        <v>-31.99</v>
      </c>
    </row>
    <row r="1004" spans="1:4" x14ac:dyDescent="0.25">
      <c r="A1004" s="26">
        <f>Angela_2025_Chase1117_Activity_!B1001</f>
        <v>45883</v>
      </c>
      <c r="B1004" s="6" t="str">
        <f>Angela_2025_Chase1117_Activity_!C1001</f>
        <v>AMERICAN AIR00183179344 FORT WORTH TX        08/12</v>
      </c>
      <c r="C1004" s="6" t="str">
        <f>Angela_2025_Chase1117_Activity_!G1001</f>
        <v>Personal Travel</v>
      </c>
      <c r="D1004" s="12">
        <f>Angela_2025_Chase1117_Activity_!D1001</f>
        <v>-31.99</v>
      </c>
    </row>
    <row r="1005" spans="1:4" x14ac:dyDescent="0.25">
      <c r="A1005" s="26">
        <f>Angela_2025_Chase1117_Activity_!B1002</f>
        <v>45883</v>
      </c>
      <c r="B1005" s="6" t="str">
        <f>Angela_2025_Chase1117_Activity_!C1002</f>
        <v>AMERICAN AIR00173161939 FORT WORTH TX        08/12</v>
      </c>
      <c r="C1005" s="6" t="str">
        <f>Angela_2025_Chase1117_Activity_!G1002</f>
        <v>Personal Travel</v>
      </c>
      <c r="D1005" s="12">
        <f>Angela_2025_Chase1117_Activity_!D1002</f>
        <v>-258.49</v>
      </c>
    </row>
    <row r="1006" spans="1:4" x14ac:dyDescent="0.25">
      <c r="A1006" s="26">
        <f>Angela_2025_Chase1117_Activity_!B1003</f>
        <v>45883</v>
      </c>
      <c r="B1006" s="6" t="str">
        <f>Angela_2025_Chase1117_Activity_!C1003</f>
        <v>AMERICAN AIR00173161939 FORT WORTH TX        08/12</v>
      </c>
      <c r="C1006" s="6" t="str">
        <f>Angela_2025_Chase1117_Activity_!G1003</f>
        <v>Personal Travel</v>
      </c>
      <c r="D1006" s="12">
        <f>Angela_2025_Chase1117_Activity_!D1003</f>
        <v>-258.49</v>
      </c>
    </row>
    <row r="1007" spans="1:4" x14ac:dyDescent="0.25">
      <c r="A1007" s="26">
        <f>Angela_2025_Chase1117_Activity_!B1004</f>
        <v>45882</v>
      </c>
      <c r="B1007" s="6" t="str">
        <f>Angela_2025_Chase1117_Activity_!C1004</f>
        <v>HOBBYLOBBY WEATHERFORD TX            015730  08/13</v>
      </c>
      <c r="C1007" s="6" t="str">
        <f>Angela_2025_Chase1117_Activity_!G1004</f>
        <v>Personal - Shopping</v>
      </c>
      <c r="D1007" s="12">
        <f>Angela_2025_Chase1117_Activity_!D1004</f>
        <v>-64.77</v>
      </c>
    </row>
    <row r="1008" spans="1:4" x14ac:dyDescent="0.25">
      <c r="A1008" s="26">
        <f>Angela_2025_Chase1117_Activity_!B1005</f>
        <v>45882</v>
      </c>
      <c r="B1008" s="6" t="str">
        <f>Angela_2025_Chase1117_Activity_!C1005</f>
        <v>Online Payment 25829720041 To MERCEDES-BENZ FINANCIAL SERVICES 08/13</v>
      </c>
      <c r="C1008" s="6" t="str">
        <f>Angela_2025_Chase1117_Activity_!G1005</f>
        <v>Personal - House Bills</v>
      </c>
      <c r="D1008" s="12">
        <f>Angela_2025_Chase1117_Activity_!D1005</f>
        <v>-700</v>
      </c>
    </row>
    <row r="1009" spans="1:4" x14ac:dyDescent="0.25">
      <c r="A1009" s="26">
        <f>Angela_2025_Chase1117_Activity_!B1006</f>
        <v>45881</v>
      </c>
      <c r="B1009" s="6" t="str">
        <f>Angela_2025_Chase1117_Activity_!C1006</f>
        <v>WHOLEFDS FTW #10 3400 FORT WORTH TX  240015  08/12</v>
      </c>
      <c r="C1009" s="6" t="str">
        <f>Angela_2025_Chase1117_Activity_!G1006</f>
        <v>Personal - Food</v>
      </c>
      <c r="D1009" s="12">
        <f>Angela_2025_Chase1117_Activity_!D1006</f>
        <v>-399.96</v>
      </c>
    </row>
    <row r="1010" spans="1:4" x14ac:dyDescent="0.25">
      <c r="A1010" s="26">
        <f>Angela_2025_Chase1117_Activity_!B1007</f>
        <v>45881</v>
      </c>
      <c r="B1010" s="6" t="str">
        <f>Angela_2025_Chase1117_Activity_!C1007</f>
        <v>UBER   * EATS PENDIN SAN FRANCISCO CA072165  08/12</v>
      </c>
      <c r="C1010" s="6" t="str">
        <f>Angela_2025_Chase1117_Activity_!G1007</f>
        <v>Uber Eats</v>
      </c>
      <c r="D1010" s="12">
        <f>Angela_2025_Chase1117_Activity_!D1007</f>
        <v>-35.57</v>
      </c>
    </row>
    <row r="1011" spans="1:4" x14ac:dyDescent="0.25">
      <c r="A1011" s="26">
        <f>Angela_2025_Chase1117_Activity_!B1008</f>
        <v>45881</v>
      </c>
      <c r="B1011" s="6" t="str">
        <f>Angela_2025_Chase1117_Activity_!C1008</f>
        <v>MONTGOMERY STREE 2601 FORT WORTH TX  751144  08/12</v>
      </c>
      <c r="C1011" s="6" t="str">
        <f>Angela_2025_Chase1117_Activity_!G1008</f>
        <v>Personal - Food</v>
      </c>
      <c r="D1011" s="12">
        <f>Angela_2025_Chase1117_Activity_!D1008</f>
        <v>-287.94</v>
      </c>
    </row>
    <row r="1012" spans="1:4" x14ac:dyDescent="0.25">
      <c r="A1012" s="26">
        <f>Angela_2025_Chase1117_Activity_!B1009</f>
        <v>45881</v>
      </c>
      <c r="B1012" s="6" t="str">
        <f>Angela_2025_Chase1117_Activity_!C1009</f>
        <v>Online Transfer to CHK ...6975 transaction#: 25826313668 08/12</v>
      </c>
      <c r="C1012" s="6" t="str">
        <f>Angela_2025_Chase1117_Activity_!G1009</f>
        <v>Transfer to Ava</v>
      </c>
      <c r="D1012" s="12">
        <f>Angela_2025_Chase1117_Activity_!D1009</f>
        <v>-500</v>
      </c>
    </row>
    <row r="1013" spans="1:4" x14ac:dyDescent="0.25">
      <c r="A1013" s="26">
        <f>Angela_2025_Chase1117_Activity_!B1010</f>
        <v>45881</v>
      </c>
      <c r="B1013" s="6" t="str">
        <f>Angela_2025_Chase1117_Activity_!C1010</f>
        <v>AMAZON MKTPL*NL0GF12 Amzn.com/bill WA        08/12</v>
      </c>
      <c r="C1013" s="6" t="str">
        <f>Angela_2025_Chase1117_Activity_!G1010</f>
        <v>Amazon</v>
      </c>
      <c r="D1013" s="12">
        <f>Angela_2025_Chase1117_Activity_!D1010</f>
        <v>-25.67</v>
      </c>
    </row>
    <row r="1014" spans="1:4" x14ac:dyDescent="0.25">
      <c r="A1014" s="26">
        <f>Angela_2025_Chase1117_Activity_!B1011</f>
        <v>45881</v>
      </c>
      <c r="B1014" s="6" t="str">
        <f>Angela_2025_Chase1117_Activity_!C1011</f>
        <v>Zara.com 212-3551415 NY                      08/11</v>
      </c>
      <c r="C1014" s="6" t="str">
        <f>Angela_2025_Chase1117_Activity_!G1011</f>
        <v>Personal - Shopping</v>
      </c>
      <c r="D1014" s="12">
        <f>Angela_2025_Chase1117_Activity_!D1011</f>
        <v>-237.66</v>
      </c>
    </row>
    <row r="1015" spans="1:4" x14ac:dyDescent="0.25">
      <c r="A1015" s="26">
        <f>Angela_2025_Chase1117_Activity_!B1012</f>
        <v>45881</v>
      </c>
      <c r="B1015" s="6" t="str">
        <f>Angela_2025_Chase1117_Activity_!C1012</f>
        <v>Online Transfer from CHK ...1168 transaction#: 25826286791</v>
      </c>
      <c r="C1015" s="6" t="str">
        <f>Angela_2025_Chase1117_Activity_!G1012</f>
        <v>Transfer from DWG Capital Group</v>
      </c>
      <c r="D1015" s="12">
        <f>Angela_2025_Chase1117_Activity_!D1012</f>
        <v>5000</v>
      </c>
    </row>
    <row r="1016" spans="1:4" x14ac:dyDescent="0.25">
      <c r="A1016" s="26">
        <f>Angela_2025_Chase1117_Activity_!B1013</f>
        <v>45880</v>
      </c>
      <c r="B1016" s="6" t="str">
        <f>Angela_2025_Chase1117_Activity_!C1013</f>
        <v>AMAZON MKTPL*QT1JK9P Amzn.com/bill WA        08/11</v>
      </c>
      <c r="C1016" s="6" t="str">
        <f>Angela_2025_Chase1117_Activity_!G1013</f>
        <v>Amazon</v>
      </c>
      <c r="D1016" s="12">
        <f>Angela_2025_Chase1117_Activity_!D1013</f>
        <v>-70.599999999999994</v>
      </c>
    </row>
    <row r="1017" spans="1:4" x14ac:dyDescent="0.25">
      <c r="A1017" s="26">
        <f>Angela_2025_Chase1117_Activity_!B1014</f>
        <v>45880</v>
      </c>
      <c r="B1017" s="6" t="str">
        <f>Angela_2025_Chase1117_Activity_!C1014</f>
        <v>WORLD MARKET  #135 FT. WORTH TX      018536  08/10</v>
      </c>
      <c r="C1017" s="6" t="str">
        <f>Angela_2025_Chase1117_Activity_!G1014</f>
        <v>Personal - Shopping</v>
      </c>
      <c r="D1017" s="12">
        <f>Angela_2025_Chase1117_Activity_!D1014</f>
        <v>-634.03</v>
      </c>
    </row>
    <row r="1018" spans="1:4" x14ac:dyDescent="0.25">
      <c r="A1018" s="26">
        <f>Angela_2025_Chase1117_Activity_!B1015</f>
        <v>45880</v>
      </c>
      <c r="B1018" s="6" t="str">
        <f>Angela_2025_Chase1117_Activity_!C1015</f>
        <v>TRADER JOE S #40 2701 FORT WORTH TX  263768  08/10</v>
      </c>
      <c r="C1018" s="6" t="str">
        <f>Angela_2025_Chase1117_Activity_!G1015</f>
        <v>Personal - Food</v>
      </c>
      <c r="D1018" s="12">
        <f>Angela_2025_Chase1117_Activity_!D1015</f>
        <v>-44.05</v>
      </c>
    </row>
    <row r="1019" spans="1:4" x14ac:dyDescent="0.25">
      <c r="A1019" s="26">
        <f>Angela_2025_Chase1117_Activity_!B1016</f>
        <v>45880</v>
      </c>
      <c r="B1019" s="6" t="str">
        <f>Angela_2025_Chase1117_Activity_!C1016</f>
        <v>MONTGOMERY STREE 2601 FORT WORTH TX  458546  08/10</v>
      </c>
      <c r="C1019" s="6" t="str">
        <f>Angela_2025_Chase1117_Activity_!G1016</f>
        <v>Personal - Food</v>
      </c>
      <c r="D1019" s="12">
        <f>Angela_2025_Chase1117_Activity_!D1016</f>
        <v>-983.99</v>
      </c>
    </row>
    <row r="1020" spans="1:4" x14ac:dyDescent="0.25">
      <c r="A1020" s="26">
        <f>Angela_2025_Chase1117_Activity_!B1017</f>
        <v>45880</v>
      </c>
      <c r="B1020" s="6" t="str">
        <f>Angela_2025_Chase1117_Activity_!C1017</f>
        <v>AMAZON MKTPL*OI7OH1P Amzn.com/bill WA        08/11</v>
      </c>
      <c r="C1020" s="6" t="str">
        <f>Angela_2025_Chase1117_Activity_!G1017</f>
        <v>Amazon</v>
      </c>
      <c r="D1020" s="12">
        <f>Angela_2025_Chase1117_Activity_!D1017</f>
        <v>-19.22</v>
      </c>
    </row>
    <row r="1021" spans="1:4" x14ac:dyDescent="0.25">
      <c r="A1021" s="26">
        <f>Angela_2025_Chase1117_Activity_!B1018</f>
        <v>45880</v>
      </c>
      <c r="B1021" s="6" t="str">
        <f>Angela_2025_Chase1117_Activity_!C1018</f>
        <v>AMAZON MKTPL*H588F4F Amzn.com/bill WA        08/11</v>
      </c>
      <c r="C1021" s="6" t="str">
        <f>Angela_2025_Chase1117_Activity_!G1018</f>
        <v>Amazon</v>
      </c>
      <c r="D1021" s="12">
        <f>Angela_2025_Chase1117_Activity_!D1018</f>
        <v>-200.97</v>
      </c>
    </row>
    <row r="1022" spans="1:4" x14ac:dyDescent="0.25">
      <c r="A1022" s="26">
        <f>Angela_2025_Chase1117_Activity_!B1019</f>
        <v>45880</v>
      </c>
      <c r="B1022" s="6" t="str">
        <f>Angela_2025_Chase1117_Activity_!C1019</f>
        <v>APPLE.COM/BILL 866-712-7753 CA               08/10</v>
      </c>
      <c r="C1022" s="6" t="str">
        <f>Angela_2025_Chase1117_Activity_!G1019</f>
        <v>Apple</v>
      </c>
      <c r="D1022" s="12">
        <f>Angela_2025_Chase1117_Activity_!D1019</f>
        <v>-12.99</v>
      </c>
    </row>
    <row r="1023" spans="1:4" x14ac:dyDescent="0.25">
      <c r="A1023" s="26">
        <f>Angela_2025_Chase1117_Activity_!B1020</f>
        <v>45880</v>
      </c>
      <c r="B1023" s="6" t="str">
        <f>Angela_2025_Chase1117_Activity_!C1020</f>
        <v>KOHLS #0993 WEATHERFORD TX                   08/08</v>
      </c>
      <c r="C1023" s="6" t="str">
        <f>Angela_2025_Chase1117_Activity_!G1020</f>
        <v>Personal - Shopping</v>
      </c>
      <c r="D1023" s="12">
        <f>Angela_2025_Chase1117_Activity_!D1020</f>
        <v>-139.97999999999999</v>
      </c>
    </row>
    <row r="1024" spans="1:4" x14ac:dyDescent="0.25">
      <c r="A1024" s="26">
        <f>Angela_2025_Chase1117_Activity_!B1021</f>
        <v>45880</v>
      </c>
      <c r="B1024" s="6" t="str">
        <f>Angela_2025_Chase1117_Activity_!C1021</f>
        <v>APPLE.COM/BILL 866-712-7753 CA               08/09</v>
      </c>
      <c r="C1024" s="6" t="str">
        <f>Angela_2025_Chase1117_Activity_!G1021</f>
        <v>Apple</v>
      </c>
      <c r="D1024" s="12">
        <f>Angela_2025_Chase1117_Activity_!D1021</f>
        <v>-6.99</v>
      </c>
    </row>
    <row r="1025" spans="1:4" x14ac:dyDescent="0.25">
      <c r="A1025" s="26">
        <f>Angela_2025_Chase1117_Activity_!B1022</f>
        <v>45880</v>
      </c>
      <c r="B1025" s="6" t="str">
        <f>Angela_2025_Chase1117_Activity_!C1022</f>
        <v>Amazon Tips*C44RV7PS Amzn.com/bill WA        08/08</v>
      </c>
      <c r="C1025" s="6" t="str">
        <f>Angela_2025_Chase1117_Activity_!G1022</f>
        <v>Amazon</v>
      </c>
      <c r="D1025" s="12">
        <f>Angela_2025_Chase1117_Activity_!D1022</f>
        <v>-50</v>
      </c>
    </row>
    <row r="1026" spans="1:4" x14ac:dyDescent="0.25">
      <c r="A1026" s="26">
        <f>Angela_2025_Chase1117_Activity_!B1023</f>
        <v>45880</v>
      </c>
      <c r="B1026" s="6" t="str">
        <f>Angela_2025_Chase1117_Activity_!C1023</f>
        <v>AMAZON MKTPL*W80P34T Amzn.com/bill WA        08/09</v>
      </c>
      <c r="C1026" s="6" t="str">
        <f>Angela_2025_Chase1117_Activity_!G1023</f>
        <v>Amazon</v>
      </c>
      <c r="D1026" s="12">
        <f>Angela_2025_Chase1117_Activity_!D1023</f>
        <v>-26.68</v>
      </c>
    </row>
    <row r="1027" spans="1:4" x14ac:dyDescent="0.25">
      <c r="A1027" s="26">
        <f>Angela_2025_Chase1117_Activity_!B1024</f>
        <v>45880</v>
      </c>
      <c r="B1027" s="6" t="str">
        <f>Angela_2025_Chase1117_Activity_!C1024</f>
        <v>AMAZON MKTPL*526P60Q Amzn.com/bill WA        08/09</v>
      </c>
      <c r="C1027" s="6" t="str">
        <f>Angela_2025_Chase1117_Activity_!G1024</f>
        <v>Amazon</v>
      </c>
      <c r="D1027" s="12">
        <f>Angela_2025_Chase1117_Activity_!D1024</f>
        <v>-20.27</v>
      </c>
    </row>
    <row r="1028" spans="1:4" x14ac:dyDescent="0.25">
      <c r="A1028" s="26">
        <f>Angela_2025_Chase1117_Activity_!B1025</f>
        <v>45880</v>
      </c>
      <c r="B1028" s="6" t="str">
        <f>Angela_2025_Chase1117_Activity_!C1025</f>
        <v>AMAZON MKTPL*M30OG95 Amzn.com/bill WA        08/08</v>
      </c>
      <c r="C1028" s="6" t="str">
        <f>Angela_2025_Chase1117_Activity_!G1025</f>
        <v>Amazon</v>
      </c>
      <c r="D1028" s="12">
        <f>Angela_2025_Chase1117_Activity_!D1025</f>
        <v>-43.6</v>
      </c>
    </row>
    <row r="1029" spans="1:4" x14ac:dyDescent="0.25">
      <c r="A1029" s="26">
        <f>Angela_2025_Chase1117_Activity_!B1026</f>
        <v>45880</v>
      </c>
      <c r="B1029" s="6" t="str">
        <f>Angela_2025_Chase1117_Activity_!C1026</f>
        <v>FILM ALLEY WEATHERFORD 817-3413232 TX        08/07</v>
      </c>
      <c r="C1029" s="6" t="str">
        <f>Angela_2025_Chase1117_Activity_!G1026</f>
        <v>Personal - Entertainment</v>
      </c>
      <c r="D1029" s="12">
        <f>Angela_2025_Chase1117_Activity_!D1026</f>
        <v>-18.010000000000002</v>
      </c>
    </row>
    <row r="1030" spans="1:4" x14ac:dyDescent="0.25">
      <c r="A1030" s="26">
        <f>Angela_2025_Chase1117_Activity_!B1027</f>
        <v>45877</v>
      </c>
      <c r="B1030" s="6" t="str">
        <f>Angela_2025_Chase1117_Activity_!C1027</f>
        <v>HOMEGOODS #1084 WEATHERFORD TX       037267  08/08</v>
      </c>
      <c r="C1030" s="6" t="str">
        <f>Angela_2025_Chase1117_Activity_!G1027</f>
        <v>Personal - Shopping</v>
      </c>
      <c r="D1030" s="12">
        <f>Angela_2025_Chase1117_Activity_!D1027</f>
        <v>-59.51</v>
      </c>
    </row>
    <row r="1031" spans="1:4" x14ac:dyDescent="0.25">
      <c r="A1031" s="26">
        <f>Angela_2025_Chase1117_Activity_!B1028</f>
        <v>45877</v>
      </c>
      <c r="B1031" s="6" t="str">
        <f>Angela_2025_Chase1117_Activity_!C1028</f>
        <v>ROSAS CAFE &amp; TORTILLA WEATHERFORD TX         08/07</v>
      </c>
      <c r="C1031" s="6" t="str">
        <f>Angela_2025_Chase1117_Activity_!G1028</f>
        <v>Personal - Food</v>
      </c>
      <c r="D1031" s="12">
        <f>Angela_2025_Chase1117_Activity_!D1028</f>
        <v>-11.19</v>
      </c>
    </row>
    <row r="1032" spans="1:4" x14ac:dyDescent="0.25">
      <c r="A1032" s="26">
        <f>Angela_2025_Chase1117_Activity_!B1029</f>
        <v>45877</v>
      </c>
      <c r="B1032" s="6" t="str">
        <f>Angela_2025_Chase1117_Activity_!C1029</f>
        <v>Prime Video Channels amzn.com/bill WA        08/07</v>
      </c>
      <c r="C1032" s="6" t="str">
        <f>Angela_2025_Chase1117_Activity_!G1029</f>
        <v>Amazon</v>
      </c>
      <c r="D1032" s="12">
        <f>Angela_2025_Chase1117_Activity_!D1029</f>
        <v>-13.99</v>
      </c>
    </row>
    <row r="1033" spans="1:4" x14ac:dyDescent="0.25">
      <c r="A1033" s="26">
        <f>Angela_2025_Chase1117_Activity_!B1030</f>
        <v>45877</v>
      </c>
      <c r="B1033" s="6" t="str">
        <f>Angela_2025_Chase1117_Activity_!C1030</f>
        <v>FANDANGO    * FANDANGO.COM CA                08/07</v>
      </c>
      <c r="C1033" s="6" t="str">
        <f>Angela_2025_Chase1117_Activity_!G1030</f>
        <v>Personal - Entertainment</v>
      </c>
      <c r="D1033" s="12">
        <f>Angela_2025_Chase1117_Activity_!D1030</f>
        <v>-49.32</v>
      </c>
    </row>
    <row r="1034" spans="1:4" x14ac:dyDescent="0.25">
      <c r="A1034" s="26">
        <f>Angela_2025_Chase1117_Activity_!B1031</f>
        <v>45877</v>
      </c>
      <c r="B1034" s="6" t="str">
        <f>Angela_2025_Chase1117_Activity_!C1031</f>
        <v>Amazon.com*KC3RX3PV3 Amzn.com/bill WA        08/07</v>
      </c>
      <c r="C1034" s="6" t="str">
        <f>Angela_2025_Chase1117_Activity_!G1031</f>
        <v>Amazon</v>
      </c>
      <c r="D1034" s="12">
        <f>Angela_2025_Chase1117_Activity_!D1031</f>
        <v>-88.22</v>
      </c>
    </row>
    <row r="1035" spans="1:4" x14ac:dyDescent="0.25">
      <c r="A1035" s="26">
        <f>Angela_2025_Chase1117_Activity_!B1032</f>
        <v>45877</v>
      </c>
      <c r="B1035" s="6" t="str">
        <f>Angela_2025_Chase1117_Activity_!C1032</f>
        <v>AMAZON MKTPL*VO0VA5E Amzn.com/bill WA        08/07</v>
      </c>
      <c r="C1035" s="6" t="str">
        <f>Angela_2025_Chase1117_Activity_!G1032</f>
        <v>Amazon</v>
      </c>
      <c r="D1035" s="12">
        <f>Angela_2025_Chase1117_Activity_!D1032</f>
        <v>-60.99</v>
      </c>
    </row>
    <row r="1036" spans="1:4" x14ac:dyDescent="0.25">
      <c r="A1036" s="26">
        <f>Angela_2025_Chase1117_Activity_!B1033</f>
        <v>45877</v>
      </c>
      <c r="B1036" s="6" t="str">
        <f>Angela_2025_Chase1117_Activity_!C1033</f>
        <v>ZARA USA PREOWNED WWW.ZARA.COM/ NY           08/08</v>
      </c>
      <c r="C1036" s="6" t="str">
        <f>Angela_2025_Chase1117_Activity_!G1033</f>
        <v>Personal - Shopping</v>
      </c>
      <c r="D1036" s="12">
        <f>Angela_2025_Chase1117_Activity_!D1033</f>
        <v>-228.36</v>
      </c>
    </row>
    <row r="1037" spans="1:4" x14ac:dyDescent="0.25">
      <c r="A1037" s="26">
        <f>Angela_2025_Chase1117_Activity_!B1034</f>
        <v>45876</v>
      </c>
      <c r="B1037" s="6" t="str">
        <f>Angela_2025_Chase1117_Activity_!C1034</f>
        <v>HOMEGOODS #1084 WEATHERFORD TX       028309  08/07</v>
      </c>
      <c r="C1037" s="6" t="str">
        <f>Angela_2025_Chase1117_Activity_!G1034</f>
        <v>Personal - Shopping</v>
      </c>
      <c r="D1037" s="12">
        <f>Angela_2025_Chase1117_Activity_!D1034</f>
        <v>-86.58</v>
      </c>
    </row>
    <row r="1038" spans="1:4" x14ac:dyDescent="0.25">
      <c r="A1038" s="26">
        <f>Angela_2025_Chase1117_Activity_!B1035</f>
        <v>45876</v>
      </c>
      <c r="B1038" s="6" t="str">
        <f>Angela_2025_Chase1117_Activity_!C1035</f>
        <v>COAST TO COAST AM 855-939-1997 TX            08/07</v>
      </c>
      <c r="C1038" s="6" t="str">
        <f>Angela_2025_Chase1117_Activity_!G1035</f>
        <v>Personal - Subscription</v>
      </c>
      <c r="D1038" s="12">
        <f>Angela_2025_Chase1117_Activity_!D1035</f>
        <v>-54.95</v>
      </c>
    </row>
    <row r="1039" spans="1:4" x14ac:dyDescent="0.25">
      <c r="A1039" s="26">
        <f>Angela_2025_Chase1117_Activity_!B1036</f>
        <v>45876</v>
      </c>
      <c r="B1039" s="6" t="str">
        <f>Angela_2025_Chase1117_Activity_!C1036</f>
        <v>AMERICAN AIR00183178923 FORT WORTH TX        08/05</v>
      </c>
      <c r="C1039" s="6" t="str">
        <f>Angela_2025_Chase1117_Activity_!G1036</f>
        <v>Personal Travel</v>
      </c>
      <c r="D1039" s="12">
        <f>Angela_2025_Chase1117_Activity_!D1036</f>
        <v>-56.89</v>
      </c>
    </row>
    <row r="1040" spans="1:4" x14ac:dyDescent="0.25">
      <c r="A1040" s="26">
        <f>Angela_2025_Chase1117_Activity_!B1037</f>
        <v>45876</v>
      </c>
      <c r="B1040" s="6" t="str">
        <f>Angela_2025_Chase1117_Activity_!C1037</f>
        <v>AMERICAN AIR00173157836 FORT WORTH TX        08/05</v>
      </c>
      <c r="C1040" s="6" t="str">
        <f>Angela_2025_Chase1117_Activity_!G1037</f>
        <v>Personal Travel</v>
      </c>
      <c r="D1040" s="12">
        <f>Angela_2025_Chase1117_Activity_!D1037</f>
        <v>-258.49</v>
      </c>
    </row>
    <row r="1041" spans="1:4" x14ac:dyDescent="0.25">
      <c r="A1041" s="26">
        <f>Angela_2025_Chase1117_Activity_!B1038</f>
        <v>45876</v>
      </c>
      <c r="B1041" s="6" t="str">
        <f>Angela_2025_Chase1117_Activity_!C1038</f>
        <v>AMAZON MKTPL*NU5V25I Amzn.com/bill WA        08/06</v>
      </c>
      <c r="C1041" s="6" t="str">
        <f>Angela_2025_Chase1117_Activity_!G1038</f>
        <v>Amazon</v>
      </c>
      <c r="D1041" s="12">
        <f>Angela_2025_Chase1117_Activity_!D1038</f>
        <v>-9.8699999999999992</v>
      </c>
    </row>
    <row r="1042" spans="1:4" x14ac:dyDescent="0.25">
      <c r="A1042" s="26">
        <f>Angela_2025_Chase1117_Activity_!B1039</f>
        <v>45875</v>
      </c>
      <c r="B1042" s="6" t="str">
        <f>Angela_2025_Chase1117_Activity_!C1039</f>
        <v>NNTCWWW.TARGET.COM 4 BROOKLYN PARK MN361134  08/05</v>
      </c>
      <c r="C1042" s="6" t="str">
        <f>Angela_2025_Chase1117_Activity_!G1039</f>
        <v>Personal - Shopping</v>
      </c>
      <c r="D1042" s="12">
        <f>Angela_2025_Chase1117_Activity_!D1039</f>
        <v>-65.849999999999994</v>
      </c>
    </row>
    <row r="1043" spans="1:4" x14ac:dyDescent="0.25">
      <c r="A1043" s="26">
        <f>Angela_2025_Chase1117_Activity_!B1040</f>
        <v>45875</v>
      </c>
      <c r="B1043" s="6" t="str">
        <f>Angela_2025_Chase1117_Activity_!C1040</f>
        <v>UBER   * EATS PENDIN SAN FRANCISCO CA089209  08/06</v>
      </c>
      <c r="C1043" s="6" t="str">
        <f>Angela_2025_Chase1117_Activity_!G1040</f>
        <v>Uber Eats</v>
      </c>
      <c r="D1043" s="12">
        <f>Angela_2025_Chase1117_Activity_!D1040</f>
        <v>-39.049999999999997</v>
      </c>
    </row>
    <row r="1044" spans="1:4" x14ac:dyDescent="0.25">
      <c r="A1044" s="26">
        <f>Angela_2025_Chase1117_Activity_!B1041</f>
        <v>45875</v>
      </c>
      <c r="B1044" s="6" t="str">
        <f>Angela_2025_Chase1117_Activity_!C1041</f>
        <v>GOOGLE *YouTubePremi g.co/helppay# CA        08/06</v>
      </c>
      <c r="C1044" s="6" t="str">
        <f>Angela_2025_Chase1117_Activity_!G1041</f>
        <v>YouTube Premium</v>
      </c>
      <c r="D1044" s="12">
        <f>Angela_2025_Chase1117_Activity_!D1041</f>
        <v>-13.99</v>
      </c>
    </row>
    <row r="1045" spans="1:4" x14ac:dyDescent="0.25">
      <c r="A1045" s="26">
        <f>Angela_2025_Chase1117_Activity_!B1042</f>
        <v>45875</v>
      </c>
      <c r="B1045" s="6" t="str">
        <f>Angela_2025_Chase1117_Activity_!C1042</f>
        <v>PSYCHOLOGY TODAY PSYCHOLOGYTOD SD            08/06</v>
      </c>
      <c r="C1045" s="6" t="str">
        <f>Angela_2025_Chase1117_Activity_!G1042</f>
        <v>Personal - Subscription</v>
      </c>
      <c r="D1045" s="12">
        <f>Angela_2025_Chase1117_Activity_!D1042</f>
        <v>-29.95</v>
      </c>
    </row>
    <row r="1046" spans="1:4" x14ac:dyDescent="0.25">
      <c r="A1046" s="26">
        <f>Angela_2025_Chase1117_Activity_!B1043</f>
        <v>45875</v>
      </c>
      <c r="B1046" s="6" t="str">
        <f>Angela_2025_Chase1117_Activity_!C1043</f>
        <v>ELEVENLABS.IO ELEVENLABS.IO NY               08/06</v>
      </c>
      <c r="C1046" s="6" t="str">
        <f>Angela_2025_Chase1117_Activity_!G1043</f>
        <v>Personal - Subscription</v>
      </c>
      <c r="D1046" s="12">
        <f>Angela_2025_Chase1117_Activity_!D1043</f>
        <v>-22</v>
      </c>
    </row>
    <row r="1047" spans="1:4" x14ac:dyDescent="0.25">
      <c r="A1047" s="26">
        <f>Angela_2025_Chase1117_Activity_!B1044</f>
        <v>45875</v>
      </c>
      <c r="B1047" s="6" t="str">
        <f>Angela_2025_Chase1117_Activity_!C1044</f>
        <v>Amazon.com*FK0H282J3 Amzn.com/bill WA        08/06</v>
      </c>
      <c r="C1047" s="6" t="str">
        <f>Angela_2025_Chase1117_Activity_!G1044</f>
        <v>Amazon</v>
      </c>
      <c r="D1047" s="12">
        <f>Angela_2025_Chase1117_Activity_!D1044</f>
        <v>-14.2</v>
      </c>
    </row>
    <row r="1048" spans="1:4" x14ac:dyDescent="0.25">
      <c r="A1048" s="26">
        <f>Angela_2025_Chase1117_Activity_!B1045</f>
        <v>45875</v>
      </c>
      <c r="B1048" s="6" t="str">
        <f>Angela_2025_Chase1117_Activity_!C1045</f>
        <v>AMAZON MKTPL*LY2GD0A Amzn.com/bill WA        08/06</v>
      </c>
      <c r="C1048" s="6" t="str">
        <f>Angela_2025_Chase1117_Activity_!G1045</f>
        <v>Amazon</v>
      </c>
      <c r="D1048" s="12">
        <f>Angela_2025_Chase1117_Activity_!D1045</f>
        <v>-54.84</v>
      </c>
    </row>
    <row r="1049" spans="1:4" x14ac:dyDescent="0.25">
      <c r="A1049" s="26">
        <f>Angela_2025_Chase1117_Activity_!B1046</f>
        <v>45875</v>
      </c>
      <c r="B1049" s="6" t="str">
        <f>Angela_2025_Chase1117_Activity_!C1046</f>
        <v>AMAZON MKTPL*B85GN6A Amzn.com/bill WA        08/06</v>
      </c>
      <c r="C1049" s="6" t="str">
        <f>Angela_2025_Chase1117_Activity_!G1046</f>
        <v>Amazon</v>
      </c>
      <c r="D1049" s="12">
        <f>Angela_2025_Chase1117_Activity_!D1046</f>
        <v>-116.93</v>
      </c>
    </row>
    <row r="1050" spans="1:4" x14ac:dyDescent="0.25">
      <c r="A1050" s="26">
        <f>Angela_2025_Chase1117_Activity_!B1047</f>
        <v>45874</v>
      </c>
      <c r="B1050" s="6" t="str">
        <f>Angela_2025_Chase1117_Activity_!C1047</f>
        <v>WALGREENS STORE 1317 S WEATHERFORD TX914720  08/05</v>
      </c>
      <c r="C1050" s="6" t="str">
        <f>Angela_2025_Chase1117_Activity_!G1047</f>
        <v>Personal - Health</v>
      </c>
      <c r="D1050" s="12">
        <f>Angela_2025_Chase1117_Activity_!D1047</f>
        <v>-23.62</v>
      </c>
    </row>
    <row r="1051" spans="1:4" x14ac:dyDescent="0.25">
      <c r="A1051" s="26">
        <f>Angela_2025_Chase1117_Activity_!B1048</f>
        <v>45874</v>
      </c>
      <c r="B1051" s="6" t="str">
        <f>Angela_2025_Chase1117_Activity_!C1048</f>
        <v>FANDANGO    * FANDANGO.COM CA                08/05</v>
      </c>
      <c r="C1051" s="6" t="str">
        <f>Angela_2025_Chase1117_Activity_!G1048</f>
        <v>Personal - Entertainment</v>
      </c>
      <c r="D1051" s="12">
        <f>Angela_2025_Chase1117_Activity_!D1048</f>
        <v>-30.57</v>
      </c>
    </row>
    <row r="1052" spans="1:4" x14ac:dyDescent="0.25">
      <c r="A1052" s="26">
        <f>Angela_2025_Chase1117_Activity_!B1049</f>
        <v>45874</v>
      </c>
      <c r="B1052" s="6" t="str">
        <f>Angela_2025_Chase1117_Activity_!C1049</f>
        <v>Zara.com New York NY                         08/05</v>
      </c>
      <c r="C1052" s="6" t="str">
        <f>Angela_2025_Chase1117_Activity_!G1049</f>
        <v>Personal - Shopping</v>
      </c>
      <c r="D1052" s="12">
        <f>Angela_2025_Chase1117_Activity_!D1049</f>
        <v>-606.72</v>
      </c>
    </row>
    <row r="1053" spans="1:4" x14ac:dyDescent="0.25">
      <c r="A1053" s="26">
        <f>Angela_2025_Chase1117_Activity_!B1050</f>
        <v>45874</v>
      </c>
      <c r="B1053" s="6" t="str">
        <f>Angela_2025_Chase1117_Activity_!C1050</f>
        <v>Amazon Tips*634MQ6EV Amzn.com/bill WA        08/05</v>
      </c>
      <c r="C1053" s="6" t="str">
        <f>Angela_2025_Chase1117_Activity_!G1050</f>
        <v>Amazon</v>
      </c>
      <c r="D1053" s="12">
        <f>Angela_2025_Chase1117_Activity_!D1050</f>
        <v>-50</v>
      </c>
    </row>
    <row r="1054" spans="1:4" x14ac:dyDescent="0.25">
      <c r="A1054" s="26">
        <f>Angela_2025_Chase1117_Activity_!B1051</f>
        <v>45874</v>
      </c>
      <c r="B1054" s="6" t="str">
        <f>Angela_2025_Chase1117_Activity_!C1051</f>
        <v>AMAZON MKTPL*CY3U801 Amzn.com/bill WA        08/05</v>
      </c>
      <c r="C1054" s="6" t="str">
        <f>Angela_2025_Chase1117_Activity_!G1051</f>
        <v>Amazon</v>
      </c>
      <c r="D1054" s="12">
        <f>Angela_2025_Chase1117_Activity_!D1051</f>
        <v>-65.989999999999995</v>
      </c>
    </row>
    <row r="1055" spans="1:4" x14ac:dyDescent="0.25">
      <c r="A1055" s="26">
        <f>Angela_2025_Chase1117_Activity_!B1052</f>
        <v>45874</v>
      </c>
      <c r="B1055" s="6" t="str">
        <f>Angela_2025_Chase1117_Activity_!C1052</f>
        <v>Amazon.com*H776U0UC3 Amzn.com/bill WA        08/05</v>
      </c>
      <c r="C1055" s="6" t="str">
        <f>Angela_2025_Chase1117_Activity_!G1052</f>
        <v>Amazon</v>
      </c>
      <c r="D1055" s="12">
        <f>Angela_2025_Chase1117_Activity_!D1052</f>
        <v>-21.32</v>
      </c>
    </row>
    <row r="1056" spans="1:4" x14ac:dyDescent="0.25">
      <c r="A1056" s="26">
        <f>Angela_2025_Chase1117_Activity_!B1053</f>
        <v>45873</v>
      </c>
      <c r="B1056" s="6" t="str">
        <f>Angela_2025_Chase1117_Activity_!C1053</f>
        <v>Zelle payment to Aaron Frankel JPM99bi6t50g</v>
      </c>
      <c r="C1056" s="6" t="str">
        <f>Angela_2025_Chase1117_Activity_!G1053</f>
        <v>Zelle to Aaron Frankel</v>
      </c>
      <c r="D1056" s="12">
        <f>Angela_2025_Chase1117_Activity_!D1053</f>
        <v>-300</v>
      </c>
    </row>
    <row r="1057" spans="1:4" x14ac:dyDescent="0.25">
      <c r="A1057" s="26">
        <f>Angela_2025_Chase1117_Activity_!B1054</f>
        <v>45873</v>
      </c>
      <c r="B1057" s="6" t="str">
        <f>Angela_2025_Chase1117_Activity_!C1054</f>
        <v>Zelle payment to Aaron Frankel JPM99bi6ss2e</v>
      </c>
      <c r="C1057" s="6" t="str">
        <f>Angela_2025_Chase1117_Activity_!G1054</f>
        <v>Zelle to Aaron Frankel</v>
      </c>
      <c r="D1057" s="12">
        <f>Angela_2025_Chase1117_Activity_!D1054</f>
        <v>-200</v>
      </c>
    </row>
    <row r="1058" spans="1:4" x14ac:dyDescent="0.25">
      <c r="A1058" s="26">
        <f>Angela_2025_Chase1117_Activity_!B1055</f>
        <v>45873</v>
      </c>
      <c r="B1058" s="6" t="str">
        <f>Angela_2025_Chase1117_Activity_!C1055</f>
        <v>Zelle payment to jeff seider JPM99bi6l321</v>
      </c>
      <c r="C1058" s="6" t="str">
        <f>Angela_2025_Chase1117_Activity_!G1055</f>
        <v>Zelle to Jeff Seider</v>
      </c>
      <c r="D1058" s="12">
        <f>Angela_2025_Chase1117_Activity_!D1055</f>
        <v>-100</v>
      </c>
    </row>
    <row r="1059" spans="1:4" x14ac:dyDescent="0.25">
      <c r="A1059" s="26">
        <f>Angela_2025_Chase1117_Activity_!B1056</f>
        <v>45873</v>
      </c>
      <c r="B1059" s="6" t="str">
        <f>Angela_2025_Chase1117_Activity_!C1056</f>
        <v>Zelle payment to Denise Quezada JPM99bi6krf6</v>
      </c>
      <c r="C1059" s="6" t="str">
        <f>Angela_2025_Chase1117_Activity_!G1056</f>
        <v>Zelle to Denise Quezada</v>
      </c>
      <c r="D1059" s="12">
        <f>Angela_2025_Chase1117_Activity_!D1056</f>
        <v>-500</v>
      </c>
    </row>
    <row r="1060" spans="1:4" x14ac:dyDescent="0.25">
      <c r="A1060" s="26">
        <f>Angela_2025_Chase1117_Activity_!B1057</f>
        <v>45873</v>
      </c>
      <c r="B1060" s="6" t="str">
        <f>Angela_2025_Chase1117_Activity_!C1057</f>
        <v>SP RAJANIMD STORE.RAJANIM OR                 08/04</v>
      </c>
      <c r="C1060" s="6" t="str">
        <f>Angela_2025_Chase1117_Activity_!G1057</f>
        <v>Personal - Health</v>
      </c>
      <c r="D1060" s="12">
        <f>Angela_2025_Chase1117_Activity_!D1057</f>
        <v>-157.94999999999999</v>
      </c>
    </row>
    <row r="1061" spans="1:4" x14ac:dyDescent="0.25">
      <c r="A1061" s="26">
        <f>Angela_2025_Chase1117_Activity_!B1058</f>
        <v>45873</v>
      </c>
      <c r="B1061" s="6" t="str">
        <f>Angela_2025_Chase1117_Activity_!C1058</f>
        <v>TARGET T-1981 WEATHERFORD TX         018335  08/03</v>
      </c>
      <c r="C1061" s="6" t="str">
        <f>Angela_2025_Chase1117_Activity_!G1058</f>
        <v>Personal - Shopping</v>
      </c>
      <c r="D1061" s="12">
        <f>Angela_2025_Chase1117_Activity_!D1058</f>
        <v>-143.05000000000001</v>
      </c>
    </row>
    <row r="1062" spans="1:4" x14ac:dyDescent="0.25">
      <c r="A1062" s="26">
        <f>Angela_2025_Chase1117_Activity_!B1059</f>
        <v>45873</v>
      </c>
      <c r="B1062" s="6" t="str">
        <f>Angela_2025_Chase1117_Activity_!C1059</f>
        <v>TIGER MART #51 WEATHERFORD TX        356800  08/03</v>
      </c>
      <c r="C1062" s="6" t="str">
        <f>Angela_2025_Chase1117_Activity_!G1059</f>
        <v>Personal - Car</v>
      </c>
      <c r="D1062" s="12">
        <f>Angela_2025_Chase1117_Activity_!D1059</f>
        <v>-47.85</v>
      </c>
    </row>
    <row r="1063" spans="1:4" x14ac:dyDescent="0.25">
      <c r="A1063" s="26">
        <f>Angela_2025_Chase1117_Activity_!B1060</f>
        <v>45873</v>
      </c>
      <c r="B1063" s="6" t="str">
        <f>Angela_2025_Chase1117_Activity_!C1060</f>
        <v>SP HEALTHRANGERSTORE HEALTHRANGERS TX        08/03</v>
      </c>
      <c r="C1063" s="6" t="str">
        <f>Angela_2025_Chase1117_Activity_!G1060</f>
        <v>Personal - Health</v>
      </c>
      <c r="D1063" s="12">
        <f>Angela_2025_Chase1117_Activity_!D1060</f>
        <v>-176.9</v>
      </c>
    </row>
    <row r="1064" spans="1:4" x14ac:dyDescent="0.25">
      <c r="A1064" s="26">
        <f>Angela_2025_Chase1117_Activity_!B1061</f>
        <v>45873</v>
      </c>
      <c r="B1064" s="6" t="str">
        <f>Angela_2025_Chase1117_Activity_!C1061</f>
        <v>Amazon.com*3P6650W23 Amzn.com/bill WA        08/03</v>
      </c>
      <c r="C1064" s="6" t="str">
        <f>Angela_2025_Chase1117_Activity_!G1061</f>
        <v>Amazon</v>
      </c>
      <c r="D1064" s="12">
        <f>Angela_2025_Chase1117_Activity_!D1061</f>
        <v>-35.71</v>
      </c>
    </row>
    <row r="1065" spans="1:4" x14ac:dyDescent="0.25">
      <c r="A1065" s="26">
        <f>Angela_2025_Chase1117_Activity_!B1062</f>
        <v>45873</v>
      </c>
      <c r="B1065" s="6" t="str">
        <f>Angela_2025_Chase1117_Activity_!C1062</f>
        <v>Amazon.com*XD1F27OZ3 Amzn.com/bill WA        08/03</v>
      </c>
      <c r="C1065" s="6" t="str">
        <f>Angela_2025_Chase1117_Activity_!G1062</f>
        <v>Amazon</v>
      </c>
      <c r="D1065" s="12">
        <f>Angela_2025_Chase1117_Activity_!D1062</f>
        <v>-83.66</v>
      </c>
    </row>
    <row r="1066" spans="1:4" x14ac:dyDescent="0.25">
      <c r="A1066" s="26">
        <f>Angela_2025_Chase1117_Activity_!B1063</f>
        <v>45873</v>
      </c>
      <c r="B1066" s="6" t="str">
        <f>Angela_2025_Chase1117_Activity_!C1063</f>
        <v>AMAZON MKTPL*DC3CP8N Amzn.com/bill WA        08/03</v>
      </c>
      <c r="C1066" s="6" t="str">
        <f>Angela_2025_Chase1117_Activity_!G1063</f>
        <v>Amazon</v>
      </c>
      <c r="D1066" s="12">
        <f>Angela_2025_Chase1117_Activity_!D1063</f>
        <v>-90.85</v>
      </c>
    </row>
    <row r="1067" spans="1:4" x14ac:dyDescent="0.25">
      <c r="A1067" s="26">
        <f>Angela_2025_Chase1117_Activity_!B1064</f>
        <v>45873</v>
      </c>
      <c r="B1067" s="6" t="str">
        <f>Angela_2025_Chase1117_Activity_!C1064</f>
        <v>FASTRAK VIOLATION CEN 415-486-8655 CA        08/03</v>
      </c>
      <c r="C1067" s="6" t="str">
        <f>Angela_2025_Chase1117_Activity_!G1064</f>
        <v>Personal - Car</v>
      </c>
      <c r="D1067" s="12">
        <f>Angela_2025_Chase1117_Activity_!D1064</f>
        <v>-10.75</v>
      </c>
    </row>
    <row r="1068" spans="1:4" x14ac:dyDescent="0.25">
      <c r="A1068" s="26">
        <f>Angela_2025_Chase1117_Activity_!B1065</f>
        <v>45873</v>
      </c>
      <c r="B1068" s="6" t="str">
        <f>Angela_2025_Chase1117_Activity_!C1065</f>
        <v>FASTRAK VIOLATION CEN 415-486-8655 CA        08/03</v>
      </c>
      <c r="C1068" s="6" t="str">
        <f>Angela_2025_Chase1117_Activity_!G1065</f>
        <v>Personal - Car</v>
      </c>
      <c r="D1068" s="12">
        <f>Angela_2025_Chase1117_Activity_!D1065</f>
        <v>-8</v>
      </c>
    </row>
    <row r="1069" spans="1:4" x14ac:dyDescent="0.25">
      <c r="A1069" s="26">
        <f>Angela_2025_Chase1117_Activity_!B1066</f>
        <v>45873</v>
      </c>
      <c r="B1069" s="6" t="str">
        <f>Angela_2025_Chase1117_Activity_!C1066</f>
        <v>AMAZON MKTPL*2D0XM90 Amzn.com/bill WA        08/04</v>
      </c>
      <c r="C1069" s="6" t="str">
        <f>Angela_2025_Chase1117_Activity_!G1066</f>
        <v>Amazon</v>
      </c>
      <c r="D1069" s="12">
        <f>Angela_2025_Chase1117_Activity_!D1066</f>
        <v>-69.37</v>
      </c>
    </row>
    <row r="1070" spans="1:4" x14ac:dyDescent="0.25">
      <c r="A1070" s="26">
        <f>Angela_2025_Chase1117_Activity_!B1067</f>
        <v>45873</v>
      </c>
      <c r="B1070" s="6" t="str">
        <f>Angela_2025_Chase1117_Activity_!C1067</f>
        <v>AMAZON MKTPL*GY4ZM6Z Amzn.com/bill WA        08/03</v>
      </c>
      <c r="C1070" s="6" t="str">
        <f>Angela_2025_Chase1117_Activity_!G1067</f>
        <v>Amazon</v>
      </c>
      <c r="D1070" s="12">
        <f>Angela_2025_Chase1117_Activity_!D1067</f>
        <v>-40.549999999999997</v>
      </c>
    </row>
    <row r="1071" spans="1:4" x14ac:dyDescent="0.25">
      <c r="A1071" s="26">
        <f>Angela_2025_Chase1117_Activity_!B1068</f>
        <v>45873</v>
      </c>
      <c r="B1071" s="6" t="str">
        <f>Angela_2025_Chase1117_Activity_!C1068</f>
        <v>AMAZON MKTPL*TO7N22D Amzn.com/bill WA        08/03</v>
      </c>
      <c r="C1071" s="6" t="str">
        <f>Angela_2025_Chase1117_Activity_!G1068</f>
        <v>Amazon</v>
      </c>
      <c r="D1071" s="12">
        <f>Angela_2025_Chase1117_Activity_!D1068</f>
        <v>-27.74</v>
      </c>
    </row>
    <row r="1072" spans="1:4" x14ac:dyDescent="0.25">
      <c r="A1072" s="26">
        <f>Angela_2025_Chase1117_Activity_!B1069</f>
        <v>45873</v>
      </c>
      <c r="B1072" s="6" t="str">
        <f>Angela_2025_Chase1117_Activity_!C1069</f>
        <v>FANDANGO    * FANDANGO.COM CA                08/02</v>
      </c>
      <c r="C1072" s="6" t="str">
        <f>Angela_2025_Chase1117_Activity_!G1069</f>
        <v>Personal - Entertainment</v>
      </c>
      <c r="D1072" s="12">
        <f>Angela_2025_Chase1117_Activity_!D1069</f>
        <v>-30.57</v>
      </c>
    </row>
    <row r="1073" spans="1:4" x14ac:dyDescent="0.25">
      <c r="A1073" s="26">
        <f>Angela_2025_Chase1117_Activity_!B1070</f>
        <v>45873</v>
      </c>
      <c r="B1073" s="6" t="str">
        <f>Angela_2025_Chase1117_Activity_!C1070</f>
        <v>APPLE.COM/BILL 866-712-7753 CA               08/02</v>
      </c>
      <c r="C1073" s="6" t="str">
        <f>Angela_2025_Chase1117_Activity_!G1070</f>
        <v>Apple</v>
      </c>
      <c r="D1073" s="12">
        <f>Angela_2025_Chase1117_Activity_!D1070</f>
        <v>-3.99</v>
      </c>
    </row>
    <row r="1074" spans="1:4" x14ac:dyDescent="0.25">
      <c r="A1074" s="26">
        <f>Angela_2025_Chase1117_Activity_!B1071</f>
        <v>45873</v>
      </c>
      <c r="B1074" s="6" t="str">
        <f>Angela_2025_Chase1117_Activity_!C1071</f>
        <v>ASCEND.ACADEMY ASCENDTHEFREQ AR              08/02</v>
      </c>
      <c r="C1074" s="6" t="str">
        <f>Angela_2025_Chase1117_Activity_!G1071</f>
        <v>Personal - Subscription</v>
      </c>
      <c r="D1074" s="12">
        <f>Angela_2025_Chase1117_Activity_!D1071</f>
        <v>-52</v>
      </c>
    </row>
    <row r="1075" spans="1:4" x14ac:dyDescent="0.25">
      <c r="A1075" s="26">
        <f>Angela_2025_Chase1117_Activity_!B1072</f>
        <v>45873</v>
      </c>
      <c r="B1075" s="6" t="str">
        <f>Angela_2025_Chase1117_Activity_!C1072</f>
        <v>FILM ALLEY WEATHERFORD 817-3413232 TX        08/01</v>
      </c>
      <c r="C1075" s="6" t="str">
        <f>Angela_2025_Chase1117_Activity_!G1072</f>
        <v>Personal - Entertainment</v>
      </c>
      <c r="D1075" s="12">
        <f>Angela_2025_Chase1117_Activity_!D1072</f>
        <v>-18.010000000000002</v>
      </c>
    </row>
    <row r="1076" spans="1:4" x14ac:dyDescent="0.25">
      <c r="A1076" s="26">
        <f>Angela_2025_Chase1117_Activity_!B1073</f>
        <v>45873</v>
      </c>
      <c r="B1076" s="6" t="str">
        <f>Angela_2025_Chase1117_Activity_!C1073</f>
        <v>FILM ALLEY - WEATHERFO WEATHERFORD TX        08/02</v>
      </c>
      <c r="C1076" s="6" t="str">
        <f>Angela_2025_Chase1117_Activity_!G1073</f>
        <v>Personal - Entertainment</v>
      </c>
      <c r="D1076" s="12">
        <f>Angela_2025_Chase1117_Activity_!D1073</f>
        <v>-6.22</v>
      </c>
    </row>
    <row r="1077" spans="1:4" x14ac:dyDescent="0.25">
      <c r="A1077" s="26">
        <f>Angela_2025_Chase1117_Activity_!B1074</f>
        <v>45873</v>
      </c>
      <c r="B1077" s="6" t="str">
        <f>Angela_2025_Chase1117_Activity_!C1074</f>
        <v>FANDANGO    * FANDANGO.COM CA                08/01</v>
      </c>
      <c r="C1077" s="6" t="str">
        <f>Angela_2025_Chase1117_Activity_!G1074</f>
        <v>Personal - Entertainment</v>
      </c>
      <c r="D1077" s="12">
        <f>Angela_2025_Chase1117_Activity_!D1074</f>
        <v>-41.07</v>
      </c>
    </row>
    <row r="1078" spans="1:4" x14ac:dyDescent="0.25">
      <c r="A1078" s="26">
        <f>Angela_2025_Chase1117_Activity_!B1075</f>
        <v>45873</v>
      </c>
      <c r="B1078" s="6" t="str">
        <f>Angela_2025_Chase1117_Activity_!C1075</f>
        <v>AMAZON MKTPL*SU2WE7D Amzn.com/bill WA        08/02</v>
      </c>
      <c r="C1078" s="6" t="str">
        <f>Angela_2025_Chase1117_Activity_!G1075</f>
        <v>Amazon</v>
      </c>
      <c r="D1078" s="12">
        <f>Angela_2025_Chase1117_Activity_!D1075</f>
        <v>-90.46</v>
      </c>
    </row>
    <row r="1079" spans="1:4" x14ac:dyDescent="0.25">
      <c r="A1079" s="26">
        <f>Angela_2025_Chase1117_Activity_!B1076</f>
        <v>45873</v>
      </c>
      <c r="B1079" s="6" t="str">
        <f>Angela_2025_Chase1117_Activity_!C1076</f>
        <v>Zelle payment from MARY MARGARET TRAHAN 25732925175</v>
      </c>
      <c r="C1079" s="6" t="str">
        <f>Angela_2025_Chase1117_Activity_!G1076</f>
        <v>Zelle from Mary Margaret Trahan</v>
      </c>
      <c r="D1079" s="12">
        <f>Angela_2025_Chase1117_Activity_!D1076</f>
        <v>150</v>
      </c>
    </row>
    <row r="1080" spans="1:4" x14ac:dyDescent="0.25">
      <c r="A1080" s="26">
        <f>Angela_2025_Chase1117_Activity_!B1077</f>
        <v>45870</v>
      </c>
      <c r="B1080" s="6" t="str">
        <f>Angela_2025_Chase1117_Activity_!C1077</f>
        <v>T J MAXX #1295 WEATHERFORD TX        055914  08/01</v>
      </c>
      <c r="C1080" s="6" t="str">
        <f>Angela_2025_Chase1117_Activity_!G1077</f>
        <v>Personal - Shopping</v>
      </c>
      <c r="D1080" s="12">
        <f>Angela_2025_Chase1117_Activity_!D1077</f>
        <v>-184</v>
      </c>
    </row>
    <row r="1081" spans="1:4" x14ac:dyDescent="0.25">
      <c r="A1081" s="26">
        <f>Angela_2025_Chase1117_Activity_!B1078</f>
        <v>45870</v>
      </c>
      <c r="B1081" s="6" t="str">
        <f>Angela_2025_Chase1117_Activity_!C1078</f>
        <v>Amazon Tips*AM0CU2CA Amzn.com/bill WA        07/31</v>
      </c>
      <c r="C1081" s="6" t="str">
        <f>Angela_2025_Chase1117_Activity_!G1078</f>
        <v>Amazon</v>
      </c>
      <c r="D1081" s="12">
        <f>Angela_2025_Chase1117_Activity_!D1078</f>
        <v>-50</v>
      </c>
    </row>
    <row r="1082" spans="1:4" x14ac:dyDescent="0.25">
      <c r="A1082" s="26">
        <f>Angela_2025_Chase1117_Activity_!B1079</f>
        <v>45870</v>
      </c>
      <c r="B1082" s="6" t="str">
        <f>Angela_2025_Chase1117_Activity_!C1079</f>
        <v>BLUE SHIELD CALIFORNI 800-393-6130 CA        07/31</v>
      </c>
      <c r="C1082" s="6" t="str">
        <f>Angela_2025_Chase1117_Activity_!G1079</f>
        <v>Personal - Health Insurance</v>
      </c>
      <c r="D1082" s="12">
        <f>Angela_2025_Chase1117_Activity_!D1079</f>
        <v>-944.63</v>
      </c>
    </row>
    <row r="1083" spans="1:4" x14ac:dyDescent="0.25">
      <c r="A1083" s="26">
        <f>Angela_2025_Chase1117_Activity_!B1080</f>
        <v>45870</v>
      </c>
      <c r="B1083" s="6" t="str">
        <f>Angela_2025_Chase1117_Activity_!C1080</f>
        <v>Zelle payment from JOE SAUNDERS 25698163412</v>
      </c>
      <c r="C1083" s="6" t="str">
        <f>Angela_2025_Chase1117_Activity_!G1080</f>
        <v>Zelle from Joe Saunders</v>
      </c>
      <c r="D1083" s="12">
        <f>Angela_2025_Chase1117_Activity_!D1080</f>
        <v>530</v>
      </c>
    </row>
    <row r="1084" spans="1:4" x14ac:dyDescent="0.25">
      <c r="A1084" s="26">
        <f>Angela_2025_Chase1117_Activity_!B1081</f>
        <v>45869</v>
      </c>
      <c r="B1084" s="6" t="str">
        <f>Angela_2025_Chase1117_Activity_!C1081</f>
        <v>UBER   * EATS PENDIN SAN FRANCISCO CA072120  07/31</v>
      </c>
      <c r="C1084" s="6" t="str">
        <f>Angela_2025_Chase1117_Activity_!G1081</f>
        <v>Uber Eats</v>
      </c>
      <c r="D1084" s="12">
        <f>Angela_2025_Chase1117_Activity_!D1081</f>
        <v>-101.55</v>
      </c>
    </row>
    <row r="1085" spans="1:4" x14ac:dyDescent="0.25">
      <c r="A1085" s="26">
        <f>Angela_2025_Chase1117_Activity_!B1082</f>
        <v>45869</v>
      </c>
      <c r="B1085" s="6" t="str">
        <f>Angela_2025_Chase1117_Activity_!C1082</f>
        <v>Online Payment 25666123733 To SAFECO INSURANCE COMPANY 07/31</v>
      </c>
      <c r="C1085" s="6" t="str">
        <f>Angela_2025_Chase1117_Activity_!G1082</f>
        <v>Personal - House Bills</v>
      </c>
      <c r="D1085" s="12">
        <f>Angela_2025_Chase1117_Activity_!D1082</f>
        <v>-120</v>
      </c>
    </row>
    <row r="1086" spans="1:4" x14ac:dyDescent="0.25">
      <c r="A1086" s="26">
        <f>Angela_2025_Chase1117_Activity_!B1083</f>
        <v>45869</v>
      </c>
      <c r="B1086" s="6" t="str">
        <f>Angela_2025_Chase1117_Activity_!C1083</f>
        <v>Online Payment 25666121815 To FRONTIER TELEPHONE 07/31</v>
      </c>
      <c r="C1086" s="6" t="str">
        <f>Angela_2025_Chase1117_Activity_!G1083</f>
        <v>Personal - House Bills</v>
      </c>
      <c r="D1086" s="12">
        <f>Angela_2025_Chase1117_Activity_!D1083</f>
        <v>-300</v>
      </c>
    </row>
    <row r="1087" spans="1:4" x14ac:dyDescent="0.25">
      <c r="A1087" s="26">
        <f>Angela_2025_Chase1117_Activity_!B1084</f>
        <v>45869</v>
      </c>
      <c r="B1087" s="6" t="str">
        <f>Angela_2025_Chase1117_Activity_!C1084</f>
        <v>Online Payment 25666130263 To AMERICAN EDUCATION SERVICES 07/31</v>
      </c>
      <c r="C1087" s="6" t="str">
        <f>Angela_2025_Chase1117_Activity_!G1084</f>
        <v>Personal - House Bills</v>
      </c>
      <c r="D1087" s="12">
        <f>Angela_2025_Chase1117_Activity_!D1084</f>
        <v>-320</v>
      </c>
    </row>
    <row r="1088" spans="1:4" x14ac:dyDescent="0.25">
      <c r="A1088" s="26">
        <f>Angela_2025_Chase1117_Activity_!B1085</f>
        <v>45869</v>
      </c>
      <c r="B1088" s="6" t="str">
        <f>Angela_2025_Chase1117_Activity_!C1085</f>
        <v>Online Payment 25666106149 To SOUTHERN CALIFORNIA GAS CO 07/31</v>
      </c>
      <c r="C1088" s="6" t="str">
        <f>Angela_2025_Chase1117_Activity_!G1085</f>
        <v>Personal - House Bills</v>
      </c>
      <c r="D1088" s="12">
        <f>Angela_2025_Chase1117_Activity_!D1085</f>
        <v>-100</v>
      </c>
    </row>
    <row r="1089" spans="1:4" x14ac:dyDescent="0.25">
      <c r="A1089" s="26">
        <f>Angela_2025_Chase1117_Activity_!B1086</f>
        <v>45869</v>
      </c>
      <c r="B1089" s="6" t="str">
        <f>Angela_2025_Chase1117_Activity_!C1086</f>
        <v>SP MUSEUM QUALITY AR MUSEUMQUALITY VA        07/30</v>
      </c>
      <c r="C1089" s="6" t="str">
        <f>Angela_2025_Chase1117_Activity_!G1086</f>
        <v>Personal - Shopping</v>
      </c>
      <c r="D1089" s="12">
        <f>Angela_2025_Chase1117_Activity_!D1086</f>
        <v>-224.95</v>
      </c>
    </row>
    <row r="1090" spans="1:4" x14ac:dyDescent="0.25">
      <c r="A1090" s="26">
        <f>Angela_2025_Chase1117_Activity_!B1087</f>
        <v>45869</v>
      </c>
      <c r="B1090" s="6" t="str">
        <f>Angela_2025_Chase1117_Activity_!C1087</f>
        <v>NTTA AUTOCHARGE 972-818-6882 TX              07/30</v>
      </c>
      <c r="C1090" s="6" t="str">
        <f>Angela_2025_Chase1117_Activity_!G1087</f>
        <v>Personal - Car</v>
      </c>
      <c r="D1090" s="12">
        <f>Angela_2025_Chase1117_Activity_!D1087</f>
        <v>-40</v>
      </c>
    </row>
    <row r="1091" spans="1:4" x14ac:dyDescent="0.25">
      <c r="A1091" s="26">
        <f>Angela_2025_Chase1117_Activity_!B1088</f>
        <v>45869</v>
      </c>
      <c r="B1091" s="6" t="str">
        <f>Angela_2025_Chase1117_Activity_!C1088</f>
        <v>AMAZON MKTPL*WJ90N5J Amzn.com/bill WA        07/30</v>
      </c>
      <c r="C1091" s="6" t="str">
        <f>Angela_2025_Chase1117_Activity_!G1088</f>
        <v>Amazon</v>
      </c>
      <c r="D1091" s="12">
        <f>Angela_2025_Chase1117_Activity_!D1088</f>
        <v>-52.31</v>
      </c>
    </row>
    <row r="1092" spans="1:4" x14ac:dyDescent="0.25">
      <c r="A1092" s="26">
        <f>Angela_2025_Chase1117_Activity_!B1089</f>
        <v>45869</v>
      </c>
      <c r="B1092" s="6" t="str">
        <f>Angela_2025_Chase1117_Activity_!C1089</f>
        <v>AMAZON MKTPL*5Q5WZ85 Amzn.com/bill WA        07/30</v>
      </c>
      <c r="C1092" s="6" t="str">
        <f>Angela_2025_Chase1117_Activity_!G1089</f>
        <v>Amazon</v>
      </c>
      <c r="D1092" s="12">
        <f>Angela_2025_Chase1117_Activity_!D1089</f>
        <v>-14.79</v>
      </c>
    </row>
    <row r="1093" spans="1:4" x14ac:dyDescent="0.25">
      <c r="A1093" s="26">
        <f>Angela_2025_Chase1117_Activity_!B1090</f>
        <v>45869</v>
      </c>
      <c r="B1093" s="6" t="str">
        <f>Angela_2025_Chase1117_Activity_!C1090</f>
        <v>AMAZON MKTPL*SP3B343 Amzn.com/bill WA        07/31</v>
      </c>
      <c r="C1093" s="6" t="str">
        <f>Angela_2025_Chase1117_Activity_!G1090</f>
        <v>Amazon</v>
      </c>
      <c r="D1093" s="12">
        <f>Angela_2025_Chase1117_Activity_!D1090</f>
        <v>-34.83</v>
      </c>
    </row>
    <row r="1094" spans="1:4" x14ac:dyDescent="0.25">
      <c r="A1094" s="26">
        <f>Angela_2025_Chase1117_Activity_!B1091</f>
        <v>45869</v>
      </c>
      <c r="B1094" s="6" t="str">
        <f>Angela_2025_Chase1117_Activity_!C1091</f>
        <v>AMAZON MKTPL*MG1SE7F Amzn.com/bill WA        07/30</v>
      </c>
      <c r="C1094" s="6" t="str">
        <f>Angela_2025_Chase1117_Activity_!G1091</f>
        <v>Amazon</v>
      </c>
      <c r="D1094" s="12">
        <f>Angela_2025_Chase1117_Activity_!D1091</f>
        <v>-261.52</v>
      </c>
    </row>
    <row r="1095" spans="1:4" x14ac:dyDescent="0.25">
      <c r="A1095" s="26">
        <f>Angela_2025_Chase1117_Activity_!B1092</f>
        <v>45869</v>
      </c>
      <c r="B1095" s="6" t="str">
        <f>Angela_2025_Chase1117_Activity_!C1092</f>
        <v>AMAZON MKTPL*ER9DO1G Amzn.com/bill WA        07/30</v>
      </c>
      <c r="C1095" s="6" t="str">
        <f>Angela_2025_Chase1117_Activity_!G1092</f>
        <v>Amazon</v>
      </c>
      <c r="D1095" s="12">
        <f>Angela_2025_Chase1117_Activity_!D1092</f>
        <v>-53.36</v>
      </c>
    </row>
    <row r="1096" spans="1:4" x14ac:dyDescent="0.25">
      <c r="A1096" s="26">
        <f>Angela_2025_Chase1117_Activity_!B1093</f>
        <v>45869</v>
      </c>
      <c r="B1096" s="6" t="str">
        <f>Angela_2025_Chase1117_Activity_!C1093</f>
        <v>AMAZON MKTPL*MF2BT5H Amzn.com/bill WA        07/31</v>
      </c>
      <c r="C1096" s="6" t="str">
        <f>Angela_2025_Chase1117_Activity_!G1093</f>
        <v>Amazon</v>
      </c>
      <c r="D1096" s="12">
        <f>Angela_2025_Chase1117_Activity_!D1093</f>
        <v>-229.56</v>
      </c>
    </row>
    <row r="1097" spans="1:4" x14ac:dyDescent="0.25">
      <c r="A1097" s="26">
        <f>Angela_2025_Chase1117_Activity_!B1094</f>
        <v>45869</v>
      </c>
      <c r="B1097" s="6" t="str">
        <f>Angela_2025_Chase1117_Activity_!C1094</f>
        <v>LAX AIRP THE MARKET LA LOS ANGELES CA        07/29</v>
      </c>
      <c r="C1097" s="6" t="str">
        <f>Angela_2025_Chase1117_Activity_!G1094</f>
        <v>Personal Travel</v>
      </c>
      <c r="D1097" s="12">
        <f>Angela_2025_Chase1117_Activity_!D1094</f>
        <v>-15.03</v>
      </c>
    </row>
    <row r="1098" spans="1:4" x14ac:dyDescent="0.25">
      <c r="A1098" s="26">
        <f>Angela_2025_Chase1117_Activity_!B1095</f>
        <v>45869</v>
      </c>
      <c r="B1098" s="6" t="str">
        <f>Angela_2025_Chase1117_Activity_!C1095</f>
        <v>AMERICAN AI 0012604394 LOS ANGELES CA        07/29</v>
      </c>
      <c r="C1098" s="6" t="str">
        <f>Angela_2025_Chase1117_Activity_!G1095</f>
        <v>Personal Travel</v>
      </c>
      <c r="D1098" s="12">
        <f>Angela_2025_Chase1117_Activity_!D1095</f>
        <v>-100</v>
      </c>
    </row>
    <row r="1099" spans="1:4" x14ac:dyDescent="0.25">
      <c r="A1099" s="26">
        <f>Angela_2025_Chase1117_Activity_!B1096</f>
        <v>45868</v>
      </c>
      <c r="B1099" s="6" t="str">
        <f>Angela_2025_Chase1117_Activity_!C1096</f>
        <v xml:space="preserve">CHECK 8709  </v>
      </c>
      <c r="C1099" s="6" t="str">
        <f>Angela_2025_Chase1117_Activity_!G1096</f>
        <v>Checks Paid</v>
      </c>
      <c r="D1099" s="12">
        <f>Angela_2025_Chase1117_Activity_!D1096</f>
        <v>-3000</v>
      </c>
    </row>
    <row r="1100" spans="1:4" x14ac:dyDescent="0.25">
      <c r="A1100" s="26">
        <f>Angela_2025_Chase1117_Activity_!B1097</f>
        <v>45868</v>
      </c>
      <c r="B1100" s="6" t="str">
        <f>Angela_2025_Chase1117_Activity_!C1097</f>
        <v>HOMEGOODS #1084 WEATHERFORD TX       053308  07/30</v>
      </c>
      <c r="C1100" s="6" t="str">
        <f>Angela_2025_Chase1117_Activity_!G1097</f>
        <v>Personal - Shopping</v>
      </c>
      <c r="D1100" s="12">
        <f>Angela_2025_Chase1117_Activity_!D1097</f>
        <v>-81.739999999999995</v>
      </c>
    </row>
    <row r="1101" spans="1:4" x14ac:dyDescent="0.25">
      <c r="A1101" s="26">
        <f>Angela_2025_Chase1117_Activity_!B1098</f>
        <v>45868</v>
      </c>
      <c r="B1101" s="6" t="str">
        <f>Angela_2025_Chase1117_Activity_!C1098</f>
        <v>HOBBYLOBBY WEATHERFORD TX            013561  07/30</v>
      </c>
      <c r="C1101" s="6" t="str">
        <f>Angela_2025_Chase1117_Activity_!G1098</f>
        <v>Personal - Shopping</v>
      </c>
      <c r="D1101" s="12">
        <f>Angela_2025_Chase1117_Activity_!D1098</f>
        <v>-24.29</v>
      </c>
    </row>
    <row r="1102" spans="1:4" x14ac:dyDescent="0.25">
      <c r="A1102" s="26">
        <f>Angela_2025_Chase1117_Activity_!B1099</f>
        <v>45868</v>
      </c>
      <c r="B1102" s="6" t="str">
        <f>Angela_2025_Chase1117_Activity_!C1099</f>
        <v>UBER   * EATS PENDIN SAN FRANCISCO CA025953  07/30</v>
      </c>
      <c r="C1102" s="6" t="str">
        <f>Angela_2025_Chase1117_Activity_!G1099</f>
        <v>Uber Eats</v>
      </c>
      <c r="D1102" s="12">
        <f>Angela_2025_Chase1117_Activity_!D1099</f>
        <v>-17.940000000000001</v>
      </c>
    </row>
    <row r="1103" spans="1:4" x14ac:dyDescent="0.25">
      <c r="A1103" s="26">
        <f>Angela_2025_Chase1117_Activity_!B1100</f>
        <v>45868</v>
      </c>
      <c r="B1103" s="6" t="str">
        <f>Angela_2025_Chase1117_Activity_!C1100</f>
        <v>Amazon.com*LP8ZG8X93 Amzn.com/bill WA        07/30</v>
      </c>
      <c r="C1103" s="6" t="str">
        <f>Angela_2025_Chase1117_Activity_!G1100</f>
        <v>Amazon</v>
      </c>
      <c r="D1103" s="12">
        <f>Angela_2025_Chase1117_Activity_!D1100</f>
        <v>-22.49</v>
      </c>
    </row>
    <row r="1104" spans="1:4" x14ac:dyDescent="0.25">
      <c r="A1104" s="26">
        <f>Angela_2025_Chase1117_Activity_!B1101</f>
        <v>45868</v>
      </c>
      <c r="B1104" s="6" t="str">
        <f>Angela_2025_Chase1117_Activity_!C1101</f>
        <v>Amazon.com*GK5819ZL3 Amzn.com/bill WA        07/30</v>
      </c>
      <c r="C1104" s="6" t="str">
        <f>Angela_2025_Chase1117_Activity_!G1101</f>
        <v>Amazon</v>
      </c>
      <c r="D1104" s="12">
        <f>Angela_2025_Chase1117_Activity_!D1101</f>
        <v>-192.07</v>
      </c>
    </row>
    <row r="1105" spans="1:4" x14ac:dyDescent="0.25">
      <c r="A1105" s="26">
        <f>Angela_2025_Chase1117_Activity_!B1102</f>
        <v>45868</v>
      </c>
      <c r="B1105" s="6" t="str">
        <f>Angela_2025_Chase1117_Activity_!C1102</f>
        <v>FREEPEOPLE.COM FREEPEOPLE.CO PA              07/29</v>
      </c>
      <c r="C1105" s="6" t="str">
        <f>Angela_2025_Chase1117_Activity_!G1102</f>
        <v>Personal - Clothing</v>
      </c>
      <c r="D1105" s="12">
        <f>Angela_2025_Chase1117_Activity_!D1102</f>
        <v>-522.84</v>
      </c>
    </row>
    <row r="1106" spans="1:4" x14ac:dyDescent="0.25">
      <c r="A1106" s="26">
        <f>Angela_2025_Chase1117_Activity_!B1103</f>
        <v>45868</v>
      </c>
      <c r="B1106" s="6" t="str">
        <f>Angela_2025_Chase1117_Activity_!C1103</f>
        <v>ROSAS CAFE &amp; TORTILLA WEATHERFORD TX         07/29</v>
      </c>
      <c r="C1106" s="6" t="str">
        <f>Angela_2025_Chase1117_Activity_!G1103</f>
        <v>Personal - Food</v>
      </c>
      <c r="D1106" s="12">
        <f>Angela_2025_Chase1117_Activity_!D1103</f>
        <v>-36.51</v>
      </c>
    </row>
    <row r="1107" spans="1:4" x14ac:dyDescent="0.25">
      <c r="A1107" s="26">
        <f>Angela_2025_Chase1117_Activity_!B1104</f>
        <v>45868</v>
      </c>
      <c r="B1107" s="6" t="str">
        <f>Angela_2025_Chase1117_Activity_!C1104</f>
        <v>DFW AIRPORT PARKING DFW AIRPORT TX           07/29</v>
      </c>
      <c r="C1107" s="6" t="str">
        <f>Angela_2025_Chase1117_Activity_!G1104</f>
        <v>Personal Travel</v>
      </c>
      <c r="D1107" s="12">
        <f>Angela_2025_Chase1117_Activity_!D1104</f>
        <v>-2</v>
      </c>
    </row>
    <row r="1108" spans="1:4" x14ac:dyDescent="0.25">
      <c r="A1108" s="26">
        <f>Angela_2025_Chase1117_Activity_!B1105</f>
        <v>45868</v>
      </c>
      <c r="B1108" s="6" t="str">
        <f>Angela_2025_Chase1117_Activity_!C1105</f>
        <v>PALM SPRINGS TENNIS AD LAKE FOREST CA        07/29</v>
      </c>
      <c r="C1108" s="6" t="str">
        <f>Angela_2025_Chase1117_Activity_!G1105</f>
        <v>Palm Springs</v>
      </c>
      <c r="D1108" s="12">
        <f>Angela_2025_Chase1117_Activity_!D1105</f>
        <v>-136.26</v>
      </c>
    </row>
    <row r="1109" spans="1:4" x14ac:dyDescent="0.25">
      <c r="A1109" s="26">
        <f>Angela_2025_Chase1117_Activity_!B1106</f>
        <v>45868</v>
      </c>
      <c r="B1109" s="6" t="str">
        <f>Angela_2025_Chase1117_Activity_!C1106</f>
        <v>AMAZON MKTPL*VU0MP9V Amzn.com/bill WA        07/29</v>
      </c>
      <c r="C1109" s="6" t="str">
        <f>Angela_2025_Chase1117_Activity_!G1106</f>
        <v>Amazon</v>
      </c>
      <c r="D1109" s="12">
        <f>Angela_2025_Chase1117_Activity_!D1106</f>
        <v>-107.81</v>
      </c>
    </row>
    <row r="1110" spans="1:4" x14ac:dyDescent="0.25">
      <c r="A1110" s="26">
        <f>Angela_2025_Chase1117_Activity_!B1107</f>
        <v>45868</v>
      </c>
      <c r="B1110" s="6" t="str">
        <f>Angela_2025_Chase1117_Activity_!C1107</f>
        <v>Online Transfer from CHK ...1168 transaction#: 25655989311</v>
      </c>
      <c r="C1110" s="6" t="str">
        <f>Angela_2025_Chase1117_Activity_!G1107</f>
        <v>Transfer from DWG Capital Group</v>
      </c>
      <c r="D1110" s="12">
        <f>Angela_2025_Chase1117_Activity_!D1107</f>
        <v>10000</v>
      </c>
    </row>
    <row r="1111" spans="1:4" x14ac:dyDescent="0.25">
      <c r="A1111" s="26">
        <f>Angela_2025_Chase1117_Activity_!B1108</f>
        <v>45867</v>
      </c>
      <c r="B1111" s="6" t="str">
        <f>Angela_2025_Chase1117_Activity_!C1108</f>
        <v>UBER   * EATS PENDIN SAN FRANCISCO CA363778  07/29</v>
      </c>
      <c r="C1111" s="6" t="str">
        <f>Angela_2025_Chase1117_Activity_!G1108</f>
        <v>Uber Eats</v>
      </c>
      <c r="D1111" s="12">
        <f>Angela_2025_Chase1117_Activity_!D1108</f>
        <v>-30.5</v>
      </c>
    </row>
    <row r="1112" spans="1:4" x14ac:dyDescent="0.25">
      <c r="A1112" s="26">
        <f>Angela_2025_Chase1117_Activity_!B1109</f>
        <v>45867</v>
      </c>
      <c r="B1112" s="6" t="str">
        <f>Angela_2025_Chase1117_Activity_!C1109</f>
        <v>FREEPEOPLE.COM FREEPEOPLE.CO PA              07/29</v>
      </c>
      <c r="C1112" s="6" t="str">
        <f>Angela_2025_Chase1117_Activity_!G1109</f>
        <v>Personal - Clothing</v>
      </c>
      <c r="D1112" s="12">
        <f>Angela_2025_Chase1117_Activity_!D1109</f>
        <v>-162.27000000000001</v>
      </c>
    </row>
    <row r="1113" spans="1:4" x14ac:dyDescent="0.25">
      <c r="A1113" s="26">
        <f>Angela_2025_Chase1117_Activity_!B1110</f>
        <v>45867</v>
      </c>
      <c r="B1113" s="6" t="str">
        <f>Angela_2025_Chase1117_Activity_!C1110</f>
        <v>AMERICAN AI 001063196 800-433-7300 TX        07/28</v>
      </c>
      <c r="C1113" s="6" t="str">
        <f>Angela_2025_Chase1117_Activity_!G1110</f>
        <v>Personal Travel</v>
      </c>
      <c r="D1113" s="12">
        <f>Angela_2025_Chase1117_Activity_!D1110</f>
        <v>-36.1</v>
      </c>
    </row>
    <row r="1114" spans="1:4" x14ac:dyDescent="0.25">
      <c r="A1114" s="26">
        <f>Angela_2025_Chase1117_Activity_!B1111</f>
        <v>45867</v>
      </c>
      <c r="B1114" s="6" t="str">
        <f>Angela_2025_Chase1117_Activity_!C1111</f>
        <v>Amazon.com*7G8Y19YX3 Amzn.com/bill WA        07/28</v>
      </c>
      <c r="C1114" s="6" t="str">
        <f>Angela_2025_Chase1117_Activity_!G1111</f>
        <v>Amazon</v>
      </c>
      <c r="D1114" s="12">
        <f>Angela_2025_Chase1117_Activity_!D1111</f>
        <v>-21.89</v>
      </c>
    </row>
    <row r="1115" spans="1:4" x14ac:dyDescent="0.25">
      <c r="A1115" s="26">
        <f>Angela_2025_Chase1117_Activity_!B1112</f>
        <v>45867</v>
      </c>
      <c r="B1115" s="6" t="str">
        <f>Angela_2025_Chase1117_Activity_!C1112</f>
        <v>CVSExtraCare 80074672 800-746-7287 RI        07/28</v>
      </c>
      <c r="C1115" s="6" t="str">
        <f>Angela_2025_Chase1117_Activity_!G1112</f>
        <v>Personal - Health</v>
      </c>
      <c r="D1115" s="12">
        <f>Angela_2025_Chase1117_Activity_!D1112</f>
        <v>-5.49</v>
      </c>
    </row>
    <row r="1116" spans="1:4" x14ac:dyDescent="0.25">
      <c r="A1116" s="26">
        <f>Angela_2025_Chase1117_Activity_!B1113</f>
        <v>45867</v>
      </c>
      <c r="B1116" s="6" t="str">
        <f>Angela_2025_Chase1117_Activity_!C1113</f>
        <v>AMAZON MKTPL*L976H35 Amzn.com/bill WA        07/28</v>
      </c>
      <c r="C1116" s="6" t="str">
        <f>Angela_2025_Chase1117_Activity_!G1113</f>
        <v>Amazon</v>
      </c>
      <c r="D1116" s="12">
        <f>Angela_2025_Chase1117_Activity_!D1113</f>
        <v>-53.36</v>
      </c>
    </row>
    <row r="1117" spans="1:4" x14ac:dyDescent="0.25">
      <c r="A1117" s="26">
        <f>Angela_2025_Chase1117_Activity_!B1114</f>
        <v>45867</v>
      </c>
      <c r="B1117" s="6" t="str">
        <f>Angela_2025_Chase1117_Activity_!C1114</f>
        <v>AMAZON MKTPL*6A4WQ12 Amzn.com/bill WA        07/28</v>
      </c>
      <c r="C1117" s="6" t="str">
        <f>Angela_2025_Chase1117_Activity_!G1114</f>
        <v>Amazon</v>
      </c>
      <c r="D1117" s="12">
        <f>Angela_2025_Chase1117_Activity_!D1114</f>
        <v>-50.15</v>
      </c>
    </row>
    <row r="1118" spans="1:4" x14ac:dyDescent="0.25">
      <c r="A1118" s="26">
        <f>Angela_2025_Chase1117_Activity_!B1115</f>
        <v>45866</v>
      </c>
      <c r="B1118" s="6" t="str">
        <f>Angela_2025_Chase1117_Activity_!C1115</f>
        <v>GELSON'S MARKET #29 SANTA MONICA CA  759204  07/28</v>
      </c>
      <c r="C1118" s="6" t="str">
        <f>Angela_2025_Chase1117_Activity_!G1115</f>
        <v>Personal - Food</v>
      </c>
      <c r="D1118" s="12">
        <f>Angela_2025_Chase1117_Activity_!D1115</f>
        <v>-134.69</v>
      </c>
    </row>
    <row r="1119" spans="1:4" x14ac:dyDescent="0.25">
      <c r="A1119" s="26">
        <f>Angela_2025_Chase1117_Activity_!B1116</f>
        <v>45866</v>
      </c>
      <c r="B1119" s="6" t="str">
        <f>Angela_2025_Chase1117_Activity_!C1116</f>
        <v>APPLE.COM/BILL 866-712-7753 CA               07/28</v>
      </c>
      <c r="C1119" s="6" t="str">
        <f>Angela_2025_Chase1117_Activity_!G1116</f>
        <v>Apple</v>
      </c>
      <c r="D1119" s="12">
        <f>Angela_2025_Chase1117_Activity_!D1116</f>
        <v>-5.99</v>
      </c>
    </row>
    <row r="1120" spans="1:4" x14ac:dyDescent="0.25">
      <c r="A1120" s="26">
        <f>Angela_2025_Chase1117_Activity_!B1117</f>
        <v>45866</v>
      </c>
      <c r="B1120" s="6" t="str">
        <f>Angela_2025_Chase1117_Activity_!C1117</f>
        <v>AMAZON MKTPL*352OY96 Amzn.com/bill WA        07/28</v>
      </c>
      <c r="C1120" s="6" t="str">
        <f>Angela_2025_Chase1117_Activity_!G1117</f>
        <v>Amazon</v>
      </c>
      <c r="D1120" s="12">
        <f>Angela_2025_Chase1117_Activity_!D1117</f>
        <v>-36.69</v>
      </c>
    </row>
    <row r="1121" spans="1:4" x14ac:dyDescent="0.25">
      <c r="A1121" s="26">
        <f>Angela_2025_Chase1117_Activity_!B1118</f>
        <v>45866</v>
      </c>
      <c r="B1121" s="6" t="str">
        <f>Angela_2025_Chase1117_Activity_!C1118</f>
        <v>AMAZON MKTPL*OB6NA15 Amzn.com/bill WA        07/28</v>
      </c>
      <c r="C1121" s="6" t="str">
        <f>Angela_2025_Chase1117_Activity_!G1118</f>
        <v>Amazon</v>
      </c>
      <c r="D1121" s="12">
        <f>Angela_2025_Chase1117_Activity_!D1118</f>
        <v>-12.05</v>
      </c>
    </row>
    <row r="1122" spans="1:4" x14ac:dyDescent="0.25">
      <c r="A1122" s="26">
        <f>Angela_2025_Chase1117_Activity_!B1119</f>
        <v>45866</v>
      </c>
      <c r="B1122" s="6" t="str">
        <f>Angela_2025_Chase1117_Activity_!C1119</f>
        <v>NUART THEATRE  209 LOS ANGELES CA            07/26</v>
      </c>
      <c r="C1122" s="6" t="str">
        <f>Angela_2025_Chase1117_Activity_!G1119</f>
        <v>Personal - Entertainment</v>
      </c>
      <c r="D1122" s="12">
        <f>Angela_2025_Chase1117_Activity_!D1119</f>
        <v>-23.53</v>
      </c>
    </row>
    <row r="1123" spans="1:4" x14ac:dyDescent="0.25">
      <c r="A1123" s="26">
        <f>Angela_2025_Chase1117_Activity_!B1120</f>
        <v>45866</v>
      </c>
      <c r="B1123" s="6" t="str">
        <f>Angela_2025_Chase1117_Activity_!C1120</f>
        <v>LADOT METER PARKING LOS ANGELES CA           07/26</v>
      </c>
      <c r="C1123" s="6" t="str">
        <f>Angela_2025_Chase1117_Activity_!G1120</f>
        <v>Personal - Car</v>
      </c>
      <c r="D1123" s="12">
        <f>Angela_2025_Chase1117_Activity_!D1120</f>
        <v>-0.25</v>
      </c>
    </row>
    <row r="1124" spans="1:4" x14ac:dyDescent="0.25">
      <c r="A1124" s="26">
        <f>Angela_2025_Chase1117_Activity_!B1121</f>
        <v>45866</v>
      </c>
      <c r="B1124" s="6" t="str">
        <f>Angela_2025_Chase1117_Activity_!C1121</f>
        <v>DON ANTONIOS RESTAURAN LOS ANGELES CA        07/26</v>
      </c>
      <c r="C1124" s="6" t="str">
        <f>Angela_2025_Chase1117_Activity_!G1121</f>
        <v>Personal - Food</v>
      </c>
      <c r="D1124" s="12">
        <f>Angela_2025_Chase1117_Activity_!D1121</f>
        <v>-153.18</v>
      </c>
    </row>
    <row r="1125" spans="1:4" x14ac:dyDescent="0.25">
      <c r="A1125" s="26">
        <f>Angela_2025_Chase1117_Activity_!B1122</f>
        <v>45866</v>
      </c>
      <c r="B1125" s="6" t="str">
        <f>Angela_2025_Chase1117_Activity_!C1122</f>
        <v>SPACEWEATHERNEWS.COM SPACEWEATHERN CO        07/26</v>
      </c>
      <c r="C1125" s="6" t="str">
        <f>Angela_2025_Chase1117_Activity_!G1122</f>
        <v>Personal - Subscription</v>
      </c>
      <c r="D1125" s="12">
        <f>Angela_2025_Chase1117_Activity_!D1122</f>
        <v>-5.99</v>
      </c>
    </row>
    <row r="1126" spans="1:4" x14ac:dyDescent="0.25">
      <c r="A1126" s="26">
        <f>Angela_2025_Chase1117_Activity_!B1123</f>
        <v>45866</v>
      </c>
      <c r="B1126" s="6" t="str">
        <f>Angela_2025_Chase1117_Activity_!C1123</f>
        <v>Prime Video Channels amzn.com/bill WA        07/26</v>
      </c>
      <c r="C1126" s="6" t="str">
        <f>Angela_2025_Chase1117_Activity_!G1123</f>
        <v>Amazon</v>
      </c>
      <c r="D1126" s="12">
        <f>Angela_2025_Chase1117_Activity_!D1123</f>
        <v>-6.99</v>
      </c>
    </row>
    <row r="1127" spans="1:4" x14ac:dyDescent="0.25">
      <c r="A1127" s="26">
        <f>Angela_2025_Chase1117_Activity_!B1124</f>
        <v>45866</v>
      </c>
      <c r="B1127" s="6" t="str">
        <f>Angela_2025_Chase1117_Activity_!C1124</f>
        <v>FANDANGO    * FANDANGO.COM CA                07/26</v>
      </c>
      <c r="C1127" s="6" t="str">
        <f>Angela_2025_Chase1117_Activity_!G1124</f>
        <v>Personal - Entertainment</v>
      </c>
      <c r="D1127" s="12">
        <f>Angela_2025_Chase1117_Activity_!D1124</f>
        <v>-73.760000000000005</v>
      </c>
    </row>
    <row r="1128" spans="1:4" x14ac:dyDescent="0.25">
      <c r="A1128" s="26">
        <f>Angela_2025_Chase1117_Activity_!B1125</f>
        <v>45866</v>
      </c>
      <c r="B1128" s="6" t="str">
        <f>Angela_2025_Chase1117_Activity_!C1125</f>
        <v>Amazon.com*BS4YP22U3 Amzn.com/bill WA        07/26</v>
      </c>
      <c r="C1128" s="6" t="str">
        <f>Angela_2025_Chase1117_Activity_!G1125</f>
        <v>Amazon</v>
      </c>
      <c r="D1128" s="12">
        <f>Angela_2025_Chase1117_Activity_!D1125</f>
        <v>-25.2</v>
      </c>
    </row>
    <row r="1129" spans="1:4" x14ac:dyDescent="0.25">
      <c r="A1129" s="26">
        <f>Angela_2025_Chase1117_Activity_!B1126</f>
        <v>45866</v>
      </c>
      <c r="B1129" s="6" t="str">
        <f>Angela_2025_Chase1117_Activity_!C1126</f>
        <v>AMAZON MKTPL*1C2RL5N Amzn.com/bill WA        07/26</v>
      </c>
      <c r="C1129" s="6" t="str">
        <f>Angela_2025_Chase1117_Activity_!G1126</f>
        <v>Amazon</v>
      </c>
      <c r="D1129" s="12">
        <f>Angela_2025_Chase1117_Activity_!D1126</f>
        <v>-134.65</v>
      </c>
    </row>
    <row r="1130" spans="1:4" x14ac:dyDescent="0.25">
      <c r="A1130" s="26">
        <f>Angela_2025_Chase1117_Activity_!B1127</f>
        <v>45866</v>
      </c>
      <c r="B1130" s="6" t="str">
        <f>Angela_2025_Chase1117_Activity_!C1127</f>
        <v>AMAZON MKTPL*CE8VZ01 Amzn.com/bill WA        07/26</v>
      </c>
      <c r="C1130" s="6" t="str">
        <f>Angela_2025_Chase1117_Activity_!G1127</f>
        <v>Amazon</v>
      </c>
      <c r="D1130" s="12">
        <f>Angela_2025_Chase1117_Activity_!D1127</f>
        <v>-28.52</v>
      </c>
    </row>
    <row r="1131" spans="1:4" x14ac:dyDescent="0.25">
      <c r="A1131" s="26">
        <f>Angela_2025_Chase1117_Activity_!B1128</f>
        <v>45866</v>
      </c>
      <c r="B1131" s="6" t="str">
        <f>Angela_2025_Chase1117_Activity_!C1128</f>
        <v>DBZ Marketplace US Inc New Castle DE         07/26</v>
      </c>
      <c r="C1131" s="6" t="str">
        <f>Angela_2025_Chase1117_Activity_!G1128</f>
        <v>Personal - Clothing</v>
      </c>
      <c r="D1131" s="12">
        <f>Angela_2025_Chase1117_Activity_!D1128</f>
        <v>-156.15</v>
      </c>
    </row>
    <row r="1132" spans="1:4" x14ac:dyDescent="0.25">
      <c r="A1132" s="26">
        <f>Angela_2025_Chase1117_Activity_!B1129</f>
        <v>45866</v>
      </c>
      <c r="B1132" s="6" t="str">
        <f>Angela_2025_Chase1117_Activity_!C1129</f>
        <v>AMAZON MKTPL*RH6UE1O Amzn.com/bill WA        07/26</v>
      </c>
      <c r="C1132" s="6" t="str">
        <f>Angela_2025_Chase1117_Activity_!G1129</f>
        <v>Amazon</v>
      </c>
      <c r="D1132" s="12">
        <f>Angela_2025_Chase1117_Activity_!D1129</f>
        <v>-71.3</v>
      </c>
    </row>
    <row r="1133" spans="1:4" x14ac:dyDescent="0.25">
      <c r="A1133" s="26">
        <f>Angela_2025_Chase1117_Activity_!B1130</f>
        <v>45866</v>
      </c>
      <c r="B1133" s="6" t="str">
        <f>Angela_2025_Chase1117_Activity_!C1130</f>
        <v>UBER   * EATS PENDIN SAN FRANCISCO CA019234  07/25</v>
      </c>
      <c r="C1133" s="6" t="str">
        <f>Angela_2025_Chase1117_Activity_!G1130</f>
        <v>Uber Eats</v>
      </c>
      <c r="D1133" s="12">
        <f>Angela_2025_Chase1117_Activity_!D1130</f>
        <v>-207.86</v>
      </c>
    </row>
    <row r="1134" spans="1:4" x14ac:dyDescent="0.25">
      <c r="A1134" s="26">
        <f>Angela_2025_Chase1117_Activity_!B1131</f>
        <v>45866</v>
      </c>
      <c r="B1134" s="6" t="str">
        <f>Angela_2025_Chase1117_Activity_!C1131</f>
        <v>AMAZON MKTPL*1984X54 Amzn.com/bill WA        07/26</v>
      </c>
      <c r="C1134" s="6" t="str">
        <f>Angela_2025_Chase1117_Activity_!G1131</f>
        <v>Amazon</v>
      </c>
      <c r="D1134" s="12">
        <f>Angela_2025_Chase1117_Activity_!D1131</f>
        <v>-119.62</v>
      </c>
    </row>
    <row r="1135" spans="1:4" x14ac:dyDescent="0.25">
      <c r="A1135" s="26">
        <f>Angela_2025_Chase1117_Activity_!B1132</f>
        <v>45866</v>
      </c>
      <c r="B1135" s="6" t="str">
        <f>Angela_2025_Chase1117_Activity_!C1132</f>
        <v>AMAZON MKTPL*IV5M49A Amzn.com/bill WA        07/25</v>
      </c>
      <c r="C1135" s="6" t="str">
        <f>Angela_2025_Chase1117_Activity_!G1132</f>
        <v>Amazon</v>
      </c>
      <c r="D1135" s="12">
        <f>Angela_2025_Chase1117_Activity_!D1132</f>
        <v>-137.15</v>
      </c>
    </row>
    <row r="1136" spans="1:4" x14ac:dyDescent="0.25">
      <c r="A1136" s="26">
        <f>Angela_2025_Chase1117_Activity_!B1133</f>
        <v>45866</v>
      </c>
      <c r="B1136" s="6" t="str">
        <f>Angela_2025_Chase1117_Activity_!C1133</f>
        <v>Online Transfer from CHK ...1168 transaction#: 25621756173</v>
      </c>
      <c r="C1136" s="6" t="str">
        <f>Angela_2025_Chase1117_Activity_!G1133</f>
        <v>Transfer from DWG Capital Group</v>
      </c>
      <c r="D1136" s="12">
        <f>Angela_2025_Chase1117_Activity_!D1133</f>
        <v>2000</v>
      </c>
    </row>
    <row r="1137" spans="1:4" x14ac:dyDescent="0.25">
      <c r="A1137" s="26">
        <f>Angela_2025_Chase1117_Activity_!B1134</f>
        <v>45866</v>
      </c>
      <c r="B1137" s="6" t="str">
        <f>Angela_2025_Chase1117_Activity_!C1134</f>
        <v>Online Transfer from CHK ...1168 transaction#: 25641512442</v>
      </c>
      <c r="C1137" s="6" t="str">
        <f>Angela_2025_Chase1117_Activity_!G1134</f>
        <v>Transfer from DWG Capital Group</v>
      </c>
      <c r="D1137" s="12">
        <f>Angela_2025_Chase1117_Activity_!D1134</f>
        <v>3000</v>
      </c>
    </row>
    <row r="1138" spans="1:4" x14ac:dyDescent="0.25">
      <c r="A1138" s="26">
        <f>Angela_2025_Chase1117_Activity_!B1135</f>
        <v>45863</v>
      </c>
      <c r="B1138" s="6" t="str">
        <f>Angela_2025_Chase1117_Activity_!C1135</f>
        <v>CVS/PHARMACY #09493 MAR VISTA CA     016840  07/25</v>
      </c>
      <c r="C1138" s="6" t="str">
        <f>Angela_2025_Chase1117_Activity_!G1135</f>
        <v>Personal - Health</v>
      </c>
      <c r="D1138" s="12">
        <f>Angela_2025_Chase1117_Activity_!D1135</f>
        <v>-64.709999999999994</v>
      </c>
    </row>
    <row r="1139" spans="1:4" x14ac:dyDescent="0.25">
      <c r="A1139" s="26">
        <f>Angela_2025_Chase1117_Activity_!B1136</f>
        <v>45863</v>
      </c>
      <c r="B1139" s="6" t="str">
        <f>Angela_2025_Chase1117_Activity_!C1136</f>
        <v>UBER   *TRIP HELP.UB SAN FRANCISCO CA089006  07/25</v>
      </c>
      <c r="C1139" s="6" t="str">
        <f>Angela_2025_Chase1117_Activity_!G1136</f>
        <v>Personal - Uber</v>
      </c>
      <c r="D1139" s="12">
        <f>Angela_2025_Chase1117_Activity_!D1136</f>
        <v>-5</v>
      </c>
    </row>
    <row r="1140" spans="1:4" x14ac:dyDescent="0.25">
      <c r="A1140" s="26">
        <f>Angela_2025_Chase1117_Activity_!B1137</f>
        <v>45863</v>
      </c>
      <c r="B1140" s="6" t="str">
        <f>Angela_2025_Chase1117_Activity_!C1137</f>
        <v>LUKE UNFILTERED WEARECHANGE.O FL             07/25</v>
      </c>
      <c r="C1140" s="6" t="str">
        <f>Angela_2025_Chase1117_Activity_!G1137</f>
        <v>Personal - Subscription</v>
      </c>
      <c r="D1140" s="12">
        <f>Angela_2025_Chase1117_Activity_!D1137</f>
        <v>-15</v>
      </c>
    </row>
    <row r="1141" spans="1:4" x14ac:dyDescent="0.25">
      <c r="A1141" s="26">
        <f>Angela_2025_Chase1117_Activity_!B1138</f>
        <v>45863</v>
      </c>
      <c r="B1141" s="6" t="str">
        <f>Angela_2025_Chase1117_Activity_!C1138</f>
        <v>AMAZON PRIME*538R979 Amzn.com/bill WA        07/24</v>
      </c>
      <c r="C1141" s="6" t="str">
        <f>Angela_2025_Chase1117_Activity_!G1138</f>
        <v>Amazon</v>
      </c>
      <c r="D1141" s="12">
        <f>Angela_2025_Chase1117_Activity_!D1138</f>
        <v>-16.45</v>
      </c>
    </row>
    <row r="1142" spans="1:4" x14ac:dyDescent="0.25">
      <c r="A1142" s="26">
        <f>Angela_2025_Chase1117_Activity_!B1139</f>
        <v>45863</v>
      </c>
      <c r="B1142" s="6" t="str">
        <f>Angela_2025_Chase1117_Activity_!C1139</f>
        <v>AMAZON MKTPL*3T0LC78 Amzn.com/bill WA        07/25</v>
      </c>
      <c r="C1142" s="6" t="str">
        <f>Angela_2025_Chase1117_Activity_!G1139</f>
        <v>Amazon</v>
      </c>
      <c r="D1142" s="12">
        <f>Angela_2025_Chase1117_Activity_!D1139</f>
        <v>-54.86</v>
      </c>
    </row>
    <row r="1143" spans="1:4" x14ac:dyDescent="0.25">
      <c r="A1143" s="26">
        <f>Angela_2025_Chase1117_Activity_!B1140</f>
        <v>45863</v>
      </c>
      <c r="B1143" s="6" t="str">
        <f>Angela_2025_Chase1117_Activity_!C1140</f>
        <v>THE UPS STORE 4398 310-9156580 CA            07/24</v>
      </c>
      <c r="C1143" s="6" t="str">
        <f>Angela_2025_Chase1117_Activity_!G1140</f>
        <v>Shipping</v>
      </c>
      <c r="D1143" s="12">
        <f>Angela_2025_Chase1117_Activity_!D1140</f>
        <v>-41.9</v>
      </c>
    </row>
    <row r="1144" spans="1:4" x14ac:dyDescent="0.25">
      <c r="A1144" s="26">
        <f>Angela_2025_Chase1117_Activity_!B1141</f>
        <v>45863</v>
      </c>
      <c r="B1144" s="6" t="str">
        <f>Angela_2025_Chase1117_Activity_!C1141</f>
        <v>LADOT METER PARKING LOS ANGELES CA           07/24</v>
      </c>
      <c r="C1144" s="6" t="str">
        <f>Angela_2025_Chase1117_Activity_!G1141</f>
        <v>Personal - Car</v>
      </c>
      <c r="D1144" s="12">
        <f>Angela_2025_Chase1117_Activity_!D1141</f>
        <v>-1</v>
      </c>
    </row>
    <row r="1145" spans="1:4" x14ac:dyDescent="0.25">
      <c r="A1145" s="26">
        <f>Angela_2025_Chase1117_Activity_!B1142</f>
        <v>45863</v>
      </c>
      <c r="B1145" s="6" t="str">
        <f>Angela_2025_Chase1117_Activity_!C1142</f>
        <v>GRANDVIEW CLEANERS LOS ANGELES CA            07/24</v>
      </c>
      <c r="C1145" s="6" t="str">
        <f>Angela_2025_Chase1117_Activity_!G1142</f>
        <v>Personal - Clothing</v>
      </c>
      <c r="D1145" s="12">
        <f>Angela_2025_Chase1117_Activity_!D1142</f>
        <v>-158.32</v>
      </c>
    </row>
    <row r="1146" spans="1:4" x14ac:dyDescent="0.25">
      <c r="A1146" s="26">
        <f>Angela_2025_Chase1117_Activity_!B1143</f>
        <v>45863</v>
      </c>
      <c r="B1146" s="6" t="str">
        <f>Angela_2025_Chase1117_Activity_!C1143</f>
        <v>ALLAN JEFFRIES FRAMIN SANTA MONICA CA        07/24</v>
      </c>
      <c r="C1146" s="6" t="str">
        <f>Angela_2025_Chase1117_Activity_!G1143</f>
        <v>Personal - Shopping</v>
      </c>
      <c r="D1146" s="12">
        <f>Angela_2025_Chase1117_Activity_!D1143</f>
        <v>-100</v>
      </c>
    </row>
    <row r="1147" spans="1:4" x14ac:dyDescent="0.25">
      <c r="A1147" s="26">
        <f>Angela_2025_Chase1117_Activity_!B1144</f>
        <v>45863</v>
      </c>
      <c r="B1147" s="6" t="str">
        <f>Angela_2025_Chase1117_Activity_!C1144</f>
        <v>CITY OF SANTA MONICA SANTA MONICA CA         07/24</v>
      </c>
      <c r="C1147" s="6" t="str">
        <f>Angela_2025_Chase1117_Activity_!G1144</f>
        <v>Personal - Car</v>
      </c>
      <c r="D1147" s="12">
        <f>Angela_2025_Chase1117_Activity_!D1144</f>
        <v>-1.25</v>
      </c>
    </row>
    <row r="1148" spans="1:4" x14ac:dyDescent="0.25">
      <c r="A1148" s="26">
        <f>Angela_2025_Chase1117_Activity_!B1145</f>
        <v>45863</v>
      </c>
      <c r="B1148" s="6" t="str">
        <f>Angela_2025_Chase1117_Activity_!C1145</f>
        <v>ATT*BILL PAYMENT 800-288-2020 TX             07/24</v>
      </c>
      <c r="C1148" s="6" t="str">
        <f>Angela_2025_Chase1117_Activity_!G1145</f>
        <v>AT&amp;T</v>
      </c>
      <c r="D1148" s="12">
        <f>Angela_2025_Chase1117_Activity_!D1145</f>
        <v>-579.33000000000004</v>
      </c>
    </row>
    <row r="1149" spans="1:4" x14ac:dyDescent="0.25">
      <c r="A1149" s="26">
        <f>Angela_2025_Chase1117_Activity_!B1146</f>
        <v>45863</v>
      </c>
      <c r="B1149" s="6" t="str">
        <f>Angela_2025_Chase1117_Activity_!C1146</f>
        <v>AMAZON MKTPL*WU3YK8J Amzn.com/bill WA        07/25</v>
      </c>
      <c r="C1149" s="6" t="str">
        <f>Angela_2025_Chase1117_Activity_!G1146</f>
        <v>Amazon</v>
      </c>
      <c r="D1149" s="12">
        <f>Angela_2025_Chase1117_Activity_!D1146</f>
        <v>-73.400000000000006</v>
      </c>
    </row>
    <row r="1150" spans="1:4" x14ac:dyDescent="0.25">
      <c r="A1150" s="26">
        <f>Angela_2025_Chase1117_Activity_!B1147</f>
        <v>45862</v>
      </c>
      <c r="B1150" s="6" t="str">
        <f>Angela_2025_Chase1117_Activity_!C1147</f>
        <v>ATM WITHDRAWAL                       006473  07/2412335 VEN</v>
      </c>
      <c r="C1150" s="6" t="str">
        <f>Angela_2025_Chase1117_Activity_!G1147</f>
        <v>Withdrawal</v>
      </c>
      <c r="D1150" s="12">
        <f>Angela_2025_Chase1117_Activity_!D1147</f>
        <v>-500</v>
      </c>
    </row>
    <row r="1151" spans="1:4" x14ac:dyDescent="0.25">
      <c r="A1151" s="26">
        <f>Angela_2025_Chase1117_Activity_!B1148</f>
        <v>45862</v>
      </c>
      <c r="B1151" s="6" t="str">
        <f>Angela_2025_Chase1117_Activity_!C1148</f>
        <v>CVS/PHARMACY #09493 MAR VISTA CA     040663  07/24</v>
      </c>
      <c r="C1151" s="6" t="str">
        <f>Angela_2025_Chase1117_Activity_!G1148</f>
        <v>Personal - Health</v>
      </c>
      <c r="D1151" s="12">
        <f>Angela_2025_Chase1117_Activity_!D1148</f>
        <v>-14.81</v>
      </c>
    </row>
    <row r="1152" spans="1:4" x14ac:dyDescent="0.25">
      <c r="A1152" s="26">
        <f>Angela_2025_Chase1117_Activity_!B1149</f>
        <v>45862</v>
      </c>
      <c r="B1152" s="6" t="str">
        <f>Angela_2025_Chase1117_Activity_!C1149</f>
        <v>AMAZON MKTPL*O59390F Amzn.com/bill WA        07/24</v>
      </c>
      <c r="C1152" s="6" t="str">
        <f>Angela_2025_Chase1117_Activity_!G1149</f>
        <v>Amazon</v>
      </c>
      <c r="D1152" s="12">
        <f>Angela_2025_Chase1117_Activity_!D1149</f>
        <v>-100.9</v>
      </c>
    </row>
    <row r="1153" spans="1:4" x14ac:dyDescent="0.25">
      <c r="A1153" s="26">
        <f>Angela_2025_Chase1117_Activity_!B1150</f>
        <v>45862</v>
      </c>
      <c r="B1153" s="6" t="str">
        <f>Angela_2025_Chase1117_Activity_!C1150</f>
        <v>SQ *HEARTS AND HALOS Long Beach CA           07/23</v>
      </c>
      <c r="C1153" s="6" t="str">
        <f>Angela_2025_Chase1117_Activity_!G1150</f>
        <v>Personal - Shopping</v>
      </c>
      <c r="D1153" s="12">
        <f>Angela_2025_Chase1117_Activity_!D1150</f>
        <v>-610</v>
      </c>
    </row>
    <row r="1154" spans="1:4" x14ac:dyDescent="0.25">
      <c r="A1154" s="26">
        <f>Angela_2025_Chase1117_Activity_!B1151</f>
        <v>45862</v>
      </c>
      <c r="B1154" s="6" t="str">
        <f>Angela_2025_Chase1117_Activity_!C1151</f>
        <v>APPLE.COM/BILL 866-712-7753 CA               07/23</v>
      </c>
      <c r="C1154" s="6" t="str">
        <f>Angela_2025_Chase1117_Activity_!G1151</f>
        <v>Apple</v>
      </c>
      <c r="D1154" s="12">
        <f>Angela_2025_Chase1117_Activity_!D1151</f>
        <v>-10.99</v>
      </c>
    </row>
    <row r="1155" spans="1:4" x14ac:dyDescent="0.25">
      <c r="A1155" s="26">
        <f>Angela_2025_Chase1117_Activity_!B1152</f>
        <v>45862</v>
      </c>
      <c r="B1155" s="6" t="str">
        <f>Angela_2025_Chase1117_Activity_!C1152</f>
        <v>LIFEWAVE LLC 858-4599876 CA                  07/23</v>
      </c>
      <c r="C1155" s="6" t="str">
        <f>Angela_2025_Chase1117_Activity_!G1152</f>
        <v>Personal - Health</v>
      </c>
      <c r="D1155" s="12">
        <f>Angela_2025_Chase1117_Activity_!D1152</f>
        <v>-173.51</v>
      </c>
    </row>
    <row r="1156" spans="1:4" x14ac:dyDescent="0.25">
      <c r="A1156" s="26">
        <f>Angela_2025_Chase1117_Activity_!B1153</f>
        <v>45862</v>
      </c>
      <c r="B1156" s="6" t="str">
        <f>Angela_2025_Chase1117_Activity_!C1153</f>
        <v>AMAZON MKTPL*JD4C82U Amzn.com/bill WA        07/23</v>
      </c>
      <c r="C1156" s="6" t="str">
        <f>Angela_2025_Chase1117_Activity_!G1153</f>
        <v>Amazon</v>
      </c>
      <c r="D1156" s="12">
        <f>Angela_2025_Chase1117_Activity_!D1153</f>
        <v>-64.77</v>
      </c>
    </row>
    <row r="1157" spans="1:4" x14ac:dyDescent="0.25">
      <c r="A1157" s="26">
        <f>Angela_2025_Chase1117_Activity_!B1154</f>
        <v>45862</v>
      </c>
      <c r="B1157" s="6" t="str">
        <f>Angela_2025_Chase1117_Activity_!C1154</f>
        <v>Online Transfer from CHK ...1168 transaction#: 25596612709</v>
      </c>
      <c r="C1157" s="6" t="str">
        <f>Angela_2025_Chase1117_Activity_!G1154</f>
        <v>Transfer from DWG Capital Group</v>
      </c>
      <c r="D1157" s="12">
        <f>Angela_2025_Chase1117_Activity_!D1154</f>
        <v>2000</v>
      </c>
    </row>
    <row r="1158" spans="1:4" x14ac:dyDescent="0.25">
      <c r="A1158" s="26">
        <f>Angela_2025_Chase1117_Activity_!B1155</f>
        <v>45861</v>
      </c>
      <c r="B1158" s="6" t="str">
        <f>Angela_2025_Chase1117_Activity_!C1155</f>
        <v>JACO BOOYENS MINISTR WWW.JACOBOOYE TX        07/23</v>
      </c>
      <c r="C1158" s="6" t="str">
        <f>Angela_2025_Chase1117_Activity_!G1155</f>
        <v>Donation</v>
      </c>
      <c r="D1158" s="12">
        <f>Angela_2025_Chase1117_Activity_!D1155</f>
        <v>-537</v>
      </c>
    </row>
    <row r="1159" spans="1:4" x14ac:dyDescent="0.25">
      <c r="A1159" s="26">
        <f>Angela_2025_Chase1117_Activity_!B1156</f>
        <v>45861</v>
      </c>
      <c r="B1159" s="6" t="str">
        <f>Angela_2025_Chase1117_Activity_!C1156</f>
        <v>AMAZON MKTPL*1T8J548 Amzn.com/bill WA        07/23</v>
      </c>
      <c r="C1159" s="6" t="str">
        <f>Angela_2025_Chase1117_Activity_!G1156</f>
        <v>Amazon</v>
      </c>
      <c r="D1159" s="12">
        <f>Angela_2025_Chase1117_Activity_!D1156</f>
        <v>-94.37</v>
      </c>
    </row>
    <row r="1160" spans="1:4" x14ac:dyDescent="0.25">
      <c r="A1160" s="26">
        <f>Angela_2025_Chase1117_Activity_!B1157</f>
        <v>45861</v>
      </c>
      <c r="B1160" s="6" t="str">
        <f>Angela_2025_Chase1117_Activity_!C1157</f>
        <v>Zara.com 212-3551415 NY                      07/23</v>
      </c>
      <c r="C1160" s="6" t="str">
        <f>Angela_2025_Chase1117_Activity_!G1157</f>
        <v>Personal - Shopping</v>
      </c>
      <c r="D1160" s="12">
        <f>Angela_2025_Chase1117_Activity_!D1157</f>
        <v>-256.58999999999997</v>
      </c>
    </row>
    <row r="1161" spans="1:4" x14ac:dyDescent="0.25">
      <c r="A1161" s="26">
        <f>Angela_2025_Chase1117_Activity_!B1158</f>
        <v>45861</v>
      </c>
      <c r="B1161" s="6" t="str">
        <f>Angela_2025_Chase1117_Activity_!C1158</f>
        <v>TACOS TAMIX ON SEPULVE CULVER CITY CA        07/22</v>
      </c>
      <c r="C1161" s="6" t="str">
        <f>Angela_2025_Chase1117_Activity_!G1158</f>
        <v>Personal - Food</v>
      </c>
      <c r="D1161" s="12">
        <f>Angela_2025_Chase1117_Activity_!D1158</f>
        <v>-22.7</v>
      </c>
    </row>
    <row r="1162" spans="1:4" x14ac:dyDescent="0.25">
      <c r="A1162" s="26">
        <f>Angela_2025_Chase1117_Activity_!B1159</f>
        <v>45861</v>
      </c>
      <c r="B1162" s="6" t="str">
        <f>Angela_2025_Chase1117_Activity_!C1159</f>
        <v>AMAZON MKTPL*QQ2AR3P Amzn.com/bill WA        07/23</v>
      </c>
      <c r="C1162" s="6" t="str">
        <f>Angela_2025_Chase1117_Activity_!G1159</f>
        <v>Amazon</v>
      </c>
      <c r="D1162" s="12">
        <f>Angela_2025_Chase1117_Activity_!D1159</f>
        <v>-174.5</v>
      </c>
    </row>
    <row r="1163" spans="1:4" x14ac:dyDescent="0.25">
      <c r="A1163" s="26">
        <f>Angela_2025_Chase1117_Activity_!B1160</f>
        <v>45860</v>
      </c>
      <c r="B1163" s="6" t="str">
        <f>Angela_2025_Chase1117_Activity_!C1160</f>
        <v>GELSON'S MARKET #29 SANTA MONICA CA          07/22 Purchase $666.41 Cash Back $100.00</v>
      </c>
      <c r="C1163" s="6" t="str">
        <f>Angela_2025_Chase1117_Activity_!G1160</f>
        <v>Personal - Food</v>
      </c>
      <c r="D1163" s="12">
        <f>Angela_2025_Chase1117_Activity_!D1160</f>
        <v>-766.41</v>
      </c>
    </row>
    <row r="1164" spans="1:4" x14ac:dyDescent="0.25">
      <c r="A1164" s="26">
        <f>Angela_2025_Chase1117_Activity_!B1161</f>
        <v>45860</v>
      </c>
      <c r="B1164" s="6" t="str">
        <f>Angela_2025_Chase1117_Activity_!C1161</f>
        <v>GRANDVIEW CLEANERS LOS ANGELES CA            07/21</v>
      </c>
      <c r="C1164" s="6" t="str">
        <f>Angela_2025_Chase1117_Activity_!G1161</f>
        <v>Personal - Clothing</v>
      </c>
      <c r="D1164" s="12">
        <f>Angela_2025_Chase1117_Activity_!D1161</f>
        <v>-246</v>
      </c>
    </row>
    <row r="1165" spans="1:4" x14ac:dyDescent="0.25">
      <c r="A1165" s="26">
        <f>Angela_2025_Chase1117_Activity_!B1162</f>
        <v>45860</v>
      </c>
      <c r="B1165" s="6" t="str">
        <f>Angela_2025_Chase1117_Activity_!C1162</f>
        <v>AMAZON MKTPL*WZ52A1O Amzn.com/bill WA        07/22</v>
      </c>
      <c r="C1165" s="6" t="str">
        <f>Angela_2025_Chase1117_Activity_!G1162</f>
        <v>Amazon</v>
      </c>
      <c r="D1165" s="12">
        <f>Angela_2025_Chase1117_Activity_!D1162</f>
        <v>-21.92</v>
      </c>
    </row>
    <row r="1166" spans="1:4" x14ac:dyDescent="0.25">
      <c r="A1166" s="26">
        <f>Angela_2025_Chase1117_Activity_!B1163</f>
        <v>45860</v>
      </c>
      <c r="B1166" s="6" t="str">
        <f>Angela_2025_Chase1117_Activity_!C1163</f>
        <v>FACEPLASTIC.ACADEMY ABU DHABI                07/21</v>
      </c>
      <c r="C1166" s="6" t="str">
        <f>Angela_2025_Chase1117_Activity_!G1163</f>
        <v>Personal - Health</v>
      </c>
      <c r="D1166" s="12">
        <f>Angela_2025_Chase1117_Activity_!D1163</f>
        <v>-47</v>
      </c>
    </row>
    <row r="1167" spans="1:4" x14ac:dyDescent="0.25">
      <c r="A1167" s="26">
        <f>Angela_2025_Chase1117_Activity_!B1164</f>
        <v>45860</v>
      </c>
      <c r="B1167" s="6" t="str">
        <f>Angela_2025_Chase1117_Activity_!C1164</f>
        <v>VONS #2270 LOS ANGELES CA                    07/21</v>
      </c>
      <c r="C1167" s="6" t="str">
        <f>Angela_2025_Chase1117_Activity_!G1164</f>
        <v>Personal - Food</v>
      </c>
      <c r="D1167" s="12">
        <f>Angela_2025_Chase1117_Activity_!D1164</f>
        <v>-188.71</v>
      </c>
    </row>
    <row r="1168" spans="1:4" x14ac:dyDescent="0.25">
      <c r="A1168" s="26">
        <f>Angela_2025_Chase1117_Activity_!B1165</f>
        <v>45860</v>
      </c>
      <c r="B1168" s="6" t="str">
        <f>Angela_2025_Chase1117_Activity_!C1165</f>
        <v>Zara.com 212-3551415 NY                      07/22</v>
      </c>
      <c r="C1168" s="6" t="str">
        <f>Angela_2025_Chase1117_Activity_!G1165</f>
        <v>Personal - Shopping</v>
      </c>
      <c r="D1168" s="12">
        <f>Angela_2025_Chase1117_Activity_!D1165</f>
        <v>-165.15</v>
      </c>
    </row>
    <row r="1169" spans="1:4" x14ac:dyDescent="0.25">
      <c r="A1169" s="26">
        <f>Angela_2025_Chase1117_Activity_!B1166</f>
        <v>45860</v>
      </c>
      <c r="B1169" s="6" t="str">
        <f>Angela_2025_Chase1117_Activity_!C1166</f>
        <v>AMAZON MKTPL*H17VY6L Amzn.com/bill WA        07/21</v>
      </c>
      <c r="C1169" s="6" t="str">
        <f>Angela_2025_Chase1117_Activity_!G1166</f>
        <v>Amazon</v>
      </c>
      <c r="D1169" s="12">
        <f>Angela_2025_Chase1117_Activity_!D1166</f>
        <v>-44.97</v>
      </c>
    </row>
    <row r="1170" spans="1:4" x14ac:dyDescent="0.25">
      <c r="A1170" s="26">
        <f>Angela_2025_Chase1117_Activity_!B1167</f>
        <v>45860</v>
      </c>
      <c r="B1170" s="6" t="str">
        <f>Angela_2025_Chase1117_Activity_!C1167</f>
        <v>Amazon.com*2D6ZJ9P83 Amzn.com/bill WA        07/21</v>
      </c>
      <c r="C1170" s="6" t="str">
        <f>Angela_2025_Chase1117_Activity_!G1167</f>
        <v>Amazon</v>
      </c>
      <c r="D1170" s="12">
        <f>Angela_2025_Chase1117_Activity_!D1167</f>
        <v>-88.69</v>
      </c>
    </row>
    <row r="1171" spans="1:4" x14ac:dyDescent="0.25">
      <c r="A1171" s="26">
        <f>Angela_2025_Chase1117_Activity_!B1168</f>
        <v>45860</v>
      </c>
      <c r="B1171" s="6" t="str">
        <f>Angela_2025_Chase1117_Activity_!C1168</f>
        <v>Online Transfer from CHK ...1168 transaction#: 25576008777</v>
      </c>
      <c r="C1171" s="6" t="str">
        <f>Angela_2025_Chase1117_Activity_!G1168</f>
        <v>Transfer from DWG Capital Group</v>
      </c>
      <c r="D1171" s="12">
        <f>Angela_2025_Chase1117_Activity_!D1168</f>
        <v>3000</v>
      </c>
    </row>
    <row r="1172" spans="1:4" x14ac:dyDescent="0.25">
      <c r="A1172" s="26">
        <f>Angela_2025_Chase1117_Activity_!B1169</f>
        <v>45859</v>
      </c>
      <c r="B1172" s="6" t="str">
        <f>Angela_2025_Chase1117_Activity_!C1169</f>
        <v>TRADER JOE S #00 3212 SANTA MONICA CA100820  07/21</v>
      </c>
      <c r="C1172" s="6" t="str">
        <f>Angela_2025_Chase1117_Activity_!G1169</f>
        <v>Personal - Food</v>
      </c>
      <c r="D1172" s="12">
        <f>Angela_2025_Chase1117_Activity_!D1169</f>
        <v>-228.35</v>
      </c>
    </row>
    <row r="1173" spans="1:4" x14ac:dyDescent="0.25">
      <c r="A1173" s="26">
        <f>Angela_2025_Chase1117_Activity_!B1170</f>
        <v>45859</v>
      </c>
      <c r="B1173" s="6" t="str">
        <f>Angela_2025_Chase1117_Activity_!C1170</f>
        <v>UBER   *EATS HELP.UB SAN FRANCISCO CA365165  07/20</v>
      </c>
      <c r="C1173" s="6" t="str">
        <f>Angela_2025_Chase1117_Activity_!G1170</f>
        <v>Uber Eats</v>
      </c>
      <c r="D1173" s="12">
        <f>Angela_2025_Chase1117_Activity_!D1170</f>
        <v>-7.06</v>
      </c>
    </row>
    <row r="1174" spans="1:4" x14ac:dyDescent="0.25">
      <c r="A1174" s="26">
        <f>Angela_2025_Chase1117_Activity_!B1171</f>
        <v>45859</v>
      </c>
      <c r="B1174" s="6" t="str">
        <f>Angela_2025_Chase1117_Activity_!C1171</f>
        <v>UBER   * EATS PENDIN SAN FRANCISCO CA019766  07/20</v>
      </c>
      <c r="C1174" s="6" t="str">
        <f>Angela_2025_Chase1117_Activity_!G1171</f>
        <v>Uber Eats</v>
      </c>
      <c r="D1174" s="12">
        <f>Angela_2025_Chase1117_Activity_!D1171</f>
        <v>-33.299999999999997</v>
      </c>
    </row>
    <row r="1175" spans="1:4" x14ac:dyDescent="0.25">
      <c r="A1175" s="26">
        <f>Angela_2025_Chase1117_Activity_!B1172</f>
        <v>45859</v>
      </c>
      <c r="B1175" s="6" t="str">
        <f>Angela_2025_Chase1117_Activity_!C1172</f>
        <v>TST*BLUEYS KITCHEN MAR Los Angeles CA        07/20</v>
      </c>
      <c r="C1175" s="6" t="str">
        <f>Angela_2025_Chase1117_Activity_!G1172</f>
        <v>Personal - Food</v>
      </c>
      <c r="D1175" s="12">
        <f>Angela_2025_Chase1117_Activity_!D1172</f>
        <v>-82.05</v>
      </c>
    </row>
    <row r="1176" spans="1:4" x14ac:dyDescent="0.25">
      <c r="A1176" s="26">
        <f>Angela_2025_Chase1117_Activity_!B1173</f>
        <v>45859</v>
      </c>
      <c r="B1176" s="6" t="str">
        <f>Angela_2025_Chase1117_Activity_!C1173</f>
        <v>AMAZON MKTPL*CL5PW7B Amzn.com/bill WA        07/21</v>
      </c>
      <c r="C1176" s="6" t="str">
        <f>Angela_2025_Chase1117_Activity_!G1173</f>
        <v>Amazon</v>
      </c>
      <c r="D1176" s="12">
        <f>Angela_2025_Chase1117_Activity_!D1173</f>
        <v>-28.52</v>
      </c>
    </row>
    <row r="1177" spans="1:4" x14ac:dyDescent="0.25">
      <c r="A1177" s="26">
        <f>Angela_2025_Chase1117_Activity_!B1174</f>
        <v>45859</v>
      </c>
      <c r="B1177" s="6" t="str">
        <f>Angela_2025_Chase1117_Activity_!C1174</f>
        <v>NEXTLINK BROADBAND 855-6985465 TX            07/20</v>
      </c>
      <c r="C1177" s="6" t="str">
        <f>Angela_2025_Chase1117_Activity_!G1174</f>
        <v>Personal - House Bills</v>
      </c>
      <c r="D1177" s="12">
        <f>Angela_2025_Chase1117_Activity_!D1174</f>
        <v>-149.96</v>
      </c>
    </row>
    <row r="1178" spans="1:4" x14ac:dyDescent="0.25">
      <c r="A1178" s="26">
        <f>Angela_2025_Chase1117_Activity_!B1175</f>
        <v>45859</v>
      </c>
      <c r="B1178" s="6" t="str">
        <f>Angela_2025_Chase1117_Activity_!C1175</f>
        <v>SP BODYHEALTH.COM LL BODYHEALTH.CO FL        07/20</v>
      </c>
      <c r="C1178" s="6" t="str">
        <f>Angela_2025_Chase1117_Activity_!G1175</f>
        <v>Personal - Health</v>
      </c>
      <c r="D1178" s="12">
        <f>Angela_2025_Chase1117_Activity_!D1175</f>
        <v>-188.22</v>
      </c>
    </row>
    <row r="1179" spans="1:4" x14ac:dyDescent="0.25">
      <c r="A1179" s="26">
        <f>Angela_2025_Chase1117_Activity_!B1176</f>
        <v>45859</v>
      </c>
      <c r="B1179" s="6" t="str">
        <f>Angela_2025_Chase1117_Activity_!C1176</f>
        <v>GUMROAD* DALEN SHAWN GUMROAD.COM CA          07/20</v>
      </c>
      <c r="C1179" s="6" t="str">
        <f>Angela_2025_Chase1117_Activity_!G1176</f>
        <v>Personal - Subscription</v>
      </c>
      <c r="D1179" s="12">
        <f>Angela_2025_Chase1117_Activity_!D1176</f>
        <v>-18</v>
      </c>
    </row>
    <row r="1180" spans="1:4" x14ac:dyDescent="0.25">
      <c r="A1180" s="26">
        <f>Angela_2025_Chase1117_Activity_!B1177</f>
        <v>45859</v>
      </c>
      <c r="B1180" s="6" t="str">
        <f>Angela_2025_Chase1117_Activity_!C1177</f>
        <v>UBER   * EATS PENDIN SAN FRANCISCO CA018759  07/19</v>
      </c>
      <c r="C1180" s="6" t="str">
        <f>Angela_2025_Chase1117_Activity_!G1177</f>
        <v>Uber Eats</v>
      </c>
      <c r="D1180" s="12">
        <f>Angela_2025_Chase1117_Activity_!D1177</f>
        <v>-26.96</v>
      </c>
    </row>
    <row r="1181" spans="1:4" x14ac:dyDescent="0.25">
      <c r="A1181" s="26">
        <f>Angela_2025_Chase1117_Activity_!B1178</f>
        <v>45859</v>
      </c>
      <c r="B1181" s="6" t="str">
        <f>Angela_2025_Chase1117_Activity_!C1178</f>
        <v>FANDANGO    * FANDANGO.COM CA                07/20</v>
      </c>
      <c r="C1181" s="6" t="str">
        <f>Angela_2025_Chase1117_Activity_!G1178</f>
        <v>Personal - Entertainment</v>
      </c>
      <c r="D1181" s="12">
        <f>Angela_2025_Chase1117_Activity_!D1178</f>
        <v>-65.36</v>
      </c>
    </row>
    <row r="1182" spans="1:4" x14ac:dyDescent="0.25">
      <c r="A1182" s="26">
        <f>Angela_2025_Chase1117_Activity_!B1179</f>
        <v>45859</v>
      </c>
      <c r="B1182" s="6" t="str">
        <f>Angela_2025_Chase1117_Activity_!C1179</f>
        <v>AMAZON MKTPL*VS2P84E Amzn.com/bill WA        07/19</v>
      </c>
      <c r="C1182" s="6" t="str">
        <f>Angela_2025_Chase1117_Activity_!G1179</f>
        <v>Amazon</v>
      </c>
      <c r="D1182" s="12">
        <f>Angela_2025_Chase1117_Activity_!D1179</f>
        <v>-91.04</v>
      </c>
    </row>
    <row r="1183" spans="1:4" x14ac:dyDescent="0.25">
      <c r="A1183" s="26">
        <f>Angela_2025_Chase1117_Activity_!B1180</f>
        <v>45859</v>
      </c>
      <c r="B1183" s="6" t="str">
        <f>Angela_2025_Chase1117_Activity_!C1180</f>
        <v>SPIRAL STAIRCASE AT THE TOPANGA CA           07/18</v>
      </c>
      <c r="C1183" s="6" t="str">
        <f>Angela_2025_Chase1117_Activity_!G1180</f>
        <v>Personal - Shopping</v>
      </c>
      <c r="D1183" s="12">
        <f>Angela_2025_Chase1117_Activity_!D1180</f>
        <v>-140.28</v>
      </c>
    </row>
    <row r="1184" spans="1:4" x14ac:dyDescent="0.25">
      <c r="A1184" s="26">
        <f>Angela_2025_Chase1117_Activity_!B1181</f>
        <v>45859</v>
      </c>
      <c r="B1184" s="6" t="str">
        <f>Angela_2025_Chase1117_Activity_!C1181</f>
        <v>INN OF THE SEVENTH RAY 310-4551311 CA        07/18</v>
      </c>
      <c r="C1184" s="6" t="str">
        <f>Angela_2025_Chase1117_Activity_!G1181</f>
        <v>Personal Travel</v>
      </c>
      <c r="D1184" s="12">
        <f>Angela_2025_Chase1117_Activity_!D1181</f>
        <v>-356.82</v>
      </c>
    </row>
    <row r="1185" spans="1:4" x14ac:dyDescent="0.25">
      <c r="A1185" s="26">
        <f>Angela_2025_Chase1117_Activity_!B1182</f>
        <v>45859</v>
      </c>
      <c r="B1185" s="6" t="str">
        <f>Angela_2025_Chase1117_Activity_!C1182</f>
        <v>THE GETTY PARKING 310-440-6900 CA            07/20</v>
      </c>
      <c r="C1185" s="6" t="str">
        <f>Angela_2025_Chase1117_Activity_!G1182</f>
        <v>Personal - Entertainment</v>
      </c>
      <c r="D1185" s="12">
        <f>Angela_2025_Chase1117_Activity_!D1182</f>
        <v>-25</v>
      </c>
    </row>
    <row r="1186" spans="1:4" x14ac:dyDescent="0.25">
      <c r="A1186" s="26">
        <f>Angela_2025_Chase1117_Activity_!B1183</f>
        <v>45859</v>
      </c>
      <c r="B1186" s="6" t="str">
        <f>Angela_2025_Chase1117_Activity_!C1183</f>
        <v>GETTY MUSEUM STORE 131-04407059 CA           07/18</v>
      </c>
      <c r="C1186" s="6" t="str">
        <f>Angela_2025_Chase1117_Activity_!G1183</f>
        <v>Personal - Entertainment</v>
      </c>
      <c r="D1186" s="12">
        <f>Angela_2025_Chase1117_Activity_!D1183</f>
        <v>-70.13</v>
      </c>
    </row>
    <row r="1187" spans="1:4" x14ac:dyDescent="0.25">
      <c r="A1187" s="26">
        <f>Angela_2025_Chase1117_Activity_!B1184</f>
        <v>45859</v>
      </c>
      <c r="B1187" s="6" t="str">
        <f>Angela_2025_Chase1117_Activity_!C1184</f>
        <v>Amazon Tips*XL1C30QF Amzn.com/bill WA        07/18</v>
      </c>
      <c r="C1187" s="6" t="str">
        <f>Angela_2025_Chase1117_Activity_!G1184</f>
        <v>Amazon</v>
      </c>
      <c r="D1187" s="12">
        <f>Angela_2025_Chase1117_Activity_!D1184</f>
        <v>-20</v>
      </c>
    </row>
    <row r="1188" spans="1:4" x14ac:dyDescent="0.25">
      <c r="A1188" s="26">
        <f>Angela_2025_Chase1117_Activity_!B1185</f>
        <v>45859</v>
      </c>
      <c r="B1188" s="6" t="str">
        <f>Angela_2025_Chase1117_Activity_!C1185</f>
        <v>GETTYVILLAESP LOS ANGELES CA                 07/18</v>
      </c>
      <c r="C1188" s="6" t="str">
        <f>Angela_2025_Chase1117_Activity_!G1185</f>
        <v>Personal - Entertainment</v>
      </c>
      <c r="D1188" s="12">
        <f>Angela_2025_Chase1117_Activity_!D1185</f>
        <v>-33.409999999999997</v>
      </c>
    </row>
    <row r="1189" spans="1:4" x14ac:dyDescent="0.25">
      <c r="A1189" s="26">
        <f>Angela_2025_Chase1117_Activity_!B1186</f>
        <v>45859</v>
      </c>
      <c r="B1189" s="6" t="str">
        <f>Angela_2025_Chase1117_Activity_!C1186</f>
        <v>MED*CEDARS SINAI MEDI 866-803-1777 CA        07/19</v>
      </c>
      <c r="C1189" s="6" t="str">
        <f>Angela_2025_Chase1117_Activity_!G1186</f>
        <v>Personal - Health</v>
      </c>
      <c r="D1189" s="12">
        <f>Angela_2025_Chase1117_Activity_!D1186</f>
        <v>-1000</v>
      </c>
    </row>
    <row r="1190" spans="1:4" x14ac:dyDescent="0.25">
      <c r="A1190" s="26">
        <f>Angela_2025_Chase1117_Activity_!B1187</f>
        <v>45859</v>
      </c>
      <c r="B1190" s="6" t="str">
        <f>Angela_2025_Chase1117_Activity_!C1187</f>
        <v>Zara.com 212-3551415 NY                      07/19</v>
      </c>
      <c r="C1190" s="6" t="str">
        <f>Angela_2025_Chase1117_Activity_!G1187</f>
        <v>Personal - Shopping</v>
      </c>
      <c r="D1190" s="12">
        <f>Angela_2025_Chase1117_Activity_!D1187</f>
        <v>-609.41999999999996</v>
      </c>
    </row>
    <row r="1191" spans="1:4" x14ac:dyDescent="0.25">
      <c r="A1191" s="26">
        <f>Angela_2025_Chase1117_Activity_!B1188</f>
        <v>45859</v>
      </c>
      <c r="B1191" s="6" t="str">
        <f>Angela_2025_Chase1117_Activity_!C1188</f>
        <v>AMERICAN AIR00173145307 FORT WORTH TX        07/17</v>
      </c>
      <c r="C1191" s="6" t="str">
        <f>Angela_2025_Chase1117_Activity_!G1188</f>
        <v>Personal Travel</v>
      </c>
      <c r="D1191" s="12">
        <f>Angela_2025_Chase1117_Activity_!D1188</f>
        <v>-380.48</v>
      </c>
    </row>
    <row r="1192" spans="1:4" x14ac:dyDescent="0.25">
      <c r="A1192" s="26">
        <f>Angela_2025_Chase1117_Activity_!B1189</f>
        <v>45859</v>
      </c>
      <c r="B1192" s="6" t="str">
        <f>Angela_2025_Chase1117_Activity_!C1189</f>
        <v>Online Transfer from CHK ...1168 transaction#: 25558040698</v>
      </c>
      <c r="C1192" s="6" t="str">
        <f>Angela_2025_Chase1117_Activity_!G1189</f>
        <v>Transfer from DWG Capital Group</v>
      </c>
      <c r="D1192" s="12">
        <f>Angela_2025_Chase1117_Activity_!D1189</f>
        <v>2000</v>
      </c>
    </row>
    <row r="1193" spans="1:4" x14ac:dyDescent="0.25">
      <c r="A1193" s="26">
        <f>Angela_2025_Chase1117_Activity_!B1190</f>
        <v>45856</v>
      </c>
      <c r="B1193" s="6" t="str">
        <f>Angela_2025_Chase1117_Activity_!C1190</f>
        <v>UBER   *TRIP HELP.UB SAN FRANCISCO CA089193  07/18</v>
      </c>
      <c r="C1193" s="6" t="str">
        <f>Angela_2025_Chase1117_Activity_!G1190</f>
        <v>Personal - Uber</v>
      </c>
      <c r="D1193" s="12">
        <f>Angela_2025_Chase1117_Activity_!D1190</f>
        <v>-21.96</v>
      </c>
    </row>
    <row r="1194" spans="1:4" x14ac:dyDescent="0.25">
      <c r="A1194" s="26">
        <f>Angela_2025_Chase1117_Activity_!B1191</f>
        <v>45856</v>
      </c>
      <c r="B1194" s="6" t="str">
        <f>Angela_2025_Chase1117_Activity_!C1191</f>
        <v>UBER   *TRIP HELP.UB SAN FRANCISCO CA369861  07/18</v>
      </c>
      <c r="C1194" s="6" t="str">
        <f>Angela_2025_Chase1117_Activity_!G1191</f>
        <v>Personal - Uber</v>
      </c>
      <c r="D1194" s="12">
        <f>Angela_2025_Chase1117_Activity_!D1191</f>
        <v>-2</v>
      </c>
    </row>
    <row r="1195" spans="1:4" x14ac:dyDescent="0.25">
      <c r="A1195" s="26">
        <f>Angela_2025_Chase1117_Activity_!B1192</f>
        <v>45856</v>
      </c>
      <c r="B1195" s="6" t="str">
        <f>Angela_2025_Chase1117_Activity_!C1192</f>
        <v>Online Payment 25532123469 To MERCEDES-BENZ FINANCIAL SERVICES 07/18</v>
      </c>
      <c r="C1195" s="6" t="str">
        <f>Angela_2025_Chase1117_Activity_!G1192</f>
        <v>Personal - House Bills</v>
      </c>
      <c r="D1195" s="12">
        <f>Angela_2025_Chase1117_Activity_!D1192</f>
        <v>-700</v>
      </c>
    </row>
    <row r="1196" spans="1:4" x14ac:dyDescent="0.25">
      <c r="A1196" s="26">
        <f>Angela_2025_Chase1117_Activity_!B1193</f>
        <v>45856</v>
      </c>
      <c r="B1196" s="6" t="str">
        <f>Angela_2025_Chase1117_Activity_!C1193</f>
        <v>UBER   * EATS PENDIN SAN FRANCISCO CA014371  07/17</v>
      </c>
      <c r="C1196" s="6" t="str">
        <f>Angela_2025_Chase1117_Activity_!G1193</f>
        <v>Uber Eats</v>
      </c>
      <c r="D1196" s="12">
        <f>Angela_2025_Chase1117_Activity_!D1193</f>
        <v>-42.32</v>
      </c>
    </row>
    <row r="1197" spans="1:4" x14ac:dyDescent="0.25">
      <c r="A1197" s="26">
        <f>Angela_2025_Chase1117_Activity_!B1194</f>
        <v>45856</v>
      </c>
      <c r="B1197" s="6" t="str">
        <f>Angela_2025_Chase1117_Activity_!C1194</f>
        <v>ROCKET 171 LOS ANGELES CA            614807  07/17</v>
      </c>
      <c r="C1197" s="6" t="str">
        <f>Angela_2025_Chase1117_Activity_!G1194</f>
        <v>Personal - Shopping</v>
      </c>
      <c r="D1197" s="12">
        <f>Angela_2025_Chase1117_Activity_!D1194</f>
        <v>-53.59</v>
      </c>
    </row>
    <row r="1198" spans="1:4" x14ac:dyDescent="0.25">
      <c r="A1198" s="26">
        <f>Angela_2025_Chase1117_Activity_!B1195</f>
        <v>45856</v>
      </c>
      <c r="B1198" s="6" t="str">
        <f>Angela_2025_Chase1117_Activity_!C1195</f>
        <v>Amazon.com*DU1KH21O3 Amzn.com/bill WA        07/17</v>
      </c>
      <c r="C1198" s="6" t="str">
        <f>Angela_2025_Chase1117_Activity_!G1195</f>
        <v>Amazon</v>
      </c>
      <c r="D1198" s="12">
        <f>Angela_2025_Chase1117_Activity_!D1195</f>
        <v>-62.65</v>
      </c>
    </row>
    <row r="1199" spans="1:4" x14ac:dyDescent="0.25">
      <c r="A1199" s="26">
        <f>Angela_2025_Chase1117_Activity_!B1196</f>
        <v>45856</v>
      </c>
      <c r="B1199" s="6" t="str">
        <f>Angela_2025_Chase1117_Activity_!C1196</f>
        <v>AMAZON MKTPL*2H9JT5Y Amzn.com/bill WA        07/17</v>
      </c>
      <c r="C1199" s="6" t="str">
        <f>Angela_2025_Chase1117_Activity_!G1196</f>
        <v>Amazon</v>
      </c>
      <c r="D1199" s="12">
        <f>Angela_2025_Chase1117_Activity_!D1196</f>
        <v>-27.44</v>
      </c>
    </row>
    <row r="1200" spans="1:4" x14ac:dyDescent="0.25">
      <c r="A1200" s="26">
        <f>Angela_2025_Chase1117_Activity_!B1197</f>
        <v>45856</v>
      </c>
      <c r="B1200" s="6" t="str">
        <f>Angela_2025_Chase1117_Activity_!C1197</f>
        <v>Online Transfer from CHK ...1168 transaction#: 25532010124</v>
      </c>
      <c r="C1200" s="6" t="str">
        <f>Angela_2025_Chase1117_Activity_!G1197</f>
        <v>Transfer from DWG Capital Group</v>
      </c>
      <c r="D1200" s="12">
        <f>Angela_2025_Chase1117_Activity_!D1197</f>
        <v>2000</v>
      </c>
    </row>
    <row r="1201" spans="1:4" x14ac:dyDescent="0.25">
      <c r="A1201" s="26">
        <f>Angela_2025_Chase1117_Activity_!B1198</f>
        <v>45855</v>
      </c>
      <c r="B1201" s="6" t="str">
        <f>Angela_2025_Chase1117_Activity_!C1198</f>
        <v>UBER   * EATS PENDIN SAN FRANCISCO CA085693  07/16</v>
      </c>
      <c r="C1201" s="6" t="str">
        <f>Angela_2025_Chase1117_Activity_!G1198</f>
        <v>Uber Eats</v>
      </c>
      <c r="D1201" s="12">
        <f>Angela_2025_Chase1117_Activity_!D1198</f>
        <v>-29.84</v>
      </c>
    </row>
    <row r="1202" spans="1:4" x14ac:dyDescent="0.25">
      <c r="A1202" s="26">
        <f>Angela_2025_Chase1117_Activity_!B1199</f>
        <v>45855</v>
      </c>
      <c r="B1202" s="6" t="str">
        <f>Angela_2025_Chase1117_Activity_!C1199</f>
        <v>AMAZON MKTPL*C68973X Amzn.com/bill WA        07/16</v>
      </c>
      <c r="C1202" s="6" t="str">
        <f>Angela_2025_Chase1117_Activity_!G1199</f>
        <v>Amazon</v>
      </c>
      <c r="D1202" s="12">
        <f>Angela_2025_Chase1117_Activity_!D1199</f>
        <v>-28.63</v>
      </c>
    </row>
    <row r="1203" spans="1:4" x14ac:dyDescent="0.25">
      <c r="A1203" s="26">
        <f>Angela_2025_Chase1117_Activity_!B1200</f>
        <v>45855</v>
      </c>
      <c r="B1203" s="6" t="str">
        <f>Angela_2025_Chase1117_Activity_!C1200</f>
        <v>AMAZON MKTPL*HI2GO1E Amzn.com/bill WA        07/16</v>
      </c>
      <c r="C1203" s="6" t="str">
        <f>Angela_2025_Chase1117_Activity_!G1200</f>
        <v>Amazon</v>
      </c>
      <c r="D1203" s="12">
        <f>Angela_2025_Chase1117_Activity_!D1200</f>
        <v>-61.29</v>
      </c>
    </row>
    <row r="1204" spans="1:4" x14ac:dyDescent="0.25">
      <c r="A1204" s="26">
        <f>Angela_2025_Chase1117_Activity_!B1201</f>
        <v>45854</v>
      </c>
      <c r="B1204" s="6" t="str">
        <f>Angela_2025_Chase1117_Activity_!C1201</f>
        <v>BOWL STORE 1 LOS ANGELES CA                  07/15</v>
      </c>
      <c r="C1204" s="6" t="str">
        <f>Angela_2025_Chase1117_Activity_!G1201</f>
        <v>Personal - Entertainment</v>
      </c>
      <c r="D1204" s="12">
        <f>Angela_2025_Chase1117_Activity_!D1201</f>
        <v>-70.239999999999995</v>
      </c>
    </row>
    <row r="1205" spans="1:4" x14ac:dyDescent="0.25">
      <c r="A1205" s="26">
        <f>Angela_2025_Chase1117_Activity_!B1202</f>
        <v>45854</v>
      </c>
      <c r="B1205" s="6" t="str">
        <f>Angela_2025_Chase1117_Activity_!C1202</f>
        <v>Zelle payment from EUNICE G CHANG 25506827100</v>
      </c>
      <c r="C1205" s="6" t="str">
        <f>Angela_2025_Chase1117_Activity_!G1202</f>
        <v>Zelle from Eunice G Chang</v>
      </c>
      <c r="D1205" s="12">
        <f>Angela_2025_Chase1117_Activity_!D1202</f>
        <v>175</v>
      </c>
    </row>
    <row r="1206" spans="1:4" x14ac:dyDescent="0.25">
      <c r="A1206" s="26">
        <f>Angela_2025_Chase1117_Activity_!B1203</f>
        <v>45853</v>
      </c>
      <c r="B1206" s="6" t="str">
        <f>Angela_2025_Chase1117_Activity_!C1203</f>
        <v>UBER   * EATS PENDIN SAN FRANCISCO CA074050  07/15</v>
      </c>
      <c r="C1206" s="6" t="str">
        <f>Angela_2025_Chase1117_Activity_!G1203</f>
        <v>Uber Eats</v>
      </c>
      <c r="D1206" s="12">
        <f>Angela_2025_Chase1117_Activity_!D1203</f>
        <v>-133.13</v>
      </c>
    </row>
    <row r="1207" spans="1:4" x14ac:dyDescent="0.25">
      <c r="A1207" s="26">
        <f>Angela_2025_Chase1117_Activity_!B1204</f>
        <v>45853</v>
      </c>
      <c r="B1207" s="6" t="str">
        <f>Angela_2025_Chase1117_Activity_!C1204</f>
        <v>Amazon Tips*NR8HQ7G6 Amzn.com/bill WA        07/14</v>
      </c>
      <c r="C1207" s="6" t="str">
        <f>Angela_2025_Chase1117_Activity_!G1204</f>
        <v>Amazon</v>
      </c>
      <c r="D1207" s="12">
        <f>Angela_2025_Chase1117_Activity_!D1204</f>
        <v>-10</v>
      </c>
    </row>
    <row r="1208" spans="1:4" x14ac:dyDescent="0.25">
      <c r="A1208" s="26">
        <f>Angela_2025_Chase1117_Activity_!B1205</f>
        <v>45853</v>
      </c>
      <c r="B1208" s="6" t="str">
        <f>Angela_2025_Chase1117_Activity_!C1205</f>
        <v>Prime Video Channels amzn.com/bill WA        07/14</v>
      </c>
      <c r="C1208" s="6" t="str">
        <f>Angela_2025_Chase1117_Activity_!G1205</f>
        <v>Amazon</v>
      </c>
      <c r="D1208" s="12">
        <f>Angela_2025_Chase1117_Activity_!D1205</f>
        <v>-16.989999999999998</v>
      </c>
    </row>
    <row r="1209" spans="1:4" x14ac:dyDescent="0.25">
      <c r="A1209" s="26">
        <f>Angela_2025_Chase1117_Activity_!B1206</f>
        <v>45853</v>
      </c>
      <c r="B1209" s="6" t="str">
        <f>Angela_2025_Chase1117_Activity_!C1206</f>
        <v>LADOT PARKING CITATIO 866-561-9742 CA        07/14</v>
      </c>
      <c r="C1209" s="6" t="str">
        <f>Angela_2025_Chase1117_Activity_!G1206</f>
        <v>Personal - Car</v>
      </c>
      <c r="D1209" s="12">
        <f>Angela_2025_Chase1117_Activity_!D1206</f>
        <v>-75</v>
      </c>
    </row>
    <row r="1210" spans="1:4" x14ac:dyDescent="0.25">
      <c r="A1210" s="26">
        <f>Angela_2025_Chase1117_Activity_!B1207</f>
        <v>45853</v>
      </c>
      <c r="B1210" s="6" t="str">
        <f>Angela_2025_Chase1117_Activity_!C1207</f>
        <v>AMAZON PRIME*NR2GU50 Amzn.com/bill WA        07/14</v>
      </c>
      <c r="C1210" s="6" t="str">
        <f>Angela_2025_Chase1117_Activity_!G1207</f>
        <v>Amazon</v>
      </c>
      <c r="D1210" s="12">
        <f>Angela_2025_Chase1117_Activity_!D1207</f>
        <v>-16.45</v>
      </c>
    </row>
    <row r="1211" spans="1:4" x14ac:dyDescent="0.25">
      <c r="A1211" s="26">
        <f>Angela_2025_Chase1117_Activity_!B1208</f>
        <v>45853</v>
      </c>
      <c r="B1211" s="6" t="str">
        <f>Angela_2025_Chase1117_Activity_!C1208</f>
        <v>TCB*MTA METER MTA MC SAN FRANCISCO CA        07/13</v>
      </c>
      <c r="C1211" s="6" t="str">
        <f>Angela_2025_Chase1117_Activity_!G1208</f>
        <v>Personal - Car</v>
      </c>
      <c r="D1211" s="12">
        <f>Angela_2025_Chase1117_Activity_!D1208</f>
        <v>-2.8</v>
      </c>
    </row>
    <row r="1212" spans="1:4" x14ac:dyDescent="0.25">
      <c r="A1212" s="26">
        <f>Angela_2025_Chase1117_Activity_!B1209</f>
        <v>45853</v>
      </c>
      <c r="B1212" s="6" t="str">
        <f>Angela_2025_Chase1117_Activity_!C1209</f>
        <v>TCB*MTA METER MTA MC SAN FRANCISCO CA        07/12</v>
      </c>
      <c r="C1212" s="6" t="str">
        <f>Angela_2025_Chase1117_Activity_!G1209</f>
        <v>Personal - Car</v>
      </c>
      <c r="D1212" s="12">
        <f>Angela_2025_Chase1117_Activity_!D1209</f>
        <v>-17.07</v>
      </c>
    </row>
    <row r="1213" spans="1:4" x14ac:dyDescent="0.25">
      <c r="A1213" s="26">
        <f>Angela_2025_Chase1117_Activity_!B1210</f>
        <v>45852</v>
      </c>
      <c r="B1213" s="6" t="str">
        <f>Angela_2025_Chase1117_Activity_!C1210</f>
        <v>GELSON'S MARKET #29 SANTA MONICA CA  723151  07/14</v>
      </c>
      <c r="C1213" s="6" t="str">
        <f>Angela_2025_Chase1117_Activity_!G1210</f>
        <v>Personal - Food</v>
      </c>
      <c r="D1213" s="12">
        <f>Angela_2025_Chase1117_Activity_!D1210</f>
        <v>-412.95</v>
      </c>
    </row>
    <row r="1214" spans="1:4" x14ac:dyDescent="0.25">
      <c r="A1214" s="26">
        <f>Angela_2025_Chase1117_Activity_!B1211</f>
        <v>45852</v>
      </c>
      <c r="B1214" s="6" t="str">
        <f>Angela_2025_Chase1117_Activity_!C1211</f>
        <v>APPLE COM BILL CUPERTINO CA          200806  07/14</v>
      </c>
      <c r="C1214" s="6" t="str">
        <f>Angela_2025_Chase1117_Activity_!G1211</f>
        <v>Apple</v>
      </c>
      <c r="D1214" s="12">
        <f>Angela_2025_Chase1117_Activity_!D1211</f>
        <v>-59.99</v>
      </c>
    </row>
    <row r="1215" spans="1:4" x14ac:dyDescent="0.25">
      <c r="A1215" s="26">
        <f>Angela_2025_Chase1117_Activity_!B1212</f>
        <v>45852</v>
      </c>
      <c r="B1215" s="6" t="str">
        <f>Angela_2025_Chase1117_Activity_!C1212</f>
        <v>GoFundMe Support for GOFUNDME.COM CA         07/14</v>
      </c>
      <c r="C1215" s="6" t="str">
        <f>Angela_2025_Chase1117_Activity_!G1212</f>
        <v>Donation</v>
      </c>
      <c r="D1215" s="12">
        <f>Angela_2025_Chase1117_Activity_!D1212</f>
        <v>-500</v>
      </c>
    </row>
    <row r="1216" spans="1:4" x14ac:dyDescent="0.25">
      <c r="A1216" s="26">
        <f>Angela_2025_Chase1117_Activity_!B1213</f>
        <v>45852</v>
      </c>
      <c r="B1216" s="6" t="str">
        <f>Angela_2025_Chase1117_Activity_!C1213</f>
        <v>Amazon.com*NR4SM7GZ0 Amzn.com/bill WA        07/13</v>
      </c>
      <c r="C1216" s="6" t="str">
        <f>Angela_2025_Chase1117_Activity_!G1213</f>
        <v>Amazon</v>
      </c>
      <c r="D1216" s="12">
        <f>Angela_2025_Chase1117_Activity_!D1213</f>
        <v>-124.34</v>
      </c>
    </row>
    <row r="1217" spans="1:4" x14ac:dyDescent="0.25">
      <c r="A1217" s="26">
        <f>Angela_2025_Chase1117_Activity_!B1214</f>
        <v>45852</v>
      </c>
      <c r="B1217" s="6" t="str">
        <f>Angela_2025_Chase1117_Activity_!C1214</f>
        <v>AMAZON MKTPL*NR1MK23 Amzn.com/bill WA        07/13</v>
      </c>
      <c r="C1217" s="6" t="str">
        <f>Angela_2025_Chase1117_Activity_!G1214</f>
        <v>Amazon</v>
      </c>
      <c r="D1217" s="12">
        <f>Angela_2025_Chase1117_Activity_!D1214</f>
        <v>-64.63</v>
      </c>
    </row>
    <row r="1218" spans="1:4" x14ac:dyDescent="0.25">
      <c r="A1218" s="26">
        <f>Angela_2025_Chase1117_Activity_!B1215</f>
        <v>45852</v>
      </c>
      <c r="B1218" s="6" t="str">
        <f>Angela_2025_Chase1117_Activity_!C1215</f>
        <v>UBER   * PENDING SAN FRANCISCO CA    027696  07/12</v>
      </c>
      <c r="C1218" s="6" t="str">
        <f>Angela_2025_Chase1117_Activity_!G1215</f>
        <v>Personal - Uber</v>
      </c>
      <c r="D1218" s="12">
        <f>Angela_2025_Chase1117_Activity_!D1215</f>
        <v>-16.95</v>
      </c>
    </row>
    <row r="1219" spans="1:4" x14ac:dyDescent="0.25">
      <c r="A1219" s="26">
        <f>Angela_2025_Chase1117_Activity_!B1216</f>
        <v>45852</v>
      </c>
      <c r="B1219" s="6" t="str">
        <f>Angela_2025_Chase1117_Activity_!C1216</f>
        <v>UBER   * EATS PENDIN SAN FRANCISCO CA079429  07/13</v>
      </c>
      <c r="C1219" s="6" t="str">
        <f>Angela_2025_Chase1117_Activity_!G1216</f>
        <v>Uber Eats</v>
      </c>
      <c r="D1219" s="12">
        <f>Angela_2025_Chase1117_Activity_!D1216</f>
        <v>-38.97</v>
      </c>
    </row>
    <row r="1220" spans="1:4" x14ac:dyDescent="0.25">
      <c r="A1220" s="26">
        <f>Angela_2025_Chase1117_Activity_!B1217</f>
        <v>45852</v>
      </c>
      <c r="B1220" s="6" t="str">
        <f>Angela_2025_Chase1117_Activity_!C1217</f>
        <v>SHAW SHOES SAN FRANCISCO CA                  07/12</v>
      </c>
      <c r="C1220" s="6" t="str">
        <f>Angela_2025_Chase1117_Activity_!G1217</f>
        <v>Personal - Clothing</v>
      </c>
      <c r="D1220" s="12">
        <f>Angela_2025_Chase1117_Activity_!D1217</f>
        <v>-13.04</v>
      </c>
    </row>
    <row r="1221" spans="1:4" x14ac:dyDescent="0.25">
      <c r="A1221" s="26">
        <f>Angela_2025_Chase1117_Activity_!B1218</f>
        <v>45852</v>
      </c>
      <c r="B1221" s="6" t="str">
        <f>Angela_2025_Chase1117_Activity_!C1218</f>
        <v>UBER   *TRIP HELP.UB SAN FRANCISCO CA074780  07/12</v>
      </c>
      <c r="C1221" s="6" t="str">
        <f>Angela_2025_Chase1117_Activity_!G1218</f>
        <v>Personal - Uber</v>
      </c>
      <c r="D1221" s="12">
        <f>Angela_2025_Chase1117_Activity_!D1218</f>
        <v>-10.95</v>
      </c>
    </row>
    <row r="1222" spans="1:4" x14ac:dyDescent="0.25">
      <c r="A1222" s="26">
        <f>Angela_2025_Chase1117_Activity_!B1219</f>
        <v>45852</v>
      </c>
      <c r="B1222" s="6" t="str">
        <f>Angela_2025_Chase1117_Activity_!C1219</f>
        <v>UBER   * PENDING SAN FRANCISCO CA    225997  07/12</v>
      </c>
      <c r="C1222" s="6" t="str">
        <f>Angela_2025_Chase1117_Activity_!G1219</f>
        <v>Personal - Uber</v>
      </c>
      <c r="D1222" s="12">
        <f>Angela_2025_Chase1117_Activity_!D1219</f>
        <v>-19.95</v>
      </c>
    </row>
    <row r="1223" spans="1:4" x14ac:dyDescent="0.25">
      <c r="A1223" s="26">
        <f>Angela_2025_Chase1117_Activity_!B1220</f>
        <v>45852</v>
      </c>
      <c r="B1223" s="6" t="str">
        <f>Angela_2025_Chase1117_Activity_!C1220</f>
        <v>UBER   * PENDING SAN FRANCISCO CA    083298  07/12</v>
      </c>
      <c r="C1223" s="6" t="str">
        <f>Angela_2025_Chase1117_Activity_!G1220</f>
        <v>Personal - Uber</v>
      </c>
      <c r="D1223" s="12">
        <f>Angela_2025_Chase1117_Activity_!D1220</f>
        <v>-19.96</v>
      </c>
    </row>
    <row r="1224" spans="1:4" x14ac:dyDescent="0.25">
      <c r="A1224" s="26">
        <f>Angela_2025_Chase1117_Activity_!B1221</f>
        <v>45852</v>
      </c>
      <c r="B1224" s="6" t="str">
        <f>Angela_2025_Chase1117_Activity_!C1221</f>
        <v>UBER   *TRIP HELP.UB SAN FRANCISCO CA023026  07/12</v>
      </c>
      <c r="C1224" s="6" t="str">
        <f>Angela_2025_Chase1117_Activity_!G1221</f>
        <v>Personal - Uber</v>
      </c>
      <c r="D1224" s="12">
        <f>Angela_2025_Chase1117_Activity_!D1221</f>
        <v>-2</v>
      </c>
    </row>
    <row r="1225" spans="1:4" x14ac:dyDescent="0.25">
      <c r="A1225" s="26">
        <f>Angela_2025_Chase1117_Activity_!B1222</f>
        <v>45852</v>
      </c>
      <c r="B1225" s="6" t="str">
        <f>Angela_2025_Chase1117_Activity_!C1222</f>
        <v>UBER   * PENDING SAN FRANCISCO CA    089606  07/11</v>
      </c>
      <c r="C1225" s="6" t="str">
        <f>Angela_2025_Chase1117_Activity_!G1222</f>
        <v>Personal - Uber</v>
      </c>
      <c r="D1225" s="12">
        <f>Angela_2025_Chase1117_Activity_!D1222</f>
        <v>-10.01</v>
      </c>
    </row>
    <row r="1226" spans="1:4" x14ac:dyDescent="0.25">
      <c r="A1226" s="26">
        <f>Angela_2025_Chase1117_Activity_!B1223</f>
        <v>45852</v>
      </c>
      <c r="B1226" s="6" t="str">
        <f>Angela_2025_Chase1117_Activity_!C1223</f>
        <v>TCB*MTA METER MTA MC SAN FRANCISCO CA        07/12</v>
      </c>
      <c r="C1226" s="6" t="str">
        <f>Angela_2025_Chase1117_Activity_!G1223</f>
        <v>Personal - Car</v>
      </c>
      <c r="D1226" s="12">
        <f>Angela_2025_Chase1117_Activity_!D1223</f>
        <v>-3.35</v>
      </c>
    </row>
    <row r="1227" spans="1:4" x14ac:dyDescent="0.25">
      <c r="A1227" s="26">
        <f>Angela_2025_Chase1117_Activity_!B1224</f>
        <v>45852</v>
      </c>
      <c r="B1227" s="6" t="str">
        <f>Angela_2025_Chase1117_Activity_!C1224</f>
        <v>Online Transfer from CHK ...1168 transaction#: 25474633803</v>
      </c>
      <c r="C1227" s="6" t="str">
        <f>Angela_2025_Chase1117_Activity_!G1224</f>
        <v>Transfer from DWG Capital Group</v>
      </c>
      <c r="D1227" s="12">
        <f>Angela_2025_Chase1117_Activity_!D1224</f>
        <v>3000</v>
      </c>
    </row>
    <row r="1228" spans="1:4" x14ac:dyDescent="0.25">
      <c r="A1228" s="26">
        <f>Angela_2025_Chase1117_Activity_!B1225</f>
        <v>45849</v>
      </c>
      <c r="B1228" s="6" t="str">
        <f>Angela_2025_Chase1117_Activity_!C1225</f>
        <v>UBER   * EATS PENDIN SAN FRANCISCO CA014395  07/10</v>
      </c>
      <c r="C1228" s="6" t="str">
        <f>Angela_2025_Chase1117_Activity_!G1225</f>
        <v>Uber Eats</v>
      </c>
      <c r="D1228" s="12">
        <f>Angela_2025_Chase1117_Activity_!D1225</f>
        <v>-36.4</v>
      </c>
    </row>
    <row r="1229" spans="1:4" x14ac:dyDescent="0.25">
      <c r="A1229" s="26">
        <f>Angela_2025_Chase1117_Activity_!B1226</f>
        <v>45848</v>
      </c>
      <c r="B1229" s="6" t="str">
        <f>Angela_2025_Chase1117_Activity_!C1226</f>
        <v>NON-CHASE ATM FEE-WITH</v>
      </c>
      <c r="C1229" s="6" t="str">
        <f>Angela_2025_Chase1117_Activity_!G1226</f>
        <v>Bank Fees</v>
      </c>
      <c r="D1229" s="12">
        <f>Angela_2025_Chase1117_Activity_!D1226</f>
        <v>-3</v>
      </c>
    </row>
    <row r="1230" spans="1:4" x14ac:dyDescent="0.25">
      <c r="A1230" s="26">
        <f>Angela_2025_Chase1117_Activity_!B1227</f>
        <v>45848</v>
      </c>
      <c r="B1230" s="6" t="str">
        <f>Angela_2025_Chase1117_Activity_!C1227</f>
        <v>CVS/PHARMACY #09099 FREMONT CA       053179  07/10</v>
      </c>
      <c r="C1230" s="6" t="str">
        <f>Angela_2025_Chase1117_Activity_!G1227</f>
        <v>Personal - Health</v>
      </c>
      <c r="D1230" s="12">
        <f>Angela_2025_Chase1117_Activity_!D1227</f>
        <v>-42.92</v>
      </c>
    </row>
    <row r="1231" spans="1:4" x14ac:dyDescent="0.25">
      <c r="A1231" s="26">
        <f>Angela_2025_Chase1117_Activity_!B1228</f>
        <v>45848</v>
      </c>
      <c r="B1231" s="6" t="str">
        <f>Angela_2025_Chase1117_Activity_!C1228</f>
        <v>NON-CHASE ATM WITHDRAW               303329  07/1050940 MES</v>
      </c>
      <c r="C1231" s="6" t="str">
        <f>Angela_2025_Chase1117_Activity_!G1228</f>
        <v>Withdrawal</v>
      </c>
      <c r="D1231" s="12">
        <f>Angela_2025_Chase1117_Activity_!D1228</f>
        <v>-203.95</v>
      </c>
    </row>
    <row r="1232" spans="1:4" x14ac:dyDescent="0.25">
      <c r="A1232" s="26">
        <f>Angela_2025_Chase1117_Activity_!B1229</f>
        <v>45848</v>
      </c>
      <c r="B1232" s="6" t="str">
        <f>Angela_2025_Chase1117_Activity_!C1229</f>
        <v>APPLE.COM/BILL 866-712-7753 CA               07/10</v>
      </c>
      <c r="C1232" s="6" t="str">
        <f>Angela_2025_Chase1117_Activity_!G1229</f>
        <v>Apple</v>
      </c>
      <c r="D1232" s="12">
        <f>Angela_2025_Chase1117_Activity_!D1229</f>
        <v>-12.99</v>
      </c>
    </row>
    <row r="1233" spans="1:4" x14ac:dyDescent="0.25">
      <c r="A1233" s="26">
        <f>Angela_2025_Chase1117_Activity_!B1230</f>
        <v>45848</v>
      </c>
      <c r="B1233" s="6" t="str">
        <f>Angela_2025_Chase1117_Activity_!C1230</f>
        <v>APPLE.COM/BILL 866-712-7753 CA               07/09</v>
      </c>
      <c r="C1233" s="6" t="str">
        <f>Angela_2025_Chase1117_Activity_!G1230</f>
        <v>Apple</v>
      </c>
      <c r="D1233" s="12">
        <f>Angela_2025_Chase1117_Activity_!D1230</f>
        <v>-59.99</v>
      </c>
    </row>
    <row r="1234" spans="1:4" x14ac:dyDescent="0.25">
      <c r="A1234" s="26">
        <f>Angela_2025_Chase1117_Activity_!B1231</f>
        <v>45847</v>
      </c>
      <c r="B1234" s="6" t="str">
        <f>Angela_2025_Chase1117_Activity_!C1231</f>
        <v>APPLE.COM/BILL 866-712-7753 CA               07/09</v>
      </c>
      <c r="C1234" s="6" t="str">
        <f>Angela_2025_Chase1117_Activity_!G1231</f>
        <v>Apple</v>
      </c>
      <c r="D1234" s="12">
        <f>Angela_2025_Chase1117_Activity_!D1231</f>
        <v>-6.99</v>
      </c>
    </row>
    <row r="1235" spans="1:4" x14ac:dyDescent="0.25">
      <c r="A1235" s="26">
        <f>Angela_2025_Chase1117_Activity_!B1232</f>
        <v>45847</v>
      </c>
      <c r="B1235" s="6" t="str">
        <f>Angela_2025_Chase1117_Activity_!C1232</f>
        <v>Zara.com 212-3551415 NY                      07/09</v>
      </c>
      <c r="C1235" s="6" t="str">
        <f>Angela_2025_Chase1117_Activity_!G1232</f>
        <v>Personal - Shopping</v>
      </c>
      <c r="D1235" s="12">
        <f>Angela_2025_Chase1117_Activity_!D1232</f>
        <v>-482.44</v>
      </c>
    </row>
    <row r="1236" spans="1:4" x14ac:dyDescent="0.25">
      <c r="A1236" s="26">
        <f>Angela_2025_Chase1117_Activity_!B1233</f>
        <v>45846</v>
      </c>
      <c r="B1236" s="6" t="str">
        <f>Angela_2025_Chase1117_Activity_!C1233</f>
        <v>UBER   * EATS PENDIN SAN FRANCISCO CA082856  07/07</v>
      </c>
      <c r="C1236" s="6" t="str">
        <f>Angela_2025_Chase1117_Activity_!G1233</f>
        <v>Uber Eats</v>
      </c>
      <c r="D1236" s="12">
        <f>Angela_2025_Chase1117_Activity_!D1233</f>
        <v>-55.12</v>
      </c>
    </row>
    <row r="1237" spans="1:4" x14ac:dyDescent="0.25">
      <c r="A1237" s="26">
        <f>Angela_2025_Chase1117_Activity_!B1234</f>
        <v>45846</v>
      </c>
      <c r="B1237" s="6" t="str">
        <f>Angela_2025_Chase1117_Activity_!C1234</f>
        <v>Prime Video Channels amzn.com/bill WA        07/07</v>
      </c>
      <c r="C1237" s="6" t="str">
        <f>Angela_2025_Chase1117_Activity_!G1234</f>
        <v>Amazon</v>
      </c>
      <c r="D1237" s="12">
        <f>Angela_2025_Chase1117_Activity_!D1234</f>
        <v>-13.99</v>
      </c>
    </row>
    <row r="1238" spans="1:4" x14ac:dyDescent="0.25">
      <c r="A1238" s="26">
        <f>Angela_2025_Chase1117_Activity_!B1235</f>
        <v>45846</v>
      </c>
      <c r="B1238" s="6" t="str">
        <f>Angela_2025_Chase1117_Activity_!C1235</f>
        <v>AMAZON MKTPL*NL3CN56 Amzn.com/bill WA        07/08</v>
      </c>
      <c r="C1238" s="6" t="str">
        <f>Angela_2025_Chase1117_Activity_!G1235</f>
        <v>Amazon</v>
      </c>
      <c r="D1238" s="12">
        <f>Angela_2025_Chase1117_Activity_!D1235</f>
        <v>-8.34</v>
      </c>
    </row>
    <row r="1239" spans="1:4" x14ac:dyDescent="0.25">
      <c r="A1239" s="26">
        <f>Angela_2025_Chase1117_Activity_!B1236</f>
        <v>45846</v>
      </c>
      <c r="B1239" s="6" t="str">
        <f>Angela_2025_Chase1117_Activity_!C1236</f>
        <v>AMAZON MKTPL*NL8GD2L Amzn.com/bill WA        07/07</v>
      </c>
      <c r="C1239" s="6" t="str">
        <f>Angela_2025_Chase1117_Activity_!G1236</f>
        <v>Amazon</v>
      </c>
      <c r="D1239" s="12">
        <f>Angela_2025_Chase1117_Activity_!D1236</f>
        <v>-16.440000000000001</v>
      </c>
    </row>
    <row r="1240" spans="1:4" x14ac:dyDescent="0.25">
      <c r="A1240" s="26">
        <f>Angela_2025_Chase1117_Activity_!B1237</f>
        <v>45846</v>
      </c>
      <c r="B1240" s="6" t="str">
        <f>Angela_2025_Chase1117_Activity_!C1237</f>
        <v>AMAZON MKTPL*NL9V20C Amzn.com/bill WA        07/07</v>
      </c>
      <c r="C1240" s="6" t="str">
        <f>Angela_2025_Chase1117_Activity_!G1237</f>
        <v>Amazon</v>
      </c>
      <c r="D1240" s="12">
        <f>Angela_2025_Chase1117_Activity_!D1237</f>
        <v>-58.7</v>
      </c>
    </row>
    <row r="1241" spans="1:4" x14ac:dyDescent="0.25">
      <c r="A1241" s="26">
        <f>Angela_2025_Chase1117_Activity_!B1238</f>
        <v>45845</v>
      </c>
      <c r="B1241" s="6" t="str">
        <f>Angela_2025_Chase1117_Activity_!C1238</f>
        <v>Amazon.com*NL25G5O80 Amzn.com/bill WA        07/07</v>
      </c>
      <c r="C1241" s="6" t="str">
        <f>Angela_2025_Chase1117_Activity_!G1238</f>
        <v>Amazon</v>
      </c>
      <c r="D1241" s="12">
        <f>Angela_2025_Chase1117_Activity_!D1238</f>
        <v>-36.76</v>
      </c>
    </row>
    <row r="1242" spans="1:4" x14ac:dyDescent="0.25">
      <c r="A1242" s="26">
        <f>Angela_2025_Chase1117_Activity_!B1239</f>
        <v>45845</v>
      </c>
      <c r="B1242" s="6" t="str">
        <f>Angela_2025_Chase1117_Activity_!C1239</f>
        <v>UBER   * EATS PENDIN SAN FRANCISCO CA017454  07/06</v>
      </c>
      <c r="C1242" s="6" t="str">
        <f>Angela_2025_Chase1117_Activity_!G1239</f>
        <v>Uber Eats</v>
      </c>
      <c r="D1242" s="12">
        <f>Angela_2025_Chase1117_Activity_!D1239</f>
        <v>-43.94</v>
      </c>
    </row>
    <row r="1243" spans="1:4" x14ac:dyDescent="0.25">
      <c r="A1243" s="26">
        <f>Angela_2025_Chase1117_Activity_!B1240</f>
        <v>45845</v>
      </c>
      <c r="B1243" s="6" t="str">
        <f>Angela_2025_Chase1117_Activity_!C1240</f>
        <v>PAVILIONS #2105 MARINA DEL RE CA             07/06</v>
      </c>
      <c r="C1243" s="6" t="str">
        <f>Angela_2025_Chase1117_Activity_!G1240</f>
        <v>Personal - Food</v>
      </c>
      <c r="D1243" s="12">
        <f>Angela_2025_Chase1117_Activity_!D1240</f>
        <v>-662.59</v>
      </c>
    </row>
    <row r="1244" spans="1:4" x14ac:dyDescent="0.25">
      <c r="A1244" s="26">
        <f>Angela_2025_Chase1117_Activity_!B1241</f>
        <v>45845</v>
      </c>
      <c r="B1244" s="6" t="str">
        <f>Angela_2025_Chase1117_Activity_!C1241</f>
        <v>AMAZON MKTPL*N30HP3W Amzn.com/bill WA        07/07</v>
      </c>
      <c r="C1244" s="6" t="str">
        <f>Angela_2025_Chase1117_Activity_!G1241</f>
        <v>Amazon</v>
      </c>
      <c r="D1244" s="12">
        <f>Angela_2025_Chase1117_Activity_!D1241</f>
        <v>-22.99</v>
      </c>
    </row>
    <row r="1245" spans="1:4" x14ac:dyDescent="0.25">
      <c r="A1245" s="26">
        <f>Angela_2025_Chase1117_Activity_!B1242</f>
        <v>45845</v>
      </c>
      <c r="B1245" s="6" t="str">
        <f>Angela_2025_Chase1117_Activity_!C1242</f>
        <v>GOOGLE *YouTubePremi g.co/helppay# CA        07/06</v>
      </c>
      <c r="C1245" s="6" t="str">
        <f>Angela_2025_Chase1117_Activity_!G1242</f>
        <v>YouTube Premium</v>
      </c>
      <c r="D1245" s="12">
        <f>Angela_2025_Chase1117_Activity_!D1242</f>
        <v>-13.99</v>
      </c>
    </row>
    <row r="1246" spans="1:4" x14ac:dyDescent="0.25">
      <c r="A1246" s="26">
        <f>Angela_2025_Chase1117_Activity_!B1243</f>
        <v>45845</v>
      </c>
      <c r="B1246" s="6" t="str">
        <f>Angela_2025_Chase1117_Activity_!C1243</f>
        <v>HWB TAPIN2 1 LOS ANGELES CA                  07/05</v>
      </c>
      <c r="C1246" s="6" t="str">
        <f>Angela_2025_Chase1117_Activity_!G1243</f>
        <v>Personal - Entertainment</v>
      </c>
      <c r="D1246" s="12">
        <f>Angela_2025_Chase1117_Activity_!D1243</f>
        <v>-18.989999999999998</v>
      </c>
    </row>
    <row r="1247" spans="1:4" x14ac:dyDescent="0.25">
      <c r="A1247" s="26">
        <f>Angela_2025_Chase1117_Activity_!B1244</f>
        <v>45845</v>
      </c>
      <c r="B1247" s="6" t="str">
        <f>Angela_2025_Chase1117_Activity_!C1244</f>
        <v>PSYCHOLOGY TODAY PSYCHOLOGYTOD SD            07/06</v>
      </c>
      <c r="C1247" s="6" t="str">
        <f>Angela_2025_Chase1117_Activity_!G1244</f>
        <v>Personal - Subscription</v>
      </c>
      <c r="D1247" s="12">
        <f>Angela_2025_Chase1117_Activity_!D1244</f>
        <v>-29.95</v>
      </c>
    </row>
    <row r="1248" spans="1:4" x14ac:dyDescent="0.25">
      <c r="A1248" s="26">
        <f>Angela_2025_Chase1117_Activity_!B1245</f>
        <v>45845</v>
      </c>
      <c r="B1248" s="6" t="str">
        <f>Angela_2025_Chase1117_Activity_!C1245</f>
        <v>ELEVENLABS.IO ELEVENLABS.IO NY               07/06</v>
      </c>
      <c r="C1248" s="6" t="str">
        <f>Angela_2025_Chase1117_Activity_!G1245</f>
        <v>Personal - Subscription</v>
      </c>
      <c r="D1248" s="12">
        <f>Angela_2025_Chase1117_Activity_!D1245</f>
        <v>-22</v>
      </c>
    </row>
    <row r="1249" spans="1:4" x14ac:dyDescent="0.25">
      <c r="A1249" s="26">
        <f>Angela_2025_Chase1117_Activity_!B1246</f>
        <v>45845</v>
      </c>
      <c r="B1249" s="6" t="str">
        <f>Angela_2025_Chase1117_Activity_!C1246</f>
        <v>Zelle payment to Aaron Frankel JPM99bepuub8</v>
      </c>
      <c r="C1249" s="6" t="str">
        <f>Angela_2025_Chase1117_Activity_!G1246</f>
        <v>Zelle to Aaron Frankel</v>
      </c>
      <c r="D1249" s="12">
        <f>Angela_2025_Chase1117_Activity_!D1246</f>
        <v>-500</v>
      </c>
    </row>
    <row r="1250" spans="1:4" x14ac:dyDescent="0.25">
      <c r="A1250" s="26">
        <f>Angela_2025_Chase1117_Activity_!B1247</f>
        <v>45845</v>
      </c>
      <c r="B1250" s="6" t="str">
        <f>Angela_2025_Chase1117_Activity_!C1247</f>
        <v>CORPUS CHRISTI WATERSH 361-9470631 TX        07/05</v>
      </c>
      <c r="C1250" s="6" t="str">
        <f>Angela_2025_Chase1117_Activity_!G1247</f>
        <v>Personal - House Bills</v>
      </c>
      <c r="D1250" s="12">
        <f>Angela_2025_Chase1117_Activity_!D1247</f>
        <v>-100</v>
      </c>
    </row>
    <row r="1251" spans="1:4" x14ac:dyDescent="0.25">
      <c r="A1251" s="26">
        <f>Angela_2025_Chase1117_Activity_!B1248</f>
        <v>45845</v>
      </c>
      <c r="B1251" s="6" t="str">
        <f>Angela_2025_Chase1117_Activity_!C1248</f>
        <v>Amazon Tips*NL6HZ83A Amzn.com/bill WA        07/05</v>
      </c>
      <c r="C1251" s="6" t="str">
        <f>Angela_2025_Chase1117_Activity_!G1248</f>
        <v>Amazon</v>
      </c>
      <c r="D1251" s="12">
        <f>Angela_2025_Chase1117_Activity_!D1248</f>
        <v>-20</v>
      </c>
    </row>
    <row r="1252" spans="1:4" x14ac:dyDescent="0.25">
      <c r="A1252" s="26">
        <f>Angela_2025_Chase1117_Activity_!B1249</f>
        <v>45845</v>
      </c>
      <c r="B1252" s="6" t="str">
        <f>Angela_2025_Chase1117_Activity_!C1249</f>
        <v>AMAZON MKTPL*N36Z20I Amzn.com/bill WA        07/06</v>
      </c>
      <c r="C1252" s="6" t="str">
        <f>Angela_2025_Chase1117_Activity_!G1249</f>
        <v>Amazon</v>
      </c>
      <c r="D1252" s="12">
        <f>Angela_2025_Chase1117_Activity_!D1249</f>
        <v>-200.71</v>
      </c>
    </row>
    <row r="1253" spans="1:4" x14ac:dyDescent="0.25">
      <c r="A1253" s="26">
        <f>Angela_2025_Chase1117_Activity_!B1250</f>
        <v>45845</v>
      </c>
      <c r="B1253" s="6" t="str">
        <f>Angela_2025_Chase1117_Activity_!C1250</f>
        <v>AMAZON MKTPL*N38XH9W Amzn.com/bill WA        07/07</v>
      </c>
      <c r="C1253" s="6" t="str">
        <f>Angela_2025_Chase1117_Activity_!G1250</f>
        <v>Amazon</v>
      </c>
      <c r="D1253" s="12">
        <f>Angela_2025_Chase1117_Activity_!D1250</f>
        <v>-14.99</v>
      </c>
    </row>
    <row r="1254" spans="1:4" x14ac:dyDescent="0.25">
      <c r="A1254" s="26">
        <f>Angela_2025_Chase1117_Activity_!B1251</f>
        <v>45845</v>
      </c>
      <c r="B1254" s="6" t="str">
        <f>Angela_2025_Chase1117_Activity_!C1251</f>
        <v>IC* INSTACART INSTACART.COM CA               07/05</v>
      </c>
      <c r="C1254" s="6" t="str">
        <f>Angela_2025_Chase1117_Activity_!G1251</f>
        <v>Personal - Food</v>
      </c>
      <c r="D1254" s="12">
        <f>Angela_2025_Chase1117_Activity_!D1251</f>
        <v>-166.37</v>
      </c>
    </row>
    <row r="1255" spans="1:4" x14ac:dyDescent="0.25">
      <c r="A1255" s="26">
        <f>Angela_2025_Chase1117_Activity_!B1252</f>
        <v>45845</v>
      </c>
      <c r="B1255" s="6" t="str">
        <f>Angela_2025_Chase1117_Activity_!C1252</f>
        <v>AMAZON MKTPL*N30GE42 Amzn.com/bill WA        07/05</v>
      </c>
      <c r="C1255" s="6" t="str">
        <f>Angela_2025_Chase1117_Activity_!G1252</f>
        <v>Amazon</v>
      </c>
      <c r="D1255" s="12">
        <f>Angela_2025_Chase1117_Activity_!D1252</f>
        <v>-79.81</v>
      </c>
    </row>
    <row r="1256" spans="1:4" x14ac:dyDescent="0.25">
      <c r="A1256" s="26">
        <f>Angela_2025_Chase1117_Activity_!B1253</f>
        <v>45845</v>
      </c>
      <c r="B1256" s="6" t="str">
        <f>Angela_2025_Chase1117_Activity_!C1253</f>
        <v>AMAZON MKTPL*N35E165 Amzn.com/bill WA        07/04</v>
      </c>
      <c r="C1256" s="6" t="str">
        <f>Angela_2025_Chase1117_Activity_!G1253</f>
        <v>Amazon</v>
      </c>
      <c r="D1256" s="12">
        <f>Angela_2025_Chase1117_Activity_!D1253</f>
        <v>-64.78</v>
      </c>
    </row>
    <row r="1257" spans="1:4" x14ac:dyDescent="0.25">
      <c r="A1257" s="26">
        <f>Angela_2025_Chase1117_Activity_!B1254</f>
        <v>45845</v>
      </c>
      <c r="B1257" s="6" t="str">
        <f>Angela_2025_Chase1117_Activity_!C1254</f>
        <v>AMAZON MKTPL*N39VR0B Amzn.com/bill WA        07/04</v>
      </c>
      <c r="C1257" s="6" t="str">
        <f>Angela_2025_Chase1117_Activity_!G1254</f>
        <v>Amazon</v>
      </c>
      <c r="D1257" s="12">
        <f>Angela_2025_Chase1117_Activity_!D1254</f>
        <v>-32.36</v>
      </c>
    </row>
    <row r="1258" spans="1:4" x14ac:dyDescent="0.25">
      <c r="A1258" s="26">
        <f>Angela_2025_Chase1117_Activity_!B1255</f>
        <v>45845</v>
      </c>
      <c r="B1258" s="6" t="str">
        <f>Angela_2025_Chase1117_Activity_!C1255</f>
        <v>UNITED      01643106062 UNITED.COM TX        07/03</v>
      </c>
      <c r="C1258" s="6" t="str">
        <f>Angela_2025_Chase1117_Activity_!G1255</f>
        <v>Personal Travel</v>
      </c>
      <c r="D1258" s="12">
        <f>Angela_2025_Chase1117_Activity_!D1255</f>
        <v>-19.559999999999999</v>
      </c>
    </row>
    <row r="1259" spans="1:4" x14ac:dyDescent="0.25">
      <c r="A1259" s="26">
        <f>Angela_2025_Chase1117_Activity_!B1256</f>
        <v>45845</v>
      </c>
      <c r="B1259" s="6" t="str">
        <f>Angela_2025_Chase1117_Activity_!C1256</f>
        <v>Amazon.com*NL47E3LV2 Amzn.com/bill WA        07/04</v>
      </c>
      <c r="C1259" s="6" t="str">
        <f>Angela_2025_Chase1117_Activity_!G1256</f>
        <v>Amazon</v>
      </c>
      <c r="D1259" s="12">
        <f>Angela_2025_Chase1117_Activity_!D1256</f>
        <v>-82.1</v>
      </c>
    </row>
    <row r="1260" spans="1:4" x14ac:dyDescent="0.25">
      <c r="A1260" s="26">
        <f>Angela_2025_Chase1117_Activity_!B1257</f>
        <v>45845</v>
      </c>
      <c r="B1260" s="6" t="str">
        <f>Angela_2025_Chase1117_Activity_!C1257</f>
        <v>AMAZON MKTPL*NL20J64 Amzn.com/bill WA        07/04</v>
      </c>
      <c r="C1260" s="6" t="str">
        <f>Angela_2025_Chase1117_Activity_!G1257</f>
        <v>Amazon</v>
      </c>
      <c r="D1260" s="12">
        <f>Angela_2025_Chase1117_Activity_!D1257</f>
        <v>-8.77</v>
      </c>
    </row>
    <row r="1261" spans="1:4" x14ac:dyDescent="0.25">
      <c r="A1261" s="26">
        <f>Angela_2025_Chase1117_Activity_!B1258</f>
        <v>45845</v>
      </c>
      <c r="B1261" s="6" t="str">
        <f>Angela_2025_Chase1117_Activity_!C1258</f>
        <v>AMAZON MKTPL*N38RT7V Amzn.com/bill WA        07/03</v>
      </c>
      <c r="C1261" s="6" t="str">
        <f>Angela_2025_Chase1117_Activity_!G1258</f>
        <v>Amazon</v>
      </c>
      <c r="D1261" s="12">
        <f>Angela_2025_Chase1117_Activity_!D1258</f>
        <v>-32.909999999999997</v>
      </c>
    </row>
    <row r="1262" spans="1:4" x14ac:dyDescent="0.25">
      <c r="A1262" s="26">
        <f>Angela_2025_Chase1117_Activity_!B1259</f>
        <v>45845</v>
      </c>
      <c r="B1262" s="6" t="str">
        <f>Angela_2025_Chase1117_Activity_!C1259</f>
        <v>APPLE.COM/BILL 866-712-7753 CA               07/03</v>
      </c>
      <c r="C1262" s="6" t="str">
        <f>Angela_2025_Chase1117_Activity_!G1259</f>
        <v>Apple</v>
      </c>
      <c r="D1262" s="12">
        <f>Angela_2025_Chase1117_Activity_!D1259</f>
        <v>-3.99</v>
      </c>
    </row>
    <row r="1263" spans="1:4" x14ac:dyDescent="0.25">
      <c r="A1263" s="26">
        <f>Angela_2025_Chase1117_Activity_!B1260</f>
        <v>45845</v>
      </c>
      <c r="B1263" s="6" t="str">
        <f>Angela_2025_Chase1117_Activity_!C1260</f>
        <v>AMAZON MKTPL*N30KX2W Amzn.com/bill WA        07/03</v>
      </c>
      <c r="C1263" s="6" t="str">
        <f>Angela_2025_Chase1117_Activity_!G1260</f>
        <v>Amazon</v>
      </c>
      <c r="D1263" s="12">
        <f>Angela_2025_Chase1117_Activity_!D1260</f>
        <v>-32.909999999999997</v>
      </c>
    </row>
    <row r="1264" spans="1:4" x14ac:dyDescent="0.25">
      <c r="A1264" s="26">
        <f>Angela_2025_Chase1117_Activity_!B1261</f>
        <v>45845</v>
      </c>
      <c r="B1264" s="6" t="str">
        <f>Angela_2025_Chase1117_Activity_!C1261</f>
        <v>Zelle payment from ROSE LI 25400716551</v>
      </c>
      <c r="C1264" s="6" t="str">
        <f>Angela_2025_Chase1117_Activity_!G1261</f>
        <v>Zelle from Rose Li</v>
      </c>
      <c r="D1264" s="12">
        <f>Angela_2025_Chase1117_Activity_!D1261</f>
        <v>150</v>
      </c>
    </row>
    <row r="1265" spans="1:4" x14ac:dyDescent="0.25">
      <c r="A1265" s="26">
        <f>Angela_2025_Chase1117_Activity_!B1262</f>
        <v>45845</v>
      </c>
      <c r="B1265" s="6" t="str">
        <f>Angela_2025_Chase1117_Activity_!C1262</f>
        <v>Online Transfer from CHK ...1168 transaction#: 25383580147</v>
      </c>
      <c r="C1265" s="6" t="str">
        <f>Angela_2025_Chase1117_Activity_!G1262</f>
        <v>Transfer from DWG Capital Group</v>
      </c>
      <c r="D1265" s="12">
        <f>Angela_2025_Chase1117_Activity_!D1262</f>
        <v>2000</v>
      </c>
    </row>
    <row r="1266" spans="1:4" x14ac:dyDescent="0.25">
      <c r="A1266" s="26">
        <f>Angela_2025_Chase1117_Activity_!B1263</f>
        <v>45845</v>
      </c>
      <c r="B1266" s="6" t="str">
        <f>Angela_2025_Chase1117_Activity_!C1263</f>
        <v>UNITED      01643106062 UNITED.COM TX        07/04</v>
      </c>
      <c r="C1266" s="6" t="str">
        <f>Angela_2025_Chase1117_Activity_!G1263</f>
        <v>Personal Travel</v>
      </c>
      <c r="D1266" s="12">
        <f>Angela_2025_Chase1117_Activity_!D1263</f>
        <v>19.559999999999999</v>
      </c>
    </row>
    <row r="1267" spans="1:4" x14ac:dyDescent="0.25">
      <c r="A1267" s="26">
        <f>Angela_2025_Chase1117_Activity_!B1264</f>
        <v>45841</v>
      </c>
      <c r="B1267" s="6" t="str">
        <f>Angela_2025_Chase1117_Activity_!C1264</f>
        <v>CVS/PHARMACY #09493 MAR VISTA CA     008109  07/03</v>
      </c>
      <c r="C1267" s="6" t="str">
        <f>Angela_2025_Chase1117_Activity_!G1264</f>
        <v>Personal - Health</v>
      </c>
      <c r="D1267" s="12">
        <f>Angela_2025_Chase1117_Activity_!D1264</f>
        <v>-65.83</v>
      </c>
    </row>
    <row r="1268" spans="1:4" x14ac:dyDescent="0.25">
      <c r="A1268" s="26">
        <f>Angela_2025_Chase1117_Activity_!B1265</f>
        <v>45841</v>
      </c>
      <c r="B1268" s="6" t="str">
        <f>Angela_2025_Chase1117_Activity_!C1265</f>
        <v>ATM WITHDRAWAL                       004265  07/0312335 VEN</v>
      </c>
      <c r="C1268" s="6" t="str">
        <f>Angela_2025_Chase1117_Activity_!G1265</f>
        <v>Withdrawal</v>
      </c>
      <c r="D1268" s="12">
        <f>Angela_2025_Chase1117_Activity_!D1265</f>
        <v>-500</v>
      </c>
    </row>
    <row r="1269" spans="1:4" x14ac:dyDescent="0.25">
      <c r="A1269" s="26">
        <f>Angela_2025_Chase1117_Activity_!B1266</f>
        <v>45841</v>
      </c>
      <c r="B1269" s="6" t="str">
        <f>Angela_2025_Chase1117_Activity_!C1266</f>
        <v>SP SFERRA SFERRA.COM NJ                      07/03</v>
      </c>
      <c r="C1269" s="6" t="str">
        <f>Angela_2025_Chase1117_Activity_!G1266</f>
        <v>Personal - Shopping</v>
      </c>
      <c r="D1269" s="12">
        <f>Angela_2025_Chase1117_Activity_!D1266</f>
        <v>-350.96</v>
      </c>
    </row>
    <row r="1270" spans="1:4" x14ac:dyDescent="0.25">
      <c r="A1270" s="26">
        <f>Angela_2025_Chase1117_Activity_!B1267</f>
        <v>45841</v>
      </c>
      <c r="B1270" s="6" t="str">
        <f>Angela_2025_Chase1117_Activity_!C1267</f>
        <v>SEE TICKETS* THIS CH SEETICKETS.US CA        07/02</v>
      </c>
      <c r="C1270" s="6" t="str">
        <f>Angela_2025_Chase1117_Activity_!G1267</f>
        <v>Personal - Entertainment</v>
      </c>
      <c r="D1270" s="12">
        <f>Angela_2025_Chase1117_Activity_!D1267</f>
        <v>-58.86</v>
      </c>
    </row>
    <row r="1271" spans="1:4" x14ac:dyDescent="0.25">
      <c r="A1271" s="26">
        <f>Angela_2025_Chase1117_Activity_!B1268</f>
        <v>45841</v>
      </c>
      <c r="B1271" s="6" t="str">
        <f>Angela_2025_Chase1117_Activity_!C1268</f>
        <v>AMAZON MKTPL*N34PM6J Amzn.com/bill WA        07/02</v>
      </c>
      <c r="C1271" s="6" t="str">
        <f>Angela_2025_Chase1117_Activity_!G1268</f>
        <v>Amazon</v>
      </c>
      <c r="D1271" s="12">
        <f>Angela_2025_Chase1117_Activity_!D1268</f>
        <v>-133.78</v>
      </c>
    </row>
    <row r="1272" spans="1:4" x14ac:dyDescent="0.25">
      <c r="A1272" s="26">
        <f>Angela_2025_Chase1117_Activity_!B1269</f>
        <v>45841</v>
      </c>
      <c r="B1272" s="6" t="str">
        <f>Angela_2025_Chase1117_Activity_!C1269</f>
        <v>AMAZON MKTPL*N388283 Amzn.com/bill WA        07/02</v>
      </c>
      <c r="C1272" s="6" t="str">
        <f>Angela_2025_Chase1117_Activity_!G1269</f>
        <v>Amazon</v>
      </c>
      <c r="D1272" s="12">
        <f>Angela_2025_Chase1117_Activity_!D1269</f>
        <v>-10.96</v>
      </c>
    </row>
    <row r="1273" spans="1:4" x14ac:dyDescent="0.25">
      <c r="A1273" s="26">
        <f>Angela_2025_Chase1117_Activity_!B1270</f>
        <v>45841</v>
      </c>
      <c r="B1273" s="6" t="str">
        <f>Angela_2025_Chase1117_Activity_!C1270</f>
        <v>ATM CHECK DEPOSIT 07/03 12335 VENICE BLVD LOS ANGELES CA</v>
      </c>
      <c r="C1273" s="6" t="str">
        <f>Angela_2025_Chase1117_Activity_!G1270</f>
        <v>Deposit</v>
      </c>
      <c r="D1273" s="12">
        <f>Angela_2025_Chase1117_Activity_!D1270</f>
        <v>1050</v>
      </c>
    </row>
    <row r="1274" spans="1:4" x14ac:dyDescent="0.25">
      <c r="A1274" s="26">
        <f>Angela_2025_Chase1117_Activity_!B1271</f>
        <v>45840</v>
      </c>
      <c r="B1274" s="6" t="str">
        <f>Angela_2025_Chase1117_Activity_!C1271</f>
        <v>Online Payment 25333609985 To SAFECO INSURANCE COMPANY 07/02</v>
      </c>
      <c r="C1274" s="6" t="str">
        <f>Angela_2025_Chase1117_Activity_!G1271</f>
        <v>Personal - House Bills</v>
      </c>
      <c r="D1274" s="12">
        <f>Angela_2025_Chase1117_Activity_!D1271</f>
        <v>-120</v>
      </c>
    </row>
    <row r="1275" spans="1:4" x14ac:dyDescent="0.25">
      <c r="A1275" s="26">
        <f>Angela_2025_Chase1117_Activity_!B1272</f>
        <v>45840</v>
      </c>
      <c r="B1275" s="6" t="str">
        <f>Angela_2025_Chase1117_Activity_!C1272</f>
        <v>Online Payment 25333600409 To MERCEDES BENZ FINANCIAL 07/02</v>
      </c>
      <c r="C1275" s="6" t="str">
        <f>Angela_2025_Chase1117_Activity_!G1272</f>
        <v>Personal - House Bills</v>
      </c>
      <c r="D1275" s="12">
        <f>Angela_2025_Chase1117_Activity_!D1272</f>
        <v>-412</v>
      </c>
    </row>
    <row r="1276" spans="1:4" x14ac:dyDescent="0.25">
      <c r="A1276" s="26">
        <f>Angela_2025_Chase1117_Activity_!B1273</f>
        <v>45840</v>
      </c>
      <c r="B1276" s="6" t="str">
        <f>Angela_2025_Chase1117_Activity_!C1273</f>
        <v>Online Payment 25333582907 To AMERICAN EDUCATION SERVICES 07/02</v>
      </c>
      <c r="C1276" s="6" t="str">
        <f>Angela_2025_Chase1117_Activity_!G1273</f>
        <v>Personal - House Bills</v>
      </c>
      <c r="D1276" s="12">
        <f>Angela_2025_Chase1117_Activity_!D1273</f>
        <v>-320</v>
      </c>
    </row>
    <row r="1277" spans="1:4" x14ac:dyDescent="0.25">
      <c r="A1277" s="26">
        <f>Angela_2025_Chase1117_Activity_!B1274</f>
        <v>45840</v>
      </c>
      <c r="B1277" s="6" t="str">
        <f>Angela_2025_Chase1117_Activity_!C1274</f>
        <v>Online Payment 25333588488 To MERCEDES-BENZ FINANCIAL SERVICES 07/02</v>
      </c>
      <c r="C1277" s="6" t="str">
        <f>Angela_2025_Chase1117_Activity_!G1274</f>
        <v>Personal - House Bills</v>
      </c>
      <c r="D1277" s="12">
        <f>Angela_2025_Chase1117_Activity_!D1274</f>
        <v>-700</v>
      </c>
    </row>
    <row r="1278" spans="1:4" x14ac:dyDescent="0.25">
      <c r="A1278" s="26">
        <f>Angela_2025_Chase1117_Activity_!B1275</f>
        <v>45840</v>
      </c>
      <c r="B1278" s="6" t="str">
        <f>Angela_2025_Chase1117_Activity_!C1275</f>
        <v>Online Payment 25333575706 To FRONTIER TELEPHONE 07/02</v>
      </c>
      <c r="C1278" s="6" t="str">
        <f>Angela_2025_Chase1117_Activity_!G1275</f>
        <v>Personal - House Bills</v>
      </c>
      <c r="D1278" s="12">
        <f>Angela_2025_Chase1117_Activity_!D1275</f>
        <v>-130</v>
      </c>
    </row>
    <row r="1279" spans="1:4" x14ac:dyDescent="0.25">
      <c r="A1279" s="26">
        <f>Angela_2025_Chase1117_Activity_!B1276</f>
        <v>45840</v>
      </c>
      <c r="B1279" s="6" t="str">
        <f>Angela_2025_Chase1117_Activity_!C1276</f>
        <v>COSTCO *ANNUAL RENEWA 800-774-2678 WA        07/01</v>
      </c>
      <c r="C1279" s="6" t="str">
        <f>Angela_2025_Chase1117_Activity_!G1276</f>
        <v>Personal - Food</v>
      </c>
      <c r="D1279" s="12">
        <f>Angela_2025_Chase1117_Activity_!D1276</f>
        <v>-65</v>
      </c>
    </row>
    <row r="1280" spans="1:4" x14ac:dyDescent="0.25">
      <c r="A1280" s="26">
        <f>Angela_2025_Chase1117_Activity_!B1277</f>
        <v>45839</v>
      </c>
      <c r="B1280" s="6" t="str">
        <f>Angela_2025_Chase1117_Activity_!C1277</f>
        <v>Online Transfer to CHK ...0709 transaction#: 25332905154 07/01</v>
      </c>
      <c r="C1280" s="6" t="str">
        <f>Angela_2025_Chase1117_Activity_!G1277</f>
        <v>Transfer to DWG Capital Group_Savings</v>
      </c>
      <c r="D1280" s="12">
        <f>Angela_2025_Chase1117_Activity_!D1277</f>
        <v>-300</v>
      </c>
    </row>
    <row r="1281" spans="1:4" x14ac:dyDescent="0.25">
      <c r="A1281" s="26">
        <f>Angela_2025_Chase1117_Activity_!B1278</f>
        <v>45838</v>
      </c>
      <c r="B1281" s="6" t="str">
        <f>Angela_2025_Chase1117_Activity_!C1278</f>
        <v>GELSON'S MARKET #29 SANTA MONICA CA  358678  06/30</v>
      </c>
      <c r="C1281" s="6" t="str">
        <f>Angela_2025_Chase1117_Activity_!G1278</f>
        <v>Personal - Food</v>
      </c>
      <c r="D1281" s="12">
        <f>Angela_2025_Chase1117_Activity_!D1278</f>
        <v>-266.95999999999998</v>
      </c>
    </row>
    <row r="1282" spans="1:4" x14ac:dyDescent="0.25">
      <c r="A1282" s="26">
        <f>Angela_2025_Chase1117_Activity_!B1279</f>
        <v>45838</v>
      </c>
      <c r="B1282" s="6" t="str">
        <f>Angela_2025_Chase1117_Activity_!C1279</f>
        <v>BLUE SHIELD CALIFORNI 800-393-6130 CA        06/30</v>
      </c>
      <c r="C1282" s="6" t="str">
        <f>Angela_2025_Chase1117_Activity_!G1279</f>
        <v>Personal - Health Insurance</v>
      </c>
      <c r="D1282" s="12">
        <f>Angela_2025_Chase1117_Activity_!D1279</f>
        <v>-944.63</v>
      </c>
    </row>
    <row r="1283" spans="1:4" x14ac:dyDescent="0.25">
      <c r="A1283" s="26">
        <f>Angela_2025_Chase1117_Activity_!B1280</f>
        <v>45838</v>
      </c>
      <c r="B1283" s="6" t="str">
        <f>Angela_2025_Chase1117_Activity_!C1280</f>
        <v>LAZY ACRES 27 SAN DIEGO CA                   06/29 Purchase $47.69 Cash Back $100.00</v>
      </c>
      <c r="C1283" s="6" t="str">
        <f>Angela_2025_Chase1117_Activity_!G1280</f>
        <v>Personal - Food</v>
      </c>
      <c r="D1283" s="12">
        <f>Angela_2025_Chase1117_Activity_!D1280</f>
        <v>-147.69</v>
      </c>
    </row>
    <row r="1284" spans="1:4" x14ac:dyDescent="0.25">
      <c r="A1284" s="26">
        <f>Angela_2025_Chase1117_Activity_!B1281</f>
        <v>45838</v>
      </c>
      <c r="B1284" s="6" t="str">
        <f>Angela_2025_Chase1117_Activity_!C1281</f>
        <v>Online Transfer to CHK ...6975 transaction#: 25303064046 06/30</v>
      </c>
      <c r="C1284" s="6" t="str">
        <f>Angela_2025_Chase1117_Activity_!G1281</f>
        <v>Transfer to Ava</v>
      </c>
      <c r="D1284" s="12">
        <f>Angela_2025_Chase1117_Activity_!D1281</f>
        <v>-400</v>
      </c>
    </row>
    <row r="1285" spans="1:4" x14ac:dyDescent="0.25">
      <c r="A1285" s="26">
        <f>Angela_2025_Chase1117_Activity_!B1282</f>
        <v>45838</v>
      </c>
      <c r="B1285" s="6" t="str">
        <f>Angela_2025_Chase1117_Activity_!C1282</f>
        <v>SQ *TRILOGY SANCTUARY La Jolla CA            06/29</v>
      </c>
      <c r="C1285" s="6" t="str">
        <f>Angela_2025_Chase1117_Activity_!G1282</f>
        <v>Personal - Health</v>
      </c>
      <c r="D1285" s="12">
        <f>Angela_2025_Chase1117_Activity_!D1282</f>
        <v>-12.16</v>
      </c>
    </row>
    <row r="1286" spans="1:4" x14ac:dyDescent="0.25">
      <c r="A1286" s="26">
        <f>Angela_2025_Chase1117_Activity_!B1283</f>
        <v>45838</v>
      </c>
      <c r="B1286" s="6" t="str">
        <f>Angela_2025_Chase1117_Activity_!C1283</f>
        <v>LYFT   *RIDE SAT 8PM LYFT.COM CA             06/29</v>
      </c>
      <c r="C1286" s="6" t="str">
        <f>Angela_2025_Chase1117_Activity_!G1283</f>
        <v>Personal - Uber</v>
      </c>
      <c r="D1286" s="12">
        <f>Angela_2025_Chase1117_Activity_!D1283</f>
        <v>-47.14</v>
      </c>
    </row>
    <row r="1287" spans="1:4" x14ac:dyDescent="0.25">
      <c r="A1287" s="26">
        <f>Angela_2025_Chase1117_Activity_!B1284</f>
        <v>45838</v>
      </c>
      <c r="B1287" s="6" t="str">
        <f>Angela_2025_Chase1117_Activity_!C1284</f>
        <v>UBER   * EATS PENDIN SAN FRANCISCO CA366468  06/28</v>
      </c>
      <c r="C1287" s="6" t="str">
        <f>Angela_2025_Chase1117_Activity_!G1284</f>
        <v>Uber Eats</v>
      </c>
      <c r="D1287" s="12">
        <f>Angela_2025_Chase1117_Activity_!D1284</f>
        <v>-40.159999999999997</v>
      </c>
    </row>
    <row r="1288" spans="1:4" x14ac:dyDescent="0.25">
      <c r="A1288" s="26">
        <f>Angela_2025_Chase1117_Activity_!B1285</f>
        <v>45838</v>
      </c>
      <c r="B1288" s="6" t="str">
        <f>Angela_2025_Chase1117_Activity_!C1285</f>
        <v>EXPEDIA 73156381129471 EXPEDIA.COM WA        06/28</v>
      </c>
      <c r="C1288" s="6" t="str">
        <f>Angela_2025_Chase1117_Activity_!G1285</f>
        <v>Personal Travel</v>
      </c>
      <c r="D1288" s="12">
        <f>Angela_2025_Chase1117_Activity_!D1285</f>
        <v>-866.67</v>
      </c>
    </row>
    <row r="1289" spans="1:4" x14ac:dyDescent="0.25">
      <c r="A1289" s="26">
        <f>Angela_2025_Chase1117_Activity_!B1286</f>
        <v>45838</v>
      </c>
      <c r="B1289" s="6" t="str">
        <f>Angela_2025_Chase1117_Activity_!C1286</f>
        <v>Amazon.com*N32RX7JK2 Amzn.com/bill WA        06/29</v>
      </c>
      <c r="C1289" s="6" t="str">
        <f>Angela_2025_Chase1117_Activity_!G1286</f>
        <v>Amazon</v>
      </c>
      <c r="D1289" s="12">
        <f>Angela_2025_Chase1117_Activity_!D1286</f>
        <v>-151.34</v>
      </c>
    </row>
    <row r="1290" spans="1:4" x14ac:dyDescent="0.25">
      <c r="A1290" s="26">
        <f>Angela_2025_Chase1117_Activity_!B1287</f>
        <v>45838</v>
      </c>
      <c r="B1290" s="6" t="str">
        <f>Angela_2025_Chase1117_Activity_!C1287</f>
        <v>APPLE.COM/BILL 866-712-7753 CA               06/28</v>
      </c>
      <c r="C1290" s="6" t="str">
        <f>Angela_2025_Chase1117_Activity_!G1287</f>
        <v>Apple</v>
      </c>
      <c r="D1290" s="12">
        <f>Angela_2025_Chase1117_Activity_!D1287</f>
        <v>-5.99</v>
      </c>
    </row>
    <row r="1291" spans="1:4" x14ac:dyDescent="0.25">
      <c r="A1291" s="26">
        <f>Angela_2025_Chase1117_Activity_!B1288</f>
        <v>45838</v>
      </c>
      <c r="B1291" s="6" t="str">
        <f>Angela_2025_Chase1117_Activity_!C1288</f>
        <v>CVSExtraCare 80074672 800-746-7287 RI        06/28</v>
      </c>
      <c r="C1291" s="6" t="str">
        <f>Angela_2025_Chase1117_Activity_!G1288</f>
        <v>Personal - Health</v>
      </c>
      <c r="D1291" s="12">
        <f>Angela_2025_Chase1117_Activity_!D1288</f>
        <v>-5.49</v>
      </c>
    </row>
    <row r="1292" spans="1:4" x14ac:dyDescent="0.25">
      <c r="A1292" s="26">
        <f>Angela_2025_Chase1117_Activity_!B1289</f>
        <v>45838</v>
      </c>
      <c r="B1292" s="6" t="str">
        <f>Angela_2025_Chase1117_Activity_!C1289</f>
        <v>AMAZON MKTPL*NQ0QJ78 Amzn.com/bill WA        06/28</v>
      </c>
      <c r="C1292" s="6" t="str">
        <f>Angela_2025_Chase1117_Activity_!G1289</f>
        <v>Amazon</v>
      </c>
      <c r="D1292" s="12">
        <f>Angela_2025_Chase1117_Activity_!D1289</f>
        <v>-50.31</v>
      </c>
    </row>
    <row r="1293" spans="1:4" x14ac:dyDescent="0.25">
      <c r="A1293" s="26">
        <f>Angela_2025_Chase1117_Activity_!B1290</f>
        <v>45838</v>
      </c>
      <c r="B1293" s="6" t="str">
        <f>Angela_2025_Chase1117_Activity_!C1290</f>
        <v>UBER   * EATS PENDIN SAN FRANCISCO CA087461  06/27</v>
      </c>
      <c r="C1293" s="6" t="str">
        <f>Angela_2025_Chase1117_Activity_!G1290</f>
        <v>Uber Eats</v>
      </c>
      <c r="D1293" s="12">
        <f>Angela_2025_Chase1117_Activity_!D1290</f>
        <v>-92.3</v>
      </c>
    </row>
    <row r="1294" spans="1:4" x14ac:dyDescent="0.25">
      <c r="A1294" s="26">
        <f>Angela_2025_Chase1117_Activity_!B1291</f>
        <v>45838</v>
      </c>
      <c r="B1294" s="6" t="str">
        <f>Angela_2025_Chase1117_Activity_!C1291</f>
        <v>AMAZON MKTPL*N33IC2O Amzn.com/bill WA        06/27</v>
      </c>
      <c r="C1294" s="6" t="str">
        <f>Angela_2025_Chase1117_Activity_!G1291</f>
        <v>Amazon</v>
      </c>
      <c r="D1294" s="12">
        <f>Angela_2025_Chase1117_Activity_!D1291</f>
        <v>-42.74</v>
      </c>
    </row>
    <row r="1295" spans="1:4" x14ac:dyDescent="0.25">
      <c r="A1295" s="26">
        <f>Angela_2025_Chase1117_Activity_!B1292</f>
        <v>45838</v>
      </c>
      <c r="B1295" s="6" t="str">
        <f>Angela_2025_Chase1117_Activity_!C1292</f>
        <v>Zara.com/USA 855-6359272 NY                  06/27</v>
      </c>
      <c r="C1295" s="6" t="str">
        <f>Angela_2025_Chase1117_Activity_!G1292</f>
        <v>Personal - Shopping</v>
      </c>
      <c r="D1295" s="12">
        <f>Angela_2025_Chase1117_Activity_!D1292</f>
        <v>-472.94</v>
      </c>
    </row>
    <row r="1296" spans="1:4" x14ac:dyDescent="0.25">
      <c r="A1296" s="26">
        <f>Angela_2025_Chase1117_Activity_!B1293</f>
        <v>45838</v>
      </c>
      <c r="B1296" s="6" t="str">
        <f>Angela_2025_Chase1117_Activity_!C1293</f>
        <v>AMAZON MKTPL*NQ06441 Amzn.com/bill WA        06/27</v>
      </c>
      <c r="C1296" s="6" t="str">
        <f>Angela_2025_Chase1117_Activity_!G1293</f>
        <v>Amazon</v>
      </c>
      <c r="D1296" s="12">
        <f>Angela_2025_Chase1117_Activity_!D1293</f>
        <v>-94.04</v>
      </c>
    </row>
    <row r="1297" spans="1:4" x14ac:dyDescent="0.25">
      <c r="A1297" s="26">
        <f>Angela_2025_Chase1117_Activity_!B1294</f>
        <v>45838</v>
      </c>
      <c r="B1297" s="6" t="str">
        <f>Angela_2025_Chase1117_Activity_!C1294</f>
        <v>Zelle payment from MARY MILITE TREIGER WFCT0YYTKTHP</v>
      </c>
      <c r="C1297" s="6" t="str">
        <f>Angela_2025_Chase1117_Activity_!G1294</f>
        <v>Zelle from Mary Milite Treiger</v>
      </c>
      <c r="D1297" s="12">
        <f>Angela_2025_Chase1117_Activity_!D1294</f>
        <v>215</v>
      </c>
    </row>
    <row r="1298" spans="1:4" x14ac:dyDescent="0.25">
      <c r="A1298" s="26">
        <f>Angela_2025_Chase1117_Activity_!B1295</f>
        <v>45838</v>
      </c>
      <c r="B1298" s="6" t="str">
        <f>Angela_2025_Chase1117_Activity_!C1295</f>
        <v>Zelle payment from MARY MILITE TREIGER WFCT0YYTKQ2C</v>
      </c>
      <c r="C1298" s="6" t="str">
        <f>Angela_2025_Chase1117_Activity_!G1295</f>
        <v>Zelle from Mary Milite Treiger</v>
      </c>
      <c r="D1298" s="12">
        <f>Angela_2025_Chase1117_Activity_!D1295</f>
        <v>300</v>
      </c>
    </row>
    <row r="1299" spans="1:4" x14ac:dyDescent="0.25">
      <c r="A1299" s="26">
        <f>Angela_2025_Chase1117_Activity_!B1296</f>
        <v>45838</v>
      </c>
      <c r="B1299" s="6" t="str">
        <f>Angela_2025_Chase1117_Activity_!C1296</f>
        <v>Zelle payment from MARY MILITE TREIGER WFCT0YYTKLSG</v>
      </c>
      <c r="C1299" s="6" t="str">
        <f>Angela_2025_Chase1117_Activity_!G1296</f>
        <v>Zelle from Mary Milite Treiger</v>
      </c>
      <c r="D1299" s="12">
        <f>Angela_2025_Chase1117_Activity_!D1296</f>
        <v>500</v>
      </c>
    </row>
    <row r="1300" spans="1:4" x14ac:dyDescent="0.25">
      <c r="A1300" s="26">
        <f>Angela_2025_Chase1117_Activity_!B1297</f>
        <v>45835</v>
      </c>
      <c r="B1300" s="6" t="str">
        <f>Angela_2025_Chase1117_Activity_!C1297</f>
        <v>AMAZON MKTPL*NQ0OG5Y Amzn.com/bill WA        06/27</v>
      </c>
      <c r="C1300" s="6" t="str">
        <f>Angela_2025_Chase1117_Activity_!G1297</f>
        <v>Amazon</v>
      </c>
      <c r="D1300" s="12">
        <f>Angela_2025_Chase1117_Activity_!D1297</f>
        <v>-25.67</v>
      </c>
    </row>
    <row r="1301" spans="1:4" x14ac:dyDescent="0.25">
      <c r="A1301" s="26">
        <f>Angela_2025_Chase1117_Activity_!B1298</f>
        <v>45835</v>
      </c>
      <c r="B1301" s="6" t="str">
        <f>Angela_2025_Chase1117_Activity_!C1298</f>
        <v>SPACEWEATHERNEWS.COM SPACEWEATHERN CO        06/26</v>
      </c>
      <c r="C1301" s="6" t="str">
        <f>Angela_2025_Chase1117_Activity_!G1298</f>
        <v>Personal - Subscription</v>
      </c>
      <c r="D1301" s="12">
        <f>Angela_2025_Chase1117_Activity_!D1298</f>
        <v>-5.99</v>
      </c>
    </row>
    <row r="1302" spans="1:4" x14ac:dyDescent="0.25">
      <c r="A1302" s="26">
        <f>Angela_2025_Chase1117_Activity_!B1299</f>
        <v>45835</v>
      </c>
      <c r="B1302" s="6" t="str">
        <f>Angela_2025_Chase1117_Activity_!C1299</f>
        <v>COPENHAGEN PASTRY CULVER CITY CA             06/26</v>
      </c>
      <c r="C1302" s="6" t="str">
        <f>Angela_2025_Chase1117_Activity_!G1299</f>
        <v>Personal - Food</v>
      </c>
      <c r="D1302" s="12">
        <f>Angela_2025_Chase1117_Activity_!D1299</f>
        <v>-16.25</v>
      </c>
    </row>
    <row r="1303" spans="1:4" x14ac:dyDescent="0.25">
      <c r="A1303" s="26">
        <f>Angela_2025_Chase1117_Activity_!B1300</f>
        <v>45835</v>
      </c>
      <c r="B1303" s="6" t="str">
        <f>Angela_2025_Chase1117_Activity_!C1300</f>
        <v>SQ *BERRY FLASH PHOTO Los Angeles CA         06/26</v>
      </c>
      <c r="C1303" s="6" t="str">
        <f>Angela_2025_Chase1117_Activity_!G1300</f>
        <v>Personal - Shopping</v>
      </c>
      <c r="D1303" s="12">
        <f>Angela_2025_Chase1117_Activity_!D1300</f>
        <v>-68.44</v>
      </c>
    </row>
    <row r="1304" spans="1:4" x14ac:dyDescent="0.25">
      <c r="A1304" s="26">
        <f>Angela_2025_Chase1117_Activity_!B1301</f>
        <v>45835</v>
      </c>
      <c r="B1304" s="6" t="str">
        <f>Angela_2025_Chase1117_Activity_!C1301</f>
        <v>Prime Video Channels amzn.com/bill WA        06/26</v>
      </c>
      <c r="C1304" s="6" t="str">
        <f>Angela_2025_Chase1117_Activity_!G1301</f>
        <v>Amazon</v>
      </c>
      <c r="D1304" s="12">
        <f>Angela_2025_Chase1117_Activity_!D1301</f>
        <v>-6.99</v>
      </c>
    </row>
    <row r="1305" spans="1:4" x14ac:dyDescent="0.25">
      <c r="A1305" s="26">
        <f>Angela_2025_Chase1117_Activity_!B1302</f>
        <v>45835</v>
      </c>
      <c r="B1305" s="6" t="str">
        <f>Angela_2025_Chase1117_Activity_!C1302</f>
        <v>AMAZON MKTPL*NQ2HI6E Amzn.com/bill WA        06/27</v>
      </c>
      <c r="C1305" s="6" t="str">
        <f>Angela_2025_Chase1117_Activity_!G1302</f>
        <v>Amazon</v>
      </c>
      <c r="D1305" s="12">
        <f>Angela_2025_Chase1117_Activity_!D1302</f>
        <v>-21.94</v>
      </c>
    </row>
    <row r="1306" spans="1:4" x14ac:dyDescent="0.25">
      <c r="A1306" s="26">
        <f>Angela_2025_Chase1117_Activity_!B1303</f>
        <v>45835</v>
      </c>
      <c r="B1306" s="6" t="str">
        <f>Angela_2025_Chase1117_Activity_!C1303</f>
        <v>Amazon.com*NQ7E47JK0 Amzn.com/bill WA        06/26</v>
      </c>
      <c r="C1306" s="6" t="str">
        <f>Angela_2025_Chase1117_Activity_!G1303</f>
        <v>Amazon</v>
      </c>
      <c r="D1306" s="12">
        <f>Angela_2025_Chase1117_Activity_!D1303</f>
        <v>-41.71</v>
      </c>
    </row>
    <row r="1307" spans="1:4" x14ac:dyDescent="0.25">
      <c r="A1307" s="26">
        <f>Angela_2025_Chase1117_Activity_!B1304</f>
        <v>45835</v>
      </c>
      <c r="B1307" s="6" t="str">
        <f>Angela_2025_Chase1117_Activity_!C1304</f>
        <v>AMAZON MKTPL*NQ89910 Amzn.com/bill WA        06/26</v>
      </c>
      <c r="C1307" s="6" t="str">
        <f>Angela_2025_Chase1117_Activity_!G1304</f>
        <v>Amazon</v>
      </c>
      <c r="D1307" s="12">
        <f>Angela_2025_Chase1117_Activity_!D1304</f>
        <v>-54.86</v>
      </c>
    </row>
    <row r="1308" spans="1:4" x14ac:dyDescent="0.25">
      <c r="A1308" s="26">
        <f>Angela_2025_Chase1117_Activity_!B1305</f>
        <v>45835</v>
      </c>
      <c r="B1308" s="6" t="str">
        <f>Angela_2025_Chase1117_Activity_!C1305</f>
        <v>AMAZON MKTPL*NQ6BX10 Amzn.com/bill WA        06/26</v>
      </c>
      <c r="C1308" s="6" t="str">
        <f>Angela_2025_Chase1117_Activity_!G1305</f>
        <v>Amazon</v>
      </c>
      <c r="D1308" s="12">
        <f>Angela_2025_Chase1117_Activity_!D1305</f>
        <v>-155.69999999999999</v>
      </c>
    </row>
    <row r="1309" spans="1:4" x14ac:dyDescent="0.25">
      <c r="A1309" s="26">
        <f>Angela_2025_Chase1117_Activity_!B1306</f>
        <v>45835</v>
      </c>
      <c r="B1309" s="6" t="str">
        <f>Angela_2025_Chase1117_Activity_!C1306</f>
        <v>Zelle payment from JOE SAUNDERS 25280372586</v>
      </c>
      <c r="C1309" s="6" t="str">
        <f>Angela_2025_Chase1117_Activity_!G1306</f>
        <v>Zelle from Joe Saunders</v>
      </c>
      <c r="D1309" s="12">
        <f>Angela_2025_Chase1117_Activity_!D1306</f>
        <v>530</v>
      </c>
    </row>
    <row r="1310" spans="1:4" x14ac:dyDescent="0.25">
      <c r="A1310" s="26">
        <f>Angela_2025_Chase1117_Activity_!B1307</f>
        <v>45835</v>
      </c>
      <c r="B1310" s="6" t="str">
        <f>Angela_2025_Chase1117_Activity_!C1307</f>
        <v>SQ *BERRY FLASH PHOTO Los Angeles CA         06/26</v>
      </c>
      <c r="C1310" s="6" t="str">
        <f>Angela_2025_Chase1117_Activity_!G1307</f>
        <v>Personal - Shopping</v>
      </c>
      <c r="D1310" s="12">
        <f>Angela_2025_Chase1117_Activity_!D1307</f>
        <v>11.04</v>
      </c>
    </row>
    <row r="1311" spans="1:4" x14ac:dyDescent="0.25">
      <c r="A1311" s="26">
        <f>Angela_2025_Chase1117_Activity_!B1308</f>
        <v>45835</v>
      </c>
      <c r="B1311" s="6" t="str">
        <f>Angela_2025_Chase1117_Activity_!C1308</f>
        <v>SQ *BERRY FLASH PHOTO Los Angeles CA         06/26</v>
      </c>
      <c r="C1311" s="6" t="str">
        <f>Angela_2025_Chase1117_Activity_!G1308</f>
        <v>Personal - Shopping</v>
      </c>
      <c r="D1311" s="12">
        <f>Angela_2025_Chase1117_Activity_!D1308</f>
        <v>16.559999999999999</v>
      </c>
    </row>
    <row r="1312" spans="1:4" x14ac:dyDescent="0.25">
      <c r="A1312" s="26">
        <f>Angela_2025_Chase1117_Activity_!B1309</f>
        <v>45834</v>
      </c>
      <c r="B1312" s="6" t="str">
        <f>Angela_2025_Chase1117_Activity_!C1309</f>
        <v>ATT*BILL PAYMENT 800-288-2020 TX             06/25</v>
      </c>
      <c r="C1312" s="6" t="str">
        <f>Angela_2025_Chase1117_Activity_!G1309</f>
        <v>AT&amp;T</v>
      </c>
      <c r="D1312" s="12">
        <f>Angela_2025_Chase1117_Activity_!D1309</f>
        <v>-609.9</v>
      </c>
    </row>
    <row r="1313" spans="1:4" x14ac:dyDescent="0.25">
      <c r="A1313" s="26">
        <f>Angela_2025_Chase1117_Activity_!B1310</f>
        <v>45834</v>
      </c>
      <c r="B1313" s="6" t="str">
        <f>Angela_2025_Chase1117_Activity_!C1310</f>
        <v>Online Transfer from CHK ...1168 transaction#: 25262867466</v>
      </c>
      <c r="C1313" s="6" t="str">
        <f>Angela_2025_Chase1117_Activity_!G1310</f>
        <v>Transfer from DWG Capital Group</v>
      </c>
      <c r="D1313" s="12">
        <f>Angela_2025_Chase1117_Activity_!D1310</f>
        <v>5000</v>
      </c>
    </row>
    <row r="1314" spans="1:4" x14ac:dyDescent="0.25">
      <c r="A1314" s="26">
        <f>Angela_2025_Chase1117_Activity_!B1311</f>
        <v>45833</v>
      </c>
      <c r="B1314" s="6" t="str">
        <f>Angela_2025_Chase1117_Activity_!C1311</f>
        <v>FAARHA INC #43159 LOS ANGELES CA     548402  06/25</v>
      </c>
      <c r="C1314" s="6" t="str">
        <f>Angela_2025_Chase1117_Activity_!G1311</f>
        <v>Personal - Shopping</v>
      </c>
      <c r="D1314" s="12">
        <f>Angela_2025_Chase1117_Activity_!D1311</f>
        <v>-55.71</v>
      </c>
    </row>
    <row r="1315" spans="1:4" x14ac:dyDescent="0.25">
      <c r="A1315" s="26">
        <f>Angela_2025_Chase1117_Activity_!B1312</f>
        <v>45833</v>
      </c>
      <c r="B1315" s="6" t="str">
        <f>Angela_2025_Chase1117_Activity_!C1312</f>
        <v>LUKE UNFILTERED WEARECHANGE.O FL             06/25</v>
      </c>
      <c r="C1315" s="6" t="str">
        <f>Angela_2025_Chase1117_Activity_!G1312</f>
        <v>Personal - Subscription</v>
      </c>
      <c r="D1315" s="12">
        <f>Angela_2025_Chase1117_Activity_!D1312</f>
        <v>-15</v>
      </c>
    </row>
    <row r="1316" spans="1:4" x14ac:dyDescent="0.25">
      <c r="A1316" s="26">
        <f>Angela_2025_Chase1117_Activity_!B1313</f>
        <v>45833</v>
      </c>
      <c r="B1316" s="6" t="str">
        <f>Angela_2025_Chase1117_Activity_!C1313</f>
        <v>AMAZON PRIME*NQ4W52F Amzn.com/bill WA        06/25</v>
      </c>
      <c r="C1316" s="6" t="str">
        <f>Angela_2025_Chase1117_Activity_!G1313</f>
        <v>Amazon</v>
      </c>
      <c r="D1316" s="12">
        <f>Angela_2025_Chase1117_Activity_!D1313</f>
        <v>-16.45</v>
      </c>
    </row>
    <row r="1317" spans="1:4" x14ac:dyDescent="0.25">
      <c r="A1317" s="26">
        <f>Angela_2025_Chase1117_Activity_!B1314</f>
        <v>45832</v>
      </c>
      <c r="B1317" s="6" t="str">
        <f>Angela_2025_Chase1117_Activity_!C1314</f>
        <v>AMAZON MKTPL*NO38T1R Amzn.com/bill WA        06/24</v>
      </c>
      <c r="C1317" s="6" t="str">
        <f>Angela_2025_Chase1117_Activity_!G1314</f>
        <v>Amazon</v>
      </c>
      <c r="D1317" s="12">
        <f>Angela_2025_Chase1117_Activity_!D1314</f>
        <v>-50.44</v>
      </c>
    </row>
    <row r="1318" spans="1:4" x14ac:dyDescent="0.25">
      <c r="A1318" s="26">
        <f>Angela_2025_Chase1117_Activity_!B1315</f>
        <v>45832</v>
      </c>
      <c r="B1318" s="6" t="str">
        <f>Angela_2025_Chase1117_Activity_!C1315</f>
        <v>GRANDVIEW CLEANERS LOS ANGELES CA            06/23</v>
      </c>
      <c r="C1318" s="6" t="str">
        <f>Angela_2025_Chase1117_Activity_!G1315</f>
        <v>Personal - Clothing</v>
      </c>
      <c r="D1318" s="12">
        <f>Angela_2025_Chase1117_Activity_!D1315</f>
        <v>-300</v>
      </c>
    </row>
    <row r="1319" spans="1:4" x14ac:dyDescent="0.25">
      <c r="A1319" s="26">
        <f>Angela_2025_Chase1117_Activity_!B1316</f>
        <v>45832</v>
      </c>
      <c r="B1319" s="6" t="str">
        <f>Angela_2025_Chase1117_Activity_!C1316</f>
        <v>APPLE.COM/BILL 866-712-7753 CA               06/23</v>
      </c>
      <c r="C1319" s="6" t="str">
        <f>Angela_2025_Chase1117_Activity_!G1316</f>
        <v>Apple</v>
      </c>
      <c r="D1319" s="12">
        <f>Angela_2025_Chase1117_Activity_!D1316</f>
        <v>-10.99</v>
      </c>
    </row>
    <row r="1320" spans="1:4" x14ac:dyDescent="0.25">
      <c r="A1320" s="26">
        <f>Angela_2025_Chase1117_Activity_!B1317</f>
        <v>45832</v>
      </c>
      <c r="B1320" s="6" t="str">
        <f>Angela_2025_Chase1117_Activity_!C1317</f>
        <v>AMERICAN AIR00183175236 FORT WORTH TX        06/22</v>
      </c>
      <c r="C1320" s="6" t="str">
        <f>Angela_2025_Chase1117_Activity_!G1317</f>
        <v>Personal Travel</v>
      </c>
      <c r="D1320" s="12">
        <f>Angela_2025_Chase1117_Activity_!D1317</f>
        <v>-55.08</v>
      </c>
    </row>
    <row r="1321" spans="1:4" x14ac:dyDescent="0.25">
      <c r="A1321" s="26">
        <f>Angela_2025_Chase1117_Activity_!B1318</f>
        <v>45832</v>
      </c>
      <c r="B1321" s="6" t="str">
        <f>Angela_2025_Chase1117_Activity_!C1318</f>
        <v>AMERICAN AIR00173128106 FORT WORTH TX        06/22</v>
      </c>
      <c r="C1321" s="6" t="str">
        <f>Angela_2025_Chase1117_Activity_!G1318</f>
        <v>Personal Travel</v>
      </c>
      <c r="D1321" s="12">
        <f>Angela_2025_Chase1117_Activity_!D1318</f>
        <v>-206.65</v>
      </c>
    </row>
    <row r="1322" spans="1:4" x14ac:dyDescent="0.25">
      <c r="A1322" s="26">
        <f>Angela_2025_Chase1117_Activity_!B1319</f>
        <v>45831</v>
      </c>
      <c r="B1322" s="6" t="str">
        <f>Angela_2025_Chase1117_Activity_!C1319</f>
        <v>TRADER JOE S #11 TRADE LOS ANGELES CA649821  06/23</v>
      </c>
      <c r="C1322" s="6" t="str">
        <f>Angela_2025_Chase1117_Activity_!G1319</f>
        <v>Personal - Food</v>
      </c>
      <c r="D1322" s="12">
        <f>Angela_2025_Chase1117_Activity_!D1319</f>
        <v>-172.61</v>
      </c>
    </row>
    <row r="1323" spans="1:4" x14ac:dyDescent="0.25">
      <c r="A1323" s="26">
        <f>Angela_2025_Chase1117_Activity_!B1320</f>
        <v>45831</v>
      </c>
      <c r="B1323" s="6" t="str">
        <f>Angela_2025_Chase1117_Activity_!C1320</f>
        <v>GELSON'S MARKET #29 SANTA MONICA CA          06/23 Purchase $582.47 Cash Back $40.00</v>
      </c>
      <c r="C1323" s="6" t="str">
        <f>Angela_2025_Chase1117_Activity_!G1320</f>
        <v>Personal - Food</v>
      </c>
      <c r="D1323" s="12">
        <f>Angela_2025_Chase1117_Activity_!D1320</f>
        <v>-622.47</v>
      </c>
    </row>
    <row r="1324" spans="1:4" x14ac:dyDescent="0.25">
      <c r="A1324" s="26">
        <f>Angela_2025_Chase1117_Activity_!B1321</f>
        <v>45831</v>
      </c>
      <c r="B1324" s="6" t="str">
        <f>Angela_2025_Chase1117_Activity_!C1321</f>
        <v>TST* CAFE GRATITUDE - V VENICE CA            06/23</v>
      </c>
      <c r="C1324" s="6" t="str">
        <f>Angela_2025_Chase1117_Activity_!G1321</f>
        <v>Personal - Food</v>
      </c>
      <c r="D1324" s="12">
        <f>Angela_2025_Chase1117_Activity_!D1321</f>
        <v>-101.26</v>
      </c>
    </row>
    <row r="1325" spans="1:4" x14ac:dyDescent="0.25">
      <c r="A1325" s="26">
        <f>Angela_2025_Chase1117_Activity_!B1322</f>
        <v>45831</v>
      </c>
      <c r="B1325" s="6" t="str">
        <f>Angela_2025_Chase1117_Activity_!C1322</f>
        <v>UNITED      01643073661 UNITED.COM TX        06/22</v>
      </c>
      <c r="C1325" s="6" t="str">
        <f>Angela_2025_Chase1117_Activity_!G1322</f>
        <v>Personal Travel</v>
      </c>
      <c r="D1325" s="12">
        <f>Angela_2025_Chase1117_Activity_!D1322</f>
        <v>-101.13</v>
      </c>
    </row>
    <row r="1326" spans="1:4" x14ac:dyDescent="0.25">
      <c r="A1326" s="26">
        <f>Angela_2025_Chase1117_Activity_!B1323</f>
        <v>45831</v>
      </c>
      <c r="B1326" s="6" t="str">
        <f>Angela_2025_Chase1117_Activity_!C1323</f>
        <v>UNITED      01624979289 UNITED.COM TX        06/22</v>
      </c>
      <c r="C1326" s="6" t="str">
        <f>Angela_2025_Chase1117_Activity_!G1323</f>
        <v>Personal Travel</v>
      </c>
      <c r="D1326" s="12">
        <f>Angela_2025_Chase1117_Activity_!D1323</f>
        <v>-139.47999999999999</v>
      </c>
    </row>
    <row r="1327" spans="1:4" x14ac:dyDescent="0.25">
      <c r="A1327" s="26">
        <f>Angela_2025_Chase1117_Activity_!B1324</f>
        <v>45831</v>
      </c>
      <c r="B1327" s="6" t="str">
        <f>Angela_2025_Chase1117_Activity_!C1324</f>
        <v>EXPEDIA 73149326670415 EXPEDIA.COM WA        06/22</v>
      </c>
      <c r="C1327" s="6" t="str">
        <f>Angela_2025_Chase1117_Activity_!G1324</f>
        <v>Personal Travel</v>
      </c>
      <c r="D1327" s="12">
        <f>Angela_2025_Chase1117_Activity_!D1324</f>
        <v>-4.4000000000000004</v>
      </c>
    </row>
    <row r="1328" spans="1:4" x14ac:dyDescent="0.25">
      <c r="A1328" s="26">
        <f>Angela_2025_Chase1117_Activity_!B1325</f>
        <v>45831</v>
      </c>
      <c r="B1328" s="6" t="str">
        <f>Angela_2025_Chase1117_Activity_!C1325</f>
        <v>UBER   * EATS PENDIN SAN FRANCISCO CA027815  06/21</v>
      </c>
      <c r="C1328" s="6" t="str">
        <f>Angela_2025_Chase1117_Activity_!G1325</f>
        <v>Uber Eats</v>
      </c>
      <c r="D1328" s="12">
        <f>Angela_2025_Chase1117_Activity_!D1325</f>
        <v>-90.7</v>
      </c>
    </row>
    <row r="1329" spans="1:4" x14ac:dyDescent="0.25">
      <c r="A1329" s="26">
        <f>Angela_2025_Chase1117_Activity_!B1326</f>
        <v>45831</v>
      </c>
      <c r="B1329" s="6" t="str">
        <f>Angela_2025_Chase1117_Activity_!C1326</f>
        <v>AMAZON MKTPL*NO7WC62 Amzn.com/bill WA        06/23</v>
      </c>
      <c r="C1329" s="6" t="str">
        <f>Angela_2025_Chase1117_Activity_!G1326</f>
        <v>Amazon</v>
      </c>
      <c r="D1329" s="12">
        <f>Angela_2025_Chase1117_Activity_!D1326</f>
        <v>-277.52</v>
      </c>
    </row>
    <row r="1330" spans="1:4" x14ac:dyDescent="0.25">
      <c r="A1330" s="26">
        <f>Angela_2025_Chase1117_Activity_!B1327</f>
        <v>45831</v>
      </c>
      <c r="B1330" s="6" t="str">
        <f>Angela_2025_Chase1117_Activity_!C1327</f>
        <v>FANDANGO    * FANDANGO.COM CA                06/22</v>
      </c>
      <c r="C1330" s="6" t="str">
        <f>Angela_2025_Chase1117_Activity_!G1327</f>
        <v>Personal - Entertainment</v>
      </c>
      <c r="D1330" s="12">
        <f>Angela_2025_Chase1117_Activity_!D1327</f>
        <v>-70.72</v>
      </c>
    </row>
    <row r="1331" spans="1:4" x14ac:dyDescent="0.25">
      <c r="A1331" s="26">
        <f>Angela_2025_Chase1117_Activity_!B1328</f>
        <v>45831</v>
      </c>
      <c r="B1331" s="6" t="str">
        <f>Angela_2025_Chase1117_Activity_!C1328</f>
        <v>AMAZON MKTPL*NO2I78X Amzn.com/bill WA        06/22</v>
      </c>
      <c r="C1331" s="6" t="str">
        <f>Angela_2025_Chase1117_Activity_!G1328</f>
        <v>Amazon</v>
      </c>
      <c r="D1331" s="12">
        <f>Angela_2025_Chase1117_Activity_!D1328</f>
        <v>-86.68</v>
      </c>
    </row>
    <row r="1332" spans="1:4" x14ac:dyDescent="0.25">
      <c r="A1332" s="26">
        <f>Angela_2025_Chase1117_Activity_!B1329</f>
        <v>45831</v>
      </c>
      <c r="B1332" s="6" t="str">
        <f>Angela_2025_Chase1117_Activity_!C1329</f>
        <v>AMAZON MKTPL*NO42H5H Amzn.com/bill WA        06/22</v>
      </c>
      <c r="C1332" s="6" t="str">
        <f>Angela_2025_Chase1117_Activity_!G1329</f>
        <v>Amazon</v>
      </c>
      <c r="D1332" s="12">
        <f>Angela_2025_Chase1117_Activity_!D1329</f>
        <v>-37.299999999999997</v>
      </c>
    </row>
    <row r="1333" spans="1:4" x14ac:dyDescent="0.25">
      <c r="A1333" s="26">
        <f>Angela_2025_Chase1117_Activity_!B1330</f>
        <v>45831</v>
      </c>
      <c r="B1333" s="6" t="str">
        <f>Angela_2025_Chase1117_Activity_!C1330</f>
        <v>SP JEFFREYCAMPBELL JEFFREYCAMPBE CA          06/21</v>
      </c>
      <c r="C1333" s="6" t="str">
        <f>Angela_2025_Chase1117_Activity_!G1330</f>
        <v>Personal - Shopping</v>
      </c>
      <c r="D1333" s="12">
        <f>Angela_2025_Chase1117_Activity_!D1330</f>
        <v>-294.95999999999998</v>
      </c>
    </row>
    <row r="1334" spans="1:4" x14ac:dyDescent="0.25">
      <c r="A1334" s="26">
        <f>Angela_2025_Chase1117_Activity_!B1331</f>
        <v>45831</v>
      </c>
      <c r="B1334" s="6" t="str">
        <f>Angela_2025_Chase1117_Activity_!C1331</f>
        <v>Zara.com 212-3551415 NY                      06/21</v>
      </c>
      <c r="C1334" s="6" t="str">
        <f>Angela_2025_Chase1117_Activity_!G1331</f>
        <v>Personal - Shopping</v>
      </c>
      <c r="D1334" s="12">
        <f>Angela_2025_Chase1117_Activity_!D1331</f>
        <v>-147.02000000000001</v>
      </c>
    </row>
    <row r="1335" spans="1:4" x14ac:dyDescent="0.25">
      <c r="A1335" s="26">
        <f>Angela_2025_Chase1117_Activity_!B1332</f>
        <v>45831</v>
      </c>
      <c r="B1335" s="6" t="str">
        <f>Angela_2025_Chase1117_Activity_!C1332</f>
        <v>UBER   * EATS PENDIN SAN FRANCISCO CA074912  06/20</v>
      </c>
      <c r="C1335" s="6" t="str">
        <f>Angela_2025_Chase1117_Activity_!G1332</f>
        <v>Uber Eats</v>
      </c>
      <c r="D1335" s="12">
        <f>Angela_2025_Chase1117_Activity_!D1332</f>
        <v>-81.92</v>
      </c>
    </row>
    <row r="1336" spans="1:4" x14ac:dyDescent="0.25">
      <c r="A1336" s="26">
        <f>Angela_2025_Chase1117_Activity_!B1333</f>
        <v>45831</v>
      </c>
      <c r="B1336" s="6" t="str">
        <f>Angela_2025_Chase1117_Activity_!C1333</f>
        <v>FIRE ANT CONTROL OF. tchoate10@yah TX        06/20</v>
      </c>
      <c r="C1336" s="6" t="str">
        <f>Angela_2025_Chase1117_Activity_!G1333</f>
        <v>Personal - House Bills</v>
      </c>
      <c r="D1336" s="12">
        <f>Angela_2025_Chase1117_Activity_!D1333</f>
        <v>-265.20999999999998</v>
      </c>
    </row>
    <row r="1337" spans="1:4" x14ac:dyDescent="0.25">
      <c r="A1337" s="26">
        <f>Angela_2025_Chase1117_Activity_!B1334</f>
        <v>45831</v>
      </c>
      <c r="B1337" s="6" t="str">
        <f>Angela_2025_Chase1117_Activity_!C1334</f>
        <v>Amazon.com*NO18G71Q1 Amzn.com/bill WA        06/20</v>
      </c>
      <c r="C1337" s="6" t="str">
        <f>Angela_2025_Chase1117_Activity_!G1334</f>
        <v>Amazon</v>
      </c>
      <c r="D1337" s="12">
        <f>Angela_2025_Chase1117_Activity_!D1334</f>
        <v>-32.76</v>
      </c>
    </row>
    <row r="1338" spans="1:4" x14ac:dyDescent="0.25">
      <c r="A1338" s="26">
        <f>Angela_2025_Chase1117_Activity_!B1335</f>
        <v>45831</v>
      </c>
      <c r="B1338" s="6" t="str">
        <f>Angela_2025_Chase1117_Activity_!C1335</f>
        <v>QDI*QUEST DIAGNOSTICS 800-758-6047 CA        06/21</v>
      </c>
      <c r="C1338" s="6" t="str">
        <f>Angela_2025_Chase1117_Activity_!G1335</f>
        <v>Personal - Health</v>
      </c>
      <c r="D1338" s="12">
        <f>Angela_2025_Chase1117_Activity_!D1335</f>
        <v>-112.92</v>
      </c>
    </row>
    <row r="1339" spans="1:4" x14ac:dyDescent="0.25">
      <c r="A1339" s="26">
        <f>Angela_2025_Chase1117_Activity_!B1336</f>
        <v>45831</v>
      </c>
      <c r="B1339" s="6" t="str">
        <f>Angela_2025_Chase1117_Activity_!C1336</f>
        <v>AMAZON MKTPL*NO72X25 Amzn.com/bill WA        06/22</v>
      </c>
      <c r="C1339" s="6" t="str">
        <f>Angela_2025_Chase1117_Activity_!G1336</f>
        <v>Amazon</v>
      </c>
      <c r="D1339" s="12">
        <f>Angela_2025_Chase1117_Activity_!D1336</f>
        <v>-109.7</v>
      </c>
    </row>
    <row r="1340" spans="1:4" x14ac:dyDescent="0.25">
      <c r="A1340" s="26">
        <f>Angela_2025_Chase1117_Activity_!B1337</f>
        <v>45831</v>
      </c>
      <c r="B1340" s="6" t="str">
        <f>Angela_2025_Chase1117_Activity_!C1337</f>
        <v>NEXTLINK BROADBAND 855-6985465 TX            06/20</v>
      </c>
      <c r="C1340" s="6" t="str">
        <f>Angela_2025_Chase1117_Activity_!G1337</f>
        <v>Personal - House Bills</v>
      </c>
      <c r="D1340" s="12">
        <f>Angela_2025_Chase1117_Activity_!D1337</f>
        <v>-149.96</v>
      </c>
    </row>
    <row r="1341" spans="1:4" x14ac:dyDescent="0.25">
      <c r="A1341" s="26">
        <f>Angela_2025_Chase1117_Activity_!B1338</f>
        <v>45831</v>
      </c>
      <c r="B1341" s="6" t="str">
        <f>Angela_2025_Chase1117_Activity_!C1338</f>
        <v>Zelle payment from TANYA MILLER HNA0JF8S4QL1</v>
      </c>
      <c r="C1341" s="6" t="str">
        <f>Angela_2025_Chase1117_Activity_!G1338</f>
        <v>Zelle from Tanya Miller</v>
      </c>
      <c r="D1341" s="12">
        <f>Angela_2025_Chase1117_Activity_!D1338</f>
        <v>100</v>
      </c>
    </row>
    <row r="1342" spans="1:4" x14ac:dyDescent="0.25">
      <c r="A1342" s="26">
        <f>Angela_2025_Chase1117_Activity_!B1339</f>
        <v>45831</v>
      </c>
      <c r="B1342" s="6" t="str">
        <f>Angela_2025_Chase1117_Activity_!C1339</f>
        <v>Online Transfer from CHK ...1168 transaction#: 25232122097</v>
      </c>
      <c r="C1342" s="6" t="str">
        <f>Angela_2025_Chase1117_Activity_!G1339</f>
        <v>Transfer from DWG Capital Group</v>
      </c>
      <c r="D1342" s="12">
        <f>Angela_2025_Chase1117_Activity_!D1339</f>
        <v>3000</v>
      </c>
    </row>
    <row r="1343" spans="1:4" x14ac:dyDescent="0.25">
      <c r="A1343" s="26">
        <f>Angela_2025_Chase1117_Activity_!B1340</f>
        <v>45828</v>
      </c>
      <c r="B1343" s="6" t="str">
        <f>Angela_2025_Chase1117_Activity_!C1340</f>
        <v>WITHDRAWAL 06/20</v>
      </c>
      <c r="C1343" s="6" t="str">
        <f>Angela_2025_Chase1117_Activity_!G1340</f>
        <v>Withdrawal</v>
      </c>
      <c r="D1343" s="12">
        <f>Angela_2025_Chase1117_Activity_!D1340</f>
        <v>-1000</v>
      </c>
    </row>
    <row r="1344" spans="1:4" x14ac:dyDescent="0.25">
      <c r="A1344" s="26">
        <f>Angela_2025_Chase1117_Activity_!B1341</f>
        <v>45828</v>
      </c>
      <c r="B1344" s="6" t="str">
        <f>Angela_2025_Chase1117_Activity_!C1341</f>
        <v>Zelle payment to Angela Dunning JPM99bcux2jk</v>
      </c>
      <c r="C1344" s="6" t="str">
        <f>Angela_2025_Chase1117_Activity_!G1341</f>
        <v>Zelle to Angela Dunning</v>
      </c>
      <c r="D1344" s="12">
        <f>Angela_2025_Chase1117_Activity_!D1341</f>
        <v>-500</v>
      </c>
    </row>
    <row r="1345" spans="1:4" x14ac:dyDescent="0.25">
      <c r="A1345" s="26">
        <f>Angela_2025_Chase1117_Activity_!B1342</f>
        <v>45828</v>
      </c>
      <c r="B1345" s="6" t="str">
        <f>Angela_2025_Chase1117_Activity_!C1342</f>
        <v>UBER   * EATS PENDIN SAN FRANCISCO CA013816  06/19</v>
      </c>
      <c r="C1345" s="6" t="str">
        <f>Angela_2025_Chase1117_Activity_!G1342</f>
        <v>Uber Eats</v>
      </c>
      <c r="D1345" s="12">
        <f>Angela_2025_Chase1117_Activity_!D1342</f>
        <v>-71.2</v>
      </c>
    </row>
    <row r="1346" spans="1:4" x14ac:dyDescent="0.25">
      <c r="A1346" s="26">
        <f>Angela_2025_Chase1117_Activity_!B1343</f>
        <v>45828</v>
      </c>
      <c r="B1346" s="6" t="str">
        <f>Angela_2025_Chase1117_Activity_!C1343</f>
        <v>Amazon.com*NO72O0AT1 Amzn.com/bill WA        06/20</v>
      </c>
      <c r="C1346" s="6" t="str">
        <f>Angela_2025_Chase1117_Activity_!G1343</f>
        <v>Amazon</v>
      </c>
      <c r="D1346" s="12">
        <f>Angela_2025_Chase1117_Activity_!D1343</f>
        <v>-23.59</v>
      </c>
    </row>
    <row r="1347" spans="1:4" x14ac:dyDescent="0.25">
      <c r="A1347" s="26">
        <f>Angela_2025_Chase1117_Activity_!B1344</f>
        <v>45828</v>
      </c>
      <c r="B1347" s="6" t="str">
        <f>Angela_2025_Chase1117_Activity_!C1344</f>
        <v>LAPHIL HWBOWL WEB 323-850-2000 CA            06/20</v>
      </c>
      <c r="C1347" s="6" t="str">
        <f>Angela_2025_Chase1117_Activity_!G1344</f>
        <v>Personal - Entertainment</v>
      </c>
      <c r="D1347" s="12">
        <f>Angela_2025_Chase1117_Activity_!D1344</f>
        <v>-312</v>
      </c>
    </row>
    <row r="1348" spans="1:4" x14ac:dyDescent="0.25">
      <c r="A1348" s="26">
        <f>Angela_2025_Chase1117_Activity_!B1345</f>
        <v>45828</v>
      </c>
      <c r="B1348" s="6" t="str">
        <f>Angela_2025_Chase1117_Activity_!C1345</f>
        <v>LAPHIL HWBOWL WEB 323-850-2000 CA            06/19</v>
      </c>
      <c r="C1348" s="6" t="str">
        <f>Angela_2025_Chase1117_Activity_!G1345</f>
        <v>Personal - Entertainment</v>
      </c>
      <c r="D1348" s="12">
        <f>Angela_2025_Chase1117_Activity_!D1345</f>
        <v>-696</v>
      </c>
    </row>
    <row r="1349" spans="1:4" x14ac:dyDescent="0.25">
      <c r="A1349" s="26">
        <f>Angela_2025_Chase1117_Activity_!B1346</f>
        <v>45828</v>
      </c>
      <c r="B1349" s="6" t="str">
        <f>Angela_2025_Chase1117_Activity_!C1346</f>
        <v>LAPHIL HWBOWL WEB 323-850-2000 CA            06/19</v>
      </c>
      <c r="C1349" s="6" t="str">
        <f>Angela_2025_Chase1117_Activity_!G1346</f>
        <v>Personal - Entertainment</v>
      </c>
      <c r="D1349" s="12">
        <f>Angela_2025_Chase1117_Activity_!D1346</f>
        <v>-604</v>
      </c>
    </row>
    <row r="1350" spans="1:4" x14ac:dyDescent="0.25">
      <c r="A1350" s="26">
        <f>Angela_2025_Chase1117_Activity_!B1347</f>
        <v>45828</v>
      </c>
      <c r="B1350" s="6" t="str">
        <f>Angela_2025_Chase1117_Activity_!C1347</f>
        <v>SP GLOMELANIN GLOMELANIN.CO GA               06/19</v>
      </c>
      <c r="C1350" s="6" t="str">
        <f>Angela_2025_Chase1117_Activity_!G1347</f>
        <v>Personal - Health</v>
      </c>
      <c r="D1350" s="12">
        <f>Angela_2025_Chase1117_Activity_!D1347</f>
        <v>-35.44</v>
      </c>
    </row>
    <row r="1351" spans="1:4" x14ac:dyDescent="0.25">
      <c r="A1351" s="26">
        <f>Angela_2025_Chase1117_Activity_!B1348</f>
        <v>45828</v>
      </c>
      <c r="B1351" s="6" t="str">
        <f>Angela_2025_Chase1117_Activity_!C1348</f>
        <v>Amazon Tips*NO4BW7BM Amzn.com/bill WA        06/19</v>
      </c>
      <c r="C1351" s="6" t="str">
        <f>Angela_2025_Chase1117_Activity_!G1348</f>
        <v>Amazon</v>
      </c>
      <c r="D1351" s="12">
        <f>Angela_2025_Chase1117_Activity_!D1348</f>
        <v>-7</v>
      </c>
    </row>
    <row r="1352" spans="1:4" x14ac:dyDescent="0.25">
      <c r="A1352" s="26">
        <f>Angela_2025_Chase1117_Activity_!B1349</f>
        <v>45828</v>
      </c>
      <c r="B1352" s="6" t="str">
        <f>Angela_2025_Chase1117_Activity_!C1349</f>
        <v>Online Transfer from CHK ...1168 transaction#: 25200276037</v>
      </c>
      <c r="C1352" s="6" t="str">
        <f>Angela_2025_Chase1117_Activity_!G1349</f>
        <v>Transfer from DWG Capital Group</v>
      </c>
      <c r="D1352" s="12">
        <f>Angela_2025_Chase1117_Activity_!D1349</f>
        <v>3000</v>
      </c>
    </row>
    <row r="1353" spans="1:4" x14ac:dyDescent="0.25">
      <c r="A1353" s="26">
        <f>Angela_2025_Chase1117_Activity_!B1350</f>
        <v>45828</v>
      </c>
      <c r="B1353" s="6" t="str">
        <f>Angela_2025_Chase1117_Activity_!C1350</f>
        <v>DEPOSIT  ID NUMBER 109171</v>
      </c>
      <c r="C1353" s="6" t="str">
        <f>Angela_2025_Chase1117_Activity_!G1350</f>
        <v>Deposit</v>
      </c>
      <c r="D1353" s="12">
        <f>Angela_2025_Chase1117_Activity_!D1350</f>
        <v>208.45</v>
      </c>
    </row>
    <row r="1354" spans="1:4" x14ac:dyDescent="0.25">
      <c r="A1354" s="26">
        <f>Angela_2025_Chase1117_Activity_!B1351</f>
        <v>45826</v>
      </c>
      <c r="B1354" s="6" t="str">
        <f>Angela_2025_Chase1117_Activity_!C1351</f>
        <v>AMAZON MKTPL*NA5B99I Amzn.com/bill WA        06/18</v>
      </c>
      <c r="C1354" s="6" t="str">
        <f>Angela_2025_Chase1117_Activity_!G1351</f>
        <v>Amazon</v>
      </c>
      <c r="D1354" s="12">
        <f>Angela_2025_Chase1117_Activity_!D1351</f>
        <v>-27.1</v>
      </c>
    </row>
    <row r="1355" spans="1:4" x14ac:dyDescent="0.25">
      <c r="A1355" s="26">
        <f>Angela_2025_Chase1117_Activity_!B1352</f>
        <v>45826</v>
      </c>
      <c r="B1355" s="6" t="str">
        <f>Angela_2025_Chase1117_Activity_!C1352</f>
        <v>Amazon.com*NA8Q949X1 Amzn.com/bill WA        06/17</v>
      </c>
      <c r="C1355" s="6" t="str">
        <f>Angela_2025_Chase1117_Activity_!G1352</f>
        <v>Amazon</v>
      </c>
      <c r="D1355" s="12">
        <f>Angela_2025_Chase1117_Activity_!D1352</f>
        <v>-90.93</v>
      </c>
    </row>
    <row r="1356" spans="1:4" x14ac:dyDescent="0.25">
      <c r="A1356" s="26">
        <f>Angela_2025_Chase1117_Activity_!B1353</f>
        <v>45826</v>
      </c>
      <c r="B1356" s="6" t="str">
        <f>Angela_2025_Chase1117_Activity_!C1353</f>
        <v>PAVILIONS #2105 MARINA DEL RE CA             06/17</v>
      </c>
      <c r="C1356" s="6" t="str">
        <f>Angela_2025_Chase1117_Activity_!G1353</f>
        <v>Personal - Food</v>
      </c>
      <c r="D1356" s="12">
        <f>Angela_2025_Chase1117_Activity_!D1353</f>
        <v>-435.82</v>
      </c>
    </row>
    <row r="1357" spans="1:4" x14ac:dyDescent="0.25">
      <c r="A1357" s="26">
        <f>Angela_2025_Chase1117_Activity_!B1354</f>
        <v>45826</v>
      </c>
      <c r="B1357" s="6" t="str">
        <f>Angela_2025_Chase1117_Activity_!C1354</f>
        <v>PEETS 13403 MARINA DEL RE CA                 06/17</v>
      </c>
      <c r="C1357" s="6" t="str">
        <f>Angela_2025_Chase1117_Activity_!G1354</f>
        <v>Personal - Food</v>
      </c>
      <c r="D1357" s="12">
        <f>Angela_2025_Chase1117_Activity_!D1354</f>
        <v>-7.4</v>
      </c>
    </row>
    <row r="1358" spans="1:4" x14ac:dyDescent="0.25">
      <c r="A1358" s="26">
        <f>Angela_2025_Chase1117_Activity_!B1355</f>
        <v>45826</v>
      </c>
      <c r="B1358" s="6" t="str">
        <f>Angela_2025_Chase1117_Activity_!C1355</f>
        <v>SQ *BERRY FLASH PHOTO Los Angeles CA         06/17</v>
      </c>
      <c r="C1358" s="6" t="str">
        <f>Angela_2025_Chase1117_Activity_!G1355</f>
        <v>Personal - Shopping</v>
      </c>
      <c r="D1358" s="12">
        <f>Angela_2025_Chase1117_Activity_!D1355</f>
        <v>-56.31</v>
      </c>
    </row>
    <row r="1359" spans="1:4" x14ac:dyDescent="0.25">
      <c r="A1359" s="26">
        <f>Angela_2025_Chase1117_Activity_!B1356</f>
        <v>45826</v>
      </c>
      <c r="B1359" s="6" t="str">
        <f>Angela_2025_Chase1117_Activity_!C1356</f>
        <v>HANDY J CAR WASH LOS ANGELES CA              06/17</v>
      </c>
      <c r="C1359" s="6" t="str">
        <f>Angela_2025_Chase1117_Activity_!G1356</f>
        <v>Personal - Car</v>
      </c>
      <c r="D1359" s="12">
        <f>Angela_2025_Chase1117_Activity_!D1356</f>
        <v>-26.99</v>
      </c>
    </row>
    <row r="1360" spans="1:4" x14ac:dyDescent="0.25">
      <c r="A1360" s="26">
        <f>Angela_2025_Chase1117_Activity_!B1357</f>
        <v>45826</v>
      </c>
      <c r="B1360" s="6" t="str">
        <f>Angela_2025_Chase1117_Activity_!C1357</f>
        <v>JON RAPPOPORT JONRAPPOPORT. NC               06/17</v>
      </c>
      <c r="C1360" s="6" t="str">
        <f>Angela_2025_Chase1117_Activity_!G1357</f>
        <v>Personal - Subscription</v>
      </c>
      <c r="D1360" s="12">
        <f>Angela_2025_Chase1117_Activity_!D1357</f>
        <v>-60</v>
      </c>
    </row>
    <row r="1361" spans="1:4" x14ac:dyDescent="0.25">
      <c r="A1361" s="26">
        <f>Angela_2025_Chase1117_Activity_!B1358</f>
        <v>45825</v>
      </c>
      <c r="B1361" s="6" t="str">
        <f>Angela_2025_Chase1117_Activity_!C1358</f>
        <v>UBER   * EATS PENDIN SAN FRANCISCO CA072451  06/16</v>
      </c>
      <c r="C1361" s="6" t="str">
        <f>Angela_2025_Chase1117_Activity_!G1358</f>
        <v>Uber Eats</v>
      </c>
      <c r="D1361" s="12">
        <f>Angela_2025_Chase1117_Activity_!D1358</f>
        <v>-69.180000000000007</v>
      </c>
    </row>
    <row r="1362" spans="1:4" x14ac:dyDescent="0.25">
      <c r="A1362" s="26">
        <f>Angela_2025_Chase1117_Activity_!B1359</f>
        <v>45825</v>
      </c>
      <c r="B1362" s="6" t="str">
        <f>Angela_2025_Chase1117_Activity_!C1359</f>
        <v>AMAZON MKTPL*NA0N77S Amzn.com/bill WA        06/17</v>
      </c>
      <c r="C1362" s="6" t="str">
        <f>Angela_2025_Chase1117_Activity_!G1359</f>
        <v>Amazon</v>
      </c>
      <c r="D1362" s="12">
        <f>Angela_2025_Chase1117_Activity_!D1359</f>
        <v>-37.299999999999997</v>
      </c>
    </row>
    <row r="1363" spans="1:4" x14ac:dyDescent="0.25">
      <c r="A1363" s="26">
        <f>Angela_2025_Chase1117_Activity_!B1360</f>
        <v>45824</v>
      </c>
      <c r="B1363" s="6" t="str">
        <f>Angela_2025_Chase1117_Activity_!C1360</f>
        <v>Amazon.com*NO35R8NR2 Amzn.com/bill WA        06/16</v>
      </c>
      <c r="C1363" s="6" t="str">
        <f>Angela_2025_Chase1117_Activity_!G1360</f>
        <v>Amazon</v>
      </c>
      <c r="D1363" s="12">
        <f>Angela_2025_Chase1117_Activity_!D1360</f>
        <v>-33.840000000000003</v>
      </c>
    </row>
    <row r="1364" spans="1:4" x14ac:dyDescent="0.25">
      <c r="A1364" s="26">
        <f>Angela_2025_Chase1117_Activity_!B1361</f>
        <v>45824</v>
      </c>
      <c r="B1364" s="6" t="str">
        <f>Angela_2025_Chase1117_Activity_!C1361</f>
        <v>AMAZON MKTPL*NA75C0X Amzn.com/bill WA        06/16</v>
      </c>
      <c r="C1364" s="6" t="str">
        <f>Angela_2025_Chase1117_Activity_!G1361</f>
        <v>Amazon</v>
      </c>
      <c r="D1364" s="12">
        <f>Angela_2025_Chase1117_Activity_!D1361</f>
        <v>-126.16</v>
      </c>
    </row>
    <row r="1365" spans="1:4" x14ac:dyDescent="0.25">
      <c r="A1365" s="26">
        <f>Angela_2025_Chase1117_Activity_!B1362</f>
        <v>45824</v>
      </c>
      <c r="B1365" s="6" t="str">
        <f>Angela_2025_Chase1117_Activity_!C1362</f>
        <v>AMAZON MKTPL*NA91Z75 Amzn.com/bill WA        06/16</v>
      </c>
      <c r="C1365" s="6" t="str">
        <f>Angela_2025_Chase1117_Activity_!G1362</f>
        <v>Amazon</v>
      </c>
      <c r="D1365" s="12">
        <f>Angela_2025_Chase1117_Activity_!D1362</f>
        <v>-21.9</v>
      </c>
    </row>
    <row r="1366" spans="1:4" x14ac:dyDescent="0.25">
      <c r="A1366" s="26">
        <f>Angela_2025_Chase1117_Activity_!B1363</f>
        <v>45824</v>
      </c>
      <c r="B1366" s="6" t="str">
        <f>Angela_2025_Chase1117_Activity_!C1363</f>
        <v>Prime Video Channels amzn.com/bill WA        06/14</v>
      </c>
      <c r="C1366" s="6" t="str">
        <f>Angela_2025_Chase1117_Activity_!G1363</f>
        <v>Amazon</v>
      </c>
      <c r="D1366" s="12">
        <f>Angela_2025_Chase1117_Activity_!D1363</f>
        <v>-10.99</v>
      </c>
    </row>
    <row r="1367" spans="1:4" x14ac:dyDescent="0.25">
      <c r="A1367" s="26">
        <f>Angela_2025_Chase1117_Activity_!B1364</f>
        <v>45824</v>
      </c>
      <c r="B1367" s="6" t="str">
        <f>Angela_2025_Chase1117_Activity_!C1364</f>
        <v>AMAZON PRIME*NA3L79I Amzn.com/bill WA        06/14</v>
      </c>
      <c r="C1367" s="6" t="str">
        <f>Angela_2025_Chase1117_Activity_!G1364</f>
        <v>Amazon</v>
      </c>
      <c r="D1367" s="12">
        <f>Angela_2025_Chase1117_Activity_!D1364</f>
        <v>-16.45</v>
      </c>
    </row>
    <row r="1368" spans="1:4" x14ac:dyDescent="0.25">
      <c r="A1368" s="26">
        <f>Angela_2025_Chase1117_Activity_!B1365</f>
        <v>45824</v>
      </c>
      <c r="B1368" s="6" t="str">
        <f>Angela_2025_Chase1117_Activity_!C1365</f>
        <v>APPLE.COM/BILL 866-712-7753 CA               06/14</v>
      </c>
      <c r="C1368" s="6" t="str">
        <f>Angela_2025_Chase1117_Activity_!G1365</f>
        <v>Apple</v>
      </c>
      <c r="D1368" s="12">
        <f>Angela_2025_Chase1117_Activity_!D1365</f>
        <v>-59.99</v>
      </c>
    </row>
    <row r="1369" spans="1:4" x14ac:dyDescent="0.25">
      <c r="A1369" s="26">
        <f>Angela_2025_Chase1117_Activity_!B1366</f>
        <v>45824</v>
      </c>
      <c r="B1369" s="6" t="str">
        <f>Angela_2025_Chase1117_Activity_!C1366</f>
        <v>Amazon.com*NA8EE6WO2 Amzn.com/bill WA        06/15</v>
      </c>
      <c r="C1369" s="6" t="str">
        <f>Angela_2025_Chase1117_Activity_!G1366</f>
        <v>Amazon</v>
      </c>
      <c r="D1369" s="12">
        <f>Angela_2025_Chase1117_Activity_!D1366</f>
        <v>-39.520000000000003</v>
      </c>
    </row>
    <row r="1370" spans="1:4" x14ac:dyDescent="0.25">
      <c r="A1370" s="26">
        <f>Angela_2025_Chase1117_Activity_!B1367</f>
        <v>45824</v>
      </c>
      <c r="B1370" s="6" t="str">
        <f>Angela_2025_Chase1117_Activity_!C1367</f>
        <v>AMAZON MKTPL*NA90010 Amzn.com/bill WA        06/15</v>
      </c>
      <c r="C1370" s="6" t="str">
        <f>Angela_2025_Chase1117_Activity_!G1367</f>
        <v>Amazon</v>
      </c>
      <c r="D1370" s="12">
        <f>Angela_2025_Chase1117_Activity_!D1367</f>
        <v>-39.479999999999997</v>
      </c>
    </row>
    <row r="1371" spans="1:4" x14ac:dyDescent="0.25">
      <c r="A1371" s="26">
        <f>Angela_2025_Chase1117_Activity_!B1368</f>
        <v>45824</v>
      </c>
      <c r="B1371" s="6" t="str">
        <f>Angela_2025_Chase1117_Activity_!C1368</f>
        <v>AMAZON MKTPL*NA2V549 Amzn.com/bill WA        06/14</v>
      </c>
      <c r="C1371" s="6" t="str">
        <f>Angela_2025_Chase1117_Activity_!G1368</f>
        <v>Amazon</v>
      </c>
      <c r="D1371" s="12">
        <f>Angela_2025_Chase1117_Activity_!D1368</f>
        <v>-39.5</v>
      </c>
    </row>
    <row r="1372" spans="1:4" x14ac:dyDescent="0.25">
      <c r="A1372" s="26">
        <f>Angela_2025_Chase1117_Activity_!B1369</f>
        <v>45824</v>
      </c>
      <c r="B1372" s="6" t="str">
        <f>Angela_2025_Chase1117_Activity_!C1369</f>
        <v>AMAZON MKTPL*NA1QU0K Amzn.com/bill WA        06/13</v>
      </c>
      <c r="C1372" s="6" t="str">
        <f>Angela_2025_Chase1117_Activity_!G1369</f>
        <v>Amazon</v>
      </c>
      <c r="D1372" s="12">
        <f>Angela_2025_Chase1117_Activity_!D1369</f>
        <v>-61.33</v>
      </c>
    </row>
    <row r="1373" spans="1:4" x14ac:dyDescent="0.25">
      <c r="A1373" s="26">
        <f>Angela_2025_Chase1117_Activity_!B1370</f>
        <v>45824</v>
      </c>
      <c r="B1373" s="6" t="str">
        <f>Angela_2025_Chase1117_Activity_!C1370</f>
        <v>AMAZON MKTPL*NA07F4N Amzn.com/bill WA        06/14</v>
      </c>
      <c r="C1373" s="6" t="str">
        <f>Angela_2025_Chase1117_Activity_!G1370</f>
        <v>Amazon</v>
      </c>
      <c r="D1373" s="12">
        <f>Angela_2025_Chase1117_Activity_!D1370</f>
        <v>-28.95</v>
      </c>
    </row>
    <row r="1374" spans="1:4" x14ac:dyDescent="0.25">
      <c r="A1374" s="26">
        <f>Angela_2025_Chase1117_Activity_!B1371</f>
        <v>45824</v>
      </c>
      <c r="B1374" s="6" t="str">
        <f>Angela_2025_Chase1117_Activity_!C1371</f>
        <v>AMAZON MKTPL*NA5QI8F Amzn.com/bill WA        06/13</v>
      </c>
      <c r="C1374" s="6" t="str">
        <f>Angela_2025_Chase1117_Activity_!G1371</f>
        <v>Amazon</v>
      </c>
      <c r="D1374" s="12">
        <f>Angela_2025_Chase1117_Activity_!D1371</f>
        <v>-90.01</v>
      </c>
    </row>
    <row r="1375" spans="1:4" x14ac:dyDescent="0.25">
      <c r="A1375" s="26">
        <f>Angela_2025_Chase1117_Activity_!B1372</f>
        <v>45821</v>
      </c>
      <c r="B1375" s="6" t="str">
        <f>Angela_2025_Chase1117_Activity_!C1372</f>
        <v>Zelle payment to Britt Magadini JPM99bc2xyle</v>
      </c>
      <c r="C1375" s="6" t="str">
        <f>Angela_2025_Chase1117_Activity_!G1372</f>
        <v>Zelle to Britt Magadini</v>
      </c>
      <c r="D1375" s="12">
        <f>Angela_2025_Chase1117_Activity_!D1372</f>
        <v>-500</v>
      </c>
    </row>
    <row r="1376" spans="1:4" x14ac:dyDescent="0.25">
      <c r="A1376" s="26">
        <f>Angela_2025_Chase1117_Activity_!B1373</f>
        <v>45821</v>
      </c>
      <c r="B1376" s="6" t="str">
        <f>Angela_2025_Chase1117_Activity_!C1373</f>
        <v>SP RAJANIMD STORE.RAJANIM OR                 06/13</v>
      </c>
      <c r="C1376" s="6" t="str">
        <f>Angela_2025_Chase1117_Activity_!G1373</f>
        <v>Personal - Health</v>
      </c>
      <c r="D1376" s="12">
        <f>Angela_2025_Chase1117_Activity_!D1373</f>
        <v>-677.01</v>
      </c>
    </row>
    <row r="1377" spans="1:4" x14ac:dyDescent="0.25">
      <c r="A1377" s="26">
        <f>Angela_2025_Chase1117_Activity_!B1374</f>
        <v>45821</v>
      </c>
      <c r="B1377" s="6" t="str">
        <f>Angela_2025_Chase1117_Activity_!C1374</f>
        <v>CITY OF SANTA MONICA SANTA MONICA CA         06/12</v>
      </c>
      <c r="C1377" s="6" t="str">
        <f>Angela_2025_Chase1117_Activity_!G1374</f>
        <v>Personal - Car</v>
      </c>
      <c r="D1377" s="12">
        <f>Angela_2025_Chase1117_Activity_!D1374</f>
        <v>-1.25</v>
      </c>
    </row>
    <row r="1378" spans="1:4" x14ac:dyDescent="0.25">
      <c r="A1378" s="26">
        <f>Angela_2025_Chase1117_Activity_!B1375</f>
        <v>45821</v>
      </c>
      <c r="B1378" s="6" t="str">
        <f>Angela_2025_Chase1117_Activity_!C1375</f>
        <v>AMAZON MKTPL*NH5Z37W Amzn.com/bill WA        06/12</v>
      </c>
      <c r="C1378" s="6" t="str">
        <f>Angela_2025_Chase1117_Activity_!G1375</f>
        <v>Amazon</v>
      </c>
      <c r="D1378" s="12">
        <f>Angela_2025_Chase1117_Activity_!D1375</f>
        <v>-10.210000000000001</v>
      </c>
    </row>
    <row r="1379" spans="1:4" x14ac:dyDescent="0.25">
      <c r="A1379" s="26">
        <f>Angela_2025_Chase1117_Activity_!B1376</f>
        <v>45820</v>
      </c>
      <c r="B1379" s="6" t="str">
        <f>Angela_2025_Chase1117_Activity_!C1376</f>
        <v>AMAZON MKTPL*NH0D459 Amzn.com/bill WA        06/12</v>
      </c>
      <c r="C1379" s="6" t="str">
        <f>Angela_2025_Chase1117_Activity_!G1376</f>
        <v>Amazon</v>
      </c>
      <c r="D1379" s="12">
        <f>Angela_2025_Chase1117_Activity_!D1376</f>
        <v>-26.98</v>
      </c>
    </row>
    <row r="1380" spans="1:4" x14ac:dyDescent="0.25">
      <c r="A1380" s="26">
        <f>Angela_2025_Chase1117_Activity_!B1377</f>
        <v>45820</v>
      </c>
      <c r="B1380" s="6" t="str">
        <f>Angela_2025_Chase1117_Activity_!C1377</f>
        <v>Amazon Tips*NA4MW8VK Amzn.com/bill WA        06/12</v>
      </c>
      <c r="C1380" s="6" t="str">
        <f>Angela_2025_Chase1117_Activity_!G1377</f>
        <v>Amazon</v>
      </c>
      <c r="D1380" s="12">
        <f>Angela_2025_Chase1117_Activity_!D1377</f>
        <v>-7</v>
      </c>
    </row>
    <row r="1381" spans="1:4" x14ac:dyDescent="0.25">
      <c r="A1381" s="26">
        <f>Angela_2025_Chase1117_Activity_!B1378</f>
        <v>45820</v>
      </c>
      <c r="B1381" s="6" t="str">
        <f>Angela_2025_Chase1117_Activity_!C1378</f>
        <v>PAVILIONS #2105 MARINA DEL RE CA             06/11</v>
      </c>
      <c r="C1381" s="6" t="str">
        <f>Angela_2025_Chase1117_Activity_!G1378</f>
        <v>Personal - Food</v>
      </c>
      <c r="D1381" s="12">
        <f>Angela_2025_Chase1117_Activity_!D1378</f>
        <v>-517.42999999999995</v>
      </c>
    </row>
    <row r="1382" spans="1:4" x14ac:dyDescent="0.25">
      <c r="A1382" s="26">
        <f>Angela_2025_Chase1117_Activity_!B1379</f>
        <v>45820</v>
      </c>
      <c r="B1382" s="6" t="str">
        <f>Angela_2025_Chase1117_Activity_!C1379</f>
        <v>LA COUNTY TTC PAY 213-974-2111 CA            06/11</v>
      </c>
      <c r="C1382" s="6" t="str">
        <f>Angela_2025_Chase1117_Activity_!G1379</f>
        <v>Personal - House Bills</v>
      </c>
      <c r="D1382" s="12">
        <f>Angela_2025_Chase1117_Activity_!D1379</f>
        <v>-386.66</v>
      </c>
    </row>
    <row r="1383" spans="1:4" x14ac:dyDescent="0.25">
      <c r="A1383" s="26">
        <f>Angela_2025_Chase1117_Activity_!B1380</f>
        <v>45820</v>
      </c>
      <c r="B1383" s="6" t="str">
        <f>Angela_2025_Chase1117_Activity_!C1380</f>
        <v>SERVICE FEE 213-974-2111 TN                  06/11</v>
      </c>
      <c r="C1383" s="6" t="str">
        <f>Angela_2025_Chase1117_Activity_!G1380</f>
        <v>Personal - House Bills</v>
      </c>
      <c r="D1383" s="12">
        <f>Angela_2025_Chase1117_Activity_!D1380</f>
        <v>-8.58</v>
      </c>
    </row>
    <row r="1384" spans="1:4" x14ac:dyDescent="0.25">
      <c r="A1384" s="26">
        <f>Angela_2025_Chase1117_Activity_!B1381</f>
        <v>45820</v>
      </c>
      <c r="B1384" s="6" t="str">
        <f>Angela_2025_Chase1117_Activity_!C1381</f>
        <v>LADOT PARKING CITATIO 866-561-9742 CA        06/11</v>
      </c>
      <c r="C1384" s="6" t="str">
        <f>Angela_2025_Chase1117_Activity_!G1381</f>
        <v>Personal - Car</v>
      </c>
      <c r="D1384" s="12">
        <f>Angela_2025_Chase1117_Activity_!D1381</f>
        <v>-47</v>
      </c>
    </row>
    <row r="1385" spans="1:4" x14ac:dyDescent="0.25">
      <c r="A1385" s="26">
        <f>Angela_2025_Chase1117_Activity_!B1382</f>
        <v>45820</v>
      </c>
      <c r="B1385" s="6" t="str">
        <f>Angela_2025_Chase1117_Activity_!C1382</f>
        <v>LOS ANGELES INTERNATIO LOS ANGELES CA        06/10</v>
      </c>
      <c r="C1385" s="6" t="str">
        <f>Angela_2025_Chase1117_Activity_!G1382</f>
        <v>Personal Travel</v>
      </c>
      <c r="D1385" s="12">
        <f>Angela_2025_Chase1117_Activity_!D1382</f>
        <v>-8</v>
      </c>
    </row>
    <row r="1386" spans="1:4" x14ac:dyDescent="0.25">
      <c r="A1386" s="26">
        <f>Angela_2025_Chase1117_Activity_!B1383</f>
        <v>45820</v>
      </c>
      <c r="B1386" s="6" t="str">
        <f>Angela_2025_Chase1117_Activity_!C1383</f>
        <v>AMERICAN AI 00126018895 DALLAS TX            06/10</v>
      </c>
      <c r="C1386" s="6" t="str">
        <f>Angela_2025_Chase1117_Activity_!G1383</f>
        <v>Personal Travel</v>
      </c>
      <c r="D1386" s="12">
        <f>Angela_2025_Chase1117_Activity_!D1383</f>
        <v>-100</v>
      </c>
    </row>
    <row r="1387" spans="1:4" x14ac:dyDescent="0.25">
      <c r="A1387" s="26">
        <f>Angela_2025_Chase1117_Activity_!B1384</f>
        <v>45820</v>
      </c>
      <c r="B1387" s="6" t="str">
        <f>Angela_2025_Chase1117_Activity_!C1384</f>
        <v>AMAZON MKTPL*NA87V20 Amzn.com/bill WA        06/11</v>
      </c>
      <c r="C1387" s="6" t="str">
        <f>Angela_2025_Chase1117_Activity_!G1384</f>
        <v>Amazon</v>
      </c>
      <c r="D1387" s="12">
        <f>Angela_2025_Chase1117_Activity_!D1384</f>
        <v>-345.06</v>
      </c>
    </row>
    <row r="1388" spans="1:4" x14ac:dyDescent="0.25">
      <c r="A1388" s="26">
        <f>Angela_2025_Chase1117_Activity_!B1385</f>
        <v>45819</v>
      </c>
      <c r="B1388" s="6" t="str">
        <f>Angela_2025_Chase1117_Activity_!C1385</f>
        <v>Online Payment 25091711990 To SOUTHERN CALIFORNIA GAS CO 06/11</v>
      </c>
      <c r="C1388" s="6" t="str">
        <f>Angela_2025_Chase1117_Activity_!G1385</f>
        <v>Personal - House Bills</v>
      </c>
      <c r="D1388" s="12">
        <f>Angela_2025_Chase1117_Activity_!D1385</f>
        <v>-238.03</v>
      </c>
    </row>
    <row r="1389" spans="1:4" x14ac:dyDescent="0.25">
      <c r="A1389" s="26">
        <f>Angela_2025_Chase1117_Activity_!B1386</f>
        <v>45819</v>
      </c>
      <c r="B1389" s="6" t="str">
        <f>Angela_2025_Chase1117_Activity_!C1386</f>
        <v>Online Payment 25091682812 To FRONTIER TELEPHONE 06/11</v>
      </c>
      <c r="C1389" s="6" t="str">
        <f>Angela_2025_Chase1117_Activity_!G1386</f>
        <v>Personal - House Bills</v>
      </c>
      <c r="D1389" s="12">
        <f>Angela_2025_Chase1117_Activity_!D1386</f>
        <v>-59.11</v>
      </c>
    </row>
    <row r="1390" spans="1:4" x14ac:dyDescent="0.25">
      <c r="A1390" s="26">
        <f>Angela_2025_Chase1117_Activity_!B1387</f>
        <v>45819</v>
      </c>
      <c r="B1390" s="6" t="str">
        <f>Angela_2025_Chase1117_Activity_!C1387</f>
        <v>GELSON'S MARKET #29 SANTA MONICA CA  790230  06/10</v>
      </c>
      <c r="C1390" s="6" t="str">
        <f>Angela_2025_Chase1117_Activity_!G1387</f>
        <v>Personal - Food</v>
      </c>
      <c r="D1390" s="12">
        <f>Angela_2025_Chase1117_Activity_!D1387</f>
        <v>-114.16</v>
      </c>
    </row>
    <row r="1391" spans="1:4" x14ac:dyDescent="0.25">
      <c r="A1391" s="26">
        <f>Angela_2025_Chase1117_Activity_!B1388</f>
        <v>45819</v>
      </c>
      <c r="B1391" s="6" t="str">
        <f>Angela_2025_Chase1117_Activity_!C1388</f>
        <v>Amazon.com*NH2V44H91 Amzn.com/bill WA        06/10</v>
      </c>
      <c r="C1391" s="6" t="str">
        <f>Angela_2025_Chase1117_Activity_!G1388</f>
        <v>Amazon</v>
      </c>
      <c r="D1391" s="12">
        <f>Angela_2025_Chase1117_Activity_!D1388</f>
        <v>-89.94</v>
      </c>
    </row>
    <row r="1392" spans="1:4" x14ac:dyDescent="0.25">
      <c r="A1392" s="26">
        <f>Angela_2025_Chase1117_Activity_!B1389</f>
        <v>45819</v>
      </c>
      <c r="B1392" s="6" t="str">
        <f>Angela_2025_Chase1117_Activity_!C1389</f>
        <v>Zara.com New York NY                         06/10</v>
      </c>
      <c r="C1392" s="6" t="str">
        <f>Angela_2025_Chase1117_Activity_!G1389</f>
        <v>Personal - Shopping</v>
      </c>
      <c r="D1392" s="12">
        <f>Angela_2025_Chase1117_Activity_!D1389</f>
        <v>-498.89</v>
      </c>
    </row>
    <row r="1393" spans="1:4" x14ac:dyDescent="0.25">
      <c r="A1393" s="26">
        <f>Angela_2025_Chase1117_Activity_!B1390</f>
        <v>45819</v>
      </c>
      <c r="B1393" s="6" t="str">
        <f>Angela_2025_Chase1117_Activity_!C1390</f>
        <v>AMAZON MKTPL*NH5HD8M Amzn.com/bill WA        06/10</v>
      </c>
      <c r="C1393" s="6" t="str">
        <f>Angela_2025_Chase1117_Activity_!G1390</f>
        <v>Amazon</v>
      </c>
      <c r="D1393" s="12">
        <f>Angela_2025_Chase1117_Activity_!D1390</f>
        <v>-665.88</v>
      </c>
    </row>
    <row r="1394" spans="1:4" x14ac:dyDescent="0.25">
      <c r="A1394" s="26">
        <f>Angela_2025_Chase1117_Activity_!B1391</f>
        <v>45819</v>
      </c>
      <c r="B1394" s="6" t="str">
        <f>Angela_2025_Chase1117_Activity_!C1391</f>
        <v>Online Transfer from CHK ...1168 transaction#: 25094128940</v>
      </c>
      <c r="C1394" s="6" t="str">
        <f>Angela_2025_Chase1117_Activity_!G1391</f>
        <v>Transfer from DWG Capital Group</v>
      </c>
      <c r="D1394" s="12">
        <f>Angela_2025_Chase1117_Activity_!D1391</f>
        <v>5000</v>
      </c>
    </row>
    <row r="1395" spans="1:4" x14ac:dyDescent="0.25">
      <c r="A1395" s="26">
        <f>Angela_2025_Chase1117_Activity_!B1392</f>
        <v>45818</v>
      </c>
      <c r="B1395" s="6" t="str">
        <f>Angela_2025_Chase1117_Activity_!C1392</f>
        <v>ZOLA.COM*REGISTRY ZOLA.COM NY                06/10</v>
      </c>
      <c r="C1395" s="6" t="str">
        <f>Angela_2025_Chase1117_Activity_!G1392</f>
        <v>Personal - Shopping</v>
      </c>
      <c r="D1395" s="12">
        <f>Angela_2025_Chase1117_Activity_!D1392</f>
        <v>-517.49</v>
      </c>
    </row>
    <row r="1396" spans="1:4" x14ac:dyDescent="0.25">
      <c r="A1396" s="26">
        <f>Angela_2025_Chase1117_Activity_!B1393</f>
        <v>45818</v>
      </c>
      <c r="B1396" s="6" t="str">
        <f>Angela_2025_Chase1117_Activity_!C1393</f>
        <v>APPLE.COM/BILL 866-712-7753 CA               06/10</v>
      </c>
      <c r="C1396" s="6" t="str">
        <f>Angela_2025_Chase1117_Activity_!G1393</f>
        <v>Apple</v>
      </c>
      <c r="D1396" s="12">
        <f>Angela_2025_Chase1117_Activity_!D1393</f>
        <v>-12.99</v>
      </c>
    </row>
    <row r="1397" spans="1:4" x14ac:dyDescent="0.25">
      <c r="A1397" s="26">
        <f>Angela_2025_Chase1117_Activity_!B1394</f>
        <v>45818</v>
      </c>
      <c r="B1397" s="6" t="str">
        <f>Angela_2025_Chase1117_Activity_!C1394</f>
        <v>AMERICAN AIR00144629112 FORT WORTH TX        06/09</v>
      </c>
      <c r="C1397" s="6" t="str">
        <f>Angela_2025_Chase1117_Activity_!G1394</f>
        <v>Personal Travel</v>
      </c>
      <c r="D1397" s="12">
        <f>Angela_2025_Chase1117_Activity_!D1394</f>
        <v>-35</v>
      </c>
    </row>
    <row r="1398" spans="1:4" x14ac:dyDescent="0.25">
      <c r="A1398" s="26">
        <f>Angela_2025_Chase1117_Activity_!B1395</f>
        <v>45818</v>
      </c>
      <c r="B1398" s="6" t="str">
        <f>Angela_2025_Chase1117_Activity_!C1395</f>
        <v>AMERICAN AIR00144629112 FORT WORTH TX        06/09</v>
      </c>
      <c r="C1398" s="6" t="str">
        <f>Angela_2025_Chase1117_Activity_!G1395</f>
        <v>Personal Travel</v>
      </c>
      <c r="D1398" s="12">
        <f>Angela_2025_Chase1117_Activity_!D1395</f>
        <v>-45</v>
      </c>
    </row>
    <row r="1399" spans="1:4" x14ac:dyDescent="0.25">
      <c r="A1399" s="26">
        <f>Angela_2025_Chase1117_Activity_!B1396</f>
        <v>45818</v>
      </c>
      <c r="B1399" s="6" t="str">
        <f>Angela_2025_Chase1117_Activity_!C1396</f>
        <v>APPLE.COM/BILL 866-712-7753 CA               06/09</v>
      </c>
      <c r="C1399" s="6" t="str">
        <f>Angela_2025_Chase1117_Activity_!G1396</f>
        <v>Apple</v>
      </c>
      <c r="D1399" s="12">
        <f>Angela_2025_Chase1117_Activity_!D1396</f>
        <v>-3.99</v>
      </c>
    </row>
    <row r="1400" spans="1:4" x14ac:dyDescent="0.25">
      <c r="A1400" s="26">
        <f>Angela_2025_Chase1117_Activity_!B1397</f>
        <v>45818</v>
      </c>
      <c r="B1400" s="6" t="str">
        <f>Angela_2025_Chase1117_Activity_!C1397</f>
        <v>Amazon.com*NH8SL5AP1 Amzn.com/bill WA        06/09</v>
      </c>
      <c r="C1400" s="6" t="str">
        <f>Angela_2025_Chase1117_Activity_!G1397</f>
        <v>Amazon</v>
      </c>
      <c r="D1400" s="12">
        <f>Angela_2025_Chase1117_Activity_!D1397</f>
        <v>-21.9</v>
      </c>
    </row>
    <row r="1401" spans="1:4" x14ac:dyDescent="0.25">
      <c r="A1401" s="26">
        <f>Angela_2025_Chase1117_Activity_!B1398</f>
        <v>45818</v>
      </c>
      <c r="B1401" s="6" t="str">
        <f>Angela_2025_Chase1117_Activity_!C1398</f>
        <v>AMAZON MKTPL*NH90L2E Amzn.com/bill WA        06/09</v>
      </c>
      <c r="C1401" s="6" t="str">
        <f>Angela_2025_Chase1117_Activity_!G1398</f>
        <v>Amazon</v>
      </c>
      <c r="D1401" s="12">
        <f>Angela_2025_Chase1117_Activity_!D1398</f>
        <v>-29.61</v>
      </c>
    </row>
    <row r="1402" spans="1:4" x14ac:dyDescent="0.25">
      <c r="A1402" s="26">
        <f>Angela_2025_Chase1117_Activity_!B1399</f>
        <v>45818</v>
      </c>
      <c r="B1402" s="6" t="str">
        <f>Angela_2025_Chase1117_Activity_!C1399</f>
        <v>Online Transfer from CHK ...1168 transaction#: 25076703692</v>
      </c>
      <c r="C1402" s="6" t="str">
        <f>Angela_2025_Chase1117_Activity_!G1399</f>
        <v>Transfer from DWG Capital Group</v>
      </c>
      <c r="D1402" s="12">
        <f>Angela_2025_Chase1117_Activity_!D1399</f>
        <v>1000</v>
      </c>
    </row>
    <row r="1403" spans="1:4" x14ac:dyDescent="0.25">
      <c r="A1403" s="26">
        <f>Angela_2025_Chase1117_Activity_!B1400</f>
        <v>45818</v>
      </c>
      <c r="B1403" s="6" t="str">
        <f>Angela_2025_Chase1117_Activity_!C1400</f>
        <v>AMAZON MKTPLACE PMTS Amzn.com/bill WA        06/09</v>
      </c>
      <c r="C1403" s="6" t="str">
        <f>Angela_2025_Chase1117_Activity_!G1400</f>
        <v>Amazon</v>
      </c>
      <c r="D1403" s="12">
        <f>Angela_2025_Chase1117_Activity_!D1400</f>
        <v>14.26</v>
      </c>
    </row>
    <row r="1404" spans="1:4" x14ac:dyDescent="0.25">
      <c r="A1404" s="26">
        <f>Angela_2025_Chase1117_Activity_!B1401</f>
        <v>45817</v>
      </c>
      <c r="B1404" s="6" t="str">
        <f>Angela_2025_Chase1117_Activity_!C1401</f>
        <v>HOMEGOODS #1084 WEATHERFORD TX       038034  06/09</v>
      </c>
      <c r="C1404" s="6" t="str">
        <f>Angela_2025_Chase1117_Activity_!G1401</f>
        <v>Personal - Shopping</v>
      </c>
      <c r="D1404" s="12">
        <f>Angela_2025_Chase1117_Activity_!D1401</f>
        <v>-43.29</v>
      </c>
    </row>
    <row r="1405" spans="1:4" x14ac:dyDescent="0.25">
      <c r="A1405" s="26">
        <f>Angela_2025_Chase1117_Activity_!B1402</f>
        <v>45817</v>
      </c>
      <c r="B1405" s="6" t="str">
        <f>Angela_2025_Chase1117_Activity_!C1402</f>
        <v>T J MAXX #1295 WEATHERFORD TX        062871  06/09</v>
      </c>
      <c r="C1405" s="6" t="str">
        <f>Angela_2025_Chase1117_Activity_!G1402</f>
        <v>Personal - Shopping</v>
      </c>
      <c r="D1405" s="12">
        <f>Angela_2025_Chase1117_Activity_!D1402</f>
        <v>-158.01</v>
      </c>
    </row>
    <row r="1406" spans="1:4" x14ac:dyDescent="0.25">
      <c r="A1406" s="26">
        <f>Angela_2025_Chase1117_Activity_!B1403</f>
        <v>45817</v>
      </c>
      <c r="B1406" s="6" t="str">
        <f>Angela_2025_Chase1117_Activity_!C1403</f>
        <v>TIGER MART #51 WEATHERFORD TX        250400  06/09</v>
      </c>
      <c r="C1406" s="6" t="str">
        <f>Angela_2025_Chase1117_Activity_!G1403</f>
        <v>Personal - Car</v>
      </c>
      <c r="D1406" s="12">
        <f>Angela_2025_Chase1117_Activity_!D1403</f>
        <v>-28.49</v>
      </c>
    </row>
    <row r="1407" spans="1:4" x14ac:dyDescent="0.25">
      <c r="A1407" s="26">
        <f>Angela_2025_Chase1117_Activity_!B1404</f>
        <v>45817</v>
      </c>
      <c r="B1407" s="6" t="str">
        <f>Angela_2025_Chase1117_Activity_!C1404</f>
        <v>UBER   * EATS PENDIN SAN FRANCISCO CA027486  06/08</v>
      </c>
      <c r="C1407" s="6" t="str">
        <f>Angela_2025_Chase1117_Activity_!G1404</f>
        <v>Uber Eats</v>
      </c>
      <c r="D1407" s="12">
        <f>Angela_2025_Chase1117_Activity_!D1404</f>
        <v>-66.62</v>
      </c>
    </row>
    <row r="1408" spans="1:4" x14ac:dyDescent="0.25">
      <c r="A1408" s="26">
        <f>Angela_2025_Chase1117_Activity_!B1405</f>
        <v>45817</v>
      </c>
      <c r="B1408" s="6" t="str">
        <f>Angela_2025_Chase1117_Activity_!C1405</f>
        <v>TARGET T-1981 WEATHERFORD TX         003314  06/07</v>
      </c>
      <c r="C1408" s="6" t="str">
        <f>Angela_2025_Chase1117_Activity_!G1405</f>
        <v>Personal - Shopping</v>
      </c>
      <c r="D1408" s="12">
        <f>Angela_2025_Chase1117_Activity_!D1405</f>
        <v>-159.02000000000001</v>
      </c>
    </row>
    <row r="1409" spans="1:4" x14ac:dyDescent="0.25">
      <c r="A1409" s="26">
        <f>Angela_2025_Chase1117_Activity_!B1406</f>
        <v>45817</v>
      </c>
      <c r="B1409" s="6" t="str">
        <f>Angela_2025_Chase1117_Activity_!C1406</f>
        <v>Prime Video Channels amzn.com/bill WA        06/07</v>
      </c>
      <c r="C1409" s="6" t="str">
        <f>Angela_2025_Chase1117_Activity_!G1406</f>
        <v>Amazon</v>
      </c>
      <c r="D1409" s="12">
        <f>Angela_2025_Chase1117_Activity_!D1406</f>
        <v>-13.99</v>
      </c>
    </row>
    <row r="1410" spans="1:4" x14ac:dyDescent="0.25">
      <c r="A1410" s="26">
        <f>Angela_2025_Chase1117_Activity_!B1407</f>
        <v>45817</v>
      </c>
      <c r="B1410" s="6" t="str">
        <f>Angela_2025_Chase1117_Activity_!C1407</f>
        <v>FANDANGO    * FANDANGO.COM CA                06/07</v>
      </c>
      <c r="C1410" s="6" t="str">
        <f>Angela_2025_Chase1117_Activity_!G1407</f>
        <v>Personal - Entertainment</v>
      </c>
      <c r="D1410" s="12">
        <f>Angela_2025_Chase1117_Activity_!D1407</f>
        <v>-34</v>
      </c>
    </row>
    <row r="1411" spans="1:4" x14ac:dyDescent="0.25">
      <c r="A1411" s="26">
        <f>Angela_2025_Chase1117_Activity_!B1408</f>
        <v>45817</v>
      </c>
      <c r="B1411" s="6" t="str">
        <f>Angela_2025_Chase1117_Activity_!C1408</f>
        <v>FANDANGO    * FANDANGO.COM CA                06/07</v>
      </c>
      <c r="C1411" s="6" t="str">
        <f>Angela_2025_Chase1117_Activity_!G1408</f>
        <v>Personal - Entertainment</v>
      </c>
      <c r="D1411" s="12">
        <f>Angela_2025_Chase1117_Activity_!D1408</f>
        <v>-33.590000000000003</v>
      </c>
    </row>
    <row r="1412" spans="1:4" x14ac:dyDescent="0.25">
      <c r="A1412" s="26">
        <f>Angela_2025_Chase1117_Activity_!B1409</f>
        <v>45817</v>
      </c>
      <c r="B1412" s="6" t="str">
        <f>Angela_2025_Chase1117_Activity_!C1409</f>
        <v>AMAZON MKTPL*NH03D8H Amzn.com/bill WA        06/06</v>
      </c>
      <c r="C1412" s="6" t="str">
        <f>Angela_2025_Chase1117_Activity_!G1409</f>
        <v>Amazon</v>
      </c>
      <c r="D1412" s="12">
        <f>Angela_2025_Chase1117_Activity_!D1409</f>
        <v>-26.68</v>
      </c>
    </row>
    <row r="1413" spans="1:4" x14ac:dyDescent="0.25">
      <c r="A1413" s="26">
        <f>Angela_2025_Chase1117_Activity_!B1410</f>
        <v>45817</v>
      </c>
      <c r="B1413" s="6" t="str">
        <f>Angela_2025_Chase1117_Activity_!C1410</f>
        <v>Zara.com 212-3551415 NY                      06/06</v>
      </c>
      <c r="C1413" s="6" t="str">
        <f>Angela_2025_Chase1117_Activity_!G1410</f>
        <v>Personal - Shopping</v>
      </c>
      <c r="D1413" s="12">
        <f>Angela_2025_Chase1117_Activity_!D1410</f>
        <v>-399.37</v>
      </c>
    </row>
    <row r="1414" spans="1:4" x14ac:dyDescent="0.25">
      <c r="A1414" s="26">
        <f>Angela_2025_Chase1117_Activity_!B1411</f>
        <v>45817</v>
      </c>
      <c r="B1414" s="6" t="str">
        <f>Angela_2025_Chase1117_Activity_!C1411</f>
        <v>AMAZON MKTPL*NH5ZJ9Q Amzn.com/bill WA        06/07</v>
      </c>
      <c r="C1414" s="6" t="str">
        <f>Angela_2025_Chase1117_Activity_!G1411</f>
        <v>Amazon</v>
      </c>
      <c r="D1414" s="12">
        <f>Angela_2025_Chase1117_Activity_!D1411</f>
        <v>-89.98</v>
      </c>
    </row>
    <row r="1415" spans="1:4" x14ac:dyDescent="0.25">
      <c r="A1415" s="26">
        <f>Angela_2025_Chase1117_Activity_!B1412</f>
        <v>45817</v>
      </c>
      <c r="B1415" s="6" t="str">
        <f>Angela_2025_Chase1117_Activity_!C1412</f>
        <v>AMAZON MKTPL*NH4PU0V Amzn.com/bill WA        06/06</v>
      </c>
      <c r="C1415" s="6" t="str">
        <f>Angela_2025_Chase1117_Activity_!G1412</f>
        <v>Amazon</v>
      </c>
      <c r="D1415" s="12">
        <f>Angela_2025_Chase1117_Activity_!D1412</f>
        <v>-25.22</v>
      </c>
    </row>
    <row r="1416" spans="1:4" x14ac:dyDescent="0.25">
      <c r="A1416" s="26">
        <f>Angela_2025_Chase1117_Activity_!B1413</f>
        <v>45817</v>
      </c>
      <c r="B1416" s="6" t="str">
        <f>Angela_2025_Chase1117_Activity_!C1413</f>
        <v>AMAZON MKTPL*N69DP5K Amzn.com/bill WA        06/06</v>
      </c>
      <c r="C1416" s="6" t="str">
        <f>Angela_2025_Chase1117_Activity_!G1413</f>
        <v>Amazon</v>
      </c>
      <c r="D1416" s="12">
        <f>Angela_2025_Chase1117_Activity_!D1413</f>
        <v>-38.56</v>
      </c>
    </row>
    <row r="1417" spans="1:4" x14ac:dyDescent="0.25">
      <c r="A1417" s="26">
        <f>Angela_2025_Chase1117_Activity_!B1414</f>
        <v>45817</v>
      </c>
      <c r="B1417" s="6" t="str">
        <f>Angela_2025_Chase1117_Activity_!C1414</f>
        <v>AMAZON MKTPL*N65CD9K Amzn.com/bill WA        06/06</v>
      </c>
      <c r="C1417" s="6" t="str">
        <f>Angela_2025_Chase1117_Activity_!G1414</f>
        <v>Amazon</v>
      </c>
      <c r="D1417" s="12">
        <f>Angela_2025_Chase1117_Activity_!D1414</f>
        <v>-38.39</v>
      </c>
    </row>
    <row r="1418" spans="1:4" x14ac:dyDescent="0.25">
      <c r="A1418" s="26">
        <f>Angela_2025_Chase1117_Activity_!B1415</f>
        <v>45817</v>
      </c>
      <c r="B1418" s="6" t="str">
        <f>Angela_2025_Chase1117_Activity_!C1415</f>
        <v>Online Transfer from CHK ...1168 transaction#: 25071815929</v>
      </c>
      <c r="C1418" s="6" t="str">
        <f>Angela_2025_Chase1117_Activity_!G1415</f>
        <v>Transfer from DWG Capital Group</v>
      </c>
      <c r="D1418" s="12">
        <f>Angela_2025_Chase1117_Activity_!D1415</f>
        <v>1000</v>
      </c>
    </row>
    <row r="1419" spans="1:4" x14ac:dyDescent="0.25">
      <c r="A1419" s="26">
        <f>Angela_2025_Chase1117_Activity_!B1416</f>
        <v>45814</v>
      </c>
      <c r="B1419" s="6" t="str">
        <f>Angela_2025_Chase1117_Activity_!C1416</f>
        <v>THE HOME DEPOT #6515 WEATHERFORD TX  030515  06/06</v>
      </c>
      <c r="C1419" s="6" t="str">
        <f>Angela_2025_Chase1117_Activity_!G1416</f>
        <v>Personal - Shopping</v>
      </c>
      <c r="D1419" s="12">
        <f>Angela_2025_Chase1117_Activity_!D1416</f>
        <v>-53.17</v>
      </c>
    </row>
    <row r="1420" spans="1:4" x14ac:dyDescent="0.25">
      <c r="A1420" s="26">
        <f>Angela_2025_Chase1117_Activity_!B1417</f>
        <v>45814</v>
      </c>
      <c r="B1420" s="6" t="str">
        <f>Angela_2025_Chase1117_Activity_!C1417</f>
        <v>GOOGLE *YouTubePremi g.co/helppay# CA        06/06</v>
      </c>
      <c r="C1420" s="6" t="str">
        <f>Angela_2025_Chase1117_Activity_!G1417</f>
        <v>YouTube Premium</v>
      </c>
      <c r="D1420" s="12">
        <f>Angela_2025_Chase1117_Activity_!D1417</f>
        <v>-13.99</v>
      </c>
    </row>
    <row r="1421" spans="1:4" x14ac:dyDescent="0.25">
      <c r="A1421" s="26">
        <f>Angela_2025_Chase1117_Activity_!B1418</f>
        <v>45814</v>
      </c>
      <c r="B1421" s="6" t="str">
        <f>Angela_2025_Chase1117_Activity_!C1418</f>
        <v>SP MCW CARPETBAGS MCWHANDMADE.C CA           06/06</v>
      </c>
      <c r="C1421" s="6" t="str">
        <f>Angela_2025_Chase1117_Activity_!G1418</f>
        <v>Personal - Shopping</v>
      </c>
      <c r="D1421" s="12">
        <f>Angela_2025_Chase1117_Activity_!D1418</f>
        <v>-68.05</v>
      </c>
    </row>
    <row r="1422" spans="1:4" x14ac:dyDescent="0.25">
      <c r="A1422" s="26">
        <f>Angela_2025_Chase1117_Activity_!B1419</f>
        <v>45814</v>
      </c>
      <c r="B1422" s="6" t="str">
        <f>Angela_2025_Chase1117_Activity_!C1419</f>
        <v>AXS.COMSOUTHERN CAL 888-929-7849 CA          06/06</v>
      </c>
      <c r="C1422" s="6" t="str">
        <f>Angela_2025_Chase1117_Activity_!G1419</f>
        <v>Personal - Entertainment</v>
      </c>
      <c r="D1422" s="12">
        <f>Angela_2025_Chase1117_Activity_!D1419</f>
        <v>-261.27</v>
      </c>
    </row>
    <row r="1423" spans="1:4" x14ac:dyDescent="0.25">
      <c r="A1423" s="26">
        <f>Angela_2025_Chase1117_Activity_!B1420</f>
        <v>45814</v>
      </c>
      <c r="B1423" s="6" t="str">
        <f>Angela_2025_Chase1117_Activity_!C1420</f>
        <v>AXS.COMSOUTHERN CAL 888-929-7849 CA          06/06</v>
      </c>
      <c r="C1423" s="6" t="str">
        <f>Angela_2025_Chase1117_Activity_!G1420</f>
        <v>Personal - Entertainment</v>
      </c>
      <c r="D1423" s="12">
        <f>Angela_2025_Chase1117_Activity_!D1420</f>
        <v>-348.36</v>
      </c>
    </row>
    <row r="1424" spans="1:4" x14ac:dyDescent="0.25">
      <c r="A1424" s="26">
        <f>Angela_2025_Chase1117_Activity_!B1421</f>
        <v>45814</v>
      </c>
      <c r="B1424" s="6" t="str">
        <f>Angela_2025_Chase1117_Activity_!C1421</f>
        <v>AMAZON MKTPL*N664O69 Amzn.com/bill WA        06/06</v>
      </c>
      <c r="C1424" s="6" t="str">
        <f>Angela_2025_Chase1117_Activity_!G1421</f>
        <v>Amazon</v>
      </c>
      <c r="D1424" s="12">
        <f>Angela_2025_Chase1117_Activity_!D1421</f>
        <v>-32.880000000000003</v>
      </c>
    </row>
    <row r="1425" spans="1:4" x14ac:dyDescent="0.25">
      <c r="A1425" s="26">
        <f>Angela_2025_Chase1117_Activity_!B1422</f>
        <v>45814</v>
      </c>
      <c r="B1425" s="6" t="str">
        <f>Angela_2025_Chase1117_Activity_!C1422</f>
        <v>PSYCHOLOGY TODAY PSYCHOLOGYTOD SD            06/06</v>
      </c>
      <c r="C1425" s="6" t="str">
        <f>Angela_2025_Chase1117_Activity_!G1422</f>
        <v>Personal - Subscription</v>
      </c>
      <c r="D1425" s="12">
        <f>Angela_2025_Chase1117_Activity_!D1422</f>
        <v>-29.95</v>
      </c>
    </row>
    <row r="1426" spans="1:4" x14ac:dyDescent="0.25">
      <c r="A1426" s="26">
        <f>Angela_2025_Chase1117_Activity_!B1423</f>
        <v>45814</v>
      </c>
      <c r="B1426" s="6" t="str">
        <f>Angela_2025_Chase1117_Activity_!C1423</f>
        <v>ELEVENLABS.IO ELEVENLABS.IO NY               06/06</v>
      </c>
      <c r="C1426" s="6" t="str">
        <f>Angela_2025_Chase1117_Activity_!G1423</f>
        <v>Personal - Subscription</v>
      </c>
      <c r="D1426" s="12">
        <f>Angela_2025_Chase1117_Activity_!D1423</f>
        <v>-22</v>
      </c>
    </row>
    <row r="1427" spans="1:4" x14ac:dyDescent="0.25">
      <c r="A1427" s="26">
        <f>Angela_2025_Chase1117_Activity_!B1424</f>
        <v>45814</v>
      </c>
      <c r="B1427" s="6" t="str">
        <f>Angela_2025_Chase1117_Activity_!C1424</f>
        <v>AMAZON MKTPL*N692R32 Amzn.com/bill WA        06/06</v>
      </c>
      <c r="C1427" s="6" t="str">
        <f>Angela_2025_Chase1117_Activity_!G1424</f>
        <v>Amazon</v>
      </c>
      <c r="D1427" s="12">
        <f>Angela_2025_Chase1117_Activity_!D1424</f>
        <v>-105.68</v>
      </c>
    </row>
    <row r="1428" spans="1:4" x14ac:dyDescent="0.25">
      <c r="A1428" s="26">
        <f>Angela_2025_Chase1117_Activity_!B1425</f>
        <v>45814</v>
      </c>
      <c r="B1428" s="6" t="str">
        <f>Angela_2025_Chase1117_Activity_!C1425</f>
        <v>AMAZON MKTPL*N62163K Amzn.com/bill WA        06/05</v>
      </c>
      <c r="C1428" s="6" t="str">
        <f>Angela_2025_Chase1117_Activity_!G1425</f>
        <v>Amazon</v>
      </c>
      <c r="D1428" s="12">
        <f>Angela_2025_Chase1117_Activity_!D1425</f>
        <v>-191.6</v>
      </c>
    </row>
    <row r="1429" spans="1:4" x14ac:dyDescent="0.25">
      <c r="A1429" s="26">
        <f>Angela_2025_Chase1117_Activity_!B1426</f>
        <v>45814</v>
      </c>
      <c r="B1429" s="6" t="str">
        <f>Angela_2025_Chase1117_Activity_!C1426</f>
        <v>AMAZON MKTPL*N67ZV06 Amzn.com/bill WA        06/05</v>
      </c>
      <c r="C1429" s="6" t="str">
        <f>Angela_2025_Chase1117_Activity_!G1426</f>
        <v>Amazon</v>
      </c>
      <c r="D1429" s="12">
        <f>Angela_2025_Chase1117_Activity_!D1426</f>
        <v>-43.47</v>
      </c>
    </row>
    <row r="1430" spans="1:4" x14ac:dyDescent="0.25">
      <c r="A1430" s="26">
        <f>Angela_2025_Chase1117_Activity_!B1427</f>
        <v>45814</v>
      </c>
      <c r="B1430" s="6" t="str">
        <f>Angela_2025_Chase1117_Activity_!C1427</f>
        <v>Online Transfer from CHK ...1168 transaction#: 25030613857</v>
      </c>
      <c r="C1430" s="6" t="str">
        <f>Angela_2025_Chase1117_Activity_!G1427</f>
        <v>Transfer from DWG Capital Group</v>
      </c>
      <c r="D1430" s="12">
        <f>Angela_2025_Chase1117_Activity_!D1427</f>
        <v>2000</v>
      </c>
    </row>
    <row r="1431" spans="1:4" x14ac:dyDescent="0.25">
      <c r="A1431" s="26">
        <f>Angela_2025_Chase1117_Activity_!B1428</f>
        <v>45813</v>
      </c>
      <c r="B1431" s="6" t="str">
        <f>Angela_2025_Chase1117_Activity_!C1428</f>
        <v>NNTCWWW.TARGET.COM 2 BROOKLYN PARK MN851020  06/04</v>
      </c>
      <c r="C1431" s="6" t="str">
        <f>Angela_2025_Chase1117_Activity_!G1428</f>
        <v>Personal - Shopping</v>
      </c>
      <c r="D1431" s="12">
        <f>Angela_2025_Chase1117_Activity_!D1428</f>
        <v>-59.78</v>
      </c>
    </row>
    <row r="1432" spans="1:4" x14ac:dyDescent="0.25">
      <c r="A1432" s="26">
        <f>Angela_2025_Chase1117_Activity_!B1429</f>
        <v>45813</v>
      </c>
      <c r="B1432" s="6" t="str">
        <f>Angela_2025_Chase1117_Activity_!C1429</f>
        <v>CENTRAL MARKET #545 FT WORTH TX      675802  06/05</v>
      </c>
      <c r="C1432" s="6" t="str">
        <f>Angela_2025_Chase1117_Activity_!G1429</f>
        <v>Personal - Food</v>
      </c>
      <c r="D1432" s="12">
        <f>Angela_2025_Chase1117_Activity_!D1429</f>
        <v>-498.76</v>
      </c>
    </row>
    <row r="1433" spans="1:4" x14ac:dyDescent="0.25">
      <c r="A1433" s="26">
        <f>Angela_2025_Chase1117_Activity_!B1430</f>
        <v>45813</v>
      </c>
      <c r="B1433" s="6" t="str">
        <f>Angela_2025_Chase1117_Activity_!C1430</f>
        <v>APPLE.COM/BILL 866-712-7753 CA               06/05</v>
      </c>
      <c r="C1433" s="6" t="str">
        <f>Angela_2025_Chase1117_Activity_!G1430</f>
        <v>Apple</v>
      </c>
      <c r="D1433" s="12">
        <f>Angela_2025_Chase1117_Activity_!D1430</f>
        <v>-6.99</v>
      </c>
    </row>
    <row r="1434" spans="1:4" x14ac:dyDescent="0.25">
      <c r="A1434" s="26">
        <f>Angela_2025_Chase1117_Activity_!B1431</f>
        <v>45813</v>
      </c>
      <c r="B1434" s="6" t="str">
        <f>Angela_2025_Chase1117_Activity_!C1431</f>
        <v>Online Transfer from CHK ...1168 transaction#: 25022244648</v>
      </c>
      <c r="C1434" s="6" t="str">
        <f>Angela_2025_Chase1117_Activity_!G1431</f>
        <v>Transfer from DWG Capital Group</v>
      </c>
      <c r="D1434" s="12">
        <f>Angela_2025_Chase1117_Activity_!D1431</f>
        <v>2000</v>
      </c>
    </row>
    <row r="1435" spans="1:4" x14ac:dyDescent="0.25">
      <c r="A1435" s="26">
        <f>Angela_2025_Chase1117_Activity_!B1432</f>
        <v>45812</v>
      </c>
      <c r="B1435" s="6" t="str">
        <f>Angela_2025_Chase1117_Activity_!C1432</f>
        <v>NTTA AUTOCHARGE 972-818-6882 TX              06/03</v>
      </c>
      <c r="C1435" s="6" t="str">
        <f>Angela_2025_Chase1117_Activity_!G1432</f>
        <v>Personal - Car</v>
      </c>
      <c r="D1435" s="12">
        <f>Angela_2025_Chase1117_Activity_!D1432</f>
        <v>-40</v>
      </c>
    </row>
    <row r="1436" spans="1:4" x14ac:dyDescent="0.25">
      <c r="A1436" s="26">
        <f>Angela_2025_Chase1117_Activity_!B1433</f>
        <v>45811</v>
      </c>
      <c r="B1436" s="6" t="str">
        <f>Angela_2025_Chase1117_Activity_!C1433</f>
        <v>HOMEGOODS #1084 WEATHERFORD TX       044588  06/03</v>
      </c>
      <c r="C1436" s="6" t="str">
        <f>Angela_2025_Chase1117_Activity_!G1433</f>
        <v>Personal - Shopping</v>
      </c>
      <c r="D1436" s="12">
        <f>Angela_2025_Chase1117_Activity_!D1433</f>
        <v>-361.38</v>
      </c>
    </row>
    <row r="1437" spans="1:4" x14ac:dyDescent="0.25">
      <c r="A1437" s="26">
        <f>Angela_2025_Chase1117_Activity_!B1434</f>
        <v>45811</v>
      </c>
      <c r="B1437" s="6" t="str">
        <f>Angela_2025_Chase1117_Activity_!C1434</f>
        <v>ATM WITHDRAWAL                       009436  06/03225 E INT</v>
      </c>
      <c r="C1437" s="6" t="str">
        <f>Angela_2025_Chase1117_Activity_!G1434</f>
        <v>Withdrawal</v>
      </c>
      <c r="D1437" s="12">
        <f>Angela_2025_Chase1117_Activity_!D1434</f>
        <v>-500</v>
      </c>
    </row>
    <row r="1438" spans="1:4" x14ac:dyDescent="0.25">
      <c r="A1438" s="26">
        <f>Angela_2025_Chase1117_Activity_!B1435</f>
        <v>45811</v>
      </c>
      <c r="B1438" s="6" t="str">
        <f>Angela_2025_Chase1117_Activity_!C1435</f>
        <v>Amazon.com*N68BZ6P41 Amzn.com/bill WA        06/03</v>
      </c>
      <c r="C1438" s="6" t="str">
        <f>Angela_2025_Chase1117_Activity_!G1435</f>
        <v>Amazon</v>
      </c>
      <c r="D1438" s="12">
        <f>Angela_2025_Chase1117_Activity_!D1435</f>
        <v>-21.34</v>
      </c>
    </row>
    <row r="1439" spans="1:4" x14ac:dyDescent="0.25">
      <c r="A1439" s="26">
        <f>Angela_2025_Chase1117_Activity_!B1436</f>
        <v>45811</v>
      </c>
      <c r="B1439" s="6" t="str">
        <f>Angela_2025_Chase1117_Activity_!C1436</f>
        <v>FANDANGO    * FANDANGO.COM CA                06/02</v>
      </c>
      <c r="C1439" s="6" t="str">
        <f>Angela_2025_Chase1117_Activity_!G1436</f>
        <v>Personal - Entertainment</v>
      </c>
      <c r="D1439" s="12">
        <f>Angela_2025_Chase1117_Activity_!D1436</f>
        <v>-16.79</v>
      </c>
    </row>
    <row r="1440" spans="1:4" x14ac:dyDescent="0.25">
      <c r="A1440" s="26">
        <f>Angela_2025_Chase1117_Activity_!B1437</f>
        <v>45811</v>
      </c>
      <c r="B1440" s="6" t="str">
        <f>Angela_2025_Chase1117_Activity_!C1437</f>
        <v>AMAZON MKTPL*N69J333 Amzn.com/bill WA        06/02</v>
      </c>
      <c r="C1440" s="6" t="str">
        <f>Angela_2025_Chase1117_Activity_!G1437</f>
        <v>Amazon</v>
      </c>
      <c r="D1440" s="12">
        <f>Angela_2025_Chase1117_Activity_!D1437</f>
        <v>-190.81</v>
      </c>
    </row>
    <row r="1441" spans="1:4" x14ac:dyDescent="0.25">
      <c r="A1441" s="26">
        <f>Angela_2025_Chase1117_Activity_!B1438</f>
        <v>45811</v>
      </c>
      <c r="B1441" s="6" t="str">
        <f>Angela_2025_Chase1117_Activity_!C1438</f>
        <v>Zara.com/USA 855-6359272 NY                  06/02</v>
      </c>
      <c r="C1441" s="6" t="str">
        <f>Angela_2025_Chase1117_Activity_!G1438</f>
        <v>Personal - Shopping</v>
      </c>
      <c r="D1441" s="12">
        <f>Angela_2025_Chase1117_Activity_!D1438</f>
        <v>26.58</v>
      </c>
    </row>
    <row r="1442" spans="1:4" x14ac:dyDescent="0.25">
      <c r="A1442" s="26">
        <f>Angela_2025_Chase1117_Activity_!B1439</f>
        <v>45810</v>
      </c>
      <c r="B1442" s="6" t="str">
        <f>Angela_2025_Chase1117_Activity_!C1439</f>
        <v>ORIG CO NAME:PAYPAL                 ORIG ID:PAYPALSI77 DESC DATE:250602 CO ENTRY DESCR:INST XFER SEC:WEB    TRACE#:021000022575562 EED:250602   IND ID:BOOHOOCOMPL                  IND NAME:JOHN DUNNING                                                                                                 250602PPZ5L6 TRN: 1532575562TC</v>
      </c>
      <c r="C1442" s="6" t="str">
        <f>Angela_2025_Chase1117_Activity_!G1439</f>
        <v>PayPal ACH - John Dunning</v>
      </c>
      <c r="D1442" s="12">
        <f>Angela_2025_Chase1117_Activity_!D1439</f>
        <v>-352.08</v>
      </c>
    </row>
    <row r="1443" spans="1:4" x14ac:dyDescent="0.25">
      <c r="A1443" s="26">
        <f>Angela_2025_Chase1117_Activity_!B1440</f>
        <v>45810</v>
      </c>
      <c r="B1443" s="6" t="str">
        <f>Angela_2025_Chase1117_Activity_!C1440</f>
        <v>ORIG CO NAME:PAYPAL                 ORIG ID:PAYPALSI77 DESC DATE:250601 CO ENTRY DESCR:INST XFER SEC:WEB    TRACE#:021000023508871 EED:250602   IND ID:P374C3E405                   IND NAME:JOHN DUNNING                                                                                                 250601PPZ4UH TRN: 1533508871TC</v>
      </c>
      <c r="C1443" s="6" t="str">
        <f>Angela_2025_Chase1117_Activity_!G1440</f>
        <v>PayPal ACH - John Dunning</v>
      </c>
      <c r="D1443" s="12">
        <f>Angela_2025_Chase1117_Activity_!D1440</f>
        <v>-11.99</v>
      </c>
    </row>
    <row r="1444" spans="1:4" x14ac:dyDescent="0.25">
      <c r="A1444" s="26">
        <f>Angela_2025_Chase1117_Activity_!B1441</f>
        <v>45810</v>
      </c>
      <c r="B1444" s="6" t="str">
        <f>Angela_2025_Chase1117_Activity_!C1441</f>
        <v>WHOLEFDS FTW #10 3400 FORT WORTH TX  456867  06/01</v>
      </c>
      <c r="C1444" s="6" t="str">
        <f>Angela_2025_Chase1117_Activity_!G1441</f>
        <v>Personal - Food</v>
      </c>
      <c r="D1444" s="12">
        <f>Angela_2025_Chase1117_Activity_!D1441</f>
        <v>-217.08</v>
      </c>
    </row>
    <row r="1445" spans="1:4" x14ac:dyDescent="0.25">
      <c r="A1445" s="26">
        <f>Angela_2025_Chase1117_Activity_!B1442</f>
        <v>45810</v>
      </c>
      <c r="B1445" s="6" t="str">
        <f>Angela_2025_Chase1117_Activity_!C1442</f>
        <v>ASCEND.ACADEMY ASCENDTHEFREQ AR              06/01</v>
      </c>
      <c r="C1445" s="6" t="str">
        <f>Angela_2025_Chase1117_Activity_!G1442</f>
        <v>Personal - Subscription</v>
      </c>
      <c r="D1445" s="12">
        <f>Angela_2025_Chase1117_Activity_!D1442</f>
        <v>-49</v>
      </c>
    </row>
    <row r="1446" spans="1:4" x14ac:dyDescent="0.25">
      <c r="A1446" s="26">
        <f>Angela_2025_Chase1117_Activity_!B1443</f>
        <v>45810</v>
      </c>
      <c r="B1446" s="6" t="str">
        <f>Angela_2025_Chase1117_Activity_!C1443</f>
        <v>ASCEND.ACADEMY ASCENDTHEFREQ AR              06/01</v>
      </c>
      <c r="C1446" s="6" t="str">
        <f>Angela_2025_Chase1117_Activity_!G1443</f>
        <v>Personal - Subscription</v>
      </c>
      <c r="D1446" s="12">
        <f>Angela_2025_Chase1117_Activity_!D1443</f>
        <v>-50</v>
      </c>
    </row>
    <row r="1447" spans="1:4" x14ac:dyDescent="0.25">
      <c r="A1447" s="26">
        <f>Angela_2025_Chase1117_Activity_!B1444</f>
        <v>45810</v>
      </c>
      <c r="B1447" s="6" t="str">
        <f>Angela_2025_Chase1117_Activity_!C1444</f>
        <v>SQ *REA COMMERCIAL SECU gosq.com CA          06/01</v>
      </c>
      <c r="C1447" s="6" t="str">
        <f>Angela_2025_Chase1117_Activity_!G1444</f>
        <v>Personal - Subscription</v>
      </c>
      <c r="D1447" s="12">
        <f>Angela_2025_Chase1117_Activity_!D1444</f>
        <v>-100</v>
      </c>
    </row>
    <row r="1448" spans="1:4" x14ac:dyDescent="0.25">
      <c r="A1448" s="26">
        <f>Angela_2025_Chase1117_Activity_!B1445</f>
        <v>45810</v>
      </c>
      <c r="B1448" s="6" t="str">
        <f>Angela_2025_Chase1117_Activity_!C1445</f>
        <v>AMAZON MKTPL*NN2YP7Y Amzn.com/bill WA        06/01</v>
      </c>
      <c r="C1448" s="6" t="str">
        <f>Angela_2025_Chase1117_Activity_!G1445</f>
        <v>Amazon</v>
      </c>
      <c r="D1448" s="12">
        <f>Angela_2025_Chase1117_Activity_!D1445</f>
        <v>-51.98</v>
      </c>
    </row>
    <row r="1449" spans="1:4" x14ac:dyDescent="0.25">
      <c r="A1449" s="26">
        <f>Angela_2025_Chase1117_Activity_!B1446</f>
        <v>45810</v>
      </c>
      <c r="B1449" s="6" t="str">
        <f>Angela_2025_Chase1117_Activity_!C1446</f>
        <v>AMAZON MKTPL*N61V70L Amzn.com/bill WA        06/01</v>
      </c>
      <c r="C1449" s="6" t="str">
        <f>Angela_2025_Chase1117_Activity_!G1446</f>
        <v>Amazon</v>
      </c>
      <c r="D1449" s="12">
        <f>Angela_2025_Chase1117_Activity_!D1446</f>
        <v>-53.36</v>
      </c>
    </row>
    <row r="1450" spans="1:4" x14ac:dyDescent="0.25">
      <c r="A1450" s="26">
        <f>Angela_2025_Chase1117_Activity_!B1447</f>
        <v>45810</v>
      </c>
      <c r="B1450" s="6" t="str">
        <f>Angela_2025_Chase1117_Activity_!C1447</f>
        <v>THE C. G. JUNG INSTIT 310-556-1193 CA        06/02</v>
      </c>
      <c r="C1450" s="6" t="str">
        <f>Angela_2025_Chase1117_Activity_!G1447</f>
        <v>Donation</v>
      </c>
      <c r="D1450" s="12">
        <f>Angela_2025_Chase1117_Activity_!D1447</f>
        <v>-150</v>
      </c>
    </row>
    <row r="1451" spans="1:4" x14ac:dyDescent="0.25">
      <c r="A1451" s="26">
        <f>Angela_2025_Chase1117_Activity_!B1448</f>
        <v>45810</v>
      </c>
      <c r="B1451" s="6" t="str">
        <f>Angela_2025_Chase1117_Activity_!C1448</f>
        <v>Amazon.com*N65J27N31 Amzn.com/bill WA        06/02</v>
      </c>
      <c r="C1451" s="6" t="str">
        <f>Angela_2025_Chase1117_Activity_!G1448</f>
        <v>Amazon</v>
      </c>
      <c r="D1451" s="12">
        <f>Angela_2025_Chase1117_Activity_!D1448</f>
        <v>-18.38</v>
      </c>
    </row>
    <row r="1452" spans="1:4" x14ac:dyDescent="0.25">
      <c r="A1452" s="26">
        <f>Angela_2025_Chase1117_Activity_!B1449</f>
        <v>45810</v>
      </c>
      <c r="B1452" s="6" t="str">
        <f>Angela_2025_Chase1117_Activity_!C1449</f>
        <v>PORTAL TO ASCENSION PORTALTOASCEN CA         05/31</v>
      </c>
      <c r="C1452" s="6" t="str">
        <f>Angela_2025_Chase1117_Activity_!G1449</f>
        <v>Personal - Subscription</v>
      </c>
      <c r="D1452" s="12">
        <f>Angela_2025_Chase1117_Activity_!D1449</f>
        <v>-33</v>
      </c>
    </row>
    <row r="1453" spans="1:4" x14ac:dyDescent="0.25">
      <c r="A1453" s="26">
        <f>Angela_2025_Chase1117_Activity_!B1450</f>
        <v>45810</v>
      </c>
      <c r="B1453" s="6" t="str">
        <f>Angela_2025_Chase1117_Activity_!C1450</f>
        <v>TEXACO 0305171 WEATHERFORD TX                05/31</v>
      </c>
      <c r="C1453" s="6" t="str">
        <f>Angela_2025_Chase1117_Activity_!G1450</f>
        <v>Personal - Car</v>
      </c>
      <c r="D1453" s="12">
        <f>Angela_2025_Chase1117_Activity_!D1450</f>
        <v>-30.33</v>
      </c>
    </row>
    <row r="1454" spans="1:4" x14ac:dyDescent="0.25">
      <c r="A1454" s="26">
        <f>Angela_2025_Chase1117_Activity_!B1451</f>
        <v>45810</v>
      </c>
      <c r="B1454" s="6" t="str">
        <f>Angela_2025_Chase1117_Activity_!C1451</f>
        <v>WALGREENS STORE 1317 S WEATHERFORD TX816481  05/31</v>
      </c>
      <c r="C1454" s="6" t="str">
        <f>Angela_2025_Chase1117_Activity_!G1451</f>
        <v>Personal - Health</v>
      </c>
      <c r="D1454" s="12">
        <f>Angela_2025_Chase1117_Activity_!D1451</f>
        <v>-69.03</v>
      </c>
    </row>
    <row r="1455" spans="1:4" x14ac:dyDescent="0.25">
      <c r="A1455" s="26">
        <f>Angela_2025_Chase1117_Activity_!B1452</f>
        <v>45810</v>
      </c>
      <c r="B1455" s="6" t="str">
        <f>Angela_2025_Chase1117_Activity_!C1452</f>
        <v>AMAZON MKTPL*NN96D4Y Amzn.com/bill WA        05/31</v>
      </c>
      <c r="C1455" s="6" t="str">
        <f>Angela_2025_Chase1117_Activity_!G1452</f>
        <v>Amazon</v>
      </c>
      <c r="D1455" s="12">
        <f>Angela_2025_Chase1117_Activity_!D1452</f>
        <v>-45.98</v>
      </c>
    </row>
    <row r="1456" spans="1:4" x14ac:dyDescent="0.25">
      <c r="A1456" s="26">
        <f>Angela_2025_Chase1117_Activity_!B1453</f>
        <v>45810</v>
      </c>
      <c r="B1456" s="6" t="str">
        <f>Angela_2025_Chase1117_Activity_!C1453</f>
        <v>ATM WITHDRAWAL                       003175  05/31225 E INT</v>
      </c>
      <c r="C1456" s="6" t="str">
        <f>Angela_2025_Chase1117_Activity_!G1453</f>
        <v>Withdrawal</v>
      </c>
      <c r="D1456" s="12">
        <f>Angela_2025_Chase1117_Activity_!D1453</f>
        <v>-400</v>
      </c>
    </row>
    <row r="1457" spans="1:4" x14ac:dyDescent="0.25">
      <c r="A1457" s="26">
        <f>Angela_2025_Chase1117_Activity_!B1454</f>
        <v>45810</v>
      </c>
      <c r="B1457" s="6" t="str">
        <f>Angela_2025_Chase1117_Activity_!C1454</f>
        <v>BLUE SHIELD CALIFORNI 800-393-6130 CA        05/31</v>
      </c>
      <c r="C1457" s="6" t="str">
        <f>Angela_2025_Chase1117_Activity_!G1454</f>
        <v>Personal - Health Insurance</v>
      </c>
      <c r="D1457" s="12">
        <f>Angela_2025_Chase1117_Activity_!D1454</f>
        <v>-944.63</v>
      </c>
    </row>
    <row r="1458" spans="1:4" x14ac:dyDescent="0.25">
      <c r="A1458" s="26">
        <f>Angela_2025_Chase1117_Activity_!B1455</f>
        <v>45810</v>
      </c>
      <c r="B1458" s="6" t="str">
        <f>Angela_2025_Chase1117_Activity_!C1455</f>
        <v>REPUBLIC SERVICES TRA 866-576-5548 AZ        05/31</v>
      </c>
      <c r="C1458" s="6" t="str">
        <f>Angela_2025_Chase1117_Activity_!G1455</f>
        <v>Personal - House Bills</v>
      </c>
      <c r="D1458" s="12">
        <f>Angela_2025_Chase1117_Activity_!D1455</f>
        <v>-182</v>
      </c>
    </row>
    <row r="1459" spans="1:4" x14ac:dyDescent="0.25">
      <c r="A1459" s="26">
        <f>Angela_2025_Chase1117_Activity_!B1456</f>
        <v>45810</v>
      </c>
      <c r="B1459" s="6" t="str">
        <f>Angela_2025_Chase1117_Activity_!C1456</f>
        <v>AMAZON MKTPL*NN5JT5D Amzn.com/bill WA        05/31</v>
      </c>
      <c r="C1459" s="6" t="str">
        <f>Angela_2025_Chase1117_Activity_!G1456</f>
        <v>Amazon</v>
      </c>
      <c r="D1459" s="12">
        <f>Angela_2025_Chase1117_Activity_!D1456</f>
        <v>-59.9</v>
      </c>
    </row>
    <row r="1460" spans="1:4" x14ac:dyDescent="0.25">
      <c r="A1460" s="26">
        <f>Angela_2025_Chase1117_Activity_!B1457</f>
        <v>45810</v>
      </c>
      <c r="B1460" s="6" t="str">
        <f>Angela_2025_Chase1117_Activity_!C1457</f>
        <v>AMAZON MKTPL*NN8DC1S Amzn.com/bill WA        05/31</v>
      </c>
      <c r="C1460" s="6" t="str">
        <f>Angela_2025_Chase1117_Activity_!G1457</f>
        <v>Amazon</v>
      </c>
      <c r="D1460" s="12">
        <f>Angela_2025_Chase1117_Activity_!D1457</f>
        <v>-63.15</v>
      </c>
    </row>
    <row r="1461" spans="1:4" x14ac:dyDescent="0.25">
      <c r="A1461" s="26">
        <f>Angela_2025_Chase1117_Activity_!B1458</f>
        <v>45810</v>
      </c>
      <c r="B1461" s="6" t="str">
        <f>Angela_2025_Chase1117_Activity_!C1458</f>
        <v>Amazon.com*NN48608I0 Amzn.com/bill WA        05/30</v>
      </c>
      <c r="C1461" s="6" t="str">
        <f>Angela_2025_Chase1117_Activity_!G1458</f>
        <v>Amazon</v>
      </c>
      <c r="D1461" s="12">
        <f>Angela_2025_Chase1117_Activity_!D1458</f>
        <v>-40.15</v>
      </c>
    </row>
    <row r="1462" spans="1:4" x14ac:dyDescent="0.25">
      <c r="A1462" s="26">
        <f>Angela_2025_Chase1117_Activity_!B1459</f>
        <v>45810</v>
      </c>
      <c r="B1462" s="6" t="str">
        <f>Angela_2025_Chase1117_Activity_!C1459</f>
        <v>AMAZON MKTPL*N621S3V Amzn.com/bill WA        05/31</v>
      </c>
      <c r="C1462" s="6" t="str">
        <f>Angela_2025_Chase1117_Activity_!G1459</f>
        <v>Amazon</v>
      </c>
      <c r="D1462" s="12">
        <f>Angela_2025_Chase1117_Activity_!D1459</f>
        <v>-397.48</v>
      </c>
    </row>
    <row r="1463" spans="1:4" x14ac:dyDescent="0.25">
      <c r="A1463" s="26">
        <f>Angela_2025_Chase1117_Activity_!B1460</f>
        <v>45810</v>
      </c>
      <c r="B1463" s="6" t="str">
        <f>Angela_2025_Chase1117_Activity_!C1460</f>
        <v>Zara.com/USA 855-6359272 NY                  05/31</v>
      </c>
      <c r="C1463" s="6" t="str">
        <f>Angela_2025_Chase1117_Activity_!G1460</f>
        <v>Personal - Shopping</v>
      </c>
      <c r="D1463" s="12">
        <f>Angela_2025_Chase1117_Activity_!D1460</f>
        <v>-292.29000000000002</v>
      </c>
    </row>
    <row r="1464" spans="1:4" x14ac:dyDescent="0.25">
      <c r="A1464" s="26">
        <f>Angela_2025_Chase1117_Activity_!B1461</f>
        <v>45810</v>
      </c>
      <c r="B1464" s="6" t="str">
        <f>Angela_2025_Chase1117_Activity_!C1461</f>
        <v>Online Transfer from CHK ...1168 transaction#: 24987610062</v>
      </c>
      <c r="C1464" s="6" t="str">
        <f>Angela_2025_Chase1117_Activity_!G1461</f>
        <v>Transfer from DWG Capital Group</v>
      </c>
      <c r="D1464" s="12">
        <f>Angela_2025_Chase1117_Activity_!D1461</f>
        <v>3000</v>
      </c>
    </row>
    <row r="1465" spans="1:4" x14ac:dyDescent="0.25">
      <c r="A1465" s="26">
        <f>Angela_2025_Chase1117_Activity_!B1462</f>
        <v>45807</v>
      </c>
      <c r="B1465" s="6" t="str">
        <f>Angela_2025_Chase1117_Activity_!C1462</f>
        <v>NNTCWWW.TARGET.COM 6 BROOKLYN PARK MN791581  05/29</v>
      </c>
      <c r="C1465" s="6" t="str">
        <f>Angela_2025_Chase1117_Activity_!G1462</f>
        <v>Personal - Shopping</v>
      </c>
      <c r="D1465" s="12">
        <f>Angela_2025_Chase1117_Activity_!D1462</f>
        <v>-137.08000000000001</v>
      </c>
    </row>
    <row r="1466" spans="1:4" x14ac:dyDescent="0.25">
      <c r="A1466" s="26">
        <f>Angela_2025_Chase1117_Activity_!B1463</f>
        <v>45807</v>
      </c>
      <c r="B1466" s="6" t="str">
        <f>Angela_2025_Chase1117_Activity_!C1463</f>
        <v>UBER   * EATS PENDIN SAN FRANCISCO CA022602  05/29</v>
      </c>
      <c r="C1466" s="6" t="str">
        <f>Angela_2025_Chase1117_Activity_!G1463</f>
        <v>Uber Eats</v>
      </c>
      <c r="D1466" s="12">
        <f>Angela_2025_Chase1117_Activity_!D1463</f>
        <v>-86.62</v>
      </c>
    </row>
    <row r="1467" spans="1:4" x14ac:dyDescent="0.25">
      <c r="A1467" s="26">
        <f>Angela_2025_Chase1117_Activity_!B1464</f>
        <v>45807</v>
      </c>
      <c r="B1467" s="6" t="str">
        <f>Angela_2025_Chase1117_Activity_!C1464</f>
        <v>Zara.com 212-3551415 NY                      05/30</v>
      </c>
      <c r="C1467" s="6" t="str">
        <f>Angela_2025_Chase1117_Activity_!G1464</f>
        <v>Personal - Shopping</v>
      </c>
      <c r="D1467" s="12">
        <f>Angela_2025_Chase1117_Activity_!D1464</f>
        <v>-58.55</v>
      </c>
    </row>
    <row r="1468" spans="1:4" x14ac:dyDescent="0.25">
      <c r="A1468" s="26">
        <f>Angela_2025_Chase1117_Activity_!B1465</f>
        <v>45807</v>
      </c>
      <c r="B1468" s="6" t="str">
        <f>Angela_2025_Chase1117_Activity_!C1465</f>
        <v>Amazon.com*N630G4012 Amzn.com/bill WA        05/30</v>
      </c>
      <c r="C1468" s="6" t="str">
        <f>Angela_2025_Chase1117_Activity_!G1465</f>
        <v>Amazon</v>
      </c>
      <c r="D1468" s="12">
        <f>Angela_2025_Chase1117_Activity_!D1465</f>
        <v>-33.64</v>
      </c>
    </row>
    <row r="1469" spans="1:4" x14ac:dyDescent="0.25">
      <c r="A1469" s="26">
        <f>Angela_2025_Chase1117_Activity_!B1466</f>
        <v>45807</v>
      </c>
      <c r="B1469" s="6" t="str">
        <f>Angela_2025_Chase1117_Activity_!C1466</f>
        <v>AMAZON MKTPL*NN6T92B Amzn.com/bill WA        05/30</v>
      </c>
      <c r="C1469" s="6" t="str">
        <f>Angela_2025_Chase1117_Activity_!G1466</f>
        <v>Amazon</v>
      </c>
      <c r="D1469" s="12">
        <f>Angela_2025_Chase1117_Activity_!D1466</f>
        <v>-101.51</v>
      </c>
    </row>
    <row r="1470" spans="1:4" x14ac:dyDescent="0.25">
      <c r="A1470" s="26">
        <f>Angela_2025_Chase1117_Activity_!B1467</f>
        <v>45807</v>
      </c>
      <c r="B1470" s="6" t="str">
        <f>Angela_2025_Chase1117_Activity_!C1467</f>
        <v>CLASSICALWISDOM.COM CLASSICALWISD FL         05/29</v>
      </c>
      <c r="C1470" s="6" t="str">
        <f>Angela_2025_Chase1117_Activity_!G1467</f>
        <v>Personal - Subscription</v>
      </c>
      <c r="D1470" s="12">
        <f>Angela_2025_Chase1117_Activity_!D1467</f>
        <v>-70</v>
      </c>
    </row>
    <row r="1471" spans="1:4" x14ac:dyDescent="0.25">
      <c r="A1471" s="26">
        <f>Angela_2025_Chase1117_Activity_!B1468</f>
        <v>45807</v>
      </c>
      <c r="B1471" s="6" t="str">
        <f>Angela_2025_Chase1117_Activity_!C1468</f>
        <v>Nastygal.com 333-3110804 PA                  05/29</v>
      </c>
      <c r="C1471" s="6" t="str">
        <f>Angela_2025_Chase1117_Activity_!G1468</f>
        <v>Personal - Clothing</v>
      </c>
      <c r="D1471" s="12">
        <f>Angela_2025_Chase1117_Activity_!D1468</f>
        <v>-88.55</v>
      </c>
    </row>
    <row r="1472" spans="1:4" x14ac:dyDescent="0.25">
      <c r="A1472" s="26">
        <f>Angela_2025_Chase1117_Activity_!B1469</f>
        <v>45806</v>
      </c>
      <c r="B1472" s="6" t="str">
        <f>Angela_2025_Chase1117_Activity_!C1469</f>
        <v>ORIG CO NAME:PAYPAL                 ORIG ID:PAYPALSI77 DESC DATE:250529 CO ENTRY DESCR:INST XFER SEC:WEB    TRACE#:021000027584371 EED:250529   IND ID:BOOHOOCOMPL                  IND NAME:JOHN DUNNING                                                                                                 250529PPZJR8 TRN: 1497584371TC</v>
      </c>
      <c r="C1472" s="6" t="str">
        <f>Angela_2025_Chase1117_Activity_!G1469</f>
        <v>PayPal ACH - John Dunning</v>
      </c>
      <c r="D1472" s="12">
        <f>Angela_2025_Chase1117_Activity_!D1469</f>
        <v>-480.38</v>
      </c>
    </row>
    <row r="1473" spans="1:4" x14ac:dyDescent="0.25">
      <c r="A1473" s="26">
        <f>Angela_2025_Chase1117_Activity_!B1470</f>
        <v>45806</v>
      </c>
      <c r="B1473" s="6" t="str">
        <f>Angela_2025_Chase1117_Activity_!C1470</f>
        <v>CVSExtraCare 80074672 800-746-7287 RI        05/28</v>
      </c>
      <c r="C1473" s="6" t="str">
        <f>Angela_2025_Chase1117_Activity_!G1470</f>
        <v>Personal - Health</v>
      </c>
      <c r="D1473" s="12">
        <f>Angela_2025_Chase1117_Activity_!D1470</f>
        <v>-5.49</v>
      </c>
    </row>
    <row r="1474" spans="1:4" x14ac:dyDescent="0.25">
      <c r="A1474" s="26">
        <f>Angela_2025_Chase1117_Activity_!B1471</f>
        <v>45806</v>
      </c>
      <c r="B1474" s="6" t="str">
        <f>Angela_2025_Chase1117_Activity_!C1471</f>
        <v>AMAZON MKTPL*N60AD24 Amzn.com/bill WA        05/28</v>
      </c>
      <c r="C1474" s="6" t="str">
        <f>Angela_2025_Chase1117_Activity_!G1471</f>
        <v>Amazon</v>
      </c>
      <c r="D1474" s="12">
        <f>Angela_2025_Chase1117_Activity_!D1471</f>
        <v>-17.38</v>
      </c>
    </row>
    <row r="1475" spans="1:4" x14ac:dyDescent="0.25">
      <c r="A1475" s="26">
        <f>Angela_2025_Chase1117_Activity_!B1472</f>
        <v>45806</v>
      </c>
      <c r="B1475" s="6" t="str">
        <f>Angela_2025_Chase1117_Activity_!C1472</f>
        <v>AMERICAN AI 001446179 800-433-7300 TX        05/27</v>
      </c>
      <c r="C1475" s="6" t="str">
        <f>Angela_2025_Chase1117_Activity_!G1472</f>
        <v>Personal Travel</v>
      </c>
      <c r="D1475" s="12">
        <f>Angela_2025_Chase1117_Activity_!D1472</f>
        <v>-35</v>
      </c>
    </row>
    <row r="1476" spans="1:4" x14ac:dyDescent="0.25">
      <c r="A1476" s="26">
        <f>Angela_2025_Chase1117_Activity_!B1473</f>
        <v>45806</v>
      </c>
      <c r="B1476" s="6" t="str">
        <f>Angela_2025_Chase1117_Activity_!C1473</f>
        <v>AMERICAN AIR00172281023 FORT WORTH TX        05/27</v>
      </c>
      <c r="C1476" s="6" t="str">
        <f>Angela_2025_Chase1117_Activity_!G1473</f>
        <v>Personal Travel</v>
      </c>
      <c r="D1476" s="12">
        <f>Angela_2025_Chase1117_Activity_!D1473</f>
        <v>-482.93</v>
      </c>
    </row>
    <row r="1477" spans="1:4" x14ac:dyDescent="0.25">
      <c r="A1477" s="26">
        <f>Angela_2025_Chase1117_Activity_!B1474</f>
        <v>45806</v>
      </c>
      <c r="B1477" s="6" t="str">
        <f>Angela_2025_Chase1117_Activity_!C1474</f>
        <v>AMERICAN AIR00172280599 FORT WORTH TX        05/27</v>
      </c>
      <c r="C1477" s="6" t="str">
        <f>Angela_2025_Chase1117_Activity_!G1474</f>
        <v>Personal Travel</v>
      </c>
      <c r="D1477" s="12">
        <f>Angela_2025_Chase1117_Activity_!D1474</f>
        <v>-266.48</v>
      </c>
    </row>
    <row r="1478" spans="1:4" x14ac:dyDescent="0.25">
      <c r="A1478" s="26">
        <f>Angela_2025_Chase1117_Activity_!B1475</f>
        <v>45805</v>
      </c>
      <c r="B1478" s="6" t="str">
        <f>Angela_2025_Chase1117_Activity_!C1475</f>
        <v>TARGET T-1981 WEATHERFORD TX         005830  05/28</v>
      </c>
      <c r="C1478" s="6" t="str">
        <f>Angela_2025_Chase1117_Activity_!G1475</f>
        <v>Personal - Shopping</v>
      </c>
      <c r="D1478" s="12">
        <f>Angela_2025_Chase1117_Activity_!D1475</f>
        <v>-486.7</v>
      </c>
    </row>
    <row r="1479" spans="1:4" x14ac:dyDescent="0.25">
      <c r="A1479" s="26">
        <f>Angela_2025_Chase1117_Activity_!B1476</f>
        <v>45805</v>
      </c>
      <c r="B1479" s="6" t="str">
        <f>Angela_2025_Chase1117_Activity_!C1476</f>
        <v>UBER   * EATS PENDIN SAN FRANCISCO CA022508  05/28</v>
      </c>
      <c r="C1479" s="6" t="str">
        <f>Angela_2025_Chase1117_Activity_!G1476</f>
        <v>Uber Eats</v>
      </c>
      <c r="D1479" s="12">
        <f>Angela_2025_Chase1117_Activity_!D1476</f>
        <v>-62.07</v>
      </c>
    </row>
    <row r="1480" spans="1:4" x14ac:dyDescent="0.25">
      <c r="A1480" s="26">
        <f>Angela_2025_Chase1117_Activity_!B1477</f>
        <v>45805</v>
      </c>
      <c r="B1480" s="6" t="str">
        <f>Angela_2025_Chase1117_Activity_!C1477</f>
        <v>APPLE.COM/BILL 866-712-7753 CA               05/28</v>
      </c>
      <c r="C1480" s="6" t="str">
        <f>Angela_2025_Chase1117_Activity_!G1477</f>
        <v>Apple</v>
      </c>
      <c r="D1480" s="12">
        <f>Angela_2025_Chase1117_Activity_!D1477</f>
        <v>-5.99</v>
      </c>
    </row>
    <row r="1481" spans="1:4" x14ac:dyDescent="0.25">
      <c r="A1481" s="26">
        <f>Angela_2025_Chase1117_Activity_!B1478</f>
        <v>45805</v>
      </c>
      <c r="B1481" s="6" t="str">
        <f>Angela_2025_Chase1117_Activity_!C1478</f>
        <v>Patreon* Membership Internet CA              05/28</v>
      </c>
      <c r="C1481" s="6" t="str">
        <f>Angela_2025_Chase1117_Activity_!G1478</f>
        <v>Personal - Subscription</v>
      </c>
      <c r="D1481" s="12">
        <f>Angela_2025_Chase1117_Activity_!D1478</f>
        <v>-7.5</v>
      </c>
    </row>
    <row r="1482" spans="1:4" x14ac:dyDescent="0.25">
      <c r="A1482" s="26">
        <f>Angela_2025_Chase1117_Activity_!B1479</f>
        <v>45805</v>
      </c>
      <c r="B1482" s="6" t="str">
        <f>Angela_2025_Chase1117_Activity_!C1479</f>
        <v>AMAZON MKTPL*NN9CY3J Amzn.com/bill WA        05/28</v>
      </c>
      <c r="C1482" s="6" t="str">
        <f>Angela_2025_Chase1117_Activity_!G1479</f>
        <v>Amazon</v>
      </c>
      <c r="D1482" s="12">
        <f>Angela_2025_Chase1117_Activity_!D1479</f>
        <v>-43.76</v>
      </c>
    </row>
    <row r="1483" spans="1:4" x14ac:dyDescent="0.25">
      <c r="A1483" s="26">
        <f>Angela_2025_Chase1117_Activity_!B1480</f>
        <v>45805</v>
      </c>
      <c r="B1483" s="6" t="str">
        <f>Angela_2025_Chase1117_Activity_!C1480</f>
        <v>AMAZON MKTPL*N62NW1O Amzn.com/bill WA        05/28</v>
      </c>
      <c r="C1483" s="6" t="str">
        <f>Angela_2025_Chase1117_Activity_!G1480</f>
        <v>Amazon</v>
      </c>
      <c r="D1483" s="12">
        <f>Angela_2025_Chase1117_Activity_!D1480</f>
        <v>-10.66</v>
      </c>
    </row>
    <row r="1484" spans="1:4" x14ac:dyDescent="0.25">
      <c r="A1484" s="26">
        <f>Angela_2025_Chase1117_Activity_!B1481</f>
        <v>45805</v>
      </c>
      <c r="B1484" s="6" t="str">
        <f>Angela_2025_Chase1117_Activity_!C1481</f>
        <v>AMAZON MKTPL*NN8ME81 Amzn.com/bill WA        05/28</v>
      </c>
      <c r="C1484" s="6" t="str">
        <f>Angela_2025_Chase1117_Activity_!G1481</f>
        <v>Amazon</v>
      </c>
      <c r="D1484" s="12">
        <f>Angela_2025_Chase1117_Activity_!D1481</f>
        <v>-48.04</v>
      </c>
    </row>
    <row r="1485" spans="1:4" x14ac:dyDescent="0.25">
      <c r="A1485" s="26">
        <f>Angela_2025_Chase1117_Activity_!B1482</f>
        <v>45805</v>
      </c>
      <c r="B1485" s="6" t="str">
        <f>Angela_2025_Chase1117_Activity_!C1482</f>
        <v>SELF-PORTRAIT ISLINGTON                      05/27</v>
      </c>
      <c r="C1485" s="6" t="str">
        <f>Angela_2025_Chase1117_Activity_!G1482</f>
        <v>Personal - Clothing</v>
      </c>
      <c r="D1485" s="12">
        <f>Angela_2025_Chase1117_Activity_!D1482</f>
        <v>-819.85</v>
      </c>
    </row>
    <row r="1486" spans="1:4" x14ac:dyDescent="0.25">
      <c r="A1486" s="26">
        <f>Angela_2025_Chase1117_Activity_!B1483</f>
        <v>45805</v>
      </c>
      <c r="B1486" s="6" t="str">
        <f>Angela_2025_Chase1117_Activity_!C1483</f>
        <v>ANTHROPOLOGIE.COM ANTHROPOLOGIE PA           05/27</v>
      </c>
      <c r="C1486" s="6" t="str">
        <f>Angela_2025_Chase1117_Activity_!G1483</f>
        <v>Personal - Shopping</v>
      </c>
      <c r="D1486" s="12">
        <f>Angela_2025_Chase1117_Activity_!D1483</f>
        <v>-123.78</v>
      </c>
    </row>
    <row r="1487" spans="1:4" x14ac:dyDescent="0.25">
      <c r="A1487" s="26">
        <f>Angela_2025_Chase1117_Activity_!B1484</f>
        <v>45805</v>
      </c>
      <c r="B1487" s="6" t="str">
        <f>Angela_2025_Chase1117_Activity_!C1484</f>
        <v>Zelle payment from JOE SAUNDERS 24922478936</v>
      </c>
      <c r="C1487" s="6" t="str">
        <f>Angela_2025_Chase1117_Activity_!G1484</f>
        <v>Zelle from Joe Saunders</v>
      </c>
      <c r="D1487" s="12">
        <f>Angela_2025_Chase1117_Activity_!D1484</f>
        <v>400</v>
      </c>
    </row>
    <row r="1488" spans="1:4" x14ac:dyDescent="0.25">
      <c r="A1488" s="26">
        <f>Angela_2025_Chase1117_Activity_!B1485</f>
        <v>45804</v>
      </c>
      <c r="B1488" s="6" t="str">
        <f>Angela_2025_Chase1117_Activity_!C1485</f>
        <v>Online Payment 24911088468 To SOUTHERN CALIFORNIA GAS CO 05/27</v>
      </c>
      <c r="C1488" s="6" t="str">
        <f>Angela_2025_Chase1117_Activity_!G1485</f>
        <v>Personal - House Bills</v>
      </c>
      <c r="D1488" s="12">
        <f>Angela_2025_Chase1117_Activity_!D1485</f>
        <v>-200</v>
      </c>
    </row>
    <row r="1489" spans="1:4" x14ac:dyDescent="0.25">
      <c r="A1489" s="26">
        <f>Angela_2025_Chase1117_Activity_!B1486</f>
        <v>45804</v>
      </c>
      <c r="B1489" s="6" t="str">
        <f>Angela_2025_Chase1117_Activity_!C1486</f>
        <v>Online Payment 24911074402 To SAFECO INSURANCE COMPANY 05/27</v>
      </c>
      <c r="C1489" s="6" t="str">
        <f>Angela_2025_Chase1117_Activity_!G1486</f>
        <v>Personal - House Bills</v>
      </c>
      <c r="D1489" s="12">
        <f>Angela_2025_Chase1117_Activity_!D1486</f>
        <v>-120</v>
      </c>
    </row>
    <row r="1490" spans="1:4" x14ac:dyDescent="0.25">
      <c r="A1490" s="26">
        <f>Angela_2025_Chase1117_Activity_!B1487</f>
        <v>45804</v>
      </c>
      <c r="B1490" s="6" t="str">
        <f>Angela_2025_Chase1117_Activity_!C1487</f>
        <v>Online Payment 24911055504 To FRONTIER TELEPHONE 05/27</v>
      </c>
      <c r="C1490" s="6" t="str">
        <f>Angela_2025_Chase1117_Activity_!G1487</f>
        <v>Personal - House Bills</v>
      </c>
      <c r="D1490" s="12">
        <f>Angela_2025_Chase1117_Activity_!D1487</f>
        <v>-320</v>
      </c>
    </row>
    <row r="1491" spans="1:4" x14ac:dyDescent="0.25">
      <c r="A1491" s="26">
        <f>Angela_2025_Chase1117_Activity_!B1488</f>
        <v>45804</v>
      </c>
      <c r="B1491" s="6" t="str">
        <f>Angela_2025_Chase1117_Activity_!C1488</f>
        <v>Online Payment 24911070562 To AMERICAN EDUCATION SERVICES 05/27</v>
      </c>
      <c r="C1491" s="6" t="str">
        <f>Angela_2025_Chase1117_Activity_!G1488</f>
        <v>Personal - House Bills</v>
      </c>
      <c r="D1491" s="12">
        <f>Angela_2025_Chase1117_Activity_!D1488</f>
        <v>-320</v>
      </c>
    </row>
    <row r="1492" spans="1:4" x14ac:dyDescent="0.25">
      <c r="A1492" s="26">
        <f>Angela_2025_Chase1117_Activity_!B1489</f>
        <v>45804</v>
      </c>
      <c r="B1492" s="6" t="str">
        <f>Angela_2025_Chase1117_Activity_!C1489</f>
        <v>Online Payment 24911051909 To MERCEDES-BENZ FINANCIAL SERVICES 05/27</v>
      </c>
      <c r="C1492" s="6" t="str">
        <f>Angela_2025_Chase1117_Activity_!G1489</f>
        <v>Personal - House Bills</v>
      </c>
      <c r="D1492" s="12">
        <f>Angela_2025_Chase1117_Activity_!D1489</f>
        <v>-700</v>
      </c>
    </row>
    <row r="1493" spans="1:4" x14ac:dyDescent="0.25">
      <c r="A1493" s="26">
        <f>Angela_2025_Chase1117_Activity_!B1490</f>
        <v>45804</v>
      </c>
      <c r="B1493" s="6" t="str">
        <f>Angela_2025_Chase1117_Activity_!C1490</f>
        <v>WALGREENS STORE 1317 S WEATHERFORD TX862192  05/26</v>
      </c>
      <c r="C1493" s="6" t="str">
        <f>Angela_2025_Chase1117_Activity_!G1490</f>
        <v>Personal - Health</v>
      </c>
      <c r="D1493" s="12">
        <f>Angela_2025_Chase1117_Activity_!D1490</f>
        <v>-57.62</v>
      </c>
    </row>
    <row r="1494" spans="1:4" x14ac:dyDescent="0.25">
      <c r="A1494" s="26">
        <f>Angela_2025_Chase1117_Activity_!B1491</f>
        <v>45804</v>
      </c>
      <c r="B1494" s="6" t="str">
        <f>Angela_2025_Chase1117_Activity_!C1491</f>
        <v>SPACEWEATHERNEWS.COM SPACEWEATHERN CO        05/26</v>
      </c>
      <c r="C1494" s="6" t="str">
        <f>Angela_2025_Chase1117_Activity_!G1491</f>
        <v>Personal - Subscription</v>
      </c>
      <c r="D1494" s="12">
        <f>Angela_2025_Chase1117_Activity_!D1491</f>
        <v>-5.99</v>
      </c>
    </row>
    <row r="1495" spans="1:4" x14ac:dyDescent="0.25">
      <c r="A1495" s="26">
        <f>Angela_2025_Chase1117_Activity_!B1492</f>
        <v>45804</v>
      </c>
      <c r="B1495" s="6" t="str">
        <f>Angela_2025_Chase1117_Activity_!C1492</f>
        <v>TST* CLEAN JUICE - CLEA FORT WORTH TX        05/26</v>
      </c>
      <c r="C1495" s="6" t="str">
        <f>Angela_2025_Chase1117_Activity_!G1492</f>
        <v>Personal - Food</v>
      </c>
      <c r="D1495" s="12">
        <f>Angela_2025_Chase1117_Activity_!D1492</f>
        <v>-400.45</v>
      </c>
    </row>
    <row r="1496" spans="1:4" x14ac:dyDescent="0.25">
      <c r="A1496" s="26">
        <f>Angela_2025_Chase1117_Activity_!B1493</f>
        <v>45804</v>
      </c>
      <c r="B1496" s="6" t="str">
        <f>Angela_2025_Chase1117_Activity_!C1493</f>
        <v>Prime Video Channels amzn.com/bill WA        05/26</v>
      </c>
      <c r="C1496" s="6" t="str">
        <f>Angela_2025_Chase1117_Activity_!G1493</f>
        <v>Amazon</v>
      </c>
      <c r="D1496" s="12">
        <f>Angela_2025_Chase1117_Activity_!D1493</f>
        <v>-6.99</v>
      </c>
    </row>
    <row r="1497" spans="1:4" x14ac:dyDescent="0.25">
      <c r="A1497" s="26">
        <f>Angela_2025_Chase1117_Activity_!B1494</f>
        <v>45804</v>
      </c>
      <c r="B1497" s="6" t="str">
        <f>Angela_2025_Chase1117_Activity_!C1494</f>
        <v>AMERICAN AIR00144616911 FORT WORTH TX        05/26</v>
      </c>
      <c r="C1497" s="6" t="str">
        <f>Angela_2025_Chase1117_Activity_!G1494</f>
        <v>Personal Travel</v>
      </c>
      <c r="D1497" s="12">
        <f>Angela_2025_Chase1117_Activity_!D1494</f>
        <v>-35</v>
      </c>
    </row>
    <row r="1498" spans="1:4" x14ac:dyDescent="0.25">
      <c r="A1498" s="26">
        <f>Angela_2025_Chase1117_Activity_!B1495</f>
        <v>45804</v>
      </c>
      <c r="B1498" s="6" t="str">
        <f>Angela_2025_Chase1117_Activity_!C1495</f>
        <v>AMERICAN AIR00144616911 FORT WORTH TX        05/26</v>
      </c>
      <c r="C1498" s="6" t="str">
        <f>Angela_2025_Chase1117_Activity_!G1495</f>
        <v>Personal Travel</v>
      </c>
      <c r="D1498" s="12">
        <f>Angela_2025_Chase1117_Activity_!D1495</f>
        <v>-35</v>
      </c>
    </row>
    <row r="1499" spans="1:4" x14ac:dyDescent="0.25">
      <c r="A1499" s="26">
        <f>Angela_2025_Chase1117_Activity_!B1496</f>
        <v>45804</v>
      </c>
      <c r="B1499" s="6" t="str">
        <f>Angela_2025_Chase1117_Activity_!C1496</f>
        <v>AMERICAN AI 001446158 800-433-7300 TX        05/25</v>
      </c>
      <c r="C1499" s="6" t="str">
        <f>Angela_2025_Chase1117_Activity_!G1496</f>
        <v>Personal Travel</v>
      </c>
      <c r="D1499" s="12">
        <f>Angela_2025_Chase1117_Activity_!D1496</f>
        <v>-35</v>
      </c>
    </row>
    <row r="1500" spans="1:4" x14ac:dyDescent="0.25">
      <c r="A1500" s="26">
        <f>Angela_2025_Chase1117_Activity_!B1497</f>
        <v>45804</v>
      </c>
      <c r="B1500" s="6" t="str">
        <f>Angela_2025_Chase1117_Activity_!C1497</f>
        <v>AMERICAN AI 001446158 800-433-7300 TX        05/25</v>
      </c>
      <c r="C1500" s="6" t="str">
        <f>Angela_2025_Chase1117_Activity_!G1497</f>
        <v>Personal Travel</v>
      </c>
      <c r="D1500" s="12">
        <f>Angela_2025_Chase1117_Activity_!D1497</f>
        <v>-35</v>
      </c>
    </row>
    <row r="1501" spans="1:4" x14ac:dyDescent="0.25">
      <c r="A1501" s="26">
        <f>Angela_2025_Chase1117_Activity_!B1498</f>
        <v>45804</v>
      </c>
      <c r="B1501" s="6" t="str">
        <f>Angela_2025_Chase1117_Activity_!C1498</f>
        <v>AMERICAN AI 001062723 800-433-7300 TX        05/25</v>
      </c>
      <c r="C1501" s="6" t="str">
        <f>Angela_2025_Chase1117_Activity_!G1498</f>
        <v>Personal Travel</v>
      </c>
      <c r="D1501" s="12">
        <f>Angela_2025_Chase1117_Activity_!D1498</f>
        <v>-29.93</v>
      </c>
    </row>
    <row r="1502" spans="1:4" x14ac:dyDescent="0.25">
      <c r="A1502" s="26">
        <f>Angela_2025_Chase1117_Activity_!B1499</f>
        <v>45804</v>
      </c>
      <c r="B1502" s="6" t="str">
        <f>Angela_2025_Chase1117_Activity_!C1499</f>
        <v>AMERICAN AI 001062723 800-433-7300 TX        05/25</v>
      </c>
      <c r="C1502" s="6" t="str">
        <f>Angela_2025_Chase1117_Activity_!G1499</f>
        <v>Personal Travel</v>
      </c>
      <c r="D1502" s="12">
        <f>Angela_2025_Chase1117_Activity_!D1499</f>
        <v>-29.93</v>
      </c>
    </row>
    <row r="1503" spans="1:4" x14ac:dyDescent="0.25">
      <c r="A1503" s="26">
        <f>Angela_2025_Chase1117_Activity_!B1500</f>
        <v>45804</v>
      </c>
      <c r="B1503" s="6" t="str">
        <f>Angela_2025_Chase1117_Activity_!C1500</f>
        <v>AMERICAN AI 001062723 800-433-7300 TX        05/25</v>
      </c>
      <c r="C1503" s="6" t="str">
        <f>Angela_2025_Chase1117_Activity_!G1500</f>
        <v>Personal Travel</v>
      </c>
      <c r="D1503" s="12">
        <f>Angela_2025_Chase1117_Activity_!D1500</f>
        <v>-29.93</v>
      </c>
    </row>
    <row r="1504" spans="1:4" x14ac:dyDescent="0.25">
      <c r="A1504" s="26">
        <f>Angela_2025_Chase1117_Activity_!B1501</f>
        <v>45804</v>
      </c>
      <c r="B1504" s="6" t="str">
        <f>Angela_2025_Chase1117_Activity_!C1501</f>
        <v>AMERICAN AI 001062723 800-433-7300 TX        05/25</v>
      </c>
      <c r="C1504" s="6" t="str">
        <f>Angela_2025_Chase1117_Activity_!G1501</f>
        <v>Personal Travel</v>
      </c>
      <c r="D1504" s="12">
        <f>Angela_2025_Chase1117_Activity_!D1501</f>
        <v>-29.93</v>
      </c>
    </row>
    <row r="1505" spans="1:4" x14ac:dyDescent="0.25">
      <c r="A1505" s="26">
        <f>Angela_2025_Chase1117_Activity_!B1502</f>
        <v>45804</v>
      </c>
      <c r="B1505" s="6" t="str">
        <f>Angela_2025_Chase1117_Activity_!C1502</f>
        <v>AMERICAN AI 001062723 800-433-7300 TX        05/25</v>
      </c>
      <c r="C1505" s="6" t="str">
        <f>Angela_2025_Chase1117_Activity_!G1502</f>
        <v>Personal Travel</v>
      </c>
      <c r="D1505" s="12">
        <f>Angela_2025_Chase1117_Activity_!D1502</f>
        <v>-29.93</v>
      </c>
    </row>
    <row r="1506" spans="1:4" x14ac:dyDescent="0.25">
      <c r="A1506" s="26">
        <f>Angela_2025_Chase1117_Activity_!B1503</f>
        <v>45804</v>
      </c>
      <c r="B1506" s="6" t="str">
        <f>Angela_2025_Chase1117_Activity_!C1503</f>
        <v>LUKE UNFILTERED WEARECHANGE.O FL             05/25</v>
      </c>
      <c r="C1506" s="6" t="str">
        <f>Angela_2025_Chase1117_Activity_!G1503</f>
        <v>Personal - Subscription</v>
      </c>
      <c r="D1506" s="12">
        <f>Angela_2025_Chase1117_Activity_!D1503</f>
        <v>-15</v>
      </c>
    </row>
    <row r="1507" spans="1:4" x14ac:dyDescent="0.25">
      <c r="A1507" s="26">
        <f>Angela_2025_Chase1117_Activity_!B1504</f>
        <v>45804</v>
      </c>
      <c r="B1507" s="6" t="str">
        <f>Angela_2025_Chase1117_Activity_!C1504</f>
        <v>AMAZON PRIME*NN7AU8H Amzn.com/bill WA        05/24</v>
      </c>
      <c r="C1507" s="6" t="str">
        <f>Angela_2025_Chase1117_Activity_!G1504</f>
        <v>Amazon</v>
      </c>
      <c r="D1507" s="12">
        <f>Angela_2025_Chase1117_Activity_!D1504</f>
        <v>-16.45</v>
      </c>
    </row>
    <row r="1508" spans="1:4" x14ac:dyDescent="0.25">
      <c r="A1508" s="26">
        <f>Angela_2025_Chase1117_Activity_!B1505</f>
        <v>45804</v>
      </c>
      <c r="B1508" s="6" t="str">
        <f>Angela_2025_Chase1117_Activity_!C1505</f>
        <v>ATT*BILL PAYMENT 800-288-2020 TX             05/24</v>
      </c>
      <c r="C1508" s="6" t="str">
        <f>Angela_2025_Chase1117_Activity_!G1505</f>
        <v>AT&amp;T</v>
      </c>
      <c r="D1508" s="12">
        <f>Angela_2025_Chase1117_Activity_!D1505</f>
        <v>-724.49</v>
      </c>
    </row>
    <row r="1509" spans="1:4" x14ac:dyDescent="0.25">
      <c r="A1509" s="26">
        <f>Angela_2025_Chase1117_Activity_!B1506</f>
        <v>45804</v>
      </c>
      <c r="B1509" s="6" t="str">
        <f>Angela_2025_Chase1117_Activity_!C1506</f>
        <v>UBER   *TRIP HELP.UB SAN FRANCISCO CA075384  05/24</v>
      </c>
      <c r="C1509" s="6" t="str">
        <f>Angela_2025_Chase1117_Activity_!G1506</f>
        <v>Personal - Uber</v>
      </c>
      <c r="D1509" s="12">
        <f>Angela_2025_Chase1117_Activity_!D1506</f>
        <v>-14.99</v>
      </c>
    </row>
    <row r="1510" spans="1:4" x14ac:dyDescent="0.25">
      <c r="A1510" s="26">
        <f>Angela_2025_Chase1117_Activity_!B1507</f>
        <v>45804</v>
      </c>
      <c r="B1510" s="6" t="str">
        <f>Angela_2025_Chase1117_Activity_!C1507</f>
        <v>UBER   *TRIP HELP.UB SAN FRANCISCO CA029429  05/23</v>
      </c>
      <c r="C1510" s="6" t="str">
        <f>Angela_2025_Chase1117_Activity_!G1507</f>
        <v>Personal - Uber</v>
      </c>
      <c r="D1510" s="12">
        <f>Angela_2025_Chase1117_Activity_!D1507</f>
        <v>-3</v>
      </c>
    </row>
    <row r="1511" spans="1:4" x14ac:dyDescent="0.25">
      <c r="A1511" s="26">
        <f>Angela_2025_Chase1117_Activity_!B1508</f>
        <v>45804</v>
      </c>
      <c r="B1511" s="6" t="str">
        <f>Angela_2025_Chase1117_Activity_!C1508</f>
        <v>WITCHES BREW TOURS GAL NEW ORLEANS LA        05/23</v>
      </c>
      <c r="C1511" s="6" t="str">
        <f>Angela_2025_Chase1117_Activity_!G1508</f>
        <v>Personal Travel - New Orleans</v>
      </c>
      <c r="D1511" s="12">
        <f>Angela_2025_Chase1117_Activity_!D1508</f>
        <v>-52.08</v>
      </c>
    </row>
    <row r="1512" spans="1:4" x14ac:dyDescent="0.25">
      <c r="A1512" s="26">
        <f>Angela_2025_Chase1117_Activity_!B1509</f>
        <v>45804</v>
      </c>
      <c r="B1512" s="6" t="str">
        <f>Angela_2025_Chase1117_Activity_!C1509</f>
        <v>SQ *KRISTINE KOLVA-BAR NEW ORLEANS LA        05/23</v>
      </c>
      <c r="C1512" s="6" t="str">
        <f>Angela_2025_Chase1117_Activity_!G1509</f>
        <v>Personal Travel - New Orleans</v>
      </c>
      <c r="D1512" s="12">
        <f>Angela_2025_Chase1117_Activity_!D1509</f>
        <v>-140</v>
      </c>
    </row>
    <row r="1513" spans="1:4" x14ac:dyDescent="0.25">
      <c r="A1513" s="26">
        <f>Angela_2025_Chase1117_Activity_!B1510</f>
        <v>45804</v>
      </c>
      <c r="B1513" s="6" t="str">
        <f>Angela_2025_Chase1117_Activity_!C1510</f>
        <v>PP*CUAUHTLI NEW ORLEANS LA                   05/23</v>
      </c>
      <c r="C1513" s="6" t="str">
        <f>Angela_2025_Chase1117_Activity_!G1510</f>
        <v>Personal Travel - New Orleans</v>
      </c>
      <c r="D1513" s="12">
        <f>Angela_2025_Chase1117_Activity_!D1510</f>
        <v>-158.4</v>
      </c>
    </row>
    <row r="1514" spans="1:4" x14ac:dyDescent="0.25">
      <c r="A1514" s="26">
        <f>Angela_2025_Chase1117_Activity_!B1511</f>
        <v>45804</v>
      </c>
      <c r="B1514" s="6" t="str">
        <f>Angela_2025_Chase1117_Activity_!C1511</f>
        <v>FRENCH MARKET PRODUCE NEW ORLEANS LA         05/23</v>
      </c>
      <c r="C1514" s="6" t="str">
        <f>Angela_2025_Chase1117_Activity_!G1511</f>
        <v>Personal Travel - New Orleans</v>
      </c>
      <c r="D1514" s="12">
        <f>Angela_2025_Chase1117_Activity_!D1511</f>
        <v>-15</v>
      </c>
    </row>
    <row r="1515" spans="1:4" x14ac:dyDescent="0.25">
      <c r="A1515" s="26">
        <f>Angela_2025_Chase1117_Activity_!B1512</f>
        <v>45804</v>
      </c>
      <c r="B1515" s="6" t="str">
        <f>Angela_2025_Chase1117_Activity_!C1512</f>
        <v>90949 -NEW ORLEANS PAR NEW ORLEANS LA        05/23</v>
      </c>
      <c r="C1515" s="6" t="str">
        <f>Angela_2025_Chase1117_Activity_!G1512</f>
        <v>Personal Travel - New Orleans</v>
      </c>
      <c r="D1515" s="12">
        <f>Angela_2025_Chase1117_Activity_!D1512</f>
        <v>-5</v>
      </c>
    </row>
    <row r="1516" spans="1:4" x14ac:dyDescent="0.25">
      <c r="A1516" s="26">
        <f>Angela_2025_Chase1117_Activity_!B1513</f>
        <v>45804</v>
      </c>
      <c r="B1516" s="6" t="str">
        <f>Angela_2025_Chase1117_Activity_!C1513</f>
        <v>90949 -NEW ORLEANS PAR NEW ORLEANS LA        05/23</v>
      </c>
      <c r="C1516" s="6" t="str">
        <f>Angela_2025_Chase1117_Activity_!G1513</f>
        <v>Personal Travel - New Orleans</v>
      </c>
      <c r="D1516" s="12">
        <f>Angela_2025_Chase1117_Activity_!D1513</f>
        <v>-1</v>
      </c>
    </row>
    <row r="1517" spans="1:4" x14ac:dyDescent="0.25">
      <c r="A1517" s="26">
        <f>Angela_2025_Chase1117_Activity_!B1514</f>
        <v>45804</v>
      </c>
      <c r="B1517" s="6" t="str">
        <f>Angela_2025_Chase1117_Activity_!C1514</f>
        <v>Zelle payment from JOE SAUNDERS 24910856667</v>
      </c>
      <c r="C1517" s="6" t="str">
        <f>Angela_2025_Chase1117_Activity_!G1514</f>
        <v>Zelle from Joe Saunders</v>
      </c>
      <c r="D1517" s="12">
        <f>Angela_2025_Chase1117_Activity_!D1514</f>
        <v>150</v>
      </c>
    </row>
    <row r="1518" spans="1:4" x14ac:dyDescent="0.25">
      <c r="A1518" s="26">
        <f>Angela_2025_Chase1117_Activity_!B1515</f>
        <v>45804</v>
      </c>
      <c r="B1518" s="6" t="str">
        <f>Angela_2025_Chase1117_Activity_!C1515</f>
        <v>Online Transfer from CHK ...9335 transaction#: 24883648954</v>
      </c>
      <c r="C1518" s="6" t="str">
        <f>Angela_2025_Chase1117_Activity_!G1515</f>
        <v>Transfer from Poseidon Asset Group</v>
      </c>
      <c r="D1518" s="12">
        <f>Angela_2025_Chase1117_Activity_!D1515</f>
        <v>1000</v>
      </c>
    </row>
    <row r="1519" spans="1:4" x14ac:dyDescent="0.25">
      <c r="A1519" s="26">
        <f>Angela_2025_Chase1117_Activity_!B1516</f>
        <v>45804</v>
      </c>
      <c r="B1519" s="6" t="str">
        <f>Angela_2025_Chase1117_Activity_!C1516</f>
        <v>Online Transfer from CHK ...1168 transaction#: 24883701527</v>
      </c>
      <c r="C1519" s="6" t="str">
        <f>Angela_2025_Chase1117_Activity_!G1516</f>
        <v>Transfer from DWG Capital Group</v>
      </c>
      <c r="D1519" s="12">
        <f>Angela_2025_Chase1117_Activity_!D1516</f>
        <v>2000</v>
      </c>
    </row>
    <row r="1520" spans="1:4" x14ac:dyDescent="0.25">
      <c r="A1520" s="26">
        <f>Angela_2025_Chase1117_Activity_!B1517</f>
        <v>45804</v>
      </c>
      <c r="B1520" s="6" t="str">
        <f>Angela_2025_Chase1117_Activity_!C1517</f>
        <v>Online Transfer from CHK ...1168 transaction#: 24911027530</v>
      </c>
      <c r="C1520" s="6" t="str">
        <f>Angela_2025_Chase1117_Activity_!G1517</f>
        <v>Transfer from DWG Capital Group</v>
      </c>
      <c r="D1520" s="12">
        <f>Angela_2025_Chase1117_Activity_!D1517</f>
        <v>5000</v>
      </c>
    </row>
    <row r="1521" spans="1:4" x14ac:dyDescent="0.25">
      <c r="A1521" s="26">
        <f>Angela_2025_Chase1117_Activity_!B1518</f>
        <v>45800</v>
      </c>
      <c r="B1521" s="6" t="str">
        <f>Angela_2025_Chase1117_Activity_!C1518</f>
        <v>Cemetery Tours NOLA, L New Orleans LA        05/23</v>
      </c>
      <c r="C1521" s="6" t="str">
        <f>Angela_2025_Chase1117_Activity_!G1518</f>
        <v>Personal Travel - New Orleans</v>
      </c>
      <c r="D1521" s="12">
        <f>Angela_2025_Chase1117_Activity_!D1518</f>
        <v>-32</v>
      </c>
    </row>
    <row r="1522" spans="1:4" x14ac:dyDescent="0.25">
      <c r="A1522" s="26">
        <f>Angela_2025_Chase1117_Activity_!B1519</f>
        <v>45800</v>
      </c>
      <c r="B1522" s="6" t="str">
        <f>Angela_2025_Chase1117_Activity_!C1519</f>
        <v>APPLE COM BILL CUPERTINO CA          406820  05/23</v>
      </c>
      <c r="C1522" s="6" t="str">
        <f>Angela_2025_Chase1117_Activity_!G1519</f>
        <v>Apple</v>
      </c>
      <c r="D1522" s="12">
        <f>Angela_2025_Chase1117_Activity_!D1519</f>
        <v>-10.99</v>
      </c>
    </row>
    <row r="1523" spans="1:4" x14ac:dyDescent="0.25">
      <c r="A1523" s="26">
        <f>Angela_2025_Chase1117_Activity_!B1520</f>
        <v>45800</v>
      </c>
      <c r="B1523" s="6" t="str">
        <f>Angela_2025_Chase1117_Activity_!C1520</f>
        <v>SQ *BACKATOWN NEW ORLEANS LA                 05/23</v>
      </c>
      <c r="C1523" s="6" t="str">
        <f>Angela_2025_Chase1117_Activity_!G1520</f>
        <v>Personal Travel - New Orleans</v>
      </c>
      <c r="D1523" s="12">
        <f>Angela_2025_Chase1117_Activity_!D1520</f>
        <v>-156.33000000000001</v>
      </c>
    </row>
    <row r="1524" spans="1:4" x14ac:dyDescent="0.25">
      <c r="A1524" s="26">
        <f>Angela_2025_Chase1117_Activity_!B1521</f>
        <v>45800</v>
      </c>
      <c r="B1524" s="6" t="str">
        <f>Angela_2025_Chase1117_Activity_!C1521</f>
        <v>MARIE LAVEAU'S NEW ORLEANS LA                05/22</v>
      </c>
      <c r="C1524" s="6" t="str">
        <f>Angela_2025_Chase1117_Activity_!G1521</f>
        <v>Personal Travel - New Orleans</v>
      </c>
      <c r="D1524" s="12">
        <f>Angela_2025_Chase1117_Activity_!D1521</f>
        <v>-59.26</v>
      </c>
    </row>
    <row r="1525" spans="1:4" x14ac:dyDescent="0.25">
      <c r="A1525" s="26">
        <f>Angela_2025_Chase1117_Activity_!B1522</f>
        <v>45799</v>
      </c>
      <c r="B1525" s="6" t="str">
        <f>Angela_2025_Chase1117_Activity_!C1522</f>
        <v>CVS/PHARMACY #02728 NEW ORLEANS LA   046573  05/22</v>
      </c>
      <c r="C1525" s="6" t="str">
        <f>Angela_2025_Chase1117_Activity_!G1522</f>
        <v>Personal Travel - New Orleans</v>
      </c>
      <c r="D1525" s="12">
        <f>Angela_2025_Chase1117_Activity_!D1522</f>
        <v>-30.41</v>
      </c>
    </row>
    <row r="1526" spans="1:4" x14ac:dyDescent="0.25">
      <c r="A1526" s="26">
        <f>Angela_2025_Chase1117_Activity_!B1523</f>
        <v>45799</v>
      </c>
      <c r="B1526" s="6" t="str">
        <f>Angela_2025_Chase1117_Activity_!C1523</f>
        <v>DD *DOORDASH TARGET 855-431-0459 CA          05/22</v>
      </c>
      <c r="C1526" s="6" t="str">
        <f>Angela_2025_Chase1117_Activity_!G1523</f>
        <v>Uber Eats</v>
      </c>
      <c r="D1526" s="12">
        <f>Angela_2025_Chase1117_Activity_!D1523</f>
        <v>-65.010000000000005</v>
      </c>
    </row>
    <row r="1527" spans="1:4" x14ac:dyDescent="0.25">
      <c r="A1527" s="26">
        <f>Angela_2025_Chase1117_Activity_!B1524</f>
        <v>45798</v>
      </c>
      <c r="B1527" s="6" t="str">
        <f>Angela_2025_Chase1117_Activity_!C1524</f>
        <v>MICHAELS STORES 8760 WEATHERFORD TX  168390  05/21</v>
      </c>
      <c r="C1527" s="6" t="str">
        <f>Angela_2025_Chase1117_Activity_!G1524</f>
        <v>Personal - Shopping</v>
      </c>
      <c r="D1527" s="12">
        <f>Angela_2025_Chase1117_Activity_!D1524</f>
        <v>-95.26</v>
      </c>
    </row>
    <row r="1528" spans="1:4" x14ac:dyDescent="0.25">
      <c r="A1528" s="26">
        <f>Angela_2025_Chase1117_Activity_!B1525</f>
        <v>45798</v>
      </c>
      <c r="B1528" s="6" t="str">
        <f>Angela_2025_Chase1117_Activity_!C1525</f>
        <v>WITHDRAWAL 05/21</v>
      </c>
      <c r="C1528" s="6" t="str">
        <f>Angela_2025_Chase1117_Activity_!G1525</f>
        <v>Withdrawal</v>
      </c>
      <c r="D1528" s="12">
        <f>Angela_2025_Chase1117_Activity_!D1525</f>
        <v>-500</v>
      </c>
    </row>
    <row r="1529" spans="1:4" x14ac:dyDescent="0.25">
      <c r="A1529" s="26">
        <f>Angela_2025_Chase1117_Activity_!B1526</f>
        <v>45798</v>
      </c>
      <c r="B1529" s="6" t="str">
        <f>Angela_2025_Chase1117_Activity_!C1526</f>
        <v>WITHDRAWAL 05/21</v>
      </c>
      <c r="C1529" s="6" t="str">
        <f>Angela_2025_Chase1117_Activity_!G1526</f>
        <v>Withdrawal</v>
      </c>
      <c r="D1529" s="12">
        <f>Angela_2025_Chase1117_Activity_!D1526</f>
        <v>-500</v>
      </c>
    </row>
    <row r="1530" spans="1:4" x14ac:dyDescent="0.25">
      <c r="A1530" s="26">
        <f>Angela_2025_Chase1117_Activity_!B1527</f>
        <v>45798</v>
      </c>
      <c r="B1530" s="6" t="str">
        <f>Angela_2025_Chase1117_Activity_!C1527</f>
        <v>NEXTLINK BROADBAND 855-6985465 TX            05/20</v>
      </c>
      <c r="C1530" s="6" t="str">
        <f>Angela_2025_Chase1117_Activity_!G1527</f>
        <v>Personal - House Bills</v>
      </c>
      <c r="D1530" s="12">
        <f>Angela_2025_Chase1117_Activity_!D1527</f>
        <v>-149.96</v>
      </c>
    </row>
    <row r="1531" spans="1:4" x14ac:dyDescent="0.25">
      <c r="A1531" s="26">
        <f>Angela_2025_Chase1117_Activity_!B1528</f>
        <v>45798</v>
      </c>
      <c r="B1531" s="6" t="str">
        <f>Angela_2025_Chase1117_Activity_!C1528</f>
        <v>AMAZON MKTPL*NZ9RR8F Amzn.com/bill WA        05/21</v>
      </c>
      <c r="C1531" s="6" t="str">
        <f>Angela_2025_Chase1117_Activity_!G1528</f>
        <v>Amazon</v>
      </c>
      <c r="D1531" s="12">
        <f>Angela_2025_Chase1117_Activity_!D1528</f>
        <v>-10.66</v>
      </c>
    </row>
    <row r="1532" spans="1:4" x14ac:dyDescent="0.25">
      <c r="A1532" s="26">
        <f>Angela_2025_Chase1117_Activity_!B1529</f>
        <v>45798</v>
      </c>
      <c r="B1532" s="6" t="str">
        <f>Angela_2025_Chase1117_Activity_!C1529</f>
        <v>Amazon.com*NZ2TQ0FO0 Amzn.com/bill WA        05/21</v>
      </c>
      <c r="C1532" s="6" t="str">
        <f>Angela_2025_Chase1117_Activity_!G1529</f>
        <v>Amazon</v>
      </c>
      <c r="D1532" s="12">
        <f>Angela_2025_Chase1117_Activity_!D1529</f>
        <v>-22.94</v>
      </c>
    </row>
    <row r="1533" spans="1:4" x14ac:dyDescent="0.25">
      <c r="A1533" s="26">
        <f>Angela_2025_Chase1117_Activity_!B1530</f>
        <v>45798</v>
      </c>
      <c r="B1533" s="6" t="str">
        <f>Angela_2025_Chase1117_Activity_!C1530</f>
        <v>AMERICAN AIR00172275978 FORT WORTH TX        05/19</v>
      </c>
      <c r="C1533" s="6" t="str">
        <f>Angela_2025_Chase1117_Activity_!G1530</f>
        <v>Personal Travel</v>
      </c>
      <c r="D1533" s="12">
        <f>Angela_2025_Chase1117_Activity_!D1530</f>
        <v>-236.48</v>
      </c>
    </row>
    <row r="1534" spans="1:4" x14ac:dyDescent="0.25">
      <c r="A1534" s="26">
        <f>Angela_2025_Chase1117_Activity_!B1531</f>
        <v>45797</v>
      </c>
      <c r="B1534" s="6" t="str">
        <f>Angela_2025_Chase1117_Activity_!C1531</f>
        <v>WALGREENS STORE 1317 S WEATHERFORD TX548554  05/20</v>
      </c>
      <c r="C1534" s="6" t="str">
        <f>Angela_2025_Chase1117_Activity_!G1531</f>
        <v>Personal - Health</v>
      </c>
      <c r="D1534" s="12">
        <f>Angela_2025_Chase1117_Activity_!D1531</f>
        <v>-63.75</v>
      </c>
    </row>
    <row r="1535" spans="1:4" x14ac:dyDescent="0.25">
      <c r="A1535" s="26">
        <f>Angela_2025_Chase1117_Activity_!B1532</f>
        <v>45797</v>
      </c>
      <c r="B1535" s="6" t="str">
        <f>Angela_2025_Chase1117_Activity_!C1532</f>
        <v>AMAZON MKTPL*NW3BL0R Amzn.com/bill WA        05/20</v>
      </c>
      <c r="C1535" s="6" t="str">
        <f>Angela_2025_Chase1117_Activity_!G1532</f>
        <v>Amazon</v>
      </c>
      <c r="D1535" s="12">
        <f>Angela_2025_Chase1117_Activity_!D1532</f>
        <v>-18.12</v>
      </c>
    </row>
    <row r="1536" spans="1:4" x14ac:dyDescent="0.25">
      <c r="A1536" s="26">
        <f>Angela_2025_Chase1117_Activity_!B1533</f>
        <v>45797</v>
      </c>
      <c r="B1536" s="6" t="str">
        <f>Angela_2025_Chase1117_Activity_!C1533</f>
        <v>AMAZON MKTPL*NW6IC3Y Amzn.com/bill WA        05/20</v>
      </c>
      <c r="C1536" s="6" t="str">
        <f>Angela_2025_Chase1117_Activity_!G1533</f>
        <v>Amazon</v>
      </c>
      <c r="D1536" s="12">
        <f>Angela_2025_Chase1117_Activity_!D1533</f>
        <v>-23.46</v>
      </c>
    </row>
    <row r="1537" spans="1:4" x14ac:dyDescent="0.25">
      <c r="A1537" s="26">
        <f>Angela_2025_Chase1117_Activity_!B1534</f>
        <v>45797</v>
      </c>
      <c r="B1537" s="6" t="str">
        <f>Angela_2025_Chase1117_Activity_!C1534</f>
        <v>Amazon.com*NW0PB4IJ0 Amzn.com/bill WA        05/20</v>
      </c>
      <c r="C1537" s="6" t="str">
        <f>Angela_2025_Chase1117_Activity_!G1534</f>
        <v>Amazon</v>
      </c>
      <c r="D1537" s="12">
        <f>Angela_2025_Chase1117_Activity_!D1534</f>
        <v>-20.27</v>
      </c>
    </row>
    <row r="1538" spans="1:4" x14ac:dyDescent="0.25">
      <c r="A1538" s="26">
        <f>Angela_2025_Chase1117_Activity_!B1535</f>
        <v>45797</v>
      </c>
      <c r="B1538" s="6" t="str">
        <f>Angela_2025_Chase1117_Activity_!C1535</f>
        <v>NTTA AUTOCHARGE 972-818-6882 TX              05/19</v>
      </c>
      <c r="C1538" s="6" t="str">
        <f>Angela_2025_Chase1117_Activity_!G1535</f>
        <v>Personal - Car</v>
      </c>
      <c r="D1538" s="12">
        <f>Angela_2025_Chase1117_Activity_!D1535</f>
        <v>-40</v>
      </c>
    </row>
    <row r="1539" spans="1:4" x14ac:dyDescent="0.25">
      <c r="A1539" s="26">
        <f>Angela_2025_Chase1117_Activity_!B1536</f>
        <v>45797</v>
      </c>
      <c r="B1539" s="6" t="str">
        <f>Angela_2025_Chase1117_Activity_!C1536</f>
        <v>Amazon.com*NZ4SW77G2 Amzn.com/bill WA        05/19</v>
      </c>
      <c r="C1539" s="6" t="str">
        <f>Angela_2025_Chase1117_Activity_!G1536</f>
        <v>Amazon</v>
      </c>
      <c r="D1539" s="12">
        <f>Angela_2025_Chase1117_Activity_!D1536</f>
        <v>-30.62</v>
      </c>
    </row>
    <row r="1540" spans="1:4" x14ac:dyDescent="0.25">
      <c r="A1540" s="26">
        <f>Angela_2025_Chase1117_Activity_!B1537</f>
        <v>45797</v>
      </c>
      <c r="B1540" s="6" t="str">
        <f>Angela_2025_Chase1117_Activity_!C1537</f>
        <v>Online Transfer from CHK ...1168 transaction#: 24837290718</v>
      </c>
      <c r="C1540" s="6" t="str">
        <f>Angela_2025_Chase1117_Activity_!G1537</f>
        <v>Transfer from DWG Capital Group</v>
      </c>
      <c r="D1540" s="12">
        <f>Angela_2025_Chase1117_Activity_!D1537</f>
        <v>3000</v>
      </c>
    </row>
    <row r="1541" spans="1:4" x14ac:dyDescent="0.25">
      <c r="A1541" s="26">
        <f>Angela_2025_Chase1117_Activity_!B1538</f>
        <v>45796</v>
      </c>
      <c r="B1541" s="6" t="str">
        <f>Angela_2025_Chase1117_Activity_!C1538</f>
        <v>UBER   * EATS PENDIN SAN FRANCISCO CA223152  05/19</v>
      </c>
      <c r="C1541" s="6" t="str">
        <f>Angela_2025_Chase1117_Activity_!G1538</f>
        <v>Uber Eats</v>
      </c>
      <c r="D1541" s="12">
        <f>Angela_2025_Chase1117_Activity_!D1538</f>
        <v>-55.82</v>
      </c>
    </row>
    <row r="1542" spans="1:4" x14ac:dyDescent="0.25">
      <c r="A1542" s="26">
        <f>Angela_2025_Chase1117_Activity_!B1539</f>
        <v>45796</v>
      </c>
      <c r="B1542" s="6" t="str">
        <f>Angela_2025_Chase1117_Activity_!C1539</f>
        <v>TARGET T-1981 WEATHERFORD TX         057505  05/19</v>
      </c>
      <c r="C1542" s="6" t="str">
        <f>Angela_2025_Chase1117_Activity_!G1539</f>
        <v>Personal - Shopping</v>
      </c>
      <c r="D1542" s="12">
        <f>Angela_2025_Chase1117_Activity_!D1539</f>
        <v>-223.05</v>
      </c>
    </row>
    <row r="1543" spans="1:4" x14ac:dyDescent="0.25">
      <c r="A1543" s="26">
        <f>Angela_2025_Chase1117_Activity_!B1540</f>
        <v>45796</v>
      </c>
      <c r="B1543" s="6" t="str">
        <f>Angela_2025_Chase1117_Activity_!C1540</f>
        <v>HOBBYLOBBY WEATHERFORD TX            026312  05/19</v>
      </c>
      <c r="C1543" s="6" t="str">
        <f>Angela_2025_Chase1117_Activity_!G1540</f>
        <v>Personal - Shopping</v>
      </c>
      <c r="D1543" s="12">
        <f>Angela_2025_Chase1117_Activity_!D1540</f>
        <v>-150.66</v>
      </c>
    </row>
    <row r="1544" spans="1:4" x14ac:dyDescent="0.25">
      <c r="A1544" s="26">
        <f>Angela_2025_Chase1117_Activity_!B1541</f>
        <v>45796</v>
      </c>
      <c r="B1544" s="6" t="str">
        <f>Angela_2025_Chase1117_Activity_!C1541</f>
        <v>GRANADA THEATER TICK WWW.GRANADATH TX        05/18</v>
      </c>
      <c r="C1544" s="6" t="str">
        <f>Angela_2025_Chase1117_Activity_!G1541</f>
        <v>Personal - Entertainment</v>
      </c>
      <c r="D1544" s="12">
        <f>Angela_2025_Chase1117_Activity_!D1541</f>
        <v>-57.33</v>
      </c>
    </row>
    <row r="1545" spans="1:4" x14ac:dyDescent="0.25">
      <c r="A1545" s="26">
        <f>Angela_2025_Chase1117_Activity_!B1542</f>
        <v>45796</v>
      </c>
      <c r="B1545" s="6" t="str">
        <f>Angela_2025_Chase1117_Activity_!C1542</f>
        <v>AMAZON MKTPL*NZ5TS2H Amzn.com/bill WA        05/18</v>
      </c>
      <c r="C1545" s="6" t="str">
        <f>Angela_2025_Chase1117_Activity_!G1542</f>
        <v>Amazon</v>
      </c>
      <c r="D1545" s="12">
        <f>Angela_2025_Chase1117_Activity_!D1542</f>
        <v>-25.6</v>
      </c>
    </row>
    <row r="1546" spans="1:4" x14ac:dyDescent="0.25">
      <c r="A1546" s="26">
        <f>Angela_2025_Chase1117_Activity_!B1543</f>
        <v>45796</v>
      </c>
      <c r="B1546" s="6" t="str">
        <f>Angela_2025_Chase1117_Activity_!C1543</f>
        <v>TARGET        00019810 WEATHERFORD TX        05/16</v>
      </c>
      <c r="C1546" s="6" t="str">
        <f>Angela_2025_Chase1117_Activity_!G1543</f>
        <v>Personal - Shopping</v>
      </c>
      <c r="D1546" s="12">
        <f>Angela_2025_Chase1117_Activity_!D1543</f>
        <v>-2.8</v>
      </c>
    </row>
    <row r="1547" spans="1:4" x14ac:dyDescent="0.25">
      <c r="A1547" s="26">
        <f>Angela_2025_Chase1117_Activity_!B1544</f>
        <v>45796</v>
      </c>
      <c r="B1547" s="6" t="str">
        <f>Angela_2025_Chase1117_Activity_!C1544</f>
        <v>LOTT CLEANERS (MAIN ST WEATHERFORD TX        05/16</v>
      </c>
      <c r="C1547" s="6" t="str">
        <f>Angela_2025_Chase1117_Activity_!G1544</f>
        <v>Personal - Clothing</v>
      </c>
      <c r="D1547" s="12">
        <f>Angela_2025_Chase1117_Activity_!D1544</f>
        <v>-40.14</v>
      </c>
    </row>
    <row r="1548" spans="1:4" x14ac:dyDescent="0.25">
      <c r="A1548" s="26">
        <f>Angela_2025_Chase1117_Activity_!B1545</f>
        <v>45796</v>
      </c>
      <c r="B1548" s="6" t="str">
        <f>Angela_2025_Chase1117_Activity_!C1545</f>
        <v>AMAZON MKTPL*NW7YJ8G Amzn.com/bill WA        05/17</v>
      </c>
      <c r="C1548" s="6" t="str">
        <f>Angela_2025_Chase1117_Activity_!G1545</f>
        <v>Amazon</v>
      </c>
      <c r="D1548" s="12">
        <f>Angela_2025_Chase1117_Activity_!D1545</f>
        <v>-34.21</v>
      </c>
    </row>
    <row r="1549" spans="1:4" x14ac:dyDescent="0.25">
      <c r="A1549" s="26">
        <f>Angela_2025_Chase1117_Activity_!B1546</f>
        <v>45793</v>
      </c>
      <c r="B1549" s="6" t="str">
        <f>Angela_2025_Chase1117_Activity_!C1546</f>
        <v>TARGET T-1981 WEATHERFORD TX         009137  05/16</v>
      </c>
      <c r="C1549" s="6" t="str">
        <f>Angela_2025_Chase1117_Activity_!G1546</f>
        <v>Personal - Shopping</v>
      </c>
      <c r="D1549" s="12">
        <f>Angela_2025_Chase1117_Activity_!D1546</f>
        <v>-393.87</v>
      </c>
    </row>
    <row r="1550" spans="1:4" x14ac:dyDescent="0.25">
      <c r="A1550" s="26">
        <f>Angela_2025_Chase1117_Activity_!B1547</f>
        <v>45793</v>
      </c>
      <c r="B1550" s="6" t="str">
        <f>Angela_2025_Chase1117_Activity_!C1547</f>
        <v>SQ *STUDIO 74 VINTAGE Fort Worth TX          05/15</v>
      </c>
      <c r="C1550" s="6" t="str">
        <f>Angela_2025_Chase1117_Activity_!G1547</f>
        <v>Personal - Shopping</v>
      </c>
      <c r="D1550" s="12">
        <f>Angela_2025_Chase1117_Activity_!D1547</f>
        <v>-217.58</v>
      </c>
    </row>
    <row r="1551" spans="1:4" x14ac:dyDescent="0.25">
      <c r="A1551" s="26">
        <f>Angela_2025_Chase1117_Activity_!B1548</f>
        <v>45793</v>
      </c>
      <c r="B1551" s="6" t="str">
        <f>Angela_2025_Chase1117_Activity_!C1548</f>
        <v>AMAZON MKTPL*NW06B5N Amzn.com/bill WA        05/15</v>
      </c>
      <c r="C1551" s="6" t="str">
        <f>Angela_2025_Chase1117_Activity_!G1548</f>
        <v>Amazon</v>
      </c>
      <c r="D1551" s="12">
        <f>Angela_2025_Chase1117_Activity_!D1548</f>
        <v>-145.06</v>
      </c>
    </row>
    <row r="1552" spans="1:4" x14ac:dyDescent="0.25">
      <c r="A1552" s="26">
        <f>Angela_2025_Chase1117_Activity_!B1549</f>
        <v>45792</v>
      </c>
      <c r="B1552" s="6" t="str">
        <f>Angela_2025_Chase1117_Activity_!C1549</f>
        <v>AMAZON MKTPL*NZ4FS8Z Amzn.com/bill WA        05/15</v>
      </c>
      <c r="C1552" s="6" t="str">
        <f>Angela_2025_Chase1117_Activity_!G1549</f>
        <v>Amazon</v>
      </c>
      <c r="D1552" s="12">
        <f>Angela_2025_Chase1117_Activity_!D1549</f>
        <v>-32</v>
      </c>
    </row>
    <row r="1553" spans="1:4" x14ac:dyDescent="0.25">
      <c r="A1553" s="26">
        <f>Angela_2025_Chase1117_Activity_!B1550</f>
        <v>45792</v>
      </c>
      <c r="B1553" s="6" t="str">
        <f>Angela_2025_Chase1117_Activity_!C1550</f>
        <v>AMAZON MKTPL*NW24C94 Amzn.com/bill WA        05/15</v>
      </c>
      <c r="C1553" s="6" t="str">
        <f>Angela_2025_Chase1117_Activity_!G1550</f>
        <v>Amazon</v>
      </c>
      <c r="D1553" s="12">
        <f>Angela_2025_Chase1117_Activity_!D1550</f>
        <v>-110.8</v>
      </c>
    </row>
    <row r="1554" spans="1:4" x14ac:dyDescent="0.25">
      <c r="A1554" s="26">
        <f>Angela_2025_Chase1117_Activity_!B1551</f>
        <v>45792</v>
      </c>
      <c r="B1554" s="6" t="str">
        <f>Angela_2025_Chase1117_Activity_!C1551</f>
        <v>AMAZON MKTPL*NZ8L16Z Amzn.com/bill WA        05/15</v>
      </c>
      <c r="C1554" s="6" t="str">
        <f>Angela_2025_Chase1117_Activity_!G1551</f>
        <v>Amazon</v>
      </c>
      <c r="D1554" s="12">
        <f>Angela_2025_Chase1117_Activity_!D1551</f>
        <v>-32.01</v>
      </c>
    </row>
    <row r="1555" spans="1:4" x14ac:dyDescent="0.25">
      <c r="A1555" s="26">
        <f>Angela_2025_Chase1117_Activity_!B1552</f>
        <v>45792</v>
      </c>
      <c r="B1555" s="6" t="str">
        <f>Angela_2025_Chase1117_Activity_!C1552</f>
        <v>AMAZON MKTPL*NW0HJ64 Amzn.com/bill WA        05/15</v>
      </c>
      <c r="C1555" s="6" t="str">
        <f>Angela_2025_Chase1117_Activity_!G1552</f>
        <v>Amazon</v>
      </c>
      <c r="D1555" s="12">
        <f>Angela_2025_Chase1117_Activity_!D1552</f>
        <v>-28.76</v>
      </c>
    </row>
    <row r="1556" spans="1:4" x14ac:dyDescent="0.25">
      <c r="A1556" s="26">
        <f>Angela_2025_Chase1117_Activity_!B1553</f>
        <v>45792</v>
      </c>
      <c r="B1556" s="6" t="str">
        <f>Angela_2025_Chase1117_Activity_!C1553</f>
        <v>KIMBELL ART MUSEUM FORT WORTH TX             05/14</v>
      </c>
      <c r="C1556" s="6" t="str">
        <f>Angela_2025_Chase1117_Activity_!G1553</f>
        <v>Personal - Entertainment</v>
      </c>
      <c r="D1556" s="12">
        <f>Angela_2025_Chase1117_Activity_!D1553</f>
        <v>-141.54</v>
      </c>
    </row>
    <row r="1557" spans="1:4" x14ac:dyDescent="0.25">
      <c r="A1557" s="26">
        <f>Angela_2025_Chase1117_Activity_!B1554</f>
        <v>45792</v>
      </c>
      <c r="B1557" s="6" t="str">
        <f>Angela_2025_Chase1117_Activity_!C1554</f>
        <v>KIMBELL ART MUSEUM FORT WORTH TX             05/14</v>
      </c>
      <c r="C1557" s="6" t="str">
        <f>Angela_2025_Chase1117_Activity_!G1554</f>
        <v>Personal - Entertainment</v>
      </c>
      <c r="D1557" s="12">
        <f>Angela_2025_Chase1117_Activity_!D1554</f>
        <v>-66</v>
      </c>
    </row>
    <row r="1558" spans="1:4" x14ac:dyDescent="0.25">
      <c r="A1558" s="26">
        <f>Angela_2025_Chase1117_Activity_!B1555</f>
        <v>45792</v>
      </c>
      <c r="B1558" s="6" t="str">
        <f>Angela_2025_Chase1117_Activity_!C1555</f>
        <v>AMAZON PRIME*NW6YV1O Amzn.com/bill WA        05/14</v>
      </c>
      <c r="C1558" s="6" t="str">
        <f>Angela_2025_Chase1117_Activity_!G1555</f>
        <v>Amazon</v>
      </c>
      <c r="D1558" s="12">
        <f>Angela_2025_Chase1117_Activity_!D1555</f>
        <v>-16.45</v>
      </c>
    </row>
    <row r="1559" spans="1:4" x14ac:dyDescent="0.25">
      <c r="A1559" s="26">
        <f>Angela_2025_Chase1117_Activity_!B1556</f>
        <v>45791</v>
      </c>
      <c r="B1559" s="6" t="str">
        <f>Angela_2025_Chase1117_Activity_!C1556</f>
        <v>MONTGOMERY STREE 2601 FORT WORTH TX  221040  05/14</v>
      </c>
      <c r="C1559" s="6" t="str">
        <f>Angela_2025_Chase1117_Activity_!G1556</f>
        <v>Personal - Food</v>
      </c>
      <c r="D1559" s="12">
        <f>Angela_2025_Chase1117_Activity_!D1556</f>
        <v>-162.36000000000001</v>
      </c>
    </row>
    <row r="1560" spans="1:4" x14ac:dyDescent="0.25">
      <c r="A1560" s="26">
        <f>Angela_2025_Chase1117_Activity_!B1557</f>
        <v>45791</v>
      </c>
      <c r="B1560" s="6" t="str">
        <f>Angela_2025_Chase1117_Activity_!C1557</f>
        <v>Zelle payment to joe saunders 24763107727</v>
      </c>
      <c r="C1560" s="6" t="str">
        <f>Angela_2025_Chase1117_Activity_!G1557</f>
        <v>Zelle to Joe Saunders</v>
      </c>
      <c r="D1560" s="12">
        <f>Angela_2025_Chase1117_Activity_!D1557</f>
        <v>-500</v>
      </c>
    </row>
    <row r="1561" spans="1:4" x14ac:dyDescent="0.25">
      <c r="A1561" s="26">
        <f>Angela_2025_Chase1117_Activity_!B1558</f>
        <v>45791</v>
      </c>
      <c r="B1561" s="6" t="str">
        <f>Angela_2025_Chase1117_Activity_!C1558</f>
        <v>APPLE COM BILL CUPERTINO CA          595464  05/14</v>
      </c>
      <c r="C1561" s="6" t="str">
        <f>Angela_2025_Chase1117_Activity_!G1558</f>
        <v>Apple</v>
      </c>
      <c r="D1561" s="12">
        <f>Angela_2025_Chase1117_Activity_!D1558</f>
        <v>-59.99</v>
      </c>
    </row>
    <row r="1562" spans="1:4" x14ac:dyDescent="0.25">
      <c r="A1562" s="26">
        <f>Angela_2025_Chase1117_Activity_!B1559</f>
        <v>45791</v>
      </c>
      <c r="B1562" s="6" t="str">
        <f>Angela_2025_Chase1117_Activity_!C1559</f>
        <v>Prime Video Channels amzn.com/bill WA        05/14</v>
      </c>
      <c r="C1562" s="6" t="str">
        <f>Angela_2025_Chase1117_Activity_!G1559</f>
        <v>Amazon</v>
      </c>
      <c r="D1562" s="12">
        <f>Angela_2025_Chase1117_Activity_!D1559</f>
        <v>-16.989999999999998</v>
      </c>
    </row>
    <row r="1563" spans="1:4" x14ac:dyDescent="0.25">
      <c r="A1563" s="26">
        <f>Angela_2025_Chase1117_Activity_!B1560</f>
        <v>45791</v>
      </c>
      <c r="B1563" s="6" t="str">
        <f>Angela_2025_Chase1117_Activity_!C1560</f>
        <v>AMAZON MKTPL*NI21N5W Amzn.com/bill WA        05/14</v>
      </c>
      <c r="C1563" s="6" t="str">
        <f>Angela_2025_Chase1117_Activity_!G1560</f>
        <v>Amazon</v>
      </c>
      <c r="D1563" s="12">
        <f>Angela_2025_Chase1117_Activity_!D1560</f>
        <v>-40.53</v>
      </c>
    </row>
    <row r="1564" spans="1:4" x14ac:dyDescent="0.25">
      <c r="A1564" s="26">
        <f>Angela_2025_Chase1117_Activity_!B1561</f>
        <v>45791</v>
      </c>
      <c r="B1564" s="6" t="str">
        <f>Angela_2025_Chase1117_Activity_!C1561</f>
        <v>TST* CLEAN JUICE - CLEA FORT WORTH TX        05/14</v>
      </c>
      <c r="C1564" s="6" t="str">
        <f>Angela_2025_Chase1117_Activity_!G1561</f>
        <v>Personal - Food</v>
      </c>
      <c r="D1564" s="12">
        <f>Angela_2025_Chase1117_Activity_!D1561</f>
        <v>-329.16</v>
      </c>
    </row>
    <row r="1565" spans="1:4" x14ac:dyDescent="0.25">
      <c r="A1565" s="26">
        <f>Angela_2025_Chase1117_Activity_!B1562</f>
        <v>45791</v>
      </c>
      <c r="B1565" s="6" t="str">
        <f>Angela_2025_Chase1117_Activity_!C1562</f>
        <v>SQ *BOULEVARD OF GREENS Fort Worth TX        05/13</v>
      </c>
      <c r="C1565" s="6" t="str">
        <f>Angela_2025_Chase1117_Activity_!G1562</f>
        <v>Personal - Food</v>
      </c>
      <c r="D1565" s="12">
        <f>Angela_2025_Chase1117_Activity_!D1562</f>
        <v>-161.71</v>
      </c>
    </row>
    <row r="1566" spans="1:4" x14ac:dyDescent="0.25">
      <c r="A1566" s="26">
        <f>Angela_2025_Chase1117_Activity_!B1563</f>
        <v>45790</v>
      </c>
      <c r="B1566" s="6" t="str">
        <f>Angela_2025_Chase1117_Activity_!C1563</f>
        <v>TARGET T-1981 WEATHERFORD TX         064239  05/13</v>
      </c>
      <c r="C1566" s="6" t="str">
        <f>Angela_2025_Chase1117_Activity_!G1563</f>
        <v>Personal - Shopping</v>
      </c>
      <c r="D1566" s="12">
        <f>Angela_2025_Chase1117_Activity_!D1563</f>
        <v>-109.96</v>
      </c>
    </row>
    <row r="1567" spans="1:4" x14ac:dyDescent="0.25">
      <c r="A1567" s="26">
        <f>Angela_2025_Chase1117_Activity_!B1564</f>
        <v>45790</v>
      </c>
      <c r="B1567" s="6" t="str">
        <f>Angela_2025_Chase1117_Activity_!C1564</f>
        <v>SHELL SERVICE STATION WEATHERFORD TX 224230  05/13</v>
      </c>
      <c r="C1567" s="6" t="str">
        <f>Angela_2025_Chase1117_Activity_!G1564</f>
        <v>Personal - Car</v>
      </c>
      <c r="D1567" s="12">
        <f>Angela_2025_Chase1117_Activity_!D1564</f>
        <v>-54.53</v>
      </c>
    </row>
    <row r="1568" spans="1:4" x14ac:dyDescent="0.25">
      <c r="A1568" s="26">
        <f>Angela_2025_Chase1117_Activity_!B1565</f>
        <v>45790</v>
      </c>
      <c r="B1568" s="6" t="str">
        <f>Angela_2025_Chase1117_Activity_!C1565</f>
        <v>CENTRAL MARKET #545 FT WORTH TX      659989  05/13</v>
      </c>
      <c r="C1568" s="6" t="str">
        <f>Angela_2025_Chase1117_Activity_!G1565</f>
        <v>Personal - Food</v>
      </c>
      <c r="D1568" s="12">
        <f>Angela_2025_Chase1117_Activity_!D1565</f>
        <v>-903.14</v>
      </c>
    </row>
    <row r="1569" spans="1:4" x14ac:dyDescent="0.25">
      <c r="A1569" s="26">
        <f>Angela_2025_Chase1117_Activity_!B1566</f>
        <v>45790</v>
      </c>
      <c r="B1569" s="6" t="str">
        <f>Angela_2025_Chase1117_Activity_!C1566</f>
        <v>STARBUCKS 85549 LOS ANGELES CA               05/12</v>
      </c>
      <c r="C1569" s="6" t="str">
        <f>Angela_2025_Chase1117_Activity_!G1566</f>
        <v>Personal - Food</v>
      </c>
      <c r="D1569" s="12">
        <f>Angela_2025_Chase1117_Activity_!D1566</f>
        <v>-67.75</v>
      </c>
    </row>
    <row r="1570" spans="1:4" x14ac:dyDescent="0.25">
      <c r="A1570" s="26">
        <f>Angela_2025_Chase1117_Activity_!B1567</f>
        <v>45790</v>
      </c>
      <c r="B1570" s="6" t="str">
        <f>Angela_2025_Chase1117_Activity_!C1567</f>
        <v>Zara.com 212-3551415 NY                      05/13</v>
      </c>
      <c r="C1570" s="6" t="str">
        <f>Angela_2025_Chase1117_Activity_!G1567</f>
        <v>Personal - Shopping</v>
      </c>
      <c r="D1570" s="12">
        <f>Angela_2025_Chase1117_Activity_!D1567</f>
        <v>-250.49</v>
      </c>
    </row>
    <row r="1571" spans="1:4" x14ac:dyDescent="0.25">
      <c r="A1571" s="26">
        <f>Angela_2025_Chase1117_Activity_!B1568</f>
        <v>45790</v>
      </c>
      <c r="B1571" s="6" t="str">
        <f>Angela_2025_Chase1117_Activity_!C1568</f>
        <v>Zara.com New York NY                         05/12</v>
      </c>
      <c r="C1571" s="6" t="str">
        <f>Angela_2025_Chase1117_Activity_!G1568</f>
        <v>Personal - Shopping</v>
      </c>
      <c r="D1571" s="12">
        <f>Angela_2025_Chase1117_Activity_!D1568</f>
        <v>-288.76</v>
      </c>
    </row>
    <row r="1572" spans="1:4" x14ac:dyDescent="0.25">
      <c r="A1572" s="26">
        <f>Angela_2025_Chase1117_Activity_!B1569</f>
        <v>45790</v>
      </c>
      <c r="B1572" s="6" t="str">
        <f>Angela_2025_Chase1117_Activity_!C1569</f>
        <v>AMAZON MKTPL*NI45O06 Amzn.com/bill WA        05/12</v>
      </c>
      <c r="C1572" s="6" t="str">
        <f>Angela_2025_Chase1117_Activity_!G1569</f>
        <v>Amazon</v>
      </c>
      <c r="D1572" s="12">
        <f>Angela_2025_Chase1117_Activity_!D1569</f>
        <v>-77.92</v>
      </c>
    </row>
    <row r="1573" spans="1:4" x14ac:dyDescent="0.25">
      <c r="A1573" s="26">
        <f>Angela_2025_Chase1117_Activity_!B1570</f>
        <v>45789</v>
      </c>
      <c r="B1573" s="6" t="str">
        <f>Angela_2025_Chase1117_Activity_!C1570</f>
        <v>UBER   * EATS PENDIN SAN FRANCISCO CA022649  05/12</v>
      </c>
      <c r="C1573" s="6" t="str">
        <f>Angela_2025_Chase1117_Activity_!G1570</f>
        <v>Uber Eats</v>
      </c>
      <c r="D1573" s="12">
        <f>Angela_2025_Chase1117_Activity_!D1570</f>
        <v>-120.87</v>
      </c>
    </row>
    <row r="1574" spans="1:4" x14ac:dyDescent="0.25">
      <c r="A1574" s="26">
        <f>Angela_2025_Chase1117_Activity_!B1571</f>
        <v>45789</v>
      </c>
      <c r="B1574" s="6" t="str">
        <f>Angela_2025_Chase1117_Activity_!C1571</f>
        <v>UBER   * EATS PENDIN SAN FRANCISCO CA024682  05/11</v>
      </c>
      <c r="C1574" s="6" t="str">
        <f>Angela_2025_Chase1117_Activity_!G1571</f>
        <v>Uber Eats</v>
      </c>
      <c r="D1574" s="12">
        <f>Angela_2025_Chase1117_Activity_!D1571</f>
        <v>-104.26</v>
      </c>
    </row>
    <row r="1575" spans="1:4" x14ac:dyDescent="0.25">
      <c r="A1575" s="26">
        <f>Angela_2025_Chase1117_Activity_!B1572</f>
        <v>45789</v>
      </c>
      <c r="B1575" s="6" t="str">
        <f>Angela_2025_Chase1117_Activity_!C1572</f>
        <v>CVS/PHARMACY #09493 MAR VISTA CA     045436  05/11</v>
      </c>
      <c r="C1575" s="6" t="str">
        <f>Angela_2025_Chase1117_Activity_!G1572</f>
        <v>Personal - Health</v>
      </c>
      <c r="D1575" s="12">
        <f>Angela_2025_Chase1117_Activity_!D1572</f>
        <v>-28.95</v>
      </c>
    </row>
    <row r="1576" spans="1:4" x14ac:dyDescent="0.25">
      <c r="A1576" s="26">
        <f>Angela_2025_Chase1117_Activity_!B1573</f>
        <v>45789</v>
      </c>
      <c r="B1576" s="6" t="str">
        <f>Angela_2025_Chase1117_Activity_!C1573</f>
        <v>WWW.BODHILIVE.COM WWW.BODHILIVE NC           05/11</v>
      </c>
      <c r="C1576" s="6" t="str">
        <f>Angela_2025_Chase1117_Activity_!G1573</f>
        <v>Personal - Subscription</v>
      </c>
      <c r="D1576" s="12">
        <f>Angela_2025_Chase1117_Activity_!D1573</f>
        <v>-99</v>
      </c>
    </row>
    <row r="1577" spans="1:4" x14ac:dyDescent="0.25">
      <c r="A1577" s="26">
        <f>Angela_2025_Chase1117_Activity_!B1574</f>
        <v>45789</v>
      </c>
      <c r="B1577" s="6" t="str">
        <f>Angela_2025_Chase1117_Activity_!C1574</f>
        <v>UBER   * PENDING SAN FRANCISCO CA    229636  05/10</v>
      </c>
      <c r="C1577" s="6" t="str">
        <f>Angela_2025_Chase1117_Activity_!G1574</f>
        <v>Personal - Uber</v>
      </c>
      <c r="D1577" s="12">
        <f>Angela_2025_Chase1117_Activity_!D1574</f>
        <v>-21.92</v>
      </c>
    </row>
    <row r="1578" spans="1:4" x14ac:dyDescent="0.25">
      <c r="A1578" s="26">
        <f>Angela_2025_Chase1117_Activity_!B1575</f>
        <v>45789</v>
      </c>
      <c r="B1578" s="6" t="str">
        <f>Angela_2025_Chase1117_Activity_!C1575</f>
        <v>UBER   * EATS PENDIN SAN FRANCISCO CA013281  05/10</v>
      </c>
      <c r="C1578" s="6" t="str">
        <f>Angela_2025_Chase1117_Activity_!G1575</f>
        <v>Uber Eats</v>
      </c>
      <c r="D1578" s="12">
        <f>Angela_2025_Chase1117_Activity_!D1575</f>
        <v>-127.97</v>
      </c>
    </row>
    <row r="1579" spans="1:4" x14ac:dyDescent="0.25">
      <c r="A1579" s="26">
        <f>Angela_2025_Chase1117_Activity_!B1576</f>
        <v>45789</v>
      </c>
      <c r="B1579" s="6" t="str">
        <f>Angela_2025_Chase1117_Activity_!C1576</f>
        <v>UBER   * PENDING SAN FRANCISCO CA    028626  05/10</v>
      </c>
      <c r="C1579" s="6" t="str">
        <f>Angela_2025_Chase1117_Activity_!G1576</f>
        <v>Personal - Uber</v>
      </c>
      <c r="D1579" s="12">
        <f>Angela_2025_Chase1117_Activity_!D1576</f>
        <v>-20.91</v>
      </c>
    </row>
    <row r="1580" spans="1:4" x14ac:dyDescent="0.25">
      <c r="A1580" s="26">
        <f>Angela_2025_Chase1117_Activity_!B1577</f>
        <v>45789</v>
      </c>
      <c r="B1580" s="6" t="str">
        <f>Angela_2025_Chase1117_Activity_!C1577</f>
        <v>ASCEND.ACADEMY ASCENDTHEFREQ AR              05/10</v>
      </c>
      <c r="C1580" s="6" t="str">
        <f>Angela_2025_Chase1117_Activity_!G1577</f>
        <v>Personal - Subscription</v>
      </c>
      <c r="D1580" s="12">
        <f>Angela_2025_Chase1117_Activity_!D1577</f>
        <v>-49</v>
      </c>
    </row>
    <row r="1581" spans="1:4" x14ac:dyDescent="0.25">
      <c r="A1581" s="26">
        <f>Angela_2025_Chase1117_Activity_!B1578</f>
        <v>45789</v>
      </c>
      <c r="B1581" s="6" t="str">
        <f>Angela_2025_Chase1117_Activity_!C1578</f>
        <v>GRANDVIEW CLEANERS LOS ANGELES CA            05/09</v>
      </c>
      <c r="C1581" s="6" t="str">
        <f>Angela_2025_Chase1117_Activity_!G1578</f>
        <v>Personal - Clothing</v>
      </c>
      <c r="D1581" s="12">
        <f>Angela_2025_Chase1117_Activity_!D1578</f>
        <v>-17.59</v>
      </c>
    </row>
    <row r="1582" spans="1:4" x14ac:dyDescent="0.25">
      <c r="A1582" s="26">
        <f>Angela_2025_Chase1117_Activity_!B1579</f>
        <v>45789</v>
      </c>
      <c r="B1582" s="6" t="str">
        <f>Angela_2025_Chase1117_Activity_!C1579</f>
        <v>TST*BLUEYS KITCHEN MAR Los Angeles CA        05/09</v>
      </c>
      <c r="C1582" s="6" t="str">
        <f>Angela_2025_Chase1117_Activity_!G1579</f>
        <v>Personal - Food</v>
      </c>
      <c r="D1582" s="12">
        <f>Angela_2025_Chase1117_Activity_!D1579</f>
        <v>-76.459999999999994</v>
      </c>
    </row>
    <row r="1583" spans="1:4" x14ac:dyDescent="0.25">
      <c r="A1583" s="26">
        <f>Angela_2025_Chase1117_Activity_!B1580</f>
        <v>45789</v>
      </c>
      <c r="B1583" s="6" t="str">
        <f>Angela_2025_Chase1117_Activity_!C1580</f>
        <v>AMAZON MKTPL*NW3AX4N Amzn.com/bill WA        05/09</v>
      </c>
      <c r="C1583" s="6" t="str">
        <f>Angela_2025_Chase1117_Activity_!G1580</f>
        <v>Amazon</v>
      </c>
      <c r="D1583" s="12">
        <f>Angela_2025_Chase1117_Activity_!D1580</f>
        <v>-22.24</v>
      </c>
    </row>
    <row r="1584" spans="1:4" x14ac:dyDescent="0.25">
      <c r="A1584" s="26">
        <f>Angela_2025_Chase1117_Activity_!B1581</f>
        <v>45789</v>
      </c>
      <c r="B1584" s="6" t="str">
        <f>Angela_2025_Chase1117_Activity_!C1581</f>
        <v>AMAZON MKTPL*NW17G6N Amzn.com/bill WA        05/09</v>
      </c>
      <c r="C1584" s="6" t="str">
        <f>Angela_2025_Chase1117_Activity_!G1581</f>
        <v>Amazon</v>
      </c>
      <c r="D1584" s="12">
        <f>Angela_2025_Chase1117_Activity_!D1581</f>
        <v>-35.229999999999997</v>
      </c>
    </row>
    <row r="1585" spans="1:4" x14ac:dyDescent="0.25">
      <c r="A1585" s="26">
        <f>Angela_2025_Chase1117_Activity_!B1582</f>
        <v>45789</v>
      </c>
      <c r="B1585" s="6" t="str">
        <f>Angela_2025_Chase1117_Activity_!C1582</f>
        <v>ATM CHECK DEPOSIT 05/11 12335 VENICE BLVD LOS ANGELES CA</v>
      </c>
      <c r="C1585" s="6" t="str">
        <f>Angela_2025_Chase1117_Activity_!G1582</f>
        <v>Deposit</v>
      </c>
      <c r="D1585" s="12">
        <f>Angela_2025_Chase1117_Activity_!D1582</f>
        <v>3548</v>
      </c>
    </row>
    <row r="1586" spans="1:4" x14ac:dyDescent="0.25">
      <c r="A1586" s="26">
        <f>Angela_2025_Chase1117_Activity_!B1583</f>
        <v>45786</v>
      </c>
      <c r="B1586" s="6" t="str">
        <f>Angela_2025_Chase1117_Activity_!C1583</f>
        <v>UBER   *TRIP HELP.UB SAN FRANCISCO CA368707  05/09</v>
      </c>
      <c r="C1586" s="6" t="str">
        <f>Angela_2025_Chase1117_Activity_!G1583</f>
        <v>Personal - Uber</v>
      </c>
      <c r="D1586" s="12">
        <f>Angela_2025_Chase1117_Activity_!D1583</f>
        <v>-30.96</v>
      </c>
    </row>
    <row r="1587" spans="1:4" x14ac:dyDescent="0.25">
      <c r="A1587" s="26">
        <f>Angela_2025_Chase1117_Activity_!B1584</f>
        <v>45786</v>
      </c>
      <c r="B1587" s="6" t="str">
        <f>Angela_2025_Chase1117_Activity_!C1584</f>
        <v>APPLE COM BILL CUPERTINO CA          604252  05/09</v>
      </c>
      <c r="C1587" s="6" t="str">
        <f>Angela_2025_Chase1117_Activity_!G1584</f>
        <v>Apple</v>
      </c>
      <c r="D1587" s="12">
        <f>Angela_2025_Chase1117_Activity_!D1584</f>
        <v>-12.99</v>
      </c>
    </row>
    <row r="1588" spans="1:4" x14ac:dyDescent="0.25">
      <c r="A1588" s="26">
        <f>Angela_2025_Chase1117_Activity_!B1585</f>
        <v>45786</v>
      </c>
      <c r="B1588" s="6" t="str">
        <f>Angela_2025_Chase1117_Activity_!C1585</f>
        <v>UBER   *TRIP HELP.UB SAN FRANCISCO CA359271  05/09</v>
      </c>
      <c r="C1588" s="6" t="str">
        <f>Angela_2025_Chase1117_Activity_!G1585</f>
        <v>Personal - Uber</v>
      </c>
      <c r="D1588" s="12">
        <f>Angela_2025_Chase1117_Activity_!D1585</f>
        <v>-22.95</v>
      </c>
    </row>
    <row r="1589" spans="1:4" x14ac:dyDescent="0.25">
      <c r="A1589" s="26">
        <f>Angela_2025_Chase1117_Activity_!B1586</f>
        <v>45786</v>
      </c>
      <c r="B1589" s="6" t="str">
        <f>Angela_2025_Chase1117_Activity_!C1586</f>
        <v>UBER   * EATS PENDIN SAN FRANCISCO CA194963  05/08</v>
      </c>
      <c r="C1589" s="6" t="str">
        <f>Angela_2025_Chase1117_Activity_!G1586</f>
        <v>Uber Eats</v>
      </c>
      <c r="D1589" s="12">
        <f>Angela_2025_Chase1117_Activity_!D1586</f>
        <v>-80.22</v>
      </c>
    </row>
    <row r="1590" spans="1:4" x14ac:dyDescent="0.25">
      <c r="A1590" s="26">
        <f>Angela_2025_Chase1117_Activity_!B1587</f>
        <v>45786</v>
      </c>
      <c r="B1590" s="6" t="str">
        <f>Angela_2025_Chase1117_Activity_!C1587</f>
        <v>APPLE.COM/BILL 866-712-7753 CA               05/09</v>
      </c>
      <c r="C1590" s="6" t="str">
        <f>Angela_2025_Chase1117_Activity_!G1587</f>
        <v>Apple</v>
      </c>
      <c r="D1590" s="12">
        <f>Angela_2025_Chase1117_Activity_!D1587</f>
        <v>-6.99</v>
      </c>
    </row>
    <row r="1591" spans="1:4" x14ac:dyDescent="0.25">
      <c r="A1591" s="26">
        <f>Angela_2025_Chase1117_Activity_!B1588</f>
        <v>45786</v>
      </c>
      <c r="B1591" s="6" t="str">
        <f>Angela_2025_Chase1117_Activity_!C1588</f>
        <v>AMAZON MKTPL*NW0G90F Amzn.com/bill WA        05/08</v>
      </c>
      <c r="C1591" s="6" t="str">
        <f>Angela_2025_Chase1117_Activity_!G1588</f>
        <v>Amazon</v>
      </c>
      <c r="D1591" s="12">
        <f>Angela_2025_Chase1117_Activity_!D1588</f>
        <v>-10.95</v>
      </c>
    </row>
    <row r="1592" spans="1:4" x14ac:dyDescent="0.25">
      <c r="A1592" s="26">
        <f>Angela_2025_Chase1117_Activity_!B1589</f>
        <v>45786</v>
      </c>
      <c r="B1592" s="6" t="str">
        <f>Angela_2025_Chase1117_Activity_!C1589</f>
        <v>Zara.com 212-3551415 NY                      05/09</v>
      </c>
      <c r="C1592" s="6" t="str">
        <f>Angela_2025_Chase1117_Activity_!G1589</f>
        <v>Personal - Shopping</v>
      </c>
      <c r="D1592" s="12">
        <f>Angela_2025_Chase1117_Activity_!D1589</f>
        <v>-219</v>
      </c>
    </row>
    <row r="1593" spans="1:4" x14ac:dyDescent="0.25">
      <c r="A1593" s="26">
        <f>Angela_2025_Chase1117_Activity_!B1590</f>
        <v>45785</v>
      </c>
      <c r="B1593" s="6" t="str">
        <f>Angela_2025_Chase1117_Activity_!C1590</f>
        <v>RAINBOW ACRES LOS ANGELES CA         584534  05/08</v>
      </c>
      <c r="C1593" s="6" t="str">
        <f>Angela_2025_Chase1117_Activity_!G1590</f>
        <v>Personal - Misc</v>
      </c>
      <c r="D1593" s="12">
        <f>Angela_2025_Chase1117_Activity_!D1590</f>
        <v>-160.09</v>
      </c>
    </row>
    <row r="1594" spans="1:4" x14ac:dyDescent="0.25">
      <c r="A1594" s="26">
        <f>Angela_2025_Chase1117_Activity_!B1591</f>
        <v>45785</v>
      </c>
      <c r="B1594" s="6" t="str">
        <f>Angela_2025_Chase1117_Activity_!C1591</f>
        <v>GELSON'S MARKET #29 SANTA MONICA CA  390562  05/08</v>
      </c>
      <c r="C1594" s="6" t="str">
        <f>Angela_2025_Chase1117_Activity_!G1591</f>
        <v>Personal - Food</v>
      </c>
      <c r="D1594" s="12">
        <f>Angela_2025_Chase1117_Activity_!D1591</f>
        <v>-108.39</v>
      </c>
    </row>
    <row r="1595" spans="1:4" x14ac:dyDescent="0.25">
      <c r="A1595" s="26">
        <f>Angela_2025_Chase1117_Activity_!B1592</f>
        <v>45785</v>
      </c>
      <c r="B1595" s="6" t="str">
        <f>Angela_2025_Chase1117_Activity_!C1592</f>
        <v>UBER   * EATS PENDIN SAN FRANCISCO CA356599  05/08</v>
      </c>
      <c r="C1595" s="6" t="str">
        <f>Angela_2025_Chase1117_Activity_!G1592</f>
        <v>Uber Eats</v>
      </c>
      <c r="D1595" s="12">
        <f>Angela_2025_Chase1117_Activity_!D1592</f>
        <v>-30.92</v>
      </c>
    </row>
    <row r="1596" spans="1:4" x14ac:dyDescent="0.25">
      <c r="A1596" s="26">
        <f>Angela_2025_Chase1117_Activity_!B1593</f>
        <v>45785</v>
      </c>
      <c r="B1596" s="6" t="str">
        <f>Angela_2025_Chase1117_Activity_!C1593</f>
        <v>UBER   *TRIP HELP.UB SAN FRANCISCO CA195741  05/07</v>
      </c>
      <c r="C1596" s="6" t="str">
        <f>Angela_2025_Chase1117_Activity_!G1593</f>
        <v>Personal - Uber</v>
      </c>
      <c r="D1596" s="12">
        <f>Angela_2025_Chase1117_Activity_!D1593</f>
        <v>-26.91</v>
      </c>
    </row>
    <row r="1597" spans="1:4" x14ac:dyDescent="0.25">
      <c r="A1597" s="26">
        <f>Angela_2025_Chase1117_Activity_!B1594</f>
        <v>45785</v>
      </c>
      <c r="B1597" s="6" t="str">
        <f>Angela_2025_Chase1117_Activity_!C1594</f>
        <v>TST*BLUEYS KITCHEN MAR Los Angeles CA        05/07</v>
      </c>
      <c r="C1597" s="6" t="str">
        <f>Angela_2025_Chase1117_Activity_!G1594</f>
        <v>Personal - Food</v>
      </c>
      <c r="D1597" s="12">
        <f>Angela_2025_Chase1117_Activity_!D1594</f>
        <v>-46.06</v>
      </c>
    </row>
    <row r="1598" spans="1:4" x14ac:dyDescent="0.25">
      <c r="A1598" s="26">
        <f>Angela_2025_Chase1117_Activity_!B1595</f>
        <v>45785</v>
      </c>
      <c r="B1598" s="6" t="str">
        <f>Angela_2025_Chase1117_Activity_!C1595</f>
        <v>Prime Video Channels amzn.com/bill WA        05/07</v>
      </c>
      <c r="C1598" s="6" t="str">
        <f>Angela_2025_Chase1117_Activity_!G1595</f>
        <v>Amazon</v>
      </c>
      <c r="D1598" s="12">
        <f>Angela_2025_Chase1117_Activity_!D1595</f>
        <v>-13.99</v>
      </c>
    </row>
    <row r="1599" spans="1:4" x14ac:dyDescent="0.25">
      <c r="A1599" s="26">
        <f>Angela_2025_Chase1117_Activity_!B1596</f>
        <v>45785</v>
      </c>
      <c r="B1599" s="6" t="str">
        <f>Angela_2025_Chase1117_Activity_!C1596</f>
        <v>AMAZON MKTPL*NI2047I Amzn.com/bill WA        05/08</v>
      </c>
      <c r="C1599" s="6" t="str">
        <f>Angela_2025_Chase1117_Activity_!G1596</f>
        <v>Amazon</v>
      </c>
      <c r="D1599" s="12">
        <f>Angela_2025_Chase1117_Activity_!D1596</f>
        <v>-8.77</v>
      </c>
    </row>
    <row r="1600" spans="1:4" x14ac:dyDescent="0.25">
      <c r="A1600" s="26">
        <f>Angela_2025_Chase1117_Activity_!B1597</f>
        <v>45785</v>
      </c>
      <c r="B1600" s="6" t="str">
        <f>Angela_2025_Chase1117_Activity_!C1597</f>
        <v>AMAZON MKTPL*NI0F439 Amzn.com/bill WA        05/07</v>
      </c>
      <c r="C1600" s="6" t="str">
        <f>Angela_2025_Chase1117_Activity_!G1597</f>
        <v>Amazon</v>
      </c>
      <c r="D1600" s="12">
        <f>Angela_2025_Chase1117_Activity_!D1597</f>
        <v>-9.1</v>
      </c>
    </row>
    <row r="1601" spans="1:4" x14ac:dyDescent="0.25">
      <c r="A1601" s="26">
        <f>Angela_2025_Chase1117_Activity_!B1598</f>
        <v>45785</v>
      </c>
      <c r="B1601" s="6" t="str">
        <f>Angela_2025_Chase1117_Activity_!C1598</f>
        <v>Amazon.com*NI31J6W82 Amzn.com/bill WA        05/08</v>
      </c>
      <c r="C1601" s="6" t="str">
        <f>Angela_2025_Chase1117_Activity_!G1598</f>
        <v>Amazon</v>
      </c>
      <c r="D1601" s="12">
        <f>Angela_2025_Chase1117_Activity_!D1598</f>
        <v>-49.23</v>
      </c>
    </row>
    <row r="1602" spans="1:4" x14ac:dyDescent="0.25">
      <c r="A1602" s="26">
        <f>Angela_2025_Chase1117_Activity_!B1599</f>
        <v>45785</v>
      </c>
      <c r="B1602" s="6" t="str">
        <f>Angela_2025_Chase1117_Activity_!C1599</f>
        <v>AMAZON MKTPL*NB6R33I Amzn.com/bill WA        05/08</v>
      </c>
      <c r="C1602" s="6" t="str">
        <f>Angela_2025_Chase1117_Activity_!G1599</f>
        <v>Amazon</v>
      </c>
      <c r="D1602" s="12">
        <f>Angela_2025_Chase1117_Activity_!D1599</f>
        <v>-19.12</v>
      </c>
    </row>
    <row r="1603" spans="1:4" x14ac:dyDescent="0.25">
      <c r="A1603" s="26">
        <f>Angela_2025_Chase1117_Activity_!B1600</f>
        <v>45785</v>
      </c>
      <c r="B1603" s="6" t="str">
        <f>Angela_2025_Chase1117_Activity_!C1600</f>
        <v>Amazon.com*NB8X73IE1 Amzn.com/bill WA        05/08</v>
      </c>
      <c r="C1603" s="6" t="str">
        <f>Angela_2025_Chase1117_Activity_!G1600</f>
        <v>Amazon</v>
      </c>
      <c r="D1603" s="12">
        <f>Angela_2025_Chase1117_Activity_!D1600</f>
        <v>-194.29</v>
      </c>
    </row>
    <row r="1604" spans="1:4" x14ac:dyDescent="0.25">
      <c r="A1604" s="26">
        <f>Angela_2025_Chase1117_Activity_!B1601</f>
        <v>45785</v>
      </c>
      <c r="B1604" s="6" t="str">
        <f>Angela_2025_Chase1117_Activity_!C1601</f>
        <v>Amazon.com*NB50457Q1 Amzn.com/bill WA        05/07</v>
      </c>
      <c r="C1604" s="6" t="str">
        <f>Angela_2025_Chase1117_Activity_!G1601</f>
        <v>Amazon</v>
      </c>
      <c r="D1604" s="12">
        <f>Angela_2025_Chase1117_Activity_!D1601</f>
        <v>-96.44</v>
      </c>
    </row>
    <row r="1605" spans="1:4" x14ac:dyDescent="0.25">
      <c r="A1605" s="26">
        <f>Angela_2025_Chase1117_Activity_!B1602</f>
        <v>45785</v>
      </c>
      <c r="B1605" s="6" t="str">
        <f>Angela_2025_Chase1117_Activity_!C1602</f>
        <v>AMAZON MKTPL*NB30W6I Amzn.com/bill WA        05/08</v>
      </c>
      <c r="C1605" s="6" t="str">
        <f>Angela_2025_Chase1117_Activity_!G1602</f>
        <v>Amazon</v>
      </c>
      <c r="D1605" s="12">
        <f>Angela_2025_Chase1117_Activity_!D1602</f>
        <v>-62.97</v>
      </c>
    </row>
    <row r="1606" spans="1:4" x14ac:dyDescent="0.25">
      <c r="A1606" s="26">
        <f>Angela_2025_Chase1117_Activity_!B1603</f>
        <v>45785</v>
      </c>
      <c r="B1606" s="6" t="str">
        <f>Angela_2025_Chase1117_Activity_!C1603</f>
        <v>Zara.com 212-3551415 NY                      05/08</v>
      </c>
      <c r="C1606" s="6" t="str">
        <f>Angela_2025_Chase1117_Activity_!G1603</f>
        <v>Personal - Shopping</v>
      </c>
      <c r="D1606" s="12">
        <f>Angela_2025_Chase1117_Activity_!D1603</f>
        <v>-715.9</v>
      </c>
    </row>
    <row r="1607" spans="1:4" x14ac:dyDescent="0.25">
      <c r="A1607" s="26">
        <f>Angela_2025_Chase1117_Activity_!B1604</f>
        <v>45784</v>
      </c>
      <c r="B1607" s="6" t="str">
        <f>Angela_2025_Chase1117_Activity_!C1604</f>
        <v>UBER   *TRIP HELP.UB SAN FRANCISCO CA194264  05/07</v>
      </c>
      <c r="C1607" s="6" t="str">
        <f>Angela_2025_Chase1117_Activity_!G1604</f>
        <v>Personal - Uber</v>
      </c>
      <c r="D1607" s="12">
        <f>Angela_2025_Chase1117_Activity_!D1604</f>
        <v>-26.74</v>
      </c>
    </row>
    <row r="1608" spans="1:4" x14ac:dyDescent="0.25">
      <c r="A1608" s="26">
        <f>Angela_2025_Chase1117_Activity_!B1605</f>
        <v>45784</v>
      </c>
      <c r="B1608" s="6" t="str">
        <f>Angela_2025_Chase1117_Activity_!C1605</f>
        <v>UBER   *TRIP HELP.UB SAN FRANCISCO CA366209  05/07</v>
      </c>
      <c r="C1608" s="6" t="str">
        <f>Angela_2025_Chase1117_Activity_!G1605</f>
        <v>Personal - Uber</v>
      </c>
      <c r="D1608" s="12">
        <f>Angela_2025_Chase1117_Activity_!D1605</f>
        <v>-5</v>
      </c>
    </row>
    <row r="1609" spans="1:4" x14ac:dyDescent="0.25">
      <c r="A1609" s="26">
        <f>Angela_2025_Chase1117_Activity_!B1606</f>
        <v>45784</v>
      </c>
      <c r="B1609" s="6" t="str">
        <f>Angela_2025_Chase1117_Activity_!C1606</f>
        <v>UBER   * PENDING SAN FRANCISCO CA    364054  05/06</v>
      </c>
      <c r="C1609" s="6" t="str">
        <f>Angela_2025_Chase1117_Activity_!G1606</f>
        <v>Personal - Uber</v>
      </c>
      <c r="D1609" s="12">
        <f>Angela_2025_Chase1117_Activity_!D1606</f>
        <v>-37.950000000000003</v>
      </c>
    </row>
    <row r="1610" spans="1:4" x14ac:dyDescent="0.25">
      <c r="A1610" s="26">
        <f>Angela_2025_Chase1117_Activity_!B1607</f>
        <v>45784</v>
      </c>
      <c r="B1610" s="6" t="str">
        <f>Angela_2025_Chase1117_Activity_!C1607</f>
        <v>UBER   * PENDING SAN FRANCISCO CA    365315  05/06</v>
      </c>
      <c r="C1610" s="6" t="str">
        <f>Angela_2025_Chase1117_Activity_!G1607</f>
        <v>Personal - Uber</v>
      </c>
      <c r="D1610" s="12">
        <f>Angela_2025_Chase1117_Activity_!D1607</f>
        <v>-56.94</v>
      </c>
    </row>
    <row r="1611" spans="1:4" x14ac:dyDescent="0.25">
      <c r="A1611" s="26">
        <f>Angela_2025_Chase1117_Activity_!B1608</f>
        <v>45784</v>
      </c>
      <c r="B1611" s="6" t="str">
        <f>Angela_2025_Chase1117_Activity_!C1608</f>
        <v>AMAZON MKTPL*NB21427 Amzn.com/bill WA        05/07</v>
      </c>
      <c r="C1611" s="6" t="str">
        <f>Angela_2025_Chase1117_Activity_!G1608</f>
        <v>Amazon</v>
      </c>
      <c r="D1611" s="12">
        <f>Angela_2025_Chase1117_Activity_!D1608</f>
        <v>-30.72</v>
      </c>
    </row>
    <row r="1612" spans="1:4" x14ac:dyDescent="0.25">
      <c r="A1612" s="26">
        <f>Angela_2025_Chase1117_Activity_!B1609</f>
        <v>45784</v>
      </c>
      <c r="B1612" s="6" t="str">
        <f>Angela_2025_Chase1117_Activity_!C1609</f>
        <v>AMAZON MKTPL*NI3439S Amzn.com/bill WA        05/07</v>
      </c>
      <c r="C1612" s="6" t="str">
        <f>Angela_2025_Chase1117_Activity_!G1609</f>
        <v>Amazon</v>
      </c>
      <c r="D1612" s="12">
        <f>Angela_2025_Chase1117_Activity_!D1609</f>
        <v>-16.45</v>
      </c>
    </row>
    <row r="1613" spans="1:4" x14ac:dyDescent="0.25">
      <c r="A1613" s="26">
        <f>Angela_2025_Chase1117_Activity_!B1610</f>
        <v>45784</v>
      </c>
      <c r="B1613" s="6" t="str">
        <f>Angela_2025_Chase1117_Activity_!C1610</f>
        <v>GRANDVIEW CLEANERS LOS ANGELES CA            05/06</v>
      </c>
      <c r="C1613" s="6" t="str">
        <f>Angela_2025_Chase1117_Activity_!G1610</f>
        <v>Personal - Clothing</v>
      </c>
      <c r="D1613" s="12">
        <f>Angela_2025_Chase1117_Activity_!D1610</f>
        <v>-300</v>
      </c>
    </row>
    <row r="1614" spans="1:4" x14ac:dyDescent="0.25">
      <c r="A1614" s="26">
        <f>Angela_2025_Chase1117_Activity_!B1611</f>
        <v>45784</v>
      </c>
      <c r="B1614" s="6" t="str">
        <f>Angela_2025_Chase1117_Activity_!C1611</f>
        <v>PEETS 13403 MARINA DEL RE CA                 05/06</v>
      </c>
      <c r="C1614" s="6" t="str">
        <f>Angela_2025_Chase1117_Activity_!G1611</f>
        <v>Personal - Food</v>
      </c>
      <c r="D1614" s="12">
        <f>Angela_2025_Chase1117_Activity_!D1611</f>
        <v>-9.8000000000000007</v>
      </c>
    </row>
    <row r="1615" spans="1:4" x14ac:dyDescent="0.25">
      <c r="A1615" s="26">
        <f>Angela_2025_Chase1117_Activity_!B1612</f>
        <v>45784</v>
      </c>
      <c r="B1615" s="6" t="str">
        <f>Angela_2025_Chase1117_Activity_!C1612</f>
        <v>SQ *KREATION ORGANIC Marina del Re CA        05/06</v>
      </c>
      <c r="C1615" s="6" t="str">
        <f>Angela_2025_Chase1117_Activity_!G1612</f>
        <v>Personal - Food</v>
      </c>
      <c r="D1615" s="12">
        <f>Angela_2025_Chase1117_Activity_!D1612</f>
        <v>-347.3</v>
      </c>
    </row>
    <row r="1616" spans="1:4" x14ac:dyDescent="0.25">
      <c r="A1616" s="26">
        <f>Angela_2025_Chase1117_Activity_!B1613</f>
        <v>45784</v>
      </c>
      <c r="B1616" s="6" t="str">
        <f>Angela_2025_Chase1117_Activity_!C1613</f>
        <v>CITY OF SANTA MONICA SANTA MONICA CA         05/06</v>
      </c>
      <c r="C1616" s="6" t="str">
        <f>Angela_2025_Chase1117_Activity_!G1613</f>
        <v>Personal - Car</v>
      </c>
      <c r="D1616" s="12">
        <f>Angela_2025_Chase1117_Activity_!D1613</f>
        <v>-1.25</v>
      </c>
    </row>
    <row r="1617" spans="1:4" x14ac:dyDescent="0.25">
      <c r="A1617" s="26">
        <f>Angela_2025_Chase1117_Activity_!B1614</f>
        <v>45784</v>
      </c>
      <c r="B1617" s="6" t="str">
        <f>Angela_2025_Chase1117_Activity_!C1614</f>
        <v>AMAZON MKTPL*NI68Y16 Amzn.com/bill WA        05/06</v>
      </c>
      <c r="C1617" s="6" t="str">
        <f>Angela_2025_Chase1117_Activity_!G1614</f>
        <v>Amazon</v>
      </c>
      <c r="D1617" s="12">
        <f>Angela_2025_Chase1117_Activity_!D1614</f>
        <v>-6.9</v>
      </c>
    </row>
    <row r="1618" spans="1:4" x14ac:dyDescent="0.25">
      <c r="A1618" s="26">
        <f>Angela_2025_Chase1117_Activity_!B1615</f>
        <v>45784</v>
      </c>
      <c r="B1618" s="6" t="str">
        <f>Angela_2025_Chase1117_Activity_!C1615</f>
        <v>2418 AMC AMC MARINA MARINA DEL RE CA         05/05</v>
      </c>
      <c r="C1618" s="6" t="str">
        <f>Angela_2025_Chase1117_Activity_!G1615</f>
        <v>Personal - Entertainment</v>
      </c>
      <c r="D1618" s="12">
        <f>Angela_2025_Chase1117_Activity_!D1615</f>
        <v>-17.100000000000001</v>
      </c>
    </row>
    <row r="1619" spans="1:4" x14ac:dyDescent="0.25">
      <c r="A1619" s="26">
        <f>Angela_2025_Chase1117_Activity_!B1616</f>
        <v>45784</v>
      </c>
      <c r="B1619" s="6" t="str">
        <f>Angela_2025_Chase1117_Activity_!C1616</f>
        <v>Zelle payment from G-EUNICE LLC 24685736347</v>
      </c>
      <c r="C1619" s="6" t="str">
        <f>Angela_2025_Chase1117_Activity_!G1616</f>
        <v>Zelle from G-Eunice LLC</v>
      </c>
      <c r="D1619" s="12">
        <f>Angela_2025_Chase1117_Activity_!D1616</f>
        <v>175</v>
      </c>
    </row>
    <row r="1620" spans="1:4" x14ac:dyDescent="0.25">
      <c r="A1620" s="26">
        <f>Angela_2025_Chase1117_Activity_!B1617</f>
        <v>45784</v>
      </c>
      <c r="B1620" s="6" t="str">
        <f>Angela_2025_Chase1117_Activity_!C1617</f>
        <v>Online Transfer from CHK ...1168 transaction#: 24678761006</v>
      </c>
      <c r="C1620" s="6" t="str">
        <f>Angela_2025_Chase1117_Activity_!G1617</f>
        <v>Transfer from DWG Capital Group</v>
      </c>
      <c r="D1620" s="12">
        <f>Angela_2025_Chase1117_Activity_!D1617</f>
        <v>2000</v>
      </c>
    </row>
    <row r="1621" spans="1:4" x14ac:dyDescent="0.25">
      <c r="A1621" s="26">
        <f>Angela_2025_Chase1117_Activity_!B1618</f>
        <v>45783</v>
      </c>
      <c r="B1621" s="6" t="str">
        <f>Angela_2025_Chase1117_Activity_!C1618</f>
        <v>CVS/PHARMACY #09493 MAR VISTA CA     045167  05/06</v>
      </c>
      <c r="C1621" s="6" t="str">
        <f>Angela_2025_Chase1117_Activity_!G1618</f>
        <v>Personal - Health</v>
      </c>
      <c r="D1621" s="12">
        <f>Angela_2025_Chase1117_Activity_!D1618</f>
        <v>-204.29</v>
      </c>
    </row>
    <row r="1622" spans="1:4" x14ac:dyDescent="0.25">
      <c r="A1622" s="26">
        <f>Angela_2025_Chase1117_Activity_!B1619</f>
        <v>45783</v>
      </c>
      <c r="B1622" s="6" t="str">
        <f>Angela_2025_Chase1117_Activity_!C1619</f>
        <v>GOOGLE *YouTubePremi g.co/helppay# CA        05/06</v>
      </c>
      <c r="C1622" s="6" t="str">
        <f>Angela_2025_Chase1117_Activity_!G1619</f>
        <v>YouTube Premium</v>
      </c>
      <c r="D1622" s="12">
        <f>Angela_2025_Chase1117_Activity_!D1619</f>
        <v>-13.99</v>
      </c>
    </row>
    <row r="1623" spans="1:4" x14ac:dyDescent="0.25">
      <c r="A1623" s="26">
        <f>Angela_2025_Chase1117_Activity_!B1620</f>
        <v>45783</v>
      </c>
      <c r="B1623" s="6" t="str">
        <f>Angela_2025_Chase1117_Activity_!C1620</f>
        <v>UBER   *TRIP HELP.UB SAN FRANCISCO CA026914  05/05</v>
      </c>
      <c r="C1623" s="6" t="str">
        <f>Angela_2025_Chase1117_Activity_!G1620</f>
        <v>Personal - Uber</v>
      </c>
      <c r="D1623" s="12">
        <f>Angela_2025_Chase1117_Activity_!D1620</f>
        <v>-3</v>
      </c>
    </row>
    <row r="1624" spans="1:4" x14ac:dyDescent="0.25">
      <c r="A1624" s="26">
        <f>Angela_2025_Chase1117_Activity_!B1621</f>
        <v>45783</v>
      </c>
      <c r="B1624" s="6" t="str">
        <f>Angela_2025_Chase1117_Activity_!C1621</f>
        <v>PSYCHOLOGY TODAY PSYCHOLOGYTOD SD            05/06</v>
      </c>
      <c r="C1624" s="6" t="str">
        <f>Angela_2025_Chase1117_Activity_!G1621</f>
        <v>Personal - Subscription</v>
      </c>
      <c r="D1624" s="12">
        <f>Angela_2025_Chase1117_Activity_!D1621</f>
        <v>-29.95</v>
      </c>
    </row>
    <row r="1625" spans="1:4" x14ac:dyDescent="0.25">
      <c r="A1625" s="26">
        <f>Angela_2025_Chase1117_Activity_!B1622</f>
        <v>45783</v>
      </c>
      <c r="B1625" s="6" t="str">
        <f>Angela_2025_Chase1117_Activity_!C1622</f>
        <v>ELEVENLABS.IO ELEVENLABS.IO NY               05/06</v>
      </c>
      <c r="C1625" s="6" t="str">
        <f>Angela_2025_Chase1117_Activity_!G1622</f>
        <v>Personal - Subscription</v>
      </c>
      <c r="D1625" s="12">
        <f>Angela_2025_Chase1117_Activity_!D1622</f>
        <v>-22</v>
      </c>
    </row>
    <row r="1626" spans="1:4" x14ac:dyDescent="0.25">
      <c r="A1626" s="26">
        <f>Angela_2025_Chase1117_Activity_!B1623</f>
        <v>45782</v>
      </c>
      <c r="B1626" s="6" t="str">
        <f>Angela_2025_Chase1117_Activity_!C1623</f>
        <v>GELSON'S MARKET #29 SANTA MONICA CA  158395  05/05</v>
      </c>
      <c r="C1626" s="6" t="str">
        <f>Angela_2025_Chase1117_Activity_!G1623</f>
        <v>Personal - Food</v>
      </c>
      <c r="D1626" s="12">
        <f>Angela_2025_Chase1117_Activity_!D1623</f>
        <v>-102.23</v>
      </c>
    </row>
    <row r="1627" spans="1:4" x14ac:dyDescent="0.25">
      <c r="A1627" s="26">
        <f>Angela_2025_Chase1117_Activity_!B1624</f>
        <v>45782</v>
      </c>
      <c r="B1627" s="6" t="str">
        <f>Angela_2025_Chase1117_Activity_!C1624</f>
        <v>THE HOME DEPOT #6611 LOS ANGELES CA  676961  05/04</v>
      </c>
      <c r="C1627" s="6" t="str">
        <f>Angela_2025_Chase1117_Activity_!G1624</f>
        <v>Personal - Shopping</v>
      </c>
      <c r="D1627" s="12">
        <f>Angela_2025_Chase1117_Activity_!D1624</f>
        <v>-136.94</v>
      </c>
    </row>
    <row r="1628" spans="1:4" x14ac:dyDescent="0.25">
      <c r="A1628" s="26">
        <f>Angela_2025_Chase1117_Activity_!B1625</f>
        <v>45782</v>
      </c>
      <c r="B1628" s="6" t="str">
        <f>Angela_2025_Chase1117_Activity_!C1625</f>
        <v>AMC 9640 ONLINE 888-440-4262 KS              05/05</v>
      </c>
      <c r="C1628" s="6" t="str">
        <f>Angela_2025_Chase1117_Activity_!G1625</f>
        <v>Personal - Entertainment</v>
      </c>
      <c r="D1628" s="12">
        <f>Angela_2025_Chase1117_Activity_!D1625</f>
        <v>-83.04</v>
      </c>
    </row>
    <row r="1629" spans="1:4" x14ac:dyDescent="0.25">
      <c r="A1629" s="26">
        <f>Angela_2025_Chase1117_Activity_!B1626</f>
        <v>45782</v>
      </c>
      <c r="B1629" s="6" t="str">
        <f>Angela_2025_Chase1117_Activity_!C1626</f>
        <v>UBER   * EATS PENDIN SAN FRANCISCO CA225571  05/04</v>
      </c>
      <c r="C1629" s="6" t="str">
        <f>Angela_2025_Chase1117_Activity_!G1626</f>
        <v>Uber Eats</v>
      </c>
      <c r="D1629" s="12">
        <f>Angela_2025_Chase1117_Activity_!D1626</f>
        <v>-32.909999999999997</v>
      </c>
    </row>
    <row r="1630" spans="1:4" x14ac:dyDescent="0.25">
      <c r="A1630" s="26">
        <f>Angela_2025_Chase1117_Activity_!B1627</f>
        <v>45782</v>
      </c>
      <c r="B1630" s="6" t="str">
        <f>Angela_2025_Chase1117_Activity_!C1627</f>
        <v>UBER   * PENDING SAN FRANCISCO CA    029167  05/03</v>
      </c>
      <c r="C1630" s="6" t="str">
        <f>Angela_2025_Chase1117_Activity_!G1627</f>
        <v>Personal - Uber</v>
      </c>
      <c r="D1630" s="12">
        <f>Angela_2025_Chase1117_Activity_!D1627</f>
        <v>-20.72</v>
      </c>
    </row>
    <row r="1631" spans="1:4" x14ac:dyDescent="0.25">
      <c r="A1631" s="26">
        <f>Angela_2025_Chase1117_Activity_!B1628</f>
        <v>45782</v>
      </c>
      <c r="B1631" s="6" t="str">
        <f>Angela_2025_Chase1117_Activity_!C1628</f>
        <v>AMAZON MKTPL*NB38A1T Amzn.com/bill WA        05/04</v>
      </c>
      <c r="C1631" s="6" t="str">
        <f>Angela_2025_Chase1117_Activity_!G1628</f>
        <v>Amazon</v>
      </c>
      <c r="D1631" s="12">
        <f>Angela_2025_Chase1117_Activity_!D1628</f>
        <v>-60.8</v>
      </c>
    </row>
    <row r="1632" spans="1:4" x14ac:dyDescent="0.25">
      <c r="A1632" s="26">
        <f>Angela_2025_Chase1117_Activity_!B1629</f>
        <v>45782</v>
      </c>
      <c r="B1632" s="6" t="str">
        <f>Angela_2025_Chase1117_Activity_!C1629</f>
        <v>Amazon.com*NB2KW9TV0 Amzn.com/bill WA        05/04</v>
      </c>
      <c r="C1632" s="6" t="str">
        <f>Angela_2025_Chase1117_Activity_!G1629</f>
        <v>Amazon</v>
      </c>
      <c r="D1632" s="12">
        <f>Angela_2025_Chase1117_Activity_!D1629</f>
        <v>-41.58</v>
      </c>
    </row>
    <row r="1633" spans="1:4" x14ac:dyDescent="0.25">
      <c r="A1633" s="26">
        <f>Angela_2025_Chase1117_Activity_!B1630</f>
        <v>45782</v>
      </c>
      <c r="B1633" s="6" t="str">
        <f>Angela_2025_Chase1117_Activity_!C1630</f>
        <v>UTRECHT ART 800447189 SANTA MONICA CA        05/03</v>
      </c>
      <c r="C1633" s="6" t="str">
        <f>Angela_2025_Chase1117_Activity_!G1630</f>
        <v>Personal - Shopping</v>
      </c>
      <c r="D1633" s="12">
        <f>Angela_2025_Chase1117_Activity_!D1630</f>
        <v>-32.630000000000003</v>
      </c>
    </row>
    <row r="1634" spans="1:4" x14ac:dyDescent="0.25">
      <c r="A1634" s="26">
        <f>Angela_2025_Chase1117_Activity_!B1631</f>
        <v>45782</v>
      </c>
      <c r="B1634" s="6" t="str">
        <f>Angela_2025_Chase1117_Activity_!C1631</f>
        <v>GELSON'S MARKET #29 SANTA MONICA CA  190805  05/03</v>
      </c>
      <c r="C1634" s="6" t="str">
        <f>Angela_2025_Chase1117_Activity_!G1631</f>
        <v>Personal - Food</v>
      </c>
      <c r="D1634" s="12">
        <f>Angela_2025_Chase1117_Activity_!D1631</f>
        <v>-195.87</v>
      </c>
    </row>
    <row r="1635" spans="1:4" x14ac:dyDescent="0.25">
      <c r="A1635" s="26">
        <f>Angela_2025_Chase1117_Activity_!B1632</f>
        <v>45782</v>
      </c>
      <c r="B1635" s="6" t="str">
        <f>Angela_2025_Chase1117_Activity_!C1632</f>
        <v>UBER   *TRIP HELP.UB SAN FRANCISCO CA223383  05/03</v>
      </c>
      <c r="C1635" s="6" t="str">
        <f>Angela_2025_Chase1117_Activity_!G1632</f>
        <v>Personal - Uber</v>
      </c>
      <c r="D1635" s="12">
        <f>Angela_2025_Chase1117_Activity_!D1632</f>
        <v>-29.79</v>
      </c>
    </row>
    <row r="1636" spans="1:4" x14ac:dyDescent="0.25">
      <c r="A1636" s="26">
        <f>Angela_2025_Chase1117_Activity_!B1633</f>
        <v>45782</v>
      </c>
      <c r="B1636" s="6" t="str">
        <f>Angela_2025_Chase1117_Activity_!C1633</f>
        <v>APPLE.COM/BILL 866-712-7753 CA               05/03</v>
      </c>
      <c r="C1636" s="6" t="str">
        <f>Angela_2025_Chase1117_Activity_!G1633</f>
        <v>Apple</v>
      </c>
      <c r="D1636" s="12">
        <f>Angela_2025_Chase1117_Activity_!D1633</f>
        <v>-3.99</v>
      </c>
    </row>
    <row r="1637" spans="1:4" x14ac:dyDescent="0.25">
      <c r="A1637" s="26">
        <f>Angela_2025_Chase1117_Activity_!B1634</f>
        <v>45782</v>
      </c>
      <c r="B1637" s="6" t="str">
        <f>Angela_2025_Chase1117_Activity_!C1634</f>
        <v>AMAZON MKTPL*NB18S5C Amzn.com/bill WA        05/02</v>
      </c>
      <c r="C1637" s="6" t="str">
        <f>Angela_2025_Chase1117_Activity_!G1634</f>
        <v>Amazon</v>
      </c>
      <c r="D1637" s="12">
        <f>Angela_2025_Chase1117_Activity_!D1634</f>
        <v>-6.57</v>
      </c>
    </row>
    <row r="1638" spans="1:4" x14ac:dyDescent="0.25">
      <c r="A1638" s="26">
        <f>Angela_2025_Chase1117_Activity_!B1635</f>
        <v>45782</v>
      </c>
      <c r="B1638" s="6" t="str">
        <f>Angela_2025_Chase1117_Activity_!C1635</f>
        <v>AMAZON MKTPL*NI7RY2C Amzn.com/bill WA        05/02</v>
      </c>
      <c r="C1638" s="6" t="str">
        <f>Angela_2025_Chase1117_Activity_!G1635</f>
        <v>Amazon</v>
      </c>
      <c r="D1638" s="12">
        <f>Angela_2025_Chase1117_Activity_!D1635</f>
        <v>-106.58</v>
      </c>
    </row>
    <row r="1639" spans="1:4" x14ac:dyDescent="0.25">
      <c r="A1639" s="26">
        <f>Angela_2025_Chase1117_Activity_!B1636</f>
        <v>45779</v>
      </c>
      <c r="B1639" s="6" t="str">
        <f>Angela_2025_Chase1117_Activity_!C1636</f>
        <v>SHUTTERS COAST RESTR SANTA MONICA CA         05/01</v>
      </c>
      <c r="C1639" s="6" t="str">
        <f>Angela_2025_Chase1117_Activity_!G1636</f>
        <v>Personal - Food</v>
      </c>
      <c r="D1639" s="12">
        <f>Angela_2025_Chase1117_Activity_!D1636</f>
        <v>-333.68</v>
      </c>
    </row>
    <row r="1640" spans="1:4" x14ac:dyDescent="0.25">
      <c r="A1640" s="26">
        <f>Angela_2025_Chase1117_Activity_!B1637</f>
        <v>45779</v>
      </c>
      <c r="B1640" s="6" t="str">
        <f>Angela_2025_Chase1117_Activity_!C1637</f>
        <v>SQ *REA COMMERCIAL SECU gosq.com CA          05/01</v>
      </c>
      <c r="C1640" s="6" t="str">
        <f>Angela_2025_Chase1117_Activity_!G1637</f>
        <v>Personal - Subscription</v>
      </c>
      <c r="D1640" s="12">
        <f>Angela_2025_Chase1117_Activity_!D1637</f>
        <v>-100</v>
      </c>
    </row>
    <row r="1641" spans="1:4" x14ac:dyDescent="0.25">
      <c r="A1641" s="26">
        <f>Angela_2025_Chase1117_Activity_!B1638</f>
        <v>45778</v>
      </c>
      <c r="B1641" s="6" t="str">
        <f>Angela_2025_Chase1117_Activity_!C1638</f>
        <v>CVS/PHARMACY #09493 MAR VISTA CA     049224  05/01</v>
      </c>
      <c r="C1641" s="6" t="str">
        <f>Angela_2025_Chase1117_Activity_!G1638</f>
        <v>Personal - Health</v>
      </c>
      <c r="D1641" s="12">
        <f>Angela_2025_Chase1117_Activity_!D1638</f>
        <v>-67.95</v>
      </c>
    </row>
    <row r="1642" spans="1:4" x14ac:dyDescent="0.25">
      <c r="A1642" s="26">
        <f>Angela_2025_Chase1117_Activity_!B1639</f>
        <v>45778</v>
      </c>
      <c r="B1642" s="6" t="str">
        <f>Angela_2025_Chase1117_Activity_!C1639</f>
        <v>ATM WITHDRAWAL                       006710  05/0112335 VEN</v>
      </c>
      <c r="C1642" s="6" t="str">
        <f>Angela_2025_Chase1117_Activity_!G1639</f>
        <v>Withdrawal</v>
      </c>
      <c r="D1642" s="12">
        <f>Angela_2025_Chase1117_Activity_!D1639</f>
        <v>-500</v>
      </c>
    </row>
    <row r="1643" spans="1:4" x14ac:dyDescent="0.25">
      <c r="A1643" s="26">
        <f>Angela_2025_Chase1117_Activity_!B1640</f>
        <v>45778</v>
      </c>
      <c r="B1643" s="6" t="str">
        <f>Angela_2025_Chase1117_Activity_!C1640</f>
        <v>UBER *EATS HELP.UBER.C 800-5928996 CA        05/01</v>
      </c>
      <c r="C1643" s="6" t="str">
        <f>Angela_2025_Chase1117_Activity_!G1640</f>
        <v>Uber Eats</v>
      </c>
      <c r="D1643" s="12">
        <f>Angela_2025_Chase1117_Activity_!D1640</f>
        <v>-81.17</v>
      </c>
    </row>
    <row r="1644" spans="1:4" x14ac:dyDescent="0.25">
      <c r="A1644" s="26">
        <f>Angela_2025_Chase1117_Activity_!B1641</f>
        <v>45778</v>
      </c>
      <c r="B1644" s="6" t="str">
        <f>Angela_2025_Chase1117_Activity_!C1641</f>
        <v>SQ *THE ANTI AGING CENT Torrance CA          04/30</v>
      </c>
      <c r="C1644" s="6" t="str">
        <f>Angela_2025_Chase1117_Activity_!G1641</f>
        <v>Personal - Health</v>
      </c>
      <c r="D1644" s="12">
        <f>Angela_2025_Chase1117_Activity_!D1641</f>
        <v>-525</v>
      </c>
    </row>
    <row r="1645" spans="1:4" x14ac:dyDescent="0.25">
      <c r="A1645" s="26">
        <f>Angela_2025_Chase1117_Activity_!B1642</f>
        <v>45778</v>
      </c>
      <c r="B1645" s="6" t="str">
        <f>Angela_2025_Chase1117_Activity_!C1642</f>
        <v>BLUE SHIELD CALIFORNI 800-393-6130 CA        04/30</v>
      </c>
      <c r="C1645" s="6" t="str">
        <f>Angela_2025_Chase1117_Activity_!G1642</f>
        <v>Personal - Health Insurance</v>
      </c>
      <c r="D1645" s="12">
        <f>Angela_2025_Chase1117_Activity_!D1642</f>
        <v>-944.63</v>
      </c>
    </row>
    <row r="1646" spans="1:4" x14ac:dyDescent="0.25">
      <c r="A1646" s="26">
        <f>Angela_2025_Chase1117_Activity_!B1643</f>
        <v>45778</v>
      </c>
      <c r="B1646" s="6" t="str">
        <f>Angela_2025_Chase1117_Activity_!C1643</f>
        <v>Zelle payment from JOE SAUNDERS 24611530932</v>
      </c>
      <c r="C1646" s="6" t="str">
        <f>Angela_2025_Chase1117_Activity_!G1643</f>
        <v>Zelle from Joe Saunders</v>
      </c>
      <c r="D1646" s="12">
        <f>Angela_2025_Chase1117_Activity_!D1643</f>
        <v>150</v>
      </c>
    </row>
    <row r="1647" spans="1:4" x14ac:dyDescent="0.25">
      <c r="A1647" s="26">
        <f>Angela_2025_Chase1117_Activity_!B1644</f>
        <v>45778</v>
      </c>
      <c r="B1647" s="6" t="str">
        <f>Angela_2025_Chase1117_Activity_!C1644</f>
        <v>Zelle payment from JOE SAUNDERS 24611523361</v>
      </c>
      <c r="C1647" s="6" t="str">
        <f>Angela_2025_Chase1117_Activity_!G1644</f>
        <v>Zelle from Joe Saunders</v>
      </c>
      <c r="D1647" s="12">
        <f>Angela_2025_Chase1117_Activity_!D1644</f>
        <v>430</v>
      </c>
    </row>
    <row r="1648" spans="1:4" x14ac:dyDescent="0.25">
      <c r="A1648" s="26">
        <f>Angela_2025_Chase1117_Activity_!B1645</f>
        <v>45777</v>
      </c>
      <c r="B1648" s="6" t="str">
        <f>Angela_2025_Chase1117_Activity_!C1645</f>
        <v>Online Payment 24584068549 To SOUTHERN CALIFORNIA GAS CO 04/30</v>
      </c>
      <c r="C1648" s="6" t="str">
        <f>Angela_2025_Chase1117_Activity_!G1645</f>
        <v>Personal - House Bills</v>
      </c>
      <c r="D1648" s="12">
        <f>Angela_2025_Chase1117_Activity_!D1645</f>
        <v>-200</v>
      </c>
    </row>
    <row r="1649" spans="1:4" x14ac:dyDescent="0.25">
      <c r="A1649" s="26">
        <f>Angela_2025_Chase1117_Activity_!B1646</f>
        <v>45777</v>
      </c>
      <c r="B1649" s="6" t="str">
        <f>Angela_2025_Chase1117_Activity_!C1646</f>
        <v>Online Payment 24584061198 To SAFECO INSURANCE COMPANY 04/30</v>
      </c>
      <c r="C1649" s="6" t="str">
        <f>Angela_2025_Chase1117_Activity_!G1646</f>
        <v>Personal - House Bills</v>
      </c>
      <c r="D1649" s="12">
        <f>Angela_2025_Chase1117_Activity_!D1646</f>
        <v>-120</v>
      </c>
    </row>
    <row r="1650" spans="1:4" x14ac:dyDescent="0.25">
      <c r="A1650" s="26">
        <f>Angela_2025_Chase1117_Activity_!B1647</f>
        <v>45777</v>
      </c>
      <c r="B1650" s="6" t="str">
        <f>Angela_2025_Chase1117_Activity_!C1647</f>
        <v>Online Payment 24584050121 To FRONTIER TELEPHONE 04/30</v>
      </c>
      <c r="C1650" s="6" t="str">
        <f>Angela_2025_Chase1117_Activity_!G1647</f>
        <v>Personal - House Bills</v>
      </c>
      <c r="D1650" s="12">
        <f>Angela_2025_Chase1117_Activity_!D1647</f>
        <v>-300</v>
      </c>
    </row>
    <row r="1651" spans="1:4" x14ac:dyDescent="0.25">
      <c r="A1651" s="26">
        <f>Angela_2025_Chase1117_Activity_!B1648</f>
        <v>45777</v>
      </c>
      <c r="B1651" s="6" t="str">
        <f>Angela_2025_Chase1117_Activity_!C1648</f>
        <v>Online Payment 24584026762 To AMERICAN EDUCATION SERVICES 04/30</v>
      </c>
      <c r="C1651" s="6" t="str">
        <f>Angela_2025_Chase1117_Activity_!G1648</f>
        <v>Personal - House Bills</v>
      </c>
      <c r="D1651" s="12">
        <f>Angela_2025_Chase1117_Activity_!D1648</f>
        <v>-320</v>
      </c>
    </row>
    <row r="1652" spans="1:4" x14ac:dyDescent="0.25">
      <c r="A1652" s="26">
        <f>Angela_2025_Chase1117_Activity_!B1649</f>
        <v>45777</v>
      </c>
      <c r="B1652" s="6" t="str">
        <f>Angela_2025_Chase1117_Activity_!C1649</f>
        <v>Online Payment 24584026288 To MERCEDES-BENZ FINANCIAL SERVICES 04/30</v>
      </c>
      <c r="C1652" s="6" t="str">
        <f>Angela_2025_Chase1117_Activity_!G1649</f>
        <v>Personal - House Bills</v>
      </c>
      <c r="D1652" s="12">
        <f>Angela_2025_Chase1117_Activity_!D1649</f>
        <v>-700</v>
      </c>
    </row>
    <row r="1653" spans="1:4" x14ac:dyDescent="0.25">
      <c r="A1653" s="26">
        <f>Angela_2025_Chase1117_Activity_!B1650</f>
        <v>45777</v>
      </c>
      <c r="B1653" s="6" t="str">
        <f>Angela_2025_Chase1117_Activity_!C1650</f>
        <v>AMAZON MKTPL*G55DM7K Amzn.com/bill WA        04/29</v>
      </c>
      <c r="C1653" s="6" t="str">
        <f>Angela_2025_Chase1117_Activity_!G1650</f>
        <v>Amazon</v>
      </c>
      <c r="D1653" s="12">
        <f>Angela_2025_Chase1117_Activity_!D1650</f>
        <v>-9.44</v>
      </c>
    </row>
    <row r="1654" spans="1:4" x14ac:dyDescent="0.25">
      <c r="A1654" s="26">
        <f>Angela_2025_Chase1117_Activity_!B1651</f>
        <v>45777</v>
      </c>
      <c r="B1654" s="6" t="str">
        <f>Angela_2025_Chase1117_Activity_!C1651</f>
        <v>AMAZON MKTPL*J18R73J Amzn.com/bill WA        04/29</v>
      </c>
      <c r="C1654" s="6" t="str">
        <f>Angela_2025_Chase1117_Activity_!G1651</f>
        <v>Amazon</v>
      </c>
      <c r="D1654" s="12">
        <f>Angela_2025_Chase1117_Activity_!D1651</f>
        <v>-32.9</v>
      </c>
    </row>
    <row r="1655" spans="1:4" x14ac:dyDescent="0.25">
      <c r="A1655" s="26">
        <f>Angela_2025_Chase1117_Activity_!B1652</f>
        <v>45777</v>
      </c>
      <c r="B1655" s="6" t="str">
        <f>Angela_2025_Chase1117_Activity_!C1652</f>
        <v>Zara.com 212-3551415 NY                      04/30</v>
      </c>
      <c r="C1655" s="6" t="str">
        <f>Angela_2025_Chase1117_Activity_!G1652</f>
        <v>Personal - Shopping</v>
      </c>
      <c r="D1655" s="12">
        <f>Angela_2025_Chase1117_Activity_!D1652</f>
        <v>-299.58999999999997</v>
      </c>
    </row>
    <row r="1656" spans="1:4" x14ac:dyDescent="0.25">
      <c r="A1656" s="26">
        <f>Angela_2025_Chase1117_Activity_!B1653</f>
        <v>45776</v>
      </c>
      <c r="B1656" s="6" t="str">
        <f>Angela_2025_Chase1117_Activity_!C1653</f>
        <v>STAPLES 0127 VENICE CA               948282  04/29</v>
      </c>
      <c r="C1656" s="6" t="str">
        <f>Angela_2025_Chase1117_Activity_!G1653</f>
        <v>Personal - Shopping</v>
      </c>
      <c r="D1656" s="12">
        <f>Angela_2025_Chase1117_Activity_!D1653</f>
        <v>-175.48</v>
      </c>
    </row>
    <row r="1657" spans="1:4" x14ac:dyDescent="0.25">
      <c r="A1657" s="26">
        <f>Angela_2025_Chase1117_Activity_!B1654</f>
        <v>45776</v>
      </c>
      <c r="B1657" s="6" t="str">
        <f>Angela_2025_Chase1117_Activity_!C1654</f>
        <v>AMAZON MKTPL*E43XJ97 Amzn.com/bill WA        04/29</v>
      </c>
      <c r="C1657" s="6" t="str">
        <f>Angela_2025_Chase1117_Activity_!G1654</f>
        <v>Amazon</v>
      </c>
      <c r="D1657" s="12">
        <f>Angela_2025_Chase1117_Activity_!D1654</f>
        <v>-84.87</v>
      </c>
    </row>
    <row r="1658" spans="1:4" x14ac:dyDescent="0.25">
      <c r="A1658" s="26">
        <f>Angela_2025_Chase1117_Activity_!B1655</f>
        <v>45776</v>
      </c>
      <c r="B1658" s="6" t="str">
        <f>Angela_2025_Chase1117_Activity_!C1655</f>
        <v>UBER   * EATS PENDIN SAN FRANCISCO CA363243  04/28</v>
      </c>
      <c r="C1658" s="6" t="str">
        <f>Angela_2025_Chase1117_Activity_!G1655</f>
        <v>Uber Eats</v>
      </c>
      <c r="D1658" s="12">
        <f>Angela_2025_Chase1117_Activity_!D1655</f>
        <v>-56.01</v>
      </c>
    </row>
    <row r="1659" spans="1:4" x14ac:dyDescent="0.25">
      <c r="A1659" s="26">
        <f>Angela_2025_Chase1117_Activity_!B1656</f>
        <v>45776</v>
      </c>
      <c r="B1659" s="6" t="str">
        <f>Angela_2025_Chase1117_Activity_!C1656</f>
        <v>Patreon* Membership Internet CA              04/29</v>
      </c>
      <c r="C1659" s="6" t="str">
        <f>Angela_2025_Chase1117_Activity_!G1656</f>
        <v>Personal - Subscription</v>
      </c>
      <c r="D1659" s="12">
        <f>Angela_2025_Chase1117_Activity_!D1656</f>
        <v>-7.5</v>
      </c>
    </row>
    <row r="1660" spans="1:4" x14ac:dyDescent="0.25">
      <c r="A1660" s="26">
        <f>Angela_2025_Chase1117_Activity_!B1657</f>
        <v>45776</v>
      </c>
      <c r="B1660" s="6" t="str">
        <f>Angela_2025_Chase1117_Activity_!C1657</f>
        <v>TEXAS LEISURE HOT T. TXLEISURE.COM TX        04/29</v>
      </c>
      <c r="C1660" s="6" t="str">
        <f>Angela_2025_Chase1117_Activity_!G1657</f>
        <v>Personal - House Bills</v>
      </c>
      <c r="D1660" s="12">
        <f>Angela_2025_Chase1117_Activity_!D1657</f>
        <v>-338.28</v>
      </c>
    </row>
    <row r="1661" spans="1:4" x14ac:dyDescent="0.25">
      <c r="A1661" s="26">
        <f>Angela_2025_Chase1117_Activity_!B1658</f>
        <v>45776</v>
      </c>
      <c r="B1661" s="6" t="str">
        <f>Angela_2025_Chase1117_Activity_!C1658</f>
        <v>PARKING METERS - IPS CULVER CITY CA          04/28</v>
      </c>
      <c r="C1661" s="6" t="str">
        <f>Angela_2025_Chase1117_Activity_!G1658</f>
        <v>Personal - Car</v>
      </c>
      <c r="D1661" s="12">
        <f>Angela_2025_Chase1117_Activity_!D1658</f>
        <v>-1</v>
      </c>
    </row>
    <row r="1662" spans="1:4" x14ac:dyDescent="0.25">
      <c r="A1662" s="26">
        <f>Angela_2025_Chase1117_Activity_!B1659</f>
        <v>45776</v>
      </c>
      <c r="B1662" s="6" t="str">
        <f>Angela_2025_Chase1117_Activity_!C1659</f>
        <v>PAVILIONS #2105 MARINA DEL RE CA             04/28</v>
      </c>
      <c r="C1662" s="6" t="str">
        <f>Angela_2025_Chase1117_Activity_!G1659</f>
        <v>Personal - Food</v>
      </c>
      <c r="D1662" s="12">
        <f>Angela_2025_Chase1117_Activity_!D1659</f>
        <v>-604.91999999999996</v>
      </c>
    </row>
    <row r="1663" spans="1:4" x14ac:dyDescent="0.25">
      <c r="A1663" s="26">
        <f>Angela_2025_Chase1117_Activity_!B1660</f>
        <v>45776</v>
      </c>
      <c r="B1663" s="6" t="str">
        <f>Angela_2025_Chase1117_Activity_!C1660</f>
        <v>SQ *KREATION ORGANIC Marina del Re CA        04/28</v>
      </c>
      <c r="C1663" s="6" t="str">
        <f>Angela_2025_Chase1117_Activity_!G1660</f>
        <v>Personal - Food</v>
      </c>
      <c r="D1663" s="12">
        <f>Angela_2025_Chase1117_Activity_!D1660</f>
        <v>-421.3</v>
      </c>
    </row>
    <row r="1664" spans="1:4" x14ac:dyDescent="0.25">
      <c r="A1664" s="26">
        <f>Angela_2025_Chase1117_Activity_!B1661</f>
        <v>45776</v>
      </c>
      <c r="B1664" s="6" t="str">
        <f>Angela_2025_Chase1117_Activity_!C1661</f>
        <v>CVSExtraCare 80074672 800-746-7287 RI        04/28</v>
      </c>
      <c r="C1664" s="6" t="str">
        <f>Angela_2025_Chase1117_Activity_!G1661</f>
        <v>Personal - Health</v>
      </c>
      <c r="D1664" s="12">
        <f>Angela_2025_Chase1117_Activity_!D1661</f>
        <v>-5.49</v>
      </c>
    </row>
    <row r="1665" spans="1:4" x14ac:dyDescent="0.25">
      <c r="A1665" s="26">
        <f>Angela_2025_Chase1117_Activity_!B1662</f>
        <v>45776</v>
      </c>
      <c r="B1665" s="6" t="str">
        <f>Angela_2025_Chase1117_Activity_!C1662</f>
        <v>Zara.com 212-3551415 NY                      04/28</v>
      </c>
      <c r="C1665" s="6" t="str">
        <f>Angela_2025_Chase1117_Activity_!G1662</f>
        <v>Personal - Shopping</v>
      </c>
      <c r="D1665" s="12">
        <f>Angela_2025_Chase1117_Activity_!D1662</f>
        <v>-281.33999999999997</v>
      </c>
    </row>
    <row r="1666" spans="1:4" x14ac:dyDescent="0.25">
      <c r="A1666" s="26">
        <f>Angela_2025_Chase1117_Activity_!B1663</f>
        <v>45776</v>
      </c>
      <c r="B1666" s="6" t="str">
        <f>Angela_2025_Chase1117_Activity_!C1663</f>
        <v>Zara.com 212-3551415 NY                      04/29</v>
      </c>
      <c r="C1666" s="6" t="str">
        <f>Angela_2025_Chase1117_Activity_!G1663</f>
        <v>Personal - Shopping</v>
      </c>
      <c r="D1666" s="12">
        <f>Angela_2025_Chase1117_Activity_!D1663</f>
        <v>-536.30999999999995</v>
      </c>
    </row>
    <row r="1667" spans="1:4" x14ac:dyDescent="0.25">
      <c r="A1667" s="26">
        <f>Angela_2025_Chase1117_Activity_!B1664</f>
        <v>45776</v>
      </c>
      <c r="B1667" s="6" t="str">
        <f>Angela_2025_Chase1117_Activity_!C1664</f>
        <v>Online Transfer from CHK ...1168 transaction#: 24583838082</v>
      </c>
      <c r="C1667" s="6" t="str">
        <f>Angela_2025_Chase1117_Activity_!G1664</f>
        <v>Transfer from DWG Capital Group</v>
      </c>
      <c r="D1667" s="12">
        <f>Angela_2025_Chase1117_Activity_!D1664</f>
        <v>2000</v>
      </c>
    </row>
    <row r="1668" spans="1:4" x14ac:dyDescent="0.25">
      <c r="A1668" s="26">
        <f>Angela_2025_Chase1117_Activity_!B1665</f>
        <v>45776</v>
      </c>
      <c r="B1668" s="6" t="str">
        <f>Angela_2025_Chase1117_Activity_!C1665</f>
        <v>Online Transfer from CHK ...1168 transaction#: 24584054283</v>
      </c>
      <c r="C1668" s="6" t="str">
        <f>Angela_2025_Chase1117_Activity_!G1665</f>
        <v>Transfer from DWG Capital Group</v>
      </c>
      <c r="D1668" s="12">
        <f>Angela_2025_Chase1117_Activity_!D1665</f>
        <v>5000</v>
      </c>
    </row>
    <row r="1669" spans="1:4" x14ac:dyDescent="0.25">
      <c r="A1669" s="26">
        <f>Angela_2025_Chase1117_Activity_!B1666</f>
        <v>45775</v>
      </c>
      <c r="B1669" s="6" t="str">
        <f>Angela_2025_Chase1117_Activity_!C1666</f>
        <v>RAINBOW ACRES LOS ANGELES CA         418766  04/28</v>
      </c>
      <c r="C1669" s="6" t="str">
        <f>Angela_2025_Chase1117_Activity_!G1666</f>
        <v>Personal - Misc</v>
      </c>
      <c r="D1669" s="12">
        <f>Angela_2025_Chase1117_Activity_!D1666</f>
        <v>-167.73</v>
      </c>
    </row>
    <row r="1670" spans="1:4" x14ac:dyDescent="0.25">
      <c r="A1670" s="26">
        <f>Angela_2025_Chase1117_Activity_!B1667</f>
        <v>45775</v>
      </c>
      <c r="B1670" s="6" t="str">
        <f>Angela_2025_Chase1117_Activity_!C1667</f>
        <v>APPLE.COM/BILL 866-712-7753 CA               04/28</v>
      </c>
      <c r="C1670" s="6" t="str">
        <f>Angela_2025_Chase1117_Activity_!G1667</f>
        <v>Apple</v>
      </c>
      <c r="D1670" s="12">
        <f>Angela_2025_Chase1117_Activity_!D1667</f>
        <v>-5.99</v>
      </c>
    </row>
    <row r="1671" spans="1:4" x14ac:dyDescent="0.25">
      <c r="A1671" s="26">
        <f>Angela_2025_Chase1117_Activity_!B1668</f>
        <v>45775</v>
      </c>
      <c r="B1671" s="6" t="str">
        <f>Angela_2025_Chase1117_Activity_!C1668</f>
        <v>NNTCWWW.TARGET.COM 7 BROOKLYN PARK MN360813  04/27</v>
      </c>
      <c r="C1671" s="6" t="str">
        <f>Angela_2025_Chase1117_Activity_!G1668</f>
        <v>Personal - Shopping</v>
      </c>
      <c r="D1671" s="12">
        <f>Angela_2025_Chase1117_Activity_!D1668</f>
        <v>-56.55</v>
      </c>
    </row>
    <row r="1672" spans="1:4" x14ac:dyDescent="0.25">
      <c r="A1672" s="26">
        <f>Angela_2025_Chase1117_Activity_!B1669</f>
        <v>45775</v>
      </c>
      <c r="B1672" s="6" t="str">
        <f>Angela_2025_Chase1117_Activity_!C1669</f>
        <v>NNTCWWW.TARGET.COM 6 BROOKLYN PARK MN512699  04/27</v>
      </c>
      <c r="C1672" s="6" t="str">
        <f>Angela_2025_Chase1117_Activity_!G1669</f>
        <v>Personal - Shopping</v>
      </c>
      <c r="D1672" s="12">
        <f>Angela_2025_Chase1117_Activity_!D1669</f>
        <v>-20</v>
      </c>
    </row>
    <row r="1673" spans="1:4" x14ac:dyDescent="0.25">
      <c r="A1673" s="26">
        <f>Angela_2025_Chase1117_Activity_!B1670</f>
        <v>45775</v>
      </c>
      <c r="B1673" s="6" t="str">
        <f>Angela_2025_Chase1117_Activity_!C1670</f>
        <v>Amazon.com*M27L70XJ3 Amzn.com/bill WA        04/28</v>
      </c>
      <c r="C1673" s="6" t="str">
        <f>Angela_2025_Chase1117_Activity_!G1670</f>
        <v>Amazon</v>
      </c>
      <c r="D1673" s="12">
        <f>Angela_2025_Chase1117_Activity_!D1670</f>
        <v>-16.64</v>
      </c>
    </row>
    <row r="1674" spans="1:4" x14ac:dyDescent="0.25">
      <c r="A1674" s="26">
        <f>Angela_2025_Chase1117_Activity_!B1671</f>
        <v>45775</v>
      </c>
      <c r="B1674" s="6" t="str">
        <f>Angela_2025_Chase1117_Activity_!C1671</f>
        <v>Amazon.com*2N51S3BZ3 Amzn.com/bill WA        04/28</v>
      </c>
      <c r="C1674" s="6" t="str">
        <f>Angela_2025_Chase1117_Activity_!G1671</f>
        <v>Amazon</v>
      </c>
      <c r="D1674" s="12">
        <f>Angela_2025_Chase1117_Activity_!D1671</f>
        <v>-32.07</v>
      </c>
    </row>
    <row r="1675" spans="1:4" x14ac:dyDescent="0.25">
      <c r="A1675" s="26">
        <f>Angela_2025_Chase1117_Activity_!B1672</f>
        <v>45775</v>
      </c>
      <c r="B1675" s="6" t="str">
        <f>Angela_2025_Chase1117_Activity_!C1672</f>
        <v>HIDDEN TREASURES TOPANGA CA          565399  04/27</v>
      </c>
      <c r="C1675" s="6" t="str">
        <f>Angela_2025_Chase1117_Activity_!G1672</f>
        <v>Personal - Shopping</v>
      </c>
      <c r="D1675" s="12">
        <f>Angela_2025_Chase1117_Activity_!D1672</f>
        <v>-144.16</v>
      </c>
    </row>
    <row r="1676" spans="1:4" x14ac:dyDescent="0.25">
      <c r="A1676" s="26">
        <f>Angela_2025_Chase1117_Activity_!B1673</f>
        <v>45775</v>
      </c>
      <c r="B1676" s="6" t="str">
        <f>Angela_2025_Chase1117_Activity_!C1673</f>
        <v>SPIRAL STAIRCASE AT THE TOPANGA CA           04/27</v>
      </c>
      <c r="C1676" s="6" t="str">
        <f>Angela_2025_Chase1117_Activity_!G1673</f>
        <v>Personal - Shopping</v>
      </c>
      <c r="D1676" s="12">
        <f>Angela_2025_Chase1117_Activity_!D1673</f>
        <v>-47.09</v>
      </c>
    </row>
    <row r="1677" spans="1:4" x14ac:dyDescent="0.25">
      <c r="A1677" s="26">
        <f>Angela_2025_Chase1117_Activity_!B1674</f>
        <v>45775</v>
      </c>
      <c r="B1677" s="6" t="str">
        <f>Angela_2025_Chase1117_Activity_!C1674</f>
        <v>Amazon.com*5N0KV96Y3 Amzn.com/bill WA        04/27</v>
      </c>
      <c r="C1677" s="6" t="str">
        <f>Angela_2025_Chase1117_Activity_!G1674</f>
        <v>Amazon</v>
      </c>
      <c r="D1677" s="12">
        <f>Angela_2025_Chase1117_Activity_!D1674</f>
        <v>-25.75</v>
      </c>
    </row>
    <row r="1678" spans="1:4" x14ac:dyDescent="0.25">
      <c r="A1678" s="26">
        <f>Angela_2025_Chase1117_Activity_!B1675</f>
        <v>45775</v>
      </c>
      <c r="B1678" s="6" t="str">
        <f>Angela_2025_Chase1117_Activity_!C1675</f>
        <v>SPACEWEATHERNEWS.COM SPACEWEATHERN CO        04/26</v>
      </c>
      <c r="C1678" s="6" t="str">
        <f>Angela_2025_Chase1117_Activity_!G1675</f>
        <v>Personal - Subscription</v>
      </c>
      <c r="D1678" s="12">
        <f>Angela_2025_Chase1117_Activity_!D1675</f>
        <v>-5.99</v>
      </c>
    </row>
    <row r="1679" spans="1:4" x14ac:dyDescent="0.25">
      <c r="A1679" s="26">
        <f>Angela_2025_Chase1117_Activity_!B1676</f>
        <v>45775</v>
      </c>
      <c r="B1679" s="6" t="str">
        <f>Angela_2025_Chase1117_Activity_!C1676</f>
        <v>GRANDVIEW CLEANERS LOS ANGELES CA            04/26</v>
      </c>
      <c r="C1679" s="6" t="str">
        <f>Angela_2025_Chase1117_Activity_!G1676</f>
        <v>Personal - Clothing</v>
      </c>
      <c r="D1679" s="12">
        <f>Angela_2025_Chase1117_Activity_!D1676</f>
        <v>-596.02</v>
      </c>
    </row>
    <row r="1680" spans="1:4" x14ac:dyDescent="0.25">
      <c r="A1680" s="26">
        <f>Angela_2025_Chase1117_Activity_!B1677</f>
        <v>45775</v>
      </c>
      <c r="B1680" s="6" t="str">
        <f>Angela_2025_Chase1117_Activity_!C1677</f>
        <v>Prime Video Channels amzn.com/bill WA        04/26</v>
      </c>
      <c r="C1680" s="6" t="str">
        <f>Angela_2025_Chase1117_Activity_!G1677</f>
        <v>Amazon</v>
      </c>
      <c r="D1680" s="12">
        <f>Angela_2025_Chase1117_Activity_!D1677</f>
        <v>-6.99</v>
      </c>
    </row>
    <row r="1681" spans="1:4" x14ac:dyDescent="0.25">
      <c r="A1681" s="26">
        <f>Angela_2025_Chase1117_Activity_!B1678</f>
        <v>45775</v>
      </c>
      <c r="B1681" s="6" t="str">
        <f>Angela_2025_Chase1117_Activity_!C1678</f>
        <v>AMAZON MKTPL*WG55D2S Amzn.com/bill WA        04/26</v>
      </c>
      <c r="C1681" s="6" t="str">
        <f>Angela_2025_Chase1117_Activity_!G1678</f>
        <v>Amazon</v>
      </c>
      <c r="D1681" s="12">
        <f>Angela_2025_Chase1117_Activity_!D1678</f>
        <v>-87.78</v>
      </c>
    </row>
    <row r="1682" spans="1:4" x14ac:dyDescent="0.25">
      <c r="A1682" s="26">
        <f>Angela_2025_Chase1117_Activity_!B1679</f>
        <v>45775</v>
      </c>
      <c r="B1682" s="6" t="str">
        <f>Angela_2025_Chase1117_Activity_!C1679</f>
        <v>Zelle payment to Britt Magadini JPM99b662mzv</v>
      </c>
      <c r="C1682" s="6" t="str">
        <f>Angela_2025_Chase1117_Activity_!G1679</f>
        <v>Zelle to Britt Magadini</v>
      </c>
      <c r="D1682" s="12">
        <f>Angela_2025_Chase1117_Activity_!D1679</f>
        <v>-300</v>
      </c>
    </row>
    <row r="1683" spans="1:4" x14ac:dyDescent="0.25">
      <c r="A1683" s="26">
        <f>Angela_2025_Chase1117_Activity_!B1680</f>
        <v>45775</v>
      </c>
      <c r="B1683" s="6" t="str">
        <f>Angela_2025_Chase1117_Activity_!C1680</f>
        <v>HANDY J CAR WASH LOS ANGELES CA              04/25</v>
      </c>
      <c r="C1683" s="6" t="str">
        <f>Angela_2025_Chase1117_Activity_!G1680</f>
        <v>Personal - Car</v>
      </c>
      <c r="D1683" s="12">
        <f>Angela_2025_Chase1117_Activity_!D1680</f>
        <v>-31.34</v>
      </c>
    </row>
    <row r="1684" spans="1:4" x14ac:dyDescent="0.25">
      <c r="A1684" s="26">
        <f>Angela_2025_Chase1117_Activity_!B1681</f>
        <v>45775</v>
      </c>
      <c r="B1684" s="6" t="str">
        <f>Angela_2025_Chase1117_Activity_!C1681</f>
        <v>AMAZON MKTPL*N253U6I Amzn.com/bill WA        04/25</v>
      </c>
      <c r="C1684" s="6" t="str">
        <f>Angela_2025_Chase1117_Activity_!G1681</f>
        <v>Amazon</v>
      </c>
      <c r="D1684" s="12">
        <f>Angela_2025_Chase1117_Activity_!D1681</f>
        <v>-163.51</v>
      </c>
    </row>
    <row r="1685" spans="1:4" x14ac:dyDescent="0.25">
      <c r="A1685" s="26">
        <f>Angela_2025_Chase1117_Activity_!B1682</f>
        <v>45772</v>
      </c>
      <c r="B1685" s="6" t="str">
        <f>Angela_2025_Chase1117_Activity_!C1682</f>
        <v>LUKE UNFILTERED WEARECHANGE.O FL             04/25</v>
      </c>
      <c r="C1685" s="6" t="str">
        <f>Angela_2025_Chase1117_Activity_!G1682</f>
        <v>Personal - Subscription</v>
      </c>
      <c r="D1685" s="12">
        <f>Angela_2025_Chase1117_Activity_!D1682</f>
        <v>-15</v>
      </c>
    </row>
    <row r="1686" spans="1:4" x14ac:dyDescent="0.25">
      <c r="A1686" s="26">
        <f>Angela_2025_Chase1117_Activity_!B1683</f>
        <v>45772</v>
      </c>
      <c r="B1686" s="6" t="str">
        <f>Angela_2025_Chase1117_Activity_!C1683</f>
        <v>AMAZON PRIME*Q00KQ9D Amzn.com/bill WA        04/24</v>
      </c>
      <c r="C1686" s="6" t="str">
        <f>Angela_2025_Chase1117_Activity_!G1683</f>
        <v>Amazon</v>
      </c>
      <c r="D1686" s="12">
        <f>Angela_2025_Chase1117_Activity_!D1683</f>
        <v>-16.45</v>
      </c>
    </row>
    <row r="1687" spans="1:4" x14ac:dyDescent="0.25">
      <c r="A1687" s="26">
        <f>Angela_2025_Chase1117_Activity_!B1684</f>
        <v>45772</v>
      </c>
      <c r="B1687" s="6" t="str">
        <f>Angela_2025_Chase1117_Activity_!C1684</f>
        <v>AMAZON MKTPL*KV2S04Q Amzn.com/bill WA        04/25</v>
      </c>
      <c r="C1687" s="6" t="str">
        <f>Angela_2025_Chase1117_Activity_!G1684</f>
        <v>Amazon</v>
      </c>
      <c r="D1687" s="12">
        <f>Angela_2025_Chase1117_Activity_!D1684</f>
        <v>-112.84</v>
      </c>
    </row>
    <row r="1688" spans="1:4" x14ac:dyDescent="0.25">
      <c r="A1688" s="26">
        <f>Angela_2025_Chase1117_Activity_!B1685</f>
        <v>45772</v>
      </c>
      <c r="B1688" s="6" t="str">
        <f>Angela_2025_Chase1117_Activity_!C1685</f>
        <v>ATT*BILL PAYMENT 800-288-2020 TX             04/24</v>
      </c>
      <c r="C1688" s="6" t="str">
        <f>Angela_2025_Chase1117_Activity_!G1685</f>
        <v>AT&amp;T</v>
      </c>
      <c r="D1688" s="12">
        <f>Angela_2025_Chase1117_Activity_!D1685</f>
        <v>-597.12</v>
      </c>
    </row>
    <row r="1689" spans="1:4" x14ac:dyDescent="0.25">
      <c r="A1689" s="26">
        <f>Angela_2025_Chase1117_Activity_!B1686</f>
        <v>45771</v>
      </c>
      <c r="B1689" s="6" t="str">
        <f>Angela_2025_Chase1117_Activity_!C1686</f>
        <v>AMAZON MKTPL*AA6MS6Z Amzn.com/bill WA        04/24</v>
      </c>
      <c r="C1689" s="6" t="str">
        <f>Angela_2025_Chase1117_Activity_!G1686</f>
        <v>Amazon</v>
      </c>
      <c r="D1689" s="12">
        <f>Angela_2025_Chase1117_Activity_!D1686</f>
        <v>-30.55</v>
      </c>
    </row>
    <row r="1690" spans="1:4" x14ac:dyDescent="0.25">
      <c r="A1690" s="26">
        <f>Angela_2025_Chase1117_Activity_!B1687</f>
        <v>45771</v>
      </c>
      <c r="B1690" s="6" t="str">
        <f>Angela_2025_Chase1117_Activity_!C1687</f>
        <v>Amazon.com*A235712W3 Amzn.com/bill WA        04/24</v>
      </c>
      <c r="C1690" s="6" t="str">
        <f>Angela_2025_Chase1117_Activity_!G1687</f>
        <v>Amazon</v>
      </c>
      <c r="D1690" s="12">
        <f>Angela_2025_Chase1117_Activity_!D1687</f>
        <v>-13.66</v>
      </c>
    </row>
    <row r="1691" spans="1:4" x14ac:dyDescent="0.25">
      <c r="A1691" s="26">
        <f>Angela_2025_Chase1117_Activity_!B1688</f>
        <v>45771</v>
      </c>
      <c r="B1691" s="6" t="str">
        <f>Angela_2025_Chase1117_Activity_!C1688</f>
        <v>THE UPS STORE 4398 310-9156580 CA            04/23</v>
      </c>
      <c r="C1691" s="6" t="str">
        <f>Angela_2025_Chase1117_Activity_!G1688</f>
        <v>Shipping</v>
      </c>
      <c r="D1691" s="12">
        <f>Angela_2025_Chase1117_Activity_!D1688</f>
        <v>-37.97</v>
      </c>
    </row>
    <row r="1692" spans="1:4" x14ac:dyDescent="0.25">
      <c r="A1692" s="26">
        <f>Angela_2025_Chase1117_Activity_!B1689</f>
        <v>45771</v>
      </c>
      <c r="B1692" s="6" t="str">
        <f>Angela_2025_Chase1117_Activity_!C1689</f>
        <v>LADOT METER PARKING LOS ANGELES CA           04/23</v>
      </c>
      <c r="C1692" s="6" t="str">
        <f>Angela_2025_Chase1117_Activity_!G1689</f>
        <v>Personal - Car</v>
      </c>
      <c r="D1692" s="12">
        <f>Angela_2025_Chase1117_Activity_!D1689</f>
        <v>-1</v>
      </c>
    </row>
    <row r="1693" spans="1:4" x14ac:dyDescent="0.25">
      <c r="A1693" s="26">
        <f>Angela_2025_Chase1117_Activity_!B1690</f>
        <v>45771</v>
      </c>
      <c r="B1693" s="6" t="str">
        <f>Angela_2025_Chase1117_Activity_!C1690</f>
        <v>SQ *BERRY FLASH PHOTO Los Angeles CA         04/23</v>
      </c>
      <c r="C1693" s="6" t="str">
        <f>Angela_2025_Chase1117_Activity_!G1690</f>
        <v>Personal - Shopping</v>
      </c>
      <c r="D1693" s="12">
        <f>Angela_2025_Chase1117_Activity_!D1690</f>
        <v>-36.43</v>
      </c>
    </row>
    <row r="1694" spans="1:4" x14ac:dyDescent="0.25">
      <c r="A1694" s="26">
        <f>Angela_2025_Chase1117_Activity_!B1691</f>
        <v>45770</v>
      </c>
      <c r="B1694" s="6" t="str">
        <f>Angela_2025_Chase1117_Activity_!C1691</f>
        <v>CVS/PHARMACY #09493 MAR VISTA CA     057999  04/23</v>
      </c>
      <c r="C1694" s="6" t="str">
        <f>Angela_2025_Chase1117_Activity_!G1691</f>
        <v>Personal - Health</v>
      </c>
      <c r="D1694" s="12">
        <f>Angela_2025_Chase1117_Activity_!D1691</f>
        <v>-87.76</v>
      </c>
    </row>
    <row r="1695" spans="1:4" x14ac:dyDescent="0.25">
      <c r="A1695" s="26">
        <f>Angela_2025_Chase1117_Activity_!B1692</f>
        <v>45770</v>
      </c>
      <c r="B1695" s="6" t="str">
        <f>Angela_2025_Chase1117_Activity_!C1692</f>
        <v>CVS/PHARMACY #09493 MAR VISTA CA     049330  04/23</v>
      </c>
      <c r="C1695" s="6" t="str">
        <f>Angela_2025_Chase1117_Activity_!G1692</f>
        <v>Personal - Health</v>
      </c>
      <c r="D1695" s="12">
        <f>Angela_2025_Chase1117_Activity_!D1692</f>
        <v>-61.92</v>
      </c>
    </row>
    <row r="1696" spans="1:4" x14ac:dyDescent="0.25">
      <c r="A1696" s="26">
        <f>Angela_2025_Chase1117_Activity_!B1693</f>
        <v>45770</v>
      </c>
      <c r="B1696" s="6" t="str">
        <f>Angela_2025_Chase1117_Activity_!C1693</f>
        <v>UBER   *TRIP HELP.UB SAN FRANCISCO CA019345  04/23</v>
      </c>
      <c r="C1696" s="6" t="str">
        <f>Angela_2025_Chase1117_Activity_!G1693</f>
        <v>Personal - Uber</v>
      </c>
      <c r="D1696" s="12">
        <f>Angela_2025_Chase1117_Activity_!D1693</f>
        <v>-6</v>
      </c>
    </row>
    <row r="1697" spans="1:4" x14ac:dyDescent="0.25">
      <c r="A1697" s="26">
        <f>Angela_2025_Chase1117_Activity_!B1694</f>
        <v>45770</v>
      </c>
      <c r="B1697" s="6" t="str">
        <f>Angela_2025_Chase1117_Activity_!C1694</f>
        <v>APPLE COM BILL CUPERTINO CA          326998  04/23</v>
      </c>
      <c r="C1697" s="6" t="str">
        <f>Angela_2025_Chase1117_Activity_!G1694</f>
        <v>Apple</v>
      </c>
      <c r="D1697" s="12">
        <f>Angela_2025_Chase1117_Activity_!D1694</f>
        <v>-10.99</v>
      </c>
    </row>
    <row r="1698" spans="1:4" x14ac:dyDescent="0.25">
      <c r="A1698" s="26">
        <f>Angela_2025_Chase1117_Activity_!B1695</f>
        <v>45770</v>
      </c>
      <c r="B1698" s="6" t="str">
        <f>Angela_2025_Chase1117_Activity_!C1695</f>
        <v>AMAZON MKTPL*8B64W1O Amzn.com/bill WA        04/23</v>
      </c>
      <c r="C1698" s="6" t="str">
        <f>Angela_2025_Chase1117_Activity_!G1695</f>
        <v>Amazon</v>
      </c>
      <c r="D1698" s="12">
        <f>Angela_2025_Chase1117_Activity_!D1695</f>
        <v>-42.76</v>
      </c>
    </row>
    <row r="1699" spans="1:4" x14ac:dyDescent="0.25">
      <c r="A1699" s="26">
        <f>Angela_2025_Chase1117_Activity_!B1696</f>
        <v>45770</v>
      </c>
      <c r="B1699" s="6" t="str">
        <f>Angela_2025_Chase1117_Activity_!C1696</f>
        <v>AMAZON MKTPL*BI8MF0O Amzn.com/bill WA        04/22</v>
      </c>
      <c r="C1699" s="6" t="str">
        <f>Angela_2025_Chase1117_Activity_!G1696</f>
        <v>Amazon</v>
      </c>
      <c r="D1699" s="12">
        <f>Angela_2025_Chase1117_Activity_!D1696</f>
        <v>-120.71</v>
      </c>
    </row>
    <row r="1700" spans="1:4" x14ac:dyDescent="0.25">
      <c r="A1700" s="26">
        <f>Angela_2025_Chase1117_Activity_!B1697</f>
        <v>45770</v>
      </c>
      <c r="B1700" s="6" t="str">
        <f>Angela_2025_Chase1117_Activity_!C1697</f>
        <v>PALM SPRINGS TENNIS HO LAKE FOREST CA        04/21</v>
      </c>
      <c r="C1700" s="6" t="str">
        <f>Angela_2025_Chase1117_Activity_!G1697</f>
        <v>Palm Springs</v>
      </c>
      <c r="D1700" s="12">
        <f>Angela_2025_Chase1117_Activity_!D1697</f>
        <v>-231.5</v>
      </c>
    </row>
    <row r="1701" spans="1:4" x14ac:dyDescent="0.25">
      <c r="A1701" s="26">
        <f>Angela_2025_Chase1117_Activity_!B1698</f>
        <v>45770</v>
      </c>
      <c r="B1701" s="6" t="str">
        <f>Angela_2025_Chase1117_Activity_!C1698</f>
        <v>CA DMV FEE 678-7315516 TN                    04/20</v>
      </c>
      <c r="C1701" s="6" t="str">
        <f>Angela_2025_Chase1117_Activity_!G1698</f>
        <v>Personal - Car</v>
      </c>
      <c r="D1701" s="12">
        <f>Angela_2025_Chase1117_Activity_!D1698</f>
        <v>-15.21</v>
      </c>
    </row>
    <row r="1702" spans="1:4" x14ac:dyDescent="0.25">
      <c r="A1702" s="26">
        <f>Angela_2025_Chase1117_Activity_!B1699</f>
        <v>45770</v>
      </c>
      <c r="B1702" s="6" t="str">
        <f>Angela_2025_Chase1117_Activity_!C1699</f>
        <v>Online Transfer from CHK ...1168 transaction#: 24514397533</v>
      </c>
      <c r="C1702" s="6" t="str">
        <f>Angela_2025_Chase1117_Activity_!G1699</f>
        <v>Transfer from DWG Capital Group</v>
      </c>
      <c r="D1702" s="12">
        <f>Angela_2025_Chase1117_Activity_!D1699</f>
        <v>5000</v>
      </c>
    </row>
    <row r="1703" spans="1:4" x14ac:dyDescent="0.25">
      <c r="A1703" s="26">
        <f>Angela_2025_Chase1117_Activity_!B1700</f>
        <v>45769</v>
      </c>
      <c r="B1703" s="6" t="str">
        <f>Angela_2025_Chase1117_Activity_!C1700</f>
        <v>CEDARS SINAI C O MCKE 800-303-3044 CA        04/21</v>
      </c>
      <c r="C1703" s="6" t="str">
        <f>Angela_2025_Chase1117_Activity_!G1700</f>
        <v>Personal - Health</v>
      </c>
      <c r="D1703" s="12">
        <f>Angela_2025_Chase1117_Activity_!D1700</f>
        <v>-94.69</v>
      </c>
    </row>
    <row r="1704" spans="1:4" x14ac:dyDescent="0.25">
      <c r="A1704" s="26">
        <f>Angela_2025_Chase1117_Activity_!B1701</f>
        <v>45769</v>
      </c>
      <c r="B1704" s="6" t="str">
        <f>Angela_2025_Chase1117_Activity_!C1701</f>
        <v>GRANADA THEATER TICK WWW.GRANADATH TX        04/21</v>
      </c>
      <c r="C1704" s="6" t="str">
        <f>Angela_2025_Chase1117_Activity_!G1701</f>
        <v>Personal - Entertainment</v>
      </c>
      <c r="D1704" s="12">
        <f>Angela_2025_Chase1117_Activity_!D1701</f>
        <v>-259.64</v>
      </c>
    </row>
    <row r="1705" spans="1:4" x14ac:dyDescent="0.25">
      <c r="A1705" s="26">
        <f>Angela_2025_Chase1117_Activity_!B1702</f>
        <v>45769</v>
      </c>
      <c r="B1705" s="6" t="str">
        <f>Angela_2025_Chase1117_Activity_!C1702</f>
        <v>TM *KONTRAVOID 800-653-8000 CA               04/22</v>
      </c>
      <c r="C1705" s="6" t="str">
        <f>Angela_2025_Chase1117_Activity_!G1702</f>
        <v>Personal - Entertainment</v>
      </c>
      <c r="D1705" s="12">
        <f>Angela_2025_Chase1117_Activity_!D1702</f>
        <v>-403</v>
      </c>
    </row>
    <row r="1706" spans="1:4" x14ac:dyDescent="0.25">
      <c r="A1706" s="26">
        <f>Angela_2025_Chase1117_Activity_!B1703</f>
        <v>45769</v>
      </c>
      <c r="B1706" s="6" t="str">
        <f>Angela_2025_Chase1117_Activity_!C1703</f>
        <v>GRANADA THEATER TICK WWW.GRANADATH TX        04/21</v>
      </c>
      <c r="C1706" s="6" t="str">
        <f>Angela_2025_Chase1117_Activity_!G1703</f>
        <v>Personal - Entertainment</v>
      </c>
      <c r="D1706" s="12">
        <f>Angela_2025_Chase1117_Activity_!D1703</f>
        <v>-389.46</v>
      </c>
    </row>
    <row r="1707" spans="1:4" x14ac:dyDescent="0.25">
      <c r="A1707" s="26">
        <f>Angela_2025_Chase1117_Activity_!B1704</f>
        <v>45769</v>
      </c>
      <c r="B1707" s="6" t="str">
        <f>Angela_2025_Chase1117_Activity_!C1704</f>
        <v>GRANADA THEATER TICK WWW.GRANADATH TX        04/21</v>
      </c>
      <c r="C1707" s="6" t="str">
        <f>Angela_2025_Chase1117_Activity_!G1704</f>
        <v>Personal - Entertainment</v>
      </c>
      <c r="D1707" s="12">
        <f>Angela_2025_Chase1117_Activity_!D1704</f>
        <v>-286.64999999999998</v>
      </c>
    </row>
    <row r="1708" spans="1:4" x14ac:dyDescent="0.25">
      <c r="A1708" s="26">
        <f>Angela_2025_Chase1117_Activity_!B1705</f>
        <v>45769</v>
      </c>
      <c r="B1708" s="6" t="str">
        <f>Angela_2025_Chase1117_Activity_!C1705</f>
        <v>SQ *KREATION ORGANIC Marina del Re CA        04/21</v>
      </c>
      <c r="C1708" s="6" t="str">
        <f>Angela_2025_Chase1117_Activity_!G1705</f>
        <v>Personal - Food</v>
      </c>
      <c r="D1708" s="12">
        <f>Angela_2025_Chase1117_Activity_!D1705</f>
        <v>-396.9</v>
      </c>
    </row>
    <row r="1709" spans="1:4" x14ac:dyDescent="0.25">
      <c r="A1709" s="26">
        <f>Angela_2025_Chase1117_Activity_!B1706</f>
        <v>45769</v>
      </c>
      <c r="B1709" s="6" t="str">
        <f>Angela_2025_Chase1117_Activity_!C1706</f>
        <v>Zara.com New York NY                         04/22</v>
      </c>
      <c r="C1709" s="6" t="str">
        <f>Angela_2025_Chase1117_Activity_!G1706</f>
        <v>Personal - Shopping</v>
      </c>
      <c r="D1709" s="12">
        <f>Angela_2025_Chase1117_Activity_!D1706</f>
        <v>-683.29</v>
      </c>
    </row>
    <row r="1710" spans="1:4" x14ac:dyDescent="0.25">
      <c r="A1710" s="26">
        <f>Angela_2025_Chase1117_Activity_!B1707</f>
        <v>45768</v>
      </c>
      <c r="B1710" s="6" t="str">
        <f>Angela_2025_Chase1117_Activity_!C1707</f>
        <v>FOREIGN EXCHANGE RATE ADJUSTMENT FEE         04/18BA46 PRON</v>
      </c>
      <c r="C1710" s="6" t="str">
        <f>Angela_2025_Chase1117_Activity_!G1707</f>
        <v>Personal Travel - Italy</v>
      </c>
      <c r="D1710" s="12">
        <f>Angela_2025_Chase1117_Activity_!D1707</f>
        <v>-0.53</v>
      </c>
    </row>
    <row r="1711" spans="1:4" x14ac:dyDescent="0.25">
      <c r="A1711" s="26">
        <f>Angela_2025_Chase1117_Activity_!B1708</f>
        <v>45768</v>
      </c>
      <c r="B1711" s="6" t="str">
        <f>Angela_2025_Chase1117_Activity_!C1708</f>
        <v>FOREIGN EXCHANGE RATE ADJUSTMENT FEE         04/18BASILICA</v>
      </c>
      <c r="C1711" s="6" t="str">
        <f>Angela_2025_Chase1117_Activity_!G1708</f>
        <v>Personal Travel - Italy</v>
      </c>
      <c r="D1711" s="12">
        <f>Angela_2025_Chase1117_Activity_!D1708</f>
        <v>-2.4900000000000002</v>
      </c>
    </row>
    <row r="1712" spans="1:4" x14ac:dyDescent="0.25">
      <c r="A1712" s="26">
        <f>Angela_2025_Chase1117_Activity_!B1709</f>
        <v>45768</v>
      </c>
      <c r="B1712" s="6" t="str">
        <f>Angela_2025_Chase1117_Activity_!C1709</f>
        <v>WITHDRAWAL 04/21</v>
      </c>
      <c r="C1712" s="6" t="str">
        <f>Angela_2025_Chase1117_Activity_!G1709</f>
        <v>Withdrawal</v>
      </c>
      <c r="D1712" s="12">
        <f>Angela_2025_Chase1117_Activity_!D1709</f>
        <v>-2000</v>
      </c>
    </row>
    <row r="1713" spans="1:4" x14ac:dyDescent="0.25">
      <c r="A1713" s="26">
        <f>Angela_2025_Chase1117_Activity_!B1710</f>
        <v>45768</v>
      </c>
      <c r="B1713" s="6" t="str">
        <f>Angela_2025_Chase1117_Activity_!C1710</f>
        <v>UBER   * EATS PENDIN SAN FRANCISCO CA352062  04/20</v>
      </c>
      <c r="C1713" s="6" t="str">
        <f>Angela_2025_Chase1117_Activity_!G1710</f>
        <v>Uber Eats</v>
      </c>
      <c r="D1713" s="12">
        <f>Angela_2025_Chase1117_Activity_!D1710</f>
        <v>-89.04</v>
      </c>
    </row>
    <row r="1714" spans="1:4" x14ac:dyDescent="0.25">
      <c r="A1714" s="26">
        <f>Angela_2025_Chase1117_Activity_!B1711</f>
        <v>45768</v>
      </c>
      <c r="B1714" s="6" t="str">
        <f>Angela_2025_Chase1117_Activity_!C1711</f>
        <v>Online Transfer to CHK ...6975 transaction#: 24483927545 04/21</v>
      </c>
      <c r="C1714" s="6" t="str">
        <f>Angela_2025_Chase1117_Activity_!G1711</f>
        <v>Transfer to Ava</v>
      </c>
      <c r="D1714" s="12">
        <f>Angela_2025_Chase1117_Activity_!D1711</f>
        <v>-1000</v>
      </c>
    </row>
    <row r="1715" spans="1:4" x14ac:dyDescent="0.25">
      <c r="A1715" s="26">
        <f>Angela_2025_Chase1117_Activity_!B1712</f>
        <v>45768</v>
      </c>
      <c r="B1715" s="6" t="str">
        <f>Angela_2025_Chase1117_Activity_!C1712</f>
        <v>STATE OF CALIF DMV INT 800-7770133 CA        04/20</v>
      </c>
      <c r="C1715" s="6" t="str">
        <f>Angela_2025_Chase1117_Activity_!G1712</f>
        <v>Personal - Car</v>
      </c>
      <c r="D1715" s="12">
        <f>Angela_2025_Chase1117_Activity_!D1712</f>
        <v>-780</v>
      </c>
    </row>
    <row r="1716" spans="1:4" x14ac:dyDescent="0.25">
      <c r="A1716" s="26">
        <f>Angela_2025_Chase1117_Activity_!B1713</f>
        <v>45768</v>
      </c>
      <c r="B1716" s="6" t="str">
        <f>Angela_2025_Chase1117_Activity_!C1713</f>
        <v>UBER   * PENDING SAN FRANCISCO CA    014374  04/19</v>
      </c>
      <c r="C1716" s="6" t="str">
        <f>Angela_2025_Chase1117_Activity_!G1713</f>
        <v>Personal - Uber</v>
      </c>
      <c r="D1716" s="12">
        <f>Angela_2025_Chase1117_Activity_!D1713</f>
        <v>-20.91</v>
      </c>
    </row>
    <row r="1717" spans="1:4" x14ac:dyDescent="0.25">
      <c r="A1717" s="26">
        <f>Angela_2025_Chase1117_Activity_!B1714</f>
        <v>45768</v>
      </c>
      <c r="B1717" s="6" t="str">
        <f>Angela_2025_Chase1117_Activity_!C1714</f>
        <v>NEXTLINK BROADBAND 855-6985465 TX            04/20</v>
      </c>
      <c r="C1717" s="6" t="str">
        <f>Angela_2025_Chase1117_Activity_!G1714</f>
        <v>Personal - House Bills</v>
      </c>
      <c r="D1717" s="12">
        <f>Angela_2025_Chase1117_Activity_!D1714</f>
        <v>-149.96</v>
      </c>
    </row>
    <row r="1718" spans="1:4" x14ac:dyDescent="0.25">
      <c r="A1718" s="26">
        <f>Angela_2025_Chase1117_Activity_!B1715</f>
        <v>45768</v>
      </c>
      <c r="B1718" s="6" t="str">
        <f>Angela_2025_Chase1117_Activity_!C1715</f>
        <v>GELSON'S MARKET #29 SANTA MONICA CA          04/19 Purchase $118.36 Cash Back $100.00</v>
      </c>
      <c r="C1718" s="6" t="str">
        <f>Angela_2025_Chase1117_Activity_!G1715</f>
        <v>Personal - Food</v>
      </c>
      <c r="D1718" s="12">
        <f>Angela_2025_Chase1117_Activity_!D1715</f>
        <v>-218.36</v>
      </c>
    </row>
    <row r="1719" spans="1:4" x14ac:dyDescent="0.25">
      <c r="A1719" s="26">
        <f>Angela_2025_Chase1117_Activity_!B1716</f>
        <v>45768</v>
      </c>
      <c r="B1719" s="6" t="str">
        <f>Angela_2025_Chase1117_Activity_!C1716</f>
        <v>TST* CAFE GRATITUDE - V VENICE CA            04/20</v>
      </c>
      <c r="C1719" s="6" t="str">
        <f>Angela_2025_Chase1117_Activity_!G1716</f>
        <v>Personal - Food</v>
      </c>
      <c r="D1719" s="12">
        <f>Angela_2025_Chase1117_Activity_!D1716</f>
        <v>-190.13</v>
      </c>
    </row>
    <row r="1720" spans="1:4" x14ac:dyDescent="0.25">
      <c r="A1720" s="26">
        <f>Angela_2025_Chase1117_Activity_!B1717</f>
        <v>45768</v>
      </c>
      <c r="B1720" s="6" t="str">
        <f>Angela_2025_Chase1117_Activity_!C1717</f>
        <v>UBER   *TRIP HELP.UB SAN FRANCISCO CA352297  04/19</v>
      </c>
      <c r="C1720" s="6" t="str">
        <f>Angela_2025_Chase1117_Activity_!G1717</f>
        <v>Personal - Uber</v>
      </c>
      <c r="D1720" s="12">
        <f>Angela_2025_Chase1117_Activity_!D1717</f>
        <v>-3</v>
      </c>
    </row>
    <row r="1721" spans="1:4" x14ac:dyDescent="0.25">
      <c r="A1721" s="26">
        <f>Angela_2025_Chase1117_Activity_!B1718</f>
        <v>45768</v>
      </c>
      <c r="B1721" s="6" t="str">
        <f>Angela_2025_Chase1117_Activity_!C1718</f>
        <v>UBER   * PENDING SAN FRANCISCO CA    022707  04/19</v>
      </c>
      <c r="C1721" s="6" t="str">
        <f>Angela_2025_Chase1117_Activity_!G1718</f>
        <v>Personal - Uber</v>
      </c>
      <c r="D1721" s="12">
        <f>Angela_2025_Chase1117_Activity_!D1718</f>
        <v>-22.96</v>
      </c>
    </row>
    <row r="1722" spans="1:4" x14ac:dyDescent="0.25">
      <c r="A1722" s="26">
        <f>Angela_2025_Chase1117_Activity_!B1719</f>
        <v>45768</v>
      </c>
      <c r="B1722" s="6" t="str">
        <f>Angela_2025_Chase1117_Activity_!C1719</f>
        <v>UBER   * PENDING SAN FRANCISCO CA    357596  04/18</v>
      </c>
      <c r="C1722" s="6" t="str">
        <f>Angela_2025_Chase1117_Activity_!G1719</f>
        <v>Personal - Uber</v>
      </c>
      <c r="D1722" s="12">
        <f>Angela_2025_Chase1117_Activity_!D1719</f>
        <v>-30.25</v>
      </c>
    </row>
    <row r="1723" spans="1:4" x14ac:dyDescent="0.25">
      <c r="A1723" s="26">
        <f>Angela_2025_Chase1117_Activity_!B1720</f>
        <v>45768</v>
      </c>
      <c r="B1723" s="6" t="str">
        <f>Angela_2025_Chase1117_Activity_!C1720</f>
        <v>AMAZON MKTPL*XS3YC3G Amzn.com/bill WA        04/19</v>
      </c>
      <c r="C1723" s="6" t="str">
        <f>Angela_2025_Chase1117_Activity_!G1720</f>
        <v>Amazon</v>
      </c>
      <c r="D1723" s="12">
        <f>Angela_2025_Chase1117_Activity_!D1720</f>
        <v>-7.67</v>
      </c>
    </row>
    <row r="1724" spans="1:4" x14ac:dyDescent="0.25">
      <c r="A1724" s="26">
        <f>Angela_2025_Chase1117_Activity_!B1721</f>
        <v>45768</v>
      </c>
      <c r="B1724" s="6" t="str">
        <f>Angela_2025_Chase1117_Activity_!C1721</f>
        <v>BASILICA SANTA MARIA IN ROMA                 04/18 Euro       73.00 X 1.141096 (EXCHG RTE)</v>
      </c>
      <c r="C1724" s="6" t="str">
        <f>Angela_2025_Chase1117_Activity_!G1721</f>
        <v>Personal Travel - Italy</v>
      </c>
      <c r="D1724" s="12">
        <f>Angela_2025_Chase1117_Activity_!D1721</f>
        <v>-83.3</v>
      </c>
    </row>
    <row r="1725" spans="1:4" x14ac:dyDescent="0.25">
      <c r="A1725" s="26">
        <f>Angela_2025_Chase1117_Activity_!B1722</f>
        <v>45768</v>
      </c>
      <c r="B1725" s="6" t="str">
        <f>Angela_2025_Chase1117_Activity_!C1722</f>
        <v>BA46 PRONTO TAXI 6645 ROMA                   04/18 Euro       15.50 X 1.141290 (EXCHG RTE)</v>
      </c>
      <c r="C1725" s="6" t="str">
        <f>Angela_2025_Chase1117_Activity_!G1722</f>
        <v>Personal Travel - Italy</v>
      </c>
      <c r="D1725" s="12">
        <f>Angela_2025_Chase1117_Activity_!D1722</f>
        <v>-17.690000000000001</v>
      </c>
    </row>
    <row r="1726" spans="1:4" x14ac:dyDescent="0.25">
      <c r="A1726" s="26">
        <f>Angela_2025_Chase1117_Activity_!B1723</f>
        <v>45768</v>
      </c>
      <c r="B1726" s="6" t="str">
        <f>Angela_2025_Chase1117_Activity_!C1723</f>
        <v>Online Transfer from CHK ...1168 transaction#: 24490845191</v>
      </c>
      <c r="C1726" s="6" t="str">
        <f>Angela_2025_Chase1117_Activity_!G1723</f>
        <v>Transfer from DWG Capital Group</v>
      </c>
      <c r="D1726" s="12">
        <f>Angela_2025_Chase1117_Activity_!D1723</f>
        <v>2000</v>
      </c>
    </row>
    <row r="1727" spans="1:4" x14ac:dyDescent="0.25">
      <c r="A1727" s="26">
        <f>Angela_2025_Chase1117_Activity_!B1724</f>
        <v>45765</v>
      </c>
      <c r="B1727" s="6" t="str">
        <f>Angela_2025_Chase1117_Activity_!C1724</f>
        <v>NON-CHASE ATM FEE-WITH</v>
      </c>
      <c r="C1727" s="6" t="str">
        <f>Angela_2025_Chase1117_Activity_!G1724</f>
        <v>Bank Fees</v>
      </c>
      <c r="D1727" s="12">
        <f>Angela_2025_Chase1117_Activity_!D1724</f>
        <v>-5</v>
      </c>
    </row>
    <row r="1728" spans="1:4" x14ac:dyDescent="0.25">
      <c r="A1728" s="26">
        <f>Angela_2025_Chase1117_Activity_!B1725</f>
        <v>45765</v>
      </c>
      <c r="B1728" s="6" t="str">
        <f>Angela_2025_Chase1117_Activity_!C1725</f>
        <v>FOREIGN EXCHANGE RATE ADJUSTMENT FEE 318944  04/18PZZA VITT</v>
      </c>
      <c r="C1728" s="6" t="str">
        <f>Angela_2025_Chase1117_Activity_!G1725</f>
        <v>Personal Travel - Italy</v>
      </c>
      <c r="D1728" s="12">
        <f>Angela_2025_Chase1117_Activity_!D1725</f>
        <v>-10.27</v>
      </c>
    </row>
    <row r="1729" spans="1:4" x14ac:dyDescent="0.25">
      <c r="A1729" s="26">
        <f>Angela_2025_Chase1117_Activity_!B1726</f>
        <v>45765</v>
      </c>
      <c r="B1729" s="6" t="str">
        <f>Angela_2025_Chase1117_Activity_!C1726</f>
        <v>UBER   * PENDING SAN FRANCISCO CA    014500  04/18</v>
      </c>
      <c r="C1729" s="6" t="str">
        <f>Angela_2025_Chase1117_Activity_!G1726</f>
        <v>Personal - Uber</v>
      </c>
      <c r="D1729" s="12">
        <f>Angela_2025_Chase1117_Activity_!D1726</f>
        <v>-48.95</v>
      </c>
    </row>
    <row r="1730" spans="1:4" x14ac:dyDescent="0.25">
      <c r="A1730" s="26">
        <f>Angela_2025_Chase1117_Activity_!B1727</f>
        <v>45765</v>
      </c>
      <c r="B1730" s="6" t="str">
        <f>Angela_2025_Chase1117_Activity_!C1727</f>
        <v>NON-CHASE ATM WITHDRAW               318944  04/18PZZA VITT Euro       300.00 X 1.141100 (EXCHG RTE)</v>
      </c>
      <c r="C1730" s="6" t="str">
        <f>Angela_2025_Chase1117_Activity_!G1727</f>
        <v>Personal Travel - Italy</v>
      </c>
      <c r="D1730" s="12">
        <f>Angela_2025_Chase1117_Activity_!D1727</f>
        <v>-342.33</v>
      </c>
    </row>
    <row r="1731" spans="1:4" x14ac:dyDescent="0.25">
      <c r="A1731" s="26">
        <f>Angela_2025_Chase1117_Activity_!B1728</f>
        <v>45764</v>
      </c>
      <c r="B1731" s="6" t="str">
        <f>Angela_2025_Chase1117_Activity_!C1728</f>
        <v>FOREIGN EXCHANGE RATE ADJUSTMENT FEE         04/16VIVATK152</v>
      </c>
      <c r="C1731" s="6" t="str">
        <f>Angela_2025_Chase1117_Activity_!G1728</f>
        <v>Personal Travel - Italy</v>
      </c>
      <c r="D1731" s="12">
        <f>Angela_2025_Chase1117_Activity_!D1728</f>
        <v>-1.19</v>
      </c>
    </row>
    <row r="1732" spans="1:4" x14ac:dyDescent="0.25">
      <c r="A1732" s="26">
        <f>Angela_2025_Chase1117_Activity_!B1729</f>
        <v>45764</v>
      </c>
      <c r="B1732" s="6" t="str">
        <f>Angela_2025_Chase1117_Activity_!C1729</f>
        <v>NON-CHASE ATM FEE-WITH</v>
      </c>
      <c r="C1732" s="6" t="str">
        <f>Angela_2025_Chase1117_Activity_!G1729</f>
        <v>Bank Fees</v>
      </c>
      <c r="D1732" s="12">
        <f>Angela_2025_Chase1117_Activity_!D1729</f>
        <v>-5</v>
      </c>
    </row>
    <row r="1733" spans="1:4" x14ac:dyDescent="0.25">
      <c r="A1733" s="26">
        <f>Angela_2025_Chase1117_Activity_!B1730</f>
        <v>45764</v>
      </c>
      <c r="B1733" s="6" t="str">
        <f>Angela_2025_Chase1117_Activity_!C1730</f>
        <v>NON-CHASE ATM WITHDRAW               007111  04/17B&amp;F ROMA</v>
      </c>
      <c r="C1733" s="6" t="str">
        <f>Angela_2025_Chase1117_Activity_!G1730</f>
        <v>Withdrawal</v>
      </c>
      <c r="D1733" s="12">
        <f>Angela_2025_Chase1117_Activity_!D1730</f>
        <v>-403.62</v>
      </c>
    </row>
    <row r="1734" spans="1:4" x14ac:dyDescent="0.25">
      <c r="A1734" s="26">
        <f>Angela_2025_Chase1117_Activity_!B1731</f>
        <v>45764</v>
      </c>
      <c r="B1734" s="6" t="str">
        <f>Angela_2025_Chase1117_Activity_!C1731</f>
        <v>VIVATK152143955500 WWW. BOLOGNA              04/16 Euro       35.00 X 1.142571 (EXCHG RTE)</v>
      </c>
      <c r="C1734" s="6" t="str">
        <f>Angela_2025_Chase1117_Activity_!G1731</f>
        <v>Personal Travel - Italy</v>
      </c>
      <c r="D1734" s="12">
        <f>Angela_2025_Chase1117_Activity_!D1731</f>
        <v>-39.99</v>
      </c>
    </row>
    <row r="1735" spans="1:4" x14ac:dyDescent="0.25">
      <c r="A1735" s="26">
        <f>Angela_2025_Chase1117_Activity_!B1732</f>
        <v>45763</v>
      </c>
      <c r="B1735" s="6" t="str">
        <f>Angela_2025_Chase1117_Activity_!C1732</f>
        <v>NON-CHASE ATM FEE-WITH</v>
      </c>
      <c r="C1735" s="6" t="str">
        <f>Angela_2025_Chase1117_Activity_!G1732</f>
        <v>Bank Fees</v>
      </c>
      <c r="D1735" s="12">
        <f>Angela_2025_Chase1117_Activity_!D1732</f>
        <v>-5</v>
      </c>
    </row>
    <row r="1736" spans="1:4" x14ac:dyDescent="0.25">
      <c r="A1736" s="26">
        <f>Angela_2025_Chase1117_Activity_!B1733</f>
        <v>45763</v>
      </c>
      <c r="B1736" s="6" t="str">
        <f>Angela_2025_Chase1117_Activity_!C1733</f>
        <v>NON-CHASE ATM WITHDRAW               987130  04/16PIAZZA ES</v>
      </c>
      <c r="C1736" s="6" t="str">
        <f>Angela_2025_Chase1117_Activity_!G1733</f>
        <v>Withdrawal</v>
      </c>
      <c r="D1736" s="12">
        <f>Angela_2025_Chase1117_Activity_!D1733</f>
        <v>-398.92</v>
      </c>
    </row>
    <row r="1737" spans="1:4" x14ac:dyDescent="0.25">
      <c r="A1737" s="26">
        <f>Angela_2025_Chase1117_Activity_!B1734</f>
        <v>45762</v>
      </c>
      <c r="B1737" s="6" t="str">
        <f>Angela_2025_Chase1117_Activity_!C1734</f>
        <v>FOREIGN EXCHANGE RATE ADJUSTMENT FEE         04/14CC ZARA 9</v>
      </c>
      <c r="C1737" s="6" t="str">
        <f>Angela_2025_Chase1117_Activity_!G1734</f>
        <v>Personal Travel - Italy</v>
      </c>
      <c r="D1737" s="12">
        <f>Angela_2025_Chase1117_Activity_!D1734</f>
        <v>-3.09</v>
      </c>
    </row>
    <row r="1738" spans="1:4" x14ac:dyDescent="0.25">
      <c r="A1738" s="26">
        <f>Angela_2025_Chase1117_Activity_!B1735</f>
        <v>45762</v>
      </c>
      <c r="B1738" s="6" t="str">
        <f>Angela_2025_Chase1117_Activity_!C1735</f>
        <v>FOREIGN EXCHANGE RATE ADJUSTMENT FEE         04/14VIATORTRI</v>
      </c>
      <c r="C1738" s="6" t="str">
        <f>Angela_2025_Chase1117_Activity_!G1735</f>
        <v>Personal Travel - Italy</v>
      </c>
      <c r="D1738" s="12">
        <f>Angela_2025_Chase1117_Activity_!D1735</f>
        <v>-5.83</v>
      </c>
    </row>
    <row r="1739" spans="1:4" x14ac:dyDescent="0.25">
      <c r="A1739" s="26">
        <f>Angela_2025_Chase1117_Activity_!B1736</f>
        <v>45762</v>
      </c>
      <c r="B1739" s="6" t="str">
        <f>Angela_2025_Chase1117_Activity_!C1736</f>
        <v>Prime Video Channels amzn.com/bill WA        04/14</v>
      </c>
      <c r="C1739" s="6" t="str">
        <f>Angela_2025_Chase1117_Activity_!G1736</f>
        <v>Amazon</v>
      </c>
      <c r="D1739" s="12">
        <f>Angela_2025_Chase1117_Activity_!D1736</f>
        <v>-16.989999999999998</v>
      </c>
    </row>
    <row r="1740" spans="1:4" x14ac:dyDescent="0.25">
      <c r="A1740" s="26">
        <f>Angela_2025_Chase1117_Activity_!B1737</f>
        <v>45762</v>
      </c>
      <c r="B1740" s="6" t="str">
        <f>Angela_2025_Chase1117_Activity_!C1737</f>
        <v>VIATORTRIPADVISOR UK LONDON                  04/14 Euro       169.50 X 1.147139 (EXCHG RTE)</v>
      </c>
      <c r="C1740" s="6" t="str">
        <f>Angela_2025_Chase1117_Activity_!G1737</f>
        <v>Personal Travel - Italy</v>
      </c>
      <c r="D1740" s="12">
        <f>Angela_2025_Chase1117_Activity_!D1737</f>
        <v>-194.44</v>
      </c>
    </row>
    <row r="1741" spans="1:4" x14ac:dyDescent="0.25">
      <c r="A1741" s="26">
        <f>Angela_2025_Chase1117_Activity_!B1738</f>
        <v>45762</v>
      </c>
      <c r="B1741" s="6" t="str">
        <f>Angela_2025_Chase1117_Activity_!C1738</f>
        <v>AMAZON PRIME*NE3PL1P Amzn.com/bill WA        04/14</v>
      </c>
      <c r="C1741" s="6" t="str">
        <f>Angela_2025_Chase1117_Activity_!G1738</f>
        <v>Amazon</v>
      </c>
      <c r="D1741" s="12">
        <f>Angela_2025_Chase1117_Activity_!D1738</f>
        <v>-16.45</v>
      </c>
    </row>
    <row r="1742" spans="1:4" x14ac:dyDescent="0.25">
      <c r="A1742" s="26">
        <f>Angela_2025_Chase1117_Activity_!B1739</f>
        <v>45762</v>
      </c>
      <c r="B1742" s="6" t="str">
        <f>Angela_2025_Chase1117_Activity_!C1739</f>
        <v>CC ZARA 9226 ROMA                            04/14 Euro       89.95 X 1.147082 (EXCHG RTE)</v>
      </c>
      <c r="C1742" s="6" t="str">
        <f>Angela_2025_Chase1117_Activity_!G1739</f>
        <v>Personal Travel - Italy</v>
      </c>
      <c r="D1742" s="12">
        <f>Angela_2025_Chase1117_Activity_!D1739</f>
        <v>-103.18</v>
      </c>
    </row>
    <row r="1743" spans="1:4" x14ac:dyDescent="0.25">
      <c r="A1743" s="26">
        <f>Angela_2025_Chase1117_Activity_!B1740</f>
        <v>45762</v>
      </c>
      <c r="B1743" s="6" t="str">
        <f>Angela_2025_Chase1117_Activity_!C1740</f>
        <v>APPLE.COM/BILL 866-712-7753 CA               04/14</v>
      </c>
      <c r="C1743" s="6" t="str">
        <f>Angela_2025_Chase1117_Activity_!G1740</f>
        <v>Apple</v>
      </c>
      <c r="D1743" s="12">
        <f>Angela_2025_Chase1117_Activity_!D1740</f>
        <v>-59.99</v>
      </c>
    </row>
    <row r="1744" spans="1:4" x14ac:dyDescent="0.25">
      <c r="A1744" s="26">
        <f>Angela_2025_Chase1117_Activity_!B1741</f>
        <v>45761</v>
      </c>
      <c r="B1744" s="6" t="str">
        <f>Angela_2025_Chase1117_Activity_!C1741</f>
        <v>FOREIGN EXCHANGE RATE ADJUSTMENT FEE         04/11BIGLIETTE</v>
      </c>
      <c r="C1744" s="6" t="str">
        <f>Angela_2025_Chase1117_Activity_!G1741</f>
        <v>Personal Travel - Italy</v>
      </c>
      <c r="D1744" s="12">
        <f>Angela_2025_Chase1117_Activity_!D1741</f>
        <v>-1.48</v>
      </c>
    </row>
    <row r="1745" spans="1:4" x14ac:dyDescent="0.25">
      <c r="A1745" s="26">
        <f>Angela_2025_Chase1117_Activity_!B1742</f>
        <v>45761</v>
      </c>
      <c r="B1745" s="6" t="str">
        <f>Angela_2025_Chase1117_Activity_!C1742</f>
        <v>FOREIGN EXCHANGE RATE ADJUSTMENT FEE         04/11GIUNTI ED</v>
      </c>
      <c r="C1745" s="6" t="str">
        <f>Angela_2025_Chase1117_Activity_!G1742</f>
        <v>Personal Travel - Italy</v>
      </c>
      <c r="D1745" s="12">
        <f>Angela_2025_Chase1117_Activity_!D1742</f>
        <v>-3.23</v>
      </c>
    </row>
    <row r="1746" spans="1:4" x14ac:dyDescent="0.25">
      <c r="A1746" s="26">
        <f>Angela_2025_Chase1117_Activity_!B1743</f>
        <v>45761</v>
      </c>
      <c r="B1746" s="6" t="str">
        <f>Angela_2025_Chase1117_Activity_!C1743</f>
        <v>NON-CHASE ATM FEE-WITH</v>
      </c>
      <c r="C1746" s="6" t="str">
        <f>Angela_2025_Chase1117_Activity_!G1743</f>
        <v>Bank Fees</v>
      </c>
      <c r="D1746" s="12">
        <f>Angela_2025_Chase1117_Activity_!D1743</f>
        <v>-5</v>
      </c>
    </row>
    <row r="1747" spans="1:4" x14ac:dyDescent="0.25">
      <c r="A1747" s="26">
        <f>Angela_2025_Chase1117_Activity_!B1744</f>
        <v>45761</v>
      </c>
      <c r="B1747" s="6" t="str">
        <f>Angela_2025_Chase1117_Activity_!C1744</f>
        <v>FOREIGN EXCHANGE RATE ADJUSTMENT FEE         04/12OASI'S VO</v>
      </c>
      <c r="C1747" s="6" t="str">
        <f>Angela_2025_Chase1117_Activity_!G1744</f>
        <v>Personal Travel - Italy</v>
      </c>
      <c r="D1747" s="12">
        <f>Angela_2025_Chase1117_Activity_!D1744</f>
        <v>-8.6</v>
      </c>
    </row>
    <row r="1748" spans="1:4" x14ac:dyDescent="0.25">
      <c r="A1748" s="26">
        <f>Angela_2025_Chase1117_Activity_!B1745</f>
        <v>45761</v>
      </c>
      <c r="B1748" s="6" t="str">
        <f>Angela_2025_Chase1117_Activity_!C1745</f>
        <v>NON-CHASE ATM WITHDRAW               272053  04/14VIA DELLA</v>
      </c>
      <c r="C1748" s="6" t="str">
        <f>Angela_2025_Chase1117_Activity_!G1745</f>
        <v>Withdrawal</v>
      </c>
      <c r="D1748" s="12">
        <f>Angela_2025_Chase1117_Activity_!D1745</f>
        <v>-401.17</v>
      </c>
    </row>
    <row r="1749" spans="1:4" x14ac:dyDescent="0.25">
      <c r="A1749" s="26">
        <f>Angela_2025_Chase1117_Activity_!B1746</f>
        <v>45761</v>
      </c>
      <c r="B1749" s="6" t="str">
        <f>Angela_2025_Chase1117_Activity_!C1746</f>
        <v>OASI'S VOLTERRA                              04/12 Euro       250.00 X 1.147120 (EXCHG RTE)</v>
      </c>
      <c r="C1749" s="6" t="str">
        <f>Angela_2025_Chase1117_Activity_!G1746</f>
        <v>Personal Travel - Italy</v>
      </c>
      <c r="D1749" s="12">
        <f>Angela_2025_Chase1117_Activity_!D1746</f>
        <v>-286.77999999999997</v>
      </c>
    </row>
    <row r="1750" spans="1:4" x14ac:dyDescent="0.25">
      <c r="A1750" s="26">
        <f>Angela_2025_Chase1117_Activity_!B1747</f>
        <v>45761</v>
      </c>
      <c r="B1750" s="6" t="str">
        <f>Angela_2025_Chase1117_Activity_!C1747</f>
        <v>GIUNTI EDITORE SPA FIRENZE                   04/11 Euro       96.00 X 1.122813 (EXCHG RTE)</v>
      </c>
      <c r="C1750" s="6" t="str">
        <f>Angela_2025_Chase1117_Activity_!G1747</f>
        <v>Personal Travel - Italy</v>
      </c>
      <c r="D1750" s="12">
        <f>Angela_2025_Chase1117_Activity_!D1747</f>
        <v>-107.79</v>
      </c>
    </row>
    <row r="1751" spans="1:4" x14ac:dyDescent="0.25">
      <c r="A1751" s="26">
        <f>Angela_2025_Chase1117_Activity_!B1748</f>
        <v>45761</v>
      </c>
      <c r="B1751" s="6" t="str">
        <f>Angela_2025_Chase1117_Activity_!C1748</f>
        <v>BIGLIETTERIA PALAZZO PI FIRENZE              04/11 Euro       44.00 X 1.122727 (EXCHG RTE)</v>
      </c>
      <c r="C1751" s="6" t="str">
        <f>Angela_2025_Chase1117_Activity_!G1748</f>
        <v>Personal Travel - Italy</v>
      </c>
      <c r="D1751" s="12">
        <f>Angela_2025_Chase1117_Activity_!D1748</f>
        <v>-49.4</v>
      </c>
    </row>
    <row r="1752" spans="1:4" x14ac:dyDescent="0.25">
      <c r="A1752" s="26">
        <f>Angela_2025_Chase1117_Activity_!B1749</f>
        <v>45761</v>
      </c>
      <c r="B1752" s="6" t="str">
        <f>Angela_2025_Chase1117_Activity_!C1749</f>
        <v>Zelle payment from ROSE LI 24406442912</v>
      </c>
      <c r="C1752" s="6" t="str">
        <f>Angela_2025_Chase1117_Activity_!G1749</f>
        <v>Zelle from Rose Li</v>
      </c>
      <c r="D1752" s="12">
        <f>Angela_2025_Chase1117_Activity_!D1749</f>
        <v>450</v>
      </c>
    </row>
    <row r="1753" spans="1:4" x14ac:dyDescent="0.25">
      <c r="A1753" s="26">
        <f>Angela_2025_Chase1117_Activity_!B1750</f>
        <v>45757</v>
      </c>
      <c r="B1753" s="6" t="str">
        <f>Angela_2025_Chase1117_Activity_!C1750</f>
        <v>FOREIGN EXCHANGE RATE ADJUSTMENT FEE         04/09BIGLIETTE</v>
      </c>
      <c r="C1753" s="6" t="str">
        <f>Angela_2025_Chase1117_Activity_!G1750</f>
        <v>Personal Travel - Italy</v>
      </c>
      <c r="D1753" s="12">
        <f>Angela_2025_Chase1117_Activity_!D1750</f>
        <v>-0.98</v>
      </c>
    </row>
    <row r="1754" spans="1:4" x14ac:dyDescent="0.25">
      <c r="A1754" s="26">
        <f>Angela_2025_Chase1117_Activity_!B1751</f>
        <v>45757</v>
      </c>
      <c r="B1754" s="6" t="str">
        <f>Angela_2025_Chase1117_Activity_!C1751</f>
        <v>FOREIGN EXCHANGE RATE ADJUSTMENT FEE         04/09DA FRANCA</v>
      </c>
      <c r="C1754" s="6" t="str">
        <f>Angela_2025_Chase1117_Activity_!G1751</f>
        <v>Personal Travel - Italy</v>
      </c>
      <c r="D1754" s="12">
        <f>Angela_2025_Chase1117_Activity_!D1751</f>
        <v>-1.97</v>
      </c>
    </row>
    <row r="1755" spans="1:4" x14ac:dyDescent="0.25">
      <c r="A1755" s="26">
        <f>Angela_2025_Chase1117_Activity_!B1752</f>
        <v>45757</v>
      </c>
      <c r="B1755" s="6" t="str">
        <f>Angela_2025_Chase1117_Activity_!C1752</f>
        <v>FOREIGN EXCHANGE RATE ADJUSTMENT FEE         04/09BOOK SHOP</v>
      </c>
      <c r="C1755" s="6" t="str">
        <f>Angela_2025_Chase1117_Activity_!G1752</f>
        <v>Personal Travel - Italy</v>
      </c>
      <c r="D1755" s="12">
        <f>Angela_2025_Chase1117_Activity_!D1752</f>
        <v>-2.23</v>
      </c>
    </row>
    <row r="1756" spans="1:4" x14ac:dyDescent="0.25">
      <c r="A1756" s="26">
        <f>Angela_2025_Chase1117_Activity_!B1753</f>
        <v>45757</v>
      </c>
      <c r="B1756" s="6" t="str">
        <f>Angela_2025_Chase1117_Activity_!C1753</f>
        <v>APPLE.COM/BILL 866-712-7753 CA               04/10</v>
      </c>
      <c r="C1756" s="6" t="str">
        <f>Angela_2025_Chase1117_Activity_!G1753</f>
        <v>Apple</v>
      </c>
      <c r="D1756" s="12">
        <f>Angela_2025_Chase1117_Activity_!D1753</f>
        <v>-12.99</v>
      </c>
    </row>
    <row r="1757" spans="1:4" x14ac:dyDescent="0.25">
      <c r="A1757" s="26">
        <f>Angela_2025_Chase1117_Activity_!B1754</f>
        <v>45757</v>
      </c>
      <c r="B1757" s="6" t="str">
        <f>Angela_2025_Chase1117_Activity_!C1754</f>
        <v>BOOK SHOP DUOMO S.G SESTO FIORENT            04/09 Euro       67.70 X 1.099409 (EXCHG RTE)</v>
      </c>
      <c r="C1757" s="6" t="str">
        <f>Angela_2025_Chase1117_Activity_!G1754</f>
        <v>Personal Travel - Italy</v>
      </c>
      <c r="D1757" s="12">
        <f>Angela_2025_Chase1117_Activity_!D1754</f>
        <v>-74.430000000000007</v>
      </c>
    </row>
    <row r="1758" spans="1:4" x14ac:dyDescent="0.25">
      <c r="A1758" s="26">
        <f>Angela_2025_Chase1117_Activity_!B1755</f>
        <v>45757</v>
      </c>
      <c r="B1758" s="6" t="str">
        <f>Angela_2025_Chase1117_Activity_!C1755</f>
        <v>BIGLIETTERIA DUOMO S SESTO FIORENT           04/09 Euro       30.00 X 1.099333 (EXCHG RTE)</v>
      </c>
      <c r="C1758" s="6" t="str">
        <f>Angela_2025_Chase1117_Activity_!G1755</f>
        <v>Personal Travel - Italy</v>
      </c>
      <c r="D1758" s="12">
        <f>Angela_2025_Chase1117_Activity_!D1755</f>
        <v>-32.979999999999997</v>
      </c>
    </row>
    <row r="1759" spans="1:4" x14ac:dyDescent="0.25">
      <c r="A1759" s="26">
        <f>Angela_2025_Chase1117_Activity_!B1756</f>
        <v>45757</v>
      </c>
      <c r="B1759" s="6" t="str">
        <f>Angela_2025_Chase1117_Activity_!C1756</f>
        <v>DA FRANCA DI TESTI M MONTERIGGIONI           04/09 Euro       60.00 X 1.099333 (EXCHG RTE)</v>
      </c>
      <c r="C1759" s="6" t="str">
        <f>Angela_2025_Chase1117_Activity_!G1756</f>
        <v>Personal Travel - Italy</v>
      </c>
      <c r="D1759" s="12">
        <f>Angela_2025_Chase1117_Activity_!D1756</f>
        <v>-65.959999999999994</v>
      </c>
    </row>
    <row r="1760" spans="1:4" x14ac:dyDescent="0.25">
      <c r="A1760" s="26">
        <f>Angela_2025_Chase1117_Activity_!B1757</f>
        <v>45756</v>
      </c>
      <c r="B1760" s="6" t="str">
        <f>Angela_2025_Chase1117_Activity_!C1757</f>
        <v>NON-CHASE ATM FEE-WITH</v>
      </c>
      <c r="C1760" s="6" t="str">
        <f>Angela_2025_Chase1117_Activity_!G1757</f>
        <v>Bank Fees</v>
      </c>
      <c r="D1760" s="12">
        <f>Angela_2025_Chase1117_Activity_!D1757</f>
        <v>-5</v>
      </c>
    </row>
    <row r="1761" spans="1:4" x14ac:dyDescent="0.25">
      <c r="A1761" s="26">
        <f>Angela_2025_Chase1117_Activity_!B1758</f>
        <v>45756</v>
      </c>
      <c r="B1761" s="6" t="str">
        <f>Angela_2025_Chase1117_Activity_!C1758</f>
        <v>NON-CHASE ATM WITHDRAW               653570  04/09VIA SAN G</v>
      </c>
      <c r="C1761" s="6" t="str">
        <f>Angela_2025_Chase1117_Activity_!G1758</f>
        <v>Withdrawal</v>
      </c>
      <c r="D1761" s="12">
        <f>Angela_2025_Chase1117_Activity_!D1758</f>
        <v>-385.39</v>
      </c>
    </row>
    <row r="1762" spans="1:4" x14ac:dyDescent="0.25">
      <c r="A1762" s="26">
        <f>Angela_2025_Chase1117_Activity_!B1759</f>
        <v>45756</v>
      </c>
      <c r="B1762" s="6" t="str">
        <f>Angela_2025_Chase1117_Activity_!C1759</f>
        <v>Online Transfer to CHK ...6975 transaction#: 24350300468 04/09</v>
      </c>
      <c r="C1762" s="6" t="str">
        <f>Angela_2025_Chase1117_Activity_!G1759</f>
        <v>Transfer to Ava</v>
      </c>
      <c r="D1762" s="12">
        <f>Angela_2025_Chase1117_Activity_!D1759</f>
        <v>-1000</v>
      </c>
    </row>
    <row r="1763" spans="1:4" x14ac:dyDescent="0.25">
      <c r="A1763" s="26">
        <f>Angela_2025_Chase1117_Activity_!B1760</f>
        <v>45756</v>
      </c>
      <c r="B1763" s="6" t="str">
        <f>Angela_2025_Chase1117_Activity_!C1760</f>
        <v>AMAZON MKTPL*6E5QR5I Amzn.com/bill WA        04/09</v>
      </c>
      <c r="C1763" s="6" t="str">
        <f>Angela_2025_Chase1117_Activity_!G1760</f>
        <v>Amazon</v>
      </c>
      <c r="D1763" s="12">
        <f>Angela_2025_Chase1117_Activity_!D1760</f>
        <v>-17.55</v>
      </c>
    </row>
    <row r="1764" spans="1:4" x14ac:dyDescent="0.25">
      <c r="A1764" s="26">
        <f>Angela_2025_Chase1117_Activity_!B1761</f>
        <v>45756</v>
      </c>
      <c r="B1764" s="6" t="str">
        <f>Angela_2025_Chase1117_Activity_!C1761</f>
        <v>APPLE.COM/BILL 866-712-7753 CA               04/09</v>
      </c>
      <c r="C1764" s="6" t="str">
        <f>Angela_2025_Chase1117_Activity_!G1761</f>
        <v>Apple</v>
      </c>
      <c r="D1764" s="12">
        <f>Angela_2025_Chase1117_Activity_!D1761</f>
        <v>-6.99</v>
      </c>
    </row>
    <row r="1765" spans="1:4" x14ac:dyDescent="0.25">
      <c r="A1765" s="26">
        <f>Angela_2025_Chase1117_Activity_!B1762</f>
        <v>45756</v>
      </c>
      <c r="B1765" s="6" t="str">
        <f>Angela_2025_Chase1117_Activity_!C1762</f>
        <v>AMAZON MKTPLACE PMTS Amzn.com/bill WA        04/09</v>
      </c>
      <c r="C1765" s="6" t="str">
        <f>Angela_2025_Chase1117_Activity_!G1762</f>
        <v>Amazon</v>
      </c>
      <c r="D1765" s="12">
        <f>Angela_2025_Chase1117_Activity_!D1762</f>
        <v>49.74</v>
      </c>
    </row>
    <row r="1766" spans="1:4" x14ac:dyDescent="0.25">
      <c r="A1766" s="26">
        <f>Angela_2025_Chase1117_Activity_!B1763</f>
        <v>45755</v>
      </c>
      <c r="B1766" s="6" t="str">
        <f>Angela_2025_Chase1117_Activity_!C1763</f>
        <v>FOREIGN EXCHANGE RATE ADJUSTMENT FEE         04/07ASPIT ROM</v>
      </c>
      <c r="C1766" s="6" t="str">
        <f>Angela_2025_Chase1117_Activity_!G1763</f>
        <v>Personal Travel - Italy</v>
      </c>
      <c r="D1766" s="12">
        <f>Angela_2025_Chase1117_Activity_!D1763</f>
        <v>-0.26</v>
      </c>
    </row>
    <row r="1767" spans="1:4" x14ac:dyDescent="0.25">
      <c r="A1767" s="26">
        <f>Angela_2025_Chase1117_Activity_!B1764</f>
        <v>45755</v>
      </c>
      <c r="B1767" s="6" t="str">
        <f>Angela_2025_Chase1117_Activity_!C1764</f>
        <v>FOREIGN EXCHANGE RATE ADJUSTMENT FEE         04/05TESORI DE</v>
      </c>
      <c r="C1767" s="6" t="str">
        <f>Angela_2025_Chase1117_Activity_!G1764</f>
        <v>Personal Travel - Italy</v>
      </c>
      <c r="D1767" s="12">
        <f>Angela_2025_Chase1117_Activity_!D1764</f>
        <v>-2.16</v>
      </c>
    </row>
    <row r="1768" spans="1:4" x14ac:dyDescent="0.25">
      <c r="A1768" s="26">
        <f>Angela_2025_Chase1117_Activity_!B1765</f>
        <v>45755</v>
      </c>
      <c r="B1768" s="6" t="str">
        <f>Angela_2025_Chase1117_Activity_!C1765</f>
        <v>FOREIGN EXCHANGE RATE ADJUSTMENT FEE         04/07OPERA DEL</v>
      </c>
      <c r="C1768" s="6" t="str">
        <f>Angela_2025_Chase1117_Activity_!G1765</f>
        <v>Personal Travel - Italy</v>
      </c>
      <c r="D1768" s="12">
        <f>Angela_2025_Chase1117_Activity_!D1765</f>
        <v>-3.73</v>
      </c>
    </row>
    <row r="1769" spans="1:4" x14ac:dyDescent="0.25">
      <c r="A1769" s="26">
        <f>Angela_2025_Chase1117_Activity_!B1766</f>
        <v>45755</v>
      </c>
      <c r="B1769" s="6" t="str">
        <f>Angela_2025_Chase1117_Activity_!C1766</f>
        <v>NON-CHASE ATM FEE-WITH</v>
      </c>
      <c r="C1769" s="6" t="str">
        <f>Angela_2025_Chase1117_Activity_!G1766</f>
        <v>Bank Fees</v>
      </c>
      <c r="D1769" s="12">
        <f>Angela_2025_Chase1117_Activity_!D1766</f>
        <v>-5</v>
      </c>
    </row>
    <row r="1770" spans="1:4" x14ac:dyDescent="0.25">
      <c r="A1770" s="26">
        <f>Angela_2025_Chase1117_Activity_!B1767</f>
        <v>45755</v>
      </c>
      <c r="B1770" s="6" t="str">
        <f>Angela_2025_Chase1117_Activity_!C1767</f>
        <v>FOREIGN EXCHANGE RATE ADJUSTMENT FEE 925869  04/08PZA TOLOM</v>
      </c>
      <c r="C1770" s="6" t="str">
        <f>Angela_2025_Chase1117_Activity_!G1767</f>
        <v>Personal Travel - Italy</v>
      </c>
      <c r="D1770" s="12">
        <f>Angela_2025_Chase1117_Activity_!D1767</f>
        <v>-9.9499999999999993</v>
      </c>
    </row>
    <row r="1771" spans="1:4" x14ac:dyDescent="0.25">
      <c r="A1771" s="26">
        <f>Angela_2025_Chase1117_Activity_!B1768</f>
        <v>45755</v>
      </c>
      <c r="B1771" s="6" t="str">
        <f>Angela_2025_Chase1117_Activity_!C1768</f>
        <v>UBER   *TRIP HELP.UB SAN FRANCISCO CA022358  04/08</v>
      </c>
      <c r="C1771" s="6" t="str">
        <f>Angela_2025_Chase1117_Activity_!G1768</f>
        <v>Personal - Uber</v>
      </c>
      <c r="D1771" s="12">
        <f>Angela_2025_Chase1117_Activity_!D1768</f>
        <v>-73.97</v>
      </c>
    </row>
    <row r="1772" spans="1:4" x14ac:dyDescent="0.25">
      <c r="A1772" s="26">
        <f>Angela_2025_Chase1117_Activity_!B1769</f>
        <v>45755</v>
      </c>
      <c r="B1772" s="6" t="str">
        <f>Angela_2025_Chase1117_Activity_!C1769</f>
        <v>UBER   *TRIP HELP.UB SAN FRANCISCO CA022843  04/08</v>
      </c>
      <c r="C1772" s="6" t="str">
        <f>Angela_2025_Chase1117_Activity_!G1769</f>
        <v>Personal - Uber</v>
      </c>
      <c r="D1772" s="12">
        <f>Angela_2025_Chase1117_Activity_!D1769</f>
        <v>-66.95</v>
      </c>
    </row>
    <row r="1773" spans="1:4" x14ac:dyDescent="0.25">
      <c r="A1773" s="26">
        <f>Angela_2025_Chase1117_Activity_!B1770</f>
        <v>45755</v>
      </c>
      <c r="B1773" s="6" t="str">
        <f>Angela_2025_Chase1117_Activity_!C1770</f>
        <v>NON-CHASE ATM WITHDRAW               925869  04/08PZA TOLOM Euro       300.00 X 1.105200 (EXCHG RTE)</v>
      </c>
      <c r="C1773" s="6" t="str">
        <f>Angela_2025_Chase1117_Activity_!G1770</f>
        <v>Personal Travel - Italy</v>
      </c>
      <c r="D1773" s="12">
        <f>Angela_2025_Chase1117_Activity_!D1770</f>
        <v>-331.56</v>
      </c>
    </row>
    <row r="1774" spans="1:4" x14ac:dyDescent="0.25">
      <c r="A1774" s="26">
        <f>Angela_2025_Chase1117_Activity_!B1771</f>
        <v>45755</v>
      </c>
      <c r="B1774" s="6" t="str">
        <f>Angela_2025_Chase1117_Activity_!C1771</f>
        <v>Prime Video Channels amzn.com/bill WA        04/07</v>
      </c>
      <c r="C1774" s="6" t="str">
        <f>Angela_2025_Chase1117_Activity_!G1771</f>
        <v>Amazon</v>
      </c>
      <c r="D1774" s="12">
        <f>Angela_2025_Chase1117_Activity_!D1771</f>
        <v>-11.74</v>
      </c>
    </row>
    <row r="1775" spans="1:4" x14ac:dyDescent="0.25">
      <c r="A1775" s="26">
        <f>Angela_2025_Chase1117_Activity_!B1772</f>
        <v>45755</v>
      </c>
      <c r="B1775" s="6" t="str">
        <f>Angela_2025_Chase1117_Activity_!C1772</f>
        <v>OPERA DEL DUOMO DI ORVI ORVIETO              04/07 Euro       112.00 X 1.110982 (EXCHG RTE)</v>
      </c>
      <c r="C1775" s="6" t="str">
        <f>Angela_2025_Chase1117_Activity_!G1772</f>
        <v>Personal Travel - Italy</v>
      </c>
      <c r="D1775" s="12">
        <f>Angela_2025_Chase1117_Activity_!D1772</f>
        <v>-124.43</v>
      </c>
    </row>
    <row r="1776" spans="1:4" x14ac:dyDescent="0.25">
      <c r="A1776" s="26">
        <f>Angela_2025_Chase1117_Activity_!B1773</f>
        <v>45755</v>
      </c>
      <c r="B1776" s="6" t="str">
        <f>Angela_2025_Chase1117_Activity_!C1773</f>
        <v>ASPIT ROMA NORD      - ORVIETO               04/07 Euro       7.90 X 1.111392 (EXCHG RTE)</v>
      </c>
      <c r="C1776" s="6" t="str">
        <f>Angela_2025_Chase1117_Activity_!G1773</f>
        <v>Personal Travel - Italy</v>
      </c>
      <c r="D1776" s="12">
        <f>Angela_2025_Chase1117_Activity_!D1773</f>
        <v>-8.7799999999999994</v>
      </c>
    </row>
    <row r="1777" spans="1:4" x14ac:dyDescent="0.25">
      <c r="A1777" s="26">
        <f>Angela_2025_Chase1117_Activity_!B1774</f>
        <v>45755</v>
      </c>
      <c r="B1777" s="6" t="str">
        <f>Angela_2025_Chase1117_Activity_!C1774</f>
        <v>TESORI DEI FARNESE CAPRAROLA                 04/05 Euro       65.00 X 1.111077 (EXCHG RTE)</v>
      </c>
      <c r="C1777" s="6" t="str">
        <f>Angela_2025_Chase1117_Activity_!G1774</f>
        <v>Personal Travel - Italy</v>
      </c>
      <c r="D1777" s="12">
        <f>Angela_2025_Chase1117_Activity_!D1774</f>
        <v>-72.22</v>
      </c>
    </row>
    <row r="1778" spans="1:4" x14ac:dyDescent="0.25">
      <c r="A1778" s="26">
        <f>Angela_2025_Chase1117_Activity_!B1775</f>
        <v>45754</v>
      </c>
      <c r="B1778" s="6" t="str">
        <f>Angela_2025_Chase1117_Activity_!C1775</f>
        <v>FOREIGN EXCHANGE RATE ADJUSTMENT FEE         04/05PALAZZO F</v>
      </c>
      <c r="C1778" s="6" t="str">
        <f>Angela_2025_Chase1117_Activity_!G1775</f>
        <v>Personal Travel - Italy</v>
      </c>
      <c r="D1778" s="12">
        <f>Angela_2025_Chase1117_Activity_!D1775</f>
        <v>-0.33</v>
      </c>
    </row>
    <row r="1779" spans="1:4" x14ac:dyDescent="0.25">
      <c r="A1779" s="26">
        <f>Angela_2025_Chase1117_Activity_!B1776</f>
        <v>45754</v>
      </c>
      <c r="B1779" s="6" t="str">
        <f>Angela_2025_Chase1117_Activity_!C1776</f>
        <v>FOREIGN EXCHANGE RATE ADJUSTMENT FEE         04/05SACRO BOS</v>
      </c>
      <c r="C1779" s="6" t="str">
        <f>Angela_2025_Chase1117_Activity_!G1776</f>
        <v>Personal Travel - Italy</v>
      </c>
      <c r="D1779" s="12">
        <f>Angela_2025_Chase1117_Activity_!D1776</f>
        <v>-0.43</v>
      </c>
    </row>
    <row r="1780" spans="1:4" x14ac:dyDescent="0.25">
      <c r="A1780" s="26">
        <f>Angela_2025_Chase1117_Activity_!B1777</f>
        <v>45754</v>
      </c>
      <c r="B1780" s="6" t="str">
        <f>Angela_2025_Chase1117_Activity_!C1777</f>
        <v>FOREIGN EXCHANGE RATE ADJUSTMENT FEE         04/04MUSEO CRI</v>
      </c>
      <c r="C1780" s="6" t="str">
        <f>Angela_2025_Chase1117_Activity_!G1777</f>
        <v>Personal Travel - Italy</v>
      </c>
      <c r="D1780" s="12">
        <f>Angela_2025_Chase1117_Activity_!D1777</f>
        <v>-0.96</v>
      </c>
    </row>
    <row r="1781" spans="1:4" x14ac:dyDescent="0.25">
      <c r="A1781" s="26">
        <f>Angela_2025_Chase1117_Activity_!B1778</f>
        <v>45754</v>
      </c>
      <c r="B1781" s="6" t="str">
        <f>Angela_2025_Chase1117_Activity_!C1778</f>
        <v>FOREIGN EXCHANGE RATE ADJUSTMENT FEE         04/04CATACOMBE</v>
      </c>
      <c r="C1781" s="6" t="str">
        <f>Angela_2025_Chase1117_Activity_!G1778</f>
        <v>Personal Travel - Italy</v>
      </c>
      <c r="D1781" s="12">
        <f>Angela_2025_Chase1117_Activity_!D1778</f>
        <v>-1.73</v>
      </c>
    </row>
    <row r="1782" spans="1:4" x14ac:dyDescent="0.25">
      <c r="A1782" s="26">
        <f>Angela_2025_Chase1117_Activity_!B1779</f>
        <v>45754</v>
      </c>
      <c r="B1782" s="6" t="str">
        <f>Angela_2025_Chase1117_Activity_!C1779</f>
        <v>FOREIGN EXCHANGE RATE ADJUSTMENT FEE         04/05RISTORANT</v>
      </c>
      <c r="C1782" s="6" t="str">
        <f>Angela_2025_Chase1117_Activity_!G1779</f>
        <v>Personal Travel - Italy</v>
      </c>
      <c r="D1782" s="12">
        <f>Angela_2025_Chase1117_Activity_!D1779</f>
        <v>-3.83</v>
      </c>
    </row>
    <row r="1783" spans="1:4" x14ac:dyDescent="0.25">
      <c r="A1783" s="26">
        <f>Angela_2025_Chase1117_Activity_!B1780</f>
        <v>45754</v>
      </c>
      <c r="B1783" s="6" t="str">
        <f>Angela_2025_Chase1117_Activity_!C1780</f>
        <v>NON-CHASE ATM FEE-WITH</v>
      </c>
      <c r="C1783" s="6" t="str">
        <f>Angela_2025_Chase1117_Activity_!G1780</f>
        <v>Bank Fees</v>
      </c>
      <c r="D1783" s="12">
        <f>Angela_2025_Chase1117_Activity_!D1780</f>
        <v>-5</v>
      </c>
    </row>
    <row r="1784" spans="1:4" x14ac:dyDescent="0.25">
      <c r="A1784" s="26">
        <f>Angela_2025_Chase1117_Activity_!B1781</f>
        <v>45754</v>
      </c>
      <c r="B1784" s="6" t="str">
        <f>Angela_2025_Chase1117_Activity_!C1781</f>
        <v>UBER   *TRIP HELP.UB SAN FRANCISCO CA013416  04/07</v>
      </c>
      <c r="C1784" s="6" t="str">
        <f>Angela_2025_Chase1117_Activity_!G1781</f>
        <v>Personal - Uber</v>
      </c>
      <c r="D1784" s="12">
        <f>Angela_2025_Chase1117_Activity_!D1781</f>
        <v>-5</v>
      </c>
    </row>
    <row r="1785" spans="1:4" x14ac:dyDescent="0.25">
      <c r="A1785" s="26">
        <f>Angela_2025_Chase1117_Activity_!B1782</f>
        <v>45754</v>
      </c>
      <c r="B1785" s="6" t="str">
        <f>Angela_2025_Chase1117_Activity_!C1782</f>
        <v>NON-CHASE ATM WITHDRAW               368240  04/06VIA DEL P</v>
      </c>
      <c r="C1785" s="6" t="str">
        <f>Angela_2025_Chase1117_Activity_!G1782</f>
        <v>Withdrawal</v>
      </c>
      <c r="D1785" s="12">
        <f>Angela_2025_Chase1117_Activity_!D1782</f>
        <v>-389.45</v>
      </c>
    </row>
    <row r="1786" spans="1:4" x14ac:dyDescent="0.25">
      <c r="A1786" s="26">
        <f>Angela_2025_Chase1117_Activity_!B1783</f>
        <v>45754</v>
      </c>
      <c r="B1786" s="6" t="str">
        <f>Angela_2025_Chase1117_Activity_!C1783</f>
        <v>GOOGLE *YouTubePremi g.co/helppay# CA        04/06</v>
      </c>
      <c r="C1786" s="6" t="str">
        <f>Angela_2025_Chase1117_Activity_!G1783</f>
        <v>YouTube Premium</v>
      </c>
      <c r="D1786" s="12">
        <f>Angela_2025_Chase1117_Activity_!D1783</f>
        <v>-13.99</v>
      </c>
    </row>
    <row r="1787" spans="1:4" x14ac:dyDescent="0.25">
      <c r="A1787" s="26">
        <f>Angela_2025_Chase1117_Activity_!B1784</f>
        <v>45754</v>
      </c>
      <c r="B1787" s="6" t="str">
        <f>Angela_2025_Chase1117_Activity_!C1784</f>
        <v>UBER   * EATS PENDIN SAN FRANCISCO CA358583  04/05</v>
      </c>
      <c r="C1787" s="6" t="str">
        <f>Angela_2025_Chase1117_Activity_!G1784</f>
        <v>Uber Eats</v>
      </c>
      <c r="D1787" s="12">
        <f>Angela_2025_Chase1117_Activity_!D1784</f>
        <v>-56.81</v>
      </c>
    </row>
    <row r="1788" spans="1:4" x14ac:dyDescent="0.25">
      <c r="A1788" s="26">
        <f>Angela_2025_Chase1117_Activity_!B1785</f>
        <v>45754</v>
      </c>
      <c r="B1788" s="6" t="str">
        <f>Angela_2025_Chase1117_Activity_!C1785</f>
        <v>PSYCHOLOGY TODAY PSYCHOLOGYTOD SD            04/06</v>
      </c>
      <c r="C1788" s="6" t="str">
        <f>Angela_2025_Chase1117_Activity_!G1785</f>
        <v>Personal - Subscription</v>
      </c>
      <c r="D1788" s="12">
        <f>Angela_2025_Chase1117_Activity_!D1785</f>
        <v>-29.95</v>
      </c>
    </row>
    <row r="1789" spans="1:4" x14ac:dyDescent="0.25">
      <c r="A1789" s="26">
        <f>Angela_2025_Chase1117_Activity_!B1786</f>
        <v>45754</v>
      </c>
      <c r="B1789" s="6" t="str">
        <f>Angela_2025_Chase1117_Activity_!C1786</f>
        <v>ELEVENLABS.IO-9F432E ELEVENLABS.IO NY        04/06</v>
      </c>
      <c r="C1789" s="6" t="str">
        <f>Angela_2025_Chase1117_Activity_!G1786</f>
        <v>Personal - Subscription</v>
      </c>
      <c r="D1789" s="12">
        <f>Angela_2025_Chase1117_Activity_!D1786</f>
        <v>-22</v>
      </c>
    </row>
    <row r="1790" spans="1:4" x14ac:dyDescent="0.25">
      <c r="A1790" s="26">
        <f>Angela_2025_Chase1117_Activity_!B1787</f>
        <v>45754</v>
      </c>
      <c r="B1790" s="6" t="str">
        <f>Angela_2025_Chase1117_Activity_!C1787</f>
        <v>ITALIARAIL.COM 8773757245 MA                 04/05</v>
      </c>
      <c r="C1790" s="6" t="str">
        <f>Angela_2025_Chase1117_Activity_!G1787</f>
        <v>Personal Travel</v>
      </c>
      <c r="D1790" s="12">
        <f>Angela_2025_Chase1117_Activity_!D1787</f>
        <v>-317</v>
      </c>
    </row>
    <row r="1791" spans="1:4" x14ac:dyDescent="0.25">
      <c r="A1791" s="26">
        <f>Angela_2025_Chase1117_Activity_!B1788</f>
        <v>45754</v>
      </c>
      <c r="B1791" s="6" t="str">
        <f>Angela_2025_Chase1117_Activity_!C1788</f>
        <v>PALAZZO FARNESE CAPRAROLA                    04/05 Euro       10.00 X 1.111000 (EXCHG RTE)</v>
      </c>
      <c r="C1791" s="6" t="str">
        <f>Angela_2025_Chase1117_Activity_!G1788</f>
        <v>Personal Travel - Italy</v>
      </c>
      <c r="D1791" s="12">
        <f>Angela_2025_Chase1117_Activity_!D1788</f>
        <v>-11.11</v>
      </c>
    </row>
    <row r="1792" spans="1:4" x14ac:dyDescent="0.25">
      <c r="A1792" s="26">
        <f>Angela_2025_Chase1117_Activity_!B1789</f>
        <v>45754</v>
      </c>
      <c r="B1792" s="6" t="str">
        <f>Angela_2025_Chase1117_Activity_!C1789</f>
        <v>UBER   * PENDING SAN FRANCISCO CA    017202  04/04</v>
      </c>
      <c r="C1792" s="6" t="str">
        <f>Angela_2025_Chase1117_Activity_!G1789</f>
        <v>Personal - Uber</v>
      </c>
      <c r="D1792" s="12">
        <f>Angela_2025_Chase1117_Activity_!D1789</f>
        <v>-17</v>
      </c>
    </row>
    <row r="1793" spans="1:4" x14ac:dyDescent="0.25">
      <c r="A1793" s="26">
        <f>Angela_2025_Chase1117_Activity_!B1790</f>
        <v>45754</v>
      </c>
      <c r="B1793" s="6" t="str">
        <f>Angela_2025_Chase1117_Activity_!C1790</f>
        <v>RISTORANTE DEI  MOSTRI BOMARZO               04/05 Euro       115.00 X 1.111043 (EXCHG RTE)</v>
      </c>
      <c r="C1793" s="6" t="str">
        <f>Angela_2025_Chase1117_Activity_!G1790</f>
        <v>Personal Travel - Italy</v>
      </c>
      <c r="D1793" s="12">
        <f>Angela_2025_Chase1117_Activity_!D1790</f>
        <v>-127.77</v>
      </c>
    </row>
    <row r="1794" spans="1:4" x14ac:dyDescent="0.25">
      <c r="A1794" s="26">
        <f>Angela_2025_Chase1117_Activity_!B1791</f>
        <v>45754</v>
      </c>
      <c r="B1794" s="6" t="str">
        <f>Angela_2025_Chase1117_Activity_!C1791</f>
        <v>SACRO BOSCO DI BOMARZO BOMARZO               04/05 Euro       13.00 X 1.110769 (EXCHG RTE)</v>
      </c>
      <c r="C1794" s="6" t="str">
        <f>Angela_2025_Chase1117_Activity_!G1791</f>
        <v>Personal Travel - Italy</v>
      </c>
      <c r="D1794" s="12">
        <f>Angela_2025_Chase1117_Activity_!D1791</f>
        <v>-14.44</v>
      </c>
    </row>
    <row r="1795" spans="1:4" x14ac:dyDescent="0.25">
      <c r="A1795" s="26">
        <f>Angela_2025_Chase1117_Activity_!B1792</f>
        <v>45754</v>
      </c>
      <c r="B1795" s="6" t="str">
        <f>Angela_2025_Chase1117_Activity_!C1792</f>
        <v>CATACOMBE DI PRISCILLA ROMA                  04/04 Euro       52.10 X 1.111132 (EXCHG RTE)</v>
      </c>
      <c r="C1795" s="6" t="str">
        <f>Angela_2025_Chase1117_Activity_!G1792</f>
        <v>Personal Travel - Italy</v>
      </c>
      <c r="D1795" s="12">
        <f>Angela_2025_Chase1117_Activity_!D1792</f>
        <v>-57.89</v>
      </c>
    </row>
    <row r="1796" spans="1:4" x14ac:dyDescent="0.25">
      <c r="A1796" s="26">
        <f>Angela_2025_Chase1117_Activity_!B1793</f>
        <v>45754</v>
      </c>
      <c r="B1796" s="6" t="str">
        <f>Angela_2025_Chase1117_Activity_!C1793</f>
        <v>MUSEO CRIPTA CAPPUCCINI ROMA                 04/04 Euro       29.00 X 1.111034 (EXCHG RTE)</v>
      </c>
      <c r="C1796" s="6" t="str">
        <f>Angela_2025_Chase1117_Activity_!G1793</f>
        <v>Personal Travel - Italy</v>
      </c>
      <c r="D1796" s="12">
        <f>Angela_2025_Chase1117_Activity_!D1793</f>
        <v>-32.22</v>
      </c>
    </row>
    <row r="1797" spans="1:4" x14ac:dyDescent="0.25">
      <c r="A1797" s="26">
        <f>Angela_2025_Chase1117_Activity_!B1794</f>
        <v>45750</v>
      </c>
      <c r="B1797" s="6" t="str">
        <f>Angela_2025_Chase1117_Activity_!C1794</f>
        <v>APPLE.COM/BILL 866-712-7753 CA               04/03</v>
      </c>
      <c r="C1797" s="6" t="str">
        <f>Angela_2025_Chase1117_Activity_!G1794</f>
        <v>Apple</v>
      </c>
      <c r="D1797" s="12">
        <f>Angela_2025_Chase1117_Activity_!D1794</f>
        <v>-3.99</v>
      </c>
    </row>
    <row r="1798" spans="1:4" x14ac:dyDescent="0.25">
      <c r="A1798" s="26">
        <f>Angela_2025_Chase1117_Activity_!B1795</f>
        <v>45749</v>
      </c>
      <c r="B1798" s="6" t="str">
        <f>Angela_2025_Chase1117_Activity_!C1795</f>
        <v>UBER   *TRIP HELP.UB SAN FRANCISCO CA012946  04/02</v>
      </c>
      <c r="C1798" s="6" t="str">
        <f>Angela_2025_Chase1117_Activity_!G1795</f>
        <v>Personal - Uber</v>
      </c>
      <c r="D1798" s="12">
        <f>Angela_2025_Chase1117_Activity_!D1795</f>
        <v>-5</v>
      </c>
    </row>
    <row r="1799" spans="1:4" x14ac:dyDescent="0.25">
      <c r="A1799" s="26">
        <f>Angela_2025_Chase1117_Activity_!B1796</f>
        <v>45749</v>
      </c>
      <c r="B1799" s="6" t="str">
        <f>Angela_2025_Chase1117_Activity_!C1796</f>
        <v>UBER   * PENDING SAN FRANCISCO CA    358125  04/01</v>
      </c>
      <c r="C1799" s="6" t="str">
        <f>Angela_2025_Chase1117_Activity_!G1796</f>
        <v>Personal - Uber</v>
      </c>
      <c r="D1799" s="12">
        <f>Angela_2025_Chase1117_Activity_!D1796</f>
        <v>-18.98</v>
      </c>
    </row>
    <row r="1800" spans="1:4" x14ac:dyDescent="0.25">
      <c r="A1800" s="26">
        <f>Angela_2025_Chase1117_Activity_!B1797</f>
        <v>45749</v>
      </c>
      <c r="B1800" s="6" t="str">
        <f>Angela_2025_Chase1117_Activity_!C1797</f>
        <v>AMAZON MKTPL*OG56I72 Amzn.com/bill WA        04/01</v>
      </c>
      <c r="C1800" s="6" t="str">
        <f>Angela_2025_Chase1117_Activity_!G1797</f>
        <v>Amazon</v>
      </c>
      <c r="D1800" s="12">
        <f>Angela_2025_Chase1117_Activity_!D1797</f>
        <v>-57.61</v>
      </c>
    </row>
    <row r="1801" spans="1:4" x14ac:dyDescent="0.25">
      <c r="A1801" s="26">
        <f>Angela_2025_Chase1117_Activity_!B1798</f>
        <v>45749</v>
      </c>
      <c r="B1801" s="6" t="str">
        <f>Angela_2025_Chase1117_Activity_!C1798</f>
        <v>LAX AIRP LAMILL LOS ANGELES CA               03/31</v>
      </c>
      <c r="C1801" s="6" t="str">
        <f>Angela_2025_Chase1117_Activity_!G1798</f>
        <v>Personal Travel</v>
      </c>
      <c r="D1801" s="12">
        <f>Angela_2025_Chase1117_Activity_!D1798</f>
        <v>-79.42</v>
      </c>
    </row>
    <row r="1802" spans="1:4" x14ac:dyDescent="0.25">
      <c r="A1802" s="26">
        <f>Angela_2025_Chase1117_Activity_!B1799</f>
        <v>45748</v>
      </c>
      <c r="B1802" s="6" t="str">
        <f>Angela_2025_Chase1117_Activity_!C1799</f>
        <v>AMAZON MKTPL*2S1LZ33 Amzn.com/bill WA        04/01</v>
      </c>
      <c r="C1802" s="6" t="str">
        <f>Angela_2025_Chase1117_Activity_!G1799</f>
        <v>Amazon</v>
      </c>
      <c r="D1802" s="12">
        <f>Angela_2025_Chase1117_Activity_!D1799</f>
        <v>-102.8</v>
      </c>
    </row>
    <row r="1803" spans="1:4" x14ac:dyDescent="0.25">
      <c r="A1803" s="26">
        <f>Angela_2025_Chase1117_Activity_!B1800</f>
        <v>45748</v>
      </c>
      <c r="B1803" s="6" t="str">
        <f>Angela_2025_Chase1117_Activity_!C1800</f>
        <v>AMAZON MKTPL*LW4YC34 Amzn.com/bill WA        04/01</v>
      </c>
      <c r="C1803" s="6" t="str">
        <f>Angela_2025_Chase1117_Activity_!G1800</f>
        <v>Amazon</v>
      </c>
      <c r="D1803" s="12">
        <f>Angela_2025_Chase1117_Activity_!D1800</f>
        <v>-31.69</v>
      </c>
    </row>
    <row r="1804" spans="1:4" x14ac:dyDescent="0.25">
      <c r="A1804" s="26">
        <f>Angela_2025_Chase1117_Activity_!B1801</f>
        <v>45748</v>
      </c>
      <c r="B1804" s="6" t="str">
        <f>Angela_2025_Chase1117_Activity_!C1801</f>
        <v>LAX THE ECONOMIST Los Angeles CA             03/31</v>
      </c>
      <c r="C1804" s="6" t="str">
        <f>Angela_2025_Chase1117_Activity_!G1801</f>
        <v>Personal Travel</v>
      </c>
      <c r="D1804" s="12">
        <f>Angela_2025_Chase1117_Activity_!D1801</f>
        <v>-54.74</v>
      </c>
    </row>
    <row r="1805" spans="1:4" x14ac:dyDescent="0.25">
      <c r="A1805" s="26">
        <f>Angela_2025_Chase1117_Activity_!B1802</f>
        <v>45748</v>
      </c>
      <c r="B1805" s="6" t="str">
        <f>Angela_2025_Chase1117_Activity_!C1802</f>
        <v>LAX THE ECONOMIST Los Angeles CA             03/31</v>
      </c>
      <c r="C1805" s="6" t="str">
        <f>Angela_2025_Chase1117_Activity_!G1802</f>
        <v>Personal Travel</v>
      </c>
      <c r="D1805" s="12">
        <f>Angela_2025_Chase1117_Activity_!D1802</f>
        <v>-15.18</v>
      </c>
    </row>
    <row r="1806" spans="1:4" x14ac:dyDescent="0.25">
      <c r="A1806" s="26">
        <f>Angela_2025_Chase1117_Activity_!B1803</f>
        <v>45748</v>
      </c>
      <c r="B1806" s="6" t="str">
        <f>Angela_2025_Chase1117_Activity_!C1803</f>
        <v>PORTAL TO ASCENSION PORTALTOASCEN CA         03/31</v>
      </c>
      <c r="C1806" s="6" t="str">
        <f>Angela_2025_Chase1117_Activity_!G1803</f>
        <v>Personal - Subscription</v>
      </c>
      <c r="D1806" s="12">
        <f>Angela_2025_Chase1117_Activity_!D1803</f>
        <v>-55</v>
      </c>
    </row>
    <row r="1807" spans="1:4" x14ac:dyDescent="0.25">
      <c r="A1807" s="26">
        <f>Angela_2025_Chase1117_Activity_!B1804</f>
        <v>45747</v>
      </c>
      <c r="B1807" s="6" t="str">
        <f>Angela_2025_Chase1117_Activity_!C1804</f>
        <v>BLUE SHIELD CALIFORNI 800-393-6130 CA        03/31</v>
      </c>
      <c r="C1807" s="6" t="str">
        <f>Angela_2025_Chase1117_Activity_!G1804</f>
        <v>Personal - Health Insurance</v>
      </c>
      <c r="D1807" s="12">
        <f>Angela_2025_Chase1117_Activity_!D1804</f>
        <v>-944.63</v>
      </c>
    </row>
    <row r="1808" spans="1:4" x14ac:dyDescent="0.25">
      <c r="A1808" s="26">
        <f>Angela_2025_Chase1117_Activity_!B1805</f>
        <v>45747</v>
      </c>
      <c r="B1808" s="6" t="str">
        <f>Angela_2025_Chase1117_Activity_!C1805</f>
        <v>Online Transfer to CHK ...6975 transaction#: 24237495408 03/31</v>
      </c>
      <c r="C1808" s="6" t="str">
        <f>Angela_2025_Chase1117_Activity_!G1805</f>
        <v>Transfer to Ava</v>
      </c>
      <c r="D1808" s="12">
        <f>Angela_2025_Chase1117_Activity_!D1805</f>
        <v>-1000</v>
      </c>
    </row>
    <row r="1809" spans="1:4" x14ac:dyDescent="0.25">
      <c r="A1809" s="26">
        <f>Angela_2025_Chase1117_Activity_!B1806</f>
        <v>45747</v>
      </c>
      <c r="B1809" s="6" t="str">
        <f>Angela_2025_Chase1117_Activity_!C1806</f>
        <v>GELSON'S MARKET #29 SANTA MONICA CA          03/30 Purchase $83.46 Cash Back $100.00</v>
      </c>
      <c r="C1809" s="6" t="str">
        <f>Angela_2025_Chase1117_Activity_!G1806</f>
        <v>Personal - Food</v>
      </c>
      <c r="D1809" s="12">
        <f>Angela_2025_Chase1117_Activity_!D1806</f>
        <v>-183.46</v>
      </c>
    </row>
    <row r="1810" spans="1:4" x14ac:dyDescent="0.25">
      <c r="A1810" s="26">
        <f>Angela_2025_Chase1117_Activity_!B1807</f>
        <v>45747</v>
      </c>
      <c r="B1810" s="6" t="str">
        <f>Angela_2025_Chase1117_Activity_!C1807</f>
        <v>CVS/PHARMACY #08871 MARINA DEL RE CA 050454  03/30</v>
      </c>
      <c r="C1810" s="6" t="str">
        <f>Angela_2025_Chase1117_Activity_!G1807</f>
        <v>Personal - Health</v>
      </c>
      <c r="D1810" s="12">
        <f>Angela_2025_Chase1117_Activity_!D1807</f>
        <v>-364.19</v>
      </c>
    </row>
    <row r="1811" spans="1:4" x14ac:dyDescent="0.25">
      <c r="A1811" s="26">
        <f>Angela_2025_Chase1117_Activity_!B1808</f>
        <v>45747</v>
      </c>
      <c r="B1811" s="6" t="str">
        <f>Angela_2025_Chase1117_Activity_!C1808</f>
        <v>UBER   * EATS PENDIN SAN FRANCISCO CA012720  03/29</v>
      </c>
      <c r="C1811" s="6" t="str">
        <f>Angela_2025_Chase1117_Activity_!G1808</f>
        <v>Uber Eats</v>
      </c>
      <c r="D1811" s="12">
        <f>Angela_2025_Chase1117_Activity_!D1808</f>
        <v>-40.159999999999997</v>
      </c>
    </row>
    <row r="1812" spans="1:4" x14ac:dyDescent="0.25">
      <c r="A1812" s="26">
        <f>Angela_2025_Chase1117_Activity_!B1809</f>
        <v>45747</v>
      </c>
      <c r="B1812" s="6" t="str">
        <f>Angela_2025_Chase1117_Activity_!C1809</f>
        <v>TARGET T-0198 CULVER CITY CA         049909  03/29</v>
      </c>
      <c r="C1812" s="6" t="str">
        <f>Angela_2025_Chase1117_Activity_!G1809</f>
        <v>Personal - Shopping</v>
      </c>
      <c r="D1812" s="12">
        <f>Angela_2025_Chase1117_Activity_!D1809</f>
        <v>-318.13</v>
      </c>
    </row>
    <row r="1813" spans="1:4" x14ac:dyDescent="0.25">
      <c r="A1813" s="26">
        <f>Angela_2025_Chase1117_Activity_!B1810</f>
        <v>45747</v>
      </c>
      <c r="B1813" s="6" t="str">
        <f>Angela_2025_Chase1117_Activity_!C1810</f>
        <v>UBER   *TRIP HELP.UB SAN FRANCISCO CA022420  03/29</v>
      </c>
      <c r="C1813" s="6" t="str">
        <f>Angela_2025_Chase1117_Activity_!G1810</f>
        <v>Personal - Uber</v>
      </c>
      <c r="D1813" s="12">
        <f>Angela_2025_Chase1117_Activity_!D1810</f>
        <v>-28.91</v>
      </c>
    </row>
    <row r="1814" spans="1:4" x14ac:dyDescent="0.25">
      <c r="A1814" s="26">
        <f>Angela_2025_Chase1117_Activity_!B1811</f>
        <v>45747</v>
      </c>
      <c r="B1814" s="6" t="str">
        <f>Angela_2025_Chase1117_Activity_!C1811</f>
        <v>Amazon.com*2N94B1OQ3 Amzn.com/bill WA        03/30</v>
      </c>
      <c r="C1814" s="6" t="str">
        <f>Angela_2025_Chase1117_Activity_!G1811</f>
        <v>Amazon</v>
      </c>
      <c r="D1814" s="12">
        <f>Angela_2025_Chase1117_Activity_!D1811</f>
        <v>-35.020000000000003</v>
      </c>
    </row>
    <row r="1815" spans="1:4" x14ac:dyDescent="0.25">
      <c r="A1815" s="26">
        <f>Angela_2025_Chase1117_Activity_!B1812</f>
        <v>45747</v>
      </c>
      <c r="B1815" s="6" t="str">
        <f>Angela_2025_Chase1117_Activity_!C1812</f>
        <v>UBER   *TRIP HELP.UB SAN FRANCISCO CA028881  03/29</v>
      </c>
      <c r="C1815" s="6" t="str">
        <f>Angela_2025_Chase1117_Activity_!G1812</f>
        <v>Personal - Uber</v>
      </c>
      <c r="D1815" s="12">
        <f>Angela_2025_Chase1117_Activity_!D1812</f>
        <v>-19.940000000000001</v>
      </c>
    </row>
    <row r="1816" spans="1:4" x14ac:dyDescent="0.25">
      <c r="A1816" s="26">
        <f>Angela_2025_Chase1117_Activity_!B1813</f>
        <v>45747</v>
      </c>
      <c r="B1816" s="6" t="str">
        <f>Angela_2025_Chase1117_Activity_!C1813</f>
        <v>Amazon.com*9E4H43413 Amzn.com/bill WA        03/30</v>
      </c>
      <c r="C1816" s="6" t="str">
        <f>Angela_2025_Chase1117_Activity_!G1813</f>
        <v>Amazon</v>
      </c>
      <c r="D1816" s="12">
        <f>Angela_2025_Chase1117_Activity_!D1813</f>
        <v>-153.28</v>
      </c>
    </row>
    <row r="1817" spans="1:4" x14ac:dyDescent="0.25">
      <c r="A1817" s="26">
        <f>Angela_2025_Chase1117_Activity_!B1814</f>
        <v>45747</v>
      </c>
      <c r="B1817" s="6" t="str">
        <f>Angela_2025_Chase1117_Activity_!C1814</f>
        <v>AMAZON MKTPL*YM88E3V Amzn.com/bill WA        03/30</v>
      </c>
      <c r="C1817" s="6" t="str">
        <f>Angela_2025_Chase1117_Activity_!G1814</f>
        <v>Amazon</v>
      </c>
      <c r="D1817" s="12">
        <f>Angela_2025_Chase1117_Activity_!D1814</f>
        <v>-20.010000000000002</v>
      </c>
    </row>
    <row r="1818" spans="1:4" x14ac:dyDescent="0.25">
      <c r="A1818" s="26">
        <f>Angela_2025_Chase1117_Activity_!B1815</f>
        <v>45747</v>
      </c>
      <c r="B1818" s="6" t="str">
        <f>Angela_2025_Chase1117_Activity_!C1815</f>
        <v>AMAZON MKTPL*LJ94C6T Amzn.com/bill WA        03/30</v>
      </c>
      <c r="C1818" s="6" t="str">
        <f>Angela_2025_Chase1117_Activity_!G1815</f>
        <v>Amazon</v>
      </c>
      <c r="D1818" s="12">
        <f>Angela_2025_Chase1117_Activity_!D1815</f>
        <v>-35.020000000000003</v>
      </c>
    </row>
    <row r="1819" spans="1:4" x14ac:dyDescent="0.25">
      <c r="A1819" s="26">
        <f>Angela_2025_Chase1117_Activity_!B1816</f>
        <v>45747</v>
      </c>
      <c r="B1819" s="6" t="str">
        <f>Angela_2025_Chase1117_Activity_!C1816</f>
        <v>BASHAR COMMUNICATIONS BASHAR.ORG CA          03/29</v>
      </c>
      <c r="C1819" s="6" t="str">
        <f>Angela_2025_Chase1117_Activity_!G1816</f>
        <v>Personal - Subscription</v>
      </c>
      <c r="D1819" s="12">
        <f>Angela_2025_Chase1117_Activity_!D1816</f>
        <v>-39.99</v>
      </c>
    </row>
    <row r="1820" spans="1:4" x14ac:dyDescent="0.25">
      <c r="A1820" s="26">
        <f>Angela_2025_Chase1117_Activity_!B1817</f>
        <v>45747</v>
      </c>
      <c r="B1820" s="6" t="str">
        <f>Angela_2025_Chase1117_Activity_!C1817</f>
        <v>Online Payment 24217262158 To SAFECO INSURANCE COMPANY 03/31</v>
      </c>
      <c r="C1820" s="6" t="str">
        <f>Angela_2025_Chase1117_Activity_!G1817</f>
        <v>Personal - House Bills</v>
      </c>
      <c r="D1820" s="12">
        <f>Angela_2025_Chase1117_Activity_!D1817</f>
        <v>-120</v>
      </c>
    </row>
    <row r="1821" spans="1:4" x14ac:dyDescent="0.25">
      <c r="A1821" s="26">
        <f>Angela_2025_Chase1117_Activity_!B1818</f>
        <v>45747</v>
      </c>
      <c r="B1821" s="6" t="str">
        <f>Angela_2025_Chase1117_Activity_!C1818</f>
        <v>Online Payment 24217255610 To AMERICAN EDUCATION SERVICES 03/31</v>
      </c>
      <c r="C1821" s="6" t="str">
        <f>Angela_2025_Chase1117_Activity_!G1818</f>
        <v>Personal - House Bills</v>
      </c>
      <c r="D1821" s="12">
        <f>Angela_2025_Chase1117_Activity_!D1818</f>
        <v>-320</v>
      </c>
    </row>
    <row r="1822" spans="1:4" x14ac:dyDescent="0.25">
      <c r="A1822" s="26">
        <f>Angela_2025_Chase1117_Activity_!B1819</f>
        <v>45747</v>
      </c>
      <c r="B1822" s="6" t="str">
        <f>Angela_2025_Chase1117_Activity_!C1819</f>
        <v>Online Payment 24217268970 To MERCEDES-BENZ FINANCIAL SERVICES 03/31</v>
      </c>
      <c r="C1822" s="6" t="str">
        <f>Angela_2025_Chase1117_Activity_!G1819</f>
        <v>Personal - House Bills</v>
      </c>
      <c r="D1822" s="12">
        <f>Angela_2025_Chase1117_Activity_!D1819</f>
        <v>-700</v>
      </c>
    </row>
    <row r="1823" spans="1:4" x14ac:dyDescent="0.25">
      <c r="A1823" s="26">
        <f>Angela_2025_Chase1117_Activity_!B1820</f>
        <v>45747</v>
      </c>
      <c r="B1823" s="6" t="str">
        <f>Angela_2025_Chase1117_Activity_!C1820</f>
        <v>Online Payment 24217261056 To SOUTHERN CALIFORNIA GAS CO 03/31</v>
      </c>
      <c r="C1823" s="6" t="str">
        <f>Angela_2025_Chase1117_Activity_!G1820</f>
        <v>Personal - House Bills</v>
      </c>
      <c r="D1823" s="12">
        <f>Angela_2025_Chase1117_Activity_!D1820</f>
        <v>-300</v>
      </c>
    </row>
    <row r="1824" spans="1:4" x14ac:dyDescent="0.25">
      <c r="A1824" s="26">
        <f>Angela_2025_Chase1117_Activity_!B1821</f>
        <v>45747</v>
      </c>
      <c r="B1824" s="6" t="str">
        <f>Angela_2025_Chase1117_Activity_!C1821</f>
        <v>Online Payment 24217252991 To FRONTIER TELEPHONE 03/31</v>
      </c>
      <c r="C1824" s="6" t="str">
        <f>Angela_2025_Chase1117_Activity_!G1821</f>
        <v>Personal - House Bills</v>
      </c>
      <c r="D1824" s="12">
        <f>Angela_2025_Chase1117_Activity_!D1821</f>
        <v>-300</v>
      </c>
    </row>
    <row r="1825" spans="1:4" x14ac:dyDescent="0.25">
      <c r="A1825" s="26">
        <f>Angela_2025_Chase1117_Activity_!B1822</f>
        <v>45747</v>
      </c>
      <c r="B1825" s="6" t="str">
        <f>Angela_2025_Chase1117_Activity_!C1822</f>
        <v>AMAZON MKTPL*YI8J51Z Amzn.com/bill WA        03/29</v>
      </c>
      <c r="C1825" s="6" t="str">
        <f>Angela_2025_Chase1117_Activity_!G1822</f>
        <v>Amazon</v>
      </c>
      <c r="D1825" s="12">
        <f>Angela_2025_Chase1117_Activity_!D1822</f>
        <v>-52.45</v>
      </c>
    </row>
    <row r="1826" spans="1:4" x14ac:dyDescent="0.25">
      <c r="A1826" s="26">
        <f>Angela_2025_Chase1117_Activity_!B1823</f>
        <v>45747</v>
      </c>
      <c r="B1826" s="6" t="str">
        <f>Angela_2025_Chase1117_Activity_!C1823</f>
        <v>AAA CULVER CITY-R CULVER CITY CA             03/28</v>
      </c>
      <c r="C1826" s="6" t="str">
        <f>Angela_2025_Chase1117_Activity_!G1823</f>
        <v>Personal - Car</v>
      </c>
      <c r="D1826" s="12">
        <f>Angela_2025_Chase1117_Activity_!D1823</f>
        <v>-62.05</v>
      </c>
    </row>
    <row r="1827" spans="1:4" x14ac:dyDescent="0.25">
      <c r="A1827" s="26">
        <f>Angela_2025_Chase1117_Activity_!B1824</f>
        <v>45747</v>
      </c>
      <c r="B1827" s="6" t="str">
        <f>Angela_2025_Chase1117_Activity_!C1824</f>
        <v>GRANDVIEW CLEANERS LOS ANGELES CA            03/28</v>
      </c>
      <c r="C1827" s="6" t="str">
        <f>Angela_2025_Chase1117_Activity_!G1824</f>
        <v>Personal - Clothing</v>
      </c>
      <c r="D1827" s="12">
        <f>Angela_2025_Chase1117_Activity_!D1824</f>
        <v>-290</v>
      </c>
    </row>
    <row r="1828" spans="1:4" x14ac:dyDescent="0.25">
      <c r="A1828" s="26">
        <f>Angela_2025_Chase1117_Activity_!B1825</f>
        <v>45747</v>
      </c>
      <c r="B1828" s="6" t="str">
        <f>Angela_2025_Chase1117_Activity_!C1825</f>
        <v>THE UPS STORE 4398 310-9156580 CA            03/28</v>
      </c>
      <c r="C1828" s="6" t="str">
        <f>Angela_2025_Chase1117_Activity_!G1825</f>
        <v>Shipping</v>
      </c>
      <c r="D1828" s="12">
        <f>Angela_2025_Chase1117_Activity_!D1825</f>
        <v>-59.97</v>
      </c>
    </row>
    <row r="1829" spans="1:4" x14ac:dyDescent="0.25">
      <c r="A1829" s="26">
        <f>Angela_2025_Chase1117_Activity_!B1826</f>
        <v>45747</v>
      </c>
      <c r="B1829" s="6" t="str">
        <f>Angela_2025_Chase1117_Activity_!C1826</f>
        <v>CVSExtraCare 80074672 800-746-7287 RI        03/28</v>
      </c>
      <c r="C1829" s="6" t="str">
        <f>Angela_2025_Chase1117_Activity_!G1826</f>
        <v>Personal - Health</v>
      </c>
      <c r="D1829" s="12">
        <f>Angela_2025_Chase1117_Activity_!D1826</f>
        <v>-5.48</v>
      </c>
    </row>
    <row r="1830" spans="1:4" x14ac:dyDescent="0.25">
      <c r="A1830" s="26">
        <f>Angela_2025_Chase1117_Activity_!B1827</f>
        <v>45747</v>
      </c>
      <c r="B1830" s="6" t="str">
        <f>Angela_2025_Chase1117_Activity_!C1827</f>
        <v>AMAZON MKTPL*BL3AJ2P Amzn.com/bill WA        03/28</v>
      </c>
      <c r="C1830" s="6" t="str">
        <f>Angela_2025_Chase1117_Activity_!G1827</f>
        <v>Amazon</v>
      </c>
      <c r="D1830" s="12">
        <f>Angela_2025_Chase1117_Activity_!D1827</f>
        <v>-87.34</v>
      </c>
    </row>
    <row r="1831" spans="1:4" x14ac:dyDescent="0.25">
      <c r="A1831" s="26">
        <f>Angela_2025_Chase1117_Activity_!B1828</f>
        <v>45747</v>
      </c>
      <c r="B1831" s="6" t="str">
        <f>Angela_2025_Chase1117_Activity_!C1828</f>
        <v>Amazon.com*FI13Y1843 Amzn.com/bill WA        03/28</v>
      </c>
      <c r="C1831" s="6" t="str">
        <f>Angela_2025_Chase1117_Activity_!G1828</f>
        <v>Amazon</v>
      </c>
      <c r="D1831" s="12">
        <f>Angela_2025_Chase1117_Activity_!D1828</f>
        <v>-26.56</v>
      </c>
    </row>
    <row r="1832" spans="1:4" x14ac:dyDescent="0.25">
      <c r="A1832" s="26">
        <f>Angela_2025_Chase1117_Activity_!B1829</f>
        <v>45747</v>
      </c>
      <c r="B1832" s="6" t="str">
        <f>Angela_2025_Chase1117_Activity_!C1829</f>
        <v>GRUBHUB*LAVEGAN GRUBHUB.COM NY               03/28</v>
      </c>
      <c r="C1832" s="6" t="str">
        <f>Angela_2025_Chase1117_Activity_!G1829</f>
        <v>Uber Eats</v>
      </c>
      <c r="D1832" s="12">
        <f>Angela_2025_Chase1117_Activity_!D1829</f>
        <v>-136.01</v>
      </c>
    </row>
    <row r="1833" spans="1:4" x14ac:dyDescent="0.25">
      <c r="A1833" s="26">
        <f>Angela_2025_Chase1117_Activity_!B1830</f>
        <v>45747</v>
      </c>
      <c r="B1833" s="6" t="str">
        <f>Angela_2025_Chase1117_Activity_!C1830</f>
        <v>Online Transfer from CHK ...1168 transaction#: 24237495017</v>
      </c>
      <c r="C1833" s="6" t="str">
        <f>Angela_2025_Chase1117_Activity_!G1830</f>
        <v>Transfer from DWG Capital Group</v>
      </c>
      <c r="D1833" s="12">
        <f>Angela_2025_Chase1117_Activity_!D1830</f>
        <v>10000</v>
      </c>
    </row>
    <row r="1834" spans="1:4" x14ac:dyDescent="0.25">
      <c r="A1834" s="26">
        <f>Angela_2025_Chase1117_Activity_!B1831</f>
        <v>45744</v>
      </c>
      <c r="B1834" s="6" t="str">
        <f>Angela_2025_Chase1117_Activity_!C1831</f>
        <v>UBER   *TRIP HELP.UB SAN FRANCISCO CA017263  03/28</v>
      </c>
      <c r="C1834" s="6" t="str">
        <f>Angela_2025_Chase1117_Activity_!G1831</f>
        <v>Personal - Uber</v>
      </c>
      <c r="D1834" s="12">
        <f>Angela_2025_Chase1117_Activity_!D1831</f>
        <v>-23.92</v>
      </c>
    </row>
    <row r="1835" spans="1:4" x14ac:dyDescent="0.25">
      <c r="A1835" s="26">
        <f>Angela_2025_Chase1117_Activity_!B1832</f>
        <v>45744</v>
      </c>
      <c r="B1835" s="6" t="str">
        <f>Angela_2025_Chase1117_Activity_!C1832</f>
        <v>CVS/PHARMACY #09493 MAR VISTA CA     027827  03/28</v>
      </c>
      <c r="C1835" s="6" t="str">
        <f>Angela_2025_Chase1117_Activity_!G1832</f>
        <v>Personal - Health</v>
      </c>
      <c r="D1835" s="12">
        <f>Angela_2025_Chase1117_Activity_!D1832</f>
        <v>-148.55000000000001</v>
      </c>
    </row>
    <row r="1836" spans="1:4" x14ac:dyDescent="0.25">
      <c r="A1836" s="26">
        <f>Angela_2025_Chase1117_Activity_!B1833</f>
        <v>45744</v>
      </c>
      <c r="B1836" s="6" t="str">
        <f>Angela_2025_Chase1117_Activity_!C1833</f>
        <v>APPLE.COM/BILL 866-712-7753 CA               03/28</v>
      </c>
      <c r="C1836" s="6" t="str">
        <f>Angela_2025_Chase1117_Activity_!G1833</f>
        <v>Apple</v>
      </c>
      <c r="D1836" s="12">
        <f>Angela_2025_Chase1117_Activity_!D1833</f>
        <v>-5.99</v>
      </c>
    </row>
    <row r="1837" spans="1:4" x14ac:dyDescent="0.25">
      <c r="A1837" s="26">
        <f>Angela_2025_Chase1117_Activity_!B1834</f>
        <v>45744</v>
      </c>
      <c r="B1837" s="6" t="str">
        <f>Angela_2025_Chase1117_Activity_!C1834</f>
        <v>NNTCWWW.TARGET.COM 9 BROOKLYN PARK MN391631  03/27</v>
      </c>
      <c r="C1837" s="6" t="str">
        <f>Angela_2025_Chase1117_Activity_!G1834</f>
        <v>Personal - Shopping</v>
      </c>
      <c r="D1837" s="12">
        <f>Angela_2025_Chase1117_Activity_!D1834</f>
        <v>-10</v>
      </c>
    </row>
    <row r="1838" spans="1:4" x14ac:dyDescent="0.25">
      <c r="A1838" s="26">
        <f>Angela_2025_Chase1117_Activity_!B1835</f>
        <v>45744</v>
      </c>
      <c r="B1838" s="6" t="str">
        <f>Angela_2025_Chase1117_Activity_!C1835</f>
        <v>NNTCWWW.TARGET.COM 9 BROOKLYN PARK MN391631  03/27</v>
      </c>
      <c r="C1838" s="6" t="str">
        <f>Angela_2025_Chase1117_Activity_!G1835</f>
        <v>Personal - Shopping</v>
      </c>
      <c r="D1838" s="12">
        <f>Angela_2025_Chase1117_Activity_!D1835</f>
        <v>-91.89</v>
      </c>
    </row>
    <row r="1839" spans="1:4" x14ac:dyDescent="0.25">
      <c r="A1839" s="26">
        <f>Angela_2025_Chase1117_Activity_!B1836</f>
        <v>45744</v>
      </c>
      <c r="B1839" s="6" t="str">
        <f>Angela_2025_Chase1117_Activity_!C1836</f>
        <v>NNTCWWW.TARGET.COM 4 BROOKLYN PARK MN392536  03/28</v>
      </c>
      <c r="C1839" s="6" t="str">
        <f>Angela_2025_Chase1117_Activity_!G1836</f>
        <v>Personal - Shopping</v>
      </c>
      <c r="D1839" s="12">
        <f>Angela_2025_Chase1117_Activity_!D1836</f>
        <v>-22.18</v>
      </c>
    </row>
    <row r="1840" spans="1:4" x14ac:dyDescent="0.25">
      <c r="A1840" s="26">
        <f>Angela_2025_Chase1117_Activity_!B1837</f>
        <v>45744</v>
      </c>
      <c r="B1840" s="6" t="str">
        <f>Angela_2025_Chase1117_Activity_!C1837</f>
        <v>Patreon* Membership Internet CA              03/28</v>
      </c>
      <c r="C1840" s="6" t="str">
        <f>Angela_2025_Chase1117_Activity_!G1837</f>
        <v>Personal - Subscription</v>
      </c>
      <c r="D1840" s="12">
        <f>Angela_2025_Chase1117_Activity_!D1837</f>
        <v>-7.5</v>
      </c>
    </row>
    <row r="1841" spans="1:4" x14ac:dyDescent="0.25">
      <c r="A1841" s="26">
        <f>Angela_2025_Chase1117_Activity_!B1838</f>
        <v>45744</v>
      </c>
      <c r="B1841" s="6" t="str">
        <f>Angela_2025_Chase1117_Activity_!C1838</f>
        <v>AMAZON MKTPL*DE2JT10 Amzn.com/bill WA        03/28</v>
      </c>
      <c r="C1841" s="6" t="str">
        <f>Angela_2025_Chase1117_Activity_!G1838</f>
        <v>Amazon</v>
      </c>
      <c r="D1841" s="12">
        <f>Angela_2025_Chase1117_Activity_!D1838</f>
        <v>-332.25</v>
      </c>
    </row>
    <row r="1842" spans="1:4" x14ac:dyDescent="0.25">
      <c r="A1842" s="26">
        <f>Angela_2025_Chase1117_Activity_!B1839</f>
        <v>45744</v>
      </c>
      <c r="B1842" s="6" t="str">
        <f>Angela_2025_Chase1117_Activity_!C1839</f>
        <v>Online Transfer from CHK ...1168 transaction#: 24215632050</v>
      </c>
      <c r="C1842" s="6" t="str">
        <f>Angela_2025_Chase1117_Activity_!G1839</f>
        <v>Transfer from DWG Capital Group</v>
      </c>
      <c r="D1842" s="12">
        <f>Angela_2025_Chase1117_Activity_!D1839</f>
        <v>3000</v>
      </c>
    </row>
    <row r="1843" spans="1:4" x14ac:dyDescent="0.25">
      <c r="A1843" s="26">
        <f>Angela_2025_Chase1117_Activity_!B1840</f>
        <v>45744</v>
      </c>
      <c r="B1843" s="6" t="str">
        <f>Angela_2025_Chase1117_Activity_!C1840</f>
        <v>Online Transfer from CHK ...1168 transaction#: 24215711884</v>
      </c>
      <c r="C1843" s="6" t="str">
        <f>Angela_2025_Chase1117_Activity_!G1840</f>
        <v>Transfer from DWG Capital Group</v>
      </c>
      <c r="D1843" s="12">
        <f>Angela_2025_Chase1117_Activity_!D1840</f>
        <v>5000</v>
      </c>
    </row>
    <row r="1844" spans="1:4" x14ac:dyDescent="0.25">
      <c r="A1844" s="26">
        <f>Angela_2025_Chase1117_Activity_!B1841</f>
        <v>45743</v>
      </c>
      <c r="B1844" s="6" t="str">
        <f>Angela_2025_Chase1117_Activity_!C1841</f>
        <v>ZARA USA INC. ESTADOS UNIDO NY       366841  03/24</v>
      </c>
      <c r="C1844" s="6" t="str">
        <f>Angela_2025_Chase1117_Activity_!G1841</f>
        <v>Personal - Shopping</v>
      </c>
      <c r="D1844" s="12">
        <f>Angela_2025_Chase1117_Activity_!D1841</f>
        <v>-451.35</v>
      </c>
    </row>
    <row r="1845" spans="1:4" x14ac:dyDescent="0.25">
      <c r="A1845" s="26">
        <f>Angela_2025_Chase1117_Activity_!B1842</f>
        <v>45743</v>
      </c>
      <c r="B1845" s="6" t="str">
        <f>Angela_2025_Chase1117_Activity_!C1842</f>
        <v>NNTCWWW.TARGET.COM 5 BROOKLYN PARK MN850921  03/26</v>
      </c>
      <c r="C1845" s="6" t="str">
        <f>Angela_2025_Chase1117_Activity_!G1842</f>
        <v>Personal - Shopping</v>
      </c>
      <c r="D1845" s="12">
        <f>Angela_2025_Chase1117_Activity_!D1842</f>
        <v>-20</v>
      </c>
    </row>
    <row r="1846" spans="1:4" x14ac:dyDescent="0.25">
      <c r="A1846" s="26">
        <f>Angela_2025_Chase1117_Activity_!B1843</f>
        <v>45743</v>
      </c>
      <c r="B1846" s="6" t="str">
        <f>Angela_2025_Chase1117_Activity_!C1843</f>
        <v>NNTCWWW.TARGET.COM 5 BROOKLYN PARK MN321721  03/26</v>
      </c>
      <c r="C1846" s="6" t="str">
        <f>Angela_2025_Chase1117_Activity_!G1843</f>
        <v>Personal - Shopping</v>
      </c>
      <c r="D1846" s="12">
        <f>Angela_2025_Chase1117_Activity_!D1843</f>
        <v>-10</v>
      </c>
    </row>
    <row r="1847" spans="1:4" x14ac:dyDescent="0.25">
      <c r="A1847" s="26">
        <f>Angela_2025_Chase1117_Activity_!B1844</f>
        <v>45743</v>
      </c>
      <c r="B1847" s="6" t="str">
        <f>Angela_2025_Chase1117_Activity_!C1844</f>
        <v>SPACEWEATHERNEWS.COM SPACEWEATHERN CO        03/26</v>
      </c>
      <c r="C1847" s="6" t="str">
        <f>Angela_2025_Chase1117_Activity_!G1844</f>
        <v>Personal - Subscription</v>
      </c>
      <c r="D1847" s="12">
        <f>Angela_2025_Chase1117_Activity_!D1844</f>
        <v>-5.99</v>
      </c>
    </row>
    <row r="1848" spans="1:4" x14ac:dyDescent="0.25">
      <c r="A1848" s="26">
        <f>Angela_2025_Chase1117_Activity_!B1845</f>
        <v>45743</v>
      </c>
      <c r="B1848" s="6" t="str">
        <f>Angela_2025_Chase1117_Activity_!C1845</f>
        <v>Prime Video Channels amzn.com/bill WA        03/26</v>
      </c>
      <c r="C1848" s="6" t="str">
        <f>Angela_2025_Chase1117_Activity_!G1845</f>
        <v>Amazon</v>
      </c>
      <c r="D1848" s="12">
        <f>Angela_2025_Chase1117_Activity_!D1845</f>
        <v>-6.99</v>
      </c>
    </row>
    <row r="1849" spans="1:4" x14ac:dyDescent="0.25">
      <c r="A1849" s="26">
        <f>Angela_2025_Chase1117_Activity_!B1846</f>
        <v>45743</v>
      </c>
      <c r="B1849" s="6" t="str">
        <f>Angela_2025_Chase1117_Activity_!C1846</f>
        <v>LIFEWAVE LLC 858-4599876 CA                  03/26</v>
      </c>
      <c r="C1849" s="6" t="str">
        <f>Angela_2025_Chase1117_Activity_!G1846</f>
        <v>Personal - Health</v>
      </c>
      <c r="D1849" s="12">
        <f>Angela_2025_Chase1117_Activity_!D1846</f>
        <v>-238.75</v>
      </c>
    </row>
    <row r="1850" spans="1:4" x14ac:dyDescent="0.25">
      <c r="A1850" s="26">
        <f>Angela_2025_Chase1117_Activity_!B1847</f>
        <v>45742</v>
      </c>
      <c r="B1850" s="6" t="str">
        <f>Angela_2025_Chase1117_Activity_!C1847</f>
        <v>UBER   * EATS PENDIN SAN FRANCISCO CA198304  03/26</v>
      </c>
      <c r="C1850" s="6" t="str">
        <f>Angela_2025_Chase1117_Activity_!G1847</f>
        <v>Uber Eats</v>
      </c>
      <c r="D1850" s="12">
        <f>Angela_2025_Chase1117_Activity_!D1847</f>
        <v>-44.12</v>
      </c>
    </row>
    <row r="1851" spans="1:4" x14ac:dyDescent="0.25">
      <c r="A1851" s="26">
        <f>Angela_2025_Chase1117_Activity_!B1848</f>
        <v>45742</v>
      </c>
      <c r="B1851" s="6" t="str">
        <f>Angela_2025_Chase1117_Activity_!C1848</f>
        <v>UBER   *TRIP HELP.UB SAN FRANCISCO CA018915  03/26</v>
      </c>
      <c r="C1851" s="6" t="str">
        <f>Angela_2025_Chase1117_Activity_!G1848</f>
        <v>Personal - Uber</v>
      </c>
      <c r="D1851" s="12">
        <f>Angela_2025_Chase1117_Activity_!D1848</f>
        <v>-5</v>
      </c>
    </row>
    <row r="1852" spans="1:4" x14ac:dyDescent="0.25">
      <c r="A1852" s="26">
        <f>Angela_2025_Chase1117_Activity_!B1849</f>
        <v>45742</v>
      </c>
      <c r="B1852" s="6" t="str">
        <f>Angela_2025_Chase1117_Activity_!C1849</f>
        <v>NNTCWWW.TARGET.COM 5 BROOKLYN PARK MN321721  03/26</v>
      </c>
      <c r="C1852" s="6" t="str">
        <f>Angela_2025_Chase1117_Activity_!G1849</f>
        <v>Personal - Shopping</v>
      </c>
      <c r="D1852" s="12">
        <f>Angela_2025_Chase1117_Activity_!D1849</f>
        <v>-80.95</v>
      </c>
    </row>
    <row r="1853" spans="1:4" x14ac:dyDescent="0.25">
      <c r="A1853" s="26">
        <f>Angela_2025_Chase1117_Activity_!B1850</f>
        <v>45742</v>
      </c>
      <c r="B1853" s="6" t="str">
        <f>Angela_2025_Chase1117_Activity_!C1850</f>
        <v>CHECK 8708  03/26</v>
      </c>
      <c r="C1853" s="6" t="str">
        <f>Angela_2025_Chase1117_Activity_!G1850</f>
        <v>Checks Paid</v>
      </c>
      <c r="D1853" s="12">
        <f>Angela_2025_Chase1117_Activity_!D1850</f>
        <v>-1180</v>
      </c>
    </row>
    <row r="1854" spans="1:4" x14ac:dyDescent="0.25">
      <c r="A1854" s="26">
        <f>Angela_2025_Chase1117_Activity_!B1851</f>
        <v>45742</v>
      </c>
      <c r="B1854" s="6" t="str">
        <f>Angela_2025_Chase1117_Activity_!C1851</f>
        <v>UBER   * PENDING SAN FRANCISCO CA    018378  03/25</v>
      </c>
      <c r="C1854" s="6" t="str">
        <f>Angela_2025_Chase1117_Activity_!G1851</f>
        <v>Personal - Uber</v>
      </c>
      <c r="D1854" s="12">
        <f>Angela_2025_Chase1117_Activity_!D1851</f>
        <v>-19.989999999999998</v>
      </c>
    </row>
    <row r="1855" spans="1:4" x14ac:dyDescent="0.25">
      <c r="A1855" s="26">
        <f>Angela_2025_Chase1117_Activity_!B1852</f>
        <v>45742</v>
      </c>
      <c r="B1855" s="6" t="str">
        <f>Angela_2025_Chase1117_Activity_!C1852</f>
        <v>THE UPS STORE 4398 310-9156580 CA            03/25</v>
      </c>
      <c r="C1855" s="6" t="str">
        <f>Angela_2025_Chase1117_Activity_!G1852</f>
        <v>Shipping</v>
      </c>
      <c r="D1855" s="12">
        <f>Angela_2025_Chase1117_Activity_!D1852</f>
        <v>-49.79</v>
      </c>
    </row>
    <row r="1856" spans="1:4" x14ac:dyDescent="0.25">
      <c r="A1856" s="26">
        <f>Angela_2025_Chase1117_Activity_!B1853</f>
        <v>45742</v>
      </c>
      <c r="B1856" s="6" t="str">
        <f>Angela_2025_Chase1117_Activity_!C1853</f>
        <v>TST*BLUEYS KITCHEN MAR Los Angeles CA        03/25</v>
      </c>
      <c r="C1856" s="6" t="str">
        <f>Angela_2025_Chase1117_Activity_!G1853</f>
        <v>Personal - Food</v>
      </c>
      <c r="D1856" s="12">
        <f>Angela_2025_Chase1117_Activity_!D1853</f>
        <v>-65.36</v>
      </c>
    </row>
    <row r="1857" spans="1:4" x14ac:dyDescent="0.25">
      <c r="A1857" s="26">
        <f>Angela_2025_Chase1117_Activity_!B1854</f>
        <v>45742</v>
      </c>
      <c r="B1857" s="6" t="str">
        <f>Angela_2025_Chase1117_Activity_!C1854</f>
        <v>GRANDVIEW CLEANERS LOS ANGELES CA            03/25</v>
      </c>
      <c r="C1857" s="6" t="str">
        <f>Angela_2025_Chase1117_Activity_!G1854</f>
        <v>Personal - Clothing</v>
      </c>
      <c r="D1857" s="12">
        <f>Angela_2025_Chase1117_Activity_!D1854</f>
        <v>-229.21</v>
      </c>
    </row>
    <row r="1858" spans="1:4" x14ac:dyDescent="0.25">
      <c r="A1858" s="26">
        <f>Angela_2025_Chase1117_Activity_!B1855</f>
        <v>45742</v>
      </c>
      <c r="B1858" s="6" t="str">
        <f>Angela_2025_Chase1117_Activity_!C1855</f>
        <v>Amazon.com*YH2NL2ZP3 Amzn.com/bill WA        03/25</v>
      </c>
      <c r="C1858" s="6" t="str">
        <f>Angela_2025_Chase1117_Activity_!G1855</f>
        <v>Amazon</v>
      </c>
      <c r="D1858" s="12">
        <f>Angela_2025_Chase1117_Activity_!D1855</f>
        <v>-15.3</v>
      </c>
    </row>
    <row r="1859" spans="1:4" x14ac:dyDescent="0.25">
      <c r="A1859" s="26">
        <f>Angela_2025_Chase1117_Activity_!B1856</f>
        <v>45742</v>
      </c>
      <c r="B1859" s="6" t="str">
        <f>Angela_2025_Chase1117_Activity_!C1856</f>
        <v>Zara.com New York NY                         03/26</v>
      </c>
      <c r="C1859" s="6" t="str">
        <f>Angela_2025_Chase1117_Activity_!G1856</f>
        <v>Personal - Shopping</v>
      </c>
      <c r="D1859" s="12">
        <f>Angela_2025_Chase1117_Activity_!D1856</f>
        <v>-561.89</v>
      </c>
    </row>
    <row r="1860" spans="1:4" x14ac:dyDescent="0.25">
      <c r="A1860" s="26">
        <f>Angela_2025_Chase1117_Activity_!B1857</f>
        <v>45741</v>
      </c>
      <c r="B1860" s="6" t="str">
        <f>Angela_2025_Chase1117_Activity_!C1857</f>
        <v>UBER   *TRIP HELP.UB SAN FRANCISCO CA194741  03/25</v>
      </c>
      <c r="C1860" s="6" t="str">
        <f>Angela_2025_Chase1117_Activity_!G1857</f>
        <v>Personal - Uber</v>
      </c>
      <c r="D1860" s="12">
        <f>Angela_2025_Chase1117_Activity_!D1857</f>
        <v>-5</v>
      </c>
    </row>
    <row r="1861" spans="1:4" x14ac:dyDescent="0.25">
      <c r="A1861" s="26">
        <f>Angela_2025_Chase1117_Activity_!B1858</f>
        <v>45741</v>
      </c>
      <c r="B1861" s="6" t="str">
        <f>Angela_2025_Chase1117_Activity_!C1858</f>
        <v>LUKE UNFILTERED WEARECHANGE.O FL             03/25</v>
      </c>
      <c r="C1861" s="6" t="str">
        <f>Angela_2025_Chase1117_Activity_!G1858</f>
        <v>Personal - Subscription</v>
      </c>
      <c r="D1861" s="12">
        <f>Angela_2025_Chase1117_Activity_!D1858</f>
        <v>-15</v>
      </c>
    </row>
    <row r="1862" spans="1:4" x14ac:dyDescent="0.25">
      <c r="A1862" s="26">
        <f>Angela_2025_Chase1117_Activity_!B1859</f>
        <v>45741</v>
      </c>
      <c r="B1862" s="6" t="str">
        <f>Angela_2025_Chase1117_Activity_!C1859</f>
        <v>AMAZON PRIME*HS0S34O Amzn.com/bill WA        03/24</v>
      </c>
      <c r="C1862" s="6" t="str">
        <f>Angela_2025_Chase1117_Activity_!G1859</f>
        <v>Amazon</v>
      </c>
      <c r="D1862" s="12">
        <f>Angela_2025_Chase1117_Activity_!D1859</f>
        <v>-16.41</v>
      </c>
    </row>
    <row r="1863" spans="1:4" x14ac:dyDescent="0.25">
      <c r="A1863" s="26">
        <f>Angela_2025_Chase1117_Activity_!B1860</f>
        <v>45741</v>
      </c>
      <c r="B1863" s="6" t="str">
        <f>Angela_2025_Chase1117_Activity_!C1860</f>
        <v>ROSS STORES #311 VENICE CA                   03/24</v>
      </c>
      <c r="C1863" s="6" t="str">
        <f>Angela_2025_Chase1117_Activity_!G1860</f>
        <v>Personal - Shopping</v>
      </c>
      <c r="D1863" s="12">
        <f>Angela_2025_Chase1117_Activity_!D1860</f>
        <v>-235.39</v>
      </c>
    </row>
    <row r="1864" spans="1:4" x14ac:dyDescent="0.25">
      <c r="A1864" s="26">
        <f>Angela_2025_Chase1117_Activity_!B1861</f>
        <v>45741</v>
      </c>
      <c r="B1864" s="6" t="str">
        <f>Angela_2025_Chase1117_Activity_!C1861</f>
        <v>ATT*BILL PAYMENT 800-288-2020 TX             03/24</v>
      </c>
      <c r="C1864" s="6" t="str">
        <f>Angela_2025_Chase1117_Activity_!G1861</f>
        <v>AT&amp;T</v>
      </c>
      <c r="D1864" s="12">
        <f>Angela_2025_Chase1117_Activity_!D1861</f>
        <v>-553.94000000000005</v>
      </c>
    </row>
    <row r="1865" spans="1:4" x14ac:dyDescent="0.25">
      <c r="A1865" s="26">
        <f>Angela_2025_Chase1117_Activity_!B1862</f>
        <v>45741</v>
      </c>
      <c r="B1865" s="6" t="str">
        <f>Angela_2025_Chase1117_Activity_!C1862</f>
        <v>Amazon.com*HL1DI9MR3 Amzn.com/bill WA        03/24</v>
      </c>
      <c r="C1865" s="6" t="str">
        <f>Angela_2025_Chase1117_Activity_!G1862</f>
        <v>Amazon</v>
      </c>
      <c r="D1865" s="12">
        <f>Angela_2025_Chase1117_Activity_!D1862</f>
        <v>-22.83</v>
      </c>
    </row>
    <row r="1866" spans="1:4" x14ac:dyDescent="0.25">
      <c r="A1866" s="26">
        <f>Angela_2025_Chase1117_Activity_!B1863</f>
        <v>45741</v>
      </c>
      <c r="B1866" s="6" t="str">
        <f>Angela_2025_Chase1117_Activity_!C1863</f>
        <v>Amazon.com*TY14T0S13 Amzn.com/bill WA        03/24</v>
      </c>
      <c r="C1866" s="6" t="str">
        <f>Angela_2025_Chase1117_Activity_!G1863</f>
        <v>Amazon</v>
      </c>
      <c r="D1866" s="12">
        <f>Angela_2025_Chase1117_Activity_!D1863</f>
        <v>-12.03</v>
      </c>
    </row>
    <row r="1867" spans="1:4" x14ac:dyDescent="0.25">
      <c r="A1867" s="26">
        <f>Angela_2025_Chase1117_Activity_!B1864</f>
        <v>45741</v>
      </c>
      <c r="B1867" s="6" t="str">
        <f>Angela_2025_Chase1117_Activity_!C1864</f>
        <v>Zelle payment from JOE SAUNDERS 24169203809</v>
      </c>
      <c r="C1867" s="6" t="str">
        <f>Angela_2025_Chase1117_Activity_!G1864</f>
        <v>Zelle from Joe Saunders</v>
      </c>
      <c r="D1867" s="12">
        <f>Angela_2025_Chase1117_Activity_!D1864</f>
        <v>130</v>
      </c>
    </row>
    <row r="1868" spans="1:4" x14ac:dyDescent="0.25">
      <c r="A1868" s="26">
        <f>Angela_2025_Chase1117_Activity_!B1865</f>
        <v>45740</v>
      </c>
      <c r="B1868" s="6" t="str">
        <f>Angela_2025_Chase1117_Activity_!C1865</f>
        <v>UBER   * EATS PENDIN SAN FRANCISCO CA029047  03/24</v>
      </c>
      <c r="C1868" s="6" t="str">
        <f>Angela_2025_Chase1117_Activity_!G1865</f>
        <v>Uber Eats</v>
      </c>
      <c r="D1868" s="12">
        <f>Angela_2025_Chase1117_Activity_!D1865</f>
        <v>-30.53</v>
      </c>
    </row>
    <row r="1869" spans="1:4" x14ac:dyDescent="0.25">
      <c r="A1869" s="26">
        <f>Angela_2025_Chase1117_Activity_!B1866</f>
        <v>45740</v>
      </c>
      <c r="B1869" s="6" t="str">
        <f>Angela_2025_Chase1117_Activity_!C1866</f>
        <v>UBER   * PENDING SAN FRANCISCO CA    012912  03/24</v>
      </c>
      <c r="C1869" s="6" t="str">
        <f>Angela_2025_Chase1117_Activity_!G1866</f>
        <v>Personal - Uber</v>
      </c>
      <c r="D1869" s="12">
        <f>Angela_2025_Chase1117_Activity_!D1866</f>
        <v>-16.98</v>
      </c>
    </row>
    <row r="1870" spans="1:4" x14ac:dyDescent="0.25">
      <c r="A1870" s="26">
        <f>Angela_2025_Chase1117_Activity_!B1867</f>
        <v>45740</v>
      </c>
      <c r="B1870" s="6" t="str">
        <f>Angela_2025_Chase1117_Activity_!C1867</f>
        <v>UBER TRIP* TRIP SAN FRANCISCO CA     710005  03/24</v>
      </c>
      <c r="C1870" s="6" t="str">
        <f>Angela_2025_Chase1117_Activity_!G1867</f>
        <v>Personal - Uber</v>
      </c>
      <c r="D1870" s="12">
        <f>Angela_2025_Chase1117_Activity_!D1867</f>
        <v>-29.23</v>
      </c>
    </row>
    <row r="1871" spans="1:4" x14ac:dyDescent="0.25">
      <c r="A1871" s="26">
        <f>Angela_2025_Chase1117_Activity_!B1868</f>
        <v>45740</v>
      </c>
      <c r="B1871" s="6" t="str">
        <f>Angela_2025_Chase1117_Activity_!C1868</f>
        <v>UBER   * EATS PENDIN SAN FRANCISCO CA024251  03/23</v>
      </c>
      <c r="C1871" s="6" t="str">
        <f>Angela_2025_Chase1117_Activity_!G1868</f>
        <v>Uber Eats</v>
      </c>
      <c r="D1871" s="12">
        <f>Angela_2025_Chase1117_Activity_!D1868</f>
        <v>-108.53</v>
      </c>
    </row>
    <row r="1872" spans="1:4" x14ac:dyDescent="0.25">
      <c r="A1872" s="26">
        <f>Angela_2025_Chase1117_Activity_!B1869</f>
        <v>45740</v>
      </c>
      <c r="B1872" s="6" t="str">
        <f>Angela_2025_Chase1117_Activity_!C1869</f>
        <v>APPLE.COM/BILL 866-712-7753 CA               03/23</v>
      </c>
      <c r="C1872" s="6" t="str">
        <f>Angela_2025_Chase1117_Activity_!G1869</f>
        <v>Apple</v>
      </c>
      <c r="D1872" s="12">
        <f>Angela_2025_Chase1117_Activity_!D1869</f>
        <v>-10.99</v>
      </c>
    </row>
    <row r="1873" spans="1:4" x14ac:dyDescent="0.25">
      <c r="A1873" s="26">
        <f>Angela_2025_Chase1117_Activity_!B1870</f>
        <v>45740</v>
      </c>
      <c r="B1873" s="6" t="str">
        <f>Angela_2025_Chase1117_Activity_!C1870</f>
        <v>SP HEALTHRANGERSTORE HEALTHRANGERS TX        03/23</v>
      </c>
      <c r="C1873" s="6" t="str">
        <f>Angela_2025_Chase1117_Activity_!G1870</f>
        <v>Personal - Health</v>
      </c>
      <c r="D1873" s="12">
        <f>Angela_2025_Chase1117_Activity_!D1870</f>
        <v>-188.43</v>
      </c>
    </row>
    <row r="1874" spans="1:4" x14ac:dyDescent="0.25">
      <c r="A1874" s="26">
        <f>Angela_2025_Chase1117_Activity_!B1871</f>
        <v>45740</v>
      </c>
      <c r="B1874" s="6" t="str">
        <f>Angela_2025_Chase1117_Activity_!C1871</f>
        <v>PAVILIONS #2105 MARINA DEL RE CA             03/22</v>
      </c>
      <c r="C1874" s="6" t="str">
        <f>Angela_2025_Chase1117_Activity_!G1871</f>
        <v>Personal - Food</v>
      </c>
      <c r="D1874" s="12">
        <f>Angela_2025_Chase1117_Activity_!D1871</f>
        <v>-417.14</v>
      </c>
    </row>
    <row r="1875" spans="1:4" x14ac:dyDescent="0.25">
      <c r="A1875" s="26">
        <f>Angela_2025_Chase1117_Activity_!B1872</f>
        <v>45740</v>
      </c>
      <c r="B1875" s="6" t="str">
        <f>Angela_2025_Chase1117_Activity_!C1872</f>
        <v>2418 AMC AMC MARINA MARINA DEL RE CA         03/22</v>
      </c>
      <c r="C1875" s="6" t="str">
        <f>Angela_2025_Chase1117_Activity_!G1872</f>
        <v>Personal - Entertainment</v>
      </c>
      <c r="D1875" s="12">
        <f>Angela_2025_Chase1117_Activity_!D1872</f>
        <v>-12.98</v>
      </c>
    </row>
    <row r="1876" spans="1:4" x14ac:dyDescent="0.25">
      <c r="A1876" s="26">
        <f>Angela_2025_Chase1117_Activity_!B1873</f>
        <v>45740</v>
      </c>
      <c r="B1876" s="6" t="str">
        <f>Angela_2025_Chase1117_Activity_!C1873</f>
        <v>CVS/PHARMACY #08871 MARINA DEL RE CA 007240  03/22</v>
      </c>
      <c r="C1876" s="6" t="str">
        <f>Angela_2025_Chase1117_Activity_!G1873</f>
        <v>Personal - Health</v>
      </c>
      <c r="D1876" s="12">
        <f>Angela_2025_Chase1117_Activity_!D1873</f>
        <v>-181.31</v>
      </c>
    </row>
    <row r="1877" spans="1:4" x14ac:dyDescent="0.25">
      <c r="A1877" s="26">
        <f>Angela_2025_Chase1117_Activity_!B1874</f>
        <v>45740</v>
      </c>
      <c r="B1877" s="6" t="str">
        <f>Angela_2025_Chase1117_Activity_!C1874</f>
        <v>PACOS TACOS LOS ANGELES CA                   03/22</v>
      </c>
      <c r="C1877" s="6" t="str">
        <f>Angela_2025_Chase1117_Activity_!G1874</f>
        <v>Personal - Food</v>
      </c>
      <c r="D1877" s="12">
        <f>Angela_2025_Chase1117_Activity_!D1874</f>
        <v>-125.27</v>
      </c>
    </row>
    <row r="1878" spans="1:4" x14ac:dyDescent="0.25">
      <c r="A1878" s="26">
        <f>Angela_2025_Chase1117_Activity_!B1875</f>
        <v>45740</v>
      </c>
      <c r="B1878" s="6" t="str">
        <f>Angela_2025_Chase1117_Activity_!C1875</f>
        <v>SP HEALTHRANGERSTORE HEALTHRANGERS TX        03/22</v>
      </c>
      <c r="C1878" s="6" t="str">
        <f>Angela_2025_Chase1117_Activity_!G1875</f>
        <v>Personal - Health</v>
      </c>
      <c r="D1878" s="12">
        <f>Angela_2025_Chase1117_Activity_!D1875</f>
        <v>-144.44999999999999</v>
      </c>
    </row>
    <row r="1879" spans="1:4" x14ac:dyDescent="0.25">
      <c r="A1879" s="26">
        <f>Angela_2025_Chase1117_Activity_!B1876</f>
        <v>45740</v>
      </c>
      <c r="B1879" s="6" t="str">
        <f>Angela_2025_Chase1117_Activity_!C1876</f>
        <v>AMAZON MKTPL*L61215J Amzn.com/bill WA        03/23</v>
      </c>
      <c r="C1879" s="6" t="str">
        <f>Angela_2025_Chase1117_Activity_!G1876</f>
        <v>Amazon</v>
      </c>
      <c r="D1879" s="12">
        <f>Angela_2025_Chase1117_Activity_!D1876</f>
        <v>-60.16</v>
      </c>
    </row>
    <row r="1880" spans="1:4" x14ac:dyDescent="0.25">
      <c r="A1880" s="26">
        <f>Angela_2025_Chase1117_Activity_!B1877</f>
        <v>45740</v>
      </c>
      <c r="B1880" s="6" t="str">
        <f>Angela_2025_Chase1117_Activity_!C1877</f>
        <v>AMAZON MKTPL*R37WP58 Amzn.com/bill WA        03/22</v>
      </c>
      <c r="C1880" s="6" t="str">
        <f>Angela_2025_Chase1117_Activity_!G1877</f>
        <v>Amazon</v>
      </c>
      <c r="D1880" s="12">
        <f>Angela_2025_Chase1117_Activity_!D1877</f>
        <v>-29.52</v>
      </c>
    </row>
    <row r="1881" spans="1:4" x14ac:dyDescent="0.25">
      <c r="A1881" s="26">
        <f>Angela_2025_Chase1117_Activity_!B1878</f>
        <v>45740</v>
      </c>
      <c r="B1881" s="6" t="str">
        <f>Angela_2025_Chase1117_Activity_!C1878</f>
        <v>AMAZON MKTPL*608H20J Amzn.com/bill WA        03/23</v>
      </c>
      <c r="C1881" s="6" t="str">
        <f>Angela_2025_Chase1117_Activity_!G1878</f>
        <v>Amazon</v>
      </c>
      <c r="D1881" s="12">
        <f>Angela_2025_Chase1117_Activity_!D1878</f>
        <v>-71.150000000000006</v>
      </c>
    </row>
    <row r="1882" spans="1:4" x14ac:dyDescent="0.25">
      <c r="A1882" s="26">
        <f>Angela_2025_Chase1117_Activity_!B1879</f>
        <v>45740</v>
      </c>
      <c r="B1882" s="6" t="str">
        <f>Angela_2025_Chase1117_Activity_!C1879</f>
        <v>AMC 9640 ONLINE 888-440-4262 KS              03/22</v>
      </c>
      <c r="C1882" s="6" t="str">
        <f>Angela_2025_Chase1117_Activity_!G1879</f>
        <v>Personal - Entertainment</v>
      </c>
      <c r="D1882" s="12">
        <f>Angela_2025_Chase1117_Activity_!D1879</f>
        <v>-77.040000000000006</v>
      </c>
    </row>
    <row r="1883" spans="1:4" x14ac:dyDescent="0.25">
      <c r="A1883" s="26">
        <f>Angela_2025_Chase1117_Activity_!B1880</f>
        <v>45740</v>
      </c>
      <c r="B1883" s="6" t="str">
        <f>Angela_2025_Chase1117_Activity_!C1880</f>
        <v>AMAZON MKTPL*LS0Z841 Amzn.com/bill WA        03/24</v>
      </c>
      <c r="C1883" s="6" t="str">
        <f>Angela_2025_Chase1117_Activity_!G1880</f>
        <v>Amazon</v>
      </c>
      <c r="D1883" s="12">
        <f>Angela_2025_Chase1117_Activity_!D1880</f>
        <v>-25.57</v>
      </c>
    </row>
    <row r="1884" spans="1:4" x14ac:dyDescent="0.25">
      <c r="A1884" s="26">
        <f>Angela_2025_Chase1117_Activity_!B1881</f>
        <v>45740</v>
      </c>
      <c r="B1884" s="6" t="str">
        <f>Angela_2025_Chase1117_Activity_!C1881</f>
        <v>AMAZON MKTPL*I26RW0B Amzn.com/bill WA        03/22</v>
      </c>
      <c r="C1884" s="6" t="str">
        <f>Angela_2025_Chase1117_Activity_!G1881</f>
        <v>Amazon</v>
      </c>
      <c r="D1884" s="12">
        <f>Angela_2025_Chase1117_Activity_!D1881</f>
        <v>-93.06</v>
      </c>
    </row>
    <row r="1885" spans="1:4" x14ac:dyDescent="0.25">
      <c r="A1885" s="26">
        <f>Angela_2025_Chase1117_Activity_!B1882</f>
        <v>45740</v>
      </c>
      <c r="B1885" s="6" t="str">
        <f>Angela_2025_Chase1117_Activity_!C1882</f>
        <v>TST*BLUEYS KITCHEN MAR Los Angeles CA        03/21</v>
      </c>
      <c r="C1885" s="6" t="str">
        <f>Angela_2025_Chase1117_Activity_!G1882</f>
        <v>Personal - Food</v>
      </c>
      <c r="D1885" s="12">
        <f>Angela_2025_Chase1117_Activity_!D1882</f>
        <v>-61.86</v>
      </c>
    </row>
    <row r="1886" spans="1:4" x14ac:dyDescent="0.25">
      <c r="A1886" s="26">
        <f>Angela_2025_Chase1117_Activity_!B1883</f>
        <v>45740</v>
      </c>
      <c r="B1886" s="6" t="str">
        <f>Angela_2025_Chase1117_Activity_!C1883</f>
        <v>COMPLETE EYE CARE CENT LOS ANGELES CA        03/21</v>
      </c>
      <c r="C1886" s="6" t="str">
        <f>Angela_2025_Chase1117_Activity_!G1883</f>
        <v>Personal - Health</v>
      </c>
      <c r="D1886" s="12">
        <f>Angela_2025_Chase1117_Activity_!D1883</f>
        <v>-1530</v>
      </c>
    </row>
    <row r="1887" spans="1:4" x14ac:dyDescent="0.25">
      <c r="A1887" s="26">
        <f>Angela_2025_Chase1117_Activity_!B1884</f>
        <v>45740</v>
      </c>
      <c r="B1887" s="6" t="str">
        <f>Angela_2025_Chase1117_Activity_!C1884</f>
        <v>COMPLETE EYE CARE CENT LOS ANGELES CA        03/21</v>
      </c>
      <c r="C1887" s="6" t="str">
        <f>Angela_2025_Chase1117_Activity_!G1884</f>
        <v>Personal - Health</v>
      </c>
      <c r="D1887" s="12">
        <f>Angela_2025_Chase1117_Activity_!D1884</f>
        <v>-1260</v>
      </c>
    </row>
    <row r="1888" spans="1:4" x14ac:dyDescent="0.25">
      <c r="A1888" s="26">
        <f>Angela_2025_Chase1117_Activity_!B1885</f>
        <v>45740</v>
      </c>
      <c r="B1888" s="6" t="str">
        <f>Angela_2025_Chase1117_Activity_!C1885</f>
        <v>SQ *THE ANTI AGING CENT Torrance CA          03/21</v>
      </c>
      <c r="C1888" s="6" t="str">
        <f>Angela_2025_Chase1117_Activity_!G1885</f>
        <v>Personal - Health</v>
      </c>
      <c r="D1888" s="12">
        <f>Angela_2025_Chase1117_Activity_!D1885</f>
        <v>-395</v>
      </c>
    </row>
    <row r="1889" spans="1:4" x14ac:dyDescent="0.25">
      <c r="A1889" s="26">
        <f>Angela_2025_Chase1117_Activity_!B1886</f>
        <v>45740</v>
      </c>
      <c r="B1889" s="6" t="str">
        <f>Angela_2025_Chase1117_Activity_!C1886</f>
        <v>AMAZON MKTPL*JC5XH9J Amzn.com/bill WA        03/21</v>
      </c>
      <c r="C1889" s="6" t="str">
        <f>Angela_2025_Chase1117_Activity_!G1886</f>
        <v>Amazon</v>
      </c>
      <c r="D1889" s="12">
        <f>Angela_2025_Chase1117_Activity_!D1886</f>
        <v>-29.55</v>
      </c>
    </row>
    <row r="1890" spans="1:4" x14ac:dyDescent="0.25">
      <c r="A1890" s="26">
        <f>Angela_2025_Chase1117_Activity_!B1887</f>
        <v>45740</v>
      </c>
      <c r="B1890" s="6" t="str">
        <f>Angela_2025_Chase1117_Activity_!C1887</f>
        <v>AMAZON MKTPL*T09QQ7V Amzn.com/bill WA        03/21</v>
      </c>
      <c r="C1890" s="6" t="str">
        <f>Angela_2025_Chase1117_Activity_!G1887</f>
        <v>Amazon</v>
      </c>
      <c r="D1890" s="12">
        <f>Angela_2025_Chase1117_Activity_!D1887</f>
        <v>-26.91</v>
      </c>
    </row>
    <row r="1891" spans="1:4" x14ac:dyDescent="0.25">
      <c r="A1891" s="26">
        <f>Angela_2025_Chase1117_Activity_!B1888</f>
        <v>45740</v>
      </c>
      <c r="B1891" s="6" t="str">
        <f>Angela_2025_Chase1117_Activity_!C1888</f>
        <v>ZARA USA PREOWNED WWW.ZARA.COM/ NY           03/22</v>
      </c>
      <c r="C1891" s="6" t="str">
        <f>Angela_2025_Chase1117_Activity_!G1888</f>
        <v>Personal - Shopping</v>
      </c>
      <c r="D1891" s="12">
        <f>Angela_2025_Chase1117_Activity_!D1888</f>
        <v>-42.98</v>
      </c>
    </row>
    <row r="1892" spans="1:4" x14ac:dyDescent="0.25">
      <c r="A1892" s="26">
        <f>Angela_2025_Chase1117_Activity_!B1889</f>
        <v>45740</v>
      </c>
      <c r="B1892" s="6" t="str">
        <f>Angela_2025_Chase1117_Activity_!C1889</f>
        <v>AMAZON MKTPL*283OE87 Amzn.com/bill WA        03/22</v>
      </c>
      <c r="C1892" s="6" t="str">
        <f>Angela_2025_Chase1117_Activity_!G1889</f>
        <v>Amazon</v>
      </c>
      <c r="D1892" s="12">
        <f>Angela_2025_Chase1117_Activity_!D1889</f>
        <v>-33.93</v>
      </c>
    </row>
    <row r="1893" spans="1:4" x14ac:dyDescent="0.25">
      <c r="A1893" s="26">
        <f>Angela_2025_Chase1117_Activity_!B1890</f>
        <v>45740</v>
      </c>
      <c r="B1893" s="6" t="str">
        <f>Angela_2025_Chase1117_Activity_!C1890</f>
        <v>AMAZON MKTPL*008FZ54 Amzn.com/bill WA        03/22</v>
      </c>
      <c r="C1893" s="6" t="str">
        <f>Angela_2025_Chase1117_Activity_!G1890</f>
        <v>Amazon</v>
      </c>
      <c r="D1893" s="12">
        <f>Angela_2025_Chase1117_Activity_!D1890</f>
        <v>-83.2</v>
      </c>
    </row>
    <row r="1894" spans="1:4" x14ac:dyDescent="0.25">
      <c r="A1894" s="26">
        <f>Angela_2025_Chase1117_Activity_!B1891</f>
        <v>45740</v>
      </c>
      <c r="B1894" s="6" t="str">
        <f>Angela_2025_Chase1117_Activity_!C1891</f>
        <v>AMAZON MKTPL*Q59B982 Amzn.com/bill WA        03/21</v>
      </c>
      <c r="C1894" s="6" t="str">
        <f>Angela_2025_Chase1117_Activity_!G1891</f>
        <v>Amazon</v>
      </c>
      <c r="D1894" s="12">
        <f>Angela_2025_Chase1117_Activity_!D1891</f>
        <v>-49.28</v>
      </c>
    </row>
    <row r="1895" spans="1:4" x14ac:dyDescent="0.25">
      <c r="A1895" s="26">
        <f>Angela_2025_Chase1117_Activity_!B1892</f>
        <v>45740</v>
      </c>
      <c r="B1895" s="6" t="str">
        <f>Angela_2025_Chase1117_Activity_!C1892</f>
        <v>Online Transfer from CHK ...1168 transaction#: 24164561463</v>
      </c>
      <c r="C1895" s="6" t="str">
        <f>Angela_2025_Chase1117_Activity_!G1892</f>
        <v>Transfer from DWG Capital Group</v>
      </c>
      <c r="D1895" s="12">
        <f>Angela_2025_Chase1117_Activity_!D1892</f>
        <v>2000</v>
      </c>
    </row>
    <row r="1896" spans="1:4" x14ac:dyDescent="0.25">
      <c r="A1896" s="26">
        <f>Angela_2025_Chase1117_Activity_!B1893</f>
        <v>45740</v>
      </c>
      <c r="B1896" s="6" t="str">
        <f>Angela_2025_Chase1117_Activity_!C1893</f>
        <v>Online Transfer from CHK ...1168 transaction#: 24151012416</v>
      </c>
      <c r="C1896" s="6" t="str">
        <f>Angela_2025_Chase1117_Activity_!G1893</f>
        <v>Transfer from DWG Capital Group</v>
      </c>
      <c r="D1896" s="12">
        <f>Angela_2025_Chase1117_Activity_!D1893</f>
        <v>2000</v>
      </c>
    </row>
    <row r="1897" spans="1:4" x14ac:dyDescent="0.25">
      <c r="A1897" s="26">
        <f>Angela_2025_Chase1117_Activity_!B1894</f>
        <v>45737</v>
      </c>
      <c r="B1897" s="6" t="str">
        <f>Angela_2025_Chase1117_Activity_!C1894</f>
        <v>FOREIGN EXCHANGE RATE ADJUSTMENT FEE         03/21PRENOTAZ.</v>
      </c>
      <c r="C1897" s="6" t="str">
        <f>Angela_2025_Chase1117_Activity_!G1894</f>
        <v>Personal Travel - Canada</v>
      </c>
      <c r="D1897" s="12">
        <f>Angela_2025_Chase1117_Activity_!D1894</f>
        <v>-0.91</v>
      </c>
    </row>
    <row r="1898" spans="1:4" x14ac:dyDescent="0.25">
      <c r="A1898" s="26">
        <f>Angela_2025_Chase1117_Activity_!B1895</f>
        <v>45737</v>
      </c>
      <c r="B1898" s="6" t="str">
        <f>Angela_2025_Chase1117_Activity_!C1895</f>
        <v>CVS/PHARMACY #09493 MAR VISTA CA     026153  03/21</v>
      </c>
      <c r="C1898" s="6" t="str">
        <f>Angela_2025_Chase1117_Activity_!G1895</f>
        <v>Personal - Health</v>
      </c>
      <c r="D1898" s="12">
        <f>Angela_2025_Chase1117_Activity_!D1895</f>
        <v>-41.83</v>
      </c>
    </row>
    <row r="1899" spans="1:4" x14ac:dyDescent="0.25">
      <c r="A1899" s="26">
        <f>Angela_2025_Chase1117_Activity_!B1896</f>
        <v>45737</v>
      </c>
      <c r="B1899" s="6" t="str">
        <f>Angela_2025_Chase1117_Activity_!C1896</f>
        <v>WITHDRAWAL 03/21</v>
      </c>
      <c r="C1899" s="6" t="str">
        <f>Angela_2025_Chase1117_Activity_!G1896</f>
        <v>Withdrawal</v>
      </c>
      <c r="D1899" s="12">
        <f>Angela_2025_Chase1117_Activity_!D1896</f>
        <v>-2332.1999999999998</v>
      </c>
    </row>
    <row r="1900" spans="1:4" x14ac:dyDescent="0.25">
      <c r="A1900" s="26">
        <f>Angela_2025_Chase1117_Activity_!B1897</f>
        <v>45737</v>
      </c>
      <c r="B1900" s="6" t="str">
        <f>Angela_2025_Chase1117_Activity_!C1897</f>
        <v>PRENOTAZ.SACROBOSCO BOMARZO                  03/21 Euro       28.00 X 1.091786 (EXCHG RTE)</v>
      </c>
      <c r="C1900" s="6" t="str">
        <f>Angela_2025_Chase1117_Activity_!G1897</f>
        <v>Personal Travel - Canada</v>
      </c>
      <c r="D1900" s="12">
        <f>Angela_2025_Chase1117_Activity_!D1897</f>
        <v>-30.57</v>
      </c>
    </row>
    <row r="1901" spans="1:4" x14ac:dyDescent="0.25">
      <c r="A1901" s="26">
        <f>Angela_2025_Chase1117_Activity_!B1898</f>
        <v>45737</v>
      </c>
      <c r="B1901" s="6" t="str">
        <f>Angela_2025_Chase1117_Activity_!C1898</f>
        <v>AMAZON MKTPL*DN9PE3T Amzn.com/bill WA        03/21</v>
      </c>
      <c r="C1901" s="6" t="str">
        <f>Angela_2025_Chase1117_Activity_!G1898</f>
        <v>Amazon</v>
      </c>
      <c r="D1901" s="12">
        <f>Angela_2025_Chase1117_Activity_!D1898</f>
        <v>-126.93</v>
      </c>
    </row>
    <row r="1902" spans="1:4" x14ac:dyDescent="0.25">
      <c r="A1902" s="26">
        <f>Angela_2025_Chase1117_Activity_!B1899</f>
        <v>45737</v>
      </c>
      <c r="B1902" s="6" t="str">
        <f>Angela_2025_Chase1117_Activity_!C1899</f>
        <v>AMAZON MKTPL*0L9D22U Amzn.com/bill WA        03/21</v>
      </c>
      <c r="C1902" s="6" t="str">
        <f>Angela_2025_Chase1117_Activity_!G1899</f>
        <v>Amazon</v>
      </c>
      <c r="D1902" s="12">
        <f>Angela_2025_Chase1117_Activity_!D1899</f>
        <v>-38.299999999999997</v>
      </c>
    </row>
    <row r="1903" spans="1:4" x14ac:dyDescent="0.25">
      <c r="A1903" s="26">
        <f>Angela_2025_Chase1117_Activity_!B1900</f>
        <v>45737</v>
      </c>
      <c r="B1903" s="6" t="str">
        <f>Angela_2025_Chase1117_Activity_!C1900</f>
        <v>AMAZON MKTPL*012JL7G Amzn.com/bill WA        03/21</v>
      </c>
      <c r="C1903" s="6" t="str">
        <f>Angela_2025_Chase1117_Activity_!G1900</f>
        <v>Amazon</v>
      </c>
      <c r="D1903" s="12">
        <f>Angela_2025_Chase1117_Activity_!D1900</f>
        <v>-195.29</v>
      </c>
    </row>
    <row r="1904" spans="1:4" x14ac:dyDescent="0.25">
      <c r="A1904" s="26">
        <f>Angela_2025_Chase1117_Activity_!B1901</f>
        <v>45737</v>
      </c>
      <c r="B1904" s="6" t="str">
        <f>Angela_2025_Chase1117_Activity_!C1901</f>
        <v>AMAZON MKTPL*QJ60L0K Amzn.com/bill WA        03/21</v>
      </c>
      <c r="C1904" s="6" t="str">
        <f>Angela_2025_Chase1117_Activity_!G1901</f>
        <v>Amazon</v>
      </c>
      <c r="D1904" s="12">
        <f>Angela_2025_Chase1117_Activity_!D1901</f>
        <v>-44.44</v>
      </c>
    </row>
    <row r="1905" spans="1:4" x14ac:dyDescent="0.25">
      <c r="A1905" s="26">
        <f>Angela_2025_Chase1117_Activity_!B1902</f>
        <v>45737</v>
      </c>
      <c r="B1905" s="6" t="str">
        <f>Angela_2025_Chase1117_Activity_!C1902</f>
        <v>NEXTLINK BROADBAND 855-6985465 TX            03/20</v>
      </c>
      <c r="C1905" s="6" t="str">
        <f>Angela_2025_Chase1117_Activity_!G1902</f>
        <v>Personal - House Bills</v>
      </c>
      <c r="D1905" s="12">
        <f>Angela_2025_Chase1117_Activity_!D1902</f>
        <v>-149.96</v>
      </c>
    </row>
    <row r="1906" spans="1:4" x14ac:dyDescent="0.25">
      <c r="A1906" s="26">
        <f>Angela_2025_Chase1117_Activity_!B1903</f>
        <v>45737</v>
      </c>
      <c r="B1906" s="6" t="str">
        <f>Angela_2025_Chase1117_Activity_!C1903</f>
        <v>Online Transfer from CHK ...1168 transaction#: 24136911754</v>
      </c>
      <c r="C1906" s="6" t="str">
        <f>Angela_2025_Chase1117_Activity_!G1903</f>
        <v>Transfer from DWG Capital Group</v>
      </c>
      <c r="D1906" s="12">
        <f>Angela_2025_Chase1117_Activity_!D1903</f>
        <v>3000</v>
      </c>
    </row>
    <row r="1907" spans="1:4" x14ac:dyDescent="0.25">
      <c r="A1907" s="26">
        <f>Angela_2025_Chase1117_Activity_!B1904</f>
        <v>45737</v>
      </c>
      <c r="B1907" s="6" t="str">
        <f>Angela_2025_Chase1117_Activity_!C1904</f>
        <v>DEPOSIT  ID NUMBER 141079</v>
      </c>
      <c r="C1907" s="6" t="str">
        <f>Angela_2025_Chase1117_Activity_!G1904</f>
        <v>Deposit</v>
      </c>
      <c r="D1907" s="12">
        <f>Angela_2025_Chase1117_Activity_!D1904</f>
        <v>175</v>
      </c>
    </row>
    <row r="1908" spans="1:4" x14ac:dyDescent="0.25">
      <c r="A1908" s="26">
        <f>Angela_2025_Chase1117_Activity_!B1905</f>
        <v>45736</v>
      </c>
      <c r="B1908" s="6" t="str">
        <f>Angela_2025_Chase1117_Activity_!C1905</f>
        <v>TRADER JOE S #00 TRAD SANTA MONICA CA544618  03/20</v>
      </c>
      <c r="C1908" s="6" t="str">
        <f>Angela_2025_Chase1117_Activity_!G1905</f>
        <v>Personal - Food</v>
      </c>
      <c r="D1908" s="12">
        <f>Angela_2025_Chase1117_Activity_!D1905</f>
        <v>-78.02</v>
      </c>
    </row>
    <row r="1909" spans="1:4" x14ac:dyDescent="0.25">
      <c r="A1909" s="26">
        <f>Angela_2025_Chase1117_Activity_!B1906</f>
        <v>45736</v>
      </c>
      <c r="B1909" s="6" t="str">
        <f>Angela_2025_Chase1117_Activity_!C1906</f>
        <v>GELSON'S MARKET #29 SANTA MONICA CA  939800  03/20</v>
      </c>
      <c r="C1909" s="6" t="str">
        <f>Angela_2025_Chase1117_Activity_!G1906</f>
        <v>Personal - Food</v>
      </c>
      <c r="D1909" s="12">
        <f>Angela_2025_Chase1117_Activity_!D1906</f>
        <v>-487.55</v>
      </c>
    </row>
    <row r="1910" spans="1:4" x14ac:dyDescent="0.25">
      <c r="A1910" s="26">
        <f>Angela_2025_Chase1117_Activity_!B1907</f>
        <v>45736</v>
      </c>
      <c r="B1910" s="6" t="str">
        <f>Angela_2025_Chase1117_Activity_!C1907</f>
        <v>TEXAS LEISURE HOT T.. 188-87211115 TX        03/20</v>
      </c>
      <c r="C1910" s="6" t="str">
        <f>Angela_2025_Chase1117_Activity_!G1907</f>
        <v>Personal - House Bills</v>
      </c>
      <c r="D1910" s="12">
        <f>Angela_2025_Chase1117_Activity_!D1907</f>
        <v>-372.11</v>
      </c>
    </row>
    <row r="1911" spans="1:4" x14ac:dyDescent="0.25">
      <c r="A1911" s="26">
        <f>Angela_2025_Chase1117_Activity_!B1908</f>
        <v>45736</v>
      </c>
      <c r="B1911" s="6" t="str">
        <f>Angela_2025_Chase1117_Activity_!C1908</f>
        <v>AMAZON MKTPL*4H4EM4Z Amzn.com/bill WA        03/20</v>
      </c>
      <c r="C1911" s="6" t="str">
        <f>Angela_2025_Chase1117_Activity_!G1908</f>
        <v>Amazon</v>
      </c>
      <c r="D1911" s="12">
        <f>Angela_2025_Chase1117_Activity_!D1908</f>
        <v>-15.32</v>
      </c>
    </row>
    <row r="1912" spans="1:4" x14ac:dyDescent="0.25">
      <c r="A1912" s="26">
        <f>Angela_2025_Chase1117_Activity_!B1909</f>
        <v>45736</v>
      </c>
      <c r="B1912" s="6" t="str">
        <f>Angela_2025_Chase1117_Activity_!C1909</f>
        <v>Amazon.com*3Z85Y2CK3 Amzn.com/bill WA        03/20</v>
      </c>
      <c r="C1912" s="6" t="str">
        <f>Angela_2025_Chase1117_Activity_!G1909</f>
        <v>Amazon</v>
      </c>
      <c r="D1912" s="12">
        <f>Angela_2025_Chase1117_Activity_!D1909</f>
        <v>-15.28</v>
      </c>
    </row>
    <row r="1913" spans="1:4" x14ac:dyDescent="0.25">
      <c r="A1913" s="26">
        <f>Angela_2025_Chase1117_Activity_!B1910</f>
        <v>45736</v>
      </c>
      <c r="B1913" s="6" t="str">
        <f>Angela_2025_Chase1117_Activity_!C1910</f>
        <v>UBER   * EATS PENDIN SAN FRANCISCO CA226245  03/19</v>
      </c>
      <c r="C1913" s="6" t="str">
        <f>Angela_2025_Chase1117_Activity_!G1910</f>
        <v>Uber Eats</v>
      </c>
      <c r="D1913" s="12">
        <f>Angela_2025_Chase1117_Activity_!D1910</f>
        <v>-100.64</v>
      </c>
    </row>
    <row r="1914" spans="1:4" x14ac:dyDescent="0.25">
      <c r="A1914" s="26">
        <f>Angela_2025_Chase1117_Activity_!B1911</f>
        <v>45736</v>
      </c>
      <c r="B1914" s="6" t="str">
        <f>Angela_2025_Chase1117_Activity_!C1911</f>
        <v>PATRIOT PHARMA OTC 519-317-0990 ON           03/19</v>
      </c>
      <c r="C1914" s="6" t="str">
        <f>Angela_2025_Chase1117_Activity_!G1911</f>
        <v>Personal - Health</v>
      </c>
      <c r="D1914" s="12">
        <f>Angela_2025_Chase1117_Activity_!D1911</f>
        <v>-74.98</v>
      </c>
    </row>
    <row r="1915" spans="1:4" x14ac:dyDescent="0.25">
      <c r="A1915" s="26">
        <f>Angela_2025_Chase1117_Activity_!B1912</f>
        <v>45736</v>
      </c>
      <c r="B1915" s="6" t="str">
        <f>Angela_2025_Chase1117_Activity_!C1912</f>
        <v>Zelle payment from TANYA MILLER HNA01ZN98PKC</v>
      </c>
      <c r="C1915" s="6" t="str">
        <f>Angela_2025_Chase1117_Activity_!G1912</f>
        <v>Zelle from Tanya Miller</v>
      </c>
      <c r="D1915" s="12">
        <f>Angela_2025_Chase1117_Activity_!D1912</f>
        <v>100</v>
      </c>
    </row>
    <row r="1916" spans="1:4" x14ac:dyDescent="0.25">
      <c r="A1916" s="26">
        <f>Angela_2025_Chase1117_Activity_!B1913</f>
        <v>45736</v>
      </c>
      <c r="B1916" s="6" t="str">
        <f>Angela_2025_Chase1117_Activity_!C1913</f>
        <v>Online Transfer from CHK ...1168 transaction#: 24115020521</v>
      </c>
      <c r="C1916" s="6" t="str">
        <f>Angela_2025_Chase1117_Activity_!G1913</f>
        <v>Transfer from DWG Capital Group</v>
      </c>
      <c r="D1916" s="12">
        <f>Angela_2025_Chase1117_Activity_!D1913</f>
        <v>5000</v>
      </c>
    </row>
    <row r="1917" spans="1:4" x14ac:dyDescent="0.25">
      <c r="A1917" s="26">
        <f>Angela_2025_Chase1117_Activity_!B1914</f>
        <v>45735</v>
      </c>
      <c r="B1917" s="6" t="str">
        <f>Angela_2025_Chase1117_Activity_!C1914</f>
        <v>AMAZON MKTPL*DL2HY3J Amzn.com/bill WA        03/19</v>
      </c>
      <c r="C1917" s="6" t="str">
        <f>Angela_2025_Chase1117_Activity_!G1914</f>
        <v>Amazon</v>
      </c>
      <c r="D1917" s="12">
        <f>Angela_2025_Chase1117_Activity_!D1914</f>
        <v>-67.86</v>
      </c>
    </row>
    <row r="1918" spans="1:4" x14ac:dyDescent="0.25">
      <c r="A1918" s="26">
        <f>Angela_2025_Chase1117_Activity_!B1915</f>
        <v>45734</v>
      </c>
      <c r="B1918" s="6" t="str">
        <f>Angela_2025_Chase1117_Activity_!C1915</f>
        <v>Online Payment 24099614327 To FRONTIER TELEPHONE 03/18</v>
      </c>
      <c r="C1918" s="6" t="str">
        <f>Angela_2025_Chase1117_Activity_!G1915</f>
        <v>Personal - House Bills</v>
      </c>
      <c r="D1918" s="12">
        <f>Angela_2025_Chase1117_Activity_!D1915</f>
        <v>-51.26</v>
      </c>
    </row>
    <row r="1919" spans="1:4" x14ac:dyDescent="0.25">
      <c r="A1919" s="26">
        <f>Angela_2025_Chase1117_Activity_!B1916</f>
        <v>45734</v>
      </c>
      <c r="B1919" s="6" t="str">
        <f>Angela_2025_Chase1117_Activity_!C1916</f>
        <v>UBER   * EATS PENDIN SAN FRANCISCO CA224571  03/18</v>
      </c>
      <c r="C1919" s="6" t="str">
        <f>Angela_2025_Chase1117_Activity_!G1916</f>
        <v>Uber Eats</v>
      </c>
      <c r="D1919" s="12">
        <f>Angela_2025_Chase1117_Activity_!D1916</f>
        <v>-27.11</v>
      </c>
    </row>
    <row r="1920" spans="1:4" x14ac:dyDescent="0.25">
      <c r="A1920" s="26">
        <f>Angela_2025_Chase1117_Activity_!B1917</f>
        <v>45734</v>
      </c>
      <c r="B1920" s="6" t="str">
        <f>Angela_2025_Chase1117_Activity_!C1917</f>
        <v>LADOT PARKING CITATION LOS ANGELES CA140883  03/18</v>
      </c>
      <c r="C1920" s="6" t="str">
        <f>Angela_2025_Chase1117_Activity_!G1917</f>
        <v>Personal - Car</v>
      </c>
      <c r="D1920" s="12">
        <f>Angela_2025_Chase1117_Activity_!D1917</f>
        <v>-28.5</v>
      </c>
    </row>
    <row r="1921" spans="1:4" x14ac:dyDescent="0.25">
      <c r="A1921" s="26">
        <f>Angela_2025_Chase1117_Activity_!B1918</f>
        <v>45734</v>
      </c>
      <c r="B1921" s="6" t="str">
        <f>Angela_2025_Chase1117_Activity_!C1918</f>
        <v>UNITED      01644811761 UNITED.COM TX        03/17</v>
      </c>
      <c r="C1921" s="6" t="str">
        <f>Angela_2025_Chase1117_Activity_!G1918</f>
        <v>Personal Travel</v>
      </c>
      <c r="D1921" s="12">
        <f>Angela_2025_Chase1117_Activity_!D1918</f>
        <v>-50</v>
      </c>
    </row>
    <row r="1922" spans="1:4" x14ac:dyDescent="0.25">
      <c r="A1922" s="26">
        <f>Angela_2025_Chase1117_Activity_!B1919</f>
        <v>45734</v>
      </c>
      <c r="B1922" s="6" t="str">
        <f>Angela_2025_Chase1117_Activity_!C1919</f>
        <v>UNITED      01644811761 UNITED.COM TX        03/17</v>
      </c>
      <c r="C1922" s="6" t="str">
        <f>Angela_2025_Chase1117_Activity_!G1919</f>
        <v>Personal Travel</v>
      </c>
      <c r="D1922" s="12">
        <f>Angela_2025_Chase1117_Activity_!D1919</f>
        <v>-60</v>
      </c>
    </row>
    <row r="1923" spans="1:4" x14ac:dyDescent="0.25">
      <c r="A1923" s="26">
        <f>Angela_2025_Chase1117_Activity_!B1920</f>
        <v>45734</v>
      </c>
      <c r="B1923" s="6" t="str">
        <f>Angela_2025_Chase1117_Activity_!C1920</f>
        <v>UNITED      01624696252 UNITED.COM TX        03/17</v>
      </c>
      <c r="C1923" s="6" t="str">
        <f>Angela_2025_Chase1117_Activity_!G1920</f>
        <v>Personal Travel</v>
      </c>
      <c r="D1923" s="12">
        <f>Angela_2025_Chase1117_Activity_!D1920</f>
        <v>-230.43</v>
      </c>
    </row>
    <row r="1924" spans="1:4" x14ac:dyDescent="0.25">
      <c r="A1924" s="26">
        <f>Angela_2025_Chase1117_Activity_!B1921</f>
        <v>45734</v>
      </c>
      <c r="B1924" s="6" t="str">
        <f>Angela_2025_Chase1117_Activity_!C1921</f>
        <v>Prime Video *260NU1ET 888-802-3080 WA        03/17</v>
      </c>
      <c r="C1924" s="6" t="str">
        <f>Angela_2025_Chase1117_Activity_!G1921</f>
        <v>Amazon</v>
      </c>
      <c r="D1924" s="12">
        <f>Angela_2025_Chase1117_Activity_!D1921</f>
        <v>-4.99</v>
      </c>
    </row>
    <row r="1925" spans="1:4" x14ac:dyDescent="0.25">
      <c r="A1925" s="26">
        <f>Angela_2025_Chase1117_Activity_!B1922</f>
        <v>45733</v>
      </c>
      <c r="B1925" s="6" t="str">
        <f>Angela_2025_Chase1117_Activity_!C1922</f>
        <v>PNM*THE TOLLROADS SANTA CLARA CA     126451  03/17</v>
      </c>
      <c r="C1925" s="6" t="str">
        <f>Angela_2025_Chase1117_Activity_!G1922</f>
        <v>Personal - Car</v>
      </c>
      <c r="D1925" s="12">
        <f>Angela_2025_Chase1117_Activity_!D1922</f>
        <v>-13.93</v>
      </c>
    </row>
    <row r="1926" spans="1:4" x14ac:dyDescent="0.25">
      <c r="A1926" s="26">
        <f>Angela_2025_Chase1117_Activity_!B1923</f>
        <v>45733</v>
      </c>
      <c r="B1926" s="6" t="str">
        <f>Angela_2025_Chase1117_Activity_!C1923</f>
        <v>UBER   * EATS PENDIN SAN FRANCISCO CA026678  03/17</v>
      </c>
      <c r="C1926" s="6" t="str">
        <f>Angela_2025_Chase1117_Activity_!G1923</f>
        <v>Uber Eats</v>
      </c>
      <c r="D1926" s="12">
        <f>Angela_2025_Chase1117_Activity_!D1923</f>
        <v>-68.78</v>
      </c>
    </row>
    <row r="1927" spans="1:4" x14ac:dyDescent="0.25">
      <c r="A1927" s="26">
        <f>Angela_2025_Chase1117_Activity_!B1924</f>
        <v>45733</v>
      </c>
      <c r="B1927" s="6" t="str">
        <f>Angela_2025_Chase1117_Activity_!C1924</f>
        <v>SP RAJANIMD STORE.RAJANIM OR                 03/17</v>
      </c>
      <c r="C1927" s="6" t="str">
        <f>Angela_2025_Chase1117_Activity_!G1924</f>
        <v>Personal - Health</v>
      </c>
      <c r="D1927" s="12">
        <f>Angela_2025_Chase1117_Activity_!D1924</f>
        <v>-130.28</v>
      </c>
    </row>
    <row r="1928" spans="1:4" x14ac:dyDescent="0.25">
      <c r="A1928" s="26">
        <f>Angela_2025_Chase1117_Activity_!B1925</f>
        <v>45733</v>
      </c>
      <c r="B1928" s="6" t="str">
        <f>Angela_2025_Chase1117_Activity_!C1925</f>
        <v>Zelle payment to jeff seider JPM99b1mo5oj</v>
      </c>
      <c r="C1928" s="6" t="str">
        <f>Angela_2025_Chase1117_Activity_!G1925</f>
        <v>Zelle to Jeff Seider</v>
      </c>
      <c r="D1928" s="12">
        <f>Angela_2025_Chase1117_Activity_!D1925</f>
        <v>-100</v>
      </c>
    </row>
    <row r="1929" spans="1:4" x14ac:dyDescent="0.25">
      <c r="A1929" s="26">
        <f>Angela_2025_Chase1117_Activity_!B1926</f>
        <v>45733</v>
      </c>
      <c r="B1929" s="6" t="str">
        <f>Angela_2025_Chase1117_Activity_!C1926</f>
        <v>APPLE.COM/BILL 866-712-7753 CA               03/16</v>
      </c>
      <c r="C1929" s="6" t="str">
        <f>Angela_2025_Chase1117_Activity_!G1926</f>
        <v>Apple</v>
      </c>
      <c r="D1929" s="12">
        <f>Angela_2025_Chase1117_Activity_!D1926</f>
        <v>-94.99</v>
      </c>
    </row>
    <row r="1930" spans="1:4" x14ac:dyDescent="0.25">
      <c r="A1930" s="26">
        <f>Angela_2025_Chase1117_Activity_!B1927</f>
        <v>45733</v>
      </c>
      <c r="B1930" s="6" t="str">
        <f>Angela_2025_Chase1117_Activity_!C1927</f>
        <v>UBER   *TRIP HELP.UB SAN FRANCISCO CA012618  03/16</v>
      </c>
      <c r="C1930" s="6" t="str">
        <f>Angela_2025_Chase1117_Activity_!G1927</f>
        <v>Personal - Uber</v>
      </c>
      <c r="D1930" s="12">
        <f>Angela_2025_Chase1117_Activity_!D1927</f>
        <v>-48.77</v>
      </c>
    </row>
    <row r="1931" spans="1:4" x14ac:dyDescent="0.25">
      <c r="A1931" s="26">
        <f>Angela_2025_Chase1117_Activity_!B1928</f>
        <v>45733</v>
      </c>
      <c r="B1931" s="6" t="str">
        <f>Angela_2025_Chase1117_Activity_!C1928</f>
        <v>SQ *THE FALAFEL FACTORY gosq.com CA          03/16</v>
      </c>
      <c r="C1931" s="6" t="str">
        <f>Angela_2025_Chase1117_Activity_!G1928</f>
        <v>Personal - Food</v>
      </c>
      <c r="D1931" s="12">
        <f>Angela_2025_Chase1117_Activity_!D1928</f>
        <v>-1503.13</v>
      </c>
    </row>
    <row r="1932" spans="1:4" x14ac:dyDescent="0.25">
      <c r="A1932" s="26">
        <f>Angela_2025_Chase1117_Activity_!B1929</f>
        <v>45733</v>
      </c>
      <c r="B1932" s="6" t="str">
        <f>Angela_2025_Chase1117_Activity_!C1929</f>
        <v>UBER   * EATS PENDIN SAN FRANCISCO CA193793  03/15</v>
      </c>
      <c r="C1932" s="6" t="str">
        <f>Angela_2025_Chase1117_Activity_!G1929</f>
        <v>Uber Eats</v>
      </c>
      <c r="D1932" s="12">
        <f>Angela_2025_Chase1117_Activity_!D1929</f>
        <v>-221.3</v>
      </c>
    </row>
    <row r="1933" spans="1:4" x14ac:dyDescent="0.25">
      <c r="A1933" s="26">
        <f>Angela_2025_Chase1117_Activity_!B1930</f>
        <v>45733</v>
      </c>
      <c r="B1933" s="6" t="str">
        <f>Angela_2025_Chase1117_Activity_!C1930</f>
        <v>Prime Video Channels amzn.com/bill WA        03/14</v>
      </c>
      <c r="C1933" s="6" t="str">
        <f>Angela_2025_Chase1117_Activity_!G1930</f>
        <v>Amazon</v>
      </c>
      <c r="D1933" s="12">
        <f>Angela_2025_Chase1117_Activity_!D1930</f>
        <v>-16.989999999999998</v>
      </c>
    </row>
    <row r="1934" spans="1:4" x14ac:dyDescent="0.25">
      <c r="A1934" s="26">
        <f>Angela_2025_Chase1117_Activity_!B1931</f>
        <v>45733</v>
      </c>
      <c r="B1934" s="6" t="str">
        <f>Angela_2025_Chase1117_Activity_!C1931</f>
        <v>AMAZON PRIME*6J0WO5C Amzn.com/bill WA        03/14</v>
      </c>
      <c r="C1934" s="6" t="str">
        <f>Angela_2025_Chase1117_Activity_!G1931</f>
        <v>Amazon</v>
      </c>
      <c r="D1934" s="12">
        <f>Angela_2025_Chase1117_Activity_!D1931</f>
        <v>-16.41</v>
      </c>
    </row>
    <row r="1935" spans="1:4" x14ac:dyDescent="0.25">
      <c r="A1935" s="26">
        <f>Angela_2025_Chase1117_Activity_!B1932</f>
        <v>45733</v>
      </c>
      <c r="B1935" s="6" t="str">
        <f>Angela_2025_Chase1117_Activity_!C1932</f>
        <v>APPLE.COM/BILL 866-712-7753 CA               03/14</v>
      </c>
      <c r="C1935" s="6" t="str">
        <f>Angela_2025_Chase1117_Activity_!G1932</f>
        <v>Apple</v>
      </c>
      <c r="D1935" s="12">
        <f>Angela_2025_Chase1117_Activity_!D1932</f>
        <v>-59.99</v>
      </c>
    </row>
    <row r="1936" spans="1:4" x14ac:dyDescent="0.25">
      <c r="A1936" s="26">
        <f>Angela_2025_Chase1117_Activity_!B1933</f>
        <v>45733</v>
      </c>
      <c r="B1936" s="6" t="str">
        <f>Angela_2025_Chase1117_Activity_!C1933</f>
        <v>AMERICAN AIR00172230626 FORT WORTH TX        03/12</v>
      </c>
      <c r="C1936" s="6" t="str">
        <f>Angela_2025_Chase1117_Activity_!G1933</f>
        <v>Personal Travel</v>
      </c>
      <c r="D1936" s="12">
        <f>Angela_2025_Chase1117_Activity_!D1933</f>
        <v>-80</v>
      </c>
    </row>
    <row r="1937" spans="1:4" x14ac:dyDescent="0.25">
      <c r="A1937" s="26">
        <f>Angela_2025_Chase1117_Activity_!B1934</f>
        <v>45733</v>
      </c>
      <c r="B1937" s="6" t="str">
        <f>Angela_2025_Chase1117_Activity_!C1934</f>
        <v>Online Transfer from CHK ...1168 transaction#: 24082324824</v>
      </c>
      <c r="C1937" s="6" t="str">
        <f>Angela_2025_Chase1117_Activity_!G1934</f>
        <v>Transfer from DWG Capital Group</v>
      </c>
      <c r="D1937" s="12">
        <f>Angela_2025_Chase1117_Activity_!D1934</f>
        <v>2000</v>
      </c>
    </row>
    <row r="1938" spans="1:4" x14ac:dyDescent="0.25">
      <c r="A1938" s="26">
        <f>Angela_2025_Chase1117_Activity_!B1935</f>
        <v>45730</v>
      </c>
      <c r="B1938" s="6" t="str">
        <f>Angela_2025_Chase1117_Activity_!C1935</f>
        <v>Amazon.com*5L3CK2YN3 Amzn.com/bill WA        03/14</v>
      </c>
      <c r="C1938" s="6" t="str">
        <f>Angela_2025_Chase1117_Activity_!G1935</f>
        <v>Amazon</v>
      </c>
      <c r="D1938" s="12">
        <f>Angela_2025_Chase1117_Activity_!D1935</f>
        <v>-39.4</v>
      </c>
    </row>
    <row r="1939" spans="1:4" x14ac:dyDescent="0.25">
      <c r="A1939" s="26">
        <f>Angela_2025_Chase1117_Activity_!B1936</f>
        <v>45730</v>
      </c>
      <c r="B1939" s="6" t="str">
        <f>Angela_2025_Chase1117_Activity_!C1936</f>
        <v>AMAZON MKTPL*P66RG63 Amzn.com/bill WA        03/14</v>
      </c>
      <c r="C1939" s="6" t="str">
        <f>Angela_2025_Chase1117_Activity_!G1936</f>
        <v>Amazon</v>
      </c>
      <c r="D1939" s="12">
        <f>Angela_2025_Chase1117_Activity_!D1936</f>
        <v>-31.12</v>
      </c>
    </row>
    <row r="1940" spans="1:4" x14ac:dyDescent="0.25">
      <c r="A1940" s="26">
        <f>Angela_2025_Chase1117_Activity_!B1937</f>
        <v>45730</v>
      </c>
      <c r="B1940" s="6" t="str">
        <f>Angela_2025_Chase1117_Activity_!C1937</f>
        <v>GRANDVIEW CLEANERS LOS ANGELES CA            03/13</v>
      </c>
      <c r="C1940" s="6" t="str">
        <f>Angela_2025_Chase1117_Activity_!G1937</f>
        <v>Personal - Clothing</v>
      </c>
      <c r="D1940" s="12">
        <f>Angela_2025_Chase1117_Activity_!D1937</f>
        <v>-70</v>
      </c>
    </row>
    <row r="1941" spans="1:4" x14ac:dyDescent="0.25">
      <c r="A1941" s="26">
        <f>Angela_2025_Chase1117_Activity_!B1938</f>
        <v>45730</v>
      </c>
      <c r="B1941" s="6" t="str">
        <f>Angela_2025_Chase1117_Activity_!C1938</f>
        <v>SQ *ABY PARTY RENTAL Los Angeles CA          03/13</v>
      </c>
      <c r="C1941" s="6" t="str">
        <f>Angela_2025_Chase1117_Activity_!G1938</f>
        <v>Personal - Entertainment</v>
      </c>
      <c r="D1941" s="12">
        <f>Angela_2025_Chase1117_Activity_!D1938</f>
        <v>-109.58</v>
      </c>
    </row>
    <row r="1942" spans="1:4" x14ac:dyDescent="0.25">
      <c r="A1942" s="26">
        <f>Angela_2025_Chase1117_Activity_!B1939</f>
        <v>45730</v>
      </c>
      <c r="B1942" s="6" t="str">
        <f>Angela_2025_Chase1117_Activity_!C1939</f>
        <v>Amazon.com*3Z1VK5C93 Amzn.com/bill WA        03/13</v>
      </c>
      <c r="C1942" s="6" t="str">
        <f>Angela_2025_Chase1117_Activity_!G1939</f>
        <v>Amazon</v>
      </c>
      <c r="D1942" s="12">
        <f>Angela_2025_Chase1117_Activity_!D1939</f>
        <v>-60.2</v>
      </c>
    </row>
    <row r="1943" spans="1:4" x14ac:dyDescent="0.25">
      <c r="A1943" s="26">
        <f>Angela_2025_Chase1117_Activity_!B1940</f>
        <v>45730</v>
      </c>
      <c r="B1943" s="6" t="str">
        <f>Angela_2025_Chase1117_Activity_!C1940</f>
        <v>THE C. G. JUNG INSTIT 310-556-1193 CA        03/14</v>
      </c>
      <c r="C1943" s="6" t="str">
        <f>Angela_2025_Chase1117_Activity_!G1940</f>
        <v>Donation</v>
      </c>
      <c r="D1943" s="12">
        <f>Angela_2025_Chase1117_Activity_!D1940</f>
        <v>-375</v>
      </c>
    </row>
    <row r="1944" spans="1:4" x14ac:dyDescent="0.25">
      <c r="A1944" s="26">
        <f>Angela_2025_Chase1117_Activity_!B1941</f>
        <v>45730</v>
      </c>
      <c r="B1944" s="6" t="str">
        <f>Angela_2025_Chase1117_Activity_!C1941</f>
        <v>Online Transfer from CHK ...1168 transaction#: 24055096297</v>
      </c>
      <c r="C1944" s="6" t="str">
        <f>Angela_2025_Chase1117_Activity_!G1941</f>
        <v>Transfer from DWG Capital Group</v>
      </c>
      <c r="D1944" s="12">
        <f>Angela_2025_Chase1117_Activity_!D1941</f>
        <v>2000</v>
      </c>
    </row>
    <row r="1945" spans="1:4" x14ac:dyDescent="0.25">
      <c r="A1945" s="26">
        <f>Angela_2025_Chase1117_Activity_!B1942</f>
        <v>45729</v>
      </c>
      <c r="B1945" s="6" t="str">
        <f>Angela_2025_Chase1117_Activity_!C1942</f>
        <v>UBER   * EATS PENDIN SAN FRANCISCO CA352880  03/13</v>
      </c>
      <c r="C1945" s="6" t="str">
        <f>Angela_2025_Chase1117_Activity_!G1942</f>
        <v>Uber Eats</v>
      </c>
      <c r="D1945" s="12">
        <f>Angela_2025_Chase1117_Activity_!D1942</f>
        <v>-81.709999999999994</v>
      </c>
    </row>
    <row r="1946" spans="1:4" x14ac:dyDescent="0.25">
      <c r="A1946" s="26">
        <f>Angela_2025_Chase1117_Activity_!B1943</f>
        <v>45729</v>
      </c>
      <c r="B1946" s="6" t="str">
        <f>Angela_2025_Chase1117_Activity_!C1943</f>
        <v>RAINBOW ACRES LOS ANGELES CA         122178  03/13</v>
      </c>
      <c r="C1946" s="6" t="str">
        <f>Angela_2025_Chase1117_Activity_!G1943</f>
        <v>Personal - Misc</v>
      </c>
      <c r="D1946" s="12">
        <f>Angela_2025_Chase1117_Activity_!D1943</f>
        <v>-382.79</v>
      </c>
    </row>
    <row r="1947" spans="1:4" x14ac:dyDescent="0.25">
      <c r="A1947" s="26">
        <f>Angela_2025_Chase1117_Activity_!B1944</f>
        <v>45729</v>
      </c>
      <c r="B1947" s="6" t="str">
        <f>Angela_2025_Chase1117_Activity_!C1944</f>
        <v>CVS/PHARMACY #09493 MAR VISTA CA     039106  03/13</v>
      </c>
      <c r="C1947" s="6" t="str">
        <f>Angela_2025_Chase1117_Activity_!G1944</f>
        <v>Personal - Health</v>
      </c>
      <c r="D1947" s="12">
        <f>Angela_2025_Chase1117_Activity_!D1944</f>
        <v>-83.04</v>
      </c>
    </row>
    <row r="1948" spans="1:4" x14ac:dyDescent="0.25">
      <c r="A1948" s="26">
        <f>Angela_2025_Chase1117_Activity_!B1945</f>
        <v>45729</v>
      </c>
      <c r="B1948" s="6" t="str">
        <f>Angela_2025_Chase1117_Activity_!C1945</f>
        <v>AMAZON MKTPL*7J1RD8L Amzn.com/bill WA        03/13</v>
      </c>
      <c r="C1948" s="6" t="str">
        <f>Angela_2025_Chase1117_Activity_!G1945</f>
        <v>Amazon</v>
      </c>
      <c r="D1948" s="12">
        <f>Angela_2025_Chase1117_Activity_!D1945</f>
        <v>-30.64</v>
      </c>
    </row>
    <row r="1949" spans="1:4" x14ac:dyDescent="0.25">
      <c r="A1949" s="26">
        <f>Angela_2025_Chase1117_Activity_!B1946</f>
        <v>45728</v>
      </c>
      <c r="B1949" s="6" t="str">
        <f>Angela_2025_Chase1117_Activity_!C1946</f>
        <v>AMERICAN AIR00144559032 FORT WORTH TX        03/12</v>
      </c>
      <c r="C1949" s="6" t="str">
        <f>Angela_2025_Chase1117_Activity_!G1946</f>
        <v>Personal Travel</v>
      </c>
      <c r="D1949" s="12">
        <f>Angela_2025_Chase1117_Activity_!D1946</f>
        <v>-35</v>
      </c>
    </row>
    <row r="1950" spans="1:4" x14ac:dyDescent="0.25">
      <c r="A1950" s="26">
        <f>Angela_2025_Chase1117_Activity_!B1947</f>
        <v>45728</v>
      </c>
      <c r="B1950" s="6" t="str">
        <f>Angela_2025_Chase1117_Activity_!C1947</f>
        <v>AMAZON MKTPL*CT2BG7K Amzn.com/bill WA        03/12</v>
      </c>
      <c r="C1950" s="6" t="str">
        <f>Angela_2025_Chase1117_Activity_!G1947</f>
        <v>Amazon</v>
      </c>
      <c r="D1950" s="12">
        <f>Angela_2025_Chase1117_Activity_!D1947</f>
        <v>-87.02</v>
      </c>
    </row>
    <row r="1951" spans="1:4" x14ac:dyDescent="0.25">
      <c r="A1951" s="26">
        <f>Angela_2025_Chase1117_Activity_!B1948</f>
        <v>45728</v>
      </c>
      <c r="B1951" s="6" t="str">
        <f>Angela_2025_Chase1117_Activity_!C1948</f>
        <v>AMAZON MKTPL*7B07D4I Amzn.com/bill WA        03/12</v>
      </c>
      <c r="C1951" s="6" t="str">
        <f>Angela_2025_Chase1117_Activity_!G1948</f>
        <v>Amazon</v>
      </c>
      <c r="D1951" s="12">
        <f>Angela_2025_Chase1117_Activity_!D1948</f>
        <v>-37.17</v>
      </c>
    </row>
    <row r="1952" spans="1:4" x14ac:dyDescent="0.25">
      <c r="A1952" s="26">
        <f>Angela_2025_Chase1117_Activity_!B1949</f>
        <v>45728</v>
      </c>
      <c r="B1952" s="6" t="str">
        <f>Angela_2025_Chase1117_Activity_!C1949</f>
        <v>AMAZON MKTPL*CO5Y55A Amzn.com/bill WA        03/12</v>
      </c>
      <c r="C1952" s="6" t="str">
        <f>Angela_2025_Chase1117_Activity_!G1949</f>
        <v>Amazon</v>
      </c>
      <c r="D1952" s="12">
        <f>Angela_2025_Chase1117_Activity_!D1949</f>
        <v>-114.9</v>
      </c>
    </row>
    <row r="1953" spans="1:4" x14ac:dyDescent="0.25">
      <c r="A1953" s="26">
        <f>Angela_2025_Chase1117_Activity_!B1950</f>
        <v>45728</v>
      </c>
      <c r="B1953" s="6" t="str">
        <f>Angela_2025_Chase1117_Activity_!C1950</f>
        <v>AMAZON MKTPL*GN8EF0D Amzn.com/bill WA        03/12</v>
      </c>
      <c r="C1953" s="6" t="str">
        <f>Angela_2025_Chase1117_Activity_!G1950</f>
        <v>Amazon</v>
      </c>
      <c r="D1953" s="12">
        <f>Angela_2025_Chase1117_Activity_!D1950</f>
        <v>-137.88</v>
      </c>
    </row>
    <row r="1954" spans="1:4" x14ac:dyDescent="0.25">
      <c r="A1954" s="26">
        <f>Angela_2025_Chase1117_Activity_!B1951</f>
        <v>45728</v>
      </c>
      <c r="B1954" s="6" t="str">
        <f>Angela_2025_Chase1117_Activity_!C1951</f>
        <v>AMAZON MKTPL*8X1ZB6V Amzn.com/bill WA        03/12</v>
      </c>
      <c r="C1954" s="6" t="str">
        <f>Angela_2025_Chase1117_Activity_!G1951</f>
        <v>Amazon</v>
      </c>
      <c r="D1954" s="12">
        <f>Angela_2025_Chase1117_Activity_!D1951</f>
        <v>-17.510000000000002</v>
      </c>
    </row>
    <row r="1955" spans="1:4" x14ac:dyDescent="0.25">
      <c r="A1955" s="26">
        <f>Angela_2025_Chase1117_Activity_!B1952</f>
        <v>45728</v>
      </c>
      <c r="B1955" s="6" t="str">
        <f>Angela_2025_Chase1117_Activity_!C1952</f>
        <v>AMAZON MKTPL*5847617 Amzn.com/bill WA        03/12</v>
      </c>
      <c r="C1955" s="6" t="str">
        <f>Angela_2025_Chase1117_Activity_!G1952</f>
        <v>Amazon</v>
      </c>
      <c r="D1955" s="12">
        <f>Angela_2025_Chase1117_Activity_!D1952</f>
        <v>-30.64</v>
      </c>
    </row>
    <row r="1956" spans="1:4" x14ac:dyDescent="0.25">
      <c r="A1956" s="26">
        <f>Angela_2025_Chase1117_Activity_!B1953</f>
        <v>45728</v>
      </c>
      <c r="B1956" s="6" t="str">
        <f>Angela_2025_Chase1117_Activity_!C1953</f>
        <v>LADOT PARKING CITATIO 866-561-9742 CA        03/11</v>
      </c>
      <c r="C1956" s="6" t="str">
        <f>Angela_2025_Chase1117_Activity_!G1953</f>
        <v>Personal - Car</v>
      </c>
      <c r="D1956" s="12">
        <f>Angela_2025_Chase1117_Activity_!D1953</f>
        <v>-75</v>
      </c>
    </row>
    <row r="1957" spans="1:4" x14ac:dyDescent="0.25">
      <c r="A1957" s="26">
        <f>Angela_2025_Chase1117_Activity_!B1954</f>
        <v>45728</v>
      </c>
      <c r="B1957" s="6" t="str">
        <f>Angela_2025_Chase1117_Activity_!C1954</f>
        <v>LADOT PARKING CITATIO 866-561-9742 CA        03/11</v>
      </c>
      <c r="C1957" s="6" t="str">
        <f>Angela_2025_Chase1117_Activity_!G1954</f>
        <v>Personal - Car</v>
      </c>
      <c r="D1957" s="12">
        <f>Angela_2025_Chase1117_Activity_!D1954</f>
        <v>-75</v>
      </c>
    </row>
    <row r="1958" spans="1:4" x14ac:dyDescent="0.25">
      <c r="A1958" s="26">
        <f>Angela_2025_Chase1117_Activity_!B1955</f>
        <v>45728</v>
      </c>
      <c r="B1958" s="6" t="str">
        <f>Angela_2025_Chase1117_Activity_!C1955</f>
        <v>AMAZON MKTPL*YL6PB6Y Amzn.com/bill WA        03/12</v>
      </c>
      <c r="C1958" s="6" t="str">
        <f>Angela_2025_Chase1117_Activity_!G1955</f>
        <v>Amazon</v>
      </c>
      <c r="D1958" s="12">
        <f>Angela_2025_Chase1117_Activity_!D1955</f>
        <v>-10.94</v>
      </c>
    </row>
    <row r="1959" spans="1:4" x14ac:dyDescent="0.25">
      <c r="A1959" s="26">
        <f>Angela_2025_Chase1117_Activity_!B1956</f>
        <v>45728</v>
      </c>
      <c r="B1959" s="6" t="str">
        <f>Angela_2025_Chase1117_Activity_!C1956</f>
        <v>Zara.com New York NY                         03/11</v>
      </c>
      <c r="C1959" s="6" t="str">
        <f>Angela_2025_Chase1117_Activity_!G1956</f>
        <v>Personal - Shopping</v>
      </c>
      <c r="D1959" s="12">
        <f>Angela_2025_Chase1117_Activity_!D1956</f>
        <v>-738.91</v>
      </c>
    </row>
    <row r="1960" spans="1:4" x14ac:dyDescent="0.25">
      <c r="A1960" s="26">
        <f>Angela_2025_Chase1117_Activity_!B1957</f>
        <v>45727</v>
      </c>
      <c r="B1960" s="6" t="str">
        <f>Angela_2025_Chase1117_Activity_!C1957</f>
        <v>GELSON'S MARKET #29 SANTA MONICA CA  982984  03/11</v>
      </c>
      <c r="C1960" s="6" t="str">
        <f>Angela_2025_Chase1117_Activity_!G1957</f>
        <v>Personal - Food</v>
      </c>
      <c r="D1960" s="12">
        <f>Angela_2025_Chase1117_Activity_!D1957</f>
        <v>-230.26</v>
      </c>
    </row>
    <row r="1961" spans="1:4" x14ac:dyDescent="0.25">
      <c r="A1961" s="26">
        <f>Angela_2025_Chase1117_Activity_!B1958</f>
        <v>45727</v>
      </c>
      <c r="B1961" s="6" t="str">
        <f>Angela_2025_Chase1117_Activity_!C1958</f>
        <v>WITHDRAWAL 03/11</v>
      </c>
      <c r="C1961" s="6" t="str">
        <f>Angela_2025_Chase1117_Activity_!G1958</f>
        <v>Withdrawal</v>
      </c>
      <c r="D1961" s="12">
        <f>Angela_2025_Chase1117_Activity_!D1958</f>
        <v>-3000</v>
      </c>
    </row>
    <row r="1962" spans="1:4" x14ac:dyDescent="0.25">
      <c r="A1962" s="26">
        <f>Angela_2025_Chase1117_Activity_!B1959</f>
        <v>45727</v>
      </c>
      <c r="B1962" s="6" t="str">
        <f>Angela_2025_Chase1117_Activity_!C1959</f>
        <v>CVS/PHARMACY #09493 MAR VISTA CA     045531  03/11</v>
      </c>
      <c r="C1962" s="6" t="str">
        <f>Angela_2025_Chase1117_Activity_!G1959</f>
        <v>Personal - Health</v>
      </c>
      <c r="D1962" s="12">
        <f>Angela_2025_Chase1117_Activity_!D1959</f>
        <v>-69.900000000000006</v>
      </c>
    </row>
    <row r="1963" spans="1:4" x14ac:dyDescent="0.25">
      <c r="A1963" s="26">
        <f>Angela_2025_Chase1117_Activity_!B1960</f>
        <v>45727</v>
      </c>
      <c r="B1963" s="6" t="str">
        <f>Angela_2025_Chase1117_Activity_!C1960</f>
        <v>SQ *BERRY FLASH PHOTO Los Angeles CA         03/10</v>
      </c>
      <c r="C1963" s="6" t="str">
        <f>Angela_2025_Chase1117_Activity_!G1960</f>
        <v>Personal - Shopping</v>
      </c>
      <c r="D1963" s="12">
        <f>Angela_2025_Chase1117_Activity_!D1960</f>
        <v>-6.6</v>
      </c>
    </row>
    <row r="1964" spans="1:4" x14ac:dyDescent="0.25">
      <c r="A1964" s="26">
        <f>Angela_2025_Chase1117_Activity_!B1961</f>
        <v>45727</v>
      </c>
      <c r="B1964" s="6" t="str">
        <f>Angela_2025_Chase1117_Activity_!C1961</f>
        <v>AMAZON MKTPL*NU8XX41 Amzn.com/bill WA        03/11</v>
      </c>
      <c r="C1964" s="6" t="str">
        <f>Angela_2025_Chase1117_Activity_!G1961</f>
        <v>Amazon</v>
      </c>
      <c r="D1964" s="12">
        <f>Angela_2025_Chase1117_Activity_!D1961</f>
        <v>-132.44</v>
      </c>
    </row>
    <row r="1965" spans="1:4" x14ac:dyDescent="0.25">
      <c r="A1965" s="26">
        <f>Angela_2025_Chase1117_Activity_!B1962</f>
        <v>45727</v>
      </c>
      <c r="B1965" s="6" t="str">
        <f>Angela_2025_Chase1117_Activity_!C1962</f>
        <v>Online Transfer from CHK ...1168 transaction#: 24013494894</v>
      </c>
      <c r="C1965" s="6" t="str">
        <f>Angela_2025_Chase1117_Activity_!G1962</f>
        <v>Transfer from DWG Capital Group</v>
      </c>
      <c r="D1965" s="12">
        <f>Angela_2025_Chase1117_Activity_!D1962</f>
        <v>2000</v>
      </c>
    </row>
    <row r="1966" spans="1:4" x14ac:dyDescent="0.25">
      <c r="A1966" s="26">
        <f>Angela_2025_Chase1117_Activity_!B1963</f>
        <v>45727</v>
      </c>
      <c r="B1966" s="6" t="str">
        <f>Angela_2025_Chase1117_Activity_!C1963</f>
        <v>DEPOSIT  ID NUMBER 107511</v>
      </c>
      <c r="C1966" s="6" t="str">
        <f>Angela_2025_Chase1117_Activity_!G1963</f>
        <v>Deposit</v>
      </c>
      <c r="D1966" s="12">
        <f>Angela_2025_Chase1117_Activity_!D1963</f>
        <v>175</v>
      </c>
    </row>
    <row r="1967" spans="1:4" x14ac:dyDescent="0.25">
      <c r="A1967" s="26">
        <f>Angela_2025_Chase1117_Activity_!B1964</f>
        <v>45726</v>
      </c>
      <c r="B1967" s="6" t="str">
        <f>Angela_2025_Chase1117_Activity_!C1964</f>
        <v>AMAZON MKTPL*R825P2K Amzn.com/bill WA        03/10</v>
      </c>
      <c r="C1967" s="6" t="str">
        <f>Angela_2025_Chase1117_Activity_!G1964</f>
        <v>Amazon</v>
      </c>
      <c r="D1967" s="12">
        <f>Angela_2025_Chase1117_Activity_!D1964</f>
        <v>-16.739999999999998</v>
      </c>
    </row>
    <row r="1968" spans="1:4" x14ac:dyDescent="0.25">
      <c r="A1968" s="26">
        <f>Angela_2025_Chase1117_Activity_!B1965</f>
        <v>45726</v>
      </c>
      <c r="B1968" s="6" t="str">
        <f>Angela_2025_Chase1117_Activity_!C1965</f>
        <v>APPLE COM BILL CUPERTINO CA          634463  03/09</v>
      </c>
      <c r="C1968" s="6" t="str">
        <f>Angela_2025_Chase1117_Activity_!G1965</f>
        <v>Apple</v>
      </c>
      <c r="D1968" s="12">
        <f>Angela_2025_Chase1117_Activity_!D1965</f>
        <v>-12.99</v>
      </c>
    </row>
    <row r="1969" spans="1:4" x14ac:dyDescent="0.25">
      <c r="A1969" s="26">
        <f>Angela_2025_Chase1117_Activity_!B1966</f>
        <v>45726</v>
      </c>
      <c r="B1969" s="6" t="str">
        <f>Angela_2025_Chase1117_Activity_!C1966</f>
        <v>Zelle payment to Aaron Frankel JPM99b0ty9bd</v>
      </c>
      <c r="C1969" s="6" t="str">
        <f>Angela_2025_Chase1117_Activity_!G1966</f>
        <v>Zelle to Aaron Frankel</v>
      </c>
      <c r="D1969" s="12">
        <f>Angela_2025_Chase1117_Activity_!D1966</f>
        <v>-500</v>
      </c>
    </row>
    <row r="1970" spans="1:4" x14ac:dyDescent="0.25">
      <c r="A1970" s="26">
        <f>Angela_2025_Chase1117_Activity_!B1967</f>
        <v>45726</v>
      </c>
      <c r="B1970" s="6" t="str">
        <f>Angela_2025_Chase1117_Activity_!C1967</f>
        <v>AMAZON MKTPL*VR4NK15 Amzn.com/bill WA        03/09</v>
      </c>
      <c r="C1970" s="6" t="str">
        <f>Angela_2025_Chase1117_Activity_!G1967</f>
        <v>Amazon</v>
      </c>
      <c r="D1970" s="12">
        <f>Angela_2025_Chase1117_Activity_!D1967</f>
        <v>-70.08</v>
      </c>
    </row>
    <row r="1971" spans="1:4" x14ac:dyDescent="0.25">
      <c r="A1971" s="26">
        <f>Angela_2025_Chase1117_Activity_!B1968</f>
        <v>45726</v>
      </c>
      <c r="B1971" s="6" t="str">
        <f>Angela_2025_Chase1117_Activity_!C1968</f>
        <v>APPLE.COM/BILL 866-712-7753 CA               03/09</v>
      </c>
      <c r="C1971" s="6" t="str">
        <f>Angela_2025_Chase1117_Activity_!G1968</f>
        <v>Apple</v>
      </c>
      <c r="D1971" s="12">
        <f>Angela_2025_Chase1117_Activity_!D1968</f>
        <v>-6.99</v>
      </c>
    </row>
    <row r="1972" spans="1:4" x14ac:dyDescent="0.25">
      <c r="A1972" s="26">
        <f>Angela_2025_Chase1117_Activity_!B1969</f>
        <v>45726</v>
      </c>
      <c r="B1972" s="6" t="str">
        <f>Angela_2025_Chase1117_Activity_!C1969</f>
        <v>AMAZON MKTPL*KR1FJ6L Amzn.com/bill WA        03/10</v>
      </c>
      <c r="C1972" s="6" t="str">
        <f>Angela_2025_Chase1117_Activity_!G1969</f>
        <v>Amazon</v>
      </c>
      <c r="D1972" s="12">
        <f>Angela_2025_Chase1117_Activity_!D1969</f>
        <v>-83.16</v>
      </c>
    </row>
    <row r="1973" spans="1:4" x14ac:dyDescent="0.25">
      <c r="A1973" s="26">
        <f>Angela_2025_Chase1117_Activity_!B1970</f>
        <v>45726</v>
      </c>
      <c r="B1973" s="6" t="str">
        <f>Angela_2025_Chase1117_Activity_!C1970</f>
        <v>THE HOME DEPOT #6611 LOS ANGELES CA  017278  03/08</v>
      </c>
      <c r="C1973" s="6" t="str">
        <f>Angela_2025_Chase1117_Activity_!G1970</f>
        <v>Personal - Shopping</v>
      </c>
      <c r="D1973" s="12">
        <f>Angela_2025_Chase1117_Activity_!D1970</f>
        <v>-229.32</v>
      </c>
    </row>
    <row r="1974" spans="1:4" x14ac:dyDescent="0.25">
      <c r="A1974" s="26">
        <f>Angela_2025_Chase1117_Activity_!B1971</f>
        <v>45726</v>
      </c>
      <c r="B1974" s="6" t="str">
        <f>Angela_2025_Chase1117_Activity_!C1971</f>
        <v>AMAZON MKTPL*6N6YX82 Amzn.com/bill WA        03/09</v>
      </c>
      <c r="C1974" s="6" t="str">
        <f>Angela_2025_Chase1117_Activity_!G1971</f>
        <v>Amazon</v>
      </c>
      <c r="D1974" s="12">
        <f>Angela_2025_Chase1117_Activity_!D1971</f>
        <v>-34.24</v>
      </c>
    </row>
    <row r="1975" spans="1:4" x14ac:dyDescent="0.25">
      <c r="A1975" s="26">
        <f>Angela_2025_Chase1117_Activity_!B1972</f>
        <v>45726</v>
      </c>
      <c r="B1975" s="6" t="str">
        <f>Angela_2025_Chase1117_Activity_!C1972</f>
        <v>NNTCWWW.TARGET.COM 2 BROOKLYN PARK MN552199  03/07</v>
      </c>
      <c r="C1975" s="6" t="str">
        <f>Angela_2025_Chase1117_Activity_!G1972</f>
        <v>Personal - Shopping</v>
      </c>
      <c r="D1975" s="12">
        <f>Angela_2025_Chase1117_Activity_!D1972</f>
        <v>-39.33</v>
      </c>
    </row>
    <row r="1976" spans="1:4" x14ac:dyDescent="0.25">
      <c r="A1976" s="26">
        <f>Angela_2025_Chase1117_Activity_!B1973</f>
        <v>45726</v>
      </c>
      <c r="B1976" s="6" t="str">
        <f>Angela_2025_Chase1117_Activity_!C1973</f>
        <v>AMAZON MKTPL*DL9OB4W Amzn.com/bill WA        03/08</v>
      </c>
      <c r="C1976" s="6" t="str">
        <f>Angela_2025_Chase1117_Activity_!G1973</f>
        <v>Amazon</v>
      </c>
      <c r="D1976" s="12">
        <f>Angela_2025_Chase1117_Activity_!D1973</f>
        <v>-36.119999999999997</v>
      </c>
    </row>
    <row r="1977" spans="1:4" x14ac:dyDescent="0.25">
      <c r="A1977" s="26">
        <f>Angela_2025_Chase1117_Activity_!B1974</f>
        <v>45726</v>
      </c>
      <c r="B1977" s="6" t="str">
        <f>Angela_2025_Chase1117_Activity_!C1974</f>
        <v>NNTCWWW.TARGET.COM 3 BROOKLYN PARK MN851758  03/07</v>
      </c>
      <c r="C1977" s="6" t="str">
        <f>Angela_2025_Chase1117_Activity_!G1974</f>
        <v>Personal - Shopping</v>
      </c>
      <c r="D1977" s="12">
        <f>Angela_2025_Chase1117_Activity_!D1974</f>
        <v>-30.07</v>
      </c>
    </row>
    <row r="1978" spans="1:4" x14ac:dyDescent="0.25">
      <c r="A1978" s="26">
        <f>Angela_2025_Chase1117_Activity_!B1975</f>
        <v>45726</v>
      </c>
      <c r="B1978" s="6" t="str">
        <f>Angela_2025_Chase1117_Activity_!C1975</f>
        <v>SQ *REA COMMERCIAL SECU gosq.com CA          03/08</v>
      </c>
      <c r="C1978" s="6" t="str">
        <f>Angela_2025_Chase1117_Activity_!G1975</f>
        <v>Personal - Subscription</v>
      </c>
      <c r="D1978" s="12">
        <f>Angela_2025_Chase1117_Activity_!D1975</f>
        <v>-100</v>
      </c>
    </row>
    <row r="1979" spans="1:4" x14ac:dyDescent="0.25">
      <c r="A1979" s="26">
        <f>Angela_2025_Chase1117_Activity_!B1976</f>
        <v>45726</v>
      </c>
      <c r="B1979" s="6" t="str">
        <f>Angela_2025_Chase1117_Activity_!C1976</f>
        <v>AMAZON MKTPL*S26UZ74 Amzn.com/bill WA        03/08</v>
      </c>
      <c r="C1979" s="6" t="str">
        <f>Angela_2025_Chase1117_Activity_!G1976</f>
        <v>Amazon</v>
      </c>
      <c r="D1979" s="12">
        <f>Angela_2025_Chase1117_Activity_!D1976</f>
        <v>-28.45</v>
      </c>
    </row>
    <row r="1980" spans="1:4" x14ac:dyDescent="0.25">
      <c r="A1980" s="26">
        <f>Angela_2025_Chase1117_Activity_!B1977</f>
        <v>45726</v>
      </c>
      <c r="B1980" s="6" t="str">
        <f>Angela_2025_Chase1117_Activity_!C1977</f>
        <v>VIKTOR BENES MARINA MARINA DEL RE CA         03/07</v>
      </c>
      <c r="C1980" s="6" t="str">
        <f>Angela_2025_Chase1117_Activity_!G1977</f>
        <v>Personal - Food</v>
      </c>
      <c r="D1980" s="12">
        <f>Angela_2025_Chase1117_Activity_!D1977</f>
        <v>-297.45</v>
      </c>
    </row>
    <row r="1981" spans="1:4" x14ac:dyDescent="0.25">
      <c r="A1981" s="26">
        <f>Angela_2025_Chase1117_Activity_!B1978</f>
        <v>45726</v>
      </c>
      <c r="B1981" s="6" t="str">
        <f>Angela_2025_Chase1117_Activity_!C1978</f>
        <v>SQ *ABY PARTY RENTAL Los Angeles CA          03/07</v>
      </c>
      <c r="C1981" s="6" t="str">
        <f>Angela_2025_Chase1117_Activity_!G1978</f>
        <v>Personal - Entertainment</v>
      </c>
      <c r="D1981" s="12">
        <f>Angela_2025_Chase1117_Activity_!D1978</f>
        <v>-246</v>
      </c>
    </row>
    <row r="1982" spans="1:4" x14ac:dyDescent="0.25">
      <c r="A1982" s="26">
        <f>Angela_2025_Chase1117_Activity_!B1979</f>
        <v>45726</v>
      </c>
      <c r="B1982" s="6" t="str">
        <f>Angela_2025_Chase1117_Activity_!C1979</f>
        <v>Prime Video Channels amzn.com/bill WA        03/07</v>
      </c>
      <c r="C1982" s="6" t="str">
        <f>Angela_2025_Chase1117_Activity_!G1979</f>
        <v>Amazon</v>
      </c>
      <c r="D1982" s="12">
        <f>Angela_2025_Chase1117_Activity_!D1979</f>
        <v>-13.99</v>
      </c>
    </row>
    <row r="1983" spans="1:4" x14ac:dyDescent="0.25">
      <c r="A1983" s="26">
        <f>Angela_2025_Chase1117_Activity_!B1980</f>
        <v>45726</v>
      </c>
      <c r="B1983" s="6" t="str">
        <f>Angela_2025_Chase1117_Activity_!C1980</f>
        <v>AMAZON MKTPL*X61W46N Amzn.com/bill WA        03/07</v>
      </c>
      <c r="C1983" s="6" t="str">
        <f>Angela_2025_Chase1117_Activity_!G1980</f>
        <v>Amazon</v>
      </c>
      <c r="D1983" s="12">
        <f>Angela_2025_Chase1117_Activity_!D1980</f>
        <v>-49.74</v>
      </c>
    </row>
    <row r="1984" spans="1:4" x14ac:dyDescent="0.25">
      <c r="A1984" s="26">
        <f>Angela_2025_Chase1117_Activity_!B1981</f>
        <v>45726</v>
      </c>
      <c r="B1984" s="6" t="str">
        <f>Angela_2025_Chase1117_Activity_!C1981</f>
        <v>GELSON'S MARKET #29 SANTA MONICA CA          03/06</v>
      </c>
      <c r="C1984" s="6" t="str">
        <f>Angela_2025_Chase1117_Activity_!G1981</f>
        <v>Personal - Food</v>
      </c>
      <c r="D1984" s="12">
        <f>Angela_2025_Chase1117_Activity_!D1981</f>
        <v>-285.95999999999998</v>
      </c>
    </row>
    <row r="1985" spans="1:4" x14ac:dyDescent="0.25">
      <c r="A1985" s="26">
        <f>Angela_2025_Chase1117_Activity_!B1982</f>
        <v>45726</v>
      </c>
      <c r="B1985" s="6" t="str">
        <f>Angela_2025_Chase1117_Activity_!C1982</f>
        <v>Online Transfer from CHK ...1168 transaction#: 24006838713</v>
      </c>
      <c r="C1985" s="6" t="str">
        <f>Angela_2025_Chase1117_Activity_!G1982</f>
        <v>Transfer from DWG Capital Group</v>
      </c>
      <c r="D1985" s="12">
        <f>Angela_2025_Chase1117_Activity_!D1982</f>
        <v>2000</v>
      </c>
    </row>
    <row r="1986" spans="1:4" x14ac:dyDescent="0.25">
      <c r="A1986" s="26">
        <f>Angela_2025_Chase1117_Activity_!B1983</f>
        <v>45723</v>
      </c>
      <c r="B1986" s="6" t="str">
        <f>Angela_2025_Chase1117_Activity_!C1983</f>
        <v>GELSON'S MARKETS #10 MARINA DEL RE CA617369  03/07</v>
      </c>
      <c r="C1986" s="6" t="str">
        <f>Angela_2025_Chase1117_Activity_!G1983</f>
        <v>Personal - Food</v>
      </c>
      <c r="D1986" s="12">
        <f>Angela_2025_Chase1117_Activity_!D1983</f>
        <v>-83.14</v>
      </c>
    </row>
    <row r="1987" spans="1:4" x14ac:dyDescent="0.25">
      <c r="A1987" s="26">
        <f>Angela_2025_Chase1117_Activity_!B1984</f>
        <v>45723</v>
      </c>
      <c r="B1987" s="6" t="str">
        <f>Angela_2025_Chase1117_Activity_!C1984</f>
        <v>AMAZON MKTPL*XP06O9V Amzn.com/bill WA        03/07</v>
      </c>
      <c r="C1987" s="6" t="str">
        <f>Angela_2025_Chase1117_Activity_!G1984</f>
        <v>Amazon</v>
      </c>
      <c r="D1987" s="12">
        <f>Angela_2025_Chase1117_Activity_!D1984</f>
        <v>-34.590000000000003</v>
      </c>
    </row>
    <row r="1988" spans="1:4" x14ac:dyDescent="0.25">
      <c r="A1988" s="26">
        <f>Angela_2025_Chase1117_Activity_!B1985</f>
        <v>45723</v>
      </c>
      <c r="B1988" s="6" t="str">
        <f>Angela_2025_Chase1117_Activity_!C1985</f>
        <v>STUBHUB, INC. 866-788-2482 CA                03/07</v>
      </c>
      <c r="C1988" s="6" t="str">
        <f>Angela_2025_Chase1117_Activity_!G1985</f>
        <v>Personal - Entertainment</v>
      </c>
      <c r="D1988" s="12">
        <f>Angela_2025_Chase1117_Activity_!D1985</f>
        <v>-32.9</v>
      </c>
    </row>
    <row r="1989" spans="1:4" x14ac:dyDescent="0.25">
      <c r="A1989" s="26">
        <f>Angela_2025_Chase1117_Activity_!B1986</f>
        <v>45723</v>
      </c>
      <c r="B1989" s="6" t="str">
        <f>Angela_2025_Chase1117_Activity_!C1986</f>
        <v>STUBHUB, INC. 866-788-2482 CA                03/07</v>
      </c>
      <c r="C1989" s="6" t="str">
        <f>Angela_2025_Chase1117_Activity_!G1986</f>
        <v>Personal - Entertainment</v>
      </c>
      <c r="D1989" s="12">
        <f>Angela_2025_Chase1117_Activity_!D1986</f>
        <v>-214.22</v>
      </c>
    </row>
    <row r="1990" spans="1:4" x14ac:dyDescent="0.25">
      <c r="A1990" s="26">
        <f>Angela_2025_Chase1117_Activity_!B1987</f>
        <v>45723</v>
      </c>
      <c r="B1990" s="6" t="str">
        <f>Angela_2025_Chase1117_Activity_!C1987</f>
        <v>AMC 9640 ONLINE 888-440-4262 KS              03/07</v>
      </c>
      <c r="C1990" s="6" t="str">
        <f>Angela_2025_Chase1117_Activity_!G1987</f>
        <v>Personal - Entertainment</v>
      </c>
      <c r="D1990" s="12">
        <f>Angela_2025_Chase1117_Activity_!D1987</f>
        <v>-68.72</v>
      </c>
    </row>
    <row r="1991" spans="1:4" x14ac:dyDescent="0.25">
      <c r="A1991" s="26">
        <f>Angela_2025_Chase1117_Activity_!B1988</f>
        <v>45723</v>
      </c>
      <c r="B1991" s="6" t="str">
        <f>Angela_2025_Chase1117_Activity_!C1988</f>
        <v>AMAZON MKTPL*R83UW9W Amzn.com/bill WA        03/06</v>
      </c>
      <c r="C1991" s="6" t="str">
        <f>Angela_2025_Chase1117_Activity_!G1988</f>
        <v>Amazon</v>
      </c>
      <c r="D1991" s="12">
        <f>Angela_2025_Chase1117_Activity_!D1988</f>
        <v>-146.02000000000001</v>
      </c>
    </row>
    <row r="1992" spans="1:4" x14ac:dyDescent="0.25">
      <c r="A1992" s="26">
        <f>Angela_2025_Chase1117_Activity_!B1989</f>
        <v>45723</v>
      </c>
      <c r="B1992" s="6" t="str">
        <f>Angela_2025_Chase1117_Activity_!C1989</f>
        <v>AMAZON MKTPL*DZ45L39 Amzn.com/bill WA        03/06</v>
      </c>
      <c r="C1992" s="6" t="str">
        <f>Angela_2025_Chase1117_Activity_!G1989</f>
        <v>Amazon</v>
      </c>
      <c r="D1992" s="12">
        <f>Angela_2025_Chase1117_Activity_!D1989</f>
        <v>-20.79</v>
      </c>
    </row>
    <row r="1993" spans="1:4" x14ac:dyDescent="0.25">
      <c r="A1993" s="26">
        <f>Angela_2025_Chase1117_Activity_!B1990</f>
        <v>45722</v>
      </c>
      <c r="B1993" s="6" t="str">
        <f>Angela_2025_Chase1117_Activity_!C1990</f>
        <v>TRADER JOE S #00 TRAD SANTA MONICA CA403355  03/06</v>
      </c>
      <c r="C1993" s="6" t="str">
        <f>Angela_2025_Chase1117_Activity_!G1990</f>
        <v>Personal - Food</v>
      </c>
      <c r="D1993" s="12">
        <f>Angela_2025_Chase1117_Activity_!D1990</f>
        <v>-139.68</v>
      </c>
    </row>
    <row r="1994" spans="1:4" x14ac:dyDescent="0.25">
      <c r="A1994" s="26">
        <f>Angela_2025_Chase1117_Activity_!B1991</f>
        <v>45722</v>
      </c>
      <c r="B1994" s="6" t="str">
        <f>Angela_2025_Chase1117_Activity_!C1991</f>
        <v>GOOGLE *YouTubePremi g.co/helppay# CA        03/06</v>
      </c>
      <c r="C1994" s="6" t="str">
        <f>Angela_2025_Chase1117_Activity_!G1991</f>
        <v>YouTube Premium</v>
      </c>
      <c r="D1994" s="12">
        <f>Angela_2025_Chase1117_Activity_!D1991</f>
        <v>-13.99</v>
      </c>
    </row>
    <row r="1995" spans="1:4" x14ac:dyDescent="0.25">
      <c r="A1995" s="26">
        <f>Angela_2025_Chase1117_Activity_!B1992</f>
        <v>45722</v>
      </c>
      <c r="B1995" s="6" t="str">
        <f>Angela_2025_Chase1117_Activity_!C1992</f>
        <v>PAVILIONS #2105 MARINA DEL RE CA             03/05</v>
      </c>
      <c r="C1995" s="6" t="str">
        <f>Angela_2025_Chase1117_Activity_!G1992</f>
        <v>Personal - Food</v>
      </c>
      <c r="D1995" s="12">
        <f>Angela_2025_Chase1117_Activity_!D1992</f>
        <v>-362.48</v>
      </c>
    </row>
    <row r="1996" spans="1:4" x14ac:dyDescent="0.25">
      <c r="A1996" s="26">
        <f>Angela_2025_Chase1117_Activity_!B1993</f>
        <v>45722</v>
      </c>
      <c r="B1996" s="6" t="str">
        <f>Angela_2025_Chase1117_Activity_!C1993</f>
        <v>PSYCHOLOGY TODAY PSYCHOLOGYTOD SD            03/06</v>
      </c>
      <c r="C1996" s="6" t="str">
        <f>Angela_2025_Chase1117_Activity_!G1993</f>
        <v>Personal - Subscription</v>
      </c>
      <c r="D1996" s="12">
        <f>Angela_2025_Chase1117_Activity_!D1993</f>
        <v>-29.95</v>
      </c>
    </row>
    <row r="1997" spans="1:4" x14ac:dyDescent="0.25">
      <c r="A1997" s="26">
        <f>Angela_2025_Chase1117_Activity_!B1994</f>
        <v>45722</v>
      </c>
      <c r="B1997" s="6" t="str">
        <f>Angela_2025_Chase1117_Activity_!C1994</f>
        <v>ELEVENLABS.IO ELEVENLABS.IO NY               03/06</v>
      </c>
      <c r="C1997" s="6" t="str">
        <f>Angela_2025_Chase1117_Activity_!G1994</f>
        <v>Personal - Subscription</v>
      </c>
      <c r="D1997" s="12">
        <f>Angela_2025_Chase1117_Activity_!D1994</f>
        <v>-11</v>
      </c>
    </row>
    <row r="1998" spans="1:4" x14ac:dyDescent="0.25">
      <c r="A1998" s="26">
        <f>Angela_2025_Chase1117_Activity_!B1995</f>
        <v>45722</v>
      </c>
      <c r="B1998" s="6" t="str">
        <f>Angela_2025_Chase1117_Activity_!C1995</f>
        <v>AMAZON MKTPL*U19IL1A Amzn.com/bill WA        03/05</v>
      </c>
      <c r="C1998" s="6" t="str">
        <f>Angela_2025_Chase1117_Activity_!G1995</f>
        <v>Amazon</v>
      </c>
      <c r="D1998" s="12">
        <f>Angela_2025_Chase1117_Activity_!D1995</f>
        <v>-13.13</v>
      </c>
    </row>
    <row r="1999" spans="1:4" x14ac:dyDescent="0.25">
      <c r="A1999" s="26">
        <f>Angela_2025_Chase1117_Activity_!B1996</f>
        <v>45722</v>
      </c>
      <c r="B1999" s="6" t="str">
        <f>Angela_2025_Chase1117_Activity_!C1996</f>
        <v>Online Transfer from CHK ...1168 transaction#: 23962544128</v>
      </c>
      <c r="C1999" s="6" t="str">
        <f>Angela_2025_Chase1117_Activity_!G1996</f>
        <v>Transfer from DWG Capital Group</v>
      </c>
      <c r="D1999" s="12">
        <f>Angela_2025_Chase1117_Activity_!D1996</f>
        <v>5000</v>
      </c>
    </row>
    <row r="2000" spans="1:4" x14ac:dyDescent="0.25">
      <c r="A2000" s="26">
        <f>Angela_2025_Chase1117_Activity_!B1997</f>
        <v>45721</v>
      </c>
      <c r="B2000" s="6" t="str">
        <f>Angela_2025_Chase1117_Activity_!C1997</f>
        <v>STAPLES 0951 WESTCHESTER CA          323899  03/05</v>
      </c>
      <c r="C2000" s="6" t="str">
        <f>Angela_2025_Chase1117_Activity_!G1997</f>
        <v>Personal - Shopping</v>
      </c>
      <c r="D2000" s="12">
        <f>Angela_2025_Chase1117_Activity_!D1997</f>
        <v>-52.88</v>
      </c>
    </row>
    <row r="2001" spans="1:4" x14ac:dyDescent="0.25">
      <c r="A2001" s="26">
        <f>Angela_2025_Chase1117_Activity_!B1998</f>
        <v>45721</v>
      </c>
      <c r="B2001" s="6" t="str">
        <f>Angela_2025_Chase1117_Activity_!C1998</f>
        <v>UBER   * EATS PENDIN SAN FRANCISCO CA197834  03/05</v>
      </c>
      <c r="C2001" s="6" t="str">
        <f>Angela_2025_Chase1117_Activity_!G1998</f>
        <v>Uber Eats</v>
      </c>
      <c r="D2001" s="12">
        <f>Angela_2025_Chase1117_Activity_!D1998</f>
        <v>-35.32</v>
      </c>
    </row>
    <row r="2002" spans="1:4" x14ac:dyDescent="0.25">
      <c r="A2002" s="26">
        <f>Angela_2025_Chase1117_Activity_!B1999</f>
        <v>45721</v>
      </c>
      <c r="B2002" s="6" t="str">
        <f>Angela_2025_Chase1117_Activity_!C1999</f>
        <v>AMAZON MKTPL*QN0LG1M Amzn.com/bill WA        03/04</v>
      </c>
      <c r="C2002" s="6" t="str">
        <f>Angela_2025_Chase1117_Activity_!G1999</f>
        <v>Amazon</v>
      </c>
      <c r="D2002" s="12">
        <f>Angela_2025_Chase1117_Activity_!D1999</f>
        <v>-28.89</v>
      </c>
    </row>
    <row r="2003" spans="1:4" x14ac:dyDescent="0.25">
      <c r="A2003" s="26">
        <f>Angela_2025_Chase1117_Activity_!B2000</f>
        <v>45721</v>
      </c>
      <c r="B2003" s="6" t="str">
        <f>Angela_2025_Chase1117_Activity_!C2000</f>
        <v>AMAZON MKTPL*7W3FA4G Amzn.com/bill WA        03/04</v>
      </c>
      <c r="C2003" s="6" t="str">
        <f>Angela_2025_Chase1117_Activity_!G2000</f>
        <v>Amazon</v>
      </c>
      <c r="D2003" s="12">
        <f>Angela_2025_Chase1117_Activity_!D2000</f>
        <v>-10.94</v>
      </c>
    </row>
    <row r="2004" spans="1:4" x14ac:dyDescent="0.25">
      <c r="A2004" s="26">
        <f>Angela_2025_Chase1117_Activity_!B2001</f>
        <v>45721</v>
      </c>
      <c r="B2004" s="6" t="str">
        <f>Angela_2025_Chase1117_Activity_!C2001</f>
        <v>BOLIVAR CAFE  AREPA B SANTA MONICA CA        03/03</v>
      </c>
      <c r="C2004" s="6" t="str">
        <f>Angela_2025_Chase1117_Activity_!G2001</f>
        <v>Personal - Food</v>
      </c>
      <c r="D2004" s="12">
        <f>Angela_2025_Chase1117_Activity_!D2001</f>
        <v>-27.84</v>
      </c>
    </row>
    <row r="2005" spans="1:4" x14ac:dyDescent="0.25">
      <c r="A2005" s="26">
        <f>Angela_2025_Chase1117_Activity_!B2002</f>
        <v>45721</v>
      </c>
      <c r="B2005" s="6" t="str">
        <f>Angela_2025_Chase1117_Activity_!C2002</f>
        <v>CITY OF SANTA MONICA SANTA MONICA CA         03/03</v>
      </c>
      <c r="C2005" s="6" t="str">
        <f>Angela_2025_Chase1117_Activity_!G2002</f>
        <v>Personal - Car</v>
      </c>
      <c r="D2005" s="12">
        <f>Angela_2025_Chase1117_Activity_!D2002</f>
        <v>-0.42</v>
      </c>
    </row>
    <row r="2006" spans="1:4" x14ac:dyDescent="0.25">
      <c r="A2006" s="26">
        <f>Angela_2025_Chase1117_Activity_!B2003</f>
        <v>45720</v>
      </c>
      <c r="B2006" s="6" t="str">
        <f>Angela_2025_Chase1117_Activity_!C2003</f>
        <v>FOREIGN EXCHANGE RATE ADJUSTMENT FEE         03/03WP*elaine</v>
      </c>
      <c r="C2006" s="6" t="str">
        <f>Angela_2025_Chase1117_Activity_!G2003</f>
        <v>Personal Travel - Canada</v>
      </c>
      <c r="D2006" s="12">
        <f>Angela_2025_Chase1117_Activity_!D2003</f>
        <v>-0.54</v>
      </c>
    </row>
    <row r="2007" spans="1:4" x14ac:dyDescent="0.25">
      <c r="A2007" s="26">
        <f>Angela_2025_Chase1117_Activity_!B2004</f>
        <v>45720</v>
      </c>
      <c r="B2007" s="6" t="str">
        <f>Angela_2025_Chase1117_Activity_!C2004</f>
        <v>SQ *ABY PARTY RENTAL Los Angeles CA          03/03</v>
      </c>
      <c r="C2007" s="6" t="str">
        <f>Angela_2025_Chase1117_Activity_!G2004</f>
        <v>Personal - Entertainment</v>
      </c>
      <c r="D2007" s="12">
        <f>Angela_2025_Chase1117_Activity_!D2004</f>
        <v>-407.43</v>
      </c>
    </row>
    <row r="2008" spans="1:4" x14ac:dyDescent="0.25">
      <c r="A2008" s="26">
        <f>Angela_2025_Chase1117_Activity_!B2005</f>
        <v>45720</v>
      </c>
      <c r="B2008" s="6" t="str">
        <f>Angela_2025_Chase1117_Activity_!C2005</f>
        <v>SQ *BERRY FLASH PHOTO Los Angeles CA         03/03</v>
      </c>
      <c r="C2008" s="6" t="str">
        <f>Angela_2025_Chase1117_Activity_!G2005</f>
        <v>Personal - Shopping</v>
      </c>
      <c r="D2008" s="12">
        <f>Angela_2025_Chase1117_Activity_!D2005</f>
        <v>-383.12</v>
      </c>
    </row>
    <row r="2009" spans="1:4" x14ac:dyDescent="0.25">
      <c r="A2009" s="26">
        <f>Angela_2025_Chase1117_Activity_!B2006</f>
        <v>45720</v>
      </c>
      <c r="B2009" s="6" t="str">
        <f>Angela_2025_Chase1117_Activity_!C2006</f>
        <v>AMAZON MKTPL*YE75600 Amzn.com/bill WA        03/03</v>
      </c>
      <c r="C2009" s="6" t="str">
        <f>Angela_2025_Chase1117_Activity_!G2006</f>
        <v>Amazon</v>
      </c>
      <c r="D2009" s="12">
        <f>Angela_2025_Chase1117_Activity_!D2006</f>
        <v>-84.32</v>
      </c>
    </row>
    <row r="2010" spans="1:4" x14ac:dyDescent="0.25">
      <c r="A2010" s="26">
        <f>Angela_2025_Chase1117_Activity_!B2007</f>
        <v>45720</v>
      </c>
      <c r="B2010" s="6" t="str">
        <f>Angela_2025_Chase1117_Activity_!C2007</f>
        <v>WP*elainethorpe.com Margate                  03/03 Pound Sterl14.35 X 1.262718 (EXCHG RTE)</v>
      </c>
      <c r="C2010" s="6" t="str">
        <f>Angela_2025_Chase1117_Activity_!G2007</f>
        <v>Personal Travel - Canada</v>
      </c>
      <c r="D2010" s="12">
        <f>Angela_2025_Chase1117_Activity_!D2007</f>
        <v>-18.12</v>
      </c>
    </row>
    <row r="2011" spans="1:4" x14ac:dyDescent="0.25">
      <c r="A2011" s="26">
        <f>Angela_2025_Chase1117_Activity_!B2008</f>
        <v>45720</v>
      </c>
      <c r="B2011" s="6" t="str">
        <f>Angela_2025_Chase1117_Activity_!C2008</f>
        <v>APPLE.COM/BILL 866-712-7753 CA               03/03</v>
      </c>
      <c r="C2011" s="6" t="str">
        <f>Angela_2025_Chase1117_Activity_!G2008</f>
        <v>Apple</v>
      </c>
      <c r="D2011" s="12">
        <f>Angela_2025_Chase1117_Activity_!D2008</f>
        <v>-69.989999999999995</v>
      </c>
    </row>
    <row r="2012" spans="1:4" x14ac:dyDescent="0.25">
      <c r="A2012" s="26">
        <f>Angela_2025_Chase1117_Activity_!B2009</f>
        <v>45720</v>
      </c>
      <c r="B2012" s="6" t="str">
        <f>Angela_2025_Chase1117_Activity_!C2009</f>
        <v>APPLE.COM/BILL 866-712-7753 CA               03/03</v>
      </c>
      <c r="C2012" s="6" t="str">
        <f>Angela_2025_Chase1117_Activity_!G2009</f>
        <v>Apple</v>
      </c>
      <c r="D2012" s="12">
        <f>Angela_2025_Chase1117_Activity_!D2009</f>
        <v>-3.99</v>
      </c>
    </row>
    <row r="2013" spans="1:4" x14ac:dyDescent="0.25">
      <c r="A2013" s="26">
        <f>Angela_2025_Chase1117_Activity_!B2010</f>
        <v>45719</v>
      </c>
      <c r="B2013" s="6" t="str">
        <f>Angela_2025_Chase1117_Activity_!C2010</f>
        <v>THE HOME DEPOT #6611 LOS ANGELES CA  509094  03/03</v>
      </c>
      <c r="C2013" s="6" t="str">
        <f>Angela_2025_Chase1117_Activity_!G2010</f>
        <v>Personal - Shopping</v>
      </c>
      <c r="D2013" s="12">
        <f>Angela_2025_Chase1117_Activity_!D2010</f>
        <v>-409.48</v>
      </c>
    </row>
    <row r="2014" spans="1:4" x14ac:dyDescent="0.25">
      <c r="A2014" s="26">
        <f>Angela_2025_Chase1117_Activity_!B2011</f>
        <v>45719</v>
      </c>
      <c r="B2014" s="6" t="str">
        <f>Angela_2025_Chase1117_Activity_!C2011</f>
        <v>UBER   * EATS PENDIN SAN FRANCISCO CA192409  03/02</v>
      </c>
      <c r="C2014" s="6" t="str">
        <f>Angela_2025_Chase1117_Activity_!G2011</f>
        <v>Uber Eats</v>
      </c>
      <c r="D2014" s="12">
        <f>Angela_2025_Chase1117_Activity_!D2011</f>
        <v>-69.59</v>
      </c>
    </row>
    <row r="2015" spans="1:4" x14ac:dyDescent="0.25">
      <c r="A2015" s="26">
        <f>Angela_2025_Chase1117_Activity_!B2012</f>
        <v>45719</v>
      </c>
      <c r="B2015" s="6" t="str">
        <f>Angela_2025_Chase1117_Activity_!C2012</f>
        <v>LADOT METER PARKING LOS ANGELES CA           03/01</v>
      </c>
      <c r="C2015" s="6" t="str">
        <f>Angela_2025_Chase1117_Activity_!G2012</f>
        <v>Personal - Car</v>
      </c>
      <c r="D2015" s="12">
        <f>Angela_2025_Chase1117_Activity_!D2012</f>
        <v>-2</v>
      </c>
    </row>
    <row r="2016" spans="1:4" x14ac:dyDescent="0.25">
      <c r="A2016" s="26">
        <f>Angela_2025_Chase1117_Activity_!B2013</f>
        <v>45719</v>
      </c>
      <c r="B2016" s="6" t="str">
        <f>Angela_2025_Chase1117_Activity_!C2013</f>
        <v>AMAZON MKTPL*X11EU5Y Amzn.com/bill WA        03/02</v>
      </c>
      <c r="C2016" s="6" t="str">
        <f>Angela_2025_Chase1117_Activity_!G2013</f>
        <v>Amazon</v>
      </c>
      <c r="D2016" s="12">
        <f>Angela_2025_Chase1117_Activity_!D2013</f>
        <v>-25.16</v>
      </c>
    </row>
    <row r="2017" spans="1:4" x14ac:dyDescent="0.25">
      <c r="A2017" s="26">
        <f>Angela_2025_Chase1117_Activity_!B2014</f>
        <v>45719</v>
      </c>
      <c r="B2017" s="6" t="str">
        <f>Angela_2025_Chase1117_Activity_!C2014</f>
        <v>SQ *KREATION ORGANIC Marina del Re CA        02/28</v>
      </c>
      <c r="C2017" s="6" t="str">
        <f>Angela_2025_Chase1117_Activity_!G2014</f>
        <v>Personal - Food</v>
      </c>
      <c r="D2017" s="12">
        <f>Angela_2025_Chase1117_Activity_!D2014</f>
        <v>-461.4</v>
      </c>
    </row>
    <row r="2018" spans="1:4" x14ac:dyDescent="0.25">
      <c r="A2018" s="26">
        <f>Angela_2025_Chase1117_Activity_!B2015</f>
        <v>45719</v>
      </c>
      <c r="B2018" s="6" t="str">
        <f>Angela_2025_Chase1117_Activity_!C2015</f>
        <v>CVSExtraCare 80074672 800-746-7287 RI        02/28</v>
      </c>
      <c r="C2018" s="6" t="str">
        <f>Angela_2025_Chase1117_Activity_!G2015</f>
        <v>Personal - Health</v>
      </c>
      <c r="D2018" s="12">
        <f>Angela_2025_Chase1117_Activity_!D2015</f>
        <v>-5.48</v>
      </c>
    </row>
    <row r="2019" spans="1:4" x14ac:dyDescent="0.25">
      <c r="A2019" s="26">
        <f>Angela_2025_Chase1117_Activity_!B2016</f>
        <v>45716</v>
      </c>
      <c r="B2019" s="6" t="str">
        <f>Angela_2025_Chase1117_Activity_!C2016</f>
        <v>Online Payment 23890030842 To SOUTHERN CALIFORNIA GAS CO 02/28</v>
      </c>
      <c r="C2019" s="6" t="str">
        <f>Angela_2025_Chase1117_Activity_!G2016</f>
        <v>Personal - House Bills</v>
      </c>
      <c r="D2019" s="12">
        <f>Angela_2025_Chase1117_Activity_!D2016</f>
        <v>-646.29999999999995</v>
      </c>
    </row>
    <row r="2020" spans="1:4" x14ac:dyDescent="0.25">
      <c r="A2020" s="26">
        <f>Angela_2025_Chase1117_Activity_!B2017</f>
        <v>45716</v>
      </c>
      <c r="B2020" s="6" t="str">
        <f>Angela_2025_Chase1117_Activity_!C2017</f>
        <v>BLUE SHIELD CALIFORNI 800-393-6130 CA        02/28</v>
      </c>
      <c r="C2020" s="6" t="str">
        <f>Angela_2025_Chase1117_Activity_!G2017</f>
        <v>Personal - Health Insurance</v>
      </c>
      <c r="D2020" s="12">
        <f>Angela_2025_Chase1117_Activity_!D2017</f>
        <v>-944.63</v>
      </c>
    </row>
    <row r="2021" spans="1:4" x14ac:dyDescent="0.25">
      <c r="A2021" s="26">
        <f>Angela_2025_Chase1117_Activity_!B2018</f>
        <v>45716</v>
      </c>
      <c r="B2021" s="6" t="str">
        <f>Angela_2025_Chase1117_Activity_!C2018</f>
        <v>APPLE COM BILL CUPERTINO CA          375697  02/28</v>
      </c>
      <c r="C2021" s="6" t="str">
        <f>Angela_2025_Chase1117_Activity_!G2018</f>
        <v>Apple</v>
      </c>
      <c r="D2021" s="12">
        <f>Angela_2025_Chase1117_Activity_!D2018</f>
        <v>-5.99</v>
      </c>
    </row>
    <row r="2022" spans="1:4" x14ac:dyDescent="0.25">
      <c r="A2022" s="26">
        <f>Angela_2025_Chase1117_Activity_!B2019</f>
        <v>45716</v>
      </c>
      <c r="B2022" s="6" t="str">
        <f>Angela_2025_Chase1117_Activity_!C2019</f>
        <v>SP RAJANIMD STORE.RAJANIM OR                 02/28</v>
      </c>
      <c r="C2022" s="6" t="str">
        <f>Angela_2025_Chase1117_Activity_!G2019</f>
        <v>Personal - Health</v>
      </c>
      <c r="D2022" s="12">
        <f>Angela_2025_Chase1117_Activity_!D2019</f>
        <v>-386.54</v>
      </c>
    </row>
    <row r="2023" spans="1:4" x14ac:dyDescent="0.25">
      <c r="A2023" s="26">
        <f>Angela_2025_Chase1117_Activity_!B2020</f>
        <v>45716</v>
      </c>
      <c r="B2023" s="6" t="str">
        <f>Angela_2025_Chase1117_Activity_!C2020</f>
        <v>Patreon* Membership Internet CA              02/28</v>
      </c>
      <c r="C2023" s="6" t="str">
        <f>Angela_2025_Chase1117_Activity_!G2020</f>
        <v>Personal - Subscription</v>
      </c>
      <c r="D2023" s="12">
        <f>Angela_2025_Chase1117_Activity_!D2020</f>
        <v>-7.5</v>
      </c>
    </row>
    <row r="2024" spans="1:4" x14ac:dyDescent="0.25">
      <c r="A2024" s="26">
        <f>Angela_2025_Chase1117_Activity_!B2021</f>
        <v>45716</v>
      </c>
      <c r="B2024" s="6" t="str">
        <f>Angela_2025_Chase1117_Activity_!C2021</f>
        <v>AMAZON MKTPL*BJ4BV69 Amzn.com/bill WA        02/27</v>
      </c>
      <c r="C2024" s="6" t="str">
        <f>Angela_2025_Chase1117_Activity_!G2021</f>
        <v>Amazon</v>
      </c>
      <c r="D2024" s="12">
        <f>Angela_2025_Chase1117_Activity_!D2021</f>
        <v>-162.91999999999999</v>
      </c>
    </row>
    <row r="2025" spans="1:4" x14ac:dyDescent="0.25">
      <c r="A2025" s="26">
        <f>Angela_2025_Chase1117_Activity_!B2022</f>
        <v>45715</v>
      </c>
      <c r="B2025" s="6" t="str">
        <f>Angela_2025_Chase1117_Activity_!C2022</f>
        <v>Online Payment 23870542750 To SOUTHERN CALIFORNIA GAS CO 02/27</v>
      </c>
      <c r="C2025" s="6" t="str">
        <f>Angela_2025_Chase1117_Activity_!G2022</f>
        <v>Personal - House Bills</v>
      </c>
      <c r="D2025" s="12">
        <f>Angela_2025_Chase1117_Activity_!D2022</f>
        <v>-300</v>
      </c>
    </row>
    <row r="2026" spans="1:4" x14ac:dyDescent="0.25">
      <c r="A2026" s="26">
        <f>Angela_2025_Chase1117_Activity_!B2023</f>
        <v>45715</v>
      </c>
      <c r="B2026" s="6" t="str">
        <f>Angela_2025_Chase1117_Activity_!C2023</f>
        <v>Online Payment 23870552397 To SAFECO INSURANCE COMPANY 02/27</v>
      </c>
      <c r="C2026" s="6" t="str">
        <f>Angela_2025_Chase1117_Activity_!G2023</f>
        <v>Personal - House Bills</v>
      </c>
      <c r="D2026" s="12">
        <f>Angela_2025_Chase1117_Activity_!D2023</f>
        <v>-120</v>
      </c>
    </row>
    <row r="2027" spans="1:4" x14ac:dyDescent="0.25">
      <c r="A2027" s="26">
        <f>Angela_2025_Chase1117_Activity_!B2024</f>
        <v>45715</v>
      </c>
      <c r="B2027" s="6" t="str">
        <f>Angela_2025_Chase1117_Activity_!C2024</f>
        <v>Online Payment 23870551367 To FRONTIER TELEPHONE 02/27</v>
      </c>
      <c r="C2027" s="6" t="str">
        <f>Angela_2025_Chase1117_Activity_!G2024</f>
        <v>Personal - House Bills</v>
      </c>
      <c r="D2027" s="12">
        <f>Angela_2025_Chase1117_Activity_!D2024</f>
        <v>-330</v>
      </c>
    </row>
    <row r="2028" spans="1:4" x14ac:dyDescent="0.25">
      <c r="A2028" s="26">
        <f>Angela_2025_Chase1117_Activity_!B2025</f>
        <v>45715</v>
      </c>
      <c r="B2028" s="6" t="str">
        <f>Angela_2025_Chase1117_Activity_!C2025</f>
        <v>Online Payment 23870550270 To AMERICAN EDUCATION SERVICES 02/27</v>
      </c>
      <c r="C2028" s="6" t="str">
        <f>Angela_2025_Chase1117_Activity_!G2025</f>
        <v>Personal - House Bills</v>
      </c>
      <c r="D2028" s="12">
        <f>Angela_2025_Chase1117_Activity_!D2025</f>
        <v>-320</v>
      </c>
    </row>
    <row r="2029" spans="1:4" x14ac:dyDescent="0.25">
      <c r="A2029" s="26">
        <f>Angela_2025_Chase1117_Activity_!B2026</f>
        <v>45715</v>
      </c>
      <c r="B2029" s="6" t="str">
        <f>Angela_2025_Chase1117_Activity_!C2026</f>
        <v>Online Payment 23870549261 To MERCEDES-BENZ FINANCIAL SERVICES 02/27</v>
      </c>
      <c r="C2029" s="6" t="str">
        <f>Angela_2025_Chase1117_Activity_!G2026</f>
        <v>Personal - House Bills</v>
      </c>
      <c r="D2029" s="12">
        <f>Angela_2025_Chase1117_Activity_!D2026</f>
        <v>-700</v>
      </c>
    </row>
    <row r="2030" spans="1:4" x14ac:dyDescent="0.25">
      <c r="A2030" s="26">
        <f>Angela_2025_Chase1117_Activity_!B2027</f>
        <v>45715</v>
      </c>
      <c r="B2030" s="6" t="str">
        <f>Angela_2025_Chase1117_Activity_!C2027</f>
        <v>SPACEWEATHERNEWS.COM SPACEWEATHERN CO        02/26</v>
      </c>
      <c r="C2030" s="6" t="str">
        <f>Angela_2025_Chase1117_Activity_!G2027</f>
        <v>Personal - Subscription</v>
      </c>
      <c r="D2030" s="12">
        <f>Angela_2025_Chase1117_Activity_!D2027</f>
        <v>-5.99</v>
      </c>
    </row>
    <row r="2031" spans="1:4" x14ac:dyDescent="0.25">
      <c r="A2031" s="26">
        <f>Angela_2025_Chase1117_Activity_!B2028</f>
        <v>45715</v>
      </c>
      <c r="B2031" s="6" t="str">
        <f>Angela_2025_Chase1117_Activity_!C2028</f>
        <v>Prime Video Channels amzn.com/bill WA        02/26</v>
      </c>
      <c r="C2031" s="6" t="str">
        <f>Angela_2025_Chase1117_Activity_!G2028</f>
        <v>Amazon</v>
      </c>
      <c r="D2031" s="12">
        <f>Angela_2025_Chase1117_Activity_!D2028</f>
        <v>-6.99</v>
      </c>
    </row>
    <row r="2032" spans="1:4" x14ac:dyDescent="0.25">
      <c r="A2032" s="26">
        <f>Angela_2025_Chase1117_Activity_!B2029</f>
        <v>45715</v>
      </c>
      <c r="B2032" s="6" t="str">
        <f>Angela_2025_Chase1117_Activity_!C2029</f>
        <v>AMAZON MKTPL*B86LO8R Amzn.com/bill WA        02/26</v>
      </c>
      <c r="C2032" s="6" t="str">
        <f>Angela_2025_Chase1117_Activity_!G2029</f>
        <v>Amazon</v>
      </c>
      <c r="D2032" s="12">
        <f>Angela_2025_Chase1117_Activity_!D2029</f>
        <v>-25.16</v>
      </c>
    </row>
    <row r="2033" spans="1:4" x14ac:dyDescent="0.25">
      <c r="A2033" s="26">
        <f>Angela_2025_Chase1117_Activity_!B2030</f>
        <v>45715</v>
      </c>
      <c r="B2033" s="6" t="str">
        <f>Angela_2025_Chase1117_Activity_!C2030</f>
        <v>TST*BLUEYS KITCHEN MAR Los Angeles CA        02/26</v>
      </c>
      <c r="C2033" s="6" t="str">
        <f>Angela_2025_Chase1117_Activity_!G2030</f>
        <v>Personal - Food</v>
      </c>
      <c r="D2033" s="12">
        <f>Angela_2025_Chase1117_Activity_!D2030</f>
        <v>-135.5</v>
      </c>
    </row>
    <row r="2034" spans="1:4" x14ac:dyDescent="0.25">
      <c r="A2034" s="26">
        <f>Angela_2025_Chase1117_Activity_!B2031</f>
        <v>45715</v>
      </c>
      <c r="B2034" s="6" t="str">
        <f>Angela_2025_Chase1117_Activity_!C2031</f>
        <v>AMAZON MKTPL*IR12E1D Amzn.com/bill WA        02/26</v>
      </c>
      <c r="C2034" s="6" t="str">
        <f>Angela_2025_Chase1117_Activity_!G2031</f>
        <v>Amazon</v>
      </c>
      <c r="D2034" s="12">
        <f>Angela_2025_Chase1117_Activity_!D2031</f>
        <v>-459.6</v>
      </c>
    </row>
    <row r="2035" spans="1:4" x14ac:dyDescent="0.25">
      <c r="A2035" s="26">
        <f>Angela_2025_Chase1117_Activity_!B2032</f>
        <v>45715</v>
      </c>
      <c r="B2035" s="6" t="str">
        <f>Angela_2025_Chase1117_Activity_!C2032</f>
        <v>Online Transfer from CHK ...1168 transaction#: 23870517982</v>
      </c>
      <c r="C2035" s="6" t="str">
        <f>Angela_2025_Chase1117_Activity_!G2032</f>
        <v>Transfer from DWG Capital Group</v>
      </c>
      <c r="D2035" s="12">
        <f>Angela_2025_Chase1117_Activity_!D2032</f>
        <v>5000</v>
      </c>
    </row>
    <row r="2036" spans="1:4" x14ac:dyDescent="0.25">
      <c r="A2036" s="26">
        <f>Angela_2025_Chase1117_Activity_!B2033</f>
        <v>45714</v>
      </c>
      <c r="B2036" s="6" t="str">
        <f>Angela_2025_Chase1117_Activity_!C2033</f>
        <v>AMAZON MKTPL*BF8VG9L Amzn.com/bill WA        02/26</v>
      </c>
      <c r="C2036" s="6" t="str">
        <f>Angela_2025_Chase1117_Activity_!G2033</f>
        <v>Amazon</v>
      </c>
      <c r="D2036" s="12">
        <f>Angela_2025_Chase1117_Activity_!D2033</f>
        <v>-21.88</v>
      </c>
    </row>
    <row r="2037" spans="1:4" x14ac:dyDescent="0.25">
      <c r="A2037" s="26">
        <f>Angela_2025_Chase1117_Activity_!B2034</f>
        <v>45714</v>
      </c>
      <c r="B2037" s="6" t="str">
        <f>Angela_2025_Chase1117_Activity_!C2034</f>
        <v>AMAZON MKTPL*HC73S02 Amzn.com/bill WA        02/25</v>
      </c>
      <c r="C2037" s="6" t="str">
        <f>Angela_2025_Chase1117_Activity_!G2034</f>
        <v>Amazon</v>
      </c>
      <c r="D2037" s="12">
        <f>Angela_2025_Chase1117_Activity_!D2034</f>
        <v>-9.84</v>
      </c>
    </row>
    <row r="2038" spans="1:4" x14ac:dyDescent="0.25">
      <c r="A2038" s="26">
        <f>Angela_2025_Chase1117_Activity_!B2035</f>
        <v>45713</v>
      </c>
      <c r="B2038" s="6" t="str">
        <f>Angela_2025_Chase1117_Activity_!C2035</f>
        <v>UBER   * EATS PENDIN SAN FRANCISCO CA027452  02/25</v>
      </c>
      <c r="C2038" s="6" t="str">
        <f>Angela_2025_Chase1117_Activity_!G2035</f>
        <v>Uber Eats</v>
      </c>
      <c r="D2038" s="12">
        <f>Angela_2025_Chase1117_Activity_!D2035</f>
        <v>-104.67</v>
      </c>
    </row>
    <row r="2039" spans="1:4" x14ac:dyDescent="0.25">
      <c r="A2039" s="26">
        <f>Angela_2025_Chase1117_Activity_!B2036</f>
        <v>45713</v>
      </c>
      <c r="B2039" s="6" t="str">
        <f>Angela_2025_Chase1117_Activity_!C2036</f>
        <v>WITHDRAWAL 02/25</v>
      </c>
      <c r="C2039" s="6" t="str">
        <f>Angela_2025_Chase1117_Activity_!G2036</f>
        <v>Withdrawal</v>
      </c>
      <c r="D2039" s="12">
        <f>Angela_2025_Chase1117_Activity_!D2036</f>
        <v>-1000</v>
      </c>
    </row>
    <row r="2040" spans="1:4" x14ac:dyDescent="0.25">
      <c r="A2040" s="26">
        <f>Angela_2025_Chase1117_Activity_!B2037</f>
        <v>45713</v>
      </c>
      <c r="B2040" s="6" t="str">
        <f>Angela_2025_Chase1117_Activity_!C2037</f>
        <v>AMAZON MKTPL*TL8RQ46 Amzn.com/bill WA        02/25</v>
      </c>
      <c r="C2040" s="6" t="str">
        <f>Angela_2025_Chase1117_Activity_!G2037</f>
        <v>Amazon</v>
      </c>
      <c r="D2040" s="12">
        <f>Angela_2025_Chase1117_Activity_!D2037</f>
        <v>-30.64</v>
      </c>
    </row>
    <row r="2041" spans="1:4" x14ac:dyDescent="0.25">
      <c r="A2041" s="26">
        <f>Angela_2025_Chase1117_Activity_!B2038</f>
        <v>45713</v>
      </c>
      <c r="B2041" s="6" t="str">
        <f>Angela_2025_Chase1117_Activity_!C2038</f>
        <v>LUKE UNFILTERED WEARECHANGE.O FL             02/25</v>
      </c>
      <c r="C2041" s="6" t="str">
        <f>Angela_2025_Chase1117_Activity_!G2038</f>
        <v>Personal - Subscription</v>
      </c>
      <c r="D2041" s="12">
        <f>Angela_2025_Chase1117_Activity_!D2038</f>
        <v>-15</v>
      </c>
    </row>
    <row r="2042" spans="1:4" x14ac:dyDescent="0.25">
      <c r="A2042" s="26">
        <f>Angela_2025_Chase1117_Activity_!B2039</f>
        <v>45713</v>
      </c>
      <c r="B2042" s="6" t="str">
        <f>Angela_2025_Chase1117_Activity_!C2039</f>
        <v>AMAZON PRIME*IO9Y83V Amzn.com/bill WA        02/24</v>
      </c>
      <c r="C2042" s="6" t="str">
        <f>Angela_2025_Chase1117_Activity_!G2039</f>
        <v>Amazon</v>
      </c>
      <c r="D2042" s="12">
        <f>Angela_2025_Chase1117_Activity_!D2039</f>
        <v>-16.41</v>
      </c>
    </row>
    <row r="2043" spans="1:4" x14ac:dyDescent="0.25">
      <c r="A2043" s="26">
        <f>Angela_2025_Chase1117_Activity_!B2040</f>
        <v>45713</v>
      </c>
      <c r="B2043" s="6" t="str">
        <f>Angela_2025_Chase1117_Activity_!C2040</f>
        <v>CHEVRON 0306890 SANTA MONICA CA              02/24</v>
      </c>
      <c r="C2043" s="6" t="str">
        <f>Angela_2025_Chase1117_Activity_!G2040</f>
        <v>Personal - Car</v>
      </c>
      <c r="D2043" s="12">
        <f>Angela_2025_Chase1117_Activity_!D2040</f>
        <v>-63.46</v>
      </c>
    </row>
    <row r="2044" spans="1:4" x14ac:dyDescent="0.25">
      <c r="A2044" s="26">
        <f>Angela_2025_Chase1117_Activity_!B2041</f>
        <v>45713</v>
      </c>
      <c r="B2044" s="6" t="str">
        <f>Angela_2025_Chase1117_Activity_!C2041</f>
        <v>NTTA AUTOCHARGE 972-818-6882 TX              02/24</v>
      </c>
      <c r="C2044" s="6" t="str">
        <f>Angela_2025_Chase1117_Activity_!G2041</f>
        <v>Personal - Car</v>
      </c>
      <c r="D2044" s="12">
        <f>Angela_2025_Chase1117_Activity_!D2041</f>
        <v>-40</v>
      </c>
    </row>
    <row r="2045" spans="1:4" x14ac:dyDescent="0.25">
      <c r="A2045" s="26">
        <f>Angela_2025_Chase1117_Activity_!B2042</f>
        <v>45713</v>
      </c>
      <c r="B2045" s="6" t="str">
        <f>Angela_2025_Chase1117_Activity_!C2042</f>
        <v>TST*BLUEYS KITCHEN MAR Los Angeles CA        02/24</v>
      </c>
      <c r="C2045" s="6" t="str">
        <f>Angela_2025_Chase1117_Activity_!G2042</f>
        <v>Personal - Food</v>
      </c>
      <c r="D2045" s="12">
        <f>Angela_2025_Chase1117_Activity_!D2042</f>
        <v>-55.52</v>
      </c>
    </row>
    <row r="2046" spans="1:4" x14ac:dyDescent="0.25">
      <c r="A2046" s="26">
        <f>Angela_2025_Chase1117_Activity_!B2043</f>
        <v>45713</v>
      </c>
      <c r="B2046" s="6" t="str">
        <f>Angela_2025_Chase1117_Activity_!C2043</f>
        <v>SQ *REA COMMERCIAL SECU gosq.com CA          02/24</v>
      </c>
      <c r="C2046" s="6" t="str">
        <f>Angela_2025_Chase1117_Activity_!G2043</f>
        <v>Personal - Subscription</v>
      </c>
      <c r="D2046" s="12">
        <f>Angela_2025_Chase1117_Activity_!D2043</f>
        <v>-100</v>
      </c>
    </row>
    <row r="2047" spans="1:4" x14ac:dyDescent="0.25">
      <c r="A2047" s="26">
        <f>Angela_2025_Chase1117_Activity_!B2044</f>
        <v>45713</v>
      </c>
      <c r="B2047" s="6" t="str">
        <f>Angela_2025_Chase1117_Activity_!C2044</f>
        <v>SQ *REA COMMERCIAL SECU gosq.com CA          02/24</v>
      </c>
      <c r="C2047" s="6" t="str">
        <f>Angela_2025_Chase1117_Activity_!G2044</f>
        <v>Personal - Subscription</v>
      </c>
      <c r="D2047" s="12">
        <f>Angela_2025_Chase1117_Activity_!D2044</f>
        <v>-100</v>
      </c>
    </row>
    <row r="2048" spans="1:4" x14ac:dyDescent="0.25">
      <c r="A2048" s="26">
        <f>Angela_2025_Chase1117_Activity_!B2045</f>
        <v>45713</v>
      </c>
      <c r="B2048" s="6" t="str">
        <f>Angela_2025_Chase1117_Activity_!C2045</f>
        <v>ATT*BILL PAYMENT 800-288-2020 TX             02/24</v>
      </c>
      <c r="C2048" s="6" t="str">
        <f>Angela_2025_Chase1117_Activity_!G2045</f>
        <v>AT&amp;T</v>
      </c>
      <c r="D2048" s="12">
        <f>Angela_2025_Chase1117_Activity_!D2045</f>
        <v>-535.89</v>
      </c>
    </row>
    <row r="2049" spans="1:4" x14ac:dyDescent="0.25">
      <c r="A2049" s="26">
        <f>Angela_2025_Chase1117_Activity_!B2046</f>
        <v>45713</v>
      </c>
      <c r="B2049" s="6" t="str">
        <f>Angela_2025_Chase1117_Activity_!C2046</f>
        <v>GRANDVIEW CLEANERS LOS ANGELES CA            02/24</v>
      </c>
      <c r="C2049" s="6" t="str">
        <f>Angela_2025_Chase1117_Activity_!G2046</f>
        <v>Personal - Clothing</v>
      </c>
      <c r="D2049" s="12">
        <f>Angela_2025_Chase1117_Activity_!D2046</f>
        <v>-141.47</v>
      </c>
    </row>
    <row r="2050" spans="1:4" x14ac:dyDescent="0.25">
      <c r="A2050" s="26">
        <f>Angela_2025_Chase1117_Activity_!B2047</f>
        <v>45713</v>
      </c>
      <c r="B2050" s="6" t="str">
        <f>Angela_2025_Chase1117_Activity_!C2047</f>
        <v>AMAZON MKTPL*MJ8TB2Y Amzn.com/bill WA        02/25</v>
      </c>
      <c r="C2050" s="6" t="str">
        <f>Angela_2025_Chase1117_Activity_!G2047</f>
        <v>Amazon</v>
      </c>
      <c r="D2050" s="12">
        <f>Angela_2025_Chase1117_Activity_!D2047</f>
        <v>-415.8</v>
      </c>
    </row>
    <row r="2051" spans="1:4" x14ac:dyDescent="0.25">
      <c r="A2051" s="26">
        <f>Angela_2025_Chase1117_Activity_!B2048</f>
        <v>45713</v>
      </c>
      <c r="B2051" s="6" t="str">
        <f>Angela_2025_Chase1117_Activity_!C2048</f>
        <v>Online Transfer from CHK ...1168 transaction#: 23844823362</v>
      </c>
      <c r="C2051" s="6" t="str">
        <f>Angela_2025_Chase1117_Activity_!G2048</f>
        <v>Transfer from DWG Capital Group</v>
      </c>
      <c r="D2051" s="12">
        <f>Angela_2025_Chase1117_Activity_!D2048</f>
        <v>4000</v>
      </c>
    </row>
    <row r="2052" spans="1:4" x14ac:dyDescent="0.25">
      <c r="A2052" s="26">
        <f>Angela_2025_Chase1117_Activity_!B2049</f>
        <v>45712</v>
      </c>
      <c r="B2052" s="6" t="str">
        <f>Angela_2025_Chase1117_Activity_!C2049</f>
        <v>GELSON'S MARKET #29 SANTA MONICA CA  684818  02/24</v>
      </c>
      <c r="C2052" s="6" t="str">
        <f>Angela_2025_Chase1117_Activity_!G2049</f>
        <v>Personal - Food</v>
      </c>
      <c r="D2052" s="12">
        <f>Angela_2025_Chase1117_Activity_!D2049</f>
        <v>-261.82</v>
      </c>
    </row>
    <row r="2053" spans="1:4" x14ac:dyDescent="0.25">
      <c r="A2053" s="26">
        <f>Angela_2025_Chase1117_Activity_!B2050</f>
        <v>45712</v>
      </c>
      <c r="B2053" s="6" t="str">
        <f>Angela_2025_Chase1117_Activity_!C2050</f>
        <v>TRADER JOE S #00 TRAD SANTA MONICA CA964403  02/24</v>
      </c>
      <c r="C2053" s="6" t="str">
        <f>Angela_2025_Chase1117_Activity_!G2050</f>
        <v>Personal - Food</v>
      </c>
      <c r="D2053" s="12">
        <f>Angela_2025_Chase1117_Activity_!D2050</f>
        <v>-191.08</v>
      </c>
    </row>
    <row r="2054" spans="1:4" x14ac:dyDescent="0.25">
      <c r="A2054" s="26">
        <f>Angela_2025_Chase1117_Activity_!B2051</f>
        <v>45712</v>
      </c>
      <c r="B2054" s="6" t="str">
        <f>Angela_2025_Chase1117_Activity_!C2051</f>
        <v>GELSON'S MARKET #29 SANTA MONICA CA  707575  02/24</v>
      </c>
      <c r="C2054" s="6" t="str">
        <f>Angela_2025_Chase1117_Activity_!G2051</f>
        <v>Personal - Food</v>
      </c>
      <c r="D2054" s="12">
        <f>Angela_2025_Chase1117_Activity_!D2051</f>
        <v>-568.04</v>
      </c>
    </row>
    <row r="2055" spans="1:4" x14ac:dyDescent="0.25">
      <c r="A2055" s="26">
        <f>Angela_2025_Chase1117_Activity_!B2052</f>
        <v>45712</v>
      </c>
      <c r="B2055" s="6" t="str">
        <f>Angela_2025_Chase1117_Activity_!C2052</f>
        <v>AMAZON MKTPL*BN7TA0H Amzn.com/bill WA        02/24</v>
      </c>
      <c r="C2055" s="6" t="str">
        <f>Angela_2025_Chase1117_Activity_!G2052</f>
        <v>Amazon</v>
      </c>
      <c r="D2055" s="12">
        <f>Angela_2025_Chase1117_Activity_!D2052</f>
        <v>-84.32</v>
      </c>
    </row>
    <row r="2056" spans="1:4" x14ac:dyDescent="0.25">
      <c r="A2056" s="26">
        <f>Angela_2025_Chase1117_Activity_!B2053</f>
        <v>45712</v>
      </c>
      <c r="B2056" s="6" t="str">
        <f>Angela_2025_Chase1117_Activity_!C2053</f>
        <v>REPUBLIC SERVICES TRA 866-576-5548 AZ        02/23</v>
      </c>
      <c r="C2056" s="6" t="str">
        <f>Angela_2025_Chase1117_Activity_!G2053</f>
        <v>Personal - House Bills</v>
      </c>
      <c r="D2056" s="12">
        <f>Angela_2025_Chase1117_Activity_!D2053</f>
        <v>-182.81</v>
      </c>
    </row>
    <row r="2057" spans="1:4" x14ac:dyDescent="0.25">
      <c r="A2057" s="26">
        <f>Angela_2025_Chase1117_Activity_!B2054</f>
        <v>45712</v>
      </c>
      <c r="B2057" s="6" t="str">
        <f>Angela_2025_Chase1117_Activity_!C2054</f>
        <v>APPLE.COM/BILL 866-712-7753 CA               02/23</v>
      </c>
      <c r="C2057" s="6" t="str">
        <f>Angela_2025_Chase1117_Activity_!G2054</f>
        <v>Apple</v>
      </c>
      <c r="D2057" s="12">
        <f>Angela_2025_Chase1117_Activity_!D2054</f>
        <v>-10.99</v>
      </c>
    </row>
    <row r="2058" spans="1:4" x14ac:dyDescent="0.25">
      <c r="A2058" s="26">
        <f>Angela_2025_Chase1117_Activity_!B2055</f>
        <v>45712</v>
      </c>
      <c r="B2058" s="6" t="str">
        <f>Angela_2025_Chase1117_Activity_!C2055</f>
        <v>WWW.MCAFEE.COM/CHARGE 800-627-7306 TX        02/23</v>
      </c>
      <c r="C2058" s="6" t="str">
        <f>Angela_2025_Chase1117_Activity_!G2055</f>
        <v>Personal - Subscription</v>
      </c>
      <c r="D2058" s="12">
        <f>Angela_2025_Chase1117_Activity_!D2055</f>
        <v>-279.99</v>
      </c>
    </row>
    <row r="2059" spans="1:4" x14ac:dyDescent="0.25">
      <c r="A2059" s="26">
        <f>Angela_2025_Chase1117_Activity_!B2056</f>
        <v>45712</v>
      </c>
      <c r="B2059" s="6" t="str">
        <f>Angela_2025_Chase1117_Activity_!C2056</f>
        <v>UBER   * EATS PENDIN SAN FRANCISCO CA222064  02/21</v>
      </c>
      <c r="C2059" s="6" t="str">
        <f>Angela_2025_Chase1117_Activity_!G2056</f>
        <v>Uber Eats</v>
      </c>
      <c r="D2059" s="12">
        <f>Angela_2025_Chase1117_Activity_!D2056</f>
        <v>-212.67</v>
      </c>
    </row>
    <row r="2060" spans="1:4" x14ac:dyDescent="0.25">
      <c r="A2060" s="26">
        <f>Angela_2025_Chase1117_Activity_!B2057</f>
        <v>45712</v>
      </c>
      <c r="B2060" s="6" t="str">
        <f>Angela_2025_Chase1117_Activity_!C2057</f>
        <v>Zelle payment from JOE SAUNDERS 23839335671</v>
      </c>
      <c r="C2060" s="6" t="str">
        <f>Angela_2025_Chase1117_Activity_!G2057</f>
        <v>Zelle from Joe Saunders</v>
      </c>
      <c r="D2060" s="12">
        <f>Angela_2025_Chase1117_Activity_!D2057</f>
        <v>130</v>
      </c>
    </row>
    <row r="2061" spans="1:4" x14ac:dyDescent="0.25">
      <c r="A2061" s="26">
        <f>Angela_2025_Chase1117_Activity_!B2058</f>
        <v>45712</v>
      </c>
      <c r="B2061" s="6" t="str">
        <f>Angela_2025_Chase1117_Activity_!C2058</f>
        <v>Online Transfer from CHK ...1168 transaction#: 23833474879</v>
      </c>
      <c r="C2061" s="6" t="str">
        <f>Angela_2025_Chase1117_Activity_!G2058</f>
        <v>Transfer from DWG Capital Group</v>
      </c>
      <c r="D2061" s="12">
        <f>Angela_2025_Chase1117_Activity_!D2058</f>
        <v>2000</v>
      </c>
    </row>
    <row r="2062" spans="1:4" x14ac:dyDescent="0.25">
      <c r="A2062" s="26">
        <f>Angela_2025_Chase1117_Activity_!B2059</f>
        <v>45709</v>
      </c>
      <c r="B2062" s="6" t="str">
        <f>Angela_2025_Chase1117_Activity_!C2059</f>
        <v>SQ *BOULEVARD OF GREENS Fort Worth TX        02/20</v>
      </c>
      <c r="C2062" s="6" t="str">
        <f>Angela_2025_Chase1117_Activity_!G2059</f>
        <v>Personal - Food</v>
      </c>
      <c r="D2062" s="12">
        <f>Angela_2025_Chase1117_Activity_!D2059</f>
        <v>-87.61</v>
      </c>
    </row>
    <row r="2063" spans="1:4" x14ac:dyDescent="0.25">
      <c r="A2063" s="26">
        <f>Angela_2025_Chase1117_Activity_!B2060</f>
        <v>45709</v>
      </c>
      <c r="B2063" s="6" t="str">
        <f>Angela_2025_Chase1117_Activity_!C2060</f>
        <v>NEXTLINK BROADBAND 855-6985465 TX            02/20</v>
      </c>
      <c r="C2063" s="6" t="str">
        <f>Angela_2025_Chase1117_Activity_!G2060</f>
        <v>Personal - House Bills</v>
      </c>
      <c r="D2063" s="12">
        <f>Angela_2025_Chase1117_Activity_!D2060</f>
        <v>-149.96</v>
      </c>
    </row>
    <row r="2064" spans="1:4" x14ac:dyDescent="0.25">
      <c r="A2064" s="26">
        <f>Angela_2025_Chase1117_Activity_!B2061</f>
        <v>45709</v>
      </c>
      <c r="B2064" s="6" t="str">
        <f>Angela_2025_Chase1117_Activity_!C2061</f>
        <v>Zelle payment from ROSE LI 23796433383</v>
      </c>
      <c r="C2064" s="6" t="str">
        <f>Angela_2025_Chase1117_Activity_!G2061</f>
        <v>Zelle from Rose Li</v>
      </c>
      <c r="D2064" s="12">
        <f>Angela_2025_Chase1117_Activity_!D2061</f>
        <v>450</v>
      </c>
    </row>
    <row r="2065" spans="1:4" x14ac:dyDescent="0.25">
      <c r="A2065" s="26">
        <f>Angela_2025_Chase1117_Activity_!B2062</f>
        <v>45708</v>
      </c>
      <c r="B2065" s="6" t="str">
        <f>Angela_2025_Chase1117_Activity_!C2062</f>
        <v>HOMEGOODS #1084 WEATHERFORD TX       046453  02/20</v>
      </c>
      <c r="C2065" s="6" t="str">
        <f>Angela_2025_Chase1117_Activity_!G2062</f>
        <v>Personal - Shopping</v>
      </c>
      <c r="D2065" s="12">
        <f>Angela_2025_Chase1117_Activity_!D2062</f>
        <v>-111.44</v>
      </c>
    </row>
    <row r="2066" spans="1:4" x14ac:dyDescent="0.25">
      <c r="A2066" s="26">
        <f>Angela_2025_Chase1117_Activity_!B2063</f>
        <v>45708</v>
      </c>
      <c r="B2066" s="6" t="str">
        <f>Angela_2025_Chase1117_Activity_!C2063</f>
        <v>TARGET T-1981 WEATHERFORD TX         051359  02/20</v>
      </c>
      <c r="C2066" s="6" t="str">
        <f>Angela_2025_Chase1117_Activity_!G2063</f>
        <v>Personal - Shopping</v>
      </c>
      <c r="D2066" s="12">
        <f>Angela_2025_Chase1117_Activity_!D2063</f>
        <v>-250.54</v>
      </c>
    </row>
    <row r="2067" spans="1:4" x14ac:dyDescent="0.25">
      <c r="A2067" s="26">
        <f>Angela_2025_Chase1117_Activity_!B2064</f>
        <v>45708</v>
      </c>
      <c r="B2067" s="6" t="str">
        <f>Angela_2025_Chase1117_Activity_!C2064</f>
        <v>UBER   * EATS PENDIN SAN FRANCISCO CA026528  02/20</v>
      </c>
      <c r="C2067" s="6" t="str">
        <f>Angela_2025_Chase1117_Activity_!G2064</f>
        <v>Uber Eats</v>
      </c>
      <c r="D2067" s="12">
        <f>Angela_2025_Chase1117_Activity_!D2064</f>
        <v>-245.96</v>
      </c>
    </row>
    <row r="2068" spans="1:4" x14ac:dyDescent="0.25">
      <c r="A2068" s="26">
        <f>Angela_2025_Chase1117_Activity_!B2065</f>
        <v>45708</v>
      </c>
      <c r="B2068" s="6" t="str">
        <f>Angela_2025_Chase1117_Activity_!C2065</f>
        <v>ATM WITHDRAWAL                       004952  02/20420 THROC</v>
      </c>
      <c r="C2068" s="6" t="str">
        <f>Angela_2025_Chase1117_Activity_!G2065</f>
        <v>Withdrawal</v>
      </c>
      <c r="D2068" s="12">
        <f>Angela_2025_Chase1117_Activity_!D2065</f>
        <v>-200</v>
      </c>
    </row>
    <row r="2069" spans="1:4" x14ac:dyDescent="0.25">
      <c r="A2069" s="26">
        <f>Angela_2025_Chase1117_Activity_!B2066</f>
        <v>45708</v>
      </c>
      <c r="B2069" s="6" t="str">
        <f>Angela_2025_Chase1117_Activity_!C2066</f>
        <v>WORDPRESS U4BKQKRBGJ WORDPRESS.COM CA        02/20</v>
      </c>
      <c r="C2069" s="6" t="str">
        <f>Angela_2025_Chase1117_Activity_!G2066</f>
        <v>Personal - Subscription</v>
      </c>
      <c r="D2069" s="12">
        <f>Angela_2025_Chase1117_Activity_!D2066</f>
        <v>-96</v>
      </c>
    </row>
    <row r="2070" spans="1:4" x14ac:dyDescent="0.25">
      <c r="A2070" s="26">
        <f>Angela_2025_Chase1117_Activity_!B2067</f>
        <v>45708</v>
      </c>
      <c r="B2070" s="6" t="str">
        <f>Angela_2025_Chase1117_Activity_!C2067</f>
        <v>TJ NAILS WEATHERFORD TX                      02/19</v>
      </c>
      <c r="C2070" s="6" t="str">
        <f>Angela_2025_Chase1117_Activity_!G2067</f>
        <v>Personal - Health</v>
      </c>
      <c r="D2070" s="12">
        <f>Angela_2025_Chase1117_Activity_!D2067</f>
        <v>-75</v>
      </c>
    </row>
    <row r="2071" spans="1:4" x14ac:dyDescent="0.25">
      <c r="A2071" s="26">
        <f>Angela_2025_Chase1117_Activity_!B2068</f>
        <v>45708</v>
      </c>
      <c r="B2071" s="6" t="str">
        <f>Angela_2025_Chase1117_Activity_!C2068</f>
        <v>ATM CHECK DEPOSIT 02/20 420 THROCKMORTON ST FORT WORTH TX</v>
      </c>
      <c r="C2071" s="6" t="str">
        <f>Angela_2025_Chase1117_Activity_!G2068</f>
        <v>Deposit</v>
      </c>
      <c r="D2071" s="12">
        <f>Angela_2025_Chase1117_Activity_!D2068</f>
        <v>175</v>
      </c>
    </row>
    <row r="2072" spans="1:4" x14ac:dyDescent="0.25">
      <c r="A2072" s="26">
        <f>Angela_2025_Chase1117_Activity_!B2069</f>
        <v>45707</v>
      </c>
      <c r="B2072" s="6" t="str">
        <f>Angela_2025_Chase1117_Activity_!C2069</f>
        <v>UBER   * EATS PENDIN SAN FRANCISCO CA028409  02/19</v>
      </c>
      <c r="C2072" s="6" t="str">
        <f>Angela_2025_Chase1117_Activity_!G2069</f>
        <v>Uber Eats</v>
      </c>
      <c r="D2072" s="12">
        <f>Angela_2025_Chase1117_Activity_!D2069</f>
        <v>-51.53</v>
      </c>
    </row>
    <row r="2073" spans="1:4" x14ac:dyDescent="0.25">
      <c r="A2073" s="26">
        <f>Angela_2025_Chase1117_Activity_!B2070</f>
        <v>45707</v>
      </c>
      <c r="B2073" s="6" t="str">
        <f>Angela_2025_Chase1117_Activity_!C2070</f>
        <v>AMAZON MKTPL*QZ55V3F Amzn.com/bill WA        02/19</v>
      </c>
      <c r="C2073" s="6" t="str">
        <f>Angela_2025_Chase1117_Activity_!G2070</f>
        <v>Amazon</v>
      </c>
      <c r="D2073" s="12">
        <f>Angela_2025_Chase1117_Activity_!D2070</f>
        <v>-18.600000000000001</v>
      </c>
    </row>
    <row r="2074" spans="1:4" x14ac:dyDescent="0.25">
      <c r="A2074" s="26">
        <f>Angela_2025_Chase1117_Activity_!B2071</f>
        <v>45706</v>
      </c>
      <c r="B2074" s="6" t="str">
        <f>Angela_2025_Chase1117_Activity_!C2071</f>
        <v>UBER   * EATS PENDIN SAN FRANCISCO CA017412  02/17</v>
      </c>
      <c r="C2074" s="6" t="str">
        <f>Angela_2025_Chase1117_Activity_!G2071</f>
        <v>Uber Eats</v>
      </c>
      <c r="D2074" s="12">
        <f>Angela_2025_Chase1117_Activity_!D2071</f>
        <v>-77.489999999999995</v>
      </c>
    </row>
    <row r="2075" spans="1:4" x14ac:dyDescent="0.25">
      <c r="A2075" s="26">
        <f>Angela_2025_Chase1117_Activity_!B2072</f>
        <v>45706</v>
      </c>
      <c r="B2075" s="6" t="str">
        <f>Angela_2025_Chase1117_Activity_!C2072</f>
        <v>WALGREENS STORE 1317 S WEATHERFORD TX957986  02/17</v>
      </c>
      <c r="C2075" s="6" t="str">
        <f>Angela_2025_Chase1117_Activity_!G2072</f>
        <v>Personal - Health</v>
      </c>
      <c r="D2075" s="12">
        <f>Angela_2025_Chase1117_Activity_!D2072</f>
        <v>-76.88</v>
      </c>
    </row>
    <row r="2076" spans="1:4" x14ac:dyDescent="0.25">
      <c r="A2076" s="26">
        <f>Angela_2025_Chase1117_Activity_!B2073</f>
        <v>45706</v>
      </c>
      <c r="B2076" s="6" t="str">
        <f>Angela_2025_Chase1117_Activity_!C2073</f>
        <v>AMAZON MKTPL*0D3CD69 Amzn.com/bill WA        02/18</v>
      </c>
      <c r="C2076" s="6" t="str">
        <f>Angela_2025_Chase1117_Activity_!G2073</f>
        <v>Amazon</v>
      </c>
      <c r="D2076" s="12">
        <f>Angela_2025_Chase1117_Activity_!D2073</f>
        <v>-17.07</v>
      </c>
    </row>
    <row r="2077" spans="1:4" x14ac:dyDescent="0.25">
      <c r="A2077" s="26">
        <f>Angela_2025_Chase1117_Activity_!B2074</f>
        <v>45706</v>
      </c>
      <c r="B2077" s="6" t="str">
        <f>Angela_2025_Chase1117_Activity_!C2074</f>
        <v>AMAZON MKTPL*J33N02U Amzn.com/bill WA        02/18</v>
      </c>
      <c r="C2077" s="6" t="str">
        <f>Angela_2025_Chase1117_Activity_!G2074</f>
        <v>Amazon</v>
      </c>
      <c r="D2077" s="12">
        <f>Angela_2025_Chase1117_Activity_!D2074</f>
        <v>-32</v>
      </c>
    </row>
    <row r="2078" spans="1:4" x14ac:dyDescent="0.25">
      <c r="A2078" s="26">
        <f>Angela_2025_Chase1117_Activity_!B2075</f>
        <v>45706</v>
      </c>
      <c r="B2078" s="6" t="str">
        <f>Angela_2025_Chase1117_Activity_!C2075</f>
        <v>Amazon.com*UV8OV9I43 Amzn.com/bill WA        02/15</v>
      </c>
      <c r="C2078" s="6" t="str">
        <f>Angela_2025_Chase1117_Activity_!G2075</f>
        <v>Amazon</v>
      </c>
      <c r="D2078" s="12">
        <f>Angela_2025_Chase1117_Activity_!D2075</f>
        <v>-17.84</v>
      </c>
    </row>
    <row r="2079" spans="1:4" x14ac:dyDescent="0.25">
      <c r="A2079" s="26">
        <f>Angela_2025_Chase1117_Activity_!B2076</f>
        <v>45706</v>
      </c>
      <c r="B2079" s="6" t="str">
        <f>Angela_2025_Chase1117_Activity_!C2076</f>
        <v>DD *DOORDASH PASTAFIN 855-431-0459 CA        02/15</v>
      </c>
      <c r="C2079" s="6" t="str">
        <f>Angela_2025_Chase1117_Activity_!G2076</f>
        <v>Uber Eats</v>
      </c>
      <c r="D2079" s="12">
        <f>Angela_2025_Chase1117_Activity_!D2076</f>
        <v>-115.32</v>
      </c>
    </row>
    <row r="2080" spans="1:4" x14ac:dyDescent="0.25">
      <c r="A2080" s="26">
        <f>Angela_2025_Chase1117_Activity_!B2077</f>
        <v>45706</v>
      </c>
      <c r="B2080" s="6" t="str">
        <f>Angela_2025_Chase1117_Activity_!C2077</f>
        <v>Prime Video Channels amzn.com/bill WA        02/14</v>
      </c>
      <c r="C2080" s="6" t="str">
        <f>Angela_2025_Chase1117_Activity_!G2077</f>
        <v>Amazon</v>
      </c>
      <c r="D2080" s="12">
        <f>Angela_2025_Chase1117_Activity_!D2077</f>
        <v>-16.989999999999998</v>
      </c>
    </row>
    <row r="2081" spans="1:4" x14ac:dyDescent="0.25">
      <c r="A2081" s="26">
        <f>Angela_2025_Chase1117_Activity_!B2078</f>
        <v>45706</v>
      </c>
      <c r="B2081" s="6" t="str">
        <f>Angela_2025_Chase1117_Activity_!C2078</f>
        <v>DD *DOORDASH ALBERTSO 855-431-0459 CA        02/15</v>
      </c>
      <c r="C2081" s="6" t="str">
        <f>Angela_2025_Chase1117_Activity_!G2078</f>
        <v>Uber Eats</v>
      </c>
      <c r="D2081" s="12">
        <f>Angela_2025_Chase1117_Activity_!D2078</f>
        <v>-133.94999999999999</v>
      </c>
    </row>
    <row r="2082" spans="1:4" x14ac:dyDescent="0.25">
      <c r="A2082" s="26">
        <f>Angela_2025_Chase1117_Activity_!B2079</f>
        <v>45706</v>
      </c>
      <c r="B2082" s="6" t="str">
        <f>Angela_2025_Chase1117_Activity_!C2079</f>
        <v>DD *DOORDASH TARGET 855-431-0459 CA          02/15</v>
      </c>
      <c r="C2082" s="6" t="str">
        <f>Angela_2025_Chase1117_Activity_!G2079</f>
        <v>Uber Eats</v>
      </c>
      <c r="D2082" s="12">
        <f>Angela_2025_Chase1117_Activity_!D2079</f>
        <v>-155.54</v>
      </c>
    </row>
    <row r="2083" spans="1:4" x14ac:dyDescent="0.25">
      <c r="A2083" s="26">
        <f>Angela_2025_Chase1117_Activity_!B2080</f>
        <v>45706</v>
      </c>
      <c r="B2083" s="6" t="str">
        <f>Angela_2025_Chase1117_Activity_!C2080</f>
        <v>www.cvs.com 800-746-7287 RI                  02/15</v>
      </c>
      <c r="C2083" s="6" t="str">
        <f>Angela_2025_Chase1117_Activity_!G2080</f>
        <v>Personal - Health</v>
      </c>
      <c r="D2083" s="12">
        <f>Angela_2025_Chase1117_Activity_!D2080</f>
        <v>-47.32</v>
      </c>
    </row>
    <row r="2084" spans="1:4" x14ac:dyDescent="0.25">
      <c r="A2084" s="26">
        <f>Angela_2025_Chase1117_Activity_!B2081</f>
        <v>45706</v>
      </c>
      <c r="B2084" s="6" t="str">
        <f>Angela_2025_Chase1117_Activity_!C2081</f>
        <v>Zara.com/USA 855-6359272 NY                  02/16</v>
      </c>
      <c r="C2084" s="6" t="str">
        <f>Angela_2025_Chase1117_Activity_!G2081</f>
        <v>Personal - Shopping</v>
      </c>
      <c r="D2084" s="12">
        <f>Angela_2025_Chase1117_Activity_!D2081</f>
        <v>-272.82</v>
      </c>
    </row>
    <row r="2085" spans="1:4" x14ac:dyDescent="0.25">
      <c r="A2085" s="26">
        <f>Angela_2025_Chase1117_Activity_!B2082</f>
        <v>45702</v>
      </c>
      <c r="B2085" s="6" t="str">
        <f>Angela_2025_Chase1117_Activity_!C2082</f>
        <v>Amazon Prime*X69CP2Y Amzn.com/bill WA        02/14</v>
      </c>
      <c r="C2085" s="6" t="str">
        <f>Angela_2025_Chase1117_Activity_!G2082</f>
        <v>Amazon</v>
      </c>
      <c r="D2085" s="12">
        <f>Angela_2025_Chase1117_Activity_!D2082</f>
        <v>-16.41</v>
      </c>
    </row>
    <row r="2086" spans="1:4" x14ac:dyDescent="0.25">
      <c r="A2086" s="26">
        <f>Angela_2025_Chase1117_Activity_!B2083</f>
        <v>45702</v>
      </c>
      <c r="B2086" s="6" t="str">
        <f>Angela_2025_Chase1117_Activity_!C2083</f>
        <v>APPLE.COM/BILL 866-712-7753 CA               02/14</v>
      </c>
      <c r="C2086" s="6" t="str">
        <f>Angela_2025_Chase1117_Activity_!G2083</f>
        <v>Apple</v>
      </c>
      <c r="D2086" s="12">
        <f>Angela_2025_Chase1117_Activity_!D2083</f>
        <v>-59.99</v>
      </c>
    </row>
    <row r="2087" spans="1:4" x14ac:dyDescent="0.25">
      <c r="A2087" s="26">
        <f>Angela_2025_Chase1117_Activity_!B2084</f>
        <v>45702</v>
      </c>
      <c r="B2087" s="6" t="str">
        <f>Angela_2025_Chase1117_Activity_!C2084</f>
        <v>AMAZON MKTPL*P518O7R Amzn.com/bill WA        02/14</v>
      </c>
      <c r="C2087" s="6" t="str">
        <f>Angela_2025_Chase1117_Activity_!G2084</f>
        <v>Amazon</v>
      </c>
      <c r="D2087" s="12">
        <f>Angela_2025_Chase1117_Activity_!D2084</f>
        <v>-79.98</v>
      </c>
    </row>
    <row r="2088" spans="1:4" x14ac:dyDescent="0.25">
      <c r="A2088" s="26">
        <f>Angela_2025_Chase1117_Activity_!B2085</f>
        <v>45702</v>
      </c>
      <c r="B2088" s="6" t="str">
        <f>Angela_2025_Chase1117_Activity_!C2085</f>
        <v>AMZN Mktp US*V73R07N Amzn.com/bill WA        02/13</v>
      </c>
      <c r="C2088" s="6" t="str">
        <f>Angela_2025_Chase1117_Activity_!G2085</f>
        <v>Amazon</v>
      </c>
      <c r="D2088" s="12">
        <f>Angela_2025_Chase1117_Activity_!D2085</f>
        <v>-76.849999999999994</v>
      </c>
    </row>
    <row r="2089" spans="1:4" x14ac:dyDescent="0.25">
      <c r="A2089" s="26">
        <f>Angela_2025_Chase1117_Activity_!B2086</f>
        <v>45702</v>
      </c>
      <c r="B2089" s="6" t="str">
        <f>Angela_2025_Chase1117_Activity_!C2086</f>
        <v>AMAZON MKTPL*RS3R94R Amzn.com/bill WA        02/14</v>
      </c>
      <c r="C2089" s="6" t="str">
        <f>Angela_2025_Chase1117_Activity_!G2086</f>
        <v>Amazon</v>
      </c>
      <c r="D2089" s="12">
        <f>Angela_2025_Chase1117_Activity_!D2086</f>
        <v>-46.95</v>
      </c>
    </row>
    <row r="2090" spans="1:4" x14ac:dyDescent="0.25">
      <c r="A2090" s="26">
        <f>Angela_2025_Chase1117_Activity_!B2087</f>
        <v>45701</v>
      </c>
      <c r="B2090" s="6" t="str">
        <f>Angela_2025_Chase1117_Activity_!C2087</f>
        <v>Online Transfer to CHK ...6975 transaction#: 23713693603 02/13</v>
      </c>
      <c r="C2090" s="6" t="str">
        <f>Angela_2025_Chase1117_Activity_!G2087</f>
        <v>Transfer to Ava</v>
      </c>
      <c r="D2090" s="12">
        <f>Angela_2025_Chase1117_Activity_!D2087</f>
        <v>-600</v>
      </c>
    </row>
    <row r="2091" spans="1:4" x14ac:dyDescent="0.25">
      <c r="A2091" s="26">
        <f>Angela_2025_Chase1117_Activity_!B2088</f>
        <v>45701</v>
      </c>
      <c r="B2091" s="6" t="str">
        <f>Angela_2025_Chase1117_Activity_!C2088</f>
        <v>DD *DOORDASH TARGET 855-431-0459 CA          02/13</v>
      </c>
      <c r="C2091" s="6" t="str">
        <f>Angela_2025_Chase1117_Activity_!G2088</f>
        <v>Uber Eats</v>
      </c>
      <c r="D2091" s="12">
        <f>Angela_2025_Chase1117_Activity_!D2088</f>
        <v>-103.68</v>
      </c>
    </row>
    <row r="2092" spans="1:4" x14ac:dyDescent="0.25">
      <c r="A2092" s="26">
        <f>Angela_2025_Chase1117_Activity_!B2089</f>
        <v>45700</v>
      </c>
      <c r="B2092" s="6" t="str">
        <f>Angela_2025_Chase1117_Activity_!C2089</f>
        <v>ROSAS CAFE &amp; TORTILLA WEATHERFORD TX         02/11</v>
      </c>
      <c r="C2092" s="6" t="str">
        <f>Angela_2025_Chase1117_Activity_!G2089</f>
        <v>Personal - Food</v>
      </c>
      <c r="D2092" s="12">
        <f>Angela_2025_Chase1117_Activity_!D2089</f>
        <v>-32.14</v>
      </c>
    </row>
    <row r="2093" spans="1:4" x14ac:dyDescent="0.25">
      <c r="A2093" s="26">
        <f>Angela_2025_Chase1117_Activity_!B2090</f>
        <v>45700</v>
      </c>
      <c r="B2093" s="6" t="str">
        <f>Angela_2025_Chase1117_Activity_!C2090</f>
        <v>ROSAS CAFE &amp; TORTILLA WEATHERFORD TX         02/11</v>
      </c>
      <c r="C2093" s="6" t="str">
        <f>Angela_2025_Chase1117_Activity_!G2090</f>
        <v>Personal - Food</v>
      </c>
      <c r="D2093" s="12">
        <f>Angela_2025_Chase1117_Activity_!D2090</f>
        <v>-16.61</v>
      </c>
    </row>
    <row r="2094" spans="1:4" x14ac:dyDescent="0.25">
      <c r="A2094" s="26">
        <f>Angela_2025_Chase1117_Activity_!B2091</f>
        <v>45700</v>
      </c>
      <c r="B2094" s="6" t="str">
        <f>Angela_2025_Chase1117_Activity_!C2091</f>
        <v>AMAZON MKTPL*2Y91256 Amzn.com/bill WA        02/12</v>
      </c>
      <c r="C2094" s="6" t="str">
        <f>Angela_2025_Chase1117_Activity_!G2091</f>
        <v>Amazon</v>
      </c>
      <c r="D2094" s="12">
        <f>Angela_2025_Chase1117_Activity_!D2091</f>
        <v>-117.98</v>
      </c>
    </row>
    <row r="2095" spans="1:4" x14ac:dyDescent="0.25">
      <c r="A2095" s="26">
        <f>Angela_2025_Chase1117_Activity_!B2092</f>
        <v>45700</v>
      </c>
      <c r="B2095" s="6" t="str">
        <f>Angela_2025_Chase1117_Activity_!C2092</f>
        <v>AMAZON MKTPL*P50AY0B Amzn.com/bill WA        02/12</v>
      </c>
      <c r="C2095" s="6" t="str">
        <f>Angela_2025_Chase1117_Activity_!G2092</f>
        <v>Amazon</v>
      </c>
      <c r="D2095" s="12">
        <f>Angela_2025_Chase1117_Activity_!D2092</f>
        <v>-147.4</v>
      </c>
    </row>
    <row r="2096" spans="1:4" x14ac:dyDescent="0.25">
      <c r="A2096" s="26">
        <f>Angela_2025_Chase1117_Activity_!B2093</f>
        <v>45700</v>
      </c>
      <c r="B2096" s="6" t="str">
        <f>Angela_2025_Chase1117_Activity_!C2093</f>
        <v>AMZN Mktp US*MF8RV03 Amzn.com/bill WA        02/12</v>
      </c>
      <c r="C2096" s="6" t="str">
        <f>Angela_2025_Chase1117_Activity_!G2093</f>
        <v>Amazon</v>
      </c>
      <c r="D2096" s="12">
        <f>Angela_2025_Chase1117_Activity_!D2093</f>
        <v>-30.47</v>
      </c>
    </row>
    <row r="2097" spans="1:4" x14ac:dyDescent="0.25">
      <c r="A2097" s="26">
        <f>Angela_2025_Chase1117_Activity_!B2094</f>
        <v>45700</v>
      </c>
      <c r="B2097" s="6" t="str">
        <f>Angela_2025_Chase1117_Activity_!C2094</f>
        <v>DD *DOORDASH WALGREEN 855-431-0459 CA        02/11</v>
      </c>
      <c r="C2097" s="6" t="str">
        <f>Angela_2025_Chase1117_Activity_!G2094</f>
        <v>Uber Eats</v>
      </c>
      <c r="D2097" s="12">
        <f>Angela_2025_Chase1117_Activity_!D2094</f>
        <v>-35.47</v>
      </c>
    </row>
    <row r="2098" spans="1:4" x14ac:dyDescent="0.25">
      <c r="A2098" s="26">
        <f>Angela_2025_Chase1117_Activity_!B2095</f>
        <v>45700</v>
      </c>
      <c r="B2098" s="6" t="str">
        <f>Angela_2025_Chase1117_Activity_!C2095</f>
        <v>Online Transfer from CHK ...1168 transaction#: 23704917261</v>
      </c>
      <c r="C2098" s="6" t="str">
        <f>Angela_2025_Chase1117_Activity_!G2095</f>
        <v>Transfer from DWG Capital Group</v>
      </c>
      <c r="D2098" s="12">
        <f>Angela_2025_Chase1117_Activity_!D2095</f>
        <v>2000</v>
      </c>
    </row>
    <row r="2099" spans="1:4" x14ac:dyDescent="0.25">
      <c r="A2099" s="26">
        <f>Angela_2025_Chase1117_Activity_!B2096</f>
        <v>45699</v>
      </c>
      <c r="B2099" s="6" t="str">
        <f>Angela_2025_Chase1117_Activity_!C2096</f>
        <v>ASCEND.ACADEMY ASCENDTHEFREQ AR              02/10</v>
      </c>
      <c r="C2099" s="6" t="str">
        <f>Angela_2025_Chase1117_Activity_!G2096</f>
        <v>Personal - Subscription</v>
      </c>
      <c r="D2099" s="12">
        <f>Angela_2025_Chase1117_Activity_!D2096</f>
        <v>-59</v>
      </c>
    </row>
    <row r="2100" spans="1:4" x14ac:dyDescent="0.25">
      <c r="A2100" s="26">
        <f>Angela_2025_Chase1117_Activity_!B2097</f>
        <v>45699</v>
      </c>
      <c r="B2100" s="6" t="str">
        <f>Angela_2025_Chase1117_Activity_!C2097</f>
        <v>AMAZON MKTPL*5U3S718 Amzn.com/bill WA        02/10</v>
      </c>
      <c r="C2100" s="6" t="str">
        <f>Angela_2025_Chase1117_Activity_!G2097</f>
        <v>Amazon</v>
      </c>
      <c r="D2100" s="12">
        <f>Angela_2025_Chase1117_Activity_!D2097</f>
        <v>-69.38</v>
      </c>
    </row>
    <row r="2101" spans="1:4" x14ac:dyDescent="0.25">
      <c r="A2101" s="26">
        <f>Angela_2025_Chase1117_Activity_!B2098</f>
        <v>45698</v>
      </c>
      <c r="B2101" s="6" t="str">
        <f>Angela_2025_Chase1117_Activity_!C2098</f>
        <v>CNP* VOGUE - DIGITAL CONDENAST.COM NY        02/10</v>
      </c>
      <c r="C2101" s="6" t="str">
        <f>Angela_2025_Chase1117_Activity_!G2098</f>
        <v>Personal - Subscription</v>
      </c>
      <c r="D2101" s="12">
        <f>Angela_2025_Chase1117_Activity_!D2098</f>
        <v>-24.99</v>
      </c>
    </row>
    <row r="2102" spans="1:4" x14ac:dyDescent="0.25">
      <c r="A2102" s="26">
        <f>Angela_2025_Chase1117_Activity_!B2099</f>
        <v>45698</v>
      </c>
      <c r="B2102" s="6" t="str">
        <f>Angela_2025_Chase1117_Activity_!C2099</f>
        <v>AMAZON MKTPL*8N5EB7W Amzn.com/bill WA        02/10</v>
      </c>
      <c r="C2102" s="6" t="str">
        <f>Angela_2025_Chase1117_Activity_!G2099</f>
        <v>Amazon</v>
      </c>
      <c r="D2102" s="12">
        <f>Angela_2025_Chase1117_Activity_!D2099</f>
        <v>-36.92</v>
      </c>
    </row>
    <row r="2103" spans="1:4" x14ac:dyDescent="0.25">
      <c r="A2103" s="26">
        <f>Angela_2025_Chase1117_Activity_!B2100</f>
        <v>45698</v>
      </c>
      <c r="B2103" s="6" t="str">
        <f>Angela_2025_Chase1117_Activity_!C2100</f>
        <v>APPLE COM BILL CUPERTINO CA          551357  02/09</v>
      </c>
      <c r="C2103" s="6" t="str">
        <f>Angela_2025_Chase1117_Activity_!G2100</f>
        <v>Apple</v>
      </c>
      <c r="D2103" s="12">
        <f>Angela_2025_Chase1117_Activity_!D2100</f>
        <v>-12.99</v>
      </c>
    </row>
    <row r="2104" spans="1:4" x14ac:dyDescent="0.25">
      <c r="A2104" s="26">
        <f>Angela_2025_Chase1117_Activity_!B2101</f>
        <v>45698</v>
      </c>
      <c r="B2104" s="6" t="str">
        <f>Angela_2025_Chase1117_Activity_!C2101</f>
        <v>SQ *BOULEVARD OF GREENS Fort Worth TX        02/09</v>
      </c>
      <c r="C2104" s="6" t="str">
        <f>Angela_2025_Chase1117_Activity_!G2101</f>
        <v>Personal - Food</v>
      </c>
      <c r="D2104" s="12">
        <f>Angela_2025_Chase1117_Activity_!D2101</f>
        <v>-153.58000000000001</v>
      </c>
    </row>
    <row r="2105" spans="1:4" x14ac:dyDescent="0.25">
      <c r="A2105" s="26">
        <f>Angela_2025_Chase1117_Activity_!B2102</f>
        <v>45698</v>
      </c>
      <c r="B2105" s="6" t="str">
        <f>Angela_2025_Chase1117_Activity_!C2102</f>
        <v>CENTRAL MARKET #545 FT WORTH TX      144730  02/09</v>
      </c>
      <c r="C2105" s="6" t="str">
        <f>Angela_2025_Chase1117_Activity_!G2102</f>
        <v>Personal - Food</v>
      </c>
      <c r="D2105" s="12">
        <f>Angela_2025_Chase1117_Activity_!D2102</f>
        <v>-304.44</v>
      </c>
    </row>
    <row r="2106" spans="1:4" x14ac:dyDescent="0.25">
      <c r="A2106" s="26">
        <f>Angela_2025_Chase1117_Activity_!B2103</f>
        <v>45698</v>
      </c>
      <c r="B2106" s="6" t="str">
        <f>Angela_2025_Chase1117_Activity_!C2103</f>
        <v>MID CITIES ANTIQUE MAL HURST TX      950816  02/09</v>
      </c>
      <c r="C2106" s="6" t="str">
        <f>Angela_2025_Chase1117_Activity_!G2103</f>
        <v>Personal - Shopping</v>
      </c>
      <c r="D2106" s="12">
        <f>Angela_2025_Chase1117_Activity_!D2103</f>
        <v>-531.71</v>
      </c>
    </row>
    <row r="2107" spans="1:4" x14ac:dyDescent="0.25">
      <c r="A2107" s="26">
        <f>Angela_2025_Chase1117_Activity_!B2104</f>
        <v>45698</v>
      </c>
      <c r="B2107" s="6" t="str">
        <f>Angela_2025_Chase1117_Activity_!C2104</f>
        <v>AMAZON MKTPL*RZ5X31G Amzn.com/bill WA        02/10</v>
      </c>
      <c r="C2107" s="6" t="str">
        <f>Angela_2025_Chase1117_Activity_!G2104</f>
        <v>Amazon</v>
      </c>
      <c r="D2107" s="12">
        <f>Angela_2025_Chase1117_Activity_!D2104</f>
        <v>-129.63999999999999</v>
      </c>
    </row>
    <row r="2108" spans="1:4" x14ac:dyDescent="0.25">
      <c r="A2108" s="26">
        <f>Angela_2025_Chase1117_Activity_!B2105</f>
        <v>45698</v>
      </c>
      <c r="B2108" s="6" t="str">
        <f>Angela_2025_Chase1117_Activity_!C2105</f>
        <v>DD *DOORDASH BLUJASMI 855-431-0459 CA        02/09</v>
      </c>
      <c r="C2108" s="6" t="str">
        <f>Angela_2025_Chase1117_Activity_!G2105</f>
        <v>Uber Eats</v>
      </c>
      <c r="D2108" s="12">
        <f>Angela_2025_Chase1117_Activity_!D2105</f>
        <v>-84.94</v>
      </c>
    </row>
    <row r="2109" spans="1:4" x14ac:dyDescent="0.25">
      <c r="A2109" s="26">
        <f>Angela_2025_Chase1117_Activity_!B2106</f>
        <v>45698</v>
      </c>
      <c r="B2109" s="6" t="str">
        <f>Angela_2025_Chase1117_Activity_!C2106</f>
        <v>TIGER MART #51 WEATHERFORD TX        809000  02/08</v>
      </c>
      <c r="C2109" s="6" t="str">
        <f>Angela_2025_Chase1117_Activity_!G2106</f>
        <v>Personal - Car</v>
      </c>
      <c r="D2109" s="12">
        <f>Angela_2025_Chase1117_Activity_!D2106</f>
        <v>-37.26</v>
      </c>
    </row>
    <row r="2110" spans="1:4" x14ac:dyDescent="0.25">
      <c r="A2110" s="26">
        <f>Angela_2025_Chase1117_Activity_!B2107</f>
        <v>45698</v>
      </c>
      <c r="B2110" s="6" t="str">
        <f>Angela_2025_Chase1117_Activity_!C2107</f>
        <v>TIES TO THE PAST ANTIQU FORT WORTH TX        02/08</v>
      </c>
      <c r="C2110" s="6" t="str">
        <f>Angela_2025_Chase1117_Activity_!G2107</f>
        <v>Personal - Shopping</v>
      </c>
      <c r="D2110" s="12">
        <f>Angela_2025_Chase1117_Activity_!D2107</f>
        <v>-245.74</v>
      </c>
    </row>
    <row r="2111" spans="1:4" x14ac:dyDescent="0.25">
      <c r="A2111" s="26">
        <f>Angela_2025_Chase1117_Activity_!B2108</f>
        <v>45698</v>
      </c>
      <c r="B2111" s="6" t="str">
        <f>Angela_2025_Chase1117_Activity_!C2108</f>
        <v>PRESS CAFE FORT WORTH TX                     02/08</v>
      </c>
      <c r="C2111" s="6" t="str">
        <f>Angela_2025_Chase1117_Activity_!G2108</f>
        <v>Personal - Food</v>
      </c>
      <c r="D2111" s="12">
        <f>Angela_2025_Chase1117_Activity_!D2108</f>
        <v>-102.53</v>
      </c>
    </row>
    <row r="2112" spans="1:4" x14ac:dyDescent="0.25">
      <c r="A2112" s="26">
        <f>Angela_2025_Chase1117_Activity_!B2109</f>
        <v>45698</v>
      </c>
      <c r="B2112" s="6" t="str">
        <f>Angela_2025_Chase1117_Activity_!C2109</f>
        <v>AMAZON MKTPL*Z72B84K Amzn.com/bill WA        02/08</v>
      </c>
      <c r="C2112" s="6" t="str">
        <f>Angela_2025_Chase1117_Activity_!G2109</f>
        <v>Amazon</v>
      </c>
      <c r="D2112" s="12">
        <f>Angela_2025_Chase1117_Activity_!D2109</f>
        <v>-78.98</v>
      </c>
    </row>
    <row r="2113" spans="1:4" x14ac:dyDescent="0.25">
      <c r="A2113" s="26">
        <f>Angela_2025_Chase1117_Activity_!B2110</f>
        <v>45698</v>
      </c>
      <c r="B2113" s="6" t="str">
        <f>Angela_2025_Chase1117_Activity_!C2110</f>
        <v>ROSAS CAFE &amp; TORTILLA WEATHERFORD TX         02/07</v>
      </c>
      <c r="C2113" s="6" t="str">
        <f>Angela_2025_Chase1117_Activity_!G2110</f>
        <v>Personal - Food</v>
      </c>
      <c r="D2113" s="12">
        <f>Angela_2025_Chase1117_Activity_!D2110</f>
        <v>-20.95</v>
      </c>
    </row>
    <row r="2114" spans="1:4" x14ac:dyDescent="0.25">
      <c r="A2114" s="26">
        <f>Angela_2025_Chase1117_Activity_!B2111</f>
        <v>45698</v>
      </c>
      <c r="B2114" s="6" t="str">
        <f>Angela_2025_Chase1117_Activity_!C2111</f>
        <v>Prime Video Channels amzn.com/bill WA        02/07</v>
      </c>
      <c r="C2114" s="6" t="str">
        <f>Angela_2025_Chase1117_Activity_!G2111</f>
        <v>Amazon</v>
      </c>
      <c r="D2114" s="12">
        <f>Angela_2025_Chase1117_Activity_!D2111</f>
        <v>-12.49</v>
      </c>
    </row>
    <row r="2115" spans="1:4" x14ac:dyDescent="0.25">
      <c r="A2115" s="26">
        <f>Angela_2025_Chase1117_Activity_!B2112</f>
        <v>45698</v>
      </c>
      <c r="B2115" s="6" t="str">
        <f>Angela_2025_Chase1117_Activity_!C2112</f>
        <v>FILM ALLEY - WEATHERFO WEATHERFORD TX        02/07</v>
      </c>
      <c r="C2115" s="6" t="str">
        <f>Angela_2025_Chase1117_Activity_!G2112</f>
        <v>Personal - Entertainment</v>
      </c>
      <c r="D2115" s="12">
        <f>Angela_2025_Chase1117_Activity_!D2112</f>
        <v>-17.39</v>
      </c>
    </row>
    <row r="2116" spans="1:4" x14ac:dyDescent="0.25">
      <c r="A2116" s="26">
        <f>Angela_2025_Chase1117_Activity_!B2113</f>
        <v>45698</v>
      </c>
      <c r="B2116" s="6" t="str">
        <f>Angela_2025_Chase1117_Activity_!C2113</f>
        <v>Online Transfer from CHK ...1168 transaction#: 23680819812</v>
      </c>
      <c r="C2116" s="6" t="str">
        <f>Angela_2025_Chase1117_Activity_!G2113</f>
        <v>Transfer from DWG Capital Group</v>
      </c>
      <c r="D2116" s="12">
        <f>Angela_2025_Chase1117_Activity_!D2113</f>
        <v>2000</v>
      </c>
    </row>
    <row r="2117" spans="1:4" x14ac:dyDescent="0.25">
      <c r="A2117" s="26">
        <f>Angela_2025_Chase1117_Activity_!B2114</f>
        <v>45695</v>
      </c>
      <c r="B2117" s="6" t="str">
        <f>Angela_2025_Chase1117_Activity_!C2114</f>
        <v>AZLE ANTIQUE MAL AZLE TX             162236  02/07</v>
      </c>
      <c r="C2117" s="6" t="str">
        <f>Angela_2025_Chase1117_Activity_!G2114</f>
        <v>Personal - Shopping</v>
      </c>
      <c r="D2117" s="12">
        <f>Angela_2025_Chase1117_Activity_!D2114</f>
        <v>-302.24</v>
      </c>
    </row>
    <row r="2118" spans="1:4" x14ac:dyDescent="0.25">
      <c r="A2118" s="26">
        <f>Angela_2025_Chase1117_Activity_!B2115</f>
        <v>45695</v>
      </c>
      <c r="B2118" s="6" t="str">
        <f>Angela_2025_Chase1117_Activity_!C2115</f>
        <v>TM *MAJOR ACCIDENT 800-653-8000 CA           02/07</v>
      </c>
      <c r="C2118" s="6" t="str">
        <f>Angela_2025_Chase1117_Activity_!G2115</f>
        <v>Personal - Entertainment</v>
      </c>
      <c r="D2118" s="12">
        <f>Angela_2025_Chase1117_Activity_!D2115</f>
        <v>-264.5</v>
      </c>
    </row>
    <row r="2119" spans="1:4" x14ac:dyDescent="0.25">
      <c r="A2119" s="26">
        <f>Angela_2025_Chase1117_Activity_!B2116</f>
        <v>45695</v>
      </c>
      <c r="B2119" s="6" t="str">
        <f>Angela_2025_Chase1117_Activity_!C2116</f>
        <v>TST* CLEAN JUICE - CLEA FORT WORTH TX        02/07</v>
      </c>
      <c r="C2119" s="6" t="str">
        <f>Angela_2025_Chase1117_Activity_!G2116</f>
        <v>Personal - Food</v>
      </c>
      <c r="D2119" s="12">
        <f>Angela_2025_Chase1117_Activity_!D2116</f>
        <v>-299.36</v>
      </c>
    </row>
    <row r="2120" spans="1:4" x14ac:dyDescent="0.25">
      <c r="A2120" s="26">
        <f>Angela_2025_Chase1117_Activity_!B2117</f>
        <v>45695</v>
      </c>
      <c r="B2120" s="6" t="str">
        <f>Angela_2025_Chase1117_Activity_!C2117</f>
        <v>Online Transfer from CHK ...1168 transaction#: 23643723741</v>
      </c>
      <c r="C2120" s="6" t="str">
        <f>Angela_2025_Chase1117_Activity_!G2117</f>
        <v>Transfer from DWG Capital Group</v>
      </c>
      <c r="D2120" s="12">
        <f>Angela_2025_Chase1117_Activity_!D2117</f>
        <v>2000</v>
      </c>
    </row>
    <row r="2121" spans="1:4" x14ac:dyDescent="0.25">
      <c r="A2121" s="26">
        <f>Angela_2025_Chase1117_Activity_!B2118</f>
        <v>45694</v>
      </c>
      <c r="B2121" s="6" t="str">
        <f>Angela_2025_Chase1117_Activity_!C2118</f>
        <v>NON-CHASE ATM FEE-WITH</v>
      </c>
      <c r="C2121" s="6" t="str">
        <f>Angela_2025_Chase1117_Activity_!G2118</f>
        <v>Bank Fees</v>
      </c>
      <c r="D2121" s="12">
        <f>Angela_2025_Chase1117_Activity_!D2118</f>
        <v>-3</v>
      </c>
    </row>
    <row r="2122" spans="1:4" x14ac:dyDescent="0.25">
      <c r="A2122" s="26">
        <f>Angela_2025_Chase1117_Activity_!B2119</f>
        <v>45694</v>
      </c>
      <c r="B2122" s="6" t="str">
        <f>Angela_2025_Chase1117_Activity_!C2119</f>
        <v>TARGET T-1981 WEATHERFORD TX         016174  02/06</v>
      </c>
      <c r="C2122" s="6" t="str">
        <f>Angela_2025_Chase1117_Activity_!G2119</f>
        <v>Personal - Shopping</v>
      </c>
      <c r="D2122" s="12">
        <f>Angela_2025_Chase1117_Activity_!D2119</f>
        <v>-145.85</v>
      </c>
    </row>
    <row r="2123" spans="1:4" x14ac:dyDescent="0.25">
      <c r="A2123" s="26">
        <f>Angela_2025_Chase1117_Activity_!B2120</f>
        <v>45694</v>
      </c>
      <c r="B2123" s="6" t="str">
        <f>Angela_2025_Chase1117_Activity_!C2120</f>
        <v>NON-CHASE ATM WITHDRAW               001180  02/06102 E. I-</v>
      </c>
      <c r="C2123" s="6" t="str">
        <f>Angela_2025_Chase1117_Activity_!G2120</f>
        <v>Withdrawal</v>
      </c>
      <c r="D2123" s="12">
        <f>Angela_2025_Chase1117_Activity_!D2120</f>
        <v>-203</v>
      </c>
    </row>
    <row r="2124" spans="1:4" x14ac:dyDescent="0.25">
      <c r="A2124" s="26">
        <f>Angela_2025_Chase1117_Activity_!B2121</f>
        <v>45694</v>
      </c>
      <c r="B2124" s="6" t="str">
        <f>Angela_2025_Chase1117_Activity_!C2121</f>
        <v>GOOGLE *YouTubePremi g.co/helppay# CA        02/06</v>
      </c>
      <c r="C2124" s="6" t="str">
        <f>Angela_2025_Chase1117_Activity_!G2121</f>
        <v>YouTube Premium</v>
      </c>
      <c r="D2124" s="12">
        <f>Angela_2025_Chase1117_Activity_!D2121</f>
        <v>-13.99</v>
      </c>
    </row>
    <row r="2125" spans="1:4" x14ac:dyDescent="0.25">
      <c r="A2125" s="26">
        <f>Angela_2025_Chase1117_Activity_!B2122</f>
        <v>45694</v>
      </c>
      <c r="B2125" s="6" t="str">
        <f>Angela_2025_Chase1117_Activity_!C2122</f>
        <v>PSYCHOLOGY TODAY PSYCHOLOGYTOD SD            02/06</v>
      </c>
      <c r="C2125" s="6" t="str">
        <f>Angela_2025_Chase1117_Activity_!G2122</f>
        <v>Personal - Subscription</v>
      </c>
      <c r="D2125" s="12">
        <f>Angela_2025_Chase1117_Activity_!D2122</f>
        <v>-29.95</v>
      </c>
    </row>
    <row r="2126" spans="1:4" x14ac:dyDescent="0.25">
      <c r="A2126" s="26">
        <f>Angela_2025_Chase1117_Activity_!B2123</f>
        <v>45694</v>
      </c>
      <c r="B2126" s="6" t="str">
        <f>Angela_2025_Chase1117_Activity_!C2123</f>
        <v>SQ *AIN'T THAT SOMETHIN AZLE TX              02/05</v>
      </c>
      <c r="C2126" s="6" t="str">
        <f>Angela_2025_Chase1117_Activity_!G2123</f>
        <v>Personal - Shopping</v>
      </c>
      <c r="D2126" s="12">
        <f>Angela_2025_Chase1117_Activity_!D2123</f>
        <v>-48.17</v>
      </c>
    </row>
    <row r="2127" spans="1:4" x14ac:dyDescent="0.25">
      <c r="A2127" s="26">
        <f>Angela_2025_Chase1117_Activity_!B2124</f>
        <v>45694</v>
      </c>
      <c r="B2127" s="6" t="str">
        <f>Angela_2025_Chase1117_Activity_!C2124</f>
        <v>AMAZON MKTPL*B485M1H Amzn.com/bill WA        02/05</v>
      </c>
      <c r="C2127" s="6" t="str">
        <f>Angela_2025_Chase1117_Activity_!G2124</f>
        <v>Amazon</v>
      </c>
      <c r="D2127" s="12">
        <f>Angela_2025_Chase1117_Activity_!D2124</f>
        <v>-43.92</v>
      </c>
    </row>
    <row r="2128" spans="1:4" x14ac:dyDescent="0.25">
      <c r="A2128" s="26">
        <f>Angela_2025_Chase1117_Activity_!B2125</f>
        <v>45693</v>
      </c>
      <c r="B2128" s="6" t="str">
        <f>Angela_2025_Chase1117_Activity_!C2125</f>
        <v>AZLE ANTIQUE MAL AZLE TX             947459  02/05</v>
      </c>
      <c r="C2128" s="6" t="str">
        <f>Angela_2025_Chase1117_Activity_!G2125</f>
        <v>Personal - Shopping</v>
      </c>
      <c r="D2128" s="12">
        <f>Angela_2025_Chase1117_Activity_!D2125</f>
        <v>-18.86</v>
      </c>
    </row>
    <row r="2129" spans="1:4" x14ac:dyDescent="0.25">
      <c r="A2129" s="26">
        <f>Angela_2025_Chase1117_Activity_!B2126</f>
        <v>45693</v>
      </c>
      <c r="B2129" s="6" t="str">
        <f>Angela_2025_Chase1117_Activity_!C2126</f>
        <v>AZLE ANTIQUE MAL AZLE TX             946390  02/05</v>
      </c>
      <c r="C2129" s="6" t="str">
        <f>Angela_2025_Chase1117_Activity_!G2126</f>
        <v>Personal - Shopping</v>
      </c>
      <c r="D2129" s="12">
        <f>Angela_2025_Chase1117_Activity_!D2126</f>
        <v>-217.71</v>
      </c>
    </row>
    <row r="2130" spans="1:4" x14ac:dyDescent="0.25">
      <c r="A2130" s="26">
        <f>Angela_2025_Chase1117_Activity_!B2127</f>
        <v>45693</v>
      </c>
      <c r="B2130" s="6" t="str">
        <f>Angela_2025_Chase1117_Activity_!C2127</f>
        <v>A TO Z AZLE TX                       816460  02/05</v>
      </c>
      <c r="C2130" s="6" t="str">
        <f>Angela_2025_Chase1117_Activity_!G2127</f>
        <v>Personal - Shopping</v>
      </c>
      <c r="D2130" s="12">
        <f>Angela_2025_Chase1117_Activity_!D2127</f>
        <v>-48.39</v>
      </c>
    </row>
    <row r="2131" spans="1:4" x14ac:dyDescent="0.25">
      <c r="A2131" s="26">
        <f>Angela_2025_Chase1117_Activity_!B2128</f>
        <v>45693</v>
      </c>
      <c r="B2131" s="6" t="str">
        <f>Angela_2025_Chase1117_Activity_!C2128</f>
        <v>NTTA AUTOCHARGE 972-818-6882 TX              02/04</v>
      </c>
      <c r="C2131" s="6" t="str">
        <f>Angela_2025_Chase1117_Activity_!G2128</f>
        <v>Personal - Car</v>
      </c>
      <c r="D2131" s="12">
        <f>Angela_2025_Chase1117_Activity_!D2128</f>
        <v>-40</v>
      </c>
    </row>
    <row r="2132" spans="1:4" x14ac:dyDescent="0.25">
      <c r="A2132" s="26">
        <f>Angela_2025_Chase1117_Activity_!B2129</f>
        <v>45693</v>
      </c>
      <c r="B2132" s="6" t="str">
        <f>Angela_2025_Chase1117_Activity_!C2129</f>
        <v>Zara.com 212-3551415 NY                      02/05</v>
      </c>
      <c r="C2132" s="6" t="str">
        <f>Angela_2025_Chase1117_Activity_!G2129</f>
        <v>Personal - Shopping</v>
      </c>
      <c r="D2132" s="12">
        <f>Angela_2025_Chase1117_Activity_!D2129</f>
        <v>-545.38</v>
      </c>
    </row>
    <row r="2133" spans="1:4" x14ac:dyDescent="0.25">
      <c r="A2133" s="26">
        <f>Angela_2025_Chase1117_Activity_!B2130</f>
        <v>45692</v>
      </c>
      <c r="B2133" s="6" t="str">
        <f>Angela_2025_Chase1117_Activity_!C2130</f>
        <v>MID CITIES ANTIQUE MAL HURST TX      368151  02/04</v>
      </c>
      <c r="C2133" s="6" t="str">
        <f>Angela_2025_Chase1117_Activity_!G2130</f>
        <v>Personal - Shopping</v>
      </c>
      <c r="D2133" s="12">
        <f>Angela_2025_Chase1117_Activity_!D2130</f>
        <v>-293.35000000000002</v>
      </c>
    </row>
    <row r="2134" spans="1:4" x14ac:dyDescent="0.25">
      <c r="A2134" s="26">
        <f>Angela_2025_Chase1117_Activity_!B2131</f>
        <v>45692</v>
      </c>
      <c r="B2134" s="6" t="str">
        <f>Angela_2025_Chase1117_Activity_!C2131</f>
        <v>LONESTAR ANTIQUES MALL HALTOM CITY TX490264  02/04</v>
      </c>
      <c r="C2134" s="6" t="str">
        <f>Angela_2025_Chase1117_Activity_!G2131</f>
        <v>Personal - Shopping</v>
      </c>
      <c r="D2134" s="12">
        <f>Angela_2025_Chase1117_Activity_!D2131</f>
        <v>-187.21</v>
      </c>
    </row>
    <row r="2135" spans="1:4" x14ac:dyDescent="0.25">
      <c r="A2135" s="26">
        <f>Angela_2025_Chase1117_Activity_!B2132</f>
        <v>45691</v>
      </c>
      <c r="B2135" s="6" t="str">
        <f>Angela_2025_Chase1117_Activity_!C2132</f>
        <v>WHOLEFDS FTW #10 3400 FORT WORTH TX  541507  02/02</v>
      </c>
      <c r="C2135" s="6" t="str">
        <f>Angela_2025_Chase1117_Activity_!G2132</f>
        <v>Personal - Food</v>
      </c>
      <c r="D2135" s="12">
        <f>Angela_2025_Chase1117_Activity_!D2132</f>
        <v>-176.95</v>
      </c>
    </row>
    <row r="2136" spans="1:4" x14ac:dyDescent="0.25">
      <c r="A2136" s="26">
        <f>Angela_2025_Chase1117_Activity_!B2133</f>
        <v>45691</v>
      </c>
      <c r="B2136" s="6" t="str">
        <f>Angela_2025_Chase1117_Activity_!C2133</f>
        <v>BARNESNOBLE 4801 OVERT FORTH WORTH TX750002  02/02</v>
      </c>
      <c r="C2136" s="6" t="str">
        <f>Angela_2025_Chase1117_Activity_!G2133</f>
        <v>Personal - Shopping</v>
      </c>
      <c r="D2136" s="12">
        <f>Angela_2025_Chase1117_Activity_!D2133</f>
        <v>-103.91</v>
      </c>
    </row>
    <row r="2137" spans="1:4" x14ac:dyDescent="0.25">
      <c r="A2137" s="26">
        <f>Angela_2025_Chase1117_Activity_!B2134</f>
        <v>45691</v>
      </c>
      <c r="B2137" s="6" t="str">
        <f>Angela_2025_Chase1117_Activity_!C2134</f>
        <v>WESTSIDE ANTIQUE MARKE ALEDO TX              02/02</v>
      </c>
      <c r="C2137" s="6" t="str">
        <f>Angela_2025_Chase1117_Activity_!G2134</f>
        <v>Personal - Shopping</v>
      </c>
      <c r="D2137" s="12">
        <f>Angela_2025_Chase1117_Activity_!D2134</f>
        <v>-411.69</v>
      </c>
    </row>
    <row r="2138" spans="1:4" x14ac:dyDescent="0.25">
      <c r="A2138" s="26">
        <f>Angela_2025_Chase1117_Activity_!B2135</f>
        <v>45691</v>
      </c>
      <c r="B2138" s="6" t="str">
        <f>Angela_2025_Chase1117_Activity_!C2135</f>
        <v>APPLE.COM/BILL 866-712-7753 CA               02/02</v>
      </c>
      <c r="C2138" s="6" t="str">
        <f>Angela_2025_Chase1117_Activity_!G2135</f>
        <v>Apple</v>
      </c>
      <c r="D2138" s="12">
        <f>Angela_2025_Chase1117_Activity_!D2135</f>
        <v>-3.99</v>
      </c>
    </row>
    <row r="2139" spans="1:4" x14ac:dyDescent="0.25">
      <c r="A2139" s="26">
        <f>Angela_2025_Chase1117_Activity_!B2136</f>
        <v>45691</v>
      </c>
      <c r="B2139" s="6" t="str">
        <f>Angela_2025_Chase1117_Activity_!C2136</f>
        <v>TARGET T-1981 WEATHERFORD TX         037018  02/01</v>
      </c>
      <c r="C2139" s="6" t="str">
        <f>Angela_2025_Chase1117_Activity_!G2136</f>
        <v>Personal - Shopping</v>
      </c>
      <c r="D2139" s="12">
        <f>Angela_2025_Chase1117_Activity_!D2136</f>
        <v>-338.03</v>
      </c>
    </row>
    <row r="2140" spans="1:4" x14ac:dyDescent="0.25">
      <c r="A2140" s="26">
        <f>Angela_2025_Chase1117_Activity_!B2137</f>
        <v>45691</v>
      </c>
      <c r="B2140" s="6" t="str">
        <f>Angela_2025_Chase1117_Activity_!C2137</f>
        <v>FILM ALLEY WEATHERFORD 817-3413232 TX        02/01</v>
      </c>
      <c r="C2140" s="6" t="str">
        <f>Angela_2025_Chase1117_Activity_!G2137</f>
        <v>Personal - Entertainment</v>
      </c>
      <c r="D2140" s="12">
        <f>Angela_2025_Chase1117_Activity_!D2137</f>
        <v>-50.8</v>
      </c>
    </row>
    <row r="2141" spans="1:4" x14ac:dyDescent="0.25">
      <c r="A2141" s="26">
        <f>Angela_2025_Chase1117_Activity_!B2138</f>
        <v>45691</v>
      </c>
      <c r="B2141" s="6" t="str">
        <f>Angela_2025_Chase1117_Activity_!C2138</f>
        <v>CENTRAL MARKET #545 FT WORTH TX      787208  02/01</v>
      </c>
      <c r="C2141" s="6" t="str">
        <f>Angela_2025_Chase1117_Activity_!G2138</f>
        <v>Personal - Food</v>
      </c>
      <c r="D2141" s="12">
        <f>Angela_2025_Chase1117_Activity_!D2138</f>
        <v>-513.37</v>
      </c>
    </row>
    <row r="2142" spans="1:4" x14ac:dyDescent="0.25">
      <c r="A2142" s="26">
        <f>Angela_2025_Chase1117_Activity_!B2139</f>
        <v>45691</v>
      </c>
      <c r="B2142" s="6" t="str">
        <f>Angela_2025_Chase1117_Activity_!C2139</f>
        <v>TST* CLEAN JUICE - CLEA FORT WORTH TX        02/02</v>
      </c>
      <c r="C2142" s="6" t="str">
        <f>Angela_2025_Chase1117_Activity_!G2139</f>
        <v>Personal - Food</v>
      </c>
      <c r="D2142" s="12">
        <f>Angela_2025_Chase1117_Activity_!D2139</f>
        <v>-400.65</v>
      </c>
    </row>
    <row r="2143" spans="1:4" x14ac:dyDescent="0.25">
      <c r="A2143" s="26">
        <f>Angela_2025_Chase1117_Activity_!B2140</f>
        <v>45691</v>
      </c>
      <c r="B2143" s="6" t="str">
        <f>Angela_2025_Chase1117_Activity_!C2140</f>
        <v>FILM ALLEY - WEATHERFO WEATHERFORD TX        02/01</v>
      </c>
      <c r="C2143" s="6" t="str">
        <f>Angela_2025_Chase1117_Activity_!G2140</f>
        <v>Personal - Entertainment</v>
      </c>
      <c r="D2143" s="12">
        <f>Angela_2025_Chase1117_Activity_!D2140</f>
        <v>-28.89</v>
      </c>
    </row>
    <row r="2144" spans="1:4" x14ac:dyDescent="0.25">
      <c r="A2144" s="26">
        <f>Angela_2025_Chase1117_Activity_!B2141</f>
        <v>45691</v>
      </c>
      <c r="B2144" s="6" t="str">
        <f>Angela_2025_Chase1117_Activity_!C2141</f>
        <v>FSP*CAMFT 858-292-2638 CA                    02/01</v>
      </c>
      <c r="C2144" s="6" t="str">
        <f>Angela_2025_Chase1117_Activity_!G2141</f>
        <v>Personal - Work</v>
      </c>
      <c r="D2144" s="12">
        <f>Angela_2025_Chase1117_Activity_!D2141</f>
        <v>-220</v>
      </c>
    </row>
    <row r="2145" spans="1:4" x14ac:dyDescent="0.25">
      <c r="A2145" s="26">
        <f>Angela_2025_Chase1117_Activity_!B2142</f>
        <v>45691</v>
      </c>
      <c r="B2145" s="6" t="str">
        <f>Angela_2025_Chase1117_Activity_!C2142</f>
        <v>SQ *BOULEVARD OF GREENS Fort Worth TX        01/31</v>
      </c>
      <c r="C2145" s="6" t="str">
        <f>Angela_2025_Chase1117_Activity_!G2142</f>
        <v>Personal - Food</v>
      </c>
      <c r="D2145" s="12">
        <f>Angela_2025_Chase1117_Activity_!D2142</f>
        <v>-170.89</v>
      </c>
    </row>
    <row r="2146" spans="1:4" x14ac:dyDescent="0.25">
      <c r="A2146" s="26">
        <f>Angela_2025_Chase1117_Activity_!B2143</f>
        <v>45691</v>
      </c>
      <c r="B2146" s="6" t="str">
        <f>Angela_2025_Chase1117_Activity_!C2143</f>
        <v>LOS ANGELES AIRPORT LOS ANGELES CA           01/31</v>
      </c>
      <c r="C2146" s="6" t="str">
        <f>Angela_2025_Chase1117_Activity_!G2143</f>
        <v>Personal Travel</v>
      </c>
      <c r="D2146" s="12">
        <f>Angela_2025_Chase1117_Activity_!D2143</f>
        <v>-37.590000000000003</v>
      </c>
    </row>
    <row r="2147" spans="1:4" x14ac:dyDescent="0.25">
      <c r="A2147" s="26">
        <f>Angela_2025_Chase1117_Activity_!B2144</f>
        <v>45691</v>
      </c>
      <c r="B2147" s="6" t="str">
        <f>Angela_2025_Chase1117_Activity_!C2144</f>
        <v>Online Transfer from CHK ...1168 transaction#: 23589080712</v>
      </c>
      <c r="C2147" s="6" t="str">
        <f>Angela_2025_Chase1117_Activity_!G2144</f>
        <v>Transfer from DWG Capital Group</v>
      </c>
      <c r="D2147" s="12">
        <f>Angela_2025_Chase1117_Activity_!D2144</f>
        <v>1000</v>
      </c>
    </row>
    <row r="2148" spans="1:4" x14ac:dyDescent="0.25">
      <c r="A2148" s="26">
        <f>Angela_2025_Chase1117_Activity_!B2145</f>
        <v>45691</v>
      </c>
      <c r="B2148" s="6" t="str">
        <f>Angela_2025_Chase1117_Activity_!C2145</f>
        <v>Online Transfer from CHK ...1168 transaction#: 23598489996</v>
      </c>
      <c r="C2148" s="6" t="str">
        <f>Angela_2025_Chase1117_Activity_!G2145</f>
        <v>Transfer from DWG Capital Group</v>
      </c>
      <c r="D2148" s="12">
        <f>Angela_2025_Chase1117_Activity_!D2145</f>
        <v>2000</v>
      </c>
    </row>
    <row r="2149" spans="1:4" x14ac:dyDescent="0.25">
      <c r="A2149" s="26">
        <f>Angela_2025_Chase1117_Activity_!B2146</f>
        <v>45688</v>
      </c>
      <c r="B2149" s="6" t="str">
        <f>Angela_2025_Chase1117_Activity_!C2146</f>
        <v>BLUE SHIELD CALIFORNI 800-393-6130 CA        01/31</v>
      </c>
      <c r="C2149" s="6" t="str">
        <f>Angela_2025_Chase1117_Activity_!G2146</f>
        <v>Personal - Health Insurance</v>
      </c>
      <c r="D2149" s="12">
        <f>Angela_2025_Chase1117_Activity_!D2146</f>
        <v>-944.63</v>
      </c>
    </row>
    <row r="2150" spans="1:4" x14ac:dyDescent="0.25">
      <c r="A2150" s="26">
        <f>Angela_2025_Chase1117_Activity_!B2147</f>
        <v>45688</v>
      </c>
      <c r="B2150" s="6" t="str">
        <f>Angela_2025_Chase1117_Activity_!C2147</f>
        <v>VONS #2270 LOS ANGELES CA                    01/30</v>
      </c>
      <c r="C2150" s="6" t="str">
        <f>Angela_2025_Chase1117_Activity_!G2147</f>
        <v>Personal - Food</v>
      </c>
      <c r="D2150" s="12">
        <f>Angela_2025_Chase1117_Activity_!D2147</f>
        <v>-191.49</v>
      </c>
    </row>
    <row r="2151" spans="1:4" x14ac:dyDescent="0.25">
      <c r="A2151" s="26">
        <f>Angela_2025_Chase1117_Activity_!B2148</f>
        <v>45687</v>
      </c>
      <c r="B2151" s="6" t="str">
        <f>Angela_2025_Chase1117_Activity_!C2148</f>
        <v>BIG O TIRES OF WEST LA LOS ANGELES CA385820  01/30</v>
      </c>
      <c r="C2151" s="6" t="str">
        <f>Angela_2025_Chase1117_Activity_!G2148</f>
        <v>Personal - Car</v>
      </c>
      <c r="D2151" s="12">
        <f>Angela_2025_Chase1117_Activity_!D2148</f>
        <v>-40</v>
      </c>
    </row>
    <row r="2152" spans="1:4" x14ac:dyDescent="0.25">
      <c r="A2152" s="26">
        <f>Angela_2025_Chase1117_Activity_!B2149</f>
        <v>45687</v>
      </c>
      <c r="B2152" s="6" t="str">
        <f>Angela_2025_Chase1117_Activity_!C2149</f>
        <v>A NOISE WITHIN 626-3563100 CA                01/28</v>
      </c>
      <c r="C2152" s="6" t="str">
        <f>Angela_2025_Chase1117_Activity_!G2149</f>
        <v>Personal - Entertainment</v>
      </c>
      <c r="D2152" s="12">
        <f>Angela_2025_Chase1117_Activity_!D2149</f>
        <v>-255</v>
      </c>
    </row>
    <row r="2153" spans="1:4" x14ac:dyDescent="0.25">
      <c r="A2153" s="26">
        <f>Angela_2025_Chase1117_Activity_!B2150</f>
        <v>45687</v>
      </c>
      <c r="B2153" s="6" t="str">
        <f>Angela_2025_Chase1117_Activity_!C2150</f>
        <v>ZARA USA PREOWNED WWW.ZARA.COM/ NY           01/29</v>
      </c>
      <c r="C2153" s="6" t="str">
        <f>Angela_2025_Chase1117_Activity_!G2150</f>
        <v>Personal - Shopping</v>
      </c>
      <c r="D2153" s="12">
        <f>Angela_2025_Chase1117_Activity_!D2150</f>
        <v>-325.2</v>
      </c>
    </row>
    <row r="2154" spans="1:4" x14ac:dyDescent="0.25">
      <c r="A2154" s="26">
        <f>Angela_2025_Chase1117_Activity_!B2151</f>
        <v>45687</v>
      </c>
      <c r="B2154" s="6" t="str">
        <f>Angela_2025_Chase1117_Activity_!C2151</f>
        <v>PALM SPRINGS TENNIS HO LAKE FOREST CA        01/27</v>
      </c>
      <c r="C2154" s="6" t="str">
        <f>Angela_2025_Chase1117_Activity_!G2151</f>
        <v>Palm Springs</v>
      </c>
      <c r="D2154" s="12">
        <f>Angela_2025_Chase1117_Activity_!D2151</f>
        <v>-231.5</v>
      </c>
    </row>
    <row r="2155" spans="1:4" x14ac:dyDescent="0.25">
      <c r="A2155" s="26">
        <f>Angela_2025_Chase1117_Activity_!B2152</f>
        <v>45687</v>
      </c>
      <c r="B2155" s="6" t="str">
        <f>Angela_2025_Chase1117_Activity_!C2152</f>
        <v>Online Transfer from CHK ...1168 transaction#: 23554260004</v>
      </c>
      <c r="C2155" s="6" t="str">
        <f>Angela_2025_Chase1117_Activity_!G2152</f>
        <v>Transfer from DWG Capital Group</v>
      </c>
      <c r="D2155" s="12">
        <f>Angela_2025_Chase1117_Activity_!D2152</f>
        <v>2000</v>
      </c>
    </row>
    <row r="2156" spans="1:4" x14ac:dyDescent="0.25">
      <c r="A2156" s="26">
        <f>Angela_2025_Chase1117_Activity_!B2153</f>
        <v>45686</v>
      </c>
      <c r="B2156" s="6" t="str">
        <f>Angela_2025_Chase1117_Activity_!C2153</f>
        <v>Patreon* Membership Internet CA              01/29</v>
      </c>
      <c r="C2156" s="6" t="str">
        <f>Angela_2025_Chase1117_Activity_!G2153</f>
        <v>Personal - Subscription</v>
      </c>
      <c r="D2156" s="12">
        <f>Angela_2025_Chase1117_Activity_!D2153</f>
        <v>-7.5</v>
      </c>
    </row>
    <row r="2157" spans="1:4" x14ac:dyDescent="0.25">
      <c r="A2157" s="26">
        <f>Angela_2025_Chase1117_Activity_!B2154</f>
        <v>45686</v>
      </c>
      <c r="B2157" s="6" t="str">
        <f>Angela_2025_Chase1117_Activity_!C2154</f>
        <v>CVSExtraCare 80074672 800-746-7287 RI        01/28</v>
      </c>
      <c r="C2157" s="6" t="str">
        <f>Angela_2025_Chase1117_Activity_!G2154</f>
        <v>Personal - Health</v>
      </c>
      <c r="D2157" s="12">
        <f>Angela_2025_Chase1117_Activity_!D2154</f>
        <v>-5.48</v>
      </c>
    </row>
    <row r="2158" spans="1:4" x14ac:dyDescent="0.25">
      <c r="A2158" s="26">
        <f>Angela_2025_Chase1117_Activity_!B2155</f>
        <v>45684</v>
      </c>
      <c r="B2158" s="6" t="str">
        <f>Angela_2025_Chase1117_Activity_!C2155</f>
        <v>Online Payment 23523601200 To SAFECO INSURANCE COMPANY 01/27</v>
      </c>
      <c r="C2158" s="6" t="str">
        <f>Angela_2025_Chase1117_Activity_!G2155</f>
        <v>Personal - House Bills</v>
      </c>
      <c r="D2158" s="12">
        <f>Angela_2025_Chase1117_Activity_!D2155</f>
        <v>-120</v>
      </c>
    </row>
    <row r="2159" spans="1:4" x14ac:dyDescent="0.25">
      <c r="A2159" s="26">
        <f>Angela_2025_Chase1117_Activity_!B2156</f>
        <v>45684</v>
      </c>
      <c r="B2159" s="6" t="str">
        <f>Angela_2025_Chase1117_Activity_!C2156</f>
        <v>Online Payment 23523581109 To AMERICAN EDUCATION SERVICES 01/27</v>
      </c>
      <c r="C2159" s="6" t="str">
        <f>Angela_2025_Chase1117_Activity_!G2156</f>
        <v>Personal - House Bills</v>
      </c>
      <c r="D2159" s="12">
        <f>Angela_2025_Chase1117_Activity_!D2156</f>
        <v>-320</v>
      </c>
    </row>
    <row r="2160" spans="1:4" x14ac:dyDescent="0.25">
      <c r="A2160" s="26">
        <f>Angela_2025_Chase1117_Activity_!B2157</f>
        <v>45684</v>
      </c>
      <c r="B2160" s="6" t="str">
        <f>Angela_2025_Chase1117_Activity_!C2157</f>
        <v>Online Payment 23523580346 To MERCEDES-BENZ FINANCIAL SERVICES 01/27</v>
      </c>
      <c r="C2160" s="6" t="str">
        <f>Angela_2025_Chase1117_Activity_!G2157</f>
        <v>Personal - House Bills</v>
      </c>
      <c r="D2160" s="12">
        <f>Angela_2025_Chase1117_Activity_!D2157</f>
        <v>-700</v>
      </c>
    </row>
    <row r="2161" spans="1:4" x14ac:dyDescent="0.25">
      <c r="A2161" s="26">
        <f>Angela_2025_Chase1117_Activity_!B2158</f>
        <v>45684</v>
      </c>
      <c r="B2161" s="6" t="str">
        <f>Angela_2025_Chase1117_Activity_!C2158</f>
        <v>Online Payment 23523590343 To FRONTIER TELEPHONE 01/27</v>
      </c>
      <c r="C2161" s="6" t="str">
        <f>Angela_2025_Chase1117_Activity_!G2158</f>
        <v>Personal - House Bills</v>
      </c>
      <c r="D2161" s="12">
        <f>Angela_2025_Chase1117_Activity_!D2158</f>
        <v>-300</v>
      </c>
    </row>
    <row r="2162" spans="1:4" x14ac:dyDescent="0.25">
      <c r="A2162" s="26">
        <f>Angela_2025_Chase1117_Activity_!B2159</f>
        <v>45684</v>
      </c>
      <c r="B2162" s="6" t="str">
        <f>Angela_2025_Chase1117_Activity_!C2159</f>
        <v>WHOLEFDS WLA 100 11666 LOS ANGELES CA547389  01/27</v>
      </c>
      <c r="C2162" s="6" t="str">
        <f>Angela_2025_Chase1117_Activity_!G2159</f>
        <v>Personal - Food</v>
      </c>
      <c r="D2162" s="12">
        <f>Angela_2025_Chase1117_Activity_!D2159</f>
        <v>-138.43</v>
      </c>
    </row>
    <row r="2163" spans="1:4" x14ac:dyDescent="0.25">
      <c r="A2163" s="26">
        <f>Angela_2025_Chase1117_Activity_!B2160</f>
        <v>45684</v>
      </c>
      <c r="B2163" s="6" t="str">
        <f>Angela_2025_Chase1117_Activity_!C2160</f>
        <v>TRADER JOE S #00 TRAD SANTA MONICA CA338580  01/27</v>
      </c>
      <c r="C2163" s="6" t="str">
        <f>Angela_2025_Chase1117_Activity_!G2160</f>
        <v>Personal - Food</v>
      </c>
      <c r="D2163" s="12">
        <f>Angela_2025_Chase1117_Activity_!D2160</f>
        <v>-304.61</v>
      </c>
    </row>
    <row r="2164" spans="1:4" x14ac:dyDescent="0.25">
      <c r="A2164" s="26">
        <f>Angela_2025_Chase1117_Activity_!B2161</f>
        <v>45684</v>
      </c>
      <c r="B2164" s="6" t="str">
        <f>Angela_2025_Chase1117_Activity_!C2161</f>
        <v>WWW.ACADEMYMUSEUM.ORG 132-39303000 CA        01/27</v>
      </c>
      <c r="C2164" s="6" t="str">
        <f>Angela_2025_Chase1117_Activity_!G2161</f>
        <v>Personal - Entertainment</v>
      </c>
      <c r="D2164" s="12">
        <f>Angela_2025_Chase1117_Activity_!D2161</f>
        <v>-100</v>
      </c>
    </row>
    <row r="2165" spans="1:4" x14ac:dyDescent="0.25">
      <c r="A2165" s="26">
        <f>Angela_2025_Chase1117_Activity_!B2162</f>
        <v>45684</v>
      </c>
      <c r="B2165" s="6" t="str">
        <f>Angela_2025_Chase1117_Activity_!C2162</f>
        <v>SPACEWEATHERNEWS.COM SPACEWEATHERN CO        01/26</v>
      </c>
      <c r="C2165" s="6" t="str">
        <f>Angela_2025_Chase1117_Activity_!G2162</f>
        <v>Personal - Subscription</v>
      </c>
      <c r="D2165" s="12">
        <f>Angela_2025_Chase1117_Activity_!D2162</f>
        <v>-5.99</v>
      </c>
    </row>
    <row r="2166" spans="1:4" x14ac:dyDescent="0.25">
      <c r="A2166" s="26">
        <f>Angela_2025_Chase1117_Activity_!B2163</f>
        <v>45684</v>
      </c>
      <c r="B2166" s="6" t="str">
        <f>Angela_2025_Chase1117_Activity_!C2163</f>
        <v>Prime Video Channels amzn.com/bill WA        01/26</v>
      </c>
      <c r="C2166" s="6" t="str">
        <f>Angela_2025_Chase1117_Activity_!G2163</f>
        <v>Amazon</v>
      </c>
      <c r="D2166" s="12">
        <f>Angela_2025_Chase1117_Activity_!D2163</f>
        <v>-6.99</v>
      </c>
    </row>
    <row r="2167" spans="1:4" x14ac:dyDescent="0.25">
      <c r="A2167" s="26">
        <f>Angela_2025_Chase1117_Activity_!B2164</f>
        <v>45684</v>
      </c>
      <c r="B2167" s="6" t="str">
        <f>Angela_2025_Chase1117_Activity_!C2164</f>
        <v>GELSON'S MARKET #29 SANTA MONICA CA  725901  01/25</v>
      </c>
      <c r="C2167" s="6" t="str">
        <f>Angela_2025_Chase1117_Activity_!G2164</f>
        <v>Personal - Food</v>
      </c>
      <c r="D2167" s="12">
        <f>Angela_2025_Chase1117_Activity_!D2164</f>
        <v>-151.21</v>
      </c>
    </row>
    <row r="2168" spans="1:4" x14ac:dyDescent="0.25">
      <c r="A2168" s="26">
        <f>Angela_2025_Chase1117_Activity_!B2165</f>
        <v>45684</v>
      </c>
      <c r="B2168" s="6" t="str">
        <f>Angela_2025_Chase1117_Activity_!C2165</f>
        <v>Amazon.com*ZC9NX9ZG0 Amzn.com/bill WA        01/26</v>
      </c>
      <c r="C2168" s="6" t="str">
        <f>Angela_2025_Chase1117_Activity_!G2165</f>
        <v>Amazon</v>
      </c>
      <c r="D2168" s="12">
        <f>Angela_2025_Chase1117_Activity_!D2165</f>
        <v>-35.869999999999997</v>
      </c>
    </row>
    <row r="2169" spans="1:4" x14ac:dyDescent="0.25">
      <c r="A2169" s="26">
        <f>Angela_2025_Chase1117_Activity_!B2166</f>
        <v>45684</v>
      </c>
      <c r="B2169" s="6" t="str">
        <f>Angela_2025_Chase1117_Activity_!C2166</f>
        <v>AMZN Mktp US*ZC2ES9L Amzn.com/bill WA        01/26</v>
      </c>
      <c r="C2169" s="6" t="str">
        <f>Angela_2025_Chase1117_Activity_!G2166</f>
        <v>Amazon</v>
      </c>
      <c r="D2169" s="12">
        <f>Angela_2025_Chase1117_Activity_!D2166</f>
        <v>-28.25</v>
      </c>
    </row>
    <row r="2170" spans="1:4" x14ac:dyDescent="0.25">
      <c r="A2170" s="26">
        <f>Angela_2025_Chase1117_Activity_!B2167</f>
        <v>45684</v>
      </c>
      <c r="B2170" s="6" t="str">
        <f>Angela_2025_Chase1117_Activity_!C2167</f>
        <v>LUKE UNFILTERED HTTPSWEARECHA FL             01/25</v>
      </c>
      <c r="C2170" s="6" t="str">
        <f>Angela_2025_Chase1117_Activity_!G2167</f>
        <v>Personal - Subscription</v>
      </c>
      <c r="D2170" s="12">
        <f>Angela_2025_Chase1117_Activity_!D2167</f>
        <v>-15</v>
      </c>
    </row>
    <row r="2171" spans="1:4" x14ac:dyDescent="0.25">
      <c r="A2171" s="26">
        <f>Angela_2025_Chase1117_Activity_!B2168</f>
        <v>45684</v>
      </c>
      <c r="B2171" s="6" t="str">
        <f>Angela_2025_Chase1117_Activity_!C2168</f>
        <v>Amazon Prime*ZG5EY1T Amzn.com/bill WA        01/24</v>
      </c>
      <c r="C2171" s="6" t="str">
        <f>Angela_2025_Chase1117_Activity_!G2168</f>
        <v>Amazon</v>
      </c>
      <c r="D2171" s="12">
        <f>Angela_2025_Chase1117_Activity_!D2168</f>
        <v>-16.41</v>
      </c>
    </row>
    <row r="2172" spans="1:4" x14ac:dyDescent="0.25">
      <c r="A2172" s="26">
        <f>Angela_2025_Chase1117_Activity_!B2169</f>
        <v>45684</v>
      </c>
      <c r="B2172" s="6" t="str">
        <f>Angela_2025_Chase1117_Activity_!C2169</f>
        <v>GRANDVIEW CLEANERS LOS ANGELES CA            01/24</v>
      </c>
      <c r="C2172" s="6" t="str">
        <f>Angela_2025_Chase1117_Activity_!G2169</f>
        <v>Personal - Clothing</v>
      </c>
      <c r="D2172" s="12">
        <f>Angela_2025_Chase1117_Activity_!D2169</f>
        <v>-65</v>
      </c>
    </row>
    <row r="2173" spans="1:4" x14ac:dyDescent="0.25">
      <c r="A2173" s="26">
        <f>Angela_2025_Chase1117_Activity_!B2170</f>
        <v>45684</v>
      </c>
      <c r="B2173" s="6" t="str">
        <f>Angela_2025_Chase1117_Activity_!C2170</f>
        <v>GOOGLE *Google One 855-836-3987 CA           01/25</v>
      </c>
      <c r="C2173" s="6" t="str">
        <f>Angela_2025_Chase1117_Activity_!G2170</f>
        <v>YouTube Premium</v>
      </c>
      <c r="D2173" s="12">
        <f>Angela_2025_Chase1117_Activity_!D2170</f>
        <v>-29.99</v>
      </c>
    </row>
    <row r="2174" spans="1:4" x14ac:dyDescent="0.25">
      <c r="A2174" s="26">
        <f>Angela_2025_Chase1117_Activity_!B2171</f>
        <v>45684</v>
      </c>
      <c r="B2174" s="6" t="str">
        <f>Angela_2025_Chase1117_Activity_!C2171</f>
        <v>ATT*BILL PAYMENT 800-288-2020 TX             01/24</v>
      </c>
      <c r="C2174" s="6" t="str">
        <f>Angela_2025_Chase1117_Activity_!G2171</f>
        <v>AT&amp;T</v>
      </c>
      <c r="D2174" s="12">
        <f>Angela_2025_Chase1117_Activity_!D2171</f>
        <v>-535.89</v>
      </c>
    </row>
    <row r="2175" spans="1:4" x14ac:dyDescent="0.25">
      <c r="A2175" s="26">
        <f>Angela_2025_Chase1117_Activity_!B2172</f>
        <v>45684</v>
      </c>
      <c r="B2175" s="6" t="str">
        <f>Angela_2025_Chase1117_Activity_!C2172</f>
        <v>APPLE.COM/BILL 866-712-7753 CA               01/24</v>
      </c>
      <c r="C2175" s="6" t="str">
        <f>Angela_2025_Chase1117_Activity_!G2172</f>
        <v>Apple</v>
      </c>
      <c r="D2175" s="12">
        <f>Angela_2025_Chase1117_Activity_!D2172</f>
        <v>-5.99</v>
      </c>
    </row>
    <row r="2176" spans="1:4" x14ac:dyDescent="0.25">
      <c r="A2176" s="26">
        <f>Angela_2025_Chase1117_Activity_!B2173</f>
        <v>45684</v>
      </c>
      <c r="B2176" s="6" t="str">
        <f>Angela_2025_Chase1117_Activity_!C2173</f>
        <v>Online Transfer from CHK ...1168 transaction#: 23523622078</v>
      </c>
      <c r="C2176" s="6" t="str">
        <f>Angela_2025_Chase1117_Activity_!G2173</f>
        <v>Transfer from DWG Capital Group</v>
      </c>
      <c r="D2176" s="12">
        <f>Angela_2025_Chase1117_Activity_!D2173</f>
        <v>1000</v>
      </c>
    </row>
    <row r="2177" spans="1:4" x14ac:dyDescent="0.25">
      <c r="A2177" s="26">
        <f>Angela_2025_Chase1117_Activity_!B2174</f>
        <v>45684</v>
      </c>
      <c r="B2177" s="6" t="str">
        <f>Angela_2025_Chase1117_Activity_!C2174</f>
        <v>Online Transfer from CHK ...1168 transaction#: 23523553903</v>
      </c>
      <c r="C2177" s="6" t="str">
        <f>Angela_2025_Chase1117_Activity_!G2174</f>
        <v>Transfer from DWG Capital Group</v>
      </c>
      <c r="D2177" s="12">
        <f>Angela_2025_Chase1117_Activity_!D2174</f>
        <v>1000</v>
      </c>
    </row>
    <row r="2178" spans="1:4" x14ac:dyDescent="0.25">
      <c r="A2178" s="26">
        <f>Angela_2025_Chase1117_Activity_!B2175</f>
        <v>45681</v>
      </c>
      <c r="B2178" s="6" t="str">
        <f>Angela_2025_Chase1117_Activity_!C2175</f>
        <v>CVS/PHARMACY #09493 MAR VISTA CA     040392  01/24</v>
      </c>
      <c r="C2178" s="6" t="str">
        <f>Angela_2025_Chase1117_Activity_!G2175</f>
        <v>Personal - Health</v>
      </c>
      <c r="D2178" s="12">
        <f>Angela_2025_Chase1117_Activity_!D2175</f>
        <v>-57.21</v>
      </c>
    </row>
    <row r="2179" spans="1:4" x14ac:dyDescent="0.25">
      <c r="A2179" s="26">
        <f>Angela_2025_Chase1117_Activity_!B2176</f>
        <v>45681</v>
      </c>
      <c r="B2179" s="6" t="str">
        <f>Angela_2025_Chase1117_Activity_!C2176</f>
        <v>CVS/PHARMACY #09493 MAR VISTA CA     047084  01/23</v>
      </c>
      <c r="C2179" s="6" t="str">
        <f>Angela_2025_Chase1117_Activity_!G2176</f>
        <v>Personal - Health</v>
      </c>
      <c r="D2179" s="12">
        <f>Angela_2025_Chase1117_Activity_!D2176</f>
        <v>-44.34</v>
      </c>
    </row>
    <row r="2180" spans="1:4" x14ac:dyDescent="0.25">
      <c r="A2180" s="26">
        <f>Angela_2025_Chase1117_Activity_!B2177</f>
        <v>45681</v>
      </c>
      <c r="B2180" s="6" t="str">
        <f>Angela_2025_Chase1117_Activity_!C2177</f>
        <v>TST*BLUEYS KITCHEN MAR Los Angeles CA        01/23</v>
      </c>
      <c r="C2180" s="6" t="str">
        <f>Angela_2025_Chase1117_Activity_!G2177</f>
        <v>Personal - Food</v>
      </c>
      <c r="D2180" s="12">
        <f>Angela_2025_Chase1117_Activity_!D2177</f>
        <v>-134.76</v>
      </c>
    </row>
    <row r="2181" spans="1:4" x14ac:dyDescent="0.25">
      <c r="A2181" s="26">
        <f>Angela_2025_Chase1117_Activity_!B2178</f>
        <v>45681</v>
      </c>
      <c r="B2181" s="6" t="str">
        <f>Angela_2025_Chase1117_Activity_!C2178</f>
        <v>APPLE.COM/BILL 866-712-7753 CA               01/24</v>
      </c>
      <c r="C2181" s="6" t="str">
        <f>Angela_2025_Chase1117_Activity_!G2178</f>
        <v>Apple</v>
      </c>
      <c r="D2181" s="12">
        <f>Angela_2025_Chase1117_Activity_!D2178</f>
        <v>-10.99</v>
      </c>
    </row>
    <row r="2182" spans="1:4" x14ac:dyDescent="0.25">
      <c r="A2182" s="26">
        <f>Angela_2025_Chase1117_Activity_!B2179</f>
        <v>45681</v>
      </c>
      <c r="B2182" s="6" t="str">
        <f>Angela_2025_Chase1117_Activity_!C2179</f>
        <v>ATM CHECK DEPOSIT 01/24 12335 VENICE BLVD LOS ANGELES CA</v>
      </c>
      <c r="C2182" s="6" t="str">
        <f>Angela_2025_Chase1117_Activity_!G2179</f>
        <v>Deposit</v>
      </c>
      <c r="D2182" s="12">
        <f>Angela_2025_Chase1117_Activity_!D2179</f>
        <v>1400</v>
      </c>
    </row>
    <row r="2183" spans="1:4" x14ac:dyDescent="0.25">
      <c r="A2183" s="26">
        <f>Angela_2025_Chase1117_Activity_!B2180</f>
        <v>45680</v>
      </c>
      <c r="B2183" s="6" t="str">
        <f>Angela_2025_Chase1117_Activity_!C2180</f>
        <v>LISA HO GUINAN, D.M. MARINA DEL RE CA242959  01/23</v>
      </c>
      <c r="C2183" s="6" t="str">
        <f>Angela_2025_Chase1117_Activity_!G2180</f>
        <v>Personal - Health</v>
      </c>
      <c r="D2183" s="12">
        <f>Angela_2025_Chase1117_Activity_!D2180</f>
        <v>-165</v>
      </c>
    </row>
    <row r="2184" spans="1:4" x14ac:dyDescent="0.25">
      <c r="A2184" s="26">
        <f>Angela_2025_Chase1117_Activity_!B2181</f>
        <v>45680</v>
      </c>
      <c r="B2184" s="6" t="str">
        <f>Angela_2025_Chase1117_Activity_!C2181</f>
        <v>PACOS TACOS LOS ANGELES CA                   01/22</v>
      </c>
      <c r="C2184" s="6" t="str">
        <f>Angela_2025_Chase1117_Activity_!G2181</f>
        <v>Personal - Food</v>
      </c>
      <c r="D2184" s="12">
        <f>Angela_2025_Chase1117_Activity_!D2181</f>
        <v>-123.72</v>
      </c>
    </row>
    <row r="2185" spans="1:4" x14ac:dyDescent="0.25">
      <c r="A2185" s="26">
        <f>Angela_2025_Chase1117_Activity_!B2182</f>
        <v>45680</v>
      </c>
      <c r="B2185" s="6" t="str">
        <f>Angela_2025_Chase1117_Activity_!C2182</f>
        <v>LAPHIL HWBOWL WEB 323-850-2000 CA            01/23</v>
      </c>
      <c r="C2185" s="6" t="str">
        <f>Angela_2025_Chase1117_Activity_!G2182</f>
        <v>Personal - Entertainment</v>
      </c>
      <c r="D2185" s="12">
        <f>Angela_2025_Chase1117_Activity_!D2182</f>
        <v>-122</v>
      </c>
    </row>
    <row r="2186" spans="1:4" x14ac:dyDescent="0.25">
      <c r="A2186" s="26">
        <f>Angela_2025_Chase1117_Activity_!B2183</f>
        <v>45680</v>
      </c>
      <c r="B2186" s="6" t="str">
        <f>Angela_2025_Chase1117_Activity_!C2183</f>
        <v>Zara.com 212-3551415 NY                      01/23</v>
      </c>
      <c r="C2186" s="6" t="str">
        <f>Angela_2025_Chase1117_Activity_!G2183</f>
        <v>Personal - Shopping</v>
      </c>
      <c r="D2186" s="12">
        <f>Angela_2025_Chase1117_Activity_!D2183</f>
        <v>-325.02</v>
      </c>
    </row>
    <row r="2187" spans="1:4" x14ac:dyDescent="0.25">
      <c r="A2187" s="26">
        <f>Angela_2025_Chase1117_Activity_!B2184</f>
        <v>45679</v>
      </c>
      <c r="B2187" s="6" t="str">
        <f>Angela_2025_Chase1117_Activity_!C2184</f>
        <v>CVS/PHARMACY #09493 MAR VISTA CA     009838  01/22</v>
      </c>
      <c r="C2187" s="6" t="str">
        <f>Angela_2025_Chase1117_Activity_!G2184</f>
        <v>Personal - Health</v>
      </c>
      <c r="D2187" s="12">
        <f>Angela_2025_Chase1117_Activity_!D2184</f>
        <v>-20.09</v>
      </c>
    </row>
    <row r="2188" spans="1:4" x14ac:dyDescent="0.25">
      <c r="A2188" s="26">
        <f>Angela_2025_Chase1117_Activity_!B2185</f>
        <v>45679</v>
      </c>
      <c r="B2188" s="6" t="str">
        <f>Angela_2025_Chase1117_Activity_!C2185</f>
        <v>Zelle payment to Aaron Frankel JPM99avoqs3c</v>
      </c>
      <c r="C2188" s="6" t="str">
        <f>Angela_2025_Chase1117_Activity_!G2185</f>
        <v>Zelle to Aaron Frankel</v>
      </c>
      <c r="D2188" s="12">
        <f>Angela_2025_Chase1117_Activity_!D2185</f>
        <v>-200</v>
      </c>
    </row>
    <row r="2189" spans="1:4" x14ac:dyDescent="0.25">
      <c r="A2189" s="26">
        <f>Angela_2025_Chase1117_Activity_!B2186</f>
        <v>45679</v>
      </c>
      <c r="B2189" s="6" t="str">
        <f>Angela_2025_Chase1117_Activity_!C2186</f>
        <v>CVS/PHARMACY #09493 MAR VISTA CA     048507  01/22</v>
      </c>
      <c r="C2189" s="6" t="str">
        <f>Angela_2025_Chase1117_Activity_!G2186</f>
        <v>Personal - Health</v>
      </c>
      <c r="D2189" s="12">
        <f>Angela_2025_Chase1117_Activity_!D2186</f>
        <v>-21.89</v>
      </c>
    </row>
    <row r="2190" spans="1:4" x14ac:dyDescent="0.25">
      <c r="A2190" s="26">
        <f>Angela_2025_Chase1117_Activity_!B2187</f>
        <v>45679</v>
      </c>
      <c r="B2190" s="6" t="str">
        <f>Angela_2025_Chase1117_Activity_!C2187</f>
        <v>AMAZON MKTPL*ZC3LC9G Amzn.com/bill WA        01/22</v>
      </c>
      <c r="C2190" s="6" t="str">
        <f>Angela_2025_Chase1117_Activity_!G2187</f>
        <v>Amazon</v>
      </c>
      <c r="D2190" s="12">
        <f>Angela_2025_Chase1117_Activity_!D2187</f>
        <v>-121.48</v>
      </c>
    </row>
    <row r="2191" spans="1:4" x14ac:dyDescent="0.25">
      <c r="A2191" s="26">
        <f>Angela_2025_Chase1117_Activity_!B2188</f>
        <v>45678</v>
      </c>
      <c r="B2191" s="6" t="str">
        <f>Angela_2025_Chase1117_Activity_!C2188</f>
        <v>GELSON'S MARKET #29 SANTA MONICA CA  915828  01/21</v>
      </c>
      <c r="C2191" s="6" t="str">
        <f>Angela_2025_Chase1117_Activity_!G2188</f>
        <v>Personal - Food</v>
      </c>
      <c r="D2191" s="12">
        <f>Angela_2025_Chase1117_Activity_!D2188</f>
        <v>-189.75</v>
      </c>
    </row>
    <row r="2192" spans="1:4" x14ac:dyDescent="0.25">
      <c r="A2192" s="26">
        <f>Angela_2025_Chase1117_Activity_!B2189</f>
        <v>45678</v>
      </c>
      <c r="B2192" s="6" t="str">
        <f>Angela_2025_Chase1117_Activity_!C2189</f>
        <v>AMAZON MKTPL*ZC4VM1T Amzn.com/bill WA        01/21</v>
      </c>
      <c r="C2192" s="6" t="str">
        <f>Angela_2025_Chase1117_Activity_!G2189</f>
        <v>Amazon</v>
      </c>
      <c r="D2192" s="12">
        <f>Angela_2025_Chase1117_Activity_!D2189</f>
        <v>-55.79</v>
      </c>
    </row>
    <row r="2193" spans="1:4" x14ac:dyDescent="0.25">
      <c r="A2193" s="26">
        <f>Angela_2025_Chase1117_Activity_!B2190</f>
        <v>45678</v>
      </c>
      <c r="B2193" s="6" t="str">
        <f>Angela_2025_Chase1117_Activity_!C2190</f>
        <v>GRANDVIEW CLEANERS LOS ANGELES CA            01/20</v>
      </c>
      <c r="C2193" s="6" t="str">
        <f>Angela_2025_Chase1117_Activity_!G2190</f>
        <v>Personal - Clothing</v>
      </c>
      <c r="D2193" s="12">
        <f>Angela_2025_Chase1117_Activity_!D2190</f>
        <v>-90</v>
      </c>
    </row>
    <row r="2194" spans="1:4" x14ac:dyDescent="0.25">
      <c r="A2194" s="26">
        <f>Angela_2025_Chase1117_Activity_!B2191</f>
        <v>45678</v>
      </c>
      <c r="B2194" s="6" t="str">
        <f>Angela_2025_Chase1117_Activity_!C2191</f>
        <v>WHOLEFDS WLA 100 11666 LOS ANGELES CA523028  01/20</v>
      </c>
      <c r="C2194" s="6" t="str">
        <f>Angela_2025_Chase1117_Activity_!G2191</f>
        <v>Personal - Food</v>
      </c>
      <c r="D2194" s="12">
        <f>Angela_2025_Chase1117_Activity_!D2191</f>
        <v>-28.96</v>
      </c>
    </row>
    <row r="2195" spans="1:4" x14ac:dyDescent="0.25">
      <c r="A2195" s="26">
        <f>Angela_2025_Chase1117_Activity_!B2192</f>
        <v>45678</v>
      </c>
      <c r="B2195" s="6" t="str">
        <f>Angela_2025_Chase1117_Activity_!C2192</f>
        <v>WHOLEFDS WLA 100 11666 LOS ANGELES CA928527  01/20</v>
      </c>
      <c r="C2195" s="6" t="str">
        <f>Angela_2025_Chase1117_Activity_!G2192</f>
        <v>Personal - Food</v>
      </c>
      <c r="D2195" s="12">
        <f>Angela_2025_Chase1117_Activity_!D2192</f>
        <v>-497.66</v>
      </c>
    </row>
    <row r="2196" spans="1:4" x14ac:dyDescent="0.25">
      <c r="A2196" s="26">
        <f>Angela_2025_Chase1117_Activity_!B2193</f>
        <v>45678</v>
      </c>
      <c r="B2196" s="6" t="str">
        <f>Angela_2025_Chase1117_Activity_!C2193</f>
        <v>NEXTLINK BROADBAND 855-6985465 TX            01/20</v>
      </c>
      <c r="C2196" s="6" t="str">
        <f>Angela_2025_Chase1117_Activity_!G2193</f>
        <v>Personal - House Bills</v>
      </c>
      <c r="D2196" s="12">
        <f>Angela_2025_Chase1117_Activity_!D2193</f>
        <v>-149.96</v>
      </c>
    </row>
    <row r="2197" spans="1:4" x14ac:dyDescent="0.25">
      <c r="A2197" s="26">
        <f>Angela_2025_Chase1117_Activity_!B2194</f>
        <v>45678</v>
      </c>
      <c r="B2197" s="6" t="str">
        <f>Angela_2025_Chase1117_Activity_!C2194</f>
        <v>AMAZON MKTPL*Z51TA85 Amzn.com/bill WA        01/20</v>
      </c>
      <c r="C2197" s="6" t="str">
        <f>Angela_2025_Chase1117_Activity_!G2194</f>
        <v>Amazon</v>
      </c>
      <c r="D2197" s="12">
        <f>Angela_2025_Chase1117_Activity_!D2194</f>
        <v>-345.94</v>
      </c>
    </row>
    <row r="2198" spans="1:4" x14ac:dyDescent="0.25">
      <c r="A2198" s="26">
        <f>Angela_2025_Chase1117_Activity_!B2195</f>
        <v>45678</v>
      </c>
      <c r="B2198" s="6" t="str">
        <f>Angela_2025_Chase1117_Activity_!C2195</f>
        <v>LAPHIL HWBOWL WEB 323-850-2000 CA            01/20</v>
      </c>
      <c r="C2198" s="6" t="str">
        <f>Angela_2025_Chase1117_Activity_!G2195</f>
        <v>Personal - Entertainment</v>
      </c>
      <c r="D2198" s="12">
        <f>Angela_2025_Chase1117_Activity_!D2195</f>
        <v>-610</v>
      </c>
    </row>
    <row r="2199" spans="1:4" x14ac:dyDescent="0.25">
      <c r="A2199" s="26">
        <f>Angela_2025_Chase1117_Activity_!B2196</f>
        <v>45678</v>
      </c>
      <c r="B2199" s="6" t="str">
        <f>Angela_2025_Chase1117_Activity_!C2196</f>
        <v>AMC 9640 ONLINE 888-440-4262 KS              01/19</v>
      </c>
      <c r="C2199" s="6" t="str">
        <f>Angela_2025_Chase1117_Activity_!G2196</f>
        <v>Personal - Entertainment</v>
      </c>
      <c r="D2199" s="12">
        <f>Angela_2025_Chase1117_Activity_!D2196</f>
        <v>-19.78</v>
      </c>
    </row>
    <row r="2200" spans="1:4" x14ac:dyDescent="0.25">
      <c r="A2200" s="26">
        <f>Angela_2025_Chase1117_Activity_!B2197</f>
        <v>45678</v>
      </c>
      <c r="B2200" s="6" t="str">
        <f>Angela_2025_Chase1117_Activity_!C2197</f>
        <v>A NOISE WITHIN 626-3563100 CA                01/19</v>
      </c>
      <c r="C2200" s="6" t="str">
        <f>Angela_2025_Chase1117_Activity_!G2197</f>
        <v>Personal - Entertainment</v>
      </c>
      <c r="D2200" s="12">
        <f>Angela_2025_Chase1117_Activity_!D2197</f>
        <v>-392.5</v>
      </c>
    </row>
    <row r="2201" spans="1:4" x14ac:dyDescent="0.25">
      <c r="A2201" s="26">
        <f>Angela_2025_Chase1117_Activity_!B2198</f>
        <v>45678</v>
      </c>
      <c r="B2201" s="6" t="str">
        <f>Angela_2025_Chase1117_Activity_!C2198</f>
        <v>AMC 9640 ONLINE 888-440-4262 KS              01/19</v>
      </c>
      <c r="C2201" s="6" t="str">
        <f>Angela_2025_Chase1117_Activity_!G2198</f>
        <v>Personal - Entertainment</v>
      </c>
      <c r="D2201" s="12">
        <f>Angela_2025_Chase1117_Activity_!D2198</f>
        <v>-39.56</v>
      </c>
    </row>
    <row r="2202" spans="1:4" x14ac:dyDescent="0.25">
      <c r="A2202" s="26">
        <f>Angela_2025_Chase1117_Activity_!B2199</f>
        <v>45678</v>
      </c>
      <c r="B2202" s="6" t="str">
        <f>Angela_2025_Chase1117_Activity_!C2199</f>
        <v>FOLLOW YOUR HEART MARK CANOGA PARK CA503898  01/18</v>
      </c>
      <c r="C2202" s="6" t="str">
        <f>Angela_2025_Chase1117_Activity_!G2199</f>
        <v>Personal - Food</v>
      </c>
      <c r="D2202" s="12">
        <f>Angela_2025_Chase1117_Activity_!D2199</f>
        <v>-667.53</v>
      </c>
    </row>
    <row r="2203" spans="1:4" x14ac:dyDescent="0.25">
      <c r="A2203" s="26">
        <f>Angela_2025_Chase1117_Activity_!B2200</f>
        <v>45678</v>
      </c>
      <c r="B2203" s="6" t="str">
        <f>Angela_2025_Chase1117_Activity_!C2200</f>
        <v>AMAZON MKTPL*Z514T4R Amzn.com/bill WA        01/18</v>
      </c>
      <c r="C2203" s="6" t="str">
        <f>Angela_2025_Chase1117_Activity_!G2200</f>
        <v>Amazon</v>
      </c>
      <c r="D2203" s="12">
        <f>Angela_2025_Chase1117_Activity_!D2200</f>
        <v>-120.34</v>
      </c>
    </row>
    <row r="2204" spans="1:4" x14ac:dyDescent="0.25">
      <c r="A2204" s="26">
        <f>Angela_2025_Chase1117_Activity_!B2201</f>
        <v>45678</v>
      </c>
      <c r="B2204" s="6" t="str">
        <f>Angela_2025_Chase1117_Activity_!C2201</f>
        <v>ANTHROPOLOGIE.COM ANTHROPOLOGIE PA           01/20</v>
      </c>
      <c r="C2204" s="6" t="str">
        <f>Angela_2025_Chase1117_Activity_!G2201</f>
        <v>Personal - Shopping</v>
      </c>
      <c r="D2204" s="12">
        <f>Angela_2025_Chase1117_Activity_!D2201</f>
        <v>-27.34</v>
      </c>
    </row>
    <row r="2205" spans="1:4" x14ac:dyDescent="0.25">
      <c r="A2205" s="26">
        <f>Angela_2025_Chase1117_Activity_!B2202</f>
        <v>45678</v>
      </c>
      <c r="B2205" s="6" t="str">
        <f>Angela_2025_Chase1117_Activity_!C2202</f>
        <v>ANTHROPOLOGIE.COM ANTHROPOLOGIE PA           01/19</v>
      </c>
      <c r="C2205" s="6" t="str">
        <f>Angela_2025_Chase1117_Activity_!G2202</f>
        <v>Personal - Shopping</v>
      </c>
      <c r="D2205" s="12">
        <f>Angela_2025_Chase1117_Activity_!D2202</f>
        <v>-199.15</v>
      </c>
    </row>
    <row r="2206" spans="1:4" x14ac:dyDescent="0.25">
      <c r="A2206" s="26">
        <f>Angela_2025_Chase1117_Activity_!B2203</f>
        <v>45678</v>
      </c>
      <c r="B2206" s="6" t="str">
        <f>Angela_2025_Chase1117_Activity_!C2203</f>
        <v>AMAZON MKTPL*Z56YE9R Amzn.com/bill WA        01/18</v>
      </c>
      <c r="C2206" s="6" t="str">
        <f>Angela_2025_Chase1117_Activity_!G2203</f>
        <v>Amazon</v>
      </c>
      <c r="D2206" s="12">
        <f>Angela_2025_Chase1117_Activity_!D2203</f>
        <v>-175.41</v>
      </c>
    </row>
    <row r="2207" spans="1:4" x14ac:dyDescent="0.25">
      <c r="A2207" s="26">
        <f>Angela_2025_Chase1117_Activity_!B2204</f>
        <v>45678</v>
      </c>
      <c r="B2207" s="6" t="str">
        <f>Angela_2025_Chase1117_Activity_!C2204</f>
        <v>AMZN Mktp US*Z542N0R Amzn.com/bill WA        01/18</v>
      </c>
      <c r="C2207" s="6" t="str">
        <f>Angela_2025_Chase1117_Activity_!G2204</f>
        <v>Amazon</v>
      </c>
      <c r="D2207" s="12">
        <f>Angela_2025_Chase1117_Activity_!D2204</f>
        <v>-137.93</v>
      </c>
    </row>
    <row r="2208" spans="1:4" x14ac:dyDescent="0.25">
      <c r="A2208" s="26">
        <f>Angela_2025_Chase1117_Activity_!B2205</f>
        <v>45678</v>
      </c>
      <c r="B2208" s="6" t="str">
        <f>Angela_2025_Chase1117_Activity_!C2205</f>
        <v>AMAZON MKTPL*ZG0D94K Amzn.com/bill WA        01/18</v>
      </c>
      <c r="C2208" s="6" t="str">
        <f>Angela_2025_Chase1117_Activity_!G2205</f>
        <v>Amazon</v>
      </c>
      <c r="D2208" s="12">
        <f>Angela_2025_Chase1117_Activity_!D2205</f>
        <v>-84.27</v>
      </c>
    </row>
    <row r="2209" spans="1:4" x14ac:dyDescent="0.25">
      <c r="A2209" s="26">
        <f>Angela_2025_Chase1117_Activity_!B2206</f>
        <v>45678</v>
      </c>
      <c r="B2209" s="6" t="str">
        <f>Angela_2025_Chase1117_Activity_!C2206</f>
        <v>Zelle payment from AILEEN SMOLLINS WFCT0YG85LK6</v>
      </c>
      <c r="C2209" s="6" t="str">
        <f>Angela_2025_Chase1117_Activity_!G2206</f>
        <v>Zelle from Aileen Smollins</v>
      </c>
      <c r="D2209" s="12">
        <f>Angela_2025_Chase1117_Activity_!D2206</f>
        <v>175</v>
      </c>
    </row>
    <row r="2210" spans="1:4" x14ac:dyDescent="0.25">
      <c r="A2210" s="26">
        <f>Angela_2025_Chase1117_Activity_!B2207</f>
        <v>45678</v>
      </c>
      <c r="B2210" s="6" t="str">
        <f>Angela_2025_Chase1117_Activity_!C2207</f>
        <v>Online Transfer from CHK ...1168 transaction#: 23450617971</v>
      </c>
      <c r="C2210" s="6" t="str">
        <f>Angela_2025_Chase1117_Activity_!G2207</f>
        <v>Transfer from DWG Capital Group</v>
      </c>
      <c r="D2210" s="12">
        <f>Angela_2025_Chase1117_Activity_!D2207</f>
        <v>2000</v>
      </c>
    </row>
    <row r="2211" spans="1:4" x14ac:dyDescent="0.25">
      <c r="A2211" s="26">
        <f>Angela_2025_Chase1117_Activity_!B2208</f>
        <v>45678</v>
      </c>
      <c r="B2211" s="6" t="str">
        <f>Angela_2025_Chase1117_Activity_!C2208</f>
        <v>Online Transfer from CHK ...1168 transaction#: 23439350713</v>
      </c>
      <c r="C2211" s="6" t="str">
        <f>Angela_2025_Chase1117_Activity_!G2208</f>
        <v>Transfer from DWG Capital Group</v>
      </c>
      <c r="D2211" s="12">
        <f>Angela_2025_Chase1117_Activity_!D2208</f>
        <v>2000</v>
      </c>
    </row>
    <row r="2212" spans="1:4" x14ac:dyDescent="0.25">
      <c r="A2212" s="26">
        <f>Angela_2025_Chase1117_Activity_!B2209</f>
        <v>45678</v>
      </c>
      <c r="B2212" s="6" t="str">
        <f>Angela_2025_Chase1117_Activity_!C2209</f>
        <v>ATM CHECK DEPOSIT 01/18 12335 VENICE BLVD LOS ANGELES CA</v>
      </c>
      <c r="C2212" s="6" t="str">
        <f>Angela_2025_Chase1117_Activity_!G2209</f>
        <v>Deposit</v>
      </c>
      <c r="D2212" s="12">
        <f>Angela_2025_Chase1117_Activity_!D2209</f>
        <v>175</v>
      </c>
    </row>
    <row r="2213" spans="1:4" x14ac:dyDescent="0.25">
      <c r="A2213" s="26">
        <f>Angela_2025_Chase1117_Activity_!B2210</f>
        <v>45674</v>
      </c>
      <c r="B2213" s="6" t="str">
        <f>Angela_2025_Chase1117_Activity_!C2210</f>
        <v>CVS/PHARMACY #09493 MAR VISTA CA     043728  01/17</v>
      </c>
      <c r="C2213" s="6" t="str">
        <f>Angela_2025_Chase1117_Activity_!G2210</f>
        <v>Personal - Health</v>
      </c>
      <c r="D2213" s="12">
        <f>Angela_2025_Chase1117_Activity_!D2210</f>
        <v>-101.51</v>
      </c>
    </row>
    <row r="2214" spans="1:4" x14ac:dyDescent="0.25">
      <c r="A2214" s="26">
        <f>Angela_2025_Chase1117_Activity_!B2211</f>
        <v>45674</v>
      </c>
      <c r="B2214" s="6" t="str">
        <f>Angela_2025_Chase1117_Activity_!C2211</f>
        <v>LADOT METER PARKING LOS ANGELES CA           01/16</v>
      </c>
      <c r="C2214" s="6" t="str">
        <f>Angela_2025_Chase1117_Activity_!G2211</f>
        <v>Personal - Car</v>
      </c>
      <c r="D2214" s="12">
        <f>Angela_2025_Chase1117_Activity_!D2211</f>
        <v>-2</v>
      </c>
    </row>
    <row r="2215" spans="1:4" x14ac:dyDescent="0.25">
      <c r="A2215" s="26">
        <f>Angela_2025_Chase1117_Activity_!B2212</f>
        <v>45674</v>
      </c>
      <c r="B2215" s="6" t="str">
        <f>Angela_2025_Chase1117_Activity_!C2212</f>
        <v>MED*DEERFIELD PLAINS 682-284-1911 TX         01/17</v>
      </c>
      <c r="C2215" s="6" t="str">
        <f>Angela_2025_Chase1117_Activity_!G2212</f>
        <v>Personal - Health</v>
      </c>
      <c r="D2215" s="12">
        <f>Angela_2025_Chase1117_Activity_!D2212</f>
        <v>-200</v>
      </c>
    </row>
    <row r="2216" spans="1:4" x14ac:dyDescent="0.25">
      <c r="A2216" s="26">
        <f>Angela_2025_Chase1117_Activity_!B2213</f>
        <v>45674</v>
      </c>
      <c r="B2216" s="6" t="str">
        <f>Angela_2025_Chase1117_Activity_!C2213</f>
        <v>QDI*QUEST DIAGNOSTICS 800-758-6047 CA        01/17</v>
      </c>
      <c r="C2216" s="6" t="str">
        <f>Angela_2025_Chase1117_Activity_!G2213</f>
        <v>Personal - Health</v>
      </c>
      <c r="D2216" s="12">
        <f>Angela_2025_Chase1117_Activity_!D2213</f>
        <v>-40</v>
      </c>
    </row>
    <row r="2217" spans="1:4" x14ac:dyDescent="0.25">
      <c r="A2217" s="26">
        <f>Angela_2025_Chase1117_Activity_!B2214</f>
        <v>45673</v>
      </c>
      <c r="B2217" s="6" t="str">
        <f>Angela_2025_Chase1117_Activity_!C2214</f>
        <v>DBA DELEK ENTERP LOS ANGELES CA      711849  01/16</v>
      </c>
      <c r="C2217" s="6" t="str">
        <f>Angela_2025_Chase1117_Activity_!G2214</f>
        <v>Personal - Car</v>
      </c>
      <c r="D2217" s="12">
        <f>Angela_2025_Chase1117_Activity_!D2214</f>
        <v>-56.81</v>
      </c>
    </row>
    <row r="2218" spans="1:4" x14ac:dyDescent="0.25">
      <c r="A2218" s="26">
        <f>Angela_2025_Chase1117_Activity_!B2215</f>
        <v>45673</v>
      </c>
      <c r="B2218" s="6" t="str">
        <f>Angela_2025_Chase1117_Activity_!C2215</f>
        <v>LADOT PARKING CITATION LOS ANGELES CA104903  01/16</v>
      </c>
      <c r="C2218" s="6" t="str">
        <f>Angela_2025_Chase1117_Activity_!G2215</f>
        <v>Personal - Car</v>
      </c>
      <c r="D2218" s="12">
        <f>Angela_2025_Chase1117_Activity_!D2215</f>
        <v>-79</v>
      </c>
    </row>
    <row r="2219" spans="1:4" x14ac:dyDescent="0.25">
      <c r="A2219" s="26">
        <f>Angela_2025_Chase1117_Activity_!B2216</f>
        <v>45673</v>
      </c>
      <c r="B2219" s="6" t="str">
        <f>Angela_2025_Chase1117_Activity_!C2216</f>
        <v>TST*BLUEYS KITCHEN MAR Los Angeles CA        01/15</v>
      </c>
      <c r="C2219" s="6" t="str">
        <f>Angela_2025_Chase1117_Activity_!G2216</f>
        <v>Personal - Food</v>
      </c>
      <c r="D2219" s="12">
        <f>Angela_2025_Chase1117_Activity_!D2216</f>
        <v>-136.22999999999999</v>
      </c>
    </row>
    <row r="2220" spans="1:4" x14ac:dyDescent="0.25">
      <c r="A2220" s="26">
        <f>Angela_2025_Chase1117_Activity_!B2217</f>
        <v>45673</v>
      </c>
      <c r="B2220" s="6" t="str">
        <f>Angela_2025_Chase1117_Activity_!C2217</f>
        <v>Zara.com New York NY                         01/16</v>
      </c>
      <c r="C2220" s="6" t="str">
        <f>Angela_2025_Chase1117_Activity_!G2217</f>
        <v>Personal - Shopping</v>
      </c>
      <c r="D2220" s="12">
        <f>Angela_2025_Chase1117_Activity_!D2217</f>
        <v>-417.17</v>
      </c>
    </row>
    <row r="2221" spans="1:4" x14ac:dyDescent="0.25">
      <c r="A2221" s="26">
        <f>Angela_2025_Chase1117_Activity_!B2218</f>
        <v>45672</v>
      </c>
      <c r="B2221" s="6" t="str">
        <f>Angela_2025_Chase1117_Activity_!C2218</f>
        <v>Prime Video Channels amzn.com/bill WA        01/14</v>
      </c>
      <c r="C2221" s="6" t="str">
        <f>Angela_2025_Chase1117_Activity_!G2218</f>
        <v>Amazon</v>
      </c>
      <c r="D2221" s="12">
        <f>Angela_2025_Chase1117_Activity_!D2218</f>
        <v>-16.989999999999998</v>
      </c>
    </row>
    <row r="2222" spans="1:4" x14ac:dyDescent="0.25">
      <c r="A2222" s="26">
        <f>Angela_2025_Chase1117_Activity_!B2219</f>
        <v>45672</v>
      </c>
      <c r="B2222" s="6" t="str">
        <f>Angela_2025_Chase1117_Activity_!C2219</f>
        <v>APPLE.COM/BILL 866-712-7753 CA               01/14</v>
      </c>
      <c r="C2222" s="6" t="str">
        <f>Angela_2025_Chase1117_Activity_!G2219</f>
        <v>Apple</v>
      </c>
      <c r="D2222" s="12">
        <f>Angela_2025_Chase1117_Activity_!D2219</f>
        <v>-59.99</v>
      </c>
    </row>
    <row r="2223" spans="1:4" x14ac:dyDescent="0.25">
      <c r="A2223" s="26">
        <f>Angela_2025_Chase1117_Activity_!B2220</f>
        <v>45672</v>
      </c>
      <c r="B2223" s="6" t="str">
        <f>Angela_2025_Chase1117_Activity_!C2220</f>
        <v>Online Transfer from CHK ...1168 transaction#: 23396403832</v>
      </c>
      <c r="C2223" s="6" t="str">
        <f>Angela_2025_Chase1117_Activity_!G2220</f>
        <v>Transfer from DWG Capital Group</v>
      </c>
      <c r="D2223" s="12">
        <f>Angela_2025_Chase1117_Activity_!D2220</f>
        <v>3000</v>
      </c>
    </row>
    <row r="2224" spans="1:4" x14ac:dyDescent="0.25">
      <c r="A2224" s="26">
        <f>Angela_2025_Chase1117_Activity_!B2221</f>
        <v>45671</v>
      </c>
      <c r="B2224" s="6" t="str">
        <f>Angela_2025_Chase1117_Activity_!C2221</f>
        <v>OVERDRAFT FEE FOR A $385.77 CARD PURCHASE WITH PIN - DETAILS: 6014050113WHOLEFDS PLV #10 12746 PLAYA VISTA CA0############7494                                                                                           07</v>
      </c>
      <c r="C2224" s="6" t="str">
        <f>Angela_2025_Chase1117_Activity_!G2221</f>
        <v>Personal - Food</v>
      </c>
      <c r="D2224" s="12">
        <f>Angela_2025_Chase1117_Activity_!D2221</f>
        <v>-34</v>
      </c>
    </row>
    <row r="2225" spans="1:4" x14ac:dyDescent="0.25">
      <c r="A2225" s="26">
        <f>Angela_2025_Chase1117_Activity_!B2222</f>
        <v>45671</v>
      </c>
      <c r="B2225" s="6" t="str">
        <f>Angela_2025_Chase1117_Activity_!C2222</f>
        <v>Amazon Prime*Z577L1E Amzn.com/bill WA        01/14</v>
      </c>
      <c r="C2225" s="6" t="str">
        <f>Angela_2025_Chase1117_Activity_!G2222</f>
        <v>Amazon</v>
      </c>
      <c r="D2225" s="12">
        <f>Angela_2025_Chase1117_Activity_!D2222</f>
        <v>-16.41</v>
      </c>
    </row>
    <row r="2226" spans="1:4" x14ac:dyDescent="0.25">
      <c r="A2226" s="26">
        <f>Angela_2025_Chase1117_Activity_!B2223</f>
        <v>45671</v>
      </c>
      <c r="B2226" s="6" t="str">
        <f>Angela_2025_Chase1117_Activity_!C2223</f>
        <v>B&amp;H LOT #4 MARINA DEL RE CA                  01/13</v>
      </c>
      <c r="C2226" s="6" t="str">
        <f>Angela_2025_Chase1117_Activity_!G2223</f>
        <v>Personal - Car</v>
      </c>
      <c r="D2226" s="12">
        <f>Angela_2025_Chase1117_Activity_!D2223</f>
        <v>-2</v>
      </c>
    </row>
    <row r="2227" spans="1:4" x14ac:dyDescent="0.25">
      <c r="A2227" s="26">
        <f>Angela_2025_Chase1117_Activity_!B2224</f>
        <v>45670</v>
      </c>
      <c r="B2227" s="6" t="str">
        <f>Angela_2025_Chase1117_Activity_!C2224</f>
        <v>WHOLEFDS PLV #10 12746 PLAYA VISTA CA601405  01/13</v>
      </c>
      <c r="C2227" s="6" t="str">
        <f>Angela_2025_Chase1117_Activity_!G2224</f>
        <v>Personal - Food</v>
      </c>
      <c r="D2227" s="12">
        <f>Angela_2025_Chase1117_Activity_!D2224</f>
        <v>-385.77</v>
      </c>
    </row>
    <row r="2228" spans="1:4" x14ac:dyDescent="0.25">
      <c r="A2228" s="26">
        <f>Angela_2025_Chase1117_Activity_!B2225</f>
        <v>45670</v>
      </c>
      <c r="B2228" s="6" t="str">
        <f>Angela_2025_Chase1117_Activity_!C2225</f>
        <v>TRADER JOE S #20 TRA MARINA DEL RE CA222120  01/13</v>
      </c>
      <c r="C2228" s="6" t="str">
        <f>Angela_2025_Chase1117_Activity_!G2225</f>
        <v>Personal - Food</v>
      </c>
      <c r="D2228" s="12">
        <f>Angela_2025_Chase1117_Activity_!D2225</f>
        <v>-290.7</v>
      </c>
    </row>
    <row r="2229" spans="1:4" x14ac:dyDescent="0.25">
      <c r="A2229" s="26">
        <f>Angela_2025_Chase1117_Activity_!B2226</f>
        <v>45670</v>
      </c>
      <c r="B2229" s="6" t="str">
        <f>Angela_2025_Chase1117_Activity_!C2226</f>
        <v>AMC 9640 ONLINE 888-440-4262 KS              01/13</v>
      </c>
      <c r="C2229" s="6" t="str">
        <f>Angela_2025_Chase1117_Activity_!G2226</f>
        <v>Personal - Entertainment</v>
      </c>
      <c r="D2229" s="12">
        <f>Angela_2025_Chase1117_Activity_!D2226</f>
        <v>-47.36</v>
      </c>
    </row>
    <row r="2230" spans="1:4" x14ac:dyDescent="0.25">
      <c r="A2230" s="26">
        <f>Angela_2025_Chase1117_Activity_!B2227</f>
        <v>45670</v>
      </c>
      <c r="B2230" s="6" t="str">
        <f>Angela_2025_Chase1117_Activity_!C2227</f>
        <v>Zara.com 212-3551415 NY                      01/13</v>
      </c>
      <c r="C2230" s="6" t="str">
        <f>Angela_2025_Chase1117_Activity_!G2227</f>
        <v>Personal - Shopping</v>
      </c>
      <c r="D2230" s="12">
        <f>Angela_2025_Chase1117_Activity_!D2227</f>
        <v>-141.27000000000001</v>
      </c>
    </row>
    <row r="2231" spans="1:4" x14ac:dyDescent="0.25">
      <c r="A2231" s="26">
        <f>Angela_2025_Chase1117_Activity_!B2228</f>
        <v>45670</v>
      </c>
      <c r="B2231" s="6" t="str">
        <f>Angela_2025_Chase1117_Activity_!C2228</f>
        <v>UNITED      01644643573 UNITED.COM TX        01/12</v>
      </c>
      <c r="C2231" s="6" t="str">
        <f>Angela_2025_Chase1117_Activity_!G2228</f>
        <v>Personal Travel</v>
      </c>
      <c r="D2231" s="12">
        <f>Angela_2025_Chase1117_Activity_!D2228</f>
        <v>-22.99</v>
      </c>
    </row>
    <row r="2232" spans="1:4" x14ac:dyDescent="0.25">
      <c r="A2232" s="26">
        <f>Angela_2025_Chase1117_Activity_!B2229</f>
        <v>45670</v>
      </c>
      <c r="B2232" s="6" t="str">
        <f>Angela_2025_Chase1117_Activity_!C2229</f>
        <v>UNITED      01644643573 UNITED.COM TX        01/12</v>
      </c>
      <c r="C2232" s="6" t="str">
        <f>Angela_2025_Chase1117_Activity_!G2229</f>
        <v>Personal Travel</v>
      </c>
      <c r="D2232" s="12">
        <f>Angela_2025_Chase1117_Activity_!D2229</f>
        <v>-22.99</v>
      </c>
    </row>
    <row r="2233" spans="1:4" x14ac:dyDescent="0.25">
      <c r="A2233" s="26">
        <f>Angela_2025_Chase1117_Activity_!B2230</f>
        <v>45670</v>
      </c>
      <c r="B2233" s="6" t="str">
        <f>Angela_2025_Chase1117_Activity_!C2230</f>
        <v>UNITED      01624506907 UNITED.COM TX        01/12</v>
      </c>
      <c r="C2233" s="6" t="str">
        <f>Angela_2025_Chase1117_Activity_!G2230</f>
        <v>Personal Travel</v>
      </c>
      <c r="D2233" s="12">
        <f>Angela_2025_Chase1117_Activity_!D2230</f>
        <v>-306.95999999999998</v>
      </c>
    </row>
    <row r="2234" spans="1:4" x14ac:dyDescent="0.25">
      <c r="A2234" s="26">
        <f>Angela_2025_Chase1117_Activity_!B2231</f>
        <v>45670</v>
      </c>
      <c r="B2234" s="6" t="str">
        <f>Angela_2025_Chase1117_Activity_!C2231</f>
        <v>UBER EATS* EATS SAN FRANCISCO CA     607552  01/11</v>
      </c>
      <c r="C2234" s="6" t="str">
        <f>Angela_2025_Chase1117_Activity_!G2231</f>
        <v>Uber Eats</v>
      </c>
      <c r="D2234" s="12">
        <f>Angela_2025_Chase1117_Activity_!D2231</f>
        <v>-94.96</v>
      </c>
    </row>
    <row r="2235" spans="1:4" x14ac:dyDescent="0.25">
      <c r="A2235" s="26">
        <f>Angela_2025_Chase1117_Activity_!B2232</f>
        <v>45670</v>
      </c>
      <c r="B2235" s="6" t="str">
        <f>Angela_2025_Chase1117_Activity_!C2232</f>
        <v>Zelle payment to Aaron Frankel JPM99aumd5gu</v>
      </c>
      <c r="C2235" s="6" t="str">
        <f>Angela_2025_Chase1117_Activity_!G2232</f>
        <v>Zelle to Aaron Frankel</v>
      </c>
      <c r="D2235" s="12">
        <f>Angela_2025_Chase1117_Activity_!D2232</f>
        <v>-200</v>
      </c>
    </row>
    <row r="2236" spans="1:4" x14ac:dyDescent="0.25">
      <c r="A2236" s="26">
        <f>Angela_2025_Chase1117_Activity_!B2233</f>
        <v>45670</v>
      </c>
      <c r="B2236" s="6" t="str">
        <f>Angela_2025_Chase1117_Activity_!C2233</f>
        <v>GRANDVIEW CLEANERS LOS ANGELES CA            01/10</v>
      </c>
      <c r="C2236" s="6" t="str">
        <f>Angela_2025_Chase1117_Activity_!G2233</f>
        <v>Personal - Clothing</v>
      </c>
      <c r="D2236" s="12">
        <f>Angela_2025_Chase1117_Activity_!D2233</f>
        <v>-145</v>
      </c>
    </row>
    <row r="2237" spans="1:4" x14ac:dyDescent="0.25">
      <c r="A2237" s="26">
        <f>Angela_2025_Chase1117_Activity_!B2234</f>
        <v>45670</v>
      </c>
      <c r="B2237" s="6" t="str">
        <f>Angela_2025_Chase1117_Activity_!C2234</f>
        <v>SQ *KREATION ORGANIC Marina del Re CA        01/10</v>
      </c>
      <c r="C2237" s="6" t="str">
        <f>Angela_2025_Chase1117_Activity_!G2234</f>
        <v>Personal - Food</v>
      </c>
      <c r="D2237" s="12">
        <f>Angela_2025_Chase1117_Activity_!D2234</f>
        <v>-546.12</v>
      </c>
    </row>
    <row r="2238" spans="1:4" x14ac:dyDescent="0.25">
      <c r="A2238" s="26">
        <f>Angela_2025_Chase1117_Activity_!B2235</f>
        <v>45670</v>
      </c>
      <c r="B2238" s="6" t="str">
        <f>Angela_2025_Chase1117_Activity_!C2235</f>
        <v>AMC 9640 ONLINE 888-440-4262 KS              01/11</v>
      </c>
      <c r="C2238" s="6" t="str">
        <f>Angela_2025_Chase1117_Activity_!G2235</f>
        <v>Personal - Entertainment</v>
      </c>
      <c r="D2238" s="12">
        <f>Angela_2025_Chase1117_Activity_!D2235</f>
        <v>-34.36</v>
      </c>
    </row>
    <row r="2239" spans="1:4" x14ac:dyDescent="0.25">
      <c r="A2239" s="26">
        <f>Angela_2025_Chase1117_Activity_!B2236</f>
        <v>45670</v>
      </c>
      <c r="B2239" s="6" t="str">
        <f>Angela_2025_Chase1117_Activity_!C2236</f>
        <v>Zara.com New York NY                         01/11</v>
      </c>
      <c r="C2239" s="6" t="str">
        <f>Angela_2025_Chase1117_Activity_!G2236</f>
        <v>Personal - Shopping</v>
      </c>
      <c r="D2239" s="12">
        <f>Angela_2025_Chase1117_Activity_!D2236</f>
        <v>-468.56</v>
      </c>
    </row>
    <row r="2240" spans="1:4" x14ac:dyDescent="0.25">
      <c r="A2240" s="26">
        <f>Angela_2025_Chase1117_Activity_!B2237</f>
        <v>45667</v>
      </c>
      <c r="B2240" s="6" t="str">
        <f>Angela_2025_Chase1117_Activity_!C2237</f>
        <v>UBER EATS* EATS SAN FRANCISCO CA     558419  01/09</v>
      </c>
      <c r="C2240" s="6" t="str">
        <f>Angela_2025_Chase1117_Activity_!G2237</f>
        <v>Uber Eats</v>
      </c>
      <c r="D2240" s="12">
        <f>Angela_2025_Chase1117_Activity_!D2237</f>
        <v>-123.43</v>
      </c>
    </row>
    <row r="2241" spans="1:4" x14ac:dyDescent="0.25">
      <c r="A2241" s="26">
        <f>Angela_2025_Chase1117_Activity_!B2238</f>
        <v>45667</v>
      </c>
      <c r="B2241" s="6" t="str">
        <f>Angela_2025_Chase1117_Activity_!C2238</f>
        <v>APPLE.COM/BILL 866-712-7753 CA               01/10</v>
      </c>
      <c r="C2241" s="6" t="str">
        <f>Angela_2025_Chase1117_Activity_!G2238</f>
        <v>Apple</v>
      </c>
      <c r="D2241" s="12">
        <f>Angela_2025_Chase1117_Activity_!D2238</f>
        <v>-12.99</v>
      </c>
    </row>
    <row r="2242" spans="1:4" x14ac:dyDescent="0.25">
      <c r="A2242" s="26">
        <f>Angela_2025_Chase1117_Activity_!B2239</f>
        <v>45667</v>
      </c>
      <c r="B2242" s="6" t="str">
        <f>Angela_2025_Chase1117_Activity_!C2239</f>
        <v>CONSCIOUSLY ELEVATED L 181-4312401 TX        01/10</v>
      </c>
      <c r="C2242" s="6" t="str">
        <f>Angela_2025_Chase1117_Activity_!G2239</f>
        <v>Personal - Subscription</v>
      </c>
      <c r="D2242" s="12">
        <f>Angela_2025_Chase1117_Activity_!D2239</f>
        <v>-74.98</v>
      </c>
    </row>
    <row r="2243" spans="1:4" x14ac:dyDescent="0.25">
      <c r="A2243" s="26">
        <f>Angela_2025_Chase1117_Activity_!B2240</f>
        <v>45667</v>
      </c>
      <c r="B2243" s="6" t="str">
        <f>Angela_2025_Chase1117_Activity_!C2240</f>
        <v>Online Transfer from CHK ...1168 transaction#: 23337021115</v>
      </c>
      <c r="C2243" s="6" t="str">
        <f>Angela_2025_Chase1117_Activity_!G2240</f>
        <v>Transfer from DWG Capital Group</v>
      </c>
      <c r="D2243" s="12">
        <f>Angela_2025_Chase1117_Activity_!D2240</f>
        <v>2000</v>
      </c>
    </row>
    <row r="2244" spans="1:4" x14ac:dyDescent="0.25">
      <c r="A2244" s="26">
        <f>Angela_2025_Chase1117_Activity_!B2241</f>
        <v>45666</v>
      </c>
      <c r="B2244" s="6" t="str">
        <f>Angela_2025_Chase1117_Activity_!C2241</f>
        <v>THE HOME DEPOT #6611 LOS ANGELES CA  579191  01/09</v>
      </c>
      <c r="C2244" s="6" t="str">
        <f>Angela_2025_Chase1117_Activity_!G2241</f>
        <v>Personal - Shopping</v>
      </c>
      <c r="D2244" s="12">
        <f>Angela_2025_Chase1117_Activity_!D2241</f>
        <v>-237.68</v>
      </c>
    </row>
    <row r="2245" spans="1:4" x14ac:dyDescent="0.25">
      <c r="A2245" s="26">
        <f>Angela_2025_Chase1117_Activity_!B2242</f>
        <v>45666</v>
      </c>
      <c r="B2245" s="6" t="str">
        <f>Angela_2025_Chase1117_Activity_!C2242</f>
        <v>WHOLEFDS PIC #10 2121 SANTA MONICA CA031993  01/09</v>
      </c>
      <c r="C2245" s="6" t="str">
        <f>Angela_2025_Chase1117_Activity_!G2242</f>
        <v>Personal - Food</v>
      </c>
      <c r="D2245" s="12">
        <f>Angela_2025_Chase1117_Activity_!D2242</f>
        <v>-319.14999999999998</v>
      </c>
    </row>
    <row r="2246" spans="1:4" x14ac:dyDescent="0.25">
      <c r="A2246" s="26">
        <f>Angela_2025_Chase1117_Activity_!B2243</f>
        <v>45666</v>
      </c>
      <c r="B2246" s="6" t="str">
        <f>Angela_2025_Chase1117_Activity_!C2243</f>
        <v>GELSON'S MARKET #29 SANTA MONICA CA  183942  01/09</v>
      </c>
      <c r="C2246" s="6" t="str">
        <f>Angela_2025_Chase1117_Activity_!G2243</f>
        <v>Personal - Food</v>
      </c>
      <c r="D2246" s="12">
        <f>Angela_2025_Chase1117_Activity_!D2243</f>
        <v>-67.2</v>
      </c>
    </row>
    <row r="2247" spans="1:4" x14ac:dyDescent="0.25">
      <c r="A2247" s="26">
        <f>Angela_2025_Chase1117_Activity_!B2244</f>
        <v>45666</v>
      </c>
      <c r="B2247" s="6" t="str">
        <f>Angela_2025_Chase1117_Activity_!C2244</f>
        <v>UBER   * EATS PENDIN SAN FRANCISCO CA025248  01/09</v>
      </c>
      <c r="C2247" s="6" t="str">
        <f>Angela_2025_Chase1117_Activity_!G2244</f>
        <v>Uber Eats</v>
      </c>
      <c r="D2247" s="12">
        <f>Angela_2025_Chase1117_Activity_!D2244</f>
        <v>-48.16</v>
      </c>
    </row>
    <row r="2248" spans="1:4" x14ac:dyDescent="0.25">
      <c r="A2248" s="26">
        <f>Angela_2025_Chase1117_Activity_!B2245</f>
        <v>45666</v>
      </c>
      <c r="B2248" s="6" t="str">
        <f>Angela_2025_Chase1117_Activity_!C2245</f>
        <v>UBER   * PENDING SAN FRANCISCO CA    022252  01/08</v>
      </c>
      <c r="C2248" s="6" t="str">
        <f>Angela_2025_Chase1117_Activity_!G2245</f>
        <v>Personal - Uber</v>
      </c>
      <c r="D2248" s="12">
        <f>Angela_2025_Chase1117_Activity_!D2245</f>
        <v>-55.77</v>
      </c>
    </row>
    <row r="2249" spans="1:4" x14ac:dyDescent="0.25">
      <c r="A2249" s="26">
        <f>Angela_2025_Chase1117_Activity_!B2246</f>
        <v>45666</v>
      </c>
      <c r="B2249" s="6" t="str">
        <f>Angela_2025_Chase1117_Activity_!C2246</f>
        <v>CPH LIABILITY INSURAN 800-875-1911 IL        01/09</v>
      </c>
      <c r="C2249" s="6" t="str">
        <f>Angela_2025_Chase1117_Activity_!G2246</f>
        <v>Personal - Work</v>
      </c>
      <c r="D2249" s="12">
        <f>Angela_2025_Chase1117_Activity_!D2246</f>
        <v>-769</v>
      </c>
    </row>
    <row r="2250" spans="1:4" x14ac:dyDescent="0.25">
      <c r="A2250" s="26">
        <f>Angela_2025_Chase1117_Activity_!B2247</f>
        <v>45666</v>
      </c>
      <c r="B2250" s="6" t="str">
        <f>Angela_2025_Chase1117_Activity_!C2247</f>
        <v>UBER   * EATS PENDIN SAN FRANCISCO CA362529  01/08</v>
      </c>
      <c r="C2250" s="6" t="str">
        <f>Angela_2025_Chase1117_Activity_!G2247</f>
        <v>Uber Eats</v>
      </c>
      <c r="D2250" s="12">
        <f>Angela_2025_Chase1117_Activity_!D2247</f>
        <v>-156.69999999999999</v>
      </c>
    </row>
    <row r="2251" spans="1:4" x14ac:dyDescent="0.25">
      <c r="A2251" s="26">
        <f>Angela_2025_Chase1117_Activity_!B2248</f>
        <v>45666</v>
      </c>
      <c r="B2251" s="6" t="str">
        <f>Angela_2025_Chase1117_Activity_!C2248</f>
        <v>Zelle payment from EUNICE G CHANG 23333375876</v>
      </c>
      <c r="C2251" s="6" t="str">
        <f>Angela_2025_Chase1117_Activity_!G2248</f>
        <v>Zelle from Eunice G Chang</v>
      </c>
      <c r="D2251" s="12">
        <f>Angela_2025_Chase1117_Activity_!D2248</f>
        <v>175</v>
      </c>
    </row>
    <row r="2252" spans="1:4" x14ac:dyDescent="0.25">
      <c r="A2252" s="26">
        <f>Angela_2025_Chase1117_Activity_!B2249</f>
        <v>45665</v>
      </c>
      <c r="B2252" s="6" t="str">
        <f>Angela_2025_Chase1117_Activity_!C2249</f>
        <v>SQ *MOON JUICE Venice CA                     01/07</v>
      </c>
      <c r="C2252" s="6" t="str">
        <f>Angela_2025_Chase1117_Activity_!G2249</f>
        <v>Personal - Health</v>
      </c>
      <c r="D2252" s="12">
        <f>Angela_2025_Chase1117_Activity_!D2249</f>
        <v>-329.98</v>
      </c>
    </row>
    <row r="2253" spans="1:4" x14ac:dyDescent="0.25">
      <c r="A2253" s="26">
        <f>Angela_2025_Chase1117_Activity_!B2250</f>
        <v>45665</v>
      </c>
      <c r="B2253" s="6" t="str">
        <f>Angela_2025_Chase1117_Activity_!C2250</f>
        <v>GRANDVIEW CLEANERS LOS ANGELES CA            01/07</v>
      </c>
      <c r="C2253" s="6" t="str">
        <f>Angela_2025_Chase1117_Activity_!G2250</f>
        <v>Personal - Clothing</v>
      </c>
      <c r="D2253" s="12">
        <f>Angela_2025_Chase1117_Activity_!D2250</f>
        <v>-50</v>
      </c>
    </row>
    <row r="2254" spans="1:4" x14ac:dyDescent="0.25">
      <c r="A2254" s="26">
        <f>Angela_2025_Chase1117_Activity_!B2251</f>
        <v>45665</v>
      </c>
      <c r="B2254" s="6" t="str">
        <f>Angela_2025_Chase1117_Activity_!C2251</f>
        <v>PAVILIONS #2105 MARINA DEL RE CA             01/07</v>
      </c>
      <c r="C2254" s="6" t="str">
        <f>Angela_2025_Chase1117_Activity_!G2251</f>
        <v>Personal - Food</v>
      </c>
      <c r="D2254" s="12">
        <f>Angela_2025_Chase1117_Activity_!D2251</f>
        <v>-470.82</v>
      </c>
    </row>
    <row r="2255" spans="1:4" x14ac:dyDescent="0.25">
      <c r="A2255" s="26">
        <f>Angela_2025_Chase1117_Activity_!B2252</f>
        <v>45665</v>
      </c>
      <c r="B2255" s="6" t="str">
        <f>Angela_2025_Chase1117_Activity_!C2252</f>
        <v>Prime Video Channels amzn.com/bill WA        01/07</v>
      </c>
      <c r="C2255" s="6" t="str">
        <f>Angela_2025_Chase1117_Activity_!G2252</f>
        <v>Amazon</v>
      </c>
      <c r="D2255" s="12">
        <f>Angela_2025_Chase1117_Activity_!D2252</f>
        <v>-13.99</v>
      </c>
    </row>
    <row r="2256" spans="1:4" x14ac:dyDescent="0.25">
      <c r="A2256" s="26">
        <f>Angela_2025_Chase1117_Activity_!B2253</f>
        <v>45665</v>
      </c>
      <c r="B2256" s="6" t="str">
        <f>Angela_2025_Chase1117_Activity_!C2253</f>
        <v>Nastygal.com 333-3110804 PA                  01/07</v>
      </c>
      <c r="C2256" s="6" t="str">
        <f>Angela_2025_Chase1117_Activity_!G2253</f>
        <v>Personal - Clothing</v>
      </c>
      <c r="D2256" s="12">
        <f>Angela_2025_Chase1117_Activity_!D2253</f>
        <v>-234.75</v>
      </c>
    </row>
    <row r="2257" spans="1:4" x14ac:dyDescent="0.25">
      <c r="A2257" s="26">
        <f>Angela_2025_Chase1117_Activity_!B2254</f>
        <v>45664</v>
      </c>
      <c r="B2257" s="6" t="str">
        <f>Angela_2025_Chase1117_Activity_!C2254</f>
        <v>GELSON'S MARKET #29 SANTA MONICA CA          01/07 Purchase $36.36 Cash Back $100.00</v>
      </c>
      <c r="C2257" s="6" t="str">
        <f>Angela_2025_Chase1117_Activity_!G2254</f>
        <v>Personal - Food</v>
      </c>
      <c r="D2257" s="12">
        <f>Angela_2025_Chase1117_Activity_!D2254</f>
        <v>-136.36000000000001</v>
      </c>
    </row>
    <row r="2258" spans="1:4" x14ac:dyDescent="0.25">
      <c r="A2258" s="26">
        <f>Angela_2025_Chase1117_Activity_!B2255</f>
        <v>45664</v>
      </c>
      <c r="B2258" s="6" t="str">
        <f>Angela_2025_Chase1117_Activity_!C2255</f>
        <v>CVS/PHARMACY #09493 MAR VISTA CA     038657  01/07</v>
      </c>
      <c r="C2258" s="6" t="str">
        <f>Angela_2025_Chase1117_Activity_!G2255</f>
        <v>Personal - Health</v>
      </c>
      <c r="D2258" s="12">
        <f>Angela_2025_Chase1117_Activity_!D2255</f>
        <v>-115.02</v>
      </c>
    </row>
    <row r="2259" spans="1:4" x14ac:dyDescent="0.25">
      <c r="A2259" s="26">
        <f>Angela_2025_Chase1117_Activity_!B2256</f>
        <v>45664</v>
      </c>
      <c r="B2259" s="6" t="str">
        <f>Angela_2025_Chase1117_Activity_!C2256</f>
        <v>TST*BLUEYS KITCHEN MAR Los Angeles CA        01/06</v>
      </c>
      <c r="C2259" s="6" t="str">
        <f>Angela_2025_Chase1117_Activity_!G2256</f>
        <v>Personal - Food</v>
      </c>
      <c r="D2259" s="12">
        <f>Angela_2025_Chase1117_Activity_!D2256</f>
        <v>-118.97</v>
      </c>
    </row>
    <row r="2260" spans="1:4" x14ac:dyDescent="0.25">
      <c r="A2260" s="26">
        <f>Angela_2025_Chase1117_Activity_!B2257</f>
        <v>45664</v>
      </c>
      <c r="B2260" s="6" t="str">
        <f>Angela_2025_Chase1117_Activity_!C2257</f>
        <v>DD *DOORDASH BLUJASMI 855-431-0459 CA        01/07</v>
      </c>
      <c r="C2260" s="6" t="str">
        <f>Angela_2025_Chase1117_Activity_!G2257</f>
        <v>Uber Eats</v>
      </c>
      <c r="D2260" s="12">
        <f>Angela_2025_Chase1117_Activity_!D2257</f>
        <v>-66.94</v>
      </c>
    </row>
    <row r="2261" spans="1:4" x14ac:dyDescent="0.25">
      <c r="A2261" s="26">
        <f>Angela_2025_Chase1117_Activity_!B2258</f>
        <v>45663</v>
      </c>
      <c r="B2261" s="6" t="str">
        <f>Angela_2025_Chase1117_Activity_!C2258</f>
        <v>GOOGLE *YouTubePremi g.co/helppay# CA        01/06</v>
      </c>
      <c r="C2261" s="6" t="str">
        <f>Angela_2025_Chase1117_Activity_!G2258</f>
        <v>YouTube Premium</v>
      </c>
      <c r="D2261" s="12">
        <f>Angela_2025_Chase1117_Activity_!D2258</f>
        <v>-13.99</v>
      </c>
    </row>
    <row r="2262" spans="1:4" x14ac:dyDescent="0.25">
      <c r="A2262" s="26">
        <f>Angela_2025_Chase1117_Activity_!B2259</f>
        <v>45663</v>
      </c>
      <c r="B2262" s="6" t="str">
        <f>Angela_2025_Chase1117_Activity_!C2259</f>
        <v>PSYCHOLOGY TODAY HTTPSWWW.PSYC SD            01/06</v>
      </c>
      <c r="C2262" s="6" t="str">
        <f>Angela_2025_Chase1117_Activity_!G2259</f>
        <v>Personal - Subscription</v>
      </c>
      <c r="D2262" s="12">
        <f>Angela_2025_Chase1117_Activity_!D2259</f>
        <v>-29.95</v>
      </c>
    </row>
    <row r="2263" spans="1:4" x14ac:dyDescent="0.25">
      <c r="A2263" s="26">
        <f>Angela_2025_Chase1117_Activity_!B2260</f>
        <v>45663</v>
      </c>
      <c r="B2263" s="6" t="str">
        <f>Angela_2025_Chase1117_Activity_!C2260</f>
        <v>Online Payment 23288644604 To SOUTHERN CALIFORNIA GAS CO 01/06</v>
      </c>
      <c r="C2263" s="6" t="str">
        <f>Angela_2025_Chase1117_Activity_!G2260</f>
        <v>Personal - House Bills</v>
      </c>
      <c r="D2263" s="12">
        <f>Angela_2025_Chase1117_Activity_!D2260</f>
        <v>-344.19</v>
      </c>
    </row>
    <row r="2264" spans="1:4" x14ac:dyDescent="0.25">
      <c r="A2264" s="26">
        <f>Angela_2025_Chase1117_Activity_!B2261</f>
        <v>45663</v>
      </c>
      <c r="B2264" s="6" t="str">
        <f>Angela_2025_Chase1117_Activity_!C2261</f>
        <v>Online Payment 23288635812 To FRONTIER TELEPHONE 01/06</v>
      </c>
      <c r="C2264" s="6" t="str">
        <f>Angela_2025_Chase1117_Activity_!G2261</f>
        <v>Personal - House Bills</v>
      </c>
      <c r="D2264" s="12">
        <f>Angela_2025_Chase1117_Activity_!D2261</f>
        <v>-60</v>
      </c>
    </row>
    <row r="2265" spans="1:4" x14ac:dyDescent="0.25">
      <c r="A2265" s="26">
        <f>Angela_2025_Chase1117_Activity_!B2262</f>
        <v>45663</v>
      </c>
      <c r="B2265" s="6" t="str">
        <f>Angela_2025_Chase1117_Activity_!C2262</f>
        <v>Zelle payment to Aaron Frankel JPM99au6o0tc</v>
      </c>
      <c r="C2265" s="6" t="str">
        <f>Angela_2025_Chase1117_Activity_!G2262</f>
        <v>Zelle to Aaron Frankel</v>
      </c>
      <c r="D2265" s="12">
        <f>Angela_2025_Chase1117_Activity_!D2262</f>
        <v>-200</v>
      </c>
    </row>
    <row r="2266" spans="1:4" x14ac:dyDescent="0.25">
      <c r="A2266" s="26">
        <f>Angela_2025_Chase1117_Activity_!B2263</f>
        <v>45663</v>
      </c>
      <c r="B2266" s="6" t="str">
        <f>Angela_2025_Chase1117_Activity_!C2263</f>
        <v>RAINBOW ACRES LOS ANGELES CA         529826  01/04</v>
      </c>
      <c r="C2266" s="6" t="str">
        <f>Angela_2025_Chase1117_Activity_!G2263</f>
        <v>Personal - Misc</v>
      </c>
      <c r="D2266" s="12">
        <f>Angela_2025_Chase1117_Activity_!D2263</f>
        <v>-282.04000000000002</v>
      </c>
    </row>
    <row r="2267" spans="1:4" x14ac:dyDescent="0.25">
      <c r="A2267" s="26">
        <f>Angela_2025_Chase1117_Activity_!B2264</f>
        <v>45663</v>
      </c>
      <c r="B2267" s="6" t="str">
        <f>Angela_2025_Chase1117_Activity_!C2264</f>
        <v>FANDANGO    * FANDANGO.COM CA                01/04</v>
      </c>
      <c r="C2267" s="6" t="str">
        <f>Angela_2025_Chase1117_Activity_!G2264</f>
        <v>Personal - Entertainment</v>
      </c>
      <c r="D2267" s="12">
        <f>Angela_2025_Chase1117_Activity_!D2264</f>
        <v>-51.36</v>
      </c>
    </row>
    <row r="2268" spans="1:4" x14ac:dyDescent="0.25">
      <c r="A2268" s="26">
        <f>Angela_2025_Chase1117_Activity_!B2265</f>
        <v>45663</v>
      </c>
      <c r="B2268" s="6" t="str">
        <f>Angela_2025_Chase1117_Activity_!C2265</f>
        <v>CHEVRON 0306890 SANTA MONICA CA              01/03</v>
      </c>
      <c r="C2268" s="6" t="str">
        <f>Angela_2025_Chase1117_Activity_!G2265</f>
        <v>Personal - Car</v>
      </c>
      <c r="D2268" s="12">
        <f>Angela_2025_Chase1117_Activity_!D2265</f>
        <v>-68.209999999999994</v>
      </c>
    </row>
    <row r="2269" spans="1:4" x14ac:dyDescent="0.25">
      <c r="A2269" s="26">
        <f>Angela_2025_Chase1117_Activity_!B2266</f>
        <v>45663</v>
      </c>
      <c r="B2269" s="6" t="str">
        <f>Angela_2025_Chase1117_Activity_!C2266</f>
        <v>HANDY J CAR WASH LOS ANGELES CA              01/03</v>
      </c>
      <c r="C2269" s="6" t="str">
        <f>Angela_2025_Chase1117_Activity_!G2266</f>
        <v>Personal - Car</v>
      </c>
      <c r="D2269" s="12">
        <f>Angela_2025_Chase1117_Activity_!D2266</f>
        <v>-26.99</v>
      </c>
    </row>
    <row r="2270" spans="1:4" x14ac:dyDescent="0.25">
      <c r="A2270" s="26">
        <f>Angela_2025_Chase1117_Activity_!B2267</f>
        <v>45663</v>
      </c>
      <c r="B2270" s="6" t="str">
        <f>Angela_2025_Chase1117_Activity_!C2267</f>
        <v>KEAVY'S CORNER LLC 863-304-1004 FL           01/03</v>
      </c>
      <c r="C2270" s="6" t="str">
        <f>Angela_2025_Chase1117_Activity_!G2267</f>
        <v>Personal - Shopping</v>
      </c>
      <c r="D2270" s="12">
        <f>Angela_2025_Chase1117_Activity_!D2267</f>
        <v>-105</v>
      </c>
    </row>
    <row r="2271" spans="1:4" x14ac:dyDescent="0.25">
      <c r="A2271" s="26">
        <f>Angela_2025_Chase1117_Activity_!B2268</f>
        <v>45663</v>
      </c>
      <c r="B2271" s="6" t="str">
        <f>Angela_2025_Chase1117_Activity_!C2268</f>
        <v>AIR CANADA  0144275856 888-2472262 NY        01/04</v>
      </c>
      <c r="C2271" s="6" t="str">
        <f>Angela_2025_Chase1117_Activity_!G2268</f>
        <v>Personal Travel - Canada</v>
      </c>
      <c r="D2271" s="12">
        <f>Angela_2025_Chase1117_Activity_!D2268</f>
        <v>33.5</v>
      </c>
    </row>
    <row r="2272" spans="1:4" x14ac:dyDescent="0.25">
      <c r="A2272" s="26">
        <f>Angela_2025_Chase1117_Activity_!B2269</f>
        <v>45663</v>
      </c>
      <c r="B2272" s="6" t="str">
        <f>Angela_2025_Chase1117_Activity_!C2269</f>
        <v>AIR CANADA  0144280052 888-2472262 NY        01/04</v>
      </c>
      <c r="C2272" s="6" t="str">
        <f>Angela_2025_Chase1117_Activity_!G2269</f>
        <v>Personal Travel - Canada</v>
      </c>
      <c r="D2272" s="12">
        <f>Angela_2025_Chase1117_Activity_!D2269</f>
        <v>58.59</v>
      </c>
    </row>
    <row r="2273" spans="1:4" x14ac:dyDescent="0.25">
      <c r="A2273" s="26">
        <f>Angela_2025_Chase1117_Activity_!B2270</f>
        <v>45660</v>
      </c>
      <c r="B2273" s="6" t="str">
        <f>Angela_2025_Chase1117_Activity_!C2270</f>
        <v>NON-CHASE ATM FEE-WITH</v>
      </c>
      <c r="C2273" s="6" t="str">
        <f>Angela_2025_Chase1117_Activity_!G2270</f>
        <v>Bank Fees</v>
      </c>
      <c r="D2273" s="12">
        <f>Angela_2025_Chase1117_Activity_!D2270</f>
        <v>-3</v>
      </c>
    </row>
    <row r="2274" spans="1:4" x14ac:dyDescent="0.25">
      <c r="A2274" s="26">
        <f>Angela_2025_Chase1117_Activity_!B2271</f>
        <v>45660</v>
      </c>
      <c r="B2274" s="6" t="str">
        <f>Angela_2025_Chase1117_Activity_!C2271</f>
        <v>GELSON'S MARKET #29 SANTA MONICA CA  360098  01/03</v>
      </c>
      <c r="C2274" s="6" t="str">
        <f>Angela_2025_Chase1117_Activity_!G2271</f>
        <v>Personal - Food</v>
      </c>
      <c r="D2274" s="12">
        <f>Angela_2025_Chase1117_Activity_!D2271</f>
        <v>-133.30000000000001</v>
      </c>
    </row>
    <row r="2275" spans="1:4" x14ac:dyDescent="0.25">
      <c r="A2275" s="26">
        <f>Angela_2025_Chase1117_Activity_!B2272</f>
        <v>45660</v>
      </c>
      <c r="B2275" s="6" t="str">
        <f>Angela_2025_Chase1117_Activity_!C2272</f>
        <v>NON-CHASE ATM WITHDRAW               002032  01/0312681 W W</v>
      </c>
      <c r="C2275" s="6" t="str">
        <f>Angela_2025_Chase1117_Activity_!G2272</f>
        <v>Withdrawal</v>
      </c>
      <c r="D2275" s="12">
        <f>Angela_2025_Chase1117_Activity_!D2272</f>
        <v>-103</v>
      </c>
    </row>
    <row r="2276" spans="1:4" x14ac:dyDescent="0.25">
      <c r="A2276" s="26">
        <f>Angela_2025_Chase1117_Activity_!B2273</f>
        <v>45660</v>
      </c>
      <c r="B2276" s="6" t="str">
        <f>Angela_2025_Chase1117_Activity_!C2273</f>
        <v>Online Payment 23270623184 To SAFECO INSURANCE COMPANY 01/03</v>
      </c>
      <c r="C2276" s="6" t="str">
        <f>Angela_2025_Chase1117_Activity_!G2273</f>
        <v>Personal - House Bills</v>
      </c>
      <c r="D2276" s="12">
        <f>Angela_2025_Chase1117_Activity_!D2273</f>
        <v>-120</v>
      </c>
    </row>
    <row r="2277" spans="1:4" x14ac:dyDescent="0.25">
      <c r="A2277" s="26">
        <f>Angela_2025_Chase1117_Activity_!B2274</f>
        <v>45660</v>
      </c>
      <c r="B2277" s="6" t="str">
        <f>Angela_2025_Chase1117_Activity_!C2274</f>
        <v>Online Payment 23270605687 To FRONTIER TELEPHONE 01/03</v>
      </c>
      <c r="C2277" s="6" t="str">
        <f>Angela_2025_Chase1117_Activity_!G2274</f>
        <v>Personal - House Bills</v>
      </c>
      <c r="D2277" s="12">
        <f>Angela_2025_Chase1117_Activity_!D2274</f>
        <v>-300</v>
      </c>
    </row>
    <row r="2278" spans="1:4" x14ac:dyDescent="0.25">
      <c r="A2278" s="26">
        <f>Angela_2025_Chase1117_Activity_!B2275</f>
        <v>45660</v>
      </c>
      <c r="B2278" s="6" t="str">
        <f>Angela_2025_Chase1117_Activity_!C2275</f>
        <v>Online Payment 23270615784 To AMERICAN EDUCATION SERVICES 01/03</v>
      </c>
      <c r="C2278" s="6" t="str">
        <f>Angela_2025_Chase1117_Activity_!G2275</f>
        <v>Personal - House Bills</v>
      </c>
      <c r="D2278" s="12">
        <f>Angela_2025_Chase1117_Activity_!D2275</f>
        <v>-320</v>
      </c>
    </row>
    <row r="2279" spans="1:4" x14ac:dyDescent="0.25">
      <c r="A2279" s="26">
        <f>Angela_2025_Chase1117_Activity_!B2276</f>
        <v>45660</v>
      </c>
      <c r="B2279" s="6" t="str">
        <f>Angela_2025_Chase1117_Activity_!C2276</f>
        <v>Online Payment 23270593270 To MERCEDES-BENZ FINANCIAL SERVICES 01/03</v>
      </c>
      <c r="C2279" s="6" t="str">
        <f>Angela_2025_Chase1117_Activity_!G2276</f>
        <v>Personal - House Bills</v>
      </c>
      <c r="D2279" s="12">
        <f>Angela_2025_Chase1117_Activity_!D2276</f>
        <v>-700</v>
      </c>
    </row>
    <row r="2280" spans="1:4" x14ac:dyDescent="0.25">
      <c r="A2280" s="26">
        <f>Angela_2025_Chase1117_Activity_!B2277</f>
        <v>45660</v>
      </c>
      <c r="B2280" s="6" t="str">
        <f>Angela_2025_Chase1117_Activity_!C2277</f>
        <v>FOLLOW YOUR HEART MARK CANOGA PARK CA197182  01/02</v>
      </c>
      <c r="C2280" s="6" t="str">
        <f>Angela_2025_Chase1117_Activity_!G2277</f>
        <v>Personal - Food</v>
      </c>
      <c r="D2280" s="12">
        <f>Angela_2025_Chase1117_Activity_!D2277</f>
        <v>-213.75</v>
      </c>
    </row>
    <row r="2281" spans="1:4" x14ac:dyDescent="0.25">
      <c r="A2281" s="26">
        <f>Angela_2025_Chase1117_Activity_!B2278</f>
        <v>45660</v>
      </c>
      <c r="B2281" s="6" t="str">
        <f>Angela_2025_Chase1117_Activity_!C2278</f>
        <v>NTTA AUTOCHARGE 972-818-6882 TX              01/02</v>
      </c>
      <c r="C2281" s="6" t="str">
        <f>Angela_2025_Chase1117_Activity_!G2278</f>
        <v>Personal - Car</v>
      </c>
      <c r="D2281" s="12">
        <f>Angela_2025_Chase1117_Activity_!D2278</f>
        <v>-40</v>
      </c>
    </row>
    <row r="2282" spans="1:4" x14ac:dyDescent="0.25">
      <c r="A2282" s="26">
        <f>Angela_2025_Chase1117_Activity_!B2279</f>
        <v>45660</v>
      </c>
      <c r="B2282" s="6" t="str">
        <f>Angela_2025_Chase1117_Activity_!C2279</f>
        <v>APPLE.COM/BILL 866-712-7753 CA               01/03</v>
      </c>
      <c r="C2282" s="6" t="str">
        <f>Angela_2025_Chase1117_Activity_!G2279</f>
        <v>Apple</v>
      </c>
      <c r="D2282" s="12">
        <f>Angela_2025_Chase1117_Activity_!D2279</f>
        <v>-3.99</v>
      </c>
    </row>
    <row r="2283" spans="1:4" x14ac:dyDescent="0.25">
      <c r="A2283" s="26">
        <f>Angela_2025_Chase1117_Activity_!B2280</f>
        <v>45660</v>
      </c>
      <c r="B2283" s="6" t="str">
        <f>Angela_2025_Chase1117_Activity_!C2280</f>
        <v>AIR CANADA  0144280052 888-2472262 NY        01/02</v>
      </c>
      <c r="C2283" s="6" t="str">
        <f>Angela_2025_Chase1117_Activity_!G2280</f>
        <v>Personal Travel - Canada</v>
      </c>
      <c r="D2283" s="12">
        <f>Angela_2025_Chase1117_Activity_!D2280</f>
        <v>-58.59</v>
      </c>
    </row>
    <row r="2284" spans="1:4" x14ac:dyDescent="0.25">
      <c r="A2284" s="26">
        <f>Angela_2025_Chase1117_Activity_!B2281</f>
        <v>45660</v>
      </c>
      <c r="B2284" s="6" t="str">
        <f>Angela_2025_Chase1117_Activity_!C2281</f>
        <v>FREEPEOPLE.COM HTTPSWWW.FREE PA              01/02</v>
      </c>
      <c r="C2284" s="6" t="str">
        <f>Angela_2025_Chase1117_Activity_!G2281</f>
        <v>Personal - Clothing</v>
      </c>
      <c r="D2284" s="12">
        <f>Angela_2025_Chase1117_Activity_!D2281</f>
        <v>-545.30999999999995</v>
      </c>
    </row>
    <row r="2285" spans="1:4" x14ac:dyDescent="0.25">
      <c r="A2285" s="26">
        <f>Angela_2025_Chase1117_Activity_!B2282</f>
        <v>45660</v>
      </c>
      <c r="B2285" s="6" t="str">
        <f>Angela_2025_Chase1117_Activity_!C2282</f>
        <v>Online Transfer from CHK ...1168 transaction#: 23270584350</v>
      </c>
      <c r="C2285" s="6" t="str">
        <f>Angela_2025_Chase1117_Activity_!G2282</f>
        <v>Transfer from DWG Capital Group</v>
      </c>
      <c r="D2285" s="12">
        <f>Angela_2025_Chase1117_Activity_!D2282</f>
        <v>5000</v>
      </c>
    </row>
    <row r="2286" spans="1:4" x14ac:dyDescent="0.25">
      <c r="A2286" s="26">
        <f>Angela_2025_Chase1117_Activity_!B2283</f>
        <v>45659</v>
      </c>
      <c r="B2286" s="6" t="str">
        <f>Angela_2025_Chase1117_Activity_!C2283</f>
        <v>FOREIGN EXCHANGE RATE ADJUSTMENT FEE         01/01BCF - COA</v>
      </c>
      <c r="C2286" s="6" t="str">
        <f>Angela_2025_Chase1117_Activity_!G2283</f>
        <v>Personal Travel - Canada</v>
      </c>
      <c r="D2286" s="12">
        <f>Angela_2025_Chase1117_Activity_!D2283</f>
        <v>-0.59</v>
      </c>
    </row>
    <row r="2287" spans="1:4" x14ac:dyDescent="0.25">
      <c r="A2287" s="26">
        <f>Angela_2025_Chase1117_Activity_!B2284</f>
        <v>45659</v>
      </c>
      <c r="B2287" s="6" t="str">
        <f>Angela_2025_Chase1117_Activity_!C2284</f>
        <v>FOREIGN EXCHANGE RATE ADJUSTMENT FEE         01/01AIR CAN*</v>
      </c>
      <c r="C2287" s="6" t="str">
        <f>Angela_2025_Chase1117_Activity_!G2284</f>
        <v>Personal Travel - Canada</v>
      </c>
      <c r="D2287" s="12">
        <f>Angela_2025_Chase1117_Activity_!D2284</f>
        <v>-0.83</v>
      </c>
    </row>
    <row r="2288" spans="1:4" x14ac:dyDescent="0.25">
      <c r="A2288" s="26">
        <f>Angela_2025_Chase1117_Activity_!B2285</f>
        <v>45659</v>
      </c>
      <c r="B2288" s="6" t="str">
        <f>Angela_2025_Chase1117_Activity_!C2285</f>
        <v>FOREIGN EXCHANGE RATE ADJUSTMENT FEE         01/01AIR CAN*</v>
      </c>
      <c r="C2288" s="6" t="str">
        <f>Angela_2025_Chase1117_Activity_!G2285</f>
        <v>Personal Travel - Canada</v>
      </c>
      <c r="D2288" s="12">
        <f>Angela_2025_Chase1117_Activity_!D2285</f>
        <v>-0.83</v>
      </c>
    </row>
    <row r="2289" spans="1:4" x14ac:dyDescent="0.25">
      <c r="A2289" s="26">
        <f>Angela_2025_Chase1117_Activity_!B2286</f>
        <v>45659</v>
      </c>
      <c r="B2289" s="6" t="str">
        <f>Angela_2025_Chase1117_Activity_!C2286</f>
        <v>FOREIGN EXCHANGE RATE ADJUSTMENT FEE         01/01AIR CAN*</v>
      </c>
      <c r="C2289" s="6" t="str">
        <f>Angela_2025_Chase1117_Activity_!G2286</f>
        <v>Personal Travel - Canada</v>
      </c>
      <c r="D2289" s="12">
        <f>Angela_2025_Chase1117_Activity_!D2286</f>
        <v>-1.04</v>
      </c>
    </row>
    <row r="2290" spans="1:4" x14ac:dyDescent="0.25">
      <c r="A2290" s="26">
        <f>Angela_2025_Chase1117_Activity_!B2287</f>
        <v>45659</v>
      </c>
      <c r="B2290" s="6" t="str">
        <f>Angela_2025_Chase1117_Activity_!C2287</f>
        <v>FOREIGN EXCHANGE RATE ADJUSTMENT FEE         01/01AIR CAN*</v>
      </c>
      <c r="C2290" s="6" t="str">
        <f>Angela_2025_Chase1117_Activity_!G2287</f>
        <v>Personal Travel - Canada</v>
      </c>
      <c r="D2290" s="12">
        <f>Angela_2025_Chase1117_Activity_!D2287</f>
        <v>-1.04</v>
      </c>
    </row>
    <row r="2291" spans="1:4" x14ac:dyDescent="0.25">
      <c r="A2291" s="26">
        <f>Angela_2025_Chase1117_Activity_!B2288</f>
        <v>45659</v>
      </c>
      <c r="B2291" s="6" t="str">
        <f>Angela_2025_Chase1117_Activity_!C2288</f>
        <v>FOREIGN EXCHANGE RATE ADJUSTMENT FEE         01/01AIR CAN*</v>
      </c>
      <c r="C2291" s="6" t="str">
        <f>Angela_2025_Chase1117_Activity_!G2288</f>
        <v>Personal Travel - Canada</v>
      </c>
      <c r="D2291" s="12">
        <f>Angela_2025_Chase1117_Activity_!D2288</f>
        <v>-1.1399999999999999</v>
      </c>
    </row>
    <row r="2292" spans="1:4" x14ac:dyDescent="0.25">
      <c r="A2292" s="26">
        <f>Angela_2025_Chase1117_Activity_!B2289</f>
        <v>45659</v>
      </c>
      <c r="B2292" s="6" t="str">
        <f>Angela_2025_Chase1117_Activity_!C2289</f>
        <v>FOREIGN EXCHANGE RATE ADJUSTMENT FEE         01/01AIR CAN*</v>
      </c>
      <c r="C2292" s="6" t="str">
        <f>Angela_2025_Chase1117_Activity_!G2289</f>
        <v>Personal Travel - Canada</v>
      </c>
      <c r="D2292" s="12">
        <f>Angela_2025_Chase1117_Activity_!D2289</f>
        <v>-1.1399999999999999</v>
      </c>
    </row>
    <row r="2293" spans="1:4" x14ac:dyDescent="0.25">
      <c r="A2293" s="26">
        <f>Angela_2025_Chase1117_Activity_!B2290</f>
        <v>45659</v>
      </c>
      <c r="B2293" s="6" t="str">
        <f>Angela_2025_Chase1117_Activity_!C2290</f>
        <v>FOREIGN EXCHANGE RATE ADJUSTMENT FEE         01/01TSESHAHT</v>
      </c>
      <c r="C2293" s="6" t="str">
        <f>Angela_2025_Chase1117_Activity_!G2290</f>
        <v>Personal Travel - Canada</v>
      </c>
      <c r="D2293" s="12">
        <f>Angela_2025_Chase1117_Activity_!D2290</f>
        <v>-1.47</v>
      </c>
    </row>
    <row r="2294" spans="1:4" x14ac:dyDescent="0.25">
      <c r="A2294" s="26">
        <f>Angela_2025_Chase1117_Activity_!B2291</f>
        <v>45659</v>
      </c>
      <c r="B2294" s="6" t="str">
        <f>Angela_2025_Chase1117_Activity_!C2291</f>
        <v>FOREIGN EXCHANGE RATE ADJUSTMENT FEE         01/01AIR CAN*</v>
      </c>
      <c r="C2294" s="6" t="str">
        <f>Angela_2025_Chase1117_Activity_!G2291</f>
        <v>Personal Travel - Canada</v>
      </c>
      <c r="D2294" s="12">
        <f>Angela_2025_Chase1117_Activity_!D2291</f>
        <v>-3.13</v>
      </c>
    </row>
    <row r="2295" spans="1:4" x14ac:dyDescent="0.25">
      <c r="A2295" s="26">
        <f>Angela_2025_Chase1117_Activity_!B2292</f>
        <v>45659</v>
      </c>
      <c r="B2295" s="6" t="str">
        <f>Angela_2025_Chase1117_Activity_!C2292</f>
        <v>BCF - COASTAL RENAISSAN VICTORIA BC          01/01 CA DOLLAR  28.33 X 0.6974938 (EXCHG RTE)</v>
      </c>
      <c r="C2295" s="6" t="str">
        <f>Angela_2025_Chase1117_Activity_!G2292</f>
        <v>Personal Travel - Canada</v>
      </c>
      <c r="D2295" s="12">
        <f>Angela_2025_Chase1117_Activity_!D2292</f>
        <v>-19.760000000000002</v>
      </c>
    </row>
    <row r="2296" spans="1:4" x14ac:dyDescent="0.25">
      <c r="A2296" s="26">
        <f>Angela_2025_Chase1117_Activity_!B2293</f>
        <v>45659</v>
      </c>
      <c r="B2296" s="6" t="str">
        <f>Angela_2025_Chase1117_Activity_!C2293</f>
        <v>TSESHAHT MARKET LP PORT ALBERNI BC           01/01 CA DOLLAR  70.51 X 0.6974897 (EXCHG RTE)</v>
      </c>
      <c r="C2296" s="6" t="str">
        <f>Angela_2025_Chase1117_Activity_!G2293</f>
        <v>Personal Travel - Canada</v>
      </c>
      <c r="D2296" s="12">
        <f>Angela_2025_Chase1117_Activity_!D2293</f>
        <v>-49.18</v>
      </c>
    </row>
    <row r="2297" spans="1:4" x14ac:dyDescent="0.25">
      <c r="A2297" s="26">
        <f>Angela_2025_Chase1117_Activity_!B2294</f>
        <v>45659</v>
      </c>
      <c r="B2297" s="6" t="str">
        <f>Angela_2025_Chase1117_Activity_!C2294</f>
        <v>AIR CAN*    01442800 AIRCANADA.COM MB        01/01 CA DOLLAR  40.00 X 0.6975000 (EXCHG RTE)</v>
      </c>
      <c r="C2297" s="6" t="str">
        <f>Angela_2025_Chase1117_Activity_!G2294</f>
        <v>Personal Travel - Canada</v>
      </c>
      <c r="D2297" s="12">
        <f>Angela_2025_Chase1117_Activity_!D2294</f>
        <v>-27.9</v>
      </c>
    </row>
    <row r="2298" spans="1:4" x14ac:dyDescent="0.25">
      <c r="A2298" s="26">
        <f>Angela_2025_Chase1117_Activity_!B2295</f>
        <v>45659</v>
      </c>
      <c r="B2298" s="6" t="str">
        <f>Angela_2025_Chase1117_Activity_!C2295</f>
        <v>AIR CAN*    01442800 AIRCANADA.COM MB        01/01 CA DOLLAR  40.00 X 0.6975000 (EXCHG RTE)</v>
      </c>
      <c r="C2298" s="6" t="str">
        <f>Angela_2025_Chase1117_Activity_!G2295</f>
        <v>Personal Travel - Canada</v>
      </c>
      <c r="D2298" s="12">
        <f>Angela_2025_Chase1117_Activity_!D2295</f>
        <v>-27.9</v>
      </c>
    </row>
    <row r="2299" spans="1:4" x14ac:dyDescent="0.25">
      <c r="A2299" s="26">
        <f>Angela_2025_Chase1117_Activity_!B2296</f>
        <v>45659</v>
      </c>
      <c r="B2299" s="6" t="str">
        <f>Angela_2025_Chase1117_Activity_!C2296</f>
        <v>AIR CAN*    01442800 AIRCANADA.COM MB        01/01 CA DOLLAR  50.00 X 0.6976000 (EXCHG RTE)</v>
      </c>
      <c r="C2299" s="6" t="str">
        <f>Angela_2025_Chase1117_Activity_!G2296</f>
        <v>Personal Travel - Canada</v>
      </c>
      <c r="D2299" s="12">
        <f>Angela_2025_Chase1117_Activity_!D2296</f>
        <v>-34.880000000000003</v>
      </c>
    </row>
    <row r="2300" spans="1:4" x14ac:dyDescent="0.25">
      <c r="A2300" s="26">
        <f>Angela_2025_Chase1117_Activity_!B2297</f>
        <v>45659</v>
      </c>
      <c r="B2300" s="6" t="str">
        <f>Angela_2025_Chase1117_Activity_!C2297</f>
        <v>AIR CAN*    01442800 AIRCANADA.COM MB        01/01 CA DOLLAR  50.00 X 0.6976000 (EXCHG RTE)</v>
      </c>
      <c r="C2300" s="6" t="str">
        <f>Angela_2025_Chase1117_Activity_!G2297</f>
        <v>Personal Travel - Canada</v>
      </c>
      <c r="D2300" s="12">
        <f>Angela_2025_Chase1117_Activity_!D2297</f>
        <v>-34.880000000000003</v>
      </c>
    </row>
    <row r="2301" spans="1:4" x14ac:dyDescent="0.25">
      <c r="A2301" s="26">
        <f>Angela_2025_Chase1117_Activity_!B2298</f>
        <v>45659</v>
      </c>
      <c r="B2301" s="6" t="str">
        <f>Angela_2025_Chase1117_Activity_!C2298</f>
        <v>AIR CAN*    01442800 AIRCANADA.COM MB        01/01 CA DOLLAR  54.81 X 0.6975005 (EXCHG RTE)</v>
      </c>
      <c r="C2301" s="6" t="str">
        <f>Angela_2025_Chase1117_Activity_!G2298</f>
        <v>Personal Travel - Canada</v>
      </c>
      <c r="D2301" s="12">
        <f>Angela_2025_Chase1117_Activity_!D2298</f>
        <v>-38.229999999999997</v>
      </c>
    </row>
    <row r="2302" spans="1:4" x14ac:dyDescent="0.25">
      <c r="A2302" s="26">
        <f>Angela_2025_Chase1117_Activity_!B2299</f>
        <v>45659</v>
      </c>
      <c r="B2302" s="6" t="str">
        <f>Angela_2025_Chase1117_Activity_!C2299</f>
        <v>AIR CAN*    01442800 AIRCANADA.COM MB        01/01 CA DOLLAR  54.81 X 0.6975005 (EXCHG RTE)</v>
      </c>
      <c r="C2302" s="6" t="str">
        <f>Angela_2025_Chase1117_Activity_!G2299</f>
        <v>Personal Travel - Canada</v>
      </c>
      <c r="D2302" s="12">
        <f>Angela_2025_Chase1117_Activity_!D2299</f>
        <v>-38.229999999999997</v>
      </c>
    </row>
    <row r="2303" spans="1:4" x14ac:dyDescent="0.25">
      <c r="A2303" s="26">
        <f>Angela_2025_Chase1117_Activity_!B2300</f>
        <v>45659</v>
      </c>
      <c r="B2303" s="6" t="str">
        <f>Angela_2025_Chase1117_Activity_!C2300</f>
        <v>AIR CAN*    01442800 AIRCANADA.COM MB        01/01 CA DOLLAR  150.00 X 0.6975333 (EXCHG RTE)</v>
      </c>
      <c r="C2303" s="6" t="str">
        <f>Angela_2025_Chase1117_Activity_!G2300</f>
        <v>Personal Travel - Canada</v>
      </c>
      <c r="D2303" s="12">
        <f>Angela_2025_Chase1117_Activity_!D2300</f>
        <v>-104.63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BF40-309A-4246-B028-A627C6EB1084}">
  <dimension ref="A1:N56"/>
  <sheetViews>
    <sheetView workbookViewId="0"/>
  </sheetViews>
  <sheetFormatPr defaultRowHeight="15" x14ac:dyDescent="0.25"/>
  <cols>
    <col min="1" max="1" width="53.28515625" customWidth="1"/>
    <col min="2" max="14" width="16.140625" customWidth="1"/>
  </cols>
  <sheetData>
    <row r="1" spans="1:14" ht="18.75" x14ac:dyDescent="0.3">
      <c r="A1" s="3" t="s">
        <v>2587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 t="s">
        <v>2631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25">
      <c r="A4" s="5" t="s">
        <v>1418</v>
      </c>
      <c r="B4" s="23">
        <f>DATE(2025,1,1)</f>
        <v>45658</v>
      </c>
      <c r="C4" s="23">
        <f>EDATE(B4,1)</f>
        <v>45689</v>
      </c>
      <c r="D4" s="23">
        <f>EDATE(C4,1)</f>
        <v>45717</v>
      </c>
      <c r="E4" s="23">
        <f>EDATE(D4,1)</f>
        <v>45748</v>
      </c>
      <c r="F4" s="23">
        <f>EDATE(E4,1)</f>
        <v>45778</v>
      </c>
      <c r="G4" s="23">
        <f>EDATE(F4,1)</f>
        <v>45809</v>
      </c>
      <c r="H4" s="23">
        <f>EDATE(G4,1)</f>
        <v>45839</v>
      </c>
      <c r="I4" s="23">
        <f>EDATE(H4,1)</f>
        <v>45870</v>
      </c>
      <c r="J4" s="23">
        <f>EDATE(I4,1)</f>
        <v>45901</v>
      </c>
      <c r="K4" s="23">
        <f>EDATE(J4,1)</f>
        <v>45931</v>
      </c>
      <c r="L4" s="23">
        <f>EDATE(K4,1)</f>
        <v>45962</v>
      </c>
      <c r="M4" s="23">
        <f>EDATE(L4,1)</f>
        <v>45992</v>
      </c>
      <c r="N4" s="5" t="s">
        <v>2632</v>
      </c>
    </row>
    <row r="5" spans="1:14" x14ac:dyDescent="0.25">
      <c r="A5" s="6" t="s">
        <v>1465</v>
      </c>
      <c r="B5" s="24">
        <f>SUMIFS(Angela_2025_Chase1117_Activity_!$D$2:$D$2300,Angela_2025_Chase1117_Activity_!$B$2:$B$2300,"&gt;="&amp;B$4,Angela_2025_Chase1117_Activity_!$B$2:$B$2300,"&lt;="&amp;EOMONTH(B$4,0),Angela_2025_Chase1117_Activity_!$G$2:$G$2300,$A5)</f>
        <v>18000</v>
      </c>
      <c r="C5" s="24">
        <f>SUMIFS(Angela_2025_Chase1117_Activity_!$D$2:$D$2300,Angela_2025_Chase1117_Activity_!$B$2:$B$2300,"&gt;="&amp;C$4,Angela_2025_Chase1117_Activity_!$B$2:$B$2300,"&lt;="&amp;EOMONTH(C$4,0),Angela_2025_Chase1117_Activity_!$G$2:$G$2300,$A5)</f>
        <v>20000</v>
      </c>
      <c r="D5" s="24">
        <f>SUMIFS(Angela_2025_Chase1117_Activity_!$D$2:$D$2300,Angela_2025_Chase1117_Activity_!$B$2:$B$2300,"&gt;="&amp;D$4,Angela_2025_Chase1117_Activity_!$B$2:$B$2300,"&lt;="&amp;EOMONTH(D$4,0),Angela_2025_Chase1117_Activity_!$G$2:$G$2300,$A5)</f>
        <v>43000</v>
      </c>
      <c r="E5" s="24">
        <f>SUMIFS(Angela_2025_Chase1117_Activity_!$D$2:$D$2300,Angela_2025_Chase1117_Activity_!$B$2:$B$2300,"&gt;="&amp;E$4,Angela_2025_Chase1117_Activity_!$B$2:$B$2300,"&lt;="&amp;EOMONTH(E$4,0),Angela_2025_Chase1117_Activity_!$G$2:$G$2300,$A5)</f>
        <v>14000</v>
      </c>
      <c r="F5" s="24">
        <f>SUMIFS(Angela_2025_Chase1117_Activity_!$D$2:$D$2300,Angela_2025_Chase1117_Activity_!$B$2:$B$2300,"&gt;="&amp;F$4,Angela_2025_Chase1117_Activity_!$B$2:$B$2300,"&lt;="&amp;EOMONTH(F$4,0),Angela_2025_Chase1117_Activity_!$G$2:$G$2300,$A5)</f>
        <v>12000</v>
      </c>
      <c r="G5" s="24">
        <f>SUMIFS(Angela_2025_Chase1117_Activity_!$D$2:$D$2300,Angela_2025_Chase1117_Activity_!$B$2:$B$2300,"&gt;="&amp;G$4,Angela_2025_Chase1117_Activity_!$B$2:$B$2300,"&lt;="&amp;EOMONTH(G$4,0),Angela_2025_Chase1117_Activity_!$G$2:$G$2300,$A5)</f>
        <v>25000</v>
      </c>
      <c r="H5" s="24">
        <f>SUMIFS(Angela_2025_Chase1117_Activity_!$D$2:$D$2300,Angela_2025_Chase1117_Activity_!$B$2:$B$2300,"&gt;="&amp;H$4,Angela_2025_Chase1117_Activity_!$B$2:$B$2300,"&lt;="&amp;EOMONTH(H$4,0),Angela_2025_Chase1117_Activity_!$G$2:$G$2300,$A5)</f>
        <v>29000</v>
      </c>
      <c r="I5" s="24">
        <f>SUMIFS(Angela_2025_Chase1117_Activity_!$D$2:$D$2300,Angela_2025_Chase1117_Activity_!$B$2:$B$2300,"&gt;="&amp;I$4,Angela_2025_Chase1117_Activity_!$B$2:$B$2300,"&lt;="&amp;EOMONTH(I$4,0),Angela_2025_Chase1117_Activity_!$G$2:$G$2300,$A5)</f>
        <v>22000</v>
      </c>
      <c r="J5" s="24">
        <f>SUMIFS(Angela_2025_Chase1117_Activity_!$D$2:$D$2300,Angela_2025_Chase1117_Activity_!$B$2:$B$2300,"&gt;="&amp;J$4,Angela_2025_Chase1117_Activity_!$B$2:$B$2300,"&lt;="&amp;EOMONTH(J$4,0),Angela_2025_Chase1117_Activity_!$G$2:$G$2300,$A5)</f>
        <v>40000</v>
      </c>
      <c r="K5" s="24">
        <f>SUMIFS(Angela_2025_Chase1117_Activity_!$D$2:$D$2300,Angela_2025_Chase1117_Activity_!$B$2:$B$2300,"&gt;="&amp;K$4,Angela_2025_Chase1117_Activity_!$B$2:$B$2300,"&lt;="&amp;EOMONTH(K$4,0),Angela_2025_Chase1117_Activity_!$G$2:$G$2300,$A5)</f>
        <v>26000</v>
      </c>
      <c r="L5" s="24">
        <f>SUMIFS(Angela_2025_Chase1117_Activity_!$D$2:$D$2300,Angela_2025_Chase1117_Activity_!$B$2:$B$2300,"&gt;="&amp;L$4,Angela_2025_Chase1117_Activity_!$B$2:$B$2300,"&lt;="&amp;EOMONTH(L$4,0),Angela_2025_Chase1117_Activity_!$G$2:$G$2300,$A5)</f>
        <v>26000</v>
      </c>
      <c r="M5" s="24">
        <f>SUMIFS(Angela_2025_Chase1117_Activity_!$D$2:$D$2300,Angela_2025_Chase1117_Activity_!$B$2:$B$2300,"&gt;="&amp;M$4,Angela_2025_Chase1117_Activity_!$B$2:$B$2300,"&lt;="&amp;EOMONTH(M$4,0),Angela_2025_Chase1117_Activity_!$G$2:$G$2300,$A5)</f>
        <v>31000</v>
      </c>
      <c r="N5" s="24">
        <f>SUM(B5:M5)</f>
        <v>306000</v>
      </c>
    </row>
    <row r="6" spans="1:14" x14ac:dyDescent="0.25">
      <c r="A6" s="6" t="s">
        <v>1467</v>
      </c>
      <c r="B6" s="24">
        <f>SUMIFS(Angela_2025_Chase1117_Activity_!$D$2:$D$2300,Angela_2025_Chase1117_Activity_!$B$2:$B$2300,"&gt;="&amp;B$4,Angela_2025_Chase1117_Activity_!$B$2:$B$2300,"&lt;="&amp;EOMONTH(B$4,0),Angela_2025_Chase1117_Activity_!$G$2:$G$2300,$A6)</f>
        <v>0</v>
      </c>
      <c r="C6" s="24">
        <f>SUMIFS(Angela_2025_Chase1117_Activity_!$D$2:$D$2300,Angela_2025_Chase1117_Activity_!$B$2:$B$2300,"&gt;="&amp;C$4,Angela_2025_Chase1117_Activity_!$B$2:$B$2300,"&lt;="&amp;EOMONTH(C$4,0),Angela_2025_Chase1117_Activity_!$G$2:$G$2300,$A6)</f>
        <v>-600</v>
      </c>
      <c r="D6" s="24">
        <f>SUMIFS(Angela_2025_Chase1117_Activity_!$D$2:$D$2300,Angela_2025_Chase1117_Activity_!$B$2:$B$2300,"&gt;="&amp;D$4,Angela_2025_Chase1117_Activity_!$B$2:$B$2300,"&lt;="&amp;EOMONTH(D$4,0),Angela_2025_Chase1117_Activity_!$G$2:$G$2300,$A6)</f>
        <v>-1000</v>
      </c>
      <c r="E6" s="24">
        <f>SUMIFS(Angela_2025_Chase1117_Activity_!$D$2:$D$2300,Angela_2025_Chase1117_Activity_!$B$2:$B$2300,"&gt;="&amp;E$4,Angela_2025_Chase1117_Activity_!$B$2:$B$2300,"&lt;="&amp;EOMONTH(E$4,0),Angela_2025_Chase1117_Activity_!$G$2:$G$2300,$A6)</f>
        <v>-2000</v>
      </c>
      <c r="F6" s="24">
        <f>SUMIFS(Angela_2025_Chase1117_Activity_!$D$2:$D$2300,Angela_2025_Chase1117_Activity_!$B$2:$B$2300,"&gt;="&amp;F$4,Angela_2025_Chase1117_Activity_!$B$2:$B$2300,"&lt;="&amp;EOMONTH(F$4,0),Angela_2025_Chase1117_Activity_!$G$2:$G$2300,$A6)</f>
        <v>0</v>
      </c>
      <c r="G6" s="24">
        <f>SUMIFS(Angela_2025_Chase1117_Activity_!$D$2:$D$2300,Angela_2025_Chase1117_Activity_!$B$2:$B$2300,"&gt;="&amp;G$4,Angela_2025_Chase1117_Activity_!$B$2:$B$2300,"&lt;="&amp;EOMONTH(G$4,0),Angela_2025_Chase1117_Activity_!$G$2:$G$2300,$A6)</f>
        <v>-400</v>
      </c>
      <c r="H6" s="24">
        <f>SUMIFS(Angela_2025_Chase1117_Activity_!$D$2:$D$2300,Angela_2025_Chase1117_Activity_!$B$2:$B$2300,"&gt;="&amp;H$4,Angela_2025_Chase1117_Activity_!$B$2:$B$2300,"&lt;="&amp;EOMONTH(H$4,0),Angela_2025_Chase1117_Activity_!$G$2:$G$2300,$A6)</f>
        <v>0</v>
      </c>
      <c r="I6" s="24">
        <f>SUMIFS(Angela_2025_Chase1117_Activity_!$D$2:$D$2300,Angela_2025_Chase1117_Activity_!$B$2:$B$2300,"&gt;="&amp;I$4,Angela_2025_Chase1117_Activity_!$B$2:$B$2300,"&lt;="&amp;EOMONTH(I$4,0),Angela_2025_Chase1117_Activity_!$G$2:$G$2300,$A6)</f>
        <v>-500</v>
      </c>
      <c r="J6" s="24">
        <f>SUMIFS(Angela_2025_Chase1117_Activity_!$D$2:$D$2300,Angela_2025_Chase1117_Activity_!$B$2:$B$2300,"&gt;="&amp;J$4,Angela_2025_Chase1117_Activity_!$B$2:$B$2300,"&lt;="&amp;EOMONTH(J$4,0),Angela_2025_Chase1117_Activity_!$G$2:$G$2300,$A6)</f>
        <v>-4400</v>
      </c>
      <c r="K6" s="24">
        <f>SUMIFS(Angela_2025_Chase1117_Activity_!$D$2:$D$2300,Angela_2025_Chase1117_Activity_!$B$2:$B$2300,"&gt;="&amp;K$4,Angela_2025_Chase1117_Activity_!$B$2:$B$2300,"&lt;="&amp;EOMONTH(K$4,0),Angela_2025_Chase1117_Activity_!$G$2:$G$2300,$A6)</f>
        <v>-2400</v>
      </c>
      <c r="L6" s="24">
        <f>SUMIFS(Angela_2025_Chase1117_Activity_!$D$2:$D$2300,Angela_2025_Chase1117_Activity_!$B$2:$B$2300,"&gt;="&amp;L$4,Angela_2025_Chase1117_Activity_!$B$2:$B$2300,"&lt;="&amp;EOMONTH(L$4,0),Angela_2025_Chase1117_Activity_!$G$2:$G$2300,$A6)</f>
        <v>-100</v>
      </c>
      <c r="M6" s="24">
        <f>SUMIFS(Angela_2025_Chase1117_Activity_!$D$2:$D$2300,Angela_2025_Chase1117_Activity_!$B$2:$B$2300,"&gt;="&amp;M$4,Angela_2025_Chase1117_Activity_!$B$2:$B$2300,"&lt;="&amp;EOMONTH(M$4,0),Angela_2025_Chase1117_Activity_!$G$2:$G$2300,$A6)</f>
        <v>-1100</v>
      </c>
      <c r="N6" s="24">
        <f>SUM(B6:M6)</f>
        <v>-12500</v>
      </c>
    </row>
    <row r="7" spans="1:14" x14ac:dyDescent="0.25">
      <c r="A7" s="6" t="s">
        <v>1638</v>
      </c>
      <c r="B7" s="24">
        <f>SUMIFS(Angela_2025_Chase1117_Activity_!$D$2:$D$2300,Angela_2025_Chase1117_Activity_!$B$2:$B$2300,"&gt;="&amp;B$4,Angela_2025_Chase1117_Activity_!$B$2:$B$2300,"&lt;="&amp;EOMONTH(B$4,0),Angela_2025_Chase1117_Activity_!$G$2:$G$2300,$A7)</f>
        <v>0</v>
      </c>
      <c r="C7" s="24">
        <f>SUMIFS(Angela_2025_Chase1117_Activity_!$D$2:$D$2300,Angela_2025_Chase1117_Activity_!$B$2:$B$2300,"&gt;="&amp;C$4,Angela_2025_Chase1117_Activity_!$B$2:$B$2300,"&lt;="&amp;EOMONTH(C$4,0),Angela_2025_Chase1117_Activity_!$G$2:$G$2300,$A7)</f>
        <v>0</v>
      </c>
      <c r="D7" s="24">
        <f>SUMIFS(Angela_2025_Chase1117_Activity_!$D$2:$D$2300,Angela_2025_Chase1117_Activity_!$B$2:$B$2300,"&gt;="&amp;D$4,Angela_2025_Chase1117_Activity_!$B$2:$B$2300,"&lt;="&amp;EOMONTH(D$4,0),Angela_2025_Chase1117_Activity_!$G$2:$G$2300,$A7)</f>
        <v>0</v>
      </c>
      <c r="E7" s="24">
        <f>SUMIFS(Angela_2025_Chase1117_Activity_!$D$2:$D$2300,Angela_2025_Chase1117_Activity_!$B$2:$B$2300,"&gt;="&amp;E$4,Angela_2025_Chase1117_Activity_!$B$2:$B$2300,"&lt;="&amp;EOMONTH(E$4,0),Angela_2025_Chase1117_Activity_!$G$2:$G$2300,$A7)</f>
        <v>0</v>
      </c>
      <c r="F7" s="24">
        <f>SUMIFS(Angela_2025_Chase1117_Activity_!$D$2:$D$2300,Angela_2025_Chase1117_Activity_!$B$2:$B$2300,"&gt;="&amp;F$4,Angela_2025_Chase1117_Activity_!$B$2:$B$2300,"&lt;="&amp;EOMONTH(F$4,0),Angela_2025_Chase1117_Activity_!$G$2:$G$2300,$A7)</f>
        <v>1000</v>
      </c>
      <c r="G7" s="24">
        <f>SUMIFS(Angela_2025_Chase1117_Activity_!$D$2:$D$2300,Angela_2025_Chase1117_Activity_!$B$2:$B$2300,"&gt;="&amp;G$4,Angela_2025_Chase1117_Activity_!$B$2:$B$2300,"&lt;="&amp;EOMONTH(G$4,0),Angela_2025_Chase1117_Activity_!$G$2:$G$2300,$A7)</f>
        <v>0</v>
      </c>
      <c r="H7" s="24">
        <f>SUMIFS(Angela_2025_Chase1117_Activity_!$D$2:$D$2300,Angela_2025_Chase1117_Activity_!$B$2:$B$2300,"&gt;="&amp;H$4,Angela_2025_Chase1117_Activity_!$B$2:$B$2300,"&lt;="&amp;EOMONTH(H$4,0),Angela_2025_Chase1117_Activity_!$G$2:$G$2300,$A7)</f>
        <v>0</v>
      </c>
      <c r="I7" s="24">
        <f>SUMIFS(Angela_2025_Chase1117_Activity_!$D$2:$D$2300,Angela_2025_Chase1117_Activity_!$B$2:$B$2300,"&gt;="&amp;I$4,Angela_2025_Chase1117_Activity_!$B$2:$B$2300,"&lt;="&amp;EOMONTH(I$4,0),Angela_2025_Chase1117_Activity_!$G$2:$G$2300,$A7)</f>
        <v>0</v>
      </c>
      <c r="J7" s="24">
        <f>SUMIFS(Angela_2025_Chase1117_Activity_!$D$2:$D$2300,Angela_2025_Chase1117_Activity_!$B$2:$B$2300,"&gt;="&amp;J$4,Angela_2025_Chase1117_Activity_!$B$2:$B$2300,"&lt;="&amp;EOMONTH(J$4,0),Angela_2025_Chase1117_Activity_!$G$2:$G$2300,$A7)</f>
        <v>0</v>
      </c>
      <c r="K7" s="24">
        <f>SUMIFS(Angela_2025_Chase1117_Activity_!$D$2:$D$2300,Angela_2025_Chase1117_Activity_!$B$2:$B$2300,"&gt;="&amp;K$4,Angela_2025_Chase1117_Activity_!$B$2:$B$2300,"&lt;="&amp;EOMONTH(K$4,0),Angela_2025_Chase1117_Activity_!$G$2:$G$2300,$A7)</f>
        <v>0</v>
      </c>
      <c r="L7" s="24">
        <f>SUMIFS(Angela_2025_Chase1117_Activity_!$D$2:$D$2300,Angela_2025_Chase1117_Activity_!$B$2:$B$2300,"&gt;="&amp;L$4,Angela_2025_Chase1117_Activity_!$B$2:$B$2300,"&lt;="&amp;EOMONTH(L$4,0),Angela_2025_Chase1117_Activity_!$G$2:$G$2300,$A7)</f>
        <v>0</v>
      </c>
      <c r="M7" s="24">
        <f>SUMIFS(Angela_2025_Chase1117_Activity_!$D$2:$D$2300,Angela_2025_Chase1117_Activity_!$B$2:$B$2300,"&gt;="&amp;M$4,Angela_2025_Chase1117_Activity_!$B$2:$B$2300,"&lt;="&amp;EOMONTH(M$4,0),Angela_2025_Chase1117_Activity_!$G$2:$G$2300,$A7)</f>
        <v>0</v>
      </c>
      <c r="N7" s="24">
        <f>SUM(B7:M7)</f>
        <v>1000</v>
      </c>
    </row>
    <row r="8" spans="1:14" x14ac:dyDescent="0.25">
      <c r="A8" s="6" t="s">
        <v>2586</v>
      </c>
      <c r="B8" s="24">
        <f>SUMIFS(Angela_2025_Chase1117_Activity_!$D$2:$D$2300,Angela_2025_Chase1117_Activity_!$B$2:$B$2300,"&gt;="&amp;B$4,Angela_2025_Chase1117_Activity_!$B$2:$B$2300,"&lt;="&amp;EOMONTH(B$4,0),Angela_2025_Chase1117_Activity_!$G$2:$G$2300,$A8)</f>
        <v>0</v>
      </c>
      <c r="C8" s="24">
        <f>SUMIFS(Angela_2025_Chase1117_Activity_!$D$2:$D$2300,Angela_2025_Chase1117_Activity_!$B$2:$B$2300,"&gt;="&amp;C$4,Angela_2025_Chase1117_Activity_!$B$2:$B$2300,"&lt;="&amp;EOMONTH(C$4,0),Angela_2025_Chase1117_Activity_!$G$2:$G$2300,$A8)</f>
        <v>0</v>
      </c>
      <c r="D8" s="24">
        <f>SUMIFS(Angela_2025_Chase1117_Activity_!$D$2:$D$2300,Angela_2025_Chase1117_Activity_!$B$2:$B$2300,"&gt;="&amp;D$4,Angela_2025_Chase1117_Activity_!$B$2:$B$2300,"&lt;="&amp;EOMONTH(D$4,0),Angela_2025_Chase1117_Activity_!$G$2:$G$2300,$A8)</f>
        <v>0</v>
      </c>
      <c r="E8" s="24">
        <f>SUMIFS(Angela_2025_Chase1117_Activity_!$D$2:$D$2300,Angela_2025_Chase1117_Activity_!$B$2:$B$2300,"&gt;="&amp;E$4,Angela_2025_Chase1117_Activity_!$B$2:$B$2300,"&lt;="&amp;EOMONTH(E$4,0),Angela_2025_Chase1117_Activity_!$G$2:$G$2300,$A8)</f>
        <v>0</v>
      </c>
      <c r="F8" s="24">
        <f>SUMIFS(Angela_2025_Chase1117_Activity_!$D$2:$D$2300,Angela_2025_Chase1117_Activity_!$B$2:$B$2300,"&gt;="&amp;F$4,Angela_2025_Chase1117_Activity_!$B$2:$B$2300,"&lt;="&amp;EOMONTH(F$4,0),Angela_2025_Chase1117_Activity_!$G$2:$G$2300,$A8)</f>
        <v>0</v>
      </c>
      <c r="G8" s="24">
        <f>SUMIFS(Angela_2025_Chase1117_Activity_!$D$2:$D$2300,Angela_2025_Chase1117_Activity_!$B$2:$B$2300,"&gt;="&amp;G$4,Angela_2025_Chase1117_Activity_!$B$2:$B$2300,"&lt;="&amp;EOMONTH(G$4,0),Angela_2025_Chase1117_Activity_!$G$2:$G$2300,$A8)</f>
        <v>0</v>
      </c>
      <c r="H8" s="24">
        <f>SUMIFS(Angela_2025_Chase1117_Activity_!$D$2:$D$2300,Angela_2025_Chase1117_Activity_!$B$2:$B$2300,"&gt;="&amp;H$4,Angela_2025_Chase1117_Activity_!$B$2:$B$2300,"&lt;="&amp;EOMONTH(H$4,0),Angela_2025_Chase1117_Activity_!$G$2:$G$2300,$A8)</f>
        <v>-300</v>
      </c>
      <c r="I8" s="24">
        <f>SUMIFS(Angela_2025_Chase1117_Activity_!$D$2:$D$2300,Angela_2025_Chase1117_Activity_!$B$2:$B$2300,"&gt;="&amp;I$4,Angela_2025_Chase1117_Activity_!$B$2:$B$2300,"&lt;="&amp;EOMONTH(I$4,0),Angela_2025_Chase1117_Activity_!$G$2:$G$2300,$A8)</f>
        <v>0</v>
      </c>
      <c r="J8" s="24">
        <f>SUMIFS(Angela_2025_Chase1117_Activity_!$D$2:$D$2300,Angela_2025_Chase1117_Activity_!$B$2:$B$2300,"&gt;="&amp;J$4,Angela_2025_Chase1117_Activity_!$B$2:$B$2300,"&lt;="&amp;EOMONTH(J$4,0),Angela_2025_Chase1117_Activity_!$G$2:$G$2300,$A8)</f>
        <v>0</v>
      </c>
      <c r="K8" s="24">
        <f>SUMIFS(Angela_2025_Chase1117_Activity_!$D$2:$D$2300,Angela_2025_Chase1117_Activity_!$B$2:$B$2300,"&gt;="&amp;K$4,Angela_2025_Chase1117_Activity_!$B$2:$B$2300,"&lt;="&amp;EOMONTH(K$4,0),Angela_2025_Chase1117_Activity_!$G$2:$G$2300,$A8)</f>
        <v>0</v>
      </c>
      <c r="L8" s="24">
        <f>SUMIFS(Angela_2025_Chase1117_Activity_!$D$2:$D$2300,Angela_2025_Chase1117_Activity_!$B$2:$B$2300,"&gt;="&amp;L$4,Angela_2025_Chase1117_Activity_!$B$2:$B$2300,"&lt;="&amp;EOMONTH(L$4,0),Angela_2025_Chase1117_Activity_!$G$2:$G$2300,$A8)</f>
        <v>0</v>
      </c>
      <c r="M8" s="24">
        <f>SUMIFS(Angela_2025_Chase1117_Activity_!$D$2:$D$2300,Angela_2025_Chase1117_Activity_!$B$2:$B$2300,"&gt;="&amp;M$4,Angela_2025_Chase1117_Activity_!$B$2:$B$2300,"&lt;="&amp;EOMONTH(M$4,0),Angela_2025_Chase1117_Activity_!$G$2:$G$2300,$A8)</f>
        <v>0</v>
      </c>
      <c r="N8" s="24">
        <f>SUM(B8:M8)</f>
        <v>-300</v>
      </c>
    </row>
    <row r="9" spans="1:14" x14ac:dyDescent="0.25">
      <c r="A9" s="6" t="s">
        <v>1445</v>
      </c>
      <c r="B9" s="24">
        <f>SUMIFS(Angela_2025_Chase1117_Activity_!$D$2:$D$2300,Angela_2025_Chase1117_Activity_!$B$2:$B$2300,"&gt;="&amp;B$4,Angela_2025_Chase1117_Activity_!$B$2:$B$2300,"&lt;="&amp;EOMONTH(B$4,0),Angela_2025_Chase1117_Activity_!$G$2:$G$2300,$A9)</f>
        <v>0</v>
      </c>
      <c r="C9" s="24">
        <f>SUMIFS(Angela_2025_Chase1117_Activity_!$D$2:$D$2300,Angela_2025_Chase1117_Activity_!$B$2:$B$2300,"&gt;="&amp;C$4,Angela_2025_Chase1117_Activity_!$B$2:$B$2300,"&lt;="&amp;EOMONTH(C$4,0),Angela_2025_Chase1117_Activity_!$G$2:$G$2300,$A9)</f>
        <v>0</v>
      </c>
      <c r="D9" s="24">
        <f>SUMIFS(Angela_2025_Chase1117_Activity_!$D$2:$D$2300,Angela_2025_Chase1117_Activity_!$B$2:$B$2300,"&gt;="&amp;D$4,Angela_2025_Chase1117_Activity_!$B$2:$B$2300,"&lt;="&amp;EOMONTH(D$4,0),Angela_2025_Chase1117_Activity_!$G$2:$G$2300,$A9)</f>
        <v>0</v>
      </c>
      <c r="E9" s="24">
        <f>SUMIFS(Angela_2025_Chase1117_Activity_!$D$2:$D$2300,Angela_2025_Chase1117_Activity_!$B$2:$B$2300,"&gt;="&amp;E$4,Angela_2025_Chase1117_Activity_!$B$2:$B$2300,"&lt;="&amp;EOMONTH(E$4,0),Angela_2025_Chase1117_Activity_!$G$2:$G$2300,$A9)</f>
        <v>0</v>
      </c>
      <c r="F9" s="24">
        <f>SUMIFS(Angela_2025_Chase1117_Activity_!$D$2:$D$2300,Angela_2025_Chase1117_Activity_!$B$2:$B$2300,"&gt;="&amp;F$4,Angela_2025_Chase1117_Activity_!$B$2:$B$2300,"&lt;="&amp;EOMONTH(F$4,0),Angela_2025_Chase1117_Activity_!$G$2:$G$2300,$A9)</f>
        <v>0</v>
      </c>
      <c r="G9" s="24">
        <f>SUMIFS(Angela_2025_Chase1117_Activity_!$D$2:$D$2300,Angela_2025_Chase1117_Activity_!$B$2:$B$2300,"&gt;="&amp;G$4,Angela_2025_Chase1117_Activity_!$B$2:$B$2300,"&lt;="&amp;EOMONTH(G$4,0),Angela_2025_Chase1117_Activity_!$G$2:$G$2300,$A9)</f>
        <v>0</v>
      </c>
      <c r="H9" s="24">
        <f>SUMIFS(Angela_2025_Chase1117_Activity_!$D$2:$D$2300,Angela_2025_Chase1117_Activity_!$B$2:$B$2300,"&gt;="&amp;H$4,Angela_2025_Chase1117_Activity_!$B$2:$B$2300,"&lt;="&amp;EOMONTH(H$4,0),Angela_2025_Chase1117_Activity_!$G$2:$G$2300,$A9)</f>
        <v>0</v>
      </c>
      <c r="I9" s="24">
        <f>SUMIFS(Angela_2025_Chase1117_Activity_!$D$2:$D$2300,Angela_2025_Chase1117_Activity_!$B$2:$B$2300,"&gt;="&amp;I$4,Angela_2025_Chase1117_Activity_!$B$2:$B$2300,"&lt;="&amp;EOMONTH(I$4,0),Angela_2025_Chase1117_Activity_!$G$2:$G$2300,$A9)</f>
        <v>225</v>
      </c>
      <c r="J9" s="24">
        <f>SUMIFS(Angela_2025_Chase1117_Activity_!$D$2:$D$2300,Angela_2025_Chase1117_Activity_!$B$2:$B$2300,"&gt;="&amp;J$4,Angela_2025_Chase1117_Activity_!$B$2:$B$2300,"&lt;="&amp;EOMONTH(J$4,0),Angela_2025_Chase1117_Activity_!$G$2:$G$2300,$A9)</f>
        <v>150</v>
      </c>
      <c r="K9" s="24">
        <f>SUMIFS(Angela_2025_Chase1117_Activity_!$D$2:$D$2300,Angela_2025_Chase1117_Activity_!$B$2:$B$2300,"&gt;="&amp;K$4,Angela_2025_Chase1117_Activity_!$B$2:$B$2300,"&lt;="&amp;EOMONTH(K$4,0),Angela_2025_Chase1117_Activity_!$G$2:$G$2300,$A9)</f>
        <v>0</v>
      </c>
      <c r="L9" s="24">
        <f>SUMIFS(Angela_2025_Chase1117_Activity_!$D$2:$D$2300,Angela_2025_Chase1117_Activity_!$B$2:$B$2300,"&gt;="&amp;L$4,Angela_2025_Chase1117_Activity_!$B$2:$B$2300,"&lt;="&amp;EOMONTH(L$4,0),Angela_2025_Chase1117_Activity_!$G$2:$G$2300,$A9)</f>
        <v>0</v>
      </c>
      <c r="M9" s="24">
        <f>SUMIFS(Angela_2025_Chase1117_Activity_!$D$2:$D$2300,Angela_2025_Chase1117_Activity_!$B$2:$B$2300,"&gt;="&amp;M$4,Angela_2025_Chase1117_Activity_!$B$2:$B$2300,"&lt;="&amp;EOMONTH(M$4,0),Angela_2025_Chase1117_Activity_!$G$2:$G$2300,$A9)</f>
        <v>0</v>
      </c>
      <c r="N9" s="24">
        <f>SUM(B9:M9)</f>
        <v>375</v>
      </c>
    </row>
    <row r="10" spans="1:14" x14ac:dyDescent="0.25">
      <c r="A10" s="6" t="s">
        <v>1449</v>
      </c>
      <c r="B10" s="24">
        <f>SUMIFS(Angela_2025_Chase1117_Activity_!$D$2:$D$2300,Angela_2025_Chase1117_Activity_!$B$2:$B$2300,"&gt;="&amp;B$4,Angela_2025_Chase1117_Activity_!$B$2:$B$2300,"&lt;="&amp;EOMONTH(B$4,0),Angela_2025_Chase1117_Activity_!$G$2:$G$2300,$A10)</f>
        <v>0</v>
      </c>
      <c r="C10" s="24">
        <f>SUMIFS(Angela_2025_Chase1117_Activity_!$D$2:$D$2300,Angela_2025_Chase1117_Activity_!$B$2:$B$2300,"&gt;="&amp;C$4,Angela_2025_Chase1117_Activity_!$B$2:$B$2300,"&lt;="&amp;EOMONTH(C$4,0),Angela_2025_Chase1117_Activity_!$G$2:$G$2300,$A10)</f>
        <v>450</v>
      </c>
      <c r="D10" s="24">
        <f>SUMIFS(Angela_2025_Chase1117_Activity_!$D$2:$D$2300,Angela_2025_Chase1117_Activity_!$B$2:$B$2300,"&gt;="&amp;D$4,Angela_2025_Chase1117_Activity_!$B$2:$B$2300,"&lt;="&amp;EOMONTH(D$4,0),Angela_2025_Chase1117_Activity_!$G$2:$G$2300,$A10)</f>
        <v>0</v>
      </c>
      <c r="E10" s="24">
        <f>SUMIFS(Angela_2025_Chase1117_Activity_!$D$2:$D$2300,Angela_2025_Chase1117_Activity_!$B$2:$B$2300,"&gt;="&amp;E$4,Angela_2025_Chase1117_Activity_!$B$2:$B$2300,"&lt;="&amp;EOMONTH(E$4,0),Angela_2025_Chase1117_Activity_!$G$2:$G$2300,$A10)</f>
        <v>450</v>
      </c>
      <c r="F10" s="24">
        <f>SUMIFS(Angela_2025_Chase1117_Activity_!$D$2:$D$2300,Angela_2025_Chase1117_Activity_!$B$2:$B$2300,"&gt;="&amp;F$4,Angela_2025_Chase1117_Activity_!$B$2:$B$2300,"&lt;="&amp;EOMONTH(F$4,0),Angela_2025_Chase1117_Activity_!$G$2:$G$2300,$A10)</f>
        <v>0</v>
      </c>
      <c r="G10" s="24">
        <f>SUMIFS(Angela_2025_Chase1117_Activity_!$D$2:$D$2300,Angela_2025_Chase1117_Activity_!$B$2:$B$2300,"&gt;="&amp;G$4,Angela_2025_Chase1117_Activity_!$B$2:$B$2300,"&lt;="&amp;EOMONTH(G$4,0),Angela_2025_Chase1117_Activity_!$G$2:$G$2300,$A10)</f>
        <v>0</v>
      </c>
      <c r="H10" s="24">
        <f>SUMIFS(Angela_2025_Chase1117_Activity_!$D$2:$D$2300,Angela_2025_Chase1117_Activity_!$B$2:$B$2300,"&gt;="&amp;H$4,Angela_2025_Chase1117_Activity_!$B$2:$B$2300,"&lt;="&amp;EOMONTH(H$4,0),Angela_2025_Chase1117_Activity_!$G$2:$G$2300,$A10)</f>
        <v>150</v>
      </c>
      <c r="I10" s="24">
        <f>SUMIFS(Angela_2025_Chase1117_Activity_!$D$2:$D$2300,Angela_2025_Chase1117_Activity_!$B$2:$B$2300,"&gt;="&amp;I$4,Angela_2025_Chase1117_Activity_!$B$2:$B$2300,"&lt;="&amp;EOMONTH(I$4,0),Angela_2025_Chase1117_Activity_!$G$2:$G$2300,$A10)</f>
        <v>0</v>
      </c>
      <c r="J10" s="24">
        <f>SUMIFS(Angela_2025_Chase1117_Activity_!$D$2:$D$2300,Angela_2025_Chase1117_Activity_!$B$2:$B$2300,"&gt;="&amp;J$4,Angela_2025_Chase1117_Activity_!$B$2:$B$2300,"&lt;="&amp;EOMONTH(J$4,0),Angela_2025_Chase1117_Activity_!$G$2:$G$2300,$A10)</f>
        <v>0</v>
      </c>
      <c r="K10" s="24">
        <f>SUMIFS(Angela_2025_Chase1117_Activity_!$D$2:$D$2300,Angela_2025_Chase1117_Activity_!$B$2:$B$2300,"&gt;="&amp;K$4,Angela_2025_Chase1117_Activity_!$B$2:$B$2300,"&lt;="&amp;EOMONTH(K$4,0),Angela_2025_Chase1117_Activity_!$G$2:$G$2300,$A10)</f>
        <v>0</v>
      </c>
      <c r="L10" s="24">
        <f>SUMIFS(Angela_2025_Chase1117_Activity_!$D$2:$D$2300,Angela_2025_Chase1117_Activity_!$B$2:$B$2300,"&gt;="&amp;L$4,Angela_2025_Chase1117_Activity_!$B$2:$B$2300,"&lt;="&amp;EOMONTH(L$4,0),Angela_2025_Chase1117_Activity_!$G$2:$G$2300,$A10)</f>
        <v>0</v>
      </c>
      <c r="M10" s="24">
        <f>SUMIFS(Angela_2025_Chase1117_Activity_!$D$2:$D$2300,Angela_2025_Chase1117_Activity_!$B$2:$B$2300,"&gt;="&amp;M$4,Angela_2025_Chase1117_Activity_!$B$2:$B$2300,"&lt;="&amp;EOMONTH(M$4,0),Angela_2025_Chase1117_Activity_!$G$2:$G$2300,$A10)</f>
        <v>300</v>
      </c>
      <c r="N10" s="24">
        <f>SUM(B10:M10)</f>
        <v>1350</v>
      </c>
    </row>
    <row r="11" spans="1:14" x14ac:dyDescent="0.25">
      <c r="A11" s="6" t="s">
        <v>2608</v>
      </c>
      <c r="B11" s="24">
        <f>SUMIFS(Angela_2025_Chase1117_Activity_!$D$2:$D$2300,Angela_2025_Chase1117_Activity_!$B$2:$B$2300,"&gt;="&amp;B$4,Angela_2025_Chase1117_Activity_!$B$2:$B$2300,"&lt;="&amp;EOMONTH(B$4,0),Angela_2025_Chase1117_Activity_!$G$2:$G$2300,$A11)</f>
        <v>0</v>
      </c>
      <c r="C11" s="24">
        <f>SUMIFS(Angela_2025_Chase1117_Activity_!$D$2:$D$2300,Angela_2025_Chase1117_Activity_!$B$2:$B$2300,"&gt;="&amp;C$4,Angela_2025_Chase1117_Activity_!$B$2:$B$2300,"&lt;="&amp;EOMONTH(C$4,0),Angela_2025_Chase1117_Activity_!$G$2:$G$2300,$A11)</f>
        <v>130</v>
      </c>
      <c r="D11" s="24">
        <f>SUMIFS(Angela_2025_Chase1117_Activity_!$D$2:$D$2300,Angela_2025_Chase1117_Activity_!$B$2:$B$2300,"&gt;="&amp;D$4,Angela_2025_Chase1117_Activity_!$B$2:$B$2300,"&lt;="&amp;EOMONTH(D$4,0),Angela_2025_Chase1117_Activity_!$G$2:$G$2300,$A11)</f>
        <v>130</v>
      </c>
      <c r="E11" s="24">
        <f>SUMIFS(Angela_2025_Chase1117_Activity_!$D$2:$D$2300,Angela_2025_Chase1117_Activity_!$B$2:$B$2300,"&gt;="&amp;E$4,Angela_2025_Chase1117_Activity_!$B$2:$B$2300,"&lt;="&amp;EOMONTH(E$4,0),Angela_2025_Chase1117_Activity_!$G$2:$G$2300,$A11)</f>
        <v>0</v>
      </c>
      <c r="F11" s="24">
        <f>SUMIFS(Angela_2025_Chase1117_Activity_!$D$2:$D$2300,Angela_2025_Chase1117_Activity_!$B$2:$B$2300,"&gt;="&amp;F$4,Angela_2025_Chase1117_Activity_!$B$2:$B$2300,"&lt;="&amp;EOMONTH(F$4,0),Angela_2025_Chase1117_Activity_!$G$2:$G$2300,$A11)</f>
        <v>1130</v>
      </c>
      <c r="G11" s="24">
        <f>SUMIFS(Angela_2025_Chase1117_Activity_!$D$2:$D$2300,Angela_2025_Chase1117_Activity_!$B$2:$B$2300,"&gt;="&amp;G$4,Angela_2025_Chase1117_Activity_!$B$2:$B$2300,"&lt;="&amp;EOMONTH(G$4,0),Angela_2025_Chase1117_Activity_!$G$2:$G$2300,$A11)</f>
        <v>530</v>
      </c>
      <c r="H11" s="24">
        <f>SUMIFS(Angela_2025_Chase1117_Activity_!$D$2:$D$2300,Angela_2025_Chase1117_Activity_!$B$2:$B$2300,"&gt;="&amp;H$4,Angela_2025_Chase1117_Activity_!$B$2:$B$2300,"&lt;="&amp;EOMONTH(H$4,0),Angela_2025_Chase1117_Activity_!$G$2:$G$2300,$A11)</f>
        <v>0</v>
      </c>
      <c r="I11" s="24">
        <f>SUMIFS(Angela_2025_Chase1117_Activity_!$D$2:$D$2300,Angela_2025_Chase1117_Activity_!$B$2:$B$2300,"&gt;="&amp;I$4,Angela_2025_Chase1117_Activity_!$B$2:$B$2300,"&lt;="&amp;EOMONTH(I$4,0),Angela_2025_Chase1117_Activity_!$G$2:$G$2300,$A11)</f>
        <v>530</v>
      </c>
      <c r="J11" s="24">
        <f>SUMIFS(Angela_2025_Chase1117_Activity_!$D$2:$D$2300,Angela_2025_Chase1117_Activity_!$B$2:$B$2300,"&gt;="&amp;J$4,Angela_2025_Chase1117_Activity_!$B$2:$B$2300,"&lt;="&amp;EOMONTH(J$4,0),Angela_2025_Chase1117_Activity_!$G$2:$G$2300,$A11)</f>
        <v>500</v>
      </c>
      <c r="K11" s="24">
        <f>SUMIFS(Angela_2025_Chase1117_Activity_!$D$2:$D$2300,Angela_2025_Chase1117_Activity_!$B$2:$B$2300,"&gt;="&amp;K$4,Angela_2025_Chase1117_Activity_!$B$2:$B$2300,"&lt;="&amp;EOMONTH(K$4,0),Angela_2025_Chase1117_Activity_!$G$2:$G$2300,$A11)</f>
        <v>0</v>
      </c>
      <c r="L11" s="24">
        <f>SUMIFS(Angela_2025_Chase1117_Activity_!$D$2:$D$2300,Angela_2025_Chase1117_Activity_!$B$2:$B$2300,"&gt;="&amp;L$4,Angela_2025_Chase1117_Activity_!$B$2:$B$2300,"&lt;="&amp;EOMONTH(L$4,0),Angela_2025_Chase1117_Activity_!$G$2:$G$2300,$A11)</f>
        <v>1000</v>
      </c>
      <c r="M11" s="24">
        <f>SUMIFS(Angela_2025_Chase1117_Activity_!$D$2:$D$2300,Angela_2025_Chase1117_Activity_!$B$2:$B$2300,"&gt;="&amp;M$4,Angela_2025_Chase1117_Activity_!$B$2:$B$2300,"&lt;="&amp;EOMONTH(M$4,0),Angela_2025_Chase1117_Activity_!$G$2:$G$2300,$A11)</f>
        <v>0</v>
      </c>
      <c r="N11" s="24">
        <f>SUM(B11:M11)</f>
        <v>3950</v>
      </c>
    </row>
    <row r="12" spans="1:14" x14ac:dyDescent="0.25">
      <c r="A12" s="6" t="s">
        <v>2609</v>
      </c>
      <c r="B12" s="24">
        <f>SUMIFS(Angela_2025_Chase1117_Activity_!$D$2:$D$2300,Angela_2025_Chase1117_Activity_!$B$2:$B$2300,"&gt;="&amp;B$4,Angela_2025_Chase1117_Activity_!$B$2:$B$2300,"&lt;="&amp;EOMONTH(B$4,0),Angela_2025_Chase1117_Activity_!$G$2:$G$2300,$A12)</f>
        <v>0</v>
      </c>
      <c r="C12" s="24">
        <f>SUMIFS(Angela_2025_Chase1117_Activity_!$D$2:$D$2300,Angela_2025_Chase1117_Activity_!$B$2:$B$2300,"&gt;="&amp;C$4,Angela_2025_Chase1117_Activity_!$B$2:$B$2300,"&lt;="&amp;EOMONTH(C$4,0),Angela_2025_Chase1117_Activity_!$G$2:$G$2300,$A12)</f>
        <v>0</v>
      </c>
      <c r="D12" s="24">
        <f>SUMIFS(Angela_2025_Chase1117_Activity_!$D$2:$D$2300,Angela_2025_Chase1117_Activity_!$B$2:$B$2300,"&gt;="&amp;D$4,Angela_2025_Chase1117_Activity_!$B$2:$B$2300,"&lt;="&amp;EOMONTH(D$4,0),Angela_2025_Chase1117_Activity_!$G$2:$G$2300,$A12)</f>
        <v>0</v>
      </c>
      <c r="E12" s="24">
        <f>SUMIFS(Angela_2025_Chase1117_Activity_!$D$2:$D$2300,Angela_2025_Chase1117_Activity_!$B$2:$B$2300,"&gt;="&amp;E$4,Angela_2025_Chase1117_Activity_!$B$2:$B$2300,"&lt;="&amp;EOMONTH(E$4,0),Angela_2025_Chase1117_Activity_!$G$2:$G$2300,$A12)</f>
        <v>0</v>
      </c>
      <c r="F12" s="24">
        <f>SUMIFS(Angela_2025_Chase1117_Activity_!$D$2:$D$2300,Angela_2025_Chase1117_Activity_!$B$2:$B$2300,"&gt;="&amp;F$4,Angela_2025_Chase1117_Activity_!$B$2:$B$2300,"&lt;="&amp;EOMONTH(F$4,0),Angela_2025_Chase1117_Activity_!$G$2:$G$2300,$A12)</f>
        <v>-500</v>
      </c>
      <c r="G12" s="24">
        <f>SUMIFS(Angela_2025_Chase1117_Activity_!$D$2:$D$2300,Angela_2025_Chase1117_Activity_!$B$2:$B$2300,"&gt;="&amp;G$4,Angela_2025_Chase1117_Activity_!$B$2:$B$2300,"&lt;="&amp;EOMONTH(G$4,0),Angela_2025_Chase1117_Activity_!$G$2:$G$2300,$A12)</f>
        <v>0</v>
      </c>
      <c r="H12" s="24">
        <f>SUMIFS(Angela_2025_Chase1117_Activity_!$D$2:$D$2300,Angela_2025_Chase1117_Activity_!$B$2:$B$2300,"&gt;="&amp;H$4,Angela_2025_Chase1117_Activity_!$B$2:$B$2300,"&lt;="&amp;EOMONTH(H$4,0),Angela_2025_Chase1117_Activity_!$G$2:$G$2300,$A12)</f>
        <v>0</v>
      </c>
      <c r="I12" s="24">
        <f>SUMIFS(Angela_2025_Chase1117_Activity_!$D$2:$D$2300,Angela_2025_Chase1117_Activity_!$B$2:$B$2300,"&gt;="&amp;I$4,Angela_2025_Chase1117_Activity_!$B$2:$B$2300,"&lt;="&amp;EOMONTH(I$4,0),Angela_2025_Chase1117_Activity_!$G$2:$G$2300,$A12)</f>
        <v>0</v>
      </c>
      <c r="J12" s="24">
        <f>SUMIFS(Angela_2025_Chase1117_Activity_!$D$2:$D$2300,Angela_2025_Chase1117_Activity_!$B$2:$B$2300,"&gt;="&amp;J$4,Angela_2025_Chase1117_Activity_!$B$2:$B$2300,"&lt;="&amp;EOMONTH(J$4,0),Angela_2025_Chase1117_Activity_!$G$2:$G$2300,$A12)</f>
        <v>0</v>
      </c>
      <c r="K12" s="24">
        <f>SUMIFS(Angela_2025_Chase1117_Activity_!$D$2:$D$2300,Angela_2025_Chase1117_Activity_!$B$2:$B$2300,"&gt;="&amp;K$4,Angela_2025_Chase1117_Activity_!$B$2:$B$2300,"&lt;="&amp;EOMONTH(K$4,0),Angela_2025_Chase1117_Activity_!$G$2:$G$2300,$A12)</f>
        <v>0</v>
      </c>
      <c r="L12" s="24">
        <f>SUMIFS(Angela_2025_Chase1117_Activity_!$D$2:$D$2300,Angela_2025_Chase1117_Activity_!$B$2:$B$2300,"&gt;="&amp;L$4,Angela_2025_Chase1117_Activity_!$B$2:$B$2300,"&lt;="&amp;EOMONTH(L$4,0),Angela_2025_Chase1117_Activity_!$G$2:$G$2300,$A12)</f>
        <v>0</v>
      </c>
      <c r="M12" s="24">
        <f>SUMIFS(Angela_2025_Chase1117_Activity_!$D$2:$D$2300,Angela_2025_Chase1117_Activity_!$B$2:$B$2300,"&gt;="&amp;M$4,Angela_2025_Chase1117_Activity_!$B$2:$B$2300,"&lt;="&amp;EOMONTH(M$4,0),Angela_2025_Chase1117_Activity_!$G$2:$G$2300,$A12)</f>
        <v>0</v>
      </c>
      <c r="N12" s="24">
        <f>SUM(B12:M12)</f>
        <v>-500</v>
      </c>
    </row>
    <row r="13" spans="1:14" x14ac:dyDescent="0.25">
      <c r="A13" s="6" t="s">
        <v>1447</v>
      </c>
      <c r="B13" s="24">
        <f>SUMIFS(Angela_2025_Chase1117_Activity_!$D$2:$D$2300,Angela_2025_Chase1117_Activity_!$B$2:$B$2300,"&gt;="&amp;B$4,Angela_2025_Chase1117_Activity_!$B$2:$B$2300,"&lt;="&amp;EOMONTH(B$4,0),Angela_2025_Chase1117_Activity_!$G$2:$G$2300,$A13)</f>
        <v>0</v>
      </c>
      <c r="C13" s="24">
        <f>SUMIFS(Angela_2025_Chase1117_Activity_!$D$2:$D$2300,Angela_2025_Chase1117_Activity_!$B$2:$B$2300,"&gt;="&amp;C$4,Angela_2025_Chase1117_Activity_!$B$2:$B$2300,"&lt;="&amp;EOMONTH(C$4,0),Angela_2025_Chase1117_Activity_!$G$2:$G$2300,$A13)</f>
        <v>0</v>
      </c>
      <c r="D13" s="24">
        <f>SUMIFS(Angela_2025_Chase1117_Activity_!$D$2:$D$2300,Angela_2025_Chase1117_Activity_!$B$2:$B$2300,"&gt;="&amp;D$4,Angela_2025_Chase1117_Activity_!$B$2:$B$2300,"&lt;="&amp;EOMONTH(D$4,0),Angela_2025_Chase1117_Activity_!$G$2:$G$2300,$A13)</f>
        <v>100</v>
      </c>
      <c r="E13" s="24">
        <f>SUMIFS(Angela_2025_Chase1117_Activity_!$D$2:$D$2300,Angela_2025_Chase1117_Activity_!$B$2:$B$2300,"&gt;="&amp;E$4,Angela_2025_Chase1117_Activity_!$B$2:$B$2300,"&lt;="&amp;EOMONTH(E$4,0),Angela_2025_Chase1117_Activity_!$G$2:$G$2300,$A13)</f>
        <v>0</v>
      </c>
      <c r="F13" s="24">
        <f>SUMIFS(Angela_2025_Chase1117_Activity_!$D$2:$D$2300,Angela_2025_Chase1117_Activity_!$B$2:$B$2300,"&gt;="&amp;F$4,Angela_2025_Chase1117_Activity_!$B$2:$B$2300,"&lt;="&amp;EOMONTH(F$4,0),Angela_2025_Chase1117_Activity_!$G$2:$G$2300,$A13)</f>
        <v>0</v>
      </c>
      <c r="G13" s="24">
        <f>SUMIFS(Angela_2025_Chase1117_Activity_!$D$2:$D$2300,Angela_2025_Chase1117_Activity_!$B$2:$B$2300,"&gt;="&amp;G$4,Angela_2025_Chase1117_Activity_!$B$2:$B$2300,"&lt;="&amp;EOMONTH(G$4,0),Angela_2025_Chase1117_Activity_!$G$2:$G$2300,$A13)</f>
        <v>100</v>
      </c>
      <c r="H13" s="24">
        <f>SUMIFS(Angela_2025_Chase1117_Activity_!$D$2:$D$2300,Angela_2025_Chase1117_Activity_!$B$2:$B$2300,"&gt;="&amp;H$4,Angela_2025_Chase1117_Activity_!$B$2:$B$2300,"&lt;="&amp;EOMONTH(H$4,0),Angela_2025_Chase1117_Activity_!$G$2:$G$2300,$A13)</f>
        <v>0</v>
      </c>
      <c r="I13" s="24">
        <f>SUMIFS(Angela_2025_Chase1117_Activity_!$D$2:$D$2300,Angela_2025_Chase1117_Activity_!$B$2:$B$2300,"&gt;="&amp;I$4,Angela_2025_Chase1117_Activity_!$B$2:$B$2300,"&lt;="&amp;EOMONTH(I$4,0),Angela_2025_Chase1117_Activity_!$G$2:$G$2300,$A13)</f>
        <v>0</v>
      </c>
      <c r="J13" s="24">
        <f>SUMIFS(Angela_2025_Chase1117_Activity_!$D$2:$D$2300,Angela_2025_Chase1117_Activity_!$B$2:$B$2300,"&gt;="&amp;J$4,Angela_2025_Chase1117_Activity_!$B$2:$B$2300,"&lt;="&amp;EOMONTH(J$4,0),Angela_2025_Chase1117_Activity_!$G$2:$G$2300,$A13)</f>
        <v>0</v>
      </c>
      <c r="K13" s="24">
        <f>SUMIFS(Angela_2025_Chase1117_Activity_!$D$2:$D$2300,Angela_2025_Chase1117_Activity_!$B$2:$B$2300,"&gt;="&amp;K$4,Angela_2025_Chase1117_Activity_!$B$2:$B$2300,"&lt;="&amp;EOMONTH(K$4,0),Angela_2025_Chase1117_Activity_!$G$2:$G$2300,$A13)</f>
        <v>0</v>
      </c>
      <c r="L13" s="24">
        <f>SUMIFS(Angela_2025_Chase1117_Activity_!$D$2:$D$2300,Angela_2025_Chase1117_Activity_!$B$2:$B$2300,"&gt;="&amp;L$4,Angela_2025_Chase1117_Activity_!$B$2:$B$2300,"&lt;="&amp;EOMONTH(L$4,0),Angela_2025_Chase1117_Activity_!$G$2:$G$2300,$A13)</f>
        <v>0</v>
      </c>
      <c r="M13" s="24">
        <f>SUMIFS(Angela_2025_Chase1117_Activity_!$D$2:$D$2300,Angela_2025_Chase1117_Activity_!$B$2:$B$2300,"&gt;="&amp;M$4,Angela_2025_Chase1117_Activity_!$B$2:$B$2300,"&lt;="&amp;EOMONTH(M$4,0),Angela_2025_Chase1117_Activity_!$G$2:$G$2300,$A13)</f>
        <v>0</v>
      </c>
      <c r="N13" s="24">
        <f>SUM(B13:M13)</f>
        <v>200</v>
      </c>
    </row>
    <row r="14" spans="1:14" x14ac:dyDescent="0.25">
      <c r="A14" s="6" t="s">
        <v>1455</v>
      </c>
      <c r="B14" s="24">
        <f>SUMIFS(Angela_2025_Chase1117_Activity_!$D$2:$D$2300,Angela_2025_Chase1117_Activity_!$B$2:$B$2300,"&gt;="&amp;B$4,Angela_2025_Chase1117_Activity_!$B$2:$B$2300,"&lt;="&amp;EOMONTH(B$4,0),Angela_2025_Chase1117_Activity_!$G$2:$G$2300,$A14)</f>
        <v>0</v>
      </c>
      <c r="C14" s="24">
        <f>SUMIFS(Angela_2025_Chase1117_Activity_!$D$2:$D$2300,Angela_2025_Chase1117_Activity_!$B$2:$B$2300,"&gt;="&amp;C$4,Angela_2025_Chase1117_Activity_!$B$2:$B$2300,"&lt;="&amp;EOMONTH(C$4,0),Angela_2025_Chase1117_Activity_!$G$2:$G$2300,$A14)</f>
        <v>0</v>
      </c>
      <c r="D14" s="24">
        <f>SUMIFS(Angela_2025_Chase1117_Activity_!$D$2:$D$2300,Angela_2025_Chase1117_Activity_!$B$2:$B$2300,"&gt;="&amp;D$4,Angela_2025_Chase1117_Activity_!$B$2:$B$2300,"&lt;="&amp;EOMONTH(D$4,0),Angela_2025_Chase1117_Activity_!$G$2:$G$2300,$A14)</f>
        <v>0</v>
      </c>
      <c r="E14" s="24">
        <f>SUMIFS(Angela_2025_Chase1117_Activity_!$D$2:$D$2300,Angela_2025_Chase1117_Activity_!$B$2:$B$2300,"&gt;="&amp;E$4,Angela_2025_Chase1117_Activity_!$B$2:$B$2300,"&lt;="&amp;EOMONTH(E$4,0),Angela_2025_Chase1117_Activity_!$G$2:$G$2300,$A14)</f>
        <v>-300</v>
      </c>
      <c r="F14" s="24">
        <f>SUMIFS(Angela_2025_Chase1117_Activity_!$D$2:$D$2300,Angela_2025_Chase1117_Activity_!$B$2:$B$2300,"&gt;="&amp;F$4,Angela_2025_Chase1117_Activity_!$B$2:$B$2300,"&lt;="&amp;EOMONTH(F$4,0),Angela_2025_Chase1117_Activity_!$G$2:$G$2300,$A14)</f>
        <v>0</v>
      </c>
      <c r="G14" s="24">
        <f>SUMIFS(Angela_2025_Chase1117_Activity_!$D$2:$D$2300,Angela_2025_Chase1117_Activity_!$B$2:$B$2300,"&gt;="&amp;G$4,Angela_2025_Chase1117_Activity_!$B$2:$B$2300,"&lt;="&amp;EOMONTH(G$4,0),Angela_2025_Chase1117_Activity_!$G$2:$G$2300,$A14)</f>
        <v>-500</v>
      </c>
      <c r="H14" s="24">
        <f>SUMIFS(Angela_2025_Chase1117_Activity_!$D$2:$D$2300,Angela_2025_Chase1117_Activity_!$B$2:$B$2300,"&gt;="&amp;H$4,Angela_2025_Chase1117_Activity_!$B$2:$B$2300,"&lt;="&amp;EOMONTH(H$4,0),Angela_2025_Chase1117_Activity_!$G$2:$G$2300,$A14)</f>
        <v>0</v>
      </c>
      <c r="I14" s="24">
        <f>SUMIFS(Angela_2025_Chase1117_Activity_!$D$2:$D$2300,Angela_2025_Chase1117_Activity_!$B$2:$B$2300,"&gt;="&amp;I$4,Angela_2025_Chase1117_Activity_!$B$2:$B$2300,"&lt;="&amp;EOMONTH(I$4,0),Angela_2025_Chase1117_Activity_!$G$2:$G$2300,$A14)</f>
        <v>-300</v>
      </c>
      <c r="J14" s="24">
        <f>SUMIFS(Angela_2025_Chase1117_Activity_!$D$2:$D$2300,Angela_2025_Chase1117_Activity_!$B$2:$B$2300,"&gt;="&amp;J$4,Angela_2025_Chase1117_Activity_!$B$2:$B$2300,"&lt;="&amp;EOMONTH(J$4,0),Angela_2025_Chase1117_Activity_!$G$2:$G$2300,$A14)</f>
        <v>0</v>
      </c>
      <c r="K14" s="24">
        <f>SUMIFS(Angela_2025_Chase1117_Activity_!$D$2:$D$2300,Angela_2025_Chase1117_Activity_!$B$2:$B$2300,"&gt;="&amp;K$4,Angela_2025_Chase1117_Activity_!$B$2:$B$2300,"&lt;="&amp;EOMONTH(K$4,0),Angela_2025_Chase1117_Activity_!$G$2:$G$2300,$A14)</f>
        <v>0</v>
      </c>
      <c r="L14" s="24">
        <f>SUMIFS(Angela_2025_Chase1117_Activity_!$D$2:$D$2300,Angela_2025_Chase1117_Activity_!$B$2:$B$2300,"&gt;="&amp;L$4,Angela_2025_Chase1117_Activity_!$B$2:$B$2300,"&lt;="&amp;EOMONTH(L$4,0),Angela_2025_Chase1117_Activity_!$G$2:$G$2300,$A14)</f>
        <v>0</v>
      </c>
      <c r="M14" s="24">
        <f>SUMIFS(Angela_2025_Chase1117_Activity_!$D$2:$D$2300,Angela_2025_Chase1117_Activity_!$B$2:$B$2300,"&gt;="&amp;M$4,Angela_2025_Chase1117_Activity_!$B$2:$B$2300,"&lt;="&amp;EOMONTH(M$4,0),Angela_2025_Chase1117_Activity_!$G$2:$G$2300,$A14)</f>
        <v>0</v>
      </c>
      <c r="N14" s="24">
        <f>SUM(B14:M14)</f>
        <v>-1100</v>
      </c>
    </row>
    <row r="15" spans="1:14" x14ac:dyDescent="0.25">
      <c r="A15" s="6" t="s">
        <v>1451</v>
      </c>
      <c r="B15" s="24">
        <f>SUMIFS(Angela_2025_Chase1117_Activity_!$D$2:$D$2300,Angela_2025_Chase1117_Activity_!$B$2:$B$2300,"&gt;="&amp;B$4,Angela_2025_Chase1117_Activity_!$B$2:$B$2300,"&lt;="&amp;EOMONTH(B$4,0),Angela_2025_Chase1117_Activity_!$G$2:$G$2300,$A15)</f>
        <v>175</v>
      </c>
      <c r="C15" s="24">
        <f>SUMIFS(Angela_2025_Chase1117_Activity_!$D$2:$D$2300,Angela_2025_Chase1117_Activity_!$B$2:$B$2300,"&gt;="&amp;C$4,Angela_2025_Chase1117_Activity_!$B$2:$B$2300,"&lt;="&amp;EOMONTH(C$4,0),Angela_2025_Chase1117_Activity_!$G$2:$G$2300,$A15)</f>
        <v>0</v>
      </c>
      <c r="D15" s="24">
        <f>SUMIFS(Angela_2025_Chase1117_Activity_!$D$2:$D$2300,Angela_2025_Chase1117_Activity_!$B$2:$B$2300,"&gt;="&amp;D$4,Angela_2025_Chase1117_Activity_!$B$2:$B$2300,"&lt;="&amp;EOMONTH(D$4,0),Angela_2025_Chase1117_Activity_!$G$2:$G$2300,$A15)</f>
        <v>0</v>
      </c>
      <c r="E15" s="24">
        <f>SUMIFS(Angela_2025_Chase1117_Activity_!$D$2:$D$2300,Angela_2025_Chase1117_Activity_!$B$2:$B$2300,"&gt;="&amp;E$4,Angela_2025_Chase1117_Activity_!$B$2:$B$2300,"&lt;="&amp;EOMONTH(E$4,0),Angela_2025_Chase1117_Activity_!$G$2:$G$2300,$A15)</f>
        <v>0</v>
      </c>
      <c r="F15" s="24">
        <f>SUMIFS(Angela_2025_Chase1117_Activity_!$D$2:$D$2300,Angela_2025_Chase1117_Activity_!$B$2:$B$2300,"&gt;="&amp;F$4,Angela_2025_Chase1117_Activity_!$B$2:$B$2300,"&lt;="&amp;EOMONTH(F$4,0),Angela_2025_Chase1117_Activity_!$G$2:$G$2300,$A15)</f>
        <v>0</v>
      </c>
      <c r="G15" s="24">
        <f>SUMIFS(Angela_2025_Chase1117_Activity_!$D$2:$D$2300,Angela_2025_Chase1117_Activity_!$B$2:$B$2300,"&gt;="&amp;G$4,Angela_2025_Chase1117_Activity_!$B$2:$B$2300,"&lt;="&amp;EOMONTH(G$4,0),Angela_2025_Chase1117_Activity_!$G$2:$G$2300,$A15)</f>
        <v>0</v>
      </c>
      <c r="H15" s="24">
        <f>SUMIFS(Angela_2025_Chase1117_Activity_!$D$2:$D$2300,Angela_2025_Chase1117_Activity_!$B$2:$B$2300,"&gt;="&amp;H$4,Angela_2025_Chase1117_Activity_!$B$2:$B$2300,"&lt;="&amp;EOMONTH(H$4,0),Angela_2025_Chase1117_Activity_!$G$2:$G$2300,$A15)</f>
        <v>175</v>
      </c>
      <c r="I15" s="24">
        <f>SUMIFS(Angela_2025_Chase1117_Activity_!$D$2:$D$2300,Angela_2025_Chase1117_Activity_!$B$2:$B$2300,"&gt;="&amp;I$4,Angela_2025_Chase1117_Activity_!$B$2:$B$2300,"&lt;="&amp;EOMONTH(I$4,0),Angela_2025_Chase1117_Activity_!$G$2:$G$2300,$A15)</f>
        <v>0</v>
      </c>
      <c r="J15" s="24">
        <f>SUMIFS(Angela_2025_Chase1117_Activity_!$D$2:$D$2300,Angela_2025_Chase1117_Activity_!$B$2:$B$2300,"&gt;="&amp;J$4,Angela_2025_Chase1117_Activity_!$B$2:$B$2300,"&lt;="&amp;EOMONTH(J$4,0),Angela_2025_Chase1117_Activity_!$G$2:$G$2300,$A15)</f>
        <v>0</v>
      </c>
      <c r="K15" s="24">
        <f>SUMIFS(Angela_2025_Chase1117_Activity_!$D$2:$D$2300,Angela_2025_Chase1117_Activity_!$B$2:$B$2300,"&gt;="&amp;K$4,Angela_2025_Chase1117_Activity_!$B$2:$B$2300,"&lt;="&amp;EOMONTH(K$4,0),Angela_2025_Chase1117_Activity_!$G$2:$G$2300,$A15)</f>
        <v>0</v>
      </c>
      <c r="L15" s="24">
        <f>SUMIFS(Angela_2025_Chase1117_Activity_!$D$2:$D$2300,Angela_2025_Chase1117_Activity_!$B$2:$B$2300,"&gt;="&amp;L$4,Angela_2025_Chase1117_Activity_!$B$2:$B$2300,"&lt;="&amp;EOMONTH(L$4,0),Angela_2025_Chase1117_Activity_!$G$2:$G$2300,$A15)</f>
        <v>0</v>
      </c>
      <c r="M15" s="24">
        <f>SUMIFS(Angela_2025_Chase1117_Activity_!$D$2:$D$2300,Angela_2025_Chase1117_Activity_!$B$2:$B$2300,"&gt;="&amp;M$4,Angela_2025_Chase1117_Activity_!$B$2:$B$2300,"&lt;="&amp;EOMONTH(M$4,0),Angela_2025_Chase1117_Activity_!$G$2:$G$2300,$A15)</f>
        <v>0</v>
      </c>
      <c r="N15" s="24">
        <f>SUM(B15:M15)</f>
        <v>350</v>
      </c>
    </row>
    <row r="16" spans="1:14" x14ac:dyDescent="0.25">
      <c r="A16" s="6" t="s">
        <v>1453</v>
      </c>
      <c r="B16" s="24">
        <f>SUMIFS(Angela_2025_Chase1117_Activity_!$D$2:$D$2300,Angela_2025_Chase1117_Activity_!$B$2:$B$2300,"&gt;="&amp;B$4,Angela_2025_Chase1117_Activity_!$B$2:$B$2300,"&lt;="&amp;EOMONTH(B$4,0),Angela_2025_Chase1117_Activity_!$G$2:$G$2300,$A16)</f>
        <v>0</v>
      </c>
      <c r="C16" s="24">
        <f>SUMIFS(Angela_2025_Chase1117_Activity_!$D$2:$D$2300,Angela_2025_Chase1117_Activity_!$B$2:$B$2300,"&gt;="&amp;C$4,Angela_2025_Chase1117_Activity_!$B$2:$B$2300,"&lt;="&amp;EOMONTH(C$4,0),Angela_2025_Chase1117_Activity_!$G$2:$G$2300,$A16)</f>
        <v>0</v>
      </c>
      <c r="D16" s="24">
        <f>SUMIFS(Angela_2025_Chase1117_Activity_!$D$2:$D$2300,Angela_2025_Chase1117_Activity_!$B$2:$B$2300,"&gt;="&amp;D$4,Angela_2025_Chase1117_Activity_!$B$2:$B$2300,"&lt;="&amp;EOMONTH(D$4,0),Angela_2025_Chase1117_Activity_!$G$2:$G$2300,$A16)</f>
        <v>0</v>
      </c>
      <c r="E16" s="24">
        <f>SUMIFS(Angela_2025_Chase1117_Activity_!$D$2:$D$2300,Angela_2025_Chase1117_Activity_!$B$2:$B$2300,"&gt;="&amp;E$4,Angela_2025_Chase1117_Activity_!$B$2:$B$2300,"&lt;="&amp;EOMONTH(E$4,0),Angela_2025_Chase1117_Activity_!$G$2:$G$2300,$A16)</f>
        <v>0</v>
      </c>
      <c r="F16" s="24">
        <f>SUMIFS(Angela_2025_Chase1117_Activity_!$D$2:$D$2300,Angela_2025_Chase1117_Activity_!$B$2:$B$2300,"&gt;="&amp;F$4,Angela_2025_Chase1117_Activity_!$B$2:$B$2300,"&lt;="&amp;EOMONTH(F$4,0),Angela_2025_Chase1117_Activity_!$G$2:$G$2300,$A16)</f>
        <v>175</v>
      </c>
      <c r="G16" s="24">
        <f>SUMIFS(Angela_2025_Chase1117_Activity_!$D$2:$D$2300,Angela_2025_Chase1117_Activity_!$B$2:$B$2300,"&gt;="&amp;G$4,Angela_2025_Chase1117_Activity_!$B$2:$B$2300,"&lt;="&amp;EOMONTH(G$4,0),Angela_2025_Chase1117_Activity_!$G$2:$G$2300,$A16)</f>
        <v>0</v>
      </c>
      <c r="H16" s="24">
        <f>SUMIFS(Angela_2025_Chase1117_Activity_!$D$2:$D$2300,Angela_2025_Chase1117_Activity_!$B$2:$B$2300,"&gt;="&amp;H$4,Angela_2025_Chase1117_Activity_!$B$2:$B$2300,"&lt;="&amp;EOMONTH(H$4,0),Angela_2025_Chase1117_Activity_!$G$2:$G$2300,$A16)</f>
        <v>0</v>
      </c>
      <c r="I16" s="24">
        <f>SUMIFS(Angela_2025_Chase1117_Activity_!$D$2:$D$2300,Angela_2025_Chase1117_Activity_!$B$2:$B$2300,"&gt;="&amp;I$4,Angela_2025_Chase1117_Activity_!$B$2:$B$2300,"&lt;="&amp;EOMONTH(I$4,0),Angela_2025_Chase1117_Activity_!$G$2:$G$2300,$A16)</f>
        <v>0</v>
      </c>
      <c r="J16" s="24">
        <f>SUMIFS(Angela_2025_Chase1117_Activity_!$D$2:$D$2300,Angela_2025_Chase1117_Activity_!$B$2:$B$2300,"&gt;="&amp;J$4,Angela_2025_Chase1117_Activity_!$B$2:$B$2300,"&lt;="&amp;EOMONTH(J$4,0),Angela_2025_Chase1117_Activity_!$G$2:$G$2300,$A16)</f>
        <v>0</v>
      </c>
      <c r="K16" s="24">
        <f>SUMIFS(Angela_2025_Chase1117_Activity_!$D$2:$D$2300,Angela_2025_Chase1117_Activity_!$B$2:$B$2300,"&gt;="&amp;K$4,Angela_2025_Chase1117_Activity_!$B$2:$B$2300,"&lt;="&amp;EOMONTH(K$4,0),Angela_2025_Chase1117_Activity_!$G$2:$G$2300,$A16)</f>
        <v>0</v>
      </c>
      <c r="L16" s="24">
        <f>SUMIFS(Angela_2025_Chase1117_Activity_!$D$2:$D$2300,Angela_2025_Chase1117_Activity_!$B$2:$B$2300,"&gt;="&amp;L$4,Angela_2025_Chase1117_Activity_!$B$2:$B$2300,"&lt;="&amp;EOMONTH(L$4,0),Angela_2025_Chase1117_Activity_!$G$2:$G$2300,$A16)</f>
        <v>0</v>
      </c>
      <c r="M16" s="24">
        <f>SUMIFS(Angela_2025_Chase1117_Activity_!$D$2:$D$2300,Angela_2025_Chase1117_Activity_!$B$2:$B$2300,"&gt;="&amp;M$4,Angela_2025_Chase1117_Activity_!$B$2:$B$2300,"&lt;="&amp;EOMONTH(M$4,0),Angela_2025_Chase1117_Activity_!$G$2:$G$2300,$A16)</f>
        <v>0</v>
      </c>
      <c r="N16" s="24">
        <f>SUM(B16:M16)</f>
        <v>175</v>
      </c>
    </row>
    <row r="17" spans="1:14" x14ac:dyDescent="0.25">
      <c r="A17" s="6" t="s">
        <v>1459</v>
      </c>
      <c r="B17" s="24">
        <f>SUMIFS(Angela_2025_Chase1117_Activity_!$D$2:$D$2300,Angela_2025_Chase1117_Activity_!$B$2:$B$2300,"&gt;="&amp;B$4,Angela_2025_Chase1117_Activity_!$B$2:$B$2300,"&lt;="&amp;EOMONTH(B$4,0),Angela_2025_Chase1117_Activity_!$G$2:$G$2300,$A17)</f>
        <v>0</v>
      </c>
      <c r="C17" s="24">
        <f>SUMIFS(Angela_2025_Chase1117_Activity_!$D$2:$D$2300,Angela_2025_Chase1117_Activity_!$B$2:$B$2300,"&gt;="&amp;C$4,Angela_2025_Chase1117_Activity_!$B$2:$B$2300,"&lt;="&amp;EOMONTH(C$4,0),Angela_2025_Chase1117_Activity_!$G$2:$G$2300,$A17)</f>
        <v>0</v>
      </c>
      <c r="D17" s="24">
        <f>SUMIFS(Angela_2025_Chase1117_Activity_!$D$2:$D$2300,Angela_2025_Chase1117_Activity_!$B$2:$B$2300,"&gt;="&amp;D$4,Angela_2025_Chase1117_Activity_!$B$2:$B$2300,"&lt;="&amp;EOMONTH(D$4,0),Angela_2025_Chase1117_Activity_!$G$2:$G$2300,$A17)</f>
        <v>0</v>
      </c>
      <c r="E17" s="24">
        <f>SUMIFS(Angela_2025_Chase1117_Activity_!$D$2:$D$2300,Angela_2025_Chase1117_Activity_!$B$2:$B$2300,"&gt;="&amp;E$4,Angela_2025_Chase1117_Activity_!$B$2:$B$2300,"&lt;="&amp;EOMONTH(E$4,0),Angela_2025_Chase1117_Activity_!$G$2:$G$2300,$A17)</f>
        <v>0</v>
      </c>
      <c r="F17" s="24">
        <f>SUMIFS(Angela_2025_Chase1117_Activity_!$D$2:$D$2300,Angela_2025_Chase1117_Activity_!$B$2:$B$2300,"&gt;="&amp;F$4,Angela_2025_Chase1117_Activity_!$B$2:$B$2300,"&lt;="&amp;EOMONTH(F$4,0),Angela_2025_Chase1117_Activity_!$G$2:$G$2300,$A17)</f>
        <v>0</v>
      </c>
      <c r="G17" s="24">
        <f>SUMIFS(Angela_2025_Chase1117_Activity_!$D$2:$D$2300,Angela_2025_Chase1117_Activity_!$B$2:$B$2300,"&gt;="&amp;G$4,Angela_2025_Chase1117_Activity_!$B$2:$B$2300,"&lt;="&amp;EOMONTH(G$4,0),Angela_2025_Chase1117_Activity_!$G$2:$G$2300,$A17)</f>
        <v>0</v>
      </c>
      <c r="H17" s="24">
        <f>SUMIFS(Angela_2025_Chase1117_Activity_!$D$2:$D$2300,Angela_2025_Chase1117_Activity_!$B$2:$B$2300,"&gt;="&amp;H$4,Angela_2025_Chase1117_Activity_!$B$2:$B$2300,"&lt;="&amp;EOMONTH(H$4,0),Angela_2025_Chase1117_Activity_!$G$2:$G$2300,$A17)</f>
        <v>0</v>
      </c>
      <c r="I17" s="24">
        <f>SUMIFS(Angela_2025_Chase1117_Activity_!$D$2:$D$2300,Angela_2025_Chase1117_Activity_!$B$2:$B$2300,"&gt;="&amp;I$4,Angela_2025_Chase1117_Activity_!$B$2:$B$2300,"&lt;="&amp;EOMONTH(I$4,0),Angela_2025_Chase1117_Activity_!$G$2:$G$2300,$A17)</f>
        <v>0</v>
      </c>
      <c r="J17" s="24">
        <f>SUMIFS(Angela_2025_Chase1117_Activity_!$D$2:$D$2300,Angela_2025_Chase1117_Activity_!$B$2:$B$2300,"&gt;="&amp;J$4,Angela_2025_Chase1117_Activity_!$B$2:$B$2300,"&lt;="&amp;EOMONTH(J$4,0),Angela_2025_Chase1117_Activity_!$G$2:$G$2300,$A17)</f>
        <v>0</v>
      </c>
      <c r="K17" s="24">
        <f>SUMIFS(Angela_2025_Chase1117_Activity_!$D$2:$D$2300,Angela_2025_Chase1117_Activity_!$B$2:$B$2300,"&gt;="&amp;K$4,Angela_2025_Chase1117_Activity_!$B$2:$B$2300,"&lt;="&amp;EOMONTH(K$4,0),Angela_2025_Chase1117_Activity_!$G$2:$G$2300,$A17)</f>
        <v>0</v>
      </c>
      <c r="L17" s="24">
        <f>SUMIFS(Angela_2025_Chase1117_Activity_!$D$2:$D$2300,Angela_2025_Chase1117_Activity_!$B$2:$B$2300,"&gt;="&amp;L$4,Angela_2025_Chase1117_Activity_!$B$2:$B$2300,"&lt;="&amp;EOMONTH(L$4,0),Angela_2025_Chase1117_Activity_!$G$2:$G$2300,$A17)</f>
        <v>0</v>
      </c>
      <c r="M17" s="24">
        <f>SUMIFS(Angela_2025_Chase1117_Activity_!$D$2:$D$2300,Angela_2025_Chase1117_Activity_!$B$2:$B$2300,"&gt;="&amp;M$4,Angela_2025_Chase1117_Activity_!$B$2:$B$2300,"&lt;="&amp;EOMONTH(M$4,0),Angela_2025_Chase1117_Activity_!$G$2:$G$2300,$A17)</f>
        <v>-500</v>
      </c>
      <c r="N17" s="24">
        <f>SUM(B17:M17)</f>
        <v>-500</v>
      </c>
    </row>
    <row r="18" spans="1:14" x14ac:dyDescent="0.25">
      <c r="A18" s="6" t="s">
        <v>2484</v>
      </c>
      <c r="B18" s="24">
        <f>SUMIFS(Angela_2025_Chase1117_Activity_!$D$2:$D$2300,Angela_2025_Chase1117_Activity_!$B$2:$B$2300,"&gt;="&amp;B$4,Angela_2025_Chase1117_Activity_!$B$2:$B$2300,"&lt;="&amp;EOMONTH(B$4,0),Angela_2025_Chase1117_Activity_!$G$2:$G$2300,$A18)</f>
        <v>-600</v>
      </c>
      <c r="C18" s="24">
        <f>SUMIFS(Angela_2025_Chase1117_Activity_!$D$2:$D$2300,Angela_2025_Chase1117_Activity_!$B$2:$B$2300,"&gt;="&amp;C$4,Angela_2025_Chase1117_Activity_!$B$2:$B$2300,"&lt;="&amp;EOMONTH(C$4,0),Angela_2025_Chase1117_Activity_!$G$2:$G$2300,$A18)</f>
        <v>0</v>
      </c>
      <c r="D18" s="24">
        <f>SUMIFS(Angela_2025_Chase1117_Activity_!$D$2:$D$2300,Angela_2025_Chase1117_Activity_!$B$2:$B$2300,"&gt;="&amp;D$4,Angela_2025_Chase1117_Activity_!$B$2:$B$2300,"&lt;="&amp;EOMONTH(D$4,0),Angela_2025_Chase1117_Activity_!$G$2:$G$2300,$A18)</f>
        <v>-500</v>
      </c>
      <c r="E18" s="24">
        <f>SUMIFS(Angela_2025_Chase1117_Activity_!$D$2:$D$2300,Angela_2025_Chase1117_Activity_!$B$2:$B$2300,"&gt;="&amp;E$4,Angela_2025_Chase1117_Activity_!$B$2:$B$2300,"&lt;="&amp;EOMONTH(E$4,0),Angela_2025_Chase1117_Activity_!$G$2:$G$2300,$A18)</f>
        <v>0</v>
      </c>
      <c r="F18" s="24">
        <f>SUMIFS(Angela_2025_Chase1117_Activity_!$D$2:$D$2300,Angela_2025_Chase1117_Activity_!$B$2:$B$2300,"&gt;="&amp;F$4,Angela_2025_Chase1117_Activity_!$B$2:$B$2300,"&lt;="&amp;EOMONTH(F$4,0),Angela_2025_Chase1117_Activity_!$G$2:$G$2300,$A18)</f>
        <v>0</v>
      </c>
      <c r="G18" s="24">
        <f>SUMIFS(Angela_2025_Chase1117_Activity_!$D$2:$D$2300,Angela_2025_Chase1117_Activity_!$B$2:$B$2300,"&gt;="&amp;G$4,Angela_2025_Chase1117_Activity_!$B$2:$B$2300,"&lt;="&amp;EOMONTH(G$4,0),Angela_2025_Chase1117_Activity_!$G$2:$G$2300,$A18)</f>
        <v>0</v>
      </c>
      <c r="H18" s="24">
        <f>SUMIFS(Angela_2025_Chase1117_Activity_!$D$2:$D$2300,Angela_2025_Chase1117_Activity_!$B$2:$B$2300,"&gt;="&amp;H$4,Angela_2025_Chase1117_Activity_!$B$2:$B$2300,"&lt;="&amp;EOMONTH(H$4,0),Angela_2025_Chase1117_Activity_!$G$2:$G$2300,$A18)</f>
        <v>-500</v>
      </c>
      <c r="I18" s="24">
        <f>SUMIFS(Angela_2025_Chase1117_Activity_!$D$2:$D$2300,Angela_2025_Chase1117_Activity_!$B$2:$B$2300,"&gt;="&amp;I$4,Angela_2025_Chase1117_Activity_!$B$2:$B$2300,"&lt;="&amp;EOMONTH(I$4,0),Angela_2025_Chase1117_Activity_!$G$2:$G$2300,$A18)</f>
        <v>-750</v>
      </c>
      <c r="J18" s="24">
        <f>SUMIFS(Angela_2025_Chase1117_Activity_!$D$2:$D$2300,Angela_2025_Chase1117_Activity_!$B$2:$B$2300,"&gt;="&amp;J$4,Angela_2025_Chase1117_Activity_!$B$2:$B$2300,"&lt;="&amp;EOMONTH(J$4,0),Angela_2025_Chase1117_Activity_!$G$2:$G$2300,$A18)</f>
        <v>0</v>
      </c>
      <c r="K18" s="24">
        <f>SUMIFS(Angela_2025_Chase1117_Activity_!$D$2:$D$2300,Angela_2025_Chase1117_Activity_!$B$2:$B$2300,"&gt;="&amp;K$4,Angela_2025_Chase1117_Activity_!$B$2:$B$2300,"&lt;="&amp;EOMONTH(K$4,0),Angela_2025_Chase1117_Activity_!$G$2:$G$2300,$A18)</f>
        <v>0</v>
      </c>
      <c r="L18" s="24">
        <f>SUMIFS(Angela_2025_Chase1117_Activity_!$D$2:$D$2300,Angela_2025_Chase1117_Activity_!$B$2:$B$2300,"&gt;="&amp;L$4,Angela_2025_Chase1117_Activity_!$B$2:$B$2300,"&lt;="&amp;EOMONTH(L$4,0),Angela_2025_Chase1117_Activity_!$G$2:$G$2300,$A18)</f>
        <v>0</v>
      </c>
      <c r="M18" s="24">
        <f>SUMIFS(Angela_2025_Chase1117_Activity_!$D$2:$D$2300,Angela_2025_Chase1117_Activity_!$B$2:$B$2300,"&gt;="&amp;M$4,Angela_2025_Chase1117_Activity_!$B$2:$B$2300,"&lt;="&amp;EOMONTH(M$4,0),Angela_2025_Chase1117_Activity_!$G$2:$G$2300,$A18)</f>
        <v>0</v>
      </c>
      <c r="N18" s="24">
        <f>SUM(B18:M18)</f>
        <v>-2350</v>
      </c>
    </row>
    <row r="19" spans="1:14" x14ac:dyDescent="0.25">
      <c r="A19" s="6" t="s">
        <v>2445</v>
      </c>
      <c r="B19" s="24">
        <f>SUMIFS(Angela_2025_Chase1117_Activity_!$D$2:$D$2300,Angela_2025_Chase1117_Activity_!$B$2:$B$2300,"&gt;="&amp;B$4,Angela_2025_Chase1117_Activity_!$B$2:$B$2300,"&lt;="&amp;EOMONTH(B$4,0),Angela_2025_Chase1117_Activity_!$G$2:$G$2300,$A19)</f>
        <v>0</v>
      </c>
      <c r="C19" s="24">
        <f>SUMIFS(Angela_2025_Chase1117_Activity_!$D$2:$D$2300,Angela_2025_Chase1117_Activity_!$B$2:$B$2300,"&gt;="&amp;C$4,Angela_2025_Chase1117_Activity_!$B$2:$B$2300,"&lt;="&amp;EOMONTH(C$4,0),Angela_2025_Chase1117_Activity_!$G$2:$G$2300,$A19)</f>
        <v>0</v>
      </c>
      <c r="D19" s="24">
        <f>SUMIFS(Angela_2025_Chase1117_Activity_!$D$2:$D$2300,Angela_2025_Chase1117_Activity_!$B$2:$B$2300,"&gt;="&amp;D$4,Angela_2025_Chase1117_Activity_!$B$2:$B$2300,"&lt;="&amp;EOMONTH(D$4,0),Angela_2025_Chase1117_Activity_!$G$2:$G$2300,$A19)</f>
        <v>0</v>
      </c>
      <c r="E19" s="24">
        <f>SUMIFS(Angela_2025_Chase1117_Activity_!$D$2:$D$2300,Angela_2025_Chase1117_Activity_!$B$2:$B$2300,"&gt;="&amp;E$4,Angela_2025_Chase1117_Activity_!$B$2:$B$2300,"&lt;="&amp;EOMONTH(E$4,0),Angela_2025_Chase1117_Activity_!$G$2:$G$2300,$A19)</f>
        <v>0</v>
      </c>
      <c r="F19" s="24">
        <f>SUMIFS(Angela_2025_Chase1117_Activity_!$D$2:$D$2300,Angela_2025_Chase1117_Activity_!$B$2:$B$2300,"&gt;="&amp;F$4,Angela_2025_Chase1117_Activity_!$B$2:$B$2300,"&lt;="&amp;EOMONTH(F$4,0),Angela_2025_Chase1117_Activity_!$G$2:$G$2300,$A19)</f>
        <v>0</v>
      </c>
      <c r="G19" s="24">
        <f>SUMIFS(Angela_2025_Chase1117_Activity_!$D$2:$D$2300,Angela_2025_Chase1117_Activity_!$B$2:$B$2300,"&gt;="&amp;G$4,Angela_2025_Chase1117_Activity_!$B$2:$B$2300,"&lt;="&amp;EOMONTH(G$4,0),Angela_2025_Chase1117_Activity_!$G$2:$G$2300,$A19)</f>
        <v>0</v>
      </c>
      <c r="H19" s="24">
        <f>SUMIFS(Angela_2025_Chase1117_Activity_!$D$2:$D$2300,Angela_2025_Chase1117_Activity_!$B$2:$B$2300,"&gt;="&amp;H$4,Angela_2025_Chase1117_Activity_!$B$2:$B$2300,"&lt;="&amp;EOMONTH(H$4,0),Angela_2025_Chase1117_Activity_!$G$2:$G$2300,$A19)</f>
        <v>0</v>
      </c>
      <c r="I19" s="24">
        <f>SUMIFS(Angela_2025_Chase1117_Activity_!$D$2:$D$2300,Angela_2025_Chase1117_Activity_!$B$2:$B$2300,"&gt;="&amp;I$4,Angela_2025_Chase1117_Activity_!$B$2:$B$2300,"&lt;="&amp;EOMONTH(I$4,0),Angela_2025_Chase1117_Activity_!$G$2:$G$2300,$A19)</f>
        <v>-500</v>
      </c>
      <c r="J19" s="24">
        <f>SUMIFS(Angela_2025_Chase1117_Activity_!$D$2:$D$2300,Angela_2025_Chase1117_Activity_!$B$2:$B$2300,"&gt;="&amp;J$4,Angela_2025_Chase1117_Activity_!$B$2:$B$2300,"&lt;="&amp;EOMONTH(J$4,0),Angela_2025_Chase1117_Activity_!$G$2:$G$2300,$A19)</f>
        <v>0</v>
      </c>
      <c r="K19" s="24">
        <f>SUMIFS(Angela_2025_Chase1117_Activity_!$D$2:$D$2300,Angela_2025_Chase1117_Activity_!$B$2:$B$2300,"&gt;="&amp;K$4,Angela_2025_Chase1117_Activity_!$B$2:$B$2300,"&lt;="&amp;EOMONTH(K$4,0),Angela_2025_Chase1117_Activity_!$G$2:$G$2300,$A19)</f>
        <v>0</v>
      </c>
      <c r="L19" s="24">
        <f>SUMIFS(Angela_2025_Chase1117_Activity_!$D$2:$D$2300,Angela_2025_Chase1117_Activity_!$B$2:$B$2300,"&gt;="&amp;L$4,Angela_2025_Chase1117_Activity_!$B$2:$B$2300,"&lt;="&amp;EOMONTH(L$4,0),Angela_2025_Chase1117_Activity_!$G$2:$G$2300,$A19)</f>
        <v>-725</v>
      </c>
      <c r="M19" s="24">
        <f>SUMIFS(Angela_2025_Chase1117_Activity_!$D$2:$D$2300,Angela_2025_Chase1117_Activity_!$B$2:$B$2300,"&gt;="&amp;M$4,Angela_2025_Chase1117_Activity_!$B$2:$B$2300,"&lt;="&amp;EOMONTH(M$4,0),Angela_2025_Chase1117_Activity_!$G$2:$G$2300,$A19)</f>
        <v>0</v>
      </c>
      <c r="N19" s="24">
        <f>SUM(B19:M19)</f>
        <v>-1225</v>
      </c>
    </row>
    <row r="20" spans="1:14" x14ac:dyDescent="0.25">
      <c r="A20" s="6" t="s">
        <v>2470</v>
      </c>
      <c r="B20" s="24">
        <f>SUMIFS(Angela_2025_Chase1117_Activity_!$D$2:$D$2300,Angela_2025_Chase1117_Activity_!$B$2:$B$2300,"&gt;="&amp;B$4,Angela_2025_Chase1117_Activity_!$B$2:$B$2300,"&lt;="&amp;EOMONTH(B$4,0),Angela_2025_Chase1117_Activity_!$G$2:$G$2300,$A20)</f>
        <v>0</v>
      </c>
      <c r="C20" s="24">
        <f>SUMIFS(Angela_2025_Chase1117_Activity_!$D$2:$D$2300,Angela_2025_Chase1117_Activity_!$B$2:$B$2300,"&gt;="&amp;C$4,Angela_2025_Chase1117_Activity_!$B$2:$B$2300,"&lt;="&amp;EOMONTH(C$4,0),Angela_2025_Chase1117_Activity_!$G$2:$G$2300,$A20)</f>
        <v>0</v>
      </c>
      <c r="D20" s="24">
        <f>SUMIFS(Angela_2025_Chase1117_Activity_!$D$2:$D$2300,Angela_2025_Chase1117_Activity_!$B$2:$B$2300,"&gt;="&amp;D$4,Angela_2025_Chase1117_Activity_!$B$2:$B$2300,"&lt;="&amp;EOMONTH(D$4,0),Angela_2025_Chase1117_Activity_!$G$2:$G$2300,$A20)</f>
        <v>-100</v>
      </c>
      <c r="E20" s="24">
        <f>SUMIFS(Angela_2025_Chase1117_Activity_!$D$2:$D$2300,Angela_2025_Chase1117_Activity_!$B$2:$B$2300,"&gt;="&amp;E$4,Angela_2025_Chase1117_Activity_!$B$2:$B$2300,"&lt;="&amp;EOMONTH(E$4,0),Angela_2025_Chase1117_Activity_!$G$2:$G$2300,$A20)</f>
        <v>0</v>
      </c>
      <c r="F20" s="24">
        <f>SUMIFS(Angela_2025_Chase1117_Activity_!$D$2:$D$2300,Angela_2025_Chase1117_Activity_!$B$2:$B$2300,"&gt;="&amp;F$4,Angela_2025_Chase1117_Activity_!$B$2:$B$2300,"&lt;="&amp;EOMONTH(F$4,0),Angela_2025_Chase1117_Activity_!$G$2:$G$2300,$A20)</f>
        <v>0</v>
      </c>
      <c r="G20" s="24">
        <f>SUMIFS(Angela_2025_Chase1117_Activity_!$D$2:$D$2300,Angela_2025_Chase1117_Activity_!$B$2:$B$2300,"&gt;="&amp;G$4,Angela_2025_Chase1117_Activity_!$B$2:$B$2300,"&lt;="&amp;EOMONTH(G$4,0),Angela_2025_Chase1117_Activity_!$G$2:$G$2300,$A20)</f>
        <v>0</v>
      </c>
      <c r="H20" s="24">
        <f>SUMIFS(Angela_2025_Chase1117_Activity_!$D$2:$D$2300,Angela_2025_Chase1117_Activity_!$B$2:$B$2300,"&gt;="&amp;H$4,Angela_2025_Chase1117_Activity_!$B$2:$B$2300,"&lt;="&amp;EOMONTH(H$4,0),Angela_2025_Chase1117_Activity_!$G$2:$G$2300,$A20)</f>
        <v>0</v>
      </c>
      <c r="I20" s="24">
        <f>SUMIFS(Angela_2025_Chase1117_Activity_!$D$2:$D$2300,Angela_2025_Chase1117_Activity_!$B$2:$B$2300,"&gt;="&amp;I$4,Angela_2025_Chase1117_Activity_!$B$2:$B$2300,"&lt;="&amp;EOMONTH(I$4,0),Angela_2025_Chase1117_Activity_!$G$2:$G$2300,$A20)</f>
        <v>-100</v>
      </c>
      <c r="J20" s="24">
        <f>SUMIFS(Angela_2025_Chase1117_Activity_!$D$2:$D$2300,Angela_2025_Chase1117_Activity_!$B$2:$B$2300,"&gt;="&amp;J$4,Angela_2025_Chase1117_Activity_!$B$2:$B$2300,"&lt;="&amp;EOMONTH(J$4,0),Angela_2025_Chase1117_Activity_!$G$2:$G$2300,$A20)</f>
        <v>-100</v>
      </c>
      <c r="K20" s="24">
        <f>SUMIFS(Angela_2025_Chase1117_Activity_!$D$2:$D$2300,Angela_2025_Chase1117_Activity_!$B$2:$B$2300,"&gt;="&amp;K$4,Angela_2025_Chase1117_Activity_!$B$2:$B$2300,"&lt;="&amp;EOMONTH(K$4,0),Angela_2025_Chase1117_Activity_!$G$2:$G$2300,$A20)</f>
        <v>0</v>
      </c>
      <c r="L20" s="24">
        <f>SUMIFS(Angela_2025_Chase1117_Activity_!$D$2:$D$2300,Angela_2025_Chase1117_Activity_!$B$2:$B$2300,"&gt;="&amp;L$4,Angela_2025_Chase1117_Activity_!$B$2:$B$2300,"&lt;="&amp;EOMONTH(L$4,0),Angela_2025_Chase1117_Activity_!$G$2:$G$2300,$A20)</f>
        <v>0</v>
      </c>
      <c r="M20" s="24">
        <f>SUMIFS(Angela_2025_Chase1117_Activity_!$D$2:$D$2300,Angela_2025_Chase1117_Activity_!$B$2:$B$2300,"&gt;="&amp;M$4,Angela_2025_Chase1117_Activity_!$B$2:$B$2300,"&lt;="&amp;EOMONTH(M$4,0),Angela_2025_Chase1117_Activity_!$G$2:$G$2300,$A20)</f>
        <v>0</v>
      </c>
      <c r="N20" s="24">
        <f>SUM(B20:M20)</f>
        <v>-300</v>
      </c>
    </row>
    <row r="21" spans="1:14" x14ac:dyDescent="0.25">
      <c r="A21" s="6" t="s">
        <v>2517</v>
      </c>
      <c r="B21" s="24">
        <f>SUMIFS(Angela_2025_Chase1117_Activity_!$D$2:$D$2300,Angela_2025_Chase1117_Activity_!$B$2:$B$2300,"&gt;="&amp;B$4,Angela_2025_Chase1117_Activity_!$B$2:$B$2300,"&lt;="&amp;EOMONTH(B$4,0),Angela_2025_Chase1117_Activity_!$G$2:$G$2300,$A21)</f>
        <v>0</v>
      </c>
      <c r="C21" s="24">
        <f>SUMIFS(Angela_2025_Chase1117_Activity_!$D$2:$D$2300,Angela_2025_Chase1117_Activity_!$B$2:$B$2300,"&gt;="&amp;C$4,Angela_2025_Chase1117_Activity_!$B$2:$B$2300,"&lt;="&amp;EOMONTH(C$4,0),Angela_2025_Chase1117_Activity_!$G$2:$G$2300,$A21)</f>
        <v>0</v>
      </c>
      <c r="D21" s="24">
        <f>SUMIFS(Angela_2025_Chase1117_Activity_!$D$2:$D$2300,Angela_2025_Chase1117_Activity_!$B$2:$B$2300,"&gt;="&amp;D$4,Angela_2025_Chase1117_Activity_!$B$2:$B$2300,"&lt;="&amp;EOMONTH(D$4,0),Angela_2025_Chase1117_Activity_!$G$2:$G$2300,$A21)</f>
        <v>0</v>
      </c>
      <c r="E21" s="24">
        <f>SUMIFS(Angela_2025_Chase1117_Activity_!$D$2:$D$2300,Angela_2025_Chase1117_Activity_!$B$2:$B$2300,"&gt;="&amp;E$4,Angela_2025_Chase1117_Activity_!$B$2:$B$2300,"&lt;="&amp;EOMONTH(E$4,0),Angela_2025_Chase1117_Activity_!$G$2:$G$2300,$A21)</f>
        <v>0</v>
      </c>
      <c r="F21" s="24">
        <f>SUMIFS(Angela_2025_Chase1117_Activity_!$D$2:$D$2300,Angela_2025_Chase1117_Activity_!$B$2:$B$2300,"&gt;="&amp;F$4,Angela_2025_Chase1117_Activity_!$B$2:$B$2300,"&lt;="&amp;EOMONTH(F$4,0),Angela_2025_Chase1117_Activity_!$G$2:$G$2300,$A21)</f>
        <v>0</v>
      </c>
      <c r="G21" s="24">
        <f>SUMIFS(Angela_2025_Chase1117_Activity_!$D$2:$D$2300,Angela_2025_Chase1117_Activity_!$B$2:$B$2300,"&gt;="&amp;G$4,Angela_2025_Chase1117_Activity_!$B$2:$B$2300,"&lt;="&amp;EOMONTH(G$4,0),Angela_2025_Chase1117_Activity_!$G$2:$G$2300,$A21)</f>
        <v>1015</v>
      </c>
      <c r="H21" s="24">
        <f>SUMIFS(Angela_2025_Chase1117_Activity_!$D$2:$D$2300,Angela_2025_Chase1117_Activity_!$B$2:$B$2300,"&gt;="&amp;H$4,Angela_2025_Chase1117_Activity_!$B$2:$B$2300,"&lt;="&amp;EOMONTH(H$4,0),Angela_2025_Chase1117_Activity_!$G$2:$G$2300,$A21)</f>
        <v>0</v>
      </c>
      <c r="I21" s="24">
        <f>SUMIFS(Angela_2025_Chase1117_Activity_!$D$2:$D$2300,Angela_2025_Chase1117_Activity_!$B$2:$B$2300,"&gt;="&amp;I$4,Angela_2025_Chase1117_Activity_!$B$2:$B$2300,"&lt;="&amp;EOMONTH(I$4,0),Angela_2025_Chase1117_Activity_!$G$2:$G$2300,$A21)</f>
        <v>0</v>
      </c>
      <c r="J21" s="24">
        <f>SUMIFS(Angela_2025_Chase1117_Activity_!$D$2:$D$2300,Angela_2025_Chase1117_Activity_!$B$2:$B$2300,"&gt;="&amp;J$4,Angela_2025_Chase1117_Activity_!$B$2:$B$2300,"&lt;="&amp;EOMONTH(J$4,0),Angela_2025_Chase1117_Activity_!$G$2:$G$2300,$A21)</f>
        <v>0</v>
      </c>
      <c r="K21" s="24">
        <f>SUMIFS(Angela_2025_Chase1117_Activity_!$D$2:$D$2300,Angela_2025_Chase1117_Activity_!$B$2:$B$2300,"&gt;="&amp;K$4,Angela_2025_Chase1117_Activity_!$B$2:$B$2300,"&lt;="&amp;EOMONTH(K$4,0),Angela_2025_Chase1117_Activity_!$G$2:$G$2300,$A21)</f>
        <v>0</v>
      </c>
      <c r="L21" s="24">
        <f>SUMIFS(Angela_2025_Chase1117_Activity_!$D$2:$D$2300,Angela_2025_Chase1117_Activity_!$B$2:$B$2300,"&gt;="&amp;L$4,Angela_2025_Chase1117_Activity_!$B$2:$B$2300,"&lt;="&amp;EOMONTH(L$4,0),Angela_2025_Chase1117_Activity_!$G$2:$G$2300,$A21)</f>
        <v>0</v>
      </c>
      <c r="M21" s="24">
        <f>SUMIFS(Angela_2025_Chase1117_Activity_!$D$2:$D$2300,Angela_2025_Chase1117_Activity_!$B$2:$B$2300,"&gt;="&amp;M$4,Angela_2025_Chase1117_Activity_!$B$2:$B$2300,"&lt;="&amp;EOMONTH(M$4,0),Angela_2025_Chase1117_Activity_!$G$2:$G$2300,$A21)</f>
        <v>0</v>
      </c>
      <c r="N21" s="24">
        <f>SUM(B21:M21)</f>
        <v>1015</v>
      </c>
    </row>
    <row r="22" spans="1:14" x14ac:dyDescent="0.25">
      <c r="A22" s="6" t="s">
        <v>2451</v>
      </c>
      <c r="B22" s="24">
        <f>SUMIFS(Angela_2025_Chase1117_Activity_!$D$2:$D$2300,Angela_2025_Chase1117_Activity_!$B$2:$B$2300,"&gt;="&amp;B$4,Angela_2025_Chase1117_Activity_!$B$2:$B$2300,"&lt;="&amp;EOMONTH(B$4,0),Angela_2025_Chase1117_Activity_!$G$2:$G$2300,$A22)</f>
        <v>0</v>
      </c>
      <c r="C22" s="24">
        <f>SUMIFS(Angela_2025_Chase1117_Activity_!$D$2:$D$2300,Angela_2025_Chase1117_Activity_!$B$2:$B$2300,"&gt;="&amp;C$4,Angela_2025_Chase1117_Activity_!$B$2:$B$2300,"&lt;="&amp;EOMONTH(C$4,0),Angela_2025_Chase1117_Activity_!$G$2:$G$2300,$A22)</f>
        <v>0</v>
      </c>
      <c r="D22" s="24">
        <f>SUMIFS(Angela_2025_Chase1117_Activity_!$D$2:$D$2300,Angela_2025_Chase1117_Activity_!$B$2:$B$2300,"&gt;="&amp;D$4,Angela_2025_Chase1117_Activity_!$B$2:$B$2300,"&lt;="&amp;EOMONTH(D$4,0),Angela_2025_Chase1117_Activity_!$G$2:$G$2300,$A22)</f>
        <v>0</v>
      </c>
      <c r="E22" s="24">
        <f>SUMIFS(Angela_2025_Chase1117_Activity_!$D$2:$D$2300,Angela_2025_Chase1117_Activity_!$B$2:$B$2300,"&gt;="&amp;E$4,Angela_2025_Chase1117_Activity_!$B$2:$B$2300,"&lt;="&amp;EOMONTH(E$4,0),Angela_2025_Chase1117_Activity_!$G$2:$G$2300,$A22)</f>
        <v>0</v>
      </c>
      <c r="F22" s="24">
        <f>SUMIFS(Angela_2025_Chase1117_Activity_!$D$2:$D$2300,Angela_2025_Chase1117_Activity_!$B$2:$B$2300,"&gt;="&amp;F$4,Angela_2025_Chase1117_Activity_!$B$2:$B$2300,"&lt;="&amp;EOMONTH(F$4,0),Angela_2025_Chase1117_Activity_!$G$2:$G$2300,$A22)</f>
        <v>0</v>
      </c>
      <c r="G22" s="24">
        <f>SUMIFS(Angela_2025_Chase1117_Activity_!$D$2:$D$2300,Angela_2025_Chase1117_Activity_!$B$2:$B$2300,"&gt;="&amp;G$4,Angela_2025_Chase1117_Activity_!$B$2:$B$2300,"&lt;="&amp;EOMONTH(G$4,0),Angela_2025_Chase1117_Activity_!$G$2:$G$2300,$A22)</f>
        <v>0</v>
      </c>
      <c r="H22" s="24">
        <f>SUMIFS(Angela_2025_Chase1117_Activity_!$D$2:$D$2300,Angela_2025_Chase1117_Activity_!$B$2:$B$2300,"&gt;="&amp;H$4,Angela_2025_Chase1117_Activity_!$B$2:$B$2300,"&lt;="&amp;EOMONTH(H$4,0),Angela_2025_Chase1117_Activity_!$G$2:$G$2300,$A22)</f>
        <v>0</v>
      </c>
      <c r="I22" s="24">
        <f>SUMIFS(Angela_2025_Chase1117_Activity_!$D$2:$D$2300,Angela_2025_Chase1117_Activity_!$B$2:$B$2300,"&gt;="&amp;I$4,Angela_2025_Chase1117_Activity_!$B$2:$B$2300,"&lt;="&amp;EOMONTH(I$4,0),Angela_2025_Chase1117_Activity_!$G$2:$G$2300,$A22)</f>
        <v>0</v>
      </c>
      <c r="J22" s="24">
        <f>SUMIFS(Angela_2025_Chase1117_Activity_!$D$2:$D$2300,Angela_2025_Chase1117_Activity_!$B$2:$B$2300,"&gt;="&amp;J$4,Angela_2025_Chase1117_Activity_!$B$2:$B$2300,"&lt;="&amp;EOMONTH(J$4,0),Angela_2025_Chase1117_Activity_!$G$2:$G$2300,$A22)</f>
        <v>0</v>
      </c>
      <c r="K22" s="24">
        <f>SUMIFS(Angela_2025_Chase1117_Activity_!$D$2:$D$2300,Angela_2025_Chase1117_Activity_!$B$2:$B$2300,"&gt;="&amp;K$4,Angela_2025_Chase1117_Activity_!$B$2:$B$2300,"&lt;="&amp;EOMONTH(K$4,0),Angela_2025_Chase1117_Activity_!$G$2:$G$2300,$A22)</f>
        <v>150</v>
      </c>
      <c r="L22" s="24">
        <f>SUMIFS(Angela_2025_Chase1117_Activity_!$D$2:$D$2300,Angela_2025_Chase1117_Activity_!$B$2:$B$2300,"&gt;="&amp;L$4,Angela_2025_Chase1117_Activity_!$B$2:$B$2300,"&lt;="&amp;EOMONTH(L$4,0),Angela_2025_Chase1117_Activity_!$G$2:$G$2300,$A22)</f>
        <v>0</v>
      </c>
      <c r="M22" s="24">
        <f>SUMIFS(Angela_2025_Chase1117_Activity_!$D$2:$D$2300,Angela_2025_Chase1117_Activity_!$B$2:$B$2300,"&gt;="&amp;M$4,Angela_2025_Chase1117_Activity_!$B$2:$B$2300,"&lt;="&amp;EOMONTH(M$4,0),Angela_2025_Chase1117_Activity_!$G$2:$G$2300,$A22)</f>
        <v>0</v>
      </c>
      <c r="N22" s="24">
        <f>SUM(B22:M22)</f>
        <v>150</v>
      </c>
    </row>
    <row r="23" spans="1:14" x14ac:dyDescent="0.25">
      <c r="A23" s="6" t="s">
        <v>2566</v>
      </c>
      <c r="B23" s="24">
        <f>SUMIFS(Angela_2025_Chase1117_Activity_!$D$2:$D$2300,Angela_2025_Chase1117_Activity_!$B$2:$B$2300,"&gt;="&amp;B$4,Angela_2025_Chase1117_Activity_!$B$2:$B$2300,"&lt;="&amp;EOMONTH(B$4,0),Angela_2025_Chase1117_Activity_!$G$2:$G$2300,$A23)</f>
        <v>175</v>
      </c>
      <c r="C23" s="24">
        <f>SUMIFS(Angela_2025_Chase1117_Activity_!$D$2:$D$2300,Angela_2025_Chase1117_Activity_!$B$2:$B$2300,"&gt;="&amp;C$4,Angela_2025_Chase1117_Activity_!$B$2:$B$2300,"&lt;="&amp;EOMONTH(C$4,0),Angela_2025_Chase1117_Activity_!$G$2:$G$2300,$A23)</f>
        <v>0</v>
      </c>
      <c r="D23" s="24">
        <f>SUMIFS(Angela_2025_Chase1117_Activity_!$D$2:$D$2300,Angela_2025_Chase1117_Activity_!$B$2:$B$2300,"&gt;="&amp;D$4,Angela_2025_Chase1117_Activity_!$B$2:$B$2300,"&lt;="&amp;EOMONTH(D$4,0),Angela_2025_Chase1117_Activity_!$G$2:$G$2300,$A23)</f>
        <v>0</v>
      </c>
      <c r="E23" s="24">
        <f>SUMIFS(Angela_2025_Chase1117_Activity_!$D$2:$D$2300,Angela_2025_Chase1117_Activity_!$B$2:$B$2300,"&gt;="&amp;E$4,Angela_2025_Chase1117_Activity_!$B$2:$B$2300,"&lt;="&amp;EOMONTH(E$4,0),Angela_2025_Chase1117_Activity_!$G$2:$G$2300,$A23)</f>
        <v>0</v>
      </c>
      <c r="F23" s="24">
        <f>SUMIFS(Angela_2025_Chase1117_Activity_!$D$2:$D$2300,Angela_2025_Chase1117_Activity_!$B$2:$B$2300,"&gt;="&amp;F$4,Angela_2025_Chase1117_Activity_!$B$2:$B$2300,"&lt;="&amp;EOMONTH(F$4,0),Angela_2025_Chase1117_Activity_!$G$2:$G$2300,$A23)</f>
        <v>0</v>
      </c>
      <c r="G23" s="24">
        <f>SUMIFS(Angela_2025_Chase1117_Activity_!$D$2:$D$2300,Angela_2025_Chase1117_Activity_!$B$2:$B$2300,"&gt;="&amp;G$4,Angela_2025_Chase1117_Activity_!$B$2:$B$2300,"&lt;="&amp;EOMONTH(G$4,0),Angela_2025_Chase1117_Activity_!$G$2:$G$2300,$A23)</f>
        <v>0</v>
      </c>
      <c r="H23" s="24">
        <f>SUMIFS(Angela_2025_Chase1117_Activity_!$D$2:$D$2300,Angela_2025_Chase1117_Activity_!$B$2:$B$2300,"&gt;="&amp;H$4,Angela_2025_Chase1117_Activity_!$B$2:$B$2300,"&lt;="&amp;EOMONTH(H$4,0),Angela_2025_Chase1117_Activity_!$G$2:$G$2300,$A23)</f>
        <v>0</v>
      </c>
      <c r="I23" s="24">
        <f>SUMIFS(Angela_2025_Chase1117_Activity_!$D$2:$D$2300,Angela_2025_Chase1117_Activity_!$B$2:$B$2300,"&gt;="&amp;I$4,Angela_2025_Chase1117_Activity_!$B$2:$B$2300,"&lt;="&amp;EOMONTH(I$4,0),Angela_2025_Chase1117_Activity_!$G$2:$G$2300,$A23)</f>
        <v>0</v>
      </c>
      <c r="J23" s="24">
        <f>SUMIFS(Angela_2025_Chase1117_Activity_!$D$2:$D$2300,Angela_2025_Chase1117_Activity_!$B$2:$B$2300,"&gt;="&amp;J$4,Angela_2025_Chase1117_Activity_!$B$2:$B$2300,"&lt;="&amp;EOMONTH(J$4,0),Angela_2025_Chase1117_Activity_!$G$2:$G$2300,$A23)</f>
        <v>0</v>
      </c>
      <c r="K23" s="24">
        <f>SUMIFS(Angela_2025_Chase1117_Activity_!$D$2:$D$2300,Angela_2025_Chase1117_Activity_!$B$2:$B$2300,"&gt;="&amp;K$4,Angela_2025_Chase1117_Activity_!$B$2:$B$2300,"&lt;="&amp;EOMONTH(K$4,0),Angela_2025_Chase1117_Activity_!$G$2:$G$2300,$A23)</f>
        <v>0</v>
      </c>
      <c r="L23" s="24">
        <f>SUMIFS(Angela_2025_Chase1117_Activity_!$D$2:$D$2300,Angela_2025_Chase1117_Activity_!$B$2:$B$2300,"&gt;="&amp;L$4,Angela_2025_Chase1117_Activity_!$B$2:$B$2300,"&lt;="&amp;EOMONTH(L$4,0),Angela_2025_Chase1117_Activity_!$G$2:$G$2300,$A23)</f>
        <v>0</v>
      </c>
      <c r="M23" s="24">
        <f>SUMIFS(Angela_2025_Chase1117_Activity_!$D$2:$D$2300,Angela_2025_Chase1117_Activity_!$B$2:$B$2300,"&gt;="&amp;M$4,Angela_2025_Chase1117_Activity_!$B$2:$B$2300,"&lt;="&amp;EOMONTH(M$4,0),Angela_2025_Chase1117_Activity_!$G$2:$G$2300,$A23)</f>
        <v>0</v>
      </c>
      <c r="N23" s="24">
        <f>SUM(B23:M23)</f>
        <v>175</v>
      </c>
    </row>
    <row r="24" spans="1:14" x14ac:dyDescent="0.25">
      <c r="A24" s="6" t="s">
        <v>2433</v>
      </c>
      <c r="B24" s="24">
        <f>SUMIFS(Angela_2025_Chase1117_Activity_!$D$2:$D$2300,Angela_2025_Chase1117_Activity_!$B$2:$B$2300,"&gt;="&amp;B$4,Angela_2025_Chase1117_Activity_!$B$2:$B$2300,"&lt;="&amp;EOMONTH(B$4,0),Angela_2025_Chase1117_Activity_!$G$2:$G$2300,$A24)</f>
        <v>0</v>
      </c>
      <c r="C24" s="24">
        <f>SUMIFS(Angela_2025_Chase1117_Activity_!$D$2:$D$2300,Angela_2025_Chase1117_Activity_!$B$2:$B$2300,"&gt;="&amp;C$4,Angela_2025_Chase1117_Activity_!$B$2:$B$2300,"&lt;="&amp;EOMONTH(C$4,0),Angela_2025_Chase1117_Activity_!$G$2:$G$2300,$A24)</f>
        <v>0</v>
      </c>
      <c r="D24" s="24">
        <f>SUMIFS(Angela_2025_Chase1117_Activity_!$D$2:$D$2300,Angela_2025_Chase1117_Activity_!$B$2:$B$2300,"&gt;="&amp;D$4,Angela_2025_Chase1117_Activity_!$B$2:$B$2300,"&lt;="&amp;EOMONTH(D$4,0),Angela_2025_Chase1117_Activity_!$G$2:$G$2300,$A24)</f>
        <v>0</v>
      </c>
      <c r="E24" s="24">
        <f>SUMIFS(Angela_2025_Chase1117_Activity_!$D$2:$D$2300,Angela_2025_Chase1117_Activity_!$B$2:$B$2300,"&gt;="&amp;E$4,Angela_2025_Chase1117_Activity_!$B$2:$B$2300,"&lt;="&amp;EOMONTH(E$4,0),Angela_2025_Chase1117_Activity_!$G$2:$G$2300,$A24)</f>
        <v>0</v>
      </c>
      <c r="F24" s="24">
        <f>SUMIFS(Angela_2025_Chase1117_Activity_!$D$2:$D$2300,Angela_2025_Chase1117_Activity_!$B$2:$B$2300,"&gt;="&amp;F$4,Angela_2025_Chase1117_Activity_!$B$2:$B$2300,"&lt;="&amp;EOMONTH(F$4,0),Angela_2025_Chase1117_Activity_!$G$2:$G$2300,$A24)</f>
        <v>0</v>
      </c>
      <c r="G24" s="24">
        <f>SUMIFS(Angela_2025_Chase1117_Activity_!$D$2:$D$2300,Angela_2025_Chase1117_Activity_!$B$2:$B$2300,"&gt;="&amp;G$4,Angela_2025_Chase1117_Activity_!$B$2:$B$2300,"&lt;="&amp;EOMONTH(G$4,0),Angela_2025_Chase1117_Activity_!$G$2:$G$2300,$A24)</f>
        <v>0</v>
      </c>
      <c r="H24" s="24">
        <f>SUMIFS(Angela_2025_Chase1117_Activity_!$D$2:$D$2300,Angela_2025_Chase1117_Activity_!$B$2:$B$2300,"&gt;="&amp;H$4,Angela_2025_Chase1117_Activity_!$B$2:$B$2300,"&lt;="&amp;EOMONTH(H$4,0),Angela_2025_Chase1117_Activity_!$G$2:$G$2300,$A24)</f>
        <v>0</v>
      </c>
      <c r="I24" s="24">
        <f>SUMIFS(Angela_2025_Chase1117_Activity_!$D$2:$D$2300,Angela_2025_Chase1117_Activity_!$B$2:$B$2300,"&gt;="&amp;I$4,Angela_2025_Chase1117_Activity_!$B$2:$B$2300,"&lt;="&amp;EOMONTH(I$4,0),Angela_2025_Chase1117_Activity_!$G$2:$G$2300,$A24)</f>
        <v>0</v>
      </c>
      <c r="J24" s="24">
        <f>SUMIFS(Angela_2025_Chase1117_Activity_!$D$2:$D$2300,Angela_2025_Chase1117_Activity_!$B$2:$B$2300,"&gt;="&amp;J$4,Angela_2025_Chase1117_Activity_!$B$2:$B$2300,"&lt;="&amp;EOMONTH(J$4,0),Angela_2025_Chase1117_Activity_!$G$2:$G$2300,$A24)</f>
        <v>0</v>
      </c>
      <c r="K24" s="24">
        <f>SUMIFS(Angela_2025_Chase1117_Activity_!$D$2:$D$2300,Angela_2025_Chase1117_Activity_!$B$2:$B$2300,"&gt;="&amp;K$4,Angela_2025_Chase1117_Activity_!$B$2:$B$2300,"&lt;="&amp;EOMONTH(K$4,0),Angela_2025_Chase1117_Activity_!$G$2:$G$2300,$A24)</f>
        <v>0</v>
      </c>
      <c r="L24" s="24">
        <f>SUMIFS(Angela_2025_Chase1117_Activity_!$D$2:$D$2300,Angela_2025_Chase1117_Activity_!$B$2:$B$2300,"&gt;="&amp;L$4,Angela_2025_Chase1117_Activity_!$B$2:$B$2300,"&lt;="&amp;EOMONTH(L$4,0),Angela_2025_Chase1117_Activity_!$G$2:$G$2300,$A24)</f>
        <v>150</v>
      </c>
      <c r="M24" s="24">
        <f>SUMIFS(Angela_2025_Chase1117_Activity_!$D$2:$D$2300,Angela_2025_Chase1117_Activity_!$B$2:$B$2300,"&gt;="&amp;M$4,Angela_2025_Chase1117_Activity_!$B$2:$B$2300,"&lt;="&amp;EOMONTH(M$4,0),Angela_2025_Chase1117_Activity_!$G$2:$G$2300,$A24)</f>
        <v>0</v>
      </c>
      <c r="N24" s="24">
        <f>SUM(B24:M24)</f>
        <v>150</v>
      </c>
    </row>
    <row r="25" spans="1:14" x14ac:dyDescent="0.25">
      <c r="A25" s="6" t="s">
        <v>2521</v>
      </c>
      <c r="B25" s="24">
        <f>SUMIFS(Angela_2025_Chase1117_Activity_!$D$2:$D$2300,Angela_2025_Chase1117_Activity_!$B$2:$B$2300,"&gt;="&amp;B$4,Angela_2025_Chase1117_Activity_!$B$2:$B$2300,"&lt;="&amp;EOMONTH(B$4,0),Angela_2025_Chase1117_Activity_!$G$2:$G$2300,$A25)</f>
        <v>0</v>
      </c>
      <c r="C25" s="24">
        <f>SUMIFS(Angela_2025_Chase1117_Activity_!$D$2:$D$2300,Angela_2025_Chase1117_Activity_!$B$2:$B$2300,"&gt;="&amp;C$4,Angela_2025_Chase1117_Activity_!$B$2:$B$2300,"&lt;="&amp;EOMONTH(C$4,0),Angela_2025_Chase1117_Activity_!$G$2:$G$2300,$A25)</f>
        <v>0</v>
      </c>
      <c r="D25" s="24">
        <f>SUMIFS(Angela_2025_Chase1117_Activity_!$D$2:$D$2300,Angela_2025_Chase1117_Activity_!$B$2:$B$2300,"&gt;="&amp;D$4,Angela_2025_Chase1117_Activity_!$B$2:$B$2300,"&lt;="&amp;EOMONTH(D$4,0),Angela_2025_Chase1117_Activity_!$G$2:$G$2300,$A25)</f>
        <v>0</v>
      </c>
      <c r="E25" s="24">
        <f>SUMIFS(Angela_2025_Chase1117_Activity_!$D$2:$D$2300,Angela_2025_Chase1117_Activity_!$B$2:$B$2300,"&gt;="&amp;E$4,Angela_2025_Chase1117_Activity_!$B$2:$B$2300,"&lt;="&amp;EOMONTH(E$4,0),Angela_2025_Chase1117_Activity_!$G$2:$G$2300,$A25)</f>
        <v>0</v>
      </c>
      <c r="F25" s="24">
        <f>SUMIFS(Angela_2025_Chase1117_Activity_!$D$2:$D$2300,Angela_2025_Chase1117_Activity_!$B$2:$B$2300,"&gt;="&amp;F$4,Angela_2025_Chase1117_Activity_!$B$2:$B$2300,"&lt;="&amp;EOMONTH(F$4,0),Angela_2025_Chase1117_Activity_!$G$2:$G$2300,$A25)</f>
        <v>0</v>
      </c>
      <c r="G25" s="24">
        <f>SUMIFS(Angela_2025_Chase1117_Activity_!$D$2:$D$2300,Angela_2025_Chase1117_Activity_!$B$2:$B$2300,"&gt;="&amp;G$4,Angela_2025_Chase1117_Activity_!$B$2:$B$2300,"&lt;="&amp;EOMONTH(G$4,0),Angela_2025_Chase1117_Activity_!$G$2:$G$2300,$A25)</f>
        <v>-500</v>
      </c>
      <c r="H25" s="24">
        <f>SUMIFS(Angela_2025_Chase1117_Activity_!$D$2:$D$2300,Angela_2025_Chase1117_Activity_!$B$2:$B$2300,"&gt;="&amp;H$4,Angela_2025_Chase1117_Activity_!$B$2:$B$2300,"&lt;="&amp;EOMONTH(H$4,0),Angela_2025_Chase1117_Activity_!$G$2:$G$2300,$A25)</f>
        <v>0</v>
      </c>
      <c r="I25" s="24">
        <f>SUMIFS(Angela_2025_Chase1117_Activity_!$D$2:$D$2300,Angela_2025_Chase1117_Activity_!$B$2:$B$2300,"&gt;="&amp;I$4,Angela_2025_Chase1117_Activity_!$B$2:$B$2300,"&lt;="&amp;EOMONTH(I$4,0),Angela_2025_Chase1117_Activity_!$G$2:$G$2300,$A25)</f>
        <v>0</v>
      </c>
      <c r="J25" s="24">
        <f>SUMIFS(Angela_2025_Chase1117_Activity_!$D$2:$D$2300,Angela_2025_Chase1117_Activity_!$B$2:$B$2300,"&gt;="&amp;J$4,Angela_2025_Chase1117_Activity_!$B$2:$B$2300,"&lt;="&amp;EOMONTH(J$4,0),Angela_2025_Chase1117_Activity_!$G$2:$G$2300,$A25)</f>
        <v>0</v>
      </c>
      <c r="K25" s="24">
        <f>SUMIFS(Angela_2025_Chase1117_Activity_!$D$2:$D$2300,Angela_2025_Chase1117_Activity_!$B$2:$B$2300,"&gt;="&amp;K$4,Angela_2025_Chase1117_Activity_!$B$2:$B$2300,"&lt;="&amp;EOMONTH(K$4,0),Angela_2025_Chase1117_Activity_!$G$2:$G$2300,$A25)</f>
        <v>0</v>
      </c>
      <c r="L25" s="24">
        <f>SUMIFS(Angela_2025_Chase1117_Activity_!$D$2:$D$2300,Angela_2025_Chase1117_Activity_!$B$2:$B$2300,"&gt;="&amp;L$4,Angela_2025_Chase1117_Activity_!$B$2:$B$2300,"&lt;="&amp;EOMONTH(L$4,0),Angela_2025_Chase1117_Activity_!$G$2:$G$2300,$A25)</f>
        <v>0</v>
      </c>
      <c r="M25" s="24">
        <f>SUMIFS(Angela_2025_Chase1117_Activity_!$D$2:$D$2300,Angela_2025_Chase1117_Activity_!$B$2:$B$2300,"&gt;="&amp;M$4,Angela_2025_Chase1117_Activity_!$B$2:$B$2300,"&lt;="&amp;EOMONTH(M$4,0),Angela_2025_Chase1117_Activity_!$G$2:$G$2300,$A25)</f>
        <v>0</v>
      </c>
      <c r="N25" s="24">
        <f>SUM(B25:M25)</f>
        <v>-500</v>
      </c>
    </row>
    <row r="26" spans="1:14" x14ac:dyDescent="0.25">
      <c r="A26" s="6" t="s">
        <v>2528</v>
      </c>
      <c r="B26" s="24">
        <f>SUMIFS(Angela_2025_Chase1117_Activity_!$D$2:$D$2300,Angela_2025_Chase1117_Activity_!$B$2:$B$2300,"&gt;="&amp;B$4,Angela_2025_Chase1117_Activity_!$B$2:$B$2300,"&lt;="&amp;EOMONTH(B$4,0),Angela_2025_Chase1117_Activity_!$G$2:$G$2300,$A26)</f>
        <v>0</v>
      </c>
      <c r="C26" s="24">
        <f>SUMIFS(Angela_2025_Chase1117_Activity_!$D$2:$D$2300,Angela_2025_Chase1117_Activity_!$B$2:$B$2300,"&gt;="&amp;C$4,Angela_2025_Chase1117_Activity_!$B$2:$B$2300,"&lt;="&amp;EOMONTH(C$4,0),Angela_2025_Chase1117_Activity_!$G$2:$G$2300,$A26)</f>
        <v>0</v>
      </c>
      <c r="D26" s="24">
        <f>SUMIFS(Angela_2025_Chase1117_Activity_!$D$2:$D$2300,Angela_2025_Chase1117_Activity_!$B$2:$B$2300,"&gt;="&amp;D$4,Angela_2025_Chase1117_Activity_!$B$2:$B$2300,"&lt;="&amp;EOMONTH(D$4,0),Angela_2025_Chase1117_Activity_!$G$2:$G$2300,$A26)</f>
        <v>0</v>
      </c>
      <c r="E26" s="24">
        <f>SUMIFS(Angela_2025_Chase1117_Activity_!$D$2:$D$2300,Angela_2025_Chase1117_Activity_!$B$2:$B$2300,"&gt;="&amp;E$4,Angela_2025_Chase1117_Activity_!$B$2:$B$2300,"&lt;="&amp;EOMONTH(E$4,0),Angela_2025_Chase1117_Activity_!$G$2:$G$2300,$A26)</f>
        <v>0</v>
      </c>
      <c r="F26" s="24">
        <f>SUMIFS(Angela_2025_Chase1117_Activity_!$D$2:$D$2300,Angela_2025_Chase1117_Activity_!$B$2:$B$2300,"&gt;="&amp;F$4,Angela_2025_Chase1117_Activity_!$B$2:$B$2300,"&lt;="&amp;EOMONTH(F$4,0),Angela_2025_Chase1117_Activity_!$G$2:$G$2300,$A26)</f>
        <v>-480.38</v>
      </c>
      <c r="G26" s="24">
        <f>SUMIFS(Angela_2025_Chase1117_Activity_!$D$2:$D$2300,Angela_2025_Chase1117_Activity_!$B$2:$B$2300,"&gt;="&amp;G$4,Angela_2025_Chase1117_Activity_!$B$2:$B$2300,"&lt;="&amp;EOMONTH(G$4,0),Angela_2025_Chase1117_Activity_!$G$2:$G$2300,$A26)</f>
        <v>-364.07</v>
      </c>
      <c r="H26" s="24">
        <f>SUMIFS(Angela_2025_Chase1117_Activity_!$D$2:$D$2300,Angela_2025_Chase1117_Activity_!$B$2:$B$2300,"&gt;="&amp;H$4,Angela_2025_Chase1117_Activity_!$B$2:$B$2300,"&lt;="&amp;EOMONTH(H$4,0),Angela_2025_Chase1117_Activity_!$G$2:$G$2300,$A26)</f>
        <v>0</v>
      </c>
      <c r="I26" s="24">
        <f>SUMIFS(Angela_2025_Chase1117_Activity_!$D$2:$D$2300,Angela_2025_Chase1117_Activity_!$B$2:$B$2300,"&gt;="&amp;I$4,Angela_2025_Chase1117_Activity_!$B$2:$B$2300,"&lt;="&amp;EOMONTH(I$4,0),Angela_2025_Chase1117_Activity_!$G$2:$G$2300,$A26)</f>
        <v>0</v>
      </c>
      <c r="J26" s="24">
        <f>SUMIFS(Angela_2025_Chase1117_Activity_!$D$2:$D$2300,Angela_2025_Chase1117_Activity_!$B$2:$B$2300,"&gt;="&amp;J$4,Angela_2025_Chase1117_Activity_!$B$2:$B$2300,"&lt;="&amp;EOMONTH(J$4,0),Angela_2025_Chase1117_Activity_!$G$2:$G$2300,$A26)</f>
        <v>0</v>
      </c>
      <c r="K26" s="24">
        <f>SUMIFS(Angela_2025_Chase1117_Activity_!$D$2:$D$2300,Angela_2025_Chase1117_Activity_!$B$2:$B$2300,"&gt;="&amp;K$4,Angela_2025_Chase1117_Activity_!$B$2:$B$2300,"&lt;="&amp;EOMONTH(K$4,0),Angela_2025_Chase1117_Activity_!$G$2:$G$2300,$A26)</f>
        <v>0</v>
      </c>
      <c r="L26" s="24">
        <f>SUMIFS(Angela_2025_Chase1117_Activity_!$D$2:$D$2300,Angela_2025_Chase1117_Activity_!$B$2:$B$2300,"&gt;="&amp;L$4,Angela_2025_Chase1117_Activity_!$B$2:$B$2300,"&lt;="&amp;EOMONTH(L$4,0),Angela_2025_Chase1117_Activity_!$G$2:$G$2300,$A26)</f>
        <v>0</v>
      </c>
      <c r="M26" s="24">
        <f>SUMIFS(Angela_2025_Chase1117_Activity_!$D$2:$D$2300,Angela_2025_Chase1117_Activity_!$B$2:$B$2300,"&gt;="&amp;M$4,Angela_2025_Chase1117_Activity_!$B$2:$B$2300,"&lt;="&amp;EOMONTH(M$4,0),Angela_2025_Chase1117_Activity_!$G$2:$G$2300,$A26)</f>
        <v>0</v>
      </c>
      <c r="N26" s="24">
        <f>SUM(B26:M26)</f>
        <v>-844.45</v>
      </c>
    </row>
    <row r="27" spans="1:14" x14ac:dyDescent="0.25">
      <c r="A27" s="6" t="s">
        <v>1429</v>
      </c>
      <c r="B27" s="24">
        <f>SUMIFS(Angela_2025_Chase1117_Activity_!$D$2:$D$2300,Angela_2025_Chase1117_Activity_!$B$2:$B$2300,"&gt;="&amp;B$4,Angela_2025_Chase1117_Activity_!$B$2:$B$2300,"&lt;="&amp;EOMONTH(B$4,0),Angela_2025_Chase1117_Activity_!$G$2:$G$2300,$A27)</f>
        <v>-352.94</v>
      </c>
      <c r="C27" s="24">
        <f>SUMIFS(Angela_2025_Chase1117_Activity_!$D$2:$D$2300,Angela_2025_Chase1117_Activity_!$B$2:$B$2300,"&gt;="&amp;C$4,Angela_2025_Chase1117_Activity_!$B$2:$B$2300,"&lt;="&amp;EOMONTH(C$4,0),Angela_2025_Chase1117_Activity_!$G$2:$G$2300,$A27)</f>
        <v>-37.590000000000003</v>
      </c>
      <c r="D27" s="24">
        <f>SUMIFS(Angela_2025_Chase1117_Activity_!$D$2:$D$2300,Angela_2025_Chase1117_Activity_!$B$2:$B$2300,"&gt;="&amp;D$4,Angela_2025_Chase1117_Activity_!$B$2:$B$2300,"&lt;="&amp;EOMONTH(D$4,0),Angela_2025_Chase1117_Activity_!$G$2:$G$2300,$A27)</f>
        <v>-455.43</v>
      </c>
      <c r="E27" s="24">
        <f>SUMIFS(Angela_2025_Chase1117_Activity_!$D$2:$D$2300,Angela_2025_Chase1117_Activity_!$B$2:$B$2300,"&gt;="&amp;E$4,Angela_2025_Chase1117_Activity_!$B$2:$B$2300,"&lt;="&amp;EOMONTH(E$4,0),Angela_2025_Chase1117_Activity_!$G$2:$G$2300,$A27)</f>
        <v>-466.34000000000003</v>
      </c>
      <c r="F27" s="24">
        <f>SUMIFS(Angela_2025_Chase1117_Activity_!$D$2:$D$2300,Angela_2025_Chase1117_Activity_!$B$2:$B$2300,"&gt;="&amp;F$4,Angela_2025_Chase1117_Activity_!$B$2:$B$2300,"&lt;="&amp;EOMONTH(F$4,0),Angela_2025_Chase1117_Activity_!$G$2:$G$2300,$A27)</f>
        <v>-1310.54</v>
      </c>
      <c r="G27" s="24">
        <f>SUMIFS(Angela_2025_Chase1117_Activity_!$D$2:$D$2300,Angela_2025_Chase1117_Activity_!$B$2:$B$2300,"&gt;="&amp;G$4,Angela_2025_Chase1117_Activity_!$B$2:$B$2300,"&lt;="&amp;EOMONTH(G$4,0),Angela_2025_Chase1117_Activity_!$G$2:$G$2300,$A27)</f>
        <v>-1561.4100000000003</v>
      </c>
      <c r="H27" s="24">
        <f>SUMIFS(Angela_2025_Chase1117_Activity_!$D$2:$D$2300,Angela_2025_Chase1117_Activity_!$B$2:$B$2300,"&gt;="&amp;H$4,Angela_2025_Chase1117_Activity_!$B$2:$B$2300,"&lt;="&amp;EOMONTH(H$4,0),Angela_2025_Chase1117_Activity_!$G$2:$G$2300,$A27)</f>
        <v>-890.43000000000006</v>
      </c>
      <c r="I27" s="24">
        <f>SUMIFS(Angela_2025_Chase1117_Activity_!$D$2:$D$2300,Angela_2025_Chase1117_Activity_!$B$2:$B$2300,"&gt;="&amp;I$4,Angela_2025_Chase1117_Activity_!$B$2:$B$2300,"&lt;="&amp;EOMONTH(I$4,0),Angela_2025_Chase1117_Activity_!$G$2:$G$2300,$A27)</f>
        <v>-1333.4</v>
      </c>
      <c r="J27" s="24">
        <f>SUMIFS(Angela_2025_Chase1117_Activity_!$D$2:$D$2300,Angela_2025_Chase1117_Activity_!$B$2:$B$2300,"&gt;="&amp;J$4,Angela_2025_Chase1117_Activity_!$B$2:$B$2300,"&lt;="&amp;EOMONTH(J$4,0),Angela_2025_Chase1117_Activity_!$G$2:$G$2300,$A27)</f>
        <v>-4609.57</v>
      </c>
      <c r="K27" s="24">
        <f>SUMIFS(Angela_2025_Chase1117_Activity_!$D$2:$D$2300,Angela_2025_Chase1117_Activity_!$B$2:$B$2300,"&gt;="&amp;K$4,Angela_2025_Chase1117_Activity_!$B$2:$B$2300,"&lt;="&amp;EOMONTH(K$4,0),Angela_2025_Chase1117_Activity_!$G$2:$G$2300,$A27)</f>
        <v>-4971.5599999999995</v>
      </c>
      <c r="L27" s="24">
        <f>SUMIFS(Angela_2025_Chase1117_Activity_!$D$2:$D$2300,Angela_2025_Chase1117_Activity_!$B$2:$B$2300,"&gt;="&amp;L$4,Angela_2025_Chase1117_Activity_!$B$2:$B$2300,"&lt;="&amp;EOMONTH(L$4,0),Angela_2025_Chase1117_Activity_!$G$2:$G$2300,$A27)</f>
        <v>-2561.1800000000003</v>
      </c>
      <c r="M27" s="24">
        <f>SUMIFS(Angela_2025_Chase1117_Activity_!$D$2:$D$2300,Angela_2025_Chase1117_Activity_!$B$2:$B$2300,"&gt;="&amp;M$4,Angela_2025_Chase1117_Activity_!$B$2:$B$2300,"&lt;="&amp;EOMONTH(M$4,0),Angela_2025_Chase1117_Activity_!$G$2:$G$2300,$A27)</f>
        <v>-4040.7100000000005</v>
      </c>
      <c r="N27" s="24">
        <f>SUM(B27:M27)</f>
        <v>-22591.1</v>
      </c>
    </row>
    <row r="28" spans="1:14" x14ac:dyDescent="0.25">
      <c r="A28" s="6" t="s">
        <v>1463</v>
      </c>
      <c r="B28" s="24">
        <f>SUMIFS(Angela_2025_Chase1117_Activity_!$D$2:$D$2300,Angela_2025_Chase1117_Activity_!$B$2:$B$2300,"&gt;="&amp;B$4,Angela_2025_Chase1117_Activity_!$B$2:$B$2300,"&lt;="&amp;EOMONTH(B$4,0),Angela_2025_Chase1117_Activity_!$G$2:$G$2300,$A28)</f>
        <v>-353.29999999999995</v>
      </c>
      <c r="C28" s="24">
        <f>SUMIFS(Angela_2025_Chase1117_Activity_!$D$2:$D$2300,Angela_2025_Chase1117_Activity_!$B$2:$B$2300,"&gt;="&amp;C$4,Angela_2025_Chase1117_Activity_!$B$2:$B$2300,"&lt;="&amp;EOMONTH(C$4,0),Angela_2025_Chase1117_Activity_!$G$2:$G$2300,$A28)</f>
        <v>0</v>
      </c>
      <c r="D28" s="24">
        <f>SUMIFS(Angela_2025_Chase1117_Activity_!$D$2:$D$2300,Angela_2025_Chase1117_Activity_!$B$2:$B$2300,"&gt;="&amp;D$4,Angela_2025_Chase1117_Activity_!$B$2:$B$2300,"&lt;="&amp;EOMONTH(D$4,0),Angela_2025_Chase1117_Activity_!$G$2:$G$2300,$A28)</f>
        <v>-50.14</v>
      </c>
      <c r="E28" s="24">
        <f>SUMIFS(Angela_2025_Chase1117_Activity_!$D$2:$D$2300,Angela_2025_Chase1117_Activity_!$B$2:$B$2300,"&gt;="&amp;E$4,Angela_2025_Chase1117_Activity_!$B$2:$B$2300,"&lt;="&amp;EOMONTH(E$4,0),Angela_2025_Chase1117_Activity_!$G$2:$G$2300,$A28)</f>
        <v>0</v>
      </c>
      <c r="F28" s="24">
        <f>SUMIFS(Angela_2025_Chase1117_Activity_!$D$2:$D$2300,Angela_2025_Chase1117_Activity_!$B$2:$B$2300,"&gt;="&amp;F$4,Angela_2025_Chase1117_Activity_!$B$2:$B$2300,"&lt;="&amp;EOMONTH(F$4,0),Angela_2025_Chase1117_Activity_!$G$2:$G$2300,$A28)</f>
        <v>0</v>
      </c>
      <c r="G28" s="24">
        <f>SUMIFS(Angela_2025_Chase1117_Activity_!$D$2:$D$2300,Angela_2025_Chase1117_Activity_!$B$2:$B$2300,"&gt;="&amp;G$4,Angela_2025_Chase1117_Activity_!$B$2:$B$2300,"&lt;="&amp;EOMONTH(G$4,0),Angela_2025_Chase1117_Activity_!$G$2:$G$2300,$A28)</f>
        <v>0</v>
      </c>
      <c r="H28" s="24">
        <f>SUMIFS(Angela_2025_Chase1117_Activity_!$D$2:$D$2300,Angela_2025_Chase1117_Activity_!$B$2:$B$2300,"&gt;="&amp;H$4,Angela_2025_Chase1117_Activity_!$B$2:$B$2300,"&lt;="&amp;EOMONTH(H$4,0),Angela_2025_Chase1117_Activity_!$G$2:$G$2300,$A28)</f>
        <v>0</v>
      </c>
      <c r="I28" s="24">
        <f>SUMIFS(Angela_2025_Chase1117_Activity_!$D$2:$D$2300,Angela_2025_Chase1117_Activity_!$B$2:$B$2300,"&gt;="&amp;I$4,Angela_2025_Chase1117_Activity_!$B$2:$B$2300,"&lt;="&amp;EOMONTH(I$4,0),Angela_2025_Chase1117_Activity_!$G$2:$G$2300,$A28)</f>
        <v>0</v>
      </c>
      <c r="J28" s="24">
        <f>SUMIFS(Angela_2025_Chase1117_Activity_!$D$2:$D$2300,Angela_2025_Chase1117_Activity_!$B$2:$B$2300,"&gt;="&amp;J$4,Angela_2025_Chase1117_Activity_!$B$2:$B$2300,"&lt;="&amp;EOMONTH(J$4,0),Angela_2025_Chase1117_Activity_!$G$2:$G$2300,$A28)</f>
        <v>-139.69999999999999</v>
      </c>
      <c r="K28" s="24">
        <f>SUMIFS(Angela_2025_Chase1117_Activity_!$D$2:$D$2300,Angela_2025_Chase1117_Activity_!$B$2:$B$2300,"&gt;="&amp;K$4,Angela_2025_Chase1117_Activity_!$B$2:$B$2300,"&lt;="&amp;EOMONTH(K$4,0),Angela_2025_Chase1117_Activity_!$G$2:$G$2300,$A28)</f>
        <v>0</v>
      </c>
      <c r="L28" s="24">
        <f>SUMIFS(Angela_2025_Chase1117_Activity_!$D$2:$D$2300,Angela_2025_Chase1117_Activity_!$B$2:$B$2300,"&gt;="&amp;L$4,Angela_2025_Chase1117_Activity_!$B$2:$B$2300,"&lt;="&amp;EOMONTH(L$4,0),Angela_2025_Chase1117_Activity_!$G$2:$G$2300,$A28)</f>
        <v>-123.01</v>
      </c>
      <c r="M28" s="24">
        <f>SUMIFS(Angela_2025_Chase1117_Activity_!$D$2:$D$2300,Angela_2025_Chase1117_Activity_!$B$2:$B$2300,"&gt;="&amp;M$4,Angela_2025_Chase1117_Activity_!$B$2:$B$2300,"&lt;="&amp;EOMONTH(M$4,0),Angela_2025_Chase1117_Activity_!$G$2:$G$2300,$A28)</f>
        <v>-1687.5700000000004</v>
      </c>
      <c r="N28" s="24">
        <f>SUM(B28:M28)</f>
        <v>-2353.7200000000003</v>
      </c>
    </row>
    <row r="29" spans="1:14" x14ac:dyDescent="0.25">
      <c r="A29" s="6" t="s">
        <v>2613</v>
      </c>
      <c r="B29" s="24">
        <f>SUMIFS(Angela_2025_Chase1117_Activity_!$D$2:$D$2300,Angela_2025_Chase1117_Activity_!$B$2:$B$2300,"&gt;="&amp;B$4,Angela_2025_Chase1117_Activity_!$B$2:$B$2300,"&lt;="&amp;EOMONTH(B$4,0),Angela_2025_Chase1117_Activity_!$G$2:$G$2300,$A29)</f>
        <v>0</v>
      </c>
      <c r="C29" s="24">
        <f>SUMIFS(Angela_2025_Chase1117_Activity_!$D$2:$D$2300,Angela_2025_Chase1117_Activity_!$B$2:$B$2300,"&gt;="&amp;C$4,Angela_2025_Chase1117_Activity_!$B$2:$B$2300,"&lt;="&amp;EOMONTH(C$4,0),Angela_2025_Chase1117_Activity_!$G$2:$G$2300,$A29)</f>
        <v>0</v>
      </c>
      <c r="D29" s="24">
        <f>SUMIFS(Angela_2025_Chase1117_Activity_!$D$2:$D$2300,Angela_2025_Chase1117_Activity_!$B$2:$B$2300,"&gt;="&amp;D$4,Angela_2025_Chase1117_Activity_!$B$2:$B$2300,"&lt;="&amp;EOMONTH(D$4,0),Angela_2025_Chase1117_Activity_!$G$2:$G$2300,$A29)</f>
        <v>0</v>
      </c>
      <c r="E29" s="24">
        <f>SUMIFS(Angela_2025_Chase1117_Activity_!$D$2:$D$2300,Angela_2025_Chase1117_Activity_!$B$2:$B$2300,"&gt;="&amp;E$4,Angela_2025_Chase1117_Activity_!$B$2:$B$2300,"&lt;="&amp;EOMONTH(E$4,0),Angela_2025_Chase1117_Activity_!$G$2:$G$2300,$A29)</f>
        <v>-2243.96</v>
      </c>
      <c r="F29" s="24">
        <f>SUMIFS(Angela_2025_Chase1117_Activity_!$D$2:$D$2300,Angela_2025_Chase1117_Activity_!$B$2:$B$2300,"&gt;="&amp;F$4,Angela_2025_Chase1117_Activity_!$B$2:$B$2300,"&lt;="&amp;EOMONTH(F$4,0),Angela_2025_Chase1117_Activity_!$G$2:$G$2300,$A29)</f>
        <v>0</v>
      </c>
      <c r="G29" s="24">
        <f>SUMIFS(Angela_2025_Chase1117_Activity_!$D$2:$D$2300,Angela_2025_Chase1117_Activity_!$B$2:$B$2300,"&gt;="&amp;G$4,Angela_2025_Chase1117_Activity_!$B$2:$B$2300,"&lt;="&amp;EOMONTH(G$4,0),Angela_2025_Chase1117_Activity_!$G$2:$G$2300,$A29)</f>
        <v>0</v>
      </c>
      <c r="H29" s="24">
        <f>SUMIFS(Angela_2025_Chase1117_Activity_!$D$2:$D$2300,Angela_2025_Chase1117_Activity_!$B$2:$B$2300,"&gt;="&amp;H$4,Angela_2025_Chase1117_Activity_!$B$2:$B$2300,"&lt;="&amp;EOMONTH(H$4,0),Angela_2025_Chase1117_Activity_!$G$2:$G$2300,$A29)</f>
        <v>0</v>
      </c>
      <c r="I29" s="24">
        <f>SUMIFS(Angela_2025_Chase1117_Activity_!$D$2:$D$2300,Angela_2025_Chase1117_Activity_!$B$2:$B$2300,"&gt;="&amp;I$4,Angela_2025_Chase1117_Activity_!$B$2:$B$2300,"&lt;="&amp;EOMONTH(I$4,0),Angela_2025_Chase1117_Activity_!$G$2:$G$2300,$A29)</f>
        <v>0</v>
      </c>
      <c r="J29" s="24">
        <f>SUMIFS(Angela_2025_Chase1117_Activity_!$D$2:$D$2300,Angela_2025_Chase1117_Activity_!$B$2:$B$2300,"&gt;="&amp;J$4,Angela_2025_Chase1117_Activity_!$B$2:$B$2300,"&lt;="&amp;EOMONTH(J$4,0),Angela_2025_Chase1117_Activity_!$G$2:$G$2300,$A29)</f>
        <v>0</v>
      </c>
      <c r="K29" s="24">
        <f>SUMIFS(Angela_2025_Chase1117_Activity_!$D$2:$D$2300,Angela_2025_Chase1117_Activity_!$B$2:$B$2300,"&gt;="&amp;K$4,Angela_2025_Chase1117_Activity_!$B$2:$B$2300,"&lt;="&amp;EOMONTH(K$4,0),Angela_2025_Chase1117_Activity_!$G$2:$G$2300,$A29)</f>
        <v>0</v>
      </c>
      <c r="L29" s="24">
        <f>SUMIFS(Angela_2025_Chase1117_Activity_!$D$2:$D$2300,Angela_2025_Chase1117_Activity_!$B$2:$B$2300,"&gt;="&amp;L$4,Angela_2025_Chase1117_Activity_!$B$2:$B$2300,"&lt;="&amp;EOMONTH(L$4,0),Angela_2025_Chase1117_Activity_!$G$2:$G$2300,$A29)</f>
        <v>0</v>
      </c>
      <c r="M29" s="24">
        <f>SUMIFS(Angela_2025_Chase1117_Activity_!$D$2:$D$2300,Angela_2025_Chase1117_Activity_!$B$2:$B$2300,"&gt;="&amp;M$4,Angela_2025_Chase1117_Activity_!$B$2:$B$2300,"&lt;="&amp;EOMONTH(M$4,0),Angela_2025_Chase1117_Activity_!$G$2:$G$2300,$A29)</f>
        <v>0</v>
      </c>
      <c r="N29" s="24">
        <f>SUM(B29:M29)</f>
        <v>-2243.96</v>
      </c>
    </row>
    <row r="30" spans="1:14" x14ac:dyDescent="0.25">
      <c r="A30" s="6" t="s">
        <v>2614</v>
      </c>
      <c r="B30" s="24">
        <f>SUMIFS(Angela_2025_Chase1117_Activity_!$D$2:$D$2300,Angela_2025_Chase1117_Activity_!$B$2:$B$2300,"&gt;="&amp;B$4,Angela_2025_Chase1117_Activity_!$B$2:$B$2300,"&lt;="&amp;EOMONTH(B$4,0),Angela_2025_Chase1117_Activity_!$G$2:$G$2300,$A30)</f>
        <v>0</v>
      </c>
      <c r="C30" s="24">
        <f>SUMIFS(Angela_2025_Chase1117_Activity_!$D$2:$D$2300,Angela_2025_Chase1117_Activity_!$B$2:$B$2300,"&gt;="&amp;C$4,Angela_2025_Chase1117_Activity_!$B$2:$B$2300,"&lt;="&amp;EOMONTH(C$4,0),Angela_2025_Chase1117_Activity_!$G$2:$G$2300,$A30)</f>
        <v>0</v>
      </c>
      <c r="D30" s="24">
        <f>SUMIFS(Angela_2025_Chase1117_Activity_!$D$2:$D$2300,Angela_2025_Chase1117_Activity_!$B$2:$B$2300,"&gt;="&amp;D$4,Angela_2025_Chase1117_Activity_!$B$2:$B$2300,"&lt;="&amp;EOMONTH(D$4,0),Angela_2025_Chase1117_Activity_!$G$2:$G$2300,$A30)</f>
        <v>0</v>
      </c>
      <c r="E30" s="24">
        <f>SUMIFS(Angela_2025_Chase1117_Activity_!$D$2:$D$2300,Angela_2025_Chase1117_Activity_!$B$2:$B$2300,"&gt;="&amp;E$4,Angela_2025_Chase1117_Activity_!$B$2:$B$2300,"&lt;="&amp;EOMONTH(E$4,0),Angela_2025_Chase1117_Activity_!$G$2:$G$2300,$A30)</f>
        <v>0</v>
      </c>
      <c r="F30" s="24">
        <f>SUMIFS(Angela_2025_Chase1117_Activity_!$D$2:$D$2300,Angela_2025_Chase1117_Activity_!$B$2:$B$2300,"&gt;="&amp;F$4,Angela_2025_Chase1117_Activity_!$B$2:$B$2300,"&lt;="&amp;EOMONTH(F$4,0),Angela_2025_Chase1117_Activity_!$G$2:$G$2300,$A30)</f>
        <v>-649.48</v>
      </c>
      <c r="G30" s="24">
        <f>SUMIFS(Angela_2025_Chase1117_Activity_!$D$2:$D$2300,Angela_2025_Chase1117_Activity_!$B$2:$B$2300,"&gt;="&amp;G$4,Angela_2025_Chase1117_Activity_!$B$2:$B$2300,"&lt;="&amp;EOMONTH(G$4,0),Angela_2025_Chase1117_Activity_!$G$2:$G$2300,$A30)</f>
        <v>0</v>
      </c>
      <c r="H30" s="24">
        <f>SUMIFS(Angela_2025_Chase1117_Activity_!$D$2:$D$2300,Angela_2025_Chase1117_Activity_!$B$2:$B$2300,"&gt;="&amp;H$4,Angela_2025_Chase1117_Activity_!$B$2:$B$2300,"&lt;="&amp;EOMONTH(H$4,0),Angela_2025_Chase1117_Activity_!$G$2:$G$2300,$A30)</f>
        <v>0</v>
      </c>
      <c r="I30" s="24">
        <f>SUMIFS(Angela_2025_Chase1117_Activity_!$D$2:$D$2300,Angela_2025_Chase1117_Activity_!$B$2:$B$2300,"&gt;="&amp;I$4,Angela_2025_Chase1117_Activity_!$B$2:$B$2300,"&lt;="&amp;EOMONTH(I$4,0),Angela_2025_Chase1117_Activity_!$G$2:$G$2300,$A30)</f>
        <v>0</v>
      </c>
      <c r="J30" s="24">
        <f>SUMIFS(Angela_2025_Chase1117_Activity_!$D$2:$D$2300,Angela_2025_Chase1117_Activity_!$B$2:$B$2300,"&gt;="&amp;J$4,Angela_2025_Chase1117_Activity_!$B$2:$B$2300,"&lt;="&amp;EOMONTH(J$4,0),Angela_2025_Chase1117_Activity_!$G$2:$G$2300,$A30)</f>
        <v>0</v>
      </c>
      <c r="K30" s="24">
        <f>SUMIFS(Angela_2025_Chase1117_Activity_!$D$2:$D$2300,Angela_2025_Chase1117_Activity_!$B$2:$B$2300,"&gt;="&amp;K$4,Angela_2025_Chase1117_Activity_!$B$2:$B$2300,"&lt;="&amp;EOMONTH(K$4,0),Angela_2025_Chase1117_Activity_!$G$2:$G$2300,$A30)</f>
        <v>0</v>
      </c>
      <c r="L30" s="24">
        <f>SUMIFS(Angela_2025_Chase1117_Activity_!$D$2:$D$2300,Angela_2025_Chase1117_Activity_!$B$2:$B$2300,"&gt;="&amp;L$4,Angela_2025_Chase1117_Activity_!$B$2:$B$2300,"&lt;="&amp;EOMONTH(L$4,0),Angela_2025_Chase1117_Activity_!$G$2:$G$2300,$A30)</f>
        <v>0</v>
      </c>
      <c r="M30" s="24">
        <f>SUMIFS(Angela_2025_Chase1117_Activity_!$D$2:$D$2300,Angela_2025_Chase1117_Activity_!$B$2:$B$2300,"&gt;="&amp;M$4,Angela_2025_Chase1117_Activity_!$B$2:$B$2300,"&lt;="&amp;EOMONTH(M$4,0),Angela_2025_Chase1117_Activity_!$G$2:$G$2300,$A30)</f>
        <v>0</v>
      </c>
      <c r="N30" s="24">
        <f>SUM(B30:M30)</f>
        <v>-649.48</v>
      </c>
    </row>
    <row r="31" spans="1:14" x14ac:dyDescent="0.25">
      <c r="A31" s="6" t="s">
        <v>1461</v>
      </c>
      <c r="B31" s="24">
        <f>SUMIFS(Angela_2025_Chase1117_Activity_!$D$2:$D$2300,Angela_2025_Chase1117_Activity_!$B$2:$B$2300,"&gt;="&amp;B$4,Angela_2025_Chase1117_Activity_!$B$2:$B$2300,"&lt;="&amp;EOMONTH(B$4,0),Angela_2025_Chase1117_Activity_!$G$2:$G$2300,$A31)</f>
        <v>-231.5</v>
      </c>
      <c r="C31" s="24">
        <f>SUMIFS(Angela_2025_Chase1117_Activity_!$D$2:$D$2300,Angela_2025_Chase1117_Activity_!$B$2:$B$2300,"&gt;="&amp;C$4,Angela_2025_Chase1117_Activity_!$B$2:$B$2300,"&lt;="&amp;EOMONTH(C$4,0),Angela_2025_Chase1117_Activity_!$G$2:$G$2300,$A31)</f>
        <v>0</v>
      </c>
      <c r="D31" s="24">
        <f>SUMIFS(Angela_2025_Chase1117_Activity_!$D$2:$D$2300,Angela_2025_Chase1117_Activity_!$B$2:$B$2300,"&gt;="&amp;D$4,Angela_2025_Chase1117_Activity_!$B$2:$B$2300,"&lt;="&amp;EOMONTH(D$4,0),Angela_2025_Chase1117_Activity_!$G$2:$G$2300,$A31)</f>
        <v>0</v>
      </c>
      <c r="E31" s="24">
        <f>SUMIFS(Angela_2025_Chase1117_Activity_!$D$2:$D$2300,Angela_2025_Chase1117_Activity_!$B$2:$B$2300,"&gt;="&amp;E$4,Angela_2025_Chase1117_Activity_!$B$2:$B$2300,"&lt;="&amp;EOMONTH(E$4,0),Angela_2025_Chase1117_Activity_!$G$2:$G$2300,$A31)</f>
        <v>-231.5</v>
      </c>
      <c r="F31" s="24">
        <f>SUMIFS(Angela_2025_Chase1117_Activity_!$D$2:$D$2300,Angela_2025_Chase1117_Activity_!$B$2:$B$2300,"&gt;="&amp;F$4,Angela_2025_Chase1117_Activity_!$B$2:$B$2300,"&lt;="&amp;EOMONTH(F$4,0),Angela_2025_Chase1117_Activity_!$G$2:$G$2300,$A31)</f>
        <v>0</v>
      </c>
      <c r="G31" s="24">
        <f>SUMIFS(Angela_2025_Chase1117_Activity_!$D$2:$D$2300,Angela_2025_Chase1117_Activity_!$B$2:$B$2300,"&gt;="&amp;G$4,Angela_2025_Chase1117_Activity_!$B$2:$B$2300,"&lt;="&amp;EOMONTH(G$4,0),Angela_2025_Chase1117_Activity_!$G$2:$G$2300,$A31)</f>
        <v>0</v>
      </c>
      <c r="H31" s="24">
        <f>SUMIFS(Angela_2025_Chase1117_Activity_!$D$2:$D$2300,Angela_2025_Chase1117_Activity_!$B$2:$B$2300,"&gt;="&amp;H$4,Angela_2025_Chase1117_Activity_!$B$2:$B$2300,"&lt;="&amp;EOMONTH(H$4,0),Angela_2025_Chase1117_Activity_!$G$2:$G$2300,$A31)</f>
        <v>-136.26</v>
      </c>
      <c r="I31" s="24">
        <f>SUMIFS(Angela_2025_Chase1117_Activity_!$D$2:$D$2300,Angela_2025_Chase1117_Activity_!$B$2:$B$2300,"&gt;="&amp;I$4,Angela_2025_Chase1117_Activity_!$B$2:$B$2300,"&lt;="&amp;EOMONTH(I$4,0),Angela_2025_Chase1117_Activity_!$G$2:$G$2300,$A31)</f>
        <v>0</v>
      </c>
      <c r="J31" s="24">
        <f>SUMIFS(Angela_2025_Chase1117_Activity_!$D$2:$D$2300,Angela_2025_Chase1117_Activity_!$B$2:$B$2300,"&gt;="&amp;J$4,Angela_2025_Chase1117_Activity_!$B$2:$B$2300,"&lt;="&amp;EOMONTH(J$4,0),Angela_2025_Chase1117_Activity_!$G$2:$G$2300,$A31)</f>
        <v>0</v>
      </c>
      <c r="K31" s="24">
        <f>SUMIFS(Angela_2025_Chase1117_Activity_!$D$2:$D$2300,Angela_2025_Chase1117_Activity_!$B$2:$B$2300,"&gt;="&amp;K$4,Angela_2025_Chase1117_Activity_!$B$2:$B$2300,"&lt;="&amp;EOMONTH(K$4,0),Angela_2025_Chase1117_Activity_!$G$2:$G$2300,$A31)</f>
        <v>0</v>
      </c>
      <c r="L31" s="24">
        <f>SUMIFS(Angela_2025_Chase1117_Activity_!$D$2:$D$2300,Angela_2025_Chase1117_Activity_!$B$2:$B$2300,"&gt;="&amp;L$4,Angela_2025_Chase1117_Activity_!$B$2:$B$2300,"&lt;="&amp;EOMONTH(L$4,0),Angela_2025_Chase1117_Activity_!$G$2:$G$2300,$A31)</f>
        <v>0</v>
      </c>
      <c r="M31" s="24">
        <f>SUMIFS(Angela_2025_Chase1117_Activity_!$D$2:$D$2300,Angela_2025_Chase1117_Activity_!$B$2:$B$2300,"&gt;="&amp;M$4,Angela_2025_Chase1117_Activity_!$B$2:$B$2300,"&lt;="&amp;EOMONTH(M$4,0),Angela_2025_Chase1117_Activity_!$G$2:$G$2300,$A31)</f>
        <v>0</v>
      </c>
      <c r="N31" s="24">
        <f>SUM(B31:M31)</f>
        <v>-599.26</v>
      </c>
    </row>
    <row r="32" spans="1:14" x14ac:dyDescent="0.25">
      <c r="A32" s="6" t="s">
        <v>1551</v>
      </c>
      <c r="B32" s="24">
        <f>SUMIFS(Angela_2025_Chase1117_Activity_!$D$2:$D$2300,Angela_2025_Chase1117_Activity_!$B$2:$B$2300,"&gt;="&amp;B$4,Angela_2025_Chase1117_Activity_!$B$2:$B$2300,"&lt;="&amp;EOMONTH(B$4,0),Angela_2025_Chase1117_Activity_!$G$2:$G$2300,$A32)</f>
        <v>-1100.52</v>
      </c>
      <c r="C32" s="24">
        <f>SUMIFS(Angela_2025_Chase1117_Activity_!$D$2:$D$2300,Angela_2025_Chase1117_Activity_!$B$2:$B$2300,"&gt;="&amp;C$4,Angela_2025_Chase1117_Activity_!$B$2:$B$2300,"&lt;="&amp;EOMONTH(C$4,0),Angela_2025_Chase1117_Activity_!$G$2:$G$2300,$A32)</f>
        <v>-585.74000000000012</v>
      </c>
      <c r="D32" s="24">
        <f>SUMIFS(Angela_2025_Chase1117_Activity_!$D$2:$D$2300,Angela_2025_Chase1117_Activity_!$B$2:$B$2300,"&gt;="&amp;D$4,Angela_2025_Chase1117_Activity_!$B$2:$B$2300,"&lt;="&amp;EOMONTH(D$4,0),Angela_2025_Chase1117_Activity_!$G$2:$G$2300,$A32)</f>
        <v>-4861.6699999999983</v>
      </c>
      <c r="E32" s="24">
        <f>SUMIFS(Angela_2025_Chase1117_Activity_!$D$2:$D$2300,Angela_2025_Chase1117_Activity_!$B$2:$B$2300,"&gt;="&amp;E$4,Angela_2025_Chase1117_Activity_!$B$2:$B$2300,"&lt;="&amp;EOMONTH(E$4,0),Angela_2025_Chase1117_Activity_!$G$2:$G$2300,$A32)</f>
        <v>-249.86</v>
      </c>
      <c r="F32" s="24">
        <f>SUMIFS(Angela_2025_Chase1117_Activity_!$D$2:$D$2300,Angela_2025_Chase1117_Activity_!$B$2:$B$2300,"&gt;="&amp;F$4,Angela_2025_Chase1117_Activity_!$B$2:$B$2300,"&lt;="&amp;EOMONTH(F$4,0),Angela_2025_Chase1117_Activity_!$G$2:$G$2300,$A32)</f>
        <v>-953.05</v>
      </c>
      <c r="G32" s="24">
        <f>SUMIFS(Angela_2025_Chase1117_Activity_!$D$2:$D$2300,Angela_2025_Chase1117_Activity_!$B$2:$B$2300,"&gt;="&amp;G$4,Angela_2025_Chase1117_Activity_!$B$2:$B$2300,"&lt;="&amp;EOMONTH(G$4,0),Angela_2025_Chase1117_Activity_!$G$2:$G$2300,$A32)</f>
        <v>-912.05</v>
      </c>
      <c r="H32" s="24">
        <f>SUMIFS(Angela_2025_Chase1117_Activity_!$D$2:$D$2300,Angela_2025_Chase1117_Activity_!$B$2:$B$2300,"&gt;="&amp;H$4,Angela_2025_Chase1117_Activity_!$B$2:$B$2300,"&lt;="&amp;EOMONTH(H$4,0),Angela_2025_Chase1117_Activity_!$G$2:$G$2300,$A32)</f>
        <v>-1602.49</v>
      </c>
      <c r="I32" s="24">
        <f>SUMIFS(Angela_2025_Chase1117_Activity_!$D$2:$D$2300,Angela_2025_Chase1117_Activity_!$B$2:$B$2300,"&gt;="&amp;I$4,Angela_2025_Chase1117_Activity_!$B$2:$B$2300,"&lt;="&amp;EOMONTH(I$4,0),Angela_2025_Chase1117_Activity_!$G$2:$G$2300,$A32)</f>
        <v>-5506.7799999999979</v>
      </c>
      <c r="J32" s="24">
        <f>SUMIFS(Angela_2025_Chase1117_Activity_!$D$2:$D$2300,Angela_2025_Chase1117_Activity_!$B$2:$B$2300,"&gt;="&amp;J$4,Angela_2025_Chase1117_Activity_!$B$2:$B$2300,"&lt;="&amp;EOMONTH(J$4,0),Angela_2025_Chase1117_Activity_!$G$2:$G$2300,$A32)</f>
        <v>-2264.23</v>
      </c>
      <c r="K32" s="24">
        <f>SUMIFS(Angela_2025_Chase1117_Activity_!$D$2:$D$2300,Angela_2025_Chase1117_Activity_!$B$2:$B$2300,"&gt;="&amp;K$4,Angela_2025_Chase1117_Activity_!$B$2:$B$2300,"&lt;="&amp;EOMONTH(K$4,0),Angela_2025_Chase1117_Activity_!$G$2:$G$2300,$A32)</f>
        <v>-2970.3599999999997</v>
      </c>
      <c r="L32" s="24">
        <f>SUMIFS(Angela_2025_Chase1117_Activity_!$D$2:$D$2300,Angela_2025_Chase1117_Activity_!$B$2:$B$2300,"&gt;="&amp;L$4,Angela_2025_Chase1117_Activity_!$B$2:$B$2300,"&lt;="&amp;EOMONTH(L$4,0),Angela_2025_Chase1117_Activity_!$G$2:$G$2300,$A32)</f>
        <v>-1612.68</v>
      </c>
      <c r="M32" s="24">
        <f>SUMIFS(Angela_2025_Chase1117_Activity_!$D$2:$D$2300,Angela_2025_Chase1117_Activity_!$B$2:$B$2300,"&gt;="&amp;M$4,Angela_2025_Chase1117_Activity_!$B$2:$B$2300,"&lt;="&amp;EOMONTH(M$4,0),Angela_2025_Chase1117_Activity_!$G$2:$G$2300,$A32)</f>
        <v>-4778.25</v>
      </c>
      <c r="N32" s="24">
        <f>SUM(B32:M32)</f>
        <v>-27397.679999999997</v>
      </c>
    </row>
    <row r="33" spans="1:14" x14ac:dyDescent="0.25">
      <c r="A33" s="6" t="s">
        <v>1439</v>
      </c>
      <c r="B33" s="24">
        <f>SUMIFS(Angela_2025_Chase1117_Activity_!$D$2:$D$2300,Angela_2025_Chase1117_Activity_!$B$2:$B$2300,"&gt;="&amp;B$4,Angela_2025_Chase1117_Activity_!$B$2:$B$2300,"&lt;="&amp;EOMONTH(B$4,0),Angela_2025_Chase1117_Activity_!$G$2:$G$2300,$A33)</f>
        <v>-944.63</v>
      </c>
      <c r="C33" s="24">
        <f>SUMIFS(Angela_2025_Chase1117_Activity_!$D$2:$D$2300,Angela_2025_Chase1117_Activity_!$B$2:$B$2300,"&gt;="&amp;C$4,Angela_2025_Chase1117_Activity_!$B$2:$B$2300,"&lt;="&amp;EOMONTH(C$4,0),Angela_2025_Chase1117_Activity_!$G$2:$G$2300,$A33)</f>
        <v>-944.63</v>
      </c>
      <c r="D33" s="24">
        <f>SUMIFS(Angela_2025_Chase1117_Activity_!$D$2:$D$2300,Angela_2025_Chase1117_Activity_!$B$2:$B$2300,"&gt;="&amp;D$4,Angela_2025_Chase1117_Activity_!$B$2:$B$2300,"&lt;="&amp;EOMONTH(D$4,0),Angela_2025_Chase1117_Activity_!$G$2:$G$2300,$A33)</f>
        <v>-944.63</v>
      </c>
      <c r="E33" s="24">
        <f>SUMIFS(Angela_2025_Chase1117_Activity_!$D$2:$D$2300,Angela_2025_Chase1117_Activity_!$B$2:$B$2300,"&gt;="&amp;E$4,Angela_2025_Chase1117_Activity_!$B$2:$B$2300,"&lt;="&amp;EOMONTH(E$4,0),Angela_2025_Chase1117_Activity_!$G$2:$G$2300,$A33)</f>
        <v>0</v>
      </c>
      <c r="F33" s="24">
        <f>SUMIFS(Angela_2025_Chase1117_Activity_!$D$2:$D$2300,Angela_2025_Chase1117_Activity_!$B$2:$B$2300,"&gt;="&amp;F$4,Angela_2025_Chase1117_Activity_!$B$2:$B$2300,"&lt;="&amp;EOMONTH(F$4,0),Angela_2025_Chase1117_Activity_!$G$2:$G$2300,$A33)</f>
        <v>-944.63</v>
      </c>
      <c r="G33" s="24">
        <f>SUMIFS(Angela_2025_Chase1117_Activity_!$D$2:$D$2300,Angela_2025_Chase1117_Activity_!$B$2:$B$2300,"&gt;="&amp;G$4,Angela_2025_Chase1117_Activity_!$B$2:$B$2300,"&lt;="&amp;EOMONTH(G$4,0),Angela_2025_Chase1117_Activity_!$G$2:$G$2300,$A33)</f>
        <v>-1889.26</v>
      </c>
      <c r="H33" s="24">
        <f>SUMIFS(Angela_2025_Chase1117_Activity_!$D$2:$D$2300,Angela_2025_Chase1117_Activity_!$B$2:$B$2300,"&gt;="&amp;H$4,Angela_2025_Chase1117_Activity_!$B$2:$B$2300,"&lt;="&amp;EOMONTH(H$4,0),Angela_2025_Chase1117_Activity_!$G$2:$G$2300,$A33)</f>
        <v>0</v>
      </c>
      <c r="I33" s="24">
        <f>SUMIFS(Angela_2025_Chase1117_Activity_!$D$2:$D$2300,Angela_2025_Chase1117_Activity_!$B$2:$B$2300,"&gt;="&amp;I$4,Angela_2025_Chase1117_Activity_!$B$2:$B$2300,"&lt;="&amp;EOMONTH(I$4,0),Angela_2025_Chase1117_Activity_!$G$2:$G$2300,$A33)</f>
        <v>-944.63</v>
      </c>
      <c r="J33" s="24">
        <f>SUMIFS(Angela_2025_Chase1117_Activity_!$D$2:$D$2300,Angela_2025_Chase1117_Activity_!$B$2:$B$2300,"&gt;="&amp;J$4,Angela_2025_Chase1117_Activity_!$B$2:$B$2300,"&lt;="&amp;EOMONTH(J$4,0),Angela_2025_Chase1117_Activity_!$G$2:$G$2300,$A33)</f>
        <v>-1889.26</v>
      </c>
      <c r="K33" s="24">
        <f>SUMIFS(Angela_2025_Chase1117_Activity_!$D$2:$D$2300,Angela_2025_Chase1117_Activity_!$B$2:$B$2300,"&gt;="&amp;K$4,Angela_2025_Chase1117_Activity_!$B$2:$B$2300,"&lt;="&amp;EOMONTH(K$4,0),Angela_2025_Chase1117_Activity_!$G$2:$G$2300,$A33)</f>
        <v>0</v>
      </c>
      <c r="L33" s="24">
        <f>SUMIFS(Angela_2025_Chase1117_Activity_!$D$2:$D$2300,Angela_2025_Chase1117_Activity_!$B$2:$B$2300,"&gt;="&amp;L$4,Angela_2025_Chase1117_Activity_!$B$2:$B$2300,"&lt;="&amp;EOMONTH(L$4,0),Angela_2025_Chase1117_Activity_!$G$2:$G$2300,$A33)</f>
        <v>-944.63</v>
      </c>
      <c r="M33" s="24">
        <f>SUMIFS(Angela_2025_Chase1117_Activity_!$D$2:$D$2300,Angela_2025_Chase1117_Activity_!$B$2:$B$2300,"&gt;="&amp;M$4,Angela_2025_Chase1117_Activity_!$B$2:$B$2300,"&lt;="&amp;EOMONTH(M$4,0),Angela_2025_Chase1117_Activity_!$G$2:$G$2300,$A33)</f>
        <v>-2219.9299999999998</v>
      </c>
      <c r="N33" s="24">
        <f>SUM(B33:M33)</f>
        <v>-11666.23</v>
      </c>
    </row>
    <row r="34" spans="1:14" x14ac:dyDescent="0.25">
      <c r="A34" s="6" t="s">
        <v>1427</v>
      </c>
      <c r="B34" s="24">
        <f>SUMIFS(Angela_2025_Chase1117_Activity_!$D$2:$D$2300,Angela_2025_Chase1117_Activity_!$B$2:$B$2300,"&gt;="&amp;B$4,Angela_2025_Chase1117_Activity_!$B$2:$B$2300,"&lt;="&amp;EOMONTH(B$4,0),Angela_2025_Chase1117_Activity_!$G$2:$G$2300,$A34)</f>
        <v>-1130.06</v>
      </c>
      <c r="C34" s="24">
        <f>SUMIFS(Angela_2025_Chase1117_Activity_!$D$2:$D$2300,Angela_2025_Chase1117_Activity_!$B$2:$B$2300,"&gt;="&amp;C$4,Angela_2025_Chase1117_Activity_!$B$2:$B$2300,"&lt;="&amp;EOMONTH(C$4,0),Angela_2025_Chase1117_Activity_!$G$2:$G$2300,$A34)</f>
        <v>-141.47</v>
      </c>
      <c r="D34" s="24">
        <f>SUMIFS(Angela_2025_Chase1117_Activity_!$D$2:$D$2300,Angela_2025_Chase1117_Activity_!$B$2:$B$2300,"&gt;="&amp;D$4,Angela_2025_Chase1117_Activity_!$B$2:$B$2300,"&lt;="&amp;EOMONTH(D$4,0),Angela_2025_Chase1117_Activity_!$G$2:$G$2300,$A34)</f>
        <v>-589.21</v>
      </c>
      <c r="E34" s="24">
        <f>SUMIFS(Angela_2025_Chase1117_Activity_!$D$2:$D$2300,Angela_2025_Chase1117_Activity_!$B$2:$B$2300,"&gt;="&amp;E$4,Angela_2025_Chase1117_Activity_!$B$2:$B$2300,"&lt;="&amp;EOMONTH(E$4,0),Angela_2025_Chase1117_Activity_!$G$2:$G$2300,$A34)</f>
        <v>-596.02</v>
      </c>
      <c r="F34" s="24">
        <f>SUMIFS(Angela_2025_Chase1117_Activity_!$D$2:$D$2300,Angela_2025_Chase1117_Activity_!$B$2:$B$2300,"&gt;="&amp;F$4,Angela_2025_Chase1117_Activity_!$B$2:$B$2300,"&lt;="&amp;EOMONTH(F$4,0),Angela_2025_Chase1117_Activity_!$G$2:$G$2300,$A34)</f>
        <v>-1266.1300000000001</v>
      </c>
      <c r="G34" s="24">
        <f>SUMIFS(Angela_2025_Chase1117_Activity_!$D$2:$D$2300,Angela_2025_Chase1117_Activity_!$B$2:$B$2300,"&gt;="&amp;G$4,Angela_2025_Chase1117_Activity_!$B$2:$B$2300,"&lt;="&amp;EOMONTH(G$4,0),Angela_2025_Chase1117_Activity_!$G$2:$G$2300,$A34)</f>
        <v>-300</v>
      </c>
      <c r="H34" s="24">
        <f>SUMIFS(Angela_2025_Chase1117_Activity_!$D$2:$D$2300,Angela_2025_Chase1117_Activity_!$B$2:$B$2300,"&gt;="&amp;H$4,Angela_2025_Chase1117_Activity_!$B$2:$B$2300,"&lt;="&amp;EOMONTH(H$4,0),Angela_2025_Chase1117_Activity_!$G$2:$G$2300,$A34)</f>
        <v>-1258.6199999999999</v>
      </c>
      <c r="I34" s="24">
        <f>SUMIFS(Angela_2025_Chase1117_Activity_!$D$2:$D$2300,Angela_2025_Chase1117_Activity_!$B$2:$B$2300,"&gt;="&amp;I$4,Angela_2025_Chase1117_Activity_!$B$2:$B$2300,"&lt;="&amp;EOMONTH(I$4,0),Angela_2025_Chase1117_Activity_!$G$2:$G$2300,$A34)</f>
        <v>-816.54</v>
      </c>
      <c r="J34" s="24">
        <f>SUMIFS(Angela_2025_Chase1117_Activity_!$D$2:$D$2300,Angela_2025_Chase1117_Activity_!$B$2:$B$2300,"&gt;="&amp;J$4,Angela_2025_Chase1117_Activity_!$B$2:$B$2300,"&lt;="&amp;EOMONTH(J$4,0),Angela_2025_Chase1117_Activity_!$G$2:$G$2300,$A34)</f>
        <v>-1186.6300000000001</v>
      </c>
      <c r="K34" s="24">
        <f>SUMIFS(Angela_2025_Chase1117_Activity_!$D$2:$D$2300,Angela_2025_Chase1117_Activity_!$B$2:$B$2300,"&gt;="&amp;K$4,Angela_2025_Chase1117_Activity_!$B$2:$B$2300,"&lt;="&amp;EOMONTH(K$4,0),Angela_2025_Chase1117_Activity_!$G$2:$G$2300,$A34)</f>
        <v>-232.69</v>
      </c>
      <c r="L34" s="24">
        <f>SUMIFS(Angela_2025_Chase1117_Activity_!$D$2:$D$2300,Angela_2025_Chase1117_Activity_!$B$2:$B$2300,"&gt;="&amp;L$4,Angela_2025_Chase1117_Activity_!$B$2:$B$2300,"&lt;="&amp;EOMONTH(L$4,0),Angela_2025_Chase1117_Activity_!$G$2:$G$2300,$A34)</f>
        <v>-1139.26</v>
      </c>
      <c r="M34" s="24">
        <f>SUMIFS(Angela_2025_Chase1117_Activity_!$D$2:$D$2300,Angela_2025_Chase1117_Activity_!$B$2:$B$2300,"&gt;="&amp;M$4,Angela_2025_Chase1117_Activity_!$B$2:$B$2300,"&lt;="&amp;EOMONTH(M$4,0),Angela_2025_Chase1117_Activity_!$G$2:$G$2300,$A34)</f>
        <v>-98.77</v>
      </c>
      <c r="N34" s="24">
        <f>SUM(B34:M34)</f>
        <v>-8755.4</v>
      </c>
    </row>
    <row r="35" spans="1:14" x14ac:dyDescent="0.25">
      <c r="A35" s="6" t="s">
        <v>1587</v>
      </c>
      <c r="B35" s="24">
        <f>SUMIFS(Angela_2025_Chase1117_Activity_!$D$2:$D$2300,Angela_2025_Chase1117_Activity_!$B$2:$B$2300,"&gt;="&amp;B$4,Angela_2025_Chase1117_Activity_!$B$2:$B$2300,"&lt;="&amp;EOMONTH(B$4,0),Angela_2025_Chase1117_Activity_!$G$2:$G$2300,$A35)</f>
        <v>-133.41999999999999</v>
      </c>
      <c r="C35" s="24">
        <f>SUMIFS(Angela_2025_Chase1117_Activity_!$D$2:$D$2300,Angela_2025_Chase1117_Activity_!$B$2:$B$2300,"&gt;="&amp;C$4,Angela_2025_Chase1117_Activity_!$B$2:$B$2300,"&lt;="&amp;EOMONTH(C$4,0),Angela_2025_Chase1117_Activity_!$G$2:$G$2300,$A35)</f>
        <v>-718.42000000000007</v>
      </c>
      <c r="D35" s="24">
        <f>SUMIFS(Angela_2025_Chase1117_Activity_!$D$2:$D$2300,Angela_2025_Chase1117_Activity_!$B$2:$B$2300,"&gt;="&amp;D$4,Angela_2025_Chase1117_Activity_!$B$2:$B$2300,"&lt;="&amp;EOMONTH(D$4,0),Angela_2025_Chase1117_Activity_!$G$2:$G$2300,$A35)</f>
        <v>-209.43</v>
      </c>
      <c r="E35" s="24">
        <f>SUMIFS(Angela_2025_Chase1117_Activity_!$D$2:$D$2300,Angela_2025_Chase1117_Activity_!$B$2:$B$2300,"&gt;="&amp;E$4,Angela_2025_Chase1117_Activity_!$B$2:$B$2300,"&lt;="&amp;EOMONTH(E$4,0),Angela_2025_Chase1117_Activity_!$G$2:$G$2300,$A35)</f>
        <v>-135.44</v>
      </c>
      <c r="F35" s="24">
        <f>SUMIFS(Angela_2025_Chase1117_Activity_!$D$2:$D$2300,Angela_2025_Chase1117_Activity_!$B$2:$B$2300,"&gt;="&amp;F$4,Angela_2025_Chase1117_Activity_!$B$2:$B$2300,"&lt;="&amp;EOMONTH(F$4,0),Angela_2025_Chase1117_Activity_!$G$2:$G$2300,$A35)</f>
        <v>-398.44</v>
      </c>
      <c r="G35" s="24">
        <f>SUMIFS(Angela_2025_Chase1117_Activity_!$D$2:$D$2300,Angela_2025_Chase1117_Activity_!$B$2:$B$2300,"&gt;="&amp;G$4,Angela_2025_Chase1117_Activity_!$B$2:$B$2300,"&lt;="&amp;EOMONTH(G$4,0),Angela_2025_Chase1117_Activity_!$G$2:$G$2300,$A35)</f>
        <v>-364.94</v>
      </c>
      <c r="H35" s="24">
        <f>SUMIFS(Angela_2025_Chase1117_Activity_!$D$2:$D$2300,Angela_2025_Chase1117_Activity_!$B$2:$B$2300,"&gt;="&amp;H$4,Angela_2025_Chase1117_Activity_!$B$2:$B$2300,"&lt;="&amp;EOMONTH(H$4,0),Angela_2025_Chase1117_Activity_!$G$2:$G$2300,$A35)</f>
        <v>-90.94</v>
      </c>
      <c r="I35" s="24">
        <f>SUMIFS(Angela_2025_Chase1117_Activity_!$D$2:$D$2300,Angela_2025_Chase1117_Activity_!$B$2:$B$2300,"&gt;="&amp;I$4,Angela_2025_Chase1117_Activity_!$B$2:$B$2300,"&lt;="&amp;EOMONTH(I$4,0),Angela_2025_Chase1117_Activity_!$G$2:$G$2300,$A35)</f>
        <v>-546.89</v>
      </c>
      <c r="J35" s="24">
        <f>SUMIFS(Angela_2025_Chase1117_Activity_!$D$2:$D$2300,Angela_2025_Chase1117_Activity_!$B$2:$B$2300,"&gt;="&amp;J$4,Angela_2025_Chase1117_Activity_!$B$2:$B$2300,"&lt;="&amp;EOMONTH(J$4,0),Angela_2025_Chase1117_Activity_!$G$2:$G$2300,$A35)</f>
        <v>-2645.49</v>
      </c>
      <c r="K35" s="24">
        <f>SUMIFS(Angela_2025_Chase1117_Activity_!$D$2:$D$2300,Angela_2025_Chase1117_Activity_!$B$2:$B$2300,"&gt;="&amp;K$4,Angela_2025_Chase1117_Activity_!$B$2:$B$2300,"&lt;="&amp;EOMONTH(K$4,0),Angela_2025_Chase1117_Activity_!$G$2:$G$2300,$A35)</f>
        <v>-461.93</v>
      </c>
      <c r="L35" s="24">
        <f>SUMIFS(Angela_2025_Chase1117_Activity_!$D$2:$D$2300,Angela_2025_Chase1117_Activity_!$B$2:$B$2300,"&gt;="&amp;L$4,Angela_2025_Chase1117_Activity_!$B$2:$B$2300,"&lt;="&amp;EOMONTH(L$4,0),Angela_2025_Chase1117_Activity_!$G$2:$G$2300,$A35)</f>
        <v>-102.94</v>
      </c>
      <c r="M35" s="24">
        <f>SUMIFS(Angela_2025_Chase1117_Activity_!$D$2:$D$2300,Angela_2025_Chase1117_Activity_!$B$2:$B$2300,"&gt;="&amp;M$4,Angela_2025_Chase1117_Activity_!$B$2:$B$2300,"&lt;="&amp;EOMONTH(M$4,0),Angela_2025_Chase1117_Activity_!$G$2:$G$2300,$A35)</f>
        <v>-325.90000000000003</v>
      </c>
      <c r="N35" s="24">
        <f>SUM(B35:M35)</f>
        <v>-6134.1799999999994</v>
      </c>
    </row>
    <row r="36" spans="1:14" x14ac:dyDescent="0.25">
      <c r="A36" s="6" t="s">
        <v>1474</v>
      </c>
      <c r="B36" s="24">
        <f>SUMIFS(Angela_2025_Chase1117_Activity_!$D$2:$D$2300,Angela_2025_Chase1117_Activity_!$B$2:$B$2300,"&gt;="&amp;B$4,Angela_2025_Chase1117_Activity_!$B$2:$B$2300,"&lt;="&amp;EOMONTH(B$4,0),Angela_2025_Chase1117_Activity_!$G$2:$G$2300,$A36)</f>
        <v>-315.01</v>
      </c>
      <c r="C36" s="24">
        <f>SUMIFS(Angela_2025_Chase1117_Activity_!$D$2:$D$2300,Angela_2025_Chase1117_Activity_!$B$2:$B$2300,"&gt;="&amp;C$4,Angela_2025_Chase1117_Activity_!$B$2:$B$2300,"&lt;="&amp;EOMONTH(C$4,0),Angela_2025_Chase1117_Activity_!$G$2:$G$2300,$A36)</f>
        <v>-180.72</v>
      </c>
      <c r="D36" s="24">
        <f>SUMIFS(Angela_2025_Chase1117_Activity_!$D$2:$D$2300,Angela_2025_Chase1117_Activity_!$B$2:$B$2300,"&gt;="&amp;D$4,Angela_2025_Chase1117_Activity_!$B$2:$B$2300,"&lt;="&amp;EOMONTH(D$4,0),Angela_2025_Chase1117_Activity_!$G$2:$G$2300,$A36)</f>
        <v>-256.89999999999998</v>
      </c>
      <c r="E36" s="24">
        <f>SUMIFS(Angela_2025_Chase1117_Activity_!$D$2:$D$2300,Angela_2025_Chase1117_Activity_!$B$2:$B$2300,"&gt;="&amp;E$4,Angela_2025_Chase1117_Activity_!$B$2:$B$2300,"&lt;="&amp;EOMONTH(E$4,0),Angela_2025_Chase1117_Activity_!$G$2:$G$2300,$A36)</f>
        <v>-828.55</v>
      </c>
      <c r="F36" s="24">
        <f>SUMIFS(Angela_2025_Chase1117_Activity_!$D$2:$D$2300,Angela_2025_Chase1117_Activity_!$B$2:$B$2300,"&gt;="&amp;F$4,Angela_2025_Chase1117_Activity_!$B$2:$B$2300,"&lt;="&amp;EOMONTH(F$4,0),Angela_2025_Chase1117_Activity_!$G$2:$G$2300,$A36)</f>
        <v>-95.78</v>
      </c>
      <c r="G36" s="24">
        <f>SUMIFS(Angela_2025_Chase1117_Activity_!$D$2:$D$2300,Angela_2025_Chase1117_Activity_!$B$2:$B$2300,"&gt;="&amp;G$4,Angela_2025_Chase1117_Activity_!$B$2:$B$2300,"&lt;="&amp;EOMONTH(G$4,0),Angela_2025_Chase1117_Activity_!$G$2:$G$2300,$A36)</f>
        <v>-174.06</v>
      </c>
      <c r="H36" s="24">
        <f>SUMIFS(Angela_2025_Chase1117_Activity_!$D$2:$D$2300,Angela_2025_Chase1117_Activity_!$B$2:$B$2300,"&gt;="&amp;H$4,Angela_2025_Chase1117_Activity_!$B$2:$B$2300,"&lt;="&amp;EOMONTH(H$4,0),Angela_2025_Chase1117_Activity_!$G$2:$G$2300,$A36)</f>
        <v>-140.72</v>
      </c>
      <c r="I36" s="24">
        <f>SUMIFS(Angela_2025_Chase1117_Activity_!$D$2:$D$2300,Angela_2025_Chase1117_Activity_!$B$2:$B$2300,"&gt;="&amp;I$4,Angela_2025_Chase1117_Activity_!$B$2:$B$2300,"&lt;="&amp;EOMONTH(I$4,0),Angela_2025_Chase1117_Activity_!$G$2:$G$2300,$A36)</f>
        <v>-161.63</v>
      </c>
      <c r="J36" s="24">
        <f>SUMIFS(Angela_2025_Chase1117_Activity_!$D$2:$D$2300,Angela_2025_Chase1117_Activity_!$B$2:$B$2300,"&gt;="&amp;J$4,Angela_2025_Chase1117_Activity_!$B$2:$B$2300,"&lt;="&amp;EOMONTH(J$4,0),Angela_2025_Chase1117_Activity_!$G$2:$G$2300,$A36)</f>
        <v>-222.76</v>
      </c>
      <c r="K36" s="24">
        <f>SUMIFS(Angela_2025_Chase1117_Activity_!$D$2:$D$2300,Angela_2025_Chase1117_Activity_!$B$2:$B$2300,"&gt;="&amp;K$4,Angela_2025_Chase1117_Activity_!$B$2:$B$2300,"&lt;="&amp;EOMONTH(K$4,0),Angela_2025_Chase1117_Activity_!$G$2:$G$2300,$A36)</f>
        <v>-139.71</v>
      </c>
      <c r="L36" s="24">
        <f>SUMIFS(Angela_2025_Chase1117_Activity_!$D$2:$D$2300,Angela_2025_Chase1117_Activity_!$B$2:$B$2300,"&gt;="&amp;L$4,Angela_2025_Chase1117_Activity_!$B$2:$B$2300,"&lt;="&amp;EOMONTH(L$4,0),Angela_2025_Chase1117_Activity_!$G$2:$G$2300,$A36)</f>
        <v>-95.77</v>
      </c>
      <c r="M36" s="24">
        <f>SUMIFS(Angela_2025_Chase1117_Activity_!$D$2:$D$2300,Angela_2025_Chase1117_Activity_!$B$2:$B$2300,"&gt;="&amp;M$4,Angela_2025_Chase1117_Activity_!$B$2:$B$2300,"&lt;="&amp;EOMONTH(M$4,0),Angela_2025_Chase1117_Activity_!$G$2:$G$2300,$A36)</f>
        <v>-125.66</v>
      </c>
      <c r="N36" s="24">
        <f>SUM(B36:M36)</f>
        <v>-2737.27</v>
      </c>
    </row>
    <row r="37" spans="1:14" x14ac:dyDescent="0.25">
      <c r="A37" s="6" t="s">
        <v>1488</v>
      </c>
      <c r="B37" s="24">
        <f>SUMIFS(Angela_2025_Chase1117_Activity_!$D$2:$D$2300,Angela_2025_Chase1117_Activity_!$B$2:$B$2300,"&gt;="&amp;B$4,Angela_2025_Chase1117_Activity_!$B$2:$B$2300,"&lt;="&amp;EOMONTH(B$4,0),Angela_2025_Chase1117_Activity_!$G$2:$G$2300,$A37)</f>
        <v>-5280.4899999999989</v>
      </c>
      <c r="C37" s="24">
        <f>SUMIFS(Angela_2025_Chase1117_Activity_!$D$2:$D$2300,Angela_2025_Chase1117_Activity_!$B$2:$B$2300,"&gt;="&amp;C$4,Angela_2025_Chase1117_Activity_!$B$2:$B$2300,"&lt;="&amp;EOMONTH(C$4,0),Angela_2025_Chase1117_Activity_!$G$2:$G$2300,$A37)</f>
        <v>-3491.0399999999995</v>
      </c>
      <c r="D37" s="24">
        <f>SUMIFS(Angela_2025_Chase1117_Activity_!$D$2:$D$2300,Angela_2025_Chase1117_Activity_!$B$2:$B$2300,"&gt;="&amp;D$4,Angela_2025_Chase1117_Activity_!$B$2:$B$2300,"&lt;="&amp;EOMONTH(D$4,0),Angela_2025_Chase1117_Activity_!$G$2:$G$2300,$A37)</f>
        <v>-4810</v>
      </c>
      <c r="E37" s="24">
        <f>SUMIFS(Angela_2025_Chase1117_Activity_!$D$2:$D$2300,Angela_2025_Chase1117_Activity_!$B$2:$B$2300,"&gt;="&amp;E$4,Angela_2025_Chase1117_Activity_!$B$2:$B$2300,"&lt;="&amp;EOMONTH(E$4,0),Angela_2025_Chase1117_Activity_!$G$2:$G$2300,$A37)</f>
        <v>-1831.6100000000001</v>
      </c>
      <c r="F37" s="24">
        <f>SUMIFS(Angela_2025_Chase1117_Activity_!$D$2:$D$2300,Angela_2025_Chase1117_Activity_!$B$2:$B$2300,"&gt;="&amp;F$4,Angela_2025_Chase1117_Activity_!$B$2:$B$2300,"&lt;="&amp;EOMONTH(F$4,0),Angela_2025_Chase1117_Activity_!$G$2:$G$2300,$A37)</f>
        <v>-3244.36</v>
      </c>
      <c r="G37" s="24">
        <f>SUMIFS(Angela_2025_Chase1117_Activity_!$D$2:$D$2300,Angela_2025_Chase1117_Activity_!$B$2:$B$2300,"&gt;="&amp;G$4,Angela_2025_Chase1117_Activity_!$B$2:$B$2300,"&lt;="&amp;EOMONTH(G$4,0),Angela_2025_Chase1117_Activity_!$G$2:$G$2300,$A37)</f>
        <v>-3117.8899999999994</v>
      </c>
      <c r="H37" s="24">
        <f>SUMIFS(Angela_2025_Chase1117_Activity_!$D$2:$D$2300,Angela_2025_Chase1117_Activity_!$B$2:$B$2300,"&gt;="&amp;H$4,Angela_2025_Chase1117_Activity_!$B$2:$B$2300,"&lt;="&amp;EOMONTH(H$4,0),Angela_2025_Chase1117_Activity_!$G$2:$G$2300,$A37)</f>
        <v>-2919.5099999999998</v>
      </c>
      <c r="I37" s="24">
        <f>SUMIFS(Angela_2025_Chase1117_Activity_!$D$2:$D$2300,Angela_2025_Chase1117_Activity_!$B$2:$B$2300,"&gt;="&amp;I$4,Angela_2025_Chase1117_Activity_!$B$2:$B$2300,"&lt;="&amp;EOMONTH(I$4,0),Angela_2025_Chase1117_Activity_!$G$2:$G$2300,$A37)</f>
        <v>-3185.7900000000004</v>
      </c>
      <c r="J37" s="24">
        <f>SUMIFS(Angela_2025_Chase1117_Activity_!$D$2:$D$2300,Angela_2025_Chase1117_Activity_!$B$2:$B$2300,"&gt;="&amp;J$4,Angela_2025_Chase1117_Activity_!$B$2:$B$2300,"&lt;="&amp;EOMONTH(J$4,0),Angela_2025_Chase1117_Activity_!$G$2:$G$2300,$A37)</f>
        <v>-1370.6399999999999</v>
      </c>
      <c r="K37" s="24">
        <f>SUMIFS(Angela_2025_Chase1117_Activity_!$D$2:$D$2300,Angela_2025_Chase1117_Activity_!$B$2:$B$2300,"&gt;="&amp;K$4,Angela_2025_Chase1117_Activity_!$B$2:$B$2300,"&lt;="&amp;EOMONTH(K$4,0),Angela_2025_Chase1117_Activity_!$G$2:$G$2300,$A37)</f>
        <v>-1418.2599999999998</v>
      </c>
      <c r="L37" s="24">
        <f>SUMIFS(Angela_2025_Chase1117_Activity_!$D$2:$D$2300,Angela_2025_Chase1117_Activity_!$B$2:$B$2300,"&gt;="&amp;L$4,Angela_2025_Chase1117_Activity_!$B$2:$B$2300,"&lt;="&amp;EOMONTH(L$4,0),Angela_2025_Chase1117_Activity_!$G$2:$G$2300,$A37)</f>
        <v>-1334.2</v>
      </c>
      <c r="M37" s="24">
        <f>SUMIFS(Angela_2025_Chase1117_Activity_!$D$2:$D$2300,Angela_2025_Chase1117_Activity_!$B$2:$B$2300,"&gt;="&amp;M$4,Angela_2025_Chase1117_Activity_!$B$2:$B$2300,"&lt;="&amp;EOMONTH(M$4,0),Angela_2025_Chase1117_Activity_!$G$2:$G$2300,$A37)</f>
        <v>-1044.93</v>
      </c>
      <c r="N37" s="24">
        <f>SUM(B37:M37)</f>
        <v>-33048.719999999994</v>
      </c>
    </row>
    <row r="38" spans="1:14" x14ac:dyDescent="0.25">
      <c r="A38" s="6" t="s">
        <v>1479</v>
      </c>
      <c r="B38" s="24">
        <f>SUMIFS(Angela_2025_Chase1117_Activity_!$D$2:$D$2300,Angela_2025_Chase1117_Activity_!$B$2:$B$2300,"&gt;="&amp;B$4,Angela_2025_Chase1117_Activity_!$B$2:$B$2300,"&lt;="&amp;EOMONTH(B$4,0),Angela_2025_Chase1117_Activity_!$G$2:$G$2300,$A38)</f>
        <v>-1671.9199999999996</v>
      </c>
      <c r="C38" s="24">
        <f>SUMIFS(Angela_2025_Chase1117_Activity_!$D$2:$D$2300,Angela_2025_Chase1117_Activity_!$B$2:$B$2300,"&gt;="&amp;C$4,Angela_2025_Chase1117_Activity_!$B$2:$B$2300,"&lt;="&amp;EOMONTH(C$4,0),Angela_2025_Chase1117_Activity_!$G$2:$G$2300,$A38)</f>
        <v>-361.58</v>
      </c>
      <c r="D38" s="24">
        <f>SUMIFS(Angela_2025_Chase1117_Activity_!$D$2:$D$2300,Angela_2025_Chase1117_Activity_!$B$2:$B$2300,"&gt;="&amp;D$4,Angela_2025_Chase1117_Activity_!$B$2:$B$2300,"&lt;="&amp;EOMONTH(D$4,0),Angela_2025_Chase1117_Activity_!$G$2:$G$2300,$A38)</f>
        <v>-1168.8700000000001</v>
      </c>
      <c r="E38" s="24">
        <f>SUMIFS(Angela_2025_Chase1117_Activity_!$D$2:$D$2300,Angela_2025_Chase1117_Activity_!$B$2:$B$2300,"&gt;="&amp;E$4,Angela_2025_Chase1117_Activity_!$B$2:$B$2300,"&lt;="&amp;EOMONTH(E$4,0),Angela_2025_Chase1117_Activity_!$G$2:$G$2300,$A38)</f>
        <v>-1338.75</v>
      </c>
      <c r="F38" s="24">
        <f>SUMIFS(Angela_2025_Chase1117_Activity_!$D$2:$D$2300,Angela_2025_Chase1117_Activity_!$B$2:$B$2300,"&gt;="&amp;F$4,Angela_2025_Chase1117_Activity_!$B$2:$B$2300,"&lt;="&amp;EOMONTH(F$4,0),Angela_2025_Chase1117_Activity_!$G$2:$G$2300,$A38)</f>
        <v>-365.01000000000005</v>
      </c>
      <c r="G38" s="24">
        <f>SUMIFS(Angela_2025_Chase1117_Activity_!$D$2:$D$2300,Angela_2025_Chase1117_Activity_!$B$2:$B$2300,"&gt;="&amp;G$4,Angela_2025_Chase1117_Activity_!$B$2:$B$2300,"&lt;="&amp;EOMONTH(G$4,0),Angela_2025_Chase1117_Activity_!$G$2:$G$2300,$A38)</f>
        <v>-2376.73</v>
      </c>
      <c r="H38" s="24">
        <f>SUMIFS(Angela_2025_Chase1117_Activity_!$D$2:$D$2300,Angela_2025_Chase1117_Activity_!$B$2:$B$2300,"&gt;="&amp;H$4,Angela_2025_Chase1117_Activity_!$B$2:$B$2300,"&lt;="&amp;EOMONTH(H$4,0),Angela_2025_Chase1117_Activity_!$G$2:$G$2300,$A38)</f>
        <v>-439.28</v>
      </c>
      <c r="I38" s="24">
        <f>SUMIFS(Angela_2025_Chase1117_Activity_!$D$2:$D$2300,Angela_2025_Chase1117_Activity_!$B$2:$B$2300,"&gt;="&amp;I$4,Angela_2025_Chase1117_Activity_!$B$2:$B$2300,"&lt;="&amp;EOMONTH(I$4,0),Angela_2025_Chase1117_Activity_!$G$2:$G$2300,$A38)</f>
        <v>-860.61000000000024</v>
      </c>
      <c r="J38" s="24">
        <f>SUMIFS(Angela_2025_Chase1117_Activity_!$D$2:$D$2300,Angela_2025_Chase1117_Activity_!$B$2:$B$2300,"&gt;="&amp;J$4,Angela_2025_Chase1117_Activity_!$B$2:$B$2300,"&lt;="&amp;EOMONTH(J$4,0),Angela_2025_Chase1117_Activity_!$G$2:$G$2300,$A38)</f>
        <v>-3283.5</v>
      </c>
      <c r="K38" s="24">
        <f>SUMIFS(Angela_2025_Chase1117_Activity_!$D$2:$D$2300,Angela_2025_Chase1117_Activity_!$B$2:$B$2300,"&gt;="&amp;K$4,Angela_2025_Chase1117_Activity_!$B$2:$B$2300,"&lt;="&amp;EOMONTH(K$4,0),Angela_2025_Chase1117_Activity_!$G$2:$G$2300,$A38)</f>
        <v>-1429.6499999999999</v>
      </c>
      <c r="L38" s="24">
        <f>SUMIFS(Angela_2025_Chase1117_Activity_!$D$2:$D$2300,Angela_2025_Chase1117_Activity_!$B$2:$B$2300,"&gt;="&amp;L$4,Angela_2025_Chase1117_Activity_!$B$2:$B$2300,"&lt;="&amp;EOMONTH(L$4,0),Angela_2025_Chase1117_Activity_!$G$2:$G$2300,$A38)</f>
        <v>-614.48</v>
      </c>
      <c r="M38" s="24">
        <f>SUMIFS(Angela_2025_Chase1117_Activity_!$D$2:$D$2300,Angela_2025_Chase1117_Activity_!$B$2:$B$2300,"&gt;="&amp;M$4,Angela_2025_Chase1117_Activity_!$B$2:$B$2300,"&lt;="&amp;EOMONTH(M$4,0),Angela_2025_Chase1117_Activity_!$G$2:$G$2300,$A38)</f>
        <v>-1043.3799999999999</v>
      </c>
      <c r="N38" s="24">
        <f>SUM(B38:M38)</f>
        <v>-14953.759999999998</v>
      </c>
    </row>
    <row r="39" spans="1:14" x14ac:dyDescent="0.25">
      <c r="A39" s="6" t="s">
        <v>1521</v>
      </c>
      <c r="B39" s="24">
        <f>SUMIFS(Angela_2025_Chase1117_Activity_!$D$2:$D$2300,Angela_2025_Chase1117_Activity_!$B$2:$B$2300,"&gt;="&amp;B$4,Angela_2025_Chase1117_Activity_!$B$2:$B$2300,"&lt;="&amp;EOMONTH(B$4,0),Angela_2025_Chase1117_Activity_!$G$2:$G$2300,$A39)</f>
        <v>-2246.39</v>
      </c>
      <c r="C39" s="24">
        <f>SUMIFS(Angela_2025_Chase1117_Activity_!$D$2:$D$2300,Angela_2025_Chase1117_Activity_!$B$2:$B$2300,"&gt;="&amp;C$4,Angela_2025_Chase1117_Activity_!$B$2:$B$2300,"&lt;="&amp;EOMONTH(C$4,0),Angela_2025_Chase1117_Activity_!$G$2:$G$2300,$A39)</f>
        <v>-4073.04</v>
      </c>
      <c r="D39" s="24">
        <f>SUMIFS(Angela_2025_Chase1117_Activity_!$D$2:$D$2300,Angela_2025_Chase1117_Activity_!$B$2:$B$2300,"&gt;="&amp;D$4,Angela_2025_Chase1117_Activity_!$B$2:$B$2300,"&lt;="&amp;EOMONTH(D$4,0),Angela_2025_Chase1117_Activity_!$G$2:$G$2300,$A39)</f>
        <v>-3734.47</v>
      </c>
      <c r="E39" s="24">
        <f>SUMIFS(Angela_2025_Chase1117_Activity_!$D$2:$D$2300,Angela_2025_Chase1117_Activity_!$B$2:$B$2300,"&gt;="&amp;E$4,Angela_2025_Chase1117_Activity_!$B$2:$B$2300,"&lt;="&amp;EOMONTH(E$4,0),Angela_2025_Chase1117_Activity_!$G$2:$G$2300,$A39)</f>
        <v>-2280.2399999999998</v>
      </c>
      <c r="F39" s="24">
        <f>SUMIFS(Angela_2025_Chase1117_Activity_!$D$2:$D$2300,Angela_2025_Chase1117_Activity_!$B$2:$B$2300,"&gt;="&amp;F$4,Angela_2025_Chase1117_Activity_!$B$2:$B$2300,"&lt;="&amp;EOMONTH(F$4,0),Angela_2025_Chase1117_Activity_!$G$2:$G$2300,$A39)</f>
        <v>-3643.01</v>
      </c>
      <c r="G39" s="24">
        <f>SUMIFS(Angela_2025_Chase1117_Activity_!$D$2:$D$2300,Angela_2025_Chase1117_Activity_!$B$2:$B$2300,"&gt;="&amp;G$4,Angela_2025_Chase1117_Activity_!$B$2:$B$2300,"&lt;="&amp;EOMONTH(G$4,0),Angela_2025_Chase1117_Activity_!$G$2:$G$2300,$A39)</f>
        <v>-3651.9400000000005</v>
      </c>
      <c r="H39" s="24">
        <f>SUMIFS(Angela_2025_Chase1117_Activity_!$D$2:$D$2300,Angela_2025_Chase1117_Activity_!$B$2:$B$2300,"&gt;="&amp;H$4,Angela_2025_Chase1117_Activity_!$B$2:$B$2300,"&lt;="&amp;EOMONTH(H$4,0),Angela_2025_Chase1117_Activity_!$G$2:$G$2300,$A39)</f>
        <v>-3099.4100000000003</v>
      </c>
      <c r="I39" s="24">
        <f>SUMIFS(Angela_2025_Chase1117_Activity_!$D$2:$D$2300,Angela_2025_Chase1117_Activity_!$B$2:$B$2300,"&gt;="&amp;I$4,Angela_2025_Chase1117_Activity_!$B$2:$B$2300,"&lt;="&amp;EOMONTH(I$4,0),Angela_2025_Chase1117_Activity_!$G$2:$G$2300,$A39)</f>
        <v>-3993.92</v>
      </c>
      <c r="J39" s="24">
        <f>SUMIFS(Angela_2025_Chase1117_Activity_!$D$2:$D$2300,Angela_2025_Chase1117_Activity_!$B$2:$B$2300,"&gt;="&amp;J$4,Angela_2025_Chase1117_Activity_!$B$2:$B$2300,"&lt;="&amp;EOMONTH(J$4,0),Angela_2025_Chase1117_Activity_!$G$2:$G$2300,$A39)</f>
        <v>-7273.7300000000005</v>
      </c>
      <c r="K39" s="24">
        <f>SUMIFS(Angela_2025_Chase1117_Activity_!$D$2:$D$2300,Angela_2025_Chase1117_Activity_!$B$2:$B$2300,"&gt;="&amp;K$4,Angela_2025_Chase1117_Activity_!$B$2:$B$2300,"&lt;="&amp;EOMONTH(K$4,0),Angela_2025_Chase1117_Activity_!$G$2:$G$2300,$A39)</f>
        <v>-5783.07</v>
      </c>
      <c r="L39" s="24">
        <f>SUMIFS(Angela_2025_Chase1117_Activity_!$D$2:$D$2300,Angela_2025_Chase1117_Activity_!$B$2:$B$2300,"&gt;="&amp;L$4,Angela_2025_Chase1117_Activity_!$B$2:$B$2300,"&lt;="&amp;EOMONTH(L$4,0),Angela_2025_Chase1117_Activity_!$G$2:$G$2300,$A39)</f>
        <v>-11748.91</v>
      </c>
      <c r="M39" s="24">
        <f>SUMIFS(Angela_2025_Chase1117_Activity_!$D$2:$D$2300,Angela_2025_Chase1117_Activity_!$B$2:$B$2300,"&gt;="&amp;M$4,Angela_2025_Chase1117_Activity_!$B$2:$B$2300,"&lt;="&amp;EOMONTH(M$4,0),Angela_2025_Chase1117_Activity_!$G$2:$G$2300,$A39)</f>
        <v>-3991.5</v>
      </c>
      <c r="N39" s="24">
        <f>SUM(B39:M39)</f>
        <v>-55519.630000000005</v>
      </c>
    </row>
    <row r="40" spans="1:14" x14ac:dyDescent="0.25">
      <c r="A40" s="6" t="s">
        <v>1627</v>
      </c>
      <c r="B40" s="24">
        <f>SUMIFS(Angela_2025_Chase1117_Activity_!$D$2:$D$2300,Angela_2025_Chase1117_Activity_!$B$2:$B$2300,"&gt;="&amp;B$4,Angela_2025_Chase1117_Activity_!$B$2:$B$2300,"&lt;="&amp;EOMONTH(B$4,0),Angela_2025_Chase1117_Activity_!$G$2:$G$2300,$A40)</f>
        <v>-3434.15</v>
      </c>
      <c r="C40" s="24">
        <f>SUMIFS(Angela_2025_Chase1117_Activity_!$D$2:$D$2300,Angela_2025_Chase1117_Activity_!$B$2:$B$2300,"&gt;="&amp;C$4,Angela_2025_Chase1117_Activity_!$B$2:$B$2300,"&lt;="&amp;EOMONTH(C$4,0),Angela_2025_Chase1117_Activity_!$G$2:$G$2300,$A40)</f>
        <v>-2749.07</v>
      </c>
      <c r="D40" s="24">
        <f>SUMIFS(Angela_2025_Chase1117_Activity_!$D$2:$D$2300,Angela_2025_Chase1117_Activity_!$B$2:$B$2300,"&gt;="&amp;D$4,Angela_2025_Chase1117_Activity_!$B$2:$B$2300,"&lt;="&amp;EOMONTH(D$4,0),Angela_2025_Chase1117_Activity_!$G$2:$G$2300,$A40)</f>
        <v>-2313.3300000000004</v>
      </c>
      <c r="E40" s="24">
        <f>SUMIFS(Angela_2025_Chase1117_Activity_!$D$2:$D$2300,Angela_2025_Chase1117_Activity_!$B$2:$B$2300,"&gt;="&amp;E$4,Angela_2025_Chase1117_Activity_!$B$2:$B$2300,"&lt;="&amp;EOMONTH(E$4,0),Angela_2025_Chase1117_Activity_!$G$2:$G$2300,$A40)</f>
        <v>-2128.2399999999998</v>
      </c>
      <c r="F40" s="24">
        <f>SUMIFS(Angela_2025_Chase1117_Activity_!$D$2:$D$2300,Angela_2025_Chase1117_Activity_!$B$2:$B$2300,"&gt;="&amp;F$4,Angela_2025_Chase1117_Activity_!$B$2:$B$2300,"&lt;="&amp;EOMONTH(F$4,0),Angela_2025_Chase1117_Activity_!$G$2:$G$2300,$A40)</f>
        <v>-1809.96</v>
      </c>
      <c r="G40" s="24">
        <f>SUMIFS(Angela_2025_Chase1117_Activity_!$D$2:$D$2300,Angela_2025_Chase1117_Activity_!$B$2:$B$2300,"&gt;="&amp;G$4,Angela_2025_Chase1117_Activity_!$B$2:$B$2300,"&lt;="&amp;EOMONTH(G$4,0),Angela_2025_Chase1117_Activity_!$G$2:$G$2300,$A40)</f>
        <v>-1289.55</v>
      </c>
      <c r="H40" s="24">
        <f>SUMIFS(Angela_2025_Chase1117_Activity_!$D$2:$D$2300,Angela_2025_Chase1117_Activity_!$B$2:$B$2300,"&gt;="&amp;H$4,Angela_2025_Chase1117_Activity_!$B$2:$B$2300,"&lt;="&amp;EOMONTH(H$4,0),Angela_2025_Chase1117_Activity_!$G$2:$G$2300,$A40)</f>
        <v>-3471.96</v>
      </c>
      <c r="I40" s="24">
        <f>SUMIFS(Angela_2025_Chase1117_Activity_!$D$2:$D$2300,Angela_2025_Chase1117_Activity_!$B$2:$B$2300,"&gt;="&amp;I$4,Angela_2025_Chase1117_Activity_!$B$2:$B$2300,"&lt;="&amp;EOMONTH(I$4,0),Angela_2025_Chase1117_Activity_!$G$2:$G$2300,$A40)</f>
        <v>-1033.69</v>
      </c>
      <c r="J40" s="24">
        <f>SUMIFS(Angela_2025_Chase1117_Activity_!$D$2:$D$2300,Angela_2025_Chase1117_Activity_!$B$2:$B$2300,"&gt;="&amp;J$4,Angela_2025_Chase1117_Activity_!$B$2:$B$2300,"&lt;="&amp;EOMONTH(J$4,0),Angela_2025_Chase1117_Activity_!$G$2:$G$2300,$A40)</f>
        <v>-2404.96</v>
      </c>
      <c r="K40" s="24">
        <f>SUMIFS(Angela_2025_Chase1117_Activity_!$D$2:$D$2300,Angela_2025_Chase1117_Activity_!$B$2:$B$2300,"&gt;="&amp;K$4,Angela_2025_Chase1117_Activity_!$B$2:$B$2300,"&lt;="&amp;EOMONTH(K$4,0),Angela_2025_Chase1117_Activity_!$G$2:$G$2300,$A40)</f>
        <v>-2139.96</v>
      </c>
      <c r="L40" s="24">
        <f>SUMIFS(Angela_2025_Chase1117_Activity_!$D$2:$D$2300,Angela_2025_Chase1117_Activity_!$B$2:$B$2300,"&gt;="&amp;L$4,Angela_2025_Chase1117_Activity_!$B$2:$B$2300,"&lt;="&amp;EOMONTH(L$4,0),Angela_2025_Chase1117_Activity_!$G$2:$G$2300,$A40)</f>
        <v>-932.11</v>
      </c>
      <c r="M40" s="24">
        <f>SUMIFS(Angela_2025_Chase1117_Activity_!$D$2:$D$2300,Angela_2025_Chase1117_Activity_!$B$2:$B$2300,"&gt;="&amp;M$4,Angela_2025_Chase1117_Activity_!$B$2:$B$2300,"&lt;="&amp;EOMONTH(M$4,0),Angela_2025_Chase1117_Activity_!$G$2:$G$2300,$A40)</f>
        <v>-3904.02</v>
      </c>
      <c r="N40" s="24">
        <f>SUM(B40:M40)</f>
        <v>-27610.999999999996</v>
      </c>
    </row>
    <row r="41" spans="1:14" x14ac:dyDescent="0.25">
      <c r="A41" s="6" t="s">
        <v>1648</v>
      </c>
      <c r="B41" s="24">
        <f>SUMIFS(Angela_2025_Chase1117_Activity_!$D$2:$D$2300,Angela_2025_Chase1117_Activity_!$B$2:$B$2300,"&gt;="&amp;B$4,Angela_2025_Chase1117_Activity_!$B$2:$B$2300,"&lt;="&amp;EOMONTH(B$4,0),Angela_2025_Chase1117_Activity_!$G$2:$G$2300,$A41)</f>
        <v>-282.04000000000002</v>
      </c>
      <c r="C41" s="24">
        <f>SUMIFS(Angela_2025_Chase1117_Activity_!$D$2:$D$2300,Angela_2025_Chase1117_Activity_!$B$2:$B$2300,"&gt;="&amp;C$4,Angela_2025_Chase1117_Activity_!$B$2:$B$2300,"&lt;="&amp;EOMONTH(C$4,0),Angela_2025_Chase1117_Activity_!$G$2:$G$2300,$A41)</f>
        <v>0</v>
      </c>
      <c r="D41" s="24">
        <f>SUMIFS(Angela_2025_Chase1117_Activity_!$D$2:$D$2300,Angela_2025_Chase1117_Activity_!$B$2:$B$2300,"&gt;="&amp;D$4,Angela_2025_Chase1117_Activity_!$B$2:$B$2300,"&lt;="&amp;EOMONTH(D$4,0),Angela_2025_Chase1117_Activity_!$G$2:$G$2300,$A41)</f>
        <v>-382.79</v>
      </c>
      <c r="E41" s="24">
        <f>SUMIFS(Angela_2025_Chase1117_Activity_!$D$2:$D$2300,Angela_2025_Chase1117_Activity_!$B$2:$B$2300,"&gt;="&amp;E$4,Angela_2025_Chase1117_Activity_!$B$2:$B$2300,"&lt;="&amp;EOMONTH(E$4,0),Angela_2025_Chase1117_Activity_!$G$2:$G$2300,$A41)</f>
        <v>-167.73</v>
      </c>
      <c r="F41" s="24">
        <f>SUMIFS(Angela_2025_Chase1117_Activity_!$D$2:$D$2300,Angela_2025_Chase1117_Activity_!$B$2:$B$2300,"&gt;="&amp;F$4,Angela_2025_Chase1117_Activity_!$B$2:$B$2300,"&lt;="&amp;EOMONTH(F$4,0),Angela_2025_Chase1117_Activity_!$G$2:$G$2300,$A41)</f>
        <v>-160.09</v>
      </c>
      <c r="G41" s="24">
        <f>SUMIFS(Angela_2025_Chase1117_Activity_!$D$2:$D$2300,Angela_2025_Chase1117_Activity_!$B$2:$B$2300,"&gt;="&amp;G$4,Angela_2025_Chase1117_Activity_!$B$2:$B$2300,"&lt;="&amp;EOMONTH(G$4,0),Angela_2025_Chase1117_Activity_!$G$2:$G$2300,$A41)</f>
        <v>0</v>
      </c>
      <c r="H41" s="24">
        <f>SUMIFS(Angela_2025_Chase1117_Activity_!$D$2:$D$2300,Angela_2025_Chase1117_Activity_!$B$2:$B$2300,"&gt;="&amp;H$4,Angela_2025_Chase1117_Activity_!$B$2:$B$2300,"&lt;="&amp;EOMONTH(H$4,0),Angela_2025_Chase1117_Activity_!$G$2:$G$2300,$A41)</f>
        <v>0</v>
      </c>
      <c r="I41" s="24">
        <f>SUMIFS(Angela_2025_Chase1117_Activity_!$D$2:$D$2300,Angela_2025_Chase1117_Activity_!$B$2:$B$2300,"&gt;="&amp;I$4,Angela_2025_Chase1117_Activity_!$B$2:$B$2300,"&lt;="&amp;EOMONTH(I$4,0),Angela_2025_Chase1117_Activity_!$G$2:$G$2300,$A41)</f>
        <v>0</v>
      </c>
      <c r="J41" s="24">
        <f>SUMIFS(Angela_2025_Chase1117_Activity_!$D$2:$D$2300,Angela_2025_Chase1117_Activity_!$B$2:$B$2300,"&gt;="&amp;J$4,Angela_2025_Chase1117_Activity_!$B$2:$B$2300,"&lt;="&amp;EOMONTH(J$4,0),Angela_2025_Chase1117_Activity_!$G$2:$G$2300,$A41)</f>
        <v>-339.56</v>
      </c>
      <c r="K41" s="24">
        <f>SUMIFS(Angela_2025_Chase1117_Activity_!$D$2:$D$2300,Angela_2025_Chase1117_Activity_!$B$2:$B$2300,"&gt;="&amp;K$4,Angela_2025_Chase1117_Activity_!$B$2:$B$2300,"&lt;="&amp;EOMONTH(K$4,0),Angela_2025_Chase1117_Activity_!$G$2:$G$2300,$A41)</f>
        <v>-323.60000000000002</v>
      </c>
      <c r="L41" s="24">
        <f>SUMIFS(Angela_2025_Chase1117_Activity_!$D$2:$D$2300,Angela_2025_Chase1117_Activity_!$B$2:$B$2300,"&gt;="&amp;L$4,Angela_2025_Chase1117_Activity_!$B$2:$B$2300,"&lt;="&amp;EOMONTH(L$4,0),Angela_2025_Chase1117_Activity_!$G$2:$G$2300,$A41)</f>
        <v>-382.81</v>
      </c>
      <c r="M41" s="24">
        <f>SUMIFS(Angela_2025_Chase1117_Activity_!$D$2:$D$2300,Angela_2025_Chase1117_Activity_!$B$2:$B$2300,"&gt;="&amp;M$4,Angela_2025_Chase1117_Activity_!$B$2:$B$2300,"&lt;="&amp;EOMONTH(M$4,0),Angela_2025_Chase1117_Activity_!$G$2:$G$2300,$A41)</f>
        <v>-44.68</v>
      </c>
      <c r="N41" s="24">
        <f>SUM(B41:M41)</f>
        <v>-2083.2999999999997</v>
      </c>
    </row>
    <row r="42" spans="1:14" x14ac:dyDescent="0.25">
      <c r="A42" s="6" t="s">
        <v>1469</v>
      </c>
      <c r="B42" s="24">
        <f>SUMIFS(Angela_2025_Chase1117_Activity_!$D$2:$D$2300,Angela_2025_Chase1117_Activity_!$B$2:$B$2300,"&gt;="&amp;B$4,Angela_2025_Chase1117_Activity_!$B$2:$B$2300,"&lt;="&amp;EOMONTH(B$4,0),Angela_2025_Chase1117_Activity_!$G$2:$G$2300,$A42)</f>
        <v>-55.77</v>
      </c>
      <c r="C42" s="24">
        <f>SUMIFS(Angela_2025_Chase1117_Activity_!$D$2:$D$2300,Angela_2025_Chase1117_Activity_!$B$2:$B$2300,"&gt;="&amp;C$4,Angela_2025_Chase1117_Activity_!$B$2:$B$2300,"&lt;="&amp;EOMONTH(C$4,0),Angela_2025_Chase1117_Activity_!$G$2:$G$2300,$A42)</f>
        <v>0</v>
      </c>
      <c r="D42" s="24">
        <f>SUMIFS(Angela_2025_Chase1117_Activity_!$D$2:$D$2300,Angela_2025_Chase1117_Activity_!$B$2:$B$2300,"&gt;="&amp;D$4,Angela_2025_Chase1117_Activity_!$B$2:$B$2300,"&lt;="&amp;EOMONTH(D$4,0),Angela_2025_Chase1117_Activity_!$G$2:$G$2300,$A42)</f>
        <v>-197.74</v>
      </c>
      <c r="E42" s="24">
        <f>SUMIFS(Angela_2025_Chase1117_Activity_!$D$2:$D$2300,Angela_2025_Chase1117_Activity_!$B$2:$B$2300,"&gt;="&amp;E$4,Angela_2025_Chase1117_Activity_!$B$2:$B$2300,"&lt;="&amp;EOMONTH(E$4,0),Angela_2025_Chase1117_Activity_!$G$2:$G$2300,$A42)</f>
        <v>-318.97000000000003</v>
      </c>
      <c r="F42" s="24">
        <f>SUMIFS(Angela_2025_Chase1117_Activity_!$D$2:$D$2300,Angela_2025_Chase1117_Activity_!$B$2:$B$2300,"&gt;="&amp;F$4,Angela_2025_Chase1117_Activity_!$B$2:$B$2300,"&lt;="&amp;EOMONTH(F$4,0),Angela_2025_Chase1117_Activity_!$G$2:$G$2300,$A42)</f>
        <v>-321.78000000000003</v>
      </c>
      <c r="G42" s="24">
        <f>SUMIFS(Angela_2025_Chase1117_Activity_!$D$2:$D$2300,Angela_2025_Chase1117_Activity_!$B$2:$B$2300,"&gt;="&amp;G$4,Angela_2025_Chase1117_Activity_!$B$2:$B$2300,"&lt;="&amp;EOMONTH(G$4,0),Angela_2025_Chase1117_Activity_!$G$2:$G$2300,$A42)</f>
        <v>-47.14</v>
      </c>
      <c r="H42" s="24">
        <f>SUMIFS(Angela_2025_Chase1117_Activity_!$D$2:$D$2300,Angela_2025_Chase1117_Activity_!$B$2:$B$2300,"&gt;="&amp;H$4,Angela_2025_Chase1117_Activity_!$B$2:$B$2300,"&lt;="&amp;EOMONTH(H$4,0),Angela_2025_Chase1117_Activity_!$G$2:$G$2300,$A42)</f>
        <v>-108.78000000000002</v>
      </c>
      <c r="I42" s="24">
        <f>SUMIFS(Angela_2025_Chase1117_Activity_!$D$2:$D$2300,Angela_2025_Chase1117_Activity_!$B$2:$B$2300,"&gt;="&amp;I$4,Angela_2025_Chase1117_Activity_!$B$2:$B$2300,"&lt;="&amp;EOMONTH(I$4,0),Angela_2025_Chase1117_Activity_!$G$2:$G$2300,$A42)</f>
        <v>-99.009999999999991</v>
      </c>
      <c r="J42" s="24">
        <f>SUMIFS(Angela_2025_Chase1117_Activity_!$D$2:$D$2300,Angela_2025_Chase1117_Activity_!$B$2:$B$2300,"&gt;="&amp;J$4,Angela_2025_Chase1117_Activity_!$B$2:$B$2300,"&lt;="&amp;EOMONTH(J$4,0),Angela_2025_Chase1117_Activity_!$G$2:$G$2300,$A42)</f>
        <v>-394.81</v>
      </c>
      <c r="K42" s="24">
        <f>SUMIFS(Angela_2025_Chase1117_Activity_!$D$2:$D$2300,Angela_2025_Chase1117_Activity_!$B$2:$B$2300,"&gt;="&amp;K$4,Angela_2025_Chase1117_Activity_!$B$2:$B$2300,"&lt;="&amp;EOMONTH(K$4,0),Angela_2025_Chase1117_Activity_!$G$2:$G$2300,$A42)</f>
        <v>-20.39</v>
      </c>
      <c r="L42" s="24">
        <f>SUMIFS(Angela_2025_Chase1117_Activity_!$D$2:$D$2300,Angela_2025_Chase1117_Activity_!$B$2:$B$2300,"&gt;="&amp;L$4,Angela_2025_Chase1117_Activity_!$B$2:$B$2300,"&lt;="&amp;EOMONTH(L$4,0),Angela_2025_Chase1117_Activity_!$G$2:$G$2300,$A42)</f>
        <v>-80.3</v>
      </c>
      <c r="M42" s="24">
        <f>SUMIFS(Angela_2025_Chase1117_Activity_!$D$2:$D$2300,Angela_2025_Chase1117_Activity_!$B$2:$B$2300,"&gt;="&amp;M$4,Angela_2025_Chase1117_Activity_!$B$2:$B$2300,"&lt;="&amp;EOMONTH(M$4,0),Angela_2025_Chase1117_Activity_!$G$2:$G$2300,$A42)</f>
        <v>-95.75</v>
      </c>
      <c r="N42" s="24">
        <f>SUM(B42:M42)</f>
        <v>-1740.44</v>
      </c>
    </row>
    <row r="43" spans="1:14" x14ac:dyDescent="0.25">
      <c r="A43" s="6" t="s">
        <v>1437</v>
      </c>
      <c r="B43" s="24">
        <f>SUMIFS(Angela_2025_Chase1117_Activity_!$D$2:$D$2300,Angela_2025_Chase1117_Activity_!$B$2:$B$2300,"&gt;="&amp;B$4,Angela_2025_Chase1117_Activity_!$B$2:$B$2300,"&lt;="&amp;EOMONTH(B$4,0),Angela_2025_Chase1117_Activity_!$G$2:$G$2300,$A43)</f>
        <v>-769</v>
      </c>
      <c r="C43" s="24">
        <f>SUMIFS(Angela_2025_Chase1117_Activity_!$D$2:$D$2300,Angela_2025_Chase1117_Activity_!$B$2:$B$2300,"&gt;="&amp;C$4,Angela_2025_Chase1117_Activity_!$B$2:$B$2300,"&lt;="&amp;EOMONTH(C$4,0),Angela_2025_Chase1117_Activity_!$G$2:$G$2300,$A43)</f>
        <v>-220</v>
      </c>
      <c r="D43" s="24">
        <f>SUMIFS(Angela_2025_Chase1117_Activity_!$D$2:$D$2300,Angela_2025_Chase1117_Activity_!$B$2:$B$2300,"&gt;="&amp;D$4,Angela_2025_Chase1117_Activity_!$B$2:$B$2300,"&lt;="&amp;EOMONTH(D$4,0),Angela_2025_Chase1117_Activity_!$G$2:$G$2300,$A43)</f>
        <v>0</v>
      </c>
      <c r="E43" s="24">
        <f>SUMIFS(Angela_2025_Chase1117_Activity_!$D$2:$D$2300,Angela_2025_Chase1117_Activity_!$B$2:$B$2300,"&gt;="&amp;E$4,Angela_2025_Chase1117_Activity_!$B$2:$B$2300,"&lt;="&amp;EOMONTH(E$4,0),Angela_2025_Chase1117_Activity_!$G$2:$G$2300,$A43)</f>
        <v>0</v>
      </c>
      <c r="F43" s="24">
        <f>SUMIFS(Angela_2025_Chase1117_Activity_!$D$2:$D$2300,Angela_2025_Chase1117_Activity_!$B$2:$B$2300,"&gt;="&amp;F$4,Angela_2025_Chase1117_Activity_!$B$2:$B$2300,"&lt;="&amp;EOMONTH(F$4,0),Angela_2025_Chase1117_Activity_!$G$2:$G$2300,$A43)</f>
        <v>0</v>
      </c>
      <c r="G43" s="24">
        <f>SUMIFS(Angela_2025_Chase1117_Activity_!$D$2:$D$2300,Angela_2025_Chase1117_Activity_!$B$2:$B$2300,"&gt;="&amp;G$4,Angela_2025_Chase1117_Activity_!$B$2:$B$2300,"&lt;="&amp;EOMONTH(G$4,0),Angela_2025_Chase1117_Activity_!$G$2:$G$2300,$A43)</f>
        <v>0</v>
      </c>
      <c r="H43" s="24">
        <f>SUMIFS(Angela_2025_Chase1117_Activity_!$D$2:$D$2300,Angela_2025_Chase1117_Activity_!$B$2:$B$2300,"&gt;="&amp;H$4,Angela_2025_Chase1117_Activity_!$B$2:$B$2300,"&lt;="&amp;EOMONTH(H$4,0),Angela_2025_Chase1117_Activity_!$G$2:$G$2300,$A43)</f>
        <v>0</v>
      </c>
      <c r="I43" s="24">
        <f>SUMIFS(Angela_2025_Chase1117_Activity_!$D$2:$D$2300,Angela_2025_Chase1117_Activity_!$B$2:$B$2300,"&gt;="&amp;I$4,Angela_2025_Chase1117_Activity_!$B$2:$B$2300,"&lt;="&amp;EOMONTH(I$4,0),Angela_2025_Chase1117_Activity_!$G$2:$G$2300,$A43)</f>
        <v>0</v>
      </c>
      <c r="J43" s="24">
        <f>SUMIFS(Angela_2025_Chase1117_Activity_!$D$2:$D$2300,Angela_2025_Chase1117_Activity_!$B$2:$B$2300,"&gt;="&amp;J$4,Angela_2025_Chase1117_Activity_!$B$2:$B$2300,"&lt;="&amp;EOMONTH(J$4,0),Angela_2025_Chase1117_Activity_!$G$2:$G$2300,$A43)</f>
        <v>0</v>
      </c>
      <c r="K43" s="24">
        <f>SUMIFS(Angela_2025_Chase1117_Activity_!$D$2:$D$2300,Angela_2025_Chase1117_Activity_!$B$2:$B$2300,"&gt;="&amp;K$4,Angela_2025_Chase1117_Activity_!$B$2:$B$2300,"&lt;="&amp;EOMONTH(K$4,0),Angela_2025_Chase1117_Activity_!$G$2:$G$2300,$A43)</f>
        <v>0</v>
      </c>
      <c r="L43" s="24">
        <f>SUMIFS(Angela_2025_Chase1117_Activity_!$D$2:$D$2300,Angela_2025_Chase1117_Activity_!$B$2:$B$2300,"&gt;="&amp;L$4,Angela_2025_Chase1117_Activity_!$B$2:$B$2300,"&lt;="&amp;EOMONTH(L$4,0),Angela_2025_Chase1117_Activity_!$G$2:$G$2300,$A43)</f>
        <v>-769</v>
      </c>
      <c r="M43" s="24">
        <f>SUMIFS(Angela_2025_Chase1117_Activity_!$D$2:$D$2300,Angela_2025_Chase1117_Activity_!$B$2:$B$2300,"&gt;="&amp;M$4,Angela_2025_Chase1117_Activity_!$B$2:$B$2300,"&lt;="&amp;EOMONTH(M$4,0),Angela_2025_Chase1117_Activity_!$G$2:$G$2300,$A43)</f>
        <v>0</v>
      </c>
      <c r="N43" s="24">
        <f>SUM(B43:M43)</f>
        <v>-1758</v>
      </c>
    </row>
    <row r="44" spans="1:14" x14ac:dyDescent="0.25">
      <c r="A44" s="6" t="s">
        <v>1422</v>
      </c>
      <c r="B44" s="24">
        <f>SUMIFS(Angela_2025_Chase1117_Activity_!$D$2:$D$2300,Angela_2025_Chase1117_Activity_!$B$2:$B$2300,"&gt;="&amp;B$4,Angela_2025_Chase1117_Activity_!$B$2:$B$2300,"&lt;="&amp;EOMONTH(B$4,0),Angela_2025_Chase1117_Activity_!$G$2:$G$2300,$A44)</f>
        <v>-1176.0700000000002</v>
      </c>
      <c r="C44" s="24">
        <f>SUMIFS(Angela_2025_Chase1117_Activity_!$D$2:$D$2300,Angela_2025_Chase1117_Activity_!$B$2:$B$2300,"&gt;="&amp;C$4,Angela_2025_Chase1117_Activity_!$B$2:$B$2300,"&lt;="&amp;EOMONTH(C$4,0),Angela_2025_Chase1117_Activity_!$G$2:$G$2300,$A44)</f>
        <v>-2223.4299999999998</v>
      </c>
      <c r="D44" s="24">
        <f>SUMIFS(Angela_2025_Chase1117_Activity_!$D$2:$D$2300,Angela_2025_Chase1117_Activity_!$B$2:$B$2300,"&gt;="&amp;D$4,Angela_2025_Chase1117_Activity_!$B$2:$B$2300,"&lt;="&amp;EOMONTH(D$4,0),Angela_2025_Chase1117_Activity_!$G$2:$G$2300,$A44)</f>
        <v>-3285.8499999999995</v>
      </c>
      <c r="E44" s="24">
        <f>SUMIFS(Angela_2025_Chase1117_Activity_!$D$2:$D$2300,Angela_2025_Chase1117_Activity_!$B$2:$B$2300,"&gt;="&amp;E$4,Angela_2025_Chase1117_Activity_!$B$2:$B$2300,"&lt;="&amp;EOMONTH(E$4,0),Angela_2025_Chase1117_Activity_!$G$2:$G$2300,$A44)</f>
        <v>-1009.68</v>
      </c>
      <c r="F44" s="24">
        <f>SUMIFS(Angela_2025_Chase1117_Activity_!$D$2:$D$2300,Angela_2025_Chase1117_Activity_!$B$2:$B$2300,"&gt;="&amp;F$4,Angela_2025_Chase1117_Activity_!$B$2:$B$2300,"&lt;="&amp;EOMONTH(F$4,0),Angela_2025_Chase1117_Activity_!$G$2:$G$2300,$A44)</f>
        <v>-1756.7599999999995</v>
      </c>
      <c r="G44" s="24">
        <f>SUMIFS(Angela_2025_Chase1117_Activity_!$D$2:$D$2300,Angela_2025_Chase1117_Activity_!$B$2:$B$2300,"&gt;="&amp;G$4,Angela_2025_Chase1117_Activity_!$B$2:$B$2300,"&lt;="&amp;EOMONTH(G$4,0),Angela_2025_Chase1117_Activity_!$G$2:$G$2300,$A44)</f>
        <v>-4681.4999999999982</v>
      </c>
      <c r="H44" s="24">
        <f>SUMIFS(Angela_2025_Chase1117_Activity_!$D$2:$D$2300,Angela_2025_Chase1117_Activity_!$B$2:$B$2300,"&gt;="&amp;H$4,Angela_2025_Chase1117_Activity_!$B$2:$B$2300,"&lt;="&amp;EOMONTH(H$4,0),Angela_2025_Chase1117_Activity_!$G$2:$G$2300,$A44)</f>
        <v>-3824.42</v>
      </c>
      <c r="I44" s="24">
        <f>SUMIFS(Angela_2025_Chase1117_Activity_!$D$2:$D$2300,Angela_2025_Chase1117_Activity_!$B$2:$B$2300,"&gt;="&amp;I$4,Angela_2025_Chase1117_Activity_!$B$2:$B$2300,"&lt;="&amp;EOMONTH(I$4,0),Angela_2025_Chase1117_Activity_!$G$2:$G$2300,$A44)</f>
        <v>-2969.2299999999991</v>
      </c>
      <c r="J44" s="24">
        <f>SUMIFS(Angela_2025_Chase1117_Activity_!$D$2:$D$2300,Angela_2025_Chase1117_Activity_!$B$2:$B$2300,"&gt;="&amp;J$4,Angela_2025_Chase1117_Activity_!$B$2:$B$2300,"&lt;="&amp;EOMONTH(J$4,0),Angela_2025_Chase1117_Activity_!$G$2:$G$2300,$A44)</f>
        <v>-3045.5599999999995</v>
      </c>
      <c r="K44" s="24">
        <f>SUMIFS(Angela_2025_Chase1117_Activity_!$D$2:$D$2300,Angela_2025_Chase1117_Activity_!$B$2:$B$2300,"&gt;="&amp;K$4,Angela_2025_Chase1117_Activity_!$B$2:$B$2300,"&lt;="&amp;EOMONTH(K$4,0),Angela_2025_Chase1117_Activity_!$G$2:$G$2300,$A44)</f>
        <v>-3800.0499999999988</v>
      </c>
      <c r="L44" s="24">
        <f>SUMIFS(Angela_2025_Chase1117_Activity_!$D$2:$D$2300,Angela_2025_Chase1117_Activity_!$B$2:$B$2300,"&gt;="&amp;L$4,Angela_2025_Chase1117_Activity_!$B$2:$B$2300,"&lt;="&amp;EOMONTH(L$4,0),Angela_2025_Chase1117_Activity_!$G$2:$G$2300,$A44)</f>
        <v>-3817.3299999999995</v>
      </c>
      <c r="M44" s="24">
        <f>SUMIFS(Angela_2025_Chase1117_Activity_!$D$2:$D$2300,Angela_2025_Chase1117_Activity_!$B$2:$B$2300,"&gt;="&amp;M$4,Angela_2025_Chase1117_Activity_!$B$2:$B$2300,"&lt;="&amp;EOMONTH(M$4,0),Angela_2025_Chase1117_Activity_!$G$2:$G$2300,$A44)</f>
        <v>-2812.8700000000003</v>
      </c>
      <c r="N44" s="24">
        <f>SUM(B44:M44)</f>
        <v>-34402.75</v>
      </c>
    </row>
    <row r="45" spans="1:14" x14ac:dyDescent="0.25">
      <c r="A45" s="6" t="s">
        <v>1549</v>
      </c>
      <c r="B45" s="24">
        <f>SUMIFS(Angela_2025_Chase1117_Activity_!$D$2:$D$2300,Angela_2025_Chase1117_Activity_!$B$2:$B$2300,"&gt;="&amp;B$4,Angela_2025_Chase1117_Activity_!$B$2:$B$2300,"&lt;="&amp;EOMONTH(B$4,0),Angela_2025_Chase1117_Activity_!$G$2:$G$2300,$A45)</f>
        <v>0</v>
      </c>
      <c r="C45" s="24">
        <f>SUMIFS(Angela_2025_Chase1117_Activity_!$D$2:$D$2300,Angela_2025_Chase1117_Activity_!$B$2:$B$2300,"&gt;="&amp;C$4,Angela_2025_Chase1117_Activity_!$B$2:$B$2300,"&lt;="&amp;EOMONTH(C$4,0),Angela_2025_Chase1117_Activity_!$G$2:$G$2300,$A45)</f>
        <v>0</v>
      </c>
      <c r="D45" s="24">
        <f>SUMIFS(Angela_2025_Chase1117_Activity_!$D$2:$D$2300,Angela_2025_Chase1117_Activity_!$B$2:$B$2300,"&gt;="&amp;D$4,Angela_2025_Chase1117_Activity_!$B$2:$B$2300,"&lt;="&amp;EOMONTH(D$4,0),Angela_2025_Chase1117_Activity_!$G$2:$G$2300,$A45)</f>
        <v>0</v>
      </c>
      <c r="E45" s="24">
        <f>SUMIFS(Angela_2025_Chase1117_Activity_!$D$2:$D$2300,Angela_2025_Chase1117_Activity_!$B$2:$B$2300,"&gt;="&amp;E$4,Angela_2025_Chase1117_Activity_!$B$2:$B$2300,"&lt;="&amp;EOMONTH(E$4,0),Angela_2025_Chase1117_Activity_!$G$2:$G$2300,$A45)</f>
        <v>0</v>
      </c>
      <c r="F45" s="24">
        <f>SUMIFS(Angela_2025_Chase1117_Activity_!$D$2:$D$2300,Angela_2025_Chase1117_Activity_!$B$2:$B$2300,"&gt;="&amp;F$4,Angela_2025_Chase1117_Activity_!$B$2:$B$2300,"&lt;="&amp;EOMONTH(F$4,0),Angela_2025_Chase1117_Activity_!$G$2:$G$2300,$A45)</f>
        <v>0</v>
      </c>
      <c r="G45" s="24">
        <f>SUMIFS(Angela_2025_Chase1117_Activity_!$D$2:$D$2300,Angela_2025_Chase1117_Activity_!$B$2:$B$2300,"&gt;="&amp;G$4,Angela_2025_Chase1117_Activity_!$B$2:$B$2300,"&lt;="&amp;EOMONTH(G$4,0),Angela_2025_Chase1117_Activity_!$G$2:$G$2300,$A45)</f>
        <v>0</v>
      </c>
      <c r="H45" s="24">
        <f>SUMIFS(Angela_2025_Chase1117_Activity_!$D$2:$D$2300,Angela_2025_Chase1117_Activity_!$B$2:$B$2300,"&gt;="&amp;H$4,Angela_2025_Chase1117_Activity_!$B$2:$B$2300,"&lt;="&amp;EOMONTH(H$4,0),Angela_2025_Chase1117_Activity_!$G$2:$G$2300,$A45)</f>
        <v>0</v>
      </c>
      <c r="I45" s="24">
        <f>SUMIFS(Angela_2025_Chase1117_Activity_!$D$2:$D$2300,Angela_2025_Chase1117_Activity_!$B$2:$B$2300,"&gt;="&amp;I$4,Angela_2025_Chase1117_Activity_!$B$2:$B$2300,"&lt;="&amp;EOMONTH(I$4,0),Angela_2025_Chase1117_Activity_!$G$2:$G$2300,$A45)</f>
        <v>0</v>
      </c>
      <c r="J45" s="24">
        <f>SUMIFS(Angela_2025_Chase1117_Activity_!$D$2:$D$2300,Angela_2025_Chase1117_Activity_!$B$2:$B$2300,"&gt;="&amp;J$4,Angela_2025_Chase1117_Activity_!$B$2:$B$2300,"&lt;="&amp;EOMONTH(J$4,0),Angela_2025_Chase1117_Activity_!$G$2:$G$2300,$A45)</f>
        <v>-1928.89</v>
      </c>
      <c r="K45" s="24">
        <f>SUMIFS(Angela_2025_Chase1117_Activity_!$D$2:$D$2300,Angela_2025_Chase1117_Activity_!$B$2:$B$2300,"&gt;="&amp;K$4,Angela_2025_Chase1117_Activity_!$B$2:$B$2300,"&lt;="&amp;EOMONTH(K$4,0),Angela_2025_Chase1117_Activity_!$G$2:$G$2300,$A45)</f>
        <v>-913.61</v>
      </c>
      <c r="L45" s="24">
        <f>SUMIFS(Angela_2025_Chase1117_Activity_!$D$2:$D$2300,Angela_2025_Chase1117_Activity_!$B$2:$B$2300,"&gt;="&amp;L$4,Angela_2025_Chase1117_Activity_!$B$2:$B$2300,"&lt;="&amp;EOMONTH(L$4,0),Angela_2025_Chase1117_Activity_!$G$2:$G$2300,$A45)</f>
        <v>-122.02</v>
      </c>
      <c r="M45" s="24">
        <f>SUMIFS(Angela_2025_Chase1117_Activity_!$D$2:$D$2300,Angela_2025_Chase1117_Activity_!$B$2:$B$2300,"&gt;="&amp;M$4,Angela_2025_Chase1117_Activity_!$B$2:$B$2300,"&lt;="&amp;EOMONTH(M$4,0),Angela_2025_Chase1117_Activity_!$G$2:$G$2300,$A45)</f>
        <v>-349.66</v>
      </c>
      <c r="N45" s="24">
        <f>SUM(B45:M45)</f>
        <v>-3314.18</v>
      </c>
    </row>
    <row r="46" spans="1:14" x14ac:dyDescent="0.25">
      <c r="A46" s="6" t="s">
        <v>1585</v>
      </c>
      <c r="B46" s="24">
        <f>SUMIFS(Angela_2025_Chase1117_Activity_!$D$2:$D$2300,Angela_2025_Chase1117_Activity_!$B$2:$B$2300,"&gt;="&amp;B$4,Angela_2025_Chase1117_Activity_!$B$2:$B$2300,"&lt;="&amp;EOMONTH(B$4,0),Angela_2025_Chase1117_Activity_!$G$2:$G$2300,$A46)</f>
        <v>-43.98</v>
      </c>
      <c r="C46" s="24">
        <f>SUMIFS(Angela_2025_Chase1117_Activity_!$D$2:$D$2300,Angela_2025_Chase1117_Activity_!$B$2:$B$2300,"&gt;="&amp;C$4,Angela_2025_Chase1117_Activity_!$B$2:$B$2300,"&lt;="&amp;EOMONTH(C$4,0),Angela_2025_Chase1117_Activity_!$G$2:$G$2300,$A46)</f>
        <v>-13.99</v>
      </c>
      <c r="D46" s="24">
        <f>SUMIFS(Angela_2025_Chase1117_Activity_!$D$2:$D$2300,Angela_2025_Chase1117_Activity_!$B$2:$B$2300,"&gt;="&amp;D$4,Angela_2025_Chase1117_Activity_!$B$2:$B$2300,"&lt;="&amp;EOMONTH(D$4,0),Angela_2025_Chase1117_Activity_!$G$2:$G$2300,$A46)</f>
        <v>-13.99</v>
      </c>
      <c r="E46" s="24">
        <f>SUMIFS(Angela_2025_Chase1117_Activity_!$D$2:$D$2300,Angela_2025_Chase1117_Activity_!$B$2:$B$2300,"&gt;="&amp;E$4,Angela_2025_Chase1117_Activity_!$B$2:$B$2300,"&lt;="&amp;EOMONTH(E$4,0),Angela_2025_Chase1117_Activity_!$G$2:$G$2300,$A46)</f>
        <v>-13.99</v>
      </c>
      <c r="F46" s="24">
        <f>SUMIFS(Angela_2025_Chase1117_Activity_!$D$2:$D$2300,Angela_2025_Chase1117_Activity_!$B$2:$B$2300,"&gt;="&amp;F$4,Angela_2025_Chase1117_Activity_!$B$2:$B$2300,"&lt;="&amp;EOMONTH(F$4,0),Angela_2025_Chase1117_Activity_!$G$2:$G$2300,$A46)</f>
        <v>-13.99</v>
      </c>
      <c r="G46" s="24">
        <f>SUMIFS(Angela_2025_Chase1117_Activity_!$D$2:$D$2300,Angela_2025_Chase1117_Activity_!$B$2:$B$2300,"&gt;="&amp;G$4,Angela_2025_Chase1117_Activity_!$B$2:$B$2300,"&lt;="&amp;EOMONTH(G$4,0),Angela_2025_Chase1117_Activity_!$G$2:$G$2300,$A46)</f>
        <v>-13.99</v>
      </c>
      <c r="H46" s="24">
        <f>SUMIFS(Angela_2025_Chase1117_Activity_!$D$2:$D$2300,Angela_2025_Chase1117_Activity_!$B$2:$B$2300,"&gt;="&amp;H$4,Angela_2025_Chase1117_Activity_!$B$2:$B$2300,"&lt;="&amp;EOMONTH(H$4,0),Angela_2025_Chase1117_Activity_!$G$2:$G$2300,$A46)</f>
        <v>-13.99</v>
      </c>
      <c r="I46" s="24">
        <f>SUMIFS(Angela_2025_Chase1117_Activity_!$D$2:$D$2300,Angela_2025_Chase1117_Activity_!$B$2:$B$2300,"&gt;="&amp;I$4,Angela_2025_Chase1117_Activity_!$B$2:$B$2300,"&lt;="&amp;EOMONTH(I$4,0),Angela_2025_Chase1117_Activity_!$G$2:$G$2300,$A46)</f>
        <v>-13.99</v>
      </c>
      <c r="J46" s="24">
        <f>SUMIFS(Angela_2025_Chase1117_Activity_!$D$2:$D$2300,Angela_2025_Chase1117_Activity_!$B$2:$B$2300,"&gt;="&amp;J$4,Angela_2025_Chase1117_Activity_!$B$2:$B$2300,"&lt;="&amp;EOMONTH(J$4,0),Angela_2025_Chase1117_Activity_!$G$2:$G$2300,$A46)</f>
        <v>-113.97999999999999</v>
      </c>
      <c r="K46" s="24">
        <f>SUMIFS(Angela_2025_Chase1117_Activity_!$D$2:$D$2300,Angela_2025_Chase1117_Activity_!$B$2:$B$2300,"&gt;="&amp;K$4,Angela_2025_Chase1117_Activity_!$B$2:$B$2300,"&lt;="&amp;EOMONTH(K$4,0),Angela_2025_Chase1117_Activity_!$G$2:$G$2300,$A46)</f>
        <v>-13.99</v>
      </c>
      <c r="L46" s="24">
        <f>SUMIFS(Angela_2025_Chase1117_Activity_!$D$2:$D$2300,Angela_2025_Chase1117_Activity_!$B$2:$B$2300,"&gt;="&amp;L$4,Angela_2025_Chase1117_Activity_!$B$2:$B$2300,"&lt;="&amp;EOMONTH(L$4,0),Angela_2025_Chase1117_Activity_!$G$2:$G$2300,$A46)</f>
        <v>-13.99</v>
      </c>
      <c r="M46" s="24">
        <f>SUMIFS(Angela_2025_Chase1117_Activity_!$D$2:$D$2300,Angela_2025_Chase1117_Activity_!$B$2:$B$2300,"&gt;="&amp;M$4,Angela_2025_Chase1117_Activity_!$B$2:$B$2300,"&lt;="&amp;EOMONTH(M$4,0),Angela_2025_Chase1117_Activity_!$G$2:$G$2300,$A46)</f>
        <v>-13.99</v>
      </c>
      <c r="N46" s="24">
        <f>SUM(B46:M46)</f>
        <v>-297.85999999999996</v>
      </c>
    </row>
    <row r="47" spans="1:14" x14ac:dyDescent="0.25">
      <c r="A47" s="6" t="s">
        <v>1634</v>
      </c>
      <c r="B47" s="24">
        <f>SUMIFS(Angela_2025_Chase1117_Activity_!$D$2:$D$2300,Angela_2025_Chase1117_Activity_!$B$2:$B$2300,"&gt;="&amp;B$4,Angela_2025_Chase1117_Activity_!$B$2:$B$2300,"&lt;="&amp;EOMONTH(B$4,0),Angela_2025_Chase1117_Activity_!$G$2:$G$2300,$A47)</f>
        <v>-93.949999999999989</v>
      </c>
      <c r="C47" s="24">
        <f>SUMIFS(Angela_2025_Chase1117_Activity_!$D$2:$D$2300,Angela_2025_Chase1117_Activity_!$B$2:$B$2300,"&gt;="&amp;C$4,Angela_2025_Chase1117_Activity_!$B$2:$B$2300,"&lt;="&amp;EOMONTH(C$4,0),Angela_2025_Chase1117_Activity_!$G$2:$G$2300,$A47)</f>
        <v>-93.949999999999989</v>
      </c>
      <c r="D47" s="24">
        <f>SUMIFS(Angela_2025_Chase1117_Activity_!$D$2:$D$2300,Angela_2025_Chase1117_Activity_!$B$2:$B$2300,"&gt;="&amp;D$4,Angela_2025_Chase1117_Activity_!$B$2:$B$2300,"&lt;="&amp;EOMONTH(D$4,0),Angela_2025_Chase1117_Activity_!$G$2:$G$2300,$A47)</f>
        <v>-265.92</v>
      </c>
      <c r="E47" s="24">
        <f>SUMIFS(Angela_2025_Chase1117_Activity_!$D$2:$D$2300,Angela_2025_Chase1117_Activity_!$B$2:$B$2300,"&gt;="&amp;E$4,Angela_2025_Chase1117_Activity_!$B$2:$B$2300,"&lt;="&amp;EOMONTH(E$4,0),Angela_2025_Chase1117_Activity_!$G$2:$G$2300,$A47)</f>
        <v>-100.93999999999998</v>
      </c>
      <c r="F47" s="24">
        <f>SUMIFS(Angela_2025_Chase1117_Activity_!$D$2:$D$2300,Angela_2025_Chase1117_Activity_!$B$2:$B$2300,"&gt;="&amp;F$4,Angela_2025_Chase1117_Activity_!$B$2:$B$2300,"&lt;="&amp;EOMONTH(F$4,0),Angela_2025_Chase1117_Activity_!$G$2:$G$2300,$A47)</f>
        <v>-100.93999999999998</v>
      </c>
      <c r="G47" s="24">
        <f>SUMIFS(Angela_2025_Chase1117_Activity_!$D$2:$D$2300,Angela_2025_Chase1117_Activity_!$B$2:$B$2300,"&gt;="&amp;G$4,Angela_2025_Chase1117_Activity_!$B$2:$B$2300,"&lt;="&amp;EOMONTH(G$4,0),Angela_2025_Chase1117_Activity_!$G$2:$G$2300,$A47)</f>
        <v>-100.93999999999998</v>
      </c>
      <c r="H47" s="24">
        <f>SUMIFS(Angela_2025_Chase1117_Activity_!$D$2:$D$2300,Angela_2025_Chase1117_Activity_!$B$2:$B$2300,"&gt;="&amp;H$4,Angela_2025_Chase1117_Activity_!$B$2:$B$2300,"&lt;="&amp;EOMONTH(H$4,0),Angela_2025_Chase1117_Activity_!$G$2:$G$2300,$A47)</f>
        <v>-160.93</v>
      </c>
      <c r="I47" s="24">
        <f>SUMIFS(Angela_2025_Chase1117_Activity_!$D$2:$D$2300,Angela_2025_Chase1117_Activity_!$B$2:$B$2300,"&gt;="&amp;I$4,Angela_2025_Chase1117_Activity_!$B$2:$B$2300,"&lt;="&amp;EOMONTH(I$4,0),Angela_2025_Chase1117_Activity_!$G$2:$G$2300,$A47)</f>
        <v>-100.93999999999998</v>
      </c>
      <c r="J47" s="24">
        <f>SUMIFS(Angela_2025_Chase1117_Activity_!$D$2:$D$2300,Angela_2025_Chase1117_Activity_!$B$2:$B$2300,"&gt;="&amp;J$4,Angela_2025_Chase1117_Activity_!$B$2:$B$2300,"&lt;="&amp;EOMONTH(J$4,0),Angela_2025_Chase1117_Activity_!$G$2:$G$2300,$A47)</f>
        <v>-100.93999999999998</v>
      </c>
      <c r="K47" s="24">
        <f>SUMIFS(Angela_2025_Chase1117_Activity_!$D$2:$D$2300,Angela_2025_Chase1117_Activity_!$B$2:$B$2300,"&gt;="&amp;K$4,Angela_2025_Chase1117_Activity_!$B$2:$B$2300,"&lt;="&amp;EOMONTH(K$4,0),Angela_2025_Chase1117_Activity_!$G$2:$G$2300,$A47)</f>
        <v>-176.69000000000003</v>
      </c>
      <c r="L47" s="24">
        <f>SUMIFS(Angela_2025_Chase1117_Activity_!$D$2:$D$2300,Angela_2025_Chase1117_Activity_!$B$2:$B$2300,"&gt;="&amp;L$4,Angela_2025_Chase1117_Activity_!$B$2:$B$2300,"&lt;="&amp;EOMONTH(L$4,0),Angela_2025_Chase1117_Activity_!$G$2:$G$2300,$A47)</f>
        <v>-100.93999999999998</v>
      </c>
      <c r="M47" s="24">
        <f>SUMIFS(Angela_2025_Chase1117_Activity_!$D$2:$D$2300,Angela_2025_Chase1117_Activity_!$B$2:$B$2300,"&gt;="&amp;M$4,Angela_2025_Chase1117_Activity_!$B$2:$B$2300,"&lt;="&amp;EOMONTH(M$4,0),Angela_2025_Chase1117_Activity_!$G$2:$G$2300,$A47)</f>
        <v>-100.93999999999998</v>
      </c>
      <c r="N47" s="24">
        <f>SUM(B47:M47)</f>
        <v>-1498.02</v>
      </c>
    </row>
    <row r="48" spans="1:14" x14ac:dyDescent="0.25">
      <c r="A48" s="6" t="s">
        <v>1441</v>
      </c>
      <c r="B48" s="24">
        <f>SUMIFS(Angela_2025_Chase1117_Activity_!$D$2:$D$2300,Angela_2025_Chase1117_Activity_!$B$2:$B$2300,"&gt;="&amp;B$4,Angela_2025_Chase1117_Activity_!$B$2:$B$2300,"&lt;="&amp;EOMONTH(B$4,0),Angela_2025_Chase1117_Activity_!$G$2:$G$2300,$A48)</f>
        <v>-535.89</v>
      </c>
      <c r="C48" s="24">
        <f>SUMIFS(Angela_2025_Chase1117_Activity_!$D$2:$D$2300,Angela_2025_Chase1117_Activity_!$B$2:$B$2300,"&gt;="&amp;C$4,Angela_2025_Chase1117_Activity_!$B$2:$B$2300,"&lt;="&amp;EOMONTH(C$4,0),Angela_2025_Chase1117_Activity_!$G$2:$G$2300,$A48)</f>
        <v>-535.89</v>
      </c>
      <c r="D48" s="24">
        <f>SUMIFS(Angela_2025_Chase1117_Activity_!$D$2:$D$2300,Angela_2025_Chase1117_Activity_!$B$2:$B$2300,"&gt;="&amp;D$4,Angela_2025_Chase1117_Activity_!$B$2:$B$2300,"&lt;="&amp;EOMONTH(D$4,0),Angela_2025_Chase1117_Activity_!$G$2:$G$2300,$A48)</f>
        <v>-553.94000000000005</v>
      </c>
      <c r="E48" s="24">
        <f>SUMIFS(Angela_2025_Chase1117_Activity_!$D$2:$D$2300,Angela_2025_Chase1117_Activity_!$B$2:$B$2300,"&gt;="&amp;E$4,Angela_2025_Chase1117_Activity_!$B$2:$B$2300,"&lt;="&amp;EOMONTH(E$4,0),Angela_2025_Chase1117_Activity_!$G$2:$G$2300,$A48)</f>
        <v>-597.12</v>
      </c>
      <c r="F48" s="24">
        <f>SUMIFS(Angela_2025_Chase1117_Activity_!$D$2:$D$2300,Angela_2025_Chase1117_Activity_!$B$2:$B$2300,"&gt;="&amp;F$4,Angela_2025_Chase1117_Activity_!$B$2:$B$2300,"&lt;="&amp;EOMONTH(F$4,0),Angela_2025_Chase1117_Activity_!$G$2:$G$2300,$A48)</f>
        <v>-724.49</v>
      </c>
      <c r="G48" s="24">
        <f>SUMIFS(Angela_2025_Chase1117_Activity_!$D$2:$D$2300,Angela_2025_Chase1117_Activity_!$B$2:$B$2300,"&gt;="&amp;G$4,Angela_2025_Chase1117_Activity_!$B$2:$B$2300,"&lt;="&amp;EOMONTH(G$4,0),Angela_2025_Chase1117_Activity_!$G$2:$G$2300,$A48)</f>
        <v>-609.9</v>
      </c>
      <c r="H48" s="24">
        <f>SUMIFS(Angela_2025_Chase1117_Activity_!$D$2:$D$2300,Angela_2025_Chase1117_Activity_!$B$2:$B$2300,"&gt;="&amp;H$4,Angela_2025_Chase1117_Activity_!$B$2:$B$2300,"&lt;="&amp;EOMONTH(H$4,0),Angela_2025_Chase1117_Activity_!$G$2:$G$2300,$A48)</f>
        <v>-579.33000000000004</v>
      </c>
      <c r="I48" s="24">
        <f>SUMIFS(Angela_2025_Chase1117_Activity_!$D$2:$D$2300,Angela_2025_Chase1117_Activity_!$B$2:$B$2300,"&gt;="&amp;I$4,Angela_2025_Chase1117_Activity_!$B$2:$B$2300,"&lt;="&amp;EOMONTH(I$4,0),Angela_2025_Chase1117_Activity_!$G$2:$G$2300,$A48)</f>
        <v>-795.82</v>
      </c>
      <c r="J48" s="24">
        <f>SUMIFS(Angela_2025_Chase1117_Activity_!$D$2:$D$2300,Angela_2025_Chase1117_Activity_!$B$2:$B$2300,"&gt;="&amp;J$4,Angela_2025_Chase1117_Activity_!$B$2:$B$2300,"&lt;="&amp;EOMONTH(J$4,0),Angela_2025_Chase1117_Activity_!$G$2:$G$2300,$A48)</f>
        <v>-579.33000000000004</v>
      </c>
      <c r="K48" s="24">
        <f>SUMIFS(Angela_2025_Chase1117_Activity_!$D$2:$D$2300,Angela_2025_Chase1117_Activity_!$B$2:$B$2300,"&gt;="&amp;K$4,Angela_2025_Chase1117_Activity_!$B$2:$B$2300,"&lt;="&amp;EOMONTH(K$4,0),Angela_2025_Chase1117_Activity_!$G$2:$G$2300,$A48)</f>
        <v>-579.63</v>
      </c>
      <c r="L48" s="24">
        <f>SUMIFS(Angela_2025_Chase1117_Activity_!$D$2:$D$2300,Angela_2025_Chase1117_Activity_!$B$2:$B$2300,"&gt;="&amp;L$4,Angela_2025_Chase1117_Activity_!$B$2:$B$2300,"&lt;="&amp;EOMONTH(L$4,0),Angela_2025_Chase1117_Activity_!$G$2:$G$2300,$A48)</f>
        <v>-544.65</v>
      </c>
      <c r="M48" s="24">
        <f>SUMIFS(Angela_2025_Chase1117_Activity_!$D$2:$D$2300,Angela_2025_Chase1117_Activity_!$B$2:$B$2300,"&gt;="&amp;M$4,Angela_2025_Chase1117_Activity_!$B$2:$B$2300,"&lt;="&amp;EOMONTH(M$4,0),Angela_2025_Chase1117_Activity_!$G$2:$G$2300,$A48)</f>
        <v>-813.54</v>
      </c>
      <c r="N48" s="24">
        <f>SUM(B48:M48)</f>
        <v>-7449.53</v>
      </c>
    </row>
    <row r="49" spans="1:14" x14ac:dyDescent="0.25">
      <c r="A49" s="6" t="s">
        <v>1471</v>
      </c>
      <c r="B49" s="24">
        <f>SUMIFS(Angela_2025_Chase1117_Activity_!$D$2:$D$2300,Angela_2025_Chase1117_Activity_!$B$2:$B$2300,"&gt;="&amp;B$4,Angela_2025_Chase1117_Activity_!$B$2:$B$2300,"&lt;="&amp;EOMONTH(B$4,0),Angela_2025_Chase1117_Activity_!$G$2:$G$2300,$A49)</f>
        <v>0</v>
      </c>
      <c r="C49" s="24">
        <f>SUMIFS(Angela_2025_Chase1117_Activity_!$D$2:$D$2300,Angela_2025_Chase1117_Activity_!$B$2:$B$2300,"&gt;="&amp;C$4,Angela_2025_Chase1117_Activity_!$B$2:$B$2300,"&lt;="&amp;EOMONTH(C$4,0),Angela_2025_Chase1117_Activity_!$G$2:$G$2300,$A49)</f>
        <v>0</v>
      </c>
      <c r="D49" s="24">
        <f>SUMIFS(Angela_2025_Chase1117_Activity_!$D$2:$D$2300,Angela_2025_Chase1117_Activity_!$B$2:$B$2300,"&gt;="&amp;D$4,Angela_2025_Chase1117_Activity_!$B$2:$B$2300,"&lt;="&amp;EOMONTH(D$4,0),Angela_2025_Chase1117_Activity_!$G$2:$G$2300,$A49)</f>
        <v>-109.75999999999999</v>
      </c>
      <c r="E49" s="24">
        <f>SUMIFS(Angela_2025_Chase1117_Activity_!$D$2:$D$2300,Angela_2025_Chase1117_Activity_!$B$2:$B$2300,"&gt;="&amp;E$4,Angela_2025_Chase1117_Activity_!$B$2:$B$2300,"&lt;="&amp;EOMONTH(E$4,0),Angela_2025_Chase1117_Activity_!$G$2:$G$2300,$A49)</f>
        <v>-37.97</v>
      </c>
      <c r="F49" s="24">
        <f>SUMIFS(Angela_2025_Chase1117_Activity_!$D$2:$D$2300,Angela_2025_Chase1117_Activity_!$B$2:$B$2300,"&gt;="&amp;F$4,Angela_2025_Chase1117_Activity_!$B$2:$B$2300,"&lt;="&amp;EOMONTH(F$4,0),Angela_2025_Chase1117_Activity_!$G$2:$G$2300,$A49)</f>
        <v>0</v>
      </c>
      <c r="G49" s="24">
        <f>SUMIFS(Angela_2025_Chase1117_Activity_!$D$2:$D$2300,Angela_2025_Chase1117_Activity_!$B$2:$B$2300,"&gt;="&amp;G$4,Angela_2025_Chase1117_Activity_!$B$2:$B$2300,"&lt;="&amp;EOMONTH(G$4,0),Angela_2025_Chase1117_Activity_!$G$2:$G$2300,$A49)</f>
        <v>0</v>
      </c>
      <c r="H49" s="24">
        <f>SUMIFS(Angela_2025_Chase1117_Activity_!$D$2:$D$2300,Angela_2025_Chase1117_Activity_!$B$2:$B$2300,"&gt;="&amp;H$4,Angela_2025_Chase1117_Activity_!$B$2:$B$2300,"&lt;="&amp;EOMONTH(H$4,0),Angela_2025_Chase1117_Activity_!$G$2:$G$2300,$A49)</f>
        <v>-41.9</v>
      </c>
      <c r="I49" s="24">
        <f>SUMIFS(Angela_2025_Chase1117_Activity_!$D$2:$D$2300,Angela_2025_Chase1117_Activity_!$B$2:$B$2300,"&gt;="&amp;I$4,Angela_2025_Chase1117_Activity_!$B$2:$B$2300,"&lt;="&amp;EOMONTH(I$4,0),Angela_2025_Chase1117_Activity_!$G$2:$G$2300,$A49)</f>
        <v>0</v>
      </c>
      <c r="J49" s="24">
        <f>SUMIFS(Angela_2025_Chase1117_Activity_!$D$2:$D$2300,Angela_2025_Chase1117_Activity_!$B$2:$B$2300,"&gt;="&amp;J$4,Angela_2025_Chase1117_Activity_!$B$2:$B$2300,"&lt;="&amp;EOMONTH(J$4,0),Angela_2025_Chase1117_Activity_!$G$2:$G$2300,$A49)</f>
        <v>0</v>
      </c>
      <c r="K49" s="24">
        <f>SUMIFS(Angela_2025_Chase1117_Activity_!$D$2:$D$2300,Angela_2025_Chase1117_Activity_!$B$2:$B$2300,"&gt;="&amp;K$4,Angela_2025_Chase1117_Activity_!$B$2:$B$2300,"&lt;="&amp;EOMONTH(K$4,0),Angela_2025_Chase1117_Activity_!$G$2:$G$2300,$A49)</f>
        <v>0</v>
      </c>
      <c r="L49" s="24">
        <f>SUMIFS(Angela_2025_Chase1117_Activity_!$D$2:$D$2300,Angela_2025_Chase1117_Activity_!$B$2:$B$2300,"&gt;="&amp;L$4,Angela_2025_Chase1117_Activity_!$B$2:$B$2300,"&lt;="&amp;EOMONTH(L$4,0),Angela_2025_Chase1117_Activity_!$G$2:$G$2300,$A49)</f>
        <v>-126.26</v>
      </c>
      <c r="M49" s="24">
        <f>SUMIFS(Angela_2025_Chase1117_Activity_!$D$2:$D$2300,Angela_2025_Chase1117_Activity_!$B$2:$B$2300,"&gt;="&amp;M$4,Angela_2025_Chase1117_Activity_!$B$2:$B$2300,"&lt;="&amp;EOMONTH(M$4,0),Angela_2025_Chase1117_Activity_!$G$2:$G$2300,$A49)</f>
        <v>0</v>
      </c>
      <c r="N49" s="24">
        <f>SUM(B49:M49)</f>
        <v>-315.89</v>
      </c>
    </row>
    <row r="50" spans="1:14" x14ac:dyDescent="0.25">
      <c r="A50" s="6" t="s">
        <v>1420</v>
      </c>
      <c r="B50" s="24">
        <f>SUMIFS(Angela_2025_Chase1117_Activity_!$D$2:$D$2300,Angela_2025_Chase1117_Activity_!$B$2:$B$2300,"&gt;="&amp;B$4,Angela_2025_Chase1117_Activity_!$B$2:$B$2300,"&lt;="&amp;EOMONTH(B$4,0),Angela_2025_Chase1117_Activity_!$G$2:$G$2300,$A50)</f>
        <v>-490.18999999999994</v>
      </c>
      <c r="C50" s="24">
        <f>SUMIFS(Angela_2025_Chase1117_Activity_!$D$2:$D$2300,Angela_2025_Chase1117_Activity_!$B$2:$B$2300,"&gt;="&amp;C$4,Angela_2025_Chase1117_Activity_!$B$2:$B$2300,"&lt;="&amp;EOMONTH(C$4,0),Angela_2025_Chase1117_Activity_!$G$2:$G$2300,$A50)</f>
        <v>-1321.22</v>
      </c>
      <c r="D50" s="24">
        <f>SUMIFS(Angela_2025_Chase1117_Activity_!$D$2:$D$2300,Angela_2025_Chase1117_Activity_!$B$2:$B$2300,"&gt;="&amp;D$4,Angela_2025_Chase1117_Activity_!$B$2:$B$2300,"&lt;="&amp;EOMONTH(D$4,0),Angela_2025_Chase1117_Activity_!$G$2:$G$2300,$A50)</f>
        <v>-963.80000000000018</v>
      </c>
      <c r="E50" s="24">
        <f>SUMIFS(Angela_2025_Chase1117_Activity_!$D$2:$D$2300,Angela_2025_Chase1117_Activity_!$B$2:$B$2300,"&gt;="&amp;E$4,Angela_2025_Chase1117_Activity_!$B$2:$B$2300,"&lt;="&amp;EOMONTH(E$4,0),Angela_2025_Chase1117_Activity_!$G$2:$G$2300,$A50)</f>
        <v>-201.86</v>
      </c>
      <c r="F50" s="24">
        <f>SUMIFS(Angela_2025_Chase1117_Activity_!$D$2:$D$2300,Angela_2025_Chase1117_Activity_!$B$2:$B$2300,"&gt;="&amp;F$4,Angela_2025_Chase1117_Activity_!$B$2:$B$2300,"&lt;="&amp;EOMONTH(F$4,0),Angela_2025_Chase1117_Activity_!$G$2:$G$2300,$A50)</f>
        <v>-847.83999999999992</v>
      </c>
      <c r="G50" s="24">
        <f>SUMIFS(Angela_2025_Chase1117_Activity_!$D$2:$D$2300,Angela_2025_Chase1117_Activity_!$B$2:$B$2300,"&gt;="&amp;G$4,Angela_2025_Chase1117_Activity_!$B$2:$B$2300,"&lt;="&amp;EOMONTH(G$4,0),Angela_2025_Chase1117_Activity_!$G$2:$G$2300,$A50)</f>
        <v>-512.07999999999993</v>
      </c>
      <c r="H50" s="24">
        <f>SUMIFS(Angela_2025_Chase1117_Activity_!$D$2:$D$2300,Angela_2025_Chase1117_Activity_!$B$2:$B$2300,"&gt;="&amp;H$4,Angela_2025_Chase1117_Activity_!$B$2:$B$2300,"&lt;="&amp;EOMONTH(H$4,0),Angela_2025_Chase1117_Activity_!$G$2:$G$2300,$A50)</f>
        <v>-804.8900000000001</v>
      </c>
      <c r="I50" s="24">
        <f>SUMIFS(Angela_2025_Chase1117_Activity_!$D$2:$D$2300,Angela_2025_Chase1117_Activity_!$B$2:$B$2300,"&gt;="&amp;I$4,Angela_2025_Chase1117_Activity_!$B$2:$B$2300,"&lt;="&amp;EOMONTH(I$4,0),Angela_2025_Chase1117_Activity_!$G$2:$G$2300,$A50)</f>
        <v>-506.82000000000005</v>
      </c>
      <c r="J50" s="24">
        <f>SUMIFS(Angela_2025_Chase1117_Activity_!$D$2:$D$2300,Angela_2025_Chase1117_Activity_!$B$2:$B$2300,"&gt;="&amp;J$4,Angela_2025_Chase1117_Activity_!$B$2:$B$2300,"&lt;="&amp;EOMONTH(J$4,0),Angela_2025_Chase1117_Activity_!$G$2:$G$2300,$A50)</f>
        <v>-655.58999999999992</v>
      </c>
      <c r="K50" s="24">
        <f>SUMIFS(Angela_2025_Chase1117_Activity_!$D$2:$D$2300,Angela_2025_Chase1117_Activity_!$B$2:$B$2300,"&gt;="&amp;K$4,Angela_2025_Chase1117_Activity_!$B$2:$B$2300,"&lt;="&amp;EOMONTH(K$4,0),Angela_2025_Chase1117_Activity_!$G$2:$G$2300,$A50)</f>
        <v>-570</v>
      </c>
      <c r="L50" s="24">
        <f>SUMIFS(Angela_2025_Chase1117_Activity_!$D$2:$D$2300,Angela_2025_Chase1117_Activity_!$B$2:$B$2300,"&gt;="&amp;L$4,Angela_2025_Chase1117_Activity_!$B$2:$B$2300,"&lt;="&amp;EOMONTH(L$4,0),Angela_2025_Chase1117_Activity_!$G$2:$G$2300,$A50)</f>
        <v>-720.93999999999994</v>
      </c>
      <c r="M50" s="24">
        <f>SUMIFS(Angela_2025_Chase1117_Activity_!$D$2:$D$2300,Angela_2025_Chase1117_Activity_!$B$2:$B$2300,"&gt;="&amp;M$4,Angela_2025_Chase1117_Activity_!$B$2:$B$2300,"&lt;="&amp;EOMONTH(M$4,0),Angela_2025_Chase1117_Activity_!$G$2:$G$2300,$A50)</f>
        <v>-876.6099999999999</v>
      </c>
      <c r="N50" s="24">
        <f>SUM(B50:M50)</f>
        <v>-8471.84</v>
      </c>
    </row>
    <row r="51" spans="1:14" x14ac:dyDescent="0.25">
      <c r="A51" s="6" t="s">
        <v>1615</v>
      </c>
      <c r="B51" s="24">
        <f>SUMIFS(Angela_2025_Chase1117_Activity_!$D$2:$D$2300,Angela_2025_Chase1117_Activity_!$B$2:$B$2300,"&gt;="&amp;B$4,Angela_2025_Chase1117_Activity_!$B$2:$B$2300,"&lt;="&amp;EOMONTH(B$4,0),Angela_2025_Chase1117_Activity_!$G$2:$G$2300,$A51)</f>
        <v>-3</v>
      </c>
      <c r="C51" s="24">
        <f>SUMIFS(Angela_2025_Chase1117_Activity_!$D$2:$D$2300,Angela_2025_Chase1117_Activity_!$B$2:$B$2300,"&gt;="&amp;C$4,Angela_2025_Chase1117_Activity_!$B$2:$B$2300,"&lt;="&amp;EOMONTH(C$4,0),Angela_2025_Chase1117_Activity_!$G$2:$G$2300,$A51)</f>
        <v>-3</v>
      </c>
      <c r="D51" s="24">
        <f>SUMIFS(Angela_2025_Chase1117_Activity_!$D$2:$D$2300,Angela_2025_Chase1117_Activity_!$B$2:$B$2300,"&gt;="&amp;D$4,Angela_2025_Chase1117_Activity_!$B$2:$B$2300,"&lt;="&amp;EOMONTH(D$4,0),Angela_2025_Chase1117_Activity_!$G$2:$G$2300,$A51)</f>
        <v>0</v>
      </c>
      <c r="E51" s="24">
        <f>SUMIFS(Angela_2025_Chase1117_Activity_!$D$2:$D$2300,Angela_2025_Chase1117_Activity_!$B$2:$B$2300,"&gt;="&amp;E$4,Angela_2025_Chase1117_Activity_!$B$2:$B$2300,"&lt;="&amp;EOMONTH(E$4,0),Angela_2025_Chase1117_Activity_!$G$2:$G$2300,$A51)</f>
        <v>-35</v>
      </c>
      <c r="F51" s="24">
        <f>SUMIFS(Angela_2025_Chase1117_Activity_!$D$2:$D$2300,Angela_2025_Chase1117_Activity_!$B$2:$B$2300,"&gt;="&amp;F$4,Angela_2025_Chase1117_Activity_!$B$2:$B$2300,"&lt;="&amp;EOMONTH(F$4,0),Angela_2025_Chase1117_Activity_!$G$2:$G$2300,$A51)</f>
        <v>0</v>
      </c>
      <c r="G51" s="24">
        <f>SUMIFS(Angela_2025_Chase1117_Activity_!$D$2:$D$2300,Angela_2025_Chase1117_Activity_!$B$2:$B$2300,"&gt;="&amp;G$4,Angela_2025_Chase1117_Activity_!$B$2:$B$2300,"&lt;="&amp;EOMONTH(G$4,0),Angela_2025_Chase1117_Activity_!$G$2:$G$2300,$A51)</f>
        <v>0</v>
      </c>
      <c r="H51" s="24">
        <f>SUMIFS(Angela_2025_Chase1117_Activity_!$D$2:$D$2300,Angela_2025_Chase1117_Activity_!$B$2:$B$2300,"&gt;="&amp;H$4,Angela_2025_Chase1117_Activity_!$B$2:$B$2300,"&lt;="&amp;EOMONTH(H$4,0),Angela_2025_Chase1117_Activity_!$G$2:$G$2300,$A51)</f>
        <v>-3</v>
      </c>
      <c r="I51" s="24">
        <f>SUMIFS(Angela_2025_Chase1117_Activity_!$D$2:$D$2300,Angela_2025_Chase1117_Activity_!$B$2:$B$2300,"&gt;="&amp;I$4,Angela_2025_Chase1117_Activity_!$B$2:$B$2300,"&lt;="&amp;EOMONTH(I$4,0),Angela_2025_Chase1117_Activity_!$G$2:$G$2300,$A51)</f>
        <v>-12</v>
      </c>
      <c r="J51" s="24">
        <f>SUMIFS(Angela_2025_Chase1117_Activity_!$D$2:$D$2300,Angela_2025_Chase1117_Activity_!$B$2:$B$2300,"&gt;="&amp;J$4,Angela_2025_Chase1117_Activity_!$B$2:$B$2300,"&lt;="&amp;EOMONTH(J$4,0),Angela_2025_Chase1117_Activity_!$G$2:$G$2300,$A51)</f>
        <v>0</v>
      </c>
      <c r="K51" s="24">
        <f>SUMIFS(Angela_2025_Chase1117_Activity_!$D$2:$D$2300,Angela_2025_Chase1117_Activity_!$B$2:$B$2300,"&gt;="&amp;K$4,Angela_2025_Chase1117_Activity_!$B$2:$B$2300,"&lt;="&amp;EOMONTH(K$4,0),Angela_2025_Chase1117_Activity_!$G$2:$G$2300,$A51)</f>
        <v>0</v>
      </c>
      <c r="L51" s="24">
        <f>SUMIFS(Angela_2025_Chase1117_Activity_!$D$2:$D$2300,Angela_2025_Chase1117_Activity_!$B$2:$B$2300,"&gt;="&amp;L$4,Angela_2025_Chase1117_Activity_!$B$2:$B$2300,"&lt;="&amp;EOMONTH(L$4,0),Angela_2025_Chase1117_Activity_!$G$2:$G$2300,$A51)</f>
        <v>-17.5</v>
      </c>
      <c r="M51" s="24">
        <f>SUMIFS(Angela_2025_Chase1117_Activity_!$D$2:$D$2300,Angela_2025_Chase1117_Activity_!$B$2:$B$2300,"&gt;="&amp;M$4,Angela_2025_Chase1117_Activity_!$B$2:$B$2300,"&lt;="&amp;EOMONTH(M$4,0),Angela_2025_Chase1117_Activity_!$G$2:$G$2300,$A51)</f>
        <v>-10</v>
      </c>
      <c r="N51" s="24">
        <f>SUM(B51:M51)</f>
        <v>-83.5</v>
      </c>
    </row>
    <row r="52" spans="1:14" x14ac:dyDescent="0.25">
      <c r="A52" s="6" t="s">
        <v>2621</v>
      </c>
      <c r="B52" s="24">
        <f>SUMIFS(Angela_2025_Chase1117_Activity_!$D$2:$D$2300,Angela_2025_Chase1117_Activity_!$B$2:$B$2300,"&gt;="&amp;B$4,Angela_2025_Chase1117_Activity_!$B$2:$B$2300,"&lt;="&amp;EOMONTH(B$4,0),Angela_2025_Chase1117_Activity_!$G$2:$G$2300,$A52)</f>
        <v>0</v>
      </c>
      <c r="C52" s="24">
        <f>SUMIFS(Angela_2025_Chase1117_Activity_!$D$2:$D$2300,Angela_2025_Chase1117_Activity_!$B$2:$B$2300,"&gt;="&amp;C$4,Angela_2025_Chase1117_Activity_!$B$2:$B$2300,"&lt;="&amp;EOMONTH(C$4,0),Angela_2025_Chase1117_Activity_!$G$2:$G$2300,$A52)</f>
        <v>0</v>
      </c>
      <c r="D52" s="24">
        <f>SUMIFS(Angela_2025_Chase1117_Activity_!$D$2:$D$2300,Angela_2025_Chase1117_Activity_!$B$2:$B$2300,"&gt;="&amp;D$4,Angela_2025_Chase1117_Activity_!$B$2:$B$2300,"&lt;="&amp;EOMONTH(D$4,0),Angela_2025_Chase1117_Activity_!$G$2:$G$2300,$A52)</f>
        <v>-1180</v>
      </c>
      <c r="E52" s="24">
        <f>SUMIFS(Angela_2025_Chase1117_Activity_!$D$2:$D$2300,Angela_2025_Chase1117_Activity_!$B$2:$B$2300,"&gt;="&amp;E$4,Angela_2025_Chase1117_Activity_!$B$2:$B$2300,"&lt;="&amp;EOMONTH(E$4,0),Angela_2025_Chase1117_Activity_!$G$2:$G$2300,$A52)</f>
        <v>0</v>
      </c>
      <c r="F52" s="24">
        <f>SUMIFS(Angela_2025_Chase1117_Activity_!$D$2:$D$2300,Angela_2025_Chase1117_Activity_!$B$2:$B$2300,"&gt;="&amp;F$4,Angela_2025_Chase1117_Activity_!$B$2:$B$2300,"&lt;="&amp;EOMONTH(F$4,0),Angela_2025_Chase1117_Activity_!$G$2:$G$2300,$A52)</f>
        <v>0</v>
      </c>
      <c r="G52" s="24">
        <f>SUMIFS(Angela_2025_Chase1117_Activity_!$D$2:$D$2300,Angela_2025_Chase1117_Activity_!$B$2:$B$2300,"&gt;="&amp;G$4,Angela_2025_Chase1117_Activity_!$B$2:$B$2300,"&lt;="&amp;EOMONTH(G$4,0),Angela_2025_Chase1117_Activity_!$G$2:$G$2300,$A52)</f>
        <v>0</v>
      </c>
      <c r="H52" s="24">
        <f>SUMIFS(Angela_2025_Chase1117_Activity_!$D$2:$D$2300,Angela_2025_Chase1117_Activity_!$B$2:$B$2300,"&gt;="&amp;H$4,Angela_2025_Chase1117_Activity_!$B$2:$B$2300,"&lt;="&amp;EOMONTH(H$4,0),Angela_2025_Chase1117_Activity_!$G$2:$G$2300,$A52)</f>
        <v>-3000</v>
      </c>
      <c r="I52" s="24">
        <f>SUMIFS(Angela_2025_Chase1117_Activity_!$D$2:$D$2300,Angela_2025_Chase1117_Activity_!$B$2:$B$2300,"&gt;="&amp;I$4,Angela_2025_Chase1117_Activity_!$B$2:$B$2300,"&lt;="&amp;EOMONTH(I$4,0),Angela_2025_Chase1117_Activity_!$G$2:$G$2300,$A52)</f>
        <v>0</v>
      </c>
      <c r="J52" s="24">
        <f>SUMIFS(Angela_2025_Chase1117_Activity_!$D$2:$D$2300,Angela_2025_Chase1117_Activity_!$B$2:$B$2300,"&gt;="&amp;J$4,Angela_2025_Chase1117_Activity_!$B$2:$B$2300,"&lt;="&amp;EOMONTH(J$4,0),Angela_2025_Chase1117_Activity_!$G$2:$G$2300,$A52)</f>
        <v>-2000</v>
      </c>
      <c r="K52" s="24">
        <f>SUMIFS(Angela_2025_Chase1117_Activity_!$D$2:$D$2300,Angela_2025_Chase1117_Activity_!$B$2:$B$2300,"&gt;="&amp;K$4,Angela_2025_Chase1117_Activity_!$B$2:$B$2300,"&lt;="&amp;EOMONTH(K$4,0),Angela_2025_Chase1117_Activity_!$G$2:$G$2300,$A52)</f>
        <v>-500</v>
      </c>
      <c r="L52" s="24">
        <f>SUMIFS(Angela_2025_Chase1117_Activity_!$D$2:$D$2300,Angela_2025_Chase1117_Activity_!$B$2:$B$2300,"&gt;="&amp;L$4,Angela_2025_Chase1117_Activity_!$B$2:$B$2300,"&lt;="&amp;EOMONTH(L$4,0),Angela_2025_Chase1117_Activity_!$G$2:$G$2300,$A52)</f>
        <v>0</v>
      </c>
      <c r="M52" s="24">
        <f>SUMIFS(Angela_2025_Chase1117_Activity_!$D$2:$D$2300,Angela_2025_Chase1117_Activity_!$B$2:$B$2300,"&gt;="&amp;M$4,Angela_2025_Chase1117_Activity_!$B$2:$B$2300,"&lt;="&amp;EOMONTH(M$4,0),Angela_2025_Chase1117_Activity_!$G$2:$G$2300,$A52)</f>
        <v>0</v>
      </c>
      <c r="N52" s="24">
        <f>SUM(B52:M52)</f>
        <v>-6680</v>
      </c>
    </row>
    <row r="53" spans="1:14" x14ac:dyDescent="0.25">
      <c r="A53" s="6" t="s">
        <v>1630</v>
      </c>
      <c r="B53" s="24">
        <f>SUMIFS(Angela_2025_Chase1117_Activity_!$D$2:$D$2300,Angela_2025_Chase1117_Activity_!$B$2:$B$2300,"&gt;="&amp;B$4,Angela_2025_Chase1117_Activity_!$B$2:$B$2300,"&lt;="&amp;EOMONTH(B$4,0),Angela_2025_Chase1117_Activity_!$G$2:$G$2300,$A53)</f>
        <v>1575</v>
      </c>
      <c r="C53" s="24">
        <f>SUMIFS(Angela_2025_Chase1117_Activity_!$D$2:$D$2300,Angela_2025_Chase1117_Activity_!$B$2:$B$2300,"&gt;="&amp;C$4,Angela_2025_Chase1117_Activity_!$B$2:$B$2300,"&lt;="&amp;EOMONTH(C$4,0),Angela_2025_Chase1117_Activity_!$G$2:$G$2300,$A53)</f>
        <v>175</v>
      </c>
      <c r="D53" s="24">
        <f>SUMIFS(Angela_2025_Chase1117_Activity_!$D$2:$D$2300,Angela_2025_Chase1117_Activity_!$B$2:$B$2300,"&gt;="&amp;D$4,Angela_2025_Chase1117_Activity_!$B$2:$B$2300,"&lt;="&amp;EOMONTH(D$4,0),Angela_2025_Chase1117_Activity_!$G$2:$G$2300,$A53)</f>
        <v>350</v>
      </c>
      <c r="E53" s="24">
        <f>SUMIFS(Angela_2025_Chase1117_Activity_!$D$2:$D$2300,Angela_2025_Chase1117_Activity_!$B$2:$B$2300,"&gt;="&amp;E$4,Angela_2025_Chase1117_Activity_!$B$2:$B$2300,"&lt;="&amp;EOMONTH(E$4,0),Angela_2025_Chase1117_Activity_!$G$2:$G$2300,$A53)</f>
        <v>0</v>
      </c>
      <c r="F53" s="24">
        <f>SUMIFS(Angela_2025_Chase1117_Activity_!$D$2:$D$2300,Angela_2025_Chase1117_Activity_!$B$2:$B$2300,"&gt;="&amp;F$4,Angela_2025_Chase1117_Activity_!$B$2:$B$2300,"&lt;="&amp;EOMONTH(F$4,0),Angela_2025_Chase1117_Activity_!$G$2:$G$2300,$A53)</f>
        <v>3548</v>
      </c>
      <c r="G53" s="24">
        <f>SUMIFS(Angela_2025_Chase1117_Activity_!$D$2:$D$2300,Angela_2025_Chase1117_Activity_!$B$2:$B$2300,"&gt;="&amp;G$4,Angela_2025_Chase1117_Activity_!$B$2:$B$2300,"&lt;="&amp;EOMONTH(G$4,0),Angela_2025_Chase1117_Activity_!$G$2:$G$2300,$A53)</f>
        <v>208.45</v>
      </c>
      <c r="H53" s="24">
        <f>SUMIFS(Angela_2025_Chase1117_Activity_!$D$2:$D$2300,Angela_2025_Chase1117_Activity_!$B$2:$B$2300,"&gt;="&amp;H$4,Angela_2025_Chase1117_Activity_!$B$2:$B$2300,"&lt;="&amp;EOMONTH(H$4,0),Angela_2025_Chase1117_Activity_!$G$2:$G$2300,$A53)</f>
        <v>1050</v>
      </c>
      <c r="I53" s="24">
        <f>SUMIFS(Angela_2025_Chase1117_Activity_!$D$2:$D$2300,Angela_2025_Chase1117_Activity_!$B$2:$B$2300,"&gt;="&amp;I$4,Angela_2025_Chase1117_Activity_!$B$2:$B$2300,"&lt;="&amp;EOMONTH(I$4,0),Angela_2025_Chase1117_Activity_!$G$2:$G$2300,$A53)</f>
        <v>175</v>
      </c>
      <c r="J53" s="24">
        <f>SUMIFS(Angela_2025_Chase1117_Activity_!$D$2:$D$2300,Angela_2025_Chase1117_Activity_!$B$2:$B$2300,"&gt;="&amp;J$4,Angela_2025_Chase1117_Activity_!$B$2:$B$2300,"&lt;="&amp;EOMONTH(J$4,0),Angela_2025_Chase1117_Activity_!$G$2:$G$2300,$A53)</f>
        <v>3582.8</v>
      </c>
      <c r="K53" s="24">
        <f>SUMIFS(Angela_2025_Chase1117_Activity_!$D$2:$D$2300,Angela_2025_Chase1117_Activity_!$B$2:$B$2300,"&gt;="&amp;K$4,Angela_2025_Chase1117_Activity_!$B$2:$B$2300,"&lt;="&amp;EOMONTH(K$4,0),Angela_2025_Chase1117_Activity_!$G$2:$G$2300,$A53)</f>
        <v>1225</v>
      </c>
      <c r="L53" s="24">
        <f>SUMIFS(Angela_2025_Chase1117_Activity_!$D$2:$D$2300,Angela_2025_Chase1117_Activity_!$B$2:$B$2300,"&gt;="&amp;L$4,Angela_2025_Chase1117_Activity_!$B$2:$B$2300,"&lt;="&amp;EOMONTH(L$4,0),Angela_2025_Chase1117_Activity_!$G$2:$G$2300,$A53)</f>
        <v>4282.71</v>
      </c>
      <c r="M53" s="24">
        <f>SUMIFS(Angela_2025_Chase1117_Activity_!$D$2:$D$2300,Angela_2025_Chase1117_Activity_!$B$2:$B$2300,"&gt;="&amp;M$4,Angela_2025_Chase1117_Activity_!$B$2:$B$2300,"&lt;="&amp;EOMONTH(M$4,0),Angela_2025_Chase1117_Activity_!$G$2:$G$2300,$A53)</f>
        <v>175</v>
      </c>
      <c r="N53" s="24">
        <f>SUM(B53:M53)</f>
        <v>16346.96</v>
      </c>
    </row>
    <row r="54" spans="1:14" x14ac:dyDescent="0.25">
      <c r="A54" s="6" t="s">
        <v>1632</v>
      </c>
      <c r="B54" s="24">
        <f>SUMIFS(Angela_2025_Chase1117_Activity_!$D$2:$D$2300,Angela_2025_Chase1117_Activity_!$B$2:$B$2300,"&gt;="&amp;B$4,Angela_2025_Chase1117_Activity_!$B$2:$B$2300,"&lt;="&amp;EOMONTH(B$4,0),Angela_2025_Chase1117_Activity_!$G$2:$G$2300,$A54)</f>
        <v>-103</v>
      </c>
      <c r="C54" s="24">
        <f>SUMIFS(Angela_2025_Chase1117_Activity_!$D$2:$D$2300,Angela_2025_Chase1117_Activity_!$B$2:$B$2300,"&gt;="&amp;C$4,Angela_2025_Chase1117_Activity_!$B$2:$B$2300,"&lt;="&amp;EOMONTH(C$4,0),Angela_2025_Chase1117_Activity_!$G$2:$G$2300,$A54)</f>
        <v>-1403</v>
      </c>
      <c r="D54" s="24">
        <f>SUMIFS(Angela_2025_Chase1117_Activity_!$D$2:$D$2300,Angela_2025_Chase1117_Activity_!$B$2:$B$2300,"&gt;="&amp;D$4,Angela_2025_Chase1117_Activity_!$B$2:$B$2300,"&lt;="&amp;EOMONTH(D$4,0),Angela_2025_Chase1117_Activity_!$G$2:$G$2300,$A54)</f>
        <v>-5332.2</v>
      </c>
      <c r="E54" s="24">
        <f>SUMIFS(Angela_2025_Chase1117_Activity_!$D$2:$D$2300,Angela_2025_Chase1117_Activity_!$B$2:$B$2300,"&gt;="&amp;E$4,Angela_2025_Chase1117_Activity_!$B$2:$B$2300,"&lt;="&amp;EOMONTH(E$4,0),Angela_2025_Chase1117_Activity_!$G$2:$G$2300,$A54)</f>
        <v>-3978.5499999999997</v>
      </c>
      <c r="F54" s="24">
        <f>SUMIFS(Angela_2025_Chase1117_Activity_!$D$2:$D$2300,Angela_2025_Chase1117_Activity_!$B$2:$B$2300,"&gt;="&amp;F$4,Angela_2025_Chase1117_Activity_!$B$2:$B$2300,"&lt;="&amp;EOMONTH(F$4,0),Angela_2025_Chase1117_Activity_!$G$2:$G$2300,$A54)</f>
        <v>-1500</v>
      </c>
      <c r="G54" s="24">
        <f>SUMIFS(Angela_2025_Chase1117_Activity_!$D$2:$D$2300,Angela_2025_Chase1117_Activity_!$B$2:$B$2300,"&gt;="&amp;G$4,Angela_2025_Chase1117_Activity_!$B$2:$B$2300,"&lt;="&amp;EOMONTH(G$4,0),Angela_2025_Chase1117_Activity_!$G$2:$G$2300,$A54)</f>
        <v>-1900</v>
      </c>
      <c r="H54" s="24">
        <f>SUMIFS(Angela_2025_Chase1117_Activity_!$D$2:$D$2300,Angela_2025_Chase1117_Activity_!$B$2:$B$2300,"&gt;="&amp;H$4,Angela_2025_Chase1117_Activity_!$B$2:$B$2300,"&lt;="&amp;EOMONTH(H$4,0),Angela_2025_Chase1117_Activity_!$G$2:$G$2300,$A54)</f>
        <v>-1203.95</v>
      </c>
      <c r="I54" s="24">
        <f>SUMIFS(Angela_2025_Chase1117_Activity_!$D$2:$D$2300,Angela_2025_Chase1117_Activity_!$B$2:$B$2300,"&gt;="&amp;I$4,Angela_2025_Chase1117_Activity_!$B$2:$B$2300,"&lt;="&amp;EOMONTH(I$4,0),Angela_2025_Chase1117_Activity_!$G$2:$G$2300,$A54)</f>
        <v>-2211.5</v>
      </c>
      <c r="J54" s="24">
        <f>SUMIFS(Angela_2025_Chase1117_Activity_!$D$2:$D$2300,Angela_2025_Chase1117_Activity_!$B$2:$B$2300,"&gt;="&amp;J$4,Angela_2025_Chase1117_Activity_!$B$2:$B$2300,"&lt;="&amp;EOMONTH(J$4,0),Angela_2025_Chase1117_Activity_!$G$2:$G$2300,$A54)</f>
        <v>-1500</v>
      </c>
      <c r="K54" s="24">
        <f>SUMIFS(Angela_2025_Chase1117_Activity_!$D$2:$D$2300,Angela_2025_Chase1117_Activity_!$B$2:$B$2300,"&gt;="&amp;K$4,Angela_2025_Chase1117_Activity_!$B$2:$B$2300,"&lt;="&amp;EOMONTH(K$4,0),Angela_2025_Chase1117_Activity_!$G$2:$G$2300,$A54)</f>
        <v>-1000</v>
      </c>
      <c r="L54" s="24">
        <f>SUMIFS(Angela_2025_Chase1117_Activity_!$D$2:$D$2300,Angela_2025_Chase1117_Activity_!$B$2:$B$2300,"&gt;="&amp;L$4,Angela_2025_Chase1117_Activity_!$B$2:$B$2300,"&lt;="&amp;EOMONTH(L$4,0),Angela_2025_Chase1117_Activity_!$G$2:$G$2300,$A54)</f>
        <v>-2603.5</v>
      </c>
      <c r="M54" s="24">
        <f>SUMIFS(Angela_2025_Chase1117_Activity_!$D$2:$D$2300,Angela_2025_Chase1117_Activity_!$B$2:$B$2300,"&gt;="&amp;M$4,Angela_2025_Chase1117_Activity_!$B$2:$B$2300,"&lt;="&amp;EOMONTH(M$4,0),Angela_2025_Chase1117_Activity_!$G$2:$G$2300,$A54)</f>
        <v>-2891</v>
      </c>
      <c r="N54" s="24">
        <f>SUM(B54:M54)</f>
        <v>-25626.7</v>
      </c>
    </row>
    <row r="55" spans="1:14" x14ac:dyDescent="0.25">
      <c r="A55" s="6" t="s">
        <v>1476</v>
      </c>
      <c r="B55" s="24">
        <f>SUMIFS(Angela_2025_Chase1117_Activity_!$D$2:$D$2300,Angela_2025_Chase1117_Activity_!$B$2:$B$2300,"&gt;="&amp;B$4,Angela_2025_Chase1117_Activity_!$B$2:$B$2300,"&lt;="&amp;EOMONTH(B$4,0),Angela_2025_Chase1117_Activity_!$G$2:$G$2300,$A55)</f>
        <v>0</v>
      </c>
      <c r="C55" s="24">
        <f>SUMIFS(Angela_2025_Chase1117_Activity_!$D$2:$D$2300,Angela_2025_Chase1117_Activity_!$B$2:$B$2300,"&gt;="&amp;C$4,Angela_2025_Chase1117_Activity_!$B$2:$B$2300,"&lt;="&amp;EOMONTH(C$4,0),Angela_2025_Chase1117_Activity_!$G$2:$G$2300,$A55)</f>
        <v>0</v>
      </c>
      <c r="D55" s="24">
        <f>SUMIFS(Angela_2025_Chase1117_Activity_!$D$2:$D$2300,Angela_2025_Chase1117_Activity_!$B$2:$B$2300,"&gt;="&amp;D$4,Angela_2025_Chase1117_Activity_!$B$2:$B$2300,"&lt;="&amp;EOMONTH(D$4,0),Angela_2025_Chase1117_Activity_!$G$2:$G$2300,$A55)</f>
        <v>-375</v>
      </c>
      <c r="E55" s="24">
        <f>SUMIFS(Angela_2025_Chase1117_Activity_!$D$2:$D$2300,Angela_2025_Chase1117_Activity_!$B$2:$B$2300,"&gt;="&amp;E$4,Angela_2025_Chase1117_Activity_!$B$2:$B$2300,"&lt;="&amp;EOMONTH(E$4,0),Angela_2025_Chase1117_Activity_!$G$2:$G$2300,$A55)</f>
        <v>0</v>
      </c>
      <c r="F55" s="24">
        <f>SUMIFS(Angela_2025_Chase1117_Activity_!$D$2:$D$2300,Angela_2025_Chase1117_Activity_!$B$2:$B$2300,"&gt;="&amp;F$4,Angela_2025_Chase1117_Activity_!$B$2:$B$2300,"&lt;="&amp;EOMONTH(F$4,0),Angela_2025_Chase1117_Activity_!$G$2:$G$2300,$A55)</f>
        <v>0</v>
      </c>
      <c r="G55" s="24">
        <f>SUMIFS(Angela_2025_Chase1117_Activity_!$D$2:$D$2300,Angela_2025_Chase1117_Activity_!$B$2:$B$2300,"&gt;="&amp;G$4,Angela_2025_Chase1117_Activity_!$B$2:$B$2300,"&lt;="&amp;EOMONTH(G$4,0),Angela_2025_Chase1117_Activity_!$G$2:$G$2300,$A55)</f>
        <v>-150</v>
      </c>
      <c r="H55" s="24">
        <f>SUMIFS(Angela_2025_Chase1117_Activity_!$D$2:$D$2300,Angela_2025_Chase1117_Activity_!$B$2:$B$2300,"&gt;="&amp;H$4,Angela_2025_Chase1117_Activity_!$B$2:$B$2300,"&lt;="&amp;EOMONTH(H$4,0),Angela_2025_Chase1117_Activity_!$G$2:$G$2300,$A55)</f>
        <v>-1037</v>
      </c>
      <c r="I55" s="24">
        <f>SUMIFS(Angela_2025_Chase1117_Activity_!$D$2:$D$2300,Angela_2025_Chase1117_Activity_!$B$2:$B$2300,"&gt;="&amp;I$4,Angela_2025_Chase1117_Activity_!$B$2:$B$2300,"&lt;="&amp;EOMONTH(I$4,0),Angela_2025_Chase1117_Activity_!$G$2:$G$2300,$A55)</f>
        <v>-595</v>
      </c>
      <c r="J55" s="24">
        <f>SUMIFS(Angela_2025_Chase1117_Activity_!$D$2:$D$2300,Angela_2025_Chase1117_Activity_!$B$2:$B$2300,"&gt;="&amp;J$4,Angela_2025_Chase1117_Activity_!$B$2:$B$2300,"&lt;="&amp;EOMONTH(J$4,0),Angela_2025_Chase1117_Activity_!$G$2:$G$2300,$A55)</f>
        <v>0</v>
      </c>
      <c r="K55" s="24">
        <f>SUMIFS(Angela_2025_Chase1117_Activity_!$D$2:$D$2300,Angela_2025_Chase1117_Activity_!$B$2:$B$2300,"&gt;="&amp;K$4,Angela_2025_Chase1117_Activity_!$B$2:$B$2300,"&lt;="&amp;EOMONTH(K$4,0),Angela_2025_Chase1117_Activity_!$G$2:$G$2300,$A55)</f>
        <v>-125</v>
      </c>
      <c r="L55" s="24">
        <f>SUMIFS(Angela_2025_Chase1117_Activity_!$D$2:$D$2300,Angela_2025_Chase1117_Activity_!$B$2:$B$2300,"&gt;="&amp;L$4,Angela_2025_Chase1117_Activity_!$B$2:$B$2300,"&lt;="&amp;EOMONTH(L$4,0),Angela_2025_Chase1117_Activity_!$G$2:$G$2300,$A55)</f>
        <v>-75</v>
      </c>
      <c r="M55" s="24">
        <f>SUMIFS(Angela_2025_Chase1117_Activity_!$D$2:$D$2300,Angela_2025_Chase1117_Activity_!$B$2:$B$2300,"&gt;="&amp;M$4,Angela_2025_Chase1117_Activity_!$B$2:$B$2300,"&lt;="&amp;EOMONTH(M$4,0),Angela_2025_Chase1117_Activity_!$G$2:$G$2300,$A55)</f>
        <v>-18.329999999999998</v>
      </c>
      <c r="N55" s="24">
        <f>SUM(B55:M55)</f>
        <v>-2375.33</v>
      </c>
    </row>
    <row r="56" spans="1:14" x14ac:dyDescent="0.25">
      <c r="A56" s="7" t="s">
        <v>2633</v>
      </c>
      <c r="B56" s="25">
        <f>SUM(B5:B55)</f>
        <v>-1422.2199999999957</v>
      </c>
      <c r="C56" s="25">
        <f>SUM(C5:C55)</f>
        <v>1057.2199999999939</v>
      </c>
      <c r="D56" s="25">
        <f>SUM(D5:D55)</f>
        <v>9924.9300000000039</v>
      </c>
      <c r="E56" s="25">
        <f>SUM(E5:E55)</f>
        <v>-6642.32</v>
      </c>
      <c r="F56" s="25">
        <f>SUM(F5:F55)</f>
        <v>-3233.6599999999953</v>
      </c>
      <c r="G56" s="25">
        <f>SUM(G5:G55)</f>
        <v>1436.0000000000068</v>
      </c>
      <c r="H56" s="25">
        <f>SUM(H5:H55)</f>
        <v>4747.1900000000051</v>
      </c>
      <c r="I56" s="25">
        <f>SUM(I5:I55)</f>
        <v>-4908.1899999999978</v>
      </c>
      <c r="J56" s="25">
        <f>SUM(J5:J55)</f>
        <v>1783.6700000000064</v>
      </c>
      <c r="K56" s="25">
        <f>SUM(K5:K55)</f>
        <v>-2595.1499999999965</v>
      </c>
      <c r="L56" s="25">
        <f>SUM(L5:L55)</f>
        <v>24.30000000000291</v>
      </c>
      <c r="M56" s="25">
        <f>SUM(M5:M55)</f>
        <v>-1412.9900000000009</v>
      </c>
      <c r="N56" s="25">
        <f>SUM(N5:N55)</f>
        <v>-1241.2199999999702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C848-72E7-4275-95EE-A53995DDEB35}">
  <dimension ref="A1:B358"/>
  <sheetViews>
    <sheetView workbookViewId="0"/>
  </sheetViews>
  <sheetFormatPr defaultRowHeight="15" x14ac:dyDescent="0.25"/>
  <cols>
    <col min="1" max="1" width="23.7109375" bestFit="1" customWidth="1"/>
    <col min="2" max="2" width="33.28515625" bestFit="1" customWidth="1"/>
  </cols>
  <sheetData>
    <row r="1" spans="1:2" x14ac:dyDescent="0.25">
      <c r="A1" s="2" t="s">
        <v>1417</v>
      </c>
      <c r="B1" s="2" t="s">
        <v>1418</v>
      </c>
    </row>
    <row r="2" spans="1:2" x14ac:dyDescent="0.25">
      <c r="A2" t="s">
        <v>1419</v>
      </c>
      <c r="B2" t="s">
        <v>1420</v>
      </c>
    </row>
    <row r="3" spans="1:2" x14ac:dyDescent="0.25">
      <c r="A3" t="s">
        <v>1421</v>
      </c>
      <c r="B3" t="s">
        <v>1422</v>
      </c>
    </row>
    <row r="4" spans="1:2" x14ac:dyDescent="0.25">
      <c r="A4" t="s">
        <v>1423</v>
      </c>
      <c r="B4" t="s">
        <v>1422</v>
      </c>
    </row>
    <row r="5" spans="1:2" x14ac:dyDescent="0.25">
      <c r="A5" t="s">
        <v>1424</v>
      </c>
      <c r="B5" t="s">
        <v>1425</v>
      </c>
    </row>
    <row r="6" spans="1:2" x14ac:dyDescent="0.25">
      <c r="A6" t="s">
        <v>1426</v>
      </c>
      <c r="B6" t="s">
        <v>1427</v>
      </c>
    </row>
    <row r="7" spans="1:2" x14ac:dyDescent="0.25">
      <c r="A7" t="s">
        <v>1428</v>
      </c>
      <c r="B7" t="s">
        <v>1429</v>
      </c>
    </row>
    <row r="8" spans="1:2" x14ac:dyDescent="0.25">
      <c r="A8" t="s">
        <v>1430</v>
      </c>
      <c r="B8" t="s">
        <v>1429</v>
      </c>
    </row>
    <row r="9" spans="1:2" x14ac:dyDescent="0.25">
      <c r="A9" t="s">
        <v>1431</v>
      </c>
      <c r="B9" t="s">
        <v>1429</v>
      </c>
    </row>
    <row r="10" spans="1:2" x14ac:dyDescent="0.25">
      <c r="A10" t="s">
        <v>1432</v>
      </c>
      <c r="B10" t="s">
        <v>1429</v>
      </c>
    </row>
    <row r="11" spans="1:2" x14ac:dyDescent="0.25">
      <c r="A11" t="s">
        <v>1433</v>
      </c>
      <c r="B11" t="s">
        <v>1429</v>
      </c>
    </row>
    <row r="12" spans="1:2" x14ac:dyDescent="0.25">
      <c r="A12" t="s">
        <v>1434</v>
      </c>
      <c r="B12" t="s">
        <v>1435</v>
      </c>
    </row>
    <row r="13" spans="1:2" x14ac:dyDescent="0.25">
      <c r="A13" t="s">
        <v>1436</v>
      </c>
      <c r="B13" t="s">
        <v>1437</v>
      </c>
    </row>
    <row r="14" spans="1:2" x14ac:dyDescent="0.25">
      <c r="A14" t="s">
        <v>1438</v>
      </c>
      <c r="B14" t="s">
        <v>1439</v>
      </c>
    </row>
    <row r="15" spans="1:2" x14ac:dyDescent="0.25">
      <c r="A15" t="s">
        <v>1440</v>
      </c>
      <c r="B15" t="s">
        <v>1441</v>
      </c>
    </row>
    <row r="16" spans="1:2" x14ac:dyDescent="0.25">
      <c r="A16" t="s">
        <v>1442</v>
      </c>
      <c r="B16" t="s">
        <v>1443</v>
      </c>
    </row>
    <row r="17" spans="1:2" x14ac:dyDescent="0.25">
      <c r="A17" t="s">
        <v>1444</v>
      </c>
      <c r="B17" t="s">
        <v>1445</v>
      </c>
    </row>
    <row r="18" spans="1:2" x14ac:dyDescent="0.25">
      <c r="A18" t="s">
        <v>1446</v>
      </c>
      <c r="B18" t="s">
        <v>1447</v>
      </c>
    </row>
    <row r="19" spans="1:2" x14ac:dyDescent="0.25">
      <c r="A19" t="s">
        <v>1448</v>
      </c>
      <c r="B19" t="s">
        <v>1449</v>
      </c>
    </row>
    <row r="20" spans="1:2" x14ac:dyDescent="0.25">
      <c r="A20" t="s">
        <v>1450</v>
      </c>
      <c r="B20" t="s">
        <v>1451</v>
      </c>
    </row>
    <row r="21" spans="1:2" x14ac:dyDescent="0.25">
      <c r="A21" t="s">
        <v>1452</v>
      </c>
      <c r="B21" t="s">
        <v>1453</v>
      </c>
    </row>
    <row r="22" spans="1:2" x14ac:dyDescent="0.25">
      <c r="A22" t="s">
        <v>1454</v>
      </c>
      <c r="B22" t="s">
        <v>1455</v>
      </c>
    </row>
    <row r="23" spans="1:2" x14ac:dyDescent="0.25">
      <c r="A23" t="s">
        <v>1456</v>
      </c>
      <c r="B23" t="s">
        <v>1457</v>
      </c>
    </row>
    <row r="24" spans="1:2" x14ac:dyDescent="0.25">
      <c r="A24" t="s">
        <v>1458</v>
      </c>
      <c r="B24" t="s">
        <v>1459</v>
      </c>
    </row>
    <row r="25" spans="1:2" x14ac:dyDescent="0.25">
      <c r="A25" t="s">
        <v>1460</v>
      </c>
      <c r="B25" t="s">
        <v>1461</v>
      </c>
    </row>
    <row r="26" spans="1:2" x14ac:dyDescent="0.25">
      <c r="A26" t="s">
        <v>1462</v>
      </c>
      <c r="B26" t="s">
        <v>1463</v>
      </c>
    </row>
    <row r="27" spans="1:2" x14ac:dyDescent="0.25">
      <c r="A27" t="s">
        <v>1464</v>
      </c>
      <c r="B27" t="s">
        <v>1465</v>
      </c>
    </row>
    <row r="28" spans="1:2" x14ac:dyDescent="0.25">
      <c r="A28" t="s">
        <v>1466</v>
      </c>
      <c r="B28" t="s">
        <v>1467</v>
      </c>
    </row>
    <row r="29" spans="1:2" x14ac:dyDescent="0.25">
      <c r="A29" t="s">
        <v>1468</v>
      </c>
      <c r="B29" t="s">
        <v>1469</v>
      </c>
    </row>
    <row r="30" spans="1:2" x14ac:dyDescent="0.25">
      <c r="A30" t="s">
        <v>1470</v>
      </c>
      <c r="B30" t="s">
        <v>1471</v>
      </c>
    </row>
    <row r="31" spans="1:2" x14ac:dyDescent="0.25">
      <c r="A31" t="s">
        <v>1472</v>
      </c>
      <c r="B31" t="s">
        <v>1471</v>
      </c>
    </row>
    <row r="32" spans="1:2" x14ac:dyDescent="0.25">
      <c r="A32" t="s">
        <v>1473</v>
      </c>
      <c r="B32" t="s">
        <v>1474</v>
      </c>
    </row>
    <row r="33" spans="1:2" x14ac:dyDescent="0.25">
      <c r="A33" t="s">
        <v>1475</v>
      </c>
      <c r="B33" t="s">
        <v>1476</v>
      </c>
    </row>
    <row r="34" spans="1:2" x14ac:dyDescent="0.25">
      <c r="A34" t="s">
        <v>1477</v>
      </c>
      <c r="B34" t="s">
        <v>1476</v>
      </c>
    </row>
    <row r="35" spans="1:2" x14ac:dyDescent="0.25">
      <c r="A35" t="s">
        <v>1478</v>
      </c>
      <c r="B35" t="s">
        <v>1479</v>
      </c>
    </row>
    <row r="36" spans="1:2" x14ac:dyDescent="0.25">
      <c r="A36" t="s">
        <v>1480</v>
      </c>
      <c r="B36" t="s">
        <v>1479</v>
      </c>
    </row>
    <row r="37" spans="1:2" x14ac:dyDescent="0.25">
      <c r="A37" t="s">
        <v>1481</v>
      </c>
      <c r="B37" t="s">
        <v>1479</v>
      </c>
    </row>
    <row r="38" spans="1:2" x14ac:dyDescent="0.25">
      <c r="A38" t="s">
        <v>1482</v>
      </c>
      <c r="B38" t="s">
        <v>1479</v>
      </c>
    </row>
    <row r="39" spans="1:2" x14ac:dyDescent="0.25">
      <c r="A39" t="s">
        <v>1483</v>
      </c>
      <c r="B39" t="s">
        <v>1479</v>
      </c>
    </row>
    <row r="40" spans="1:2" x14ac:dyDescent="0.25">
      <c r="A40" t="s">
        <v>1484</v>
      </c>
      <c r="B40" t="s">
        <v>1479</v>
      </c>
    </row>
    <row r="41" spans="1:2" x14ac:dyDescent="0.25">
      <c r="A41" t="s">
        <v>1485</v>
      </c>
      <c r="B41" t="s">
        <v>1479</v>
      </c>
    </row>
    <row r="42" spans="1:2" x14ac:dyDescent="0.25">
      <c r="A42" t="s">
        <v>1486</v>
      </c>
      <c r="B42" t="s">
        <v>1479</v>
      </c>
    </row>
    <row r="43" spans="1:2" x14ac:dyDescent="0.25">
      <c r="A43" t="s">
        <v>1487</v>
      </c>
      <c r="B43" t="s">
        <v>1488</v>
      </c>
    </row>
    <row r="44" spans="1:2" x14ac:dyDescent="0.25">
      <c r="A44" t="s">
        <v>1489</v>
      </c>
      <c r="B44" t="s">
        <v>1488</v>
      </c>
    </row>
    <row r="45" spans="1:2" x14ac:dyDescent="0.25">
      <c r="A45" t="s">
        <v>1490</v>
      </c>
      <c r="B45" t="s">
        <v>1488</v>
      </c>
    </row>
    <row r="46" spans="1:2" x14ac:dyDescent="0.25">
      <c r="A46" t="s">
        <v>1491</v>
      </c>
      <c r="B46" t="s">
        <v>1488</v>
      </c>
    </row>
    <row r="47" spans="1:2" x14ac:dyDescent="0.25">
      <c r="A47" t="s">
        <v>1492</v>
      </c>
      <c r="B47" t="s">
        <v>1488</v>
      </c>
    </row>
    <row r="48" spans="1:2" x14ac:dyDescent="0.25">
      <c r="A48" t="s">
        <v>1493</v>
      </c>
      <c r="B48" t="s">
        <v>1488</v>
      </c>
    </row>
    <row r="49" spans="1:2" x14ac:dyDescent="0.25">
      <c r="A49" t="s">
        <v>1494</v>
      </c>
      <c r="B49" t="s">
        <v>1488</v>
      </c>
    </row>
    <row r="50" spans="1:2" x14ac:dyDescent="0.25">
      <c r="A50" t="s">
        <v>1495</v>
      </c>
      <c r="B50" t="s">
        <v>1488</v>
      </c>
    </row>
    <row r="51" spans="1:2" x14ac:dyDescent="0.25">
      <c r="A51" t="s">
        <v>1496</v>
      </c>
      <c r="B51" t="s">
        <v>1488</v>
      </c>
    </row>
    <row r="52" spans="1:2" x14ac:dyDescent="0.25">
      <c r="A52" t="s">
        <v>1497</v>
      </c>
      <c r="B52" t="s">
        <v>1488</v>
      </c>
    </row>
    <row r="53" spans="1:2" x14ac:dyDescent="0.25">
      <c r="A53" t="s">
        <v>1498</v>
      </c>
      <c r="B53" t="s">
        <v>1488</v>
      </c>
    </row>
    <row r="54" spans="1:2" x14ac:dyDescent="0.25">
      <c r="A54" t="s">
        <v>1499</v>
      </c>
      <c r="B54" t="s">
        <v>1488</v>
      </c>
    </row>
    <row r="55" spans="1:2" x14ac:dyDescent="0.25">
      <c r="A55" t="s">
        <v>1500</v>
      </c>
      <c r="B55" t="s">
        <v>1488</v>
      </c>
    </row>
    <row r="56" spans="1:2" x14ac:dyDescent="0.25">
      <c r="A56" t="s">
        <v>1501</v>
      </c>
      <c r="B56" t="s">
        <v>1488</v>
      </c>
    </row>
    <row r="57" spans="1:2" x14ac:dyDescent="0.25">
      <c r="A57" t="s">
        <v>1502</v>
      </c>
      <c r="B57" t="s">
        <v>1488</v>
      </c>
    </row>
    <row r="58" spans="1:2" x14ac:dyDescent="0.25">
      <c r="A58" t="s">
        <v>1503</v>
      </c>
      <c r="B58" t="s">
        <v>1488</v>
      </c>
    </row>
    <row r="59" spans="1:2" x14ac:dyDescent="0.25">
      <c r="A59" t="s">
        <v>1504</v>
      </c>
      <c r="B59" t="s">
        <v>1488</v>
      </c>
    </row>
    <row r="60" spans="1:2" x14ac:dyDescent="0.25">
      <c r="A60" t="s">
        <v>1505</v>
      </c>
      <c r="B60" t="s">
        <v>1488</v>
      </c>
    </row>
    <row r="61" spans="1:2" x14ac:dyDescent="0.25">
      <c r="A61" t="s">
        <v>1506</v>
      </c>
      <c r="B61" t="s">
        <v>1488</v>
      </c>
    </row>
    <row r="62" spans="1:2" x14ac:dyDescent="0.25">
      <c r="A62" t="s">
        <v>1507</v>
      </c>
      <c r="B62" t="s">
        <v>1488</v>
      </c>
    </row>
    <row r="63" spans="1:2" x14ac:dyDescent="0.25">
      <c r="A63" t="s">
        <v>1508</v>
      </c>
      <c r="B63" t="s">
        <v>1488</v>
      </c>
    </row>
    <row r="64" spans="1:2" x14ac:dyDescent="0.25">
      <c r="A64" t="s">
        <v>1509</v>
      </c>
      <c r="B64" t="s">
        <v>1488</v>
      </c>
    </row>
    <row r="65" spans="1:2" x14ac:dyDescent="0.25">
      <c r="A65" t="s">
        <v>1510</v>
      </c>
      <c r="B65" t="s">
        <v>1488</v>
      </c>
    </row>
    <row r="66" spans="1:2" x14ac:dyDescent="0.25">
      <c r="A66" t="s">
        <v>1511</v>
      </c>
      <c r="B66" t="s">
        <v>1488</v>
      </c>
    </row>
    <row r="67" spans="1:2" x14ac:dyDescent="0.25">
      <c r="A67" t="s">
        <v>1512</v>
      </c>
      <c r="B67" t="s">
        <v>1488</v>
      </c>
    </row>
    <row r="68" spans="1:2" x14ac:dyDescent="0.25">
      <c r="A68" t="s">
        <v>1513</v>
      </c>
      <c r="B68" t="s">
        <v>1463</v>
      </c>
    </row>
    <row r="69" spans="1:2" x14ac:dyDescent="0.25">
      <c r="A69" t="s">
        <v>1514</v>
      </c>
      <c r="B69" t="s">
        <v>1479</v>
      </c>
    </row>
    <row r="70" spans="1:2" x14ac:dyDescent="0.25">
      <c r="A70" t="s">
        <v>1515</v>
      </c>
      <c r="B70" t="s">
        <v>1479</v>
      </c>
    </row>
    <row r="71" spans="1:2" x14ac:dyDescent="0.25">
      <c r="A71" t="s">
        <v>1516</v>
      </c>
      <c r="B71" t="s">
        <v>1479</v>
      </c>
    </row>
    <row r="72" spans="1:2" x14ac:dyDescent="0.25">
      <c r="A72" t="s">
        <v>1517</v>
      </c>
      <c r="B72" t="s">
        <v>1479</v>
      </c>
    </row>
    <row r="73" spans="1:2" x14ac:dyDescent="0.25">
      <c r="A73" t="s">
        <v>1518</v>
      </c>
      <c r="B73" t="s">
        <v>1479</v>
      </c>
    </row>
    <row r="74" spans="1:2" x14ac:dyDescent="0.25">
      <c r="A74" t="s">
        <v>1519</v>
      </c>
      <c r="B74" t="s">
        <v>1479</v>
      </c>
    </row>
    <row r="75" spans="1:2" x14ac:dyDescent="0.25">
      <c r="A75" t="s">
        <v>1520</v>
      </c>
      <c r="B75" t="s">
        <v>1521</v>
      </c>
    </row>
    <row r="76" spans="1:2" x14ac:dyDescent="0.25">
      <c r="A76" t="s">
        <v>1522</v>
      </c>
      <c r="B76" t="s">
        <v>1521</v>
      </c>
    </row>
    <row r="77" spans="1:2" x14ac:dyDescent="0.25">
      <c r="A77" t="s">
        <v>1523</v>
      </c>
      <c r="B77" t="s">
        <v>1521</v>
      </c>
    </row>
    <row r="78" spans="1:2" x14ac:dyDescent="0.25">
      <c r="A78" t="s">
        <v>1524</v>
      </c>
      <c r="B78" t="s">
        <v>1521</v>
      </c>
    </row>
    <row r="79" spans="1:2" x14ac:dyDescent="0.25">
      <c r="A79" t="s">
        <v>1525</v>
      </c>
      <c r="B79" t="s">
        <v>1521</v>
      </c>
    </row>
    <row r="80" spans="1:2" x14ac:dyDescent="0.25">
      <c r="A80" t="s">
        <v>1526</v>
      </c>
      <c r="B80" t="s">
        <v>1521</v>
      </c>
    </row>
    <row r="81" spans="1:2" x14ac:dyDescent="0.25">
      <c r="A81" t="s">
        <v>1527</v>
      </c>
      <c r="B81" t="s">
        <v>1521</v>
      </c>
    </row>
    <row r="82" spans="1:2" x14ac:dyDescent="0.25">
      <c r="A82" t="s">
        <v>1528</v>
      </c>
      <c r="B82" t="s">
        <v>1521</v>
      </c>
    </row>
    <row r="83" spans="1:2" x14ac:dyDescent="0.25">
      <c r="A83" t="s">
        <v>1529</v>
      </c>
      <c r="B83" t="s">
        <v>1521</v>
      </c>
    </row>
    <row r="84" spans="1:2" x14ac:dyDescent="0.25">
      <c r="A84" t="s">
        <v>1530</v>
      </c>
      <c r="B84" t="s">
        <v>1521</v>
      </c>
    </row>
    <row r="85" spans="1:2" x14ac:dyDescent="0.25">
      <c r="A85" t="s">
        <v>1531</v>
      </c>
      <c r="B85" t="s">
        <v>1521</v>
      </c>
    </row>
    <row r="86" spans="1:2" x14ac:dyDescent="0.25">
      <c r="A86" t="s">
        <v>1532</v>
      </c>
      <c r="B86" t="s">
        <v>1521</v>
      </c>
    </row>
    <row r="87" spans="1:2" x14ac:dyDescent="0.25">
      <c r="A87" t="s">
        <v>1533</v>
      </c>
      <c r="B87" t="s">
        <v>1521</v>
      </c>
    </row>
    <row r="88" spans="1:2" x14ac:dyDescent="0.25">
      <c r="A88" t="s">
        <v>1534</v>
      </c>
      <c r="B88" t="s">
        <v>1521</v>
      </c>
    </row>
    <row r="89" spans="1:2" x14ac:dyDescent="0.25">
      <c r="A89" t="s">
        <v>1535</v>
      </c>
      <c r="B89" t="s">
        <v>1521</v>
      </c>
    </row>
    <row r="90" spans="1:2" x14ac:dyDescent="0.25">
      <c r="A90" t="s">
        <v>1536</v>
      </c>
      <c r="B90" t="s">
        <v>1521</v>
      </c>
    </row>
    <row r="91" spans="1:2" x14ac:dyDescent="0.25">
      <c r="A91" t="s">
        <v>1537</v>
      </c>
      <c r="B91" t="s">
        <v>1521</v>
      </c>
    </row>
    <row r="92" spans="1:2" x14ac:dyDescent="0.25">
      <c r="A92" t="s">
        <v>1538</v>
      </c>
      <c r="B92" t="s">
        <v>1521</v>
      </c>
    </row>
    <row r="93" spans="1:2" x14ac:dyDescent="0.25">
      <c r="A93" t="s">
        <v>1539</v>
      </c>
      <c r="B93" t="s">
        <v>1521</v>
      </c>
    </row>
    <row r="94" spans="1:2" x14ac:dyDescent="0.25">
      <c r="A94" t="s">
        <v>1540</v>
      </c>
      <c r="B94" t="s">
        <v>1521</v>
      </c>
    </row>
    <row r="95" spans="1:2" x14ac:dyDescent="0.25">
      <c r="A95" t="s">
        <v>1541</v>
      </c>
      <c r="B95" t="s">
        <v>1521</v>
      </c>
    </row>
    <row r="96" spans="1:2" x14ac:dyDescent="0.25">
      <c r="A96" t="s">
        <v>1542</v>
      </c>
      <c r="B96" t="s">
        <v>1521</v>
      </c>
    </row>
    <row r="97" spans="1:2" x14ac:dyDescent="0.25">
      <c r="A97" t="s">
        <v>1543</v>
      </c>
      <c r="B97" t="s">
        <v>1521</v>
      </c>
    </row>
    <row r="98" spans="1:2" x14ac:dyDescent="0.25">
      <c r="A98" t="s">
        <v>1544</v>
      </c>
      <c r="B98" t="s">
        <v>1521</v>
      </c>
    </row>
    <row r="99" spans="1:2" x14ac:dyDescent="0.25">
      <c r="A99" t="s">
        <v>1545</v>
      </c>
      <c r="B99" t="s">
        <v>1521</v>
      </c>
    </row>
    <row r="100" spans="1:2" x14ac:dyDescent="0.25">
      <c r="A100" t="s">
        <v>1546</v>
      </c>
      <c r="B100" t="s">
        <v>1521</v>
      </c>
    </row>
    <row r="101" spans="1:2" x14ac:dyDescent="0.25">
      <c r="A101" t="s">
        <v>1547</v>
      </c>
      <c r="B101" t="s">
        <v>1427</v>
      </c>
    </row>
    <row r="102" spans="1:2" x14ac:dyDescent="0.25">
      <c r="A102" t="s">
        <v>1548</v>
      </c>
      <c r="B102" t="s">
        <v>1549</v>
      </c>
    </row>
    <row r="103" spans="1:2" x14ac:dyDescent="0.25">
      <c r="A103" t="s">
        <v>1550</v>
      </c>
      <c r="B103" t="s">
        <v>1551</v>
      </c>
    </row>
    <row r="104" spans="1:2" x14ac:dyDescent="0.25">
      <c r="A104" t="s">
        <v>1552</v>
      </c>
      <c r="B104" t="s">
        <v>1551</v>
      </c>
    </row>
    <row r="105" spans="1:2" x14ac:dyDescent="0.25">
      <c r="A105" t="s">
        <v>1553</v>
      </c>
      <c r="B105" t="s">
        <v>1551</v>
      </c>
    </row>
    <row r="106" spans="1:2" x14ac:dyDescent="0.25">
      <c r="A106" t="s">
        <v>1554</v>
      </c>
      <c r="B106" t="s">
        <v>1551</v>
      </c>
    </row>
    <row r="107" spans="1:2" x14ac:dyDescent="0.25">
      <c r="A107" t="s">
        <v>1555</v>
      </c>
      <c r="B107" t="s">
        <v>1551</v>
      </c>
    </row>
    <row r="108" spans="1:2" x14ac:dyDescent="0.25">
      <c r="A108" t="s">
        <v>1556</v>
      </c>
      <c r="B108" t="s">
        <v>1551</v>
      </c>
    </row>
    <row r="109" spans="1:2" x14ac:dyDescent="0.25">
      <c r="A109" t="s">
        <v>1557</v>
      </c>
      <c r="B109" t="s">
        <v>1551</v>
      </c>
    </row>
    <row r="110" spans="1:2" x14ac:dyDescent="0.25">
      <c r="A110" t="s">
        <v>1558</v>
      </c>
      <c r="B110" t="s">
        <v>1551</v>
      </c>
    </row>
    <row r="111" spans="1:2" x14ac:dyDescent="0.25">
      <c r="A111" t="s">
        <v>1559</v>
      </c>
      <c r="B111" t="s">
        <v>1551</v>
      </c>
    </row>
    <row r="112" spans="1:2" x14ac:dyDescent="0.25">
      <c r="A112" t="s">
        <v>1560</v>
      </c>
      <c r="B112" t="s">
        <v>1551</v>
      </c>
    </row>
    <row r="113" spans="1:2" x14ac:dyDescent="0.25">
      <c r="A113" t="s">
        <v>1561</v>
      </c>
      <c r="B113" t="s">
        <v>1551</v>
      </c>
    </row>
    <row r="114" spans="1:2" x14ac:dyDescent="0.25">
      <c r="A114" t="s">
        <v>1562</v>
      </c>
      <c r="B114" t="s">
        <v>1551</v>
      </c>
    </row>
    <row r="115" spans="1:2" x14ac:dyDescent="0.25">
      <c r="A115" t="s">
        <v>1563</v>
      </c>
      <c r="B115" t="s">
        <v>1551</v>
      </c>
    </row>
    <row r="116" spans="1:2" x14ac:dyDescent="0.25">
      <c r="A116" t="s">
        <v>1564</v>
      </c>
      <c r="B116" t="s">
        <v>1551</v>
      </c>
    </row>
    <row r="117" spans="1:2" x14ac:dyDescent="0.25">
      <c r="A117" t="s">
        <v>1565</v>
      </c>
      <c r="B117" t="s">
        <v>1551</v>
      </c>
    </row>
    <row r="118" spans="1:2" x14ac:dyDescent="0.25">
      <c r="A118" t="s">
        <v>1566</v>
      </c>
      <c r="B118" t="s">
        <v>1551</v>
      </c>
    </row>
    <row r="119" spans="1:2" x14ac:dyDescent="0.25">
      <c r="A119" t="s">
        <v>1567</v>
      </c>
      <c r="B119" t="s">
        <v>1551</v>
      </c>
    </row>
    <row r="120" spans="1:2" x14ac:dyDescent="0.25">
      <c r="A120" t="s">
        <v>1568</v>
      </c>
      <c r="B120" t="s">
        <v>1551</v>
      </c>
    </row>
    <row r="121" spans="1:2" x14ac:dyDescent="0.25">
      <c r="A121" t="s">
        <v>1569</v>
      </c>
      <c r="B121" t="s">
        <v>1551</v>
      </c>
    </row>
    <row r="122" spans="1:2" x14ac:dyDescent="0.25">
      <c r="A122" t="s">
        <v>1570</v>
      </c>
      <c r="B122" t="s">
        <v>1551</v>
      </c>
    </row>
    <row r="123" spans="1:2" x14ac:dyDescent="0.25">
      <c r="A123" t="s">
        <v>1571</v>
      </c>
      <c r="B123" t="s">
        <v>1551</v>
      </c>
    </row>
    <row r="124" spans="1:2" x14ac:dyDescent="0.25">
      <c r="A124" t="s">
        <v>1572</v>
      </c>
      <c r="B124" t="s">
        <v>1551</v>
      </c>
    </row>
    <row r="125" spans="1:2" x14ac:dyDescent="0.25">
      <c r="A125" t="s">
        <v>1573</v>
      </c>
      <c r="B125" t="s">
        <v>1551</v>
      </c>
    </row>
    <row r="126" spans="1:2" x14ac:dyDescent="0.25">
      <c r="A126" t="s">
        <v>1574</v>
      </c>
      <c r="B126" t="s">
        <v>1551</v>
      </c>
    </row>
    <row r="127" spans="1:2" x14ac:dyDescent="0.25">
      <c r="A127" t="s">
        <v>1575</v>
      </c>
      <c r="B127" t="s">
        <v>1551</v>
      </c>
    </row>
    <row r="128" spans="1:2" x14ac:dyDescent="0.25">
      <c r="A128" t="s">
        <v>1576</v>
      </c>
      <c r="B128" t="s">
        <v>1551</v>
      </c>
    </row>
    <row r="129" spans="1:2" x14ac:dyDescent="0.25">
      <c r="A129" t="s">
        <v>1577</v>
      </c>
      <c r="B129" t="s">
        <v>1474</v>
      </c>
    </row>
    <row r="130" spans="1:2" x14ac:dyDescent="0.25">
      <c r="A130" t="s">
        <v>1578</v>
      </c>
      <c r="B130" t="s">
        <v>1474</v>
      </c>
    </row>
    <row r="131" spans="1:2" x14ac:dyDescent="0.25">
      <c r="A131" t="s">
        <v>1579</v>
      </c>
      <c r="B131" t="s">
        <v>1474</v>
      </c>
    </row>
    <row r="132" spans="1:2" x14ac:dyDescent="0.25">
      <c r="A132" t="s">
        <v>1580</v>
      </c>
      <c r="B132" t="s">
        <v>1474</v>
      </c>
    </row>
    <row r="133" spans="1:2" x14ac:dyDescent="0.25">
      <c r="A133" t="s">
        <v>1581</v>
      </c>
      <c r="B133" t="s">
        <v>1474</v>
      </c>
    </row>
    <row r="134" spans="1:2" x14ac:dyDescent="0.25">
      <c r="A134" t="s">
        <v>1582</v>
      </c>
      <c r="B134" t="s">
        <v>1474</v>
      </c>
    </row>
    <row r="135" spans="1:2" x14ac:dyDescent="0.25">
      <c r="A135" t="s">
        <v>1583</v>
      </c>
      <c r="B135" t="s">
        <v>1474</v>
      </c>
    </row>
    <row r="136" spans="1:2" x14ac:dyDescent="0.25">
      <c r="A136" t="s">
        <v>1584</v>
      </c>
      <c r="B136" t="s">
        <v>1585</v>
      </c>
    </row>
    <row r="137" spans="1:2" x14ac:dyDescent="0.25">
      <c r="A137" t="s">
        <v>1586</v>
      </c>
      <c r="B137" t="s">
        <v>1587</v>
      </c>
    </row>
    <row r="138" spans="1:2" x14ac:dyDescent="0.25">
      <c r="A138" t="s">
        <v>1588</v>
      </c>
      <c r="B138" t="s">
        <v>1587</v>
      </c>
    </row>
    <row r="139" spans="1:2" x14ac:dyDescent="0.25">
      <c r="A139" t="s">
        <v>1589</v>
      </c>
      <c r="B139" t="s">
        <v>1587</v>
      </c>
    </row>
    <row r="140" spans="1:2" x14ac:dyDescent="0.25">
      <c r="A140" t="s">
        <v>1590</v>
      </c>
      <c r="B140" t="s">
        <v>1587</v>
      </c>
    </row>
    <row r="141" spans="1:2" x14ac:dyDescent="0.25">
      <c r="A141" t="s">
        <v>1591</v>
      </c>
      <c r="B141" t="s">
        <v>1587</v>
      </c>
    </row>
    <row r="142" spans="1:2" x14ac:dyDescent="0.25">
      <c r="A142" t="s">
        <v>1592</v>
      </c>
      <c r="B142" t="s">
        <v>1587</v>
      </c>
    </row>
    <row r="143" spans="1:2" x14ac:dyDescent="0.25">
      <c r="A143" t="s">
        <v>1593</v>
      </c>
      <c r="B143" t="s">
        <v>1587</v>
      </c>
    </row>
    <row r="144" spans="1:2" x14ac:dyDescent="0.25">
      <c r="A144" t="s">
        <v>1594</v>
      </c>
      <c r="B144" t="s">
        <v>1587</v>
      </c>
    </row>
    <row r="145" spans="1:2" x14ac:dyDescent="0.25">
      <c r="A145" t="s">
        <v>1595</v>
      </c>
      <c r="B145" t="s">
        <v>1587</v>
      </c>
    </row>
    <row r="146" spans="1:2" x14ac:dyDescent="0.25">
      <c r="A146" t="s">
        <v>1596</v>
      </c>
      <c r="B146" t="s">
        <v>1587</v>
      </c>
    </row>
    <row r="147" spans="1:2" x14ac:dyDescent="0.25">
      <c r="A147" t="s">
        <v>1597</v>
      </c>
      <c r="B147" t="s">
        <v>1587</v>
      </c>
    </row>
    <row r="148" spans="1:2" x14ac:dyDescent="0.25">
      <c r="A148" t="s">
        <v>1598</v>
      </c>
      <c r="B148" t="s">
        <v>1587</v>
      </c>
    </row>
    <row r="149" spans="1:2" x14ac:dyDescent="0.25">
      <c r="A149" t="s">
        <v>1599</v>
      </c>
      <c r="B149" t="s">
        <v>1587</v>
      </c>
    </row>
    <row r="150" spans="1:2" x14ac:dyDescent="0.25">
      <c r="A150" t="s">
        <v>1600</v>
      </c>
      <c r="B150" t="s">
        <v>1587</v>
      </c>
    </row>
    <row r="151" spans="1:2" x14ac:dyDescent="0.25">
      <c r="A151" t="s">
        <v>1601</v>
      </c>
      <c r="B151" t="s">
        <v>1587</v>
      </c>
    </row>
    <row r="152" spans="1:2" x14ac:dyDescent="0.25">
      <c r="A152" t="s">
        <v>1602</v>
      </c>
      <c r="B152" t="s">
        <v>1587</v>
      </c>
    </row>
    <row r="153" spans="1:2" x14ac:dyDescent="0.25">
      <c r="A153" t="s">
        <v>1603</v>
      </c>
      <c r="B153" t="s">
        <v>1587</v>
      </c>
    </row>
    <row r="154" spans="1:2" x14ac:dyDescent="0.25">
      <c r="A154" t="s">
        <v>1604</v>
      </c>
      <c r="B154" t="s">
        <v>1587</v>
      </c>
    </row>
    <row r="155" spans="1:2" x14ac:dyDescent="0.25">
      <c r="A155" t="s">
        <v>1605</v>
      </c>
      <c r="B155" t="s">
        <v>1587</v>
      </c>
    </row>
    <row r="156" spans="1:2" x14ac:dyDescent="0.25">
      <c r="A156" t="s">
        <v>1606</v>
      </c>
      <c r="B156" t="s">
        <v>1587</v>
      </c>
    </row>
    <row r="157" spans="1:2" x14ac:dyDescent="0.25">
      <c r="A157" t="s">
        <v>1607</v>
      </c>
      <c r="B157" t="s">
        <v>1587</v>
      </c>
    </row>
    <row r="158" spans="1:2" x14ac:dyDescent="0.25">
      <c r="A158" t="s">
        <v>1608</v>
      </c>
      <c r="B158" t="s">
        <v>1587</v>
      </c>
    </row>
    <row r="159" spans="1:2" x14ac:dyDescent="0.25">
      <c r="A159" t="s">
        <v>1609</v>
      </c>
      <c r="B159" t="s">
        <v>1427</v>
      </c>
    </row>
    <row r="160" spans="1:2" x14ac:dyDescent="0.25">
      <c r="A160" t="s">
        <v>1610</v>
      </c>
      <c r="B160" t="s">
        <v>1427</v>
      </c>
    </row>
    <row r="161" spans="1:2" x14ac:dyDescent="0.25">
      <c r="A161" t="s">
        <v>1611</v>
      </c>
      <c r="B161" t="s">
        <v>1427</v>
      </c>
    </row>
    <row r="162" spans="1:2" x14ac:dyDescent="0.25">
      <c r="A162" t="s">
        <v>1612</v>
      </c>
      <c r="B162" t="s">
        <v>1427</v>
      </c>
    </row>
    <row r="163" spans="1:2" x14ac:dyDescent="0.25">
      <c r="A163" t="s">
        <v>1613</v>
      </c>
      <c r="B163" t="s">
        <v>1427</v>
      </c>
    </row>
    <row r="164" spans="1:2" x14ac:dyDescent="0.25">
      <c r="A164" t="s">
        <v>1614</v>
      </c>
      <c r="B164" t="s">
        <v>1615</v>
      </c>
    </row>
    <row r="165" spans="1:2" x14ac:dyDescent="0.25">
      <c r="A165" t="s">
        <v>1616</v>
      </c>
      <c r="B165" t="s">
        <v>1615</v>
      </c>
    </row>
    <row r="166" spans="1:2" x14ac:dyDescent="0.25">
      <c r="A166" t="s">
        <v>1617</v>
      </c>
      <c r="B166" t="s">
        <v>1429</v>
      </c>
    </row>
    <row r="167" spans="1:2" x14ac:dyDescent="0.25">
      <c r="A167" t="s">
        <v>1618</v>
      </c>
      <c r="B167" t="s">
        <v>1429</v>
      </c>
    </row>
    <row r="168" spans="1:2" x14ac:dyDescent="0.25">
      <c r="A168" t="s">
        <v>1619</v>
      </c>
      <c r="B168" t="s">
        <v>1429</v>
      </c>
    </row>
    <row r="169" spans="1:2" x14ac:dyDescent="0.25">
      <c r="A169" t="s">
        <v>1620</v>
      </c>
      <c r="B169" t="s">
        <v>1429</v>
      </c>
    </row>
    <row r="170" spans="1:2" x14ac:dyDescent="0.25">
      <c r="A170" t="s">
        <v>1621</v>
      </c>
      <c r="B170" t="s">
        <v>1429</v>
      </c>
    </row>
    <row r="171" spans="1:2" x14ac:dyDescent="0.25">
      <c r="A171" t="s">
        <v>1622</v>
      </c>
      <c r="B171" t="s">
        <v>1429</v>
      </c>
    </row>
    <row r="172" spans="1:2" x14ac:dyDescent="0.25">
      <c r="A172" t="s">
        <v>1623</v>
      </c>
      <c r="B172" t="s">
        <v>1429</v>
      </c>
    </row>
    <row r="173" spans="1:2" x14ac:dyDescent="0.25">
      <c r="A173" t="s">
        <v>1624</v>
      </c>
      <c r="B173" t="s">
        <v>1429</v>
      </c>
    </row>
    <row r="174" spans="1:2" x14ac:dyDescent="0.25">
      <c r="A174" t="s">
        <v>1625</v>
      </c>
      <c r="B174" t="s">
        <v>1429</v>
      </c>
    </row>
    <row r="175" spans="1:2" x14ac:dyDescent="0.25">
      <c r="A175" t="s">
        <v>1626</v>
      </c>
      <c r="B175" t="s">
        <v>1627</v>
      </c>
    </row>
    <row r="176" spans="1:2" x14ac:dyDescent="0.25">
      <c r="A176" t="s">
        <v>1628</v>
      </c>
      <c r="B176" t="s">
        <v>1627</v>
      </c>
    </row>
    <row r="177" spans="1:2" x14ac:dyDescent="0.25">
      <c r="A177" t="s">
        <v>1629</v>
      </c>
      <c r="B177" t="s">
        <v>1627</v>
      </c>
    </row>
    <row r="178" spans="1:2" x14ac:dyDescent="0.25">
      <c r="A178" t="s">
        <v>128</v>
      </c>
      <c r="B178" t="s">
        <v>1630</v>
      </c>
    </row>
    <row r="179" spans="1:2" x14ac:dyDescent="0.25">
      <c r="A179" t="s">
        <v>1631</v>
      </c>
      <c r="B179" t="s">
        <v>1632</v>
      </c>
    </row>
    <row r="180" spans="1:2" x14ac:dyDescent="0.25">
      <c r="A180" t="s">
        <v>1633</v>
      </c>
      <c r="B180" t="s">
        <v>1634</v>
      </c>
    </row>
    <row r="181" spans="1:2" x14ac:dyDescent="0.25">
      <c r="A181" t="s">
        <v>1635</v>
      </c>
      <c r="B181" t="s">
        <v>1521</v>
      </c>
    </row>
    <row r="182" spans="1:2" x14ac:dyDescent="0.25">
      <c r="A182" t="s">
        <v>1636</v>
      </c>
      <c r="B182" t="s">
        <v>1521</v>
      </c>
    </row>
    <row r="183" spans="1:2" x14ac:dyDescent="0.25">
      <c r="A183" t="s">
        <v>1637</v>
      </c>
      <c r="B183" t="s">
        <v>1638</v>
      </c>
    </row>
    <row r="184" spans="1:2" x14ac:dyDescent="0.25">
      <c r="A184" t="s">
        <v>1639</v>
      </c>
      <c r="B184" t="s">
        <v>1640</v>
      </c>
    </row>
    <row r="185" spans="1:2" x14ac:dyDescent="0.25">
      <c r="A185" t="s">
        <v>1641</v>
      </c>
      <c r="B185" t="s">
        <v>1642</v>
      </c>
    </row>
    <row r="186" spans="1:2" x14ac:dyDescent="0.25">
      <c r="A186" t="s">
        <v>1643</v>
      </c>
      <c r="B186" t="s">
        <v>1644</v>
      </c>
    </row>
    <row r="187" spans="1:2" x14ac:dyDescent="0.25">
      <c r="A187" t="s">
        <v>1645</v>
      </c>
      <c r="B187" t="s">
        <v>1479</v>
      </c>
    </row>
    <row r="188" spans="1:2" x14ac:dyDescent="0.25">
      <c r="A188" t="s">
        <v>1646</v>
      </c>
      <c r="B188" t="s">
        <v>1627</v>
      </c>
    </row>
    <row r="189" spans="1:2" x14ac:dyDescent="0.25">
      <c r="A189" t="s">
        <v>1647</v>
      </c>
      <c r="B189" t="s">
        <v>1648</v>
      </c>
    </row>
    <row r="190" spans="1:2" x14ac:dyDescent="0.25">
      <c r="A190" t="s">
        <v>1649</v>
      </c>
      <c r="B190" t="s">
        <v>1648</v>
      </c>
    </row>
    <row r="191" spans="1:2" x14ac:dyDescent="0.25">
      <c r="A191" t="s">
        <v>1650</v>
      </c>
      <c r="B191" t="s">
        <v>1648</v>
      </c>
    </row>
    <row r="192" spans="1:2" x14ac:dyDescent="0.25">
      <c r="A192" t="s">
        <v>1651</v>
      </c>
      <c r="B192" t="s">
        <v>1648</v>
      </c>
    </row>
    <row r="193" spans="1:2" x14ac:dyDescent="0.25">
      <c r="A193" t="s">
        <v>1652</v>
      </c>
      <c r="B193" t="s">
        <v>1648</v>
      </c>
    </row>
    <row r="194" spans="1:2" x14ac:dyDescent="0.25">
      <c r="A194" t="s">
        <v>1653</v>
      </c>
      <c r="B194" t="s">
        <v>1648</v>
      </c>
    </row>
    <row r="195" spans="1:2" x14ac:dyDescent="0.25">
      <c r="A195" t="s">
        <v>2414</v>
      </c>
      <c r="B195" t="s">
        <v>1476</v>
      </c>
    </row>
    <row r="196" spans="1:2" x14ac:dyDescent="0.25">
      <c r="A196" t="s">
        <v>2415</v>
      </c>
      <c r="B196" t="s">
        <v>1551</v>
      </c>
    </row>
    <row r="197" spans="1:2" x14ac:dyDescent="0.25">
      <c r="A197" t="s">
        <v>2416</v>
      </c>
      <c r="B197" t="s">
        <v>1587</v>
      </c>
    </row>
    <row r="198" spans="1:2" x14ac:dyDescent="0.25">
      <c r="A198" t="s">
        <v>2417</v>
      </c>
      <c r="B198" t="s">
        <v>1551</v>
      </c>
    </row>
    <row r="199" spans="1:2" x14ac:dyDescent="0.25">
      <c r="A199" t="s">
        <v>2418</v>
      </c>
      <c r="B199" t="s">
        <v>1488</v>
      </c>
    </row>
    <row r="200" spans="1:2" x14ac:dyDescent="0.25">
      <c r="A200" t="s">
        <v>2419</v>
      </c>
      <c r="B200" t="s">
        <v>1427</v>
      </c>
    </row>
    <row r="201" spans="1:2" x14ac:dyDescent="0.25">
      <c r="A201" t="s">
        <v>2420</v>
      </c>
      <c r="B201" t="s">
        <v>1427</v>
      </c>
    </row>
    <row r="202" spans="1:2" x14ac:dyDescent="0.25">
      <c r="A202" t="s">
        <v>2421</v>
      </c>
      <c r="B202" t="s">
        <v>1427</v>
      </c>
    </row>
    <row r="203" spans="1:2" x14ac:dyDescent="0.25">
      <c r="A203" t="s">
        <v>2422</v>
      </c>
      <c r="B203" t="s">
        <v>1479</v>
      </c>
    </row>
    <row r="204" spans="1:2" x14ac:dyDescent="0.25">
      <c r="A204" t="s">
        <v>2423</v>
      </c>
      <c r="B204" t="s">
        <v>1474</v>
      </c>
    </row>
    <row r="205" spans="1:2" x14ac:dyDescent="0.25">
      <c r="A205" t="s">
        <v>2424</v>
      </c>
      <c r="B205" t="s">
        <v>1474</v>
      </c>
    </row>
    <row r="206" spans="1:2" x14ac:dyDescent="0.25">
      <c r="A206" t="s">
        <v>2425</v>
      </c>
      <c r="B206" t="s">
        <v>1521</v>
      </c>
    </row>
    <row r="207" spans="1:2" x14ac:dyDescent="0.25">
      <c r="A207" t="s">
        <v>2426</v>
      </c>
      <c r="B207" t="s">
        <v>1488</v>
      </c>
    </row>
    <row r="208" spans="1:2" x14ac:dyDescent="0.25">
      <c r="A208" t="s">
        <v>2427</v>
      </c>
      <c r="B208" t="s">
        <v>1551</v>
      </c>
    </row>
    <row r="209" spans="1:2" x14ac:dyDescent="0.25">
      <c r="A209" t="s">
        <v>1441</v>
      </c>
      <c r="B209" t="s">
        <v>1441</v>
      </c>
    </row>
    <row r="210" spans="1:2" x14ac:dyDescent="0.25">
      <c r="A210" t="s">
        <v>2428</v>
      </c>
      <c r="B210" t="s">
        <v>1587</v>
      </c>
    </row>
    <row r="211" spans="1:2" x14ac:dyDescent="0.25">
      <c r="A211" t="s">
        <v>2429</v>
      </c>
      <c r="B211" t="s">
        <v>1551</v>
      </c>
    </row>
    <row r="212" spans="1:2" x14ac:dyDescent="0.25">
      <c r="A212" t="s">
        <v>2430</v>
      </c>
      <c r="B212" t="s">
        <v>1479</v>
      </c>
    </row>
    <row r="213" spans="1:2" x14ac:dyDescent="0.25">
      <c r="A213" t="s">
        <v>2431</v>
      </c>
      <c r="B213" t="s">
        <v>1474</v>
      </c>
    </row>
    <row r="214" spans="1:2" x14ac:dyDescent="0.25">
      <c r="A214" t="s">
        <v>2432</v>
      </c>
      <c r="B214" t="s">
        <v>2433</v>
      </c>
    </row>
    <row r="215" spans="1:2" x14ac:dyDescent="0.25">
      <c r="A215" t="s">
        <v>2434</v>
      </c>
      <c r="B215" t="s">
        <v>1471</v>
      </c>
    </row>
    <row r="216" spans="1:2" x14ac:dyDescent="0.25">
      <c r="A216" t="s">
        <v>2435</v>
      </c>
      <c r="B216" t="s">
        <v>1521</v>
      </c>
    </row>
    <row r="217" spans="1:2" x14ac:dyDescent="0.25">
      <c r="A217" t="s">
        <v>2436</v>
      </c>
      <c r="B217" t="s">
        <v>1427</v>
      </c>
    </row>
    <row r="218" spans="1:2" x14ac:dyDescent="0.25">
      <c r="A218" t="s">
        <v>2437</v>
      </c>
      <c r="B218" t="s">
        <v>1474</v>
      </c>
    </row>
    <row r="219" spans="1:2" x14ac:dyDescent="0.25">
      <c r="A219" t="s">
        <v>2438</v>
      </c>
      <c r="B219" t="s">
        <v>1437</v>
      </c>
    </row>
    <row r="220" spans="1:2" x14ac:dyDescent="0.25">
      <c r="A220" t="s">
        <v>2439</v>
      </c>
      <c r="B220" t="s">
        <v>1551</v>
      </c>
    </row>
    <row r="221" spans="1:2" x14ac:dyDescent="0.25">
      <c r="A221" t="s">
        <v>2440</v>
      </c>
      <c r="B221" t="s">
        <v>1479</v>
      </c>
    </row>
    <row r="222" spans="1:2" x14ac:dyDescent="0.25">
      <c r="A222" t="s">
        <v>2441</v>
      </c>
      <c r="B222" t="s">
        <v>1551</v>
      </c>
    </row>
    <row r="223" spans="1:2" x14ac:dyDescent="0.25">
      <c r="A223" t="s">
        <v>2442</v>
      </c>
      <c r="B223" t="s">
        <v>1474</v>
      </c>
    </row>
    <row r="224" spans="1:2" x14ac:dyDescent="0.25">
      <c r="A224" t="s">
        <v>2443</v>
      </c>
      <c r="B224" t="s">
        <v>1488</v>
      </c>
    </row>
    <row r="225" spans="1:2" x14ac:dyDescent="0.25">
      <c r="A225" t="s">
        <v>2444</v>
      </c>
      <c r="B225" t="s">
        <v>2445</v>
      </c>
    </row>
    <row r="226" spans="1:2" x14ac:dyDescent="0.25">
      <c r="A226" t="s">
        <v>2446</v>
      </c>
      <c r="B226" t="s">
        <v>1551</v>
      </c>
    </row>
    <row r="227" spans="1:2" x14ac:dyDescent="0.25">
      <c r="A227" t="s">
        <v>2447</v>
      </c>
      <c r="B227" t="s">
        <v>1479</v>
      </c>
    </row>
    <row r="228" spans="1:2" x14ac:dyDescent="0.25">
      <c r="A228" t="s">
        <v>2448</v>
      </c>
      <c r="B228" t="s">
        <v>1479</v>
      </c>
    </row>
    <row r="229" spans="1:2" x14ac:dyDescent="0.25">
      <c r="A229" t="s">
        <v>2449</v>
      </c>
      <c r="B229" t="s">
        <v>1587</v>
      </c>
    </row>
    <row r="230" spans="1:2" x14ac:dyDescent="0.25">
      <c r="A230" t="s">
        <v>2450</v>
      </c>
      <c r="B230" t="s">
        <v>2451</v>
      </c>
    </row>
    <row r="231" spans="1:2" x14ac:dyDescent="0.25">
      <c r="A231" t="s">
        <v>2452</v>
      </c>
      <c r="B231" t="s">
        <v>1551</v>
      </c>
    </row>
    <row r="232" spans="1:2" x14ac:dyDescent="0.25">
      <c r="A232" t="s">
        <v>2453</v>
      </c>
      <c r="B232" t="s">
        <v>1551</v>
      </c>
    </row>
    <row r="233" spans="1:2" x14ac:dyDescent="0.25">
      <c r="A233" t="s">
        <v>2454</v>
      </c>
      <c r="B233" t="s">
        <v>1551</v>
      </c>
    </row>
    <row r="234" spans="1:2" x14ac:dyDescent="0.25">
      <c r="A234" t="s">
        <v>2455</v>
      </c>
      <c r="B234" t="s">
        <v>1634</v>
      </c>
    </row>
    <row r="235" spans="1:2" x14ac:dyDescent="0.25">
      <c r="A235" t="s">
        <v>2456</v>
      </c>
      <c r="B235" t="s">
        <v>1488</v>
      </c>
    </row>
    <row r="236" spans="1:2" x14ac:dyDescent="0.25">
      <c r="A236" t="s">
        <v>2457</v>
      </c>
      <c r="B236" t="s">
        <v>1488</v>
      </c>
    </row>
    <row r="237" spans="1:2" x14ac:dyDescent="0.25">
      <c r="A237" t="s">
        <v>2458</v>
      </c>
      <c r="B237" t="s">
        <v>1429</v>
      </c>
    </row>
    <row r="238" spans="1:2" x14ac:dyDescent="0.25">
      <c r="A238" t="s">
        <v>2459</v>
      </c>
      <c r="B238" t="s">
        <v>1488</v>
      </c>
    </row>
    <row r="239" spans="1:2" x14ac:dyDescent="0.25">
      <c r="A239" t="s">
        <v>2460</v>
      </c>
      <c r="B239" t="s">
        <v>1429</v>
      </c>
    </row>
    <row r="240" spans="1:2" x14ac:dyDescent="0.25">
      <c r="A240" t="s">
        <v>2461</v>
      </c>
      <c r="B240" t="s">
        <v>1479</v>
      </c>
    </row>
    <row r="241" spans="1:2" x14ac:dyDescent="0.25">
      <c r="A241" t="s">
        <v>2462</v>
      </c>
      <c r="B241" t="s">
        <v>1521</v>
      </c>
    </row>
    <row r="242" spans="1:2" x14ac:dyDescent="0.25">
      <c r="A242" t="s">
        <v>2463</v>
      </c>
      <c r="B242" t="s">
        <v>1474</v>
      </c>
    </row>
    <row r="243" spans="1:2" x14ac:dyDescent="0.25">
      <c r="A243" t="s">
        <v>2464</v>
      </c>
      <c r="B243" t="s">
        <v>1521</v>
      </c>
    </row>
    <row r="244" spans="1:2" x14ac:dyDescent="0.25">
      <c r="A244" t="s">
        <v>2465</v>
      </c>
      <c r="B244" t="s">
        <v>1479</v>
      </c>
    </row>
    <row r="245" spans="1:2" x14ac:dyDescent="0.25">
      <c r="A245" t="s">
        <v>2466</v>
      </c>
      <c r="B245" t="s">
        <v>1474</v>
      </c>
    </row>
    <row r="246" spans="1:2" x14ac:dyDescent="0.25">
      <c r="A246" t="s">
        <v>2467</v>
      </c>
      <c r="B246" t="s">
        <v>1479</v>
      </c>
    </row>
    <row r="247" spans="1:2" x14ac:dyDescent="0.25">
      <c r="A247" t="s">
        <v>2468</v>
      </c>
      <c r="B247" t="s">
        <v>1479</v>
      </c>
    </row>
    <row r="248" spans="1:2" x14ac:dyDescent="0.25">
      <c r="A248" t="s">
        <v>2469</v>
      </c>
      <c r="B248" t="s">
        <v>2470</v>
      </c>
    </row>
    <row r="249" spans="1:2" x14ac:dyDescent="0.25">
      <c r="A249" t="s">
        <v>2471</v>
      </c>
      <c r="B249" t="s">
        <v>1587</v>
      </c>
    </row>
    <row r="250" spans="1:2" x14ac:dyDescent="0.25">
      <c r="A250" t="s">
        <v>2472</v>
      </c>
      <c r="B250" t="s">
        <v>1474</v>
      </c>
    </row>
    <row r="251" spans="1:2" x14ac:dyDescent="0.25">
      <c r="A251" t="s">
        <v>2473</v>
      </c>
      <c r="B251" t="s">
        <v>1479</v>
      </c>
    </row>
    <row r="252" spans="1:2" x14ac:dyDescent="0.25">
      <c r="A252" t="s">
        <v>2474</v>
      </c>
      <c r="B252" t="s">
        <v>1551</v>
      </c>
    </row>
    <row r="253" spans="1:2" x14ac:dyDescent="0.25">
      <c r="A253" t="s">
        <v>2475</v>
      </c>
      <c r="B253" t="s">
        <v>1427</v>
      </c>
    </row>
    <row r="254" spans="1:2" x14ac:dyDescent="0.25">
      <c r="A254" t="s">
        <v>2476</v>
      </c>
      <c r="B254" t="s">
        <v>1587</v>
      </c>
    </row>
    <row r="255" spans="1:2" x14ac:dyDescent="0.25">
      <c r="A255" t="s">
        <v>2477</v>
      </c>
      <c r="B255" t="s">
        <v>1479</v>
      </c>
    </row>
    <row r="256" spans="1:2" x14ac:dyDescent="0.25">
      <c r="A256" t="s">
        <v>2478</v>
      </c>
      <c r="B256" t="s">
        <v>1551</v>
      </c>
    </row>
    <row r="257" spans="1:2" x14ac:dyDescent="0.25">
      <c r="A257" t="s">
        <v>2479</v>
      </c>
      <c r="B257" t="s">
        <v>1479</v>
      </c>
    </row>
    <row r="258" spans="1:2" x14ac:dyDescent="0.25">
      <c r="A258" t="s">
        <v>2480</v>
      </c>
      <c r="B258" t="s">
        <v>1521</v>
      </c>
    </row>
    <row r="259" spans="1:2" x14ac:dyDescent="0.25">
      <c r="A259" t="s">
        <v>2481</v>
      </c>
      <c r="B259" t="s">
        <v>1488</v>
      </c>
    </row>
    <row r="260" spans="1:2" x14ac:dyDescent="0.25">
      <c r="A260" t="s">
        <v>2482</v>
      </c>
      <c r="B260" t="s">
        <v>1429</v>
      </c>
    </row>
    <row r="261" spans="1:2" x14ac:dyDescent="0.25">
      <c r="A261" t="s">
        <v>2483</v>
      </c>
      <c r="B261" t="s">
        <v>2484</v>
      </c>
    </row>
    <row r="262" spans="1:2" x14ac:dyDescent="0.25">
      <c r="A262" t="s">
        <v>2485</v>
      </c>
      <c r="B262" t="s">
        <v>1488</v>
      </c>
    </row>
    <row r="263" spans="1:2" x14ac:dyDescent="0.25">
      <c r="A263" t="s">
        <v>2486</v>
      </c>
      <c r="B263" t="s">
        <v>1551</v>
      </c>
    </row>
    <row r="264" spans="1:2" x14ac:dyDescent="0.25">
      <c r="A264" t="s">
        <v>2487</v>
      </c>
      <c r="B264" t="s">
        <v>1551</v>
      </c>
    </row>
    <row r="265" spans="1:2" x14ac:dyDescent="0.25">
      <c r="A265" t="s">
        <v>2488</v>
      </c>
      <c r="B265" t="s">
        <v>1479</v>
      </c>
    </row>
    <row r="266" spans="1:2" x14ac:dyDescent="0.25">
      <c r="A266" t="s">
        <v>2489</v>
      </c>
      <c r="B266" t="s">
        <v>1551</v>
      </c>
    </row>
    <row r="267" spans="1:2" x14ac:dyDescent="0.25">
      <c r="A267" t="s">
        <v>2490</v>
      </c>
      <c r="B267" t="s">
        <v>1551</v>
      </c>
    </row>
    <row r="268" spans="1:2" x14ac:dyDescent="0.25">
      <c r="A268" t="s">
        <v>2491</v>
      </c>
      <c r="B268" t="s">
        <v>1551</v>
      </c>
    </row>
    <row r="269" spans="1:2" x14ac:dyDescent="0.25">
      <c r="A269" t="s">
        <v>2492</v>
      </c>
      <c r="B269" t="s">
        <v>1488</v>
      </c>
    </row>
    <row r="270" spans="1:2" x14ac:dyDescent="0.25">
      <c r="A270" t="s">
        <v>2493</v>
      </c>
      <c r="B270" t="s">
        <v>1551</v>
      </c>
    </row>
    <row r="271" spans="1:2" x14ac:dyDescent="0.25">
      <c r="A271" t="s">
        <v>2494</v>
      </c>
      <c r="B271" t="s">
        <v>1474</v>
      </c>
    </row>
    <row r="272" spans="1:2" x14ac:dyDescent="0.25">
      <c r="A272" t="s">
        <v>2495</v>
      </c>
      <c r="B272" t="s">
        <v>1479</v>
      </c>
    </row>
    <row r="273" spans="1:2" x14ac:dyDescent="0.25">
      <c r="A273" t="s">
        <v>2496</v>
      </c>
      <c r="B273" t="s">
        <v>1521</v>
      </c>
    </row>
    <row r="274" spans="1:2" x14ac:dyDescent="0.25">
      <c r="A274" t="s">
        <v>2497</v>
      </c>
      <c r="B274" t="s">
        <v>1587</v>
      </c>
    </row>
    <row r="275" spans="1:2" x14ac:dyDescent="0.25">
      <c r="A275" t="s">
        <v>2498</v>
      </c>
      <c r="B275" t="s">
        <v>1521</v>
      </c>
    </row>
    <row r="276" spans="1:2" x14ac:dyDescent="0.25">
      <c r="A276" t="s">
        <v>2499</v>
      </c>
      <c r="B276" t="s">
        <v>1429</v>
      </c>
    </row>
    <row r="277" spans="1:2" x14ac:dyDescent="0.25">
      <c r="A277" t="s">
        <v>2500</v>
      </c>
      <c r="B277" t="s">
        <v>1429</v>
      </c>
    </row>
    <row r="278" spans="1:2" x14ac:dyDescent="0.25">
      <c r="A278" t="s">
        <v>2501</v>
      </c>
      <c r="B278" t="s">
        <v>1479</v>
      </c>
    </row>
    <row r="279" spans="1:2" x14ac:dyDescent="0.25">
      <c r="A279" t="s">
        <v>2502</v>
      </c>
      <c r="B279" t="s">
        <v>1488</v>
      </c>
    </row>
    <row r="280" spans="1:2" x14ac:dyDescent="0.25">
      <c r="A280" t="s">
        <v>2503</v>
      </c>
      <c r="B280" t="s">
        <v>1476</v>
      </c>
    </row>
    <row r="281" spans="1:2" x14ac:dyDescent="0.25">
      <c r="A281" t="s">
        <v>2504</v>
      </c>
      <c r="B281" t="s">
        <v>1488</v>
      </c>
    </row>
    <row r="282" spans="1:2" x14ac:dyDescent="0.25">
      <c r="A282" t="s">
        <v>2505</v>
      </c>
      <c r="B282" t="s">
        <v>1551</v>
      </c>
    </row>
    <row r="283" spans="1:2" x14ac:dyDescent="0.25">
      <c r="A283" t="s">
        <v>2506</v>
      </c>
      <c r="B283" t="s">
        <v>1551</v>
      </c>
    </row>
    <row r="284" spans="1:2" x14ac:dyDescent="0.25">
      <c r="A284" t="s">
        <v>2507</v>
      </c>
      <c r="B284" t="s">
        <v>1587</v>
      </c>
    </row>
    <row r="285" spans="1:2" x14ac:dyDescent="0.25">
      <c r="A285" t="s">
        <v>2508</v>
      </c>
      <c r="B285" t="s">
        <v>1479</v>
      </c>
    </row>
    <row r="286" spans="1:2" x14ac:dyDescent="0.25">
      <c r="A286" t="s">
        <v>2509</v>
      </c>
      <c r="B286" t="s">
        <v>1476</v>
      </c>
    </row>
    <row r="287" spans="1:2" x14ac:dyDescent="0.25">
      <c r="A287" t="s">
        <v>2510</v>
      </c>
      <c r="B287" t="s">
        <v>1427</v>
      </c>
    </row>
    <row r="288" spans="1:2" x14ac:dyDescent="0.25">
      <c r="A288" t="s">
        <v>2511</v>
      </c>
      <c r="B288" t="s">
        <v>1627</v>
      </c>
    </row>
    <row r="289" spans="1:2" x14ac:dyDescent="0.25">
      <c r="A289" t="s">
        <v>2512</v>
      </c>
      <c r="B289" t="s">
        <v>1521</v>
      </c>
    </row>
    <row r="290" spans="1:2" x14ac:dyDescent="0.25">
      <c r="A290" t="s">
        <v>2513</v>
      </c>
      <c r="B290" t="s">
        <v>1479</v>
      </c>
    </row>
    <row r="291" spans="1:2" x14ac:dyDescent="0.25">
      <c r="A291" t="s">
        <v>2514</v>
      </c>
      <c r="B291" t="s">
        <v>1488</v>
      </c>
    </row>
    <row r="292" spans="1:2" x14ac:dyDescent="0.25">
      <c r="A292" t="s">
        <v>2515</v>
      </c>
      <c r="B292" t="s">
        <v>1469</v>
      </c>
    </row>
    <row r="293" spans="1:2" x14ac:dyDescent="0.25">
      <c r="A293" t="s">
        <v>2516</v>
      </c>
      <c r="B293" t="s">
        <v>2517</v>
      </c>
    </row>
    <row r="294" spans="1:2" x14ac:dyDescent="0.25">
      <c r="A294" t="s">
        <v>2518</v>
      </c>
      <c r="B294" t="s">
        <v>1488</v>
      </c>
    </row>
    <row r="295" spans="1:2" x14ac:dyDescent="0.25">
      <c r="A295" t="s">
        <v>2519</v>
      </c>
      <c r="B295" t="s">
        <v>1627</v>
      </c>
    </row>
    <row r="296" spans="1:2" x14ac:dyDescent="0.25">
      <c r="A296" t="s">
        <v>2520</v>
      </c>
      <c r="B296" t="s">
        <v>2521</v>
      </c>
    </row>
    <row r="297" spans="1:2" x14ac:dyDescent="0.25">
      <c r="A297" t="s">
        <v>2522</v>
      </c>
      <c r="B297" t="s">
        <v>1551</v>
      </c>
    </row>
    <row r="298" spans="1:2" x14ac:dyDescent="0.25">
      <c r="A298" t="s">
        <v>2523</v>
      </c>
      <c r="B298" t="s">
        <v>1627</v>
      </c>
    </row>
    <row r="299" spans="1:2" x14ac:dyDescent="0.25">
      <c r="A299" t="s">
        <v>2524</v>
      </c>
      <c r="B299" t="s">
        <v>1627</v>
      </c>
    </row>
    <row r="300" spans="1:2" x14ac:dyDescent="0.25">
      <c r="A300" t="s">
        <v>2525</v>
      </c>
      <c r="B300" t="s">
        <v>1429</v>
      </c>
    </row>
    <row r="301" spans="1:2" x14ac:dyDescent="0.25">
      <c r="A301" t="s">
        <v>2526</v>
      </c>
      <c r="B301" t="s">
        <v>1521</v>
      </c>
    </row>
    <row r="302" spans="1:2" x14ac:dyDescent="0.25">
      <c r="A302" t="s">
        <v>2527</v>
      </c>
      <c r="B302" t="s">
        <v>2528</v>
      </c>
    </row>
    <row r="303" spans="1:2" x14ac:dyDescent="0.25">
      <c r="A303" t="s">
        <v>2529</v>
      </c>
      <c r="B303" t="s">
        <v>1587</v>
      </c>
    </row>
    <row r="304" spans="1:2" x14ac:dyDescent="0.25">
      <c r="A304" t="s">
        <v>2530</v>
      </c>
      <c r="B304" t="s">
        <v>1587</v>
      </c>
    </row>
    <row r="305" spans="1:2" x14ac:dyDescent="0.25">
      <c r="A305" t="s">
        <v>2531</v>
      </c>
      <c r="B305" t="s">
        <v>1474</v>
      </c>
    </row>
    <row r="306" spans="1:2" x14ac:dyDescent="0.25">
      <c r="A306" t="s">
        <v>2532</v>
      </c>
      <c r="B306" t="s">
        <v>1587</v>
      </c>
    </row>
    <row r="307" spans="1:2" x14ac:dyDescent="0.25">
      <c r="A307" t="s">
        <v>2533</v>
      </c>
      <c r="B307" t="s">
        <v>1427</v>
      </c>
    </row>
    <row r="308" spans="1:2" x14ac:dyDescent="0.25">
      <c r="A308" t="s">
        <v>2534</v>
      </c>
      <c r="B308" t="s">
        <v>1521</v>
      </c>
    </row>
    <row r="309" spans="1:2" x14ac:dyDescent="0.25">
      <c r="A309" t="s">
        <v>2535</v>
      </c>
      <c r="B309" t="s">
        <v>1479</v>
      </c>
    </row>
    <row r="310" spans="1:2" x14ac:dyDescent="0.25">
      <c r="A310" t="s">
        <v>2536</v>
      </c>
      <c r="B310" t="s">
        <v>1521</v>
      </c>
    </row>
    <row r="311" spans="1:2" x14ac:dyDescent="0.25">
      <c r="A311" t="s">
        <v>2537</v>
      </c>
      <c r="B311" t="s">
        <v>1521</v>
      </c>
    </row>
    <row r="312" spans="1:2" x14ac:dyDescent="0.25">
      <c r="A312" t="s">
        <v>2538</v>
      </c>
      <c r="B312" t="s">
        <v>1488</v>
      </c>
    </row>
    <row r="313" spans="1:2" x14ac:dyDescent="0.25">
      <c r="A313" t="s">
        <v>2539</v>
      </c>
      <c r="B313" t="s">
        <v>1627</v>
      </c>
    </row>
    <row r="314" spans="1:2" x14ac:dyDescent="0.25">
      <c r="A314" t="s">
        <v>2540</v>
      </c>
      <c r="B314" t="s">
        <v>1521</v>
      </c>
    </row>
    <row r="315" spans="1:2" x14ac:dyDescent="0.25">
      <c r="A315" t="s">
        <v>2541</v>
      </c>
      <c r="B315" t="s">
        <v>1521</v>
      </c>
    </row>
    <row r="316" spans="1:2" x14ac:dyDescent="0.25">
      <c r="A316" t="s">
        <v>2542</v>
      </c>
      <c r="B316" t="s">
        <v>1474</v>
      </c>
    </row>
    <row r="317" spans="1:2" x14ac:dyDescent="0.25">
      <c r="A317" t="s">
        <v>2543</v>
      </c>
      <c r="B317" t="s">
        <v>1474</v>
      </c>
    </row>
    <row r="318" spans="1:2" x14ac:dyDescent="0.25">
      <c r="A318" t="s">
        <v>2544</v>
      </c>
      <c r="B318" t="s">
        <v>1429</v>
      </c>
    </row>
    <row r="319" spans="1:2" x14ac:dyDescent="0.25">
      <c r="A319" t="s">
        <v>2545</v>
      </c>
      <c r="B319" t="s">
        <v>1474</v>
      </c>
    </row>
    <row r="320" spans="1:2" x14ac:dyDescent="0.25">
      <c r="A320" t="s">
        <v>2546</v>
      </c>
      <c r="B320" t="s">
        <v>1420</v>
      </c>
    </row>
    <row r="321" spans="1:2" x14ac:dyDescent="0.25">
      <c r="A321" t="s">
        <v>2547</v>
      </c>
      <c r="B321" t="s">
        <v>1551</v>
      </c>
    </row>
    <row r="322" spans="1:2" x14ac:dyDescent="0.25">
      <c r="A322" t="s">
        <v>2548</v>
      </c>
      <c r="B322" t="s">
        <v>1551</v>
      </c>
    </row>
    <row r="323" spans="1:2" x14ac:dyDescent="0.25">
      <c r="A323" t="s">
        <v>2549</v>
      </c>
      <c r="B323" t="s">
        <v>1488</v>
      </c>
    </row>
    <row r="324" spans="1:2" x14ac:dyDescent="0.25">
      <c r="A324" t="s">
        <v>2550</v>
      </c>
      <c r="B324" t="s">
        <v>1479</v>
      </c>
    </row>
    <row r="325" spans="1:2" x14ac:dyDescent="0.25">
      <c r="A325" t="s">
        <v>2551</v>
      </c>
      <c r="B325" t="s">
        <v>1488</v>
      </c>
    </row>
    <row r="326" spans="1:2" x14ac:dyDescent="0.25">
      <c r="A326" t="s">
        <v>2552</v>
      </c>
      <c r="B326" t="s">
        <v>1479</v>
      </c>
    </row>
    <row r="327" spans="1:2" x14ac:dyDescent="0.25">
      <c r="A327" t="s">
        <v>2553</v>
      </c>
      <c r="B327" t="s">
        <v>1488</v>
      </c>
    </row>
    <row r="328" spans="1:2" x14ac:dyDescent="0.25">
      <c r="A328" t="s">
        <v>2554</v>
      </c>
      <c r="B328" t="s">
        <v>1422</v>
      </c>
    </row>
    <row r="329" spans="1:2" x14ac:dyDescent="0.25">
      <c r="A329" t="s">
        <v>2555</v>
      </c>
      <c r="B329" t="s">
        <v>1551</v>
      </c>
    </row>
    <row r="330" spans="1:2" x14ac:dyDescent="0.25">
      <c r="A330" t="s">
        <v>2556</v>
      </c>
      <c r="B330" t="s">
        <v>1587</v>
      </c>
    </row>
    <row r="331" spans="1:2" x14ac:dyDescent="0.25">
      <c r="A331" t="s">
        <v>2557</v>
      </c>
      <c r="B331" t="s">
        <v>1488</v>
      </c>
    </row>
    <row r="332" spans="1:2" x14ac:dyDescent="0.25">
      <c r="A332" t="s">
        <v>2558</v>
      </c>
      <c r="B332" t="s">
        <v>1521</v>
      </c>
    </row>
    <row r="333" spans="1:2" x14ac:dyDescent="0.25">
      <c r="A333" t="s">
        <v>2559</v>
      </c>
      <c r="B333" t="s">
        <v>1521</v>
      </c>
    </row>
    <row r="334" spans="1:2" x14ac:dyDescent="0.25">
      <c r="A334" t="s">
        <v>2560</v>
      </c>
      <c r="B334" t="s">
        <v>1521</v>
      </c>
    </row>
    <row r="335" spans="1:2" x14ac:dyDescent="0.25">
      <c r="A335" t="s">
        <v>2561</v>
      </c>
      <c r="B335" t="s">
        <v>1488</v>
      </c>
    </row>
    <row r="336" spans="1:2" x14ac:dyDescent="0.25">
      <c r="A336" t="s">
        <v>2562</v>
      </c>
      <c r="B336" t="s">
        <v>1474</v>
      </c>
    </row>
    <row r="337" spans="1:2" x14ac:dyDescent="0.25">
      <c r="A337" t="s">
        <v>2563</v>
      </c>
      <c r="B337" t="s">
        <v>1479</v>
      </c>
    </row>
    <row r="338" spans="1:2" x14ac:dyDescent="0.25">
      <c r="A338" t="s">
        <v>2564</v>
      </c>
      <c r="B338" t="s">
        <v>1479</v>
      </c>
    </row>
    <row r="339" spans="1:2" x14ac:dyDescent="0.25">
      <c r="A339" t="s">
        <v>2565</v>
      </c>
      <c r="B339" t="s">
        <v>2566</v>
      </c>
    </row>
    <row r="340" spans="1:2" x14ac:dyDescent="0.25">
      <c r="A340" t="s">
        <v>2567</v>
      </c>
      <c r="B340" t="s">
        <v>1551</v>
      </c>
    </row>
    <row r="341" spans="1:2" x14ac:dyDescent="0.25">
      <c r="A341" t="s">
        <v>2568</v>
      </c>
      <c r="B341" t="s">
        <v>1474</v>
      </c>
    </row>
    <row r="342" spans="1:2" x14ac:dyDescent="0.25">
      <c r="A342" t="s">
        <v>2569</v>
      </c>
      <c r="B342" t="s">
        <v>1474</v>
      </c>
    </row>
    <row r="343" spans="1:2" x14ac:dyDescent="0.25">
      <c r="A343" t="s">
        <v>2570</v>
      </c>
      <c r="B343" t="s">
        <v>1587</v>
      </c>
    </row>
    <row r="344" spans="1:2" x14ac:dyDescent="0.25">
      <c r="A344" t="s">
        <v>2571</v>
      </c>
      <c r="B344" t="s">
        <v>1551</v>
      </c>
    </row>
    <row r="345" spans="1:2" x14ac:dyDescent="0.25">
      <c r="A345" t="s">
        <v>2572</v>
      </c>
      <c r="B345" t="s">
        <v>1488</v>
      </c>
    </row>
    <row r="346" spans="1:2" x14ac:dyDescent="0.25">
      <c r="A346" t="s">
        <v>2573</v>
      </c>
      <c r="B346" t="s">
        <v>1463</v>
      </c>
    </row>
    <row r="347" spans="1:2" x14ac:dyDescent="0.25">
      <c r="A347" t="s">
        <v>2574</v>
      </c>
      <c r="B347" t="s">
        <v>1521</v>
      </c>
    </row>
    <row r="348" spans="1:2" x14ac:dyDescent="0.25">
      <c r="A348" t="s">
        <v>2575</v>
      </c>
      <c r="B348" t="s">
        <v>1474</v>
      </c>
    </row>
    <row r="349" spans="1:2" x14ac:dyDescent="0.25">
      <c r="A349" t="s">
        <v>2576</v>
      </c>
      <c r="B349" t="s">
        <v>1551</v>
      </c>
    </row>
    <row r="350" spans="1:2" x14ac:dyDescent="0.25">
      <c r="A350" t="s">
        <v>2577</v>
      </c>
      <c r="B350" t="s">
        <v>1488</v>
      </c>
    </row>
    <row r="351" spans="1:2" x14ac:dyDescent="0.25">
      <c r="A351" t="s">
        <v>2578</v>
      </c>
      <c r="B351" t="s">
        <v>1429</v>
      </c>
    </row>
    <row r="352" spans="1:2" x14ac:dyDescent="0.25">
      <c r="A352" t="s">
        <v>2579</v>
      </c>
      <c r="B352" t="s">
        <v>1521</v>
      </c>
    </row>
    <row r="353" spans="1:2" x14ac:dyDescent="0.25">
      <c r="A353" t="s">
        <v>2580</v>
      </c>
      <c r="B353" t="s">
        <v>1521</v>
      </c>
    </row>
    <row r="354" spans="1:2" x14ac:dyDescent="0.25">
      <c r="A354" t="s">
        <v>2581</v>
      </c>
      <c r="B354" t="s">
        <v>1521</v>
      </c>
    </row>
    <row r="355" spans="1:2" x14ac:dyDescent="0.25">
      <c r="A355" t="s">
        <v>2582</v>
      </c>
      <c r="B355" t="s">
        <v>1521</v>
      </c>
    </row>
    <row r="356" spans="1:2" x14ac:dyDescent="0.25">
      <c r="A356" t="s">
        <v>2583</v>
      </c>
      <c r="B356" t="s">
        <v>1521</v>
      </c>
    </row>
    <row r="357" spans="1:2" x14ac:dyDescent="0.25">
      <c r="A357" t="s">
        <v>2584</v>
      </c>
      <c r="B357" t="s">
        <v>1474</v>
      </c>
    </row>
    <row r="358" spans="1:2" x14ac:dyDescent="0.25">
      <c r="A358" t="s">
        <v>2585</v>
      </c>
      <c r="B358" t="s">
        <v>2586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3109-D432-4A3D-B774-408AFB06BF70}">
  <dimension ref="A1:G2300"/>
  <sheetViews>
    <sheetView topLeftCell="B125" workbookViewId="0">
      <selection activeCell="F2207" sqref="F2207"/>
    </sheetView>
  </sheetViews>
  <sheetFormatPr defaultRowHeight="15" x14ac:dyDescent="0.25"/>
  <cols>
    <col min="2" max="2" width="22.42578125" customWidth="1"/>
    <col min="3" max="3" width="95" customWidth="1"/>
    <col min="5" max="5" width="23.7109375" customWidth="1"/>
    <col min="7" max="7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1416</v>
      </c>
    </row>
    <row r="2" spans="1:7" x14ac:dyDescent="0.25">
      <c r="A2" t="s">
        <v>6</v>
      </c>
      <c r="B2" s="1">
        <v>46022</v>
      </c>
      <c r="C2" t="s">
        <v>7</v>
      </c>
      <c r="D2">
        <v>-0.19</v>
      </c>
      <c r="E2" t="s">
        <v>8</v>
      </c>
      <c r="F2">
        <v>1549.7</v>
      </c>
      <c r="G2" t="str" cm="1">
        <f t="array" ref="G2">IF(AND(ISNUMBER(SEARCH("UBER",C2)),ISNUMBER(SEARCH("EATS",C2))),"Uber Eats",IF(LEFT(C2,6)="CHECK ","Checks Paid",IF(OR(E2="BILLPAY",ISNUMBER(SEARCH("FRANCHISE TAX",C2)),ISNUMBER(SEARCH("NEXTLINK",C2))),"Personal - House Bills",IF(AND(ISNUMBER(SEARCH("PAYMENT FROM",C2)),ISNUMBER(SEARCH("JOE SAUNDERS",C2))),"Zelle from Joe Saunders",IF(AND(ISNUMBER(SEARCH("PAYMENT TO",C2)),ISNUMBER(SEARCH("JOE SAUNDERS",C2))),"Zelle to Joe Saunders",IF(OR(ISNUMBER(SEARCH("NEW ORLEANS",C2)),ISNUMBER(SEARCH("KENNER",C2)),ISNUMBER(SEARCH("HENRY HOWARD",C2)),ISNUMBER(SEARCH("MISS CLAUDIA",C2))),"Personal Travel - New Orleans",IF(AND(YEAR(B2)=2025,MONTH(B2)=4,OR(ISNUMBER(SEARCH("EXCHANGE RATE",C2)),ISNUMBER(SEARCH("EXCHG RTE",C2)))),"Personal Travel - Italy",IFERROR(INDEX('Category Rules'!$B$2:$B$358,MATCH(TRUE,ISNUMBER(SEARCH('Category Rules'!$A$2:$A$358,C2)),0)),""))))))))</f>
        <v>Personal Travel - Canada</v>
      </c>
    </row>
    <row r="3" spans="1:7" x14ac:dyDescent="0.25">
      <c r="A3" t="s">
        <v>6</v>
      </c>
      <c r="B3" s="1">
        <v>46022</v>
      </c>
      <c r="C3" t="s">
        <v>9</v>
      </c>
      <c r="D3">
        <v>-1275.3</v>
      </c>
      <c r="E3" t="s">
        <v>10</v>
      </c>
      <c r="F3">
        <v>1549.89</v>
      </c>
      <c r="G3" t="str" cm="1">
        <f t="array" ref="G3">IF(AND(ISNUMBER(SEARCH("UBER",C3)),ISNUMBER(SEARCH("EATS",C3))),"Uber Eats",IF(LEFT(C3,6)="CHECK ","Checks Paid",IF(OR(E3="BILLPAY",ISNUMBER(SEARCH("FRANCHISE TAX",C3)),ISNUMBER(SEARCH("NEXTLINK",C3))),"Personal - House Bills",IF(AND(ISNUMBER(SEARCH("PAYMENT FROM",C3)),ISNUMBER(SEARCH("JOE SAUNDERS",C3))),"Zelle from Joe Saunders",IF(AND(ISNUMBER(SEARCH("PAYMENT TO",C3)),ISNUMBER(SEARCH("JOE SAUNDERS",C3))),"Zelle to Joe Saunders",IF(OR(ISNUMBER(SEARCH("NEW ORLEANS",C3)),ISNUMBER(SEARCH("KENNER",C3)),ISNUMBER(SEARCH("HENRY HOWARD",C3)),ISNUMBER(SEARCH("MISS CLAUDIA",C3))),"Personal Travel - New Orleans",IF(AND(YEAR(B3)=2025,MONTH(B3)=4,OR(ISNUMBER(SEARCH("EXCHANGE RATE",C3)),ISNUMBER(SEARCH("EXCHG RTE",C3)))),"Personal Travel - Italy",IFERROR(INDEX('Category Rules'!$B$2:$B$358,MATCH(TRUE,ISNUMBER(SEARCH('Category Rules'!$A$2:$A$358,C3)),0)),""))))))))</f>
        <v>Personal - Health Insurance</v>
      </c>
    </row>
    <row r="4" spans="1:7" x14ac:dyDescent="0.25">
      <c r="A4" t="s">
        <v>6</v>
      </c>
      <c r="B4" s="1">
        <v>46022</v>
      </c>
      <c r="C4" t="s">
        <v>11</v>
      </c>
      <c r="D4">
        <v>-6.59</v>
      </c>
      <c r="E4" t="s">
        <v>10</v>
      </c>
      <c r="F4">
        <v>2825.19</v>
      </c>
      <c r="G4" t="str" cm="1">
        <f t="array" ref="G4">IF(AND(ISNUMBER(SEARCH("UBER",C4)),ISNUMBER(SEARCH("EATS",C4))),"Uber Eats",IF(LEFT(C4,6)="CHECK ","Checks Paid",IF(OR(E4="BILLPAY",ISNUMBER(SEARCH("FRANCHISE TAX",C4)),ISNUMBER(SEARCH("NEXTLINK",C4))),"Personal - House Bills",IF(AND(ISNUMBER(SEARCH("PAYMENT FROM",C4)),ISNUMBER(SEARCH("JOE SAUNDERS",C4))),"Zelle from Joe Saunders",IF(AND(ISNUMBER(SEARCH("PAYMENT TO",C4)),ISNUMBER(SEARCH("JOE SAUNDERS",C4))),"Zelle to Joe Saunders",IF(OR(ISNUMBER(SEARCH("NEW ORLEANS",C4)),ISNUMBER(SEARCH("KENNER",C4)),ISNUMBER(SEARCH("HENRY HOWARD",C4)),ISNUMBER(SEARCH("MISS CLAUDIA",C4))),"Personal Travel - New Orleans",IF(AND(YEAR(B4)=2025,MONTH(B4)=4,OR(ISNUMBER(SEARCH("EXCHANGE RATE",C4)),ISNUMBER(SEARCH("EXCHG RTE",C4)))),"Personal Travel - Italy",IFERROR(INDEX('Category Rules'!$B$2:$B$358,MATCH(TRUE,ISNUMBER(SEARCH('Category Rules'!$A$2:$A$358,C4)),0)),""))))))))</f>
        <v>Personal Travel - Canada</v>
      </c>
    </row>
    <row r="5" spans="1:7" x14ac:dyDescent="0.25">
      <c r="A5" t="s">
        <v>6</v>
      </c>
      <c r="B5" s="1">
        <v>46021</v>
      </c>
      <c r="C5" t="s">
        <v>12</v>
      </c>
      <c r="D5">
        <v>-0.43</v>
      </c>
      <c r="E5" t="s">
        <v>8</v>
      </c>
      <c r="F5">
        <v>2831.78</v>
      </c>
      <c r="G5" t="str" cm="1">
        <f t="array" ref="G5">IF(AND(ISNUMBER(SEARCH("UBER",C5)),ISNUMBER(SEARCH("EATS",C5))),"Uber Eats",IF(LEFT(C5,6)="CHECK ","Checks Paid",IF(OR(E5="BILLPAY",ISNUMBER(SEARCH("FRANCHISE TAX",C5)),ISNUMBER(SEARCH("NEXTLINK",C5))),"Personal - House Bills",IF(AND(ISNUMBER(SEARCH("PAYMENT FROM",C5)),ISNUMBER(SEARCH("JOE SAUNDERS",C5))),"Zelle from Joe Saunders",IF(AND(ISNUMBER(SEARCH("PAYMENT TO",C5)),ISNUMBER(SEARCH("JOE SAUNDERS",C5))),"Zelle to Joe Saunders",IF(OR(ISNUMBER(SEARCH("NEW ORLEANS",C5)),ISNUMBER(SEARCH("KENNER",C5)),ISNUMBER(SEARCH("HENRY HOWARD",C5)),ISNUMBER(SEARCH("MISS CLAUDIA",C5))),"Personal Travel - New Orleans",IF(AND(YEAR(B5)=2025,MONTH(B5)=4,OR(ISNUMBER(SEARCH("EXCHANGE RATE",C5)),ISNUMBER(SEARCH("EXCHG RTE",C5)))),"Personal Travel - Italy",IFERROR(INDEX('Category Rules'!$B$2:$B$358,MATCH(TRUE,ISNUMBER(SEARCH('Category Rules'!$A$2:$A$358,C5)),0)),""))))))))</f>
        <v>Personal Travel - Canada</v>
      </c>
    </row>
    <row r="6" spans="1:7" x14ac:dyDescent="0.25">
      <c r="A6" t="s">
        <v>6</v>
      </c>
      <c r="B6" s="1">
        <v>46021</v>
      </c>
      <c r="C6" t="s">
        <v>13</v>
      </c>
      <c r="D6">
        <v>-1.84</v>
      </c>
      <c r="E6" t="s">
        <v>8</v>
      </c>
      <c r="F6">
        <v>2832.21</v>
      </c>
      <c r="G6" t="str" cm="1">
        <f t="array" ref="G6">IF(AND(ISNUMBER(SEARCH("UBER",C6)),ISNUMBER(SEARCH("EATS",C6))),"Uber Eats",IF(LEFT(C6,6)="CHECK ","Checks Paid",IF(OR(E6="BILLPAY",ISNUMBER(SEARCH("FRANCHISE TAX",C6)),ISNUMBER(SEARCH("NEXTLINK",C6))),"Personal - House Bills",IF(AND(ISNUMBER(SEARCH("PAYMENT FROM",C6)),ISNUMBER(SEARCH("JOE SAUNDERS",C6))),"Zelle from Joe Saunders",IF(AND(ISNUMBER(SEARCH("PAYMENT TO",C6)),ISNUMBER(SEARCH("JOE SAUNDERS",C6))),"Zelle to Joe Saunders",IF(OR(ISNUMBER(SEARCH("NEW ORLEANS",C6)),ISNUMBER(SEARCH("KENNER",C6)),ISNUMBER(SEARCH("HENRY HOWARD",C6)),ISNUMBER(SEARCH("MISS CLAUDIA",C6))),"Personal Travel - New Orleans",IF(AND(YEAR(B6)=2025,MONTH(B6)=4,OR(ISNUMBER(SEARCH("EXCHANGE RATE",C6)),ISNUMBER(SEARCH("EXCHG RTE",C6)))),"Personal Travel - Italy",IFERROR(INDEX('Category Rules'!$B$2:$B$358,MATCH(TRUE,ISNUMBER(SEARCH('Category Rules'!$A$2:$A$358,C6)),0)),""))))))))</f>
        <v>Personal Travel - Canada</v>
      </c>
    </row>
    <row r="7" spans="1:7" x14ac:dyDescent="0.25">
      <c r="A7" t="s">
        <v>6</v>
      </c>
      <c r="B7" s="1">
        <v>46021</v>
      </c>
      <c r="C7" t="s">
        <v>14</v>
      </c>
      <c r="D7">
        <v>-19</v>
      </c>
      <c r="E7" t="s">
        <v>10</v>
      </c>
      <c r="F7">
        <v>2834.05</v>
      </c>
      <c r="G7" t="str" cm="1">
        <f t="array" ref="G7">IF(AND(ISNUMBER(SEARCH("UBER",C7)),ISNUMBER(SEARCH("EATS",C7))),"Uber Eats",IF(LEFT(C7,6)="CHECK ","Checks Paid",IF(OR(E7="BILLPAY",ISNUMBER(SEARCH("FRANCHISE TAX",C7)),ISNUMBER(SEARCH("NEXTLINK",C7))),"Personal - House Bills",IF(AND(ISNUMBER(SEARCH("PAYMENT FROM",C7)),ISNUMBER(SEARCH("JOE SAUNDERS",C7))),"Zelle from Joe Saunders",IF(AND(ISNUMBER(SEARCH("PAYMENT TO",C7)),ISNUMBER(SEARCH("JOE SAUNDERS",C7))),"Zelle to Joe Saunders",IF(OR(ISNUMBER(SEARCH("NEW ORLEANS",C7)),ISNUMBER(SEARCH("KENNER",C7)),ISNUMBER(SEARCH("HENRY HOWARD",C7)),ISNUMBER(SEARCH("MISS CLAUDIA",C7))),"Personal Travel - New Orleans",IF(AND(YEAR(B7)=2025,MONTH(B7)=4,OR(ISNUMBER(SEARCH("EXCHANGE RATE",C7)),ISNUMBER(SEARCH("EXCHG RTE",C7)))),"Personal Travel - Italy",IFERROR(INDEX('Category Rules'!$B$2:$B$358,MATCH(TRUE,ISNUMBER(SEARCH('Category Rules'!$A$2:$A$358,C7)),0)),""))))))))</f>
        <v>Personal - Subscription</v>
      </c>
    </row>
    <row r="8" spans="1:7" x14ac:dyDescent="0.25">
      <c r="A8" t="s">
        <v>6</v>
      </c>
      <c r="B8" s="1">
        <v>46021</v>
      </c>
      <c r="C8" t="s">
        <v>15</v>
      </c>
      <c r="D8">
        <v>-14.65</v>
      </c>
      <c r="E8" t="s">
        <v>10</v>
      </c>
      <c r="F8">
        <v>2853.05</v>
      </c>
      <c r="G8" t="str" cm="1">
        <f t="array" ref="G8">IF(AND(ISNUMBER(SEARCH("UBER",C8)),ISNUMBER(SEARCH("EATS",C8))),"Uber Eats",IF(LEFT(C8,6)="CHECK ","Checks Paid",IF(OR(E8="BILLPAY",ISNUMBER(SEARCH("FRANCHISE TAX",C8)),ISNUMBER(SEARCH("NEXTLINK",C8))),"Personal - House Bills",IF(AND(ISNUMBER(SEARCH("PAYMENT FROM",C8)),ISNUMBER(SEARCH("JOE SAUNDERS",C8))),"Zelle from Joe Saunders",IF(AND(ISNUMBER(SEARCH("PAYMENT TO",C8)),ISNUMBER(SEARCH("JOE SAUNDERS",C8))),"Zelle to Joe Saunders",IF(OR(ISNUMBER(SEARCH("NEW ORLEANS",C8)),ISNUMBER(SEARCH("KENNER",C8)),ISNUMBER(SEARCH("HENRY HOWARD",C8)),ISNUMBER(SEARCH("MISS CLAUDIA",C8))),"Personal Travel - New Orleans",IF(AND(YEAR(B8)=2025,MONTH(B8)=4,OR(ISNUMBER(SEARCH("EXCHANGE RATE",C8)),ISNUMBER(SEARCH("EXCHG RTE",C8)))),"Personal Travel - Italy",IFERROR(INDEX('Category Rules'!$B$2:$B$358,MATCH(TRUE,ISNUMBER(SEARCH('Category Rules'!$A$2:$A$358,C8)),0)),""))))))))</f>
        <v>Personal Travel - Canada</v>
      </c>
    </row>
    <row r="9" spans="1:7" x14ac:dyDescent="0.25">
      <c r="A9" t="s">
        <v>6</v>
      </c>
      <c r="B9" s="1">
        <v>46021</v>
      </c>
      <c r="C9" t="s">
        <v>16</v>
      </c>
      <c r="D9">
        <v>-61.5</v>
      </c>
      <c r="E9" t="s">
        <v>10</v>
      </c>
      <c r="F9">
        <v>2867.7</v>
      </c>
      <c r="G9" t="str" cm="1">
        <f t="array" ref="G9">IF(AND(ISNUMBER(SEARCH("UBER",C9)),ISNUMBER(SEARCH("EATS",C9))),"Uber Eats",IF(LEFT(C9,6)="CHECK ","Checks Paid",IF(OR(E9="BILLPAY",ISNUMBER(SEARCH("FRANCHISE TAX",C9)),ISNUMBER(SEARCH("NEXTLINK",C9))),"Personal - House Bills",IF(AND(ISNUMBER(SEARCH("PAYMENT FROM",C9)),ISNUMBER(SEARCH("JOE SAUNDERS",C9))),"Zelle from Joe Saunders",IF(AND(ISNUMBER(SEARCH("PAYMENT TO",C9)),ISNUMBER(SEARCH("JOE SAUNDERS",C9))),"Zelle to Joe Saunders",IF(OR(ISNUMBER(SEARCH("NEW ORLEANS",C9)),ISNUMBER(SEARCH("KENNER",C9)),ISNUMBER(SEARCH("HENRY HOWARD",C9)),ISNUMBER(SEARCH("MISS CLAUDIA",C9))),"Personal Travel - New Orleans",IF(AND(YEAR(B9)=2025,MONTH(B9)=4,OR(ISNUMBER(SEARCH("EXCHANGE RATE",C9)),ISNUMBER(SEARCH("EXCHG RTE",C9)))),"Personal Travel - Italy",IFERROR(INDEX('Category Rules'!$B$2:$B$358,MATCH(TRUE,ISNUMBER(SEARCH('Category Rules'!$A$2:$A$358,C9)),0)),""))))))))</f>
        <v>Personal Travel - Canada</v>
      </c>
    </row>
    <row r="10" spans="1:7" x14ac:dyDescent="0.25">
      <c r="A10" t="s">
        <v>6</v>
      </c>
      <c r="B10" s="1">
        <v>46020</v>
      </c>
      <c r="C10" t="s">
        <v>17</v>
      </c>
      <c r="D10">
        <v>-0.55000000000000004</v>
      </c>
      <c r="E10" t="s">
        <v>8</v>
      </c>
      <c r="F10">
        <v>2929.2</v>
      </c>
      <c r="G10" t="str" cm="1">
        <f t="array" ref="G10">IF(AND(ISNUMBER(SEARCH("UBER",C10)),ISNUMBER(SEARCH("EATS",C10))),"Uber Eats",IF(LEFT(C10,6)="CHECK ","Checks Paid",IF(OR(E10="BILLPAY",ISNUMBER(SEARCH("FRANCHISE TAX",C10)),ISNUMBER(SEARCH("NEXTLINK",C10))),"Personal - House Bills",IF(AND(ISNUMBER(SEARCH("PAYMENT FROM",C10)),ISNUMBER(SEARCH("JOE SAUNDERS",C10))),"Zelle from Joe Saunders",IF(AND(ISNUMBER(SEARCH("PAYMENT TO",C10)),ISNUMBER(SEARCH("JOE SAUNDERS",C10))),"Zelle to Joe Saunders",IF(OR(ISNUMBER(SEARCH("NEW ORLEANS",C10)),ISNUMBER(SEARCH("KENNER",C10)),ISNUMBER(SEARCH("HENRY HOWARD",C10)),ISNUMBER(SEARCH("MISS CLAUDIA",C10))),"Personal Travel - New Orleans",IF(AND(YEAR(B10)=2025,MONTH(B10)=4,OR(ISNUMBER(SEARCH("EXCHANGE RATE",C10)),ISNUMBER(SEARCH("EXCHG RTE",C10)))),"Personal Travel - Italy",IFERROR(INDEX('Category Rules'!$B$2:$B$358,MATCH(TRUE,ISNUMBER(SEARCH('Category Rules'!$A$2:$A$358,C10)),0)),""))))))))</f>
        <v>Personal Travel - Canada</v>
      </c>
    </row>
    <row r="11" spans="1:7" x14ac:dyDescent="0.25">
      <c r="A11" t="s">
        <v>6</v>
      </c>
      <c r="B11" s="1">
        <v>46020</v>
      </c>
      <c r="C11" t="s">
        <v>18</v>
      </c>
      <c r="D11">
        <v>-1.22</v>
      </c>
      <c r="E11" t="s">
        <v>8</v>
      </c>
      <c r="F11">
        <v>2929.75</v>
      </c>
      <c r="G11" t="str" cm="1">
        <f t="array" ref="G11">IF(AND(ISNUMBER(SEARCH("UBER",C11)),ISNUMBER(SEARCH("EATS",C11))),"Uber Eats",IF(LEFT(C11,6)="CHECK ","Checks Paid",IF(OR(E11="BILLPAY",ISNUMBER(SEARCH("FRANCHISE TAX",C11)),ISNUMBER(SEARCH("NEXTLINK",C11))),"Personal - House Bills",IF(AND(ISNUMBER(SEARCH("PAYMENT FROM",C11)),ISNUMBER(SEARCH("JOE SAUNDERS",C11))),"Zelle from Joe Saunders",IF(AND(ISNUMBER(SEARCH("PAYMENT TO",C11)),ISNUMBER(SEARCH("JOE SAUNDERS",C11))),"Zelle to Joe Saunders",IF(OR(ISNUMBER(SEARCH("NEW ORLEANS",C11)),ISNUMBER(SEARCH("KENNER",C11)),ISNUMBER(SEARCH("HENRY HOWARD",C11)),ISNUMBER(SEARCH("MISS CLAUDIA",C11))),"Personal Travel - New Orleans",IF(AND(YEAR(B11)=2025,MONTH(B11)=4,OR(ISNUMBER(SEARCH("EXCHANGE RATE",C11)),ISNUMBER(SEARCH("EXCHG RTE",C11)))),"Personal Travel - Italy",IFERROR(INDEX('Category Rules'!$B$2:$B$358,MATCH(TRUE,ISNUMBER(SEARCH('Category Rules'!$A$2:$A$358,C11)),0)),""))))))))</f>
        <v>Personal Travel - Canada</v>
      </c>
    </row>
    <row r="12" spans="1:7" x14ac:dyDescent="0.25">
      <c r="A12" t="s">
        <v>6</v>
      </c>
      <c r="B12" s="1">
        <v>46020</v>
      </c>
      <c r="C12" t="s">
        <v>19</v>
      </c>
      <c r="D12">
        <v>-2.08</v>
      </c>
      <c r="E12" t="s">
        <v>8</v>
      </c>
      <c r="F12">
        <v>2930.97</v>
      </c>
      <c r="G12" t="str" cm="1">
        <f t="array" ref="G12">IF(AND(ISNUMBER(SEARCH("UBER",C12)),ISNUMBER(SEARCH("EATS",C12))),"Uber Eats",IF(LEFT(C12,6)="CHECK ","Checks Paid",IF(OR(E12="BILLPAY",ISNUMBER(SEARCH("FRANCHISE TAX",C12)),ISNUMBER(SEARCH("NEXTLINK",C12))),"Personal - House Bills",IF(AND(ISNUMBER(SEARCH("PAYMENT FROM",C12)),ISNUMBER(SEARCH("JOE SAUNDERS",C12))),"Zelle from Joe Saunders",IF(AND(ISNUMBER(SEARCH("PAYMENT TO",C12)),ISNUMBER(SEARCH("JOE SAUNDERS",C12))),"Zelle to Joe Saunders",IF(OR(ISNUMBER(SEARCH("NEW ORLEANS",C12)),ISNUMBER(SEARCH("KENNER",C12)),ISNUMBER(SEARCH("HENRY HOWARD",C12)),ISNUMBER(SEARCH("MISS CLAUDIA",C12))),"Personal Travel - New Orleans",IF(AND(YEAR(B12)=2025,MONTH(B12)=4,OR(ISNUMBER(SEARCH("EXCHANGE RATE",C12)),ISNUMBER(SEARCH("EXCHG RTE",C12)))),"Personal Travel - Italy",IFERROR(INDEX('Category Rules'!$B$2:$B$358,MATCH(TRUE,ISNUMBER(SEARCH('Category Rules'!$A$2:$A$358,C12)),0)),""))))))))</f>
        <v>Personal Travel - Canada</v>
      </c>
    </row>
    <row r="13" spans="1:7" x14ac:dyDescent="0.25">
      <c r="A13" t="s">
        <v>6</v>
      </c>
      <c r="B13" s="1">
        <v>46020</v>
      </c>
      <c r="C13" t="s">
        <v>20</v>
      </c>
      <c r="D13">
        <v>-4.46</v>
      </c>
      <c r="E13" t="s">
        <v>8</v>
      </c>
      <c r="F13">
        <v>2933.05</v>
      </c>
      <c r="G13" t="str" cm="1">
        <f t="array" ref="G13">IF(AND(ISNUMBER(SEARCH("UBER",C13)),ISNUMBER(SEARCH("EATS",C13))),"Uber Eats",IF(LEFT(C13,6)="CHECK ","Checks Paid",IF(OR(E13="BILLPAY",ISNUMBER(SEARCH("FRANCHISE TAX",C13)),ISNUMBER(SEARCH("NEXTLINK",C13))),"Personal - House Bills",IF(AND(ISNUMBER(SEARCH("PAYMENT FROM",C13)),ISNUMBER(SEARCH("JOE SAUNDERS",C13))),"Zelle from Joe Saunders",IF(AND(ISNUMBER(SEARCH("PAYMENT TO",C13)),ISNUMBER(SEARCH("JOE SAUNDERS",C13))),"Zelle to Joe Saunders",IF(OR(ISNUMBER(SEARCH("NEW ORLEANS",C13)),ISNUMBER(SEARCH("KENNER",C13)),ISNUMBER(SEARCH("HENRY HOWARD",C13)),ISNUMBER(SEARCH("MISS CLAUDIA",C13))),"Personal Travel - New Orleans",IF(AND(YEAR(B13)=2025,MONTH(B13)=4,OR(ISNUMBER(SEARCH("EXCHANGE RATE",C13)),ISNUMBER(SEARCH("EXCHG RTE",C13)))),"Personal Travel - Italy",IFERROR(INDEX('Category Rules'!$B$2:$B$358,MATCH(TRUE,ISNUMBER(SEARCH('Category Rules'!$A$2:$A$358,C13)),0)),""))))))))</f>
        <v>Personal Travel - Canada</v>
      </c>
    </row>
    <row r="14" spans="1:7" x14ac:dyDescent="0.25">
      <c r="A14" t="s">
        <v>6</v>
      </c>
      <c r="B14" s="1">
        <v>46020</v>
      </c>
      <c r="C14" t="s">
        <v>21</v>
      </c>
      <c r="D14">
        <v>-5</v>
      </c>
      <c r="E14" t="s">
        <v>8</v>
      </c>
      <c r="F14">
        <v>2937.51</v>
      </c>
      <c r="G14" t="str" cm="1">
        <f t="array" ref="G14">IF(AND(ISNUMBER(SEARCH("UBER",C14)),ISNUMBER(SEARCH("EATS",C14))),"Uber Eats",IF(LEFT(C14,6)="CHECK ","Checks Paid",IF(OR(E14="BILLPAY",ISNUMBER(SEARCH("FRANCHISE TAX",C14)),ISNUMBER(SEARCH("NEXTLINK",C14))),"Personal - House Bills",IF(AND(ISNUMBER(SEARCH("PAYMENT FROM",C14)),ISNUMBER(SEARCH("JOE SAUNDERS",C14))),"Zelle from Joe Saunders",IF(AND(ISNUMBER(SEARCH("PAYMENT TO",C14)),ISNUMBER(SEARCH("JOE SAUNDERS",C14))),"Zelle to Joe Saunders",IF(OR(ISNUMBER(SEARCH("NEW ORLEANS",C14)),ISNUMBER(SEARCH("KENNER",C14)),ISNUMBER(SEARCH("HENRY HOWARD",C14)),ISNUMBER(SEARCH("MISS CLAUDIA",C14))),"Personal Travel - New Orleans",IF(AND(YEAR(B14)=2025,MONTH(B14)=4,OR(ISNUMBER(SEARCH("EXCHANGE RATE",C14)),ISNUMBER(SEARCH("EXCHG RTE",C14)))),"Personal Travel - Italy",IFERROR(INDEX('Category Rules'!$B$2:$B$358,MATCH(TRUE,ISNUMBER(SEARCH('Category Rules'!$A$2:$A$358,C14)),0)),""))))))))</f>
        <v>Bank Fees</v>
      </c>
    </row>
    <row r="15" spans="1:7" x14ac:dyDescent="0.25">
      <c r="A15" t="s">
        <v>6</v>
      </c>
      <c r="B15" s="1">
        <v>46020</v>
      </c>
      <c r="C15" t="s">
        <v>22</v>
      </c>
      <c r="D15">
        <v>-18.329999999999998</v>
      </c>
      <c r="E15" t="s">
        <v>10</v>
      </c>
      <c r="F15">
        <v>2942.51</v>
      </c>
      <c r="G15" t="str" cm="1">
        <f t="array" ref="G15">IF(AND(ISNUMBER(SEARCH("UBER",C15)),ISNUMBER(SEARCH("EATS",C15))),"Uber Eats",IF(LEFT(C15,6)="CHECK ","Checks Paid",IF(OR(E15="BILLPAY",ISNUMBER(SEARCH("FRANCHISE TAX",C15)),ISNUMBER(SEARCH("NEXTLINK",C15))),"Personal - House Bills",IF(AND(ISNUMBER(SEARCH("PAYMENT FROM",C15)),ISNUMBER(SEARCH("JOE SAUNDERS",C15))),"Zelle from Joe Saunders",IF(AND(ISNUMBER(SEARCH("PAYMENT TO",C15)),ISNUMBER(SEARCH("JOE SAUNDERS",C15))),"Zelle to Joe Saunders",IF(OR(ISNUMBER(SEARCH("NEW ORLEANS",C15)),ISNUMBER(SEARCH("KENNER",C15)),ISNUMBER(SEARCH("HENRY HOWARD",C15)),ISNUMBER(SEARCH("MISS CLAUDIA",C15))),"Personal Travel - New Orleans",IF(AND(YEAR(B15)=2025,MONTH(B15)=4,OR(ISNUMBER(SEARCH("EXCHANGE RATE",C15)),ISNUMBER(SEARCH("EXCHG RTE",C15)))),"Personal Travel - Italy",IFERROR(INDEX('Category Rules'!$B$2:$B$358,MATCH(TRUE,ISNUMBER(SEARCH('Category Rules'!$A$2:$A$358,C15)),0)),""))))))))</f>
        <v>Donation</v>
      </c>
    </row>
    <row r="16" spans="1:7" x14ac:dyDescent="0.25">
      <c r="A16" t="s">
        <v>6</v>
      </c>
      <c r="B16" s="1">
        <v>46020</v>
      </c>
      <c r="C16" t="s">
        <v>23</v>
      </c>
      <c r="D16">
        <v>-25</v>
      </c>
      <c r="E16" t="s">
        <v>10</v>
      </c>
      <c r="F16">
        <v>2960.84</v>
      </c>
      <c r="G16" t="str" cm="1">
        <f t="array" ref="G16">IF(AND(ISNUMBER(SEARCH("UBER",C16)),ISNUMBER(SEARCH("EATS",C16))),"Uber Eats",IF(LEFT(C16,6)="CHECK ","Checks Paid",IF(OR(E16="BILLPAY",ISNUMBER(SEARCH("FRANCHISE TAX",C16)),ISNUMBER(SEARCH("NEXTLINK",C16))),"Personal - House Bills",IF(AND(ISNUMBER(SEARCH("PAYMENT FROM",C16)),ISNUMBER(SEARCH("JOE SAUNDERS",C16))),"Zelle from Joe Saunders",IF(AND(ISNUMBER(SEARCH("PAYMENT TO",C16)),ISNUMBER(SEARCH("JOE SAUNDERS",C16))),"Zelle to Joe Saunders",IF(OR(ISNUMBER(SEARCH("NEW ORLEANS",C16)),ISNUMBER(SEARCH("KENNER",C16)),ISNUMBER(SEARCH("HENRY HOWARD",C16)),ISNUMBER(SEARCH("MISS CLAUDIA",C16))),"Personal Travel - New Orleans",IF(AND(YEAR(B16)=2025,MONTH(B16)=4,OR(ISNUMBER(SEARCH("EXCHANGE RATE",C16)),ISNUMBER(SEARCH("EXCHG RTE",C16)))),"Personal Travel - Italy",IFERROR(INDEX('Category Rules'!$B$2:$B$358,MATCH(TRUE,ISNUMBER(SEARCH('Category Rules'!$A$2:$A$358,C16)),0)),""))))))))</f>
        <v>Personal Travel</v>
      </c>
    </row>
    <row r="17" spans="1:7" x14ac:dyDescent="0.25">
      <c r="A17" t="s">
        <v>6</v>
      </c>
      <c r="B17" s="1">
        <v>46020</v>
      </c>
      <c r="C17" t="s">
        <v>23</v>
      </c>
      <c r="D17">
        <v>-25</v>
      </c>
      <c r="E17" t="s">
        <v>10</v>
      </c>
      <c r="F17">
        <v>2985.84</v>
      </c>
      <c r="G17" t="str" cm="1">
        <f t="array" ref="G17">IF(AND(ISNUMBER(SEARCH("UBER",C17)),ISNUMBER(SEARCH("EATS",C17))),"Uber Eats",IF(LEFT(C17,6)="CHECK ","Checks Paid",IF(OR(E17="BILLPAY",ISNUMBER(SEARCH("FRANCHISE TAX",C17)),ISNUMBER(SEARCH("NEXTLINK",C17))),"Personal - House Bills",IF(AND(ISNUMBER(SEARCH("PAYMENT FROM",C17)),ISNUMBER(SEARCH("JOE SAUNDERS",C17))),"Zelle from Joe Saunders",IF(AND(ISNUMBER(SEARCH("PAYMENT TO",C17)),ISNUMBER(SEARCH("JOE SAUNDERS",C17))),"Zelle to Joe Saunders",IF(OR(ISNUMBER(SEARCH("NEW ORLEANS",C17)),ISNUMBER(SEARCH("KENNER",C17)),ISNUMBER(SEARCH("HENRY HOWARD",C17)),ISNUMBER(SEARCH("MISS CLAUDIA",C17))),"Personal Travel - New Orleans",IF(AND(YEAR(B17)=2025,MONTH(B17)=4,OR(ISNUMBER(SEARCH("EXCHANGE RATE",C17)),ISNUMBER(SEARCH("EXCHG RTE",C17)))),"Personal Travel - Italy",IFERROR(INDEX('Category Rules'!$B$2:$B$358,MATCH(TRUE,ISNUMBER(SEARCH('Category Rules'!$A$2:$A$358,C17)),0)),""))))))))</f>
        <v>Personal Travel</v>
      </c>
    </row>
    <row r="18" spans="1:7" x14ac:dyDescent="0.25">
      <c r="A18" t="s">
        <v>6</v>
      </c>
      <c r="B18" s="1">
        <v>46020</v>
      </c>
      <c r="C18" t="s">
        <v>23</v>
      </c>
      <c r="D18">
        <v>-25</v>
      </c>
      <c r="E18" t="s">
        <v>10</v>
      </c>
      <c r="F18">
        <v>3010.84</v>
      </c>
      <c r="G18" t="str" cm="1">
        <f t="array" ref="G18">IF(AND(ISNUMBER(SEARCH("UBER",C18)),ISNUMBER(SEARCH("EATS",C18))),"Uber Eats",IF(LEFT(C18,6)="CHECK ","Checks Paid",IF(OR(E18="BILLPAY",ISNUMBER(SEARCH("FRANCHISE TAX",C18)),ISNUMBER(SEARCH("NEXTLINK",C18))),"Personal - House Bills",IF(AND(ISNUMBER(SEARCH("PAYMENT FROM",C18)),ISNUMBER(SEARCH("JOE SAUNDERS",C18))),"Zelle from Joe Saunders",IF(AND(ISNUMBER(SEARCH("PAYMENT TO",C18)),ISNUMBER(SEARCH("JOE SAUNDERS",C18))),"Zelle to Joe Saunders",IF(OR(ISNUMBER(SEARCH("NEW ORLEANS",C18)),ISNUMBER(SEARCH("KENNER",C18)),ISNUMBER(SEARCH("HENRY HOWARD",C18)),ISNUMBER(SEARCH("MISS CLAUDIA",C18))),"Personal Travel - New Orleans",IF(AND(YEAR(B18)=2025,MONTH(B18)=4,OR(ISNUMBER(SEARCH("EXCHANGE RATE",C18)),ISNUMBER(SEARCH("EXCHG RTE",C18)))),"Personal Travel - Italy",IFERROR(INDEX('Category Rules'!$B$2:$B$358,MATCH(TRUE,ISNUMBER(SEARCH('Category Rules'!$A$2:$A$358,C18)),0)),""))))))))</f>
        <v>Personal Travel</v>
      </c>
    </row>
    <row r="19" spans="1:7" x14ac:dyDescent="0.25">
      <c r="A19" t="s">
        <v>6</v>
      </c>
      <c r="B19" s="1">
        <v>46020</v>
      </c>
      <c r="C19" t="s">
        <v>23</v>
      </c>
      <c r="D19">
        <v>-25</v>
      </c>
      <c r="E19" t="s">
        <v>10</v>
      </c>
      <c r="F19">
        <v>3035.84</v>
      </c>
      <c r="G19" t="str" cm="1">
        <f t="array" ref="G19">IF(AND(ISNUMBER(SEARCH("UBER",C19)),ISNUMBER(SEARCH("EATS",C19))),"Uber Eats",IF(LEFT(C19,6)="CHECK ","Checks Paid",IF(OR(E19="BILLPAY",ISNUMBER(SEARCH("FRANCHISE TAX",C19)),ISNUMBER(SEARCH("NEXTLINK",C19))),"Personal - House Bills",IF(AND(ISNUMBER(SEARCH("PAYMENT FROM",C19)),ISNUMBER(SEARCH("JOE SAUNDERS",C19))),"Zelle from Joe Saunders",IF(AND(ISNUMBER(SEARCH("PAYMENT TO",C19)),ISNUMBER(SEARCH("JOE SAUNDERS",C19))),"Zelle to Joe Saunders",IF(OR(ISNUMBER(SEARCH("NEW ORLEANS",C19)),ISNUMBER(SEARCH("KENNER",C19)),ISNUMBER(SEARCH("HENRY HOWARD",C19)),ISNUMBER(SEARCH("MISS CLAUDIA",C19))),"Personal Travel - New Orleans",IF(AND(YEAR(B19)=2025,MONTH(B19)=4,OR(ISNUMBER(SEARCH("EXCHANGE RATE",C19)),ISNUMBER(SEARCH("EXCHG RTE",C19)))),"Personal Travel - Italy",IFERROR(INDEX('Category Rules'!$B$2:$B$358,MATCH(TRUE,ISNUMBER(SEARCH('Category Rules'!$A$2:$A$358,C19)),0)),""))))))))</f>
        <v>Personal Travel</v>
      </c>
    </row>
    <row r="20" spans="1:7" x14ac:dyDescent="0.25">
      <c r="A20" t="s">
        <v>6</v>
      </c>
      <c r="B20" s="1">
        <v>46020</v>
      </c>
      <c r="C20" t="s">
        <v>23</v>
      </c>
      <c r="D20">
        <v>-32</v>
      </c>
      <c r="E20" t="s">
        <v>10</v>
      </c>
      <c r="F20">
        <v>3060.84</v>
      </c>
      <c r="G20" t="str" cm="1">
        <f t="array" ref="G20">IF(AND(ISNUMBER(SEARCH("UBER",C20)),ISNUMBER(SEARCH("EATS",C20))),"Uber Eats",IF(LEFT(C20,6)="CHECK ","Checks Paid",IF(OR(E20="BILLPAY",ISNUMBER(SEARCH("FRANCHISE TAX",C20)),ISNUMBER(SEARCH("NEXTLINK",C20))),"Personal - House Bills",IF(AND(ISNUMBER(SEARCH("PAYMENT FROM",C20)),ISNUMBER(SEARCH("JOE SAUNDERS",C20))),"Zelle from Joe Saunders",IF(AND(ISNUMBER(SEARCH("PAYMENT TO",C20)),ISNUMBER(SEARCH("JOE SAUNDERS",C20))),"Zelle to Joe Saunders",IF(OR(ISNUMBER(SEARCH("NEW ORLEANS",C20)),ISNUMBER(SEARCH("KENNER",C20)),ISNUMBER(SEARCH("HENRY HOWARD",C20)),ISNUMBER(SEARCH("MISS CLAUDIA",C20))),"Personal Travel - New Orleans",IF(AND(YEAR(B20)=2025,MONTH(B20)=4,OR(ISNUMBER(SEARCH("EXCHANGE RATE",C20)),ISNUMBER(SEARCH("EXCHG RTE",C20)))),"Personal Travel - Italy",IFERROR(INDEX('Category Rules'!$B$2:$B$358,MATCH(TRUE,ISNUMBER(SEARCH('Category Rules'!$A$2:$A$358,C20)),0)),""))))))))</f>
        <v>Personal Travel</v>
      </c>
    </row>
    <row r="21" spans="1:7" x14ac:dyDescent="0.25">
      <c r="A21" t="s">
        <v>6</v>
      </c>
      <c r="B21" s="1">
        <v>46020</v>
      </c>
      <c r="C21" t="s">
        <v>24</v>
      </c>
      <c r="D21">
        <v>-69.349999999999994</v>
      </c>
      <c r="E21" t="s">
        <v>10</v>
      </c>
      <c r="F21">
        <v>3092.84</v>
      </c>
      <c r="G21" t="str" cm="1">
        <f t="array" ref="G21">IF(AND(ISNUMBER(SEARCH("UBER",C21)),ISNUMBER(SEARCH("EATS",C21))),"Uber Eats",IF(LEFT(C21,6)="CHECK ","Checks Paid",IF(OR(E21="BILLPAY",ISNUMBER(SEARCH("FRANCHISE TAX",C21)),ISNUMBER(SEARCH("NEXTLINK",C21))),"Personal - House Bills",IF(AND(ISNUMBER(SEARCH("PAYMENT FROM",C21)),ISNUMBER(SEARCH("JOE SAUNDERS",C21))),"Zelle from Joe Saunders",IF(AND(ISNUMBER(SEARCH("PAYMENT TO",C21)),ISNUMBER(SEARCH("JOE SAUNDERS",C21))),"Zelle to Joe Saunders",IF(OR(ISNUMBER(SEARCH("NEW ORLEANS",C21)),ISNUMBER(SEARCH("KENNER",C21)),ISNUMBER(SEARCH("HENRY HOWARD",C21)),ISNUMBER(SEARCH("MISS CLAUDIA",C21))),"Personal Travel - New Orleans",IF(AND(YEAR(B21)=2025,MONTH(B21)=4,OR(ISNUMBER(SEARCH("EXCHANGE RATE",C21)),ISNUMBER(SEARCH("EXCHG RTE",C21)))),"Personal Travel - Italy",IFERROR(INDEX('Category Rules'!$B$2:$B$358,MATCH(TRUE,ISNUMBER(SEARCH('Category Rules'!$A$2:$A$358,C21)),0)),""))))))))</f>
        <v>Personal Travel - Canada</v>
      </c>
    </row>
    <row r="22" spans="1:7" x14ac:dyDescent="0.25">
      <c r="A22" t="s">
        <v>6</v>
      </c>
      <c r="B22" s="1">
        <v>46020</v>
      </c>
      <c r="C22" t="s">
        <v>25</v>
      </c>
      <c r="D22">
        <v>-148.83000000000001</v>
      </c>
      <c r="E22" t="s">
        <v>26</v>
      </c>
      <c r="F22">
        <v>3162.19</v>
      </c>
      <c r="G22" t="str" cm="1">
        <f t="array" ref="G22">IF(AND(ISNUMBER(SEARCH("UBER",C22)),ISNUMBER(SEARCH("EATS",C22))),"Uber Eats",IF(LEFT(C22,6)="CHECK ","Checks Paid",IF(OR(E22="BILLPAY",ISNUMBER(SEARCH("FRANCHISE TAX",C22)),ISNUMBER(SEARCH("NEXTLINK",C22))),"Personal - House Bills",IF(AND(ISNUMBER(SEARCH("PAYMENT FROM",C22)),ISNUMBER(SEARCH("JOE SAUNDERS",C22))),"Zelle from Joe Saunders",IF(AND(ISNUMBER(SEARCH("PAYMENT TO",C22)),ISNUMBER(SEARCH("JOE SAUNDERS",C22))),"Zelle to Joe Saunders",IF(OR(ISNUMBER(SEARCH("NEW ORLEANS",C22)),ISNUMBER(SEARCH("KENNER",C22)),ISNUMBER(SEARCH("HENRY HOWARD",C22)),ISNUMBER(SEARCH("MISS CLAUDIA",C22))),"Personal Travel - New Orleans",IF(AND(YEAR(B22)=2025,MONTH(B22)=4,OR(ISNUMBER(SEARCH("EXCHANGE RATE",C22)),ISNUMBER(SEARCH("EXCHG RTE",C22)))),"Personal Travel - Italy",IFERROR(INDEX('Category Rules'!$B$2:$B$358,MATCH(TRUE,ISNUMBER(SEARCH('Category Rules'!$A$2:$A$358,C22)),0)),""))))))))</f>
        <v>Personal Travel - Canada</v>
      </c>
    </row>
    <row r="23" spans="1:7" x14ac:dyDescent="0.25">
      <c r="A23" t="s">
        <v>6</v>
      </c>
      <c r="B23" s="1">
        <v>46020</v>
      </c>
      <c r="C23" t="s">
        <v>27</v>
      </c>
      <c r="D23">
        <v>-40.770000000000003</v>
      </c>
      <c r="E23" t="s">
        <v>10</v>
      </c>
      <c r="F23">
        <v>3311.02</v>
      </c>
      <c r="G23" t="str" cm="1">
        <f t="array" ref="G23">IF(AND(ISNUMBER(SEARCH("UBER",C23)),ISNUMBER(SEARCH("EATS",C23))),"Uber Eats",IF(LEFT(C23,6)="CHECK ","Checks Paid",IF(OR(E23="BILLPAY",ISNUMBER(SEARCH("FRANCHISE TAX",C23)),ISNUMBER(SEARCH("NEXTLINK",C23))),"Personal - House Bills",IF(AND(ISNUMBER(SEARCH("PAYMENT FROM",C23)),ISNUMBER(SEARCH("JOE SAUNDERS",C23))),"Zelle from Joe Saunders",IF(AND(ISNUMBER(SEARCH("PAYMENT TO",C23)),ISNUMBER(SEARCH("JOE SAUNDERS",C23))),"Zelle to Joe Saunders",IF(OR(ISNUMBER(SEARCH("NEW ORLEANS",C23)),ISNUMBER(SEARCH("KENNER",C23)),ISNUMBER(SEARCH("HENRY HOWARD",C23)),ISNUMBER(SEARCH("MISS CLAUDIA",C23))),"Personal Travel - New Orleans",IF(AND(YEAR(B23)=2025,MONTH(B23)=4,OR(ISNUMBER(SEARCH("EXCHANGE RATE",C23)),ISNUMBER(SEARCH("EXCHG RTE",C23)))),"Personal Travel - Italy",IFERROR(INDEX('Category Rules'!$B$2:$B$358,MATCH(TRUE,ISNUMBER(SEARCH('Category Rules'!$A$2:$A$358,C23)),0)),""))))))))</f>
        <v>Personal Travel - Canada</v>
      </c>
    </row>
    <row r="24" spans="1:7" x14ac:dyDescent="0.25">
      <c r="A24" t="s">
        <v>6</v>
      </c>
      <c r="B24" s="1">
        <v>46020</v>
      </c>
      <c r="C24" t="s">
        <v>28</v>
      </c>
      <c r="D24">
        <v>-5.99</v>
      </c>
      <c r="E24" t="s">
        <v>10</v>
      </c>
      <c r="F24">
        <v>3351.79</v>
      </c>
      <c r="G24" t="str" cm="1">
        <f t="array" ref="G24">IF(AND(ISNUMBER(SEARCH("UBER",C24)),ISNUMBER(SEARCH("EATS",C24))),"Uber Eats",IF(LEFT(C24,6)="CHECK ","Checks Paid",IF(OR(E24="BILLPAY",ISNUMBER(SEARCH("FRANCHISE TAX",C24)),ISNUMBER(SEARCH("NEXTLINK",C24))),"Personal - House Bills",IF(AND(ISNUMBER(SEARCH("PAYMENT FROM",C24)),ISNUMBER(SEARCH("JOE SAUNDERS",C24))),"Zelle from Joe Saunders",IF(AND(ISNUMBER(SEARCH("PAYMENT TO",C24)),ISNUMBER(SEARCH("JOE SAUNDERS",C24))),"Zelle to Joe Saunders",IF(OR(ISNUMBER(SEARCH("NEW ORLEANS",C24)),ISNUMBER(SEARCH("KENNER",C24)),ISNUMBER(SEARCH("HENRY HOWARD",C24)),ISNUMBER(SEARCH("MISS CLAUDIA",C24))),"Personal Travel - New Orleans",IF(AND(YEAR(B24)=2025,MONTH(B24)=4,OR(ISNUMBER(SEARCH("EXCHANGE RATE",C24)),ISNUMBER(SEARCH("EXCHG RTE",C24)))),"Personal Travel - Italy",IFERROR(INDEX('Category Rules'!$B$2:$B$358,MATCH(TRUE,ISNUMBER(SEARCH('Category Rules'!$A$2:$A$358,C24)),0)),""))))))))</f>
        <v>Apple</v>
      </c>
    </row>
    <row r="25" spans="1:7" x14ac:dyDescent="0.25">
      <c r="A25" t="s">
        <v>6</v>
      </c>
      <c r="B25" s="1">
        <v>46020</v>
      </c>
      <c r="C25" t="s">
        <v>29</v>
      </c>
      <c r="D25">
        <v>-5.49</v>
      </c>
      <c r="E25" t="s">
        <v>10</v>
      </c>
      <c r="F25">
        <v>3357.78</v>
      </c>
      <c r="G25" t="str" cm="1">
        <f t="array" ref="G25">IF(AND(ISNUMBER(SEARCH("UBER",C25)),ISNUMBER(SEARCH("EATS",C25))),"Uber Eats",IF(LEFT(C25,6)="CHECK ","Checks Paid",IF(OR(E25="BILLPAY",ISNUMBER(SEARCH("FRANCHISE TAX",C25)),ISNUMBER(SEARCH("NEXTLINK",C25))),"Personal - House Bills",IF(AND(ISNUMBER(SEARCH("PAYMENT FROM",C25)),ISNUMBER(SEARCH("JOE SAUNDERS",C25))),"Zelle from Joe Saunders",IF(AND(ISNUMBER(SEARCH("PAYMENT TO",C25)),ISNUMBER(SEARCH("JOE SAUNDERS",C25))),"Zelle to Joe Saunders",IF(OR(ISNUMBER(SEARCH("NEW ORLEANS",C25)),ISNUMBER(SEARCH("KENNER",C25)),ISNUMBER(SEARCH("HENRY HOWARD",C25)),ISNUMBER(SEARCH("MISS CLAUDIA",C25))),"Personal Travel - New Orleans",IF(AND(YEAR(B25)=2025,MONTH(B25)=4,OR(ISNUMBER(SEARCH("EXCHANGE RATE",C25)),ISNUMBER(SEARCH("EXCHG RTE",C25)))),"Personal Travel - Italy",IFERROR(INDEX('Category Rules'!$B$2:$B$358,MATCH(TRUE,ISNUMBER(SEARCH('Category Rules'!$A$2:$A$358,C25)),0)),""))))))))</f>
        <v>Personal - Health</v>
      </c>
    </row>
    <row r="26" spans="1:7" x14ac:dyDescent="0.25">
      <c r="A26" t="s">
        <v>6</v>
      </c>
      <c r="B26" s="1">
        <v>46020</v>
      </c>
      <c r="C26" t="s">
        <v>30</v>
      </c>
      <c r="D26">
        <v>-349.66</v>
      </c>
      <c r="E26" t="s">
        <v>10</v>
      </c>
      <c r="F26">
        <v>3363.27</v>
      </c>
      <c r="G26" t="str" cm="1">
        <f t="array" ref="G26">IF(AND(ISNUMBER(SEARCH("UBER",C26)),ISNUMBER(SEARCH("EATS",C26))),"Uber Eats",IF(LEFT(C26,6)="CHECK ","Checks Paid",IF(OR(E26="BILLPAY",ISNUMBER(SEARCH("FRANCHISE TAX",C26)),ISNUMBER(SEARCH("NEXTLINK",C26))),"Personal - House Bills",IF(AND(ISNUMBER(SEARCH("PAYMENT FROM",C26)),ISNUMBER(SEARCH("JOE SAUNDERS",C26))),"Zelle from Joe Saunders",IF(AND(ISNUMBER(SEARCH("PAYMENT TO",C26)),ISNUMBER(SEARCH("JOE SAUNDERS",C26))),"Zelle to Joe Saunders",IF(OR(ISNUMBER(SEARCH("NEW ORLEANS",C26)),ISNUMBER(SEARCH("KENNER",C26)),ISNUMBER(SEARCH("HENRY HOWARD",C26)),ISNUMBER(SEARCH("MISS CLAUDIA",C26))),"Personal Travel - New Orleans",IF(AND(YEAR(B26)=2025,MONTH(B26)=4,OR(ISNUMBER(SEARCH("EXCHANGE RATE",C26)),ISNUMBER(SEARCH("EXCHG RTE",C26)))),"Personal Travel - Italy",IFERROR(INDEX('Category Rules'!$B$2:$B$358,MATCH(TRUE,ISNUMBER(SEARCH('Category Rules'!$A$2:$A$358,C26)),0)),""))))))))</f>
        <v>Etsy</v>
      </c>
    </row>
    <row r="27" spans="1:7" x14ac:dyDescent="0.25">
      <c r="A27" t="s">
        <v>6</v>
      </c>
      <c r="B27" s="1">
        <v>46020</v>
      </c>
      <c r="C27" t="s">
        <v>31</v>
      </c>
      <c r="D27">
        <v>-29.86</v>
      </c>
      <c r="E27" t="s">
        <v>10</v>
      </c>
      <c r="F27">
        <v>3712.93</v>
      </c>
      <c r="G27" t="str" cm="1">
        <f t="array" ref="G27">IF(AND(ISNUMBER(SEARCH("UBER",C27)),ISNUMBER(SEARCH("EATS",C27))),"Uber Eats",IF(LEFT(C27,6)="CHECK ","Checks Paid",IF(OR(E27="BILLPAY",ISNUMBER(SEARCH("FRANCHISE TAX",C27)),ISNUMBER(SEARCH("NEXTLINK",C27))),"Personal - House Bills",IF(AND(ISNUMBER(SEARCH("PAYMENT FROM",C27)),ISNUMBER(SEARCH("JOE SAUNDERS",C27))),"Zelle from Joe Saunders",IF(AND(ISNUMBER(SEARCH("PAYMENT TO",C27)),ISNUMBER(SEARCH("JOE SAUNDERS",C27))),"Zelle to Joe Saunders",IF(OR(ISNUMBER(SEARCH("NEW ORLEANS",C27)),ISNUMBER(SEARCH("KENNER",C27)),ISNUMBER(SEARCH("HENRY HOWARD",C27)),ISNUMBER(SEARCH("MISS CLAUDIA",C27))),"Personal Travel - New Orleans",IF(AND(YEAR(B27)=2025,MONTH(B27)=4,OR(ISNUMBER(SEARCH("EXCHANGE RATE",C27)),ISNUMBER(SEARCH("EXCHG RTE",C27)))),"Personal Travel - Italy",IFERROR(INDEX('Category Rules'!$B$2:$B$358,MATCH(TRUE,ISNUMBER(SEARCH('Category Rules'!$A$2:$A$358,C27)),0)),""))))))))</f>
        <v>Amazon</v>
      </c>
    </row>
    <row r="28" spans="1:7" x14ac:dyDescent="0.25">
      <c r="A28" t="s">
        <v>6</v>
      </c>
      <c r="B28" s="1">
        <v>46020</v>
      </c>
      <c r="C28" t="s">
        <v>32</v>
      </c>
      <c r="D28">
        <v>-300</v>
      </c>
      <c r="E28" t="s">
        <v>33</v>
      </c>
      <c r="F28">
        <v>3742.79</v>
      </c>
      <c r="G28" t="str" cm="1">
        <f t="array" ref="G28">IF(AND(ISNUMBER(SEARCH("UBER",C28)),ISNUMBER(SEARCH("EATS",C28))),"Uber Eats",IF(LEFT(C28,6)="CHECK ","Checks Paid",IF(OR(E28="BILLPAY",ISNUMBER(SEARCH("FRANCHISE TAX",C28)),ISNUMBER(SEARCH("NEXTLINK",C28))),"Personal - House Bills",IF(AND(ISNUMBER(SEARCH("PAYMENT FROM",C28)),ISNUMBER(SEARCH("JOE SAUNDERS",C28))),"Zelle from Joe Saunders",IF(AND(ISNUMBER(SEARCH("PAYMENT TO",C28)),ISNUMBER(SEARCH("JOE SAUNDERS",C28))),"Zelle to Joe Saunders",IF(OR(ISNUMBER(SEARCH("NEW ORLEANS",C28)),ISNUMBER(SEARCH("KENNER",C28)),ISNUMBER(SEARCH("HENRY HOWARD",C28)),ISNUMBER(SEARCH("MISS CLAUDIA",C28))),"Personal Travel - New Orleans",IF(AND(YEAR(B28)=2025,MONTH(B28)=4,OR(ISNUMBER(SEARCH("EXCHANGE RATE",C28)),ISNUMBER(SEARCH("EXCHG RTE",C28)))),"Personal Travel - Italy",IFERROR(INDEX('Category Rules'!$B$2:$B$358,MATCH(TRUE,ISNUMBER(SEARCH('Category Rules'!$A$2:$A$358,C28)),0)),""))))))))</f>
        <v>Personal - House Bills</v>
      </c>
    </row>
    <row r="29" spans="1:7" x14ac:dyDescent="0.25">
      <c r="A29" t="s">
        <v>6</v>
      </c>
      <c r="B29" s="1">
        <v>46020</v>
      </c>
      <c r="C29" t="s">
        <v>34</v>
      </c>
      <c r="D29">
        <v>-120</v>
      </c>
      <c r="E29" t="s">
        <v>33</v>
      </c>
      <c r="F29">
        <v>4042.79</v>
      </c>
      <c r="G29" t="str" cm="1">
        <f t="array" ref="G29">IF(AND(ISNUMBER(SEARCH("UBER",C29)),ISNUMBER(SEARCH("EATS",C29))),"Uber Eats",IF(LEFT(C29,6)="CHECK ","Checks Paid",IF(OR(E29="BILLPAY",ISNUMBER(SEARCH("FRANCHISE TAX",C29)),ISNUMBER(SEARCH("NEXTLINK",C29))),"Personal - House Bills",IF(AND(ISNUMBER(SEARCH("PAYMENT FROM",C29)),ISNUMBER(SEARCH("JOE SAUNDERS",C29))),"Zelle from Joe Saunders",IF(AND(ISNUMBER(SEARCH("PAYMENT TO",C29)),ISNUMBER(SEARCH("JOE SAUNDERS",C29))),"Zelle to Joe Saunders",IF(OR(ISNUMBER(SEARCH("NEW ORLEANS",C29)),ISNUMBER(SEARCH("KENNER",C29)),ISNUMBER(SEARCH("HENRY HOWARD",C29)),ISNUMBER(SEARCH("MISS CLAUDIA",C29))),"Personal Travel - New Orleans",IF(AND(YEAR(B29)=2025,MONTH(B29)=4,OR(ISNUMBER(SEARCH("EXCHANGE RATE",C29)),ISNUMBER(SEARCH("EXCHG RTE",C29)))),"Personal Travel - Italy",IFERROR(INDEX('Category Rules'!$B$2:$B$358,MATCH(TRUE,ISNUMBER(SEARCH('Category Rules'!$A$2:$A$358,C29)),0)),""))))))))</f>
        <v>Personal - House Bills</v>
      </c>
    </row>
    <row r="30" spans="1:7" x14ac:dyDescent="0.25">
      <c r="A30" t="s">
        <v>6</v>
      </c>
      <c r="B30" s="1">
        <v>46020</v>
      </c>
      <c r="C30" t="s">
        <v>35</v>
      </c>
      <c r="D30">
        <v>-340</v>
      </c>
      <c r="E30" t="s">
        <v>33</v>
      </c>
      <c r="F30">
        <v>4162.79</v>
      </c>
      <c r="G30" t="str" cm="1">
        <f t="array" ref="G30">IF(AND(ISNUMBER(SEARCH("UBER",C30)),ISNUMBER(SEARCH("EATS",C30))),"Uber Eats",IF(LEFT(C30,6)="CHECK ","Checks Paid",IF(OR(E30="BILLPAY",ISNUMBER(SEARCH("FRANCHISE TAX",C30)),ISNUMBER(SEARCH("NEXTLINK",C30))),"Personal - House Bills",IF(AND(ISNUMBER(SEARCH("PAYMENT FROM",C30)),ISNUMBER(SEARCH("JOE SAUNDERS",C30))),"Zelle from Joe Saunders",IF(AND(ISNUMBER(SEARCH("PAYMENT TO",C30)),ISNUMBER(SEARCH("JOE SAUNDERS",C30))),"Zelle to Joe Saunders",IF(OR(ISNUMBER(SEARCH("NEW ORLEANS",C30)),ISNUMBER(SEARCH("KENNER",C30)),ISNUMBER(SEARCH("HENRY HOWARD",C30)),ISNUMBER(SEARCH("MISS CLAUDIA",C30))),"Personal Travel - New Orleans",IF(AND(YEAR(B30)=2025,MONTH(B30)=4,OR(ISNUMBER(SEARCH("EXCHANGE RATE",C30)),ISNUMBER(SEARCH("EXCHG RTE",C30)))),"Personal Travel - Italy",IFERROR(INDEX('Category Rules'!$B$2:$B$358,MATCH(TRUE,ISNUMBER(SEARCH('Category Rules'!$A$2:$A$358,C30)),0)),""))))))))</f>
        <v>Personal - House Bills</v>
      </c>
    </row>
    <row r="31" spans="1:7" x14ac:dyDescent="0.25">
      <c r="A31" t="s">
        <v>6</v>
      </c>
      <c r="B31" s="1">
        <v>46020</v>
      </c>
      <c r="C31" t="s">
        <v>36</v>
      </c>
      <c r="D31">
        <v>-320</v>
      </c>
      <c r="E31" t="s">
        <v>33</v>
      </c>
      <c r="F31">
        <v>4502.79</v>
      </c>
      <c r="G31" t="str" cm="1">
        <f t="array" ref="G31">IF(AND(ISNUMBER(SEARCH("UBER",C31)),ISNUMBER(SEARCH("EATS",C31))),"Uber Eats",IF(LEFT(C31,6)="CHECK ","Checks Paid",IF(OR(E31="BILLPAY",ISNUMBER(SEARCH("FRANCHISE TAX",C31)),ISNUMBER(SEARCH("NEXTLINK",C31))),"Personal - House Bills",IF(AND(ISNUMBER(SEARCH("PAYMENT FROM",C31)),ISNUMBER(SEARCH("JOE SAUNDERS",C31))),"Zelle from Joe Saunders",IF(AND(ISNUMBER(SEARCH("PAYMENT TO",C31)),ISNUMBER(SEARCH("JOE SAUNDERS",C31))),"Zelle to Joe Saunders",IF(OR(ISNUMBER(SEARCH("NEW ORLEANS",C31)),ISNUMBER(SEARCH("KENNER",C31)),ISNUMBER(SEARCH("HENRY HOWARD",C31)),ISNUMBER(SEARCH("MISS CLAUDIA",C31))),"Personal Travel - New Orleans",IF(AND(YEAR(B31)=2025,MONTH(B31)=4,OR(ISNUMBER(SEARCH("EXCHANGE RATE",C31)),ISNUMBER(SEARCH("EXCHG RTE",C31)))),"Personal Travel - Italy",IFERROR(INDEX('Category Rules'!$B$2:$B$358,MATCH(TRUE,ISNUMBER(SEARCH('Category Rules'!$A$2:$A$358,C31)),0)),""))))))))</f>
        <v>Personal - House Bills</v>
      </c>
    </row>
    <row r="32" spans="1:7" x14ac:dyDescent="0.25">
      <c r="A32" t="s">
        <v>6</v>
      </c>
      <c r="B32" s="1">
        <v>46020</v>
      </c>
      <c r="C32" t="s">
        <v>37</v>
      </c>
      <c r="D32">
        <v>-700</v>
      </c>
      <c r="E32" t="s">
        <v>33</v>
      </c>
      <c r="F32">
        <v>4822.79</v>
      </c>
      <c r="G32" t="str" cm="1">
        <f t="array" ref="G32">IF(AND(ISNUMBER(SEARCH("UBER",C32)),ISNUMBER(SEARCH("EATS",C32))),"Uber Eats",IF(LEFT(C32,6)="CHECK ","Checks Paid",IF(OR(E32="BILLPAY",ISNUMBER(SEARCH("FRANCHISE TAX",C32)),ISNUMBER(SEARCH("NEXTLINK",C32))),"Personal - House Bills",IF(AND(ISNUMBER(SEARCH("PAYMENT FROM",C32)),ISNUMBER(SEARCH("JOE SAUNDERS",C32))),"Zelle from Joe Saunders",IF(AND(ISNUMBER(SEARCH("PAYMENT TO",C32)),ISNUMBER(SEARCH("JOE SAUNDERS",C32))),"Zelle to Joe Saunders",IF(OR(ISNUMBER(SEARCH("NEW ORLEANS",C32)),ISNUMBER(SEARCH("KENNER",C32)),ISNUMBER(SEARCH("HENRY HOWARD",C32)),ISNUMBER(SEARCH("MISS CLAUDIA",C32))),"Personal Travel - New Orleans",IF(AND(YEAR(B32)=2025,MONTH(B32)=4,OR(ISNUMBER(SEARCH("EXCHANGE RATE",C32)),ISNUMBER(SEARCH("EXCHG RTE",C32)))),"Personal Travel - Italy",IFERROR(INDEX('Category Rules'!$B$2:$B$358,MATCH(TRUE,ISNUMBER(SEARCH('Category Rules'!$A$2:$A$358,C32)),0)),""))))))))</f>
        <v>Personal - House Bills</v>
      </c>
    </row>
    <row r="33" spans="1:7" x14ac:dyDescent="0.25">
      <c r="A33" t="s">
        <v>6</v>
      </c>
      <c r="B33" s="1">
        <v>46020</v>
      </c>
      <c r="C33" t="s">
        <v>38</v>
      </c>
      <c r="D33">
        <v>-500</v>
      </c>
      <c r="E33" t="s">
        <v>39</v>
      </c>
      <c r="F33">
        <v>5522.79</v>
      </c>
      <c r="G33" t="str" cm="1">
        <f t="array" ref="G33">IF(AND(ISNUMBER(SEARCH("UBER",C33)),ISNUMBER(SEARCH("EATS",C33))),"Uber Eats",IF(LEFT(C33,6)="CHECK ","Checks Paid",IF(OR(E33="BILLPAY",ISNUMBER(SEARCH("FRANCHISE TAX",C33)),ISNUMBER(SEARCH("NEXTLINK",C33))),"Personal - House Bills",IF(AND(ISNUMBER(SEARCH("PAYMENT FROM",C33)),ISNUMBER(SEARCH("JOE SAUNDERS",C33))),"Zelle from Joe Saunders",IF(AND(ISNUMBER(SEARCH("PAYMENT TO",C33)),ISNUMBER(SEARCH("JOE SAUNDERS",C33))),"Zelle to Joe Saunders",IF(OR(ISNUMBER(SEARCH("NEW ORLEANS",C33)),ISNUMBER(SEARCH("KENNER",C33)),ISNUMBER(SEARCH("HENRY HOWARD",C33)),ISNUMBER(SEARCH("MISS CLAUDIA",C33))),"Personal Travel - New Orleans",IF(AND(YEAR(B33)=2025,MONTH(B33)=4,OR(ISNUMBER(SEARCH("EXCHANGE RATE",C33)),ISNUMBER(SEARCH("EXCHG RTE",C33)))),"Personal Travel - Italy",IFERROR(INDEX('Category Rules'!$B$2:$B$358,MATCH(TRUE,ISNUMBER(SEARCH('Category Rules'!$A$2:$A$358,C33)),0)),""))))))))</f>
        <v>Zelle to Shaffa</v>
      </c>
    </row>
    <row r="34" spans="1:7" x14ac:dyDescent="0.25">
      <c r="A34" t="s">
        <v>6</v>
      </c>
      <c r="B34" s="1">
        <v>46020</v>
      </c>
      <c r="C34" t="s">
        <v>40</v>
      </c>
      <c r="D34">
        <v>-5.99</v>
      </c>
      <c r="E34" t="s">
        <v>10</v>
      </c>
      <c r="F34">
        <v>6022.79</v>
      </c>
      <c r="G34" t="str" cm="1">
        <f t="array" ref="G34">IF(AND(ISNUMBER(SEARCH("UBER",C34)),ISNUMBER(SEARCH("EATS",C34))),"Uber Eats",IF(LEFT(C34,6)="CHECK ","Checks Paid",IF(OR(E34="BILLPAY",ISNUMBER(SEARCH("FRANCHISE TAX",C34)),ISNUMBER(SEARCH("NEXTLINK",C34))),"Personal - House Bills",IF(AND(ISNUMBER(SEARCH("PAYMENT FROM",C34)),ISNUMBER(SEARCH("JOE SAUNDERS",C34))),"Zelle from Joe Saunders",IF(AND(ISNUMBER(SEARCH("PAYMENT TO",C34)),ISNUMBER(SEARCH("JOE SAUNDERS",C34))),"Zelle to Joe Saunders",IF(OR(ISNUMBER(SEARCH("NEW ORLEANS",C34)),ISNUMBER(SEARCH("KENNER",C34)),ISNUMBER(SEARCH("HENRY HOWARD",C34)),ISNUMBER(SEARCH("MISS CLAUDIA",C34))),"Personal Travel - New Orleans",IF(AND(YEAR(B34)=2025,MONTH(B34)=4,OR(ISNUMBER(SEARCH("EXCHANGE RATE",C34)),ISNUMBER(SEARCH("EXCHG RTE",C34)))),"Personal Travel - Italy",IFERROR(INDEX('Category Rules'!$B$2:$B$358,MATCH(TRUE,ISNUMBER(SEARCH('Category Rules'!$A$2:$A$358,C34)),0)),""))))))))</f>
        <v>Personal - Subscription</v>
      </c>
    </row>
    <row r="35" spans="1:7" x14ac:dyDescent="0.25">
      <c r="A35" t="s">
        <v>6</v>
      </c>
      <c r="B35" s="1">
        <v>46020</v>
      </c>
      <c r="C35" t="s">
        <v>41</v>
      </c>
      <c r="D35">
        <v>-6.99</v>
      </c>
      <c r="E35" t="s">
        <v>10</v>
      </c>
      <c r="F35">
        <v>6028.78</v>
      </c>
      <c r="G35" t="str" cm="1">
        <f t="array" ref="G35">IF(AND(ISNUMBER(SEARCH("UBER",C35)),ISNUMBER(SEARCH("EATS",C35))),"Uber Eats",IF(LEFT(C35,6)="CHECK ","Checks Paid",IF(OR(E35="BILLPAY",ISNUMBER(SEARCH("FRANCHISE TAX",C35)),ISNUMBER(SEARCH("NEXTLINK",C35))),"Personal - House Bills",IF(AND(ISNUMBER(SEARCH("PAYMENT FROM",C35)),ISNUMBER(SEARCH("JOE SAUNDERS",C35))),"Zelle from Joe Saunders",IF(AND(ISNUMBER(SEARCH("PAYMENT TO",C35)),ISNUMBER(SEARCH("JOE SAUNDERS",C35))),"Zelle to Joe Saunders",IF(OR(ISNUMBER(SEARCH("NEW ORLEANS",C35)),ISNUMBER(SEARCH("KENNER",C35)),ISNUMBER(SEARCH("HENRY HOWARD",C35)),ISNUMBER(SEARCH("MISS CLAUDIA",C35))),"Personal Travel - New Orleans",IF(AND(YEAR(B35)=2025,MONTH(B35)=4,OR(ISNUMBER(SEARCH("EXCHANGE RATE",C35)),ISNUMBER(SEARCH("EXCHG RTE",C35)))),"Personal Travel - Italy",IFERROR(INDEX('Category Rules'!$B$2:$B$358,MATCH(TRUE,ISNUMBER(SEARCH('Category Rules'!$A$2:$A$358,C35)),0)),""))))))))</f>
        <v>Amazon</v>
      </c>
    </row>
    <row r="36" spans="1:7" x14ac:dyDescent="0.25">
      <c r="A36" t="s">
        <v>6</v>
      </c>
      <c r="B36" s="1">
        <v>46020</v>
      </c>
      <c r="C36" t="s">
        <v>42</v>
      </c>
      <c r="D36">
        <v>-18.48</v>
      </c>
      <c r="E36" t="s">
        <v>10</v>
      </c>
      <c r="F36">
        <v>6035.77</v>
      </c>
      <c r="G36" t="str" cm="1">
        <f t="array" ref="G36">IF(AND(ISNUMBER(SEARCH("UBER",C36)),ISNUMBER(SEARCH("EATS",C36))),"Uber Eats",IF(LEFT(C36,6)="CHECK ","Checks Paid",IF(OR(E36="BILLPAY",ISNUMBER(SEARCH("FRANCHISE TAX",C36)),ISNUMBER(SEARCH("NEXTLINK",C36))),"Personal - House Bills",IF(AND(ISNUMBER(SEARCH("PAYMENT FROM",C36)),ISNUMBER(SEARCH("JOE SAUNDERS",C36))),"Zelle from Joe Saunders",IF(AND(ISNUMBER(SEARCH("PAYMENT TO",C36)),ISNUMBER(SEARCH("JOE SAUNDERS",C36))),"Zelle to Joe Saunders",IF(OR(ISNUMBER(SEARCH("NEW ORLEANS",C36)),ISNUMBER(SEARCH("KENNER",C36)),ISNUMBER(SEARCH("HENRY HOWARD",C36)),ISNUMBER(SEARCH("MISS CLAUDIA",C36))),"Personal Travel - New Orleans",IF(AND(YEAR(B36)=2025,MONTH(B36)=4,OR(ISNUMBER(SEARCH("EXCHANGE RATE",C36)),ISNUMBER(SEARCH("EXCHG RTE",C36)))),"Personal Travel - Italy",IFERROR(INDEX('Category Rules'!$B$2:$B$358,MATCH(TRUE,ISNUMBER(SEARCH('Category Rules'!$A$2:$A$358,C36)),0)),""))))))))</f>
        <v>Personal Travel - Canada</v>
      </c>
    </row>
    <row r="37" spans="1:7" x14ac:dyDescent="0.25">
      <c r="A37" t="s">
        <v>6</v>
      </c>
      <c r="B37" s="1">
        <v>46020</v>
      </c>
      <c r="C37" t="s">
        <v>43</v>
      </c>
      <c r="D37">
        <v>-509.2</v>
      </c>
      <c r="E37" t="s">
        <v>10</v>
      </c>
      <c r="F37">
        <v>6054.25</v>
      </c>
      <c r="G37" t="str" cm="1">
        <f t="array" ref="G37">IF(AND(ISNUMBER(SEARCH("UBER",C37)),ISNUMBER(SEARCH("EATS",C37))),"Uber Eats",IF(LEFT(C37,6)="CHECK ","Checks Paid",IF(OR(E37="BILLPAY",ISNUMBER(SEARCH("FRANCHISE TAX",C37)),ISNUMBER(SEARCH("NEXTLINK",C37))),"Personal - House Bills",IF(AND(ISNUMBER(SEARCH("PAYMENT FROM",C37)),ISNUMBER(SEARCH("JOE SAUNDERS",C37))),"Zelle from Joe Saunders",IF(AND(ISNUMBER(SEARCH("PAYMENT TO",C37)),ISNUMBER(SEARCH("JOE SAUNDERS",C37))),"Zelle to Joe Saunders",IF(OR(ISNUMBER(SEARCH("NEW ORLEANS",C37)),ISNUMBER(SEARCH("KENNER",C37)),ISNUMBER(SEARCH("HENRY HOWARD",C37)),ISNUMBER(SEARCH("MISS CLAUDIA",C37))),"Personal Travel - New Orleans",IF(AND(YEAR(B37)=2025,MONTH(B37)=4,OR(ISNUMBER(SEARCH("EXCHANGE RATE",C37)),ISNUMBER(SEARCH("EXCHG RTE",C37)))),"Personal Travel - Italy",IFERROR(INDEX('Category Rules'!$B$2:$B$358,MATCH(TRUE,ISNUMBER(SEARCH('Category Rules'!$A$2:$A$358,C37)),0)),""))))))))</f>
        <v>Personal - Shopping</v>
      </c>
    </row>
    <row r="38" spans="1:7" x14ac:dyDescent="0.25">
      <c r="A38" t="s">
        <v>44</v>
      </c>
      <c r="B38" s="1">
        <v>46020</v>
      </c>
      <c r="C38" t="s">
        <v>45</v>
      </c>
      <c r="D38">
        <v>300</v>
      </c>
      <c r="E38" t="s">
        <v>46</v>
      </c>
      <c r="F38">
        <v>6563.45</v>
      </c>
      <c r="G38" t="str" cm="1">
        <f t="array" ref="G38">IF(AND(ISNUMBER(SEARCH("UBER",C38)),ISNUMBER(SEARCH("EATS",C38))),"Uber Eats",IF(LEFT(C38,6)="CHECK ","Checks Paid",IF(OR(E38="BILLPAY",ISNUMBER(SEARCH("FRANCHISE TAX",C38)),ISNUMBER(SEARCH("NEXTLINK",C38))),"Personal - House Bills",IF(AND(ISNUMBER(SEARCH("PAYMENT FROM",C38)),ISNUMBER(SEARCH("JOE SAUNDERS",C38))),"Zelle from Joe Saunders",IF(AND(ISNUMBER(SEARCH("PAYMENT TO",C38)),ISNUMBER(SEARCH("JOE SAUNDERS",C38))),"Zelle to Joe Saunders",IF(OR(ISNUMBER(SEARCH("NEW ORLEANS",C38)),ISNUMBER(SEARCH("KENNER",C38)),ISNUMBER(SEARCH("HENRY HOWARD",C38)),ISNUMBER(SEARCH("MISS CLAUDIA",C38))),"Personal Travel - New Orleans",IF(AND(YEAR(B38)=2025,MONTH(B38)=4,OR(ISNUMBER(SEARCH("EXCHANGE RATE",C38)),ISNUMBER(SEARCH("EXCHG RTE",C38)))),"Personal Travel - Italy",IFERROR(INDEX('Category Rules'!$B$2:$B$358,MATCH(TRUE,ISNUMBER(SEARCH('Category Rules'!$A$2:$A$358,C38)),0)),""))))))))</f>
        <v>Zelle from Rose Li</v>
      </c>
    </row>
    <row r="39" spans="1:7" x14ac:dyDescent="0.25">
      <c r="A39" t="s">
        <v>6</v>
      </c>
      <c r="B39" s="1">
        <v>46017</v>
      </c>
      <c r="C39" t="s">
        <v>47</v>
      </c>
      <c r="D39">
        <v>-101.35</v>
      </c>
      <c r="E39" t="s">
        <v>10</v>
      </c>
      <c r="F39">
        <v>6263.45</v>
      </c>
      <c r="G39" t="str" cm="1">
        <f t="array" ref="G39">IF(AND(ISNUMBER(SEARCH("UBER",C39)),ISNUMBER(SEARCH("EATS",C39))),"Uber Eats",IF(LEFT(C39,6)="CHECK ","Checks Paid",IF(OR(E39="BILLPAY",ISNUMBER(SEARCH("FRANCHISE TAX",C39)),ISNUMBER(SEARCH("NEXTLINK",C39))),"Personal - House Bills",IF(AND(ISNUMBER(SEARCH("PAYMENT FROM",C39)),ISNUMBER(SEARCH("JOE SAUNDERS",C39))),"Zelle from Joe Saunders",IF(AND(ISNUMBER(SEARCH("PAYMENT TO",C39)),ISNUMBER(SEARCH("JOE SAUNDERS",C39))),"Zelle to Joe Saunders",IF(OR(ISNUMBER(SEARCH("NEW ORLEANS",C39)),ISNUMBER(SEARCH("KENNER",C39)),ISNUMBER(SEARCH("HENRY HOWARD",C39)),ISNUMBER(SEARCH("MISS CLAUDIA",C39))),"Personal Travel - New Orleans",IF(AND(YEAR(B39)=2025,MONTH(B39)=4,OR(ISNUMBER(SEARCH("EXCHANGE RATE",C39)),ISNUMBER(SEARCH("EXCHG RTE",C39)))),"Personal Travel - Italy",IFERROR(INDEX('Category Rules'!$B$2:$B$358,MATCH(TRUE,ISNUMBER(SEARCH('Category Rules'!$A$2:$A$358,C39)),0)),""))))))))</f>
        <v>Personal - Shopping</v>
      </c>
    </row>
    <row r="40" spans="1:7" x14ac:dyDescent="0.25">
      <c r="A40" t="s">
        <v>6</v>
      </c>
      <c r="B40" s="1">
        <v>46017</v>
      </c>
      <c r="C40" t="s">
        <v>48</v>
      </c>
      <c r="D40">
        <v>-195.4</v>
      </c>
      <c r="E40" t="s">
        <v>10</v>
      </c>
      <c r="F40">
        <v>6364.8</v>
      </c>
      <c r="G40" t="str" cm="1">
        <f t="array" ref="G40">IF(AND(ISNUMBER(SEARCH("UBER",C40)),ISNUMBER(SEARCH("EATS",C40))),"Uber Eats",IF(LEFT(C40,6)="CHECK ","Checks Paid",IF(OR(E40="BILLPAY",ISNUMBER(SEARCH("FRANCHISE TAX",C40)),ISNUMBER(SEARCH("NEXTLINK",C40))),"Personal - House Bills",IF(AND(ISNUMBER(SEARCH("PAYMENT FROM",C40)),ISNUMBER(SEARCH("JOE SAUNDERS",C40))),"Zelle from Joe Saunders",IF(AND(ISNUMBER(SEARCH("PAYMENT TO",C40)),ISNUMBER(SEARCH("JOE SAUNDERS",C40))),"Zelle to Joe Saunders",IF(OR(ISNUMBER(SEARCH("NEW ORLEANS",C40)),ISNUMBER(SEARCH("KENNER",C40)),ISNUMBER(SEARCH("HENRY HOWARD",C40)),ISNUMBER(SEARCH("MISS CLAUDIA",C40))),"Personal Travel - New Orleans",IF(AND(YEAR(B40)=2025,MONTH(B40)=4,OR(ISNUMBER(SEARCH("EXCHANGE RATE",C40)),ISNUMBER(SEARCH("EXCHG RTE",C40)))),"Personal Travel - Italy",IFERROR(INDEX('Category Rules'!$B$2:$B$358,MATCH(TRUE,ISNUMBER(SEARCH('Category Rules'!$A$2:$A$358,C40)),0)),""))))))))</f>
        <v>Personal - Shopping</v>
      </c>
    </row>
    <row r="41" spans="1:7" x14ac:dyDescent="0.25">
      <c r="A41" t="s">
        <v>6</v>
      </c>
      <c r="B41" s="1">
        <v>46017</v>
      </c>
      <c r="C41" t="s">
        <v>49</v>
      </c>
      <c r="D41">
        <v>-15</v>
      </c>
      <c r="E41" t="s">
        <v>10</v>
      </c>
      <c r="F41">
        <v>6560.2</v>
      </c>
      <c r="G41" t="str" cm="1">
        <f t="array" ref="G41">IF(AND(ISNUMBER(SEARCH("UBER",C41)),ISNUMBER(SEARCH("EATS",C41))),"Uber Eats",IF(LEFT(C41,6)="CHECK ","Checks Paid",IF(OR(E41="BILLPAY",ISNUMBER(SEARCH("FRANCHISE TAX",C41)),ISNUMBER(SEARCH("NEXTLINK",C41))),"Personal - House Bills",IF(AND(ISNUMBER(SEARCH("PAYMENT FROM",C41)),ISNUMBER(SEARCH("JOE SAUNDERS",C41))),"Zelle from Joe Saunders",IF(AND(ISNUMBER(SEARCH("PAYMENT TO",C41)),ISNUMBER(SEARCH("JOE SAUNDERS",C41))),"Zelle to Joe Saunders",IF(OR(ISNUMBER(SEARCH("NEW ORLEANS",C41)),ISNUMBER(SEARCH("KENNER",C41)),ISNUMBER(SEARCH("HENRY HOWARD",C41)),ISNUMBER(SEARCH("MISS CLAUDIA",C41))),"Personal Travel - New Orleans",IF(AND(YEAR(B41)=2025,MONTH(B41)=4,OR(ISNUMBER(SEARCH("EXCHANGE RATE",C41)),ISNUMBER(SEARCH("EXCHG RTE",C41)))),"Personal Travel - Italy",IFERROR(INDEX('Category Rules'!$B$2:$B$358,MATCH(TRUE,ISNUMBER(SEARCH('Category Rules'!$A$2:$A$358,C41)),0)),""))))))))</f>
        <v>Personal - Subscription</v>
      </c>
    </row>
    <row r="42" spans="1:7" x14ac:dyDescent="0.25">
      <c r="A42" t="s">
        <v>6</v>
      </c>
      <c r="B42" s="1">
        <v>46017</v>
      </c>
      <c r="C42" t="s">
        <v>50</v>
      </c>
      <c r="D42">
        <v>-16.45</v>
      </c>
      <c r="E42" t="s">
        <v>10</v>
      </c>
      <c r="F42">
        <v>6575.2</v>
      </c>
      <c r="G42" t="str" cm="1">
        <f t="array" ref="G42">IF(AND(ISNUMBER(SEARCH("UBER",C42)),ISNUMBER(SEARCH("EATS",C42))),"Uber Eats",IF(LEFT(C42,6)="CHECK ","Checks Paid",IF(OR(E42="BILLPAY",ISNUMBER(SEARCH("FRANCHISE TAX",C42)),ISNUMBER(SEARCH("NEXTLINK",C42))),"Personal - House Bills",IF(AND(ISNUMBER(SEARCH("PAYMENT FROM",C42)),ISNUMBER(SEARCH("JOE SAUNDERS",C42))),"Zelle from Joe Saunders",IF(AND(ISNUMBER(SEARCH("PAYMENT TO",C42)),ISNUMBER(SEARCH("JOE SAUNDERS",C42))),"Zelle to Joe Saunders",IF(OR(ISNUMBER(SEARCH("NEW ORLEANS",C42)),ISNUMBER(SEARCH("KENNER",C42)),ISNUMBER(SEARCH("HENRY HOWARD",C42)),ISNUMBER(SEARCH("MISS CLAUDIA",C42))),"Personal Travel - New Orleans",IF(AND(YEAR(B42)=2025,MONTH(B42)=4,OR(ISNUMBER(SEARCH("EXCHANGE RATE",C42)),ISNUMBER(SEARCH("EXCHG RTE",C42)))),"Personal Travel - Italy",IFERROR(INDEX('Category Rules'!$B$2:$B$358,MATCH(TRUE,ISNUMBER(SEARCH('Category Rules'!$A$2:$A$358,C42)),0)),""))))))))</f>
        <v>Amazon</v>
      </c>
    </row>
    <row r="43" spans="1:7" x14ac:dyDescent="0.25">
      <c r="A43" t="s">
        <v>6</v>
      </c>
      <c r="B43" s="1">
        <v>46017</v>
      </c>
      <c r="C43" t="s">
        <v>51</v>
      </c>
      <c r="D43">
        <v>-608.30999999999995</v>
      </c>
      <c r="E43" t="s">
        <v>10</v>
      </c>
      <c r="F43">
        <v>6591.65</v>
      </c>
      <c r="G43" t="str" cm="1">
        <f t="array" ref="G43">IF(AND(ISNUMBER(SEARCH("UBER",C43)),ISNUMBER(SEARCH("EATS",C43))),"Uber Eats",IF(LEFT(C43,6)="CHECK ","Checks Paid",IF(OR(E43="BILLPAY",ISNUMBER(SEARCH("FRANCHISE TAX",C43)),ISNUMBER(SEARCH("NEXTLINK",C43))),"Personal - House Bills",IF(AND(ISNUMBER(SEARCH("PAYMENT FROM",C43)),ISNUMBER(SEARCH("JOE SAUNDERS",C43))),"Zelle from Joe Saunders",IF(AND(ISNUMBER(SEARCH("PAYMENT TO",C43)),ISNUMBER(SEARCH("JOE SAUNDERS",C43))),"Zelle to Joe Saunders",IF(OR(ISNUMBER(SEARCH("NEW ORLEANS",C43)),ISNUMBER(SEARCH("KENNER",C43)),ISNUMBER(SEARCH("HENRY HOWARD",C43)),ISNUMBER(SEARCH("MISS CLAUDIA",C43))),"Personal Travel - New Orleans",IF(AND(YEAR(B43)=2025,MONTH(B43)=4,OR(ISNUMBER(SEARCH("EXCHANGE RATE",C43)),ISNUMBER(SEARCH("EXCHG RTE",C43)))),"Personal Travel - Italy",IFERROR(INDEX('Category Rules'!$B$2:$B$358,MATCH(TRUE,ISNUMBER(SEARCH('Category Rules'!$A$2:$A$358,C43)),0)),""))))))))</f>
        <v>AT&amp;T</v>
      </c>
    </row>
    <row r="44" spans="1:7" x14ac:dyDescent="0.25">
      <c r="A44" t="s">
        <v>6</v>
      </c>
      <c r="B44" s="1">
        <v>46015</v>
      </c>
      <c r="C44" t="s">
        <v>52</v>
      </c>
      <c r="D44">
        <v>-0.43</v>
      </c>
      <c r="E44" t="s">
        <v>8</v>
      </c>
      <c r="F44">
        <v>7199.96</v>
      </c>
      <c r="G44" t="str" cm="1">
        <f t="array" ref="G44">IF(AND(ISNUMBER(SEARCH("UBER",C44)),ISNUMBER(SEARCH("EATS",C44))),"Uber Eats",IF(LEFT(C44,6)="CHECK ","Checks Paid",IF(OR(E44="BILLPAY",ISNUMBER(SEARCH("FRANCHISE TAX",C44)),ISNUMBER(SEARCH("NEXTLINK",C44))),"Personal - House Bills",IF(AND(ISNUMBER(SEARCH("PAYMENT FROM",C44)),ISNUMBER(SEARCH("JOE SAUNDERS",C44))),"Zelle from Joe Saunders",IF(AND(ISNUMBER(SEARCH("PAYMENT TO",C44)),ISNUMBER(SEARCH("JOE SAUNDERS",C44))),"Zelle to Joe Saunders",IF(OR(ISNUMBER(SEARCH("NEW ORLEANS",C44)),ISNUMBER(SEARCH("KENNER",C44)),ISNUMBER(SEARCH("HENRY HOWARD",C44)),ISNUMBER(SEARCH("MISS CLAUDIA",C44))),"Personal Travel - New Orleans",IF(AND(YEAR(B44)=2025,MONTH(B44)=4,OR(ISNUMBER(SEARCH("EXCHANGE RATE",C44)),ISNUMBER(SEARCH("EXCHG RTE",C44)))),"Personal Travel - Italy",IFERROR(INDEX('Category Rules'!$B$2:$B$358,MATCH(TRUE,ISNUMBER(SEARCH('Category Rules'!$A$2:$A$358,C44)),0)),""))))))))</f>
        <v>Personal Travel - Canada</v>
      </c>
    </row>
    <row r="45" spans="1:7" x14ac:dyDescent="0.25">
      <c r="A45" t="s">
        <v>6</v>
      </c>
      <c r="B45" s="1">
        <v>46015</v>
      </c>
      <c r="C45" t="s">
        <v>53</v>
      </c>
      <c r="D45">
        <v>-14.56</v>
      </c>
      <c r="E45" t="s">
        <v>10</v>
      </c>
      <c r="F45">
        <v>7200.39</v>
      </c>
      <c r="G45" t="str" cm="1">
        <f t="array" ref="G45">IF(AND(ISNUMBER(SEARCH("UBER",C45)),ISNUMBER(SEARCH("EATS",C45))),"Uber Eats",IF(LEFT(C45,6)="CHECK ","Checks Paid",IF(OR(E45="BILLPAY",ISNUMBER(SEARCH("FRANCHISE TAX",C45)),ISNUMBER(SEARCH("NEXTLINK",C45))),"Personal - House Bills",IF(AND(ISNUMBER(SEARCH("PAYMENT FROM",C45)),ISNUMBER(SEARCH("JOE SAUNDERS",C45))),"Zelle from Joe Saunders",IF(AND(ISNUMBER(SEARCH("PAYMENT TO",C45)),ISNUMBER(SEARCH("JOE SAUNDERS",C45))),"Zelle to Joe Saunders",IF(OR(ISNUMBER(SEARCH("NEW ORLEANS",C45)),ISNUMBER(SEARCH("KENNER",C45)),ISNUMBER(SEARCH("HENRY HOWARD",C45)),ISNUMBER(SEARCH("MISS CLAUDIA",C45))),"Personal Travel - New Orleans",IF(AND(YEAR(B45)=2025,MONTH(B45)=4,OR(ISNUMBER(SEARCH("EXCHANGE RATE",C45)),ISNUMBER(SEARCH("EXCHG RTE",C45)))),"Personal Travel - Italy",IFERROR(INDEX('Category Rules'!$B$2:$B$358,MATCH(TRUE,ISNUMBER(SEARCH('Category Rules'!$A$2:$A$358,C45)),0)),""))))))))</f>
        <v>Personal Travel - Canada</v>
      </c>
    </row>
    <row r="46" spans="1:7" x14ac:dyDescent="0.25">
      <c r="A46" t="s">
        <v>6</v>
      </c>
      <c r="B46" s="1">
        <v>46015</v>
      </c>
      <c r="C46" t="s">
        <v>54</v>
      </c>
      <c r="D46">
        <v>614.57000000000005</v>
      </c>
      <c r="E46" t="s">
        <v>10</v>
      </c>
      <c r="F46">
        <v>7214.95</v>
      </c>
      <c r="G46" t="str" cm="1">
        <f t="array" ref="G46">IF(AND(ISNUMBER(SEARCH("UBER",C46)),ISNUMBER(SEARCH("EATS",C46))),"Uber Eats",IF(LEFT(C46,6)="CHECK ","Checks Paid",IF(OR(E46="BILLPAY",ISNUMBER(SEARCH("FRANCHISE TAX",C46)),ISNUMBER(SEARCH("NEXTLINK",C46))),"Personal - House Bills",IF(AND(ISNUMBER(SEARCH("PAYMENT FROM",C46)),ISNUMBER(SEARCH("JOE SAUNDERS",C46))),"Zelle from Joe Saunders",IF(AND(ISNUMBER(SEARCH("PAYMENT TO",C46)),ISNUMBER(SEARCH("JOE SAUNDERS",C46))),"Zelle to Joe Saunders",IF(OR(ISNUMBER(SEARCH("NEW ORLEANS",C46)),ISNUMBER(SEARCH("KENNER",C46)),ISNUMBER(SEARCH("HENRY HOWARD",C46)),ISNUMBER(SEARCH("MISS CLAUDIA",C46))),"Personal Travel - New Orleans",IF(AND(YEAR(B46)=2025,MONTH(B46)=4,OR(ISNUMBER(SEARCH("EXCHANGE RATE",C46)),ISNUMBER(SEARCH("EXCHG RTE",C46)))),"Personal Travel - Italy",IFERROR(INDEX('Category Rules'!$B$2:$B$358,MATCH(TRUE,ISNUMBER(SEARCH('Category Rules'!$A$2:$A$358,C46)),0)),""))))))))</f>
        <v>Personal Travel</v>
      </c>
    </row>
    <row r="47" spans="1:7" x14ac:dyDescent="0.25">
      <c r="A47" t="s">
        <v>6</v>
      </c>
      <c r="B47" s="1">
        <v>46015</v>
      </c>
      <c r="C47" t="s">
        <v>54</v>
      </c>
      <c r="D47">
        <v>614.57000000000005</v>
      </c>
      <c r="E47" t="s">
        <v>10</v>
      </c>
      <c r="F47">
        <v>6600.38</v>
      </c>
      <c r="G47" t="str" cm="1">
        <f t="array" ref="G47">IF(AND(ISNUMBER(SEARCH("UBER",C47)),ISNUMBER(SEARCH("EATS",C47))),"Uber Eats",IF(LEFT(C47,6)="CHECK ","Checks Paid",IF(OR(E47="BILLPAY",ISNUMBER(SEARCH("FRANCHISE TAX",C47)),ISNUMBER(SEARCH("NEXTLINK",C47))),"Personal - House Bills",IF(AND(ISNUMBER(SEARCH("PAYMENT FROM",C47)),ISNUMBER(SEARCH("JOE SAUNDERS",C47))),"Zelle from Joe Saunders",IF(AND(ISNUMBER(SEARCH("PAYMENT TO",C47)),ISNUMBER(SEARCH("JOE SAUNDERS",C47))),"Zelle to Joe Saunders",IF(OR(ISNUMBER(SEARCH("NEW ORLEANS",C47)),ISNUMBER(SEARCH("KENNER",C47)),ISNUMBER(SEARCH("HENRY HOWARD",C47)),ISNUMBER(SEARCH("MISS CLAUDIA",C47))),"Personal Travel - New Orleans",IF(AND(YEAR(B47)=2025,MONTH(B47)=4,OR(ISNUMBER(SEARCH("EXCHANGE RATE",C47)),ISNUMBER(SEARCH("EXCHG RTE",C47)))),"Personal Travel - Italy",IFERROR(INDEX('Category Rules'!$B$2:$B$358,MATCH(TRUE,ISNUMBER(SEARCH('Category Rules'!$A$2:$A$358,C47)),0)),""))))))))</f>
        <v>Personal Travel</v>
      </c>
    </row>
    <row r="48" spans="1:7" x14ac:dyDescent="0.25">
      <c r="A48" t="s">
        <v>6</v>
      </c>
      <c r="B48" s="1">
        <v>46015</v>
      </c>
      <c r="C48" t="s">
        <v>54</v>
      </c>
      <c r="D48">
        <v>614.57000000000005</v>
      </c>
      <c r="E48" t="s">
        <v>10</v>
      </c>
      <c r="F48">
        <v>5985.81</v>
      </c>
      <c r="G48" t="str" cm="1">
        <f t="array" ref="G48">IF(AND(ISNUMBER(SEARCH("UBER",C48)),ISNUMBER(SEARCH("EATS",C48))),"Uber Eats",IF(LEFT(C48,6)="CHECK ","Checks Paid",IF(OR(E48="BILLPAY",ISNUMBER(SEARCH("FRANCHISE TAX",C48)),ISNUMBER(SEARCH("NEXTLINK",C48))),"Personal - House Bills",IF(AND(ISNUMBER(SEARCH("PAYMENT FROM",C48)),ISNUMBER(SEARCH("JOE SAUNDERS",C48))),"Zelle from Joe Saunders",IF(AND(ISNUMBER(SEARCH("PAYMENT TO",C48)),ISNUMBER(SEARCH("JOE SAUNDERS",C48))),"Zelle to Joe Saunders",IF(OR(ISNUMBER(SEARCH("NEW ORLEANS",C48)),ISNUMBER(SEARCH("KENNER",C48)),ISNUMBER(SEARCH("HENRY HOWARD",C48)),ISNUMBER(SEARCH("MISS CLAUDIA",C48))),"Personal Travel - New Orleans",IF(AND(YEAR(B48)=2025,MONTH(B48)=4,OR(ISNUMBER(SEARCH("EXCHANGE RATE",C48)),ISNUMBER(SEARCH("EXCHG RTE",C48)))),"Personal Travel - Italy",IFERROR(INDEX('Category Rules'!$B$2:$B$358,MATCH(TRUE,ISNUMBER(SEARCH('Category Rules'!$A$2:$A$358,C48)),0)),""))))))))</f>
        <v>Personal Travel</v>
      </c>
    </row>
    <row r="49" spans="1:7" x14ac:dyDescent="0.25">
      <c r="A49" t="s">
        <v>6</v>
      </c>
      <c r="B49" s="1">
        <v>46015</v>
      </c>
      <c r="C49" t="s">
        <v>54</v>
      </c>
      <c r="D49">
        <v>614.57000000000005</v>
      </c>
      <c r="E49" t="s">
        <v>10</v>
      </c>
      <c r="F49">
        <v>5371.24</v>
      </c>
      <c r="G49" t="str" cm="1">
        <f t="array" ref="G49">IF(AND(ISNUMBER(SEARCH("UBER",C49)),ISNUMBER(SEARCH("EATS",C49))),"Uber Eats",IF(LEFT(C49,6)="CHECK ","Checks Paid",IF(OR(E49="BILLPAY",ISNUMBER(SEARCH("FRANCHISE TAX",C49)),ISNUMBER(SEARCH("NEXTLINK",C49))),"Personal - House Bills",IF(AND(ISNUMBER(SEARCH("PAYMENT FROM",C49)),ISNUMBER(SEARCH("JOE SAUNDERS",C49))),"Zelle from Joe Saunders",IF(AND(ISNUMBER(SEARCH("PAYMENT TO",C49)),ISNUMBER(SEARCH("JOE SAUNDERS",C49))),"Zelle to Joe Saunders",IF(OR(ISNUMBER(SEARCH("NEW ORLEANS",C49)),ISNUMBER(SEARCH("KENNER",C49)),ISNUMBER(SEARCH("HENRY HOWARD",C49)),ISNUMBER(SEARCH("MISS CLAUDIA",C49))),"Personal Travel - New Orleans",IF(AND(YEAR(B49)=2025,MONTH(B49)=4,OR(ISNUMBER(SEARCH("EXCHANGE RATE",C49)),ISNUMBER(SEARCH("EXCHG RTE",C49)))),"Personal Travel - Italy",IFERROR(INDEX('Category Rules'!$B$2:$B$358,MATCH(TRUE,ISNUMBER(SEARCH('Category Rules'!$A$2:$A$358,C49)),0)),""))))))))</f>
        <v>Personal Travel</v>
      </c>
    </row>
    <row r="50" spans="1:7" x14ac:dyDescent="0.25">
      <c r="A50" t="s">
        <v>6</v>
      </c>
      <c r="B50" s="1">
        <v>46014</v>
      </c>
      <c r="C50" t="s">
        <v>55</v>
      </c>
      <c r="D50">
        <v>-1.84</v>
      </c>
      <c r="E50" t="s">
        <v>8</v>
      </c>
      <c r="F50">
        <v>4756.67</v>
      </c>
      <c r="G50" t="str" cm="1">
        <f t="array" ref="G50">IF(AND(ISNUMBER(SEARCH("UBER",C50)),ISNUMBER(SEARCH("EATS",C50))),"Uber Eats",IF(LEFT(C50,6)="CHECK ","Checks Paid",IF(OR(E50="BILLPAY",ISNUMBER(SEARCH("FRANCHISE TAX",C50)),ISNUMBER(SEARCH("NEXTLINK",C50))),"Personal - House Bills",IF(AND(ISNUMBER(SEARCH("PAYMENT FROM",C50)),ISNUMBER(SEARCH("JOE SAUNDERS",C50))),"Zelle from Joe Saunders",IF(AND(ISNUMBER(SEARCH("PAYMENT TO",C50)),ISNUMBER(SEARCH("JOE SAUNDERS",C50))),"Zelle to Joe Saunders",IF(OR(ISNUMBER(SEARCH("NEW ORLEANS",C50)),ISNUMBER(SEARCH("KENNER",C50)),ISNUMBER(SEARCH("HENRY HOWARD",C50)),ISNUMBER(SEARCH("MISS CLAUDIA",C50))),"Personal Travel - New Orleans",IF(AND(YEAR(B50)=2025,MONTH(B50)=4,OR(ISNUMBER(SEARCH("EXCHANGE RATE",C50)),ISNUMBER(SEARCH("EXCHG RTE",C50)))),"Personal Travel - Italy",IFERROR(INDEX('Category Rules'!$B$2:$B$358,MATCH(TRUE,ISNUMBER(SEARCH('Category Rules'!$A$2:$A$358,C50)),0)),""))))))))</f>
        <v>Personal Travel - Canada</v>
      </c>
    </row>
    <row r="51" spans="1:7" x14ac:dyDescent="0.25">
      <c r="A51" t="s">
        <v>6</v>
      </c>
      <c r="B51" s="1">
        <v>46014</v>
      </c>
      <c r="C51" t="s">
        <v>56</v>
      </c>
      <c r="D51">
        <v>-10.99</v>
      </c>
      <c r="E51" t="s">
        <v>10</v>
      </c>
      <c r="F51">
        <v>4758.51</v>
      </c>
      <c r="G51" t="str" cm="1">
        <f t="array" ref="G51">IF(AND(ISNUMBER(SEARCH("UBER",C51)),ISNUMBER(SEARCH("EATS",C51))),"Uber Eats",IF(LEFT(C51,6)="CHECK ","Checks Paid",IF(OR(E51="BILLPAY",ISNUMBER(SEARCH("FRANCHISE TAX",C51)),ISNUMBER(SEARCH("NEXTLINK",C51))),"Personal - House Bills",IF(AND(ISNUMBER(SEARCH("PAYMENT FROM",C51)),ISNUMBER(SEARCH("JOE SAUNDERS",C51))),"Zelle from Joe Saunders",IF(AND(ISNUMBER(SEARCH("PAYMENT TO",C51)),ISNUMBER(SEARCH("JOE SAUNDERS",C51))),"Zelle to Joe Saunders",IF(OR(ISNUMBER(SEARCH("NEW ORLEANS",C51)),ISNUMBER(SEARCH("KENNER",C51)),ISNUMBER(SEARCH("HENRY HOWARD",C51)),ISNUMBER(SEARCH("MISS CLAUDIA",C51))),"Personal Travel - New Orleans",IF(AND(YEAR(B51)=2025,MONTH(B51)=4,OR(ISNUMBER(SEARCH("EXCHANGE RATE",C51)),ISNUMBER(SEARCH("EXCHG RTE",C51)))),"Personal Travel - Italy",IFERROR(INDEX('Category Rules'!$B$2:$B$358,MATCH(TRUE,ISNUMBER(SEARCH('Category Rules'!$A$2:$A$358,C51)),0)),""))))))))</f>
        <v>Apple</v>
      </c>
    </row>
    <row r="52" spans="1:7" x14ac:dyDescent="0.25">
      <c r="A52" t="s">
        <v>6</v>
      </c>
      <c r="B52" s="1">
        <v>46014</v>
      </c>
      <c r="C52" t="s">
        <v>57</v>
      </c>
      <c r="D52">
        <v>-373.11</v>
      </c>
      <c r="E52" t="s">
        <v>10</v>
      </c>
      <c r="F52">
        <v>4769.5</v>
      </c>
      <c r="G52" t="str" cm="1">
        <f t="array" ref="G52">IF(AND(ISNUMBER(SEARCH("UBER",C52)),ISNUMBER(SEARCH("EATS",C52))),"Uber Eats",IF(LEFT(C52,6)="CHECK ","Checks Paid",IF(OR(E52="BILLPAY",ISNUMBER(SEARCH("FRANCHISE TAX",C52)),ISNUMBER(SEARCH("NEXTLINK",C52))),"Personal - House Bills",IF(AND(ISNUMBER(SEARCH("PAYMENT FROM",C52)),ISNUMBER(SEARCH("JOE SAUNDERS",C52))),"Zelle from Joe Saunders",IF(AND(ISNUMBER(SEARCH("PAYMENT TO",C52)),ISNUMBER(SEARCH("JOE SAUNDERS",C52))),"Zelle to Joe Saunders",IF(OR(ISNUMBER(SEARCH("NEW ORLEANS",C52)),ISNUMBER(SEARCH("KENNER",C52)),ISNUMBER(SEARCH("HENRY HOWARD",C52)),ISNUMBER(SEARCH("MISS CLAUDIA",C52))),"Personal Travel - New Orleans",IF(AND(YEAR(B52)=2025,MONTH(B52)=4,OR(ISNUMBER(SEARCH("EXCHANGE RATE",C52)),ISNUMBER(SEARCH("EXCHG RTE",C52)))),"Personal Travel - Italy",IFERROR(INDEX('Category Rules'!$B$2:$B$358,MATCH(TRUE,ISNUMBER(SEARCH('Category Rules'!$A$2:$A$358,C52)),0)),""))))))))</f>
        <v>Personal - Shopping</v>
      </c>
    </row>
    <row r="53" spans="1:7" x14ac:dyDescent="0.25">
      <c r="A53" t="s">
        <v>6</v>
      </c>
      <c r="B53" s="1">
        <v>46014</v>
      </c>
      <c r="C53" t="s">
        <v>58</v>
      </c>
      <c r="D53">
        <v>-61.35</v>
      </c>
      <c r="E53" t="s">
        <v>10</v>
      </c>
      <c r="F53">
        <v>5142.6099999999997</v>
      </c>
      <c r="G53" t="str" cm="1">
        <f t="array" ref="G53">IF(AND(ISNUMBER(SEARCH("UBER",C53)),ISNUMBER(SEARCH("EATS",C53))),"Uber Eats",IF(LEFT(C53,6)="CHECK ","Checks Paid",IF(OR(E53="BILLPAY",ISNUMBER(SEARCH("FRANCHISE TAX",C53)),ISNUMBER(SEARCH("NEXTLINK",C53))),"Personal - House Bills",IF(AND(ISNUMBER(SEARCH("PAYMENT FROM",C53)),ISNUMBER(SEARCH("JOE SAUNDERS",C53))),"Zelle from Joe Saunders",IF(AND(ISNUMBER(SEARCH("PAYMENT TO",C53)),ISNUMBER(SEARCH("JOE SAUNDERS",C53))),"Zelle to Joe Saunders",IF(OR(ISNUMBER(SEARCH("NEW ORLEANS",C53)),ISNUMBER(SEARCH("KENNER",C53)),ISNUMBER(SEARCH("HENRY HOWARD",C53)),ISNUMBER(SEARCH("MISS CLAUDIA",C53))),"Personal Travel - New Orleans",IF(AND(YEAR(B53)=2025,MONTH(B53)=4,OR(ISNUMBER(SEARCH("EXCHANGE RATE",C53)),ISNUMBER(SEARCH("EXCHG RTE",C53)))),"Personal Travel - Italy",IFERROR(INDEX('Category Rules'!$B$2:$B$358,MATCH(TRUE,ISNUMBER(SEARCH('Category Rules'!$A$2:$A$358,C53)),0)),""))))))))</f>
        <v>Personal Travel - Canada</v>
      </c>
    </row>
    <row r="54" spans="1:7" x14ac:dyDescent="0.25">
      <c r="A54" t="s">
        <v>6</v>
      </c>
      <c r="B54" s="1">
        <v>46014</v>
      </c>
      <c r="C54" t="s">
        <v>59</v>
      </c>
      <c r="D54">
        <v>-643.22</v>
      </c>
      <c r="E54" t="s">
        <v>10</v>
      </c>
      <c r="F54">
        <v>5203.96</v>
      </c>
      <c r="G54" t="str" cm="1">
        <f t="array" ref="G54">IF(AND(ISNUMBER(SEARCH("UBER",C54)),ISNUMBER(SEARCH("EATS",C54))),"Uber Eats",IF(LEFT(C54,6)="CHECK ","Checks Paid",IF(OR(E54="BILLPAY",ISNUMBER(SEARCH("FRANCHISE TAX",C54)),ISNUMBER(SEARCH("NEXTLINK",C54))),"Personal - House Bills",IF(AND(ISNUMBER(SEARCH("PAYMENT FROM",C54)),ISNUMBER(SEARCH("JOE SAUNDERS",C54))),"Zelle from Joe Saunders",IF(AND(ISNUMBER(SEARCH("PAYMENT TO",C54)),ISNUMBER(SEARCH("JOE SAUNDERS",C54))),"Zelle to Joe Saunders",IF(OR(ISNUMBER(SEARCH("NEW ORLEANS",C54)),ISNUMBER(SEARCH("KENNER",C54)),ISNUMBER(SEARCH("HENRY HOWARD",C54)),ISNUMBER(SEARCH("MISS CLAUDIA",C54))),"Personal Travel - New Orleans",IF(AND(YEAR(B54)=2025,MONTH(B54)=4,OR(ISNUMBER(SEARCH("EXCHANGE RATE",C54)),ISNUMBER(SEARCH("EXCHG RTE",C54)))),"Personal Travel - Italy",IFERROR(INDEX('Category Rules'!$B$2:$B$358,MATCH(TRUE,ISNUMBER(SEARCH('Category Rules'!$A$2:$A$358,C54)),0)),""))))))))</f>
        <v>Personal Travel</v>
      </c>
    </row>
    <row r="55" spans="1:7" x14ac:dyDescent="0.25">
      <c r="A55" t="s">
        <v>6</v>
      </c>
      <c r="B55" s="1">
        <v>46014</v>
      </c>
      <c r="C55" t="s">
        <v>59</v>
      </c>
      <c r="D55">
        <v>-643.22</v>
      </c>
      <c r="E55" t="s">
        <v>10</v>
      </c>
      <c r="F55">
        <v>5847.18</v>
      </c>
      <c r="G55" t="str" cm="1">
        <f t="array" ref="G55">IF(AND(ISNUMBER(SEARCH("UBER",C55)),ISNUMBER(SEARCH("EATS",C55))),"Uber Eats",IF(LEFT(C55,6)="CHECK ","Checks Paid",IF(OR(E55="BILLPAY",ISNUMBER(SEARCH("FRANCHISE TAX",C55)),ISNUMBER(SEARCH("NEXTLINK",C55))),"Personal - House Bills",IF(AND(ISNUMBER(SEARCH("PAYMENT FROM",C55)),ISNUMBER(SEARCH("JOE SAUNDERS",C55))),"Zelle from Joe Saunders",IF(AND(ISNUMBER(SEARCH("PAYMENT TO",C55)),ISNUMBER(SEARCH("JOE SAUNDERS",C55))),"Zelle to Joe Saunders",IF(OR(ISNUMBER(SEARCH("NEW ORLEANS",C55)),ISNUMBER(SEARCH("KENNER",C55)),ISNUMBER(SEARCH("HENRY HOWARD",C55)),ISNUMBER(SEARCH("MISS CLAUDIA",C55))),"Personal Travel - New Orleans",IF(AND(YEAR(B55)=2025,MONTH(B55)=4,OR(ISNUMBER(SEARCH("EXCHANGE RATE",C55)),ISNUMBER(SEARCH("EXCHG RTE",C55)))),"Personal Travel - Italy",IFERROR(INDEX('Category Rules'!$B$2:$B$358,MATCH(TRUE,ISNUMBER(SEARCH('Category Rules'!$A$2:$A$358,C55)),0)),""))))))))</f>
        <v>Personal Travel</v>
      </c>
    </row>
    <row r="56" spans="1:7" x14ac:dyDescent="0.25">
      <c r="A56" t="s">
        <v>6</v>
      </c>
      <c r="B56" s="1">
        <v>46014</v>
      </c>
      <c r="C56" t="s">
        <v>59</v>
      </c>
      <c r="D56">
        <v>-643.22</v>
      </c>
      <c r="E56" t="s">
        <v>10</v>
      </c>
      <c r="F56">
        <v>6490.4</v>
      </c>
      <c r="G56" t="str" cm="1">
        <f t="array" ref="G56">IF(AND(ISNUMBER(SEARCH("UBER",C56)),ISNUMBER(SEARCH("EATS",C56))),"Uber Eats",IF(LEFT(C56,6)="CHECK ","Checks Paid",IF(OR(E56="BILLPAY",ISNUMBER(SEARCH("FRANCHISE TAX",C56)),ISNUMBER(SEARCH("NEXTLINK",C56))),"Personal - House Bills",IF(AND(ISNUMBER(SEARCH("PAYMENT FROM",C56)),ISNUMBER(SEARCH("JOE SAUNDERS",C56))),"Zelle from Joe Saunders",IF(AND(ISNUMBER(SEARCH("PAYMENT TO",C56)),ISNUMBER(SEARCH("JOE SAUNDERS",C56))),"Zelle to Joe Saunders",IF(OR(ISNUMBER(SEARCH("NEW ORLEANS",C56)),ISNUMBER(SEARCH("KENNER",C56)),ISNUMBER(SEARCH("HENRY HOWARD",C56)),ISNUMBER(SEARCH("MISS CLAUDIA",C56))),"Personal Travel - New Orleans",IF(AND(YEAR(B56)=2025,MONTH(B56)=4,OR(ISNUMBER(SEARCH("EXCHANGE RATE",C56)),ISNUMBER(SEARCH("EXCHG RTE",C56)))),"Personal Travel - Italy",IFERROR(INDEX('Category Rules'!$B$2:$B$358,MATCH(TRUE,ISNUMBER(SEARCH('Category Rules'!$A$2:$A$358,C56)),0)),""))))))))</f>
        <v>Personal Travel</v>
      </c>
    </row>
    <row r="57" spans="1:7" x14ac:dyDescent="0.25">
      <c r="A57" t="s">
        <v>6</v>
      </c>
      <c r="B57" s="1">
        <v>46014</v>
      </c>
      <c r="C57" t="s">
        <v>59</v>
      </c>
      <c r="D57">
        <v>-643.22</v>
      </c>
      <c r="E57" t="s">
        <v>10</v>
      </c>
      <c r="F57">
        <v>7133.62</v>
      </c>
      <c r="G57" t="str" cm="1">
        <f t="array" ref="G57">IF(AND(ISNUMBER(SEARCH("UBER",C57)),ISNUMBER(SEARCH("EATS",C57))),"Uber Eats",IF(LEFT(C57,6)="CHECK ","Checks Paid",IF(OR(E57="BILLPAY",ISNUMBER(SEARCH("FRANCHISE TAX",C57)),ISNUMBER(SEARCH("NEXTLINK",C57))),"Personal - House Bills",IF(AND(ISNUMBER(SEARCH("PAYMENT FROM",C57)),ISNUMBER(SEARCH("JOE SAUNDERS",C57))),"Zelle from Joe Saunders",IF(AND(ISNUMBER(SEARCH("PAYMENT TO",C57)),ISNUMBER(SEARCH("JOE SAUNDERS",C57))),"Zelle to Joe Saunders",IF(OR(ISNUMBER(SEARCH("NEW ORLEANS",C57)),ISNUMBER(SEARCH("KENNER",C57)),ISNUMBER(SEARCH("HENRY HOWARD",C57)),ISNUMBER(SEARCH("MISS CLAUDIA",C57))),"Personal Travel - New Orleans",IF(AND(YEAR(B57)=2025,MONTH(B57)=4,OR(ISNUMBER(SEARCH("EXCHANGE RATE",C57)),ISNUMBER(SEARCH("EXCHG RTE",C57)))),"Personal Travel - Italy",IFERROR(INDEX('Category Rules'!$B$2:$B$358,MATCH(TRUE,ISNUMBER(SEARCH('Category Rules'!$A$2:$A$358,C57)),0)),""))))))))</f>
        <v>Personal Travel</v>
      </c>
    </row>
    <row r="58" spans="1:7" x14ac:dyDescent="0.25">
      <c r="A58" t="s">
        <v>6</v>
      </c>
      <c r="B58" s="1">
        <v>46014</v>
      </c>
      <c r="C58" t="s">
        <v>60</v>
      </c>
      <c r="D58">
        <v>35.99</v>
      </c>
      <c r="E58" t="s">
        <v>10</v>
      </c>
      <c r="F58">
        <v>7776.84</v>
      </c>
      <c r="G58" t="str" cm="1">
        <f t="array" ref="G58">IF(AND(ISNUMBER(SEARCH("UBER",C58)),ISNUMBER(SEARCH("EATS",C58))),"Uber Eats",IF(LEFT(C58,6)="CHECK ","Checks Paid",IF(OR(E58="BILLPAY",ISNUMBER(SEARCH("FRANCHISE TAX",C58)),ISNUMBER(SEARCH("NEXTLINK",C58))),"Personal - House Bills",IF(AND(ISNUMBER(SEARCH("PAYMENT FROM",C58)),ISNUMBER(SEARCH("JOE SAUNDERS",C58))),"Zelle from Joe Saunders",IF(AND(ISNUMBER(SEARCH("PAYMENT TO",C58)),ISNUMBER(SEARCH("JOE SAUNDERS",C58))),"Zelle to Joe Saunders",IF(OR(ISNUMBER(SEARCH("NEW ORLEANS",C58)),ISNUMBER(SEARCH("KENNER",C58)),ISNUMBER(SEARCH("HENRY HOWARD",C58)),ISNUMBER(SEARCH("MISS CLAUDIA",C58))),"Personal Travel - New Orleans",IF(AND(YEAR(B58)=2025,MONTH(B58)=4,OR(ISNUMBER(SEARCH("EXCHANGE RATE",C58)),ISNUMBER(SEARCH("EXCHG RTE",C58)))),"Personal Travel - Italy",IFERROR(INDEX('Category Rules'!$B$2:$B$358,MATCH(TRUE,ISNUMBER(SEARCH('Category Rules'!$A$2:$A$358,C58)),0)),""))))))))</f>
        <v>Personal Travel</v>
      </c>
    </row>
    <row r="59" spans="1:7" x14ac:dyDescent="0.25">
      <c r="A59" t="s">
        <v>6</v>
      </c>
      <c r="B59" s="1">
        <v>46014</v>
      </c>
      <c r="C59" t="s">
        <v>60</v>
      </c>
      <c r="D59">
        <v>35.99</v>
      </c>
      <c r="E59" t="s">
        <v>10</v>
      </c>
      <c r="F59">
        <v>7740.85</v>
      </c>
      <c r="G59" t="str" cm="1">
        <f t="array" ref="G59">IF(AND(ISNUMBER(SEARCH("UBER",C59)),ISNUMBER(SEARCH("EATS",C59))),"Uber Eats",IF(LEFT(C59,6)="CHECK ","Checks Paid",IF(OR(E59="BILLPAY",ISNUMBER(SEARCH("FRANCHISE TAX",C59)),ISNUMBER(SEARCH("NEXTLINK",C59))),"Personal - House Bills",IF(AND(ISNUMBER(SEARCH("PAYMENT FROM",C59)),ISNUMBER(SEARCH("JOE SAUNDERS",C59))),"Zelle from Joe Saunders",IF(AND(ISNUMBER(SEARCH("PAYMENT TO",C59)),ISNUMBER(SEARCH("JOE SAUNDERS",C59))),"Zelle to Joe Saunders",IF(OR(ISNUMBER(SEARCH("NEW ORLEANS",C59)),ISNUMBER(SEARCH("KENNER",C59)),ISNUMBER(SEARCH("HENRY HOWARD",C59)),ISNUMBER(SEARCH("MISS CLAUDIA",C59))),"Personal Travel - New Orleans",IF(AND(YEAR(B59)=2025,MONTH(B59)=4,OR(ISNUMBER(SEARCH("EXCHANGE RATE",C59)),ISNUMBER(SEARCH("EXCHG RTE",C59)))),"Personal Travel - Italy",IFERROR(INDEX('Category Rules'!$B$2:$B$358,MATCH(TRUE,ISNUMBER(SEARCH('Category Rules'!$A$2:$A$358,C59)),0)),""))))))))</f>
        <v>Personal Travel</v>
      </c>
    </row>
    <row r="60" spans="1:7" x14ac:dyDescent="0.25">
      <c r="A60" t="s">
        <v>6</v>
      </c>
      <c r="B60" s="1">
        <v>46014</v>
      </c>
      <c r="C60" t="s">
        <v>60</v>
      </c>
      <c r="D60">
        <v>35.99</v>
      </c>
      <c r="E60" t="s">
        <v>10</v>
      </c>
      <c r="F60">
        <v>7704.86</v>
      </c>
      <c r="G60" t="str" cm="1">
        <f t="array" ref="G60">IF(AND(ISNUMBER(SEARCH("UBER",C60)),ISNUMBER(SEARCH("EATS",C60))),"Uber Eats",IF(LEFT(C60,6)="CHECK ","Checks Paid",IF(OR(E60="BILLPAY",ISNUMBER(SEARCH("FRANCHISE TAX",C60)),ISNUMBER(SEARCH("NEXTLINK",C60))),"Personal - House Bills",IF(AND(ISNUMBER(SEARCH("PAYMENT FROM",C60)),ISNUMBER(SEARCH("JOE SAUNDERS",C60))),"Zelle from Joe Saunders",IF(AND(ISNUMBER(SEARCH("PAYMENT TO",C60)),ISNUMBER(SEARCH("JOE SAUNDERS",C60))),"Zelle to Joe Saunders",IF(OR(ISNUMBER(SEARCH("NEW ORLEANS",C60)),ISNUMBER(SEARCH("KENNER",C60)),ISNUMBER(SEARCH("HENRY HOWARD",C60)),ISNUMBER(SEARCH("MISS CLAUDIA",C60))),"Personal Travel - New Orleans",IF(AND(YEAR(B60)=2025,MONTH(B60)=4,OR(ISNUMBER(SEARCH("EXCHANGE RATE",C60)),ISNUMBER(SEARCH("EXCHG RTE",C60)))),"Personal Travel - Italy",IFERROR(INDEX('Category Rules'!$B$2:$B$358,MATCH(TRUE,ISNUMBER(SEARCH('Category Rules'!$A$2:$A$358,C60)),0)),""))))))))</f>
        <v>Personal Travel</v>
      </c>
    </row>
    <row r="61" spans="1:7" x14ac:dyDescent="0.25">
      <c r="A61" t="s">
        <v>6</v>
      </c>
      <c r="B61" s="1">
        <v>46014</v>
      </c>
      <c r="C61" t="s">
        <v>60</v>
      </c>
      <c r="D61">
        <v>35.99</v>
      </c>
      <c r="E61" t="s">
        <v>10</v>
      </c>
      <c r="F61">
        <v>7668.87</v>
      </c>
      <c r="G61" t="str" cm="1">
        <f t="array" ref="G61">IF(AND(ISNUMBER(SEARCH("UBER",C61)),ISNUMBER(SEARCH("EATS",C61))),"Uber Eats",IF(LEFT(C61,6)="CHECK ","Checks Paid",IF(OR(E61="BILLPAY",ISNUMBER(SEARCH("FRANCHISE TAX",C61)),ISNUMBER(SEARCH("NEXTLINK",C61))),"Personal - House Bills",IF(AND(ISNUMBER(SEARCH("PAYMENT FROM",C61)),ISNUMBER(SEARCH("JOE SAUNDERS",C61))),"Zelle from Joe Saunders",IF(AND(ISNUMBER(SEARCH("PAYMENT TO",C61)),ISNUMBER(SEARCH("JOE SAUNDERS",C61))),"Zelle to Joe Saunders",IF(OR(ISNUMBER(SEARCH("NEW ORLEANS",C61)),ISNUMBER(SEARCH("KENNER",C61)),ISNUMBER(SEARCH("HENRY HOWARD",C61)),ISNUMBER(SEARCH("MISS CLAUDIA",C61))),"Personal Travel - New Orleans",IF(AND(YEAR(B61)=2025,MONTH(B61)=4,OR(ISNUMBER(SEARCH("EXCHANGE RATE",C61)),ISNUMBER(SEARCH("EXCHG RTE",C61)))),"Personal Travel - Italy",IFERROR(INDEX('Category Rules'!$B$2:$B$358,MATCH(TRUE,ISNUMBER(SEARCH('Category Rules'!$A$2:$A$358,C61)),0)),""))))))))</f>
        <v>Personal Travel</v>
      </c>
    </row>
    <row r="62" spans="1:7" x14ac:dyDescent="0.25">
      <c r="A62" t="s">
        <v>6</v>
      </c>
      <c r="B62" s="1">
        <v>46014</v>
      </c>
      <c r="C62" t="s">
        <v>61</v>
      </c>
      <c r="D62">
        <v>445.33</v>
      </c>
      <c r="E62" t="s">
        <v>10</v>
      </c>
      <c r="F62">
        <v>7632.88</v>
      </c>
      <c r="G62" t="str" cm="1">
        <f t="array" ref="G62">IF(AND(ISNUMBER(SEARCH("UBER",C62)),ISNUMBER(SEARCH("EATS",C62))),"Uber Eats",IF(LEFT(C62,6)="CHECK ","Checks Paid",IF(OR(E62="BILLPAY",ISNUMBER(SEARCH("FRANCHISE TAX",C62)),ISNUMBER(SEARCH("NEXTLINK",C62))),"Personal - House Bills",IF(AND(ISNUMBER(SEARCH("PAYMENT FROM",C62)),ISNUMBER(SEARCH("JOE SAUNDERS",C62))),"Zelle from Joe Saunders",IF(AND(ISNUMBER(SEARCH("PAYMENT TO",C62)),ISNUMBER(SEARCH("JOE SAUNDERS",C62))),"Zelle to Joe Saunders",IF(OR(ISNUMBER(SEARCH("NEW ORLEANS",C62)),ISNUMBER(SEARCH("KENNER",C62)),ISNUMBER(SEARCH("HENRY HOWARD",C62)),ISNUMBER(SEARCH("MISS CLAUDIA",C62))),"Personal Travel - New Orleans",IF(AND(YEAR(B62)=2025,MONTH(B62)=4,OR(ISNUMBER(SEARCH("EXCHANGE RATE",C62)),ISNUMBER(SEARCH("EXCHG RTE",C62)))),"Personal Travel - Italy",IFERROR(INDEX('Category Rules'!$B$2:$B$358,MATCH(TRUE,ISNUMBER(SEARCH('Category Rules'!$A$2:$A$358,C62)),0)),""))))))))</f>
        <v>Personal Travel</v>
      </c>
    </row>
    <row r="63" spans="1:7" x14ac:dyDescent="0.25">
      <c r="A63" t="s">
        <v>6</v>
      </c>
      <c r="B63" s="1">
        <v>46013</v>
      </c>
      <c r="C63" t="s">
        <v>62</v>
      </c>
      <c r="D63">
        <v>-1.29</v>
      </c>
      <c r="E63" t="s">
        <v>8</v>
      </c>
      <c r="F63">
        <v>7187.55</v>
      </c>
      <c r="G63" t="str" cm="1">
        <f t="array" ref="G63">IF(AND(ISNUMBER(SEARCH("UBER",C63)),ISNUMBER(SEARCH("EATS",C63))),"Uber Eats",IF(LEFT(C63,6)="CHECK ","Checks Paid",IF(OR(E63="BILLPAY",ISNUMBER(SEARCH("FRANCHISE TAX",C63)),ISNUMBER(SEARCH("NEXTLINK",C63))),"Personal - House Bills",IF(AND(ISNUMBER(SEARCH("PAYMENT FROM",C63)),ISNUMBER(SEARCH("JOE SAUNDERS",C63))),"Zelle from Joe Saunders",IF(AND(ISNUMBER(SEARCH("PAYMENT TO",C63)),ISNUMBER(SEARCH("JOE SAUNDERS",C63))),"Zelle to Joe Saunders",IF(OR(ISNUMBER(SEARCH("NEW ORLEANS",C63)),ISNUMBER(SEARCH("KENNER",C63)),ISNUMBER(SEARCH("HENRY HOWARD",C63)),ISNUMBER(SEARCH("MISS CLAUDIA",C63))),"Personal Travel - New Orleans",IF(AND(YEAR(B63)=2025,MONTH(B63)=4,OR(ISNUMBER(SEARCH("EXCHANGE RATE",C63)),ISNUMBER(SEARCH("EXCHG RTE",C63)))),"Personal Travel - Italy",IFERROR(INDEX('Category Rules'!$B$2:$B$358,MATCH(TRUE,ISNUMBER(SEARCH('Category Rules'!$A$2:$A$358,C63)),0)),""))))))))</f>
        <v>Personal Travel - Canada</v>
      </c>
    </row>
    <row r="64" spans="1:7" x14ac:dyDescent="0.25">
      <c r="A64" t="s">
        <v>6</v>
      </c>
      <c r="B64" s="1">
        <v>46013</v>
      </c>
      <c r="C64" t="s">
        <v>62</v>
      </c>
      <c r="D64">
        <v>-11.93</v>
      </c>
      <c r="E64" t="s">
        <v>8</v>
      </c>
      <c r="F64">
        <v>7188.84</v>
      </c>
      <c r="G64" t="str" cm="1">
        <f t="array" ref="G64">IF(AND(ISNUMBER(SEARCH("UBER",C64)),ISNUMBER(SEARCH("EATS",C64))),"Uber Eats",IF(LEFT(C64,6)="CHECK ","Checks Paid",IF(OR(E64="BILLPAY",ISNUMBER(SEARCH("FRANCHISE TAX",C64)),ISNUMBER(SEARCH("NEXTLINK",C64))),"Personal - House Bills",IF(AND(ISNUMBER(SEARCH("PAYMENT FROM",C64)),ISNUMBER(SEARCH("JOE SAUNDERS",C64))),"Zelle from Joe Saunders",IF(AND(ISNUMBER(SEARCH("PAYMENT TO",C64)),ISNUMBER(SEARCH("JOE SAUNDERS",C64))),"Zelle to Joe Saunders",IF(OR(ISNUMBER(SEARCH("NEW ORLEANS",C64)),ISNUMBER(SEARCH("KENNER",C64)),ISNUMBER(SEARCH("HENRY HOWARD",C64)),ISNUMBER(SEARCH("MISS CLAUDIA",C64))),"Personal Travel - New Orleans",IF(AND(YEAR(B64)=2025,MONTH(B64)=4,OR(ISNUMBER(SEARCH("EXCHANGE RATE",C64)),ISNUMBER(SEARCH("EXCHG RTE",C64)))),"Personal Travel - Italy",IFERROR(INDEX('Category Rules'!$B$2:$B$358,MATCH(TRUE,ISNUMBER(SEARCH('Category Rules'!$A$2:$A$358,C64)),0)),""))))))))</f>
        <v>Personal Travel - Canada</v>
      </c>
    </row>
    <row r="65" spans="1:7" x14ac:dyDescent="0.25">
      <c r="A65" t="s">
        <v>6</v>
      </c>
      <c r="B65" s="1">
        <v>46013</v>
      </c>
      <c r="C65" t="s">
        <v>63</v>
      </c>
      <c r="D65">
        <v>-15.09</v>
      </c>
      <c r="E65" t="s">
        <v>8</v>
      </c>
      <c r="F65">
        <v>7200.77</v>
      </c>
      <c r="G65" t="str" cm="1">
        <f t="array" ref="G65">IF(AND(ISNUMBER(SEARCH("UBER",C65)),ISNUMBER(SEARCH("EATS",C65))),"Uber Eats",IF(LEFT(C65,6)="CHECK ","Checks Paid",IF(OR(E65="BILLPAY",ISNUMBER(SEARCH("FRANCHISE TAX",C65)),ISNUMBER(SEARCH("NEXTLINK",C65))),"Personal - House Bills",IF(AND(ISNUMBER(SEARCH("PAYMENT FROM",C65)),ISNUMBER(SEARCH("JOE SAUNDERS",C65))),"Zelle from Joe Saunders",IF(AND(ISNUMBER(SEARCH("PAYMENT TO",C65)),ISNUMBER(SEARCH("JOE SAUNDERS",C65))),"Zelle to Joe Saunders",IF(OR(ISNUMBER(SEARCH("NEW ORLEANS",C65)),ISNUMBER(SEARCH("KENNER",C65)),ISNUMBER(SEARCH("HENRY HOWARD",C65)),ISNUMBER(SEARCH("MISS CLAUDIA",C65))),"Personal Travel - New Orleans",IF(AND(YEAR(B65)=2025,MONTH(B65)=4,OR(ISNUMBER(SEARCH("EXCHANGE RATE",C65)),ISNUMBER(SEARCH("EXCHG RTE",C65)))),"Personal Travel - Italy",IFERROR(INDEX('Category Rules'!$B$2:$B$358,MATCH(TRUE,ISNUMBER(SEARCH('Category Rules'!$A$2:$A$358,C65)),0)),""))))))))</f>
        <v>Personal Travel - Canada</v>
      </c>
    </row>
    <row r="66" spans="1:7" x14ac:dyDescent="0.25">
      <c r="A66" t="s">
        <v>6</v>
      </c>
      <c r="B66" s="1">
        <v>46013</v>
      </c>
      <c r="C66" t="s">
        <v>64</v>
      </c>
      <c r="D66">
        <v>-15</v>
      </c>
      <c r="E66" t="s">
        <v>10</v>
      </c>
      <c r="F66">
        <v>7215.86</v>
      </c>
      <c r="G66" t="str" cm="1">
        <f t="array" ref="G66">IF(AND(ISNUMBER(SEARCH("UBER",C66)),ISNUMBER(SEARCH("EATS",C66))),"Uber Eats",IF(LEFT(C66,6)="CHECK ","Checks Paid",IF(OR(E66="BILLPAY",ISNUMBER(SEARCH("FRANCHISE TAX",C66)),ISNUMBER(SEARCH("NEXTLINK",C66))),"Personal - House Bills",IF(AND(ISNUMBER(SEARCH("PAYMENT FROM",C66)),ISNUMBER(SEARCH("JOE SAUNDERS",C66))),"Zelle from Joe Saunders",IF(AND(ISNUMBER(SEARCH("PAYMENT TO",C66)),ISNUMBER(SEARCH("JOE SAUNDERS",C66))),"Zelle to Joe Saunders",IF(OR(ISNUMBER(SEARCH("NEW ORLEANS",C66)),ISNUMBER(SEARCH("KENNER",C66)),ISNUMBER(SEARCH("HENRY HOWARD",C66)),ISNUMBER(SEARCH("MISS CLAUDIA",C66))),"Personal Travel - New Orleans",IF(AND(YEAR(B66)=2025,MONTH(B66)=4,OR(ISNUMBER(SEARCH("EXCHANGE RATE",C66)),ISNUMBER(SEARCH("EXCHG RTE",C66)))),"Personal Travel - Italy",IFERROR(INDEX('Category Rules'!$B$2:$B$358,MATCH(TRUE,ISNUMBER(SEARCH('Category Rules'!$A$2:$A$358,C66)),0)),""))))))))</f>
        <v>Personal - Uber</v>
      </c>
    </row>
    <row r="67" spans="1:7" x14ac:dyDescent="0.25">
      <c r="A67" t="s">
        <v>6</v>
      </c>
      <c r="B67" s="1">
        <v>46013</v>
      </c>
      <c r="C67" t="s">
        <v>65</v>
      </c>
      <c r="D67">
        <v>-60</v>
      </c>
      <c r="E67" t="s">
        <v>10</v>
      </c>
      <c r="F67">
        <v>7230.86</v>
      </c>
      <c r="G67" t="str" cm="1">
        <f t="array" ref="G67">IF(AND(ISNUMBER(SEARCH("UBER",C67)),ISNUMBER(SEARCH("EATS",C67))),"Uber Eats",IF(LEFT(C67,6)="CHECK ","Checks Paid",IF(OR(E67="BILLPAY",ISNUMBER(SEARCH("FRANCHISE TAX",C67)),ISNUMBER(SEARCH("NEXTLINK",C67))),"Personal - House Bills",IF(AND(ISNUMBER(SEARCH("PAYMENT FROM",C67)),ISNUMBER(SEARCH("JOE SAUNDERS",C67))),"Zelle from Joe Saunders",IF(AND(ISNUMBER(SEARCH("PAYMENT TO",C67)),ISNUMBER(SEARCH("JOE SAUNDERS",C67))),"Zelle to Joe Saunders",IF(OR(ISNUMBER(SEARCH("NEW ORLEANS",C67)),ISNUMBER(SEARCH("KENNER",C67)),ISNUMBER(SEARCH("HENRY HOWARD",C67)),ISNUMBER(SEARCH("MISS CLAUDIA",C67))),"Personal Travel - New Orleans",IF(AND(YEAR(B67)=2025,MONTH(B67)=4,OR(ISNUMBER(SEARCH("EXCHANGE RATE",C67)),ISNUMBER(SEARCH("EXCHG RTE",C67)))),"Personal Travel - Italy",IFERROR(INDEX('Category Rules'!$B$2:$B$358,MATCH(TRUE,ISNUMBER(SEARCH('Category Rules'!$A$2:$A$358,C67)),0)),""))))))))</f>
        <v>Personal - Health</v>
      </c>
    </row>
    <row r="68" spans="1:7" x14ac:dyDescent="0.25">
      <c r="A68" t="s">
        <v>6</v>
      </c>
      <c r="B68" s="1">
        <v>46013</v>
      </c>
      <c r="C68" t="s">
        <v>66</v>
      </c>
      <c r="D68">
        <v>-149.96</v>
      </c>
      <c r="E68" t="s">
        <v>10</v>
      </c>
      <c r="F68">
        <v>7290.86</v>
      </c>
      <c r="G68" t="str" cm="1">
        <f t="array" ref="G68">IF(AND(ISNUMBER(SEARCH("UBER",C68)),ISNUMBER(SEARCH("EATS",C68))),"Uber Eats",IF(LEFT(C68,6)="CHECK ","Checks Paid",IF(OR(E68="BILLPAY",ISNUMBER(SEARCH("FRANCHISE TAX",C68)),ISNUMBER(SEARCH("NEXTLINK",C68))),"Personal - House Bills",IF(AND(ISNUMBER(SEARCH("PAYMENT FROM",C68)),ISNUMBER(SEARCH("JOE SAUNDERS",C68))),"Zelle from Joe Saunders",IF(AND(ISNUMBER(SEARCH("PAYMENT TO",C68)),ISNUMBER(SEARCH("JOE SAUNDERS",C68))),"Zelle to Joe Saunders",IF(OR(ISNUMBER(SEARCH("NEW ORLEANS",C68)),ISNUMBER(SEARCH("KENNER",C68)),ISNUMBER(SEARCH("HENRY HOWARD",C68)),ISNUMBER(SEARCH("MISS CLAUDIA",C68))),"Personal Travel - New Orleans",IF(AND(YEAR(B68)=2025,MONTH(B68)=4,OR(ISNUMBER(SEARCH("EXCHANGE RATE",C68)),ISNUMBER(SEARCH("EXCHG RTE",C68)))),"Personal Travel - Italy",IFERROR(INDEX('Category Rules'!$B$2:$B$358,MATCH(TRUE,ISNUMBER(SEARCH('Category Rules'!$A$2:$A$358,C68)),0)),""))))))))</f>
        <v>Personal - House Bills</v>
      </c>
    </row>
    <row r="69" spans="1:7" x14ac:dyDescent="0.25">
      <c r="A69" t="s">
        <v>6</v>
      </c>
      <c r="B69" s="1">
        <v>46013</v>
      </c>
      <c r="C69" t="s">
        <v>67</v>
      </c>
      <c r="D69">
        <v>-11.99</v>
      </c>
      <c r="E69" t="s">
        <v>10</v>
      </c>
      <c r="F69">
        <v>7440.82</v>
      </c>
      <c r="G69" t="str" cm="1">
        <f t="array" ref="G69">IF(AND(ISNUMBER(SEARCH("UBER",C69)),ISNUMBER(SEARCH("EATS",C69))),"Uber Eats",IF(LEFT(C69,6)="CHECK ","Checks Paid",IF(OR(E69="BILLPAY",ISNUMBER(SEARCH("FRANCHISE TAX",C69)),ISNUMBER(SEARCH("NEXTLINK",C69))),"Personal - House Bills",IF(AND(ISNUMBER(SEARCH("PAYMENT FROM",C69)),ISNUMBER(SEARCH("JOE SAUNDERS",C69))),"Zelle from Joe Saunders",IF(AND(ISNUMBER(SEARCH("PAYMENT TO",C69)),ISNUMBER(SEARCH("JOE SAUNDERS",C69))),"Zelle to Joe Saunders",IF(OR(ISNUMBER(SEARCH("NEW ORLEANS",C69)),ISNUMBER(SEARCH("KENNER",C69)),ISNUMBER(SEARCH("HENRY HOWARD",C69)),ISNUMBER(SEARCH("MISS CLAUDIA",C69))),"Personal Travel - New Orleans",IF(AND(YEAR(B69)=2025,MONTH(B69)=4,OR(ISNUMBER(SEARCH("EXCHANGE RATE",C69)),ISNUMBER(SEARCH("EXCHG RTE",C69)))),"Personal Travel - Italy",IFERROR(INDEX('Category Rules'!$B$2:$B$358,MATCH(TRUE,ISNUMBER(SEARCH('Category Rules'!$A$2:$A$358,C69)),0)),""))))))))</f>
        <v>Personal - Subscription</v>
      </c>
    </row>
    <row r="70" spans="1:7" x14ac:dyDescent="0.25">
      <c r="A70" t="s">
        <v>6</v>
      </c>
      <c r="B70" s="1">
        <v>46013</v>
      </c>
      <c r="C70" t="s">
        <v>68</v>
      </c>
      <c r="D70">
        <v>-208.5</v>
      </c>
      <c r="E70" t="s">
        <v>10</v>
      </c>
      <c r="F70">
        <v>7452.81</v>
      </c>
      <c r="G70" t="str" cm="1">
        <f t="array" ref="G70">IF(AND(ISNUMBER(SEARCH("UBER",C70)),ISNUMBER(SEARCH("EATS",C70))),"Uber Eats",IF(LEFT(C70,6)="CHECK ","Checks Paid",IF(OR(E70="BILLPAY",ISNUMBER(SEARCH("FRANCHISE TAX",C70)),ISNUMBER(SEARCH("NEXTLINK",C70))),"Personal - House Bills",IF(AND(ISNUMBER(SEARCH("PAYMENT FROM",C70)),ISNUMBER(SEARCH("JOE SAUNDERS",C70))),"Zelle from Joe Saunders",IF(AND(ISNUMBER(SEARCH("PAYMENT TO",C70)),ISNUMBER(SEARCH("JOE SAUNDERS",C70))),"Zelle to Joe Saunders",IF(OR(ISNUMBER(SEARCH("NEW ORLEANS",C70)),ISNUMBER(SEARCH("KENNER",C70)),ISNUMBER(SEARCH("HENRY HOWARD",C70)),ISNUMBER(SEARCH("MISS CLAUDIA",C70))),"Personal Travel - New Orleans",IF(AND(YEAR(B70)=2025,MONTH(B70)=4,OR(ISNUMBER(SEARCH("EXCHANGE RATE",C70)),ISNUMBER(SEARCH("EXCHG RTE",C70)))),"Personal Travel - Italy",IFERROR(INDEX('Category Rules'!$B$2:$B$358,MATCH(TRUE,ISNUMBER(SEARCH('Category Rules'!$A$2:$A$358,C70)),0)),""))))))))</f>
        <v>Personal - Shopping</v>
      </c>
    </row>
    <row r="71" spans="1:7" x14ac:dyDescent="0.25">
      <c r="A71" t="s">
        <v>6</v>
      </c>
      <c r="B71" s="1">
        <v>46013</v>
      </c>
      <c r="C71" t="s">
        <v>69</v>
      </c>
      <c r="D71">
        <v>-43.15</v>
      </c>
      <c r="E71" t="s">
        <v>10</v>
      </c>
      <c r="F71">
        <v>7661.31</v>
      </c>
      <c r="G71" t="str" cm="1">
        <f t="array" ref="G71">IF(AND(ISNUMBER(SEARCH("UBER",C71)),ISNUMBER(SEARCH("EATS",C71))),"Uber Eats",IF(LEFT(C71,6)="CHECK ","Checks Paid",IF(OR(E71="BILLPAY",ISNUMBER(SEARCH("FRANCHISE TAX",C71)),ISNUMBER(SEARCH("NEXTLINK",C71))),"Personal - House Bills",IF(AND(ISNUMBER(SEARCH("PAYMENT FROM",C71)),ISNUMBER(SEARCH("JOE SAUNDERS",C71))),"Zelle from Joe Saunders",IF(AND(ISNUMBER(SEARCH("PAYMENT TO",C71)),ISNUMBER(SEARCH("JOE SAUNDERS",C71))),"Zelle to Joe Saunders",IF(OR(ISNUMBER(SEARCH("NEW ORLEANS",C71)),ISNUMBER(SEARCH("KENNER",C71)),ISNUMBER(SEARCH("HENRY HOWARD",C71)),ISNUMBER(SEARCH("MISS CLAUDIA",C71))),"Personal Travel - New Orleans",IF(AND(YEAR(B71)=2025,MONTH(B71)=4,OR(ISNUMBER(SEARCH("EXCHANGE RATE",C71)),ISNUMBER(SEARCH("EXCHG RTE",C71)))),"Personal Travel - Italy",IFERROR(INDEX('Category Rules'!$B$2:$B$358,MATCH(TRUE,ISNUMBER(SEARCH('Category Rules'!$A$2:$A$358,C71)),0)),""))))))))</f>
        <v>Personal Travel - Canada</v>
      </c>
    </row>
    <row r="72" spans="1:7" x14ac:dyDescent="0.25">
      <c r="A72" t="s">
        <v>6</v>
      </c>
      <c r="B72" s="1">
        <v>46013</v>
      </c>
      <c r="C72" t="s">
        <v>70</v>
      </c>
      <c r="D72">
        <v>-503.15</v>
      </c>
      <c r="E72" t="s">
        <v>10</v>
      </c>
      <c r="F72">
        <v>7704.46</v>
      </c>
      <c r="G72" t="str" cm="1">
        <f t="array" ref="G72">IF(AND(ISNUMBER(SEARCH("UBER",C72)),ISNUMBER(SEARCH("EATS",C72))),"Uber Eats",IF(LEFT(C72,6)="CHECK ","Checks Paid",IF(OR(E72="BILLPAY",ISNUMBER(SEARCH("FRANCHISE TAX",C72)),ISNUMBER(SEARCH("NEXTLINK",C72))),"Personal - House Bills",IF(AND(ISNUMBER(SEARCH("PAYMENT FROM",C72)),ISNUMBER(SEARCH("JOE SAUNDERS",C72))),"Zelle from Joe Saunders",IF(AND(ISNUMBER(SEARCH("PAYMENT TO",C72)),ISNUMBER(SEARCH("JOE SAUNDERS",C72))),"Zelle to Joe Saunders",IF(OR(ISNUMBER(SEARCH("NEW ORLEANS",C72)),ISNUMBER(SEARCH("KENNER",C72)),ISNUMBER(SEARCH("HENRY HOWARD",C72)),ISNUMBER(SEARCH("MISS CLAUDIA",C72))),"Personal Travel - New Orleans",IF(AND(YEAR(B72)=2025,MONTH(B72)=4,OR(ISNUMBER(SEARCH("EXCHANGE RATE",C72)),ISNUMBER(SEARCH("EXCHG RTE",C72)))),"Personal Travel - Italy",IFERROR(INDEX('Category Rules'!$B$2:$B$358,MATCH(TRUE,ISNUMBER(SEARCH('Category Rules'!$A$2:$A$358,C72)),0)),""))))))))</f>
        <v>Personal Travel - Canada</v>
      </c>
    </row>
    <row r="73" spans="1:7" x14ac:dyDescent="0.25">
      <c r="A73" t="s">
        <v>6</v>
      </c>
      <c r="B73" s="1">
        <v>46013</v>
      </c>
      <c r="C73" t="s">
        <v>71</v>
      </c>
      <c r="D73">
        <v>-397.77</v>
      </c>
      <c r="E73" t="s">
        <v>10</v>
      </c>
      <c r="F73">
        <v>8207.61</v>
      </c>
      <c r="G73" t="str" cm="1">
        <f t="array" ref="G73">IF(AND(ISNUMBER(SEARCH("UBER",C73)),ISNUMBER(SEARCH("EATS",C73))),"Uber Eats",IF(LEFT(C73,6)="CHECK ","Checks Paid",IF(OR(E73="BILLPAY",ISNUMBER(SEARCH("FRANCHISE TAX",C73)),ISNUMBER(SEARCH("NEXTLINK",C73))),"Personal - House Bills",IF(AND(ISNUMBER(SEARCH("PAYMENT FROM",C73)),ISNUMBER(SEARCH("JOE SAUNDERS",C73))),"Zelle from Joe Saunders",IF(AND(ISNUMBER(SEARCH("PAYMENT TO",C73)),ISNUMBER(SEARCH("JOE SAUNDERS",C73))),"Zelle to Joe Saunders",IF(OR(ISNUMBER(SEARCH("NEW ORLEANS",C73)),ISNUMBER(SEARCH("KENNER",C73)),ISNUMBER(SEARCH("HENRY HOWARD",C73)),ISNUMBER(SEARCH("MISS CLAUDIA",C73))),"Personal Travel - New Orleans",IF(AND(YEAR(B73)=2025,MONTH(B73)=4,OR(ISNUMBER(SEARCH("EXCHANGE RATE",C73)),ISNUMBER(SEARCH("EXCHG RTE",C73)))),"Personal Travel - Italy",IFERROR(INDEX('Category Rules'!$B$2:$B$358,MATCH(TRUE,ISNUMBER(SEARCH('Category Rules'!$A$2:$A$358,C73)),0)),""))))))))</f>
        <v>Personal Travel - Canada</v>
      </c>
    </row>
    <row r="74" spans="1:7" x14ac:dyDescent="0.25">
      <c r="A74" t="s">
        <v>44</v>
      </c>
      <c r="B74" s="1">
        <v>46013</v>
      </c>
      <c r="C74" t="s">
        <v>72</v>
      </c>
      <c r="D74">
        <v>5000</v>
      </c>
      <c r="E74" t="s">
        <v>73</v>
      </c>
      <c r="F74">
        <v>8605.3799999999992</v>
      </c>
      <c r="G74" t="str" cm="1">
        <f t="array" ref="G74">IF(AND(ISNUMBER(SEARCH("UBER",C74)),ISNUMBER(SEARCH("EATS",C74))),"Uber Eats",IF(LEFT(C74,6)="CHECK ","Checks Paid",IF(OR(E74="BILLPAY",ISNUMBER(SEARCH("FRANCHISE TAX",C74)),ISNUMBER(SEARCH("NEXTLINK",C74))),"Personal - House Bills",IF(AND(ISNUMBER(SEARCH("PAYMENT FROM",C74)),ISNUMBER(SEARCH("JOE SAUNDERS",C74))),"Zelle from Joe Saunders",IF(AND(ISNUMBER(SEARCH("PAYMENT TO",C74)),ISNUMBER(SEARCH("JOE SAUNDERS",C74))),"Zelle to Joe Saunders",IF(OR(ISNUMBER(SEARCH("NEW ORLEANS",C74)),ISNUMBER(SEARCH("KENNER",C74)),ISNUMBER(SEARCH("HENRY HOWARD",C74)),ISNUMBER(SEARCH("MISS CLAUDIA",C74))),"Personal Travel - New Orleans",IF(AND(YEAR(B74)=2025,MONTH(B74)=4,OR(ISNUMBER(SEARCH("EXCHANGE RATE",C74)),ISNUMBER(SEARCH("EXCHG RTE",C74)))),"Personal Travel - Italy",IFERROR(INDEX('Category Rules'!$B$2:$B$358,MATCH(TRUE,ISNUMBER(SEARCH('Category Rules'!$A$2:$A$358,C74)),0)),""))))))))</f>
        <v>Transfer from DWG Capital Group</v>
      </c>
    </row>
    <row r="75" spans="1:7" x14ac:dyDescent="0.25">
      <c r="A75" t="s">
        <v>6</v>
      </c>
      <c r="B75" s="1">
        <v>46010</v>
      </c>
      <c r="C75" t="s">
        <v>74</v>
      </c>
      <c r="D75">
        <v>-1.89</v>
      </c>
      <c r="E75" t="s">
        <v>8</v>
      </c>
      <c r="F75">
        <v>3605.38</v>
      </c>
      <c r="G75" t="str" cm="1">
        <f t="array" ref="G75">IF(AND(ISNUMBER(SEARCH("UBER",C75)),ISNUMBER(SEARCH("EATS",C75))),"Uber Eats",IF(LEFT(C75,6)="CHECK ","Checks Paid",IF(OR(E75="BILLPAY",ISNUMBER(SEARCH("FRANCHISE TAX",C75)),ISNUMBER(SEARCH("NEXTLINK",C75))),"Personal - House Bills",IF(AND(ISNUMBER(SEARCH("PAYMENT FROM",C75)),ISNUMBER(SEARCH("JOE SAUNDERS",C75))),"Zelle from Joe Saunders",IF(AND(ISNUMBER(SEARCH("PAYMENT TO",C75)),ISNUMBER(SEARCH("JOE SAUNDERS",C75))),"Zelle to Joe Saunders",IF(OR(ISNUMBER(SEARCH("NEW ORLEANS",C75)),ISNUMBER(SEARCH("KENNER",C75)),ISNUMBER(SEARCH("HENRY HOWARD",C75)),ISNUMBER(SEARCH("MISS CLAUDIA",C75))),"Personal Travel - New Orleans",IF(AND(YEAR(B75)=2025,MONTH(B75)=4,OR(ISNUMBER(SEARCH("EXCHANGE RATE",C75)),ISNUMBER(SEARCH("EXCHG RTE",C75)))),"Personal Travel - Italy",IFERROR(INDEX('Category Rules'!$B$2:$B$358,MATCH(TRUE,ISNUMBER(SEARCH('Category Rules'!$A$2:$A$358,C75)),0)),""))))))))</f>
        <v>Personal Travel - Canada</v>
      </c>
    </row>
    <row r="76" spans="1:7" x14ac:dyDescent="0.25">
      <c r="A76" t="s">
        <v>6</v>
      </c>
      <c r="B76" s="1">
        <v>46010</v>
      </c>
      <c r="C76" t="s">
        <v>75</v>
      </c>
      <c r="D76">
        <v>-63.25</v>
      </c>
      <c r="E76" t="s">
        <v>10</v>
      </c>
      <c r="F76">
        <v>3607.27</v>
      </c>
      <c r="G76" t="str" cm="1">
        <f t="array" ref="G76">IF(AND(ISNUMBER(SEARCH("UBER",C76)),ISNUMBER(SEARCH("EATS",C76))),"Uber Eats",IF(LEFT(C76,6)="CHECK ","Checks Paid",IF(OR(E76="BILLPAY",ISNUMBER(SEARCH("FRANCHISE TAX",C76)),ISNUMBER(SEARCH("NEXTLINK",C76))),"Personal - House Bills",IF(AND(ISNUMBER(SEARCH("PAYMENT FROM",C76)),ISNUMBER(SEARCH("JOE SAUNDERS",C76))),"Zelle from Joe Saunders",IF(AND(ISNUMBER(SEARCH("PAYMENT TO",C76)),ISNUMBER(SEARCH("JOE SAUNDERS",C76))),"Zelle to Joe Saunders",IF(OR(ISNUMBER(SEARCH("NEW ORLEANS",C76)),ISNUMBER(SEARCH("KENNER",C76)),ISNUMBER(SEARCH("HENRY HOWARD",C76)),ISNUMBER(SEARCH("MISS CLAUDIA",C76))),"Personal Travel - New Orleans",IF(AND(YEAR(B76)=2025,MONTH(B76)=4,OR(ISNUMBER(SEARCH("EXCHANGE RATE",C76)),ISNUMBER(SEARCH("EXCHG RTE",C76)))),"Personal Travel - Italy",IFERROR(INDEX('Category Rules'!$B$2:$B$358,MATCH(TRUE,ISNUMBER(SEARCH('Category Rules'!$A$2:$A$358,C76)),0)),""))))))))</f>
        <v>Personal Travel - Canada</v>
      </c>
    </row>
    <row r="77" spans="1:7" x14ac:dyDescent="0.25">
      <c r="A77" t="s">
        <v>6</v>
      </c>
      <c r="B77" s="1">
        <v>46010</v>
      </c>
      <c r="C77" t="s">
        <v>76</v>
      </c>
      <c r="D77">
        <v>-99</v>
      </c>
      <c r="E77" t="s">
        <v>10</v>
      </c>
      <c r="F77">
        <v>3670.52</v>
      </c>
      <c r="G77" t="str" cm="1">
        <f t="array" ref="G77">IF(AND(ISNUMBER(SEARCH("UBER",C77)),ISNUMBER(SEARCH("EATS",C77))),"Uber Eats",IF(LEFT(C77,6)="CHECK ","Checks Paid",IF(OR(E77="BILLPAY",ISNUMBER(SEARCH("FRANCHISE TAX",C77)),ISNUMBER(SEARCH("NEXTLINK",C77))),"Personal - House Bills",IF(AND(ISNUMBER(SEARCH("PAYMENT FROM",C77)),ISNUMBER(SEARCH("JOE SAUNDERS",C77))),"Zelle from Joe Saunders",IF(AND(ISNUMBER(SEARCH("PAYMENT TO",C77)),ISNUMBER(SEARCH("JOE SAUNDERS",C77))),"Zelle to Joe Saunders",IF(OR(ISNUMBER(SEARCH("NEW ORLEANS",C77)),ISNUMBER(SEARCH("KENNER",C77)),ISNUMBER(SEARCH("HENRY HOWARD",C77)),ISNUMBER(SEARCH("MISS CLAUDIA",C77))),"Personal Travel - New Orleans",IF(AND(YEAR(B77)=2025,MONTH(B77)=4,OR(ISNUMBER(SEARCH("EXCHANGE RATE",C77)),ISNUMBER(SEARCH("EXCHG RTE",C77)))),"Personal Travel - Italy",IFERROR(INDEX('Category Rules'!$B$2:$B$358,MATCH(TRUE,ISNUMBER(SEARCH('Category Rules'!$A$2:$A$358,C77)),0)),""))))))))</f>
        <v>Personal - Subscription</v>
      </c>
    </row>
    <row r="78" spans="1:7" x14ac:dyDescent="0.25">
      <c r="A78" t="s">
        <v>6</v>
      </c>
      <c r="B78" s="1">
        <v>46010</v>
      </c>
      <c r="C78" t="s">
        <v>77</v>
      </c>
      <c r="D78">
        <v>-100</v>
      </c>
      <c r="E78" t="s">
        <v>10</v>
      </c>
      <c r="F78">
        <v>3769.52</v>
      </c>
      <c r="G78" t="str" cm="1">
        <f t="array" ref="G78">IF(AND(ISNUMBER(SEARCH("UBER",C78)),ISNUMBER(SEARCH("EATS",C78))),"Uber Eats",IF(LEFT(C78,6)="CHECK ","Checks Paid",IF(OR(E78="BILLPAY",ISNUMBER(SEARCH("FRANCHISE TAX",C78)),ISNUMBER(SEARCH("NEXTLINK",C78))),"Personal - House Bills",IF(AND(ISNUMBER(SEARCH("PAYMENT FROM",C78)),ISNUMBER(SEARCH("JOE SAUNDERS",C78))),"Zelle from Joe Saunders",IF(AND(ISNUMBER(SEARCH("PAYMENT TO",C78)),ISNUMBER(SEARCH("JOE SAUNDERS",C78))),"Zelle to Joe Saunders",IF(OR(ISNUMBER(SEARCH("NEW ORLEANS",C78)),ISNUMBER(SEARCH("KENNER",C78)),ISNUMBER(SEARCH("HENRY HOWARD",C78)),ISNUMBER(SEARCH("MISS CLAUDIA",C78))),"Personal Travel - New Orleans",IF(AND(YEAR(B78)=2025,MONTH(B78)=4,OR(ISNUMBER(SEARCH("EXCHANGE RATE",C78)),ISNUMBER(SEARCH("EXCHG RTE",C78)))),"Personal Travel - Italy",IFERROR(INDEX('Category Rules'!$B$2:$B$358,MATCH(TRUE,ISNUMBER(SEARCH('Category Rules'!$A$2:$A$358,C78)),0)),""))))))))</f>
        <v>Personal Travel</v>
      </c>
    </row>
    <row r="79" spans="1:7" x14ac:dyDescent="0.25">
      <c r="A79" t="s">
        <v>6</v>
      </c>
      <c r="B79" s="1">
        <v>46010</v>
      </c>
      <c r="C79" t="s">
        <v>78</v>
      </c>
      <c r="D79">
        <v>-50</v>
      </c>
      <c r="E79" t="s">
        <v>10</v>
      </c>
      <c r="F79">
        <v>3869.52</v>
      </c>
      <c r="G79" t="str" cm="1">
        <f t="array" ref="G79">IF(AND(ISNUMBER(SEARCH("UBER",C79)),ISNUMBER(SEARCH("EATS",C79))),"Uber Eats",IF(LEFT(C79,6)="CHECK ","Checks Paid",IF(OR(E79="BILLPAY",ISNUMBER(SEARCH("FRANCHISE TAX",C79)),ISNUMBER(SEARCH("NEXTLINK",C79))),"Personal - House Bills",IF(AND(ISNUMBER(SEARCH("PAYMENT FROM",C79)),ISNUMBER(SEARCH("JOE SAUNDERS",C79))),"Zelle from Joe Saunders",IF(AND(ISNUMBER(SEARCH("PAYMENT TO",C79)),ISNUMBER(SEARCH("JOE SAUNDERS",C79))),"Zelle to Joe Saunders",IF(OR(ISNUMBER(SEARCH("NEW ORLEANS",C79)),ISNUMBER(SEARCH("KENNER",C79)),ISNUMBER(SEARCH("HENRY HOWARD",C79)),ISNUMBER(SEARCH("MISS CLAUDIA",C79))),"Personal Travel - New Orleans",IF(AND(YEAR(B79)=2025,MONTH(B79)=4,OR(ISNUMBER(SEARCH("EXCHANGE RATE",C79)),ISNUMBER(SEARCH("EXCHG RTE",C79)))),"Personal Travel - Italy",IFERROR(INDEX('Category Rules'!$B$2:$B$358,MATCH(TRUE,ISNUMBER(SEARCH('Category Rules'!$A$2:$A$358,C79)),0)),""))))))))</f>
        <v>Personal Travel</v>
      </c>
    </row>
    <row r="80" spans="1:7" x14ac:dyDescent="0.25">
      <c r="A80" t="s">
        <v>44</v>
      </c>
      <c r="B80" s="1">
        <v>46010</v>
      </c>
      <c r="C80" t="s">
        <v>79</v>
      </c>
      <c r="D80">
        <v>3000</v>
      </c>
      <c r="E80" t="s">
        <v>73</v>
      </c>
      <c r="F80">
        <v>3919.52</v>
      </c>
      <c r="G80" t="str" cm="1">
        <f t="array" ref="G80">IF(AND(ISNUMBER(SEARCH("UBER",C80)),ISNUMBER(SEARCH("EATS",C80))),"Uber Eats",IF(LEFT(C80,6)="CHECK ","Checks Paid",IF(OR(E80="BILLPAY",ISNUMBER(SEARCH("FRANCHISE TAX",C80)),ISNUMBER(SEARCH("NEXTLINK",C80))),"Personal - House Bills",IF(AND(ISNUMBER(SEARCH("PAYMENT FROM",C80)),ISNUMBER(SEARCH("JOE SAUNDERS",C80))),"Zelle from Joe Saunders",IF(AND(ISNUMBER(SEARCH("PAYMENT TO",C80)),ISNUMBER(SEARCH("JOE SAUNDERS",C80))),"Zelle to Joe Saunders",IF(OR(ISNUMBER(SEARCH("NEW ORLEANS",C80)),ISNUMBER(SEARCH("KENNER",C80)),ISNUMBER(SEARCH("HENRY HOWARD",C80)),ISNUMBER(SEARCH("MISS CLAUDIA",C80))),"Personal Travel - New Orleans",IF(AND(YEAR(B80)=2025,MONTH(B80)=4,OR(ISNUMBER(SEARCH("EXCHANGE RATE",C80)),ISNUMBER(SEARCH("EXCHG RTE",C80)))),"Personal Travel - Italy",IFERROR(INDEX('Category Rules'!$B$2:$B$358,MATCH(TRUE,ISNUMBER(SEARCH('Category Rules'!$A$2:$A$358,C80)),0)),""))))))))</f>
        <v>Transfer from DWG Capital Group</v>
      </c>
    </row>
    <row r="81" spans="1:7" x14ac:dyDescent="0.25">
      <c r="A81" t="s">
        <v>6</v>
      </c>
      <c r="B81" s="1">
        <v>46009</v>
      </c>
      <c r="C81" t="s">
        <v>80</v>
      </c>
      <c r="D81">
        <v>-4.55</v>
      </c>
      <c r="E81" t="s">
        <v>8</v>
      </c>
      <c r="F81">
        <v>919.52</v>
      </c>
      <c r="G81" t="str" cm="1">
        <f t="array" ref="G81">IF(AND(ISNUMBER(SEARCH("UBER",C81)),ISNUMBER(SEARCH("EATS",C81))),"Uber Eats",IF(LEFT(C81,6)="CHECK ","Checks Paid",IF(OR(E81="BILLPAY",ISNUMBER(SEARCH("FRANCHISE TAX",C81)),ISNUMBER(SEARCH("NEXTLINK",C81))),"Personal - House Bills",IF(AND(ISNUMBER(SEARCH("PAYMENT FROM",C81)),ISNUMBER(SEARCH("JOE SAUNDERS",C81))),"Zelle from Joe Saunders",IF(AND(ISNUMBER(SEARCH("PAYMENT TO",C81)),ISNUMBER(SEARCH("JOE SAUNDERS",C81))),"Zelle to Joe Saunders",IF(OR(ISNUMBER(SEARCH("NEW ORLEANS",C81)),ISNUMBER(SEARCH("KENNER",C81)),ISNUMBER(SEARCH("HENRY HOWARD",C81)),ISNUMBER(SEARCH("MISS CLAUDIA",C81))),"Personal Travel - New Orleans",IF(AND(YEAR(B81)=2025,MONTH(B81)=4,OR(ISNUMBER(SEARCH("EXCHANGE RATE",C81)),ISNUMBER(SEARCH("EXCHG RTE",C81)))),"Personal Travel - Italy",IFERROR(INDEX('Category Rules'!$B$2:$B$358,MATCH(TRUE,ISNUMBER(SEARCH('Category Rules'!$A$2:$A$358,C81)),0)),""))))))))</f>
        <v>Personal Travel - Canada</v>
      </c>
    </row>
    <row r="82" spans="1:7" x14ac:dyDescent="0.25">
      <c r="A82" t="s">
        <v>6</v>
      </c>
      <c r="B82" s="1">
        <v>46009</v>
      </c>
      <c r="C82" t="s">
        <v>21</v>
      </c>
      <c r="D82">
        <v>-5</v>
      </c>
      <c r="E82" t="s">
        <v>8</v>
      </c>
      <c r="F82">
        <v>924.07</v>
      </c>
      <c r="G82" t="str" cm="1">
        <f t="array" ref="G82">IF(AND(ISNUMBER(SEARCH("UBER",C82)),ISNUMBER(SEARCH("EATS",C82))),"Uber Eats",IF(LEFT(C82,6)="CHECK ","Checks Paid",IF(OR(E82="BILLPAY",ISNUMBER(SEARCH("FRANCHISE TAX",C82)),ISNUMBER(SEARCH("NEXTLINK",C82))),"Personal - House Bills",IF(AND(ISNUMBER(SEARCH("PAYMENT FROM",C82)),ISNUMBER(SEARCH("JOE SAUNDERS",C82))),"Zelle from Joe Saunders",IF(AND(ISNUMBER(SEARCH("PAYMENT TO",C82)),ISNUMBER(SEARCH("JOE SAUNDERS",C82))),"Zelle to Joe Saunders",IF(OR(ISNUMBER(SEARCH("NEW ORLEANS",C82)),ISNUMBER(SEARCH("KENNER",C82)),ISNUMBER(SEARCH("HENRY HOWARD",C82)),ISNUMBER(SEARCH("MISS CLAUDIA",C82))),"Personal Travel - New Orleans",IF(AND(YEAR(B82)=2025,MONTH(B82)=4,OR(ISNUMBER(SEARCH("EXCHANGE RATE",C82)),ISNUMBER(SEARCH("EXCHG RTE",C82)))),"Personal Travel - Italy",IFERROR(INDEX('Category Rules'!$B$2:$B$358,MATCH(TRUE,ISNUMBER(SEARCH('Category Rules'!$A$2:$A$358,C82)),0)),""))))))))</f>
        <v>Bank Fees</v>
      </c>
    </row>
    <row r="83" spans="1:7" x14ac:dyDescent="0.25">
      <c r="A83" t="s">
        <v>6</v>
      </c>
      <c r="B83" s="1">
        <v>46009</v>
      </c>
      <c r="C83" t="s">
        <v>81</v>
      </c>
      <c r="D83">
        <v>-151.65</v>
      </c>
      <c r="E83" t="s">
        <v>26</v>
      </c>
      <c r="F83">
        <v>929.07</v>
      </c>
      <c r="G83" t="str" cm="1">
        <f t="array" ref="G83">IF(AND(ISNUMBER(SEARCH("UBER",C83)),ISNUMBER(SEARCH("EATS",C83))),"Uber Eats",IF(LEFT(C83,6)="CHECK ","Checks Paid",IF(OR(E83="BILLPAY",ISNUMBER(SEARCH("FRANCHISE TAX",C83)),ISNUMBER(SEARCH("NEXTLINK",C83))),"Personal - House Bills",IF(AND(ISNUMBER(SEARCH("PAYMENT FROM",C83)),ISNUMBER(SEARCH("JOE SAUNDERS",C83))),"Zelle from Joe Saunders",IF(AND(ISNUMBER(SEARCH("PAYMENT TO",C83)),ISNUMBER(SEARCH("JOE SAUNDERS",C83))),"Zelle to Joe Saunders",IF(OR(ISNUMBER(SEARCH("NEW ORLEANS",C83)),ISNUMBER(SEARCH("KENNER",C83)),ISNUMBER(SEARCH("HENRY HOWARD",C83)),ISNUMBER(SEARCH("MISS CLAUDIA",C83))),"Personal Travel - New Orleans",IF(AND(YEAR(B83)=2025,MONTH(B83)=4,OR(ISNUMBER(SEARCH("EXCHANGE RATE",C83)),ISNUMBER(SEARCH("EXCHG RTE",C83)))),"Personal Travel - Italy",IFERROR(INDEX('Category Rules'!$B$2:$B$358,MATCH(TRUE,ISNUMBER(SEARCH('Category Rules'!$A$2:$A$358,C83)),0)),""))))))))</f>
        <v>Personal Travel - Canada</v>
      </c>
    </row>
    <row r="84" spans="1:7" x14ac:dyDescent="0.25">
      <c r="A84" t="s">
        <v>6</v>
      </c>
      <c r="B84" s="1">
        <v>46009</v>
      </c>
      <c r="C84" t="s">
        <v>82</v>
      </c>
      <c r="D84">
        <v>-62.83</v>
      </c>
      <c r="E84" t="s">
        <v>10</v>
      </c>
      <c r="F84">
        <v>1080.72</v>
      </c>
      <c r="G84" t="str" cm="1">
        <f t="array" ref="G84">IF(AND(ISNUMBER(SEARCH("UBER",C84)),ISNUMBER(SEARCH("EATS",C84))),"Uber Eats",IF(LEFT(C84,6)="CHECK ","Checks Paid",IF(OR(E84="BILLPAY",ISNUMBER(SEARCH("FRANCHISE TAX",C84)),ISNUMBER(SEARCH("NEXTLINK",C84))),"Personal - House Bills",IF(AND(ISNUMBER(SEARCH("PAYMENT FROM",C84)),ISNUMBER(SEARCH("JOE SAUNDERS",C84))),"Zelle from Joe Saunders",IF(AND(ISNUMBER(SEARCH("PAYMENT TO",C84)),ISNUMBER(SEARCH("JOE SAUNDERS",C84))),"Zelle to Joe Saunders",IF(OR(ISNUMBER(SEARCH("NEW ORLEANS",C84)),ISNUMBER(SEARCH("KENNER",C84)),ISNUMBER(SEARCH("HENRY HOWARD",C84)),ISNUMBER(SEARCH("MISS CLAUDIA",C84))),"Personal Travel - New Orleans",IF(AND(YEAR(B84)=2025,MONTH(B84)=4,OR(ISNUMBER(SEARCH("EXCHANGE RATE",C84)),ISNUMBER(SEARCH("EXCHG RTE",C84)))),"Personal Travel - Italy",IFERROR(INDEX('Category Rules'!$B$2:$B$358,MATCH(TRUE,ISNUMBER(SEARCH('Category Rules'!$A$2:$A$358,C84)),0)),""))))))))</f>
        <v>Personal - Uber</v>
      </c>
    </row>
    <row r="85" spans="1:7" x14ac:dyDescent="0.25">
      <c r="A85" t="s">
        <v>6</v>
      </c>
      <c r="B85" s="1">
        <v>46009</v>
      </c>
      <c r="C85" t="s">
        <v>83</v>
      </c>
      <c r="D85">
        <v>-35.39</v>
      </c>
      <c r="E85" t="s">
        <v>10</v>
      </c>
      <c r="F85">
        <v>1143.55</v>
      </c>
      <c r="G85" t="str" cm="1">
        <f t="array" ref="G85">IF(AND(ISNUMBER(SEARCH("UBER",C85)),ISNUMBER(SEARCH("EATS",C85))),"Uber Eats",IF(LEFT(C85,6)="CHECK ","Checks Paid",IF(OR(E85="BILLPAY",ISNUMBER(SEARCH("FRANCHISE TAX",C85)),ISNUMBER(SEARCH("NEXTLINK",C85))),"Personal - House Bills",IF(AND(ISNUMBER(SEARCH("PAYMENT FROM",C85)),ISNUMBER(SEARCH("JOE SAUNDERS",C85))),"Zelle from Joe Saunders",IF(AND(ISNUMBER(SEARCH("PAYMENT TO",C85)),ISNUMBER(SEARCH("JOE SAUNDERS",C85))),"Zelle to Joe Saunders",IF(OR(ISNUMBER(SEARCH("NEW ORLEANS",C85)),ISNUMBER(SEARCH("KENNER",C85)),ISNUMBER(SEARCH("HENRY HOWARD",C85)),ISNUMBER(SEARCH("MISS CLAUDIA",C85))),"Personal Travel - New Orleans",IF(AND(YEAR(B85)=2025,MONTH(B85)=4,OR(ISNUMBER(SEARCH("EXCHANGE RATE",C85)),ISNUMBER(SEARCH("EXCHG RTE",C85)))),"Personal Travel - Italy",IFERROR(INDEX('Category Rules'!$B$2:$B$358,MATCH(TRUE,ISNUMBER(SEARCH('Category Rules'!$A$2:$A$358,C85)),0)),""))))))))</f>
        <v>Uber Eats</v>
      </c>
    </row>
    <row r="86" spans="1:7" x14ac:dyDescent="0.25">
      <c r="A86" t="s">
        <v>6</v>
      </c>
      <c r="B86" s="1">
        <v>46009</v>
      </c>
      <c r="C86" t="s">
        <v>84</v>
      </c>
      <c r="D86">
        <v>-30</v>
      </c>
      <c r="E86" t="s">
        <v>10</v>
      </c>
      <c r="F86">
        <v>1178.94</v>
      </c>
      <c r="G86" t="str" cm="1">
        <f t="array" ref="G86">IF(AND(ISNUMBER(SEARCH("UBER",C86)),ISNUMBER(SEARCH("EATS",C86))),"Uber Eats",IF(LEFT(C86,6)="CHECK ","Checks Paid",IF(OR(E86="BILLPAY",ISNUMBER(SEARCH("FRANCHISE TAX",C86)),ISNUMBER(SEARCH("NEXTLINK",C86))),"Personal - House Bills",IF(AND(ISNUMBER(SEARCH("PAYMENT FROM",C86)),ISNUMBER(SEARCH("JOE SAUNDERS",C86))),"Zelle from Joe Saunders",IF(AND(ISNUMBER(SEARCH("PAYMENT TO",C86)),ISNUMBER(SEARCH("JOE SAUNDERS",C86))),"Zelle to Joe Saunders",IF(OR(ISNUMBER(SEARCH("NEW ORLEANS",C86)),ISNUMBER(SEARCH("KENNER",C86)),ISNUMBER(SEARCH("HENRY HOWARD",C86)),ISNUMBER(SEARCH("MISS CLAUDIA",C86))),"Personal Travel - New Orleans",IF(AND(YEAR(B86)=2025,MONTH(B86)=4,OR(ISNUMBER(SEARCH("EXCHANGE RATE",C86)),ISNUMBER(SEARCH("EXCHG RTE",C86)))),"Personal Travel - Italy",IFERROR(INDEX('Category Rules'!$B$2:$B$358,MATCH(TRUE,ISNUMBER(SEARCH('Category Rules'!$A$2:$A$358,C86)),0)),""))))))))</f>
        <v>Personal - Subscription</v>
      </c>
    </row>
    <row r="87" spans="1:7" x14ac:dyDescent="0.25">
      <c r="A87" t="s">
        <v>6</v>
      </c>
      <c r="B87" s="1">
        <v>46009</v>
      </c>
      <c r="C87" t="s">
        <v>85</v>
      </c>
      <c r="D87">
        <v>-1028</v>
      </c>
      <c r="E87" t="s">
        <v>10</v>
      </c>
      <c r="F87">
        <v>1208.94</v>
      </c>
      <c r="G87" t="str" cm="1">
        <f t="array" ref="G87">IF(AND(ISNUMBER(SEARCH("UBER",C87)),ISNUMBER(SEARCH("EATS",C87))),"Uber Eats",IF(LEFT(C87,6)="CHECK ","Checks Paid",IF(OR(E87="BILLPAY",ISNUMBER(SEARCH("FRANCHISE TAX",C87)),ISNUMBER(SEARCH("NEXTLINK",C87))),"Personal - House Bills",IF(AND(ISNUMBER(SEARCH("PAYMENT FROM",C87)),ISNUMBER(SEARCH("JOE SAUNDERS",C87))),"Zelle from Joe Saunders",IF(AND(ISNUMBER(SEARCH("PAYMENT TO",C87)),ISNUMBER(SEARCH("JOE SAUNDERS",C87))),"Zelle to Joe Saunders",IF(OR(ISNUMBER(SEARCH("NEW ORLEANS",C87)),ISNUMBER(SEARCH("KENNER",C87)),ISNUMBER(SEARCH("HENRY HOWARD",C87)),ISNUMBER(SEARCH("MISS CLAUDIA",C87))),"Personal Travel - New Orleans",IF(AND(YEAR(B87)=2025,MONTH(B87)=4,OR(ISNUMBER(SEARCH("EXCHANGE RATE",C87)),ISNUMBER(SEARCH("EXCHG RTE",C87)))),"Personal Travel - Italy",IFERROR(INDEX('Category Rules'!$B$2:$B$358,MATCH(TRUE,ISNUMBER(SEARCH('Category Rules'!$A$2:$A$358,C87)),0)),""))))))))</f>
        <v>Personal - Health</v>
      </c>
    </row>
    <row r="88" spans="1:7" x14ac:dyDescent="0.25">
      <c r="A88" t="s">
        <v>6</v>
      </c>
      <c r="B88" s="1">
        <v>46009</v>
      </c>
      <c r="C88" t="s">
        <v>86</v>
      </c>
      <c r="D88">
        <v>-40</v>
      </c>
      <c r="E88" t="s">
        <v>10</v>
      </c>
      <c r="F88">
        <v>2236.94</v>
      </c>
      <c r="G88" t="str" cm="1">
        <f t="array" ref="G88">IF(AND(ISNUMBER(SEARCH("UBER",C88)),ISNUMBER(SEARCH("EATS",C88))),"Uber Eats",IF(LEFT(C88,6)="CHECK ","Checks Paid",IF(OR(E88="BILLPAY",ISNUMBER(SEARCH("FRANCHISE TAX",C88)),ISNUMBER(SEARCH("NEXTLINK",C88))),"Personal - House Bills",IF(AND(ISNUMBER(SEARCH("PAYMENT FROM",C88)),ISNUMBER(SEARCH("JOE SAUNDERS",C88))),"Zelle from Joe Saunders",IF(AND(ISNUMBER(SEARCH("PAYMENT TO",C88)),ISNUMBER(SEARCH("JOE SAUNDERS",C88))),"Zelle to Joe Saunders",IF(OR(ISNUMBER(SEARCH("NEW ORLEANS",C88)),ISNUMBER(SEARCH("KENNER",C88)),ISNUMBER(SEARCH("HENRY HOWARD",C88)),ISNUMBER(SEARCH("MISS CLAUDIA",C88))),"Personal Travel - New Orleans",IF(AND(YEAR(B88)=2025,MONTH(B88)=4,OR(ISNUMBER(SEARCH("EXCHANGE RATE",C88)),ISNUMBER(SEARCH("EXCHG RTE",C88)))),"Personal Travel - Italy",IFERROR(INDEX('Category Rules'!$B$2:$B$358,MATCH(TRUE,ISNUMBER(SEARCH('Category Rules'!$A$2:$A$358,C88)),0)),""))))))))</f>
        <v>Personal Travel</v>
      </c>
    </row>
    <row r="89" spans="1:7" x14ac:dyDescent="0.25">
      <c r="A89" t="s">
        <v>6</v>
      </c>
      <c r="B89" s="1">
        <v>46009</v>
      </c>
      <c r="C89" t="s">
        <v>86</v>
      </c>
      <c r="D89">
        <v>-40</v>
      </c>
      <c r="E89" t="s">
        <v>10</v>
      </c>
      <c r="F89">
        <v>2276.94</v>
      </c>
      <c r="G89" t="str" cm="1">
        <f t="array" ref="G89">IF(AND(ISNUMBER(SEARCH("UBER",C89)),ISNUMBER(SEARCH("EATS",C89))),"Uber Eats",IF(LEFT(C89,6)="CHECK ","Checks Paid",IF(OR(E89="BILLPAY",ISNUMBER(SEARCH("FRANCHISE TAX",C89)),ISNUMBER(SEARCH("NEXTLINK",C89))),"Personal - House Bills",IF(AND(ISNUMBER(SEARCH("PAYMENT FROM",C89)),ISNUMBER(SEARCH("JOE SAUNDERS",C89))),"Zelle from Joe Saunders",IF(AND(ISNUMBER(SEARCH("PAYMENT TO",C89)),ISNUMBER(SEARCH("JOE SAUNDERS",C89))),"Zelle to Joe Saunders",IF(OR(ISNUMBER(SEARCH("NEW ORLEANS",C89)),ISNUMBER(SEARCH("KENNER",C89)),ISNUMBER(SEARCH("HENRY HOWARD",C89)),ISNUMBER(SEARCH("MISS CLAUDIA",C89))),"Personal Travel - New Orleans",IF(AND(YEAR(B89)=2025,MONTH(B89)=4,OR(ISNUMBER(SEARCH("EXCHANGE RATE",C89)),ISNUMBER(SEARCH("EXCHG RTE",C89)))),"Personal Travel - Italy",IFERROR(INDEX('Category Rules'!$B$2:$B$358,MATCH(TRUE,ISNUMBER(SEARCH('Category Rules'!$A$2:$A$358,C89)),0)),""))))))))</f>
        <v>Personal Travel</v>
      </c>
    </row>
    <row r="90" spans="1:7" x14ac:dyDescent="0.25">
      <c r="A90" t="s">
        <v>6</v>
      </c>
      <c r="B90" s="1">
        <v>46009</v>
      </c>
      <c r="C90" t="s">
        <v>86</v>
      </c>
      <c r="D90">
        <v>-40</v>
      </c>
      <c r="E90" t="s">
        <v>10</v>
      </c>
      <c r="F90">
        <v>2316.94</v>
      </c>
      <c r="G90" t="str" cm="1">
        <f t="array" ref="G90">IF(AND(ISNUMBER(SEARCH("UBER",C90)),ISNUMBER(SEARCH("EATS",C90))),"Uber Eats",IF(LEFT(C90,6)="CHECK ","Checks Paid",IF(OR(E90="BILLPAY",ISNUMBER(SEARCH("FRANCHISE TAX",C90)),ISNUMBER(SEARCH("NEXTLINK",C90))),"Personal - House Bills",IF(AND(ISNUMBER(SEARCH("PAYMENT FROM",C90)),ISNUMBER(SEARCH("JOE SAUNDERS",C90))),"Zelle from Joe Saunders",IF(AND(ISNUMBER(SEARCH("PAYMENT TO",C90)),ISNUMBER(SEARCH("JOE SAUNDERS",C90))),"Zelle to Joe Saunders",IF(OR(ISNUMBER(SEARCH("NEW ORLEANS",C90)),ISNUMBER(SEARCH("KENNER",C90)),ISNUMBER(SEARCH("HENRY HOWARD",C90)),ISNUMBER(SEARCH("MISS CLAUDIA",C90))),"Personal Travel - New Orleans",IF(AND(YEAR(B90)=2025,MONTH(B90)=4,OR(ISNUMBER(SEARCH("EXCHANGE RATE",C90)),ISNUMBER(SEARCH("EXCHG RTE",C90)))),"Personal Travel - Italy",IFERROR(INDEX('Category Rules'!$B$2:$B$358,MATCH(TRUE,ISNUMBER(SEARCH('Category Rules'!$A$2:$A$358,C90)),0)),""))))))))</f>
        <v>Personal Travel</v>
      </c>
    </row>
    <row r="91" spans="1:7" x14ac:dyDescent="0.25">
      <c r="A91" t="s">
        <v>6</v>
      </c>
      <c r="B91" s="1">
        <v>46009</v>
      </c>
      <c r="C91" t="s">
        <v>86</v>
      </c>
      <c r="D91">
        <v>-40</v>
      </c>
      <c r="E91" t="s">
        <v>10</v>
      </c>
      <c r="F91">
        <v>2356.94</v>
      </c>
      <c r="G91" t="str" cm="1">
        <f t="array" ref="G91">IF(AND(ISNUMBER(SEARCH("UBER",C91)),ISNUMBER(SEARCH("EATS",C91))),"Uber Eats",IF(LEFT(C91,6)="CHECK ","Checks Paid",IF(OR(E91="BILLPAY",ISNUMBER(SEARCH("FRANCHISE TAX",C91)),ISNUMBER(SEARCH("NEXTLINK",C91))),"Personal - House Bills",IF(AND(ISNUMBER(SEARCH("PAYMENT FROM",C91)),ISNUMBER(SEARCH("JOE SAUNDERS",C91))),"Zelle from Joe Saunders",IF(AND(ISNUMBER(SEARCH("PAYMENT TO",C91)),ISNUMBER(SEARCH("JOE SAUNDERS",C91))),"Zelle to Joe Saunders",IF(OR(ISNUMBER(SEARCH("NEW ORLEANS",C91)),ISNUMBER(SEARCH("KENNER",C91)),ISNUMBER(SEARCH("HENRY HOWARD",C91)),ISNUMBER(SEARCH("MISS CLAUDIA",C91))),"Personal Travel - New Orleans",IF(AND(YEAR(B91)=2025,MONTH(B91)=4,OR(ISNUMBER(SEARCH("EXCHANGE RATE",C91)),ISNUMBER(SEARCH("EXCHG RTE",C91)))),"Personal Travel - Italy",IFERROR(INDEX('Category Rules'!$B$2:$B$358,MATCH(TRUE,ISNUMBER(SEARCH('Category Rules'!$A$2:$A$358,C91)),0)),""))))))))</f>
        <v>Personal Travel</v>
      </c>
    </row>
    <row r="92" spans="1:7" x14ac:dyDescent="0.25">
      <c r="A92" t="s">
        <v>6</v>
      </c>
      <c r="B92" s="1">
        <v>46009</v>
      </c>
      <c r="C92" t="s">
        <v>86</v>
      </c>
      <c r="D92">
        <v>-50</v>
      </c>
      <c r="E92" t="s">
        <v>10</v>
      </c>
      <c r="F92">
        <v>2396.94</v>
      </c>
      <c r="G92" t="str" cm="1">
        <f t="array" ref="G92">IF(AND(ISNUMBER(SEARCH("UBER",C92)),ISNUMBER(SEARCH("EATS",C92))),"Uber Eats",IF(LEFT(C92,6)="CHECK ","Checks Paid",IF(OR(E92="BILLPAY",ISNUMBER(SEARCH("FRANCHISE TAX",C92)),ISNUMBER(SEARCH("NEXTLINK",C92))),"Personal - House Bills",IF(AND(ISNUMBER(SEARCH("PAYMENT FROM",C92)),ISNUMBER(SEARCH("JOE SAUNDERS",C92))),"Zelle from Joe Saunders",IF(AND(ISNUMBER(SEARCH("PAYMENT TO",C92)),ISNUMBER(SEARCH("JOE SAUNDERS",C92))),"Zelle to Joe Saunders",IF(OR(ISNUMBER(SEARCH("NEW ORLEANS",C92)),ISNUMBER(SEARCH("KENNER",C92)),ISNUMBER(SEARCH("HENRY HOWARD",C92)),ISNUMBER(SEARCH("MISS CLAUDIA",C92))),"Personal Travel - New Orleans",IF(AND(YEAR(B92)=2025,MONTH(B92)=4,OR(ISNUMBER(SEARCH("EXCHANGE RATE",C92)),ISNUMBER(SEARCH("EXCHG RTE",C92)))),"Personal Travel - Italy",IFERROR(INDEX('Category Rules'!$B$2:$B$358,MATCH(TRUE,ISNUMBER(SEARCH('Category Rules'!$A$2:$A$358,C92)),0)),""))))))))</f>
        <v>Personal Travel</v>
      </c>
    </row>
    <row r="93" spans="1:7" x14ac:dyDescent="0.25">
      <c r="A93" t="s">
        <v>6</v>
      </c>
      <c r="B93" s="1">
        <v>46008</v>
      </c>
      <c r="C93" t="s">
        <v>87</v>
      </c>
      <c r="D93">
        <v>-80.540000000000006</v>
      </c>
      <c r="E93" t="s">
        <v>10</v>
      </c>
      <c r="F93">
        <v>2446.94</v>
      </c>
      <c r="G93" t="str" cm="1">
        <f t="array" ref="G93">IF(AND(ISNUMBER(SEARCH("UBER",C93)),ISNUMBER(SEARCH("EATS",C93))),"Uber Eats",IF(LEFT(C93,6)="CHECK ","Checks Paid",IF(OR(E93="BILLPAY",ISNUMBER(SEARCH("FRANCHISE TAX",C93)),ISNUMBER(SEARCH("NEXTLINK",C93))),"Personal - House Bills",IF(AND(ISNUMBER(SEARCH("PAYMENT FROM",C93)),ISNUMBER(SEARCH("JOE SAUNDERS",C93))),"Zelle from Joe Saunders",IF(AND(ISNUMBER(SEARCH("PAYMENT TO",C93)),ISNUMBER(SEARCH("JOE SAUNDERS",C93))),"Zelle to Joe Saunders",IF(OR(ISNUMBER(SEARCH("NEW ORLEANS",C93)),ISNUMBER(SEARCH("KENNER",C93)),ISNUMBER(SEARCH("HENRY HOWARD",C93)),ISNUMBER(SEARCH("MISS CLAUDIA",C93))),"Personal Travel - New Orleans",IF(AND(YEAR(B93)=2025,MONTH(B93)=4,OR(ISNUMBER(SEARCH("EXCHANGE RATE",C93)),ISNUMBER(SEARCH("EXCHG RTE",C93)))),"Personal Travel - Italy",IFERROR(INDEX('Category Rules'!$B$2:$B$358,MATCH(TRUE,ISNUMBER(SEARCH('Category Rules'!$A$2:$A$358,C93)),0)),""))))))))</f>
        <v>Personal - Food</v>
      </c>
    </row>
    <row r="94" spans="1:7" x14ac:dyDescent="0.25">
      <c r="A94" t="s">
        <v>6</v>
      </c>
      <c r="B94" s="1">
        <v>46008</v>
      </c>
      <c r="C94" t="s">
        <v>88</v>
      </c>
      <c r="D94">
        <v>-60</v>
      </c>
      <c r="E94" t="s">
        <v>10</v>
      </c>
      <c r="F94">
        <v>2527.48</v>
      </c>
      <c r="G94" t="str" cm="1">
        <f t="array" ref="G94">IF(AND(ISNUMBER(SEARCH("UBER",C94)),ISNUMBER(SEARCH("EATS",C94))),"Uber Eats",IF(LEFT(C94,6)="CHECK ","Checks Paid",IF(OR(E94="BILLPAY",ISNUMBER(SEARCH("FRANCHISE TAX",C94)),ISNUMBER(SEARCH("NEXTLINK",C94))),"Personal - House Bills",IF(AND(ISNUMBER(SEARCH("PAYMENT FROM",C94)),ISNUMBER(SEARCH("JOE SAUNDERS",C94))),"Zelle from Joe Saunders",IF(AND(ISNUMBER(SEARCH("PAYMENT TO",C94)),ISNUMBER(SEARCH("JOE SAUNDERS",C94))),"Zelle to Joe Saunders",IF(OR(ISNUMBER(SEARCH("NEW ORLEANS",C94)),ISNUMBER(SEARCH("KENNER",C94)),ISNUMBER(SEARCH("HENRY HOWARD",C94)),ISNUMBER(SEARCH("MISS CLAUDIA",C94))),"Personal Travel - New Orleans",IF(AND(YEAR(B94)=2025,MONTH(B94)=4,OR(ISNUMBER(SEARCH("EXCHANGE RATE",C94)),ISNUMBER(SEARCH("EXCHG RTE",C94)))),"Personal Travel - Italy",IFERROR(INDEX('Category Rules'!$B$2:$B$358,MATCH(TRUE,ISNUMBER(SEARCH('Category Rules'!$A$2:$A$358,C94)),0)),""))))))))</f>
        <v>Personal - Health</v>
      </c>
    </row>
    <row r="95" spans="1:7" x14ac:dyDescent="0.25">
      <c r="A95" t="s">
        <v>6</v>
      </c>
      <c r="B95" s="1">
        <v>46008</v>
      </c>
      <c r="C95" t="s">
        <v>89</v>
      </c>
      <c r="D95">
        <v>-13.8</v>
      </c>
      <c r="E95" t="s">
        <v>10</v>
      </c>
      <c r="F95">
        <v>2587.48</v>
      </c>
      <c r="G95" t="str" cm="1">
        <f t="array" ref="G95">IF(AND(ISNUMBER(SEARCH("UBER",C95)),ISNUMBER(SEARCH("EATS",C95))),"Uber Eats",IF(LEFT(C95,6)="CHECK ","Checks Paid",IF(OR(E95="BILLPAY",ISNUMBER(SEARCH("FRANCHISE TAX",C95)),ISNUMBER(SEARCH("NEXTLINK",C95))),"Personal - House Bills",IF(AND(ISNUMBER(SEARCH("PAYMENT FROM",C95)),ISNUMBER(SEARCH("JOE SAUNDERS",C95))),"Zelle from Joe Saunders",IF(AND(ISNUMBER(SEARCH("PAYMENT TO",C95)),ISNUMBER(SEARCH("JOE SAUNDERS",C95))),"Zelle to Joe Saunders",IF(OR(ISNUMBER(SEARCH("NEW ORLEANS",C95)),ISNUMBER(SEARCH("KENNER",C95)),ISNUMBER(SEARCH("HENRY HOWARD",C95)),ISNUMBER(SEARCH("MISS CLAUDIA",C95))),"Personal Travel - New Orleans",IF(AND(YEAR(B95)=2025,MONTH(B95)=4,OR(ISNUMBER(SEARCH("EXCHANGE RATE",C95)),ISNUMBER(SEARCH("EXCHG RTE",C95)))),"Personal Travel - Italy",IFERROR(INDEX('Category Rules'!$B$2:$B$358,MATCH(TRUE,ISNUMBER(SEARCH('Category Rules'!$A$2:$A$358,C95)),0)),""))))))))</f>
        <v>Personal - Food</v>
      </c>
    </row>
    <row r="96" spans="1:7" x14ac:dyDescent="0.25">
      <c r="A96" t="s">
        <v>6</v>
      </c>
      <c r="B96" s="1">
        <v>46008</v>
      </c>
      <c r="C96" t="s">
        <v>90</v>
      </c>
      <c r="D96">
        <v>-21.94</v>
      </c>
      <c r="E96" t="s">
        <v>10</v>
      </c>
      <c r="F96">
        <v>2601.2800000000002</v>
      </c>
      <c r="G96" t="str" cm="1">
        <f t="array" ref="G96">IF(AND(ISNUMBER(SEARCH("UBER",C96)),ISNUMBER(SEARCH("EATS",C96))),"Uber Eats",IF(LEFT(C96,6)="CHECK ","Checks Paid",IF(OR(E96="BILLPAY",ISNUMBER(SEARCH("FRANCHISE TAX",C96)),ISNUMBER(SEARCH("NEXTLINK",C96))),"Personal - House Bills",IF(AND(ISNUMBER(SEARCH("PAYMENT FROM",C96)),ISNUMBER(SEARCH("JOE SAUNDERS",C96))),"Zelle from Joe Saunders",IF(AND(ISNUMBER(SEARCH("PAYMENT TO",C96)),ISNUMBER(SEARCH("JOE SAUNDERS",C96))),"Zelle to Joe Saunders",IF(OR(ISNUMBER(SEARCH("NEW ORLEANS",C96)),ISNUMBER(SEARCH("KENNER",C96)),ISNUMBER(SEARCH("HENRY HOWARD",C96)),ISNUMBER(SEARCH("MISS CLAUDIA",C96))),"Personal Travel - New Orleans",IF(AND(YEAR(B96)=2025,MONTH(B96)=4,OR(ISNUMBER(SEARCH("EXCHANGE RATE",C96)),ISNUMBER(SEARCH("EXCHG RTE",C96)))),"Personal Travel - Italy",IFERROR(INDEX('Category Rules'!$B$2:$B$358,MATCH(TRUE,ISNUMBER(SEARCH('Category Rules'!$A$2:$A$358,C96)),0)),""))))))))</f>
        <v>Amazon</v>
      </c>
    </row>
    <row r="97" spans="1:7" x14ac:dyDescent="0.25">
      <c r="A97" t="s">
        <v>6</v>
      </c>
      <c r="B97" s="1">
        <v>46008</v>
      </c>
      <c r="C97" t="s">
        <v>91</v>
      </c>
      <c r="D97">
        <v>-102.76</v>
      </c>
      <c r="E97" t="s">
        <v>10</v>
      </c>
      <c r="F97">
        <v>2623.22</v>
      </c>
      <c r="G97" t="str" cm="1">
        <f t="array" ref="G97">IF(AND(ISNUMBER(SEARCH("UBER",C97)),ISNUMBER(SEARCH("EATS",C97))),"Uber Eats",IF(LEFT(C97,6)="CHECK ","Checks Paid",IF(OR(E97="BILLPAY",ISNUMBER(SEARCH("FRANCHISE TAX",C97)),ISNUMBER(SEARCH("NEXTLINK",C97))),"Personal - House Bills",IF(AND(ISNUMBER(SEARCH("PAYMENT FROM",C97)),ISNUMBER(SEARCH("JOE SAUNDERS",C97))),"Zelle from Joe Saunders",IF(AND(ISNUMBER(SEARCH("PAYMENT TO",C97)),ISNUMBER(SEARCH("JOE SAUNDERS",C97))),"Zelle to Joe Saunders",IF(OR(ISNUMBER(SEARCH("NEW ORLEANS",C97)),ISNUMBER(SEARCH("KENNER",C97)),ISNUMBER(SEARCH("HENRY HOWARD",C97)),ISNUMBER(SEARCH("MISS CLAUDIA",C97))),"Personal Travel - New Orleans",IF(AND(YEAR(B97)=2025,MONTH(B97)=4,OR(ISNUMBER(SEARCH("EXCHANGE RATE",C97)),ISNUMBER(SEARCH("EXCHG RTE",C97)))),"Personal Travel - Italy",IFERROR(INDEX('Category Rules'!$B$2:$B$358,MATCH(TRUE,ISNUMBER(SEARCH('Category Rules'!$A$2:$A$358,C97)),0)),""))))))))</f>
        <v>Amazon</v>
      </c>
    </row>
    <row r="98" spans="1:7" x14ac:dyDescent="0.25">
      <c r="A98" t="s">
        <v>6</v>
      </c>
      <c r="B98" s="1">
        <v>46007</v>
      </c>
      <c r="C98" t="s">
        <v>92</v>
      </c>
      <c r="D98">
        <v>-500</v>
      </c>
      <c r="E98" t="s">
        <v>93</v>
      </c>
      <c r="F98">
        <v>2725.98</v>
      </c>
      <c r="G98" t="str" cm="1">
        <f t="array" ref="G98">IF(AND(ISNUMBER(SEARCH("UBER",C98)),ISNUMBER(SEARCH("EATS",C98))),"Uber Eats",IF(LEFT(C98,6)="CHECK ","Checks Paid",IF(OR(E98="BILLPAY",ISNUMBER(SEARCH("FRANCHISE TAX",C98)),ISNUMBER(SEARCH("NEXTLINK",C98))),"Personal - House Bills",IF(AND(ISNUMBER(SEARCH("PAYMENT FROM",C98)),ISNUMBER(SEARCH("JOE SAUNDERS",C98))),"Zelle from Joe Saunders",IF(AND(ISNUMBER(SEARCH("PAYMENT TO",C98)),ISNUMBER(SEARCH("JOE SAUNDERS",C98))),"Zelle to Joe Saunders",IF(OR(ISNUMBER(SEARCH("NEW ORLEANS",C98)),ISNUMBER(SEARCH("KENNER",C98)),ISNUMBER(SEARCH("HENRY HOWARD",C98)),ISNUMBER(SEARCH("MISS CLAUDIA",C98))),"Personal Travel - New Orleans",IF(AND(YEAR(B98)=2025,MONTH(B98)=4,OR(ISNUMBER(SEARCH("EXCHANGE RATE",C98)),ISNUMBER(SEARCH("EXCHG RTE",C98)))),"Personal Travel - Italy",IFERROR(INDEX('Category Rules'!$B$2:$B$358,MATCH(TRUE,ISNUMBER(SEARCH('Category Rules'!$A$2:$A$358,C98)),0)),""))))))))</f>
        <v>Withdrawal</v>
      </c>
    </row>
    <row r="99" spans="1:7" x14ac:dyDescent="0.25">
      <c r="A99" t="s">
        <v>6</v>
      </c>
      <c r="B99" s="1">
        <v>46007</v>
      </c>
      <c r="C99" t="s">
        <v>94</v>
      </c>
      <c r="D99">
        <v>-0.86</v>
      </c>
      <c r="E99" t="s">
        <v>10</v>
      </c>
      <c r="F99">
        <v>3225.98</v>
      </c>
      <c r="G99" t="str" cm="1">
        <f t="array" ref="G99">IF(AND(ISNUMBER(SEARCH("UBER",C99)),ISNUMBER(SEARCH("EATS",C99))),"Uber Eats",IF(LEFT(C99,6)="CHECK ","Checks Paid",IF(OR(E99="BILLPAY",ISNUMBER(SEARCH("FRANCHISE TAX",C99)),ISNUMBER(SEARCH("NEXTLINK",C99))),"Personal - House Bills",IF(AND(ISNUMBER(SEARCH("PAYMENT FROM",C99)),ISNUMBER(SEARCH("JOE SAUNDERS",C99))),"Zelle from Joe Saunders",IF(AND(ISNUMBER(SEARCH("PAYMENT TO",C99)),ISNUMBER(SEARCH("JOE SAUNDERS",C99))),"Zelle to Joe Saunders",IF(OR(ISNUMBER(SEARCH("NEW ORLEANS",C99)),ISNUMBER(SEARCH("KENNER",C99)),ISNUMBER(SEARCH("HENRY HOWARD",C99)),ISNUMBER(SEARCH("MISS CLAUDIA",C99))),"Personal Travel - New Orleans",IF(AND(YEAR(B99)=2025,MONTH(B99)=4,OR(ISNUMBER(SEARCH("EXCHANGE RATE",C99)),ISNUMBER(SEARCH("EXCHG RTE",C99)))),"Personal Travel - Italy",IFERROR(INDEX('Category Rules'!$B$2:$B$358,MATCH(TRUE,ISNUMBER(SEARCH('Category Rules'!$A$2:$A$358,C99)),0)),""))))))))</f>
        <v>Personal - Health</v>
      </c>
    </row>
    <row r="100" spans="1:7" x14ac:dyDescent="0.25">
      <c r="A100" t="s">
        <v>6</v>
      </c>
      <c r="B100" s="1">
        <v>46007</v>
      </c>
      <c r="C100" t="s">
        <v>95</v>
      </c>
      <c r="D100">
        <v>-139.02000000000001</v>
      </c>
      <c r="E100" t="s">
        <v>10</v>
      </c>
      <c r="F100">
        <v>3226.84</v>
      </c>
      <c r="G100" t="str" cm="1">
        <f t="array" ref="G100">IF(AND(ISNUMBER(SEARCH("UBER",C100)),ISNUMBER(SEARCH("EATS",C100))),"Uber Eats",IF(LEFT(C100,6)="CHECK ","Checks Paid",IF(OR(E100="BILLPAY",ISNUMBER(SEARCH("FRANCHISE TAX",C100)),ISNUMBER(SEARCH("NEXTLINK",C100))),"Personal - House Bills",IF(AND(ISNUMBER(SEARCH("PAYMENT FROM",C100)),ISNUMBER(SEARCH("JOE SAUNDERS",C100))),"Zelle from Joe Saunders",IF(AND(ISNUMBER(SEARCH("PAYMENT TO",C100)),ISNUMBER(SEARCH("JOE SAUNDERS",C100))),"Zelle to Joe Saunders",IF(OR(ISNUMBER(SEARCH("NEW ORLEANS",C100)),ISNUMBER(SEARCH("KENNER",C100)),ISNUMBER(SEARCH("HENRY HOWARD",C100)),ISNUMBER(SEARCH("MISS CLAUDIA",C100))),"Personal Travel - New Orleans",IF(AND(YEAR(B100)=2025,MONTH(B100)=4,OR(ISNUMBER(SEARCH("EXCHANGE RATE",C100)),ISNUMBER(SEARCH("EXCHG RTE",C100)))),"Personal Travel - Italy",IFERROR(INDEX('Category Rules'!$B$2:$B$358,MATCH(TRUE,ISNUMBER(SEARCH('Category Rules'!$A$2:$A$358,C100)),0)),""))))))))</f>
        <v>Personal - Health</v>
      </c>
    </row>
    <row r="101" spans="1:7" x14ac:dyDescent="0.25">
      <c r="A101" t="s">
        <v>6</v>
      </c>
      <c r="B101" s="1">
        <v>46007</v>
      </c>
      <c r="C101" t="s">
        <v>96</v>
      </c>
      <c r="D101">
        <v>-27.28</v>
      </c>
      <c r="E101" t="s">
        <v>10</v>
      </c>
      <c r="F101">
        <v>3365.86</v>
      </c>
      <c r="G101" t="str" cm="1">
        <f t="array" ref="G101">IF(AND(ISNUMBER(SEARCH("UBER",C101)),ISNUMBER(SEARCH("EATS",C101))),"Uber Eats",IF(LEFT(C101,6)="CHECK ","Checks Paid",IF(OR(E101="BILLPAY",ISNUMBER(SEARCH("FRANCHISE TAX",C101)),ISNUMBER(SEARCH("NEXTLINK",C101))),"Personal - House Bills",IF(AND(ISNUMBER(SEARCH("PAYMENT FROM",C101)),ISNUMBER(SEARCH("JOE SAUNDERS",C101))),"Zelle from Joe Saunders",IF(AND(ISNUMBER(SEARCH("PAYMENT TO",C101)),ISNUMBER(SEARCH("JOE SAUNDERS",C101))),"Zelle to Joe Saunders",IF(OR(ISNUMBER(SEARCH("NEW ORLEANS",C101)),ISNUMBER(SEARCH("KENNER",C101)),ISNUMBER(SEARCH("HENRY HOWARD",C101)),ISNUMBER(SEARCH("MISS CLAUDIA",C101))),"Personal Travel - New Orleans",IF(AND(YEAR(B101)=2025,MONTH(B101)=4,OR(ISNUMBER(SEARCH("EXCHANGE RATE",C101)),ISNUMBER(SEARCH("EXCHG RTE",C101)))),"Personal Travel - Italy",IFERROR(INDEX('Category Rules'!$B$2:$B$358,MATCH(TRUE,ISNUMBER(SEARCH('Category Rules'!$A$2:$A$358,C101)),0)),""))))))))</f>
        <v>Amazon</v>
      </c>
    </row>
    <row r="102" spans="1:7" x14ac:dyDescent="0.25">
      <c r="A102" t="s">
        <v>6</v>
      </c>
      <c r="B102" s="1">
        <v>46007</v>
      </c>
      <c r="C102" t="s">
        <v>97</v>
      </c>
      <c r="D102">
        <v>-36.869999999999997</v>
      </c>
      <c r="E102" t="s">
        <v>10</v>
      </c>
      <c r="F102">
        <v>3393.14</v>
      </c>
      <c r="G102" t="str" cm="1">
        <f t="array" ref="G102">IF(AND(ISNUMBER(SEARCH("UBER",C102)),ISNUMBER(SEARCH("EATS",C102))),"Uber Eats",IF(LEFT(C102,6)="CHECK ","Checks Paid",IF(OR(E102="BILLPAY",ISNUMBER(SEARCH("FRANCHISE TAX",C102)),ISNUMBER(SEARCH("NEXTLINK",C102))),"Personal - House Bills",IF(AND(ISNUMBER(SEARCH("PAYMENT FROM",C102)),ISNUMBER(SEARCH("JOE SAUNDERS",C102))),"Zelle from Joe Saunders",IF(AND(ISNUMBER(SEARCH("PAYMENT TO",C102)),ISNUMBER(SEARCH("JOE SAUNDERS",C102))),"Zelle to Joe Saunders",IF(OR(ISNUMBER(SEARCH("NEW ORLEANS",C102)),ISNUMBER(SEARCH("KENNER",C102)),ISNUMBER(SEARCH("HENRY HOWARD",C102)),ISNUMBER(SEARCH("MISS CLAUDIA",C102))),"Personal Travel - New Orleans",IF(AND(YEAR(B102)=2025,MONTH(B102)=4,OR(ISNUMBER(SEARCH("EXCHANGE RATE",C102)),ISNUMBER(SEARCH("EXCHG RTE",C102)))),"Personal Travel - Italy",IFERROR(INDEX('Category Rules'!$B$2:$B$358,MATCH(TRUE,ISNUMBER(SEARCH('Category Rules'!$A$2:$A$358,C102)),0)),""))))))))</f>
        <v>Amazon</v>
      </c>
    </row>
    <row r="103" spans="1:7" x14ac:dyDescent="0.25">
      <c r="A103" t="s">
        <v>6</v>
      </c>
      <c r="B103" s="1">
        <v>46007</v>
      </c>
      <c r="C103" t="s">
        <v>98</v>
      </c>
      <c r="D103">
        <v>-29.62</v>
      </c>
      <c r="E103" t="s">
        <v>10</v>
      </c>
      <c r="F103">
        <v>3430.01</v>
      </c>
      <c r="G103" t="str" cm="1">
        <f t="array" ref="G103">IF(AND(ISNUMBER(SEARCH("UBER",C103)),ISNUMBER(SEARCH("EATS",C103))),"Uber Eats",IF(LEFT(C103,6)="CHECK ","Checks Paid",IF(OR(E103="BILLPAY",ISNUMBER(SEARCH("FRANCHISE TAX",C103)),ISNUMBER(SEARCH("NEXTLINK",C103))),"Personal - House Bills",IF(AND(ISNUMBER(SEARCH("PAYMENT FROM",C103)),ISNUMBER(SEARCH("JOE SAUNDERS",C103))),"Zelle from Joe Saunders",IF(AND(ISNUMBER(SEARCH("PAYMENT TO",C103)),ISNUMBER(SEARCH("JOE SAUNDERS",C103))),"Zelle to Joe Saunders",IF(OR(ISNUMBER(SEARCH("NEW ORLEANS",C103)),ISNUMBER(SEARCH("KENNER",C103)),ISNUMBER(SEARCH("HENRY HOWARD",C103)),ISNUMBER(SEARCH("MISS CLAUDIA",C103))),"Personal Travel - New Orleans",IF(AND(YEAR(B103)=2025,MONTH(B103)=4,OR(ISNUMBER(SEARCH("EXCHANGE RATE",C103)),ISNUMBER(SEARCH("EXCHG RTE",C103)))),"Personal Travel - Italy",IFERROR(INDEX('Category Rules'!$B$2:$B$358,MATCH(TRUE,ISNUMBER(SEARCH('Category Rules'!$A$2:$A$358,C103)),0)),""))))))))</f>
        <v>Amazon</v>
      </c>
    </row>
    <row r="104" spans="1:7" x14ac:dyDescent="0.25">
      <c r="A104" t="s">
        <v>6</v>
      </c>
      <c r="B104" s="1">
        <v>46006</v>
      </c>
      <c r="C104" t="s">
        <v>99</v>
      </c>
      <c r="D104">
        <v>-18.489999999999998</v>
      </c>
      <c r="E104" t="s">
        <v>10</v>
      </c>
      <c r="F104">
        <v>3459.63</v>
      </c>
      <c r="G104" t="str" cm="1">
        <f t="array" ref="G104">IF(AND(ISNUMBER(SEARCH("UBER",C104)),ISNUMBER(SEARCH("EATS",C104))),"Uber Eats",IF(LEFT(C104,6)="CHECK ","Checks Paid",IF(OR(E104="BILLPAY",ISNUMBER(SEARCH("FRANCHISE TAX",C104)),ISNUMBER(SEARCH("NEXTLINK",C104))),"Personal - House Bills",IF(AND(ISNUMBER(SEARCH("PAYMENT FROM",C104)),ISNUMBER(SEARCH("JOE SAUNDERS",C104))),"Zelle from Joe Saunders",IF(AND(ISNUMBER(SEARCH("PAYMENT TO",C104)),ISNUMBER(SEARCH("JOE SAUNDERS",C104))),"Zelle to Joe Saunders",IF(OR(ISNUMBER(SEARCH("NEW ORLEANS",C104)),ISNUMBER(SEARCH("KENNER",C104)),ISNUMBER(SEARCH("HENRY HOWARD",C104)),ISNUMBER(SEARCH("MISS CLAUDIA",C104))),"Personal Travel - New Orleans",IF(AND(YEAR(B104)=2025,MONTH(B104)=4,OR(ISNUMBER(SEARCH("EXCHANGE RATE",C104)),ISNUMBER(SEARCH("EXCHG RTE",C104)))),"Personal Travel - Italy",IFERROR(INDEX('Category Rules'!$B$2:$B$358,MATCH(TRUE,ISNUMBER(SEARCH('Category Rules'!$A$2:$A$358,C104)),0)),""))))))))</f>
        <v>Amazon</v>
      </c>
    </row>
    <row r="105" spans="1:7" x14ac:dyDescent="0.25">
      <c r="A105" t="s">
        <v>6</v>
      </c>
      <c r="B105" s="1">
        <v>46006</v>
      </c>
      <c r="C105" t="s">
        <v>100</v>
      </c>
      <c r="D105">
        <v>-20</v>
      </c>
      <c r="E105" t="s">
        <v>10</v>
      </c>
      <c r="F105">
        <v>3478.12</v>
      </c>
      <c r="G105" t="str" cm="1">
        <f t="array" ref="G105">IF(AND(ISNUMBER(SEARCH("UBER",C105)),ISNUMBER(SEARCH("EATS",C105))),"Uber Eats",IF(LEFT(C105,6)="CHECK ","Checks Paid",IF(OR(E105="BILLPAY",ISNUMBER(SEARCH("FRANCHISE TAX",C105)),ISNUMBER(SEARCH("NEXTLINK",C105))),"Personal - House Bills",IF(AND(ISNUMBER(SEARCH("PAYMENT FROM",C105)),ISNUMBER(SEARCH("JOE SAUNDERS",C105))),"Zelle from Joe Saunders",IF(AND(ISNUMBER(SEARCH("PAYMENT TO",C105)),ISNUMBER(SEARCH("JOE SAUNDERS",C105))),"Zelle to Joe Saunders",IF(OR(ISNUMBER(SEARCH("NEW ORLEANS",C105)),ISNUMBER(SEARCH("KENNER",C105)),ISNUMBER(SEARCH("HENRY HOWARD",C105)),ISNUMBER(SEARCH("MISS CLAUDIA",C105))),"Personal Travel - New Orleans",IF(AND(YEAR(B105)=2025,MONTH(B105)=4,OR(ISNUMBER(SEARCH("EXCHANGE RATE",C105)),ISNUMBER(SEARCH("EXCHG RTE",C105)))),"Personal Travel - Italy",IFERROR(INDEX('Category Rules'!$B$2:$B$358,MATCH(TRUE,ISNUMBER(SEARCH('Category Rules'!$A$2:$A$358,C105)),0)),""))))))))</f>
        <v>Amazon</v>
      </c>
    </row>
    <row r="106" spans="1:7" x14ac:dyDescent="0.25">
      <c r="A106" t="s">
        <v>6</v>
      </c>
      <c r="B106" s="1">
        <v>46006</v>
      </c>
      <c r="C106" t="s">
        <v>101</v>
      </c>
      <c r="D106">
        <v>-16.45</v>
      </c>
      <c r="E106" t="s">
        <v>10</v>
      </c>
      <c r="F106">
        <v>3498.12</v>
      </c>
      <c r="G106" t="str" cm="1">
        <f t="array" ref="G106">IF(AND(ISNUMBER(SEARCH("UBER",C106)),ISNUMBER(SEARCH("EATS",C106))),"Uber Eats",IF(LEFT(C106,6)="CHECK ","Checks Paid",IF(OR(E106="BILLPAY",ISNUMBER(SEARCH("FRANCHISE TAX",C106)),ISNUMBER(SEARCH("NEXTLINK",C106))),"Personal - House Bills",IF(AND(ISNUMBER(SEARCH("PAYMENT FROM",C106)),ISNUMBER(SEARCH("JOE SAUNDERS",C106))),"Zelle from Joe Saunders",IF(AND(ISNUMBER(SEARCH("PAYMENT TO",C106)),ISNUMBER(SEARCH("JOE SAUNDERS",C106))),"Zelle to Joe Saunders",IF(OR(ISNUMBER(SEARCH("NEW ORLEANS",C106)),ISNUMBER(SEARCH("KENNER",C106)),ISNUMBER(SEARCH("HENRY HOWARD",C106)),ISNUMBER(SEARCH("MISS CLAUDIA",C106))),"Personal Travel - New Orleans",IF(AND(YEAR(B106)=2025,MONTH(B106)=4,OR(ISNUMBER(SEARCH("EXCHANGE RATE",C106)),ISNUMBER(SEARCH("EXCHG RTE",C106)))),"Personal Travel - Italy",IFERROR(INDEX('Category Rules'!$B$2:$B$358,MATCH(TRUE,ISNUMBER(SEARCH('Category Rules'!$A$2:$A$358,C106)),0)),""))))))))</f>
        <v>Amazon</v>
      </c>
    </row>
    <row r="107" spans="1:7" x14ac:dyDescent="0.25">
      <c r="A107" t="s">
        <v>6</v>
      </c>
      <c r="B107" s="1">
        <v>46006</v>
      </c>
      <c r="C107" t="s">
        <v>102</v>
      </c>
      <c r="D107">
        <v>-59.99</v>
      </c>
      <c r="E107" t="s">
        <v>10</v>
      </c>
      <c r="F107">
        <v>3514.57</v>
      </c>
      <c r="G107" t="str" cm="1">
        <f t="array" ref="G107">IF(AND(ISNUMBER(SEARCH("UBER",C107)),ISNUMBER(SEARCH("EATS",C107))),"Uber Eats",IF(LEFT(C107,6)="CHECK ","Checks Paid",IF(OR(E107="BILLPAY",ISNUMBER(SEARCH("FRANCHISE TAX",C107)),ISNUMBER(SEARCH("NEXTLINK",C107))),"Personal - House Bills",IF(AND(ISNUMBER(SEARCH("PAYMENT FROM",C107)),ISNUMBER(SEARCH("JOE SAUNDERS",C107))),"Zelle from Joe Saunders",IF(AND(ISNUMBER(SEARCH("PAYMENT TO",C107)),ISNUMBER(SEARCH("JOE SAUNDERS",C107))),"Zelle to Joe Saunders",IF(OR(ISNUMBER(SEARCH("NEW ORLEANS",C107)),ISNUMBER(SEARCH("KENNER",C107)),ISNUMBER(SEARCH("HENRY HOWARD",C107)),ISNUMBER(SEARCH("MISS CLAUDIA",C107))),"Personal Travel - New Orleans",IF(AND(YEAR(B107)=2025,MONTH(B107)=4,OR(ISNUMBER(SEARCH("EXCHANGE RATE",C107)),ISNUMBER(SEARCH("EXCHG RTE",C107)))),"Personal Travel - Italy",IFERROR(INDEX('Category Rules'!$B$2:$B$358,MATCH(TRUE,ISNUMBER(SEARCH('Category Rules'!$A$2:$A$358,C107)),0)),""))))))))</f>
        <v>Apple</v>
      </c>
    </row>
    <row r="108" spans="1:7" x14ac:dyDescent="0.25">
      <c r="A108" t="s">
        <v>6</v>
      </c>
      <c r="B108" s="1">
        <v>46006</v>
      </c>
      <c r="C108" t="s">
        <v>103</v>
      </c>
      <c r="D108">
        <v>-98.77</v>
      </c>
      <c r="E108" t="s">
        <v>10</v>
      </c>
      <c r="F108">
        <v>3574.56</v>
      </c>
      <c r="G108" t="str" cm="1">
        <f t="array" ref="G108">IF(AND(ISNUMBER(SEARCH("UBER",C108)),ISNUMBER(SEARCH("EATS",C108))),"Uber Eats",IF(LEFT(C108,6)="CHECK ","Checks Paid",IF(OR(E108="BILLPAY",ISNUMBER(SEARCH("FRANCHISE TAX",C108)),ISNUMBER(SEARCH("NEXTLINK",C108))),"Personal - House Bills",IF(AND(ISNUMBER(SEARCH("PAYMENT FROM",C108)),ISNUMBER(SEARCH("JOE SAUNDERS",C108))),"Zelle from Joe Saunders",IF(AND(ISNUMBER(SEARCH("PAYMENT TO",C108)),ISNUMBER(SEARCH("JOE SAUNDERS",C108))),"Zelle to Joe Saunders",IF(OR(ISNUMBER(SEARCH("NEW ORLEANS",C108)),ISNUMBER(SEARCH("KENNER",C108)),ISNUMBER(SEARCH("HENRY HOWARD",C108)),ISNUMBER(SEARCH("MISS CLAUDIA",C108))),"Personal Travel - New Orleans",IF(AND(YEAR(B108)=2025,MONTH(B108)=4,OR(ISNUMBER(SEARCH("EXCHANGE RATE",C108)),ISNUMBER(SEARCH("EXCHG RTE",C108)))),"Personal Travel - Italy",IFERROR(INDEX('Category Rules'!$B$2:$B$358,MATCH(TRUE,ISNUMBER(SEARCH('Category Rules'!$A$2:$A$358,C108)),0)),""))))))))</f>
        <v>Personal - Clothing</v>
      </c>
    </row>
    <row r="109" spans="1:7" x14ac:dyDescent="0.25">
      <c r="A109" t="s">
        <v>6</v>
      </c>
      <c r="B109" s="1">
        <v>46006</v>
      </c>
      <c r="C109" t="s">
        <v>104</v>
      </c>
      <c r="D109">
        <v>-9.57</v>
      </c>
      <c r="E109" t="s">
        <v>10</v>
      </c>
      <c r="F109">
        <v>3673.33</v>
      </c>
      <c r="G109" t="str" cm="1">
        <f t="array" ref="G109">IF(AND(ISNUMBER(SEARCH("UBER",C109)),ISNUMBER(SEARCH("EATS",C109))),"Uber Eats",IF(LEFT(C109,6)="CHECK ","Checks Paid",IF(OR(E109="BILLPAY",ISNUMBER(SEARCH("FRANCHISE TAX",C109)),ISNUMBER(SEARCH("NEXTLINK",C109))),"Personal - House Bills",IF(AND(ISNUMBER(SEARCH("PAYMENT FROM",C109)),ISNUMBER(SEARCH("JOE SAUNDERS",C109))),"Zelle from Joe Saunders",IF(AND(ISNUMBER(SEARCH("PAYMENT TO",C109)),ISNUMBER(SEARCH("JOE SAUNDERS",C109))),"Zelle to Joe Saunders",IF(OR(ISNUMBER(SEARCH("NEW ORLEANS",C109)),ISNUMBER(SEARCH("KENNER",C109)),ISNUMBER(SEARCH("HENRY HOWARD",C109)),ISNUMBER(SEARCH("MISS CLAUDIA",C109))),"Personal Travel - New Orleans",IF(AND(YEAR(B109)=2025,MONTH(B109)=4,OR(ISNUMBER(SEARCH("EXCHANGE RATE",C109)),ISNUMBER(SEARCH("EXCHG RTE",C109)))),"Personal Travel - Italy",IFERROR(INDEX('Category Rules'!$B$2:$B$358,MATCH(TRUE,ISNUMBER(SEARCH('Category Rules'!$A$2:$A$358,C109)),0)),""))))))))</f>
        <v>Amazon</v>
      </c>
    </row>
    <row r="110" spans="1:7" x14ac:dyDescent="0.25">
      <c r="A110" t="s">
        <v>6</v>
      </c>
      <c r="B110" s="1">
        <v>46006</v>
      </c>
      <c r="C110" t="s">
        <v>105</v>
      </c>
      <c r="D110">
        <v>-46.28</v>
      </c>
      <c r="E110" t="s">
        <v>10</v>
      </c>
      <c r="F110">
        <v>3682.9</v>
      </c>
      <c r="G110" t="str" cm="1">
        <f t="array" ref="G110">IF(AND(ISNUMBER(SEARCH("UBER",C110)),ISNUMBER(SEARCH("EATS",C110))),"Uber Eats",IF(LEFT(C110,6)="CHECK ","Checks Paid",IF(OR(E110="BILLPAY",ISNUMBER(SEARCH("FRANCHISE TAX",C110)),ISNUMBER(SEARCH("NEXTLINK",C110))),"Personal - House Bills",IF(AND(ISNUMBER(SEARCH("PAYMENT FROM",C110)),ISNUMBER(SEARCH("JOE SAUNDERS",C110))),"Zelle from Joe Saunders",IF(AND(ISNUMBER(SEARCH("PAYMENT TO",C110)),ISNUMBER(SEARCH("JOE SAUNDERS",C110))),"Zelle to Joe Saunders",IF(OR(ISNUMBER(SEARCH("NEW ORLEANS",C110)),ISNUMBER(SEARCH("KENNER",C110)),ISNUMBER(SEARCH("HENRY HOWARD",C110)),ISNUMBER(SEARCH("MISS CLAUDIA",C110))),"Personal Travel - New Orleans",IF(AND(YEAR(B110)=2025,MONTH(B110)=4,OR(ISNUMBER(SEARCH("EXCHANGE RATE",C110)),ISNUMBER(SEARCH("EXCHG RTE",C110)))),"Personal Travel - Italy",IFERROR(INDEX('Category Rules'!$B$2:$B$358,MATCH(TRUE,ISNUMBER(SEARCH('Category Rules'!$A$2:$A$358,C110)),0)),""))))))))</f>
        <v>Uber Eats</v>
      </c>
    </row>
    <row r="111" spans="1:7" x14ac:dyDescent="0.25">
      <c r="A111" t="s">
        <v>6</v>
      </c>
      <c r="B111" s="1">
        <v>46006</v>
      </c>
      <c r="C111" t="s">
        <v>106</v>
      </c>
      <c r="D111">
        <v>-18.96</v>
      </c>
      <c r="E111" t="s">
        <v>10</v>
      </c>
      <c r="F111">
        <v>3729.18</v>
      </c>
      <c r="G111" t="str" cm="1">
        <f t="array" ref="G111">IF(AND(ISNUMBER(SEARCH("UBER",C111)),ISNUMBER(SEARCH("EATS",C111))),"Uber Eats",IF(LEFT(C111,6)="CHECK ","Checks Paid",IF(OR(E111="BILLPAY",ISNUMBER(SEARCH("FRANCHISE TAX",C111)),ISNUMBER(SEARCH("NEXTLINK",C111))),"Personal - House Bills",IF(AND(ISNUMBER(SEARCH("PAYMENT FROM",C111)),ISNUMBER(SEARCH("JOE SAUNDERS",C111))),"Zelle from Joe Saunders",IF(AND(ISNUMBER(SEARCH("PAYMENT TO",C111)),ISNUMBER(SEARCH("JOE SAUNDERS",C111))),"Zelle to Joe Saunders",IF(OR(ISNUMBER(SEARCH("NEW ORLEANS",C111)),ISNUMBER(SEARCH("KENNER",C111)),ISNUMBER(SEARCH("HENRY HOWARD",C111)),ISNUMBER(SEARCH("MISS CLAUDIA",C111))),"Personal Travel - New Orleans",IF(AND(YEAR(B111)=2025,MONTH(B111)=4,OR(ISNUMBER(SEARCH("EXCHANGE RATE",C111)),ISNUMBER(SEARCH("EXCHG RTE",C111)))),"Personal Travel - Italy",IFERROR(INDEX('Category Rules'!$B$2:$B$358,MATCH(TRUE,ISNUMBER(SEARCH('Category Rules'!$A$2:$A$358,C111)),0)),""))))))))</f>
        <v>Uber Eats</v>
      </c>
    </row>
    <row r="112" spans="1:7" x14ac:dyDescent="0.25">
      <c r="A112" t="s">
        <v>6</v>
      </c>
      <c r="B112" s="1">
        <v>46006</v>
      </c>
      <c r="C112" t="s">
        <v>107</v>
      </c>
      <c r="D112">
        <v>-17.55</v>
      </c>
      <c r="E112" t="s">
        <v>10</v>
      </c>
      <c r="F112">
        <v>3748.14</v>
      </c>
      <c r="G112" t="str" cm="1">
        <f t="array" ref="G112">IF(AND(ISNUMBER(SEARCH("UBER",C112)),ISNUMBER(SEARCH("EATS",C112))),"Uber Eats",IF(LEFT(C112,6)="CHECK ","Checks Paid",IF(OR(E112="BILLPAY",ISNUMBER(SEARCH("FRANCHISE TAX",C112)),ISNUMBER(SEARCH("NEXTLINK",C112))),"Personal - House Bills",IF(AND(ISNUMBER(SEARCH("PAYMENT FROM",C112)),ISNUMBER(SEARCH("JOE SAUNDERS",C112))),"Zelle from Joe Saunders",IF(AND(ISNUMBER(SEARCH("PAYMENT TO",C112)),ISNUMBER(SEARCH("JOE SAUNDERS",C112))),"Zelle to Joe Saunders",IF(OR(ISNUMBER(SEARCH("NEW ORLEANS",C112)),ISNUMBER(SEARCH("KENNER",C112)),ISNUMBER(SEARCH("HENRY HOWARD",C112)),ISNUMBER(SEARCH("MISS CLAUDIA",C112))),"Personal Travel - New Orleans",IF(AND(YEAR(B112)=2025,MONTH(B112)=4,OR(ISNUMBER(SEARCH("EXCHANGE RATE",C112)),ISNUMBER(SEARCH("EXCHG RTE",C112)))),"Personal Travel - Italy",IFERROR(INDEX('Category Rules'!$B$2:$B$358,MATCH(TRUE,ISNUMBER(SEARCH('Category Rules'!$A$2:$A$358,C112)),0)),""))))))))</f>
        <v>Amazon</v>
      </c>
    </row>
    <row r="113" spans="1:7" x14ac:dyDescent="0.25">
      <c r="A113" t="s">
        <v>6</v>
      </c>
      <c r="B113" s="1">
        <v>46006</v>
      </c>
      <c r="C113" t="s">
        <v>108</v>
      </c>
      <c r="D113">
        <v>-91.22</v>
      </c>
      <c r="E113" t="s">
        <v>10</v>
      </c>
      <c r="F113">
        <v>3765.69</v>
      </c>
      <c r="G113" t="str" cm="1">
        <f t="array" ref="G113">IF(AND(ISNUMBER(SEARCH("UBER",C113)),ISNUMBER(SEARCH("EATS",C113))),"Uber Eats",IF(LEFT(C113,6)="CHECK ","Checks Paid",IF(OR(E113="BILLPAY",ISNUMBER(SEARCH("FRANCHISE TAX",C113)),ISNUMBER(SEARCH("NEXTLINK",C113))),"Personal - House Bills",IF(AND(ISNUMBER(SEARCH("PAYMENT FROM",C113)),ISNUMBER(SEARCH("JOE SAUNDERS",C113))),"Zelle from Joe Saunders",IF(AND(ISNUMBER(SEARCH("PAYMENT TO",C113)),ISNUMBER(SEARCH("JOE SAUNDERS",C113))),"Zelle to Joe Saunders",IF(OR(ISNUMBER(SEARCH("NEW ORLEANS",C113)),ISNUMBER(SEARCH("KENNER",C113)),ISNUMBER(SEARCH("HENRY HOWARD",C113)),ISNUMBER(SEARCH("MISS CLAUDIA",C113))),"Personal Travel - New Orleans",IF(AND(YEAR(B113)=2025,MONTH(B113)=4,OR(ISNUMBER(SEARCH("EXCHANGE RATE",C113)),ISNUMBER(SEARCH("EXCHG RTE",C113)))),"Personal Travel - Italy",IFERROR(INDEX('Category Rules'!$B$2:$B$358,MATCH(TRUE,ISNUMBER(SEARCH('Category Rules'!$A$2:$A$358,C113)),0)),""))))))))</f>
        <v>Amazon</v>
      </c>
    </row>
    <row r="114" spans="1:7" x14ac:dyDescent="0.25">
      <c r="A114" t="s">
        <v>6</v>
      </c>
      <c r="B114" s="1">
        <v>46006</v>
      </c>
      <c r="C114" t="s">
        <v>109</v>
      </c>
      <c r="D114">
        <v>-17.46</v>
      </c>
      <c r="E114" t="s">
        <v>10</v>
      </c>
      <c r="F114">
        <v>3856.91</v>
      </c>
      <c r="G114" t="str" cm="1">
        <f t="array" ref="G114">IF(AND(ISNUMBER(SEARCH("UBER",C114)),ISNUMBER(SEARCH("EATS",C114))),"Uber Eats",IF(LEFT(C114,6)="CHECK ","Checks Paid",IF(OR(E114="BILLPAY",ISNUMBER(SEARCH("FRANCHISE TAX",C114)),ISNUMBER(SEARCH("NEXTLINK",C114))),"Personal - House Bills",IF(AND(ISNUMBER(SEARCH("PAYMENT FROM",C114)),ISNUMBER(SEARCH("JOE SAUNDERS",C114))),"Zelle from Joe Saunders",IF(AND(ISNUMBER(SEARCH("PAYMENT TO",C114)),ISNUMBER(SEARCH("JOE SAUNDERS",C114))),"Zelle to Joe Saunders",IF(OR(ISNUMBER(SEARCH("NEW ORLEANS",C114)),ISNUMBER(SEARCH("KENNER",C114)),ISNUMBER(SEARCH("HENRY HOWARD",C114)),ISNUMBER(SEARCH("MISS CLAUDIA",C114))),"Personal Travel - New Orleans",IF(AND(YEAR(B114)=2025,MONTH(B114)=4,OR(ISNUMBER(SEARCH("EXCHANGE RATE",C114)),ISNUMBER(SEARCH("EXCHG RTE",C114)))),"Personal Travel - Italy",IFERROR(INDEX('Category Rules'!$B$2:$B$358,MATCH(TRUE,ISNUMBER(SEARCH('Category Rules'!$A$2:$A$358,C114)),0)),""))))))))</f>
        <v>Personal Travel</v>
      </c>
    </row>
    <row r="115" spans="1:7" x14ac:dyDescent="0.25">
      <c r="A115" t="s">
        <v>6</v>
      </c>
      <c r="B115" s="1">
        <v>46006</v>
      </c>
      <c r="C115" t="s">
        <v>109</v>
      </c>
      <c r="D115">
        <v>-20.95</v>
      </c>
      <c r="E115" t="s">
        <v>10</v>
      </c>
      <c r="F115">
        <v>3874.37</v>
      </c>
      <c r="G115" t="str" cm="1">
        <f t="array" ref="G115">IF(AND(ISNUMBER(SEARCH("UBER",C115)),ISNUMBER(SEARCH("EATS",C115))),"Uber Eats",IF(LEFT(C115,6)="CHECK ","Checks Paid",IF(OR(E115="BILLPAY",ISNUMBER(SEARCH("FRANCHISE TAX",C115)),ISNUMBER(SEARCH("NEXTLINK",C115))),"Personal - House Bills",IF(AND(ISNUMBER(SEARCH("PAYMENT FROM",C115)),ISNUMBER(SEARCH("JOE SAUNDERS",C115))),"Zelle from Joe Saunders",IF(AND(ISNUMBER(SEARCH("PAYMENT TO",C115)),ISNUMBER(SEARCH("JOE SAUNDERS",C115))),"Zelle to Joe Saunders",IF(OR(ISNUMBER(SEARCH("NEW ORLEANS",C115)),ISNUMBER(SEARCH("KENNER",C115)),ISNUMBER(SEARCH("HENRY HOWARD",C115)),ISNUMBER(SEARCH("MISS CLAUDIA",C115))),"Personal Travel - New Orleans",IF(AND(YEAR(B115)=2025,MONTH(B115)=4,OR(ISNUMBER(SEARCH("EXCHANGE RATE",C115)),ISNUMBER(SEARCH("EXCHG RTE",C115)))),"Personal Travel - Italy",IFERROR(INDEX('Category Rules'!$B$2:$B$358,MATCH(TRUE,ISNUMBER(SEARCH('Category Rules'!$A$2:$A$358,C115)),0)),""))))))))</f>
        <v>Personal Travel</v>
      </c>
    </row>
    <row r="116" spans="1:7" x14ac:dyDescent="0.25">
      <c r="A116" t="s">
        <v>6</v>
      </c>
      <c r="B116" s="1">
        <v>46006</v>
      </c>
      <c r="C116" t="s">
        <v>109</v>
      </c>
      <c r="D116">
        <v>-20.95</v>
      </c>
      <c r="E116" t="s">
        <v>10</v>
      </c>
      <c r="F116">
        <v>3895.32</v>
      </c>
      <c r="G116" t="str" cm="1">
        <f t="array" ref="G116">IF(AND(ISNUMBER(SEARCH("UBER",C116)),ISNUMBER(SEARCH("EATS",C116))),"Uber Eats",IF(LEFT(C116,6)="CHECK ","Checks Paid",IF(OR(E116="BILLPAY",ISNUMBER(SEARCH("FRANCHISE TAX",C116)),ISNUMBER(SEARCH("NEXTLINK",C116))),"Personal - House Bills",IF(AND(ISNUMBER(SEARCH("PAYMENT FROM",C116)),ISNUMBER(SEARCH("JOE SAUNDERS",C116))),"Zelle from Joe Saunders",IF(AND(ISNUMBER(SEARCH("PAYMENT TO",C116)),ISNUMBER(SEARCH("JOE SAUNDERS",C116))),"Zelle to Joe Saunders",IF(OR(ISNUMBER(SEARCH("NEW ORLEANS",C116)),ISNUMBER(SEARCH("KENNER",C116)),ISNUMBER(SEARCH("HENRY HOWARD",C116)),ISNUMBER(SEARCH("MISS CLAUDIA",C116))),"Personal Travel - New Orleans",IF(AND(YEAR(B116)=2025,MONTH(B116)=4,OR(ISNUMBER(SEARCH("EXCHANGE RATE",C116)),ISNUMBER(SEARCH("EXCHG RTE",C116)))),"Personal Travel - Italy",IFERROR(INDEX('Category Rules'!$B$2:$B$358,MATCH(TRUE,ISNUMBER(SEARCH('Category Rules'!$A$2:$A$358,C116)),0)),""))))))))</f>
        <v>Personal Travel</v>
      </c>
    </row>
    <row r="117" spans="1:7" x14ac:dyDescent="0.25">
      <c r="A117" t="s">
        <v>6</v>
      </c>
      <c r="B117" s="1">
        <v>46006</v>
      </c>
      <c r="C117" t="s">
        <v>110</v>
      </c>
      <c r="D117">
        <v>-305.49</v>
      </c>
      <c r="E117" t="s">
        <v>10</v>
      </c>
      <c r="F117">
        <v>3916.27</v>
      </c>
      <c r="G117" t="str" cm="1">
        <f t="array" ref="G117">IF(AND(ISNUMBER(SEARCH("UBER",C117)),ISNUMBER(SEARCH("EATS",C117))),"Uber Eats",IF(LEFT(C117,6)="CHECK ","Checks Paid",IF(OR(E117="BILLPAY",ISNUMBER(SEARCH("FRANCHISE TAX",C117)),ISNUMBER(SEARCH("NEXTLINK",C117))),"Personal - House Bills",IF(AND(ISNUMBER(SEARCH("PAYMENT FROM",C117)),ISNUMBER(SEARCH("JOE SAUNDERS",C117))),"Zelle from Joe Saunders",IF(AND(ISNUMBER(SEARCH("PAYMENT TO",C117)),ISNUMBER(SEARCH("JOE SAUNDERS",C117))),"Zelle to Joe Saunders",IF(OR(ISNUMBER(SEARCH("NEW ORLEANS",C117)),ISNUMBER(SEARCH("KENNER",C117)),ISNUMBER(SEARCH("HENRY HOWARD",C117)),ISNUMBER(SEARCH("MISS CLAUDIA",C117))),"Personal Travel - New Orleans",IF(AND(YEAR(B117)=2025,MONTH(B117)=4,OR(ISNUMBER(SEARCH("EXCHANGE RATE",C117)),ISNUMBER(SEARCH("EXCHG RTE",C117)))),"Personal Travel - Italy",IFERROR(INDEX('Category Rules'!$B$2:$B$358,MATCH(TRUE,ISNUMBER(SEARCH('Category Rules'!$A$2:$A$358,C117)),0)),""))))))))</f>
        <v>Personal Travel</v>
      </c>
    </row>
    <row r="118" spans="1:7" x14ac:dyDescent="0.25">
      <c r="A118" t="s">
        <v>6</v>
      </c>
      <c r="B118" s="1">
        <v>46006</v>
      </c>
      <c r="C118" t="s">
        <v>110</v>
      </c>
      <c r="D118">
        <v>-305.49</v>
      </c>
      <c r="E118" t="s">
        <v>10</v>
      </c>
      <c r="F118">
        <v>4221.76</v>
      </c>
      <c r="G118" t="str" cm="1">
        <f t="array" ref="G118">IF(AND(ISNUMBER(SEARCH("UBER",C118)),ISNUMBER(SEARCH("EATS",C118))),"Uber Eats",IF(LEFT(C118,6)="CHECK ","Checks Paid",IF(OR(E118="BILLPAY",ISNUMBER(SEARCH("FRANCHISE TAX",C118)),ISNUMBER(SEARCH("NEXTLINK",C118))),"Personal - House Bills",IF(AND(ISNUMBER(SEARCH("PAYMENT FROM",C118)),ISNUMBER(SEARCH("JOE SAUNDERS",C118))),"Zelle from Joe Saunders",IF(AND(ISNUMBER(SEARCH("PAYMENT TO",C118)),ISNUMBER(SEARCH("JOE SAUNDERS",C118))),"Zelle to Joe Saunders",IF(OR(ISNUMBER(SEARCH("NEW ORLEANS",C118)),ISNUMBER(SEARCH("KENNER",C118)),ISNUMBER(SEARCH("HENRY HOWARD",C118)),ISNUMBER(SEARCH("MISS CLAUDIA",C118))),"Personal Travel - New Orleans",IF(AND(YEAR(B118)=2025,MONTH(B118)=4,OR(ISNUMBER(SEARCH("EXCHANGE RATE",C118)),ISNUMBER(SEARCH("EXCHG RTE",C118)))),"Personal Travel - Italy",IFERROR(INDEX('Category Rules'!$B$2:$B$358,MATCH(TRUE,ISNUMBER(SEARCH('Category Rules'!$A$2:$A$358,C118)),0)),""))))))))</f>
        <v>Personal Travel</v>
      </c>
    </row>
    <row r="119" spans="1:7" x14ac:dyDescent="0.25">
      <c r="A119" t="s">
        <v>6</v>
      </c>
      <c r="B119" s="1">
        <v>46006</v>
      </c>
      <c r="C119" t="s">
        <v>110</v>
      </c>
      <c r="D119">
        <v>-305.49</v>
      </c>
      <c r="E119" t="s">
        <v>10</v>
      </c>
      <c r="F119">
        <v>4527.25</v>
      </c>
      <c r="G119" t="str" cm="1">
        <f t="array" ref="G119">IF(AND(ISNUMBER(SEARCH("UBER",C119)),ISNUMBER(SEARCH("EATS",C119))),"Uber Eats",IF(LEFT(C119,6)="CHECK ","Checks Paid",IF(OR(E119="BILLPAY",ISNUMBER(SEARCH("FRANCHISE TAX",C119)),ISNUMBER(SEARCH("NEXTLINK",C119))),"Personal - House Bills",IF(AND(ISNUMBER(SEARCH("PAYMENT FROM",C119)),ISNUMBER(SEARCH("JOE SAUNDERS",C119))),"Zelle from Joe Saunders",IF(AND(ISNUMBER(SEARCH("PAYMENT TO",C119)),ISNUMBER(SEARCH("JOE SAUNDERS",C119))),"Zelle to Joe Saunders",IF(OR(ISNUMBER(SEARCH("NEW ORLEANS",C119)),ISNUMBER(SEARCH("KENNER",C119)),ISNUMBER(SEARCH("HENRY HOWARD",C119)),ISNUMBER(SEARCH("MISS CLAUDIA",C119))),"Personal Travel - New Orleans",IF(AND(YEAR(B119)=2025,MONTH(B119)=4,OR(ISNUMBER(SEARCH("EXCHANGE RATE",C119)),ISNUMBER(SEARCH("EXCHG RTE",C119)))),"Personal Travel - Italy",IFERROR(INDEX('Category Rules'!$B$2:$B$358,MATCH(TRUE,ISNUMBER(SEARCH('Category Rules'!$A$2:$A$358,C119)),0)),""))))))))</f>
        <v>Personal Travel</v>
      </c>
    </row>
    <row r="120" spans="1:7" x14ac:dyDescent="0.25">
      <c r="A120" t="s">
        <v>6</v>
      </c>
      <c r="B120" s="1">
        <v>46006</v>
      </c>
      <c r="C120" t="s">
        <v>111</v>
      </c>
      <c r="D120">
        <v>-153.94999999999999</v>
      </c>
      <c r="E120" t="s">
        <v>10</v>
      </c>
      <c r="F120">
        <v>4832.74</v>
      </c>
      <c r="G120" t="str" cm="1">
        <f t="array" ref="G120">IF(AND(ISNUMBER(SEARCH("UBER",C120)),ISNUMBER(SEARCH("EATS",C120))),"Uber Eats",IF(LEFT(C120,6)="CHECK ","Checks Paid",IF(OR(E120="BILLPAY",ISNUMBER(SEARCH("FRANCHISE TAX",C120)),ISNUMBER(SEARCH("NEXTLINK",C120))),"Personal - House Bills",IF(AND(ISNUMBER(SEARCH("PAYMENT FROM",C120)),ISNUMBER(SEARCH("JOE SAUNDERS",C120))),"Zelle from Joe Saunders",IF(AND(ISNUMBER(SEARCH("PAYMENT TO",C120)),ISNUMBER(SEARCH("JOE SAUNDERS",C120))),"Zelle to Joe Saunders",IF(OR(ISNUMBER(SEARCH("NEW ORLEANS",C120)),ISNUMBER(SEARCH("KENNER",C120)),ISNUMBER(SEARCH("HENRY HOWARD",C120)),ISNUMBER(SEARCH("MISS CLAUDIA",C120))),"Personal Travel - New Orleans",IF(AND(YEAR(B120)=2025,MONTH(B120)=4,OR(ISNUMBER(SEARCH("EXCHANGE RATE",C120)),ISNUMBER(SEARCH("EXCHG RTE",C120)))),"Personal Travel - Italy",IFERROR(INDEX('Category Rules'!$B$2:$B$358,MATCH(TRUE,ISNUMBER(SEARCH('Category Rules'!$A$2:$A$358,C120)),0)),""))))))))</f>
        <v>Personal - Entertainment</v>
      </c>
    </row>
    <row r="121" spans="1:7" x14ac:dyDescent="0.25">
      <c r="A121" t="s">
        <v>6</v>
      </c>
      <c r="B121" s="1">
        <v>46006</v>
      </c>
      <c r="C121" t="s">
        <v>112</v>
      </c>
      <c r="D121">
        <v>-32.869999999999997</v>
      </c>
      <c r="E121" t="s">
        <v>10</v>
      </c>
      <c r="F121">
        <v>4986.6899999999996</v>
      </c>
      <c r="G121" t="str" cm="1">
        <f t="array" ref="G121">IF(AND(ISNUMBER(SEARCH("UBER",C121)),ISNUMBER(SEARCH("EATS",C121))),"Uber Eats",IF(LEFT(C121,6)="CHECK ","Checks Paid",IF(OR(E121="BILLPAY",ISNUMBER(SEARCH("FRANCHISE TAX",C121)),ISNUMBER(SEARCH("NEXTLINK",C121))),"Personal - House Bills",IF(AND(ISNUMBER(SEARCH("PAYMENT FROM",C121)),ISNUMBER(SEARCH("JOE SAUNDERS",C121))),"Zelle from Joe Saunders",IF(AND(ISNUMBER(SEARCH("PAYMENT TO",C121)),ISNUMBER(SEARCH("JOE SAUNDERS",C121))),"Zelle to Joe Saunders",IF(OR(ISNUMBER(SEARCH("NEW ORLEANS",C121)),ISNUMBER(SEARCH("KENNER",C121)),ISNUMBER(SEARCH("HENRY HOWARD",C121)),ISNUMBER(SEARCH("MISS CLAUDIA",C121))),"Personal Travel - New Orleans",IF(AND(YEAR(B121)=2025,MONTH(B121)=4,OR(ISNUMBER(SEARCH("EXCHANGE RATE",C121)),ISNUMBER(SEARCH("EXCHG RTE",C121)))),"Personal Travel - Italy",IFERROR(INDEX('Category Rules'!$B$2:$B$358,MATCH(TRUE,ISNUMBER(SEARCH('Category Rules'!$A$2:$A$358,C121)),0)),""))))))))</f>
        <v>Amazon</v>
      </c>
    </row>
    <row r="122" spans="1:7" x14ac:dyDescent="0.25">
      <c r="A122" t="s">
        <v>6</v>
      </c>
      <c r="B122" s="1">
        <v>46006</v>
      </c>
      <c r="C122" t="s">
        <v>113</v>
      </c>
      <c r="D122">
        <v>-52.39</v>
      </c>
      <c r="E122" t="s">
        <v>10</v>
      </c>
      <c r="F122">
        <v>5019.5600000000004</v>
      </c>
      <c r="G122" t="str" cm="1">
        <f t="array" ref="G122">IF(AND(ISNUMBER(SEARCH("UBER",C122)),ISNUMBER(SEARCH("EATS",C122))),"Uber Eats",IF(LEFT(C122,6)="CHECK ","Checks Paid",IF(OR(E122="BILLPAY",ISNUMBER(SEARCH("FRANCHISE TAX",C122)),ISNUMBER(SEARCH("NEXTLINK",C122))),"Personal - House Bills",IF(AND(ISNUMBER(SEARCH("PAYMENT FROM",C122)),ISNUMBER(SEARCH("JOE SAUNDERS",C122))),"Zelle from Joe Saunders",IF(AND(ISNUMBER(SEARCH("PAYMENT TO",C122)),ISNUMBER(SEARCH("JOE SAUNDERS",C122))),"Zelle to Joe Saunders",IF(OR(ISNUMBER(SEARCH("NEW ORLEANS",C122)),ISNUMBER(SEARCH("KENNER",C122)),ISNUMBER(SEARCH("HENRY HOWARD",C122)),ISNUMBER(SEARCH("MISS CLAUDIA",C122))),"Personal Travel - New Orleans",IF(AND(YEAR(B122)=2025,MONTH(B122)=4,OR(ISNUMBER(SEARCH("EXCHANGE RATE",C122)),ISNUMBER(SEARCH("EXCHG RTE",C122)))),"Personal Travel - Italy",IFERROR(INDEX('Category Rules'!$B$2:$B$358,MATCH(TRUE,ISNUMBER(SEARCH('Category Rules'!$A$2:$A$358,C122)),0)),""))))))))</f>
        <v>Amazon</v>
      </c>
    </row>
    <row r="123" spans="1:7" x14ac:dyDescent="0.25">
      <c r="A123" t="s">
        <v>6</v>
      </c>
      <c r="B123" s="1">
        <v>46006</v>
      </c>
      <c r="C123" t="s">
        <v>114</v>
      </c>
      <c r="D123">
        <v>-2</v>
      </c>
      <c r="E123" t="s">
        <v>10</v>
      </c>
      <c r="F123">
        <v>5071.95</v>
      </c>
      <c r="G123" t="str" cm="1">
        <f t="array" ref="G123">IF(AND(ISNUMBER(SEARCH("UBER",C123)),ISNUMBER(SEARCH("EATS",C123))),"Uber Eats",IF(LEFT(C123,6)="CHECK ","Checks Paid",IF(OR(E123="BILLPAY",ISNUMBER(SEARCH("FRANCHISE TAX",C123)),ISNUMBER(SEARCH("NEXTLINK",C123))),"Personal - House Bills",IF(AND(ISNUMBER(SEARCH("PAYMENT FROM",C123)),ISNUMBER(SEARCH("JOE SAUNDERS",C123))),"Zelle from Joe Saunders",IF(AND(ISNUMBER(SEARCH("PAYMENT TO",C123)),ISNUMBER(SEARCH("JOE SAUNDERS",C123))),"Zelle to Joe Saunders",IF(OR(ISNUMBER(SEARCH("NEW ORLEANS",C123)),ISNUMBER(SEARCH("KENNER",C123)),ISNUMBER(SEARCH("HENRY HOWARD",C123)),ISNUMBER(SEARCH("MISS CLAUDIA",C123))),"Personal Travel - New Orleans",IF(AND(YEAR(B123)=2025,MONTH(B123)=4,OR(ISNUMBER(SEARCH("EXCHANGE RATE",C123)),ISNUMBER(SEARCH("EXCHG RTE",C123)))),"Personal Travel - Italy",IFERROR(INDEX('Category Rules'!$B$2:$B$358,MATCH(TRUE,ISNUMBER(SEARCH('Category Rules'!$A$2:$A$358,C123)),0)),""))))))))</f>
        <v>Personal - Car</v>
      </c>
    </row>
    <row r="124" spans="1:7" x14ac:dyDescent="0.25">
      <c r="A124" t="s">
        <v>6</v>
      </c>
      <c r="B124" s="1">
        <v>46006</v>
      </c>
      <c r="C124" t="s">
        <v>115</v>
      </c>
      <c r="D124">
        <v>-453</v>
      </c>
      <c r="E124" t="s">
        <v>10</v>
      </c>
      <c r="F124">
        <v>5073.95</v>
      </c>
      <c r="G124" t="str" cm="1">
        <f t="array" ref="G124">IF(AND(ISNUMBER(SEARCH("UBER",C124)),ISNUMBER(SEARCH("EATS",C124))),"Uber Eats",IF(LEFT(C124,6)="CHECK ","Checks Paid",IF(OR(E124="BILLPAY",ISNUMBER(SEARCH("FRANCHISE TAX",C124)),ISNUMBER(SEARCH("NEXTLINK",C124))),"Personal - House Bills",IF(AND(ISNUMBER(SEARCH("PAYMENT FROM",C124)),ISNUMBER(SEARCH("JOE SAUNDERS",C124))),"Zelle from Joe Saunders",IF(AND(ISNUMBER(SEARCH("PAYMENT TO",C124)),ISNUMBER(SEARCH("JOE SAUNDERS",C124))),"Zelle to Joe Saunders",IF(OR(ISNUMBER(SEARCH("NEW ORLEANS",C124)),ISNUMBER(SEARCH("KENNER",C124)),ISNUMBER(SEARCH("HENRY HOWARD",C124)),ISNUMBER(SEARCH("MISS CLAUDIA",C124))),"Personal Travel - New Orleans",IF(AND(YEAR(B124)=2025,MONTH(B124)=4,OR(ISNUMBER(SEARCH("EXCHANGE RATE",C124)),ISNUMBER(SEARCH("EXCHG RTE",C124)))),"Personal Travel - Italy",IFERROR(INDEX('Category Rules'!$B$2:$B$358,MATCH(TRUE,ISNUMBER(SEARCH('Category Rules'!$A$2:$A$358,C124)),0)),""))))))))</f>
        <v>Personal - Health</v>
      </c>
    </row>
    <row r="125" spans="1:7" x14ac:dyDescent="0.25">
      <c r="A125" t="s">
        <v>6</v>
      </c>
      <c r="B125" s="1">
        <v>46006</v>
      </c>
      <c r="C125" t="s">
        <v>116</v>
      </c>
      <c r="D125">
        <v>-103.06</v>
      </c>
      <c r="E125" t="s">
        <v>10</v>
      </c>
      <c r="F125">
        <v>5526.95</v>
      </c>
      <c r="G125" t="str" cm="1">
        <f t="array" ref="G125">IF(AND(ISNUMBER(SEARCH("UBER",C125)),ISNUMBER(SEARCH("EATS",C125))),"Uber Eats",IF(LEFT(C125,6)="CHECK ","Checks Paid",IF(OR(E125="BILLPAY",ISNUMBER(SEARCH("FRANCHISE TAX",C125)),ISNUMBER(SEARCH("NEXTLINK",C125))),"Personal - House Bills",IF(AND(ISNUMBER(SEARCH("PAYMENT FROM",C125)),ISNUMBER(SEARCH("JOE SAUNDERS",C125))),"Zelle from Joe Saunders",IF(AND(ISNUMBER(SEARCH("PAYMENT TO",C125)),ISNUMBER(SEARCH("JOE SAUNDERS",C125))),"Zelle to Joe Saunders",IF(OR(ISNUMBER(SEARCH("NEW ORLEANS",C125)),ISNUMBER(SEARCH("KENNER",C125)),ISNUMBER(SEARCH("HENRY HOWARD",C125)),ISNUMBER(SEARCH("MISS CLAUDIA",C125))),"Personal Travel - New Orleans",IF(AND(YEAR(B125)=2025,MONTH(B125)=4,OR(ISNUMBER(SEARCH("EXCHANGE RATE",C125)),ISNUMBER(SEARCH("EXCHG RTE",C125)))),"Personal Travel - Italy",IFERROR(INDEX('Category Rules'!$B$2:$B$358,MATCH(TRUE,ISNUMBER(SEARCH('Category Rules'!$A$2:$A$358,C125)),0)),""))))))))</f>
        <v>Amazon</v>
      </c>
    </row>
    <row r="126" spans="1:7" x14ac:dyDescent="0.25">
      <c r="A126" t="s">
        <v>6</v>
      </c>
      <c r="B126" s="1">
        <v>46006</v>
      </c>
      <c r="C126" t="s">
        <v>117</v>
      </c>
      <c r="D126">
        <v>-12.03</v>
      </c>
      <c r="E126" t="s">
        <v>10</v>
      </c>
      <c r="F126">
        <v>5630.01</v>
      </c>
      <c r="G126" t="str" cm="1">
        <f t="array" ref="G126">IF(AND(ISNUMBER(SEARCH("UBER",C126)),ISNUMBER(SEARCH("EATS",C126))),"Uber Eats",IF(LEFT(C126,6)="CHECK ","Checks Paid",IF(OR(E126="BILLPAY",ISNUMBER(SEARCH("FRANCHISE TAX",C126)),ISNUMBER(SEARCH("NEXTLINK",C126))),"Personal - House Bills",IF(AND(ISNUMBER(SEARCH("PAYMENT FROM",C126)),ISNUMBER(SEARCH("JOE SAUNDERS",C126))),"Zelle from Joe Saunders",IF(AND(ISNUMBER(SEARCH("PAYMENT TO",C126)),ISNUMBER(SEARCH("JOE SAUNDERS",C126))),"Zelle to Joe Saunders",IF(OR(ISNUMBER(SEARCH("NEW ORLEANS",C126)),ISNUMBER(SEARCH("KENNER",C126)),ISNUMBER(SEARCH("HENRY HOWARD",C126)),ISNUMBER(SEARCH("MISS CLAUDIA",C126))),"Personal Travel - New Orleans",IF(AND(YEAR(B126)=2025,MONTH(B126)=4,OR(ISNUMBER(SEARCH("EXCHANGE RATE",C126)),ISNUMBER(SEARCH("EXCHG RTE",C126)))),"Personal Travel - Italy",IFERROR(INDEX('Category Rules'!$B$2:$B$358,MATCH(TRUE,ISNUMBER(SEARCH('Category Rules'!$A$2:$A$358,C126)),0)),""))))))))</f>
        <v>Amazon</v>
      </c>
    </row>
    <row r="127" spans="1:7" x14ac:dyDescent="0.25">
      <c r="A127" t="s">
        <v>6</v>
      </c>
      <c r="B127" s="1">
        <v>46006</v>
      </c>
      <c r="C127" t="s">
        <v>118</v>
      </c>
      <c r="D127">
        <v>-136.04</v>
      </c>
      <c r="E127" t="s">
        <v>10</v>
      </c>
      <c r="F127">
        <v>5642.04</v>
      </c>
      <c r="G127" t="str" cm="1">
        <f t="array" ref="G127">IF(AND(ISNUMBER(SEARCH("UBER",C127)),ISNUMBER(SEARCH("EATS",C127))),"Uber Eats",IF(LEFT(C127,6)="CHECK ","Checks Paid",IF(OR(E127="BILLPAY",ISNUMBER(SEARCH("FRANCHISE TAX",C127)),ISNUMBER(SEARCH("NEXTLINK",C127))),"Personal - House Bills",IF(AND(ISNUMBER(SEARCH("PAYMENT FROM",C127)),ISNUMBER(SEARCH("JOE SAUNDERS",C127))),"Zelle from Joe Saunders",IF(AND(ISNUMBER(SEARCH("PAYMENT TO",C127)),ISNUMBER(SEARCH("JOE SAUNDERS",C127))),"Zelle to Joe Saunders",IF(OR(ISNUMBER(SEARCH("NEW ORLEANS",C127)),ISNUMBER(SEARCH("KENNER",C127)),ISNUMBER(SEARCH("HENRY HOWARD",C127)),ISNUMBER(SEARCH("MISS CLAUDIA",C127))),"Personal Travel - New Orleans",IF(AND(YEAR(B127)=2025,MONTH(B127)=4,OR(ISNUMBER(SEARCH("EXCHANGE RATE",C127)),ISNUMBER(SEARCH("EXCHG RTE",C127)))),"Personal Travel - Italy",IFERROR(INDEX('Category Rules'!$B$2:$B$358,MATCH(TRUE,ISNUMBER(SEARCH('Category Rules'!$A$2:$A$358,C127)),0)),""))))))))</f>
        <v>Personal - Shopping</v>
      </c>
    </row>
    <row r="128" spans="1:7" x14ac:dyDescent="0.25">
      <c r="A128" t="s">
        <v>6</v>
      </c>
      <c r="B128" s="1">
        <v>46003</v>
      </c>
      <c r="C128" t="s">
        <v>119</v>
      </c>
      <c r="D128">
        <v>-18.96</v>
      </c>
      <c r="E128" t="s">
        <v>10</v>
      </c>
      <c r="F128">
        <v>5778.08</v>
      </c>
      <c r="G128" t="str" cm="1">
        <f t="array" ref="G128">IF(AND(ISNUMBER(SEARCH("UBER",C128)),ISNUMBER(SEARCH("EATS",C128))),"Uber Eats",IF(LEFT(C128,6)="CHECK ","Checks Paid",IF(OR(E128="BILLPAY",ISNUMBER(SEARCH("FRANCHISE TAX",C128)),ISNUMBER(SEARCH("NEXTLINK",C128))),"Personal - House Bills",IF(AND(ISNUMBER(SEARCH("PAYMENT FROM",C128)),ISNUMBER(SEARCH("JOE SAUNDERS",C128))),"Zelle from Joe Saunders",IF(AND(ISNUMBER(SEARCH("PAYMENT TO",C128)),ISNUMBER(SEARCH("JOE SAUNDERS",C128))),"Zelle to Joe Saunders",IF(OR(ISNUMBER(SEARCH("NEW ORLEANS",C128)),ISNUMBER(SEARCH("KENNER",C128)),ISNUMBER(SEARCH("HENRY HOWARD",C128)),ISNUMBER(SEARCH("MISS CLAUDIA",C128))),"Personal Travel - New Orleans",IF(AND(YEAR(B128)=2025,MONTH(B128)=4,OR(ISNUMBER(SEARCH("EXCHANGE RATE",C128)),ISNUMBER(SEARCH("EXCHG RTE",C128)))),"Personal Travel - Italy",IFERROR(INDEX('Category Rules'!$B$2:$B$358,MATCH(TRUE,ISNUMBER(SEARCH('Category Rules'!$A$2:$A$358,C128)),0)),""))))))))</f>
        <v>Uber Eats</v>
      </c>
    </row>
    <row r="129" spans="1:7" x14ac:dyDescent="0.25">
      <c r="A129" t="s">
        <v>6</v>
      </c>
      <c r="B129" s="1">
        <v>46003</v>
      </c>
      <c r="C129" t="s">
        <v>120</v>
      </c>
      <c r="D129">
        <v>-57</v>
      </c>
      <c r="E129" t="s">
        <v>10</v>
      </c>
      <c r="F129">
        <v>5797.04</v>
      </c>
      <c r="G129" t="str" cm="1">
        <f t="array" ref="G129">IF(AND(ISNUMBER(SEARCH("UBER",C129)),ISNUMBER(SEARCH("EATS",C129))),"Uber Eats",IF(LEFT(C129,6)="CHECK ","Checks Paid",IF(OR(E129="BILLPAY",ISNUMBER(SEARCH("FRANCHISE TAX",C129)),ISNUMBER(SEARCH("NEXTLINK",C129))),"Personal - House Bills",IF(AND(ISNUMBER(SEARCH("PAYMENT FROM",C129)),ISNUMBER(SEARCH("JOE SAUNDERS",C129))),"Zelle from Joe Saunders",IF(AND(ISNUMBER(SEARCH("PAYMENT TO",C129)),ISNUMBER(SEARCH("JOE SAUNDERS",C129))),"Zelle to Joe Saunders",IF(OR(ISNUMBER(SEARCH("NEW ORLEANS",C129)),ISNUMBER(SEARCH("KENNER",C129)),ISNUMBER(SEARCH("HENRY HOWARD",C129)),ISNUMBER(SEARCH("MISS CLAUDIA",C129))),"Personal Travel - New Orleans",IF(AND(YEAR(B129)=2025,MONTH(B129)=4,OR(ISNUMBER(SEARCH("EXCHANGE RATE",C129)),ISNUMBER(SEARCH("EXCHG RTE",C129)))),"Personal Travel - Italy",IFERROR(INDEX('Category Rules'!$B$2:$B$358,MATCH(TRUE,ISNUMBER(SEARCH('Category Rules'!$A$2:$A$358,C129)),0)),""))))))))</f>
        <v>Personal - Car</v>
      </c>
    </row>
    <row r="130" spans="1:7" x14ac:dyDescent="0.25">
      <c r="A130" t="s">
        <v>6</v>
      </c>
      <c r="B130" s="1">
        <v>46003</v>
      </c>
      <c r="C130" t="s">
        <v>121</v>
      </c>
      <c r="D130">
        <v>-26.31</v>
      </c>
      <c r="E130" t="s">
        <v>10</v>
      </c>
      <c r="F130">
        <v>5854.04</v>
      </c>
      <c r="G130" t="str" cm="1">
        <f t="array" ref="G130">IF(AND(ISNUMBER(SEARCH("UBER",C130)),ISNUMBER(SEARCH("EATS",C130))),"Uber Eats",IF(LEFT(C130,6)="CHECK ","Checks Paid",IF(OR(E130="BILLPAY",ISNUMBER(SEARCH("FRANCHISE TAX",C130)),ISNUMBER(SEARCH("NEXTLINK",C130))),"Personal - House Bills",IF(AND(ISNUMBER(SEARCH("PAYMENT FROM",C130)),ISNUMBER(SEARCH("JOE SAUNDERS",C130))),"Zelle from Joe Saunders",IF(AND(ISNUMBER(SEARCH("PAYMENT TO",C130)),ISNUMBER(SEARCH("JOE SAUNDERS",C130))),"Zelle to Joe Saunders",IF(OR(ISNUMBER(SEARCH("NEW ORLEANS",C130)),ISNUMBER(SEARCH("KENNER",C130)),ISNUMBER(SEARCH("HENRY HOWARD",C130)),ISNUMBER(SEARCH("MISS CLAUDIA",C130))),"Personal Travel - New Orleans",IF(AND(YEAR(B130)=2025,MONTH(B130)=4,OR(ISNUMBER(SEARCH("EXCHANGE RATE",C130)),ISNUMBER(SEARCH("EXCHG RTE",C130)))),"Personal Travel - Italy",IFERROR(INDEX('Category Rules'!$B$2:$B$358,MATCH(TRUE,ISNUMBER(SEARCH('Category Rules'!$A$2:$A$358,C130)),0)),""))))))))</f>
        <v>Personal - Health</v>
      </c>
    </row>
    <row r="131" spans="1:7" x14ac:dyDescent="0.25">
      <c r="A131" t="s">
        <v>6</v>
      </c>
      <c r="B131" s="1">
        <v>46003</v>
      </c>
      <c r="C131" t="s">
        <v>122</v>
      </c>
      <c r="D131">
        <v>-1391</v>
      </c>
      <c r="E131" t="s">
        <v>93</v>
      </c>
      <c r="F131">
        <v>5880.35</v>
      </c>
      <c r="G131" t="str" cm="1">
        <f t="array" ref="G131">IF(AND(ISNUMBER(SEARCH("UBER",C131)),ISNUMBER(SEARCH("EATS",C131))),"Uber Eats",IF(LEFT(C131,6)="CHECK ","Checks Paid",IF(OR(E131="BILLPAY",ISNUMBER(SEARCH("FRANCHISE TAX",C131)),ISNUMBER(SEARCH("NEXTLINK",C131))),"Personal - House Bills",IF(AND(ISNUMBER(SEARCH("PAYMENT FROM",C131)),ISNUMBER(SEARCH("JOE SAUNDERS",C131))),"Zelle from Joe Saunders",IF(AND(ISNUMBER(SEARCH("PAYMENT TO",C131)),ISNUMBER(SEARCH("JOE SAUNDERS",C131))),"Zelle to Joe Saunders",IF(OR(ISNUMBER(SEARCH("NEW ORLEANS",C131)),ISNUMBER(SEARCH("KENNER",C131)),ISNUMBER(SEARCH("HENRY HOWARD",C131)),ISNUMBER(SEARCH("MISS CLAUDIA",C131))),"Personal Travel - New Orleans",IF(AND(YEAR(B131)=2025,MONTH(B131)=4,OR(ISNUMBER(SEARCH("EXCHANGE RATE",C131)),ISNUMBER(SEARCH("EXCHG RTE",C131)))),"Personal Travel - Italy",IFERROR(INDEX('Category Rules'!$B$2:$B$358,MATCH(TRUE,ISNUMBER(SEARCH('Category Rules'!$A$2:$A$358,C131)),0)),""))))))))</f>
        <v>Withdrawal</v>
      </c>
    </row>
    <row r="132" spans="1:7" x14ac:dyDescent="0.25">
      <c r="A132" t="s">
        <v>6</v>
      </c>
      <c r="B132" s="1">
        <v>46003</v>
      </c>
      <c r="C132" t="s">
        <v>123</v>
      </c>
      <c r="D132">
        <v>-1</v>
      </c>
      <c r="E132" t="s">
        <v>10</v>
      </c>
      <c r="F132">
        <v>7271.35</v>
      </c>
      <c r="G132" t="str" cm="1">
        <f t="array" ref="G132">IF(AND(ISNUMBER(SEARCH("UBER",C132)),ISNUMBER(SEARCH("EATS",C132))),"Uber Eats",IF(LEFT(C132,6)="CHECK ","Checks Paid",IF(OR(E132="BILLPAY",ISNUMBER(SEARCH("FRANCHISE TAX",C132)),ISNUMBER(SEARCH("NEXTLINK",C132))),"Personal - House Bills",IF(AND(ISNUMBER(SEARCH("PAYMENT FROM",C132)),ISNUMBER(SEARCH("JOE SAUNDERS",C132))),"Zelle from Joe Saunders",IF(AND(ISNUMBER(SEARCH("PAYMENT TO",C132)),ISNUMBER(SEARCH("JOE SAUNDERS",C132))),"Zelle to Joe Saunders",IF(OR(ISNUMBER(SEARCH("NEW ORLEANS",C132)),ISNUMBER(SEARCH("KENNER",C132)),ISNUMBER(SEARCH("HENRY HOWARD",C132)),ISNUMBER(SEARCH("MISS CLAUDIA",C132))),"Personal Travel - New Orleans",IF(AND(YEAR(B132)=2025,MONTH(B132)=4,OR(ISNUMBER(SEARCH("EXCHANGE RATE",C132)),ISNUMBER(SEARCH("EXCHG RTE",C132)))),"Personal Travel - Italy",IFERROR(INDEX('Category Rules'!$B$2:$B$358,MATCH(TRUE,ISNUMBER(SEARCH('Category Rules'!$A$2:$A$358,C132)),0)),""))))))))</f>
        <v>Personal - Car</v>
      </c>
    </row>
    <row r="133" spans="1:7" x14ac:dyDescent="0.25">
      <c r="A133" t="s">
        <v>6</v>
      </c>
      <c r="B133" s="1">
        <v>46003</v>
      </c>
      <c r="C133" t="s">
        <v>124</v>
      </c>
      <c r="D133">
        <v>-104.73</v>
      </c>
      <c r="E133" t="s">
        <v>10</v>
      </c>
      <c r="F133">
        <v>7272.35</v>
      </c>
      <c r="G133" t="str" cm="1">
        <f t="array" ref="G133">IF(AND(ISNUMBER(SEARCH("UBER",C133)),ISNUMBER(SEARCH("EATS",C133))),"Uber Eats",IF(LEFT(C133,6)="CHECK ","Checks Paid",IF(OR(E133="BILLPAY",ISNUMBER(SEARCH("FRANCHISE TAX",C133)),ISNUMBER(SEARCH("NEXTLINK",C133))),"Personal - House Bills",IF(AND(ISNUMBER(SEARCH("PAYMENT FROM",C133)),ISNUMBER(SEARCH("JOE SAUNDERS",C133))),"Zelle from Joe Saunders",IF(AND(ISNUMBER(SEARCH("PAYMENT TO",C133)),ISNUMBER(SEARCH("JOE SAUNDERS",C133))),"Zelle to Joe Saunders",IF(OR(ISNUMBER(SEARCH("NEW ORLEANS",C133)),ISNUMBER(SEARCH("KENNER",C133)),ISNUMBER(SEARCH("HENRY HOWARD",C133)),ISNUMBER(SEARCH("MISS CLAUDIA",C133))),"Personal Travel - New Orleans",IF(AND(YEAR(B133)=2025,MONTH(B133)=4,OR(ISNUMBER(SEARCH("EXCHANGE RATE",C133)),ISNUMBER(SEARCH("EXCHG RTE",C133)))),"Personal Travel - Italy",IFERROR(INDEX('Category Rules'!$B$2:$B$358,MATCH(TRUE,ISNUMBER(SEARCH('Category Rules'!$A$2:$A$358,C133)),0)),""))))))))</f>
        <v>Personal - Food</v>
      </c>
    </row>
    <row r="134" spans="1:7" x14ac:dyDescent="0.25">
      <c r="A134" t="s">
        <v>44</v>
      </c>
      <c r="B134" s="1">
        <v>46003</v>
      </c>
      <c r="C134" t="s">
        <v>125</v>
      </c>
      <c r="D134">
        <v>5000</v>
      </c>
      <c r="E134" t="s">
        <v>73</v>
      </c>
      <c r="F134">
        <v>7377.08</v>
      </c>
      <c r="G134" t="str" cm="1">
        <f t="array" ref="G134">IF(AND(ISNUMBER(SEARCH("UBER",C134)),ISNUMBER(SEARCH("EATS",C134))),"Uber Eats",IF(LEFT(C134,6)="CHECK ","Checks Paid",IF(OR(E134="BILLPAY",ISNUMBER(SEARCH("FRANCHISE TAX",C134)),ISNUMBER(SEARCH("NEXTLINK",C134))),"Personal - House Bills",IF(AND(ISNUMBER(SEARCH("PAYMENT FROM",C134)),ISNUMBER(SEARCH("JOE SAUNDERS",C134))),"Zelle from Joe Saunders",IF(AND(ISNUMBER(SEARCH("PAYMENT TO",C134)),ISNUMBER(SEARCH("JOE SAUNDERS",C134))),"Zelle to Joe Saunders",IF(OR(ISNUMBER(SEARCH("NEW ORLEANS",C134)),ISNUMBER(SEARCH("KENNER",C134)),ISNUMBER(SEARCH("HENRY HOWARD",C134)),ISNUMBER(SEARCH("MISS CLAUDIA",C134))),"Personal Travel - New Orleans",IF(AND(YEAR(B134)=2025,MONTH(B134)=4,OR(ISNUMBER(SEARCH("EXCHANGE RATE",C134)),ISNUMBER(SEARCH("EXCHG RTE",C134)))),"Personal Travel - Italy",IFERROR(INDEX('Category Rules'!$B$2:$B$358,MATCH(TRUE,ISNUMBER(SEARCH('Category Rules'!$A$2:$A$358,C134)),0)),""))))))))</f>
        <v>Transfer from DWG Capital Group</v>
      </c>
    </row>
    <row r="135" spans="1:7" x14ac:dyDescent="0.25">
      <c r="A135" t="s">
        <v>126</v>
      </c>
      <c r="B135" s="1">
        <v>46003</v>
      </c>
      <c r="C135" t="s">
        <v>127</v>
      </c>
      <c r="D135">
        <v>175</v>
      </c>
      <c r="E135" t="s">
        <v>128</v>
      </c>
      <c r="F135">
        <v>2377.08</v>
      </c>
      <c r="G135" t="str" cm="1">
        <f t="array" ref="G135">IF(AND(ISNUMBER(SEARCH("UBER",C135)),ISNUMBER(SEARCH("EATS",C135))),"Uber Eats",IF(LEFT(C135,6)="CHECK ","Checks Paid",IF(OR(E135="BILLPAY",ISNUMBER(SEARCH("FRANCHISE TAX",C135)),ISNUMBER(SEARCH("NEXTLINK",C135))),"Personal - House Bills",IF(AND(ISNUMBER(SEARCH("PAYMENT FROM",C135)),ISNUMBER(SEARCH("JOE SAUNDERS",C135))),"Zelle from Joe Saunders",IF(AND(ISNUMBER(SEARCH("PAYMENT TO",C135)),ISNUMBER(SEARCH("JOE SAUNDERS",C135))),"Zelle to Joe Saunders",IF(OR(ISNUMBER(SEARCH("NEW ORLEANS",C135)),ISNUMBER(SEARCH("KENNER",C135)),ISNUMBER(SEARCH("HENRY HOWARD",C135)),ISNUMBER(SEARCH("MISS CLAUDIA",C135))),"Personal Travel - New Orleans",IF(AND(YEAR(B135)=2025,MONTH(B135)=4,OR(ISNUMBER(SEARCH("EXCHANGE RATE",C135)),ISNUMBER(SEARCH("EXCHG RTE",C135)))),"Personal Travel - Italy",IFERROR(INDEX('Category Rules'!$B$2:$B$358,MATCH(TRUE,ISNUMBER(SEARCH('Category Rules'!$A$2:$A$358,C135)),0)),""))))))))</f>
        <v>Deposit</v>
      </c>
    </row>
    <row r="136" spans="1:7" x14ac:dyDescent="0.25">
      <c r="A136" t="s">
        <v>6</v>
      </c>
      <c r="B136" s="1">
        <v>46002</v>
      </c>
      <c r="C136" t="s">
        <v>129</v>
      </c>
      <c r="D136">
        <v>-93.12</v>
      </c>
      <c r="E136" t="s">
        <v>10</v>
      </c>
      <c r="F136">
        <v>2202.08</v>
      </c>
      <c r="G136" t="str" cm="1">
        <f t="array" ref="G136">IF(AND(ISNUMBER(SEARCH("UBER",C136)),ISNUMBER(SEARCH("EATS",C136))),"Uber Eats",IF(LEFT(C136,6)="CHECK ","Checks Paid",IF(OR(E136="BILLPAY",ISNUMBER(SEARCH("FRANCHISE TAX",C136)),ISNUMBER(SEARCH("NEXTLINK",C136))),"Personal - House Bills",IF(AND(ISNUMBER(SEARCH("PAYMENT FROM",C136)),ISNUMBER(SEARCH("JOE SAUNDERS",C136))),"Zelle from Joe Saunders",IF(AND(ISNUMBER(SEARCH("PAYMENT TO",C136)),ISNUMBER(SEARCH("JOE SAUNDERS",C136))),"Zelle to Joe Saunders",IF(OR(ISNUMBER(SEARCH("NEW ORLEANS",C136)),ISNUMBER(SEARCH("KENNER",C136)),ISNUMBER(SEARCH("HENRY HOWARD",C136)),ISNUMBER(SEARCH("MISS CLAUDIA",C136))),"Personal Travel - New Orleans",IF(AND(YEAR(B136)=2025,MONTH(B136)=4,OR(ISNUMBER(SEARCH("EXCHANGE RATE",C136)),ISNUMBER(SEARCH("EXCHG RTE",C136)))),"Personal Travel - Italy",IFERROR(INDEX('Category Rules'!$B$2:$B$358,MATCH(TRUE,ISNUMBER(SEARCH('Category Rules'!$A$2:$A$358,C136)),0)),""))))))))</f>
        <v>Uber Eats</v>
      </c>
    </row>
    <row r="137" spans="1:7" x14ac:dyDescent="0.25">
      <c r="A137" t="s">
        <v>6</v>
      </c>
      <c r="B137" s="1">
        <v>46002</v>
      </c>
      <c r="C137" t="s">
        <v>130</v>
      </c>
      <c r="D137">
        <v>-22.93</v>
      </c>
      <c r="E137" t="s">
        <v>10</v>
      </c>
      <c r="F137">
        <v>2295.1999999999998</v>
      </c>
      <c r="G137" t="str" cm="1">
        <f t="array" ref="G137">IF(AND(ISNUMBER(SEARCH("UBER",C137)),ISNUMBER(SEARCH("EATS",C137))),"Uber Eats",IF(LEFT(C137,6)="CHECK ","Checks Paid",IF(OR(E137="BILLPAY",ISNUMBER(SEARCH("FRANCHISE TAX",C137)),ISNUMBER(SEARCH("NEXTLINK",C137))),"Personal - House Bills",IF(AND(ISNUMBER(SEARCH("PAYMENT FROM",C137)),ISNUMBER(SEARCH("JOE SAUNDERS",C137))),"Zelle from Joe Saunders",IF(AND(ISNUMBER(SEARCH("PAYMENT TO",C137)),ISNUMBER(SEARCH("JOE SAUNDERS",C137))),"Zelle to Joe Saunders",IF(OR(ISNUMBER(SEARCH("NEW ORLEANS",C137)),ISNUMBER(SEARCH("KENNER",C137)),ISNUMBER(SEARCH("HENRY HOWARD",C137)),ISNUMBER(SEARCH("MISS CLAUDIA",C137))),"Personal Travel - New Orleans",IF(AND(YEAR(B137)=2025,MONTH(B137)=4,OR(ISNUMBER(SEARCH("EXCHANGE RATE",C137)),ISNUMBER(SEARCH("EXCHG RTE",C137)))),"Personal Travel - Italy",IFERROR(INDEX('Category Rules'!$B$2:$B$358,MATCH(TRUE,ISNUMBER(SEARCH('Category Rules'!$A$2:$A$358,C137)),0)),""))))))))</f>
        <v>Uber Eats</v>
      </c>
    </row>
    <row r="138" spans="1:7" x14ac:dyDescent="0.25">
      <c r="A138" t="s">
        <v>6</v>
      </c>
      <c r="B138" s="1">
        <v>46002</v>
      </c>
      <c r="C138" t="s">
        <v>131</v>
      </c>
      <c r="D138">
        <v>-44.68</v>
      </c>
      <c r="E138" t="s">
        <v>10</v>
      </c>
      <c r="F138">
        <v>2318.13</v>
      </c>
      <c r="G138" t="str" cm="1">
        <f t="array" ref="G138">IF(AND(ISNUMBER(SEARCH("UBER",C138)),ISNUMBER(SEARCH("EATS",C138))),"Uber Eats",IF(LEFT(C138,6)="CHECK ","Checks Paid",IF(OR(E138="BILLPAY",ISNUMBER(SEARCH("FRANCHISE TAX",C138)),ISNUMBER(SEARCH("NEXTLINK",C138))),"Personal - House Bills",IF(AND(ISNUMBER(SEARCH("PAYMENT FROM",C138)),ISNUMBER(SEARCH("JOE SAUNDERS",C138))),"Zelle from Joe Saunders",IF(AND(ISNUMBER(SEARCH("PAYMENT TO",C138)),ISNUMBER(SEARCH("JOE SAUNDERS",C138))),"Zelle to Joe Saunders",IF(OR(ISNUMBER(SEARCH("NEW ORLEANS",C138)),ISNUMBER(SEARCH("KENNER",C138)),ISNUMBER(SEARCH("HENRY HOWARD",C138)),ISNUMBER(SEARCH("MISS CLAUDIA",C138))),"Personal Travel - New Orleans",IF(AND(YEAR(B138)=2025,MONTH(B138)=4,OR(ISNUMBER(SEARCH("EXCHANGE RATE",C138)),ISNUMBER(SEARCH("EXCHG RTE",C138)))),"Personal Travel - Italy",IFERROR(INDEX('Category Rules'!$B$2:$B$358,MATCH(TRUE,ISNUMBER(SEARCH('Category Rules'!$A$2:$A$358,C138)),0)),""))))))))</f>
        <v>Personal - Misc</v>
      </c>
    </row>
    <row r="139" spans="1:7" x14ac:dyDescent="0.25">
      <c r="A139" t="s">
        <v>6</v>
      </c>
      <c r="B139" s="1">
        <v>46002</v>
      </c>
      <c r="C139" t="s">
        <v>132</v>
      </c>
      <c r="D139">
        <v>-57.06</v>
      </c>
      <c r="E139" t="s">
        <v>10</v>
      </c>
      <c r="F139">
        <v>2362.81</v>
      </c>
      <c r="G139" t="str" cm="1">
        <f t="array" ref="G139">IF(AND(ISNUMBER(SEARCH("UBER",C139)),ISNUMBER(SEARCH("EATS",C139))),"Uber Eats",IF(LEFT(C139,6)="CHECK ","Checks Paid",IF(OR(E139="BILLPAY",ISNUMBER(SEARCH("FRANCHISE TAX",C139)),ISNUMBER(SEARCH("NEXTLINK",C139))),"Personal - House Bills",IF(AND(ISNUMBER(SEARCH("PAYMENT FROM",C139)),ISNUMBER(SEARCH("JOE SAUNDERS",C139))),"Zelle from Joe Saunders",IF(AND(ISNUMBER(SEARCH("PAYMENT TO",C139)),ISNUMBER(SEARCH("JOE SAUNDERS",C139))),"Zelle to Joe Saunders",IF(OR(ISNUMBER(SEARCH("NEW ORLEANS",C139)),ISNUMBER(SEARCH("KENNER",C139)),ISNUMBER(SEARCH("HENRY HOWARD",C139)),ISNUMBER(SEARCH("MISS CLAUDIA",C139))),"Personal Travel - New Orleans",IF(AND(YEAR(B139)=2025,MONTH(B139)=4,OR(ISNUMBER(SEARCH("EXCHANGE RATE",C139)),ISNUMBER(SEARCH("EXCHG RTE",C139)))),"Personal Travel - Italy",IFERROR(INDEX('Category Rules'!$B$2:$B$358,MATCH(TRUE,ISNUMBER(SEARCH('Category Rules'!$A$2:$A$358,C139)),0)),""))))))))</f>
        <v>Personal - Car</v>
      </c>
    </row>
    <row r="140" spans="1:7" x14ac:dyDescent="0.25">
      <c r="A140" t="s">
        <v>6</v>
      </c>
      <c r="B140" s="1">
        <v>46002</v>
      </c>
      <c r="C140" t="s">
        <v>133</v>
      </c>
      <c r="D140">
        <v>-288.20999999999998</v>
      </c>
      <c r="E140" t="s">
        <v>10</v>
      </c>
      <c r="F140">
        <v>2419.87</v>
      </c>
      <c r="G140" t="str" cm="1">
        <f t="array" ref="G140">IF(AND(ISNUMBER(SEARCH("UBER",C140)),ISNUMBER(SEARCH("EATS",C140))),"Uber Eats",IF(LEFT(C140,6)="CHECK ","Checks Paid",IF(OR(E140="BILLPAY",ISNUMBER(SEARCH("FRANCHISE TAX",C140)),ISNUMBER(SEARCH("NEXTLINK",C140))),"Personal - House Bills",IF(AND(ISNUMBER(SEARCH("PAYMENT FROM",C140)),ISNUMBER(SEARCH("JOE SAUNDERS",C140))),"Zelle from Joe Saunders",IF(AND(ISNUMBER(SEARCH("PAYMENT TO",C140)),ISNUMBER(SEARCH("JOE SAUNDERS",C140))),"Zelle to Joe Saunders",IF(OR(ISNUMBER(SEARCH("NEW ORLEANS",C140)),ISNUMBER(SEARCH("KENNER",C140)),ISNUMBER(SEARCH("HENRY HOWARD",C140)),ISNUMBER(SEARCH("MISS CLAUDIA",C140))),"Personal Travel - New Orleans",IF(AND(YEAR(B140)=2025,MONTH(B140)=4,OR(ISNUMBER(SEARCH("EXCHANGE RATE",C140)),ISNUMBER(SEARCH("EXCHG RTE",C140)))),"Personal Travel - Italy",IFERROR(INDEX('Category Rules'!$B$2:$B$358,MATCH(TRUE,ISNUMBER(SEARCH('Category Rules'!$A$2:$A$358,C140)),0)),""))))))))</f>
        <v>Personal - Food</v>
      </c>
    </row>
    <row r="141" spans="1:7" x14ac:dyDescent="0.25">
      <c r="A141" t="s">
        <v>6</v>
      </c>
      <c r="B141" s="1">
        <v>46002</v>
      </c>
      <c r="C141" t="s">
        <v>134</v>
      </c>
      <c r="D141">
        <v>-37.299999999999997</v>
      </c>
      <c r="E141" t="s">
        <v>10</v>
      </c>
      <c r="F141">
        <v>2708.08</v>
      </c>
      <c r="G141" t="str" cm="1">
        <f t="array" ref="G141">IF(AND(ISNUMBER(SEARCH("UBER",C141)),ISNUMBER(SEARCH("EATS",C141))),"Uber Eats",IF(LEFT(C141,6)="CHECK ","Checks Paid",IF(OR(E141="BILLPAY",ISNUMBER(SEARCH("FRANCHISE TAX",C141)),ISNUMBER(SEARCH("NEXTLINK",C141))),"Personal - House Bills",IF(AND(ISNUMBER(SEARCH("PAYMENT FROM",C141)),ISNUMBER(SEARCH("JOE SAUNDERS",C141))),"Zelle from Joe Saunders",IF(AND(ISNUMBER(SEARCH("PAYMENT TO",C141)),ISNUMBER(SEARCH("JOE SAUNDERS",C141))),"Zelle to Joe Saunders",IF(OR(ISNUMBER(SEARCH("NEW ORLEANS",C141)),ISNUMBER(SEARCH("KENNER",C141)),ISNUMBER(SEARCH("HENRY HOWARD",C141)),ISNUMBER(SEARCH("MISS CLAUDIA",C141))),"Personal Travel - New Orleans",IF(AND(YEAR(B141)=2025,MONTH(B141)=4,OR(ISNUMBER(SEARCH("EXCHANGE RATE",C141)),ISNUMBER(SEARCH("EXCHG RTE",C141)))),"Personal Travel - Italy",IFERROR(INDEX('Category Rules'!$B$2:$B$358,MATCH(TRUE,ISNUMBER(SEARCH('Category Rules'!$A$2:$A$358,C141)),0)),""))))))))</f>
        <v>Amazon</v>
      </c>
    </row>
    <row r="142" spans="1:7" x14ac:dyDescent="0.25">
      <c r="A142" t="s">
        <v>6</v>
      </c>
      <c r="B142" s="1">
        <v>46002</v>
      </c>
      <c r="C142" t="s">
        <v>135</v>
      </c>
      <c r="D142">
        <v>-325.94</v>
      </c>
      <c r="E142" t="s">
        <v>10</v>
      </c>
      <c r="F142">
        <v>2745.38</v>
      </c>
      <c r="G142" t="str" cm="1">
        <f t="array" ref="G142">IF(AND(ISNUMBER(SEARCH("UBER",C142)),ISNUMBER(SEARCH("EATS",C142))),"Uber Eats",IF(LEFT(C142,6)="CHECK ","Checks Paid",IF(OR(E142="BILLPAY",ISNUMBER(SEARCH("FRANCHISE TAX",C142)),ISNUMBER(SEARCH("NEXTLINK",C142))),"Personal - House Bills",IF(AND(ISNUMBER(SEARCH("PAYMENT FROM",C142)),ISNUMBER(SEARCH("JOE SAUNDERS",C142))),"Zelle from Joe Saunders",IF(AND(ISNUMBER(SEARCH("PAYMENT TO",C142)),ISNUMBER(SEARCH("JOE SAUNDERS",C142))),"Zelle to Joe Saunders",IF(OR(ISNUMBER(SEARCH("NEW ORLEANS",C142)),ISNUMBER(SEARCH("KENNER",C142)),ISNUMBER(SEARCH("HENRY HOWARD",C142)),ISNUMBER(SEARCH("MISS CLAUDIA",C142))),"Personal Travel - New Orleans",IF(AND(YEAR(B142)=2025,MONTH(B142)=4,OR(ISNUMBER(SEARCH("EXCHANGE RATE",C142)),ISNUMBER(SEARCH("EXCHG RTE",C142)))),"Personal Travel - Italy",IFERROR(INDEX('Category Rules'!$B$2:$B$358,MATCH(TRUE,ISNUMBER(SEARCH('Category Rules'!$A$2:$A$358,C142)),0)),""))))))))</f>
        <v>Amazon</v>
      </c>
    </row>
    <row r="143" spans="1:7" x14ac:dyDescent="0.25">
      <c r="A143" t="s">
        <v>6</v>
      </c>
      <c r="B143" s="1">
        <v>46002</v>
      </c>
      <c r="C143" t="s">
        <v>136</v>
      </c>
      <c r="D143">
        <v>-78.959999999999994</v>
      </c>
      <c r="E143" t="s">
        <v>10</v>
      </c>
      <c r="F143">
        <v>3071.32</v>
      </c>
      <c r="G143" t="str" cm="1">
        <f t="array" ref="G143">IF(AND(ISNUMBER(SEARCH("UBER",C143)),ISNUMBER(SEARCH("EATS",C143))),"Uber Eats",IF(LEFT(C143,6)="CHECK ","Checks Paid",IF(OR(E143="BILLPAY",ISNUMBER(SEARCH("FRANCHISE TAX",C143)),ISNUMBER(SEARCH("NEXTLINK",C143))),"Personal - House Bills",IF(AND(ISNUMBER(SEARCH("PAYMENT FROM",C143)),ISNUMBER(SEARCH("JOE SAUNDERS",C143))),"Zelle from Joe Saunders",IF(AND(ISNUMBER(SEARCH("PAYMENT TO",C143)),ISNUMBER(SEARCH("JOE SAUNDERS",C143))),"Zelle to Joe Saunders",IF(OR(ISNUMBER(SEARCH("NEW ORLEANS",C143)),ISNUMBER(SEARCH("KENNER",C143)),ISNUMBER(SEARCH("HENRY HOWARD",C143)),ISNUMBER(SEARCH("MISS CLAUDIA",C143))),"Personal Travel - New Orleans",IF(AND(YEAR(B143)=2025,MONTH(B143)=4,OR(ISNUMBER(SEARCH("EXCHANGE RATE",C143)),ISNUMBER(SEARCH("EXCHG RTE",C143)))),"Personal Travel - Italy",IFERROR(INDEX('Category Rules'!$B$2:$B$358,MATCH(TRUE,ISNUMBER(SEARCH('Category Rules'!$A$2:$A$358,C143)),0)),""))))))))</f>
        <v>Amazon</v>
      </c>
    </row>
    <row r="144" spans="1:7" x14ac:dyDescent="0.25">
      <c r="A144" t="s">
        <v>6</v>
      </c>
      <c r="B144" s="1">
        <v>46002</v>
      </c>
      <c r="C144" t="s">
        <v>137</v>
      </c>
      <c r="D144">
        <v>-155.74</v>
      </c>
      <c r="E144" t="s">
        <v>10</v>
      </c>
      <c r="F144">
        <v>3150.28</v>
      </c>
      <c r="G144" t="str" cm="1">
        <f t="array" ref="G144">IF(AND(ISNUMBER(SEARCH("UBER",C144)),ISNUMBER(SEARCH("EATS",C144))),"Uber Eats",IF(LEFT(C144,6)="CHECK ","Checks Paid",IF(OR(E144="BILLPAY",ISNUMBER(SEARCH("FRANCHISE TAX",C144)),ISNUMBER(SEARCH("NEXTLINK",C144))),"Personal - House Bills",IF(AND(ISNUMBER(SEARCH("PAYMENT FROM",C144)),ISNUMBER(SEARCH("JOE SAUNDERS",C144))),"Zelle from Joe Saunders",IF(AND(ISNUMBER(SEARCH("PAYMENT TO",C144)),ISNUMBER(SEARCH("JOE SAUNDERS",C144))),"Zelle to Joe Saunders",IF(OR(ISNUMBER(SEARCH("NEW ORLEANS",C144)),ISNUMBER(SEARCH("KENNER",C144)),ISNUMBER(SEARCH("HENRY HOWARD",C144)),ISNUMBER(SEARCH("MISS CLAUDIA",C144))),"Personal Travel - New Orleans",IF(AND(YEAR(B144)=2025,MONTH(B144)=4,OR(ISNUMBER(SEARCH("EXCHANGE RATE",C144)),ISNUMBER(SEARCH("EXCHG RTE",C144)))),"Personal Travel - Italy",IFERROR(INDEX('Category Rules'!$B$2:$B$358,MATCH(TRUE,ISNUMBER(SEARCH('Category Rules'!$A$2:$A$358,C144)),0)),""))))))))</f>
        <v>Amazon</v>
      </c>
    </row>
    <row r="145" spans="1:7" x14ac:dyDescent="0.25">
      <c r="A145" t="s">
        <v>6</v>
      </c>
      <c r="B145" s="1">
        <v>46001</v>
      </c>
      <c r="C145" t="s">
        <v>138</v>
      </c>
      <c r="D145">
        <v>-74.75</v>
      </c>
      <c r="E145" t="s">
        <v>10</v>
      </c>
      <c r="F145">
        <v>3306.02</v>
      </c>
      <c r="G145" t="str" cm="1">
        <f t="array" ref="G145">IF(AND(ISNUMBER(SEARCH("UBER",C145)),ISNUMBER(SEARCH("EATS",C145))),"Uber Eats",IF(LEFT(C145,6)="CHECK ","Checks Paid",IF(OR(E145="BILLPAY",ISNUMBER(SEARCH("FRANCHISE TAX",C145)),ISNUMBER(SEARCH("NEXTLINK",C145))),"Personal - House Bills",IF(AND(ISNUMBER(SEARCH("PAYMENT FROM",C145)),ISNUMBER(SEARCH("JOE SAUNDERS",C145))),"Zelle from Joe Saunders",IF(AND(ISNUMBER(SEARCH("PAYMENT TO",C145)),ISNUMBER(SEARCH("JOE SAUNDERS",C145))),"Zelle to Joe Saunders",IF(OR(ISNUMBER(SEARCH("NEW ORLEANS",C145)),ISNUMBER(SEARCH("KENNER",C145)),ISNUMBER(SEARCH("HENRY HOWARD",C145)),ISNUMBER(SEARCH("MISS CLAUDIA",C145))),"Personal Travel - New Orleans",IF(AND(YEAR(B145)=2025,MONTH(B145)=4,OR(ISNUMBER(SEARCH("EXCHANGE RATE",C145)),ISNUMBER(SEARCH("EXCHG RTE",C145)))),"Personal Travel - Italy",IFERROR(INDEX('Category Rules'!$B$2:$B$358,MATCH(TRUE,ISNUMBER(SEARCH('Category Rules'!$A$2:$A$358,C145)),0)),""))))))))</f>
        <v>Uber Eats</v>
      </c>
    </row>
    <row r="146" spans="1:7" x14ac:dyDescent="0.25">
      <c r="A146" t="s">
        <v>6</v>
      </c>
      <c r="B146" s="1">
        <v>46001</v>
      </c>
      <c r="C146" t="s">
        <v>139</v>
      </c>
      <c r="D146">
        <v>-12.99</v>
      </c>
      <c r="E146" t="s">
        <v>10</v>
      </c>
      <c r="F146">
        <v>3380.77</v>
      </c>
      <c r="G146" t="str" cm="1">
        <f t="array" ref="G146">IF(AND(ISNUMBER(SEARCH("UBER",C146)),ISNUMBER(SEARCH("EATS",C146))),"Uber Eats",IF(LEFT(C146,6)="CHECK ","Checks Paid",IF(OR(E146="BILLPAY",ISNUMBER(SEARCH("FRANCHISE TAX",C146)),ISNUMBER(SEARCH("NEXTLINK",C146))),"Personal - House Bills",IF(AND(ISNUMBER(SEARCH("PAYMENT FROM",C146)),ISNUMBER(SEARCH("JOE SAUNDERS",C146))),"Zelle from Joe Saunders",IF(AND(ISNUMBER(SEARCH("PAYMENT TO",C146)),ISNUMBER(SEARCH("JOE SAUNDERS",C146))),"Zelle to Joe Saunders",IF(OR(ISNUMBER(SEARCH("NEW ORLEANS",C146)),ISNUMBER(SEARCH("KENNER",C146)),ISNUMBER(SEARCH("HENRY HOWARD",C146)),ISNUMBER(SEARCH("MISS CLAUDIA",C146))),"Personal Travel - New Orleans",IF(AND(YEAR(B146)=2025,MONTH(B146)=4,OR(ISNUMBER(SEARCH("EXCHANGE RATE",C146)),ISNUMBER(SEARCH("EXCHG RTE",C146)))),"Personal Travel - Italy",IFERROR(INDEX('Category Rules'!$B$2:$B$358,MATCH(TRUE,ISNUMBER(SEARCH('Category Rules'!$A$2:$A$358,C146)),0)),""))))))))</f>
        <v>Apple</v>
      </c>
    </row>
    <row r="147" spans="1:7" x14ac:dyDescent="0.25">
      <c r="A147" t="s">
        <v>6</v>
      </c>
      <c r="B147" s="1">
        <v>46001</v>
      </c>
      <c r="C147" t="s">
        <v>140</v>
      </c>
      <c r="D147">
        <v>-127.52</v>
      </c>
      <c r="E147" t="s">
        <v>10</v>
      </c>
      <c r="F147">
        <v>3393.76</v>
      </c>
      <c r="G147" t="str" cm="1">
        <f t="array" ref="G147">IF(AND(ISNUMBER(SEARCH("UBER",C147)),ISNUMBER(SEARCH("EATS",C147))),"Uber Eats",IF(LEFT(C147,6)="CHECK ","Checks Paid",IF(OR(E147="BILLPAY",ISNUMBER(SEARCH("FRANCHISE TAX",C147)),ISNUMBER(SEARCH("NEXTLINK",C147))),"Personal - House Bills",IF(AND(ISNUMBER(SEARCH("PAYMENT FROM",C147)),ISNUMBER(SEARCH("JOE SAUNDERS",C147))),"Zelle from Joe Saunders",IF(AND(ISNUMBER(SEARCH("PAYMENT TO",C147)),ISNUMBER(SEARCH("JOE SAUNDERS",C147))),"Zelle to Joe Saunders",IF(OR(ISNUMBER(SEARCH("NEW ORLEANS",C147)),ISNUMBER(SEARCH("KENNER",C147)),ISNUMBER(SEARCH("HENRY HOWARD",C147)),ISNUMBER(SEARCH("MISS CLAUDIA",C147))),"Personal Travel - New Orleans",IF(AND(YEAR(B147)=2025,MONTH(B147)=4,OR(ISNUMBER(SEARCH("EXCHANGE RATE",C147)),ISNUMBER(SEARCH("EXCHG RTE",C147)))),"Personal Travel - Italy",IFERROR(INDEX('Category Rules'!$B$2:$B$358,MATCH(TRUE,ISNUMBER(SEARCH('Category Rules'!$A$2:$A$358,C147)),0)),""))))))))</f>
        <v>Amazon</v>
      </c>
    </row>
    <row r="148" spans="1:7" x14ac:dyDescent="0.25">
      <c r="A148" t="s">
        <v>6</v>
      </c>
      <c r="B148" s="1">
        <v>46001</v>
      </c>
      <c r="C148" t="s">
        <v>141</v>
      </c>
      <c r="D148">
        <v>-98.72</v>
      </c>
      <c r="E148" t="s">
        <v>10</v>
      </c>
      <c r="F148">
        <v>3521.28</v>
      </c>
      <c r="G148" t="str" cm="1">
        <f t="array" ref="G148">IF(AND(ISNUMBER(SEARCH("UBER",C148)),ISNUMBER(SEARCH("EATS",C148))),"Uber Eats",IF(LEFT(C148,6)="CHECK ","Checks Paid",IF(OR(E148="BILLPAY",ISNUMBER(SEARCH("FRANCHISE TAX",C148)),ISNUMBER(SEARCH("NEXTLINK",C148))),"Personal - House Bills",IF(AND(ISNUMBER(SEARCH("PAYMENT FROM",C148)),ISNUMBER(SEARCH("JOE SAUNDERS",C148))),"Zelle from Joe Saunders",IF(AND(ISNUMBER(SEARCH("PAYMENT TO",C148)),ISNUMBER(SEARCH("JOE SAUNDERS",C148))),"Zelle to Joe Saunders",IF(OR(ISNUMBER(SEARCH("NEW ORLEANS",C148)),ISNUMBER(SEARCH("KENNER",C148)),ISNUMBER(SEARCH("HENRY HOWARD",C148)),ISNUMBER(SEARCH("MISS CLAUDIA",C148))),"Personal Travel - New Orleans",IF(AND(YEAR(B148)=2025,MONTH(B148)=4,OR(ISNUMBER(SEARCH("EXCHANGE RATE",C148)),ISNUMBER(SEARCH("EXCHG RTE",C148)))),"Personal Travel - Italy",IFERROR(INDEX('Category Rules'!$B$2:$B$358,MATCH(TRUE,ISNUMBER(SEARCH('Category Rules'!$A$2:$A$358,C148)),0)),""))))))))</f>
        <v>Amazon</v>
      </c>
    </row>
    <row r="149" spans="1:7" x14ac:dyDescent="0.25">
      <c r="A149" t="s">
        <v>6</v>
      </c>
      <c r="B149" s="1">
        <v>46001</v>
      </c>
      <c r="C149" t="s">
        <v>142</v>
      </c>
      <c r="D149">
        <v>-373.49</v>
      </c>
      <c r="E149" t="s">
        <v>10</v>
      </c>
      <c r="F149">
        <v>3620</v>
      </c>
      <c r="G149" t="str" cm="1">
        <f t="array" ref="G149">IF(AND(ISNUMBER(SEARCH("UBER",C149)),ISNUMBER(SEARCH("EATS",C149))),"Uber Eats",IF(LEFT(C149,6)="CHECK ","Checks Paid",IF(OR(E149="BILLPAY",ISNUMBER(SEARCH("FRANCHISE TAX",C149)),ISNUMBER(SEARCH("NEXTLINK",C149))),"Personal - House Bills",IF(AND(ISNUMBER(SEARCH("PAYMENT FROM",C149)),ISNUMBER(SEARCH("JOE SAUNDERS",C149))),"Zelle from Joe Saunders",IF(AND(ISNUMBER(SEARCH("PAYMENT TO",C149)),ISNUMBER(SEARCH("JOE SAUNDERS",C149))),"Zelle to Joe Saunders",IF(OR(ISNUMBER(SEARCH("NEW ORLEANS",C149)),ISNUMBER(SEARCH("KENNER",C149)),ISNUMBER(SEARCH("HENRY HOWARD",C149)),ISNUMBER(SEARCH("MISS CLAUDIA",C149))),"Personal Travel - New Orleans",IF(AND(YEAR(B149)=2025,MONTH(B149)=4,OR(ISNUMBER(SEARCH("EXCHANGE RATE",C149)),ISNUMBER(SEARCH("EXCHG RTE",C149)))),"Personal Travel - Italy",IFERROR(INDEX('Category Rules'!$B$2:$B$358,MATCH(TRUE,ISNUMBER(SEARCH('Category Rules'!$A$2:$A$358,C149)),0)),""))))))))</f>
        <v>Personal - Food</v>
      </c>
    </row>
    <row r="150" spans="1:7" x14ac:dyDescent="0.25">
      <c r="A150" t="s">
        <v>6</v>
      </c>
      <c r="B150" s="1">
        <v>46001</v>
      </c>
      <c r="C150" t="s">
        <v>143</v>
      </c>
      <c r="D150">
        <v>-240.12</v>
      </c>
      <c r="E150" t="s">
        <v>10</v>
      </c>
      <c r="F150">
        <v>3993.49</v>
      </c>
      <c r="G150" t="str" cm="1">
        <f t="array" ref="G150">IF(AND(ISNUMBER(SEARCH("UBER",C150)),ISNUMBER(SEARCH("EATS",C150))),"Uber Eats",IF(LEFT(C150,6)="CHECK ","Checks Paid",IF(OR(E150="BILLPAY",ISNUMBER(SEARCH("FRANCHISE TAX",C150)),ISNUMBER(SEARCH("NEXTLINK",C150))),"Personal - House Bills",IF(AND(ISNUMBER(SEARCH("PAYMENT FROM",C150)),ISNUMBER(SEARCH("JOE SAUNDERS",C150))),"Zelle from Joe Saunders",IF(AND(ISNUMBER(SEARCH("PAYMENT TO",C150)),ISNUMBER(SEARCH("JOE SAUNDERS",C150))),"Zelle to Joe Saunders",IF(OR(ISNUMBER(SEARCH("NEW ORLEANS",C150)),ISNUMBER(SEARCH("KENNER",C150)),ISNUMBER(SEARCH("HENRY HOWARD",C150)),ISNUMBER(SEARCH("MISS CLAUDIA",C150))),"Personal Travel - New Orleans",IF(AND(YEAR(B150)=2025,MONTH(B150)=4,OR(ISNUMBER(SEARCH("EXCHANGE RATE",C150)),ISNUMBER(SEARCH("EXCHG RTE",C150)))),"Personal Travel - Italy",IFERROR(INDEX('Category Rules'!$B$2:$B$358,MATCH(TRUE,ISNUMBER(SEARCH('Category Rules'!$A$2:$A$358,C150)),0)),""))))))))</f>
        <v>Personal - Shopping</v>
      </c>
    </row>
    <row r="151" spans="1:7" x14ac:dyDescent="0.25">
      <c r="A151" t="s">
        <v>6</v>
      </c>
      <c r="B151" s="1">
        <v>46001</v>
      </c>
      <c r="C151" t="s">
        <v>144</v>
      </c>
      <c r="D151">
        <v>-346.14</v>
      </c>
      <c r="E151" t="s">
        <v>10</v>
      </c>
      <c r="F151">
        <v>4233.6099999999997</v>
      </c>
      <c r="G151" t="str" cm="1">
        <f t="array" ref="G151">IF(AND(ISNUMBER(SEARCH("UBER",C151)),ISNUMBER(SEARCH("EATS",C151))),"Uber Eats",IF(LEFT(C151,6)="CHECK ","Checks Paid",IF(OR(E151="BILLPAY",ISNUMBER(SEARCH("FRANCHISE TAX",C151)),ISNUMBER(SEARCH("NEXTLINK",C151))),"Personal - House Bills",IF(AND(ISNUMBER(SEARCH("PAYMENT FROM",C151)),ISNUMBER(SEARCH("JOE SAUNDERS",C151))),"Zelle from Joe Saunders",IF(AND(ISNUMBER(SEARCH("PAYMENT TO",C151)),ISNUMBER(SEARCH("JOE SAUNDERS",C151))),"Zelle to Joe Saunders",IF(OR(ISNUMBER(SEARCH("NEW ORLEANS",C151)),ISNUMBER(SEARCH("KENNER",C151)),ISNUMBER(SEARCH("HENRY HOWARD",C151)),ISNUMBER(SEARCH("MISS CLAUDIA",C151))),"Personal Travel - New Orleans",IF(AND(YEAR(B151)=2025,MONTH(B151)=4,OR(ISNUMBER(SEARCH("EXCHANGE RATE",C151)),ISNUMBER(SEARCH("EXCHG RTE",C151)))),"Personal Travel - Italy",IFERROR(INDEX('Category Rules'!$B$2:$B$358,MATCH(TRUE,ISNUMBER(SEARCH('Category Rules'!$A$2:$A$358,C151)),0)),""))))))))</f>
        <v>Personal - Shopping</v>
      </c>
    </row>
    <row r="152" spans="1:7" x14ac:dyDescent="0.25">
      <c r="A152" t="s">
        <v>6</v>
      </c>
      <c r="B152" s="1">
        <v>46000</v>
      </c>
      <c r="C152" t="s">
        <v>145</v>
      </c>
      <c r="D152">
        <v>-44.12</v>
      </c>
      <c r="E152" t="s">
        <v>10</v>
      </c>
      <c r="F152">
        <v>4579.75</v>
      </c>
      <c r="G152" t="str" cm="1">
        <f t="array" ref="G152">IF(AND(ISNUMBER(SEARCH("UBER",C152)),ISNUMBER(SEARCH("EATS",C152))),"Uber Eats",IF(LEFT(C152,6)="CHECK ","Checks Paid",IF(OR(E152="BILLPAY",ISNUMBER(SEARCH("FRANCHISE TAX",C152)),ISNUMBER(SEARCH("NEXTLINK",C152))),"Personal - House Bills",IF(AND(ISNUMBER(SEARCH("PAYMENT FROM",C152)),ISNUMBER(SEARCH("JOE SAUNDERS",C152))),"Zelle from Joe Saunders",IF(AND(ISNUMBER(SEARCH("PAYMENT TO",C152)),ISNUMBER(SEARCH("JOE SAUNDERS",C152))),"Zelle to Joe Saunders",IF(OR(ISNUMBER(SEARCH("NEW ORLEANS",C152)),ISNUMBER(SEARCH("KENNER",C152)),ISNUMBER(SEARCH("HENRY HOWARD",C152)),ISNUMBER(SEARCH("MISS CLAUDIA",C152))),"Personal Travel - New Orleans",IF(AND(YEAR(B152)=2025,MONTH(B152)=4,OR(ISNUMBER(SEARCH("EXCHANGE RATE",C152)),ISNUMBER(SEARCH("EXCHG RTE",C152)))),"Personal Travel - Italy",IFERROR(INDEX('Category Rules'!$B$2:$B$358,MATCH(TRUE,ISNUMBER(SEARCH('Category Rules'!$A$2:$A$358,C152)),0)),""))))))))</f>
        <v>Amazon</v>
      </c>
    </row>
    <row r="153" spans="1:7" x14ac:dyDescent="0.25">
      <c r="A153" t="s">
        <v>6</v>
      </c>
      <c r="B153" s="1">
        <v>46000</v>
      </c>
      <c r="C153" t="s">
        <v>146</v>
      </c>
      <c r="D153">
        <v>-60.46</v>
      </c>
      <c r="E153" t="s">
        <v>10</v>
      </c>
      <c r="F153">
        <v>4623.87</v>
      </c>
      <c r="G153" t="str" cm="1">
        <f t="array" ref="G153">IF(AND(ISNUMBER(SEARCH("UBER",C153)),ISNUMBER(SEARCH("EATS",C153))),"Uber Eats",IF(LEFT(C153,6)="CHECK ","Checks Paid",IF(OR(E153="BILLPAY",ISNUMBER(SEARCH("FRANCHISE TAX",C153)),ISNUMBER(SEARCH("NEXTLINK",C153))),"Personal - House Bills",IF(AND(ISNUMBER(SEARCH("PAYMENT FROM",C153)),ISNUMBER(SEARCH("JOE SAUNDERS",C153))),"Zelle from Joe Saunders",IF(AND(ISNUMBER(SEARCH("PAYMENT TO",C153)),ISNUMBER(SEARCH("JOE SAUNDERS",C153))),"Zelle to Joe Saunders",IF(OR(ISNUMBER(SEARCH("NEW ORLEANS",C153)),ISNUMBER(SEARCH("KENNER",C153)),ISNUMBER(SEARCH("HENRY HOWARD",C153)),ISNUMBER(SEARCH("MISS CLAUDIA",C153))),"Personal Travel - New Orleans",IF(AND(YEAR(B153)=2025,MONTH(B153)=4,OR(ISNUMBER(SEARCH("EXCHANGE RATE",C153)),ISNUMBER(SEARCH("EXCHG RTE",C153)))),"Personal Travel - Italy",IFERROR(INDEX('Category Rules'!$B$2:$B$358,MATCH(TRUE,ISNUMBER(SEARCH('Category Rules'!$A$2:$A$358,C153)),0)),""))))))))</f>
        <v>Amazon</v>
      </c>
    </row>
    <row r="154" spans="1:7" x14ac:dyDescent="0.25">
      <c r="A154" t="s">
        <v>6</v>
      </c>
      <c r="B154" s="1">
        <v>46000</v>
      </c>
      <c r="C154" t="s">
        <v>147</v>
      </c>
      <c r="D154">
        <v>-48.97</v>
      </c>
      <c r="E154" t="s">
        <v>10</v>
      </c>
      <c r="F154">
        <v>4684.33</v>
      </c>
      <c r="G154" t="str" cm="1">
        <f t="array" ref="G154">IF(AND(ISNUMBER(SEARCH("UBER",C154)),ISNUMBER(SEARCH("EATS",C154))),"Uber Eats",IF(LEFT(C154,6)="CHECK ","Checks Paid",IF(OR(E154="BILLPAY",ISNUMBER(SEARCH("FRANCHISE TAX",C154)),ISNUMBER(SEARCH("NEXTLINK",C154))),"Personal - House Bills",IF(AND(ISNUMBER(SEARCH("PAYMENT FROM",C154)),ISNUMBER(SEARCH("JOE SAUNDERS",C154))),"Zelle from Joe Saunders",IF(AND(ISNUMBER(SEARCH("PAYMENT TO",C154)),ISNUMBER(SEARCH("JOE SAUNDERS",C154))),"Zelle to Joe Saunders",IF(OR(ISNUMBER(SEARCH("NEW ORLEANS",C154)),ISNUMBER(SEARCH("KENNER",C154)),ISNUMBER(SEARCH("HENRY HOWARD",C154)),ISNUMBER(SEARCH("MISS CLAUDIA",C154))),"Personal Travel - New Orleans",IF(AND(YEAR(B154)=2025,MONTH(B154)=4,OR(ISNUMBER(SEARCH("EXCHANGE RATE",C154)),ISNUMBER(SEARCH("EXCHG RTE",C154)))),"Personal Travel - Italy",IFERROR(INDEX('Category Rules'!$B$2:$B$358,MATCH(TRUE,ISNUMBER(SEARCH('Category Rules'!$A$2:$A$358,C154)),0)),""))))))))</f>
        <v>Amazon</v>
      </c>
    </row>
    <row r="155" spans="1:7" x14ac:dyDescent="0.25">
      <c r="A155" t="s">
        <v>6</v>
      </c>
      <c r="B155" s="1">
        <v>46000</v>
      </c>
      <c r="C155" t="s">
        <v>148</v>
      </c>
      <c r="D155">
        <v>-1340</v>
      </c>
      <c r="E155" t="s">
        <v>10</v>
      </c>
      <c r="F155">
        <v>4733.3</v>
      </c>
      <c r="G155" t="str" cm="1">
        <f t="array" ref="G155">IF(AND(ISNUMBER(SEARCH("UBER",C155)),ISNUMBER(SEARCH("EATS",C155))),"Uber Eats",IF(LEFT(C155,6)="CHECK ","Checks Paid",IF(OR(E155="BILLPAY",ISNUMBER(SEARCH("FRANCHISE TAX",C155)),ISNUMBER(SEARCH("NEXTLINK",C155))),"Personal - House Bills",IF(AND(ISNUMBER(SEARCH("PAYMENT FROM",C155)),ISNUMBER(SEARCH("JOE SAUNDERS",C155))),"Zelle from Joe Saunders",IF(AND(ISNUMBER(SEARCH("PAYMENT TO",C155)),ISNUMBER(SEARCH("JOE SAUNDERS",C155))),"Zelle to Joe Saunders",IF(OR(ISNUMBER(SEARCH("NEW ORLEANS",C155)),ISNUMBER(SEARCH("KENNER",C155)),ISNUMBER(SEARCH("HENRY HOWARD",C155)),ISNUMBER(SEARCH("MISS CLAUDIA",C155))),"Personal Travel - New Orleans",IF(AND(YEAR(B155)=2025,MONTH(B155)=4,OR(ISNUMBER(SEARCH("EXCHANGE RATE",C155)),ISNUMBER(SEARCH("EXCHG RTE",C155)))),"Personal Travel - Italy",IFERROR(INDEX('Category Rules'!$B$2:$B$358,MATCH(TRUE,ISNUMBER(SEARCH('Category Rules'!$A$2:$A$358,C155)),0)),""))))))))</f>
        <v>Personal - Health</v>
      </c>
    </row>
    <row r="156" spans="1:7" x14ac:dyDescent="0.25">
      <c r="A156" t="s">
        <v>6</v>
      </c>
      <c r="B156" s="1">
        <v>46000</v>
      </c>
      <c r="C156" t="s">
        <v>149</v>
      </c>
      <c r="D156">
        <v>-33.130000000000003</v>
      </c>
      <c r="E156" t="s">
        <v>10</v>
      </c>
      <c r="F156">
        <v>6073.3</v>
      </c>
      <c r="G156" t="str" cm="1">
        <f t="array" ref="G156">IF(AND(ISNUMBER(SEARCH("UBER",C156)),ISNUMBER(SEARCH("EATS",C156))),"Uber Eats",IF(LEFT(C156,6)="CHECK ","Checks Paid",IF(OR(E156="BILLPAY",ISNUMBER(SEARCH("FRANCHISE TAX",C156)),ISNUMBER(SEARCH("NEXTLINK",C156))),"Personal - House Bills",IF(AND(ISNUMBER(SEARCH("PAYMENT FROM",C156)),ISNUMBER(SEARCH("JOE SAUNDERS",C156))),"Zelle from Joe Saunders",IF(AND(ISNUMBER(SEARCH("PAYMENT TO",C156)),ISNUMBER(SEARCH("JOE SAUNDERS",C156))),"Zelle to Joe Saunders",IF(OR(ISNUMBER(SEARCH("NEW ORLEANS",C156)),ISNUMBER(SEARCH("KENNER",C156)),ISNUMBER(SEARCH("HENRY HOWARD",C156)),ISNUMBER(SEARCH("MISS CLAUDIA",C156))),"Personal Travel - New Orleans",IF(AND(YEAR(B156)=2025,MONTH(B156)=4,OR(ISNUMBER(SEARCH("EXCHANGE RATE",C156)),ISNUMBER(SEARCH("EXCHG RTE",C156)))),"Personal Travel - Italy",IFERROR(INDEX('Category Rules'!$B$2:$B$358,MATCH(TRUE,ISNUMBER(SEARCH('Category Rules'!$A$2:$A$358,C156)),0)),""))))))))</f>
        <v>Personal - Shopping</v>
      </c>
    </row>
    <row r="157" spans="1:7" x14ac:dyDescent="0.25">
      <c r="A157" t="s">
        <v>6</v>
      </c>
      <c r="B157" s="1">
        <v>46000</v>
      </c>
      <c r="C157" t="s">
        <v>150</v>
      </c>
      <c r="D157">
        <v>-245.67</v>
      </c>
      <c r="E157" t="s">
        <v>10</v>
      </c>
      <c r="F157">
        <v>6106.43</v>
      </c>
      <c r="G157" t="str" cm="1">
        <f t="array" ref="G157">IF(AND(ISNUMBER(SEARCH("UBER",C157)),ISNUMBER(SEARCH("EATS",C157))),"Uber Eats",IF(LEFT(C157,6)="CHECK ","Checks Paid",IF(OR(E157="BILLPAY",ISNUMBER(SEARCH("FRANCHISE TAX",C157)),ISNUMBER(SEARCH("NEXTLINK",C157))),"Personal - House Bills",IF(AND(ISNUMBER(SEARCH("PAYMENT FROM",C157)),ISNUMBER(SEARCH("JOE SAUNDERS",C157))),"Zelle from Joe Saunders",IF(AND(ISNUMBER(SEARCH("PAYMENT TO",C157)),ISNUMBER(SEARCH("JOE SAUNDERS",C157))),"Zelle to Joe Saunders",IF(OR(ISNUMBER(SEARCH("NEW ORLEANS",C157)),ISNUMBER(SEARCH("KENNER",C157)),ISNUMBER(SEARCH("HENRY HOWARD",C157)),ISNUMBER(SEARCH("MISS CLAUDIA",C157))),"Personal Travel - New Orleans",IF(AND(YEAR(B157)=2025,MONTH(B157)=4,OR(ISNUMBER(SEARCH("EXCHANGE RATE",C157)),ISNUMBER(SEARCH("EXCHG RTE",C157)))),"Personal Travel - Italy",IFERROR(INDEX('Category Rules'!$B$2:$B$358,MATCH(TRUE,ISNUMBER(SEARCH('Category Rules'!$A$2:$A$358,C157)),0)),""))))))))</f>
        <v>Personal - Shopping</v>
      </c>
    </row>
    <row r="158" spans="1:7" x14ac:dyDescent="0.25">
      <c r="A158" t="s">
        <v>6</v>
      </c>
      <c r="B158" s="1">
        <v>46000</v>
      </c>
      <c r="C158" t="s">
        <v>150</v>
      </c>
      <c r="D158">
        <v>-535.4</v>
      </c>
      <c r="E158" t="s">
        <v>10</v>
      </c>
      <c r="F158">
        <v>6352.1</v>
      </c>
      <c r="G158" t="str" cm="1">
        <f t="array" ref="G158">IF(AND(ISNUMBER(SEARCH("UBER",C158)),ISNUMBER(SEARCH("EATS",C158))),"Uber Eats",IF(LEFT(C158,6)="CHECK ","Checks Paid",IF(OR(E158="BILLPAY",ISNUMBER(SEARCH("FRANCHISE TAX",C158)),ISNUMBER(SEARCH("NEXTLINK",C158))),"Personal - House Bills",IF(AND(ISNUMBER(SEARCH("PAYMENT FROM",C158)),ISNUMBER(SEARCH("JOE SAUNDERS",C158))),"Zelle from Joe Saunders",IF(AND(ISNUMBER(SEARCH("PAYMENT TO",C158)),ISNUMBER(SEARCH("JOE SAUNDERS",C158))),"Zelle to Joe Saunders",IF(OR(ISNUMBER(SEARCH("NEW ORLEANS",C158)),ISNUMBER(SEARCH("KENNER",C158)),ISNUMBER(SEARCH("HENRY HOWARD",C158)),ISNUMBER(SEARCH("MISS CLAUDIA",C158))),"Personal Travel - New Orleans",IF(AND(YEAR(B158)=2025,MONTH(B158)=4,OR(ISNUMBER(SEARCH("EXCHANGE RATE",C158)),ISNUMBER(SEARCH("EXCHG RTE",C158)))),"Personal Travel - Italy",IFERROR(INDEX('Category Rules'!$B$2:$B$358,MATCH(TRUE,ISNUMBER(SEARCH('Category Rules'!$A$2:$A$358,C158)),0)),""))))))))</f>
        <v>Personal - Shopping</v>
      </c>
    </row>
    <row r="159" spans="1:7" x14ac:dyDescent="0.25">
      <c r="A159" t="s">
        <v>6</v>
      </c>
      <c r="B159" s="1">
        <v>45999</v>
      </c>
      <c r="C159" t="s">
        <v>151</v>
      </c>
      <c r="D159">
        <v>-0.43</v>
      </c>
      <c r="E159" t="s">
        <v>8</v>
      </c>
      <c r="F159">
        <v>6887.5</v>
      </c>
      <c r="G159" t="str" cm="1">
        <f t="array" ref="G159">IF(AND(ISNUMBER(SEARCH("UBER",C159)),ISNUMBER(SEARCH("EATS",C159))),"Uber Eats",IF(LEFT(C159,6)="CHECK ","Checks Paid",IF(OR(E159="BILLPAY",ISNUMBER(SEARCH("FRANCHISE TAX",C159)),ISNUMBER(SEARCH("NEXTLINK",C159))),"Personal - House Bills",IF(AND(ISNUMBER(SEARCH("PAYMENT FROM",C159)),ISNUMBER(SEARCH("JOE SAUNDERS",C159))),"Zelle from Joe Saunders",IF(AND(ISNUMBER(SEARCH("PAYMENT TO",C159)),ISNUMBER(SEARCH("JOE SAUNDERS",C159))),"Zelle to Joe Saunders",IF(OR(ISNUMBER(SEARCH("NEW ORLEANS",C159)),ISNUMBER(SEARCH("KENNER",C159)),ISNUMBER(SEARCH("HENRY HOWARD",C159)),ISNUMBER(SEARCH("MISS CLAUDIA",C159))),"Personal Travel - New Orleans",IF(AND(YEAR(B159)=2025,MONTH(B159)=4,OR(ISNUMBER(SEARCH("EXCHANGE RATE",C159)),ISNUMBER(SEARCH("EXCHG RTE",C159)))),"Personal Travel - Italy",IFERROR(INDEX('Category Rules'!$B$2:$B$358,MATCH(TRUE,ISNUMBER(SEARCH('Category Rules'!$A$2:$A$358,C159)),0)),""))))))))</f>
        <v>Personal Travel - Canada</v>
      </c>
    </row>
    <row r="160" spans="1:7" x14ac:dyDescent="0.25">
      <c r="A160" t="s">
        <v>6</v>
      </c>
      <c r="B160" s="1">
        <v>45999</v>
      </c>
      <c r="C160" t="s">
        <v>151</v>
      </c>
      <c r="D160">
        <v>-0.43</v>
      </c>
      <c r="E160" t="s">
        <v>8</v>
      </c>
      <c r="F160">
        <v>6887.93</v>
      </c>
      <c r="G160" t="str" cm="1">
        <f t="array" ref="G160">IF(AND(ISNUMBER(SEARCH("UBER",C160)),ISNUMBER(SEARCH("EATS",C160))),"Uber Eats",IF(LEFT(C160,6)="CHECK ","Checks Paid",IF(OR(E160="BILLPAY",ISNUMBER(SEARCH("FRANCHISE TAX",C160)),ISNUMBER(SEARCH("NEXTLINK",C160))),"Personal - House Bills",IF(AND(ISNUMBER(SEARCH("PAYMENT FROM",C160)),ISNUMBER(SEARCH("JOE SAUNDERS",C160))),"Zelle from Joe Saunders",IF(AND(ISNUMBER(SEARCH("PAYMENT TO",C160)),ISNUMBER(SEARCH("JOE SAUNDERS",C160))),"Zelle to Joe Saunders",IF(OR(ISNUMBER(SEARCH("NEW ORLEANS",C160)),ISNUMBER(SEARCH("KENNER",C160)),ISNUMBER(SEARCH("HENRY HOWARD",C160)),ISNUMBER(SEARCH("MISS CLAUDIA",C160))),"Personal Travel - New Orleans",IF(AND(YEAR(B160)=2025,MONTH(B160)=4,OR(ISNUMBER(SEARCH("EXCHANGE RATE",C160)),ISNUMBER(SEARCH("EXCHG RTE",C160)))),"Personal Travel - Italy",IFERROR(INDEX('Category Rules'!$B$2:$B$358,MATCH(TRUE,ISNUMBER(SEARCH('Category Rules'!$A$2:$A$358,C160)),0)),""))))))))</f>
        <v>Personal Travel - Canada</v>
      </c>
    </row>
    <row r="161" spans="1:7" x14ac:dyDescent="0.25">
      <c r="A161" t="s">
        <v>6</v>
      </c>
      <c r="B161" s="1">
        <v>45999</v>
      </c>
      <c r="C161" t="s">
        <v>151</v>
      </c>
      <c r="D161">
        <v>-0.43</v>
      </c>
      <c r="E161" t="s">
        <v>8</v>
      </c>
      <c r="F161">
        <v>6888.36</v>
      </c>
      <c r="G161" t="str" cm="1">
        <f t="array" ref="G161">IF(AND(ISNUMBER(SEARCH("UBER",C161)),ISNUMBER(SEARCH("EATS",C161))),"Uber Eats",IF(LEFT(C161,6)="CHECK ","Checks Paid",IF(OR(E161="BILLPAY",ISNUMBER(SEARCH("FRANCHISE TAX",C161)),ISNUMBER(SEARCH("NEXTLINK",C161))),"Personal - House Bills",IF(AND(ISNUMBER(SEARCH("PAYMENT FROM",C161)),ISNUMBER(SEARCH("JOE SAUNDERS",C161))),"Zelle from Joe Saunders",IF(AND(ISNUMBER(SEARCH("PAYMENT TO",C161)),ISNUMBER(SEARCH("JOE SAUNDERS",C161))),"Zelle to Joe Saunders",IF(OR(ISNUMBER(SEARCH("NEW ORLEANS",C161)),ISNUMBER(SEARCH("KENNER",C161)),ISNUMBER(SEARCH("HENRY HOWARD",C161)),ISNUMBER(SEARCH("MISS CLAUDIA",C161))),"Personal Travel - New Orleans",IF(AND(YEAR(B161)=2025,MONTH(B161)=4,OR(ISNUMBER(SEARCH("EXCHANGE RATE",C161)),ISNUMBER(SEARCH("EXCHG RTE",C161)))),"Personal Travel - Italy",IFERROR(INDEX('Category Rules'!$B$2:$B$358,MATCH(TRUE,ISNUMBER(SEARCH('Category Rules'!$A$2:$A$358,C161)),0)),""))))))))</f>
        <v>Personal Travel - Canada</v>
      </c>
    </row>
    <row r="162" spans="1:7" x14ac:dyDescent="0.25">
      <c r="A162" t="s">
        <v>6</v>
      </c>
      <c r="B162" s="1">
        <v>45999</v>
      </c>
      <c r="C162" t="s">
        <v>152</v>
      </c>
      <c r="D162">
        <v>-6.99</v>
      </c>
      <c r="E162" t="s">
        <v>10</v>
      </c>
      <c r="F162">
        <v>6888.79</v>
      </c>
      <c r="G162" t="str" cm="1">
        <f t="array" ref="G162">IF(AND(ISNUMBER(SEARCH("UBER",C162)),ISNUMBER(SEARCH("EATS",C162))),"Uber Eats",IF(LEFT(C162,6)="CHECK ","Checks Paid",IF(OR(E162="BILLPAY",ISNUMBER(SEARCH("FRANCHISE TAX",C162)),ISNUMBER(SEARCH("NEXTLINK",C162))),"Personal - House Bills",IF(AND(ISNUMBER(SEARCH("PAYMENT FROM",C162)),ISNUMBER(SEARCH("JOE SAUNDERS",C162))),"Zelle from Joe Saunders",IF(AND(ISNUMBER(SEARCH("PAYMENT TO",C162)),ISNUMBER(SEARCH("JOE SAUNDERS",C162))),"Zelle to Joe Saunders",IF(OR(ISNUMBER(SEARCH("NEW ORLEANS",C162)),ISNUMBER(SEARCH("KENNER",C162)),ISNUMBER(SEARCH("HENRY HOWARD",C162)),ISNUMBER(SEARCH("MISS CLAUDIA",C162))),"Personal Travel - New Orleans",IF(AND(YEAR(B162)=2025,MONTH(B162)=4,OR(ISNUMBER(SEARCH("EXCHANGE RATE",C162)),ISNUMBER(SEARCH("EXCHG RTE",C162)))),"Personal Travel - Italy",IFERROR(INDEX('Category Rules'!$B$2:$B$358,MATCH(TRUE,ISNUMBER(SEARCH('Category Rules'!$A$2:$A$358,C162)),0)),""))))))))</f>
        <v>Apple</v>
      </c>
    </row>
    <row r="163" spans="1:7" x14ac:dyDescent="0.25">
      <c r="A163" t="s">
        <v>6</v>
      </c>
      <c r="B163" s="1">
        <v>45999</v>
      </c>
      <c r="C163" t="s">
        <v>153</v>
      </c>
      <c r="D163">
        <v>-184.16</v>
      </c>
      <c r="E163" t="s">
        <v>10</v>
      </c>
      <c r="F163">
        <v>6895.78</v>
      </c>
      <c r="G163" t="str" cm="1">
        <f t="array" ref="G163">IF(AND(ISNUMBER(SEARCH("UBER",C163)),ISNUMBER(SEARCH("EATS",C163))),"Uber Eats",IF(LEFT(C163,6)="CHECK ","Checks Paid",IF(OR(E163="BILLPAY",ISNUMBER(SEARCH("FRANCHISE TAX",C163)),ISNUMBER(SEARCH("NEXTLINK",C163))),"Personal - House Bills",IF(AND(ISNUMBER(SEARCH("PAYMENT FROM",C163)),ISNUMBER(SEARCH("JOE SAUNDERS",C163))),"Zelle from Joe Saunders",IF(AND(ISNUMBER(SEARCH("PAYMENT TO",C163)),ISNUMBER(SEARCH("JOE SAUNDERS",C163))),"Zelle to Joe Saunders",IF(OR(ISNUMBER(SEARCH("NEW ORLEANS",C163)),ISNUMBER(SEARCH("KENNER",C163)),ISNUMBER(SEARCH("HENRY HOWARD",C163)),ISNUMBER(SEARCH("MISS CLAUDIA",C163))),"Personal Travel - New Orleans",IF(AND(YEAR(B163)=2025,MONTH(B163)=4,OR(ISNUMBER(SEARCH("EXCHANGE RATE",C163)),ISNUMBER(SEARCH("EXCHG RTE",C163)))),"Personal Travel - Italy",IFERROR(INDEX('Category Rules'!$B$2:$B$358,MATCH(TRUE,ISNUMBER(SEARCH('Category Rules'!$A$2:$A$358,C163)),0)),""))))))))</f>
        <v>Personal - Food</v>
      </c>
    </row>
    <row r="164" spans="1:7" x14ac:dyDescent="0.25">
      <c r="A164" t="s">
        <v>6</v>
      </c>
      <c r="B164" s="1">
        <v>45999</v>
      </c>
      <c r="C164" t="s">
        <v>154</v>
      </c>
      <c r="D164">
        <v>-130</v>
      </c>
      <c r="E164" t="s">
        <v>10</v>
      </c>
      <c r="F164">
        <v>7079.94</v>
      </c>
      <c r="G164" t="str" cm="1">
        <f t="array" ref="G164">IF(AND(ISNUMBER(SEARCH("UBER",C164)),ISNUMBER(SEARCH("EATS",C164))),"Uber Eats",IF(LEFT(C164,6)="CHECK ","Checks Paid",IF(OR(E164="BILLPAY",ISNUMBER(SEARCH("FRANCHISE TAX",C164)),ISNUMBER(SEARCH("NEXTLINK",C164))),"Personal - House Bills",IF(AND(ISNUMBER(SEARCH("PAYMENT FROM",C164)),ISNUMBER(SEARCH("JOE SAUNDERS",C164))),"Zelle from Joe Saunders",IF(AND(ISNUMBER(SEARCH("PAYMENT TO",C164)),ISNUMBER(SEARCH("JOE SAUNDERS",C164))),"Zelle to Joe Saunders",IF(OR(ISNUMBER(SEARCH("NEW ORLEANS",C164)),ISNUMBER(SEARCH("KENNER",C164)),ISNUMBER(SEARCH("HENRY HOWARD",C164)),ISNUMBER(SEARCH("MISS CLAUDIA",C164))),"Personal Travel - New Orleans",IF(AND(YEAR(B164)=2025,MONTH(B164)=4,OR(ISNUMBER(SEARCH("EXCHANGE RATE",C164)),ISNUMBER(SEARCH("EXCHG RTE",C164)))),"Personal Travel - Italy",IFERROR(INDEX('Category Rules'!$B$2:$B$358,MATCH(TRUE,ISNUMBER(SEARCH('Category Rules'!$A$2:$A$358,C164)),0)),""))))))))</f>
        <v>Personal - Health</v>
      </c>
    </row>
    <row r="165" spans="1:7" x14ac:dyDescent="0.25">
      <c r="A165" t="s">
        <v>6</v>
      </c>
      <c r="B165" s="1">
        <v>45999</v>
      </c>
      <c r="C165" t="s">
        <v>155</v>
      </c>
      <c r="D165">
        <v>-34.22</v>
      </c>
      <c r="E165" t="s">
        <v>10</v>
      </c>
      <c r="F165">
        <v>7209.94</v>
      </c>
      <c r="G165" t="str" cm="1">
        <f t="array" ref="G165">IF(AND(ISNUMBER(SEARCH("UBER",C165)),ISNUMBER(SEARCH("EATS",C165))),"Uber Eats",IF(LEFT(C165,6)="CHECK ","Checks Paid",IF(OR(E165="BILLPAY",ISNUMBER(SEARCH("FRANCHISE TAX",C165)),ISNUMBER(SEARCH("NEXTLINK",C165))),"Personal - House Bills",IF(AND(ISNUMBER(SEARCH("PAYMENT FROM",C165)),ISNUMBER(SEARCH("JOE SAUNDERS",C165))),"Zelle from Joe Saunders",IF(AND(ISNUMBER(SEARCH("PAYMENT TO",C165)),ISNUMBER(SEARCH("JOE SAUNDERS",C165))),"Zelle to Joe Saunders",IF(OR(ISNUMBER(SEARCH("NEW ORLEANS",C165)),ISNUMBER(SEARCH("KENNER",C165)),ISNUMBER(SEARCH("HENRY HOWARD",C165)),ISNUMBER(SEARCH("MISS CLAUDIA",C165))),"Personal Travel - New Orleans",IF(AND(YEAR(B165)=2025,MONTH(B165)=4,OR(ISNUMBER(SEARCH("EXCHANGE RATE",C165)),ISNUMBER(SEARCH("EXCHG RTE",C165)))),"Personal Travel - Italy",IFERROR(INDEX('Category Rules'!$B$2:$B$358,MATCH(TRUE,ISNUMBER(SEARCH('Category Rules'!$A$2:$A$358,C165)),0)),""))))))))</f>
        <v>Uber Eats</v>
      </c>
    </row>
    <row r="166" spans="1:7" x14ac:dyDescent="0.25">
      <c r="A166" t="s">
        <v>6</v>
      </c>
      <c r="B166" s="1">
        <v>45999</v>
      </c>
      <c r="C166" t="s">
        <v>156</v>
      </c>
      <c r="D166">
        <v>-1100</v>
      </c>
      <c r="E166" t="s">
        <v>73</v>
      </c>
      <c r="F166">
        <v>7244.16</v>
      </c>
      <c r="G166" t="str" cm="1">
        <f t="array" ref="G166">IF(AND(ISNUMBER(SEARCH("UBER",C166)),ISNUMBER(SEARCH("EATS",C166))),"Uber Eats",IF(LEFT(C166,6)="CHECK ","Checks Paid",IF(OR(E166="BILLPAY",ISNUMBER(SEARCH("FRANCHISE TAX",C166)),ISNUMBER(SEARCH("NEXTLINK",C166))),"Personal - House Bills",IF(AND(ISNUMBER(SEARCH("PAYMENT FROM",C166)),ISNUMBER(SEARCH("JOE SAUNDERS",C166))),"Zelle from Joe Saunders",IF(AND(ISNUMBER(SEARCH("PAYMENT TO",C166)),ISNUMBER(SEARCH("JOE SAUNDERS",C166))),"Zelle to Joe Saunders",IF(OR(ISNUMBER(SEARCH("NEW ORLEANS",C166)),ISNUMBER(SEARCH("KENNER",C166)),ISNUMBER(SEARCH("HENRY HOWARD",C166)),ISNUMBER(SEARCH("MISS CLAUDIA",C166))),"Personal Travel - New Orleans",IF(AND(YEAR(B166)=2025,MONTH(B166)=4,OR(ISNUMBER(SEARCH("EXCHANGE RATE",C166)),ISNUMBER(SEARCH("EXCHG RTE",C166)))),"Personal Travel - Italy",IFERROR(INDEX('Category Rules'!$B$2:$B$358,MATCH(TRUE,ISNUMBER(SEARCH('Category Rules'!$A$2:$A$358,C166)),0)),""))))))))</f>
        <v>Transfer to Ava</v>
      </c>
    </row>
    <row r="167" spans="1:7" x14ac:dyDescent="0.25">
      <c r="A167" t="s">
        <v>6</v>
      </c>
      <c r="B167" s="1">
        <v>45999</v>
      </c>
      <c r="C167" t="s">
        <v>157</v>
      </c>
      <c r="D167">
        <v>-13.99</v>
      </c>
      <c r="E167" t="s">
        <v>10</v>
      </c>
      <c r="F167">
        <v>8344.16</v>
      </c>
      <c r="G167" t="str" cm="1">
        <f t="array" ref="G167">IF(AND(ISNUMBER(SEARCH("UBER",C167)),ISNUMBER(SEARCH("EATS",C167))),"Uber Eats",IF(LEFT(C167,6)="CHECK ","Checks Paid",IF(OR(E167="BILLPAY",ISNUMBER(SEARCH("FRANCHISE TAX",C167)),ISNUMBER(SEARCH("NEXTLINK",C167))),"Personal - House Bills",IF(AND(ISNUMBER(SEARCH("PAYMENT FROM",C167)),ISNUMBER(SEARCH("JOE SAUNDERS",C167))),"Zelle from Joe Saunders",IF(AND(ISNUMBER(SEARCH("PAYMENT TO",C167)),ISNUMBER(SEARCH("JOE SAUNDERS",C167))),"Zelle to Joe Saunders",IF(OR(ISNUMBER(SEARCH("NEW ORLEANS",C167)),ISNUMBER(SEARCH("KENNER",C167)),ISNUMBER(SEARCH("HENRY HOWARD",C167)),ISNUMBER(SEARCH("MISS CLAUDIA",C167))),"Personal Travel - New Orleans",IF(AND(YEAR(B167)=2025,MONTH(B167)=4,OR(ISNUMBER(SEARCH("EXCHANGE RATE",C167)),ISNUMBER(SEARCH("EXCHG RTE",C167)))),"Personal Travel - Italy",IFERROR(INDEX('Category Rules'!$B$2:$B$358,MATCH(TRUE,ISNUMBER(SEARCH('Category Rules'!$A$2:$A$358,C167)),0)),""))))))))</f>
        <v>Amazon</v>
      </c>
    </row>
    <row r="168" spans="1:7" x14ac:dyDescent="0.25">
      <c r="A168" t="s">
        <v>6</v>
      </c>
      <c r="B168" s="1">
        <v>45999</v>
      </c>
      <c r="C168" t="s">
        <v>158</v>
      </c>
      <c r="D168">
        <v>-70.72</v>
      </c>
      <c r="E168" t="s">
        <v>10</v>
      </c>
      <c r="F168">
        <v>8358.15</v>
      </c>
      <c r="G168" t="str" cm="1">
        <f t="array" ref="G168">IF(AND(ISNUMBER(SEARCH("UBER",C168)),ISNUMBER(SEARCH("EATS",C168))),"Uber Eats",IF(LEFT(C168,6)="CHECK ","Checks Paid",IF(OR(E168="BILLPAY",ISNUMBER(SEARCH("FRANCHISE TAX",C168)),ISNUMBER(SEARCH("NEXTLINK",C168))),"Personal - House Bills",IF(AND(ISNUMBER(SEARCH("PAYMENT FROM",C168)),ISNUMBER(SEARCH("JOE SAUNDERS",C168))),"Zelle from Joe Saunders",IF(AND(ISNUMBER(SEARCH("PAYMENT TO",C168)),ISNUMBER(SEARCH("JOE SAUNDERS",C168))),"Zelle to Joe Saunders",IF(OR(ISNUMBER(SEARCH("NEW ORLEANS",C168)),ISNUMBER(SEARCH("KENNER",C168)),ISNUMBER(SEARCH("HENRY HOWARD",C168)),ISNUMBER(SEARCH("MISS CLAUDIA",C168))),"Personal Travel - New Orleans",IF(AND(YEAR(B168)=2025,MONTH(B168)=4,OR(ISNUMBER(SEARCH("EXCHANGE RATE",C168)),ISNUMBER(SEARCH("EXCHG RTE",C168)))),"Personal Travel - Italy",IFERROR(INDEX('Category Rules'!$B$2:$B$358,MATCH(TRUE,ISNUMBER(SEARCH('Category Rules'!$A$2:$A$358,C168)),0)),""))))))))</f>
        <v>Personal - Entertainment</v>
      </c>
    </row>
    <row r="169" spans="1:7" x14ac:dyDescent="0.25">
      <c r="A169" t="s">
        <v>6</v>
      </c>
      <c r="B169" s="1">
        <v>45999</v>
      </c>
      <c r="C169" t="s">
        <v>159</v>
      </c>
      <c r="D169">
        <v>-33.76</v>
      </c>
      <c r="E169" t="s">
        <v>10</v>
      </c>
      <c r="F169">
        <v>8428.8700000000008</v>
      </c>
      <c r="G169" t="str" cm="1">
        <f t="array" ref="G169">IF(AND(ISNUMBER(SEARCH("UBER",C169)),ISNUMBER(SEARCH("EATS",C169))),"Uber Eats",IF(LEFT(C169,6)="CHECK ","Checks Paid",IF(OR(E169="BILLPAY",ISNUMBER(SEARCH("FRANCHISE TAX",C169)),ISNUMBER(SEARCH("NEXTLINK",C169))),"Personal - House Bills",IF(AND(ISNUMBER(SEARCH("PAYMENT FROM",C169)),ISNUMBER(SEARCH("JOE SAUNDERS",C169))),"Zelle from Joe Saunders",IF(AND(ISNUMBER(SEARCH("PAYMENT TO",C169)),ISNUMBER(SEARCH("JOE SAUNDERS",C169))),"Zelle to Joe Saunders",IF(OR(ISNUMBER(SEARCH("NEW ORLEANS",C169)),ISNUMBER(SEARCH("KENNER",C169)),ISNUMBER(SEARCH("HENRY HOWARD",C169)),ISNUMBER(SEARCH("MISS CLAUDIA",C169))),"Personal Travel - New Orleans",IF(AND(YEAR(B169)=2025,MONTH(B169)=4,OR(ISNUMBER(SEARCH("EXCHANGE RATE",C169)),ISNUMBER(SEARCH("EXCHG RTE",C169)))),"Personal Travel - Italy",IFERROR(INDEX('Category Rules'!$B$2:$B$358,MATCH(TRUE,ISNUMBER(SEARCH('Category Rules'!$A$2:$A$358,C169)),0)),""))))))))</f>
        <v>Uber Eats</v>
      </c>
    </row>
    <row r="170" spans="1:7" x14ac:dyDescent="0.25">
      <c r="A170" t="s">
        <v>6</v>
      </c>
      <c r="B170" s="1">
        <v>45999</v>
      </c>
      <c r="C170" t="s">
        <v>160</v>
      </c>
      <c r="D170">
        <v>-500</v>
      </c>
      <c r="E170" t="s">
        <v>26</v>
      </c>
      <c r="F170">
        <v>8462.6299999999992</v>
      </c>
      <c r="G170" t="str" cm="1">
        <f t="array" ref="G170">IF(AND(ISNUMBER(SEARCH("UBER",C170)),ISNUMBER(SEARCH("EATS",C170))),"Uber Eats",IF(LEFT(C170,6)="CHECK ","Checks Paid",IF(OR(E170="BILLPAY",ISNUMBER(SEARCH("FRANCHISE TAX",C170)),ISNUMBER(SEARCH("NEXTLINK",C170))),"Personal - House Bills",IF(AND(ISNUMBER(SEARCH("PAYMENT FROM",C170)),ISNUMBER(SEARCH("JOE SAUNDERS",C170))),"Zelle from Joe Saunders",IF(AND(ISNUMBER(SEARCH("PAYMENT TO",C170)),ISNUMBER(SEARCH("JOE SAUNDERS",C170))),"Zelle to Joe Saunders",IF(OR(ISNUMBER(SEARCH("NEW ORLEANS",C170)),ISNUMBER(SEARCH("KENNER",C170)),ISNUMBER(SEARCH("HENRY HOWARD",C170)),ISNUMBER(SEARCH("MISS CLAUDIA",C170))),"Personal Travel - New Orleans",IF(AND(YEAR(B170)=2025,MONTH(B170)=4,OR(ISNUMBER(SEARCH("EXCHANGE RATE",C170)),ISNUMBER(SEARCH("EXCHG RTE",C170)))),"Personal Travel - Italy",IFERROR(INDEX('Category Rules'!$B$2:$B$358,MATCH(TRUE,ISNUMBER(SEARCH('Category Rules'!$A$2:$A$358,C170)),0)),""))))))))</f>
        <v>Withdrawal</v>
      </c>
    </row>
    <row r="171" spans="1:7" x14ac:dyDescent="0.25">
      <c r="A171" t="s">
        <v>6</v>
      </c>
      <c r="B171" s="1">
        <v>45999</v>
      </c>
      <c r="C171" t="s">
        <v>161</v>
      </c>
      <c r="D171">
        <v>-500</v>
      </c>
      <c r="E171" t="s">
        <v>26</v>
      </c>
      <c r="F171">
        <v>8962.6299999999992</v>
      </c>
      <c r="G171" t="str" cm="1">
        <f t="array" ref="G171">IF(AND(ISNUMBER(SEARCH("UBER",C171)),ISNUMBER(SEARCH("EATS",C171))),"Uber Eats",IF(LEFT(C171,6)="CHECK ","Checks Paid",IF(OR(E171="BILLPAY",ISNUMBER(SEARCH("FRANCHISE TAX",C171)),ISNUMBER(SEARCH("NEXTLINK",C171))),"Personal - House Bills",IF(AND(ISNUMBER(SEARCH("PAYMENT FROM",C171)),ISNUMBER(SEARCH("JOE SAUNDERS",C171))),"Zelle from Joe Saunders",IF(AND(ISNUMBER(SEARCH("PAYMENT TO",C171)),ISNUMBER(SEARCH("JOE SAUNDERS",C171))),"Zelle to Joe Saunders",IF(OR(ISNUMBER(SEARCH("NEW ORLEANS",C171)),ISNUMBER(SEARCH("KENNER",C171)),ISNUMBER(SEARCH("HENRY HOWARD",C171)),ISNUMBER(SEARCH("MISS CLAUDIA",C171))),"Personal Travel - New Orleans",IF(AND(YEAR(B171)=2025,MONTH(B171)=4,OR(ISNUMBER(SEARCH("EXCHANGE RATE",C171)),ISNUMBER(SEARCH("EXCHG RTE",C171)))),"Personal Travel - Italy",IFERROR(INDEX('Category Rules'!$B$2:$B$358,MATCH(TRUE,ISNUMBER(SEARCH('Category Rules'!$A$2:$A$358,C171)),0)),""))))))))</f>
        <v>Withdrawal</v>
      </c>
    </row>
    <row r="172" spans="1:7" x14ac:dyDescent="0.25">
      <c r="A172" t="s">
        <v>6</v>
      </c>
      <c r="B172" s="1">
        <v>45999</v>
      </c>
      <c r="C172" t="s">
        <v>162</v>
      </c>
      <c r="D172">
        <v>-20</v>
      </c>
      <c r="E172" t="s">
        <v>10</v>
      </c>
      <c r="F172">
        <v>9462.6299999999992</v>
      </c>
      <c r="G172" t="str" cm="1">
        <f t="array" ref="G172">IF(AND(ISNUMBER(SEARCH("UBER",C172)),ISNUMBER(SEARCH("EATS",C172))),"Uber Eats",IF(LEFT(C172,6)="CHECK ","Checks Paid",IF(OR(E172="BILLPAY",ISNUMBER(SEARCH("FRANCHISE TAX",C172)),ISNUMBER(SEARCH("NEXTLINK",C172))),"Personal - House Bills",IF(AND(ISNUMBER(SEARCH("PAYMENT FROM",C172)),ISNUMBER(SEARCH("JOE SAUNDERS",C172))),"Zelle from Joe Saunders",IF(AND(ISNUMBER(SEARCH("PAYMENT TO",C172)),ISNUMBER(SEARCH("JOE SAUNDERS",C172))),"Zelle to Joe Saunders",IF(OR(ISNUMBER(SEARCH("NEW ORLEANS",C172)),ISNUMBER(SEARCH("KENNER",C172)),ISNUMBER(SEARCH("HENRY HOWARD",C172)),ISNUMBER(SEARCH("MISS CLAUDIA",C172))),"Personal Travel - New Orleans",IF(AND(YEAR(B172)=2025,MONTH(B172)=4,OR(ISNUMBER(SEARCH("EXCHANGE RATE",C172)),ISNUMBER(SEARCH("EXCHG RTE",C172)))),"Personal Travel - Italy",IFERROR(INDEX('Category Rules'!$B$2:$B$358,MATCH(TRUE,ISNUMBER(SEARCH('Category Rules'!$A$2:$A$358,C172)),0)),""))))))))</f>
        <v>Amazon</v>
      </c>
    </row>
    <row r="173" spans="1:7" x14ac:dyDescent="0.25">
      <c r="A173" t="s">
        <v>6</v>
      </c>
      <c r="B173" s="1">
        <v>45999</v>
      </c>
      <c r="C173" t="s">
        <v>163</v>
      </c>
      <c r="D173">
        <v>-22.49</v>
      </c>
      <c r="E173" t="s">
        <v>10</v>
      </c>
      <c r="F173">
        <v>9482.6299999999992</v>
      </c>
      <c r="G173" t="str" cm="1">
        <f t="array" ref="G173">IF(AND(ISNUMBER(SEARCH("UBER",C173)),ISNUMBER(SEARCH("EATS",C173))),"Uber Eats",IF(LEFT(C173,6)="CHECK ","Checks Paid",IF(OR(E173="BILLPAY",ISNUMBER(SEARCH("FRANCHISE TAX",C173)),ISNUMBER(SEARCH("NEXTLINK",C173))),"Personal - House Bills",IF(AND(ISNUMBER(SEARCH("PAYMENT FROM",C173)),ISNUMBER(SEARCH("JOE SAUNDERS",C173))),"Zelle from Joe Saunders",IF(AND(ISNUMBER(SEARCH("PAYMENT TO",C173)),ISNUMBER(SEARCH("JOE SAUNDERS",C173))),"Zelle to Joe Saunders",IF(OR(ISNUMBER(SEARCH("NEW ORLEANS",C173)),ISNUMBER(SEARCH("KENNER",C173)),ISNUMBER(SEARCH("HENRY HOWARD",C173)),ISNUMBER(SEARCH("MISS CLAUDIA",C173))),"Personal Travel - New Orleans",IF(AND(YEAR(B173)=2025,MONTH(B173)=4,OR(ISNUMBER(SEARCH("EXCHANGE RATE",C173)),ISNUMBER(SEARCH("EXCHG RTE",C173)))),"Personal Travel - Italy",IFERROR(INDEX('Category Rules'!$B$2:$B$358,MATCH(TRUE,ISNUMBER(SEARCH('Category Rules'!$A$2:$A$358,C173)),0)),""))))))))</f>
        <v>Amazon</v>
      </c>
    </row>
    <row r="174" spans="1:7" x14ac:dyDescent="0.25">
      <c r="A174" t="s">
        <v>6</v>
      </c>
      <c r="B174" s="1">
        <v>45999</v>
      </c>
      <c r="C174" t="s">
        <v>164</v>
      </c>
      <c r="D174">
        <v>-18.62</v>
      </c>
      <c r="E174" t="s">
        <v>10</v>
      </c>
      <c r="F174">
        <v>9505.1200000000008</v>
      </c>
      <c r="G174" t="str" cm="1">
        <f t="array" ref="G174">IF(AND(ISNUMBER(SEARCH("UBER",C174)),ISNUMBER(SEARCH("EATS",C174))),"Uber Eats",IF(LEFT(C174,6)="CHECK ","Checks Paid",IF(OR(E174="BILLPAY",ISNUMBER(SEARCH("FRANCHISE TAX",C174)),ISNUMBER(SEARCH("NEXTLINK",C174))),"Personal - House Bills",IF(AND(ISNUMBER(SEARCH("PAYMENT FROM",C174)),ISNUMBER(SEARCH("JOE SAUNDERS",C174))),"Zelle from Joe Saunders",IF(AND(ISNUMBER(SEARCH("PAYMENT TO",C174)),ISNUMBER(SEARCH("JOE SAUNDERS",C174))),"Zelle to Joe Saunders",IF(OR(ISNUMBER(SEARCH("NEW ORLEANS",C174)),ISNUMBER(SEARCH("KENNER",C174)),ISNUMBER(SEARCH("HENRY HOWARD",C174)),ISNUMBER(SEARCH("MISS CLAUDIA",C174))),"Personal Travel - New Orleans",IF(AND(YEAR(B174)=2025,MONTH(B174)=4,OR(ISNUMBER(SEARCH("EXCHANGE RATE",C174)),ISNUMBER(SEARCH("EXCHG RTE",C174)))),"Personal Travel - Italy",IFERROR(INDEX('Category Rules'!$B$2:$B$358,MATCH(TRUE,ISNUMBER(SEARCH('Category Rules'!$A$2:$A$358,C174)),0)),""))))))))</f>
        <v>Amazon</v>
      </c>
    </row>
    <row r="175" spans="1:7" x14ac:dyDescent="0.25">
      <c r="A175" t="s">
        <v>6</v>
      </c>
      <c r="B175" s="1">
        <v>45999</v>
      </c>
      <c r="C175" t="s">
        <v>165</v>
      </c>
      <c r="D175">
        <v>-13.99</v>
      </c>
      <c r="E175" t="s">
        <v>10</v>
      </c>
      <c r="F175">
        <v>9523.74</v>
      </c>
      <c r="G175" t="str" cm="1">
        <f t="array" ref="G175">IF(AND(ISNUMBER(SEARCH("UBER",C175)),ISNUMBER(SEARCH("EATS",C175))),"Uber Eats",IF(LEFT(C175,6)="CHECK ","Checks Paid",IF(OR(E175="BILLPAY",ISNUMBER(SEARCH("FRANCHISE TAX",C175)),ISNUMBER(SEARCH("NEXTLINK",C175))),"Personal - House Bills",IF(AND(ISNUMBER(SEARCH("PAYMENT FROM",C175)),ISNUMBER(SEARCH("JOE SAUNDERS",C175))),"Zelle from Joe Saunders",IF(AND(ISNUMBER(SEARCH("PAYMENT TO",C175)),ISNUMBER(SEARCH("JOE SAUNDERS",C175))),"Zelle to Joe Saunders",IF(OR(ISNUMBER(SEARCH("NEW ORLEANS",C175)),ISNUMBER(SEARCH("KENNER",C175)),ISNUMBER(SEARCH("HENRY HOWARD",C175)),ISNUMBER(SEARCH("MISS CLAUDIA",C175))),"Personal Travel - New Orleans",IF(AND(YEAR(B175)=2025,MONTH(B175)=4,OR(ISNUMBER(SEARCH("EXCHANGE RATE",C175)),ISNUMBER(SEARCH("EXCHG RTE",C175)))),"Personal Travel - Italy",IFERROR(INDEX('Category Rules'!$B$2:$B$358,MATCH(TRUE,ISNUMBER(SEARCH('Category Rules'!$A$2:$A$358,C175)),0)),""))))))))</f>
        <v>YouTube Premium</v>
      </c>
    </row>
    <row r="176" spans="1:7" x14ac:dyDescent="0.25">
      <c r="A176" t="s">
        <v>6</v>
      </c>
      <c r="B176" s="1">
        <v>45999</v>
      </c>
      <c r="C176" t="s">
        <v>166</v>
      </c>
      <c r="D176">
        <v>-14.48</v>
      </c>
      <c r="E176" t="s">
        <v>10</v>
      </c>
      <c r="F176">
        <v>9537.73</v>
      </c>
      <c r="G176" t="str" cm="1">
        <f t="array" ref="G176">IF(AND(ISNUMBER(SEARCH("UBER",C176)),ISNUMBER(SEARCH("EATS",C176))),"Uber Eats",IF(LEFT(C176,6)="CHECK ","Checks Paid",IF(OR(E176="BILLPAY",ISNUMBER(SEARCH("FRANCHISE TAX",C176)),ISNUMBER(SEARCH("NEXTLINK",C176))),"Personal - House Bills",IF(AND(ISNUMBER(SEARCH("PAYMENT FROM",C176)),ISNUMBER(SEARCH("JOE SAUNDERS",C176))),"Zelle from Joe Saunders",IF(AND(ISNUMBER(SEARCH("PAYMENT TO",C176)),ISNUMBER(SEARCH("JOE SAUNDERS",C176))),"Zelle to Joe Saunders",IF(OR(ISNUMBER(SEARCH("NEW ORLEANS",C176)),ISNUMBER(SEARCH("KENNER",C176)),ISNUMBER(SEARCH("HENRY HOWARD",C176)),ISNUMBER(SEARCH("MISS CLAUDIA",C176))),"Personal Travel - New Orleans",IF(AND(YEAR(B176)=2025,MONTH(B176)=4,OR(ISNUMBER(SEARCH("EXCHANGE RATE",C176)),ISNUMBER(SEARCH("EXCHG RTE",C176)))),"Personal Travel - Italy",IFERROR(INDEX('Category Rules'!$B$2:$B$358,MATCH(TRUE,ISNUMBER(SEARCH('Category Rules'!$A$2:$A$358,C176)),0)),""))))))))</f>
        <v>Personal Travel - Canada</v>
      </c>
    </row>
    <row r="177" spans="1:7" x14ac:dyDescent="0.25">
      <c r="A177" t="s">
        <v>6</v>
      </c>
      <c r="B177" s="1">
        <v>45999</v>
      </c>
      <c r="C177" t="s">
        <v>166</v>
      </c>
      <c r="D177">
        <v>-14.48</v>
      </c>
      <c r="E177" t="s">
        <v>10</v>
      </c>
      <c r="F177">
        <v>9552.2099999999991</v>
      </c>
      <c r="G177" t="str" cm="1">
        <f t="array" ref="G177">IF(AND(ISNUMBER(SEARCH("UBER",C177)),ISNUMBER(SEARCH("EATS",C177))),"Uber Eats",IF(LEFT(C177,6)="CHECK ","Checks Paid",IF(OR(E177="BILLPAY",ISNUMBER(SEARCH("FRANCHISE TAX",C177)),ISNUMBER(SEARCH("NEXTLINK",C177))),"Personal - House Bills",IF(AND(ISNUMBER(SEARCH("PAYMENT FROM",C177)),ISNUMBER(SEARCH("JOE SAUNDERS",C177))),"Zelle from Joe Saunders",IF(AND(ISNUMBER(SEARCH("PAYMENT TO",C177)),ISNUMBER(SEARCH("JOE SAUNDERS",C177))),"Zelle to Joe Saunders",IF(OR(ISNUMBER(SEARCH("NEW ORLEANS",C177)),ISNUMBER(SEARCH("KENNER",C177)),ISNUMBER(SEARCH("HENRY HOWARD",C177)),ISNUMBER(SEARCH("MISS CLAUDIA",C177))),"Personal Travel - New Orleans",IF(AND(YEAR(B177)=2025,MONTH(B177)=4,OR(ISNUMBER(SEARCH("EXCHANGE RATE",C177)),ISNUMBER(SEARCH("EXCHG RTE",C177)))),"Personal Travel - Italy",IFERROR(INDEX('Category Rules'!$B$2:$B$358,MATCH(TRUE,ISNUMBER(SEARCH('Category Rules'!$A$2:$A$358,C177)),0)),""))))))))</f>
        <v>Personal Travel - Canada</v>
      </c>
    </row>
    <row r="178" spans="1:7" x14ac:dyDescent="0.25">
      <c r="A178" t="s">
        <v>6</v>
      </c>
      <c r="B178" s="1">
        <v>45999</v>
      </c>
      <c r="C178" t="s">
        <v>166</v>
      </c>
      <c r="D178">
        <v>-14.48</v>
      </c>
      <c r="E178" t="s">
        <v>10</v>
      </c>
      <c r="F178">
        <v>9566.69</v>
      </c>
      <c r="G178" t="str" cm="1">
        <f t="array" ref="G178">IF(AND(ISNUMBER(SEARCH("UBER",C178)),ISNUMBER(SEARCH("EATS",C178))),"Uber Eats",IF(LEFT(C178,6)="CHECK ","Checks Paid",IF(OR(E178="BILLPAY",ISNUMBER(SEARCH("FRANCHISE TAX",C178)),ISNUMBER(SEARCH("NEXTLINK",C178))),"Personal - House Bills",IF(AND(ISNUMBER(SEARCH("PAYMENT FROM",C178)),ISNUMBER(SEARCH("JOE SAUNDERS",C178))),"Zelle from Joe Saunders",IF(AND(ISNUMBER(SEARCH("PAYMENT TO",C178)),ISNUMBER(SEARCH("JOE SAUNDERS",C178))),"Zelle to Joe Saunders",IF(OR(ISNUMBER(SEARCH("NEW ORLEANS",C178)),ISNUMBER(SEARCH("KENNER",C178)),ISNUMBER(SEARCH("HENRY HOWARD",C178)),ISNUMBER(SEARCH("MISS CLAUDIA",C178))),"Personal Travel - New Orleans",IF(AND(YEAR(B178)=2025,MONTH(B178)=4,OR(ISNUMBER(SEARCH("EXCHANGE RATE",C178)),ISNUMBER(SEARCH("EXCHG RTE",C178)))),"Personal Travel - Italy",IFERROR(INDEX('Category Rules'!$B$2:$B$358,MATCH(TRUE,ISNUMBER(SEARCH('Category Rules'!$A$2:$A$358,C178)),0)),""))))))))</f>
        <v>Personal Travel - Canada</v>
      </c>
    </row>
    <row r="179" spans="1:7" x14ac:dyDescent="0.25">
      <c r="A179" t="s">
        <v>6</v>
      </c>
      <c r="B179" s="1">
        <v>45999</v>
      </c>
      <c r="C179" t="s">
        <v>167</v>
      </c>
      <c r="D179">
        <v>-41.96</v>
      </c>
      <c r="E179" t="s">
        <v>10</v>
      </c>
      <c r="F179">
        <v>9581.17</v>
      </c>
      <c r="G179" t="str" cm="1">
        <f t="array" ref="G179">IF(AND(ISNUMBER(SEARCH("UBER",C179)),ISNUMBER(SEARCH("EATS",C179))),"Uber Eats",IF(LEFT(C179,6)="CHECK ","Checks Paid",IF(OR(E179="BILLPAY",ISNUMBER(SEARCH("FRANCHISE TAX",C179)),ISNUMBER(SEARCH("NEXTLINK",C179))),"Personal - House Bills",IF(AND(ISNUMBER(SEARCH("PAYMENT FROM",C179)),ISNUMBER(SEARCH("JOE SAUNDERS",C179))),"Zelle from Joe Saunders",IF(AND(ISNUMBER(SEARCH("PAYMENT TO",C179)),ISNUMBER(SEARCH("JOE SAUNDERS",C179))),"Zelle to Joe Saunders",IF(OR(ISNUMBER(SEARCH("NEW ORLEANS",C179)),ISNUMBER(SEARCH("KENNER",C179)),ISNUMBER(SEARCH("HENRY HOWARD",C179)),ISNUMBER(SEARCH("MISS CLAUDIA",C179))),"Personal Travel - New Orleans",IF(AND(YEAR(B179)=2025,MONTH(B179)=4,OR(ISNUMBER(SEARCH("EXCHANGE RATE",C179)),ISNUMBER(SEARCH("EXCHG RTE",C179)))),"Personal Travel - Italy",IFERROR(INDEX('Category Rules'!$B$2:$B$358,MATCH(TRUE,ISNUMBER(SEARCH('Category Rules'!$A$2:$A$358,C179)),0)),""))))))))</f>
        <v>Personal - Entertainment</v>
      </c>
    </row>
    <row r="180" spans="1:7" x14ac:dyDescent="0.25">
      <c r="A180" t="s">
        <v>6</v>
      </c>
      <c r="B180" s="1">
        <v>45999</v>
      </c>
      <c r="C180" t="s">
        <v>168</v>
      </c>
      <c r="D180">
        <v>-1136.9100000000001</v>
      </c>
      <c r="E180" t="s">
        <v>10</v>
      </c>
      <c r="F180">
        <v>9623.1299999999992</v>
      </c>
      <c r="G180" t="str" cm="1">
        <f t="array" ref="G180">IF(AND(ISNUMBER(SEARCH("UBER",C180)),ISNUMBER(SEARCH("EATS",C180))),"Uber Eats",IF(LEFT(C180,6)="CHECK ","Checks Paid",IF(OR(E180="BILLPAY",ISNUMBER(SEARCH("FRANCHISE TAX",C180)),ISNUMBER(SEARCH("NEXTLINK",C180))),"Personal - House Bills",IF(AND(ISNUMBER(SEARCH("PAYMENT FROM",C180)),ISNUMBER(SEARCH("JOE SAUNDERS",C180))),"Zelle from Joe Saunders",IF(AND(ISNUMBER(SEARCH("PAYMENT TO",C180)),ISNUMBER(SEARCH("JOE SAUNDERS",C180))),"Zelle to Joe Saunders",IF(OR(ISNUMBER(SEARCH("NEW ORLEANS",C180)),ISNUMBER(SEARCH("KENNER",C180)),ISNUMBER(SEARCH("HENRY HOWARD",C180)),ISNUMBER(SEARCH("MISS CLAUDIA",C180))),"Personal Travel - New Orleans",IF(AND(YEAR(B180)=2025,MONTH(B180)=4,OR(ISNUMBER(SEARCH("EXCHANGE RATE",C180)),ISNUMBER(SEARCH("EXCHG RTE",C180)))),"Personal Travel - Italy",IFERROR(INDEX('Category Rules'!$B$2:$B$358,MATCH(TRUE,ISNUMBER(SEARCH('Category Rules'!$A$2:$A$358,C180)),0)),""))))))))</f>
        <v>Personal - Health</v>
      </c>
    </row>
    <row r="181" spans="1:7" x14ac:dyDescent="0.25">
      <c r="A181" t="s">
        <v>6</v>
      </c>
      <c r="B181" s="1">
        <v>45999</v>
      </c>
      <c r="C181" t="s">
        <v>169</v>
      </c>
      <c r="D181">
        <v>-29.95</v>
      </c>
      <c r="E181" t="s">
        <v>10</v>
      </c>
      <c r="F181">
        <v>10760.04</v>
      </c>
      <c r="G181" t="str" cm="1">
        <f t="array" ref="G181">IF(AND(ISNUMBER(SEARCH("UBER",C181)),ISNUMBER(SEARCH("EATS",C181))),"Uber Eats",IF(LEFT(C181,6)="CHECK ","Checks Paid",IF(OR(E181="BILLPAY",ISNUMBER(SEARCH("FRANCHISE TAX",C181)),ISNUMBER(SEARCH("NEXTLINK",C181))),"Personal - House Bills",IF(AND(ISNUMBER(SEARCH("PAYMENT FROM",C181)),ISNUMBER(SEARCH("JOE SAUNDERS",C181))),"Zelle from Joe Saunders",IF(AND(ISNUMBER(SEARCH("PAYMENT TO",C181)),ISNUMBER(SEARCH("JOE SAUNDERS",C181))),"Zelle to Joe Saunders",IF(OR(ISNUMBER(SEARCH("NEW ORLEANS",C181)),ISNUMBER(SEARCH("KENNER",C181)),ISNUMBER(SEARCH("HENRY HOWARD",C181)),ISNUMBER(SEARCH("MISS CLAUDIA",C181))),"Personal Travel - New Orleans",IF(AND(YEAR(B181)=2025,MONTH(B181)=4,OR(ISNUMBER(SEARCH("EXCHANGE RATE",C181)),ISNUMBER(SEARCH("EXCHG RTE",C181)))),"Personal Travel - Italy",IFERROR(INDEX('Category Rules'!$B$2:$B$358,MATCH(TRUE,ISNUMBER(SEARCH('Category Rules'!$A$2:$A$358,C181)),0)),""))))))))</f>
        <v>Personal - Subscription</v>
      </c>
    </row>
    <row r="182" spans="1:7" x14ac:dyDescent="0.25">
      <c r="A182" t="s">
        <v>6</v>
      </c>
      <c r="B182" s="1">
        <v>45999</v>
      </c>
      <c r="C182" t="s">
        <v>170</v>
      </c>
      <c r="D182">
        <v>-22</v>
      </c>
      <c r="E182" t="s">
        <v>10</v>
      </c>
      <c r="F182">
        <v>10789.99</v>
      </c>
      <c r="G182" t="str" cm="1">
        <f t="array" ref="G182">IF(AND(ISNUMBER(SEARCH("UBER",C182)),ISNUMBER(SEARCH("EATS",C182))),"Uber Eats",IF(LEFT(C182,6)="CHECK ","Checks Paid",IF(OR(E182="BILLPAY",ISNUMBER(SEARCH("FRANCHISE TAX",C182)),ISNUMBER(SEARCH("NEXTLINK",C182))),"Personal - House Bills",IF(AND(ISNUMBER(SEARCH("PAYMENT FROM",C182)),ISNUMBER(SEARCH("JOE SAUNDERS",C182))),"Zelle from Joe Saunders",IF(AND(ISNUMBER(SEARCH("PAYMENT TO",C182)),ISNUMBER(SEARCH("JOE SAUNDERS",C182))),"Zelle to Joe Saunders",IF(OR(ISNUMBER(SEARCH("NEW ORLEANS",C182)),ISNUMBER(SEARCH("KENNER",C182)),ISNUMBER(SEARCH("HENRY HOWARD",C182)),ISNUMBER(SEARCH("MISS CLAUDIA",C182))),"Personal Travel - New Orleans",IF(AND(YEAR(B182)=2025,MONTH(B182)=4,OR(ISNUMBER(SEARCH("EXCHANGE RATE",C182)),ISNUMBER(SEARCH("EXCHG RTE",C182)))),"Personal Travel - Italy",IFERROR(INDEX('Category Rules'!$B$2:$B$358,MATCH(TRUE,ISNUMBER(SEARCH('Category Rules'!$A$2:$A$358,C182)),0)),""))))))))</f>
        <v>Personal - Subscription</v>
      </c>
    </row>
    <row r="183" spans="1:7" x14ac:dyDescent="0.25">
      <c r="A183" t="s">
        <v>6</v>
      </c>
      <c r="B183" s="1">
        <v>45999</v>
      </c>
      <c r="C183" t="s">
        <v>171</v>
      </c>
      <c r="D183">
        <v>-73.400000000000006</v>
      </c>
      <c r="E183" t="s">
        <v>10</v>
      </c>
      <c r="F183">
        <v>10811.99</v>
      </c>
      <c r="G183" t="str" cm="1">
        <f t="array" ref="G183">IF(AND(ISNUMBER(SEARCH("UBER",C183)),ISNUMBER(SEARCH("EATS",C183))),"Uber Eats",IF(LEFT(C183,6)="CHECK ","Checks Paid",IF(OR(E183="BILLPAY",ISNUMBER(SEARCH("FRANCHISE TAX",C183)),ISNUMBER(SEARCH("NEXTLINK",C183))),"Personal - House Bills",IF(AND(ISNUMBER(SEARCH("PAYMENT FROM",C183)),ISNUMBER(SEARCH("JOE SAUNDERS",C183))),"Zelle from Joe Saunders",IF(AND(ISNUMBER(SEARCH("PAYMENT TO",C183)),ISNUMBER(SEARCH("JOE SAUNDERS",C183))),"Zelle to Joe Saunders",IF(OR(ISNUMBER(SEARCH("NEW ORLEANS",C183)),ISNUMBER(SEARCH("KENNER",C183)),ISNUMBER(SEARCH("HENRY HOWARD",C183)),ISNUMBER(SEARCH("MISS CLAUDIA",C183))),"Personal Travel - New Orleans",IF(AND(YEAR(B183)=2025,MONTH(B183)=4,OR(ISNUMBER(SEARCH("EXCHANGE RATE",C183)),ISNUMBER(SEARCH("EXCHG RTE",C183)))),"Personal Travel - Italy",IFERROR(INDEX('Category Rules'!$B$2:$B$358,MATCH(TRUE,ISNUMBER(SEARCH('Category Rules'!$A$2:$A$358,C183)),0)),""))))))))</f>
        <v>Amazon</v>
      </c>
    </row>
    <row r="184" spans="1:7" x14ac:dyDescent="0.25">
      <c r="A184" t="s">
        <v>6</v>
      </c>
      <c r="B184" s="1">
        <v>45999</v>
      </c>
      <c r="C184" t="s">
        <v>172</v>
      </c>
      <c r="D184">
        <v>-189.33</v>
      </c>
      <c r="E184" t="s">
        <v>10</v>
      </c>
      <c r="F184">
        <v>10885.39</v>
      </c>
      <c r="G184" t="str" cm="1">
        <f t="array" ref="G184">IF(AND(ISNUMBER(SEARCH("UBER",C184)),ISNUMBER(SEARCH("EATS",C184))),"Uber Eats",IF(LEFT(C184,6)="CHECK ","Checks Paid",IF(OR(E184="BILLPAY",ISNUMBER(SEARCH("FRANCHISE TAX",C184)),ISNUMBER(SEARCH("NEXTLINK",C184))),"Personal - House Bills",IF(AND(ISNUMBER(SEARCH("PAYMENT FROM",C184)),ISNUMBER(SEARCH("JOE SAUNDERS",C184))),"Zelle from Joe Saunders",IF(AND(ISNUMBER(SEARCH("PAYMENT TO",C184)),ISNUMBER(SEARCH("JOE SAUNDERS",C184))),"Zelle to Joe Saunders",IF(OR(ISNUMBER(SEARCH("NEW ORLEANS",C184)),ISNUMBER(SEARCH("KENNER",C184)),ISNUMBER(SEARCH("HENRY HOWARD",C184)),ISNUMBER(SEARCH("MISS CLAUDIA",C184))),"Personal Travel - New Orleans",IF(AND(YEAR(B184)=2025,MONTH(B184)=4,OR(ISNUMBER(SEARCH("EXCHANGE RATE",C184)),ISNUMBER(SEARCH("EXCHG RTE",C184)))),"Personal Travel - Italy",IFERROR(INDEX('Category Rules'!$B$2:$B$358,MATCH(TRUE,ISNUMBER(SEARCH('Category Rules'!$A$2:$A$358,C184)),0)),""))))))))</f>
        <v>Amazon</v>
      </c>
    </row>
    <row r="185" spans="1:7" x14ac:dyDescent="0.25">
      <c r="A185" t="s">
        <v>6</v>
      </c>
      <c r="B185" s="1">
        <v>45999</v>
      </c>
      <c r="C185" t="s">
        <v>173</v>
      </c>
      <c r="D185">
        <v>-107.25</v>
      </c>
      <c r="E185" t="s">
        <v>10</v>
      </c>
      <c r="F185">
        <v>11074.72</v>
      </c>
      <c r="G185" t="str" cm="1">
        <f t="array" ref="G185">IF(AND(ISNUMBER(SEARCH("UBER",C185)),ISNUMBER(SEARCH("EATS",C185))),"Uber Eats",IF(LEFT(C185,6)="CHECK ","Checks Paid",IF(OR(E185="BILLPAY",ISNUMBER(SEARCH("FRANCHISE TAX",C185)),ISNUMBER(SEARCH("NEXTLINK",C185))),"Personal - House Bills",IF(AND(ISNUMBER(SEARCH("PAYMENT FROM",C185)),ISNUMBER(SEARCH("JOE SAUNDERS",C185))),"Zelle from Joe Saunders",IF(AND(ISNUMBER(SEARCH("PAYMENT TO",C185)),ISNUMBER(SEARCH("JOE SAUNDERS",C185))),"Zelle to Joe Saunders",IF(OR(ISNUMBER(SEARCH("NEW ORLEANS",C185)),ISNUMBER(SEARCH("KENNER",C185)),ISNUMBER(SEARCH("HENRY HOWARD",C185)),ISNUMBER(SEARCH("MISS CLAUDIA",C185))),"Personal Travel - New Orleans",IF(AND(YEAR(B185)=2025,MONTH(B185)=4,OR(ISNUMBER(SEARCH("EXCHANGE RATE",C185)),ISNUMBER(SEARCH("EXCHG RTE",C185)))),"Personal Travel - Italy",IFERROR(INDEX('Category Rules'!$B$2:$B$358,MATCH(TRUE,ISNUMBER(SEARCH('Category Rules'!$A$2:$A$358,C185)),0)),""))))))))</f>
        <v>AT&amp;T</v>
      </c>
    </row>
    <row r="186" spans="1:7" x14ac:dyDescent="0.25">
      <c r="A186" t="s">
        <v>44</v>
      </c>
      <c r="B186" s="1">
        <v>45999</v>
      </c>
      <c r="C186" t="s">
        <v>174</v>
      </c>
      <c r="D186">
        <v>3000</v>
      </c>
      <c r="E186" t="s">
        <v>73</v>
      </c>
      <c r="F186">
        <v>11181.97</v>
      </c>
      <c r="G186" t="str" cm="1">
        <f t="array" ref="G186">IF(AND(ISNUMBER(SEARCH("UBER",C186)),ISNUMBER(SEARCH("EATS",C186))),"Uber Eats",IF(LEFT(C186,6)="CHECK ","Checks Paid",IF(OR(E186="BILLPAY",ISNUMBER(SEARCH("FRANCHISE TAX",C186)),ISNUMBER(SEARCH("NEXTLINK",C186))),"Personal - House Bills",IF(AND(ISNUMBER(SEARCH("PAYMENT FROM",C186)),ISNUMBER(SEARCH("JOE SAUNDERS",C186))),"Zelle from Joe Saunders",IF(AND(ISNUMBER(SEARCH("PAYMENT TO",C186)),ISNUMBER(SEARCH("JOE SAUNDERS",C186))),"Zelle to Joe Saunders",IF(OR(ISNUMBER(SEARCH("NEW ORLEANS",C186)),ISNUMBER(SEARCH("KENNER",C186)),ISNUMBER(SEARCH("HENRY HOWARD",C186)),ISNUMBER(SEARCH("MISS CLAUDIA",C186))),"Personal Travel - New Orleans",IF(AND(YEAR(B186)=2025,MONTH(B186)=4,OR(ISNUMBER(SEARCH("EXCHANGE RATE",C186)),ISNUMBER(SEARCH("EXCHG RTE",C186)))),"Personal Travel - Italy",IFERROR(INDEX('Category Rules'!$B$2:$B$358,MATCH(TRUE,ISNUMBER(SEARCH('Category Rules'!$A$2:$A$358,C186)),0)),""))))))))</f>
        <v>Transfer from DWG Capital Group</v>
      </c>
    </row>
    <row r="187" spans="1:7" x14ac:dyDescent="0.25">
      <c r="A187" t="s">
        <v>44</v>
      </c>
      <c r="B187" s="1">
        <v>45999</v>
      </c>
      <c r="C187" t="s">
        <v>175</v>
      </c>
      <c r="D187">
        <v>5000</v>
      </c>
      <c r="E187" t="s">
        <v>73</v>
      </c>
      <c r="F187">
        <v>8181.97</v>
      </c>
      <c r="G187" t="str" cm="1">
        <f t="array" ref="G187">IF(AND(ISNUMBER(SEARCH("UBER",C187)),ISNUMBER(SEARCH("EATS",C187))),"Uber Eats",IF(LEFT(C187,6)="CHECK ","Checks Paid",IF(OR(E187="BILLPAY",ISNUMBER(SEARCH("FRANCHISE TAX",C187)),ISNUMBER(SEARCH("NEXTLINK",C187))),"Personal - House Bills",IF(AND(ISNUMBER(SEARCH("PAYMENT FROM",C187)),ISNUMBER(SEARCH("JOE SAUNDERS",C187))),"Zelle from Joe Saunders",IF(AND(ISNUMBER(SEARCH("PAYMENT TO",C187)),ISNUMBER(SEARCH("JOE SAUNDERS",C187))),"Zelle to Joe Saunders",IF(OR(ISNUMBER(SEARCH("NEW ORLEANS",C187)),ISNUMBER(SEARCH("KENNER",C187)),ISNUMBER(SEARCH("HENRY HOWARD",C187)),ISNUMBER(SEARCH("MISS CLAUDIA",C187))),"Personal Travel - New Orleans",IF(AND(YEAR(B187)=2025,MONTH(B187)=4,OR(ISNUMBER(SEARCH("EXCHANGE RATE",C187)),ISNUMBER(SEARCH("EXCHG RTE",C187)))),"Personal Travel - Italy",IFERROR(INDEX('Category Rules'!$B$2:$B$358,MATCH(TRUE,ISNUMBER(SEARCH('Category Rules'!$A$2:$A$358,C187)),0)),""))))))))</f>
        <v>Transfer from DWG Capital Group</v>
      </c>
    </row>
    <row r="188" spans="1:7" x14ac:dyDescent="0.25">
      <c r="A188" t="s">
        <v>6</v>
      </c>
      <c r="B188" s="1">
        <v>45996</v>
      </c>
      <c r="C188" t="s">
        <v>176</v>
      </c>
      <c r="D188">
        <v>-14.24</v>
      </c>
      <c r="E188" t="s">
        <v>10</v>
      </c>
      <c r="F188">
        <v>3181.97</v>
      </c>
      <c r="G188" t="str" cm="1">
        <f t="array" ref="G188">IF(AND(ISNUMBER(SEARCH("UBER",C188)),ISNUMBER(SEARCH("EATS",C188))),"Uber Eats",IF(LEFT(C188,6)="CHECK ","Checks Paid",IF(OR(E188="BILLPAY",ISNUMBER(SEARCH("FRANCHISE TAX",C188)),ISNUMBER(SEARCH("NEXTLINK",C188))),"Personal - House Bills",IF(AND(ISNUMBER(SEARCH("PAYMENT FROM",C188)),ISNUMBER(SEARCH("JOE SAUNDERS",C188))),"Zelle from Joe Saunders",IF(AND(ISNUMBER(SEARCH("PAYMENT TO",C188)),ISNUMBER(SEARCH("JOE SAUNDERS",C188))),"Zelle to Joe Saunders",IF(OR(ISNUMBER(SEARCH("NEW ORLEANS",C188)),ISNUMBER(SEARCH("KENNER",C188)),ISNUMBER(SEARCH("HENRY HOWARD",C188)),ISNUMBER(SEARCH("MISS CLAUDIA",C188))),"Personal Travel - New Orleans",IF(AND(YEAR(B188)=2025,MONTH(B188)=4,OR(ISNUMBER(SEARCH("EXCHANGE RATE",C188)),ISNUMBER(SEARCH("EXCHG RTE",C188)))),"Personal Travel - Italy",IFERROR(INDEX('Category Rules'!$B$2:$B$358,MATCH(TRUE,ISNUMBER(SEARCH('Category Rules'!$A$2:$A$358,C188)),0)),""))))))))</f>
        <v>Amazon</v>
      </c>
    </row>
    <row r="189" spans="1:7" x14ac:dyDescent="0.25">
      <c r="A189" t="s">
        <v>6</v>
      </c>
      <c r="B189" s="1">
        <v>45996</v>
      </c>
      <c r="C189" t="s">
        <v>177</v>
      </c>
      <c r="D189">
        <v>-143.19</v>
      </c>
      <c r="E189" t="s">
        <v>10</v>
      </c>
      <c r="F189">
        <v>3196.21</v>
      </c>
      <c r="G189" t="str" cm="1">
        <f t="array" ref="G189">IF(AND(ISNUMBER(SEARCH("UBER",C189)),ISNUMBER(SEARCH("EATS",C189))),"Uber Eats",IF(LEFT(C189,6)="CHECK ","Checks Paid",IF(OR(E189="BILLPAY",ISNUMBER(SEARCH("FRANCHISE TAX",C189)),ISNUMBER(SEARCH("NEXTLINK",C189))),"Personal - House Bills",IF(AND(ISNUMBER(SEARCH("PAYMENT FROM",C189)),ISNUMBER(SEARCH("JOE SAUNDERS",C189))),"Zelle from Joe Saunders",IF(AND(ISNUMBER(SEARCH("PAYMENT TO",C189)),ISNUMBER(SEARCH("JOE SAUNDERS",C189))),"Zelle to Joe Saunders",IF(OR(ISNUMBER(SEARCH("NEW ORLEANS",C189)),ISNUMBER(SEARCH("KENNER",C189)),ISNUMBER(SEARCH("HENRY HOWARD",C189)),ISNUMBER(SEARCH("MISS CLAUDIA",C189))),"Personal Travel - New Orleans",IF(AND(YEAR(B189)=2025,MONTH(B189)=4,OR(ISNUMBER(SEARCH("EXCHANGE RATE",C189)),ISNUMBER(SEARCH("EXCHG RTE",C189)))),"Personal Travel - Italy",IFERROR(INDEX('Category Rules'!$B$2:$B$358,MATCH(TRUE,ISNUMBER(SEARCH('Category Rules'!$A$2:$A$358,C189)),0)),""))))))))</f>
        <v>Amazon</v>
      </c>
    </row>
    <row r="190" spans="1:7" x14ac:dyDescent="0.25">
      <c r="A190" t="s">
        <v>6</v>
      </c>
      <c r="B190" s="1">
        <v>45996</v>
      </c>
      <c r="C190" t="s">
        <v>178</v>
      </c>
      <c r="D190">
        <v>-30.07</v>
      </c>
      <c r="E190" t="s">
        <v>10</v>
      </c>
      <c r="F190">
        <v>3339.4</v>
      </c>
      <c r="G190" t="str" cm="1">
        <f t="array" ref="G190">IF(AND(ISNUMBER(SEARCH("UBER",C190)),ISNUMBER(SEARCH("EATS",C190))),"Uber Eats",IF(LEFT(C190,6)="CHECK ","Checks Paid",IF(OR(E190="BILLPAY",ISNUMBER(SEARCH("FRANCHISE TAX",C190)),ISNUMBER(SEARCH("NEXTLINK",C190))),"Personal - House Bills",IF(AND(ISNUMBER(SEARCH("PAYMENT FROM",C190)),ISNUMBER(SEARCH("JOE SAUNDERS",C190))),"Zelle from Joe Saunders",IF(AND(ISNUMBER(SEARCH("PAYMENT TO",C190)),ISNUMBER(SEARCH("JOE SAUNDERS",C190))),"Zelle to Joe Saunders",IF(OR(ISNUMBER(SEARCH("NEW ORLEANS",C190)),ISNUMBER(SEARCH("KENNER",C190)),ISNUMBER(SEARCH("HENRY HOWARD",C190)),ISNUMBER(SEARCH("MISS CLAUDIA",C190))),"Personal Travel - New Orleans",IF(AND(YEAR(B190)=2025,MONTH(B190)=4,OR(ISNUMBER(SEARCH("EXCHANGE RATE",C190)),ISNUMBER(SEARCH("EXCHG RTE",C190)))),"Personal Travel - Italy",IFERROR(INDEX('Category Rules'!$B$2:$B$358,MATCH(TRUE,ISNUMBER(SEARCH('Category Rules'!$A$2:$A$358,C190)),0)),""))))))))</f>
        <v>Amazon</v>
      </c>
    </row>
    <row r="191" spans="1:7" x14ac:dyDescent="0.25">
      <c r="A191" t="s">
        <v>6</v>
      </c>
      <c r="B191" s="1">
        <v>45996</v>
      </c>
      <c r="C191" t="s">
        <v>179</v>
      </c>
      <c r="D191">
        <v>-126.39</v>
      </c>
      <c r="E191" t="s">
        <v>10</v>
      </c>
      <c r="F191">
        <v>3369.47</v>
      </c>
      <c r="G191" t="str" cm="1">
        <f t="array" ref="G191">IF(AND(ISNUMBER(SEARCH("UBER",C191)),ISNUMBER(SEARCH("EATS",C191))),"Uber Eats",IF(LEFT(C191,6)="CHECK ","Checks Paid",IF(OR(E191="BILLPAY",ISNUMBER(SEARCH("FRANCHISE TAX",C191)),ISNUMBER(SEARCH("NEXTLINK",C191))),"Personal - House Bills",IF(AND(ISNUMBER(SEARCH("PAYMENT FROM",C191)),ISNUMBER(SEARCH("JOE SAUNDERS",C191))),"Zelle from Joe Saunders",IF(AND(ISNUMBER(SEARCH("PAYMENT TO",C191)),ISNUMBER(SEARCH("JOE SAUNDERS",C191))),"Zelle to Joe Saunders",IF(OR(ISNUMBER(SEARCH("NEW ORLEANS",C191)),ISNUMBER(SEARCH("KENNER",C191)),ISNUMBER(SEARCH("HENRY HOWARD",C191)),ISNUMBER(SEARCH("MISS CLAUDIA",C191))),"Personal Travel - New Orleans",IF(AND(YEAR(B191)=2025,MONTH(B191)=4,OR(ISNUMBER(SEARCH("EXCHANGE RATE",C191)),ISNUMBER(SEARCH("EXCHG RTE",C191)))),"Personal Travel - Italy",IFERROR(INDEX('Category Rules'!$B$2:$B$358,MATCH(TRUE,ISNUMBER(SEARCH('Category Rules'!$A$2:$A$358,C191)),0)),""))))))))</f>
        <v>Uber Eats</v>
      </c>
    </row>
    <row r="192" spans="1:7" x14ac:dyDescent="0.25">
      <c r="A192" t="s">
        <v>6</v>
      </c>
      <c r="B192" s="1">
        <v>45996</v>
      </c>
      <c r="C192" t="s">
        <v>180</v>
      </c>
      <c r="D192">
        <v>-445.33</v>
      </c>
      <c r="E192" t="s">
        <v>10</v>
      </c>
      <c r="F192">
        <v>3495.86</v>
      </c>
      <c r="G192" t="str" cm="1">
        <f t="array" ref="G192">IF(AND(ISNUMBER(SEARCH("UBER",C192)),ISNUMBER(SEARCH("EATS",C192))),"Uber Eats",IF(LEFT(C192,6)="CHECK ","Checks Paid",IF(OR(E192="BILLPAY",ISNUMBER(SEARCH("FRANCHISE TAX",C192)),ISNUMBER(SEARCH("NEXTLINK",C192))),"Personal - House Bills",IF(AND(ISNUMBER(SEARCH("PAYMENT FROM",C192)),ISNUMBER(SEARCH("JOE SAUNDERS",C192))),"Zelle from Joe Saunders",IF(AND(ISNUMBER(SEARCH("PAYMENT TO",C192)),ISNUMBER(SEARCH("JOE SAUNDERS",C192))),"Zelle to Joe Saunders",IF(OR(ISNUMBER(SEARCH("NEW ORLEANS",C192)),ISNUMBER(SEARCH("KENNER",C192)),ISNUMBER(SEARCH("HENRY HOWARD",C192)),ISNUMBER(SEARCH("MISS CLAUDIA",C192))),"Personal Travel - New Orleans",IF(AND(YEAR(B192)=2025,MONTH(B192)=4,OR(ISNUMBER(SEARCH("EXCHANGE RATE",C192)),ISNUMBER(SEARCH("EXCHG RTE",C192)))),"Personal Travel - Italy",IFERROR(INDEX('Category Rules'!$B$2:$B$358,MATCH(TRUE,ISNUMBER(SEARCH('Category Rules'!$A$2:$A$358,C192)),0)),""))))))))</f>
        <v>Personal Travel</v>
      </c>
    </row>
    <row r="193" spans="1:7" x14ac:dyDescent="0.25">
      <c r="A193" t="s">
        <v>6</v>
      </c>
      <c r="B193" s="1">
        <v>45996</v>
      </c>
      <c r="C193" t="s">
        <v>181</v>
      </c>
      <c r="D193">
        <v>-35.99</v>
      </c>
      <c r="E193" t="s">
        <v>10</v>
      </c>
      <c r="F193">
        <v>3941.19</v>
      </c>
      <c r="G193" t="str" cm="1">
        <f t="array" ref="G193">IF(AND(ISNUMBER(SEARCH("UBER",C193)),ISNUMBER(SEARCH("EATS",C193))),"Uber Eats",IF(LEFT(C193,6)="CHECK ","Checks Paid",IF(OR(E193="BILLPAY",ISNUMBER(SEARCH("FRANCHISE TAX",C193)),ISNUMBER(SEARCH("NEXTLINK",C193))),"Personal - House Bills",IF(AND(ISNUMBER(SEARCH("PAYMENT FROM",C193)),ISNUMBER(SEARCH("JOE SAUNDERS",C193))),"Zelle from Joe Saunders",IF(AND(ISNUMBER(SEARCH("PAYMENT TO",C193)),ISNUMBER(SEARCH("JOE SAUNDERS",C193))),"Zelle to Joe Saunders",IF(OR(ISNUMBER(SEARCH("NEW ORLEANS",C193)),ISNUMBER(SEARCH("KENNER",C193)),ISNUMBER(SEARCH("HENRY HOWARD",C193)),ISNUMBER(SEARCH("MISS CLAUDIA",C193))),"Personal Travel - New Orleans",IF(AND(YEAR(B193)=2025,MONTH(B193)=4,OR(ISNUMBER(SEARCH("EXCHANGE RATE",C193)),ISNUMBER(SEARCH("EXCHG RTE",C193)))),"Personal Travel - Italy",IFERROR(INDEX('Category Rules'!$B$2:$B$358,MATCH(TRUE,ISNUMBER(SEARCH('Category Rules'!$A$2:$A$358,C193)),0)),""))))))))</f>
        <v>Personal Travel</v>
      </c>
    </row>
    <row r="194" spans="1:7" x14ac:dyDescent="0.25">
      <c r="A194" t="s">
        <v>6</v>
      </c>
      <c r="B194" s="1">
        <v>45996</v>
      </c>
      <c r="C194" t="s">
        <v>181</v>
      </c>
      <c r="D194">
        <v>-35.99</v>
      </c>
      <c r="E194" t="s">
        <v>10</v>
      </c>
      <c r="F194">
        <v>3977.18</v>
      </c>
      <c r="G194" t="str" cm="1">
        <f t="array" ref="G194">IF(AND(ISNUMBER(SEARCH("UBER",C194)),ISNUMBER(SEARCH("EATS",C194))),"Uber Eats",IF(LEFT(C194,6)="CHECK ","Checks Paid",IF(OR(E194="BILLPAY",ISNUMBER(SEARCH("FRANCHISE TAX",C194)),ISNUMBER(SEARCH("NEXTLINK",C194))),"Personal - House Bills",IF(AND(ISNUMBER(SEARCH("PAYMENT FROM",C194)),ISNUMBER(SEARCH("JOE SAUNDERS",C194))),"Zelle from Joe Saunders",IF(AND(ISNUMBER(SEARCH("PAYMENT TO",C194)),ISNUMBER(SEARCH("JOE SAUNDERS",C194))),"Zelle to Joe Saunders",IF(OR(ISNUMBER(SEARCH("NEW ORLEANS",C194)),ISNUMBER(SEARCH("KENNER",C194)),ISNUMBER(SEARCH("HENRY HOWARD",C194)),ISNUMBER(SEARCH("MISS CLAUDIA",C194))),"Personal Travel - New Orleans",IF(AND(YEAR(B194)=2025,MONTH(B194)=4,OR(ISNUMBER(SEARCH("EXCHANGE RATE",C194)),ISNUMBER(SEARCH("EXCHG RTE",C194)))),"Personal Travel - Italy",IFERROR(INDEX('Category Rules'!$B$2:$B$358,MATCH(TRUE,ISNUMBER(SEARCH('Category Rules'!$A$2:$A$358,C194)),0)),""))))))))</f>
        <v>Personal Travel</v>
      </c>
    </row>
    <row r="195" spans="1:7" x14ac:dyDescent="0.25">
      <c r="A195" t="s">
        <v>6</v>
      </c>
      <c r="B195" s="1">
        <v>45996</v>
      </c>
      <c r="C195" t="s">
        <v>181</v>
      </c>
      <c r="D195">
        <v>-35.99</v>
      </c>
      <c r="E195" t="s">
        <v>10</v>
      </c>
      <c r="F195">
        <v>4013.17</v>
      </c>
      <c r="G195" t="str" cm="1">
        <f t="array" ref="G195">IF(AND(ISNUMBER(SEARCH("UBER",C195)),ISNUMBER(SEARCH("EATS",C195))),"Uber Eats",IF(LEFT(C195,6)="CHECK ","Checks Paid",IF(OR(E195="BILLPAY",ISNUMBER(SEARCH("FRANCHISE TAX",C195)),ISNUMBER(SEARCH("NEXTLINK",C195))),"Personal - House Bills",IF(AND(ISNUMBER(SEARCH("PAYMENT FROM",C195)),ISNUMBER(SEARCH("JOE SAUNDERS",C195))),"Zelle from Joe Saunders",IF(AND(ISNUMBER(SEARCH("PAYMENT TO",C195)),ISNUMBER(SEARCH("JOE SAUNDERS",C195))),"Zelle to Joe Saunders",IF(OR(ISNUMBER(SEARCH("NEW ORLEANS",C195)),ISNUMBER(SEARCH("KENNER",C195)),ISNUMBER(SEARCH("HENRY HOWARD",C195)),ISNUMBER(SEARCH("MISS CLAUDIA",C195))),"Personal Travel - New Orleans",IF(AND(YEAR(B195)=2025,MONTH(B195)=4,OR(ISNUMBER(SEARCH("EXCHANGE RATE",C195)),ISNUMBER(SEARCH("EXCHG RTE",C195)))),"Personal Travel - Italy",IFERROR(INDEX('Category Rules'!$B$2:$B$358,MATCH(TRUE,ISNUMBER(SEARCH('Category Rules'!$A$2:$A$358,C195)),0)),""))))))))</f>
        <v>Personal Travel</v>
      </c>
    </row>
    <row r="196" spans="1:7" x14ac:dyDescent="0.25">
      <c r="A196" t="s">
        <v>6</v>
      </c>
      <c r="B196" s="1">
        <v>45996</v>
      </c>
      <c r="C196" t="s">
        <v>181</v>
      </c>
      <c r="D196">
        <v>-35.99</v>
      </c>
      <c r="E196" t="s">
        <v>10</v>
      </c>
      <c r="F196">
        <v>4049.16</v>
      </c>
      <c r="G196" t="str" cm="1">
        <f t="array" ref="G196">IF(AND(ISNUMBER(SEARCH("UBER",C196)),ISNUMBER(SEARCH("EATS",C196))),"Uber Eats",IF(LEFT(C196,6)="CHECK ","Checks Paid",IF(OR(E196="BILLPAY",ISNUMBER(SEARCH("FRANCHISE TAX",C196)),ISNUMBER(SEARCH("NEXTLINK",C196))),"Personal - House Bills",IF(AND(ISNUMBER(SEARCH("PAYMENT FROM",C196)),ISNUMBER(SEARCH("JOE SAUNDERS",C196))),"Zelle from Joe Saunders",IF(AND(ISNUMBER(SEARCH("PAYMENT TO",C196)),ISNUMBER(SEARCH("JOE SAUNDERS",C196))),"Zelle to Joe Saunders",IF(OR(ISNUMBER(SEARCH("NEW ORLEANS",C196)),ISNUMBER(SEARCH("KENNER",C196)),ISNUMBER(SEARCH("HENRY HOWARD",C196)),ISNUMBER(SEARCH("MISS CLAUDIA",C196))),"Personal Travel - New Orleans",IF(AND(YEAR(B196)=2025,MONTH(B196)=4,OR(ISNUMBER(SEARCH("EXCHANGE RATE",C196)),ISNUMBER(SEARCH("EXCHG RTE",C196)))),"Personal Travel - Italy",IFERROR(INDEX('Category Rules'!$B$2:$B$358,MATCH(TRUE,ISNUMBER(SEARCH('Category Rules'!$A$2:$A$358,C196)),0)),""))))))))</f>
        <v>Personal Travel</v>
      </c>
    </row>
    <row r="197" spans="1:7" x14ac:dyDescent="0.25">
      <c r="A197" t="s">
        <v>6</v>
      </c>
      <c r="B197" s="1">
        <v>45996</v>
      </c>
      <c r="C197" t="s">
        <v>182</v>
      </c>
      <c r="D197">
        <v>-614.57000000000005</v>
      </c>
      <c r="E197" t="s">
        <v>10</v>
      </c>
      <c r="F197">
        <v>4085.15</v>
      </c>
      <c r="G197" t="str" cm="1">
        <f t="array" ref="G197">IF(AND(ISNUMBER(SEARCH("UBER",C197)),ISNUMBER(SEARCH("EATS",C197))),"Uber Eats",IF(LEFT(C197,6)="CHECK ","Checks Paid",IF(OR(E197="BILLPAY",ISNUMBER(SEARCH("FRANCHISE TAX",C197)),ISNUMBER(SEARCH("NEXTLINK",C197))),"Personal - House Bills",IF(AND(ISNUMBER(SEARCH("PAYMENT FROM",C197)),ISNUMBER(SEARCH("JOE SAUNDERS",C197))),"Zelle from Joe Saunders",IF(AND(ISNUMBER(SEARCH("PAYMENT TO",C197)),ISNUMBER(SEARCH("JOE SAUNDERS",C197))),"Zelle to Joe Saunders",IF(OR(ISNUMBER(SEARCH("NEW ORLEANS",C197)),ISNUMBER(SEARCH("KENNER",C197)),ISNUMBER(SEARCH("HENRY HOWARD",C197)),ISNUMBER(SEARCH("MISS CLAUDIA",C197))),"Personal Travel - New Orleans",IF(AND(YEAR(B197)=2025,MONTH(B197)=4,OR(ISNUMBER(SEARCH("EXCHANGE RATE",C197)),ISNUMBER(SEARCH("EXCHG RTE",C197)))),"Personal Travel - Italy",IFERROR(INDEX('Category Rules'!$B$2:$B$358,MATCH(TRUE,ISNUMBER(SEARCH('Category Rules'!$A$2:$A$358,C197)),0)),""))))))))</f>
        <v>Personal Travel</v>
      </c>
    </row>
    <row r="198" spans="1:7" x14ac:dyDescent="0.25">
      <c r="A198" t="s">
        <v>6</v>
      </c>
      <c r="B198" s="1">
        <v>45996</v>
      </c>
      <c r="C198" t="s">
        <v>182</v>
      </c>
      <c r="D198">
        <v>-614.57000000000005</v>
      </c>
      <c r="E198" t="s">
        <v>10</v>
      </c>
      <c r="F198">
        <v>4699.72</v>
      </c>
      <c r="G198" t="str" cm="1">
        <f t="array" ref="G198">IF(AND(ISNUMBER(SEARCH("UBER",C198)),ISNUMBER(SEARCH("EATS",C198))),"Uber Eats",IF(LEFT(C198,6)="CHECK ","Checks Paid",IF(OR(E198="BILLPAY",ISNUMBER(SEARCH("FRANCHISE TAX",C198)),ISNUMBER(SEARCH("NEXTLINK",C198))),"Personal - House Bills",IF(AND(ISNUMBER(SEARCH("PAYMENT FROM",C198)),ISNUMBER(SEARCH("JOE SAUNDERS",C198))),"Zelle from Joe Saunders",IF(AND(ISNUMBER(SEARCH("PAYMENT TO",C198)),ISNUMBER(SEARCH("JOE SAUNDERS",C198))),"Zelle to Joe Saunders",IF(OR(ISNUMBER(SEARCH("NEW ORLEANS",C198)),ISNUMBER(SEARCH("KENNER",C198)),ISNUMBER(SEARCH("HENRY HOWARD",C198)),ISNUMBER(SEARCH("MISS CLAUDIA",C198))),"Personal Travel - New Orleans",IF(AND(YEAR(B198)=2025,MONTH(B198)=4,OR(ISNUMBER(SEARCH("EXCHANGE RATE",C198)),ISNUMBER(SEARCH("EXCHG RTE",C198)))),"Personal Travel - Italy",IFERROR(INDEX('Category Rules'!$B$2:$B$358,MATCH(TRUE,ISNUMBER(SEARCH('Category Rules'!$A$2:$A$358,C198)),0)),""))))))))</f>
        <v>Personal Travel</v>
      </c>
    </row>
    <row r="199" spans="1:7" x14ac:dyDescent="0.25">
      <c r="A199" t="s">
        <v>6</v>
      </c>
      <c r="B199" s="1">
        <v>45996</v>
      </c>
      <c r="C199" t="s">
        <v>182</v>
      </c>
      <c r="D199">
        <v>-614.57000000000005</v>
      </c>
      <c r="E199" t="s">
        <v>10</v>
      </c>
      <c r="F199">
        <v>5314.29</v>
      </c>
      <c r="G199" t="str" cm="1">
        <f t="array" ref="G199">IF(AND(ISNUMBER(SEARCH("UBER",C199)),ISNUMBER(SEARCH("EATS",C199))),"Uber Eats",IF(LEFT(C199,6)="CHECK ","Checks Paid",IF(OR(E199="BILLPAY",ISNUMBER(SEARCH("FRANCHISE TAX",C199)),ISNUMBER(SEARCH("NEXTLINK",C199))),"Personal - House Bills",IF(AND(ISNUMBER(SEARCH("PAYMENT FROM",C199)),ISNUMBER(SEARCH("JOE SAUNDERS",C199))),"Zelle from Joe Saunders",IF(AND(ISNUMBER(SEARCH("PAYMENT TO",C199)),ISNUMBER(SEARCH("JOE SAUNDERS",C199))),"Zelle to Joe Saunders",IF(OR(ISNUMBER(SEARCH("NEW ORLEANS",C199)),ISNUMBER(SEARCH("KENNER",C199)),ISNUMBER(SEARCH("HENRY HOWARD",C199)),ISNUMBER(SEARCH("MISS CLAUDIA",C199))),"Personal Travel - New Orleans",IF(AND(YEAR(B199)=2025,MONTH(B199)=4,OR(ISNUMBER(SEARCH("EXCHANGE RATE",C199)),ISNUMBER(SEARCH("EXCHG RTE",C199)))),"Personal Travel - Italy",IFERROR(INDEX('Category Rules'!$B$2:$B$358,MATCH(TRUE,ISNUMBER(SEARCH('Category Rules'!$A$2:$A$358,C199)),0)),""))))))))</f>
        <v>Personal Travel</v>
      </c>
    </row>
    <row r="200" spans="1:7" x14ac:dyDescent="0.25">
      <c r="A200" t="s">
        <v>6</v>
      </c>
      <c r="B200" s="1">
        <v>45996</v>
      </c>
      <c r="C200" t="s">
        <v>182</v>
      </c>
      <c r="D200">
        <v>-614.57000000000005</v>
      </c>
      <c r="E200" t="s">
        <v>10</v>
      </c>
      <c r="F200">
        <v>5928.86</v>
      </c>
      <c r="G200" t="str" cm="1">
        <f t="array" ref="G200">IF(AND(ISNUMBER(SEARCH("UBER",C200)),ISNUMBER(SEARCH("EATS",C200))),"Uber Eats",IF(LEFT(C200,6)="CHECK ","Checks Paid",IF(OR(E200="BILLPAY",ISNUMBER(SEARCH("FRANCHISE TAX",C200)),ISNUMBER(SEARCH("NEXTLINK",C200))),"Personal - House Bills",IF(AND(ISNUMBER(SEARCH("PAYMENT FROM",C200)),ISNUMBER(SEARCH("JOE SAUNDERS",C200))),"Zelle from Joe Saunders",IF(AND(ISNUMBER(SEARCH("PAYMENT TO",C200)),ISNUMBER(SEARCH("JOE SAUNDERS",C200))),"Zelle to Joe Saunders",IF(OR(ISNUMBER(SEARCH("NEW ORLEANS",C200)),ISNUMBER(SEARCH("KENNER",C200)),ISNUMBER(SEARCH("HENRY HOWARD",C200)),ISNUMBER(SEARCH("MISS CLAUDIA",C200))),"Personal Travel - New Orleans",IF(AND(YEAR(B200)=2025,MONTH(B200)=4,OR(ISNUMBER(SEARCH("EXCHANGE RATE",C200)),ISNUMBER(SEARCH("EXCHG RTE",C200)))),"Personal Travel - Italy",IFERROR(INDEX('Category Rules'!$B$2:$B$358,MATCH(TRUE,ISNUMBER(SEARCH('Category Rules'!$A$2:$A$358,C200)),0)),""))))))))</f>
        <v>Personal Travel</v>
      </c>
    </row>
    <row r="201" spans="1:7" x14ac:dyDescent="0.25">
      <c r="A201" t="s">
        <v>6</v>
      </c>
      <c r="B201" s="1">
        <v>45995</v>
      </c>
      <c r="C201" t="s">
        <v>183</v>
      </c>
      <c r="D201">
        <v>-17.920000000000002</v>
      </c>
      <c r="E201" t="s">
        <v>10</v>
      </c>
      <c r="F201">
        <v>6543.43</v>
      </c>
      <c r="G201" t="str" cm="1">
        <f t="array" ref="G201">IF(AND(ISNUMBER(SEARCH("UBER",C201)),ISNUMBER(SEARCH("EATS",C201))),"Uber Eats",IF(LEFT(C201,6)="CHECK ","Checks Paid",IF(OR(E201="BILLPAY",ISNUMBER(SEARCH("FRANCHISE TAX",C201)),ISNUMBER(SEARCH("NEXTLINK",C201))),"Personal - House Bills",IF(AND(ISNUMBER(SEARCH("PAYMENT FROM",C201)),ISNUMBER(SEARCH("JOE SAUNDERS",C201))),"Zelle from Joe Saunders",IF(AND(ISNUMBER(SEARCH("PAYMENT TO",C201)),ISNUMBER(SEARCH("JOE SAUNDERS",C201))),"Zelle to Joe Saunders",IF(OR(ISNUMBER(SEARCH("NEW ORLEANS",C201)),ISNUMBER(SEARCH("KENNER",C201)),ISNUMBER(SEARCH("HENRY HOWARD",C201)),ISNUMBER(SEARCH("MISS CLAUDIA",C201))),"Personal Travel - New Orleans",IF(AND(YEAR(B201)=2025,MONTH(B201)=4,OR(ISNUMBER(SEARCH("EXCHANGE RATE",C201)),ISNUMBER(SEARCH("EXCHG RTE",C201)))),"Personal Travel - Italy",IFERROR(INDEX('Category Rules'!$B$2:$B$358,MATCH(TRUE,ISNUMBER(SEARCH('Category Rules'!$A$2:$A$358,C201)),0)),""))))))))</f>
        <v>Personal - Uber</v>
      </c>
    </row>
    <row r="202" spans="1:7" x14ac:dyDescent="0.25">
      <c r="A202" t="s">
        <v>6</v>
      </c>
      <c r="B202" s="1">
        <v>45995</v>
      </c>
      <c r="C202" t="s">
        <v>184</v>
      </c>
      <c r="D202">
        <v>-13.97</v>
      </c>
      <c r="E202" t="s">
        <v>10</v>
      </c>
      <c r="F202">
        <v>6561.35</v>
      </c>
      <c r="G202" t="str" cm="1">
        <f t="array" ref="G202">IF(AND(ISNUMBER(SEARCH("UBER",C202)),ISNUMBER(SEARCH("EATS",C202))),"Uber Eats",IF(LEFT(C202,6)="CHECK ","Checks Paid",IF(OR(E202="BILLPAY",ISNUMBER(SEARCH("FRANCHISE TAX",C202)),ISNUMBER(SEARCH("NEXTLINK",C202))),"Personal - House Bills",IF(AND(ISNUMBER(SEARCH("PAYMENT FROM",C202)),ISNUMBER(SEARCH("JOE SAUNDERS",C202))),"Zelle from Joe Saunders",IF(AND(ISNUMBER(SEARCH("PAYMENT TO",C202)),ISNUMBER(SEARCH("JOE SAUNDERS",C202))),"Zelle to Joe Saunders",IF(OR(ISNUMBER(SEARCH("NEW ORLEANS",C202)),ISNUMBER(SEARCH("KENNER",C202)),ISNUMBER(SEARCH("HENRY HOWARD",C202)),ISNUMBER(SEARCH("MISS CLAUDIA",C202))),"Personal Travel - New Orleans",IF(AND(YEAR(B202)=2025,MONTH(B202)=4,OR(ISNUMBER(SEARCH("EXCHANGE RATE",C202)),ISNUMBER(SEARCH("EXCHG RTE",C202)))),"Personal Travel - Italy",IFERROR(INDEX('Category Rules'!$B$2:$B$358,MATCH(TRUE,ISNUMBER(SEARCH('Category Rules'!$A$2:$A$358,C202)),0)),""))))))))</f>
        <v>Uber Eats</v>
      </c>
    </row>
    <row r="203" spans="1:7" x14ac:dyDescent="0.25">
      <c r="A203" t="s">
        <v>6</v>
      </c>
      <c r="B203" s="1">
        <v>45995</v>
      </c>
      <c r="C203" t="s">
        <v>185</v>
      </c>
      <c r="D203">
        <v>-97.98</v>
      </c>
      <c r="E203" t="s">
        <v>10</v>
      </c>
      <c r="F203">
        <v>6575.32</v>
      </c>
      <c r="G203" t="str" cm="1">
        <f t="array" ref="G203">IF(AND(ISNUMBER(SEARCH("UBER",C203)),ISNUMBER(SEARCH("EATS",C203))),"Uber Eats",IF(LEFT(C203,6)="CHECK ","Checks Paid",IF(OR(E203="BILLPAY",ISNUMBER(SEARCH("FRANCHISE TAX",C203)),ISNUMBER(SEARCH("NEXTLINK",C203))),"Personal - House Bills",IF(AND(ISNUMBER(SEARCH("PAYMENT FROM",C203)),ISNUMBER(SEARCH("JOE SAUNDERS",C203))),"Zelle from Joe Saunders",IF(AND(ISNUMBER(SEARCH("PAYMENT TO",C203)),ISNUMBER(SEARCH("JOE SAUNDERS",C203))),"Zelle to Joe Saunders",IF(OR(ISNUMBER(SEARCH("NEW ORLEANS",C203)),ISNUMBER(SEARCH("KENNER",C203)),ISNUMBER(SEARCH("HENRY HOWARD",C203)),ISNUMBER(SEARCH("MISS CLAUDIA",C203))),"Personal Travel - New Orleans",IF(AND(YEAR(B203)=2025,MONTH(B203)=4,OR(ISNUMBER(SEARCH("EXCHANGE RATE",C203)),ISNUMBER(SEARCH("EXCHG RTE",C203)))),"Personal Travel - Italy",IFERROR(INDEX('Category Rules'!$B$2:$B$358,MATCH(TRUE,ISNUMBER(SEARCH('Category Rules'!$A$2:$A$358,C203)),0)),""))))))))</f>
        <v>AT&amp;T</v>
      </c>
    </row>
    <row r="204" spans="1:7" x14ac:dyDescent="0.25">
      <c r="A204" t="s">
        <v>6</v>
      </c>
      <c r="B204" s="1">
        <v>45995</v>
      </c>
      <c r="C204" t="s">
        <v>186</v>
      </c>
      <c r="D204">
        <v>-129.82</v>
      </c>
      <c r="E204" t="s">
        <v>10</v>
      </c>
      <c r="F204">
        <v>6673.3</v>
      </c>
      <c r="G204" t="str" cm="1">
        <f t="array" ref="G204">IF(AND(ISNUMBER(SEARCH("UBER",C204)),ISNUMBER(SEARCH("EATS",C204))),"Uber Eats",IF(LEFT(C204,6)="CHECK ","Checks Paid",IF(OR(E204="BILLPAY",ISNUMBER(SEARCH("FRANCHISE TAX",C204)),ISNUMBER(SEARCH("NEXTLINK",C204))),"Personal - House Bills",IF(AND(ISNUMBER(SEARCH("PAYMENT FROM",C204)),ISNUMBER(SEARCH("JOE SAUNDERS",C204))),"Zelle from Joe Saunders",IF(AND(ISNUMBER(SEARCH("PAYMENT TO",C204)),ISNUMBER(SEARCH("JOE SAUNDERS",C204))),"Zelle to Joe Saunders",IF(OR(ISNUMBER(SEARCH("NEW ORLEANS",C204)),ISNUMBER(SEARCH("KENNER",C204)),ISNUMBER(SEARCH("HENRY HOWARD",C204)),ISNUMBER(SEARCH("MISS CLAUDIA",C204))),"Personal Travel - New Orleans",IF(AND(YEAR(B204)=2025,MONTH(B204)=4,OR(ISNUMBER(SEARCH("EXCHANGE RATE",C204)),ISNUMBER(SEARCH("EXCHG RTE",C204)))),"Personal Travel - Italy",IFERROR(INDEX('Category Rules'!$B$2:$B$358,MATCH(TRUE,ISNUMBER(SEARCH('Category Rules'!$A$2:$A$358,C204)),0)),""))))))))</f>
        <v>Uber Eats</v>
      </c>
    </row>
    <row r="205" spans="1:7" x14ac:dyDescent="0.25">
      <c r="A205" t="s">
        <v>6</v>
      </c>
      <c r="B205" s="1">
        <v>45995</v>
      </c>
      <c r="C205" t="s">
        <v>187</v>
      </c>
      <c r="D205">
        <v>-28.64</v>
      </c>
      <c r="E205" t="s">
        <v>10</v>
      </c>
      <c r="F205">
        <v>6803.12</v>
      </c>
      <c r="G205" t="str" cm="1">
        <f t="array" ref="G205">IF(AND(ISNUMBER(SEARCH("UBER",C205)),ISNUMBER(SEARCH("EATS",C205))),"Uber Eats",IF(LEFT(C205,6)="CHECK ","Checks Paid",IF(OR(E205="BILLPAY",ISNUMBER(SEARCH("FRANCHISE TAX",C205)),ISNUMBER(SEARCH("NEXTLINK",C205))),"Personal - House Bills",IF(AND(ISNUMBER(SEARCH("PAYMENT FROM",C205)),ISNUMBER(SEARCH("JOE SAUNDERS",C205))),"Zelle from Joe Saunders",IF(AND(ISNUMBER(SEARCH("PAYMENT TO",C205)),ISNUMBER(SEARCH("JOE SAUNDERS",C205))),"Zelle to Joe Saunders",IF(OR(ISNUMBER(SEARCH("NEW ORLEANS",C205)),ISNUMBER(SEARCH("KENNER",C205)),ISNUMBER(SEARCH("HENRY HOWARD",C205)),ISNUMBER(SEARCH("MISS CLAUDIA",C205))),"Personal Travel - New Orleans",IF(AND(YEAR(B205)=2025,MONTH(B205)=4,OR(ISNUMBER(SEARCH("EXCHANGE RATE",C205)),ISNUMBER(SEARCH("EXCHG RTE",C205)))),"Personal Travel - Italy",IFERROR(INDEX('Category Rules'!$B$2:$B$358,MATCH(TRUE,ISNUMBER(SEARCH('Category Rules'!$A$2:$A$358,C205)),0)),""))))))))</f>
        <v>Amazon</v>
      </c>
    </row>
    <row r="206" spans="1:7" x14ac:dyDescent="0.25">
      <c r="A206" t="s">
        <v>6</v>
      </c>
      <c r="B206" s="1">
        <v>45995</v>
      </c>
      <c r="C206" t="s">
        <v>188</v>
      </c>
      <c r="D206">
        <v>-3.99</v>
      </c>
      <c r="E206" t="s">
        <v>10</v>
      </c>
      <c r="F206">
        <v>6831.76</v>
      </c>
      <c r="G206" t="str" cm="1">
        <f t="array" ref="G206">IF(AND(ISNUMBER(SEARCH("UBER",C206)),ISNUMBER(SEARCH("EATS",C206))),"Uber Eats",IF(LEFT(C206,6)="CHECK ","Checks Paid",IF(OR(E206="BILLPAY",ISNUMBER(SEARCH("FRANCHISE TAX",C206)),ISNUMBER(SEARCH("NEXTLINK",C206))),"Personal - House Bills",IF(AND(ISNUMBER(SEARCH("PAYMENT FROM",C206)),ISNUMBER(SEARCH("JOE SAUNDERS",C206))),"Zelle from Joe Saunders",IF(AND(ISNUMBER(SEARCH("PAYMENT TO",C206)),ISNUMBER(SEARCH("JOE SAUNDERS",C206))),"Zelle to Joe Saunders",IF(OR(ISNUMBER(SEARCH("NEW ORLEANS",C206)),ISNUMBER(SEARCH("KENNER",C206)),ISNUMBER(SEARCH("HENRY HOWARD",C206)),ISNUMBER(SEARCH("MISS CLAUDIA",C206))),"Personal Travel - New Orleans",IF(AND(YEAR(B206)=2025,MONTH(B206)=4,OR(ISNUMBER(SEARCH("EXCHANGE RATE",C206)),ISNUMBER(SEARCH("EXCHG RTE",C206)))),"Personal Travel - Italy",IFERROR(INDEX('Category Rules'!$B$2:$B$358,MATCH(TRUE,ISNUMBER(SEARCH('Category Rules'!$A$2:$A$358,C206)),0)),""))))))))</f>
        <v>Apple</v>
      </c>
    </row>
    <row r="207" spans="1:7" x14ac:dyDescent="0.25">
      <c r="A207" t="s">
        <v>6</v>
      </c>
      <c r="B207" s="1">
        <v>45995</v>
      </c>
      <c r="C207" t="s">
        <v>189</v>
      </c>
      <c r="D207">
        <v>-37.299999999999997</v>
      </c>
      <c r="E207" t="s">
        <v>10</v>
      </c>
      <c r="F207">
        <v>6835.75</v>
      </c>
      <c r="G207" t="str" cm="1">
        <f t="array" ref="G207">IF(AND(ISNUMBER(SEARCH("UBER",C207)),ISNUMBER(SEARCH("EATS",C207))),"Uber Eats",IF(LEFT(C207,6)="CHECK ","Checks Paid",IF(OR(E207="BILLPAY",ISNUMBER(SEARCH("FRANCHISE TAX",C207)),ISNUMBER(SEARCH("NEXTLINK",C207))),"Personal - House Bills",IF(AND(ISNUMBER(SEARCH("PAYMENT FROM",C207)),ISNUMBER(SEARCH("JOE SAUNDERS",C207))),"Zelle from Joe Saunders",IF(AND(ISNUMBER(SEARCH("PAYMENT TO",C207)),ISNUMBER(SEARCH("JOE SAUNDERS",C207))),"Zelle to Joe Saunders",IF(OR(ISNUMBER(SEARCH("NEW ORLEANS",C207)),ISNUMBER(SEARCH("KENNER",C207)),ISNUMBER(SEARCH("HENRY HOWARD",C207)),ISNUMBER(SEARCH("MISS CLAUDIA",C207))),"Personal Travel - New Orleans",IF(AND(YEAR(B207)=2025,MONTH(B207)=4,OR(ISNUMBER(SEARCH("EXCHANGE RATE",C207)),ISNUMBER(SEARCH("EXCHG RTE",C207)))),"Personal Travel - Italy",IFERROR(INDEX('Category Rules'!$B$2:$B$358,MATCH(TRUE,ISNUMBER(SEARCH('Category Rules'!$A$2:$A$358,C207)),0)),""))))))))</f>
        <v>Amazon</v>
      </c>
    </row>
    <row r="208" spans="1:7" x14ac:dyDescent="0.25">
      <c r="A208" t="s">
        <v>6</v>
      </c>
      <c r="B208" s="1">
        <v>45995</v>
      </c>
      <c r="C208" t="s">
        <v>190</v>
      </c>
      <c r="D208">
        <v>-602.61</v>
      </c>
      <c r="E208" t="s">
        <v>10</v>
      </c>
      <c r="F208">
        <v>6873.05</v>
      </c>
      <c r="G208" t="str" cm="1">
        <f t="array" ref="G208">IF(AND(ISNUMBER(SEARCH("UBER",C208)),ISNUMBER(SEARCH("EATS",C208))),"Uber Eats",IF(LEFT(C208,6)="CHECK ","Checks Paid",IF(OR(E208="BILLPAY",ISNUMBER(SEARCH("FRANCHISE TAX",C208)),ISNUMBER(SEARCH("NEXTLINK",C208))),"Personal - House Bills",IF(AND(ISNUMBER(SEARCH("PAYMENT FROM",C208)),ISNUMBER(SEARCH("JOE SAUNDERS",C208))),"Zelle from Joe Saunders",IF(AND(ISNUMBER(SEARCH("PAYMENT TO",C208)),ISNUMBER(SEARCH("JOE SAUNDERS",C208))),"Zelle to Joe Saunders",IF(OR(ISNUMBER(SEARCH("NEW ORLEANS",C208)),ISNUMBER(SEARCH("KENNER",C208)),ISNUMBER(SEARCH("HENRY HOWARD",C208)),ISNUMBER(SEARCH("MISS CLAUDIA",C208))),"Personal Travel - New Orleans",IF(AND(YEAR(B208)=2025,MONTH(B208)=4,OR(ISNUMBER(SEARCH("EXCHANGE RATE",C208)),ISNUMBER(SEARCH("EXCHG RTE",C208)))),"Personal Travel - Italy",IFERROR(INDEX('Category Rules'!$B$2:$B$358,MATCH(TRUE,ISNUMBER(SEARCH('Category Rules'!$A$2:$A$358,C208)),0)),""))))))))</f>
        <v>Personal - Shopping</v>
      </c>
    </row>
    <row r="209" spans="1:7" x14ac:dyDescent="0.25">
      <c r="A209" t="s">
        <v>44</v>
      </c>
      <c r="B209" s="1">
        <v>45995</v>
      </c>
      <c r="C209" t="s">
        <v>191</v>
      </c>
      <c r="D209">
        <v>5000</v>
      </c>
      <c r="E209" t="s">
        <v>73</v>
      </c>
      <c r="F209">
        <v>7475.66</v>
      </c>
      <c r="G209" t="str" cm="1">
        <f t="array" ref="G209">IF(AND(ISNUMBER(SEARCH("UBER",C209)),ISNUMBER(SEARCH("EATS",C209))),"Uber Eats",IF(LEFT(C209,6)="CHECK ","Checks Paid",IF(OR(E209="BILLPAY",ISNUMBER(SEARCH("FRANCHISE TAX",C209)),ISNUMBER(SEARCH("NEXTLINK",C209))),"Personal - House Bills",IF(AND(ISNUMBER(SEARCH("PAYMENT FROM",C209)),ISNUMBER(SEARCH("JOE SAUNDERS",C209))),"Zelle from Joe Saunders",IF(AND(ISNUMBER(SEARCH("PAYMENT TO",C209)),ISNUMBER(SEARCH("JOE SAUNDERS",C209))),"Zelle to Joe Saunders",IF(OR(ISNUMBER(SEARCH("NEW ORLEANS",C209)),ISNUMBER(SEARCH("KENNER",C209)),ISNUMBER(SEARCH("HENRY HOWARD",C209)),ISNUMBER(SEARCH("MISS CLAUDIA",C209))),"Personal Travel - New Orleans",IF(AND(YEAR(B209)=2025,MONTH(B209)=4,OR(ISNUMBER(SEARCH("EXCHANGE RATE",C209)),ISNUMBER(SEARCH("EXCHG RTE",C209)))),"Personal Travel - Italy",IFERROR(INDEX('Category Rules'!$B$2:$B$358,MATCH(TRUE,ISNUMBER(SEARCH('Category Rules'!$A$2:$A$358,C209)),0)),""))))))))</f>
        <v>Transfer from DWG Capital Group</v>
      </c>
    </row>
    <row r="210" spans="1:7" x14ac:dyDescent="0.25">
      <c r="A210" t="s">
        <v>6</v>
      </c>
      <c r="B210" s="1">
        <v>45994</v>
      </c>
      <c r="C210" t="s">
        <v>192</v>
      </c>
      <c r="D210">
        <v>-25.99</v>
      </c>
      <c r="E210" t="s">
        <v>10</v>
      </c>
      <c r="F210">
        <v>2475.66</v>
      </c>
      <c r="G210" t="str" cm="1">
        <f t="array" ref="G210">IF(AND(ISNUMBER(SEARCH("UBER",C210)),ISNUMBER(SEARCH("EATS",C210))),"Uber Eats",IF(LEFT(C210,6)="CHECK ","Checks Paid",IF(OR(E210="BILLPAY",ISNUMBER(SEARCH("FRANCHISE TAX",C210)),ISNUMBER(SEARCH("NEXTLINK",C210))),"Personal - House Bills",IF(AND(ISNUMBER(SEARCH("PAYMENT FROM",C210)),ISNUMBER(SEARCH("JOE SAUNDERS",C210))),"Zelle from Joe Saunders",IF(AND(ISNUMBER(SEARCH("PAYMENT TO",C210)),ISNUMBER(SEARCH("JOE SAUNDERS",C210))),"Zelle to Joe Saunders",IF(OR(ISNUMBER(SEARCH("NEW ORLEANS",C210)),ISNUMBER(SEARCH("KENNER",C210)),ISNUMBER(SEARCH("HENRY HOWARD",C210)),ISNUMBER(SEARCH("MISS CLAUDIA",C210))),"Personal Travel - New Orleans",IF(AND(YEAR(B210)=2025,MONTH(B210)=4,OR(ISNUMBER(SEARCH("EXCHANGE RATE",C210)),ISNUMBER(SEARCH("EXCHG RTE",C210)))),"Personal Travel - Italy",IFERROR(INDEX('Category Rules'!$B$2:$B$358,MATCH(TRUE,ISNUMBER(SEARCH('Category Rules'!$A$2:$A$358,C210)),0)),""))))))))</f>
        <v>Uber Eats</v>
      </c>
    </row>
    <row r="211" spans="1:7" x14ac:dyDescent="0.25">
      <c r="A211" t="s">
        <v>6</v>
      </c>
      <c r="B211" s="1">
        <v>45994</v>
      </c>
      <c r="C211" t="s">
        <v>193</v>
      </c>
      <c r="D211">
        <v>-19.989999999999998</v>
      </c>
      <c r="E211" t="s">
        <v>10</v>
      </c>
      <c r="F211">
        <v>2501.65</v>
      </c>
      <c r="G211" t="str" cm="1">
        <f t="array" ref="G211">IF(AND(ISNUMBER(SEARCH("UBER",C211)),ISNUMBER(SEARCH("EATS",C211))),"Uber Eats",IF(LEFT(C211,6)="CHECK ","Checks Paid",IF(OR(E211="BILLPAY",ISNUMBER(SEARCH("FRANCHISE TAX",C211)),ISNUMBER(SEARCH("NEXTLINK",C211))),"Personal - House Bills",IF(AND(ISNUMBER(SEARCH("PAYMENT FROM",C211)),ISNUMBER(SEARCH("JOE SAUNDERS",C211))),"Zelle from Joe Saunders",IF(AND(ISNUMBER(SEARCH("PAYMENT TO",C211)),ISNUMBER(SEARCH("JOE SAUNDERS",C211))),"Zelle to Joe Saunders",IF(OR(ISNUMBER(SEARCH("NEW ORLEANS",C211)),ISNUMBER(SEARCH("KENNER",C211)),ISNUMBER(SEARCH("HENRY HOWARD",C211)),ISNUMBER(SEARCH("MISS CLAUDIA",C211))),"Personal Travel - New Orleans",IF(AND(YEAR(B211)=2025,MONTH(B211)=4,OR(ISNUMBER(SEARCH("EXCHANGE RATE",C211)),ISNUMBER(SEARCH("EXCHG RTE",C211)))),"Personal Travel - Italy",IFERROR(INDEX('Category Rules'!$B$2:$B$358,MATCH(TRUE,ISNUMBER(SEARCH('Category Rules'!$A$2:$A$358,C211)),0)),""))))))))</f>
        <v>Personal - Subscription</v>
      </c>
    </row>
    <row r="212" spans="1:7" x14ac:dyDescent="0.25">
      <c r="A212" t="s">
        <v>6</v>
      </c>
      <c r="B212" s="1">
        <v>45994</v>
      </c>
      <c r="C212" t="s">
        <v>194</v>
      </c>
      <c r="D212">
        <v>-50.55</v>
      </c>
      <c r="E212" t="s">
        <v>10</v>
      </c>
      <c r="F212">
        <v>2521.64</v>
      </c>
      <c r="G212" t="str" cm="1">
        <f t="array" ref="G212">IF(AND(ISNUMBER(SEARCH("UBER",C212)),ISNUMBER(SEARCH("EATS",C212))),"Uber Eats",IF(LEFT(C212,6)="CHECK ","Checks Paid",IF(OR(E212="BILLPAY",ISNUMBER(SEARCH("FRANCHISE TAX",C212)),ISNUMBER(SEARCH("NEXTLINK",C212))),"Personal - House Bills",IF(AND(ISNUMBER(SEARCH("PAYMENT FROM",C212)),ISNUMBER(SEARCH("JOE SAUNDERS",C212))),"Zelle from Joe Saunders",IF(AND(ISNUMBER(SEARCH("PAYMENT TO",C212)),ISNUMBER(SEARCH("JOE SAUNDERS",C212))),"Zelle to Joe Saunders",IF(OR(ISNUMBER(SEARCH("NEW ORLEANS",C212)),ISNUMBER(SEARCH("KENNER",C212)),ISNUMBER(SEARCH("HENRY HOWARD",C212)),ISNUMBER(SEARCH("MISS CLAUDIA",C212))),"Personal Travel - New Orleans",IF(AND(YEAR(B212)=2025,MONTH(B212)=4,OR(ISNUMBER(SEARCH("EXCHANGE RATE",C212)),ISNUMBER(SEARCH("EXCHG RTE",C212)))),"Personal Travel - Italy",IFERROR(INDEX('Category Rules'!$B$2:$B$358,MATCH(TRUE,ISNUMBER(SEARCH('Category Rules'!$A$2:$A$358,C212)),0)),""))))))))</f>
        <v>Uber Eats</v>
      </c>
    </row>
    <row r="213" spans="1:7" x14ac:dyDescent="0.25">
      <c r="A213" t="s">
        <v>6</v>
      </c>
      <c r="B213" s="1">
        <v>45994</v>
      </c>
      <c r="C213" t="s">
        <v>195</v>
      </c>
      <c r="D213">
        <v>-267</v>
      </c>
      <c r="E213" t="s">
        <v>10</v>
      </c>
      <c r="F213">
        <v>2572.19</v>
      </c>
      <c r="G213" t="str" cm="1">
        <f t="array" ref="G213">IF(AND(ISNUMBER(SEARCH("UBER",C213)),ISNUMBER(SEARCH("EATS",C213))),"Uber Eats",IF(LEFT(C213,6)="CHECK ","Checks Paid",IF(OR(E213="BILLPAY",ISNUMBER(SEARCH("FRANCHISE TAX",C213)),ISNUMBER(SEARCH("NEXTLINK",C213))),"Personal - House Bills",IF(AND(ISNUMBER(SEARCH("PAYMENT FROM",C213)),ISNUMBER(SEARCH("JOE SAUNDERS",C213))),"Zelle from Joe Saunders",IF(AND(ISNUMBER(SEARCH("PAYMENT TO",C213)),ISNUMBER(SEARCH("JOE SAUNDERS",C213))),"Zelle to Joe Saunders",IF(OR(ISNUMBER(SEARCH("NEW ORLEANS",C213)),ISNUMBER(SEARCH("KENNER",C213)),ISNUMBER(SEARCH("HENRY HOWARD",C213)),ISNUMBER(SEARCH("MISS CLAUDIA",C213))),"Personal Travel - New Orleans",IF(AND(YEAR(B213)=2025,MONTH(B213)=4,OR(ISNUMBER(SEARCH("EXCHANGE RATE",C213)),ISNUMBER(SEARCH("EXCHG RTE",C213)))),"Personal Travel - Italy",IFERROR(INDEX('Category Rules'!$B$2:$B$358,MATCH(TRUE,ISNUMBER(SEARCH('Category Rules'!$A$2:$A$358,C213)),0)),""))))))))</f>
        <v>Personal - Health</v>
      </c>
    </row>
    <row r="214" spans="1:7" x14ac:dyDescent="0.25">
      <c r="A214" t="s">
        <v>6</v>
      </c>
      <c r="B214" s="1">
        <v>45994</v>
      </c>
      <c r="C214" t="s">
        <v>196</v>
      </c>
      <c r="D214">
        <v>-320.69</v>
      </c>
      <c r="E214" t="s">
        <v>10</v>
      </c>
      <c r="F214">
        <v>2839.19</v>
      </c>
      <c r="G214" t="str" cm="1">
        <f t="array" ref="G214">IF(AND(ISNUMBER(SEARCH("UBER",C214)),ISNUMBER(SEARCH("EATS",C214))),"Uber Eats",IF(LEFT(C214,6)="CHECK ","Checks Paid",IF(OR(E214="BILLPAY",ISNUMBER(SEARCH("FRANCHISE TAX",C214)),ISNUMBER(SEARCH("NEXTLINK",C214))),"Personal - House Bills",IF(AND(ISNUMBER(SEARCH("PAYMENT FROM",C214)),ISNUMBER(SEARCH("JOE SAUNDERS",C214))),"Zelle from Joe Saunders",IF(AND(ISNUMBER(SEARCH("PAYMENT TO",C214)),ISNUMBER(SEARCH("JOE SAUNDERS",C214))),"Zelle to Joe Saunders",IF(OR(ISNUMBER(SEARCH("NEW ORLEANS",C214)),ISNUMBER(SEARCH("KENNER",C214)),ISNUMBER(SEARCH("HENRY HOWARD",C214)),ISNUMBER(SEARCH("MISS CLAUDIA",C214))),"Personal Travel - New Orleans",IF(AND(YEAR(B214)=2025,MONTH(B214)=4,OR(ISNUMBER(SEARCH("EXCHANGE RATE",C214)),ISNUMBER(SEARCH("EXCHG RTE",C214)))),"Personal Travel - Italy",IFERROR(INDEX('Category Rules'!$B$2:$B$358,MATCH(TRUE,ISNUMBER(SEARCH('Category Rules'!$A$2:$A$358,C214)),0)),""))))))))</f>
        <v>Personal - Entertainment</v>
      </c>
    </row>
    <row r="215" spans="1:7" x14ac:dyDescent="0.25">
      <c r="A215" t="s">
        <v>6</v>
      </c>
      <c r="B215" s="1">
        <v>45994</v>
      </c>
      <c r="C215" t="s">
        <v>196</v>
      </c>
      <c r="D215">
        <v>-38.409999999999997</v>
      </c>
      <c r="E215" t="s">
        <v>10</v>
      </c>
      <c r="F215">
        <v>3159.88</v>
      </c>
      <c r="G215" t="str" cm="1">
        <f t="array" ref="G215">IF(AND(ISNUMBER(SEARCH("UBER",C215)),ISNUMBER(SEARCH("EATS",C215))),"Uber Eats",IF(LEFT(C215,6)="CHECK ","Checks Paid",IF(OR(E215="BILLPAY",ISNUMBER(SEARCH("FRANCHISE TAX",C215)),ISNUMBER(SEARCH("NEXTLINK",C215))),"Personal - House Bills",IF(AND(ISNUMBER(SEARCH("PAYMENT FROM",C215)),ISNUMBER(SEARCH("JOE SAUNDERS",C215))),"Zelle from Joe Saunders",IF(AND(ISNUMBER(SEARCH("PAYMENT TO",C215)),ISNUMBER(SEARCH("JOE SAUNDERS",C215))),"Zelle to Joe Saunders",IF(OR(ISNUMBER(SEARCH("NEW ORLEANS",C215)),ISNUMBER(SEARCH("KENNER",C215)),ISNUMBER(SEARCH("HENRY HOWARD",C215)),ISNUMBER(SEARCH("MISS CLAUDIA",C215))),"Personal Travel - New Orleans",IF(AND(YEAR(B215)=2025,MONTH(B215)=4,OR(ISNUMBER(SEARCH("EXCHANGE RATE",C215)),ISNUMBER(SEARCH("EXCHG RTE",C215)))),"Personal Travel - Italy",IFERROR(INDEX('Category Rules'!$B$2:$B$358,MATCH(TRUE,ISNUMBER(SEARCH('Category Rules'!$A$2:$A$358,C215)),0)),""))))))))</f>
        <v>Personal - Entertainment</v>
      </c>
    </row>
    <row r="216" spans="1:7" x14ac:dyDescent="0.25">
      <c r="A216" t="s">
        <v>6</v>
      </c>
      <c r="B216" s="1">
        <v>45994</v>
      </c>
      <c r="C216" t="s">
        <v>197</v>
      </c>
      <c r="D216">
        <v>-19.46</v>
      </c>
      <c r="E216" t="s">
        <v>10</v>
      </c>
      <c r="F216">
        <v>3198.29</v>
      </c>
      <c r="G216" t="str" cm="1">
        <f t="array" ref="G216">IF(AND(ISNUMBER(SEARCH("UBER",C216)),ISNUMBER(SEARCH("EATS",C216))),"Uber Eats",IF(LEFT(C216,6)="CHECK ","Checks Paid",IF(OR(E216="BILLPAY",ISNUMBER(SEARCH("FRANCHISE TAX",C216)),ISNUMBER(SEARCH("NEXTLINK",C216))),"Personal - House Bills",IF(AND(ISNUMBER(SEARCH("PAYMENT FROM",C216)),ISNUMBER(SEARCH("JOE SAUNDERS",C216))),"Zelle from Joe Saunders",IF(AND(ISNUMBER(SEARCH("PAYMENT TO",C216)),ISNUMBER(SEARCH("JOE SAUNDERS",C216))),"Zelle to Joe Saunders",IF(OR(ISNUMBER(SEARCH("NEW ORLEANS",C216)),ISNUMBER(SEARCH("KENNER",C216)),ISNUMBER(SEARCH("HENRY HOWARD",C216)),ISNUMBER(SEARCH("MISS CLAUDIA",C216))),"Personal Travel - New Orleans",IF(AND(YEAR(B216)=2025,MONTH(B216)=4,OR(ISNUMBER(SEARCH("EXCHANGE RATE",C216)),ISNUMBER(SEARCH("EXCHG RTE",C216)))),"Personal Travel - Italy",IFERROR(INDEX('Category Rules'!$B$2:$B$358,MATCH(TRUE,ISNUMBER(SEARCH('Category Rules'!$A$2:$A$358,C216)),0)),""))))))))</f>
        <v>Personal - Entertainment</v>
      </c>
    </row>
    <row r="217" spans="1:7" x14ac:dyDescent="0.25">
      <c r="A217" t="s">
        <v>6</v>
      </c>
      <c r="B217" s="1">
        <v>45994</v>
      </c>
      <c r="C217" t="s">
        <v>198</v>
      </c>
      <c r="D217">
        <v>-184.06</v>
      </c>
      <c r="E217" t="s">
        <v>10</v>
      </c>
      <c r="F217">
        <v>3217.75</v>
      </c>
      <c r="G217" t="str" cm="1">
        <f t="array" ref="G217">IF(AND(ISNUMBER(SEARCH("UBER",C217)),ISNUMBER(SEARCH("EATS",C217))),"Uber Eats",IF(LEFT(C217,6)="CHECK ","Checks Paid",IF(OR(E217="BILLPAY",ISNUMBER(SEARCH("FRANCHISE TAX",C217)),ISNUMBER(SEARCH("NEXTLINK",C217))),"Personal - House Bills",IF(AND(ISNUMBER(SEARCH("PAYMENT FROM",C217)),ISNUMBER(SEARCH("JOE SAUNDERS",C217))),"Zelle from Joe Saunders",IF(AND(ISNUMBER(SEARCH("PAYMENT TO",C217)),ISNUMBER(SEARCH("JOE SAUNDERS",C217))),"Zelle to Joe Saunders",IF(OR(ISNUMBER(SEARCH("NEW ORLEANS",C217)),ISNUMBER(SEARCH("KENNER",C217)),ISNUMBER(SEARCH("HENRY HOWARD",C217)),ISNUMBER(SEARCH("MISS CLAUDIA",C217))),"Personal Travel - New Orleans",IF(AND(YEAR(B217)=2025,MONTH(B217)=4,OR(ISNUMBER(SEARCH("EXCHANGE RATE",C217)),ISNUMBER(SEARCH("EXCHG RTE",C217)))),"Personal Travel - Italy",IFERROR(INDEX('Category Rules'!$B$2:$B$358,MATCH(TRUE,ISNUMBER(SEARCH('Category Rules'!$A$2:$A$358,C217)),0)),""))))))))</f>
        <v>Personal - House Bills</v>
      </c>
    </row>
    <row r="218" spans="1:7" x14ac:dyDescent="0.25">
      <c r="A218" t="s">
        <v>6</v>
      </c>
      <c r="B218" s="1">
        <v>45994</v>
      </c>
      <c r="C218" t="s">
        <v>199</v>
      </c>
      <c r="D218">
        <v>-8.6</v>
      </c>
      <c r="E218" t="s">
        <v>10</v>
      </c>
      <c r="F218">
        <v>3401.81</v>
      </c>
      <c r="G218" t="str" cm="1">
        <f t="array" ref="G218">IF(AND(ISNUMBER(SEARCH("UBER",C218)),ISNUMBER(SEARCH("EATS",C218))),"Uber Eats",IF(LEFT(C218,6)="CHECK ","Checks Paid",IF(OR(E218="BILLPAY",ISNUMBER(SEARCH("FRANCHISE TAX",C218)),ISNUMBER(SEARCH("NEXTLINK",C218))),"Personal - House Bills",IF(AND(ISNUMBER(SEARCH("PAYMENT FROM",C218)),ISNUMBER(SEARCH("JOE SAUNDERS",C218))),"Zelle from Joe Saunders",IF(AND(ISNUMBER(SEARCH("PAYMENT TO",C218)),ISNUMBER(SEARCH("JOE SAUNDERS",C218))),"Zelle to Joe Saunders",IF(OR(ISNUMBER(SEARCH("NEW ORLEANS",C218)),ISNUMBER(SEARCH("KENNER",C218)),ISNUMBER(SEARCH("HENRY HOWARD",C218)),ISNUMBER(SEARCH("MISS CLAUDIA",C218))),"Personal Travel - New Orleans",IF(AND(YEAR(B218)=2025,MONTH(B218)=4,OR(ISNUMBER(SEARCH("EXCHANGE RATE",C218)),ISNUMBER(SEARCH("EXCHG RTE",C218)))),"Personal Travel - Italy",IFERROR(INDEX('Category Rules'!$B$2:$B$358,MATCH(TRUE,ISNUMBER(SEARCH('Category Rules'!$A$2:$A$358,C218)),0)),""))))))))</f>
        <v>Personal - Car</v>
      </c>
    </row>
    <row r="219" spans="1:7" x14ac:dyDescent="0.25">
      <c r="A219" t="s">
        <v>44</v>
      </c>
      <c r="B219" s="1">
        <v>45994</v>
      </c>
      <c r="C219" t="s">
        <v>200</v>
      </c>
      <c r="D219">
        <v>2000</v>
      </c>
      <c r="E219" t="s">
        <v>73</v>
      </c>
      <c r="F219">
        <v>3410.41</v>
      </c>
      <c r="G219" t="str" cm="1">
        <f t="array" ref="G219">IF(AND(ISNUMBER(SEARCH("UBER",C219)),ISNUMBER(SEARCH("EATS",C219))),"Uber Eats",IF(LEFT(C219,6)="CHECK ","Checks Paid",IF(OR(E219="BILLPAY",ISNUMBER(SEARCH("FRANCHISE TAX",C219)),ISNUMBER(SEARCH("NEXTLINK",C219))),"Personal - House Bills",IF(AND(ISNUMBER(SEARCH("PAYMENT FROM",C219)),ISNUMBER(SEARCH("JOE SAUNDERS",C219))),"Zelle from Joe Saunders",IF(AND(ISNUMBER(SEARCH("PAYMENT TO",C219)),ISNUMBER(SEARCH("JOE SAUNDERS",C219))),"Zelle to Joe Saunders",IF(OR(ISNUMBER(SEARCH("NEW ORLEANS",C219)),ISNUMBER(SEARCH("KENNER",C219)),ISNUMBER(SEARCH("HENRY HOWARD",C219)),ISNUMBER(SEARCH("MISS CLAUDIA",C219))),"Personal Travel - New Orleans",IF(AND(YEAR(B219)=2025,MONTH(B219)=4,OR(ISNUMBER(SEARCH("EXCHANGE RATE",C219)),ISNUMBER(SEARCH("EXCHG RTE",C219)))),"Personal Travel - Italy",IFERROR(INDEX('Category Rules'!$B$2:$B$358,MATCH(TRUE,ISNUMBER(SEARCH('Category Rules'!$A$2:$A$358,C219)),0)),""))))))))</f>
        <v>Transfer from DWG Capital Group</v>
      </c>
    </row>
    <row r="220" spans="1:7" x14ac:dyDescent="0.25">
      <c r="A220" t="s">
        <v>6</v>
      </c>
      <c r="B220" s="1">
        <v>45993</v>
      </c>
      <c r="C220" t="s">
        <v>201</v>
      </c>
      <c r="D220">
        <v>-5</v>
      </c>
      <c r="E220" t="s">
        <v>10</v>
      </c>
      <c r="F220">
        <v>1410.41</v>
      </c>
      <c r="G220" t="str" cm="1">
        <f t="array" ref="G220">IF(AND(ISNUMBER(SEARCH("UBER",C220)),ISNUMBER(SEARCH("EATS",C220))),"Uber Eats",IF(LEFT(C220,6)="CHECK ","Checks Paid",IF(OR(E220="BILLPAY",ISNUMBER(SEARCH("FRANCHISE TAX",C220)),ISNUMBER(SEARCH("NEXTLINK",C220))),"Personal - House Bills",IF(AND(ISNUMBER(SEARCH("PAYMENT FROM",C220)),ISNUMBER(SEARCH("JOE SAUNDERS",C220))),"Zelle from Joe Saunders",IF(AND(ISNUMBER(SEARCH("PAYMENT TO",C220)),ISNUMBER(SEARCH("JOE SAUNDERS",C220))),"Zelle to Joe Saunders",IF(OR(ISNUMBER(SEARCH("NEW ORLEANS",C220)),ISNUMBER(SEARCH("KENNER",C220)),ISNUMBER(SEARCH("HENRY HOWARD",C220)),ISNUMBER(SEARCH("MISS CLAUDIA",C220))),"Personal Travel - New Orleans",IF(AND(YEAR(B220)=2025,MONTH(B220)=4,OR(ISNUMBER(SEARCH("EXCHANGE RATE",C220)),ISNUMBER(SEARCH("EXCHG RTE",C220)))),"Personal Travel - Italy",IFERROR(INDEX('Category Rules'!$B$2:$B$358,MATCH(TRUE,ISNUMBER(SEARCH('Category Rules'!$A$2:$A$358,C220)),0)),""))))))))</f>
        <v>Uber Eats</v>
      </c>
    </row>
    <row r="221" spans="1:7" x14ac:dyDescent="0.25">
      <c r="A221" t="s">
        <v>6</v>
      </c>
      <c r="B221" s="1">
        <v>45993</v>
      </c>
      <c r="C221" t="s">
        <v>202</v>
      </c>
      <c r="D221">
        <v>-279.83</v>
      </c>
      <c r="E221" t="s">
        <v>10</v>
      </c>
      <c r="F221">
        <v>1415.41</v>
      </c>
      <c r="G221" t="str" cm="1">
        <f t="array" ref="G221">IF(AND(ISNUMBER(SEARCH("UBER",C221)),ISNUMBER(SEARCH("EATS",C221))),"Uber Eats",IF(LEFT(C221,6)="CHECK ","Checks Paid",IF(OR(E221="BILLPAY",ISNUMBER(SEARCH("FRANCHISE TAX",C221)),ISNUMBER(SEARCH("NEXTLINK",C221))),"Personal - House Bills",IF(AND(ISNUMBER(SEARCH("PAYMENT FROM",C221)),ISNUMBER(SEARCH("JOE SAUNDERS",C221))),"Zelle from Joe Saunders",IF(AND(ISNUMBER(SEARCH("PAYMENT TO",C221)),ISNUMBER(SEARCH("JOE SAUNDERS",C221))),"Zelle to Joe Saunders",IF(OR(ISNUMBER(SEARCH("NEW ORLEANS",C221)),ISNUMBER(SEARCH("KENNER",C221)),ISNUMBER(SEARCH("HENRY HOWARD",C221)),ISNUMBER(SEARCH("MISS CLAUDIA",C221))),"Personal Travel - New Orleans",IF(AND(YEAR(B221)=2025,MONTH(B221)=4,OR(ISNUMBER(SEARCH("EXCHANGE RATE",C221)),ISNUMBER(SEARCH("EXCHG RTE",C221)))),"Personal Travel - Italy",IFERROR(INDEX('Category Rules'!$B$2:$B$358,MATCH(TRUE,ISNUMBER(SEARCH('Category Rules'!$A$2:$A$358,C221)),0)),""))))))))</f>
        <v>Personal - Shopping</v>
      </c>
    </row>
    <row r="222" spans="1:7" x14ac:dyDescent="0.25">
      <c r="A222" t="s">
        <v>6</v>
      </c>
      <c r="B222" s="1">
        <v>45993</v>
      </c>
      <c r="C222" t="s">
        <v>203</v>
      </c>
      <c r="D222">
        <v>-38.840000000000003</v>
      </c>
      <c r="E222" t="s">
        <v>10</v>
      </c>
      <c r="F222">
        <v>1695.24</v>
      </c>
      <c r="G222" t="str" cm="1">
        <f t="array" ref="G222">IF(AND(ISNUMBER(SEARCH("UBER",C222)),ISNUMBER(SEARCH("EATS",C222))),"Uber Eats",IF(LEFT(C222,6)="CHECK ","Checks Paid",IF(OR(E222="BILLPAY",ISNUMBER(SEARCH("FRANCHISE TAX",C222)),ISNUMBER(SEARCH("NEXTLINK",C222))),"Personal - House Bills",IF(AND(ISNUMBER(SEARCH("PAYMENT FROM",C222)),ISNUMBER(SEARCH("JOE SAUNDERS",C222))),"Zelle from Joe Saunders",IF(AND(ISNUMBER(SEARCH("PAYMENT TO",C222)),ISNUMBER(SEARCH("JOE SAUNDERS",C222))),"Zelle to Joe Saunders",IF(OR(ISNUMBER(SEARCH("NEW ORLEANS",C222)),ISNUMBER(SEARCH("KENNER",C222)),ISNUMBER(SEARCH("HENRY HOWARD",C222)),ISNUMBER(SEARCH("MISS CLAUDIA",C222))),"Personal Travel - New Orleans",IF(AND(YEAR(B222)=2025,MONTH(B222)=4,OR(ISNUMBER(SEARCH("EXCHANGE RATE",C222)),ISNUMBER(SEARCH("EXCHG RTE",C222)))),"Personal Travel - Italy",IFERROR(INDEX('Category Rules'!$B$2:$B$358,MATCH(TRUE,ISNUMBER(SEARCH('Category Rules'!$A$2:$A$358,C222)),0)),""))))))))</f>
        <v>Uber Eats</v>
      </c>
    </row>
    <row r="223" spans="1:7" x14ac:dyDescent="0.25">
      <c r="A223" t="s">
        <v>6</v>
      </c>
      <c r="B223" s="1">
        <v>45993</v>
      </c>
      <c r="C223" t="s">
        <v>204</v>
      </c>
      <c r="D223">
        <v>-10.06</v>
      </c>
      <c r="E223" t="s">
        <v>10</v>
      </c>
      <c r="F223">
        <v>1734.08</v>
      </c>
      <c r="G223" t="str" cm="1">
        <f t="array" ref="G223">IF(AND(ISNUMBER(SEARCH("UBER",C223)),ISNUMBER(SEARCH("EATS",C223))),"Uber Eats",IF(LEFT(C223,6)="CHECK ","Checks Paid",IF(OR(E223="BILLPAY",ISNUMBER(SEARCH("FRANCHISE TAX",C223)),ISNUMBER(SEARCH("NEXTLINK",C223))),"Personal - House Bills",IF(AND(ISNUMBER(SEARCH("PAYMENT FROM",C223)),ISNUMBER(SEARCH("JOE SAUNDERS",C223))),"Zelle from Joe Saunders",IF(AND(ISNUMBER(SEARCH("PAYMENT TO",C223)),ISNUMBER(SEARCH("JOE SAUNDERS",C223))),"Zelle to Joe Saunders",IF(OR(ISNUMBER(SEARCH("NEW ORLEANS",C223)),ISNUMBER(SEARCH("KENNER",C223)),ISNUMBER(SEARCH("HENRY HOWARD",C223)),ISNUMBER(SEARCH("MISS CLAUDIA",C223))),"Personal Travel - New Orleans",IF(AND(YEAR(B223)=2025,MONTH(B223)=4,OR(ISNUMBER(SEARCH("EXCHANGE RATE",C223)),ISNUMBER(SEARCH("EXCHG RTE",C223)))),"Personal Travel - Italy",IFERROR(INDEX('Category Rules'!$B$2:$B$358,MATCH(TRUE,ISNUMBER(SEARCH('Category Rules'!$A$2:$A$358,C223)),0)),""))))))))</f>
        <v>Uber Eats</v>
      </c>
    </row>
    <row r="224" spans="1:7" x14ac:dyDescent="0.25">
      <c r="A224" t="s">
        <v>6</v>
      </c>
      <c r="B224" s="1">
        <v>45993</v>
      </c>
      <c r="C224" t="s">
        <v>205</v>
      </c>
      <c r="D224">
        <v>-185</v>
      </c>
      <c r="E224" t="s">
        <v>10</v>
      </c>
      <c r="F224">
        <v>1744.14</v>
      </c>
      <c r="G224" t="str" cm="1">
        <f t="array" ref="G224">IF(AND(ISNUMBER(SEARCH("UBER",C224)),ISNUMBER(SEARCH("EATS",C224))),"Uber Eats",IF(LEFT(C224,6)="CHECK ","Checks Paid",IF(OR(E224="BILLPAY",ISNUMBER(SEARCH("FRANCHISE TAX",C224)),ISNUMBER(SEARCH("NEXTLINK",C224))),"Personal - House Bills",IF(AND(ISNUMBER(SEARCH("PAYMENT FROM",C224)),ISNUMBER(SEARCH("JOE SAUNDERS",C224))),"Zelle from Joe Saunders",IF(AND(ISNUMBER(SEARCH("PAYMENT TO",C224)),ISNUMBER(SEARCH("JOE SAUNDERS",C224))),"Zelle to Joe Saunders",IF(OR(ISNUMBER(SEARCH("NEW ORLEANS",C224)),ISNUMBER(SEARCH("KENNER",C224)),ISNUMBER(SEARCH("HENRY HOWARD",C224)),ISNUMBER(SEARCH("MISS CLAUDIA",C224))),"Personal Travel - New Orleans",IF(AND(YEAR(B224)=2025,MONTH(B224)=4,OR(ISNUMBER(SEARCH("EXCHANGE RATE",C224)),ISNUMBER(SEARCH("EXCHG RTE",C224)))),"Personal Travel - Italy",IFERROR(INDEX('Category Rules'!$B$2:$B$358,MATCH(TRUE,ISNUMBER(SEARCH('Category Rules'!$A$2:$A$358,C224)),0)),""))))))))</f>
        <v>Personal - Shopping</v>
      </c>
    </row>
    <row r="225" spans="1:7" x14ac:dyDescent="0.25">
      <c r="A225" t="s">
        <v>6</v>
      </c>
      <c r="B225" s="1">
        <v>45993</v>
      </c>
      <c r="C225" t="s">
        <v>206</v>
      </c>
      <c r="D225">
        <v>-20.84</v>
      </c>
      <c r="E225" t="s">
        <v>10</v>
      </c>
      <c r="F225">
        <v>1929.14</v>
      </c>
      <c r="G225" t="str" cm="1">
        <f t="array" ref="G225">IF(AND(ISNUMBER(SEARCH("UBER",C225)),ISNUMBER(SEARCH("EATS",C225))),"Uber Eats",IF(LEFT(C225,6)="CHECK ","Checks Paid",IF(OR(E225="BILLPAY",ISNUMBER(SEARCH("FRANCHISE TAX",C225)),ISNUMBER(SEARCH("NEXTLINK",C225))),"Personal - House Bills",IF(AND(ISNUMBER(SEARCH("PAYMENT FROM",C225)),ISNUMBER(SEARCH("JOE SAUNDERS",C225))),"Zelle from Joe Saunders",IF(AND(ISNUMBER(SEARCH("PAYMENT TO",C225)),ISNUMBER(SEARCH("JOE SAUNDERS",C225))),"Zelle to Joe Saunders",IF(OR(ISNUMBER(SEARCH("NEW ORLEANS",C225)),ISNUMBER(SEARCH("KENNER",C225)),ISNUMBER(SEARCH("HENRY HOWARD",C225)),ISNUMBER(SEARCH("MISS CLAUDIA",C225))),"Personal Travel - New Orleans",IF(AND(YEAR(B225)=2025,MONTH(B225)=4,OR(ISNUMBER(SEARCH("EXCHANGE RATE",C225)),ISNUMBER(SEARCH("EXCHG RTE",C225)))),"Personal Travel - Italy",IFERROR(INDEX('Category Rules'!$B$2:$B$358,MATCH(TRUE,ISNUMBER(SEARCH('Category Rules'!$A$2:$A$358,C225)),0)),""))))))))</f>
        <v>Amazon</v>
      </c>
    </row>
    <row r="226" spans="1:7" x14ac:dyDescent="0.25">
      <c r="A226" t="s">
        <v>6</v>
      </c>
      <c r="B226" s="1">
        <v>45993</v>
      </c>
      <c r="C226" t="s">
        <v>207</v>
      </c>
      <c r="D226">
        <v>-43.88</v>
      </c>
      <c r="E226" t="s">
        <v>10</v>
      </c>
      <c r="F226">
        <v>1949.98</v>
      </c>
      <c r="G226" t="str" cm="1">
        <f t="array" ref="G226">IF(AND(ISNUMBER(SEARCH("UBER",C226)),ISNUMBER(SEARCH("EATS",C226))),"Uber Eats",IF(LEFT(C226,6)="CHECK ","Checks Paid",IF(OR(E226="BILLPAY",ISNUMBER(SEARCH("FRANCHISE TAX",C226)),ISNUMBER(SEARCH("NEXTLINK",C226))),"Personal - House Bills",IF(AND(ISNUMBER(SEARCH("PAYMENT FROM",C226)),ISNUMBER(SEARCH("JOE SAUNDERS",C226))),"Zelle from Joe Saunders",IF(AND(ISNUMBER(SEARCH("PAYMENT TO",C226)),ISNUMBER(SEARCH("JOE SAUNDERS",C226))),"Zelle to Joe Saunders",IF(OR(ISNUMBER(SEARCH("NEW ORLEANS",C226)),ISNUMBER(SEARCH("KENNER",C226)),ISNUMBER(SEARCH("HENRY HOWARD",C226)),ISNUMBER(SEARCH("MISS CLAUDIA",C226))),"Personal Travel - New Orleans",IF(AND(YEAR(B226)=2025,MONTH(B226)=4,OR(ISNUMBER(SEARCH("EXCHANGE RATE",C226)),ISNUMBER(SEARCH("EXCHG RTE",C226)))),"Personal Travel - Italy",IFERROR(INDEX('Category Rules'!$B$2:$B$358,MATCH(TRUE,ISNUMBER(SEARCH('Category Rules'!$A$2:$A$358,C226)),0)),""))))))))</f>
        <v>Amazon</v>
      </c>
    </row>
    <row r="227" spans="1:7" x14ac:dyDescent="0.25">
      <c r="A227" t="s">
        <v>6</v>
      </c>
      <c r="B227" s="1">
        <v>45993</v>
      </c>
      <c r="C227" t="s">
        <v>208</v>
      </c>
      <c r="D227">
        <v>-170.11</v>
      </c>
      <c r="E227" t="s">
        <v>10</v>
      </c>
      <c r="F227">
        <v>1993.86</v>
      </c>
      <c r="G227" t="str" cm="1">
        <f t="array" ref="G227">IF(AND(ISNUMBER(SEARCH("UBER",C227)),ISNUMBER(SEARCH("EATS",C227))),"Uber Eats",IF(LEFT(C227,6)="CHECK ","Checks Paid",IF(OR(E227="BILLPAY",ISNUMBER(SEARCH("FRANCHISE TAX",C227)),ISNUMBER(SEARCH("NEXTLINK",C227))),"Personal - House Bills",IF(AND(ISNUMBER(SEARCH("PAYMENT FROM",C227)),ISNUMBER(SEARCH("JOE SAUNDERS",C227))),"Zelle from Joe Saunders",IF(AND(ISNUMBER(SEARCH("PAYMENT TO",C227)),ISNUMBER(SEARCH("JOE SAUNDERS",C227))),"Zelle to Joe Saunders",IF(OR(ISNUMBER(SEARCH("NEW ORLEANS",C227)),ISNUMBER(SEARCH("KENNER",C227)),ISNUMBER(SEARCH("HENRY HOWARD",C227)),ISNUMBER(SEARCH("MISS CLAUDIA",C227))),"Personal Travel - New Orleans",IF(AND(YEAR(B227)=2025,MONTH(B227)=4,OR(ISNUMBER(SEARCH("EXCHANGE RATE",C227)),ISNUMBER(SEARCH("EXCHG RTE",C227)))),"Personal Travel - Italy",IFERROR(INDEX('Category Rules'!$B$2:$B$358,MATCH(TRUE,ISNUMBER(SEARCH('Category Rules'!$A$2:$A$358,C227)),0)),""))))))))</f>
        <v>Amazon</v>
      </c>
    </row>
    <row r="228" spans="1:7" x14ac:dyDescent="0.25">
      <c r="A228" t="s">
        <v>6</v>
      </c>
      <c r="B228" s="1">
        <v>45992</v>
      </c>
      <c r="C228" t="s">
        <v>209</v>
      </c>
      <c r="D228">
        <v>-700</v>
      </c>
      <c r="E228" t="s">
        <v>33</v>
      </c>
      <c r="F228">
        <v>2163.9699999999998</v>
      </c>
      <c r="G228" t="str" cm="1">
        <f t="array" ref="G228">IF(AND(ISNUMBER(SEARCH("UBER",C228)),ISNUMBER(SEARCH("EATS",C228))),"Uber Eats",IF(LEFT(C228,6)="CHECK ","Checks Paid",IF(OR(E228="BILLPAY",ISNUMBER(SEARCH("FRANCHISE TAX",C228)),ISNUMBER(SEARCH("NEXTLINK",C228))),"Personal - House Bills",IF(AND(ISNUMBER(SEARCH("PAYMENT FROM",C228)),ISNUMBER(SEARCH("JOE SAUNDERS",C228))),"Zelle from Joe Saunders",IF(AND(ISNUMBER(SEARCH("PAYMENT TO",C228)),ISNUMBER(SEARCH("JOE SAUNDERS",C228))),"Zelle to Joe Saunders",IF(OR(ISNUMBER(SEARCH("NEW ORLEANS",C228)),ISNUMBER(SEARCH("KENNER",C228)),ISNUMBER(SEARCH("HENRY HOWARD",C228)),ISNUMBER(SEARCH("MISS CLAUDIA",C228))),"Personal Travel - New Orleans",IF(AND(YEAR(B228)=2025,MONTH(B228)=4,OR(ISNUMBER(SEARCH("EXCHANGE RATE",C228)),ISNUMBER(SEARCH("EXCHG RTE",C228)))),"Personal Travel - Italy",IFERROR(INDEX('Category Rules'!$B$2:$B$358,MATCH(TRUE,ISNUMBER(SEARCH('Category Rules'!$A$2:$A$358,C228)),0)),""))))))))</f>
        <v>Personal - House Bills</v>
      </c>
    </row>
    <row r="229" spans="1:7" x14ac:dyDescent="0.25">
      <c r="A229" t="s">
        <v>6</v>
      </c>
      <c r="B229" s="1">
        <v>45992</v>
      </c>
      <c r="C229" t="s">
        <v>210</v>
      </c>
      <c r="D229">
        <v>-120</v>
      </c>
      <c r="E229" t="s">
        <v>33</v>
      </c>
      <c r="F229">
        <v>2863.97</v>
      </c>
      <c r="G229" t="str" cm="1">
        <f t="array" ref="G229">IF(AND(ISNUMBER(SEARCH("UBER",C229)),ISNUMBER(SEARCH("EATS",C229))),"Uber Eats",IF(LEFT(C229,6)="CHECK ","Checks Paid",IF(OR(E229="BILLPAY",ISNUMBER(SEARCH("FRANCHISE TAX",C229)),ISNUMBER(SEARCH("NEXTLINK",C229))),"Personal - House Bills",IF(AND(ISNUMBER(SEARCH("PAYMENT FROM",C229)),ISNUMBER(SEARCH("JOE SAUNDERS",C229))),"Zelle from Joe Saunders",IF(AND(ISNUMBER(SEARCH("PAYMENT TO",C229)),ISNUMBER(SEARCH("JOE SAUNDERS",C229))),"Zelle to Joe Saunders",IF(OR(ISNUMBER(SEARCH("NEW ORLEANS",C229)),ISNUMBER(SEARCH("KENNER",C229)),ISNUMBER(SEARCH("HENRY HOWARD",C229)),ISNUMBER(SEARCH("MISS CLAUDIA",C229))),"Personal Travel - New Orleans",IF(AND(YEAR(B229)=2025,MONTH(B229)=4,OR(ISNUMBER(SEARCH("EXCHANGE RATE",C229)),ISNUMBER(SEARCH("EXCHG RTE",C229)))),"Personal Travel - Italy",IFERROR(INDEX('Category Rules'!$B$2:$B$358,MATCH(TRUE,ISNUMBER(SEARCH('Category Rules'!$A$2:$A$358,C229)),0)),""))))))))</f>
        <v>Personal - House Bills</v>
      </c>
    </row>
    <row r="230" spans="1:7" x14ac:dyDescent="0.25">
      <c r="A230" t="s">
        <v>6</v>
      </c>
      <c r="B230" s="1">
        <v>45992</v>
      </c>
      <c r="C230" t="s">
        <v>211</v>
      </c>
      <c r="D230">
        <v>-350</v>
      </c>
      <c r="E230" t="s">
        <v>33</v>
      </c>
      <c r="F230">
        <v>2983.97</v>
      </c>
      <c r="G230" t="str" cm="1">
        <f t="array" ref="G230">IF(AND(ISNUMBER(SEARCH("UBER",C230)),ISNUMBER(SEARCH("EATS",C230))),"Uber Eats",IF(LEFT(C230,6)="CHECK ","Checks Paid",IF(OR(E230="BILLPAY",ISNUMBER(SEARCH("FRANCHISE TAX",C230)),ISNUMBER(SEARCH("NEXTLINK",C230))),"Personal - House Bills",IF(AND(ISNUMBER(SEARCH("PAYMENT FROM",C230)),ISNUMBER(SEARCH("JOE SAUNDERS",C230))),"Zelle from Joe Saunders",IF(AND(ISNUMBER(SEARCH("PAYMENT TO",C230)),ISNUMBER(SEARCH("JOE SAUNDERS",C230))),"Zelle to Joe Saunders",IF(OR(ISNUMBER(SEARCH("NEW ORLEANS",C230)),ISNUMBER(SEARCH("KENNER",C230)),ISNUMBER(SEARCH("HENRY HOWARD",C230)),ISNUMBER(SEARCH("MISS CLAUDIA",C230))),"Personal Travel - New Orleans",IF(AND(YEAR(B230)=2025,MONTH(B230)=4,OR(ISNUMBER(SEARCH("EXCHANGE RATE",C230)),ISNUMBER(SEARCH("EXCHG RTE",C230)))),"Personal Travel - Italy",IFERROR(INDEX('Category Rules'!$B$2:$B$358,MATCH(TRUE,ISNUMBER(SEARCH('Category Rules'!$A$2:$A$358,C230)),0)),""))))))))</f>
        <v>Personal - House Bills</v>
      </c>
    </row>
    <row r="231" spans="1:7" x14ac:dyDescent="0.25">
      <c r="A231" t="s">
        <v>6</v>
      </c>
      <c r="B231" s="1">
        <v>45992</v>
      </c>
      <c r="C231" t="s">
        <v>212</v>
      </c>
      <c r="D231">
        <v>-320</v>
      </c>
      <c r="E231" t="s">
        <v>33</v>
      </c>
      <c r="F231">
        <v>3333.97</v>
      </c>
      <c r="G231" t="str" cm="1">
        <f t="array" ref="G231">IF(AND(ISNUMBER(SEARCH("UBER",C231)),ISNUMBER(SEARCH("EATS",C231))),"Uber Eats",IF(LEFT(C231,6)="CHECK ","Checks Paid",IF(OR(E231="BILLPAY",ISNUMBER(SEARCH("FRANCHISE TAX",C231)),ISNUMBER(SEARCH("NEXTLINK",C231))),"Personal - House Bills",IF(AND(ISNUMBER(SEARCH("PAYMENT FROM",C231)),ISNUMBER(SEARCH("JOE SAUNDERS",C231))),"Zelle from Joe Saunders",IF(AND(ISNUMBER(SEARCH("PAYMENT TO",C231)),ISNUMBER(SEARCH("JOE SAUNDERS",C231))),"Zelle to Joe Saunders",IF(OR(ISNUMBER(SEARCH("NEW ORLEANS",C231)),ISNUMBER(SEARCH("KENNER",C231)),ISNUMBER(SEARCH("HENRY HOWARD",C231)),ISNUMBER(SEARCH("MISS CLAUDIA",C231))),"Personal Travel - New Orleans",IF(AND(YEAR(B231)=2025,MONTH(B231)=4,OR(ISNUMBER(SEARCH("EXCHANGE RATE",C231)),ISNUMBER(SEARCH("EXCHG RTE",C231)))),"Personal Travel - Italy",IFERROR(INDEX('Category Rules'!$B$2:$B$358,MATCH(TRUE,ISNUMBER(SEARCH('Category Rules'!$A$2:$A$358,C231)),0)),""))))))))</f>
        <v>Personal - House Bills</v>
      </c>
    </row>
    <row r="232" spans="1:7" x14ac:dyDescent="0.25">
      <c r="A232" t="s">
        <v>6</v>
      </c>
      <c r="B232" s="1">
        <v>45992</v>
      </c>
      <c r="C232" t="s">
        <v>213</v>
      </c>
      <c r="D232">
        <v>-300</v>
      </c>
      <c r="E232" t="s">
        <v>33</v>
      </c>
      <c r="F232">
        <v>3653.97</v>
      </c>
      <c r="G232" t="str" cm="1">
        <f t="array" ref="G232">IF(AND(ISNUMBER(SEARCH("UBER",C232)),ISNUMBER(SEARCH("EATS",C232))),"Uber Eats",IF(LEFT(C232,6)="CHECK ","Checks Paid",IF(OR(E232="BILLPAY",ISNUMBER(SEARCH("FRANCHISE TAX",C232)),ISNUMBER(SEARCH("NEXTLINK",C232))),"Personal - House Bills",IF(AND(ISNUMBER(SEARCH("PAYMENT FROM",C232)),ISNUMBER(SEARCH("JOE SAUNDERS",C232))),"Zelle from Joe Saunders",IF(AND(ISNUMBER(SEARCH("PAYMENT TO",C232)),ISNUMBER(SEARCH("JOE SAUNDERS",C232))),"Zelle to Joe Saunders",IF(OR(ISNUMBER(SEARCH("NEW ORLEANS",C232)),ISNUMBER(SEARCH("KENNER",C232)),ISNUMBER(SEARCH("HENRY HOWARD",C232)),ISNUMBER(SEARCH("MISS CLAUDIA",C232))),"Personal Travel - New Orleans",IF(AND(YEAR(B232)=2025,MONTH(B232)=4,OR(ISNUMBER(SEARCH("EXCHANGE RATE",C232)),ISNUMBER(SEARCH("EXCHG RTE",C232)))),"Personal Travel - Italy",IFERROR(INDEX('Category Rules'!$B$2:$B$358,MATCH(TRUE,ISNUMBER(SEARCH('Category Rules'!$A$2:$A$358,C232)),0)),""))))))))</f>
        <v>Personal - House Bills</v>
      </c>
    </row>
    <row r="233" spans="1:7" x14ac:dyDescent="0.25">
      <c r="A233" t="s">
        <v>6</v>
      </c>
      <c r="B233" s="1">
        <v>45992</v>
      </c>
      <c r="C233" t="s">
        <v>214</v>
      </c>
      <c r="D233">
        <v>-39.97</v>
      </c>
      <c r="E233" t="s">
        <v>10</v>
      </c>
      <c r="F233">
        <v>3953.97</v>
      </c>
      <c r="G233" t="str" cm="1">
        <f t="array" ref="G233">IF(AND(ISNUMBER(SEARCH("UBER",C233)),ISNUMBER(SEARCH("EATS",C233))),"Uber Eats",IF(LEFT(C233,6)="CHECK ","Checks Paid",IF(OR(E233="BILLPAY",ISNUMBER(SEARCH("FRANCHISE TAX",C233)),ISNUMBER(SEARCH("NEXTLINK",C233))),"Personal - House Bills",IF(AND(ISNUMBER(SEARCH("PAYMENT FROM",C233)),ISNUMBER(SEARCH("JOE SAUNDERS",C233))),"Zelle from Joe Saunders",IF(AND(ISNUMBER(SEARCH("PAYMENT TO",C233)),ISNUMBER(SEARCH("JOE SAUNDERS",C233))),"Zelle to Joe Saunders",IF(OR(ISNUMBER(SEARCH("NEW ORLEANS",C233)),ISNUMBER(SEARCH("KENNER",C233)),ISNUMBER(SEARCH("HENRY HOWARD",C233)),ISNUMBER(SEARCH("MISS CLAUDIA",C233))),"Personal Travel - New Orleans",IF(AND(YEAR(B233)=2025,MONTH(B233)=4,OR(ISNUMBER(SEARCH("EXCHANGE RATE",C233)),ISNUMBER(SEARCH("EXCHG RTE",C233)))),"Personal Travel - Italy",IFERROR(INDEX('Category Rules'!$B$2:$B$358,MATCH(TRUE,ISNUMBER(SEARCH('Category Rules'!$A$2:$A$358,C233)),0)),""))))))))</f>
        <v>Uber Eats</v>
      </c>
    </row>
    <row r="234" spans="1:7" x14ac:dyDescent="0.25">
      <c r="A234" t="s">
        <v>6</v>
      </c>
      <c r="B234" s="1">
        <v>45992</v>
      </c>
      <c r="C234" t="s">
        <v>215</v>
      </c>
      <c r="D234">
        <v>-25</v>
      </c>
      <c r="E234" t="s">
        <v>10</v>
      </c>
      <c r="F234">
        <v>3993.94</v>
      </c>
      <c r="G234" t="str" cm="1">
        <f t="array" ref="G234">IF(AND(ISNUMBER(SEARCH("UBER",C234)),ISNUMBER(SEARCH("EATS",C234))),"Uber Eats",IF(LEFT(C234,6)="CHECK ","Checks Paid",IF(OR(E234="BILLPAY",ISNUMBER(SEARCH("FRANCHISE TAX",C234)),ISNUMBER(SEARCH("NEXTLINK",C234))),"Personal - House Bills",IF(AND(ISNUMBER(SEARCH("PAYMENT FROM",C234)),ISNUMBER(SEARCH("JOE SAUNDERS",C234))),"Zelle from Joe Saunders",IF(AND(ISNUMBER(SEARCH("PAYMENT TO",C234)),ISNUMBER(SEARCH("JOE SAUNDERS",C234))),"Zelle to Joe Saunders",IF(OR(ISNUMBER(SEARCH("NEW ORLEANS",C234)),ISNUMBER(SEARCH("KENNER",C234)),ISNUMBER(SEARCH("HENRY HOWARD",C234)),ISNUMBER(SEARCH("MISS CLAUDIA",C234))),"Personal Travel - New Orleans",IF(AND(YEAR(B234)=2025,MONTH(B234)=4,OR(ISNUMBER(SEARCH("EXCHANGE RATE",C234)),ISNUMBER(SEARCH("EXCHG RTE",C234)))),"Personal Travel - Italy",IFERROR(INDEX('Category Rules'!$B$2:$B$358,MATCH(TRUE,ISNUMBER(SEARCH('Category Rules'!$A$2:$A$358,C234)),0)),""))))))))</f>
        <v>Personal - Entertainment</v>
      </c>
    </row>
    <row r="235" spans="1:7" x14ac:dyDescent="0.25">
      <c r="A235" t="s">
        <v>6</v>
      </c>
      <c r="B235" s="1">
        <v>45992</v>
      </c>
      <c r="C235" t="s">
        <v>216</v>
      </c>
      <c r="D235">
        <v>-142.68</v>
      </c>
      <c r="E235" t="s">
        <v>10</v>
      </c>
      <c r="F235">
        <v>4018.94</v>
      </c>
      <c r="G235" t="str" cm="1">
        <f t="array" ref="G235">IF(AND(ISNUMBER(SEARCH("UBER",C235)),ISNUMBER(SEARCH("EATS",C235))),"Uber Eats",IF(LEFT(C235,6)="CHECK ","Checks Paid",IF(OR(E235="BILLPAY",ISNUMBER(SEARCH("FRANCHISE TAX",C235)),ISNUMBER(SEARCH("NEXTLINK",C235))),"Personal - House Bills",IF(AND(ISNUMBER(SEARCH("PAYMENT FROM",C235)),ISNUMBER(SEARCH("JOE SAUNDERS",C235))),"Zelle from Joe Saunders",IF(AND(ISNUMBER(SEARCH("PAYMENT TO",C235)),ISNUMBER(SEARCH("JOE SAUNDERS",C235))),"Zelle to Joe Saunders",IF(OR(ISNUMBER(SEARCH("NEW ORLEANS",C235)),ISNUMBER(SEARCH("KENNER",C235)),ISNUMBER(SEARCH("HENRY HOWARD",C235)),ISNUMBER(SEARCH("MISS CLAUDIA",C235))),"Personal Travel - New Orleans",IF(AND(YEAR(B235)=2025,MONTH(B235)=4,OR(ISNUMBER(SEARCH("EXCHANGE RATE",C235)),ISNUMBER(SEARCH("EXCHG RTE",C235)))),"Personal Travel - Italy",IFERROR(INDEX('Category Rules'!$B$2:$B$358,MATCH(TRUE,ISNUMBER(SEARCH('Category Rules'!$A$2:$A$358,C235)),0)),""))))))))</f>
        <v>Personal - Entertainment</v>
      </c>
    </row>
    <row r="236" spans="1:7" x14ac:dyDescent="0.25">
      <c r="A236" t="s">
        <v>6</v>
      </c>
      <c r="B236" s="1">
        <v>45992</v>
      </c>
      <c r="C236" t="s">
        <v>216</v>
      </c>
      <c r="D236">
        <v>-200.02</v>
      </c>
      <c r="E236" t="s">
        <v>10</v>
      </c>
      <c r="F236">
        <v>4161.62</v>
      </c>
      <c r="G236" t="str" cm="1">
        <f t="array" ref="G236">IF(AND(ISNUMBER(SEARCH("UBER",C236)),ISNUMBER(SEARCH("EATS",C236))),"Uber Eats",IF(LEFT(C236,6)="CHECK ","Checks Paid",IF(OR(E236="BILLPAY",ISNUMBER(SEARCH("FRANCHISE TAX",C236)),ISNUMBER(SEARCH("NEXTLINK",C236))),"Personal - House Bills",IF(AND(ISNUMBER(SEARCH("PAYMENT FROM",C236)),ISNUMBER(SEARCH("JOE SAUNDERS",C236))),"Zelle from Joe Saunders",IF(AND(ISNUMBER(SEARCH("PAYMENT TO",C236)),ISNUMBER(SEARCH("JOE SAUNDERS",C236))),"Zelle to Joe Saunders",IF(OR(ISNUMBER(SEARCH("NEW ORLEANS",C236)),ISNUMBER(SEARCH("KENNER",C236)),ISNUMBER(SEARCH("HENRY HOWARD",C236)),ISNUMBER(SEARCH("MISS CLAUDIA",C236))),"Personal Travel - New Orleans",IF(AND(YEAR(B236)=2025,MONTH(B236)=4,OR(ISNUMBER(SEARCH("EXCHANGE RATE",C236)),ISNUMBER(SEARCH("EXCHG RTE",C236)))),"Personal Travel - Italy",IFERROR(INDEX('Category Rules'!$B$2:$B$358,MATCH(TRUE,ISNUMBER(SEARCH('Category Rules'!$A$2:$A$358,C236)),0)),""))))))))</f>
        <v>Personal - Entertainment</v>
      </c>
    </row>
    <row r="237" spans="1:7" x14ac:dyDescent="0.25">
      <c r="A237" t="s">
        <v>6</v>
      </c>
      <c r="B237" s="1">
        <v>45992</v>
      </c>
      <c r="C237" t="s">
        <v>217</v>
      </c>
      <c r="D237">
        <v>-20</v>
      </c>
      <c r="E237" t="s">
        <v>10</v>
      </c>
      <c r="F237">
        <v>4361.6400000000003</v>
      </c>
      <c r="G237" t="str" cm="1">
        <f t="array" ref="G237">IF(AND(ISNUMBER(SEARCH("UBER",C237)),ISNUMBER(SEARCH("EATS",C237))),"Uber Eats",IF(LEFT(C237,6)="CHECK ","Checks Paid",IF(OR(E237="BILLPAY",ISNUMBER(SEARCH("FRANCHISE TAX",C237)),ISNUMBER(SEARCH("NEXTLINK",C237))),"Personal - House Bills",IF(AND(ISNUMBER(SEARCH("PAYMENT FROM",C237)),ISNUMBER(SEARCH("JOE SAUNDERS",C237))),"Zelle from Joe Saunders",IF(AND(ISNUMBER(SEARCH("PAYMENT TO",C237)),ISNUMBER(SEARCH("JOE SAUNDERS",C237))),"Zelle to Joe Saunders",IF(OR(ISNUMBER(SEARCH("NEW ORLEANS",C237)),ISNUMBER(SEARCH("KENNER",C237)),ISNUMBER(SEARCH("HENRY HOWARD",C237)),ISNUMBER(SEARCH("MISS CLAUDIA",C237))),"Personal Travel - New Orleans",IF(AND(YEAR(B237)=2025,MONTH(B237)=4,OR(ISNUMBER(SEARCH("EXCHANGE RATE",C237)),ISNUMBER(SEARCH("EXCHG RTE",C237)))),"Personal Travel - Italy",IFERROR(INDEX('Category Rules'!$B$2:$B$358,MATCH(TRUE,ISNUMBER(SEARCH('Category Rules'!$A$2:$A$358,C237)),0)),""))))))))</f>
        <v>Amazon</v>
      </c>
    </row>
    <row r="238" spans="1:7" x14ac:dyDescent="0.25">
      <c r="A238" t="s">
        <v>6</v>
      </c>
      <c r="B238" s="1">
        <v>45992</v>
      </c>
      <c r="C238" t="s">
        <v>218</v>
      </c>
      <c r="D238">
        <v>-30.49</v>
      </c>
      <c r="E238" t="s">
        <v>10</v>
      </c>
      <c r="F238">
        <v>4381.6400000000003</v>
      </c>
      <c r="G238" t="str" cm="1">
        <f t="array" ref="G238">IF(AND(ISNUMBER(SEARCH("UBER",C238)),ISNUMBER(SEARCH("EATS",C238))),"Uber Eats",IF(LEFT(C238,6)="CHECK ","Checks Paid",IF(OR(E238="BILLPAY",ISNUMBER(SEARCH("FRANCHISE TAX",C238)),ISNUMBER(SEARCH("NEXTLINK",C238))),"Personal - House Bills",IF(AND(ISNUMBER(SEARCH("PAYMENT FROM",C238)),ISNUMBER(SEARCH("JOE SAUNDERS",C238))),"Zelle from Joe Saunders",IF(AND(ISNUMBER(SEARCH("PAYMENT TO",C238)),ISNUMBER(SEARCH("JOE SAUNDERS",C238))),"Zelle to Joe Saunders",IF(OR(ISNUMBER(SEARCH("NEW ORLEANS",C238)),ISNUMBER(SEARCH("KENNER",C238)),ISNUMBER(SEARCH("HENRY HOWARD",C238)),ISNUMBER(SEARCH("MISS CLAUDIA",C238))),"Personal Travel - New Orleans",IF(AND(YEAR(B238)=2025,MONTH(B238)=4,OR(ISNUMBER(SEARCH("EXCHANGE RATE",C238)),ISNUMBER(SEARCH("EXCHG RTE",C238)))),"Personal Travel - Italy",IFERROR(INDEX('Category Rules'!$B$2:$B$358,MATCH(TRUE,ISNUMBER(SEARCH('Category Rules'!$A$2:$A$358,C238)),0)),""))))))))</f>
        <v>Personal - Entertainment</v>
      </c>
    </row>
    <row r="239" spans="1:7" x14ac:dyDescent="0.25">
      <c r="A239" t="s">
        <v>6</v>
      </c>
      <c r="B239" s="1">
        <v>45992</v>
      </c>
      <c r="C239" t="s">
        <v>219</v>
      </c>
      <c r="D239">
        <v>-12.97</v>
      </c>
      <c r="E239" t="s">
        <v>10</v>
      </c>
      <c r="F239">
        <v>4412.13</v>
      </c>
      <c r="G239" t="str" cm="1">
        <f t="array" ref="G239">IF(AND(ISNUMBER(SEARCH("UBER",C239)),ISNUMBER(SEARCH("EATS",C239))),"Uber Eats",IF(LEFT(C239,6)="CHECK ","Checks Paid",IF(OR(E239="BILLPAY",ISNUMBER(SEARCH("FRANCHISE TAX",C239)),ISNUMBER(SEARCH("NEXTLINK",C239))),"Personal - House Bills",IF(AND(ISNUMBER(SEARCH("PAYMENT FROM",C239)),ISNUMBER(SEARCH("JOE SAUNDERS",C239))),"Zelle from Joe Saunders",IF(AND(ISNUMBER(SEARCH("PAYMENT TO",C239)),ISNUMBER(SEARCH("JOE SAUNDERS",C239))),"Zelle to Joe Saunders",IF(OR(ISNUMBER(SEARCH("NEW ORLEANS",C239)),ISNUMBER(SEARCH("KENNER",C239)),ISNUMBER(SEARCH("HENRY HOWARD",C239)),ISNUMBER(SEARCH("MISS CLAUDIA",C239))),"Personal Travel - New Orleans",IF(AND(YEAR(B239)=2025,MONTH(B239)=4,OR(ISNUMBER(SEARCH("EXCHANGE RATE",C239)),ISNUMBER(SEARCH("EXCHG RTE",C239)))),"Personal Travel - Italy",IFERROR(INDEX('Category Rules'!$B$2:$B$358,MATCH(TRUE,ISNUMBER(SEARCH('Category Rules'!$A$2:$A$358,C239)),0)),""))))))))</f>
        <v>Uber Eats</v>
      </c>
    </row>
    <row r="240" spans="1:7" x14ac:dyDescent="0.25">
      <c r="A240" t="s">
        <v>6</v>
      </c>
      <c r="B240" s="1">
        <v>45992</v>
      </c>
      <c r="C240" t="s">
        <v>220</v>
      </c>
      <c r="D240">
        <v>-58.82</v>
      </c>
      <c r="E240" t="s">
        <v>10</v>
      </c>
      <c r="F240">
        <v>4425.1000000000004</v>
      </c>
      <c r="G240" t="str" cm="1">
        <f t="array" ref="G240">IF(AND(ISNUMBER(SEARCH("UBER",C240)),ISNUMBER(SEARCH("EATS",C240))),"Uber Eats",IF(LEFT(C240,6)="CHECK ","Checks Paid",IF(OR(E240="BILLPAY",ISNUMBER(SEARCH("FRANCHISE TAX",C240)),ISNUMBER(SEARCH("NEXTLINK",C240))),"Personal - House Bills",IF(AND(ISNUMBER(SEARCH("PAYMENT FROM",C240)),ISNUMBER(SEARCH("JOE SAUNDERS",C240))),"Zelle from Joe Saunders",IF(AND(ISNUMBER(SEARCH("PAYMENT TO",C240)),ISNUMBER(SEARCH("JOE SAUNDERS",C240))),"Zelle to Joe Saunders",IF(OR(ISNUMBER(SEARCH("NEW ORLEANS",C240)),ISNUMBER(SEARCH("KENNER",C240)),ISNUMBER(SEARCH("HENRY HOWARD",C240)),ISNUMBER(SEARCH("MISS CLAUDIA",C240))),"Personal Travel - New Orleans",IF(AND(YEAR(B240)=2025,MONTH(B240)=4,OR(ISNUMBER(SEARCH("EXCHANGE RATE",C240)),ISNUMBER(SEARCH("EXCHG RTE",C240)))),"Personal Travel - Italy",IFERROR(INDEX('Category Rules'!$B$2:$B$358,MATCH(TRUE,ISNUMBER(SEARCH('Category Rules'!$A$2:$A$358,C240)),0)),""))))))))</f>
        <v>Amazon</v>
      </c>
    </row>
    <row r="241" spans="1:7" x14ac:dyDescent="0.25">
      <c r="A241" t="s">
        <v>6</v>
      </c>
      <c r="B241" s="1">
        <v>45992</v>
      </c>
      <c r="C241" t="s">
        <v>221</v>
      </c>
      <c r="D241">
        <v>-944.63</v>
      </c>
      <c r="E241" t="s">
        <v>10</v>
      </c>
      <c r="F241">
        <v>4483.92</v>
      </c>
      <c r="G241" t="str" cm="1">
        <f t="array" ref="G241">IF(AND(ISNUMBER(SEARCH("UBER",C241)),ISNUMBER(SEARCH("EATS",C241))),"Uber Eats",IF(LEFT(C241,6)="CHECK ","Checks Paid",IF(OR(E241="BILLPAY",ISNUMBER(SEARCH("FRANCHISE TAX",C241)),ISNUMBER(SEARCH("NEXTLINK",C241))),"Personal - House Bills",IF(AND(ISNUMBER(SEARCH("PAYMENT FROM",C241)),ISNUMBER(SEARCH("JOE SAUNDERS",C241))),"Zelle from Joe Saunders",IF(AND(ISNUMBER(SEARCH("PAYMENT TO",C241)),ISNUMBER(SEARCH("JOE SAUNDERS",C241))),"Zelle to Joe Saunders",IF(OR(ISNUMBER(SEARCH("NEW ORLEANS",C241)),ISNUMBER(SEARCH("KENNER",C241)),ISNUMBER(SEARCH("HENRY HOWARD",C241)),ISNUMBER(SEARCH("MISS CLAUDIA",C241))),"Personal Travel - New Orleans",IF(AND(YEAR(B241)=2025,MONTH(B241)=4,OR(ISNUMBER(SEARCH("EXCHANGE RATE",C241)),ISNUMBER(SEARCH("EXCHG RTE",C241)))),"Personal Travel - Italy",IFERROR(INDEX('Category Rules'!$B$2:$B$358,MATCH(TRUE,ISNUMBER(SEARCH('Category Rules'!$A$2:$A$358,C241)),0)),""))))))))</f>
        <v>Personal - Health Insurance</v>
      </c>
    </row>
    <row r="242" spans="1:7" x14ac:dyDescent="0.25">
      <c r="A242" t="s">
        <v>6</v>
      </c>
      <c r="B242" s="1">
        <v>45992</v>
      </c>
      <c r="C242" t="s">
        <v>222</v>
      </c>
      <c r="D242">
        <v>-15.99</v>
      </c>
      <c r="E242" t="s">
        <v>10</v>
      </c>
      <c r="F242">
        <v>5428.55</v>
      </c>
      <c r="G242" t="str" cm="1">
        <f t="array" ref="G242">IF(AND(ISNUMBER(SEARCH("UBER",C242)),ISNUMBER(SEARCH("EATS",C242))),"Uber Eats",IF(LEFT(C242,6)="CHECK ","Checks Paid",IF(OR(E242="BILLPAY",ISNUMBER(SEARCH("FRANCHISE TAX",C242)),ISNUMBER(SEARCH("NEXTLINK",C242))),"Personal - House Bills",IF(AND(ISNUMBER(SEARCH("PAYMENT FROM",C242)),ISNUMBER(SEARCH("JOE SAUNDERS",C242))),"Zelle from Joe Saunders",IF(AND(ISNUMBER(SEARCH("PAYMENT TO",C242)),ISNUMBER(SEARCH("JOE SAUNDERS",C242))),"Zelle to Joe Saunders",IF(OR(ISNUMBER(SEARCH("NEW ORLEANS",C242)),ISNUMBER(SEARCH("KENNER",C242)),ISNUMBER(SEARCH("HENRY HOWARD",C242)),ISNUMBER(SEARCH("MISS CLAUDIA",C242))),"Personal Travel - New Orleans",IF(AND(YEAR(B242)=2025,MONTH(B242)=4,OR(ISNUMBER(SEARCH("EXCHANGE RATE",C242)),ISNUMBER(SEARCH("EXCHG RTE",C242)))),"Personal Travel - Italy",IFERROR(INDEX('Category Rules'!$B$2:$B$358,MATCH(TRUE,ISNUMBER(SEARCH('Category Rules'!$A$2:$A$358,C242)),0)),""))))))))</f>
        <v>Personal - Subscription</v>
      </c>
    </row>
    <row r="243" spans="1:7" x14ac:dyDescent="0.25">
      <c r="A243" t="s">
        <v>6</v>
      </c>
      <c r="B243" s="1">
        <v>45992</v>
      </c>
      <c r="C243" t="s">
        <v>223</v>
      </c>
      <c r="D243">
        <v>-15.99</v>
      </c>
      <c r="E243" t="s">
        <v>10</v>
      </c>
      <c r="F243">
        <v>5444.54</v>
      </c>
      <c r="G243" t="str" cm="1">
        <f t="array" ref="G243">IF(AND(ISNUMBER(SEARCH("UBER",C243)),ISNUMBER(SEARCH("EATS",C243))),"Uber Eats",IF(LEFT(C243,6)="CHECK ","Checks Paid",IF(OR(E243="BILLPAY",ISNUMBER(SEARCH("FRANCHISE TAX",C243)),ISNUMBER(SEARCH("NEXTLINK",C243))),"Personal - House Bills",IF(AND(ISNUMBER(SEARCH("PAYMENT FROM",C243)),ISNUMBER(SEARCH("JOE SAUNDERS",C243))),"Zelle from Joe Saunders",IF(AND(ISNUMBER(SEARCH("PAYMENT TO",C243)),ISNUMBER(SEARCH("JOE SAUNDERS",C243))),"Zelle to Joe Saunders",IF(OR(ISNUMBER(SEARCH("NEW ORLEANS",C243)),ISNUMBER(SEARCH("KENNER",C243)),ISNUMBER(SEARCH("HENRY HOWARD",C243)),ISNUMBER(SEARCH("MISS CLAUDIA",C243))),"Personal Travel - New Orleans",IF(AND(YEAR(B243)=2025,MONTH(B243)=4,OR(ISNUMBER(SEARCH("EXCHANGE RATE",C243)),ISNUMBER(SEARCH("EXCHG RTE",C243)))),"Personal Travel - Italy",IFERROR(INDEX('Category Rules'!$B$2:$B$358,MATCH(TRUE,ISNUMBER(SEARCH('Category Rules'!$A$2:$A$358,C243)),0)),""))))))))</f>
        <v>Personal - Subscription</v>
      </c>
    </row>
    <row r="244" spans="1:7" x14ac:dyDescent="0.25">
      <c r="A244" t="s">
        <v>6</v>
      </c>
      <c r="B244" s="1">
        <v>45992</v>
      </c>
      <c r="C244" t="s">
        <v>224</v>
      </c>
      <c r="D244">
        <v>-44.68</v>
      </c>
      <c r="E244" t="s">
        <v>10</v>
      </c>
      <c r="F244">
        <v>5460.53</v>
      </c>
      <c r="G244" t="str" cm="1">
        <f t="array" ref="G244">IF(AND(ISNUMBER(SEARCH("UBER",C244)),ISNUMBER(SEARCH("EATS",C244))),"Uber Eats",IF(LEFT(C244,6)="CHECK ","Checks Paid",IF(OR(E244="BILLPAY",ISNUMBER(SEARCH("FRANCHISE TAX",C244)),ISNUMBER(SEARCH("NEXTLINK",C244))),"Personal - House Bills",IF(AND(ISNUMBER(SEARCH("PAYMENT FROM",C244)),ISNUMBER(SEARCH("JOE SAUNDERS",C244))),"Zelle from Joe Saunders",IF(AND(ISNUMBER(SEARCH("PAYMENT TO",C244)),ISNUMBER(SEARCH("JOE SAUNDERS",C244))),"Zelle to Joe Saunders",IF(OR(ISNUMBER(SEARCH("NEW ORLEANS",C244)),ISNUMBER(SEARCH("KENNER",C244)),ISNUMBER(SEARCH("HENRY HOWARD",C244)),ISNUMBER(SEARCH("MISS CLAUDIA",C244))),"Personal Travel - New Orleans",IF(AND(YEAR(B244)=2025,MONTH(B244)=4,OR(ISNUMBER(SEARCH("EXCHANGE RATE",C244)),ISNUMBER(SEARCH("EXCHG RTE",C244)))),"Personal Travel - Italy",IFERROR(INDEX('Category Rules'!$B$2:$B$358,MATCH(TRUE,ISNUMBER(SEARCH('Category Rules'!$A$2:$A$358,C244)),0)),""))))))))</f>
        <v>Uber Eats</v>
      </c>
    </row>
    <row r="245" spans="1:7" x14ac:dyDescent="0.25">
      <c r="A245" t="s">
        <v>6</v>
      </c>
      <c r="B245" s="1">
        <v>45992</v>
      </c>
      <c r="C245" t="s">
        <v>225</v>
      </c>
      <c r="D245">
        <v>-19</v>
      </c>
      <c r="E245" t="s">
        <v>10</v>
      </c>
      <c r="F245">
        <v>5505.21</v>
      </c>
      <c r="G245" t="str" cm="1">
        <f t="array" ref="G245">IF(AND(ISNUMBER(SEARCH("UBER",C245)),ISNUMBER(SEARCH("EATS",C245))),"Uber Eats",IF(LEFT(C245,6)="CHECK ","Checks Paid",IF(OR(E245="BILLPAY",ISNUMBER(SEARCH("FRANCHISE TAX",C245)),ISNUMBER(SEARCH("NEXTLINK",C245))),"Personal - House Bills",IF(AND(ISNUMBER(SEARCH("PAYMENT FROM",C245)),ISNUMBER(SEARCH("JOE SAUNDERS",C245))),"Zelle from Joe Saunders",IF(AND(ISNUMBER(SEARCH("PAYMENT TO",C245)),ISNUMBER(SEARCH("JOE SAUNDERS",C245))),"Zelle to Joe Saunders",IF(OR(ISNUMBER(SEARCH("NEW ORLEANS",C245)),ISNUMBER(SEARCH("KENNER",C245)),ISNUMBER(SEARCH("HENRY HOWARD",C245)),ISNUMBER(SEARCH("MISS CLAUDIA",C245))),"Personal Travel - New Orleans",IF(AND(YEAR(B245)=2025,MONTH(B245)=4,OR(ISNUMBER(SEARCH("EXCHANGE RATE",C245)),ISNUMBER(SEARCH("EXCHG RTE",C245)))),"Personal Travel - Italy",IFERROR(INDEX('Category Rules'!$B$2:$B$358,MATCH(TRUE,ISNUMBER(SEARCH('Category Rules'!$A$2:$A$358,C245)),0)),""))))))))</f>
        <v>Personal - Subscription</v>
      </c>
    </row>
    <row r="246" spans="1:7" x14ac:dyDescent="0.25">
      <c r="A246" t="s">
        <v>6</v>
      </c>
      <c r="B246" s="1">
        <v>45992</v>
      </c>
      <c r="C246" t="s">
        <v>226</v>
      </c>
      <c r="D246">
        <v>-18.38</v>
      </c>
      <c r="E246" t="s">
        <v>10</v>
      </c>
      <c r="F246">
        <v>5524.21</v>
      </c>
      <c r="G246" t="str" cm="1">
        <f t="array" ref="G246">IF(AND(ISNUMBER(SEARCH("UBER",C246)),ISNUMBER(SEARCH("EATS",C246))),"Uber Eats",IF(LEFT(C246,6)="CHECK ","Checks Paid",IF(OR(E246="BILLPAY",ISNUMBER(SEARCH("FRANCHISE TAX",C246)),ISNUMBER(SEARCH("NEXTLINK",C246))),"Personal - House Bills",IF(AND(ISNUMBER(SEARCH("PAYMENT FROM",C246)),ISNUMBER(SEARCH("JOE SAUNDERS",C246))),"Zelle from Joe Saunders",IF(AND(ISNUMBER(SEARCH("PAYMENT TO",C246)),ISNUMBER(SEARCH("JOE SAUNDERS",C246))),"Zelle to Joe Saunders",IF(OR(ISNUMBER(SEARCH("NEW ORLEANS",C246)),ISNUMBER(SEARCH("KENNER",C246)),ISNUMBER(SEARCH("HENRY HOWARD",C246)),ISNUMBER(SEARCH("MISS CLAUDIA",C246))),"Personal Travel - New Orleans",IF(AND(YEAR(B246)=2025,MONTH(B246)=4,OR(ISNUMBER(SEARCH("EXCHANGE RATE",C246)),ISNUMBER(SEARCH("EXCHG RTE",C246)))),"Personal Travel - Italy",IFERROR(INDEX('Category Rules'!$B$2:$B$358,MATCH(TRUE,ISNUMBER(SEARCH('Category Rules'!$A$2:$A$358,C246)),0)),""))))))))</f>
        <v>Amazon</v>
      </c>
    </row>
    <row r="247" spans="1:7" x14ac:dyDescent="0.25">
      <c r="A247" t="s">
        <v>6</v>
      </c>
      <c r="B247" s="1">
        <v>45992</v>
      </c>
      <c r="C247" t="s">
        <v>227</v>
      </c>
      <c r="D247">
        <v>-126.17</v>
      </c>
      <c r="E247" t="s">
        <v>10</v>
      </c>
      <c r="F247">
        <v>5542.59</v>
      </c>
      <c r="G247" t="str" cm="1">
        <f t="array" ref="G247">IF(AND(ISNUMBER(SEARCH("UBER",C247)),ISNUMBER(SEARCH("EATS",C247))),"Uber Eats",IF(LEFT(C247,6)="CHECK ","Checks Paid",IF(OR(E247="BILLPAY",ISNUMBER(SEARCH("FRANCHISE TAX",C247)),ISNUMBER(SEARCH("NEXTLINK",C247))),"Personal - House Bills",IF(AND(ISNUMBER(SEARCH("PAYMENT FROM",C247)),ISNUMBER(SEARCH("JOE SAUNDERS",C247))),"Zelle from Joe Saunders",IF(AND(ISNUMBER(SEARCH("PAYMENT TO",C247)),ISNUMBER(SEARCH("JOE SAUNDERS",C247))),"Zelle to Joe Saunders",IF(OR(ISNUMBER(SEARCH("NEW ORLEANS",C247)),ISNUMBER(SEARCH("KENNER",C247)),ISNUMBER(SEARCH("HENRY HOWARD",C247)),ISNUMBER(SEARCH("MISS CLAUDIA",C247))),"Personal Travel - New Orleans",IF(AND(YEAR(B247)=2025,MONTH(B247)=4,OR(ISNUMBER(SEARCH("EXCHANGE RATE",C247)),ISNUMBER(SEARCH("EXCHG RTE",C247)))),"Personal Travel - Italy",IFERROR(INDEX('Category Rules'!$B$2:$B$358,MATCH(TRUE,ISNUMBER(SEARCH('Category Rules'!$A$2:$A$358,C247)),0)),""))))))))</f>
        <v>Personal - Health</v>
      </c>
    </row>
    <row r="248" spans="1:7" x14ac:dyDescent="0.25">
      <c r="A248" t="s">
        <v>6</v>
      </c>
      <c r="B248" s="1">
        <v>45992</v>
      </c>
      <c r="C248" t="s">
        <v>228</v>
      </c>
      <c r="D248">
        <v>-100.4</v>
      </c>
      <c r="E248" t="s">
        <v>10</v>
      </c>
      <c r="F248">
        <v>5668.76</v>
      </c>
      <c r="G248" t="str" cm="1">
        <f t="array" ref="G248">IF(AND(ISNUMBER(SEARCH("UBER",C248)),ISNUMBER(SEARCH("EATS",C248))),"Uber Eats",IF(LEFT(C248,6)="CHECK ","Checks Paid",IF(OR(E248="BILLPAY",ISNUMBER(SEARCH("FRANCHISE TAX",C248)),ISNUMBER(SEARCH("NEXTLINK",C248))),"Personal - House Bills",IF(AND(ISNUMBER(SEARCH("PAYMENT FROM",C248)),ISNUMBER(SEARCH("JOE SAUNDERS",C248))),"Zelle from Joe Saunders",IF(AND(ISNUMBER(SEARCH("PAYMENT TO",C248)),ISNUMBER(SEARCH("JOE SAUNDERS",C248))),"Zelle to Joe Saunders",IF(OR(ISNUMBER(SEARCH("NEW ORLEANS",C248)),ISNUMBER(SEARCH("KENNER",C248)),ISNUMBER(SEARCH("HENRY HOWARD",C248)),ISNUMBER(SEARCH("MISS CLAUDIA",C248))),"Personal Travel - New Orleans",IF(AND(YEAR(B248)=2025,MONTH(B248)=4,OR(ISNUMBER(SEARCH("EXCHANGE RATE",C248)),ISNUMBER(SEARCH("EXCHG RTE",C248)))),"Personal Travel - Italy",IFERROR(INDEX('Category Rules'!$B$2:$B$358,MATCH(TRUE,ISNUMBER(SEARCH('Category Rules'!$A$2:$A$358,C248)),0)),""))))))))</f>
        <v>Amazon</v>
      </c>
    </row>
    <row r="249" spans="1:7" x14ac:dyDescent="0.25">
      <c r="A249" t="s">
        <v>6</v>
      </c>
      <c r="B249" s="1">
        <v>45992</v>
      </c>
      <c r="C249" t="s">
        <v>229</v>
      </c>
      <c r="D249">
        <v>-22</v>
      </c>
      <c r="E249" t="s">
        <v>10</v>
      </c>
      <c r="F249">
        <v>5769.16</v>
      </c>
      <c r="G249" t="str" cm="1">
        <f t="array" ref="G249">IF(AND(ISNUMBER(SEARCH("UBER",C249)),ISNUMBER(SEARCH("EATS",C249))),"Uber Eats",IF(LEFT(C249,6)="CHECK ","Checks Paid",IF(OR(E249="BILLPAY",ISNUMBER(SEARCH("FRANCHISE TAX",C249)),ISNUMBER(SEARCH("NEXTLINK",C249))),"Personal - House Bills",IF(AND(ISNUMBER(SEARCH("PAYMENT FROM",C249)),ISNUMBER(SEARCH("JOE SAUNDERS",C249))),"Zelle from Joe Saunders",IF(AND(ISNUMBER(SEARCH("PAYMENT TO",C249)),ISNUMBER(SEARCH("JOE SAUNDERS",C249))),"Zelle to Joe Saunders",IF(OR(ISNUMBER(SEARCH("NEW ORLEANS",C249)),ISNUMBER(SEARCH("KENNER",C249)),ISNUMBER(SEARCH("HENRY HOWARD",C249)),ISNUMBER(SEARCH("MISS CLAUDIA",C249))),"Personal Travel - New Orleans",IF(AND(YEAR(B249)=2025,MONTH(B249)=4,OR(ISNUMBER(SEARCH("EXCHANGE RATE",C249)),ISNUMBER(SEARCH("EXCHG RTE",C249)))),"Personal Travel - Italy",IFERROR(INDEX('Category Rules'!$B$2:$B$358,MATCH(TRUE,ISNUMBER(SEARCH('Category Rules'!$A$2:$A$358,C249)),0)),""))))))))</f>
        <v>Personal - Subscription</v>
      </c>
    </row>
    <row r="250" spans="1:7" x14ac:dyDescent="0.25">
      <c r="A250" t="s">
        <v>6</v>
      </c>
      <c r="B250" s="1">
        <v>45992</v>
      </c>
      <c r="C250" t="s">
        <v>230</v>
      </c>
      <c r="D250">
        <v>-20</v>
      </c>
      <c r="E250" t="s">
        <v>10</v>
      </c>
      <c r="F250">
        <v>5791.16</v>
      </c>
      <c r="G250" t="str" cm="1">
        <f t="array" ref="G250">IF(AND(ISNUMBER(SEARCH("UBER",C250)),ISNUMBER(SEARCH("EATS",C250))),"Uber Eats",IF(LEFT(C250,6)="CHECK ","Checks Paid",IF(OR(E250="BILLPAY",ISNUMBER(SEARCH("FRANCHISE TAX",C250)),ISNUMBER(SEARCH("NEXTLINK",C250))),"Personal - House Bills",IF(AND(ISNUMBER(SEARCH("PAYMENT FROM",C250)),ISNUMBER(SEARCH("JOE SAUNDERS",C250))),"Zelle from Joe Saunders",IF(AND(ISNUMBER(SEARCH("PAYMENT TO",C250)),ISNUMBER(SEARCH("JOE SAUNDERS",C250))),"Zelle to Joe Saunders",IF(OR(ISNUMBER(SEARCH("NEW ORLEANS",C250)),ISNUMBER(SEARCH("KENNER",C250)),ISNUMBER(SEARCH("HENRY HOWARD",C250)),ISNUMBER(SEARCH("MISS CLAUDIA",C250))),"Personal Travel - New Orleans",IF(AND(YEAR(B250)=2025,MONTH(B250)=4,OR(ISNUMBER(SEARCH("EXCHANGE RATE",C250)),ISNUMBER(SEARCH("EXCHG RTE",C250)))),"Personal Travel - Italy",IFERROR(INDEX('Category Rules'!$B$2:$B$358,MATCH(TRUE,ISNUMBER(SEARCH('Category Rules'!$A$2:$A$358,C250)),0)),""))))))))</f>
        <v>Amazon</v>
      </c>
    </row>
    <row r="251" spans="1:7" x14ac:dyDescent="0.25">
      <c r="A251" t="s">
        <v>6</v>
      </c>
      <c r="B251" s="1">
        <v>45992</v>
      </c>
      <c r="C251" t="s">
        <v>231</v>
      </c>
      <c r="D251">
        <v>-78.14</v>
      </c>
      <c r="E251" t="s">
        <v>10</v>
      </c>
      <c r="F251">
        <v>5811.16</v>
      </c>
      <c r="G251" t="str" cm="1">
        <f t="array" ref="G251">IF(AND(ISNUMBER(SEARCH("UBER",C251)),ISNUMBER(SEARCH("EATS",C251))),"Uber Eats",IF(LEFT(C251,6)="CHECK ","Checks Paid",IF(OR(E251="BILLPAY",ISNUMBER(SEARCH("FRANCHISE TAX",C251)),ISNUMBER(SEARCH("NEXTLINK",C251))),"Personal - House Bills",IF(AND(ISNUMBER(SEARCH("PAYMENT FROM",C251)),ISNUMBER(SEARCH("JOE SAUNDERS",C251))),"Zelle from Joe Saunders",IF(AND(ISNUMBER(SEARCH("PAYMENT TO",C251)),ISNUMBER(SEARCH("JOE SAUNDERS",C251))),"Zelle to Joe Saunders",IF(OR(ISNUMBER(SEARCH("NEW ORLEANS",C251)),ISNUMBER(SEARCH("KENNER",C251)),ISNUMBER(SEARCH("HENRY HOWARD",C251)),ISNUMBER(SEARCH("MISS CLAUDIA",C251))),"Personal Travel - New Orleans",IF(AND(YEAR(B251)=2025,MONTH(B251)=4,OR(ISNUMBER(SEARCH("EXCHANGE RATE",C251)),ISNUMBER(SEARCH("EXCHG RTE",C251)))),"Personal Travel - Italy",IFERROR(INDEX('Category Rules'!$B$2:$B$358,MATCH(TRUE,ISNUMBER(SEARCH('Category Rules'!$A$2:$A$358,C251)),0)),""))))))))</f>
        <v>Amazon</v>
      </c>
    </row>
    <row r="252" spans="1:7" x14ac:dyDescent="0.25">
      <c r="A252" t="s">
        <v>6</v>
      </c>
      <c r="B252" s="1">
        <v>45992</v>
      </c>
      <c r="C252" t="s">
        <v>232</v>
      </c>
      <c r="D252">
        <v>-40.47</v>
      </c>
      <c r="E252" t="s">
        <v>10</v>
      </c>
      <c r="F252">
        <v>5889.3</v>
      </c>
      <c r="G252" t="str" cm="1">
        <f t="array" ref="G252">IF(AND(ISNUMBER(SEARCH("UBER",C252)),ISNUMBER(SEARCH("EATS",C252))),"Uber Eats",IF(LEFT(C252,6)="CHECK ","Checks Paid",IF(OR(E252="BILLPAY",ISNUMBER(SEARCH("FRANCHISE TAX",C252)),ISNUMBER(SEARCH("NEXTLINK",C252))),"Personal - House Bills",IF(AND(ISNUMBER(SEARCH("PAYMENT FROM",C252)),ISNUMBER(SEARCH("JOE SAUNDERS",C252))),"Zelle from Joe Saunders",IF(AND(ISNUMBER(SEARCH("PAYMENT TO",C252)),ISNUMBER(SEARCH("JOE SAUNDERS",C252))),"Zelle to Joe Saunders",IF(OR(ISNUMBER(SEARCH("NEW ORLEANS",C252)),ISNUMBER(SEARCH("KENNER",C252)),ISNUMBER(SEARCH("HENRY HOWARD",C252)),ISNUMBER(SEARCH("MISS CLAUDIA",C252))),"Personal Travel - New Orleans",IF(AND(YEAR(B252)=2025,MONTH(B252)=4,OR(ISNUMBER(SEARCH("EXCHANGE RATE",C252)),ISNUMBER(SEARCH("EXCHG RTE",C252)))),"Personal Travel - Italy",IFERROR(INDEX('Category Rules'!$B$2:$B$358,MATCH(TRUE,ISNUMBER(SEARCH('Category Rules'!$A$2:$A$358,C252)),0)),""))))))))</f>
        <v>Amazon</v>
      </c>
    </row>
    <row r="253" spans="1:7" x14ac:dyDescent="0.25">
      <c r="A253" t="s">
        <v>6</v>
      </c>
      <c r="B253" s="1">
        <v>45992</v>
      </c>
      <c r="C253" t="s">
        <v>233</v>
      </c>
      <c r="D253">
        <v>-5.49</v>
      </c>
      <c r="E253" t="s">
        <v>10</v>
      </c>
      <c r="F253">
        <v>5929.77</v>
      </c>
      <c r="G253" t="str" cm="1">
        <f t="array" ref="G253">IF(AND(ISNUMBER(SEARCH("UBER",C253)),ISNUMBER(SEARCH("EATS",C253))),"Uber Eats",IF(LEFT(C253,6)="CHECK ","Checks Paid",IF(OR(E253="BILLPAY",ISNUMBER(SEARCH("FRANCHISE TAX",C253)),ISNUMBER(SEARCH("NEXTLINK",C253))),"Personal - House Bills",IF(AND(ISNUMBER(SEARCH("PAYMENT FROM",C253)),ISNUMBER(SEARCH("JOE SAUNDERS",C253))),"Zelle from Joe Saunders",IF(AND(ISNUMBER(SEARCH("PAYMENT TO",C253)),ISNUMBER(SEARCH("JOE SAUNDERS",C253))),"Zelle to Joe Saunders",IF(OR(ISNUMBER(SEARCH("NEW ORLEANS",C253)),ISNUMBER(SEARCH("KENNER",C253)),ISNUMBER(SEARCH("HENRY HOWARD",C253)),ISNUMBER(SEARCH("MISS CLAUDIA",C253))),"Personal Travel - New Orleans",IF(AND(YEAR(B253)=2025,MONTH(B253)=4,OR(ISNUMBER(SEARCH("EXCHANGE RATE",C253)),ISNUMBER(SEARCH("EXCHG RTE",C253)))),"Personal Travel - Italy",IFERROR(INDEX('Category Rules'!$B$2:$B$358,MATCH(TRUE,ISNUMBER(SEARCH('Category Rules'!$A$2:$A$358,C253)),0)),""))))))))</f>
        <v>Personal - Health</v>
      </c>
    </row>
    <row r="254" spans="1:7" x14ac:dyDescent="0.25">
      <c r="A254" t="s">
        <v>6</v>
      </c>
      <c r="B254" s="1">
        <v>45992</v>
      </c>
      <c r="C254" t="s">
        <v>234</v>
      </c>
      <c r="D254">
        <v>-27.43</v>
      </c>
      <c r="E254" t="s">
        <v>10</v>
      </c>
      <c r="F254">
        <v>5935.26</v>
      </c>
      <c r="G254" t="str" cm="1">
        <f t="array" ref="G254">IF(AND(ISNUMBER(SEARCH("UBER",C254)),ISNUMBER(SEARCH("EATS",C254))),"Uber Eats",IF(LEFT(C254,6)="CHECK ","Checks Paid",IF(OR(E254="BILLPAY",ISNUMBER(SEARCH("FRANCHISE TAX",C254)),ISNUMBER(SEARCH("NEXTLINK",C254))),"Personal - House Bills",IF(AND(ISNUMBER(SEARCH("PAYMENT FROM",C254)),ISNUMBER(SEARCH("JOE SAUNDERS",C254))),"Zelle from Joe Saunders",IF(AND(ISNUMBER(SEARCH("PAYMENT TO",C254)),ISNUMBER(SEARCH("JOE SAUNDERS",C254))),"Zelle to Joe Saunders",IF(OR(ISNUMBER(SEARCH("NEW ORLEANS",C254)),ISNUMBER(SEARCH("KENNER",C254)),ISNUMBER(SEARCH("HENRY HOWARD",C254)),ISNUMBER(SEARCH("MISS CLAUDIA",C254))),"Personal Travel - New Orleans",IF(AND(YEAR(B254)=2025,MONTH(B254)=4,OR(ISNUMBER(SEARCH("EXCHANGE RATE",C254)),ISNUMBER(SEARCH("EXCHG RTE",C254)))),"Personal Travel - Italy",IFERROR(INDEX('Category Rules'!$B$2:$B$358,MATCH(TRUE,ISNUMBER(SEARCH('Category Rules'!$A$2:$A$358,C254)),0)),""))))))))</f>
        <v>Amazon</v>
      </c>
    </row>
    <row r="255" spans="1:7" x14ac:dyDescent="0.25">
      <c r="A255" t="s">
        <v>44</v>
      </c>
      <c r="B255" s="1">
        <v>45992</v>
      </c>
      <c r="C255" t="s">
        <v>235</v>
      </c>
      <c r="D255">
        <v>3000</v>
      </c>
      <c r="E255" t="s">
        <v>73</v>
      </c>
      <c r="F255">
        <v>5962.69</v>
      </c>
      <c r="G255" t="str" cm="1">
        <f t="array" ref="G255">IF(AND(ISNUMBER(SEARCH("UBER",C255)),ISNUMBER(SEARCH("EATS",C255))),"Uber Eats",IF(LEFT(C255,6)="CHECK ","Checks Paid",IF(OR(E255="BILLPAY",ISNUMBER(SEARCH("FRANCHISE TAX",C255)),ISNUMBER(SEARCH("NEXTLINK",C255))),"Personal - House Bills",IF(AND(ISNUMBER(SEARCH("PAYMENT FROM",C255)),ISNUMBER(SEARCH("JOE SAUNDERS",C255))),"Zelle from Joe Saunders",IF(AND(ISNUMBER(SEARCH("PAYMENT TO",C255)),ISNUMBER(SEARCH("JOE SAUNDERS",C255))),"Zelle to Joe Saunders",IF(OR(ISNUMBER(SEARCH("NEW ORLEANS",C255)),ISNUMBER(SEARCH("KENNER",C255)),ISNUMBER(SEARCH("HENRY HOWARD",C255)),ISNUMBER(SEARCH("MISS CLAUDIA",C255))),"Personal Travel - New Orleans",IF(AND(YEAR(B255)=2025,MONTH(B255)=4,OR(ISNUMBER(SEARCH("EXCHANGE RATE",C255)),ISNUMBER(SEARCH("EXCHG RTE",C255)))),"Personal Travel - Italy",IFERROR(INDEX('Category Rules'!$B$2:$B$358,MATCH(TRUE,ISNUMBER(SEARCH('Category Rules'!$A$2:$A$358,C255)),0)),""))))))))</f>
        <v>Transfer from DWG Capital Group</v>
      </c>
    </row>
    <row r="256" spans="1:7" x14ac:dyDescent="0.25">
      <c r="A256" t="s">
        <v>6</v>
      </c>
      <c r="B256" s="1">
        <v>45989</v>
      </c>
      <c r="C256" t="s">
        <v>236</v>
      </c>
      <c r="D256">
        <v>-37.340000000000003</v>
      </c>
      <c r="E256" t="s">
        <v>10</v>
      </c>
      <c r="F256">
        <v>2962.69</v>
      </c>
      <c r="G256" t="str" cm="1">
        <f t="array" ref="G256">IF(AND(ISNUMBER(SEARCH("UBER",C256)),ISNUMBER(SEARCH("EATS",C256))),"Uber Eats",IF(LEFT(C256,6)="CHECK ","Checks Paid",IF(OR(E256="BILLPAY",ISNUMBER(SEARCH("FRANCHISE TAX",C256)),ISNUMBER(SEARCH("NEXTLINK",C256))),"Personal - House Bills",IF(AND(ISNUMBER(SEARCH("PAYMENT FROM",C256)),ISNUMBER(SEARCH("JOE SAUNDERS",C256))),"Zelle from Joe Saunders",IF(AND(ISNUMBER(SEARCH("PAYMENT TO",C256)),ISNUMBER(SEARCH("JOE SAUNDERS",C256))),"Zelle to Joe Saunders",IF(OR(ISNUMBER(SEARCH("NEW ORLEANS",C256)),ISNUMBER(SEARCH("KENNER",C256)),ISNUMBER(SEARCH("HENRY HOWARD",C256)),ISNUMBER(SEARCH("MISS CLAUDIA",C256))),"Personal Travel - New Orleans",IF(AND(YEAR(B256)=2025,MONTH(B256)=4,OR(ISNUMBER(SEARCH("EXCHANGE RATE",C256)),ISNUMBER(SEARCH("EXCHG RTE",C256)))),"Personal Travel - Italy",IFERROR(INDEX('Category Rules'!$B$2:$B$358,MATCH(TRUE,ISNUMBER(SEARCH('Category Rules'!$A$2:$A$358,C256)),0)),""))))))))</f>
        <v>Uber Eats</v>
      </c>
    </row>
    <row r="257" spans="1:7" x14ac:dyDescent="0.25">
      <c r="A257" t="s">
        <v>6</v>
      </c>
      <c r="B257" s="1">
        <v>45989</v>
      </c>
      <c r="C257" t="s">
        <v>237</v>
      </c>
      <c r="D257">
        <v>-5.99</v>
      </c>
      <c r="E257" t="s">
        <v>10</v>
      </c>
      <c r="F257">
        <v>3000.03</v>
      </c>
      <c r="G257" t="str" cm="1">
        <f t="array" ref="G257">IF(AND(ISNUMBER(SEARCH("UBER",C257)),ISNUMBER(SEARCH("EATS",C257))),"Uber Eats",IF(LEFT(C257,6)="CHECK ","Checks Paid",IF(OR(E257="BILLPAY",ISNUMBER(SEARCH("FRANCHISE TAX",C257)),ISNUMBER(SEARCH("NEXTLINK",C257))),"Personal - House Bills",IF(AND(ISNUMBER(SEARCH("PAYMENT FROM",C257)),ISNUMBER(SEARCH("JOE SAUNDERS",C257))),"Zelle from Joe Saunders",IF(AND(ISNUMBER(SEARCH("PAYMENT TO",C257)),ISNUMBER(SEARCH("JOE SAUNDERS",C257))),"Zelle to Joe Saunders",IF(OR(ISNUMBER(SEARCH("NEW ORLEANS",C257)),ISNUMBER(SEARCH("KENNER",C257)),ISNUMBER(SEARCH("HENRY HOWARD",C257)),ISNUMBER(SEARCH("MISS CLAUDIA",C257))),"Personal Travel - New Orleans",IF(AND(YEAR(B257)=2025,MONTH(B257)=4,OR(ISNUMBER(SEARCH("EXCHANGE RATE",C257)),ISNUMBER(SEARCH("EXCHG RTE",C257)))),"Personal Travel - Italy",IFERROR(INDEX('Category Rules'!$B$2:$B$358,MATCH(TRUE,ISNUMBER(SEARCH('Category Rules'!$A$2:$A$358,C257)),0)),""))))))))</f>
        <v>Apple</v>
      </c>
    </row>
    <row r="258" spans="1:7" x14ac:dyDescent="0.25">
      <c r="A258" t="s">
        <v>6</v>
      </c>
      <c r="B258" s="1">
        <v>45989</v>
      </c>
      <c r="C258" t="s">
        <v>238</v>
      </c>
      <c r="D258">
        <v>-332.54</v>
      </c>
      <c r="E258" t="s">
        <v>10</v>
      </c>
      <c r="F258">
        <v>3006.02</v>
      </c>
      <c r="G258" t="str" cm="1">
        <f t="array" ref="G258">IF(AND(ISNUMBER(SEARCH("UBER",C258)),ISNUMBER(SEARCH("EATS",C258))),"Uber Eats",IF(LEFT(C258,6)="CHECK ","Checks Paid",IF(OR(E258="BILLPAY",ISNUMBER(SEARCH("FRANCHISE TAX",C258)),ISNUMBER(SEARCH("NEXTLINK",C258))),"Personal - House Bills",IF(AND(ISNUMBER(SEARCH("PAYMENT FROM",C258)),ISNUMBER(SEARCH("JOE SAUNDERS",C258))),"Zelle from Joe Saunders",IF(AND(ISNUMBER(SEARCH("PAYMENT TO",C258)),ISNUMBER(SEARCH("JOE SAUNDERS",C258))),"Zelle to Joe Saunders",IF(OR(ISNUMBER(SEARCH("NEW ORLEANS",C258)),ISNUMBER(SEARCH("KENNER",C258)),ISNUMBER(SEARCH("HENRY HOWARD",C258)),ISNUMBER(SEARCH("MISS CLAUDIA",C258))),"Personal Travel - New Orleans",IF(AND(YEAR(B258)=2025,MONTH(B258)=4,OR(ISNUMBER(SEARCH("EXCHANGE RATE",C258)),ISNUMBER(SEARCH("EXCHG RTE",C258)))),"Personal Travel - Italy",IFERROR(INDEX('Category Rules'!$B$2:$B$358,MATCH(TRUE,ISNUMBER(SEARCH('Category Rules'!$A$2:$A$358,C258)),0)),""))))))))</f>
        <v>Personal - Clothing</v>
      </c>
    </row>
    <row r="259" spans="1:7" x14ac:dyDescent="0.25">
      <c r="A259" t="s">
        <v>6</v>
      </c>
      <c r="B259" s="1">
        <v>45989</v>
      </c>
      <c r="C259" t="s">
        <v>239</v>
      </c>
      <c r="D259">
        <v>-42.79</v>
      </c>
      <c r="E259" t="s">
        <v>10</v>
      </c>
      <c r="F259">
        <v>3338.56</v>
      </c>
      <c r="G259" t="str" cm="1">
        <f t="array" ref="G259">IF(AND(ISNUMBER(SEARCH("UBER",C259)),ISNUMBER(SEARCH("EATS",C259))),"Uber Eats",IF(LEFT(C259,6)="CHECK ","Checks Paid",IF(OR(E259="BILLPAY",ISNUMBER(SEARCH("FRANCHISE TAX",C259)),ISNUMBER(SEARCH("NEXTLINK",C259))),"Personal - House Bills",IF(AND(ISNUMBER(SEARCH("PAYMENT FROM",C259)),ISNUMBER(SEARCH("JOE SAUNDERS",C259))),"Zelle from Joe Saunders",IF(AND(ISNUMBER(SEARCH("PAYMENT TO",C259)),ISNUMBER(SEARCH("JOE SAUNDERS",C259))),"Zelle to Joe Saunders",IF(OR(ISNUMBER(SEARCH("NEW ORLEANS",C259)),ISNUMBER(SEARCH("KENNER",C259)),ISNUMBER(SEARCH("HENRY HOWARD",C259)),ISNUMBER(SEARCH("MISS CLAUDIA",C259))),"Personal Travel - New Orleans",IF(AND(YEAR(B259)=2025,MONTH(B259)=4,OR(ISNUMBER(SEARCH("EXCHANGE RATE",C259)),ISNUMBER(SEARCH("EXCHG RTE",C259)))),"Personal Travel - Italy",IFERROR(INDEX('Category Rules'!$B$2:$B$358,MATCH(TRUE,ISNUMBER(SEARCH('Category Rules'!$A$2:$A$358,C259)),0)),""))))))))</f>
        <v>Amazon</v>
      </c>
    </row>
    <row r="260" spans="1:7" x14ac:dyDescent="0.25">
      <c r="A260" t="s">
        <v>6</v>
      </c>
      <c r="B260" s="1">
        <v>45989</v>
      </c>
      <c r="C260" t="s">
        <v>240</v>
      </c>
      <c r="D260">
        <v>-124.17</v>
      </c>
      <c r="E260" t="s">
        <v>10</v>
      </c>
      <c r="F260">
        <v>3381.35</v>
      </c>
      <c r="G260" t="str" cm="1">
        <f t="array" ref="G260">IF(AND(ISNUMBER(SEARCH("UBER",C260)),ISNUMBER(SEARCH("EATS",C260))),"Uber Eats",IF(LEFT(C260,6)="CHECK ","Checks Paid",IF(OR(E260="BILLPAY",ISNUMBER(SEARCH("FRANCHISE TAX",C260)),ISNUMBER(SEARCH("NEXTLINK",C260))),"Personal - House Bills",IF(AND(ISNUMBER(SEARCH("PAYMENT FROM",C260)),ISNUMBER(SEARCH("JOE SAUNDERS",C260))),"Zelle from Joe Saunders",IF(AND(ISNUMBER(SEARCH("PAYMENT TO",C260)),ISNUMBER(SEARCH("JOE SAUNDERS",C260))),"Zelle to Joe Saunders",IF(OR(ISNUMBER(SEARCH("NEW ORLEANS",C260)),ISNUMBER(SEARCH("KENNER",C260)),ISNUMBER(SEARCH("HENRY HOWARD",C260)),ISNUMBER(SEARCH("MISS CLAUDIA",C260))),"Personal Travel - New Orleans",IF(AND(YEAR(B260)=2025,MONTH(B260)=4,OR(ISNUMBER(SEARCH("EXCHANGE RATE",C260)),ISNUMBER(SEARCH("EXCHG RTE",C260)))),"Personal Travel - Italy",IFERROR(INDEX('Category Rules'!$B$2:$B$358,MATCH(TRUE,ISNUMBER(SEARCH('Category Rules'!$A$2:$A$358,C260)),0)),""))))))))</f>
        <v>Amazon</v>
      </c>
    </row>
    <row r="261" spans="1:7" x14ac:dyDescent="0.25">
      <c r="A261" t="s">
        <v>6</v>
      </c>
      <c r="B261" s="1">
        <v>45989</v>
      </c>
      <c r="C261" t="s">
        <v>241</v>
      </c>
      <c r="D261">
        <v>-35.119999999999997</v>
      </c>
      <c r="E261" t="s">
        <v>10</v>
      </c>
      <c r="F261">
        <v>3505.52</v>
      </c>
      <c r="G261" t="str" cm="1">
        <f t="array" ref="G261">IF(AND(ISNUMBER(SEARCH("UBER",C261)),ISNUMBER(SEARCH("EATS",C261))),"Uber Eats",IF(LEFT(C261,6)="CHECK ","Checks Paid",IF(OR(E261="BILLPAY",ISNUMBER(SEARCH("FRANCHISE TAX",C261)),ISNUMBER(SEARCH("NEXTLINK",C261))),"Personal - House Bills",IF(AND(ISNUMBER(SEARCH("PAYMENT FROM",C261)),ISNUMBER(SEARCH("JOE SAUNDERS",C261))),"Zelle from Joe Saunders",IF(AND(ISNUMBER(SEARCH("PAYMENT TO",C261)),ISNUMBER(SEARCH("JOE SAUNDERS",C261))),"Zelle to Joe Saunders",IF(OR(ISNUMBER(SEARCH("NEW ORLEANS",C261)),ISNUMBER(SEARCH("KENNER",C261)),ISNUMBER(SEARCH("HENRY HOWARD",C261)),ISNUMBER(SEARCH("MISS CLAUDIA",C261))),"Personal Travel - New Orleans",IF(AND(YEAR(B261)=2025,MONTH(B261)=4,OR(ISNUMBER(SEARCH("EXCHANGE RATE",C261)),ISNUMBER(SEARCH("EXCHG RTE",C261)))),"Personal Travel - Italy",IFERROR(INDEX('Category Rules'!$B$2:$B$358,MATCH(TRUE,ISNUMBER(SEARCH('Category Rules'!$A$2:$A$358,C261)),0)),""))))))))</f>
        <v>Amazon</v>
      </c>
    </row>
    <row r="262" spans="1:7" x14ac:dyDescent="0.25">
      <c r="A262" t="s">
        <v>6</v>
      </c>
      <c r="B262" s="1">
        <v>45989</v>
      </c>
      <c r="C262" t="s">
        <v>242</v>
      </c>
      <c r="D262">
        <v>-27.1</v>
      </c>
      <c r="E262" t="s">
        <v>10</v>
      </c>
      <c r="F262">
        <v>3540.64</v>
      </c>
      <c r="G262" t="str" cm="1">
        <f t="array" ref="G262">IF(AND(ISNUMBER(SEARCH("UBER",C262)),ISNUMBER(SEARCH("EATS",C262))),"Uber Eats",IF(LEFT(C262,6)="CHECK ","Checks Paid",IF(OR(E262="BILLPAY",ISNUMBER(SEARCH("FRANCHISE TAX",C262)),ISNUMBER(SEARCH("NEXTLINK",C262))),"Personal - House Bills",IF(AND(ISNUMBER(SEARCH("PAYMENT FROM",C262)),ISNUMBER(SEARCH("JOE SAUNDERS",C262))),"Zelle from Joe Saunders",IF(AND(ISNUMBER(SEARCH("PAYMENT TO",C262)),ISNUMBER(SEARCH("JOE SAUNDERS",C262))),"Zelle to Joe Saunders",IF(OR(ISNUMBER(SEARCH("NEW ORLEANS",C262)),ISNUMBER(SEARCH("KENNER",C262)),ISNUMBER(SEARCH("HENRY HOWARD",C262)),ISNUMBER(SEARCH("MISS CLAUDIA",C262))),"Personal Travel - New Orleans",IF(AND(YEAR(B262)=2025,MONTH(B262)=4,OR(ISNUMBER(SEARCH("EXCHANGE RATE",C262)),ISNUMBER(SEARCH("EXCHG RTE",C262)))),"Personal Travel - Italy",IFERROR(INDEX('Category Rules'!$B$2:$B$358,MATCH(TRUE,ISNUMBER(SEARCH('Category Rules'!$A$2:$A$358,C262)),0)),""))))))))</f>
        <v>Personal - Food</v>
      </c>
    </row>
    <row r="263" spans="1:7" x14ac:dyDescent="0.25">
      <c r="A263" t="s">
        <v>6</v>
      </c>
      <c r="B263" s="1">
        <v>45989</v>
      </c>
      <c r="C263" t="s">
        <v>243</v>
      </c>
      <c r="D263">
        <v>-5.99</v>
      </c>
      <c r="E263" t="s">
        <v>10</v>
      </c>
      <c r="F263">
        <v>3567.74</v>
      </c>
      <c r="G263" t="str" cm="1">
        <f t="array" ref="G263">IF(AND(ISNUMBER(SEARCH("UBER",C263)),ISNUMBER(SEARCH("EATS",C263))),"Uber Eats",IF(LEFT(C263,6)="CHECK ","Checks Paid",IF(OR(E263="BILLPAY",ISNUMBER(SEARCH("FRANCHISE TAX",C263)),ISNUMBER(SEARCH("NEXTLINK",C263))),"Personal - House Bills",IF(AND(ISNUMBER(SEARCH("PAYMENT FROM",C263)),ISNUMBER(SEARCH("JOE SAUNDERS",C263))),"Zelle from Joe Saunders",IF(AND(ISNUMBER(SEARCH("PAYMENT TO",C263)),ISNUMBER(SEARCH("JOE SAUNDERS",C263))),"Zelle to Joe Saunders",IF(OR(ISNUMBER(SEARCH("NEW ORLEANS",C263)),ISNUMBER(SEARCH("KENNER",C263)),ISNUMBER(SEARCH("HENRY HOWARD",C263)),ISNUMBER(SEARCH("MISS CLAUDIA",C263))),"Personal Travel - New Orleans",IF(AND(YEAR(B263)=2025,MONTH(B263)=4,OR(ISNUMBER(SEARCH("EXCHANGE RATE",C263)),ISNUMBER(SEARCH("EXCHG RTE",C263)))),"Personal Travel - Italy",IFERROR(INDEX('Category Rules'!$B$2:$B$358,MATCH(TRUE,ISNUMBER(SEARCH('Category Rules'!$A$2:$A$358,C263)),0)),""))))))))</f>
        <v>Personal - Subscription</v>
      </c>
    </row>
    <row r="264" spans="1:7" x14ac:dyDescent="0.25">
      <c r="A264" t="s">
        <v>6</v>
      </c>
      <c r="B264" s="1">
        <v>45989</v>
      </c>
      <c r="C264" t="s">
        <v>244</v>
      </c>
      <c r="D264">
        <v>-6.99</v>
      </c>
      <c r="E264" t="s">
        <v>10</v>
      </c>
      <c r="F264">
        <v>3573.73</v>
      </c>
      <c r="G264" t="str" cm="1">
        <f t="array" ref="G264">IF(AND(ISNUMBER(SEARCH("UBER",C264)),ISNUMBER(SEARCH("EATS",C264))),"Uber Eats",IF(LEFT(C264,6)="CHECK ","Checks Paid",IF(OR(E264="BILLPAY",ISNUMBER(SEARCH("FRANCHISE TAX",C264)),ISNUMBER(SEARCH("NEXTLINK",C264))),"Personal - House Bills",IF(AND(ISNUMBER(SEARCH("PAYMENT FROM",C264)),ISNUMBER(SEARCH("JOE SAUNDERS",C264))),"Zelle from Joe Saunders",IF(AND(ISNUMBER(SEARCH("PAYMENT TO",C264)),ISNUMBER(SEARCH("JOE SAUNDERS",C264))),"Zelle to Joe Saunders",IF(OR(ISNUMBER(SEARCH("NEW ORLEANS",C264)),ISNUMBER(SEARCH("KENNER",C264)),ISNUMBER(SEARCH("HENRY HOWARD",C264)),ISNUMBER(SEARCH("MISS CLAUDIA",C264))),"Personal Travel - New Orleans",IF(AND(YEAR(B264)=2025,MONTH(B264)=4,OR(ISNUMBER(SEARCH("EXCHANGE RATE",C264)),ISNUMBER(SEARCH("EXCHG RTE",C264)))),"Personal Travel - Italy",IFERROR(INDEX('Category Rules'!$B$2:$B$358,MATCH(TRUE,ISNUMBER(SEARCH('Category Rules'!$A$2:$A$358,C264)),0)),""))))))))</f>
        <v>Amazon</v>
      </c>
    </row>
    <row r="265" spans="1:7" x14ac:dyDescent="0.25">
      <c r="A265" t="s">
        <v>6</v>
      </c>
      <c r="B265" s="1">
        <v>45989</v>
      </c>
      <c r="C265" t="s">
        <v>245</v>
      </c>
      <c r="D265">
        <v>-28.51</v>
      </c>
      <c r="E265" t="s">
        <v>10</v>
      </c>
      <c r="F265">
        <v>3580.72</v>
      </c>
      <c r="G265" t="str" cm="1">
        <f t="array" ref="G265">IF(AND(ISNUMBER(SEARCH("UBER",C265)),ISNUMBER(SEARCH("EATS",C265))),"Uber Eats",IF(LEFT(C265,6)="CHECK ","Checks Paid",IF(OR(E265="BILLPAY",ISNUMBER(SEARCH("FRANCHISE TAX",C265)),ISNUMBER(SEARCH("NEXTLINK",C265))),"Personal - House Bills",IF(AND(ISNUMBER(SEARCH("PAYMENT FROM",C265)),ISNUMBER(SEARCH("JOE SAUNDERS",C265))),"Zelle from Joe Saunders",IF(AND(ISNUMBER(SEARCH("PAYMENT TO",C265)),ISNUMBER(SEARCH("JOE SAUNDERS",C265))),"Zelle to Joe Saunders",IF(OR(ISNUMBER(SEARCH("NEW ORLEANS",C265)),ISNUMBER(SEARCH("KENNER",C265)),ISNUMBER(SEARCH("HENRY HOWARD",C265)),ISNUMBER(SEARCH("MISS CLAUDIA",C265))),"Personal Travel - New Orleans",IF(AND(YEAR(B265)=2025,MONTH(B265)=4,OR(ISNUMBER(SEARCH("EXCHANGE RATE",C265)),ISNUMBER(SEARCH("EXCHG RTE",C265)))),"Personal Travel - Italy",IFERROR(INDEX('Category Rules'!$B$2:$B$358,MATCH(TRUE,ISNUMBER(SEARCH('Category Rules'!$A$2:$A$358,C265)),0)),""))))))))</f>
        <v>Amazon</v>
      </c>
    </row>
    <row r="266" spans="1:7" x14ac:dyDescent="0.25">
      <c r="A266" t="s">
        <v>6</v>
      </c>
      <c r="B266" s="1">
        <v>45989</v>
      </c>
      <c r="C266" t="s">
        <v>246</v>
      </c>
      <c r="D266">
        <v>-188.95</v>
      </c>
      <c r="E266" t="s">
        <v>10</v>
      </c>
      <c r="F266">
        <v>3609.23</v>
      </c>
      <c r="G266" t="str" cm="1">
        <f t="array" ref="G266">IF(AND(ISNUMBER(SEARCH("UBER",C266)),ISNUMBER(SEARCH("EATS",C266))),"Uber Eats",IF(LEFT(C266,6)="CHECK ","Checks Paid",IF(OR(E266="BILLPAY",ISNUMBER(SEARCH("FRANCHISE TAX",C266)),ISNUMBER(SEARCH("NEXTLINK",C266))),"Personal - House Bills",IF(AND(ISNUMBER(SEARCH("PAYMENT FROM",C266)),ISNUMBER(SEARCH("JOE SAUNDERS",C266))),"Zelle from Joe Saunders",IF(AND(ISNUMBER(SEARCH("PAYMENT TO",C266)),ISNUMBER(SEARCH("JOE SAUNDERS",C266))),"Zelle to Joe Saunders",IF(OR(ISNUMBER(SEARCH("NEW ORLEANS",C266)),ISNUMBER(SEARCH("KENNER",C266)),ISNUMBER(SEARCH("HENRY HOWARD",C266)),ISNUMBER(SEARCH("MISS CLAUDIA",C266))),"Personal Travel - New Orleans",IF(AND(YEAR(B266)=2025,MONTH(B266)=4,OR(ISNUMBER(SEARCH("EXCHANGE RATE",C266)),ISNUMBER(SEARCH("EXCHG RTE",C266)))),"Personal Travel - Italy",IFERROR(INDEX('Category Rules'!$B$2:$B$358,MATCH(TRUE,ISNUMBER(SEARCH('Category Rules'!$A$2:$A$358,C266)),0)),""))))))))</f>
        <v>Personal - Shopping</v>
      </c>
    </row>
    <row r="267" spans="1:7" x14ac:dyDescent="0.25">
      <c r="A267" t="s">
        <v>6</v>
      </c>
      <c r="B267" s="1">
        <v>45989</v>
      </c>
      <c r="C267" t="s">
        <v>246</v>
      </c>
      <c r="D267">
        <v>-621.97</v>
      </c>
      <c r="E267" t="s">
        <v>10</v>
      </c>
      <c r="F267">
        <v>3798.18</v>
      </c>
      <c r="G267" t="str" cm="1">
        <f t="array" ref="G267">IF(AND(ISNUMBER(SEARCH("UBER",C267)),ISNUMBER(SEARCH("EATS",C267))),"Uber Eats",IF(LEFT(C267,6)="CHECK ","Checks Paid",IF(OR(E267="BILLPAY",ISNUMBER(SEARCH("FRANCHISE TAX",C267)),ISNUMBER(SEARCH("NEXTLINK",C267))),"Personal - House Bills",IF(AND(ISNUMBER(SEARCH("PAYMENT FROM",C267)),ISNUMBER(SEARCH("JOE SAUNDERS",C267))),"Zelle from Joe Saunders",IF(AND(ISNUMBER(SEARCH("PAYMENT TO",C267)),ISNUMBER(SEARCH("JOE SAUNDERS",C267))),"Zelle to Joe Saunders",IF(OR(ISNUMBER(SEARCH("NEW ORLEANS",C267)),ISNUMBER(SEARCH("KENNER",C267)),ISNUMBER(SEARCH("HENRY HOWARD",C267)),ISNUMBER(SEARCH("MISS CLAUDIA",C267))),"Personal Travel - New Orleans",IF(AND(YEAR(B267)=2025,MONTH(B267)=4,OR(ISNUMBER(SEARCH("EXCHANGE RATE",C267)),ISNUMBER(SEARCH("EXCHG RTE",C267)))),"Personal Travel - Italy",IFERROR(INDEX('Category Rules'!$B$2:$B$358,MATCH(TRUE,ISNUMBER(SEARCH('Category Rules'!$A$2:$A$358,C267)),0)),""))))))))</f>
        <v>Personal - Shopping</v>
      </c>
    </row>
    <row r="268" spans="1:7" x14ac:dyDescent="0.25">
      <c r="A268" t="s">
        <v>44</v>
      </c>
      <c r="B268" s="1">
        <v>45989</v>
      </c>
      <c r="C268" t="s">
        <v>247</v>
      </c>
      <c r="D268">
        <v>500</v>
      </c>
      <c r="E268" t="s">
        <v>46</v>
      </c>
      <c r="F268">
        <v>4420.1499999999996</v>
      </c>
      <c r="G268" t="str" cm="1">
        <f t="array" ref="G268">IF(AND(ISNUMBER(SEARCH("UBER",C268)),ISNUMBER(SEARCH("EATS",C268))),"Uber Eats",IF(LEFT(C268,6)="CHECK ","Checks Paid",IF(OR(E268="BILLPAY",ISNUMBER(SEARCH("FRANCHISE TAX",C268)),ISNUMBER(SEARCH("NEXTLINK",C268))),"Personal - House Bills",IF(AND(ISNUMBER(SEARCH("PAYMENT FROM",C268)),ISNUMBER(SEARCH("JOE SAUNDERS",C268))),"Zelle from Joe Saunders",IF(AND(ISNUMBER(SEARCH("PAYMENT TO",C268)),ISNUMBER(SEARCH("JOE SAUNDERS",C268))),"Zelle to Joe Saunders",IF(OR(ISNUMBER(SEARCH("NEW ORLEANS",C268)),ISNUMBER(SEARCH("KENNER",C268)),ISNUMBER(SEARCH("HENRY HOWARD",C268)),ISNUMBER(SEARCH("MISS CLAUDIA",C268))),"Personal Travel - New Orleans",IF(AND(YEAR(B268)=2025,MONTH(B268)=4,OR(ISNUMBER(SEARCH("EXCHANGE RATE",C268)),ISNUMBER(SEARCH("EXCHG RTE",C268)))),"Personal Travel - Italy",IFERROR(INDEX('Category Rules'!$B$2:$B$358,MATCH(TRUE,ISNUMBER(SEARCH('Category Rules'!$A$2:$A$358,C268)),0)),""))))))))</f>
        <v>Zelle from Joe Saunders</v>
      </c>
    </row>
    <row r="269" spans="1:7" x14ac:dyDescent="0.25">
      <c r="A269" t="s">
        <v>6</v>
      </c>
      <c r="B269" s="1">
        <v>45987</v>
      </c>
      <c r="C269" t="s">
        <v>248</v>
      </c>
      <c r="D269">
        <v>-189.96</v>
      </c>
      <c r="E269" t="s">
        <v>10</v>
      </c>
      <c r="F269">
        <v>3920.15</v>
      </c>
      <c r="G269" t="str" cm="1">
        <f t="array" ref="G269">IF(AND(ISNUMBER(SEARCH("UBER",C269)),ISNUMBER(SEARCH("EATS",C269))),"Uber Eats",IF(LEFT(C269,6)="CHECK ","Checks Paid",IF(OR(E269="BILLPAY",ISNUMBER(SEARCH("FRANCHISE TAX",C269)),ISNUMBER(SEARCH("NEXTLINK",C269))),"Personal - House Bills",IF(AND(ISNUMBER(SEARCH("PAYMENT FROM",C269)),ISNUMBER(SEARCH("JOE SAUNDERS",C269))),"Zelle from Joe Saunders",IF(AND(ISNUMBER(SEARCH("PAYMENT TO",C269)),ISNUMBER(SEARCH("JOE SAUNDERS",C269))),"Zelle to Joe Saunders",IF(OR(ISNUMBER(SEARCH("NEW ORLEANS",C269)),ISNUMBER(SEARCH("KENNER",C269)),ISNUMBER(SEARCH("HENRY HOWARD",C269)),ISNUMBER(SEARCH("MISS CLAUDIA",C269))),"Personal Travel - New Orleans",IF(AND(YEAR(B269)=2025,MONTH(B269)=4,OR(ISNUMBER(SEARCH("EXCHANGE RATE",C269)),ISNUMBER(SEARCH("EXCHG RTE",C269)))),"Personal Travel - Italy",IFERROR(INDEX('Category Rules'!$B$2:$B$358,MATCH(TRUE,ISNUMBER(SEARCH('Category Rules'!$A$2:$A$358,C269)),0)),""))))))))</f>
        <v>Personal - Food</v>
      </c>
    </row>
    <row r="270" spans="1:7" x14ac:dyDescent="0.25">
      <c r="A270" t="s">
        <v>6</v>
      </c>
      <c r="B270" s="1">
        <v>45987</v>
      </c>
      <c r="C270" t="s">
        <v>249</v>
      </c>
      <c r="D270">
        <v>-129.47</v>
      </c>
      <c r="E270" t="s">
        <v>10</v>
      </c>
      <c r="F270">
        <v>4110.1099999999997</v>
      </c>
      <c r="G270" t="str" cm="1">
        <f t="array" ref="G270">IF(AND(ISNUMBER(SEARCH("UBER",C270)),ISNUMBER(SEARCH("EATS",C270))),"Uber Eats",IF(LEFT(C270,6)="CHECK ","Checks Paid",IF(OR(E270="BILLPAY",ISNUMBER(SEARCH("FRANCHISE TAX",C270)),ISNUMBER(SEARCH("NEXTLINK",C270))),"Personal - House Bills",IF(AND(ISNUMBER(SEARCH("PAYMENT FROM",C270)),ISNUMBER(SEARCH("JOE SAUNDERS",C270))),"Zelle from Joe Saunders",IF(AND(ISNUMBER(SEARCH("PAYMENT TO",C270)),ISNUMBER(SEARCH("JOE SAUNDERS",C270))),"Zelle to Joe Saunders",IF(OR(ISNUMBER(SEARCH("NEW ORLEANS",C270)),ISNUMBER(SEARCH("KENNER",C270)),ISNUMBER(SEARCH("HENRY HOWARD",C270)),ISNUMBER(SEARCH("MISS CLAUDIA",C270))),"Personal Travel - New Orleans",IF(AND(YEAR(B270)=2025,MONTH(B270)=4,OR(ISNUMBER(SEARCH("EXCHANGE RATE",C270)),ISNUMBER(SEARCH("EXCHG RTE",C270)))),"Personal Travel - Italy",IFERROR(INDEX('Category Rules'!$B$2:$B$358,MATCH(TRUE,ISNUMBER(SEARCH('Category Rules'!$A$2:$A$358,C270)),0)),""))))))))</f>
        <v>Amazon</v>
      </c>
    </row>
    <row r="271" spans="1:7" x14ac:dyDescent="0.25">
      <c r="A271" t="s">
        <v>44</v>
      </c>
      <c r="B271" s="1">
        <v>45987</v>
      </c>
      <c r="C271" t="s">
        <v>250</v>
      </c>
      <c r="D271">
        <v>150</v>
      </c>
      <c r="E271" t="s">
        <v>46</v>
      </c>
      <c r="F271">
        <v>4239.58</v>
      </c>
      <c r="G271" t="str" cm="1">
        <f t="array" ref="G271">IF(AND(ISNUMBER(SEARCH("UBER",C271)),ISNUMBER(SEARCH("EATS",C271))),"Uber Eats",IF(LEFT(C271,6)="CHECK ","Checks Paid",IF(OR(E271="BILLPAY",ISNUMBER(SEARCH("FRANCHISE TAX",C271)),ISNUMBER(SEARCH("NEXTLINK",C271))),"Personal - House Bills",IF(AND(ISNUMBER(SEARCH("PAYMENT FROM",C271)),ISNUMBER(SEARCH("JOE SAUNDERS",C271))),"Zelle from Joe Saunders",IF(AND(ISNUMBER(SEARCH("PAYMENT TO",C271)),ISNUMBER(SEARCH("JOE SAUNDERS",C271))),"Zelle to Joe Saunders",IF(OR(ISNUMBER(SEARCH("NEW ORLEANS",C271)),ISNUMBER(SEARCH("KENNER",C271)),ISNUMBER(SEARCH("HENRY HOWARD",C271)),ISNUMBER(SEARCH("MISS CLAUDIA",C271))),"Personal Travel - New Orleans",IF(AND(YEAR(B271)=2025,MONTH(B271)=4,OR(ISNUMBER(SEARCH("EXCHANGE RATE",C271)),ISNUMBER(SEARCH("EXCHG RTE",C271)))),"Personal Travel - Italy",IFERROR(INDEX('Category Rules'!$B$2:$B$358,MATCH(TRUE,ISNUMBER(SEARCH('Category Rules'!$A$2:$A$358,C271)),0)),""))))))))</f>
        <v>Zelle from ME Can't Believe Inc</v>
      </c>
    </row>
    <row r="272" spans="1:7" x14ac:dyDescent="0.25">
      <c r="A272" t="s">
        <v>6</v>
      </c>
      <c r="B272" s="1">
        <v>45986</v>
      </c>
      <c r="C272" t="s">
        <v>251</v>
      </c>
      <c r="D272">
        <v>-100</v>
      </c>
      <c r="E272" t="s">
        <v>73</v>
      </c>
      <c r="F272">
        <v>4089.58</v>
      </c>
      <c r="G272" t="str" cm="1">
        <f t="array" ref="G272">IF(AND(ISNUMBER(SEARCH("UBER",C272)),ISNUMBER(SEARCH("EATS",C272))),"Uber Eats",IF(LEFT(C272,6)="CHECK ","Checks Paid",IF(OR(E272="BILLPAY",ISNUMBER(SEARCH("FRANCHISE TAX",C272)),ISNUMBER(SEARCH("NEXTLINK",C272))),"Personal - House Bills",IF(AND(ISNUMBER(SEARCH("PAYMENT FROM",C272)),ISNUMBER(SEARCH("JOE SAUNDERS",C272))),"Zelle from Joe Saunders",IF(AND(ISNUMBER(SEARCH("PAYMENT TO",C272)),ISNUMBER(SEARCH("JOE SAUNDERS",C272))),"Zelle to Joe Saunders",IF(OR(ISNUMBER(SEARCH("NEW ORLEANS",C272)),ISNUMBER(SEARCH("KENNER",C272)),ISNUMBER(SEARCH("HENRY HOWARD",C272)),ISNUMBER(SEARCH("MISS CLAUDIA",C272))),"Personal Travel - New Orleans",IF(AND(YEAR(B272)=2025,MONTH(B272)=4,OR(ISNUMBER(SEARCH("EXCHANGE RATE",C272)),ISNUMBER(SEARCH("EXCHG RTE",C272)))),"Personal Travel - Italy",IFERROR(INDEX('Category Rules'!$B$2:$B$358,MATCH(TRUE,ISNUMBER(SEARCH('Category Rules'!$A$2:$A$358,C272)),0)),""))))))))</f>
        <v>Transfer to Ava</v>
      </c>
    </row>
    <row r="273" spans="1:7" x14ac:dyDescent="0.25">
      <c r="A273" t="s">
        <v>6</v>
      </c>
      <c r="B273" s="1">
        <v>45986</v>
      </c>
      <c r="C273" t="s">
        <v>252</v>
      </c>
      <c r="D273">
        <v>-12.95</v>
      </c>
      <c r="E273" t="s">
        <v>10</v>
      </c>
      <c r="F273">
        <v>4189.58</v>
      </c>
      <c r="G273" t="str" cm="1">
        <f t="array" ref="G273">IF(AND(ISNUMBER(SEARCH("UBER",C273)),ISNUMBER(SEARCH("EATS",C273))),"Uber Eats",IF(LEFT(C273,6)="CHECK ","Checks Paid",IF(OR(E273="BILLPAY",ISNUMBER(SEARCH("FRANCHISE TAX",C273)),ISNUMBER(SEARCH("NEXTLINK",C273))),"Personal - House Bills",IF(AND(ISNUMBER(SEARCH("PAYMENT FROM",C273)),ISNUMBER(SEARCH("JOE SAUNDERS",C273))),"Zelle from Joe Saunders",IF(AND(ISNUMBER(SEARCH("PAYMENT TO",C273)),ISNUMBER(SEARCH("JOE SAUNDERS",C273))),"Zelle to Joe Saunders",IF(OR(ISNUMBER(SEARCH("NEW ORLEANS",C273)),ISNUMBER(SEARCH("KENNER",C273)),ISNUMBER(SEARCH("HENRY HOWARD",C273)),ISNUMBER(SEARCH("MISS CLAUDIA",C273))),"Personal Travel - New Orleans",IF(AND(YEAR(B273)=2025,MONTH(B273)=4,OR(ISNUMBER(SEARCH("EXCHANGE RATE",C273)),ISNUMBER(SEARCH("EXCHG RTE",C273)))),"Personal Travel - Italy",IFERROR(INDEX('Category Rules'!$B$2:$B$358,MATCH(TRUE,ISNUMBER(SEARCH('Category Rules'!$A$2:$A$358,C273)),0)),""))))))))</f>
        <v>Uber Eats</v>
      </c>
    </row>
    <row r="274" spans="1:7" x14ac:dyDescent="0.25">
      <c r="A274" t="s">
        <v>6</v>
      </c>
      <c r="B274" s="1">
        <v>45986</v>
      </c>
      <c r="C274" t="s">
        <v>253</v>
      </c>
      <c r="D274">
        <v>-17.920000000000002</v>
      </c>
      <c r="E274" t="s">
        <v>10</v>
      </c>
      <c r="F274">
        <v>4202.53</v>
      </c>
      <c r="G274" t="str" cm="1">
        <f t="array" ref="G274">IF(AND(ISNUMBER(SEARCH("UBER",C274)),ISNUMBER(SEARCH("EATS",C274))),"Uber Eats",IF(LEFT(C274,6)="CHECK ","Checks Paid",IF(OR(E274="BILLPAY",ISNUMBER(SEARCH("FRANCHISE TAX",C274)),ISNUMBER(SEARCH("NEXTLINK",C274))),"Personal - House Bills",IF(AND(ISNUMBER(SEARCH("PAYMENT FROM",C274)),ISNUMBER(SEARCH("JOE SAUNDERS",C274))),"Zelle from Joe Saunders",IF(AND(ISNUMBER(SEARCH("PAYMENT TO",C274)),ISNUMBER(SEARCH("JOE SAUNDERS",C274))),"Zelle to Joe Saunders",IF(OR(ISNUMBER(SEARCH("NEW ORLEANS",C274)),ISNUMBER(SEARCH("KENNER",C274)),ISNUMBER(SEARCH("HENRY HOWARD",C274)),ISNUMBER(SEARCH("MISS CLAUDIA",C274))),"Personal Travel - New Orleans",IF(AND(YEAR(B274)=2025,MONTH(B274)=4,OR(ISNUMBER(SEARCH("EXCHANGE RATE",C274)),ISNUMBER(SEARCH("EXCHG RTE",C274)))),"Personal Travel - Italy",IFERROR(INDEX('Category Rules'!$B$2:$B$358,MATCH(TRUE,ISNUMBER(SEARCH('Category Rules'!$A$2:$A$358,C274)),0)),""))))))))</f>
        <v>Personal - Uber</v>
      </c>
    </row>
    <row r="275" spans="1:7" x14ac:dyDescent="0.25">
      <c r="A275" t="s">
        <v>6</v>
      </c>
      <c r="B275" s="1">
        <v>45986</v>
      </c>
      <c r="C275" t="s">
        <v>254</v>
      </c>
      <c r="D275">
        <v>-18.77</v>
      </c>
      <c r="E275" t="s">
        <v>10</v>
      </c>
      <c r="F275">
        <v>4220.45</v>
      </c>
      <c r="G275" t="str" cm="1">
        <f t="array" ref="G275">IF(AND(ISNUMBER(SEARCH("UBER",C275)),ISNUMBER(SEARCH("EATS",C275))),"Uber Eats",IF(LEFT(C275,6)="CHECK ","Checks Paid",IF(OR(E275="BILLPAY",ISNUMBER(SEARCH("FRANCHISE TAX",C275)),ISNUMBER(SEARCH("NEXTLINK",C275))),"Personal - House Bills",IF(AND(ISNUMBER(SEARCH("PAYMENT FROM",C275)),ISNUMBER(SEARCH("JOE SAUNDERS",C275))),"Zelle from Joe Saunders",IF(AND(ISNUMBER(SEARCH("PAYMENT TO",C275)),ISNUMBER(SEARCH("JOE SAUNDERS",C275))),"Zelle to Joe Saunders",IF(OR(ISNUMBER(SEARCH("NEW ORLEANS",C275)),ISNUMBER(SEARCH("KENNER",C275)),ISNUMBER(SEARCH("HENRY HOWARD",C275)),ISNUMBER(SEARCH("MISS CLAUDIA",C275))),"Personal Travel - New Orleans",IF(AND(YEAR(B275)=2025,MONTH(B275)=4,OR(ISNUMBER(SEARCH("EXCHANGE RATE",C275)),ISNUMBER(SEARCH("EXCHG RTE",C275)))),"Personal Travel - Italy",IFERROR(INDEX('Category Rules'!$B$2:$B$358,MATCH(TRUE,ISNUMBER(SEARCH('Category Rules'!$A$2:$A$358,C275)),0)),""))))))))</f>
        <v>Personal - Uber</v>
      </c>
    </row>
    <row r="276" spans="1:7" x14ac:dyDescent="0.25">
      <c r="A276" t="s">
        <v>6</v>
      </c>
      <c r="B276" s="1">
        <v>45986</v>
      </c>
      <c r="C276" t="s">
        <v>255</v>
      </c>
      <c r="D276">
        <v>-99.94</v>
      </c>
      <c r="E276" t="s">
        <v>10</v>
      </c>
      <c r="F276">
        <v>4239.22</v>
      </c>
      <c r="G276" t="str" cm="1">
        <f t="array" ref="G276">IF(AND(ISNUMBER(SEARCH("UBER",C276)),ISNUMBER(SEARCH("EATS",C276))),"Uber Eats",IF(LEFT(C276,6)="CHECK ","Checks Paid",IF(OR(E276="BILLPAY",ISNUMBER(SEARCH("FRANCHISE TAX",C276)),ISNUMBER(SEARCH("NEXTLINK",C276))),"Personal - House Bills",IF(AND(ISNUMBER(SEARCH("PAYMENT FROM",C276)),ISNUMBER(SEARCH("JOE SAUNDERS",C276))),"Zelle from Joe Saunders",IF(AND(ISNUMBER(SEARCH("PAYMENT TO",C276)),ISNUMBER(SEARCH("JOE SAUNDERS",C276))),"Zelle to Joe Saunders",IF(OR(ISNUMBER(SEARCH("NEW ORLEANS",C276)),ISNUMBER(SEARCH("KENNER",C276)),ISNUMBER(SEARCH("HENRY HOWARD",C276)),ISNUMBER(SEARCH("MISS CLAUDIA",C276))),"Personal Travel - New Orleans",IF(AND(YEAR(B276)=2025,MONTH(B276)=4,OR(ISNUMBER(SEARCH("EXCHANGE RATE",C276)),ISNUMBER(SEARCH("EXCHG RTE",C276)))),"Personal Travel - Italy",IFERROR(INDEX('Category Rules'!$B$2:$B$358,MATCH(TRUE,ISNUMBER(SEARCH('Category Rules'!$A$2:$A$358,C276)),0)),""))))))))</f>
        <v>Uber Eats</v>
      </c>
    </row>
    <row r="277" spans="1:7" x14ac:dyDescent="0.25">
      <c r="A277" t="s">
        <v>6</v>
      </c>
      <c r="B277" s="1">
        <v>45986</v>
      </c>
      <c r="C277" t="s">
        <v>256</v>
      </c>
      <c r="D277">
        <v>-15</v>
      </c>
      <c r="E277" t="s">
        <v>10</v>
      </c>
      <c r="F277">
        <v>4339.16</v>
      </c>
      <c r="G277" t="str" cm="1">
        <f t="array" ref="G277">IF(AND(ISNUMBER(SEARCH("UBER",C277)),ISNUMBER(SEARCH("EATS",C277))),"Uber Eats",IF(LEFT(C277,6)="CHECK ","Checks Paid",IF(OR(E277="BILLPAY",ISNUMBER(SEARCH("FRANCHISE TAX",C277)),ISNUMBER(SEARCH("NEXTLINK",C277))),"Personal - House Bills",IF(AND(ISNUMBER(SEARCH("PAYMENT FROM",C277)),ISNUMBER(SEARCH("JOE SAUNDERS",C277))),"Zelle from Joe Saunders",IF(AND(ISNUMBER(SEARCH("PAYMENT TO",C277)),ISNUMBER(SEARCH("JOE SAUNDERS",C277))),"Zelle to Joe Saunders",IF(OR(ISNUMBER(SEARCH("NEW ORLEANS",C277)),ISNUMBER(SEARCH("KENNER",C277)),ISNUMBER(SEARCH("HENRY HOWARD",C277)),ISNUMBER(SEARCH("MISS CLAUDIA",C277))),"Personal Travel - New Orleans",IF(AND(YEAR(B277)=2025,MONTH(B277)=4,OR(ISNUMBER(SEARCH("EXCHANGE RATE",C277)),ISNUMBER(SEARCH("EXCHG RTE",C277)))),"Personal Travel - Italy",IFERROR(INDEX('Category Rules'!$B$2:$B$358,MATCH(TRUE,ISNUMBER(SEARCH('Category Rules'!$A$2:$A$358,C277)),0)),""))))))))</f>
        <v>Personal - Subscription</v>
      </c>
    </row>
    <row r="278" spans="1:7" x14ac:dyDescent="0.25">
      <c r="A278" t="s">
        <v>6</v>
      </c>
      <c r="B278" s="1">
        <v>45986</v>
      </c>
      <c r="C278" t="s">
        <v>257</v>
      </c>
      <c r="D278">
        <v>-16.45</v>
      </c>
      <c r="E278" t="s">
        <v>10</v>
      </c>
      <c r="F278">
        <v>4354.16</v>
      </c>
      <c r="G278" t="str" cm="1">
        <f t="array" ref="G278">IF(AND(ISNUMBER(SEARCH("UBER",C278)),ISNUMBER(SEARCH("EATS",C278))),"Uber Eats",IF(LEFT(C278,6)="CHECK ","Checks Paid",IF(OR(E278="BILLPAY",ISNUMBER(SEARCH("FRANCHISE TAX",C278)),ISNUMBER(SEARCH("NEXTLINK",C278))),"Personal - House Bills",IF(AND(ISNUMBER(SEARCH("PAYMENT FROM",C278)),ISNUMBER(SEARCH("JOE SAUNDERS",C278))),"Zelle from Joe Saunders",IF(AND(ISNUMBER(SEARCH("PAYMENT TO",C278)),ISNUMBER(SEARCH("JOE SAUNDERS",C278))),"Zelle to Joe Saunders",IF(OR(ISNUMBER(SEARCH("NEW ORLEANS",C278)),ISNUMBER(SEARCH("KENNER",C278)),ISNUMBER(SEARCH("HENRY HOWARD",C278)),ISNUMBER(SEARCH("MISS CLAUDIA",C278))),"Personal Travel - New Orleans",IF(AND(YEAR(B278)=2025,MONTH(B278)=4,OR(ISNUMBER(SEARCH("EXCHANGE RATE",C278)),ISNUMBER(SEARCH("EXCHG RTE",C278)))),"Personal Travel - Italy",IFERROR(INDEX('Category Rules'!$B$2:$B$358,MATCH(TRUE,ISNUMBER(SEARCH('Category Rules'!$A$2:$A$358,C278)),0)),""))))))))</f>
        <v>Amazon</v>
      </c>
    </row>
    <row r="279" spans="1:7" x14ac:dyDescent="0.25">
      <c r="A279" t="s">
        <v>6</v>
      </c>
      <c r="B279" s="1">
        <v>45986</v>
      </c>
      <c r="C279" t="s">
        <v>258</v>
      </c>
      <c r="D279">
        <v>-20</v>
      </c>
      <c r="E279" t="s">
        <v>10</v>
      </c>
      <c r="F279">
        <v>4370.6099999999997</v>
      </c>
      <c r="G279" t="str" cm="1">
        <f t="array" ref="G279">IF(AND(ISNUMBER(SEARCH("UBER",C279)),ISNUMBER(SEARCH("EATS",C279))),"Uber Eats",IF(LEFT(C279,6)="CHECK ","Checks Paid",IF(OR(E279="BILLPAY",ISNUMBER(SEARCH("FRANCHISE TAX",C279)),ISNUMBER(SEARCH("NEXTLINK",C279))),"Personal - House Bills",IF(AND(ISNUMBER(SEARCH("PAYMENT FROM",C279)),ISNUMBER(SEARCH("JOE SAUNDERS",C279))),"Zelle from Joe Saunders",IF(AND(ISNUMBER(SEARCH("PAYMENT TO",C279)),ISNUMBER(SEARCH("JOE SAUNDERS",C279))),"Zelle to Joe Saunders",IF(OR(ISNUMBER(SEARCH("NEW ORLEANS",C279)),ISNUMBER(SEARCH("KENNER",C279)),ISNUMBER(SEARCH("HENRY HOWARD",C279)),ISNUMBER(SEARCH("MISS CLAUDIA",C279))),"Personal Travel - New Orleans",IF(AND(YEAR(B279)=2025,MONTH(B279)=4,OR(ISNUMBER(SEARCH("EXCHANGE RATE",C279)),ISNUMBER(SEARCH("EXCHG RTE",C279)))),"Personal Travel - Italy",IFERROR(INDEX('Category Rules'!$B$2:$B$358,MATCH(TRUE,ISNUMBER(SEARCH('Category Rules'!$A$2:$A$358,C279)),0)),""))))))))</f>
        <v>Amazon</v>
      </c>
    </row>
    <row r="280" spans="1:7" x14ac:dyDescent="0.25">
      <c r="A280" t="s">
        <v>6</v>
      </c>
      <c r="B280" s="1">
        <v>45986</v>
      </c>
      <c r="C280" t="s">
        <v>259</v>
      </c>
      <c r="D280">
        <v>-544.65</v>
      </c>
      <c r="E280" t="s">
        <v>10</v>
      </c>
      <c r="F280">
        <v>4390.6099999999997</v>
      </c>
      <c r="G280" t="str" cm="1">
        <f t="array" ref="G280">IF(AND(ISNUMBER(SEARCH("UBER",C280)),ISNUMBER(SEARCH("EATS",C280))),"Uber Eats",IF(LEFT(C280,6)="CHECK ","Checks Paid",IF(OR(E280="BILLPAY",ISNUMBER(SEARCH("FRANCHISE TAX",C280)),ISNUMBER(SEARCH("NEXTLINK",C280))),"Personal - House Bills",IF(AND(ISNUMBER(SEARCH("PAYMENT FROM",C280)),ISNUMBER(SEARCH("JOE SAUNDERS",C280))),"Zelle from Joe Saunders",IF(AND(ISNUMBER(SEARCH("PAYMENT TO",C280)),ISNUMBER(SEARCH("JOE SAUNDERS",C280))),"Zelle to Joe Saunders",IF(OR(ISNUMBER(SEARCH("NEW ORLEANS",C280)),ISNUMBER(SEARCH("KENNER",C280)),ISNUMBER(SEARCH("HENRY HOWARD",C280)),ISNUMBER(SEARCH("MISS CLAUDIA",C280))),"Personal Travel - New Orleans",IF(AND(YEAR(B280)=2025,MONTH(B280)=4,OR(ISNUMBER(SEARCH("EXCHANGE RATE",C280)),ISNUMBER(SEARCH("EXCHG RTE",C280)))),"Personal Travel - Italy",IFERROR(INDEX('Category Rules'!$B$2:$B$358,MATCH(TRUE,ISNUMBER(SEARCH('Category Rules'!$A$2:$A$358,C280)),0)),""))))))))</f>
        <v>AT&amp;T</v>
      </c>
    </row>
    <row r="281" spans="1:7" x14ac:dyDescent="0.25">
      <c r="A281" t="s">
        <v>6</v>
      </c>
      <c r="B281" s="1">
        <v>45986</v>
      </c>
      <c r="C281" t="s">
        <v>260</v>
      </c>
      <c r="D281">
        <v>-13.01</v>
      </c>
      <c r="E281" t="s">
        <v>10</v>
      </c>
      <c r="F281">
        <v>4935.26</v>
      </c>
      <c r="G281" t="str" cm="1">
        <f t="array" ref="G281">IF(AND(ISNUMBER(SEARCH("UBER",C281)),ISNUMBER(SEARCH("EATS",C281))),"Uber Eats",IF(LEFT(C281,6)="CHECK ","Checks Paid",IF(OR(E281="BILLPAY",ISNUMBER(SEARCH("FRANCHISE TAX",C281)),ISNUMBER(SEARCH("NEXTLINK",C281))),"Personal - House Bills",IF(AND(ISNUMBER(SEARCH("PAYMENT FROM",C281)),ISNUMBER(SEARCH("JOE SAUNDERS",C281))),"Zelle from Joe Saunders",IF(AND(ISNUMBER(SEARCH("PAYMENT TO",C281)),ISNUMBER(SEARCH("JOE SAUNDERS",C281))),"Zelle to Joe Saunders",IF(OR(ISNUMBER(SEARCH("NEW ORLEANS",C281)),ISNUMBER(SEARCH("KENNER",C281)),ISNUMBER(SEARCH("HENRY HOWARD",C281)),ISNUMBER(SEARCH("MISS CLAUDIA",C281))),"Personal Travel - New Orleans",IF(AND(YEAR(B281)=2025,MONTH(B281)=4,OR(ISNUMBER(SEARCH("EXCHANGE RATE",C281)),ISNUMBER(SEARCH("EXCHG RTE",C281)))),"Personal Travel - Italy",IFERROR(INDEX('Category Rules'!$B$2:$B$358,MATCH(TRUE,ISNUMBER(SEARCH('Category Rules'!$A$2:$A$358,C281)),0)),""))))))))</f>
        <v>Amazon</v>
      </c>
    </row>
    <row r="282" spans="1:7" x14ac:dyDescent="0.25">
      <c r="A282" t="s">
        <v>6</v>
      </c>
      <c r="B282" s="1">
        <v>45986</v>
      </c>
      <c r="C282" t="s">
        <v>261</v>
      </c>
      <c r="D282">
        <v>-3.2</v>
      </c>
      <c r="E282" t="s">
        <v>10</v>
      </c>
      <c r="F282">
        <v>4948.2700000000004</v>
      </c>
      <c r="G282" t="str" cm="1">
        <f t="array" ref="G282">IF(AND(ISNUMBER(SEARCH("UBER",C282)),ISNUMBER(SEARCH("EATS",C282))),"Uber Eats",IF(LEFT(C282,6)="CHECK ","Checks Paid",IF(OR(E282="BILLPAY",ISNUMBER(SEARCH("FRANCHISE TAX",C282)),ISNUMBER(SEARCH("NEXTLINK",C282))),"Personal - House Bills",IF(AND(ISNUMBER(SEARCH("PAYMENT FROM",C282)),ISNUMBER(SEARCH("JOE SAUNDERS",C282))),"Zelle from Joe Saunders",IF(AND(ISNUMBER(SEARCH("PAYMENT TO",C282)),ISNUMBER(SEARCH("JOE SAUNDERS",C282))),"Zelle to Joe Saunders",IF(OR(ISNUMBER(SEARCH("NEW ORLEANS",C282)),ISNUMBER(SEARCH("KENNER",C282)),ISNUMBER(SEARCH("HENRY HOWARD",C282)),ISNUMBER(SEARCH("MISS CLAUDIA",C282))),"Personal Travel - New Orleans",IF(AND(YEAR(B282)=2025,MONTH(B282)=4,OR(ISNUMBER(SEARCH("EXCHANGE RATE",C282)),ISNUMBER(SEARCH("EXCHG RTE",C282)))),"Personal Travel - Italy",IFERROR(INDEX('Category Rules'!$B$2:$B$358,MATCH(TRUE,ISNUMBER(SEARCH('Category Rules'!$A$2:$A$358,C282)),0)),""))))))))</f>
        <v>Amazon</v>
      </c>
    </row>
    <row r="283" spans="1:7" x14ac:dyDescent="0.25">
      <c r="A283" t="s">
        <v>6</v>
      </c>
      <c r="B283" s="1">
        <v>45986</v>
      </c>
      <c r="C283" t="s">
        <v>262</v>
      </c>
      <c r="D283">
        <v>-15.35</v>
      </c>
      <c r="E283" t="s">
        <v>10</v>
      </c>
      <c r="F283">
        <v>4951.47</v>
      </c>
      <c r="G283" t="str" cm="1">
        <f t="array" ref="G283">IF(AND(ISNUMBER(SEARCH("UBER",C283)),ISNUMBER(SEARCH("EATS",C283))),"Uber Eats",IF(LEFT(C283,6)="CHECK ","Checks Paid",IF(OR(E283="BILLPAY",ISNUMBER(SEARCH("FRANCHISE TAX",C283)),ISNUMBER(SEARCH("NEXTLINK",C283))),"Personal - House Bills",IF(AND(ISNUMBER(SEARCH("PAYMENT FROM",C283)),ISNUMBER(SEARCH("JOE SAUNDERS",C283))),"Zelle from Joe Saunders",IF(AND(ISNUMBER(SEARCH("PAYMENT TO",C283)),ISNUMBER(SEARCH("JOE SAUNDERS",C283))),"Zelle to Joe Saunders",IF(OR(ISNUMBER(SEARCH("NEW ORLEANS",C283)),ISNUMBER(SEARCH("KENNER",C283)),ISNUMBER(SEARCH("HENRY HOWARD",C283)),ISNUMBER(SEARCH("MISS CLAUDIA",C283))),"Personal Travel - New Orleans",IF(AND(YEAR(B283)=2025,MONTH(B283)=4,OR(ISNUMBER(SEARCH("EXCHANGE RATE",C283)),ISNUMBER(SEARCH("EXCHG RTE",C283)))),"Personal Travel - Italy",IFERROR(INDEX('Category Rules'!$B$2:$B$358,MATCH(TRUE,ISNUMBER(SEARCH('Category Rules'!$A$2:$A$358,C283)),0)),""))))))))</f>
        <v>Amazon</v>
      </c>
    </row>
    <row r="284" spans="1:7" x14ac:dyDescent="0.25">
      <c r="A284" t="s">
        <v>6</v>
      </c>
      <c r="B284" s="1">
        <v>45986</v>
      </c>
      <c r="C284" t="s">
        <v>263</v>
      </c>
      <c r="D284">
        <v>-190.91</v>
      </c>
      <c r="E284" t="s">
        <v>10</v>
      </c>
      <c r="F284">
        <v>4966.82</v>
      </c>
      <c r="G284" t="str" cm="1">
        <f t="array" ref="G284">IF(AND(ISNUMBER(SEARCH("UBER",C284)),ISNUMBER(SEARCH("EATS",C284))),"Uber Eats",IF(LEFT(C284,6)="CHECK ","Checks Paid",IF(OR(E284="BILLPAY",ISNUMBER(SEARCH("FRANCHISE TAX",C284)),ISNUMBER(SEARCH("NEXTLINK",C284))),"Personal - House Bills",IF(AND(ISNUMBER(SEARCH("PAYMENT FROM",C284)),ISNUMBER(SEARCH("JOE SAUNDERS",C284))),"Zelle from Joe Saunders",IF(AND(ISNUMBER(SEARCH("PAYMENT TO",C284)),ISNUMBER(SEARCH("JOE SAUNDERS",C284))),"Zelle to Joe Saunders",IF(OR(ISNUMBER(SEARCH("NEW ORLEANS",C284)),ISNUMBER(SEARCH("KENNER",C284)),ISNUMBER(SEARCH("HENRY HOWARD",C284)),ISNUMBER(SEARCH("MISS CLAUDIA",C284))),"Personal Travel - New Orleans",IF(AND(YEAR(B284)=2025,MONTH(B284)=4,OR(ISNUMBER(SEARCH("EXCHANGE RATE",C284)),ISNUMBER(SEARCH("EXCHG RTE",C284)))),"Personal Travel - Italy",IFERROR(INDEX('Category Rules'!$B$2:$B$358,MATCH(TRUE,ISNUMBER(SEARCH('Category Rules'!$A$2:$A$358,C284)),0)),""))))))))</f>
        <v>Personal - Shopping</v>
      </c>
    </row>
    <row r="285" spans="1:7" x14ac:dyDescent="0.25">
      <c r="A285" t="s">
        <v>6</v>
      </c>
      <c r="B285" s="1">
        <v>45985</v>
      </c>
      <c r="C285" t="s">
        <v>21</v>
      </c>
      <c r="D285">
        <v>-3</v>
      </c>
      <c r="E285" t="s">
        <v>8</v>
      </c>
      <c r="F285">
        <v>5157.7299999999996</v>
      </c>
      <c r="G285" t="str" cm="1">
        <f t="array" ref="G285">IF(AND(ISNUMBER(SEARCH("UBER",C285)),ISNUMBER(SEARCH("EATS",C285))),"Uber Eats",IF(LEFT(C285,6)="CHECK ","Checks Paid",IF(OR(E285="BILLPAY",ISNUMBER(SEARCH("FRANCHISE TAX",C285)),ISNUMBER(SEARCH("NEXTLINK",C285))),"Personal - House Bills",IF(AND(ISNUMBER(SEARCH("PAYMENT FROM",C285)),ISNUMBER(SEARCH("JOE SAUNDERS",C285))),"Zelle from Joe Saunders",IF(AND(ISNUMBER(SEARCH("PAYMENT TO",C285)),ISNUMBER(SEARCH("JOE SAUNDERS",C285))),"Zelle to Joe Saunders",IF(OR(ISNUMBER(SEARCH("NEW ORLEANS",C285)),ISNUMBER(SEARCH("KENNER",C285)),ISNUMBER(SEARCH("HENRY HOWARD",C285)),ISNUMBER(SEARCH("MISS CLAUDIA",C285))),"Personal Travel - New Orleans",IF(AND(YEAR(B285)=2025,MONTH(B285)=4,OR(ISNUMBER(SEARCH("EXCHANGE RATE",C285)),ISNUMBER(SEARCH("EXCHG RTE",C285)))),"Personal Travel - Italy",IFERROR(INDEX('Category Rules'!$B$2:$B$358,MATCH(TRUE,ISNUMBER(SEARCH('Category Rules'!$A$2:$A$358,C285)),0)),""))))))))</f>
        <v>Bank Fees</v>
      </c>
    </row>
    <row r="286" spans="1:7" x14ac:dyDescent="0.25">
      <c r="A286" t="s">
        <v>6</v>
      </c>
      <c r="B286" s="1">
        <v>45985</v>
      </c>
      <c r="C286" t="s">
        <v>264</v>
      </c>
      <c r="D286">
        <v>-12.97</v>
      </c>
      <c r="E286" t="s">
        <v>10</v>
      </c>
      <c r="F286">
        <v>5160.7299999999996</v>
      </c>
      <c r="G286" t="str" cm="1">
        <f t="array" ref="G286">IF(AND(ISNUMBER(SEARCH("UBER",C286)),ISNUMBER(SEARCH("EATS",C286))),"Uber Eats",IF(LEFT(C286,6)="CHECK ","Checks Paid",IF(OR(E286="BILLPAY",ISNUMBER(SEARCH("FRANCHISE TAX",C286)),ISNUMBER(SEARCH("NEXTLINK",C286))),"Personal - House Bills",IF(AND(ISNUMBER(SEARCH("PAYMENT FROM",C286)),ISNUMBER(SEARCH("JOE SAUNDERS",C286))),"Zelle from Joe Saunders",IF(AND(ISNUMBER(SEARCH("PAYMENT TO",C286)),ISNUMBER(SEARCH("JOE SAUNDERS",C286))),"Zelle to Joe Saunders",IF(OR(ISNUMBER(SEARCH("NEW ORLEANS",C286)),ISNUMBER(SEARCH("KENNER",C286)),ISNUMBER(SEARCH("HENRY HOWARD",C286)),ISNUMBER(SEARCH("MISS CLAUDIA",C286))),"Personal Travel - New Orleans",IF(AND(YEAR(B286)=2025,MONTH(B286)=4,OR(ISNUMBER(SEARCH("EXCHANGE RATE",C286)),ISNUMBER(SEARCH("EXCHG RTE",C286)))),"Personal Travel - Italy",IFERROR(INDEX('Category Rules'!$B$2:$B$358,MATCH(TRUE,ISNUMBER(SEARCH('Category Rules'!$A$2:$A$358,C286)),0)),""))))))))</f>
        <v>Uber Eats</v>
      </c>
    </row>
    <row r="287" spans="1:7" x14ac:dyDescent="0.25">
      <c r="A287" t="s">
        <v>6</v>
      </c>
      <c r="B287" s="1">
        <v>45985</v>
      </c>
      <c r="C287" t="s">
        <v>265</v>
      </c>
      <c r="D287">
        <v>-29.83</v>
      </c>
      <c r="E287" t="s">
        <v>10</v>
      </c>
      <c r="F287">
        <v>5173.7</v>
      </c>
      <c r="G287" t="str" cm="1">
        <f t="array" ref="G287">IF(AND(ISNUMBER(SEARCH("UBER",C287)),ISNUMBER(SEARCH("EATS",C287))),"Uber Eats",IF(LEFT(C287,6)="CHECK ","Checks Paid",IF(OR(E287="BILLPAY",ISNUMBER(SEARCH("FRANCHISE TAX",C287)),ISNUMBER(SEARCH("NEXTLINK",C287))),"Personal - House Bills",IF(AND(ISNUMBER(SEARCH("PAYMENT FROM",C287)),ISNUMBER(SEARCH("JOE SAUNDERS",C287))),"Zelle from Joe Saunders",IF(AND(ISNUMBER(SEARCH("PAYMENT TO",C287)),ISNUMBER(SEARCH("JOE SAUNDERS",C287))),"Zelle to Joe Saunders",IF(OR(ISNUMBER(SEARCH("NEW ORLEANS",C287)),ISNUMBER(SEARCH("KENNER",C287)),ISNUMBER(SEARCH("HENRY HOWARD",C287)),ISNUMBER(SEARCH("MISS CLAUDIA",C287))),"Personal Travel - New Orleans",IF(AND(YEAR(B287)=2025,MONTH(B287)=4,OR(ISNUMBER(SEARCH("EXCHANGE RATE",C287)),ISNUMBER(SEARCH("EXCHG RTE",C287)))),"Personal Travel - Italy",IFERROR(INDEX('Category Rules'!$B$2:$B$358,MATCH(TRUE,ISNUMBER(SEARCH('Category Rules'!$A$2:$A$358,C287)),0)),""))))))))</f>
        <v>Uber Eats</v>
      </c>
    </row>
    <row r="288" spans="1:7" x14ac:dyDescent="0.25">
      <c r="A288" t="s">
        <v>6</v>
      </c>
      <c r="B288" s="1">
        <v>45985</v>
      </c>
      <c r="C288" t="s">
        <v>266</v>
      </c>
      <c r="D288">
        <v>-132.28</v>
      </c>
      <c r="E288" t="s">
        <v>10</v>
      </c>
      <c r="F288">
        <v>5203.53</v>
      </c>
      <c r="G288" t="str" cm="1">
        <f t="array" ref="G288">IF(AND(ISNUMBER(SEARCH("UBER",C288)),ISNUMBER(SEARCH("EATS",C288))),"Uber Eats",IF(LEFT(C288,6)="CHECK ","Checks Paid",IF(OR(E288="BILLPAY",ISNUMBER(SEARCH("FRANCHISE TAX",C288)),ISNUMBER(SEARCH("NEXTLINK",C288))),"Personal - House Bills",IF(AND(ISNUMBER(SEARCH("PAYMENT FROM",C288)),ISNUMBER(SEARCH("JOE SAUNDERS",C288))),"Zelle from Joe Saunders",IF(AND(ISNUMBER(SEARCH("PAYMENT TO",C288)),ISNUMBER(SEARCH("JOE SAUNDERS",C288))),"Zelle to Joe Saunders",IF(OR(ISNUMBER(SEARCH("NEW ORLEANS",C288)),ISNUMBER(SEARCH("KENNER",C288)),ISNUMBER(SEARCH("HENRY HOWARD",C288)),ISNUMBER(SEARCH("MISS CLAUDIA",C288))),"Personal Travel - New Orleans",IF(AND(YEAR(B288)=2025,MONTH(B288)=4,OR(ISNUMBER(SEARCH("EXCHANGE RATE",C288)),ISNUMBER(SEARCH("EXCHG RTE",C288)))),"Personal Travel - Italy",IFERROR(INDEX('Category Rules'!$B$2:$B$358,MATCH(TRUE,ISNUMBER(SEARCH('Category Rules'!$A$2:$A$358,C288)),0)),""))))))))</f>
        <v>Personal - Food</v>
      </c>
    </row>
    <row r="289" spans="1:7" x14ac:dyDescent="0.25">
      <c r="A289" t="s">
        <v>6</v>
      </c>
      <c r="B289" s="1">
        <v>45985</v>
      </c>
      <c r="C289" t="s">
        <v>267</v>
      </c>
      <c r="D289">
        <v>-15.35</v>
      </c>
      <c r="E289" t="s">
        <v>10</v>
      </c>
      <c r="F289">
        <v>5335.81</v>
      </c>
      <c r="G289" t="str" cm="1">
        <f t="array" ref="G289">IF(AND(ISNUMBER(SEARCH("UBER",C289)),ISNUMBER(SEARCH("EATS",C289))),"Uber Eats",IF(LEFT(C289,6)="CHECK ","Checks Paid",IF(OR(E289="BILLPAY",ISNUMBER(SEARCH("FRANCHISE TAX",C289)),ISNUMBER(SEARCH("NEXTLINK",C289))),"Personal - House Bills",IF(AND(ISNUMBER(SEARCH("PAYMENT FROM",C289)),ISNUMBER(SEARCH("JOE SAUNDERS",C289))),"Zelle from Joe Saunders",IF(AND(ISNUMBER(SEARCH("PAYMENT TO",C289)),ISNUMBER(SEARCH("JOE SAUNDERS",C289))),"Zelle to Joe Saunders",IF(OR(ISNUMBER(SEARCH("NEW ORLEANS",C289)),ISNUMBER(SEARCH("KENNER",C289)),ISNUMBER(SEARCH("HENRY HOWARD",C289)),ISNUMBER(SEARCH("MISS CLAUDIA",C289))),"Personal Travel - New Orleans",IF(AND(YEAR(B289)=2025,MONTH(B289)=4,OR(ISNUMBER(SEARCH("EXCHANGE RATE",C289)),ISNUMBER(SEARCH("EXCHG RTE",C289)))),"Personal Travel - Italy",IFERROR(INDEX('Category Rules'!$B$2:$B$358,MATCH(TRUE,ISNUMBER(SEARCH('Category Rules'!$A$2:$A$358,C289)),0)),""))))))))</f>
        <v>Amazon</v>
      </c>
    </row>
    <row r="290" spans="1:7" x14ac:dyDescent="0.25">
      <c r="A290" t="s">
        <v>6</v>
      </c>
      <c r="B290" s="1">
        <v>45985</v>
      </c>
      <c r="C290" t="s">
        <v>268</v>
      </c>
      <c r="D290">
        <v>-16.920000000000002</v>
      </c>
      <c r="E290" t="s">
        <v>10</v>
      </c>
      <c r="F290">
        <v>5351.16</v>
      </c>
      <c r="G290" t="str" cm="1">
        <f t="array" ref="G290">IF(AND(ISNUMBER(SEARCH("UBER",C290)),ISNUMBER(SEARCH("EATS",C290))),"Uber Eats",IF(LEFT(C290,6)="CHECK ","Checks Paid",IF(OR(E290="BILLPAY",ISNUMBER(SEARCH("FRANCHISE TAX",C290)),ISNUMBER(SEARCH("NEXTLINK",C290))),"Personal - House Bills",IF(AND(ISNUMBER(SEARCH("PAYMENT FROM",C290)),ISNUMBER(SEARCH("JOE SAUNDERS",C290))),"Zelle from Joe Saunders",IF(AND(ISNUMBER(SEARCH("PAYMENT TO",C290)),ISNUMBER(SEARCH("JOE SAUNDERS",C290))),"Zelle to Joe Saunders",IF(OR(ISNUMBER(SEARCH("NEW ORLEANS",C290)),ISNUMBER(SEARCH("KENNER",C290)),ISNUMBER(SEARCH("HENRY HOWARD",C290)),ISNUMBER(SEARCH("MISS CLAUDIA",C290))),"Personal Travel - New Orleans",IF(AND(YEAR(B290)=2025,MONTH(B290)=4,OR(ISNUMBER(SEARCH("EXCHANGE RATE",C290)),ISNUMBER(SEARCH("EXCHG RTE",C290)))),"Personal Travel - Italy",IFERROR(INDEX('Category Rules'!$B$2:$B$358,MATCH(TRUE,ISNUMBER(SEARCH('Category Rules'!$A$2:$A$358,C290)),0)),""))))))))</f>
        <v>Uber Eats</v>
      </c>
    </row>
    <row r="291" spans="1:7" x14ac:dyDescent="0.25">
      <c r="A291" t="s">
        <v>6</v>
      </c>
      <c r="B291" s="1">
        <v>45985</v>
      </c>
      <c r="C291" t="s">
        <v>269</v>
      </c>
      <c r="D291">
        <v>-503.5</v>
      </c>
      <c r="E291" t="s">
        <v>26</v>
      </c>
      <c r="F291">
        <v>5368.08</v>
      </c>
      <c r="G291" t="str" cm="1">
        <f t="array" ref="G291">IF(AND(ISNUMBER(SEARCH("UBER",C291)),ISNUMBER(SEARCH("EATS",C291))),"Uber Eats",IF(LEFT(C291,6)="CHECK ","Checks Paid",IF(OR(E291="BILLPAY",ISNUMBER(SEARCH("FRANCHISE TAX",C291)),ISNUMBER(SEARCH("NEXTLINK",C291))),"Personal - House Bills",IF(AND(ISNUMBER(SEARCH("PAYMENT FROM",C291)),ISNUMBER(SEARCH("JOE SAUNDERS",C291))),"Zelle from Joe Saunders",IF(AND(ISNUMBER(SEARCH("PAYMENT TO",C291)),ISNUMBER(SEARCH("JOE SAUNDERS",C291))),"Zelle to Joe Saunders",IF(OR(ISNUMBER(SEARCH("NEW ORLEANS",C291)),ISNUMBER(SEARCH("KENNER",C291)),ISNUMBER(SEARCH("HENRY HOWARD",C291)),ISNUMBER(SEARCH("MISS CLAUDIA",C291))),"Personal Travel - New Orleans",IF(AND(YEAR(B291)=2025,MONTH(B291)=4,OR(ISNUMBER(SEARCH("EXCHANGE RATE",C291)),ISNUMBER(SEARCH("EXCHG RTE",C291)))),"Personal Travel - Italy",IFERROR(INDEX('Category Rules'!$B$2:$B$358,MATCH(TRUE,ISNUMBER(SEARCH('Category Rules'!$A$2:$A$358,C291)),0)),""))))))))</f>
        <v>Withdrawal</v>
      </c>
    </row>
    <row r="292" spans="1:7" x14ac:dyDescent="0.25">
      <c r="A292" t="s">
        <v>6</v>
      </c>
      <c r="B292" s="1">
        <v>45985</v>
      </c>
      <c r="C292" t="s">
        <v>270</v>
      </c>
      <c r="D292">
        <v>-10.99</v>
      </c>
      <c r="E292" t="s">
        <v>10</v>
      </c>
      <c r="F292">
        <v>5871.58</v>
      </c>
      <c r="G292" t="str" cm="1">
        <f t="array" ref="G292">IF(AND(ISNUMBER(SEARCH("UBER",C292)),ISNUMBER(SEARCH("EATS",C292))),"Uber Eats",IF(LEFT(C292,6)="CHECK ","Checks Paid",IF(OR(E292="BILLPAY",ISNUMBER(SEARCH("FRANCHISE TAX",C292)),ISNUMBER(SEARCH("NEXTLINK",C292))),"Personal - House Bills",IF(AND(ISNUMBER(SEARCH("PAYMENT FROM",C292)),ISNUMBER(SEARCH("JOE SAUNDERS",C292))),"Zelle from Joe Saunders",IF(AND(ISNUMBER(SEARCH("PAYMENT TO",C292)),ISNUMBER(SEARCH("JOE SAUNDERS",C292))),"Zelle to Joe Saunders",IF(OR(ISNUMBER(SEARCH("NEW ORLEANS",C292)),ISNUMBER(SEARCH("KENNER",C292)),ISNUMBER(SEARCH("HENRY HOWARD",C292)),ISNUMBER(SEARCH("MISS CLAUDIA",C292))),"Personal Travel - New Orleans",IF(AND(YEAR(B292)=2025,MONTH(B292)=4,OR(ISNUMBER(SEARCH("EXCHANGE RATE",C292)),ISNUMBER(SEARCH("EXCHG RTE",C292)))),"Personal Travel - Italy",IFERROR(INDEX('Category Rules'!$B$2:$B$358,MATCH(TRUE,ISNUMBER(SEARCH('Category Rules'!$A$2:$A$358,C292)),0)),""))))))))</f>
        <v>Apple</v>
      </c>
    </row>
    <row r="293" spans="1:7" x14ac:dyDescent="0.25">
      <c r="A293" t="s">
        <v>6</v>
      </c>
      <c r="B293" s="1">
        <v>45985</v>
      </c>
      <c r="C293" t="s">
        <v>271</v>
      </c>
      <c r="D293">
        <v>-54.33</v>
      </c>
      <c r="E293" t="s">
        <v>10</v>
      </c>
      <c r="F293">
        <v>5882.57</v>
      </c>
      <c r="G293" t="str" cm="1">
        <f t="array" ref="G293">IF(AND(ISNUMBER(SEARCH("UBER",C293)),ISNUMBER(SEARCH("EATS",C293))),"Uber Eats",IF(LEFT(C293,6)="CHECK ","Checks Paid",IF(OR(E293="BILLPAY",ISNUMBER(SEARCH("FRANCHISE TAX",C293)),ISNUMBER(SEARCH("NEXTLINK",C293))),"Personal - House Bills",IF(AND(ISNUMBER(SEARCH("PAYMENT FROM",C293)),ISNUMBER(SEARCH("JOE SAUNDERS",C293))),"Zelle from Joe Saunders",IF(AND(ISNUMBER(SEARCH("PAYMENT TO",C293)),ISNUMBER(SEARCH("JOE SAUNDERS",C293))),"Zelle to Joe Saunders",IF(OR(ISNUMBER(SEARCH("NEW ORLEANS",C293)),ISNUMBER(SEARCH("KENNER",C293)),ISNUMBER(SEARCH("HENRY HOWARD",C293)),ISNUMBER(SEARCH("MISS CLAUDIA",C293))),"Personal Travel - New Orleans",IF(AND(YEAR(B293)=2025,MONTH(B293)=4,OR(ISNUMBER(SEARCH("EXCHANGE RATE",C293)),ISNUMBER(SEARCH("EXCHG RTE",C293)))),"Personal Travel - Italy",IFERROR(INDEX('Category Rules'!$B$2:$B$358,MATCH(TRUE,ISNUMBER(SEARCH('Category Rules'!$A$2:$A$358,C293)),0)),""))))))))</f>
        <v>Amazon</v>
      </c>
    </row>
    <row r="294" spans="1:7" x14ac:dyDescent="0.25">
      <c r="A294" t="s">
        <v>6</v>
      </c>
      <c r="B294" s="1">
        <v>45985</v>
      </c>
      <c r="C294" t="s">
        <v>272</v>
      </c>
      <c r="D294">
        <v>-82.74</v>
      </c>
      <c r="E294" t="s">
        <v>10</v>
      </c>
      <c r="F294">
        <v>5936.9</v>
      </c>
      <c r="G294" t="str" cm="1">
        <f t="array" ref="G294">IF(AND(ISNUMBER(SEARCH("UBER",C294)),ISNUMBER(SEARCH("EATS",C294))),"Uber Eats",IF(LEFT(C294,6)="CHECK ","Checks Paid",IF(OR(E294="BILLPAY",ISNUMBER(SEARCH("FRANCHISE TAX",C294)),ISNUMBER(SEARCH("NEXTLINK",C294))),"Personal - House Bills",IF(AND(ISNUMBER(SEARCH("PAYMENT FROM",C294)),ISNUMBER(SEARCH("JOE SAUNDERS",C294))),"Zelle from Joe Saunders",IF(AND(ISNUMBER(SEARCH("PAYMENT TO",C294)),ISNUMBER(SEARCH("JOE SAUNDERS",C294))),"Zelle to Joe Saunders",IF(OR(ISNUMBER(SEARCH("NEW ORLEANS",C294)),ISNUMBER(SEARCH("KENNER",C294)),ISNUMBER(SEARCH("HENRY HOWARD",C294)),ISNUMBER(SEARCH("MISS CLAUDIA",C294))),"Personal Travel - New Orleans",IF(AND(YEAR(B294)=2025,MONTH(B294)=4,OR(ISNUMBER(SEARCH("EXCHANGE RATE",C294)),ISNUMBER(SEARCH("EXCHG RTE",C294)))),"Personal Travel - Italy",IFERROR(INDEX('Category Rules'!$B$2:$B$358,MATCH(TRUE,ISNUMBER(SEARCH('Category Rules'!$A$2:$A$358,C294)),0)),""))))))))</f>
        <v>Amazon</v>
      </c>
    </row>
    <row r="295" spans="1:7" x14ac:dyDescent="0.25">
      <c r="A295" t="s">
        <v>6</v>
      </c>
      <c r="B295" s="1">
        <v>45985</v>
      </c>
      <c r="C295" t="s">
        <v>273</v>
      </c>
      <c r="D295">
        <v>-126.26</v>
      </c>
      <c r="E295" t="s">
        <v>10</v>
      </c>
      <c r="F295">
        <v>6019.64</v>
      </c>
      <c r="G295" t="str" cm="1">
        <f t="array" ref="G295">IF(AND(ISNUMBER(SEARCH("UBER",C295)),ISNUMBER(SEARCH("EATS",C295))),"Uber Eats",IF(LEFT(C295,6)="CHECK ","Checks Paid",IF(OR(E295="BILLPAY",ISNUMBER(SEARCH("FRANCHISE TAX",C295)),ISNUMBER(SEARCH("NEXTLINK",C295))),"Personal - House Bills",IF(AND(ISNUMBER(SEARCH("PAYMENT FROM",C295)),ISNUMBER(SEARCH("JOE SAUNDERS",C295))),"Zelle from Joe Saunders",IF(AND(ISNUMBER(SEARCH("PAYMENT TO",C295)),ISNUMBER(SEARCH("JOE SAUNDERS",C295))),"Zelle to Joe Saunders",IF(OR(ISNUMBER(SEARCH("NEW ORLEANS",C295)),ISNUMBER(SEARCH("KENNER",C295)),ISNUMBER(SEARCH("HENRY HOWARD",C295)),ISNUMBER(SEARCH("MISS CLAUDIA",C295))),"Personal Travel - New Orleans",IF(AND(YEAR(B295)=2025,MONTH(B295)=4,OR(ISNUMBER(SEARCH("EXCHANGE RATE",C295)),ISNUMBER(SEARCH("EXCHG RTE",C295)))),"Personal Travel - Italy",IFERROR(INDEX('Category Rules'!$B$2:$B$358,MATCH(TRUE,ISNUMBER(SEARCH('Category Rules'!$A$2:$A$358,C295)),0)),""))))))))</f>
        <v>Shipping</v>
      </c>
    </row>
    <row r="296" spans="1:7" x14ac:dyDescent="0.25">
      <c r="A296" t="s">
        <v>6</v>
      </c>
      <c r="B296" s="1">
        <v>45985</v>
      </c>
      <c r="C296" t="s">
        <v>274</v>
      </c>
      <c r="D296">
        <v>-273.52999999999997</v>
      </c>
      <c r="E296" t="s">
        <v>10</v>
      </c>
      <c r="F296">
        <v>6145.9</v>
      </c>
      <c r="G296" t="str" cm="1">
        <f t="array" ref="G296">IF(AND(ISNUMBER(SEARCH("UBER",C296)),ISNUMBER(SEARCH("EATS",C296))),"Uber Eats",IF(LEFT(C296,6)="CHECK ","Checks Paid",IF(OR(E296="BILLPAY",ISNUMBER(SEARCH("FRANCHISE TAX",C296)),ISNUMBER(SEARCH("NEXTLINK",C296))),"Personal - House Bills",IF(AND(ISNUMBER(SEARCH("PAYMENT FROM",C296)),ISNUMBER(SEARCH("JOE SAUNDERS",C296))),"Zelle from Joe Saunders",IF(AND(ISNUMBER(SEARCH("PAYMENT TO",C296)),ISNUMBER(SEARCH("JOE SAUNDERS",C296))),"Zelle to Joe Saunders",IF(OR(ISNUMBER(SEARCH("NEW ORLEANS",C296)),ISNUMBER(SEARCH("KENNER",C296)),ISNUMBER(SEARCH("HENRY HOWARD",C296)),ISNUMBER(SEARCH("MISS CLAUDIA",C296))),"Personal Travel - New Orleans",IF(AND(YEAR(B296)=2025,MONTH(B296)=4,OR(ISNUMBER(SEARCH("EXCHANGE RATE",C296)),ISNUMBER(SEARCH("EXCHG RTE",C296)))),"Personal Travel - Italy",IFERROR(INDEX('Category Rules'!$B$2:$B$358,MATCH(TRUE,ISNUMBER(SEARCH('Category Rules'!$A$2:$A$358,C296)),0)),""))))))))</f>
        <v>Personal - Shopping</v>
      </c>
    </row>
    <row r="297" spans="1:7" x14ac:dyDescent="0.25">
      <c r="A297" t="s">
        <v>6</v>
      </c>
      <c r="B297" s="1">
        <v>45985</v>
      </c>
      <c r="C297" t="s">
        <v>275</v>
      </c>
      <c r="D297">
        <v>-43.61</v>
      </c>
      <c r="E297" t="s">
        <v>10</v>
      </c>
      <c r="F297">
        <v>6419.43</v>
      </c>
      <c r="G297" t="str" cm="1">
        <f t="array" ref="G297">IF(AND(ISNUMBER(SEARCH("UBER",C297)),ISNUMBER(SEARCH("EATS",C297))),"Uber Eats",IF(LEFT(C297,6)="CHECK ","Checks Paid",IF(OR(E297="BILLPAY",ISNUMBER(SEARCH("FRANCHISE TAX",C297)),ISNUMBER(SEARCH("NEXTLINK",C297))),"Personal - House Bills",IF(AND(ISNUMBER(SEARCH("PAYMENT FROM",C297)),ISNUMBER(SEARCH("JOE SAUNDERS",C297))),"Zelle from Joe Saunders",IF(AND(ISNUMBER(SEARCH("PAYMENT TO",C297)),ISNUMBER(SEARCH("JOE SAUNDERS",C297))),"Zelle to Joe Saunders",IF(OR(ISNUMBER(SEARCH("NEW ORLEANS",C297)),ISNUMBER(SEARCH("KENNER",C297)),ISNUMBER(SEARCH("HENRY HOWARD",C297)),ISNUMBER(SEARCH("MISS CLAUDIA",C297))),"Personal Travel - New Orleans",IF(AND(YEAR(B297)=2025,MONTH(B297)=4,OR(ISNUMBER(SEARCH("EXCHANGE RATE",C297)),ISNUMBER(SEARCH("EXCHG RTE",C297)))),"Personal Travel - Italy",IFERROR(INDEX('Category Rules'!$B$2:$B$358,MATCH(TRUE,ISNUMBER(SEARCH('Category Rules'!$A$2:$A$358,C297)),0)),""))))))))</f>
        <v>Personal - Uber</v>
      </c>
    </row>
    <row r="298" spans="1:7" x14ac:dyDescent="0.25">
      <c r="A298" t="s">
        <v>6</v>
      </c>
      <c r="B298" s="1">
        <v>45985</v>
      </c>
      <c r="C298" t="s">
        <v>276</v>
      </c>
      <c r="D298">
        <v>-226.67</v>
      </c>
      <c r="E298" t="s">
        <v>10</v>
      </c>
      <c r="F298">
        <v>6463.04</v>
      </c>
      <c r="G298" t="str" cm="1">
        <f t="array" ref="G298">IF(AND(ISNUMBER(SEARCH("UBER",C298)),ISNUMBER(SEARCH("EATS",C298))),"Uber Eats",IF(LEFT(C298,6)="CHECK ","Checks Paid",IF(OR(E298="BILLPAY",ISNUMBER(SEARCH("FRANCHISE TAX",C298)),ISNUMBER(SEARCH("NEXTLINK",C298))),"Personal - House Bills",IF(AND(ISNUMBER(SEARCH("PAYMENT FROM",C298)),ISNUMBER(SEARCH("JOE SAUNDERS",C298))),"Zelle from Joe Saunders",IF(AND(ISNUMBER(SEARCH("PAYMENT TO",C298)),ISNUMBER(SEARCH("JOE SAUNDERS",C298))),"Zelle to Joe Saunders",IF(OR(ISNUMBER(SEARCH("NEW ORLEANS",C298)),ISNUMBER(SEARCH("KENNER",C298)),ISNUMBER(SEARCH("HENRY HOWARD",C298)),ISNUMBER(SEARCH("MISS CLAUDIA",C298))),"Personal Travel - New Orleans",IF(AND(YEAR(B298)=2025,MONTH(B298)=4,OR(ISNUMBER(SEARCH("EXCHANGE RATE",C298)),ISNUMBER(SEARCH("EXCHG RTE",C298)))),"Personal Travel - Italy",IFERROR(INDEX('Category Rules'!$B$2:$B$358,MATCH(TRUE,ISNUMBER(SEARCH('Category Rules'!$A$2:$A$358,C298)),0)),""))))))))</f>
        <v>Personal - Shopping</v>
      </c>
    </row>
    <row r="299" spans="1:7" x14ac:dyDescent="0.25">
      <c r="A299" t="s">
        <v>6</v>
      </c>
      <c r="B299" s="1">
        <v>45985</v>
      </c>
      <c r="C299" t="s">
        <v>277</v>
      </c>
      <c r="D299">
        <v>-664.92</v>
      </c>
      <c r="E299" t="s">
        <v>10</v>
      </c>
      <c r="F299">
        <v>6689.71</v>
      </c>
      <c r="G299" t="str" cm="1">
        <f t="array" ref="G299">IF(AND(ISNUMBER(SEARCH("UBER",C299)),ISNUMBER(SEARCH("EATS",C299))),"Uber Eats",IF(LEFT(C299,6)="CHECK ","Checks Paid",IF(OR(E299="BILLPAY",ISNUMBER(SEARCH("FRANCHISE TAX",C299)),ISNUMBER(SEARCH("NEXTLINK",C299))),"Personal - House Bills",IF(AND(ISNUMBER(SEARCH("PAYMENT FROM",C299)),ISNUMBER(SEARCH("JOE SAUNDERS",C299))),"Zelle from Joe Saunders",IF(AND(ISNUMBER(SEARCH("PAYMENT TO",C299)),ISNUMBER(SEARCH("JOE SAUNDERS",C299))),"Zelle to Joe Saunders",IF(OR(ISNUMBER(SEARCH("NEW ORLEANS",C299)),ISNUMBER(SEARCH("KENNER",C299)),ISNUMBER(SEARCH("HENRY HOWARD",C299)),ISNUMBER(SEARCH("MISS CLAUDIA",C299))),"Personal Travel - New Orleans",IF(AND(YEAR(B299)=2025,MONTH(B299)=4,OR(ISNUMBER(SEARCH("EXCHANGE RATE",C299)),ISNUMBER(SEARCH("EXCHG RTE",C299)))),"Personal Travel - Italy",IFERROR(INDEX('Category Rules'!$B$2:$B$358,MATCH(TRUE,ISNUMBER(SEARCH('Category Rules'!$A$2:$A$358,C299)),0)),""))))))))</f>
        <v>Personal - Shopping</v>
      </c>
    </row>
    <row r="300" spans="1:7" x14ac:dyDescent="0.25">
      <c r="A300" t="s">
        <v>6</v>
      </c>
      <c r="B300" s="1">
        <v>45985</v>
      </c>
      <c r="C300" t="s">
        <v>277</v>
      </c>
      <c r="D300">
        <v>-895.32</v>
      </c>
      <c r="E300" t="s">
        <v>10</v>
      </c>
      <c r="F300">
        <v>7354.63</v>
      </c>
      <c r="G300" t="str" cm="1">
        <f t="array" ref="G300">IF(AND(ISNUMBER(SEARCH("UBER",C300)),ISNUMBER(SEARCH("EATS",C300))),"Uber Eats",IF(LEFT(C300,6)="CHECK ","Checks Paid",IF(OR(E300="BILLPAY",ISNUMBER(SEARCH("FRANCHISE TAX",C300)),ISNUMBER(SEARCH("NEXTLINK",C300))),"Personal - House Bills",IF(AND(ISNUMBER(SEARCH("PAYMENT FROM",C300)),ISNUMBER(SEARCH("JOE SAUNDERS",C300))),"Zelle from Joe Saunders",IF(AND(ISNUMBER(SEARCH("PAYMENT TO",C300)),ISNUMBER(SEARCH("JOE SAUNDERS",C300))),"Zelle to Joe Saunders",IF(OR(ISNUMBER(SEARCH("NEW ORLEANS",C300)),ISNUMBER(SEARCH("KENNER",C300)),ISNUMBER(SEARCH("HENRY HOWARD",C300)),ISNUMBER(SEARCH("MISS CLAUDIA",C300))),"Personal Travel - New Orleans",IF(AND(YEAR(B300)=2025,MONTH(B300)=4,OR(ISNUMBER(SEARCH("EXCHANGE RATE",C300)),ISNUMBER(SEARCH("EXCHG RTE",C300)))),"Personal Travel - Italy",IFERROR(INDEX('Category Rules'!$B$2:$B$358,MATCH(TRUE,ISNUMBER(SEARCH('Category Rules'!$A$2:$A$358,C300)),0)),""))))))))</f>
        <v>Personal - Shopping</v>
      </c>
    </row>
    <row r="301" spans="1:7" x14ac:dyDescent="0.25">
      <c r="A301" t="s">
        <v>6</v>
      </c>
      <c r="B301" s="1">
        <v>45982</v>
      </c>
      <c r="C301" t="s">
        <v>278</v>
      </c>
      <c r="D301">
        <v>-86.1</v>
      </c>
      <c r="E301" t="s">
        <v>10</v>
      </c>
      <c r="F301">
        <v>8249.9500000000007</v>
      </c>
      <c r="G301" t="str" cm="1">
        <f t="array" ref="G301">IF(AND(ISNUMBER(SEARCH("UBER",C301)),ISNUMBER(SEARCH("EATS",C301))),"Uber Eats",IF(LEFT(C301,6)="CHECK ","Checks Paid",IF(OR(E301="BILLPAY",ISNUMBER(SEARCH("FRANCHISE TAX",C301)),ISNUMBER(SEARCH("NEXTLINK",C301))),"Personal - House Bills",IF(AND(ISNUMBER(SEARCH("PAYMENT FROM",C301)),ISNUMBER(SEARCH("JOE SAUNDERS",C301))),"Zelle from Joe Saunders",IF(AND(ISNUMBER(SEARCH("PAYMENT TO",C301)),ISNUMBER(SEARCH("JOE SAUNDERS",C301))),"Zelle to Joe Saunders",IF(OR(ISNUMBER(SEARCH("NEW ORLEANS",C301)),ISNUMBER(SEARCH("KENNER",C301)),ISNUMBER(SEARCH("HENRY HOWARD",C301)),ISNUMBER(SEARCH("MISS CLAUDIA",C301))),"Personal Travel - New Orleans",IF(AND(YEAR(B301)=2025,MONTH(B301)=4,OR(ISNUMBER(SEARCH("EXCHANGE RATE",C301)),ISNUMBER(SEARCH("EXCHG RTE",C301)))),"Personal Travel - Italy",IFERROR(INDEX('Category Rules'!$B$2:$B$358,MATCH(TRUE,ISNUMBER(SEARCH('Category Rules'!$A$2:$A$358,C301)),0)),""))))))))</f>
        <v>Personal - Shopping</v>
      </c>
    </row>
    <row r="302" spans="1:7" x14ac:dyDescent="0.25">
      <c r="A302" t="s">
        <v>6</v>
      </c>
      <c r="B302" s="1">
        <v>45982</v>
      </c>
      <c r="C302" t="s">
        <v>279</v>
      </c>
      <c r="D302">
        <v>-34.15</v>
      </c>
      <c r="E302" t="s">
        <v>10</v>
      </c>
      <c r="F302">
        <v>8336.0499999999993</v>
      </c>
      <c r="G302" t="str" cm="1">
        <f t="array" ref="G302">IF(AND(ISNUMBER(SEARCH("UBER",C302)),ISNUMBER(SEARCH("EATS",C302))),"Uber Eats",IF(LEFT(C302,6)="CHECK ","Checks Paid",IF(OR(E302="BILLPAY",ISNUMBER(SEARCH("FRANCHISE TAX",C302)),ISNUMBER(SEARCH("NEXTLINK",C302))),"Personal - House Bills",IF(AND(ISNUMBER(SEARCH("PAYMENT FROM",C302)),ISNUMBER(SEARCH("JOE SAUNDERS",C302))),"Zelle from Joe Saunders",IF(AND(ISNUMBER(SEARCH("PAYMENT TO",C302)),ISNUMBER(SEARCH("JOE SAUNDERS",C302))),"Zelle to Joe Saunders",IF(OR(ISNUMBER(SEARCH("NEW ORLEANS",C302)),ISNUMBER(SEARCH("KENNER",C302)),ISNUMBER(SEARCH("HENRY HOWARD",C302)),ISNUMBER(SEARCH("MISS CLAUDIA",C302))),"Personal Travel - New Orleans",IF(AND(YEAR(B302)=2025,MONTH(B302)=4,OR(ISNUMBER(SEARCH("EXCHANGE RATE",C302)),ISNUMBER(SEARCH("EXCHG RTE",C302)))),"Personal Travel - Italy",IFERROR(INDEX('Category Rules'!$B$2:$B$358,MATCH(TRUE,ISNUMBER(SEARCH('Category Rules'!$A$2:$A$358,C302)),0)),""))))))))</f>
        <v>Uber Eats</v>
      </c>
    </row>
    <row r="303" spans="1:7" x14ac:dyDescent="0.25">
      <c r="A303" t="s">
        <v>6</v>
      </c>
      <c r="B303" s="1">
        <v>45982</v>
      </c>
      <c r="C303" t="s">
        <v>280</v>
      </c>
      <c r="D303">
        <v>-13.18</v>
      </c>
      <c r="E303" t="s">
        <v>10</v>
      </c>
      <c r="F303">
        <v>8370.2000000000007</v>
      </c>
      <c r="G303" t="str" cm="1">
        <f t="array" ref="G303">IF(AND(ISNUMBER(SEARCH("UBER",C303)),ISNUMBER(SEARCH("EATS",C303))),"Uber Eats",IF(LEFT(C303,6)="CHECK ","Checks Paid",IF(OR(E303="BILLPAY",ISNUMBER(SEARCH("FRANCHISE TAX",C303)),ISNUMBER(SEARCH("NEXTLINK",C303))),"Personal - House Bills",IF(AND(ISNUMBER(SEARCH("PAYMENT FROM",C303)),ISNUMBER(SEARCH("JOE SAUNDERS",C303))),"Zelle from Joe Saunders",IF(AND(ISNUMBER(SEARCH("PAYMENT TO",C303)),ISNUMBER(SEARCH("JOE SAUNDERS",C303))),"Zelle to Joe Saunders",IF(OR(ISNUMBER(SEARCH("NEW ORLEANS",C303)),ISNUMBER(SEARCH("KENNER",C303)),ISNUMBER(SEARCH("HENRY HOWARD",C303)),ISNUMBER(SEARCH("MISS CLAUDIA",C303))),"Personal Travel - New Orleans",IF(AND(YEAR(B303)=2025,MONTH(B303)=4,OR(ISNUMBER(SEARCH("EXCHANGE RATE",C303)),ISNUMBER(SEARCH("EXCHG RTE",C303)))),"Personal Travel - Italy",IFERROR(INDEX('Category Rules'!$B$2:$B$358,MATCH(TRUE,ISNUMBER(SEARCH('Category Rules'!$A$2:$A$358,C303)),0)),""))))))))</f>
        <v>Amazon</v>
      </c>
    </row>
    <row r="304" spans="1:7" x14ac:dyDescent="0.25">
      <c r="A304" t="s">
        <v>6</v>
      </c>
      <c r="B304" s="1">
        <v>45982</v>
      </c>
      <c r="C304" t="s">
        <v>281</v>
      </c>
      <c r="D304">
        <v>-39.950000000000003</v>
      </c>
      <c r="E304" t="s">
        <v>10</v>
      </c>
      <c r="F304">
        <v>8383.3799999999992</v>
      </c>
      <c r="G304" t="str" cm="1">
        <f t="array" ref="G304">IF(AND(ISNUMBER(SEARCH("UBER",C304)),ISNUMBER(SEARCH("EATS",C304))),"Uber Eats",IF(LEFT(C304,6)="CHECK ","Checks Paid",IF(OR(E304="BILLPAY",ISNUMBER(SEARCH("FRANCHISE TAX",C304)),ISNUMBER(SEARCH("NEXTLINK",C304))),"Personal - House Bills",IF(AND(ISNUMBER(SEARCH("PAYMENT FROM",C304)),ISNUMBER(SEARCH("JOE SAUNDERS",C304))),"Zelle from Joe Saunders",IF(AND(ISNUMBER(SEARCH("PAYMENT TO",C304)),ISNUMBER(SEARCH("JOE SAUNDERS",C304))),"Zelle to Joe Saunders",IF(OR(ISNUMBER(SEARCH("NEW ORLEANS",C304)),ISNUMBER(SEARCH("KENNER",C304)),ISNUMBER(SEARCH("HENRY HOWARD",C304)),ISNUMBER(SEARCH("MISS CLAUDIA",C304))),"Personal Travel - New Orleans",IF(AND(YEAR(B304)=2025,MONTH(B304)=4,OR(ISNUMBER(SEARCH("EXCHANGE RATE",C304)),ISNUMBER(SEARCH("EXCHG RTE",C304)))),"Personal Travel - Italy",IFERROR(INDEX('Category Rules'!$B$2:$B$358,MATCH(TRUE,ISNUMBER(SEARCH('Category Rules'!$A$2:$A$358,C304)),0)),""))))))))</f>
        <v>Amazon</v>
      </c>
    </row>
    <row r="305" spans="1:7" x14ac:dyDescent="0.25">
      <c r="A305" t="s">
        <v>6</v>
      </c>
      <c r="B305" s="1">
        <v>45982</v>
      </c>
      <c r="C305" t="s">
        <v>282</v>
      </c>
      <c r="D305">
        <v>-23.92</v>
      </c>
      <c r="E305" t="s">
        <v>10</v>
      </c>
      <c r="F305">
        <v>8423.33</v>
      </c>
      <c r="G305" t="str" cm="1">
        <f t="array" ref="G305">IF(AND(ISNUMBER(SEARCH("UBER",C305)),ISNUMBER(SEARCH("EATS",C305))),"Uber Eats",IF(LEFT(C305,6)="CHECK ","Checks Paid",IF(OR(E305="BILLPAY",ISNUMBER(SEARCH("FRANCHISE TAX",C305)),ISNUMBER(SEARCH("NEXTLINK",C305))),"Personal - House Bills",IF(AND(ISNUMBER(SEARCH("PAYMENT FROM",C305)),ISNUMBER(SEARCH("JOE SAUNDERS",C305))),"Zelle from Joe Saunders",IF(AND(ISNUMBER(SEARCH("PAYMENT TO",C305)),ISNUMBER(SEARCH("JOE SAUNDERS",C305))),"Zelle to Joe Saunders",IF(OR(ISNUMBER(SEARCH("NEW ORLEANS",C305)),ISNUMBER(SEARCH("KENNER",C305)),ISNUMBER(SEARCH("HENRY HOWARD",C305)),ISNUMBER(SEARCH("MISS CLAUDIA",C305))),"Personal Travel - New Orleans",IF(AND(YEAR(B305)=2025,MONTH(B305)=4,OR(ISNUMBER(SEARCH("EXCHANGE RATE",C305)),ISNUMBER(SEARCH("EXCHG RTE",C305)))),"Personal Travel - Italy",IFERROR(INDEX('Category Rules'!$B$2:$B$358,MATCH(TRUE,ISNUMBER(SEARCH('Category Rules'!$A$2:$A$358,C305)),0)),""))))))))</f>
        <v>Amazon</v>
      </c>
    </row>
    <row r="306" spans="1:7" x14ac:dyDescent="0.25">
      <c r="A306" t="s">
        <v>6</v>
      </c>
      <c r="B306" s="1">
        <v>45982</v>
      </c>
      <c r="C306" t="s">
        <v>283</v>
      </c>
      <c r="D306">
        <v>-149.96</v>
      </c>
      <c r="E306" t="s">
        <v>10</v>
      </c>
      <c r="F306">
        <v>8447.25</v>
      </c>
      <c r="G306" t="str" cm="1">
        <f t="array" ref="G306">IF(AND(ISNUMBER(SEARCH("UBER",C306)),ISNUMBER(SEARCH("EATS",C306))),"Uber Eats",IF(LEFT(C306,6)="CHECK ","Checks Paid",IF(OR(E306="BILLPAY",ISNUMBER(SEARCH("FRANCHISE TAX",C306)),ISNUMBER(SEARCH("NEXTLINK",C306))),"Personal - House Bills",IF(AND(ISNUMBER(SEARCH("PAYMENT FROM",C306)),ISNUMBER(SEARCH("JOE SAUNDERS",C306))),"Zelle from Joe Saunders",IF(AND(ISNUMBER(SEARCH("PAYMENT TO",C306)),ISNUMBER(SEARCH("JOE SAUNDERS",C306))),"Zelle to Joe Saunders",IF(OR(ISNUMBER(SEARCH("NEW ORLEANS",C306)),ISNUMBER(SEARCH("KENNER",C306)),ISNUMBER(SEARCH("HENRY HOWARD",C306)),ISNUMBER(SEARCH("MISS CLAUDIA",C306))),"Personal Travel - New Orleans",IF(AND(YEAR(B306)=2025,MONTH(B306)=4,OR(ISNUMBER(SEARCH("EXCHANGE RATE",C306)),ISNUMBER(SEARCH("EXCHG RTE",C306)))),"Personal Travel - Italy",IFERROR(INDEX('Category Rules'!$B$2:$B$358,MATCH(TRUE,ISNUMBER(SEARCH('Category Rules'!$A$2:$A$358,C306)),0)),""))))))))</f>
        <v>Personal - House Bills</v>
      </c>
    </row>
    <row r="307" spans="1:7" x14ac:dyDescent="0.25">
      <c r="A307" t="s">
        <v>6</v>
      </c>
      <c r="B307" s="1">
        <v>45982</v>
      </c>
      <c r="C307" t="s">
        <v>284</v>
      </c>
      <c r="D307">
        <v>-18.59</v>
      </c>
      <c r="E307" t="s">
        <v>10</v>
      </c>
      <c r="F307">
        <v>8597.2099999999991</v>
      </c>
      <c r="G307" t="str" cm="1">
        <f t="array" ref="G307">IF(AND(ISNUMBER(SEARCH("UBER",C307)),ISNUMBER(SEARCH("EATS",C307))),"Uber Eats",IF(LEFT(C307,6)="CHECK ","Checks Paid",IF(OR(E307="BILLPAY",ISNUMBER(SEARCH("FRANCHISE TAX",C307)),ISNUMBER(SEARCH("NEXTLINK",C307))),"Personal - House Bills",IF(AND(ISNUMBER(SEARCH("PAYMENT FROM",C307)),ISNUMBER(SEARCH("JOE SAUNDERS",C307))),"Zelle from Joe Saunders",IF(AND(ISNUMBER(SEARCH("PAYMENT TO",C307)),ISNUMBER(SEARCH("JOE SAUNDERS",C307))),"Zelle to Joe Saunders",IF(OR(ISNUMBER(SEARCH("NEW ORLEANS",C307)),ISNUMBER(SEARCH("KENNER",C307)),ISNUMBER(SEARCH("HENRY HOWARD",C307)),ISNUMBER(SEARCH("MISS CLAUDIA",C307))),"Personal Travel - New Orleans",IF(AND(YEAR(B307)=2025,MONTH(B307)=4,OR(ISNUMBER(SEARCH("EXCHANGE RATE",C307)),ISNUMBER(SEARCH("EXCHG RTE",C307)))),"Personal Travel - Italy",IFERROR(INDEX('Category Rules'!$B$2:$B$358,MATCH(TRUE,ISNUMBER(SEARCH('Category Rules'!$A$2:$A$358,C307)),0)),""))))))))</f>
        <v>Amazon</v>
      </c>
    </row>
    <row r="308" spans="1:7" x14ac:dyDescent="0.25">
      <c r="A308" t="s">
        <v>6</v>
      </c>
      <c r="B308" s="1">
        <v>45982</v>
      </c>
      <c r="C308" t="s">
        <v>285</v>
      </c>
      <c r="D308">
        <v>-539.17999999999995</v>
      </c>
      <c r="E308" t="s">
        <v>10</v>
      </c>
      <c r="F308">
        <v>8615.7999999999993</v>
      </c>
      <c r="G308" t="str" cm="1">
        <f t="array" ref="G308">IF(AND(ISNUMBER(SEARCH("UBER",C308)),ISNUMBER(SEARCH("EATS",C308))),"Uber Eats",IF(LEFT(C308,6)="CHECK ","Checks Paid",IF(OR(E308="BILLPAY",ISNUMBER(SEARCH("FRANCHISE TAX",C308)),ISNUMBER(SEARCH("NEXTLINK",C308))),"Personal - House Bills",IF(AND(ISNUMBER(SEARCH("PAYMENT FROM",C308)),ISNUMBER(SEARCH("JOE SAUNDERS",C308))),"Zelle from Joe Saunders",IF(AND(ISNUMBER(SEARCH("PAYMENT TO",C308)),ISNUMBER(SEARCH("JOE SAUNDERS",C308))),"Zelle to Joe Saunders",IF(OR(ISNUMBER(SEARCH("NEW ORLEANS",C308)),ISNUMBER(SEARCH("KENNER",C308)),ISNUMBER(SEARCH("HENRY HOWARD",C308)),ISNUMBER(SEARCH("MISS CLAUDIA",C308))),"Personal Travel - New Orleans",IF(AND(YEAR(B308)=2025,MONTH(B308)=4,OR(ISNUMBER(SEARCH("EXCHANGE RATE",C308)),ISNUMBER(SEARCH("EXCHG RTE",C308)))),"Personal Travel - Italy",IFERROR(INDEX('Category Rules'!$B$2:$B$358,MATCH(TRUE,ISNUMBER(SEARCH('Category Rules'!$A$2:$A$358,C308)),0)),""))))))))</f>
        <v>Personal - Shopping</v>
      </c>
    </row>
    <row r="309" spans="1:7" x14ac:dyDescent="0.25">
      <c r="A309" t="s">
        <v>6</v>
      </c>
      <c r="B309" s="1">
        <v>45982</v>
      </c>
      <c r="C309" t="s">
        <v>286</v>
      </c>
      <c r="D309">
        <v>-462.47</v>
      </c>
      <c r="E309" t="s">
        <v>10</v>
      </c>
      <c r="F309">
        <v>9154.98</v>
      </c>
      <c r="G309" t="str" cm="1">
        <f t="array" ref="G309">IF(AND(ISNUMBER(SEARCH("UBER",C309)),ISNUMBER(SEARCH("EATS",C309))),"Uber Eats",IF(LEFT(C309,6)="CHECK ","Checks Paid",IF(OR(E309="BILLPAY",ISNUMBER(SEARCH("FRANCHISE TAX",C309)),ISNUMBER(SEARCH("NEXTLINK",C309))),"Personal - House Bills",IF(AND(ISNUMBER(SEARCH("PAYMENT FROM",C309)),ISNUMBER(SEARCH("JOE SAUNDERS",C309))),"Zelle from Joe Saunders",IF(AND(ISNUMBER(SEARCH("PAYMENT TO",C309)),ISNUMBER(SEARCH("JOE SAUNDERS",C309))),"Zelle to Joe Saunders",IF(OR(ISNUMBER(SEARCH("NEW ORLEANS",C309)),ISNUMBER(SEARCH("KENNER",C309)),ISNUMBER(SEARCH("HENRY HOWARD",C309)),ISNUMBER(SEARCH("MISS CLAUDIA",C309))),"Personal Travel - New Orleans",IF(AND(YEAR(B309)=2025,MONTH(B309)=4,OR(ISNUMBER(SEARCH("EXCHANGE RATE",C309)),ISNUMBER(SEARCH("EXCHG RTE",C309)))),"Personal Travel - Italy",IFERROR(INDEX('Category Rules'!$B$2:$B$358,MATCH(TRUE,ISNUMBER(SEARCH('Category Rules'!$A$2:$A$358,C309)),0)),""))))))))</f>
        <v>Amazon</v>
      </c>
    </row>
    <row r="310" spans="1:7" x14ac:dyDescent="0.25">
      <c r="A310" t="s">
        <v>44</v>
      </c>
      <c r="B310" s="1">
        <v>45982</v>
      </c>
      <c r="C310" t="s">
        <v>287</v>
      </c>
      <c r="D310">
        <v>5000</v>
      </c>
      <c r="E310" t="s">
        <v>73</v>
      </c>
      <c r="F310">
        <v>9617.4500000000007</v>
      </c>
      <c r="G310" t="str" cm="1">
        <f t="array" ref="G310">IF(AND(ISNUMBER(SEARCH("UBER",C310)),ISNUMBER(SEARCH("EATS",C310))),"Uber Eats",IF(LEFT(C310,6)="CHECK ","Checks Paid",IF(OR(E310="BILLPAY",ISNUMBER(SEARCH("FRANCHISE TAX",C310)),ISNUMBER(SEARCH("NEXTLINK",C310))),"Personal - House Bills",IF(AND(ISNUMBER(SEARCH("PAYMENT FROM",C310)),ISNUMBER(SEARCH("JOE SAUNDERS",C310))),"Zelle from Joe Saunders",IF(AND(ISNUMBER(SEARCH("PAYMENT TO",C310)),ISNUMBER(SEARCH("JOE SAUNDERS",C310))),"Zelle to Joe Saunders",IF(OR(ISNUMBER(SEARCH("NEW ORLEANS",C310)),ISNUMBER(SEARCH("KENNER",C310)),ISNUMBER(SEARCH("HENRY HOWARD",C310)),ISNUMBER(SEARCH("MISS CLAUDIA",C310))),"Personal Travel - New Orleans",IF(AND(YEAR(B310)=2025,MONTH(B310)=4,OR(ISNUMBER(SEARCH("EXCHANGE RATE",C310)),ISNUMBER(SEARCH("EXCHG RTE",C310)))),"Personal Travel - Italy",IFERROR(INDEX('Category Rules'!$B$2:$B$358,MATCH(TRUE,ISNUMBER(SEARCH('Category Rules'!$A$2:$A$358,C310)),0)),""))))))))</f>
        <v>Transfer from DWG Capital Group</v>
      </c>
    </row>
    <row r="311" spans="1:7" x14ac:dyDescent="0.25">
      <c r="A311" t="s">
        <v>6</v>
      </c>
      <c r="B311" s="1">
        <v>45981</v>
      </c>
      <c r="C311" t="s">
        <v>288</v>
      </c>
      <c r="D311">
        <v>-368.53</v>
      </c>
      <c r="E311" t="s">
        <v>10</v>
      </c>
      <c r="F311">
        <v>4617.45</v>
      </c>
      <c r="G311" t="str" cm="1">
        <f t="array" ref="G311">IF(AND(ISNUMBER(SEARCH("UBER",C311)),ISNUMBER(SEARCH("EATS",C311))),"Uber Eats",IF(LEFT(C311,6)="CHECK ","Checks Paid",IF(OR(E311="BILLPAY",ISNUMBER(SEARCH("FRANCHISE TAX",C311)),ISNUMBER(SEARCH("NEXTLINK",C311))),"Personal - House Bills",IF(AND(ISNUMBER(SEARCH("PAYMENT FROM",C311)),ISNUMBER(SEARCH("JOE SAUNDERS",C311))),"Zelle from Joe Saunders",IF(AND(ISNUMBER(SEARCH("PAYMENT TO",C311)),ISNUMBER(SEARCH("JOE SAUNDERS",C311))),"Zelle to Joe Saunders",IF(OR(ISNUMBER(SEARCH("NEW ORLEANS",C311)),ISNUMBER(SEARCH("KENNER",C311)),ISNUMBER(SEARCH("HENRY HOWARD",C311)),ISNUMBER(SEARCH("MISS CLAUDIA",C311))),"Personal Travel - New Orleans",IF(AND(YEAR(B311)=2025,MONTH(B311)=4,OR(ISNUMBER(SEARCH("EXCHANGE RATE",C311)),ISNUMBER(SEARCH("EXCHG RTE",C311)))),"Personal Travel - Italy",IFERROR(INDEX('Category Rules'!$B$2:$B$358,MATCH(TRUE,ISNUMBER(SEARCH('Category Rules'!$A$2:$A$358,C311)),0)),""))))))))</f>
        <v>Personal - Clothing</v>
      </c>
    </row>
    <row r="312" spans="1:7" x14ac:dyDescent="0.25">
      <c r="A312" t="s">
        <v>6</v>
      </c>
      <c r="B312" s="1">
        <v>45981</v>
      </c>
      <c r="C312" t="s">
        <v>289</v>
      </c>
      <c r="D312">
        <v>-438.19</v>
      </c>
      <c r="E312" t="s">
        <v>10</v>
      </c>
      <c r="F312">
        <v>4985.9799999999996</v>
      </c>
      <c r="G312" t="str" cm="1">
        <f t="array" ref="G312">IF(AND(ISNUMBER(SEARCH("UBER",C312)),ISNUMBER(SEARCH("EATS",C312))),"Uber Eats",IF(LEFT(C312,6)="CHECK ","Checks Paid",IF(OR(E312="BILLPAY",ISNUMBER(SEARCH("FRANCHISE TAX",C312)),ISNUMBER(SEARCH("NEXTLINK",C312))),"Personal - House Bills",IF(AND(ISNUMBER(SEARCH("PAYMENT FROM",C312)),ISNUMBER(SEARCH("JOE SAUNDERS",C312))),"Zelle from Joe Saunders",IF(AND(ISNUMBER(SEARCH("PAYMENT TO",C312)),ISNUMBER(SEARCH("JOE SAUNDERS",C312))),"Zelle to Joe Saunders",IF(OR(ISNUMBER(SEARCH("NEW ORLEANS",C312)),ISNUMBER(SEARCH("KENNER",C312)),ISNUMBER(SEARCH("HENRY HOWARD",C312)),ISNUMBER(SEARCH("MISS CLAUDIA",C312))),"Personal Travel - New Orleans",IF(AND(YEAR(B312)=2025,MONTH(B312)=4,OR(ISNUMBER(SEARCH("EXCHANGE RATE",C312)),ISNUMBER(SEARCH("EXCHG RTE",C312)))),"Personal Travel - Italy",IFERROR(INDEX('Category Rules'!$B$2:$B$358,MATCH(TRUE,ISNUMBER(SEARCH('Category Rules'!$A$2:$A$358,C312)),0)),""))))))))</f>
        <v>Personal - Clothing</v>
      </c>
    </row>
    <row r="313" spans="1:7" x14ac:dyDescent="0.25">
      <c r="A313" t="s">
        <v>6</v>
      </c>
      <c r="B313" s="1">
        <v>45981</v>
      </c>
      <c r="C313" t="s">
        <v>290</v>
      </c>
      <c r="D313">
        <v>-289.27999999999997</v>
      </c>
      <c r="E313" t="s">
        <v>10</v>
      </c>
      <c r="F313">
        <v>5424.17</v>
      </c>
      <c r="G313" t="str" cm="1">
        <f t="array" ref="G313">IF(AND(ISNUMBER(SEARCH("UBER",C313)),ISNUMBER(SEARCH("EATS",C313))),"Uber Eats",IF(LEFT(C313,6)="CHECK ","Checks Paid",IF(OR(E313="BILLPAY",ISNUMBER(SEARCH("FRANCHISE TAX",C313)),ISNUMBER(SEARCH("NEXTLINK",C313))),"Personal - House Bills",IF(AND(ISNUMBER(SEARCH("PAYMENT FROM",C313)),ISNUMBER(SEARCH("JOE SAUNDERS",C313))),"Zelle from Joe Saunders",IF(AND(ISNUMBER(SEARCH("PAYMENT TO",C313)),ISNUMBER(SEARCH("JOE SAUNDERS",C313))),"Zelle to Joe Saunders",IF(OR(ISNUMBER(SEARCH("NEW ORLEANS",C313)),ISNUMBER(SEARCH("KENNER",C313)),ISNUMBER(SEARCH("HENRY HOWARD",C313)),ISNUMBER(SEARCH("MISS CLAUDIA",C313))),"Personal Travel - New Orleans",IF(AND(YEAR(B313)=2025,MONTH(B313)=4,OR(ISNUMBER(SEARCH("EXCHANGE RATE",C313)),ISNUMBER(SEARCH("EXCHG RTE",C313)))),"Personal Travel - Italy",IFERROR(INDEX('Category Rules'!$B$2:$B$358,MATCH(TRUE,ISNUMBER(SEARCH('Category Rules'!$A$2:$A$358,C313)),0)),""))))))))</f>
        <v>Personal - Shopping</v>
      </c>
    </row>
    <row r="314" spans="1:7" x14ac:dyDescent="0.25">
      <c r="A314" t="s">
        <v>6</v>
      </c>
      <c r="B314" s="1">
        <v>45981</v>
      </c>
      <c r="C314" t="s">
        <v>291</v>
      </c>
      <c r="D314">
        <v>-66.11</v>
      </c>
      <c r="E314" t="s">
        <v>10</v>
      </c>
      <c r="F314">
        <v>5713.45</v>
      </c>
      <c r="G314" t="str" cm="1">
        <f t="array" ref="G314">IF(AND(ISNUMBER(SEARCH("UBER",C314)),ISNUMBER(SEARCH("EATS",C314))),"Uber Eats",IF(LEFT(C314,6)="CHECK ","Checks Paid",IF(OR(E314="BILLPAY",ISNUMBER(SEARCH("FRANCHISE TAX",C314)),ISNUMBER(SEARCH("NEXTLINK",C314))),"Personal - House Bills",IF(AND(ISNUMBER(SEARCH("PAYMENT FROM",C314)),ISNUMBER(SEARCH("JOE SAUNDERS",C314))),"Zelle from Joe Saunders",IF(AND(ISNUMBER(SEARCH("PAYMENT TO",C314)),ISNUMBER(SEARCH("JOE SAUNDERS",C314))),"Zelle to Joe Saunders",IF(OR(ISNUMBER(SEARCH("NEW ORLEANS",C314)),ISNUMBER(SEARCH("KENNER",C314)),ISNUMBER(SEARCH("HENRY HOWARD",C314)),ISNUMBER(SEARCH("MISS CLAUDIA",C314))),"Personal Travel - New Orleans",IF(AND(YEAR(B314)=2025,MONTH(B314)=4,OR(ISNUMBER(SEARCH("EXCHANGE RATE",C314)),ISNUMBER(SEARCH("EXCHG RTE",C314)))),"Personal Travel - Italy",IFERROR(INDEX('Category Rules'!$B$2:$B$358,MATCH(TRUE,ISNUMBER(SEARCH('Category Rules'!$A$2:$A$358,C314)),0)),""))))))))</f>
        <v>Amazon</v>
      </c>
    </row>
    <row r="315" spans="1:7" x14ac:dyDescent="0.25">
      <c r="A315" t="s">
        <v>6</v>
      </c>
      <c r="B315" s="1">
        <v>45981</v>
      </c>
      <c r="C315" t="s">
        <v>292</v>
      </c>
      <c r="D315">
        <v>-26.55</v>
      </c>
      <c r="E315" t="s">
        <v>10</v>
      </c>
      <c r="F315">
        <v>5779.56</v>
      </c>
      <c r="G315" t="str" cm="1">
        <f t="array" ref="G315">IF(AND(ISNUMBER(SEARCH("UBER",C315)),ISNUMBER(SEARCH("EATS",C315))),"Uber Eats",IF(LEFT(C315,6)="CHECK ","Checks Paid",IF(OR(E315="BILLPAY",ISNUMBER(SEARCH("FRANCHISE TAX",C315)),ISNUMBER(SEARCH("NEXTLINK",C315))),"Personal - House Bills",IF(AND(ISNUMBER(SEARCH("PAYMENT FROM",C315)),ISNUMBER(SEARCH("JOE SAUNDERS",C315))),"Zelle from Joe Saunders",IF(AND(ISNUMBER(SEARCH("PAYMENT TO",C315)),ISNUMBER(SEARCH("JOE SAUNDERS",C315))),"Zelle to Joe Saunders",IF(OR(ISNUMBER(SEARCH("NEW ORLEANS",C315)),ISNUMBER(SEARCH("KENNER",C315)),ISNUMBER(SEARCH("HENRY HOWARD",C315)),ISNUMBER(SEARCH("MISS CLAUDIA",C315))),"Personal Travel - New Orleans",IF(AND(YEAR(B315)=2025,MONTH(B315)=4,OR(ISNUMBER(SEARCH("EXCHANGE RATE",C315)),ISNUMBER(SEARCH("EXCHG RTE",C315)))),"Personal Travel - Italy",IFERROR(INDEX('Category Rules'!$B$2:$B$358,MATCH(TRUE,ISNUMBER(SEARCH('Category Rules'!$A$2:$A$358,C315)),0)),""))))))))</f>
        <v>Amazon</v>
      </c>
    </row>
    <row r="316" spans="1:7" x14ac:dyDescent="0.25">
      <c r="A316" t="s">
        <v>6</v>
      </c>
      <c r="B316" s="1">
        <v>45981</v>
      </c>
      <c r="C316" t="s">
        <v>293</v>
      </c>
      <c r="D316">
        <v>-592.79</v>
      </c>
      <c r="E316" t="s">
        <v>10</v>
      </c>
      <c r="F316">
        <v>5806.11</v>
      </c>
      <c r="G316" t="str" cm="1">
        <f t="array" ref="G316">IF(AND(ISNUMBER(SEARCH("UBER",C316)),ISNUMBER(SEARCH("EATS",C316))),"Uber Eats",IF(LEFT(C316,6)="CHECK ","Checks Paid",IF(OR(E316="BILLPAY",ISNUMBER(SEARCH("FRANCHISE TAX",C316)),ISNUMBER(SEARCH("NEXTLINK",C316))),"Personal - House Bills",IF(AND(ISNUMBER(SEARCH("PAYMENT FROM",C316)),ISNUMBER(SEARCH("JOE SAUNDERS",C316))),"Zelle from Joe Saunders",IF(AND(ISNUMBER(SEARCH("PAYMENT TO",C316)),ISNUMBER(SEARCH("JOE SAUNDERS",C316))),"Zelle to Joe Saunders",IF(OR(ISNUMBER(SEARCH("NEW ORLEANS",C316)),ISNUMBER(SEARCH("KENNER",C316)),ISNUMBER(SEARCH("HENRY HOWARD",C316)),ISNUMBER(SEARCH("MISS CLAUDIA",C316))),"Personal Travel - New Orleans",IF(AND(YEAR(B316)=2025,MONTH(B316)=4,OR(ISNUMBER(SEARCH("EXCHANGE RATE",C316)),ISNUMBER(SEARCH("EXCHG RTE",C316)))),"Personal Travel - Italy",IFERROR(INDEX('Category Rules'!$B$2:$B$358,MATCH(TRUE,ISNUMBER(SEARCH('Category Rules'!$A$2:$A$358,C316)),0)),""))))))))</f>
        <v>Personal - Shopping</v>
      </c>
    </row>
    <row r="317" spans="1:7" x14ac:dyDescent="0.25">
      <c r="A317" t="s">
        <v>44</v>
      </c>
      <c r="B317" s="1">
        <v>45981</v>
      </c>
      <c r="C317" t="s">
        <v>294</v>
      </c>
      <c r="D317">
        <v>2000</v>
      </c>
      <c r="E317" t="s">
        <v>73</v>
      </c>
      <c r="F317">
        <v>6398.9</v>
      </c>
      <c r="G317" t="str" cm="1">
        <f t="array" ref="G317">IF(AND(ISNUMBER(SEARCH("UBER",C317)),ISNUMBER(SEARCH("EATS",C317))),"Uber Eats",IF(LEFT(C317,6)="CHECK ","Checks Paid",IF(OR(E317="BILLPAY",ISNUMBER(SEARCH("FRANCHISE TAX",C317)),ISNUMBER(SEARCH("NEXTLINK",C317))),"Personal - House Bills",IF(AND(ISNUMBER(SEARCH("PAYMENT FROM",C317)),ISNUMBER(SEARCH("JOE SAUNDERS",C317))),"Zelle from Joe Saunders",IF(AND(ISNUMBER(SEARCH("PAYMENT TO",C317)),ISNUMBER(SEARCH("JOE SAUNDERS",C317))),"Zelle to Joe Saunders",IF(OR(ISNUMBER(SEARCH("NEW ORLEANS",C317)),ISNUMBER(SEARCH("KENNER",C317)),ISNUMBER(SEARCH("HENRY HOWARD",C317)),ISNUMBER(SEARCH("MISS CLAUDIA",C317))),"Personal Travel - New Orleans",IF(AND(YEAR(B317)=2025,MONTH(B317)=4,OR(ISNUMBER(SEARCH("EXCHANGE RATE",C317)),ISNUMBER(SEARCH("EXCHG RTE",C317)))),"Personal Travel - Italy",IFERROR(INDEX('Category Rules'!$B$2:$B$358,MATCH(TRUE,ISNUMBER(SEARCH('Category Rules'!$A$2:$A$358,C317)),0)),""))))))))</f>
        <v>Transfer from DWG Capital Group</v>
      </c>
    </row>
    <row r="318" spans="1:7" x14ac:dyDescent="0.25">
      <c r="A318" t="s">
        <v>44</v>
      </c>
      <c r="B318" s="1">
        <v>45981</v>
      </c>
      <c r="C318" t="s">
        <v>295</v>
      </c>
      <c r="D318">
        <v>2000</v>
      </c>
      <c r="E318" t="s">
        <v>73</v>
      </c>
      <c r="F318">
        <v>4398.8999999999996</v>
      </c>
      <c r="G318" t="str" cm="1">
        <f t="array" ref="G318">IF(AND(ISNUMBER(SEARCH("UBER",C318)),ISNUMBER(SEARCH("EATS",C318))),"Uber Eats",IF(LEFT(C318,6)="CHECK ","Checks Paid",IF(OR(E318="BILLPAY",ISNUMBER(SEARCH("FRANCHISE TAX",C318)),ISNUMBER(SEARCH("NEXTLINK",C318))),"Personal - House Bills",IF(AND(ISNUMBER(SEARCH("PAYMENT FROM",C318)),ISNUMBER(SEARCH("JOE SAUNDERS",C318))),"Zelle from Joe Saunders",IF(AND(ISNUMBER(SEARCH("PAYMENT TO",C318)),ISNUMBER(SEARCH("JOE SAUNDERS",C318))),"Zelle to Joe Saunders",IF(OR(ISNUMBER(SEARCH("NEW ORLEANS",C318)),ISNUMBER(SEARCH("KENNER",C318)),ISNUMBER(SEARCH("HENRY HOWARD",C318)),ISNUMBER(SEARCH("MISS CLAUDIA",C318))),"Personal Travel - New Orleans",IF(AND(YEAR(B318)=2025,MONTH(B318)=4,OR(ISNUMBER(SEARCH("EXCHANGE RATE",C318)),ISNUMBER(SEARCH("EXCHG RTE",C318)))),"Personal Travel - Italy",IFERROR(INDEX('Category Rules'!$B$2:$B$358,MATCH(TRUE,ISNUMBER(SEARCH('Category Rules'!$A$2:$A$358,C318)),0)),""))))))))</f>
        <v>Transfer from DWG Capital Group</v>
      </c>
    </row>
    <row r="319" spans="1:7" x14ac:dyDescent="0.25">
      <c r="A319" t="s">
        <v>6</v>
      </c>
      <c r="B319" s="1">
        <v>45980</v>
      </c>
      <c r="C319" t="s">
        <v>296</v>
      </c>
      <c r="D319">
        <v>-34.369999999999997</v>
      </c>
      <c r="E319" t="s">
        <v>10</v>
      </c>
      <c r="F319">
        <v>2398.9</v>
      </c>
      <c r="G319" t="str" cm="1">
        <f t="array" ref="G319">IF(AND(ISNUMBER(SEARCH("UBER",C319)),ISNUMBER(SEARCH("EATS",C319))),"Uber Eats",IF(LEFT(C319,6)="CHECK ","Checks Paid",IF(OR(E319="BILLPAY",ISNUMBER(SEARCH("FRANCHISE TAX",C319)),ISNUMBER(SEARCH("NEXTLINK",C319))),"Personal - House Bills",IF(AND(ISNUMBER(SEARCH("PAYMENT FROM",C319)),ISNUMBER(SEARCH("JOE SAUNDERS",C319))),"Zelle from Joe Saunders",IF(AND(ISNUMBER(SEARCH("PAYMENT TO",C319)),ISNUMBER(SEARCH("JOE SAUNDERS",C319))),"Zelle to Joe Saunders",IF(OR(ISNUMBER(SEARCH("NEW ORLEANS",C319)),ISNUMBER(SEARCH("KENNER",C319)),ISNUMBER(SEARCH("HENRY HOWARD",C319)),ISNUMBER(SEARCH("MISS CLAUDIA",C319))),"Personal Travel - New Orleans",IF(AND(YEAR(B319)=2025,MONTH(B319)=4,OR(ISNUMBER(SEARCH("EXCHANGE RATE",C319)),ISNUMBER(SEARCH("EXCHG RTE",C319)))),"Personal Travel - Italy",IFERROR(INDEX('Category Rules'!$B$2:$B$358,MATCH(TRUE,ISNUMBER(SEARCH('Category Rules'!$A$2:$A$358,C319)),0)),""))))))))</f>
        <v>Uber Eats</v>
      </c>
    </row>
    <row r="320" spans="1:7" x14ac:dyDescent="0.25">
      <c r="A320" t="s">
        <v>6</v>
      </c>
      <c r="B320" s="1">
        <v>45980</v>
      </c>
      <c r="C320" t="s">
        <v>297</v>
      </c>
      <c r="D320">
        <v>-9.85</v>
      </c>
      <c r="E320" t="s">
        <v>10</v>
      </c>
      <c r="F320">
        <v>2433.27</v>
      </c>
      <c r="G320" t="str" cm="1">
        <f t="array" ref="G320">IF(AND(ISNUMBER(SEARCH("UBER",C320)),ISNUMBER(SEARCH("EATS",C320))),"Uber Eats",IF(LEFT(C320,6)="CHECK ","Checks Paid",IF(OR(E320="BILLPAY",ISNUMBER(SEARCH("FRANCHISE TAX",C320)),ISNUMBER(SEARCH("NEXTLINK",C320))),"Personal - House Bills",IF(AND(ISNUMBER(SEARCH("PAYMENT FROM",C320)),ISNUMBER(SEARCH("JOE SAUNDERS",C320))),"Zelle from Joe Saunders",IF(AND(ISNUMBER(SEARCH("PAYMENT TO",C320)),ISNUMBER(SEARCH("JOE SAUNDERS",C320))),"Zelle to Joe Saunders",IF(OR(ISNUMBER(SEARCH("NEW ORLEANS",C320)),ISNUMBER(SEARCH("KENNER",C320)),ISNUMBER(SEARCH("HENRY HOWARD",C320)),ISNUMBER(SEARCH("MISS CLAUDIA",C320))),"Personal Travel - New Orleans",IF(AND(YEAR(B320)=2025,MONTH(B320)=4,OR(ISNUMBER(SEARCH("EXCHANGE RATE",C320)),ISNUMBER(SEARCH("EXCHG RTE",C320)))),"Personal Travel - Italy",IFERROR(INDEX('Category Rules'!$B$2:$B$358,MATCH(TRUE,ISNUMBER(SEARCH('Category Rules'!$A$2:$A$358,C320)),0)),""))))))))</f>
        <v>Amazon</v>
      </c>
    </row>
    <row r="321" spans="1:7" x14ac:dyDescent="0.25">
      <c r="A321" t="s">
        <v>6</v>
      </c>
      <c r="B321" s="1">
        <v>45980</v>
      </c>
      <c r="C321" t="s">
        <v>298</v>
      </c>
      <c r="D321">
        <v>-88.92</v>
      </c>
      <c r="E321" t="s">
        <v>10</v>
      </c>
      <c r="F321">
        <v>2443.12</v>
      </c>
      <c r="G321" t="str" cm="1">
        <f t="array" ref="G321">IF(AND(ISNUMBER(SEARCH("UBER",C321)),ISNUMBER(SEARCH("EATS",C321))),"Uber Eats",IF(LEFT(C321,6)="CHECK ","Checks Paid",IF(OR(E321="BILLPAY",ISNUMBER(SEARCH("FRANCHISE TAX",C321)),ISNUMBER(SEARCH("NEXTLINK",C321))),"Personal - House Bills",IF(AND(ISNUMBER(SEARCH("PAYMENT FROM",C321)),ISNUMBER(SEARCH("JOE SAUNDERS",C321))),"Zelle from Joe Saunders",IF(AND(ISNUMBER(SEARCH("PAYMENT TO",C321)),ISNUMBER(SEARCH("JOE SAUNDERS",C321))),"Zelle to Joe Saunders",IF(OR(ISNUMBER(SEARCH("NEW ORLEANS",C321)),ISNUMBER(SEARCH("KENNER",C321)),ISNUMBER(SEARCH("HENRY HOWARD",C321)),ISNUMBER(SEARCH("MISS CLAUDIA",C321))),"Personal Travel - New Orleans",IF(AND(YEAR(B321)=2025,MONTH(B321)=4,OR(ISNUMBER(SEARCH("EXCHANGE RATE",C321)),ISNUMBER(SEARCH("EXCHG RTE",C321)))),"Personal Travel - Italy",IFERROR(INDEX('Category Rules'!$B$2:$B$358,MATCH(TRUE,ISNUMBER(SEARCH('Category Rules'!$A$2:$A$358,C321)),0)),""))))))))</f>
        <v>Uber Eats</v>
      </c>
    </row>
    <row r="322" spans="1:7" x14ac:dyDescent="0.25">
      <c r="A322" t="s">
        <v>6</v>
      </c>
      <c r="B322" s="1">
        <v>45980</v>
      </c>
      <c r="C322" t="s">
        <v>299</v>
      </c>
      <c r="D322">
        <v>-40.549999999999997</v>
      </c>
      <c r="E322" t="s">
        <v>10</v>
      </c>
      <c r="F322">
        <v>2532.04</v>
      </c>
      <c r="G322" t="str" cm="1">
        <f t="array" ref="G322">IF(AND(ISNUMBER(SEARCH("UBER",C322)),ISNUMBER(SEARCH("EATS",C322))),"Uber Eats",IF(LEFT(C322,6)="CHECK ","Checks Paid",IF(OR(E322="BILLPAY",ISNUMBER(SEARCH("FRANCHISE TAX",C322)),ISNUMBER(SEARCH("NEXTLINK",C322))),"Personal - House Bills",IF(AND(ISNUMBER(SEARCH("PAYMENT FROM",C322)),ISNUMBER(SEARCH("JOE SAUNDERS",C322))),"Zelle from Joe Saunders",IF(AND(ISNUMBER(SEARCH("PAYMENT TO",C322)),ISNUMBER(SEARCH("JOE SAUNDERS",C322))),"Zelle to Joe Saunders",IF(OR(ISNUMBER(SEARCH("NEW ORLEANS",C322)),ISNUMBER(SEARCH("KENNER",C322)),ISNUMBER(SEARCH("HENRY HOWARD",C322)),ISNUMBER(SEARCH("MISS CLAUDIA",C322))),"Personal Travel - New Orleans",IF(AND(YEAR(B322)=2025,MONTH(B322)=4,OR(ISNUMBER(SEARCH("EXCHANGE RATE",C322)),ISNUMBER(SEARCH("EXCHG RTE",C322)))),"Personal Travel - Italy",IFERROR(INDEX('Category Rules'!$B$2:$B$358,MATCH(TRUE,ISNUMBER(SEARCH('Category Rules'!$A$2:$A$358,C322)),0)),""))))))))</f>
        <v>Amazon</v>
      </c>
    </row>
    <row r="323" spans="1:7" x14ac:dyDescent="0.25">
      <c r="A323" t="s">
        <v>6</v>
      </c>
      <c r="B323" s="1">
        <v>45980</v>
      </c>
      <c r="C323" t="s">
        <v>300</v>
      </c>
      <c r="D323">
        <v>-85.99</v>
      </c>
      <c r="E323" t="s">
        <v>10</v>
      </c>
      <c r="F323">
        <v>2572.59</v>
      </c>
      <c r="G323" t="str" cm="1">
        <f t="array" ref="G323">IF(AND(ISNUMBER(SEARCH("UBER",C323)),ISNUMBER(SEARCH("EATS",C323))),"Uber Eats",IF(LEFT(C323,6)="CHECK ","Checks Paid",IF(OR(E323="BILLPAY",ISNUMBER(SEARCH("FRANCHISE TAX",C323)),ISNUMBER(SEARCH("NEXTLINK",C323))),"Personal - House Bills",IF(AND(ISNUMBER(SEARCH("PAYMENT FROM",C323)),ISNUMBER(SEARCH("JOE SAUNDERS",C323))),"Zelle from Joe Saunders",IF(AND(ISNUMBER(SEARCH("PAYMENT TO",C323)),ISNUMBER(SEARCH("JOE SAUNDERS",C323))),"Zelle to Joe Saunders",IF(OR(ISNUMBER(SEARCH("NEW ORLEANS",C323)),ISNUMBER(SEARCH("KENNER",C323)),ISNUMBER(SEARCH("HENRY HOWARD",C323)),ISNUMBER(SEARCH("MISS CLAUDIA",C323))),"Personal Travel - New Orleans",IF(AND(YEAR(B323)=2025,MONTH(B323)=4,OR(ISNUMBER(SEARCH("EXCHANGE RATE",C323)),ISNUMBER(SEARCH("EXCHG RTE",C323)))),"Personal Travel - Italy",IFERROR(INDEX('Category Rules'!$B$2:$B$358,MATCH(TRUE,ISNUMBER(SEARCH('Category Rules'!$A$2:$A$358,C323)),0)),""))))))))</f>
        <v>Personal Travel</v>
      </c>
    </row>
    <row r="324" spans="1:7" x14ac:dyDescent="0.25">
      <c r="A324" t="s">
        <v>6</v>
      </c>
      <c r="B324" s="1">
        <v>45980</v>
      </c>
      <c r="C324" t="s">
        <v>301</v>
      </c>
      <c r="D324">
        <v>-288.48</v>
      </c>
      <c r="E324" t="s">
        <v>10</v>
      </c>
      <c r="F324">
        <v>2658.58</v>
      </c>
      <c r="G324" t="str" cm="1">
        <f t="array" ref="G324">IF(AND(ISNUMBER(SEARCH("UBER",C324)),ISNUMBER(SEARCH("EATS",C324))),"Uber Eats",IF(LEFT(C324,6)="CHECK ","Checks Paid",IF(OR(E324="BILLPAY",ISNUMBER(SEARCH("FRANCHISE TAX",C324)),ISNUMBER(SEARCH("NEXTLINK",C324))),"Personal - House Bills",IF(AND(ISNUMBER(SEARCH("PAYMENT FROM",C324)),ISNUMBER(SEARCH("JOE SAUNDERS",C324))),"Zelle from Joe Saunders",IF(AND(ISNUMBER(SEARCH("PAYMENT TO",C324)),ISNUMBER(SEARCH("JOE SAUNDERS",C324))),"Zelle to Joe Saunders",IF(OR(ISNUMBER(SEARCH("NEW ORLEANS",C324)),ISNUMBER(SEARCH("KENNER",C324)),ISNUMBER(SEARCH("HENRY HOWARD",C324)),ISNUMBER(SEARCH("MISS CLAUDIA",C324))),"Personal Travel - New Orleans",IF(AND(YEAR(B324)=2025,MONTH(B324)=4,OR(ISNUMBER(SEARCH("EXCHANGE RATE",C324)),ISNUMBER(SEARCH("EXCHG RTE",C324)))),"Personal Travel - Italy",IFERROR(INDEX('Category Rules'!$B$2:$B$358,MATCH(TRUE,ISNUMBER(SEARCH('Category Rules'!$A$2:$A$358,C324)),0)),""))))))))</f>
        <v>Personal Travel</v>
      </c>
    </row>
    <row r="325" spans="1:7" x14ac:dyDescent="0.25">
      <c r="A325" t="s">
        <v>6</v>
      </c>
      <c r="B325" s="1">
        <v>45980</v>
      </c>
      <c r="C325" t="s">
        <v>302</v>
      </c>
      <c r="D325">
        <v>-149.47999999999999</v>
      </c>
      <c r="E325" t="s">
        <v>10</v>
      </c>
      <c r="F325">
        <v>2947.06</v>
      </c>
      <c r="G325" t="str" cm="1">
        <f t="array" ref="G325">IF(AND(ISNUMBER(SEARCH("UBER",C325)),ISNUMBER(SEARCH("EATS",C325))),"Uber Eats",IF(LEFT(C325,6)="CHECK ","Checks Paid",IF(OR(E325="BILLPAY",ISNUMBER(SEARCH("FRANCHISE TAX",C325)),ISNUMBER(SEARCH("NEXTLINK",C325))),"Personal - House Bills",IF(AND(ISNUMBER(SEARCH("PAYMENT FROM",C325)),ISNUMBER(SEARCH("JOE SAUNDERS",C325))),"Zelle from Joe Saunders",IF(AND(ISNUMBER(SEARCH("PAYMENT TO",C325)),ISNUMBER(SEARCH("JOE SAUNDERS",C325))),"Zelle to Joe Saunders",IF(OR(ISNUMBER(SEARCH("NEW ORLEANS",C325)),ISNUMBER(SEARCH("KENNER",C325)),ISNUMBER(SEARCH("HENRY HOWARD",C325)),ISNUMBER(SEARCH("MISS CLAUDIA",C325))),"Personal Travel - New Orleans",IF(AND(YEAR(B325)=2025,MONTH(B325)=4,OR(ISNUMBER(SEARCH("EXCHANGE RATE",C325)),ISNUMBER(SEARCH("EXCHG RTE",C325)))),"Personal Travel - Italy",IFERROR(INDEX('Category Rules'!$B$2:$B$358,MATCH(TRUE,ISNUMBER(SEARCH('Category Rules'!$A$2:$A$358,C325)),0)),""))))))))</f>
        <v>Personal Travel</v>
      </c>
    </row>
    <row r="326" spans="1:7" x14ac:dyDescent="0.25">
      <c r="A326" t="s">
        <v>6</v>
      </c>
      <c r="B326" s="1">
        <v>45980</v>
      </c>
      <c r="C326" t="s">
        <v>303</v>
      </c>
      <c r="D326">
        <v>-680.56</v>
      </c>
      <c r="E326" t="s">
        <v>10</v>
      </c>
      <c r="F326">
        <v>3096.54</v>
      </c>
      <c r="G326" t="str" cm="1">
        <f t="array" ref="G326">IF(AND(ISNUMBER(SEARCH("UBER",C326)),ISNUMBER(SEARCH("EATS",C326))),"Uber Eats",IF(LEFT(C326,6)="CHECK ","Checks Paid",IF(OR(E326="BILLPAY",ISNUMBER(SEARCH("FRANCHISE TAX",C326)),ISNUMBER(SEARCH("NEXTLINK",C326))),"Personal - House Bills",IF(AND(ISNUMBER(SEARCH("PAYMENT FROM",C326)),ISNUMBER(SEARCH("JOE SAUNDERS",C326))),"Zelle from Joe Saunders",IF(AND(ISNUMBER(SEARCH("PAYMENT TO",C326)),ISNUMBER(SEARCH("JOE SAUNDERS",C326))),"Zelle to Joe Saunders",IF(OR(ISNUMBER(SEARCH("NEW ORLEANS",C326)),ISNUMBER(SEARCH("KENNER",C326)),ISNUMBER(SEARCH("HENRY HOWARD",C326)),ISNUMBER(SEARCH("MISS CLAUDIA",C326))),"Personal Travel - New Orleans",IF(AND(YEAR(B326)=2025,MONTH(B326)=4,OR(ISNUMBER(SEARCH("EXCHANGE RATE",C326)),ISNUMBER(SEARCH("EXCHG RTE",C326)))),"Personal Travel - Italy",IFERROR(INDEX('Category Rules'!$B$2:$B$358,MATCH(TRUE,ISNUMBER(SEARCH('Category Rules'!$A$2:$A$358,C326)),0)),""))))))))</f>
        <v>Personal - Shopping</v>
      </c>
    </row>
    <row r="327" spans="1:7" x14ac:dyDescent="0.25">
      <c r="A327" t="s">
        <v>6</v>
      </c>
      <c r="B327" s="1">
        <v>45980</v>
      </c>
      <c r="C327" t="s">
        <v>304</v>
      </c>
      <c r="D327">
        <v>230.27</v>
      </c>
      <c r="E327" t="s">
        <v>10</v>
      </c>
      <c r="F327">
        <v>3777.1</v>
      </c>
      <c r="G327" t="str" cm="1">
        <f t="array" ref="G327">IF(AND(ISNUMBER(SEARCH("UBER",C327)),ISNUMBER(SEARCH("EATS",C327))),"Uber Eats",IF(LEFT(C327,6)="CHECK ","Checks Paid",IF(OR(E327="BILLPAY",ISNUMBER(SEARCH("FRANCHISE TAX",C327)),ISNUMBER(SEARCH("NEXTLINK",C327))),"Personal - House Bills",IF(AND(ISNUMBER(SEARCH("PAYMENT FROM",C327)),ISNUMBER(SEARCH("JOE SAUNDERS",C327))),"Zelle from Joe Saunders",IF(AND(ISNUMBER(SEARCH("PAYMENT TO",C327)),ISNUMBER(SEARCH("JOE SAUNDERS",C327))),"Zelle to Joe Saunders",IF(OR(ISNUMBER(SEARCH("NEW ORLEANS",C327)),ISNUMBER(SEARCH("KENNER",C327)),ISNUMBER(SEARCH("HENRY HOWARD",C327)),ISNUMBER(SEARCH("MISS CLAUDIA",C327))),"Personal Travel - New Orleans",IF(AND(YEAR(B327)=2025,MONTH(B327)=4,OR(ISNUMBER(SEARCH("EXCHANGE RATE",C327)),ISNUMBER(SEARCH("EXCHG RTE",C327)))),"Personal Travel - Italy",IFERROR(INDEX('Category Rules'!$B$2:$B$358,MATCH(TRUE,ISNUMBER(SEARCH('Category Rules'!$A$2:$A$358,C327)),0)),""))))))))</f>
        <v>Personal - Shopping</v>
      </c>
    </row>
    <row r="328" spans="1:7" x14ac:dyDescent="0.25">
      <c r="A328" t="s">
        <v>6</v>
      </c>
      <c r="B328" s="1">
        <v>45979</v>
      </c>
      <c r="C328" t="s">
        <v>305</v>
      </c>
      <c r="D328">
        <v>-7.58</v>
      </c>
      <c r="E328" t="s">
        <v>10</v>
      </c>
      <c r="F328">
        <v>3546.83</v>
      </c>
      <c r="G328" t="str" cm="1">
        <f t="array" ref="G328">IF(AND(ISNUMBER(SEARCH("UBER",C328)),ISNUMBER(SEARCH("EATS",C328))),"Uber Eats",IF(LEFT(C328,6)="CHECK ","Checks Paid",IF(OR(E328="BILLPAY",ISNUMBER(SEARCH("FRANCHISE TAX",C328)),ISNUMBER(SEARCH("NEXTLINK",C328))),"Personal - House Bills",IF(AND(ISNUMBER(SEARCH("PAYMENT FROM",C328)),ISNUMBER(SEARCH("JOE SAUNDERS",C328))),"Zelle from Joe Saunders",IF(AND(ISNUMBER(SEARCH("PAYMENT TO",C328)),ISNUMBER(SEARCH("JOE SAUNDERS",C328))),"Zelle to Joe Saunders",IF(OR(ISNUMBER(SEARCH("NEW ORLEANS",C328)),ISNUMBER(SEARCH("KENNER",C328)),ISNUMBER(SEARCH("HENRY HOWARD",C328)),ISNUMBER(SEARCH("MISS CLAUDIA",C328))),"Personal Travel - New Orleans",IF(AND(YEAR(B328)=2025,MONTH(B328)=4,OR(ISNUMBER(SEARCH("EXCHANGE RATE",C328)),ISNUMBER(SEARCH("EXCHG RTE",C328)))),"Personal Travel - Italy",IFERROR(INDEX('Category Rules'!$B$2:$B$358,MATCH(TRUE,ISNUMBER(SEARCH('Category Rules'!$A$2:$A$358,C328)),0)),""))))))))</f>
        <v>Personal Travel</v>
      </c>
    </row>
    <row r="329" spans="1:7" x14ac:dyDescent="0.25">
      <c r="A329" t="s">
        <v>6</v>
      </c>
      <c r="B329" s="1">
        <v>45979</v>
      </c>
      <c r="C329" t="s">
        <v>306</v>
      </c>
      <c r="D329">
        <v>-97.84</v>
      </c>
      <c r="E329" t="s">
        <v>10</v>
      </c>
      <c r="F329">
        <v>3554.41</v>
      </c>
      <c r="G329" t="str" cm="1">
        <f t="array" ref="G329">IF(AND(ISNUMBER(SEARCH("UBER",C329)),ISNUMBER(SEARCH("EATS",C329))),"Uber Eats",IF(LEFT(C329,6)="CHECK ","Checks Paid",IF(OR(E329="BILLPAY",ISNUMBER(SEARCH("FRANCHISE TAX",C329)),ISNUMBER(SEARCH("NEXTLINK",C329))),"Personal - House Bills",IF(AND(ISNUMBER(SEARCH("PAYMENT FROM",C329)),ISNUMBER(SEARCH("JOE SAUNDERS",C329))),"Zelle from Joe Saunders",IF(AND(ISNUMBER(SEARCH("PAYMENT TO",C329)),ISNUMBER(SEARCH("JOE SAUNDERS",C329))),"Zelle to Joe Saunders",IF(OR(ISNUMBER(SEARCH("NEW ORLEANS",C329)),ISNUMBER(SEARCH("KENNER",C329)),ISNUMBER(SEARCH("HENRY HOWARD",C329)),ISNUMBER(SEARCH("MISS CLAUDIA",C329))),"Personal Travel - New Orleans",IF(AND(YEAR(B329)=2025,MONTH(B329)=4,OR(ISNUMBER(SEARCH("EXCHANGE RATE",C329)),ISNUMBER(SEARCH("EXCHG RTE",C329)))),"Personal Travel - Italy",IFERROR(INDEX('Category Rules'!$B$2:$B$358,MATCH(TRUE,ISNUMBER(SEARCH('Category Rules'!$A$2:$A$358,C329)),0)),""))))))))</f>
        <v>Amazon</v>
      </c>
    </row>
    <row r="330" spans="1:7" x14ac:dyDescent="0.25">
      <c r="A330" t="s">
        <v>6</v>
      </c>
      <c r="B330" s="1">
        <v>45979</v>
      </c>
      <c r="C330" t="s">
        <v>307</v>
      </c>
      <c r="D330">
        <v>-147.01</v>
      </c>
      <c r="E330" t="s">
        <v>10</v>
      </c>
      <c r="F330">
        <v>3652.25</v>
      </c>
      <c r="G330" t="str" cm="1">
        <f t="array" ref="G330">IF(AND(ISNUMBER(SEARCH("UBER",C330)),ISNUMBER(SEARCH("EATS",C330))),"Uber Eats",IF(LEFT(C330,6)="CHECK ","Checks Paid",IF(OR(E330="BILLPAY",ISNUMBER(SEARCH("FRANCHISE TAX",C330)),ISNUMBER(SEARCH("NEXTLINK",C330))),"Personal - House Bills",IF(AND(ISNUMBER(SEARCH("PAYMENT FROM",C330)),ISNUMBER(SEARCH("JOE SAUNDERS",C330))),"Zelle from Joe Saunders",IF(AND(ISNUMBER(SEARCH("PAYMENT TO",C330)),ISNUMBER(SEARCH("JOE SAUNDERS",C330))),"Zelle to Joe Saunders",IF(OR(ISNUMBER(SEARCH("NEW ORLEANS",C330)),ISNUMBER(SEARCH("KENNER",C330)),ISNUMBER(SEARCH("HENRY HOWARD",C330)),ISNUMBER(SEARCH("MISS CLAUDIA",C330))),"Personal Travel - New Orleans",IF(AND(YEAR(B330)=2025,MONTH(B330)=4,OR(ISNUMBER(SEARCH("EXCHANGE RATE",C330)),ISNUMBER(SEARCH("EXCHG RTE",C330)))),"Personal Travel - Italy",IFERROR(INDEX('Category Rules'!$B$2:$B$358,MATCH(TRUE,ISNUMBER(SEARCH('Category Rules'!$A$2:$A$358,C330)),0)),""))))))))</f>
        <v>Personal - Shopping</v>
      </c>
    </row>
    <row r="331" spans="1:7" x14ac:dyDescent="0.25">
      <c r="A331" t="s">
        <v>6</v>
      </c>
      <c r="B331" s="1">
        <v>45979</v>
      </c>
      <c r="C331" t="s">
        <v>308</v>
      </c>
      <c r="D331">
        <v>-9</v>
      </c>
      <c r="E331" t="s">
        <v>10</v>
      </c>
      <c r="F331">
        <v>3799.26</v>
      </c>
      <c r="G331" t="str" cm="1">
        <f t="array" ref="G331">IF(AND(ISNUMBER(SEARCH("UBER",C331)),ISNUMBER(SEARCH("EATS",C331))),"Uber Eats",IF(LEFT(C331,6)="CHECK ","Checks Paid",IF(OR(E331="BILLPAY",ISNUMBER(SEARCH("FRANCHISE TAX",C331)),ISNUMBER(SEARCH("NEXTLINK",C331))),"Personal - House Bills",IF(AND(ISNUMBER(SEARCH("PAYMENT FROM",C331)),ISNUMBER(SEARCH("JOE SAUNDERS",C331))),"Zelle from Joe Saunders",IF(AND(ISNUMBER(SEARCH("PAYMENT TO",C331)),ISNUMBER(SEARCH("JOE SAUNDERS",C331))),"Zelle to Joe Saunders",IF(OR(ISNUMBER(SEARCH("NEW ORLEANS",C331)),ISNUMBER(SEARCH("KENNER",C331)),ISNUMBER(SEARCH("HENRY HOWARD",C331)),ISNUMBER(SEARCH("MISS CLAUDIA",C331))),"Personal Travel - New Orleans",IF(AND(YEAR(B331)=2025,MONTH(B331)=4,OR(ISNUMBER(SEARCH("EXCHANGE RATE",C331)),ISNUMBER(SEARCH("EXCHG RTE",C331)))),"Personal Travel - Italy",IFERROR(INDEX('Category Rules'!$B$2:$B$358,MATCH(TRUE,ISNUMBER(SEARCH('Category Rules'!$A$2:$A$358,C331)),0)),""))))))))</f>
        <v>Personal - Car</v>
      </c>
    </row>
    <row r="332" spans="1:7" x14ac:dyDescent="0.25">
      <c r="A332" t="s">
        <v>6</v>
      </c>
      <c r="B332" s="1">
        <v>45979</v>
      </c>
      <c r="C332" t="s">
        <v>309</v>
      </c>
      <c r="D332">
        <v>-88.88</v>
      </c>
      <c r="E332" t="s">
        <v>10</v>
      </c>
      <c r="F332">
        <v>3808.26</v>
      </c>
      <c r="G332" t="str" cm="1">
        <f t="array" ref="G332">IF(AND(ISNUMBER(SEARCH("UBER",C332)),ISNUMBER(SEARCH("EATS",C332))),"Uber Eats",IF(LEFT(C332,6)="CHECK ","Checks Paid",IF(OR(E332="BILLPAY",ISNUMBER(SEARCH("FRANCHISE TAX",C332)),ISNUMBER(SEARCH("NEXTLINK",C332))),"Personal - House Bills",IF(AND(ISNUMBER(SEARCH("PAYMENT FROM",C332)),ISNUMBER(SEARCH("JOE SAUNDERS",C332))),"Zelle from Joe Saunders",IF(AND(ISNUMBER(SEARCH("PAYMENT TO",C332)),ISNUMBER(SEARCH("JOE SAUNDERS",C332))),"Zelle to Joe Saunders",IF(OR(ISNUMBER(SEARCH("NEW ORLEANS",C332)),ISNUMBER(SEARCH("KENNER",C332)),ISNUMBER(SEARCH("HENRY HOWARD",C332)),ISNUMBER(SEARCH("MISS CLAUDIA",C332))),"Personal Travel - New Orleans",IF(AND(YEAR(B332)=2025,MONTH(B332)=4,OR(ISNUMBER(SEARCH("EXCHANGE RATE",C332)),ISNUMBER(SEARCH("EXCHG RTE",C332)))),"Personal Travel - Italy",IFERROR(INDEX('Category Rules'!$B$2:$B$358,MATCH(TRUE,ISNUMBER(SEARCH('Category Rules'!$A$2:$A$358,C332)),0)),""))))))))</f>
        <v>Amazon</v>
      </c>
    </row>
    <row r="333" spans="1:7" x14ac:dyDescent="0.25">
      <c r="A333" t="s">
        <v>6</v>
      </c>
      <c r="B333" s="1">
        <v>45979</v>
      </c>
      <c r="C333" t="s">
        <v>310</v>
      </c>
      <c r="D333">
        <v>-30</v>
      </c>
      <c r="E333" t="s">
        <v>10</v>
      </c>
      <c r="F333">
        <v>3897.14</v>
      </c>
      <c r="G333" t="str" cm="1">
        <f t="array" ref="G333">IF(AND(ISNUMBER(SEARCH("UBER",C333)),ISNUMBER(SEARCH("EATS",C333))),"Uber Eats",IF(LEFT(C333,6)="CHECK ","Checks Paid",IF(OR(E333="BILLPAY",ISNUMBER(SEARCH("FRANCHISE TAX",C333)),ISNUMBER(SEARCH("NEXTLINK",C333))),"Personal - House Bills",IF(AND(ISNUMBER(SEARCH("PAYMENT FROM",C333)),ISNUMBER(SEARCH("JOE SAUNDERS",C333))),"Zelle from Joe Saunders",IF(AND(ISNUMBER(SEARCH("PAYMENT TO",C333)),ISNUMBER(SEARCH("JOE SAUNDERS",C333))),"Zelle to Joe Saunders",IF(OR(ISNUMBER(SEARCH("NEW ORLEANS",C333)),ISNUMBER(SEARCH("KENNER",C333)),ISNUMBER(SEARCH("HENRY HOWARD",C333)),ISNUMBER(SEARCH("MISS CLAUDIA",C333))),"Personal Travel - New Orleans",IF(AND(YEAR(B333)=2025,MONTH(B333)=4,OR(ISNUMBER(SEARCH("EXCHANGE RATE",C333)),ISNUMBER(SEARCH("EXCHG RTE",C333)))),"Personal Travel - Italy",IFERROR(INDEX('Category Rules'!$B$2:$B$358,MATCH(TRUE,ISNUMBER(SEARCH('Category Rules'!$A$2:$A$358,C333)),0)),""))))))))</f>
        <v>Personal - Subscription</v>
      </c>
    </row>
    <row r="334" spans="1:7" x14ac:dyDescent="0.25">
      <c r="A334" t="s">
        <v>6</v>
      </c>
      <c r="B334" s="1">
        <v>45979</v>
      </c>
      <c r="C334" t="s">
        <v>311</v>
      </c>
      <c r="D334">
        <v>-20</v>
      </c>
      <c r="E334" t="s">
        <v>10</v>
      </c>
      <c r="F334">
        <v>3927.14</v>
      </c>
      <c r="G334" t="str" cm="1">
        <f t="array" ref="G334">IF(AND(ISNUMBER(SEARCH("UBER",C334)),ISNUMBER(SEARCH("EATS",C334))),"Uber Eats",IF(LEFT(C334,6)="CHECK ","Checks Paid",IF(OR(E334="BILLPAY",ISNUMBER(SEARCH("FRANCHISE TAX",C334)),ISNUMBER(SEARCH("NEXTLINK",C334))),"Personal - House Bills",IF(AND(ISNUMBER(SEARCH("PAYMENT FROM",C334)),ISNUMBER(SEARCH("JOE SAUNDERS",C334))),"Zelle from Joe Saunders",IF(AND(ISNUMBER(SEARCH("PAYMENT TO",C334)),ISNUMBER(SEARCH("JOE SAUNDERS",C334))),"Zelle to Joe Saunders",IF(OR(ISNUMBER(SEARCH("NEW ORLEANS",C334)),ISNUMBER(SEARCH("KENNER",C334)),ISNUMBER(SEARCH("HENRY HOWARD",C334)),ISNUMBER(SEARCH("MISS CLAUDIA",C334))),"Personal Travel - New Orleans",IF(AND(YEAR(B334)=2025,MONTH(B334)=4,OR(ISNUMBER(SEARCH("EXCHANGE RATE",C334)),ISNUMBER(SEARCH("EXCHG RTE",C334)))),"Personal Travel - Italy",IFERROR(INDEX('Category Rules'!$B$2:$B$358,MATCH(TRUE,ISNUMBER(SEARCH('Category Rules'!$A$2:$A$358,C334)),0)),""))))))))</f>
        <v>Amazon</v>
      </c>
    </row>
    <row r="335" spans="1:7" x14ac:dyDescent="0.25">
      <c r="A335" t="s">
        <v>6</v>
      </c>
      <c r="B335" s="1">
        <v>45979</v>
      </c>
      <c r="C335" t="s">
        <v>312</v>
      </c>
      <c r="D335">
        <v>-20.66</v>
      </c>
      <c r="E335" t="s">
        <v>10</v>
      </c>
      <c r="F335">
        <v>3947.14</v>
      </c>
      <c r="G335" t="str" cm="1">
        <f t="array" ref="G335">IF(AND(ISNUMBER(SEARCH("UBER",C335)),ISNUMBER(SEARCH("EATS",C335))),"Uber Eats",IF(LEFT(C335,6)="CHECK ","Checks Paid",IF(OR(E335="BILLPAY",ISNUMBER(SEARCH("FRANCHISE TAX",C335)),ISNUMBER(SEARCH("NEXTLINK",C335))),"Personal - House Bills",IF(AND(ISNUMBER(SEARCH("PAYMENT FROM",C335)),ISNUMBER(SEARCH("JOE SAUNDERS",C335))),"Zelle from Joe Saunders",IF(AND(ISNUMBER(SEARCH("PAYMENT TO",C335)),ISNUMBER(SEARCH("JOE SAUNDERS",C335))),"Zelle to Joe Saunders",IF(OR(ISNUMBER(SEARCH("NEW ORLEANS",C335)),ISNUMBER(SEARCH("KENNER",C335)),ISNUMBER(SEARCH("HENRY HOWARD",C335)),ISNUMBER(SEARCH("MISS CLAUDIA",C335))),"Personal Travel - New Orleans",IF(AND(YEAR(B335)=2025,MONTH(B335)=4,OR(ISNUMBER(SEARCH("EXCHANGE RATE",C335)),ISNUMBER(SEARCH("EXCHG RTE",C335)))),"Personal Travel - Italy",IFERROR(INDEX('Category Rules'!$B$2:$B$358,MATCH(TRUE,ISNUMBER(SEARCH('Category Rules'!$A$2:$A$358,C335)),0)),""))))))))</f>
        <v>Amazon</v>
      </c>
    </row>
    <row r="336" spans="1:7" x14ac:dyDescent="0.25">
      <c r="A336" t="s">
        <v>6</v>
      </c>
      <c r="B336" s="1">
        <v>45979</v>
      </c>
      <c r="C336" t="s">
        <v>313</v>
      </c>
      <c r="D336">
        <v>-75</v>
      </c>
      <c r="E336" t="s">
        <v>10</v>
      </c>
      <c r="F336">
        <v>3967.8</v>
      </c>
      <c r="G336" t="str" cm="1">
        <f t="array" ref="G336">IF(AND(ISNUMBER(SEARCH("UBER",C336)),ISNUMBER(SEARCH("EATS",C336))),"Uber Eats",IF(LEFT(C336,6)="CHECK ","Checks Paid",IF(OR(E336="BILLPAY",ISNUMBER(SEARCH("FRANCHISE TAX",C336)),ISNUMBER(SEARCH("NEXTLINK",C336))),"Personal - House Bills",IF(AND(ISNUMBER(SEARCH("PAYMENT FROM",C336)),ISNUMBER(SEARCH("JOE SAUNDERS",C336))),"Zelle from Joe Saunders",IF(AND(ISNUMBER(SEARCH("PAYMENT TO",C336)),ISNUMBER(SEARCH("JOE SAUNDERS",C336))),"Zelle to Joe Saunders",IF(OR(ISNUMBER(SEARCH("NEW ORLEANS",C336)),ISNUMBER(SEARCH("KENNER",C336)),ISNUMBER(SEARCH("HENRY HOWARD",C336)),ISNUMBER(SEARCH("MISS CLAUDIA",C336))),"Personal Travel - New Orleans",IF(AND(YEAR(B336)=2025,MONTH(B336)=4,OR(ISNUMBER(SEARCH("EXCHANGE RATE",C336)),ISNUMBER(SEARCH("EXCHG RTE",C336)))),"Personal Travel - Italy",IFERROR(INDEX('Category Rules'!$B$2:$B$358,MATCH(TRUE,ISNUMBER(SEARCH('Category Rules'!$A$2:$A$358,C336)),0)),""))))))))</f>
        <v>Donation</v>
      </c>
    </row>
    <row r="337" spans="1:7" x14ac:dyDescent="0.25">
      <c r="A337" t="s">
        <v>6</v>
      </c>
      <c r="B337" s="1">
        <v>45979</v>
      </c>
      <c r="C337" t="s">
        <v>314</v>
      </c>
      <c r="D337">
        <v>-37.15</v>
      </c>
      <c r="E337" t="s">
        <v>10</v>
      </c>
      <c r="F337">
        <v>4042.8</v>
      </c>
      <c r="G337" t="str" cm="1">
        <f t="array" ref="G337">IF(AND(ISNUMBER(SEARCH("UBER",C337)),ISNUMBER(SEARCH("EATS",C337))),"Uber Eats",IF(LEFT(C337,6)="CHECK ","Checks Paid",IF(OR(E337="BILLPAY",ISNUMBER(SEARCH("FRANCHISE TAX",C337)),ISNUMBER(SEARCH("NEXTLINK",C337))),"Personal - House Bills",IF(AND(ISNUMBER(SEARCH("PAYMENT FROM",C337)),ISNUMBER(SEARCH("JOE SAUNDERS",C337))),"Zelle from Joe Saunders",IF(AND(ISNUMBER(SEARCH("PAYMENT TO",C337)),ISNUMBER(SEARCH("JOE SAUNDERS",C337))),"Zelle to Joe Saunders",IF(OR(ISNUMBER(SEARCH("NEW ORLEANS",C337)),ISNUMBER(SEARCH("KENNER",C337)),ISNUMBER(SEARCH("HENRY HOWARD",C337)),ISNUMBER(SEARCH("MISS CLAUDIA",C337))),"Personal Travel - New Orleans",IF(AND(YEAR(B337)=2025,MONTH(B337)=4,OR(ISNUMBER(SEARCH("EXCHANGE RATE",C337)),ISNUMBER(SEARCH("EXCHG RTE",C337)))),"Personal Travel - Italy",IFERROR(INDEX('Category Rules'!$B$2:$B$358,MATCH(TRUE,ISNUMBER(SEARCH('Category Rules'!$A$2:$A$358,C337)),0)),""))))))))</f>
        <v>Personal - Entertainment</v>
      </c>
    </row>
    <row r="338" spans="1:7" x14ac:dyDescent="0.25">
      <c r="A338" t="s">
        <v>6</v>
      </c>
      <c r="B338" s="1">
        <v>45978</v>
      </c>
      <c r="C338" t="s">
        <v>315</v>
      </c>
      <c r="D338">
        <v>-200</v>
      </c>
      <c r="E338" t="s">
        <v>33</v>
      </c>
      <c r="F338">
        <v>4079.95</v>
      </c>
      <c r="G338" t="str" cm="1">
        <f t="array" ref="G338">IF(AND(ISNUMBER(SEARCH("UBER",C338)),ISNUMBER(SEARCH("EATS",C338))),"Uber Eats",IF(LEFT(C338,6)="CHECK ","Checks Paid",IF(OR(E338="BILLPAY",ISNUMBER(SEARCH("FRANCHISE TAX",C338)),ISNUMBER(SEARCH("NEXTLINK",C338))),"Personal - House Bills",IF(AND(ISNUMBER(SEARCH("PAYMENT FROM",C338)),ISNUMBER(SEARCH("JOE SAUNDERS",C338))),"Zelle from Joe Saunders",IF(AND(ISNUMBER(SEARCH("PAYMENT TO",C338)),ISNUMBER(SEARCH("JOE SAUNDERS",C338))),"Zelle to Joe Saunders",IF(OR(ISNUMBER(SEARCH("NEW ORLEANS",C338)),ISNUMBER(SEARCH("KENNER",C338)),ISNUMBER(SEARCH("HENRY HOWARD",C338)),ISNUMBER(SEARCH("MISS CLAUDIA",C338))),"Personal Travel - New Orleans",IF(AND(YEAR(B338)=2025,MONTH(B338)=4,OR(ISNUMBER(SEARCH("EXCHANGE RATE",C338)),ISNUMBER(SEARCH("EXCHG RTE",C338)))),"Personal Travel - Italy",IFERROR(INDEX('Category Rules'!$B$2:$B$358,MATCH(TRUE,ISNUMBER(SEARCH('Category Rules'!$A$2:$A$358,C338)),0)),""))))))))</f>
        <v>Personal - House Bills</v>
      </c>
    </row>
    <row r="339" spans="1:7" x14ac:dyDescent="0.25">
      <c r="A339" t="s">
        <v>6</v>
      </c>
      <c r="B339" s="1">
        <v>45978</v>
      </c>
      <c r="C339" t="s">
        <v>316</v>
      </c>
      <c r="D339">
        <v>-500</v>
      </c>
      <c r="E339" t="s">
        <v>10</v>
      </c>
      <c r="F339">
        <v>4279.95</v>
      </c>
      <c r="G339" t="str" cm="1">
        <f t="array" ref="G339">IF(AND(ISNUMBER(SEARCH("UBER",C339)),ISNUMBER(SEARCH("EATS",C339))),"Uber Eats",IF(LEFT(C339,6)="CHECK ","Checks Paid",IF(OR(E339="BILLPAY",ISNUMBER(SEARCH("FRANCHISE TAX",C339)),ISNUMBER(SEARCH("NEXTLINK",C339))),"Personal - House Bills",IF(AND(ISNUMBER(SEARCH("PAYMENT FROM",C339)),ISNUMBER(SEARCH("JOE SAUNDERS",C339))),"Zelle from Joe Saunders",IF(AND(ISNUMBER(SEARCH("PAYMENT TO",C339)),ISNUMBER(SEARCH("JOE SAUNDERS",C339))),"Zelle to Joe Saunders",IF(OR(ISNUMBER(SEARCH("NEW ORLEANS",C339)),ISNUMBER(SEARCH("KENNER",C339)),ISNUMBER(SEARCH("HENRY HOWARD",C339)),ISNUMBER(SEARCH("MISS CLAUDIA",C339))),"Personal Travel - New Orleans",IF(AND(YEAR(B339)=2025,MONTH(B339)=4,OR(ISNUMBER(SEARCH("EXCHANGE RATE",C339)),ISNUMBER(SEARCH("EXCHG RTE",C339)))),"Personal Travel - Italy",IFERROR(INDEX('Category Rules'!$B$2:$B$358,MATCH(TRUE,ISNUMBER(SEARCH('Category Rules'!$A$2:$A$358,C339)),0)),""))))))))</f>
        <v>Personal - Shopping</v>
      </c>
    </row>
    <row r="340" spans="1:7" x14ac:dyDescent="0.25">
      <c r="A340" t="s">
        <v>6</v>
      </c>
      <c r="B340" s="1">
        <v>45978</v>
      </c>
      <c r="C340" t="s">
        <v>317</v>
      </c>
      <c r="D340">
        <v>-769</v>
      </c>
      <c r="E340" t="s">
        <v>10</v>
      </c>
      <c r="F340">
        <v>4779.95</v>
      </c>
      <c r="G340" t="str" cm="1">
        <f t="array" ref="G340">IF(AND(ISNUMBER(SEARCH("UBER",C340)),ISNUMBER(SEARCH("EATS",C340))),"Uber Eats",IF(LEFT(C340,6)="CHECK ","Checks Paid",IF(OR(E340="BILLPAY",ISNUMBER(SEARCH("FRANCHISE TAX",C340)),ISNUMBER(SEARCH("NEXTLINK",C340))),"Personal - House Bills",IF(AND(ISNUMBER(SEARCH("PAYMENT FROM",C340)),ISNUMBER(SEARCH("JOE SAUNDERS",C340))),"Zelle from Joe Saunders",IF(AND(ISNUMBER(SEARCH("PAYMENT TO",C340)),ISNUMBER(SEARCH("JOE SAUNDERS",C340))),"Zelle to Joe Saunders",IF(OR(ISNUMBER(SEARCH("NEW ORLEANS",C340)),ISNUMBER(SEARCH("KENNER",C340)),ISNUMBER(SEARCH("HENRY HOWARD",C340)),ISNUMBER(SEARCH("MISS CLAUDIA",C340))),"Personal Travel - New Orleans",IF(AND(YEAR(B340)=2025,MONTH(B340)=4,OR(ISNUMBER(SEARCH("EXCHANGE RATE",C340)),ISNUMBER(SEARCH("EXCHG RTE",C340)))),"Personal Travel - Italy",IFERROR(INDEX('Category Rules'!$B$2:$B$358,MATCH(TRUE,ISNUMBER(SEARCH('Category Rules'!$A$2:$A$358,C340)),0)),""))))))))</f>
        <v>Personal - Work</v>
      </c>
    </row>
    <row r="341" spans="1:7" x14ac:dyDescent="0.25">
      <c r="A341" t="s">
        <v>6</v>
      </c>
      <c r="B341" s="1">
        <v>45978</v>
      </c>
      <c r="C341" t="s">
        <v>318</v>
      </c>
      <c r="D341">
        <v>-382.81</v>
      </c>
      <c r="E341" t="s">
        <v>10</v>
      </c>
      <c r="F341">
        <v>5548.95</v>
      </c>
      <c r="G341" t="str" cm="1">
        <f t="array" ref="G341">IF(AND(ISNUMBER(SEARCH("UBER",C341)),ISNUMBER(SEARCH("EATS",C341))),"Uber Eats",IF(LEFT(C341,6)="CHECK ","Checks Paid",IF(OR(E341="BILLPAY",ISNUMBER(SEARCH("FRANCHISE TAX",C341)),ISNUMBER(SEARCH("NEXTLINK",C341))),"Personal - House Bills",IF(AND(ISNUMBER(SEARCH("PAYMENT FROM",C341)),ISNUMBER(SEARCH("JOE SAUNDERS",C341))),"Zelle from Joe Saunders",IF(AND(ISNUMBER(SEARCH("PAYMENT TO",C341)),ISNUMBER(SEARCH("JOE SAUNDERS",C341))),"Zelle to Joe Saunders",IF(OR(ISNUMBER(SEARCH("NEW ORLEANS",C341)),ISNUMBER(SEARCH("KENNER",C341)),ISNUMBER(SEARCH("HENRY HOWARD",C341)),ISNUMBER(SEARCH("MISS CLAUDIA",C341))),"Personal Travel - New Orleans",IF(AND(YEAR(B341)=2025,MONTH(B341)=4,OR(ISNUMBER(SEARCH("EXCHANGE RATE",C341)),ISNUMBER(SEARCH("EXCHG RTE",C341)))),"Personal Travel - Italy",IFERROR(INDEX('Category Rules'!$B$2:$B$358,MATCH(TRUE,ISNUMBER(SEARCH('Category Rules'!$A$2:$A$358,C341)),0)),""))))))))</f>
        <v>Personal - Misc</v>
      </c>
    </row>
    <row r="342" spans="1:7" x14ac:dyDescent="0.25">
      <c r="A342" t="s">
        <v>6</v>
      </c>
      <c r="B342" s="1">
        <v>45978</v>
      </c>
      <c r="C342" t="s">
        <v>319</v>
      </c>
      <c r="D342">
        <v>-167.34</v>
      </c>
      <c r="E342" t="s">
        <v>10</v>
      </c>
      <c r="F342">
        <v>5931.76</v>
      </c>
      <c r="G342" t="str" cm="1">
        <f t="array" ref="G342">IF(AND(ISNUMBER(SEARCH("UBER",C342)),ISNUMBER(SEARCH("EATS",C342))),"Uber Eats",IF(LEFT(C342,6)="CHECK ","Checks Paid",IF(OR(E342="BILLPAY",ISNUMBER(SEARCH("FRANCHISE TAX",C342)),ISNUMBER(SEARCH("NEXTLINK",C342))),"Personal - House Bills",IF(AND(ISNUMBER(SEARCH("PAYMENT FROM",C342)),ISNUMBER(SEARCH("JOE SAUNDERS",C342))),"Zelle from Joe Saunders",IF(AND(ISNUMBER(SEARCH("PAYMENT TO",C342)),ISNUMBER(SEARCH("JOE SAUNDERS",C342))),"Zelle to Joe Saunders",IF(OR(ISNUMBER(SEARCH("NEW ORLEANS",C342)),ISNUMBER(SEARCH("KENNER",C342)),ISNUMBER(SEARCH("HENRY HOWARD",C342)),ISNUMBER(SEARCH("MISS CLAUDIA",C342))),"Personal Travel - New Orleans",IF(AND(YEAR(B342)=2025,MONTH(B342)=4,OR(ISNUMBER(SEARCH("EXCHANGE RATE",C342)),ISNUMBER(SEARCH("EXCHG RTE",C342)))),"Personal Travel - Italy",IFERROR(INDEX('Category Rules'!$B$2:$B$358,MATCH(TRUE,ISNUMBER(SEARCH('Category Rules'!$A$2:$A$358,C342)),0)),""))))))))</f>
        <v>Personal - Health</v>
      </c>
    </row>
    <row r="343" spans="1:7" x14ac:dyDescent="0.25">
      <c r="A343" t="s">
        <v>6</v>
      </c>
      <c r="B343" s="1">
        <v>45978</v>
      </c>
      <c r="C343" t="s">
        <v>320</v>
      </c>
      <c r="D343">
        <v>-107.83</v>
      </c>
      <c r="E343" t="s">
        <v>10</v>
      </c>
      <c r="F343">
        <v>6099.1</v>
      </c>
      <c r="G343" t="str" cm="1">
        <f t="array" ref="G343">IF(AND(ISNUMBER(SEARCH("UBER",C343)),ISNUMBER(SEARCH("EATS",C343))),"Uber Eats",IF(LEFT(C343,6)="CHECK ","Checks Paid",IF(OR(E343="BILLPAY",ISNUMBER(SEARCH("FRANCHISE TAX",C343)),ISNUMBER(SEARCH("NEXTLINK",C343))),"Personal - House Bills",IF(AND(ISNUMBER(SEARCH("PAYMENT FROM",C343)),ISNUMBER(SEARCH("JOE SAUNDERS",C343))),"Zelle from Joe Saunders",IF(AND(ISNUMBER(SEARCH("PAYMENT TO",C343)),ISNUMBER(SEARCH("JOE SAUNDERS",C343))),"Zelle to Joe Saunders",IF(OR(ISNUMBER(SEARCH("NEW ORLEANS",C343)),ISNUMBER(SEARCH("KENNER",C343)),ISNUMBER(SEARCH("HENRY HOWARD",C343)),ISNUMBER(SEARCH("MISS CLAUDIA",C343))),"Personal Travel - New Orleans",IF(AND(YEAR(B343)=2025,MONTH(B343)=4,OR(ISNUMBER(SEARCH("EXCHANGE RATE",C343)),ISNUMBER(SEARCH("EXCHG RTE",C343)))),"Personal Travel - Italy",IFERROR(INDEX('Category Rules'!$B$2:$B$358,MATCH(TRUE,ISNUMBER(SEARCH('Category Rules'!$A$2:$A$358,C343)),0)),""))))))))</f>
        <v>Uber Eats</v>
      </c>
    </row>
    <row r="344" spans="1:7" x14ac:dyDescent="0.25">
      <c r="A344" t="s">
        <v>6</v>
      </c>
      <c r="B344" s="1">
        <v>45978</v>
      </c>
      <c r="C344" t="s">
        <v>321</v>
      </c>
      <c r="D344">
        <v>-234.84</v>
      </c>
      <c r="E344" t="s">
        <v>10</v>
      </c>
      <c r="F344">
        <v>6206.93</v>
      </c>
      <c r="G344" t="str" cm="1">
        <f t="array" ref="G344">IF(AND(ISNUMBER(SEARCH("UBER",C344)),ISNUMBER(SEARCH("EATS",C344))),"Uber Eats",IF(LEFT(C344,6)="CHECK ","Checks Paid",IF(OR(E344="BILLPAY",ISNUMBER(SEARCH("FRANCHISE TAX",C344)),ISNUMBER(SEARCH("NEXTLINK",C344))),"Personal - House Bills",IF(AND(ISNUMBER(SEARCH("PAYMENT FROM",C344)),ISNUMBER(SEARCH("JOE SAUNDERS",C344))),"Zelle from Joe Saunders",IF(AND(ISNUMBER(SEARCH("PAYMENT TO",C344)),ISNUMBER(SEARCH("JOE SAUNDERS",C344))),"Zelle to Joe Saunders",IF(OR(ISNUMBER(SEARCH("NEW ORLEANS",C344)),ISNUMBER(SEARCH("KENNER",C344)),ISNUMBER(SEARCH("HENRY HOWARD",C344)),ISNUMBER(SEARCH("MISS CLAUDIA",C344))),"Personal Travel - New Orleans",IF(AND(YEAR(B344)=2025,MONTH(B344)=4,OR(ISNUMBER(SEARCH("EXCHANGE RATE",C344)),ISNUMBER(SEARCH("EXCHG RTE",C344)))),"Personal Travel - Italy",IFERROR(INDEX('Category Rules'!$B$2:$B$358,MATCH(TRUE,ISNUMBER(SEARCH('Category Rules'!$A$2:$A$358,C344)),0)),""))))))))</f>
        <v>Personal - Entertainment</v>
      </c>
    </row>
    <row r="345" spans="1:7" x14ac:dyDescent="0.25">
      <c r="A345" t="s">
        <v>6</v>
      </c>
      <c r="B345" s="1">
        <v>45978</v>
      </c>
      <c r="C345" t="s">
        <v>322</v>
      </c>
      <c r="D345">
        <v>-250.16</v>
      </c>
      <c r="E345" t="s">
        <v>10</v>
      </c>
      <c r="F345">
        <v>6441.77</v>
      </c>
      <c r="G345" t="str" cm="1">
        <f t="array" ref="G345">IF(AND(ISNUMBER(SEARCH("UBER",C345)),ISNUMBER(SEARCH("EATS",C345))),"Uber Eats",IF(LEFT(C345,6)="CHECK ","Checks Paid",IF(OR(E345="BILLPAY",ISNUMBER(SEARCH("FRANCHISE TAX",C345)),ISNUMBER(SEARCH("NEXTLINK",C345))),"Personal - House Bills",IF(AND(ISNUMBER(SEARCH("PAYMENT FROM",C345)),ISNUMBER(SEARCH("JOE SAUNDERS",C345))),"Zelle from Joe Saunders",IF(AND(ISNUMBER(SEARCH("PAYMENT TO",C345)),ISNUMBER(SEARCH("JOE SAUNDERS",C345))),"Zelle to Joe Saunders",IF(OR(ISNUMBER(SEARCH("NEW ORLEANS",C345)),ISNUMBER(SEARCH("KENNER",C345)),ISNUMBER(SEARCH("HENRY HOWARD",C345)),ISNUMBER(SEARCH("MISS CLAUDIA",C345))),"Personal Travel - New Orleans",IF(AND(YEAR(B345)=2025,MONTH(B345)=4,OR(ISNUMBER(SEARCH("EXCHANGE RATE",C345)),ISNUMBER(SEARCH("EXCHG RTE",C345)))),"Personal Travel - Italy",IFERROR(INDEX('Category Rules'!$B$2:$B$358,MATCH(TRUE,ISNUMBER(SEARCH('Category Rules'!$A$2:$A$358,C345)),0)),""))))))))</f>
        <v>Amazon</v>
      </c>
    </row>
    <row r="346" spans="1:7" x14ac:dyDescent="0.25">
      <c r="A346" t="s">
        <v>6</v>
      </c>
      <c r="B346" s="1">
        <v>45978</v>
      </c>
      <c r="C346" t="s">
        <v>323</v>
      </c>
      <c r="D346">
        <v>-31.77</v>
      </c>
      <c r="E346" t="s">
        <v>10</v>
      </c>
      <c r="F346">
        <v>6691.93</v>
      </c>
      <c r="G346" t="str" cm="1">
        <f t="array" ref="G346">IF(AND(ISNUMBER(SEARCH("UBER",C346)),ISNUMBER(SEARCH("EATS",C346))),"Uber Eats",IF(LEFT(C346,6)="CHECK ","Checks Paid",IF(OR(E346="BILLPAY",ISNUMBER(SEARCH("FRANCHISE TAX",C346)),ISNUMBER(SEARCH("NEXTLINK",C346))),"Personal - House Bills",IF(AND(ISNUMBER(SEARCH("PAYMENT FROM",C346)),ISNUMBER(SEARCH("JOE SAUNDERS",C346))),"Zelle from Joe Saunders",IF(AND(ISNUMBER(SEARCH("PAYMENT TO",C346)),ISNUMBER(SEARCH("JOE SAUNDERS",C346))),"Zelle to Joe Saunders",IF(OR(ISNUMBER(SEARCH("NEW ORLEANS",C346)),ISNUMBER(SEARCH("KENNER",C346)),ISNUMBER(SEARCH("HENRY HOWARD",C346)),ISNUMBER(SEARCH("MISS CLAUDIA",C346))),"Personal Travel - New Orleans",IF(AND(YEAR(B346)=2025,MONTH(B346)=4,OR(ISNUMBER(SEARCH("EXCHANGE RATE",C346)),ISNUMBER(SEARCH("EXCHG RTE",C346)))),"Personal Travel - Italy",IFERROR(INDEX('Category Rules'!$B$2:$B$358,MATCH(TRUE,ISNUMBER(SEARCH('Category Rules'!$A$2:$A$358,C346)),0)),""))))))))</f>
        <v>Amazon</v>
      </c>
    </row>
    <row r="347" spans="1:7" x14ac:dyDescent="0.25">
      <c r="A347" t="s">
        <v>6</v>
      </c>
      <c r="B347" s="1">
        <v>45978</v>
      </c>
      <c r="C347" t="s">
        <v>324</v>
      </c>
      <c r="D347">
        <v>-186.58</v>
      </c>
      <c r="E347" t="s">
        <v>10</v>
      </c>
      <c r="F347">
        <v>6723.7</v>
      </c>
      <c r="G347" t="str" cm="1">
        <f t="array" ref="G347">IF(AND(ISNUMBER(SEARCH("UBER",C347)),ISNUMBER(SEARCH("EATS",C347))),"Uber Eats",IF(LEFT(C347,6)="CHECK ","Checks Paid",IF(OR(E347="BILLPAY",ISNUMBER(SEARCH("FRANCHISE TAX",C347)),ISNUMBER(SEARCH("NEXTLINK",C347))),"Personal - House Bills",IF(AND(ISNUMBER(SEARCH("PAYMENT FROM",C347)),ISNUMBER(SEARCH("JOE SAUNDERS",C347))),"Zelle from Joe Saunders",IF(AND(ISNUMBER(SEARCH("PAYMENT TO",C347)),ISNUMBER(SEARCH("JOE SAUNDERS",C347))),"Zelle to Joe Saunders",IF(OR(ISNUMBER(SEARCH("NEW ORLEANS",C347)),ISNUMBER(SEARCH("KENNER",C347)),ISNUMBER(SEARCH("HENRY HOWARD",C347)),ISNUMBER(SEARCH("MISS CLAUDIA",C347))),"Personal Travel - New Orleans",IF(AND(YEAR(B347)=2025,MONTH(B347)=4,OR(ISNUMBER(SEARCH("EXCHANGE RATE",C347)),ISNUMBER(SEARCH("EXCHG RTE",C347)))),"Personal Travel - Italy",IFERROR(INDEX('Category Rules'!$B$2:$B$358,MATCH(TRUE,ISNUMBER(SEARCH('Category Rules'!$A$2:$A$358,C347)),0)),""))))))))</f>
        <v>Personal - Health</v>
      </c>
    </row>
    <row r="348" spans="1:7" x14ac:dyDescent="0.25">
      <c r="A348" t="s">
        <v>6</v>
      </c>
      <c r="B348" s="1">
        <v>45978</v>
      </c>
      <c r="C348" t="s">
        <v>325</v>
      </c>
      <c r="D348">
        <v>-160.88999999999999</v>
      </c>
      <c r="E348" t="s">
        <v>10</v>
      </c>
      <c r="F348">
        <v>6910.28</v>
      </c>
      <c r="G348" t="str" cm="1">
        <f t="array" ref="G348">IF(AND(ISNUMBER(SEARCH("UBER",C348)),ISNUMBER(SEARCH("EATS",C348))),"Uber Eats",IF(LEFT(C348,6)="CHECK ","Checks Paid",IF(OR(E348="BILLPAY",ISNUMBER(SEARCH("FRANCHISE TAX",C348)),ISNUMBER(SEARCH("NEXTLINK",C348))),"Personal - House Bills",IF(AND(ISNUMBER(SEARCH("PAYMENT FROM",C348)),ISNUMBER(SEARCH("JOE SAUNDERS",C348))),"Zelle from Joe Saunders",IF(AND(ISNUMBER(SEARCH("PAYMENT TO",C348)),ISNUMBER(SEARCH("JOE SAUNDERS",C348))),"Zelle to Joe Saunders",IF(OR(ISNUMBER(SEARCH("NEW ORLEANS",C348)),ISNUMBER(SEARCH("KENNER",C348)),ISNUMBER(SEARCH("HENRY HOWARD",C348)),ISNUMBER(SEARCH("MISS CLAUDIA",C348))),"Personal Travel - New Orleans",IF(AND(YEAR(B348)=2025,MONTH(B348)=4,OR(ISNUMBER(SEARCH("EXCHANGE RATE",C348)),ISNUMBER(SEARCH("EXCHG RTE",C348)))),"Personal Travel - Italy",IFERROR(INDEX('Category Rules'!$B$2:$B$358,MATCH(TRUE,ISNUMBER(SEARCH('Category Rules'!$A$2:$A$358,C348)),0)),""))))))))</f>
        <v>Amazon</v>
      </c>
    </row>
    <row r="349" spans="1:7" x14ac:dyDescent="0.25">
      <c r="A349" t="s">
        <v>6</v>
      </c>
      <c r="B349" s="1">
        <v>45978</v>
      </c>
      <c r="C349" t="s">
        <v>326</v>
      </c>
      <c r="D349">
        <v>-392.73</v>
      </c>
      <c r="E349" t="s">
        <v>10</v>
      </c>
      <c r="F349">
        <v>7071.17</v>
      </c>
      <c r="G349" t="str" cm="1">
        <f t="array" ref="G349">IF(AND(ISNUMBER(SEARCH("UBER",C349)),ISNUMBER(SEARCH("EATS",C349))),"Uber Eats",IF(LEFT(C349,6)="CHECK ","Checks Paid",IF(OR(E349="BILLPAY",ISNUMBER(SEARCH("FRANCHISE TAX",C349)),ISNUMBER(SEARCH("NEXTLINK",C349))),"Personal - House Bills",IF(AND(ISNUMBER(SEARCH("PAYMENT FROM",C349)),ISNUMBER(SEARCH("JOE SAUNDERS",C349))),"Zelle from Joe Saunders",IF(AND(ISNUMBER(SEARCH("PAYMENT TO",C349)),ISNUMBER(SEARCH("JOE SAUNDERS",C349))),"Zelle to Joe Saunders",IF(OR(ISNUMBER(SEARCH("NEW ORLEANS",C349)),ISNUMBER(SEARCH("KENNER",C349)),ISNUMBER(SEARCH("HENRY HOWARD",C349)),ISNUMBER(SEARCH("MISS CLAUDIA",C349))),"Personal Travel - New Orleans",IF(AND(YEAR(B349)=2025,MONTH(B349)=4,OR(ISNUMBER(SEARCH("EXCHANGE RATE",C349)),ISNUMBER(SEARCH("EXCHG RTE",C349)))),"Personal Travel - Italy",IFERROR(INDEX('Category Rules'!$B$2:$B$358,MATCH(TRUE,ISNUMBER(SEARCH('Category Rules'!$A$2:$A$358,C349)),0)),""))))))))</f>
        <v>Personal - Food</v>
      </c>
    </row>
    <row r="350" spans="1:7" x14ac:dyDescent="0.25">
      <c r="A350" t="s">
        <v>6</v>
      </c>
      <c r="B350" s="1">
        <v>45978</v>
      </c>
      <c r="C350" t="s">
        <v>327</v>
      </c>
      <c r="D350">
        <v>-59.99</v>
      </c>
      <c r="E350" t="s">
        <v>10</v>
      </c>
      <c r="F350">
        <v>7463.9</v>
      </c>
      <c r="G350" t="str" cm="1">
        <f t="array" ref="G350">IF(AND(ISNUMBER(SEARCH("UBER",C350)),ISNUMBER(SEARCH("EATS",C350))),"Uber Eats",IF(LEFT(C350,6)="CHECK ","Checks Paid",IF(OR(E350="BILLPAY",ISNUMBER(SEARCH("FRANCHISE TAX",C350)),ISNUMBER(SEARCH("NEXTLINK",C350))),"Personal - House Bills",IF(AND(ISNUMBER(SEARCH("PAYMENT FROM",C350)),ISNUMBER(SEARCH("JOE SAUNDERS",C350))),"Zelle from Joe Saunders",IF(AND(ISNUMBER(SEARCH("PAYMENT TO",C350)),ISNUMBER(SEARCH("JOE SAUNDERS",C350))),"Zelle to Joe Saunders",IF(OR(ISNUMBER(SEARCH("NEW ORLEANS",C350)),ISNUMBER(SEARCH("KENNER",C350)),ISNUMBER(SEARCH("HENRY HOWARD",C350)),ISNUMBER(SEARCH("MISS CLAUDIA",C350))),"Personal Travel - New Orleans",IF(AND(YEAR(B350)=2025,MONTH(B350)=4,OR(ISNUMBER(SEARCH("EXCHANGE RATE",C350)),ISNUMBER(SEARCH("EXCHG RTE",C350)))),"Personal Travel - Italy",IFERROR(INDEX('Category Rules'!$B$2:$B$358,MATCH(TRUE,ISNUMBER(SEARCH('Category Rules'!$A$2:$A$358,C350)),0)),""))))))))</f>
        <v>Apple</v>
      </c>
    </row>
    <row r="351" spans="1:7" x14ac:dyDescent="0.25">
      <c r="A351" t="s">
        <v>6</v>
      </c>
      <c r="B351" s="1">
        <v>45978</v>
      </c>
      <c r="C351" t="s">
        <v>328</v>
      </c>
      <c r="D351">
        <v>-638.48</v>
      </c>
      <c r="E351" t="s">
        <v>10</v>
      </c>
      <c r="F351">
        <v>7523.89</v>
      </c>
      <c r="G351" t="str" cm="1">
        <f t="array" ref="G351">IF(AND(ISNUMBER(SEARCH("UBER",C351)),ISNUMBER(SEARCH("EATS",C351))),"Uber Eats",IF(LEFT(C351,6)="CHECK ","Checks Paid",IF(OR(E351="BILLPAY",ISNUMBER(SEARCH("FRANCHISE TAX",C351)),ISNUMBER(SEARCH("NEXTLINK",C351))),"Personal - House Bills",IF(AND(ISNUMBER(SEARCH("PAYMENT FROM",C351)),ISNUMBER(SEARCH("JOE SAUNDERS",C351))),"Zelle from Joe Saunders",IF(AND(ISNUMBER(SEARCH("PAYMENT TO",C351)),ISNUMBER(SEARCH("JOE SAUNDERS",C351))),"Zelle to Joe Saunders",IF(OR(ISNUMBER(SEARCH("NEW ORLEANS",C351)),ISNUMBER(SEARCH("KENNER",C351)),ISNUMBER(SEARCH("HENRY HOWARD",C351)),ISNUMBER(SEARCH("MISS CLAUDIA",C351))),"Personal Travel - New Orleans",IF(AND(YEAR(B351)=2025,MONTH(B351)=4,OR(ISNUMBER(SEARCH("EXCHANGE RATE",C351)),ISNUMBER(SEARCH("EXCHG RTE",C351)))),"Personal Travel - Italy",IFERROR(INDEX('Category Rules'!$B$2:$B$358,MATCH(TRUE,ISNUMBER(SEARCH('Category Rules'!$A$2:$A$358,C351)),0)),""))))))))</f>
        <v>Amazon</v>
      </c>
    </row>
    <row r="352" spans="1:7" x14ac:dyDescent="0.25">
      <c r="A352" t="s">
        <v>44</v>
      </c>
      <c r="B352" s="1">
        <v>45978</v>
      </c>
      <c r="C352" t="s">
        <v>329</v>
      </c>
      <c r="D352">
        <v>2000</v>
      </c>
      <c r="E352" t="s">
        <v>73</v>
      </c>
      <c r="F352">
        <v>8162.37</v>
      </c>
      <c r="G352" t="str" cm="1">
        <f t="array" ref="G352">IF(AND(ISNUMBER(SEARCH("UBER",C352)),ISNUMBER(SEARCH("EATS",C352))),"Uber Eats",IF(LEFT(C352,6)="CHECK ","Checks Paid",IF(OR(E352="BILLPAY",ISNUMBER(SEARCH("FRANCHISE TAX",C352)),ISNUMBER(SEARCH("NEXTLINK",C352))),"Personal - House Bills",IF(AND(ISNUMBER(SEARCH("PAYMENT FROM",C352)),ISNUMBER(SEARCH("JOE SAUNDERS",C352))),"Zelle from Joe Saunders",IF(AND(ISNUMBER(SEARCH("PAYMENT TO",C352)),ISNUMBER(SEARCH("JOE SAUNDERS",C352))),"Zelle to Joe Saunders",IF(OR(ISNUMBER(SEARCH("NEW ORLEANS",C352)),ISNUMBER(SEARCH("KENNER",C352)),ISNUMBER(SEARCH("HENRY HOWARD",C352)),ISNUMBER(SEARCH("MISS CLAUDIA",C352))),"Personal Travel - New Orleans",IF(AND(YEAR(B352)=2025,MONTH(B352)=4,OR(ISNUMBER(SEARCH("EXCHANGE RATE",C352)),ISNUMBER(SEARCH("EXCHG RTE",C352)))),"Personal Travel - Italy",IFERROR(INDEX('Category Rules'!$B$2:$B$358,MATCH(TRUE,ISNUMBER(SEARCH('Category Rules'!$A$2:$A$358,C352)),0)),""))))))))</f>
        <v>Transfer from DWG Capital Group</v>
      </c>
    </row>
    <row r="353" spans="1:7" x14ac:dyDescent="0.25">
      <c r="A353" t="s">
        <v>6</v>
      </c>
      <c r="B353" s="1">
        <v>45975</v>
      </c>
      <c r="C353" t="s">
        <v>330</v>
      </c>
      <c r="D353">
        <v>-3.58</v>
      </c>
      <c r="E353" t="s">
        <v>8</v>
      </c>
      <c r="F353">
        <v>6162.37</v>
      </c>
      <c r="G353" t="str" cm="1">
        <f t="array" ref="G353">IF(AND(ISNUMBER(SEARCH("UBER",C353)),ISNUMBER(SEARCH("EATS",C353))),"Uber Eats",IF(LEFT(C353,6)="CHECK ","Checks Paid",IF(OR(E353="BILLPAY",ISNUMBER(SEARCH("FRANCHISE TAX",C353)),ISNUMBER(SEARCH("NEXTLINK",C353))),"Personal - House Bills",IF(AND(ISNUMBER(SEARCH("PAYMENT FROM",C353)),ISNUMBER(SEARCH("JOE SAUNDERS",C353))),"Zelle from Joe Saunders",IF(AND(ISNUMBER(SEARCH("PAYMENT TO",C353)),ISNUMBER(SEARCH("JOE SAUNDERS",C353))),"Zelle to Joe Saunders",IF(OR(ISNUMBER(SEARCH("NEW ORLEANS",C353)),ISNUMBER(SEARCH("KENNER",C353)),ISNUMBER(SEARCH("HENRY HOWARD",C353)),ISNUMBER(SEARCH("MISS CLAUDIA",C353))),"Personal Travel - New Orleans",IF(AND(YEAR(B353)=2025,MONTH(B353)=4,OR(ISNUMBER(SEARCH("EXCHANGE RATE",C353)),ISNUMBER(SEARCH("EXCHG RTE",C353)))),"Personal Travel - Italy",IFERROR(INDEX('Category Rules'!$B$2:$B$358,MATCH(TRUE,ISNUMBER(SEARCH('Category Rules'!$A$2:$A$358,C353)),0)),""))))))))</f>
        <v>Personal Travel - Canada</v>
      </c>
    </row>
    <row r="354" spans="1:7" x14ac:dyDescent="0.25">
      <c r="A354" t="s">
        <v>6</v>
      </c>
      <c r="B354" s="1">
        <v>45975</v>
      </c>
      <c r="C354" t="s">
        <v>331</v>
      </c>
      <c r="D354">
        <v>-500</v>
      </c>
      <c r="E354" t="s">
        <v>26</v>
      </c>
      <c r="F354">
        <v>6165.95</v>
      </c>
      <c r="G354" t="str" cm="1">
        <f t="array" ref="G354">IF(AND(ISNUMBER(SEARCH("UBER",C354)),ISNUMBER(SEARCH("EATS",C354))),"Uber Eats",IF(LEFT(C354,6)="CHECK ","Checks Paid",IF(OR(E354="BILLPAY",ISNUMBER(SEARCH("FRANCHISE TAX",C354)),ISNUMBER(SEARCH("NEXTLINK",C354))),"Personal - House Bills",IF(AND(ISNUMBER(SEARCH("PAYMENT FROM",C354)),ISNUMBER(SEARCH("JOE SAUNDERS",C354))),"Zelle from Joe Saunders",IF(AND(ISNUMBER(SEARCH("PAYMENT TO",C354)),ISNUMBER(SEARCH("JOE SAUNDERS",C354))),"Zelle to Joe Saunders",IF(OR(ISNUMBER(SEARCH("NEW ORLEANS",C354)),ISNUMBER(SEARCH("KENNER",C354)),ISNUMBER(SEARCH("HENRY HOWARD",C354)),ISNUMBER(SEARCH("MISS CLAUDIA",C354))),"Personal Travel - New Orleans",IF(AND(YEAR(B354)=2025,MONTH(B354)=4,OR(ISNUMBER(SEARCH("EXCHANGE RATE",C354)),ISNUMBER(SEARCH("EXCHG RTE",C354)))),"Personal Travel - Italy",IFERROR(INDEX('Category Rules'!$B$2:$B$358,MATCH(TRUE,ISNUMBER(SEARCH('Category Rules'!$A$2:$A$358,C354)),0)),""))))))))</f>
        <v>Withdrawal</v>
      </c>
    </row>
    <row r="355" spans="1:7" x14ac:dyDescent="0.25">
      <c r="A355" t="s">
        <v>6</v>
      </c>
      <c r="B355" s="1">
        <v>45975</v>
      </c>
      <c r="C355" t="s">
        <v>332</v>
      </c>
      <c r="D355">
        <v>-16.45</v>
      </c>
      <c r="E355" t="s">
        <v>10</v>
      </c>
      <c r="F355">
        <v>6665.95</v>
      </c>
      <c r="G355" t="str" cm="1">
        <f t="array" ref="G355">IF(AND(ISNUMBER(SEARCH("UBER",C355)),ISNUMBER(SEARCH("EATS",C355))),"Uber Eats",IF(LEFT(C355,6)="CHECK ","Checks Paid",IF(OR(E355="BILLPAY",ISNUMBER(SEARCH("FRANCHISE TAX",C355)),ISNUMBER(SEARCH("NEXTLINK",C355))),"Personal - House Bills",IF(AND(ISNUMBER(SEARCH("PAYMENT FROM",C355)),ISNUMBER(SEARCH("JOE SAUNDERS",C355))),"Zelle from Joe Saunders",IF(AND(ISNUMBER(SEARCH("PAYMENT TO",C355)),ISNUMBER(SEARCH("JOE SAUNDERS",C355))),"Zelle to Joe Saunders",IF(OR(ISNUMBER(SEARCH("NEW ORLEANS",C355)),ISNUMBER(SEARCH("KENNER",C355)),ISNUMBER(SEARCH("HENRY HOWARD",C355)),ISNUMBER(SEARCH("MISS CLAUDIA",C355))),"Personal Travel - New Orleans",IF(AND(YEAR(B355)=2025,MONTH(B355)=4,OR(ISNUMBER(SEARCH("EXCHANGE RATE",C355)),ISNUMBER(SEARCH("EXCHG RTE",C355)))),"Personal Travel - Italy",IFERROR(INDEX('Category Rules'!$B$2:$B$358,MATCH(TRUE,ISNUMBER(SEARCH('Category Rules'!$A$2:$A$358,C355)),0)),""))))))))</f>
        <v>Amazon</v>
      </c>
    </row>
    <row r="356" spans="1:7" x14ac:dyDescent="0.25">
      <c r="A356" t="s">
        <v>6</v>
      </c>
      <c r="B356" s="1">
        <v>45975</v>
      </c>
      <c r="C356" t="s">
        <v>333</v>
      </c>
      <c r="D356">
        <v>-37.299999999999997</v>
      </c>
      <c r="E356" t="s">
        <v>10</v>
      </c>
      <c r="F356">
        <v>6682.4</v>
      </c>
      <c r="G356" t="str" cm="1">
        <f t="array" ref="G356">IF(AND(ISNUMBER(SEARCH("UBER",C356)),ISNUMBER(SEARCH("EATS",C356))),"Uber Eats",IF(LEFT(C356,6)="CHECK ","Checks Paid",IF(OR(E356="BILLPAY",ISNUMBER(SEARCH("FRANCHISE TAX",C356)),ISNUMBER(SEARCH("NEXTLINK",C356))),"Personal - House Bills",IF(AND(ISNUMBER(SEARCH("PAYMENT FROM",C356)),ISNUMBER(SEARCH("JOE SAUNDERS",C356))),"Zelle from Joe Saunders",IF(AND(ISNUMBER(SEARCH("PAYMENT TO",C356)),ISNUMBER(SEARCH("JOE SAUNDERS",C356))),"Zelle to Joe Saunders",IF(OR(ISNUMBER(SEARCH("NEW ORLEANS",C356)),ISNUMBER(SEARCH("KENNER",C356)),ISNUMBER(SEARCH("HENRY HOWARD",C356)),ISNUMBER(SEARCH("MISS CLAUDIA",C356))),"Personal Travel - New Orleans",IF(AND(YEAR(B356)=2025,MONTH(B356)=4,OR(ISNUMBER(SEARCH("EXCHANGE RATE",C356)),ISNUMBER(SEARCH("EXCHG RTE",C356)))),"Personal Travel - Italy",IFERROR(INDEX('Category Rules'!$B$2:$B$358,MATCH(TRUE,ISNUMBER(SEARCH('Category Rules'!$A$2:$A$358,C356)),0)),""))))))))</f>
        <v>Amazon</v>
      </c>
    </row>
    <row r="357" spans="1:7" x14ac:dyDescent="0.25">
      <c r="A357" t="s">
        <v>6</v>
      </c>
      <c r="B357" s="1">
        <v>45975</v>
      </c>
      <c r="C357" t="s">
        <v>334</v>
      </c>
      <c r="D357">
        <v>-16.989999999999998</v>
      </c>
      <c r="E357" t="s">
        <v>10</v>
      </c>
      <c r="F357">
        <v>6719.7</v>
      </c>
      <c r="G357" t="str" cm="1">
        <f t="array" ref="G357">IF(AND(ISNUMBER(SEARCH("UBER",C357)),ISNUMBER(SEARCH("EATS",C357))),"Uber Eats",IF(LEFT(C357,6)="CHECK ","Checks Paid",IF(OR(E357="BILLPAY",ISNUMBER(SEARCH("FRANCHISE TAX",C357)),ISNUMBER(SEARCH("NEXTLINK",C357))),"Personal - House Bills",IF(AND(ISNUMBER(SEARCH("PAYMENT FROM",C357)),ISNUMBER(SEARCH("JOE SAUNDERS",C357))),"Zelle from Joe Saunders",IF(AND(ISNUMBER(SEARCH("PAYMENT TO",C357)),ISNUMBER(SEARCH("JOE SAUNDERS",C357))),"Zelle to Joe Saunders",IF(OR(ISNUMBER(SEARCH("NEW ORLEANS",C357)),ISNUMBER(SEARCH("KENNER",C357)),ISNUMBER(SEARCH("HENRY HOWARD",C357)),ISNUMBER(SEARCH("MISS CLAUDIA",C357))),"Personal Travel - New Orleans",IF(AND(YEAR(B357)=2025,MONTH(B357)=4,OR(ISNUMBER(SEARCH("EXCHANGE RATE",C357)),ISNUMBER(SEARCH("EXCHG RTE",C357)))),"Personal Travel - Italy",IFERROR(INDEX('Category Rules'!$B$2:$B$358,MATCH(TRUE,ISNUMBER(SEARCH('Category Rules'!$A$2:$A$358,C357)),0)),""))))))))</f>
        <v>Amazon</v>
      </c>
    </row>
    <row r="358" spans="1:7" x14ac:dyDescent="0.25">
      <c r="A358" t="s">
        <v>6</v>
      </c>
      <c r="B358" s="1">
        <v>45975</v>
      </c>
      <c r="C358" t="s">
        <v>335</v>
      </c>
      <c r="D358">
        <v>-119.43</v>
      </c>
      <c r="E358" t="s">
        <v>10</v>
      </c>
      <c r="F358">
        <v>6736.69</v>
      </c>
      <c r="G358" t="str" cm="1">
        <f t="array" ref="G358">IF(AND(ISNUMBER(SEARCH("UBER",C358)),ISNUMBER(SEARCH("EATS",C358))),"Uber Eats",IF(LEFT(C358,6)="CHECK ","Checks Paid",IF(OR(E358="BILLPAY",ISNUMBER(SEARCH("FRANCHISE TAX",C358)),ISNUMBER(SEARCH("NEXTLINK",C358))),"Personal - House Bills",IF(AND(ISNUMBER(SEARCH("PAYMENT FROM",C358)),ISNUMBER(SEARCH("JOE SAUNDERS",C358))),"Zelle from Joe Saunders",IF(AND(ISNUMBER(SEARCH("PAYMENT TO",C358)),ISNUMBER(SEARCH("JOE SAUNDERS",C358))),"Zelle to Joe Saunders",IF(OR(ISNUMBER(SEARCH("NEW ORLEANS",C358)),ISNUMBER(SEARCH("KENNER",C358)),ISNUMBER(SEARCH("HENRY HOWARD",C358)),ISNUMBER(SEARCH("MISS CLAUDIA",C358))),"Personal Travel - New Orleans",IF(AND(YEAR(B358)=2025,MONTH(B358)=4,OR(ISNUMBER(SEARCH("EXCHANGE RATE",C358)),ISNUMBER(SEARCH("EXCHG RTE",C358)))),"Personal Travel - Italy",IFERROR(INDEX('Category Rules'!$B$2:$B$358,MATCH(TRUE,ISNUMBER(SEARCH('Category Rules'!$A$2:$A$358,C358)),0)),""))))))))</f>
        <v>Personal Travel - Canada</v>
      </c>
    </row>
    <row r="359" spans="1:7" x14ac:dyDescent="0.25">
      <c r="A359" t="s">
        <v>6</v>
      </c>
      <c r="B359" s="1">
        <v>45975</v>
      </c>
      <c r="C359" t="s">
        <v>336</v>
      </c>
      <c r="D359">
        <v>-62.94</v>
      </c>
      <c r="E359" t="s">
        <v>10</v>
      </c>
      <c r="F359">
        <v>6856.12</v>
      </c>
      <c r="G359" t="str" cm="1">
        <f t="array" ref="G359">IF(AND(ISNUMBER(SEARCH("UBER",C359)),ISNUMBER(SEARCH("EATS",C359))),"Uber Eats",IF(LEFT(C359,6)="CHECK ","Checks Paid",IF(OR(E359="BILLPAY",ISNUMBER(SEARCH("FRANCHISE TAX",C359)),ISNUMBER(SEARCH("NEXTLINK",C359))),"Personal - House Bills",IF(AND(ISNUMBER(SEARCH("PAYMENT FROM",C359)),ISNUMBER(SEARCH("JOE SAUNDERS",C359))),"Zelle from Joe Saunders",IF(AND(ISNUMBER(SEARCH("PAYMENT TO",C359)),ISNUMBER(SEARCH("JOE SAUNDERS",C359))),"Zelle to Joe Saunders",IF(OR(ISNUMBER(SEARCH("NEW ORLEANS",C359)),ISNUMBER(SEARCH("KENNER",C359)),ISNUMBER(SEARCH("HENRY HOWARD",C359)),ISNUMBER(SEARCH("MISS CLAUDIA",C359))),"Personal Travel - New Orleans",IF(AND(YEAR(B359)=2025,MONTH(B359)=4,OR(ISNUMBER(SEARCH("EXCHANGE RATE",C359)),ISNUMBER(SEARCH("EXCHG RTE",C359)))),"Personal Travel - Italy",IFERROR(INDEX('Category Rules'!$B$2:$B$358,MATCH(TRUE,ISNUMBER(SEARCH('Category Rules'!$A$2:$A$358,C359)),0)),""))))))))</f>
        <v>Personal - Entertainment</v>
      </c>
    </row>
    <row r="360" spans="1:7" x14ac:dyDescent="0.25">
      <c r="A360" t="s">
        <v>6</v>
      </c>
      <c r="B360" s="1">
        <v>45975</v>
      </c>
      <c r="C360" t="s">
        <v>337</v>
      </c>
      <c r="D360">
        <v>-666.74</v>
      </c>
      <c r="E360" t="s">
        <v>10</v>
      </c>
      <c r="F360">
        <v>6919.06</v>
      </c>
      <c r="G360" t="str" cm="1">
        <f t="array" ref="G360">IF(AND(ISNUMBER(SEARCH("UBER",C360)),ISNUMBER(SEARCH("EATS",C360))),"Uber Eats",IF(LEFT(C360,6)="CHECK ","Checks Paid",IF(OR(E360="BILLPAY",ISNUMBER(SEARCH("FRANCHISE TAX",C360)),ISNUMBER(SEARCH("NEXTLINK",C360))),"Personal - House Bills",IF(AND(ISNUMBER(SEARCH("PAYMENT FROM",C360)),ISNUMBER(SEARCH("JOE SAUNDERS",C360))),"Zelle from Joe Saunders",IF(AND(ISNUMBER(SEARCH("PAYMENT TO",C360)),ISNUMBER(SEARCH("JOE SAUNDERS",C360))),"Zelle to Joe Saunders",IF(OR(ISNUMBER(SEARCH("NEW ORLEANS",C360)),ISNUMBER(SEARCH("KENNER",C360)),ISNUMBER(SEARCH("HENRY HOWARD",C360)),ISNUMBER(SEARCH("MISS CLAUDIA",C360))),"Personal Travel - New Orleans",IF(AND(YEAR(B360)=2025,MONTH(B360)=4,OR(ISNUMBER(SEARCH("EXCHANGE RATE",C360)),ISNUMBER(SEARCH("EXCHG RTE",C360)))),"Personal Travel - Italy",IFERROR(INDEX('Category Rules'!$B$2:$B$358,MATCH(TRUE,ISNUMBER(SEARCH('Category Rules'!$A$2:$A$358,C360)),0)),""))))))))</f>
        <v>Personal - Health</v>
      </c>
    </row>
    <row r="361" spans="1:7" x14ac:dyDescent="0.25">
      <c r="A361" t="s">
        <v>44</v>
      </c>
      <c r="B361" s="1">
        <v>45975</v>
      </c>
      <c r="C361" t="s">
        <v>338</v>
      </c>
      <c r="D361">
        <v>4282.71</v>
      </c>
      <c r="E361" t="s">
        <v>339</v>
      </c>
      <c r="F361">
        <v>7585.8</v>
      </c>
      <c r="G361" t="str" cm="1">
        <f t="array" ref="G361">IF(AND(ISNUMBER(SEARCH("UBER",C361)),ISNUMBER(SEARCH("EATS",C361))),"Uber Eats",IF(LEFT(C361,6)="CHECK ","Checks Paid",IF(OR(E361="BILLPAY",ISNUMBER(SEARCH("FRANCHISE TAX",C361)),ISNUMBER(SEARCH("NEXTLINK",C361))),"Personal - House Bills",IF(AND(ISNUMBER(SEARCH("PAYMENT FROM",C361)),ISNUMBER(SEARCH("JOE SAUNDERS",C361))),"Zelle from Joe Saunders",IF(AND(ISNUMBER(SEARCH("PAYMENT TO",C361)),ISNUMBER(SEARCH("JOE SAUNDERS",C361))),"Zelle to Joe Saunders",IF(OR(ISNUMBER(SEARCH("NEW ORLEANS",C361)),ISNUMBER(SEARCH("KENNER",C361)),ISNUMBER(SEARCH("HENRY HOWARD",C361)),ISNUMBER(SEARCH("MISS CLAUDIA",C361))),"Personal Travel - New Orleans",IF(AND(YEAR(B361)=2025,MONTH(B361)=4,OR(ISNUMBER(SEARCH("EXCHANGE RATE",C361)),ISNUMBER(SEARCH("EXCHG RTE",C361)))),"Personal Travel - Italy",IFERROR(INDEX('Category Rules'!$B$2:$B$358,MATCH(TRUE,ISNUMBER(SEARCH('Category Rules'!$A$2:$A$358,C361)),0)),""))))))))</f>
        <v>Deposit</v>
      </c>
    </row>
    <row r="362" spans="1:7" x14ac:dyDescent="0.25">
      <c r="A362" t="s">
        <v>6</v>
      </c>
      <c r="B362" s="1">
        <v>45974</v>
      </c>
      <c r="C362" t="s">
        <v>340</v>
      </c>
      <c r="D362">
        <v>-190.27</v>
      </c>
      <c r="E362" t="s">
        <v>10</v>
      </c>
      <c r="F362">
        <v>3303.09</v>
      </c>
      <c r="G362" t="str" cm="1">
        <f t="array" ref="G362">IF(AND(ISNUMBER(SEARCH("UBER",C362)),ISNUMBER(SEARCH("EATS",C362))),"Uber Eats",IF(LEFT(C362,6)="CHECK ","Checks Paid",IF(OR(E362="BILLPAY",ISNUMBER(SEARCH("FRANCHISE TAX",C362)),ISNUMBER(SEARCH("NEXTLINK",C362))),"Personal - House Bills",IF(AND(ISNUMBER(SEARCH("PAYMENT FROM",C362)),ISNUMBER(SEARCH("JOE SAUNDERS",C362))),"Zelle from Joe Saunders",IF(AND(ISNUMBER(SEARCH("PAYMENT TO",C362)),ISNUMBER(SEARCH("JOE SAUNDERS",C362))),"Zelle to Joe Saunders",IF(OR(ISNUMBER(SEARCH("NEW ORLEANS",C362)),ISNUMBER(SEARCH("KENNER",C362)),ISNUMBER(SEARCH("HENRY HOWARD",C362)),ISNUMBER(SEARCH("MISS CLAUDIA",C362))),"Personal Travel - New Orleans",IF(AND(YEAR(B362)=2025,MONTH(B362)=4,OR(ISNUMBER(SEARCH("EXCHANGE RATE",C362)),ISNUMBER(SEARCH("EXCHG RTE",C362)))),"Personal Travel - Italy",IFERROR(INDEX('Category Rules'!$B$2:$B$358,MATCH(TRUE,ISNUMBER(SEARCH('Category Rules'!$A$2:$A$358,C362)),0)),""))))))))</f>
        <v>Personal - Health</v>
      </c>
    </row>
    <row r="363" spans="1:7" x14ac:dyDescent="0.25">
      <c r="A363" t="s">
        <v>6</v>
      </c>
      <c r="B363" s="1">
        <v>45974</v>
      </c>
      <c r="C363" t="s">
        <v>341</v>
      </c>
      <c r="D363">
        <v>-31.21</v>
      </c>
      <c r="E363" t="s">
        <v>10</v>
      </c>
      <c r="F363">
        <v>3493.36</v>
      </c>
      <c r="G363" t="str" cm="1">
        <f t="array" ref="G363">IF(AND(ISNUMBER(SEARCH("UBER",C363)),ISNUMBER(SEARCH("EATS",C363))),"Uber Eats",IF(LEFT(C363,6)="CHECK ","Checks Paid",IF(OR(E363="BILLPAY",ISNUMBER(SEARCH("FRANCHISE TAX",C363)),ISNUMBER(SEARCH("NEXTLINK",C363))),"Personal - House Bills",IF(AND(ISNUMBER(SEARCH("PAYMENT FROM",C363)),ISNUMBER(SEARCH("JOE SAUNDERS",C363))),"Zelle from Joe Saunders",IF(AND(ISNUMBER(SEARCH("PAYMENT TO",C363)),ISNUMBER(SEARCH("JOE SAUNDERS",C363))),"Zelle to Joe Saunders",IF(OR(ISNUMBER(SEARCH("NEW ORLEANS",C363)),ISNUMBER(SEARCH("KENNER",C363)),ISNUMBER(SEARCH("HENRY HOWARD",C363)),ISNUMBER(SEARCH("MISS CLAUDIA",C363))),"Personal Travel - New Orleans",IF(AND(YEAR(B363)=2025,MONTH(B363)=4,OR(ISNUMBER(SEARCH("EXCHANGE RATE",C363)),ISNUMBER(SEARCH("EXCHG RTE",C363)))),"Personal Travel - Italy",IFERROR(INDEX('Category Rules'!$B$2:$B$358,MATCH(TRUE,ISNUMBER(SEARCH('Category Rules'!$A$2:$A$358,C363)),0)),""))))))))</f>
        <v>Uber Eats</v>
      </c>
    </row>
    <row r="364" spans="1:7" x14ac:dyDescent="0.25">
      <c r="A364" t="s">
        <v>6</v>
      </c>
      <c r="B364" s="1">
        <v>45974</v>
      </c>
      <c r="C364" t="s">
        <v>342</v>
      </c>
      <c r="D364">
        <v>-342.02</v>
      </c>
      <c r="E364" t="s">
        <v>10</v>
      </c>
      <c r="F364">
        <v>3524.57</v>
      </c>
      <c r="G364" t="str" cm="1">
        <f t="array" ref="G364">IF(AND(ISNUMBER(SEARCH("UBER",C364)),ISNUMBER(SEARCH("EATS",C364))),"Uber Eats",IF(LEFT(C364,6)="CHECK ","Checks Paid",IF(OR(E364="BILLPAY",ISNUMBER(SEARCH("FRANCHISE TAX",C364)),ISNUMBER(SEARCH("NEXTLINK",C364))),"Personal - House Bills",IF(AND(ISNUMBER(SEARCH("PAYMENT FROM",C364)),ISNUMBER(SEARCH("JOE SAUNDERS",C364))),"Zelle from Joe Saunders",IF(AND(ISNUMBER(SEARCH("PAYMENT TO",C364)),ISNUMBER(SEARCH("JOE SAUNDERS",C364))),"Zelle to Joe Saunders",IF(OR(ISNUMBER(SEARCH("NEW ORLEANS",C364)),ISNUMBER(SEARCH("KENNER",C364)),ISNUMBER(SEARCH("HENRY HOWARD",C364)),ISNUMBER(SEARCH("MISS CLAUDIA",C364))),"Personal Travel - New Orleans",IF(AND(YEAR(B364)=2025,MONTH(B364)=4,OR(ISNUMBER(SEARCH("EXCHANGE RATE",C364)),ISNUMBER(SEARCH("EXCHG RTE",C364)))),"Personal Travel - Italy",IFERROR(INDEX('Category Rules'!$B$2:$B$358,MATCH(TRUE,ISNUMBER(SEARCH('Category Rules'!$A$2:$A$358,C364)),0)),""))))))))</f>
        <v>Personal - Shopping</v>
      </c>
    </row>
    <row r="365" spans="1:7" x14ac:dyDescent="0.25">
      <c r="A365" t="s">
        <v>6</v>
      </c>
      <c r="B365" s="1">
        <v>45974</v>
      </c>
      <c r="C365" t="s">
        <v>343</v>
      </c>
      <c r="D365">
        <v>-44.24</v>
      </c>
      <c r="E365" t="s">
        <v>10</v>
      </c>
      <c r="F365">
        <v>3866.59</v>
      </c>
      <c r="G365" t="str" cm="1">
        <f t="array" ref="G365">IF(AND(ISNUMBER(SEARCH("UBER",C365)),ISNUMBER(SEARCH("EATS",C365))),"Uber Eats",IF(LEFT(C365,6)="CHECK ","Checks Paid",IF(OR(E365="BILLPAY",ISNUMBER(SEARCH("FRANCHISE TAX",C365)),ISNUMBER(SEARCH("NEXTLINK",C365))),"Personal - House Bills",IF(AND(ISNUMBER(SEARCH("PAYMENT FROM",C365)),ISNUMBER(SEARCH("JOE SAUNDERS",C365))),"Zelle from Joe Saunders",IF(AND(ISNUMBER(SEARCH("PAYMENT TO",C365)),ISNUMBER(SEARCH("JOE SAUNDERS",C365))),"Zelle to Joe Saunders",IF(OR(ISNUMBER(SEARCH("NEW ORLEANS",C365)),ISNUMBER(SEARCH("KENNER",C365)),ISNUMBER(SEARCH("HENRY HOWARD",C365)),ISNUMBER(SEARCH("MISS CLAUDIA",C365))),"Personal Travel - New Orleans",IF(AND(YEAR(B365)=2025,MONTH(B365)=4,OR(ISNUMBER(SEARCH("EXCHANGE RATE",C365)),ISNUMBER(SEARCH("EXCHG RTE",C365)))),"Personal Travel - Italy",IFERROR(INDEX('Category Rules'!$B$2:$B$358,MATCH(TRUE,ISNUMBER(SEARCH('Category Rules'!$A$2:$A$358,C365)),0)),""))))))))</f>
        <v>Uber Eats</v>
      </c>
    </row>
    <row r="366" spans="1:7" x14ac:dyDescent="0.25">
      <c r="A366" t="s">
        <v>6</v>
      </c>
      <c r="B366" s="1">
        <v>45974</v>
      </c>
      <c r="C366" t="s">
        <v>344</v>
      </c>
      <c r="D366">
        <v>-58.29</v>
      </c>
      <c r="E366" t="s">
        <v>10</v>
      </c>
      <c r="F366">
        <v>3910.83</v>
      </c>
      <c r="G366" t="str" cm="1">
        <f t="array" ref="G366">IF(AND(ISNUMBER(SEARCH("UBER",C366)),ISNUMBER(SEARCH("EATS",C366))),"Uber Eats",IF(LEFT(C366,6)="CHECK ","Checks Paid",IF(OR(E366="BILLPAY",ISNUMBER(SEARCH("FRANCHISE TAX",C366)),ISNUMBER(SEARCH("NEXTLINK",C366))),"Personal - House Bills",IF(AND(ISNUMBER(SEARCH("PAYMENT FROM",C366)),ISNUMBER(SEARCH("JOE SAUNDERS",C366))),"Zelle from Joe Saunders",IF(AND(ISNUMBER(SEARCH("PAYMENT TO",C366)),ISNUMBER(SEARCH("JOE SAUNDERS",C366))),"Zelle to Joe Saunders",IF(OR(ISNUMBER(SEARCH("NEW ORLEANS",C366)),ISNUMBER(SEARCH("KENNER",C366)),ISNUMBER(SEARCH("HENRY HOWARD",C366)),ISNUMBER(SEARCH("MISS CLAUDIA",C366))),"Personal Travel - New Orleans",IF(AND(YEAR(B366)=2025,MONTH(B366)=4,OR(ISNUMBER(SEARCH("EXCHANGE RATE",C366)),ISNUMBER(SEARCH("EXCHG RTE",C366)))),"Personal Travel - Italy",IFERROR(INDEX('Category Rules'!$B$2:$B$358,MATCH(TRUE,ISNUMBER(SEARCH('Category Rules'!$A$2:$A$358,C366)),0)),""))))))))</f>
        <v>Amazon</v>
      </c>
    </row>
    <row r="367" spans="1:7" x14ac:dyDescent="0.25">
      <c r="A367" t="s">
        <v>44</v>
      </c>
      <c r="B367" s="1">
        <v>45974</v>
      </c>
      <c r="C367" t="s">
        <v>345</v>
      </c>
      <c r="D367">
        <v>2000</v>
      </c>
      <c r="E367" t="s">
        <v>73</v>
      </c>
      <c r="F367">
        <v>3969.12</v>
      </c>
      <c r="G367" t="str" cm="1">
        <f t="array" ref="G367">IF(AND(ISNUMBER(SEARCH("UBER",C367)),ISNUMBER(SEARCH("EATS",C367))),"Uber Eats",IF(LEFT(C367,6)="CHECK ","Checks Paid",IF(OR(E367="BILLPAY",ISNUMBER(SEARCH("FRANCHISE TAX",C367)),ISNUMBER(SEARCH("NEXTLINK",C367))),"Personal - House Bills",IF(AND(ISNUMBER(SEARCH("PAYMENT FROM",C367)),ISNUMBER(SEARCH("JOE SAUNDERS",C367))),"Zelle from Joe Saunders",IF(AND(ISNUMBER(SEARCH("PAYMENT TO",C367)),ISNUMBER(SEARCH("JOE SAUNDERS",C367))),"Zelle to Joe Saunders",IF(OR(ISNUMBER(SEARCH("NEW ORLEANS",C367)),ISNUMBER(SEARCH("KENNER",C367)),ISNUMBER(SEARCH("HENRY HOWARD",C367)),ISNUMBER(SEARCH("MISS CLAUDIA",C367))),"Personal Travel - New Orleans",IF(AND(YEAR(B367)=2025,MONTH(B367)=4,OR(ISNUMBER(SEARCH("EXCHANGE RATE",C367)),ISNUMBER(SEARCH("EXCHG RTE",C367)))),"Personal Travel - Italy",IFERROR(INDEX('Category Rules'!$B$2:$B$358,MATCH(TRUE,ISNUMBER(SEARCH('Category Rules'!$A$2:$A$358,C367)),0)),""))))))))</f>
        <v>Transfer from DWG Capital Group</v>
      </c>
    </row>
    <row r="368" spans="1:7" x14ac:dyDescent="0.25">
      <c r="A368" t="s">
        <v>6</v>
      </c>
      <c r="B368" s="1">
        <v>45973</v>
      </c>
      <c r="C368" t="s">
        <v>346</v>
      </c>
      <c r="D368">
        <v>-38.409999999999997</v>
      </c>
      <c r="E368" t="s">
        <v>10</v>
      </c>
      <c r="F368">
        <v>1969.12</v>
      </c>
      <c r="G368" t="str" cm="1">
        <f t="array" ref="G368">IF(AND(ISNUMBER(SEARCH("UBER",C368)),ISNUMBER(SEARCH("EATS",C368))),"Uber Eats",IF(LEFT(C368,6)="CHECK ","Checks Paid",IF(OR(E368="BILLPAY",ISNUMBER(SEARCH("FRANCHISE TAX",C368)),ISNUMBER(SEARCH("NEXTLINK",C368))),"Personal - House Bills",IF(AND(ISNUMBER(SEARCH("PAYMENT FROM",C368)),ISNUMBER(SEARCH("JOE SAUNDERS",C368))),"Zelle from Joe Saunders",IF(AND(ISNUMBER(SEARCH("PAYMENT TO",C368)),ISNUMBER(SEARCH("JOE SAUNDERS",C368))),"Zelle to Joe Saunders",IF(OR(ISNUMBER(SEARCH("NEW ORLEANS",C368)),ISNUMBER(SEARCH("KENNER",C368)),ISNUMBER(SEARCH("HENRY HOWARD",C368)),ISNUMBER(SEARCH("MISS CLAUDIA",C368))),"Personal Travel - New Orleans",IF(AND(YEAR(B368)=2025,MONTH(B368)=4,OR(ISNUMBER(SEARCH("EXCHANGE RATE",C368)),ISNUMBER(SEARCH("EXCHG RTE",C368)))),"Personal Travel - Italy",IFERROR(INDEX('Category Rules'!$B$2:$B$358,MATCH(TRUE,ISNUMBER(SEARCH('Category Rules'!$A$2:$A$358,C368)),0)),""))))))))</f>
        <v>Etsy</v>
      </c>
    </row>
    <row r="369" spans="1:7" x14ac:dyDescent="0.25">
      <c r="A369" t="s">
        <v>6</v>
      </c>
      <c r="B369" s="1">
        <v>45973</v>
      </c>
      <c r="C369" t="s">
        <v>347</v>
      </c>
      <c r="D369">
        <v>-110.91</v>
      </c>
      <c r="E369" t="s">
        <v>10</v>
      </c>
      <c r="F369">
        <v>2007.53</v>
      </c>
      <c r="G369" t="str" cm="1">
        <f t="array" ref="G369">IF(AND(ISNUMBER(SEARCH("UBER",C369)),ISNUMBER(SEARCH("EATS",C369))),"Uber Eats",IF(LEFT(C369,6)="CHECK ","Checks Paid",IF(OR(E369="BILLPAY",ISNUMBER(SEARCH("FRANCHISE TAX",C369)),ISNUMBER(SEARCH("NEXTLINK",C369))),"Personal - House Bills",IF(AND(ISNUMBER(SEARCH("PAYMENT FROM",C369)),ISNUMBER(SEARCH("JOE SAUNDERS",C369))),"Zelle from Joe Saunders",IF(AND(ISNUMBER(SEARCH("PAYMENT TO",C369)),ISNUMBER(SEARCH("JOE SAUNDERS",C369))),"Zelle to Joe Saunders",IF(OR(ISNUMBER(SEARCH("NEW ORLEANS",C369)),ISNUMBER(SEARCH("KENNER",C369)),ISNUMBER(SEARCH("HENRY HOWARD",C369)),ISNUMBER(SEARCH("MISS CLAUDIA",C369))),"Personal Travel - New Orleans",IF(AND(YEAR(B369)=2025,MONTH(B369)=4,OR(ISNUMBER(SEARCH("EXCHANGE RATE",C369)),ISNUMBER(SEARCH("EXCHG RTE",C369)))),"Personal Travel - Italy",IFERROR(INDEX('Category Rules'!$B$2:$B$358,MATCH(TRUE,ISNUMBER(SEARCH('Category Rules'!$A$2:$A$358,C369)),0)),""))))))))</f>
        <v>Uber Eats</v>
      </c>
    </row>
    <row r="370" spans="1:7" x14ac:dyDescent="0.25">
      <c r="A370" t="s">
        <v>6</v>
      </c>
      <c r="B370" s="1">
        <v>45973</v>
      </c>
      <c r="C370" t="s">
        <v>348</v>
      </c>
      <c r="D370">
        <v>-78.5</v>
      </c>
      <c r="E370" t="s">
        <v>10</v>
      </c>
      <c r="F370">
        <v>2118.44</v>
      </c>
      <c r="G370" t="str" cm="1">
        <f t="array" ref="G370">IF(AND(ISNUMBER(SEARCH("UBER",C370)),ISNUMBER(SEARCH("EATS",C370))),"Uber Eats",IF(LEFT(C370,6)="CHECK ","Checks Paid",IF(OR(E370="BILLPAY",ISNUMBER(SEARCH("FRANCHISE TAX",C370)),ISNUMBER(SEARCH("NEXTLINK",C370))),"Personal - House Bills",IF(AND(ISNUMBER(SEARCH("PAYMENT FROM",C370)),ISNUMBER(SEARCH("JOE SAUNDERS",C370))),"Zelle from Joe Saunders",IF(AND(ISNUMBER(SEARCH("PAYMENT TO",C370)),ISNUMBER(SEARCH("JOE SAUNDERS",C370))),"Zelle to Joe Saunders",IF(OR(ISNUMBER(SEARCH("NEW ORLEANS",C370)),ISNUMBER(SEARCH("KENNER",C370)),ISNUMBER(SEARCH("HENRY HOWARD",C370)),ISNUMBER(SEARCH("MISS CLAUDIA",C370))),"Personal Travel - New Orleans",IF(AND(YEAR(B370)=2025,MONTH(B370)=4,OR(ISNUMBER(SEARCH("EXCHANGE RATE",C370)),ISNUMBER(SEARCH("EXCHG RTE",C370)))),"Personal Travel - Italy",IFERROR(INDEX('Category Rules'!$B$2:$B$358,MATCH(TRUE,ISNUMBER(SEARCH('Category Rules'!$A$2:$A$358,C370)),0)),""))))))))</f>
        <v>Amazon</v>
      </c>
    </row>
    <row r="371" spans="1:7" x14ac:dyDescent="0.25">
      <c r="A371" t="s">
        <v>6</v>
      </c>
      <c r="B371" s="1">
        <v>45973</v>
      </c>
      <c r="C371" t="s">
        <v>349</v>
      </c>
      <c r="D371">
        <v>-58.29</v>
      </c>
      <c r="E371" t="s">
        <v>10</v>
      </c>
      <c r="F371">
        <v>2196.94</v>
      </c>
      <c r="G371" t="str" cm="1">
        <f t="array" ref="G371">IF(AND(ISNUMBER(SEARCH("UBER",C371)),ISNUMBER(SEARCH("EATS",C371))),"Uber Eats",IF(LEFT(C371,6)="CHECK ","Checks Paid",IF(OR(E371="BILLPAY",ISNUMBER(SEARCH("FRANCHISE TAX",C371)),ISNUMBER(SEARCH("NEXTLINK",C371))),"Personal - House Bills",IF(AND(ISNUMBER(SEARCH("PAYMENT FROM",C371)),ISNUMBER(SEARCH("JOE SAUNDERS",C371))),"Zelle from Joe Saunders",IF(AND(ISNUMBER(SEARCH("PAYMENT TO",C371)),ISNUMBER(SEARCH("JOE SAUNDERS",C371))),"Zelle to Joe Saunders",IF(OR(ISNUMBER(SEARCH("NEW ORLEANS",C371)),ISNUMBER(SEARCH("KENNER",C371)),ISNUMBER(SEARCH("HENRY HOWARD",C371)),ISNUMBER(SEARCH("MISS CLAUDIA",C371))),"Personal Travel - New Orleans",IF(AND(YEAR(B371)=2025,MONTH(B371)=4,OR(ISNUMBER(SEARCH("EXCHANGE RATE",C371)),ISNUMBER(SEARCH("EXCHG RTE",C371)))),"Personal Travel - Italy",IFERROR(INDEX('Category Rules'!$B$2:$B$358,MATCH(TRUE,ISNUMBER(SEARCH('Category Rules'!$A$2:$A$358,C371)),0)),""))))))))</f>
        <v>Amazon</v>
      </c>
    </row>
    <row r="372" spans="1:7" x14ac:dyDescent="0.25">
      <c r="A372" t="s">
        <v>6</v>
      </c>
      <c r="B372" s="1">
        <v>45973</v>
      </c>
      <c r="C372" t="s">
        <v>350</v>
      </c>
      <c r="D372">
        <v>-20</v>
      </c>
      <c r="E372" t="s">
        <v>10</v>
      </c>
      <c r="F372">
        <v>2255.23</v>
      </c>
      <c r="G372" t="str" cm="1">
        <f t="array" ref="G372">IF(AND(ISNUMBER(SEARCH("UBER",C372)),ISNUMBER(SEARCH("EATS",C372))),"Uber Eats",IF(LEFT(C372,6)="CHECK ","Checks Paid",IF(OR(E372="BILLPAY",ISNUMBER(SEARCH("FRANCHISE TAX",C372)),ISNUMBER(SEARCH("NEXTLINK",C372))),"Personal - House Bills",IF(AND(ISNUMBER(SEARCH("PAYMENT FROM",C372)),ISNUMBER(SEARCH("JOE SAUNDERS",C372))),"Zelle from Joe Saunders",IF(AND(ISNUMBER(SEARCH("PAYMENT TO",C372)),ISNUMBER(SEARCH("JOE SAUNDERS",C372))),"Zelle to Joe Saunders",IF(OR(ISNUMBER(SEARCH("NEW ORLEANS",C372)),ISNUMBER(SEARCH("KENNER",C372)),ISNUMBER(SEARCH("HENRY HOWARD",C372)),ISNUMBER(SEARCH("MISS CLAUDIA",C372))),"Personal Travel - New Orleans",IF(AND(YEAR(B372)=2025,MONTH(B372)=4,OR(ISNUMBER(SEARCH("EXCHANGE RATE",C372)),ISNUMBER(SEARCH("EXCHG RTE",C372)))),"Personal Travel - Italy",IFERROR(INDEX('Category Rules'!$B$2:$B$358,MATCH(TRUE,ISNUMBER(SEARCH('Category Rules'!$A$2:$A$358,C372)),0)),""))))))))</f>
        <v>Amazon</v>
      </c>
    </row>
    <row r="373" spans="1:7" x14ac:dyDescent="0.25">
      <c r="A373" t="s">
        <v>6</v>
      </c>
      <c r="B373" s="1">
        <v>45973</v>
      </c>
      <c r="C373" t="s">
        <v>351</v>
      </c>
      <c r="D373">
        <v>-29.56</v>
      </c>
      <c r="E373" t="s">
        <v>10</v>
      </c>
      <c r="F373">
        <v>2275.23</v>
      </c>
      <c r="G373" t="str" cm="1">
        <f t="array" ref="G373">IF(AND(ISNUMBER(SEARCH("UBER",C373)),ISNUMBER(SEARCH("EATS",C373))),"Uber Eats",IF(LEFT(C373,6)="CHECK ","Checks Paid",IF(OR(E373="BILLPAY",ISNUMBER(SEARCH("FRANCHISE TAX",C373)),ISNUMBER(SEARCH("NEXTLINK",C373))),"Personal - House Bills",IF(AND(ISNUMBER(SEARCH("PAYMENT FROM",C373)),ISNUMBER(SEARCH("JOE SAUNDERS",C373))),"Zelle from Joe Saunders",IF(AND(ISNUMBER(SEARCH("PAYMENT TO",C373)),ISNUMBER(SEARCH("JOE SAUNDERS",C373))),"Zelle to Joe Saunders",IF(OR(ISNUMBER(SEARCH("NEW ORLEANS",C373)),ISNUMBER(SEARCH("KENNER",C373)),ISNUMBER(SEARCH("HENRY HOWARD",C373)),ISNUMBER(SEARCH("MISS CLAUDIA",C373))),"Personal Travel - New Orleans",IF(AND(YEAR(B373)=2025,MONTH(B373)=4,OR(ISNUMBER(SEARCH("EXCHANGE RATE",C373)),ISNUMBER(SEARCH("EXCHG RTE",C373)))),"Personal Travel - Italy",IFERROR(INDEX('Category Rules'!$B$2:$B$358,MATCH(TRUE,ISNUMBER(SEARCH('Category Rules'!$A$2:$A$358,C373)),0)),""))))))))</f>
        <v>Amazon</v>
      </c>
    </row>
    <row r="374" spans="1:7" x14ac:dyDescent="0.25">
      <c r="A374" t="s">
        <v>6</v>
      </c>
      <c r="B374" s="1">
        <v>45973</v>
      </c>
      <c r="C374" t="s">
        <v>352</v>
      </c>
      <c r="D374">
        <v>-640.21</v>
      </c>
      <c r="E374" t="s">
        <v>10</v>
      </c>
      <c r="F374">
        <v>2304.79</v>
      </c>
      <c r="G374" t="str" cm="1">
        <f t="array" ref="G374">IF(AND(ISNUMBER(SEARCH("UBER",C374)),ISNUMBER(SEARCH("EATS",C374))),"Uber Eats",IF(LEFT(C374,6)="CHECK ","Checks Paid",IF(OR(E374="BILLPAY",ISNUMBER(SEARCH("FRANCHISE TAX",C374)),ISNUMBER(SEARCH("NEXTLINK",C374))),"Personal - House Bills",IF(AND(ISNUMBER(SEARCH("PAYMENT FROM",C374)),ISNUMBER(SEARCH("JOE SAUNDERS",C374))),"Zelle from Joe Saunders",IF(AND(ISNUMBER(SEARCH("PAYMENT TO",C374)),ISNUMBER(SEARCH("JOE SAUNDERS",C374))),"Zelle to Joe Saunders",IF(OR(ISNUMBER(SEARCH("NEW ORLEANS",C374)),ISNUMBER(SEARCH("KENNER",C374)),ISNUMBER(SEARCH("HENRY HOWARD",C374)),ISNUMBER(SEARCH("MISS CLAUDIA",C374))),"Personal Travel - New Orleans",IF(AND(YEAR(B374)=2025,MONTH(B374)=4,OR(ISNUMBER(SEARCH("EXCHANGE RATE",C374)),ISNUMBER(SEARCH("EXCHG RTE",C374)))),"Personal Travel - Italy",IFERROR(INDEX('Category Rules'!$B$2:$B$358,MATCH(TRUE,ISNUMBER(SEARCH('Category Rules'!$A$2:$A$358,C374)),0)),""))))))))</f>
        <v>Personal - Shopping</v>
      </c>
    </row>
    <row r="375" spans="1:7" x14ac:dyDescent="0.25">
      <c r="A375" t="s">
        <v>6</v>
      </c>
      <c r="B375" s="1">
        <v>45973</v>
      </c>
      <c r="C375" t="s">
        <v>353</v>
      </c>
      <c r="D375">
        <v>-122.67</v>
      </c>
      <c r="E375" t="s">
        <v>10</v>
      </c>
      <c r="F375">
        <v>2945</v>
      </c>
      <c r="G375" t="str" cm="1">
        <f t="array" ref="G375">IF(AND(ISNUMBER(SEARCH("UBER",C375)),ISNUMBER(SEARCH("EATS",C375))),"Uber Eats",IF(LEFT(C375,6)="CHECK ","Checks Paid",IF(OR(E375="BILLPAY",ISNUMBER(SEARCH("FRANCHISE TAX",C375)),ISNUMBER(SEARCH("NEXTLINK",C375))),"Personal - House Bills",IF(AND(ISNUMBER(SEARCH("PAYMENT FROM",C375)),ISNUMBER(SEARCH("JOE SAUNDERS",C375))),"Zelle from Joe Saunders",IF(AND(ISNUMBER(SEARCH("PAYMENT TO",C375)),ISNUMBER(SEARCH("JOE SAUNDERS",C375))),"Zelle to Joe Saunders",IF(OR(ISNUMBER(SEARCH("NEW ORLEANS",C375)),ISNUMBER(SEARCH("KENNER",C375)),ISNUMBER(SEARCH("HENRY HOWARD",C375)),ISNUMBER(SEARCH("MISS CLAUDIA",C375))),"Personal Travel - New Orleans",IF(AND(YEAR(B375)=2025,MONTH(B375)=4,OR(ISNUMBER(SEARCH("EXCHANGE RATE",C375)),ISNUMBER(SEARCH("EXCHG RTE",C375)))),"Personal Travel - Italy",IFERROR(INDEX('Category Rules'!$B$2:$B$358,MATCH(TRUE,ISNUMBER(SEARCH('Category Rules'!$A$2:$A$358,C375)),0)),""))))))))</f>
        <v>Personal - Shopping</v>
      </c>
    </row>
    <row r="376" spans="1:7" x14ac:dyDescent="0.25">
      <c r="A376" t="s">
        <v>6</v>
      </c>
      <c r="B376" s="1">
        <v>45973</v>
      </c>
      <c r="C376" t="s">
        <v>353</v>
      </c>
      <c r="D376">
        <v>-139.22</v>
      </c>
      <c r="E376" t="s">
        <v>10</v>
      </c>
      <c r="F376">
        <v>3067.67</v>
      </c>
      <c r="G376" t="str" cm="1">
        <f t="array" ref="G376">IF(AND(ISNUMBER(SEARCH("UBER",C376)),ISNUMBER(SEARCH("EATS",C376))),"Uber Eats",IF(LEFT(C376,6)="CHECK ","Checks Paid",IF(OR(E376="BILLPAY",ISNUMBER(SEARCH("FRANCHISE TAX",C376)),ISNUMBER(SEARCH("NEXTLINK",C376))),"Personal - House Bills",IF(AND(ISNUMBER(SEARCH("PAYMENT FROM",C376)),ISNUMBER(SEARCH("JOE SAUNDERS",C376))),"Zelle from Joe Saunders",IF(AND(ISNUMBER(SEARCH("PAYMENT TO",C376)),ISNUMBER(SEARCH("JOE SAUNDERS",C376))),"Zelle to Joe Saunders",IF(OR(ISNUMBER(SEARCH("NEW ORLEANS",C376)),ISNUMBER(SEARCH("KENNER",C376)),ISNUMBER(SEARCH("HENRY HOWARD",C376)),ISNUMBER(SEARCH("MISS CLAUDIA",C376))),"Personal Travel - New Orleans",IF(AND(YEAR(B376)=2025,MONTH(B376)=4,OR(ISNUMBER(SEARCH("EXCHANGE RATE",C376)),ISNUMBER(SEARCH("EXCHG RTE",C376)))),"Personal Travel - Italy",IFERROR(INDEX('Category Rules'!$B$2:$B$358,MATCH(TRUE,ISNUMBER(SEARCH('Category Rules'!$A$2:$A$358,C376)),0)),""))))))))</f>
        <v>Personal - Shopping</v>
      </c>
    </row>
    <row r="377" spans="1:7" x14ac:dyDescent="0.25">
      <c r="A377" t="s">
        <v>6</v>
      </c>
      <c r="B377" s="1">
        <v>45973</v>
      </c>
      <c r="C377" t="s">
        <v>354</v>
      </c>
      <c r="D377">
        <v>-26.59</v>
      </c>
      <c r="E377" t="s">
        <v>10</v>
      </c>
      <c r="F377">
        <v>3206.89</v>
      </c>
      <c r="G377" t="str" cm="1">
        <f t="array" ref="G377">IF(AND(ISNUMBER(SEARCH("UBER",C377)),ISNUMBER(SEARCH("EATS",C377))),"Uber Eats",IF(LEFT(C377,6)="CHECK ","Checks Paid",IF(OR(E377="BILLPAY",ISNUMBER(SEARCH("FRANCHISE TAX",C377)),ISNUMBER(SEARCH("NEXTLINK",C377))),"Personal - House Bills",IF(AND(ISNUMBER(SEARCH("PAYMENT FROM",C377)),ISNUMBER(SEARCH("JOE SAUNDERS",C377))),"Zelle from Joe Saunders",IF(AND(ISNUMBER(SEARCH("PAYMENT TO",C377)),ISNUMBER(SEARCH("JOE SAUNDERS",C377))),"Zelle to Joe Saunders",IF(OR(ISNUMBER(SEARCH("NEW ORLEANS",C377)),ISNUMBER(SEARCH("KENNER",C377)),ISNUMBER(SEARCH("HENRY HOWARD",C377)),ISNUMBER(SEARCH("MISS CLAUDIA",C377))),"Personal Travel - New Orleans",IF(AND(YEAR(B377)=2025,MONTH(B377)=4,OR(ISNUMBER(SEARCH("EXCHANGE RATE",C377)),ISNUMBER(SEARCH("EXCHG RTE",C377)))),"Personal Travel - Italy",IFERROR(INDEX('Category Rules'!$B$2:$B$358,MATCH(TRUE,ISNUMBER(SEARCH('Category Rules'!$A$2:$A$358,C377)),0)),""))))))))</f>
        <v>Amazon</v>
      </c>
    </row>
    <row r="378" spans="1:7" x14ac:dyDescent="0.25">
      <c r="A378" t="s">
        <v>6</v>
      </c>
      <c r="B378" s="1">
        <v>45973</v>
      </c>
      <c r="C378" t="s">
        <v>355</v>
      </c>
      <c r="D378">
        <v>-305.87</v>
      </c>
      <c r="E378" t="s">
        <v>10</v>
      </c>
      <c r="F378">
        <v>3233.48</v>
      </c>
      <c r="G378" t="str" cm="1">
        <f t="array" ref="G378">IF(AND(ISNUMBER(SEARCH("UBER",C378)),ISNUMBER(SEARCH("EATS",C378))),"Uber Eats",IF(LEFT(C378,6)="CHECK ","Checks Paid",IF(OR(E378="BILLPAY",ISNUMBER(SEARCH("FRANCHISE TAX",C378)),ISNUMBER(SEARCH("NEXTLINK",C378))),"Personal - House Bills",IF(AND(ISNUMBER(SEARCH("PAYMENT FROM",C378)),ISNUMBER(SEARCH("JOE SAUNDERS",C378))),"Zelle from Joe Saunders",IF(AND(ISNUMBER(SEARCH("PAYMENT TO",C378)),ISNUMBER(SEARCH("JOE SAUNDERS",C378))),"Zelle to Joe Saunders",IF(OR(ISNUMBER(SEARCH("NEW ORLEANS",C378)),ISNUMBER(SEARCH("KENNER",C378)),ISNUMBER(SEARCH("HENRY HOWARD",C378)),ISNUMBER(SEARCH("MISS CLAUDIA",C378))),"Personal Travel - New Orleans",IF(AND(YEAR(B378)=2025,MONTH(B378)=4,OR(ISNUMBER(SEARCH("EXCHANGE RATE",C378)),ISNUMBER(SEARCH("EXCHG RTE",C378)))),"Personal Travel - Italy",IFERROR(INDEX('Category Rules'!$B$2:$B$358,MATCH(TRUE,ISNUMBER(SEARCH('Category Rules'!$A$2:$A$358,C378)),0)),""))))))))</f>
        <v>Personal - Shopping</v>
      </c>
    </row>
    <row r="379" spans="1:7" x14ac:dyDescent="0.25">
      <c r="A379" t="s">
        <v>6</v>
      </c>
      <c r="B379" s="1">
        <v>45971</v>
      </c>
      <c r="C379" t="s">
        <v>356</v>
      </c>
      <c r="D379">
        <v>-83.61</v>
      </c>
      <c r="E379" t="s">
        <v>10</v>
      </c>
      <c r="F379">
        <v>3539.35</v>
      </c>
      <c r="G379" t="str" cm="1">
        <f t="array" ref="G379">IF(AND(ISNUMBER(SEARCH("UBER",C379)),ISNUMBER(SEARCH("EATS",C379))),"Uber Eats",IF(LEFT(C379,6)="CHECK ","Checks Paid",IF(OR(E379="BILLPAY",ISNUMBER(SEARCH("FRANCHISE TAX",C379)),ISNUMBER(SEARCH("NEXTLINK",C379))),"Personal - House Bills",IF(AND(ISNUMBER(SEARCH("PAYMENT FROM",C379)),ISNUMBER(SEARCH("JOE SAUNDERS",C379))),"Zelle from Joe Saunders",IF(AND(ISNUMBER(SEARCH("PAYMENT TO",C379)),ISNUMBER(SEARCH("JOE SAUNDERS",C379))),"Zelle to Joe Saunders",IF(OR(ISNUMBER(SEARCH("NEW ORLEANS",C379)),ISNUMBER(SEARCH("KENNER",C379)),ISNUMBER(SEARCH("HENRY HOWARD",C379)),ISNUMBER(SEARCH("MISS CLAUDIA",C379))),"Personal Travel - New Orleans",IF(AND(YEAR(B379)=2025,MONTH(B379)=4,OR(ISNUMBER(SEARCH("EXCHANGE RATE",C379)),ISNUMBER(SEARCH("EXCHG RTE",C379)))),"Personal Travel - Italy",IFERROR(INDEX('Category Rules'!$B$2:$B$358,MATCH(TRUE,ISNUMBER(SEARCH('Category Rules'!$A$2:$A$358,C379)),0)),""))))))))</f>
        <v>Etsy</v>
      </c>
    </row>
    <row r="380" spans="1:7" x14ac:dyDescent="0.25">
      <c r="A380" t="s">
        <v>6</v>
      </c>
      <c r="B380" s="1">
        <v>45971</v>
      </c>
      <c r="C380" t="s">
        <v>357</v>
      </c>
      <c r="D380">
        <v>-12.99</v>
      </c>
      <c r="E380" t="s">
        <v>10</v>
      </c>
      <c r="F380">
        <v>3622.96</v>
      </c>
      <c r="G380" t="str" cm="1">
        <f t="array" ref="G380">IF(AND(ISNUMBER(SEARCH("UBER",C380)),ISNUMBER(SEARCH("EATS",C380))),"Uber Eats",IF(LEFT(C380,6)="CHECK ","Checks Paid",IF(OR(E380="BILLPAY",ISNUMBER(SEARCH("FRANCHISE TAX",C380)),ISNUMBER(SEARCH("NEXTLINK",C380))),"Personal - House Bills",IF(AND(ISNUMBER(SEARCH("PAYMENT FROM",C380)),ISNUMBER(SEARCH("JOE SAUNDERS",C380))),"Zelle from Joe Saunders",IF(AND(ISNUMBER(SEARCH("PAYMENT TO",C380)),ISNUMBER(SEARCH("JOE SAUNDERS",C380))),"Zelle to Joe Saunders",IF(OR(ISNUMBER(SEARCH("NEW ORLEANS",C380)),ISNUMBER(SEARCH("KENNER",C380)),ISNUMBER(SEARCH("HENRY HOWARD",C380)),ISNUMBER(SEARCH("MISS CLAUDIA",C380))),"Personal Travel - New Orleans",IF(AND(YEAR(B380)=2025,MONTH(B380)=4,OR(ISNUMBER(SEARCH("EXCHANGE RATE",C380)),ISNUMBER(SEARCH("EXCHG RTE",C380)))),"Personal Travel - Italy",IFERROR(INDEX('Category Rules'!$B$2:$B$358,MATCH(TRUE,ISNUMBER(SEARCH('Category Rules'!$A$2:$A$358,C380)),0)),""))))))))</f>
        <v>Apple</v>
      </c>
    </row>
    <row r="381" spans="1:7" x14ac:dyDescent="0.25">
      <c r="A381" t="s">
        <v>6</v>
      </c>
      <c r="B381" s="1">
        <v>45971</v>
      </c>
      <c r="C381" t="s">
        <v>358</v>
      </c>
      <c r="D381">
        <v>-95.63</v>
      </c>
      <c r="E381" t="s">
        <v>10</v>
      </c>
      <c r="F381">
        <v>3635.95</v>
      </c>
      <c r="G381" t="str" cm="1">
        <f t="array" ref="G381">IF(AND(ISNUMBER(SEARCH("UBER",C381)),ISNUMBER(SEARCH("EATS",C381))),"Uber Eats",IF(LEFT(C381,6)="CHECK ","Checks Paid",IF(OR(E381="BILLPAY",ISNUMBER(SEARCH("FRANCHISE TAX",C381)),ISNUMBER(SEARCH("NEXTLINK",C381))),"Personal - House Bills",IF(AND(ISNUMBER(SEARCH("PAYMENT FROM",C381)),ISNUMBER(SEARCH("JOE SAUNDERS",C381))),"Zelle from Joe Saunders",IF(AND(ISNUMBER(SEARCH("PAYMENT TO",C381)),ISNUMBER(SEARCH("JOE SAUNDERS",C381))),"Zelle to Joe Saunders",IF(OR(ISNUMBER(SEARCH("NEW ORLEANS",C381)),ISNUMBER(SEARCH("KENNER",C381)),ISNUMBER(SEARCH("HENRY HOWARD",C381)),ISNUMBER(SEARCH("MISS CLAUDIA",C381))),"Personal Travel - New Orleans",IF(AND(YEAR(B381)=2025,MONTH(B381)=4,OR(ISNUMBER(SEARCH("EXCHANGE RATE",C381)),ISNUMBER(SEARCH("EXCHG RTE",C381)))),"Personal Travel - Italy",IFERROR(INDEX('Category Rules'!$B$2:$B$358,MATCH(TRUE,ISNUMBER(SEARCH('Category Rules'!$A$2:$A$358,C381)),0)),""))))))))</f>
        <v>Amazon</v>
      </c>
    </row>
    <row r="382" spans="1:7" x14ac:dyDescent="0.25">
      <c r="A382" t="s">
        <v>6</v>
      </c>
      <c r="B382" s="1">
        <v>45971</v>
      </c>
      <c r="C382" t="s">
        <v>359</v>
      </c>
      <c r="D382">
        <v>-401.75</v>
      </c>
      <c r="E382" t="s">
        <v>10</v>
      </c>
      <c r="F382">
        <v>3731.58</v>
      </c>
      <c r="G382" t="str" cm="1">
        <f t="array" ref="G382">IF(AND(ISNUMBER(SEARCH("UBER",C382)),ISNUMBER(SEARCH("EATS",C382))),"Uber Eats",IF(LEFT(C382,6)="CHECK ","Checks Paid",IF(OR(E382="BILLPAY",ISNUMBER(SEARCH("FRANCHISE TAX",C382)),ISNUMBER(SEARCH("NEXTLINK",C382))),"Personal - House Bills",IF(AND(ISNUMBER(SEARCH("PAYMENT FROM",C382)),ISNUMBER(SEARCH("JOE SAUNDERS",C382))),"Zelle from Joe Saunders",IF(AND(ISNUMBER(SEARCH("PAYMENT TO",C382)),ISNUMBER(SEARCH("JOE SAUNDERS",C382))),"Zelle to Joe Saunders",IF(OR(ISNUMBER(SEARCH("NEW ORLEANS",C382)),ISNUMBER(SEARCH("KENNER",C382)),ISNUMBER(SEARCH("HENRY HOWARD",C382)),ISNUMBER(SEARCH("MISS CLAUDIA",C382))),"Personal Travel - New Orleans",IF(AND(YEAR(B382)=2025,MONTH(B382)=4,OR(ISNUMBER(SEARCH("EXCHANGE RATE",C382)),ISNUMBER(SEARCH("EXCHG RTE",C382)))),"Personal Travel - Italy",IFERROR(INDEX('Category Rules'!$B$2:$B$358,MATCH(TRUE,ISNUMBER(SEARCH('Category Rules'!$A$2:$A$358,C382)),0)),""))))))))</f>
        <v>Personal - Health</v>
      </c>
    </row>
    <row r="383" spans="1:7" x14ac:dyDescent="0.25">
      <c r="A383" t="s">
        <v>6</v>
      </c>
      <c r="B383" s="1">
        <v>45971</v>
      </c>
      <c r="C383" t="s">
        <v>360</v>
      </c>
      <c r="D383">
        <v>-6.99</v>
      </c>
      <c r="E383" t="s">
        <v>10</v>
      </c>
      <c r="F383">
        <v>4133.33</v>
      </c>
      <c r="G383" t="str" cm="1">
        <f t="array" ref="G383">IF(AND(ISNUMBER(SEARCH("UBER",C383)),ISNUMBER(SEARCH("EATS",C383))),"Uber Eats",IF(LEFT(C383,6)="CHECK ","Checks Paid",IF(OR(E383="BILLPAY",ISNUMBER(SEARCH("FRANCHISE TAX",C383)),ISNUMBER(SEARCH("NEXTLINK",C383))),"Personal - House Bills",IF(AND(ISNUMBER(SEARCH("PAYMENT FROM",C383)),ISNUMBER(SEARCH("JOE SAUNDERS",C383))),"Zelle from Joe Saunders",IF(AND(ISNUMBER(SEARCH("PAYMENT TO",C383)),ISNUMBER(SEARCH("JOE SAUNDERS",C383))),"Zelle to Joe Saunders",IF(OR(ISNUMBER(SEARCH("NEW ORLEANS",C383)),ISNUMBER(SEARCH("KENNER",C383)),ISNUMBER(SEARCH("HENRY HOWARD",C383)),ISNUMBER(SEARCH("MISS CLAUDIA",C383))),"Personal Travel - New Orleans",IF(AND(YEAR(B383)=2025,MONTH(B383)=4,OR(ISNUMBER(SEARCH("EXCHANGE RATE",C383)),ISNUMBER(SEARCH("EXCHG RTE",C383)))),"Personal Travel - Italy",IFERROR(INDEX('Category Rules'!$B$2:$B$358,MATCH(TRUE,ISNUMBER(SEARCH('Category Rules'!$A$2:$A$358,C383)),0)),""))))))))</f>
        <v>Apple</v>
      </c>
    </row>
    <row r="384" spans="1:7" x14ac:dyDescent="0.25">
      <c r="A384" t="s">
        <v>6</v>
      </c>
      <c r="B384" s="1">
        <v>45971</v>
      </c>
      <c r="C384" t="s">
        <v>361</v>
      </c>
      <c r="D384">
        <v>-573.65</v>
      </c>
      <c r="E384" t="s">
        <v>10</v>
      </c>
      <c r="F384">
        <v>4140.32</v>
      </c>
      <c r="G384" t="str" cm="1">
        <f t="array" ref="G384">IF(AND(ISNUMBER(SEARCH("UBER",C384)),ISNUMBER(SEARCH("EATS",C384))),"Uber Eats",IF(LEFT(C384,6)="CHECK ","Checks Paid",IF(OR(E384="BILLPAY",ISNUMBER(SEARCH("FRANCHISE TAX",C384)),ISNUMBER(SEARCH("NEXTLINK",C384))),"Personal - House Bills",IF(AND(ISNUMBER(SEARCH("PAYMENT FROM",C384)),ISNUMBER(SEARCH("JOE SAUNDERS",C384))),"Zelle from Joe Saunders",IF(AND(ISNUMBER(SEARCH("PAYMENT TO",C384)),ISNUMBER(SEARCH("JOE SAUNDERS",C384))),"Zelle to Joe Saunders",IF(OR(ISNUMBER(SEARCH("NEW ORLEANS",C384)),ISNUMBER(SEARCH("KENNER",C384)),ISNUMBER(SEARCH("HENRY HOWARD",C384)),ISNUMBER(SEARCH("MISS CLAUDIA",C384))),"Personal Travel - New Orleans",IF(AND(YEAR(B384)=2025,MONTH(B384)=4,OR(ISNUMBER(SEARCH("EXCHANGE RATE",C384)),ISNUMBER(SEARCH("EXCHG RTE",C384)))),"Personal Travel - Italy",IFERROR(INDEX('Category Rules'!$B$2:$B$358,MATCH(TRUE,ISNUMBER(SEARCH('Category Rules'!$A$2:$A$358,C384)),0)),""))))))))</f>
        <v>Personal - Food</v>
      </c>
    </row>
    <row r="385" spans="1:7" x14ac:dyDescent="0.25">
      <c r="A385" t="s">
        <v>6</v>
      </c>
      <c r="B385" s="1">
        <v>45971</v>
      </c>
      <c r="C385" t="s">
        <v>362</v>
      </c>
      <c r="D385">
        <v>-34.659999999999997</v>
      </c>
      <c r="E385" t="s">
        <v>10</v>
      </c>
      <c r="F385">
        <v>4713.97</v>
      </c>
      <c r="G385" t="str" cm="1">
        <f t="array" ref="G385">IF(AND(ISNUMBER(SEARCH("UBER",C385)),ISNUMBER(SEARCH("EATS",C385))),"Uber Eats",IF(LEFT(C385,6)="CHECK ","Checks Paid",IF(OR(E385="BILLPAY",ISNUMBER(SEARCH("FRANCHISE TAX",C385)),ISNUMBER(SEARCH("NEXTLINK",C385))),"Personal - House Bills",IF(AND(ISNUMBER(SEARCH("PAYMENT FROM",C385)),ISNUMBER(SEARCH("JOE SAUNDERS",C385))),"Zelle from Joe Saunders",IF(AND(ISNUMBER(SEARCH("PAYMENT TO",C385)),ISNUMBER(SEARCH("JOE SAUNDERS",C385))),"Zelle to Joe Saunders",IF(OR(ISNUMBER(SEARCH("NEW ORLEANS",C385)),ISNUMBER(SEARCH("KENNER",C385)),ISNUMBER(SEARCH("HENRY HOWARD",C385)),ISNUMBER(SEARCH("MISS CLAUDIA",C385))),"Personal Travel - New Orleans",IF(AND(YEAR(B385)=2025,MONTH(B385)=4,OR(ISNUMBER(SEARCH("EXCHANGE RATE",C385)),ISNUMBER(SEARCH("EXCHG RTE",C385)))),"Personal Travel - Italy",IFERROR(INDEX('Category Rules'!$B$2:$B$358,MATCH(TRUE,ISNUMBER(SEARCH('Category Rules'!$A$2:$A$358,C385)),0)),""))))))))</f>
        <v>Personal - Car</v>
      </c>
    </row>
    <row r="386" spans="1:7" x14ac:dyDescent="0.25">
      <c r="A386" t="s">
        <v>6</v>
      </c>
      <c r="B386" s="1">
        <v>45971</v>
      </c>
      <c r="C386" t="s">
        <v>363</v>
      </c>
      <c r="D386">
        <v>-27.99</v>
      </c>
      <c r="E386" t="s">
        <v>10</v>
      </c>
      <c r="F386">
        <v>4748.63</v>
      </c>
      <c r="G386" t="str" cm="1">
        <f t="array" ref="G386">IF(AND(ISNUMBER(SEARCH("UBER",C386)),ISNUMBER(SEARCH("EATS",C386))),"Uber Eats",IF(LEFT(C386,6)="CHECK ","Checks Paid",IF(OR(E386="BILLPAY",ISNUMBER(SEARCH("FRANCHISE TAX",C386)),ISNUMBER(SEARCH("NEXTLINK",C386))),"Personal - House Bills",IF(AND(ISNUMBER(SEARCH("PAYMENT FROM",C386)),ISNUMBER(SEARCH("JOE SAUNDERS",C386))),"Zelle from Joe Saunders",IF(AND(ISNUMBER(SEARCH("PAYMENT TO",C386)),ISNUMBER(SEARCH("JOE SAUNDERS",C386))),"Zelle to Joe Saunders",IF(OR(ISNUMBER(SEARCH("NEW ORLEANS",C386)),ISNUMBER(SEARCH("KENNER",C386)),ISNUMBER(SEARCH("HENRY HOWARD",C386)),ISNUMBER(SEARCH("MISS CLAUDIA",C386))),"Personal Travel - New Orleans",IF(AND(YEAR(B386)=2025,MONTH(B386)=4,OR(ISNUMBER(SEARCH("EXCHANGE RATE",C386)),ISNUMBER(SEARCH("EXCHG RTE",C386)))),"Personal Travel - Italy",IFERROR(INDEX('Category Rules'!$B$2:$B$358,MATCH(TRUE,ISNUMBER(SEARCH('Category Rules'!$A$2:$A$358,C386)),0)),""))))))))</f>
        <v>Amazon</v>
      </c>
    </row>
    <row r="387" spans="1:7" x14ac:dyDescent="0.25">
      <c r="A387" t="s">
        <v>6</v>
      </c>
      <c r="B387" s="1">
        <v>45971</v>
      </c>
      <c r="C387" t="s">
        <v>364</v>
      </c>
      <c r="D387">
        <v>-105.78</v>
      </c>
      <c r="E387" t="s">
        <v>10</v>
      </c>
      <c r="F387">
        <v>4776.62</v>
      </c>
      <c r="G387" t="str" cm="1">
        <f t="array" ref="G387">IF(AND(ISNUMBER(SEARCH("UBER",C387)),ISNUMBER(SEARCH("EATS",C387))),"Uber Eats",IF(LEFT(C387,6)="CHECK ","Checks Paid",IF(OR(E387="BILLPAY",ISNUMBER(SEARCH("FRANCHISE TAX",C387)),ISNUMBER(SEARCH("NEXTLINK",C387))),"Personal - House Bills",IF(AND(ISNUMBER(SEARCH("PAYMENT FROM",C387)),ISNUMBER(SEARCH("JOE SAUNDERS",C387))),"Zelle from Joe Saunders",IF(AND(ISNUMBER(SEARCH("PAYMENT TO",C387)),ISNUMBER(SEARCH("JOE SAUNDERS",C387))),"Zelle to Joe Saunders",IF(OR(ISNUMBER(SEARCH("NEW ORLEANS",C387)),ISNUMBER(SEARCH("KENNER",C387)),ISNUMBER(SEARCH("HENRY HOWARD",C387)),ISNUMBER(SEARCH("MISS CLAUDIA",C387))),"Personal Travel - New Orleans",IF(AND(YEAR(B387)=2025,MONTH(B387)=4,OR(ISNUMBER(SEARCH("EXCHANGE RATE",C387)),ISNUMBER(SEARCH("EXCHG RTE",C387)))),"Personal Travel - Italy",IFERROR(INDEX('Category Rules'!$B$2:$B$358,MATCH(TRUE,ISNUMBER(SEARCH('Category Rules'!$A$2:$A$358,C387)),0)),""))))))))</f>
        <v>Amazon</v>
      </c>
    </row>
    <row r="388" spans="1:7" x14ac:dyDescent="0.25">
      <c r="A388" t="s">
        <v>6</v>
      </c>
      <c r="B388" s="1">
        <v>45971</v>
      </c>
      <c r="C388" t="s">
        <v>365</v>
      </c>
      <c r="D388">
        <v>-603.58000000000004</v>
      </c>
      <c r="E388" t="s">
        <v>10</v>
      </c>
      <c r="F388">
        <v>4882.3999999999996</v>
      </c>
      <c r="G388" t="str" cm="1">
        <f t="array" ref="G388">IF(AND(ISNUMBER(SEARCH("UBER",C388)),ISNUMBER(SEARCH("EATS",C388))),"Uber Eats",IF(LEFT(C388,6)="CHECK ","Checks Paid",IF(OR(E388="BILLPAY",ISNUMBER(SEARCH("FRANCHISE TAX",C388)),ISNUMBER(SEARCH("NEXTLINK",C388))),"Personal - House Bills",IF(AND(ISNUMBER(SEARCH("PAYMENT FROM",C388)),ISNUMBER(SEARCH("JOE SAUNDERS",C388))),"Zelle from Joe Saunders",IF(AND(ISNUMBER(SEARCH("PAYMENT TO",C388)),ISNUMBER(SEARCH("JOE SAUNDERS",C388))),"Zelle to Joe Saunders",IF(OR(ISNUMBER(SEARCH("NEW ORLEANS",C388)),ISNUMBER(SEARCH("KENNER",C388)),ISNUMBER(SEARCH("HENRY HOWARD",C388)),ISNUMBER(SEARCH("MISS CLAUDIA",C388))),"Personal Travel - New Orleans",IF(AND(YEAR(B388)=2025,MONTH(B388)=4,OR(ISNUMBER(SEARCH("EXCHANGE RATE",C388)),ISNUMBER(SEARCH("EXCHG RTE",C388)))),"Personal Travel - Italy",IFERROR(INDEX('Category Rules'!$B$2:$B$358,MATCH(TRUE,ISNUMBER(SEARCH('Category Rules'!$A$2:$A$358,C388)),0)),""))))))))</f>
        <v>Personal - Shopping</v>
      </c>
    </row>
    <row r="389" spans="1:7" x14ac:dyDescent="0.25">
      <c r="A389" t="s">
        <v>6</v>
      </c>
      <c r="B389" s="1">
        <v>45971</v>
      </c>
      <c r="C389" t="s">
        <v>366</v>
      </c>
      <c r="D389">
        <v>-39.07</v>
      </c>
      <c r="E389" t="s">
        <v>10</v>
      </c>
      <c r="F389">
        <v>5485.98</v>
      </c>
      <c r="G389" t="str" cm="1">
        <f t="array" ref="G389">IF(AND(ISNUMBER(SEARCH("UBER",C389)),ISNUMBER(SEARCH("EATS",C389))),"Uber Eats",IF(LEFT(C389,6)="CHECK ","Checks Paid",IF(OR(E389="BILLPAY",ISNUMBER(SEARCH("FRANCHISE TAX",C389)),ISNUMBER(SEARCH("NEXTLINK",C389))),"Personal - House Bills",IF(AND(ISNUMBER(SEARCH("PAYMENT FROM",C389)),ISNUMBER(SEARCH("JOE SAUNDERS",C389))),"Zelle from Joe Saunders",IF(AND(ISNUMBER(SEARCH("PAYMENT TO",C389)),ISNUMBER(SEARCH("JOE SAUNDERS",C389))),"Zelle to Joe Saunders",IF(OR(ISNUMBER(SEARCH("NEW ORLEANS",C389)),ISNUMBER(SEARCH("KENNER",C389)),ISNUMBER(SEARCH("HENRY HOWARD",C389)),ISNUMBER(SEARCH("MISS CLAUDIA",C389))),"Personal Travel - New Orleans",IF(AND(YEAR(B389)=2025,MONTH(B389)=4,OR(ISNUMBER(SEARCH("EXCHANGE RATE",C389)),ISNUMBER(SEARCH("EXCHG RTE",C389)))),"Personal Travel - Italy",IFERROR(INDEX('Category Rules'!$B$2:$B$358,MATCH(TRUE,ISNUMBER(SEARCH('Category Rules'!$A$2:$A$358,C389)),0)),""))))))))</f>
        <v>Amazon</v>
      </c>
    </row>
    <row r="390" spans="1:7" x14ac:dyDescent="0.25">
      <c r="A390" t="s">
        <v>6</v>
      </c>
      <c r="B390" s="1">
        <v>45971</v>
      </c>
      <c r="C390" t="s">
        <v>367</v>
      </c>
      <c r="D390">
        <v>-10</v>
      </c>
      <c r="E390" t="s">
        <v>10</v>
      </c>
      <c r="F390">
        <v>5525.05</v>
      </c>
      <c r="G390" t="str" cm="1">
        <f t="array" ref="G390">IF(AND(ISNUMBER(SEARCH("UBER",C390)),ISNUMBER(SEARCH("EATS",C390))),"Uber Eats",IF(LEFT(C390,6)="CHECK ","Checks Paid",IF(OR(E390="BILLPAY",ISNUMBER(SEARCH("FRANCHISE TAX",C390)),ISNUMBER(SEARCH("NEXTLINK",C390))),"Personal - House Bills",IF(AND(ISNUMBER(SEARCH("PAYMENT FROM",C390)),ISNUMBER(SEARCH("JOE SAUNDERS",C390))),"Zelle from Joe Saunders",IF(AND(ISNUMBER(SEARCH("PAYMENT TO",C390)),ISNUMBER(SEARCH("JOE SAUNDERS",C390))),"Zelle to Joe Saunders",IF(OR(ISNUMBER(SEARCH("NEW ORLEANS",C390)),ISNUMBER(SEARCH("KENNER",C390)),ISNUMBER(SEARCH("HENRY HOWARD",C390)),ISNUMBER(SEARCH("MISS CLAUDIA",C390))),"Personal Travel - New Orleans",IF(AND(YEAR(B390)=2025,MONTH(B390)=4,OR(ISNUMBER(SEARCH("EXCHANGE RATE",C390)),ISNUMBER(SEARCH("EXCHG RTE",C390)))),"Personal Travel - Italy",IFERROR(INDEX('Category Rules'!$B$2:$B$358,MATCH(TRUE,ISNUMBER(SEARCH('Category Rules'!$A$2:$A$358,C390)),0)),""))))))))</f>
        <v>Amazon</v>
      </c>
    </row>
    <row r="391" spans="1:7" x14ac:dyDescent="0.25">
      <c r="A391" t="s">
        <v>6</v>
      </c>
      <c r="B391" s="1">
        <v>45971</v>
      </c>
      <c r="C391" t="s">
        <v>368</v>
      </c>
      <c r="D391">
        <v>-13.99</v>
      </c>
      <c r="E391" t="s">
        <v>10</v>
      </c>
      <c r="F391">
        <v>5535.05</v>
      </c>
      <c r="G391" t="str" cm="1">
        <f t="array" ref="G391">IF(AND(ISNUMBER(SEARCH("UBER",C391)),ISNUMBER(SEARCH("EATS",C391))),"Uber Eats",IF(LEFT(C391,6)="CHECK ","Checks Paid",IF(OR(E391="BILLPAY",ISNUMBER(SEARCH("FRANCHISE TAX",C391)),ISNUMBER(SEARCH("NEXTLINK",C391))),"Personal - House Bills",IF(AND(ISNUMBER(SEARCH("PAYMENT FROM",C391)),ISNUMBER(SEARCH("JOE SAUNDERS",C391))),"Zelle from Joe Saunders",IF(AND(ISNUMBER(SEARCH("PAYMENT TO",C391)),ISNUMBER(SEARCH("JOE SAUNDERS",C391))),"Zelle to Joe Saunders",IF(OR(ISNUMBER(SEARCH("NEW ORLEANS",C391)),ISNUMBER(SEARCH("KENNER",C391)),ISNUMBER(SEARCH("HENRY HOWARD",C391)),ISNUMBER(SEARCH("MISS CLAUDIA",C391))),"Personal Travel - New Orleans",IF(AND(YEAR(B391)=2025,MONTH(B391)=4,OR(ISNUMBER(SEARCH("EXCHANGE RATE",C391)),ISNUMBER(SEARCH("EXCHG RTE",C391)))),"Personal Travel - Italy",IFERROR(INDEX('Category Rules'!$B$2:$B$358,MATCH(TRUE,ISNUMBER(SEARCH('Category Rules'!$A$2:$A$358,C391)),0)),""))))))))</f>
        <v>Amazon</v>
      </c>
    </row>
    <row r="392" spans="1:7" x14ac:dyDescent="0.25">
      <c r="A392" t="s">
        <v>44</v>
      </c>
      <c r="B392" s="1">
        <v>45971</v>
      </c>
      <c r="C392" t="s">
        <v>369</v>
      </c>
      <c r="D392">
        <v>2000</v>
      </c>
      <c r="E392" t="s">
        <v>73</v>
      </c>
      <c r="F392">
        <v>5549.04</v>
      </c>
      <c r="G392" t="str" cm="1">
        <f t="array" ref="G392">IF(AND(ISNUMBER(SEARCH("UBER",C392)),ISNUMBER(SEARCH("EATS",C392))),"Uber Eats",IF(LEFT(C392,6)="CHECK ","Checks Paid",IF(OR(E392="BILLPAY",ISNUMBER(SEARCH("FRANCHISE TAX",C392)),ISNUMBER(SEARCH("NEXTLINK",C392))),"Personal - House Bills",IF(AND(ISNUMBER(SEARCH("PAYMENT FROM",C392)),ISNUMBER(SEARCH("JOE SAUNDERS",C392))),"Zelle from Joe Saunders",IF(AND(ISNUMBER(SEARCH("PAYMENT TO",C392)),ISNUMBER(SEARCH("JOE SAUNDERS",C392))),"Zelle to Joe Saunders",IF(OR(ISNUMBER(SEARCH("NEW ORLEANS",C392)),ISNUMBER(SEARCH("KENNER",C392)),ISNUMBER(SEARCH("HENRY HOWARD",C392)),ISNUMBER(SEARCH("MISS CLAUDIA",C392))),"Personal Travel - New Orleans",IF(AND(YEAR(B392)=2025,MONTH(B392)=4,OR(ISNUMBER(SEARCH("EXCHANGE RATE",C392)),ISNUMBER(SEARCH("EXCHG RTE",C392)))),"Personal Travel - Italy",IFERROR(INDEX('Category Rules'!$B$2:$B$358,MATCH(TRUE,ISNUMBER(SEARCH('Category Rules'!$A$2:$A$358,C392)),0)),""))))))))</f>
        <v>Transfer from DWG Capital Group</v>
      </c>
    </row>
    <row r="393" spans="1:7" x14ac:dyDescent="0.25">
      <c r="A393" t="s">
        <v>6</v>
      </c>
      <c r="B393" s="1">
        <v>45968</v>
      </c>
      <c r="C393" t="s">
        <v>370</v>
      </c>
      <c r="D393">
        <v>-207.74</v>
      </c>
      <c r="E393" t="s">
        <v>10</v>
      </c>
      <c r="F393">
        <v>3549.04</v>
      </c>
      <c r="G393" t="str" cm="1">
        <f t="array" ref="G393">IF(AND(ISNUMBER(SEARCH("UBER",C393)),ISNUMBER(SEARCH("EATS",C393))),"Uber Eats",IF(LEFT(C393,6)="CHECK ","Checks Paid",IF(OR(E393="BILLPAY",ISNUMBER(SEARCH("FRANCHISE TAX",C393)),ISNUMBER(SEARCH("NEXTLINK",C393))),"Personal - House Bills",IF(AND(ISNUMBER(SEARCH("PAYMENT FROM",C393)),ISNUMBER(SEARCH("JOE SAUNDERS",C393))),"Zelle from Joe Saunders",IF(AND(ISNUMBER(SEARCH("PAYMENT TO",C393)),ISNUMBER(SEARCH("JOE SAUNDERS",C393))),"Zelle to Joe Saunders",IF(OR(ISNUMBER(SEARCH("NEW ORLEANS",C393)),ISNUMBER(SEARCH("KENNER",C393)),ISNUMBER(SEARCH("HENRY HOWARD",C393)),ISNUMBER(SEARCH("MISS CLAUDIA",C393))),"Personal Travel - New Orleans",IF(AND(YEAR(B393)=2025,MONTH(B393)=4,OR(ISNUMBER(SEARCH("EXCHANGE RATE",C393)),ISNUMBER(SEARCH("EXCHG RTE",C393)))),"Personal Travel - Italy",IFERROR(INDEX('Category Rules'!$B$2:$B$358,MATCH(TRUE,ISNUMBER(SEARCH('Category Rules'!$A$2:$A$358,C393)),0)),""))))))))</f>
        <v>Personal - Shopping</v>
      </c>
    </row>
    <row r="394" spans="1:7" x14ac:dyDescent="0.25">
      <c r="A394" t="s">
        <v>6</v>
      </c>
      <c r="B394" s="1">
        <v>45968</v>
      </c>
      <c r="C394" t="s">
        <v>371</v>
      </c>
      <c r="D394">
        <v>-59.36</v>
      </c>
      <c r="E394" t="s">
        <v>10</v>
      </c>
      <c r="F394">
        <v>3756.78</v>
      </c>
      <c r="G394" t="str" cm="1">
        <f t="array" ref="G394">IF(AND(ISNUMBER(SEARCH("UBER",C394)),ISNUMBER(SEARCH("EATS",C394))),"Uber Eats",IF(LEFT(C394,6)="CHECK ","Checks Paid",IF(OR(E394="BILLPAY",ISNUMBER(SEARCH("FRANCHISE TAX",C394)),ISNUMBER(SEARCH("NEXTLINK",C394))),"Personal - House Bills",IF(AND(ISNUMBER(SEARCH("PAYMENT FROM",C394)),ISNUMBER(SEARCH("JOE SAUNDERS",C394))),"Zelle from Joe Saunders",IF(AND(ISNUMBER(SEARCH("PAYMENT TO",C394)),ISNUMBER(SEARCH("JOE SAUNDERS",C394))),"Zelle to Joe Saunders",IF(OR(ISNUMBER(SEARCH("NEW ORLEANS",C394)),ISNUMBER(SEARCH("KENNER",C394)),ISNUMBER(SEARCH("HENRY HOWARD",C394)),ISNUMBER(SEARCH("MISS CLAUDIA",C394))),"Personal Travel - New Orleans",IF(AND(YEAR(B394)=2025,MONTH(B394)=4,OR(ISNUMBER(SEARCH("EXCHANGE RATE",C394)),ISNUMBER(SEARCH("EXCHG RTE",C394)))),"Personal Travel - Italy",IFERROR(INDEX('Category Rules'!$B$2:$B$358,MATCH(TRUE,ISNUMBER(SEARCH('Category Rules'!$A$2:$A$358,C394)),0)),""))))))))</f>
        <v>Uber Eats</v>
      </c>
    </row>
    <row r="395" spans="1:7" x14ac:dyDescent="0.25">
      <c r="A395" t="s">
        <v>6</v>
      </c>
      <c r="B395" s="1">
        <v>45968</v>
      </c>
      <c r="C395" t="s">
        <v>372</v>
      </c>
      <c r="D395">
        <v>-30</v>
      </c>
      <c r="E395" t="s">
        <v>10</v>
      </c>
      <c r="F395">
        <v>3816.14</v>
      </c>
      <c r="G395" t="str" cm="1">
        <f t="array" ref="G395">IF(AND(ISNUMBER(SEARCH("UBER",C395)),ISNUMBER(SEARCH("EATS",C395))),"Uber Eats",IF(LEFT(C395,6)="CHECK ","Checks Paid",IF(OR(E395="BILLPAY",ISNUMBER(SEARCH("FRANCHISE TAX",C395)),ISNUMBER(SEARCH("NEXTLINK",C395))),"Personal - House Bills",IF(AND(ISNUMBER(SEARCH("PAYMENT FROM",C395)),ISNUMBER(SEARCH("JOE SAUNDERS",C395))),"Zelle from Joe Saunders",IF(AND(ISNUMBER(SEARCH("PAYMENT TO",C395)),ISNUMBER(SEARCH("JOE SAUNDERS",C395))),"Zelle to Joe Saunders",IF(OR(ISNUMBER(SEARCH("NEW ORLEANS",C395)),ISNUMBER(SEARCH("KENNER",C395)),ISNUMBER(SEARCH("HENRY HOWARD",C395)),ISNUMBER(SEARCH("MISS CLAUDIA",C395))),"Personal Travel - New Orleans",IF(AND(YEAR(B395)=2025,MONTH(B395)=4,OR(ISNUMBER(SEARCH("EXCHANGE RATE",C395)),ISNUMBER(SEARCH("EXCHG RTE",C395)))),"Personal Travel - Italy",IFERROR(INDEX('Category Rules'!$B$2:$B$358,MATCH(TRUE,ISNUMBER(SEARCH('Category Rules'!$A$2:$A$358,C395)),0)),""))))))))</f>
        <v>Amazon</v>
      </c>
    </row>
    <row r="396" spans="1:7" x14ac:dyDescent="0.25">
      <c r="A396" t="s">
        <v>6</v>
      </c>
      <c r="B396" s="1">
        <v>45968</v>
      </c>
      <c r="C396" t="s">
        <v>373</v>
      </c>
      <c r="D396">
        <v>-7.89</v>
      </c>
      <c r="E396" t="s">
        <v>10</v>
      </c>
      <c r="F396">
        <v>3846.14</v>
      </c>
      <c r="G396" t="str" cm="1">
        <f t="array" ref="G396">IF(AND(ISNUMBER(SEARCH("UBER",C396)),ISNUMBER(SEARCH("EATS",C396))),"Uber Eats",IF(LEFT(C396,6)="CHECK ","Checks Paid",IF(OR(E396="BILLPAY",ISNUMBER(SEARCH("FRANCHISE TAX",C396)),ISNUMBER(SEARCH("NEXTLINK",C396))),"Personal - House Bills",IF(AND(ISNUMBER(SEARCH("PAYMENT FROM",C396)),ISNUMBER(SEARCH("JOE SAUNDERS",C396))),"Zelle from Joe Saunders",IF(AND(ISNUMBER(SEARCH("PAYMENT TO",C396)),ISNUMBER(SEARCH("JOE SAUNDERS",C396))),"Zelle to Joe Saunders",IF(OR(ISNUMBER(SEARCH("NEW ORLEANS",C396)),ISNUMBER(SEARCH("KENNER",C396)),ISNUMBER(SEARCH("HENRY HOWARD",C396)),ISNUMBER(SEARCH("MISS CLAUDIA",C396))),"Personal Travel - New Orleans",IF(AND(YEAR(B396)=2025,MONTH(B396)=4,OR(ISNUMBER(SEARCH("EXCHANGE RATE",C396)),ISNUMBER(SEARCH("EXCHG RTE",C396)))),"Personal Travel - Italy",IFERROR(INDEX('Category Rules'!$B$2:$B$358,MATCH(TRUE,ISNUMBER(SEARCH('Category Rules'!$A$2:$A$358,C396)),0)),""))))))))</f>
        <v>Amazon</v>
      </c>
    </row>
    <row r="397" spans="1:7" x14ac:dyDescent="0.25">
      <c r="A397" t="s">
        <v>6</v>
      </c>
      <c r="B397" s="1">
        <v>45968</v>
      </c>
      <c r="C397" t="s">
        <v>374</v>
      </c>
      <c r="D397">
        <v>-190.52</v>
      </c>
      <c r="E397" t="s">
        <v>10</v>
      </c>
      <c r="F397">
        <v>3854.03</v>
      </c>
      <c r="G397" t="str" cm="1">
        <f t="array" ref="G397">IF(AND(ISNUMBER(SEARCH("UBER",C397)),ISNUMBER(SEARCH("EATS",C397))),"Uber Eats",IF(LEFT(C397,6)="CHECK ","Checks Paid",IF(OR(E397="BILLPAY",ISNUMBER(SEARCH("FRANCHISE TAX",C397)),ISNUMBER(SEARCH("NEXTLINK",C397))),"Personal - House Bills",IF(AND(ISNUMBER(SEARCH("PAYMENT FROM",C397)),ISNUMBER(SEARCH("JOE SAUNDERS",C397))),"Zelle from Joe Saunders",IF(AND(ISNUMBER(SEARCH("PAYMENT TO",C397)),ISNUMBER(SEARCH("JOE SAUNDERS",C397))),"Zelle to Joe Saunders",IF(OR(ISNUMBER(SEARCH("NEW ORLEANS",C397)),ISNUMBER(SEARCH("KENNER",C397)),ISNUMBER(SEARCH("HENRY HOWARD",C397)),ISNUMBER(SEARCH("MISS CLAUDIA",C397))),"Personal Travel - New Orleans",IF(AND(YEAR(B397)=2025,MONTH(B397)=4,OR(ISNUMBER(SEARCH("EXCHANGE RATE",C397)),ISNUMBER(SEARCH("EXCHG RTE",C397)))),"Personal Travel - Italy",IFERROR(INDEX('Category Rules'!$B$2:$B$358,MATCH(TRUE,ISNUMBER(SEARCH('Category Rules'!$A$2:$A$358,C397)),0)),""))))))))</f>
        <v>Amazon</v>
      </c>
    </row>
    <row r="398" spans="1:7" x14ac:dyDescent="0.25">
      <c r="A398" t="s">
        <v>6</v>
      </c>
      <c r="B398" s="1">
        <v>45968</v>
      </c>
      <c r="C398" t="s">
        <v>375</v>
      </c>
      <c r="D398">
        <v>-11.42</v>
      </c>
      <c r="E398" t="s">
        <v>10</v>
      </c>
      <c r="F398">
        <v>4044.55</v>
      </c>
      <c r="G398" t="str" cm="1">
        <f t="array" ref="G398">IF(AND(ISNUMBER(SEARCH("UBER",C398)),ISNUMBER(SEARCH("EATS",C398))),"Uber Eats",IF(LEFT(C398,6)="CHECK ","Checks Paid",IF(OR(E398="BILLPAY",ISNUMBER(SEARCH("FRANCHISE TAX",C398)),ISNUMBER(SEARCH("NEXTLINK",C398))),"Personal - House Bills",IF(AND(ISNUMBER(SEARCH("PAYMENT FROM",C398)),ISNUMBER(SEARCH("JOE SAUNDERS",C398))),"Zelle from Joe Saunders",IF(AND(ISNUMBER(SEARCH("PAYMENT TO",C398)),ISNUMBER(SEARCH("JOE SAUNDERS",C398))),"Zelle to Joe Saunders",IF(OR(ISNUMBER(SEARCH("NEW ORLEANS",C398)),ISNUMBER(SEARCH("KENNER",C398)),ISNUMBER(SEARCH("HENRY HOWARD",C398)),ISNUMBER(SEARCH("MISS CLAUDIA",C398))),"Personal Travel - New Orleans",IF(AND(YEAR(B398)=2025,MONTH(B398)=4,OR(ISNUMBER(SEARCH("EXCHANGE RATE",C398)),ISNUMBER(SEARCH("EXCHG RTE",C398)))),"Personal Travel - Italy",IFERROR(INDEX('Category Rules'!$B$2:$B$358,MATCH(TRUE,ISNUMBER(SEARCH('Category Rules'!$A$2:$A$358,C398)),0)),""))))))))</f>
        <v>Personal - Food</v>
      </c>
    </row>
    <row r="399" spans="1:7" x14ac:dyDescent="0.25">
      <c r="A399" t="s">
        <v>6</v>
      </c>
      <c r="B399" s="1">
        <v>45968</v>
      </c>
      <c r="C399" t="s">
        <v>376</v>
      </c>
      <c r="D399">
        <v>-9.85</v>
      </c>
      <c r="E399" t="s">
        <v>10</v>
      </c>
      <c r="F399">
        <v>4055.97</v>
      </c>
      <c r="G399" t="str" cm="1">
        <f t="array" ref="G399">IF(AND(ISNUMBER(SEARCH("UBER",C399)),ISNUMBER(SEARCH("EATS",C399))),"Uber Eats",IF(LEFT(C399,6)="CHECK ","Checks Paid",IF(OR(E399="BILLPAY",ISNUMBER(SEARCH("FRANCHISE TAX",C399)),ISNUMBER(SEARCH("NEXTLINK",C399))),"Personal - House Bills",IF(AND(ISNUMBER(SEARCH("PAYMENT FROM",C399)),ISNUMBER(SEARCH("JOE SAUNDERS",C399))),"Zelle from Joe Saunders",IF(AND(ISNUMBER(SEARCH("PAYMENT TO",C399)),ISNUMBER(SEARCH("JOE SAUNDERS",C399))),"Zelle to Joe Saunders",IF(OR(ISNUMBER(SEARCH("NEW ORLEANS",C399)),ISNUMBER(SEARCH("KENNER",C399)),ISNUMBER(SEARCH("HENRY HOWARD",C399)),ISNUMBER(SEARCH("MISS CLAUDIA",C399))),"Personal Travel - New Orleans",IF(AND(YEAR(B399)=2025,MONTH(B399)=4,OR(ISNUMBER(SEARCH("EXCHANGE RATE",C399)),ISNUMBER(SEARCH("EXCHG RTE",C399)))),"Personal Travel - Italy",IFERROR(INDEX('Category Rules'!$B$2:$B$358,MATCH(TRUE,ISNUMBER(SEARCH('Category Rules'!$A$2:$A$358,C399)),0)),""))))))))</f>
        <v>Amazon</v>
      </c>
    </row>
    <row r="400" spans="1:7" x14ac:dyDescent="0.25">
      <c r="A400" t="s">
        <v>6</v>
      </c>
      <c r="B400" s="1">
        <v>45967</v>
      </c>
      <c r="C400" t="s">
        <v>377</v>
      </c>
      <c r="D400">
        <v>-13.99</v>
      </c>
      <c r="E400" t="s">
        <v>10</v>
      </c>
      <c r="F400">
        <v>4065.82</v>
      </c>
      <c r="G400" t="str" cm="1">
        <f t="array" ref="G400">IF(AND(ISNUMBER(SEARCH("UBER",C400)),ISNUMBER(SEARCH("EATS",C400))),"Uber Eats",IF(LEFT(C400,6)="CHECK ","Checks Paid",IF(OR(E400="BILLPAY",ISNUMBER(SEARCH("FRANCHISE TAX",C400)),ISNUMBER(SEARCH("NEXTLINK",C400))),"Personal - House Bills",IF(AND(ISNUMBER(SEARCH("PAYMENT FROM",C400)),ISNUMBER(SEARCH("JOE SAUNDERS",C400))),"Zelle from Joe Saunders",IF(AND(ISNUMBER(SEARCH("PAYMENT TO",C400)),ISNUMBER(SEARCH("JOE SAUNDERS",C400))),"Zelle to Joe Saunders",IF(OR(ISNUMBER(SEARCH("NEW ORLEANS",C400)),ISNUMBER(SEARCH("KENNER",C400)),ISNUMBER(SEARCH("HENRY HOWARD",C400)),ISNUMBER(SEARCH("MISS CLAUDIA",C400))),"Personal Travel - New Orleans",IF(AND(YEAR(B400)=2025,MONTH(B400)=4,OR(ISNUMBER(SEARCH("EXCHANGE RATE",C400)),ISNUMBER(SEARCH("EXCHG RTE",C400)))),"Personal Travel - Italy",IFERROR(INDEX('Category Rules'!$B$2:$B$358,MATCH(TRUE,ISNUMBER(SEARCH('Category Rules'!$A$2:$A$358,C400)),0)),""))))))))</f>
        <v>YouTube Premium</v>
      </c>
    </row>
    <row r="401" spans="1:7" x14ac:dyDescent="0.25">
      <c r="A401" t="s">
        <v>6</v>
      </c>
      <c r="B401" s="1">
        <v>45967</v>
      </c>
      <c r="C401" t="s">
        <v>378</v>
      </c>
      <c r="D401">
        <v>-9.8800000000000008</v>
      </c>
      <c r="E401" t="s">
        <v>10</v>
      </c>
      <c r="F401">
        <v>4079.81</v>
      </c>
      <c r="G401" t="str" cm="1">
        <f t="array" ref="G401">IF(AND(ISNUMBER(SEARCH("UBER",C401)),ISNUMBER(SEARCH("EATS",C401))),"Uber Eats",IF(LEFT(C401,6)="CHECK ","Checks Paid",IF(OR(E401="BILLPAY",ISNUMBER(SEARCH("FRANCHISE TAX",C401)),ISNUMBER(SEARCH("NEXTLINK",C401))),"Personal - House Bills",IF(AND(ISNUMBER(SEARCH("PAYMENT FROM",C401)),ISNUMBER(SEARCH("JOE SAUNDERS",C401))),"Zelle from Joe Saunders",IF(AND(ISNUMBER(SEARCH("PAYMENT TO",C401)),ISNUMBER(SEARCH("JOE SAUNDERS",C401))),"Zelle to Joe Saunders",IF(OR(ISNUMBER(SEARCH("NEW ORLEANS",C401)),ISNUMBER(SEARCH("KENNER",C401)),ISNUMBER(SEARCH("HENRY HOWARD",C401)),ISNUMBER(SEARCH("MISS CLAUDIA",C401))),"Personal Travel - New Orleans",IF(AND(YEAR(B401)=2025,MONTH(B401)=4,OR(ISNUMBER(SEARCH("EXCHANGE RATE",C401)),ISNUMBER(SEARCH("EXCHG RTE",C401)))),"Personal Travel - Italy",IFERROR(INDEX('Category Rules'!$B$2:$B$358,MATCH(TRUE,ISNUMBER(SEARCH('Category Rules'!$A$2:$A$358,C401)),0)),""))))))))</f>
        <v>Amazon</v>
      </c>
    </row>
    <row r="402" spans="1:7" x14ac:dyDescent="0.25">
      <c r="A402" t="s">
        <v>6</v>
      </c>
      <c r="B402" s="1">
        <v>45967</v>
      </c>
      <c r="C402" t="s">
        <v>379</v>
      </c>
      <c r="D402">
        <v>-29.95</v>
      </c>
      <c r="E402" t="s">
        <v>10</v>
      </c>
      <c r="F402">
        <v>4089.69</v>
      </c>
      <c r="G402" t="str" cm="1">
        <f t="array" ref="G402">IF(AND(ISNUMBER(SEARCH("UBER",C402)),ISNUMBER(SEARCH("EATS",C402))),"Uber Eats",IF(LEFT(C402,6)="CHECK ","Checks Paid",IF(OR(E402="BILLPAY",ISNUMBER(SEARCH("FRANCHISE TAX",C402)),ISNUMBER(SEARCH("NEXTLINK",C402))),"Personal - House Bills",IF(AND(ISNUMBER(SEARCH("PAYMENT FROM",C402)),ISNUMBER(SEARCH("JOE SAUNDERS",C402))),"Zelle from Joe Saunders",IF(AND(ISNUMBER(SEARCH("PAYMENT TO",C402)),ISNUMBER(SEARCH("JOE SAUNDERS",C402))),"Zelle to Joe Saunders",IF(OR(ISNUMBER(SEARCH("NEW ORLEANS",C402)),ISNUMBER(SEARCH("KENNER",C402)),ISNUMBER(SEARCH("HENRY HOWARD",C402)),ISNUMBER(SEARCH("MISS CLAUDIA",C402))),"Personal Travel - New Orleans",IF(AND(YEAR(B402)=2025,MONTH(B402)=4,OR(ISNUMBER(SEARCH("EXCHANGE RATE",C402)),ISNUMBER(SEARCH("EXCHG RTE",C402)))),"Personal Travel - Italy",IFERROR(INDEX('Category Rules'!$B$2:$B$358,MATCH(TRUE,ISNUMBER(SEARCH('Category Rules'!$A$2:$A$358,C402)),0)),""))))))))</f>
        <v>Personal - Subscription</v>
      </c>
    </row>
    <row r="403" spans="1:7" x14ac:dyDescent="0.25">
      <c r="A403" t="s">
        <v>6</v>
      </c>
      <c r="B403" s="1">
        <v>45967</v>
      </c>
      <c r="C403" t="s">
        <v>380</v>
      </c>
      <c r="D403">
        <v>-22</v>
      </c>
      <c r="E403" t="s">
        <v>10</v>
      </c>
      <c r="F403">
        <v>4119.6400000000003</v>
      </c>
      <c r="G403" t="str" cm="1">
        <f t="array" ref="G403">IF(AND(ISNUMBER(SEARCH("UBER",C403)),ISNUMBER(SEARCH("EATS",C403))),"Uber Eats",IF(LEFT(C403,6)="CHECK ","Checks Paid",IF(OR(E403="BILLPAY",ISNUMBER(SEARCH("FRANCHISE TAX",C403)),ISNUMBER(SEARCH("NEXTLINK",C403))),"Personal - House Bills",IF(AND(ISNUMBER(SEARCH("PAYMENT FROM",C403)),ISNUMBER(SEARCH("JOE SAUNDERS",C403))),"Zelle from Joe Saunders",IF(AND(ISNUMBER(SEARCH("PAYMENT TO",C403)),ISNUMBER(SEARCH("JOE SAUNDERS",C403))),"Zelle to Joe Saunders",IF(OR(ISNUMBER(SEARCH("NEW ORLEANS",C403)),ISNUMBER(SEARCH("KENNER",C403)),ISNUMBER(SEARCH("HENRY HOWARD",C403)),ISNUMBER(SEARCH("MISS CLAUDIA",C403))),"Personal Travel - New Orleans",IF(AND(YEAR(B403)=2025,MONTH(B403)=4,OR(ISNUMBER(SEARCH("EXCHANGE RATE",C403)),ISNUMBER(SEARCH("EXCHG RTE",C403)))),"Personal Travel - Italy",IFERROR(INDEX('Category Rules'!$B$2:$B$358,MATCH(TRUE,ISNUMBER(SEARCH('Category Rules'!$A$2:$A$358,C403)),0)),""))))))))</f>
        <v>Personal - Subscription</v>
      </c>
    </row>
    <row r="404" spans="1:7" x14ac:dyDescent="0.25">
      <c r="A404" t="s">
        <v>6</v>
      </c>
      <c r="B404" s="1">
        <v>45967</v>
      </c>
      <c r="C404" t="s">
        <v>381</v>
      </c>
      <c r="D404">
        <v>-286.58999999999997</v>
      </c>
      <c r="E404" t="s">
        <v>10</v>
      </c>
      <c r="F404">
        <v>4141.6400000000003</v>
      </c>
      <c r="G404" t="str" cm="1">
        <f t="array" ref="G404">IF(AND(ISNUMBER(SEARCH("UBER",C404)),ISNUMBER(SEARCH("EATS",C404))),"Uber Eats",IF(LEFT(C404,6)="CHECK ","Checks Paid",IF(OR(E404="BILLPAY",ISNUMBER(SEARCH("FRANCHISE TAX",C404)),ISNUMBER(SEARCH("NEXTLINK",C404))),"Personal - House Bills",IF(AND(ISNUMBER(SEARCH("PAYMENT FROM",C404)),ISNUMBER(SEARCH("JOE SAUNDERS",C404))),"Zelle from Joe Saunders",IF(AND(ISNUMBER(SEARCH("PAYMENT TO",C404)),ISNUMBER(SEARCH("JOE SAUNDERS",C404))),"Zelle to Joe Saunders",IF(OR(ISNUMBER(SEARCH("NEW ORLEANS",C404)),ISNUMBER(SEARCH("KENNER",C404)),ISNUMBER(SEARCH("HENRY HOWARD",C404)),ISNUMBER(SEARCH("MISS CLAUDIA",C404))),"Personal Travel - New Orleans",IF(AND(YEAR(B404)=2025,MONTH(B404)=4,OR(ISNUMBER(SEARCH("EXCHANGE RATE",C404)),ISNUMBER(SEARCH("EXCHG RTE",C404)))),"Personal Travel - Italy",IFERROR(INDEX('Category Rules'!$B$2:$B$358,MATCH(TRUE,ISNUMBER(SEARCH('Category Rules'!$A$2:$A$358,C404)),0)),""))))))))</f>
        <v>Amazon</v>
      </c>
    </row>
    <row r="405" spans="1:7" x14ac:dyDescent="0.25">
      <c r="A405" t="s">
        <v>6</v>
      </c>
      <c r="B405" s="1">
        <v>45967</v>
      </c>
      <c r="C405" t="s">
        <v>382</v>
      </c>
      <c r="D405">
        <v>-35</v>
      </c>
      <c r="E405" t="s">
        <v>10</v>
      </c>
      <c r="F405">
        <v>4428.2299999999996</v>
      </c>
      <c r="G405" t="str" cm="1">
        <f t="array" ref="G405">IF(AND(ISNUMBER(SEARCH("UBER",C405)),ISNUMBER(SEARCH("EATS",C405))),"Uber Eats",IF(LEFT(C405,6)="CHECK ","Checks Paid",IF(OR(E405="BILLPAY",ISNUMBER(SEARCH("FRANCHISE TAX",C405)),ISNUMBER(SEARCH("NEXTLINK",C405))),"Personal - House Bills",IF(AND(ISNUMBER(SEARCH("PAYMENT FROM",C405)),ISNUMBER(SEARCH("JOE SAUNDERS",C405))),"Zelle from Joe Saunders",IF(AND(ISNUMBER(SEARCH("PAYMENT TO",C405)),ISNUMBER(SEARCH("JOE SAUNDERS",C405))),"Zelle to Joe Saunders",IF(OR(ISNUMBER(SEARCH("NEW ORLEANS",C405)),ISNUMBER(SEARCH("KENNER",C405)),ISNUMBER(SEARCH("HENRY HOWARD",C405)),ISNUMBER(SEARCH("MISS CLAUDIA",C405))),"Personal Travel - New Orleans",IF(AND(YEAR(B405)=2025,MONTH(B405)=4,OR(ISNUMBER(SEARCH("EXCHANGE RATE",C405)),ISNUMBER(SEARCH("EXCHG RTE",C405)))),"Personal Travel - Italy",IFERROR(INDEX('Category Rules'!$B$2:$B$358,MATCH(TRUE,ISNUMBER(SEARCH('Category Rules'!$A$2:$A$358,C405)),0)),""))))))))</f>
        <v>Personal Travel</v>
      </c>
    </row>
    <row r="406" spans="1:7" x14ac:dyDescent="0.25">
      <c r="A406" t="s">
        <v>6</v>
      </c>
      <c r="B406" s="1">
        <v>45967</v>
      </c>
      <c r="C406" t="s">
        <v>382</v>
      </c>
      <c r="D406">
        <v>-35</v>
      </c>
      <c r="E406" t="s">
        <v>10</v>
      </c>
      <c r="F406">
        <v>4463.2299999999996</v>
      </c>
      <c r="G406" t="str" cm="1">
        <f t="array" ref="G406">IF(AND(ISNUMBER(SEARCH("UBER",C406)),ISNUMBER(SEARCH("EATS",C406))),"Uber Eats",IF(LEFT(C406,6)="CHECK ","Checks Paid",IF(OR(E406="BILLPAY",ISNUMBER(SEARCH("FRANCHISE TAX",C406)),ISNUMBER(SEARCH("NEXTLINK",C406))),"Personal - House Bills",IF(AND(ISNUMBER(SEARCH("PAYMENT FROM",C406)),ISNUMBER(SEARCH("JOE SAUNDERS",C406))),"Zelle from Joe Saunders",IF(AND(ISNUMBER(SEARCH("PAYMENT TO",C406)),ISNUMBER(SEARCH("JOE SAUNDERS",C406))),"Zelle to Joe Saunders",IF(OR(ISNUMBER(SEARCH("NEW ORLEANS",C406)),ISNUMBER(SEARCH("KENNER",C406)),ISNUMBER(SEARCH("HENRY HOWARD",C406)),ISNUMBER(SEARCH("MISS CLAUDIA",C406))),"Personal Travel - New Orleans",IF(AND(YEAR(B406)=2025,MONTH(B406)=4,OR(ISNUMBER(SEARCH("EXCHANGE RATE",C406)),ISNUMBER(SEARCH("EXCHG RTE",C406)))),"Personal Travel - Italy",IFERROR(INDEX('Category Rules'!$B$2:$B$358,MATCH(TRUE,ISNUMBER(SEARCH('Category Rules'!$A$2:$A$358,C406)),0)),""))))))))</f>
        <v>Personal Travel</v>
      </c>
    </row>
    <row r="407" spans="1:7" x14ac:dyDescent="0.25">
      <c r="A407" t="s">
        <v>6</v>
      </c>
      <c r="B407" s="1">
        <v>45967</v>
      </c>
      <c r="C407" t="s">
        <v>382</v>
      </c>
      <c r="D407">
        <v>-45</v>
      </c>
      <c r="E407" t="s">
        <v>10</v>
      </c>
      <c r="F407">
        <v>4498.2299999999996</v>
      </c>
      <c r="G407" t="str" cm="1">
        <f t="array" ref="G407">IF(AND(ISNUMBER(SEARCH("UBER",C407)),ISNUMBER(SEARCH("EATS",C407))),"Uber Eats",IF(LEFT(C407,6)="CHECK ","Checks Paid",IF(OR(E407="BILLPAY",ISNUMBER(SEARCH("FRANCHISE TAX",C407)),ISNUMBER(SEARCH("NEXTLINK",C407))),"Personal - House Bills",IF(AND(ISNUMBER(SEARCH("PAYMENT FROM",C407)),ISNUMBER(SEARCH("JOE SAUNDERS",C407))),"Zelle from Joe Saunders",IF(AND(ISNUMBER(SEARCH("PAYMENT TO",C407)),ISNUMBER(SEARCH("JOE SAUNDERS",C407))),"Zelle to Joe Saunders",IF(OR(ISNUMBER(SEARCH("NEW ORLEANS",C407)),ISNUMBER(SEARCH("KENNER",C407)),ISNUMBER(SEARCH("HENRY HOWARD",C407)),ISNUMBER(SEARCH("MISS CLAUDIA",C407))),"Personal Travel - New Orleans",IF(AND(YEAR(B407)=2025,MONTH(B407)=4,OR(ISNUMBER(SEARCH("EXCHANGE RATE",C407)),ISNUMBER(SEARCH("EXCHG RTE",C407)))),"Personal Travel - Italy",IFERROR(INDEX('Category Rules'!$B$2:$B$358,MATCH(TRUE,ISNUMBER(SEARCH('Category Rules'!$A$2:$A$358,C407)),0)),""))))))))</f>
        <v>Personal Travel</v>
      </c>
    </row>
    <row r="408" spans="1:7" x14ac:dyDescent="0.25">
      <c r="A408" t="s">
        <v>6</v>
      </c>
      <c r="B408" s="1">
        <v>45967</v>
      </c>
      <c r="C408" t="s">
        <v>382</v>
      </c>
      <c r="D408">
        <v>-45</v>
      </c>
      <c r="E408" t="s">
        <v>10</v>
      </c>
      <c r="F408">
        <v>4543.2299999999996</v>
      </c>
      <c r="G408" t="str" cm="1">
        <f t="array" ref="G408">IF(AND(ISNUMBER(SEARCH("UBER",C408)),ISNUMBER(SEARCH("EATS",C408))),"Uber Eats",IF(LEFT(C408,6)="CHECK ","Checks Paid",IF(OR(E408="BILLPAY",ISNUMBER(SEARCH("FRANCHISE TAX",C408)),ISNUMBER(SEARCH("NEXTLINK",C408))),"Personal - House Bills",IF(AND(ISNUMBER(SEARCH("PAYMENT FROM",C408)),ISNUMBER(SEARCH("JOE SAUNDERS",C408))),"Zelle from Joe Saunders",IF(AND(ISNUMBER(SEARCH("PAYMENT TO",C408)),ISNUMBER(SEARCH("JOE SAUNDERS",C408))),"Zelle to Joe Saunders",IF(OR(ISNUMBER(SEARCH("NEW ORLEANS",C408)),ISNUMBER(SEARCH("KENNER",C408)),ISNUMBER(SEARCH("HENRY HOWARD",C408)),ISNUMBER(SEARCH("MISS CLAUDIA",C408))),"Personal Travel - New Orleans",IF(AND(YEAR(B408)=2025,MONTH(B408)=4,OR(ISNUMBER(SEARCH("EXCHANGE RATE",C408)),ISNUMBER(SEARCH("EXCHG RTE",C408)))),"Personal Travel - Italy",IFERROR(INDEX('Category Rules'!$B$2:$B$358,MATCH(TRUE,ISNUMBER(SEARCH('Category Rules'!$A$2:$A$358,C408)),0)),""))))))))</f>
        <v>Personal Travel</v>
      </c>
    </row>
    <row r="409" spans="1:7" x14ac:dyDescent="0.25">
      <c r="A409" t="s">
        <v>6</v>
      </c>
      <c r="B409" s="1">
        <v>45966</v>
      </c>
      <c r="C409" t="s">
        <v>383</v>
      </c>
      <c r="D409">
        <v>-269.52999999999997</v>
      </c>
      <c r="E409" t="s">
        <v>10</v>
      </c>
      <c r="F409">
        <v>4588.2299999999996</v>
      </c>
      <c r="G409" t="str" cm="1">
        <f t="array" ref="G409">IF(AND(ISNUMBER(SEARCH("UBER",C409)),ISNUMBER(SEARCH("EATS",C409))),"Uber Eats",IF(LEFT(C409,6)="CHECK ","Checks Paid",IF(OR(E409="BILLPAY",ISNUMBER(SEARCH("FRANCHISE TAX",C409)),ISNUMBER(SEARCH("NEXTLINK",C409))),"Personal - House Bills",IF(AND(ISNUMBER(SEARCH("PAYMENT FROM",C409)),ISNUMBER(SEARCH("JOE SAUNDERS",C409))),"Zelle from Joe Saunders",IF(AND(ISNUMBER(SEARCH("PAYMENT TO",C409)),ISNUMBER(SEARCH("JOE SAUNDERS",C409))),"Zelle to Joe Saunders",IF(OR(ISNUMBER(SEARCH("NEW ORLEANS",C409)),ISNUMBER(SEARCH("KENNER",C409)),ISNUMBER(SEARCH("HENRY HOWARD",C409)),ISNUMBER(SEARCH("MISS CLAUDIA",C409))),"Personal Travel - New Orleans",IF(AND(YEAR(B409)=2025,MONTH(B409)=4,OR(ISNUMBER(SEARCH("EXCHANGE RATE",C409)),ISNUMBER(SEARCH("EXCHG RTE",C409)))),"Personal Travel - Italy",IFERROR(INDEX('Category Rules'!$B$2:$B$358,MATCH(TRUE,ISNUMBER(SEARCH('Category Rules'!$A$2:$A$358,C409)),0)),""))))))))</f>
        <v>Personal - Shopping</v>
      </c>
    </row>
    <row r="410" spans="1:7" x14ac:dyDescent="0.25">
      <c r="A410" t="s">
        <v>6</v>
      </c>
      <c r="B410" s="1">
        <v>45966</v>
      </c>
      <c r="C410" t="s">
        <v>384</v>
      </c>
      <c r="D410">
        <v>-269.49</v>
      </c>
      <c r="E410" t="s">
        <v>10</v>
      </c>
      <c r="F410">
        <v>4857.76</v>
      </c>
      <c r="G410" t="str" cm="1">
        <f t="array" ref="G410">IF(AND(ISNUMBER(SEARCH("UBER",C410)),ISNUMBER(SEARCH("EATS",C410))),"Uber Eats",IF(LEFT(C410,6)="CHECK ","Checks Paid",IF(OR(E410="BILLPAY",ISNUMBER(SEARCH("FRANCHISE TAX",C410)),ISNUMBER(SEARCH("NEXTLINK",C410))),"Personal - House Bills",IF(AND(ISNUMBER(SEARCH("PAYMENT FROM",C410)),ISNUMBER(SEARCH("JOE SAUNDERS",C410))),"Zelle from Joe Saunders",IF(AND(ISNUMBER(SEARCH("PAYMENT TO",C410)),ISNUMBER(SEARCH("JOE SAUNDERS",C410))),"Zelle to Joe Saunders",IF(OR(ISNUMBER(SEARCH("NEW ORLEANS",C410)),ISNUMBER(SEARCH("KENNER",C410)),ISNUMBER(SEARCH("HENRY HOWARD",C410)),ISNUMBER(SEARCH("MISS CLAUDIA",C410))),"Personal Travel - New Orleans",IF(AND(YEAR(B410)=2025,MONTH(B410)=4,OR(ISNUMBER(SEARCH("EXCHANGE RATE",C410)),ISNUMBER(SEARCH("EXCHG RTE",C410)))),"Personal Travel - Italy",IFERROR(INDEX('Category Rules'!$B$2:$B$358,MATCH(TRUE,ISNUMBER(SEARCH('Category Rules'!$A$2:$A$358,C410)),0)),""))))))))</f>
        <v>Personal - Shopping</v>
      </c>
    </row>
    <row r="411" spans="1:7" x14ac:dyDescent="0.25">
      <c r="A411" t="s">
        <v>6</v>
      </c>
      <c r="B411" s="1">
        <v>45966</v>
      </c>
      <c r="C411" t="s">
        <v>385</v>
      </c>
      <c r="D411">
        <v>-1600</v>
      </c>
      <c r="E411" t="s">
        <v>93</v>
      </c>
      <c r="F411">
        <v>5127.25</v>
      </c>
      <c r="G411" t="str" cm="1">
        <f t="array" ref="G411">IF(AND(ISNUMBER(SEARCH("UBER",C411)),ISNUMBER(SEARCH("EATS",C411))),"Uber Eats",IF(LEFT(C411,6)="CHECK ","Checks Paid",IF(OR(E411="BILLPAY",ISNUMBER(SEARCH("FRANCHISE TAX",C411)),ISNUMBER(SEARCH("NEXTLINK",C411))),"Personal - House Bills",IF(AND(ISNUMBER(SEARCH("PAYMENT FROM",C411)),ISNUMBER(SEARCH("JOE SAUNDERS",C411))),"Zelle from Joe Saunders",IF(AND(ISNUMBER(SEARCH("PAYMENT TO",C411)),ISNUMBER(SEARCH("JOE SAUNDERS",C411))),"Zelle to Joe Saunders",IF(OR(ISNUMBER(SEARCH("NEW ORLEANS",C411)),ISNUMBER(SEARCH("KENNER",C411)),ISNUMBER(SEARCH("HENRY HOWARD",C411)),ISNUMBER(SEARCH("MISS CLAUDIA",C411))),"Personal Travel - New Orleans",IF(AND(YEAR(B411)=2025,MONTH(B411)=4,OR(ISNUMBER(SEARCH("EXCHANGE RATE",C411)),ISNUMBER(SEARCH("EXCHG RTE",C411)))),"Personal Travel - Italy",IFERROR(INDEX('Category Rules'!$B$2:$B$358,MATCH(TRUE,ISNUMBER(SEARCH('Category Rules'!$A$2:$A$358,C411)),0)),""))))))))</f>
        <v>Withdrawal</v>
      </c>
    </row>
    <row r="412" spans="1:7" x14ac:dyDescent="0.25">
      <c r="A412" t="s">
        <v>6</v>
      </c>
      <c r="B412" s="1">
        <v>45966</v>
      </c>
      <c r="C412" t="s">
        <v>386</v>
      </c>
      <c r="D412">
        <v>-52.11</v>
      </c>
      <c r="E412" t="s">
        <v>10</v>
      </c>
      <c r="F412">
        <v>6727.25</v>
      </c>
      <c r="G412" t="str" cm="1">
        <f t="array" ref="G412">IF(AND(ISNUMBER(SEARCH("UBER",C412)),ISNUMBER(SEARCH("EATS",C412))),"Uber Eats",IF(LEFT(C412,6)="CHECK ","Checks Paid",IF(OR(E412="BILLPAY",ISNUMBER(SEARCH("FRANCHISE TAX",C412)),ISNUMBER(SEARCH("NEXTLINK",C412))),"Personal - House Bills",IF(AND(ISNUMBER(SEARCH("PAYMENT FROM",C412)),ISNUMBER(SEARCH("JOE SAUNDERS",C412))),"Zelle from Joe Saunders",IF(AND(ISNUMBER(SEARCH("PAYMENT TO",C412)),ISNUMBER(SEARCH("JOE SAUNDERS",C412))),"Zelle to Joe Saunders",IF(OR(ISNUMBER(SEARCH("NEW ORLEANS",C412)),ISNUMBER(SEARCH("KENNER",C412)),ISNUMBER(SEARCH("HENRY HOWARD",C412)),ISNUMBER(SEARCH("MISS CLAUDIA",C412))),"Personal Travel - New Orleans",IF(AND(YEAR(B412)=2025,MONTH(B412)=4,OR(ISNUMBER(SEARCH("EXCHANGE RATE",C412)),ISNUMBER(SEARCH("EXCHG RTE",C412)))),"Personal Travel - Italy",IFERROR(INDEX('Category Rules'!$B$2:$B$358,MATCH(TRUE,ISNUMBER(SEARCH('Category Rules'!$A$2:$A$358,C412)),0)),""))))))))</f>
        <v>Personal - Car</v>
      </c>
    </row>
    <row r="413" spans="1:7" x14ac:dyDescent="0.25">
      <c r="A413" t="s">
        <v>6</v>
      </c>
      <c r="B413" s="1">
        <v>45966</v>
      </c>
      <c r="C413" t="s">
        <v>387</v>
      </c>
      <c r="D413">
        <v>-29.87</v>
      </c>
      <c r="E413" t="s">
        <v>10</v>
      </c>
      <c r="F413">
        <v>6779.36</v>
      </c>
      <c r="G413" t="str" cm="1">
        <f t="array" ref="G413">IF(AND(ISNUMBER(SEARCH("UBER",C413)),ISNUMBER(SEARCH("EATS",C413))),"Uber Eats",IF(LEFT(C413,6)="CHECK ","Checks Paid",IF(OR(E413="BILLPAY",ISNUMBER(SEARCH("FRANCHISE TAX",C413)),ISNUMBER(SEARCH("NEXTLINK",C413))),"Personal - House Bills",IF(AND(ISNUMBER(SEARCH("PAYMENT FROM",C413)),ISNUMBER(SEARCH("JOE SAUNDERS",C413))),"Zelle from Joe Saunders",IF(AND(ISNUMBER(SEARCH("PAYMENT TO",C413)),ISNUMBER(SEARCH("JOE SAUNDERS",C413))),"Zelle to Joe Saunders",IF(OR(ISNUMBER(SEARCH("NEW ORLEANS",C413)),ISNUMBER(SEARCH("KENNER",C413)),ISNUMBER(SEARCH("HENRY HOWARD",C413)),ISNUMBER(SEARCH("MISS CLAUDIA",C413))),"Personal Travel - New Orleans",IF(AND(YEAR(B413)=2025,MONTH(B413)=4,OR(ISNUMBER(SEARCH("EXCHANGE RATE",C413)),ISNUMBER(SEARCH("EXCHG RTE",C413)))),"Personal Travel - Italy",IFERROR(INDEX('Category Rules'!$B$2:$B$358,MATCH(TRUE,ISNUMBER(SEARCH('Category Rules'!$A$2:$A$358,C413)),0)),""))))))))</f>
        <v>Amazon</v>
      </c>
    </row>
    <row r="414" spans="1:7" x14ac:dyDescent="0.25">
      <c r="A414" t="s">
        <v>6</v>
      </c>
      <c r="B414" s="1">
        <v>45966</v>
      </c>
      <c r="C414" t="s">
        <v>388</v>
      </c>
      <c r="D414">
        <v>-563.58000000000004</v>
      </c>
      <c r="E414" t="s">
        <v>10</v>
      </c>
      <c r="F414">
        <v>6809.23</v>
      </c>
      <c r="G414" t="str" cm="1">
        <f t="array" ref="G414">IF(AND(ISNUMBER(SEARCH("UBER",C414)),ISNUMBER(SEARCH("EATS",C414))),"Uber Eats",IF(LEFT(C414,6)="CHECK ","Checks Paid",IF(OR(E414="BILLPAY",ISNUMBER(SEARCH("FRANCHISE TAX",C414)),ISNUMBER(SEARCH("NEXTLINK",C414))),"Personal - House Bills",IF(AND(ISNUMBER(SEARCH("PAYMENT FROM",C414)),ISNUMBER(SEARCH("JOE SAUNDERS",C414))),"Zelle from Joe Saunders",IF(AND(ISNUMBER(SEARCH("PAYMENT TO",C414)),ISNUMBER(SEARCH("JOE SAUNDERS",C414))),"Zelle to Joe Saunders",IF(OR(ISNUMBER(SEARCH("NEW ORLEANS",C414)),ISNUMBER(SEARCH("KENNER",C414)),ISNUMBER(SEARCH("HENRY HOWARD",C414)),ISNUMBER(SEARCH("MISS CLAUDIA",C414))),"Personal Travel - New Orleans",IF(AND(YEAR(B414)=2025,MONTH(B414)=4,OR(ISNUMBER(SEARCH("EXCHANGE RATE",C414)),ISNUMBER(SEARCH("EXCHG RTE",C414)))),"Personal Travel - Italy",IFERROR(INDEX('Category Rules'!$B$2:$B$358,MATCH(TRUE,ISNUMBER(SEARCH('Category Rules'!$A$2:$A$358,C414)),0)),""))))))))</f>
        <v>Personal - Shopping</v>
      </c>
    </row>
    <row r="415" spans="1:7" x14ac:dyDescent="0.25">
      <c r="A415" t="s">
        <v>44</v>
      </c>
      <c r="B415" s="1">
        <v>45966</v>
      </c>
      <c r="C415" t="s">
        <v>389</v>
      </c>
      <c r="D415">
        <v>5000</v>
      </c>
      <c r="E415" t="s">
        <v>73</v>
      </c>
      <c r="F415">
        <v>7372.81</v>
      </c>
      <c r="G415" t="str" cm="1">
        <f t="array" ref="G415">IF(AND(ISNUMBER(SEARCH("UBER",C415)),ISNUMBER(SEARCH("EATS",C415))),"Uber Eats",IF(LEFT(C415,6)="CHECK ","Checks Paid",IF(OR(E415="BILLPAY",ISNUMBER(SEARCH("FRANCHISE TAX",C415)),ISNUMBER(SEARCH("NEXTLINK",C415))),"Personal - House Bills",IF(AND(ISNUMBER(SEARCH("PAYMENT FROM",C415)),ISNUMBER(SEARCH("JOE SAUNDERS",C415))),"Zelle from Joe Saunders",IF(AND(ISNUMBER(SEARCH("PAYMENT TO",C415)),ISNUMBER(SEARCH("JOE SAUNDERS",C415))),"Zelle to Joe Saunders",IF(OR(ISNUMBER(SEARCH("NEW ORLEANS",C415)),ISNUMBER(SEARCH("KENNER",C415)),ISNUMBER(SEARCH("HENRY HOWARD",C415)),ISNUMBER(SEARCH("MISS CLAUDIA",C415))),"Personal Travel - New Orleans",IF(AND(YEAR(B415)=2025,MONTH(B415)=4,OR(ISNUMBER(SEARCH("EXCHANGE RATE",C415)),ISNUMBER(SEARCH("EXCHG RTE",C415)))),"Personal Travel - Italy",IFERROR(INDEX('Category Rules'!$B$2:$B$358,MATCH(TRUE,ISNUMBER(SEARCH('Category Rules'!$A$2:$A$358,C415)),0)),""))))))))</f>
        <v>Transfer from DWG Capital Group</v>
      </c>
    </row>
    <row r="416" spans="1:7" x14ac:dyDescent="0.25">
      <c r="A416" t="s">
        <v>6</v>
      </c>
      <c r="B416" s="1">
        <v>45966</v>
      </c>
      <c r="C416" t="s">
        <v>390</v>
      </c>
      <c r="D416">
        <v>34.44</v>
      </c>
      <c r="E416" t="s">
        <v>10</v>
      </c>
      <c r="F416">
        <v>2372.81</v>
      </c>
      <c r="G416" t="str" cm="1">
        <f t="array" ref="G416">IF(AND(ISNUMBER(SEARCH("UBER",C416)),ISNUMBER(SEARCH("EATS",C416))),"Uber Eats",IF(LEFT(C416,6)="CHECK ","Checks Paid",IF(OR(E416="BILLPAY",ISNUMBER(SEARCH("FRANCHISE TAX",C416)),ISNUMBER(SEARCH("NEXTLINK",C416))),"Personal - House Bills",IF(AND(ISNUMBER(SEARCH("PAYMENT FROM",C416)),ISNUMBER(SEARCH("JOE SAUNDERS",C416))),"Zelle from Joe Saunders",IF(AND(ISNUMBER(SEARCH("PAYMENT TO",C416)),ISNUMBER(SEARCH("JOE SAUNDERS",C416))),"Zelle to Joe Saunders",IF(OR(ISNUMBER(SEARCH("NEW ORLEANS",C416)),ISNUMBER(SEARCH("KENNER",C416)),ISNUMBER(SEARCH("HENRY HOWARD",C416)),ISNUMBER(SEARCH("MISS CLAUDIA",C416))),"Personal Travel - New Orleans",IF(AND(YEAR(B416)=2025,MONTH(B416)=4,OR(ISNUMBER(SEARCH("EXCHANGE RATE",C416)),ISNUMBER(SEARCH("EXCHG RTE",C416)))),"Personal Travel - Italy",IFERROR(INDEX('Category Rules'!$B$2:$B$358,MATCH(TRUE,ISNUMBER(SEARCH('Category Rules'!$A$2:$A$358,C416)),0)),""))))))))</f>
        <v>Personal Travel</v>
      </c>
    </row>
    <row r="417" spans="1:7" x14ac:dyDescent="0.25">
      <c r="A417" t="s">
        <v>6</v>
      </c>
      <c r="B417" s="1">
        <v>45966</v>
      </c>
      <c r="C417" t="s">
        <v>390</v>
      </c>
      <c r="D417">
        <v>34.44</v>
      </c>
      <c r="E417" t="s">
        <v>10</v>
      </c>
      <c r="F417">
        <v>2338.37</v>
      </c>
      <c r="G417" t="str" cm="1">
        <f t="array" ref="G417">IF(AND(ISNUMBER(SEARCH("UBER",C417)),ISNUMBER(SEARCH("EATS",C417))),"Uber Eats",IF(LEFT(C417,6)="CHECK ","Checks Paid",IF(OR(E417="BILLPAY",ISNUMBER(SEARCH("FRANCHISE TAX",C417)),ISNUMBER(SEARCH("NEXTLINK",C417))),"Personal - House Bills",IF(AND(ISNUMBER(SEARCH("PAYMENT FROM",C417)),ISNUMBER(SEARCH("JOE SAUNDERS",C417))),"Zelle from Joe Saunders",IF(AND(ISNUMBER(SEARCH("PAYMENT TO",C417)),ISNUMBER(SEARCH("JOE SAUNDERS",C417))),"Zelle to Joe Saunders",IF(OR(ISNUMBER(SEARCH("NEW ORLEANS",C417)),ISNUMBER(SEARCH("KENNER",C417)),ISNUMBER(SEARCH("HENRY HOWARD",C417)),ISNUMBER(SEARCH("MISS CLAUDIA",C417))),"Personal Travel - New Orleans",IF(AND(YEAR(B417)=2025,MONTH(B417)=4,OR(ISNUMBER(SEARCH("EXCHANGE RATE",C417)),ISNUMBER(SEARCH("EXCHG RTE",C417)))),"Personal Travel - Italy",IFERROR(INDEX('Category Rules'!$B$2:$B$358,MATCH(TRUE,ISNUMBER(SEARCH('Category Rules'!$A$2:$A$358,C417)),0)),""))))))))</f>
        <v>Personal Travel</v>
      </c>
    </row>
    <row r="418" spans="1:7" x14ac:dyDescent="0.25">
      <c r="A418" t="s">
        <v>6</v>
      </c>
      <c r="B418" s="1">
        <v>45965</v>
      </c>
      <c r="C418" t="s">
        <v>391</v>
      </c>
      <c r="D418">
        <v>-14.5</v>
      </c>
      <c r="E418" t="s">
        <v>10</v>
      </c>
      <c r="F418">
        <v>2303.9299999999998</v>
      </c>
      <c r="G418" t="str" cm="1">
        <f t="array" ref="G418">IF(AND(ISNUMBER(SEARCH("UBER",C418)),ISNUMBER(SEARCH("EATS",C418))),"Uber Eats",IF(LEFT(C418,6)="CHECK ","Checks Paid",IF(OR(E418="BILLPAY",ISNUMBER(SEARCH("FRANCHISE TAX",C418)),ISNUMBER(SEARCH("NEXTLINK",C418))),"Personal - House Bills",IF(AND(ISNUMBER(SEARCH("PAYMENT FROM",C418)),ISNUMBER(SEARCH("JOE SAUNDERS",C418))),"Zelle from Joe Saunders",IF(AND(ISNUMBER(SEARCH("PAYMENT TO",C418)),ISNUMBER(SEARCH("JOE SAUNDERS",C418))),"Zelle to Joe Saunders",IF(OR(ISNUMBER(SEARCH("NEW ORLEANS",C418)),ISNUMBER(SEARCH("KENNER",C418)),ISNUMBER(SEARCH("HENRY HOWARD",C418)),ISNUMBER(SEARCH("MISS CLAUDIA",C418))),"Personal Travel - New Orleans",IF(AND(YEAR(B418)=2025,MONTH(B418)=4,OR(ISNUMBER(SEARCH("EXCHANGE RATE",C418)),ISNUMBER(SEARCH("EXCHG RTE",C418)))),"Personal Travel - Italy",IFERROR(INDEX('Category Rules'!$B$2:$B$358,MATCH(TRUE,ISNUMBER(SEARCH('Category Rules'!$A$2:$A$358,C418)),0)),""))))))))</f>
        <v>Bank Fees</v>
      </c>
    </row>
    <row r="419" spans="1:7" x14ac:dyDescent="0.25">
      <c r="A419" t="s">
        <v>6</v>
      </c>
      <c r="B419" s="1">
        <v>45965</v>
      </c>
      <c r="C419" t="s">
        <v>392</v>
      </c>
      <c r="D419">
        <v>-582.15</v>
      </c>
      <c r="E419" t="s">
        <v>10</v>
      </c>
      <c r="F419">
        <v>2318.4299999999998</v>
      </c>
      <c r="G419" t="str" cm="1">
        <f t="array" ref="G419">IF(AND(ISNUMBER(SEARCH("UBER",C419)),ISNUMBER(SEARCH("EATS",C419))),"Uber Eats",IF(LEFT(C419,6)="CHECK ","Checks Paid",IF(OR(E419="BILLPAY",ISNUMBER(SEARCH("FRANCHISE TAX",C419)),ISNUMBER(SEARCH("NEXTLINK",C419))),"Personal - House Bills",IF(AND(ISNUMBER(SEARCH("PAYMENT FROM",C419)),ISNUMBER(SEARCH("JOE SAUNDERS",C419))),"Zelle from Joe Saunders",IF(AND(ISNUMBER(SEARCH("PAYMENT TO",C419)),ISNUMBER(SEARCH("JOE SAUNDERS",C419))),"Zelle to Joe Saunders",IF(OR(ISNUMBER(SEARCH("NEW ORLEANS",C419)),ISNUMBER(SEARCH("KENNER",C419)),ISNUMBER(SEARCH("HENRY HOWARD",C419)),ISNUMBER(SEARCH("MISS CLAUDIA",C419))),"Personal Travel - New Orleans",IF(AND(YEAR(B419)=2025,MONTH(B419)=4,OR(ISNUMBER(SEARCH("EXCHANGE RATE",C419)),ISNUMBER(SEARCH("EXCHG RTE",C419)))),"Personal Travel - Italy",IFERROR(INDEX('Category Rules'!$B$2:$B$358,MATCH(TRUE,ISNUMBER(SEARCH('Category Rules'!$A$2:$A$358,C419)),0)),""))))))))</f>
        <v>Personal - House Bills</v>
      </c>
    </row>
    <row r="420" spans="1:7" x14ac:dyDescent="0.25">
      <c r="A420" t="s">
        <v>6</v>
      </c>
      <c r="B420" s="1">
        <v>45965</v>
      </c>
      <c r="C420" t="s">
        <v>393</v>
      </c>
      <c r="D420">
        <v>-74.989999999999995</v>
      </c>
      <c r="E420" t="s">
        <v>10</v>
      </c>
      <c r="F420">
        <v>2900.58</v>
      </c>
      <c r="G420" t="str" cm="1">
        <f t="array" ref="G420">IF(AND(ISNUMBER(SEARCH("UBER",C420)),ISNUMBER(SEARCH("EATS",C420))),"Uber Eats",IF(LEFT(C420,6)="CHECK ","Checks Paid",IF(OR(E420="BILLPAY",ISNUMBER(SEARCH("FRANCHISE TAX",C420)),ISNUMBER(SEARCH("NEXTLINK",C420))),"Personal - House Bills",IF(AND(ISNUMBER(SEARCH("PAYMENT FROM",C420)),ISNUMBER(SEARCH("JOE SAUNDERS",C420))),"Zelle from Joe Saunders",IF(AND(ISNUMBER(SEARCH("PAYMENT TO",C420)),ISNUMBER(SEARCH("JOE SAUNDERS",C420))),"Zelle to Joe Saunders",IF(OR(ISNUMBER(SEARCH("NEW ORLEANS",C420)),ISNUMBER(SEARCH("KENNER",C420)),ISNUMBER(SEARCH("HENRY HOWARD",C420)),ISNUMBER(SEARCH("MISS CLAUDIA",C420))),"Personal Travel - New Orleans",IF(AND(YEAR(B420)=2025,MONTH(B420)=4,OR(ISNUMBER(SEARCH("EXCHANGE RATE",C420)),ISNUMBER(SEARCH("EXCHG RTE",C420)))),"Personal Travel - Italy",IFERROR(INDEX('Category Rules'!$B$2:$B$358,MATCH(TRUE,ISNUMBER(SEARCH('Category Rules'!$A$2:$A$358,C420)),0)),""))))))))</f>
        <v>Personal Travel</v>
      </c>
    </row>
    <row r="421" spans="1:7" x14ac:dyDescent="0.25">
      <c r="A421" t="s">
        <v>6</v>
      </c>
      <c r="B421" s="1">
        <v>45965</v>
      </c>
      <c r="C421" t="s">
        <v>393</v>
      </c>
      <c r="D421">
        <v>-74.989999999999995</v>
      </c>
      <c r="E421" t="s">
        <v>10</v>
      </c>
      <c r="F421">
        <v>2975.57</v>
      </c>
      <c r="G421" t="str" cm="1">
        <f t="array" ref="G421">IF(AND(ISNUMBER(SEARCH("UBER",C421)),ISNUMBER(SEARCH("EATS",C421))),"Uber Eats",IF(LEFT(C421,6)="CHECK ","Checks Paid",IF(OR(E421="BILLPAY",ISNUMBER(SEARCH("FRANCHISE TAX",C421)),ISNUMBER(SEARCH("NEXTLINK",C421))),"Personal - House Bills",IF(AND(ISNUMBER(SEARCH("PAYMENT FROM",C421)),ISNUMBER(SEARCH("JOE SAUNDERS",C421))),"Zelle from Joe Saunders",IF(AND(ISNUMBER(SEARCH("PAYMENT TO",C421)),ISNUMBER(SEARCH("JOE SAUNDERS",C421))),"Zelle to Joe Saunders",IF(OR(ISNUMBER(SEARCH("NEW ORLEANS",C421)),ISNUMBER(SEARCH("KENNER",C421)),ISNUMBER(SEARCH("HENRY HOWARD",C421)),ISNUMBER(SEARCH("MISS CLAUDIA",C421))),"Personal Travel - New Orleans",IF(AND(YEAR(B421)=2025,MONTH(B421)=4,OR(ISNUMBER(SEARCH("EXCHANGE RATE",C421)),ISNUMBER(SEARCH("EXCHG RTE",C421)))),"Personal Travel - Italy",IFERROR(INDEX('Category Rules'!$B$2:$B$358,MATCH(TRUE,ISNUMBER(SEARCH('Category Rules'!$A$2:$A$358,C421)),0)),""))))))))</f>
        <v>Personal Travel</v>
      </c>
    </row>
    <row r="422" spans="1:7" x14ac:dyDescent="0.25">
      <c r="A422" t="s">
        <v>6</v>
      </c>
      <c r="B422" s="1">
        <v>45965</v>
      </c>
      <c r="C422" t="s">
        <v>393</v>
      </c>
      <c r="D422">
        <v>-87.99</v>
      </c>
      <c r="E422" t="s">
        <v>10</v>
      </c>
      <c r="F422">
        <v>3050.56</v>
      </c>
      <c r="G422" t="str" cm="1">
        <f t="array" ref="G422">IF(AND(ISNUMBER(SEARCH("UBER",C422)),ISNUMBER(SEARCH("EATS",C422))),"Uber Eats",IF(LEFT(C422,6)="CHECK ","Checks Paid",IF(OR(E422="BILLPAY",ISNUMBER(SEARCH("FRANCHISE TAX",C422)),ISNUMBER(SEARCH("NEXTLINK",C422))),"Personal - House Bills",IF(AND(ISNUMBER(SEARCH("PAYMENT FROM",C422)),ISNUMBER(SEARCH("JOE SAUNDERS",C422))),"Zelle from Joe Saunders",IF(AND(ISNUMBER(SEARCH("PAYMENT TO",C422)),ISNUMBER(SEARCH("JOE SAUNDERS",C422))),"Zelle to Joe Saunders",IF(OR(ISNUMBER(SEARCH("NEW ORLEANS",C422)),ISNUMBER(SEARCH("KENNER",C422)),ISNUMBER(SEARCH("HENRY HOWARD",C422)),ISNUMBER(SEARCH("MISS CLAUDIA",C422))),"Personal Travel - New Orleans",IF(AND(YEAR(B422)=2025,MONTH(B422)=4,OR(ISNUMBER(SEARCH("EXCHANGE RATE",C422)),ISNUMBER(SEARCH("EXCHG RTE",C422)))),"Personal Travel - Italy",IFERROR(INDEX('Category Rules'!$B$2:$B$358,MATCH(TRUE,ISNUMBER(SEARCH('Category Rules'!$A$2:$A$358,C422)),0)),""))))))))</f>
        <v>Personal Travel</v>
      </c>
    </row>
    <row r="423" spans="1:7" x14ac:dyDescent="0.25">
      <c r="A423" t="s">
        <v>6</v>
      </c>
      <c r="B423" s="1">
        <v>45965</v>
      </c>
      <c r="C423" t="s">
        <v>393</v>
      </c>
      <c r="D423">
        <v>-87.99</v>
      </c>
      <c r="E423" t="s">
        <v>10</v>
      </c>
      <c r="F423">
        <v>3138.55</v>
      </c>
      <c r="G423" t="str" cm="1">
        <f t="array" ref="G423">IF(AND(ISNUMBER(SEARCH("UBER",C423)),ISNUMBER(SEARCH("EATS",C423))),"Uber Eats",IF(LEFT(C423,6)="CHECK ","Checks Paid",IF(OR(E423="BILLPAY",ISNUMBER(SEARCH("FRANCHISE TAX",C423)),ISNUMBER(SEARCH("NEXTLINK",C423))),"Personal - House Bills",IF(AND(ISNUMBER(SEARCH("PAYMENT FROM",C423)),ISNUMBER(SEARCH("JOE SAUNDERS",C423))),"Zelle from Joe Saunders",IF(AND(ISNUMBER(SEARCH("PAYMENT TO",C423)),ISNUMBER(SEARCH("JOE SAUNDERS",C423))),"Zelle to Joe Saunders",IF(OR(ISNUMBER(SEARCH("NEW ORLEANS",C423)),ISNUMBER(SEARCH("KENNER",C423)),ISNUMBER(SEARCH("HENRY HOWARD",C423)),ISNUMBER(SEARCH("MISS CLAUDIA",C423))),"Personal Travel - New Orleans",IF(AND(YEAR(B423)=2025,MONTH(B423)=4,OR(ISNUMBER(SEARCH("EXCHANGE RATE",C423)),ISNUMBER(SEARCH("EXCHG RTE",C423)))),"Personal Travel - Italy",IFERROR(INDEX('Category Rules'!$B$2:$B$358,MATCH(TRUE,ISNUMBER(SEARCH('Category Rules'!$A$2:$A$358,C423)),0)),""))))))))</f>
        <v>Personal Travel</v>
      </c>
    </row>
    <row r="424" spans="1:7" x14ac:dyDescent="0.25">
      <c r="A424" t="s">
        <v>6</v>
      </c>
      <c r="B424" s="1">
        <v>45965</v>
      </c>
      <c r="C424" t="s">
        <v>394</v>
      </c>
      <c r="D424">
        <v>-361.45</v>
      </c>
      <c r="E424" t="s">
        <v>10</v>
      </c>
      <c r="F424">
        <v>3226.54</v>
      </c>
      <c r="G424" t="str" cm="1">
        <f t="array" ref="G424">IF(AND(ISNUMBER(SEARCH("UBER",C424)),ISNUMBER(SEARCH("EATS",C424))),"Uber Eats",IF(LEFT(C424,6)="CHECK ","Checks Paid",IF(OR(E424="BILLPAY",ISNUMBER(SEARCH("FRANCHISE TAX",C424)),ISNUMBER(SEARCH("NEXTLINK",C424))),"Personal - House Bills",IF(AND(ISNUMBER(SEARCH("PAYMENT FROM",C424)),ISNUMBER(SEARCH("JOE SAUNDERS",C424))),"Zelle from Joe Saunders",IF(AND(ISNUMBER(SEARCH("PAYMENT TO",C424)),ISNUMBER(SEARCH("JOE SAUNDERS",C424))),"Zelle to Joe Saunders",IF(OR(ISNUMBER(SEARCH("NEW ORLEANS",C424)),ISNUMBER(SEARCH("KENNER",C424)),ISNUMBER(SEARCH("HENRY HOWARD",C424)),ISNUMBER(SEARCH("MISS CLAUDIA",C424))),"Personal Travel - New Orleans",IF(AND(YEAR(B424)=2025,MONTH(B424)=4,OR(ISNUMBER(SEARCH("EXCHANGE RATE",C424)),ISNUMBER(SEARCH("EXCHG RTE",C424)))),"Personal Travel - Italy",IFERROR(INDEX('Category Rules'!$B$2:$B$358,MATCH(TRUE,ISNUMBER(SEARCH('Category Rules'!$A$2:$A$358,C424)),0)),""))))))))</f>
        <v>Personal Travel</v>
      </c>
    </row>
    <row r="425" spans="1:7" x14ac:dyDescent="0.25">
      <c r="A425" t="s">
        <v>6</v>
      </c>
      <c r="B425" s="1">
        <v>45965</v>
      </c>
      <c r="C425" t="s">
        <v>394</v>
      </c>
      <c r="D425">
        <v>-361.45</v>
      </c>
      <c r="E425" t="s">
        <v>10</v>
      </c>
      <c r="F425">
        <v>3587.99</v>
      </c>
      <c r="G425" t="str" cm="1">
        <f t="array" ref="G425">IF(AND(ISNUMBER(SEARCH("UBER",C425)),ISNUMBER(SEARCH("EATS",C425))),"Uber Eats",IF(LEFT(C425,6)="CHECK ","Checks Paid",IF(OR(E425="BILLPAY",ISNUMBER(SEARCH("FRANCHISE TAX",C425)),ISNUMBER(SEARCH("NEXTLINK",C425))),"Personal - House Bills",IF(AND(ISNUMBER(SEARCH("PAYMENT FROM",C425)),ISNUMBER(SEARCH("JOE SAUNDERS",C425))),"Zelle from Joe Saunders",IF(AND(ISNUMBER(SEARCH("PAYMENT TO",C425)),ISNUMBER(SEARCH("JOE SAUNDERS",C425))),"Zelle to Joe Saunders",IF(OR(ISNUMBER(SEARCH("NEW ORLEANS",C425)),ISNUMBER(SEARCH("KENNER",C425)),ISNUMBER(SEARCH("HENRY HOWARD",C425)),ISNUMBER(SEARCH("MISS CLAUDIA",C425))),"Personal Travel - New Orleans",IF(AND(YEAR(B425)=2025,MONTH(B425)=4,OR(ISNUMBER(SEARCH("EXCHANGE RATE",C425)),ISNUMBER(SEARCH("EXCHG RTE",C425)))),"Personal Travel - Italy",IFERROR(INDEX('Category Rules'!$B$2:$B$358,MATCH(TRUE,ISNUMBER(SEARCH('Category Rules'!$A$2:$A$358,C425)),0)),""))))))))</f>
        <v>Personal Travel</v>
      </c>
    </row>
    <row r="426" spans="1:7" x14ac:dyDescent="0.25">
      <c r="A426" t="s">
        <v>6</v>
      </c>
      <c r="B426" s="1">
        <v>45965</v>
      </c>
      <c r="C426" t="s">
        <v>394</v>
      </c>
      <c r="D426">
        <v>-361.45</v>
      </c>
      <c r="E426" t="s">
        <v>10</v>
      </c>
      <c r="F426">
        <v>3949.44</v>
      </c>
      <c r="G426" t="str" cm="1">
        <f t="array" ref="G426">IF(AND(ISNUMBER(SEARCH("UBER",C426)),ISNUMBER(SEARCH("EATS",C426))),"Uber Eats",IF(LEFT(C426,6)="CHECK ","Checks Paid",IF(OR(E426="BILLPAY",ISNUMBER(SEARCH("FRANCHISE TAX",C426)),ISNUMBER(SEARCH("NEXTLINK",C426))),"Personal - House Bills",IF(AND(ISNUMBER(SEARCH("PAYMENT FROM",C426)),ISNUMBER(SEARCH("JOE SAUNDERS",C426))),"Zelle from Joe Saunders",IF(AND(ISNUMBER(SEARCH("PAYMENT TO",C426)),ISNUMBER(SEARCH("JOE SAUNDERS",C426))),"Zelle to Joe Saunders",IF(OR(ISNUMBER(SEARCH("NEW ORLEANS",C426)),ISNUMBER(SEARCH("KENNER",C426)),ISNUMBER(SEARCH("HENRY HOWARD",C426)),ISNUMBER(SEARCH("MISS CLAUDIA",C426))),"Personal Travel - New Orleans",IF(AND(YEAR(B426)=2025,MONTH(B426)=4,OR(ISNUMBER(SEARCH("EXCHANGE RATE",C426)),ISNUMBER(SEARCH("EXCHG RTE",C426)))),"Personal Travel - Italy",IFERROR(INDEX('Category Rules'!$B$2:$B$358,MATCH(TRUE,ISNUMBER(SEARCH('Category Rules'!$A$2:$A$358,C426)),0)),""))))))))</f>
        <v>Personal Travel</v>
      </c>
    </row>
    <row r="427" spans="1:7" x14ac:dyDescent="0.25">
      <c r="A427" t="s">
        <v>6</v>
      </c>
      <c r="B427" s="1">
        <v>45965</v>
      </c>
      <c r="C427" t="s">
        <v>394</v>
      </c>
      <c r="D427">
        <v>-361.45</v>
      </c>
      <c r="E427" t="s">
        <v>10</v>
      </c>
      <c r="F427">
        <v>4310.8900000000003</v>
      </c>
      <c r="G427" t="str" cm="1">
        <f t="array" ref="G427">IF(AND(ISNUMBER(SEARCH("UBER",C427)),ISNUMBER(SEARCH("EATS",C427))),"Uber Eats",IF(LEFT(C427,6)="CHECK ","Checks Paid",IF(OR(E427="BILLPAY",ISNUMBER(SEARCH("FRANCHISE TAX",C427)),ISNUMBER(SEARCH("NEXTLINK",C427))),"Personal - House Bills",IF(AND(ISNUMBER(SEARCH("PAYMENT FROM",C427)),ISNUMBER(SEARCH("JOE SAUNDERS",C427))),"Zelle from Joe Saunders",IF(AND(ISNUMBER(SEARCH("PAYMENT TO",C427)),ISNUMBER(SEARCH("JOE SAUNDERS",C427))),"Zelle to Joe Saunders",IF(OR(ISNUMBER(SEARCH("NEW ORLEANS",C427)),ISNUMBER(SEARCH("KENNER",C427)),ISNUMBER(SEARCH("HENRY HOWARD",C427)),ISNUMBER(SEARCH("MISS CLAUDIA",C427))),"Personal Travel - New Orleans",IF(AND(YEAR(B427)=2025,MONTH(B427)=4,OR(ISNUMBER(SEARCH("EXCHANGE RATE",C427)),ISNUMBER(SEARCH("EXCHG RTE",C427)))),"Personal Travel - Italy",IFERROR(INDEX('Category Rules'!$B$2:$B$358,MATCH(TRUE,ISNUMBER(SEARCH('Category Rules'!$A$2:$A$358,C427)),0)),""))))))))</f>
        <v>Personal Travel</v>
      </c>
    </row>
    <row r="428" spans="1:7" x14ac:dyDescent="0.25">
      <c r="A428" t="s">
        <v>6</v>
      </c>
      <c r="B428" s="1">
        <v>45964</v>
      </c>
      <c r="C428" t="s">
        <v>395</v>
      </c>
      <c r="D428">
        <v>-258.10000000000002</v>
      </c>
      <c r="E428" t="s">
        <v>10</v>
      </c>
      <c r="F428">
        <v>4672.34</v>
      </c>
      <c r="G428" t="str" cm="1">
        <f t="array" ref="G428">IF(AND(ISNUMBER(SEARCH("UBER",C428)),ISNUMBER(SEARCH("EATS",C428))),"Uber Eats",IF(LEFT(C428,6)="CHECK ","Checks Paid",IF(OR(E428="BILLPAY",ISNUMBER(SEARCH("FRANCHISE TAX",C428)),ISNUMBER(SEARCH("NEXTLINK",C428))),"Personal - House Bills",IF(AND(ISNUMBER(SEARCH("PAYMENT FROM",C428)),ISNUMBER(SEARCH("JOE SAUNDERS",C428))),"Zelle from Joe Saunders",IF(AND(ISNUMBER(SEARCH("PAYMENT TO",C428)),ISNUMBER(SEARCH("JOE SAUNDERS",C428))),"Zelle to Joe Saunders",IF(OR(ISNUMBER(SEARCH("NEW ORLEANS",C428)),ISNUMBER(SEARCH("KENNER",C428)),ISNUMBER(SEARCH("HENRY HOWARD",C428)),ISNUMBER(SEARCH("MISS CLAUDIA",C428))),"Personal Travel - New Orleans",IF(AND(YEAR(B428)=2025,MONTH(B428)=4,OR(ISNUMBER(SEARCH("EXCHANGE RATE",C428)),ISNUMBER(SEARCH("EXCHG RTE",C428)))),"Personal Travel - Italy",IFERROR(INDEX('Category Rules'!$B$2:$B$358,MATCH(TRUE,ISNUMBER(SEARCH('Category Rules'!$A$2:$A$358,C428)),0)),""))))))))</f>
        <v>Personal - Shopping</v>
      </c>
    </row>
    <row r="429" spans="1:7" x14ac:dyDescent="0.25">
      <c r="A429" t="s">
        <v>6</v>
      </c>
      <c r="B429" s="1">
        <v>45964</v>
      </c>
      <c r="C429" t="s">
        <v>396</v>
      </c>
      <c r="D429">
        <v>-20.97</v>
      </c>
      <c r="E429" t="s">
        <v>10</v>
      </c>
      <c r="F429">
        <v>4930.4399999999996</v>
      </c>
      <c r="G429" t="str" cm="1">
        <f t="array" ref="G429">IF(AND(ISNUMBER(SEARCH("UBER",C429)),ISNUMBER(SEARCH("EATS",C429))),"Uber Eats",IF(LEFT(C429,6)="CHECK ","Checks Paid",IF(OR(E429="BILLPAY",ISNUMBER(SEARCH("FRANCHISE TAX",C429)),ISNUMBER(SEARCH("NEXTLINK",C429))),"Personal - House Bills",IF(AND(ISNUMBER(SEARCH("PAYMENT FROM",C429)),ISNUMBER(SEARCH("JOE SAUNDERS",C429))),"Zelle from Joe Saunders",IF(AND(ISNUMBER(SEARCH("PAYMENT TO",C429)),ISNUMBER(SEARCH("JOE SAUNDERS",C429))),"Zelle to Joe Saunders",IF(OR(ISNUMBER(SEARCH("NEW ORLEANS",C429)),ISNUMBER(SEARCH("KENNER",C429)),ISNUMBER(SEARCH("HENRY HOWARD",C429)),ISNUMBER(SEARCH("MISS CLAUDIA",C429))),"Personal Travel - New Orleans",IF(AND(YEAR(B429)=2025,MONTH(B429)=4,OR(ISNUMBER(SEARCH("EXCHANGE RATE",C429)),ISNUMBER(SEARCH("EXCHG RTE",C429)))),"Personal Travel - Italy",IFERROR(INDEX('Category Rules'!$B$2:$B$358,MATCH(TRUE,ISNUMBER(SEARCH('Category Rules'!$A$2:$A$358,C429)),0)),""))))))))</f>
        <v>Amazon</v>
      </c>
    </row>
    <row r="430" spans="1:7" x14ac:dyDescent="0.25">
      <c r="A430" t="s">
        <v>6</v>
      </c>
      <c r="B430" s="1">
        <v>45964</v>
      </c>
      <c r="C430" t="s">
        <v>397</v>
      </c>
      <c r="D430">
        <v>-70.69</v>
      </c>
      <c r="E430" t="s">
        <v>10</v>
      </c>
      <c r="F430">
        <v>4951.41</v>
      </c>
      <c r="G430" t="str" cm="1">
        <f t="array" ref="G430">IF(AND(ISNUMBER(SEARCH("UBER",C430)),ISNUMBER(SEARCH("EATS",C430))),"Uber Eats",IF(LEFT(C430,6)="CHECK ","Checks Paid",IF(OR(E430="BILLPAY",ISNUMBER(SEARCH("FRANCHISE TAX",C430)),ISNUMBER(SEARCH("NEXTLINK",C430))),"Personal - House Bills",IF(AND(ISNUMBER(SEARCH("PAYMENT FROM",C430)),ISNUMBER(SEARCH("JOE SAUNDERS",C430))),"Zelle from Joe Saunders",IF(AND(ISNUMBER(SEARCH("PAYMENT TO",C430)),ISNUMBER(SEARCH("JOE SAUNDERS",C430))),"Zelle to Joe Saunders",IF(OR(ISNUMBER(SEARCH("NEW ORLEANS",C430)),ISNUMBER(SEARCH("KENNER",C430)),ISNUMBER(SEARCH("HENRY HOWARD",C430)),ISNUMBER(SEARCH("MISS CLAUDIA",C430))),"Personal Travel - New Orleans",IF(AND(YEAR(B430)=2025,MONTH(B430)=4,OR(ISNUMBER(SEARCH("EXCHANGE RATE",C430)),ISNUMBER(SEARCH("EXCHG RTE",C430)))),"Personal Travel - Italy",IFERROR(INDEX('Category Rules'!$B$2:$B$358,MATCH(TRUE,ISNUMBER(SEARCH('Category Rules'!$A$2:$A$358,C430)),0)),""))))))))</f>
        <v>Personal Travel</v>
      </c>
    </row>
    <row r="431" spans="1:7" x14ac:dyDescent="0.25">
      <c r="A431" t="s">
        <v>6</v>
      </c>
      <c r="B431" s="1">
        <v>45964</v>
      </c>
      <c r="C431" t="s">
        <v>397</v>
      </c>
      <c r="D431">
        <v>-96.08</v>
      </c>
      <c r="E431" t="s">
        <v>10</v>
      </c>
      <c r="F431">
        <v>5022.1000000000004</v>
      </c>
      <c r="G431" t="str" cm="1">
        <f t="array" ref="G431">IF(AND(ISNUMBER(SEARCH("UBER",C431)),ISNUMBER(SEARCH("EATS",C431))),"Uber Eats",IF(LEFT(C431,6)="CHECK ","Checks Paid",IF(OR(E431="BILLPAY",ISNUMBER(SEARCH("FRANCHISE TAX",C431)),ISNUMBER(SEARCH("NEXTLINK",C431))),"Personal - House Bills",IF(AND(ISNUMBER(SEARCH("PAYMENT FROM",C431)),ISNUMBER(SEARCH("JOE SAUNDERS",C431))),"Zelle from Joe Saunders",IF(AND(ISNUMBER(SEARCH("PAYMENT TO",C431)),ISNUMBER(SEARCH("JOE SAUNDERS",C431))),"Zelle to Joe Saunders",IF(OR(ISNUMBER(SEARCH("NEW ORLEANS",C431)),ISNUMBER(SEARCH("KENNER",C431)),ISNUMBER(SEARCH("HENRY HOWARD",C431)),ISNUMBER(SEARCH("MISS CLAUDIA",C431))),"Personal Travel - New Orleans",IF(AND(YEAR(B431)=2025,MONTH(B431)=4,OR(ISNUMBER(SEARCH("EXCHANGE RATE",C431)),ISNUMBER(SEARCH("EXCHG RTE",C431)))),"Personal Travel - Italy",IFERROR(INDEX('Category Rules'!$B$2:$B$358,MATCH(TRUE,ISNUMBER(SEARCH('Category Rules'!$A$2:$A$358,C431)),0)),""))))))))</f>
        <v>Personal Travel</v>
      </c>
    </row>
    <row r="432" spans="1:7" x14ac:dyDescent="0.25">
      <c r="A432" t="s">
        <v>6</v>
      </c>
      <c r="B432" s="1">
        <v>45964</v>
      </c>
      <c r="C432" t="s">
        <v>398</v>
      </c>
      <c r="D432">
        <v>-84</v>
      </c>
      <c r="E432" t="s">
        <v>10</v>
      </c>
      <c r="F432">
        <v>5118.18</v>
      </c>
      <c r="G432" t="str" cm="1">
        <f t="array" ref="G432">IF(AND(ISNUMBER(SEARCH("UBER",C432)),ISNUMBER(SEARCH("EATS",C432))),"Uber Eats",IF(LEFT(C432,6)="CHECK ","Checks Paid",IF(OR(E432="BILLPAY",ISNUMBER(SEARCH("FRANCHISE TAX",C432)),ISNUMBER(SEARCH("NEXTLINK",C432))),"Personal - House Bills",IF(AND(ISNUMBER(SEARCH("PAYMENT FROM",C432)),ISNUMBER(SEARCH("JOE SAUNDERS",C432))),"Zelle from Joe Saunders",IF(AND(ISNUMBER(SEARCH("PAYMENT TO",C432)),ISNUMBER(SEARCH("JOE SAUNDERS",C432))),"Zelle to Joe Saunders",IF(OR(ISNUMBER(SEARCH("NEW ORLEANS",C432)),ISNUMBER(SEARCH("KENNER",C432)),ISNUMBER(SEARCH("HENRY HOWARD",C432)),ISNUMBER(SEARCH("MISS CLAUDIA",C432))),"Personal Travel - New Orleans",IF(AND(YEAR(B432)=2025,MONTH(B432)=4,OR(ISNUMBER(SEARCH("EXCHANGE RATE",C432)),ISNUMBER(SEARCH("EXCHG RTE",C432)))),"Personal Travel - Italy",IFERROR(INDEX('Category Rules'!$B$2:$B$358,MATCH(TRUE,ISNUMBER(SEARCH('Category Rules'!$A$2:$A$358,C432)),0)),""))))))))</f>
        <v>Personal - Entertainment</v>
      </c>
    </row>
    <row r="433" spans="1:7" x14ac:dyDescent="0.25">
      <c r="A433" t="s">
        <v>6</v>
      </c>
      <c r="B433" s="1">
        <v>45964</v>
      </c>
      <c r="C433" t="s">
        <v>399</v>
      </c>
      <c r="D433">
        <v>-118.48</v>
      </c>
      <c r="E433" t="s">
        <v>10</v>
      </c>
      <c r="F433">
        <v>5202.18</v>
      </c>
      <c r="G433" t="str" cm="1">
        <f t="array" ref="G433">IF(AND(ISNUMBER(SEARCH("UBER",C433)),ISNUMBER(SEARCH("EATS",C433))),"Uber Eats",IF(LEFT(C433,6)="CHECK ","Checks Paid",IF(OR(E433="BILLPAY",ISNUMBER(SEARCH("FRANCHISE TAX",C433)),ISNUMBER(SEARCH("NEXTLINK",C433))),"Personal - House Bills",IF(AND(ISNUMBER(SEARCH("PAYMENT FROM",C433)),ISNUMBER(SEARCH("JOE SAUNDERS",C433))),"Zelle from Joe Saunders",IF(AND(ISNUMBER(SEARCH("PAYMENT TO",C433)),ISNUMBER(SEARCH("JOE SAUNDERS",C433))),"Zelle to Joe Saunders",IF(OR(ISNUMBER(SEARCH("NEW ORLEANS",C433)),ISNUMBER(SEARCH("KENNER",C433)),ISNUMBER(SEARCH("HENRY HOWARD",C433)),ISNUMBER(SEARCH("MISS CLAUDIA",C433))),"Personal Travel - New Orleans",IF(AND(YEAR(B433)=2025,MONTH(B433)=4,OR(ISNUMBER(SEARCH("EXCHANGE RATE",C433)),ISNUMBER(SEARCH("EXCHG RTE",C433)))),"Personal Travel - Italy",IFERROR(INDEX('Category Rules'!$B$2:$B$358,MATCH(TRUE,ISNUMBER(SEARCH('Category Rules'!$A$2:$A$358,C433)),0)),""))))))))</f>
        <v>Personal - Entertainment</v>
      </c>
    </row>
    <row r="434" spans="1:7" x14ac:dyDescent="0.25">
      <c r="A434" t="s">
        <v>6</v>
      </c>
      <c r="B434" s="1">
        <v>45964</v>
      </c>
      <c r="C434" t="s">
        <v>398</v>
      </c>
      <c r="D434">
        <v>-36</v>
      </c>
      <c r="E434" t="s">
        <v>10</v>
      </c>
      <c r="F434">
        <v>5320.66</v>
      </c>
      <c r="G434" t="str" cm="1">
        <f t="array" ref="G434">IF(AND(ISNUMBER(SEARCH("UBER",C434)),ISNUMBER(SEARCH("EATS",C434))),"Uber Eats",IF(LEFT(C434,6)="CHECK ","Checks Paid",IF(OR(E434="BILLPAY",ISNUMBER(SEARCH("FRANCHISE TAX",C434)),ISNUMBER(SEARCH("NEXTLINK",C434))),"Personal - House Bills",IF(AND(ISNUMBER(SEARCH("PAYMENT FROM",C434)),ISNUMBER(SEARCH("JOE SAUNDERS",C434))),"Zelle from Joe Saunders",IF(AND(ISNUMBER(SEARCH("PAYMENT TO",C434)),ISNUMBER(SEARCH("JOE SAUNDERS",C434))),"Zelle to Joe Saunders",IF(OR(ISNUMBER(SEARCH("NEW ORLEANS",C434)),ISNUMBER(SEARCH("KENNER",C434)),ISNUMBER(SEARCH("HENRY HOWARD",C434)),ISNUMBER(SEARCH("MISS CLAUDIA",C434))),"Personal Travel - New Orleans",IF(AND(YEAR(B434)=2025,MONTH(B434)=4,OR(ISNUMBER(SEARCH("EXCHANGE RATE",C434)),ISNUMBER(SEARCH("EXCHG RTE",C434)))),"Personal Travel - Italy",IFERROR(INDEX('Category Rules'!$B$2:$B$358,MATCH(TRUE,ISNUMBER(SEARCH('Category Rules'!$A$2:$A$358,C434)),0)),""))))))))</f>
        <v>Personal - Entertainment</v>
      </c>
    </row>
    <row r="435" spans="1:7" x14ac:dyDescent="0.25">
      <c r="A435" t="s">
        <v>6</v>
      </c>
      <c r="B435" s="1">
        <v>45964</v>
      </c>
      <c r="C435" t="s">
        <v>400</v>
      </c>
      <c r="D435">
        <v>-3.99</v>
      </c>
      <c r="E435" t="s">
        <v>10</v>
      </c>
      <c r="F435">
        <v>5356.66</v>
      </c>
      <c r="G435" t="str" cm="1">
        <f t="array" ref="G435">IF(AND(ISNUMBER(SEARCH("UBER",C435)),ISNUMBER(SEARCH("EATS",C435))),"Uber Eats",IF(LEFT(C435,6)="CHECK ","Checks Paid",IF(OR(E435="BILLPAY",ISNUMBER(SEARCH("FRANCHISE TAX",C435)),ISNUMBER(SEARCH("NEXTLINK",C435))),"Personal - House Bills",IF(AND(ISNUMBER(SEARCH("PAYMENT FROM",C435)),ISNUMBER(SEARCH("JOE SAUNDERS",C435))),"Zelle from Joe Saunders",IF(AND(ISNUMBER(SEARCH("PAYMENT TO",C435)),ISNUMBER(SEARCH("JOE SAUNDERS",C435))),"Zelle to Joe Saunders",IF(OR(ISNUMBER(SEARCH("NEW ORLEANS",C435)),ISNUMBER(SEARCH("KENNER",C435)),ISNUMBER(SEARCH("HENRY HOWARD",C435)),ISNUMBER(SEARCH("MISS CLAUDIA",C435))),"Personal Travel - New Orleans",IF(AND(YEAR(B435)=2025,MONTH(B435)=4,OR(ISNUMBER(SEARCH("EXCHANGE RATE",C435)),ISNUMBER(SEARCH("EXCHG RTE",C435)))),"Personal Travel - Italy",IFERROR(INDEX('Category Rules'!$B$2:$B$358,MATCH(TRUE,ISNUMBER(SEARCH('Category Rules'!$A$2:$A$358,C435)),0)),""))))))))</f>
        <v>Apple</v>
      </c>
    </row>
    <row r="436" spans="1:7" x14ac:dyDescent="0.25">
      <c r="A436" t="s">
        <v>6</v>
      </c>
      <c r="B436" s="1">
        <v>45964</v>
      </c>
      <c r="C436" t="s">
        <v>401</v>
      </c>
      <c r="D436">
        <v>-786.7</v>
      </c>
      <c r="E436" t="s">
        <v>10</v>
      </c>
      <c r="F436">
        <v>5360.65</v>
      </c>
      <c r="G436" t="str" cm="1">
        <f t="array" ref="G436">IF(AND(ISNUMBER(SEARCH("UBER",C436)),ISNUMBER(SEARCH("EATS",C436))),"Uber Eats",IF(LEFT(C436,6)="CHECK ","Checks Paid",IF(OR(E436="BILLPAY",ISNUMBER(SEARCH("FRANCHISE TAX",C436)),ISNUMBER(SEARCH("NEXTLINK",C436))),"Personal - House Bills",IF(AND(ISNUMBER(SEARCH("PAYMENT FROM",C436)),ISNUMBER(SEARCH("JOE SAUNDERS",C436))),"Zelle from Joe Saunders",IF(AND(ISNUMBER(SEARCH("PAYMENT TO",C436)),ISNUMBER(SEARCH("JOE SAUNDERS",C436))),"Zelle to Joe Saunders",IF(OR(ISNUMBER(SEARCH("NEW ORLEANS",C436)),ISNUMBER(SEARCH("KENNER",C436)),ISNUMBER(SEARCH("HENRY HOWARD",C436)),ISNUMBER(SEARCH("MISS CLAUDIA",C436))),"Personal Travel - New Orleans",IF(AND(YEAR(B436)=2025,MONTH(B436)=4,OR(ISNUMBER(SEARCH("EXCHANGE RATE",C436)),ISNUMBER(SEARCH("EXCHG RTE",C436)))),"Personal Travel - Italy",IFERROR(INDEX('Category Rules'!$B$2:$B$358,MATCH(TRUE,ISNUMBER(SEARCH('Category Rules'!$A$2:$A$358,C436)),0)),""))))))))</f>
        <v>Personal - Shopping</v>
      </c>
    </row>
    <row r="437" spans="1:7" x14ac:dyDescent="0.25">
      <c r="A437" t="s">
        <v>6</v>
      </c>
      <c r="B437" s="1">
        <v>45964</v>
      </c>
      <c r="C437" t="s">
        <v>402</v>
      </c>
      <c r="D437">
        <v>-523.92999999999995</v>
      </c>
      <c r="E437" t="s">
        <v>10</v>
      </c>
      <c r="F437">
        <v>6147.35</v>
      </c>
      <c r="G437" t="str" cm="1">
        <f t="array" ref="G437">IF(AND(ISNUMBER(SEARCH("UBER",C437)),ISNUMBER(SEARCH("EATS",C437))),"Uber Eats",IF(LEFT(C437,6)="CHECK ","Checks Paid",IF(OR(E437="BILLPAY",ISNUMBER(SEARCH("FRANCHISE TAX",C437)),ISNUMBER(SEARCH("NEXTLINK",C437))),"Personal - House Bills",IF(AND(ISNUMBER(SEARCH("PAYMENT FROM",C437)),ISNUMBER(SEARCH("JOE SAUNDERS",C437))),"Zelle from Joe Saunders",IF(AND(ISNUMBER(SEARCH("PAYMENT TO",C437)),ISNUMBER(SEARCH("JOE SAUNDERS",C437))),"Zelle to Joe Saunders",IF(OR(ISNUMBER(SEARCH("NEW ORLEANS",C437)),ISNUMBER(SEARCH("KENNER",C437)),ISNUMBER(SEARCH("HENRY HOWARD",C437)),ISNUMBER(SEARCH("MISS CLAUDIA",C437))),"Personal Travel - New Orleans",IF(AND(YEAR(B437)=2025,MONTH(B437)=4,OR(ISNUMBER(SEARCH("EXCHANGE RATE",C437)),ISNUMBER(SEARCH("EXCHG RTE",C437)))),"Personal Travel - Italy",IFERROR(INDEX('Category Rules'!$B$2:$B$358,MATCH(TRUE,ISNUMBER(SEARCH('Category Rules'!$A$2:$A$358,C437)),0)),""))))))))</f>
        <v>Personal - Shopping</v>
      </c>
    </row>
    <row r="438" spans="1:7" x14ac:dyDescent="0.25">
      <c r="A438" t="s">
        <v>6</v>
      </c>
      <c r="B438" s="1">
        <v>45964</v>
      </c>
      <c r="C438" t="s">
        <v>403</v>
      </c>
      <c r="D438">
        <v>-7.06</v>
      </c>
      <c r="E438" t="s">
        <v>10</v>
      </c>
      <c r="F438">
        <v>6671.28</v>
      </c>
      <c r="G438" t="str" cm="1">
        <f t="array" ref="G438">IF(AND(ISNUMBER(SEARCH("UBER",C438)),ISNUMBER(SEARCH("EATS",C438))),"Uber Eats",IF(LEFT(C438,6)="CHECK ","Checks Paid",IF(OR(E438="BILLPAY",ISNUMBER(SEARCH("FRANCHISE TAX",C438)),ISNUMBER(SEARCH("NEXTLINK",C438))),"Personal - House Bills",IF(AND(ISNUMBER(SEARCH("PAYMENT FROM",C438)),ISNUMBER(SEARCH("JOE SAUNDERS",C438))),"Zelle from Joe Saunders",IF(AND(ISNUMBER(SEARCH("PAYMENT TO",C438)),ISNUMBER(SEARCH("JOE SAUNDERS",C438))),"Zelle to Joe Saunders",IF(OR(ISNUMBER(SEARCH("NEW ORLEANS",C438)),ISNUMBER(SEARCH("KENNER",C438)),ISNUMBER(SEARCH("HENRY HOWARD",C438)),ISNUMBER(SEARCH("MISS CLAUDIA",C438))),"Personal Travel - New Orleans",IF(AND(YEAR(B438)=2025,MONTH(B438)=4,OR(ISNUMBER(SEARCH("EXCHANGE RATE",C438)),ISNUMBER(SEARCH("EXCHG RTE",C438)))),"Personal Travel - Italy",IFERROR(INDEX('Category Rules'!$B$2:$B$358,MATCH(TRUE,ISNUMBER(SEARCH('Category Rules'!$A$2:$A$358,C438)),0)),""))))))))</f>
        <v>Personal - Food</v>
      </c>
    </row>
    <row r="439" spans="1:7" x14ac:dyDescent="0.25">
      <c r="A439" t="s">
        <v>6</v>
      </c>
      <c r="B439" s="1">
        <v>45964</v>
      </c>
      <c r="C439" t="s">
        <v>404</v>
      </c>
      <c r="D439">
        <v>-725</v>
      </c>
      <c r="E439" t="s">
        <v>39</v>
      </c>
      <c r="F439">
        <v>6678.34</v>
      </c>
      <c r="G439" t="str" cm="1">
        <f t="array" ref="G439">IF(AND(ISNUMBER(SEARCH("UBER",C439)),ISNUMBER(SEARCH("EATS",C439))),"Uber Eats",IF(LEFT(C439,6)="CHECK ","Checks Paid",IF(OR(E439="BILLPAY",ISNUMBER(SEARCH("FRANCHISE TAX",C439)),ISNUMBER(SEARCH("NEXTLINK",C439))),"Personal - House Bills",IF(AND(ISNUMBER(SEARCH("PAYMENT FROM",C439)),ISNUMBER(SEARCH("JOE SAUNDERS",C439))),"Zelle from Joe Saunders",IF(AND(ISNUMBER(SEARCH("PAYMENT TO",C439)),ISNUMBER(SEARCH("JOE SAUNDERS",C439))),"Zelle to Joe Saunders",IF(OR(ISNUMBER(SEARCH("NEW ORLEANS",C439)),ISNUMBER(SEARCH("KENNER",C439)),ISNUMBER(SEARCH("HENRY HOWARD",C439)),ISNUMBER(SEARCH("MISS CLAUDIA",C439))),"Personal Travel - New Orleans",IF(AND(YEAR(B439)=2025,MONTH(B439)=4,OR(ISNUMBER(SEARCH("EXCHANGE RATE",C439)),ISNUMBER(SEARCH("EXCHG RTE",C439)))),"Personal Travel - Italy",IFERROR(INDEX('Category Rules'!$B$2:$B$358,MATCH(TRUE,ISNUMBER(SEARCH('Category Rules'!$A$2:$A$358,C439)),0)),""))))))))</f>
        <v>Zelle to Denise Quezada</v>
      </c>
    </row>
    <row r="440" spans="1:7" x14ac:dyDescent="0.25">
      <c r="A440" t="s">
        <v>6</v>
      </c>
      <c r="B440" s="1">
        <v>45964</v>
      </c>
      <c r="C440" t="s">
        <v>405</v>
      </c>
      <c r="D440">
        <v>-253.81</v>
      </c>
      <c r="E440" t="s">
        <v>10</v>
      </c>
      <c r="F440">
        <v>7403.34</v>
      </c>
      <c r="G440" t="str" cm="1">
        <f t="array" ref="G440">IF(AND(ISNUMBER(SEARCH("UBER",C440)),ISNUMBER(SEARCH("EATS",C440))),"Uber Eats",IF(LEFT(C440,6)="CHECK ","Checks Paid",IF(OR(E440="BILLPAY",ISNUMBER(SEARCH("FRANCHISE TAX",C440)),ISNUMBER(SEARCH("NEXTLINK",C440))),"Personal - House Bills",IF(AND(ISNUMBER(SEARCH("PAYMENT FROM",C440)),ISNUMBER(SEARCH("JOE SAUNDERS",C440))),"Zelle from Joe Saunders",IF(AND(ISNUMBER(SEARCH("PAYMENT TO",C440)),ISNUMBER(SEARCH("JOE SAUNDERS",C440))),"Zelle to Joe Saunders",IF(OR(ISNUMBER(SEARCH("NEW ORLEANS",C440)),ISNUMBER(SEARCH("KENNER",C440)),ISNUMBER(SEARCH("HENRY HOWARD",C440)),ISNUMBER(SEARCH("MISS CLAUDIA",C440))),"Personal Travel - New Orleans",IF(AND(YEAR(B440)=2025,MONTH(B440)=4,OR(ISNUMBER(SEARCH("EXCHANGE RATE",C440)),ISNUMBER(SEARCH("EXCHG RTE",C440)))),"Personal Travel - Italy",IFERROR(INDEX('Category Rules'!$B$2:$B$358,MATCH(TRUE,ISNUMBER(SEARCH('Category Rules'!$A$2:$A$358,C440)),0)),""))))))))</f>
        <v>Personal - Shopping</v>
      </c>
    </row>
    <row r="441" spans="1:7" x14ac:dyDescent="0.25">
      <c r="A441" t="s">
        <v>6</v>
      </c>
      <c r="B441" s="1">
        <v>45964</v>
      </c>
      <c r="C441" t="s">
        <v>406</v>
      </c>
      <c r="D441">
        <v>-41.07</v>
      </c>
      <c r="E441" t="s">
        <v>10</v>
      </c>
      <c r="F441">
        <v>7657.15</v>
      </c>
      <c r="G441" t="str" cm="1">
        <f t="array" ref="G441">IF(AND(ISNUMBER(SEARCH("UBER",C441)),ISNUMBER(SEARCH("EATS",C441))),"Uber Eats",IF(LEFT(C441,6)="CHECK ","Checks Paid",IF(OR(E441="BILLPAY",ISNUMBER(SEARCH("FRANCHISE TAX",C441)),ISNUMBER(SEARCH("NEXTLINK",C441))),"Personal - House Bills",IF(AND(ISNUMBER(SEARCH("PAYMENT FROM",C441)),ISNUMBER(SEARCH("JOE SAUNDERS",C441))),"Zelle from Joe Saunders",IF(AND(ISNUMBER(SEARCH("PAYMENT TO",C441)),ISNUMBER(SEARCH("JOE SAUNDERS",C441))),"Zelle to Joe Saunders",IF(OR(ISNUMBER(SEARCH("NEW ORLEANS",C441)),ISNUMBER(SEARCH("KENNER",C441)),ISNUMBER(SEARCH("HENRY HOWARD",C441)),ISNUMBER(SEARCH("MISS CLAUDIA",C441))),"Personal Travel - New Orleans",IF(AND(YEAR(B441)=2025,MONTH(B441)=4,OR(ISNUMBER(SEARCH("EXCHANGE RATE",C441)),ISNUMBER(SEARCH("EXCHG RTE",C441)))),"Personal Travel - Italy",IFERROR(INDEX('Category Rules'!$B$2:$B$358,MATCH(TRUE,ISNUMBER(SEARCH('Category Rules'!$A$2:$A$358,C441)),0)),""))))))))</f>
        <v>Personal - Entertainment</v>
      </c>
    </row>
    <row r="442" spans="1:7" x14ac:dyDescent="0.25">
      <c r="A442" t="s">
        <v>6</v>
      </c>
      <c r="B442" s="1">
        <v>45964</v>
      </c>
      <c r="C442" t="s">
        <v>407</v>
      </c>
      <c r="D442">
        <v>-944.63</v>
      </c>
      <c r="E442" t="s">
        <v>10</v>
      </c>
      <c r="F442">
        <v>7698.22</v>
      </c>
      <c r="G442" t="str" cm="1">
        <f t="array" ref="G442">IF(AND(ISNUMBER(SEARCH("UBER",C442)),ISNUMBER(SEARCH("EATS",C442))),"Uber Eats",IF(LEFT(C442,6)="CHECK ","Checks Paid",IF(OR(E442="BILLPAY",ISNUMBER(SEARCH("FRANCHISE TAX",C442)),ISNUMBER(SEARCH("NEXTLINK",C442))),"Personal - House Bills",IF(AND(ISNUMBER(SEARCH("PAYMENT FROM",C442)),ISNUMBER(SEARCH("JOE SAUNDERS",C442))),"Zelle from Joe Saunders",IF(AND(ISNUMBER(SEARCH("PAYMENT TO",C442)),ISNUMBER(SEARCH("JOE SAUNDERS",C442))),"Zelle to Joe Saunders",IF(OR(ISNUMBER(SEARCH("NEW ORLEANS",C442)),ISNUMBER(SEARCH("KENNER",C442)),ISNUMBER(SEARCH("HENRY HOWARD",C442)),ISNUMBER(SEARCH("MISS CLAUDIA",C442))),"Personal Travel - New Orleans",IF(AND(YEAR(B442)=2025,MONTH(B442)=4,OR(ISNUMBER(SEARCH("EXCHANGE RATE",C442)),ISNUMBER(SEARCH("EXCHG RTE",C442)))),"Personal Travel - Italy",IFERROR(INDEX('Category Rules'!$B$2:$B$358,MATCH(TRUE,ISNUMBER(SEARCH('Category Rules'!$A$2:$A$358,C442)),0)),""))))))))</f>
        <v>Personal - Health Insurance</v>
      </c>
    </row>
    <row r="443" spans="1:7" x14ac:dyDescent="0.25">
      <c r="A443" t="s">
        <v>6</v>
      </c>
      <c r="B443" s="1">
        <v>45964</v>
      </c>
      <c r="C443" t="s">
        <v>408</v>
      </c>
      <c r="D443">
        <v>-795.54</v>
      </c>
      <c r="E443" t="s">
        <v>10</v>
      </c>
      <c r="F443">
        <v>8642.85</v>
      </c>
      <c r="G443" t="str" cm="1">
        <f t="array" ref="G443">IF(AND(ISNUMBER(SEARCH("UBER",C443)),ISNUMBER(SEARCH("EATS",C443))),"Uber Eats",IF(LEFT(C443,6)="CHECK ","Checks Paid",IF(OR(E443="BILLPAY",ISNUMBER(SEARCH("FRANCHISE TAX",C443)),ISNUMBER(SEARCH("NEXTLINK",C443))),"Personal - House Bills",IF(AND(ISNUMBER(SEARCH("PAYMENT FROM",C443)),ISNUMBER(SEARCH("JOE SAUNDERS",C443))),"Zelle from Joe Saunders",IF(AND(ISNUMBER(SEARCH("PAYMENT TO",C443)),ISNUMBER(SEARCH("JOE SAUNDERS",C443))),"Zelle to Joe Saunders",IF(OR(ISNUMBER(SEARCH("NEW ORLEANS",C443)),ISNUMBER(SEARCH("KENNER",C443)),ISNUMBER(SEARCH("HENRY HOWARD",C443)),ISNUMBER(SEARCH("MISS CLAUDIA",C443))),"Personal Travel - New Orleans",IF(AND(YEAR(B443)=2025,MONTH(B443)=4,OR(ISNUMBER(SEARCH("EXCHANGE RATE",C443)),ISNUMBER(SEARCH("EXCHG RTE",C443)))),"Personal Travel - Italy",IFERROR(INDEX('Category Rules'!$B$2:$B$358,MATCH(TRUE,ISNUMBER(SEARCH('Category Rules'!$A$2:$A$358,C443)),0)),""))))))))</f>
        <v>Personal - Shopping</v>
      </c>
    </row>
    <row r="444" spans="1:7" x14ac:dyDescent="0.25">
      <c r="A444" t="s">
        <v>44</v>
      </c>
      <c r="B444" s="1">
        <v>45964</v>
      </c>
      <c r="C444" t="s">
        <v>409</v>
      </c>
      <c r="D444">
        <v>500</v>
      </c>
      <c r="E444" t="s">
        <v>46</v>
      </c>
      <c r="F444">
        <v>9438.39</v>
      </c>
      <c r="G444" t="str" cm="1">
        <f t="array" ref="G444">IF(AND(ISNUMBER(SEARCH("UBER",C444)),ISNUMBER(SEARCH("EATS",C444))),"Uber Eats",IF(LEFT(C444,6)="CHECK ","Checks Paid",IF(OR(E444="BILLPAY",ISNUMBER(SEARCH("FRANCHISE TAX",C444)),ISNUMBER(SEARCH("NEXTLINK",C444))),"Personal - House Bills",IF(AND(ISNUMBER(SEARCH("PAYMENT FROM",C444)),ISNUMBER(SEARCH("JOE SAUNDERS",C444))),"Zelle from Joe Saunders",IF(AND(ISNUMBER(SEARCH("PAYMENT TO",C444)),ISNUMBER(SEARCH("JOE SAUNDERS",C444))),"Zelle to Joe Saunders",IF(OR(ISNUMBER(SEARCH("NEW ORLEANS",C444)),ISNUMBER(SEARCH("KENNER",C444)),ISNUMBER(SEARCH("HENRY HOWARD",C444)),ISNUMBER(SEARCH("MISS CLAUDIA",C444))),"Personal Travel - New Orleans",IF(AND(YEAR(B444)=2025,MONTH(B444)=4,OR(ISNUMBER(SEARCH("EXCHANGE RATE",C444)),ISNUMBER(SEARCH("EXCHG RTE",C444)))),"Personal Travel - Italy",IFERROR(INDEX('Category Rules'!$B$2:$B$358,MATCH(TRUE,ISNUMBER(SEARCH('Category Rules'!$A$2:$A$358,C444)),0)),""))))))))</f>
        <v>Zelle from Joe Saunders</v>
      </c>
    </row>
    <row r="445" spans="1:7" x14ac:dyDescent="0.25">
      <c r="A445" t="s">
        <v>44</v>
      </c>
      <c r="B445" s="1">
        <v>45964</v>
      </c>
      <c r="C445" t="s">
        <v>410</v>
      </c>
      <c r="D445">
        <v>3000</v>
      </c>
      <c r="E445" t="s">
        <v>73</v>
      </c>
      <c r="F445">
        <v>8938.39</v>
      </c>
      <c r="G445" t="str" cm="1">
        <f t="array" ref="G445">IF(AND(ISNUMBER(SEARCH("UBER",C445)),ISNUMBER(SEARCH("EATS",C445))),"Uber Eats",IF(LEFT(C445,6)="CHECK ","Checks Paid",IF(OR(E445="BILLPAY",ISNUMBER(SEARCH("FRANCHISE TAX",C445)),ISNUMBER(SEARCH("NEXTLINK",C445))),"Personal - House Bills",IF(AND(ISNUMBER(SEARCH("PAYMENT FROM",C445)),ISNUMBER(SEARCH("JOE SAUNDERS",C445))),"Zelle from Joe Saunders",IF(AND(ISNUMBER(SEARCH("PAYMENT TO",C445)),ISNUMBER(SEARCH("JOE SAUNDERS",C445))),"Zelle to Joe Saunders",IF(OR(ISNUMBER(SEARCH("NEW ORLEANS",C445)),ISNUMBER(SEARCH("KENNER",C445)),ISNUMBER(SEARCH("HENRY HOWARD",C445)),ISNUMBER(SEARCH("MISS CLAUDIA",C445))),"Personal Travel - New Orleans",IF(AND(YEAR(B445)=2025,MONTH(B445)=4,OR(ISNUMBER(SEARCH("EXCHANGE RATE",C445)),ISNUMBER(SEARCH("EXCHG RTE",C445)))),"Personal Travel - Italy",IFERROR(INDEX('Category Rules'!$B$2:$B$358,MATCH(TRUE,ISNUMBER(SEARCH('Category Rules'!$A$2:$A$358,C445)),0)),""))))))))</f>
        <v>Transfer from DWG Capital Group</v>
      </c>
    </row>
    <row r="446" spans="1:7" x14ac:dyDescent="0.25">
      <c r="A446" t="s">
        <v>44</v>
      </c>
      <c r="B446" s="1">
        <v>45964</v>
      </c>
      <c r="C446" t="s">
        <v>411</v>
      </c>
      <c r="D446">
        <v>3000</v>
      </c>
      <c r="E446" t="s">
        <v>73</v>
      </c>
      <c r="F446">
        <v>5938.39</v>
      </c>
      <c r="G446" t="str" cm="1">
        <f t="array" ref="G446">IF(AND(ISNUMBER(SEARCH("UBER",C446)),ISNUMBER(SEARCH("EATS",C446))),"Uber Eats",IF(LEFT(C446,6)="CHECK ","Checks Paid",IF(OR(E446="BILLPAY",ISNUMBER(SEARCH("FRANCHISE TAX",C446)),ISNUMBER(SEARCH("NEXTLINK",C446))),"Personal - House Bills",IF(AND(ISNUMBER(SEARCH("PAYMENT FROM",C446)),ISNUMBER(SEARCH("JOE SAUNDERS",C446))),"Zelle from Joe Saunders",IF(AND(ISNUMBER(SEARCH("PAYMENT TO",C446)),ISNUMBER(SEARCH("JOE SAUNDERS",C446))),"Zelle to Joe Saunders",IF(OR(ISNUMBER(SEARCH("NEW ORLEANS",C446)),ISNUMBER(SEARCH("KENNER",C446)),ISNUMBER(SEARCH("HENRY HOWARD",C446)),ISNUMBER(SEARCH("MISS CLAUDIA",C446))),"Personal Travel - New Orleans",IF(AND(YEAR(B446)=2025,MONTH(B446)=4,OR(ISNUMBER(SEARCH("EXCHANGE RATE",C446)),ISNUMBER(SEARCH("EXCHG RTE",C446)))),"Personal Travel - Italy",IFERROR(INDEX('Category Rules'!$B$2:$B$358,MATCH(TRUE,ISNUMBER(SEARCH('Category Rules'!$A$2:$A$358,C446)),0)),""))))))))</f>
        <v>Transfer from DWG Capital Group</v>
      </c>
    </row>
    <row r="447" spans="1:7" x14ac:dyDescent="0.25">
      <c r="A447" t="s">
        <v>6</v>
      </c>
      <c r="B447" s="1">
        <v>45961</v>
      </c>
      <c r="C447" t="s">
        <v>412</v>
      </c>
      <c r="D447">
        <v>-40</v>
      </c>
      <c r="E447" t="s">
        <v>10</v>
      </c>
      <c r="F447">
        <v>2938.39</v>
      </c>
      <c r="G447" t="str" cm="1">
        <f t="array" ref="G447">IF(AND(ISNUMBER(SEARCH("UBER",C447)),ISNUMBER(SEARCH("EATS",C447))),"Uber Eats",IF(LEFT(C447,6)="CHECK ","Checks Paid",IF(OR(E447="BILLPAY",ISNUMBER(SEARCH("FRANCHISE TAX",C447)),ISNUMBER(SEARCH("NEXTLINK",C447))),"Personal - House Bills",IF(AND(ISNUMBER(SEARCH("PAYMENT FROM",C447)),ISNUMBER(SEARCH("JOE SAUNDERS",C447))),"Zelle from Joe Saunders",IF(AND(ISNUMBER(SEARCH("PAYMENT TO",C447)),ISNUMBER(SEARCH("JOE SAUNDERS",C447))),"Zelle to Joe Saunders",IF(OR(ISNUMBER(SEARCH("NEW ORLEANS",C447)),ISNUMBER(SEARCH("KENNER",C447)),ISNUMBER(SEARCH("HENRY HOWARD",C447)),ISNUMBER(SEARCH("MISS CLAUDIA",C447))),"Personal Travel - New Orleans",IF(AND(YEAR(B447)=2025,MONTH(B447)=4,OR(ISNUMBER(SEARCH("EXCHANGE RATE",C447)),ISNUMBER(SEARCH("EXCHG RTE",C447)))),"Personal Travel - Italy",IFERROR(INDEX('Category Rules'!$B$2:$B$358,MATCH(TRUE,ISNUMBER(SEARCH('Category Rules'!$A$2:$A$358,C447)),0)),""))))))))</f>
        <v>Personal - Car</v>
      </c>
    </row>
    <row r="448" spans="1:7" x14ac:dyDescent="0.25">
      <c r="A448" t="s">
        <v>6</v>
      </c>
      <c r="B448" s="1">
        <v>45961</v>
      </c>
      <c r="C448" t="s">
        <v>413</v>
      </c>
      <c r="D448">
        <v>-99.98</v>
      </c>
      <c r="E448" t="s">
        <v>10</v>
      </c>
      <c r="F448">
        <v>2978.39</v>
      </c>
      <c r="G448" t="str" cm="1">
        <f t="array" ref="G448">IF(AND(ISNUMBER(SEARCH("UBER",C448)),ISNUMBER(SEARCH("EATS",C448))),"Uber Eats",IF(LEFT(C448,6)="CHECK ","Checks Paid",IF(OR(E448="BILLPAY",ISNUMBER(SEARCH("FRANCHISE TAX",C448)),ISNUMBER(SEARCH("NEXTLINK",C448))),"Personal - House Bills",IF(AND(ISNUMBER(SEARCH("PAYMENT FROM",C448)),ISNUMBER(SEARCH("JOE SAUNDERS",C448))),"Zelle from Joe Saunders",IF(AND(ISNUMBER(SEARCH("PAYMENT TO",C448)),ISNUMBER(SEARCH("JOE SAUNDERS",C448))),"Zelle to Joe Saunders",IF(OR(ISNUMBER(SEARCH("NEW ORLEANS",C448)),ISNUMBER(SEARCH("KENNER",C448)),ISNUMBER(SEARCH("HENRY HOWARD",C448)),ISNUMBER(SEARCH("MISS CLAUDIA",C448))),"Personal Travel - New Orleans",IF(AND(YEAR(B448)=2025,MONTH(B448)=4,OR(ISNUMBER(SEARCH("EXCHANGE RATE",C448)),ISNUMBER(SEARCH("EXCHG RTE",C448)))),"Personal Travel - Italy",IFERROR(INDEX('Category Rules'!$B$2:$B$358,MATCH(TRUE,ISNUMBER(SEARCH('Category Rules'!$A$2:$A$358,C448)),0)),""))))))))</f>
        <v>Amazon</v>
      </c>
    </row>
    <row r="449" spans="1:7" x14ac:dyDescent="0.25">
      <c r="A449" t="s">
        <v>6</v>
      </c>
      <c r="B449" s="1">
        <v>45961</v>
      </c>
      <c r="C449" t="s">
        <v>414</v>
      </c>
      <c r="D449">
        <v>-100</v>
      </c>
      <c r="E449" t="s">
        <v>10</v>
      </c>
      <c r="F449">
        <v>3078.37</v>
      </c>
      <c r="G449" t="str" cm="1">
        <f t="array" ref="G449">IF(AND(ISNUMBER(SEARCH("UBER",C449)),ISNUMBER(SEARCH("EATS",C449))),"Uber Eats",IF(LEFT(C449,6)="CHECK ","Checks Paid",IF(OR(E449="BILLPAY",ISNUMBER(SEARCH("FRANCHISE TAX",C449)),ISNUMBER(SEARCH("NEXTLINK",C449))),"Personal - House Bills",IF(AND(ISNUMBER(SEARCH("PAYMENT FROM",C449)),ISNUMBER(SEARCH("JOE SAUNDERS",C449))),"Zelle from Joe Saunders",IF(AND(ISNUMBER(SEARCH("PAYMENT TO",C449)),ISNUMBER(SEARCH("JOE SAUNDERS",C449))),"Zelle to Joe Saunders",IF(OR(ISNUMBER(SEARCH("NEW ORLEANS",C449)),ISNUMBER(SEARCH("KENNER",C449)),ISNUMBER(SEARCH("HENRY HOWARD",C449)),ISNUMBER(SEARCH("MISS CLAUDIA",C449))),"Personal Travel - New Orleans",IF(AND(YEAR(B449)=2025,MONTH(B449)=4,OR(ISNUMBER(SEARCH("EXCHANGE RATE",C449)),ISNUMBER(SEARCH("EXCHG RTE",C449)))),"Personal Travel - Italy",IFERROR(INDEX('Category Rules'!$B$2:$B$358,MATCH(TRUE,ISNUMBER(SEARCH('Category Rules'!$A$2:$A$358,C449)),0)),""))))))))</f>
        <v>Personal - Subscription</v>
      </c>
    </row>
    <row r="450" spans="1:7" x14ac:dyDescent="0.25">
      <c r="A450" t="s">
        <v>6</v>
      </c>
      <c r="B450" s="1">
        <v>45961</v>
      </c>
      <c r="C450" t="s">
        <v>414</v>
      </c>
      <c r="D450">
        <v>-100</v>
      </c>
      <c r="E450" t="s">
        <v>10</v>
      </c>
      <c r="F450">
        <v>3178.37</v>
      </c>
      <c r="G450" t="str" cm="1">
        <f t="array" ref="G450">IF(AND(ISNUMBER(SEARCH("UBER",C450)),ISNUMBER(SEARCH("EATS",C450))),"Uber Eats",IF(LEFT(C450,6)="CHECK ","Checks Paid",IF(OR(E450="BILLPAY",ISNUMBER(SEARCH("FRANCHISE TAX",C450)),ISNUMBER(SEARCH("NEXTLINK",C450))),"Personal - House Bills",IF(AND(ISNUMBER(SEARCH("PAYMENT FROM",C450)),ISNUMBER(SEARCH("JOE SAUNDERS",C450))),"Zelle from Joe Saunders",IF(AND(ISNUMBER(SEARCH("PAYMENT TO",C450)),ISNUMBER(SEARCH("JOE SAUNDERS",C450))),"Zelle to Joe Saunders",IF(OR(ISNUMBER(SEARCH("NEW ORLEANS",C450)),ISNUMBER(SEARCH("KENNER",C450)),ISNUMBER(SEARCH("HENRY HOWARD",C450)),ISNUMBER(SEARCH("MISS CLAUDIA",C450))),"Personal Travel - New Orleans",IF(AND(YEAR(B450)=2025,MONTH(B450)=4,OR(ISNUMBER(SEARCH("EXCHANGE RATE",C450)),ISNUMBER(SEARCH("EXCHG RTE",C450)))),"Personal Travel - Italy",IFERROR(INDEX('Category Rules'!$B$2:$B$358,MATCH(TRUE,ISNUMBER(SEARCH('Category Rules'!$A$2:$A$358,C450)),0)),""))))))))</f>
        <v>Personal - Subscription</v>
      </c>
    </row>
    <row r="451" spans="1:7" x14ac:dyDescent="0.25">
      <c r="A451" t="s">
        <v>44</v>
      </c>
      <c r="B451" s="1">
        <v>45961</v>
      </c>
      <c r="C451" t="s">
        <v>415</v>
      </c>
      <c r="D451">
        <v>1000</v>
      </c>
      <c r="E451" t="s">
        <v>73</v>
      </c>
      <c r="F451">
        <v>3278.37</v>
      </c>
      <c r="G451" t="str" cm="1">
        <f t="array" ref="G451">IF(AND(ISNUMBER(SEARCH("UBER",C451)),ISNUMBER(SEARCH("EATS",C451))),"Uber Eats",IF(LEFT(C451,6)="CHECK ","Checks Paid",IF(OR(E451="BILLPAY",ISNUMBER(SEARCH("FRANCHISE TAX",C451)),ISNUMBER(SEARCH("NEXTLINK",C451))),"Personal - House Bills",IF(AND(ISNUMBER(SEARCH("PAYMENT FROM",C451)),ISNUMBER(SEARCH("JOE SAUNDERS",C451))),"Zelle from Joe Saunders",IF(AND(ISNUMBER(SEARCH("PAYMENT TO",C451)),ISNUMBER(SEARCH("JOE SAUNDERS",C451))),"Zelle to Joe Saunders",IF(OR(ISNUMBER(SEARCH("NEW ORLEANS",C451)),ISNUMBER(SEARCH("KENNER",C451)),ISNUMBER(SEARCH("HENRY HOWARD",C451)),ISNUMBER(SEARCH("MISS CLAUDIA",C451))),"Personal Travel - New Orleans",IF(AND(YEAR(B451)=2025,MONTH(B451)=4,OR(ISNUMBER(SEARCH("EXCHANGE RATE",C451)),ISNUMBER(SEARCH("EXCHG RTE",C451)))),"Personal Travel - Italy",IFERROR(INDEX('Category Rules'!$B$2:$B$358,MATCH(TRUE,ISNUMBER(SEARCH('Category Rules'!$A$2:$A$358,C451)),0)),""))))))))</f>
        <v>Transfer from DWG Capital Group</v>
      </c>
    </row>
    <row r="452" spans="1:7" x14ac:dyDescent="0.25">
      <c r="A452" t="s">
        <v>6</v>
      </c>
      <c r="B452" s="1">
        <v>45960</v>
      </c>
      <c r="C452" t="s">
        <v>416</v>
      </c>
      <c r="D452">
        <v>-19</v>
      </c>
      <c r="E452" t="s">
        <v>10</v>
      </c>
      <c r="F452">
        <v>2278.37</v>
      </c>
      <c r="G452" t="str" cm="1">
        <f t="array" ref="G452">IF(AND(ISNUMBER(SEARCH("UBER",C452)),ISNUMBER(SEARCH("EATS",C452))),"Uber Eats",IF(LEFT(C452,6)="CHECK ","Checks Paid",IF(OR(E452="BILLPAY",ISNUMBER(SEARCH("FRANCHISE TAX",C452)),ISNUMBER(SEARCH("NEXTLINK",C452))),"Personal - House Bills",IF(AND(ISNUMBER(SEARCH("PAYMENT FROM",C452)),ISNUMBER(SEARCH("JOE SAUNDERS",C452))),"Zelle from Joe Saunders",IF(AND(ISNUMBER(SEARCH("PAYMENT TO",C452)),ISNUMBER(SEARCH("JOE SAUNDERS",C452))),"Zelle to Joe Saunders",IF(OR(ISNUMBER(SEARCH("NEW ORLEANS",C452)),ISNUMBER(SEARCH("KENNER",C452)),ISNUMBER(SEARCH("HENRY HOWARD",C452)),ISNUMBER(SEARCH("MISS CLAUDIA",C452))),"Personal Travel - New Orleans",IF(AND(YEAR(B452)=2025,MONTH(B452)=4,OR(ISNUMBER(SEARCH("EXCHANGE RATE",C452)),ISNUMBER(SEARCH("EXCHG RTE",C452)))),"Personal Travel - Italy",IFERROR(INDEX('Category Rules'!$B$2:$B$358,MATCH(TRUE,ISNUMBER(SEARCH('Category Rules'!$A$2:$A$358,C452)),0)),""))))))))</f>
        <v>Personal - Subscription</v>
      </c>
    </row>
    <row r="453" spans="1:7" x14ac:dyDescent="0.25">
      <c r="A453" t="s">
        <v>6</v>
      </c>
      <c r="B453" s="1">
        <v>45960</v>
      </c>
      <c r="C453" t="s">
        <v>417</v>
      </c>
      <c r="D453">
        <v>-69.8</v>
      </c>
      <c r="E453" t="s">
        <v>10</v>
      </c>
      <c r="F453">
        <v>2297.37</v>
      </c>
      <c r="G453" t="str" cm="1">
        <f t="array" ref="G453">IF(AND(ISNUMBER(SEARCH("UBER",C453)),ISNUMBER(SEARCH("EATS",C453))),"Uber Eats",IF(LEFT(C453,6)="CHECK ","Checks Paid",IF(OR(E453="BILLPAY",ISNUMBER(SEARCH("FRANCHISE TAX",C453)),ISNUMBER(SEARCH("NEXTLINK",C453))),"Personal - House Bills",IF(AND(ISNUMBER(SEARCH("PAYMENT FROM",C453)),ISNUMBER(SEARCH("JOE SAUNDERS",C453))),"Zelle from Joe Saunders",IF(AND(ISNUMBER(SEARCH("PAYMENT TO",C453)),ISNUMBER(SEARCH("JOE SAUNDERS",C453))),"Zelle to Joe Saunders",IF(OR(ISNUMBER(SEARCH("NEW ORLEANS",C453)),ISNUMBER(SEARCH("KENNER",C453)),ISNUMBER(SEARCH("HENRY HOWARD",C453)),ISNUMBER(SEARCH("MISS CLAUDIA",C453))),"Personal Travel - New Orleans",IF(AND(YEAR(B453)=2025,MONTH(B453)=4,OR(ISNUMBER(SEARCH("EXCHANGE RATE",C453)),ISNUMBER(SEARCH("EXCHG RTE",C453)))),"Personal Travel - Italy",IFERROR(INDEX('Category Rules'!$B$2:$B$358,MATCH(TRUE,ISNUMBER(SEARCH('Category Rules'!$A$2:$A$358,C453)),0)),""))))))))</f>
        <v>Personal - Food</v>
      </c>
    </row>
    <row r="454" spans="1:7" x14ac:dyDescent="0.25">
      <c r="A454" t="s">
        <v>6</v>
      </c>
      <c r="B454" s="1">
        <v>45960</v>
      </c>
      <c r="C454" t="s">
        <v>418</v>
      </c>
      <c r="D454">
        <v>-112.75</v>
      </c>
      <c r="E454" t="s">
        <v>10</v>
      </c>
      <c r="F454">
        <v>2367.17</v>
      </c>
      <c r="G454" t="str" cm="1">
        <f t="array" ref="G454">IF(AND(ISNUMBER(SEARCH("UBER",C454)),ISNUMBER(SEARCH("EATS",C454))),"Uber Eats",IF(LEFT(C454,6)="CHECK ","Checks Paid",IF(OR(E454="BILLPAY",ISNUMBER(SEARCH("FRANCHISE TAX",C454)),ISNUMBER(SEARCH("NEXTLINK",C454))),"Personal - House Bills",IF(AND(ISNUMBER(SEARCH("PAYMENT FROM",C454)),ISNUMBER(SEARCH("JOE SAUNDERS",C454))),"Zelle from Joe Saunders",IF(AND(ISNUMBER(SEARCH("PAYMENT TO",C454)),ISNUMBER(SEARCH("JOE SAUNDERS",C454))),"Zelle to Joe Saunders",IF(OR(ISNUMBER(SEARCH("NEW ORLEANS",C454)),ISNUMBER(SEARCH("KENNER",C454)),ISNUMBER(SEARCH("HENRY HOWARD",C454)),ISNUMBER(SEARCH("MISS CLAUDIA",C454))),"Personal Travel - New Orleans",IF(AND(YEAR(B454)=2025,MONTH(B454)=4,OR(ISNUMBER(SEARCH("EXCHANGE RATE",C454)),ISNUMBER(SEARCH("EXCHG RTE",C454)))),"Personal Travel - Italy",IFERROR(INDEX('Category Rules'!$B$2:$B$358,MATCH(TRUE,ISNUMBER(SEARCH('Category Rules'!$A$2:$A$358,C454)),0)),""))))))))</f>
        <v>Personal - Clothing</v>
      </c>
    </row>
    <row r="455" spans="1:7" x14ac:dyDescent="0.25">
      <c r="A455" t="s">
        <v>6</v>
      </c>
      <c r="B455" s="1">
        <v>45959</v>
      </c>
      <c r="C455" t="s">
        <v>419</v>
      </c>
      <c r="D455">
        <v>-6.81</v>
      </c>
      <c r="E455" t="s">
        <v>10</v>
      </c>
      <c r="F455">
        <v>2479.92</v>
      </c>
      <c r="G455" t="str" cm="1">
        <f t="array" ref="G455">IF(AND(ISNUMBER(SEARCH("UBER",C455)),ISNUMBER(SEARCH("EATS",C455))),"Uber Eats",IF(LEFT(C455,6)="CHECK ","Checks Paid",IF(OR(E455="BILLPAY",ISNUMBER(SEARCH("FRANCHISE TAX",C455)),ISNUMBER(SEARCH("NEXTLINK",C455))),"Personal - House Bills",IF(AND(ISNUMBER(SEARCH("PAYMENT FROM",C455)),ISNUMBER(SEARCH("JOE SAUNDERS",C455))),"Zelle from Joe Saunders",IF(AND(ISNUMBER(SEARCH("PAYMENT TO",C455)),ISNUMBER(SEARCH("JOE SAUNDERS",C455))),"Zelle to Joe Saunders",IF(OR(ISNUMBER(SEARCH("NEW ORLEANS",C455)),ISNUMBER(SEARCH("KENNER",C455)),ISNUMBER(SEARCH("HENRY HOWARD",C455)),ISNUMBER(SEARCH("MISS CLAUDIA",C455))),"Personal Travel - New Orleans",IF(AND(YEAR(B455)=2025,MONTH(B455)=4,OR(ISNUMBER(SEARCH("EXCHANGE RATE",C455)),ISNUMBER(SEARCH("EXCHG RTE",C455)))),"Personal Travel - Italy",IFERROR(INDEX('Category Rules'!$B$2:$B$358,MATCH(TRUE,ISNUMBER(SEARCH('Category Rules'!$A$2:$A$358,C455)),0)),""))))))))</f>
        <v>Personal - Car</v>
      </c>
    </row>
    <row r="456" spans="1:7" x14ac:dyDescent="0.25">
      <c r="A456" t="s">
        <v>6</v>
      </c>
      <c r="B456" s="1">
        <v>45959</v>
      </c>
      <c r="C456" t="s">
        <v>420</v>
      </c>
      <c r="D456">
        <v>-590.41</v>
      </c>
      <c r="E456" t="s">
        <v>10</v>
      </c>
      <c r="F456">
        <v>2486.73</v>
      </c>
      <c r="G456" t="str" cm="1">
        <f t="array" ref="G456">IF(AND(ISNUMBER(SEARCH("UBER",C456)),ISNUMBER(SEARCH("EATS",C456))),"Uber Eats",IF(LEFT(C456,6)="CHECK ","Checks Paid",IF(OR(E456="BILLPAY",ISNUMBER(SEARCH("FRANCHISE TAX",C456)),ISNUMBER(SEARCH("NEXTLINK",C456))),"Personal - House Bills",IF(AND(ISNUMBER(SEARCH("PAYMENT FROM",C456)),ISNUMBER(SEARCH("JOE SAUNDERS",C456))),"Zelle from Joe Saunders",IF(AND(ISNUMBER(SEARCH("PAYMENT TO",C456)),ISNUMBER(SEARCH("JOE SAUNDERS",C456))),"Zelle to Joe Saunders",IF(OR(ISNUMBER(SEARCH("NEW ORLEANS",C456)),ISNUMBER(SEARCH("KENNER",C456)),ISNUMBER(SEARCH("HENRY HOWARD",C456)),ISNUMBER(SEARCH("MISS CLAUDIA",C456))),"Personal Travel - New Orleans",IF(AND(YEAR(B456)=2025,MONTH(B456)=4,OR(ISNUMBER(SEARCH("EXCHANGE RATE",C456)),ISNUMBER(SEARCH("EXCHG RTE",C456)))),"Personal Travel - Italy",IFERROR(INDEX('Category Rules'!$B$2:$B$358,MATCH(TRUE,ISNUMBER(SEARCH('Category Rules'!$A$2:$A$358,C456)),0)),""))))))))</f>
        <v>Personal - Food</v>
      </c>
    </row>
    <row r="457" spans="1:7" x14ac:dyDescent="0.25">
      <c r="A457" t="s">
        <v>6</v>
      </c>
      <c r="B457" s="1">
        <v>45959</v>
      </c>
      <c r="C457" t="s">
        <v>421</v>
      </c>
      <c r="D457">
        <v>-20.87</v>
      </c>
      <c r="E457" t="s">
        <v>10</v>
      </c>
      <c r="F457">
        <v>3077.14</v>
      </c>
      <c r="G457" t="str" cm="1">
        <f t="array" ref="G457">IF(AND(ISNUMBER(SEARCH("UBER",C457)),ISNUMBER(SEARCH("EATS",C457))),"Uber Eats",IF(LEFT(C457,6)="CHECK ","Checks Paid",IF(OR(E457="BILLPAY",ISNUMBER(SEARCH("FRANCHISE TAX",C457)),ISNUMBER(SEARCH("NEXTLINK",C457))),"Personal - House Bills",IF(AND(ISNUMBER(SEARCH("PAYMENT FROM",C457)),ISNUMBER(SEARCH("JOE SAUNDERS",C457))),"Zelle from Joe Saunders",IF(AND(ISNUMBER(SEARCH("PAYMENT TO",C457)),ISNUMBER(SEARCH("JOE SAUNDERS",C457))),"Zelle to Joe Saunders",IF(OR(ISNUMBER(SEARCH("NEW ORLEANS",C457)),ISNUMBER(SEARCH("KENNER",C457)),ISNUMBER(SEARCH("HENRY HOWARD",C457)),ISNUMBER(SEARCH("MISS CLAUDIA",C457))),"Personal Travel - New Orleans",IF(AND(YEAR(B457)=2025,MONTH(B457)=4,OR(ISNUMBER(SEARCH("EXCHANGE RATE",C457)),ISNUMBER(SEARCH("EXCHG RTE",C457)))),"Personal Travel - Italy",IFERROR(INDEX('Category Rules'!$B$2:$B$358,MATCH(TRUE,ISNUMBER(SEARCH('Category Rules'!$A$2:$A$358,C457)),0)),""))))))))</f>
        <v>Amazon</v>
      </c>
    </row>
    <row r="458" spans="1:7" x14ac:dyDescent="0.25">
      <c r="A458" t="s">
        <v>6</v>
      </c>
      <c r="B458" s="1">
        <v>45959</v>
      </c>
      <c r="C458" t="s">
        <v>422</v>
      </c>
      <c r="D458">
        <v>-5.99</v>
      </c>
      <c r="E458" t="s">
        <v>10</v>
      </c>
      <c r="F458">
        <v>3098.01</v>
      </c>
      <c r="G458" t="str" cm="1">
        <f t="array" ref="G458">IF(AND(ISNUMBER(SEARCH("UBER",C458)),ISNUMBER(SEARCH("EATS",C458))),"Uber Eats",IF(LEFT(C458,6)="CHECK ","Checks Paid",IF(OR(E458="BILLPAY",ISNUMBER(SEARCH("FRANCHISE TAX",C458)),ISNUMBER(SEARCH("NEXTLINK",C458))),"Personal - House Bills",IF(AND(ISNUMBER(SEARCH("PAYMENT FROM",C458)),ISNUMBER(SEARCH("JOE SAUNDERS",C458))),"Zelle from Joe Saunders",IF(AND(ISNUMBER(SEARCH("PAYMENT TO",C458)),ISNUMBER(SEARCH("JOE SAUNDERS",C458))),"Zelle to Joe Saunders",IF(OR(ISNUMBER(SEARCH("NEW ORLEANS",C458)),ISNUMBER(SEARCH("KENNER",C458)),ISNUMBER(SEARCH("HENRY HOWARD",C458)),ISNUMBER(SEARCH("MISS CLAUDIA",C458))),"Personal Travel - New Orleans",IF(AND(YEAR(B458)=2025,MONTH(B458)=4,OR(ISNUMBER(SEARCH("EXCHANGE RATE",C458)),ISNUMBER(SEARCH("EXCHG RTE",C458)))),"Personal Travel - Italy",IFERROR(INDEX('Category Rules'!$B$2:$B$358,MATCH(TRUE,ISNUMBER(SEARCH('Category Rules'!$A$2:$A$358,C458)),0)),""))))))))</f>
        <v>Apple</v>
      </c>
    </row>
    <row r="459" spans="1:7" x14ac:dyDescent="0.25">
      <c r="A459" t="s">
        <v>6</v>
      </c>
      <c r="B459" s="1">
        <v>45959</v>
      </c>
      <c r="C459" t="s">
        <v>423</v>
      </c>
      <c r="D459">
        <v>-5.49</v>
      </c>
      <c r="E459" t="s">
        <v>10</v>
      </c>
      <c r="F459">
        <v>3104</v>
      </c>
      <c r="G459" t="str" cm="1">
        <f t="array" ref="G459">IF(AND(ISNUMBER(SEARCH("UBER",C459)),ISNUMBER(SEARCH("EATS",C459))),"Uber Eats",IF(LEFT(C459,6)="CHECK ","Checks Paid",IF(OR(E459="BILLPAY",ISNUMBER(SEARCH("FRANCHISE TAX",C459)),ISNUMBER(SEARCH("NEXTLINK",C459))),"Personal - House Bills",IF(AND(ISNUMBER(SEARCH("PAYMENT FROM",C459)),ISNUMBER(SEARCH("JOE SAUNDERS",C459))),"Zelle from Joe Saunders",IF(AND(ISNUMBER(SEARCH("PAYMENT TO",C459)),ISNUMBER(SEARCH("JOE SAUNDERS",C459))),"Zelle to Joe Saunders",IF(OR(ISNUMBER(SEARCH("NEW ORLEANS",C459)),ISNUMBER(SEARCH("KENNER",C459)),ISNUMBER(SEARCH("HENRY HOWARD",C459)),ISNUMBER(SEARCH("MISS CLAUDIA",C459))),"Personal Travel - New Orleans",IF(AND(YEAR(B459)=2025,MONTH(B459)=4,OR(ISNUMBER(SEARCH("EXCHANGE RATE",C459)),ISNUMBER(SEARCH("EXCHG RTE",C459)))),"Personal Travel - Italy",IFERROR(INDEX('Category Rules'!$B$2:$B$358,MATCH(TRUE,ISNUMBER(SEARCH('Category Rules'!$A$2:$A$358,C459)),0)),""))))))))</f>
        <v>Personal - Health</v>
      </c>
    </row>
    <row r="460" spans="1:7" x14ac:dyDescent="0.25">
      <c r="A460" t="s">
        <v>6</v>
      </c>
      <c r="B460" s="1">
        <v>45959</v>
      </c>
      <c r="C460" t="s">
        <v>424</v>
      </c>
      <c r="D460">
        <v>80</v>
      </c>
      <c r="E460" t="s">
        <v>10</v>
      </c>
      <c r="F460">
        <v>3109.49</v>
      </c>
      <c r="G460" t="str" cm="1">
        <f t="array" ref="G460">IF(AND(ISNUMBER(SEARCH("UBER",C460)),ISNUMBER(SEARCH("EATS",C460))),"Uber Eats",IF(LEFT(C460,6)="CHECK ","Checks Paid",IF(OR(E460="BILLPAY",ISNUMBER(SEARCH("FRANCHISE TAX",C460)),ISNUMBER(SEARCH("NEXTLINK",C460))),"Personal - House Bills",IF(AND(ISNUMBER(SEARCH("PAYMENT FROM",C460)),ISNUMBER(SEARCH("JOE SAUNDERS",C460))),"Zelle from Joe Saunders",IF(AND(ISNUMBER(SEARCH("PAYMENT TO",C460)),ISNUMBER(SEARCH("JOE SAUNDERS",C460))),"Zelle to Joe Saunders",IF(OR(ISNUMBER(SEARCH("NEW ORLEANS",C460)),ISNUMBER(SEARCH("KENNER",C460)),ISNUMBER(SEARCH("HENRY HOWARD",C460)),ISNUMBER(SEARCH("MISS CLAUDIA",C460))),"Personal Travel - New Orleans",IF(AND(YEAR(B460)=2025,MONTH(B460)=4,OR(ISNUMBER(SEARCH("EXCHANGE RATE",C460)),ISNUMBER(SEARCH("EXCHG RTE",C460)))),"Personal Travel - Italy",IFERROR(INDEX('Category Rules'!$B$2:$B$358,MATCH(TRUE,ISNUMBER(SEARCH('Category Rules'!$A$2:$A$358,C460)),0)),""))))))))</f>
        <v>Personal - Entertainment</v>
      </c>
    </row>
    <row r="461" spans="1:7" x14ac:dyDescent="0.25">
      <c r="A461" t="s">
        <v>6</v>
      </c>
      <c r="B461" s="1">
        <v>45958</v>
      </c>
      <c r="C461" t="s">
        <v>425</v>
      </c>
      <c r="D461">
        <v>-120</v>
      </c>
      <c r="E461" t="s">
        <v>33</v>
      </c>
      <c r="F461">
        <v>3029.49</v>
      </c>
      <c r="G461" t="str" cm="1">
        <f t="array" ref="G461">IF(AND(ISNUMBER(SEARCH("UBER",C461)),ISNUMBER(SEARCH("EATS",C461))),"Uber Eats",IF(LEFT(C461,6)="CHECK ","Checks Paid",IF(OR(E461="BILLPAY",ISNUMBER(SEARCH("FRANCHISE TAX",C461)),ISNUMBER(SEARCH("NEXTLINK",C461))),"Personal - House Bills",IF(AND(ISNUMBER(SEARCH("PAYMENT FROM",C461)),ISNUMBER(SEARCH("JOE SAUNDERS",C461))),"Zelle from Joe Saunders",IF(AND(ISNUMBER(SEARCH("PAYMENT TO",C461)),ISNUMBER(SEARCH("JOE SAUNDERS",C461))),"Zelle to Joe Saunders",IF(OR(ISNUMBER(SEARCH("NEW ORLEANS",C461)),ISNUMBER(SEARCH("KENNER",C461)),ISNUMBER(SEARCH("HENRY HOWARD",C461)),ISNUMBER(SEARCH("MISS CLAUDIA",C461))),"Personal Travel - New Orleans",IF(AND(YEAR(B461)=2025,MONTH(B461)=4,OR(ISNUMBER(SEARCH("EXCHANGE RATE",C461)),ISNUMBER(SEARCH("EXCHG RTE",C461)))),"Personal Travel - Italy",IFERROR(INDEX('Category Rules'!$B$2:$B$358,MATCH(TRUE,ISNUMBER(SEARCH('Category Rules'!$A$2:$A$358,C461)),0)),""))))))))</f>
        <v>Personal - House Bills</v>
      </c>
    </row>
    <row r="462" spans="1:7" x14ac:dyDescent="0.25">
      <c r="A462" t="s">
        <v>6</v>
      </c>
      <c r="B462" s="1">
        <v>45958</v>
      </c>
      <c r="C462" t="s">
        <v>426</v>
      </c>
      <c r="D462">
        <v>-300</v>
      </c>
      <c r="E462" t="s">
        <v>33</v>
      </c>
      <c r="F462">
        <v>3149.49</v>
      </c>
      <c r="G462" t="str" cm="1">
        <f t="array" ref="G462">IF(AND(ISNUMBER(SEARCH("UBER",C462)),ISNUMBER(SEARCH("EATS",C462))),"Uber Eats",IF(LEFT(C462,6)="CHECK ","Checks Paid",IF(OR(E462="BILLPAY",ISNUMBER(SEARCH("FRANCHISE TAX",C462)),ISNUMBER(SEARCH("NEXTLINK",C462))),"Personal - House Bills",IF(AND(ISNUMBER(SEARCH("PAYMENT FROM",C462)),ISNUMBER(SEARCH("JOE SAUNDERS",C462))),"Zelle from Joe Saunders",IF(AND(ISNUMBER(SEARCH("PAYMENT TO",C462)),ISNUMBER(SEARCH("JOE SAUNDERS",C462))),"Zelle to Joe Saunders",IF(OR(ISNUMBER(SEARCH("NEW ORLEANS",C462)),ISNUMBER(SEARCH("KENNER",C462)),ISNUMBER(SEARCH("HENRY HOWARD",C462)),ISNUMBER(SEARCH("MISS CLAUDIA",C462))),"Personal Travel - New Orleans",IF(AND(YEAR(B462)=2025,MONTH(B462)=4,OR(ISNUMBER(SEARCH("EXCHANGE RATE",C462)),ISNUMBER(SEARCH("EXCHG RTE",C462)))),"Personal Travel - Italy",IFERROR(INDEX('Category Rules'!$B$2:$B$358,MATCH(TRUE,ISNUMBER(SEARCH('Category Rules'!$A$2:$A$358,C462)),0)),""))))))))</f>
        <v>Personal - House Bills</v>
      </c>
    </row>
    <row r="463" spans="1:7" x14ac:dyDescent="0.25">
      <c r="A463" t="s">
        <v>6</v>
      </c>
      <c r="B463" s="1">
        <v>45958</v>
      </c>
      <c r="C463" t="s">
        <v>427</v>
      </c>
      <c r="D463">
        <v>-320</v>
      </c>
      <c r="E463" t="s">
        <v>33</v>
      </c>
      <c r="F463">
        <v>3449.49</v>
      </c>
      <c r="G463" t="str" cm="1">
        <f t="array" ref="G463">IF(AND(ISNUMBER(SEARCH("UBER",C463)),ISNUMBER(SEARCH("EATS",C463))),"Uber Eats",IF(LEFT(C463,6)="CHECK ","Checks Paid",IF(OR(E463="BILLPAY",ISNUMBER(SEARCH("FRANCHISE TAX",C463)),ISNUMBER(SEARCH("NEXTLINK",C463))),"Personal - House Bills",IF(AND(ISNUMBER(SEARCH("PAYMENT FROM",C463)),ISNUMBER(SEARCH("JOE SAUNDERS",C463))),"Zelle from Joe Saunders",IF(AND(ISNUMBER(SEARCH("PAYMENT TO",C463)),ISNUMBER(SEARCH("JOE SAUNDERS",C463))),"Zelle to Joe Saunders",IF(OR(ISNUMBER(SEARCH("NEW ORLEANS",C463)),ISNUMBER(SEARCH("KENNER",C463)),ISNUMBER(SEARCH("HENRY HOWARD",C463)),ISNUMBER(SEARCH("MISS CLAUDIA",C463))),"Personal Travel - New Orleans",IF(AND(YEAR(B463)=2025,MONTH(B463)=4,OR(ISNUMBER(SEARCH("EXCHANGE RATE",C463)),ISNUMBER(SEARCH("EXCHG RTE",C463)))),"Personal Travel - Italy",IFERROR(INDEX('Category Rules'!$B$2:$B$358,MATCH(TRUE,ISNUMBER(SEARCH('Category Rules'!$A$2:$A$358,C463)),0)),""))))))))</f>
        <v>Personal - House Bills</v>
      </c>
    </row>
    <row r="464" spans="1:7" x14ac:dyDescent="0.25">
      <c r="A464" t="s">
        <v>6</v>
      </c>
      <c r="B464" s="1">
        <v>45958</v>
      </c>
      <c r="C464" t="s">
        <v>428</v>
      </c>
      <c r="D464">
        <v>-700</v>
      </c>
      <c r="E464" t="s">
        <v>33</v>
      </c>
      <c r="F464">
        <v>3769.49</v>
      </c>
      <c r="G464" t="str" cm="1">
        <f t="array" ref="G464">IF(AND(ISNUMBER(SEARCH("UBER",C464)),ISNUMBER(SEARCH("EATS",C464))),"Uber Eats",IF(LEFT(C464,6)="CHECK ","Checks Paid",IF(OR(E464="BILLPAY",ISNUMBER(SEARCH("FRANCHISE TAX",C464)),ISNUMBER(SEARCH("NEXTLINK",C464))),"Personal - House Bills",IF(AND(ISNUMBER(SEARCH("PAYMENT FROM",C464)),ISNUMBER(SEARCH("JOE SAUNDERS",C464))),"Zelle from Joe Saunders",IF(AND(ISNUMBER(SEARCH("PAYMENT TO",C464)),ISNUMBER(SEARCH("JOE SAUNDERS",C464))),"Zelle to Joe Saunders",IF(OR(ISNUMBER(SEARCH("NEW ORLEANS",C464)),ISNUMBER(SEARCH("KENNER",C464)),ISNUMBER(SEARCH("HENRY HOWARD",C464)),ISNUMBER(SEARCH("MISS CLAUDIA",C464))),"Personal Travel - New Orleans",IF(AND(YEAR(B464)=2025,MONTH(B464)=4,OR(ISNUMBER(SEARCH("EXCHANGE RATE",C464)),ISNUMBER(SEARCH("EXCHG RTE",C464)))),"Personal Travel - Italy",IFERROR(INDEX('Category Rules'!$B$2:$B$358,MATCH(TRUE,ISNUMBER(SEARCH('Category Rules'!$A$2:$A$358,C464)),0)),""))))))))</f>
        <v>Personal - House Bills</v>
      </c>
    </row>
    <row r="465" spans="1:7" x14ac:dyDescent="0.25">
      <c r="A465" t="s">
        <v>6</v>
      </c>
      <c r="B465" s="1">
        <v>45958</v>
      </c>
      <c r="C465" t="s">
        <v>429</v>
      </c>
      <c r="D465">
        <v>-10</v>
      </c>
      <c r="E465" t="s">
        <v>10</v>
      </c>
      <c r="F465">
        <v>4469.49</v>
      </c>
      <c r="G465" t="str" cm="1">
        <f t="array" ref="G465">IF(AND(ISNUMBER(SEARCH("UBER",C465)),ISNUMBER(SEARCH("EATS",C465))),"Uber Eats",IF(LEFT(C465,6)="CHECK ","Checks Paid",IF(OR(E465="BILLPAY",ISNUMBER(SEARCH("FRANCHISE TAX",C465)),ISNUMBER(SEARCH("NEXTLINK",C465))),"Personal - House Bills",IF(AND(ISNUMBER(SEARCH("PAYMENT FROM",C465)),ISNUMBER(SEARCH("JOE SAUNDERS",C465))),"Zelle from Joe Saunders",IF(AND(ISNUMBER(SEARCH("PAYMENT TO",C465)),ISNUMBER(SEARCH("JOE SAUNDERS",C465))),"Zelle to Joe Saunders",IF(OR(ISNUMBER(SEARCH("NEW ORLEANS",C465)),ISNUMBER(SEARCH("KENNER",C465)),ISNUMBER(SEARCH("HENRY HOWARD",C465)),ISNUMBER(SEARCH("MISS CLAUDIA",C465))),"Personal Travel - New Orleans",IF(AND(YEAR(B465)=2025,MONTH(B465)=4,OR(ISNUMBER(SEARCH("EXCHANGE RATE",C465)),ISNUMBER(SEARCH("EXCHG RTE",C465)))),"Personal Travel - Italy",IFERROR(INDEX('Category Rules'!$B$2:$B$358,MATCH(TRUE,ISNUMBER(SEARCH('Category Rules'!$A$2:$A$358,C465)),0)),""))))))))</f>
        <v>Amazon</v>
      </c>
    </row>
    <row r="466" spans="1:7" x14ac:dyDescent="0.25">
      <c r="A466" t="s">
        <v>6</v>
      </c>
      <c r="B466" s="1">
        <v>45958</v>
      </c>
      <c r="C466" t="s">
        <v>430</v>
      </c>
      <c r="D466">
        <v>-559</v>
      </c>
      <c r="E466" t="s">
        <v>10</v>
      </c>
      <c r="F466">
        <v>4479.49</v>
      </c>
      <c r="G466" t="str" cm="1">
        <f t="array" ref="G466">IF(AND(ISNUMBER(SEARCH("UBER",C466)),ISNUMBER(SEARCH("EATS",C466))),"Uber Eats",IF(LEFT(C466,6)="CHECK ","Checks Paid",IF(OR(E466="BILLPAY",ISNUMBER(SEARCH("FRANCHISE TAX",C466)),ISNUMBER(SEARCH("NEXTLINK",C466))),"Personal - House Bills",IF(AND(ISNUMBER(SEARCH("PAYMENT FROM",C466)),ISNUMBER(SEARCH("JOE SAUNDERS",C466))),"Zelle from Joe Saunders",IF(AND(ISNUMBER(SEARCH("PAYMENT TO",C466)),ISNUMBER(SEARCH("JOE SAUNDERS",C466))),"Zelle to Joe Saunders",IF(OR(ISNUMBER(SEARCH("NEW ORLEANS",C466)),ISNUMBER(SEARCH("KENNER",C466)),ISNUMBER(SEARCH("HENRY HOWARD",C466)),ISNUMBER(SEARCH("MISS CLAUDIA",C466))),"Personal Travel - New Orleans",IF(AND(YEAR(B466)=2025,MONTH(B466)=4,OR(ISNUMBER(SEARCH("EXCHANGE RATE",C466)),ISNUMBER(SEARCH("EXCHG RTE",C466)))),"Personal Travel - Italy",IFERROR(INDEX('Category Rules'!$B$2:$B$358,MATCH(TRUE,ISNUMBER(SEARCH('Category Rules'!$A$2:$A$358,C466)),0)),""))))))))</f>
        <v>Personal - Health</v>
      </c>
    </row>
    <row r="467" spans="1:7" x14ac:dyDescent="0.25">
      <c r="A467" t="s">
        <v>6</v>
      </c>
      <c r="B467" s="1">
        <v>45958</v>
      </c>
      <c r="C467" t="s">
        <v>431</v>
      </c>
      <c r="D467">
        <v>-14.54</v>
      </c>
      <c r="E467" t="s">
        <v>10</v>
      </c>
      <c r="F467">
        <v>5038.49</v>
      </c>
      <c r="G467" t="str" cm="1">
        <f t="array" ref="G467">IF(AND(ISNUMBER(SEARCH("UBER",C467)),ISNUMBER(SEARCH("EATS",C467))),"Uber Eats",IF(LEFT(C467,6)="CHECK ","Checks Paid",IF(OR(E467="BILLPAY",ISNUMBER(SEARCH("FRANCHISE TAX",C467)),ISNUMBER(SEARCH("NEXTLINK",C467))),"Personal - House Bills",IF(AND(ISNUMBER(SEARCH("PAYMENT FROM",C467)),ISNUMBER(SEARCH("JOE SAUNDERS",C467))),"Zelle from Joe Saunders",IF(AND(ISNUMBER(SEARCH("PAYMENT TO",C467)),ISNUMBER(SEARCH("JOE SAUNDERS",C467))),"Zelle to Joe Saunders",IF(OR(ISNUMBER(SEARCH("NEW ORLEANS",C467)),ISNUMBER(SEARCH("KENNER",C467)),ISNUMBER(SEARCH("HENRY HOWARD",C467)),ISNUMBER(SEARCH("MISS CLAUDIA",C467))),"Personal Travel - New Orleans",IF(AND(YEAR(B467)=2025,MONTH(B467)=4,OR(ISNUMBER(SEARCH("EXCHANGE RATE",C467)),ISNUMBER(SEARCH("EXCHG RTE",C467)))),"Personal Travel - Italy",IFERROR(INDEX('Category Rules'!$B$2:$B$358,MATCH(TRUE,ISNUMBER(SEARCH('Category Rules'!$A$2:$A$358,C467)),0)),""))))))))</f>
        <v>Amazon</v>
      </c>
    </row>
    <row r="468" spans="1:7" x14ac:dyDescent="0.25">
      <c r="A468" t="s">
        <v>6</v>
      </c>
      <c r="B468" s="1">
        <v>45958</v>
      </c>
      <c r="C468" t="s">
        <v>432</v>
      </c>
      <c r="D468">
        <v>-109.74</v>
      </c>
      <c r="E468" t="s">
        <v>10</v>
      </c>
      <c r="F468">
        <v>5053.03</v>
      </c>
      <c r="G468" t="str" cm="1">
        <f t="array" ref="G468">IF(AND(ISNUMBER(SEARCH("UBER",C468)),ISNUMBER(SEARCH("EATS",C468))),"Uber Eats",IF(LEFT(C468,6)="CHECK ","Checks Paid",IF(OR(E468="BILLPAY",ISNUMBER(SEARCH("FRANCHISE TAX",C468)),ISNUMBER(SEARCH("NEXTLINK",C468))),"Personal - House Bills",IF(AND(ISNUMBER(SEARCH("PAYMENT FROM",C468)),ISNUMBER(SEARCH("JOE SAUNDERS",C468))),"Zelle from Joe Saunders",IF(AND(ISNUMBER(SEARCH("PAYMENT TO",C468)),ISNUMBER(SEARCH("JOE SAUNDERS",C468))),"Zelle to Joe Saunders",IF(OR(ISNUMBER(SEARCH("NEW ORLEANS",C468)),ISNUMBER(SEARCH("KENNER",C468)),ISNUMBER(SEARCH("HENRY HOWARD",C468)),ISNUMBER(SEARCH("MISS CLAUDIA",C468))),"Personal Travel - New Orleans",IF(AND(YEAR(B468)=2025,MONTH(B468)=4,OR(ISNUMBER(SEARCH("EXCHANGE RATE",C468)),ISNUMBER(SEARCH("EXCHG RTE",C468)))),"Personal Travel - Italy",IFERROR(INDEX('Category Rules'!$B$2:$B$358,MATCH(TRUE,ISNUMBER(SEARCH('Category Rules'!$A$2:$A$358,C468)),0)),""))))))))</f>
        <v>Amazon</v>
      </c>
    </row>
    <row r="469" spans="1:7" x14ac:dyDescent="0.25">
      <c r="A469" t="s">
        <v>6</v>
      </c>
      <c r="B469" s="1">
        <v>45958</v>
      </c>
      <c r="C469" t="s">
        <v>433</v>
      </c>
      <c r="D469">
        <v>-77.25</v>
      </c>
      <c r="E469" t="s">
        <v>10</v>
      </c>
      <c r="F469">
        <v>5162.7700000000004</v>
      </c>
      <c r="G469" t="str" cm="1">
        <f t="array" ref="G469">IF(AND(ISNUMBER(SEARCH("UBER",C469)),ISNUMBER(SEARCH("EATS",C469))),"Uber Eats",IF(LEFT(C469,6)="CHECK ","Checks Paid",IF(OR(E469="BILLPAY",ISNUMBER(SEARCH("FRANCHISE TAX",C469)),ISNUMBER(SEARCH("NEXTLINK",C469))),"Personal - House Bills",IF(AND(ISNUMBER(SEARCH("PAYMENT FROM",C469)),ISNUMBER(SEARCH("JOE SAUNDERS",C469))),"Zelle from Joe Saunders",IF(AND(ISNUMBER(SEARCH("PAYMENT TO",C469)),ISNUMBER(SEARCH("JOE SAUNDERS",C469))),"Zelle to Joe Saunders",IF(OR(ISNUMBER(SEARCH("NEW ORLEANS",C469)),ISNUMBER(SEARCH("KENNER",C469)),ISNUMBER(SEARCH("HENRY HOWARD",C469)),ISNUMBER(SEARCH("MISS CLAUDIA",C469))),"Personal Travel - New Orleans",IF(AND(YEAR(B469)=2025,MONTH(B469)=4,OR(ISNUMBER(SEARCH("EXCHANGE RATE",C469)),ISNUMBER(SEARCH("EXCHG RTE",C469)))),"Personal Travel - Italy",IFERROR(INDEX('Category Rules'!$B$2:$B$358,MATCH(TRUE,ISNUMBER(SEARCH('Category Rules'!$A$2:$A$358,C469)),0)),""))))))))</f>
        <v>Amazon</v>
      </c>
    </row>
    <row r="470" spans="1:7" x14ac:dyDescent="0.25">
      <c r="A470" t="s">
        <v>6</v>
      </c>
      <c r="B470" s="1">
        <v>45958</v>
      </c>
      <c r="C470" t="s">
        <v>434</v>
      </c>
      <c r="D470">
        <v>-69.069999999999993</v>
      </c>
      <c r="E470" t="s">
        <v>10</v>
      </c>
      <c r="F470">
        <v>5240.0200000000004</v>
      </c>
      <c r="G470" t="str" cm="1">
        <f t="array" ref="G470">IF(AND(ISNUMBER(SEARCH("UBER",C470)),ISNUMBER(SEARCH("EATS",C470))),"Uber Eats",IF(LEFT(C470,6)="CHECK ","Checks Paid",IF(OR(E470="BILLPAY",ISNUMBER(SEARCH("FRANCHISE TAX",C470)),ISNUMBER(SEARCH("NEXTLINK",C470))),"Personal - House Bills",IF(AND(ISNUMBER(SEARCH("PAYMENT FROM",C470)),ISNUMBER(SEARCH("JOE SAUNDERS",C470))),"Zelle from Joe Saunders",IF(AND(ISNUMBER(SEARCH("PAYMENT TO",C470)),ISNUMBER(SEARCH("JOE SAUNDERS",C470))),"Zelle to Joe Saunders",IF(OR(ISNUMBER(SEARCH("NEW ORLEANS",C470)),ISNUMBER(SEARCH("KENNER",C470)),ISNUMBER(SEARCH("HENRY HOWARD",C470)),ISNUMBER(SEARCH("MISS CLAUDIA",C470))),"Personal Travel - New Orleans",IF(AND(YEAR(B470)=2025,MONTH(B470)=4,OR(ISNUMBER(SEARCH("EXCHANGE RATE",C470)),ISNUMBER(SEARCH("EXCHG RTE",C470)))),"Personal Travel - Italy",IFERROR(INDEX('Category Rules'!$B$2:$B$358,MATCH(TRUE,ISNUMBER(SEARCH('Category Rules'!$A$2:$A$358,C470)),0)),""))))))))</f>
        <v>Amazon</v>
      </c>
    </row>
    <row r="471" spans="1:7" x14ac:dyDescent="0.25">
      <c r="A471" t="s">
        <v>44</v>
      </c>
      <c r="B471" s="1">
        <v>45958</v>
      </c>
      <c r="C471" t="s">
        <v>435</v>
      </c>
      <c r="D471">
        <v>3000</v>
      </c>
      <c r="E471" t="s">
        <v>73</v>
      </c>
      <c r="F471">
        <v>5309.09</v>
      </c>
      <c r="G471" t="str" cm="1">
        <f t="array" ref="G471">IF(AND(ISNUMBER(SEARCH("UBER",C471)),ISNUMBER(SEARCH("EATS",C471))),"Uber Eats",IF(LEFT(C471,6)="CHECK ","Checks Paid",IF(OR(E471="BILLPAY",ISNUMBER(SEARCH("FRANCHISE TAX",C471)),ISNUMBER(SEARCH("NEXTLINK",C471))),"Personal - House Bills",IF(AND(ISNUMBER(SEARCH("PAYMENT FROM",C471)),ISNUMBER(SEARCH("JOE SAUNDERS",C471))),"Zelle from Joe Saunders",IF(AND(ISNUMBER(SEARCH("PAYMENT TO",C471)),ISNUMBER(SEARCH("JOE SAUNDERS",C471))),"Zelle to Joe Saunders",IF(OR(ISNUMBER(SEARCH("NEW ORLEANS",C471)),ISNUMBER(SEARCH("KENNER",C471)),ISNUMBER(SEARCH("HENRY HOWARD",C471)),ISNUMBER(SEARCH("MISS CLAUDIA",C471))),"Personal Travel - New Orleans",IF(AND(YEAR(B471)=2025,MONTH(B471)=4,OR(ISNUMBER(SEARCH("EXCHANGE RATE",C471)),ISNUMBER(SEARCH("EXCHG RTE",C471)))),"Personal Travel - Italy",IFERROR(INDEX('Category Rules'!$B$2:$B$358,MATCH(TRUE,ISNUMBER(SEARCH('Category Rules'!$A$2:$A$358,C471)),0)),""))))))))</f>
        <v>Transfer from DWG Capital Group</v>
      </c>
    </row>
    <row r="472" spans="1:7" x14ac:dyDescent="0.25">
      <c r="A472" t="s">
        <v>6</v>
      </c>
      <c r="B472" s="1">
        <v>45957</v>
      </c>
      <c r="C472" t="s">
        <v>436</v>
      </c>
      <c r="D472">
        <v>-12.58</v>
      </c>
      <c r="E472" t="s">
        <v>10</v>
      </c>
      <c r="F472">
        <v>2309.09</v>
      </c>
      <c r="G472" t="str" cm="1">
        <f t="array" ref="G472">IF(AND(ISNUMBER(SEARCH("UBER",C472)),ISNUMBER(SEARCH("EATS",C472))),"Uber Eats",IF(LEFT(C472,6)="CHECK ","Checks Paid",IF(OR(E472="BILLPAY",ISNUMBER(SEARCH("FRANCHISE TAX",C472)),ISNUMBER(SEARCH("NEXTLINK",C472))),"Personal - House Bills",IF(AND(ISNUMBER(SEARCH("PAYMENT FROM",C472)),ISNUMBER(SEARCH("JOE SAUNDERS",C472))),"Zelle from Joe Saunders",IF(AND(ISNUMBER(SEARCH("PAYMENT TO",C472)),ISNUMBER(SEARCH("JOE SAUNDERS",C472))),"Zelle to Joe Saunders",IF(OR(ISNUMBER(SEARCH("NEW ORLEANS",C472)),ISNUMBER(SEARCH("KENNER",C472)),ISNUMBER(SEARCH("HENRY HOWARD",C472)),ISNUMBER(SEARCH("MISS CLAUDIA",C472))),"Personal Travel - New Orleans",IF(AND(YEAR(B472)=2025,MONTH(B472)=4,OR(ISNUMBER(SEARCH("EXCHANGE RATE",C472)),ISNUMBER(SEARCH("EXCHG RTE",C472)))),"Personal Travel - Italy",IFERROR(INDEX('Category Rules'!$B$2:$B$358,MATCH(TRUE,ISNUMBER(SEARCH('Category Rules'!$A$2:$A$358,C472)),0)),""))))))))</f>
        <v>Amazon</v>
      </c>
    </row>
    <row r="473" spans="1:7" x14ac:dyDescent="0.25">
      <c r="A473" t="s">
        <v>6</v>
      </c>
      <c r="B473" s="1">
        <v>45957</v>
      </c>
      <c r="C473" t="s">
        <v>437</v>
      </c>
      <c r="D473">
        <v>-5.99</v>
      </c>
      <c r="E473" t="s">
        <v>10</v>
      </c>
      <c r="F473">
        <v>2321.67</v>
      </c>
      <c r="G473" t="str" cm="1">
        <f t="array" ref="G473">IF(AND(ISNUMBER(SEARCH("UBER",C473)),ISNUMBER(SEARCH("EATS",C473))),"Uber Eats",IF(LEFT(C473,6)="CHECK ","Checks Paid",IF(OR(E473="BILLPAY",ISNUMBER(SEARCH("FRANCHISE TAX",C473)),ISNUMBER(SEARCH("NEXTLINK",C473))),"Personal - House Bills",IF(AND(ISNUMBER(SEARCH("PAYMENT FROM",C473)),ISNUMBER(SEARCH("JOE SAUNDERS",C473))),"Zelle from Joe Saunders",IF(AND(ISNUMBER(SEARCH("PAYMENT TO",C473)),ISNUMBER(SEARCH("JOE SAUNDERS",C473))),"Zelle to Joe Saunders",IF(OR(ISNUMBER(SEARCH("NEW ORLEANS",C473)),ISNUMBER(SEARCH("KENNER",C473)),ISNUMBER(SEARCH("HENRY HOWARD",C473)),ISNUMBER(SEARCH("MISS CLAUDIA",C473))),"Personal Travel - New Orleans",IF(AND(YEAR(B473)=2025,MONTH(B473)=4,OR(ISNUMBER(SEARCH("EXCHANGE RATE",C473)),ISNUMBER(SEARCH("EXCHG RTE",C473)))),"Personal Travel - Italy",IFERROR(INDEX('Category Rules'!$B$2:$B$358,MATCH(TRUE,ISNUMBER(SEARCH('Category Rules'!$A$2:$A$358,C473)),0)),""))))))))</f>
        <v>Personal - Subscription</v>
      </c>
    </row>
    <row r="474" spans="1:7" x14ac:dyDescent="0.25">
      <c r="A474" t="s">
        <v>6</v>
      </c>
      <c r="B474" s="1">
        <v>45957</v>
      </c>
      <c r="C474" t="s">
        <v>438</v>
      </c>
      <c r="D474">
        <v>-194.39</v>
      </c>
      <c r="E474" t="s">
        <v>10</v>
      </c>
      <c r="F474">
        <v>2327.66</v>
      </c>
      <c r="G474" t="str" cm="1">
        <f t="array" ref="G474">IF(AND(ISNUMBER(SEARCH("UBER",C474)),ISNUMBER(SEARCH("EATS",C474))),"Uber Eats",IF(LEFT(C474,6)="CHECK ","Checks Paid",IF(OR(E474="BILLPAY",ISNUMBER(SEARCH("FRANCHISE TAX",C474)),ISNUMBER(SEARCH("NEXTLINK",C474))),"Personal - House Bills",IF(AND(ISNUMBER(SEARCH("PAYMENT FROM",C474)),ISNUMBER(SEARCH("JOE SAUNDERS",C474))),"Zelle from Joe Saunders",IF(AND(ISNUMBER(SEARCH("PAYMENT TO",C474)),ISNUMBER(SEARCH("JOE SAUNDERS",C474))),"Zelle to Joe Saunders",IF(OR(ISNUMBER(SEARCH("NEW ORLEANS",C474)),ISNUMBER(SEARCH("KENNER",C474)),ISNUMBER(SEARCH("HENRY HOWARD",C474)),ISNUMBER(SEARCH("MISS CLAUDIA",C474))),"Personal Travel - New Orleans",IF(AND(YEAR(B474)=2025,MONTH(B474)=4,OR(ISNUMBER(SEARCH("EXCHANGE RATE",C474)),ISNUMBER(SEARCH("EXCHG RTE",C474)))),"Personal Travel - Italy",IFERROR(INDEX('Category Rules'!$B$2:$B$358,MATCH(TRUE,ISNUMBER(SEARCH('Category Rules'!$A$2:$A$358,C474)),0)),""))))))))</f>
        <v>Amazon</v>
      </c>
    </row>
    <row r="475" spans="1:7" x14ac:dyDescent="0.25">
      <c r="A475" t="s">
        <v>6</v>
      </c>
      <c r="B475" s="1">
        <v>45957</v>
      </c>
      <c r="C475" t="s">
        <v>439</v>
      </c>
      <c r="D475">
        <v>-650.16999999999996</v>
      </c>
      <c r="E475" t="s">
        <v>10</v>
      </c>
      <c r="F475">
        <v>2522.0500000000002</v>
      </c>
      <c r="G475" t="str" cm="1">
        <f t="array" ref="G475">IF(AND(ISNUMBER(SEARCH("UBER",C475)),ISNUMBER(SEARCH("EATS",C475))),"Uber Eats",IF(LEFT(C475,6)="CHECK ","Checks Paid",IF(OR(E475="BILLPAY",ISNUMBER(SEARCH("FRANCHISE TAX",C475)),ISNUMBER(SEARCH("NEXTLINK",C475))),"Personal - House Bills",IF(AND(ISNUMBER(SEARCH("PAYMENT FROM",C475)),ISNUMBER(SEARCH("JOE SAUNDERS",C475))),"Zelle from Joe Saunders",IF(AND(ISNUMBER(SEARCH("PAYMENT TO",C475)),ISNUMBER(SEARCH("JOE SAUNDERS",C475))),"Zelle to Joe Saunders",IF(OR(ISNUMBER(SEARCH("NEW ORLEANS",C475)),ISNUMBER(SEARCH("KENNER",C475)),ISNUMBER(SEARCH("HENRY HOWARD",C475)),ISNUMBER(SEARCH("MISS CLAUDIA",C475))),"Personal Travel - New Orleans",IF(AND(YEAR(B475)=2025,MONTH(B475)=4,OR(ISNUMBER(SEARCH("EXCHANGE RATE",C475)),ISNUMBER(SEARCH("EXCHG RTE",C475)))),"Personal Travel - Italy",IFERROR(INDEX('Category Rules'!$B$2:$B$358,MATCH(TRUE,ISNUMBER(SEARCH('Category Rules'!$A$2:$A$358,C475)),0)),""))))))))</f>
        <v>Personal - Health</v>
      </c>
    </row>
    <row r="476" spans="1:7" x14ac:dyDescent="0.25">
      <c r="A476" t="s">
        <v>6</v>
      </c>
      <c r="B476" s="1">
        <v>45957</v>
      </c>
      <c r="C476" t="s">
        <v>440</v>
      </c>
      <c r="D476">
        <v>-6.99</v>
      </c>
      <c r="E476" t="s">
        <v>10</v>
      </c>
      <c r="F476">
        <v>3172.22</v>
      </c>
      <c r="G476" t="str" cm="1">
        <f t="array" ref="G476">IF(AND(ISNUMBER(SEARCH("UBER",C476)),ISNUMBER(SEARCH("EATS",C476))),"Uber Eats",IF(LEFT(C476,6)="CHECK ","Checks Paid",IF(OR(E476="BILLPAY",ISNUMBER(SEARCH("FRANCHISE TAX",C476)),ISNUMBER(SEARCH("NEXTLINK",C476))),"Personal - House Bills",IF(AND(ISNUMBER(SEARCH("PAYMENT FROM",C476)),ISNUMBER(SEARCH("JOE SAUNDERS",C476))),"Zelle from Joe Saunders",IF(AND(ISNUMBER(SEARCH("PAYMENT TO",C476)),ISNUMBER(SEARCH("JOE SAUNDERS",C476))),"Zelle to Joe Saunders",IF(OR(ISNUMBER(SEARCH("NEW ORLEANS",C476)),ISNUMBER(SEARCH("KENNER",C476)),ISNUMBER(SEARCH("HENRY HOWARD",C476)),ISNUMBER(SEARCH("MISS CLAUDIA",C476))),"Personal Travel - New Orleans",IF(AND(YEAR(B476)=2025,MONTH(B476)=4,OR(ISNUMBER(SEARCH("EXCHANGE RATE",C476)),ISNUMBER(SEARCH("EXCHG RTE",C476)))),"Personal Travel - Italy",IFERROR(INDEX('Category Rules'!$B$2:$B$358,MATCH(TRUE,ISNUMBER(SEARCH('Category Rules'!$A$2:$A$358,C476)),0)),""))))))))</f>
        <v>Amazon</v>
      </c>
    </row>
    <row r="477" spans="1:7" x14ac:dyDescent="0.25">
      <c r="A477" t="s">
        <v>6</v>
      </c>
      <c r="B477" s="1">
        <v>45957</v>
      </c>
      <c r="C477" t="s">
        <v>441</v>
      </c>
      <c r="D477">
        <v>-408.96</v>
      </c>
      <c r="E477" t="s">
        <v>10</v>
      </c>
      <c r="F477">
        <v>3179.21</v>
      </c>
      <c r="G477" t="str" cm="1">
        <f t="array" ref="G477">IF(AND(ISNUMBER(SEARCH("UBER",C477)),ISNUMBER(SEARCH("EATS",C477))),"Uber Eats",IF(LEFT(C477,6)="CHECK ","Checks Paid",IF(OR(E477="BILLPAY",ISNUMBER(SEARCH("FRANCHISE TAX",C477)),ISNUMBER(SEARCH("NEXTLINK",C477))),"Personal - House Bills",IF(AND(ISNUMBER(SEARCH("PAYMENT FROM",C477)),ISNUMBER(SEARCH("JOE SAUNDERS",C477))),"Zelle from Joe Saunders",IF(AND(ISNUMBER(SEARCH("PAYMENT TO",C477)),ISNUMBER(SEARCH("JOE SAUNDERS",C477))),"Zelle to Joe Saunders",IF(OR(ISNUMBER(SEARCH("NEW ORLEANS",C477)),ISNUMBER(SEARCH("KENNER",C477)),ISNUMBER(SEARCH("HENRY HOWARD",C477)),ISNUMBER(SEARCH("MISS CLAUDIA",C477))),"Personal Travel - New Orleans",IF(AND(YEAR(B477)=2025,MONTH(B477)=4,OR(ISNUMBER(SEARCH("EXCHANGE RATE",C477)),ISNUMBER(SEARCH("EXCHG RTE",C477)))),"Personal Travel - Italy",IFERROR(INDEX('Category Rules'!$B$2:$B$358,MATCH(TRUE,ISNUMBER(SEARCH('Category Rules'!$A$2:$A$358,C477)),0)),""))))))))</f>
        <v>Personal - Entertainment</v>
      </c>
    </row>
    <row r="478" spans="1:7" x14ac:dyDescent="0.25">
      <c r="A478" t="s">
        <v>6</v>
      </c>
      <c r="B478" s="1">
        <v>45957</v>
      </c>
      <c r="C478" t="s">
        <v>442</v>
      </c>
      <c r="D478">
        <v>-172</v>
      </c>
      <c r="E478" t="s">
        <v>10</v>
      </c>
      <c r="F478">
        <v>3588.17</v>
      </c>
      <c r="G478" t="str" cm="1">
        <f t="array" ref="G478">IF(AND(ISNUMBER(SEARCH("UBER",C478)),ISNUMBER(SEARCH("EATS",C478))),"Uber Eats",IF(LEFT(C478,6)="CHECK ","Checks Paid",IF(OR(E478="BILLPAY",ISNUMBER(SEARCH("FRANCHISE TAX",C478)),ISNUMBER(SEARCH("NEXTLINK",C478))),"Personal - House Bills",IF(AND(ISNUMBER(SEARCH("PAYMENT FROM",C478)),ISNUMBER(SEARCH("JOE SAUNDERS",C478))),"Zelle from Joe Saunders",IF(AND(ISNUMBER(SEARCH("PAYMENT TO",C478)),ISNUMBER(SEARCH("JOE SAUNDERS",C478))),"Zelle to Joe Saunders",IF(OR(ISNUMBER(SEARCH("NEW ORLEANS",C478)),ISNUMBER(SEARCH("KENNER",C478)),ISNUMBER(SEARCH("HENRY HOWARD",C478)),ISNUMBER(SEARCH("MISS CLAUDIA",C478))),"Personal Travel - New Orleans",IF(AND(YEAR(B478)=2025,MONTH(B478)=4,OR(ISNUMBER(SEARCH("EXCHANGE RATE",C478)),ISNUMBER(SEARCH("EXCHG RTE",C478)))),"Personal Travel - Italy",IFERROR(INDEX('Category Rules'!$B$2:$B$358,MATCH(TRUE,ISNUMBER(SEARCH('Category Rules'!$A$2:$A$358,C478)),0)),""))))))))</f>
        <v>Personal - Entertainment</v>
      </c>
    </row>
    <row r="479" spans="1:7" x14ac:dyDescent="0.25">
      <c r="A479" t="s">
        <v>6</v>
      </c>
      <c r="B479" s="1">
        <v>45957</v>
      </c>
      <c r="C479" t="s">
        <v>443</v>
      </c>
      <c r="D479">
        <v>-49.76</v>
      </c>
      <c r="E479" t="s">
        <v>10</v>
      </c>
      <c r="F479">
        <v>3760.17</v>
      </c>
      <c r="G479" t="str" cm="1">
        <f t="array" ref="G479">IF(AND(ISNUMBER(SEARCH("UBER",C479)),ISNUMBER(SEARCH("EATS",C479))),"Uber Eats",IF(LEFT(C479,6)="CHECK ","Checks Paid",IF(OR(E479="BILLPAY",ISNUMBER(SEARCH("FRANCHISE TAX",C479)),ISNUMBER(SEARCH("NEXTLINK",C479))),"Personal - House Bills",IF(AND(ISNUMBER(SEARCH("PAYMENT FROM",C479)),ISNUMBER(SEARCH("JOE SAUNDERS",C479))),"Zelle from Joe Saunders",IF(AND(ISNUMBER(SEARCH("PAYMENT TO",C479)),ISNUMBER(SEARCH("JOE SAUNDERS",C479))),"Zelle to Joe Saunders",IF(OR(ISNUMBER(SEARCH("NEW ORLEANS",C479)),ISNUMBER(SEARCH("KENNER",C479)),ISNUMBER(SEARCH("HENRY HOWARD",C479)),ISNUMBER(SEARCH("MISS CLAUDIA",C479))),"Personal Travel - New Orleans",IF(AND(YEAR(B479)=2025,MONTH(B479)=4,OR(ISNUMBER(SEARCH("EXCHANGE RATE",C479)),ISNUMBER(SEARCH("EXCHG RTE",C479)))),"Personal Travel - Italy",IFERROR(INDEX('Category Rules'!$B$2:$B$358,MATCH(TRUE,ISNUMBER(SEARCH('Category Rules'!$A$2:$A$358,C479)),0)),""))))))))</f>
        <v>Personal - Entertainment</v>
      </c>
    </row>
    <row r="480" spans="1:7" x14ac:dyDescent="0.25">
      <c r="A480" t="s">
        <v>6</v>
      </c>
      <c r="B480" s="1">
        <v>45957</v>
      </c>
      <c r="C480" t="s">
        <v>444</v>
      </c>
      <c r="D480">
        <v>-85.75</v>
      </c>
      <c r="E480" t="s">
        <v>10</v>
      </c>
      <c r="F480">
        <v>3809.93</v>
      </c>
      <c r="G480" t="str" cm="1">
        <f t="array" ref="G480">IF(AND(ISNUMBER(SEARCH("UBER",C480)),ISNUMBER(SEARCH("EATS",C480))),"Uber Eats",IF(LEFT(C480,6)="CHECK ","Checks Paid",IF(OR(E480="BILLPAY",ISNUMBER(SEARCH("FRANCHISE TAX",C480)),ISNUMBER(SEARCH("NEXTLINK",C480))),"Personal - House Bills",IF(AND(ISNUMBER(SEARCH("PAYMENT FROM",C480)),ISNUMBER(SEARCH("JOE SAUNDERS",C480))),"Zelle from Joe Saunders",IF(AND(ISNUMBER(SEARCH("PAYMENT TO",C480)),ISNUMBER(SEARCH("JOE SAUNDERS",C480))),"Zelle to Joe Saunders",IF(OR(ISNUMBER(SEARCH("NEW ORLEANS",C480)),ISNUMBER(SEARCH("KENNER",C480)),ISNUMBER(SEARCH("HENRY HOWARD",C480)),ISNUMBER(SEARCH("MISS CLAUDIA",C480))),"Personal Travel - New Orleans",IF(AND(YEAR(B480)=2025,MONTH(B480)=4,OR(ISNUMBER(SEARCH("EXCHANGE RATE",C480)),ISNUMBER(SEARCH("EXCHG RTE",C480)))),"Personal Travel - Italy",IFERROR(INDEX('Category Rules'!$B$2:$B$358,MATCH(TRUE,ISNUMBER(SEARCH('Category Rules'!$A$2:$A$358,C480)),0)),""))))))))</f>
        <v>Uber Eats</v>
      </c>
    </row>
    <row r="481" spans="1:7" x14ac:dyDescent="0.25">
      <c r="A481" t="s">
        <v>6</v>
      </c>
      <c r="B481" s="1">
        <v>45957</v>
      </c>
      <c r="C481" t="s">
        <v>445</v>
      </c>
      <c r="D481">
        <v>-15</v>
      </c>
      <c r="E481" t="s">
        <v>10</v>
      </c>
      <c r="F481">
        <v>3895.68</v>
      </c>
      <c r="G481" t="str" cm="1">
        <f t="array" ref="G481">IF(AND(ISNUMBER(SEARCH("UBER",C481)),ISNUMBER(SEARCH("EATS",C481))),"Uber Eats",IF(LEFT(C481,6)="CHECK ","Checks Paid",IF(OR(E481="BILLPAY",ISNUMBER(SEARCH("FRANCHISE TAX",C481)),ISNUMBER(SEARCH("NEXTLINK",C481))),"Personal - House Bills",IF(AND(ISNUMBER(SEARCH("PAYMENT FROM",C481)),ISNUMBER(SEARCH("JOE SAUNDERS",C481))),"Zelle from Joe Saunders",IF(AND(ISNUMBER(SEARCH("PAYMENT TO",C481)),ISNUMBER(SEARCH("JOE SAUNDERS",C481))),"Zelle to Joe Saunders",IF(OR(ISNUMBER(SEARCH("NEW ORLEANS",C481)),ISNUMBER(SEARCH("KENNER",C481)),ISNUMBER(SEARCH("HENRY HOWARD",C481)),ISNUMBER(SEARCH("MISS CLAUDIA",C481))),"Personal Travel - New Orleans",IF(AND(YEAR(B481)=2025,MONTH(B481)=4,OR(ISNUMBER(SEARCH("EXCHANGE RATE",C481)),ISNUMBER(SEARCH("EXCHG RTE",C481)))),"Personal Travel - Italy",IFERROR(INDEX('Category Rules'!$B$2:$B$358,MATCH(TRUE,ISNUMBER(SEARCH('Category Rules'!$A$2:$A$358,C481)),0)),""))))))))</f>
        <v>Personal - Subscription</v>
      </c>
    </row>
    <row r="482" spans="1:7" x14ac:dyDescent="0.25">
      <c r="A482" t="s">
        <v>6</v>
      </c>
      <c r="B482" s="1">
        <v>45957</v>
      </c>
      <c r="C482" t="s">
        <v>446</v>
      </c>
      <c r="D482">
        <v>-16.45</v>
      </c>
      <c r="E482" t="s">
        <v>10</v>
      </c>
      <c r="F482">
        <v>3910.68</v>
      </c>
      <c r="G482" t="str" cm="1">
        <f t="array" ref="G482">IF(AND(ISNUMBER(SEARCH("UBER",C482)),ISNUMBER(SEARCH("EATS",C482))),"Uber Eats",IF(LEFT(C482,6)="CHECK ","Checks Paid",IF(OR(E482="BILLPAY",ISNUMBER(SEARCH("FRANCHISE TAX",C482)),ISNUMBER(SEARCH("NEXTLINK",C482))),"Personal - House Bills",IF(AND(ISNUMBER(SEARCH("PAYMENT FROM",C482)),ISNUMBER(SEARCH("JOE SAUNDERS",C482))),"Zelle from Joe Saunders",IF(AND(ISNUMBER(SEARCH("PAYMENT TO",C482)),ISNUMBER(SEARCH("JOE SAUNDERS",C482))),"Zelle to Joe Saunders",IF(OR(ISNUMBER(SEARCH("NEW ORLEANS",C482)),ISNUMBER(SEARCH("KENNER",C482)),ISNUMBER(SEARCH("HENRY HOWARD",C482)),ISNUMBER(SEARCH("MISS CLAUDIA",C482))),"Personal Travel - New Orleans",IF(AND(YEAR(B482)=2025,MONTH(B482)=4,OR(ISNUMBER(SEARCH("EXCHANGE RATE",C482)),ISNUMBER(SEARCH("EXCHG RTE",C482)))),"Personal Travel - Italy",IFERROR(INDEX('Category Rules'!$B$2:$B$358,MATCH(TRUE,ISNUMBER(SEARCH('Category Rules'!$A$2:$A$358,C482)),0)),""))))))))</f>
        <v>Amazon</v>
      </c>
    </row>
    <row r="483" spans="1:7" x14ac:dyDescent="0.25">
      <c r="A483" t="s">
        <v>6</v>
      </c>
      <c r="B483" s="1">
        <v>45957</v>
      </c>
      <c r="C483" t="s">
        <v>443</v>
      </c>
      <c r="D483">
        <v>-43.92</v>
      </c>
      <c r="E483" t="s">
        <v>10</v>
      </c>
      <c r="F483">
        <v>3927.13</v>
      </c>
      <c r="G483" t="str" cm="1">
        <f t="array" ref="G483">IF(AND(ISNUMBER(SEARCH("UBER",C483)),ISNUMBER(SEARCH("EATS",C483))),"Uber Eats",IF(LEFT(C483,6)="CHECK ","Checks Paid",IF(OR(E483="BILLPAY",ISNUMBER(SEARCH("FRANCHISE TAX",C483)),ISNUMBER(SEARCH("NEXTLINK",C483))),"Personal - House Bills",IF(AND(ISNUMBER(SEARCH("PAYMENT FROM",C483)),ISNUMBER(SEARCH("JOE SAUNDERS",C483))),"Zelle from Joe Saunders",IF(AND(ISNUMBER(SEARCH("PAYMENT TO",C483)),ISNUMBER(SEARCH("JOE SAUNDERS",C483))),"Zelle to Joe Saunders",IF(OR(ISNUMBER(SEARCH("NEW ORLEANS",C483)),ISNUMBER(SEARCH("KENNER",C483)),ISNUMBER(SEARCH("HENRY HOWARD",C483)),ISNUMBER(SEARCH("MISS CLAUDIA",C483))),"Personal Travel - New Orleans",IF(AND(YEAR(B483)=2025,MONTH(B483)=4,OR(ISNUMBER(SEARCH("EXCHANGE RATE",C483)),ISNUMBER(SEARCH("EXCHG RTE",C483)))),"Personal Travel - Italy",IFERROR(INDEX('Category Rules'!$B$2:$B$358,MATCH(TRUE,ISNUMBER(SEARCH('Category Rules'!$A$2:$A$358,C483)),0)),""))))))))</f>
        <v>Personal - Entertainment</v>
      </c>
    </row>
    <row r="484" spans="1:7" x14ac:dyDescent="0.25">
      <c r="A484" t="s">
        <v>6</v>
      </c>
      <c r="B484" s="1">
        <v>45957</v>
      </c>
      <c r="C484" t="s">
        <v>447</v>
      </c>
      <c r="D484">
        <v>-20</v>
      </c>
      <c r="E484" t="s">
        <v>10</v>
      </c>
      <c r="F484">
        <v>3971.05</v>
      </c>
      <c r="G484" t="str" cm="1">
        <f t="array" ref="G484">IF(AND(ISNUMBER(SEARCH("UBER",C484)),ISNUMBER(SEARCH("EATS",C484))),"Uber Eats",IF(LEFT(C484,6)="CHECK ","Checks Paid",IF(OR(E484="BILLPAY",ISNUMBER(SEARCH("FRANCHISE TAX",C484)),ISNUMBER(SEARCH("NEXTLINK",C484))),"Personal - House Bills",IF(AND(ISNUMBER(SEARCH("PAYMENT FROM",C484)),ISNUMBER(SEARCH("JOE SAUNDERS",C484))),"Zelle from Joe Saunders",IF(AND(ISNUMBER(SEARCH("PAYMENT TO",C484)),ISNUMBER(SEARCH("JOE SAUNDERS",C484))),"Zelle to Joe Saunders",IF(OR(ISNUMBER(SEARCH("NEW ORLEANS",C484)),ISNUMBER(SEARCH("KENNER",C484)),ISNUMBER(SEARCH("HENRY HOWARD",C484)),ISNUMBER(SEARCH("MISS CLAUDIA",C484))),"Personal Travel - New Orleans",IF(AND(YEAR(B484)=2025,MONTH(B484)=4,OR(ISNUMBER(SEARCH("EXCHANGE RATE",C484)),ISNUMBER(SEARCH("EXCHG RTE",C484)))),"Personal Travel - Italy",IFERROR(INDEX('Category Rules'!$B$2:$B$358,MATCH(TRUE,ISNUMBER(SEARCH('Category Rules'!$A$2:$A$358,C484)),0)),""))))))))</f>
        <v>Amazon</v>
      </c>
    </row>
    <row r="485" spans="1:7" x14ac:dyDescent="0.25">
      <c r="A485" t="s">
        <v>6</v>
      </c>
      <c r="B485" s="1">
        <v>45957</v>
      </c>
      <c r="C485" t="s">
        <v>448</v>
      </c>
      <c r="D485">
        <v>-20</v>
      </c>
      <c r="E485" t="s">
        <v>10</v>
      </c>
      <c r="F485">
        <v>3991.05</v>
      </c>
      <c r="G485" t="str" cm="1">
        <f t="array" ref="G485">IF(AND(ISNUMBER(SEARCH("UBER",C485)),ISNUMBER(SEARCH("EATS",C485))),"Uber Eats",IF(LEFT(C485,6)="CHECK ","Checks Paid",IF(OR(E485="BILLPAY",ISNUMBER(SEARCH("FRANCHISE TAX",C485)),ISNUMBER(SEARCH("NEXTLINK",C485))),"Personal - House Bills",IF(AND(ISNUMBER(SEARCH("PAYMENT FROM",C485)),ISNUMBER(SEARCH("JOE SAUNDERS",C485))),"Zelle from Joe Saunders",IF(AND(ISNUMBER(SEARCH("PAYMENT TO",C485)),ISNUMBER(SEARCH("JOE SAUNDERS",C485))),"Zelle to Joe Saunders",IF(OR(ISNUMBER(SEARCH("NEW ORLEANS",C485)),ISNUMBER(SEARCH("KENNER",C485)),ISNUMBER(SEARCH("HENRY HOWARD",C485)),ISNUMBER(SEARCH("MISS CLAUDIA",C485))),"Personal Travel - New Orleans",IF(AND(YEAR(B485)=2025,MONTH(B485)=4,OR(ISNUMBER(SEARCH("EXCHANGE RATE",C485)),ISNUMBER(SEARCH("EXCHG RTE",C485)))),"Personal Travel - Italy",IFERROR(INDEX('Category Rules'!$B$2:$B$358,MATCH(TRUE,ISNUMBER(SEARCH('Category Rules'!$A$2:$A$358,C485)),0)),""))))))))</f>
        <v>Amazon</v>
      </c>
    </row>
    <row r="486" spans="1:7" x14ac:dyDescent="0.25">
      <c r="A486" t="s">
        <v>6</v>
      </c>
      <c r="B486" s="1">
        <v>45957</v>
      </c>
      <c r="C486" t="s">
        <v>449</v>
      </c>
      <c r="D486">
        <v>-579.63</v>
      </c>
      <c r="E486" t="s">
        <v>10</v>
      </c>
      <c r="F486">
        <v>4011.05</v>
      </c>
      <c r="G486" t="str" cm="1">
        <f t="array" ref="G486">IF(AND(ISNUMBER(SEARCH("UBER",C486)),ISNUMBER(SEARCH("EATS",C486))),"Uber Eats",IF(LEFT(C486,6)="CHECK ","Checks Paid",IF(OR(E486="BILLPAY",ISNUMBER(SEARCH("FRANCHISE TAX",C486)),ISNUMBER(SEARCH("NEXTLINK",C486))),"Personal - House Bills",IF(AND(ISNUMBER(SEARCH("PAYMENT FROM",C486)),ISNUMBER(SEARCH("JOE SAUNDERS",C486))),"Zelle from Joe Saunders",IF(AND(ISNUMBER(SEARCH("PAYMENT TO",C486)),ISNUMBER(SEARCH("JOE SAUNDERS",C486))),"Zelle to Joe Saunders",IF(OR(ISNUMBER(SEARCH("NEW ORLEANS",C486)),ISNUMBER(SEARCH("KENNER",C486)),ISNUMBER(SEARCH("HENRY HOWARD",C486)),ISNUMBER(SEARCH("MISS CLAUDIA",C486))),"Personal Travel - New Orleans",IF(AND(YEAR(B486)=2025,MONTH(B486)=4,OR(ISNUMBER(SEARCH("EXCHANGE RATE",C486)),ISNUMBER(SEARCH("EXCHG RTE",C486)))),"Personal Travel - Italy",IFERROR(INDEX('Category Rules'!$B$2:$B$358,MATCH(TRUE,ISNUMBER(SEARCH('Category Rules'!$A$2:$A$358,C486)),0)),""))))))))</f>
        <v>AT&amp;T</v>
      </c>
    </row>
    <row r="487" spans="1:7" x14ac:dyDescent="0.25">
      <c r="A487" t="s">
        <v>6</v>
      </c>
      <c r="B487" s="1">
        <v>45957</v>
      </c>
      <c r="C487" t="s">
        <v>450</v>
      </c>
      <c r="D487">
        <v>-39.99</v>
      </c>
      <c r="E487" t="s">
        <v>10</v>
      </c>
      <c r="F487">
        <v>4590.68</v>
      </c>
      <c r="G487" t="str" cm="1">
        <f t="array" ref="G487">IF(AND(ISNUMBER(SEARCH("UBER",C487)),ISNUMBER(SEARCH("EATS",C487))),"Uber Eats",IF(LEFT(C487,6)="CHECK ","Checks Paid",IF(OR(E487="BILLPAY",ISNUMBER(SEARCH("FRANCHISE TAX",C487)),ISNUMBER(SEARCH("NEXTLINK",C487))),"Personal - House Bills",IF(AND(ISNUMBER(SEARCH("PAYMENT FROM",C487)),ISNUMBER(SEARCH("JOE SAUNDERS",C487))),"Zelle from Joe Saunders",IF(AND(ISNUMBER(SEARCH("PAYMENT TO",C487)),ISNUMBER(SEARCH("JOE SAUNDERS",C487))),"Zelle to Joe Saunders",IF(OR(ISNUMBER(SEARCH("NEW ORLEANS",C487)),ISNUMBER(SEARCH("KENNER",C487)),ISNUMBER(SEARCH("HENRY HOWARD",C487)),ISNUMBER(SEARCH("MISS CLAUDIA",C487))),"Personal Travel - New Orleans",IF(AND(YEAR(B487)=2025,MONTH(B487)=4,OR(ISNUMBER(SEARCH("EXCHANGE RATE",C487)),ISNUMBER(SEARCH("EXCHG RTE",C487)))),"Personal Travel - Italy",IFERROR(INDEX('Category Rules'!$B$2:$B$358,MATCH(TRUE,ISNUMBER(SEARCH('Category Rules'!$A$2:$A$358,C487)),0)),""))))))))</f>
        <v>Personal - Subscription</v>
      </c>
    </row>
    <row r="488" spans="1:7" x14ac:dyDescent="0.25">
      <c r="A488" t="s">
        <v>6</v>
      </c>
      <c r="B488" s="1">
        <v>45957</v>
      </c>
      <c r="C488" t="s">
        <v>451</v>
      </c>
      <c r="D488">
        <v>-150</v>
      </c>
      <c r="E488" t="s">
        <v>10</v>
      </c>
      <c r="F488">
        <v>4630.67</v>
      </c>
      <c r="G488" t="str" cm="1">
        <f t="array" ref="G488">IF(AND(ISNUMBER(SEARCH("UBER",C488)),ISNUMBER(SEARCH("EATS",C488))),"Uber Eats",IF(LEFT(C488,6)="CHECK ","Checks Paid",IF(OR(E488="BILLPAY",ISNUMBER(SEARCH("FRANCHISE TAX",C488)),ISNUMBER(SEARCH("NEXTLINK",C488))),"Personal - House Bills",IF(AND(ISNUMBER(SEARCH("PAYMENT FROM",C488)),ISNUMBER(SEARCH("JOE SAUNDERS",C488))),"Zelle from Joe Saunders",IF(AND(ISNUMBER(SEARCH("PAYMENT TO",C488)),ISNUMBER(SEARCH("JOE SAUNDERS",C488))),"Zelle to Joe Saunders",IF(OR(ISNUMBER(SEARCH("NEW ORLEANS",C488)),ISNUMBER(SEARCH("KENNER",C488)),ISNUMBER(SEARCH("HENRY HOWARD",C488)),ISNUMBER(SEARCH("MISS CLAUDIA",C488))),"Personal Travel - New Orleans",IF(AND(YEAR(B488)=2025,MONTH(B488)=4,OR(ISNUMBER(SEARCH("EXCHANGE RATE",C488)),ISNUMBER(SEARCH("EXCHG RTE",C488)))),"Personal Travel - Italy",IFERROR(INDEX('Category Rules'!$B$2:$B$358,MATCH(TRUE,ISNUMBER(SEARCH('Category Rules'!$A$2:$A$358,C488)),0)),""))))))))</f>
        <v>Personal - House Bills</v>
      </c>
    </row>
    <row r="489" spans="1:7" x14ac:dyDescent="0.25">
      <c r="A489" t="s">
        <v>6</v>
      </c>
      <c r="B489" s="1">
        <v>45957</v>
      </c>
      <c r="C489" t="s">
        <v>452</v>
      </c>
      <c r="D489">
        <v>-400</v>
      </c>
      <c r="E489" t="s">
        <v>10</v>
      </c>
      <c r="F489">
        <v>4780.67</v>
      </c>
      <c r="G489" t="str" cm="1">
        <f t="array" ref="G489">IF(AND(ISNUMBER(SEARCH("UBER",C489)),ISNUMBER(SEARCH("EATS",C489))),"Uber Eats",IF(LEFT(C489,6)="CHECK ","Checks Paid",IF(OR(E489="BILLPAY",ISNUMBER(SEARCH("FRANCHISE TAX",C489)),ISNUMBER(SEARCH("NEXTLINK",C489))),"Personal - House Bills",IF(AND(ISNUMBER(SEARCH("PAYMENT FROM",C489)),ISNUMBER(SEARCH("JOE SAUNDERS",C489))),"Zelle from Joe Saunders",IF(AND(ISNUMBER(SEARCH("PAYMENT TO",C489)),ISNUMBER(SEARCH("JOE SAUNDERS",C489))),"Zelle to Joe Saunders",IF(OR(ISNUMBER(SEARCH("NEW ORLEANS",C489)),ISNUMBER(SEARCH("KENNER",C489)),ISNUMBER(SEARCH("HENRY HOWARD",C489)),ISNUMBER(SEARCH("MISS CLAUDIA",C489))),"Personal Travel - New Orleans",IF(AND(YEAR(B489)=2025,MONTH(B489)=4,OR(ISNUMBER(SEARCH("EXCHANGE RATE",C489)),ISNUMBER(SEARCH("EXCHG RTE",C489)))),"Personal Travel - Italy",IFERROR(INDEX('Category Rules'!$B$2:$B$358,MATCH(TRUE,ISNUMBER(SEARCH('Category Rules'!$A$2:$A$358,C489)),0)),""))))))))</f>
        <v>Personal - House Bills</v>
      </c>
    </row>
    <row r="490" spans="1:7" x14ac:dyDescent="0.25">
      <c r="A490" t="s">
        <v>44</v>
      </c>
      <c r="B490" s="1">
        <v>45957</v>
      </c>
      <c r="C490" t="s">
        <v>453</v>
      </c>
      <c r="D490">
        <v>2000</v>
      </c>
      <c r="E490" t="s">
        <v>73</v>
      </c>
      <c r="F490">
        <v>5180.67</v>
      </c>
      <c r="G490" t="str" cm="1">
        <f t="array" ref="G490">IF(AND(ISNUMBER(SEARCH("UBER",C490)),ISNUMBER(SEARCH("EATS",C490))),"Uber Eats",IF(LEFT(C490,6)="CHECK ","Checks Paid",IF(OR(E490="BILLPAY",ISNUMBER(SEARCH("FRANCHISE TAX",C490)),ISNUMBER(SEARCH("NEXTLINK",C490))),"Personal - House Bills",IF(AND(ISNUMBER(SEARCH("PAYMENT FROM",C490)),ISNUMBER(SEARCH("JOE SAUNDERS",C490))),"Zelle from Joe Saunders",IF(AND(ISNUMBER(SEARCH("PAYMENT TO",C490)),ISNUMBER(SEARCH("JOE SAUNDERS",C490))),"Zelle to Joe Saunders",IF(OR(ISNUMBER(SEARCH("NEW ORLEANS",C490)),ISNUMBER(SEARCH("KENNER",C490)),ISNUMBER(SEARCH("HENRY HOWARD",C490)),ISNUMBER(SEARCH("MISS CLAUDIA",C490))),"Personal Travel - New Orleans",IF(AND(YEAR(B490)=2025,MONTH(B490)=4,OR(ISNUMBER(SEARCH("EXCHANGE RATE",C490)),ISNUMBER(SEARCH("EXCHG RTE",C490)))),"Personal Travel - Italy",IFERROR(INDEX('Category Rules'!$B$2:$B$358,MATCH(TRUE,ISNUMBER(SEARCH('Category Rules'!$A$2:$A$358,C490)),0)),""))))))))</f>
        <v>Transfer from DWG Capital Group</v>
      </c>
    </row>
    <row r="491" spans="1:7" x14ac:dyDescent="0.25">
      <c r="A491" t="s">
        <v>6</v>
      </c>
      <c r="B491" s="1">
        <v>45954</v>
      </c>
      <c r="C491" t="s">
        <v>454</v>
      </c>
      <c r="D491">
        <v>-200</v>
      </c>
      <c r="E491" t="s">
        <v>73</v>
      </c>
      <c r="F491">
        <v>3180.67</v>
      </c>
      <c r="G491" t="str" cm="1">
        <f t="array" ref="G491">IF(AND(ISNUMBER(SEARCH("UBER",C491)),ISNUMBER(SEARCH("EATS",C491))),"Uber Eats",IF(LEFT(C491,6)="CHECK ","Checks Paid",IF(OR(E491="BILLPAY",ISNUMBER(SEARCH("FRANCHISE TAX",C491)),ISNUMBER(SEARCH("NEXTLINK",C491))),"Personal - House Bills",IF(AND(ISNUMBER(SEARCH("PAYMENT FROM",C491)),ISNUMBER(SEARCH("JOE SAUNDERS",C491))),"Zelle from Joe Saunders",IF(AND(ISNUMBER(SEARCH("PAYMENT TO",C491)),ISNUMBER(SEARCH("JOE SAUNDERS",C491))),"Zelle to Joe Saunders",IF(OR(ISNUMBER(SEARCH("NEW ORLEANS",C491)),ISNUMBER(SEARCH("KENNER",C491)),ISNUMBER(SEARCH("HENRY HOWARD",C491)),ISNUMBER(SEARCH("MISS CLAUDIA",C491))),"Personal Travel - New Orleans",IF(AND(YEAR(B491)=2025,MONTH(B491)=4,OR(ISNUMBER(SEARCH("EXCHANGE RATE",C491)),ISNUMBER(SEARCH("EXCHG RTE",C491)))),"Personal Travel - Italy",IFERROR(INDEX('Category Rules'!$B$2:$B$358,MATCH(TRUE,ISNUMBER(SEARCH('Category Rules'!$A$2:$A$358,C491)),0)),""))))))))</f>
        <v>Transfer to Ava</v>
      </c>
    </row>
    <row r="492" spans="1:7" x14ac:dyDescent="0.25">
      <c r="A492" t="s">
        <v>6</v>
      </c>
      <c r="B492" s="1">
        <v>45954</v>
      </c>
      <c r="C492" t="s">
        <v>455</v>
      </c>
      <c r="D492">
        <v>-28.74</v>
      </c>
      <c r="E492" t="s">
        <v>10</v>
      </c>
      <c r="F492">
        <v>3380.67</v>
      </c>
      <c r="G492" t="str" cm="1">
        <f t="array" ref="G492">IF(AND(ISNUMBER(SEARCH("UBER",C492)),ISNUMBER(SEARCH("EATS",C492))),"Uber Eats",IF(LEFT(C492,6)="CHECK ","Checks Paid",IF(OR(E492="BILLPAY",ISNUMBER(SEARCH("FRANCHISE TAX",C492)),ISNUMBER(SEARCH("NEXTLINK",C492))),"Personal - House Bills",IF(AND(ISNUMBER(SEARCH("PAYMENT FROM",C492)),ISNUMBER(SEARCH("JOE SAUNDERS",C492))),"Zelle from Joe Saunders",IF(AND(ISNUMBER(SEARCH("PAYMENT TO",C492)),ISNUMBER(SEARCH("JOE SAUNDERS",C492))),"Zelle to Joe Saunders",IF(OR(ISNUMBER(SEARCH("NEW ORLEANS",C492)),ISNUMBER(SEARCH("KENNER",C492)),ISNUMBER(SEARCH("HENRY HOWARD",C492)),ISNUMBER(SEARCH("MISS CLAUDIA",C492))),"Personal Travel - New Orleans",IF(AND(YEAR(B492)=2025,MONTH(B492)=4,OR(ISNUMBER(SEARCH("EXCHANGE RATE",C492)),ISNUMBER(SEARCH("EXCHG RTE",C492)))),"Personal Travel - Italy",IFERROR(INDEX('Category Rules'!$B$2:$B$358,MATCH(TRUE,ISNUMBER(SEARCH('Category Rules'!$A$2:$A$358,C492)),0)),""))))))))</f>
        <v>Personal - Entertainment</v>
      </c>
    </row>
    <row r="493" spans="1:7" x14ac:dyDescent="0.25">
      <c r="A493" t="s">
        <v>6</v>
      </c>
      <c r="B493" s="1">
        <v>45954</v>
      </c>
      <c r="C493" t="s">
        <v>456</v>
      </c>
      <c r="D493">
        <v>-16.22</v>
      </c>
      <c r="E493" t="s">
        <v>10</v>
      </c>
      <c r="F493">
        <v>3409.41</v>
      </c>
      <c r="G493" t="str" cm="1">
        <f t="array" ref="G493">IF(AND(ISNUMBER(SEARCH("UBER",C493)),ISNUMBER(SEARCH("EATS",C493))),"Uber Eats",IF(LEFT(C493,6)="CHECK ","Checks Paid",IF(OR(E493="BILLPAY",ISNUMBER(SEARCH("FRANCHISE TAX",C493)),ISNUMBER(SEARCH("NEXTLINK",C493))),"Personal - House Bills",IF(AND(ISNUMBER(SEARCH("PAYMENT FROM",C493)),ISNUMBER(SEARCH("JOE SAUNDERS",C493))),"Zelle from Joe Saunders",IF(AND(ISNUMBER(SEARCH("PAYMENT TO",C493)),ISNUMBER(SEARCH("JOE SAUNDERS",C493))),"Zelle to Joe Saunders",IF(OR(ISNUMBER(SEARCH("NEW ORLEANS",C493)),ISNUMBER(SEARCH("KENNER",C493)),ISNUMBER(SEARCH("HENRY HOWARD",C493)),ISNUMBER(SEARCH("MISS CLAUDIA",C493))),"Personal Travel - New Orleans",IF(AND(YEAR(B493)=2025,MONTH(B493)=4,OR(ISNUMBER(SEARCH("EXCHANGE RATE",C493)),ISNUMBER(SEARCH("EXCHG RTE",C493)))),"Personal Travel - Italy",IFERROR(INDEX('Category Rules'!$B$2:$B$358,MATCH(TRUE,ISNUMBER(SEARCH('Category Rules'!$A$2:$A$358,C493)),0)),""))))))))</f>
        <v>Amazon</v>
      </c>
    </row>
    <row r="494" spans="1:7" x14ac:dyDescent="0.25">
      <c r="A494" t="s">
        <v>6</v>
      </c>
      <c r="B494" s="1">
        <v>45954</v>
      </c>
      <c r="C494" t="s">
        <v>457</v>
      </c>
      <c r="D494">
        <v>-20</v>
      </c>
      <c r="E494" t="s">
        <v>10</v>
      </c>
      <c r="F494">
        <v>3425.63</v>
      </c>
      <c r="G494" t="str" cm="1">
        <f t="array" ref="G494">IF(AND(ISNUMBER(SEARCH("UBER",C494)),ISNUMBER(SEARCH("EATS",C494))),"Uber Eats",IF(LEFT(C494,6)="CHECK ","Checks Paid",IF(OR(E494="BILLPAY",ISNUMBER(SEARCH("FRANCHISE TAX",C494)),ISNUMBER(SEARCH("NEXTLINK",C494))),"Personal - House Bills",IF(AND(ISNUMBER(SEARCH("PAYMENT FROM",C494)),ISNUMBER(SEARCH("JOE SAUNDERS",C494))),"Zelle from Joe Saunders",IF(AND(ISNUMBER(SEARCH("PAYMENT TO",C494)),ISNUMBER(SEARCH("JOE SAUNDERS",C494))),"Zelle to Joe Saunders",IF(OR(ISNUMBER(SEARCH("NEW ORLEANS",C494)),ISNUMBER(SEARCH("KENNER",C494)),ISNUMBER(SEARCH("HENRY HOWARD",C494)),ISNUMBER(SEARCH("MISS CLAUDIA",C494))),"Personal Travel - New Orleans",IF(AND(YEAR(B494)=2025,MONTH(B494)=4,OR(ISNUMBER(SEARCH("EXCHANGE RATE",C494)),ISNUMBER(SEARCH("EXCHG RTE",C494)))),"Personal Travel - Italy",IFERROR(INDEX('Category Rules'!$B$2:$B$358,MATCH(TRUE,ISNUMBER(SEARCH('Category Rules'!$A$2:$A$358,C494)),0)),""))))))))</f>
        <v>Amazon</v>
      </c>
    </row>
    <row r="495" spans="1:7" x14ac:dyDescent="0.25">
      <c r="A495" t="s">
        <v>6</v>
      </c>
      <c r="B495" s="1">
        <v>45954</v>
      </c>
      <c r="C495" t="s">
        <v>458</v>
      </c>
      <c r="D495">
        <v>-10.99</v>
      </c>
      <c r="E495" t="s">
        <v>10</v>
      </c>
      <c r="F495">
        <v>3445.63</v>
      </c>
      <c r="G495" t="str" cm="1">
        <f t="array" ref="G495">IF(AND(ISNUMBER(SEARCH("UBER",C495)),ISNUMBER(SEARCH("EATS",C495))),"Uber Eats",IF(LEFT(C495,6)="CHECK ","Checks Paid",IF(OR(E495="BILLPAY",ISNUMBER(SEARCH("FRANCHISE TAX",C495)),ISNUMBER(SEARCH("NEXTLINK",C495))),"Personal - House Bills",IF(AND(ISNUMBER(SEARCH("PAYMENT FROM",C495)),ISNUMBER(SEARCH("JOE SAUNDERS",C495))),"Zelle from Joe Saunders",IF(AND(ISNUMBER(SEARCH("PAYMENT TO",C495)),ISNUMBER(SEARCH("JOE SAUNDERS",C495))),"Zelle to Joe Saunders",IF(OR(ISNUMBER(SEARCH("NEW ORLEANS",C495)),ISNUMBER(SEARCH("KENNER",C495)),ISNUMBER(SEARCH("HENRY HOWARD",C495)),ISNUMBER(SEARCH("MISS CLAUDIA",C495))),"Personal Travel - New Orleans",IF(AND(YEAR(B495)=2025,MONTH(B495)=4,OR(ISNUMBER(SEARCH("EXCHANGE RATE",C495)),ISNUMBER(SEARCH("EXCHG RTE",C495)))),"Personal Travel - Italy",IFERROR(INDEX('Category Rules'!$B$2:$B$358,MATCH(TRUE,ISNUMBER(SEARCH('Category Rules'!$A$2:$A$358,C495)),0)),""))))))))</f>
        <v>Apple</v>
      </c>
    </row>
    <row r="496" spans="1:7" x14ac:dyDescent="0.25">
      <c r="A496" t="s">
        <v>6</v>
      </c>
      <c r="B496" s="1">
        <v>45954</v>
      </c>
      <c r="C496" t="s">
        <v>459</v>
      </c>
      <c r="D496">
        <v>-135.49</v>
      </c>
      <c r="E496" t="s">
        <v>10</v>
      </c>
      <c r="F496">
        <v>3456.62</v>
      </c>
      <c r="G496" t="str" cm="1">
        <f t="array" ref="G496">IF(AND(ISNUMBER(SEARCH("UBER",C496)),ISNUMBER(SEARCH("EATS",C496))),"Uber Eats",IF(LEFT(C496,6)="CHECK ","Checks Paid",IF(OR(E496="BILLPAY",ISNUMBER(SEARCH("FRANCHISE TAX",C496)),ISNUMBER(SEARCH("NEXTLINK",C496))),"Personal - House Bills",IF(AND(ISNUMBER(SEARCH("PAYMENT FROM",C496)),ISNUMBER(SEARCH("JOE SAUNDERS",C496))),"Zelle from Joe Saunders",IF(AND(ISNUMBER(SEARCH("PAYMENT TO",C496)),ISNUMBER(SEARCH("JOE SAUNDERS",C496))),"Zelle to Joe Saunders",IF(OR(ISNUMBER(SEARCH("NEW ORLEANS",C496)),ISNUMBER(SEARCH("KENNER",C496)),ISNUMBER(SEARCH("HENRY HOWARD",C496)),ISNUMBER(SEARCH("MISS CLAUDIA",C496))),"Personal Travel - New Orleans",IF(AND(YEAR(B496)=2025,MONTH(B496)=4,OR(ISNUMBER(SEARCH("EXCHANGE RATE",C496)),ISNUMBER(SEARCH("EXCHG RTE",C496)))),"Personal Travel - Italy",IFERROR(INDEX('Category Rules'!$B$2:$B$358,MATCH(TRUE,ISNUMBER(SEARCH('Category Rules'!$A$2:$A$358,C496)),0)),""))))))))</f>
        <v>Amazon</v>
      </c>
    </row>
    <row r="497" spans="1:7" x14ac:dyDescent="0.25">
      <c r="A497" t="s">
        <v>6</v>
      </c>
      <c r="B497" s="1">
        <v>45954</v>
      </c>
      <c r="C497" t="s">
        <v>460</v>
      </c>
      <c r="D497">
        <v>-34.44</v>
      </c>
      <c r="E497" t="s">
        <v>10</v>
      </c>
      <c r="F497">
        <v>3592.11</v>
      </c>
      <c r="G497" t="str" cm="1">
        <f t="array" ref="G497">IF(AND(ISNUMBER(SEARCH("UBER",C497)),ISNUMBER(SEARCH("EATS",C497))),"Uber Eats",IF(LEFT(C497,6)="CHECK ","Checks Paid",IF(OR(E497="BILLPAY",ISNUMBER(SEARCH("FRANCHISE TAX",C497)),ISNUMBER(SEARCH("NEXTLINK",C497))),"Personal - House Bills",IF(AND(ISNUMBER(SEARCH("PAYMENT FROM",C497)),ISNUMBER(SEARCH("JOE SAUNDERS",C497))),"Zelle from Joe Saunders",IF(AND(ISNUMBER(SEARCH("PAYMENT TO",C497)),ISNUMBER(SEARCH("JOE SAUNDERS",C497))),"Zelle to Joe Saunders",IF(OR(ISNUMBER(SEARCH("NEW ORLEANS",C497)),ISNUMBER(SEARCH("KENNER",C497)),ISNUMBER(SEARCH("HENRY HOWARD",C497)),ISNUMBER(SEARCH("MISS CLAUDIA",C497))),"Personal Travel - New Orleans",IF(AND(YEAR(B497)=2025,MONTH(B497)=4,OR(ISNUMBER(SEARCH("EXCHANGE RATE",C497)),ISNUMBER(SEARCH("EXCHG RTE",C497)))),"Personal Travel - Italy",IFERROR(INDEX('Category Rules'!$B$2:$B$358,MATCH(TRUE,ISNUMBER(SEARCH('Category Rules'!$A$2:$A$358,C497)),0)),""))))))))</f>
        <v>Personal Travel</v>
      </c>
    </row>
    <row r="498" spans="1:7" x14ac:dyDescent="0.25">
      <c r="A498" t="s">
        <v>6</v>
      </c>
      <c r="B498" s="1">
        <v>45954</v>
      </c>
      <c r="C498" t="s">
        <v>460</v>
      </c>
      <c r="D498">
        <v>-34.44</v>
      </c>
      <c r="E498" t="s">
        <v>10</v>
      </c>
      <c r="F498">
        <v>3626.55</v>
      </c>
      <c r="G498" t="str" cm="1">
        <f t="array" ref="G498">IF(AND(ISNUMBER(SEARCH("UBER",C498)),ISNUMBER(SEARCH("EATS",C498))),"Uber Eats",IF(LEFT(C498,6)="CHECK ","Checks Paid",IF(OR(E498="BILLPAY",ISNUMBER(SEARCH("FRANCHISE TAX",C498)),ISNUMBER(SEARCH("NEXTLINK",C498))),"Personal - House Bills",IF(AND(ISNUMBER(SEARCH("PAYMENT FROM",C498)),ISNUMBER(SEARCH("JOE SAUNDERS",C498))),"Zelle from Joe Saunders",IF(AND(ISNUMBER(SEARCH("PAYMENT TO",C498)),ISNUMBER(SEARCH("JOE SAUNDERS",C498))),"Zelle to Joe Saunders",IF(OR(ISNUMBER(SEARCH("NEW ORLEANS",C498)),ISNUMBER(SEARCH("KENNER",C498)),ISNUMBER(SEARCH("HENRY HOWARD",C498)),ISNUMBER(SEARCH("MISS CLAUDIA",C498))),"Personal Travel - New Orleans",IF(AND(YEAR(B498)=2025,MONTH(B498)=4,OR(ISNUMBER(SEARCH("EXCHANGE RATE",C498)),ISNUMBER(SEARCH("EXCHG RTE",C498)))),"Personal Travel - Italy",IFERROR(INDEX('Category Rules'!$B$2:$B$358,MATCH(TRUE,ISNUMBER(SEARCH('Category Rules'!$A$2:$A$358,C498)),0)),""))))))))</f>
        <v>Personal Travel</v>
      </c>
    </row>
    <row r="499" spans="1:7" x14ac:dyDescent="0.25">
      <c r="A499" t="s">
        <v>6</v>
      </c>
      <c r="B499" s="1">
        <v>45954</v>
      </c>
      <c r="C499" t="s">
        <v>461</v>
      </c>
      <c r="D499">
        <v>-134.1</v>
      </c>
      <c r="E499" t="s">
        <v>10</v>
      </c>
      <c r="F499">
        <v>3660.99</v>
      </c>
      <c r="G499" t="str" cm="1">
        <f t="array" ref="G499">IF(AND(ISNUMBER(SEARCH("UBER",C499)),ISNUMBER(SEARCH("EATS",C499))),"Uber Eats",IF(LEFT(C499,6)="CHECK ","Checks Paid",IF(OR(E499="BILLPAY",ISNUMBER(SEARCH("FRANCHISE TAX",C499)),ISNUMBER(SEARCH("NEXTLINK",C499))),"Personal - House Bills",IF(AND(ISNUMBER(SEARCH("PAYMENT FROM",C499)),ISNUMBER(SEARCH("JOE SAUNDERS",C499))),"Zelle from Joe Saunders",IF(AND(ISNUMBER(SEARCH("PAYMENT TO",C499)),ISNUMBER(SEARCH("JOE SAUNDERS",C499))),"Zelle to Joe Saunders",IF(OR(ISNUMBER(SEARCH("NEW ORLEANS",C499)),ISNUMBER(SEARCH("KENNER",C499)),ISNUMBER(SEARCH("HENRY HOWARD",C499)),ISNUMBER(SEARCH("MISS CLAUDIA",C499))),"Personal Travel - New Orleans",IF(AND(YEAR(B499)=2025,MONTH(B499)=4,OR(ISNUMBER(SEARCH("EXCHANGE RATE",C499)),ISNUMBER(SEARCH("EXCHG RTE",C499)))),"Personal Travel - Italy",IFERROR(INDEX('Category Rules'!$B$2:$B$358,MATCH(TRUE,ISNUMBER(SEARCH('Category Rules'!$A$2:$A$358,C499)),0)),""))))))))</f>
        <v>Amazon</v>
      </c>
    </row>
    <row r="500" spans="1:7" x14ac:dyDescent="0.25">
      <c r="A500" t="s">
        <v>6</v>
      </c>
      <c r="B500" s="1">
        <v>45954</v>
      </c>
      <c r="C500" t="s">
        <v>462</v>
      </c>
      <c r="D500">
        <v>-212.49</v>
      </c>
      <c r="E500" t="s">
        <v>10</v>
      </c>
      <c r="F500">
        <v>3795.09</v>
      </c>
      <c r="G500" t="str" cm="1">
        <f t="array" ref="G500">IF(AND(ISNUMBER(SEARCH("UBER",C500)),ISNUMBER(SEARCH("EATS",C500))),"Uber Eats",IF(LEFT(C500,6)="CHECK ","Checks Paid",IF(OR(E500="BILLPAY",ISNUMBER(SEARCH("FRANCHISE TAX",C500)),ISNUMBER(SEARCH("NEXTLINK",C500))),"Personal - House Bills",IF(AND(ISNUMBER(SEARCH("PAYMENT FROM",C500)),ISNUMBER(SEARCH("JOE SAUNDERS",C500))),"Zelle from Joe Saunders",IF(AND(ISNUMBER(SEARCH("PAYMENT TO",C500)),ISNUMBER(SEARCH("JOE SAUNDERS",C500))),"Zelle to Joe Saunders",IF(OR(ISNUMBER(SEARCH("NEW ORLEANS",C500)),ISNUMBER(SEARCH("KENNER",C500)),ISNUMBER(SEARCH("HENRY HOWARD",C500)),ISNUMBER(SEARCH("MISS CLAUDIA",C500))),"Personal Travel - New Orleans",IF(AND(YEAR(B500)=2025,MONTH(B500)=4,OR(ISNUMBER(SEARCH("EXCHANGE RATE",C500)),ISNUMBER(SEARCH("EXCHG RTE",C500)))),"Personal Travel - Italy",IFERROR(INDEX('Category Rules'!$B$2:$B$358,MATCH(TRUE,ISNUMBER(SEARCH('Category Rules'!$A$2:$A$358,C500)),0)),""))))))))</f>
        <v>Personal Travel</v>
      </c>
    </row>
    <row r="501" spans="1:7" x14ac:dyDescent="0.25">
      <c r="A501" t="s">
        <v>6</v>
      </c>
      <c r="B501" s="1">
        <v>45954</v>
      </c>
      <c r="C501" t="s">
        <v>462</v>
      </c>
      <c r="D501">
        <v>-212.49</v>
      </c>
      <c r="E501" t="s">
        <v>10</v>
      </c>
      <c r="F501">
        <v>4007.58</v>
      </c>
      <c r="G501" t="str" cm="1">
        <f t="array" ref="G501">IF(AND(ISNUMBER(SEARCH("UBER",C501)),ISNUMBER(SEARCH("EATS",C501))),"Uber Eats",IF(LEFT(C501,6)="CHECK ","Checks Paid",IF(OR(E501="BILLPAY",ISNUMBER(SEARCH("FRANCHISE TAX",C501)),ISNUMBER(SEARCH("NEXTLINK",C501))),"Personal - House Bills",IF(AND(ISNUMBER(SEARCH("PAYMENT FROM",C501)),ISNUMBER(SEARCH("JOE SAUNDERS",C501))),"Zelle from Joe Saunders",IF(AND(ISNUMBER(SEARCH("PAYMENT TO",C501)),ISNUMBER(SEARCH("JOE SAUNDERS",C501))),"Zelle to Joe Saunders",IF(OR(ISNUMBER(SEARCH("NEW ORLEANS",C501)),ISNUMBER(SEARCH("KENNER",C501)),ISNUMBER(SEARCH("HENRY HOWARD",C501)),ISNUMBER(SEARCH("MISS CLAUDIA",C501))),"Personal Travel - New Orleans",IF(AND(YEAR(B501)=2025,MONTH(B501)=4,OR(ISNUMBER(SEARCH("EXCHANGE RATE",C501)),ISNUMBER(SEARCH("EXCHG RTE",C501)))),"Personal Travel - Italy",IFERROR(INDEX('Category Rules'!$B$2:$B$358,MATCH(TRUE,ISNUMBER(SEARCH('Category Rules'!$A$2:$A$358,C501)),0)),""))))))))</f>
        <v>Personal Travel</v>
      </c>
    </row>
    <row r="502" spans="1:7" x14ac:dyDescent="0.25">
      <c r="A502" t="s">
        <v>44</v>
      </c>
      <c r="B502" s="1">
        <v>45954</v>
      </c>
      <c r="C502" t="s">
        <v>463</v>
      </c>
      <c r="D502">
        <v>150</v>
      </c>
      <c r="E502" t="s">
        <v>464</v>
      </c>
      <c r="F502">
        <v>4220.07</v>
      </c>
      <c r="G502" t="str" cm="1">
        <f t="array" ref="G502">IF(AND(ISNUMBER(SEARCH("UBER",C502)),ISNUMBER(SEARCH("EATS",C502))),"Uber Eats",IF(LEFT(C502,6)="CHECK ","Checks Paid",IF(OR(E502="BILLPAY",ISNUMBER(SEARCH("FRANCHISE TAX",C502)),ISNUMBER(SEARCH("NEXTLINK",C502))),"Personal - House Bills",IF(AND(ISNUMBER(SEARCH("PAYMENT FROM",C502)),ISNUMBER(SEARCH("JOE SAUNDERS",C502))),"Zelle from Joe Saunders",IF(AND(ISNUMBER(SEARCH("PAYMENT TO",C502)),ISNUMBER(SEARCH("JOE SAUNDERS",C502))),"Zelle to Joe Saunders",IF(OR(ISNUMBER(SEARCH("NEW ORLEANS",C502)),ISNUMBER(SEARCH("KENNER",C502)),ISNUMBER(SEARCH("HENRY HOWARD",C502)),ISNUMBER(SEARCH("MISS CLAUDIA",C502))),"Personal Travel - New Orleans",IF(AND(YEAR(B502)=2025,MONTH(B502)=4,OR(ISNUMBER(SEARCH("EXCHANGE RATE",C502)),ISNUMBER(SEARCH("EXCHG RTE",C502)))),"Personal Travel - Italy",IFERROR(INDEX('Category Rules'!$B$2:$B$358,MATCH(TRUE,ISNUMBER(SEARCH('Category Rules'!$A$2:$A$358,C502)),0)),""))))))))</f>
        <v>Zelle from Jessica Purse</v>
      </c>
    </row>
    <row r="503" spans="1:7" x14ac:dyDescent="0.25">
      <c r="A503" t="s">
        <v>44</v>
      </c>
      <c r="B503" s="1">
        <v>45954</v>
      </c>
      <c r="C503" t="s">
        <v>465</v>
      </c>
      <c r="D503">
        <v>3000</v>
      </c>
      <c r="E503" t="s">
        <v>73</v>
      </c>
      <c r="F503">
        <v>4070.07</v>
      </c>
      <c r="G503" t="str" cm="1">
        <f t="array" ref="G503">IF(AND(ISNUMBER(SEARCH("UBER",C503)),ISNUMBER(SEARCH("EATS",C503))),"Uber Eats",IF(LEFT(C503,6)="CHECK ","Checks Paid",IF(OR(E503="BILLPAY",ISNUMBER(SEARCH("FRANCHISE TAX",C503)),ISNUMBER(SEARCH("NEXTLINK",C503))),"Personal - House Bills",IF(AND(ISNUMBER(SEARCH("PAYMENT FROM",C503)),ISNUMBER(SEARCH("JOE SAUNDERS",C503))),"Zelle from Joe Saunders",IF(AND(ISNUMBER(SEARCH("PAYMENT TO",C503)),ISNUMBER(SEARCH("JOE SAUNDERS",C503))),"Zelle to Joe Saunders",IF(OR(ISNUMBER(SEARCH("NEW ORLEANS",C503)),ISNUMBER(SEARCH("KENNER",C503)),ISNUMBER(SEARCH("HENRY HOWARD",C503)),ISNUMBER(SEARCH("MISS CLAUDIA",C503))),"Personal Travel - New Orleans",IF(AND(YEAR(B503)=2025,MONTH(B503)=4,OR(ISNUMBER(SEARCH("EXCHANGE RATE",C503)),ISNUMBER(SEARCH("EXCHG RTE",C503)))),"Personal Travel - Italy",IFERROR(INDEX('Category Rules'!$B$2:$B$358,MATCH(TRUE,ISNUMBER(SEARCH('Category Rules'!$A$2:$A$358,C503)),0)),""))))))))</f>
        <v>Transfer from DWG Capital Group</v>
      </c>
    </row>
    <row r="504" spans="1:7" x14ac:dyDescent="0.25">
      <c r="A504" t="s">
        <v>6</v>
      </c>
      <c r="B504" s="1">
        <v>45953</v>
      </c>
      <c r="C504" t="s">
        <v>466</v>
      </c>
      <c r="D504">
        <v>-11.51</v>
      </c>
      <c r="E504" t="s">
        <v>10</v>
      </c>
      <c r="F504">
        <v>1070.07</v>
      </c>
      <c r="G504" t="str" cm="1">
        <f t="array" ref="G504">IF(AND(ISNUMBER(SEARCH("UBER",C504)),ISNUMBER(SEARCH("EATS",C504))),"Uber Eats",IF(LEFT(C504,6)="CHECK ","Checks Paid",IF(OR(E504="BILLPAY",ISNUMBER(SEARCH("FRANCHISE TAX",C504)),ISNUMBER(SEARCH("NEXTLINK",C504))),"Personal - House Bills",IF(AND(ISNUMBER(SEARCH("PAYMENT FROM",C504)),ISNUMBER(SEARCH("JOE SAUNDERS",C504))),"Zelle from Joe Saunders",IF(AND(ISNUMBER(SEARCH("PAYMENT TO",C504)),ISNUMBER(SEARCH("JOE SAUNDERS",C504))),"Zelle to Joe Saunders",IF(OR(ISNUMBER(SEARCH("NEW ORLEANS",C504)),ISNUMBER(SEARCH("KENNER",C504)),ISNUMBER(SEARCH("HENRY HOWARD",C504)),ISNUMBER(SEARCH("MISS CLAUDIA",C504))),"Personal Travel - New Orleans",IF(AND(YEAR(B504)=2025,MONTH(B504)=4,OR(ISNUMBER(SEARCH("EXCHANGE RATE",C504)),ISNUMBER(SEARCH("EXCHG RTE",C504)))),"Personal Travel - Italy",IFERROR(INDEX('Category Rules'!$B$2:$B$358,MATCH(TRUE,ISNUMBER(SEARCH('Category Rules'!$A$2:$A$358,C504)),0)),""))))))))</f>
        <v>Amazon</v>
      </c>
    </row>
    <row r="505" spans="1:7" x14ac:dyDescent="0.25">
      <c r="A505" t="s">
        <v>6</v>
      </c>
      <c r="B505" s="1">
        <v>45953</v>
      </c>
      <c r="C505" t="s">
        <v>467</v>
      </c>
      <c r="D505">
        <v>-474</v>
      </c>
      <c r="E505" t="s">
        <v>10</v>
      </c>
      <c r="F505">
        <v>1081.58</v>
      </c>
      <c r="G505" t="str" cm="1">
        <f t="array" ref="G505">IF(AND(ISNUMBER(SEARCH("UBER",C505)),ISNUMBER(SEARCH("EATS",C505))),"Uber Eats",IF(LEFT(C505,6)="CHECK ","Checks Paid",IF(OR(E505="BILLPAY",ISNUMBER(SEARCH("FRANCHISE TAX",C505)),ISNUMBER(SEARCH("NEXTLINK",C505))),"Personal - House Bills",IF(AND(ISNUMBER(SEARCH("PAYMENT FROM",C505)),ISNUMBER(SEARCH("JOE SAUNDERS",C505))),"Zelle from Joe Saunders",IF(AND(ISNUMBER(SEARCH("PAYMENT TO",C505)),ISNUMBER(SEARCH("JOE SAUNDERS",C505))),"Zelle to Joe Saunders",IF(OR(ISNUMBER(SEARCH("NEW ORLEANS",C505)),ISNUMBER(SEARCH("KENNER",C505)),ISNUMBER(SEARCH("HENRY HOWARD",C505)),ISNUMBER(SEARCH("MISS CLAUDIA",C505))),"Personal Travel - New Orleans",IF(AND(YEAR(B505)=2025,MONTH(B505)=4,OR(ISNUMBER(SEARCH("EXCHANGE RATE",C505)),ISNUMBER(SEARCH("EXCHG RTE",C505)))),"Personal Travel - Italy",IFERROR(INDEX('Category Rules'!$B$2:$B$358,MATCH(TRUE,ISNUMBER(SEARCH('Category Rules'!$A$2:$A$358,C505)),0)),""))))))))</f>
        <v>Personal - Health</v>
      </c>
    </row>
    <row r="506" spans="1:7" x14ac:dyDescent="0.25">
      <c r="A506" t="s">
        <v>6</v>
      </c>
      <c r="B506" s="1">
        <v>45953</v>
      </c>
      <c r="C506" t="s">
        <v>468</v>
      </c>
      <c r="D506">
        <v>-72</v>
      </c>
      <c r="E506" t="s">
        <v>10</v>
      </c>
      <c r="F506">
        <v>1555.58</v>
      </c>
      <c r="G506" t="str" cm="1">
        <f t="array" ref="G506">IF(AND(ISNUMBER(SEARCH("UBER",C506)),ISNUMBER(SEARCH("EATS",C506))),"Uber Eats",IF(LEFT(C506,6)="CHECK ","Checks Paid",IF(OR(E506="BILLPAY",ISNUMBER(SEARCH("FRANCHISE TAX",C506)),ISNUMBER(SEARCH("NEXTLINK",C506))),"Personal - House Bills",IF(AND(ISNUMBER(SEARCH("PAYMENT FROM",C506)),ISNUMBER(SEARCH("JOE SAUNDERS",C506))),"Zelle from Joe Saunders",IF(AND(ISNUMBER(SEARCH("PAYMENT TO",C506)),ISNUMBER(SEARCH("JOE SAUNDERS",C506))),"Zelle to Joe Saunders",IF(OR(ISNUMBER(SEARCH("NEW ORLEANS",C506)),ISNUMBER(SEARCH("KENNER",C506)),ISNUMBER(SEARCH("HENRY HOWARD",C506)),ISNUMBER(SEARCH("MISS CLAUDIA",C506))),"Personal Travel - New Orleans",IF(AND(YEAR(B506)=2025,MONTH(B506)=4,OR(ISNUMBER(SEARCH("EXCHANGE RATE",C506)),ISNUMBER(SEARCH("EXCHG RTE",C506)))),"Personal Travel - Italy",IFERROR(INDEX('Category Rules'!$B$2:$B$358,MATCH(TRUE,ISNUMBER(SEARCH('Category Rules'!$A$2:$A$358,C506)),0)),""))))))))</f>
        <v>Amazon</v>
      </c>
    </row>
    <row r="507" spans="1:7" x14ac:dyDescent="0.25">
      <c r="A507" t="s">
        <v>6</v>
      </c>
      <c r="B507" s="1">
        <v>45953</v>
      </c>
      <c r="C507" t="s">
        <v>469</v>
      </c>
      <c r="D507">
        <v>-119.94</v>
      </c>
      <c r="E507" t="s">
        <v>10</v>
      </c>
      <c r="F507">
        <v>1627.58</v>
      </c>
      <c r="G507" t="str" cm="1">
        <f t="array" ref="G507">IF(AND(ISNUMBER(SEARCH("UBER",C507)),ISNUMBER(SEARCH("EATS",C507))),"Uber Eats",IF(LEFT(C507,6)="CHECK ","Checks Paid",IF(OR(E507="BILLPAY",ISNUMBER(SEARCH("FRANCHISE TAX",C507)),ISNUMBER(SEARCH("NEXTLINK",C507))),"Personal - House Bills",IF(AND(ISNUMBER(SEARCH("PAYMENT FROM",C507)),ISNUMBER(SEARCH("JOE SAUNDERS",C507))),"Zelle from Joe Saunders",IF(AND(ISNUMBER(SEARCH("PAYMENT TO",C507)),ISNUMBER(SEARCH("JOE SAUNDERS",C507))),"Zelle to Joe Saunders",IF(OR(ISNUMBER(SEARCH("NEW ORLEANS",C507)),ISNUMBER(SEARCH("KENNER",C507)),ISNUMBER(SEARCH("HENRY HOWARD",C507)),ISNUMBER(SEARCH("MISS CLAUDIA",C507))),"Personal Travel - New Orleans",IF(AND(YEAR(B507)=2025,MONTH(B507)=4,OR(ISNUMBER(SEARCH("EXCHANGE RATE",C507)),ISNUMBER(SEARCH("EXCHG RTE",C507)))),"Personal Travel - Italy",IFERROR(INDEX('Category Rules'!$B$2:$B$358,MATCH(TRUE,ISNUMBER(SEARCH('Category Rules'!$A$2:$A$358,C507)),0)),""))))))))</f>
        <v>Personal - Clothing</v>
      </c>
    </row>
    <row r="508" spans="1:7" x14ac:dyDescent="0.25">
      <c r="A508" t="s">
        <v>6</v>
      </c>
      <c r="B508" s="1">
        <v>45953</v>
      </c>
      <c r="C508" t="s">
        <v>470</v>
      </c>
      <c r="D508">
        <v>-193.77</v>
      </c>
      <c r="E508" t="s">
        <v>10</v>
      </c>
      <c r="F508">
        <v>1747.52</v>
      </c>
      <c r="G508" t="str" cm="1">
        <f t="array" ref="G508">IF(AND(ISNUMBER(SEARCH("UBER",C508)),ISNUMBER(SEARCH("EATS",C508))),"Uber Eats",IF(LEFT(C508,6)="CHECK ","Checks Paid",IF(OR(E508="BILLPAY",ISNUMBER(SEARCH("FRANCHISE TAX",C508)),ISNUMBER(SEARCH("NEXTLINK",C508))),"Personal - House Bills",IF(AND(ISNUMBER(SEARCH("PAYMENT FROM",C508)),ISNUMBER(SEARCH("JOE SAUNDERS",C508))),"Zelle from Joe Saunders",IF(AND(ISNUMBER(SEARCH("PAYMENT TO",C508)),ISNUMBER(SEARCH("JOE SAUNDERS",C508))),"Zelle to Joe Saunders",IF(OR(ISNUMBER(SEARCH("NEW ORLEANS",C508)),ISNUMBER(SEARCH("KENNER",C508)),ISNUMBER(SEARCH("HENRY HOWARD",C508)),ISNUMBER(SEARCH("MISS CLAUDIA",C508))),"Personal Travel - New Orleans",IF(AND(YEAR(B508)=2025,MONTH(B508)=4,OR(ISNUMBER(SEARCH("EXCHANGE RATE",C508)),ISNUMBER(SEARCH("EXCHG RTE",C508)))),"Personal Travel - Italy",IFERROR(INDEX('Category Rules'!$B$2:$B$358,MATCH(TRUE,ISNUMBER(SEARCH('Category Rules'!$A$2:$A$358,C508)),0)),""))))))))</f>
        <v>Amazon</v>
      </c>
    </row>
    <row r="509" spans="1:7" x14ac:dyDescent="0.25">
      <c r="A509" t="s">
        <v>6</v>
      </c>
      <c r="B509" s="1">
        <v>45952</v>
      </c>
      <c r="C509" t="s">
        <v>471</v>
      </c>
      <c r="D509">
        <v>-792.88</v>
      </c>
      <c r="E509" t="s">
        <v>10</v>
      </c>
      <c r="F509">
        <v>1941.29</v>
      </c>
      <c r="G509" t="str" cm="1">
        <f t="array" ref="G509">IF(AND(ISNUMBER(SEARCH("UBER",C509)),ISNUMBER(SEARCH("EATS",C509))),"Uber Eats",IF(LEFT(C509,6)="CHECK ","Checks Paid",IF(OR(E509="BILLPAY",ISNUMBER(SEARCH("FRANCHISE TAX",C509)),ISNUMBER(SEARCH("NEXTLINK",C509))),"Personal - House Bills",IF(AND(ISNUMBER(SEARCH("PAYMENT FROM",C509)),ISNUMBER(SEARCH("JOE SAUNDERS",C509))),"Zelle from Joe Saunders",IF(AND(ISNUMBER(SEARCH("PAYMENT TO",C509)),ISNUMBER(SEARCH("JOE SAUNDERS",C509))),"Zelle to Joe Saunders",IF(OR(ISNUMBER(SEARCH("NEW ORLEANS",C509)),ISNUMBER(SEARCH("KENNER",C509)),ISNUMBER(SEARCH("HENRY HOWARD",C509)),ISNUMBER(SEARCH("MISS CLAUDIA",C509))),"Personal Travel - New Orleans",IF(AND(YEAR(B509)=2025,MONTH(B509)=4,OR(ISNUMBER(SEARCH("EXCHANGE RATE",C509)),ISNUMBER(SEARCH("EXCHG RTE",C509)))),"Personal Travel - Italy",IFERROR(INDEX('Category Rules'!$B$2:$B$358,MATCH(TRUE,ISNUMBER(SEARCH('Category Rules'!$A$2:$A$358,C509)),0)),""))))))))</f>
        <v>Personal - Shopping</v>
      </c>
    </row>
    <row r="510" spans="1:7" x14ac:dyDescent="0.25">
      <c r="A510" t="s">
        <v>6</v>
      </c>
      <c r="B510" s="1">
        <v>45952</v>
      </c>
      <c r="C510" t="s">
        <v>472</v>
      </c>
      <c r="D510">
        <v>-8.57</v>
      </c>
      <c r="E510" t="s">
        <v>10</v>
      </c>
      <c r="F510">
        <v>2734.17</v>
      </c>
      <c r="G510" t="str" cm="1">
        <f t="array" ref="G510">IF(AND(ISNUMBER(SEARCH("UBER",C510)),ISNUMBER(SEARCH("EATS",C510))),"Uber Eats",IF(LEFT(C510,6)="CHECK ","Checks Paid",IF(OR(E510="BILLPAY",ISNUMBER(SEARCH("FRANCHISE TAX",C510)),ISNUMBER(SEARCH("NEXTLINK",C510))),"Personal - House Bills",IF(AND(ISNUMBER(SEARCH("PAYMENT FROM",C510)),ISNUMBER(SEARCH("JOE SAUNDERS",C510))),"Zelle from Joe Saunders",IF(AND(ISNUMBER(SEARCH("PAYMENT TO",C510)),ISNUMBER(SEARCH("JOE SAUNDERS",C510))),"Zelle to Joe Saunders",IF(OR(ISNUMBER(SEARCH("NEW ORLEANS",C510)),ISNUMBER(SEARCH("KENNER",C510)),ISNUMBER(SEARCH("HENRY HOWARD",C510)),ISNUMBER(SEARCH("MISS CLAUDIA",C510))),"Personal Travel - New Orleans",IF(AND(YEAR(B510)=2025,MONTH(B510)=4,OR(ISNUMBER(SEARCH("EXCHANGE RATE",C510)),ISNUMBER(SEARCH("EXCHG RTE",C510)))),"Personal Travel - Italy",IFERROR(INDEX('Category Rules'!$B$2:$B$358,MATCH(TRUE,ISNUMBER(SEARCH('Category Rules'!$A$2:$A$358,C510)),0)),""))))))))</f>
        <v>Amazon</v>
      </c>
    </row>
    <row r="511" spans="1:7" x14ac:dyDescent="0.25">
      <c r="A511" t="s">
        <v>6</v>
      </c>
      <c r="B511" s="1">
        <v>45952</v>
      </c>
      <c r="C511" t="s">
        <v>473</v>
      </c>
      <c r="D511">
        <v>-46.57</v>
      </c>
      <c r="E511" t="s">
        <v>10</v>
      </c>
      <c r="F511">
        <v>2742.74</v>
      </c>
      <c r="G511" t="str" cm="1">
        <f t="array" ref="G511">IF(AND(ISNUMBER(SEARCH("UBER",C511)),ISNUMBER(SEARCH("EATS",C511))),"Uber Eats",IF(LEFT(C511,6)="CHECK ","Checks Paid",IF(OR(E511="BILLPAY",ISNUMBER(SEARCH("FRANCHISE TAX",C511)),ISNUMBER(SEARCH("NEXTLINK",C511))),"Personal - House Bills",IF(AND(ISNUMBER(SEARCH("PAYMENT FROM",C511)),ISNUMBER(SEARCH("JOE SAUNDERS",C511))),"Zelle from Joe Saunders",IF(AND(ISNUMBER(SEARCH("PAYMENT TO",C511)),ISNUMBER(SEARCH("JOE SAUNDERS",C511))),"Zelle to Joe Saunders",IF(OR(ISNUMBER(SEARCH("NEW ORLEANS",C511)),ISNUMBER(SEARCH("KENNER",C511)),ISNUMBER(SEARCH("HENRY HOWARD",C511)),ISNUMBER(SEARCH("MISS CLAUDIA",C511))),"Personal Travel - New Orleans",IF(AND(YEAR(B511)=2025,MONTH(B511)=4,OR(ISNUMBER(SEARCH("EXCHANGE RATE",C511)),ISNUMBER(SEARCH("EXCHG RTE",C511)))),"Personal Travel - Italy",IFERROR(INDEX('Category Rules'!$B$2:$B$358,MATCH(TRUE,ISNUMBER(SEARCH('Category Rules'!$A$2:$A$358,C511)),0)),""))))))))</f>
        <v>Amazon</v>
      </c>
    </row>
    <row r="512" spans="1:7" x14ac:dyDescent="0.25">
      <c r="A512" t="s">
        <v>6</v>
      </c>
      <c r="B512" s="1">
        <v>45952</v>
      </c>
      <c r="C512" t="s">
        <v>474</v>
      </c>
      <c r="D512">
        <v>-119.9</v>
      </c>
      <c r="E512" t="s">
        <v>10</v>
      </c>
      <c r="F512">
        <v>2789.31</v>
      </c>
      <c r="G512" t="str" cm="1">
        <f t="array" ref="G512">IF(AND(ISNUMBER(SEARCH("UBER",C512)),ISNUMBER(SEARCH("EATS",C512))),"Uber Eats",IF(LEFT(C512,6)="CHECK ","Checks Paid",IF(OR(E512="BILLPAY",ISNUMBER(SEARCH("FRANCHISE TAX",C512)),ISNUMBER(SEARCH("NEXTLINK",C512))),"Personal - House Bills",IF(AND(ISNUMBER(SEARCH("PAYMENT FROM",C512)),ISNUMBER(SEARCH("JOE SAUNDERS",C512))),"Zelle from Joe Saunders",IF(AND(ISNUMBER(SEARCH("PAYMENT TO",C512)),ISNUMBER(SEARCH("JOE SAUNDERS",C512))),"Zelle to Joe Saunders",IF(OR(ISNUMBER(SEARCH("NEW ORLEANS",C512)),ISNUMBER(SEARCH("KENNER",C512)),ISNUMBER(SEARCH("HENRY HOWARD",C512)),ISNUMBER(SEARCH("MISS CLAUDIA",C512))),"Personal Travel - New Orleans",IF(AND(YEAR(B512)=2025,MONTH(B512)=4,OR(ISNUMBER(SEARCH("EXCHANGE RATE",C512)),ISNUMBER(SEARCH("EXCHG RTE",C512)))),"Personal Travel - Italy",IFERROR(INDEX('Category Rules'!$B$2:$B$358,MATCH(TRUE,ISNUMBER(SEARCH('Category Rules'!$A$2:$A$358,C512)),0)),""))))))))</f>
        <v>Personal - Health</v>
      </c>
    </row>
    <row r="513" spans="1:7" x14ac:dyDescent="0.25">
      <c r="A513" t="s">
        <v>6</v>
      </c>
      <c r="B513" s="1">
        <v>45951</v>
      </c>
      <c r="C513" t="s">
        <v>475</v>
      </c>
      <c r="D513">
        <v>-44.65</v>
      </c>
      <c r="E513" t="s">
        <v>10</v>
      </c>
      <c r="F513">
        <v>2909.21</v>
      </c>
      <c r="G513" t="str" cm="1">
        <f t="array" ref="G513">IF(AND(ISNUMBER(SEARCH("UBER",C513)),ISNUMBER(SEARCH("EATS",C513))),"Uber Eats",IF(LEFT(C513,6)="CHECK ","Checks Paid",IF(OR(E513="BILLPAY",ISNUMBER(SEARCH("FRANCHISE TAX",C513)),ISNUMBER(SEARCH("NEXTLINK",C513))),"Personal - House Bills",IF(AND(ISNUMBER(SEARCH("PAYMENT FROM",C513)),ISNUMBER(SEARCH("JOE SAUNDERS",C513))),"Zelle from Joe Saunders",IF(AND(ISNUMBER(SEARCH("PAYMENT TO",C513)),ISNUMBER(SEARCH("JOE SAUNDERS",C513))),"Zelle to Joe Saunders",IF(OR(ISNUMBER(SEARCH("NEW ORLEANS",C513)),ISNUMBER(SEARCH("KENNER",C513)),ISNUMBER(SEARCH("HENRY HOWARD",C513)),ISNUMBER(SEARCH("MISS CLAUDIA",C513))),"Personal Travel - New Orleans",IF(AND(YEAR(B513)=2025,MONTH(B513)=4,OR(ISNUMBER(SEARCH("EXCHANGE RATE",C513)),ISNUMBER(SEARCH("EXCHG RTE",C513)))),"Personal Travel - Italy",IFERROR(INDEX('Category Rules'!$B$2:$B$358,MATCH(TRUE,ISNUMBER(SEARCH('Category Rules'!$A$2:$A$358,C513)),0)),""))))))))</f>
        <v>Personal - Car</v>
      </c>
    </row>
    <row r="514" spans="1:7" x14ac:dyDescent="0.25">
      <c r="A514" t="s">
        <v>6</v>
      </c>
      <c r="B514" s="1">
        <v>45951</v>
      </c>
      <c r="C514" t="s">
        <v>476</v>
      </c>
      <c r="D514">
        <v>-149.96</v>
      </c>
      <c r="E514" t="s">
        <v>10</v>
      </c>
      <c r="F514">
        <v>2953.86</v>
      </c>
      <c r="G514" t="str" cm="1">
        <f t="array" ref="G514">IF(AND(ISNUMBER(SEARCH("UBER",C514)),ISNUMBER(SEARCH("EATS",C514))),"Uber Eats",IF(LEFT(C514,6)="CHECK ","Checks Paid",IF(OR(E514="BILLPAY",ISNUMBER(SEARCH("FRANCHISE TAX",C514)),ISNUMBER(SEARCH("NEXTLINK",C514))),"Personal - House Bills",IF(AND(ISNUMBER(SEARCH("PAYMENT FROM",C514)),ISNUMBER(SEARCH("JOE SAUNDERS",C514))),"Zelle from Joe Saunders",IF(AND(ISNUMBER(SEARCH("PAYMENT TO",C514)),ISNUMBER(SEARCH("JOE SAUNDERS",C514))),"Zelle to Joe Saunders",IF(OR(ISNUMBER(SEARCH("NEW ORLEANS",C514)),ISNUMBER(SEARCH("KENNER",C514)),ISNUMBER(SEARCH("HENRY HOWARD",C514)),ISNUMBER(SEARCH("MISS CLAUDIA",C514))),"Personal Travel - New Orleans",IF(AND(YEAR(B514)=2025,MONTH(B514)=4,OR(ISNUMBER(SEARCH("EXCHANGE RATE",C514)),ISNUMBER(SEARCH("EXCHG RTE",C514)))),"Personal Travel - Italy",IFERROR(INDEX('Category Rules'!$B$2:$B$358,MATCH(TRUE,ISNUMBER(SEARCH('Category Rules'!$A$2:$A$358,C514)),0)),""))))))))</f>
        <v>Personal - House Bills</v>
      </c>
    </row>
    <row r="515" spans="1:7" x14ac:dyDescent="0.25">
      <c r="A515" t="s">
        <v>6</v>
      </c>
      <c r="B515" s="1">
        <v>45950</v>
      </c>
      <c r="C515" t="s">
        <v>477</v>
      </c>
      <c r="D515">
        <v>-20.39</v>
      </c>
      <c r="E515" t="s">
        <v>10</v>
      </c>
      <c r="F515">
        <v>3103.82</v>
      </c>
      <c r="G515" t="str" cm="1">
        <f t="array" ref="G515">IF(AND(ISNUMBER(SEARCH("UBER",C515)),ISNUMBER(SEARCH("EATS",C515))),"Uber Eats",IF(LEFT(C515,6)="CHECK ","Checks Paid",IF(OR(E515="BILLPAY",ISNUMBER(SEARCH("FRANCHISE TAX",C515)),ISNUMBER(SEARCH("NEXTLINK",C515))),"Personal - House Bills",IF(AND(ISNUMBER(SEARCH("PAYMENT FROM",C515)),ISNUMBER(SEARCH("JOE SAUNDERS",C515))),"Zelle from Joe Saunders",IF(AND(ISNUMBER(SEARCH("PAYMENT TO",C515)),ISNUMBER(SEARCH("JOE SAUNDERS",C515))),"Zelle to Joe Saunders",IF(OR(ISNUMBER(SEARCH("NEW ORLEANS",C515)),ISNUMBER(SEARCH("KENNER",C515)),ISNUMBER(SEARCH("HENRY HOWARD",C515)),ISNUMBER(SEARCH("MISS CLAUDIA",C515))),"Personal Travel - New Orleans",IF(AND(YEAR(B515)=2025,MONTH(B515)=4,OR(ISNUMBER(SEARCH("EXCHANGE RATE",C515)),ISNUMBER(SEARCH("EXCHG RTE",C515)))),"Personal Travel - Italy",IFERROR(INDEX('Category Rules'!$B$2:$B$358,MATCH(TRUE,ISNUMBER(SEARCH('Category Rules'!$A$2:$A$358,C515)),0)),""))))))))</f>
        <v>Personal - Uber</v>
      </c>
    </row>
    <row r="516" spans="1:7" x14ac:dyDescent="0.25">
      <c r="A516" t="s">
        <v>6</v>
      </c>
      <c r="B516" s="1">
        <v>45950</v>
      </c>
      <c r="C516" t="s">
        <v>478</v>
      </c>
      <c r="D516">
        <v>-27.99</v>
      </c>
      <c r="E516" t="s">
        <v>10</v>
      </c>
      <c r="F516">
        <v>3124.21</v>
      </c>
      <c r="G516" t="str" cm="1">
        <f t="array" ref="G516">IF(AND(ISNUMBER(SEARCH("UBER",C516)),ISNUMBER(SEARCH("EATS",C516))),"Uber Eats",IF(LEFT(C516,6)="CHECK ","Checks Paid",IF(OR(E516="BILLPAY",ISNUMBER(SEARCH("FRANCHISE TAX",C516)),ISNUMBER(SEARCH("NEXTLINK",C516))),"Personal - House Bills",IF(AND(ISNUMBER(SEARCH("PAYMENT FROM",C516)),ISNUMBER(SEARCH("JOE SAUNDERS",C516))),"Zelle from Joe Saunders",IF(AND(ISNUMBER(SEARCH("PAYMENT TO",C516)),ISNUMBER(SEARCH("JOE SAUNDERS",C516))),"Zelle to Joe Saunders",IF(OR(ISNUMBER(SEARCH("NEW ORLEANS",C516)),ISNUMBER(SEARCH("KENNER",C516)),ISNUMBER(SEARCH("HENRY HOWARD",C516)),ISNUMBER(SEARCH("MISS CLAUDIA",C516))),"Personal Travel - New Orleans",IF(AND(YEAR(B516)=2025,MONTH(B516)=4,OR(ISNUMBER(SEARCH("EXCHANGE RATE",C516)),ISNUMBER(SEARCH("EXCHG RTE",C516)))),"Personal Travel - Italy",IFERROR(INDEX('Category Rules'!$B$2:$B$358,MATCH(TRUE,ISNUMBER(SEARCH('Category Rules'!$A$2:$A$358,C516)),0)),""))))))))</f>
        <v>Amazon</v>
      </c>
    </row>
    <row r="517" spans="1:7" x14ac:dyDescent="0.25">
      <c r="A517" t="s">
        <v>6</v>
      </c>
      <c r="B517" s="1">
        <v>45950</v>
      </c>
      <c r="C517" t="s">
        <v>479</v>
      </c>
      <c r="D517">
        <v>-153.44</v>
      </c>
      <c r="E517" t="s">
        <v>10</v>
      </c>
      <c r="F517">
        <v>3152.2</v>
      </c>
      <c r="G517" t="str" cm="1">
        <f t="array" ref="G517">IF(AND(ISNUMBER(SEARCH("UBER",C517)),ISNUMBER(SEARCH("EATS",C517))),"Uber Eats",IF(LEFT(C517,6)="CHECK ","Checks Paid",IF(OR(E517="BILLPAY",ISNUMBER(SEARCH("FRANCHISE TAX",C517)),ISNUMBER(SEARCH("NEXTLINK",C517))),"Personal - House Bills",IF(AND(ISNUMBER(SEARCH("PAYMENT FROM",C517)),ISNUMBER(SEARCH("JOE SAUNDERS",C517))),"Zelle from Joe Saunders",IF(AND(ISNUMBER(SEARCH("PAYMENT TO",C517)),ISNUMBER(SEARCH("JOE SAUNDERS",C517))),"Zelle to Joe Saunders",IF(OR(ISNUMBER(SEARCH("NEW ORLEANS",C517)),ISNUMBER(SEARCH("KENNER",C517)),ISNUMBER(SEARCH("HENRY HOWARD",C517)),ISNUMBER(SEARCH("MISS CLAUDIA",C517))),"Personal Travel - New Orleans",IF(AND(YEAR(B517)=2025,MONTH(B517)=4,OR(ISNUMBER(SEARCH("EXCHANGE RATE",C517)),ISNUMBER(SEARCH("EXCHG RTE",C517)))),"Personal Travel - Italy",IFERROR(INDEX('Category Rules'!$B$2:$B$358,MATCH(TRUE,ISNUMBER(SEARCH('Category Rules'!$A$2:$A$358,C517)),0)),""))))))))</f>
        <v>Personal - Health</v>
      </c>
    </row>
    <row r="518" spans="1:7" x14ac:dyDescent="0.25">
      <c r="A518" t="s">
        <v>6</v>
      </c>
      <c r="B518" s="1">
        <v>45950</v>
      </c>
      <c r="C518" t="s">
        <v>480</v>
      </c>
      <c r="D518">
        <v>-19.739999999999998</v>
      </c>
      <c r="E518" t="s">
        <v>10</v>
      </c>
      <c r="F518">
        <v>3305.64</v>
      </c>
      <c r="G518" t="str" cm="1">
        <f t="array" ref="G518">IF(AND(ISNUMBER(SEARCH("UBER",C518)),ISNUMBER(SEARCH("EATS",C518))),"Uber Eats",IF(LEFT(C518,6)="CHECK ","Checks Paid",IF(OR(E518="BILLPAY",ISNUMBER(SEARCH("FRANCHISE TAX",C518)),ISNUMBER(SEARCH("NEXTLINK",C518))),"Personal - House Bills",IF(AND(ISNUMBER(SEARCH("PAYMENT FROM",C518)),ISNUMBER(SEARCH("JOE SAUNDERS",C518))),"Zelle from Joe Saunders",IF(AND(ISNUMBER(SEARCH("PAYMENT TO",C518)),ISNUMBER(SEARCH("JOE SAUNDERS",C518))),"Zelle to Joe Saunders",IF(OR(ISNUMBER(SEARCH("NEW ORLEANS",C518)),ISNUMBER(SEARCH("KENNER",C518)),ISNUMBER(SEARCH("HENRY HOWARD",C518)),ISNUMBER(SEARCH("MISS CLAUDIA",C518))),"Personal Travel - New Orleans",IF(AND(YEAR(B518)=2025,MONTH(B518)=4,OR(ISNUMBER(SEARCH("EXCHANGE RATE",C518)),ISNUMBER(SEARCH("EXCHG RTE",C518)))),"Personal Travel - Italy",IFERROR(INDEX('Category Rules'!$B$2:$B$358,MATCH(TRUE,ISNUMBER(SEARCH('Category Rules'!$A$2:$A$358,C518)),0)),""))))))))</f>
        <v>Amazon</v>
      </c>
    </row>
    <row r="519" spans="1:7" x14ac:dyDescent="0.25">
      <c r="A519" t="s">
        <v>6</v>
      </c>
      <c r="B519" s="1">
        <v>45950</v>
      </c>
      <c r="C519" t="s">
        <v>481</v>
      </c>
      <c r="D519">
        <v>-17.54</v>
      </c>
      <c r="E519" t="s">
        <v>10</v>
      </c>
      <c r="F519">
        <v>3325.38</v>
      </c>
      <c r="G519" t="str" cm="1">
        <f t="array" ref="G519">IF(AND(ISNUMBER(SEARCH("UBER",C519)),ISNUMBER(SEARCH("EATS",C519))),"Uber Eats",IF(LEFT(C519,6)="CHECK ","Checks Paid",IF(OR(E519="BILLPAY",ISNUMBER(SEARCH("FRANCHISE TAX",C519)),ISNUMBER(SEARCH("NEXTLINK",C519))),"Personal - House Bills",IF(AND(ISNUMBER(SEARCH("PAYMENT FROM",C519)),ISNUMBER(SEARCH("JOE SAUNDERS",C519))),"Zelle from Joe Saunders",IF(AND(ISNUMBER(SEARCH("PAYMENT TO",C519)),ISNUMBER(SEARCH("JOE SAUNDERS",C519))),"Zelle to Joe Saunders",IF(OR(ISNUMBER(SEARCH("NEW ORLEANS",C519)),ISNUMBER(SEARCH("KENNER",C519)),ISNUMBER(SEARCH("HENRY HOWARD",C519)),ISNUMBER(SEARCH("MISS CLAUDIA",C519))),"Personal Travel - New Orleans",IF(AND(YEAR(B519)=2025,MONTH(B519)=4,OR(ISNUMBER(SEARCH("EXCHANGE RATE",C519)),ISNUMBER(SEARCH("EXCHG RTE",C519)))),"Personal Travel - Italy",IFERROR(INDEX('Category Rules'!$B$2:$B$358,MATCH(TRUE,ISNUMBER(SEARCH('Category Rules'!$A$2:$A$358,C519)),0)),""))))))))</f>
        <v>Amazon</v>
      </c>
    </row>
    <row r="520" spans="1:7" x14ac:dyDescent="0.25">
      <c r="A520" t="s">
        <v>6</v>
      </c>
      <c r="B520" s="1">
        <v>45950</v>
      </c>
      <c r="C520" t="s">
        <v>482</v>
      </c>
      <c r="D520">
        <v>-20</v>
      </c>
      <c r="E520" t="s">
        <v>10</v>
      </c>
      <c r="F520">
        <v>3342.92</v>
      </c>
      <c r="G520" t="str" cm="1">
        <f t="array" ref="G520">IF(AND(ISNUMBER(SEARCH("UBER",C520)),ISNUMBER(SEARCH("EATS",C520))),"Uber Eats",IF(LEFT(C520,6)="CHECK ","Checks Paid",IF(OR(E520="BILLPAY",ISNUMBER(SEARCH("FRANCHISE TAX",C520)),ISNUMBER(SEARCH("NEXTLINK",C520))),"Personal - House Bills",IF(AND(ISNUMBER(SEARCH("PAYMENT FROM",C520)),ISNUMBER(SEARCH("JOE SAUNDERS",C520))),"Zelle from Joe Saunders",IF(AND(ISNUMBER(SEARCH("PAYMENT TO",C520)),ISNUMBER(SEARCH("JOE SAUNDERS",C520))),"Zelle to Joe Saunders",IF(OR(ISNUMBER(SEARCH("NEW ORLEANS",C520)),ISNUMBER(SEARCH("KENNER",C520)),ISNUMBER(SEARCH("HENRY HOWARD",C520)),ISNUMBER(SEARCH("MISS CLAUDIA",C520))),"Personal Travel - New Orleans",IF(AND(YEAR(B520)=2025,MONTH(B520)=4,OR(ISNUMBER(SEARCH("EXCHANGE RATE",C520)),ISNUMBER(SEARCH("EXCHG RTE",C520)))),"Personal Travel - Italy",IFERROR(INDEX('Category Rules'!$B$2:$B$358,MATCH(TRUE,ISNUMBER(SEARCH('Category Rules'!$A$2:$A$358,C520)),0)),""))))))))</f>
        <v>Amazon</v>
      </c>
    </row>
    <row r="521" spans="1:7" x14ac:dyDescent="0.25">
      <c r="A521" t="s">
        <v>6</v>
      </c>
      <c r="B521" s="1">
        <v>45950</v>
      </c>
      <c r="C521" t="s">
        <v>483</v>
      </c>
      <c r="D521">
        <v>-575.26</v>
      </c>
      <c r="E521" t="s">
        <v>10</v>
      </c>
      <c r="F521">
        <v>3362.92</v>
      </c>
      <c r="G521" t="str" cm="1">
        <f t="array" ref="G521">IF(AND(ISNUMBER(SEARCH("UBER",C521)),ISNUMBER(SEARCH("EATS",C521))),"Uber Eats",IF(LEFT(C521,6)="CHECK ","Checks Paid",IF(OR(E521="BILLPAY",ISNUMBER(SEARCH("FRANCHISE TAX",C521)),ISNUMBER(SEARCH("NEXTLINK",C521))),"Personal - House Bills",IF(AND(ISNUMBER(SEARCH("PAYMENT FROM",C521)),ISNUMBER(SEARCH("JOE SAUNDERS",C521))),"Zelle from Joe Saunders",IF(AND(ISNUMBER(SEARCH("PAYMENT TO",C521)),ISNUMBER(SEARCH("JOE SAUNDERS",C521))),"Zelle to Joe Saunders",IF(OR(ISNUMBER(SEARCH("NEW ORLEANS",C521)),ISNUMBER(SEARCH("KENNER",C521)),ISNUMBER(SEARCH("HENRY HOWARD",C521)),ISNUMBER(SEARCH("MISS CLAUDIA",C521))),"Personal Travel - New Orleans",IF(AND(YEAR(B521)=2025,MONTH(B521)=4,OR(ISNUMBER(SEARCH("EXCHANGE RATE",C521)),ISNUMBER(SEARCH("EXCHG RTE",C521)))),"Personal Travel - Italy",IFERROR(INDEX('Category Rules'!$B$2:$B$358,MATCH(TRUE,ISNUMBER(SEARCH('Category Rules'!$A$2:$A$358,C521)),0)),""))))))))</f>
        <v>Personal Travel</v>
      </c>
    </row>
    <row r="522" spans="1:7" x14ac:dyDescent="0.25">
      <c r="A522" t="s">
        <v>6</v>
      </c>
      <c r="B522" s="1">
        <v>45950</v>
      </c>
      <c r="C522" t="s">
        <v>484</v>
      </c>
      <c r="D522">
        <v>-54.76</v>
      </c>
      <c r="E522" t="s">
        <v>10</v>
      </c>
      <c r="F522">
        <v>3938.18</v>
      </c>
      <c r="G522" t="str" cm="1">
        <f t="array" ref="G522">IF(AND(ISNUMBER(SEARCH("UBER",C522)),ISNUMBER(SEARCH("EATS",C522))),"Uber Eats",IF(LEFT(C522,6)="CHECK ","Checks Paid",IF(OR(E522="BILLPAY",ISNUMBER(SEARCH("FRANCHISE TAX",C522)),ISNUMBER(SEARCH("NEXTLINK",C522))),"Personal - House Bills",IF(AND(ISNUMBER(SEARCH("PAYMENT FROM",C522)),ISNUMBER(SEARCH("JOE SAUNDERS",C522))),"Zelle from Joe Saunders",IF(AND(ISNUMBER(SEARCH("PAYMENT TO",C522)),ISNUMBER(SEARCH("JOE SAUNDERS",C522))),"Zelle to Joe Saunders",IF(OR(ISNUMBER(SEARCH("NEW ORLEANS",C522)),ISNUMBER(SEARCH("KENNER",C522)),ISNUMBER(SEARCH("HENRY HOWARD",C522)),ISNUMBER(SEARCH("MISS CLAUDIA",C522))),"Personal Travel - New Orleans",IF(AND(YEAR(B522)=2025,MONTH(B522)=4,OR(ISNUMBER(SEARCH("EXCHANGE RATE",C522)),ISNUMBER(SEARCH("EXCHG RTE",C522)))),"Personal Travel - Italy",IFERROR(INDEX('Category Rules'!$B$2:$B$358,MATCH(TRUE,ISNUMBER(SEARCH('Category Rules'!$A$2:$A$358,C522)),0)),""))))))))</f>
        <v>Personal - Entertainment</v>
      </c>
    </row>
    <row r="523" spans="1:7" x14ac:dyDescent="0.25">
      <c r="A523" t="s">
        <v>6</v>
      </c>
      <c r="B523" s="1">
        <v>45950</v>
      </c>
      <c r="C523" t="s">
        <v>485</v>
      </c>
      <c r="D523">
        <v>-599.07000000000005</v>
      </c>
      <c r="E523" t="s">
        <v>10</v>
      </c>
      <c r="F523">
        <v>3992.94</v>
      </c>
      <c r="G523" t="str" cm="1">
        <f t="array" ref="G523">IF(AND(ISNUMBER(SEARCH("UBER",C523)),ISNUMBER(SEARCH("EATS",C523))),"Uber Eats",IF(LEFT(C523,6)="CHECK ","Checks Paid",IF(OR(E523="BILLPAY",ISNUMBER(SEARCH("FRANCHISE TAX",C523)),ISNUMBER(SEARCH("NEXTLINK",C523))),"Personal - House Bills",IF(AND(ISNUMBER(SEARCH("PAYMENT FROM",C523)),ISNUMBER(SEARCH("JOE SAUNDERS",C523))),"Zelle from Joe Saunders",IF(AND(ISNUMBER(SEARCH("PAYMENT TO",C523)),ISNUMBER(SEARCH("JOE SAUNDERS",C523))),"Zelle to Joe Saunders",IF(OR(ISNUMBER(SEARCH("NEW ORLEANS",C523)),ISNUMBER(SEARCH("KENNER",C523)),ISNUMBER(SEARCH("HENRY HOWARD",C523)),ISNUMBER(SEARCH("MISS CLAUDIA",C523))),"Personal Travel - New Orleans",IF(AND(YEAR(B523)=2025,MONTH(B523)=4,OR(ISNUMBER(SEARCH("EXCHANGE RATE",C523)),ISNUMBER(SEARCH("EXCHG RTE",C523)))),"Personal Travel - Italy",IFERROR(INDEX('Category Rules'!$B$2:$B$358,MATCH(TRUE,ISNUMBER(SEARCH('Category Rules'!$A$2:$A$358,C523)),0)),""))))))))</f>
        <v>Personal - Shopping</v>
      </c>
    </row>
    <row r="524" spans="1:7" x14ac:dyDescent="0.25">
      <c r="A524" t="s">
        <v>6</v>
      </c>
      <c r="B524" s="1">
        <v>45950</v>
      </c>
      <c r="C524" t="s">
        <v>486</v>
      </c>
      <c r="D524">
        <v>-125</v>
      </c>
      <c r="E524" t="s">
        <v>10</v>
      </c>
      <c r="F524">
        <v>4592.01</v>
      </c>
      <c r="G524" t="str" cm="1">
        <f t="array" ref="G524">IF(AND(ISNUMBER(SEARCH("UBER",C524)),ISNUMBER(SEARCH("EATS",C524))),"Uber Eats",IF(LEFT(C524,6)="CHECK ","Checks Paid",IF(OR(E524="BILLPAY",ISNUMBER(SEARCH("FRANCHISE TAX",C524)),ISNUMBER(SEARCH("NEXTLINK",C524))),"Personal - House Bills",IF(AND(ISNUMBER(SEARCH("PAYMENT FROM",C524)),ISNUMBER(SEARCH("JOE SAUNDERS",C524))),"Zelle from Joe Saunders",IF(AND(ISNUMBER(SEARCH("PAYMENT TO",C524)),ISNUMBER(SEARCH("JOE SAUNDERS",C524))),"Zelle to Joe Saunders",IF(OR(ISNUMBER(SEARCH("NEW ORLEANS",C524)),ISNUMBER(SEARCH("KENNER",C524)),ISNUMBER(SEARCH("HENRY HOWARD",C524)),ISNUMBER(SEARCH("MISS CLAUDIA",C524))),"Personal Travel - New Orleans",IF(AND(YEAR(B524)=2025,MONTH(B524)=4,OR(ISNUMBER(SEARCH("EXCHANGE RATE",C524)),ISNUMBER(SEARCH("EXCHG RTE",C524)))),"Personal Travel - Italy",IFERROR(INDEX('Category Rules'!$B$2:$B$358,MATCH(TRUE,ISNUMBER(SEARCH('Category Rules'!$A$2:$A$358,C524)),0)),""))))))))</f>
        <v>Donation</v>
      </c>
    </row>
    <row r="525" spans="1:7" x14ac:dyDescent="0.25">
      <c r="A525" t="s">
        <v>6</v>
      </c>
      <c r="B525" s="1">
        <v>45950</v>
      </c>
      <c r="C525" t="s">
        <v>487</v>
      </c>
      <c r="D525">
        <v>-40</v>
      </c>
      <c r="E525" t="s">
        <v>10</v>
      </c>
      <c r="F525">
        <v>4717.01</v>
      </c>
      <c r="G525" t="str" cm="1">
        <f t="array" ref="G525">IF(AND(ISNUMBER(SEARCH("UBER",C525)),ISNUMBER(SEARCH("EATS",C525))),"Uber Eats",IF(LEFT(C525,6)="CHECK ","Checks Paid",IF(OR(E525="BILLPAY",ISNUMBER(SEARCH("FRANCHISE TAX",C525)),ISNUMBER(SEARCH("NEXTLINK",C525))),"Personal - House Bills",IF(AND(ISNUMBER(SEARCH("PAYMENT FROM",C525)),ISNUMBER(SEARCH("JOE SAUNDERS",C525))),"Zelle from Joe Saunders",IF(AND(ISNUMBER(SEARCH("PAYMENT TO",C525)),ISNUMBER(SEARCH("JOE SAUNDERS",C525))),"Zelle to Joe Saunders",IF(OR(ISNUMBER(SEARCH("NEW ORLEANS",C525)),ISNUMBER(SEARCH("KENNER",C525)),ISNUMBER(SEARCH("HENRY HOWARD",C525)),ISNUMBER(SEARCH("MISS CLAUDIA",C525))),"Personal Travel - New Orleans",IF(AND(YEAR(B525)=2025,MONTH(B525)=4,OR(ISNUMBER(SEARCH("EXCHANGE RATE",C525)),ISNUMBER(SEARCH("EXCHG RTE",C525)))),"Personal Travel - Italy",IFERROR(INDEX('Category Rules'!$B$2:$B$358,MATCH(TRUE,ISNUMBER(SEARCH('Category Rules'!$A$2:$A$358,C525)),0)),""))))))))</f>
        <v>Personal Travel</v>
      </c>
    </row>
    <row r="526" spans="1:7" x14ac:dyDescent="0.25">
      <c r="A526" t="s">
        <v>6</v>
      </c>
      <c r="B526" s="1">
        <v>45950</v>
      </c>
      <c r="C526" t="s">
        <v>488</v>
      </c>
      <c r="D526">
        <v>-427.28</v>
      </c>
      <c r="E526" t="s">
        <v>10</v>
      </c>
      <c r="F526">
        <v>4757.01</v>
      </c>
      <c r="G526" t="str" cm="1">
        <f t="array" ref="G526">IF(AND(ISNUMBER(SEARCH("UBER",C526)),ISNUMBER(SEARCH("EATS",C526))),"Uber Eats",IF(LEFT(C526,6)="CHECK ","Checks Paid",IF(OR(E526="BILLPAY",ISNUMBER(SEARCH("FRANCHISE TAX",C526)),ISNUMBER(SEARCH("NEXTLINK",C526))),"Personal - House Bills",IF(AND(ISNUMBER(SEARCH("PAYMENT FROM",C526)),ISNUMBER(SEARCH("JOE SAUNDERS",C526))),"Zelle from Joe Saunders",IF(AND(ISNUMBER(SEARCH("PAYMENT TO",C526)),ISNUMBER(SEARCH("JOE SAUNDERS",C526))),"Zelle to Joe Saunders",IF(OR(ISNUMBER(SEARCH("NEW ORLEANS",C526)),ISNUMBER(SEARCH("KENNER",C526)),ISNUMBER(SEARCH("HENRY HOWARD",C526)),ISNUMBER(SEARCH("MISS CLAUDIA",C526))),"Personal Travel - New Orleans",IF(AND(YEAR(B526)=2025,MONTH(B526)=4,OR(ISNUMBER(SEARCH("EXCHANGE RATE",C526)),ISNUMBER(SEARCH("EXCHG RTE",C526)))),"Personal Travel - Italy",IFERROR(INDEX('Category Rules'!$B$2:$B$358,MATCH(TRUE,ISNUMBER(SEARCH('Category Rules'!$A$2:$A$358,C526)),0)),""))))))))</f>
        <v>Personal - Entertainment</v>
      </c>
    </row>
    <row r="527" spans="1:7" x14ac:dyDescent="0.25">
      <c r="A527" t="s">
        <v>6</v>
      </c>
      <c r="B527" s="1">
        <v>45950</v>
      </c>
      <c r="C527" t="s">
        <v>489</v>
      </c>
      <c r="D527">
        <v>-42.25</v>
      </c>
      <c r="E527" t="s">
        <v>10</v>
      </c>
      <c r="F527">
        <v>5184.29</v>
      </c>
      <c r="G527" t="str" cm="1">
        <f t="array" ref="G527">IF(AND(ISNUMBER(SEARCH("UBER",C527)),ISNUMBER(SEARCH("EATS",C527))),"Uber Eats",IF(LEFT(C527,6)="CHECK ","Checks Paid",IF(OR(E527="BILLPAY",ISNUMBER(SEARCH("FRANCHISE TAX",C527)),ISNUMBER(SEARCH("NEXTLINK",C527))),"Personal - House Bills",IF(AND(ISNUMBER(SEARCH("PAYMENT FROM",C527)),ISNUMBER(SEARCH("JOE SAUNDERS",C527))),"Zelle from Joe Saunders",IF(AND(ISNUMBER(SEARCH("PAYMENT TO",C527)),ISNUMBER(SEARCH("JOE SAUNDERS",C527))),"Zelle to Joe Saunders",IF(OR(ISNUMBER(SEARCH("NEW ORLEANS",C527)),ISNUMBER(SEARCH("KENNER",C527)),ISNUMBER(SEARCH("HENRY HOWARD",C527)),ISNUMBER(SEARCH("MISS CLAUDIA",C527))),"Personal Travel - New Orleans",IF(AND(YEAR(B527)=2025,MONTH(B527)=4,OR(ISNUMBER(SEARCH("EXCHANGE RATE",C527)),ISNUMBER(SEARCH("EXCHG RTE",C527)))),"Personal Travel - Italy",IFERROR(INDEX('Category Rules'!$B$2:$B$358,MATCH(TRUE,ISNUMBER(SEARCH('Category Rules'!$A$2:$A$358,C527)),0)),""))))))))</f>
        <v>Personal - Food</v>
      </c>
    </row>
    <row r="528" spans="1:7" x14ac:dyDescent="0.25">
      <c r="A528" t="s">
        <v>6</v>
      </c>
      <c r="B528" s="1">
        <v>45950</v>
      </c>
      <c r="C528" t="s">
        <v>484</v>
      </c>
      <c r="D528">
        <v>-53.76</v>
      </c>
      <c r="E528" t="s">
        <v>10</v>
      </c>
      <c r="F528">
        <v>5226.54</v>
      </c>
      <c r="G528" t="str" cm="1">
        <f t="array" ref="G528">IF(AND(ISNUMBER(SEARCH("UBER",C528)),ISNUMBER(SEARCH("EATS",C528))),"Uber Eats",IF(LEFT(C528,6)="CHECK ","Checks Paid",IF(OR(E528="BILLPAY",ISNUMBER(SEARCH("FRANCHISE TAX",C528)),ISNUMBER(SEARCH("NEXTLINK",C528))),"Personal - House Bills",IF(AND(ISNUMBER(SEARCH("PAYMENT FROM",C528)),ISNUMBER(SEARCH("JOE SAUNDERS",C528))),"Zelle from Joe Saunders",IF(AND(ISNUMBER(SEARCH("PAYMENT TO",C528)),ISNUMBER(SEARCH("JOE SAUNDERS",C528))),"Zelle to Joe Saunders",IF(OR(ISNUMBER(SEARCH("NEW ORLEANS",C528)),ISNUMBER(SEARCH("KENNER",C528)),ISNUMBER(SEARCH("HENRY HOWARD",C528)),ISNUMBER(SEARCH("MISS CLAUDIA",C528))),"Personal Travel - New Orleans",IF(AND(YEAR(B528)=2025,MONTH(B528)=4,OR(ISNUMBER(SEARCH("EXCHANGE RATE",C528)),ISNUMBER(SEARCH("EXCHG RTE",C528)))),"Personal Travel - Italy",IFERROR(INDEX('Category Rules'!$B$2:$B$358,MATCH(TRUE,ISNUMBER(SEARCH('Category Rules'!$A$2:$A$358,C528)),0)),""))))))))</f>
        <v>Personal - Entertainment</v>
      </c>
    </row>
    <row r="529" spans="1:7" x14ac:dyDescent="0.25">
      <c r="A529" t="s">
        <v>6</v>
      </c>
      <c r="B529" s="1">
        <v>45950</v>
      </c>
      <c r="C529" t="s">
        <v>490</v>
      </c>
      <c r="D529">
        <v>-30</v>
      </c>
      <c r="E529" t="s">
        <v>10</v>
      </c>
      <c r="F529">
        <v>5280.3</v>
      </c>
      <c r="G529" t="str" cm="1">
        <f t="array" ref="G529">IF(AND(ISNUMBER(SEARCH("UBER",C529)),ISNUMBER(SEARCH("EATS",C529))),"Uber Eats",IF(LEFT(C529,6)="CHECK ","Checks Paid",IF(OR(E529="BILLPAY",ISNUMBER(SEARCH("FRANCHISE TAX",C529)),ISNUMBER(SEARCH("NEXTLINK",C529))),"Personal - House Bills",IF(AND(ISNUMBER(SEARCH("PAYMENT FROM",C529)),ISNUMBER(SEARCH("JOE SAUNDERS",C529))),"Zelle from Joe Saunders",IF(AND(ISNUMBER(SEARCH("PAYMENT TO",C529)),ISNUMBER(SEARCH("JOE SAUNDERS",C529))),"Zelle to Joe Saunders",IF(OR(ISNUMBER(SEARCH("NEW ORLEANS",C529)),ISNUMBER(SEARCH("KENNER",C529)),ISNUMBER(SEARCH("HENRY HOWARD",C529)),ISNUMBER(SEARCH("MISS CLAUDIA",C529))),"Personal Travel - New Orleans",IF(AND(YEAR(B529)=2025,MONTH(B529)=4,OR(ISNUMBER(SEARCH("EXCHANGE RATE",C529)),ISNUMBER(SEARCH("EXCHG RTE",C529)))),"Personal Travel - Italy",IFERROR(INDEX('Category Rules'!$B$2:$B$358,MATCH(TRUE,ISNUMBER(SEARCH('Category Rules'!$A$2:$A$358,C529)),0)),""))))))))</f>
        <v>Personal - Subscription</v>
      </c>
    </row>
    <row r="530" spans="1:7" x14ac:dyDescent="0.25">
      <c r="A530" t="s">
        <v>6</v>
      </c>
      <c r="B530" s="1">
        <v>45950</v>
      </c>
      <c r="C530" t="s">
        <v>491</v>
      </c>
      <c r="D530">
        <v>-20</v>
      </c>
      <c r="E530" t="s">
        <v>10</v>
      </c>
      <c r="F530">
        <v>5310.3</v>
      </c>
      <c r="G530" t="str" cm="1">
        <f t="array" ref="G530">IF(AND(ISNUMBER(SEARCH("UBER",C530)),ISNUMBER(SEARCH("EATS",C530))),"Uber Eats",IF(LEFT(C530,6)="CHECK ","Checks Paid",IF(OR(E530="BILLPAY",ISNUMBER(SEARCH("FRANCHISE TAX",C530)),ISNUMBER(SEARCH("NEXTLINK",C530))),"Personal - House Bills",IF(AND(ISNUMBER(SEARCH("PAYMENT FROM",C530)),ISNUMBER(SEARCH("JOE SAUNDERS",C530))),"Zelle from Joe Saunders",IF(AND(ISNUMBER(SEARCH("PAYMENT TO",C530)),ISNUMBER(SEARCH("JOE SAUNDERS",C530))),"Zelle to Joe Saunders",IF(OR(ISNUMBER(SEARCH("NEW ORLEANS",C530)),ISNUMBER(SEARCH("KENNER",C530)),ISNUMBER(SEARCH("HENRY HOWARD",C530)),ISNUMBER(SEARCH("MISS CLAUDIA",C530))),"Personal Travel - New Orleans",IF(AND(YEAR(B530)=2025,MONTH(B530)=4,OR(ISNUMBER(SEARCH("EXCHANGE RATE",C530)),ISNUMBER(SEARCH("EXCHG RTE",C530)))),"Personal Travel - Italy",IFERROR(INDEX('Category Rules'!$B$2:$B$358,MATCH(TRUE,ISNUMBER(SEARCH('Category Rules'!$A$2:$A$358,C530)),0)),""))))))))</f>
        <v>Amazon</v>
      </c>
    </row>
    <row r="531" spans="1:7" x14ac:dyDescent="0.25">
      <c r="A531" t="s">
        <v>6</v>
      </c>
      <c r="B531" s="1">
        <v>45950</v>
      </c>
      <c r="C531" t="s">
        <v>492</v>
      </c>
      <c r="D531">
        <v>-20</v>
      </c>
      <c r="E531" t="s">
        <v>10</v>
      </c>
      <c r="F531">
        <v>5330.3</v>
      </c>
      <c r="G531" t="str" cm="1">
        <f t="array" ref="G531">IF(AND(ISNUMBER(SEARCH("UBER",C531)),ISNUMBER(SEARCH("EATS",C531))),"Uber Eats",IF(LEFT(C531,6)="CHECK ","Checks Paid",IF(OR(E531="BILLPAY",ISNUMBER(SEARCH("FRANCHISE TAX",C531)),ISNUMBER(SEARCH("NEXTLINK",C531))),"Personal - House Bills",IF(AND(ISNUMBER(SEARCH("PAYMENT FROM",C531)),ISNUMBER(SEARCH("JOE SAUNDERS",C531))),"Zelle from Joe Saunders",IF(AND(ISNUMBER(SEARCH("PAYMENT TO",C531)),ISNUMBER(SEARCH("JOE SAUNDERS",C531))),"Zelle to Joe Saunders",IF(OR(ISNUMBER(SEARCH("NEW ORLEANS",C531)),ISNUMBER(SEARCH("KENNER",C531)),ISNUMBER(SEARCH("HENRY HOWARD",C531)),ISNUMBER(SEARCH("MISS CLAUDIA",C531))),"Personal Travel - New Orleans",IF(AND(YEAR(B531)=2025,MONTH(B531)=4,OR(ISNUMBER(SEARCH("EXCHANGE RATE",C531)),ISNUMBER(SEARCH("EXCHG RTE",C531)))),"Personal Travel - Italy",IFERROR(INDEX('Category Rules'!$B$2:$B$358,MATCH(TRUE,ISNUMBER(SEARCH('Category Rules'!$A$2:$A$358,C531)),0)),""))))))))</f>
        <v>Amazon</v>
      </c>
    </row>
    <row r="532" spans="1:7" x14ac:dyDescent="0.25">
      <c r="A532" t="s">
        <v>6</v>
      </c>
      <c r="B532" s="1">
        <v>45950</v>
      </c>
      <c r="C532" t="s">
        <v>493</v>
      </c>
      <c r="D532">
        <v>-87.2</v>
      </c>
      <c r="E532" t="s">
        <v>10</v>
      </c>
      <c r="F532">
        <v>5350.3</v>
      </c>
      <c r="G532" t="str" cm="1">
        <f t="array" ref="G532">IF(AND(ISNUMBER(SEARCH("UBER",C532)),ISNUMBER(SEARCH("EATS",C532))),"Uber Eats",IF(LEFT(C532,6)="CHECK ","Checks Paid",IF(OR(E532="BILLPAY",ISNUMBER(SEARCH("FRANCHISE TAX",C532)),ISNUMBER(SEARCH("NEXTLINK",C532))),"Personal - House Bills",IF(AND(ISNUMBER(SEARCH("PAYMENT FROM",C532)),ISNUMBER(SEARCH("JOE SAUNDERS",C532))),"Zelle from Joe Saunders",IF(AND(ISNUMBER(SEARCH("PAYMENT TO",C532)),ISNUMBER(SEARCH("JOE SAUNDERS",C532))),"Zelle to Joe Saunders",IF(OR(ISNUMBER(SEARCH("NEW ORLEANS",C532)),ISNUMBER(SEARCH("KENNER",C532)),ISNUMBER(SEARCH("HENRY HOWARD",C532)),ISNUMBER(SEARCH("MISS CLAUDIA",C532))),"Personal Travel - New Orleans",IF(AND(YEAR(B532)=2025,MONTH(B532)=4,OR(ISNUMBER(SEARCH("EXCHANGE RATE",C532)),ISNUMBER(SEARCH("EXCHG RTE",C532)))),"Personal Travel - Italy",IFERROR(INDEX('Category Rules'!$B$2:$B$358,MATCH(TRUE,ISNUMBER(SEARCH('Category Rules'!$A$2:$A$358,C532)),0)),""))))))))</f>
        <v>Amazon</v>
      </c>
    </row>
    <row r="533" spans="1:7" x14ac:dyDescent="0.25">
      <c r="A533" t="s">
        <v>6</v>
      </c>
      <c r="B533" s="1">
        <v>45950</v>
      </c>
      <c r="C533" t="s">
        <v>494</v>
      </c>
      <c r="D533">
        <v>-264</v>
      </c>
      <c r="E533" t="s">
        <v>10</v>
      </c>
      <c r="F533">
        <v>5437.5</v>
      </c>
      <c r="G533" t="str" cm="1">
        <f t="array" ref="G533">IF(AND(ISNUMBER(SEARCH("UBER",C533)),ISNUMBER(SEARCH("EATS",C533))),"Uber Eats",IF(LEFT(C533,6)="CHECK ","Checks Paid",IF(OR(E533="BILLPAY",ISNUMBER(SEARCH("FRANCHISE TAX",C533)),ISNUMBER(SEARCH("NEXTLINK",C533))),"Personal - House Bills",IF(AND(ISNUMBER(SEARCH("PAYMENT FROM",C533)),ISNUMBER(SEARCH("JOE SAUNDERS",C533))),"Zelle from Joe Saunders",IF(AND(ISNUMBER(SEARCH("PAYMENT TO",C533)),ISNUMBER(SEARCH("JOE SAUNDERS",C533))),"Zelle to Joe Saunders",IF(OR(ISNUMBER(SEARCH("NEW ORLEANS",C533)),ISNUMBER(SEARCH("KENNER",C533)),ISNUMBER(SEARCH("HENRY HOWARD",C533)),ISNUMBER(SEARCH("MISS CLAUDIA",C533))),"Personal Travel - New Orleans",IF(AND(YEAR(B533)=2025,MONTH(B533)=4,OR(ISNUMBER(SEARCH("EXCHANGE RATE",C533)),ISNUMBER(SEARCH("EXCHG RTE",C533)))),"Personal Travel - Italy",IFERROR(INDEX('Category Rules'!$B$2:$B$358,MATCH(TRUE,ISNUMBER(SEARCH('Category Rules'!$A$2:$A$358,C533)),0)),""))))))))</f>
        <v>Personal - Health</v>
      </c>
    </row>
    <row r="534" spans="1:7" x14ac:dyDescent="0.25">
      <c r="A534" t="s">
        <v>6</v>
      </c>
      <c r="B534" s="1">
        <v>45950</v>
      </c>
      <c r="C534" t="s">
        <v>495</v>
      </c>
      <c r="D534">
        <v>-42.69</v>
      </c>
      <c r="E534" t="s">
        <v>10</v>
      </c>
      <c r="F534">
        <v>5701.5</v>
      </c>
      <c r="G534" t="str" cm="1">
        <f t="array" ref="G534">IF(AND(ISNUMBER(SEARCH("UBER",C534)),ISNUMBER(SEARCH("EATS",C534))),"Uber Eats",IF(LEFT(C534,6)="CHECK ","Checks Paid",IF(OR(E534="BILLPAY",ISNUMBER(SEARCH("FRANCHISE TAX",C534)),ISNUMBER(SEARCH("NEXTLINK",C534))),"Personal - House Bills",IF(AND(ISNUMBER(SEARCH("PAYMENT FROM",C534)),ISNUMBER(SEARCH("JOE SAUNDERS",C534))),"Zelle from Joe Saunders",IF(AND(ISNUMBER(SEARCH("PAYMENT TO",C534)),ISNUMBER(SEARCH("JOE SAUNDERS",C534))),"Zelle to Joe Saunders",IF(OR(ISNUMBER(SEARCH("NEW ORLEANS",C534)),ISNUMBER(SEARCH("KENNER",C534)),ISNUMBER(SEARCH("HENRY HOWARD",C534)),ISNUMBER(SEARCH("MISS CLAUDIA",C534))),"Personal Travel - New Orleans",IF(AND(YEAR(B534)=2025,MONTH(B534)=4,OR(ISNUMBER(SEARCH("EXCHANGE RATE",C534)),ISNUMBER(SEARCH("EXCHG RTE",C534)))),"Personal Travel - Italy",IFERROR(INDEX('Category Rules'!$B$2:$B$358,MATCH(TRUE,ISNUMBER(SEARCH('Category Rules'!$A$2:$A$358,C534)),0)),""))))))))</f>
        <v>Amazon</v>
      </c>
    </row>
    <row r="535" spans="1:7" x14ac:dyDescent="0.25">
      <c r="A535" t="s">
        <v>6</v>
      </c>
      <c r="B535" s="1">
        <v>45950</v>
      </c>
      <c r="C535" t="s">
        <v>496</v>
      </c>
      <c r="D535">
        <v>-399.45</v>
      </c>
      <c r="E535" t="s">
        <v>10</v>
      </c>
      <c r="F535">
        <v>5744.19</v>
      </c>
      <c r="G535" t="str" cm="1">
        <f t="array" ref="G535">IF(AND(ISNUMBER(SEARCH("UBER",C535)),ISNUMBER(SEARCH("EATS",C535))),"Uber Eats",IF(LEFT(C535,6)="CHECK ","Checks Paid",IF(OR(E535="BILLPAY",ISNUMBER(SEARCH("FRANCHISE TAX",C535)),ISNUMBER(SEARCH("NEXTLINK",C535))),"Personal - House Bills",IF(AND(ISNUMBER(SEARCH("PAYMENT FROM",C535)),ISNUMBER(SEARCH("JOE SAUNDERS",C535))),"Zelle from Joe Saunders",IF(AND(ISNUMBER(SEARCH("PAYMENT TO",C535)),ISNUMBER(SEARCH("JOE SAUNDERS",C535))),"Zelle to Joe Saunders",IF(OR(ISNUMBER(SEARCH("NEW ORLEANS",C535)),ISNUMBER(SEARCH("KENNER",C535)),ISNUMBER(SEARCH("HENRY HOWARD",C535)),ISNUMBER(SEARCH("MISS CLAUDIA",C535))),"Personal Travel - New Orleans",IF(AND(YEAR(B535)=2025,MONTH(B535)=4,OR(ISNUMBER(SEARCH("EXCHANGE RATE",C535)),ISNUMBER(SEARCH("EXCHG RTE",C535)))),"Personal Travel - Italy",IFERROR(INDEX('Category Rules'!$B$2:$B$358,MATCH(TRUE,ISNUMBER(SEARCH('Category Rules'!$A$2:$A$358,C535)),0)),""))))))))</f>
        <v>Amazon</v>
      </c>
    </row>
    <row r="536" spans="1:7" x14ac:dyDescent="0.25">
      <c r="A536" t="s">
        <v>44</v>
      </c>
      <c r="B536" s="1">
        <v>45950</v>
      </c>
      <c r="C536" t="s">
        <v>497</v>
      </c>
      <c r="D536">
        <v>3000</v>
      </c>
      <c r="E536" t="s">
        <v>73</v>
      </c>
      <c r="F536">
        <v>6143.64</v>
      </c>
      <c r="G536" t="str" cm="1">
        <f t="array" ref="G536">IF(AND(ISNUMBER(SEARCH("UBER",C536)),ISNUMBER(SEARCH("EATS",C536))),"Uber Eats",IF(LEFT(C536,6)="CHECK ","Checks Paid",IF(OR(E536="BILLPAY",ISNUMBER(SEARCH("FRANCHISE TAX",C536)),ISNUMBER(SEARCH("NEXTLINK",C536))),"Personal - House Bills",IF(AND(ISNUMBER(SEARCH("PAYMENT FROM",C536)),ISNUMBER(SEARCH("JOE SAUNDERS",C536))),"Zelle from Joe Saunders",IF(AND(ISNUMBER(SEARCH("PAYMENT TO",C536)),ISNUMBER(SEARCH("JOE SAUNDERS",C536))),"Zelle to Joe Saunders",IF(OR(ISNUMBER(SEARCH("NEW ORLEANS",C536)),ISNUMBER(SEARCH("KENNER",C536)),ISNUMBER(SEARCH("HENRY HOWARD",C536)),ISNUMBER(SEARCH("MISS CLAUDIA",C536))),"Personal Travel - New Orleans",IF(AND(YEAR(B536)=2025,MONTH(B536)=4,OR(ISNUMBER(SEARCH("EXCHANGE RATE",C536)),ISNUMBER(SEARCH("EXCHG RTE",C536)))),"Personal Travel - Italy",IFERROR(INDEX('Category Rules'!$B$2:$B$358,MATCH(TRUE,ISNUMBER(SEARCH('Category Rules'!$A$2:$A$358,C536)),0)),""))))))))</f>
        <v>Transfer from DWG Capital Group</v>
      </c>
    </row>
    <row r="537" spans="1:7" x14ac:dyDescent="0.25">
      <c r="A537" t="s">
        <v>6</v>
      </c>
      <c r="B537" s="1">
        <v>45947</v>
      </c>
      <c r="C537" t="s">
        <v>498</v>
      </c>
      <c r="D537">
        <v>-41.07</v>
      </c>
      <c r="E537" t="s">
        <v>10</v>
      </c>
      <c r="F537">
        <v>3143.64</v>
      </c>
      <c r="G537" t="str" cm="1">
        <f t="array" ref="G537">IF(AND(ISNUMBER(SEARCH("UBER",C537)),ISNUMBER(SEARCH("EATS",C537))),"Uber Eats",IF(LEFT(C537,6)="CHECK ","Checks Paid",IF(OR(E537="BILLPAY",ISNUMBER(SEARCH("FRANCHISE TAX",C537)),ISNUMBER(SEARCH("NEXTLINK",C537))),"Personal - House Bills",IF(AND(ISNUMBER(SEARCH("PAYMENT FROM",C537)),ISNUMBER(SEARCH("JOE SAUNDERS",C537))),"Zelle from Joe Saunders",IF(AND(ISNUMBER(SEARCH("PAYMENT TO",C537)),ISNUMBER(SEARCH("JOE SAUNDERS",C537))),"Zelle to Joe Saunders",IF(OR(ISNUMBER(SEARCH("NEW ORLEANS",C537)),ISNUMBER(SEARCH("KENNER",C537)),ISNUMBER(SEARCH("HENRY HOWARD",C537)),ISNUMBER(SEARCH("MISS CLAUDIA",C537))),"Personal Travel - New Orleans",IF(AND(YEAR(B537)=2025,MONTH(B537)=4,OR(ISNUMBER(SEARCH("EXCHANGE RATE",C537)),ISNUMBER(SEARCH("EXCHG RTE",C537)))),"Personal Travel - Italy",IFERROR(INDEX('Category Rules'!$B$2:$B$358,MATCH(TRUE,ISNUMBER(SEARCH('Category Rules'!$A$2:$A$358,C537)),0)),""))))))))</f>
        <v>Personal - Entertainment</v>
      </c>
    </row>
    <row r="538" spans="1:7" x14ac:dyDescent="0.25">
      <c r="A538" t="s">
        <v>6</v>
      </c>
      <c r="B538" s="1">
        <v>45947</v>
      </c>
      <c r="C538" t="s">
        <v>499</v>
      </c>
      <c r="D538">
        <v>-75.959999999999994</v>
      </c>
      <c r="E538" t="s">
        <v>10</v>
      </c>
      <c r="F538">
        <v>3184.71</v>
      </c>
      <c r="G538" t="str" cm="1">
        <f t="array" ref="G538">IF(AND(ISNUMBER(SEARCH("UBER",C538)),ISNUMBER(SEARCH("EATS",C538))),"Uber Eats",IF(LEFT(C538,6)="CHECK ","Checks Paid",IF(OR(E538="BILLPAY",ISNUMBER(SEARCH("FRANCHISE TAX",C538)),ISNUMBER(SEARCH("NEXTLINK",C538))),"Personal - House Bills",IF(AND(ISNUMBER(SEARCH("PAYMENT FROM",C538)),ISNUMBER(SEARCH("JOE SAUNDERS",C538))),"Zelle from Joe Saunders",IF(AND(ISNUMBER(SEARCH("PAYMENT TO",C538)),ISNUMBER(SEARCH("JOE SAUNDERS",C538))),"Zelle to Joe Saunders",IF(OR(ISNUMBER(SEARCH("NEW ORLEANS",C538)),ISNUMBER(SEARCH("KENNER",C538)),ISNUMBER(SEARCH("HENRY HOWARD",C538)),ISNUMBER(SEARCH("MISS CLAUDIA",C538))),"Personal Travel - New Orleans",IF(AND(YEAR(B538)=2025,MONTH(B538)=4,OR(ISNUMBER(SEARCH("EXCHANGE RATE",C538)),ISNUMBER(SEARCH("EXCHG RTE",C538)))),"Personal Travel - Italy",IFERROR(INDEX('Category Rules'!$B$2:$B$358,MATCH(TRUE,ISNUMBER(SEARCH('Category Rules'!$A$2:$A$358,C538)),0)),""))))))))</f>
        <v>Amazon</v>
      </c>
    </row>
    <row r="539" spans="1:7" x14ac:dyDescent="0.25">
      <c r="A539" t="s">
        <v>6</v>
      </c>
      <c r="B539" s="1">
        <v>45947</v>
      </c>
      <c r="C539" t="s">
        <v>500</v>
      </c>
      <c r="D539">
        <v>-64.989999999999995</v>
      </c>
      <c r="E539" t="s">
        <v>10</v>
      </c>
      <c r="F539">
        <v>3260.67</v>
      </c>
      <c r="G539" t="str" cm="1">
        <f t="array" ref="G539">IF(AND(ISNUMBER(SEARCH("UBER",C539)),ISNUMBER(SEARCH("EATS",C539))),"Uber Eats",IF(LEFT(C539,6)="CHECK ","Checks Paid",IF(OR(E539="BILLPAY",ISNUMBER(SEARCH("FRANCHISE TAX",C539)),ISNUMBER(SEARCH("NEXTLINK",C539))),"Personal - House Bills",IF(AND(ISNUMBER(SEARCH("PAYMENT FROM",C539)),ISNUMBER(SEARCH("JOE SAUNDERS",C539))),"Zelle from Joe Saunders",IF(AND(ISNUMBER(SEARCH("PAYMENT TO",C539)),ISNUMBER(SEARCH("JOE SAUNDERS",C539))),"Zelle to Joe Saunders",IF(OR(ISNUMBER(SEARCH("NEW ORLEANS",C539)),ISNUMBER(SEARCH("KENNER",C539)),ISNUMBER(SEARCH("HENRY HOWARD",C539)),ISNUMBER(SEARCH("MISS CLAUDIA",C539))),"Personal Travel - New Orleans",IF(AND(YEAR(B539)=2025,MONTH(B539)=4,OR(ISNUMBER(SEARCH("EXCHANGE RATE",C539)),ISNUMBER(SEARCH("EXCHG RTE",C539)))),"Personal Travel - Italy",IFERROR(INDEX('Category Rules'!$B$2:$B$358,MATCH(TRUE,ISNUMBER(SEARCH('Category Rules'!$A$2:$A$358,C539)),0)),""))))))))</f>
        <v>Amazon</v>
      </c>
    </row>
    <row r="540" spans="1:7" x14ac:dyDescent="0.25">
      <c r="A540" t="s">
        <v>6</v>
      </c>
      <c r="B540" s="1">
        <v>45947</v>
      </c>
      <c r="C540" t="s">
        <v>501</v>
      </c>
      <c r="D540">
        <v>-32</v>
      </c>
      <c r="E540" t="s">
        <v>10</v>
      </c>
      <c r="F540">
        <v>3325.66</v>
      </c>
      <c r="G540" t="str" cm="1">
        <f t="array" ref="G540">IF(AND(ISNUMBER(SEARCH("UBER",C540)),ISNUMBER(SEARCH("EATS",C540))),"Uber Eats",IF(LEFT(C540,6)="CHECK ","Checks Paid",IF(OR(E540="BILLPAY",ISNUMBER(SEARCH("FRANCHISE TAX",C540)),ISNUMBER(SEARCH("NEXTLINK",C540))),"Personal - House Bills",IF(AND(ISNUMBER(SEARCH("PAYMENT FROM",C540)),ISNUMBER(SEARCH("JOE SAUNDERS",C540))),"Zelle from Joe Saunders",IF(AND(ISNUMBER(SEARCH("PAYMENT TO",C540)),ISNUMBER(SEARCH("JOE SAUNDERS",C540))),"Zelle to Joe Saunders",IF(OR(ISNUMBER(SEARCH("NEW ORLEANS",C540)),ISNUMBER(SEARCH("KENNER",C540)),ISNUMBER(SEARCH("HENRY HOWARD",C540)),ISNUMBER(SEARCH("MISS CLAUDIA",C540))),"Personal Travel - New Orleans",IF(AND(YEAR(B540)=2025,MONTH(B540)=4,OR(ISNUMBER(SEARCH("EXCHANGE RATE",C540)),ISNUMBER(SEARCH("EXCHG RTE",C540)))),"Personal Travel - Italy",IFERROR(INDEX('Category Rules'!$B$2:$B$358,MATCH(TRUE,ISNUMBER(SEARCH('Category Rules'!$A$2:$A$358,C540)),0)),""))))))))</f>
        <v>Amazon</v>
      </c>
    </row>
    <row r="541" spans="1:7" x14ac:dyDescent="0.25">
      <c r="A541" t="s">
        <v>6</v>
      </c>
      <c r="B541" s="1">
        <v>45947</v>
      </c>
      <c r="C541" t="s">
        <v>502</v>
      </c>
      <c r="D541">
        <v>-16.32</v>
      </c>
      <c r="E541" t="s">
        <v>10</v>
      </c>
      <c r="F541">
        <v>3357.66</v>
      </c>
      <c r="G541" t="str" cm="1">
        <f t="array" ref="G541">IF(AND(ISNUMBER(SEARCH("UBER",C541)),ISNUMBER(SEARCH("EATS",C541))),"Uber Eats",IF(LEFT(C541,6)="CHECK ","Checks Paid",IF(OR(E541="BILLPAY",ISNUMBER(SEARCH("FRANCHISE TAX",C541)),ISNUMBER(SEARCH("NEXTLINK",C541))),"Personal - House Bills",IF(AND(ISNUMBER(SEARCH("PAYMENT FROM",C541)),ISNUMBER(SEARCH("JOE SAUNDERS",C541))),"Zelle from Joe Saunders",IF(AND(ISNUMBER(SEARCH("PAYMENT TO",C541)),ISNUMBER(SEARCH("JOE SAUNDERS",C541))),"Zelle to Joe Saunders",IF(OR(ISNUMBER(SEARCH("NEW ORLEANS",C541)),ISNUMBER(SEARCH("KENNER",C541)),ISNUMBER(SEARCH("HENRY HOWARD",C541)),ISNUMBER(SEARCH("MISS CLAUDIA",C541))),"Personal Travel - New Orleans",IF(AND(YEAR(B541)=2025,MONTH(B541)=4,OR(ISNUMBER(SEARCH("EXCHANGE RATE",C541)),ISNUMBER(SEARCH("EXCHG RTE",C541)))),"Personal Travel - Italy",IFERROR(INDEX('Category Rules'!$B$2:$B$358,MATCH(TRUE,ISNUMBER(SEARCH('Category Rules'!$A$2:$A$358,C541)),0)),""))))))))</f>
        <v>Amazon</v>
      </c>
    </row>
    <row r="542" spans="1:7" x14ac:dyDescent="0.25">
      <c r="A542" t="s">
        <v>6</v>
      </c>
      <c r="B542" s="1">
        <v>45947</v>
      </c>
      <c r="C542" t="s">
        <v>503</v>
      </c>
      <c r="D542">
        <v>-24.5</v>
      </c>
      <c r="E542" t="s">
        <v>10</v>
      </c>
      <c r="F542">
        <v>3373.98</v>
      </c>
      <c r="G542" t="str" cm="1">
        <f t="array" ref="G542">IF(AND(ISNUMBER(SEARCH("UBER",C542)),ISNUMBER(SEARCH("EATS",C542))),"Uber Eats",IF(LEFT(C542,6)="CHECK ","Checks Paid",IF(OR(E542="BILLPAY",ISNUMBER(SEARCH("FRANCHISE TAX",C542)),ISNUMBER(SEARCH("NEXTLINK",C542))),"Personal - House Bills",IF(AND(ISNUMBER(SEARCH("PAYMENT FROM",C542)),ISNUMBER(SEARCH("JOE SAUNDERS",C542))),"Zelle from Joe Saunders",IF(AND(ISNUMBER(SEARCH("PAYMENT TO",C542)),ISNUMBER(SEARCH("JOE SAUNDERS",C542))),"Zelle to Joe Saunders",IF(OR(ISNUMBER(SEARCH("NEW ORLEANS",C542)),ISNUMBER(SEARCH("KENNER",C542)),ISNUMBER(SEARCH("HENRY HOWARD",C542)),ISNUMBER(SEARCH("MISS CLAUDIA",C542))),"Personal Travel - New Orleans",IF(AND(YEAR(B542)=2025,MONTH(B542)=4,OR(ISNUMBER(SEARCH("EXCHANGE RATE",C542)),ISNUMBER(SEARCH("EXCHG RTE",C542)))),"Personal Travel - Italy",IFERROR(INDEX('Category Rules'!$B$2:$B$358,MATCH(TRUE,ISNUMBER(SEARCH('Category Rules'!$A$2:$A$358,C542)),0)),""))))))))</f>
        <v>Personal - Entertainment</v>
      </c>
    </row>
    <row r="543" spans="1:7" x14ac:dyDescent="0.25">
      <c r="A543" t="s">
        <v>6</v>
      </c>
      <c r="B543" s="1">
        <v>45947</v>
      </c>
      <c r="C543" t="s">
        <v>504</v>
      </c>
      <c r="D543">
        <v>-47.07</v>
      </c>
      <c r="E543" t="s">
        <v>10</v>
      </c>
      <c r="F543">
        <v>3398.48</v>
      </c>
      <c r="G543" t="str" cm="1">
        <f t="array" ref="G543">IF(AND(ISNUMBER(SEARCH("UBER",C543)),ISNUMBER(SEARCH("EATS",C543))),"Uber Eats",IF(LEFT(C543,6)="CHECK ","Checks Paid",IF(OR(E543="BILLPAY",ISNUMBER(SEARCH("FRANCHISE TAX",C543)),ISNUMBER(SEARCH("NEXTLINK",C543))),"Personal - House Bills",IF(AND(ISNUMBER(SEARCH("PAYMENT FROM",C543)),ISNUMBER(SEARCH("JOE SAUNDERS",C543))),"Zelle from Joe Saunders",IF(AND(ISNUMBER(SEARCH("PAYMENT TO",C543)),ISNUMBER(SEARCH("JOE SAUNDERS",C543))),"Zelle to Joe Saunders",IF(OR(ISNUMBER(SEARCH("NEW ORLEANS",C543)),ISNUMBER(SEARCH("KENNER",C543)),ISNUMBER(SEARCH("HENRY HOWARD",C543)),ISNUMBER(SEARCH("MISS CLAUDIA",C543))),"Personal Travel - New Orleans",IF(AND(YEAR(B543)=2025,MONTH(B543)=4,OR(ISNUMBER(SEARCH("EXCHANGE RATE",C543)),ISNUMBER(SEARCH("EXCHG RTE",C543)))),"Personal Travel - Italy",IFERROR(INDEX('Category Rules'!$B$2:$B$358,MATCH(TRUE,ISNUMBER(SEARCH('Category Rules'!$A$2:$A$358,C543)),0)),""))))))))</f>
        <v>Personal - Entertainment</v>
      </c>
    </row>
    <row r="544" spans="1:7" x14ac:dyDescent="0.25">
      <c r="A544" t="s">
        <v>6</v>
      </c>
      <c r="B544" s="1">
        <v>45947</v>
      </c>
      <c r="C544" t="s">
        <v>505</v>
      </c>
      <c r="D544">
        <v>-169.37</v>
      </c>
      <c r="E544" t="s">
        <v>10</v>
      </c>
      <c r="F544">
        <v>3445.55</v>
      </c>
      <c r="G544" t="str" cm="1">
        <f t="array" ref="G544">IF(AND(ISNUMBER(SEARCH("UBER",C544)),ISNUMBER(SEARCH("EATS",C544))),"Uber Eats",IF(LEFT(C544,6)="CHECK ","Checks Paid",IF(OR(E544="BILLPAY",ISNUMBER(SEARCH("FRANCHISE TAX",C544)),ISNUMBER(SEARCH("NEXTLINK",C544))),"Personal - House Bills",IF(AND(ISNUMBER(SEARCH("PAYMENT FROM",C544)),ISNUMBER(SEARCH("JOE SAUNDERS",C544))),"Zelle from Joe Saunders",IF(AND(ISNUMBER(SEARCH("PAYMENT TO",C544)),ISNUMBER(SEARCH("JOE SAUNDERS",C544))),"Zelle to Joe Saunders",IF(OR(ISNUMBER(SEARCH("NEW ORLEANS",C544)),ISNUMBER(SEARCH("KENNER",C544)),ISNUMBER(SEARCH("HENRY HOWARD",C544)),ISNUMBER(SEARCH("MISS CLAUDIA",C544))),"Personal Travel - New Orleans",IF(AND(YEAR(B544)=2025,MONTH(B544)=4,OR(ISNUMBER(SEARCH("EXCHANGE RATE",C544)),ISNUMBER(SEARCH("EXCHG RTE",C544)))),"Personal Travel - Italy",IFERROR(INDEX('Category Rules'!$B$2:$B$358,MATCH(TRUE,ISNUMBER(SEARCH('Category Rules'!$A$2:$A$358,C544)),0)),""))))))))</f>
        <v>Amazon</v>
      </c>
    </row>
    <row r="545" spans="1:7" x14ac:dyDescent="0.25">
      <c r="A545" t="s">
        <v>6</v>
      </c>
      <c r="B545" s="1">
        <v>45947</v>
      </c>
      <c r="C545" t="s">
        <v>506</v>
      </c>
      <c r="D545">
        <v>-340.53</v>
      </c>
      <c r="E545" t="s">
        <v>10</v>
      </c>
      <c r="F545">
        <v>3614.92</v>
      </c>
      <c r="G545" t="str" cm="1">
        <f t="array" ref="G545">IF(AND(ISNUMBER(SEARCH("UBER",C545)),ISNUMBER(SEARCH("EATS",C545))),"Uber Eats",IF(LEFT(C545,6)="CHECK ","Checks Paid",IF(OR(E545="BILLPAY",ISNUMBER(SEARCH("FRANCHISE TAX",C545)),ISNUMBER(SEARCH("NEXTLINK",C545))),"Personal - House Bills",IF(AND(ISNUMBER(SEARCH("PAYMENT FROM",C545)),ISNUMBER(SEARCH("JOE SAUNDERS",C545))),"Zelle from Joe Saunders",IF(AND(ISNUMBER(SEARCH("PAYMENT TO",C545)),ISNUMBER(SEARCH("JOE SAUNDERS",C545))),"Zelle to Joe Saunders",IF(OR(ISNUMBER(SEARCH("NEW ORLEANS",C545)),ISNUMBER(SEARCH("KENNER",C545)),ISNUMBER(SEARCH("HENRY HOWARD",C545)),ISNUMBER(SEARCH("MISS CLAUDIA",C545))),"Personal Travel - New Orleans",IF(AND(YEAR(B545)=2025,MONTH(B545)=4,OR(ISNUMBER(SEARCH("EXCHANGE RATE",C545)),ISNUMBER(SEARCH("EXCHG RTE",C545)))),"Personal Travel - Italy",IFERROR(INDEX('Category Rules'!$B$2:$B$358,MATCH(TRUE,ISNUMBER(SEARCH('Category Rules'!$A$2:$A$358,C545)),0)),""))))))))</f>
        <v>Amazon</v>
      </c>
    </row>
    <row r="546" spans="1:7" x14ac:dyDescent="0.25">
      <c r="A546" t="s">
        <v>6</v>
      </c>
      <c r="B546" s="1">
        <v>45947</v>
      </c>
      <c r="C546" t="s">
        <v>507</v>
      </c>
      <c r="D546">
        <v>-132.93</v>
      </c>
      <c r="E546" t="s">
        <v>10</v>
      </c>
      <c r="F546">
        <v>3955.45</v>
      </c>
      <c r="G546" t="str" cm="1">
        <f t="array" ref="G546">IF(AND(ISNUMBER(SEARCH("UBER",C546)),ISNUMBER(SEARCH("EATS",C546))),"Uber Eats",IF(LEFT(C546,6)="CHECK ","Checks Paid",IF(OR(E546="BILLPAY",ISNUMBER(SEARCH("FRANCHISE TAX",C546)),ISNUMBER(SEARCH("NEXTLINK",C546))),"Personal - House Bills",IF(AND(ISNUMBER(SEARCH("PAYMENT FROM",C546)),ISNUMBER(SEARCH("JOE SAUNDERS",C546))),"Zelle from Joe Saunders",IF(AND(ISNUMBER(SEARCH("PAYMENT TO",C546)),ISNUMBER(SEARCH("JOE SAUNDERS",C546))),"Zelle to Joe Saunders",IF(OR(ISNUMBER(SEARCH("NEW ORLEANS",C546)),ISNUMBER(SEARCH("KENNER",C546)),ISNUMBER(SEARCH("HENRY HOWARD",C546)),ISNUMBER(SEARCH("MISS CLAUDIA",C546))),"Personal Travel - New Orleans",IF(AND(YEAR(B546)=2025,MONTH(B546)=4,OR(ISNUMBER(SEARCH("EXCHANGE RATE",C546)),ISNUMBER(SEARCH("EXCHG RTE",C546)))),"Personal Travel - Italy",IFERROR(INDEX('Category Rules'!$B$2:$B$358,MATCH(TRUE,ISNUMBER(SEARCH('Category Rules'!$A$2:$A$358,C546)),0)),""))))))))</f>
        <v>Amazon</v>
      </c>
    </row>
    <row r="547" spans="1:7" x14ac:dyDescent="0.25">
      <c r="A547" t="s">
        <v>6</v>
      </c>
      <c r="B547" s="1">
        <v>45947</v>
      </c>
      <c r="C547" t="s">
        <v>508</v>
      </c>
      <c r="D547">
        <v>-984.1</v>
      </c>
      <c r="E547" t="s">
        <v>10</v>
      </c>
      <c r="F547">
        <v>4088.38</v>
      </c>
      <c r="G547" t="str" cm="1">
        <f t="array" ref="G547">IF(AND(ISNUMBER(SEARCH("UBER",C547)),ISNUMBER(SEARCH("EATS",C547))),"Uber Eats",IF(LEFT(C547,6)="CHECK ","Checks Paid",IF(OR(E547="BILLPAY",ISNUMBER(SEARCH("FRANCHISE TAX",C547)),ISNUMBER(SEARCH("NEXTLINK",C547))),"Personal - House Bills",IF(AND(ISNUMBER(SEARCH("PAYMENT FROM",C547)),ISNUMBER(SEARCH("JOE SAUNDERS",C547))),"Zelle from Joe Saunders",IF(AND(ISNUMBER(SEARCH("PAYMENT TO",C547)),ISNUMBER(SEARCH("JOE SAUNDERS",C547))),"Zelle to Joe Saunders",IF(OR(ISNUMBER(SEARCH("NEW ORLEANS",C547)),ISNUMBER(SEARCH("KENNER",C547)),ISNUMBER(SEARCH("HENRY HOWARD",C547)),ISNUMBER(SEARCH("MISS CLAUDIA",C547))),"Personal Travel - New Orleans",IF(AND(YEAR(B547)=2025,MONTH(B547)=4,OR(ISNUMBER(SEARCH("EXCHANGE RATE",C547)),ISNUMBER(SEARCH("EXCHG RTE",C547)))),"Personal Travel - Italy",IFERROR(INDEX('Category Rules'!$B$2:$B$358,MATCH(TRUE,ISNUMBER(SEARCH('Category Rules'!$A$2:$A$358,C547)),0)),""))))))))</f>
        <v>Personal - Shopping</v>
      </c>
    </row>
    <row r="548" spans="1:7" x14ac:dyDescent="0.25">
      <c r="A548" t="s">
        <v>6</v>
      </c>
      <c r="B548" s="1">
        <v>45946</v>
      </c>
      <c r="C548" t="s">
        <v>509</v>
      </c>
      <c r="D548">
        <v>-1000</v>
      </c>
      <c r="E548" t="s">
        <v>73</v>
      </c>
      <c r="F548">
        <v>5072.4799999999996</v>
      </c>
      <c r="G548" t="str" cm="1">
        <f t="array" ref="G548">IF(AND(ISNUMBER(SEARCH("UBER",C548)),ISNUMBER(SEARCH("EATS",C548))),"Uber Eats",IF(LEFT(C548,6)="CHECK ","Checks Paid",IF(OR(E548="BILLPAY",ISNUMBER(SEARCH("FRANCHISE TAX",C548)),ISNUMBER(SEARCH("NEXTLINK",C548))),"Personal - House Bills",IF(AND(ISNUMBER(SEARCH("PAYMENT FROM",C548)),ISNUMBER(SEARCH("JOE SAUNDERS",C548))),"Zelle from Joe Saunders",IF(AND(ISNUMBER(SEARCH("PAYMENT TO",C548)),ISNUMBER(SEARCH("JOE SAUNDERS",C548))),"Zelle to Joe Saunders",IF(OR(ISNUMBER(SEARCH("NEW ORLEANS",C548)),ISNUMBER(SEARCH("KENNER",C548)),ISNUMBER(SEARCH("HENRY HOWARD",C548)),ISNUMBER(SEARCH("MISS CLAUDIA",C548))),"Personal Travel - New Orleans",IF(AND(YEAR(B548)=2025,MONTH(B548)=4,OR(ISNUMBER(SEARCH("EXCHANGE RATE",C548)),ISNUMBER(SEARCH("EXCHG RTE",C548)))),"Personal Travel - Italy",IFERROR(INDEX('Category Rules'!$B$2:$B$358,MATCH(TRUE,ISNUMBER(SEARCH('Category Rules'!$A$2:$A$358,C548)),0)),""))))))))</f>
        <v>Transfer to Ava</v>
      </c>
    </row>
    <row r="549" spans="1:7" x14ac:dyDescent="0.25">
      <c r="A549" t="s">
        <v>6</v>
      </c>
      <c r="B549" s="1">
        <v>45946</v>
      </c>
      <c r="C549" t="s">
        <v>510</v>
      </c>
      <c r="D549">
        <v>-35.92</v>
      </c>
      <c r="E549" t="s">
        <v>10</v>
      </c>
      <c r="F549">
        <v>6072.48</v>
      </c>
      <c r="G549" t="str" cm="1">
        <f t="array" ref="G549">IF(AND(ISNUMBER(SEARCH("UBER",C549)),ISNUMBER(SEARCH("EATS",C549))),"Uber Eats",IF(LEFT(C549,6)="CHECK ","Checks Paid",IF(OR(E549="BILLPAY",ISNUMBER(SEARCH("FRANCHISE TAX",C549)),ISNUMBER(SEARCH("NEXTLINK",C549))),"Personal - House Bills",IF(AND(ISNUMBER(SEARCH("PAYMENT FROM",C549)),ISNUMBER(SEARCH("JOE SAUNDERS",C549))),"Zelle from Joe Saunders",IF(AND(ISNUMBER(SEARCH("PAYMENT TO",C549)),ISNUMBER(SEARCH("JOE SAUNDERS",C549))),"Zelle to Joe Saunders",IF(OR(ISNUMBER(SEARCH("NEW ORLEANS",C549)),ISNUMBER(SEARCH("KENNER",C549)),ISNUMBER(SEARCH("HENRY HOWARD",C549)),ISNUMBER(SEARCH("MISS CLAUDIA",C549))),"Personal Travel - New Orleans",IF(AND(YEAR(B549)=2025,MONTH(B549)=4,OR(ISNUMBER(SEARCH("EXCHANGE RATE",C549)),ISNUMBER(SEARCH("EXCHG RTE",C549)))),"Personal Travel - Italy",IFERROR(INDEX('Category Rules'!$B$2:$B$358,MATCH(TRUE,ISNUMBER(SEARCH('Category Rules'!$A$2:$A$358,C549)),0)),""))))))))</f>
        <v>Uber Eats</v>
      </c>
    </row>
    <row r="550" spans="1:7" x14ac:dyDescent="0.25">
      <c r="A550" t="s">
        <v>6</v>
      </c>
      <c r="B550" s="1">
        <v>45946</v>
      </c>
      <c r="C550" t="s">
        <v>511</v>
      </c>
      <c r="D550">
        <v>-14.36</v>
      </c>
      <c r="E550" t="s">
        <v>10</v>
      </c>
      <c r="F550">
        <v>6108.4</v>
      </c>
      <c r="G550" t="str" cm="1">
        <f t="array" ref="G550">IF(AND(ISNUMBER(SEARCH("UBER",C550)),ISNUMBER(SEARCH("EATS",C550))),"Uber Eats",IF(LEFT(C550,6)="CHECK ","Checks Paid",IF(OR(E550="BILLPAY",ISNUMBER(SEARCH("FRANCHISE TAX",C550)),ISNUMBER(SEARCH("NEXTLINK",C550))),"Personal - House Bills",IF(AND(ISNUMBER(SEARCH("PAYMENT FROM",C550)),ISNUMBER(SEARCH("JOE SAUNDERS",C550))),"Zelle from Joe Saunders",IF(AND(ISNUMBER(SEARCH("PAYMENT TO",C550)),ISNUMBER(SEARCH("JOE SAUNDERS",C550))),"Zelle to Joe Saunders",IF(OR(ISNUMBER(SEARCH("NEW ORLEANS",C550)),ISNUMBER(SEARCH("KENNER",C550)),ISNUMBER(SEARCH("HENRY HOWARD",C550)),ISNUMBER(SEARCH("MISS CLAUDIA",C550))),"Personal Travel - New Orleans",IF(AND(YEAR(B550)=2025,MONTH(B550)=4,OR(ISNUMBER(SEARCH("EXCHANGE RATE",C550)),ISNUMBER(SEARCH("EXCHG RTE",C550)))),"Personal Travel - Italy",IFERROR(INDEX('Category Rules'!$B$2:$B$358,MATCH(TRUE,ISNUMBER(SEARCH('Category Rules'!$A$2:$A$358,C550)),0)),""))))))))</f>
        <v>Amazon</v>
      </c>
    </row>
    <row r="551" spans="1:7" x14ac:dyDescent="0.25">
      <c r="A551" t="s">
        <v>6</v>
      </c>
      <c r="B551" s="1">
        <v>45946</v>
      </c>
      <c r="C551" t="s">
        <v>512</v>
      </c>
      <c r="D551">
        <v>-167.94</v>
      </c>
      <c r="E551" t="s">
        <v>10</v>
      </c>
      <c r="F551">
        <v>6122.76</v>
      </c>
      <c r="G551" t="str" cm="1">
        <f t="array" ref="G551">IF(AND(ISNUMBER(SEARCH("UBER",C551)),ISNUMBER(SEARCH("EATS",C551))),"Uber Eats",IF(LEFT(C551,6)="CHECK ","Checks Paid",IF(OR(E551="BILLPAY",ISNUMBER(SEARCH("FRANCHISE TAX",C551)),ISNUMBER(SEARCH("NEXTLINK",C551))),"Personal - House Bills",IF(AND(ISNUMBER(SEARCH("PAYMENT FROM",C551)),ISNUMBER(SEARCH("JOE SAUNDERS",C551))),"Zelle from Joe Saunders",IF(AND(ISNUMBER(SEARCH("PAYMENT TO",C551)),ISNUMBER(SEARCH("JOE SAUNDERS",C551))),"Zelle to Joe Saunders",IF(OR(ISNUMBER(SEARCH("NEW ORLEANS",C551)),ISNUMBER(SEARCH("KENNER",C551)),ISNUMBER(SEARCH("HENRY HOWARD",C551)),ISNUMBER(SEARCH("MISS CLAUDIA",C551))),"Personal Travel - New Orleans",IF(AND(YEAR(B551)=2025,MONTH(B551)=4,OR(ISNUMBER(SEARCH("EXCHANGE RATE",C551)),ISNUMBER(SEARCH("EXCHG RTE",C551)))),"Personal Travel - Italy",IFERROR(INDEX('Category Rules'!$B$2:$B$358,MATCH(TRUE,ISNUMBER(SEARCH('Category Rules'!$A$2:$A$358,C551)),0)),""))))))))</f>
        <v>Amazon</v>
      </c>
    </row>
    <row r="552" spans="1:7" x14ac:dyDescent="0.25">
      <c r="A552" t="s">
        <v>6</v>
      </c>
      <c r="B552" s="1">
        <v>45946</v>
      </c>
      <c r="C552" t="s">
        <v>513</v>
      </c>
      <c r="D552">
        <v>-75.75</v>
      </c>
      <c r="E552" t="s">
        <v>10</v>
      </c>
      <c r="F552">
        <v>6290.7</v>
      </c>
      <c r="G552" t="str" cm="1">
        <f t="array" ref="G552">IF(AND(ISNUMBER(SEARCH("UBER",C552)),ISNUMBER(SEARCH("EATS",C552))),"Uber Eats",IF(LEFT(C552,6)="CHECK ","Checks Paid",IF(OR(E552="BILLPAY",ISNUMBER(SEARCH("FRANCHISE TAX",C552)),ISNUMBER(SEARCH("NEXTLINK",C552))),"Personal - House Bills",IF(AND(ISNUMBER(SEARCH("PAYMENT FROM",C552)),ISNUMBER(SEARCH("JOE SAUNDERS",C552))),"Zelle from Joe Saunders",IF(AND(ISNUMBER(SEARCH("PAYMENT TO",C552)),ISNUMBER(SEARCH("JOE SAUNDERS",C552))),"Zelle to Joe Saunders",IF(OR(ISNUMBER(SEARCH("NEW ORLEANS",C552)),ISNUMBER(SEARCH("KENNER",C552)),ISNUMBER(SEARCH("HENRY HOWARD",C552)),ISNUMBER(SEARCH("MISS CLAUDIA",C552))),"Personal Travel - New Orleans",IF(AND(YEAR(B552)=2025,MONTH(B552)=4,OR(ISNUMBER(SEARCH("EXCHANGE RATE",C552)),ISNUMBER(SEARCH("EXCHG RTE",C552)))),"Personal Travel - Italy",IFERROR(INDEX('Category Rules'!$B$2:$B$358,MATCH(TRUE,ISNUMBER(SEARCH('Category Rules'!$A$2:$A$358,C552)),0)),""))))))))</f>
        <v>Apple</v>
      </c>
    </row>
    <row r="553" spans="1:7" x14ac:dyDescent="0.25">
      <c r="A553" t="s">
        <v>6</v>
      </c>
      <c r="B553" s="1">
        <v>45946</v>
      </c>
      <c r="C553" t="s">
        <v>514</v>
      </c>
      <c r="D553">
        <v>-63.93</v>
      </c>
      <c r="E553" t="s">
        <v>10</v>
      </c>
      <c r="F553">
        <v>6366.45</v>
      </c>
      <c r="G553" t="str" cm="1">
        <f t="array" ref="G553">IF(AND(ISNUMBER(SEARCH("UBER",C553)),ISNUMBER(SEARCH("EATS",C553))),"Uber Eats",IF(LEFT(C553,6)="CHECK ","Checks Paid",IF(OR(E553="BILLPAY",ISNUMBER(SEARCH("FRANCHISE TAX",C553)),ISNUMBER(SEARCH("NEXTLINK",C553))),"Personal - House Bills",IF(AND(ISNUMBER(SEARCH("PAYMENT FROM",C553)),ISNUMBER(SEARCH("JOE SAUNDERS",C553))),"Zelle from Joe Saunders",IF(AND(ISNUMBER(SEARCH("PAYMENT TO",C553)),ISNUMBER(SEARCH("JOE SAUNDERS",C553))),"Zelle to Joe Saunders",IF(OR(ISNUMBER(SEARCH("NEW ORLEANS",C553)),ISNUMBER(SEARCH("KENNER",C553)),ISNUMBER(SEARCH("HENRY HOWARD",C553)),ISNUMBER(SEARCH("MISS CLAUDIA",C553))),"Personal Travel - New Orleans",IF(AND(YEAR(B553)=2025,MONTH(B553)=4,OR(ISNUMBER(SEARCH("EXCHANGE RATE",C553)),ISNUMBER(SEARCH("EXCHG RTE",C553)))),"Personal Travel - Italy",IFERROR(INDEX('Category Rules'!$B$2:$B$358,MATCH(TRUE,ISNUMBER(SEARCH('Category Rules'!$A$2:$A$358,C553)),0)),""))))))))</f>
        <v>Personal - Food</v>
      </c>
    </row>
    <row r="554" spans="1:7" x14ac:dyDescent="0.25">
      <c r="A554" t="s">
        <v>44</v>
      </c>
      <c r="B554" s="1">
        <v>45946</v>
      </c>
      <c r="C554" t="s">
        <v>515</v>
      </c>
      <c r="D554">
        <v>3000</v>
      </c>
      <c r="E554" t="s">
        <v>73</v>
      </c>
      <c r="F554">
        <v>6430.38</v>
      </c>
      <c r="G554" t="str" cm="1">
        <f t="array" ref="G554">IF(AND(ISNUMBER(SEARCH("UBER",C554)),ISNUMBER(SEARCH("EATS",C554))),"Uber Eats",IF(LEFT(C554,6)="CHECK ","Checks Paid",IF(OR(E554="BILLPAY",ISNUMBER(SEARCH("FRANCHISE TAX",C554)),ISNUMBER(SEARCH("NEXTLINK",C554))),"Personal - House Bills",IF(AND(ISNUMBER(SEARCH("PAYMENT FROM",C554)),ISNUMBER(SEARCH("JOE SAUNDERS",C554))),"Zelle from Joe Saunders",IF(AND(ISNUMBER(SEARCH("PAYMENT TO",C554)),ISNUMBER(SEARCH("JOE SAUNDERS",C554))),"Zelle to Joe Saunders",IF(OR(ISNUMBER(SEARCH("NEW ORLEANS",C554)),ISNUMBER(SEARCH("KENNER",C554)),ISNUMBER(SEARCH("HENRY HOWARD",C554)),ISNUMBER(SEARCH("MISS CLAUDIA",C554))),"Personal Travel - New Orleans",IF(AND(YEAR(B554)=2025,MONTH(B554)=4,OR(ISNUMBER(SEARCH("EXCHANGE RATE",C554)),ISNUMBER(SEARCH("EXCHG RTE",C554)))),"Personal Travel - Italy",IFERROR(INDEX('Category Rules'!$B$2:$B$358,MATCH(TRUE,ISNUMBER(SEARCH('Category Rules'!$A$2:$A$358,C554)),0)),""))))))))</f>
        <v>Transfer from DWG Capital Group</v>
      </c>
    </row>
    <row r="555" spans="1:7" x14ac:dyDescent="0.25">
      <c r="A555" t="s">
        <v>6</v>
      </c>
      <c r="B555" s="1">
        <v>45946</v>
      </c>
      <c r="C555" t="s">
        <v>516</v>
      </c>
      <c r="D555">
        <v>45.14</v>
      </c>
      <c r="E555" t="s">
        <v>10</v>
      </c>
      <c r="F555">
        <v>3430.38</v>
      </c>
      <c r="G555" t="str" cm="1">
        <f t="array" ref="G555">IF(AND(ISNUMBER(SEARCH("UBER",C555)),ISNUMBER(SEARCH("EATS",C555))),"Uber Eats",IF(LEFT(C555,6)="CHECK ","Checks Paid",IF(OR(E555="BILLPAY",ISNUMBER(SEARCH("FRANCHISE TAX",C555)),ISNUMBER(SEARCH("NEXTLINK",C555))),"Personal - House Bills",IF(AND(ISNUMBER(SEARCH("PAYMENT FROM",C555)),ISNUMBER(SEARCH("JOE SAUNDERS",C555))),"Zelle from Joe Saunders",IF(AND(ISNUMBER(SEARCH("PAYMENT TO",C555)),ISNUMBER(SEARCH("JOE SAUNDERS",C555))),"Zelle to Joe Saunders",IF(OR(ISNUMBER(SEARCH("NEW ORLEANS",C555)),ISNUMBER(SEARCH("KENNER",C555)),ISNUMBER(SEARCH("HENRY HOWARD",C555)),ISNUMBER(SEARCH("MISS CLAUDIA",C555))),"Personal Travel - New Orleans",IF(AND(YEAR(B555)=2025,MONTH(B555)=4,OR(ISNUMBER(SEARCH("EXCHANGE RATE",C555)),ISNUMBER(SEARCH("EXCHG RTE",C555)))),"Personal Travel - Italy",IFERROR(INDEX('Category Rules'!$B$2:$B$358,MATCH(TRUE,ISNUMBER(SEARCH('Category Rules'!$A$2:$A$358,C555)),0)),""))))))))</f>
        <v>Personal Travel</v>
      </c>
    </row>
    <row r="556" spans="1:7" x14ac:dyDescent="0.25">
      <c r="A556" t="s">
        <v>6</v>
      </c>
      <c r="B556" s="1">
        <v>45946</v>
      </c>
      <c r="C556" t="s">
        <v>516</v>
      </c>
      <c r="D556">
        <v>45.14</v>
      </c>
      <c r="E556" t="s">
        <v>10</v>
      </c>
      <c r="F556">
        <v>3385.24</v>
      </c>
      <c r="G556" t="str" cm="1">
        <f t="array" ref="G556">IF(AND(ISNUMBER(SEARCH("UBER",C556)),ISNUMBER(SEARCH("EATS",C556))),"Uber Eats",IF(LEFT(C556,6)="CHECK ","Checks Paid",IF(OR(E556="BILLPAY",ISNUMBER(SEARCH("FRANCHISE TAX",C556)),ISNUMBER(SEARCH("NEXTLINK",C556))),"Personal - House Bills",IF(AND(ISNUMBER(SEARCH("PAYMENT FROM",C556)),ISNUMBER(SEARCH("JOE SAUNDERS",C556))),"Zelle from Joe Saunders",IF(AND(ISNUMBER(SEARCH("PAYMENT TO",C556)),ISNUMBER(SEARCH("JOE SAUNDERS",C556))),"Zelle to Joe Saunders",IF(OR(ISNUMBER(SEARCH("NEW ORLEANS",C556)),ISNUMBER(SEARCH("KENNER",C556)),ISNUMBER(SEARCH("HENRY HOWARD",C556)),ISNUMBER(SEARCH("MISS CLAUDIA",C556))),"Personal Travel - New Orleans",IF(AND(YEAR(B556)=2025,MONTH(B556)=4,OR(ISNUMBER(SEARCH("EXCHANGE RATE",C556)),ISNUMBER(SEARCH("EXCHG RTE",C556)))),"Personal Travel - Italy",IFERROR(INDEX('Category Rules'!$B$2:$B$358,MATCH(TRUE,ISNUMBER(SEARCH('Category Rules'!$A$2:$A$358,C556)),0)),""))))))))</f>
        <v>Personal Travel</v>
      </c>
    </row>
    <row r="557" spans="1:7" x14ac:dyDescent="0.25">
      <c r="A557" t="s">
        <v>6</v>
      </c>
      <c r="B557" s="1">
        <v>45945</v>
      </c>
      <c r="C557" t="s">
        <v>517</v>
      </c>
      <c r="D557">
        <v>-30.77</v>
      </c>
      <c r="E557" t="s">
        <v>10</v>
      </c>
      <c r="F557">
        <v>3340.1</v>
      </c>
      <c r="G557" t="str" cm="1">
        <f t="array" ref="G557">IF(AND(ISNUMBER(SEARCH("UBER",C557)),ISNUMBER(SEARCH("EATS",C557))),"Uber Eats",IF(LEFT(C557,6)="CHECK ","Checks Paid",IF(OR(E557="BILLPAY",ISNUMBER(SEARCH("FRANCHISE TAX",C557)),ISNUMBER(SEARCH("NEXTLINK",C557))),"Personal - House Bills",IF(AND(ISNUMBER(SEARCH("PAYMENT FROM",C557)),ISNUMBER(SEARCH("JOE SAUNDERS",C557))),"Zelle from Joe Saunders",IF(AND(ISNUMBER(SEARCH("PAYMENT TO",C557)),ISNUMBER(SEARCH("JOE SAUNDERS",C557))),"Zelle to Joe Saunders",IF(OR(ISNUMBER(SEARCH("NEW ORLEANS",C557)),ISNUMBER(SEARCH("KENNER",C557)),ISNUMBER(SEARCH("HENRY HOWARD",C557)),ISNUMBER(SEARCH("MISS CLAUDIA",C557))),"Personal Travel - New Orleans",IF(AND(YEAR(B557)=2025,MONTH(B557)=4,OR(ISNUMBER(SEARCH("EXCHANGE RATE",C557)),ISNUMBER(SEARCH("EXCHG RTE",C557)))),"Personal Travel - Italy",IFERROR(INDEX('Category Rules'!$B$2:$B$358,MATCH(TRUE,ISNUMBER(SEARCH('Category Rules'!$A$2:$A$358,C557)),0)),""))))))))</f>
        <v>Uber Eats</v>
      </c>
    </row>
    <row r="558" spans="1:7" x14ac:dyDescent="0.25">
      <c r="A558" t="s">
        <v>6</v>
      </c>
      <c r="B558" s="1">
        <v>45945</v>
      </c>
      <c r="C558" t="s">
        <v>518</v>
      </c>
      <c r="D558">
        <v>-80.849999999999994</v>
      </c>
      <c r="E558" t="s">
        <v>10</v>
      </c>
      <c r="F558">
        <v>3370.87</v>
      </c>
      <c r="G558" t="str" cm="1">
        <f t="array" ref="G558">IF(AND(ISNUMBER(SEARCH("UBER",C558)),ISNUMBER(SEARCH("EATS",C558))),"Uber Eats",IF(LEFT(C558,6)="CHECK ","Checks Paid",IF(OR(E558="BILLPAY",ISNUMBER(SEARCH("FRANCHISE TAX",C558)),ISNUMBER(SEARCH("NEXTLINK",C558))),"Personal - House Bills",IF(AND(ISNUMBER(SEARCH("PAYMENT FROM",C558)),ISNUMBER(SEARCH("JOE SAUNDERS",C558))),"Zelle from Joe Saunders",IF(AND(ISNUMBER(SEARCH("PAYMENT TO",C558)),ISNUMBER(SEARCH("JOE SAUNDERS",C558))),"Zelle to Joe Saunders",IF(OR(ISNUMBER(SEARCH("NEW ORLEANS",C558)),ISNUMBER(SEARCH("KENNER",C558)),ISNUMBER(SEARCH("HENRY HOWARD",C558)),ISNUMBER(SEARCH("MISS CLAUDIA",C558))),"Personal Travel - New Orleans",IF(AND(YEAR(B558)=2025,MONTH(B558)=4,OR(ISNUMBER(SEARCH("EXCHANGE RATE",C558)),ISNUMBER(SEARCH("EXCHG RTE",C558)))),"Personal Travel - Italy",IFERROR(INDEX('Category Rules'!$B$2:$B$358,MATCH(TRUE,ISNUMBER(SEARCH('Category Rules'!$A$2:$A$358,C558)),0)),""))))))))</f>
        <v>Personal Travel</v>
      </c>
    </row>
    <row r="559" spans="1:7" x14ac:dyDescent="0.25">
      <c r="A559" t="s">
        <v>6</v>
      </c>
      <c r="B559" s="1">
        <v>45945</v>
      </c>
      <c r="C559" t="s">
        <v>518</v>
      </c>
      <c r="D559">
        <v>-80.849999999999994</v>
      </c>
      <c r="E559" t="s">
        <v>10</v>
      </c>
      <c r="F559">
        <v>3451.72</v>
      </c>
      <c r="G559" t="str" cm="1">
        <f t="array" ref="G559">IF(AND(ISNUMBER(SEARCH("UBER",C559)),ISNUMBER(SEARCH("EATS",C559))),"Uber Eats",IF(LEFT(C559,6)="CHECK ","Checks Paid",IF(OR(E559="BILLPAY",ISNUMBER(SEARCH("FRANCHISE TAX",C559)),ISNUMBER(SEARCH("NEXTLINK",C559))),"Personal - House Bills",IF(AND(ISNUMBER(SEARCH("PAYMENT FROM",C559)),ISNUMBER(SEARCH("JOE SAUNDERS",C559))),"Zelle from Joe Saunders",IF(AND(ISNUMBER(SEARCH("PAYMENT TO",C559)),ISNUMBER(SEARCH("JOE SAUNDERS",C559))),"Zelle to Joe Saunders",IF(OR(ISNUMBER(SEARCH("NEW ORLEANS",C559)),ISNUMBER(SEARCH("KENNER",C559)),ISNUMBER(SEARCH("HENRY HOWARD",C559)),ISNUMBER(SEARCH("MISS CLAUDIA",C559))),"Personal Travel - New Orleans",IF(AND(YEAR(B559)=2025,MONTH(B559)=4,OR(ISNUMBER(SEARCH("EXCHANGE RATE",C559)),ISNUMBER(SEARCH("EXCHG RTE",C559)))),"Personal Travel - Italy",IFERROR(INDEX('Category Rules'!$B$2:$B$358,MATCH(TRUE,ISNUMBER(SEARCH('Category Rules'!$A$2:$A$358,C559)),0)),""))))))))</f>
        <v>Personal Travel</v>
      </c>
    </row>
    <row r="560" spans="1:7" x14ac:dyDescent="0.25">
      <c r="A560" t="s">
        <v>6</v>
      </c>
      <c r="B560" s="1">
        <v>45945</v>
      </c>
      <c r="C560" t="s">
        <v>519</v>
      </c>
      <c r="D560">
        <v>-35</v>
      </c>
      <c r="E560" t="s">
        <v>10</v>
      </c>
      <c r="F560">
        <v>3532.57</v>
      </c>
      <c r="G560" t="str" cm="1">
        <f t="array" ref="G560">IF(AND(ISNUMBER(SEARCH("UBER",C560)),ISNUMBER(SEARCH("EATS",C560))),"Uber Eats",IF(LEFT(C560,6)="CHECK ","Checks Paid",IF(OR(E560="BILLPAY",ISNUMBER(SEARCH("FRANCHISE TAX",C560)),ISNUMBER(SEARCH("NEXTLINK",C560))),"Personal - House Bills",IF(AND(ISNUMBER(SEARCH("PAYMENT FROM",C560)),ISNUMBER(SEARCH("JOE SAUNDERS",C560))),"Zelle from Joe Saunders",IF(AND(ISNUMBER(SEARCH("PAYMENT TO",C560)),ISNUMBER(SEARCH("JOE SAUNDERS",C560))),"Zelle to Joe Saunders",IF(OR(ISNUMBER(SEARCH("NEW ORLEANS",C560)),ISNUMBER(SEARCH("KENNER",C560)),ISNUMBER(SEARCH("HENRY HOWARD",C560)),ISNUMBER(SEARCH("MISS CLAUDIA",C560))),"Personal Travel - New Orleans",IF(AND(YEAR(B560)=2025,MONTH(B560)=4,OR(ISNUMBER(SEARCH("EXCHANGE RATE",C560)),ISNUMBER(SEARCH("EXCHG RTE",C560)))),"Personal Travel - Italy",IFERROR(INDEX('Category Rules'!$B$2:$B$358,MATCH(TRUE,ISNUMBER(SEARCH('Category Rules'!$A$2:$A$358,C560)),0)),""))))))))</f>
        <v>Personal Travel</v>
      </c>
    </row>
    <row r="561" spans="1:7" x14ac:dyDescent="0.25">
      <c r="A561" t="s">
        <v>6</v>
      </c>
      <c r="B561" s="1">
        <v>45945</v>
      </c>
      <c r="C561" t="s">
        <v>519</v>
      </c>
      <c r="D561">
        <v>-35</v>
      </c>
      <c r="E561" t="s">
        <v>10</v>
      </c>
      <c r="F561">
        <v>3567.57</v>
      </c>
      <c r="G561" t="str" cm="1">
        <f t="array" ref="G561">IF(AND(ISNUMBER(SEARCH("UBER",C561)),ISNUMBER(SEARCH("EATS",C561))),"Uber Eats",IF(LEFT(C561,6)="CHECK ","Checks Paid",IF(OR(E561="BILLPAY",ISNUMBER(SEARCH("FRANCHISE TAX",C561)),ISNUMBER(SEARCH("NEXTLINK",C561))),"Personal - House Bills",IF(AND(ISNUMBER(SEARCH("PAYMENT FROM",C561)),ISNUMBER(SEARCH("JOE SAUNDERS",C561))),"Zelle from Joe Saunders",IF(AND(ISNUMBER(SEARCH("PAYMENT TO",C561)),ISNUMBER(SEARCH("JOE SAUNDERS",C561))),"Zelle to Joe Saunders",IF(OR(ISNUMBER(SEARCH("NEW ORLEANS",C561)),ISNUMBER(SEARCH("KENNER",C561)),ISNUMBER(SEARCH("HENRY HOWARD",C561)),ISNUMBER(SEARCH("MISS CLAUDIA",C561))),"Personal Travel - New Orleans",IF(AND(YEAR(B561)=2025,MONTH(B561)=4,OR(ISNUMBER(SEARCH("EXCHANGE RATE",C561)),ISNUMBER(SEARCH("EXCHG RTE",C561)))),"Personal Travel - Italy",IFERROR(INDEX('Category Rules'!$B$2:$B$358,MATCH(TRUE,ISNUMBER(SEARCH('Category Rules'!$A$2:$A$358,C561)),0)),""))))))))</f>
        <v>Personal Travel</v>
      </c>
    </row>
    <row r="562" spans="1:7" x14ac:dyDescent="0.25">
      <c r="A562" t="s">
        <v>6</v>
      </c>
      <c r="B562" s="1">
        <v>45945</v>
      </c>
      <c r="C562" t="s">
        <v>519</v>
      </c>
      <c r="D562">
        <v>-45</v>
      </c>
      <c r="E562" t="s">
        <v>10</v>
      </c>
      <c r="F562">
        <v>3602.57</v>
      </c>
      <c r="G562" t="str" cm="1">
        <f t="array" ref="G562">IF(AND(ISNUMBER(SEARCH("UBER",C562)),ISNUMBER(SEARCH("EATS",C562))),"Uber Eats",IF(LEFT(C562,6)="CHECK ","Checks Paid",IF(OR(E562="BILLPAY",ISNUMBER(SEARCH("FRANCHISE TAX",C562)),ISNUMBER(SEARCH("NEXTLINK",C562))),"Personal - House Bills",IF(AND(ISNUMBER(SEARCH("PAYMENT FROM",C562)),ISNUMBER(SEARCH("JOE SAUNDERS",C562))),"Zelle from Joe Saunders",IF(AND(ISNUMBER(SEARCH("PAYMENT TO",C562)),ISNUMBER(SEARCH("JOE SAUNDERS",C562))),"Zelle to Joe Saunders",IF(OR(ISNUMBER(SEARCH("NEW ORLEANS",C562)),ISNUMBER(SEARCH("KENNER",C562)),ISNUMBER(SEARCH("HENRY HOWARD",C562)),ISNUMBER(SEARCH("MISS CLAUDIA",C562))),"Personal Travel - New Orleans",IF(AND(YEAR(B562)=2025,MONTH(B562)=4,OR(ISNUMBER(SEARCH("EXCHANGE RATE",C562)),ISNUMBER(SEARCH("EXCHG RTE",C562)))),"Personal Travel - Italy",IFERROR(INDEX('Category Rules'!$B$2:$B$358,MATCH(TRUE,ISNUMBER(SEARCH('Category Rules'!$A$2:$A$358,C562)),0)),""))))))))</f>
        <v>Personal Travel</v>
      </c>
    </row>
    <row r="563" spans="1:7" x14ac:dyDescent="0.25">
      <c r="A563" t="s">
        <v>6</v>
      </c>
      <c r="B563" s="1">
        <v>45945</v>
      </c>
      <c r="C563" t="s">
        <v>520</v>
      </c>
      <c r="D563">
        <v>-47</v>
      </c>
      <c r="E563" t="s">
        <v>10</v>
      </c>
      <c r="F563">
        <v>3647.57</v>
      </c>
      <c r="G563" t="str" cm="1">
        <f t="array" ref="G563">IF(AND(ISNUMBER(SEARCH("UBER",C563)),ISNUMBER(SEARCH("EATS",C563))),"Uber Eats",IF(LEFT(C563,6)="CHECK ","Checks Paid",IF(OR(E563="BILLPAY",ISNUMBER(SEARCH("FRANCHISE TAX",C563)),ISNUMBER(SEARCH("NEXTLINK",C563))),"Personal - House Bills",IF(AND(ISNUMBER(SEARCH("PAYMENT FROM",C563)),ISNUMBER(SEARCH("JOE SAUNDERS",C563))),"Zelle from Joe Saunders",IF(AND(ISNUMBER(SEARCH("PAYMENT TO",C563)),ISNUMBER(SEARCH("JOE SAUNDERS",C563))),"Zelle to Joe Saunders",IF(OR(ISNUMBER(SEARCH("NEW ORLEANS",C563)),ISNUMBER(SEARCH("KENNER",C563)),ISNUMBER(SEARCH("HENRY HOWARD",C563)),ISNUMBER(SEARCH("MISS CLAUDIA",C563))),"Personal Travel - New Orleans",IF(AND(YEAR(B563)=2025,MONTH(B563)=4,OR(ISNUMBER(SEARCH("EXCHANGE RATE",C563)),ISNUMBER(SEARCH("EXCHG RTE",C563)))),"Personal Travel - Italy",IFERROR(INDEX('Category Rules'!$B$2:$B$358,MATCH(TRUE,ISNUMBER(SEARCH('Category Rules'!$A$2:$A$358,C563)),0)),""))))))))</f>
        <v>Personal - Car</v>
      </c>
    </row>
    <row r="564" spans="1:7" x14ac:dyDescent="0.25">
      <c r="A564" t="s">
        <v>6</v>
      </c>
      <c r="B564" s="1">
        <v>45945</v>
      </c>
      <c r="C564" t="s">
        <v>521</v>
      </c>
      <c r="D564">
        <v>-16.989999999999998</v>
      </c>
      <c r="E564" t="s">
        <v>10</v>
      </c>
      <c r="F564">
        <v>3694.57</v>
      </c>
      <c r="G564" t="str" cm="1">
        <f t="array" ref="G564">IF(AND(ISNUMBER(SEARCH("UBER",C564)),ISNUMBER(SEARCH("EATS",C564))),"Uber Eats",IF(LEFT(C564,6)="CHECK ","Checks Paid",IF(OR(E564="BILLPAY",ISNUMBER(SEARCH("FRANCHISE TAX",C564)),ISNUMBER(SEARCH("NEXTLINK",C564))),"Personal - House Bills",IF(AND(ISNUMBER(SEARCH("PAYMENT FROM",C564)),ISNUMBER(SEARCH("JOE SAUNDERS",C564))),"Zelle from Joe Saunders",IF(AND(ISNUMBER(SEARCH("PAYMENT TO",C564)),ISNUMBER(SEARCH("JOE SAUNDERS",C564))),"Zelle to Joe Saunders",IF(OR(ISNUMBER(SEARCH("NEW ORLEANS",C564)),ISNUMBER(SEARCH("KENNER",C564)),ISNUMBER(SEARCH("HENRY HOWARD",C564)),ISNUMBER(SEARCH("MISS CLAUDIA",C564))),"Personal Travel - New Orleans",IF(AND(YEAR(B564)=2025,MONTH(B564)=4,OR(ISNUMBER(SEARCH("EXCHANGE RATE",C564)),ISNUMBER(SEARCH("EXCHG RTE",C564)))),"Personal Travel - Italy",IFERROR(INDEX('Category Rules'!$B$2:$B$358,MATCH(TRUE,ISNUMBER(SEARCH('Category Rules'!$A$2:$A$358,C564)),0)),""))))))))</f>
        <v>Amazon</v>
      </c>
    </row>
    <row r="565" spans="1:7" x14ac:dyDescent="0.25">
      <c r="A565" t="s">
        <v>6</v>
      </c>
      <c r="B565" s="1">
        <v>45945</v>
      </c>
      <c r="C565" t="s">
        <v>522</v>
      </c>
      <c r="D565">
        <v>-16.45</v>
      </c>
      <c r="E565" t="s">
        <v>10</v>
      </c>
      <c r="F565">
        <v>3711.56</v>
      </c>
      <c r="G565" t="str" cm="1">
        <f t="array" ref="G565">IF(AND(ISNUMBER(SEARCH("UBER",C565)),ISNUMBER(SEARCH("EATS",C565))),"Uber Eats",IF(LEFT(C565,6)="CHECK ","Checks Paid",IF(OR(E565="BILLPAY",ISNUMBER(SEARCH("FRANCHISE TAX",C565)),ISNUMBER(SEARCH("NEXTLINK",C565))),"Personal - House Bills",IF(AND(ISNUMBER(SEARCH("PAYMENT FROM",C565)),ISNUMBER(SEARCH("JOE SAUNDERS",C565))),"Zelle from Joe Saunders",IF(AND(ISNUMBER(SEARCH("PAYMENT TO",C565)),ISNUMBER(SEARCH("JOE SAUNDERS",C565))),"Zelle to Joe Saunders",IF(OR(ISNUMBER(SEARCH("NEW ORLEANS",C565)),ISNUMBER(SEARCH("KENNER",C565)),ISNUMBER(SEARCH("HENRY HOWARD",C565)),ISNUMBER(SEARCH("MISS CLAUDIA",C565))),"Personal Travel - New Orleans",IF(AND(YEAR(B565)=2025,MONTH(B565)=4,OR(ISNUMBER(SEARCH("EXCHANGE RATE",C565)),ISNUMBER(SEARCH("EXCHG RTE",C565)))),"Personal Travel - Italy",IFERROR(INDEX('Category Rules'!$B$2:$B$358,MATCH(TRUE,ISNUMBER(SEARCH('Category Rules'!$A$2:$A$358,C565)),0)),""))))))))</f>
        <v>Amazon</v>
      </c>
    </row>
    <row r="566" spans="1:7" x14ac:dyDescent="0.25">
      <c r="A566" t="s">
        <v>6</v>
      </c>
      <c r="B566" s="1">
        <v>45945</v>
      </c>
      <c r="C566" t="s">
        <v>523</v>
      </c>
      <c r="D566">
        <v>-59.99</v>
      </c>
      <c r="E566" t="s">
        <v>10</v>
      </c>
      <c r="F566">
        <v>3728.01</v>
      </c>
      <c r="G566" t="str" cm="1">
        <f t="array" ref="G566">IF(AND(ISNUMBER(SEARCH("UBER",C566)),ISNUMBER(SEARCH("EATS",C566))),"Uber Eats",IF(LEFT(C566,6)="CHECK ","Checks Paid",IF(OR(E566="BILLPAY",ISNUMBER(SEARCH("FRANCHISE TAX",C566)),ISNUMBER(SEARCH("NEXTLINK",C566))),"Personal - House Bills",IF(AND(ISNUMBER(SEARCH("PAYMENT FROM",C566)),ISNUMBER(SEARCH("JOE SAUNDERS",C566))),"Zelle from Joe Saunders",IF(AND(ISNUMBER(SEARCH("PAYMENT TO",C566)),ISNUMBER(SEARCH("JOE SAUNDERS",C566))),"Zelle to Joe Saunders",IF(OR(ISNUMBER(SEARCH("NEW ORLEANS",C566)),ISNUMBER(SEARCH("KENNER",C566)),ISNUMBER(SEARCH("HENRY HOWARD",C566)),ISNUMBER(SEARCH("MISS CLAUDIA",C566))),"Personal Travel - New Orleans",IF(AND(YEAR(B566)=2025,MONTH(B566)=4,OR(ISNUMBER(SEARCH("EXCHANGE RATE",C566)),ISNUMBER(SEARCH("EXCHG RTE",C566)))),"Personal Travel - Italy",IFERROR(INDEX('Category Rules'!$B$2:$B$358,MATCH(TRUE,ISNUMBER(SEARCH('Category Rules'!$A$2:$A$358,C566)),0)),""))))))))</f>
        <v>Apple</v>
      </c>
    </row>
    <row r="567" spans="1:7" x14ac:dyDescent="0.25">
      <c r="A567" t="s">
        <v>6</v>
      </c>
      <c r="B567" s="1">
        <v>45945</v>
      </c>
      <c r="C567" t="s">
        <v>524</v>
      </c>
      <c r="D567">
        <v>-140.81</v>
      </c>
      <c r="E567" t="s">
        <v>10</v>
      </c>
      <c r="F567">
        <v>3788</v>
      </c>
      <c r="G567" t="str" cm="1">
        <f t="array" ref="G567">IF(AND(ISNUMBER(SEARCH("UBER",C567)),ISNUMBER(SEARCH("EATS",C567))),"Uber Eats",IF(LEFT(C567,6)="CHECK ","Checks Paid",IF(OR(E567="BILLPAY",ISNUMBER(SEARCH("FRANCHISE TAX",C567)),ISNUMBER(SEARCH("NEXTLINK",C567))),"Personal - House Bills",IF(AND(ISNUMBER(SEARCH("PAYMENT FROM",C567)),ISNUMBER(SEARCH("JOE SAUNDERS",C567))),"Zelle from Joe Saunders",IF(AND(ISNUMBER(SEARCH("PAYMENT TO",C567)),ISNUMBER(SEARCH("JOE SAUNDERS",C567))),"Zelle to Joe Saunders",IF(OR(ISNUMBER(SEARCH("NEW ORLEANS",C567)),ISNUMBER(SEARCH("KENNER",C567)),ISNUMBER(SEARCH("HENRY HOWARD",C567)),ISNUMBER(SEARCH("MISS CLAUDIA",C567))),"Personal Travel - New Orleans",IF(AND(YEAR(B567)=2025,MONTH(B567)=4,OR(ISNUMBER(SEARCH("EXCHANGE RATE",C567)),ISNUMBER(SEARCH("EXCHG RTE",C567)))),"Personal Travel - Italy",IFERROR(INDEX('Category Rules'!$B$2:$B$358,MATCH(TRUE,ISNUMBER(SEARCH('Category Rules'!$A$2:$A$358,C567)),0)),""))))))))</f>
        <v>Personal - Food</v>
      </c>
    </row>
    <row r="568" spans="1:7" x14ac:dyDescent="0.25">
      <c r="A568" t="s">
        <v>6</v>
      </c>
      <c r="B568" s="1">
        <v>45945</v>
      </c>
      <c r="C568" t="s">
        <v>525</v>
      </c>
      <c r="D568">
        <v>-214.19</v>
      </c>
      <c r="E568" t="s">
        <v>10</v>
      </c>
      <c r="F568">
        <v>3928.81</v>
      </c>
      <c r="G568" t="str" cm="1">
        <f t="array" ref="G568">IF(AND(ISNUMBER(SEARCH("UBER",C568)),ISNUMBER(SEARCH("EATS",C568))),"Uber Eats",IF(LEFT(C568,6)="CHECK ","Checks Paid",IF(OR(E568="BILLPAY",ISNUMBER(SEARCH("FRANCHISE TAX",C568)),ISNUMBER(SEARCH("NEXTLINK",C568))),"Personal - House Bills",IF(AND(ISNUMBER(SEARCH("PAYMENT FROM",C568)),ISNUMBER(SEARCH("JOE SAUNDERS",C568))),"Zelle from Joe Saunders",IF(AND(ISNUMBER(SEARCH("PAYMENT TO",C568)),ISNUMBER(SEARCH("JOE SAUNDERS",C568))),"Zelle to Joe Saunders",IF(OR(ISNUMBER(SEARCH("NEW ORLEANS",C568)),ISNUMBER(SEARCH("KENNER",C568)),ISNUMBER(SEARCH("HENRY HOWARD",C568)),ISNUMBER(SEARCH("MISS CLAUDIA",C568))),"Personal Travel - New Orleans",IF(AND(YEAR(B568)=2025,MONTH(B568)=4,OR(ISNUMBER(SEARCH("EXCHANGE RATE",C568)),ISNUMBER(SEARCH("EXCHG RTE",C568)))),"Personal Travel - Italy",IFERROR(INDEX('Category Rules'!$B$2:$B$358,MATCH(TRUE,ISNUMBER(SEARCH('Category Rules'!$A$2:$A$358,C568)),0)),""))))))))</f>
        <v>Personal - Shopping</v>
      </c>
    </row>
    <row r="569" spans="1:7" x14ac:dyDescent="0.25">
      <c r="A569" t="s">
        <v>6</v>
      </c>
      <c r="B569" s="1">
        <v>45944</v>
      </c>
      <c r="C569" t="s">
        <v>526</v>
      </c>
      <c r="D569">
        <v>-19.920000000000002</v>
      </c>
      <c r="E569" t="s">
        <v>10</v>
      </c>
      <c r="F569">
        <v>4143</v>
      </c>
      <c r="G569" t="str" cm="1">
        <f t="array" ref="G569">IF(AND(ISNUMBER(SEARCH("UBER",C569)),ISNUMBER(SEARCH("EATS",C569))),"Uber Eats",IF(LEFT(C569,6)="CHECK ","Checks Paid",IF(OR(E569="BILLPAY",ISNUMBER(SEARCH("FRANCHISE TAX",C569)),ISNUMBER(SEARCH("NEXTLINK",C569))),"Personal - House Bills",IF(AND(ISNUMBER(SEARCH("PAYMENT FROM",C569)),ISNUMBER(SEARCH("JOE SAUNDERS",C569))),"Zelle from Joe Saunders",IF(AND(ISNUMBER(SEARCH("PAYMENT TO",C569)),ISNUMBER(SEARCH("JOE SAUNDERS",C569))),"Zelle to Joe Saunders",IF(OR(ISNUMBER(SEARCH("NEW ORLEANS",C569)),ISNUMBER(SEARCH("KENNER",C569)),ISNUMBER(SEARCH("HENRY HOWARD",C569)),ISNUMBER(SEARCH("MISS CLAUDIA",C569))),"Personal Travel - New Orleans",IF(AND(YEAR(B569)=2025,MONTH(B569)=4,OR(ISNUMBER(SEARCH("EXCHANGE RATE",C569)),ISNUMBER(SEARCH("EXCHG RTE",C569)))),"Personal Travel - Italy",IFERROR(INDEX('Category Rules'!$B$2:$B$358,MATCH(TRUE,ISNUMBER(SEARCH('Category Rules'!$A$2:$A$358,C569)),0)),""))))))))</f>
        <v>Uber Eats</v>
      </c>
    </row>
    <row r="570" spans="1:7" x14ac:dyDescent="0.25">
      <c r="A570" t="s">
        <v>6</v>
      </c>
      <c r="B570" s="1">
        <v>45944</v>
      </c>
      <c r="C570" t="s">
        <v>527</v>
      </c>
      <c r="D570">
        <v>-500</v>
      </c>
      <c r="E570" t="s">
        <v>26</v>
      </c>
      <c r="F570">
        <v>4162.92</v>
      </c>
      <c r="G570" t="str" cm="1">
        <f t="array" ref="G570">IF(AND(ISNUMBER(SEARCH("UBER",C570)),ISNUMBER(SEARCH("EATS",C570))),"Uber Eats",IF(LEFT(C570,6)="CHECK ","Checks Paid",IF(OR(E570="BILLPAY",ISNUMBER(SEARCH("FRANCHISE TAX",C570)),ISNUMBER(SEARCH("NEXTLINK",C570))),"Personal - House Bills",IF(AND(ISNUMBER(SEARCH("PAYMENT FROM",C570)),ISNUMBER(SEARCH("JOE SAUNDERS",C570))),"Zelle from Joe Saunders",IF(AND(ISNUMBER(SEARCH("PAYMENT TO",C570)),ISNUMBER(SEARCH("JOE SAUNDERS",C570))),"Zelle to Joe Saunders",IF(OR(ISNUMBER(SEARCH("NEW ORLEANS",C570)),ISNUMBER(SEARCH("KENNER",C570)),ISNUMBER(SEARCH("HENRY HOWARD",C570)),ISNUMBER(SEARCH("MISS CLAUDIA",C570))),"Personal Travel - New Orleans",IF(AND(YEAR(B570)=2025,MONTH(B570)=4,OR(ISNUMBER(SEARCH("EXCHANGE RATE",C570)),ISNUMBER(SEARCH("EXCHG RTE",C570)))),"Personal Travel - Italy",IFERROR(INDEX('Category Rules'!$B$2:$B$358,MATCH(TRUE,ISNUMBER(SEARCH('Category Rules'!$A$2:$A$358,C570)),0)),""))))))))</f>
        <v>Withdrawal</v>
      </c>
    </row>
    <row r="571" spans="1:7" x14ac:dyDescent="0.25">
      <c r="A571" t="s">
        <v>6</v>
      </c>
      <c r="B571" s="1">
        <v>45944</v>
      </c>
      <c r="C571" t="s">
        <v>528</v>
      </c>
      <c r="D571">
        <v>-186.27</v>
      </c>
      <c r="E571" t="s">
        <v>10</v>
      </c>
      <c r="F571">
        <v>4662.92</v>
      </c>
      <c r="G571" t="str" cm="1">
        <f t="array" ref="G571">IF(AND(ISNUMBER(SEARCH("UBER",C571)),ISNUMBER(SEARCH("EATS",C571))),"Uber Eats",IF(LEFT(C571,6)="CHECK ","Checks Paid",IF(OR(E571="BILLPAY",ISNUMBER(SEARCH("FRANCHISE TAX",C571)),ISNUMBER(SEARCH("NEXTLINK",C571))),"Personal - House Bills",IF(AND(ISNUMBER(SEARCH("PAYMENT FROM",C571)),ISNUMBER(SEARCH("JOE SAUNDERS",C571))),"Zelle from Joe Saunders",IF(AND(ISNUMBER(SEARCH("PAYMENT TO",C571)),ISNUMBER(SEARCH("JOE SAUNDERS",C571))),"Zelle to Joe Saunders",IF(OR(ISNUMBER(SEARCH("NEW ORLEANS",C571)),ISNUMBER(SEARCH("KENNER",C571)),ISNUMBER(SEARCH("HENRY HOWARD",C571)),ISNUMBER(SEARCH("MISS CLAUDIA",C571))),"Personal Travel - New Orleans",IF(AND(YEAR(B571)=2025,MONTH(B571)=4,OR(ISNUMBER(SEARCH("EXCHANGE RATE",C571)),ISNUMBER(SEARCH("EXCHG RTE",C571)))),"Personal Travel - Italy",IFERROR(INDEX('Category Rules'!$B$2:$B$358,MATCH(TRUE,ISNUMBER(SEARCH('Category Rules'!$A$2:$A$358,C571)),0)),""))))))))</f>
        <v>Personal - Health</v>
      </c>
    </row>
    <row r="572" spans="1:7" x14ac:dyDescent="0.25">
      <c r="A572" t="s">
        <v>6</v>
      </c>
      <c r="B572" s="1">
        <v>45944</v>
      </c>
      <c r="C572" t="s">
        <v>529</v>
      </c>
      <c r="D572">
        <v>-98.97</v>
      </c>
      <c r="E572" t="s">
        <v>10</v>
      </c>
      <c r="F572">
        <v>4849.1899999999996</v>
      </c>
      <c r="G572" t="str" cm="1">
        <f t="array" ref="G572">IF(AND(ISNUMBER(SEARCH("UBER",C572)),ISNUMBER(SEARCH("EATS",C572))),"Uber Eats",IF(LEFT(C572,6)="CHECK ","Checks Paid",IF(OR(E572="BILLPAY",ISNUMBER(SEARCH("FRANCHISE TAX",C572)),ISNUMBER(SEARCH("NEXTLINK",C572))),"Personal - House Bills",IF(AND(ISNUMBER(SEARCH("PAYMENT FROM",C572)),ISNUMBER(SEARCH("JOE SAUNDERS",C572))),"Zelle from Joe Saunders",IF(AND(ISNUMBER(SEARCH("PAYMENT TO",C572)),ISNUMBER(SEARCH("JOE SAUNDERS",C572))),"Zelle to Joe Saunders",IF(OR(ISNUMBER(SEARCH("NEW ORLEANS",C572)),ISNUMBER(SEARCH("KENNER",C572)),ISNUMBER(SEARCH("HENRY HOWARD",C572)),ISNUMBER(SEARCH("MISS CLAUDIA",C572))),"Personal Travel - New Orleans",IF(AND(YEAR(B572)=2025,MONTH(B572)=4,OR(ISNUMBER(SEARCH("EXCHANGE RATE",C572)),ISNUMBER(SEARCH("EXCHG RTE",C572)))),"Personal Travel - Italy",IFERROR(INDEX('Category Rules'!$B$2:$B$358,MATCH(TRUE,ISNUMBER(SEARCH('Category Rules'!$A$2:$A$358,C572)),0)),""))))))))</f>
        <v>Etsy</v>
      </c>
    </row>
    <row r="573" spans="1:7" x14ac:dyDescent="0.25">
      <c r="A573" t="s">
        <v>6</v>
      </c>
      <c r="B573" s="1">
        <v>45944</v>
      </c>
      <c r="C573" t="s">
        <v>530</v>
      </c>
      <c r="D573">
        <v>-24.3</v>
      </c>
      <c r="E573" t="s">
        <v>10</v>
      </c>
      <c r="F573">
        <v>4948.16</v>
      </c>
      <c r="G573" t="str" cm="1">
        <f t="array" ref="G573">IF(AND(ISNUMBER(SEARCH("UBER",C573)),ISNUMBER(SEARCH("EATS",C573))),"Uber Eats",IF(LEFT(C573,6)="CHECK ","Checks Paid",IF(OR(E573="BILLPAY",ISNUMBER(SEARCH("FRANCHISE TAX",C573)),ISNUMBER(SEARCH("NEXTLINK",C573))),"Personal - House Bills",IF(AND(ISNUMBER(SEARCH("PAYMENT FROM",C573)),ISNUMBER(SEARCH("JOE SAUNDERS",C573))),"Zelle from Joe Saunders",IF(AND(ISNUMBER(SEARCH("PAYMENT TO",C573)),ISNUMBER(SEARCH("JOE SAUNDERS",C573))),"Zelle to Joe Saunders",IF(OR(ISNUMBER(SEARCH("NEW ORLEANS",C573)),ISNUMBER(SEARCH("KENNER",C573)),ISNUMBER(SEARCH("HENRY HOWARD",C573)),ISNUMBER(SEARCH("MISS CLAUDIA",C573))),"Personal Travel - New Orleans",IF(AND(YEAR(B573)=2025,MONTH(B573)=4,OR(ISNUMBER(SEARCH("EXCHANGE RATE",C573)),ISNUMBER(SEARCH("EXCHG RTE",C573)))),"Personal Travel - Italy",IFERROR(INDEX('Category Rules'!$B$2:$B$358,MATCH(TRUE,ISNUMBER(SEARCH('Category Rules'!$A$2:$A$358,C573)),0)),""))))))))</f>
        <v>Etsy</v>
      </c>
    </row>
    <row r="574" spans="1:7" x14ac:dyDescent="0.25">
      <c r="A574" t="s">
        <v>6</v>
      </c>
      <c r="B574" s="1">
        <v>45944</v>
      </c>
      <c r="C574" t="s">
        <v>531</v>
      </c>
      <c r="D574">
        <v>-16.98</v>
      </c>
      <c r="E574" t="s">
        <v>10</v>
      </c>
      <c r="F574">
        <v>4972.46</v>
      </c>
      <c r="G574" t="str" cm="1">
        <f t="array" ref="G574">IF(AND(ISNUMBER(SEARCH("UBER",C574)),ISNUMBER(SEARCH("EATS",C574))),"Uber Eats",IF(LEFT(C574,6)="CHECK ","Checks Paid",IF(OR(E574="BILLPAY",ISNUMBER(SEARCH("FRANCHISE TAX",C574)),ISNUMBER(SEARCH("NEXTLINK",C574))),"Personal - House Bills",IF(AND(ISNUMBER(SEARCH("PAYMENT FROM",C574)),ISNUMBER(SEARCH("JOE SAUNDERS",C574))),"Zelle from Joe Saunders",IF(AND(ISNUMBER(SEARCH("PAYMENT TO",C574)),ISNUMBER(SEARCH("JOE SAUNDERS",C574))),"Zelle to Joe Saunders",IF(OR(ISNUMBER(SEARCH("NEW ORLEANS",C574)),ISNUMBER(SEARCH("KENNER",C574)),ISNUMBER(SEARCH("HENRY HOWARD",C574)),ISNUMBER(SEARCH("MISS CLAUDIA",C574))),"Personal Travel - New Orleans",IF(AND(YEAR(B574)=2025,MONTH(B574)=4,OR(ISNUMBER(SEARCH("EXCHANGE RATE",C574)),ISNUMBER(SEARCH("EXCHG RTE",C574)))),"Personal Travel - Italy",IFERROR(INDEX('Category Rules'!$B$2:$B$358,MATCH(TRUE,ISNUMBER(SEARCH('Category Rules'!$A$2:$A$358,C574)),0)),""))))))))</f>
        <v>Uber Eats</v>
      </c>
    </row>
    <row r="575" spans="1:7" x14ac:dyDescent="0.25">
      <c r="A575" t="s">
        <v>6</v>
      </c>
      <c r="B575" s="1">
        <v>45944</v>
      </c>
      <c r="C575" t="s">
        <v>532</v>
      </c>
      <c r="D575">
        <v>-9.8699999999999992</v>
      </c>
      <c r="E575" t="s">
        <v>10</v>
      </c>
      <c r="F575">
        <v>4989.4399999999996</v>
      </c>
      <c r="G575" t="str" cm="1">
        <f t="array" ref="G575">IF(AND(ISNUMBER(SEARCH("UBER",C575)),ISNUMBER(SEARCH("EATS",C575))),"Uber Eats",IF(LEFT(C575,6)="CHECK ","Checks Paid",IF(OR(E575="BILLPAY",ISNUMBER(SEARCH("FRANCHISE TAX",C575)),ISNUMBER(SEARCH("NEXTLINK",C575))),"Personal - House Bills",IF(AND(ISNUMBER(SEARCH("PAYMENT FROM",C575)),ISNUMBER(SEARCH("JOE SAUNDERS",C575))),"Zelle from Joe Saunders",IF(AND(ISNUMBER(SEARCH("PAYMENT TO",C575)),ISNUMBER(SEARCH("JOE SAUNDERS",C575))),"Zelle to Joe Saunders",IF(OR(ISNUMBER(SEARCH("NEW ORLEANS",C575)),ISNUMBER(SEARCH("KENNER",C575)),ISNUMBER(SEARCH("HENRY HOWARD",C575)),ISNUMBER(SEARCH("MISS CLAUDIA",C575))),"Personal Travel - New Orleans",IF(AND(YEAR(B575)=2025,MONTH(B575)=4,OR(ISNUMBER(SEARCH("EXCHANGE RATE",C575)),ISNUMBER(SEARCH("EXCHG RTE",C575)))),"Personal Travel - Italy",IFERROR(INDEX('Category Rules'!$B$2:$B$358,MATCH(TRUE,ISNUMBER(SEARCH('Category Rules'!$A$2:$A$358,C575)),0)),""))))))))</f>
        <v>Amazon</v>
      </c>
    </row>
    <row r="576" spans="1:7" x14ac:dyDescent="0.25">
      <c r="A576" t="s">
        <v>6</v>
      </c>
      <c r="B576" s="1">
        <v>45944</v>
      </c>
      <c r="C576" t="s">
        <v>533</v>
      </c>
      <c r="D576">
        <v>-32.93</v>
      </c>
      <c r="E576" t="s">
        <v>10</v>
      </c>
      <c r="F576">
        <v>4999.3100000000004</v>
      </c>
      <c r="G576" t="str" cm="1">
        <f t="array" ref="G576">IF(AND(ISNUMBER(SEARCH("UBER",C576)),ISNUMBER(SEARCH("EATS",C576))),"Uber Eats",IF(LEFT(C576,6)="CHECK ","Checks Paid",IF(OR(E576="BILLPAY",ISNUMBER(SEARCH("FRANCHISE TAX",C576)),ISNUMBER(SEARCH("NEXTLINK",C576))),"Personal - House Bills",IF(AND(ISNUMBER(SEARCH("PAYMENT FROM",C576)),ISNUMBER(SEARCH("JOE SAUNDERS",C576))),"Zelle from Joe Saunders",IF(AND(ISNUMBER(SEARCH("PAYMENT TO",C576)),ISNUMBER(SEARCH("JOE SAUNDERS",C576))),"Zelle to Joe Saunders",IF(OR(ISNUMBER(SEARCH("NEW ORLEANS",C576)),ISNUMBER(SEARCH("KENNER",C576)),ISNUMBER(SEARCH("HENRY HOWARD",C576)),ISNUMBER(SEARCH("MISS CLAUDIA",C576))),"Personal Travel - New Orleans",IF(AND(YEAR(B576)=2025,MONTH(B576)=4,OR(ISNUMBER(SEARCH("EXCHANGE RATE",C576)),ISNUMBER(SEARCH("EXCHG RTE",C576)))),"Personal Travel - Italy",IFERROR(INDEX('Category Rules'!$B$2:$B$358,MATCH(TRUE,ISNUMBER(SEARCH('Category Rules'!$A$2:$A$358,C576)),0)),""))))))))</f>
        <v>Amazon</v>
      </c>
    </row>
    <row r="577" spans="1:7" x14ac:dyDescent="0.25">
      <c r="A577" t="s">
        <v>6</v>
      </c>
      <c r="B577" s="1">
        <v>45944</v>
      </c>
      <c r="C577" t="s">
        <v>534</v>
      </c>
      <c r="D577">
        <v>-51.26</v>
      </c>
      <c r="E577" t="s">
        <v>10</v>
      </c>
      <c r="F577">
        <v>5032.24</v>
      </c>
      <c r="G577" t="str" cm="1">
        <f t="array" ref="G577">IF(AND(ISNUMBER(SEARCH("UBER",C577)),ISNUMBER(SEARCH("EATS",C577))),"Uber Eats",IF(LEFT(C577,6)="CHECK ","Checks Paid",IF(OR(E577="BILLPAY",ISNUMBER(SEARCH("FRANCHISE TAX",C577)),ISNUMBER(SEARCH("NEXTLINK",C577))),"Personal - House Bills",IF(AND(ISNUMBER(SEARCH("PAYMENT FROM",C577)),ISNUMBER(SEARCH("JOE SAUNDERS",C577))),"Zelle from Joe Saunders",IF(AND(ISNUMBER(SEARCH("PAYMENT TO",C577)),ISNUMBER(SEARCH("JOE SAUNDERS",C577))),"Zelle to Joe Saunders",IF(OR(ISNUMBER(SEARCH("NEW ORLEANS",C577)),ISNUMBER(SEARCH("KENNER",C577)),ISNUMBER(SEARCH("HENRY HOWARD",C577)),ISNUMBER(SEARCH("MISS CLAUDIA",C577))),"Personal Travel - New Orleans",IF(AND(YEAR(B577)=2025,MONTH(B577)=4,OR(ISNUMBER(SEARCH("EXCHANGE RATE",C577)),ISNUMBER(SEARCH("EXCHG RTE",C577)))),"Personal Travel - Italy",IFERROR(INDEX('Category Rules'!$B$2:$B$358,MATCH(TRUE,ISNUMBER(SEARCH('Category Rules'!$A$2:$A$358,C577)),0)),""))))))))</f>
        <v>Amazon</v>
      </c>
    </row>
    <row r="578" spans="1:7" x14ac:dyDescent="0.25">
      <c r="A578" t="s">
        <v>6</v>
      </c>
      <c r="B578" s="1">
        <v>45944</v>
      </c>
      <c r="C578" t="s">
        <v>535</v>
      </c>
      <c r="D578">
        <v>-20.8</v>
      </c>
      <c r="E578" t="s">
        <v>10</v>
      </c>
      <c r="F578">
        <v>5083.5</v>
      </c>
      <c r="G578" t="str" cm="1">
        <f t="array" ref="G578">IF(AND(ISNUMBER(SEARCH("UBER",C578)),ISNUMBER(SEARCH("EATS",C578))),"Uber Eats",IF(LEFT(C578,6)="CHECK ","Checks Paid",IF(OR(E578="BILLPAY",ISNUMBER(SEARCH("FRANCHISE TAX",C578)),ISNUMBER(SEARCH("NEXTLINK",C578))),"Personal - House Bills",IF(AND(ISNUMBER(SEARCH("PAYMENT FROM",C578)),ISNUMBER(SEARCH("JOE SAUNDERS",C578))),"Zelle from Joe Saunders",IF(AND(ISNUMBER(SEARCH("PAYMENT TO",C578)),ISNUMBER(SEARCH("JOE SAUNDERS",C578))),"Zelle to Joe Saunders",IF(OR(ISNUMBER(SEARCH("NEW ORLEANS",C578)),ISNUMBER(SEARCH("KENNER",C578)),ISNUMBER(SEARCH("HENRY HOWARD",C578)),ISNUMBER(SEARCH("MISS CLAUDIA",C578))),"Personal Travel - New Orleans",IF(AND(YEAR(B578)=2025,MONTH(B578)=4,OR(ISNUMBER(SEARCH("EXCHANGE RATE",C578)),ISNUMBER(SEARCH("EXCHG RTE",C578)))),"Personal Travel - Italy",IFERROR(INDEX('Category Rules'!$B$2:$B$358,MATCH(TRUE,ISNUMBER(SEARCH('Category Rules'!$A$2:$A$358,C578)),0)),""))))))))</f>
        <v>Personal - Food</v>
      </c>
    </row>
    <row r="579" spans="1:7" x14ac:dyDescent="0.25">
      <c r="A579" t="s">
        <v>6</v>
      </c>
      <c r="B579" s="1">
        <v>45944</v>
      </c>
      <c r="C579" t="s">
        <v>536</v>
      </c>
      <c r="D579">
        <v>-33.42</v>
      </c>
      <c r="E579" t="s">
        <v>10</v>
      </c>
      <c r="F579">
        <v>5104.3</v>
      </c>
      <c r="G579" t="str" cm="1">
        <f t="array" ref="G579">IF(AND(ISNUMBER(SEARCH("UBER",C579)),ISNUMBER(SEARCH("EATS",C579))),"Uber Eats",IF(LEFT(C579,6)="CHECK ","Checks Paid",IF(OR(E579="BILLPAY",ISNUMBER(SEARCH("FRANCHISE TAX",C579)),ISNUMBER(SEARCH("NEXTLINK",C579))),"Personal - House Bills",IF(AND(ISNUMBER(SEARCH("PAYMENT FROM",C579)),ISNUMBER(SEARCH("JOE SAUNDERS",C579))),"Zelle from Joe Saunders",IF(AND(ISNUMBER(SEARCH("PAYMENT TO",C579)),ISNUMBER(SEARCH("JOE SAUNDERS",C579))),"Zelle to Joe Saunders",IF(OR(ISNUMBER(SEARCH("NEW ORLEANS",C579)),ISNUMBER(SEARCH("KENNER",C579)),ISNUMBER(SEARCH("HENRY HOWARD",C579)),ISNUMBER(SEARCH("MISS CLAUDIA",C579))),"Personal Travel - New Orleans",IF(AND(YEAR(B579)=2025,MONTH(B579)=4,OR(ISNUMBER(SEARCH("EXCHANGE RATE",C579)),ISNUMBER(SEARCH("EXCHG RTE",C579)))),"Personal Travel - Italy",IFERROR(INDEX('Category Rules'!$B$2:$B$358,MATCH(TRUE,ISNUMBER(SEARCH('Category Rules'!$A$2:$A$358,C579)),0)),""))))))))</f>
        <v>Personal Travel</v>
      </c>
    </row>
    <row r="580" spans="1:7" x14ac:dyDescent="0.25">
      <c r="A580" t="s">
        <v>6</v>
      </c>
      <c r="B580" s="1">
        <v>45944</v>
      </c>
      <c r="C580" t="s">
        <v>537</v>
      </c>
      <c r="D580">
        <v>-40.93</v>
      </c>
      <c r="E580" t="s">
        <v>10</v>
      </c>
      <c r="F580">
        <v>5137.72</v>
      </c>
      <c r="G580" t="str" cm="1">
        <f t="array" ref="G580">IF(AND(ISNUMBER(SEARCH("UBER",C580)),ISNUMBER(SEARCH("EATS",C580))),"Uber Eats",IF(LEFT(C580,6)="CHECK ","Checks Paid",IF(OR(E580="BILLPAY",ISNUMBER(SEARCH("FRANCHISE TAX",C580)),ISNUMBER(SEARCH("NEXTLINK",C580))),"Personal - House Bills",IF(AND(ISNUMBER(SEARCH("PAYMENT FROM",C580)),ISNUMBER(SEARCH("JOE SAUNDERS",C580))),"Zelle from Joe Saunders",IF(AND(ISNUMBER(SEARCH("PAYMENT TO",C580)),ISNUMBER(SEARCH("JOE SAUNDERS",C580))),"Zelle to Joe Saunders",IF(OR(ISNUMBER(SEARCH("NEW ORLEANS",C580)),ISNUMBER(SEARCH("KENNER",C580)),ISNUMBER(SEARCH("HENRY HOWARD",C580)),ISNUMBER(SEARCH("MISS CLAUDIA",C580))),"Personal Travel - New Orleans",IF(AND(YEAR(B580)=2025,MONTH(B580)=4,OR(ISNUMBER(SEARCH("EXCHANGE RATE",C580)),ISNUMBER(SEARCH("EXCHG RTE",C580)))),"Personal Travel - Italy",IFERROR(INDEX('Category Rules'!$B$2:$B$358,MATCH(TRUE,ISNUMBER(SEARCH('Category Rules'!$A$2:$A$358,C580)),0)),""))))))))</f>
        <v>Personal - Health</v>
      </c>
    </row>
    <row r="581" spans="1:7" x14ac:dyDescent="0.25">
      <c r="A581" t="s">
        <v>6</v>
      </c>
      <c r="B581" s="1">
        <v>45944</v>
      </c>
      <c r="C581" t="s">
        <v>537</v>
      </c>
      <c r="D581">
        <v>-49.66</v>
      </c>
      <c r="E581" t="s">
        <v>10</v>
      </c>
      <c r="F581">
        <v>5178.6499999999996</v>
      </c>
      <c r="G581" t="str" cm="1">
        <f t="array" ref="G581">IF(AND(ISNUMBER(SEARCH("UBER",C581)),ISNUMBER(SEARCH("EATS",C581))),"Uber Eats",IF(LEFT(C581,6)="CHECK ","Checks Paid",IF(OR(E581="BILLPAY",ISNUMBER(SEARCH("FRANCHISE TAX",C581)),ISNUMBER(SEARCH("NEXTLINK",C581))),"Personal - House Bills",IF(AND(ISNUMBER(SEARCH("PAYMENT FROM",C581)),ISNUMBER(SEARCH("JOE SAUNDERS",C581))),"Zelle from Joe Saunders",IF(AND(ISNUMBER(SEARCH("PAYMENT TO",C581)),ISNUMBER(SEARCH("JOE SAUNDERS",C581))),"Zelle to Joe Saunders",IF(OR(ISNUMBER(SEARCH("NEW ORLEANS",C581)),ISNUMBER(SEARCH("KENNER",C581)),ISNUMBER(SEARCH("HENRY HOWARD",C581)),ISNUMBER(SEARCH("MISS CLAUDIA",C581))),"Personal Travel - New Orleans",IF(AND(YEAR(B581)=2025,MONTH(B581)=4,OR(ISNUMBER(SEARCH("EXCHANGE RATE",C581)),ISNUMBER(SEARCH("EXCHG RTE",C581)))),"Personal Travel - Italy",IFERROR(INDEX('Category Rules'!$B$2:$B$358,MATCH(TRUE,ISNUMBER(SEARCH('Category Rules'!$A$2:$A$358,C581)),0)),""))))))))</f>
        <v>Personal - Health</v>
      </c>
    </row>
    <row r="582" spans="1:7" x14ac:dyDescent="0.25">
      <c r="A582" t="s">
        <v>6</v>
      </c>
      <c r="B582" s="1">
        <v>45944</v>
      </c>
      <c r="C582" t="s">
        <v>538</v>
      </c>
      <c r="D582">
        <v>-40</v>
      </c>
      <c r="E582" t="s">
        <v>10</v>
      </c>
      <c r="F582">
        <v>5228.3100000000004</v>
      </c>
      <c r="G582" t="str" cm="1">
        <f t="array" ref="G582">IF(AND(ISNUMBER(SEARCH("UBER",C582)),ISNUMBER(SEARCH("EATS",C582))),"Uber Eats",IF(LEFT(C582,6)="CHECK ","Checks Paid",IF(OR(E582="BILLPAY",ISNUMBER(SEARCH("FRANCHISE TAX",C582)),ISNUMBER(SEARCH("NEXTLINK",C582))),"Personal - House Bills",IF(AND(ISNUMBER(SEARCH("PAYMENT FROM",C582)),ISNUMBER(SEARCH("JOE SAUNDERS",C582))),"Zelle from Joe Saunders",IF(AND(ISNUMBER(SEARCH("PAYMENT TO",C582)),ISNUMBER(SEARCH("JOE SAUNDERS",C582))),"Zelle to Joe Saunders",IF(OR(ISNUMBER(SEARCH("NEW ORLEANS",C582)),ISNUMBER(SEARCH("KENNER",C582)),ISNUMBER(SEARCH("HENRY HOWARD",C582)),ISNUMBER(SEARCH("MISS CLAUDIA",C582))),"Personal Travel - New Orleans",IF(AND(YEAR(B582)=2025,MONTH(B582)=4,OR(ISNUMBER(SEARCH("EXCHANGE RATE",C582)),ISNUMBER(SEARCH("EXCHG RTE",C582)))),"Personal Travel - Italy",IFERROR(INDEX('Category Rules'!$B$2:$B$358,MATCH(TRUE,ISNUMBER(SEARCH('Category Rules'!$A$2:$A$358,C582)),0)),""))))))))</f>
        <v>Personal Travel</v>
      </c>
    </row>
    <row r="583" spans="1:7" x14ac:dyDescent="0.25">
      <c r="A583" t="s">
        <v>6</v>
      </c>
      <c r="B583" s="1">
        <v>45944</v>
      </c>
      <c r="C583" t="s">
        <v>538</v>
      </c>
      <c r="D583">
        <v>-40</v>
      </c>
      <c r="E583" t="s">
        <v>10</v>
      </c>
      <c r="F583">
        <v>5268.31</v>
      </c>
      <c r="G583" t="str" cm="1">
        <f t="array" ref="G583">IF(AND(ISNUMBER(SEARCH("UBER",C583)),ISNUMBER(SEARCH("EATS",C583))),"Uber Eats",IF(LEFT(C583,6)="CHECK ","Checks Paid",IF(OR(E583="BILLPAY",ISNUMBER(SEARCH("FRANCHISE TAX",C583)),ISNUMBER(SEARCH("NEXTLINK",C583))),"Personal - House Bills",IF(AND(ISNUMBER(SEARCH("PAYMENT FROM",C583)),ISNUMBER(SEARCH("JOE SAUNDERS",C583))),"Zelle from Joe Saunders",IF(AND(ISNUMBER(SEARCH("PAYMENT TO",C583)),ISNUMBER(SEARCH("JOE SAUNDERS",C583))),"Zelle to Joe Saunders",IF(OR(ISNUMBER(SEARCH("NEW ORLEANS",C583)),ISNUMBER(SEARCH("KENNER",C583)),ISNUMBER(SEARCH("HENRY HOWARD",C583)),ISNUMBER(SEARCH("MISS CLAUDIA",C583))),"Personal Travel - New Orleans",IF(AND(YEAR(B583)=2025,MONTH(B583)=4,OR(ISNUMBER(SEARCH("EXCHANGE RATE",C583)),ISNUMBER(SEARCH("EXCHG RTE",C583)))),"Personal Travel - Italy",IFERROR(INDEX('Category Rules'!$B$2:$B$358,MATCH(TRUE,ISNUMBER(SEARCH('Category Rules'!$A$2:$A$358,C583)),0)),""))))))))</f>
        <v>Personal Travel</v>
      </c>
    </row>
    <row r="584" spans="1:7" x14ac:dyDescent="0.25">
      <c r="A584" t="s">
        <v>6</v>
      </c>
      <c r="B584" s="1">
        <v>45944</v>
      </c>
      <c r="C584" t="s">
        <v>538</v>
      </c>
      <c r="D584">
        <v>-50</v>
      </c>
      <c r="E584" t="s">
        <v>10</v>
      </c>
      <c r="F584">
        <v>5308.31</v>
      </c>
      <c r="G584" t="str" cm="1">
        <f t="array" ref="G584">IF(AND(ISNUMBER(SEARCH("UBER",C584)),ISNUMBER(SEARCH("EATS",C584))),"Uber Eats",IF(LEFT(C584,6)="CHECK ","Checks Paid",IF(OR(E584="BILLPAY",ISNUMBER(SEARCH("FRANCHISE TAX",C584)),ISNUMBER(SEARCH("NEXTLINK",C584))),"Personal - House Bills",IF(AND(ISNUMBER(SEARCH("PAYMENT FROM",C584)),ISNUMBER(SEARCH("JOE SAUNDERS",C584))),"Zelle from Joe Saunders",IF(AND(ISNUMBER(SEARCH("PAYMENT TO",C584)),ISNUMBER(SEARCH("JOE SAUNDERS",C584))),"Zelle to Joe Saunders",IF(OR(ISNUMBER(SEARCH("NEW ORLEANS",C584)),ISNUMBER(SEARCH("KENNER",C584)),ISNUMBER(SEARCH("HENRY HOWARD",C584)),ISNUMBER(SEARCH("MISS CLAUDIA",C584))),"Personal Travel - New Orleans",IF(AND(YEAR(B584)=2025,MONTH(B584)=4,OR(ISNUMBER(SEARCH("EXCHANGE RATE",C584)),ISNUMBER(SEARCH("EXCHG RTE",C584)))),"Personal Travel - Italy",IFERROR(INDEX('Category Rules'!$B$2:$B$358,MATCH(TRUE,ISNUMBER(SEARCH('Category Rules'!$A$2:$A$358,C584)),0)),""))))))))</f>
        <v>Personal Travel</v>
      </c>
    </row>
    <row r="585" spans="1:7" x14ac:dyDescent="0.25">
      <c r="A585" t="s">
        <v>6</v>
      </c>
      <c r="B585" s="1">
        <v>45944</v>
      </c>
      <c r="C585" t="s">
        <v>539</v>
      </c>
      <c r="D585">
        <v>-15.98</v>
      </c>
      <c r="E585" t="s">
        <v>10</v>
      </c>
      <c r="F585">
        <v>5358.31</v>
      </c>
      <c r="G585" t="str" cm="1">
        <f t="array" ref="G585">IF(AND(ISNUMBER(SEARCH("UBER",C585)),ISNUMBER(SEARCH("EATS",C585))),"Uber Eats",IF(LEFT(C585,6)="CHECK ","Checks Paid",IF(OR(E585="BILLPAY",ISNUMBER(SEARCH("FRANCHISE TAX",C585)),ISNUMBER(SEARCH("NEXTLINK",C585))),"Personal - House Bills",IF(AND(ISNUMBER(SEARCH("PAYMENT FROM",C585)),ISNUMBER(SEARCH("JOE SAUNDERS",C585))),"Zelle from Joe Saunders",IF(AND(ISNUMBER(SEARCH("PAYMENT TO",C585)),ISNUMBER(SEARCH("JOE SAUNDERS",C585))),"Zelle to Joe Saunders",IF(OR(ISNUMBER(SEARCH("NEW ORLEANS",C585)),ISNUMBER(SEARCH("KENNER",C585)),ISNUMBER(SEARCH("HENRY HOWARD",C585)),ISNUMBER(SEARCH("MISS CLAUDIA",C585))),"Personal Travel - New Orleans",IF(AND(YEAR(B585)=2025,MONTH(B585)=4,OR(ISNUMBER(SEARCH("EXCHANGE RATE",C585)),ISNUMBER(SEARCH("EXCHG RTE",C585)))),"Personal Travel - Italy",IFERROR(INDEX('Category Rules'!$B$2:$B$358,MATCH(TRUE,ISNUMBER(SEARCH('Category Rules'!$A$2:$A$358,C585)),0)),""))))))))</f>
        <v>Uber Eats</v>
      </c>
    </row>
    <row r="586" spans="1:7" x14ac:dyDescent="0.25">
      <c r="A586" t="s">
        <v>6</v>
      </c>
      <c r="B586" s="1">
        <v>45944</v>
      </c>
      <c r="C586" t="s">
        <v>540</v>
      </c>
      <c r="D586">
        <v>-145.6</v>
      </c>
      <c r="E586" t="s">
        <v>10</v>
      </c>
      <c r="F586">
        <v>5374.29</v>
      </c>
      <c r="G586" t="str" cm="1">
        <f t="array" ref="G586">IF(AND(ISNUMBER(SEARCH("UBER",C586)),ISNUMBER(SEARCH("EATS",C586))),"Uber Eats",IF(LEFT(C586,6)="CHECK ","Checks Paid",IF(OR(E586="BILLPAY",ISNUMBER(SEARCH("FRANCHISE TAX",C586)),ISNUMBER(SEARCH("NEXTLINK",C586))),"Personal - House Bills",IF(AND(ISNUMBER(SEARCH("PAYMENT FROM",C586)),ISNUMBER(SEARCH("JOE SAUNDERS",C586))),"Zelle from Joe Saunders",IF(AND(ISNUMBER(SEARCH("PAYMENT TO",C586)),ISNUMBER(SEARCH("JOE SAUNDERS",C586))),"Zelle to Joe Saunders",IF(OR(ISNUMBER(SEARCH("NEW ORLEANS",C586)),ISNUMBER(SEARCH("KENNER",C586)),ISNUMBER(SEARCH("HENRY HOWARD",C586)),ISNUMBER(SEARCH("MISS CLAUDIA",C586))),"Personal Travel - New Orleans",IF(AND(YEAR(B586)=2025,MONTH(B586)=4,OR(ISNUMBER(SEARCH("EXCHANGE RATE",C586)),ISNUMBER(SEARCH("EXCHG RTE",C586)))),"Personal Travel - Italy",IFERROR(INDEX('Category Rules'!$B$2:$B$358,MATCH(TRUE,ISNUMBER(SEARCH('Category Rules'!$A$2:$A$358,C586)),0)),""))))))))</f>
        <v>Personal - Food</v>
      </c>
    </row>
    <row r="587" spans="1:7" x14ac:dyDescent="0.25">
      <c r="A587" t="s">
        <v>6</v>
      </c>
      <c r="B587" s="1">
        <v>45944</v>
      </c>
      <c r="C587" t="s">
        <v>536</v>
      </c>
      <c r="D587">
        <v>-593.26</v>
      </c>
      <c r="E587" t="s">
        <v>10</v>
      </c>
      <c r="F587">
        <v>5519.89</v>
      </c>
      <c r="G587" t="str" cm="1">
        <f t="array" ref="G587">IF(AND(ISNUMBER(SEARCH("UBER",C587)),ISNUMBER(SEARCH("EATS",C587))),"Uber Eats",IF(LEFT(C587,6)="CHECK ","Checks Paid",IF(OR(E587="BILLPAY",ISNUMBER(SEARCH("FRANCHISE TAX",C587)),ISNUMBER(SEARCH("NEXTLINK",C587))),"Personal - House Bills",IF(AND(ISNUMBER(SEARCH("PAYMENT FROM",C587)),ISNUMBER(SEARCH("JOE SAUNDERS",C587))),"Zelle from Joe Saunders",IF(AND(ISNUMBER(SEARCH("PAYMENT TO",C587)),ISNUMBER(SEARCH("JOE SAUNDERS",C587))),"Zelle to Joe Saunders",IF(OR(ISNUMBER(SEARCH("NEW ORLEANS",C587)),ISNUMBER(SEARCH("KENNER",C587)),ISNUMBER(SEARCH("HENRY HOWARD",C587)),ISNUMBER(SEARCH("MISS CLAUDIA",C587))),"Personal Travel - New Orleans",IF(AND(YEAR(B587)=2025,MONTH(B587)=4,OR(ISNUMBER(SEARCH("EXCHANGE RATE",C587)),ISNUMBER(SEARCH("EXCHG RTE",C587)))),"Personal Travel - Italy",IFERROR(INDEX('Category Rules'!$B$2:$B$358,MATCH(TRUE,ISNUMBER(SEARCH('Category Rules'!$A$2:$A$358,C587)),0)),""))))))))</f>
        <v>Personal Travel</v>
      </c>
    </row>
    <row r="588" spans="1:7" x14ac:dyDescent="0.25">
      <c r="A588" t="s">
        <v>6</v>
      </c>
      <c r="B588" s="1">
        <v>45944</v>
      </c>
      <c r="C588" t="s">
        <v>541</v>
      </c>
      <c r="D588">
        <v>-40.93</v>
      </c>
      <c r="E588" t="s">
        <v>10</v>
      </c>
      <c r="F588">
        <v>6113.15</v>
      </c>
      <c r="G588" t="str" cm="1">
        <f t="array" ref="G588">IF(AND(ISNUMBER(SEARCH("UBER",C588)),ISNUMBER(SEARCH("EATS",C588))),"Uber Eats",IF(LEFT(C588,6)="CHECK ","Checks Paid",IF(OR(E588="BILLPAY",ISNUMBER(SEARCH("FRANCHISE TAX",C588)),ISNUMBER(SEARCH("NEXTLINK",C588))),"Personal - House Bills",IF(AND(ISNUMBER(SEARCH("PAYMENT FROM",C588)),ISNUMBER(SEARCH("JOE SAUNDERS",C588))),"Zelle from Joe Saunders",IF(AND(ISNUMBER(SEARCH("PAYMENT TO",C588)),ISNUMBER(SEARCH("JOE SAUNDERS",C588))),"Zelle to Joe Saunders",IF(OR(ISNUMBER(SEARCH("NEW ORLEANS",C588)),ISNUMBER(SEARCH("KENNER",C588)),ISNUMBER(SEARCH("HENRY HOWARD",C588)),ISNUMBER(SEARCH("MISS CLAUDIA",C588))),"Personal Travel - New Orleans",IF(AND(YEAR(B588)=2025,MONTH(B588)=4,OR(ISNUMBER(SEARCH("EXCHANGE RATE",C588)),ISNUMBER(SEARCH("EXCHG RTE",C588)))),"Personal Travel - Italy",IFERROR(INDEX('Category Rules'!$B$2:$B$358,MATCH(TRUE,ISNUMBER(SEARCH('Category Rules'!$A$2:$A$358,C588)),0)),""))))))))</f>
        <v>Personal - Health</v>
      </c>
    </row>
    <row r="589" spans="1:7" x14ac:dyDescent="0.25">
      <c r="A589" t="s">
        <v>6</v>
      </c>
      <c r="B589" s="1">
        <v>45944</v>
      </c>
      <c r="C589" t="s">
        <v>542</v>
      </c>
      <c r="D589">
        <v>-143.9</v>
      </c>
      <c r="E589" t="s">
        <v>10</v>
      </c>
      <c r="F589">
        <v>6154.08</v>
      </c>
      <c r="G589" t="str" cm="1">
        <f t="array" ref="G589">IF(AND(ISNUMBER(SEARCH("UBER",C589)),ISNUMBER(SEARCH("EATS",C589))),"Uber Eats",IF(LEFT(C589,6)="CHECK ","Checks Paid",IF(OR(E589="BILLPAY",ISNUMBER(SEARCH("FRANCHISE TAX",C589)),ISNUMBER(SEARCH("NEXTLINK",C589))),"Personal - House Bills",IF(AND(ISNUMBER(SEARCH("PAYMENT FROM",C589)),ISNUMBER(SEARCH("JOE SAUNDERS",C589))),"Zelle from Joe Saunders",IF(AND(ISNUMBER(SEARCH("PAYMENT TO",C589)),ISNUMBER(SEARCH("JOE SAUNDERS",C589))),"Zelle to Joe Saunders",IF(OR(ISNUMBER(SEARCH("NEW ORLEANS",C589)),ISNUMBER(SEARCH("KENNER",C589)),ISNUMBER(SEARCH("HENRY HOWARD",C589)),ISNUMBER(SEARCH("MISS CLAUDIA",C589))),"Personal Travel - New Orleans",IF(AND(YEAR(B589)=2025,MONTH(B589)=4,OR(ISNUMBER(SEARCH("EXCHANGE RATE",C589)),ISNUMBER(SEARCH("EXCHG RTE",C589)))),"Personal Travel - Italy",IFERROR(INDEX('Category Rules'!$B$2:$B$358,MATCH(TRUE,ISNUMBER(SEARCH('Category Rules'!$A$2:$A$358,C589)),0)),""))))))))</f>
        <v>Personal - Food</v>
      </c>
    </row>
    <row r="590" spans="1:7" x14ac:dyDescent="0.25">
      <c r="A590" t="s">
        <v>6</v>
      </c>
      <c r="B590" s="1">
        <v>45944</v>
      </c>
      <c r="C590" t="s">
        <v>543</v>
      </c>
      <c r="D590">
        <v>-2152.66</v>
      </c>
      <c r="E590" t="s">
        <v>10</v>
      </c>
      <c r="F590">
        <v>6297.98</v>
      </c>
      <c r="G590" t="str" cm="1">
        <f t="array" ref="G590">IF(AND(ISNUMBER(SEARCH("UBER",C590)),ISNUMBER(SEARCH("EATS",C590))),"Uber Eats",IF(LEFT(C590,6)="CHECK ","Checks Paid",IF(OR(E590="BILLPAY",ISNUMBER(SEARCH("FRANCHISE TAX",C590)),ISNUMBER(SEARCH("NEXTLINK",C590))),"Personal - House Bills",IF(AND(ISNUMBER(SEARCH("PAYMENT FROM",C590)),ISNUMBER(SEARCH("JOE SAUNDERS",C590))),"Zelle from Joe Saunders",IF(AND(ISNUMBER(SEARCH("PAYMENT TO",C590)),ISNUMBER(SEARCH("JOE SAUNDERS",C590))),"Zelle to Joe Saunders",IF(OR(ISNUMBER(SEARCH("NEW ORLEANS",C590)),ISNUMBER(SEARCH("KENNER",C590)),ISNUMBER(SEARCH("HENRY HOWARD",C590)),ISNUMBER(SEARCH("MISS CLAUDIA",C590))),"Personal Travel - New Orleans",IF(AND(YEAR(B590)=2025,MONTH(B590)=4,OR(ISNUMBER(SEARCH("EXCHANGE RATE",C590)),ISNUMBER(SEARCH("EXCHG RTE",C590)))),"Personal Travel - Italy",IFERROR(INDEX('Category Rules'!$B$2:$B$358,MATCH(TRUE,ISNUMBER(SEARCH('Category Rules'!$A$2:$A$358,C590)),0)),""))))))))</f>
        <v>Personal Travel</v>
      </c>
    </row>
    <row r="591" spans="1:7" x14ac:dyDescent="0.25">
      <c r="A591" t="s">
        <v>44</v>
      </c>
      <c r="B591" s="1">
        <v>45944</v>
      </c>
      <c r="C591" t="s">
        <v>544</v>
      </c>
      <c r="D591">
        <v>2000</v>
      </c>
      <c r="E591" t="s">
        <v>73</v>
      </c>
      <c r="F591">
        <v>8450.64</v>
      </c>
      <c r="G591" t="str" cm="1">
        <f t="array" ref="G591">IF(AND(ISNUMBER(SEARCH("UBER",C591)),ISNUMBER(SEARCH("EATS",C591))),"Uber Eats",IF(LEFT(C591,6)="CHECK ","Checks Paid",IF(OR(E591="BILLPAY",ISNUMBER(SEARCH("FRANCHISE TAX",C591)),ISNUMBER(SEARCH("NEXTLINK",C591))),"Personal - House Bills",IF(AND(ISNUMBER(SEARCH("PAYMENT FROM",C591)),ISNUMBER(SEARCH("JOE SAUNDERS",C591))),"Zelle from Joe Saunders",IF(AND(ISNUMBER(SEARCH("PAYMENT TO",C591)),ISNUMBER(SEARCH("JOE SAUNDERS",C591))),"Zelle to Joe Saunders",IF(OR(ISNUMBER(SEARCH("NEW ORLEANS",C591)),ISNUMBER(SEARCH("KENNER",C591)),ISNUMBER(SEARCH("HENRY HOWARD",C591)),ISNUMBER(SEARCH("MISS CLAUDIA",C591))),"Personal Travel - New Orleans",IF(AND(YEAR(B591)=2025,MONTH(B591)=4,OR(ISNUMBER(SEARCH("EXCHANGE RATE",C591)),ISNUMBER(SEARCH("EXCHG RTE",C591)))),"Personal Travel - Italy",IFERROR(INDEX('Category Rules'!$B$2:$B$358,MATCH(TRUE,ISNUMBER(SEARCH('Category Rules'!$A$2:$A$358,C591)),0)),""))))))))</f>
        <v>Transfer from DWG Capital Group</v>
      </c>
    </row>
    <row r="592" spans="1:7" x14ac:dyDescent="0.25">
      <c r="A592" t="s">
        <v>44</v>
      </c>
      <c r="B592" s="1">
        <v>45944</v>
      </c>
      <c r="C592" t="s">
        <v>545</v>
      </c>
      <c r="D592">
        <v>2000</v>
      </c>
      <c r="E592" t="s">
        <v>73</v>
      </c>
      <c r="F592">
        <v>6450.64</v>
      </c>
      <c r="G592" t="str" cm="1">
        <f t="array" ref="G592">IF(AND(ISNUMBER(SEARCH("UBER",C592)),ISNUMBER(SEARCH("EATS",C592))),"Uber Eats",IF(LEFT(C592,6)="CHECK ","Checks Paid",IF(OR(E592="BILLPAY",ISNUMBER(SEARCH("FRANCHISE TAX",C592)),ISNUMBER(SEARCH("NEXTLINK",C592))),"Personal - House Bills",IF(AND(ISNUMBER(SEARCH("PAYMENT FROM",C592)),ISNUMBER(SEARCH("JOE SAUNDERS",C592))),"Zelle from Joe Saunders",IF(AND(ISNUMBER(SEARCH("PAYMENT TO",C592)),ISNUMBER(SEARCH("JOE SAUNDERS",C592))),"Zelle to Joe Saunders",IF(OR(ISNUMBER(SEARCH("NEW ORLEANS",C592)),ISNUMBER(SEARCH("KENNER",C592)),ISNUMBER(SEARCH("HENRY HOWARD",C592)),ISNUMBER(SEARCH("MISS CLAUDIA",C592))),"Personal Travel - New Orleans",IF(AND(YEAR(B592)=2025,MONTH(B592)=4,OR(ISNUMBER(SEARCH("EXCHANGE RATE",C592)),ISNUMBER(SEARCH("EXCHG RTE",C592)))),"Personal Travel - Italy",IFERROR(INDEX('Category Rules'!$B$2:$B$358,MATCH(TRUE,ISNUMBER(SEARCH('Category Rules'!$A$2:$A$358,C592)),0)),""))))))))</f>
        <v>Transfer from DWG Capital Group</v>
      </c>
    </row>
    <row r="593" spans="1:7" x14ac:dyDescent="0.25">
      <c r="A593" t="s">
        <v>6</v>
      </c>
      <c r="B593" s="1">
        <v>45940</v>
      </c>
      <c r="C593" t="s">
        <v>546</v>
      </c>
      <c r="D593">
        <v>-32.86</v>
      </c>
      <c r="E593" t="s">
        <v>10</v>
      </c>
      <c r="F593">
        <v>4450.6400000000003</v>
      </c>
      <c r="G593" t="str" cm="1">
        <f t="array" ref="G593">IF(AND(ISNUMBER(SEARCH("UBER",C593)),ISNUMBER(SEARCH("EATS",C593))),"Uber Eats",IF(LEFT(C593,6)="CHECK ","Checks Paid",IF(OR(E593="BILLPAY",ISNUMBER(SEARCH("FRANCHISE TAX",C593)),ISNUMBER(SEARCH("NEXTLINK",C593))),"Personal - House Bills",IF(AND(ISNUMBER(SEARCH("PAYMENT FROM",C593)),ISNUMBER(SEARCH("JOE SAUNDERS",C593))),"Zelle from Joe Saunders",IF(AND(ISNUMBER(SEARCH("PAYMENT TO",C593)),ISNUMBER(SEARCH("JOE SAUNDERS",C593))),"Zelle to Joe Saunders",IF(OR(ISNUMBER(SEARCH("NEW ORLEANS",C593)),ISNUMBER(SEARCH("KENNER",C593)),ISNUMBER(SEARCH("HENRY HOWARD",C593)),ISNUMBER(SEARCH("MISS CLAUDIA",C593))),"Personal Travel - New Orleans",IF(AND(YEAR(B593)=2025,MONTH(B593)=4,OR(ISNUMBER(SEARCH("EXCHANGE RATE",C593)),ISNUMBER(SEARCH("EXCHG RTE",C593)))),"Personal Travel - Italy",IFERROR(INDEX('Category Rules'!$B$2:$B$358,MATCH(TRUE,ISNUMBER(SEARCH('Category Rules'!$A$2:$A$358,C593)),0)),""))))))))</f>
        <v>Personal - Health</v>
      </c>
    </row>
    <row r="594" spans="1:7" x14ac:dyDescent="0.25">
      <c r="A594" t="s">
        <v>6</v>
      </c>
      <c r="B594" s="1">
        <v>45940</v>
      </c>
      <c r="C594" t="s">
        <v>547</v>
      </c>
      <c r="D594">
        <v>-18.93</v>
      </c>
      <c r="E594" t="s">
        <v>10</v>
      </c>
      <c r="F594">
        <v>4483.5</v>
      </c>
      <c r="G594" t="str" cm="1">
        <f t="array" ref="G594">IF(AND(ISNUMBER(SEARCH("UBER",C594)),ISNUMBER(SEARCH("EATS",C594))),"Uber Eats",IF(LEFT(C594,6)="CHECK ","Checks Paid",IF(OR(E594="BILLPAY",ISNUMBER(SEARCH("FRANCHISE TAX",C594)),ISNUMBER(SEARCH("NEXTLINK",C594))),"Personal - House Bills",IF(AND(ISNUMBER(SEARCH("PAYMENT FROM",C594)),ISNUMBER(SEARCH("JOE SAUNDERS",C594))),"Zelle from Joe Saunders",IF(AND(ISNUMBER(SEARCH("PAYMENT TO",C594)),ISNUMBER(SEARCH("JOE SAUNDERS",C594))),"Zelle to Joe Saunders",IF(OR(ISNUMBER(SEARCH("NEW ORLEANS",C594)),ISNUMBER(SEARCH("KENNER",C594)),ISNUMBER(SEARCH("HENRY HOWARD",C594)),ISNUMBER(SEARCH("MISS CLAUDIA",C594))),"Personal Travel - New Orleans",IF(AND(YEAR(B594)=2025,MONTH(B594)=4,OR(ISNUMBER(SEARCH("EXCHANGE RATE",C594)),ISNUMBER(SEARCH("EXCHG RTE",C594)))),"Personal Travel - Italy",IFERROR(INDEX('Category Rules'!$B$2:$B$358,MATCH(TRUE,ISNUMBER(SEARCH('Category Rules'!$A$2:$A$358,C594)),0)),""))))))))</f>
        <v>Uber Eats</v>
      </c>
    </row>
    <row r="595" spans="1:7" x14ac:dyDescent="0.25">
      <c r="A595" t="s">
        <v>6</v>
      </c>
      <c r="B595" s="1">
        <v>45940</v>
      </c>
      <c r="C595" t="s">
        <v>548</v>
      </c>
      <c r="D595">
        <v>-17</v>
      </c>
      <c r="E595" t="s">
        <v>10</v>
      </c>
      <c r="F595">
        <v>4502.43</v>
      </c>
      <c r="G595" t="str" cm="1">
        <f t="array" ref="G595">IF(AND(ISNUMBER(SEARCH("UBER",C595)),ISNUMBER(SEARCH("EATS",C595))),"Uber Eats",IF(LEFT(C595,6)="CHECK ","Checks Paid",IF(OR(E595="BILLPAY",ISNUMBER(SEARCH("FRANCHISE TAX",C595)),ISNUMBER(SEARCH("NEXTLINK",C595))),"Personal - House Bills",IF(AND(ISNUMBER(SEARCH("PAYMENT FROM",C595)),ISNUMBER(SEARCH("JOE SAUNDERS",C595))),"Zelle from Joe Saunders",IF(AND(ISNUMBER(SEARCH("PAYMENT TO",C595)),ISNUMBER(SEARCH("JOE SAUNDERS",C595))),"Zelle to Joe Saunders",IF(OR(ISNUMBER(SEARCH("NEW ORLEANS",C595)),ISNUMBER(SEARCH("KENNER",C595)),ISNUMBER(SEARCH("HENRY HOWARD",C595)),ISNUMBER(SEARCH("MISS CLAUDIA",C595))),"Personal Travel - New Orleans",IF(AND(YEAR(B595)=2025,MONTH(B595)=4,OR(ISNUMBER(SEARCH("EXCHANGE RATE",C595)),ISNUMBER(SEARCH("EXCHG RTE",C595)))),"Personal Travel - Italy",IFERROR(INDEX('Category Rules'!$B$2:$B$358,MATCH(TRUE,ISNUMBER(SEARCH('Category Rules'!$A$2:$A$358,C595)),0)),""))))))))</f>
        <v>Personal - Entertainment</v>
      </c>
    </row>
    <row r="596" spans="1:7" x14ac:dyDescent="0.25">
      <c r="A596" t="s">
        <v>6</v>
      </c>
      <c r="B596" s="1">
        <v>45940</v>
      </c>
      <c r="C596" t="s">
        <v>549</v>
      </c>
      <c r="D596">
        <v>-12.99</v>
      </c>
      <c r="E596" t="s">
        <v>10</v>
      </c>
      <c r="F596">
        <v>4519.43</v>
      </c>
      <c r="G596" t="str" cm="1">
        <f t="array" ref="G596">IF(AND(ISNUMBER(SEARCH("UBER",C596)),ISNUMBER(SEARCH("EATS",C596))),"Uber Eats",IF(LEFT(C596,6)="CHECK ","Checks Paid",IF(OR(E596="BILLPAY",ISNUMBER(SEARCH("FRANCHISE TAX",C596)),ISNUMBER(SEARCH("NEXTLINK",C596))),"Personal - House Bills",IF(AND(ISNUMBER(SEARCH("PAYMENT FROM",C596)),ISNUMBER(SEARCH("JOE SAUNDERS",C596))),"Zelle from Joe Saunders",IF(AND(ISNUMBER(SEARCH("PAYMENT TO",C596)),ISNUMBER(SEARCH("JOE SAUNDERS",C596))),"Zelle to Joe Saunders",IF(OR(ISNUMBER(SEARCH("NEW ORLEANS",C596)),ISNUMBER(SEARCH("KENNER",C596)),ISNUMBER(SEARCH("HENRY HOWARD",C596)),ISNUMBER(SEARCH("MISS CLAUDIA",C596))),"Personal Travel - New Orleans",IF(AND(YEAR(B596)=2025,MONTH(B596)=4,OR(ISNUMBER(SEARCH("EXCHANGE RATE",C596)),ISNUMBER(SEARCH("EXCHG RTE",C596)))),"Personal Travel - Italy",IFERROR(INDEX('Category Rules'!$B$2:$B$358,MATCH(TRUE,ISNUMBER(SEARCH('Category Rules'!$A$2:$A$358,C596)),0)),""))))))))</f>
        <v>Apple</v>
      </c>
    </row>
    <row r="597" spans="1:7" x14ac:dyDescent="0.25">
      <c r="A597" t="s">
        <v>6</v>
      </c>
      <c r="B597" s="1">
        <v>45940</v>
      </c>
      <c r="C597" t="s">
        <v>550</v>
      </c>
      <c r="D597">
        <v>-145.16999999999999</v>
      </c>
      <c r="E597" t="s">
        <v>10</v>
      </c>
      <c r="F597">
        <v>4532.42</v>
      </c>
      <c r="G597" t="str" cm="1">
        <f t="array" ref="G597">IF(AND(ISNUMBER(SEARCH("UBER",C597)),ISNUMBER(SEARCH("EATS",C597))),"Uber Eats",IF(LEFT(C597,6)="CHECK ","Checks Paid",IF(OR(E597="BILLPAY",ISNUMBER(SEARCH("FRANCHISE TAX",C597)),ISNUMBER(SEARCH("NEXTLINK",C597))),"Personal - House Bills",IF(AND(ISNUMBER(SEARCH("PAYMENT FROM",C597)),ISNUMBER(SEARCH("JOE SAUNDERS",C597))),"Zelle from Joe Saunders",IF(AND(ISNUMBER(SEARCH("PAYMENT TO",C597)),ISNUMBER(SEARCH("JOE SAUNDERS",C597))),"Zelle to Joe Saunders",IF(OR(ISNUMBER(SEARCH("NEW ORLEANS",C597)),ISNUMBER(SEARCH("KENNER",C597)),ISNUMBER(SEARCH("HENRY HOWARD",C597)),ISNUMBER(SEARCH("MISS CLAUDIA",C597))),"Personal Travel - New Orleans",IF(AND(YEAR(B597)=2025,MONTH(B597)=4,OR(ISNUMBER(SEARCH("EXCHANGE RATE",C597)),ISNUMBER(SEARCH("EXCHG RTE",C597)))),"Personal Travel - Italy",IFERROR(INDEX('Category Rules'!$B$2:$B$358,MATCH(TRUE,ISNUMBER(SEARCH('Category Rules'!$A$2:$A$358,C597)),0)),""))))))))</f>
        <v>Personal - Health</v>
      </c>
    </row>
    <row r="598" spans="1:7" x14ac:dyDescent="0.25">
      <c r="A598" t="s">
        <v>6</v>
      </c>
      <c r="B598" s="1">
        <v>45940</v>
      </c>
      <c r="C598" t="s">
        <v>551</v>
      </c>
      <c r="D598">
        <v>-20</v>
      </c>
      <c r="E598" t="s">
        <v>10</v>
      </c>
      <c r="F598">
        <v>4677.59</v>
      </c>
      <c r="G598" t="str" cm="1">
        <f t="array" ref="G598">IF(AND(ISNUMBER(SEARCH("UBER",C598)),ISNUMBER(SEARCH("EATS",C598))),"Uber Eats",IF(LEFT(C598,6)="CHECK ","Checks Paid",IF(OR(E598="BILLPAY",ISNUMBER(SEARCH("FRANCHISE TAX",C598)),ISNUMBER(SEARCH("NEXTLINK",C598))),"Personal - House Bills",IF(AND(ISNUMBER(SEARCH("PAYMENT FROM",C598)),ISNUMBER(SEARCH("JOE SAUNDERS",C598))),"Zelle from Joe Saunders",IF(AND(ISNUMBER(SEARCH("PAYMENT TO",C598)),ISNUMBER(SEARCH("JOE SAUNDERS",C598))),"Zelle to Joe Saunders",IF(OR(ISNUMBER(SEARCH("NEW ORLEANS",C598)),ISNUMBER(SEARCH("KENNER",C598)),ISNUMBER(SEARCH("HENRY HOWARD",C598)),ISNUMBER(SEARCH("MISS CLAUDIA",C598))),"Personal Travel - New Orleans",IF(AND(YEAR(B598)=2025,MONTH(B598)=4,OR(ISNUMBER(SEARCH("EXCHANGE RATE",C598)),ISNUMBER(SEARCH("EXCHG RTE",C598)))),"Personal Travel - Italy",IFERROR(INDEX('Category Rules'!$B$2:$B$358,MATCH(TRUE,ISNUMBER(SEARCH('Category Rules'!$A$2:$A$358,C598)),0)),""))))))))</f>
        <v>Amazon</v>
      </c>
    </row>
    <row r="599" spans="1:7" x14ac:dyDescent="0.25">
      <c r="A599" t="s">
        <v>6</v>
      </c>
      <c r="B599" s="1">
        <v>45939</v>
      </c>
      <c r="C599" t="s">
        <v>552</v>
      </c>
      <c r="D599">
        <v>-133.82</v>
      </c>
      <c r="E599" t="s">
        <v>10</v>
      </c>
      <c r="F599">
        <v>4697.59</v>
      </c>
      <c r="G599" t="str" cm="1">
        <f t="array" ref="G599">IF(AND(ISNUMBER(SEARCH("UBER",C599)),ISNUMBER(SEARCH("EATS",C599))),"Uber Eats",IF(LEFT(C599,6)="CHECK ","Checks Paid",IF(OR(E599="BILLPAY",ISNUMBER(SEARCH("FRANCHISE TAX",C599)),ISNUMBER(SEARCH("NEXTLINK",C599))),"Personal - House Bills",IF(AND(ISNUMBER(SEARCH("PAYMENT FROM",C599)),ISNUMBER(SEARCH("JOE SAUNDERS",C599))),"Zelle from Joe Saunders",IF(AND(ISNUMBER(SEARCH("PAYMENT TO",C599)),ISNUMBER(SEARCH("JOE SAUNDERS",C599))),"Zelle to Joe Saunders",IF(OR(ISNUMBER(SEARCH("NEW ORLEANS",C599)),ISNUMBER(SEARCH("KENNER",C599)),ISNUMBER(SEARCH("HENRY HOWARD",C599)),ISNUMBER(SEARCH("MISS CLAUDIA",C599))),"Personal Travel - New Orleans",IF(AND(YEAR(B599)=2025,MONTH(B599)=4,OR(ISNUMBER(SEARCH("EXCHANGE RATE",C599)),ISNUMBER(SEARCH("EXCHG RTE",C599)))),"Personal Travel - Italy",IFERROR(INDEX('Category Rules'!$B$2:$B$358,MATCH(TRUE,ISNUMBER(SEARCH('Category Rules'!$A$2:$A$358,C599)),0)),""))))))))</f>
        <v>Uber Eats</v>
      </c>
    </row>
    <row r="600" spans="1:7" x14ac:dyDescent="0.25">
      <c r="A600" t="s">
        <v>553</v>
      </c>
      <c r="B600" s="1">
        <v>45939</v>
      </c>
      <c r="C600" t="s">
        <v>554</v>
      </c>
      <c r="D600">
        <v>-500</v>
      </c>
      <c r="E600" t="s">
        <v>555</v>
      </c>
      <c r="F600">
        <v>4831.41</v>
      </c>
      <c r="G600" t="str" cm="1">
        <f t="array" ref="G600">IF(AND(ISNUMBER(SEARCH("UBER",C600)),ISNUMBER(SEARCH("EATS",C600))),"Uber Eats",IF(LEFT(C600,6)="CHECK ","Checks Paid",IF(OR(E600="BILLPAY",ISNUMBER(SEARCH("FRANCHISE TAX",C600)),ISNUMBER(SEARCH("NEXTLINK",C600))),"Personal - House Bills",IF(AND(ISNUMBER(SEARCH("PAYMENT FROM",C600)),ISNUMBER(SEARCH("JOE SAUNDERS",C600))),"Zelle from Joe Saunders",IF(AND(ISNUMBER(SEARCH("PAYMENT TO",C600)),ISNUMBER(SEARCH("JOE SAUNDERS",C600))),"Zelle to Joe Saunders",IF(OR(ISNUMBER(SEARCH("NEW ORLEANS",C600)),ISNUMBER(SEARCH("KENNER",C600)),ISNUMBER(SEARCH("HENRY HOWARD",C600)),ISNUMBER(SEARCH("MISS CLAUDIA",C600))),"Personal Travel - New Orleans",IF(AND(YEAR(B600)=2025,MONTH(B600)=4,OR(ISNUMBER(SEARCH("EXCHANGE RATE",C600)),ISNUMBER(SEARCH("EXCHG RTE",C600)))),"Personal Travel - Italy",IFERROR(INDEX('Category Rules'!$B$2:$B$358,MATCH(TRUE,ISNUMBER(SEARCH('Category Rules'!$A$2:$A$358,C600)),0)),""))))))))</f>
        <v>Checks Paid</v>
      </c>
    </row>
    <row r="601" spans="1:7" x14ac:dyDescent="0.25">
      <c r="A601" t="s">
        <v>6</v>
      </c>
      <c r="B601" s="1">
        <v>45939</v>
      </c>
      <c r="C601" t="s">
        <v>556</v>
      </c>
      <c r="D601">
        <v>-200</v>
      </c>
      <c r="E601" t="s">
        <v>73</v>
      </c>
      <c r="F601">
        <v>5331.41</v>
      </c>
      <c r="G601" t="str" cm="1">
        <f t="array" ref="G601">IF(AND(ISNUMBER(SEARCH("UBER",C601)),ISNUMBER(SEARCH("EATS",C601))),"Uber Eats",IF(LEFT(C601,6)="CHECK ","Checks Paid",IF(OR(E601="BILLPAY",ISNUMBER(SEARCH("FRANCHISE TAX",C601)),ISNUMBER(SEARCH("NEXTLINK",C601))),"Personal - House Bills",IF(AND(ISNUMBER(SEARCH("PAYMENT FROM",C601)),ISNUMBER(SEARCH("JOE SAUNDERS",C601))),"Zelle from Joe Saunders",IF(AND(ISNUMBER(SEARCH("PAYMENT TO",C601)),ISNUMBER(SEARCH("JOE SAUNDERS",C601))),"Zelle to Joe Saunders",IF(OR(ISNUMBER(SEARCH("NEW ORLEANS",C601)),ISNUMBER(SEARCH("KENNER",C601)),ISNUMBER(SEARCH("HENRY HOWARD",C601)),ISNUMBER(SEARCH("MISS CLAUDIA",C601))),"Personal Travel - New Orleans",IF(AND(YEAR(B601)=2025,MONTH(B601)=4,OR(ISNUMBER(SEARCH("EXCHANGE RATE",C601)),ISNUMBER(SEARCH("EXCHG RTE",C601)))),"Personal Travel - Italy",IFERROR(INDEX('Category Rules'!$B$2:$B$358,MATCH(TRUE,ISNUMBER(SEARCH('Category Rules'!$A$2:$A$358,C601)),0)),""))))))))</f>
        <v>Transfer to Ava</v>
      </c>
    </row>
    <row r="602" spans="1:7" x14ac:dyDescent="0.25">
      <c r="A602" t="s">
        <v>6</v>
      </c>
      <c r="B602" s="1">
        <v>45939</v>
      </c>
      <c r="C602" t="s">
        <v>557</v>
      </c>
      <c r="D602">
        <v>-51.51</v>
      </c>
      <c r="E602" t="s">
        <v>10</v>
      </c>
      <c r="F602">
        <v>5531.41</v>
      </c>
      <c r="G602" t="str" cm="1">
        <f t="array" ref="G602">IF(AND(ISNUMBER(SEARCH("UBER",C602)),ISNUMBER(SEARCH("EATS",C602))),"Uber Eats",IF(LEFT(C602,6)="CHECK ","Checks Paid",IF(OR(E602="BILLPAY",ISNUMBER(SEARCH("FRANCHISE TAX",C602)),ISNUMBER(SEARCH("NEXTLINK",C602))),"Personal - House Bills",IF(AND(ISNUMBER(SEARCH("PAYMENT FROM",C602)),ISNUMBER(SEARCH("JOE SAUNDERS",C602))),"Zelle from Joe Saunders",IF(AND(ISNUMBER(SEARCH("PAYMENT TO",C602)),ISNUMBER(SEARCH("JOE SAUNDERS",C602))),"Zelle to Joe Saunders",IF(OR(ISNUMBER(SEARCH("NEW ORLEANS",C602)),ISNUMBER(SEARCH("KENNER",C602)),ISNUMBER(SEARCH("HENRY HOWARD",C602)),ISNUMBER(SEARCH("MISS CLAUDIA",C602))),"Personal Travel - New Orleans",IF(AND(YEAR(B602)=2025,MONTH(B602)=4,OR(ISNUMBER(SEARCH("EXCHANGE RATE",C602)),ISNUMBER(SEARCH("EXCHG RTE",C602)))),"Personal Travel - Italy",IFERROR(INDEX('Category Rules'!$B$2:$B$358,MATCH(TRUE,ISNUMBER(SEARCH('Category Rules'!$A$2:$A$358,C602)),0)),""))))))))</f>
        <v>Uber Eats</v>
      </c>
    </row>
    <row r="603" spans="1:7" x14ac:dyDescent="0.25">
      <c r="A603" t="s">
        <v>6</v>
      </c>
      <c r="B603" s="1">
        <v>45939</v>
      </c>
      <c r="C603" t="s">
        <v>558</v>
      </c>
      <c r="D603">
        <v>-46.38</v>
      </c>
      <c r="E603" t="s">
        <v>10</v>
      </c>
      <c r="F603">
        <v>5582.92</v>
      </c>
      <c r="G603" t="str" cm="1">
        <f t="array" ref="G603">IF(AND(ISNUMBER(SEARCH("UBER",C603)),ISNUMBER(SEARCH("EATS",C603))),"Uber Eats",IF(LEFT(C603,6)="CHECK ","Checks Paid",IF(OR(E603="BILLPAY",ISNUMBER(SEARCH("FRANCHISE TAX",C603)),ISNUMBER(SEARCH("NEXTLINK",C603))),"Personal - House Bills",IF(AND(ISNUMBER(SEARCH("PAYMENT FROM",C603)),ISNUMBER(SEARCH("JOE SAUNDERS",C603))),"Zelle from Joe Saunders",IF(AND(ISNUMBER(SEARCH("PAYMENT TO",C603)),ISNUMBER(SEARCH("JOE SAUNDERS",C603))),"Zelle to Joe Saunders",IF(OR(ISNUMBER(SEARCH("NEW ORLEANS",C603)),ISNUMBER(SEARCH("KENNER",C603)),ISNUMBER(SEARCH("HENRY HOWARD",C603)),ISNUMBER(SEARCH("MISS CLAUDIA",C603))),"Personal Travel - New Orleans",IF(AND(YEAR(B603)=2025,MONTH(B603)=4,OR(ISNUMBER(SEARCH("EXCHANGE RATE",C603)),ISNUMBER(SEARCH("EXCHG RTE",C603)))),"Personal Travel - Italy",IFERROR(INDEX('Category Rules'!$B$2:$B$358,MATCH(TRUE,ISNUMBER(SEARCH('Category Rules'!$A$2:$A$358,C603)),0)),""))))))))</f>
        <v>Amazon</v>
      </c>
    </row>
    <row r="604" spans="1:7" x14ac:dyDescent="0.25">
      <c r="A604" t="s">
        <v>44</v>
      </c>
      <c r="B604" s="1">
        <v>45939</v>
      </c>
      <c r="C604" t="s">
        <v>559</v>
      </c>
      <c r="D604">
        <v>1000</v>
      </c>
      <c r="E604" t="s">
        <v>73</v>
      </c>
      <c r="F604">
        <v>5629.3</v>
      </c>
      <c r="G604" t="str" cm="1">
        <f t="array" ref="G604">IF(AND(ISNUMBER(SEARCH("UBER",C604)),ISNUMBER(SEARCH("EATS",C604))),"Uber Eats",IF(LEFT(C604,6)="CHECK ","Checks Paid",IF(OR(E604="BILLPAY",ISNUMBER(SEARCH("FRANCHISE TAX",C604)),ISNUMBER(SEARCH("NEXTLINK",C604))),"Personal - House Bills",IF(AND(ISNUMBER(SEARCH("PAYMENT FROM",C604)),ISNUMBER(SEARCH("JOE SAUNDERS",C604))),"Zelle from Joe Saunders",IF(AND(ISNUMBER(SEARCH("PAYMENT TO",C604)),ISNUMBER(SEARCH("JOE SAUNDERS",C604))),"Zelle to Joe Saunders",IF(OR(ISNUMBER(SEARCH("NEW ORLEANS",C604)),ISNUMBER(SEARCH("KENNER",C604)),ISNUMBER(SEARCH("HENRY HOWARD",C604)),ISNUMBER(SEARCH("MISS CLAUDIA",C604))),"Personal Travel - New Orleans",IF(AND(YEAR(B604)=2025,MONTH(B604)=4,OR(ISNUMBER(SEARCH("EXCHANGE RATE",C604)),ISNUMBER(SEARCH("EXCHG RTE",C604)))),"Personal Travel - Italy",IFERROR(INDEX('Category Rules'!$B$2:$B$358,MATCH(TRUE,ISNUMBER(SEARCH('Category Rules'!$A$2:$A$358,C604)),0)),""))))))))</f>
        <v>Transfer from DWG Capital Group</v>
      </c>
    </row>
    <row r="605" spans="1:7" x14ac:dyDescent="0.25">
      <c r="A605" t="s">
        <v>44</v>
      </c>
      <c r="B605" s="1">
        <v>45939</v>
      </c>
      <c r="C605" t="s">
        <v>560</v>
      </c>
      <c r="D605">
        <v>3000</v>
      </c>
      <c r="E605" t="s">
        <v>73</v>
      </c>
      <c r="F605">
        <v>4629.3</v>
      </c>
      <c r="G605" t="str" cm="1">
        <f t="array" ref="G605">IF(AND(ISNUMBER(SEARCH("UBER",C605)),ISNUMBER(SEARCH("EATS",C605))),"Uber Eats",IF(LEFT(C605,6)="CHECK ","Checks Paid",IF(OR(E605="BILLPAY",ISNUMBER(SEARCH("FRANCHISE TAX",C605)),ISNUMBER(SEARCH("NEXTLINK",C605))),"Personal - House Bills",IF(AND(ISNUMBER(SEARCH("PAYMENT FROM",C605)),ISNUMBER(SEARCH("JOE SAUNDERS",C605))),"Zelle from Joe Saunders",IF(AND(ISNUMBER(SEARCH("PAYMENT TO",C605)),ISNUMBER(SEARCH("JOE SAUNDERS",C605))),"Zelle to Joe Saunders",IF(OR(ISNUMBER(SEARCH("NEW ORLEANS",C605)),ISNUMBER(SEARCH("KENNER",C605)),ISNUMBER(SEARCH("HENRY HOWARD",C605)),ISNUMBER(SEARCH("MISS CLAUDIA",C605))),"Personal Travel - New Orleans",IF(AND(YEAR(B605)=2025,MONTH(B605)=4,OR(ISNUMBER(SEARCH("EXCHANGE RATE",C605)),ISNUMBER(SEARCH("EXCHG RTE",C605)))),"Personal Travel - Italy",IFERROR(INDEX('Category Rules'!$B$2:$B$358,MATCH(TRUE,ISNUMBER(SEARCH('Category Rules'!$A$2:$A$358,C605)),0)),""))))))))</f>
        <v>Transfer from DWG Capital Group</v>
      </c>
    </row>
    <row r="606" spans="1:7" x14ac:dyDescent="0.25">
      <c r="A606" t="s">
        <v>6</v>
      </c>
      <c r="B606" s="1">
        <v>45938</v>
      </c>
      <c r="C606" t="s">
        <v>561</v>
      </c>
      <c r="D606">
        <v>-6.99</v>
      </c>
      <c r="E606" t="s">
        <v>10</v>
      </c>
      <c r="F606">
        <v>1629.3</v>
      </c>
      <c r="G606" t="str" cm="1">
        <f t="array" ref="G606">IF(AND(ISNUMBER(SEARCH("UBER",C606)),ISNUMBER(SEARCH("EATS",C606))),"Uber Eats",IF(LEFT(C606,6)="CHECK ","Checks Paid",IF(OR(E606="BILLPAY",ISNUMBER(SEARCH("FRANCHISE TAX",C606)),ISNUMBER(SEARCH("NEXTLINK",C606))),"Personal - House Bills",IF(AND(ISNUMBER(SEARCH("PAYMENT FROM",C606)),ISNUMBER(SEARCH("JOE SAUNDERS",C606))),"Zelle from Joe Saunders",IF(AND(ISNUMBER(SEARCH("PAYMENT TO",C606)),ISNUMBER(SEARCH("JOE SAUNDERS",C606))),"Zelle to Joe Saunders",IF(OR(ISNUMBER(SEARCH("NEW ORLEANS",C606)),ISNUMBER(SEARCH("KENNER",C606)),ISNUMBER(SEARCH("HENRY HOWARD",C606)),ISNUMBER(SEARCH("MISS CLAUDIA",C606))),"Personal Travel - New Orleans",IF(AND(YEAR(B606)=2025,MONTH(B606)=4,OR(ISNUMBER(SEARCH("EXCHANGE RATE",C606)),ISNUMBER(SEARCH("EXCHG RTE",C606)))),"Personal Travel - Italy",IFERROR(INDEX('Category Rules'!$B$2:$B$358,MATCH(TRUE,ISNUMBER(SEARCH('Category Rules'!$A$2:$A$358,C606)),0)),""))))))))</f>
        <v>Apple</v>
      </c>
    </row>
    <row r="607" spans="1:7" x14ac:dyDescent="0.25">
      <c r="A607" t="s">
        <v>6</v>
      </c>
      <c r="B607" s="1">
        <v>45938</v>
      </c>
      <c r="C607" t="s">
        <v>562</v>
      </c>
      <c r="D607">
        <v>-53.86</v>
      </c>
      <c r="E607" t="s">
        <v>10</v>
      </c>
      <c r="F607">
        <v>1636.29</v>
      </c>
      <c r="G607" t="str" cm="1">
        <f t="array" ref="G607">IF(AND(ISNUMBER(SEARCH("UBER",C607)),ISNUMBER(SEARCH("EATS",C607))),"Uber Eats",IF(LEFT(C607,6)="CHECK ","Checks Paid",IF(OR(E607="BILLPAY",ISNUMBER(SEARCH("FRANCHISE TAX",C607)),ISNUMBER(SEARCH("NEXTLINK",C607))),"Personal - House Bills",IF(AND(ISNUMBER(SEARCH("PAYMENT FROM",C607)),ISNUMBER(SEARCH("JOE SAUNDERS",C607))),"Zelle from Joe Saunders",IF(AND(ISNUMBER(SEARCH("PAYMENT TO",C607)),ISNUMBER(SEARCH("JOE SAUNDERS",C607))),"Zelle to Joe Saunders",IF(OR(ISNUMBER(SEARCH("NEW ORLEANS",C607)),ISNUMBER(SEARCH("KENNER",C607)),ISNUMBER(SEARCH("HENRY HOWARD",C607)),ISNUMBER(SEARCH("MISS CLAUDIA",C607))),"Personal Travel - New Orleans",IF(AND(YEAR(B607)=2025,MONTH(B607)=4,OR(ISNUMBER(SEARCH("EXCHANGE RATE",C607)),ISNUMBER(SEARCH("EXCHG RTE",C607)))),"Personal Travel - Italy",IFERROR(INDEX('Category Rules'!$B$2:$B$358,MATCH(TRUE,ISNUMBER(SEARCH('Category Rules'!$A$2:$A$358,C607)),0)),""))))))))</f>
        <v>Uber Eats</v>
      </c>
    </row>
    <row r="608" spans="1:7" x14ac:dyDescent="0.25">
      <c r="A608" t="s">
        <v>6</v>
      </c>
      <c r="B608" s="1">
        <v>45938</v>
      </c>
      <c r="C608" t="s">
        <v>563</v>
      </c>
      <c r="D608">
        <v>-50</v>
      </c>
      <c r="E608" t="s">
        <v>10</v>
      </c>
      <c r="F608">
        <v>1690.15</v>
      </c>
      <c r="G608" t="str" cm="1">
        <f t="array" ref="G608">IF(AND(ISNUMBER(SEARCH("UBER",C608)),ISNUMBER(SEARCH("EATS",C608))),"Uber Eats",IF(LEFT(C608,6)="CHECK ","Checks Paid",IF(OR(E608="BILLPAY",ISNUMBER(SEARCH("FRANCHISE TAX",C608)),ISNUMBER(SEARCH("NEXTLINK",C608))),"Personal - House Bills",IF(AND(ISNUMBER(SEARCH("PAYMENT FROM",C608)),ISNUMBER(SEARCH("JOE SAUNDERS",C608))),"Zelle from Joe Saunders",IF(AND(ISNUMBER(SEARCH("PAYMENT TO",C608)),ISNUMBER(SEARCH("JOE SAUNDERS",C608))),"Zelle to Joe Saunders",IF(OR(ISNUMBER(SEARCH("NEW ORLEANS",C608)),ISNUMBER(SEARCH("KENNER",C608)),ISNUMBER(SEARCH("HENRY HOWARD",C608)),ISNUMBER(SEARCH("MISS CLAUDIA",C608))),"Personal Travel - New Orleans",IF(AND(YEAR(B608)=2025,MONTH(B608)=4,OR(ISNUMBER(SEARCH("EXCHANGE RATE",C608)),ISNUMBER(SEARCH("EXCHG RTE",C608)))),"Personal Travel - Italy",IFERROR(INDEX('Category Rules'!$B$2:$B$358,MATCH(TRUE,ISNUMBER(SEARCH('Category Rules'!$A$2:$A$358,C608)),0)),""))))))))</f>
        <v>Personal Travel</v>
      </c>
    </row>
    <row r="609" spans="1:7" x14ac:dyDescent="0.25">
      <c r="A609" t="s">
        <v>6</v>
      </c>
      <c r="B609" s="1">
        <v>45938</v>
      </c>
      <c r="C609" t="s">
        <v>564</v>
      </c>
      <c r="D609">
        <v>-13.99</v>
      </c>
      <c r="E609" t="s">
        <v>10</v>
      </c>
      <c r="F609">
        <v>1740.15</v>
      </c>
      <c r="G609" t="str" cm="1">
        <f t="array" ref="G609">IF(AND(ISNUMBER(SEARCH("UBER",C609)),ISNUMBER(SEARCH("EATS",C609))),"Uber Eats",IF(LEFT(C609,6)="CHECK ","Checks Paid",IF(OR(E609="BILLPAY",ISNUMBER(SEARCH("FRANCHISE TAX",C609)),ISNUMBER(SEARCH("NEXTLINK",C609))),"Personal - House Bills",IF(AND(ISNUMBER(SEARCH("PAYMENT FROM",C609)),ISNUMBER(SEARCH("JOE SAUNDERS",C609))),"Zelle from Joe Saunders",IF(AND(ISNUMBER(SEARCH("PAYMENT TO",C609)),ISNUMBER(SEARCH("JOE SAUNDERS",C609))),"Zelle to Joe Saunders",IF(OR(ISNUMBER(SEARCH("NEW ORLEANS",C609)),ISNUMBER(SEARCH("KENNER",C609)),ISNUMBER(SEARCH("HENRY HOWARD",C609)),ISNUMBER(SEARCH("MISS CLAUDIA",C609))),"Personal Travel - New Orleans",IF(AND(YEAR(B609)=2025,MONTH(B609)=4,OR(ISNUMBER(SEARCH("EXCHANGE RATE",C609)),ISNUMBER(SEARCH("EXCHG RTE",C609)))),"Personal Travel - Italy",IFERROR(INDEX('Category Rules'!$B$2:$B$358,MATCH(TRUE,ISNUMBER(SEARCH('Category Rules'!$A$2:$A$358,C609)),0)),""))))))))</f>
        <v>Amazon</v>
      </c>
    </row>
    <row r="610" spans="1:7" x14ac:dyDescent="0.25">
      <c r="A610" t="s">
        <v>6</v>
      </c>
      <c r="B610" s="1">
        <v>45938</v>
      </c>
      <c r="C610" t="s">
        <v>565</v>
      </c>
      <c r="D610">
        <v>-187.06</v>
      </c>
      <c r="E610" t="s">
        <v>10</v>
      </c>
      <c r="F610">
        <v>1754.14</v>
      </c>
      <c r="G610" t="str" cm="1">
        <f t="array" ref="G610">IF(AND(ISNUMBER(SEARCH("UBER",C610)),ISNUMBER(SEARCH("EATS",C610))),"Uber Eats",IF(LEFT(C610,6)="CHECK ","Checks Paid",IF(OR(E610="BILLPAY",ISNUMBER(SEARCH("FRANCHISE TAX",C610)),ISNUMBER(SEARCH("NEXTLINK",C610))),"Personal - House Bills",IF(AND(ISNUMBER(SEARCH("PAYMENT FROM",C610)),ISNUMBER(SEARCH("JOE SAUNDERS",C610))),"Zelle from Joe Saunders",IF(AND(ISNUMBER(SEARCH("PAYMENT TO",C610)),ISNUMBER(SEARCH("JOE SAUNDERS",C610))),"Zelle to Joe Saunders",IF(OR(ISNUMBER(SEARCH("NEW ORLEANS",C610)),ISNUMBER(SEARCH("KENNER",C610)),ISNUMBER(SEARCH("HENRY HOWARD",C610)),ISNUMBER(SEARCH("MISS CLAUDIA",C610))),"Personal Travel - New Orleans",IF(AND(YEAR(B610)=2025,MONTH(B610)=4,OR(ISNUMBER(SEARCH("EXCHANGE RATE",C610)),ISNUMBER(SEARCH("EXCHG RTE",C610)))),"Personal Travel - Italy",IFERROR(INDEX('Category Rules'!$B$2:$B$358,MATCH(TRUE,ISNUMBER(SEARCH('Category Rules'!$A$2:$A$358,C610)),0)),""))))))))</f>
        <v>Personal - Food</v>
      </c>
    </row>
    <row r="611" spans="1:7" x14ac:dyDescent="0.25">
      <c r="A611" t="s">
        <v>6</v>
      </c>
      <c r="B611" s="1">
        <v>45937</v>
      </c>
      <c r="C611" t="s">
        <v>566</v>
      </c>
      <c r="D611">
        <v>-500</v>
      </c>
      <c r="E611" t="s">
        <v>26</v>
      </c>
      <c r="F611">
        <v>1941.2</v>
      </c>
      <c r="G611" t="str" cm="1">
        <f t="array" ref="G611">IF(AND(ISNUMBER(SEARCH("UBER",C611)),ISNUMBER(SEARCH("EATS",C611))),"Uber Eats",IF(LEFT(C611,6)="CHECK ","Checks Paid",IF(OR(E611="BILLPAY",ISNUMBER(SEARCH("FRANCHISE TAX",C611)),ISNUMBER(SEARCH("NEXTLINK",C611))),"Personal - House Bills",IF(AND(ISNUMBER(SEARCH("PAYMENT FROM",C611)),ISNUMBER(SEARCH("JOE SAUNDERS",C611))),"Zelle from Joe Saunders",IF(AND(ISNUMBER(SEARCH("PAYMENT TO",C611)),ISNUMBER(SEARCH("JOE SAUNDERS",C611))),"Zelle to Joe Saunders",IF(OR(ISNUMBER(SEARCH("NEW ORLEANS",C611)),ISNUMBER(SEARCH("KENNER",C611)),ISNUMBER(SEARCH("HENRY HOWARD",C611)),ISNUMBER(SEARCH("MISS CLAUDIA",C611))),"Personal Travel - New Orleans",IF(AND(YEAR(B611)=2025,MONTH(B611)=4,OR(ISNUMBER(SEARCH("EXCHANGE RATE",C611)),ISNUMBER(SEARCH("EXCHG RTE",C611)))),"Personal Travel - Italy",IFERROR(INDEX('Category Rules'!$B$2:$B$358,MATCH(TRUE,ISNUMBER(SEARCH('Category Rules'!$A$2:$A$358,C611)),0)),""))))))))</f>
        <v>Withdrawal</v>
      </c>
    </row>
    <row r="612" spans="1:7" x14ac:dyDescent="0.25">
      <c r="A612" t="s">
        <v>6</v>
      </c>
      <c r="B612" s="1">
        <v>45937</v>
      </c>
      <c r="C612" t="s">
        <v>567</v>
      </c>
      <c r="D612">
        <v>-323.60000000000002</v>
      </c>
      <c r="E612" t="s">
        <v>10</v>
      </c>
      <c r="F612">
        <v>2441.1999999999998</v>
      </c>
      <c r="G612" t="str" cm="1">
        <f t="array" ref="G612">IF(AND(ISNUMBER(SEARCH("UBER",C612)),ISNUMBER(SEARCH("EATS",C612))),"Uber Eats",IF(LEFT(C612,6)="CHECK ","Checks Paid",IF(OR(E612="BILLPAY",ISNUMBER(SEARCH("FRANCHISE TAX",C612)),ISNUMBER(SEARCH("NEXTLINK",C612))),"Personal - House Bills",IF(AND(ISNUMBER(SEARCH("PAYMENT FROM",C612)),ISNUMBER(SEARCH("JOE SAUNDERS",C612))),"Zelle from Joe Saunders",IF(AND(ISNUMBER(SEARCH("PAYMENT TO",C612)),ISNUMBER(SEARCH("JOE SAUNDERS",C612))),"Zelle to Joe Saunders",IF(OR(ISNUMBER(SEARCH("NEW ORLEANS",C612)),ISNUMBER(SEARCH("KENNER",C612)),ISNUMBER(SEARCH("HENRY HOWARD",C612)),ISNUMBER(SEARCH("MISS CLAUDIA",C612))),"Personal Travel - New Orleans",IF(AND(YEAR(B612)=2025,MONTH(B612)=4,OR(ISNUMBER(SEARCH("EXCHANGE RATE",C612)),ISNUMBER(SEARCH("EXCHG RTE",C612)))),"Personal Travel - Italy",IFERROR(INDEX('Category Rules'!$B$2:$B$358,MATCH(TRUE,ISNUMBER(SEARCH('Category Rules'!$A$2:$A$358,C612)),0)),""))))))))</f>
        <v>Personal - Misc</v>
      </c>
    </row>
    <row r="613" spans="1:7" x14ac:dyDescent="0.25">
      <c r="A613" t="s">
        <v>6</v>
      </c>
      <c r="B613" s="1">
        <v>45937</v>
      </c>
      <c r="C613" t="s">
        <v>568</v>
      </c>
      <c r="D613">
        <v>-46.15</v>
      </c>
      <c r="E613" t="s">
        <v>10</v>
      </c>
      <c r="F613">
        <v>2764.8</v>
      </c>
      <c r="G613" t="str" cm="1">
        <f t="array" ref="G613">IF(AND(ISNUMBER(SEARCH("UBER",C613)),ISNUMBER(SEARCH("EATS",C613))),"Uber Eats",IF(LEFT(C613,6)="CHECK ","Checks Paid",IF(OR(E613="BILLPAY",ISNUMBER(SEARCH("FRANCHISE TAX",C613)),ISNUMBER(SEARCH("NEXTLINK",C613))),"Personal - House Bills",IF(AND(ISNUMBER(SEARCH("PAYMENT FROM",C613)),ISNUMBER(SEARCH("JOE SAUNDERS",C613))),"Zelle from Joe Saunders",IF(AND(ISNUMBER(SEARCH("PAYMENT TO",C613)),ISNUMBER(SEARCH("JOE SAUNDERS",C613))),"Zelle to Joe Saunders",IF(OR(ISNUMBER(SEARCH("NEW ORLEANS",C613)),ISNUMBER(SEARCH("KENNER",C613)),ISNUMBER(SEARCH("HENRY HOWARD",C613)),ISNUMBER(SEARCH("MISS CLAUDIA",C613))),"Personal Travel - New Orleans",IF(AND(YEAR(B613)=2025,MONTH(B613)=4,OR(ISNUMBER(SEARCH("EXCHANGE RATE",C613)),ISNUMBER(SEARCH("EXCHG RTE",C613)))),"Personal Travel - Italy",IFERROR(INDEX('Category Rules'!$B$2:$B$358,MATCH(TRUE,ISNUMBER(SEARCH('Category Rules'!$A$2:$A$358,C613)),0)),""))))))))</f>
        <v>Amazon</v>
      </c>
    </row>
    <row r="614" spans="1:7" x14ac:dyDescent="0.25">
      <c r="A614" t="s">
        <v>6</v>
      </c>
      <c r="B614" s="1">
        <v>45937</v>
      </c>
      <c r="C614" t="s">
        <v>569</v>
      </c>
      <c r="D614">
        <v>-12.74</v>
      </c>
      <c r="E614" t="s">
        <v>10</v>
      </c>
      <c r="F614">
        <v>2810.95</v>
      </c>
      <c r="G614" t="str" cm="1">
        <f t="array" ref="G614">IF(AND(ISNUMBER(SEARCH("UBER",C614)),ISNUMBER(SEARCH("EATS",C614))),"Uber Eats",IF(LEFT(C614,6)="CHECK ","Checks Paid",IF(OR(E614="BILLPAY",ISNUMBER(SEARCH("FRANCHISE TAX",C614)),ISNUMBER(SEARCH("NEXTLINK",C614))),"Personal - House Bills",IF(AND(ISNUMBER(SEARCH("PAYMENT FROM",C614)),ISNUMBER(SEARCH("JOE SAUNDERS",C614))),"Zelle from Joe Saunders",IF(AND(ISNUMBER(SEARCH("PAYMENT TO",C614)),ISNUMBER(SEARCH("JOE SAUNDERS",C614))),"Zelle to Joe Saunders",IF(OR(ISNUMBER(SEARCH("NEW ORLEANS",C614)),ISNUMBER(SEARCH("KENNER",C614)),ISNUMBER(SEARCH("HENRY HOWARD",C614)),ISNUMBER(SEARCH("MISS CLAUDIA",C614))),"Personal Travel - New Orleans",IF(AND(YEAR(B614)=2025,MONTH(B614)=4,OR(ISNUMBER(SEARCH("EXCHANGE RATE",C614)),ISNUMBER(SEARCH("EXCHG RTE",C614)))),"Personal Travel - Italy",IFERROR(INDEX('Category Rules'!$B$2:$B$358,MATCH(TRUE,ISNUMBER(SEARCH('Category Rules'!$A$2:$A$358,C614)),0)),""))))))))</f>
        <v>Amazon</v>
      </c>
    </row>
    <row r="615" spans="1:7" x14ac:dyDescent="0.25">
      <c r="A615" t="s">
        <v>6</v>
      </c>
      <c r="B615" s="1">
        <v>45937</v>
      </c>
      <c r="C615" t="s">
        <v>570</v>
      </c>
      <c r="D615">
        <v>-6.91</v>
      </c>
      <c r="E615" t="s">
        <v>10</v>
      </c>
      <c r="F615">
        <v>2823.69</v>
      </c>
      <c r="G615" t="str" cm="1">
        <f t="array" ref="G615">IF(AND(ISNUMBER(SEARCH("UBER",C615)),ISNUMBER(SEARCH("EATS",C615))),"Uber Eats",IF(LEFT(C615,6)="CHECK ","Checks Paid",IF(OR(E615="BILLPAY",ISNUMBER(SEARCH("FRANCHISE TAX",C615)),ISNUMBER(SEARCH("NEXTLINK",C615))),"Personal - House Bills",IF(AND(ISNUMBER(SEARCH("PAYMENT FROM",C615)),ISNUMBER(SEARCH("JOE SAUNDERS",C615))),"Zelle from Joe Saunders",IF(AND(ISNUMBER(SEARCH("PAYMENT TO",C615)),ISNUMBER(SEARCH("JOE SAUNDERS",C615))),"Zelle to Joe Saunders",IF(OR(ISNUMBER(SEARCH("NEW ORLEANS",C615)),ISNUMBER(SEARCH("KENNER",C615)),ISNUMBER(SEARCH("HENRY HOWARD",C615)),ISNUMBER(SEARCH("MISS CLAUDIA",C615))),"Personal Travel - New Orleans",IF(AND(YEAR(B615)=2025,MONTH(B615)=4,OR(ISNUMBER(SEARCH("EXCHANGE RATE",C615)),ISNUMBER(SEARCH("EXCHG RTE",C615)))),"Personal Travel - Italy",IFERROR(INDEX('Category Rules'!$B$2:$B$358,MATCH(TRUE,ISNUMBER(SEARCH('Category Rules'!$A$2:$A$358,C615)),0)),""))))))))</f>
        <v>Uber Eats</v>
      </c>
    </row>
    <row r="616" spans="1:7" x14ac:dyDescent="0.25">
      <c r="A616" t="s">
        <v>6</v>
      </c>
      <c r="B616" s="1">
        <v>45937</v>
      </c>
      <c r="C616" t="s">
        <v>571</v>
      </c>
      <c r="D616">
        <v>-169.73</v>
      </c>
      <c r="E616" t="s">
        <v>10</v>
      </c>
      <c r="F616">
        <v>2830.6</v>
      </c>
      <c r="G616" t="str" cm="1">
        <f t="array" ref="G616">IF(AND(ISNUMBER(SEARCH("UBER",C616)),ISNUMBER(SEARCH("EATS",C616))),"Uber Eats",IF(LEFT(C616,6)="CHECK ","Checks Paid",IF(OR(E616="BILLPAY",ISNUMBER(SEARCH("FRANCHISE TAX",C616)),ISNUMBER(SEARCH("NEXTLINK",C616))),"Personal - House Bills",IF(AND(ISNUMBER(SEARCH("PAYMENT FROM",C616)),ISNUMBER(SEARCH("JOE SAUNDERS",C616))),"Zelle from Joe Saunders",IF(AND(ISNUMBER(SEARCH("PAYMENT TO",C616)),ISNUMBER(SEARCH("JOE SAUNDERS",C616))),"Zelle to Joe Saunders",IF(OR(ISNUMBER(SEARCH("NEW ORLEANS",C616)),ISNUMBER(SEARCH("KENNER",C616)),ISNUMBER(SEARCH("HENRY HOWARD",C616)),ISNUMBER(SEARCH("MISS CLAUDIA",C616))),"Personal Travel - New Orleans",IF(AND(YEAR(B616)=2025,MONTH(B616)=4,OR(ISNUMBER(SEARCH("EXCHANGE RATE",C616)),ISNUMBER(SEARCH("EXCHG RTE",C616)))),"Personal Travel - Italy",IFERROR(INDEX('Category Rules'!$B$2:$B$358,MATCH(TRUE,ISNUMBER(SEARCH('Category Rules'!$A$2:$A$358,C616)),0)),""))))))))</f>
        <v>Amazon</v>
      </c>
    </row>
    <row r="617" spans="1:7" x14ac:dyDescent="0.25">
      <c r="A617" t="s">
        <v>6</v>
      </c>
      <c r="B617" s="1">
        <v>45937</v>
      </c>
      <c r="C617" t="s">
        <v>572</v>
      </c>
      <c r="D617">
        <v>-174.75</v>
      </c>
      <c r="E617" t="s">
        <v>10</v>
      </c>
      <c r="F617">
        <v>3000.33</v>
      </c>
      <c r="G617" t="str" cm="1">
        <f t="array" ref="G617">IF(AND(ISNUMBER(SEARCH("UBER",C617)),ISNUMBER(SEARCH("EATS",C617))),"Uber Eats",IF(LEFT(C617,6)="CHECK ","Checks Paid",IF(OR(E617="BILLPAY",ISNUMBER(SEARCH("FRANCHISE TAX",C617)),ISNUMBER(SEARCH("NEXTLINK",C617))),"Personal - House Bills",IF(AND(ISNUMBER(SEARCH("PAYMENT FROM",C617)),ISNUMBER(SEARCH("JOE SAUNDERS",C617))),"Zelle from Joe Saunders",IF(AND(ISNUMBER(SEARCH("PAYMENT TO",C617)),ISNUMBER(SEARCH("JOE SAUNDERS",C617))),"Zelle to Joe Saunders",IF(OR(ISNUMBER(SEARCH("NEW ORLEANS",C617)),ISNUMBER(SEARCH("KENNER",C617)),ISNUMBER(SEARCH("HENRY HOWARD",C617)),ISNUMBER(SEARCH("MISS CLAUDIA",C617))),"Personal Travel - New Orleans",IF(AND(YEAR(B617)=2025,MONTH(B617)=4,OR(ISNUMBER(SEARCH("EXCHANGE RATE",C617)),ISNUMBER(SEARCH("EXCHG RTE",C617)))),"Personal Travel - Italy",IFERROR(INDEX('Category Rules'!$B$2:$B$358,MATCH(TRUE,ISNUMBER(SEARCH('Category Rules'!$A$2:$A$358,C617)),0)),""))))))))</f>
        <v>Amazon</v>
      </c>
    </row>
    <row r="618" spans="1:7" x14ac:dyDescent="0.25">
      <c r="A618" t="s">
        <v>6</v>
      </c>
      <c r="B618" s="1">
        <v>45937</v>
      </c>
      <c r="C618" t="s">
        <v>573</v>
      </c>
      <c r="D618">
        <v>-59.22</v>
      </c>
      <c r="E618" t="s">
        <v>10</v>
      </c>
      <c r="F618">
        <v>3175.08</v>
      </c>
      <c r="G618" t="str" cm="1">
        <f t="array" ref="G618">IF(AND(ISNUMBER(SEARCH("UBER",C618)),ISNUMBER(SEARCH("EATS",C618))),"Uber Eats",IF(LEFT(C618,6)="CHECK ","Checks Paid",IF(OR(E618="BILLPAY",ISNUMBER(SEARCH("FRANCHISE TAX",C618)),ISNUMBER(SEARCH("NEXTLINK",C618))),"Personal - House Bills",IF(AND(ISNUMBER(SEARCH("PAYMENT FROM",C618)),ISNUMBER(SEARCH("JOE SAUNDERS",C618))),"Zelle from Joe Saunders",IF(AND(ISNUMBER(SEARCH("PAYMENT TO",C618)),ISNUMBER(SEARCH("JOE SAUNDERS",C618))),"Zelle to Joe Saunders",IF(OR(ISNUMBER(SEARCH("NEW ORLEANS",C618)),ISNUMBER(SEARCH("KENNER",C618)),ISNUMBER(SEARCH("HENRY HOWARD",C618)),ISNUMBER(SEARCH("MISS CLAUDIA",C618))),"Personal Travel - New Orleans",IF(AND(YEAR(B618)=2025,MONTH(B618)=4,OR(ISNUMBER(SEARCH("EXCHANGE RATE",C618)),ISNUMBER(SEARCH("EXCHG RTE",C618)))),"Personal Travel - Italy",IFERROR(INDEX('Category Rules'!$B$2:$B$358,MATCH(TRUE,ISNUMBER(SEARCH('Category Rules'!$A$2:$A$358,C618)),0)),""))))))))</f>
        <v>Amazon</v>
      </c>
    </row>
    <row r="619" spans="1:7" x14ac:dyDescent="0.25">
      <c r="A619" t="s">
        <v>6</v>
      </c>
      <c r="B619" s="1">
        <v>45937</v>
      </c>
      <c r="C619" t="s">
        <v>574</v>
      </c>
      <c r="D619">
        <v>-147.02000000000001</v>
      </c>
      <c r="E619" t="s">
        <v>10</v>
      </c>
      <c r="F619">
        <v>3234.3</v>
      </c>
      <c r="G619" t="str" cm="1">
        <f t="array" ref="G619">IF(AND(ISNUMBER(SEARCH("UBER",C619)),ISNUMBER(SEARCH("EATS",C619))),"Uber Eats",IF(LEFT(C619,6)="CHECK ","Checks Paid",IF(OR(E619="BILLPAY",ISNUMBER(SEARCH("FRANCHISE TAX",C619)),ISNUMBER(SEARCH("NEXTLINK",C619))),"Personal - House Bills",IF(AND(ISNUMBER(SEARCH("PAYMENT FROM",C619)),ISNUMBER(SEARCH("JOE SAUNDERS",C619))),"Zelle from Joe Saunders",IF(AND(ISNUMBER(SEARCH("PAYMENT TO",C619)),ISNUMBER(SEARCH("JOE SAUNDERS",C619))),"Zelle to Joe Saunders",IF(OR(ISNUMBER(SEARCH("NEW ORLEANS",C619)),ISNUMBER(SEARCH("KENNER",C619)),ISNUMBER(SEARCH("HENRY HOWARD",C619)),ISNUMBER(SEARCH("MISS CLAUDIA",C619))),"Personal Travel - New Orleans",IF(AND(YEAR(B619)=2025,MONTH(B619)=4,OR(ISNUMBER(SEARCH("EXCHANGE RATE",C619)),ISNUMBER(SEARCH("EXCHG RTE",C619)))),"Personal Travel - Italy",IFERROR(INDEX('Category Rules'!$B$2:$B$358,MATCH(TRUE,ISNUMBER(SEARCH('Category Rules'!$A$2:$A$358,C619)),0)),""))))))))</f>
        <v>Personal - Shopping</v>
      </c>
    </row>
    <row r="620" spans="1:7" x14ac:dyDescent="0.25">
      <c r="A620" t="s">
        <v>6</v>
      </c>
      <c r="B620" s="1">
        <v>45937</v>
      </c>
      <c r="C620" t="s">
        <v>575</v>
      </c>
      <c r="D620">
        <v>-139.66</v>
      </c>
      <c r="E620" t="s">
        <v>10</v>
      </c>
      <c r="F620">
        <v>3381.32</v>
      </c>
      <c r="G620" t="str" cm="1">
        <f t="array" ref="G620">IF(AND(ISNUMBER(SEARCH("UBER",C620)),ISNUMBER(SEARCH("EATS",C620))),"Uber Eats",IF(LEFT(C620,6)="CHECK ","Checks Paid",IF(OR(E620="BILLPAY",ISNUMBER(SEARCH("FRANCHISE TAX",C620)),ISNUMBER(SEARCH("NEXTLINK",C620))),"Personal - House Bills",IF(AND(ISNUMBER(SEARCH("PAYMENT FROM",C620)),ISNUMBER(SEARCH("JOE SAUNDERS",C620))),"Zelle from Joe Saunders",IF(AND(ISNUMBER(SEARCH("PAYMENT TO",C620)),ISNUMBER(SEARCH("JOE SAUNDERS",C620))),"Zelle to Joe Saunders",IF(OR(ISNUMBER(SEARCH("NEW ORLEANS",C620)),ISNUMBER(SEARCH("KENNER",C620)),ISNUMBER(SEARCH("HENRY HOWARD",C620)),ISNUMBER(SEARCH("MISS CLAUDIA",C620))),"Personal Travel - New Orleans",IF(AND(YEAR(B620)=2025,MONTH(B620)=4,OR(ISNUMBER(SEARCH("EXCHANGE RATE",C620)),ISNUMBER(SEARCH("EXCHG RTE",C620)))),"Personal Travel - Italy",IFERROR(INDEX('Category Rules'!$B$2:$B$358,MATCH(TRUE,ISNUMBER(SEARCH('Category Rules'!$A$2:$A$358,C620)),0)),""))))))))</f>
        <v>Personal - Shopping</v>
      </c>
    </row>
    <row r="621" spans="1:7" x14ac:dyDescent="0.25">
      <c r="A621" t="s">
        <v>44</v>
      </c>
      <c r="B621" s="1">
        <v>45937</v>
      </c>
      <c r="C621" t="s">
        <v>576</v>
      </c>
      <c r="D621">
        <v>1225</v>
      </c>
      <c r="E621" t="s">
        <v>339</v>
      </c>
      <c r="F621">
        <v>3520.98</v>
      </c>
      <c r="G621" t="str" cm="1">
        <f t="array" ref="G621">IF(AND(ISNUMBER(SEARCH("UBER",C621)),ISNUMBER(SEARCH("EATS",C621))),"Uber Eats",IF(LEFT(C621,6)="CHECK ","Checks Paid",IF(OR(E621="BILLPAY",ISNUMBER(SEARCH("FRANCHISE TAX",C621)),ISNUMBER(SEARCH("NEXTLINK",C621))),"Personal - House Bills",IF(AND(ISNUMBER(SEARCH("PAYMENT FROM",C621)),ISNUMBER(SEARCH("JOE SAUNDERS",C621))),"Zelle from Joe Saunders",IF(AND(ISNUMBER(SEARCH("PAYMENT TO",C621)),ISNUMBER(SEARCH("JOE SAUNDERS",C621))),"Zelle to Joe Saunders",IF(OR(ISNUMBER(SEARCH("NEW ORLEANS",C621)),ISNUMBER(SEARCH("KENNER",C621)),ISNUMBER(SEARCH("HENRY HOWARD",C621)),ISNUMBER(SEARCH("MISS CLAUDIA",C621))),"Personal Travel - New Orleans",IF(AND(YEAR(B621)=2025,MONTH(B621)=4,OR(ISNUMBER(SEARCH("EXCHANGE RATE",C621)),ISNUMBER(SEARCH("EXCHG RTE",C621)))),"Personal Travel - Italy",IFERROR(INDEX('Category Rules'!$B$2:$B$358,MATCH(TRUE,ISNUMBER(SEARCH('Category Rules'!$A$2:$A$358,C621)),0)),""))))))))</f>
        <v>Deposit</v>
      </c>
    </row>
    <row r="622" spans="1:7" x14ac:dyDescent="0.25">
      <c r="A622" t="s">
        <v>6</v>
      </c>
      <c r="B622" s="1">
        <v>45936</v>
      </c>
      <c r="C622" t="s">
        <v>577</v>
      </c>
      <c r="D622">
        <v>-68.64</v>
      </c>
      <c r="E622" t="s">
        <v>10</v>
      </c>
      <c r="F622">
        <v>2295.98</v>
      </c>
      <c r="G622" t="str" cm="1">
        <f t="array" ref="G622">IF(AND(ISNUMBER(SEARCH("UBER",C622)),ISNUMBER(SEARCH("EATS",C622))),"Uber Eats",IF(LEFT(C622,6)="CHECK ","Checks Paid",IF(OR(E622="BILLPAY",ISNUMBER(SEARCH("FRANCHISE TAX",C622)),ISNUMBER(SEARCH("NEXTLINK",C622))),"Personal - House Bills",IF(AND(ISNUMBER(SEARCH("PAYMENT FROM",C622)),ISNUMBER(SEARCH("JOE SAUNDERS",C622))),"Zelle from Joe Saunders",IF(AND(ISNUMBER(SEARCH("PAYMENT TO",C622)),ISNUMBER(SEARCH("JOE SAUNDERS",C622))),"Zelle to Joe Saunders",IF(OR(ISNUMBER(SEARCH("NEW ORLEANS",C622)),ISNUMBER(SEARCH("KENNER",C622)),ISNUMBER(SEARCH("HENRY HOWARD",C622)),ISNUMBER(SEARCH("MISS CLAUDIA",C622))),"Personal Travel - New Orleans",IF(AND(YEAR(B622)=2025,MONTH(B622)=4,OR(ISNUMBER(SEARCH("EXCHANGE RATE",C622)),ISNUMBER(SEARCH("EXCHG RTE",C622)))),"Personal Travel - Italy",IFERROR(INDEX('Category Rules'!$B$2:$B$358,MATCH(TRUE,ISNUMBER(SEARCH('Category Rules'!$A$2:$A$358,C622)),0)),""))))))))</f>
        <v>Uber Eats</v>
      </c>
    </row>
    <row r="623" spans="1:7" x14ac:dyDescent="0.25">
      <c r="A623" t="s">
        <v>6</v>
      </c>
      <c r="B623" s="1">
        <v>45936</v>
      </c>
      <c r="C623" t="s">
        <v>578</v>
      </c>
      <c r="D623">
        <v>-291.88</v>
      </c>
      <c r="E623" t="s">
        <v>10</v>
      </c>
      <c r="F623">
        <v>2364.62</v>
      </c>
      <c r="G623" t="str" cm="1">
        <f t="array" ref="G623">IF(AND(ISNUMBER(SEARCH("UBER",C623)),ISNUMBER(SEARCH("EATS",C623))),"Uber Eats",IF(LEFT(C623,6)="CHECK ","Checks Paid",IF(OR(E623="BILLPAY",ISNUMBER(SEARCH("FRANCHISE TAX",C623)),ISNUMBER(SEARCH("NEXTLINK",C623))),"Personal - House Bills",IF(AND(ISNUMBER(SEARCH("PAYMENT FROM",C623)),ISNUMBER(SEARCH("JOE SAUNDERS",C623))),"Zelle from Joe Saunders",IF(AND(ISNUMBER(SEARCH("PAYMENT TO",C623)),ISNUMBER(SEARCH("JOE SAUNDERS",C623))),"Zelle to Joe Saunders",IF(OR(ISNUMBER(SEARCH("NEW ORLEANS",C623)),ISNUMBER(SEARCH("KENNER",C623)),ISNUMBER(SEARCH("HENRY HOWARD",C623)),ISNUMBER(SEARCH("MISS CLAUDIA",C623))),"Personal Travel - New Orleans",IF(AND(YEAR(B623)=2025,MONTH(B623)=4,OR(ISNUMBER(SEARCH("EXCHANGE RATE",C623)),ISNUMBER(SEARCH("EXCHG RTE",C623)))),"Personal Travel - Italy",IFERROR(INDEX('Category Rules'!$B$2:$B$358,MATCH(TRUE,ISNUMBER(SEARCH('Category Rules'!$A$2:$A$358,C623)),0)),""))))))))</f>
        <v>Etsy</v>
      </c>
    </row>
    <row r="624" spans="1:7" x14ac:dyDescent="0.25">
      <c r="A624" t="s">
        <v>6</v>
      </c>
      <c r="B624" s="1">
        <v>45936</v>
      </c>
      <c r="C624" t="s">
        <v>579</v>
      </c>
      <c r="D624">
        <v>-13.99</v>
      </c>
      <c r="E624" t="s">
        <v>10</v>
      </c>
      <c r="F624">
        <v>2656.5</v>
      </c>
      <c r="G624" t="str" cm="1">
        <f t="array" ref="G624">IF(AND(ISNUMBER(SEARCH("UBER",C624)),ISNUMBER(SEARCH("EATS",C624))),"Uber Eats",IF(LEFT(C624,6)="CHECK ","Checks Paid",IF(OR(E624="BILLPAY",ISNUMBER(SEARCH("FRANCHISE TAX",C624)),ISNUMBER(SEARCH("NEXTLINK",C624))),"Personal - House Bills",IF(AND(ISNUMBER(SEARCH("PAYMENT FROM",C624)),ISNUMBER(SEARCH("JOE SAUNDERS",C624))),"Zelle from Joe Saunders",IF(AND(ISNUMBER(SEARCH("PAYMENT TO",C624)),ISNUMBER(SEARCH("JOE SAUNDERS",C624))),"Zelle to Joe Saunders",IF(OR(ISNUMBER(SEARCH("NEW ORLEANS",C624)),ISNUMBER(SEARCH("KENNER",C624)),ISNUMBER(SEARCH("HENRY HOWARD",C624)),ISNUMBER(SEARCH("MISS CLAUDIA",C624))),"Personal Travel - New Orleans",IF(AND(YEAR(B624)=2025,MONTH(B624)=4,OR(ISNUMBER(SEARCH("EXCHANGE RATE",C624)),ISNUMBER(SEARCH("EXCHG RTE",C624)))),"Personal Travel - Italy",IFERROR(INDEX('Category Rules'!$B$2:$B$358,MATCH(TRUE,ISNUMBER(SEARCH('Category Rules'!$A$2:$A$358,C624)),0)),""))))))))</f>
        <v>YouTube Premium</v>
      </c>
    </row>
    <row r="625" spans="1:7" x14ac:dyDescent="0.25">
      <c r="A625" t="s">
        <v>6</v>
      </c>
      <c r="B625" s="1">
        <v>45936</v>
      </c>
      <c r="C625" t="s">
        <v>580</v>
      </c>
      <c r="D625">
        <v>-40.47</v>
      </c>
      <c r="E625" t="s">
        <v>10</v>
      </c>
      <c r="F625">
        <v>2670.49</v>
      </c>
      <c r="G625" t="str" cm="1">
        <f t="array" ref="G625">IF(AND(ISNUMBER(SEARCH("UBER",C625)),ISNUMBER(SEARCH("EATS",C625))),"Uber Eats",IF(LEFT(C625,6)="CHECK ","Checks Paid",IF(OR(E625="BILLPAY",ISNUMBER(SEARCH("FRANCHISE TAX",C625)),ISNUMBER(SEARCH("NEXTLINK",C625))),"Personal - House Bills",IF(AND(ISNUMBER(SEARCH("PAYMENT FROM",C625)),ISNUMBER(SEARCH("JOE SAUNDERS",C625))),"Zelle from Joe Saunders",IF(AND(ISNUMBER(SEARCH("PAYMENT TO",C625)),ISNUMBER(SEARCH("JOE SAUNDERS",C625))),"Zelle to Joe Saunders",IF(OR(ISNUMBER(SEARCH("NEW ORLEANS",C625)),ISNUMBER(SEARCH("KENNER",C625)),ISNUMBER(SEARCH("HENRY HOWARD",C625)),ISNUMBER(SEARCH("MISS CLAUDIA",C625))),"Personal Travel - New Orleans",IF(AND(YEAR(B625)=2025,MONTH(B625)=4,OR(ISNUMBER(SEARCH("EXCHANGE RATE",C625)),ISNUMBER(SEARCH("EXCHG RTE",C625)))),"Personal Travel - Italy",IFERROR(INDEX('Category Rules'!$B$2:$B$358,MATCH(TRUE,ISNUMBER(SEARCH('Category Rules'!$A$2:$A$358,C625)),0)),""))))))))</f>
        <v>Amazon</v>
      </c>
    </row>
    <row r="626" spans="1:7" x14ac:dyDescent="0.25">
      <c r="A626" t="s">
        <v>6</v>
      </c>
      <c r="B626" s="1">
        <v>45936</v>
      </c>
      <c r="C626" t="s">
        <v>581</v>
      </c>
      <c r="D626">
        <v>-0.28000000000000003</v>
      </c>
      <c r="E626" t="s">
        <v>10</v>
      </c>
      <c r="F626">
        <v>2710.96</v>
      </c>
      <c r="G626" t="str" cm="1">
        <f t="array" ref="G626">IF(AND(ISNUMBER(SEARCH("UBER",C626)),ISNUMBER(SEARCH("EATS",C626))),"Uber Eats",IF(LEFT(C626,6)="CHECK ","Checks Paid",IF(OR(E626="BILLPAY",ISNUMBER(SEARCH("FRANCHISE TAX",C626)),ISNUMBER(SEARCH("NEXTLINK",C626))),"Personal - House Bills",IF(AND(ISNUMBER(SEARCH("PAYMENT FROM",C626)),ISNUMBER(SEARCH("JOE SAUNDERS",C626))),"Zelle from Joe Saunders",IF(AND(ISNUMBER(SEARCH("PAYMENT TO",C626)),ISNUMBER(SEARCH("JOE SAUNDERS",C626))),"Zelle to Joe Saunders",IF(OR(ISNUMBER(SEARCH("NEW ORLEANS",C626)),ISNUMBER(SEARCH("KENNER",C626)),ISNUMBER(SEARCH("HENRY HOWARD",C626)),ISNUMBER(SEARCH("MISS CLAUDIA",C626))),"Personal Travel - New Orleans",IF(AND(YEAR(B626)=2025,MONTH(B626)=4,OR(ISNUMBER(SEARCH("EXCHANGE RATE",C626)),ISNUMBER(SEARCH("EXCHG RTE",C626)))),"Personal Travel - Italy",IFERROR(INDEX('Category Rules'!$B$2:$B$358,MATCH(TRUE,ISNUMBER(SEARCH('Category Rules'!$A$2:$A$358,C626)),0)),""))))))))</f>
        <v>Amazon</v>
      </c>
    </row>
    <row r="627" spans="1:7" x14ac:dyDescent="0.25">
      <c r="A627" t="s">
        <v>6</v>
      </c>
      <c r="B627" s="1">
        <v>45936</v>
      </c>
      <c r="C627" t="s">
        <v>582</v>
      </c>
      <c r="D627">
        <v>-29.95</v>
      </c>
      <c r="E627" t="s">
        <v>10</v>
      </c>
      <c r="F627">
        <v>2711.24</v>
      </c>
      <c r="G627" t="str" cm="1">
        <f t="array" ref="G627">IF(AND(ISNUMBER(SEARCH("UBER",C627)),ISNUMBER(SEARCH("EATS",C627))),"Uber Eats",IF(LEFT(C627,6)="CHECK ","Checks Paid",IF(OR(E627="BILLPAY",ISNUMBER(SEARCH("FRANCHISE TAX",C627)),ISNUMBER(SEARCH("NEXTLINK",C627))),"Personal - House Bills",IF(AND(ISNUMBER(SEARCH("PAYMENT FROM",C627)),ISNUMBER(SEARCH("JOE SAUNDERS",C627))),"Zelle from Joe Saunders",IF(AND(ISNUMBER(SEARCH("PAYMENT TO",C627)),ISNUMBER(SEARCH("JOE SAUNDERS",C627))),"Zelle to Joe Saunders",IF(OR(ISNUMBER(SEARCH("NEW ORLEANS",C627)),ISNUMBER(SEARCH("KENNER",C627)),ISNUMBER(SEARCH("HENRY HOWARD",C627)),ISNUMBER(SEARCH("MISS CLAUDIA",C627))),"Personal Travel - New Orleans",IF(AND(YEAR(B627)=2025,MONTH(B627)=4,OR(ISNUMBER(SEARCH("EXCHANGE RATE",C627)),ISNUMBER(SEARCH("EXCHG RTE",C627)))),"Personal Travel - Italy",IFERROR(INDEX('Category Rules'!$B$2:$B$358,MATCH(TRUE,ISNUMBER(SEARCH('Category Rules'!$A$2:$A$358,C627)),0)),""))))))))</f>
        <v>Personal - Subscription</v>
      </c>
    </row>
    <row r="628" spans="1:7" x14ac:dyDescent="0.25">
      <c r="A628" t="s">
        <v>6</v>
      </c>
      <c r="B628" s="1">
        <v>45936</v>
      </c>
      <c r="C628" t="s">
        <v>583</v>
      </c>
      <c r="D628">
        <v>-22</v>
      </c>
      <c r="E628" t="s">
        <v>10</v>
      </c>
      <c r="F628">
        <v>2741.19</v>
      </c>
      <c r="G628" t="str" cm="1">
        <f t="array" ref="G628">IF(AND(ISNUMBER(SEARCH("UBER",C628)),ISNUMBER(SEARCH("EATS",C628))),"Uber Eats",IF(LEFT(C628,6)="CHECK ","Checks Paid",IF(OR(E628="BILLPAY",ISNUMBER(SEARCH("FRANCHISE TAX",C628)),ISNUMBER(SEARCH("NEXTLINK",C628))),"Personal - House Bills",IF(AND(ISNUMBER(SEARCH("PAYMENT FROM",C628)),ISNUMBER(SEARCH("JOE SAUNDERS",C628))),"Zelle from Joe Saunders",IF(AND(ISNUMBER(SEARCH("PAYMENT TO",C628)),ISNUMBER(SEARCH("JOE SAUNDERS",C628))),"Zelle to Joe Saunders",IF(OR(ISNUMBER(SEARCH("NEW ORLEANS",C628)),ISNUMBER(SEARCH("KENNER",C628)),ISNUMBER(SEARCH("HENRY HOWARD",C628)),ISNUMBER(SEARCH("MISS CLAUDIA",C628))),"Personal Travel - New Orleans",IF(AND(YEAR(B628)=2025,MONTH(B628)=4,OR(ISNUMBER(SEARCH("EXCHANGE RATE",C628)),ISNUMBER(SEARCH("EXCHG RTE",C628)))),"Personal Travel - Italy",IFERROR(INDEX('Category Rules'!$B$2:$B$358,MATCH(TRUE,ISNUMBER(SEARCH('Category Rules'!$A$2:$A$358,C628)),0)),""))))))))</f>
        <v>Personal - Subscription</v>
      </c>
    </row>
    <row r="629" spans="1:7" x14ac:dyDescent="0.25">
      <c r="A629" t="s">
        <v>6</v>
      </c>
      <c r="B629" s="1">
        <v>45936</v>
      </c>
      <c r="C629" t="s">
        <v>584</v>
      </c>
      <c r="D629">
        <v>-230.27</v>
      </c>
      <c r="E629" t="s">
        <v>10</v>
      </c>
      <c r="F629">
        <v>2763.19</v>
      </c>
      <c r="G629" t="str" cm="1">
        <f t="array" ref="G629">IF(AND(ISNUMBER(SEARCH("UBER",C629)),ISNUMBER(SEARCH("EATS",C629))),"Uber Eats",IF(LEFT(C629,6)="CHECK ","Checks Paid",IF(OR(E629="BILLPAY",ISNUMBER(SEARCH("FRANCHISE TAX",C629)),ISNUMBER(SEARCH("NEXTLINK",C629))),"Personal - House Bills",IF(AND(ISNUMBER(SEARCH("PAYMENT FROM",C629)),ISNUMBER(SEARCH("JOE SAUNDERS",C629))),"Zelle from Joe Saunders",IF(AND(ISNUMBER(SEARCH("PAYMENT TO",C629)),ISNUMBER(SEARCH("JOE SAUNDERS",C629))),"Zelle to Joe Saunders",IF(OR(ISNUMBER(SEARCH("NEW ORLEANS",C629)),ISNUMBER(SEARCH("KENNER",C629)),ISNUMBER(SEARCH("HENRY HOWARD",C629)),ISNUMBER(SEARCH("MISS CLAUDIA",C629))),"Personal Travel - New Orleans",IF(AND(YEAR(B629)=2025,MONTH(B629)=4,OR(ISNUMBER(SEARCH("EXCHANGE RATE",C629)),ISNUMBER(SEARCH("EXCHG RTE",C629)))),"Personal Travel - Italy",IFERROR(INDEX('Category Rules'!$B$2:$B$358,MATCH(TRUE,ISNUMBER(SEARCH('Category Rules'!$A$2:$A$358,C629)),0)),""))))))))</f>
        <v>Personal - Shopping</v>
      </c>
    </row>
    <row r="630" spans="1:7" x14ac:dyDescent="0.25">
      <c r="A630" t="s">
        <v>6</v>
      </c>
      <c r="B630" s="1">
        <v>45936</v>
      </c>
      <c r="C630" t="s">
        <v>585</v>
      </c>
      <c r="D630">
        <v>-53.09</v>
      </c>
      <c r="E630" t="s">
        <v>10</v>
      </c>
      <c r="F630">
        <v>2993.46</v>
      </c>
      <c r="G630" t="str" cm="1">
        <f t="array" ref="G630">IF(AND(ISNUMBER(SEARCH("UBER",C630)),ISNUMBER(SEARCH("EATS",C630))),"Uber Eats",IF(LEFT(C630,6)="CHECK ","Checks Paid",IF(OR(E630="BILLPAY",ISNUMBER(SEARCH("FRANCHISE TAX",C630)),ISNUMBER(SEARCH("NEXTLINK",C630))),"Personal - House Bills",IF(AND(ISNUMBER(SEARCH("PAYMENT FROM",C630)),ISNUMBER(SEARCH("JOE SAUNDERS",C630))),"Zelle from Joe Saunders",IF(AND(ISNUMBER(SEARCH("PAYMENT TO",C630)),ISNUMBER(SEARCH("JOE SAUNDERS",C630))),"Zelle to Joe Saunders",IF(OR(ISNUMBER(SEARCH("NEW ORLEANS",C630)),ISNUMBER(SEARCH("KENNER",C630)),ISNUMBER(SEARCH("HENRY HOWARD",C630)),ISNUMBER(SEARCH("MISS CLAUDIA",C630))),"Personal Travel - New Orleans",IF(AND(YEAR(B630)=2025,MONTH(B630)=4,OR(ISNUMBER(SEARCH("EXCHANGE RATE",C630)),ISNUMBER(SEARCH("EXCHG RTE",C630)))),"Personal Travel - Italy",IFERROR(INDEX('Category Rules'!$B$2:$B$358,MATCH(TRUE,ISNUMBER(SEARCH('Category Rules'!$A$2:$A$358,C630)),0)),""))))))))</f>
        <v>Personal - Shopping</v>
      </c>
    </row>
    <row r="631" spans="1:7" x14ac:dyDescent="0.25">
      <c r="A631" t="s">
        <v>6</v>
      </c>
      <c r="B631" s="1">
        <v>45936</v>
      </c>
      <c r="C631" t="s">
        <v>586</v>
      </c>
      <c r="D631">
        <v>-13.7</v>
      </c>
      <c r="E631" t="s">
        <v>10</v>
      </c>
      <c r="F631">
        <v>3046.55</v>
      </c>
      <c r="G631" t="str" cm="1">
        <f t="array" ref="G631">IF(AND(ISNUMBER(SEARCH("UBER",C631)),ISNUMBER(SEARCH("EATS",C631))),"Uber Eats",IF(LEFT(C631,6)="CHECK ","Checks Paid",IF(OR(E631="BILLPAY",ISNUMBER(SEARCH("FRANCHISE TAX",C631)),ISNUMBER(SEARCH("NEXTLINK",C631))),"Personal - House Bills",IF(AND(ISNUMBER(SEARCH("PAYMENT FROM",C631)),ISNUMBER(SEARCH("JOE SAUNDERS",C631))),"Zelle from Joe Saunders",IF(AND(ISNUMBER(SEARCH("PAYMENT TO",C631)),ISNUMBER(SEARCH("JOE SAUNDERS",C631))),"Zelle to Joe Saunders",IF(OR(ISNUMBER(SEARCH("NEW ORLEANS",C631)),ISNUMBER(SEARCH("KENNER",C631)),ISNUMBER(SEARCH("HENRY HOWARD",C631)),ISNUMBER(SEARCH("MISS CLAUDIA",C631))),"Personal Travel - New Orleans",IF(AND(YEAR(B631)=2025,MONTH(B631)=4,OR(ISNUMBER(SEARCH("EXCHANGE RATE",C631)),ISNUMBER(SEARCH("EXCHG RTE",C631)))),"Personal Travel - Italy",IFERROR(INDEX('Category Rules'!$B$2:$B$358,MATCH(TRUE,ISNUMBER(SEARCH('Category Rules'!$A$2:$A$358,C631)),0)),""))))))))</f>
        <v>Personal - Food</v>
      </c>
    </row>
    <row r="632" spans="1:7" x14ac:dyDescent="0.25">
      <c r="A632" t="s">
        <v>6</v>
      </c>
      <c r="B632" s="1">
        <v>45936</v>
      </c>
      <c r="C632" t="s">
        <v>587</v>
      </c>
      <c r="D632">
        <v>-40.36</v>
      </c>
      <c r="E632" t="s">
        <v>10</v>
      </c>
      <c r="F632">
        <v>3060.25</v>
      </c>
      <c r="G632" t="str" cm="1">
        <f t="array" ref="G632">IF(AND(ISNUMBER(SEARCH("UBER",C632)),ISNUMBER(SEARCH("EATS",C632))),"Uber Eats",IF(LEFT(C632,6)="CHECK ","Checks Paid",IF(OR(E632="BILLPAY",ISNUMBER(SEARCH("FRANCHISE TAX",C632)),ISNUMBER(SEARCH("NEXTLINK",C632))),"Personal - House Bills",IF(AND(ISNUMBER(SEARCH("PAYMENT FROM",C632)),ISNUMBER(SEARCH("JOE SAUNDERS",C632))),"Zelle from Joe Saunders",IF(AND(ISNUMBER(SEARCH("PAYMENT TO",C632)),ISNUMBER(SEARCH("JOE SAUNDERS",C632))),"Zelle to Joe Saunders",IF(OR(ISNUMBER(SEARCH("NEW ORLEANS",C632)),ISNUMBER(SEARCH("KENNER",C632)),ISNUMBER(SEARCH("HENRY HOWARD",C632)),ISNUMBER(SEARCH("MISS CLAUDIA",C632))),"Personal Travel - New Orleans",IF(AND(YEAR(B632)=2025,MONTH(B632)=4,OR(ISNUMBER(SEARCH("EXCHANGE RATE",C632)),ISNUMBER(SEARCH("EXCHG RTE",C632)))),"Personal Travel - Italy",IFERROR(INDEX('Category Rules'!$B$2:$B$358,MATCH(TRUE,ISNUMBER(SEARCH('Category Rules'!$A$2:$A$358,C632)),0)),""))))))))</f>
        <v>Personal - Entertainment</v>
      </c>
    </row>
    <row r="633" spans="1:7" x14ac:dyDescent="0.25">
      <c r="A633" t="s">
        <v>6</v>
      </c>
      <c r="B633" s="1">
        <v>45936</v>
      </c>
      <c r="C633" t="s">
        <v>588</v>
      </c>
      <c r="D633">
        <v>-317.38</v>
      </c>
      <c r="E633" t="s">
        <v>10</v>
      </c>
      <c r="F633">
        <v>3100.61</v>
      </c>
      <c r="G633" t="str" cm="1">
        <f t="array" ref="G633">IF(AND(ISNUMBER(SEARCH("UBER",C633)),ISNUMBER(SEARCH("EATS",C633))),"Uber Eats",IF(LEFT(C633,6)="CHECK ","Checks Paid",IF(OR(E633="BILLPAY",ISNUMBER(SEARCH("FRANCHISE TAX",C633)),ISNUMBER(SEARCH("NEXTLINK",C633))),"Personal - House Bills",IF(AND(ISNUMBER(SEARCH("PAYMENT FROM",C633)),ISNUMBER(SEARCH("JOE SAUNDERS",C633))),"Zelle from Joe Saunders",IF(AND(ISNUMBER(SEARCH("PAYMENT TO",C633)),ISNUMBER(SEARCH("JOE SAUNDERS",C633))),"Zelle to Joe Saunders",IF(OR(ISNUMBER(SEARCH("NEW ORLEANS",C633)),ISNUMBER(SEARCH("KENNER",C633)),ISNUMBER(SEARCH("HENRY HOWARD",C633)),ISNUMBER(SEARCH("MISS CLAUDIA",C633))),"Personal Travel - New Orleans",IF(AND(YEAR(B633)=2025,MONTH(B633)=4,OR(ISNUMBER(SEARCH("EXCHANGE RATE",C633)),ISNUMBER(SEARCH("EXCHG RTE",C633)))),"Personal Travel - Italy",IFERROR(INDEX('Category Rules'!$B$2:$B$358,MATCH(TRUE,ISNUMBER(SEARCH('Category Rules'!$A$2:$A$358,C633)),0)),""))))))))</f>
        <v>Personal - Shopping</v>
      </c>
    </row>
    <row r="634" spans="1:7" x14ac:dyDescent="0.25">
      <c r="A634" t="s">
        <v>6</v>
      </c>
      <c r="B634" s="1">
        <v>45936</v>
      </c>
      <c r="C634" t="s">
        <v>589</v>
      </c>
      <c r="D634">
        <v>-128.61000000000001</v>
      </c>
      <c r="E634" t="s">
        <v>10</v>
      </c>
      <c r="F634">
        <v>3417.99</v>
      </c>
      <c r="G634" t="str" cm="1">
        <f t="array" ref="G634">IF(AND(ISNUMBER(SEARCH("UBER",C634)),ISNUMBER(SEARCH("EATS",C634))),"Uber Eats",IF(LEFT(C634,6)="CHECK ","Checks Paid",IF(OR(E634="BILLPAY",ISNUMBER(SEARCH("FRANCHISE TAX",C634)),ISNUMBER(SEARCH("NEXTLINK",C634))),"Personal - House Bills",IF(AND(ISNUMBER(SEARCH("PAYMENT FROM",C634)),ISNUMBER(SEARCH("JOE SAUNDERS",C634))),"Zelle from Joe Saunders",IF(AND(ISNUMBER(SEARCH("PAYMENT TO",C634)),ISNUMBER(SEARCH("JOE SAUNDERS",C634))),"Zelle to Joe Saunders",IF(OR(ISNUMBER(SEARCH("NEW ORLEANS",C634)),ISNUMBER(SEARCH("KENNER",C634)),ISNUMBER(SEARCH("HENRY HOWARD",C634)),ISNUMBER(SEARCH("MISS CLAUDIA",C634))),"Personal Travel - New Orleans",IF(AND(YEAR(B634)=2025,MONTH(B634)=4,OR(ISNUMBER(SEARCH("EXCHANGE RATE",C634)),ISNUMBER(SEARCH("EXCHG RTE",C634)))),"Personal Travel - Italy",IFERROR(INDEX('Category Rules'!$B$2:$B$358,MATCH(TRUE,ISNUMBER(SEARCH('Category Rules'!$A$2:$A$358,C634)),0)),""))))))))</f>
        <v>Etsy</v>
      </c>
    </row>
    <row r="635" spans="1:7" x14ac:dyDescent="0.25">
      <c r="A635" t="s">
        <v>6</v>
      </c>
      <c r="B635" s="1">
        <v>45936</v>
      </c>
      <c r="C635" t="s">
        <v>590</v>
      </c>
      <c r="D635">
        <v>-369.85</v>
      </c>
      <c r="E635" t="s">
        <v>10</v>
      </c>
      <c r="F635">
        <v>3546.6</v>
      </c>
      <c r="G635" t="str" cm="1">
        <f t="array" ref="G635">IF(AND(ISNUMBER(SEARCH("UBER",C635)),ISNUMBER(SEARCH("EATS",C635))),"Uber Eats",IF(LEFT(C635,6)="CHECK ","Checks Paid",IF(OR(E635="BILLPAY",ISNUMBER(SEARCH("FRANCHISE TAX",C635)),ISNUMBER(SEARCH("NEXTLINK",C635))),"Personal - House Bills",IF(AND(ISNUMBER(SEARCH("PAYMENT FROM",C635)),ISNUMBER(SEARCH("JOE SAUNDERS",C635))),"Zelle from Joe Saunders",IF(AND(ISNUMBER(SEARCH("PAYMENT TO",C635)),ISNUMBER(SEARCH("JOE SAUNDERS",C635))),"Zelle to Joe Saunders",IF(OR(ISNUMBER(SEARCH("NEW ORLEANS",C635)),ISNUMBER(SEARCH("KENNER",C635)),ISNUMBER(SEARCH("HENRY HOWARD",C635)),ISNUMBER(SEARCH("MISS CLAUDIA",C635))),"Personal Travel - New Orleans",IF(AND(YEAR(B635)=2025,MONTH(B635)=4,OR(ISNUMBER(SEARCH("EXCHANGE RATE",C635)),ISNUMBER(SEARCH("EXCHG RTE",C635)))),"Personal Travel - Italy",IFERROR(INDEX('Category Rules'!$B$2:$B$358,MATCH(TRUE,ISNUMBER(SEARCH('Category Rules'!$A$2:$A$358,C635)),0)),""))))))))</f>
        <v>Etsy</v>
      </c>
    </row>
    <row r="636" spans="1:7" x14ac:dyDescent="0.25">
      <c r="A636" t="s">
        <v>6</v>
      </c>
      <c r="B636" s="1">
        <v>45936</v>
      </c>
      <c r="C636" t="s">
        <v>591</v>
      </c>
      <c r="D636">
        <v>-23.43</v>
      </c>
      <c r="E636" t="s">
        <v>10</v>
      </c>
      <c r="F636">
        <v>3916.45</v>
      </c>
      <c r="G636" t="str" cm="1">
        <f t="array" ref="G636">IF(AND(ISNUMBER(SEARCH("UBER",C636)),ISNUMBER(SEARCH("EATS",C636))),"Uber Eats",IF(LEFT(C636,6)="CHECK ","Checks Paid",IF(OR(E636="BILLPAY",ISNUMBER(SEARCH("FRANCHISE TAX",C636)),ISNUMBER(SEARCH("NEXTLINK",C636))),"Personal - House Bills",IF(AND(ISNUMBER(SEARCH("PAYMENT FROM",C636)),ISNUMBER(SEARCH("JOE SAUNDERS",C636))),"Zelle from Joe Saunders",IF(AND(ISNUMBER(SEARCH("PAYMENT TO",C636)),ISNUMBER(SEARCH("JOE SAUNDERS",C636))),"Zelle to Joe Saunders",IF(OR(ISNUMBER(SEARCH("NEW ORLEANS",C636)),ISNUMBER(SEARCH("KENNER",C636)),ISNUMBER(SEARCH("HENRY HOWARD",C636)),ISNUMBER(SEARCH("MISS CLAUDIA",C636))),"Personal Travel - New Orleans",IF(AND(YEAR(B636)=2025,MONTH(B636)=4,OR(ISNUMBER(SEARCH("EXCHANGE RATE",C636)),ISNUMBER(SEARCH("EXCHG RTE",C636)))),"Personal Travel - Italy",IFERROR(INDEX('Category Rules'!$B$2:$B$358,MATCH(TRUE,ISNUMBER(SEARCH('Category Rules'!$A$2:$A$358,C636)),0)),""))))))))</f>
        <v>Personal - Entertainment</v>
      </c>
    </row>
    <row r="637" spans="1:7" x14ac:dyDescent="0.25">
      <c r="A637" t="s">
        <v>6</v>
      </c>
      <c r="B637" s="1">
        <v>45936</v>
      </c>
      <c r="C637" t="s">
        <v>592</v>
      </c>
      <c r="D637">
        <v>-646.67999999999995</v>
      </c>
      <c r="E637" t="s">
        <v>10</v>
      </c>
      <c r="F637">
        <v>3939.88</v>
      </c>
      <c r="G637" t="str" cm="1">
        <f t="array" ref="G637">IF(AND(ISNUMBER(SEARCH("UBER",C637)),ISNUMBER(SEARCH("EATS",C637))),"Uber Eats",IF(LEFT(C637,6)="CHECK ","Checks Paid",IF(OR(E637="BILLPAY",ISNUMBER(SEARCH("FRANCHISE TAX",C637)),ISNUMBER(SEARCH("NEXTLINK",C637))),"Personal - House Bills",IF(AND(ISNUMBER(SEARCH("PAYMENT FROM",C637)),ISNUMBER(SEARCH("JOE SAUNDERS",C637))),"Zelle from Joe Saunders",IF(AND(ISNUMBER(SEARCH("PAYMENT TO",C637)),ISNUMBER(SEARCH("JOE SAUNDERS",C637))),"Zelle to Joe Saunders",IF(OR(ISNUMBER(SEARCH("NEW ORLEANS",C637)),ISNUMBER(SEARCH("KENNER",C637)),ISNUMBER(SEARCH("HENRY HOWARD",C637)),ISNUMBER(SEARCH("MISS CLAUDIA",C637))),"Personal Travel - New Orleans",IF(AND(YEAR(B637)=2025,MONTH(B637)=4,OR(ISNUMBER(SEARCH("EXCHANGE RATE",C637)),ISNUMBER(SEARCH("EXCHG RTE",C637)))),"Personal Travel - Italy",IFERROR(INDEX('Category Rules'!$B$2:$B$358,MATCH(TRUE,ISNUMBER(SEARCH('Category Rules'!$A$2:$A$358,C637)),0)),""))))))))</f>
        <v>Personal Travel</v>
      </c>
    </row>
    <row r="638" spans="1:7" x14ac:dyDescent="0.25">
      <c r="A638" t="s">
        <v>6</v>
      </c>
      <c r="B638" s="1">
        <v>45936</v>
      </c>
      <c r="C638" t="s">
        <v>593</v>
      </c>
      <c r="D638">
        <v>-77.040000000000006</v>
      </c>
      <c r="E638" t="s">
        <v>10</v>
      </c>
      <c r="F638">
        <v>4586.5600000000004</v>
      </c>
      <c r="G638" t="str" cm="1">
        <f t="array" ref="G638">IF(AND(ISNUMBER(SEARCH("UBER",C638)),ISNUMBER(SEARCH("EATS",C638))),"Uber Eats",IF(LEFT(C638,6)="CHECK ","Checks Paid",IF(OR(E638="BILLPAY",ISNUMBER(SEARCH("FRANCHISE TAX",C638)),ISNUMBER(SEARCH("NEXTLINK",C638))),"Personal - House Bills",IF(AND(ISNUMBER(SEARCH("PAYMENT FROM",C638)),ISNUMBER(SEARCH("JOE SAUNDERS",C638))),"Zelle from Joe Saunders",IF(AND(ISNUMBER(SEARCH("PAYMENT TO",C638)),ISNUMBER(SEARCH("JOE SAUNDERS",C638))),"Zelle to Joe Saunders",IF(OR(ISNUMBER(SEARCH("NEW ORLEANS",C638)),ISNUMBER(SEARCH("KENNER",C638)),ISNUMBER(SEARCH("HENRY HOWARD",C638)),ISNUMBER(SEARCH("MISS CLAUDIA",C638))),"Personal Travel - New Orleans",IF(AND(YEAR(B638)=2025,MONTH(B638)=4,OR(ISNUMBER(SEARCH("EXCHANGE RATE",C638)),ISNUMBER(SEARCH("EXCHG RTE",C638)))),"Personal Travel - Italy",IFERROR(INDEX('Category Rules'!$B$2:$B$358,MATCH(TRUE,ISNUMBER(SEARCH('Category Rules'!$A$2:$A$358,C638)),0)),""))))))))</f>
        <v>Personal - Entertainment</v>
      </c>
    </row>
    <row r="639" spans="1:7" x14ac:dyDescent="0.25">
      <c r="A639" t="s">
        <v>6</v>
      </c>
      <c r="B639" s="1">
        <v>45936</v>
      </c>
      <c r="C639" t="s">
        <v>594</v>
      </c>
      <c r="D639">
        <v>-489.52</v>
      </c>
      <c r="E639" t="s">
        <v>10</v>
      </c>
      <c r="F639">
        <v>4663.6000000000004</v>
      </c>
      <c r="G639" t="str" cm="1">
        <f t="array" ref="G639">IF(AND(ISNUMBER(SEARCH("UBER",C639)),ISNUMBER(SEARCH("EATS",C639))),"Uber Eats",IF(LEFT(C639,6)="CHECK ","Checks Paid",IF(OR(E639="BILLPAY",ISNUMBER(SEARCH("FRANCHISE TAX",C639)),ISNUMBER(SEARCH("NEXTLINK",C639))),"Personal - House Bills",IF(AND(ISNUMBER(SEARCH("PAYMENT FROM",C639)),ISNUMBER(SEARCH("JOE SAUNDERS",C639))),"Zelle from Joe Saunders",IF(AND(ISNUMBER(SEARCH("PAYMENT TO",C639)),ISNUMBER(SEARCH("JOE SAUNDERS",C639))),"Zelle to Joe Saunders",IF(OR(ISNUMBER(SEARCH("NEW ORLEANS",C639)),ISNUMBER(SEARCH("KENNER",C639)),ISNUMBER(SEARCH("HENRY HOWARD",C639)),ISNUMBER(SEARCH("MISS CLAUDIA",C639))),"Personal Travel - New Orleans",IF(AND(YEAR(B639)=2025,MONTH(B639)=4,OR(ISNUMBER(SEARCH("EXCHANGE RATE",C639)),ISNUMBER(SEARCH("EXCHG RTE",C639)))),"Personal Travel - Italy",IFERROR(INDEX('Category Rules'!$B$2:$B$358,MATCH(TRUE,ISNUMBER(SEARCH('Category Rules'!$A$2:$A$358,C639)),0)),""))))))))</f>
        <v>Personal - Shopping</v>
      </c>
    </row>
    <row r="640" spans="1:7" x14ac:dyDescent="0.25">
      <c r="A640" t="s">
        <v>6</v>
      </c>
      <c r="B640" s="1">
        <v>45933</v>
      </c>
      <c r="C640" t="s">
        <v>595</v>
      </c>
      <c r="D640">
        <v>-3.99</v>
      </c>
      <c r="E640" t="s">
        <v>10</v>
      </c>
      <c r="F640">
        <v>5153.12</v>
      </c>
      <c r="G640" t="str" cm="1">
        <f t="array" ref="G640">IF(AND(ISNUMBER(SEARCH("UBER",C640)),ISNUMBER(SEARCH("EATS",C640))),"Uber Eats",IF(LEFT(C640,6)="CHECK ","Checks Paid",IF(OR(E640="BILLPAY",ISNUMBER(SEARCH("FRANCHISE TAX",C640)),ISNUMBER(SEARCH("NEXTLINK",C640))),"Personal - House Bills",IF(AND(ISNUMBER(SEARCH("PAYMENT FROM",C640)),ISNUMBER(SEARCH("JOE SAUNDERS",C640))),"Zelle from Joe Saunders",IF(AND(ISNUMBER(SEARCH("PAYMENT TO",C640)),ISNUMBER(SEARCH("JOE SAUNDERS",C640))),"Zelle to Joe Saunders",IF(OR(ISNUMBER(SEARCH("NEW ORLEANS",C640)),ISNUMBER(SEARCH("KENNER",C640)),ISNUMBER(SEARCH("HENRY HOWARD",C640)),ISNUMBER(SEARCH("MISS CLAUDIA",C640))),"Personal Travel - New Orleans",IF(AND(YEAR(B640)=2025,MONTH(B640)=4,OR(ISNUMBER(SEARCH("EXCHANGE RATE",C640)),ISNUMBER(SEARCH("EXCHG RTE",C640)))),"Personal Travel - Italy",IFERROR(INDEX('Category Rules'!$B$2:$B$358,MATCH(TRUE,ISNUMBER(SEARCH('Category Rules'!$A$2:$A$358,C640)),0)),""))))))))</f>
        <v>Apple</v>
      </c>
    </row>
    <row r="641" spans="1:7" x14ac:dyDescent="0.25">
      <c r="A641" t="s">
        <v>6</v>
      </c>
      <c r="B641" s="1">
        <v>45933</v>
      </c>
      <c r="C641" t="s">
        <v>596</v>
      </c>
      <c r="D641">
        <v>-116.84</v>
      </c>
      <c r="E641" t="s">
        <v>10</v>
      </c>
      <c r="F641">
        <v>5157.1099999999997</v>
      </c>
      <c r="G641" t="str" cm="1">
        <f t="array" ref="G641">IF(AND(ISNUMBER(SEARCH("UBER",C641)),ISNUMBER(SEARCH("EATS",C641))),"Uber Eats",IF(LEFT(C641,6)="CHECK ","Checks Paid",IF(OR(E641="BILLPAY",ISNUMBER(SEARCH("FRANCHISE TAX",C641)),ISNUMBER(SEARCH("NEXTLINK",C641))),"Personal - House Bills",IF(AND(ISNUMBER(SEARCH("PAYMENT FROM",C641)),ISNUMBER(SEARCH("JOE SAUNDERS",C641))),"Zelle from Joe Saunders",IF(AND(ISNUMBER(SEARCH("PAYMENT TO",C641)),ISNUMBER(SEARCH("JOE SAUNDERS",C641))),"Zelle to Joe Saunders",IF(OR(ISNUMBER(SEARCH("NEW ORLEANS",C641)),ISNUMBER(SEARCH("KENNER",C641)),ISNUMBER(SEARCH("HENRY HOWARD",C641)),ISNUMBER(SEARCH("MISS CLAUDIA",C641))),"Personal Travel - New Orleans",IF(AND(YEAR(B641)=2025,MONTH(B641)=4,OR(ISNUMBER(SEARCH("EXCHANGE RATE",C641)),ISNUMBER(SEARCH("EXCHG RTE",C641)))),"Personal Travel - Italy",IFERROR(INDEX('Category Rules'!$B$2:$B$358,MATCH(TRUE,ISNUMBER(SEARCH('Category Rules'!$A$2:$A$358,C641)),0)),""))))))))</f>
        <v>Personal - Health</v>
      </c>
    </row>
    <row r="642" spans="1:7" x14ac:dyDescent="0.25">
      <c r="A642" t="s">
        <v>6</v>
      </c>
      <c r="B642" s="1">
        <v>45933</v>
      </c>
      <c r="C642" t="s">
        <v>597</v>
      </c>
      <c r="D642">
        <v>-408.48</v>
      </c>
      <c r="E642" t="s">
        <v>10</v>
      </c>
      <c r="F642">
        <v>5273.95</v>
      </c>
      <c r="G642" t="str" cm="1">
        <f t="array" ref="G642">IF(AND(ISNUMBER(SEARCH("UBER",C642)),ISNUMBER(SEARCH("EATS",C642))),"Uber Eats",IF(LEFT(C642,6)="CHECK ","Checks Paid",IF(OR(E642="BILLPAY",ISNUMBER(SEARCH("FRANCHISE TAX",C642)),ISNUMBER(SEARCH("NEXTLINK",C642))),"Personal - House Bills",IF(AND(ISNUMBER(SEARCH("PAYMENT FROM",C642)),ISNUMBER(SEARCH("JOE SAUNDERS",C642))),"Zelle from Joe Saunders",IF(AND(ISNUMBER(SEARCH("PAYMENT TO",C642)),ISNUMBER(SEARCH("JOE SAUNDERS",C642))),"Zelle to Joe Saunders",IF(OR(ISNUMBER(SEARCH("NEW ORLEANS",C642)),ISNUMBER(SEARCH("KENNER",C642)),ISNUMBER(SEARCH("HENRY HOWARD",C642)),ISNUMBER(SEARCH("MISS CLAUDIA",C642))),"Personal Travel - New Orleans",IF(AND(YEAR(B642)=2025,MONTH(B642)=4,OR(ISNUMBER(SEARCH("EXCHANGE RATE",C642)),ISNUMBER(SEARCH("EXCHG RTE",C642)))),"Personal Travel - Italy",IFERROR(INDEX('Category Rules'!$B$2:$B$358,MATCH(TRUE,ISNUMBER(SEARCH('Category Rules'!$A$2:$A$358,C642)),0)),""))))))))</f>
        <v>Personal - Shopping</v>
      </c>
    </row>
    <row r="643" spans="1:7" x14ac:dyDescent="0.25">
      <c r="A643" t="s">
        <v>6</v>
      </c>
      <c r="B643" s="1">
        <v>45933</v>
      </c>
      <c r="C643" t="s">
        <v>598</v>
      </c>
      <c r="D643">
        <v>-1.25</v>
      </c>
      <c r="E643" t="s">
        <v>10</v>
      </c>
      <c r="F643">
        <v>5682.43</v>
      </c>
      <c r="G643" t="str" cm="1">
        <f t="array" ref="G643">IF(AND(ISNUMBER(SEARCH("UBER",C643)),ISNUMBER(SEARCH("EATS",C643))),"Uber Eats",IF(LEFT(C643,6)="CHECK ","Checks Paid",IF(OR(E643="BILLPAY",ISNUMBER(SEARCH("FRANCHISE TAX",C643)),ISNUMBER(SEARCH("NEXTLINK",C643))),"Personal - House Bills",IF(AND(ISNUMBER(SEARCH("PAYMENT FROM",C643)),ISNUMBER(SEARCH("JOE SAUNDERS",C643))),"Zelle from Joe Saunders",IF(AND(ISNUMBER(SEARCH("PAYMENT TO",C643)),ISNUMBER(SEARCH("JOE SAUNDERS",C643))),"Zelle to Joe Saunders",IF(OR(ISNUMBER(SEARCH("NEW ORLEANS",C643)),ISNUMBER(SEARCH("KENNER",C643)),ISNUMBER(SEARCH("HENRY HOWARD",C643)),ISNUMBER(SEARCH("MISS CLAUDIA",C643))),"Personal Travel - New Orleans",IF(AND(YEAR(B643)=2025,MONTH(B643)=4,OR(ISNUMBER(SEARCH("EXCHANGE RATE",C643)),ISNUMBER(SEARCH("EXCHG RTE",C643)))),"Personal Travel - Italy",IFERROR(INDEX('Category Rules'!$B$2:$B$358,MATCH(TRUE,ISNUMBER(SEARCH('Category Rules'!$A$2:$A$358,C643)),0)),""))))))))</f>
        <v>Personal - Car</v>
      </c>
    </row>
    <row r="644" spans="1:7" x14ac:dyDescent="0.25">
      <c r="A644" t="s">
        <v>6</v>
      </c>
      <c r="B644" s="1">
        <v>45933</v>
      </c>
      <c r="C644" t="s">
        <v>599</v>
      </c>
      <c r="D644">
        <v>-181.12</v>
      </c>
      <c r="E644" t="s">
        <v>10</v>
      </c>
      <c r="F644">
        <v>5683.68</v>
      </c>
      <c r="G644" t="str" cm="1">
        <f t="array" ref="G644">IF(AND(ISNUMBER(SEARCH("UBER",C644)),ISNUMBER(SEARCH("EATS",C644))),"Uber Eats",IF(LEFT(C644,6)="CHECK ","Checks Paid",IF(OR(E644="BILLPAY",ISNUMBER(SEARCH("FRANCHISE TAX",C644)),ISNUMBER(SEARCH("NEXTLINK",C644))),"Personal - House Bills",IF(AND(ISNUMBER(SEARCH("PAYMENT FROM",C644)),ISNUMBER(SEARCH("JOE SAUNDERS",C644))),"Zelle from Joe Saunders",IF(AND(ISNUMBER(SEARCH("PAYMENT TO",C644)),ISNUMBER(SEARCH("JOE SAUNDERS",C644))),"Zelle to Joe Saunders",IF(OR(ISNUMBER(SEARCH("NEW ORLEANS",C644)),ISNUMBER(SEARCH("KENNER",C644)),ISNUMBER(SEARCH("HENRY HOWARD",C644)),ISNUMBER(SEARCH("MISS CLAUDIA",C644))),"Personal Travel - New Orleans",IF(AND(YEAR(B644)=2025,MONTH(B644)=4,OR(ISNUMBER(SEARCH("EXCHANGE RATE",C644)),ISNUMBER(SEARCH("EXCHG RTE",C644)))),"Personal Travel - Italy",IFERROR(INDEX('Category Rules'!$B$2:$B$358,MATCH(TRUE,ISNUMBER(SEARCH('Category Rules'!$A$2:$A$358,C644)),0)),""))))))))</f>
        <v>Personal - Shopping</v>
      </c>
    </row>
    <row r="645" spans="1:7" x14ac:dyDescent="0.25">
      <c r="A645" t="s">
        <v>6</v>
      </c>
      <c r="B645" s="1">
        <v>45933</v>
      </c>
      <c r="C645" t="s">
        <v>600</v>
      </c>
      <c r="D645">
        <v>-35</v>
      </c>
      <c r="E645" t="s">
        <v>10</v>
      </c>
      <c r="F645">
        <v>5864.8</v>
      </c>
      <c r="G645" t="str" cm="1">
        <f t="array" ref="G645">IF(AND(ISNUMBER(SEARCH("UBER",C645)),ISNUMBER(SEARCH("EATS",C645))),"Uber Eats",IF(LEFT(C645,6)="CHECK ","Checks Paid",IF(OR(E645="BILLPAY",ISNUMBER(SEARCH("FRANCHISE TAX",C645)),ISNUMBER(SEARCH("NEXTLINK",C645))),"Personal - House Bills",IF(AND(ISNUMBER(SEARCH("PAYMENT FROM",C645)),ISNUMBER(SEARCH("JOE SAUNDERS",C645))),"Zelle from Joe Saunders",IF(AND(ISNUMBER(SEARCH("PAYMENT TO",C645)),ISNUMBER(SEARCH("JOE SAUNDERS",C645))),"Zelle to Joe Saunders",IF(OR(ISNUMBER(SEARCH("NEW ORLEANS",C645)),ISNUMBER(SEARCH("KENNER",C645)),ISNUMBER(SEARCH("HENRY HOWARD",C645)),ISNUMBER(SEARCH("MISS CLAUDIA",C645))),"Personal Travel - New Orleans",IF(AND(YEAR(B645)=2025,MONTH(B645)=4,OR(ISNUMBER(SEARCH("EXCHANGE RATE",C645)),ISNUMBER(SEARCH("EXCHG RTE",C645)))),"Personal Travel - Italy",IFERROR(INDEX('Category Rules'!$B$2:$B$358,MATCH(TRUE,ISNUMBER(SEARCH('Category Rules'!$A$2:$A$358,C645)),0)),""))))))))</f>
        <v>Personal Travel</v>
      </c>
    </row>
    <row r="646" spans="1:7" x14ac:dyDescent="0.25">
      <c r="A646" t="s">
        <v>6</v>
      </c>
      <c r="B646" s="1">
        <v>45933</v>
      </c>
      <c r="C646" t="s">
        <v>600</v>
      </c>
      <c r="D646">
        <v>-35</v>
      </c>
      <c r="E646" t="s">
        <v>10</v>
      </c>
      <c r="F646">
        <v>5899.8</v>
      </c>
      <c r="G646" t="str" cm="1">
        <f t="array" ref="G646">IF(AND(ISNUMBER(SEARCH("UBER",C646)),ISNUMBER(SEARCH("EATS",C646))),"Uber Eats",IF(LEFT(C646,6)="CHECK ","Checks Paid",IF(OR(E646="BILLPAY",ISNUMBER(SEARCH("FRANCHISE TAX",C646)),ISNUMBER(SEARCH("NEXTLINK",C646))),"Personal - House Bills",IF(AND(ISNUMBER(SEARCH("PAYMENT FROM",C646)),ISNUMBER(SEARCH("JOE SAUNDERS",C646))),"Zelle from Joe Saunders",IF(AND(ISNUMBER(SEARCH("PAYMENT TO",C646)),ISNUMBER(SEARCH("JOE SAUNDERS",C646))),"Zelle to Joe Saunders",IF(OR(ISNUMBER(SEARCH("NEW ORLEANS",C646)),ISNUMBER(SEARCH("KENNER",C646)),ISNUMBER(SEARCH("HENRY HOWARD",C646)),ISNUMBER(SEARCH("MISS CLAUDIA",C646))),"Personal Travel - New Orleans",IF(AND(YEAR(B646)=2025,MONTH(B646)=4,OR(ISNUMBER(SEARCH("EXCHANGE RATE",C646)),ISNUMBER(SEARCH("EXCHG RTE",C646)))),"Personal Travel - Italy",IFERROR(INDEX('Category Rules'!$B$2:$B$358,MATCH(TRUE,ISNUMBER(SEARCH('Category Rules'!$A$2:$A$358,C646)),0)),""))))))))</f>
        <v>Personal Travel</v>
      </c>
    </row>
    <row r="647" spans="1:7" x14ac:dyDescent="0.25">
      <c r="A647" t="s">
        <v>6</v>
      </c>
      <c r="B647" s="1">
        <v>45933</v>
      </c>
      <c r="C647" t="s">
        <v>601</v>
      </c>
      <c r="D647">
        <v>-559.07000000000005</v>
      </c>
      <c r="E647" t="s">
        <v>10</v>
      </c>
      <c r="F647">
        <v>5934.8</v>
      </c>
      <c r="G647" t="str" cm="1">
        <f t="array" ref="G647">IF(AND(ISNUMBER(SEARCH("UBER",C647)),ISNUMBER(SEARCH("EATS",C647))),"Uber Eats",IF(LEFT(C647,6)="CHECK ","Checks Paid",IF(OR(E647="BILLPAY",ISNUMBER(SEARCH("FRANCHISE TAX",C647)),ISNUMBER(SEARCH("NEXTLINK",C647))),"Personal - House Bills",IF(AND(ISNUMBER(SEARCH("PAYMENT FROM",C647)),ISNUMBER(SEARCH("JOE SAUNDERS",C647))),"Zelle from Joe Saunders",IF(AND(ISNUMBER(SEARCH("PAYMENT TO",C647)),ISNUMBER(SEARCH("JOE SAUNDERS",C647))),"Zelle to Joe Saunders",IF(OR(ISNUMBER(SEARCH("NEW ORLEANS",C647)),ISNUMBER(SEARCH("KENNER",C647)),ISNUMBER(SEARCH("HENRY HOWARD",C647)),ISNUMBER(SEARCH("MISS CLAUDIA",C647))),"Personal Travel - New Orleans",IF(AND(YEAR(B647)=2025,MONTH(B647)=4,OR(ISNUMBER(SEARCH("EXCHANGE RATE",C647)),ISNUMBER(SEARCH("EXCHG RTE",C647)))),"Personal Travel - Italy",IFERROR(INDEX('Category Rules'!$B$2:$B$358,MATCH(TRUE,ISNUMBER(SEARCH('Category Rules'!$A$2:$A$358,C647)),0)),""))))))))</f>
        <v>Personal - Shopping</v>
      </c>
    </row>
    <row r="648" spans="1:7" x14ac:dyDescent="0.25">
      <c r="A648" t="s">
        <v>6</v>
      </c>
      <c r="B648" s="1">
        <v>45932</v>
      </c>
      <c r="C648" t="s">
        <v>602</v>
      </c>
      <c r="D648">
        <v>-1000</v>
      </c>
      <c r="E648" t="s">
        <v>73</v>
      </c>
      <c r="F648">
        <v>6493.87</v>
      </c>
      <c r="G648" t="str" cm="1">
        <f t="array" ref="G648">IF(AND(ISNUMBER(SEARCH("UBER",C648)),ISNUMBER(SEARCH("EATS",C648))),"Uber Eats",IF(LEFT(C648,6)="CHECK ","Checks Paid",IF(OR(E648="BILLPAY",ISNUMBER(SEARCH("FRANCHISE TAX",C648)),ISNUMBER(SEARCH("NEXTLINK",C648))),"Personal - House Bills",IF(AND(ISNUMBER(SEARCH("PAYMENT FROM",C648)),ISNUMBER(SEARCH("JOE SAUNDERS",C648))),"Zelle from Joe Saunders",IF(AND(ISNUMBER(SEARCH("PAYMENT TO",C648)),ISNUMBER(SEARCH("JOE SAUNDERS",C648))),"Zelle to Joe Saunders",IF(OR(ISNUMBER(SEARCH("NEW ORLEANS",C648)),ISNUMBER(SEARCH("KENNER",C648)),ISNUMBER(SEARCH("HENRY HOWARD",C648)),ISNUMBER(SEARCH("MISS CLAUDIA",C648))),"Personal Travel - New Orleans",IF(AND(YEAR(B648)=2025,MONTH(B648)=4,OR(ISNUMBER(SEARCH("EXCHANGE RATE",C648)),ISNUMBER(SEARCH("EXCHG RTE",C648)))),"Personal Travel - Italy",IFERROR(INDEX('Category Rules'!$B$2:$B$358,MATCH(TRUE,ISNUMBER(SEARCH('Category Rules'!$A$2:$A$358,C648)),0)),""))))))))</f>
        <v>Transfer to Ava</v>
      </c>
    </row>
    <row r="649" spans="1:7" x14ac:dyDescent="0.25">
      <c r="A649" t="s">
        <v>6</v>
      </c>
      <c r="B649" s="1">
        <v>45932</v>
      </c>
      <c r="C649" t="s">
        <v>603</v>
      </c>
      <c r="D649">
        <v>-109.74</v>
      </c>
      <c r="E649" t="s">
        <v>10</v>
      </c>
      <c r="F649">
        <v>7493.87</v>
      </c>
      <c r="G649" t="str" cm="1">
        <f t="array" ref="G649">IF(AND(ISNUMBER(SEARCH("UBER",C649)),ISNUMBER(SEARCH("EATS",C649))),"Uber Eats",IF(LEFT(C649,6)="CHECK ","Checks Paid",IF(OR(E649="BILLPAY",ISNUMBER(SEARCH("FRANCHISE TAX",C649)),ISNUMBER(SEARCH("NEXTLINK",C649))),"Personal - House Bills",IF(AND(ISNUMBER(SEARCH("PAYMENT FROM",C649)),ISNUMBER(SEARCH("JOE SAUNDERS",C649))),"Zelle from Joe Saunders",IF(AND(ISNUMBER(SEARCH("PAYMENT TO",C649)),ISNUMBER(SEARCH("JOE SAUNDERS",C649))),"Zelle to Joe Saunders",IF(OR(ISNUMBER(SEARCH("NEW ORLEANS",C649)),ISNUMBER(SEARCH("KENNER",C649)),ISNUMBER(SEARCH("HENRY HOWARD",C649)),ISNUMBER(SEARCH("MISS CLAUDIA",C649))),"Personal Travel - New Orleans",IF(AND(YEAR(B649)=2025,MONTH(B649)=4,OR(ISNUMBER(SEARCH("EXCHANGE RATE",C649)),ISNUMBER(SEARCH("EXCHG RTE",C649)))),"Personal Travel - Italy",IFERROR(INDEX('Category Rules'!$B$2:$B$358,MATCH(TRUE,ISNUMBER(SEARCH('Category Rules'!$A$2:$A$358,C649)),0)),""))))))))</f>
        <v>Amazon</v>
      </c>
    </row>
    <row r="650" spans="1:7" x14ac:dyDescent="0.25">
      <c r="A650" t="s">
        <v>6</v>
      </c>
      <c r="B650" s="1">
        <v>45932</v>
      </c>
      <c r="C650" t="s">
        <v>604</v>
      </c>
      <c r="D650">
        <v>-100</v>
      </c>
      <c r="E650" t="s">
        <v>10</v>
      </c>
      <c r="F650">
        <v>7603.61</v>
      </c>
      <c r="G650" t="str" cm="1">
        <f t="array" ref="G650">IF(AND(ISNUMBER(SEARCH("UBER",C650)),ISNUMBER(SEARCH("EATS",C650))),"Uber Eats",IF(LEFT(C650,6)="CHECK ","Checks Paid",IF(OR(E650="BILLPAY",ISNUMBER(SEARCH("FRANCHISE TAX",C650)),ISNUMBER(SEARCH("NEXTLINK",C650))),"Personal - House Bills",IF(AND(ISNUMBER(SEARCH("PAYMENT FROM",C650)),ISNUMBER(SEARCH("JOE SAUNDERS",C650))),"Zelle from Joe Saunders",IF(AND(ISNUMBER(SEARCH("PAYMENT TO",C650)),ISNUMBER(SEARCH("JOE SAUNDERS",C650))),"Zelle to Joe Saunders",IF(OR(ISNUMBER(SEARCH("NEW ORLEANS",C650)),ISNUMBER(SEARCH("KENNER",C650)),ISNUMBER(SEARCH("HENRY HOWARD",C650)),ISNUMBER(SEARCH("MISS CLAUDIA",C650))),"Personal Travel - New Orleans",IF(AND(YEAR(B650)=2025,MONTH(B650)=4,OR(ISNUMBER(SEARCH("EXCHANGE RATE",C650)),ISNUMBER(SEARCH("EXCHG RTE",C650)))),"Personal Travel - Italy",IFERROR(INDEX('Category Rules'!$B$2:$B$358,MATCH(TRUE,ISNUMBER(SEARCH('Category Rules'!$A$2:$A$358,C650)),0)),""))))))))</f>
        <v>Personal - Subscription</v>
      </c>
    </row>
    <row r="651" spans="1:7" x14ac:dyDescent="0.25">
      <c r="A651" t="s">
        <v>6</v>
      </c>
      <c r="B651" s="1">
        <v>45932</v>
      </c>
      <c r="C651" t="s">
        <v>605</v>
      </c>
      <c r="D651">
        <v>-57.43</v>
      </c>
      <c r="E651" t="s">
        <v>10</v>
      </c>
      <c r="F651">
        <v>7703.61</v>
      </c>
      <c r="G651" t="str" cm="1">
        <f t="array" ref="G651">IF(AND(ISNUMBER(SEARCH("UBER",C651)),ISNUMBER(SEARCH("EATS",C651))),"Uber Eats",IF(LEFT(C651,6)="CHECK ","Checks Paid",IF(OR(E651="BILLPAY",ISNUMBER(SEARCH("FRANCHISE TAX",C651)),ISNUMBER(SEARCH("NEXTLINK",C651))),"Personal - House Bills",IF(AND(ISNUMBER(SEARCH("PAYMENT FROM",C651)),ISNUMBER(SEARCH("JOE SAUNDERS",C651))),"Zelle from Joe Saunders",IF(AND(ISNUMBER(SEARCH("PAYMENT TO",C651)),ISNUMBER(SEARCH("JOE SAUNDERS",C651))),"Zelle to Joe Saunders",IF(OR(ISNUMBER(SEARCH("NEW ORLEANS",C651)),ISNUMBER(SEARCH("KENNER",C651)),ISNUMBER(SEARCH("HENRY HOWARD",C651)),ISNUMBER(SEARCH("MISS CLAUDIA",C651))),"Personal Travel - New Orleans",IF(AND(YEAR(B651)=2025,MONTH(B651)=4,OR(ISNUMBER(SEARCH("EXCHANGE RATE",C651)),ISNUMBER(SEARCH("EXCHG RTE",C651)))),"Personal Travel - Italy",IFERROR(INDEX('Category Rules'!$B$2:$B$358,MATCH(TRUE,ISNUMBER(SEARCH('Category Rules'!$A$2:$A$358,C651)),0)),""))))))))</f>
        <v>Personal - Shopping</v>
      </c>
    </row>
    <row r="652" spans="1:7" x14ac:dyDescent="0.25">
      <c r="A652" t="s">
        <v>6</v>
      </c>
      <c r="B652" s="1">
        <v>45932</v>
      </c>
      <c r="C652" t="s">
        <v>605</v>
      </c>
      <c r="D652">
        <v>-609.79</v>
      </c>
      <c r="E652" t="s">
        <v>10</v>
      </c>
      <c r="F652">
        <v>7761.04</v>
      </c>
      <c r="G652" t="str" cm="1">
        <f t="array" ref="G652">IF(AND(ISNUMBER(SEARCH("UBER",C652)),ISNUMBER(SEARCH("EATS",C652))),"Uber Eats",IF(LEFT(C652,6)="CHECK ","Checks Paid",IF(OR(E652="BILLPAY",ISNUMBER(SEARCH("FRANCHISE TAX",C652)),ISNUMBER(SEARCH("NEXTLINK",C652))),"Personal - House Bills",IF(AND(ISNUMBER(SEARCH("PAYMENT FROM",C652)),ISNUMBER(SEARCH("JOE SAUNDERS",C652))),"Zelle from Joe Saunders",IF(AND(ISNUMBER(SEARCH("PAYMENT TO",C652)),ISNUMBER(SEARCH("JOE SAUNDERS",C652))),"Zelle to Joe Saunders",IF(OR(ISNUMBER(SEARCH("NEW ORLEANS",C652)),ISNUMBER(SEARCH("KENNER",C652)),ISNUMBER(SEARCH("HENRY HOWARD",C652)),ISNUMBER(SEARCH("MISS CLAUDIA",C652))),"Personal Travel - New Orleans",IF(AND(YEAR(B652)=2025,MONTH(B652)=4,OR(ISNUMBER(SEARCH("EXCHANGE RATE",C652)),ISNUMBER(SEARCH("EXCHG RTE",C652)))),"Personal Travel - Italy",IFERROR(INDEX('Category Rules'!$B$2:$B$358,MATCH(TRUE,ISNUMBER(SEARCH('Category Rules'!$A$2:$A$358,C652)),0)),""))))))))</f>
        <v>Personal - Shopping</v>
      </c>
    </row>
    <row r="653" spans="1:7" x14ac:dyDescent="0.25">
      <c r="A653" t="s">
        <v>44</v>
      </c>
      <c r="B653" s="1">
        <v>45932</v>
      </c>
      <c r="C653" t="s">
        <v>606</v>
      </c>
      <c r="D653">
        <v>3000</v>
      </c>
      <c r="E653" t="s">
        <v>73</v>
      </c>
      <c r="F653">
        <v>8370.83</v>
      </c>
      <c r="G653" t="str" cm="1">
        <f t="array" ref="G653">IF(AND(ISNUMBER(SEARCH("UBER",C653)),ISNUMBER(SEARCH("EATS",C653))),"Uber Eats",IF(LEFT(C653,6)="CHECK ","Checks Paid",IF(OR(E653="BILLPAY",ISNUMBER(SEARCH("FRANCHISE TAX",C653)),ISNUMBER(SEARCH("NEXTLINK",C653))),"Personal - House Bills",IF(AND(ISNUMBER(SEARCH("PAYMENT FROM",C653)),ISNUMBER(SEARCH("JOE SAUNDERS",C653))),"Zelle from Joe Saunders",IF(AND(ISNUMBER(SEARCH("PAYMENT TO",C653)),ISNUMBER(SEARCH("JOE SAUNDERS",C653))),"Zelle to Joe Saunders",IF(OR(ISNUMBER(SEARCH("NEW ORLEANS",C653)),ISNUMBER(SEARCH("KENNER",C653)),ISNUMBER(SEARCH("HENRY HOWARD",C653)),ISNUMBER(SEARCH("MISS CLAUDIA",C653))),"Personal Travel - New Orleans",IF(AND(YEAR(B653)=2025,MONTH(B653)=4,OR(ISNUMBER(SEARCH("EXCHANGE RATE",C653)),ISNUMBER(SEARCH("EXCHG RTE",C653)))),"Personal Travel - Italy",IFERROR(INDEX('Category Rules'!$B$2:$B$358,MATCH(TRUE,ISNUMBER(SEARCH('Category Rules'!$A$2:$A$358,C653)),0)),""))))))))</f>
        <v>Transfer from DWG Capital Group</v>
      </c>
    </row>
    <row r="654" spans="1:7" x14ac:dyDescent="0.25">
      <c r="A654" t="s">
        <v>6</v>
      </c>
      <c r="B654" s="1">
        <v>45931</v>
      </c>
      <c r="C654" t="s">
        <v>607</v>
      </c>
      <c r="D654">
        <v>-31.01</v>
      </c>
      <c r="E654" t="s">
        <v>10</v>
      </c>
      <c r="F654">
        <v>5370.83</v>
      </c>
      <c r="G654" t="str" cm="1">
        <f t="array" ref="G654">IF(AND(ISNUMBER(SEARCH("UBER",C654)),ISNUMBER(SEARCH("EATS",C654))),"Uber Eats",IF(LEFT(C654,6)="CHECK ","Checks Paid",IF(OR(E654="BILLPAY",ISNUMBER(SEARCH("FRANCHISE TAX",C654)),ISNUMBER(SEARCH("NEXTLINK",C654))),"Personal - House Bills",IF(AND(ISNUMBER(SEARCH("PAYMENT FROM",C654)),ISNUMBER(SEARCH("JOE SAUNDERS",C654))),"Zelle from Joe Saunders",IF(AND(ISNUMBER(SEARCH("PAYMENT TO",C654)),ISNUMBER(SEARCH("JOE SAUNDERS",C654))),"Zelle to Joe Saunders",IF(OR(ISNUMBER(SEARCH("NEW ORLEANS",C654)),ISNUMBER(SEARCH("KENNER",C654)),ISNUMBER(SEARCH("HENRY HOWARD",C654)),ISNUMBER(SEARCH("MISS CLAUDIA",C654))),"Personal Travel - New Orleans",IF(AND(YEAR(B654)=2025,MONTH(B654)=4,OR(ISNUMBER(SEARCH("EXCHANGE RATE",C654)),ISNUMBER(SEARCH("EXCHG RTE",C654)))),"Personal Travel - Italy",IFERROR(INDEX('Category Rules'!$B$2:$B$358,MATCH(TRUE,ISNUMBER(SEARCH('Category Rules'!$A$2:$A$358,C654)),0)),""))))))))</f>
        <v>Uber Eats</v>
      </c>
    </row>
    <row r="655" spans="1:7" x14ac:dyDescent="0.25">
      <c r="A655" t="s">
        <v>6</v>
      </c>
      <c r="B655" s="1">
        <v>45931</v>
      </c>
      <c r="C655" t="s">
        <v>608</v>
      </c>
      <c r="D655">
        <v>-131.69999999999999</v>
      </c>
      <c r="E655" t="s">
        <v>10</v>
      </c>
      <c r="F655">
        <v>5401.84</v>
      </c>
      <c r="G655" t="str" cm="1">
        <f t="array" ref="G655">IF(AND(ISNUMBER(SEARCH("UBER",C655)),ISNUMBER(SEARCH("EATS",C655))),"Uber Eats",IF(LEFT(C655,6)="CHECK ","Checks Paid",IF(OR(E655="BILLPAY",ISNUMBER(SEARCH("FRANCHISE TAX",C655)),ISNUMBER(SEARCH("NEXTLINK",C655))),"Personal - House Bills",IF(AND(ISNUMBER(SEARCH("PAYMENT FROM",C655)),ISNUMBER(SEARCH("JOE SAUNDERS",C655))),"Zelle from Joe Saunders",IF(AND(ISNUMBER(SEARCH("PAYMENT TO",C655)),ISNUMBER(SEARCH("JOE SAUNDERS",C655))),"Zelle to Joe Saunders",IF(OR(ISNUMBER(SEARCH("NEW ORLEANS",C655)),ISNUMBER(SEARCH("KENNER",C655)),ISNUMBER(SEARCH("HENRY HOWARD",C655)),ISNUMBER(SEARCH("MISS CLAUDIA",C655))),"Personal Travel - New Orleans",IF(AND(YEAR(B655)=2025,MONTH(B655)=4,OR(ISNUMBER(SEARCH("EXCHANGE RATE",C655)),ISNUMBER(SEARCH("EXCHG RTE",C655)))),"Personal Travel - Italy",IFERROR(INDEX('Category Rules'!$B$2:$B$358,MATCH(TRUE,ISNUMBER(SEARCH('Category Rules'!$A$2:$A$358,C655)),0)),""))))))))</f>
        <v>Personal - Health</v>
      </c>
    </row>
    <row r="656" spans="1:7" x14ac:dyDescent="0.25">
      <c r="A656" t="s">
        <v>6</v>
      </c>
      <c r="B656" s="1">
        <v>45930</v>
      </c>
      <c r="C656" t="s">
        <v>609</v>
      </c>
      <c r="D656">
        <v>-165</v>
      </c>
      <c r="E656" t="s">
        <v>10</v>
      </c>
      <c r="F656">
        <v>5533.54</v>
      </c>
      <c r="G656" t="str" cm="1">
        <f t="array" ref="G656">IF(AND(ISNUMBER(SEARCH("UBER",C656)),ISNUMBER(SEARCH("EATS",C656))),"Uber Eats",IF(LEFT(C656,6)="CHECK ","Checks Paid",IF(OR(E656="BILLPAY",ISNUMBER(SEARCH("FRANCHISE TAX",C656)),ISNUMBER(SEARCH("NEXTLINK",C656))),"Personal - House Bills",IF(AND(ISNUMBER(SEARCH("PAYMENT FROM",C656)),ISNUMBER(SEARCH("JOE SAUNDERS",C656))),"Zelle from Joe Saunders",IF(AND(ISNUMBER(SEARCH("PAYMENT TO",C656)),ISNUMBER(SEARCH("JOE SAUNDERS",C656))),"Zelle to Joe Saunders",IF(OR(ISNUMBER(SEARCH("NEW ORLEANS",C656)),ISNUMBER(SEARCH("KENNER",C656)),ISNUMBER(SEARCH("HENRY HOWARD",C656)),ISNUMBER(SEARCH("MISS CLAUDIA",C656))),"Personal Travel - New Orleans",IF(AND(YEAR(B656)=2025,MONTH(B656)=4,OR(ISNUMBER(SEARCH("EXCHANGE RATE",C656)),ISNUMBER(SEARCH("EXCHG RTE",C656)))),"Personal Travel - Italy",IFERROR(INDEX('Category Rules'!$B$2:$B$358,MATCH(TRUE,ISNUMBER(SEARCH('Category Rules'!$A$2:$A$358,C656)),0)),""))))))))</f>
        <v>Personal - Health</v>
      </c>
    </row>
    <row r="657" spans="1:7" x14ac:dyDescent="0.25">
      <c r="A657" t="s">
        <v>6</v>
      </c>
      <c r="B657" s="1">
        <v>45930</v>
      </c>
      <c r="C657" t="s">
        <v>610</v>
      </c>
      <c r="D657">
        <v>-944.63</v>
      </c>
      <c r="E657" t="s">
        <v>10</v>
      </c>
      <c r="F657">
        <v>5698.54</v>
      </c>
      <c r="G657" t="str" cm="1">
        <f t="array" ref="G657">IF(AND(ISNUMBER(SEARCH("UBER",C657)),ISNUMBER(SEARCH("EATS",C657))),"Uber Eats",IF(LEFT(C657,6)="CHECK ","Checks Paid",IF(OR(E657="BILLPAY",ISNUMBER(SEARCH("FRANCHISE TAX",C657)),ISNUMBER(SEARCH("NEXTLINK",C657))),"Personal - House Bills",IF(AND(ISNUMBER(SEARCH("PAYMENT FROM",C657)),ISNUMBER(SEARCH("JOE SAUNDERS",C657))),"Zelle from Joe Saunders",IF(AND(ISNUMBER(SEARCH("PAYMENT TO",C657)),ISNUMBER(SEARCH("JOE SAUNDERS",C657))),"Zelle to Joe Saunders",IF(OR(ISNUMBER(SEARCH("NEW ORLEANS",C657)),ISNUMBER(SEARCH("KENNER",C657)),ISNUMBER(SEARCH("HENRY HOWARD",C657)),ISNUMBER(SEARCH("MISS CLAUDIA",C657))),"Personal Travel - New Orleans",IF(AND(YEAR(B657)=2025,MONTH(B657)=4,OR(ISNUMBER(SEARCH("EXCHANGE RATE",C657)),ISNUMBER(SEARCH("EXCHG RTE",C657)))),"Personal Travel - Italy",IFERROR(INDEX('Category Rules'!$B$2:$B$358,MATCH(TRUE,ISNUMBER(SEARCH('Category Rules'!$A$2:$A$358,C657)),0)),""))))))))</f>
        <v>Personal - Health Insurance</v>
      </c>
    </row>
    <row r="658" spans="1:7" x14ac:dyDescent="0.25">
      <c r="A658" t="s">
        <v>6</v>
      </c>
      <c r="B658" s="1">
        <v>45930</v>
      </c>
      <c r="C658" t="s">
        <v>611</v>
      </c>
      <c r="D658">
        <v>-19</v>
      </c>
      <c r="E658" t="s">
        <v>10</v>
      </c>
      <c r="F658">
        <v>6643.17</v>
      </c>
      <c r="G658" t="str" cm="1">
        <f t="array" ref="G658">IF(AND(ISNUMBER(SEARCH("UBER",C658)),ISNUMBER(SEARCH("EATS",C658))),"Uber Eats",IF(LEFT(C658,6)="CHECK ","Checks Paid",IF(OR(E658="BILLPAY",ISNUMBER(SEARCH("FRANCHISE TAX",C658)),ISNUMBER(SEARCH("NEXTLINK",C658))),"Personal - House Bills",IF(AND(ISNUMBER(SEARCH("PAYMENT FROM",C658)),ISNUMBER(SEARCH("JOE SAUNDERS",C658))),"Zelle from Joe Saunders",IF(AND(ISNUMBER(SEARCH("PAYMENT TO",C658)),ISNUMBER(SEARCH("JOE SAUNDERS",C658))),"Zelle to Joe Saunders",IF(OR(ISNUMBER(SEARCH("NEW ORLEANS",C658)),ISNUMBER(SEARCH("KENNER",C658)),ISNUMBER(SEARCH("HENRY HOWARD",C658)),ISNUMBER(SEARCH("MISS CLAUDIA",C658))),"Personal Travel - New Orleans",IF(AND(YEAR(B658)=2025,MONTH(B658)=4,OR(ISNUMBER(SEARCH("EXCHANGE RATE",C658)),ISNUMBER(SEARCH("EXCHG RTE",C658)))),"Personal Travel - Italy",IFERROR(INDEX('Category Rules'!$B$2:$B$358,MATCH(TRUE,ISNUMBER(SEARCH('Category Rules'!$A$2:$A$358,C658)),0)),""))))))))</f>
        <v>Personal - Subscription</v>
      </c>
    </row>
    <row r="659" spans="1:7" x14ac:dyDescent="0.25">
      <c r="A659" t="s">
        <v>6</v>
      </c>
      <c r="B659" s="1">
        <v>45930</v>
      </c>
      <c r="C659" t="s">
        <v>612</v>
      </c>
      <c r="D659">
        <v>-74.959999999999994</v>
      </c>
      <c r="E659" t="s">
        <v>10</v>
      </c>
      <c r="F659">
        <v>6662.17</v>
      </c>
      <c r="G659" t="str" cm="1">
        <f t="array" ref="G659">IF(AND(ISNUMBER(SEARCH("UBER",C659)),ISNUMBER(SEARCH("EATS",C659))),"Uber Eats",IF(LEFT(C659,6)="CHECK ","Checks Paid",IF(OR(E659="BILLPAY",ISNUMBER(SEARCH("FRANCHISE TAX",C659)),ISNUMBER(SEARCH("NEXTLINK",C659))),"Personal - House Bills",IF(AND(ISNUMBER(SEARCH("PAYMENT FROM",C659)),ISNUMBER(SEARCH("JOE SAUNDERS",C659))),"Zelle from Joe Saunders",IF(AND(ISNUMBER(SEARCH("PAYMENT TO",C659)),ISNUMBER(SEARCH("JOE SAUNDERS",C659))),"Zelle to Joe Saunders",IF(OR(ISNUMBER(SEARCH("NEW ORLEANS",C659)),ISNUMBER(SEARCH("KENNER",C659)),ISNUMBER(SEARCH("HENRY HOWARD",C659)),ISNUMBER(SEARCH("MISS CLAUDIA",C659))),"Personal Travel - New Orleans",IF(AND(YEAR(B659)=2025,MONTH(B659)=4,OR(ISNUMBER(SEARCH("EXCHANGE RATE",C659)),ISNUMBER(SEARCH("EXCHG RTE",C659)))),"Personal Travel - Italy",IFERROR(INDEX('Category Rules'!$B$2:$B$358,MATCH(TRUE,ISNUMBER(SEARCH('Category Rules'!$A$2:$A$358,C659)),0)),""))))))))</f>
        <v>Personal - Health</v>
      </c>
    </row>
    <row r="660" spans="1:7" x14ac:dyDescent="0.25">
      <c r="A660" t="s">
        <v>6</v>
      </c>
      <c r="B660" s="1">
        <v>45930</v>
      </c>
      <c r="C660" t="s">
        <v>613</v>
      </c>
      <c r="D660">
        <v>-74.75</v>
      </c>
      <c r="E660" t="s">
        <v>10</v>
      </c>
      <c r="F660">
        <v>6737.13</v>
      </c>
      <c r="G660" t="str" cm="1">
        <f t="array" ref="G660">IF(AND(ISNUMBER(SEARCH("UBER",C660)),ISNUMBER(SEARCH("EATS",C660))),"Uber Eats",IF(LEFT(C660,6)="CHECK ","Checks Paid",IF(OR(E660="BILLPAY",ISNUMBER(SEARCH("FRANCHISE TAX",C660)),ISNUMBER(SEARCH("NEXTLINK",C660))),"Personal - House Bills",IF(AND(ISNUMBER(SEARCH("PAYMENT FROM",C660)),ISNUMBER(SEARCH("JOE SAUNDERS",C660))),"Zelle from Joe Saunders",IF(AND(ISNUMBER(SEARCH("PAYMENT TO",C660)),ISNUMBER(SEARCH("JOE SAUNDERS",C660))),"Zelle to Joe Saunders",IF(OR(ISNUMBER(SEARCH("NEW ORLEANS",C660)),ISNUMBER(SEARCH("KENNER",C660)),ISNUMBER(SEARCH("HENRY HOWARD",C660)),ISNUMBER(SEARCH("MISS CLAUDIA",C660))),"Personal Travel - New Orleans",IF(AND(YEAR(B660)=2025,MONTH(B660)=4,OR(ISNUMBER(SEARCH("EXCHANGE RATE",C660)),ISNUMBER(SEARCH("EXCHG RTE",C660)))),"Personal Travel - Italy",IFERROR(INDEX('Category Rules'!$B$2:$B$358,MATCH(TRUE,ISNUMBER(SEARCH('Category Rules'!$A$2:$A$358,C660)),0)),""))))))))</f>
        <v>Uber Eats</v>
      </c>
    </row>
    <row r="661" spans="1:7" x14ac:dyDescent="0.25">
      <c r="A661" t="s">
        <v>6</v>
      </c>
      <c r="B661" s="1">
        <v>45930</v>
      </c>
      <c r="C661" t="s">
        <v>614</v>
      </c>
      <c r="D661">
        <v>-165.27</v>
      </c>
      <c r="E661" t="s">
        <v>10</v>
      </c>
      <c r="F661">
        <v>6811.88</v>
      </c>
      <c r="G661" t="str" cm="1">
        <f t="array" ref="G661">IF(AND(ISNUMBER(SEARCH("UBER",C661)),ISNUMBER(SEARCH("EATS",C661))),"Uber Eats",IF(LEFT(C661,6)="CHECK ","Checks Paid",IF(OR(E661="BILLPAY",ISNUMBER(SEARCH("FRANCHISE TAX",C661)),ISNUMBER(SEARCH("NEXTLINK",C661))),"Personal - House Bills",IF(AND(ISNUMBER(SEARCH("PAYMENT FROM",C661)),ISNUMBER(SEARCH("JOE SAUNDERS",C661))),"Zelle from Joe Saunders",IF(AND(ISNUMBER(SEARCH("PAYMENT TO",C661)),ISNUMBER(SEARCH("JOE SAUNDERS",C661))),"Zelle to Joe Saunders",IF(OR(ISNUMBER(SEARCH("NEW ORLEANS",C661)),ISNUMBER(SEARCH("KENNER",C661)),ISNUMBER(SEARCH("HENRY HOWARD",C661)),ISNUMBER(SEARCH("MISS CLAUDIA",C661))),"Personal Travel - New Orleans",IF(AND(YEAR(B661)=2025,MONTH(B661)=4,OR(ISNUMBER(SEARCH("EXCHANGE RATE",C661)),ISNUMBER(SEARCH("EXCHG RTE",C661)))),"Personal Travel - Italy",IFERROR(INDEX('Category Rules'!$B$2:$B$358,MATCH(TRUE,ISNUMBER(SEARCH('Category Rules'!$A$2:$A$358,C661)),0)),""))))))))</f>
        <v>Personal - Clothing</v>
      </c>
    </row>
    <row r="662" spans="1:7" x14ac:dyDescent="0.25">
      <c r="A662" t="s">
        <v>6</v>
      </c>
      <c r="B662" s="1">
        <v>45929</v>
      </c>
      <c r="C662" t="s">
        <v>615</v>
      </c>
      <c r="D662">
        <v>-20</v>
      </c>
      <c r="E662" t="s">
        <v>10</v>
      </c>
      <c r="F662">
        <v>6977.15</v>
      </c>
      <c r="G662" t="str" cm="1">
        <f t="array" ref="G662">IF(AND(ISNUMBER(SEARCH("UBER",C662)),ISNUMBER(SEARCH("EATS",C662))),"Uber Eats",IF(LEFT(C662,6)="CHECK ","Checks Paid",IF(OR(E662="BILLPAY",ISNUMBER(SEARCH("FRANCHISE TAX",C662)),ISNUMBER(SEARCH("NEXTLINK",C662))),"Personal - House Bills",IF(AND(ISNUMBER(SEARCH("PAYMENT FROM",C662)),ISNUMBER(SEARCH("JOE SAUNDERS",C662))),"Zelle from Joe Saunders",IF(AND(ISNUMBER(SEARCH("PAYMENT TO",C662)),ISNUMBER(SEARCH("JOE SAUNDERS",C662))),"Zelle to Joe Saunders",IF(OR(ISNUMBER(SEARCH("NEW ORLEANS",C662)),ISNUMBER(SEARCH("KENNER",C662)),ISNUMBER(SEARCH("HENRY HOWARD",C662)),ISNUMBER(SEARCH("MISS CLAUDIA",C662))),"Personal Travel - New Orleans",IF(AND(YEAR(B662)=2025,MONTH(B662)=4,OR(ISNUMBER(SEARCH("EXCHANGE RATE",C662)),ISNUMBER(SEARCH("EXCHG RTE",C662)))),"Personal Travel - Italy",IFERROR(INDEX('Category Rules'!$B$2:$B$358,MATCH(TRUE,ISNUMBER(SEARCH('Category Rules'!$A$2:$A$358,C662)),0)),""))))))))</f>
        <v>Amazon</v>
      </c>
    </row>
    <row r="663" spans="1:7" x14ac:dyDescent="0.25">
      <c r="A663" t="s">
        <v>6</v>
      </c>
      <c r="B663" s="1">
        <v>45929</v>
      </c>
      <c r="C663" t="s">
        <v>616</v>
      </c>
      <c r="D663">
        <v>-214.66</v>
      </c>
      <c r="E663" t="s">
        <v>10</v>
      </c>
      <c r="F663">
        <v>6997.15</v>
      </c>
      <c r="G663" t="str" cm="1">
        <f t="array" ref="G663">IF(AND(ISNUMBER(SEARCH("UBER",C663)),ISNUMBER(SEARCH("EATS",C663))),"Uber Eats",IF(LEFT(C663,6)="CHECK ","Checks Paid",IF(OR(E663="BILLPAY",ISNUMBER(SEARCH("FRANCHISE TAX",C663)),ISNUMBER(SEARCH("NEXTLINK",C663))),"Personal - House Bills",IF(AND(ISNUMBER(SEARCH("PAYMENT FROM",C663)),ISNUMBER(SEARCH("JOE SAUNDERS",C663))),"Zelle from Joe Saunders",IF(AND(ISNUMBER(SEARCH("PAYMENT TO",C663)),ISNUMBER(SEARCH("JOE SAUNDERS",C663))),"Zelle to Joe Saunders",IF(OR(ISNUMBER(SEARCH("NEW ORLEANS",C663)),ISNUMBER(SEARCH("KENNER",C663)),ISNUMBER(SEARCH("HENRY HOWARD",C663)),ISNUMBER(SEARCH("MISS CLAUDIA",C663))),"Personal Travel - New Orleans",IF(AND(YEAR(B663)=2025,MONTH(B663)=4,OR(ISNUMBER(SEARCH("EXCHANGE RATE",C663)),ISNUMBER(SEARCH("EXCHG RTE",C663)))),"Personal Travel - Italy",IFERROR(INDEX('Category Rules'!$B$2:$B$358,MATCH(TRUE,ISNUMBER(SEARCH('Category Rules'!$A$2:$A$358,C663)),0)),""))))))))</f>
        <v>Personal - Entertainment</v>
      </c>
    </row>
    <row r="664" spans="1:7" x14ac:dyDescent="0.25">
      <c r="A664" t="s">
        <v>6</v>
      </c>
      <c r="B664" s="1">
        <v>45929</v>
      </c>
      <c r="C664" t="s">
        <v>617</v>
      </c>
      <c r="D664">
        <v>-5.99</v>
      </c>
      <c r="E664" t="s">
        <v>10</v>
      </c>
      <c r="F664">
        <v>7211.81</v>
      </c>
      <c r="G664" t="str" cm="1">
        <f t="array" ref="G664">IF(AND(ISNUMBER(SEARCH("UBER",C664)),ISNUMBER(SEARCH("EATS",C664))),"Uber Eats",IF(LEFT(C664,6)="CHECK ","Checks Paid",IF(OR(E664="BILLPAY",ISNUMBER(SEARCH("FRANCHISE TAX",C664)),ISNUMBER(SEARCH("NEXTLINK",C664))),"Personal - House Bills",IF(AND(ISNUMBER(SEARCH("PAYMENT FROM",C664)),ISNUMBER(SEARCH("JOE SAUNDERS",C664))),"Zelle from Joe Saunders",IF(AND(ISNUMBER(SEARCH("PAYMENT TO",C664)),ISNUMBER(SEARCH("JOE SAUNDERS",C664))),"Zelle to Joe Saunders",IF(OR(ISNUMBER(SEARCH("NEW ORLEANS",C664)),ISNUMBER(SEARCH("KENNER",C664)),ISNUMBER(SEARCH("HENRY HOWARD",C664)),ISNUMBER(SEARCH("MISS CLAUDIA",C664))),"Personal Travel - New Orleans",IF(AND(YEAR(B664)=2025,MONTH(B664)=4,OR(ISNUMBER(SEARCH("EXCHANGE RATE",C664)),ISNUMBER(SEARCH("EXCHG RTE",C664)))),"Personal Travel - Italy",IFERROR(INDEX('Category Rules'!$B$2:$B$358,MATCH(TRUE,ISNUMBER(SEARCH('Category Rules'!$A$2:$A$358,C664)),0)),""))))))))</f>
        <v>Apple</v>
      </c>
    </row>
    <row r="665" spans="1:7" x14ac:dyDescent="0.25">
      <c r="A665" t="s">
        <v>6</v>
      </c>
      <c r="B665" s="1">
        <v>45929</v>
      </c>
      <c r="C665" t="s">
        <v>618</v>
      </c>
      <c r="D665">
        <v>-5.49</v>
      </c>
      <c r="E665" t="s">
        <v>10</v>
      </c>
      <c r="F665">
        <v>7217.8</v>
      </c>
      <c r="G665" t="str" cm="1">
        <f t="array" ref="G665">IF(AND(ISNUMBER(SEARCH("UBER",C665)),ISNUMBER(SEARCH("EATS",C665))),"Uber Eats",IF(LEFT(C665,6)="CHECK ","Checks Paid",IF(OR(E665="BILLPAY",ISNUMBER(SEARCH("FRANCHISE TAX",C665)),ISNUMBER(SEARCH("NEXTLINK",C665))),"Personal - House Bills",IF(AND(ISNUMBER(SEARCH("PAYMENT FROM",C665)),ISNUMBER(SEARCH("JOE SAUNDERS",C665))),"Zelle from Joe Saunders",IF(AND(ISNUMBER(SEARCH("PAYMENT TO",C665)),ISNUMBER(SEARCH("JOE SAUNDERS",C665))),"Zelle to Joe Saunders",IF(OR(ISNUMBER(SEARCH("NEW ORLEANS",C665)),ISNUMBER(SEARCH("KENNER",C665)),ISNUMBER(SEARCH("HENRY HOWARD",C665)),ISNUMBER(SEARCH("MISS CLAUDIA",C665))),"Personal Travel - New Orleans",IF(AND(YEAR(B665)=2025,MONTH(B665)=4,OR(ISNUMBER(SEARCH("EXCHANGE RATE",C665)),ISNUMBER(SEARCH("EXCHG RTE",C665)))),"Personal Travel - Italy",IFERROR(INDEX('Category Rules'!$B$2:$B$358,MATCH(TRUE,ISNUMBER(SEARCH('Category Rules'!$A$2:$A$358,C665)),0)),""))))))))</f>
        <v>Personal - Health</v>
      </c>
    </row>
    <row r="666" spans="1:7" x14ac:dyDescent="0.25">
      <c r="A666" t="s">
        <v>6</v>
      </c>
      <c r="B666" s="1">
        <v>45929</v>
      </c>
      <c r="C666" t="s">
        <v>619</v>
      </c>
      <c r="D666">
        <v>-296.51</v>
      </c>
      <c r="E666" t="s">
        <v>10</v>
      </c>
      <c r="F666">
        <v>7223.29</v>
      </c>
      <c r="G666" t="str" cm="1">
        <f t="array" ref="G666">IF(AND(ISNUMBER(SEARCH("UBER",C666)),ISNUMBER(SEARCH("EATS",C666))),"Uber Eats",IF(LEFT(C666,6)="CHECK ","Checks Paid",IF(OR(E666="BILLPAY",ISNUMBER(SEARCH("FRANCHISE TAX",C666)),ISNUMBER(SEARCH("NEXTLINK",C666))),"Personal - House Bills",IF(AND(ISNUMBER(SEARCH("PAYMENT FROM",C666)),ISNUMBER(SEARCH("JOE SAUNDERS",C666))),"Zelle from Joe Saunders",IF(AND(ISNUMBER(SEARCH("PAYMENT TO",C666)),ISNUMBER(SEARCH("JOE SAUNDERS",C666))),"Zelle to Joe Saunders",IF(OR(ISNUMBER(SEARCH("NEW ORLEANS",C666)),ISNUMBER(SEARCH("KENNER",C666)),ISNUMBER(SEARCH("HENRY HOWARD",C666)),ISNUMBER(SEARCH("MISS CLAUDIA",C666))),"Personal Travel - New Orleans",IF(AND(YEAR(B666)=2025,MONTH(B666)=4,OR(ISNUMBER(SEARCH("EXCHANGE RATE",C666)),ISNUMBER(SEARCH("EXCHG RTE",C666)))),"Personal Travel - Italy",IFERROR(INDEX('Category Rules'!$B$2:$B$358,MATCH(TRUE,ISNUMBER(SEARCH('Category Rules'!$A$2:$A$358,C666)),0)),""))))))))</f>
        <v>Personal - Shopping</v>
      </c>
    </row>
    <row r="667" spans="1:7" x14ac:dyDescent="0.25">
      <c r="A667" t="s">
        <v>6</v>
      </c>
      <c r="B667" s="1">
        <v>45929</v>
      </c>
      <c r="C667" t="s">
        <v>620</v>
      </c>
      <c r="D667">
        <v>-31.15</v>
      </c>
      <c r="E667" t="s">
        <v>10</v>
      </c>
      <c r="F667">
        <v>7519.8</v>
      </c>
      <c r="G667" t="str" cm="1">
        <f t="array" ref="G667">IF(AND(ISNUMBER(SEARCH("UBER",C667)),ISNUMBER(SEARCH("EATS",C667))),"Uber Eats",IF(LEFT(C667,6)="CHECK ","Checks Paid",IF(OR(E667="BILLPAY",ISNUMBER(SEARCH("FRANCHISE TAX",C667)),ISNUMBER(SEARCH("NEXTLINK",C667))),"Personal - House Bills",IF(AND(ISNUMBER(SEARCH("PAYMENT FROM",C667)),ISNUMBER(SEARCH("JOE SAUNDERS",C667))),"Zelle from Joe Saunders",IF(AND(ISNUMBER(SEARCH("PAYMENT TO",C667)),ISNUMBER(SEARCH("JOE SAUNDERS",C667))),"Zelle to Joe Saunders",IF(OR(ISNUMBER(SEARCH("NEW ORLEANS",C667)),ISNUMBER(SEARCH("KENNER",C667)),ISNUMBER(SEARCH("HENRY HOWARD",C667)),ISNUMBER(SEARCH("MISS CLAUDIA",C667))),"Personal Travel - New Orleans",IF(AND(YEAR(B667)=2025,MONTH(B667)=4,OR(ISNUMBER(SEARCH("EXCHANGE RATE",C667)),ISNUMBER(SEARCH("EXCHG RTE",C667)))),"Personal Travel - Italy",IFERROR(INDEX('Category Rules'!$B$2:$B$358,MATCH(TRUE,ISNUMBER(SEARCH('Category Rules'!$A$2:$A$358,C667)),0)),""))))))))</f>
        <v>Uber Eats</v>
      </c>
    </row>
    <row r="668" spans="1:7" x14ac:dyDescent="0.25">
      <c r="A668" t="s">
        <v>6</v>
      </c>
      <c r="B668" s="1">
        <v>45929</v>
      </c>
      <c r="C668" t="s">
        <v>621</v>
      </c>
      <c r="D668">
        <v>-24.11</v>
      </c>
      <c r="E668" t="s">
        <v>10</v>
      </c>
      <c r="F668">
        <v>7550.95</v>
      </c>
      <c r="G668" t="str" cm="1">
        <f t="array" ref="G668">IF(AND(ISNUMBER(SEARCH("UBER",C668)),ISNUMBER(SEARCH("EATS",C668))),"Uber Eats",IF(LEFT(C668,6)="CHECK ","Checks Paid",IF(OR(E668="BILLPAY",ISNUMBER(SEARCH("FRANCHISE TAX",C668)),ISNUMBER(SEARCH("NEXTLINK",C668))),"Personal - House Bills",IF(AND(ISNUMBER(SEARCH("PAYMENT FROM",C668)),ISNUMBER(SEARCH("JOE SAUNDERS",C668))),"Zelle from Joe Saunders",IF(AND(ISNUMBER(SEARCH("PAYMENT TO",C668)),ISNUMBER(SEARCH("JOE SAUNDERS",C668))),"Zelle to Joe Saunders",IF(OR(ISNUMBER(SEARCH("NEW ORLEANS",C668)),ISNUMBER(SEARCH("KENNER",C668)),ISNUMBER(SEARCH("HENRY HOWARD",C668)),ISNUMBER(SEARCH("MISS CLAUDIA",C668))),"Personal Travel - New Orleans",IF(AND(YEAR(B668)=2025,MONTH(B668)=4,OR(ISNUMBER(SEARCH("EXCHANGE RATE",C668)),ISNUMBER(SEARCH("EXCHG RTE",C668)))),"Personal Travel - Italy",IFERROR(INDEX('Category Rules'!$B$2:$B$358,MATCH(TRUE,ISNUMBER(SEARCH('Category Rules'!$A$2:$A$358,C668)),0)),""))))))))</f>
        <v>Amazon</v>
      </c>
    </row>
    <row r="669" spans="1:7" x14ac:dyDescent="0.25">
      <c r="A669" t="s">
        <v>6</v>
      </c>
      <c r="B669" s="1">
        <v>45929</v>
      </c>
      <c r="C669" t="s">
        <v>622</v>
      </c>
      <c r="D669">
        <v>-25.22</v>
      </c>
      <c r="E669" t="s">
        <v>10</v>
      </c>
      <c r="F669">
        <v>7575.06</v>
      </c>
      <c r="G669" t="str" cm="1">
        <f t="array" ref="G669">IF(AND(ISNUMBER(SEARCH("UBER",C669)),ISNUMBER(SEARCH("EATS",C669))),"Uber Eats",IF(LEFT(C669,6)="CHECK ","Checks Paid",IF(OR(E669="BILLPAY",ISNUMBER(SEARCH("FRANCHISE TAX",C669)),ISNUMBER(SEARCH("NEXTLINK",C669))),"Personal - House Bills",IF(AND(ISNUMBER(SEARCH("PAYMENT FROM",C669)),ISNUMBER(SEARCH("JOE SAUNDERS",C669))),"Zelle from Joe Saunders",IF(AND(ISNUMBER(SEARCH("PAYMENT TO",C669)),ISNUMBER(SEARCH("JOE SAUNDERS",C669))),"Zelle to Joe Saunders",IF(OR(ISNUMBER(SEARCH("NEW ORLEANS",C669)),ISNUMBER(SEARCH("KENNER",C669)),ISNUMBER(SEARCH("HENRY HOWARD",C669)),ISNUMBER(SEARCH("MISS CLAUDIA",C669))),"Personal Travel - New Orleans",IF(AND(YEAR(B669)=2025,MONTH(B669)=4,OR(ISNUMBER(SEARCH("EXCHANGE RATE",C669)),ISNUMBER(SEARCH("EXCHG RTE",C669)))),"Personal Travel - Italy",IFERROR(INDEX('Category Rules'!$B$2:$B$358,MATCH(TRUE,ISNUMBER(SEARCH('Category Rules'!$A$2:$A$358,C669)),0)),""))))))))</f>
        <v>Amazon</v>
      </c>
    </row>
    <row r="670" spans="1:7" x14ac:dyDescent="0.25">
      <c r="A670" t="s">
        <v>6</v>
      </c>
      <c r="B670" s="1">
        <v>45929</v>
      </c>
      <c r="C670" t="s">
        <v>623</v>
      </c>
      <c r="D670">
        <v>-204.25</v>
      </c>
      <c r="E670" t="s">
        <v>10</v>
      </c>
      <c r="F670">
        <v>7600.28</v>
      </c>
      <c r="G670" t="str" cm="1">
        <f t="array" ref="G670">IF(AND(ISNUMBER(SEARCH("UBER",C670)),ISNUMBER(SEARCH("EATS",C670))),"Uber Eats",IF(LEFT(C670,6)="CHECK ","Checks Paid",IF(OR(E670="BILLPAY",ISNUMBER(SEARCH("FRANCHISE TAX",C670)),ISNUMBER(SEARCH("NEXTLINK",C670))),"Personal - House Bills",IF(AND(ISNUMBER(SEARCH("PAYMENT FROM",C670)),ISNUMBER(SEARCH("JOE SAUNDERS",C670))),"Zelle from Joe Saunders",IF(AND(ISNUMBER(SEARCH("PAYMENT TO",C670)),ISNUMBER(SEARCH("JOE SAUNDERS",C670))),"Zelle to Joe Saunders",IF(OR(ISNUMBER(SEARCH("NEW ORLEANS",C670)),ISNUMBER(SEARCH("KENNER",C670)),ISNUMBER(SEARCH("HENRY HOWARD",C670)),ISNUMBER(SEARCH("MISS CLAUDIA",C670))),"Personal Travel - New Orleans",IF(AND(YEAR(B670)=2025,MONTH(B670)=4,OR(ISNUMBER(SEARCH("EXCHANGE RATE",C670)),ISNUMBER(SEARCH("EXCHG RTE",C670)))),"Personal Travel - Italy",IFERROR(INDEX('Category Rules'!$B$2:$B$358,MATCH(TRUE,ISNUMBER(SEARCH('Category Rules'!$A$2:$A$358,C670)),0)),""))))))))</f>
        <v>Amazon</v>
      </c>
    </row>
    <row r="671" spans="1:7" x14ac:dyDescent="0.25">
      <c r="A671" t="s">
        <v>6</v>
      </c>
      <c r="B671" s="1">
        <v>45929</v>
      </c>
      <c r="C671" t="s">
        <v>624</v>
      </c>
      <c r="D671">
        <v>-191.7</v>
      </c>
      <c r="E671" t="s">
        <v>10</v>
      </c>
      <c r="F671">
        <v>7804.53</v>
      </c>
      <c r="G671" t="str" cm="1">
        <f t="array" ref="G671">IF(AND(ISNUMBER(SEARCH("UBER",C671)),ISNUMBER(SEARCH("EATS",C671))),"Uber Eats",IF(LEFT(C671,6)="CHECK ","Checks Paid",IF(OR(E671="BILLPAY",ISNUMBER(SEARCH("FRANCHISE TAX",C671)),ISNUMBER(SEARCH("NEXTLINK",C671))),"Personal - House Bills",IF(AND(ISNUMBER(SEARCH("PAYMENT FROM",C671)),ISNUMBER(SEARCH("JOE SAUNDERS",C671))),"Zelle from Joe Saunders",IF(AND(ISNUMBER(SEARCH("PAYMENT TO",C671)),ISNUMBER(SEARCH("JOE SAUNDERS",C671))),"Zelle to Joe Saunders",IF(OR(ISNUMBER(SEARCH("NEW ORLEANS",C671)),ISNUMBER(SEARCH("KENNER",C671)),ISNUMBER(SEARCH("HENRY HOWARD",C671)),ISNUMBER(SEARCH("MISS CLAUDIA",C671))),"Personal Travel - New Orleans",IF(AND(YEAR(B671)=2025,MONTH(B671)=4,OR(ISNUMBER(SEARCH("EXCHANGE RATE",C671)),ISNUMBER(SEARCH("EXCHG RTE",C671)))),"Personal Travel - Italy",IFERROR(INDEX('Category Rules'!$B$2:$B$358,MATCH(TRUE,ISNUMBER(SEARCH('Category Rules'!$A$2:$A$358,C671)),0)),""))))))))</f>
        <v>Personal - Shopping</v>
      </c>
    </row>
    <row r="672" spans="1:7" x14ac:dyDescent="0.25">
      <c r="A672" t="s">
        <v>6</v>
      </c>
      <c r="B672" s="1">
        <v>45929</v>
      </c>
      <c r="C672" t="s">
        <v>625</v>
      </c>
      <c r="D672">
        <v>-26.27</v>
      </c>
      <c r="E672" t="s">
        <v>10</v>
      </c>
      <c r="F672">
        <v>7996.23</v>
      </c>
      <c r="G672" t="str" cm="1">
        <f t="array" ref="G672">IF(AND(ISNUMBER(SEARCH("UBER",C672)),ISNUMBER(SEARCH("EATS",C672))),"Uber Eats",IF(LEFT(C672,6)="CHECK ","Checks Paid",IF(OR(E672="BILLPAY",ISNUMBER(SEARCH("FRANCHISE TAX",C672)),ISNUMBER(SEARCH("NEXTLINK",C672))),"Personal - House Bills",IF(AND(ISNUMBER(SEARCH("PAYMENT FROM",C672)),ISNUMBER(SEARCH("JOE SAUNDERS",C672))),"Zelle from Joe Saunders",IF(AND(ISNUMBER(SEARCH("PAYMENT TO",C672)),ISNUMBER(SEARCH("JOE SAUNDERS",C672))),"Zelle to Joe Saunders",IF(OR(ISNUMBER(SEARCH("NEW ORLEANS",C672)),ISNUMBER(SEARCH("KENNER",C672)),ISNUMBER(SEARCH("HENRY HOWARD",C672)),ISNUMBER(SEARCH("MISS CLAUDIA",C672))),"Personal Travel - New Orleans",IF(AND(YEAR(B672)=2025,MONTH(B672)=4,OR(ISNUMBER(SEARCH("EXCHANGE RATE",C672)),ISNUMBER(SEARCH("EXCHG RTE",C672)))),"Personal Travel - Italy",IFERROR(INDEX('Category Rules'!$B$2:$B$358,MATCH(TRUE,ISNUMBER(SEARCH('Category Rules'!$A$2:$A$358,C672)),0)),""))))))))</f>
        <v>Personal - Entertainment</v>
      </c>
    </row>
    <row r="673" spans="1:7" x14ac:dyDescent="0.25">
      <c r="A673" t="s">
        <v>6</v>
      </c>
      <c r="B673" s="1">
        <v>45929</v>
      </c>
      <c r="C673" t="s">
        <v>626</v>
      </c>
      <c r="D673">
        <v>-5.99</v>
      </c>
      <c r="E673" t="s">
        <v>10</v>
      </c>
      <c r="F673">
        <v>8022.5</v>
      </c>
      <c r="G673" t="str" cm="1">
        <f t="array" ref="G673">IF(AND(ISNUMBER(SEARCH("UBER",C673)),ISNUMBER(SEARCH("EATS",C673))),"Uber Eats",IF(LEFT(C673,6)="CHECK ","Checks Paid",IF(OR(E673="BILLPAY",ISNUMBER(SEARCH("FRANCHISE TAX",C673)),ISNUMBER(SEARCH("NEXTLINK",C673))),"Personal - House Bills",IF(AND(ISNUMBER(SEARCH("PAYMENT FROM",C673)),ISNUMBER(SEARCH("JOE SAUNDERS",C673))),"Zelle from Joe Saunders",IF(AND(ISNUMBER(SEARCH("PAYMENT TO",C673)),ISNUMBER(SEARCH("JOE SAUNDERS",C673))),"Zelle to Joe Saunders",IF(OR(ISNUMBER(SEARCH("NEW ORLEANS",C673)),ISNUMBER(SEARCH("KENNER",C673)),ISNUMBER(SEARCH("HENRY HOWARD",C673)),ISNUMBER(SEARCH("MISS CLAUDIA",C673))),"Personal Travel - New Orleans",IF(AND(YEAR(B673)=2025,MONTH(B673)=4,OR(ISNUMBER(SEARCH("EXCHANGE RATE",C673)),ISNUMBER(SEARCH("EXCHG RTE",C673)))),"Personal Travel - Italy",IFERROR(INDEX('Category Rules'!$B$2:$B$358,MATCH(TRUE,ISNUMBER(SEARCH('Category Rules'!$A$2:$A$358,C673)),0)),""))))))))</f>
        <v>Personal - Subscription</v>
      </c>
    </row>
    <row r="674" spans="1:7" x14ac:dyDescent="0.25">
      <c r="A674" t="s">
        <v>6</v>
      </c>
      <c r="B674" s="1">
        <v>45929</v>
      </c>
      <c r="C674" t="s">
        <v>627</v>
      </c>
      <c r="D674">
        <v>-6.99</v>
      </c>
      <c r="E674" t="s">
        <v>10</v>
      </c>
      <c r="F674">
        <v>8028.49</v>
      </c>
      <c r="G674" t="str" cm="1">
        <f t="array" ref="G674">IF(AND(ISNUMBER(SEARCH("UBER",C674)),ISNUMBER(SEARCH("EATS",C674))),"Uber Eats",IF(LEFT(C674,6)="CHECK ","Checks Paid",IF(OR(E674="BILLPAY",ISNUMBER(SEARCH("FRANCHISE TAX",C674)),ISNUMBER(SEARCH("NEXTLINK",C674))),"Personal - House Bills",IF(AND(ISNUMBER(SEARCH("PAYMENT FROM",C674)),ISNUMBER(SEARCH("JOE SAUNDERS",C674))),"Zelle from Joe Saunders",IF(AND(ISNUMBER(SEARCH("PAYMENT TO",C674)),ISNUMBER(SEARCH("JOE SAUNDERS",C674))),"Zelle to Joe Saunders",IF(OR(ISNUMBER(SEARCH("NEW ORLEANS",C674)),ISNUMBER(SEARCH("KENNER",C674)),ISNUMBER(SEARCH("HENRY HOWARD",C674)),ISNUMBER(SEARCH("MISS CLAUDIA",C674))),"Personal Travel - New Orleans",IF(AND(YEAR(B674)=2025,MONTH(B674)=4,OR(ISNUMBER(SEARCH("EXCHANGE RATE",C674)),ISNUMBER(SEARCH("EXCHG RTE",C674)))),"Personal Travel - Italy",IFERROR(INDEX('Category Rules'!$B$2:$B$358,MATCH(TRUE,ISNUMBER(SEARCH('Category Rules'!$A$2:$A$358,C674)),0)),""))))))))</f>
        <v>Amazon</v>
      </c>
    </row>
    <row r="675" spans="1:7" x14ac:dyDescent="0.25">
      <c r="A675" t="s">
        <v>6</v>
      </c>
      <c r="B675" s="1">
        <v>45929</v>
      </c>
      <c r="C675" t="s">
        <v>628</v>
      </c>
      <c r="D675">
        <v>-101.77</v>
      </c>
      <c r="E675" t="s">
        <v>10</v>
      </c>
      <c r="F675">
        <v>8035.48</v>
      </c>
      <c r="G675" t="str" cm="1">
        <f t="array" ref="G675">IF(AND(ISNUMBER(SEARCH("UBER",C675)),ISNUMBER(SEARCH("EATS",C675))),"Uber Eats",IF(LEFT(C675,6)="CHECK ","Checks Paid",IF(OR(E675="BILLPAY",ISNUMBER(SEARCH("FRANCHISE TAX",C675)),ISNUMBER(SEARCH("NEXTLINK",C675))),"Personal - House Bills",IF(AND(ISNUMBER(SEARCH("PAYMENT FROM",C675)),ISNUMBER(SEARCH("JOE SAUNDERS",C675))),"Zelle from Joe Saunders",IF(AND(ISNUMBER(SEARCH("PAYMENT TO",C675)),ISNUMBER(SEARCH("JOE SAUNDERS",C675))),"Zelle to Joe Saunders",IF(OR(ISNUMBER(SEARCH("NEW ORLEANS",C675)),ISNUMBER(SEARCH("KENNER",C675)),ISNUMBER(SEARCH("HENRY HOWARD",C675)),ISNUMBER(SEARCH("MISS CLAUDIA",C675))),"Personal Travel - New Orleans",IF(AND(YEAR(B675)=2025,MONTH(B675)=4,OR(ISNUMBER(SEARCH("EXCHANGE RATE",C675)),ISNUMBER(SEARCH("EXCHG RTE",C675)))),"Personal Travel - Italy",IFERROR(INDEX('Category Rules'!$B$2:$B$358,MATCH(TRUE,ISNUMBER(SEARCH('Category Rules'!$A$2:$A$358,C675)),0)),""))))))))</f>
        <v>Personal Travel</v>
      </c>
    </row>
    <row r="676" spans="1:7" x14ac:dyDescent="0.25">
      <c r="A676" t="s">
        <v>6</v>
      </c>
      <c r="B676" s="1">
        <v>45929</v>
      </c>
      <c r="C676" t="s">
        <v>628</v>
      </c>
      <c r="D676">
        <v>-101.77</v>
      </c>
      <c r="E676" t="s">
        <v>10</v>
      </c>
      <c r="F676">
        <v>8137.25</v>
      </c>
      <c r="G676" t="str" cm="1">
        <f t="array" ref="G676">IF(AND(ISNUMBER(SEARCH("UBER",C676)),ISNUMBER(SEARCH("EATS",C676))),"Uber Eats",IF(LEFT(C676,6)="CHECK ","Checks Paid",IF(OR(E676="BILLPAY",ISNUMBER(SEARCH("FRANCHISE TAX",C676)),ISNUMBER(SEARCH("NEXTLINK",C676))),"Personal - House Bills",IF(AND(ISNUMBER(SEARCH("PAYMENT FROM",C676)),ISNUMBER(SEARCH("JOE SAUNDERS",C676))),"Zelle from Joe Saunders",IF(AND(ISNUMBER(SEARCH("PAYMENT TO",C676)),ISNUMBER(SEARCH("JOE SAUNDERS",C676))),"Zelle to Joe Saunders",IF(OR(ISNUMBER(SEARCH("NEW ORLEANS",C676)),ISNUMBER(SEARCH("KENNER",C676)),ISNUMBER(SEARCH("HENRY HOWARD",C676)),ISNUMBER(SEARCH("MISS CLAUDIA",C676))),"Personal Travel - New Orleans",IF(AND(YEAR(B676)=2025,MONTH(B676)=4,OR(ISNUMBER(SEARCH("EXCHANGE RATE",C676)),ISNUMBER(SEARCH("EXCHG RTE",C676)))),"Personal Travel - Italy",IFERROR(INDEX('Category Rules'!$B$2:$B$358,MATCH(TRUE,ISNUMBER(SEARCH('Category Rules'!$A$2:$A$358,C676)),0)),""))))))))</f>
        <v>Personal Travel</v>
      </c>
    </row>
    <row r="677" spans="1:7" x14ac:dyDescent="0.25">
      <c r="A677" t="s">
        <v>6</v>
      </c>
      <c r="B677" s="1">
        <v>45929</v>
      </c>
      <c r="C677" t="s">
        <v>629</v>
      </c>
      <c r="D677">
        <v>-356.96</v>
      </c>
      <c r="E677" t="s">
        <v>10</v>
      </c>
      <c r="F677">
        <v>8239.02</v>
      </c>
      <c r="G677" t="str" cm="1">
        <f t="array" ref="G677">IF(AND(ISNUMBER(SEARCH("UBER",C677)),ISNUMBER(SEARCH("EATS",C677))),"Uber Eats",IF(LEFT(C677,6)="CHECK ","Checks Paid",IF(OR(E677="BILLPAY",ISNUMBER(SEARCH("FRANCHISE TAX",C677)),ISNUMBER(SEARCH("NEXTLINK",C677))),"Personal - House Bills",IF(AND(ISNUMBER(SEARCH("PAYMENT FROM",C677)),ISNUMBER(SEARCH("JOE SAUNDERS",C677))),"Zelle from Joe Saunders",IF(AND(ISNUMBER(SEARCH("PAYMENT TO",C677)),ISNUMBER(SEARCH("JOE SAUNDERS",C677))),"Zelle to Joe Saunders",IF(OR(ISNUMBER(SEARCH("NEW ORLEANS",C677)),ISNUMBER(SEARCH("KENNER",C677)),ISNUMBER(SEARCH("HENRY HOWARD",C677)),ISNUMBER(SEARCH("MISS CLAUDIA",C677))),"Personal Travel - New Orleans",IF(AND(YEAR(B677)=2025,MONTH(B677)=4,OR(ISNUMBER(SEARCH("EXCHANGE RATE",C677)),ISNUMBER(SEARCH("EXCHG RTE",C677)))),"Personal Travel - Italy",IFERROR(INDEX('Category Rules'!$B$2:$B$358,MATCH(TRUE,ISNUMBER(SEARCH('Category Rules'!$A$2:$A$358,C677)),0)),""))))))))</f>
        <v>Personal Travel</v>
      </c>
    </row>
    <row r="678" spans="1:7" x14ac:dyDescent="0.25">
      <c r="A678" t="s">
        <v>6</v>
      </c>
      <c r="B678" s="1">
        <v>45929</v>
      </c>
      <c r="C678" t="s">
        <v>629</v>
      </c>
      <c r="D678">
        <v>-356.96</v>
      </c>
      <c r="E678" t="s">
        <v>10</v>
      </c>
      <c r="F678">
        <v>8595.98</v>
      </c>
      <c r="G678" t="str" cm="1">
        <f t="array" ref="G678">IF(AND(ISNUMBER(SEARCH("UBER",C678)),ISNUMBER(SEARCH("EATS",C678))),"Uber Eats",IF(LEFT(C678,6)="CHECK ","Checks Paid",IF(OR(E678="BILLPAY",ISNUMBER(SEARCH("FRANCHISE TAX",C678)),ISNUMBER(SEARCH("NEXTLINK",C678))),"Personal - House Bills",IF(AND(ISNUMBER(SEARCH("PAYMENT FROM",C678)),ISNUMBER(SEARCH("JOE SAUNDERS",C678))),"Zelle from Joe Saunders",IF(AND(ISNUMBER(SEARCH("PAYMENT TO",C678)),ISNUMBER(SEARCH("JOE SAUNDERS",C678))),"Zelle to Joe Saunders",IF(OR(ISNUMBER(SEARCH("NEW ORLEANS",C678)),ISNUMBER(SEARCH("KENNER",C678)),ISNUMBER(SEARCH("HENRY HOWARD",C678)),ISNUMBER(SEARCH("MISS CLAUDIA",C678))),"Personal Travel - New Orleans",IF(AND(YEAR(B678)=2025,MONTH(B678)=4,OR(ISNUMBER(SEARCH("EXCHANGE RATE",C678)),ISNUMBER(SEARCH("EXCHG RTE",C678)))),"Personal Travel - Italy",IFERROR(INDEX('Category Rules'!$B$2:$B$358,MATCH(TRUE,ISNUMBER(SEARCH('Category Rules'!$A$2:$A$358,C678)),0)),""))))))))</f>
        <v>Personal Travel</v>
      </c>
    </row>
    <row r="679" spans="1:7" x14ac:dyDescent="0.25">
      <c r="A679" t="s">
        <v>6</v>
      </c>
      <c r="B679" s="1">
        <v>45929</v>
      </c>
      <c r="C679" t="s">
        <v>630</v>
      </c>
      <c r="D679">
        <v>-76</v>
      </c>
      <c r="E679" t="s">
        <v>10</v>
      </c>
      <c r="F679">
        <v>8952.94</v>
      </c>
      <c r="G679" t="str" cm="1">
        <f t="array" ref="G679">IF(AND(ISNUMBER(SEARCH("UBER",C679)),ISNUMBER(SEARCH("EATS",C679))),"Uber Eats",IF(LEFT(C679,6)="CHECK ","Checks Paid",IF(OR(E679="BILLPAY",ISNUMBER(SEARCH("FRANCHISE TAX",C679)),ISNUMBER(SEARCH("NEXTLINK",C679))),"Personal - House Bills",IF(AND(ISNUMBER(SEARCH("PAYMENT FROM",C679)),ISNUMBER(SEARCH("JOE SAUNDERS",C679))),"Zelle from Joe Saunders",IF(AND(ISNUMBER(SEARCH("PAYMENT TO",C679)),ISNUMBER(SEARCH("JOE SAUNDERS",C679))),"Zelle to Joe Saunders",IF(OR(ISNUMBER(SEARCH("NEW ORLEANS",C679)),ISNUMBER(SEARCH("KENNER",C679)),ISNUMBER(SEARCH("HENRY HOWARD",C679)),ISNUMBER(SEARCH("MISS CLAUDIA",C679))),"Personal Travel - New Orleans",IF(AND(YEAR(B679)=2025,MONTH(B679)=4,OR(ISNUMBER(SEARCH("EXCHANGE RATE",C679)),ISNUMBER(SEARCH("EXCHG RTE",C679)))),"Personal Travel - Italy",IFERROR(INDEX('Category Rules'!$B$2:$B$358,MATCH(TRUE,ISNUMBER(SEARCH('Category Rules'!$A$2:$A$358,C679)),0)),""))))))))</f>
        <v>Personal - Entertainment</v>
      </c>
    </row>
    <row r="680" spans="1:7" x14ac:dyDescent="0.25">
      <c r="A680" t="s">
        <v>6</v>
      </c>
      <c r="B680" s="1">
        <v>45929</v>
      </c>
      <c r="C680" t="s">
        <v>630</v>
      </c>
      <c r="D680">
        <v>-80</v>
      </c>
      <c r="E680" t="s">
        <v>10</v>
      </c>
      <c r="F680">
        <v>9028.94</v>
      </c>
      <c r="G680" t="str" cm="1">
        <f t="array" ref="G680">IF(AND(ISNUMBER(SEARCH("UBER",C680)),ISNUMBER(SEARCH("EATS",C680))),"Uber Eats",IF(LEFT(C680,6)="CHECK ","Checks Paid",IF(OR(E680="BILLPAY",ISNUMBER(SEARCH("FRANCHISE TAX",C680)),ISNUMBER(SEARCH("NEXTLINK",C680))),"Personal - House Bills",IF(AND(ISNUMBER(SEARCH("PAYMENT FROM",C680)),ISNUMBER(SEARCH("JOE SAUNDERS",C680))),"Zelle from Joe Saunders",IF(AND(ISNUMBER(SEARCH("PAYMENT TO",C680)),ISNUMBER(SEARCH("JOE SAUNDERS",C680))),"Zelle to Joe Saunders",IF(OR(ISNUMBER(SEARCH("NEW ORLEANS",C680)),ISNUMBER(SEARCH("KENNER",C680)),ISNUMBER(SEARCH("HENRY HOWARD",C680)),ISNUMBER(SEARCH("MISS CLAUDIA",C680))),"Personal Travel - New Orleans",IF(AND(YEAR(B680)=2025,MONTH(B680)=4,OR(ISNUMBER(SEARCH("EXCHANGE RATE",C680)),ISNUMBER(SEARCH("EXCHG RTE",C680)))),"Personal Travel - Italy",IFERROR(INDEX('Category Rules'!$B$2:$B$358,MATCH(TRUE,ISNUMBER(SEARCH('Category Rules'!$A$2:$A$358,C680)),0)),""))))))))</f>
        <v>Personal - Entertainment</v>
      </c>
    </row>
    <row r="681" spans="1:7" x14ac:dyDescent="0.25">
      <c r="A681" t="s">
        <v>44</v>
      </c>
      <c r="B681" s="1">
        <v>45929</v>
      </c>
      <c r="C681" t="s">
        <v>631</v>
      </c>
      <c r="D681">
        <v>2.0699999999999998</v>
      </c>
      <c r="E681" t="s">
        <v>632</v>
      </c>
      <c r="F681">
        <v>9108.94</v>
      </c>
      <c r="G681" t="str" cm="1">
        <f t="array" ref="G681">IF(AND(ISNUMBER(SEARCH("UBER",C681)),ISNUMBER(SEARCH("EATS",C681))),"Uber Eats",IF(LEFT(C681,6)="CHECK ","Checks Paid",IF(OR(E681="BILLPAY",ISNUMBER(SEARCH("FRANCHISE TAX",C681)),ISNUMBER(SEARCH("NEXTLINK",C681))),"Personal - House Bills",IF(AND(ISNUMBER(SEARCH("PAYMENT FROM",C681)),ISNUMBER(SEARCH("JOE SAUNDERS",C681))),"Zelle from Joe Saunders",IF(AND(ISNUMBER(SEARCH("PAYMENT TO",C681)),ISNUMBER(SEARCH("JOE SAUNDERS",C681))),"Zelle to Joe Saunders",IF(OR(ISNUMBER(SEARCH("NEW ORLEANS",C681)),ISNUMBER(SEARCH("KENNER",C681)),ISNUMBER(SEARCH("HENRY HOWARD",C681)),ISNUMBER(SEARCH("MISS CLAUDIA",C681))),"Personal Travel - New Orleans",IF(AND(YEAR(B681)=2025,MONTH(B681)=4,OR(ISNUMBER(SEARCH("EXCHANGE RATE",C681)),ISNUMBER(SEARCH("EXCHG RTE",C681)))),"Personal Travel - Italy",IFERROR(INDEX('Category Rules'!$B$2:$B$358,MATCH(TRUE,ISNUMBER(SEARCH('Category Rules'!$A$2:$A$358,C681)),0)),""))))))))</f>
        <v>Personal - Car</v>
      </c>
    </row>
    <row r="682" spans="1:7" x14ac:dyDescent="0.25">
      <c r="A682" t="s">
        <v>6</v>
      </c>
      <c r="B682" s="1">
        <v>45926</v>
      </c>
      <c r="C682" t="s">
        <v>633</v>
      </c>
      <c r="D682">
        <v>-249.73</v>
      </c>
      <c r="E682" t="s">
        <v>10</v>
      </c>
      <c r="F682">
        <v>9106.8700000000008</v>
      </c>
      <c r="G682" t="str" cm="1">
        <f t="array" ref="G682">IF(AND(ISNUMBER(SEARCH("UBER",C682)),ISNUMBER(SEARCH("EATS",C682))),"Uber Eats",IF(LEFT(C682,6)="CHECK ","Checks Paid",IF(OR(E682="BILLPAY",ISNUMBER(SEARCH("FRANCHISE TAX",C682)),ISNUMBER(SEARCH("NEXTLINK",C682))),"Personal - House Bills",IF(AND(ISNUMBER(SEARCH("PAYMENT FROM",C682)),ISNUMBER(SEARCH("JOE SAUNDERS",C682))),"Zelle from Joe Saunders",IF(AND(ISNUMBER(SEARCH("PAYMENT TO",C682)),ISNUMBER(SEARCH("JOE SAUNDERS",C682))),"Zelle to Joe Saunders",IF(OR(ISNUMBER(SEARCH("NEW ORLEANS",C682)),ISNUMBER(SEARCH("KENNER",C682)),ISNUMBER(SEARCH("HENRY HOWARD",C682)),ISNUMBER(SEARCH("MISS CLAUDIA",C682))),"Personal Travel - New Orleans",IF(AND(YEAR(B682)=2025,MONTH(B682)=4,OR(ISNUMBER(SEARCH("EXCHANGE RATE",C682)),ISNUMBER(SEARCH("EXCHG RTE",C682)))),"Personal Travel - Italy",IFERROR(INDEX('Category Rules'!$B$2:$B$358,MATCH(TRUE,ISNUMBER(SEARCH('Category Rules'!$A$2:$A$358,C682)),0)),""))))))))</f>
        <v>Personal - Health</v>
      </c>
    </row>
    <row r="683" spans="1:7" x14ac:dyDescent="0.25">
      <c r="A683" t="s">
        <v>6</v>
      </c>
      <c r="B683" s="1">
        <v>45926</v>
      </c>
      <c r="C683" t="s">
        <v>634</v>
      </c>
      <c r="D683">
        <v>-2000</v>
      </c>
      <c r="E683" t="s">
        <v>73</v>
      </c>
      <c r="F683">
        <v>9356.6</v>
      </c>
      <c r="G683" t="str" cm="1">
        <f t="array" ref="G683">IF(AND(ISNUMBER(SEARCH("UBER",C683)),ISNUMBER(SEARCH("EATS",C683))),"Uber Eats",IF(LEFT(C683,6)="CHECK ","Checks Paid",IF(OR(E683="BILLPAY",ISNUMBER(SEARCH("FRANCHISE TAX",C683)),ISNUMBER(SEARCH("NEXTLINK",C683))),"Personal - House Bills",IF(AND(ISNUMBER(SEARCH("PAYMENT FROM",C683)),ISNUMBER(SEARCH("JOE SAUNDERS",C683))),"Zelle from Joe Saunders",IF(AND(ISNUMBER(SEARCH("PAYMENT TO",C683)),ISNUMBER(SEARCH("JOE SAUNDERS",C683))),"Zelle to Joe Saunders",IF(OR(ISNUMBER(SEARCH("NEW ORLEANS",C683)),ISNUMBER(SEARCH("KENNER",C683)),ISNUMBER(SEARCH("HENRY HOWARD",C683)),ISNUMBER(SEARCH("MISS CLAUDIA",C683))),"Personal Travel - New Orleans",IF(AND(YEAR(B683)=2025,MONTH(B683)=4,OR(ISNUMBER(SEARCH("EXCHANGE RATE",C683)),ISNUMBER(SEARCH("EXCHG RTE",C683)))),"Personal Travel - Italy",IFERROR(INDEX('Category Rules'!$B$2:$B$358,MATCH(TRUE,ISNUMBER(SEARCH('Category Rules'!$A$2:$A$358,C683)),0)),""))))))))</f>
        <v>Transfer to Ava</v>
      </c>
    </row>
    <row r="684" spans="1:7" x14ac:dyDescent="0.25">
      <c r="A684" t="s">
        <v>6</v>
      </c>
      <c r="B684" s="1">
        <v>45926</v>
      </c>
      <c r="C684" t="s">
        <v>635</v>
      </c>
      <c r="D684">
        <v>-700</v>
      </c>
      <c r="E684" t="s">
        <v>33</v>
      </c>
      <c r="F684">
        <v>11356.6</v>
      </c>
      <c r="G684" t="str" cm="1">
        <f t="array" ref="G684">IF(AND(ISNUMBER(SEARCH("UBER",C684)),ISNUMBER(SEARCH("EATS",C684))),"Uber Eats",IF(LEFT(C684,6)="CHECK ","Checks Paid",IF(OR(E684="BILLPAY",ISNUMBER(SEARCH("FRANCHISE TAX",C684)),ISNUMBER(SEARCH("NEXTLINK",C684))),"Personal - House Bills",IF(AND(ISNUMBER(SEARCH("PAYMENT FROM",C684)),ISNUMBER(SEARCH("JOE SAUNDERS",C684))),"Zelle from Joe Saunders",IF(AND(ISNUMBER(SEARCH("PAYMENT TO",C684)),ISNUMBER(SEARCH("JOE SAUNDERS",C684))),"Zelle to Joe Saunders",IF(OR(ISNUMBER(SEARCH("NEW ORLEANS",C684)),ISNUMBER(SEARCH("KENNER",C684)),ISNUMBER(SEARCH("HENRY HOWARD",C684)),ISNUMBER(SEARCH("MISS CLAUDIA",C684))),"Personal Travel - New Orleans",IF(AND(YEAR(B684)=2025,MONTH(B684)=4,OR(ISNUMBER(SEARCH("EXCHANGE RATE",C684)),ISNUMBER(SEARCH("EXCHG RTE",C684)))),"Personal Travel - Italy",IFERROR(INDEX('Category Rules'!$B$2:$B$358,MATCH(TRUE,ISNUMBER(SEARCH('Category Rules'!$A$2:$A$358,C684)),0)),""))))))))</f>
        <v>Personal - House Bills</v>
      </c>
    </row>
    <row r="685" spans="1:7" x14ac:dyDescent="0.25">
      <c r="A685" t="s">
        <v>6</v>
      </c>
      <c r="B685" s="1">
        <v>45926</v>
      </c>
      <c r="C685" t="s">
        <v>636</v>
      </c>
      <c r="D685">
        <v>-120</v>
      </c>
      <c r="E685" t="s">
        <v>33</v>
      </c>
      <c r="F685">
        <v>12056.6</v>
      </c>
      <c r="G685" t="str" cm="1">
        <f t="array" ref="G685">IF(AND(ISNUMBER(SEARCH("UBER",C685)),ISNUMBER(SEARCH("EATS",C685))),"Uber Eats",IF(LEFT(C685,6)="CHECK ","Checks Paid",IF(OR(E685="BILLPAY",ISNUMBER(SEARCH("FRANCHISE TAX",C685)),ISNUMBER(SEARCH("NEXTLINK",C685))),"Personal - House Bills",IF(AND(ISNUMBER(SEARCH("PAYMENT FROM",C685)),ISNUMBER(SEARCH("JOE SAUNDERS",C685))),"Zelle from Joe Saunders",IF(AND(ISNUMBER(SEARCH("PAYMENT TO",C685)),ISNUMBER(SEARCH("JOE SAUNDERS",C685))),"Zelle to Joe Saunders",IF(OR(ISNUMBER(SEARCH("NEW ORLEANS",C685)),ISNUMBER(SEARCH("KENNER",C685)),ISNUMBER(SEARCH("HENRY HOWARD",C685)),ISNUMBER(SEARCH("MISS CLAUDIA",C685))),"Personal Travel - New Orleans",IF(AND(YEAR(B685)=2025,MONTH(B685)=4,OR(ISNUMBER(SEARCH("EXCHANGE RATE",C685)),ISNUMBER(SEARCH("EXCHG RTE",C685)))),"Personal Travel - Italy",IFERROR(INDEX('Category Rules'!$B$2:$B$358,MATCH(TRUE,ISNUMBER(SEARCH('Category Rules'!$A$2:$A$358,C685)),0)),""))))))))</f>
        <v>Personal - House Bills</v>
      </c>
    </row>
    <row r="686" spans="1:7" x14ac:dyDescent="0.25">
      <c r="A686" t="s">
        <v>6</v>
      </c>
      <c r="B686" s="1">
        <v>45926</v>
      </c>
      <c r="C686" t="s">
        <v>637</v>
      </c>
      <c r="D686">
        <v>-300</v>
      </c>
      <c r="E686" t="s">
        <v>33</v>
      </c>
      <c r="F686">
        <v>12176.6</v>
      </c>
      <c r="G686" t="str" cm="1">
        <f t="array" ref="G686">IF(AND(ISNUMBER(SEARCH("UBER",C686)),ISNUMBER(SEARCH("EATS",C686))),"Uber Eats",IF(LEFT(C686,6)="CHECK ","Checks Paid",IF(OR(E686="BILLPAY",ISNUMBER(SEARCH("FRANCHISE TAX",C686)),ISNUMBER(SEARCH("NEXTLINK",C686))),"Personal - House Bills",IF(AND(ISNUMBER(SEARCH("PAYMENT FROM",C686)),ISNUMBER(SEARCH("JOE SAUNDERS",C686))),"Zelle from Joe Saunders",IF(AND(ISNUMBER(SEARCH("PAYMENT TO",C686)),ISNUMBER(SEARCH("JOE SAUNDERS",C686))),"Zelle to Joe Saunders",IF(OR(ISNUMBER(SEARCH("NEW ORLEANS",C686)),ISNUMBER(SEARCH("KENNER",C686)),ISNUMBER(SEARCH("HENRY HOWARD",C686)),ISNUMBER(SEARCH("MISS CLAUDIA",C686))),"Personal Travel - New Orleans",IF(AND(YEAR(B686)=2025,MONTH(B686)=4,OR(ISNUMBER(SEARCH("EXCHANGE RATE",C686)),ISNUMBER(SEARCH("EXCHG RTE",C686)))),"Personal Travel - Italy",IFERROR(INDEX('Category Rules'!$B$2:$B$358,MATCH(TRUE,ISNUMBER(SEARCH('Category Rules'!$A$2:$A$358,C686)),0)),""))))))))</f>
        <v>Personal - House Bills</v>
      </c>
    </row>
    <row r="687" spans="1:7" x14ac:dyDescent="0.25">
      <c r="A687" t="s">
        <v>6</v>
      </c>
      <c r="B687" s="1">
        <v>45926</v>
      </c>
      <c r="C687" t="s">
        <v>638</v>
      </c>
      <c r="D687">
        <v>-320</v>
      </c>
      <c r="E687" t="s">
        <v>33</v>
      </c>
      <c r="F687">
        <v>12476.6</v>
      </c>
      <c r="G687" t="str" cm="1">
        <f t="array" ref="G687">IF(AND(ISNUMBER(SEARCH("UBER",C687)),ISNUMBER(SEARCH("EATS",C687))),"Uber Eats",IF(LEFT(C687,6)="CHECK ","Checks Paid",IF(OR(E687="BILLPAY",ISNUMBER(SEARCH("FRANCHISE TAX",C687)),ISNUMBER(SEARCH("NEXTLINK",C687))),"Personal - House Bills",IF(AND(ISNUMBER(SEARCH("PAYMENT FROM",C687)),ISNUMBER(SEARCH("JOE SAUNDERS",C687))),"Zelle from Joe Saunders",IF(AND(ISNUMBER(SEARCH("PAYMENT TO",C687)),ISNUMBER(SEARCH("JOE SAUNDERS",C687))),"Zelle to Joe Saunders",IF(OR(ISNUMBER(SEARCH("NEW ORLEANS",C687)),ISNUMBER(SEARCH("KENNER",C687)),ISNUMBER(SEARCH("HENRY HOWARD",C687)),ISNUMBER(SEARCH("MISS CLAUDIA",C687))),"Personal Travel - New Orleans",IF(AND(YEAR(B687)=2025,MONTH(B687)=4,OR(ISNUMBER(SEARCH("EXCHANGE RATE",C687)),ISNUMBER(SEARCH("EXCHG RTE",C687)))),"Personal Travel - Italy",IFERROR(INDEX('Category Rules'!$B$2:$B$358,MATCH(TRUE,ISNUMBER(SEARCH('Category Rules'!$A$2:$A$358,C687)),0)),""))))))))</f>
        <v>Personal - House Bills</v>
      </c>
    </row>
    <row r="688" spans="1:7" x14ac:dyDescent="0.25">
      <c r="A688" t="s">
        <v>6</v>
      </c>
      <c r="B688" s="1">
        <v>45926</v>
      </c>
      <c r="C688" t="s">
        <v>639</v>
      </c>
      <c r="D688">
        <v>-68.930000000000007</v>
      </c>
      <c r="E688" t="s">
        <v>10</v>
      </c>
      <c r="F688">
        <v>12796.6</v>
      </c>
      <c r="G688" t="str" cm="1">
        <f t="array" ref="G688">IF(AND(ISNUMBER(SEARCH("UBER",C688)),ISNUMBER(SEARCH("EATS",C688))),"Uber Eats",IF(LEFT(C688,6)="CHECK ","Checks Paid",IF(OR(E688="BILLPAY",ISNUMBER(SEARCH("FRANCHISE TAX",C688)),ISNUMBER(SEARCH("NEXTLINK",C688))),"Personal - House Bills",IF(AND(ISNUMBER(SEARCH("PAYMENT FROM",C688)),ISNUMBER(SEARCH("JOE SAUNDERS",C688))),"Zelle from Joe Saunders",IF(AND(ISNUMBER(SEARCH("PAYMENT TO",C688)),ISNUMBER(SEARCH("JOE SAUNDERS",C688))),"Zelle to Joe Saunders",IF(OR(ISNUMBER(SEARCH("NEW ORLEANS",C688)),ISNUMBER(SEARCH("KENNER",C688)),ISNUMBER(SEARCH("HENRY HOWARD",C688)),ISNUMBER(SEARCH("MISS CLAUDIA",C688))),"Personal Travel - New Orleans",IF(AND(YEAR(B688)=2025,MONTH(B688)=4,OR(ISNUMBER(SEARCH("EXCHANGE RATE",C688)),ISNUMBER(SEARCH("EXCHG RTE",C688)))),"Personal Travel - Italy",IFERROR(INDEX('Category Rules'!$B$2:$B$358,MATCH(TRUE,ISNUMBER(SEARCH('Category Rules'!$A$2:$A$358,C688)),0)),""))))))))</f>
        <v>Personal - Car</v>
      </c>
    </row>
    <row r="689" spans="1:7" x14ac:dyDescent="0.25">
      <c r="A689" t="s">
        <v>6</v>
      </c>
      <c r="B689" s="1">
        <v>45926</v>
      </c>
      <c r="C689" t="s">
        <v>640</v>
      </c>
      <c r="D689">
        <v>-167.68</v>
      </c>
      <c r="E689" t="s">
        <v>10</v>
      </c>
      <c r="F689">
        <v>12865.53</v>
      </c>
      <c r="G689" t="str" cm="1">
        <f t="array" ref="G689">IF(AND(ISNUMBER(SEARCH("UBER",C689)),ISNUMBER(SEARCH("EATS",C689))),"Uber Eats",IF(LEFT(C689,6)="CHECK ","Checks Paid",IF(OR(E689="BILLPAY",ISNUMBER(SEARCH("FRANCHISE TAX",C689)),ISNUMBER(SEARCH("NEXTLINK",C689))),"Personal - House Bills",IF(AND(ISNUMBER(SEARCH("PAYMENT FROM",C689)),ISNUMBER(SEARCH("JOE SAUNDERS",C689))),"Zelle from Joe Saunders",IF(AND(ISNUMBER(SEARCH("PAYMENT TO",C689)),ISNUMBER(SEARCH("JOE SAUNDERS",C689))),"Zelle to Joe Saunders",IF(OR(ISNUMBER(SEARCH("NEW ORLEANS",C689)),ISNUMBER(SEARCH("KENNER",C689)),ISNUMBER(SEARCH("HENRY HOWARD",C689)),ISNUMBER(SEARCH("MISS CLAUDIA",C689))),"Personal Travel - New Orleans",IF(AND(YEAR(B689)=2025,MONTH(B689)=4,OR(ISNUMBER(SEARCH("EXCHANGE RATE",C689)),ISNUMBER(SEARCH("EXCHG RTE",C689)))),"Personal Travel - Italy",IFERROR(INDEX('Category Rules'!$B$2:$B$358,MATCH(TRUE,ISNUMBER(SEARCH('Category Rules'!$A$2:$A$358,C689)),0)),""))))))))</f>
        <v>Personal - Entertainment</v>
      </c>
    </row>
    <row r="690" spans="1:7" x14ac:dyDescent="0.25">
      <c r="A690" t="s">
        <v>6</v>
      </c>
      <c r="B690" s="1">
        <v>45926</v>
      </c>
      <c r="C690" t="s">
        <v>641</v>
      </c>
      <c r="D690">
        <v>-310.27999999999997</v>
      </c>
      <c r="E690" t="s">
        <v>10</v>
      </c>
      <c r="F690">
        <v>13033.21</v>
      </c>
      <c r="G690" t="str" cm="1">
        <f t="array" ref="G690">IF(AND(ISNUMBER(SEARCH("UBER",C690)),ISNUMBER(SEARCH("EATS",C690))),"Uber Eats",IF(LEFT(C690,6)="CHECK ","Checks Paid",IF(OR(E690="BILLPAY",ISNUMBER(SEARCH("FRANCHISE TAX",C690)),ISNUMBER(SEARCH("NEXTLINK",C690))),"Personal - House Bills",IF(AND(ISNUMBER(SEARCH("PAYMENT FROM",C690)),ISNUMBER(SEARCH("JOE SAUNDERS",C690))),"Zelle from Joe Saunders",IF(AND(ISNUMBER(SEARCH("PAYMENT TO",C690)),ISNUMBER(SEARCH("JOE SAUNDERS",C690))),"Zelle to Joe Saunders",IF(OR(ISNUMBER(SEARCH("NEW ORLEANS",C690)),ISNUMBER(SEARCH("KENNER",C690)),ISNUMBER(SEARCH("HENRY HOWARD",C690)),ISNUMBER(SEARCH("MISS CLAUDIA",C690))),"Personal Travel - New Orleans",IF(AND(YEAR(B690)=2025,MONTH(B690)=4,OR(ISNUMBER(SEARCH("EXCHANGE RATE",C690)),ISNUMBER(SEARCH("EXCHG RTE",C690)))),"Personal Travel - Italy",IFERROR(INDEX('Category Rules'!$B$2:$B$358,MATCH(TRUE,ISNUMBER(SEARCH('Category Rules'!$A$2:$A$358,C690)),0)),""))))))))</f>
        <v>Personal - Entertainment</v>
      </c>
    </row>
    <row r="691" spans="1:7" x14ac:dyDescent="0.25">
      <c r="A691" t="s">
        <v>6</v>
      </c>
      <c r="B691" s="1">
        <v>45926</v>
      </c>
      <c r="C691" t="s">
        <v>641</v>
      </c>
      <c r="D691">
        <v>-238.5</v>
      </c>
      <c r="E691" t="s">
        <v>10</v>
      </c>
      <c r="F691">
        <v>13343.49</v>
      </c>
      <c r="G691" t="str" cm="1">
        <f t="array" ref="G691">IF(AND(ISNUMBER(SEARCH("UBER",C691)),ISNUMBER(SEARCH("EATS",C691))),"Uber Eats",IF(LEFT(C691,6)="CHECK ","Checks Paid",IF(OR(E691="BILLPAY",ISNUMBER(SEARCH("FRANCHISE TAX",C691)),ISNUMBER(SEARCH("NEXTLINK",C691))),"Personal - House Bills",IF(AND(ISNUMBER(SEARCH("PAYMENT FROM",C691)),ISNUMBER(SEARCH("JOE SAUNDERS",C691))),"Zelle from Joe Saunders",IF(AND(ISNUMBER(SEARCH("PAYMENT TO",C691)),ISNUMBER(SEARCH("JOE SAUNDERS",C691))),"Zelle to Joe Saunders",IF(OR(ISNUMBER(SEARCH("NEW ORLEANS",C691)),ISNUMBER(SEARCH("KENNER",C691)),ISNUMBER(SEARCH("HENRY HOWARD",C691)),ISNUMBER(SEARCH("MISS CLAUDIA",C691))),"Personal Travel - New Orleans",IF(AND(YEAR(B691)=2025,MONTH(B691)=4,OR(ISNUMBER(SEARCH("EXCHANGE RATE",C691)),ISNUMBER(SEARCH("EXCHG RTE",C691)))),"Personal Travel - Italy",IFERROR(INDEX('Category Rules'!$B$2:$B$358,MATCH(TRUE,ISNUMBER(SEARCH('Category Rules'!$A$2:$A$358,C691)),0)),""))))))))</f>
        <v>Personal - Entertainment</v>
      </c>
    </row>
    <row r="692" spans="1:7" x14ac:dyDescent="0.25">
      <c r="A692" t="s">
        <v>6</v>
      </c>
      <c r="B692" s="1">
        <v>45926</v>
      </c>
      <c r="C692" t="s">
        <v>642</v>
      </c>
      <c r="D692">
        <v>-478.45</v>
      </c>
      <c r="E692" t="s">
        <v>10</v>
      </c>
      <c r="F692">
        <v>13581.99</v>
      </c>
      <c r="G692" t="str" cm="1">
        <f t="array" ref="G692">IF(AND(ISNUMBER(SEARCH("UBER",C692)),ISNUMBER(SEARCH("EATS",C692))),"Uber Eats",IF(LEFT(C692,6)="CHECK ","Checks Paid",IF(OR(E692="BILLPAY",ISNUMBER(SEARCH("FRANCHISE TAX",C692)),ISNUMBER(SEARCH("NEXTLINK",C692))),"Personal - House Bills",IF(AND(ISNUMBER(SEARCH("PAYMENT FROM",C692)),ISNUMBER(SEARCH("JOE SAUNDERS",C692))),"Zelle from Joe Saunders",IF(AND(ISNUMBER(SEARCH("PAYMENT TO",C692)),ISNUMBER(SEARCH("JOE SAUNDERS",C692))),"Zelle to Joe Saunders",IF(OR(ISNUMBER(SEARCH("NEW ORLEANS",C692)),ISNUMBER(SEARCH("KENNER",C692)),ISNUMBER(SEARCH("HENRY HOWARD",C692)),ISNUMBER(SEARCH("MISS CLAUDIA",C692))),"Personal Travel - New Orleans",IF(AND(YEAR(B692)=2025,MONTH(B692)=4,OR(ISNUMBER(SEARCH("EXCHANGE RATE",C692)),ISNUMBER(SEARCH("EXCHG RTE",C692)))),"Personal Travel - Italy",IFERROR(INDEX('Category Rules'!$B$2:$B$358,MATCH(TRUE,ISNUMBER(SEARCH('Category Rules'!$A$2:$A$358,C692)),0)),""))))))))</f>
        <v>Personal - Shopping</v>
      </c>
    </row>
    <row r="693" spans="1:7" x14ac:dyDescent="0.25">
      <c r="A693" t="s">
        <v>44</v>
      </c>
      <c r="B693" s="1">
        <v>45926</v>
      </c>
      <c r="C693" t="s">
        <v>643</v>
      </c>
      <c r="D693">
        <v>2000</v>
      </c>
      <c r="E693" t="s">
        <v>73</v>
      </c>
      <c r="F693">
        <v>14060.44</v>
      </c>
      <c r="G693" t="str" cm="1">
        <f t="array" ref="G693">IF(AND(ISNUMBER(SEARCH("UBER",C693)),ISNUMBER(SEARCH("EATS",C693))),"Uber Eats",IF(LEFT(C693,6)="CHECK ","Checks Paid",IF(OR(E693="BILLPAY",ISNUMBER(SEARCH("FRANCHISE TAX",C693)),ISNUMBER(SEARCH("NEXTLINK",C693))),"Personal - House Bills",IF(AND(ISNUMBER(SEARCH("PAYMENT FROM",C693)),ISNUMBER(SEARCH("JOE SAUNDERS",C693))),"Zelle from Joe Saunders",IF(AND(ISNUMBER(SEARCH("PAYMENT TO",C693)),ISNUMBER(SEARCH("JOE SAUNDERS",C693))),"Zelle to Joe Saunders",IF(OR(ISNUMBER(SEARCH("NEW ORLEANS",C693)),ISNUMBER(SEARCH("KENNER",C693)),ISNUMBER(SEARCH("HENRY HOWARD",C693)),ISNUMBER(SEARCH("MISS CLAUDIA",C693))),"Personal Travel - New Orleans",IF(AND(YEAR(B693)=2025,MONTH(B693)=4,OR(ISNUMBER(SEARCH("EXCHANGE RATE",C693)),ISNUMBER(SEARCH("EXCHG RTE",C693)))),"Personal Travel - Italy",IFERROR(INDEX('Category Rules'!$B$2:$B$358,MATCH(TRUE,ISNUMBER(SEARCH('Category Rules'!$A$2:$A$358,C693)),0)),""))))))))</f>
        <v>Transfer from DWG Capital Group</v>
      </c>
    </row>
    <row r="694" spans="1:7" x14ac:dyDescent="0.25">
      <c r="A694" t="s">
        <v>44</v>
      </c>
      <c r="B694" s="1">
        <v>45926</v>
      </c>
      <c r="C694" t="s">
        <v>644</v>
      </c>
      <c r="D694">
        <v>10000</v>
      </c>
      <c r="E694" t="s">
        <v>73</v>
      </c>
      <c r="F694">
        <v>12060.44</v>
      </c>
      <c r="G694" t="str" cm="1">
        <f t="array" ref="G694">IF(AND(ISNUMBER(SEARCH("UBER",C694)),ISNUMBER(SEARCH("EATS",C694))),"Uber Eats",IF(LEFT(C694,6)="CHECK ","Checks Paid",IF(OR(E694="BILLPAY",ISNUMBER(SEARCH("FRANCHISE TAX",C694)),ISNUMBER(SEARCH("NEXTLINK",C694))),"Personal - House Bills",IF(AND(ISNUMBER(SEARCH("PAYMENT FROM",C694)),ISNUMBER(SEARCH("JOE SAUNDERS",C694))),"Zelle from Joe Saunders",IF(AND(ISNUMBER(SEARCH("PAYMENT TO",C694)),ISNUMBER(SEARCH("JOE SAUNDERS",C694))),"Zelle to Joe Saunders",IF(OR(ISNUMBER(SEARCH("NEW ORLEANS",C694)),ISNUMBER(SEARCH("KENNER",C694)),ISNUMBER(SEARCH("HENRY HOWARD",C694)),ISNUMBER(SEARCH("MISS CLAUDIA",C694))),"Personal Travel - New Orleans",IF(AND(YEAR(B694)=2025,MONTH(B694)=4,OR(ISNUMBER(SEARCH("EXCHANGE RATE",C694)),ISNUMBER(SEARCH("EXCHG RTE",C694)))),"Personal Travel - Italy",IFERROR(INDEX('Category Rules'!$B$2:$B$358,MATCH(TRUE,ISNUMBER(SEARCH('Category Rules'!$A$2:$A$358,C694)),0)),""))))))))</f>
        <v>Transfer from DWG Capital Group</v>
      </c>
    </row>
    <row r="695" spans="1:7" x14ac:dyDescent="0.25">
      <c r="A695" t="s">
        <v>6</v>
      </c>
      <c r="B695" s="1">
        <v>45925</v>
      </c>
      <c r="C695" t="s">
        <v>645</v>
      </c>
      <c r="D695">
        <v>-15</v>
      </c>
      <c r="E695" t="s">
        <v>10</v>
      </c>
      <c r="F695">
        <v>2060.44</v>
      </c>
      <c r="G695" t="str" cm="1">
        <f t="array" ref="G695">IF(AND(ISNUMBER(SEARCH("UBER",C695)),ISNUMBER(SEARCH("EATS",C695))),"Uber Eats",IF(LEFT(C695,6)="CHECK ","Checks Paid",IF(OR(E695="BILLPAY",ISNUMBER(SEARCH("FRANCHISE TAX",C695)),ISNUMBER(SEARCH("NEXTLINK",C695))),"Personal - House Bills",IF(AND(ISNUMBER(SEARCH("PAYMENT FROM",C695)),ISNUMBER(SEARCH("JOE SAUNDERS",C695))),"Zelle from Joe Saunders",IF(AND(ISNUMBER(SEARCH("PAYMENT TO",C695)),ISNUMBER(SEARCH("JOE SAUNDERS",C695))),"Zelle to Joe Saunders",IF(OR(ISNUMBER(SEARCH("NEW ORLEANS",C695)),ISNUMBER(SEARCH("KENNER",C695)),ISNUMBER(SEARCH("HENRY HOWARD",C695)),ISNUMBER(SEARCH("MISS CLAUDIA",C695))),"Personal Travel - New Orleans",IF(AND(YEAR(B695)=2025,MONTH(B695)=4,OR(ISNUMBER(SEARCH("EXCHANGE RATE",C695)),ISNUMBER(SEARCH("EXCHG RTE",C695)))),"Personal Travel - Italy",IFERROR(INDEX('Category Rules'!$B$2:$B$358,MATCH(TRUE,ISNUMBER(SEARCH('Category Rules'!$A$2:$A$358,C695)),0)),""))))))))</f>
        <v>Personal - Subscription</v>
      </c>
    </row>
    <row r="696" spans="1:7" x14ac:dyDescent="0.25">
      <c r="A696" t="s">
        <v>6</v>
      </c>
      <c r="B696" s="1">
        <v>45925</v>
      </c>
      <c r="C696" t="s">
        <v>646</v>
      </c>
      <c r="D696">
        <v>-16.45</v>
      </c>
      <c r="E696" t="s">
        <v>10</v>
      </c>
      <c r="F696">
        <v>2075.44</v>
      </c>
      <c r="G696" t="str" cm="1">
        <f t="array" ref="G696">IF(AND(ISNUMBER(SEARCH("UBER",C696)),ISNUMBER(SEARCH("EATS",C696))),"Uber Eats",IF(LEFT(C696,6)="CHECK ","Checks Paid",IF(OR(E696="BILLPAY",ISNUMBER(SEARCH("FRANCHISE TAX",C696)),ISNUMBER(SEARCH("NEXTLINK",C696))),"Personal - House Bills",IF(AND(ISNUMBER(SEARCH("PAYMENT FROM",C696)),ISNUMBER(SEARCH("JOE SAUNDERS",C696))),"Zelle from Joe Saunders",IF(AND(ISNUMBER(SEARCH("PAYMENT TO",C696)),ISNUMBER(SEARCH("JOE SAUNDERS",C696))),"Zelle to Joe Saunders",IF(OR(ISNUMBER(SEARCH("NEW ORLEANS",C696)),ISNUMBER(SEARCH("KENNER",C696)),ISNUMBER(SEARCH("HENRY HOWARD",C696)),ISNUMBER(SEARCH("MISS CLAUDIA",C696))),"Personal Travel - New Orleans",IF(AND(YEAR(B696)=2025,MONTH(B696)=4,OR(ISNUMBER(SEARCH("EXCHANGE RATE",C696)),ISNUMBER(SEARCH("EXCHG RTE",C696)))),"Personal Travel - Italy",IFERROR(INDEX('Category Rules'!$B$2:$B$358,MATCH(TRUE,ISNUMBER(SEARCH('Category Rules'!$A$2:$A$358,C696)),0)),""))))))))</f>
        <v>Amazon</v>
      </c>
    </row>
    <row r="697" spans="1:7" x14ac:dyDescent="0.25">
      <c r="A697" t="s">
        <v>6</v>
      </c>
      <c r="B697" s="1">
        <v>45925</v>
      </c>
      <c r="C697" t="s">
        <v>647</v>
      </c>
      <c r="D697">
        <v>-381.19</v>
      </c>
      <c r="E697" t="s">
        <v>10</v>
      </c>
      <c r="F697">
        <v>2091.89</v>
      </c>
      <c r="G697" t="str" cm="1">
        <f t="array" ref="G697">IF(AND(ISNUMBER(SEARCH("UBER",C697)),ISNUMBER(SEARCH("EATS",C697))),"Uber Eats",IF(LEFT(C697,6)="CHECK ","Checks Paid",IF(OR(E697="BILLPAY",ISNUMBER(SEARCH("FRANCHISE TAX",C697)),ISNUMBER(SEARCH("NEXTLINK",C697))),"Personal - House Bills",IF(AND(ISNUMBER(SEARCH("PAYMENT FROM",C697)),ISNUMBER(SEARCH("JOE SAUNDERS",C697))),"Zelle from Joe Saunders",IF(AND(ISNUMBER(SEARCH("PAYMENT TO",C697)),ISNUMBER(SEARCH("JOE SAUNDERS",C697))),"Zelle to Joe Saunders",IF(OR(ISNUMBER(SEARCH("NEW ORLEANS",C697)),ISNUMBER(SEARCH("KENNER",C697)),ISNUMBER(SEARCH("HENRY HOWARD",C697)),ISNUMBER(SEARCH("MISS CLAUDIA",C697))),"Personal Travel - New Orleans",IF(AND(YEAR(B697)=2025,MONTH(B697)=4,OR(ISNUMBER(SEARCH("EXCHANGE RATE",C697)),ISNUMBER(SEARCH("EXCHG RTE",C697)))),"Personal Travel - Italy",IFERROR(INDEX('Category Rules'!$B$2:$B$358,MATCH(TRUE,ISNUMBER(SEARCH('Category Rules'!$A$2:$A$358,C697)),0)),""))))))))</f>
        <v>Personal - Food</v>
      </c>
    </row>
    <row r="698" spans="1:7" x14ac:dyDescent="0.25">
      <c r="A698" t="s">
        <v>6</v>
      </c>
      <c r="B698" s="1">
        <v>45925</v>
      </c>
      <c r="C698" t="s">
        <v>648</v>
      </c>
      <c r="D698">
        <v>-30</v>
      </c>
      <c r="E698" t="s">
        <v>10</v>
      </c>
      <c r="F698">
        <v>2473.08</v>
      </c>
      <c r="G698" t="str" cm="1">
        <f t="array" ref="G698">IF(AND(ISNUMBER(SEARCH("UBER",C698)),ISNUMBER(SEARCH("EATS",C698))),"Uber Eats",IF(LEFT(C698,6)="CHECK ","Checks Paid",IF(OR(E698="BILLPAY",ISNUMBER(SEARCH("FRANCHISE TAX",C698)),ISNUMBER(SEARCH("NEXTLINK",C698))),"Personal - House Bills",IF(AND(ISNUMBER(SEARCH("PAYMENT FROM",C698)),ISNUMBER(SEARCH("JOE SAUNDERS",C698))),"Zelle from Joe Saunders",IF(AND(ISNUMBER(SEARCH("PAYMENT TO",C698)),ISNUMBER(SEARCH("JOE SAUNDERS",C698))),"Zelle to Joe Saunders",IF(OR(ISNUMBER(SEARCH("NEW ORLEANS",C698)),ISNUMBER(SEARCH("KENNER",C698)),ISNUMBER(SEARCH("HENRY HOWARD",C698)),ISNUMBER(SEARCH("MISS CLAUDIA",C698))),"Personal Travel - New Orleans",IF(AND(YEAR(B698)=2025,MONTH(B698)=4,OR(ISNUMBER(SEARCH("EXCHANGE RATE",C698)),ISNUMBER(SEARCH("EXCHG RTE",C698)))),"Personal Travel - Italy",IFERROR(INDEX('Category Rules'!$B$2:$B$358,MATCH(TRUE,ISNUMBER(SEARCH('Category Rules'!$A$2:$A$358,C698)),0)),""))))))))</f>
        <v>Amazon</v>
      </c>
    </row>
    <row r="699" spans="1:7" x14ac:dyDescent="0.25">
      <c r="A699" t="s">
        <v>6</v>
      </c>
      <c r="B699" s="1">
        <v>45925</v>
      </c>
      <c r="C699" t="s">
        <v>649</v>
      </c>
      <c r="D699">
        <v>-579.33000000000004</v>
      </c>
      <c r="E699" t="s">
        <v>10</v>
      </c>
      <c r="F699">
        <v>2503.08</v>
      </c>
      <c r="G699" t="str" cm="1">
        <f t="array" ref="G699">IF(AND(ISNUMBER(SEARCH("UBER",C699)),ISNUMBER(SEARCH("EATS",C699))),"Uber Eats",IF(LEFT(C699,6)="CHECK ","Checks Paid",IF(OR(E699="BILLPAY",ISNUMBER(SEARCH("FRANCHISE TAX",C699)),ISNUMBER(SEARCH("NEXTLINK",C699))),"Personal - House Bills",IF(AND(ISNUMBER(SEARCH("PAYMENT FROM",C699)),ISNUMBER(SEARCH("JOE SAUNDERS",C699))),"Zelle from Joe Saunders",IF(AND(ISNUMBER(SEARCH("PAYMENT TO",C699)),ISNUMBER(SEARCH("JOE SAUNDERS",C699))),"Zelle to Joe Saunders",IF(OR(ISNUMBER(SEARCH("NEW ORLEANS",C699)),ISNUMBER(SEARCH("KENNER",C699)),ISNUMBER(SEARCH("HENRY HOWARD",C699)),ISNUMBER(SEARCH("MISS CLAUDIA",C699))),"Personal Travel - New Orleans",IF(AND(YEAR(B699)=2025,MONTH(B699)=4,OR(ISNUMBER(SEARCH("EXCHANGE RATE",C699)),ISNUMBER(SEARCH("EXCHG RTE",C699)))),"Personal Travel - Italy",IFERROR(INDEX('Category Rules'!$B$2:$B$358,MATCH(TRUE,ISNUMBER(SEARCH('Category Rules'!$A$2:$A$358,C699)),0)),""))))))))</f>
        <v>AT&amp;T</v>
      </c>
    </row>
    <row r="700" spans="1:7" x14ac:dyDescent="0.25">
      <c r="A700" t="s">
        <v>6</v>
      </c>
      <c r="B700" s="1">
        <v>45925</v>
      </c>
      <c r="C700" t="s">
        <v>650</v>
      </c>
      <c r="D700">
        <v>-210.36</v>
      </c>
      <c r="E700" t="s">
        <v>10</v>
      </c>
      <c r="F700">
        <v>3082.41</v>
      </c>
      <c r="G700" t="str" cm="1">
        <f t="array" ref="G700">IF(AND(ISNUMBER(SEARCH("UBER",C700)),ISNUMBER(SEARCH("EATS",C700))),"Uber Eats",IF(LEFT(C700,6)="CHECK ","Checks Paid",IF(OR(E700="BILLPAY",ISNUMBER(SEARCH("FRANCHISE TAX",C700)),ISNUMBER(SEARCH("NEXTLINK",C700))),"Personal - House Bills",IF(AND(ISNUMBER(SEARCH("PAYMENT FROM",C700)),ISNUMBER(SEARCH("JOE SAUNDERS",C700))),"Zelle from Joe Saunders",IF(AND(ISNUMBER(SEARCH("PAYMENT TO",C700)),ISNUMBER(SEARCH("JOE SAUNDERS",C700))),"Zelle to Joe Saunders",IF(OR(ISNUMBER(SEARCH("NEW ORLEANS",C700)),ISNUMBER(SEARCH("KENNER",C700)),ISNUMBER(SEARCH("HENRY HOWARD",C700)),ISNUMBER(SEARCH("MISS CLAUDIA",C700))),"Personal Travel - New Orleans",IF(AND(YEAR(B700)=2025,MONTH(B700)=4,OR(ISNUMBER(SEARCH("EXCHANGE RATE",C700)),ISNUMBER(SEARCH("EXCHG RTE",C700)))),"Personal Travel - Italy",IFERROR(INDEX('Category Rules'!$B$2:$B$358,MATCH(TRUE,ISNUMBER(SEARCH('Category Rules'!$A$2:$A$358,C700)),0)),""))))))))</f>
        <v>Personal - Shopping</v>
      </c>
    </row>
    <row r="701" spans="1:7" x14ac:dyDescent="0.25">
      <c r="A701" t="s">
        <v>6</v>
      </c>
      <c r="B701" s="1">
        <v>45925</v>
      </c>
      <c r="C701" t="s">
        <v>651</v>
      </c>
      <c r="D701">
        <v>-1142.04</v>
      </c>
      <c r="E701" t="s">
        <v>10</v>
      </c>
      <c r="F701">
        <v>3292.77</v>
      </c>
      <c r="G701" t="str" cm="1">
        <f t="array" ref="G701">IF(AND(ISNUMBER(SEARCH("UBER",C701)),ISNUMBER(SEARCH("EATS",C701))),"Uber Eats",IF(LEFT(C701,6)="CHECK ","Checks Paid",IF(OR(E701="BILLPAY",ISNUMBER(SEARCH("FRANCHISE TAX",C701)),ISNUMBER(SEARCH("NEXTLINK",C701))),"Personal - House Bills",IF(AND(ISNUMBER(SEARCH("PAYMENT FROM",C701)),ISNUMBER(SEARCH("JOE SAUNDERS",C701))),"Zelle from Joe Saunders",IF(AND(ISNUMBER(SEARCH("PAYMENT TO",C701)),ISNUMBER(SEARCH("JOE SAUNDERS",C701))),"Zelle to Joe Saunders",IF(OR(ISNUMBER(SEARCH("NEW ORLEANS",C701)),ISNUMBER(SEARCH("KENNER",C701)),ISNUMBER(SEARCH("HENRY HOWARD",C701)),ISNUMBER(SEARCH("MISS CLAUDIA",C701))),"Personal Travel - New Orleans",IF(AND(YEAR(B701)=2025,MONTH(B701)=4,OR(ISNUMBER(SEARCH("EXCHANGE RATE",C701)),ISNUMBER(SEARCH("EXCHG RTE",C701)))),"Personal Travel - Italy",IFERROR(INDEX('Category Rules'!$B$2:$B$358,MATCH(TRUE,ISNUMBER(SEARCH('Category Rules'!$A$2:$A$358,C701)),0)),""))))))))</f>
        <v>Personal - Shopping</v>
      </c>
    </row>
    <row r="702" spans="1:7" x14ac:dyDescent="0.25">
      <c r="A702" t="s">
        <v>44</v>
      </c>
      <c r="B702" s="1">
        <v>45925</v>
      </c>
      <c r="C702" t="s">
        <v>652</v>
      </c>
      <c r="D702">
        <v>500</v>
      </c>
      <c r="E702" t="s">
        <v>46</v>
      </c>
      <c r="F702">
        <v>4434.8100000000004</v>
      </c>
      <c r="G702" t="str" cm="1">
        <f t="array" ref="G702">IF(AND(ISNUMBER(SEARCH("UBER",C702)),ISNUMBER(SEARCH("EATS",C702))),"Uber Eats",IF(LEFT(C702,6)="CHECK ","Checks Paid",IF(OR(E702="BILLPAY",ISNUMBER(SEARCH("FRANCHISE TAX",C702)),ISNUMBER(SEARCH("NEXTLINK",C702))),"Personal - House Bills",IF(AND(ISNUMBER(SEARCH("PAYMENT FROM",C702)),ISNUMBER(SEARCH("JOE SAUNDERS",C702))),"Zelle from Joe Saunders",IF(AND(ISNUMBER(SEARCH("PAYMENT TO",C702)),ISNUMBER(SEARCH("JOE SAUNDERS",C702))),"Zelle to Joe Saunders",IF(OR(ISNUMBER(SEARCH("NEW ORLEANS",C702)),ISNUMBER(SEARCH("KENNER",C702)),ISNUMBER(SEARCH("HENRY HOWARD",C702)),ISNUMBER(SEARCH("MISS CLAUDIA",C702))),"Personal Travel - New Orleans",IF(AND(YEAR(B702)=2025,MONTH(B702)=4,OR(ISNUMBER(SEARCH("EXCHANGE RATE",C702)),ISNUMBER(SEARCH("EXCHG RTE",C702)))),"Personal Travel - Italy",IFERROR(INDEX('Category Rules'!$B$2:$B$358,MATCH(TRUE,ISNUMBER(SEARCH('Category Rules'!$A$2:$A$358,C702)),0)),""))))))))</f>
        <v>Zelle from Joe Saunders</v>
      </c>
    </row>
    <row r="703" spans="1:7" x14ac:dyDescent="0.25">
      <c r="A703" t="s">
        <v>553</v>
      </c>
      <c r="B703" s="1">
        <v>45924</v>
      </c>
      <c r="C703" t="s">
        <v>653</v>
      </c>
      <c r="D703">
        <v>-2000</v>
      </c>
      <c r="E703" t="s">
        <v>555</v>
      </c>
      <c r="F703">
        <v>3934.81</v>
      </c>
      <c r="G703" t="str" cm="1">
        <f t="array" ref="G703">IF(AND(ISNUMBER(SEARCH("UBER",C703)),ISNUMBER(SEARCH("EATS",C703))),"Uber Eats",IF(LEFT(C703,6)="CHECK ","Checks Paid",IF(OR(E703="BILLPAY",ISNUMBER(SEARCH("FRANCHISE TAX",C703)),ISNUMBER(SEARCH("NEXTLINK",C703))),"Personal - House Bills",IF(AND(ISNUMBER(SEARCH("PAYMENT FROM",C703)),ISNUMBER(SEARCH("JOE SAUNDERS",C703))),"Zelle from Joe Saunders",IF(AND(ISNUMBER(SEARCH("PAYMENT TO",C703)),ISNUMBER(SEARCH("JOE SAUNDERS",C703))),"Zelle to Joe Saunders",IF(OR(ISNUMBER(SEARCH("NEW ORLEANS",C703)),ISNUMBER(SEARCH("KENNER",C703)),ISNUMBER(SEARCH("HENRY HOWARD",C703)),ISNUMBER(SEARCH("MISS CLAUDIA",C703))),"Personal Travel - New Orleans",IF(AND(YEAR(B703)=2025,MONTH(B703)=4,OR(ISNUMBER(SEARCH("EXCHANGE RATE",C703)),ISNUMBER(SEARCH("EXCHG RTE",C703)))),"Personal Travel - Italy",IFERROR(INDEX('Category Rules'!$B$2:$B$358,MATCH(TRUE,ISNUMBER(SEARCH('Category Rules'!$A$2:$A$358,C703)),0)),""))))))))</f>
        <v>Checks Paid</v>
      </c>
    </row>
    <row r="704" spans="1:7" x14ac:dyDescent="0.25">
      <c r="A704" t="s">
        <v>6</v>
      </c>
      <c r="B704" s="1">
        <v>45924</v>
      </c>
      <c r="C704" t="s">
        <v>654</v>
      </c>
      <c r="D704">
        <v>-954.56</v>
      </c>
      <c r="E704" t="s">
        <v>10</v>
      </c>
      <c r="F704">
        <v>5934.81</v>
      </c>
      <c r="G704" t="str" cm="1">
        <f t="array" ref="G704">IF(AND(ISNUMBER(SEARCH("UBER",C704)),ISNUMBER(SEARCH("EATS",C704))),"Uber Eats",IF(LEFT(C704,6)="CHECK ","Checks Paid",IF(OR(E704="BILLPAY",ISNUMBER(SEARCH("FRANCHISE TAX",C704)),ISNUMBER(SEARCH("NEXTLINK",C704))),"Personal - House Bills",IF(AND(ISNUMBER(SEARCH("PAYMENT FROM",C704)),ISNUMBER(SEARCH("JOE SAUNDERS",C704))),"Zelle from Joe Saunders",IF(AND(ISNUMBER(SEARCH("PAYMENT TO",C704)),ISNUMBER(SEARCH("JOE SAUNDERS",C704))),"Zelle to Joe Saunders",IF(OR(ISNUMBER(SEARCH("NEW ORLEANS",C704)),ISNUMBER(SEARCH("KENNER",C704)),ISNUMBER(SEARCH("HENRY HOWARD",C704)),ISNUMBER(SEARCH("MISS CLAUDIA",C704))),"Personal Travel - New Orleans",IF(AND(YEAR(B704)=2025,MONTH(B704)=4,OR(ISNUMBER(SEARCH("EXCHANGE RATE",C704)),ISNUMBER(SEARCH("EXCHG RTE",C704)))),"Personal Travel - Italy",IFERROR(INDEX('Category Rules'!$B$2:$B$358,MATCH(TRUE,ISNUMBER(SEARCH('Category Rules'!$A$2:$A$358,C704)),0)),""))))))))</f>
        <v>Personal Travel</v>
      </c>
    </row>
    <row r="705" spans="1:7" x14ac:dyDescent="0.25">
      <c r="A705" t="s">
        <v>6</v>
      </c>
      <c r="B705" s="1">
        <v>45924</v>
      </c>
      <c r="C705" t="s">
        <v>655</v>
      </c>
      <c r="D705">
        <v>-10.99</v>
      </c>
      <c r="E705" t="s">
        <v>10</v>
      </c>
      <c r="F705">
        <v>6889.37</v>
      </c>
      <c r="G705" t="str" cm="1">
        <f t="array" ref="G705">IF(AND(ISNUMBER(SEARCH("UBER",C705)),ISNUMBER(SEARCH("EATS",C705))),"Uber Eats",IF(LEFT(C705,6)="CHECK ","Checks Paid",IF(OR(E705="BILLPAY",ISNUMBER(SEARCH("FRANCHISE TAX",C705)),ISNUMBER(SEARCH("NEXTLINK",C705))),"Personal - House Bills",IF(AND(ISNUMBER(SEARCH("PAYMENT FROM",C705)),ISNUMBER(SEARCH("JOE SAUNDERS",C705))),"Zelle from Joe Saunders",IF(AND(ISNUMBER(SEARCH("PAYMENT TO",C705)),ISNUMBER(SEARCH("JOE SAUNDERS",C705))),"Zelle to Joe Saunders",IF(OR(ISNUMBER(SEARCH("NEW ORLEANS",C705)),ISNUMBER(SEARCH("KENNER",C705)),ISNUMBER(SEARCH("HENRY HOWARD",C705)),ISNUMBER(SEARCH("MISS CLAUDIA",C705))),"Personal Travel - New Orleans",IF(AND(YEAR(B705)=2025,MONTH(B705)=4,OR(ISNUMBER(SEARCH("EXCHANGE RATE",C705)),ISNUMBER(SEARCH("EXCHG RTE",C705)))),"Personal Travel - Italy",IFERROR(INDEX('Category Rules'!$B$2:$B$358,MATCH(TRUE,ISNUMBER(SEARCH('Category Rules'!$A$2:$A$358,C705)),0)),""))))))))</f>
        <v>Apple</v>
      </c>
    </row>
    <row r="706" spans="1:7" x14ac:dyDescent="0.25">
      <c r="A706" t="s">
        <v>6</v>
      </c>
      <c r="B706" s="1">
        <v>45924</v>
      </c>
      <c r="C706" t="s">
        <v>656</v>
      </c>
      <c r="D706">
        <v>-279.86</v>
      </c>
      <c r="E706" t="s">
        <v>10</v>
      </c>
      <c r="F706">
        <v>6900.36</v>
      </c>
      <c r="G706" t="str" cm="1">
        <f t="array" ref="G706">IF(AND(ISNUMBER(SEARCH("UBER",C706)),ISNUMBER(SEARCH("EATS",C706))),"Uber Eats",IF(LEFT(C706,6)="CHECK ","Checks Paid",IF(OR(E706="BILLPAY",ISNUMBER(SEARCH("FRANCHISE TAX",C706)),ISNUMBER(SEARCH("NEXTLINK",C706))),"Personal - House Bills",IF(AND(ISNUMBER(SEARCH("PAYMENT FROM",C706)),ISNUMBER(SEARCH("JOE SAUNDERS",C706))),"Zelle from Joe Saunders",IF(AND(ISNUMBER(SEARCH("PAYMENT TO",C706)),ISNUMBER(SEARCH("JOE SAUNDERS",C706))),"Zelle to Joe Saunders",IF(OR(ISNUMBER(SEARCH("NEW ORLEANS",C706)),ISNUMBER(SEARCH("KENNER",C706)),ISNUMBER(SEARCH("HENRY HOWARD",C706)),ISNUMBER(SEARCH("MISS CLAUDIA",C706))),"Personal Travel - New Orleans",IF(AND(YEAR(B706)=2025,MONTH(B706)=4,OR(ISNUMBER(SEARCH("EXCHANGE RATE",C706)),ISNUMBER(SEARCH("EXCHG RTE",C706)))),"Personal Travel - Italy",IFERROR(INDEX('Category Rules'!$B$2:$B$358,MATCH(TRUE,ISNUMBER(SEARCH('Category Rules'!$A$2:$A$358,C706)),0)),""))))))))</f>
        <v>Amazon</v>
      </c>
    </row>
    <row r="707" spans="1:7" x14ac:dyDescent="0.25">
      <c r="A707" t="s">
        <v>6</v>
      </c>
      <c r="B707" s="1">
        <v>45923</v>
      </c>
      <c r="C707" t="s">
        <v>657</v>
      </c>
      <c r="D707">
        <v>-153.65</v>
      </c>
      <c r="E707" t="s">
        <v>10</v>
      </c>
      <c r="F707">
        <v>7180.22</v>
      </c>
      <c r="G707" t="str" cm="1">
        <f t="array" ref="G707">IF(AND(ISNUMBER(SEARCH("UBER",C707)),ISNUMBER(SEARCH("EATS",C707))),"Uber Eats",IF(LEFT(C707,6)="CHECK ","Checks Paid",IF(OR(E707="BILLPAY",ISNUMBER(SEARCH("FRANCHISE TAX",C707)),ISNUMBER(SEARCH("NEXTLINK",C707))),"Personal - House Bills",IF(AND(ISNUMBER(SEARCH("PAYMENT FROM",C707)),ISNUMBER(SEARCH("JOE SAUNDERS",C707))),"Zelle from Joe Saunders",IF(AND(ISNUMBER(SEARCH("PAYMENT TO",C707)),ISNUMBER(SEARCH("JOE SAUNDERS",C707))),"Zelle to Joe Saunders",IF(OR(ISNUMBER(SEARCH("NEW ORLEANS",C707)),ISNUMBER(SEARCH("KENNER",C707)),ISNUMBER(SEARCH("HENRY HOWARD",C707)),ISNUMBER(SEARCH("MISS CLAUDIA",C707))),"Personal Travel - New Orleans",IF(AND(YEAR(B707)=2025,MONTH(B707)=4,OR(ISNUMBER(SEARCH("EXCHANGE RATE",C707)),ISNUMBER(SEARCH("EXCHG RTE",C707)))),"Personal Travel - Italy",IFERROR(INDEX('Category Rules'!$B$2:$B$358,MATCH(TRUE,ISNUMBER(SEARCH('Category Rules'!$A$2:$A$358,C707)),0)),""))))))))</f>
        <v>Etsy</v>
      </c>
    </row>
    <row r="708" spans="1:7" x14ac:dyDescent="0.25">
      <c r="A708" t="s">
        <v>6</v>
      </c>
      <c r="B708" s="1">
        <v>45923</v>
      </c>
      <c r="C708" t="s">
        <v>658</v>
      </c>
      <c r="D708">
        <v>-64.75</v>
      </c>
      <c r="E708" t="s">
        <v>10</v>
      </c>
      <c r="F708">
        <v>7333.87</v>
      </c>
      <c r="G708" t="str" cm="1">
        <f t="array" ref="G708">IF(AND(ISNUMBER(SEARCH("UBER",C708)),ISNUMBER(SEARCH("EATS",C708))),"Uber Eats",IF(LEFT(C708,6)="CHECK ","Checks Paid",IF(OR(E708="BILLPAY",ISNUMBER(SEARCH("FRANCHISE TAX",C708)),ISNUMBER(SEARCH("NEXTLINK",C708))),"Personal - House Bills",IF(AND(ISNUMBER(SEARCH("PAYMENT FROM",C708)),ISNUMBER(SEARCH("JOE SAUNDERS",C708))),"Zelle from Joe Saunders",IF(AND(ISNUMBER(SEARCH("PAYMENT TO",C708)),ISNUMBER(SEARCH("JOE SAUNDERS",C708))),"Zelle to Joe Saunders",IF(OR(ISNUMBER(SEARCH("NEW ORLEANS",C708)),ISNUMBER(SEARCH("KENNER",C708)),ISNUMBER(SEARCH("HENRY HOWARD",C708)),ISNUMBER(SEARCH("MISS CLAUDIA",C708))),"Personal Travel - New Orleans",IF(AND(YEAR(B708)=2025,MONTH(B708)=4,OR(ISNUMBER(SEARCH("EXCHANGE RATE",C708)),ISNUMBER(SEARCH("EXCHG RTE",C708)))),"Personal Travel - Italy",IFERROR(INDEX('Category Rules'!$B$2:$B$358,MATCH(TRUE,ISNUMBER(SEARCH('Category Rules'!$A$2:$A$358,C708)),0)),""))))))))</f>
        <v>Etsy</v>
      </c>
    </row>
    <row r="709" spans="1:7" x14ac:dyDescent="0.25">
      <c r="A709" t="s">
        <v>6</v>
      </c>
      <c r="B709" s="1">
        <v>45923</v>
      </c>
      <c r="C709" t="s">
        <v>659</v>
      </c>
      <c r="D709">
        <v>-140.91999999999999</v>
      </c>
      <c r="E709" t="s">
        <v>10</v>
      </c>
      <c r="F709">
        <v>7398.62</v>
      </c>
      <c r="G709" t="str" cm="1">
        <f t="array" ref="G709">IF(AND(ISNUMBER(SEARCH("UBER",C709)),ISNUMBER(SEARCH("EATS",C709))),"Uber Eats",IF(LEFT(C709,6)="CHECK ","Checks Paid",IF(OR(E709="BILLPAY",ISNUMBER(SEARCH("FRANCHISE TAX",C709)),ISNUMBER(SEARCH("NEXTLINK",C709))),"Personal - House Bills",IF(AND(ISNUMBER(SEARCH("PAYMENT FROM",C709)),ISNUMBER(SEARCH("JOE SAUNDERS",C709))),"Zelle from Joe Saunders",IF(AND(ISNUMBER(SEARCH("PAYMENT TO",C709)),ISNUMBER(SEARCH("JOE SAUNDERS",C709))),"Zelle to Joe Saunders",IF(OR(ISNUMBER(SEARCH("NEW ORLEANS",C709)),ISNUMBER(SEARCH("KENNER",C709)),ISNUMBER(SEARCH("HENRY HOWARD",C709)),ISNUMBER(SEARCH("MISS CLAUDIA",C709))),"Personal Travel - New Orleans",IF(AND(YEAR(B709)=2025,MONTH(B709)=4,OR(ISNUMBER(SEARCH("EXCHANGE RATE",C709)),ISNUMBER(SEARCH("EXCHG RTE",C709)))),"Personal Travel - Italy",IFERROR(INDEX('Category Rules'!$B$2:$B$358,MATCH(TRUE,ISNUMBER(SEARCH('Category Rules'!$A$2:$A$358,C709)),0)),""))))))))</f>
        <v>Etsy</v>
      </c>
    </row>
    <row r="710" spans="1:7" x14ac:dyDescent="0.25">
      <c r="A710" t="s">
        <v>6</v>
      </c>
      <c r="B710" s="1">
        <v>45923</v>
      </c>
      <c r="C710" t="s">
        <v>660</v>
      </c>
      <c r="D710">
        <v>-394.59</v>
      </c>
      <c r="E710" t="s">
        <v>10</v>
      </c>
      <c r="F710">
        <v>7539.54</v>
      </c>
      <c r="G710" t="str" cm="1">
        <f t="array" ref="G710">IF(AND(ISNUMBER(SEARCH("UBER",C710)),ISNUMBER(SEARCH("EATS",C710))),"Uber Eats",IF(LEFT(C710,6)="CHECK ","Checks Paid",IF(OR(E710="BILLPAY",ISNUMBER(SEARCH("FRANCHISE TAX",C710)),ISNUMBER(SEARCH("NEXTLINK",C710))),"Personal - House Bills",IF(AND(ISNUMBER(SEARCH("PAYMENT FROM",C710)),ISNUMBER(SEARCH("JOE SAUNDERS",C710))),"Zelle from Joe Saunders",IF(AND(ISNUMBER(SEARCH("PAYMENT TO",C710)),ISNUMBER(SEARCH("JOE SAUNDERS",C710))),"Zelle to Joe Saunders",IF(OR(ISNUMBER(SEARCH("NEW ORLEANS",C710)),ISNUMBER(SEARCH("KENNER",C710)),ISNUMBER(SEARCH("HENRY HOWARD",C710)),ISNUMBER(SEARCH("MISS CLAUDIA",C710))),"Personal Travel - New Orleans",IF(AND(YEAR(B710)=2025,MONTH(B710)=4,OR(ISNUMBER(SEARCH("EXCHANGE RATE",C710)),ISNUMBER(SEARCH("EXCHG RTE",C710)))),"Personal Travel - Italy",IFERROR(INDEX('Category Rules'!$B$2:$B$358,MATCH(TRUE,ISNUMBER(SEARCH('Category Rules'!$A$2:$A$358,C710)),0)),""))))))))</f>
        <v>Personal - Shopping</v>
      </c>
    </row>
    <row r="711" spans="1:7" x14ac:dyDescent="0.25">
      <c r="A711" t="s">
        <v>44</v>
      </c>
      <c r="B711" s="1">
        <v>45923</v>
      </c>
      <c r="C711" t="s">
        <v>661</v>
      </c>
      <c r="D711">
        <v>2000</v>
      </c>
      <c r="E711" t="s">
        <v>73</v>
      </c>
      <c r="F711">
        <v>7934.13</v>
      </c>
      <c r="G711" t="str" cm="1">
        <f t="array" ref="G711">IF(AND(ISNUMBER(SEARCH("UBER",C711)),ISNUMBER(SEARCH("EATS",C711))),"Uber Eats",IF(LEFT(C711,6)="CHECK ","Checks Paid",IF(OR(E711="BILLPAY",ISNUMBER(SEARCH("FRANCHISE TAX",C711)),ISNUMBER(SEARCH("NEXTLINK",C711))),"Personal - House Bills",IF(AND(ISNUMBER(SEARCH("PAYMENT FROM",C711)),ISNUMBER(SEARCH("JOE SAUNDERS",C711))),"Zelle from Joe Saunders",IF(AND(ISNUMBER(SEARCH("PAYMENT TO",C711)),ISNUMBER(SEARCH("JOE SAUNDERS",C711))),"Zelle to Joe Saunders",IF(OR(ISNUMBER(SEARCH("NEW ORLEANS",C711)),ISNUMBER(SEARCH("KENNER",C711)),ISNUMBER(SEARCH("HENRY HOWARD",C711)),ISNUMBER(SEARCH("MISS CLAUDIA",C711))),"Personal Travel - New Orleans",IF(AND(YEAR(B711)=2025,MONTH(B711)=4,OR(ISNUMBER(SEARCH("EXCHANGE RATE",C711)),ISNUMBER(SEARCH("EXCHG RTE",C711)))),"Personal Travel - Italy",IFERROR(INDEX('Category Rules'!$B$2:$B$358,MATCH(TRUE,ISNUMBER(SEARCH('Category Rules'!$A$2:$A$358,C711)),0)),""))))))))</f>
        <v>Transfer from DWG Capital Group</v>
      </c>
    </row>
    <row r="712" spans="1:7" x14ac:dyDescent="0.25">
      <c r="A712" t="s">
        <v>6</v>
      </c>
      <c r="B712" s="1">
        <v>45922</v>
      </c>
      <c r="C712" t="s">
        <v>662</v>
      </c>
      <c r="D712">
        <v>-4.0599999999999996</v>
      </c>
      <c r="E712" t="s">
        <v>8</v>
      </c>
      <c r="F712">
        <v>5934.13</v>
      </c>
      <c r="G712" t="str" cm="1">
        <f t="array" ref="G712">IF(AND(ISNUMBER(SEARCH("UBER",C712)),ISNUMBER(SEARCH("EATS",C712))),"Uber Eats",IF(LEFT(C712,6)="CHECK ","Checks Paid",IF(OR(E712="BILLPAY",ISNUMBER(SEARCH("FRANCHISE TAX",C712)),ISNUMBER(SEARCH("NEXTLINK",C712))),"Personal - House Bills",IF(AND(ISNUMBER(SEARCH("PAYMENT FROM",C712)),ISNUMBER(SEARCH("JOE SAUNDERS",C712))),"Zelle from Joe Saunders",IF(AND(ISNUMBER(SEARCH("PAYMENT TO",C712)),ISNUMBER(SEARCH("JOE SAUNDERS",C712))),"Zelle to Joe Saunders",IF(OR(ISNUMBER(SEARCH("NEW ORLEANS",C712)),ISNUMBER(SEARCH("KENNER",C712)),ISNUMBER(SEARCH("HENRY HOWARD",C712)),ISNUMBER(SEARCH("MISS CLAUDIA",C712))),"Personal Travel - New Orleans",IF(AND(YEAR(B712)=2025,MONTH(B712)=4,OR(ISNUMBER(SEARCH("EXCHANGE RATE",C712)),ISNUMBER(SEARCH("EXCHG RTE",C712)))),"Personal Travel - Italy",IFERROR(INDEX('Category Rules'!$B$2:$B$358,MATCH(TRUE,ISNUMBER(SEARCH('Category Rules'!$A$2:$A$358,C712)),0)),""))))))))</f>
        <v>Personal Travel - Canada</v>
      </c>
    </row>
    <row r="713" spans="1:7" x14ac:dyDescent="0.25">
      <c r="A713" t="s">
        <v>6</v>
      </c>
      <c r="B713" s="1">
        <v>45922</v>
      </c>
      <c r="C713" t="s">
        <v>663</v>
      </c>
      <c r="D713">
        <v>-80</v>
      </c>
      <c r="E713" t="s">
        <v>10</v>
      </c>
      <c r="F713">
        <v>5938.19</v>
      </c>
      <c r="G713" t="str" cm="1">
        <f t="array" ref="G713">IF(AND(ISNUMBER(SEARCH("UBER",C713)),ISNUMBER(SEARCH("EATS",C713))),"Uber Eats",IF(LEFT(C713,6)="CHECK ","Checks Paid",IF(OR(E713="BILLPAY",ISNUMBER(SEARCH("FRANCHISE TAX",C713)),ISNUMBER(SEARCH("NEXTLINK",C713))),"Personal - House Bills",IF(AND(ISNUMBER(SEARCH("PAYMENT FROM",C713)),ISNUMBER(SEARCH("JOE SAUNDERS",C713))),"Zelle from Joe Saunders",IF(AND(ISNUMBER(SEARCH("PAYMENT TO",C713)),ISNUMBER(SEARCH("JOE SAUNDERS",C713))),"Zelle to Joe Saunders",IF(OR(ISNUMBER(SEARCH("NEW ORLEANS",C713)),ISNUMBER(SEARCH("KENNER",C713)),ISNUMBER(SEARCH("HENRY HOWARD",C713)),ISNUMBER(SEARCH("MISS CLAUDIA",C713))),"Personal Travel - New Orleans",IF(AND(YEAR(B713)=2025,MONTH(B713)=4,OR(ISNUMBER(SEARCH("EXCHANGE RATE",C713)),ISNUMBER(SEARCH("EXCHG RTE",C713)))),"Personal Travel - Italy",IFERROR(INDEX('Category Rules'!$B$2:$B$358,MATCH(TRUE,ISNUMBER(SEARCH('Category Rules'!$A$2:$A$358,C713)),0)),""))))))))</f>
        <v>Personal - Entertainment</v>
      </c>
    </row>
    <row r="714" spans="1:7" x14ac:dyDescent="0.25">
      <c r="A714" t="s">
        <v>6</v>
      </c>
      <c r="B714" s="1">
        <v>45922</v>
      </c>
      <c r="C714" t="s">
        <v>664</v>
      </c>
      <c r="D714">
        <v>-414</v>
      </c>
      <c r="E714" t="s">
        <v>10</v>
      </c>
      <c r="F714">
        <v>6018.19</v>
      </c>
      <c r="G714" t="str" cm="1">
        <f t="array" ref="G714">IF(AND(ISNUMBER(SEARCH("UBER",C714)),ISNUMBER(SEARCH("EATS",C714))),"Uber Eats",IF(LEFT(C714,6)="CHECK ","Checks Paid",IF(OR(E714="BILLPAY",ISNUMBER(SEARCH("FRANCHISE TAX",C714)),ISNUMBER(SEARCH("NEXTLINK",C714))),"Personal - House Bills",IF(AND(ISNUMBER(SEARCH("PAYMENT FROM",C714)),ISNUMBER(SEARCH("JOE SAUNDERS",C714))),"Zelle from Joe Saunders",IF(AND(ISNUMBER(SEARCH("PAYMENT TO",C714)),ISNUMBER(SEARCH("JOE SAUNDERS",C714))),"Zelle to Joe Saunders",IF(OR(ISNUMBER(SEARCH("NEW ORLEANS",C714)),ISNUMBER(SEARCH("KENNER",C714)),ISNUMBER(SEARCH("HENRY HOWARD",C714)),ISNUMBER(SEARCH("MISS CLAUDIA",C714))),"Personal Travel - New Orleans",IF(AND(YEAR(B714)=2025,MONTH(B714)=4,OR(ISNUMBER(SEARCH("EXCHANGE RATE",C714)),ISNUMBER(SEARCH("EXCHG RTE",C714)))),"Personal Travel - Italy",IFERROR(INDEX('Category Rules'!$B$2:$B$358,MATCH(TRUE,ISNUMBER(SEARCH('Category Rules'!$A$2:$A$358,C714)),0)),""))))))))</f>
        <v>Personal - Entertainment</v>
      </c>
    </row>
    <row r="715" spans="1:7" x14ac:dyDescent="0.25">
      <c r="A715" t="s">
        <v>6</v>
      </c>
      <c r="B715" s="1">
        <v>45922</v>
      </c>
      <c r="C715" t="s">
        <v>665</v>
      </c>
      <c r="D715">
        <v>-149.91999999999999</v>
      </c>
      <c r="E715" t="s">
        <v>10</v>
      </c>
      <c r="F715">
        <v>6432.19</v>
      </c>
      <c r="G715" t="str" cm="1">
        <f t="array" ref="G715">IF(AND(ISNUMBER(SEARCH("UBER",C715)),ISNUMBER(SEARCH("EATS",C715))),"Uber Eats",IF(LEFT(C715,6)="CHECK ","Checks Paid",IF(OR(E715="BILLPAY",ISNUMBER(SEARCH("FRANCHISE TAX",C715)),ISNUMBER(SEARCH("NEXTLINK",C715))),"Personal - House Bills",IF(AND(ISNUMBER(SEARCH("PAYMENT FROM",C715)),ISNUMBER(SEARCH("JOE SAUNDERS",C715))),"Zelle from Joe Saunders",IF(AND(ISNUMBER(SEARCH("PAYMENT TO",C715)),ISNUMBER(SEARCH("JOE SAUNDERS",C715))),"Zelle to Joe Saunders",IF(OR(ISNUMBER(SEARCH("NEW ORLEANS",C715)),ISNUMBER(SEARCH("KENNER",C715)),ISNUMBER(SEARCH("HENRY HOWARD",C715)),ISNUMBER(SEARCH("MISS CLAUDIA",C715))),"Personal Travel - New Orleans",IF(AND(YEAR(B715)=2025,MONTH(B715)=4,OR(ISNUMBER(SEARCH("EXCHANGE RATE",C715)),ISNUMBER(SEARCH("EXCHG RTE",C715)))),"Personal Travel - Italy",IFERROR(INDEX('Category Rules'!$B$2:$B$358,MATCH(TRUE,ISNUMBER(SEARCH('Category Rules'!$A$2:$A$358,C715)),0)),""))))))))</f>
        <v>Uber Eats</v>
      </c>
    </row>
    <row r="716" spans="1:7" x14ac:dyDescent="0.25">
      <c r="A716" t="s">
        <v>6</v>
      </c>
      <c r="B716" s="1">
        <v>45922</v>
      </c>
      <c r="C716" t="s">
        <v>666</v>
      </c>
      <c r="D716">
        <v>-33.950000000000003</v>
      </c>
      <c r="E716" t="s">
        <v>10</v>
      </c>
      <c r="F716">
        <v>6582.11</v>
      </c>
      <c r="G716" t="str" cm="1">
        <f t="array" ref="G716">IF(AND(ISNUMBER(SEARCH("UBER",C716)),ISNUMBER(SEARCH("EATS",C716))),"Uber Eats",IF(LEFT(C716,6)="CHECK ","Checks Paid",IF(OR(E716="BILLPAY",ISNUMBER(SEARCH("FRANCHISE TAX",C716)),ISNUMBER(SEARCH("NEXTLINK",C716))),"Personal - House Bills",IF(AND(ISNUMBER(SEARCH("PAYMENT FROM",C716)),ISNUMBER(SEARCH("JOE SAUNDERS",C716))),"Zelle from Joe Saunders",IF(AND(ISNUMBER(SEARCH("PAYMENT TO",C716)),ISNUMBER(SEARCH("JOE SAUNDERS",C716))),"Zelle to Joe Saunders",IF(OR(ISNUMBER(SEARCH("NEW ORLEANS",C716)),ISNUMBER(SEARCH("KENNER",C716)),ISNUMBER(SEARCH("HENRY HOWARD",C716)),ISNUMBER(SEARCH("MISS CLAUDIA",C716))),"Personal Travel - New Orleans",IF(AND(YEAR(B716)=2025,MONTH(B716)=4,OR(ISNUMBER(SEARCH("EXCHANGE RATE",C716)),ISNUMBER(SEARCH("EXCHG RTE",C716)))),"Personal Travel - Italy",IFERROR(INDEX('Category Rules'!$B$2:$B$358,MATCH(TRUE,ISNUMBER(SEARCH('Category Rules'!$A$2:$A$358,C716)),0)),""))))))))</f>
        <v>Amazon</v>
      </c>
    </row>
    <row r="717" spans="1:7" x14ac:dyDescent="0.25">
      <c r="A717" t="s">
        <v>6</v>
      </c>
      <c r="B717" s="1">
        <v>45922</v>
      </c>
      <c r="C717" t="s">
        <v>667</v>
      </c>
      <c r="D717">
        <v>-17.55</v>
      </c>
      <c r="E717" t="s">
        <v>10</v>
      </c>
      <c r="F717">
        <v>6616.06</v>
      </c>
      <c r="G717" t="str" cm="1">
        <f t="array" ref="G717">IF(AND(ISNUMBER(SEARCH("UBER",C717)),ISNUMBER(SEARCH("EATS",C717))),"Uber Eats",IF(LEFT(C717,6)="CHECK ","Checks Paid",IF(OR(E717="BILLPAY",ISNUMBER(SEARCH("FRANCHISE TAX",C717)),ISNUMBER(SEARCH("NEXTLINK",C717))),"Personal - House Bills",IF(AND(ISNUMBER(SEARCH("PAYMENT FROM",C717)),ISNUMBER(SEARCH("JOE SAUNDERS",C717))),"Zelle from Joe Saunders",IF(AND(ISNUMBER(SEARCH("PAYMENT TO",C717)),ISNUMBER(SEARCH("JOE SAUNDERS",C717))),"Zelle to Joe Saunders",IF(OR(ISNUMBER(SEARCH("NEW ORLEANS",C717)),ISNUMBER(SEARCH("KENNER",C717)),ISNUMBER(SEARCH("HENRY HOWARD",C717)),ISNUMBER(SEARCH("MISS CLAUDIA",C717))),"Personal Travel - New Orleans",IF(AND(YEAR(B717)=2025,MONTH(B717)=4,OR(ISNUMBER(SEARCH("EXCHANGE RATE",C717)),ISNUMBER(SEARCH("EXCHG RTE",C717)))),"Personal Travel - Italy",IFERROR(INDEX('Category Rules'!$B$2:$B$358,MATCH(TRUE,ISNUMBER(SEARCH('Category Rules'!$A$2:$A$358,C717)),0)),""))))))))</f>
        <v>Amazon</v>
      </c>
    </row>
    <row r="718" spans="1:7" x14ac:dyDescent="0.25">
      <c r="A718" t="s">
        <v>6</v>
      </c>
      <c r="B718" s="1">
        <v>45922</v>
      </c>
      <c r="C718" t="s">
        <v>668</v>
      </c>
      <c r="D718">
        <v>-85.99</v>
      </c>
      <c r="E718" t="s">
        <v>10</v>
      </c>
      <c r="F718">
        <v>6633.61</v>
      </c>
      <c r="G718" t="str" cm="1">
        <f t="array" ref="G718">IF(AND(ISNUMBER(SEARCH("UBER",C718)),ISNUMBER(SEARCH("EATS",C718))),"Uber Eats",IF(LEFT(C718,6)="CHECK ","Checks Paid",IF(OR(E718="BILLPAY",ISNUMBER(SEARCH("FRANCHISE TAX",C718)),ISNUMBER(SEARCH("NEXTLINK",C718))),"Personal - House Bills",IF(AND(ISNUMBER(SEARCH("PAYMENT FROM",C718)),ISNUMBER(SEARCH("JOE SAUNDERS",C718))),"Zelle from Joe Saunders",IF(AND(ISNUMBER(SEARCH("PAYMENT TO",C718)),ISNUMBER(SEARCH("JOE SAUNDERS",C718))),"Zelle to Joe Saunders",IF(OR(ISNUMBER(SEARCH("NEW ORLEANS",C718)),ISNUMBER(SEARCH("KENNER",C718)),ISNUMBER(SEARCH("HENRY HOWARD",C718)),ISNUMBER(SEARCH("MISS CLAUDIA",C718))),"Personal Travel - New Orleans",IF(AND(YEAR(B718)=2025,MONTH(B718)=4,OR(ISNUMBER(SEARCH("EXCHANGE RATE",C718)),ISNUMBER(SEARCH("EXCHG RTE",C718)))),"Personal Travel - Italy",IFERROR(INDEX('Category Rules'!$B$2:$B$358,MATCH(TRUE,ISNUMBER(SEARCH('Category Rules'!$A$2:$A$358,C718)),0)),""))))))))</f>
        <v>Personal Travel</v>
      </c>
    </row>
    <row r="719" spans="1:7" x14ac:dyDescent="0.25">
      <c r="A719" t="s">
        <v>6</v>
      </c>
      <c r="B719" s="1">
        <v>45922</v>
      </c>
      <c r="C719" t="s">
        <v>668</v>
      </c>
      <c r="D719">
        <v>-85.99</v>
      </c>
      <c r="E719" t="s">
        <v>10</v>
      </c>
      <c r="F719">
        <v>6719.6</v>
      </c>
      <c r="G719" t="str" cm="1">
        <f t="array" ref="G719">IF(AND(ISNUMBER(SEARCH("UBER",C719)),ISNUMBER(SEARCH("EATS",C719))),"Uber Eats",IF(LEFT(C719,6)="CHECK ","Checks Paid",IF(OR(E719="BILLPAY",ISNUMBER(SEARCH("FRANCHISE TAX",C719)),ISNUMBER(SEARCH("NEXTLINK",C719))),"Personal - House Bills",IF(AND(ISNUMBER(SEARCH("PAYMENT FROM",C719)),ISNUMBER(SEARCH("JOE SAUNDERS",C719))),"Zelle from Joe Saunders",IF(AND(ISNUMBER(SEARCH("PAYMENT TO",C719)),ISNUMBER(SEARCH("JOE SAUNDERS",C719))),"Zelle to Joe Saunders",IF(OR(ISNUMBER(SEARCH("NEW ORLEANS",C719)),ISNUMBER(SEARCH("KENNER",C719)),ISNUMBER(SEARCH("HENRY HOWARD",C719)),ISNUMBER(SEARCH("MISS CLAUDIA",C719))),"Personal Travel - New Orleans",IF(AND(YEAR(B719)=2025,MONTH(B719)=4,OR(ISNUMBER(SEARCH("EXCHANGE RATE",C719)),ISNUMBER(SEARCH("EXCHG RTE",C719)))),"Personal Travel - Italy",IFERROR(INDEX('Category Rules'!$B$2:$B$358,MATCH(TRUE,ISNUMBER(SEARCH('Category Rules'!$A$2:$A$358,C719)),0)),""))))))))</f>
        <v>Personal Travel</v>
      </c>
    </row>
    <row r="720" spans="1:7" x14ac:dyDescent="0.25">
      <c r="A720" t="s">
        <v>6</v>
      </c>
      <c r="B720" s="1">
        <v>45922</v>
      </c>
      <c r="C720" t="s">
        <v>669</v>
      </c>
      <c r="D720">
        <v>-263.95999999999998</v>
      </c>
      <c r="E720" t="s">
        <v>10</v>
      </c>
      <c r="F720">
        <v>6805.59</v>
      </c>
      <c r="G720" t="str" cm="1">
        <f t="array" ref="G720">IF(AND(ISNUMBER(SEARCH("UBER",C720)),ISNUMBER(SEARCH("EATS",C720))),"Uber Eats",IF(LEFT(C720,6)="CHECK ","Checks Paid",IF(OR(E720="BILLPAY",ISNUMBER(SEARCH("FRANCHISE TAX",C720)),ISNUMBER(SEARCH("NEXTLINK",C720))),"Personal - House Bills",IF(AND(ISNUMBER(SEARCH("PAYMENT FROM",C720)),ISNUMBER(SEARCH("JOE SAUNDERS",C720))),"Zelle from Joe Saunders",IF(AND(ISNUMBER(SEARCH("PAYMENT TO",C720)),ISNUMBER(SEARCH("JOE SAUNDERS",C720))),"Zelle to Joe Saunders",IF(OR(ISNUMBER(SEARCH("NEW ORLEANS",C720)),ISNUMBER(SEARCH("KENNER",C720)),ISNUMBER(SEARCH("HENRY HOWARD",C720)),ISNUMBER(SEARCH("MISS CLAUDIA",C720))),"Personal Travel - New Orleans",IF(AND(YEAR(B720)=2025,MONTH(B720)=4,OR(ISNUMBER(SEARCH("EXCHANGE RATE",C720)),ISNUMBER(SEARCH("EXCHG RTE",C720)))),"Personal Travel - Italy",IFERROR(INDEX('Category Rules'!$B$2:$B$358,MATCH(TRUE,ISNUMBER(SEARCH('Category Rules'!$A$2:$A$358,C720)),0)),""))))))))</f>
        <v>Personal Travel</v>
      </c>
    </row>
    <row r="721" spans="1:7" x14ac:dyDescent="0.25">
      <c r="A721" t="s">
        <v>6</v>
      </c>
      <c r="B721" s="1">
        <v>45922</v>
      </c>
      <c r="C721" t="s">
        <v>669</v>
      </c>
      <c r="D721">
        <v>-263.95999999999998</v>
      </c>
      <c r="E721" t="s">
        <v>10</v>
      </c>
      <c r="F721">
        <v>7069.55</v>
      </c>
      <c r="G721" t="str" cm="1">
        <f t="array" ref="G721">IF(AND(ISNUMBER(SEARCH("UBER",C721)),ISNUMBER(SEARCH("EATS",C721))),"Uber Eats",IF(LEFT(C721,6)="CHECK ","Checks Paid",IF(OR(E721="BILLPAY",ISNUMBER(SEARCH("FRANCHISE TAX",C721)),ISNUMBER(SEARCH("NEXTLINK",C721))),"Personal - House Bills",IF(AND(ISNUMBER(SEARCH("PAYMENT FROM",C721)),ISNUMBER(SEARCH("JOE SAUNDERS",C721))),"Zelle from Joe Saunders",IF(AND(ISNUMBER(SEARCH("PAYMENT TO",C721)),ISNUMBER(SEARCH("JOE SAUNDERS",C721))),"Zelle to Joe Saunders",IF(OR(ISNUMBER(SEARCH("NEW ORLEANS",C721)),ISNUMBER(SEARCH("KENNER",C721)),ISNUMBER(SEARCH("HENRY HOWARD",C721)),ISNUMBER(SEARCH("MISS CLAUDIA",C721))),"Personal Travel - New Orleans",IF(AND(YEAR(B721)=2025,MONTH(B721)=4,OR(ISNUMBER(SEARCH("EXCHANGE RATE",C721)),ISNUMBER(SEARCH("EXCHG RTE",C721)))),"Personal Travel - Italy",IFERROR(INDEX('Category Rules'!$B$2:$B$358,MATCH(TRUE,ISNUMBER(SEARCH('Category Rules'!$A$2:$A$358,C721)),0)),""))))))))</f>
        <v>Personal Travel</v>
      </c>
    </row>
    <row r="722" spans="1:7" x14ac:dyDescent="0.25">
      <c r="A722" t="s">
        <v>6</v>
      </c>
      <c r="B722" s="1">
        <v>45922</v>
      </c>
      <c r="C722" t="s">
        <v>670</v>
      </c>
      <c r="D722">
        <v>-98.38</v>
      </c>
      <c r="E722" t="s">
        <v>10</v>
      </c>
      <c r="F722">
        <v>7333.51</v>
      </c>
      <c r="G722" t="str" cm="1">
        <f t="array" ref="G722">IF(AND(ISNUMBER(SEARCH("UBER",C722)),ISNUMBER(SEARCH("EATS",C722))),"Uber Eats",IF(LEFT(C722,6)="CHECK ","Checks Paid",IF(OR(E722="BILLPAY",ISNUMBER(SEARCH("FRANCHISE TAX",C722)),ISNUMBER(SEARCH("NEXTLINK",C722))),"Personal - House Bills",IF(AND(ISNUMBER(SEARCH("PAYMENT FROM",C722)),ISNUMBER(SEARCH("JOE SAUNDERS",C722))),"Zelle from Joe Saunders",IF(AND(ISNUMBER(SEARCH("PAYMENT TO",C722)),ISNUMBER(SEARCH("JOE SAUNDERS",C722))),"Zelle to Joe Saunders",IF(OR(ISNUMBER(SEARCH("NEW ORLEANS",C722)),ISNUMBER(SEARCH("KENNER",C722)),ISNUMBER(SEARCH("HENRY HOWARD",C722)),ISNUMBER(SEARCH("MISS CLAUDIA",C722))),"Personal Travel - New Orleans",IF(AND(YEAR(B722)=2025,MONTH(B722)=4,OR(ISNUMBER(SEARCH("EXCHANGE RATE",C722)),ISNUMBER(SEARCH("EXCHG RTE",C722)))),"Personal Travel - Italy",IFERROR(INDEX('Category Rules'!$B$2:$B$358,MATCH(TRUE,ISNUMBER(SEARCH('Category Rules'!$A$2:$A$358,C722)),0)),""))))))))</f>
        <v>Personal - Food</v>
      </c>
    </row>
    <row r="723" spans="1:7" x14ac:dyDescent="0.25">
      <c r="A723" t="s">
        <v>6</v>
      </c>
      <c r="B723" s="1">
        <v>45922</v>
      </c>
      <c r="C723" t="s">
        <v>671</v>
      </c>
      <c r="D723">
        <v>-135.63999999999999</v>
      </c>
      <c r="E723" t="s">
        <v>10</v>
      </c>
      <c r="F723">
        <v>7431.89</v>
      </c>
      <c r="G723" t="str" cm="1">
        <f t="array" ref="G723">IF(AND(ISNUMBER(SEARCH("UBER",C723)),ISNUMBER(SEARCH("EATS",C723))),"Uber Eats",IF(LEFT(C723,6)="CHECK ","Checks Paid",IF(OR(E723="BILLPAY",ISNUMBER(SEARCH("FRANCHISE TAX",C723)),ISNUMBER(SEARCH("NEXTLINK",C723))),"Personal - House Bills",IF(AND(ISNUMBER(SEARCH("PAYMENT FROM",C723)),ISNUMBER(SEARCH("JOE SAUNDERS",C723))),"Zelle from Joe Saunders",IF(AND(ISNUMBER(SEARCH("PAYMENT TO",C723)),ISNUMBER(SEARCH("JOE SAUNDERS",C723))),"Zelle to Joe Saunders",IF(OR(ISNUMBER(SEARCH("NEW ORLEANS",C723)),ISNUMBER(SEARCH("KENNER",C723)),ISNUMBER(SEARCH("HENRY HOWARD",C723)),ISNUMBER(SEARCH("MISS CLAUDIA",C723))),"Personal Travel - New Orleans",IF(AND(YEAR(B723)=2025,MONTH(B723)=4,OR(ISNUMBER(SEARCH("EXCHANGE RATE",C723)),ISNUMBER(SEARCH("EXCHG RTE",C723)))),"Personal Travel - Italy",IFERROR(INDEX('Category Rules'!$B$2:$B$358,MATCH(TRUE,ISNUMBER(SEARCH('Category Rules'!$A$2:$A$358,C723)),0)),""))))))))</f>
        <v>Personal Travel - Canada</v>
      </c>
    </row>
    <row r="724" spans="1:7" x14ac:dyDescent="0.25">
      <c r="A724" t="s">
        <v>6</v>
      </c>
      <c r="B724" s="1">
        <v>45922</v>
      </c>
      <c r="C724" t="s">
        <v>672</v>
      </c>
      <c r="D724">
        <v>-149.96</v>
      </c>
      <c r="E724" t="s">
        <v>10</v>
      </c>
      <c r="F724">
        <v>7567.53</v>
      </c>
      <c r="G724" t="str" cm="1">
        <f t="array" ref="G724">IF(AND(ISNUMBER(SEARCH("UBER",C724)),ISNUMBER(SEARCH("EATS",C724))),"Uber Eats",IF(LEFT(C724,6)="CHECK ","Checks Paid",IF(OR(E724="BILLPAY",ISNUMBER(SEARCH("FRANCHISE TAX",C724)),ISNUMBER(SEARCH("NEXTLINK",C724))),"Personal - House Bills",IF(AND(ISNUMBER(SEARCH("PAYMENT FROM",C724)),ISNUMBER(SEARCH("JOE SAUNDERS",C724))),"Zelle from Joe Saunders",IF(AND(ISNUMBER(SEARCH("PAYMENT TO",C724)),ISNUMBER(SEARCH("JOE SAUNDERS",C724))),"Zelle to Joe Saunders",IF(OR(ISNUMBER(SEARCH("NEW ORLEANS",C724)),ISNUMBER(SEARCH("KENNER",C724)),ISNUMBER(SEARCH("HENRY HOWARD",C724)),ISNUMBER(SEARCH("MISS CLAUDIA",C724))),"Personal Travel - New Orleans",IF(AND(YEAR(B724)=2025,MONTH(B724)=4,OR(ISNUMBER(SEARCH("EXCHANGE RATE",C724)),ISNUMBER(SEARCH("EXCHG RTE",C724)))),"Personal Travel - Italy",IFERROR(INDEX('Category Rules'!$B$2:$B$358,MATCH(TRUE,ISNUMBER(SEARCH('Category Rules'!$A$2:$A$358,C724)),0)),""))))))))</f>
        <v>Personal - House Bills</v>
      </c>
    </row>
    <row r="725" spans="1:7" x14ac:dyDescent="0.25">
      <c r="A725" t="s">
        <v>6</v>
      </c>
      <c r="B725" s="1">
        <v>45922</v>
      </c>
      <c r="C725" t="s">
        <v>673</v>
      </c>
      <c r="D725">
        <v>-13</v>
      </c>
      <c r="E725" t="s">
        <v>10</v>
      </c>
      <c r="F725">
        <v>7717.49</v>
      </c>
      <c r="G725" t="str" cm="1">
        <f t="array" ref="G725">IF(AND(ISNUMBER(SEARCH("UBER",C725)),ISNUMBER(SEARCH("EATS",C725))),"Uber Eats",IF(LEFT(C725,6)="CHECK ","Checks Paid",IF(OR(E725="BILLPAY",ISNUMBER(SEARCH("FRANCHISE TAX",C725)),ISNUMBER(SEARCH("NEXTLINK",C725))),"Personal - House Bills",IF(AND(ISNUMBER(SEARCH("PAYMENT FROM",C725)),ISNUMBER(SEARCH("JOE SAUNDERS",C725))),"Zelle from Joe Saunders",IF(AND(ISNUMBER(SEARCH("PAYMENT TO",C725)),ISNUMBER(SEARCH("JOE SAUNDERS",C725))),"Zelle to Joe Saunders",IF(OR(ISNUMBER(SEARCH("NEW ORLEANS",C725)),ISNUMBER(SEARCH("KENNER",C725)),ISNUMBER(SEARCH("HENRY HOWARD",C725)),ISNUMBER(SEARCH("MISS CLAUDIA",C725))),"Personal Travel - New Orleans",IF(AND(YEAR(B725)=2025,MONTH(B725)=4,OR(ISNUMBER(SEARCH("EXCHANGE RATE",C725)),ISNUMBER(SEARCH("EXCHG RTE",C725)))),"Personal Travel - Italy",IFERROR(INDEX('Category Rules'!$B$2:$B$358,MATCH(TRUE,ISNUMBER(SEARCH('Category Rules'!$A$2:$A$358,C725)),0)),""))))))))</f>
        <v>Personal - Entertainment</v>
      </c>
    </row>
    <row r="726" spans="1:7" x14ac:dyDescent="0.25">
      <c r="A726" t="s">
        <v>6</v>
      </c>
      <c r="B726" s="1">
        <v>45922</v>
      </c>
      <c r="C726" t="s">
        <v>674</v>
      </c>
      <c r="D726">
        <v>-789.26</v>
      </c>
      <c r="E726" t="s">
        <v>10</v>
      </c>
      <c r="F726">
        <v>7730.49</v>
      </c>
      <c r="G726" t="str" cm="1">
        <f t="array" ref="G726">IF(AND(ISNUMBER(SEARCH("UBER",C726)),ISNUMBER(SEARCH("EATS",C726))),"Uber Eats",IF(LEFT(C726,6)="CHECK ","Checks Paid",IF(OR(E726="BILLPAY",ISNUMBER(SEARCH("FRANCHISE TAX",C726)),ISNUMBER(SEARCH("NEXTLINK",C726))),"Personal - House Bills",IF(AND(ISNUMBER(SEARCH("PAYMENT FROM",C726)),ISNUMBER(SEARCH("JOE SAUNDERS",C726))),"Zelle from Joe Saunders",IF(AND(ISNUMBER(SEARCH("PAYMENT TO",C726)),ISNUMBER(SEARCH("JOE SAUNDERS",C726))),"Zelle to Joe Saunders",IF(OR(ISNUMBER(SEARCH("NEW ORLEANS",C726)),ISNUMBER(SEARCH("KENNER",C726)),ISNUMBER(SEARCH("HENRY HOWARD",C726)),ISNUMBER(SEARCH("MISS CLAUDIA",C726))),"Personal Travel - New Orleans",IF(AND(YEAR(B726)=2025,MONTH(B726)=4,OR(ISNUMBER(SEARCH("EXCHANGE RATE",C726)),ISNUMBER(SEARCH("EXCHG RTE",C726)))),"Personal Travel - Italy",IFERROR(INDEX('Category Rules'!$B$2:$B$358,MATCH(TRUE,ISNUMBER(SEARCH('Category Rules'!$A$2:$A$358,C726)),0)),""))))))))</f>
        <v>Personal Travel</v>
      </c>
    </row>
    <row r="727" spans="1:7" x14ac:dyDescent="0.25">
      <c r="A727" t="s">
        <v>6</v>
      </c>
      <c r="B727" s="1">
        <v>45922</v>
      </c>
      <c r="C727" t="s">
        <v>675</v>
      </c>
      <c r="D727">
        <v>-131.26</v>
      </c>
      <c r="E727" t="s">
        <v>10</v>
      </c>
      <c r="F727">
        <v>8519.75</v>
      </c>
      <c r="G727" t="str" cm="1">
        <f t="array" ref="G727">IF(AND(ISNUMBER(SEARCH("UBER",C727)),ISNUMBER(SEARCH("EATS",C727))),"Uber Eats",IF(LEFT(C727,6)="CHECK ","Checks Paid",IF(OR(E727="BILLPAY",ISNUMBER(SEARCH("FRANCHISE TAX",C727)),ISNUMBER(SEARCH("NEXTLINK",C727))),"Personal - House Bills",IF(AND(ISNUMBER(SEARCH("PAYMENT FROM",C727)),ISNUMBER(SEARCH("JOE SAUNDERS",C727))),"Zelle from Joe Saunders",IF(AND(ISNUMBER(SEARCH("PAYMENT TO",C727)),ISNUMBER(SEARCH("JOE SAUNDERS",C727))),"Zelle to Joe Saunders",IF(OR(ISNUMBER(SEARCH("NEW ORLEANS",C727)),ISNUMBER(SEARCH("KENNER",C727)),ISNUMBER(SEARCH("HENRY HOWARD",C727)),ISNUMBER(SEARCH("MISS CLAUDIA",C727))),"Personal Travel - New Orleans",IF(AND(YEAR(B727)=2025,MONTH(B727)=4,OR(ISNUMBER(SEARCH("EXCHANGE RATE",C727)),ISNUMBER(SEARCH("EXCHG RTE",C727)))),"Personal Travel - Italy",IFERROR(INDEX('Category Rules'!$B$2:$B$358,MATCH(TRUE,ISNUMBER(SEARCH('Category Rules'!$A$2:$A$358,C727)),0)),""))))))))</f>
        <v>Personal - Shopping</v>
      </c>
    </row>
    <row r="728" spans="1:7" x14ac:dyDescent="0.25">
      <c r="A728" t="s">
        <v>6</v>
      </c>
      <c r="B728" s="1">
        <v>45922</v>
      </c>
      <c r="C728" t="s">
        <v>676</v>
      </c>
      <c r="D728">
        <v>-20</v>
      </c>
      <c r="E728" t="s">
        <v>10</v>
      </c>
      <c r="F728">
        <v>8651.01</v>
      </c>
      <c r="G728" t="str" cm="1">
        <f t="array" ref="G728">IF(AND(ISNUMBER(SEARCH("UBER",C728)),ISNUMBER(SEARCH("EATS",C728))),"Uber Eats",IF(LEFT(C728,6)="CHECK ","Checks Paid",IF(OR(E728="BILLPAY",ISNUMBER(SEARCH("FRANCHISE TAX",C728)),ISNUMBER(SEARCH("NEXTLINK",C728))),"Personal - House Bills",IF(AND(ISNUMBER(SEARCH("PAYMENT FROM",C728)),ISNUMBER(SEARCH("JOE SAUNDERS",C728))),"Zelle from Joe Saunders",IF(AND(ISNUMBER(SEARCH("PAYMENT TO",C728)),ISNUMBER(SEARCH("JOE SAUNDERS",C728))),"Zelle to Joe Saunders",IF(OR(ISNUMBER(SEARCH("NEW ORLEANS",C728)),ISNUMBER(SEARCH("KENNER",C728)),ISNUMBER(SEARCH("HENRY HOWARD",C728)),ISNUMBER(SEARCH("MISS CLAUDIA",C728))),"Personal Travel - New Orleans",IF(AND(YEAR(B728)=2025,MONTH(B728)=4,OR(ISNUMBER(SEARCH("EXCHANGE RATE",C728)),ISNUMBER(SEARCH("EXCHG RTE",C728)))),"Personal Travel - Italy",IFERROR(INDEX('Category Rules'!$B$2:$B$358,MATCH(TRUE,ISNUMBER(SEARCH('Category Rules'!$A$2:$A$358,C728)),0)),""))))))))</f>
        <v>Amazon</v>
      </c>
    </row>
    <row r="729" spans="1:7" x14ac:dyDescent="0.25">
      <c r="A729" t="s">
        <v>44</v>
      </c>
      <c r="B729" s="1">
        <v>45922</v>
      </c>
      <c r="C729" t="s">
        <v>677</v>
      </c>
      <c r="D729">
        <v>75</v>
      </c>
      <c r="E729" t="s">
        <v>46</v>
      </c>
      <c r="F729">
        <v>8671.01</v>
      </c>
      <c r="G729" t="str" cm="1">
        <f t="array" ref="G729">IF(AND(ISNUMBER(SEARCH("UBER",C729)),ISNUMBER(SEARCH("EATS",C729))),"Uber Eats",IF(LEFT(C729,6)="CHECK ","Checks Paid",IF(OR(E729="BILLPAY",ISNUMBER(SEARCH("FRANCHISE TAX",C729)),ISNUMBER(SEARCH("NEXTLINK",C729))),"Personal - House Bills",IF(AND(ISNUMBER(SEARCH("PAYMENT FROM",C729)),ISNUMBER(SEARCH("JOE SAUNDERS",C729))),"Zelle from Joe Saunders",IF(AND(ISNUMBER(SEARCH("PAYMENT TO",C729)),ISNUMBER(SEARCH("JOE SAUNDERS",C729))),"Zelle to Joe Saunders",IF(OR(ISNUMBER(SEARCH("NEW ORLEANS",C729)),ISNUMBER(SEARCH("KENNER",C729)),ISNUMBER(SEARCH("HENRY HOWARD",C729)),ISNUMBER(SEARCH("MISS CLAUDIA",C729))),"Personal Travel - New Orleans",IF(AND(YEAR(B729)=2025,MONTH(B729)=4,OR(ISNUMBER(SEARCH("EXCHANGE RATE",C729)),ISNUMBER(SEARCH("EXCHG RTE",C729)))),"Personal Travel - Italy",IFERROR(INDEX('Category Rules'!$B$2:$B$358,MATCH(TRUE,ISNUMBER(SEARCH('Category Rules'!$A$2:$A$358,C729)),0)),""))))))))</f>
        <v>Zelle from Mary Margaret Trahan</v>
      </c>
    </row>
    <row r="730" spans="1:7" x14ac:dyDescent="0.25">
      <c r="A730" t="s">
        <v>44</v>
      </c>
      <c r="B730" s="1">
        <v>45922</v>
      </c>
      <c r="C730" t="s">
        <v>678</v>
      </c>
      <c r="D730">
        <v>1000</v>
      </c>
      <c r="E730" t="s">
        <v>73</v>
      </c>
      <c r="F730">
        <v>8596.01</v>
      </c>
      <c r="G730" t="str" cm="1">
        <f t="array" ref="G730">IF(AND(ISNUMBER(SEARCH("UBER",C730)),ISNUMBER(SEARCH("EATS",C730))),"Uber Eats",IF(LEFT(C730,6)="CHECK ","Checks Paid",IF(OR(E730="BILLPAY",ISNUMBER(SEARCH("FRANCHISE TAX",C730)),ISNUMBER(SEARCH("NEXTLINK",C730))),"Personal - House Bills",IF(AND(ISNUMBER(SEARCH("PAYMENT FROM",C730)),ISNUMBER(SEARCH("JOE SAUNDERS",C730))),"Zelle from Joe Saunders",IF(AND(ISNUMBER(SEARCH("PAYMENT TO",C730)),ISNUMBER(SEARCH("JOE SAUNDERS",C730))),"Zelle to Joe Saunders",IF(OR(ISNUMBER(SEARCH("NEW ORLEANS",C730)),ISNUMBER(SEARCH("KENNER",C730)),ISNUMBER(SEARCH("HENRY HOWARD",C730)),ISNUMBER(SEARCH("MISS CLAUDIA",C730))),"Personal Travel - New Orleans",IF(AND(YEAR(B730)=2025,MONTH(B730)=4,OR(ISNUMBER(SEARCH("EXCHANGE RATE",C730)),ISNUMBER(SEARCH("EXCHG RTE",C730)))),"Personal Travel - Italy",IFERROR(INDEX('Category Rules'!$B$2:$B$358,MATCH(TRUE,ISNUMBER(SEARCH('Category Rules'!$A$2:$A$358,C730)),0)),""))))))))</f>
        <v>Transfer from DWG Capital Group</v>
      </c>
    </row>
    <row r="731" spans="1:7" x14ac:dyDescent="0.25">
      <c r="A731" t="s">
        <v>44</v>
      </c>
      <c r="B731" s="1">
        <v>45922</v>
      </c>
      <c r="C731" t="s">
        <v>679</v>
      </c>
      <c r="D731">
        <v>2000</v>
      </c>
      <c r="E731" t="s">
        <v>73</v>
      </c>
      <c r="F731">
        <v>7596.01</v>
      </c>
      <c r="G731" t="str" cm="1">
        <f t="array" ref="G731">IF(AND(ISNUMBER(SEARCH("UBER",C731)),ISNUMBER(SEARCH("EATS",C731))),"Uber Eats",IF(LEFT(C731,6)="CHECK ","Checks Paid",IF(OR(E731="BILLPAY",ISNUMBER(SEARCH("FRANCHISE TAX",C731)),ISNUMBER(SEARCH("NEXTLINK",C731))),"Personal - House Bills",IF(AND(ISNUMBER(SEARCH("PAYMENT FROM",C731)),ISNUMBER(SEARCH("JOE SAUNDERS",C731))),"Zelle from Joe Saunders",IF(AND(ISNUMBER(SEARCH("PAYMENT TO",C731)),ISNUMBER(SEARCH("JOE SAUNDERS",C731))),"Zelle to Joe Saunders",IF(OR(ISNUMBER(SEARCH("NEW ORLEANS",C731)),ISNUMBER(SEARCH("KENNER",C731)),ISNUMBER(SEARCH("HENRY HOWARD",C731)),ISNUMBER(SEARCH("MISS CLAUDIA",C731))),"Personal Travel - New Orleans",IF(AND(YEAR(B731)=2025,MONTH(B731)=4,OR(ISNUMBER(SEARCH("EXCHANGE RATE",C731)),ISNUMBER(SEARCH("EXCHG RTE",C731)))),"Personal Travel - Italy",IFERROR(INDEX('Category Rules'!$B$2:$B$358,MATCH(TRUE,ISNUMBER(SEARCH('Category Rules'!$A$2:$A$358,C731)),0)),""))))))))</f>
        <v>Transfer from DWG Capital Group</v>
      </c>
    </row>
    <row r="732" spans="1:7" x14ac:dyDescent="0.25">
      <c r="A732" t="s">
        <v>44</v>
      </c>
      <c r="B732" s="1">
        <v>45922</v>
      </c>
      <c r="C732" t="s">
        <v>680</v>
      </c>
      <c r="D732">
        <v>5000</v>
      </c>
      <c r="E732" t="s">
        <v>73</v>
      </c>
      <c r="F732">
        <v>5596.01</v>
      </c>
      <c r="G732" t="str" cm="1">
        <f t="array" ref="G732">IF(AND(ISNUMBER(SEARCH("UBER",C732)),ISNUMBER(SEARCH("EATS",C732))),"Uber Eats",IF(LEFT(C732,6)="CHECK ","Checks Paid",IF(OR(E732="BILLPAY",ISNUMBER(SEARCH("FRANCHISE TAX",C732)),ISNUMBER(SEARCH("NEXTLINK",C732))),"Personal - House Bills",IF(AND(ISNUMBER(SEARCH("PAYMENT FROM",C732)),ISNUMBER(SEARCH("JOE SAUNDERS",C732))),"Zelle from Joe Saunders",IF(AND(ISNUMBER(SEARCH("PAYMENT TO",C732)),ISNUMBER(SEARCH("JOE SAUNDERS",C732))),"Zelle to Joe Saunders",IF(OR(ISNUMBER(SEARCH("NEW ORLEANS",C732)),ISNUMBER(SEARCH("KENNER",C732)),ISNUMBER(SEARCH("HENRY HOWARD",C732)),ISNUMBER(SEARCH("MISS CLAUDIA",C732))),"Personal Travel - New Orleans",IF(AND(YEAR(B732)=2025,MONTH(B732)=4,OR(ISNUMBER(SEARCH("EXCHANGE RATE",C732)),ISNUMBER(SEARCH("EXCHG RTE",C732)))),"Personal Travel - Italy",IFERROR(INDEX('Category Rules'!$B$2:$B$358,MATCH(TRUE,ISNUMBER(SEARCH('Category Rules'!$A$2:$A$358,C732)),0)),""))))))))</f>
        <v>Transfer from DWG Capital Group</v>
      </c>
    </row>
    <row r="733" spans="1:7" x14ac:dyDescent="0.25">
      <c r="A733" t="s">
        <v>6</v>
      </c>
      <c r="B733" s="1">
        <v>45919</v>
      </c>
      <c r="C733" t="s">
        <v>681</v>
      </c>
      <c r="D733">
        <v>-293.74</v>
      </c>
      <c r="E733" t="s">
        <v>10</v>
      </c>
      <c r="F733">
        <v>596.01</v>
      </c>
      <c r="G733" t="str" cm="1">
        <f t="array" ref="G733">IF(AND(ISNUMBER(SEARCH("UBER",C733)),ISNUMBER(SEARCH("EATS",C733))),"Uber Eats",IF(LEFT(C733,6)="CHECK ","Checks Paid",IF(OR(E733="BILLPAY",ISNUMBER(SEARCH("FRANCHISE TAX",C733)),ISNUMBER(SEARCH("NEXTLINK",C733))),"Personal - House Bills",IF(AND(ISNUMBER(SEARCH("PAYMENT FROM",C733)),ISNUMBER(SEARCH("JOE SAUNDERS",C733))),"Zelle from Joe Saunders",IF(AND(ISNUMBER(SEARCH("PAYMENT TO",C733)),ISNUMBER(SEARCH("JOE SAUNDERS",C733))),"Zelle to Joe Saunders",IF(OR(ISNUMBER(SEARCH("NEW ORLEANS",C733)),ISNUMBER(SEARCH("KENNER",C733)),ISNUMBER(SEARCH("HENRY HOWARD",C733)),ISNUMBER(SEARCH("MISS CLAUDIA",C733))),"Personal Travel - New Orleans",IF(AND(YEAR(B733)=2025,MONTH(B733)=4,OR(ISNUMBER(SEARCH("EXCHANGE RATE",C733)),ISNUMBER(SEARCH("EXCHG RTE",C733)))),"Personal Travel - Italy",IFERROR(INDEX('Category Rules'!$B$2:$B$358,MATCH(TRUE,ISNUMBER(SEARCH('Category Rules'!$A$2:$A$358,C733)),0)),""))))))))</f>
        <v>Personal - Misc</v>
      </c>
    </row>
    <row r="734" spans="1:7" x14ac:dyDescent="0.25">
      <c r="A734" t="s">
        <v>6</v>
      </c>
      <c r="B734" s="1">
        <v>45919</v>
      </c>
      <c r="C734" t="s">
        <v>682</v>
      </c>
      <c r="D734">
        <v>-48.92</v>
      </c>
      <c r="E734" t="s">
        <v>10</v>
      </c>
      <c r="F734">
        <v>889.75</v>
      </c>
      <c r="G734" t="str" cm="1">
        <f t="array" ref="G734">IF(AND(ISNUMBER(SEARCH("UBER",C734)),ISNUMBER(SEARCH("EATS",C734))),"Uber Eats",IF(LEFT(C734,6)="CHECK ","Checks Paid",IF(OR(E734="BILLPAY",ISNUMBER(SEARCH("FRANCHISE TAX",C734)),ISNUMBER(SEARCH("NEXTLINK",C734))),"Personal - House Bills",IF(AND(ISNUMBER(SEARCH("PAYMENT FROM",C734)),ISNUMBER(SEARCH("JOE SAUNDERS",C734))),"Zelle from Joe Saunders",IF(AND(ISNUMBER(SEARCH("PAYMENT TO",C734)),ISNUMBER(SEARCH("JOE SAUNDERS",C734))),"Zelle to Joe Saunders",IF(OR(ISNUMBER(SEARCH("NEW ORLEANS",C734)),ISNUMBER(SEARCH("KENNER",C734)),ISNUMBER(SEARCH("HENRY HOWARD",C734)),ISNUMBER(SEARCH("MISS CLAUDIA",C734))),"Personal Travel - New Orleans",IF(AND(YEAR(B734)=2025,MONTH(B734)=4,OR(ISNUMBER(SEARCH("EXCHANGE RATE",C734)),ISNUMBER(SEARCH("EXCHG RTE",C734)))),"Personal Travel - Italy",IFERROR(INDEX('Category Rules'!$B$2:$B$358,MATCH(TRUE,ISNUMBER(SEARCH('Category Rules'!$A$2:$A$358,C734)),0)),""))))))))</f>
        <v>Amazon</v>
      </c>
    </row>
    <row r="735" spans="1:7" x14ac:dyDescent="0.25">
      <c r="A735" t="s">
        <v>6</v>
      </c>
      <c r="B735" s="1">
        <v>45919</v>
      </c>
      <c r="C735" t="s">
        <v>683</v>
      </c>
      <c r="D735">
        <v>-759.96</v>
      </c>
      <c r="E735" t="s">
        <v>10</v>
      </c>
      <c r="F735">
        <v>938.67</v>
      </c>
      <c r="G735" t="str" cm="1">
        <f t="array" ref="G735">IF(AND(ISNUMBER(SEARCH("UBER",C735)),ISNUMBER(SEARCH("EATS",C735))),"Uber Eats",IF(LEFT(C735,6)="CHECK ","Checks Paid",IF(OR(E735="BILLPAY",ISNUMBER(SEARCH("FRANCHISE TAX",C735)),ISNUMBER(SEARCH("NEXTLINK",C735))),"Personal - House Bills",IF(AND(ISNUMBER(SEARCH("PAYMENT FROM",C735)),ISNUMBER(SEARCH("JOE SAUNDERS",C735))),"Zelle from Joe Saunders",IF(AND(ISNUMBER(SEARCH("PAYMENT TO",C735)),ISNUMBER(SEARCH("JOE SAUNDERS",C735))),"Zelle to Joe Saunders",IF(OR(ISNUMBER(SEARCH("NEW ORLEANS",C735)),ISNUMBER(SEARCH("KENNER",C735)),ISNUMBER(SEARCH("HENRY HOWARD",C735)),ISNUMBER(SEARCH("MISS CLAUDIA",C735))),"Personal Travel - New Orleans",IF(AND(YEAR(B735)=2025,MONTH(B735)=4,OR(ISNUMBER(SEARCH("EXCHANGE RATE",C735)),ISNUMBER(SEARCH("EXCHG RTE",C735)))),"Personal Travel - Italy",IFERROR(INDEX('Category Rules'!$B$2:$B$358,MATCH(TRUE,ISNUMBER(SEARCH('Category Rules'!$A$2:$A$358,C735)),0)),""))))))))</f>
        <v>Personal - Shopping</v>
      </c>
    </row>
    <row r="736" spans="1:7" x14ac:dyDescent="0.25">
      <c r="A736" t="s">
        <v>6</v>
      </c>
      <c r="B736" s="1">
        <v>45919</v>
      </c>
      <c r="C736" t="s">
        <v>684</v>
      </c>
      <c r="D736">
        <v>-2300</v>
      </c>
      <c r="E736" t="s">
        <v>73</v>
      </c>
      <c r="F736">
        <v>1698.63</v>
      </c>
      <c r="G736" t="str" cm="1">
        <f t="array" ref="G736">IF(AND(ISNUMBER(SEARCH("UBER",C736)),ISNUMBER(SEARCH("EATS",C736))),"Uber Eats",IF(LEFT(C736,6)="CHECK ","Checks Paid",IF(OR(E736="BILLPAY",ISNUMBER(SEARCH("FRANCHISE TAX",C736)),ISNUMBER(SEARCH("NEXTLINK",C736))),"Personal - House Bills",IF(AND(ISNUMBER(SEARCH("PAYMENT FROM",C736)),ISNUMBER(SEARCH("JOE SAUNDERS",C736))),"Zelle from Joe Saunders",IF(AND(ISNUMBER(SEARCH("PAYMENT TO",C736)),ISNUMBER(SEARCH("JOE SAUNDERS",C736))),"Zelle to Joe Saunders",IF(OR(ISNUMBER(SEARCH("NEW ORLEANS",C736)),ISNUMBER(SEARCH("KENNER",C736)),ISNUMBER(SEARCH("HENRY HOWARD",C736)),ISNUMBER(SEARCH("MISS CLAUDIA",C736))),"Personal Travel - New Orleans",IF(AND(YEAR(B736)=2025,MONTH(B736)=4,OR(ISNUMBER(SEARCH("EXCHANGE RATE",C736)),ISNUMBER(SEARCH("EXCHG RTE",C736)))),"Personal Travel - Italy",IFERROR(INDEX('Category Rules'!$B$2:$B$358,MATCH(TRUE,ISNUMBER(SEARCH('Category Rules'!$A$2:$A$358,C736)),0)),""))))))))</f>
        <v>Transfer to Ava</v>
      </c>
    </row>
    <row r="737" spans="1:7" x14ac:dyDescent="0.25">
      <c r="A737" t="s">
        <v>6</v>
      </c>
      <c r="B737" s="1">
        <v>45919</v>
      </c>
      <c r="C737" t="s">
        <v>685</v>
      </c>
      <c r="D737">
        <v>-100</v>
      </c>
      <c r="E737" t="s">
        <v>39</v>
      </c>
      <c r="F737">
        <v>3998.63</v>
      </c>
      <c r="G737" t="str" cm="1">
        <f t="array" ref="G737">IF(AND(ISNUMBER(SEARCH("UBER",C737)),ISNUMBER(SEARCH("EATS",C737))),"Uber Eats",IF(LEFT(C737,6)="CHECK ","Checks Paid",IF(OR(E737="BILLPAY",ISNUMBER(SEARCH("FRANCHISE TAX",C737)),ISNUMBER(SEARCH("NEXTLINK",C737))),"Personal - House Bills",IF(AND(ISNUMBER(SEARCH("PAYMENT FROM",C737)),ISNUMBER(SEARCH("JOE SAUNDERS",C737))),"Zelle from Joe Saunders",IF(AND(ISNUMBER(SEARCH("PAYMENT TO",C737)),ISNUMBER(SEARCH("JOE SAUNDERS",C737))),"Zelle to Joe Saunders",IF(OR(ISNUMBER(SEARCH("NEW ORLEANS",C737)),ISNUMBER(SEARCH("KENNER",C737)),ISNUMBER(SEARCH("HENRY HOWARD",C737)),ISNUMBER(SEARCH("MISS CLAUDIA",C737))),"Personal Travel - New Orleans",IF(AND(YEAR(B737)=2025,MONTH(B737)=4,OR(ISNUMBER(SEARCH("EXCHANGE RATE",C737)),ISNUMBER(SEARCH("EXCHG RTE",C737)))),"Personal Travel - Italy",IFERROR(INDEX('Category Rules'!$B$2:$B$358,MATCH(TRUE,ISNUMBER(SEARCH('Category Rules'!$A$2:$A$358,C737)),0)),""))))))))</f>
        <v>Zelle to Jeff Seider</v>
      </c>
    </row>
    <row r="738" spans="1:7" x14ac:dyDescent="0.25">
      <c r="A738" t="s">
        <v>6</v>
      </c>
      <c r="B738" s="1">
        <v>45919</v>
      </c>
      <c r="C738" t="s">
        <v>686</v>
      </c>
      <c r="D738">
        <v>-51.36</v>
      </c>
      <c r="E738" t="s">
        <v>10</v>
      </c>
      <c r="F738">
        <v>4098.63</v>
      </c>
      <c r="G738" t="str" cm="1">
        <f t="array" ref="G738">IF(AND(ISNUMBER(SEARCH("UBER",C738)),ISNUMBER(SEARCH("EATS",C738))),"Uber Eats",IF(LEFT(C738,6)="CHECK ","Checks Paid",IF(OR(E738="BILLPAY",ISNUMBER(SEARCH("FRANCHISE TAX",C738)),ISNUMBER(SEARCH("NEXTLINK",C738))),"Personal - House Bills",IF(AND(ISNUMBER(SEARCH("PAYMENT FROM",C738)),ISNUMBER(SEARCH("JOE SAUNDERS",C738))),"Zelle from Joe Saunders",IF(AND(ISNUMBER(SEARCH("PAYMENT TO",C738)),ISNUMBER(SEARCH("JOE SAUNDERS",C738))),"Zelle to Joe Saunders",IF(OR(ISNUMBER(SEARCH("NEW ORLEANS",C738)),ISNUMBER(SEARCH("KENNER",C738)),ISNUMBER(SEARCH("HENRY HOWARD",C738)),ISNUMBER(SEARCH("MISS CLAUDIA",C738))),"Personal Travel - New Orleans",IF(AND(YEAR(B738)=2025,MONTH(B738)=4,OR(ISNUMBER(SEARCH("EXCHANGE RATE",C738)),ISNUMBER(SEARCH("EXCHG RTE",C738)))),"Personal Travel - Italy",IFERROR(INDEX('Category Rules'!$B$2:$B$358,MATCH(TRUE,ISNUMBER(SEARCH('Category Rules'!$A$2:$A$358,C738)),0)),""))))))))</f>
        <v>Personal - Entertainment</v>
      </c>
    </row>
    <row r="739" spans="1:7" x14ac:dyDescent="0.25">
      <c r="A739" t="s">
        <v>6</v>
      </c>
      <c r="B739" s="1">
        <v>45919</v>
      </c>
      <c r="C739" t="s">
        <v>687</v>
      </c>
      <c r="D739">
        <v>-561.26</v>
      </c>
      <c r="E739" t="s">
        <v>10</v>
      </c>
      <c r="F739">
        <v>4149.99</v>
      </c>
      <c r="G739" t="str" cm="1">
        <f t="array" ref="G739">IF(AND(ISNUMBER(SEARCH("UBER",C739)),ISNUMBER(SEARCH("EATS",C739))),"Uber Eats",IF(LEFT(C739,6)="CHECK ","Checks Paid",IF(OR(E739="BILLPAY",ISNUMBER(SEARCH("FRANCHISE TAX",C739)),ISNUMBER(SEARCH("NEXTLINK",C739))),"Personal - House Bills",IF(AND(ISNUMBER(SEARCH("PAYMENT FROM",C739)),ISNUMBER(SEARCH("JOE SAUNDERS",C739))),"Zelle from Joe Saunders",IF(AND(ISNUMBER(SEARCH("PAYMENT TO",C739)),ISNUMBER(SEARCH("JOE SAUNDERS",C739))),"Zelle to Joe Saunders",IF(OR(ISNUMBER(SEARCH("NEW ORLEANS",C739)),ISNUMBER(SEARCH("KENNER",C739)),ISNUMBER(SEARCH("HENRY HOWARD",C739)),ISNUMBER(SEARCH("MISS CLAUDIA",C739))),"Personal Travel - New Orleans",IF(AND(YEAR(B739)=2025,MONTH(B739)=4,OR(ISNUMBER(SEARCH("EXCHANGE RATE",C739)),ISNUMBER(SEARCH("EXCHG RTE",C739)))),"Personal Travel - Italy",IFERROR(INDEX('Category Rules'!$B$2:$B$358,MATCH(TRUE,ISNUMBER(SEARCH('Category Rules'!$A$2:$A$358,C739)),0)),""))))))))</f>
        <v>Personal - Clothing</v>
      </c>
    </row>
    <row r="740" spans="1:7" x14ac:dyDescent="0.25">
      <c r="A740" t="s">
        <v>6</v>
      </c>
      <c r="B740" s="1">
        <v>45919</v>
      </c>
      <c r="C740" t="s">
        <v>688</v>
      </c>
      <c r="D740">
        <v>-30.68</v>
      </c>
      <c r="E740" t="s">
        <v>10</v>
      </c>
      <c r="F740">
        <v>4711.25</v>
      </c>
      <c r="G740" t="str" cm="1">
        <f t="array" ref="G740">IF(AND(ISNUMBER(SEARCH("UBER",C740)),ISNUMBER(SEARCH("EATS",C740))),"Uber Eats",IF(LEFT(C740,6)="CHECK ","Checks Paid",IF(OR(E740="BILLPAY",ISNUMBER(SEARCH("FRANCHISE TAX",C740)),ISNUMBER(SEARCH("NEXTLINK",C740))),"Personal - House Bills",IF(AND(ISNUMBER(SEARCH("PAYMENT FROM",C740)),ISNUMBER(SEARCH("JOE SAUNDERS",C740))),"Zelle from Joe Saunders",IF(AND(ISNUMBER(SEARCH("PAYMENT TO",C740)),ISNUMBER(SEARCH("JOE SAUNDERS",C740))),"Zelle to Joe Saunders",IF(OR(ISNUMBER(SEARCH("NEW ORLEANS",C740)),ISNUMBER(SEARCH("KENNER",C740)),ISNUMBER(SEARCH("HENRY HOWARD",C740)),ISNUMBER(SEARCH("MISS CLAUDIA",C740))),"Personal Travel - New Orleans",IF(AND(YEAR(B740)=2025,MONTH(B740)=4,OR(ISNUMBER(SEARCH("EXCHANGE RATE",C740)),ISNUMBER(SEARCH("EXCHG RTE",C740)))),"Personal Travel - Italy",IFERROR(INDEX('Category Rules'!$B$2:$B$358,MATCH(TRUE,ISNUMBER(SEARCH('Category Rules'!$A$2:$A$358,C740)),0)),""))))))))</f>
        <v>Amazon</v>
      </c>
    </row>
    <row r="741" spans="1:7" x14ac:dyDescent="0.25">
      <c r="A741" t="s">
        <v>6</v>
      </c>
      <c r="B741" s="1">
        <v>45919</v>
      </c>
      <c r="C741" t="s">
        <v>689</v>
      </c>
      <c r="D741">
        <v>-95.98</v>
      </c>
      <c r="E741" t="s">
        <v>10</v>
      </c>
      <c r="F741">
        <v>4741.93</v>
      </c>
      <c r="G741" t="str" cm="1">
        <f t="array" ref="G741">IF(AND(ISNUMBER(SEARCH("UBER",C741)),ISNUMBER(SEARCH("EATS",C741))),"Uber Eats",IF(LEFT(C741,6)="CHECK ","Checks Paid",IF(OR(E741="BILLPAY",ISNUMBER(SEARCH("FRANCHISE TAX",C741)),ISNUMBER(SEARCH("NEXTLINK",C741))),"Personal - House Bills",IF(AND(ISNUMBER(SEARCH("PAYMENT FROM",C741)),ISNUMBER(SEARCH("JOE SAUNDERS",C741))),"Zelle from Joe Saunders",IF(AND(ISNUMBER(SEARCH("PAYMENT TO",C741)),ISNUMBER(SEARCH("JOE SAUNDERS",C741))),"Zelle to Joe Saunders",IF(OR(ISNUMBER(SEARCH("NEW ORLEANS",C741)),ISNUMBER(SEARCH("KENNER",C741)),ISNUMBER(SEARCH("HENRY HOWARD",C741)),ISNUMBER(SEARCH("MISS CLAUDIA",C741))),"Personal Travel - New Orleans",IF(AND(YEAR(B741)=2025,MONTH(B741)=4,OR(ISNUMBER(SEARCH("EXCHANGE RATE",C741)),ISNUMBER(SEARCH("EXCHG RTE",C741)))),"Personal Travel - Italy",IFERROR(INDEX('Category Rules'!$B$2:$B$358,MATCH(TRUE,ISNUMBER(SEARCH('Category Rules'!$A$2:$A$358,C741)),0)),""))))))))</f>
        <v>Amazon</v>
      </c>
    </row>
    <row r="742" spans="1:7" x14ac:dyDescent="0.25">
      <c r="A742" t="s">
        <v>6</v>
      </c>
      <c r="B742" s="1">
        <v>45918</v>
      </c>
      <c r="C742" t="s">
        <v>690</v>
      </c>
      <c r="D742">
        <v>-62.61</v>
      </c>
      <c r="E742" t="s">
        <v>10</v>
      </c>
      <c r="F742">
        <v>4837.91</v>
      </c>
      <c r="G742" t="str" cm="1">
        <f t="array" ref="G742">IF(AND(ISNUMBER(SEARCH("UBER",C742)),ISNUMBER(SEARCH("EATS",C742))),"Uber Eats",IF(LEFT(C742,6)="CHECK ","Checks Paid",IF(OR(E742="BILLPAY",ISNUMBER(SEARCH("FRANCHISE TAX",C742)),ISNUMBER(SEARCH("NEXTLINK",C742))),"Personal - House Bills",IF(AND(ISNUMBER(SEARCH("PAYMENT FROM",C742)),ISNUMBER(SEARCH("JOE SAUNDERS",C742))),"Zelle from Joe Saunders",IF(AND(ISNUMBER(SEARCH("PAYMENT TO",C742)),ISNUMBER(SEARCH("JOE SAUNDERS",C742))),"Zelle to Joe Saunders",IF(OR(ISNUMBER(SEARCH("NEW ORLEANS",C742)),ISNUMBER(SEARCH("KENNER",C742)),ISNUMBER(SEARCH("HENRY HOWARD",C742)),ISNUMBER(SEARCH("MISS CLAUDIA",C742))),"Personal Travel - New Orleans",IF(AND(YEAR(B742)=2025,MONTH(B742)=4,OR(ISNUMBER(SEARCH("EXCHANGE RATE",C742)),ISNUMBER(SEARCH("EXCHG RTE",C742)))),"Personal Travel - Italy",IFERROR(INDEX('Category Rules'!$B$2:$B$358,MATCH(TRUE,ISNUMBER(SEARCH('Category Rules'!$A$2:$A$358,C742)),0)),""))))))))</f>
        <v>Uber Eats</v>
      </c>
    </row>
    <row r="743" spans="1:7" x14ac:dyDescent="0.25">
      <c r="A743" t="s">
        <v>6</v>
      </c>
      <c r="B743" s="1">
        <v>45918</v>
      </c>
      <c r="C743" t="s">
        <v>691</v>
      </c>
      <c r="D743">
        <v>-63.89</v>
      </c>
      <c r="E743" t="s">
        <v>10</v>
      </c>
      <c r="F743">
        <v>4900.5200000000004</v>
      </c>
      <c r="G743" t="str" cm="1">
        <f t="array" ref="G743">IF(AND(ISNUMBER(SEARCH("UBER",C743)),ISNUMBER(SEARCH("EATS",C743))),"Uber Eats",IF(LEFT(C743,6)="CHECK ","Checks Paid",IF(OR(E743="BILLPAY",ISNUMBER(SEARCH("FRANCHISE TAX",C743)),ISNUMBER(SEARCH("NEXTLINK",C743))),"Personal - House Bills",IF(AND(ISNUMBER(SEARCH("PAYMENT FROM",C743)),ISNUMBER(SEARCH("JOE SAUNDERS",C743))),"Zelle from Joe Saunders",IF(AND(ISNUMBER(SEARCH("PAYMENT TO",C743)),ISNUMBER(SEARCH("JOE SAUNDERS",C743))),"Zelle to Joe Saunders",IF(OR(ISNUMBER(SEARCH("NEW ORLEANS",C743)),ISNUMBER(SEARCH("KENNER",C743)),ISNUMBER(SEARCH("HENRY HOWARD",C743)),ISNUMBER(SEARCH("MISS CLAUDIA",C743))),"Personal Travel - New Orleans",IF(AND(YEAR(B743)=2025,MONTH(B743)=4,OR(ISNUMBER(SEARCH("EXCHANGE RATE",C743)),ISNUMBER(SEARCH("EXCHG RTE",C743)))),"Personal Travel - Italy",IFERROR(INDEX('Category Rules'!$B$2:$B$358,MATCH(TRUE,ISNUMBER(SEARCH('Category Rules'!$A$2:$A$358,C743)),0)),""))))))))</f>
        <v>Amazon</v>
      </c>
    </row>
    <row r="744" spans="1:7" x14ac:dyDescent="0.25">
      <c r="A744" t="s">
        <v>6</v>
      </c>
      <c r="B744" s="1">
        <v>45918</v>
      </c>
      <c r="C744" t="s">
        <v>692</v>
      </c>
      <c r="D744">
        <v>-30.1</v>
      </c>
      <c r="E744" t="s">
        <v>10</v>
      </c>
      <c r="F744">
        <v>4964.41</v>
      </c>
      <c r="G744" t="str" cm="1">
        <f t="array" ref="G744">IF(AND(ISNUMBER(SEARCH("UBER",C744)),ISNUMBER(SEARCH("EATS",C744))),"Uber Eats",IF(LEFT(C744,6)="CHECK ","Checks Paid",IF(OR(E744="BILLPAY",ISNUMBER(SEARCH("FRANCHISE TAX",C744)),ISNUMBER(SEARCH("NEXTLINK",C744))),"Personal - House Bills",IF(AND(ISNUMBER(SEARCH("PAYMENT FROM",C744)),ISNUMBER(SEARCH("JOE SAUNDERS",C744))),"Zelle from Joe Saunders",IF(AND(ISNUMBER(SEARCH("PAYMENT TO",C744)),ISNUMBER(SEARCH("JOE SAUNDERS",C744))),"Zelle to Joe Saunders",IF(OR(ISNUMBER(SEARCH("NEW ORLEANS",C744)),ISNUMBER(SEARCH("KENNER",C744)),ISNUMBER(SEARCH("HENRY HOWARD",C744)),ISNUMBER(SEARCH("MISS CLAUDIA",C744))),"Personal Travel - New Orleans",IF(AND(YEAR(B744)=2025,MONTH(B744)=4,OR(ISNUMBER(SEARCH("EXCHANGE RATE",C744)),ISNUMBER(SEARCH("EXCHG RTE",C744)))),"Personal Travel - Italy",IFERROR(INDEX('Category Rules'!$B$2:$B$358,MATCH(TRUE,ISNUMBER(SEARCH('Category Rules'!$A$2:$A$358,C744)),0)),""))))))))</f>
        <v>Personal - Clothing</v>
      </c>
    </row>
    <row r="745" spans="1:7" x14ac:dyDescent="0.25">
      <c r="A745" t="s">
        <v>6</v>
      </c>
      <c r="B745" s="1">
        <v>45918</v>
      </c>
      <c r="C745" t="s">
        <v>693</v>
      </c>
      <c r="D745">
        <v>-30</v>
      </c>
      <c r="E745" t="s">
        <v>10</v>
      </c>
      <c r="F745">
        <v>4994.51</v>
      </c>
      <c r="G745" t="str" cm="1">
        <f t="array" ref="G745">IF(AND(ISNUMBER(SEARCH("UBER",C745)),ISNUMBER(SEARCH("EATS",C745))),"Uber Eats",IF(LEFT(C745,6)="CHECK ","Checks Paid",IF(OR(E745="BILLPAY",ISNUMBER(SEARCH("FRANCHISE TAX",C745)),ISNUMBER(SEARCH("NEXTLINK",C745))),"Personal - House Bills",IF(AND(ISNUMBER(SEARCH("PAYMENT FROM",C745)),ISNUMBER(SEARCH("JOE SAUNDERS",C745))),"Zelle from Joe Saunders",IF(AND(ISNUMBER(SEARCH("PAYMENT TO",C745)),ISNUMBER(SEARCH("JOE SAUNDERS",C745))),"Zelle to Joe Saunders",IF(OR(ISNUMBER(SEARCH("NEW ORLEANS",C745)),ISNUMBER(SEARCH("KENNER",C745)),ISNUMBER(SEARCH("HENRY HOWARD",C745)),ISNUMBER(SEARCH("MISS CLAUDIA",C745))),"Personal Travel - New Orleans",IF(AND(YEAR(B745)=2025,MONTH(B745)=4,OR(ISNUMBER(SEARCH("EXCHANGE RATE",C745)),ISNUMBER(SEARCH("EXCHG RTE",C745)))),"Personal Travel - Italy",IFERROR(INDEX('Category Rules'!$B$2:$B$358,MATCH(TRUE,ISNUMBER(SEARCH('Category Rules'!$A$2:$A$358,C745)),0)),""))))))))</f>
        <v>Personal - Subscription</v>
      </c>
    </row>
    <row r="746" spans="1:7" x14ac:dyDescent="0.25">
      <c r="A746" t="s">
        <v>6</v>
      </c>
      <c r="B746" s="1">
        <v>45918</v>
      </c>
      <c r="C746" t="s">
        <v>694</v>
      </c>
      <c r="D746">
        <v>-139.94999999999999</v>
      </c>
      <c r="E746" t="s">
        <v>10</v>
      </c>
      <c r="F746">
        <v>5024.51</v>
      </c>
      <c r="G746" t="str" cm="1">
        <f t="array" ref="G746">IF(AND(ISNUMBER(SEARCH("UBER",C746)),ISNUMBER(SEARCH("EATS",C746))),"Uber Eats",IF(LEFT(C746,6)="CHECK ","Checks Paid",IF(OR(E746="BILLPAY",ISNUMBER(SEARCH("FRANCHISE TAX",C746)),ISNUMBER(SEARCH("NEXTLINK",C746))),"Personal - House Bills",IF(AND(ISNUMBER(SEARCH("PAYMENT FROM",C746)),ISNUMBER(SEARCH("JOE SAUNDERS",C746))),"Zelle from Joe Saunders",IF(AND(ISNUMBER(SEARCH("PAYMENT TO",C746)),ISNUMBER(SEARCH("JOE SAUNDERS",C746))),"Zelle to Joe Saunders",IF(OR(ISNUMBER(SEARCH("NEW ORLEANS",C746)),ISNUMBER(SEARCH("KENNER",C746)),ISNUMBER(SEARCH("HENRY HOWARD",C746)),ISNUMBER(SEARCH("MISS CLAUDIA",C746))),"Personal Travel - New Orleans",IF(AND(YEAR(B746)=2025,MONTH(B746)=4,OR(ISNUMBER(SEARCH("EXCHANGE RATE",C746)),ISNUMBER(SEARCH("EXCHG RTE",C746)))),"Personal Travel - Italy",IFERROR(INDEX('Category Rules'!$B$2:$B$358,MATCH(TRUE,ISNUMBER(SEARCH('Category Rules'!$A$2:$A$358,C746)),0)),""))))))))</f>
        <v>Personal - Subscription</v>
      </c>
    </row>
    <row r="747" spans="1:7" x14ac:dyDescent="0.25">
      <c r="A747" t="s">
        <v>6</v>
      </c>
      <c r="B747" s="1">
        <v>45918</v>
      </c>
      <c r="C747" t="s">
        <v>695</v>
      </c>
      <c r="D747">
        <v>-400.17</v>
      </c>
      <c r="E747" t="s">
        <v>10</v>
      </c>
      <c r="F747">
        <v>5164.46</v>
      </c>
      <c r="G747" t="str" cm="1">
        <f t="array" ref="G747">IF(AND(ISNUMBER(SEARCH("UBER",C747)),ISNUMBER(SEARCH("EATS",C747))),"Uber Eats",IF(LEFT(C747,6)="CHECK ","Checks Paid",IF(OR(E747="BILLPAY",ISNUMBER(SEARCH("FRANCHISE TAX",C747)),ISNUMBER(SEARCH("NEXTLINK",C747))),"Personal - House Bills",IF(AND(ISNUMBER(SEARCH("PAYMENT FROM",C747)),ISNUMBER(SEARCH("JOE SAUNDERS",C747))),"Zelle from Joe Saunders",IF(AND(ISNUMBER(SEARCH("PAYMENT TO",C747)),ISNUMBER(SEARCH("JOE SAUNDERS",C747))),"Zelle to Joe Saunders",IF(OR(ISNUMBER(SEARCH("NEW ORLEANS",C747)),ISNUMBER(SEARCH("KENNER",C747)),ISNUMBER(SEARCH("HENRY HOWARD",C747)),ISNUMBER(SEARCH("MISS CLAUDIA",C747))),"Personal Travel - New Orleans",IF(AND(YEAR(B747)=2025,MONTH(B747)=4,OR(ISNUMBER(SEARCH("EXCHANGE RATE",C747)),ISNUMBER(SEARCH("EXCHG RTE",C747)))),"Personal Travel - Italy",IFERROR(INDEX('Category Rules'!$B$2:$B$358,MATCH(TRUE,ISNUMBER(SEARCH('Category Rules'!$A$2:$A$358,C747)),0)),""))))))))</f>
        <v>Personal - Shopping</v>
      </c>
    </row>
    <row r="748" spans="1:7" x14ac:dyDescent="0.25">
      <c r="A748" t="s">
        <v>6</v>
      </c>
      <c r="B748" s="1">
        <v>45918</v>
      </c>
      <c r="C748" t="s">
        <v>695</v>
      </c>
      <c r="D748">
        <v>-82.12</v>
      </c>
      <c r="E748" t="s">
        <v>10</v>
      </c>
      <c r="F748">
        <v>5564.63</v>
      </c>
      <c r="G748" t="str" cm="1">
        <f t="array" ref="G748">IF(AND(ISNUMBER(SEARCH("UBER",C748)),ISNUMBER(SEARCH("EATS",C748))),"Uber Eats",IF(LEFT(C748,6)="CHECK ","Checks Paid",IF(OR(E748="BILLPAY",ISNUMBER(SEARCH("FRANCHISE TAX",C748)),ISNUMBER(SEARCH("NEXTLINK",C748))),"Personal - House Bills",IF(AND(ISNUMBER(SEARCH("PAYMENT FROM",C748)),ISNUMBER(SEARCH("JOE SAUNDERS",C748))),"Zelle from Joe Saunders",IF(AND(ISNUMBER(SEARCH("PAYMENT TO",C748)),ISNUMBER(SEARCH("JOE SAUNDERS",C748))),"Zelle to Joe Saunders",IF(OR(ISNUMBER(SEARCH("NEW ORLEANS",C748)),ISNUMBER(SEARCH("KENNER",C748)),ISNUMBER(SEARCH("HENRY HOWARD",C748)),ISNUMBER(SEARCH("MISS CLAUDIA",C748))),"Personal Travel - New Orleans",IF(AND(YEAR(B748)=2025,MONTH(B748)=4,OR(ISNUMBER(SEARCH("EXCHANGE RATE",C748)),ISNUMBER(SEARCH("EXCHG RTE",C748)))),"Personal Travel - Italy",IFERROR(INDEX('Category Rules'!$B$2:$B$358,MATCH(TRUE,ISNUMBER(SEARCH('Category Rules'!$A$2:$A$358,C748)),0)),""))))))))</f>
        <v>Personal - Shopping</v>
      </c>
    </row>
    <row r="749" spans="1:7" x14ac:dyDescent="0.25">
      <c r="A749" t="s">
        <v>44</v>
      </c>
      <c r="B749" s="1">
        <v>45918</v>
      </c>
      <c r="C749" t="s">
        <v>696</v>
      </c>
      <c r="D749">
        <v>2000</v>
      </c>
      <c r="E749" t="s">
        <v>73</v>
      </c>
      <c r="F749">
        <v>5646.75</v>
      </c>
      <c r="G749" t="str" cm="1">
        <f t="array" ref="G749">IF(AND(ISNUMBER(SEARCH("UBER",C749)),ISNUMBER(SEARCH("EATS",C749))),"Uber Eats",IF(LEFT(C749,6)="CHECK ","Checks Paid",IF(OR(E749="BILLPAY",ISNUMBER(SEARCH("FRANCHISE TAX",C749)),ISNUMBER(SEARCH("NEXTLINK",C749))),"Personal - House Bills",IF(AND(ISNUMBER(SEARCH("PAYMENT FROM",C749)),ISNUMBER(SEARCH("JOE SAUNDERS",C749))),"Zelle from Joe Saunders",IF(AND(ISNUMBER(SEARCH("PAYMENT TO",C749)),ISNUMBER(SEARCH("JOE SAUNDERS",C749))),"Zelle to Joe Saunders",IF(OR(ISNUMBER(SEARCH("NEW ORLEANS",C749)),ISNUMBER(SEARCH("KENNER",C749)),ISNUMBER(SEARCH("HENRY HOWARD",C749)),ISNUMBER(SEARCH("MISS CLAUDIA",C749))),"Personal Travel - New Orleans",IF(AND(YEAR(B749)=2025,MONTH(B749)=4,OR(ISNUMBER(SEARCH("EXCHANGE RATE",C749)),ISNUMBER(SEARCH("EXCHG RTE",C749)))),"Personal Travel - Italy",IFERROR(INDEX('Category Rules'!$B$2:$B$358,MATCH(TRUE,ISNUMBER(SEARCH('Category Rules'!$A$2:$A$358,C749)),0)),""))))))))</f>
        <v>Transfer from DWG Capital Group</v>
      </c>
    </row>
    <row r="750" spans="1:7" x14ac:dyDescent="0.25">
      <c r="A750" t="s">
        <v>6</v>
      </c>
      <c r="B750" s="1">
        <v>45917</v>
      </c>
      <c r="C750" t="s">
        <v>697</v>
      </c>
      <c r="D750">
        <v>-98.74</v>
      </c>
      <c r="E750" t="s">
        <v>10</v>
      </c>
      <c r="F750">
        <v>3646.75</v>
      </c>
      <c r="G750" t="str" cm="1">
        <f t="array" ref="G750">IF(AND(ISNUMBER(SEARCH("UBER",C750)),ISNUMBER(SEARCH("EATS",C750))),"Uber Eats",IF(LEFT(C750,6)="CHECK ","Checks Paid",IF(OR(E750="BILLPAY",ISNUMBER(SEARCH("FRANCHISE TAX",C750)),ISNUMBER(SEARCH("NEXTLINK",C750))),"Personal - House Bills",IF(AND(ISNUMBER(SEARCH("PAYMENT FROM",C750)),ISNUMBER(SEARCH("JOE SAUNDERS",C750))),"Zelle from Joe Saunders",IF(AND(ISNUMBER(SEARCH("PAYMENT TO",C750)),ISNUMBER(SEARCH("JOE SAUNDERS",C750))),"Zelle to Joe Saunders",IF(OR(ISNUMBER(SEARCH("NEW ORLEANS",C750)),ISNUMBER(SEARCH("KENNER",C750)),ISNUMBER(SEARCH("HENRY HOWARD",C750)),ISNUMBER(SEARCH("MISS CLAUDIA",C750))),"Personal Travel - New Orleans",IF(AND(YEAR(B750)=2025,MONTH(B750)=4,OR(ISNUMBER(SEARCH("EXCHANGE RATE",C750)),ISNUMBER(SEARCH("EXCHG RTE",C750)))),"Personal Travel - Italy",IFERROR(INDEX('Category Rules'!$B$2:$B$358,MATCH(TRUE,ISNUMBER(SEARCH('Category Rules'!$A$2:$A$358,C750)),0)),""))))))))</f>
        <v>Personal - Health</v>
      </c>
    </row>
    <row r="751" spans="1:7" x14ac:dyDescent="0.25">
      <c r="A751" t="s">
        <v>6</v>
      </c>
      <c r="B751" s="1">
        <v>45917</v>
      </c>
      <c r="C751" t="s">
        <v>698</v>
      </c>
      <c r="D751">
        <v>-500</v>
      </c>
      <c r="E751" t="s">
        <v>26</v>
      </c>
      <c r="F751">
        <v>3745.49</v>
      </c>
      <c r="G751" t="str" cm="1">
        <f t="array" ref="G751">IF(AND(ISNUMBER(SEARCH("UBER",C751)),ISNUMBER(SEARCH("EATS",C751))),"Uber Eats",IF(LEFT(C751,6)="CHECK ","Checks Paid",IF(OR(E751="BILLPAY",ISNUMBER(SEARCH("FRANCHISE TAX",C751)),ISNUMBER(SEARCH("NEXTLINK",C751))),"Personal - House Bills",IF(AND(ISNUMBER(SEARCH("PAYMENT FROM",C751)),ISNUMBER(SEARCH("JOE SAUNDERS",C751))),"Zelle from Joe Saunders",IF(AND(ISNUMBER(SEARCH("PAYMENT TO",C751)),ISNUMBER(SEARCH("JOE SAUNDERS",C751))),"Zelle to Joe Saunders",IF(OR(ISNUMBER(SEARCH("NEW ORLEANS",C751)),ISNUMBER(SEARCH("KENNER",C751)),ISNUMBER(SEARCH("HENRY HOWARD",C751)),ISNUMBER(SEARCH("MISS CLAUDIA",C751))),"Personal Travel - New Orleans",IF(AND(YEAR(B751)=2025,MONTH(B751)=4,OR(ISNUMBER(SEARCH("EXCHANGE RATE",C751)),ISNUMBER(SEARCH("EXCHG RTE",C751)))),"Personal Travel - Italy",IFERROR(INDEX('Category Rules'!$B$2:$B$358,MATCH(TRUE,ISNUMBER(SEARCH('Category Rules'!$A$2:$A$358,C751)),0)),""))))))))</f>
        <v>Withdrawal</v>
      </c>
    </row>
    <row r="752" spans="1:7" x14ac:dyDescent="0.25">
      <c r="A752" t="s">
        <v>6</v>
      </c>
      <c r="B752" s="1">
        <v>45917</v>
      </c>
      <c r="C752" t="s">
        <v>699</v>
      </c>
      <c r="D752">
        <v>-34.880000000000003</v>
      </c>
      <c r="E752" t="s">
        <v>10</v>
      </c>
      <c r="F752">
        <v>4245.49</v>
      </c>
      <c r="G752" t="str" cm="1">
        <f t="array" ref="G752">IF(AND(ISNUMBER(SEARCH("UBER",C752)),ISNUMBER(SEARCH("EATS",C752))),"Uber Eats",IF(LEFT(C752,6)="CHECK ","Checks Paid",IF(OR(E752="BILLPAY",ISNUMBER(SEARCH("FRANCHISE TAX",C752)),ISNUMBER(SEARCH("NEXTLINK",C752))),"Personal - House Bills",IF(AND(ISNUMBER(SEARCH("PAYMENT FROM",C752)),ISNUMBER(SEARCH("JOE SAUNDERS",C752))),"Zelle from Joe Saunders",IF(AND(ISNUMBER(SEARCH("PAYMENT TO",C752)),ISNUMBER(SEARCH("JOE SAUNDERS",C752))),"Zelle to Joe Saunders",IF(OR(ISNUMBER(SEARCH("NEW ORLEANS",C752)),ISNUMBER(SEARCH("KENNER",C752)),ISNUMBER(SEARCH("HENRY HOWARD",C752)),ISNUMBER(SEARCH("MISS CLAUDIA",C752))),"Personal Travel - New Orleans",IF(AND(YEAR(B752)=2025,MONTH(B752)=4,OR(ISNUMBER(SEARCH("EXCHANGE RATE",C752)),ISNUMBER(SEARCH("EXCHG RTE",C752)))),"Personal Travel - Italy",IFERROR(INDEX('Category Rules'!$B$2:$B$358,MATCH(TRUE,ISNUMBER(SEARCH('Category Rules'!$A$2:$A$358,C752)),0)),""))))))))</f>
        <v>Uber Eats</v>
      </c>
    </row>
    <row r="753" spans="1:7" x14ac:dyDescent="0.25">
      <c r="A753" t="s">
        <v>6</v>
      </c>
      <c r="B753" s="1">
        <v>45917</v>
      </c>
      <c r="C753" t="s">
        <v>700</v>
      </c>
      <c r="D753">
        <v>-313.83999999999997</v>
      </c>
      <c r="E753" t="s">
        <v>10</v>
      </c>
      <c r="F753">
        <v>4280.37</v>
      </c>
      <c r="G753" t="str" cm="1">
        <f t="array" ref="G753">IF(AND(ISNUMBER(SEARCH("UBER",C753)),ISNUMBER(SEARCH("EATS",C753))),"Uber Eats",IF(LEFT(C753,6)="CHECK ","Checks Paid",IF(OR(E753="BILLPAY",ISNUMBER(SEARCH("FRANCHISE TAX",C753)),ISNUMBER(SEARCH("NEXTLINK",C753))),"Personal - House Bills",IF(AND(ISNUMBER(SEARCH("PAYMENT FROM",C753)),ISNUMBER(SEARCH("JOE SAUNDERS",C753))),"Zelle from Joe Saunders",IF(AND(ISNUMBER(SEARCH("PAYMENT TO",C753)),ISNUMBER(SEARCH("JOE SAUNDERS",C753))),"Zelle to Joe Saunders",IF(OR(ISNUMBER(SEARCH("NEW ORLEANS",C753)),ISNUMBER(SEARCH("KENNER",C753)),ISNUMBER(SEARCH("HENRY HOWARD",C753)),ISNUMBER(SEARCH("MISS CLAUDIA",C753))),"Personal Travel - New Orleans",IF(AND(YEAR(B753)=2025,MONTH(B753)=4,OR(ISNUMBER(SEARCH("EXCHANGE RATE",C753)),ISNUMBER(SEARCH("EXCHG RTE",C753)))),"Personal Travel - Italy",IFERROR(INDEX('Category Rules'!$B$2:$B$358,MATCH(TRUE,ISNUMBER(SEARCH('Category Rules'!$A$2:$A$358,C753)),0)),""))))))))</f>
        <v>Personal - Shopping</v>
      </c>
    </row>
    <row r="754" spans="1:7" x14ac:dyDescent="0.25">
      <c r="A754" t="s">
        <v>6</v>
      </c>
      <c r="B754" s="1">
        <v>45917</v>
      </c>
      <c r="C754" t="s">
        <v>701</v>
      </c>
      <c r="D754">
        <v>-419.18</v>
      </c>
      <c r="E754" t="s">
        <v>10</v>
      </c>
      <c r="F754">
        <v>4594.21</v>
      </c>
      <c r="G754" t="str" cm="1">
        <f t="array" ref="G754">IF(AND(ISNUMBER(SEARCH("UBER",C754)),ISNUMBER(SEARCH("EATS",C754))),"Uber Eats",IF(LEFT(C754,6)="CHECK ","Checks Paid",IF(OR(E754="BILLPAY",ISNUMBER(SEARCH("FRANCHISE TAX",C754)),ISNUMBER(SEARCH("NEXTLINK",C754))),"Personal - House Bills",IF(AND(ISNUMBER(SEARCH("PAYMENT FROM",C754)),ISNUMBER(SEARCH("JOE SAUNDERS",C754))),"Zelle from Joe Saunders",IF(AND(ISNUMBER(SEARCH("PAYMENT TO",C754)),ISNUMBER(SEARCH("JOE SAUNDERS",C754))),"Zelle to Joe Saunders",IF(OR(ISNUMBER(SEARCH("NEW ORLEANS",C754)),ISNUMBER(SEARCH("KENNER",C754)),ISNUMBER(SEARCH("HENRY HOWARD",C754)),ISNUMBER(SEARCH("MISS CLAUDIA",C754))),"Personal Travel - New Orleans",IF(AND(YEAR(B754)=2025,MONTH(B754)=4,OR(ISNUMBER(SEARCH("EXCHANGE RATE",C754)),ISNUMBER(SEARCH("EXCHG RTE",C754)))),"Personal Travel - Italy",IFERROR(INDEX('Category Rules'!$B$2:$B$358,MATCH(TRUE,ISNUMBER(SEARCH('Category Rules'!$A$2:$A$358,C754)),0)),""))))))))</f>
        <v>Personal Travel</v>
      </c>
    </row>
    <row r="755" spans="1:7" x14ac:dyDescent="0.25">
      <c r="A755" t="s">
        <v>6</v>
      </c>
      <c r="B755" s="1">
        <v>45917</v>
      </c>
      <c r="C755" t="s">
        <v>702</v>
      </c>
      <c r="D755">
        <v>-10.75</v>
      </c>
      <c r="E755" t="s">
        <v>10</v>
      </c>
      <c r="F755">
        <v>5013.3900000000003</v>
      </c>
      <c r="G755" t="str" cm="1">
        <f t="array" ref="G755">IF(AND(ISNUMBER(SEARCH("UBER",C755)),ISNUMBER(SEARCH("EATS",C755))),"Uber Eats",IF(LEFT(C755,6)="CHECK ","Checks Paid",IF(OR(E755="BILLPAY",ISNUMBER(SEARCH("FRANCHISE TAX",C755)),ISNUMBER(SEARCH("NEXTLINK",C755))),"Personal - House Bills",IF(AND(ISNUMBER(SEARCH("PAYMENT FROM",C755)),ISNUMBER(SEARCH("JOE SAUNDERS",C755))),"Zelle from Joe Saunders",IF(AND(ISNUMBER(SEARCH("PAYMENT TO",C755)),ISNUMBER(SEARCH("JOE SAUNDERS",C755))),"Zelle to Joe Saunders",IF(OR(ISNUMBER(SEARCH("NEW ORLEANS",C755)),ISNUMBER(SEARCH("KENNER",C755)),ISNUMBER(SEARCH("HENRY HOWARD",C755)),ISNUMBER(SEARCH("MISS CLAUDIA",C755))),"Personal Travel - New Orleans",IF(AND(YEAR(B755)=2025,MONTH(B755)=4,OR(ISNUMBER(SEARCH("EXCHANGE RATE",C755)),ISNUMBER(SEARCH("EXCHG RTE",C755)))),"Personal Travel - Italy",IFERROR(INDEX('Category Rules'!$B$2:$B$358,MATCH(TRUE,ISNUMBER(SEARCH('Category Rules'!$A$2:$A$358,C755)),0)),""))))))))</f>
        <v>Personal - Car</v>
      </c>
    </row>
    <row r="756" spans="1:7" x14ac:dyDescent="0.25">
      <c r="A756" t="s">
        <v>6</v>
      </c>
      <c r="B756" s="1">
        <v>45917</v>
      </c>
      <c r="C756" t="s">
        <v>703</v>
      </c>
      <c r="D756">
        <v>-174.51</v>
      </c>
      <c r="E756" t="s">
        <v>10</v>
      </c>
      <c r="F756">
        <v>5024.1400000000003</v>
      </c>
      <c r="G756" t="str" cm="1">
        <f t="array" ref="G756">IF(AND(ISNUMBER(SEARCH("UBER",C756)),ISNUMBER(SEARCH("EATS",C756))),"Uber Eats",IF(LEFT(C756,6)="CHECK ","Checks Paid",IF(OR(E756="BILLPAY",ISNUMBER(SEARCH("FRANCHISE TAX",C756)),ISNUMBER(SEARCH("NEXTLINK",C756))),"Personal - House Bills",IF(AND(ISNUMBER(SEARCH("PAYMENT FROM",C756)),ISNUMBER(SEARCH("JOE SAUNDERS",C756))),"Zelle from Joe Saunders",IF(AND(ISNUMBER(SEARCH("PAYMENT TO",C756)),ISNUMBER(SEARCH("JOE SAUNDERS",C756))),"Zelle to Joe Saunders",IF(OR(ISNUMBER(SEARCH("NEW ORLEANS",C756)),ISNUMBER(SEARCH("KENNER",C756)),ISNUMBER(SEARCH("HENRY HOWARD",C756)),ISNUMBER(SEARCH("MISS CLAUDIA",C756))),"Personal Travel - New Orleans",IF(AND(YEAR(B756)=2025,MONTH(B756)=4,OR(ISNUMBER(SEARCH("EXCHANGE RATE",C756)),ISNUMBER(SEARCH("EXCHG RTE",C756)))),"Personal Travel - Italy",IFERROR(INDEX('Category Rules'!$B$2:$B$358,MATCH(TRUE,ISNUMBER(SEARCH('Category Rules'!$A$2:$A$358,C756)),0)),""))))))))</f>
        <v>Amazon</v>
      </c>
    </row>
    <row r="757" spans="1:7" x14ac:dyDescent="0.25">
      <c r="A757" t="s">
        <v>6</v>
      </c>
      <c r="B757" s="1">
        <v>45917</v>
      </c>
      <c r="C757" t="s">
        <v>704</v>
      </c>
      <c r="D757">
        <v>-356.69</v>
      </c>
      <c r="E757" t="s">
        <v>10</v>
      </c>
      <c r="F757">
        <v>5198.6499999999996</v>
      </c>
      <c r="G757" t="str" cm="1">
        <f t="array" ref="G757">IF(AND(ISNUMBER(SEARCH("UBER",C757)),ISNUMBER(SEARCH("EATS",C757))),"Uber Eats",IF(LEFT(C757,6)="CHECK ","Checks Paid",IF(OR(E757="BILLPAY",ISNUMBER(SEARCH("FRANCHISE TAX",C757)),ISNUMBER(SEARCH("NEXTLINK",C757))),"Personal - House Bills",IF(AND(ISNUMBER(SEARCH("PAYMENT FROM",C757)),ISNUMBER(SEARCH("JOE SAUNDERS",C757))),"Zelle from Joe Saunders",IF(AND(ISNUMBER(SEARCH("PAYMENT TO",C757)),ISNUMBER(SEARCH("JOE SAUNDERS",C757))),"Zelle to Joe Saunders",IF(OR(ISNUMBER(SEARCH("NEW ORLEANS",C757)),ISNUMBER(SEARCH("KENNER",C757)),ISNUMBER(SEARCH("HENRY HOWARD",C757)),ISNUMBER(SEARCH("MISS CLAUDIA",C757))),"Personal Travel - New Orleans",IF(AND(YEAR(B757)=2025,MONTH(B757)=4,OR(ISNUMBER(SEARCH("EXCHANGE RATE",C757)),ISNUMBER(SEARCH("EXCHG RTE",C757)))),"Personal Travel - Italy",IFERROR(INDEX('Category Rules'!$B$2:$B$358,MATCH(TRUE,ISNUMBER(SEARCH('Category Rules'!$A$2:$A$358,C757)),0)),""))))))))</f>
        <v>Personal - Health</v>
      </c>
    </row>
    <row r="758" spans="1:7" x14ac:dyDescent="0.25">
      <c r="A758" t="s">
        <v>6</v>
      </c>
      <c r="B758" s="1">
        <v>45917</v>
      </c>
      <c r="C758" t="s">
        <v>705</v>
      </c>
      <c r="D758">
        <v>-201.89</v>
      </c>
      <c r="E758" t="s">
        <v>10</v>
      </c>
      <c r="F758">
        <v>5555.34</v>
      </c>
      <c r="G758" t="str" cm="1">
        <f t="array" ref="G758">IF(AND(ISNUMBER(SEARCH("UBER",C758)),ISNUMBER(SEARCH("EATS",C758))),"Uber Eats",IF(LEFT(C758,6)="CHECK ","Checks Paid",IF(OR(E758="BILLPAY",ISNUMBER(SEARCH("FRANCHISE TAX",C758)),ISNUMBER(SEARCH("NEXTLINK",C758))),"Personal - House Bills",IF(AND(ISNUMBER(SEARCH("PAYMENT FROM",C758)),ISNUMBER(SEARCH("JOE SAUNDERS",C758))),"Zelle from Joe Saunders",IF(AND(ISNUMBER(SEARCH("PAYMENT TO",C758)),ISNUMBER(SEARCH("JOE SAUNDERS",C758))),"Zelle to Joe Saunders",IF(OR(ISNUMBER(SEARCH("NEW ORLEANS",C758)),ISNUMBER(SEARCH("KENNER",C758)),ISNUMBER(SEARCH("HENRY HOWARD",C758)),ISNUMBER(SEARCH("MISS CLAUDIA",C758))),"Personal Travel - New Orleans",IF(AND(YEAR(B758)=2025,MONTH(B758)=4,OR(ISNUMBER(SEARCH("EXCHANGE RATE",C758)),ISNUMBER(SEARCH("EXCHG RTE",C758)))),"Personal Travel - Italy",IFERROR(INDEX('Category Rules'!$B$2:$B$358,MATCH(TRUE,ISNUMBER(SEARCH('Category Rules'!$A$2:$A$358,C758)),0)),""))))))))</f>
        <v>Personal - Shopping</v>
      </c>
    </row>
    <row r="759" spans="1:7" x14ac:dyDescent="0.25">
      <c r="A759" t="s">
        <v>6</v>
      </c>
      <c r="B759" s="1">
        <v>45917</v>
      </c>
      <c r="C759" t="s">
        <v>705</v>
      </c>
      <c r="D759">
        <v>-503.97</v>
      </c>
      <c r="E759" t="s">
        <v>10</v>
      </c>
      <c r="F759">
        <v>5757.23</v>
      </c>
      <c r="G759" t="str" cm="1">
        <f t="array" ref="G759">IF(AND(ISNUMBER(SEARCH("UBER",C759)),ISNUMBER(SEARCH("EATS",C759))),"Uber Eats",IF(LEFT(C759,6)="CHECK ","Checks Paid",IF(OR(E759="BILLPAY",ISNUMBER(SEARCH("FRANCHISE TAX",C759)),ISNUMBER(SEARCH("NEXTLINK",C759))),"Personal - House Bills",IF(AND(ISNUMBER(SEARCH("PAYMENT FROM",C759)),ISNUMBER(SEARCH("JOE SAUNDERS",C759))),"Zelle from Joe Saunders",IF(AND(ISNUMBER(SEARCH("PAYMENT TO",C759)),ISNUMBER(SEARCH("JOE SAUNDERS",C759))),"Zelle to Joe Saunders",IF(OR(ISNUMBER(SEARCH("NEW ORLEANS",C759)),ISNUMBER(SEARCH("KENNER",C759)),ISNUMBER(SEARCH("HENRY HOWARD",C759)),ISNUMBER(SEARCH("MISS CLAUDIA",C759))),"Personal Travel - New Orleans",IF(AND(YEAR(B759)=2025,MONTH(B759)=4,OR(ISNUMBER(SEARCH("EXCHANGE RATE",C759)),ISNUMBER(SEARCH("EXCHG RTE",C759)))),"Personal Travel - Italy",IFERROR(INDEX('Category Rules'!$B$2:$B$358,MATCH(TRUE,ISNUMBER(SEARCH('Category Rules'!$A$2:$A$358,C759)),0)),""))))))))</f>
        <v>Personal - Shopping</v>
      </c>
    </row>
    <row r="760" spans="1:7" x14ac:dyDescent="0.25">
      <c r="A760" t="s">
        <v>6</v>
      </c>
      <c r="B760" s="1">
        <v>45917</v>
      </c>
      <c r="C760" t="s">
        <v>705</v>
      </c>
      <c r="D760">
        <v>76.55</v>
      </c>
      <c r="E760" t="s">
        <v>10</v>
      </c>
      <c r="F760">
        <v>6261.2</v>
      </c>
      <c r="G760" t="str" cm="1">
        <f t="array" ref="G760">IF(AND(ISNUMBER(SEARCH("UBER",C760)),ISNUMBER(SEARCH("EATS",C760))),"Uber Eats",IF(LEFT(C760,6)="CHECK ","Checks Paid",IF(OR(E760="BILLPAY",ISNUMBER(SEARCH("FRANCHISE TAX",C760)),ISNUMBER(SEARCH("NEXTLINK",C760))),"Personal - House Bills",IF(AND(ISNUMBER(SEARCH("PAYMENT FROM",C760)),ISNUMBER(SEARCH("JOE SAUNDERS",C760))),"Zelle from Joe Saunders",IF(AND(ISNUMBER(SEARCH("PAYMENT TO",C760)),ISNUMBER(SEARCH("JOE SAUNDERS",C760))),"Zelle to Joe Saunders",IF(OR(ISNUMBER(SEARCH("NEW ORLEANS",C760)),ISNUMBER(SEARCH("KENNER",C760)),ISNUMBER(SEARCH("HENRY HOWARD",C760)),ISNUMBER(SEARCH("MISS CLAUDIA",C760))),"Personal Travel - New Orleans",IF(AND(YEAR(B760)=2025,MONTH(B760)=4,OR(ISNUMBER(SEARCH("EXCHANGE RATE",C760)),ISNUMBER(SEARCH("EXCHG RTE",C760)))),"Personal Travel - Italy",IFERROR(INDEX('Category Rules'!$B$2:$B$358,MATCH(TRUE,ISNUMBER(SEARCH('Category Rules'!$A$2:$A$358,C760)),0)),""))))))))</f>
        <v>Personal - Shopping</v>
      </c>
    </row>
    <row r="761" spans="1:7" x14ac:dyDescent="0.25">
      <c r="A761" t="s">
        <v>44</v>
      </c>
      <c r="B761" s="1">
        <v>45917</v>
      </c>
      <c r="C761" t="s">
        <v>706</v>
      </c>
      <c r="D761">
        <v>2532.8000000000002</v>
      </c>
      <c r="E761" t="s">
        <v>339</v>
      </c>
      <c r="F761">
        <v>6184.65</v>
      </c>
      <c r="G761" t="str" cm="1">
        <f t="array" ref="G761">IF(AND(ISNUMBER(SEARCH("UBER",C761)),ISNUMBER(SEARCH("EATS",C761))),"Uber Eats",IF(LEFT(C761,6)="CHECK ","Checks Paid",IF(OR(E761="BILLPAY",ISNUMBER(SEARCH("FRANCHISE TAX",C761)),ISNUMBER(SEARCH("NEXTLINK",C761))),"Personal - House Bills",IF(AND(ISNUMBER(SEARCH("PAYMENT FROM",C761)),ISNUMBER(SEARCH("JOE SAUNDERS",C761))),"Zelle from Joe Saunders",IF(AND(ISNUMBER(SEARCH("PAYMENT TO",C761)),ISNUMBER(SEARCH("JOE SAUNDERS",C761))),"Zelle to Joe Saunders",IF(OR(ISNUMBER(SEARCH("NEW ORLEANS",C761)),ISNUMBER(SEARCH("KENNER",C761)),ISNUMBER(SEARCH("HENRY HOWARD",C761)),ISNUMBER(SEARCH("MISS CLAUDIA",C761))),"Personal Travel - New Orleans",IF(AND(YEAR(B761)=2025,MONTH(B761)=4,OR(ISNUMBER(SEARCH("EXCHANGE RATE",C761)),ISNUMBER(SEARCH("EXCHG RTE",C761)))),"Personal Travel - Italy",IFERROR(INDEX('Category Rules'!$B$2:$B$358,MATCH(TRUE,ISNUMBER(SEARCH('Category Rules'!$A$2:$A$358,C761)),0)),""))))))))</f>
        <v>Deposit</v>
      </c>
    </row>
    <row r="762" spans="1:7" x14ac:dyDescent="0.25">
      <c r="A762" t="s">
        <v>6</v>
      </c>
      <c r="B762" s="1">
        <v>45916</v>
      </c>
      <c r="C762" t="s">
        <v>707</v>
      </c>
      <c r="D762">
        <v>-98.72</v>
      </c>
      <c r="E762" t="s">
        <v>10</v>
      </c>
      <c r="F762">
        <v>3651.85</v>
      </c>
      <c r="G762" t="str" cm="1">
        <f t="array" ref="G762">IF(AND(ISNUMBER(SEARCH("UBER",C762)),ISNUMBER(SEARCH("EATS",C762))),"Uber Eats",IF(LEFT(C762,6)="CHECK ","Checks Paid",IF(OR(E762="BILLPAY",ISNUMBER(SEARCH("FRANCHISE TAX",C762)),ISNUMBER(SEARCH("NEXTLINK",C762))),"Personal - House Bills",IF(AND(ISNUMBER(SEARCH("PAYMENT FROM",C762)),ISNUMBER(SEARCH("JOE SAUNDERS",C762))),"Zelle from Joe Saunders",IF(AND(ISNUMBER(SEARCH("PAYMENT TO",C762)),ISNUMBER(SEARCH("JOE SAUNDERS",C762))),"Zelle to Joe Saunders",IF(OR(ISNUMBER(SEARCH("NEW ORLEANS",C762)),ISNUMBER(SEARCH("KENNER",C762)),ISNUMBER(SEARCH("HENRY HOWARD",C762)),ISNUMBER(SEARCH("MISS CLAUDIA",C762))),"Personal Travel - New Orleans",IF(AND(YEAR(B762)=2025,MONTH(B762)=4,OR(ISNUMBER(SEARCH("EXCHANGE RATE",C762)),ISNUMBER(SEARCH("EXCHG RTE",C762)))),"Personal Travel - Italy",IFERROR(INDEX('Category Rules'!$B$2:$B$358,MATCH(TRUE,ISNUMBER(SEARCH('Category Rules'!$A$2:$A$358,C762)),0)),""))))))))</f>
        <v>Amazon</v>
      </c>
    </row>
    <row r="763" spans="1:7" x14ac:dyDescent="0.25">
      <c r="A763" t="s">
        <v>6</v>
      </c>
      <c r="B763" s="1">
        <v>45916</v>
      </c>
      <c r="C763" t="s">
        <v>708</v>
      </c>
      <c r="D763">
        <v>-115.2</v>
      </c>
      <c r="E763" t="s">
        <v>10</v>
      </c>
      <c r="F763">
        <v>3750.57</v>
      </c>
      <c r="G763" t="str" cm="1">
        <f t="array" ref="G763">IF(AND(ISNUMBER(SEARCH("UBER",C763)),ISNUMBER(SEARCH("EATS",C763))),"Uber Eats",IF(LEFT(C763,6)="CHECK ","Checks Paid",IF(OR(E763="BILLPAY",ISNUMBER(SEARCH("FRANCHISE TAX",C763)),ISNUMBER(SEARCH("NEXTLINK",C763))),"Personal - House Bills",IF(AND(ISNUMBER(SEARCH("PAYMENT FROM",C763)),ISNUMBER(SEARCH("JOE SAUNDERS",C763))),"Zelle from Joe Saunders",IF(AND(ISNUMBER(SEARCH("PAYMENT TO",C763)),ISNUMBER(SEARCH("JOE SAUNDERS",C763))),"Zelle to Joe Saunders",IF(OR(ISNUMBER(SEARCH("NEW ORLEANS",C763)),ISNUMBER(SEARCH("KENNER",C763)),ISNUMBER(SEARCH("HENRY HOWARD",C763)),ISNUMBER(SEARCH("MISS CLAUDIA",C763))),"Personal Travel - New Orleans",IF(AND(YEAR(B763)=2025,MONTH(B763)=4,OR(ISNUMBER(SEARCH("EXCHANGE RATE",C763)),ISNUMBER(SEARCH("EXCHG RTE",C763)))),"Personal Travel - Italy",IFERROR(INDEX('Category Rules'!$B$2:$B$358,MATCH(TRUE,ISNUMBER(SEARCH('Category Rules'!$A$2:$A$358,C763)),0)),""))))))))</f>
        <v>Personal - Entertainment</v>
      </c>
    </row>
    <row r="764" spans="1:7" x14ac:dyDescent="0.25">
      <c r="A764" t="s">
        <v>6</v>
      </c>
      <c r="B764" s="1">
        <v>45916</v>
      </c>
      <c r="C764" t="s">
        <v>709</v>
      </c>
      <c r="D764">
        <v>-85.99</v>
      </c>
      <c r="E764" t="s">
        <v>10</v>
      </c>
      <c r="F764">
        <v>3865.77</v>
      </c>
      <c r="G764" t="str" cm="1">
        <f t="array" ref="G764">IF(AND(ISNUMBER(SEARCH("UBER",C764)),ISNUMBER(SEARCH("EATS",C764))),"Uber Eats",IF(LEFT(C764,6)="CHECK ","Checks Paid",IF(OR(E764="BILLPAY",ISNUMBER(SEARCH("FRANCHISE TAX",C764)),ISNUMBER(SEARCH("NEXTLINK",C764))),"Personal - House Bills",IF(AND(ISNUMBER(SEARCH("PAYMENT FROM",C764)),ISNUMBER(SEARCH("JOE SAUNDERS",C764))),"Zelle from Joe Saunders",IF(AND(ISNUMBER(SEARCH("PAYMENT TO",C764)),ISNUMBER(SEARCH("JOE SAUNDERS",C764))),"Zelle to Joe Saunders",IF(OR(ISNUMBER(SEARCH("NEW ORLEANS",C764)),ISNUMBER(SEARCH("KENNER",C764)),ISNUMBER(SEARCH("HENRY HOWARD",C764)),ISNUMBER(SEARCH("MISS CLAUDIA",C764))),"Personal Travel - New Orleans",IF(AND(YEAR(B764)=2025,MONTH(B764)=4,OR(ISNUMBER(SEARCH("EXCHANGE RATE",C764)),ISNUMBER(SEARCH("EXCHG RTE",C764)))),"Personal Travel - Italy",IFERROR(INDEX('Category Rules'!$B$2:$B$358,MATCH(TRUE,ISNUMBER(SEARCH('Category Rules'!$A$2:$A$358,C764)),0)),""))))))))</f>
        <v>Personal Travel</v>
      </c>
    </row>
    <row r="765" spans="1:7" x14ac:dyDescent="0.25">
      <c r="A765" t="s">
        <v>6</v>
      </c>
      <c r="B765" s="1">
        <v>45916</v>
      </c>
      <c r="C765" t="s">
        <v>709</v>
      </c>
      <c r="D765">
        <v>-85.99</v>
      </c>
      <c r="E765" t="s">
        <v>10</v>
      </c>
      <c r="F765">
        <v>3951.76</v>
      </c>
      <c r="G765" t="str" cm="1">
        <f t="array" ref="G765">IF(AND(ISNUMBER(SEARCH("UBER",C765)),ISNUMBER(SEARCH("EATS",C765))),"Uber Eats",IF(LEFT(C765,6)="CHECK ","Checks Paid",IF(OR(E765="BILLPAY",ISNUMBER(SEARCH("FRANCHISE TAX",C765)),ISNUMBER(SEARCH("NEXTLINK",C765))),"Personal - House Bills",IF(AND(ISNUMBER(SEARCH("PAYMENT FROM",C765)),ISNUMBER(SEARCH("JOE SAUNDERS",C765))),"Zelle from Joe Saunders",IF(AND(ISNUMBER(SEARCH("PAYMENT TO",C765)),ISNUMBER(SEARCH("JOE SAUNDERS",C765))),"Zelle to Joe Saunders",IF(OR(ISNUMBER(SEARCH("NEW ORLEANS",C765)),ISNUMBER(SEARCH("KENNER",C765)),ISNUMBER(SEARCH("HENRY HOWARD",C765)),ISNUMBER(SEARCH("MISS CLAUDIA",C765))),"Personal Travel - New Orleans",IF(AND(YEAR(B765)=2025,MONTH(B765)=4,OR(ISNUMBER(SEARCH("EXCHANGE RATE",C765)),ISNUMBER(SEARCH("EXCHG RTE",C765)))),"Personal Travel - Italy",IFERROR(INDEX('Category Rules'!$B$2:$B$358,MATCH(TRUE,ISNUMBER(SEARCH('Category Rules'!$A$2:$A$358,C765)),0)),""))))))))</f>
        <v>Personal Travel</v>
      </c>
    </row>
    <row r="766" spans="1:7" x14ac:dyDescent="0.25">
      <c r="A766" t="s">
        <v>6</v>
      </c>
      <c r="B766" s="1">
        <v>45916</v>
      </c>
      <c r="C766" t="s">
        <v>710</v>
      </c>
      <c r="D766">
        <v>-138.47999999999999</v>
      </c>
      <c r="E766" t="s">
        <v>10</v>
      </c>
      <c r="F766">
        <v>4037.75</v>
      </c>
      <c r="G766" t="str" cm="1">
        <f t="array" ref="G766">IF(AND(ISNUMBER(SEARCH("UBER",C766)),ISNUMBER(SEARCH("EATS",C766))),"Uber Eats",IF(LEFT(C766,6)="CHECK ","Checks Paid",IF(OR(E766="BILLPAY",ISNUMBER(SEARCH("FRANCHISE TAX",C766)),ISNUMBER(SEARCH("NEXTLINK",C766))),"Personal - House Bills",IF(AND(ISNUMBER(SEARCH("PAYMENT FROM",C766)),ISNUMBER(SEARCH("JOE SAUNDERS",C766))),"Zelle from Joe Saunders",IF(AND(ISNUMBER(SEARCH("PAYMENT TO",C766)),ISNUMBER(SEARCH("JOE SAUNDERS",C766))),"Zelle to Joe Saunders",IF(OR(ISNUMBER(SEARCH("NEW ORLEANS",C766)),ISNUMBER(SEARCH("KENNER",C766)),ISNUMBER(SEARCH("HENRY HOWARD",C766)),ISNUMBER(SEARCH("MISS CLAUDIA",C766))),"Personal Travel - New Orleans",IF(AND(YEAR(B766)=2025,MONTH(B766)=4,OR(ISNUMBER(SEARCH("EXCHANGE RATE",C766)),ISNUMBER(SEARCH("EXCHG RTE",C766)))),"Personal Travel - Italy",IFERROR(INDEX('Category Rules'!$B$2:$B$358,MATCH(TRUE,ISNUMBER(SEARCH('Category Rules'!$A$2:$A$358,C766)),0)),""))))))))</f>
        <v>Personal Travel</v>
      </c>
    </row>
    <row r="767" spans="1:7" x14ac:dyDescent="0.25">
      <c r="A767" t="s">
        <v>6</v>
      </c>
      <c r="B767" s="1">
        <v>45916</v>
      </c>
      <c r="C767" t="s">
        <v>710</v>
      </c>
      <c r="D767">
        <v>-138.47999999999999</v>
      </c>
      <c r="E767" t="s">
        <v>10</v>
      </c>
      <c r="F767">
        <v>4176.2299999999996</v>
      </c>
      <c r="G767" t="str" cm="1">
        <f t="array" ref="G767">IF(AND(ISNUMBER(SEARCH("UBER",C767)),ISNUMBER(SEARCH("EATS",C767))),"Uber Eats",IF(LEFT(C767,6)="CHECK ","Checks Paid",IF(OR(E767="BILLPAY",ISNUMBER(SEARCH("FRANCHISE TAX",C767)),ISNUMBER(SEARCH("NEXTLINK",C767))),"Personal - House Bills",IF(AND(ISNUMBER(SEARCH("PAYMENT FROM",C767)),ISNUMBER(SEARCH("JOE SAUNDERS",C767))),"Zelle from Joe Saunders",IF(AND(ISNUMBER(SEARCH("PAYMENT TO",C767)),ISNUMBER(SEARCH("JOE SAUNDERS",C767))),"Zelle to Joe Saunders",IF(OR(ISNUMBER(SEARCH("NEW ORLEANS",C767)),ISNUMBER(SEARCH("KENNER",C767)),ISNUMBER(SEARCH("HENRY HOWARD",C767)),ISNUMBER(SEARCH("MISS CLAUDIA",C767))),"Personal Travel - New Orleans",IF(AND(YEAR(B767)=2025,MONTH(B767)=4,OR(ISNUMBER(SEARCH("EXCHANGE RATE",C767)),ISNUMBER(SEARCH("EXCHG RTE",C767)))),"Personal Travel - Italy",IFERROR(INDEX('Category Rules'!$B$2:$B$358,MATCH(TRUE,ISNUMBER(SEARCH('Category Rules'!$A$2:$A$358,C767)),0)),""))))))))</f>
        <v>Personal Travel</v>
      </c>
    </row>
    <row r="768" spans="1:7" x14ac:dyDescent="0.25">
      <c r="A768" t="s">
        <v>6</v>
      </c>
      <c r="B768" s="1">
        <v>45916</v>
      </c>
      <c r="C768" t="s">
        <v>708</v>
      </c>
      <c r="D768">
        <v>-503.04</v>
      </c>
      <c r="E768" t="s">
        <v>10</v>
      </c>
      <c r="F768">
        <v>4314.71</v>
      </c>
      <c r="G768" t="str" cm="1">
        <f t="array" ref="G768">IF(AND(ISNUMBER(SEARCH("UBER",C768)),ISNUMBER(SEARCH("EATS",C768))),"Uber Eats",IF(LEFT(C768,6)="CHECK ","Checks Paid",IF(OR(E768="BILLPAY",ISNUMBER(SEARCH("FRANCHISE TAX",C768)),ISNUMBER(SEARCH("NEXTLINK",C768))),"Personal - House Bills",IF(AND(ISNUMBER(SEARCH("PAYMENT FROM",C768)),ISNUMBER(SEARCH("JOE SAUNDERS",C768))),"Zelle from Joe Saunders",IF(AND(ISNUMBER(SEARCH("PAYMENT TO",C768)),ISNUMBER(SEARCH("JOE SAUNDERS",C768))),"Zelle to Joe Saunders",IF(OR(ISNUMBER(SEARCH("NEW ORLEANS",C768)),ISNUMBER(SEARCH("KENNER",C768)),ISNUMBER(SEARCH("HENRY HOWARD",C768)),ISNUMBER(SEARCH("MISS CLAUDIA",C768))),"Personal Travel - New Orleans",IF(AND(YEAR(B768)=2025,MONTH(B768)=4,OR(ISNUMBER(SEARCH("EXCHANGE RATE",C768)),ISNUMBER(SEARCH("EXCHG RTE",C768)))),"Personal Travel - Italy",IFERROR(INDEX('Category Rules'!$B$2:$B$358,MATCH(TRUE,ISNUMBER(SEARCH('Category Rules'!$A$2:$A$358,C768)),0)),""))))))))</f>
        <v>Personal - Entertainment</v>
      </c>
    </row>
    <row r="769" spans="1:7" x14ac:dyDescent="0.25">
      <c r="A769" t="s">
        <v>6</v>
      </c>
      <c r="B769" s="1">
        <v>45916</v>
      </c>
      <c r="C769" t="s">
        <v>711</v>
      </c>
      <c r="D769">
        <v>-30</v>
      </c>
      <c r="E769" t="s">
        <v>10</v>
      </c>
      <c r="F769">
        <v>4817.75</v>
      </c>
      <c r="G769" t="str" cm="1">
        <f t="array" ref="G769">IF(AND(ISNUMBER(SEARCH("UBER",C769)),ISNUMBER(SEARCH("EATS",C769))),"Uber Eats",IF(LEFT(C769,6)="CHECK ","Checks Paid",IF(OR(E769="BILLPAY",ISNUMBER(SEARCH("FRANCHISE TAX",C769)),ISNUMBER(SEARCH("NEXTLINK",C769))),"Personal - House Bills",IF(AND(ISNUMBER(SEARCH("PAYMENT FROM",C769)),ISNUMBER(SEARCH("JOE SAUNDERS",C769))),"Zelle from Joe Saunders",IF(AND(ISNUMBER(SEARCH("PAYMENT TO",C769)),ISNUMBER(SEARCH("JOE SAUNDERS",C769))),"Zelle to Joe Saunders",IF(OR(ISNUMBER(SEARCH("NEW ORLEANS",C769)),ISNUMBER(SEARCH("KENNER",C769)),ISNUMBER(SEARCH("HENRY HOWARD",C769)),ISNUMBER(SEARCH("MISS CLAUDIA",C769))),"Personal Travel - New Orleans",IF(AND(YEAR(B769)=2025,MONTH(B769)=4,OR(ISNUMBER(SEARCH("EXCHANGE RATE",C769)),ISNUMBER(SEARCH("EXCHG RTE",C769)))),"Personal Travel - Italy",IFERROR(INDEX('Category Rules'!$B$2:$B$358,MATCH(TRUE,ISNUMBER(SEARCH('Category Rules'!$A$2:$A$358,C769)),0)),""))))))))</f>
        <v>Amazon</v>
      </c>
    </row>
    <row r="770" spans="1:7" x14ac:dyDescent="0.25">
      <c r="A770" t="s">
        <v>6</v>
      </c>
      <c r="B770" s="1">
        <v>45916</v>
      </c>
      <c r="C770" t="s">
        <v>712</v>
      </c>
      <c r="D770">
        <v>-34.299999999999997</v>
      </c>
      <c r="E770" t="s">
        <v>10</v>
      </c>
      <c r="F770">
        <v>4847.75</v>
      </c>
      <c r="G770" t="str" cm="1">
        <f t="array" ref="G770">IF(AND(ISNUMBER(SEARCH("UBER",C770)),ISNUMBER(SEARCH("EATS",C770))),"Uber Eats",IF(LEFT(C770,6)="CHECK ","Checks Paid",IF(OR(E770="BILLPAY",ISNUMBER(SEARCH("FRANCHISE TAX",C770)),ISNUMBER(SEARCH("NEXTLINK",C770))),"Personal - House Bills",IF(AND(ISNUMBER(SEARCH("PAYMENT FROM",C770)),ISNUMBER(SEARCH("JOE SAUNDERS",C770))),"Zelle from Joe Saunders",IF(AND(ISNUMBER(SEARCH("PAYMENT TO",C770)),ISNUMBER(SEARCH("JOE SAUNDERS",C770))),"Zelle to Joe Saunders",IF(OR(ISNUMBER(SEARCH("NEW ORLEANS",C770)),ISNUMBER(SEARCH("KENNER",C770)),ISNUMBER(SEARCH("HENRY HOWARD",C770)),ISNUMBER(SEARCH("MISS CLAUDIA",C770))),"Personal Travel - New Orleans",IF(AND(YEAR(B770)=2025,MONTH(B770)=4,OR(ISNUMBER(SEARCH("EXCHANGE RATE",C770)),ISNUMBER(SEARCH("EXCHG RTE",C770)))),"Personal Travel - Italy",IFERROR(INDEX('Category Rules'!$B$2:$B$358,MATCH(TRUE,ISNUMBER(SEARCH('Category Rules'!$A$2:$A$358,C770)),0)),""))))))))</f>
        <v>Amazon</v>
      </c>
    </row>
    <row r="771" spans="1:7" x14ac:dyDescent="0.25">
      <c r="A771" t="s">
        <v>44</v>
      </c>
      <c r="B771" s="1">
        <v>45916</v>
      </c>
      <c r="C771" t="s">
        <v>713</v>
      </c>
      <c r="D771">
        <v>2000</v>
      </c>
      <c r="E771" t="s">
        <v>73</v>
      </c>
      <c r="F771">
        <v>4882.05</v>
      </c>
      <c r="G771" t="str" cm="1">
        <f t="array" ref="G771">IF(AND(ISNUMBER(SEARCH("UBER",C771)),ISNUMBER(SEARCH("EATS",C771))),"Uber Eats",IF(LEFT(C771,6)="CHECK ","Checks Paid",IF(OR(E771="BILLPAY",ISNUMBER(SEARCH("FRANCHISE TAX",C771)),ISNUMBER(SEARCH("NEXTLINK",C771))),"Personal - House Bills",IF(AND(ISNUMBER(SEARCH("PAYMENT FROM",C771)),ISNUMBER(SEARCH("JOE SAUNDERS",C771))),"Zelle from Joe Saunders",IF(AND(ISNUMBER(SEARCH("PAYMENT TO",C771)),ISNUMBER(SEARCH("JOE SAUNDERS",C771))),"Zelle to Joe Saunders",IF(OR(ISNUMBER(SEARCH("NEW ORLEANS",C771)),ISNUMBER(SEARCH("KENNER",C771)),ISNUMBER(SEARCH("HENRY HOWARD",C771)),ISNUMBER(SEARCH("MISS CLAUDIA",C771))),"Personal Travel - New Orleans",IF(AND(YEAR(B771)=2025,MONTH(B771)=4,OR(ISNUMBER(SEARCH("EXCHANGE RATE",C771)),ISNUMBER(SEARCH("EXCHG RTE",C771)))),"Personal Travel - Italy",IFERROR(INDEX('Category Rules'!$B$2:$B$358,MATCH(TRUE,ISNUMBER(SEARCH('Category Rules'!$A$2:$A$358,C771)),0)),""))))))))</f>
        <v>Transfer from DWG Capital Group</v>
      </c>
    </row>
    <row r="772" spans="1:7" x14ac:dyDescent="0.25">
      <c r="A772" t="s">
        <v>6</v>
      </c>
      <c r="B772" s="1">
        <v>45915</v>
      </c>
      <c r="C772" t="s">
        <v>714</v>
      </c>
      <c r="D772">
        <v>-48.57</v>
      </c>
      <c r="E772" t="s">
        <v>10</v>
      </c>
      <c r="F772">
        <v>2882.05</v>
      </c>
      <c r="G772" t="str" cm="1">
        <f t="array" ref="G772">IF(AND(ISNUMBER(SEARCH("UBER",C772)),ISNUMBER(SEARCH("EATS",C772))),"Uber Eats",IF(LEFT(C772,6)="CHECK ","Checks Paid",IF(OR(E772="BILLPAY",ISNUMBER(SEARCH("FRANCHISE TAX",C772)),ISNUMBER(SEARCH("NEXTLINK",C772))),"Personal - House Bills",IF(AND(ISNUMBER(SEARCH("PAYMENT FROM",C772)),ISNUMBER(SEARCH("JOE SAUNDERS",C772))),"Zelle from Joe Saunders",IF(AND(ISNUMBER(SEARCH("PAYMENT TO",C772)),ISNUMBER(SEARCH("JOE SAUNDERS",C772))),"Zelle to Joe Saunders",IF(OR(ISNUMBER(SEARCH("NEW ORLEANS",C772)),ISNUMBER(SEARCH("KENNER",C772)),ISNUMBER(SEARCH("HENRY HOWARD",C772)),ISNUMBER(SEARCH("MISS CLAUDIA",C772))),"Personal Travel - New Orleans",IF(AND(YEAR(B772)=2025,MONTH(B772)=4,OR(ISNUMBER(SEARCH("EXCHANGE RATE",C772)),ISNUMBER(SEARCH("EXCHG RTE",C772)))),"Personal Travel - Italy",IFERROR(INDEX('Category Rules'!$B$2:$B$358,MATCH(TRUE,ISNUMBER(SEARCH('Category Rules'!$A$2:$A$358,C772)),0)),""))))))))</f>
        <v>Uber Eats</v>
      </c>
    </row>
    <row r="773" spans="1:7" x14ac:dyDescent="0.25">
      <c r="A773" t="s">
        <v>6</v>
      </c>
      <c r="B773" s="1">
        <v>45915</v>
      </c>
      <c r="C773" t="s">
        <v>715</v>
      </c>
      <c r="D773">
        <v>-100</v>
      </c>
      <c r="E773" t="s">
        <v>73</v>
      </c>
      <c r="F773">
        <v>2930.62</v>
      </c>
      <c r="G773" t="str" cm="1">
        <f t="array" ref="G773">IF(AND(ISNUMBER(SEARCH("UBER",C773)),ISNUMBER(SEARCH("EATS",C773))),"Uber Eats",IF(LEFT(C773,6)="CHECK ","Checks Paid",IF(OR(E773="BILLPAY",ISNUMBER(SEARCH("FRANCHISE TAX",C773)),ISNUMBER(SEARCH("NEXTLINK",C773))),"Personal - House Bills",IF(AND(ISNUMBER(SEARCH("PAYMENT FROM",C773)),ISNUMBER(SEARCH("JOE SAUNDERS",C773))),"Zelle from Joe Saunders",IF(AND(ISNUMBER(SEARCH("PAYMENT TO",C773)),ISNUMBER(SEARCH("JOE SAUNDERS",C773))),"Zelle to Joe Saunders",IF(OR(ISNUMBER(SEARCH("NEW ORLEANS",C773)),ISNUMBER(SEARCH("KENNER",C773)),ISNUMBER(SEARCH("HENRY HOWARD",C773)),ISNUMBER(SEARCH("MISS CLAUDIA",C773))),"Personal Travel - New Orleans",IF(AND(YEAR(B773)=2025,MONTH(B773)=4,OR(ISNUMBER(SEARCH("EXCHANGE RATE",C773)),ISNUMBER(SEARCH("EXCHG RTE",C773)))),"Personal Travel - Italy",IFERROR(INDEX('Category Rules'!$B$2:$B$358,MATCH(TRUE,ISNUMBER(SEARCH('Category Rules'!$A$2:$A$358,C773)),0)),""))))))))</f>
        <v>Transfer to Ava</v>
      </c>
    </row>
    <row r="774" spans="1:7" x14ac:dyDescent="0.25">
      <c r="A774" t="s">
        <v>6</v>
      </c>
      <c r="B774" s="1">
        <v>45915</v>
      </c>
      <c r="C774" t="s">
        <v>716</v>
      </c>
      <c r="D774">
        <v>-16.989999999999998</v>
      </c>
      <c r="E774" t="s">
        <v>10</v>
      </c>
      <c r="F774">
        <v>3030.62</v>
      </c>
      <c r="G774" t="str" cm="1">
        <f t="array" ref="G774">IF(AND(ISNUMBER(SEARCH("UBER",C774)),ISNUMBER(SEARCH("EATS",C774))),"Uber Eats",IF(LEFT(C774,6)="CHECK ","Checks Paid",IF(OR(E774="BILLPAY",ISNUMBER(SEARCH("FRANCHISE TAX",C774)),ISNUMBER(SEARCH("NEXTLINK",C774))),"Personal - House Bills",IF(AND(ISNUMBER(SEARCH("PAYMENT FROM",C774)),ISNUMBER(SEARCH("JOE SAUNDERS",C774))),"Zelle from Joe Saunders",IF(AND(ISNUMBER(SEARCH("PAYMENT TO",C774)),ISNUMBER(SEARCH("JOE SAUNDERS",C774))),"Zelle to Joe Saunders",IF(OR(ISNUMBER(SEARCH("NEW ORLEANS",C774)),ISNUMBER(SEARCH("KENNER",C774)),ISNUMBER(SEARCH("HENRY HOWARD",C774)),ISNUMBER(SEARCH("MISS CLAUDIA",C774))),"Personal Travel - New Orleans",IF(AND(YEAR(B774)=2025,MONTH(B774)=4,OR(ISNUMBER(SEARCH("EXCHANGE RATE",C774)),ISNUMBER(SEARCH("EXCHG RTE",C774)))),"Personal Travel - Italy",IFERROR(INDEX('Category Rules'!$B$2:$B$358,MATCH(TRUE,ISNUMBER(SEARCH('Category Rules'!$A$2:$A$358,C774)),0)),""))))))))</f>
        <v>Amazon</v>
      </c>
    </row>
    <row r="775" spans="1:7" x14ac:dyDescent="0.25">
      <c r="A775" t="s">
        <v>6</v>
      </c>
      <c r="B775" s="1">
        <v>45915</v>
      </c>
      <c r="C775" t="s">
        <v>717</v>
      </c>
      <c r="D775">
        <v>-16.45</v>
      </c>
      <c r="E775" t="s">
        <v>10</v>
      </c>
      <c r="F775">
        <v>3047.61</v>
      </c>
      <c r="G775" t="str" cm="1">
        <f t="array" ref="G775">IF(AND(ISNUMBER(SEARCH("UBER",C775)),ISNUMBER(SEARCH("EATS",C775))),"Uber Eats",IF(LEFT(C775,6)="CHECK ","Checks Paid",IF(OR(E775="BILLPAY",ISNUMBER(SEARCH("FRANCHISE TAX",C775)),ISNUMBER(SEARCH("NEXTLINK",C775))),"Personal - House Bills",IF(AND(ISNUMBER(SEARCH("PAYMENT FROM",C775)),ISNUMBER(SEARCH("JOE SAUNDERS",C775))),"Zelle from Joe Saunders",IF(AND(ISNUMBER(SEARCH("PAYMENT TO",C775)),ISNUMBER(SEARCH("JOE SAUNDERS",C775))),"Zelle to Joe Saunders",IF(OR(ISNUMBER(SEARCH("NEW ORLEANS",C775)),ISNUMBER(SEARCH("KENNER",C775)),ISNUMBER(SEARCH("HENRY HOWARD",C775)),ISNUMBER(SEARCH("MISS CLAUDIA",C775))),"Personal Travel - New Orleans",IF(AND(YEAR(B775)=2025,MONTH(B775)=4,OR(ISNUMBER(SEARCH("EXCHANGE RATE",C775)),ISNUMBER(SEARCH("EXCHG RTE",C775)))),"Personal Travel - Italy",IFERROR(INDEX('Category Rules'!$B$2:$B$358,MATCH(TRUE,ISNUMBER(SEARCH('Category Rules'!$A$2:$A$358,C775)),0)),""))))))))</f>
        <v>Amazon</v>
      </c>
    </row>
    <row r="776" spans="1:7" x14ac:dyDescent="0.25">
      <c r="A776" t="s">
        <v>6</v>
      </c>
      <c r="B776" s="1">
        <v>45915</v>
      </c>
      <c r="C776" t="s">
        <v>718</v>
      </c>
      <c r="D776">
        <v>-59.99</v>
      </c>
      <c r="E776" t="s">
        <v>10</v>
      </c>
      <c r="F776">
        <v>3064.06</v>
      </c>
      <c r="G776" t="str" cm="1">
        <f t="array" ref="G776">IF(AND(ISNUMBER(SEARCH("UBER",C776)),ISNUMBER(SEARCH("EATS",C776))),"Uber Eats",IF(LEFT(C776,6)="CHECK ","Checks Paid",IF(OR(E776="BILLPAY",ISNUMBER(SEARCH("FRANCHISE TAX",C776)),ISNUMBER(SEARCH("NEXTLINK",C776))),"Personal - House Bills",IF(AND(ISNUMBER(SEARCH("PAYMENT FROM",C776)),ISNUMBER(SEARCH("JOE SAUNDERS",C776))),"Zelle from Joe Saunders",IF(AND(ISNUMBER(SEARCH("PAYMENT TO",C776)),ISNUMBER(SEARCH("JOE SAUNDERS",C776))),"Zelle to Joe Saunders",IF(OR(ISNUMBER(SEARCH("NEW ORLEANS",C776)),ISNUMBER(SEARCH("KENNER",C776)),ISNUMBER(SEARCH("HENRY HOWARD",C776)),ISNUMBER(SEARCH("MISS CLAUDIA",C776))),"Personal Travel - New Orleans",IF(AND(YEAR(B776)=2025,MONTH(B776)=4,OR(ISNUMBER(SEARCH("EXCHANGE RATE",C776)),ISNUMBER(SEARCH("EXCHG RTE",C776)))),"Personal Travel - Italy",IFERROR(INDEX('Category Rules'!$B$2:$B$358,MATCH(TRUE,ISNUMBER(SEARCH('Category Rules'!$A$2:$A$358,C776)),0)),""))))))))</f>
        <v>Apple</v>
      </c>
    </row>
    <row r="777" spans="1:7" x14ac:dyDescent="0.25">
      <c r="A777" t="s">
        <v>6</v>
      </c>
      <c r="B777" s="1">
        <v>45915</v>
      </c>
      <c r="C777" t="s">
        <v>719</v>
      </c>
      <c r="D777">
        <v>-24.99</v>
      </c>
      <c r="E777" t="s">
        <v>10</v>
      </c>
      <c r="F777">
        <v>3124.05</v>
      </c>
      <c r="G777" t="str" cm="1">
        <f t="array" ref="G777">IF(AND(ISNUMBER(SEARCH("UBER",C777)),ISNUMBER(SEARCH("EATS",C777))),"Uber Eats",IF(LEFT(C777,6)="CHECK ","Checks Paid",IF(OR(E777="BILLPAY",ISNUMBER(SEARCH("FRANCHISE TAX",C777)),ISNUMBER(SEARCH("NEXTLINK",C777))),"Personal - House Bills",IF(AND(ISNUMBER(SEARCH("PAYMENT FROM",C777)),ISNUMBER(SEARCH("JOE SAUNDERS",C777))),"Zelle from Joe Saunders",IF(AND(ISNUMBER(SEARCH("PAYMENT TO",C777)),ISNUMBER(SEARCH("JOE SAUNDERS",C777))),"Zelle to Joe Saunders",IF(OR(ISNUMBER(SEARCH("NEW ORLEANS",C777)),ISNUMBER(SEARCH("KENNER",C777)),ISNUMBER(SEARCH("HENRY HOWARD",C777)),ISNUMBER(SEARCH("MISS CLAUDIA",C777))),"Personal Travel - New Orleans",IF(AND(YEAR(B777)=2025,MONTH(B777)=4,OR(ISNUMBER(SEARCH("EXCHANGE RATE",C777)),ISNUMBER(SEARCH("EXCHG RTE",C777)))),"Personal Travel - Italy",IFERROR(INDEX('Category Rules'!$B$2:$B$358,MATCH(TRUE,ISNUMBER(SEARCH('Category Rules'!$A$2:$A$358,C777)),0)),""))))))))</f>
        <v>Amazon</v>
      </c>
    </row>
    <row r="778" spans="1:7" x14ac:dyDescent="0.25">
      <c r="A778" t="s">
        <v>6</v>
      </c>
      <c r="B778" s="1">
        <v>45915</v>
      </c>
      <c r="C778" t="s">
        <v>720</v>
      </c>
      <c r="D778">
        <v>-60.7</v>
      </c>
      <c r="E778" t="s">
        <v>10</v>
      </c>
      <c r="F778">
        <v>3149.04</v>
      </c>
      <c r="G778" t="str" cm="1">
        <f t="array" ref="G778">IF(AND(ISNUMBER(SEARCH("UBER",C778)),ISNUMBER(SEARCH("EATS",C778))),"Uber Eats",IF(LEFT(C778,6)="CHECK ","Checks Paid",IF(OR(E778="BILLPAY",ISNUMBER(SEARCH("FRANCHISE TAX",C778)),ISNUMBER(SEARCH("NEXTLINK",C778))),"Personal - House Bills",IF(AND(ISNUMBER(SEARCH("PAYMENT FROM",C778)),ISNUMBER(SEARCH("JOE SAUNDERS",C778))),"Zelle from Joe Saunders",IF(AND(ISNUMBER(SEARCH("PAYMENT TO",C778)),ISNUMBER(SEARCH("JOE SAUNDERS",C778))),"Zelle to Joe Saunders",IF(OR(ISNUMBER(SEARCH("NEW ORLEANS",C778)),ISNUMBER(SEARCH("KENNER",C778)),ISNUMBER(SEARCH("HENRY HOWARD",C778)),ISNUMBER(SEARCH("MISS CLAUDIA",C778))),"Personal Travel - New Orleans",IF(AND(YEAR(B778)=2025,MONTH(B778)=4,OR(ISNUMBER(SEARCH("EXCHANGE RATE",C778)),ISNUMBER(SEARCH("EXCHG RTE",C778)))),"Personal Travel - Italy",IFERROR(INDEX('Category Rules'!$B$2:$B$358,MATCH(TRUE,ISNUMBER(SEARCH('Category Rules'!$A$2:$A$358,C778)),0)),""))))))))</f>
        <v>Amazon</v>
      </c>
    </row>
    <row r="779" spans="1:7" x14ac:dyDescent="0.25">
      <c r="A779" t="s">
        <v>6</v>
      </c>
      <c r="B779" s="1">
        <v>45915</v>
      </c>
      <c r="C779" t="s">
        <v>721</v>
      </c>
      <c r="D779">
        <v>-232.9</v>
      </c>
      <c r="E779" t="s">
        <v>10</v>
      </c>
      <c r="F779">
        <v>3209.74</v>
      </c>
      <c r="G779" t="str" cm="1">
        <f t="array" ref="G779">IF(AND(ISNUMBER(SEARCH("UBER",C779)),ISNUMBER(SEARCH("EATS",C779))),"Uber Eats",IF(LEFT(C779,6)="CHECK ","Checks Paid",IF(OR(E779="BILLPAY",ISNUMBER(SEARCH("FRANCHISE TAX",C779)),ISNUMBER(SEARCH("NEXTLINK",C779))),"Personal - House Bills",IF(AND(ISNUMBER(SEARCH("PAYMENT FROM",C779)),ISNUMBER(SEARCH("JOE SAUNDERS",C779))),"Zelle from Joe Saunders",IF(AND(ISNUMBER(SEARCH("PAYMENT TO",C779)),ISNUMBER(SEARCH("JOE SAUNDERS",C779))),"Zelle to Joe Saunders",IF(OR(ISNUMBER(SEARCH("NEW ORLEANS",C779)),ISNUMBER(SEARCH("KENNER",C779)),ISNUMBER(SEARCH("HENRY HOWARD",C779)),ISNUMBER(SEARCH("MISS CLAUDIA",C779))),"Personal Travel - New Orleans",IF(AND(YEAR(B779)=2025,MONTH(B779)=4,OR(ISNUMBER(SEARCH("EXCHANGE RATE",C779)),ISNUMBER(SEARCH("EXCHG RTE",C779)))),"Personal Travel - Italy",IFERROR(INDEX('Category Rules'!$B$2:$B$358,MATCH(TRUE,ISNUMBER(SEARCH('Category Rules'!$A$2:$A$358,C779)),0)),""))))))))</f>
        <v>Amazon</v>
      </c>
    </row>
    <row r="780" spans="1:7" x14ac:dyDescent="0.25">
      <c r="A780" t="s">
        <v>6</v>
      </c>
      <c r="B780" s="1">
        <v>45915</v>
      </c>
      <c r="C780" t="s">
        <v>722</v>
      </c>
      <c r="D780">
        <v>-99.72</v>
      </c>
      <c r="E780" t="s">
        <v>10</v>
      </c>
      <c r="F780">
        <v>3442.64</v>
      </c>
      <c r="G780" t="str" cm="1">
        <f t="array" ref="G780">IF(AND(ISNUMBER(SEARCH("UBER",C780)),ISNUMBER(SEARCH("EATS",C780))),"Uber Eats",IF(LEFT(C780,6)="CHECK ","Checks Paid",IF(OR(E780="BILLPAY",ISNUMBER(SEARCH("FRANCHISE TAX",C780)),ISNUMBER(SEARCH("NEXTLINK",C780))),"Personal - House Bills",IF(AND(ISNUMBER(SEARCH("PAYMENT FROM",C780)),ISNUMBER(SEARCH("JOE SAUNDERS",C780))),"Zelle from Joe Saunders",IF(AND(ISNUMBER(SEARCH("PAYMENT TO",C780)),ISNUMBER(SEARCH("JOE SAUNDERS",C780))),"Zelle to Joe Saunders",IF(OR(ISNUMBER(SEARCH("NEW ORLEANS",C780)),ISNUMBER(SEARCH("KENNER",C780)),ISNUMBER(SEARCH("HENRY HOWARD",C780)),ISNUMBER(SEARCH("MISS CLAUDIA",C780))),"Personal Travel - New Orleans",IF(AND(YEAR(B780)=2025,MONTH(B780)=4,OR(ISNUMBER(SEARCH("EXCHANGE RATE",C780)),ISNUMBER(SEARCH("EXCHG RTE",C780)))),"Personal Travel - Italy",IFERROR(INDEX('Category Rules'!$B$2:$B$358,MATCH(TRUE,ISNUMBER(SEARCH('Category Rules'!$A$2:$A$358,C780)),0)),""))))))))</f>
        <v>Amazon</v>
      </c>
    </row>
    <row r="781" spans="1:7" x14ac:dyDescent="0.25">
      <c r="A781" t="s">
        <v>6</v>
      </c>
      <c r="B781" s="1">
        <v>45915</v>
      </c>
      <c r="C781" t="s">
        <v>723</v>
      </c>
      <c r="D781">
        <v>-239.88</v>
      </c>
      <c r="E781" t="s">
        <v>10</v>
      </c>
      <c r="F781">
        <v>3542.36</v>
      </c>
      <c r="G781" t="str" cm="1">
        <f t="array" ref="G781">IF(AND(ISNUMBER(SEARCH("UBER",C781)),ISNUMBER(SEARCH("EATS",C781))),"Uber Eats",IF(LEFT(C781,6)="CHECK ","Checks Paid",IF(OR(E781="BILLPAY",ISNUMBER(SEARCH("FRANCHISE TAX",C781)),ISNUMBER(SEARCH("NEXTLINK",C781))),"Personal - House Bills",IF(AND(ISNUMBER(SEARCH("PAYMENT FROM",C781)),ISNUMBER(SEARCH("JOE SAUNDERS",C781))),"Zelle from Joe Saunders",IF(AND(ISNUMBER(SEARCH("PAYMENT TO",C781)),ISNUMBER(SEARCH("JOE SAUNDERS",C781))),"Zelle to Joe Saunders",IF(OR(ISNUMBER(SEARCH("NEW ORLEANS",C781)),ISNUMBER(SEARCH("KENNER",C781)),ISNUMBER(SEARCH("HENRY HOWARD",C781)),ISNUMBER(SEARCH("MISS CLAUDIA",C781))),"Personal Travel - New Orleans",IF(AND(YEAR(B781)=2025,MONTH(B781)=4,OR(ISNUMBER(SEARCH("EXCHANGE RATE",C781)),ISNUMBER(SEARCH("EXCHG RTE",C781)))),"Personal Travel - Italy",IFERROR(INDEX('Category Rules'!$B$2:$B$358,MATCH(TRUE,ISNUMBER(SEARCH('Category Rules'!$A$2:$A$358,C781)),0)),""))))))))</f>
        <v>Personal - Entertainment</v>
      </c>
    </row>
    <row r="782" spans="1:7" x14ac:dyDescent="0.25">
      <c r="A782" t="s">
        <v>6</v>
      </c>
      <c r="B782" s="1">
        <v>45915</v>
      </c>
      <c r="C782" t="s">
        <v>724</v>
      </c>
      <c r="D782">
        <v>-2</v>
      </c>
      <c r="E782" t="s">
        <v>10</v>
      </c>
      <c r="F782">
        <v>3782.24</v>
      </c>
      <c r="G782" t="str" cm="1">
        <f t="array" ref="G782">IF(AND(ISNUMBER(SEARCH("UBER",C782)),ISNUMBER(SEARCH("EATS",C782))),"Uber Eats",IF(LEFT(C782,6)="CHECK ","Checks Paid",IF(OR(E782="BILLPAY",ISNUMBER(SEARCH("FRANCHISE TAX",C782)),ISNUMBER(SEARCH("NEXTLINK",C782))),"Personal - House Bills",IF(AND(ISNUMBER(SEARCH("PAYMENT FROM",C782)),ISNUMBER(SEARCH("JOE SAUNDERS",C782))),"Zelle from Joe Saunders",IF(AND(ISNUMBER(SEARCH("PAYMENT TO",C782)),ISNUMBER(SEARCH("JOE SAUNDERS",C782))),"Zelle to Joe Saunders",IF(OR(ISNUMBER(SEARCH("NEW ORLEANS",C782)),ISNUMBER(SEARCH("KENNER",C782)),ISNUMBER(SEARCH("HENRY HOWARD",C782)),ISNUMBER(SEARCH("MISS CLAUDIA",C782))),"Personal Travel - New Orleans",IF(AND(YEAR(B782)=2025,MONTH(B782)=4,OR(ISNUMBER(SEARCH("EXCHANGE RATE",C782)),ISNUMBER(SEARCH("EXCHG RTE",C782)))),"Personal Travel - Italy",IFERROR(INDEX('Category Rules'!$B$2:$B$358,MATCH(TRUE,ISNUMBER(SEARCH('Category Rules'!$A$2:$A$358,C782)),0)),""))))))))</f>
        <v>Personal - Car</v>
      </c>
    </row>
    <row r="783" spans="1:7" x14ac:dyDescent="0.25">
      <c r="A783" t="s">
        <v>6</v>
      </c>
      <c r="B783" s="1">
        <v>45915</v>
      </c>
      <c r="C783" t="s">
        <v>725</v>
      </c>
      <c r="D783">
        <v>-16.45</v>
      </c>
      <c r="E783" t="s">
        <v>10</v>
      </c>
      <c r="F783">
        <v>3784.24</v>
      </c>
      <c r="G783" t="str" cm="1">
        <f t="array" ref="G783">IF(AND(ISNUMBER(SEARCH("UBER",C783)),ISNUMBER(SEARCH("EATS",C783))),"Uber Eats",IF(LEFT(C783,6)="CHECK ","Checks Paid",IF(OR(E783="BILLPAY",ISNUMBER(SEARCH("FRANCHISE TAX",C783)),ISNUMBER(SEARCH("NEXTLINK",C783))),"Personal - House Bills",IF(AND(ISNUMBER(SEARCH("PAYMENT FROM",C783)),ISNUMBER(SEARCH("JOE SAUNDERS",C783))),"Zelle from Joe Saunders",IF(AND(ISNUMBER(SEARCH("PAYMENT TO",C783)),ISNUMBER(SEARCH("JOE SAUNDERS",C783))),"Zelle to Joe Saunders",IF(OR(ISNUMBER(SEARCH("NEW ORLEANS",C783)),ISNUMBER(SEARCH("KENNER",C783)),ISNUMBER(SEARCH("HENRY HOWARD",C783)),ISNUMBER(SEARCH("MISS CLAUDIA",C783))),"Personal Travel - New Orleans",IF(AND(YEAR(B783)=2025,MONTH(B783)=4,OR(ISNUMBER(SEARCH("EXCHANGE RATE",C783)),ISNUMBER(SEARCH("EXCHG RTE",C783)))),"Personal Travel - Italy",IFERROR(INDEX('Category Rules'!$B$2:$B$358,MATCH(TRUE,ISNUMBER(SEARCH('Category Rules'!$A$2:$A$358,C783)),0)),""))))))))</f>
        <v>Amazon</v>
      </c>
    </row>
    <row r="784" spans="1:7" x14ac:dyDescent="0.25">
      <c r="A784" t="s">
        <v>6</v>
      </c>
      <c r="B784" s="1">
        <v>45915</v>
      </c>
      <c r="C784" t="s">
        <v>726</v>
      </c>
      <c r="D784">
        <v>-20.83</v>
      </c>
      <c r="E784" t="s">
        <v>10</v>
      </c>
      <c r="F784">
        <v>3800.69</v>
      </c>
      <c r="G784" t="str" cm="1">
        <f t="array" ref="G784">IF(AND(ISNUMBER(SEARCH("UBER",C784)),ISNUMBER(SEARCH("EATS",C784))),"Uber Eats",IF(LEFT(C784,6)="CHECK ","Checks Paid",IF(OR(E784="BILLPAY",ISNUMBER(SEARCH("FRANCHISE TAX",C784)),ISNUMBER(SEARCH("NEXTLINK",C784))),"Personal - House Bills",IF(AND(ISNUMBER(SEARCH("PAYMENT FROM",C784)),ISNUMBER(SEARCH("JOE SAUNDERS",C784))),"Zelle from Joe Saunders",IF(AND(ISNUMBER(SEARCH("PAYMENT TO",C784)),ISNUMBER(SEARCH("JOE SAUNDERS",C784))),"Zelle to Joe Saunders",IF(OR(ISNUMBER(SEARCH("NEW ORLEANS",C784)),ISNUMBER(SEARCH("KENNER",C784)),ISNUMBER(SEARCH("HENRY HOWARD",C784)),ISNUMBER(SEARCH("MISS CLAUDIA",C784))),"Personal Travel - New Orleans",IF(AND(YEAR(B784)=2025,MONTH(B784)=4,OR(ISNUMBER(SEARCH("EXCHANGE RATE",C784)),ISNUMBER(SEARCH("EXCHG RTE",C784)))),"Personal Travel - Italy",IFERROR(INDEX('Category Rules'!$B$2:$B$358,MATCH(TRUE,ISNUMBER(SEARCH('Category Rules'!$A$2:$A$358,C784)),0)),""))))))))</f>
        <v>Amazon</v>
      </c>
    </row>
    <row r="785" spans="1:7" x14ac:dyDescent="0.25">
      <c r="A785" t="s">
        <v>6</v>
      </c>
      <c r="B785" s="1">
        <v>45915</v>
      </c>
      <c r="C785" t="s">
        <v>727</v>
      </c>
      <c r="D785">
        <v>-340</v>
      </c>
      <c r="E785" t="s">
        <v>10</v>
      </c>
      <c r="F785">
        <v>3821.52</v>
      </c>
      <c r="G785" t="str" cm="1">
        <f t="array" ref="G785">IF(AND(ISNUMBER(SEARCH("UBER",C785)),ISNUMBER(SEARCH("EATS",C785))),"Uber Eats",IF(LEFT(C785,6)="CHECK ","Checks Paid",IF(OR(E785="BILLPAY",ISNUMBER(SEARCH("FRANCHISE TAX",C785)),ISNUMBER(SEARCH("NEXTLINK",C785))),"Personal - House Bills",IF(AND(ISNUMBER(SEARCH("PAYMENT FROM",C785)),ISNUMBER(SEARCH("JOE SAUNDERS",C785))),"Zelle from Joe Saunders",IF(AND(ISNUMBER(SEARCH("PAYMENT TO",C785)),ISNUMBER(SEARCH("JOE SAUNDERS",C785))),"Zelle to Joe Saunders",IF(OR(ISNUMBER(SEARCH("NEW ORLEANS",C785)),ISNUMBER(SEARCH("KENNER",C785)),ISNUMBER(SEARCH("HENRY HOWARD",C785)),ISNUMBER(SEARCH("MISS CLAUDIA",C785))),"Personal Travel - New Orleans",IF(AND(YEAR(B785)=2025,MONTH(B785)=4,OR(ISNUMBER(SEARCH("EXCHANGE RATE",C785)),ISNUMBER(SEARCH("EXCHG RTE",C785)))),"Personal Travel - Italy",IFERROR(INDEX('Category Rules'!$B$2:$B$358,MATCH(TRUE,ISNUMBER(SEARCH('Category Rules'!$A$2:$A$358,C785)),0)),""))))))))</f>
        <v>Personal - Clothing</v>
      </c>
    </row>
    <row r="786" spans="1:7" x14ac:dyDescent="0.25">
      <c r="A786" t="s">
        <v>6</v>
      </c>
      <c r="B786" s="1">
        <v>45915</v>
      </c>
      <c r="C786" t="s">
        <v>728</v>
      </c>
      <c r="D786">
        <v>-5.85</v>
      </c>
      <c r="E786" t="s">
        <v>10</v>
      </c>
      <c r="F786">
        <v>4161.5200000000004</v>
      </c>
      <c r="G786" t="str" cm="1">
        <f t="array" ref="G786">IF(AND(ISNUMBER(SEARCH("UBER",C786)),ISNUMBER(SEARCH("EATS",C786))),"Uber Eats",IF(LEFT(C786,6)="CHECK ","Checks Paid",IF(OR(E786="BILLPAY",ISNUMBER(SEARCH("FRANCHISE TAX",C786)),ISNUMBER(SEARCH("NEXTLINK",C786))),"Personal - House Bills",IF(AND(ISNUMBER(SEARCH("PAYMENT FROM",C786)),ISNUMBER(SEARCH("JOE SAUNDERS",C786))),"Zelle from Joe Saunders",IF(AND(ISNUMBER(SEARCH("PAYMENT TO",C786)),ISNUMBER(SEARCH("JOE SAUNDERS",C786))),"Zelle to Joe Saunders",IF(OR(ISNUMBER(SEARCH("NEW ORLEANS",C786)),ISNUMBER(SEARCH("KENNER",C786)),ISNUMBER(SEARCH("HENRY HOWARD",C786)),ISNUMBER(SEARCH("MISS CLAUDIA",C786))),"Personal Travel - New Orleans",IF(AND(YEAR(B786)=2025,MONTH(B786)=4,OR(ISNUMBER(SEARCH("EXCHANGE RATE",C786)),ISNUMBER(SEARCH("EXCHG RTE",C786)))),"Personal Travel - Italy",IFERROR(INDEX('Category Rules'!$B$2:$B$358,MATCH(TRUE,ISNUMBER(SEARCH('Category Rules'!$A$2:$A$358,C786)),0)),""))))))))</f>
        <v>Personal - Car</v>
      </c>
    </row>
    <row r="787" spans="1:7" x14ac:dyDescent="0.25">
      <c r="A787" t="s">
        <v>6</v>
      </c>
      <c r="B787" s="1">
        <v>45915</v>
      </c>
      <c r="C787" t="s">
        <v>728</v>
      </c>
      <c r="D787">
        <v>-70.819999999999993</v>
      </c>
      <c r="E787" t="s">
        <v>10</v>
      </c>
      <c r="F787">
        <v>4167.37</v>
      </c>
      <c r="G787" t="str" cm="1">
        <f t="array" ref="G787">IF(AND(ISNUMBER(SEARCH("UBER",C787)),ISNUMBER(SEARCH("EATS",C787))),"Uber Eats",IF(LEFT(C787,6)="CHECK ","Checks Paid",IF(OR(E787="BILLPAY",ISNUMBER(SEARCH("FRANCHISE TAX",C787)),ISNUMBER(SEARCH("NEXTLINK",C787))),"Personal - House Bills",IF(AND(ISNUMBER(SEARCH("PAYMENT FROM",C787)),ISNUMBER(SEARCH("JOE SAUNDERS",C787))),"Zelle from Joe Saunders",IF(AND(ISNUMBER(SEARCH("PAYMENT TO",C787)),ISNUMBER(SEARCH("JOE SAUNDERS",C787))),"Zelle to Joe Saunders",IF(OR(ISNUMBER(SEARCH("NEW ORLEANS",C787)),ISNUMBER(SEARCH("KENNER",C787)),ISNUMBER(SEARCH("HENRY HOWARD",C787)),ISNUMBER(SEARCH("MISS CLAUDIA",C787))),"Personal Travel - New Orleans",IF(AND(YEAR(B787)=2025,MONTH(B787)=4,OR(ISNUMBER(SEARCH("EXCHANGE RATE",C787)),ISNUMBER(SEARCH("EXCHG RTE",C787)))),"Personal Travel - Italy",IFERROR(INDEX('Category Rules'!$B$2:$B$358,MATCH(TRUE,ISNUMBER(SEARCH('Category Rules'!$A$2:$A$358,C787)),0)),""))))))))</f>
        <v>Personal - Car</v>
      </c>
    </row>
    <row r="788" spans="1:7" x14ac:dyDescent="0.25">
      <c r="A788" t="s">
        <v>6</v>
      </c>
      <c r="B788" s="1">
        <v>45915</v>
      </c>
      <c r="C788" t="s">
        <v>729</v>
      </c>
      <c r="D788">
        <v>-50.79</v>
      </c>
      <c r="E788" t="s">
        <v>10</v>
      </c>
      <c r="F788">
        <v>4238.1899999999996</v>
      </c>
      <c r="G788" t="str" cm="1">
        <f t="array" ref="G788">IF(AND(ISNUMBER(SEARCH("UBER",C788)),ISNUMBER(SEARCH("EATS",C788))),"Uber Eats",IF(LEFT(C788,6)="CHECK ","Checks Paid",IF(OR(E788="BILLPAY",ISNUMBER(SEARCH("FRANCHISE TAX",C788)),ISNUMBER(SEARCH("NEXTLINK",C788))),"Personal - House Bills",IF(AND(ISNUMBER(SEARCH("PAYMENT FROM",C788)),ISNUMBER(SEARCH("JOE SAUNDERS",C788))),"Zelle from Joe Saunders",IF(AND(ISNUMBER(SEARCH("PAYMENT TO",C788)),ISNUMBER(SEARCH("JOE SAUNDERS",C788))),"Zelle to Joe Saunders",IF(OR(ISNUMBER(SEARCH("NEW ORLEANS",C788)),ISNUMBER(SEARCH("KENNER",C788)),ISNUMBER(SEARCH("HENRY HOWARD",C788)),ISNUMBER(SEARCH("MISS CLAUDIA",C788))),"Personal Travel - New Orleans",IF(AND(YEAR(B788)=2025,MONTH(B788)=4,OR(ISNUMBER(SEARCH("EXCHANGE RATE",C788)),ISNUMBER(SEARCH("EXCHG RTE",C788)))),"Personal Travel - Italy",IFERROR(INDEX('Category Rules'!$B$2:$B$358,MATCH(TRUE,ISNUMBER(SEARCH('Category Rules'!$A$2:$A$358,C788)),0)),""))))))))</f>
        <v>Personal Travel</v>
      </c>
    </row>
    <row r="789" spans="1:7" x14ac:dyDescent="0.25">
      <c r="A789" t="s">
        <v>6</v>
      </c>
      <c r="B789" s="1">
        <v>45915</v>
      </c>
      <c r="C789" t="s">
        <v>730</v>
      </c>
      <c r="D789">
        <v>-329.48</v>
      </c>
      <c r="E789" t="s">
        <v>10</v>
      </c>
      <c r="F789">
        <v>4288.9799999999996</v>
      </c>
      <c r="G789" t="str" cm="1">
        <f t="array" ref="G789">IF(AND(ISNUMBER(SEARCH("UBER",C789)),ISNUMBER(SEARCH("EATS",C789))),"Uber Eats",IF(LEFT(C789,6)="CHECK ","Checks Paid",IF(OR(E789="BILLPAY",ISNUMBER(SEARCH("FRANCHISE TAX",C789)),ISNUMBER(SEARCH("NEXTLINK",C789))),"Personal - House Bills",IF(AND(ISNUMBER(SEARCH("PAYMENT FROM",C789)),ISNUMBER(SEARCH("JOE SAUNDERS",C789))),"Zelle from Joe Saunders",IF(AND(ISNUMBER(SEARCH("PAYMENT TO",C789)),ISNUMBER(SEARCH("JOE SAUNDERS",C789))),"Zelle to Joe Saunders",IF(OR(ISNUMBER(SEARCH("NEW ORLEANS",C789)),ISNUMBER(SEARCH("KENNER",C789)),ISNUMBER(SEARCH("HENRY HOWARD",C789)),ISNUMBER(SEARCH("MISS CLAUDIA",C789))),"Personal Travel - New Orleans",IF(AND(YEAR(B789)=2025,MONTH(B789)=4,OR(ISNUMBER(SEARCH("EXCHANGE RATE",C789)),ISNUMBER(SEARCH("EXCHG RTE",C789)))),"Personal Travel - Italy",IFERROR(INDEX('Category Rules'!$B$2:$B$358,MATCH(TRUE,ISNUMBER(SEARCH('Category Rules'!$A$2:$A$358,C789)),0)),""))))))))</f>
        <v>Personal Travel</v>
      </c>
    </row>
    <row r="790" spans="1:7" x14ac:dyDescent="0.25">
      <c r="A790" t="s">
        <v>44</v>
      </c>
      <c r="B790" s="1">
        <v>45915</v>
      </c>
      <c r="C790" t="s">
        <v>731</v>
      </c>
      <c r="D790">
        <v>3000</v>
      </c>
      <c r="E790" t="s">
        <v>73</v>
      </c>
      <c r="F790">
        <v>4618.46</v>
      </c>
      <c r="G790" t="str" cm="1">
        <f t="array" ref="G790">IF(AND(ISNUMBER(SEARCH("UBER",C790)),ISNUMBER(SEARCH("EATS",C790))),"Uber Eats",IF(LEFT(C790,6)="CHECK ","Checks Paid",IF(OR(E790="BILLPAY",ISNUMBER(SEARCH("FRANCHISE TAX",C790)),ISNUMBER(SEARCH("NEXTLINK",C790))),"Personal - House Bills",IF(AND(ISNUMBER(SEARCH("PAYMENT FROM",C790)),ISNUMBER(SEARCH("JOE SAUNDERS",C790))),"Zelle from Joe Saunders",IF(AND(ISNUMBER(SEARCH("PAYMENT TO",C790)),ISNUMBER(SEARCH("JOE SAUNDERS",C790))),"Zelle to Joe Saunders",IF(OR(ISNUMBER(SEARCH("NEW ORLEANS",C790)),ISNUMBER(SEARCH("KENNER",C790)),ISNUMBER(SEARCH("HENRY HOWARD",C790)),ISNUMBER(SEARCH("MISS CLAUDIA",C790))),"Personal Travel - New Orleans",IF(AND(YEAR(B790)=2025,MONTH(B790)=4,OR(ISNUMBER(SEARCH("EXCHANGE RATE",C790)),ISNUMBER(SEARCH("EXCHG RTE",C790)))),"Personal Travel - Italy",IFERROR(INDEX('Category Rules'!$B$2:$B$358,MATCH(TRUE,ISNUMBER(SEARCH('Category Rules'!$A$2:$A$358,C790)),0)),""))))))))</f>
        <v>Transfer from DWG Capital Group</v>
      </c>
    </row>
    <row r="791" spans="1:7" x14ac:dyDescent="0.25">
      <c r="A791" t="s">
        <v>6</v>
      </c>
      <c r="B791" s="1">
        <v>45911</v>
      </c>
      <c r="C791" t="s">
        <v>732</v>
      </c>
      <c r="D791">
        <v>-447</v>
      </c>
      <c r="E791" t="s">
        <v>10</v>
      </c>
      <c r="F791">
        <v>1618.46</v>
      </c>
      <c r="G791" t="str" cm="1">
        <f t="array" ref="G791">IF(AND(ISNUMBER(SEARCH("UBER",C791)),ISNUMBER(SEARCH("EATS",C791))),"Uber Eats",IF(LEFT(C791,6)="CHECK ","Checks Paid",IF(OR(E791="BILLPAY",ISNUMBER(SEARCH("FRANCHISE TAX",C791)),ISNUMBER(SEARCH("NEXTLINK",C791))),"Personal - House Bills",IF(AND(ISNUMBER(SEARCH("PAYMENT FROM",C791)),ISNUMBER(SEARCH("JOE SAUNDERS",C791))),"Zelle from Joe Saunders",IF(AND(ISNUMBER(SEARCH("PAYMENT TO",C791)),ISNUMBER(SEARCH("JOE SAUNDERS",C791))),"Zelle to Joe Saunders",IF(OR(ISNUMBER(SEARCH("NEW ORLEANS",C791)),ISNUMBER(SEARCH("KENNER",C791)),ISNUMBER(SEARCH("HENRY HOWARD",C791)),ISNUMBER(SEARCH("MISS CLAUDIA",C791))),"Personal Travel - New Orleans",IF(AND(YEAR(B791)=2025,MONTH(B791)=4,OR(ISNUMBER(SEARCH("EXCHANGE RATE",C791)),ISNUMBER(SEARCH("EXCHG RTE",C791)))),"Personal Travel - Italy",IFERROR(INDEX('Category Rules'!$B$2:$B$358,MATCH(TRUE,ISNUMBER(SEARCH('Category Rules'!$A$2:$A$358,C791)),0)),""))))))))</f>
        <v>Personal - Food</v>
      </c>
    </row>
    <row r="792" spans="1:7" x14ac:dyDescent="0.25">
      <c r="A792" t="s">
        <v>6</v>
      </c>
      <c r="B792" s="1">
        <v>45911</v>
      </c>
      <c r="C792" t="s">
        <v>733</v>
      </c>
      <c r="D792">
        <v>-372</v>
      </c>
      <c r="E792" t="s">
        <v>10</v>
      </c>
      <c r="F792">
        <v>2065.46</v>
      </c>
      <c r="G792" t="str" cm="1">
        <f t="array" ref="G792">IF(AND(ISNUMBER(SEARCH("UBER",C792)),ISNUMBER(SEARCH("EATS",C792))),"Uber Eats",IF(LEFT(C792,6)="CHECK ","Checks Paid",IF(OR(E792="BILLPAY",ISNUMBER(SEARCH("FRANCHISE TAX",C792)),ISNUMBER(SEARCH("NEXTLINK",C792))),"Personal - House Bills",IF(AND(ISNUMBER(SEARCH("PAYMENT FROM",C792)),ISNUMBER(SEARCH("JOE SAUNDERS",C792))),"Zelle from Joe Saunders",IF(AND(ISNUMBER(SEARCH("PAYMENT TO",C792)),ISNUMBER(SEARCH("JOE SAUNDERS",C792))),"Zelle to Joe Saunders",IF(OR(ISNUMBER(SEARCH("NEW ORLEANS",C792)),ISNUMBER(SEARCH("KENNER",C792)),ISNUMBER(SEARCH("HENRY HOWARD",C792)),ISNUMBER(SEARCH("MISS CLAUDIA",C792))),"Personal Travel - New Orleans",IF(AND(YEAR(B792)=2025,MONTH(B792)=4,OR(ISNUMBER(SEARCH("EXCHANGE RATE",C792)),ISNUMBER(SEARCH("EXCHG RTE",C792)))),"Personal Travel - Italy",IFERROR(INDEX('Category Rules'!$B$2:$B$358,MATCH(TRUE,ISNUMBER(SEARCH('Category Rules'!$A$2:$A$358,C792)),0)),""))))))))</f>
        <v>Personal - Entertainment</v>
      </c>
    </row>
    <row r="793" spans="1:7" x14ac:dyDescent="0.25">
      <c r="A793" t="s">
        <v>6</v>
      </c>
      <c r="B793" s="1">
        <v>45911</v>
      </c>
      <c r="C793" t="s">
        <v>734</v>
      </c>
      <c r="D793">
        <v>-25</v>
      </c>
      <c r="E793" t="s">
        <v>10</v>
      </c>
      <c r="F793">
        <v>2437.46</v>
      </c>
      <c r="G793" t="str" cm="1">
        <f t="array" ref="G793">IF(AND(ISNUMBER(SEARCH("UBER",C793)),ISNUMBER(SEARCH("EATS",C793))),"Uber Eats",IF(LEFT(C793,6)="CHECK ","Checks Paid",IF(OR(E793="BILLPAY",ISNUMBER(SEARCH("FRANCHISE TAX",C793)),ISNUMBER(SEARCH("NEXTLINK",C793))),"Personal - House Bills",IF(AND(ISNUMBER(SEARCH("PAYMENT FROM",C793)),ISNUMBER(SEARCH("JOE SAUNDERS",C793))),"Zelle from Joe Saunders",IF(AND(ISNUMBER(SEARCH("PAYMENT TO",C793)),ISNUMBER(SEARCH("JOE SAUNDERS",C793))),"Zelle to Joe Saunders",IF(OR(ISNUMBER(SEARCH("NEW ORLEANS",C793)),ISNUMBER(SEARCH("KENNER",C793)),ISNUMBER(SEARCH("HENRY HOWARD",C793)),ISNUMBER(SEARCH("MISS CLAUDIA",C793))),"Personal Travel - New Orleans",IF(AND(YEAR(B793)=2025,MONTH(B793)=4,OR(ISNUMBER(SEARCH("EXCHANGE RATE",C793)),ISNUMBER(SEARCH("EXCHG RTE",C793)))),"Personal Travel - Italy",IFERROR(INDEX('Category Rules'!$B$2:$B$358,MATCH(TRUE,ISNUMBER(SEARCH('Category Rules'!$A$2:$A$358,C793)),0)),""))))))))</f>
        <v>Amazon</v>
      </c>
    </row>
    <row r="794" spans="1:7" x14ac:dyDescent="0.25">
      <c r="A794" t="s">
        <v>6</v>
      </c>
      <c r="B794" s="1">
        <v>45911</v>
      </c>
      <c r="C794" t="s">
        <v>735</v>
      </c>
      <c r="D794">
        <v>-60.35</v>
      </c>
      <c r="E794" t="s">
        <v>10</v>
      </c>
      <c r="F794">
        <v>2462.46</v>
      </c>
      <c r="G794" t="str" cm="1">
        <f t="array" ref="G794">IF(AND(ISNUMBER(SEARCH("UBER",C794)),ISNUMBER(SEARCH("EATS",C794))),"Uber Eats",IF(LEFT(C794,6)="CHECK ","Checks Paid",IF(OR(E794="BILLPAY",ISNUMBER(SEARCH("FRANCHISE TAX",C794)),ISNUMBER(SEARCH("NEXTLINK",C794))),"Personal - House Bills",IF(AND(ISNUMBER(SEARCH("PAYMENT FROM",C794)),ISNUMBER(SEARCH("JOE SAUNDERS",C794))),"Zelle from Joe Saunders",IF(AND(ISNUMBER(SEARCH("PAYMENT TO",C794)),ISNUMBER(SEARCH("JOE SAUNDERS",C794))),"Zelle to Joe Saunders",IF(OR(ISNUMBER(SEARCH("NEW ORLEANS",C794)),ISNUMBER(SEARCH("KENNER",C794)),ISNUMBER(SEARCH("HENRY HOWARD",C794)),ISNUMBER(SEARCH("MISS CLAUDIA",C794))),"Personal Travel - New Orleans",IF(AND(YEAR(B794)=2025,MONTH(B794)=4,OR(ISNUMBER(SEARCH("EXCHANGE RATE",C794)),ISNUMBER(SEARCH("EXCHG RTE",C794)))),"Personal Travel - Italy",IFERROR(INDEX('Category Rules'!$B$2:$B$358,MATCH(TRUE,ISNUMBER(SEARCH('Category Rules'!$A$2:$A$358,C794)),0)),""))))))))</f>
        <v>Etsy</v>
      </c>
    </row>
    <row r="795" spans="1:7" x14ac:dyDescent="0.25">
      <c r="A795" t="s">
        <v>6</v>
      </c>
      <c r="B795" s="1">
        <v>45910</v>
      </c>
      <c r="C795" t="s">
        <v>736</v>
      </c>
      <c r="D795">
        <v>-118.17</v>
      </c>
      <c r="E795" t="s">
        <v>10</v>
      </c>
      <c r="F795">
        <v>2522.81</v>
      </c>
      <c r="G795" t="str" cm="1">
        <f t="array" ref="G795">IF(AND(ISNUMBER(SEARCH("UBER",C795)),ISNUMBER(SEARCH("EATS",C795))),"Uber Eats",IF(LEFT(C795,6)="CHECK ","Checks Paid",IF(OR(E795="BILLPAY",ISNUMBER(SEARCH("FRANCHISE TAX",C795)),ISNUMBER(SEARCH("NEXTLINK",C795))),"Personal - House Bills",IF(AND(ISNUMBER(SEARCH("PAYMENT FROM",C795)),ISNUMBER(SEARCH("JOE SAUNDERS",C795))),"Zelle from Joe Saunders",IF(AND(ISNUMBER(SEARCH("PAYMENT TO",C795)),ISNUMBER(SEARCH("JOE SAUNDERS",C795))),"Zelle to Joe Saunders",IF(OR(ISNUMBER(SEARCH("NEW ORLEANS",C795)),ISNUMBER(SEARCH("KENNER",C795)),ISNUMBER(SEARCH("HENRY HOWARD",C795)),ISNUMBER(SEARCH("MISS CLAUDIA",C795))),"Personal Travel - New Orleans",IF(AND(YEAR(B795)=2025,MONTH(B795)=4,OR(ISNUMBER(SEARCH("EXCHANGE RATE",C795)),ISNUMBER(SEARCH("EXCHG RTE",C795)))),"Personal Travel - Italy",IFERROR(INDEX('Category Rules'!$B$2:$B$358,MATCH(TRUE,ISNUMBER(SEARCH('Category Rules'!$A$2:$A$358,C795)),0)),""))))))))</f>
        <v>Personal - Uber</v>
      </c>
    </row>
    <row r="796" spans="1:7" x14ac:dyDescent="0.25">
      <c r="A796" t="s">
        <v>6</v>
      </c>
      <c r="B796" s="1">
        <v>45910</v>
      </c>
      <c r="C796" t="s">
        <v>737</v>
      </c>
      <c r="D796">
        <v>-99.58</v>
      </c>
      <c r="E796" t="s">
        <v>10</v>
      </c>
      <c r="F796">
        <v>2640.98</v>
      </c>
      <c r="G796" t="str" cm="1">
        <f t="array" ref="G796">IF(AND(ISNUMBER(SEARCH("UBER",C796)),ISNUMBER(SEARCH("EATS",C796))),"Uber Eats",IF(LEFT(C796,6)="CHECK ","Checks Paid",IF(OR(E796="BILLPAY",ISNUMBER(SEARCH("FRANCHISE TAX",C796)),ISNUMBER(SEARCH("NEXTLINK",C796))),"Personal - House Bills",IF(AND(ISNUMBER(SEARCH("PAYMENT FROM",C796)),ISNUMBER(SEARCH("JOE SAUNDERS",C796))),"Zelle from Joe Saunders",IF(AND(ISNUMBER(SEARCH("PAYMENT TO",C796)),ISNUMBER(SEARCH("JOE SAUNDERS",C796))),"Zelle to Joe Saunders",IF(OR(ISNUMBER(SEARCH("NEW ORLEANS",C796)),ISNUMBER(SEARCH("KENNER",C796)),ISNUMBER(SEARCH("HENRY HOWARD",C796)),ISNUMBER(SEARCH("MISS CLAUDIA",C796))),"Personal Travel - New Orleans",IF(AND(YEAR(B796)=2025,MONTH(B796)=4,OR(ISNUMBER(SEARCH("EXCHANGE RATE",C796)),ISNUMBER(SEARCH("EXCHG RTE",C796)))),"Personal Travel - Italy",IFERROR(INDEX('Category Rules'!$B$2:$B$358,MATCH(TRUE,ISNUMBER(SEARCH('Category Rules'!$A$2:$A$358,C796)),0)),""))))))))</f>
        <v>Personal - Uber</v>
      </c>
    </row>
    <row r="797" spans="1:7" x14ac:dyDescent="0.25">
      <c r="A797" t="s">
        <v>6</v>
      </c>
      <c r="B797" s="1">
        <v>45910</v>
      </c>
      <c r="C797" t="s">
        <v>738</v>
      </c>
      <c r="D797">
        <v>-47.09</v>
      </c>
      <c r="E797" t="s">
        <v>10</v>
      </c>
      <c r="F797">
        <v>2740.56</v>
      </c>
      <c r="G797" t="str" cm="1">
        <f t="array" ref="G797">IF(AND(ISNUMBER(SEARCH("UBER",C797)),ISNUMBER(SEARCH("EATS",C797))),"Uber Eats",IF(LEFT(C797,6)="CHECK ","Checks Paid",IF(OR(E797="BILLPAY",ISNUMBER(SEARCH("FRANCHISE TAX",C797)),ISNUMBER(SEARCH("NEXTLINK",C797))),"Personal - House Bills",IF(AND(ISNUMBER(SEARCH("PAYMENT FROM",C797)),ISNUMBER(SEARCH("JOE SAUNDERS",C797))),"Zelle from Joe Saunders",IF(AND(ISNUMBER(SEARCH("PAYMENT TO",C797)),ISNUMBER(SEARCH("JOE SAUNDERS",C797))),"Zelle to Joe Saunders",IF(OR(ISNUMBER(SEARCH("NEW ORLEANS",C797)),ISNUMBER(SEARCH("KENNER",C797)),ISNUMBER(SEARCH("HENRY HOWARD",C797)),ISNUMBER(SEARCH("MISS CLAUDIA",C797))),"Personal Travel - New Orleans",IF(AND(YEAR(B797)=2025,MONTH(B797)=4,OR(ISNUMBER(SEARCH("EXCHANGE RATE",C797)),ISNUMBER(SEARCH("EXCHG RTE",C797)))),"Personal Travel - Italy",IFERROR(INDEX('Category Rules'!$B$2:$B$358,MATCH(TRUE,ISNUMBER(SEARCH('Category Rules'!$A$2:$A$358,C797)),0)),""))))))))</f>
        <v>Amazon</v>
      </c>
    </row>
    <row r="798" spans="1:7" x14ac:dyDescent="0.25">
      <c r="A798" t="s">
        <v>6</v>
      </c>
      <c r="B798" s="1">
        <v>45910</v>
      </c>
      <c r="C798" t="s">
        <v>739</v>
      </c>
      <c r="D798">
        <v>-351.63</v>
      </c>
      <c r="E798" t="s">
        <v>10</v>
      </c>
      <c r="F798">
        <v>2787.65</v>
      </c>
      <c r="G798" t="str" cm="1">
        <f t="array" ref="G798">IF(AND(ISNUMBER(SEARCH("UBER",C798)),ISNUMBER(SEARCH("EATS",C798))),"Uber Eats",IF(LEFT(C798,6)="CHECK ","Checks Paid",IF(OR(E798="BILLPAY",ISNUMBER(SEARCH("FRANCHISE TAX",C798)),ISNUMBER(SEARCH("NEXTLINK",C798))),"Personal - House Bills",IF(AND(ISNUMBER(SEARCH("PAYMENT FROM",C798)),ISNUMBER(SEARCH("JOE SAUNDERS",C798))),"Zelle from Joe Saunders",IF(AND(ISNUMBER(SEARCH("PAYMENT TO",C798)),ISNUMBER(SEARCH("JOE SAUNDERS",C798))),"Zelle to Joe Saunders",IF(OR(ISNUMBER(SEARCH("NEW ORLEANS",C798)),ISNUMBER(SEARCH("KENNER",C798)),ISNUMBER(SEARCH("HENRY HOWARD",C798)),ISNUMBER(SEARCH("MISS CLAUDIA",C798))),"Personal Travel - New Orleans",IF(AND(YEAR(B798)=2025,MONTH(B798)=4,OR(ISNUMBER(SEARCH("EXCHANGE RATE",C798)),ISNUMBER(SEARCH("EXCHG RTE",C798)))),"Personal Travel - Italy",IFERROR(INDEX('Category Rules'!$B$2:$B$358,MATCH(TRUE,ISNUMBER(SEARCH('Category Rules'!$A$2:$A$358,C798)),0)),""))))))))</f>
        <v>Personal - Food</v>
      </c>
    </row>
    <row r="799" spans="1:7" x14ac:dyDescent="0.25">
      <c r="A799" t="s">
        <v>6</v>
      </c>
      <c r="B799" s="1">
        <v>45910</v>
      </c>
      <c r="C799" t="s">
        <v>740</v>
      </c>
      <c r="D799">
        <v>-45.82</v>
      </c>
      <c r="E799" t="s">
        <v>10</v>
      </c>
      <c r="F799">
        <v>3139.28</v>
      </c>
      <c r="G799" t="str" cm="1">
        <f t="array" ref="G799">IF(AND(ISNUMBER(SEARCH("UBER",C799)),ISNUMBER(SEARCH("EATS",C799))),"Uber Eats",IF(LEFT(C799,6)="CHECK ","Checks Paid",IF(OR(E799="BILLPAY",ISNUMBER(SEARCH("FRANCHISE TAX",C799)),ISNUMBER(SEARCH("NEXTLINK",C799))),"Personal - House Bills",IF(AND(ISNUMBER(SEARCH("PAYMENT FROM",C799)),ISNUMBER(SEARCH("JOE SAUNDERS",C799))),"Zelle from Joe Saunders",IF(AND(ISNUMBER(SEARCH("PAYMENT TO",C799)),ISNUMBER(SEARCH("JOE SAUNDERS",C799))),"Zelle to Joe Saunders",IF(OR(ISNUMBER(SEARCH("NEW ORLEANS",C799)),ISNUMBER(SEARCH("KENNER",C799)),ISNUMBER(SEARCH("HENRY HOWARD",C799)),ISNUMBER(SEARCH("MISS CLAUDIA",C799))),"Personal Travel - New Orleans",IF(AND(YEAR(B799)=2025,MONTH(B799)=4,OR(ISNUMBER(SEARCH("EXCHANGE RATE",C799)),ISNUMBER(SEARCH("EXCHG RTE",C799)))),"Personal Travel - Italy",IFERROR(INDEX('Category Rules'!$B$2:$B$358,MATCH(TRUE,ISNUMBER(SEARCH('Category Rules'!$A$2:$A$358,C799)),0)),""))))))))</f>
        <v>Personal - Misc</v>
      </c>
    </row>
    <row r="800" spans="1:7" x14ac:dyDescent="0.25">
      <c r="A800" t="s">
        <v>6</v>
      </c>
      <c r="B800" s="1">
        <v>45910</v>
      </c>
      <c r="C800" t="s">
        <v>741</v>
      </c>
      <c r="D800">
        <v>-185.51</v>
      </c>
      <c r="E800" t="s">
        <v>10</v>
      </c>
      <c r="F800">
        <v>3185.1</v>
      </c>
      <c r="G800" t="str" cm="1">
        <f t="array" ref="G800">IF(AND(ISNUMBER(SEARCH("UBER",C800)),ISNUMBER(SEARCH("EATS",C800))),"Uber Eats",IF(LEFT(C800,6)="CHECK ","Checks Paid",IF(OR(E800="BILLPAY",ISNUMBER(SEARCH("FRANCHISE TAX",C800)),ISNUMBER(SEARCH("NEXTLINK",C800))),"Personal - House Bills",IF(AND(ISNUMBER(SEARCH("PAYMENT FROM",C800)),ISNUMBER(SEARCH("JOE SAUNDERS",C800))),"Zelle from Joe Saunders",IF(AND(ISNUMBER(SEARCH("PAYMENT TO",C800)),ISNUMBER(SEARCH("JOE SAUNDERS",C800))),"Zelle to Joe Saunders",IF(OR(ISNUMBER(SEARCH("NEW ORLEANS",C800)),ISNUMBER(SEARCH("KENNER",C800)),ISNUMBER(SEARCH("HENRY HOWARD",C800)),ISNUMBER(SEARCH("MISS CLAUDIA",C800))),"Personal Travel - New Orleans",IF(AND(YEAR(B800)=2025,MONTH(B800)=4,OR(ISNUMBER(SEARCH("EXCHANGE RATE",C800)),ISNUMBER(SEARCH("EXCHG RTE",C800)))),"Personal Travel - Italy",IFERROR(INDEX('Category Rules'!$B$2:$B$358,MATCH(TRUE,ISNUMBER(SEARCH('Category Rules'!$A$2:$A$358,C800)),0)),""))))))))</f>
        <v>Amazon</v>
      </c>
    </row>
    <row r="801" spans="1:7" x14ac:dyDescent="0.25">
      <c r="A801" t="s">
        <v>6</v>
      </c>
      <c r="B801" s="1">
        <v>45909</v>
      </c>
      <c r="C801" t="s">
        <v>742</v>
      </c>
      <c r="D801">
        <v>-12.99</v>
      </c>
      <c r="E801" t="s">
        <v>10</v>
      </c>
      <c r="F801">
        <v>3370.61</v>
      </c>
      <c r="G801" t="str" cm="1">
        <f t="array" ref="G801">IF(AND(ISNUMBER(SEARCH("UBER",C801)),ISNUMBER(SEARCH("EATS",C801))),"Uber Eats",IF(LEFT(C801,6)="CHECK ","Checks Paid",IF(OR(E801="BILLPAY",ISNUMBER(SEARCH("FRANCHISE TAX",C801)),ISNUMBER(SEARCH("NEXTLINK",C801))),"Personal - House Bills",IF(AND(ISNUMBER(SEARCH("PAYMENT FROM",C801)),ISNUMBER(SEARCH("JOE SAUNDERS",C801))),"Zelle from Joe Saunders",IF(AND(ISNUMBER(SEARCH("PAYMENT TO",C801)),ISNUMBER(SEARCH("JOE SAUNDERS",C801))),"Zelle to Joe Saunders",IF(OR(ISNUMBER(SEARCH("NEW ORLEANS",C801)),ISNUMBER(SEARCH("KENNER",C801)),ISNUMBER(SEARCH("HENRY HOWARD",C801)),ISNUMBER(SEARCH("MISS CLAUDIA",C801))),"Personal Travel - New Orleans",IF(AND(YEAR(B801)=2025,MONTH(B801)=4,OR(ISNUMBER(SEARCH("EXCHANGE RATE",C801)),ISNUMBER(SEARCH("EXCHG RTE",C801)))),"Personal Travel - Italy",IFERROR(INDEX('Category Rules'!$B$2:$B$358,MATCH(TRUE,ISNUMBER(SEARCH('Category Rules'!$A$2:$A$358,C801)),0)),""))))))))</f>
        <v>Apple</v>
      </c>
    </row>
    <row r="802" spans="1:7" x14ac:dyDescent="0.25">
      <c r="A802" t="s">
        <v>6</v>
      </c>
      <c r="B802" s="1">
        <v>45909</v>
      </c>
      <c r="C802" t="s">
        <v>743</v>
      </c>
      <c r="D802">
        <v>-6.99</v>
      </c>
      <c r="E802" t="s">
        <v>10</v>
      </c>
      <c r="F802">
        <v>3383.6</v>
      </c>
      <c r="G802" t="str" cm="1">
        <f t="array" ref="G802">IF(AND(ISNUMBER(SEARCH("UBER",C802)),ISNUMBER(SEARCH("EATS",C802))),"Uber Eats",IF(LEFT(C802,6)="CHECK ","Checks Paid",IF(OR(E802="BILLPAY",ISNUMBER(SEARCH("FRANCHISE TAX",C802)),ISNUMBER(SEARCH("NEXTLINK",C802))),"Personal - House Bills",IF(AND(ISNUMBER(SEARCH("PAYMENT FROM",C802)),ISNUMBER(SEARCH("JOE SAUNDERS",C802))),"Zelle from Joe Saunders",IF(AND(ISNUMBER(SEARCH("PAYMENT TO",C802)),ISNUMBER(SEARCH("JOE SAUNDERS",C802))),"Zelle to Joe Saunders",IF(OR(ISNUMBER(SEARCH("NEW ORLEANS",C802)),ISNUMBER(SEARCH("KENNER",C802)),ISNUMBER(SEARCH("HENRY HOWARD",C802)),ISNUMBER(SEARCH("MISS CLAUDIA",C802))),"Personal Travel - New Orleans",IF(AND(YEAR(B802)=2025,MONTH(B802)=4,OR(ISNUMBER(SEARCH("EXCHANGE RATE",C802)),ISNUMBER(SEARCH("EXCHG RTE",C802)))),"Personal Travel - Italy",IFERROR(INDEX('Category Rules'!$B$2:$B$358,MATCH(TRUE,ISNUMBER(SEARCH('Category Rules'!$A$2:$A$358,C802)),0)),""))))))))</f>
        <v>Apple</v>
      </c>
    </row>
    <row r="803" spans="1:7" x14ac:dyDescent="0.25">
      <c r="A803" t="s">
        <v>6</v>
      </c>
      <c r="B803" s="1">
        <v>45909</v>
      </c>
      <c r="C803" t="s">
        <v>744</v>
      </c>
      <c r="D803">
        <v>-37.270000000000003</v>
      </c>
      <c r="E803" t="s">
        <v>10</v>
      </c>
      <c r="F803">
        <v>3390.59</v>
      </c>
      <c r="G803" t="str" cm="1">
        <f t="array" ref="G803">IF(AND(ISNUMBER(SEARCH("UBER",C803)),ISNUMBER(SEARCH("EATS",C803))),"Uber Eats",IF(LEFT(C803,6)="CHECK ","Checks Paid",IF(OR(E803="BILLPAY",ISNUMBER(SEARCH("FRANCHISE TAX",C803)),ISNUMBER(SEARCH("NEXTLINK",C803))),"Personal - House Bills",IF(AND(ISNUMBER(SEARCH("PAYMENT FROM",C803)),ISNUMBER(SEARCH("JOE SAUNDERS",C803))),"Zelle from Joe Saunders",IF(AND(ISNUMBER(SEARCH("PAYMENT TO",C803)),ISNUMBER(SEARCH("JOE SAUNDERS",C803))),"Zelle to Joe Saunders",IF(OR(ISNUMBER(SEARCH("NEW ORLEANS",C803)),ISNUMBER(SEARCH("KENNER",C803)),ISNUMBER(SEARCH("HENRY HOWARD",C803)),ISNUMBER(SEARCH("MISS CLAUDIA",C803))),"Personal Travel - New Orleans",IF(AND(YEAR(B803)=2025,MONTH(B803)=4,OR(ISNUMBER(SEARCH("EXCHANGE RATE",C803)),ISNUMBER(SEARCH("EXCHG RTE",C803)))),"Personal Travel - Italy",IFERROR(INDEX('Category Rules'!$B$2:$B$358,MATCH(TRUE,ISNUMBER(SEARCH('Category Rules'!$A$2:$A$358,C803)),0)),""))))))))</f>
        <v>Amazon</v>
      </c>
    </row>
    <row r="804" spans="1:7" x14ac:dyDescent="0.25">
      <c r="A804" t="s">
        <v>6</v>
      </c>
      <c r="B804" s="1">
        <v>45909</v>
      </c>
      <c r="C804" t="s">
        <v>745</v>
      </c>
      <c r="D804">
        <v>-21.94</v>
      </c>
      <c r="E804" t="s">
        <v>10</v>
      </c>
      <c r="F804">
        <v>3427.86</v>
      </c>
      <c r="G804" t="str" cm="1">
        <f t="array" ref="G804">IF(AND(ISNUMBER(SEARCH("UBER",C804)),ISNUMBER(SEARCH("EATS",C804))),"Uber Eats",IF(LEFT(C804,6)="CHECK ","Checks Paid",IF(OR(E804="BILLPAY",ISNUMBER(SEARCH("FRANCHISE TAX",C804)),ISNUMBER(SEARCH("NEXTLINK",C804))),"Personal - House Bills",IF(AND(ISNUMBER(SEARCH("PAYMENT FROM",C804)),ISNUMBER(SEARCH("JOE SAUNDERS",C804))),"Zelle from Joe Saunders",IF(AND(ISNUMBER(SEARCH("PAYMENT TO",C804)),ISNUMBER(SEARCH("JOE SAUNDERS",C804))),"Zelle to Joe Saunders",IF(OR(ISNUMBER(SEARCH("NEW ORLEANS",C804)),ISNUMBER(SEARCH("KENNER",C804)),ISNUMBER(SEARCH("HENRY HOWARD",C804)),ISNUMBER(SEARCH("MISS CLAUDIA",C804))),"Personal Travel - New Orleans",IF(AND(YEAR(B804)=2025,MONTH(B804)=4,OR(ISNUMBER(SEARCH("EXCHANGE RATE",C804)),ISNUMBER(SEARCH("EXCHG RTE",C804)))),"Personal Travel - Italy",IFERROR(INDEX('Category Rules'!$B$2:$B$358,MATCH(TRUE,ISNUMBER(SEARCH('Category Rules'!$A$2:$A$358,C804)),0)),""))))))))</f>
        <v>Amazon</v>
      </c>
    </row>
    <row r="805" spans="1:7" x14ac:dyDescent="0.25">
      <c r="A805" t="s">
        <v>44</v>
      </c>
      <c r="B805" s="1">
        <v>45909</v>
      </c>
      <c r="C805" t="s">
        <v>746</v>
      </c>
      <c r="D805">
        <v>2000</v>
      </c>
      <c r="E805" t="s">
        <v>73</v>
      </c>
      <c r="F805">
        <v>3449.8</v>
      </c>
      <c r="G805" t="str" cm="1">
        <f t="array" ref="G805">IF(AND(ISNUMBER(SEARCH("UBER",C805)),ISNUMBER(SEARCH("EATS",C805))),"Uber Eats",IF(LEFT(C805,6)="CHECK ","Checks Paid",IF(OR(E805="BILLPAY",ISNUMBER(SEARCH("FRANCHISE TAX",C805)),ISNUMBER(SEARCH("NEXTLINK",C805))),"Personal - House Bills",IF(AND(ISNUMBER(SEARCH("PAYMENT FROM",C805)),ISNUMBER(SEARCH("JOE SAUNDERS",C805))),"Zelle from Joe Saunders",IF(AND(ISNUMBER(SEARCH("PAYMENT TO",C805)),ISNUMBER(SEARCH("JOE SAUNDERS",C805))),"Zelle to Joe Saunders",IF(OR(ISNUMBER(SEARCH("NEW ORLEANS",C805)),ISNUMBER(SEARCH("KENNER",C805)),ISNUMBER(SEARCH("HENRY HOWARD",C805)),ISNUMBER(SEARCH("MISS CLAUDIA",C805))),"Personal Travel - New Orleans",IF(AND(YEAR(B805)=2025,MONTH(B805)=4,OR(ISNUMBER(SEARCH("EXCHANGE RATE",C805)),ISNUMBER(SEARCH("EXCHG RTE",C805)))),"Personal Travel - Italy",IFERROR(INDEX('Category Rules'!$B$2:$B$358,MATCH(TRUE,ISNUMBER(SEARCH('Category Rules'!$A$2:$A$358,C805)),0)),""))))))))</f>
        <v>Transfer from DWG Capital Group</v>
      </c>
    </row>
    <row r="806" spans="1:7" x14ac:dyDescent="0.25">
      <c r="A806" t="s">
        <v>6</v>
      </c>
      <c r="B806" s="1">
        <v>45908</v>
      </c>
      <c r="C806" t="s">
        <v>747</v>
      </c>
      <c r="D806">
        <v>-42.5</v>
      </c>
      <c r="E806" t="s">
        <v>10</v>
      </c>
      <c r="F806">
        <v>1449.8</v>
      </c>
      <c r="G806" t="str" cm="1">
        <f t="array" ref="G806">IF(AND(ISNUMBER(SEARCH("UBER",C806)),ISNUMBER(SEARCH("EATS",C806))),"Uber Eats",IF(LEFT(C806,6)="CHECK ","Checks Paid",IF(OR(E806="BILLPAY",ISNUMBER(SEARCH("FRANCHISE TAX",C806)),ISNUMBER(SEARCH("NEXTLINK",C806))),"Personal - House Bills",IF(AND(ISNUMBER(SEARCH("PAYMENT FROM",C806)),ISNUMBER(SEARCH("JOE SAUNDERS",C806))),"Zelle from Joe Saunders",IF(AND(ISNUMBER(SEARCH("PAYMENT TO",C806)),ISNUMBER(SEARCH("JOE SAUNDERS",C806))),"Zelle to Joe Saunders",IF(OR(ISNUMBER(SEARCH("NEW ORLEANS",C806)),ISNUMBER(SEARCH("KENNER",C806)),ISNUMBER(SEARCH("HENRY HOWARD",C806)),ISNUMBER(SEARCH("MISS CLAUDIA",C806))),"Personal Travel - New Orleans",IF(AND(YEAR(B806)=2025,MONTH(B806)=4,OR(ISNUMBER(SEARCH("EXCHANGE RATE",C806)),ISNUMBER(SEARCH("EXCHG RTE",C806)))),"Personal Travel - Italy",IFERROR(INDEX('Category Rules'!$B$2:$B$358,MATCH(TRUE,ISNUMBER(SEARCH('Category Rules'!$A$2:$A$358,C806)),0)),""))))))))</f>
        <v>Uber Eats</v>
      </c>
    </row>
    <row r="807" spans="1:7" x14ac:dyDescent="0.25">
      <c r="A807" t="s">
        <v>6</v>
      </c>
      <c r="B807" s="1">
        <v>45908</v>
      </c>
      <c r="C807" t="s">
        <v>748</v>
      </c>
      <c r="D807">
        <v>-13.99</v>
      </c>
      <c r="E807" t="s">
        <v>10</v>
      </c>
      <c r="F807">
        <v>1492.3</v>
      </c>
      <c r="G807" t="str" cm="1">
        <f t="array" ref="G807">IF(AND(ISNUMBER(SEARCH("UBER",C807)),ISNUMBER(SEARCH("EATS",C807))),"Uber Eats",IF(LEFT(C807,6)="CHECK ","Checks Paid",IF(OR(E807="BILLPAY",ISNUMBER(SEARCH("FRANCHISE TAX",C807)),ISNUMBER(SEARCH("NEXTLINK",C807))),"Personal - House Bills",IF(AND(ISNUMBER(SEARCH("PAYMENT FROM",C807)),ISNUMBER(SEARCH("JOE SAUNDERS",C807))),"Zelle from Joe Saunders",IF(AND(ISNUMBER(SEARCH("PAYMENT TO",C807)),ISNUMBER(SEARCH("JOE SAUNDERS",C807))),"Zelle to Joe Saunders",IF(OR(ISNUMBER(SEARCH("NEW ORLEANS",C807)),ISNUMBER(SEARCH("KENNER",C807)),ISNUMBER(SEARCH("HENRY HOWARD",C807)),ISNUMBER(SEARCH("MISS CLAUDIA",C807))),"Personal Travel - New Orleans",IF(AND(YEAR(B807)=2025,MONTH(B807)=4,OR(ISNUMBER(SEARCH("EXCHANGE RATE",C807)),ISNUMBER(SEARCH("EXCHG RTE",C807)))),"Personal Travel - Italy",IFERROR(INDEX('Category Rules'!$B$2:$B$358,MATCH(TRUE,ISNUMBER(SEARCH('Category Rules'!$A$2:$A$358,C807)),0)),""))))))))</f>
        <v>Amazon</v>
      </c>
    </row>
    <row r="808" spans="1:7" x14ac:dyDescent="0.25">
      <c r="A808" t="s">
        <v>6</v>
      </c>
      <c r="B808" s="1">
        <v>45908</v>
      </c>
      <c r="C808" t="s">
        <v>749</v>
      </c>
      <c r="D808">
        <v>-38.82</v>
      </c>
      <c r="E808" t="s">
        <v>10</v>
      </c>
      <c r="F808">
        <v>1506.29</v>
      </c>
      <c r="G808" t="str" cm="1">
        <f t="array" ref="G808">IF(AND(ISNUMBER(SEARCH("UBER",C808)),ISNUMBER(SEARCH("EATS",C808))),"Uber Eats",IF(LEFT(C808,6)="CHECK ","Checks Paid",IF(OR(E808="BILLPAY",ISNUMBER(SEARCH("FRANCHISE TAX",C808)),ISNUMBER(SEARCH("NEXTLINK",C808))),"Personal - House Bills",IF(AND(ISNUMBER(SEARCH("PAYMENT FROM",C808)),ISNUMBER(SEARCH("JOE SAUNDERS",C808))),"Zelle from Joe Saunders",IF(AND(ISNUMBER(SEARCH("PAYMENT TO",C808)),ISNUMBER(SEARCH("JOE SAUNDERS",C808))),"Zelle to Joe Saunders",IF(OR(ISNUMBER(SEARCH("NEW ORLEANS",C808)),ISNUMBER(SEARCH("KENNER",C808)),ISNUMBER(SEARCH("HENRY HOWARD",C808)),ISNUMBER(SEARCH("MISS CLAUDIA",C808))),"Personal Travel - New Orleans",IF(AND(YEAR(B808)=2025,MONTH(B808)=4,OR(ISNUMBER(SEARCH("EXCHANGE RATE",C808)),ISNUMBER(SEARCH("EXCHG RTE",C808)))),"Personal Travel - Italy",IFERROR(INDEX('Category Rules'!$B$2:$B$358,MATCH(TRUE,ISNUMBER(SEARCH('Category Rules'!$A$2:$A$358,C808)),0)),""))))))))</f>
        <v>Uber Eats</v>
      </c>
    </row>
    <row r="809" spans="1:7" x14ac:dyDescent="0.25">
      <c r="A809" t="s">
        <v>6</v>
      </c>
      <c r="B809" s="1">
        <v>45908</v>
      </c>
      <c r="C809" t="s">
        <v>750</v>
      </c>
      <c r="D809">
        <v>-38.4</v>
      </c>
      <c r="E809" t="s">
        <v>10</v>
      </c>
      <c r="F809">
        <v>1545.11</v>
      </c>
      <c r="G809" t="str" cm="1">
        <f t="array" ref="G809">IF(AND(ISNUMBER(SEARCH("UBER",C809)),ISNUMBER(SEARCH("EATS",C809))),"Uber Eats",IF(LEFT(C809,6)="CHECK ","Checks Paid",IF(OR(E809="BILLPAY",ISNUMBER(SEARCH("FRANCHISE TAX",C809)),ISNUMBER(SEARCH("NEXTLINK",C809))),"Personal - House Bills",IF(AND(ISNUMBER(SEARCH("PAYMENT FROM",C809)),ISNUMBER(SEARCH("JOE SAUNDERS",C809))),"Zelle from Joe Saunders",IF(AND(ISNUMBER(SEARCH("PAYMENT TO",C809)),ISNUMBER(SEARCH("JOE SAUNDERS",C809))),"Zelle to Joe Saunders",IF(OR(ISNUMBER(SEARCH("NEW ORLEANS",C809)),ISNUMBER(SEARCH("KENNER",C809)),ISNUMBER(SEARCH("HENRY HOWARD",C809)),ISNUMBER(SEARCH("MISS CLAUDIA",C809))),"Personal Travel - New Orleans",IF(AND(YEAR(B809)=2025,MONTH(B809)=4,OR(ISNUMBER(SEARCH("EXCHANGE RATE",C809)),ISNUMBER(SEARCH("EXCHG RTE",C809)))),"Personal Travel - Italy",IFERROR(INDEX('Category Rules'!$B$2:$B$358,MATCH(TRUE,ISNUMBER(SEARCH('Category Rules'!$A$2:$A$358,C809)),0)),""))))))))</f>
        <v>Amazon</v>
      </c>
    </row>
    <row r="810" spans="1:7" x14ac:dyDescent="0.25">
      <c r="A810" t="s">
        <v>6</v>
      </c>
      <c r="B810" s="1">
        <v>45908</v>
      </c>
      <c r="C810" t="s">
        <v>751</v>
      </c>
      <c r="D810">
        <v>-133.24</v>
      </c>
      <c r="E810" t="s">
        <v>10</v>
      </c>
      <c r="F810">
        <v>1583.51</v>
      </c>
      <c r="G810" t="str" cm="1">
        <f t="array" ref="G810">IF(AND(ISNUMBER(SEARCH("UBER",C810)),ISNUMBER(SEARCH("EATS",C810))),"Uber Eats",IF(LEFT(C810,6)="CHECK ","Checks Paid",IF(OR(E810="BILLPAY",ISNUMBER(SEARCH("FRANCHISE TAX",C810)),ISNUMBER(SEARCH("NEXTLINK",C810))),"Personal - House Bills",IF(AND(ISNUMBER(SEARCH("PAYMENT FROM",C810)),ISNUMBER(SEARCH("JOE SAUNDERS",C810))),"Zelle from Joe Saunders",IF(AND(ISNUMBER(SEARCH("PAYMENT TO",C810)),ISNUMBER(SEARCH("JOE SAUNDERS",C810))),"Zelle to Joe Saunders",IF(OR(ISNUMBER(SEARCH("NEW ORLEANS",C810)),ISNUMBER(SEARCH("KENNER",C810)),ISNUMBER(SEARCH("HENRY HOWARD",C810)),ISNUMBER(SEARCH("MISS CLAUDIA",C810))),"Personal Travel - New Orleans",IF(AND(YEAR(B810)=2025,MONTH(B810)=4,OR(ISNUMBER(SEARCH("EXCHANGE RATE",C810)),ISNUMBER(SEARCH("EXCHG RTE",C810)))),"Personal Travel - Italy",IFERROR(INDEX('Category Rules'!$B$2:$B$358,MATCH(TRUE,ISNUMBER(SEARCH('Category Rules'!$A$2:$A$358,C810)),0)),""))))))))</f>
        <v>Personal - Health</v>
      </c>
    </row>
    <row r="811" spans="1:7" x14ac:dyDescent="0.25">
      <c r="A811" t="s">
        <v>6</v>
      </c>
      <c r="B811" s="1">
        <v>45908</v>
      </c>
      <c r="C811" t="s">
        <v>752</v>
      </c>
      <c r="D811">
        <v>-51.42</v>
      </c>
      <c r="E811" t="s">
        <v>10</v>
      </c>
      <c r="F811">
        <v>1716.75</v>
      </c>
      <c r="G811" t="str" cm="1">
        <f t="array" ref="G811">IF(AND(ISNUMBER(SEARCH("UBER",C811)),ISNUMBER(SEARCH("EATS",C811))),"Uber Eats",IF(LEFT(C811,6)="CHECK ","Checks Paid",IF(OR(E811="BILLPAY",ISNUMBER(SEARCH("FRANCHISE TAX",C811)),ISNUMBER(SEARCH("NEXTLINK",C811))),"Personal - House Bills",IF(AND(ISNUMBER(SEARCH("PAYMENT FROM",C811)),ISNUMBER(SEARCH("JOE SAUNDERS",C811))),"Zelle from Joe Saunders",IF(AND(ISNUMBER(SEARCH("PAYMENT TO",C811)),ISNUMBER(SEARCH("JOE SAUNDERS",C811))),"Zelle to Joe Saunders",IF(OR(ISNUMBER(SEARCH("NEW ORLEANS",C811)),ISNUMBER(SEARCH("KENNER",C811)),ISNUMBER(SEARCH("HENRY HOWARD",C811)),ISNUMBER(SEARCH("MISS CLAUDIA",C811))),"Personal Travel - New Orleans",IF(AND(YEAR(B811)=2025,MONTH(B811)=4,OR(ISNUMBER(SEARCH("EXCHANGE RATE",C811)),ISNUMBER(SEARCH("EXCHG RTE",C811)))),"Personal Travel - Italy",IFERROR(INDEX('Category Rules'!$B$2:$B$358,MATCH(TRUE,ISNUMBER(SEARCH('Category Rules'!$A$2:$A$358,C811)),0)),""))))))))</f>
        <v>Personal - Uber</v>
      </c>
    </row>
    <row r="812" spans="1:7" x14ac:dyDescent="0.25">
      <c r="A812" t="s">
        <v>6</v>
      </c>
      <c r="B812" s="1">
        <v>45908</v>
      </c>
      <c r="C812" t="s">
        <v>753</v>
      </c>
      <c r="D812">
        <v>-90</v>
      </c>
      <c r="E812" t="s">
        <v>10</v>
      </c>
      <c r="F812">
        <v>1768.17</v>
      </c>
      <c r="G812" t="str" cm="1">
        <f t="array" ref="G812">IF(AND(ISNUMBER(SEARCH("UBER",C812)),ISNUMBER(SEARCH("EATS",C812))),"Uber Eats",IF(LEFT(C812,6)="CHECK ","Checks Paid",IF(OR(E812="BILLPAY",ISNUMBER(SEARCH("FRANCHISE TAX",C812)),ISNUMBER(SEARCH("NEXTLINK",C812))),"Personal - House Bills",IF(AND(ISNUMBER(SEARCH("PAYMENT FROM",C812)),ISNUMBER(SEARCH("JOE SAUNDERS",C812))),"Zelle from Joe Saunders",IF(AND(ISNUMBER(SEARCH("PAYMENT TO",C812)),ISNUMBER(SEARCH("JOE SAUNDERS",C812))),"Zelle to Joe Saunders",IF(OR(ISNUMBER(SEARCH("NEW ORLEANS",C812)),ISNUMBER(SEARCH("KENNER",C812)),ISNUMBER(SEARCH("HENRY HOWARD",C812)),ISNUMBER(SEARCH("MISS CLAUDIA",C812))),"Personal Travel - New Orleans",IF(AND(YEAR(B812)=2025,MONTH(B812)=4,OR(ISNUMBER(SEARCH("EXCHANGE RATE",C812)),ISNUMBER(SEARCH("EXCHG RTE",C812)))),"Personal Travel - Italy",IFERROR(INDEX('Category Rules'!$B$2:$B$358,MATCH(TRUE,ISNUMBER(SEARCH('Category Rules'!$A$2:$A$358,C812)),0)),""))))))))</f>
        <v>Personal - Clothing</v>
      </c>
    </row>
    <row r="813" spans="1:7" x14ac:dyDescent="0.25">
      <c r="A813" t="s">
        <v>6</v>
      </c>
      <c r="B813" s="1">
        <v>45908</v>
      </c>
      <c r="C813" t="s">
        <v>754</v>
      </c>
      <c r="D813">
        <v>-92.44</v>
      </c>
      <c r="E813" t="s">
        <v>10</v>
      </c>
      <c r="F813">
        <v>1858.17</v>
      </c>
      <c r="G813" t="str" cm="1">
        <f t="array" ref="G813">IF(AND(ISNUMBER(SEARCH("UBER",C813)),ISNUMBER(SEARCH("EATS",C813))),"Uber Eats",IF(LEFT(C813,6)="CHECK ","Checks Paid",IF(OR(E813="BILLPAY",ISNUMBER(SEARCH("FRANCHISE TAX",C813)),ISNUMBER(SEARCH("NEXTLINK",C813))),"Personal - House Bills",IF(AND(ISNUMBER(SEARCH("PAYMENT FROM",C813)),ISNUMBER(SEARCH("JOE SAUNDERS",C813))),"Zelle from Joe Saunders",IF(AND(ISNUMBER(SEARCH("PAYMENT TO",C813)),ISNUMBER(SEARCH("JOE SAUNDERS",C813))),"Zelle to Joe Saunders",IF(OR(ISNUMBER(SEARCH("NEW ORLEANS",C813)),ISNUMBER(SEARCH("KENNER",C813)),ISNUMBER(SEARCH("HENRY HOWARD",C813)),ISNUMBER(SEARCH("MISS CLAUDIA",C813))),"Personal Travel - New Orleans",IF(AND(YEAR(B813)=2025,MONTH(B813)=4,OR(ISNUMBER(SEARCH("EXCHANGE RATE",C813)),ISNUMBER(SEARCH("EXCHG RTE",C813)))),"Personal Travel - Italy",IFERROR(INDEX('Category Rules'!$B$2:$B$358,MATCH(TRUE,ISNUMBER(SEARCH('Category Rules'!$A$2:$A$358,C813)),0)),""))))))))</f>
        <v>Personal - Food</v>
      </c>
    </row>
    <row r="814" spans="1:7" x14ac:dyDescent="0.25">
      <c r="A814" t="s">
        <v>6</v>
      </c>
      <c r="B814" s="1">
        <v>45908</v>
      </c>
      <c r="C814" t="s">
        <v>755</v>
      </c>
      <c r="D814">
        <v>-39.6</v>
      </c>
      <c r="E814" t="s">
        <v>10</v>
      </c>
      <c r="F814">
        <v>1950.61</v>
      </c>
      <c r="G814" t="str" cm="1">
        <f t="array" ref="G814">IF(AND(ISNUMBER(SEARCH("UBER",C814)),ISNUMBER(SEARCH("EATS",C814))),"Uber Eats",IF(LEFT(C814,6)="CHECK ","Checks Paid",IF(OR(E814="BILLPAY",ISNUMBER(SEARCH("FRANCHISE TAX",C814)),ISNUMBER(SEARCH("NEXTLINK",C814))),"Personal - House Bills",IF(AND(ISNUMBER(SEARCH("PAYMENT FROM",C814)),ISNUMBER(SEARCH("JOE SAUNDERS",C814))),"Zelle from Joe Saunders",IF(AND(ISNUMBER(SEARCH("PAYMENT TO",C814)),ISNUMBER(SEARCH("JOE SAUNDERS",C814))),"Zelle to Joe Saunders",IF(OR(ISNUMBER(SEARCH("NEW ORLEANS",C814)),ISNUMBER(SEARCH("KENNER",C814)),ISNUMBER(SEARCH("HENRY HOWARD",C814)),ISNUMBER(SEARCH("MISS CLAUDIA",C814))),"Personal Travel - New Orleans",IF(AND(YEAR(B814)=2025,MONTH(B814)=4,OR(ISNUMBER(SEARCH("EXCHANGE RATE",C814)),ISNUMBER(SEARCH("EXCHG RTE",C814)))),"Personal Travel - Italy",IFERROR(INDEX('Category Rules'!$B$2:$B$358,MATCH(TRUE,ISNUMBER(SEARCH('Category Rules'!$A$2:$A$358,C814)),0)),""))))))))</f>
        <v>Uber Eats</v>
      </c>
    </row>
    <row r="815" spans="1:7" x14ac:dyDescent="0.25">
      <c r="A815" t="s">
        <v>6</v>
      </c>
      <c r="B815" s="1">
        <v>45908</v>
      </c>
      <c r="C815" t="s">
        <v>756</v>
      </c>
      <c r="D815">
        <v>-13.99</v>
      </c>
      <c r="E815" t="s">
        <v>10</v>
      </c>
      <c r="F815">
        <v>1990.21</v>
      </c>
      <c r="G815" t="str" cm="1">
        <f t="array" ref="G815">IF(AND(ISNUMBER(SEARCH("UBER",C815)),ISNUMBER(SEARCH("EATS",C815))),"Uber Eats",IF(LEFT(C815,6)="CHECK ","Checks Paid",IF(OR(E815="BILLPAY",ISNUMBER(SEARCH("FRANCHISE TAX",C815)),ISNUMBER(SEARCH("NEXTLINK",C815))),"Personal - House Bills",IF(AND(ISNUMBER(SEARCH("PAYMENT FROM",C815)),ISNUMBER(SEARCH("JOE SAUNDERS",C815))),"Zelle from Joe Saunders",IF(AND(ISNUMBER(SEARCH("PAYMENT TO",C815)),ISNUMBER(SEARCH("JOE SAUNDERS",C815))),"Zelle to Joe Saunders",IF(OR(ISNUMBER(SEARCH("NEW ORLEANS",C815)),ISNUMBER(SEARCH("KENNER",C815)),ISNUMBER(SEARCH("HENRY HOWARD",C815)),ISNUMBER(SEARCH("MISS CLAUDIA",C815))),"Personal Travel - New Orleans",IF(AND(YEAR(B815)=2025,MONTH(B815)=4,OR(ISNUMBER(SEARCH("EXCHANGE RATE",C815)),ISNUMBER(SEARCH("EXCHG RTE",C815)))),"Personal Travel - Italy",IFERROR(INDEX('Category Rules'!$B$2:$B$358,MATCH(TRUE,ISNUMBER(SEARCH('Category Rules'!$A$2:$A$358,C815)),0)),""))))))))</f>
        <v>YouTube Premium</v>
      </c>
    </row>
    <row r="816" spans="1:7" x14ac:dyDescent="0.25">
      <c r="A816" t="s">
        <v>6</v>
      </c>
      <c r="B816" s="1">
        <v>45908</v>
      </c>
      <c r="C816" t="s">
        <v>757</v>
      </c>
      <c r="D816">
        <v>-18.34</v>
      </c>
      <c r="E816" t="s">
        <v>10</v>
      </c>
      <c r="F816">
        <v>2004.2</v>
      </c>
      <c r="G816" t="str" cm="1">
        <f t="array" ref="G816">IF(AND(ISNUMBER(SEARCH("UBER",C816)),ISNUMBER(SEARCH("EATS",C816))),"Uber Eats",IF(LEFT(C816,6)="CHECK ","Checks Paid",IF(OR(E816="BILLPAY",ISNUMBER(SEARCH("FRANCHISE TAX",C816)),ISNUMBER(SEARCH("NEXTLINK",C816))),"Personal - House Bills",IF(AND(ISNUMBER(SEARCH("PAYMENT FROM",C816)),ISNUMBER(SEARCH("JOE SAUNDERS",C816))),"Zelle from Joe Saunders",IF(AND(ISNUMBER(SEARCH("PAYMENT TO",C816)),ISNUMBER(SEARCH("JOE SAUNDERS",C816))),"Zelle to Joe Saunders",IF(OR(ISNUMBER(SEARCH("NEW ORLEANS",C816)),ISNUMBER(SEARCH("KENNER",C816)),ISNUMBER(SEARCH("HENRY HOWARD",C816)),ISNUMBER(SEARCH("MISS CLAUDIA",C816))),"Personal Travel - New Orleans",IF(AND(YEAR(B816)=2025,MONTH(B816)=4,OR(ISNUMBER(SEARCH("EXCHANGE RATE",C816)),ISNUMBER(SEARCH("EXCHG RTE",C816)))),"Personal Travel - Italy",IFERROR(INDEX('Category Rules'!$B$2:$B$358,MATCH(TRUE,ISNUMBER(SEARCH('Category Rules'!$A$2:$A$358,C816)),0)),""))))))))</f>
        <v>Personal - Entertainment</v>
      </c>
    </row>
    <row r="817" spans="1:7" x14ac:dyDescent="0.25">
      <c r="A817" t="s">
        <v>6</v>
      </c>
      <c r="B817" s="1">
        <v>45908</v>
      </c>
      <c r="C817" t="s">
        <v>758</v>
      </c>
      <c r="D817">
        <v>-457.67</v>
      </c>
      <c r="E817" t="s">
        <v>10</v>
      </c>
      <c r="F817">
        <v>2022.54</v>
      </c>
      <c r="G817" t="str" cm="1">
        <f t="array" ref="G817">IF(AND(ISNUMBER(SEARCH("UBER",C817)),ISNUMBER(SEARCH("EATS",C817))),"Uber Eats",IF(LEFT(C817,6)="CHECK ","Checks Paid",IF(OR(E817="BILLPAY",ISNUMBER(SEARCH("FRANCHISE TAX",C817)),ISNUMBER(SEARCH("NEXTLINK",C817))),"Personal - House Bills",IF(AND(ISNUMBER(SEARCH("PAYMENT FROM",C817)),ISNUMBER(SEARCH("JOE SAUNDERS",C817))),"Zelle from Joe Saunders",IF(AND(ISNUMBER(SEARCH("PAYMENT TO",C817)),ISNUMBER(SEARCH("JOE SAUNDERS",C817))),"Zelle to Joe Saunders",IF(OR(ISNUMBER(SEARCH("NEW ORLEANS",C817)),ISNUMBER(SEARCH("KENNER",C817)),ISNUMBER(SEARCH("HENRY HOWARD",C817)),ISNUMBER(SEARCH("MISS CLAUDIA",C817))),"Personal Travel - New Orleans",IF(AND(YEAR(B817)=2025,MONTH(B817)=4,OR(ISNUMBER(SEARCH("EXCHANGE RATE",C817)),ISNUMBER(SEARCH("EXCHG RTE",C817)))),"Personal Travel - Italy",IFERROR(INDEX('Category Rules'!$B$2:$B$358,MATCH(TRUE,ISNUMBER(SEARCH('Category Rules'!$A$2:$A$358,C817)),0)),""))))))))</f>
        <v>Personal - Health</v>
      </c>
    </row>
    <row r="818" spans="1:7" x14ac:dyDescent="0.25">
      <c r="A818" t="s">
        <v>6</v>
      </c>
      <c r="B818" s="1">
        <v>45908</v>
      </c>
      <c r="C818" t="s">
        <v>759</v>
      </c>
      <c r="D818">
        <v>-29.95</v>
      </c>
      <c r="E818" t="s">
        <v>10</v>
      </c>
      <c r="F818">
        <v>2480.21</v>
      </c>
      <c r="G818" t="str" cm="1">
        <f t="array" ref="G818">IF(AND(ISNUMBER(SEARCH("UBER",C818)),ISNUMBER(SEARCH("EATS",C818))),"Uber Eats",IF(LEFT(C818,6)="CHECK ","Checks Paid",IF(OR(E818="BILLPAY",ISNUMBER(SEARCH("FRANCHISE TAX",C818)),ISNUMBER(SEARCH("NEXTLINK",C818))),"Personal - House Bills",IF(AND(ISNUMBER(SEARCH("PAYMENT FROM",C818)),ISNUMBER(SEARCH("JOE SAUNDERS",C818))),"Zelle from Joe Saunders",IF(AND(ISNUMBER(SEARCH("PAYMENT TO",C818)),ISNUMBER(SEARCH("JOE SAUNDERS",C818))),"Zelle to Joe Saunders",IF(OR(ISNUMBER(SEARCH("NEW ORLEANS",C818)),ISNUMBER(SEARCH("KENNER",C818)),ISNUMBER(SEARCH("HENRY HOWARD",C818)),ISNUMBER(SEARCH("MISS CLAUDIA",C818))),"Personal Travel - New Orleans",IF(AND(YEAR(B818)=2025,MONTH(B818)=4,OR(ISNUMBER(SEARCH("EXCHANGE RATE",C818)),ISNUMBER(SEARCH("EXCHG RTE",C818)))),"Personal Travel - Italy",IFERROR(INDEX('Category Rules'!$B$2:$B$358,MATCH(TRUE,ISNUMBER(SEARCH('Category Rules'!$A$2:$A$358,C818)),0)),""))))))))</f>
        <v>Personal - Subscription</v>
      </c>
    </row>
    <row r="819" spans="1:7" x14ac:dyDescent="0.25">
      <c r="A819" t="s">
        <v>6</v>
      </c>
      <c r="B819" s="1">
        <v>45908</v>
      </c>
      <c r="C819" t="s">
        <v>760</v>
      </c>
      <c r="D819">
        <v>-22</v>
      </c>
      <c r="E819" t="s">
        <v>10</v>
      </c>
      <c r="F819">
        <v>2510.16</v>
      </c>
      <c r="G819" t="str" cm="1">
        <f t="array" ref="G819">IF(AND(ISNUMBER(SEARCH("UBER",C819)),ISNUMBER(SEARCH("EATS",C819))),"Uber Eats",IF(LEFT(C819,6)="CHECK ","Checks Paid",IF(OR(E819="BILLPAY",ISNUMBER(SEARCH("FRANCHISE TAX",C819)),ISNUMBER(SEARCH("NEXTLINK",C819))),"Personal - House Bills",IF(AND(ISNUMBER(SEARCH("PAYMENT FROM",C819)),ISNUMBER(SEARCH("JOE SAUNDERS",C819))),"Zelle from Joe Saunders",IF(AND(ISNUMBER(SEARCH("PAYMENT TO",C819)),ISNUMBER(SEARCH("JOE SAUNDERS",C819))),"Zelle to Joe Saunders",IF(OR(ISNUMBER(SEARCH("NEW ORLEANS",C819)),ISNUMBER(SEARCH("KENNER",C819)),ISNUMBER(SEARCH("HENRY HOWARD",C819)),ISNUMBER(SEARCH("MISS CLAUDIA",C819))),"Personal Travel - New Orleans",IF(AND(YEAR(B819)=2025,MONTH(B819)=4,OR(ISNUMBER(SEARCH("EXCHANGE RATE",C819)),ISNUMBER(SEARCH("EXCHG RTE",C819)))),"Personal Travel - Italy",IFERROR(INDEX('Category Rules'!$B$2:$B$358,MATCH(TRUE,ISNUMBER(SEARCH('Category Rules'!$A$2:$A$358,C819)),0)),""))))))))</f>
        <v>Personal - Subscription</v>
      </c>
    </row>
    <row r="820" spans="1:7" x14ac:dyDescent="0.25">
      <c r="A820" t="s">
        <v>6</v>
      </c>
      <c r="B820" s="1">
        <v>45908</v>
      </c>
      <c r="C820" t="s">
        <v>761</v>
      </c>
      <c r="D820">
        <v>-505.25</v>
      </c>
      <c r="E820" t="s">
        <v>10</v>
      </c>
      <c r="F820">
        <v>2532.16</v>
      </c>
      <c r="G820" t="str" cm="1">
        <f t="array" ref="G820">IF(AND(ISNUMBER(SEARCH("UBER",C820)),ISNUMBER(SEARCH("EATS",C820))),"Uber Eats",IF(LEFT(C820,6)="CHECK ","Checks Paid",IF(OR(E820="BILLPAY",ISNUMBER(SEARCH("FRANCHISE TAX",C820)),ISNUMBER(SEARCH("NEXTLINK",C820))),"Personal - House Bills",IF(AND(ISNUMBER(SEARCH("PAYMENT FROM",C820)),ISNUMBER(SEARCH("JOE SAUNDERS",C820))),"Zelle from Joe Saunders",IF(AND(ISNUMBER(SEARCH("PAYMENT TO",C820)),ISNUMBER(SEARCH("JOE SAUNDERS",C820))),"Zelle to Joe Saunders",IF(OR(ISNUMBER(SEARCH("NEW ORLEANS",C820)),ISNUMBER(SEARCH("KENNER",C820)),ISNUMBER(SEARCH("HENRY HOWARD",C820)),ISNUMBER(SEARCH("MISS CLAUDIA",C820))),"Personal Travel - New Orleans",IF(AND(YEAR(B820)=2025,MONTH(B820)=4,OR(ISNUMBER(SEARCH("EXCHANGE RATE",C820)),ISNUMBER(SEARCH("EXCHG RTE",C820)))),"Personal Travel - Italy",IFERROR(INDEX('Category Rules'!$B$2:$B$358,MATCH(TRUE,ISNUMBER(SEARCH('Category Rules'!$A$2:$A$358,C820)),0)),""))))))))</f>
        <v>Etsy</v>
      </c>
    </row>
    <row r="821" spans="1:7" x14ac:dyDescent="0.25">
      <c r="A821" t="s">
        <v>6</v>
      </c>
      <c r="B821" s="1">
        <v>45908</v>
      </c>
      <c r="C821" t="s">
        <v>762</v>
      </c>
      <c r="D821">
        <v>-20</v>
      </c>
      <c r="E821" t="s">
        <v>10</v>
      </c>
      <c r="F821">
        <v>3037.41</v>
      </c>
      <c r="G821" t="str" cm="1">
        <f t="array" ref="G821">IF(AND(ISNUMBER(SEARCH("UBER",C821)),ISNUMBER(SEARCH("EATS",C821))),"Uber Eats",IF(LEFT(C821,6)="CHECK ","Checks Paid",IF(OR(E821="BILLPAY",ISNUMBER(SEARCH("FRANCHISE TAX",C821)),ISNUMBER(SEARCH("NEXTLINK",C821))),"Personal - House Bills",IF(AND(ISNUMBER(SEARCH("PAYMENT FROM",C821)),ISNUMBER(SEARCH("JOE SAUNDERS",C821))),"Zelle from Joe Saunders",IF(AND(ISNUMBER(SEARCH("PAYMENT TO",C821)),ISNUMBER(SEARCH("JOE SAUNDERS",C821))),"Zelle to Joe Saunders",IF(OR(ISNUMBER(SEARCH("NEW ORLEANS",C821)),ISNUMBER(SEARCH("KENNER",C821)),ISNUMBER(SEARCH("HENRY HOWARD",C821)),ISNUMBER(SEARCH("MISS CLAUDIA",C821))),"Personal Travel - New Orleans",IF(AND(YEAR(B821)=2025,MONTH(B821)=4,OR(ISNUMBER(SEARCH("EXCHANGE RATE",C821)),ISNUMBER(SEARCH("EXCHG RTE",C821)))),"Personal Travel - Italy",IFERROR(INDEX('Category Rules'!$B$2:$B$358,MATCH(TRUE,ISNUMBER(SEARCH('Category Rules'!$A$2:$A$358,C821)),0)),""))))))))</f>
        <v>Amazon</v>
      </c>
    </row>
    <row r="822" spans="1:7" x14ac:dyDescent="0.25">
      <c r="A822" t="s">
        <v>6</v>
      </c>
      <c r="B822" s="1">
        <v>45908</v>
      </c>
      <c r="C822" t="s">
        <v>763</v>
      </c>
      <c r="D822">
        <v>-375</v>
      </c>
      <c r="E822" t="s">
        <v>10</v>
      </c>
      <c r="F822">
        <v>3057.41</v>
      </c>
      <c r="G822" t="str" cm="1">
        <f t="array" ref="G822">IF(AND(ISNUMBER(SEARCH("UBER",C822)),ISNUMBER(SEARCH("EATS",C822))),"Uber Eats",IF(LEFT(C822,6)="CHECK ","Checks Paid",IF(OR(E822="BILLPAY",ISNUMBER(SEARCH("FRANCHISE TAX",C822)),ISNUMBER(SEARCH("NEXTLINK",C822))),"Personal - House Bills",IF(AND(ISNUMBER(SEARCH("PAYMENT FROM",C822)),ISNUMBER(SEARCH("JOE SAUNDERS",C822))),"Zelle from Joe Saunders",IF(AND(ISNUMBER(SEARCH("PAYMENT TO",C822)),ISNUMBER(SEARCH("JOE SAUNDERS",C822))),"Zelle to Joe Saunders",IF(OR(ISNUMBER(SEARCH("NEW ORLEANS",C822)),ISNUMBER(SEARCH("KENNER",C822)),ISNUMBER(SEARCH("HENRY HOWARD",C822)),ISNUMBER(SEARCH("MISS CLAUDIA",C822))),"Personal Travel - New Orleans",IF(AND(YEAR(B822)=2025,MONTH(B822)=4,OR(ISNUMBER(SEARCH("EXCHANGE RATE",C822)),ISNUMBER(SEARCH("EXCHG RTE",C822)))),"Personal Travel - Italy",IFERROR(INDEX('Category Rules'!$B$2:$B$358,MATCH(TRUE,ISNUMBER(SEARCH('Category Rules'!$A$2:$A$358,C822)),0)),""))))))))</f>
        <v>Personal - Subscription</v>
      </c>
    </row>
    <row r="823" spans="1:7" x14ac:dyDescent="0.25">
      <c r="A823" t="s">
        <v>6</v>
      </c>
      <c r="B823" s="1">
        <v>45908</v>
      </c>
      <c r="C823" t="s">
        <v>764</v>
      </c>
      <c r="D823">
        <v>-9.8699999999999992</v>
      </c>
      <c r="E823" t="s">
        <v>10</v>
      </c>
      <c r="F823">
        <v>3432.41</v>
      </c>
      <c r="G823" t="str" cm="1">
        <f t="array" ref="G823">IF(AND(ISNUMBER(SEARCH("UBER",C823)),ISNUMBER(SEARCH("EATS",C823))),"Uber Eats",IF(LEFT(C823,6)="CHECK ","Checks Paid",IF(OR(E823="BILLPAY",ISNUMBER(SEARCH("FRANCHISE TAX",C823)),ISNUMBER(SEARCH("NEXTLINK",C823))),"Personal - House Bills",IF(AND(ISNUMBER(SEARCH("PAYMENT FROM",C823)),ISNUMBER(SEARCH("JOE SAUNDERS",C823))),"Zelle from Joe Saunders",IF(AND(ISNUMBER(SEARCH("PAYMENT TO",C823)),ISNUMBER(SEARCH("JOE SAUNDERS",C823))),"Zelle to Joe Saunders",IF(OR(ISNUMBER(SEARCH("NEW ORLEANS",C823)),ISNUMBER(SEARCH("KENNER",C823)),ISNUMBER(SEARCH("HENRY HOWARD",C823)),ISNUMBER(SEARCH("MISS CLAUDIA",C823))),"Personal Travel - New Orleans",IF(AND(YEAR(B823)=2025,MONTH(B823)=4,OR(ISNUMBER(SEARCH("EXCHANGE RATE",C823)),ISNUMBER(SEARCH("EXCHG RTE",C823)))),"Personal Travel - Italy",IFERROR(INDEX('Category Rules'!$B$2:$B$358,MATCH(TRUE,ISNUMBER(SEARCH('Category Rules'!$A$2:$A$358,C823)),0)),""))))))))</f>
        <v>Amazon</v>
      </c>
    </row>
    <row r="824" spans="1:7" x14ac:dyDescent="0.25">
      <c r="A824" t="s">
        <v>6</v>
      </c>
      <c r="B824" s="1">
        <v>45905</v>
      </c>
      <c r="C824" t="s">
        <v>765</v>
      </c>
      <c r="D824">
        <v>-305.52</v>
      </c>
      <c r="E824" t="s">
        <v>10</v>
      </c>
      <c r="F824">
        <v>3442.28</v>
      </c>
      <c r="G824" t="str" cm="1">
        <f t="array" ref="G824">IF(AND(ISNUMBER(SEARCH("UBER",C824)),ISNUMBER(SEARCH("EATS",C824))),"Uber Eats",IF(LEFT(C824,6)="CHECK ","Checks Paid",IF(OR(E824="BILLPAY",ISNUMBER(SEARCH("FRANCHISE TAX",C824)),ISNUMBER(SEARCH("NEXTLINK",C824))),"Personal - House Bills",IF(AND(ISNUMBER(SEARCH("PAYMENT FROM",C824)),ISNUMBER(SEARCH("JOE SAUNDERS",C824))),"Zelle from Joe Saunders",IF(AND(ISNUMBER(SEARCH("PAYMENT TO",C824)),ISNUMBER(SEARCH("JOE SAUNDERS",C824))),"Zelle to Joe Saunders",IF(OR(ISNUMBER(SEARCH("NEW ORLEANS",C824)),ISNUMBER(SEARCH("KENNER",C824)),ISNUMBER(SEARCH("HENRY HOWARD",C824)),ISNUMBER(SEARCH("MISS CLAUDIA",C824))),"Personal Travel - New Orleans",IF(AND(YEAR(B824)=2025,MONTH(B824)=4,OR(ISNUMBER(SEARCH("EXCHANGE RATE",C824)),ISNUMBER(SEARCH("EXCHG RTE",C824)))),"Personal Travel - Italy",IFERROR(INDEX('Category Rules'!$B$2:$B$358,MATCH(TRUE,ISNUMBER(SEARCH('Category Rules'!$A$2:$A$358,C824)),0)),""))))))))</f>
        <v>Personal - Health</v>
      </c>
    </row>
    <row r="825" spans="1:7" x14ac:dyDescent="0.25">
      <c r="A825" t="s">
        <v>6</v>
      </c>
      <c r="B825" s="1">
        <v>45905</v>
      </c>
      <c r="C825" t="s">
        <v>766</v>
      </c>
      <c r="D825">
        <v>-32.909999999999997</v>
      </c>
      <c r="E825" t="s">
        <v>10</v>
      </c>
      <c r="F825">
        <v>3747.8</v>
      </c>
      <c r="G825" t="str" cm="1">
        <f t="array" ref="G825">IF(AND(ISNUMBER(SEARCH("UBER",C825)),ISNUMBER(SEARCH("EATS",C825))),"Uber Eats",IF(LEFT(C825,6)="CHECK ","Checks Paid",IF(OR(E825="BILLPAY",ISNUMBER(SEARCH("FRANCHISE TAX",C825)),ISNUMBER(SEARCH("NEXTLINK",C825))),"Personal - House Bills",IF(AND(ISNUMBER(SEARCH("PAYMENT FROM",C825)),ISNUMBER(SEARCH("JOE SAUNDERS",C825))),"Zelle from Joe Saunders",IF(AND(ISNUMBER(SEARCH("PAYMENT TO",C825)),ISNUMBER(SEARCH("JOE SAUNDERS",C825))),"Zelle to Joe Saunders",IF(OR(ISNUMBER(SEARCH("NEW ORLEANS",C825)),ISNUMBER(SEARCH("KENNER",C825)),ISNUMBER(SEARCH("HENRY HOWARD",C825)),ISNUMBER(SEARCH("MISS CLAUDIA",C825))),"Personal Travel - New Orleans",IF(AND(YEAR(B825)=2025,MONTH(B825)=4,OR(ISNUMBER(SEARCH("EXCHANGE RATE",C825)),ISNUMBER(SEARCH("EXCHG RTE",C825)))),"Personal Travel - Italy",IFERROR(INDEX('Category Rules'!$B$2:$B$358,MATCH(TRUE,ISNUMBER(SEARCH('Category Rules'!$A$2:$A$358,C825)),0)),""))))))))</f>
        <v>Personal - Health</v>
      </c>
    </row>
    <row r="826" spans="1:7" x14ac:dyDescent="0.25">
      <c r="A826" t="s">
        <v>6</v>
      </c>
      <c r="B826" s="1">
        <v>45905</v>
      </c>
      <c r="C826" t="s">
        <v>767</v>
      </c>
      <c r="D826">
        <v>-74.92</v>
      </c>
      <c r="E826" t="s">
        <v>10</v>
      </c>
      <c r="F826">
        <v>3780.71</v>
      </c>
      <c r="G826" t="str" cm="1">
        <f t="array" ref="G826">IF(AND(ISNUMBER(SEARCH("UBER",C826)),ISNUMBER(SEARCH("EATS",C826))),"Uber Eats",IF(LEFT(C826,6)="CHECK ","Checks Paid",IF(OR(E826="BILLPAY",ISNUMBER(SEARCH("FRANCHISE TAX",C826)),ISNUMBER(SEARCH("NEXTLINK",C826))),"Personal - House Bills",IF(AND(ISNUMBER(SEARCH("PAYMENT FROM",C826)),ISNUMBER(SEARCH("JOE SAUNDERS",C826))),"Zelle from Joe Saunders",IF(AND(ISNUMBER(SEARCH("PAYMENT TO",C826)),ISNUMBER(SEARCH("JOE SAUNDERS",C826))),"Zelle to Joe Saunders",IF(OR(ISNUMBER(SEARCH("NEW ORLEANS",C826)),ISNUMBER(SEARCH("KENNER",C826)),ISNUMBER(SEARCH("HENRY HOWARD",C826)),ISNUMBER(SEARCH("MISS CLAUDIA",C826))),"Personal Travel - New Orleans",IF(AND(YEAR(B826)=2025,MONTH(B826)=4,OR(ISNUMBER(SEARCH("EXCHANGE RATE",C826)),ISNUMBER(SEARCH("EXCHG RTE",C826)))),"Personal Travel - Italy",IFERROR(INDEX('Category Rules'!$B$2:$B$358,MATCH(TRUE,ISNUMBER(SEARCH('Category Rules'!$A$2:$A$358,C826)),0)),""))))))))</f>
        <v>Personal - Uber</v>
      </c>
    </row>
    <row r="827" spans="1:7" x14ac:dyDescent="0.25">
      <c r="A827" t="s">
        <v>6</v>
      </c>
      <c r="B827" s="1">
        <v>45905</v>
      </c>
      <c r="C827" t="s">
        <v>768</v>
      </c>
      <c r="D827">
        <v>-30</v>
      </c>
      <c r="E827" t="s">
        <v>10</v>
      </c>
      <c r="F827">
        <v>3855.63</v>
      </c>
      <c r="G827" t="str" cm="1">
        <f t="array" ref="G827">IF(AND(ISNUMBER(SEARCH("UBER",C827)),ISNUMBER(SEARCH("EATS",C827))),"Uber Eats",IF(LEFT(C827,6)="CHECK ","Checks Paid",IF(OR(E827="BILLPAY",ISNUMBER(SEARCH("FRANCHISE TAX",C827)),ISNUMBER(SEARCH("NEXTLINK",C827))),"Personal - House Bills",IF(AND(ISNUMBER(SEARCH("PAYMENT FROM",C827)),ISNUMBER(SEARCH("JOE SAUNDERS",C827))),"Zelle from Joe Saunders",IF(AND(ISNUMBER(SEARCH("PAYMENT TO",C827)),ISNUMBER(SEARCH("JOE SAUNDERS",C827))),"Zelle to Joe Saunders",IF(OR(ISNUMBER(SEARCH("NEW ORLEANS",C827)),ISNUMBER(SEARCH("KENNER",C827)),ISNUMBER(SEARCH("HENRY HOWARD",C827)),ISNUMBER(SEARCH("MISS CLAUDIA",C827))),"Personal Travel - New Orleans",IF(AND(YEAR(B827)=2025,MONTH(B827)=4,OR(ISNUMBER(SEARCH("EXCHANGE RATE",C827)),ISNUMBER(SEARCH("EXCHG RTE",C827)))),"Personal Travel - Italy",IFERROR(INDEX('Category Rules'!$B$2:$B$358,MATCH(TRUE,ISNUMBER(SEARCH('Category Rules'!$A$2:$A$358,C827)),0)),""))))))))</f>
        <v>Amazon</v>
      </c>
    </row>
    <row r="828" spans="1:7" x14ac:dyDescent="0.25">
      <c r="A828" t="s">
        <v>6</v>
      </c>
      <c r="B828" s="1">
        <v>45905</v>
      </c>
      <c r="C828" t="s">
        <v>769</v>
      </c>
      <c r="D828">
        <v>-22.06</v>
      </c>
      <c r="E828" t="s">
        <v>10</v>
      </c>
      <c r="F828">
        <v>3885.63</v>
      </c>
      <c r="G828" t="str" cm="1">
        <f t="array" ref="G828">IF(AND(ISNUMBER(SEARCH("UBER",C828)),ISNUMBER(SEARCH("EATS",C828))),"Uber Eats",IF(LEFT(C828,6)="CHECK ","Checks Paid",IF(OR(E828="BILLPAY",ISNUMBER(SEARCH("FRANCHISE TAX",C828)),ISNUMBER(SEARCH("NEXTLINK",C828))),"Personal - House Bills",IF(AND(ISNUMBER(SEARCH("PAYMENT FROM",C828)),ISNUMBER(SEARCH("JOE SAUNDERS",C828))),"Zelle from Joe Saunders",IF(AND(ISNUMBER(SEARCH("PAYMENT TO",C828)),ISNUMBER(SEARCH("JOE SAUNDERS",C828))),"Zelle to Joe Saunders",IF(OR(ISNUMBER(SEARCH("NEW ORLEANS",C828)),ISNUMBER(SEARCH("KENNER",C828)),ISNUMBER(SEARCH("HENRY HOWARD",C828)),ISNUMBER(SEARCH("MISS CLAUDIA",C828))),"Personal Travel - New Orleans",IF(AND(YEAR(B828)=2025,MONTH(B828)=4,OR(ISNUMBER(SEARCH("EXCHANGE RATE",C828)),ISNUMBER(SEARCH("EXCHG RTE",C828)))),"Personal Travel - Italy",IFERROR(INDEX('Category Rules'!$B$2:$B$358,MATCH(TRUE,ISNUMBER(SEARCH('Category Rules'!$A$2:$A$358,C828)),0)),""))))))))</f>
        <v>Personal - Entertainment</v>
      </c>
    </row>
    <row r="829" spans="1:7" x14ac:dyDescent="0.25">
      <c r="A829" t="s">
        <v>6</v>
      </c>
      <c r="B829" s="1">
        <v>45905</v>
      </c>
      <c r="C829" t="s">
        <v>770</v>
      </c>
      <c r="D829">
        <v>-25.31</v>
      </c>
      <c r="E829" t="s">
        <v>10</v>
      </c>
      <c r="F829">
        <v>3907.69</v>
      </c>
      <c r="G829" t="str" cm="1">
        <f t="array" ref="G829">IF(AND(ISNUMBER(SEARCH("UBER",C829)),ISNUMBER(SEARCH("EATS",C829))),"Uber Eats",IF(LEFT(C829,6)="CHECK ","Checks Paid",IF(OR(E829="BILLPAY",ISNUMBER(SEARCH("FRANCHISE TAX",C829)),ISNUMBER(SEARCH("NEXTLINK",C829))),"Personal - House Bills",IF(AND(ISNUMBER(SEARCH("PAYMENT FROM",C829)),ISNUMBER(SEARCH("JOE SAUNDERS",C829))),"Zelle from Joe Saunders",IF(AND(ISNUMBER(SEARCH("PAYMENT TO",C829)),ISNUMBER(SEARCH("JOE SAUNDERS",C829))),"Zelle to Joe Saunders",IF(OR(ISNUMBER(SEARCH("NEW ORLEANS",C829)),ISNUMBER(SEARCH("KENNER",C829)),ISNUMBER(SEARCH("HENRY HOWARD",C829)),ISNUMBER(SEARCH("MISS CLAUDIA",C829))),"Personal Travel - New Orleans",IF(AND(YEAR(B829)=2025,MONTH(B829)=4,OR(ISNUMBER(SEARCH("EXCHANGE RATE",C829)),ISNUMBER(SEARCH("EXCHG RTE",C829)))),"Personal Travel - Italy",IFERROR(INDEX('Category Rules'!$B$2:$B$358,MATCH(TRUE,ISNUMBER(SEARCH('Category Rules'!$A$2:$A$358,C829)),0)),""))))))))</f>
        <v>Personal - Entertainment</v>
      </c>
    </row>
    <row r="830" spans="1:7" x14ac:dyDescent="0.25">
      <c r="A830" t="s">
        <v>6</v>
      </c>
      <c r="B830" s="1">
        <v>45905</v>
      </c>
      <c r="C830" t="s">
        <v>771</v>
      </c>
      <c r="D830">
        <v>-80.180000000000007</v>
      </c>
      <c r="E830" t="s">
        <v>10</v>
      </c>
      <c r="F830">
        <v>3933</v>
      </c>
      <c r="G830" t="str" cm="1">
        <f t="array" ref="G830">IF(AND(ISNUMBER(SEARCH("UBER",C830)),ISNUMBER(SEARCH("EATS",C830))),"Uber Eats",IF(LEFT(C830,6)="CHECK ","Checks Paid",IF(OR(E830="BILLPAY",ISNUMBER(SEARCH("FRANCHISE TAX",C830)),ISNUMBER(SEARCH("NEXTLINK",C830))),"Personal - House Bills",IF(AND(ISNUMBER(SEARCH("PAYMENT FROM",C830)),ISNUMBER(SEARCH("JOE SAUNDERS",C830))),"Zelle from Joe Saunders",IF(AND(ISNUMBER(SEARCH("PAYMENT TO",C830)),ISNUMBER(SEARCH("JOE SAUNDERS",C830))),"Zelle to Joe Saunders",IF(OR(ISNUMBER(SEARCH("NEW ORLEANS",C830)),ISNUMBER(SEARCH("KENNER",C830)),ISNUMBER(SEARCH("HENRY HOWARD",C830)),ISNUMBER(SEARCH("MISS CLAUDIA",C830))),"Personal Travel - New Orleans",IF(AND(YEAR(B830)=2025,MONTH(B830)=4,OR(ISNUMBER(SEARCH("EXCHANGE RATE",C830)),ISNUMBER(SEARCH("EXCHG RTE",C830)))),"Personal Travel - Italy",IFERROR(INDEX('Category Rules'!$B$2:$B$358,MATCH(TRUE,ISNUMBER(SEARCH('Category Rules'!$A$2:$A$358,C830)),0)),""))))))))</f>
        <v>Amazon</v>
      </c>
    </row>
    <row r="831" spans="1:7" x14ac:dyDescent="0.25">
      <c r="A831" t="s">
        <v>6</v>
      </c>
      <c r="B831" s="1">
        <v>45905</v>
      </c>
      <c r="C831" t="s">
        <v>772</v>
      </c>
      <c r="D831">
        <v>-39.15</v>
      </c>
      <c r="E831" t="s">
        <v>10</v>
      </c>
      <c r="F831">
        <v>4013.18</v>
      </c>
      <c r="G831" t="str" cm="1">
        <f t="array" ref="G831">IF(AND(ISNUMBER(SEARCH("UBER",C831)),ISNUMBER(SEARCH("EATS",C831))),"Uber Eats",IF(LEFT(C831,6)="CHECK ","Checks Paid",IF(OR(E831="BILLPAY",ISNUMBER(SEARCH("FRANCHISE TAX",C831)),ISNUMBER(SEARCH("NEXTLINK",C831))),"Personal - House Bills",IF(AND(ISNUMBER(SEARCH("PAYMENT FROM",C831)),ISNUMBER(SEARCH("JOE SAUNDERS",C831))),"Zelle from Joe Saunders",IF(AND(ISNUMBER(SEARCH("PAYMENT TO",C831)),ISNUMBER(SEARCH("JOE SAUNDERS",C831))),"Zelle to Joe Saunders",IF(OR(ISNUMBER(SEARCH("NEW ORLEANS",C831)),ISNUMBER(SEARCH("KENNER",C831)),ISNUMBER(SEARCH("HENRY HOWARD",C831)),ISNUMBER(SEARCH("MISS CLAUDIA",C831))),"Personal Travel - New Orleans",IF(AND(YEAR(B831)=2025,MONTH(B831)=4,OR(ISNUMBER(SEARCH("EXCHANGE RATE",C831)),ISNUMBER(SEARCH("EXCHG RTE",C831)))),"Personal Travel - Italy",IFERROR(INDEX('Category Rules'!$B$2:$B$358,MATCH(TRUE,ISNUMBER(SEARCH('Category Rules'!$A$2:$A$358,C831)),0)),""))))))))</f>
        <v>Amazon</v>
      </c>
    </row>
    <row r="832" spans="1:7" x14ac:dyDescent="0.25">
      <c r="A832" t="s">
        <v>6</v>
      </c>
      <c r="B832" s="1">
        <v>45905</v>
      </c>
      <c r="C832" t="s">
        <v>773</v>
      </c>
      <c r="D832">
        <v>-371.74</v>
      </c>
      <c r="E832" t="s">
        <v>10</v>
      </c>
      <c r="F832">
        <v>4052.33</v>
      </c>
      <c r="G832" t="str" cm="1">
        <f t="array" ref="G832">IF(AND(ISNUMBER(SEARCH("UBER",C832)),ISNUMBER(SEARCH("EATS",C832))),"Uber Eats",IF(LEFT(C832,6)="CHECK ","Checks Paid",IF(OR(E832="BILLPAY",ISNUMBER(SEARCH("FRANCHISE TAX",C832)),ISNUMBER(SEARCH("NEXTLINK",C832))),"Personal - House Bills",IF(AND(ISNUMBER(SEARCH("PAYMENT FROM",C832)),ISNUMBER(SEARCH("JOE SAUNDERS",C832))),"Zelle from Joe Saunders",IF(AND(ISNUMBER(SEARCH("PAYMENT TO",C832)),ISNUMBER(SEARCH("JOE SAUNDERS",C832))),"Zelle to Joe Saunders",IF(OR(ISNUMBER(SEARCH("NEW ORLEANS",C832)),ISNUMBER(SEARCH("KENNER",C832)),ISNUMBER(SEARCH("HENRY HOWARD",C832)),ISNUMBER(SEARCH("MISS CLAUDIA",C832))),"Personal Travel - New Orleans",IF(AND(YEAR(B832)=2025,MONTH(B832)=4,OR(ISNUMBER(SEARCH("EXCHANGE RATE",C832)),ISNUMBER(SEARCH("EXCHG RTE",C832)))),"Personal Travel - Italy",IFERROR(INDEX('Category Rules'!$B$2:$B$358,MATCH(TRUE,ISNUMBER(SEARCH('Category Rules'!$A$2:$A$358,C832)),0)),""))))))))</f>
        <v>Personal - Shopping</v>
      </c>
    </row>
    <row r="833" spans="1:7" x14ac:dyDescent="0.25">
      <c r="A833" t="s">
        <v>44</v>
      </c>
      <c r="B833" s="1">
        <v>45905</v>
      </c>
      <c r="C833" t="s">
        <v>774</v>
      </c>
      <c r="D833">
        <v>1000</v>
      </c>
      <c r="E833" t="s">
        <v>73</v>
      </c>
      <c r="F833">
        <v>4424.07</v>
      </c>
      <c r="G833" t="str" cm="1">
        <f t="array" ref="G833">IF(AND(ISNUMBER(SEARCH("UBER",C833)),ISNUMBER(SEARCH("EATS",C833))),"Uber Eats",IF(LEFT(C833,6)="CHECK ","Checks Paid",IF(OR(E833="BILLPAY",ISNUMBER(SEARCH("FRANCHISE TAX",C833)),ISNUMBER(SEARCH("NEXTLINK",C833))),"Personal - House Bills",IF(AND(ISNUMBER(SEARCH("PAYMENT FROM",C833)),ISNUMBER(SEARCH("JOE SAUNDERS",C833))),"Zelle from Joe Saunders",IF(AND(ISNUMBER(SEARCH("PAYMENT TO",C833)),ISNUMBER(SEARCH("JOE SAUNDERS",C833))),"Zelle to Joe Saunders",IF(OR(ISNUMBER(SEARCH("NEW ORLEANS",C833)),ISNUMBER(SEARCH("KENNER",C833)),ISNUMBER(SEARCH("HENRY HOWARD",C833)),ISNUMBER(SEARCH("MISS CLAUDIA",C833))),"Personal Travel - New Orleans",IF(AND(YEAR(B833)=2025,MONTH(B833)=4,OR(ISNUMBER(SEARCH("EXCHANGE RATE",C833)),ISNUMBER(SEARCH("EXCHG RTE",C833)))),"Personal Travel - Italy",IFERROR(INDEX('Category Rules'!$B$2:$B$358,MATCH(TRUE,ISNUMBER(SEARCH('Category Rules'!$A$2:$A$358,C833)),0)),""))))))))</f>
        <v>Transfer from DWG Capital Group</v>
      </c>
    </row>
    <row r="834" spans="1:7" x14ac:dyDescent="0.25">
      <c r="A834" t="s">
        <v>6</v>
      </c>
      <c r="B834" s="1">
        <v>45904</v>
      </c>
      <c r="C834" t="s">
        <v>775</v>
      </c>
      <c r="D834">
        <v>-45.09</v>
      </c>
      <c r="E834" t="s">
        <v>10</v>
      </c>
      <c r="F834">
        <v>3424.07</v>
      </c>
      <c r="G834" t="str" cm="1">
        <f t="array" ref="G834">IF(AND(ISNUMBER(SEARCH("UBER",C834)),ISNUMBER(SEARCH("EATS",C834))),"Uber Eats",IF(LEFT(C834,6)="CHECK ","Checks Paid",IF(OR(E834="BILLPAY",ISNUMBER(SEARCH("FRANCHISE TAX",C834)),ISNUMBER(SEARCH("NEXTLINK",C834))),"Personal - House Bills",IF(AND(ISNUMBER(SEARCH("PAYMENT FROM",C834)),ISNUMBER(SEARCH("JOE SAUNDERS",C834))),"Zelle from Joe Saunders",IF(AND(ISNUMBER(SEARCH("PAYMENT TO",C834)),ISNUMBER(SEARCH("JOE SAUNDERS",C834))),"Zelle to Joe Saunders",IF(OR(ISNUMBER(SEARCH("NEW ORLEANS",C834)),ISNUMBER(SEARCH("KENNER",C834)),ISNUMBER(SEARCH("HENRY HOWARD",C834)),ISNUMBER(SEARCH("MISS CLAUDIA",C834))),"Personal Travel - New Orleans",IF(AND(YEAR(B834)=2025,MONTH(B834)=4,OR(ISNUMBER(SEARCH("EXCHANGE RATE",C834)),ISNUMBER(SEARCH("EXCHG RTE",C834)))),"Personal Travel - Italy",IFERROR(INDEX('Category Rules'!$B$2:$B$358,MATCH(TRUE,ISNUMBER(SEARCH('Category Rules'!$A$2:$A$358,C834)),0)),""))))))))</f>
        <v>Personal - Health</v>
      </c>
    </row>
    <row r="835" spans="1:7" x14ac:dyDescent="0.25">
      <c r="A835" t="s">
        <v>6</v>
      </c>
      <c r="B835" s="1">
        <v>45904</v>
      </c>
      <c r="C835" t="s">
        <v>776</v>
      </c>
      <c r="D835">
        <v>-1000</v>
      </c>
      <c r="E835" t="s">
        <v>93</v>
      </c>
      <c r="F835">
        <v>3469.16</v>
      </c>
      <c r="G835" t="str" cm="1">
        <f t="array" ref="G835">IF(AND(ISNUMBER(SEARCH("UBER",C835)),ISNUMBER(SEARCH("EATS",C835))),"Uber Eats",IF(LEFT(C835,6)="CHECK ","Checks Paid",IF(OR(E835="BILLPAY",ISNUMBER(SEARCH("FRANCHISE TAX",C835)),ISNUMBER(SEARCH("NEXTLINK",C835))),"Personal - House Bills",IF(AND(ISNUMBER(SEARCH("PAYMENT FROM",C835)),ISNUMBER(SEARCH("JOE SAUNDERS",C835))),"Zelle from Joe Saunders",IF(AND(ISNUMBER(SEARCH("PAYMENT TO",C835)),ISNUMBER(SEARCH("JOE SAUNDERS",C835))),"Zelle to Joe Saunders",IF(OR(ISNUMBER(SEARCH("NEW ORLEANS",C835)),ISNUMBER(SEARCH("KENNER",C835)),ISNUMBER(SEARCH("HENRY HOWARD",C835)),ISNUMBER(SEARCH("MISS CLAUDIA",C835))),"Personal Travel - New Orleans",IF(AND(YEAR(B835)=2025,MONTH(B835)=4,OR(ISNUMBER(SEARCH("EXCHANGE RATE",C835)),ISNUMBER(SEARCH("EXCHG RTE",C835)))),"Personal Travel - Italy",IFERROR(INDEX('Category Rules'!$B$2:$B$358,MATCH(TRUE,ISNUMBER(SEARCH('Category Rules'!$A$2:$A$358,C835)),0)),""))))))))</f>
        <v>Withdrawal</v>
      </c>
    </row>
    <row r="836" spans="1:7" x14ac:dyDescent="0.25">
      <c r="A836" t="s">
        <v>6</v>
      </c>
      <c r="B836" s="1">
        <v>45904</v>
      </c>
      <c r="C836" t="s">
        <v>777</v>
      </c>
      <c r="D836">
        <v>-88.4</v>
      </c>
      <c r="E836" t="s">
        <v>10</v>
      </c>
      <c r="F836">
        <v>4469.16</v>
      </c>
      <c r="G836" t="str" cm="1">
        <f t="array" ref="G836">IF(AND(ISNUMBER(SEARCH("UBER",C836)),ISNUMBER(SEARCH("EATS",C836))),"Uber Eats",IF(LEFT(C836,6)="CHECK ","Checks Paid",IF(OR(E836="BILLPAY",ISNUMBER(SEARCH("FRANCHISE TAX",C836)),ISNUMBER(SEARCH("NEXTLINK",C836))),"Personal - House Bills",IF(AND(ISNUMBER(SEARCH("PAYMENT FROM",C836)),ISNUMBER(SEARCH("JOE SAUNDERS",C836))),"Zelle from Joe Saunders",IF(AND(ISNUMBER(SEARCH("PAYMENT TO",C836)),ISNUMBER(SEARCH("JOE SAUNDERS",C836))),"Zelle to Joe Saunders",IF(OR(ISNUMBER(SEARCH("NEW ORLEANS",C836)),ISNUMBER(SEARCH("KENNER",C836)),ISNUMBER(SEARCH("HENRY HOWARD",C836)),ISNUMBER(SEARCH("MISS CLAUDIA",C836))),"Personal Travel - New Orleans",IF(AND(YEAR(B836)=2025,MONTH(B836)=4,OR(ISNUMBER(SEARCH("EXCHANGE RATE",C836)),ISNUMBER(SEARCH("EXCHG RTE",C836)))),"Personal Travel - Italy",IFERROR(INDEX('Category Rules'!$B$2:$B$358,MATCH(TRUE,ISNUMBER(SEARCH('Category Rules'!$A$2:$A$358,C836)),0)),""))))))))</f>
        <v>Personal - Shopping</v>
      </c>
    </row>
    <row r="837" spans="1:7" x14ac:dyDescent="0.25">
      <c r="A837" t="s">
        <v>6</v>
      </c>
      <c r="B837" s="1">
        <v>45904</v>
      </c>
      <c r="C837" t="s">
        <v>778</v>
      </c>
      <c r="D837">
        <v>-238.5</v>
      </c>
      <c r="E837" t="s">
        <v>10</v>
      </c>
      <c r="F837">
        <v>4557.5600000000004</v>
      </c>
      <c r="G837" t="str" cm="1">
        <f t="array" ref="G837">IF(AND(ISNUMBER(SEARCH("UBER",C837)),ISNUMBER(SEARCH("EATS",C837))),"Uber Eats",IF(LEFT(C837,6)="CHECK ","Checks Paid",IF(OR(E837="BILLPAY",ISNUMBER(SEARCH("FRANCHISE TAX",C837)),ISNUMBER(SEARCH("NEXTLINK",C837))),"Personal - House Bills",IF(AND(ISNUMBER(SEARCH("PAYMENT FROM",C837)),ISNUMBER(SEARCH("JOE SAUNDERS",C837))),"Zelle from Joe Saunders",IF(AND(ISNUMBER(SEARCH("PAYMENT TO",C837)),ISNUMBER(SEARCH("JOE SAUNDERS",C837))),"Zelle to Joe Saunders",IF(OR(ISNUMBER(SEARCH("NEW ORLEANS",C837)),ISNUMBER(SEARCH("KENNER",C837)),ISNUMBER(SEARCH("HENRY HOWARD",C837)),ISNUMBER(SEARCH("MISS CLAUDIA",C837))),"Personal Travel - New Orleans",IF(AND(YEAR(B837)=2025,MONTH(B837)=4,OR(ISNUMBER(SEARCH("EXCHANGE RATE",C837)),ISNUMBER(SEARCH("EXCHG RTE",C837)))),"Personal Travel - Italy",IFERROR(INDEX('Category Rules'!$B$2:$B$358,MATCH(TRUE,ISNUMBER(SEARCH('Category Rules'!$A$2:$A$358,C837)),0)),""))))))))</f>
        <v>Amazon</v>
      </c>
    </row>
    <row r="838" spans="1:7" x14ac:dyDescent="0.25">
      <c r="A838" t="s">
        <v>6</v>
      </c>
      <c r="B838" s="1">
        <v>45904</v>
      </c>
      <c r="C838" t="s">
        <v>779</v>
      </c>
      <c r="D838">
        <v>-39.51</v>
      </c>
      <c r="E838" t="s">
        <v>10</v>
      </c>
      <c r="F838">
        <v>4796.0600000000004</v>
      </c>
      <c r="G838" t="str" cm="1">
        <f t="array" ref="G838">IF(AND(ISNUMBER(SEARCH("UBER",C838)),ISNUMBER(SEARCH("EATS",C838))),"Uber Eats",IF(LEFT(C838,6)="CHECK ","Checks Paid",IF(OR(E838="BILLPAY",ISNUMBER(SEARCH("FRANCHISE TAX",C838)),ISNUMBER(SEARCH("NEXTLINK",C838))),"Personal - House Bills",IF(AND(ISNUMBER(SEARCH("PAYMENT FROM",C838)),ISNUMBER(SEARCH("JOE SAUNDERS",C838))),"Zelle from Joe Saunders",IF(AND(ISNUMBER(SEARCH("PAYMENT TO",C838)),ISNUMBER(SEARCH("JOE SAUNDERS",C838))),"Zelle to Joe Saunders",IF(OR(ISNUMBER(SEARCH("NEW ORLEANS",C838)),ISNUMBER(SEARCH("KENNER",C838)),ISNUMBER(SEARCH("HENRY HOWARD",C838)),ISNUMBER(SEARCH("MISS CLAUDIA",C838))),"Personal Travel - New Orleans",IF(AND(YEAR(B838)=2025,MONTH(B838)=4,OR(ISNUMBER(SEARCH("EXCHANGE RATE",C838)),ISNUMBER(SEARCH("EXCHG RTE",C838)))),"Personal Travel - Italy",IFERROR(INDEX('Category Rules'!$B$2:$B$358,MATCH(TRUE,ISNUMBER(SEARCH('Category Rules'!$A$2:$A$358,C838)),0)),""))))))))</f>
        <v>Amazon</v>
      </c>
    </row>
    <row r="839" spans="1:7" x14ac:dyDescent="0.25">
      <c r="A839" t="s">
        <v>6</v>
      </c>
      <c r="B839" s="1">
        <v>45904</v>
      </c>
      <c r="C839" t="s">
        <v>780</v>
      </c>
      <c r="D839">
        <v>-432.08</v>
      </c>
      <c r="E839" t="s">
        <v>10</v>
      </c>
      <c r="F839">
        <v>4835.57</v>
      </c>
      <c r="G839" t="str" cm="1">
        <f t="array" ref="G839">IF(AND(ISNUMBER(SEARCH("UBER",C839)),ISNUMBER(SEARCH("EATS",C839))),"Uber Eats",IF(LEFT(C839,6)="CHECK ","Checks Paid",IF(OR(E839="BILLPAY",ISNUMBER(SEARCH("FRANCHISE TAX",C839)),ISNUMBER(SEARCH("NEXTLINK",C839))),"Personal - House Bills",IF(AND(ISNUMBER(SEARCH("PAYMENT FROM",C839)),ISNUMBER(SEARCH("JOE SAUNDERS",C839))),"Zelle from Joe Saunders",IF(AND(ISNUMBER(SEARCH("PAYMENT TO",C839)),ISNUMBER(SEARCH("JOE SAUNDERS",C839))),"Zelle to Joe Saunders",IF(OR(ISNUMBER(SEARCH("NEW ORLEANS",C839)),ISNUMBER(SEARCH("KENNER",C839)),ISNUMBER(SEARCH("HENRY HOWARD",C839)),ISNUMBER(SEARCH("MISS CLAUDIA",C839))),"Personal Travel - New Orleans",IF(AND(YEAR(B839)=2025,MONTH(B839)=4,OR(ISNUMBER(SEARCH("EXCHANGE RATE",C839)),ISNUMBER(SEARCH("EXCHG RTE",C839)))),"Personal Travel - Italy",IFERROR(INDEX('Category Rules'!$B$2:$B$358,MATCH(TRUE,ISNUMBER(SEARCH('Category Rules'!$A$2:$A$358,C839)),0)),""))))))))</f>
        <v>Personal - Shopping</v>
      </c>
    </row>
    <row r="840" spans="1:7" x14ac:dyDescent="0.25">
      <c r="A840" t="s">
        <v>126</v>
      </c>
      <c r="B840" s="1">
        <v>45904</v>
      </c>
      <c r="C840" t="s">
        <v>781</v>
      </c>
      <c r="D840">
        <v>1050</v>
      </c>
      <c r="E840" t="s">
        <v>128</v>
      </c>
      <c r="F840">
        <v>5267.65</v>
      </c>
      <c r="G840" t="str" cm="1">
        <f t="array" ref="G840">IF(AND(ISNUMBER(SEARCH("UBER",C840)),ISNUMBER(SEARCH("EATS",C840))),"Uber Eats",IF(LEFT(C840,6)="CHECK ","Checks Paid",IF(OR(E840="BILLPAY",ISNUMBER(SEARCH("FRANCHISE TAX",C840)),ISNUMBER(SEARCH("NEXTLINK",C840))),"Personal - House Bills",IF(AND(ISNUMBER(SEARCH("PAYMENT FROM",C840)),ISNUMBER(SEARCH("JOE SAUNDERS",C840))),"Zelle from Joe Saunders",IF(AND(ISNUMBER(SEARCH("PAYMENT TO",C840)),ISNUMBER(SEARCH("JOE SAUNDERS",C840))),"Zelle to Joe Saunders",IF(OR(ISNUMBER(SEARCH("NEW ORLEANS",C840)),ISNUMBER(SEARCH("KENNER",C840)),ISNUMBER(SEARCH("HENRY HOWARD",C840)),ISNUMBER(SEARCH("MISS CLAUDIA",C840))),"Personal Travel - New Orleans",IF(AND(YEAR(B840)=2025,MONTH(B840)=4,OR(ISNUMBER(SEARCH("EXCHANGE RATE",C840)),ISNUMBER(SEARCH("EXCHG RTE",C840)))),"Personal Travel - Italy",IFERROR(INDEX('Category Rules'!$B$2:$B$358,MATCH(TRUE,ISNUMBER(SEARCH('Category Rules'!$A$2:$A$358,C840)),0)),""))))))))</f>
        <v>Deposit</v>
      </c>
    </row>
    <row r="841" spans="1:7" x14ac:dyDescent="0.25">
      <c r="A841" t="s">
        <v>6</v>
      </c>
      <c r="B841" s="1">
        <v>45903</v>
      </c>
      <c r="C841" t="s">
        <v>782</v>
      </c>
      <c r="D841">
        <v>-128.1</v>
      </c>
      <c r="E841" t="s">
        <v>10</v>
      </c>
      <c r="F841">
        <v>4217.6499999999996</v>
      </c>
      <c r="G841" t="str" cm="1">
        <f t="array" ref="G841">IF(AND(ISNUMBER(SEARCH("UBER",C841)),ISNUMBER(SEARCH("EATS",C841))),"Uber Eats",IF(LEFT(C841,6)="CHECK ","Checks Paid",IF(OR(E841="BILLPAY",ISNUMBER(SEARCH("FRANCHISE TAX",C841)),ISNUMBER(SEARCH("NEXTLINK",C841))),"Personal - House Bills",IF(AND(ISNUMBER(SEARCH("PAYMENT FROM",C841)),ISNUMBER(SEARCH("JOE SAUNDERS",C841))),"Zelle from Joe Saunders",IF(AND(ISNUMBER(SEARCH("PAYMENT TO",C841)),ISNUMBER(SEARCH("JOE SAUNDERS",C841))),"Zelle to Joe Saunders",IF(OR(ISNUMBER(SEARCH("NEW ORLEANS",C841)),ISNUMBER(SEARCH("KENNER",C841)),ISNUMBER(SEARCH("HENRY HOWARD",C841)),ISNUMBER(SEARCH("MISS CLAUDIA",C841))),"Personal Travel - New Orleans",IF(AND(YEAR(B841)=2025,MONTH(B841)=4,OR(ISNUMBER(SEARCH("EXCHANGE RATE",C841)),ISNUMBER(SEARCH("EXCHG RTE",C841)))),"Personal Travel - Italy",IFERROR(INDEX('Category Rules'!$B$2:$B$358,MATCH(TRUE,ISNUMBER(SEARCH('Category Rules'!$A$2:$A$358,C841)),0)),""))))))))</f>
        <v>Personal - Shopping</v>
      </c>
    </row>
    <row r="842" spans="1:7" x14ac:dyDescent="0.25">
      <c r="A842" t="s">
        <v>6</v>
      </c>
      <c r="B842" s="1">
        <v>45903</v>
      </c>
      <c r="C842" t="s">
        <v>783</v>
      </c>
      <c r="D842">
        <v>-4</v>
      </c>
      <c r="E842" t="s">
        <v>10</v>
      </c>
      <c r="F842">
        <v>4345.75</v>
      </c>
      <c r="G842" t="str" cm="1">
        <f t="array" ref="G842">IF(AND(ISNUMBER(SEARCH("UBER",C842)),ISNUMBER(SEARCH("EATS",C842))),"Uber Eats",IF(LEFT(C842,6)="CHECK ","Checks Paid",IF(OR(E842="BILLPAY",ISNUMBER(SEARCH("FRANCHISE TAX",C842)),ISNUMBER(SEARCH("NEXTLINK",C842))),"Personal - House Bills",IF(AND(ISNUMBER(SEARCH("PAYMENT FROM",C842)),ISNUMBER(SEARCH("JOE SAUNDERS",C842))),"Zelle from Joe Saunders",IF(AND(ISNUMBER(SEARCH("PAYMENT TO",C842)),ISNUMBER(SEARCH("JOE SAUNDERS",C842))),"Zelle to Joe Saunders",IF(OR(ISNUMBER(SEARCH("NEW ORLEANS",C842)),ISNUMBER(SEARCH("KENNER",C842)),ISNUMBER(SEARCH("HENRY HOWARD",C842)),ISNUMBER(SEARCH("MISS CLAUDIA",C842))),"Personal Travel - New Orleans",IF(AND(YEAR(B842)=2025,MONTH(B842)=4,OR(ISNUMBER(SEARCH("EXCHANGE RATE",C842)),ISNUMBER(SEARCH("EXCHG RTE",C842)))),"Personal Travel - Italy",IFERROR(INDEX('Category Rules'!$B$2:$B$358,MATCH(TRUE,ISNUMBER(SEARCH('Category Rules'!$A$2:$A$358,C842)),0)),""))))))))</f>
        <v>Personal - Uber</v>
      </c>
    </row>
    <row r="843" spans="1:7" x14ac:dyDescent="0.25">
      <c r="A843" t="s">
        <v>6</v>
      </c>
      <c r="B843" s="1">
        <v>45903</v>
      </c>
      <c r="C843" t="s">
        <v>784</v>
      </c>
      <c r="D843">
        <v>-18.760000000000002</v>
      </c>
      <c r="E843" t="s">
        <v>10</v>
      </c>
      <c r="F843">
        <v>4349.75</v>
      </c>
      <c r="G843" t="str" cm="1">
        <f t="array" ref="G843">IF(AND(ISNUMBER(SEARCH("UBER",C843)),ISNUMBER(SEARCH("EATS",C843))),"Uber Eats",IF(LEFT(C843,6)="CHECK ","Checks Paid",IF(OR(E843="BILLPAY",ISNUMBER(SEARCH("FRANCHISE TAX",C843)),ISNUMBER(SEARCH("NEXTLINK",C843))),"Personal - House Bills",IF(AND(ISNUMBER(SEARCH("PAYMENT FROM",C843)),ISNUMBER(SEARCH("JOE SAUNDERS",C843))),"Zelle from Joe Saunders",IF(AND(ISNUMBER(SEARCH("PAYMENT TO",C843)),ISNUMBER(SEARCH("JOE SAUNDERS",C843))),"Zelle to Joe Saunders",IF(OR(ISNUMBER(SEARCH("NEW ORLEANS",C843)),ISNUMBER(SEARCH("KENNER",C843)),ISNUMBER(SEARCH("HENRY HOWARD",C843)),ISNUMBER(SEARCH("MISS CLAUDIA",C843))),"Personal Travel - New Orleans",IF(AND(YEAR(B843)=2025,MONTH(B843)=4,OR(ISNUMBER(SEARCH("EXCHANGE RATE",C843)),ISNUMBER(SEARCH("EXCHG RTE",C843)))),"Personal Travel - Italy",IFERROR(INDEX('Category Rules'!$B$2:$B$358,MATCH(TRUE,ISNUMBER(SEARCH('Category Rules'!$A$2:$A$358,C843)),0)),""))))))))</f>
        <v>Personal - Uber</v>
      </c>
    </row>
    <row r="844" spans="1:7" x14ac:dyDescent="0.25">
      <c r="A844" t="s">
        <v>6</v>
      </c>
      <c r="B844" s="1">
        <v>45903</v>
      </c>
      <c r="C844" t="s">
        <v>785</v>
      </c>
      <c r="D844">
        <v>-3.99</v>
      </c>
      <c r="E844" t="s">
        <v>10</v>
      </c>
      <c r="F844">
        <v>4368.51</v>
      </c>
      <c r="G844" t="str" cm="1">
        <f t="array" ref="G844">IF(AND(ISNUMBER(SEARCH("UBER",C844)),ISNUMBER(SEARCH("EATS",C844))),"Uber Eats",IF(LEFT(C844,6)="CHECK ","Checks Paid",IF(OR(E844="BILLPAY",ISNUMBER(SEARCH("FRANCHISE TAX",C844)),ISNUMBER(SEARCH("NEXTLINK",C844))),"Personal - House Bills",IF(AND(ISNUMBER(SEARCH("PAYMENT FROM",C844)),ISNUMBER(SEARCH("JOE SAUNDERS",C844))),"Zelle from Joe Saunders",IF(AND(ISNUMBER(SEARCH("PAYMENT TO",C844)),ISNUMBER(SEARCH("JOE SAUNDERS",C844))),"Zelle to Joe Saunders",IF(OR(ISNUMBER(SEARCH("NEW ORLEANS",C844)),ISNUMBER(SEARCH("KENNER",C844)),ISNUMBER(SEARCH("HENRY HOWARD",C844)),ISNUMBER(SEARCH("MISS CLAUDIA",C844))),"Personal Travel - New Orleans",IF(AND(YEAR(B844)=2025,MONTH(B844)=4,OR(ISNUMBER(SEARCH("EXCHANGE RATE",C844)),ISNUMBER(SEARCH("EXCHG RTE",C844)))),"Personal Travel - Italy",IFERROR(INDEX('Category Rules'!$B$2:$B$358,MATCH(TRUE,ISNUMBER(SEARCH('Category Rules'!$A$2:$A$358,C844)),0)),""))))))))</f>
        <v>Apple</v>
      </c>
    </row>
    <row r="845" spans="1:7" x14ac:dyDescent="0.25">
      <c r="A845" t="s">
        <v>6</v>
      </c>
      <c r="B845" s="1">
        <v>45903</v>
      </c>
      <c r="C845" t="s">
        <v>786</v>
      </c>
      <c r="D845">
        <v>-125.34</v>
      </c>
      <c r="E845" t="s">
        <v>10</v>
      </c>
      <c r="F845">
        <v>4372.5</v>
      </c>
      <c r="G845" t="str" cm="1">
        <f t="array" ref="G845">IF(AND(ISNUMBER(SEARCH("UBER",C845)),ISNUMBER(SEARCH("EATS",C845))),"Uber Eats",IF(LEFT(C845,6)="CHECK ","Checks Paid",IF(OR(E845="BILLPAY",ISNUMBER(SEARCH("FRANCHISE TAX",C845)),ISNUMBER(SEARCH("NEXTLINK",C845))),"Personal - House Bills",IF(AND(ISNUMBER(SEARCH("PAYMENT FROM",C845)),ISNUMBER(SEARCH("JOE SAUNDERS",C845))),"Zelle from Joe Saunders",IF(AND(ISNUMBER(SEARCH("PAYMENT TO",C845)),ISNUMBER(SEARCH("JOE SAUNDERS",C845))),"Zelle to Joe Saunders",IF(OR(ISNUMBER(SEARCH("NEW ORLEANS",C845)),ISNUMBER(SEARCH("KENNER",C845)),ISNUMBER(SEARCH("HENRY HOWARD",C845)),ISNUMBER(SEARCH("MISS CLAUDIA",C845))),"Personal Travel - New Orleans",IF(AND(YEAR(B845)=2025,MONTH(B845)=4,OR(ISNUMBER(SEARCH("EXCHANGE RATE",C845)),ISNUMBER(SEARCH("EXCHG RTE",C845)))),"Personal Travel - Italy",IFERROR(INDEX('Category Rules'!$B$2:$B$358,MATCH(TRUE,ISNUMBER(SEARCH('Category Rules'!$A$2:$A$358,C845)),0)),""))))))))</f>
        <v>Personal - Entertainment</v>
      </c>
    </row>
    <row r="846" spans="1:7" x14ac:dyDescent="0.25">
      <c r="A846" t="s">
        <v>6</v>
      </c>
      <c r="B846" s="1">
        <v>45903</v>
      </c>
      <c r="C846" t="s">
        <v>787</v>
      </c>
      <c r="D846">
        <v>-34.96</v>
      </c>
      <c r="E846" t="s">
        <v>10</v>
      </c>
      <c r="F846">
        <v>4497.84</v>
      </c>
      <c r="G846" t="str" cm="1">
        <f t="array" ref="G846">IF(AND(ISNUMBER(SEARCH("UBER",C846)),ISNUMBER(SEARCH("EATS",C846))),"Uber Eats",IF(LEFT(C846,6)="CHECK ","Checks Paid",IF(OR(E846="BILLPAY",ISNUMBER(SEARCH("FRANCHISE TAX",C846)),ISNUMBER(SEARCH("NEXTLINK",C846))),"Personal - House Bills",IF(AND(ISNUMBER(SEARCH("PAYMENT FROM",C846)),ISNUMBER(SEARCH("JOE SAUNDERS",C846))),"Zelle from Joe Saunders",IF(AND(ISNUMBER(SEARCH("PAYMENT TO",C846)),ISNUMBER(SEARCH("JOE SAUNDERS",C846))),"Zelle to Joe Saunders",IF(OR(ISNUMBER(SEARCH("NEW ORLEANS",C846)),ISNUMBER(SEARCH("KENNER",C846)),ISNUMBER(SEARCH("HENRY HOWARD",C846)),ISNUMBER(SEARCH("MISS CLAUDIA",C846))),"Personal Travel - New Orleans",IF(AND(YEAR(B846)=2025,MONTH(B846)=4,OR(ISNUMBER(SEARCH("EXCHANGE RATE",C846)),ISNUMBER(SEARCH("EXCHG RTE",C846)))),"Personal Travel - Italy",IFERROR(INDEX('Category Rules'!$B$2:$B$358,MATCH(TRUE,ISNUMBER(SEARCH('Category Rules'!$A$2:$A$358,C846)),0)),""))))))))</f>
        <v>Personal - Shopping</v>
      </c>
    </row>
    <row r="847" spans="1:7" x14ac:dyDescent="0.25">
      <c r="A847" t="s">
        <v>44</v>
      </c>
      <c r="B847" s="1">
        <v>45903</v>
      </c>
      <c r="C847" t="s">
        <v>788</v>
      </c>
      <c r="D847">
        <v>3000</v>
      </c>
      <c r="E847" t="s">
        <v>73</v>
      </c>
      <c r="F847">
        <v>4532.8</v>
      </c>
      <c r="G847" t="str" cm="1">
        <f t="array" ref="G847">IF(AND(ISNUMBER(SEARCH("UBER",C847)),ISNUMBER(SEARCH("EATS",C847))),"Uber Eats",IF(LEFT(C847,6)="CHECK ","Checks Paid",IF(OR(E847="BILLPAY",ISNUMBER(SEARCH("FRANCHISE TAX",C847)),ISNUMBER(SEARCH("NEXTLINK",C847))),"Personal - House Bills",IF(AND(ISNUMBER(SEARCH("PAYMENT FROM",C847)),ISNUMBER(SEARCH("JOE SAUNDERS",C847))),"Zelle from Joe Saunders",IF(AND(ISNUMBER(SEARCH("PAYMENT TO",C847)),ISNUMBER(SEARCH("JOE SAUNDERS",C847))),"Zelle to Joe Saunders",IF(OR(ISNUMBER(SEARCH("NEW ORLEANS",C847)),ISNUMBER(SEARCH("KENNER",C847)),ISNUMBER(SEARCH("HENRY HOWARD",C847)),ISNUMBER(SEARCH("MISS CLAUDIA",C847))),"Personal Travel - New Orleans",IF(AND(YEAR(B847)=2025,MONTH(B847)=4,OR(ISNUMBER(SEARCH("EXCHANGE RATE",C847)),ISNUMBER(SEARCH("EXCHG RTE",C847)))),"Personal Travel - Italy",IFERROR(INDEX('Category Rules'!$B$2:$B$358,MATCH(TRUE,ISNUMBER(SEARCH('Category Rules'!$A$2:$A$358,C847)),0)),""))))))))</f>
        <v>Transfer from DWG Capital Group</v>
      </c>
    </row>
    <row r="848" spans="1:7" x14ac:dyDescent="0.25">
      <c r="A848" t="s">
        <v>6</v>
      </c>
      <c r="B848" s="1">
        <v>45902</v>
      </c>
      <c r="C848" t="s">
        <v>789</v>
      </c>
      <c r="D848">
        <v>-527.16999999999996</v>
      </c>
      <c r="E848" t="s">
        <v>10</v>
      </c>
      <c r="F848">
        <v>1532.8</v>
      </c>
      <c r="G848" t="str" cm="1">
        <f t="array" ref="G848">IF(AND(ISNUMBER(SEARCH("UBER",C848)),ISNUMBER(SEARCH("EATS",C848))),"Uber Eats",IF(LEFT(C848,6)="CHECK ","Checks Paid",IF(OR(E848="BILLPAY",ISNUMBER(SEARCH("FRANCHISE TAX",C848)),ISNUMBER(SEARCH("NEXTLINK",C848))),"Personal - House Bills",IF(AND(ISNUMBER(SEARCH("PAYMENT FROM",C848)),ISNUMBER(SEARCH("JOE SAUNDERS",C848))),"Zelle from Joe Saunders",IF(AND(ISNUMBER(SEARCH("PAYMENT TO",C848)),ISNUMBER(SEARCH("JOE SAUNDERS",C848))),"Zelle to Joe Saunders",IF(OR(ISNUMBER(SEARCH("NEW ORLEANS",C848)),ISNUMBER(SEARCH("KENNER",C848)),ISNUMBER(SEARCH("HENRY HOWARD",C848)),ISNUMBER(SEARCH("MISS CLAUDIA",C848))),"Personal Travel - New Orleans",IF(AND(YEAR(B848)=2025,MONTH(B848)=4,OR(ISNUMBER(SEARCH("EXCHANGE RATE",C848)),ISNUMBER(SEARCH("EXCHG RTE",C848)))),"Personal Travel - Italy",IFERROR(INDEX('Category Rules'!$B$2:$B$358,MATCH(TRUE,ISNUMBER(SEARCH('Category Rules'!$A$2:$A$358,C848)),0)),""))))))))</f>
        <v>Etsy</v>
      </c>
    </row>
    <row r="849" spans="1:7" x14ac:dyDescent="0.25">
      <c r="A849" t="s">
        <v>6</v>
      </c>
      <c r="B849" s="1">
        <v>45902</v>
      </c>
      <c r="C849" t="s">
        <v>790</v>
      </c>
      <c r="D849">
        <v>-15.04</v>
      </c>
      <c r="E849" t="s">
        <v>10</v>
      </c>
      <c r="F849">
        <v>2059.9699999999998</v>
      </c>
      <c r="G849" t="str" cm="1">
        <f t="array" ref="G849">IF(AND(ISNUMBER(SEARCH("UBER",C849)),ISNUMBER(SEARCH("EATS",C849))),"Uber Eats",IF(LEFT(C849,6)="CHECK ","Checks Paid",IF(OR(E849="BILLPAY",ISNUMBER(SEARCH("FRANCHISE TAX",C849)),ISNUMBER(SEARCH("NEXTLINK",C849))),"Personal - House Bills",IF(AND(ISNUMBER(SEARCH("PAYMENT FROM",C849)),ISNUMBER(SEARCH("JOE SAUNDERS",C849))),"Zelle from Joe Saunders",IF(AND(ISNUMBER(SEARCH("PAYMENT TO",C849)),ISNUMBER(SEARCH("JOE SAUNDERS",C849))),"Zelle to Joe Saunders",IF(OR(ISNUMBER(SEARCH("NEW ORLEANS",C849)),ISNUMBER(SEARCH("KENNER",C849)),ISNUMBER(SEARCH("HENRY HOWARD",C849)),ISNUMBER(SEARCH("MISS CLAUDIA",C849))),"Personal Travel - New Orleans",IF(AND(YEAR(B849)=2025,MONTH(B849)=4,OR(ISNUMBER(SEARCH("EXCHANGE RATE",C849)),ISNUMBER(SEARCH("EXCHG RTE",C849)))),"Personal Travel - Italy",IFERROR(INDEX('Category Rules'!$B$2:$B$358,MATCH(TRUE,ISNUMBER(SEARCH('Category Rules'!$A$2:$A$358,C849)),0)),""))))))))</f>
        <v>Personal - Car</v>
      </c>
    </row>
    <row r="850" spans="1:7" x14ac:dyDescent="0.25">
      <c r="A850" t="s">
        <v>6</v>
      </c>
      <c r="B850" s="1">
        <v>45902</v>
      </c>
      <c r="C850" t="s">
        <v>791</v>
      </c>
      <c r="D850">
        <v>-27.96</v>
      </c>
      <c r="E850" t="s">
        <v>10</v>
      </c>
      <c r="F850">
        <v>2075.0100000000002</v>
      </c>
      <c r="G850" t="str" cm="1">
        <f t="array" ref="G850">IF(AND(ISNUMBER(SEARCH("UBER",C850)),ISNUMBER(SEARCH("EATS",C850))),"Uber Eats",IF(LEFT(C850,6)="CHECK ","Checks Paid",IF(OR(E850="BILLPAY",ISNUMBER(SEARCH("FRANCHISE TAX",C850)),ISNUMBER(SEARCH("NEXTLINK",C850))),"Personal - House Bills",IF(AND(ISNUMBER(SEARCH("PAYMENT FROM",C850)),ISNUMBER(SEARCH("JOE SAUNDERS",C850))),"Zelle from Joe Saunders",IF(AND(ISNUMBER(SEARCH("PAYMENT TO",C850)),ISNUMBER(SEARCH("JOE SAUNDERS",C850))),"Zelle to Joe Saunders",IF(OR(ISNUMBER(SEARCH("NEW ORLEANS",C850)),ISNUMBER(SEARCH("KENNER",C850)),ISNUMBER(SEARCH("HENRY HOWARD",C850)),ISNUMBER(SEARCH("MISS CLAUDIA",C850))),"Personal Travel - New Orleans",IF(AND(YEAR(B850)=2025,MONTH(B850)=4,OR(ISNUMBER(SEARCH("EXCHANGE RATE",C850)),ISNUMBER(SEARCH("EXCHG RTE",C850)))),"Personal Travel - Italy",IFERROR(INDEX('Category Rules'!$B$2:$B$358,MATCH(TRUE,ISNUMBER(SEARCH('Category Rules'!$A$2:$A$358,C850)),0)),""))))))))</f>
        <v>Personal - Uber</v>
      </c>
    </row>
    <row r="851" spans="1:7" x14ac:dyDescent="0.25">
      <c r="A851" t="s">
        <v>6</v>
      </c>
      <c r="B851" s="1">
        <v>45902</v>
      </c>
      <c r="C851" t="s">
        <v>792</v>
      </c>
      <c r="D851">
        <v>-476.8</v>
      </c>
      <c r="E851" t="s">
        <v>10</v>
      </c>
      <c r="F851">
        <v>2102.9699999999998</v>
      </c>
      <c r="G851" t="str" cm="1">
        <f t="array" ref="G851">IF(AND(ISNUMBER(SEARCH("UBER",C851)),ISNUMBER(SEARCH("EATS",C851))),"Uber Eats",IF(LEFT(C851,6)="CHECK ","Checks Paid",IF(OR(E851="BILLPAY",ISNUMBER(SEARCH("FRANCHISE TAX",C851)),ISNUMBER(SEARCH("NEXTLINK",C851))),"Personal - House Bills",IF(AND(ISNUMBER(SEARCH("PAYMENT FROM",C851)),ISNUMBER(SEARCH("JOE SAUNDERS",C851))),"Zelle from Joe Saunders",IF(AND(ISNUMBER(SEARCH("PAYMENT TO",C851)),ISNUMBER(SEARCH("JOE SAUNDERS",C851))),"Zelle to Joe Saunders",IF(OR(ISNUMBER(SEARCH("NEW ORLEANS",C851)),ISNUMBER(SEARCH("KENNER",C851)),ISNUMBER(SEARCH("HENRY HOWARD",C851)),ISNUMBER(SEARCH("MISS CLAUDIA",C851))),"Personal Travel - New Orleans",IF(AND(YEAR(B851)=2025,MONTH(B851)=4,OR(ISNUMBER(SEARCH("EXCHANGE RATE",C851)),ISNUMBER(SEARCH("EXCHG RTE",C851)))),"Personal Travel - Italy",IFERROR(INDEX('Category Rules'!$B$2:$B$358,MATCH(TRUE,ISNUMBER(SEARCH('Category Rules'!$A$2:$A$358,C851)),0)),""))))))))</f>
        <v>Etsy</v>
      </c>
    </row>
    <row r="852" spans="1:7" x14ac:dyDescent="0.25">
      <c r="A852" t="s">
        <v>6</v>
      </c>
      <c r="B852" s="1">
        <v>45902</v>
      </c>
      <c r="C852" t="s">
        <v>793</v>
      </c>
      <c r="D852">
        <v>-239.98</v>
      </c>
      <c r="E852" t="s">
        <v>10</v>
      </c>
      <c r="F852">
        <v>2579.77</v>
      </c>
      <c r="G852" t="str" cm="1">
        <f t="array" ref="G852">IF(AND(ISNUMBER(SEARCH("UBER",C852)),ISNUMBER(SEARCH("EATS",C852))),"Uber Eats",IF(LEFT(C852,6)="CHECK ","Checks Paid",IF(OR(E852="BILLPAY",ISNUMBER(SEARCH("FRANCHISE TAX",C852)),ISNUMBER(SEARCH("NEXTLINK",C852))),"Personal - House Bills",IF(AND(ISNUMBER(SEARCH("PAYMENT FROM",C852)),ISNUMBER(SEARCH("JOE SAUNDERS",C852))),"Zelle from Joe Saunders",IF(AND(ISNUMBER(SEARCH("PAYMENT TO",C852)),ISNUMBER(SEARCH("JOE SAUNDERS",C852))),"Zelle to Joe Saunders",IF(OR(ISNUMBER(SEARCH("NEW ORLEANS",C852)),ISNUMBER(SEARCH("KENNER",C852)),ISNUMBER(SEARCH("HENRY HOWARD",C852)),ISNUMBER(SEARCH("MISS CLAUDIA",C852))),"Personal Travel - New Orleans",IF(AND(YEAR(B852)=2025,MONTH(B852)=4,OR(ISNUMBER(SEARCH("EXCHANGE RATE",C852)),ISNUMBER(SEARCH("EXCHG RTE",C852)))),"Personal Travel - Italy",IFERROR(INDEX('Category Rules'!$B$2:$B$358,MATCH(TRUE,ISNUMBER(SEARCH('Category Rules'!$A$2:$A$358,C852)),0)),""))))))))</f>
        <v>Personal - Health</v>
      </c>
    </row>
    <row r="853" spans="1:7" x14ac:dyDescent="0.25">
      <c r="A853" t="s">
        <v>6</v>
      </c>
      <c r="B853" s="1">
        <v>45902</v>
      </c>
      <c r="C853" t="s">
        <v>794</v>
      </c>
      <c r="D853">
        <v>-32.909999999999997</v>
      </c>
      <c r="E853" t="s">
        <v>10</v>
      </c>
      <c r="F853">
        <v>2819.75</v>
      </c>
      <c r="G853" t="str" cm="1">
        <f t="array" ref="G853">IF(AND(ISNUMBER(SEARCH("UBER",C853)),ISNUMBER(SEARCH("EATS",C853))),"Uber Eats",IF(LEFT(C853,6)="CHECK ","Checks Paid",IF(OR(E853="BILLPAY",ISNUMBER(SEARCH("FRANCHISE TAX",C853)),ISNUMBER(SEARCH("NEXTLINK",C853))),"Personal - House Bills",IF(AND(ISNUMBER(SEARCH("PAYMENT FROM",C853)),ISNUMBER(SEARCH("JOE SAUNDERS",C853))),"Zelle from Joe Saunders",IF(AND(ISNUMBER(SEARCH("PAYMENT TO",C853)),ISNUMBER(SEARCH("JOE SAUNDERS",C853))),"Zelle to Joe Saunders",IF(OR(ISNUMBER(SEARCH("NEW ORLEANS",C853)),ISNUMBER(SEARCH("KENNER",C853)),ISNUMBER(SEARCH("HENRY HOWARD",C853)),ISNUMBER(SEARCH("MISS CLAUDIA",C853))),"Personal Travel - New Orleans",IF(AND(YEAR(B853)=2025,MONTH(B853)=4,OR(ISNUMBER(SEARCH("EXCHANGE RATE",C853)),ISNUMBER(SEARCH("EXCHG RTE",C853)))),"Personal Travel - Italy",IFERROR(INDEX('Category Rules'!$B$2:$B$358,MATCH(TRUE,ISNUMBER(SEARCH('Category Rules'!$A$2:$A$358,C853)),0)),""))))))))</f>
        <v>Amazon</v>
      </c>
    </row>
    <row r="854" spans="1:7" x14ac:dyDescent="0.25">
      <c r="A854" t="s">
        <v>6</v>
      </c>
      <c r="B854" s="1">
        <v>45902</v>
      </c>
      <c r="C854" t="s">
        <v>795</v>
      </c>
      <c r="D854">
        <v>-62.5</v>
      </c>
      <c r="E854" t="s">
        <v>10</v>
      </c>
      <c r="F854">
        <v>2852.66</v>
      </c>
      <c r="G854" t="str" cm="1">
        <f t="array" ref="G854">IF(AND(ISNUMBER(SEARCH("UBER",C854)),ISNUMBER(SEARCH("EATS",C854))),"Uber Eats",IF(LEFT(C854,6)="CHECK ","Checks Paid",IF(OR(E854="BILLPAY",ISNUMBER(SEARCH("FRANCHISE TAX",C854)),ISNUMBER(SEARCH("NEXTLINK",C854))),"Personal - House Bills",IF(AND(ISNUMBER(SEARCH("PAYMENT FROM",C854)),ISNUMBER(SEARCH("JOE SAUNDERS",C854))),"Zelle from Joe Saunders",IF(AND(ISNUMBER(SEARCH("PAYMENT TO",C854)),ISNUMBER(SEARCH("JOE SAUNDERS",C854))),"Zelle to Joe Saunders",IF(OR(ISNUMBER(SEARCH("NEW ORLEANS",C854)),ISNUMBER(SEARCH("KENNER",C854)),ISNUMBER(SEARCH("HENRY HOWARD",C854)),ISNUMBER(SEARCH("MISS CLAUDIA",C854))),"Personal Travel - New Orleans",IF(AND(YEAR(B854)=2025,MONTH(B854)=4,OR(ISNUMBER(SEARCH("EXCHANGE RATE",C854)),ISNUMBER(SEARCH("EXCHG RTE",C854)))),"Personal Travel - Italy",IFERROR(INDEX('Category Rules'!$B$2:$B$358,MATCH(TRUE,ISNUMBER(SEARCH('Category Rules'!$A$2:$A$358,C854)),0)),""))))))))</f>
        <v>Personal - Entertainment</v>
      </c>
    </row>
    <row r="855" spans="1:7" x14ac:dyDescent="0.25">
      <c r="A855" t="s">
        <v>6</v>
      </c>
      <c r="B855" s="1">
        <v>45902</v>
      </c>
      <c r="C855" t="s">
        <v>796</v>
      </c>
      <c r="D855">
        <v>-70.2</v>
      </c>
      <c r="E855" t="s">
        <v>10</v>
      </c>
      <c r="F855">
        <v>2915.16</v>
      </c>
      <c r="G855" t="str" cm="1">
        <f t="array" ref="G855">IF(AND(ISNUMBER(SEARCH("UBER",C855)),ISNUMBER(SEARCH("EATS",C855))),"Uber Eats",IF(LEFT(C855,6)="CHECK ","Checks Paid",IF(OR(E855="BILLPAY",ISNUMBER(SEARCH("FRANCHISE TAX",C855)),ISNUMBER(SEARCH("NEXTLINK",C855))),"Personal - House Bills",IF(AND(ISNUMBER(SEARCH("PAYMENT FROM",C855)),ISNUMBER(SEARCH("JOE SAUNDERS",C855))),"Zelle from Joe Saunders",IF(AND(ISNUMBER(SEARCH("PAYMENT TO",C855)),ISNUMBER(SEARCH("JOE SAUNDERS",C855))),"Zelle to Joe Saunders",IF(OR(ISNUMBER(SEARCH("NEW ORLEANS",C855)),ISNUMBER(SEARCH("KENNER",C855)),ISNUMBER(SEARCH("HENRY HOWARD",C855)),ISNUMBER(SEARCH("MISS CLAUDIA",C855))),"Personal Travel - New Orleans",IF(AND(YEAR(B855)=2025,MONTH(B855)=4,OR(ISNUMBER(SEARCH("EXCHANGE RATE",C855)),ISNUMBER(SEARCH("EXCHG RTE",C855)))),"Personal Travel - Italy",IFERROR(INDEX('Category Rules'!$B$2:$B$358,MATCH(TRUE,ISNUMBER(SEARCH('Category Rules'!$A$2:$A$358,C855)),0)),""))))))))</f>
        <v>Amazon</v>
      </c>
    </row>
    <row r="856" spans="1:7" x14ac:dyDescent="0.25">
      <c r="A856" t="s">
        <v>6</v>
      </c>
      <c r="B856" s="1">
        <v>45902</v>
      </c>
      <c r="C856" t="s">
        <v>797</v>
      </c>
      <c r="D856">
        <v>-132.79</v>
      </c>
      <c r="E856" t="s">
        <v>10</v>
      </c>
      <c r="F856">
        <v>2985.36</v>
      </c>
      <c r="G856" t="str" cm="1">
        <f t="array" ref="G856">IF(AND(ISNUMBER(SEARCH("UBER",C856)),ISNUMBER(SEARCH("EATS",C856))),"Uber Eats",IF(LEFT(C856,6)="CHECK ","Checks Paid",IF(OR(E856="BILLPAY",ISNUMBER(SEARCH("FRANCHISE TAX",C856)),ISNUMBER(SEARCH("NEXTLINK",C856))),"Personal - House Bills",IF(AND(ISNUMBER(SEARCH("PAYMENT FROM",C856)),ISNUMBER(SEARCH("JOE SAUNDERS",C856))),"Zelle from Joe Saunders",IF(AND(ISNUMBER(SEARCH("PAYMENT TO",C856)),ISNUMBER(SEARCH("JOE SAUNDERS",C856))),"Zelle to Joe Saunders",IF(OR(ISNUMBER(SEARCH("NEW ORLEANS",C856)),ISNUMBER(SEARCH("KENNER",C856)),ISNUMBER(SEARCH("HENRY HOWARD",C856)),ISNUMBER(SEARCH("MISS CLAUDIA",C856))),"Personal Travel - New Orleans",IF(AND(YEAR(B856)=2025,MONTH(B856)=4,OR(ISNUMBER(SEARCH("EXCHANGE RATE",C856)),ISNUMBER(SEARCH("EXCHG RTE",C856)))),"Personal Travel - Italy",IFERROR(INDEX('Category Rules'!$B$2:$B$358,MATCH(TRUE,ISNUMBER(SEARCH('Category Rules'!$A$2:$A$358,C856)),0)),""))))))))</f>
        <v>Uber Eats</v>
      </c>
    </row>
    <row r="857" spans="1:7" x14ac:dyDescent="0.25">
      <c r="A857" t="s">
        <v>6</v>
      </c>
      <c r="B857" s="1">
        <v>45902</v>
      </c>
      <c r="C857" t="s">
        <v>798</v>
      </c>
      <c r="D857">
        <v>-1989.6</v>
      </c>
      <c r="E857" t="s">
        <v>10</v>
      </c>
      <c r="F857">
        <v>3118.15</v>
      </c>
      <c r="G857" t="str" cm="1">
        <f t="array" ref="G857">IF(AND(ISNUMBER(SEARCH("UBER",C857)),ISNUMBER(SEARCH("EATS",C857))),"Uber Eats",IF(LEFT(C857,6)="CHECK ","Checks Paid",IF(OR(E857="BILLPAY",ISNUMBER(SEARCH("FRANCHISE TAX",C857)),ISNUMBER(SEARCH("NEXTLINK",C857))),"Personal - House Bills",IF(AND(ISNUMBER(SEARCH("PAYMENT FROM",C857)),ISNUMBER(SEARCH("JOE SAUNDERS",C857))),"Zelle from Joe Saunders",IF(AND(ISNUMBER(SEARCH("PAYMENT TO",C857)),ISNUMBER(SEARCH("JOE SAUNDERS",C857))),"Zelle to Joe Saunders",IF(OR(ISNUMBER(SEARCH("NEW ORLEANS",C857)),ISNUMBER(SEARCH("KENNER",C857)),ISNUMBER(SEARCH("HENRY HOWARD",C857)),ISNUMBER(SEARCH("MISS CLAUDIA",C857))),"Personal Travel - New Orleans",IF(AND(YEAR(B857)=2025,MONTH(B857)=4,OR(ISNUMBER(SEARCH("EXCHANGE RATE",C857)),ISNUMBER(SEARCH("EXCHG RTE",C857)))),"Personal Travel - Italy",IFERROR(INDEX('Category Rules'!$B$2:$B$358,MATCH(TRUE,ISNUMBER(SEARCH('Category Rules'!$A$2:$A$358,C857)),0)),""))))))))</f>
        <v>Personal - Subscription</v>
      </c>
    </row>
    <row r="858" spans="1:7" x14ac:dyDescent="0.25">
      <c r="A858" t="s">
        <v>6</v>
      </c>
      <c r="B858" s="1">
        <v>45902</v>
      </c>
      <c r="C858" t="s">
        <v>799</v>
      </c>
      <c r="D858">
        <v>-19.34</v>
      </c>
      <c r="E858" t="s">
        <v>10</v>
      </c>
      <c r="F858">
        <v>5107.75</v>
      </c>
      <c r="G858" t="str" cm="1">
        <f t="array" ref="G858">IF(AND(ISNUMBER(SEARCH("UBER",C858)),ISNUMBER(SEARCH("EATS",C858))),"Uber Eats",IF(LEFT(C858,6)="CHECK ","Checks Paid",IF(OR(E858="BILLPAY",ISNUMBER(SEARCH("FRANCHISE TAX",C858)),ISNUMBER(SEARCH("NEXTLINK",C858))),"Personal - House Bills",IF(AND(ISNUMBER(SEARCH("PAYMENT FROM",C858)),ISNUMBER(SEARCH("JOE SAUNDERS",C858))),"Zelle from Joe Saunders",IF(AND(ISNUMBER(SEARCH("PAYMENT TO",C858)),ISNUMBER(SEARCH("JOE SAUNDERS",C858))),"Zelle to Joe Saunders",IF(OR(ISNUMBER(SEARCH("NEW ORLEANS",C858)),ISNUMBER(SEARCH("KENNER",C858)),ISNUMBER(SEARCH("HENRY HOWARD",C858)),ISNUMBER(SEARCH("MISS CLAUDIA",C858))),"Personal Travel - New Orleans",IF(AND(YEAR(B858)=2025,MONTH(B858)=4,OR(ISNUMBER(SEARCH("EXCHANGE RATE",C858)),ISNUMBER(SEARCH("EXCHG RTE",C858)))),"Personal Travel - Italy",IFERROR(INDEX('Category Rules'!$B$2:$B$358,MATCH(TRUE,ISNUMBER(SEARCH('Category Rules'!$A$2:$A$358,C858)),0)),""))))))))</f>
        <v>Amazon</v>
      </c>
    </row>
    <row r="859" spans="1:7" x14ac:dyDescent="0.25">
      <c r="A859" t="s">
        <v>6</v>
      </c>
      <c r="B859" s="1">
        <v>45902</v>
      </c>
      <c r="C859" t="s">
        <v>800</v>
      </c>
      <c r="D859">
        <v>-51.36</v>
      </c>
      <c r="E859" t="s">
        <v>10</v>
      </c>
      <c r="F859">
        <v>5127.09</v>
      </c>
      <c r="G859" t="str" cm="1">
        <f t="array" ref="G859">IF(AND(ISNUMBER(SEARCH("UBER",C859)),ISNUMBER(SEARCH("EATS",C859))),"Uber Eats",IF(LEFT(C859,6)="CHECK ","Checks Paid",IF(OR(E859="BILLPAY",ISNUMBER(SEARCH("FRANCHISE TAX",C859)),ISNUMBER(SEARCH("NEXTLINK",C859))),"Personal - House Bills",IF(AND(ISNUMBER(SEARCH("PAYMENT FROM",C859)),ISNUMBER(SEARCH("JOE SAUNDERS",C859))),"Zelle from Joe Saunders",IF(AND(ISNUMBER(SEARCH("PAYMENT TO",C859)),ISNUMBER(SEARCH("JOE SAUNDERS",C859))),"Zelle to Joe Saunders",IF(OR(ISNUMBER(SEARCH("NEW ORLEANS",C859)),ISNUMBER(SEARCH("KENNER",C859)),ISNUMBER(SEARCH("HENRY HOWARD",C859)),ISNUMBER(SEARCH("MISS CLAUDIA",C859))),"Personal Travel - New Orleans",IF(AND(YEAR(B859)=2025,MONTH(B859)=4,OR(ISNUMBER(SEARCH("EXCHANGE RATE",C859)),ISNUMBER(SEARCH("EXCHG RTE",C859)))),"Personal Travel - Italy",IFERROR(INDEX('Category Rules'!$B$2:$B$358,MATCH(TRUE,ISNUMBER(SEARCH('Category Rules'!$A$2:$A$358,C859)),0)),""))))))))</f>
        <v>Personal - Entertainment</v>
      </c>
    </row>
    <row r="860" spans="1:7" x14ac:dyDescent="0.25">
      <c r="A860" t="s">
        <v>6</v>
      </c>
      <c r="B860" s="1">
        <v>45902</v>
      </c>
      <c r="C860" t="s">
        <v>800</v>
      </c>
      <c r="D860">
        <v>-76.72</v>
      </c>
      <c r="E860" t="s">
        <v>10</v>
      </c>
      <c r="F860">
        <v>5178.45</v>
      </c>
      <c r="G860" t="str" cm="1">
        <f t="array" ref="G860">IF(AND(ISNUMBER(SEARCH("UBER",C860)),ISNUMBER(SEARCH("EATS",C860))),"Uber Eats",IF(LEFT(C860,6)="CHECK ","Checks Paid",IF(OR(E860="BILLPAY",ISNUMBER(SEARCH("FRANCHISE TAX",C860)),ISNUMBER(SEARCH("NEXTLINK",C860))),"Personal - House Bills",IF(AND(ISNUMBER(SEARCH("PAYMENT FROM",C860)),ISNUMBER(SEARCH("JOE SAUNDERS",C860))),"Zelle from Joe Saunders",IF(AND(ISNUMBER(SEARCH("PAYMENT TO",C860)),ISNUMBER(SEARCH("JOE SAUNDERS",C860))),"Zelle to Joe Saunders",IF(OR(ISNUMBER(SEARCH("NEW ORLEANS",C860)),ISNUMBER(SEARCH("KENNER",C860)),ISNUMBER(SEARCH("HENRY HOWARD",C860)),ISNUMBER(SEARCH("MISS CLAUDIA",C860))),"Personal Travel - New Orleans",IF(AND(YEAR(B860)=2025,MONTH(B860)=4,OR(ISNUMBER(SEARCH("EXCHANGE RATE",C860)),ISNUMBER(SEARCH("EXCHG RTE",C860)))),"Personal Travel - Italy",IFERROR(INDEX('Category Rules'!$B$2:$B$358,MATCH(TRUE,ISNUMBER(SEARCH('Category Rules'!$A$2:$A$358,C860)),0)),""))))))))</f>
        <v>Personal - Entertainment</v>
      </c>
    </row>
    <row r="861" spans="1:7" x14ac:dyDescent="0.25">
      <c r="A861" t="s">
        <v>6</v>
      </c>
      <c r="B861" s="1">
        <v>45902</v>
      </c>
      <c r="C861" t="s">
        <v>801</v>
      </c>
      <c r="D861">
        <v>-20</v>
      </c>
      <c r="E861" t="s">
        <v>10</v>
      </c>
      <c r="F861">
        <v>5255.17</v>
      </c>
      <c r="G861" t="str" cm="1">
        <f t="array" ref="G861">IF(AND(ISNUMBER(SEARCH("UBER",C861)),ISNUMBER(SEARCH("EATS",C861))),"Uber Eats",IF(LEFT(C861,6)="CHECK ","Checks Paid",IF(OR(E861="BILLPAY",ISNUMBER(SEARCH("FRANCHISE TAX",C861)),ISNUMBER(SEARCH("NEXTLINK",C861))),"Personal - House Bills",IF(AND(ISNUMBER(SEARCH("PAYMENT FROM",C861)),ISNUMBER(SEARCH("JOE SAUNDERS",C861))),"Zelle from Joe Saunders",IF(AND(ISNUMBER(SEARCH("PAYMENT TO",C861)),ISNUMBER(SEARCH("JOE SAUNDERS",C861))),"Zelle to Joe Saunders",IF(OR(ISNUMBER(SEARCH("NEW ORLEANS",C861)),ISNUMBER(SEARCH("KENNER",C861)),ISNUMBER(SEARCH("HENRY HOWARD",C861)),ISNUMBER(SEARCH("MISS CLAUDIA",C861))),"Personal Travel - New Orleans",IF(AND(YEAR(B861)=2025,MONTH(B861)=4,OR(ISNUMBER(SEARCH("EXCHANGE RATE",C861)),ISNUMBER(SEARCH("EXCHG RTE",C861)))),"Personal Travel - Italy",IFERROR(INDEX('Category Rules'!$B$2:$B$358,MATCH(TRUE,ISNUMBER(SEARCH('Category Rules'!$A$2:$A$358,C861)),0)),""))))))))</f>
        <v>Amazon</v>
      </c>
    </row>
    <row r="862" spans="1:7" x14ac:dyDescent="0.25">
      <c r="A862" t="s">
        <v>6</v>
      </c>
      <c r="B862" s="1">
        <v>45902</v>
      </c>
      <c r="C862" t="s">
        <v>802</v>
      </c>
      <c r="D862">
        <v>-944.63</v>
      </c>
      <c r="E862" t="s">
        <v>10</v>
      </c>
      <c r="F862">
        <v>5275.17</v>
      </c>
      <c r="G862" t="str" cm="1">
        <f t="array" ref="G862">IF(AND(ISNUMBER(SEARCH("UBER",C862)),ISNUMBER(SEARCH("EATS",C862))),"Uber Eats",IF(LEFT(C862,6)="CHECK ","Checks Paid",IF(OR(E862="BILLPAY",ISNUMBER(SEARCH("FRANCHISE TAX",C862)),ISNUMBER(SEARCH("NEXTLINK",C862))),"Personal - House Bills",IF(AND(ISNUMBER(SEARCH("PAYMENT FROM",C862)),ISNUMBER(SEARCH("JOE SAUNDERS",C862))),"Zelle from Joe Saunders",IF(AND(ISNUMBER(SEARCH("PAYMENT TO",C862)),ISNUMBER(SEARCH("JOE SAUNDERS",C862))),"Zelle to Joe Saunders",IF(OR(ISNUMBER(SEARCH("NEW ORLEANS",C862)),ISNUMBER(SEARCH("KENNER",C862)),ISNUMBER(SEARCH("HENRY HOWARD",C862)),ISNUMBER(SEARCH("MISS CLAUDIA",C862))),"Personal Travel - New Orleans",IF(AND(YEAR(B862)=2025,MONTH(B862)=4,OR(ISNUMBER(SEARCH("EXCHANGE RATE",C862)),ISNUMBER(SEARCH("EXCHG RTE",C862)))),"Personal Travel - Italy",IFERROR(INDEX('Category Rules'!$B$2:$B$358,MATCH(TRUE,ISNUMBER(SEARCH('Category Rules'!$A$2:$A$358,C862)),0)),""))))))))</f>
        <v>Personal - Health Insurance</v>
      </c>
    </row>
    <row r="863" spans="1:7" x14ac:dyDescent="0.25">
      <c r="A863" t="s">
        <v>6</v>
      </c>
      <c r="B863" s="1">
        <v>45902</v>
      </c>
      <c r="C863" t="s">
        <v>803</v>
      </c>
      <c r="D863">
        <v>-99.21</v>
      </c>
      <c r="E863" t="s">
        <v>10</v>
      </c>
      <c r="F863">
        <v>6219.8</v>
      </c>
      <c r="G863" t="str" cm="1">
        <f t="array" ref="G863">IF(AND(ISNUMBER(SEARCH("UBER",C863)),ISNUMBER(SEARCH("EATS",C863))),"Uber Eats",IF(LEFT(C863,6)="CHECK ","Checks Paid",IF(OR(E863="BILLPAY",ISNUMBER(SEARCH("FRANCHISE TAX",C863)),ISNUMBER(SEARCH("NEXTLINK",C863))),"Personal - House Bills",IF(AND(ISNUMBER(SEARCH("PAYMENT FROM",C863)),ISNUMBER(SEARCH("JOE SAUNDERS",C863))),"Zelle from Joe Saunders",IF(AND(ISNUMBER(SEARCH("PAYMENT TO",C863)),ISNUMBER(SEARCH("JOE SAUNDERS",C863))),"Zelle to Joe Saunders",IF(OR(ISNUMBER(SEARCH("NEW ORLEANS",C863)),ISNUMBER(SEARCH("KENNER",C863)),ISNUMBER(SEARCH("HENRY HOWARD",C863)),ISNUMBER(SEARCH("MISS CLAUDIA",C863))),"Personal Travel - New Orleans",IF(AND(YEAR(B863)=2025,MONTH(B863)=4,OR(ISNUMBER(SEARCH("EXCHANGE RATE",C863)),ISNUMBER(SEARCH("EXCHG RTE",C863)))),"Personal Travel - Italy",IFERROR(INDEX('Category Rules'!$B$2:$B$358,MATCH(TRUE,ISNUMBER(SEARCH('Category Rules'!$A$2:$A$358,C863)),0)),""))))))))</f>
        <v>Personal - Health</v>
      </c>
    </row>
    <row r="864" spans="1:7" x14ac:dyDescent="0.25">
      <c r="A864" t="s">
        <v>6</v>
      </c>
      <c r="B864" s="1">
        <v>45902</v>
      </c>
      <c r="C864" t="s">
        <v>804</v>
      </c>
      <c r="D864">
        <v>-49.57</v>
      </c>
      <c r="E864" t="s">
        <v>10</v>
      </c>
      <c r="F864">
        <v>6319.01</v>
      </c>
      <c r="G864" t="str" cm="1">
        <f t="array" ref="G864">IF(AND(ISNUMBER(SEARCH("UBER",C864)),ISNUMBER(SEARCH("EATS",C864))),"Uber Eats",IF(LEFT(C864,6)="CHECK ","Checks Paid",IF(OR(E864="BILLPAY",ISNUMBER(SEARCH("FRANCHISE TAX",C864)),ISNUMBER(SEARCH("NEXTLINK",C864))),"Personal - House Bills",IF(AND(ISNUMBER(SEARCH("PAYMENT FROM",C864)),ISNUMBER(SEARCH("JOE SAUNDERS",C864))),"Zelle from Joe Saunders",IF(AND(ISNUMBER(SEARCH("PAYMENT TO",C864)),ISNUMBER(SEARCH("JOE SAUNDERS",C864))),"Zelle to Joe Saunders",IF(OR(ISNUMBER(SEARCH("NEW ORLEANS",C864)),ISNUMBER(SEARCH("KENNER",C864)),ISNUMBER(SEARCH("HENRY HOWARD",C864)),ISNUMBER(SEARCH("MISS CLAUDIA",C864))),"Personal Travel - New Orleans",IF(AND(YEAR(B864)=2025,MONTH(B864)=4,OR(ISNUMBER(SEARCH("EXCHANGE RATE",C864)),ISNUMBER(SEARCH("EXCHG RTE",C864)))),"Personal Travel - Italy",IFERROR(INDEX('Category Rules'!$B$2:$B$358,MATCH(TRUE,ISNUMBER(SEARCH('Category Rules'!$A$2:$A$358,C864)),0)),""))))))))</f>
        <v>Personal - Car</v>
      </c>
    </row>
    <row r="865" spans="1:7" x14ac:dyDescent="0.25">
      <c r="A865" t="s">
        <v>6</v>
      </c>
      <c r="B865" s="1">
        <v>45902</v>
      </c>
      <c r="C865" t="s">
        <v>805</v>
      </c>
      <c r="D865">
        <v>-400</v>
      </c>
      <c r="E865" t="s">
        <v>10</v>
      </c>
      <c r="F865">
        <v>6368.58</v>
      </c>
      <c r="G865" t="str" cm="1">
        <f t="array" ref="G865">IF(AND(ISNUMBER(SEARCH("UBER",C865)),ISNUMBER(SEARCH("EATS",C865))),"Uber Eats",IF(LEFT(C865,6)="CHECK ","Checks Paid",IF(OR(E865="BILLPAY",ISNUMBER(SEARCH("FRANCHISE TAX",C865)),ISNUMBER(SEARCH("NEXTLINK",C865))),"Personal - House Bills",IF(AND(ISNUMBER(SEARCH("PAYMENT FROM",C865)),ISNUMBER(SEARCH("JOE SAUNDERS",C865))),"Zelle from Joe Saunders",IF(AND(ISNUMBER(SEARCH("PAYMENT TO",C865)),ISNUMBER(SEARCH("JOE SAUNDERS",C865))),"Zelle to Joe Saunders",IF(OR(ISNUMBER(SEARCH("NEW ORLEANS",C865)),ISNUMBER(SEARCH("KENNER",C865)),ISNUMBER(SEARCH("HENRY HOWARD",C865)),ISNUMBER(SEARCH("MISS CLAUDIA",C865))),"Personal Travel - New Orleans",IF(AND(YEAR(B865)=2025,MONTH(B865)=4,OR(ISNUMBER(SEARCH("EXCHANGE RATE",C865)),ISNUMBER(SEARCH("EXCHG RTE",C865)))),"Personal Travel - Italy",IFERROR(INDEX('Category Rules'!$B$2:$B$358,MATCH(TRUE,ISNUMBER(SEARCH('Category Rules'!$A$2:$A$358,C865)),0)),""))))))))</f>
        <v>Personal - Shopping</v>
      </c>
    </row>
    <row r="866" spans="1:7" x14ac:dyDescent="0.25">
      <c r="A866" t="s">
        <v>6</v>
      </c>
      <c r="B866" s="1">
        <v>45902</v>
      </c>
      <c r="C866" t="s">
        <v>805</v>
      </c>
      <c r="D866">
        <v>-509.13</v>
      </c>
      <c r="E866" t="s">
        <v>10</v>
      </c>
      <c r="F866">
        <v>6768.58</v>
      </c>
      <c r="G866" t="str" cm="1">
        <f t="array" ref="G866">IF(AND(ISNUMBER(SEARCH("UBER",C866)),ISNUMBER(SEARCH("EATS",C866))),"Uber Eats",IF(LEFT(C866,6)="CHECK ","Checks Paid",IF(OR(E866="BILLPAY",ISNUMBER(SEARCH("FRANCHISE TAX",C866)),ISNUMBER(SEARCH("NEXTLINK",C866))),"Personal - House Bills",IF(AND(ISNUMBER(SEARCH("PAYMENT FROM",C866)),ISNUMBER(SEARCH("JOE SAUNDERS",C866))),"Zelle from Joe Saunders",IF(AND(ISNUMBER(SEARCH("PAYMENT TO",C866)),ISNUMBER(SEARCH("JOE SAUNDERS",C866))),"Zelle to Joe Saunders",IF(OR(ISNUMBER(SEARCH("NEW ORLEANS",C866)),ISNUMBER(SEARCH("KENNER",C866)),ISNUMBER(SEARCH("HENRY HOWARD",C866)),ISNUMBER(SEARCH("MISS CLAUDIA",C866))),"Personal Travel - New Orleans",IF(AND(YEAR(B866)=2025,MONTH(B866)=4,OR(ISNUMBER(SEARCH("EXCHANGE RATE",C866)),ISNUMBER(SEARCH("EXCHG RTE",C866)))),"Personal Travel - Italy",IFERROR(INDEX('Category Rules'!$B$2:$B$358,MATCH(TRUE,ISNUMBER(SEARCH('Category Rules'!$A$2:$A$358,C866)),0)),""))))))))</f>
        <v>Personal - Shopping</v>
      </c>
    </row>
    <row r="867" spans="1:7" x14ac:dyDescent="0.25">
      <c r="A867" t="s">
        <v>6</v>
      </c>
      <c r="B867" s="1">
        <v>45902</v>
      </c>
      <c r="C867" t="s">
        <v>806</v>
      </c>
      <c r="D867">
        <v>-1.87</v>
      </c>
      <c r="E867" t="s">
        <v>10</v>
      </c>
      <c r="F867">
        <v>7277.71</v>
      </c>
      <c r="G867" t="str" cm="1">
        <f t="array" ref="G867">IF(AND(ISNUMBER(SEARCH("UBER",C867)),ISNUMBER(SEARCH("EATS",C867))),"Uber Eats",IF(LEFT(C867,6)="CHECK ","Checks Paid",IF(OR(E867="BILLPAY",ISNUMBER(SEARCH("FRANCHISE TAX",C867)),ISNUMBER(SEARCH("NEXTLINK",C867))),"Personal - House Bills",IF(AND(ISNUMBER(SEARCH("PAYMENT FROM",C867)),ISNUMBER(SEARCH("JOE SAUNDERS",C867))),"Zelle from Joe Saunders",IF(AND(ISNUMBER(SEARCH("PAYMENT TO",C867)),ISNUMBER(SEARCH("JOE SAUNDERS",C867))),"Zelle to Joe Saunders",IF(OR(ISNUMBER(SEARCH("NEW ORLEANS",C867)),ISNUMBER(SEARCH("KENNER",C867)),ISNUMBER(SEARCH("HENRY HOWARD",C867)),ISNUMBER(SEARCH("MISS CLAUDIA",C867))),"Personal Travel - New Orleans",IF(AND(YEAR(B867)=2025,MONTH(B867)=4,OR(ISNUMBER(SEARCH("EXCHANGE RATE",C867)),ISNUMBER(SEARCH("EXCHG RTE",C867)))),"Personal Travel - Italy",IFERROR(INDEX('Category Rules'!$B$2:$B$358,MATCH(TRUE,ISNUMBER(SEARCH('Category Rules'!$A$2:$A$358,C867)),0)),""))))))))</f>
        <v>Personal - Car</v>
      </c>
    </row>
    <row r="868" spans="1:7" x14ac:dyDescent="0.25">
      <c r="A868" t="s">
        <v>6</v>
      </c>
      <c r="B868" s="1">
        <v>45902</v>
      </c>
      <c r="C868" t="s">
        <v>807</v>
      </c>
      <c r="D868">
        <v>-19</v>
      </c>
      <c r="E868" t="s">
        <v>10</v>
      </c>
      <c r="F868">
        <v>7279.58</v>
      </c>
      <c r="G868" t="str" cm="1">
        <f t="array" ref="G868">IF(AND(ISNUMBER(SEARCH("UBER",C868)),ISNUMBER(SEARCH("EATS",C868))),"Uber Eats",IF(LEFT(C868,6)="CHECK ","Checks Paid",IF(OR(E868="BILLPAY",ISNUMBER(SEARCH("FRANCHISE TAX",C868)),ISNUMBER(SEARCH("NEXTLINK",C868))),"Personal - House Bills",IF(AND(ISNUMBER(SEARCH("PAYMENT FROM",C868)),ISNUMBER(SEARCH("JOE SAUNDERS",C868))),"Zelle from Joe Saunders",IF(AND(ISNUMBER(SEARCH("PAYMENT TO",C868)),ISNUMBER(SEARCH("JOE SAUNDERS",C868))),"Zelle to Joe Saunders",IF(OR(ISNUMBER(SEARCH("NEW ORLEANS",C868)),ISNUMBER(SEARCH("KENNER",C868)),ISNUMBER(SEARCH("HENRY HOWARD",C868)),ISNUMBER(SEARCH("MISS CLAUDIA",C868))),"Personal Travel - New Orleans",IF(AND(YEAR(B868)=2025,MONTH(B868)=4,OR(ISNUMBER(SEARCH("EXCHANGE RATE",C868)),ISNUMBER(SEARCH("EXCHG RTE",C868)))),"Personal Travel - Italy",IFERROR(INDEX('Category Rules'!$B$2:$B$358,MATCH(TRUE,ISNUMBER(SEARCH('Category Rules'!$A$2:$A$358,C868)),0)),""))))))))</f>
        <v>Personal - Subscription</v>
      </c>
    </row>
    <row r="869" spans="1:7" x14ac:dyDescent="0.25">
      <c r="A869" t="s">
        <v>6</v>
      </c>
      <c r="B869" s="1">
        <v>45902</v>
      </c>
      <c r="C869" t="s">
        <v>808</v>
      </c>
      <c r="D869">
        <v>-112.8</v>
      </c>
      <c r="E869" t="s">
        <v>10</v>
      </c>
      <c r="F869">
        <v>7298.58</v>
      </c>
      <c r="G869" t="str" cm="1">
        <f t="array" ref="G869">IF(AND(ISNUMBER(SEARCH("UBER",C869)),ISNUMBER(SEARCH("EATS",C869))),"Uber Eats",IF(LEFT(C869,6)="CHECK ","Checks Paid",IF(OR(E869="BILLPAY",ISNUMBER(SEARCH("FRANCHISE TAX",C869)),ISNUMBER(SEARCH("NEXTLINK",C869))),"Personal - House Bills",IF(AND(ISNUMBER(SEARCH("PAYMENT FROM",C869)),ISNUMBER(SEARCH("JOE SAUNDERS",C869))),"Zelle from Joe Saunders",IF(AND(ISNUMBER(SEARCH("PAYMENT TO",C869)),ISNUMBER(SEARCH("JOE SAUNDERS",C869))),"Zelle to Joe Saunders",IF(OR(ISNUMBER(SEARCH("NEW ORLEANS",C869)),ISNUMBER(SEARCH("KENNER",C869)),ISNUMBER(SEARCH("HENRY HOWARD",C869)),ISNUMBER(SEARCH("MISS CLAUDIA",C869))),"Personal Travel - New Orleans",IF(AND(YEAR(B869)=2025,MONTH(B869)=4,OR(ISNUMBER(SEARCH("EXCHANGE RATE",C869)),ISNUMBER(SEARCH("EXCHG RTE",C869)))),"Personal Travel - Italy",IFERROR(INDEX('Category Rules'!$B$2:$B$358,MATCH(TRUE,ISNUMBER(SEARCH('Category Rules'!$A$2:$A$358,C869)),0)),""))))))))</f>
        <v>Amazon</v>
      </c>
    </row>
    <row r="870" spans="1:7" x14ac:dyDescent="0.25">
      <c r="A870" t="s">
        <v>6</v>
      </c>
      <c r="B870" s="1">
        <v>45902</v>
      </c>
      <c r="C870" t="s">
        <v>809</v>
      </c>
      <c r="D870">
        <v>-75</v>
      </c>
      <c r="E870" t="s">
        <v>33</v>
      </c>
      <c r="F870">
        <v>7411.38</v>
      </c>
      <c r="G870" t="str" cm="1">
        <f t="array" ref="G870">IF(AND(ISNUMBER(SEARCH("UBER",C870)),ISNUMBER(SEARCH("EATS",C870))),"Uber Eats",IF(LEFT(C870,6)="CHECK ","Checks Paid",IF(OR(E870="BILLPAY",ISNUMBER(SEARCH("FRANCHISE TAX",C870)),ISNUMBER(SEARCH("NEXTLINK",C870))),"Personal - House Bills",IF(AND(ISNUMBER(SEARCH("PAYMENT FROM",C870)),ISNUMBER(SEARCH("JOE SAUNDERS",C870))),"Zelle from Joe Saunders",IF(AND(ISNUMBER(SEARCH("PAYMENT TO",C870)),ISNUMBER(SEARCH("JOE SAUNDERS",C870))),"Zelle to Joe Saunders",IF(OR(ISNUMBER(SEARCH("NEW ORLEANS",C870)),ISNUMBER(SEARCH("KENNER",C870)),ISNUMBER(SEARCH("HENRY HOWARD",C870)),ISNUMBER(SEARCH("MISS CLAUDIA",C870))),"Personal Travel - New Orleans",IF(AND(YEAR(B870)=2025,MONTH(B870)=4,OR(ISNUMBER(SEARCH("EXCHANGE RATE",C870)),ISNUMBER(SEARCH("EXCHG RTE",C870)))),"Personal Travel - Italy",IFERROR(INDEX('Category Rules'!$B$2:$B$358,MATCH(TRUE,ISNUMBER(SEARCH('Category Rules'!$A$2:$A$358,C870)),0)),""))))))))</f>
        <v>Personal - House Bills</v>
      </c>
    </row>
    <row r="871" spans="1:7" x14ac:dyDescent="0.25">
      <c r="A871" t="s">
        <v>6</v>
      </c>
      <c r="B871" s="1">
        <v>45902</v>
      </c>
      <c r="C871" t="s">
        <v>810</v>
      </c>
      <c r="D871">
        <v>-120</v>
      </c>
      <c r="E871" t="s">
        <v>33</v>
      </c>
      <c r="F871">
        <v>7486.38</v>
      </c>
      <c r="G871" t="str" cm="1">
        <f t="array" ref="G871">IF(AND(ISNUMBER(SEARCH("UBER",C871)),ISNUMBER(SEARCH("EATS",C871))),"Uber Eats",IF(LEFT(C871,6)="CHECK ","Checks Paid",IF(OR(E871="BILLPAY",ISNUMBER(SEARCH("FRANCHISE TAX",C871)),ISNUMBER(SEARCH("NEXTLINK",C871))),"Personal - House Bills",IF(AND(ISNUMBER(SEARCH("PAYMENT FROM",C871)),ISNUMBER(SEARCH("JOE SAUNDERS",C871))),"Zelle from Joe Saunders",IF(AND(ISNUMBER(SEARCH("PAYMENT TO",C871)),ISNUMBER(SEARCH("JOE SAUNDERS",C871))),"Zelle to Joe Saunders",IF(OR(ISNUMBER(SEARCH("NEW ORLEANS",C871)),ISNUMBER(SEARCH("KENNER",C871)),ISNUMBER(SEARCH("HENRY HOWARD",C871)),ISNUMBER(SEARCH("MISS CLAUDIA",C871))),"Personal Travel - New Orleans",IF(AND(YEAR(B871)=2025,MONTH(B871)=4,OR(ISNUMBER(SEARCH("EXCHANGE RATE",C871)),ISNUMBER(SEARCH("EXCHG RTE",C871)))),"Personal Travel - Italy",IFERROR(INDEX('Category Rules'!$B$2:$B$358,MATCH(TRUE,ISNUMBER(SEARCH('Category Rules'!$A$2:$A$358,C871)),0)),""))))))))</f>
        <v>Personal - House Bills</v>
      </c>
    </row>
    <row r="872" spans="1:7" x14ac:dyDescent="0.25">
      <c r="A872" t="s">
        <v>6</v>
      </c>
      <c r="B872" s="1">
        <v>45902</v>
      </c>
      <c r="C872" t="s">
        <v>811</v>
      </c>
      <c r="D872">
        <v>-300</v>
      </c>
      <c r="E872" t="s">
        <v>33</v>
      </c>
      <c r="F872">
        <v>7606.38</v>
      </c>
      <c r="G872" t="str" cm="1">
        <f t="array" ref="G872">IF(AND(ISNUMBER(SEARCH("UBER",C872)),ISNUMBER(SEARCH("EATS",C872))),"Uber Eats",IF(LEFT(C872,6)="CHECK ","Checks Paid",IF(OR(E872="BILLPAY",ISNUMBER(SEARCH("FRANCHISE TAX",C872)),ISNUMBER(SEARCH("NEXTLINK",C872))),"Personal - House Bills",IF(AND(ISNUMBER(SEARCH("PAYMENT FROM",C872)),ISNUMBER(SEARCH("JOE SAUNDERS",C872))),"Zelle from Joe Saunders",IF(AND(ISNUMBER(SEARCH("PAYMENT TO",C872)),ISNUMBER(SEARCH("JOE SAUNDERS",C872))),"Zelle to Joe Saunders",IF(OR(ISNUMBER(SEARCH("NEW ORLEANS",C872)),ISNUMBER(SEARCH("KENNER",C872)),ISNUMBER(SEARCH("HENRY HOWARD",C872)),ISNUMBER(SEARCH("MISS CLAUDIA",C872))),"Personal Travel - New Orleans",IF(AND(YEAR(B872)=2025,MONTH(B872)=4,OR(ISNUMBER(SEARCH("EXCHANGE RATE",C872)),ISNUMBER(SEARCH("EXCHG RTE",C872)))),"Personal Travel - Italy",IFERROR(INDEX('Category Rules'!$B$2:$B$358,MATCH(TRUE,ISNUMBER(SEARCH('Category Rules'!$A$2:$A$358,C872)),0)),""))))))))</f>
        <v>Personal - House Bills</v>
      </c>
    </row>
    <row r="873" spans="1:7" x14ac:dyDescent="0.25">
      <c r="A873" t="s">
        <v>6</v>
      </c>
      <c r="B873" s="1">
        <v>45902</v>
      </c>
      <c r="C873" t="s">
        <v>812</v>
      </c>
      <c r="D873">
        <v>-320</v>
      </c>
      <c r="E873" t="s">
        <v>33</v>
      </c>
      <c r="F873">
        <v>7906.38</v>
      </c>
      <c r="G873" t="str" cm="1">
        <f t="array" ref="G873">IF(AND(ISNUMBER(SEARCH("UBER",C873)),ISNUMBER(SEARCH("EATS",C873))),"Uber Eats",IF(LEFT(C873,6)="CHECK ","Checks Paid",IF(OR(E873="BILLPAY",ISNUMBER(SEARCH("FRANCHISE TAX",C873)),ISNUMBER(SEARCH("NEXTLINK",C873))),"Personal - House Bills",IF(AND(ISNUMBER(SEARCH("PAYMENT FROM",C873)),ISNUMBER(SEARCH("JOE SAUNDERS",C873))),"Zelle from Joe Saunders",IF(AND(ISNUMBER(SEARCH("PAYMENT TO",C873)),ISNUMBER(SEARCH("JOE SAUNDERS",C873))),"Zelle to Joe Saunders",IF(OR(ISNUMBER(SEARCH("NEW ORLEANS",C873)),ISNUMBER(SEARCH("KENNER",C873)),ISNUMBER(SEARCH("HENRY HOWARD",C873)),ISNUMBER(SEARCH("MISS CLAUDIA",C873))),"Personal Travel - New Orleans",IF(AND(YEAR(B873)=2025,MONTH(B873)=4,OR(ISNUMBER(SEARCH("EXCHANGE RATE",C873)),ISNUMBER(SEARCH("EXCHG RTE",C873)))),"Personal Travel - Italy",IFERROR(INDEX('Category Rules'!$B$2:$B$358,MATCH(TRUE,ISNUMBER(SEARCH('Category Rules'!$A$2:$A$358,C873)),0)),""))))))))</f>
        <v>Personal - House Bills</v>
      </c>
    </row>
    <row r="874" spans="1:7" x14ac:dyDescent="0.25">
      <c r="A874" t="s">
        <v>6</v>
      </c>
      <c r="B874" s="1">
        <v>45902</v>
      </c>
      <c r="C874" t="s">
        <v>813</v>
      </c>
      <c r="D874">
        <v>-219.49</v>
      </c>
      <c r="E874" t="s">
        <v>10</v>
      </c>
      <c r="F874">
        <v>8226.3799999999992</v>
      </c>
      <c r="G874" t="str" cm="1">
        <f t="array" ref="G874">IF(AND(ISNUMBER(SEARCH("UBER",C874)),ISNUMBER(SEARCH("EATS",C874))),"Uber Eats",IF(LEFT(C874,6)="CHECK ","Checks Paid",IF(OR(E874="BILLPAY",ISNUMBER(SEARCH("FRANCHISE TAX",C874)),ISNUMBER(SEARCH("NEXTLINK",C874))),"Personal - House Bills",IF(AND(ISNUMBER(SEARCH("PAYMENT FROM",C874)),ISNUMBER(SEARCH("JOE SAUNDERS",C874))),"Zelle from Joe Saunders",IF(AND(ISNUMBER(SEARCH("PAYMENT TO",C874)),ISNUMBER(SEARCH("JOE SAUNDERS",C874))),"Zelle to Joe Saunders",IF(OR(ISNUMBER(SEARCH("NEW ORLEANS",C874)),ISNUMBER(SEARCH("KENNER",C874)),ISNUMBER(SEARCH("HENRY HOWARD",C874)),ISNUMBER(SEARCH("MISS CLAUDIA",C874))),"Personal Travel - New Orleans",IF(AND(YEAR(B874)=2025,MONTH(B874)=4,OR(ISNUMBER(SEARCH("EXCHANGE RATE",C874)),ISNUMBER(SEARCH("EXCHG RTE",C874)))),"Personal Travel - Italy",IFERROR(INDEX('Category Rules'!$B$2:$B$358,MATCH(TRUE,ISNUMBER(SEARCH('Category Rules'!$A$2:$A$358,C874)),0)),""))))))))</f>
        <v>Amazon</v>
      </c>
    </row>
    <row r="875" spans="1:7" x14ac:dyDescent="0.25">
      <c r="A875" t="s">
        <v>6</v>
      </c>
      <c r="B875" s="1">
        <v>45902</v>
      </c>
      <c r="C875" t="s">
        <v>814</v>
      </c>
      <c r="D875">
        <v>-99.99</v>
      </c>
      <c r="E875" t="s">
        <v>10</v>
      </c>
      <c r="F875">
        <v>8445.8700000000008</v>
      </c>
      <c r="G875" t="str" cm="1">
        <f t="array" ref="G875">IF(AND(ISNUMBER(SEARCH("UBER",C875)),ISNUMBER(SEARCH("EATS",C875))),"Uber Eats",IF(LEFT(C875,6)="CHECK ","Checks Paid",IF(OR(E875="BILLPAY",ISNUMBER(SEARCH("FRANCHISE TAX",C875)),ISNUMBER(SEARCH("NEXTLINK",C875))),"Personal - House Bills",IF(AND(ISNUMBER(SEARCH("PAYMENT FROM",C875)),ISNUMBER(SEARCH("JOE SAUNDERS",C875))),"Zelle from Joe Saunders",IF(AND(ISNUMBER(SEARCH("PAYMENT TO",C875)),ISNUMBER(SEARCH("JOE SAUNDERS",C875))),"Zelle to Joe Saunders",IF(OR(ISNUMBER(SEARCH("NEW ORLEANS",C875)),ISNUMBER(SEARCH("KENNER",C875)),ISNUMBER(SEARCH("HENRY HOWARD",C875)),ISNUMBER(SEARCH("MISS CLAUDIA",C875))),"Personal Travel - New Orleans",IF(AND(YEAR(B875)=2025,MONTH(B875)=4,OR(ISNUMBER(SEARCH("EXCHANGE RATE",C875)),ISNUMBER(SEARCH("EXCHG RTE",C875)))),"Personal Travel - Italy",IFERROR(INDEX('Category Rules'!$B$2:$B$358,MATCH(TRUE,ISNUMBER(SEARCH('Category Rules'!$A$2:$A$358,C875)),0)),""))))))))</f>
        <v>YouTube Premium</v>
      </c>
    </row>
    <row r="876" spans="1:7" x14ac:dyDescent="0.25">
      <c r="A876" t="s">
        <v>6</v>
      </c>
      <c r="B876" s="1">
        <v>45902</v>
      </c>
      <c r="C876" t="s">
        <v>815</v>
      </c>
      <c r="D876">
        <v>-279.01</v>
      </c>
      <c r="E876" t="s">
        <v>10</v>
      </c>
      <c r="F876">
        <v>8545.86</v>
      </c>
      <c r="G876" t="str" cm="1">
        <f t="array" ref="G876">IF(AND(ISNUMBER(SEARCH("UBER",C876)),ISNUMBER(SEARCH("EATS",C876))),"Uber Eats",IF(LEFT(C876,6)="CHECK ","Checks Paid",IF(OR(E876="BILLPAY",ISNUMBER(SEARCH("FRANCHISE TAX",C876)),ISNUMBER(SEARCH("NEXTLINK",C876))),"Personal - House Bills",IF(AND(ISNUMBER(SEARCH("PAYMENT FROM",C876)),ISNUMBER(SEARCH("JOE SAUNDERS",C876))),"Zelle from Joe Saunders",IF(AND(ISNUMBER(SEARCH("PAYMENT TO",C876)),ISNUMBER(SEARCH("JOE SAUNDERS",C876))),"Zelle to Joe Saunders",IF(OR(ISNUMBER(SEARCH("NEW ORLEANS",C876)),ISNUMBER(SEARCH("KENNER",C876)),ISNUMBER(SEARCH("HENRY HOWARD",C876)),ISNUMBER(SEARCH("MISS CLAUDIA",C876))),"Personal Travel - New Orleans",IF(AND(YEAR(B876)=2025,MONTH(B876)=4,OR(ISNUMBER(SEARCH("EXCHANGE RATE",C876)),ISNUMBER(SEARCH("EXCHG RTE",C876)))),"Personal Travel - Italy",IFERROR(INDEX('Category Rules'!$B$2:$B$358,MATCH(TRUE,ISNUMBER(SEARCH('Category Rules'!$A$2:$A$358,C876)),0)),""))))))))</f>
        <v>Personal - Shopping</v>
      </c>
    </row>
    <row r="877" spans="1:7" x14ac:dyDescent="0.25">
      <c r="A877" t="s">
        <v>44</v>
      </c>
      <c r="B877" s="1">
        <v>45902</v>
      </c>
      <c r="C877" t="s">
        <v>816</v>
      </c>
      <c r="D877">
        <v>75</v>
      </c>
      <c r="E877" t="s">
        <v>46</v>
      </c>
      <c r="F877">
        <v>8824.8700000000008</v>
      </c>
      <c r="G877" t="str" cm="1">
        <f t="array" ref="G877">IF(AND(ISNUMBER(SEARCH("UBER",C877)),ISNUMBER(SEARCH("EATS",C877))),"Uber Eats",IF(LEFT(C877,6)="CHECK ","Checks Paid",IF(OR(E877="BILLPAY",ISNUMBER(SEARCH("FRANCHISE TAX",C877)),ISNUMBER(SEARCH("NEXTLINK",C877))),"Personal - House Bills",IF(AND(ISNUMBER(SEARCH("PAYMENT FROM",C877)),ISNUMBER(SEARCH("JOE SAUNDERS",C877))),"Zelle from Joe Saunders",IF(AND(ISNUMBER(SEARCH("PAYMENT TO",C877)),ISNUMBER(SEARCH("JOE SAUNDERS",C877))),"Zelle to Joe Saunders",IF(OR(ISNUMBER(SEARCH("NEW ORLEANS",C877)),ISNUMBER(SEARCH("KENNER",C877)),ISNUMBER(SEARCH("HENRY HOWARD",C877)),ISNUMBER(SEARCH("MISS CLAUDIA",C877))),"Personal Travel - New Orleans",IF(AND(YEAR(B877)=2025,MONTH(B877)=4,OR(ISNUMBER(SEARCH("EXCHANGE RATE",C877)),ISNUMBER(SEARCH("EXCHG RTE",C877)))),"Personal Travel - Italy",IFERROR(INDEX('Category Rules'!$B$2:$B$358,MATCH(TRUE,ISNUMBER(SEARCH('Category Rules'!$A$2:$A$358,C877)),0)),""))))))))</f>
        <v>Zelle from Mary Margaret Trahan</v>
      </c>
    </row>
    <row r="878" spans="1:7" x14ac:dyDescent="0.25">
      <c r="A878" t="s">
        <v>44</v>
      </c>
      <c r="B878" s="1">
        <v>45902</v>
      </c>
      <c r="C878" t="s">
        <v>817</v>
      </c>
      <c r="D878">
        <v>2000</v>
      </c>
      <c r="E878" t="s">
        <v>73</v>
      </c>
      <c r="F878">
        <v>8749.8700000000008</v>
      </c>
      <c r="G878" t="str" cm="1">
        <f t="array" ref="G878">IF(AND(ISNUMBER(SEARCH("UBER",C878)),ISNUMBER(SEARCH("EATS",C878))),"Uber Eats",IF(LEFT(C878,6)="CHECK ","Checks Paid",IF(OR(E878="BILLPAY",ISNUMBER(SEARCH("FRANCHISE TAX",C878)),ISNUMBER(SEARCH("NEXTLINK",C878))),"Personal - House Bills",IF(AND(ISNUMBER(SEARCH("PAYMENT FROM",C878)),ISNUMBER(SEARCH("JOE SAUNDERS",C878))),"Zelle from Joe Saunders",IF(AND(ISNUMBER(SEARCH("PAYMENT TO",C878)),ISNUMBER(SEARCH("JOE SAUNDERS",C878))),"Zelle to Joe Saunders",IF(OR(ISNUMBER(SEARCH("NEW ORLEANS",C878)),ISNUMBER(SEARCH("KENNER",C878)),ISNUMBER(SEARCH("HENRY HOWARD",C878)),ISNUMBER(SEARCH("MISS CLAUDIA",C878))),"Personal Travel - New Orleans",IF(AND(YEAR(B878)=2025,MONTH(B878)=4,OR(ISNUMBER(SEARCH("EXCHANGE RATE",C878)),ISNUMBER(SEARCH("EXCHG RTE",C878)))),"Personal Travel - Italy",IFERROR(INDEX('Category Rules'!$B$2:$B$358,MATCH(TRUE,ISNUMBER(SEARCH('Category Rules'!$A$2:$A$358,C878)),0)),""))))))))</f>
        <v>Transfer from DWG Capital Group</v>
      </c>
    </row>
    <row r="879" spans="1:7" x14ac:dyDescent="0.25">
      <c r="A879" t="s">
        <v>44</v>
      </c>
      <c r="B879" s="1">
        <v>45902</v>
      </c>
      <c r="C879" t="s">
        <v>818</v>
      </c>
      <c r="D879">
        <v>3000</v>
      </c>
      <c r="E879" t="s">
        <v>73</v>
      </c>
      <c r="F879">
        <v>6749.87</v>
      </c>
      <c r="G879" t="str" cm="1">
        <f t="array" ref="G879">IF(AND(ISNUMBER(SEARCH("UBER",C879)),ISNUMBER(SEARCH("EATS",C879))),"Uber Eats",IF(LEFT(C879,6)="CHECK ","Checks Paid",IF(OR(E879="BILLPAY",ISNUMBER(SEARCH("FRANCHISE TAX",C879)),ISNUMBER(SEARCH("NEXTLINK",C879))),"Personal - House Bills",IF(AND(ISNUMBER(SEARCH("PAYMENT FROM",C879)),ISNUMBER(SEARCH("JOE SAUNDERS",C879))),"Zelle from Joe Saunders",IF(AND(ISNUMBER(SEARCH("PAYMENT TO",C879)),ISNUMBER(SEARCH("JOE SAUNDERS",C879))),"Zelle to Joe Saunders",IF(OR(ISNUMBER(SEARCH("NEW ORLEANS",C879)),ISNUMBER(SEARCH("KENNER",C879)),ISNUMBER(SEARCH("HENRY HOWARD",C879)),ISNUMBER(SEARCH("MISS CLAUDIA",C879))),"Personal Travel - New Orleans",IF(AND(YEAR(B879)=2025,MONTH(B879)=4,OR(ISNUMBER(SEARCH("EXCHANGE RATE",C879)),ISNUMBER(SEARCH("EXCHG RTE",C879)))),"Personal Travel - Italy",IFERROR(INDEX('Category Rules'!$B$2:$B$358,MATCH(TRUE,ISNUMBER(SEARCH('Category Rules'!$A$2:$A$358,C879)),0)),""))))))))</f>
        <v>Transfer from DWG Capital Group</v>
      </c>
    </row>
    <row r="880" spans="1:7" x14ac:dyDescent="0.25">
      <c r="A880" t="s">
        <v>6</v>
      </c>
      <c r="B880" s="1">
        <v>45898</v>
      </c>
      <c r="C880" t="s">
        <v>819</v>
      </c>
      <c r="D880">
        <v>-5.49</v>
      </c>
      <c r="E880" t="s">
        <v>10</v>
      </c>
      <c r="F880">
        <v>3749.87</v>
      </c>
      <c r="G880" t="str" cm="1">
        <f t="array" ref="G880">IF(AND(ISNUMBER(SEARCH("UBER",C880)),ISNUMBER(SEARCH("EATS",C880))),"Uber Eats",IF(LEFT(C880,6)="CHECK ","Checks Paid",IF(OR(E880="BILLPAY",ISNUMBER(SEARCH("FRANCHISE TAX",C880)),ISNUMBER(SEARCH("NEXTLINK",C880))),"Personal - House Bills",IF(AND(ISNUMBER(SEARCH("PAYMENT FROM",C880)),ISNUMBER(SEARCH("JOE SAUNDERS",C880))),"Zelle from Joe Saunders",IF(AND(ISNUMBER(SEARCH("PAYMENT TO",C880)),ISNUMBER(SEARCH("JOE SAUNDERS",C880))),"Zelle to Joe Saunders",IF(OR(ISNUMBER(SEARCH("NEW ORLEANS",C880)),ISNUMBER(SEARCH("KENNER",C880)),ISNUMBER(SEARCH("HENRY HOWARD",C880)),ISNUMBER(SEARCH("MISS CLAUDIA",C880))),"Personal Travel - New Orleans",IF(AND(YEAR(B880)=2025,MONTH(B880)=4,OR(ISNUMBER(SEARCH("EXCHANGE RATE",C880)),ISNUMBER(SEARCH("EXCHG RTE",C880)))),"Personal Travel - Italy",IFERROR(INDEX('Category Rules'!$B$2:$B$358,MATCH(TRUE,ISNUMBER(SEARCH('Category Rules'!$A$2:$A$358,C880)),0)),""))))))))</f>
        <v>Personal - Health</v>
      </c>
    </row>
    <row r="881" spans="1:7" x14ac:dyDescent="0.25">
      <c r="A881" t="s">
        <v>6</v>
      </c>
      <c r="B881" s="1">
        <v>45898</v>
      </c>
      <c r="C881" t="s">
        <v>820</v>
      </c>
      <c r="D881">
        <v>-137.51</v>
      </c>
      <c r="E881" t="s">
        <v>10</v>
      </c>
      <c r="F881">
        <v>3755.36</v>
      </c>
      <c r="G881" t="str" cm="1">
        <f t="array" ref="G881">IF(AND(ISNUMBER(SEARCH("UBER",C881)),ISNUMBER(SEARCH("EATS",C881))),"Uber Eats",IF(LEFT(C881,6)="CHECK ","Checks Paid",IF(OR(E881="BILLPAY",ISNUMBER(SEARCH("FRANCHISE TAX",C881)),ISNUMBER(SEARCH("NEXTLINK",C881))),"Personal - House Bills",IF(AND(ISNUMBER(SEARCH("PAYMENT FROM",C881)),ISNUMBER(SEARCH("JOE SAUNDERS",C881))),"Zelle from Joe Saunders",IF(AND(ISNUMBER(SEARCH("PAYMENT TO",C881)),ISNUMBER(SEARCH("JOE SAUNDERS",C881))),"Zelle to Joe Saunders",IF(OR(ISNUMBER(SEARCH("NEW ORLEANS",C881)),ISNUMBER(SEARCH("KENNER",C881)),ISNUMBER(SEARCH("HENRY HOWARD",C881)),ISNUMBER(SEARCH("MISS CLAUDIA",C881))),"Personal Travel - New Orleans",IF(AND(YEAR(B881)=2025,MONTH(B881)=4,OR(ISNUMBER(SEARCH("EXCHANGE RATE",C881)),ISNUMBER(SEARCH("EXCHG RTE",C881)))),"Personal Travel - Italy",IFERROR(INDEX('Category Rules'!$B$2:$B$358,MATCH(TRUE,ISNUMBER(SEARCH('Category Rules'!$A$2:$A$358,C881)),0)),""))))))))</f>
        <v>Personal - Food</v>
      </c>
    </row>
    <row r="882" spans="1:7" x14ac:dyDescent="0.25">
      <c r="A882" t="s">
        <v>6</v>
      </c>
      <c r="B882" s="1">
        <v>45898</v>
      </c>
      <c r="C882" t="s">
        <v>821</v>
      </c>
      <c r="D882">
        <v>-249.86</v>
      </c>
      <c r="E882" t="s">
        <v>10</v>
      </c>
      <c r="F882">
        <v>3892.87</v>
      </c>
      <c r="G882" t="str" cm="1">
        <f t="array" ref="G882">IF(AND(ISNUMBER(SEARCH("UBER",C882)),ISNUMBER(SEARCH("EATS",C882))),"Uber Eats",IF(LEFT(C882,6)="CHECK ","Checks Paid",IF(OR(E882="BILLPAY",ISNUMBER(SEARCH("FRANCHISE TAX",C882)),ISNUMBER(SEARCH("NEXTLINK",C882))),"Personal - House Bills",IF(AND(ISNUMBER(SEARCH("PAYMENT FROM",C882)),ISNUMBER(SEARCH("JOE SAUNDERS",C882))),"Zelle from Joe Saunders",IF(AND(ISNUMBER(SEARCH("PAYMENT TO",C882)),ISNUMBER(SEARCH("JOE SAUNDERS",C882))),"Zelle to Joe Saunders",IF(OR(ISNUMBER(SEARCH("NEW ORLEANS",C882)),ISNUMBER(SEARCH("KENNER",C882)),ISNUMBER(SEARCH("HENRY HOWARD",C882)),ISNUMBER(SEARCH("MISS CLAUDIA",C882))),"Personal Travel - New Orleans",IF(AND(YEAR(B882)=2025,MONTH(B882)=4,OR(ISNUMBER(SEARCH("EXCHANGE RATE",C882)),ISNUMBER(SEARCH("EXCHG RTE",C882)))),"Personal Travel - Italy",IFERROR(INDEX('Category Rules'!$B$2:$B$358,MATCH(TRUE,ISNUMBER(SEARCH('Category Rules'!$A$2:$A$358,C882)),0)),""))))))))</f>
        <v>Personal Travel</v>
      </c>
    </row>
    <row r="883" spans="1:7" x14ac:dyDescent="0.25">
      <c r="A883" t="s">
        <v>6</v>
      </c>
      <c r="B883" s="1">
        <v>45897</v>
      </c>
      <c r="C883" t="s">
        <v>822</v>
      </c>
      <c r="D883">
        <v>-393.18</v>
      </c>
      <c r="E883" t="s">
        <v>10</v>
      </c>
      <c r="F883">
        <v>4142.7299999999996</v>
      </c>
      <c r="G883" t="str" cm="1">
        <f t="array" ref="G883">IF(AND(ISNUMBER(SEARCH("UBER",C883)),ISNUMBER(SEARCH("EATS",C883))),"Uber Eats",IF(LEFT(C883,6)="CHECK ","Checks Paid",IF(OR(E883="BILLPAY",ISNUMBER(SEARCH("FRANCHISE TAX",C883)),ISNUMBER(SEARCH("NEXTLINK",C883))),"Personal - House Bills",IF(AND(ISNUMBER(SEARCH("PAYMENT FROM",C883)),ISNUMBER(SEARCH("JOE SAUNDERS",C883))),"Zelle from Joe Saunders",IF(AND(ISNUMBER(SEARCH("PAYMENT TO",C883)),ISNUMBER(SEARCH("JOE SAUNDERS",C883))),"Zelle to Joe Saunders",IF(OR(ISNUMBER(SEARCH("NEW ORLEANS",C883)),ISNUMBER(SEARCH("KENNER",C883)),ISNUMBER(SEARCH("HENRY HOWARD",C883)),ISNUMBER(SEARCH("MISS CLAUDIA",C883))),"Personal Travel - New Orleans",IF(AND(YEAR(B883)=2025,MONTH(B883)=4,OR(ISNUMBER(SEARCH("EXCHANGE RATE",C883)),ISNUMBER(SEARCH("EXCHG RTE",C883)))),"Personal Travel - Italy",IFERROR(INDEX('Category Rules'!$B$2:$B$358,MATCH(TRUE,ISNUMBER(SEARCH('Category Rules'!$A$2:$A$358,C883)),0)),""))))))))</f>
        <v>Personal - Food</v>
      </c>
    </row>
    <row r="884" spans="1:7" x14ac:dyDescent="0.25">
      <c r="A884" t="s">
        <v>6</v>
      </c>
      <c r="B884" s="1">
        <v>45897</v>
      </c>
      <c r="C884" t="s">
        <v>823</v>
      </c>
      <c r="D884">
        <v>-250</v>
      </c>
      <c r="E884" t="s">
        <v>39</v>
      </c>
      <c r="F884">
        <v>4535.91</v>
      </c>
      <c r="G884" t="str" cm="1">
        <f t="array" ref="G884">IF(AND(ISNUMBER(SEARCH("UBER",C884)),ISNUMBER(SEARCH("EATS",C884))),"Uber Eats",IF(LEFT(C884,6)="CHECK ","Checks Paid",IF(OR(E884="BILLPAY",ISNUMBER(SEARCH("FRANCHISE TAX",C884)),ISNUMBER(SEARCH("NEXTLINK",C884))),"Personal - House Bills",IF(AND(ISNUMBER(SEARCH("PAYMENT FROM",C884)),ISNUMBER(SEARCH("JOE SAUNDERS",C884))),"Zelle from Joe Saunders",IF(AND(ISNUMBER(SEARCH("PAYMENT TO",C884)),ISNUMBER(SEARCH("JOE SAUNDERS",C884))),"Zelle to Joe Saunders",IF(OR(ISNUMBER(SEARCH("NEW ORLEANS",C884)),ISNUMBER(SEARCH("KENNER",C884)),ISNUMBER(SEARCH("HENRY HOWARD",C884)),ISNUMBER(SEARCH("MISS CLAUDIA",C884))),"Personal Travel - New Orleans",IF(AND(YEAR(B884)=2025,MONTH(B884)=4,OR(ISNUMBER(SEARCH("EXCHANGE RATE",C884)),ISNUMBER(SEARCH("EXCHG RTE",C884)))),"Personal Travel - Italy",IFERROR(INDEX('Category Rules'!$B$2:$B$358,MATCH(TRUE,ISNUMBER(SEARCH('Category Rules'!$A$2:$A$358,C884)),0)),""))))))))</f>
        <v>Zelle to Aaron Frankel</v>
      </c>
    </row>
    <row r="885" spans="1:7" x14ac:dyDescent="0.25">
      <c r="A885" t="s">
        <v>6</v>
      </c>
      <c r="B885" s="1">
        <v>45897</v>
      </c>
      <c r="C885" t="s">
        <v>824</v>
      </c>
      <c r="D885">
        <v>-5.99</v>
      </c>
      <c r="E885" t="s">
        <v>10</v>
      </c>
      <c r="F885">
        <v>4785.91</v>
      </c>
      <c r="G885" t="str" cm="1">
        <f t="array" ref="G885">IF(AND(ISNUMBER(SEARCH("UBER",C885)),ISNUMBER(SEARCH("EATS",C885))),"Uber Eats",IF(LEFT(C885,6)="CHECK ","Checks Paid",IF(OR(E885="BILLPAY",ISNUMBER(SEARCH("FRANCHISE TAX",C885)),ISNUMBER(SEARCH("NEXTLINK",C885))),"Personal - House Bills",IF(AND(ISNUMBER(SEARCH("PAYMENT FROM",C885)),ISNUMBER(SEARCH("JOE SAUNDERS",C885))),"Zelle from Joe Saunders",IF(AND(ISNUMBER(SEARCH("PAYMENT TO",C885)),ISNUMBER(SEARCH("JOE SAUNDERS",C885))),"Zelle to Joe Saunders",IF(OR(ISNUMBER(SEARCH("NEW ORLEANS",C885)),ISNUMBER(SEARCH("KENNER",C885)),ISNUMBER(SEARCH("HENRY HOWARD",C885)),ISNUMBER(SEARCH("MISS CLAUDIA",C885))),"Personal Travel - New Orleans",IF(AND(YEAR(B885)=2025,MONTH(B885)=4,OR(ISNUMBER(SEARCH("EXCHANGE RATE",C885)),ISNUMBER(SEARCH("EXCHG RTE",C885)))),"Personal Travel - Italy",IFERROR(INDEX('Category Rules'!$B$2:$B$358,MATCH(TRUE,ISNUMBER(SEARCH('Category Rules'!$A$2:$A$358,C885)),0)),""))))))))</f>
        <v>Apple</v>
      </c>
    </row>
    <row r="886" spans="1:7" x14ac:dyDescent="0.25">
      <c r="A886" t="s">
        <v>6</v>
      </c>
      <c r="B886" s="1">
        <v>45897</v>
      </c>
      <c r="C886" t="s">
        <v>825</v>
      </c>
      <c r="D886">
        <v>-20</v>
      </c>
      <c r="E886" t="s">
        <v>10</v>
      </c>
      <c r="F886">
        <v>4791.8999999999996</v>
      </c>
      <c r="G886" t="str" cm="1">
        <f t="array" ref="G886">IF(AND(ISNUMBER(SEARCH("UBER",C886)),ISNUMBER(SEARCH("EATS",C886))),"Uber Eats",IF(LEFT(C886,6)="CHECK ","Checks Paid",IF(OR(E886="BILLPAY",ISNUMBER(SEARCH("FRANCHISE TAX",C886)),ISNUMBER(SEARCH("NEXTLINK",C886))),"Personal - House Bills",IF(AND(ISNUMBER(SEARCH("PAYMENT FROM",C886)),ISNUMBER(SEARCH("JOE SAUNDERS",C886))),"Zelle from Joe Saunders",IF(AND(ISNUMBER(SEARCH("PAYMENT TO",C886)),ISNUMBER(SEARCH("JOE SAUNDERS",C886))),"Zelle to Joe Saunders",IF(OR(ISNUMBER(SEARCH("NEW ORLEANS",C886)),ISNUMBER(SEARCH("KENNER",C886)),ISNUMBER(SEARCH("HENRY HOWARD",C886)),ISNUMBER(SEARCH("MISS CLAUDIA",C886))),"Personal Travel - New Orleans",IF(AND(YEAR(B886)=2025,MONTH(B886)=4,OR(ISNUMBER(SEARCH("EXCHANGE RATE",C886)),ISNUMBER(SEARCH("EXCHG RTE",C886)))),"Personal Travel - Italy",IFERROR(INDEX('Category Rules'!$B$2:$B$358,MATCH(TRUE,ISNUMBER(SEARCH('Category Rules'!$A$2:$A$358,C886)),0)),""))))))))</f>
        <v>Amazon</v>
      </c>
    </row>
    <row r="887" spans="1:7" x14ac:dyDescent="0.25">
      <c r="A887" t="s">
        <v>6</v>
      </c>
      <c r="B887" s="1">
        <v>45897</v>
      </c>
      <c r="C887" t="s">
        <v>826</v>
      </c>
      <c r="D887">
        <v>-343.66</v>
      </c>
      <c r="E887" t="s">
        <v>10</v>
      </c>
      <c r="F887">
        <v>4811.8999999999996</v>
      </c>
      <c r="G887" t="str" cm="1">
        <f t="array" ref="G887">IF(AND(ISNUMBER(SEARCH("UBER",C887)),ISNUMBER(SEARCH("EATS",C887))),"Uber Eats",IF(LEFT(C887,6)="CHECK ","Checks Paid",IF(OR(E887="BILLPAY",ISNUMBER(SEARCH("FRANCHISE TAX",C887)),ISNUMBER(SEARCH("NEXTLINK",C887))),"Personal - House Bills",IF(AND(ISNUMBER(SEARCH("PAYMENT FROM",C887)),ISNUMBER(SEARCH("JOE SAUNDERS",C887))),"Zelle from Joe Saunders",IF(AND(ISNUMBER(SEARCH("PAYMENT TO",C887)),ISNUMBER(SEARCH("JOE SAUNDERS",C887))),"Zelle to Joe Saunders",IF(OR(ISNUMBER(SEARCH("NEW ORLEANS",C887)),ISNUMBER(SEARCH("KENNER",C887)),ISNUMBER(SEARCH("HENRY HOWARD",C887)),ISNUMBER(SEARCH("MISS CLAUDIA",C887))),"Personal Travel - New Orleans",IF(AND(YEAR(B887)=2025,MONTH(B887)=4,OR(ISNUMBER(SEARCH("EXCHANGE RATE",C887)),ISNUMBER(SEARCH("EXCHG RTE",C887)))),"Personal Travel - Italy",IFERROR(INDEX('Category Rules'!$B$2:$B$358,MATCH(TRUE,ISNUMBER(SEARCH('Category Rules'!$A$2:$A$358,C887)),0)),""))))))))</f>
        <v>Personal - Clothing</v>
      </c>
    </row>
    <row r="888" spans="1:7" x14ac:dyDescent="0.25">
      <c r="A888" t="s">
        <v>6</v>
      </c>
      <c r="B888" s="1">
        <v>45897</v>
      </c>
      <c r="C888" t="s">
        <v>827</v>
      </c>
      <c r="D888">
        <v>-43.9</v>
      </c>
      <c r="E888" t="s">
        <v>10</v>
      </c>
      <c r="F888">
        <v>5155.5600000000004</v>
      </c>
      <c r="G888" t="str" cm="1">
        <f t="array" ref="G888">IF(AND(ISNUMBER(SEARCH("UBER",C888)),ISNUMBER(SEARCH("EATS",C888))),"Uber Eats",IF(LEFT(C888,6)="CHECK ","Checks Paid",IF(OR(E888="BILLPAY",ISNUMBER(SEARCH("FRANCHISE TAX",C888)),ISNUMBER(SEARCH("NEXTLINK",C888))),"Personal - House Bills",IF(AND(ISNUMBER(SEARCH("PAYMENT FROM",C888)),ISNUMBER(SEARCH("JOE SAUNDERS",C888))),"Zelle from Joe Saunders",IF(AND(ISNUMBER(SEARCH("PAYMENT TO",C888)),ISNUMBER(SEARCH("JOE SAUNDERS",C888))),"Zelle to Joe Saunders",IF(OR(ISNUMBER(SEARCH("NEW ORLEANS",C888)),ISNUMBER(SEARCH("KENNER",C888)),ISNUMBER(SEARCH("HENRY HOWARD",C888)),ISNUMBER(SEARCH("MISS CLAUDIA",C888))),"Personal Travel - New Orleans",IF(AND(YEAR(B888)=2025,MONTH(B888)=4,OR(ISNUMBER(SEARCH("EXCHANGE RATE",C888)),ISNUMBER(SEARCH("EXCHG RTE",C888)))),"Personal Travel - Italy",IFERROR(INDEX('Category Rules'!$B$2:$B$358,MATCH(TRUE,ISNUMBER(SEARCH('Category Rules'!$A$2:$A$358,C888)),0)),""))))))))</f>
        <v>Amazon</v>
      </c>
    </row>
    <row r="889" spans="1:7" x14ac:dyDescent="0.25">
      <c r="A889" t="s">
        <v>44</v>
      </c>
      <c r="B889" s="1">
        <v>45897</v>
      </c>
      <c r="C889" t="s">
        <v>828</v>
      </c>
      <c r="D889">
        <v>4000</v>
      </c>
      <c r="E889" t="s">
        <v>73</v>
      </c>
      <c r="F889">
        <v>5199.46</v>
      </c>
      <c r="G889" t="str" cm="1">
        <f t="array" ref="G889">IF(AND(ISNUMBER(SEARCH("UBER",C889)),ISNUMBER(SEARCH("EATS",C889))),"Uber Eats",IF(LEFT(C889,6)="CHECK ","Checks Paid",IF(OR(E889="BILLPAY",ISNUMBER(SEARCH("FRANCHISE TAX",C889)),ISNUMBER(SEARCH("NEXTLINK",C889))),"Personal - House Bills",IF(AND(ISNUMBER(SEARCH("PAYMENT FROM",C889)),ISNUMBER(SEARCH("JOE SAUNDERS",C889))),"Zelle from Joe Saunders",IF(AND(ISNUMBER(SEARCH("PAYMENT TO",C889)),ISNUMBER(SEARCH("JOE SAUNDERS",C889))),"Zelle to Joe Saunders",IF(OR(ISNUMBER(SEARCH("NEW ORLEANS",C889)),ISNUMBER(SEARCH("KENNER",C889)),ISNUMBER(SEARCH("HENRY HOWARD",C889)),ISNUMBER(SEARCH("MISS CLAUDIA",C889))),"Personal Travel - New Orleans",IF(AND(YEAR(B889)=2025,MONTH(B889)=4,OR(ISNUMBER(SEARCH("EXCHANGE RATE",C889)),ISNUMBER(SEARCH("EXCHG RTE",C889)))),"Personal Travel - Italy",IFERROR(INDEX('Category Rules'!$B$2:$B$358,MATCH(TRUE,ISNUMBER(SEARCH('Category Rules'!$A$2:$A$358,C889)),0)),""))))))))</f>
        <v>Transfer from DWG Capital Group</v>
      </c>
    </row>
    <row r="890" spans="1:7" x14ac:dyDescent="0.25">
      <c r="A890" t="s">
        <v>6</v>
      </c>
      <c r="B890" s="1">
        <v>45896</v>
      </c>
      <c r="C890" t="s">
        <v>829</v>
      </c>
      <c r="D890">
        <v>-33.33</v>
      </c>
      <c r="E890" t="s">
        <v>10</v>
      </c>
      <c r="F890">
        <v>1199.46</v>
      </c>
      <c r="G890" t="str" cm="1">
        <f t="array" ref="G890">IF(AND(ISNUMBER(SEARCH("UBER",C890)),ISNUMBER(SEARCH("EATS",C890))),"Uber Eats",IF(LEFT(C890,6)="CHECK ","Checks Paid",IF(OR(E890="BILLPAY",ISNUMBER(SEARCH("FRANCHISE TAX",C890)),ISNUMBER(SEARCH("NEXTLINK",C890))),"Personal - House Bills",IF(AND(ISNUMBER(SEARCH("PAYMENT FROM",C890)),ISNUMBER(SEARCH("JOE SAUNDERS",C890))),"Zelle from Joe Saunders",IF(AND(ISNUMBER(SEARCH("PAYMENT TO",C890)),ISNUMBER(SEARCH("JOE SAUNDERS",C890))),"Zelle to Joe Saunders",IF(OR(ISNUMBER(SEARCH("NEW ORLEANS",C890)),ISNUMBER(SEARCH("KENNER",C890)),ISNUMBER(SEARCH("HENRY HOWARD",C890)),ISNUMBER(SEARCH("MISS CLAUDIA",C890))),"Personal Travel - New Orleans",IF(AND(YEAR(B890)=2025,MONTH(B890)=4,OR(ISNUMBER(SEARCH("EXCHANGE RATE",C890)),ISNUMBER(SEARCH("EXCHG RTE",C890)))),"Personal Travel - Italy",IFERROR(INDEX('Category Rules'!$B$2:$B$358,MATCH(TRUE,ISNUMBER(SEARCH('Category Rules'!$A$2:$A$358,C890)),0)),""))))))))</f>
        <v>Uber Eats</v>
      </c>
    </row>
    <row r="891" spans="1:7" x14ac:dyDescent="0.25">
      <c r="A891" t="s">
        <v>6</v>
      </c>
      <c r="B891" s="1">
        <v>45896</v>
      </c>
      <c r="C891" t="s">
        <v>830</v>
      </c>
      <c r="D891">
        <v>-313.12</v>
      </c>
      <c r="E891" t="s">
        <v>10</v>
      </c>
      <c r="F891">
        <v>1232.79</v>
      </c>
      <c r="G891" t="str" cm="1">
        <f t="array" ref="G891">IF(AND(ISNUMBER(SEARCH("UBER",C891)),ISNUMBER(SEARCH("EATS",C891))),"Uber Eats",IF(LEFT(C891,6)="CHECK ","Checks Paid",IF(OR(E891="BILLPAY",ISNUMBER(SEARCH("FRANCHISE TAX",C891)),ISNUMBER(SEARCH("NEXTLINK",C891))),"Personal - House Bills",IF(AND(ISNUMBER(SEARCH("PAYMENT FROM",C891)),ISNUMBER(SEARCH("JOE SAUNDERS",C891))),"Zelle from Joe Saunders",IF(AND(ISNUMBER(SEARCH("PAYMENT TO",C891)),ISNUMBER(SEARCH("JOE SAUNDERS",C891))),"Zelle to Joe Saunders",IF(OR(ISNUMBER(SEARCH("NEW ORLEANS",C891)),ISNUMBER(SEARCH("KENNER",C891)),ISNUMBER(SEARCH("HENRY HOWARD",C891)),ISNUMBER(SEARCH("MISS CLAUDIA",C891))),"Personal Travel - New Orleans",IF(AND(YEAR(B891)=2025,MONTH(B891)=4,OR(ISNUMBER(SEARCH("EXCHANGE RATE",C891)),ISNUMBER(SEARCH("EXCHG RTE",C891)))),"Personal Travel - Italy",IFERROR(INDEX('Category Rules'!$B$2:$B$358,MATCH(TRUE,ISNUMBER(SEARCH('Category Rules'!$A$2:$A$358,C891)),0)),""))))))))</f>
        <v>Personal - Food</v>
      </c>
    </row>
    <row r="892" spans="1:7" x14ac:dyDescent="0.25">
      <c r="A892" t="s">
        <v>6</v>
      </c>
      <c r="B892" s="1">
        <v>45896</v>
      </c>
      <c r="C892" t="s">
        <v>831</v>
      </c>
      <c r="D892">
        <v>-21.99</v>
      </c>
      <c r="E892" t="s">
        <v>10</v>
      </c>
      <c r="F892">
        <v>1545.91</v>
      </c>
      <c r="G892" t="str" cm="1">
        <f t="array" ref="G892">IF(AND(ISNUMBER(SEARCH("UBER",C892)),ISNUMBER(SEARCH("EATS",C892))),"Uber Eats",IF(LEFT(C892,6)="CHECK ","Checks Paid",IF(OR(E892="BILLPAY",ISNUMBER(SEARCH("FRANCHISE TAX",C892)),ISNUMBER(SEARCH("NEXTLINK",C892))),"Personal - House Bills",IF(AND(ISNUMBER(SEARCH("PAYMENT FROM",C892)),ISNUMBER(SEARCH("JOE SAUNDERS",C892))),"Zelle from Joe Saunders",IF(AND(ISNUMBER(SEARCH("PAYMENT TO",C892)),ISNUMBER(SEARCH("JOE SAUNDERS",C892))),"Zelle to Joe Saunders",IF(OR(ISNUMBER(SEARCH("NEW ORLEANS",C892)),ISNUMBER(SEARCH("KENNER",C892)),ISNUMBER(SEARCH("HENRY HOWARD",C892)),ISNUMBER(SEARCH("MISS CLAUDIA",C892))),"Personal Travel - New Orleans",IF(AND(YEAR(B892)=2025,MONTH(B892)=4,OR(ISNUMBER(SEARCH("EXCHANGE RATE",C892)),ISNUMBER(SEARCH("EXCHG RTE",C892)))),"Personal Travel - Italy",IFERROR(INDEX('Category Rules'!$B$2:$B$358,MATCH(TRUE,ISNUMBER(SEARCH('Category Rules'!$A$2:$A$358,C892)),0)),""))))))))</f>
        <v>Amazon</v>
      </c>
    </row>
    <row r="893" spans="1:7" x14ac:dyDescent="0.25">
      <c r="A893" t="s">
        <v>6</v>
      </c>
      <c r="B893" s="1">
        <v>45896</v>
      </c>
      <c r="C893" t="s">
        <v>832</v>
      </c>
      <c r="D893">
        <v>-5.99</v>
      </c>
      <c r="E893" t="s">
        <v>10</v>
      </c>
      <c r="F893">
        <v>1567.9</v>
      </c>
      <c r="G893" t="str" cm="1">
        <f t="array" ref="G893">IF(AND(ISNUMBER(SEARCH("UBER",C893)),ISNUMBER(SEARCH("EATS",C893))),"Uber Eats",IF(LEFT(C893,6)="CHECK ","Checks Paid",IF(OR(E893="BILLPAY",ISNUMBER(SEARCH("FRANCHISE TAX",C893)),ISNUMBER(SEARCH("NEXTLINK",C893))),"Personal - House Bills",IF(AND(ISNUMBER(SEARCH("PAYMENT FROM",C893)),ISNUMBER(SEARCH("JOE SAUNDERS",C893))),"Zelle from Joe Saunders",IF(AND(ISNUMBER(SEARCH("PAYMENT TO",C893)),ISNUMBER(SEARCH("JOE SAUNDERS",C893))),"Zelle to Joe Saunders",IF(OR(ISNUMBER(SEARCH("NEW ORLEANS",C893)),ISNUMBER(SEARCH("KENNER",C893)),ISNUMBER(SEARCH("HENRY HOWARD",C893)),ISNUMBER(SEARCH("MISS CLAUDIA",C893))),"Personal Travel - New Orleans",IF(AND(YEAR(B893)=2025,MONTH(B893)=4,OR(ISNUMBER(SEARCH("EXCHANGE RATE",C893)),ISNUMBER(SEARCH("EXCHG RTE",C893)))),"Personal Travel - Italy",IFERROR(INDEX('Category Rules'!$B$2:$B$358,MATCH(TRUE,ISNUMBER(SEARCH('Category Rules'!$A$2:$A$358,C893)),0)),""))))))))</f>
        <v>Personal - Subscription</v>
      </c>
    </row>
    <row r="894" spans="1:7" x14ac:dyDescent="0.25">
      <c r="A894" t="s">
        <v>6</v>
      </c>
      <c r="B894" s="1">
        <v>45896</v>
      </c>
      <c r="C894" t="s">
        <v>833</v>
      </c>
      <c r="D894">
        <v>-42.98</v>
      </c>
      <c r="E894" t="s">
        <v>10</v>
      </c>
      <c r="F894">
        <v>1573.89</v>
      </c>
      <c r="G894" t="str" cm="1">
        <f t="array" ref="G894">IF(AND(ISNUMBER(SEARCH("UBER",C894)),ISNUMBER(SEARCH("EATS",C894))),"Uber Eats",IF(LEFT(C894,6)="CHECK ","Checks Paid",IF(OR(E894="BILLPAY",ISNUMBER(SEARCH("FRANCHISE TAX",C894)),ISNUMBER(SEARCH("NEXTLINK",C894))),"Personal - House Bills",IF(AND(ISNUMBER(SEARCH("PAYMENT FROM",C894)),ISNUMBER(SEARCH("JOE SAUNDERS",C894))),"Zelle from Joe Saunders",IF(AND(ISNUMBER(SEARCH("PAYMENT TO",C894)),ISNUMBER(SEARCH("JOE SAUNDERS",C894))),"Zelle to Joe Saunders",IF(OR(ISNUMBER(SEARCH("NEW ORLEANS",C894)),ISNUMBER(SEARCH("KENNER",C894)),ISNUMBER(SEARCH("HENRY HOWARD",C894)),ISNUMBER(SEARCH("MISS CLAUDIA",C894))),"Personal Travel - New Orleans",IF(AND(YEAR(B894)=2025,MONTH(B894)=4,OR(ISNUMBER(SEARCH("EXCHANGE RATE",C894)),ISNUMBER(SEARCH("EXCHG RTE",C894)))),"Personal Travel - Italy",IFERROR(INDEX('Category Rules'!$B$2:$B$358,MATCH(TRUE,ISNUMBER(SEARCH('Category Rules'!$A$2:$A$358,C894)),0)),""))))))))</f>
        <v>Amazon</v>
      </c>
    </row>
    <row r="895" spans="1:7" x14ac:dyDescent="0.25">
      <c r="A895" t="s">
        <v>6</v>
      </c>
      <c r="B895" s="1">
        <v>45896</v>
      </c>
      <c r="C895" t="s">
        <v>834</v>
      </c>
      <c r="D895">
        <v>-32.909999999999997</v>
      </c>
      <c r="E895" t="s">
        <v>10</v>
      </c>
      <c r="F895">
        <v>1616.87</v>
      </c>
      <c r="G895" t="str" cm="1">
        <f t="array" ref="G895">IF(AND(ISNUMBER(SEARCH("UBER",C895)),ISNUMBER(SEARCH("EATS",C895))),"Uber Eats",IF(LEFT(C895,6)="CHECK ","Checks Paid",IF(OR(E895="BILLPAY",ISNUMBER(SEARCH("FRANCHISE TAX",C895)),ISNUMBER(SEARCH("NEXTLINK",C895))),"Personal - House Bills",IF(AND(ISNUMBER(SEARCH("PAYMENT FROM",C895)),ISNUMBER(SEARCH("JOE SAUNDERS",C895))),"Zelle from Joe Saunders",IF(AND(ISNUMBER(SEARCH("PAYMENT TO",C895)),ISNUMBER(SEARCH("JOE SAUNDERS",C895))),"Zelle to Joe Saunders",IF(OR(ISNUMBER(SEARCH("NEW ORLEANS",C895)),ISNUMBER(SEARCH("KENNER",C895)),ISNUMBER(SEARCH("HENRY HOWARD",C895)),ISNUMBER(SEARCH("MISS CLAUDIA",C895))),"Personal Travel - New Orleans",IF(AND(YEAR(B895)=2025,MONTH(B895)=4,OR(ISNUMBER(SEARCH("EXCHANGE RATE",C895)),ISNUMBER(SEARCH("EXCHG RTE",C895)))),"Personal Travel - Italy",IFERROR(INDEX('Category Rules'!$B$2:$B$358,MATCH(TRUE,ISNUMBER(SEARCH('Category Rules'!$A$2:$A$358,C895)),0)),""))))))))</f>
        <v>Amazon</v>
      </c>
    </row>
    <row r="896" spans="1:7" x14ac:dyDescent="0.25">
      <c r="A896" t="s">
        <v>6</v>
      </c>
      <c r="B896" s="1">
        <v>45896</v>
      </c>
      <c r="C896" t="s">
        <v>835</v>
      </c>
      <c r="D896">
        <v>-166.07</v>
      </c>
      <c r="E896" t="s">
        <v>10</v>
      </c>
      <c r="F896">
        <v>1649.78</v>
      </c>
      <c r="G896" t="str" cm="1">
        <f t="array" ref="G896">IF(AND(ISNUMBER(SEARCH("UBER",C896)),ISNUMBER(SEARCH("EATS",C896))),"Uber Eats",IF(LEFT(C896,6)="CHECK ","Checks Paid",IF(OR(E896="BILLPAY",ISNUMBER(SEARCH("FRANCHISE TAX",C896)),ISNUMBER(SEARCH("NEXTLINK",C896))),"Personal - House Bills",IF(AND(ISNUMBER(SEARCH("PAYMENT FROM",C896)),ISNUMBER(SEARCH("JOE SAUNDERS",C896))),"Zelle from Joe Saunders",IF(AND(ISNUMBER(SEARCH("PAYMENT TO",C896)),ISNUMBER(SEARCH("JOE SAUNDERS",C896))),"Zelle to Joe Saunders",IF(OR(ISNUMBER(SEARCH("NEW ORLEANS",C896)),ISNUMBER(SEARCH("KENNER",C896)),ISNUMBER(SEARCH("HENRY HOWARD",C896)),ISNUMBER(SEARCH("MISS CLAUDIA",C896))),"Personal Travel - New Orleans",IF(AND(YEAR(B896)=2025,MONTH(B896)=4,OR(ISNUMBER(SEARCH("EXCHANGE RATE",C896)),ISNUMBER(SEARCH("EXCHG RTE",C896)))),"Personal Travel - Italy",IFERROR(INDEX('Category Rules'!$B$2:$B$358,MATCH(TRUE,ISNUMBER(SEARCH('Category Rules'!$A$2:$A$358,C896)),0)),""))))))))</f>
        <v>Amazon</v>
      </c>
    </row>
    <row r="897" spans="1:7" x14ac:dyDescent="0.25">
      <c r="A897" t="s">
        <v>6</v>
      </c>
      <c r="B897" s="1">
        <v>45896</v>
      </c>
      <c r="C897" t="s">
        <v>836</v>
      </c>
      <c r="D897">
        <v>-143.54</v>
      </c>
      <c r="E897" t="s">
        <v>10</v>
      </c>
      <c r="F897">
        <v>1815.85</v>
      </c>
      <c r="G897" t="str" cm="1">
        <f t="array" ref="G897">IF(AND(ISNUMBER(SEARCH("UBER",C897)),ISNUMBER(SEARCH("EATS",C897))),"Uber Eats",IF(LEFT(C897,6)="CHECK ","Checks Paid",IF(OR(E897="BILLPAY",ISNUMBER(SEARCH("FRANCHISE TAX",C897)),ISNUMBER(SEARCH("NEXTLINK",C897))),"Personal - House Bills",IF(AND(ISNUMBER(SEARCH("PAYMENT FROM",C897)),ISNUMBER(SEARCH("JOE SAUNDERS",C897))),"Zelle from Joe Saunders",IF(AND(ISNUMBER(SEARCH("PAYMENT TO",C897)),ISNUMBER(SEARCH("JOE SAUNDERS",C897))),"Zelle to Joe Saunders",IF(OR(ISNUMBER(SEARCH("NEW ORLEANS",C897)),ISNUMBER(SEARCH("KENNER",C897)),ISNUMBER(SEARCH("HENRY HOWARD",C897)),ISNUMBER(SEARCH("MISS CLAUDIA",C897))),"Personal Travel - New Orleans",IF(AND(YEAR(B897)=2025,MONTH(B897)=4,OR(ISNUMBER(SEARCH("EXCHANGE RATE",C897)),ISNUMBER(SEARCH("EXCHG RTE",C897)))),"Personal Travel - Italy",IFERROR(INDEX('Category Rules'!$B$2:$B$358,MATCH(TRUE,ISNUMBER(SEARCH('Category Rules'!$A$2:$A$358,C897)),0)),""))))))))</f>
        <v>Amazon</v>
      </c>
    </row>
    <row r="898" spans="1:7" x14ac:dyDescent="0.25">
      <c r="A898" t="s">
        <v>6</v>
      </c>
      <c r="B898" s="1">
        <v>45896</v>
      </c>
      <c r="C898" t="s">
        <v>837</v>
      </c>
      <c r="D898">
        <v>-6.99</v>
      </c>
      <c r="E898" t="s">
        <v>10</v>
      </c>
      <c r="F898">
        <v>1959.39</v>
      </c>
      <c r="G898" t="str" cm="1">
        <f t="array" ref="G898">IF(AND(ISNUMBER(SEARCH("UBER",C898)),ISNUMBER(SEARCH("EATS",C898))),"Uber Eats",IF(LEFT(C898,6)="CHECK ","Checks Paid",IF(OR(E898="BILLPAY",ISNUMBER(SEARCH("FRANCHISE TAX",C898)),ISNUMBER(SEARCH("NEXTLINK",C898))),"Personal - House Bills",IF(AND(ISNUMBER(SEARCH("PAYMENT FROM",C898)),ISNUMBER(SEARCH("JOE SAUNDERS",C898))),"Zelle from Joe Saunders",IF(AND(ISNUMBER(SEARCH("PAYMENT TO",C898)),ISNUMBER(SEARCH("JOE SAUNDERS",C898))),"Zelle to Joe Saunders",IF(OR(ISNUMBER(SEARCH("NEW ORLEANS",C898)),ISNUMBER(SEARCH("KENNER",C898)),ISNUMBER(SEARCH("HENRY HOWARD",C898)),ISNUMBER(SEARCH("MISS CLAUDIA",C898))),"Personal Travel - New Orleans",IF(AND(YEAR(B898)=2025,MONTH(B898)=4,OR(ISNUMBER(SEARCH("EXCHANGE RATE",C898)),ISNUMBER(SEARCH("EXCHG RTE",C898)))),"Personal Travel - Italy",IFERROR(INDEX('Category Rules'!$B$2:$B$358,MATCH(TRUE,ISNUMBER(SEARCH('Category Rules'!$A$2:$A$358,C898)),0)),""))))))))</f>
        <v>Amazon</v>
      </c>
    </row>
    <row r="899" spans="1:7" x14ac:dyDescent="0.25">
      <c r="A899" t="s">
        <v>6</v>
      </c>
      <c r="B899" s="1">
        <v>45896</v>
      </c>
      <c r="C899" t="s">
        <v>838</v>
      </c>
      <c r="D899">
        <v>-601.66999999999996</v>
      </c>
      <c r="E899" t="s">
        <v>10</v>
      </c>
      <c r="F899">
        <v>1966.38</v>
      </c>
      <c r="G899" t="str" cm="1">
        <f t="array" ref="G899">IF(AND(ISNUMBER(SEARCH("UBER",C899)),ISNUMBER(SEARCH("EATS",C899))),"Uber Eats",IF(LEFT(C899,6)="CHECK ","Checks Paid",IF(OR(E899="BILLPAY",ISNUMBER(SEARCH("FRANCHISE TAX",C899)),ISNUMBER(SEARCH("NEXTLINK",C899))),"Personal - House Bills",IF(AND(ISNUMBER(SEARCH("PAYMENT FROM",C899)),ISNUMBER(SEARCH("JOE SAUNDERS",C899))),"Zelle from Joe Saunders",IF(AND(ISNUMBER(SEARCH("PAYMENT TO",C899)),ISNUMBER(SEARCH("JOE SAUNDERS",C899))),"Zelle to Joe Saunders",IF(OR(ISNUMBER(SEARCH("NEW ORLEANS",C899)),ISNUMBER(SEARCH("KENNER",C899)),ISNUMBER(SEARCH("HENRY HOWARD",C899)),ISNUMBER(SEARCH("MISS CLAUDIA",C899))),"Personal Travel - New Orleans",IF(AND(YEAR(B899)=2025,MONTH(B899)=4,OR(ISNUMBER(SEARCH("EXCHANGE RATE",C899)),ISNUMBER(SEARCH("EXCHG RTE",C899)))),"Personal Travel - Italy",IFERROR(INDEX('Category Rules'!$B$2:$B$358,MATCH(TRUE,ISNUMBER(SEARCH('Category Rules'!$A$2:$A$358,C899)),0)),""))))))))</f>
        <v>Personal - Shopping</v>
      </c>
    </row>
    <row r="900" spans="1:7" x14ac:dyDescent="0.25">
      <c r="A900" t="s">
        <v>6</v>
      </c>
      <c r="B900" s="1">
        <v>45895</v>
      </c>
      <c r="C900" t="s">
        <v>21</v>
      </c>
      <c r="D900">
        <v>-3</v>
      </c>
      <c r="E900" t="s">
        <v>8</v>
      </c>
      <c r="F900">
        <v>2568.0500000000002</v>
      </c>
      <c r="G900" t="str" cm="1">
        <f t="array" ref="G900">IF(AND(ISNUMBER(SEARCH("UBER",C900)),ISNUMBER(SEARCH("EATS",C900))),"Uber Eats",IF(LEFT(C900,6)="CHECK ","Checks Paid",IF(OR(E900="BILLPAY",ISNUMBER(SEARCH("FRANCHISE TAX",C900)),ISNUMBER(SEARCH("NEXTLINK",C900))),"Personal - House Bills",IF(AND(ISNUMBER(SEARCH("PAYMENT FROM",C900)),ISNUMBER(SEARCH("JOE SAUNDERS",C900))),"Zelle from Joe Saunders",IF(AND(ISNUMBER(SEARCH("PAYMENT TO",C900)),ISNUMBER(SEARCH("JOE SAUNDERS",C900))),"Zelle to Joe Saunders",IF(OR(ISNUMBER(SEARCH("NEW ORLEANS",C900)),ISNUMBER(SEARCH("KENNER",C900)),ISNUMBER(SEARCH("HENRY HOWARD",C900)),ISNUMBER(SEARCH("MISS CLAUDIA",C900))),"Personal Travel - New Orleans",IF(AND(YEAR(B900)=2025,MONTH(B900)=4,OR(ISNUMBER(SEARCH("EXCHANGE RATE",C900)),ISNUMBER(SEARCH("EXCHG RTE",C900)))),"Personal Travel - Italy",IFERROR(INDEX('Category Rules'!$B$2:$B$358,MATCH(TRUE,ISNUMBER(SEARCH('Category Rules'!$A$2:$A$358,C900)),0)),""))))))))</f>
        <v>Bank Fees</v>
      </c>
    </row>
    <row r="901" spans="1:7" x14ac:dyDescent="0.25">
      <c r="A901" t="s">
        <v>6</v>
      </c>
      <c r="B901" s="1">
        <v>45895</v>
      </c>
      <c r="C901" t="s">
        <v>21</v>
      </c>
      <c r="D901">
        <v>-3</v>
      </c>
      <c r="E901" t="s">
        <v>8</v>
      </c>
      <c r="F901">
        <v>2571.0500000000002</v>
      </c>
      <c r="G901" t="str" cm="1">
        <f t="array" ref="G901">IF(AND(ISNUMBER(SEARCH("UBER",C901)),ISNUMBER(SEARCH("EATS",C901))),"Uber Eats",IF(LEFT(C901,6)="CHECK ","Checks Paid",IF(OR(E901="BILLPAY",ISNUMBER(SEARCH("FRANCHISE TAX",C901)),ISNUMBER(SEARCH("NEXTLINK",C901))),"Personal - House Bills",IF(AND(ISNUMBER(SEARCH("PAYMENT FROM",C901)),ISNUMBER(SEARCH("JOE SAUNDERS",C901))),"Zelle from Joe Saunders",IF(AND(ISNUMBER(SEARCH("PAYMENT TO",C901)),ISNUMBER(SEARCH("JOE SAUNDERS",C901))),"Zelle to Joe Saunders",IF(OR(ISNUMBER(SEARCH("NEW ORLEANS",C901)),ISNUMBER(SEARCH("KENNER",C901)),ISNUMBER(SEARCH("HENRY HOWARD",C901)),ISNUMBER(SEARCH("MISS CLAUDIA",C901))),"Personal Travel - New Orleans",IF(AND(YEAR(B901)=2025,MONTH(B901)=4,OR(ISNUMBER(SEARCH("EXCHANGE RATE",C901)),ISNUMBER(SEARCH("EXCHG RTE",C901)))),"Personal Travel - Italy",IFERROR(INDEX('Category Rules'!$B$2:$B$358,MATCH(TRUE,ISNUMBER(SEARCH('Category Rules'!$A$2:$A$358,C901)),0)),""))))))))</f>
        <v>Bank Fees</v>
      </c>
    </row>
    <row r="902" spans="1:7" x14ac:dyDescent="0.25">
      <c r="A902" t="s">
        <v>6</v>
      </c>
      <c r="B902" s="1">
        <v>45895</v>
      </c>
      <c r="C902" t="s">
        <v>839</v>
      </c>
      <c r="D902">
        <v>-202.5</v>
      </c>
      <c r="E902" t="s">
        <v>26</v>
      </c>
      <c r="F902">
        <v>2574.0500000000002</v>
      </c>
      <c r="G902" t="str" cm="1">
        <f t="array" ref="G902">IF(AND(ISNUMBER(SEARCH("UBER",C902)),ISNUMBER(SEARCH("EATS",C902))),"Uber Eats",IF(LEFT(C902,6)="CHECK ","Checks Paid",IF(OR(E902="BILLPAY",ISNUMBER(SEARCH("FRANCHISE TAX",C902)),ISNUMBER(SEARCH("NEXTLINK",C902))),"Personal - House Bills",IF(AND(ISNUMBER(SEARCH("PAYMENT FROM",C902)),ISNUMBER(SEARCH("JOE SAUNDERS",C902))),"Zelle from Joe Saunders",IF(AND(ISNUMBER(SEARCH("PAYMENT TO",C902)),ISNUMBER(SEARCH("JOE SAUNDERS",C902))),"Zelle to Joe Saunders",IF(OR(ISNUMBER(SEARCH("NEW ORLEANS",C902)),ISNUMBER(SEARCH("KENNER",C902)),ISNUMBER(SEARCH("HENRY HOWARD",C902)),ISNUMBER(SEARCH("MISS CLAUDIA",C902))),"Personal Travel - New Orleans",IF(AND(YEAR(B902)=2025,MONTH(B902)=4,OR(ISNUMBER(SEARCH("EXCHANGE RATE",C902)),ISNUMBER(SEARCH("EXCHG RTE",C902)))),"Personal Travel - Italy",IFERROR(INDEX('Category Rules'!$B$2:$B$358,MATCH(TRUE,ISNUMBER(SEARCH('Category Rules'!$A$2:$A$358,C902)),0)),""))))))))</f>
        <v>Withdrawal</v>
      </c>
    </row>
    <row r="903" spans="1:7" x14ac:dyDescent="0.25">
      <c r="A903" t="s">
        <v>6</v>
      </c>
      <c r="B903" s="1">
        <v>45895</v>
      </c>
      <c r="C903" t="s">
        <v>840</v>
      </c>
      <c r="D903">
        <v>-202.5</v>
      </c>
      <c r="E903" t="s">
        <v>26</v>
      </c>
      <c r="F903">
        <v>2776.55</v>
      </c>
      <c r="G903" t="str" cm="1">
        <f t="array" ref="G903">IF(AND(ISNUMBER(SEARCH("UBER",C903)),ISNUMBER(SEARCH("EATS",C903))),"Uber Eats",IF(LEFT(C903,6)="CHECK ","Checks Paid",IF(OR(E903="BILLPAY",ISNUMBER(SEARCH("FRANCHISE TAX",C903)),ISNUMBER(SEARCH("NEXTLINK",C903))),"Personal - House Bills",IF(AND(ISNUMBER(SEARCH("PAYMENT FROM",C903)),ISNUMBER(SEARCH("JOE SAUNDERS",C903))),"Zelle from Joe Saunders",IF(AND(ISNUMBER(SEARCH("PAYMENT TO",C903)),ISNUMBER(SEARCH("JOE SAUNDERS",C903))),"Zelle to Joe Saunders",IF(OR(ISNUMBER(SEARCH("NEW ORLEANS",C903)),ISNUMBER(SEARCH("KENNER",C903)),ISNUMBER(SEARCH("HENRY HOWARD",C903)),ISNUMBER(SEARCH("MISS CLAUDIA",C903))),"Personal Travel - New Orleans",IF(AND(YEAR(B903)=2025,MONTH(B903)=4,OR(ISNUMBER(SEARCH("EXCHANGE RATE",C903)),ISNUMBER(SEARCH("EXCHG RTE",C903)))),"Personal Travel - Italy",IFERROR(INDEX('Category Rules'!$B$2:$B$358,MATCH(TRUE,ISNUMBER(SEARCH('Category Rules'!$A$2:$A$358,C903)),0)),""))))))))</f>
        <v>Withdrawal</v>
      </c>
    </row>
    <row r="904" spans="1:7" x14ac:dyDescent="0.25">
      <c r="A904" t="s">
        <v>6</v>
      </c>
      <c r="B904" s="1">
        <v>45895</v>
      </c>
      <c r="C904" t="s">
        <v>841</v>
      </c>
      <c r="D904">
        <v>-32.9</v>
      </c>
      <c r="E904" t="s">
        <v>10</v>
      </c>
      <c r="F904">
        <v>2979.05</v>
      </c>
      <c r="G904" t="str" cm="1">
        <f t="array" ref="G904">IF(AND(ISNUMBER(SEARCH("UBER",C904)),ISNUMBER(SEARCH("EATS",C904))),"Uber Eats",IF(LEFT(C904,6)="CHECK ","Checks Paid",IF(OR(E904="BILLPAY",ISNUMBER(SEARCH("FRANCHISE TAX",C904)),ISNUMBER(SEARCH("NEXTLINK",C904))),"Personal - House Bills",IF(AND(ISNUMBER(SEARCH("PAYMENT FROM",C904)),ISNUMBER(SEARCH("JOE SAUNDERS",C904))),"Zelle from Joe Saunders",IF(AND(ISNUMBER(SEARCH("PAYMENT TO",C904)),ISNUMBER(SEARCH("JOE SAUNDERS",C904))),"Zelle to Joe Saunders",IF(OR(ISNUMBER(SEARCH("NEW ORLEANS",C904)),ISNUMBER(SEARCH("KENNER",C904)),ISNUMBER(SEARCH("HENRY HOWARD",C904)),ISNUMBER(SEARCH("MISS CLAUDIA",C904))),"Personal Travel - New Orleans",IF(AND(YEAR(B904)=2025,MONTH(B904)=4,OR(ISNUMBER(SEARCH("EXCHANGE RATE",C904)),ISNUMBER(SEARCH("EXCHG RTE",C904)))),"Personal Travel - Italy",IFERROR(INDEX('Category Rules'!$B$2:$B$358,MATCH(TRUE,ISNUMBER(SEARCH('Category Rules'!$A$2:$A$358,C904)),0)),""))))))))</f>
        <v>Personal - Shopping</v>
      </c>
    </row>
    <row r="905" spans="1:7" x14ac:dyDescent="0.25">
      <c r="A905" t="s">
        <v>6</v>
      </c>
      <c r="B905" s="1">
        <v>45895</v>
      </c>
      <c r="C905" t="s">
        <v>842</v>
      </c>
      <c r="D905">
        <v>-88.32</v>
      </c>
      <c r="E905" t="s">
        <v>10</v>
      </c>
      <c r="F905">
        <v>3011.95</v>
      </c>
      <c r="G905" t="str" cm="1">
        <f t="array" ref="G905">IF(AND(ISNUMBER(SEARCH("UBER",C905)),ISNUMBER(SEARCH("EATS",C905))),"Uber Eats",IF(LEFT(C905,6)="CHECK ","Checks Paid",IF(OR(E905="BILLPAY",ISNUMBER(SEARCH("FRANCHISE TAX",C905)),ISNUMBER(SEARCH("NEXTLINK",C905))),"Personal - House Bills",IF(AND(ISNUMBER(SEARCH("PAYMENT FROM",C905)),ISNUMBER(SEARCH("JOE SAUNDERS",C905))),"Zelle from Joe Saunders",IF(AND(ISNUMBER(SEARCH("PAYMENT TO",C905)),ISNUMBER(SEARCH("JOE SAUNDERS",C905))),"Zelle to Joe Saunders",IF(OR(ISNUMBER(SEARCH("NEW ORLEANS",C905)),ISNUMBER(SEARCH("KENNER",C905)),ISNUMBER(SEARCH("HENRY HOWARD",C905)),ISNUMBER(SEARCH("MISS CLAUDIA",C905))),"Personal Travel - New Orleans",IF(AND(YEAR(B905)=2025,MONTH(B905)=4,OR(ISNUMBER(SEARCH("EXCHANGE RATE",C905)),ISNUMBER(SEARCH("EXCHG RTE",C905)))),"Personal Travel - Italy",IFERROR(INDEX('Category Rules'!$B$2:$B$358,MATCH(TRUE,ISNUMBER(SEARCH('Category Rules'!$A$2:$A$358,C905)),0)),""))))))))</f>
        <v>Uber Eats</v>
      </c>
    </row>
    <row r="906" spans="1:7" x14ac:dyDescent="0.25">
      <c r="A906" t="s">
        <v>6</v>
      </c>
      <c r="B906" s="1">
        <v>45895</v>
      </c>
      <c r="C906" t="s">
        <v>843</v>
      </c>
      <c r="D906">
        <v>-497</v>
      </c>
      <c r="E906" t="s">
        <v>10</v>
      </c>
      <c r="F906">
        <v>3100.27</v>
      </c>
      <c r="G906" t="str" cm="1">
        <f t="array" ref="G906">IF(AND(ISNUMBER(SEARCH("UBER",C906)),ISNUMBER(SEARCH("EATS",C906))),"Uber Eats",IF(LEFT(C906,6)="CHECK ","Checks Paid",IF(OR(E906="BILLPAY",ISNUMBER(SEARCH("FRANCHISE TAX",C906)),ISNUMBER(SEARCH("NEXTLINK",C906))),"Personal - House Bills",IF(AND(ISNUMBER(SEARCH("PAYMENT FROM",C906)),ISNUMBER(SEARCH("JOE SAUNDERS",C906))),"Zelle from Joe Saunders",IF(AND(ISNUMBER(SEARCH("PAYMENT TO",C906)),ISNUMBER(SEARCH("JOE SAUNDERS",C906))),"Zelle to Joe Saunders",IF(OR(ISNUMBER(SEARCH("NEW ORLEANS",C906)),ISNUMBER(SEARCH("KENNER",C906)),ISNUMBER(SEARCH("HENRY HOWARD",C906)),ISNUMBER(SEARCH("MISS CLAUDIA",C906))),"Personal Travel - New Orleans",IF(AND(YEAR(B906)=2025,MONTH(B906)=4,OR(ISNUMBER(SEARCH("EXCHANGE RATE",C906)),ISNUMBER(SEARCH("EXCHG RTE",C906)))),"Personal Travel - Italy",IFERROR(INDEX('Category Rules'!$B$2:$B$358,MATCH(TRUE,ISNUMBER(SEARCH('Category Rules'!$A$2:$A$358,C906)),0)),""))))))))</f>
        <v>Personal - Health</v>
      </c>
    </row>
    <row r="907" spans="1:7" x14ac:dyDescent="0.25">
      <c r="A907" t="s">
        <v>6</v>
      </c>
      <c r="B907" s="1">
        <v>45895</v>
      </c>
      <c r="C907" t="s">
        <v>844</v>
      </c>
      <c r="D907">
        <v>-54.86</v>
      </c>
      <c r="E907" t="s">
        <v>10</v>
      </c>
      <c r="F907">
        <v>3597.27</v>
      </c>
      <c r="G907" t="str" cm="1">
        <f t="array" ref="G907">IF(AND(ISNUMBER(SEARCH("UBER",C907)),ISNUMBER(SEARCH("EATS",C907))),"Uber Eats",IF(LEFT(C907,6)="CHECK ","Checks Paid",IF(OR(E907="BILLPAY",ISNUMBER(SEARCH("FRANCHISE TAX",C907)),ISNUMBER(SEARCH("NEXTLINK",C907))),"Personal - House Bills",IF(AND(ISNUMBER(SEARCH("PAYMENT FROM",C907)),ISNUMBER(SEARCH("JOE SAUNDERS",C907))),"Zelle from Joe Saunders",IF(AND(ISNUMBER(SEARCH("PAYMENT TO",C907)),ISNUMBER(SEARCH("JOE SAUNDERS",C907))),"Zelle to Joe Saunders",IF(OR(ISNUMBER(SEARCH("NEW ORLEANS",C907)),ISNUMBER(SEARCH("KENNER",C907)),ISNUMBER(SEARCH("HENRY HOWARD",C907)),ISNUMBER(SEARCH("MISS CLAUDIA",C907))),"Personal Travel - New Orleans",IF(AND(YEAR(B907)=2025,MONTH(B907)=4,OR(ISNUMBER(SEARCH("EXCHANGE RATE",C907)),ISNUMBER(SEARCH("EXCHG RTE",C907)))),"Personal Travel - Italy",IFERROR(INDEX('Category Rules'!$B$2:$B$358,MATCH(TRUE,ISNUMBER(SEARCH('Category Rules'!$A$2:$A$358,C907)),0)),""))))))))</f>
        <v>Amazon</v>
      </c>
    </row>
    <row r="908" spans="1:7" x14ac:dyDescent="0.25">
      <c r="A908" t="s">
        <v>6</v>
      </c>
      <c r="B908" s="1">
        <v>45895</v>
      </c>
      <c r="C908" t="s">
        <v>845</v>
      </c>
      <c r="D908">
        <v>-22.9</v>
      </c>
      <c r="E908" t="s">
        <v>10</v>
      </c>
      <c r="F908">
        <v>3652.13</v>
      </c>
      <c r="G908" t="str" cm="1">
        <f t="array" ref="G908">IF(AND(ISNUMBER(SEARCH("UBER",C908)),ISNUMBER(SEARCH("EATS",C908))),"Uber Eats",IF(LEFT(C908,6)="CHECK ","Checks Paid",IF(OR(E908="BILLPAY",ISNUMBER(SEARCH("FRANCHISE TAX",C908)),ISNUMBER(SEARCH("NEXTLINK",C908))),"Personal - House Bills",IF(AND(ISNUMBER(SEARCH("PAYMENT FROM",C908)),ISNUMBER(SEARCH("JOE SAUNDERS",C908))),"Zelle from Joe Saunders",IF(AND(ISNUMBER(SEARCH("PAYMENT TO",C908)),ISNUMBER(SEARCH("JOE SAUNDERS",C908))),"Zelle to Joe Saunders",IF(OR(ISNUMBER(SEARCH("NEW ORLEANS",C908)),ISNUMBER(SEARCH("KENNER",C908)),ISNUMBER(SEARCH("HENRY HOWARD",C908)),ISNUMBER(SEARCH("MISS CLAUDIA",C908))),"Personal Travel - New Orleans",IF(AND(YEAR(B908)=2025,MONTH(B908)=4,OR(ISNUMBER(SEARCH("EXCHANGE RATE",C908)),ISNUMBER(SEARCH("EXCHG RTE",C908)))),"Personal Travel - Italy",IFERROR(INDEX('Category Rules'!$B$2:$B$358,MATCH(TRUE,ISNUMBER(SEARCH('Category Rules'!$A$2:$A$358,C908)),0)),""))))))))</f>
        <v>Personal - Food</v>
      </c>
    </row>
    <row r="909" spans="1:7" x14ac:dyDescent="0.25">
      <c r="A909" t="s">
        <v>6</v>
      </c>
      <c r="B909" s="1">
        <v>45895</v>
      </c>
      <c r="C909" t="s">
        <v>846</v>
      </c>
      <c r="D909">
        <v>-2040</v>
      </c>
      <c r="E909" t="s">
        <v>10</v>
      </c>
      <c r="F909">
        <v>3675.03</v>
      </c>
      <c r="G909" t="str" cm="1">
        <f t="array" ref="G909">IF(AND(ISNUMBER(SEARCH("UBER",C909)),ISNUMBER(SEARCH("EATS",C909))),"Uber Eats",IF(LEFT(C909,6)="CHECK ","Checks Paid",IF(OR(E909="BILLPAY",ISNUMBER(SEARCH("FRANCHISE TAX",C909)),ISNUMBER(SEARCH("NEXTLINK",C909))),"Personal - House Bills",IF(AND(ISNUMBER(SEARCH("PAYMENT FROM",C909)),ISNUMBER(SEARCH("JOE SAUNDERS",C909))),"Zelle from Joe Saunders",IF(AND(ISNUMBER(SEARCH("PAYMENT TO",C909)),ISNUMBER(SEARCH("JOE SAUNDERS",C909))),"Zelle to Joe Saunders",IF(OR(ISNUMBER(SEARCH("NEW ORLEANS",C909)),ISNUMBER(SEARCH("KENNER",C909)),ISNUMBER(SEARCH("HENRY HOWARD",C909)),ISNUMBER(SEARCH("MISS CLAUDIA",C909))),"Personal Travel - New Orleans",IF(AND(YEAR(B909)=2025,MONTH(B909)=4,OR(ISNUMBER(SEARCH("EXCHANGE RATE",C909)),ISNUMBER(SEARCH("EXCHG RTE",C909)))),"Personal Travel - Italy",IFERROR(INDEX('Category Rules'!$B$2:$B$358,MATCH(TRUE,ISNUMBER(SEARCH('Category Rules'!$A$2:$A$358,C909)),0)),""))))))))</f>
        <v>Personal - Health</v>
      </c>
    </row>
    <row r="910" spans="1:7" x14ac:dyDescent="0.25">
      <c r="A910" t="s">
        <v>6</v>
      </c>
      <c r="B910" s="1">
        <v>45895</v>
      </c>
      <c r="C910" t="s">
        <v>847</v>
      </c>
      <c r="D910">
        <v>-172.73</v>
      </c>
      <c r="E910" t="s">
        <v>10</v>
      </c>
      <c r="F910">
        <v>5715.03</v>
      </c>
      <c r="G910" t="str" cm="1">
        <f t="array" ref="G910">IF(AND(ISNUMBER(SEARCH("UBER",C910)),ISNUMBER(SEARCH("EATS",C910))),"Uber Eats",IF(LEFT(C910,6)="CHECK ","Checks Paid",IF(OR(E910="BILLPAY",ISNUMBER(SEARCH("FRANCHISE TAX",C910)),ISNUMBER(SEARCH("NEXTLINK",C910))),"Personal - House Bills",IF(AND(ISNUMBER(SEARCH("PAYMENT FROM",C910)),ISNUMBER(SEARCH("JOE SAUNDERS",C910))),"Zelle from Joe Saunders",IF(AND(ISNUMBER(SEARCH("PAYMENT TO",C910)),ISNUMBER(SEARCH("JOE SAUNDERS",C910))),"Zelle to Joe Saunders",IF(OR(ISNUMBER(SEARCH("NEW ORLEANS",C910)),ISNUMBER(SEARCH("KENNER",C910)),ISNUMBER(SEARCH("HENRY HOWARD",C910)),ISNUMBER(SEARCH("MISS CLAUDIA",C910))),"Personal Travel - New Orleans",IF(AND(YEAR(B910)=2025,MONTH(B910)=4,OR(ISNUMBER(SEARCH("EXCHANGE RATE",C910)),ISNUMBER(SEARCH("EXCHG RTE",C910)))),"Personal Travel - Italy",IFERROR(INDEX('Category Rules'!$B$2:$B$358,MATCH(TRUE,ISNUMBER(SEARCH('Category Rules'!$A$2:$A$358,C910)),0)),""))))))))</f>
        <v>Personal - Health</v>
      </c>
    </row>
    <row r="911" spans="1:7" x14ac:dyDescent="0.25">
      <c r="A911" t="s">
        <v>6</v>
      </c>
      <c r="B911" s="1">
        <v>45895</v>
      </c>
      <c r="C911" t="s">
        <v>848</v>
      </c>
      <c r="D911">
        <v>-302</v>
      </c>
      <c r="E911" t="s">
        <v>10</v>
      </c>
      <c r="F911">
        <v>5887.76</v>
      </c>
      <c r="G911" t="str" cm="1">
        <f t="array" ref="G911">IF(AND(ISNUMBER(SEARCH("UBER",C911)),ISNUMBER(SEARCH("EATS",C911))),"Uber Eats",IF(LEFT(C911,6)="CHECK ","Checks Paid",IF(OR(E911="BILLPAY",ISNUMBER(SEARCH("FRANCHISE TAX",C911)),ISNUMBER(SEARCH("NEXTLINK",C911))),"Personal - House Bills",IF(AND(ISNUMBER(SEARCH("PAYMENT FROM",C911)),ISNUMBER(SEARCH("JOE SAUNDERS",C911))),"Zelle from Joe Saunders",IF(AND(ISNUMBER(SEARCH("PAYMENT TO",C911)),ISNUMBER(SEARCH("JOE SAUNDERS",C911))),"Zelle to Joe Saunders",IF(OR(ISNUMBER(SEARCH("NEW ORLEANS",C911)),ISNUMBER(SEARCH("KENNER",C911)),ISNUMBER(SEARCH("HENRY HOWARD",C911)),ISNUMBER(SEARCH("MISS CLAUDIA",C911))),"Personal Travel - New Orleans",IF(AND(YEAR(B911)=2025,MONTH(B911)=4,OR(ISNUMBER(SEARCH("EXCHANGE RATE",C911)),ISNUMBER(SEARCH("EXCHG RTE",C911)))),"Personal Travel - Italy",IFERROR(INDEX('Category Rules'!$B$2:$B$358,MATCH(TRUE,ISNUMBER(SEARCH('Category Rules'!$A$2:$A$358,C911)),0)),""))))))))</f>
        <v>Personal - Subscription</v>
      </c>
    </row>
    <row r="912" spans="1:7" x14ac:dyDescent="0.25">
      <c r="A912" t="s">
        <v>6</v>
      </c>
      <c r="B912" s="1">
        <v>45895</v>
      </c>
      <c r="C912" t="s">
        <v>849</v>
      </c>
      <c r="D912">
        <v>-40.36</v>
      </c>
      <c r="E912" t="s">
        <v>10</v>
      </c>
      <c r="F912">
        <v>6189.76</v>
      </c>
      <c r="G912" t="str" cm="1">
        <f t="array" ref="G912">IF(AND(ISNUMBER(SEARCH("UBER",C912)),ISNUMBER(SEARCH("EATS",C912))),"Uber Eats",IF(LEFT(C912,6)="CHECK ","Checks Paid",IF(OR(E912="BILLPAY",ISNUMBER(SEARCH("FRANCHISE TAX",C912)),ISNUMBER(SEARCH("NEXTLINK",C912))),"Personal - House Bills",IF(AND(ISNUMBER(SEARCH("PAYMENT FROM",C912)),ISNUMBER(SEARCH("JOE SAUNDERS",C912))),"Zelle from Joe Saunders",IF(AND(ISNUMBER(SEARCH("PAYMENT TO",C912)),ISNUMBER(SEARCH("JOE SAUNDERS",C912))),"Zelle to Joe Saunders",IF(OR(ISNUMBER(SEARCH("NEW ORLEANS",C912)),ISNUMBER(SEARCH("KENNER",C912)),ISNUMBER(SEARCH("HENRY HOWARD",C912)),ISNUMBER(SEARCH("MISS CLAUDIA",C912))),"Personal Travel - New Orleans",IF(AND(YEAR(B912)=2025,MONTH(B912)=4,OR(ISNUMBER(SEARCH("EXCHANGE RATE",C912)),ISNUMBER(SEARCH("EXCHG RTE",C912)))),"Personal Travel - Italy",IFERROR(INDEX('Category Rules'!$B$2:$B$358,MATCH(TRUE,ISNUMBER(SEARCH('Category Rules'!$A$2:$A$358,C912)),0)),""))))))))</f>
        <v>Amazon</v>
      </c>
    </row>
    <row r="913" spans="1:7" x14ac:dyDescent="0.25">
      <c r="A913" t="s">
        <v>44</v>
      </c>
      <c r="B913" s="1">
        <v>45895</v>
      </c>
      <c r="C913" t="s">
        <v>850</v>
      </c>
      <c r="D913">
        <v>2000</v>
      </c>
      <c r="E913" t="s">
        <v>73</v>
      </c>
      <c r="F913">
        <v>6230.12</v>
      </c>
      <c r="G913" t="str" cm="1">
        <f t="array" ref="G913">IF(AND(ISNUMBER(SEARCH("UBER",C913)),ISNUMBER(SEARCH("EATS",C913))),"Uber Eats",IF(LEFT(C913,6)="CHECK ","Checks Paid",IF(OR(E913="BILLPAY",ISNUMBER(SEARCH("FRANCHISE TAX",C913)),ISNUMBER(SEARCH("NEXTLINK",C913))),"Personal - House Bills",IF(AND(ISNUMBER(SEARCH("PAYMENT FROM",C913)),ISNUMBER(SEARCH("JOE SAUNDERS",C913))),"Zelle from Joe Saunders",IF(AND(ISNUMBER(SEARCH("PAYMENT TO",C913)),ISNUMBER(SEARCH("JOE SAUNDERS",C913))),"Zelle to Joe Saunders",IF(OR(ISNUMBER(SEARCH("NEW ORLEANS",C913)),ISNUMBER(SEARCH("KENNER",C913)),ISNUMBER(SEARCH("HENRY HOWARD",C913)),ISNUMBER(SEARCH("MISS CLAUDIA",C913))),"Personal Travel - New Orleans",IF(AND(YEAR(B913)=2025,MONTH(B913)=4,OR(ISNUMBER(SEARCH("EXCHANGE RATE",C913)),ISNUMBER(SEARCH("EXCHG RTE",C913)))),"Personal Travel - Italy",IFERROR(INDEX('Category Rules'!$B$2:$B$358,MATCH(TRUE,ISNUMBER(SEARCH('Category Rules'!$A$2:$A$358,C913)),0)),""))))))))</f>
        <v>Transfer from DWG Capital Group</v>
      </c>
    </row>
    <row r="914" spans="1:7" x14ac:dyDescent="0.25">
      <c r="A914" t="s">
        <v>6</v>
      </c>
      <c r="B914" s="1">
        <v>45894</v>
      </c>
      <c r="C914" t="s">
        <v>21</v>
      </c>
      <c r="D914">
        <v>-3</v>
      </c>
      <c r="E914" t="s">
        <v>8</v>
      </c>
      <c r="F914">
        <v>4230.12</v>
      </c>
      <c r="G914" t="str" cm="1">
        <f t="array" ref="G914">IF(AND(ISNUMBER(SEARCH("UBER",C914)),ISNUMBER(SEARCH("EATS",C914))),"Uber Eats",IF(LEFT(C914,6)="CHECK ","Checks Paid",IF(OR(E914="BILLPAY",ISNUMBER(SEARCH("FRANCHISE TAX",C914)),ISNUMBER(SEARCH("NEXTLINK",C914))),"Personal - House Bills",IF(AND(ISNUMBER(SEARCH("PAYMENT FROM",C914)),ISNUMBER(SEARCH("JOE SAUNDERS",C914))),"Zelle from Joe Saunders",IF(AND(ISNUMBER(SEARCH("PAYMENT TO",C914)),ISNUMBER(SEARCH("JOE SAUNDERS",C914))),"Zelle to Joe Saunders",IF(OR(ISNUMBER(SEARCH("NEW ORLEANS",C914)),ISNUMBER(SEARCH("KENNER",C914)),ISNUMBER(SEARCH("HENRY HOWARD",C914)),ISNUMBER(SEARCH("MISS CLAUDIA",C914))),"Personal Travel - New Orleans",IF(AND(YEAR(B914)=2025,MONTH(B914)=4,OR(ISNUMBER(SEARCH("EXCHANGE RATE",C914)),ISNUMBER(SEARCH("EXCHG RTE",C914)))),"Personal Travel - Italy",IFERROR(INDEX('Category Rules'!$B$2:$B$358,MATCH(TRUE,ISNUMBER(SEARCH('Category Rules'!$A$2:$A$358,C914)),0)),""))))))))</f>
        <v>Bank Fees</v>
      </c>
    </row>
    <row r="915" spans="1:7" x14ac:dyDescent="0.25">
      <c r="A915" t="s">
        <v>6</v>
      </c>
      <c r="B915" s="1">
        <v>45894</v>
      </c>
      <c r="C915" t="s">
        <v>851</v>
      </c>
      <c r="D915">
        <v>-38.409999999999997</v>
      </c>
      <c r="E915" t="s">
        <v>10</v>
      </c>
      <c r="F915">
        <v>4233.12</v>
      </c>
      <c r="G915" t="str" cm="1">
        <f t="array" ref="G915">IF(AND(ISNUMBER(SEARCH("UBER",C915)),ISNUMBER(SEARCH("EATS",C915))),"Uber Eats",IF(LEFT(C915,6)="CHECK ","Checks Paid",IF(OR(E915="BILLPAY",ISNUMBER(SEARCH("FRANCHISE TAX",C915)),ISNUMBER(SEARCH("NEXTLINK",C915))),"Personal - House Bills",IF(AND(ISNUMBER(SEARCH("PAYMENT FROM",C915)),ISNUMBER(SEARCH("JOE SAUNDERS",C915))),"Zelle from Joe Saunders",IF(AND(ISNUMBER(SEARCH("PAYMENT TO",C915)),ISNUMBER(SEARCH("JOE SAUNDERS",C915))),"Zelle to Joe Saunders",IF(OR(ISNUMBER(SEARCH("NEW ORLEANS",C915)),ISNUMBER(SEARCH("KENNER",C915)),ISNUMBER(SEARCH("HENRY HOWARD",C915)),ISNUMBER(SEARCH("MISS CLAUDIA",C915))),"Personal Travel - New Orleans",IF(AND(YEAR(B915)=2025,MONTH(B915)=4,OR(ISNUMBER(SEARCH("EXCHANGE RATE",C915)),ISNUMBER(SEARCH("EXCHG RTE",C915)))),"Personal Travel - Italy",IFERROR(INDEX('Category Rules'!$B$2:$B$358,MATCH(TRUE,ISNUMBER(SEARCH('Category Rules'!$A$2:$A$358,C915)),0)),""))))))))</f>
        <v>Personal - Shopping</v>
      </c>
    </row>
    <row r="916" spans="1:7" x14ac:dyDescent="0.25">
      <c r="A916" t="s">
        <v>6</v>
      </c>
      <c r="B916" s="1">
        <v>45894</v>
      </c>
      <c r="C916" t="s">
        <v>841</v>
      </c>
      <c r="D916">
        <v>-81.17</v>
      </c>
      <c r="E916" t="s">
        <v>10</v>
      </c>
      <c r="F916">
        <v>4271.53</v>
      </c>
      <c r="G916" t="str" cm="1">
        <f t="array" ref="G916">IF(AND(ISNUMBER(SEARCH("UBER",C916)),ISNUMBER(SEARCH("EATS",C916))),"Uber Eats",IF(LEFT(C916,6)="CHECK ","Checks Paid",IF(OR(E916="BILLPAY",ISNUMBER(SEARCH("FRANCHISE TAX",C916)),ISNUMBER(SEARCH("NEXTLINK",C916))),"Personal - House Bills",IF(AND(ISNUMBER(SEARCH("PAYMENT FROM",C916)),ISNUMBER(SEARCH("JOE SAUNDERS",C916))),"Zelle from Joe Saunders",IF(AND(ISNUMBER(SEARCH("PAYMENT TO",C916)),ISNUMBER(SEARCH("JOE SAUNDERS",C916))),"Zelle to Joe Saunders",IF(OR(ISNUMBER(SEARCH("NEW ORLEANS",C916)),ISNUMBER(SEARCH("KENNER",C916)),ISNUMBER(SEARCH("HENRY HOWARD",C916)),ISNUMBER(SEARCH("MISS CLAUDIA",C916))),"Personal Travel - New Orleans",IF(AND(YEAR(B916)=2025,MONTH(B916)=4,OR(ISNUMBER(SEARCH("EXCHANGE RATE",C916)),ISNUMBER(SEARCH("EXCHG RTE",C916)))),"Personal Travel - Italy",IFERROR(INDEX('Category Rules'!$B$2:$B$358,MATCH(TRUE,ISNUMBER(SEARCH('Category Rules'!$A$2:$A$358,C916)),0)),""))))))))</f>
        <v>Personal - Shopping</v>
      </c>
    </row>
    <row r="917" spans="1:7" x14ac:dyDescent="0.25">
      <c r="A917" t="s">
        <v>6</v>
      </c>
      <c r="B917" s="1">
        <v>45894</v>
      </c>
      <c r="C917" t="s">
        <v>852</v>
      </c>
      <c r="D917">
        <v>-403.5</v>
      </c>
      <c r="E917" t="s">
        <v>26</v>
      </c>
      <c r="F917">
        <v>4352.7</v>
      </c>
      <c r="G917" t="str" cm="1">
        <f t="array" ref="G917">IF(AND(ISNUMBER(SEARCH("UBER",C917)),ISNUMBER(SEARCH("EATS",C917))),"Uber Eats",IF(LEFT(C917,6)="CHECK ","Checks Paid",IF(OR(E917="BILLPAY",ISNUMBER(SEARCH("FRANCHISE TAX",C917)),ISNUMBER(SEARCH("NEXTLINK",C917))),"Personal - House Bills",IF(AND(ISNUMBER(SEARCH("PAYMENT FROM",C917)),ISNUMBER(SEARCH("JOE SAUNDERS",C917))),"Zelle from Joe Saunders",IF(AND(ISNUMBER(SEARCH("PAYMENT TO",C917)),ISNUMBER(SEARCH("JOE SAUNDERS",C917))),"Zelle to Joe Saunders",IF(OR(ISNUMBER(SEARCH("NEW ORLEANS",C917)),ISNUMBER(SEARCH("KENNER",C917)),ISNUMBER(SEARCH("HENRY HOWARD",C917)),ISNUMBER(SEARCH("MISS CLAUDIA",C917))),"Personal Travel - New Orleans",IF(AND(YEAR(B917)=2025,MONTH(B917)=4,OR(ISNUMBER(SEARCH("EXCHANGE RATE",C917)),ISNUMBER(SEARCH("EXCHG RTE",C917)))),"Personal Travel - Italy",IFERROR(INDEX('Category Rules'!$B$2:$B$358,MATCH(TRUE,ISNUMBER(SEARCH('Category Rules'!$A$2:$A$358,C917)),0)),""))))))))</f>
        <v>Withdrawal</v>
      </c>
    </row>
    <row r="918" spans="1:7" x14ac:dyDescent="0.25">
      <c r="A918" t="s">
        <v>6</v>
      </c>
      <c r="B918" s="1">
        <v>45894</v>
      </c>
      <c r="C918" t="s">
        <v>853</v>
      </c>
      <c r="D918">
        <v>-136.01</v>
      </c>
      <c r="E918" t="s">
        <v>10</v>
      </c>
      <c r="F918">
        <v>4756.2</v>
      </c>
      <c r="G918" t="str" cm="1">
        <f t="array" ref="G918">IF(AND(ISNUMBER(SEARCH("UBER",C918)),ISNUMBER(SEARCH("EATS",C918))),"Uber Eats",IF(LEFT(C918,6)="CHECK ","Checks Paid",IF(OR(E918="BILLPAY",ISNUMBER(SEARCH("FRANCHISE TAX",C918)),ISNUMBER(SEARCH("NEXTLINK",C918))),"Personal - House Bills",IF(AND(ISNUMBER(SEARCH("PAYMENT FROM",C918)),ISNUMBER(SEARCH("JOE SAUNDERS",C918))),"Zelle from Joe Saunders",IF(AND(ISNUMBER(SEARCH("PAYMENT TO",C918)),ISNUMBER(SEARCH("JOE SAUNDERS",C918))),"Zelle to Joe Saunders",IF(OR(ISNUMBER(SEARCH("NEW ORLEANS",C918)),ISNUMBER(SEARCH("KENNER",C918)),ISNUMBER(SEARCH("HENRY HOWARD",C918)),ISNUMBER(SEARCH("MISS CLAUDIA",C918))),"Personal Travel - New Orleans",IF(AND(YEAR(B918)=2025,MONTH(B918)=4,OR(ISNUMBER(SEARCH("EXCHANGE RATE",C918)),ISNUMBER(SEARCH("EXCHG RTE",C918)))),"Personal Travel - Italy",IFERROR(INDEX('Category Rules'!$B$2:$B$358,MATCH(TRUE,ISNUMBER(SEARCH('Category Rules'!$A$2:$A$358,C918)),0)),""))))))))</f>
        <v>Personal - Health</v>
      </c>
    </row>
    <row r="919" spans="1:7" x14ac:dyDescent="0.25">
      <c r="A919" t="s">
        <v>6</v>
      </c>
      <c r="B919" s="1">
        <v>45894</v>
      </c>
      <c r="C919" t="s">
        <v>854</v>
      </c>
      <c r="D919">
        <v>-96.96</v>
      </c>
      <c r="E919" t="s">
        <v>10</v>
      </c>
      <c r="F919">
        <v>4892.21</v>
      </c>
      <c r="G919" t="str" cm="1">
        <f t="array" ref="G919">IF(AND(ISNUMBER(SEARCH("UBER",C919)),ISNUMBER(SEARCH("EATS",C919))),"Uber Eats",IF(LEFT(C919,6)="CHECK ","Checks Paid",IF(OR(E919="BILLPAY",ISNUMBER(SEARCH("FRANCHISE TAX",C919)),ISNUMBER(SEARCH("NEXTLINK",C919))),"Personal - House Bills",IF(AND(ISNUMBER(SEARCH("PAYMENT FROM",C919)),ISNUMBER(SEARCH("JOE SAUNDERS",C919))),"Zelle from Joe Saunders",IF(AND(ISNUMBER(SEARCH("PAYMENT TO",C919)),ISNUMBER(SEARCH("JOE SAUNDERS",C919))),"Zelle to Joe Saunders",IF(OR(ISNUMBER(SEARCH("NEW ORLEANS",C919)),ISNUMBER(SEARCH("KENNER",C919)),ISNUMBER(SEARCH("HENRY HOWARD",C919)),ISNUMBER(SEARCH("MISS CLAUDIA",C919))),"Personal Travel - New Orleans",IF(AND(YEAR(B919)=2025,MONTH(B919)=4,OR(ISNUMBER(SEARCH("EXCHANGE RATE",C919)),ISNUMBER(SEARCH("EXCHG RTE",C919)))),"Personal Travel - Italy",IFERROR(INDEX('Category Rules'!$B$2:$B$358,MATCH(TRUE,ISNUMBER(SEARCH('Category Rules'!$A$2:$A$358,C919)),0)),""))))))))</f>
        <v>Uber Eats</v>
      </c>
    </row>
    <row r="920" spans="1:7" x14ac:dyDescent="0.25">
      <c r="A920" t="s">
        <v>6</v>
      </c>
      <c r="B920" s="1">
        <v>45894</v>
      </c>
      <c r="C920" t="s">
        <v>855</v>
      </c>
      <c r="D920">
        <v>-15</v>
      </c>
      <c r="E920" t="s">
        <v>10</v>
      </c>
      <c r="F920">
        <v>4989.17</v>
      </c>
      <c r="G920" t="str" cm="1">
        <f t="array" ref="G920">IF(AND(ISNUMBER(SEARCH("UBER",C920)),ISNUMBER(SEARCH("EATS",C920))),"Uber Eats",IF(LEFT(C920,6)="CHECK ","Checks Paid",IF(OR(E920="BILLPAY",ISNUMBER(SEARCH("FRANCHISE TAX",C920)),ISNUMBER(SEARCH("NEXTLINK",C920))),"Personal - House Bills",IF(AND(ISNUMBER(SEARCH("PAYMENT FROM",C920)),ISNUMBER(SEARCH("JOE SAUNDERS",C920))),"Zelle from Joe Saunders",IF(AND(ISNUMBER(SEARCH("PAYMENT TO",C920)),ISNUMBER(SEARCH("JOE SAUNDERS",C920))),"Zelle to Joe Saunders",IF(OR(ISNUMBER(SEARCH("NEW ORLEANS",C920)),ISNUMBER(SEARCH("KENNER",C920)),ISNUMBER(SEARCH("HENRY HOWARD",C920)),ISNUMBER(SEARCH("MISS CLAUDIA",C920))),"Personal Travel - New Orleans",IF(AND(YEAR(B920)=2025,MONTH(B920)=4,OR(ISNUMBER(SEARCH("EXCHANGE RATE",C920)),ISNUMBER(SEARCH("EXCHG RTE",C920)))),"Personal Travel - Italy",IFERROR(INDEX('Category Rules'!$B$2:$B$358,MATCH(TRUE,ISNUMBER(SEARCH('Category Rules'!$A$2:$A$358,C920)),0)),""))))))))</f>
        <v>Personal - Subscription</v>
      </c>
    </row>
    <row r="921" spans="1:7" x14ac:dyDescent="0.25">
      <c r="A921" t="s">
        <v>6</v>
      </c>
      <c r="B921" s="1">
        <v>45894</v>
      </c>
      <c r="C921" t="s">
        <v>856</v>
      </c>
      <c r="D921">
        <v>-16.45</v>
      </c>
      <c r="E921" t="s">
        <v>10</v>
      </c>
      <c r="F921">
        <v>5004.17</v>
      </c>
      <c r="G921" t="str" cm="1">
        <f t="array" ref="G921">IF(AND(ISNUMBER(SEARCH("UBER",C921)),ISNUMBER(SEARCH("EATS",C921))),"Uber Eats",IF(LEFT(C921,6)="CHECK ","Checks Paid",IF(OR(E921="BILLPAY",ISNUMBER(SEARCH("FRANCHISE TAX",C921)),ISNUMBER(SEARCH("NEXTLINK",C921))),"Personal - House Bills",IF(AND(ISNUMBER(SEARCH("PAYMENT FROM",C921)),ISNUMBER(SEARCH("JOE SAUNDERS",C921))),"Zelle from Joe Saunders",IF(AND(ISNUMBER(SEARCH("PAYMENT TO",C921)),ISNUMBER(SEARCH("JOE SAUNDERS",C921))),"Zelle to Joe Saunders",IF(OR(ISNUMBER(SEARCH("NEW ORLEANS",C921)),ISNUMBER(SEARCH("KENNER",C921)),ISNUMBER(SEARCH("HENRY HOWARD",C921)),ISNUMBER(SEARCH("MISS CLAUDIA",C921))),"Personal Travel - New Orleans",IF(AND(YEAR(B921)=2025,MONTH(B921)=4,OR(ISNUMBER(SEARCH("EXCHANGE RATE",C921)),ISNUMBER(SEARCH("EXCHG RTE",C921)))),"Personal Travel - Italy",IFERROR(INDEX('Category Rules'!$B$2:$B$358,MATCH(TRUE,ISNUMBER(SEARCH('Category Rules'!$A$2:$A$358,C921)),0)),""))))))))</f>
        <v>Amazon</v>
      </c>
    </row>
    <row r="922" spans="1:7" x14ac:dyDescent="0.25">
      <c r="A922" t="s">
        <v>6</v>
      </c>
      <c r="B922" s="1">
        <v>45894</v>
      </c>
      <c r="C922" t="s">
        <v>857</v>
      </c>
      <c r="D922">
        <v>-500</v>
      </c>
      <c r="E922" t="s">
        <v>26</v>
      </c>
      <c r="F922">
        <v>5020.62</v>
      </c>
      <c r="G922" t="str" cm="1">
        <f t="array" ref="G922">IF(AND(ISNUMBER(SEARCH("UBER",C922)),ISNUMBER(SEARCH("EATS",C922))),"Uber Eats",IF(LEFT(C922,6)="CHECK ","Checks Paid",IF(OR(E922="BILLPAY",ISNUMBER(SEARCH("FRANCHISE TAX",C922)),ISNUMBER(SEARCH("NEXTLINK",C922))),"Personal - House Bills",IF(AND(ISNUMBER(SEARCH("PAYMENT FROM",C922)),ISNUMBER(SEARCH("JOE SAUNDERS",C922))),"Zelle from Joe Saunders",IF(AND(ISNUMBER(SEARCH("PAYMENT TO",C922)),ISNUMBER(SEARCH("JOE SAUNDERS",C922))),"Zelle to Joe Saunders",IF(OR(ISNUMBER(SEARCH("NEW ORLEANS",C922)),ISNUMBER(SEARCH("KENNER",C922)),ISNUMBER(SEARCH("HENRY HOWARD",C922)),ISNUMBER(SEARCH("MISS CLAUDIA",C922))),"Personal Travel - New Orleans",IF(AND(YEAR(B922)=2025,MONTH(B922)=4,OR(ISNUMBER(SEARCH("EXCHANGE RATE",C922)),ISNUMBER(SEARCH("EXCHG RTE",C922)))),"Personal Travel - Italy",IFERROR(INDEX('Category Rules'!$B$2:$B$358,MATCH(TRUE,ISNUMBER(SEARCH('Category Rules'!$A$2:$A$358,C922)),0)),""))))))))</f>
        <v>Withdrawal</v>
      </c>
    </row>
    <row r="923" spans="1:7" x14ac:dyDescent="0.25">
      <c r="A923" t="s">
        <v>6</v>
      </c>
      <c r="B923" s="1">
        <v>45894</v>
      </c>
      <c r="C923" t="s">
        <v>858</v>
      </c>
      <c r="D923">
        <v>-579.33000000000004</v>
      </c>
      <c r="E923" t="s">
        <v>10</v>
      </c>
      <c r="F923">
        <v>5520.62</v>
      </c>
      <c r="G923" t="str" cm="1">
        <f t="array" ref="G923">IF(AND(ISNUMBER(SEARCH("UBER",C923)),ISNUMBER(SEARCH("EATS",C923))),"Uber Eats",IF(LEFT(C923,6)="CHECK ","Checks Paid",IF(OR(E923="BILLPAY",ISNUMBER(SEARCH("FRANCHISE TAX",C923)),ISNUMBER(SEARCH("NEXTLINK",C923))),"Personal - House Bills",IF(AND(ISNUMBER(SEARCH("PAYMENT FROM",C923)),ISNUMBER(SEARCH("JOE SAUNDERS",C923))),"Zelle from Joe Saunders",IF(AND(ISNUMBER(SEARCH("PAYMENT TO",C923)),ISNUMBER(SEARCH("JOE SAUNDERS",C923))),"Zelle to Joe Saunders",IF(OR(ISNUMBER(SEARCH("NEW ORLEANS",C923)),ISNUMBER(SEARCH("KENNER",C923)),ISNUMBER(SEARCH("HENRY HOWARD",C923)),ISNUMBER(SEARCH("MISS CLAUDIA",C923))),"Personal Travel - New Orleans",IF(AND(YEAR(B923)=2025,MONTH(B923)=4,OR(ISNUMBER(SEARCH("EXCHANGE RATE",C923)),ISNUMBER(SEARCH("EXCHG RTE",C923)))),"Personal Travel - Italy",IFERROR(INDEX('Category Rules'!$B$2:$B$358,MATCH(TRUE,ISNUMBER(SEARCH('Category Rules'!$A$2:$A$358,C923)),0)),""))))))))</f>
        <v>AT&amp;T</v>
      </c>
    </row>
    <row r="924" spans="1:7" x14ac:dyDescent="0.25">
      <c r="A924" t="s">
        <v>6</v>
      </c>
      <c r="B924" s="1">
        <v>45894</v>
      </c>
      <c r="C924" t="s">
        <v>859</v>
      </c>
      <c r="D924">
        <v>-197.15</v>
      </c>
      <c r="E924" t="s">
        <v>10</v>
      </c>
      <c r="F924">
        <v>6099.95</v>
      </c>
      <c r="G924" t="str" cm="1">
        <f t="array" ref="G924">IF(AND(ISNUMBER(SEARCH("UBER",C924)),ISNUMBER(SEARCH("EATS",C924))),"Uber Eats",IF(LEFT(C924,6)="CHECK ","Checks Paid",IF(OR(E924="BILLPAY",ISNUMBER(SEARCH("FRANCHISE TAX",C924)),ISNUMBER(SEARCH("NEXTLINK",C924))),"Personal - House Bills",IF(AND(ISNUMBER(SEARCH("PAYMENT FROM",C924)),ISNUMBER(SEARCH("JOE SAUNDERS",C924))),"Zelle from Joe Saunders",IF(AND(ISNUMBER(SEARCH("PAYMENT TO",C924)),ISNUMBER(SEARCH("JOE SAUNDERS",C924))),"Zelle to Joe Saunders",IF(OR(ISNUMBER(SEARCH("NEW ORLEANS",C924)),ISNUMBER(SEARCH("KENNER",C924)),ISNUMBER(SEARCH("HENRY HOWARD",C924)),ISNUMBER(SEARCH("MISS CLAUDIA",C924))),"Personal Travel - New Orleans",IF(AND(YEAR(B924)=2025,MONTH(B924)=4,OR(ISNUMBER(SEARCH("EXCHANGE RATE",C924)),ISNUMBER(SEARCH("EXCHG RTE",C924)))),"Personal Travel - Italy",IFERROR(INDEX('Category Rules'!$B$2:$B$358,MATCH(TRUE,ISNUMBER(SEARCH('Category Rules'!$A$2:$A$358,C924)),0)),""))))))))</f>
        <v>Personal - Health</v>
      </c>
    </row>
    <row r="925" spans="1:7" x14ac:dyDescent="0.25">
      <c r="A925" t="s">
        <v>6</v>
      </c>
      <c r="B925" s="1">
        <v>45894</v>
      </c>
      <c r="C925" t="s">
        <v>860</v>
      </c>
      <c r="D925">
        <v>-150</v>
      </c>
      <c r="E925" t="s">
        <v>10</v>
      </c>
      <c r="F925">
        <v>6297.1</v>
      </c>
      <c r="G925" t="str" cm="1">
        <f t="array" ref="G925">IF(AND(ISNUMBER(SEARCH("UBER",C925)),ISNUMBER(SEARCH("EATS",C925))),"Uber Eats",IF(LEFT(C925,6)="CHECK ","Checks Paid",IF(OR(E925="BILLPAY",ISNUMBER(SEARCH("FRANCHISE TAX",C925)),ISNUMBER(SEARCH("NEXTLINK",C925))),"Personal - House Bills",IF(AND(ISNUMBER(SEARCH("PAYMENT FROM",C925)),ISNUMBER(SEARCH("JOE SAUNDERS",C925))),"Zelle from Joe Saunders",IF(AND(ISNUMBER(SEARCH("PAYMENT TO",C925)),ISNUMBER(SEARCH("JOE SAUNDERS",C925))),"Zelle to Joe Saunders",IF(OR(ISNUMBER(SEARCH("NEW ORLEANS",C925)),ISNUMBER(SEARCH("KENNER",C925)),ISNUMBER(SEARCH("HENRY HOWARD",C925)),ISNUMBER(SEARCH("MISS CLAUDIA",C925))),"Personal Travel - New Orleans",IF(AND(YEAR(B925)=2025,MONTH(B925)=4,OR(ISNUMBER(SEARCH("EXCHANGE RATE",C925)),ISNUMBER(SEARCH("EXCHG RTE",C925)))),"Personal Travel - Italy",IFERROR(INDEX('Category Rules'!$B$2:$B$358,MATCH(TRUE,ISNUMBER(SEARCH('Category Rules'!$A$2:$A$358,C925)),0)),""))))))))</f>
        <v>Personal - Entertainment</v>
      </c>
    </row>
    <row r="926" spans="1:7" x14ac:dyDescent="0.25">
      <c r="A926" t="s">
        <v>6</v>
      </c>
      <c r="B926" s="1">
        <v>45894</v>
      </c>
      <c r="C926" t="s">
        <v>860</v>
      </c>
      <c r="D926">
        <v>-79.64</v>
      </c>
      <c r="E926" t="s">
        <v>10</v>
      </c>
      <c r="F926">
        <v>6447.1</v>
      </c>
      <c r="G926" t="str" cm="1">
        <f t="array" ref="G926">IF(AND(ISNUMBER(SEARCH("UBER",C926)),ISNUMBER(SEARCH("EATS",C926))),"Uber Eats",IF(LEFT(C926,6)="CHECK ","Checks Paid",IF(OR(E926="BILLPAY",ISNUMBER(SEARCH("FRANCHISE TAX",C926)),ISNUMBER(SEARCH("NEXTLINK",C926))),"Personal - House Bills",IF(AND(ISNUMBER(SEARCH("PAYMENT FROM",C926)),ISNUMBER(SEARCH("JOE SAUNDERS",C926))),"Zelle from Joe Saunders",IF(AND(ISNUMBER(SEARCH("PAYMENT TO",C926)),ISNUMBER(SEARCH("JOE SAUNDERS",C926))),"Zelle to Joe Saunders",IF(OR(ISNUMBER(SEARCH("NEW ORLEANS",C926)),ISNUMBER(SEARCH("KENNER",C926)),ISNUMBER(SEARCH("HENRY HOWARD",C926)),ISNUMBER(SEARCH("MISS CLAUDIA",C926))),"Personal Travel - New Orleans",IF(AND(YEAR(B926)=2025,MONTH(B926)=4,OR(ISNUMBER(SEARCH("EXCHANGE RATE",C926)),ISNUMBER(SEARCH("EXCHG RTE",C926)))),"Personal Travel - Italy",IFERROR(INDEX('Category Rules'!$B$2:$B$358,MATCH(TRUE,ISNUMBER(SEARCH('Category Rules'!$A$2:$A$358,C926)),0)),""))))))))</f>
        <v>Personal - Entertainment</v>
      </c>
    </row>
    <row r="927" spans="1:7" x14ac:dyDescent="0.25">
      <c r="A927" t="s">
        <v>6</v>
      </c>
      <c r="B927" s="1">
        <v>45894</v>
      </c>
      <c r="C927" t="s">
        <v>861</v>
      </c>
      <c r="D927">
        <v>-24.13</v>
      </c>
      <c r="E927" t="s">
        <v>10</v>
      </c>
      <c r="F927">
        <v>6526.74</v>
      </c>
      <c r="G927" t="str" cm="1">
        <f t="array" ref="G927">IF(AND(ISNUMBER(SEARCH("UBER",C927)),ISNUMBER(SEARCH("EATS",C927))),"Uber Eats",IF(LEFT(C927,6)="CHECK ","Checks Paid",IF(OR(E927="BILLPAY",ISNUMBER(SEARCH("FRANCHISE TAX",C927)),ISNUMBER(SEARCH("NEXTLINK",C927))),"Personal - House Bills",IF(AND(ISNUMBER(SEARCH("PAYMENT FROM",C927)),ISNUMBER(SEARCH("JOE SAUNDERS",C927))),"Zelle from Joe Saunders",IF(AND(ISNUMBER(SEARCH("PAYMENT TO",C927)),ISNUMBER(SEARCH("JOE SAUNDERS",C927))),"Zelle to Joe Saunders",IF(OR(ISNUMBER(SEARCH("NEW ORLEANS",C927)),ISNUMBER(SEARCH("KENNER",C927)),ISNUMBER(SEARCH("HENRY HOWARD",C927)),ISNUMBER(SEARCH("MISS CLAUDIA",C927))),"Personal Travel - New Orleans",IF(AND(YEAR(B927)=2025,MONTH(B927)=4,OR(ISNUMBER(SEARCH("EXCHANGE RATE",C927)),ISNUMBER(SEARCH("EXCHG RTE",C927)))),"Personal Travel - Italy",IFERROR(INDEX('Category Rules'!$B$2:$B$358,MATCH(TRUE,ISNUMBER(SEARCH('Category Rules'!$A$2:$A$358,C927)),0)),""))))))))</f>
        <v>Amazon</v>
      </c>
    </row>
    <row r="928" spans="1:7" x14ac:dyDescent="0.25">
      <c r="A928" t="s">
        <v>6</v>
      </c>
      <c r="B928" s="1">
        <v>45894</v>
      </c>
      <c r="C928" t="s">
        <v>862</v>
      </c>
      <c r="D928">
        <v>-44.26</v>
      </c>
      <c r="E928" t="s">
        <v>10</v>
      </c>
      <c r="F928">
        <v>6550.87</v>
      </c>
      <c r="G928" t="str" cm="1">
        <f t="array" ref="G928">IF(AND(ISNUMBER(SEARCH("UBER",C928)),ISNUMBER(SEARCH("EATS",C928))),"Uber Eats",IF(LEFT(C928,6)="CHECK ","Checks Paid",IF(OR(E928="BILLPAY",ISNUMBER(SEARCH("FRANCHISE TAX",C928)),ISNUMBER(SEARCH("NEXTLINK",C928))),"Personal - House Bills",IF(AND(ISNUMBER(SEARCH("PAYMENT FROM",C928)),ISNUMBER(SEARCH("JOE SAUNDERS",C928))),"Zelle from Joe Saunders",IF(AND(ISNUMBER(SEARCH("PAYMENT TO",C928)),ISNUMBER(SEARCH("JOE SAUNDERS",C928))),"Zelle to Joe Saunders",IF(OR(ISNUMBER(SEARCH("NEW ORLEANS",C928)),ISNUMBER(SEARCH("KENNER",C928)),ISNUMBER(SEARCH("HENRY HOWARD",C928)),ISNUMBER(SEARCH("MISS CLAUDIA",C928))),"Personal Travel - New Orleans",IF(AND(YEAR(B928)=2025,MONTH(B928)=4,OR(ISNUMBER(SEARCH("EXCHANGE RATE",C928)),ISNUMBER(SEARCH("EXCHG RTE",C928)))),"Personal Travel - Italy",IFERROR(INDEX('Category Rules'!$B$2:$B$358,MATCH(TRUE,ISNUMBER(SEARCH('Category Rules'!$A$2:$A$358,C928)),0)),""))))))))</f>
        <v>Personal - Uber</v>
      </c>
    </row>
    <row r="929" spans="1:7" x14ac:dyDescent="0.25">
      <c r="A929" t="s">
        <v>6</v>
      </c>
      <c r="B929" s="1">
        <v>45894</v>
      </c>
      <c r="C929" t="s">
        <v>863</v>
      </c>
      <c r="D929">
        <v>-10.99</v>
      </c>
      <c r="E929" t="s">
        <v>10</v>
      </c>
      <c r="F929">
        <v>6595.13</v>
      </c>
      <c r="G929" t="str" cm="1">
        <f t="array" ref="G929">IF(AND(ISNUMBER(SEARCH("UBER",C929)),ISNUMBER(SEARCH("EATS",C929))),"Uber Eats",IF(LEFT(C929,6)="CHECK ","Checks Paid",IF(OR(E929="BILLPAY",ISNUMBER(SEARCH("FRANCHISE TAX",C929)),ISNUMBER(SEARCH("NEXTLINK",C929))),"Personal - House Bills",IF(AND(ISNUMBER(SEARCH("PAYMENT FROM",C929)),ISNUMBER(SEARCH("JOE SAUNDERS",C929))),"Zelle from Joe Saunders",IF(AND(ISNUMBER(SEARCH("PAYMENT TO",C929)),ISNUMBER(SEARCH("JOE SAUNDERS",C929))),"Zelle to Joe Saunders",IF(OR(ISNUMBER(SEARCH("NEW ORLEANS",C929)),ISNUMBER(SEARCH("KENNER",C929)),ISNUMBER(SEARCH("HENRY HOWARD",C929)),ISNUMBER(SEARCH("MISS CLAUDIA",C929))),"Personal Travel - New Orleans",IF(AND(YEAR(B929)=2025,MONTH(B929)=4,OR(ISNUMBER(SEARCH("EXCHANGE RATE",C929)),ISNUMBER(SEARCH("EXCHG RTE",C929)))),"Personal Travel - Italy",IFERROR(INDEX('Category Rules'!$B$2:$B$358,MATCH(TRUE,ISNUMBER(SEARCH('Category Rules'!$A$2:$A$358,C929)),0)),""))))))))</f>
        <v>Apple</v>
      </c>
    </row>
    <row r="930" spans="1:7" x14ac:dyDescent="0.25">
      <c r="A930" t="s">
        <v>6</v>
      </c>
      <c r="B930" s="1">
        <v>45894</v>
      </c>
      <c r="C930" t="s">
        <v>864</v>
      </c>
      <c r="D930">
        <v>-20</v>
      </c>
      <c r="E930" t="s">
        <v>10</v>
      </c>
      <c r="F930">
        <v>6606.12</v>
      </c>
      <c r="G930" t="str" cm="1">
        <f t="array" ref="G930">IF(AND(ISNUMBER(SEARCH("UBER",C930)),ISNUMBER(SEARCH("EATS",C930))),"Uber Eats",IF(LEFT(C930,6)="CHECK ","Checks Paid",IF(OR(E930="BILLPAY",ISNUMBER(SEARCH("FRANCHISE TAX",C930)),ISNUMBER(SEARCH("NEXTLINK",C930))),"Personal - House Bills",IF(AND(ISNUMBER(SEARCH("PAYMENT FROM",C930)),ISNUMBER(SEARCH("JOE SAUNDERS",C930))),"Zelle from Joe Saunders",IF(AND(ISNUMBER(SEARCH("PAYMENT TO",C930)),ISNUMBER(SEARCH("JOE SAUNDERS",C930))),"Zelle to Joe Saunders",IF(OR(ISNUMBER(SEARCH("NEW ORLEANS",C930)),ISNUMBER(SEARCH("KENNER",C930)),ISNUMBER(SEARCH("HENRY HOWARD",C930)),ISNUMBER(SEARCH("MISS CLAUDIA",C930))),"Personal Travel - New Orleans",IF(AND(YEAR(B930)=2025,MONTH(B930)=4,OR(ISNUMBER(SEARCH("EXCHANGE RATE",C930)),ISNUMBER(SEARCH("EXCHG RTE",C930)))),"Personal Travel - Italy",IFERROR(INDEX('Category Rules'!$B$2:$B$358,MATCH(TRUE,ISNUMBER(SEARCH('Category Rules'!$A$2:$A$358,C930)),0)),""))))))))</f>
        <v>Amazon</v>
      </c>
    </row>
    <row r="931" spans="1:7" x14ac:dyDescent="0.25">
      <c r="A931" t="s">
        <v>6</v>
      </c>
      <c r="B931" s="1">
        <v>45894</v>
      </c>
      <c r="C931" t="s">
        <v>865</v>
      </c>
      <c r="D931">
        <v>-157.80000000000001</v>
      </c>
      <c r="E931" t="s">
        <v>10</v>
      </c>
      <c r="F931">
        <v>6626.12</v>
      </c>
      <c r="G931" t="str" cm="1">
        <f t="array" ref="G931">IF(AND(ISNUMBER(SEARCH("UBER",C931)),ISNUMBER(SEARCH("EATS",C931))),"Uber Eats",IF(LEFT(C931,6)="CHECK ","Checks Paid",IF(OR(E931="BILLPAY",ISNUMBER(SEARCH("FRANCHISE TAX",C931)),ISNUMBER(SEARCH("NEXTLINK",C931))),"Personal - House Bills",IF(AND(ISNUMBER(SEARCH("PAYMENT FROM",C931)),ISNUMBER(SEARCH("JOE SAUNDERS",C931))),"Zelle from Joe Saunders",IF(AND(ISNUMBER(SEARCH("PAYMENT TO",C931)),ISNUMBER(SEARCH("JOE SAUNDERS",C931))),"Zelle to Joe Saunders",IF(OR(ISNUMBER(SEARCH("NEW ORLEANS",C931)),ISNUMBER(SEARCH("KENNER",C931)),ISNUMBER(SEARCH("HENRY HOWARD",C931)),ISNUMBER(SEARCH("MISS CLAUDIA",C931))),"Personal Travel - New Orleans",IF(AND(YEAR(B931)=2025,MONTH(B931)=4,OR(ISNUMBER(SEARCH("EXCHANGE RATE",C931)),ISNUMBER(SEARCH("EXCHG RTE",C931)))),"Personal Travel - Italy",IFERROR(INDEX('Category Rules'!$B$2:$B$358,MATCH(TRUE,ISNUMBER(SEARCH('Category Rules'!$A$2:$A$358,C931)),0)),""))))))))</f>
        <v>Personal - Shopping</v>
      </c>
    </row>
    <row r="932" spans="1:7" x14ac:dyDescent="0.25">
      <c r="A932" t="s">
        <v>6</v>
      </c>
      <c r="B932" s="1">
        <v>45894</v>
      </c>
      <c r="C932" t="s">
        <v>866</v>
      </c>
      <c r="D932">
        <v>-54.75</v>
      </c>
      <c r="E932" t="s">
        <v>10</v>
      </c>
      <c r="F932">
        <v>6783.92</v>
      </c>
      <c r="G932" t="str" cm="1">
        <f t="array" ref="G932">IF(AND(ISNUMBER(SEARCH("UBER",C932)),ISNUMBER(SEARCH("EATS",C932))),"Uber Eats",IF(LEFT(C932,6)="CHECK ","Checks Paid",IF(OR(E932="BILLPAY",ISNUMBER(SEARCH("FRANCHISE TAX",C932)),ISNUMBER(SEARCH("NEXTLINK",C932))),"Personal - House Bills",IF(AND(ISNUMBER(SEARCH("PAYMENT FROM",C932)),ISNUMBER(SEARCH("JOE SAUNDERS",C932))),"Zelle from Joe Saunders",IF(AND(ISNUMBER(SEARCH("PAYMENT TO",C932)),ISNUMBER(SEARCH("JOE SAUNDERS",C932))),"Zelle to Joe Saunders",IF(OR(ISNUMBER(SEARCH("NEW ORLEANS",C932)),ISNUMBER(SEARCH("KENNER",C932)),ISNUMBER(SEARCH("HENRY HOWARD",C932)),ISNUMBER(SEARCH("MISS CLAUDIA",C932))),"Personal Travel - New Orleans",IF(AND(YEAR(B932)=2025,MONTH(B932)=4,OR(ISNUMBER(SEARCH("EXCHANGE RATE",C932)),ISNUMBER(SEARCH("EXCHG RTE",C932)))),"Personal Travel - Italy",IFERROR(INDEX('Category Rules'!$B$2:$B$358,MATCH(TRUE,ISNUMBER(SEARCH('Category Rules'!$A$2:$A$358,C932)),0)),""))))))))</f>
        <v>Personal - Uber</v>
      </c>
    </row>
    <row r="933" spans="1:7" x14ac:dyDescent="0.25">
      <c r="A933" t="s">
        <v>6</v>
      </c>
      <c r="B933" s="1">
        <v>45894</v>
      </c>
      <c r="C933" t="s">
        <v>867</v>
      </c>
      <c r="D933">
        <v>-250.23</v>
      </c>
      <c r="E933" t="s">
        <v>10</v>
      </c>
      <c r="F933">
        <v>6838.67</v>
      </c>
      <c r="G933" t="str" cm="1">
        <f t="array" ref="G933">IF(AND(ISNUMBER(SEARCH("UBER",C933)),ISNUMBER(SEARCH("EATS",C933))),"Uber Eats",IF(LEFT(C933,6)="CHECK ","Checks Paid",IF(OR(E933="BILLPAY",ISNUMBER(SEARCH("FRANCHISE TAX",C933)),ISNUMBER(SEARCH("NEXTLINK",C933))),"Personal - House Bills",IF(AND(ISNUMBER(SEARCH("PAYMENT FROM",C933)),ISNUMBER(SEARCH("JOE SAUNDERS",C933))),"Zelle from Joe Saunders",IF(AND(ISNUMBER(SEARCH("PAYMENT TO",C933)),ISNUMBER(SEARCH("JOE SAUNDERS",C933))),"Zelle to Joe Saunders",IF(OR(ISNUMBER(SEARCH("NEW ORLEANS",C933)),ISNUMBER(SEARCH("KENNER",C933)),ISNUMBER(SEARCH("HENRY HOWARD",C933)),ISNUMBER(SEARCH("MISS CLAUDIA",C933))),"Personal Travel - New Orleans",IF(AND(YEAR(B933)=2025,MONTH(B933)=4,OR(ISNUMBER(SEARCH("EXCHANGE RATE",C933)),ISNUMBER(SEARCH("EXCHG RTE",C933)))),"Personal Travel - Italy",IFERROR(INDEX('Category Rules'!$B$2:$B$358,MATCH(TRUE,ISNUMBER(SEARCH('Category Rules'!$A$2:$A$358,C933)),0)),""))))))))</f>
        <v>Personal - Clothing</v>
      </c>
    </row>
    <row r="934" spans="1:7" x14ac:dyDescent="0.25">
      <c r="A934" t="s">
        <v>6</v>
      </c>
      <c r="B934" s="1">
        <v>45894</v>
      </c>
      <c r="C934" t="s">
        <v>868</v>
      </c>
      <c r="D934">
        <v>-20</v>
      </c>
      <c r="E934" t="s">
        <v>10</v>
      </c>
      <c r="F934">
        <v>7088.9</v>
      </c>
      <c r="G934" t="str" cm="1">
        <f t="array" ref="G934">IF(AND(ISNUMBER(SEARCH("UBER",C934)),ISNUMBER(SEARCH("EATS",C934))),"Uber Eats",IF(LEFT(C934,6)="CHECK ","Checks Paid",IF(OR(E934="BILLPAY",ISNUMBER(SEARCH("FRANCHISE TAX",C934)),ISNUMBER(SEARCH("NEXTLINK",C934))),"Personal - House Bills",IF(AND(ISNUMBER(SEARCH("PAYMENT FROM",C934)),ISNUMBER(SEARCH("JOE SAUNDERS",C934))),"Zelle from Joe Saunders",IF(AND(ISNUMBER(SEARCH("PAYMENT TO",C934)),ISNUMBER(SEARCH("JOE SAUNDERS",C934))),"Zelle to Joe Saunders",IF(OR(ISNUMBER(SEARCH("NEW ORLEANS",C934)),ISNUMBER(SEARCH("KENNER",C934)),ISNUMBER(SEARCH("HENRY HOWARD",C934)),ISNUMBER(SEARCH("MISS CLAUDIA",C934))),"Personal Travel - New Orleans",IF(AND(YEAR(B934)=2025,MONTH(B934)=4,OR(ISNUMBER(SEARCH("EXCHANGE RATE",C934)),ISNUMBER(SEARCH("EXCHG RTE",C934)))),"Personal Travel - Italy",IFERROR(INDEX('Category Rules'!$B$2:$B$358,MATCH(TRUE,ISNUMBER(SEARCH('Category Rules'!$A$2:$A$358,C934)),0)),""))))))))</f>
        <v>Amazon</v>
      </c>
    </row>
    <row r="935" spans="1:7" x14ac:dyDescent="0.25">
      <c r="A935" t="s">
        <v>6</v>
      </c>
      <c r="B935" s="1">
        <v>45894</v>
      </c>
      <c r="C935" t="s">
        <v>869</v>
      </c>
      <c r="D935">
        <v>-6.25</v>
      </c>
      <c r="E935" t="s">
        <v>10</v>
      </c>
      <c r="F935">
        <v>7108.9</v>
      </c>
      <c r="G935" t="str" cm="1">
        <f t="array" ref="G935">IF(AND(ISNUMBER(SEARCH("UBER",C935)),ISNUMBER(SEARCH("EATS",C935))),"Uber Eats",IF(LEFT(C935,6)="CHECK ","Checks Paid",IF(OR(E935="BILLPAY",ISNUMBER(SEARCH("FRANCHISE TAX",C935)),ISNUMBER(SEARCH("NEXTLINK",C935))),"Personal - House Bills",IF(AND(ISNUMBER(SEARCH("PAYMENT FROM",C935)),ISNUMBER(SEARCH("JOE SAUNDERS",C935))),"Zelle from Joe Saunders",IF(AND(ISNUMBER(SEARCH("PAYMENT TO",C935)),ISNUMBER(SEARCH("JOE SAUNDERS",C935))),"Zelle to Joe Saunders",IF(OR(ISNUMBER(SEARCH("NEW ORLEANS",C935)),ISNUMBER(SEARCH("KENNER",C935)),ISNUMBER(SEARCH("HENRY HOWARD",C935)),ISNUMBER(SEARCH("MISS CLAUDIA",C935))),"Personal Travel - New Orleans",IF(AND(YEAR(B935)=2025,MONTH(B935)=4,OR(ISNUMBER(SEARCH("EXCHANGE RATE",C935)),ISNUMBER(SEARCH("EXCHG RTE",C935)))),"Personal Travel - Italy",IFERROR(INDEX('Category Rules'!$B$2:$B$358,MATCH(TRUE,ISNUMBER(SEARCH('Category Rules'!$A$2:$A$358,C935)),0)),""))))))))</f>
        <v>Personal - Car</v>
      </c>
    </row>
    <row r="936" spans="1:7" x14ac:dyDescent="0.25">
      <c r="A936" t="s">
        <v>6</v>
      </c>
      <c r="B936" s="1">
        <v>45894</v>
      </c>
      <c r="C936" t="s">
        <v>870</v>
      </c>
      <c r="D936">
        <v>-183.73</v>
      </c>
      <c r="E936" t="s">
        <v>10</v>
      </c>
      <c r="F936">
        <v>7115.15</v>
      </c>
      <c r="G936" t="str" cm="1">
        <f t="array" ref="G936">IF(AND(ISNUMBER(SEARCH("UBER",C936)),ISNUMBER(SEARCH("EATS",C936))),"Uber Eats",IF(LEFT(C936,6)="CHECK ","Checks Paid",IF(OR(E936="BILLPAY",ISNUMBER(SEARCH("FRANCHISE TAX",C936)),ISNUMBER(SEARCH("NEXTLINK",C936))),"Personal - House Bills",IF(AND(ISNUMBER(SEARCH("PAYMENT FROM",C936)),ISNUMBER(SEARCH("JOE SAUNDERS",C936))),"Zelle from Joe Saunders",IF(AND(ISNUMBER(SEARCH("PAYMENT TO",C936)),ISNUMBER(SEARCH("JOE SAUNDERS",C936))),"Zelle to Joe Saunders",IF(OR(ISNUMBER(SEARCH("NEW ORLEANS",C936)),ISNUMBER(SEARCH("KENNER",C936)),ISNUMBER(SEARCH("HENRY HOWARD",C936)),ISNUMBER(SEARCH("MISS CLAUDIA",C936))),"Personal Travel - New Orleans",IF(AND(YEAR(B936)=2025,MONTH(B936)=4,OR(ISNUMBER(SEARCH("EXCHANGE RATE",C936)),ISNUMBER(SEARCH("EXCHG RTE",C936)))),"Personal Travel - Italy",IFERROR(INDEX('Category Rules'!$B$2:$B$358,MATCH(TRUE,ISNUMBER(SEARCH('Category Rules'!$A$2:$A$358,C936)),0)),""))))))))</f>
        <v>Personal - House Bills</v>
      </c>
    </row>
    <row r="937" spans="1:7" x14ac:dyDescent="0.25">
      <c r="A937" t="s">
        <v>6</v>
      </c>
      <c r="B937" s="1">
        <v>45894</v>
      </c>
      <c r="C937" t="s">
        <v>871</v>
      </c>
      <c r="D937">
        <v>-21</v>
      </c>
      <c r="E937" t="s">
        <v>10</v>
      </c>
      <c r="F937">
        <v>7298.88</v>
      </c>
      <c r="G937" t="str" cm="1">
        <f t="array" ref="G937">IF(AND(ISNUMBER(SEARCH("UBER",C937)),ISNUMBER(SEARCH("EATS",C937))),"Uber Eats",IF(LEFT(C937,6)="CHECK ","Checks Paid",IF(OR(E937="BILLPAY",ISNUMBER(SEARCH("FRANCHISE TAX",C937)),ISNUMBER(SEARCH("NEXTLINK",C937))),"Personal - House Bills",IF(AND(ISNUMBER(SEARCH("PAYMENT FROM",C937)),ISNUMBER(SEARCH("JOE SAUNDERS",C937))),"Zelle from Joe Saunders",IF(AND(ISNUMBER(SEARCH("PAYMENT TO",C937)),ISNUMBER(SEARCH("JOE SAUNDERS",C937))),"Zelle to Joe Saunders",IF(OR(ISNUMBER(SEARCH("NEW ORLEANS",C937)),ISNUMBER(SEARCH("KENNER",C937)),ISNUMBER(SEARCH("HENRY HOWARD",C937)),ISNUMBER(SEARCH("MISS CLAUDIA",C937))),"Personal Travel - New Orleans",IF(AND(YEAR(B937)=2025,MONTH(B937)=4,OR(ISNUMBER(SEARCH("EXCHANGE RATE",C937)),ISNUMBER(SEARCH("EXCHG RTE",C937)))),"Personal Travel - Italy",IFERROR(INDEX('Category Rules'!$B$2:$B$358,MATCH(TRUE,ISNUMBER(SEARCH('Category Rules'!$A$2:$A$358,C937)),0)),""))))))))</f>
        <v>Personal - Health</v>
      </c>
    </row>
    <row r="938" spans="1:7" x14ac:dyDescent="0.25">
      <c r="A938" t="s">
        <v>6</v>
      </c>
      <c r="B938" s="1">
        <v>45894</v>
      </c>
      <c r="C938" t="s">
        <v>872</v>
      </c>
      <c r="D938">
        <v>-153</v>
      </c>
      <c r="E938" t="s">
        <v>10</v>
      </c>
      <c r="F938">
        <v>7319.88</v>
      </c>
      <c r="G938" t="str" cm="1">
        <f t="array" ref="G938">IF(AND(ISNUMBER(SEARCH("UBER",C938)),ISNUMBER(SEARCH("EATS",C938))),"Uber Eats",IF(LEFT(C938,6)="CHECK ","Checks Paid",IF(OR(E938="BILLPAY",ISNUMBER(SEARCH("FRANCHISE TAX",C938)),ISNUMBER(SEARCH("NEXTLINK",C938))),"Personal - House Bills",IF(AND(ISNUMBER(SEARCH("PAYMENT FROM",C938)),ISNUMBER(SEARCH("JOE SAUNDERS",C938))),"Zelle from Joe Saunders",IF(AND(ISNUMBER(SEARCH("PAYMENT TO",C938)),ISNUMBER(SEARCH("JOE SAUNDERS",C938))),"Zelle to Joe Saunders",IF(OR(ISNUMBER(SEARCH("NEW ORLEANS",C938)),ISNUMBER(SEARCH("KENNER",C938)),ISNUMBER(SEARCH("HENRY HOWARD",C938)),ISNUMBER(SEARCH("MISS CLAUDIA",C938))),"Personal Travel - New Orleans",IF(AND(YEAR(B938)=2025,MONTH(B938)=4,OR(ISNUMBER(SEARCH("EXCHANGE RATE",C938)),ISNUMBER(SEARCH("EXCHG RTE",C938)))),"Personal Travel - Italy",IFERROR(INDEX('Category Rules'!$B$2:$B$358,MATCH(TRUE,ISNUMBER(SEARCH('Category Rules'!$A$2:$A$358,C938)),0)),""))))))))</f>
        <v>Personal - Entertainment</v>
      </c>
    </row>
    <row r="939" spans="1:7" x14ac:dyDescent="0.25">
      <c r="A939" t="s">
        <v>44</v>
      </c>
      <c r="B939" s="1">
        <v>45894</v>
      </c>
      <c r="C939" t="s">
        <v>873</v>
      </c>
      <c r="D939">
        <v>5000</v>
      </c>
      <c r="E939" t="s">
        <v>73</v>
      </c>
      <c r="F939">
        <v>7472.88</v>
      </c>
      <c r="G939" t="str" cm="1">
        <f t="array" ref="G939">IF(AND(ISNUMBER(SEARCH("UBER",C939)),ISNUMBER(SEARCH("EATS",C939))),"Uber Eats",IF(LEFT(C939,6)="CHECK ","Checks Paid",IF(OR(E939="BILLPAY",ISNUMBER(SEARCH("FRANCHISE TAX",C939)),ISNUMBER(SEARCH("NEXTLINK",C939))),"Personal - House Bills",IF(AND(ISNUMBER(SEARCH("PAYMENT FROM",C939)),ISNUMBER(SEARCH("JOE SAUNDERS",C939))),"Zelle from Joe Saunders",IF(AND(ISNUMBER(SEARCH("PAYMENT TO",C939)),ISNUMBER(SEARCH("JOE SAUNDERS",C939))),"Zelle to Joe Saunders",IF(OR(ISNUMBER(SEARCH("NEW ORLEANS",C939)),ISNUMBER(SEARCH("KENNER",C939)),ISNUMBER(SEARCH("HENRY HOWARD",C939)),ISNUMBER(SEARCH("MISS CLAUDIA",C939))),"Personal Travel - New Orleans",IF(AND(YEAR(B939)=2025,MONTH(B939)=4,OR(ISNUMBER(SEARCH("EXCHANGE RATE",C939)),ISNUMBER(SEARCH("EXCHG RTE",C939)))),"Personal Travel - Italy",IFERROR(INDEX('Category Rules'!$B$2:$B$358,MATCH(TRUE,ISNUMBER(SEARCH('Category Rules'!$A$2:$A$358,C939)),0)),""))))))))</f>
        <v>Transfer from DWG Capital Group</v>
      </c>
    </row>
    <row r="940" spans="1:7" x14ac:dyDescent="0.25">
      <c r="A940" t="s">
        <v>44</v>
      </c>
      <c r="B940" s="1">
        <v>45894</v>
      </c>
      <c r="C940" t="s">
        <v>874</v>
      </c>
      <c r="D940">
        <v>175</v>
      </c>
      <c r="E940" t="s">
        <v>339</v>
      </c>
      <c r="F940">
        <v>2472.88</v>
      </c>
      <c r="G940" t="str" cm="1">
        <f t="array" ref="G940">IF(AND(ISNUMBER(SEARCH("UBER",C940)),ISNUMBER(SEARCH("EATS",C940))),"Uber Eats",IF(LEFT(C940,6)="CHECK ","Checks Paid",IF(OR(E940="BILLPAY",ISNUMBER(SEARCH("FRANCHISE TAX",C940)),ISNUMBER(SEARCH("NEXTLINK",C940))),"Personal - House Bills",IF(AND(ISNUMBER(SEARCH("PAYMENT FROM",C940)),ISNUMBER(SEARCH("JOE SAUNDERS",C940))),"Zelle from Joe Saunders",IF(AND(ISNUMBER(SEARCH("PAYMENT TO",C940)),ISNUMBER(SEARCH("JOE SAUNDERS",C940))),"Zelle to Joe Saunders",IF(OR(ISNUMBER(SEARCH("NEW ORLEANS",C940)),ISNUMBER(SEARCH("KENNER",C940)),ISNUMBER(SEARCH("HENRY HOWARD",C940)),ISNUMBER(SEARCH("MISS CLAUDIA",C940))),"Personal Travel - New Orleans",IF(AND(YEAR(B940)=2025,MONTH(B940)=4,OR(ISNUMBER(SEARCH("EXCHANGE RATE",C940)),ISNUMBER(SEARCH("EXCHG RTE",C940)))),"Personal Travel - Italy",IFERROR(INDEX('Category Rules'!$B$2:$B$358,MATCH(TRUE,ISNUMBER(SEARCH('Category Rules'!$A$2:$A$358,C940)),0)),""))))))))</f>
        <v>Deposit</v>
      </c>
    </row>
    <row r="941" spans="1:7" x14ac:dyDescent="0.25">
      <c r="A941" t="s">
        <v>6</v>
      </c>
      <c r="B941" s="1">
        <v>45891</v>
      </c>
      <c r="C941" t="s">
        <v>875</v>
      </c>
      <c r="D941">
        <v>-371.04</v>
      </c>
      <c r="E941" t="s">
        <v>10</v>
      </c>
      <c r="F941">
        <v>2297.88</v>
      </c>
      <c r="G941" t="str" cm="1">
        <f t="array" ref="G941">IF(AND(ISNUMBER(SEARCH("UBER",C941)),ISNUMBER(SEARCH("EATS",C941))),"Uber Eats",IF(LEFT(C941,6)="CHECK ","Checks Paid",IF(OR(E941="BILLPAY",ISNUMBER(SEARCH("FRANCHISE TAX",C941)),ISNUMBER(SEARCH("NEXTLINK",C941))),"Personal - House Bills",IF(AND(ISNUMBER(SEARCH("PAYMENT FROM",C941)),ISNUMBER(SEARCH("JOE SAUNDERS",C941))),"Zelle from Joe Saunders",IF(AND(ISNUMBER(SEARCH("PAYMENT TO",C941)),ISNUMBER(SEARCH("JOE SAUNDERS",C941))),"Zelle to Joe Saunders",IF(OR(ISNUMBER(SEARCH("NEW ORLEANS",C941)),ISNUMBER(SEARCH("KENNER",C941)),ISNUMBER(SEARCH("HENRY HOWARD",C941)),ISNUMBER(SEARCH("MISS CLAUDIA",C941))),"Personal Travel - New Orleans",IF(AND(YEAR(B941)=2025,MONTH(B941)=4,OR(ISNUMBER(SEARCH("EXCHANGE RATE",C941)),ISNUMBER(SEARCH("EXCHG RTE",C941)))),"Personal Travel - Italy",IFERROR(INDEX('Category Rules'!$B$2:$B$358,MATCH(TRUE,ISNUMBER(SEARCH('Category Rules'!$A$2:$A$358,C941)),0)),""))))))))</f>
        <v>Personal - Health</v>
      </c>
    </row>
    <row r="942" spans="1:7" x14ac:dyDescent="0.25">
      <c r="A942" t="s">
        <v>6</v>
      </c>
      <c r="B942" s="1">
        <v>45891</v>
      </c>
      <c r="C942" t="s">
        <v>876</v>
      </c>
      <c r="D942">
        <v>-196.92</v>
      </c>
      <c r="E942" t="s">
        <v>10</v>
      </c>
      <c r="F942">
        <v>2668.92</v>
      </c>
      <c r="G942" t="str" cm="1">
        <f t="array" ref="G942">IF(AND(ISNUMBER(SEARCH("UBER",C942)),ISNUMBER(SEARCH("EATS",C942))),"Uber Eats",IF(LEFT(C942,6)="CHECK ","Checks Paid",IF(OR(E942="BILLPAY",ISNUMBER(SEARCH("FRANCHISE TAX",C942)),ISNUMBER(SEARCH("NEXTLINK",C942))),"Personal - House Bills",IF(AND(ISNUMBER(SEARCH("PAYMENT FROM",C942)),ISNUMBER(SEARCH("JOE SAUNDERS",C942))),"Zelle from Joe Saunders",IF(AND(ISNUMBER(SEARCH("PAYMENT TO",C942)),ISNUMBER(SEARCH("JOE SAUNDERS",C942))),"Zelle to Joe Saunders",IF(OR(ISNUMBER(SEARCH("NEW ORLEANS",C942)),ISNUMBER(SEARCH("KENNER",C942)),ISNUMBER(SEARCH("HENRY HOWARD",C942)),ISNUMBER(SEARCH("MISS CLAUDIA",C942))),"Personal Travel - New Orleans",IF(AND(YEAR(B942)=2025,MONTH(B942)=4,OR(ISNUMBER(SEARCH("EXCHANGE RATE",C942)),ISNUMBER(SEARCH("EXCHG RTE",C942)))),"Personal Travel - Italy",IFERROR(INDEX('Category Rules'!$B$2:$B$358,MATCH(TRUE,ISNUMBER(SEARCH('Category Rules'!$A$2:$A$358,C942)),0)),""))))))))</f>
        <v>Personal - Health</v>
      </c>
    </row>
    <row r="943" spans="1:7" x14ac:dyDescent="0.25">
      <c r="A943" t="s">
        <v>6</v>
      </c>
      <c r="B943" s="1">
        <v>45891</v>
      </c>
      <c r="C943" t="s">
        <v>877</v>
      </c>
      <c r="D943">
        <v>-38.049999999999997</v>
      </c>
      <c r="E943" t="s">
        <v>10</v>
      </c>
      <c r="F943">
        <v>2865.84</v>
      </c>
      <c r="G943" t="str" cm="1">
        <f t="array" ref="G943">IF(AND(ISNUMBER(SEARCH("UBER",C943)),ISNUMBER(SEARCH("EATS",C943))),"Uber Eats",IF(LEFT(C943,6)="CHECK ","Checks Paid",IF(OR(E943="BILLPAY",ISNUMBER(SEARCH("FRANCHISE TAX",C943)),ISNUMBER(SEARCH("NEXTLINK",C943))),"Personal - House Bills",IF(AND(ISNUMBER(SEARCH("PAYMENT FROM",C943)),ISNUMBER(SEARCH("JOE SAUNDERS",C943))),"Zelle from Joe Saunders",IF(AND(ISNUMBER(SEARCH("PAYMENT TO",C943)),ISNUMBER(SEARCH("JOE SAUNDERS",C943))),"Zelle to Joe Saunders",IF(OR(ISNUMBER(SEARCH("NEW ORLEANS",C943)),ISNUMBER(SEARCH("KENNER",C943)),ISNUMBER(SEARCH("HENRY HOWARD",C943)),ISNUMBER(SEARCH("MISS CLAUDIA",C943))),"Personal Travel - New Orleans",IF(AND(YEAR(B943)=2025,MONTH(B943)=4,OR(ISNUMBER(SEARCH("EXCHANGE RATE",C943)),ISNUMBER(SEARCH("EXCHG RTE",C943)))),"Personal Travel - Italy",IFERROR(INDEX('Category Rules'!$B$2:$B$358,MATCH(TRUE,ISNUMBER(SEARCH('Category Rules'!$A$2:$A$358,C943)),0)),""))))))))</f>
        <v>Amazon</v>
      </c>
    </row>
    <row r="944" spans="1:7" x14ac:dyDescent="0.25">
      <c r="A944" t="s">
        <v>6</v>
      </c>
      <c r="B944" s="1">
        <v>45891</v>
      </c>
      <c r="C944" t="s">
        <v>878</v>
      </c>
      <c r="D944">
        <v>-11.98</v>
      </c>
      <c r="E944" t="s">
        <v>10</v>
      </c>
      <c r="F944">
        <v>2903.89</v>
      </c>
      <c r="G944" t="str" cm="1">
        <f t="array" ref="G944">IF(AND(ISNUMBER(SEARCH("UBER",C944)),ISNUMBER(SEARCH("EATS",C944))),"Uber Eats",IF(LEFT(C944,6)="CHECK ","Checks Paid",IF(OR(E944="BILLPAY",ISNUMBER(SEARCH("FRANCHISE TAX",C944)),ISNUMBER(SEARCH("NEXTLINK",C944))),"Personal - House Bills",IF(AND(ISNUMBER(SEARCH("PAYMENT FROM",C944)),ISNUMBER(SEARCH("JOE SAUNDERS",C944))),"Zelle from Joe Saunders",IF(AND(ISNUMBER(SEARCH("PAYMENT TO",C944)),ISNUMBER(SEARCH("JOE SAUNDERS",C944))),"Zelle to Joe Saunders",IF(OR(ISNUMBER(SEARCH("NEW ORLEANS",C944)),ISNUMBER(SEARCH("KENNER",C944)),ISNUMBER(SEARCH("HENRY HOWARD",C944)),ISNUMBER(SEARCH("MISS CLAUDIA",C944))),"Personal Travel - New Orleans",IF(AND(YEAR(B944)=2025,MONTH(B944)=4,OR(ISNUMBER(SEARCH("EXCHANGE RATE",C944)),ISNUMBER(SEARCH("EXCHG RTE",C944)))),"Personal Travel - Italy",IFERROR(INDEX('Category Rules'!$B$2:$B$358,MATCH(TRUE,ISNUMBER(SEARCH('Category Rules'!$A$2:$A$358,C944)),0)),""))))))))</f>
        <v>Amazon</v>
      </c>
    </row>
    <row r="945" spans="1:7" x14ac:dyDescent="0.25">
      <c r="A945" t="s">
        <v>6</v>
      </c>
      <c r="B945" s="1">
        <v>45891</v>
      </c>
      <c r="C945" t="s">
        <v>879</v>
      </c>
      <c r="D945">
        <v>-148.15</v>
      </c>
      <c r="E945" t="s">
        <v>10</v>
      </c>
      <c r="F945">
        <v>2915.87</v>
      </c>
      <c r="G945" t="str" cm="1">
        <f t="array" ref="G945">IF(AND(ISNUMBER(SEARCH("UBER",C945)),ISNUMBER(SEARCH("EATS",C945))),"Uber Eats",IF(LEFT(C945,6)="CHECK ","Checks Paid",IF(OR(E945="BILLPAY",ISNUMBER(SEARCH("FRANCHISE TAX",C945)),ISNUMBER(SEARCH("NEXTLINK",C945))),"Personal - House Bills",IF(AND(ISNUMBER(SEARCH("PAYMENT FROM",C945)),ISNUMBER(SEARCH("JOE SAUNDERS",C945))),"Zelle from Joe Saunders",IF(AND(ISNUMBER(SEARCH("PAYMENT TO",C945)),ISNUMBER(SEARCH("JOE SAUNDERS",C945))),"Zelle to Joe Saunders",IF(OR(ISNUMBER(SEARCH("NEW ORLEANS",C945)),ISNUMBER(SEARCH("KENNER",C945)),ISNUMBER(SEARCH("HENRY HOWARD",C945)),ISNUMBER(SEARCH("MISS CLAUDIA",C945))),"Personal Travel - New Orleans",IF(AND(YEAR(B945)=2025,MONTH(B945)=4,OR(ISNUMBER(SEARCH("EXCHANGE RATE",C945)),ISNUMBER(SEARCH("EXCHG RTE",C945)))),"Personal Travel - Italy",IFERROR(INDEX('Category Rules'!$B$2:$B$358,MATCH(TRUE,ISNUMBER(SEARCH('Category Rules'!$A$2:$A$358,C945)),0)),""))))))))</f>
        <v>Personal - Clothing</v>
      </c>
    </row>
    <row r="946" spans="1:7" x14ac:dyDescent="0.25">
      <c r="A946" t="s">
        <v>6</v>
      </c>
      <c r="B946" s="1">
        <v>45891</v>
      </c>
      <c r="C946" t="s">
        <v>880</v>
      </c>
      <c r="D946">
        <v>-135</v>
      </c>
      <c r="E946" t="s">
        <v>10</v>
      </c>
      <c r="F946">
        <v>3064.02</v>
      </c>
      <c r="G946" t="str" cm="1">
        <f t="array" ref="G946">IF(AND(ISNUMBER(SEARCH("UBER",C946)),ISNUMBER(SEARCH("EATS",C946))),"Uber Eats",IF(LEFT(C946,6)="CHECK ","Checks Paid",IF(OR(E946="BILLPAY",ISNUMBER(SEARCH("FRANCHISE TAX",C946)),ISNUMBER(SEARCH("NEXTLINK",C946))),"Personal - House Bills",IF(AND(ISNUMBER(SEARCH("PAYMENT FROM",C946)),ISNUMBER(SEARCH("JOE SAUNDERS",C946))),"Zelle from Joe Saunders",IF(AND(ISNUMBER(SEARCH("PAYMENT TO",C946)),ISNUMBER(SEARCH("JOE SAUNDERS",C946))),"Zelle to Joe Saunders",IF(OR(ISNUMBER(SEARCH("NEW ORLEANS",C946)),ISNUMBER(SEARCH("KENNER",C946)),ISNUMBER(SEARCH("HENRY HOWARD",C946)),ISNUMBER(SEARCH("MISS CLAUDIA",C946))),"Personal Travel - New Orleans",IF(AND(YEAR(B946)=2025,MONTH(B946)=4,OR(ISNUMBER(SEARCH("EXCHANGE RATE",C946)),ISNUMBER(SEARCH("EXCHG RTE",C946)))),"Personal Travel - Italy",IFERROR(INDEX('Category Rules'!$B$2:$B$358,MATCH(TRUE,ISNUMBER(SEARCH('Category Rules'!$A$2:$A$358,C946)),0)),""))))))))</f>
        <v>Uber Eats</v>
      </c>
    </row>
    <row r="947" spans="1:7" x14ac:dyDescent="0.25">
      <c r="A947" t="s">
        <v>6</v>
      </c>
      <c r="B947" s="1">
        <v>45891</v>
      </c>
      <c r="C947" t="s">
        <v>881</v>
      </c>
      <c r="D947">
        <v>-1113.51</v>
      </c>
      <c r="E947" t="s">
        <v>10</v>
      </c>
      <c r="F947">
        <v>3199.02</v>
      </c>
      <c r="G947" t="str" cm="1">
        <f t="array" ref="G947">IF(AND(ISNUMBER(SEARCH("UBER",C947)),ISNUMBER(SEARCH("EATS",C947))),"Uber Eats",IF(LEFT(C947,6)="CHECK ","Checks Paid",IF(OR(E947="BILLPAY",ISNUMBER(SEARCH("FRANCHISE TAX",C947)),ISNUMBER(SEARCH("NEXTLINK",C947))),"Personal - House Bills",IF(AND(ISNUMBER(SEARCH("PAYMENT FROM",C947)),ISNUMBER(SEARCH("JOE SAUNDERS",C947))),"Zelle from Joe Saunders",IF(AND(ISNUMBER(SEARCH("PAYMENT TO",C947)),ISNUMBER(SEARCH("JOE SAUNDERS",C947))),"Zelle to Joe Saunders",IF(OR(ISNUMBER(SEARCH("NEW ORLEANS",C947)),ISNUMBER(SEARCH("KENNER",C947)),ISNUMBER(SEARCH("HENRY HOWARD",C947)),ISNUMBER(SEARCH("MISS CLAUDIA",C947))),"Personal Travel - New Orleans",IF(AND(YEAR(B947)=2025,MONTH(B947)=4,OR(ISNUMBER(SEARCH("EXCHANGE RATE",C947)),ISNUMBER(SEARCH("EXCHG RTE",C947)))),"Personal Travel - Italy",IFERROR(INDEX('Category Rules'!$B$2:$B$358,MATCH(TRUE,ISNUMBER(SEARCH('Category Rules'!$A$2:$A$358,C947)),0)),""))))))))</f>
        <v>Personal - Health</v>
      </c>
    </row>
    <row r="948" spans="1:7" x14ac:dyDescent="0.25">
      <c r="A948" t="s">
        <v>6</v>
      </c>
      <c r="B948" s="1">
        <v>45891</v>
      </c>
      <c r="C948" t="s">
        <v>882</v>
      </c>
      <c r="D948">
        <v>-25.54</v>
      </c>
      <c r="E948" t="s">
        <v>10</v>
      </c>
      <c r="F948">
        <v>4312.53</v>
      </c>
      <c r="G948" t="str" cm="1">
        <f t="array" ref="G948">IF(AND(ISNUMBER(SEARCH("UBER",C948)),ISNUMBER(SEARCH("EATS",C948))),"Uber Eats",IF(LEFT(C948,6)="CHECK ","Checks Paid",IF(OR(E948="BILLPAY",ISNUMBER(SEARCH("FRANCHISE TAX",C948)),ISNUMBER(SEARCH("NEXTLINK",C948))),"Personal - House Bills",IF(AND(ISNUMBER(SEARCH("PAYMENT FROM",C948)),ISNUMBER(SEARCH("JOE SAUNDERS",C948))),"Zelle from Joe Saunders",IF(AND(ISNUMBER(SEARCH("PAYMENT TO",C948)),ISNUMBER(SEARCH("JOE SAUNDERS",C948))),"Zelle to Joe Saunders",IF(OR(ISNUMBER(SEARCH("NEW ORLEANS",C948)),ISNUMBER(SEARCH("KENNER",C948)),ISNUMBER(SEARCH("HENRY HOWARD",C948)),ISNUMBER(SEARCH("MISS CLAUDIA",C948))),"Personal Travel - New Orleans",IF(AND(YEAR(B948)=2025,MONTH(B948)=4,OR(ISNUMBER(SEARCH("EXCHANGE RATE",C948)),ISNUMBER(SEARCH("EXCHG RTE",C948)))),"Personal Travel - Italy",IFERROR(INDEX('Category Rules'!$B$2:$B$358,MATCH(TRUE,ISNUMBER(SEARCH('Category Rules'!$A$2:$A$358,C948)),0)),""))))))))</f>
        <v>Amazon</v>
      </c>
    </row>
    <row r="949" spans="1:7" x14ac:dyDescent="0.25">
      <c r="A949" t="s">
        <v>6</v>
      </c>
      <c r="B949" s="1">
        <v>45891</v>
      </c>
      <c r="C949" t="s">
        <v>883</v>
      </c>
      <c r="D949">
        <v>-75</v>
      </c>
      <c r="E949" t="s">
        <v>10</v>
      </c>
      <c r="F949">
        <v>4338.07</v>
      </c>
      <c r="G949" t="str" cm="1">
        <f t="array" ref="G949">IF(AND(ISNUMBER(SEARCH("UBER",C949)),ISNUMBER(SEARCH("EATS",C949))),"Uber Eats",IF(LEFT(C949,6)="CHECK ","Checks Paid",IF(OR(E949="BILLPAY",ISNUMBER(SEARCH("FRANCHISE TAX",C949)),ISNUMBER(SEARCH("NEXTLINK",C949))),"Personal - House Bills",IF(AND(ISNUMBER(SEARCH("PAYMENT FROM",C949)),ISNUMBER(SEARCH("JOE SAUNDERS",C949))),"Zelle from Joe Saunders",IF(AND(ISNUMBER(SEARCH("PAYMENT TO",C949)),ISNUMBER(SEARCH("JOE SAUNDERS",C949))),"Zelle to Joe Saunders",IF(OR(ISNUMBER(SEARCH("NEW ORLEANS",C949)),ISNUMBER(SEARCH("KENNER",C949)),ISNUMBER(SEARCH("HENRY HOWARD",C949)),ISNUMBER(SEARCH("MISS CLAUDIA",C949))),"Personal Travel - New Orleans",IF(AND(YEAR(B949)=2025,MONTH(B949)=4,OR(ISNUMBER(SEARCH("EXCHANGE RATE",C949)),ISNUMBER(SEARCH("EXCHG RTE",C949)))),"Personal Travel - Italy",IFERROR(INDEX('Category Rules'!$B$2:$B$358,MATCH(TRUE,ISNUMBER(SEARCH('Category Rules'!$A$2:$A$358,C949)),0)),""))))))))</f>
        <v>Donation</v>
      </c>
    </row>
    <row r="950" spans="1:7" x14ac:dyDescent="0.25">
      <c r="A950" t="s">
        <v>6</v>
      </c>
      <c r="B950" s="1">
        <v>45891</v>
      </c>
      <c r="C950" t="s">
        <v>884</v>
      </c>
      <c r="D950">
        <v>-30</v>
      </c>
      <c r="E950" t="s">
        <v>10</v>
      </c>
      <c r="F950">
        <v>4413.07</v>
      </c>
      <c r="G950" t="str" cm="1">
        <f t="array" ref="G950">IF(AND(ISNUMBER(SEARCH("UBER",C950)),ISNUMBER(SEARCH("EATS",C950))),"Uber Eats",IF(LEFT(C950,6)="CHECK ","Checks Paid",IF(OR(E950="BILLPAY",ISNUMBER(SEARCH("FRANCHISE TAX",C950)),ISNUMBER(SEARCH("NEXTLINK",C950))),"Personal - House Bills",IF(AND(ISNUMBER(SEARCH("PAYMENT FROM",C950)),ISNUMBER(SEARCH("JOE SAUNDERS",C950))),"Zelle from Joe Saunders",IF(AND(ISNUMBER(SEARCH("PAYMENT TO",C950)),ISNUMBER(SEARCH("JOE SAUNDERS",C950))),"Zelle to Joe Saunders",IF(OR(ISNUMBER(SEARCH("NEW ORLEANS",C950)),ISNUMBER(SEARCH("KENNER",C950)),ISNUMBER(SEARCH("HENRY HOWARD",C950)),ISNUMBER(SEARCH("MISS CLAUDIA",C950))),"Personal Travel - New Orleans",IF(AND(YEAR(B950)=2025,MONTH(B950)=4,OR(ISNUMBER(SEARCH("EXCHANGE RATE",C950)),ISNUMBER(SEARCH("EXCHG RTE",C950)))),"Personal Travel - Italy",IFERROR(INDEX('Category Rules'!$B$2:$B$358,MATCH(TRUE,ISNUMBER(SEARCH('Category Rules'!$A$2:$A$358,C950)),0)),""))))))))</f>
        <v>Amazon</v>
      </c>
    </row>
    <row r="951" spans="1:7" x14ac:dyDescent="0.25">
      <c r="A951" t="s">
        <v>6</v>
      </c>
      <c r="B951" s="1">
        <v>45891</v>
      </c>
      <c r="C951" t="s">
        <v>885</v>
      </c>
      <c r="D951">
        <v>-99.86</v>
      </c>
      <c r="E951" t="s">
        <v>10</v>
      </c>
      <c r="F951">
        <v>4443.07</v>
      </c>
      <c r="G951" t="str" cm="1">
        <f t="array" ref="G951">IF(AND(ISNUMBER(SEARCH("UBER",C951)),ISNUMBER(SEARCH("EATS",C951))),"Uber Eats",IF(LEFT(C951,6)="CHECK ","Checks Paid",IF(OR(E951="BILLPAY",ISNUMBER(SEARCH("FRANCHISE TAX",C951)),ISNUMBER(SEARCH("NEXTLINK",C951))),"Personal - House Bills",IF(AND(ISNUMBER(SEARCH("PAYMENT FROM",C951)),ISNUMBER(SEARCH("JOE SAUNDERS",C951))),"Zelle from Joe Saunders",IF(AND(ISNUMBER(SEARCH("PAYMENT TO",C951)),ISNUMBER(SEARCH("JOE SAUNDERS",C951))),"Zelle to Joe Saunders",IF(OR(ISNUMBER(SEARCH("NEW ORLEANS",C951)),ISNUMBER(SEARCH("KENNER",C951)),ISNUMBER(SEARCH("HENRY HOWARD",C951)),ISNUMBER(SEARCH("MISS CLAUDIA",C951))),"Personal Travel - New Orleans",IF(AND(YEAR(B951)=2025,MONTH(B951)=4,OR(ISNUMBER(SEARCH("EXCHANGE RATE",C951)),ISNUMBER(SEARCH("EXCHG RTE",C951)))),"Personal Travel - Italy",IFERROR(INDEX('Category Rules'!$B$2:$B$358,MATCH(TRUE,ISNUMBER(SEARCH('Category Rules'!$A$2:$A$358,C951)),0)),""))))))))</f>
        <v>Personal - Entertainment</v>
      </c>
    </row>
    <row r="952" spans="1:7" x14ac:dyDescent="0.25">
      <c r="A952" t="s">
        <v>6</v>
      </c>
      <c r="B952" s="1">
        <v>45891</v>
      </c>
      <c r="C952" t="s">
        <v>886</v>
      </c>
      <c r="D952">
        <v>-98.02</v>
      </c>
      <c r="E952" t="s">
        <v>10</v>
      </c>
      <c r="F952">
        <v>4542.93</v>
      </c>
      <c r="G952" t="str" cm="1">
        <f t="array" ref="G952">IF(AND(ISNUMBER(SEARCH("UBER",C952)),ISNUMBER(SEARCH("EATS",C952))),"Uber Eats",IF(LEFT(C952,6)="CHECK ","Checks Paid",IF(OR(E952="BILLPAY",ISNUMBER(SEARCH("FRANCHISE TAX",C952)),ISNUMBER(SEARCH("NEXTLINK",C952))),"Personal - House Bills",IF(AND(ISNUMBER(SEARCH("PAYMENT FROM",C952)),ISNUMBER(SEARCH("JOE SAUNDERS",C952))),"Zelle from Joe Saunders",IF(AND(ISNUMBER(SEARCH("PAYMENT TO",C952)),ISNUMBER(SEARCH("JOE SAUNDERS",C952))),"Zelle to Joe Saunders",IF(OR(ISNUMBER(SEARCH("NEW ORLEANS",C952)),ISNUMBER(SEARCH("KENNER",C952)),ISNUMBER(SEARCH("HENRY HOWARD",C952)),ISNUMBER(SEARCH("MISS CLAUDIA",C952))),"Personal Travel - New Orleans",IF(AND(YEAR(B952)=2025,MONTH(B952)=4,OR(ISNUMBER(SEARCH("EXCHANGE RATE",C952)),ISNUMBER(SEARCH("EXCHG RTE",C952)))),"Personal Travel - Italy",IFERROR(INDEX('Category Rules'!$B$2:$B$358,MATCH(TRUE,ISNUMBER(SEARCH('Category Rules'!$A$2:$A$358,C952)),0)),""))))))))</f>
        <v>Personal - Entertainment</v>
      </c>
    </row>
    <row r="953" spans="1:7" x14ac:dyDescent="0.25">
      <c r="A953" t="s">
        <v>44</v>
      </c>
      <c r="B953" s="1">
        <v>45891</v>
      </c>
      <c r="C953" t="s">
        <v>887</v>
      </c>
      <c r="D953">
        <v>2000</v>
      </c>
      <c r="E953" t="s">
        <v>73</v>
      </c>
      <c r="F953">
        <v>4640.95</v>
      </c>
      <c r="G953" t="str" cm="1">
        <f t="array" ref="G953">IF(AND(ISNUMBER(SEARCH("UBER",C953)),ISNUMBER(SEARCH("EATS",C953))),"Uber Eats",IF(LEFT(C953,6)="CHECK ","Checks Paid",IF(OR(E953="BILLPAY",ISNUMBER(SEARCH("FRANCHISE TAX",C953)),ISNUMBER(SEARCH("NEXTLINK",C953))),"Personal - House Bills",IF(AND(ISNUMBER(SEARCH("PAYMENT FROM",C953)),ISNUMBER(SEARCH("JOE SAUNDERS",C953))),"Zelle from Joe Saunders",IF(AND(ISNUMBER(SEARCH("PAYMENT TO",C953)),ISNUMBER(SEARCH("JOE SAUNDERS",C953))),"Zelle to Joe Saunders",IF(OR(ISNUMBER(SEARCH("NEW ORLEANS",C953)),ISNUMBER(SEARCH("KENNER",C953)),ISNUMBER(SEARCH("HENRY HOWARD",C953)),ISNUMBER(SEARCH("MISS CLAUDIA",C953))),"Personal Travel - New Orleans",IF(AND(YEAR(B953)=2025,MONTH(B953)=4,OR(ISNUMBER(SEARCH("EXCHANGE RATE",C953)),ISNUMBER(SEARCH("EXCHG RTE",C953)))),"Personal Travel - Italy",IFERROR(INDEX('Category Rules'!$B$2:$B$358,MATCH(TRUE,ISNUMBER(SEARCH('Category Rules'!$A$2:$A$358,C953)),0)),""))))))))</f>
        <v>Transfer from DWG Capital Group</v>
      </c>
    </row>
    <row r="954" spans="1:7" x14ac:dyDescent="0.25">
      <c r="A954" t="s">
        <v>6</v>
      </c>
      <c r="B954" s="1">
        <v>45890</v>
      </c>
      <c r="C954" t="s">
        <v>888</v>
      </c>
      <c r="D954">
        <v>-28.61</v>
      </c>
      <c r="E954" t="s">
        <v>10</v>
      </c>
      <c r="F954">
        <v>2640.95</v>
      </c>
      <c r="G954" t="str" cm="1">
        <f t="array" ref="G954">IF(AND(ISNUMBER(SEARCH("UBER",C954)),ISNUMBER(SEARCH("EATS",C954))),"Uber Eats",IF(LEFT(C954,6)="CHECK ","Checks Paid",IF(OR(E954="BILLPAY",ISNUMBER(SEARCH("FRANCHISE TAX",C954)),ISNUMBER(SEARCH("NEXTLINK",C954))),"Personal - House Bills",IF(AND(ISNUMBER(SEARCH("PAYMENT FROM",C954)),ISNUMBER(SEARCH("JOE SAUNDERS",C954))),"Zelle from Joe Saunders",IF(AND(ISNUMBER(SEARCH("PAYMENT TO",C954)),ISNUMBER(SEARCH("JOE SAUNDERS",C954))),"Zelle to Joe Saunders",IF(OR(ISNUMBER(SEARCH("NEW ORLEANS",C954)),ISNUMBER(SEARCH("KENNER",C954)),ISNUMBER(SEARCH("HENRY HOWARD",C954)),ISNUMBER(SEARCH("MISS CLAUDIA",C954))),"Personal Travel - New Orleans",IF(AND(YEAR(B954)=2025,MONTH(B954)=4,OR(ISNUMBER(SEARCH("EXCHANGE RATE",C954)),ISNUMBER(SEARCH("EXCHG RTE",C954)))),"Personal Travel - Italy",IFERROR(INDEX('Category Rules'!$B$2:$B$358,MATCH(TRUE,ISNUMBER(SEARCH('Category Rules'!$A$2:$A$358,C954)),0)),""))))))))</f>
        <v>Uber Eats</v>
      </c>
    </row>
    <row r="955" spans="1:7" x14ac:dyDescent="0.25">
      <c r="A955" t="s">
        <v>6</v>
      </c>
      <c r="B955" s="1">
        <v>45890</v>
      </c>
      <c r="C955" t="s">
        <v>889</v>
      </c>
      <c r="D955">
        <v>-40</v>
      </c>
      <c r="E955" t="s">
        <v>10</v>
      </c>
      <c r="F955">
        <v>2669.56</v>
      </c>
      <c r="G955" t="str" cm="1">
        <f t="array" ref="G955">IF(AND(ISNUMBER(SEARCH("UBER",C955)),ISNUMBER(SEARCH("EATS",C955))),"Uber Eats",IF(LEFT(C955,6)="CHECK ","Checks Paid",IF(OR(E955="BILLPAY",ISNUMBER(SEARCH("FRANCHISE TAX",C955)),ISNUMBER(SEARCH("NEXTLINK",C955))),"Personal - House Bills",IF(AND(ISNUMBER(SEARCH("PAYMENT FROM",C955)),ISNUMBER(SEARCH("JOE SAUNDERS",C955))),"Zelle from Joe Saunders",IF(AND(ISNUMBER(SEARCH("PAYMENT TO",C955)),ISNUMBER(SEARCH("JOE SAUNDERS",C955))),"Zelle to Joe Saunders",IF(OR(ISNUMBER(SEARCH("NEW ORLEANS",C955)),ISNUMBER(SEARCH("KENNER",C955)),ISNUMBER(SEARCH("HENRY HOWARD",C955)),ISNUMBER(SEARCH("MISS CLAUDIA",C955))),"Personal Travel - New Orleans",IF(AND(YEAR(B955)=2025,MONTH(B955)=4,OR(ISNUMBER(SEARCH("EXCHANGE RATE",C955)),ISNUMBER(SEARCH("EXCHG RTE",C955)))),"Personal Travel - Italy",IFERROR(INDEX('Category Rules'!$B$2:$B$358,MATCH(TRUE,ISNUMBER(SEARCH('Category Rules'!$A$2:$A$358,C955)),0)),""))))))))</f>
        <v>Personal - Car</v>
      </c>
    </row>
    <row r="956" spans="1:7" x14ac:dyDescent="0.25">
      <c r="A956" t="s">
        <v>6</v>
      </c>
      <c r="B956" s="1">
        <v>45890</v>
      </c>
      <c r="C956" t="s">
        <v>890</v>
      </c>
      <c r="D956">
        <v>-54.86</v>
      </c>
      <c r="E956" t="s">
        <v>10</v>
      </c>
      <c r="F956">
        <v>2709.56</v>
      </c>
      <c r="G956" t="str" cm="1">
        <f t="array" ref="G956">IF(AND(ISNUMBER(SEARCH("UBER",C956)),ISNUMBER(SEARCH("EATS",C956))),"Uber Eats",IF(LEFT(C956,6)="CHECK ","Checks Paid",IF(OR(E956="BILLPAY",ISNUMBER(SEARCH("FRANCHISE TAX",C956)),ISNUMBER(SEARCH("NEXTLINK",C956))),"Personal - House Bills",IF(AND(ISNUMBER(SEARCH("PAYMENT FROM",C956)),ISNUMBER(SEARCH("JOE SAUNDERS",C956))),"Zelle from Joe Saunders",IF(AND(ISNUMBER(SEARCH("PAYMENT TO",C956)),ISNUMBER(SEARCH("JOE SAUNDERS",C956))),"Zelle to Joe Saunders",IF(OR(ISNUMBER(SEARCH("NEW ORLEANS",C956)),ISNUMBER(SEARCH("KENNER",C956)),ISNUMBER(SEARCH("HENRY HOWARD",C956)),ISNUMBER(SEARCH("MISS CLAUDIA",C956))),"Personal Travel - New Orleans",IF(AND(YEAR(B956)=2025,MONTH(B956)=4,OR(ISNUMBER(SEARCH("EXCHANGE RATE",C956)),ISNUMBER(SEARCH("EXCHG RTE",C956)))),"Personal Travel - Italy",IFERROR(INDEX('Category Rules'!$B$2:$B$358,MATCH(TRUE,ISNUMBER(SEARCH('Category Rules'!$A$2:$A$358,C956)),0)),""))))))))</f>
        <v>Amazon</v>
      </c>
    </row>
    <row r="957" spans="1:7" x14ac:dyDescent="0.25">
      <c r="A957" t="s">
        <v>6</v>
      </c>
      <c r="B957" s="1">
        <v>45890</v>
      </c>
      <c r="C957" t="s">
        <v>891</v>
      </c>
      <c r="D957">
        <v>-67.45</v>
      </c>
      <c r="E957" t="s">
        <v>10</v>
      </c>
      <c r="F957">
        <v>2764.42</v>
      </c>
      <c r="G957" t="str" cm="1">
        <f t="array" ref="G957">IF(AND(ISNUMBER(SEARCH("UBER",C957)),ISNUMBER(SEARCH("EATS",C957))),"Uber Eats",IF(LEFT(C957,6)="CHECK ","Checks Paid",IF(OR(E957="BILLPAY",ISNUMBER(SEARCH("FRANCHISE TAX",C957)),ISNUMBER(SEARCH("NEXTLINK",C957))),"Personal - House Bills",IF(AND(ISNUMBER(SEARCH("PAYMENT FROM",C957)),ISNUMBER(SEARCH("JOE SAUNDERS",C957))),"Zelle from Joe Saunders",IF(AND(ISNUMBER(SEARCH("PAYMENT TO",C957)),ISNUMBER(SEARCH("JOE SAUNDERS",C957))),"Zelle to Joe Saunders",IF(OR(ISNUMBER(SEARCH("NEW ORLEANS",C957)),ISNUMBER(SEARCH("KENNER",C957)),ISNUMBER(SEARCH("HENRY HOWARD",C957)),ISNUMBER(SEARCH("MISS CLAUDIA",C957))),"Personal Travel - New Orleans",IF(AND(YEAR(B957)=2025,MONTH(B957)=4,OR(ISNUMBER(SEARCH("EXCHANGE RATE",C957)),ISNUMBER(SEARCH("EXCHG RTE",C957)))),"Personal Travel - Italy",IFERROR(INDEX('Category Rules'!$B$2:$B$358,MATCH(TRUE,ISNUMBER(SEARCH('Category Rules'!$A$2:$A$358,C957)),0)),""))))))))</f>
        <v>Amazon</v>
      </c>
    </row>
    <row r="958" spans="1:7" x14ac:dyDescent="0.25">
      <c r="A958" t="s">
        <v>6</v>
      </c>
      <c r="B958" s="1">
        <v>45890</v>
      </c>
      <c r="C958" t="s">
        <v>892</v>
      </c>
      <c r="D958">
        <v>-6.57</v>
      </c>
      <c r="E958" t="s">
        <v>10</v>
      </c>
      <c r="F958">
        <v>2831.87</v>
      </c>
      <c r="G958" t="str" cm="1">
        <f t="array" ref="G958">IF(AND(ISNUMBER(SEARCH("UBER",C958)),ISNUMBER(SEARCH("EATS",C958))),"Uber Eats",IF(LEFT(C958,6)="CHECK ","Checks Paid",IF(OR(E958="BILLPAY",ISNUMBER(SEARCH("FRANCHISE TAX",C958)),ISNUMBER(SEARCH("NEXTLINK",C958))),"Personal - House Bills",IF(AND(ISNUMBER(SEARCH("PAYMENT FROM",C958)),ISNUMBER(SEARCH("JOE SAUNDERS",C958))),"Zelle from Joe Saunders",IF(AND(ISNUMBER(SEARCH("PAYMENT TO",C958)),ISNUMBER(SEARCH("JOE SAUNDERS",C958))),"Zelle to Joe Saunders",IF(OR(ISNUMBER(SEARCH("NEW ORLEANS",C958)),ISNUMBER(SEARCH("KENNER",C958)),ISNUMBER(SEARCH("HENRY HOWARD",C958)),ISNUMBER(SEARCH("MISS CLAUDIA",C958))),"Personal Travel - New Orleans",IF(AND(YEAR(B958)=2025,MONTH(B958)=4,OR(ISNUMBER(SEARCH("EXCHANGE RATE",C958)),ISNUMBER(SEARCH("EXCHG RTE",C958)))),"Personal Travel - Italy",IFERROR(INDEX('Category Rules'!$B$2:$B$358,MATCH(TRUE,ISNUMBER(SEARCH('Category Rules'!$A$2:$A$358,C958)),0)),""))))))))</f>
        <v>Amazon</v>
      </c>
    </row>
    <row r="959" spans="1:7" x14ac:dyDescent="0.25">
      <c r="A959" t="s">
        <v>6</v>
      </c>
      <c r="B959" s="1">
        <v>45890</v>
      </c>
      <c r="C959" t="s">
        <v>893</v>
      </c>
      <c r="D959">
        <v>-149.96</v>
      </c>
      <c r="E959" t="s">
        <v>10</v>
      </c>
      <c r="F959">
        <v>2838.44</v>
      </c>
      <c r="G959" t="str" cm="1">
        <f t="array" ref="G959">IF(AND(ISNUMBER(SEARCH("UBER",C959)),ISNUMBER(SEARCH("EATS",C959))),"Uber Eats",IF(LEFT(C959,6)="CHECK ","Checks Paid",IF(OR(E959="BILLPAY",ISNUMBER(SEARCH("FRANCHISE TAX",C959)),ISNUMBER(SEARCH("NEXTLINK",C959))),"Personal - House Bills",IF(AND(ISNUMBER(SEARCH("PAYMENT FROM",C959)),ISNUMBER(SEARCH("JOE SAUNDERS",C959))),"Zelle from Joe Saunders",IF(AND(ISNUMBER(SEARCH("PAYMENT TO",C959)),ISNUMBER(SEARCH("JOE SAUNDERS",C959))),"Zelle to Joe Saunders",IF(OR(ISNUMBER(SEARCH("NEW ORLEANS",C959)),ISNUMBER(SEARCH("KENNER",C959)),ISNUMBER(SEARCH("HENRY HOWARD",C959)),ISNUMBER(SEARCH("MISS CLAUDIA",C959))),"Personal Travel - New Orleans",IF(AND(YEAR(B959)=2025,MONTH(B959)=4,OR(ISNUMBER(SEARCH("EXCHANGE RATE",C959)),ISNUMBER(SEARCH("EXCHG RTE",C959)))),"Personal Travel - Italy",IFERROR(INDEX('Category Rules'!$B$2:$B$358,MATCH(TRUE,ISNUMBER(SEARCH('Category Rules'!$A$2:$A$358,C959)),0)),""))))))))</f>
        <v>Personal - House Bills</v>
      </c>
    </row>
    <row r="960" spans="1:7" x14ac:dyDescent="0.25">
      <c r="A960" t="s">
        <v>6</v>
      </c>
      <c r="B960" s="1">
        <v>45890</v>
      </c>
      <c r="C960" t="s">
        <v>894</v>
      </c>
      <c r="D960">
        <v>-31.35</v>
      </c>
      <c r="E960" t="s">
        <v>10</v>
      </c>
      <c r="F960">
        <v>2988.4</v>
      </c>
      <c r="G960" t="str" cm="1">
        <f t="array" ref="G960">IF(AND(ISNUMBER(SEARCH("UBER",C960)),ISNUMBER(SEARCH("EATS",C960))),"Uber Eats",IF(LEFT(C960,6)="CHECK ","Checks Paid",IF(OR(E960="BILLPAY",ISNUMBER(SEARCH("FRANCHISE TAX",C960)),ISNUMBER(SEARCH("NEXTLINK",C960))),"Personal - House Bills",IF(AND(ISNUMBER(SEARCH("PAYMENT FROM",C960)),ISNUMBER(SEARCH("JOE SAUNDERS",C960))),"Zelle from Joe Saunders",IF(AND(ISNUMBER(SEARCH("PAYMENT TO",C960)),ISNUMBER(SEARCH("JOE SAUNDERS",C960))),"Zelle to Joe Saunders",IF(OR(ISNUMBER(SEARCH("NEW ORLEANS",C960)),ISNUMBER(SEARCH("KENNER",C960)),ISNUMBER(SEARCH("HENRY HOWARD",C960)),ISNUMBER(SEARCH("MISS CLAUDIA",C960))),"Personal Travel - New Orleans",IF(AND(YEAR(B960)=2025,MONTH(B960)=4,OR(ISNUMBER(SEARCH("EXCHANGE RATE",C960)),ISNUMBER(SEARCH("EXCHG RTE",C960)))),"Personal Travel - Italy",IFERROR(INDEX('Category Rules'!$B$2:$B$358,MATCH(TRUE,ISNUMBER(SEARCH('Category Rules'!$A$2:$A$358,C960)),0)),""))))))))</f>
        <v>Amazon</v>
      </c>
    </row>
    <row r="961" spans="1:7" x14ac:dyDescent="0.25">
      <c r="A961" t="s">
        <v>6</v>
      </c>
      <c r="B961" s="1">
        <v>45890</v>
      </c>
      <c r="C961" t="s">
        <v>895</v>
      </c>
      <c r="D961">
        <v>-158.84</v>
      </c>
      <c r="E961" t="s">
        <v>10</v>
      </c>
      <c r="F961">
        <v>3019.75</v>
      </c>
      <c r="G961" t="str" cm="1">
        <f t="array" ref="G961">IF(AND(ISNUMBER(SEARCH("UBER",C961)),ISNUMBER(SEARCH("EATS",C961))),"Uber Eats",IF(LEFT(C961,6)="CHECK ","Checks Paid",IF(OR(E961="BILLPAY",ISNUMBER(SEARCH("FRANCHISE TAX",C961)),ISNUMBER(SEARCH("NEXTLINK",C961))),"Personal - House Bills",IF(AND(ISNUMBER(SEARCH("PAYMENT FROM",C961)),ISNUMBER(SEARCH("JOE SAUNDERS",C961))),"Zelle from Joe Saunders",IF(AND(ISNUMBER(SEARCH("PAYMENT TO",C961)),ISNUMBER(SEARCH("JOE SAUNDERS",C961))),"Zelle to Joe Saunders",IF(OR(ISNUMBER(SEARCH("NEW ORLEANS",C961)),ISNUMBER(SEARCH("KENNER",C961)),ISNUMBER(SEARCH("HENRY HOWARD",C961)),ISNUMBER(SEARCH("MISS CLAUDIA",C961))),"Personal Travel - New Orleans",IF(AND(YEAR(B961)=2025,MONTH(B961)=4,OR(ISNUMBER(SEARCH("EXCHANGE RATE",C961)),ISNUMBER(SEARCH("EXCHG RTE",C961)))),"Personal Travel - Italy",IFERROR(INDEX('Category Rules'!$B$2:$B$358,MATCH(TRUE,ISNUMBER(SEARCH('Category Rules'!$A$2:$A$358,C961)),0)),""))))))))</f>
        <v>Personal - Shopping</v>
      </c>
    </row>
    <row r="962" spans="1:7" x14ac:dyDescent="0.25">
      <c r="A962" t="s">
        <v>6</v>
      </c>
      <c r="B962" s="1">
        <v>45889</v>
      </c>
      <c r="C962" t="s">
        <v>896</v>
      </c>
      <c r="D962">
        <v>-413.07</v>
      </c>
      <c r="E962" t="s">
        <v>10</v>
      </c>
      <c r="F962">
        <v>3178.59</v>
      </c>
      <c r="G962" t="str" cm="1">
        <f t="array" ref="G962">IF(AND(ISNUMBER(SEARCH("UBER",C962)),ISNUMBER(SEARCH("EATS",C962))),"Uber Eats",IF(LEFT(C962,6)="CHECK ","Checks Paid",IF(OR(E962="BILLPAY",ISNUMBER(SEARCH("FRANCHISE TAX",C962)),ISNUMBER(SEARCH("NEXTLINK",C962))),"Personal - House Bills",IF(AND(ISNUMBER(SEARCH("PAYMENT FROM",C962)),ISNUMBER(SEARCH("JOE SAUNDERS",C962))),"Zelle from Joe Saunders",IF(AND(ISNUMBER(SEARCH("PAYMENT TO",C962)),ISNUMBER(SEARCH("JOE SAUNDERS",C962))),"Zelle to Joe Saunders",IF(OR(ISNUMBER(SEARCH("NEW ORLEANS",C962)),ISNUMBER(SEARCH("KENNER",C962)),ISNUMBER(SEARCH("HENRY HOWARD",C962)),ISNUMBER(SEARCH("MISS CLAUDIA",C962))),"Personal Travel - New Orleans",IF(AND(YEAR(B962)=2025,MONTH(B962)=4,OR(ISNUMBER(SEARCH("EXCHANGE RATE",C962)),ISNUMBER(SEARCH("EXCHG RTE",C962)))),"Personal Travel - Italy",IFERROR(INDEX('Category Rules'!$B$2:$B$358,MATCH(TRUE,ISNUMBER(SEARCH('Category Rules'!$A$2:$A$358,C962)),0)),""))))))))</f>
        <v>Personal - Food</v>
      </c>
    </row>
    <row r="963" spans="1:7" x14ac:dyDescent="0.25">
      <c r="A963" t="s">
        <v>6</v>
      </c>
      <c r="B963" s="1">
        <v>45889</v>
      </c>
      <c r="C963" t="s">
        <v>897</v>
      </c>
      <c r="D963">
        <v>-33.56</v>
      </c>
      <c r="E963" t="s">
        <v>10</v>
      </c>
      <c r="F963">
        <v>3591.66</v>
      </c>
      <c r="G963" t="str" cm="1">
        <f t="array" ref="G963">IF(AND(ISNUMBER(SEARCH("UBER",C963)),ISNUMBER(SEARCH("EATS",C963))),"Uber Eats",IF(LEFT(C963,6)="CHECK ","Checks Paid",IF(OR(E963="BILLPAY",ISNUMBER(SEARCH("FRANCHISE TAX",C963)),ISNUMBER(SEARCH("NEXTLINK",C963))),"Personal - House Bills",IF(AND(ISNUMBER(SEARCH("PAYMENT FROM",C963)),ISNUMBER(SEARCH("JOE SAUNDERS",C963))),"Zelle from Joe Saunders",IF(AND(ISNUMBER(SEARCH("PAYMENT TO",C963)),ISNUMBER(SEARCH("JOE SAUNDERS",C963))),"Zelle to Joe Saunders",IF(OR(ISNUMBER(SEARCH("NEW ORLEANS",C963)),ISNUMBER(SEARCH("KENNER",C963)),ISNUMBER(SEARCH("HENRY HOWARD",C963)),ISNUMBER(SEARCH("MISS CLAUDIA",C963))),"Personal Travel - New Orleans",IF(AND(YEAR(B963)=2025,MONTH(B963)=4,OR(ISNUMBER(SEARCH("EXCHANGE RATE",C963)),ISNUMBER(SEARCH("EXCHG RTE",C963)))),"Personal Travel - Italy",IFERROR(INDEX('Category Rules'!$B$2:$B$358,MATCH(TRUE,ISNUMBER(SEARCH('Category Rules'!$A$2:$A$358,C963)),0)),""))))))))</f>
        <v>Personal - Food</v>
      </c>
    </row>
    <row r="964" spans="1:7" x14ac:dyDescent="0.25">
      <c r="A964" t="s">
        <v>6</v>
      </c>
      <c r="B964" s="1">
        <v>45889</v>
      </c>
      <c r="C964" t="s">
        <v>898</v>
      </c>
      <c r="D964">
        <v>-49.98</v>
      </c>
      <c r="E964" t="s">
        <v>10</v>
      </c>
      <c r="F964">
        <v>3625.22</v>
      </c>
      <c r="G964" t="str" cm="1">
        <f t="array" ref="G964">IF(AND(ISNUMBER(SEARCH("UBER",C964)),ISNUMBER(SEARCH("EATS",C964))),"Uber Eats",IF(LEFT(C964,6)="CHECK ","Checks Paid",IF(OR(E964="BILLPAY",ISNUMBER(SEARCH("FRANCHISE TAX",C964)),ISNUMBER(SEARCH("NEXTLINK",C964))),"Personal - House Bills",IF(AND(ISNUMBER(SEARCH("PAYMENT FROM",C964)),ISNUMBER(SEARCH("JOE SAUNDERS",C964))),"Zelle from Joe Saunders",IF(AND(ISNUMBER(SEARCH("PAYMENT TO",C964)),ISNUMBER(SEARCH("JOE SAUNDERS",C964))),"Zelle to Joe Saunders",IF(OR(ISNUMBER(SEARCH("NEW ORLEANS",C964)),ISNUMBER(SEARCH("KENNER",C964)),ISNUMBER(SEARCH("HENRY HOWARD",C964)),ISNUMBER(SEARCH("MISS CLAUDIA",C964))),"Personal Travel - New Orleans",IF(AND(YEAR(B964)=2025,MONTH(B964)=4,OR(ISNUMBER(SEARCH("EXCHANGE RATE",C964)),ISNUMBER(SEARCH("EXCHG RTE",C964)))),"Personal Travel - Italy",IFERROR(INDEX('Category Rules'!$B$2:$B$358,MATCH(TRUE,ISNUMBER(SEARCH('Category Rules'!$A$2:$A$358,C964)),0)),""))))))))</f>
        <v>Uber Eats</v>
      </c>
    </row>
    <row r="965" spans="1:7" x14ac:dyDescent="0.25">
      <c r="A965" t="s">
        <v>6</v>
      </c>
      <c r="B965" s="1">
        <v>45889</v>
      </c>
      <c r="C965" t="s">
        <v>899</v>
      </c>
      <c r="D965">
        <v>-62.5</v>
      </c>
      <c r="E965" t="s">
        <v>10</v>
      </c>
      <c r="F965">
        <v>3675.2</v>
      </c>
      <c r="G965" t="str" cm="1">
        <f t="array" ref="G965">IF(AND(ISNUMBER(SEARCH("UBER",C965)),ISNUMBER(SEARCH("EATS",C965))),"Uber Eats",IF(LEFT(C965,6)="CHECK ","Checks Paid",IF(OR(E965="BILLPAY",ISNUMBER(SEARCH("FRANCHISE TAX",C965)),ISNUMBER(SEARCH("NEXTLINK",C965))),"Personal - House Bills",IF(AND(ISNUMBER(SEARCH("PAYMENT FROM",C965)),ISNUMBER(SEARCH("JOE SAUNDERS",C965))),"Zelle from Joe Saunders",IF(AND(ISNUMBER(SEARCH("PAYMENT TO",C965)),ISNUMBER(SEARCH("JOE SAUNDERS",C965))),"Zelle to Joe Saunders",IF(OR(ISNUMBER(SEARCH("NEW ORLEANS",C965)),ISNUMBER(SEARCH("KENNER",C965)),ISNUMBER(SEARCH("HENRY HOWARD",C965)),ISNUMBER(SEARCH("MISS CLAUDIA",C965))),"Personal Travel - New Orleans",IF(AND(YEAR(B965)=2025,MONTH(B965)=4,OR(ISNUMBER(SEARCH("EXCHANGE RATE",C965)),ISNUMBER(SEARCH("EXCHG RTE",C965)))),"Personal Travel - Italy",IFERROR(INDEX('Category Rules'!$B$2:$B$358,MATCH(TRUE,ISNUMBER(SEARCH('Category Rules'!$A$2:$A$358,C965)),0)),""))))))))</f>
        <v>Personal - Entertainment</v>
      </c>
    </row>
    <row r="966" spans="1:7" x14ac:dyDescent="0.25">
      <c r="A966" t="s">
        <v>6</v>
      </c>
      <c r="B966" s="1">
        <v>45889</v>
      </c>
      <c r="C966" t="s">
        <v>900</v>
      </c>
      <c r="D966">
        <v>-248.32</v>
      </c>
      <c r="E966" t="s">
        <v>10</v>
      </c>
      <c r="F966">
        <v>3737.7</v>
      </c>
      <c r="G966" t="str" cm="1">
        <f t="array" ref="G966">IF(AND(ISNUMBER(SEARCH("UBER",C966)),ISNUMBER(SEARCH("EATS",C966))),"Uber Eats",IF(LEFT(C966,6)="CHECK ","Checks Paid",IF(OR(E966="BILLPAY",ISNUMBER(SEARCH("FRANCHISE TAX",C966)),ISNUMBER(SEARCH("NEXTLINK",C966))),"Personal - House Bills",IF(AND(ISNUMBER(SEARCH("PAYMENT FROM",C966)),ISNUMBER(SEARCH("JOE SAUNDERS",C966))),"Zelle from Joe Saunders",IF(AND(ISNUMBER(SEARCH("PAYMENT TO",C966)),ISNUMBER(SEARCH("JOE SAUNDERS",C966))),"Zelle to Joe Saunders",IF(OR(ISNUMBER(SEARCH("NEW ORLEANS",C966)),ISNUMBER(SEARCH("KENNER",C966)),ISNUMBER(SEARCH("HENRY HOWARD",C966)),ISNUMBER(SEARCH("MISS CLAUDIA",C966))),"Personal Travel - New Orleans",IF(AND(YEAR(B966)=2025,MONTH(B966)=4,OR(ISNUMBER(SEARCH("EXCHANGE RATE",C966)),ISNUMBER(SEARCH("EXCHG RTE",C966)))),"Personal Travel - Italy",IFERROR(INDEX('Category Rules'!$B$2:$B$358,MATCH(TRUE,ISNUMBER(SEARCH('Category Rules'!$A$2:$A$358,C966)),0)),""))))))))</f>
        <v>Amazon</v>
      </c>
    </row>
    <row r="967" spans="1:7" x14ac:dyDescent="0.25">
      <c r="A967" t="s">
        <v>44</v>
      </c>
      <c r="B967" s="1">
        <v>45889</v>
      </c>
      <c r="C967" t="s">
        <v>901</v>
      </c>
      <c r="D967">
        <v>3000</v>
      </c>
      <c r="E967" t="s">
        <v>73</v>
      </c>
      <c r="F967">
        <v>3986.02</v>
      </c>
      <c r="G967" t="str" cm="1">
        <f t="array" ref="G967">IF(AND(ISNUMBER(SEARCH("UBER",C967)),ISNUMBER(SEARCH("EATS",C967))),"Uber Eats",IF(LEFT(C967,6)="CHECK ","Checks Paid",IF(OR(E967="BILLPAY",ISNUMBER(SEARCH("FRANCHISE TAX",C967)),ISNUMBER(SEARCH("NEXTLINK",C967))),"Personal - House Bills",IF(AND(ISNUMBER(SEARCH("PAYMENT FROM",C967)),ISNUMBER(SEARCH("JOE SAUNDERS",C967))),"Zelle from Joe Saunders",IF(AND(ISNUMBER(SEARCH("PAYMENT TO",C967)),ISNUMBER(SEARCH("JOE SAUNDERS",C967))),"Zelle to Joe Saunders",IF(OR(ISNUMBER(SEARCH("NEW ORLEANS",C967)),ISNUMBER(SEARCH("KENNER",C967)),ISNUMBER(SEARCH("HENRY HOWARD",C967)),ISNUMBER(SEARCH("MISS CLAUDIA",C967))),"Personal Travel - New Orleans",IF(AND(YEAR(B967)=2025,MONTH(B967)=4,OR(ISNUMBER(SEARCH("EXCHANGE RATE",C967)),ISNUMBER(SEARCH("EXCHG RTE",C967)))),"Personal Travel - Italy",IFERROR(INDEX('Category Rules'!$B$2:$B$358,MATCH(TRUE,ISNUMBER(SEARCH('Category Rules'!$A$2:$A$358,C967)),0)),""))))))))</f>
        <v>Transfer from DWG Capital Group</v>
      </c>
    </row>
    <row r="968" spans="1:7" x14ac:dyDescent="0.25">
      <c r="A968" t="s">
        <v>6</v>
      </c>
      <c r="B968" s="1">
        <v>45888</v>
      </c>
      <c r="C968" t="s">
        <v>902</v>
      </c>
      <c r="D968">
        <v>-28.51</v>
      </c>
      <c r="E968" t="s">
        <v>10</v>
      </c>
      <c r="F968">
        <v>986.02</v>
      </c>
      <c r="G968" t="str" cm="1">
        <f t="array" ref="G968">IF(AND(ISNUMBER(SEARCH("UBER",C968)),ISNUMBER(SEARCH("EATS",C968))),"Uber Eats",IF(LEFT(C968,6)="CHECK ","Checks Paid",IF(OR(E968="BILLPAY",ISNUMBER(SEARCH("FRANCHISE TAX",C968)),ISNUMBER(SEARCH("NEXTLINK",C968))),"Personal - House Bills",IF(AND(ISNUMBER(SEARCH("PAYMENT FROM",C968)),ISNUMBER(SEARCH("JOE SAUNDERS",C968))),"Zelle from Joe Saunders",IF(AND(ISNUMBER(SEARCH("PAYMENT TO",C968)),ISNUMBER(SEARCH("JOE SAUNDERS",C968))),"Zelle to Joe Saunders",IF(OR(ISNUMBER(SEARCH("NEW ORLEANS",C968)),ISNUMBER(SEARCH("KENNER",C968)),ISNUMBER(SEARCH("HENRY HOWARD",C968)),ISNUMBER(SEARCH("MISS CLAUDIA",C968))),"Personal Travel - New Orleans",IF(AND(YEAR(B968)=2025,MONTH(B968)=4,OR(ISNUMBER(SEARCH("EXCHANGE RATE",C968)),ISNUMBER(SEARCH("EXCHG RTE",C968)))),"Personal Travel - Italy",IFERROR(INDEX('Category Rules'!$B$2:$B$358,MATCH(TRUE,ISNUMBER(SEARCH('Category Rules'!$A$2:$A$358,C968)),0)),""))))))))</f>
        <v>Personal - Food</v>
      </c>
    </row>
    <row r="969" spans="1:7" x14ac:dyDescent="0.25">
      <c r="A969" t="s">
        <v>6</v>
      </c>
      <c r="B969" s="1">
        <v>45888</v>
      </c>
      <c r="C969" t="s">
        <v>903</v>
      </c>
      <c r="D969">
        <v>-36.1</v>
      </c>
      <c r="E969" t="s">
        <v>10</v>
      </c>
      <c r="F969">
        <v>1014.53</v>
      </c>
      <c r="G969" t="str" cm="1">
        <f t="array" ref="G969">IF(AND(ISNUMBER(SEARCH("UBER",C969)),ISNUMBER(SEARCH("EATS",C969))),"Uber Eats",IF(LEFT(C969,6)="CHECK ","Checks Paid",IF(OR(E969="BILLPAY",ISNUMBER(SEARCH("FRANCHISE TAX",C969)),ISNUMBER(SEARCH("NEXTLINK",C969))),"Personal - House Bills",IF(AND(ISNUMBER(SEARCH("PAYMENT FROM",C969)),ISNUMBER(SEARCH("JOE SAUNDERS",C969))),"Zelle from Joe Saunders",IF(AND(ISNUMBER(SEARCH("PAYMENT TO",C969)),ISNUMBER(SEARCH("JOE SAUNDERS",C969))),"Zelle to Joe Saunders",IF(OR(ISNUMBER(SEARCH("NEW ORLEANS",C969)),ISNUMBER(SEARCH("KENNER",C969)),ISNUMBER(SEARCH("HENRY HOWARD",C969)),ISNUMBER(SEARCH("MISS CLAUDIA",C969))),"Personal Travel - New Orleans",IF(AND(YEAR(B969)=2025,MONTH(B969)=4,OR(ISNUMBER(SEARCH("EXCHANGE RATE",C969)),ISNUMBER(SEARCH("EXCHG RTE",C969)))),"Personal Travel - Italy",IFERROR(INDEX('Category Rules'!$B$2:$B$358,MATCH(TRUE,ISNUMBER(SEARCH('Category Rules'!$A$2:$A$358,C969)),0)),""))))))))</f>
        <v>Personal Travel</v>
      </c>
    </row>
    <row r="970" spans="1:7" x14ac:dyDescent="0.25">
      <c r="A970" t="s">
        <v>6</v>
      </c>
      <c r="B970" s="1">
        <v>45888</v>
      </c>
      <c r="C970" t="s">
        <v>903</v>
      </c>
      <c r="D970">
        <v>-36.1</v>
      </c>
      <c r="E970" t="s">
        <v>10</v>
      </c>
      <c r="F970">
        <v>1050.6300000000001</v>
      </c>
      <c r="G970" t="str" cm="1">
        <f t="array" ref="G970">IF(AND(ISNUMBER(SEARCH("UBER",C970)),ISNUMBER(SEARCH("EATS",C970))),"Uber Eats",IF(LEFT(C970,6)="CHECK ","Checks Paid",IF(OR(E970="BILLPAY",ISNUMBER(SEARCH("FRANCHISE TAX",C970)),ISNUMBER(SEARCH("NEXTLINK",C970))),"Personal - House Bills",IF(AND(ISNUMBER(SEARCH("PAYMENT FROM",C970)),ISNUMBER(SEARCH("JOE SAUNDERS",C970))),"Zelle from Joe Saunders",IF(AND(ISNUMBER(SEARCH("PAYMENT TO",C970)),ISNUMBER(SEARCH("JOE SAUNDERS",C970))),"Zelle to Joe Saunders",IF(OR(ISNUMBER(SEARCH("NEW ORLEANS",C970)),ISNUMBER(SEARCH("KENNER",C970)),ISNUMBER(SEARCH("HENRY HOWARD",C970)),ISNUMBER(SEARCH("MISS CLAUDIA",C970))),"Personal Travel - New Orleans",IF(AND(YEAR(B970)=2025,MONTH(B970)=4,OR(ISNUMBER(SEARCH("EXCHANGE RATE",C970)),ISNUMBER(SEARCH("EXCHG RTE",C970)))),"Personal Travel - Italy",IFERROR(INDEX('Category Rules'!$B$2:$B$358,MATCH(TRUE,ISNUMBER(SEARCH('Category Rules'!$A$2:$A$358,C970)),0)),""))))))))</f>
        <v>Personal Travel</v>
      </c>
    </row>
    <row r="971" spans="1:7" x14ac:dyDescent="0.25">
      <c r="A971" t="s">
        <v>6</v>
      </c>
      <c r="B971" s="1">
        <v>45888</v>
      </c>
      <c r="C971" t="s">
        <v>904</v>
      </c>
      <c r="D971">
        <v>-35</v>
      </c>
      <c r="E971" t="s">
        <v>10</v>
      </c>
      <c r="F971">
        <v>1086.73</v>
      </c>
      <c r="G971" t="str" cm="1">
        <f t="array" ref="G971">IF(AND(ISNUMBER(SEARCH("UBER",C971)),ISNUMBER(SEARCH("EATS",C971))),"Uber Eats",IF(LEFT(C971,6)="CHECK ","Checks Paid",IF(OR(E971="BILLPAY",ISNUMBER(SEARCH("FRANCHISE TAX",C971)),ISNUMBER(SEARCH("NEXTLINK",C971))),"Personal - House Bills",IF(AND(ISNUMBER(SEARCH("PAYMENT FROM",C971)),ISNUMBER(SEARCH("JOE SAUNDERS",C971))),"Zelle from Joe Saunders",IF(AND(ISNUMBER(SEARCH("PAYMENT TO",C971)),ISNUMBER(SEARCH("JOE SAUNDERS",C971))),"Zelle to Joe Saunders",IF(OR(ISNUMBER(SEARCH("NEW ORLEANS",C971)),ISNUMBER(SEARCH("KENNER",C971)),ISNUMBER(SEARCH("HENRY HOWARD",C971)),ISNUMBER(SEARCH("MISS CLAUDIA",C971))),"Personal Travel - New Orleans",IF(AND(YEAR(B971)=2025,MONTH(B971)=4,OR(ISNUMBER(SEARCH("EXCHANGE RATE",C971)),ISNUMBER(SEARCH("EXCHG RTE",C971)))),"Personal Travel - Italy",IFERROR(INDEX('Category Rules'!$B$2:$B$358,MATCH(TRUE,ISNUMBER(SEARCH('Category Rules'!$A$2:$A$358,C971)),0)),""))))))))</f>
        <v>Personal Travel</v>
      </c>
    </row>
    <row r="972" spans="1:7" x14ac:dyDescent="0.25">
      <c r="A972" t="s">
        <v>6</v>
      </c>
      <c r="B972" s="1">
        <v>45888</v>
      </c>
      <c r="C972" t="s">
        <v>904</v>
      </c>
      <c r="D972">
        <v>-35</v>
      </c>
      <c r="E972" t="s">
        <v>10</v>
      </c>
      <c r="F972">
        <v>1121.73</v>
      </c>
      <c r="G972" t="str" cm="1">
        <f t="array" ref="G972">IF(AND(ISNUMBER(SEARCH("UBER",C972)),ISNUMBER(SEARCH("EATS",C972))),"Uber Eats",IF(LEFT(C972,6)="CHECK ","Checks Paid",IF(OR(E972="BILLPAY",ISNUMBER(SEARCH("FRANCHISE TAX",C972)),ISNUMBER(SEARCH("NEXTLINK",C972))),"Personal - House Bills",IF(AND(ISNUMBER(SEARCH("PAYMENT FROM",C972)),ISNUMBER(SEARCH("JOE SAUNDERS",C972))),"Zelle from Joe Saunders",IF(AND(ISNUMBER(SEARCH("PAYMENT TO",C972)),ISNUMBER(SEARCH("JOE SAUNDERS",C972))),"Zelle to Joe Saunders",IF(OR(ISNUMBER(SEARCH("NEW ORLEANS",C972)),ISNUMBER(SEARCH("KENNER",C972)),ISNUMBER(SEARCH("HENRY HOWARD",C972)),ISNUMBER(SEARCH("MISS CLAUDIA",C972))),"Personal Travel - New Orleans",IF(AND(YEAR(B972)=2025,MONTH(B972)=4,OR(ISNUMBER(SEARCH("EXCHANGE RATE",C972)),ISNUMBER(SEARCH("EXCHG RTE",C972)))),"Personal Travel - Italy",IFERROR(INDEX('Category Rules'!$B$2:$B$358,MATCH(TRUE,ISNUMBER(SEARCH('Category Rules'!$A$2:$A$358,C972)),0)),""))))))))</f>
        <v>Personal Travel</v>
      </c>
    </row>
    <row r="973" spans="1:7" x14ac:dyDescent="0.25">
      <c r="A973" t="s">
        <v>6</v>
      </c>
      <c r="B973" s="1">
        <v>45888</v>
      </c>
      <c r="C973" t="s">
        <v>904</v>
      </c>
      <c r="D973">
        <v>-45</v>
      </c>
      <c r="E973" t="s">
        <v>10</v>
      </c>
      <c r="F973">
        <v>1156.73</v>
      </c>
      <c r="G973" t="str" cm="1">
        <f t="array" ref="G973">IF(AND(ISNUMBER(SEARCH("UBER",C973)),ISNUMBER(SEARCH("EATS",C973))),"Uber Eats",IF(LEFT(C973,6)="CHECK ","Checks Paid",IF(OR(E973="BILLPAY",ISNUMBER(SEARCH("FRANCHISE TAX",C973)),ISNUMBER(SEARCH("NEXTLINK",C973))),"Personal - House Bills",IF(AND(ISNUMBER(SEARCH("PAYMENT FROM",C973)),ISNUMBER(SEARCH("JOE SAUNDERS",C973))),"Zelle from Joe Saunders",IF(AND(ISNUMBER(SEARCH("PAYMENT TO",C973)),ISNUMBER(SEARCH("JOE SAUNDERS",C973))),"Zelle to Joe Saunders",IF(OR(ISNUMBER(SEARCH("NEW ORLEANS",C973)),ISNUMBER(SEARCH("KENNER",C973)),ISNUMBER(SEARCH("HENRY HOWARD",C973)),ISNUMBER(SEARCH("MISS CLAUDIA",C973))),"Personal Travel - New Orleans",IF(AND(YEAR(B973)=2025,MONTH(B973)=4,OR(ISNUMBER(SEARCH("EXCHANGE RATE",C973)),ISNUMBER(SEARCH("EXCHG RTE",C973)))),"Personal Travel - Italy",IFERROR(INDEX('Category Rules'!$B$2:$B$358,MATCH(TRUE,ISNUMBER(SEARCH('Category Rules'!$A$2:$A$358,C973)),0)),""))))))))</f>
        <v>Personal Travel</v>
      </c>
    </row>
    <row r="974" spans="1:7" x14ac:dyDescent="0.25">
      <c r="A974" t="s">
        <v>6</v>
      </c>
      <c r="B974" s="1">
        <v>45888</v>
      </c>
      <c r="C974" t="s">
        <v>905</v>
      </c>
      <c r="D974">
        <v>-520</v>
      </c>
      <c r="E974" t="s">
        <v>10</v>
      </c>
      <c r="F974">
        <v>1201.73</v>
      </c>
      <c r="G974" t="str" cm="1">
        <f t="array" ref="G974">IF(AND(ISNUMBER(SEARCH("UBER",C974)),ISNUMBER(SEARCH("EATS",C974))),"Uber Eats",IF(LEFT(C974,6)="CHECK ","Checks Paid",IF(OR(E974="BILLPAY",ISNUMBER(SEARCH("FRANCHISE TAX",C974)),ISNUMBER(SEARCH("NEXTLINK",C974))),"Personal - House Bills",IF(AND(ISNUMBER(SEARCH("PAYMENT FROM",C974)),ISNUMBER(SEARCH("JOE SAUNDERS",C974))),"Zelle from Joe Saunders",IF(AND(ISNUMBER(SEARCH("PAYMENT TO",C974)),ISNUMBER(SEARCH("JOE SAUNDERS",C974))),"Zelle to Joe Saunders",IF(OR(ISNUMBER(SEARCH("NEW ORLEANS",C974)),ISNUMBER(SEARCH("KENNER",C974)),ISNUMBER(SEARCH("HENRY HOWARD",C974)),ISNUMBER(SEARCH("MISS CLAUDIA",C974))),"Personal Travel - New Orleans",IF(AND(YEAR(B974)=2025,MONTH(B974)=4,OR(ISNUMBER(SEARCH("EXCHANGE RATE",C974)),ISNUMBER(SEARCH("EXCHG RTE",C974)))),"Personal Travel - Italy",IFERROR(INDEX('Category Rules'!$B$2:$B$358,MATCH(TRUE,ISNUMBER(SEARCH('Category Rules'!$A$2:$A$358,C974)),0)),""))))))))</f>
        <v>Donation</v>
      </c>
    </row>
    <row r="975" spans="1:7" x14ac:dyDescent="0.25">
      <c r="A975" t="s">
        <v>6</v>
      </c>
      <c r="B975" s="1">
        <v>45888</v>
      </c>
      <c r="C975" t="s">
        <v>906</v>
      </c>
      <c r="D975">
        <v>-98.7</v>
      </c>
      <c r="E975" t="s">
        <v>10</v>
      </c>
      <c r="F975">
        <v>1721.73</v>
      </c>
      <c r="G975" t="str" cm="1">
        <f t="array" ref="G975">IF(AND(ISNUMBER(SEARCH("UBER",C975)),ISNUMBER(SEARCH("EATS",C975))),"Uber Eats",IF(LEFT(C975,6)="CHECK ","Checks Paid",IF(OR(E975="BILLPAY",ISNUMBER(SEARCH("FRANCHISE TAX",C975)),ISNUMBER(SEARCH("NEXTLINK",C975))),"Personal - House Bills",IF(AND(ISNUMBER(SEARCH("PAYMENT FROM",C975)),ISNUMBER(SEARCH("JOE SAUNDERS",C975))),"Zelle from Joe Saunders",IF(AND(ISNUMBER(SEARCH("PAYMENT TO",C975)),ISNUMBER(SEARCH("JOE SAUNDERS",C975))),"Zelle to Joe Saunders",IF(OR(ISNUMBER(SEARCH("NEW ORLEANS",C975)),ISNUMBER(SEARCH("KENNER",C975)),ISNUMBER(SEARCH("HENRY HOWARD",C975)),ISNUMBER(SEARCH("MISS CLAUDIA",C975))),"Personal Travel - New Orleans",IF(AND(YEAR(B975)=2025,MONTH(B975)=4,OR(ISNUMBER(SEARCH("EXCHANGE RATE",C975)),ISNUMBER(SEARCH("EXCHG RTE",C975)))),"Personal Travel - Italy",IFERROR(INDEX('Category Rules'!$B$2:$B$358,MATCH(TRUE,ISNUMBER(SEARCH('Category Rules'!$A$2:$A$358,C975)),0)),""))))))))</f>
        <v>Amazon</v>
      </c>
    </row>
    <row r="976" spans="1:7" x14ac:dyDescent="0.25">
      <c r="A976" t="s">
        <v>6</v>
      </c>
      <c r="B976" s="1">
        <v>45887</v>
      </c>
      <c r="C976" t="s">
        <v>21</v>
      </c>
      <c r="D976">
        <v>-3</v>
      </c>
      <c r="E976" t="s">
        <v>8</v>
      </c>
      <c r="F976">
        <v>1820.43</v>
      </c>
      <c r="G976" t="str" cm="1">
        <f t="array" ref="G976">IF(AND(ISNUMBER(SEARCH("UBER",C976)),ISNUMBER(SEARCH("EATS",C976))),"Uber Eats",IF(LEFT(C976,6)="CHECK ","Checks Paid",IF(OR(E976="BILLPAY",ISNUMBER(SEARCH("FRANCHISE TAX",C976)),ISNUMBER(SEARCH("NEXTLINK",C976))),"Personal - House Bills",IF(AND(ISNUMBER(SEARCH("PAYMENT FROM",C976)),ISNUMBER(SEARCH("JOE SAUNDERS",C976))),"Zelle from Joe Saunders",IF(AND(ISNUMBER(SEARCH("PAYMENT TO",C976)),ISNUMBER(SEARCH("JOE SAUNDERS",C976))),"Zelle to Joe Saunders",IF(OR(ISNUMBER(SEARCH("NEW ORLEANS",C976)),ISNUMBER(SEARCH("KENNER",C976)),ISNUMBER(SEARCH("HENRY HOWARD",C976)),ISNUMBER(SEARCH("MISS CLAUDIA",C976))),"Personal Travel - New Orleans",IF(AND(YEAR(B976)=2025,MONTH(B976)=4,OR(ISNUMBER(SEARCH("EXCHANGE RATE",C976)),ISNUMBER(SEARCH("EXCHG RTE",C976)))),"Personal Travel - Italy",IFERROR(INDEX('Category Rules'!$B$2:$B$358,MATCH(TRUE,ISNUMBER(SEARCH('Category Rules'!$A$2:$A$358,C976)),0)),""))))))))</f>
        <v>Bank Fees</v>
      </c>
    </row>
    <row r="977" spans="1:7" x14ac:dyDescent="0.25">
      <c r="A977" t="s">
        <v>6</v>
      </c>
      <c r="B977" s="1">
        <v>45887</v>
      </c>
      <c r="C977" t="s">
        <v>907</v>
      </c>
      <c r="D977">
        <v>-65</v>
      </c>
      <c r="E977" t="s">
        <v>10</v>
      </c>
      <c r="F977">
        <v>1823.43</v>
      </c>
      <c r="G977" t="str" cm="1">
        <f t="array" ref="G977">IF(AND(ISNUMBER(SEARCH("UBER",C977)),ISNUMBER(SEARCH("EATS",C977))),"Uber Eats",IF(LEFT(C977,6)="CHECK ","Checks Paid",IF(OR(E977="BILLPAY",ISNUMBER(SEARCH("FRANCHISE TAX",C977)),ISNUMBER(SEARCH("NEXTLINK",C977))),"Personal - House Bills",IF(AND(ISNUMBER(SEARCH("PAYMENT FROM",C977)),ISNUMBER(SEARCH("JOE SAUNDERS",C977))),"Zelle from Joe Saunders",IF(AND(ISNUMBER(SEARCH("PAYMENT TO",C977)),ISNUMBER(SEARCH("JOE SAUNDERS",C977))),"Zelle to Joe Saunders",IF(OR(ISNUMBER(SEARCH("NEW ORLEANS",C977)),ISNUMBER(SEARCH("KENNER",C977)),ISNUMBER(SEARCH("HENRY HOWARD",C977)),ISNUMBER(SEARCH("MISS CLAUDIA",C977))),"Personal Travel - New Orleans",IF(AND(YEAR(B977)=2025,MONTH(B977)=4,OR(ISNUMBER(SEARCH("EXCHANGE RATE",C977)),ISNUMBER(SEARCH("EXCHG RTE",C977)))),"Personal Travel - Italy",IFERROR(INDEX('Category Rules'!$B$2:$B$358,MATCH(TRUE,ISNUMBER(SEARCH('Category Rules'!$A$2:$A$358,C977)),0)),""))))))))</f>
        <v>Personal - Subscription</v>
      </c>
    </row>
    <row r="978" spans="1:7" x14ac:dyDescent="0.25">
      <c r="A978" t="s">
        <v>6</v>
      </c>
      <c r="B978" s="1">
        <v>45887</v>
      </c>
      <c r="C978" t="s">
        <v>908</v>
      </c>
      <c r="D978">
        <v>-35.6</v>
      </c>
      <c r="E978" t="s">
        <v>10</v>
      </c>
      <c r="F978">
        <v>1888.43</v>
      </c>
      <c r="G978" t="str" cm="1">
        <f t="array" ref="G978">IF(AND(ISNUMBER(SEARCH("UBER",C978)),ISNUMBER(SEARCH("EATS",C978))),"Uber Eats",IF(LEFT(C978,6)="CHECK ","Checks Paid",IF(OR(E978="BILLPAY",ISNUMBER(SEARCH("FRANCHISE TAX",C978)),ISNUMBER(SEARCH("NEXTLINK",C978))),"Personal - House Bills",IF(AND(ISNUMBER(SEARCH("PAYMENT FROM",C978)),ISNUMBER(SEARCH("JOE SAUNDERS",C978))),"Zelle from Joe Saunders",IF(AND(ISNUMBER(SEARCH("PAYMENT TO",C978)),ISNUMBER(SEARCH("JOE SAUNDERS",C978))),"Zelle to Joe Saunders",IF(OR(ISNUMBER(SEARCH("NEW ORLEANS",C978)),ISNUMBER(SEARCH("KENNER",C978)),ISNUMBER(SEARCH("HENRY HOWARD",C978)),ISNUMBER(SEARCH("MISS CLAUDIA",C978))),"Personal Travel - New Orleans",IF(AND(YEAR(B978)=2025,MONTH(B978)=4,OR(ISNUMBER(SEARCH("EXCHANGE RATE",C978)),ISNUMBER(SEARCH("EXCHG RTE",C978)))),"Personal Travel - Italy",IFERROR(INDEX('Category Rules'!$B$2:$B$358,MATCH(TRUE,ISNUMBER(SEARCH('Category Rules'!$A$2:$A$358,C978)),0)),""))))))))</f>
        <v>Amazon</v>
      </c>
    </row>
    <row r="979" spans="1:7" x14ac:dyDescent="0.25">
      <c r="A979" t="s">
        <v>6</v>
      </c>
      <c r="B979" s="1">
        <v>45887</v>
      </c>
      <c r="C979" t="s">
        <v>909</v>
      </c>
      <c r="D979">
        <v>-303</v>
      </c>
      <c r="E979" t="s">
        <v>26</v>
      </c>
      <c r="F979">
        <v>1924.03</v>
      </c>
      <c r="G979" t="str" cm="1">
        <f t="array" ref="G979">IF(AND(ISNUMBER(SEARCH("UBER",C979)),ISNUMBER(SEARCH("EATS",C979))),"Uber Eats",IF(LEFT(C979,6)="CHECK ","Checks Paid",IF(OR(E979="BILLPAY",ISNUMBER(SEARCH("FRANCHISE TAX",C979)),ISNUMBER(SEARCH("NEXTLINK",C979))),"Personal - House Bills",IF(AND(ISNUMBER(SEARCH("PAYMENT FROM",C979)),ISNUMBER(SEARCH("JOE SAUNDERS",C979))),"Zelle from Joe Saunders",IF(AND(ISNUMBER(SEARCH("PAYMENT TO",C979)),ISNUMBER(SEARCH("JOE SAUNDERS",C979))),"Zelle to Joe Saunders",IF(OR(ISNUMBER(SEARCH("NEW ORLEANS",C979)),ISNUMBER(SEARCH("KENNER",C979)),ISNUMBER(SEARCH("HENRY HOWARD",C979)),ISNUMBER(SEARCH("MISS CLAUDIA",C979))),"Personal Travel - New Orleans",IF(AND(YEAR(B979)=2025,MONTH(B979)=4,OR(ISNUMBER(SEARCH("EXCHANGE RATE",C979)),ISNUMBER(SEARCH("EXCHG RTE",C979)))),"Personal Travel - Italy",IFERROR(INDEX('Category Rules'!$B$2:$B$358,MATCH(TRUE,ISNUMBER(SEARCH('Category Rules'!$A$2:$A$358,C979)),0)),""))))))))</f>
        <v>Withdrawal</v>
      </c>
    </row>
    <row r="980" spans="1:7" x14ac:dyDescent="0.25">
      <c r="A980" t="s">
        <v>6</v>
      </c>
      <c r="B980" s="1">
        <v>45887</v>
      </c>
      <c r="C980" t="s">
        <v>910</v>
      </c>
      <c r="D980">
        <v>-88</v>
      </c>
      <c r="E980" t="s">
        <v>10</v>
      </c>
      <c r="F980">
        <v>2227.0300000000002</v>
      </c>
      <c r="G980" t="str" cm="1">
        <f t="array" ref="G980">IF(AND(ISNUMBER(SEARCH("UBER",C980)),ISNUMBER(SEARCH("EATS",C980))),"Uber Eats",IF(LEFT(C980,6)="CHECK ","Checks Paid",IF(OR(E980="BILLPAY",ISNUMBER(SEARCH("FRANCHISE TAX",C980)),ISNUMBER(SEARCH("NEXTLINK",C980))),"Personal - House Bills",IF(AND(ISNUMBER(SEARCH("PAYMENT FROM",C980)),ISNUMBER(SEARCH("JOE SAUNDERS",C980))),"Zelle from Joe Saunders",IF(AND(ISNUMBER(SEARCH("PAYMENT TO",C980)),ISNUMBER(SEARCH("JOE SAUNDERS",C980))),"Zelle to Joe Saunders",IF(OR(ISNUMBER(SEARCH("NEW ORLEANS",C980)),ISNUMBER(SEARCH("KENNER",C980)),ISNUMBER(SEARCH("HENRY HOWARD",C980)),ISNUMBER(SEARCH("MISS CLAUDIA",C980))),"Personal Travel - New Orleans",IF(AND(YEAR(B980)=2025,MONTH(B980)=4,OR(ISNUMBER(SEARCH("EXCHANGE RATE",C980)),ISNUMBER(SEARCH("EXCHG RTE",C980)))),"Personal Travel - Italy",IFERROR(INDEX('Category Rules'!$B$2:$B$358,MATCH(TRUE,ISNUMBER(SEARCH('Category Rules'!$A$2:$A$358,C980)),0)),""))))))))</f>
        <v>Personal - Health</v>
      </c>
    </row>
    <row r="981" spans="1:7" x14ac:dyDescent="0.25">
      <c r="A981" t="s">
        <v>6</v>
      </c>
      <c r="B981" s="1">
        <v>45887</v>
      </c>
      <c r="C981" t="s">
        <v>911</v>
      </c>
      <c r="D981">
        <v>-216.49</v>
      </c>
      <c r="E981" t="s">
        <v>10</v>
      </c>
      <c r="F981">
        <v>2315.0300000000002</v>
      </c>
      <c r="G981" t="str" cm="1">
        <f t="array" ref="G981">IF(AND(ISNUMBER(SEARCH("UBER",C981)),ISNUMBER(SEARCH("EATS",C981))),"Uber Eats",IF(LEFT(C981,6)="CHECK ","Checks Paid",IF(OR(E981="BILLPAY",ISNUMBER(SEARCH("FRANCHISE TAX",C981)),ISNUMBER(SEARCH("NEXTLINK",C981))),"Personal - House Bills",IF(AND(ISNUMBER(SEARCH("PAYMENT FROM",C981)),ISNUMBER(SEARCH("JOE SAUNDERS",C981))),"Zelle from Joe Saunders",IF(AND(ISNUMBER(SEARCH("PAYMENT TO",C981)),ISNUMBER(SEARCH("JOE SAUNDERS",C981))),"Zelle to Joe Saunders",IF(OR(ISNUMBER(SEARCH("NEW ORLEANS",C981)),ISNUMBER(SEARCH("KENNER",C981)),ISNUMBER(SEARCH("HENRY HOWARD",C981)),ISNUMBER(SEARCH("MISS CLAUDIA",C981))),"Personal Travel - New Orleans",IF(AND(YEAR(B981)=2025,MONTH(B981)=4,OR(ISNUMBER(SEARCH("EXCHANGE RATE",C981)),ISNUMBER(SEARCH("EXCHG RTE",C981)))),"Personal Travel - Italy",IFERROR(INDEX('Category Rules'!$B$2:$B$358,MATCH(TRUE,ISNUMBER(SEARCH('Category Rules'!$A$2:$A$358,C981)),0)),""))))))))</f>
        <v>AT&amp;T</v>
      </c>
    </row>
    <row r="982" spans="1:7" x14ac:dyDescent="0.25">
      <c r="A982" t="s">
        <v>6</v>
      </c>
      <c r="B982" s="1">
        <v>45887</v>
      </c>
      <c r="C982" t="s">
        <v>912</v>
      </c>
      <c r="D982">
        <v>-116.81</v>
      </c>
      <c r="E982" t="s">
        <v>10</v>
      </c>
      <c r="F982">
        <v>2531.52</v>
      </c>
      <c r="G982" t="str" cm="1">
        <f t="array" ref="G982">IF(AND(ISNUMBER(SEARCH("UBER",C982)),ISNUMBER(SEARCH("EATS",C982))),"Uber Eats",IF(LEFT(C982,6)="CHECK ","Checks Paid",IF(OR(E982="BILLPAY",ISNUMBER(SEARCH("FRANCHISE TAX",C982)),ISNUMBER(SEARCH("NEXTLINK",C982))),"Personal - House Bills",IF(AND(ISNUMBER(SEARCH("PAYMENT FROM",C982)),ISNUMBER(SEARCH("JOE SAUNDERS",C982))),"Zelle from Joe Saunders",IF(AND(ISNUMBER(SEARCH("PAYMENT TO",C982)),ISNUMBER(SEARCH("JOE SAUNDERS",C982))),"Zelle to Joe Saunders",IF(OR(ISNUMBER(SEARCH("NEW ORLEANS",C982)),ISNUMBER(SEARCH("KENNER",C982)),ISNUMBER(SEARCH("HENRY HOWARD",C982)),ISNUMBER(SEARCH("MISS CLAUDIA",C982))),"Personal Travel - New Orleans",IF(AND(YEAR(B982)=2025,MONTH(B982)=4,OR(ISNUMBER(SEARCH("EXCHANGE RATE",C982)),ISNUMBER(SEARCH("EXCHG RTE",C982)))),"Personal Travel - Italy",IFERROR(INDEX('Category Rules'!$B$2:$B$358,MATCH(TRUE,ISNUMBER(SEARCH('Category Rules'!$A$2:$A$358,C982)),0)),""))))))))</f>
        <v>Personal - Food</v>
      </c>
    </row>
    <row r="983" spans="1:7" x14ac:dyDescent="0.25">
      <c r="A983" t="s">
        <v>6</v>
      </c>
      <c r="B983" s="1">
        <v>45887</v>
      </c>
      <c r="C983" t="s">
        <v>913</v>
      </c>
      <c r="D983">
        <v>-48.78</v>
      </c>
      <c r="E983" t="s">
        <v>10</v>
      </c>
      <c r="F983">
        <v>2648.33</v>
      </c>
      <c r="G983" t="str" cm="1">
        <f t="array" ref="G983">IF(AND(ISNUMBER(SEARCH("UBER",C983)),ISNUMBER(SEARCH("EATS",C983))),"Uber Eats",IF(LEFT(C983,6)="CHECK ","Checks Paid",IF(OR(E983="BILLPAY",ISNUMBER(SEARCH("FRANCHISE TAX",C983)),ISNUMBER(SEARCH("NEXTLINK",C983))),"Personal - House Bills",IF(AND(ISNUMBER(SEARCH("PAYMENT FROM",C983)),ISNUMBER(SEARCH("JOE SAUNDERS",C983))),"Zelle from Joe Saunders",IF(AND(ISNUMBER(SEARCH("PAYMENT TO",C983)),ISNUMBER(SEARCH("JOE SAUNDERS",C983))),"Zelle to Joe Saunders",IF(OR(ISNUMBER(SEARCH("NEW ORLEANS",C983)),ISNUMBER(SEARCH("KENNER",C983)),ISNUMBER(SEARCH("HENRY HOWARD",C983)),ISNUMBER(SEARCH("MISS CLAUDIA",C983))),"Personal Travel - New Orleans",IF(AND(YEAR(B983)=2025,MONTH(B983)=4,OR(ISNUMBER(SEARCH("EXCHANGE RATE",C983)),ISNUMBER(SEARCH("EXCHG RTE",C983)))),"Personal Travel - Italy",IFERROR(INDEX('Category Rules'!$B$2:$B$358,MATCH(TRUE,ISNUMBER(SEARCH('Category Rules'!$A$2:$A$358,C983)),0)),""))))))))</f>
        <v>Personal - Car</v>
      </c>
    </row>
    <row r="984" spans="1:7" x14ac:dyDescent="0.25">
      <c r="A984" t="s">
        <v>6</v>
      </c>
      <c r="B984" s="1">
        <v>45887</v>
      </c>
      <c r="C984" t="s">
        <v>914</v>
      </c>
      <c r="D984">
        <v>-74.5</v>
      </c>
      <c r="E984" t="s">
        <v>10</v>
      </c>
      <c r="F984">
        <v>2697.11</v>
      </c>
      <c r="G984" t="str" cm="1">
        <f t="array" ref="G984">IF(AND(ISNUMBER(SEARCH("UBER",C984)),ISNUMBER(SEARCH("EATS",C984))),"Uber Eats",IF(LEFT(C984,6)="CHECK ","Checks Paid",IF(OR(E984="BILLPAY",ISNUMBER(SEARCH("FRANCHISE TAX",C984)),ISNUMBER(SEARCH("NEXTLINK",C984))),"Personal - House Bills",IF(AND(ISNUMBER(SEARCH("PAYMENT FROM",C984)),ISNUMBER(SEARCH("JOE SAUNDERS",C984))),"Zelle from Joe Saunders",IF(AND(ISNUMBER(SEARCH("PAYMENT TO",C984)),ISNUMBER(SEARCH("JOE SAUNDERS",C984))),"Zelle to Joe Saunders",IF(OR(ISNUMBER(SEARCH("NEW ORLEANS",C984)),ISNUMBER(SEARCH("KENNER",C984)),ISNUMBER(SEARCH("HENRY HOWARD",C984)),ISNUMBER(SEARCH("MISS CLAUDIA",C984))),"Personal Travel - New Orleans",IF(AND(YEAR(B984)=2025,MONTH(B984)=4,OR(ISNUMBER(SEARCH("EXCHANGE RATE",C984)),ISNUMBER(SEARCH("EXCHG RTE",C984)))),"Personal Travel - Italy",IFERROR(INDEX('Category Rules'!$B$2:$B$358,MATCH(TRUE,ISNUMBER(SEARCH('Category Rules'!$A$2:$A$358,C984)),0)),""))))))))</f>
        <v>Personal - Clothing</v>
      </c>
    </row>
    <row r="985" spans="1:7" x14ac:dyDescent="0.25">
      <c r="A985" t="s">
        <v>44</v>
      </c>
      <c r="B985" s="1">
        <v>45887</v>
      </c>
      <c r="C985" t="s">
        <v>915</v>
      </c>
      <c r="D985">
        <v>75</v>
      </c>
      <c r="E985" t="s">
        <v>46</v>
      </c>
      <c r="F985">
        <v>2771.61</v>
      </c>
      <c r="G985" t="str" cm="1">
        <f t="array" ref="G985">IF(AND(ISNUMBER(SEARCH("UBER",C985)),ISNUMBER(SEARCH("EATS",C985))),"Uber Eats",IF(LEFT(C985,6)="CHECK ","Checks Paid",IF(OR(E985="BILLPAY",ISNUMBER(SEARCH("FRANCHISE TAX",C985)),ISNUMBER(SEARCH("NEXTLINK",C985))),"Personal - House Bills",IF(AND(ISNUMBER(SEARCH("PAYMENT FROM",C985)),ISNUMBER(SEARCH("JOE SAUNDERS",C985))),"Zelle from Joe Saunders",IF(AND(ISNUMBER(SEARCH("PAYMENT TO",C985)),ISNUMBER(SEARCH("JOE SAUNDERS",C985))),"Zelle to Joe Saunders",IF(OR(ISNUMBER(SEARCH("NEW ORLEANS",C985)),ISNUMBER(SEARCH("KENNER",C985)),ISNUMBER(SEARCH("HENRY HOWARD",C985)),ISNUMBER(SEARCH("MISS CLAUDIA",C985))),"Personal Travel - New Orleans",IF(AND(YEAR(B985)=2025,MONTH(B985)=4,OR(ISNUMBER(SEARCH("EXCHANGE RATE",C985)),ISNUMBER(SEARCH("EXCHG RTE",C985)))),"Personal Travel - Italy",IFERROR(INDEX('Category Rules'!$B$2:$B$358,MATCH(TRUE,ISNUMBER(SEARCH('Category Rules'!$A$2:$A$358,C985)),0)),""))))))))</f>
        <v>Zelle from Mary Margaret Trahan</v>
      </c>
    </row>
    <row r="986" spans="1:7" x14ac:dyDescent="0.25">
      <c r="A986" t="s">
        <v>44</v>
      </c>
      <c r="B986" s="1">
        <v>45887</v>
      </c>
      <c r="C986" t="s">
        <v>916</v>
      </c>
      <c r="D986">
        <v>1000</v>
      </c>
      <c r="E986" t="s">
        <v>73</v>
      </c>
      <c r="F986">
        <v>2696.61</v>
      </c>
      <c r="G986" t="str" cm="1">
        <f t="array" ref="G986">IF(AND(ISNUMBER(SEARCH("UBER",C986)),ISNUMBER(SEARCH("EATS",C986))),"Uber Eats",IF(LEFT(C986,6)="CHECK ","Checks Paid",IF(OR(E986="BILLPAY",ISNUMBER(SEARCH("FRANCHISE TAX",C986)),ISNUMBER(SEARCH("NEXTLINK",C986))),"Personal - House Bills",IF(AND(ISNUMBER(SEARCH("PAYMENT FROM",C986)),ISNUMBER(SEARCH("JOE SAUNDERS",C986))),"Zelle from Joe Saunders",IF(AND(ISNUMBER(SEARCH("PAYMENT TO",C986)),ISNUMBER(SEARCH("JOE SAUNDERS",C986))),"Zelle to Joe Saunders",IF(OR(ISNUMBER(SEARCH("NEW ORLEANS",C986)),ISNUMBER(SEARCH("KENNER",C986)),ISNUMBER(SEARCH("HENRY HOWARD",C986)),ISNUMBER(SEARCH("MISS CLAUDIA",C986))),"Personal Travel - New Orleans",IF(AND(YEAR(B986)=2025,MONTH(B986)=4,OR(ISNUMBER(SEARCH("EXCHANGE RATE",C986)),ISNUMBER(SEARCH("EXCHG RTE",C986)))),"Personal Travel - Italy",IFERROR(INDEX('Category Rules'!$B$2:$B$358,MATCH(TRUE,ISNUMBER(SEARCH('Category Rules'!$A$2:$A$358,C986)),0)),""))))))))</f>
        <v>Transfer from DWG Capital Group</v>
      </c>
    </row>
    <row r="987" spans="1:7" x14ac:dyDescent="0.25">
      <c r="A987" t="s">
        <v>6</v>
      </c>
      <c r="B987" s="1">
        <v>45884</v>
      </c>
      <c r="C987" t="s">
        <v>917</v>
      </c>
      <c r="D987">
        <v>-206.25</v>
      </c>
      <c r="E987" t="s">
        <v>10</v>
      </c>
      <c r="F987">
        <v>1696.61</v>
      </c>
      <c r="G987" t="str" cm="1">
        <f t="array" ref="G987">IF(AND(ISNUMBER(SEARCH("UBER",C987)),ISNUMBER(SEARCH("EATS",C987))),"Uber Eats",IF(LEFT(C987,6)="CHECK ","Checks Paid",IF(OR(E987="BILLPAY",ISNUMBER(SEARCH("FRANCHISE TAX",C987)),ISNUMBER(SEARCH("NEXTLINK",C987))),"Personal - House Bills",IF(AND(ISNUMBER(SEARCH("PAYMENT FROM",C987)),ISNUMBER(SEARCH("JOE SAUNDERS",C987))),"Zelle from Joe Saunders",IF(AND(ISNUMBER(SEARCH("PAYMENT TO",C987)),ISNUMBER(SEARCH("JOE SAUNDERS",C987))),"Zelle to Joe Saunders",IF(OR(ISNUMBER(SEARCH("NEW ORLEANS",C987)),ISNUMBER(SEARCH("KENNER",C987)),ISNUMBER(SEARCH("HENRY HOWARD",C987)),ISNUMBER(SEARCH("MISS CLAUDIA",C987))),"Personal Travel - New Orleans",IF(AND(YEAR(B987)=2025,MONTH(B987)=4,OR(ISNUMBER(SEARCH("EXCHANGE RATE",C987)),ISNUMBER(SEARCH("EXCHG RTE",C987)))),"Personal Travel - Italy",IFERROR(INDEX('Category Rules'!$B$2:$B$358,MATCH(TRUE,ISNUMBER(SEARCH('Category Rules'!$A$2:$A$358,C987)),0)),""))))))))</f>
        <v>Personal - Shopping</v>
      </c>
    </row>
    <row r="988" spans="1:7" x14ac:dyDescent="0.25">
      <c r="A988" t="s">
        <v>6</v>
      </c>
      <c r="B988" s="1">
        <v>45884</v>
      </c>
      <c r="C988" t="s">
        <v>918</v>
      </c>
      <c r="D988">
        <v>-300</v>
      </c>
      <c r="E988" t="s">
        <v>39</v>
      </c>
      <c r="F988">
        <v>1902.86</v>
      </c>
      <c r="G988" t="str" cm="1">
        <f t="array" ref="G988">IF(AND(ISNUMBER(SEARCH("UBER",C988)),ISNUMBER(SEARCH("EATS",C988))),"Uber Eats",IF(LEFT(C988,6)="CHECK ","Checks Paid",IF(OR(E988="BILLPAY",ISNUMBER(SEARCH("FRANCHISE TAX",C988)),ISNUMBER(SEARCH("NEXTLINK",C988))),"Personal - House Bills",IF(AND(ISNUMBER(SEARCH("PAYMENT FROM",C988)),ISNUMBER(SEARCH("JOE SAUNDERS",C988))),"Zelle from Joe Saunders",IF(AND(ISNUMBER(SEARCH("PAYMENT TO",C988)),ISNUMBER(SEARCH("JOE SAUNDERS",C988))),"Zelle to Joe Saunders",IF(OR(ISNUMBER(SEARCH("NEW ORLEANS",C988)),ISNUMBER(SEARCH("KENNER",C988)),ISNUMBER(SEARCH("HENRY HOWARD",C988)),ISNUMBER(SEARCH("MISS CLAUDIA",C988))),"Personal Travel - New Orleans",IF(AND(YEAR(B988)=2025,MONTH(B988)=4,OR(ISNUMBER(SEARCH("EXCHANGE RATE",C988)),ISNUMBER(SEARCH("EXCHG RTE",C988)))),"Personal Travel - Italy",IFERROR(INDEX('Category Rules'!$B$2:$B$358,MATCH(TRUE,ISNUMBER(SEARCH('Category Rules'!$A$2:$A$358,C988)),0)),""))))))))</f>
        <v>Zelle to Britt Magadini</v>
      </c>
    </row>
    <row r="989" spans="1:7" x14ac:dyDescent="0.25">
      <c r="A989" t="s">
        <v>6</v>
      </c>
      <c r="B989" s="1">
        <v>45884</v>
      </c>
      <c r="C989" t="s">
        <v>919</v>
      </c>
      <c r="D989">
        <v>-266.37</v>
      </c>
      <c r="E989" t="s">
        <v>10</v>
      </c>
      <c r="F989">
        <v>2202.86</v>
      </c>
      <c r="G989" t="str" cm="1">
        <f t="array" ref="G989">IF(AND(ISNUMBER(SEARCH("UBER",C989)),ISNUMBER(SEARCH("EATS",C989))),"Uber Eats",IF(LEFT(C989,6)="CHECK ","Checks Paid",IF(OR(E989="BILLPAY",ISNUMBER(SEARCH("FRANCHISE TAX",C989)),ISNUMBER(SEARCH("NEXTLINK",C989))),"Personal - House Bills",IF(AND(ISNUMBER(SEARCH("PAYMENT FROM",C989)),ISNUMBER(SEARCH("JOE SAUNDERS",C989))),"Zelle from Joe Saunders",IF(AND(ISNUMBER(SEARCH("PAYMENT TO",C989)),ISNUMBER(SEARCH("JOE SAUNDERS",C989))),"Zelle to Joe Saunders",IF(OR(ISNUMBER(SEARCH("NEW ORLEANS",C989)),ISNUMBER(SEARCH("KENNER",C989)),ISNUMBER(SEARCH("HENRY HOWARD",C989)),ISNUMBER(SEARCH("MISS CLAUDIA",C989))),"Personal Travel - New Orleans",IF(AND(YEAR(B989)=2025,MONTH(B989)=4,OR(ISNUMBER(SEARCH("EXCHANGE RATE",C989)),ISNUMBER(SEARCH("EXCHG RTE",C989)))),"Personal Travel - Italy",IFERROR(INDEX('Category Rules'!$B$2:$B$358,MATCH(TRUE,ISNUMBER(SEARCH('Category Rules'!$A$2:$A$358,C989)),0)),""))))))))</f>
        <v>Personal - Shopping</v>
      </c>
    </row>
    <row r="990" spans="1:7" x14ac:dyDescent="0.25">
      <c r="A990" t="s">
        <v>6</v>
      </c>
      <c r="B990" s="1">
        <v>45884</v>
      </c>
      <c r="C990" t="s">
        <v>920</v>
      </c>
      <c r="D990">
        <v>-600</v>
      </c>
      <c r="E990" t="s">
        <v>26</v>
      </c>
      <c r="F990">
        <v>2469.23</v>
      </c>
      <c r="G990" t="str" cm="1">
        <f t="array" ref="G990">IF(AND(ISNUMBER(SEARCH("UBER",C990)),ISNUMBER(SEARCH("EATS",C990))),"Uber Eats",IF(LEFT(C990,6)="CHECK ","Checks Paid",IF(OR(E990="BILLPAY",ISNUMBER(SEARCH("FRANCHISE TAX",C990)),ISNUMBER(SEARCH("NEXTLINK",C990))),"Personal - House Bills",IF(AND(ISNUMBER(SEARCH("PAYMENT FROM",C990)),ISNUMBER(SEARCH("JOE SAUNDERS",C990))),"Zelle from Joe Saunders",IF(AND(ISNUMBER(SEARCH("PAYMENT TO",C990)),ISNUMBER(SEARCH("JOE SAUNDERS",C990))),"Zelle to Joe Saunders",IF(OR(ISNUMBER(SEARCH("NEW ORLEANS",C990)),ISNUMBER(SEARCH("KENNER",C990)),ISNUMBER(SEARCH("HENRY HOWARD",C990)),ISNUMBER(SEARCH("MISS CLAUDIA",C990))),"Personal Travel - New Orleans",IF(AND(YEAR(B990)=2025,MONTH(B990)=4,OR(ISNUMBER(SEARCH("EXCHANGE RATE",C990)),ISNUMBER(SEARCH("EXCHG RTE",C990)))),"Personal Travel - Italy",IFERROR(INDEX('Category Rules'!$B$2:$B$358,MATCH(TRUE,ISNUMBER(SEARCH('Category Rules'!$A$2:$A$358,C990)),0)),""))))))))</f>
        <v>Withdrawal</v>
      </c>
    </row>
    <row r="991" spans="1:7" x14ac:dyDescent="0.25">
      <c r="A991" t="s">
        <v>6</v>
      </c>
      <c r="B991" s="1">
        <v>45884</v>
      </c>
      <c r="C991" t="s">
        <v>921</v>
      </c>
      <c r="D991">
        <v>-23.82</v>
      </c>
      <c r="E991" t="s">
        <v>10</v>
      </c>
      <c r="F991">
        <v>3069.23</v>
      </c>
      <c r="G991" t="str" cm="1">
        <f t="array" ref="G991">IF(AND(ISNUMBER(SEARCH("UBER",C991)),ISNUMBER(SEARCH("EATS",C991))),"Uber Eats",IF(LEFT(C991,6)="CHECK ","Checks Paid",IF(OR(E991="BILLPAY",ISNUMBER(SEARCH("FRANCHISE TAX",C991)),ISNUMBER(SEARCH("NEXTLINK",C991))),"Personal - House Bills",IF(AND(ISNUMBER(SEARCH("PAYMENT FROM",C991)),ISNUMBER(SEARCH("JOE SAUNDERS",C991))),"Zelle from Joe Saunders",IF(AND(ISNUMBER(SEARCH("PAYMENT TO",C991)),ISNUMBER(SEARCH("JOE SAUNDERS",C991))),"Zelle to Joe Saunders",IF(OR(ISNUMBER(SEARCH("NEW ORLEANS",C991)),ISNUMBER(SEARCH("KENNER",C991)),ISNUMBER(SEARCH("HENRY HOWARD",C991)),ISNUMBER(SEARCH("MISS CLAUDIA",C991))),"Personal Travel - New Orleans",IF(AND(YEAR(B991)=2025,MONTH(B991)=4,OR(ISNUMBER(SEARCH("EXCHANGE RATE",C991)),ISNUMBER(SEARCH("EXCHG RTE",C991)))),"Personal Travel - Italy",IFERROR(INDEX('Category Rules'!$B$2:$B$358,MATCH(TRUE,ISNUMBER(SEARCH('Category Rules'!$A$2:$A$358,C991)),0)),""))))))))</f>
        <v>Personal - Entertainment</v>
      </c>
    </row>
    <row r="992" spans="1:7" x14ac:dyDescent="0.25">
      <c r="A992" t="s">
        <v>6</v>
      </c>
      <c r="B992" s="1">
        <v>45884</v>
      </c>
      <c r="C992" t="s">
        <v>922</v>
      </c>
      <c r="D992">
        <v>-16.989999999999998</v>
      </c>
      <c r="E992" t="s">
        <v>10</v>
      </c>
      <c r="F992">
        <v>3093.05</v>
      </c>
      <c r="G992" t="str" cm="1">
        <f t="array" ref="G992">IF(AND(ISNUMBER(SEARCH("UBER",C992)),ISNUMBER(SEARCH("EATS",C992))),"Uber Eats",IF(LEFT(C992,6)="CHECK ","Checks Paid",IF(OR(E992="BILLPAY",ISNUMBER(SEARCH("FRANCHISE TAX",C992)),ISNUMBER(SEARCH("NEXTLINK",C992))),"Personal - House Bills",IF(AND(ISNUMBER(SEARCH("PAYMENT FROM",C992)),ISNUMBER(SEARCH("JOE SAUNDERS",C992))),"Zelle from Joe Saunders",IF(AND(ISNUMBER(SEARCH("PAYMENT TO",C992)),ISNUMBER(SEARCH("JOE SAUNDERS",C992))),"Zelle to Joe Saunders",IF(OR(ISNUMBER(SEARCH("NEW ORLEANS",C992)),ISNUMBER(SEARCH("KENNER",C992)),ISNUMBER(SEARCH("HENRY HOWARD",C992)),ISNUMBER(SEARCH("MISS CLAUDIA",C992))),"Personal Travel - New Orleans",IF(AND(YEAR(B992)=2025,MONTH(B992)=4,OR(ISNUMBER(SEARCH("EXCHANGE RATE",C992)),ISNUMBER(SEARCH("EXCHG RTE",C992)))),"Personal Travel - Italy",IFERROR(INDEX('Category Rules'!$B$2:$B$358,MATCH(TRUE,ISNUMBER(SEARCH('Category Rules'!$A$2:$A$358,C992)),0)),""))))))))</f>
        <v>Amazon</v>
      </c>
    </row>
    <row r="993" spans="1:7" x14ac:dyDescent="0.25">
      <c r="A993" t="s">
        <v>6</v>
      </c>
      <c r="B993" s="1">
        <v>45884</v>
      </c>
      <c r="C993" t="s">
        <v>923</v>
      </c>
      <c r="D993">
        <v>-16.45</v>
      </c>
      <c r="E993" t="s">
        <v>10</v>
      </c>
      <c r="F993">
        <v>3110.04</v>
      </c>
      <c r="G993" t="str" cm="1">
        <f t="array" ref="G993">IF(AND(ISNUMBER(SEARCH("UBER",C993)),ISNUMBER(SEARCH("EATS",C993))),"Uber Eats",IF(LEFT(C993,6)="CHECK ","Checks Paid",IF(OR(E993="BILLPAY",ISNUMBER(SEARCH("FRANCHISE TAX",C993)),ISNUMBER(SEARCH("NEXTLINK",C993))),"Personal - House Bills",IF(AND(ISNUMBER(SEARCH("PAYMENT FROM",C993)),ISNUMBER(SEARCH("JOE SAUNDERS",C993))),"Zelle from Joe Saunders",IF(AND(ISNUMBER(SEARCH("PAYMENT TO",C993)),ISNUMBER(SEARCH("JOE SAUNDERS",C993))),"Zelle to Joe Saunders",IF(OR(ISNUMBER(SEARCH("NEW ORLEANS",C993)),ISNUMBER(SEARCH("KENNER",C993)),ISNUMBER(SEARCH("HENRY HOWARD",C993)),ISNUMBER(SEARCH("MISS CLAUDIA",C993))),"Personal Travel - New Orleans",IF(AND(YEAR(B993)=2025,MONTH(B993)=4,OR(ISNUMBER(SEARCH("EXCHANGE RATE",C993)),ISNUMBER(SEARCH("EXCHG RTE",C993)))),"Personal Travel - Italy",IFERROR(INDEX('Category Rules'!$B$2:$B$358,MATCH(TRUE,ISNUMBER(SEARCH('Category Rules'!$A$2:$A$358,C993)),0)),""))))))))</f>
        <v>Amazon</v>
      </c>
    </row>
    <row r="994" spans="1:7" x14ac:dyDescent="0.25">
      <c r="A994" t="s">
        <v>6</v>
      </c>
      <c r="B994" s="1">
        <v>45884</v>
      </c>
      <c r="C994" t="s">
        <v>924</v>
      </c>
      <c r="D994">
        <v>-59.99</v>
      </c>
      <c r="E994" t="s">
        <v>10</v>
      </c>
      <c r="F994">
        <v>3126.49</v>
      </c>
      <c r="G994" t="str" cm="1">
        <f t="array" ref="G994">IF(AND(ISNUMBER(SEARCH("UBER",C994)),ISNUMBER(SEARCH("EATS",C994))),"Uber Eats",IF(LEFT(C994,6)="CHECK ","Checks Paid",IF(OR(E994="BILLPAY",ISNUMBER(SEARCH("FRANCHISE TAX",C994)),ISNUMBER(SEARCH("NEXTLINK",C994))),"Personal - House Bills",IF(AND(ISNUMBER(SEARCH("PAYMENT FROM",C994)),ISNUMBER(SEARCH("JOE SAUNDERS",C994))),"Zelle from Joe Saunders",IF(AND(ISNUMBER(SEARCH("PAYMENT TO",C994)),ISNUMBER(SEARCH("JOE SAUNDERS",C994))),"Zelle to Joe Saunders",IF(OR(ISNUMBER(SEARCH("NEW ORLEANS",C994)),ISNUMBER(SEARCH("KENNER",C994)),ISNUMBER(SEARCH("HENRY HOWARD",C994)),ISNUMBER(SEARCH("MISS CLAUDIA",C994))),"Personal Travel - New Orleans",IF(AND(YEAR(B994)=2025,MONTH(B994)=4,OR(ISNUMBER(SEARCH("EXCHANGE RATE",C994)),ISNUMBER(SEARCH("EXCHG RTE",C994)))),"Personal Travel - Italy",IFERROR(INDEX('Category Rules'!$B$2:$B$358,MATCH(TRUE,ISNUMBER(SEARCH('Category Rules'!$A$2:$A$358,C994)),0)),""))))))))</f>
        <v>Apple</v>
      </c>
    </row>
    <row r="995" spans="1:7" x14ac:dyDescent="0.25">
      <c r="A995" t="s">
        <v>6</v>
      </c>
      <c r="B995" s="1">
        <v>45883</v>
      </c>
      <c r="C995" t="s">
        <v>925</v>
      </c>
      <c r="D995">
        <v>-230.48</v>
      </c>
      <c r="E995" t="s">
        <v>10</v>
      </c>
      <c r="F995">
        <v>3186.48</v>
      </c>
      <c r="G995" t="str" cm="1">
        <f t="array" ref="G995">IF(AND(ISNUMBER(SEARCH("UBER",C995)),ISNUMBER(SEARCH("EATS",C995))),"Uber Eats",IF(LEFT(C995,6)="CHECK ","Checks Paid",IF(OR(E995="BILLPAY",ISNUMBER(SEARCH("FRANCHISE TAX",C995)),ISNUMBER(SEARCH("NEXTLINK",C995))),"Personal - House Bills",IF(AND(ISNUMBER(SEARCH("PAYMENT FROM",C995)),ISNUMBER(SEARCH("JOE SAUNDERS",C995))),"Zelle from Joe Saunders",IF(AND(ISNUMBER(SEARCH("PAYMENT TO",C995)),ISNUMBER(SEARCH("JOE SAUNDERS",C995))),"Zelle to Joe Saunders",IF(OR(ISNUMBER(SEARCH("NEW ORLEANS",C995)),ISNUMBER(SEARCH("KENNER",C995)),ISNUMBER(SEARCH("HENRY HOWARD",C995)),ISNUMBER(SEARCH("MISS CLAUDIA",C995))),"Personal Travel - New Orleans",IF(AND(YEAR(B995)=2025,MONTH(B995)=4,OR(ISNUMBER(SEARCH("EXCHANGE RATE",C995)),ISNUMBER(SEARCH("EXCHG RTE",C995)))),"Personal Travel - Italy",IFERROR(INDEX('Category Rules'!$B$2:$B$358,MATCH(TRUE,ISNUMBER(SEARCH('Category Rules'!$A$2:$A$358,C995)),0)),""))))))))</f>
        <v>Personal - Health</v>
      </c>
    </row>
    <row r="996" spans="1:7" x14ac:dyDescent="0.25">
      <c r="A996" t="s">
        <v>6</v>
      </c>
      <c r="B996" s="1">
        <v>45883</v>
      </c>
      <c r="C996" t="s">
        <v>925</v>
      </c>
      <c r="D996">
        <v>-78.98</v>
      </c>
      <c r="E996" t="s">
        <v>10</v>
      </c>
      <c r="F996">
        <v>3416.96</v>
      </c>
      <c r="G996" t="str" cm="1">
        <f t="array" ref="G996">IF(AND(ISNUMBER(SEARCH("UBER",C996)),ISNUMBER(SEARCH("EATS",C996))),"Uber Eats",IF(LEFT(C996,6)="CHECK ","Checks Paid",IF(OR(E996="BILLPAY",ISNUMBER(SEARCH("FRANCHISE TAX",C996)),ISNUMBER(SEARCH("NEXTLINK",C996))),"Personal - House Bills",IF(AND(ISNUMBER(SEARCH("PAYMENT FROM",C996)),ISNUMBER(SEARCH("JOE SAUNDERS",C996))),"Zelle from Joe Saunders",IF(AND(ISNUMBER(SEARCH("PAYMENT TO",C996)),ISNUMBER(SEARCH("JOE SAUNDERS",C996))),"Zelle to Joe Saunders",IF(OR(ISNUMBER(SEARCH("NEW ORLEANS",C996)),ISNUMBER(SEARCH("KENNER",C996)),ISNUMBER(SEARCH("HENRY HOWARD",C996)),ISNUMBER(SEARCH("MISS CLAUDIA",C996))),"Personal Travel - New Orleans",IF(AND(YEAR(B996)=2025,MONTH(B996)=4,OR(ISNUMBER(SEARCH("EXCHANGE RATE",C996)),ISNUMBER(SEARCH("EXCHG RTE",C996)))),"Personal Travel - Italy",IFERROR(INDEX('Category Rules'!$B$2:$B$358,MATCH(TRUE,ISNUMBER(SEARCH('Category Rules'!$A$2:$A$358,C996)),0)),""))))))))</f>
        <v>Personal - Health</v>
      </c>
    </row>
    <row r="997" spans="1:7" x14ac:dyDescent="0.25">
      <c r="A997" t="s">
        <v>6</v>
      </c>
      <c r="B997" s="1">
        <v>45883</v>
      </c>
      <c r="C997" t="s">
        <v>926</v>
      </c>
      <c r="D997">
        <v>-29.98</v>
      </c>
      <c r="E997" t="s">
        <v>10</v>
      </c>
      <c r="F997">
        <v>3495.94</v>
      </c>
      <c r="G997" t="str" cm="1">
        <f t="array" ref="G997">IF(AND(ISNUMBER(SEARCH("UBER",C997)),ISNUMBER(SEARCH("EATS",C997))),"Uber Eats",IF(LEFT(C997,6)="CHECK ","Checks Paid",IF(OR(E997="BILLPAY",ISNUMBER(SEARCH("FRANCHISE TAX",C997)),ISNUMBER(SEARCH("NEXTLINK",C997))),"Personal - House Bills",IF(AND(ISNUMBER(SEARCH("PAYMENT FROM",C997)),ISNUMBER(SEARCH("JOE SAUNDERS",C997))),"Zelle from Joe Saunders",IF(AND(ISNUMBER(SEARCH("PAYMENT TO",C997)),ISNUMBER(SEARCH("JOE SAUNDERS",C997))),"Zelle to Joe Saunders",IF(OR(ISNUMBER(SEARCH("NEW ORLEANS",C997)),ISNUMBER(SEARCH("KENNER",C997)),ISNUMBER(SEARCH("HENRY HOWARD",C997)),ISNUMBER(SEARCH("MISS CLAUDIA",C997))),"Personal Travel - New Orleans",IF(AND(YEAR(B997)=2025,MONTH(B997)=4,OR(ISNUMBER(SEARCH("EXCHANGE RATE",C997)),ISNUMBER(SEARCH("EXCHG RTE",C997)))),"Personal Travel - Italy",IFERROR(INDEX('Category Rules'!$B$2:$B$358,MATCH(TRUE,ISNUMBER(SEARCH('Category Rules'!$A$2:$A$358,C997)),0)),""))))))))</f>
        <v>Amazon</v>
      </c>
    </row>
    <row r="998" spans="1:7" x14ac:dyDescent="0.25">
      <c r="A998" t="s">
        <v>6</v>
      </c>
      <c r="B998" s="1">
        <v>45883</v>
      </c>
      <c r="C998" t="s">
        <v>927</v>
      </c>
      <c r="D998">
        <v>-43.64</v>
      </c>
      <c r="E998" t="s">
        <v>10</v>
      </c>
      <c r="F998">
        <v>3525.92</v>
      </c>
      <c r="G998" t="str" cm="1">
        <f t="array" ref="G998">IF(AND(ISNUMBER(SEARCH("UBER",C998)),ISNUMBER(SEARCH("EATS",C998))),"Uber Eats",IF(LEFT(C998,6)="CHECK ","Checks Paid",IF(OR(E998="BILLPAY",ISNUMBER(SEARCH("FRANCHISE TAX",C998)),ISNUMBER(SEARCH("NEXTLINK",C998))),"Personal - House Bills",IF(AND(ISNUMBER(SEARCH("PAYMENT FROM",C998)),ISNUMBER(SEARCH("JOE SAUNDERS",C998))),"Zelle from Joe Saunders",IF(AND(ISNUMBER(SEARCH("PAYMENT TO",C998)),ISNUMBER(SEARCH("JOE SAUNDERS",C998))),"Zelle to Joe Saunders",IF(OR(ISNUMBER(SEARCH("NEW ORLEANS",C998)),ISNUMBER(SEARCH("KENNER",C998)),ISNUMBER(SEARCH("HENRY HOWARD",C998)),ISNUMBER(SEARCH("MISS CLAUDIA",C998))),"Personal Travel - New Orleans",IF(AND(YEAR(B998)=2025,MONTH(B998)=4,OR(ISNUMBER(SEARCH("EXCHANGE RATE",C998)),ISNUMBER(SEARCH("EXCHG RTE",C998)))),"Personal Travel - Italy",IFERROR(INDEX('Category Rules'!$B$2:$B$358,MATCH(TRUE,ISNUMBER(SEARCH('Category Rules'!$A$2:$A$358,C998)),0)),""))))))))</f>
        <v>Amazon</v>
      </c>
    </row>
    <row r="999" spans="1:7" x14ac:dyDescent="0.25">
      <c r="A999" t="s">
        <v>6</v>
      </c>
      <c r="B999" s="1">
        <v>45883</v>
      </c>
      <c r="C999" t="s">
        <v>928</v>
      </c>
      <c r="D999">
        <v>-117.87</v>
      </c>
      <c r="E999" t="s">
        <v>10</v>
      </c>
      <c r="F999">
        <v>3569.56</v>
      </c>
      <c r="G999" t="str" cm="1">
        <f t="array" ref="G999">IF(AND(ISNUMBER(SEARCH("UBER",C999)),ISNUMBER(SEARCH("EATS",C999))),"Uber Eats",IF(LEFT(C999,6)="CHECK ","Checks Paid",IF(OR(E999="BILLPAY",ISNUMBER(SEARCH("FRANCHISE TAX",C999)),ISNUMBER(SEARCH("NEXTLINK",C999))),"Personal - House Bills",IF(AND(ISNUMBER(SEARCH("PAYMENT FROM",C999)),ISNUMBER(SEARCH("JOE SAUNDERS",C999))),"Zelle from Joe Saunders",IF(AND(ISNUMBER(SEARCH("PAYMENT TO",C999)),ISNUMBER(SEARCH("JOE SAUNDERS",C999))),"Zelle to Joe Saunders",IF(OR(ISNUMBER(SEARCH("NEW ORLEANS",C999)),ISNUMBER(SEARCH("KENNER",C999)),ISNUMBER(SEARCH("HENRY HOWARD",C999)),ISNUMBER(SEARCH("MISS CLAUDIA",C999))),"Personal Travel - New Orleans",IF(AND(YEAR(B999)=2025,MONTH(B999)=4,OR(ISNUMBER(SEARCH("EXCHANGE RATE",C999)),ISNUMBER(SEARCH("EXCHG RTE",C999)))),"Personal Travel - Italy",IFERROR(INDEX('Category Rules'!$B$2:$B$358,MATCH(TRUE,ISNUMBER(SEARCH('Category Rules'!$A$2:$A$358,C999)),0)),""))))))))</f>
        <v>Amazon</v>
      </c>
    </row>
    <row r="1000" spans="1:7" x14ac:dyDescent="0.25">
      <c r="A1000" t="s">
        <v>6</v>
      </c>
      <c r="B1000" s="1">
        <v>45883</v>
      </c>
      <c r="C1000" t="s">
        <v>929</v>
      </c>
      <c r="D1000">
        <v>-31.99</v>
      </c>
      <c r="E1000" t="s">
        <v>10</v>
      </c>
      <c r="F1000">
        <v>3687.43</v>
      </c>
      <c r="G1000" t="str" cm="1">
        <f t="array" ref="G1000">IF(AND(ISNUMBER(SEARCH("UBER",C1000)),ISNUMBER(SEARCH("EATS",C1000))),"Uber Eats",IF(LEFT(C1000,6)="CHECK ","Checks Paid",IF(OR(E1000="BILLPAY",ISNUMBER(SEARCH("FRANCHISE TAX",C1000)),ISNUMBER(SEARCH("NEXTLINK",C1000))),"Personal - House Bills",IF(AND(ISNUMBER(SEARCH("PAYMENT FROM",C1000)),ISNUMBER(SEARCH("JOE SAUNDERS",C1000))),"Zelle from Joe Saunders",IF(AND(ISNUMBER(SEARCH("PAYMENT TO",C1000)),ISNUMBER(SEARCH("JOE SAUNDERS",C1000))),"Zelle to Joe Saunders",IF(OR(ISNUMBER(SEARCH("NEW ORLEANS",C1000)),ISNUMBER(SEARCH("KENNER",C1000)),ISNUMBER(SEARCH("HENRY HOWARD",C1000)),ISNUMBER(SEARCH("MISS CLAUDIA",C1000))),"Personal Travel - New Orleans",IF(AND(YEAR(B1000)=2025,MONTH(B1000)=4,OR(ISNUMBER(SEARCH("EXCHANGE RATE",C1000)),ISNUMBER(SEARCH("EXCHG RTE",C1000)))),"Personal Travel - Italy",IFERROR(INDEX('Category Rules'!$B$2:$B$358,MATCH(TRUE,ISNUMBER(SEARCH('Category Rules'!$A$2:$A$358,C1000)),0)),""))))))))</f>
        <v>Personal Travel</v>
      </c>
    </row>
    <row r="1001" spans="1:7" x14ac:dyDescent="0.25">
      <c r="A1001" t="s">
        <v>6</v>
      </c>
      <c r="B1001" s="1">
        <v>45883</v>
      </c>
      <c r="C1001" t="s">
        <v>929</v>
      </c>
      <c r="D1001">
        <v>-31.99</v>
      </c>
      <c r="E1001" t="s">
        <v>10</v>
      </c>
      <c r="F1001">
        <v>3719.42</v>
      </c>
      <c r="G1001" t="str" cm="1">
        <f t="array" ref="G1001">IF(AND(ISNUMBER(SEARCH("UBER",C1001)),ISNUMBER(SEARCH("EATS",C1001))),"Uber Eats",IF(LEFT(C1001,6)="CHECK ","Checks Paid",IF(OR(E1001="BILLPAY",ISNUMBER(SEARCH("FRANCHISE TAX",C1001)),ISNUMBER(SEARCH("NEXTLINK",C1001))),"Personal - House Bills",IF(AND(ISNUMBER(SEARCH("PAYMENT FROM",C1001)),ISNUMBER(SEARCH("JOE SAUNDERS",C1001))),"Zelle from Joe Saunders",IF(AND(ISNUMBER(SEARCH("PAYMENT TO",C1001)),ISNUMBER(SEARCH("JOE SAUNDERS",C1001))),"Zelle to Joe Saunders",IF(OR(ISNUMBER(SEARCH("NEW ORLEANS",C1001)),ISNUMBER(SEARCH("KENNER",C1001)),ISNUMBER(SEARCH("HENRY HOWARD",C1001)),ISNUMBER(SEARCH("MISS CLAUDIA",C1001))),"Personal Travel - New Orleans",IF(AND(YEAR(B1001)=2025,MONTH(B1001)=4,OR(ISNUMBER(SEARCH("EXCHANGE RATE",C1001)),ISNUMBER(SEARCH("EXCHG RTE",C1001)))),"Personal Travel - Italy",IFERROR(INDEX('Category Rules'!$B$2:$B$358,MATCH(TRUE,ISNUMBER(SEARCH('Category Rules'!$A$2:$A$358,C1001)),0)),""))))))))</f>
        <v>Personal Travel</v>
      </c>
    </row>
    <row r="1002" spans="1:7" x14ac:dyDescent="0.25">
      <c r="A1002" t="s">
        <v>6</v>
      </c>
      <c r="B1002" s="1">
        <v>45883</v>
      </c>
      <c r="C1002" t="s">
        <v>930</v>
      </c>
      <c r="D1002">
        <v>-258.49</v>
      </c>
      <c r="E1002" t="s">
        <v>10</v>
      </c>
      <c r="F1002">
        <v>3751.41</v>
      </c>
      <c r="G1002" t="str" cm="1">
        <f t="array" ref="G1002">IF(AND(ISNUMBER(SEARCH("UBER",C1002)),ISNUMBER(SEARCH("EATS",C1002))),"Uber Eats",IF(LEFT(C1002,6)="CHECK ","Checks Paid",IF(OR(E1002="BILLPAY",ISNUMBER(SEARCH("FRANCHISE TAX",C1002)),ISNUMBER(SEARCH("NEXTLINK",C1002))),"Personal - House Bills",IF(AND(ISNUMBER(SEARCH("PAYMENT FROM",C1002)),ISNUMBER(SEARCH("JOE SAUNDERS",C1002))),"Zelle from Joe Saunders",IF(AND(ISNUMBER(SEARCH("PAYMENT TO",C1002)),ISNUMBER(SEARCH("JOE SAUNDERS",C1002))),"Zelle to Joe Saunders",IF(OR(ISNUMBER(SEARCH("NEW ORLEANS",C1002)),ISNUMBER(SEARCH("KENNER",C1002)),ISNUMBER(SEARCH("HENRY HOWARD",C1002)),ISNUMBER(SEARCH("MISS CLAUDIA",C1002))),"Personal Travel - New Orleans",IF(AND(YEAR(B1002)=2025,MONTH(B1002)=4,OR(ISNUMBER(SEARCH("EXCHANGE RATE",C1002)),ISNUMBER(SEARCH("EXCHG RTE",C1002)))),"Personal Travel - Italy",IFERROR(INDEX('Category Rules'!$B$2:$B$358,MATCH(TRUE,ISNUMBER(SEARCH('Category Rules'!$A$2:$A$358,C1002)),0)),""))))))))</f>
        <v>Personal Travel</v>
      </c>
    </row>
    <row r="1003" spans="1:7" x14ac:dyDescent="0.25">
      <c r="A1003" t="s">
        <v>6</v>
      </c>
      <c r="B1003" s="1">
        <v>45883</v>
      </c>
      <c r="C1003" t="s">
        <v>930</v>
      </c>
      <c r="D1003">
        <v>-258.49</v>
      </c>
      <c r="E1003" t="s">
        <v>10</v>
      </c>
      <c r="F1003">
        <v>4009.9</v>
      </c>
      <c r="G1003" t="str" cm="1">
        <f t="array" ref="G1003">IF(AND(ISNUMBER(SEARCH("UBER",C1003)),ISNUMBER(SEARCH("EATS",C1003))),"Uber Eats",IF(LEFT(C1003,6)="CHECK ","Checks Paid",IF(OR(E1003="BILLPAY",ISNUMBER(SEARCH("FRANCHISE TAX",C1003)),ISNUMBER(SEARCH("NEXTLINK",C1003))),"Personal - House Bills",IF(AND(ISNUMBER(SEARCH("PAYMENT FROM",C1003)),ISNUMBER(SEARCH("JOE SAUNDERS",C1003))),"Zelle from Joe Saunders",IF(AND(ISNUMBER(SEARCH("PAYMENT TO",C1003)),ISNUMBER(SEARCH("JOE SAUNDERS",C1003))),"Zelle to Joe Saunders",IF(OR(ISNUMBER(SEARCH("NEW ORLEANS",C1003)),ISNUMBER(SEARCH("KENNER",C1003)),ISNUMBER(SEARCH("HENRY HOWARD",C1003)),ISNUMBER(SEARCH("MISS CLAUDIA",C1003))),"Personal Travel - New Orleans",IF(AND(YEAR(B1003)=2025,MONTH(B1003)=4,OR(ISNUMBER(SEARCH("EXCHANGE RATE",C1003)),ISNUMBER(SEARCH("EXCHG RTE",C1003)))),"Personal Travel - Italy",IFERROR(INDEX('Category Rules'!$B$2:$B$358,MATCH(TRUE,ISNUMBER(SEARCH('Category Rules'!$A$2:$A$358,C1003)),0)),""))))))))</f>
        <v>Personal Travel</v>
      </c>
    </row>
    <row r="1004" spans="1:7" x14ac:dyDescent="0.25">
      <c r="A1004" t="s">
        <v>6</v>
      </c>
      <c r="B1004" s="1">
        <v>45882</v>
      </c>
      <c r="C1004" t="s">
        <v>931</v>
      </c>
      <c r="D1004">
        <v>-64.77</v>
      </c>
      <c r="E1004" t="s">
        <v>10</v>
      </c>
      <c r="F1004">
        <v>4268.3900000000003</v>
      </c>
      <c r="G1004" t="str" cm="1">
        <f t="array" ref="G1004">IF(AND(ISNUMBER(SEARCH("UBER",C1004)),ISNUMBER(SEARCH("EATS",C1004))),"Uber Eats",IF(LEFT(C1004,6)="CHECK ","Checks Paid",IF(OR(E1004="BILLPAY",ISNUMBER(SEARCH("FRANCHISE TAX",C1004)),ISNUMBER(SEARCH("NEXTLINK",C1004))),"Personal - House Bills",IF(AND(ISNUMBER(SEARCH("PAYMENT FROM",C1004)),ISNUMBER(SEARCH("JOE SAUNDERS",C1004))),"Zelle from Joe Saunders",IF(AND(ISNUMBER(SEARCH("PAYMENT TO",C1004)),ISNUMBER(SEARCH("JOE SAUNDERS",C1004))),"Zelle to Joe Saunders",IF(OR(ISNUMBER(SEARCH("NEW ORLEANS",C1004)),ISNUMBER(SEARCH("KENNER",C1004)),ISNUMBER(SEARCH("HENRY HOWARD",C1004)),ISNUMBER(SEARCH("MISS CLAUDIA",C1004))),"Personal Travel - New Orleans",IF(AND(YEAR(B1004)=2025,MONTH(B1004)=4,OR(ISNUMBER(SEARCH("EXCHANGE RATE",C1004)),ISNUMBER(SEARCH("EXCHG RTE",C1004)))),"Personal Travel - Italy",IFERROR(INDEX('Category Rules'!$B$2:$B$358,MATCH(TRUE,ISNUMBER(SEARCH('Category Rules'!$A$2:$A$358,C1004)),0)),""))))))))</f>
        <v>Personal - Shopping</v>
      </c>
    </row>
    <row r="1005" spans="1:7" x14ac:dyDescent="0.25">
      <c r="A1005" t="s">
        <v>6</v>
      </c>
      <c r="B1005" s="1">
        <v>45882</v>
      </c>
      <c r="C1005" t="s">
        <v>932</v>
      </c>
      <c r="D1005">
        <v>-700</v>
      </c>
      <c r="E1005" t="s">
        <v>33</v>
      </c>
      <c r="F1005">
        <v>4333.16</v>
      </c>
      <c r="G1005" t="str" cm="1">
        <f t="array" ref="G1005">IF(AND(ISNUMBER(SEARCH("UBER",C1005)),ISNUMBER(SEARCH("EATS",C1005))),"Uber Eats",IF(LEFT(C1005,6)="CHECK ","Checks Paid",IF(OR(E1005="BILLPAY",ISNUMBER(SEARCH("FRANCHISE TAX",C1005)),ISNUMBER(SEARCH("NEXTLINK",C1005))),"Personal - House Bills",IF(AND(ISNUMBER(SEARCH("PAYMENT FROM",C1005)),ISNUMBER(SEARCH("JOE SAUNDERS",C1005))),"Zelle from Joe Saunders",IF(AND(ISNUMBER(SEARCH("PAYMENT TO",C1005)),ISNUMBER(SEARCH("JOE SAUNDERS",C1005))),"Zelle to Joe Saunders",IF(OR(ISNUMBER(SEARCH("NEW ORLEANS",C1005)),ISNUMBER(SEARCH("KENNER",C1005)),ISNUMBER(SEARCH("HENRY HOWARD",C1005)),ISNUMBER(SEARCH("MISS CLAUDIA",C1005))),"Personal Travel - New Orleans",IF(AND(YEAR(B1005)=2025,MONTH(B1005)=4,OR(ISNUMBER(SEARCH("EXCHANGE RATE",C1005)),ISNUMBER(SEARCH("EXCHG RTE",C1005)))),"Personal Travel - Italy",IFERROR(INDEX('Category Rules'!$B$2:$B$358,MATCH(TRUE,ISNUMBER(SEARCH('Category Rules'!$A$2:$A$358,C1005)),0)),""))))))))</f>
        <v>Personal - House Bills</v>
      </c>
    </row>
    <row r="1006" spans="1:7" x14ac:dyDescent="0.25">
      <c r="A1006" t="s">
        <v>6</v>
      </c>
      <c r="B1006" s="1">
        <v>45881</v>
      </c>
      <c r="C1006" t="s">
        <v>933</v>
      </c>
      <c r="D1006">
        <v>-399.96</v>
      </c>
      <c r="E1006" t="s">
        <v>10</v>
      </c>
      <c r="F1006">
        <v>5033.16</v>
      </c>
      <c r="G1006" t="str" cm="1">
        <f t="array" ref="G1006">IF(AND(ISNUMBER(SEARCH("UBER",C1006)),ISNUMBER(SEARCH("EATS",C1006))),"Uber Eats",IF(LEFT(C1006,6)="CHECK ","Checks Paid",IF(OR(E1006="BILLPAY",ISNUMBER(SEARCH("FRANCHISE TAX",C1006)),ISNUMBER(SEARCH("NEXTLINK",C1006))),"Personal - House Bills",IF(AND(ISNUMBER(SEARCH("PAYMENT FROM",C1006)),ISNUMBER(SEARCH("JOE SAUNDERS",C1006))),"Zelle from Joe Saunders",IF(AND(ISNUMBER(SEARCH("PAYMENT TO",C1006)),ISNUMBER(SEARCH("JOE SAUNDERS",C1006))),"Zelle to Joe Saunders",IF(OR(ISNUMBER(SEARCH("NEW ORLEANS",C1006)),ISNUMBER(SEARCH("KENNER",C1006)),ISNUMBER(SEARCH("HENRY HOWARD",C1006)),ISNUMBER(SEARCH("MISS CLAUDIA",C1006))),"Personal Travel - New Orleans",IF(AND(YEAR(B1006)=2025,MONTH(B1006)=4,OR(ISNUMBER(SEARCH("EXCHANGE RATE",C1006)),ISNUMBER(SEARCH("EXCHG RTE",C1006)))),"Personal Travel - Italy",IFERROR(INDEX('Category Rules'!$B$2:$B$358,MATCH(TRUE,ISNUMBER(SEARCH('Category Rules'!$A$2:$A$358,C1006)),0)),""))))))))</f>
        <v>Personal - Food</v>
      </c>
    </row>
    <row r="1007" spans="1:7" x14ac:dyDescent="0.25">
      <c r="A1007" t="s">
        <v>6</v>
      </c>
      <c r="B1007" s="1">
        <v>45881</v>
      </c>
      <c r="C1007" t="s">
        <v>934</v>
      </c>
      <c r="D1007">
        <v>-35.57</v>
      </c>
      <c r="E1007" t="s">
        <v>10</v>
      </c>
      <c r="F1007">
        <v>5433.12</v>
      </c>
      <c r="G1007" t="str" cm="1">
        <f t="array" ref="G1007">IF(AND(ISNUMBER(SEARCH("UBER",C1007)),ISNUMBER(SEARCH("EATS",C1007))),"Uber Eats",IF(LEFT(C1007,6)="CHECK ","Checks Paid",IF(OR(E1007="BILLPAY",ISNUMBER(SEARCH("FRANCHISE TAX",C1007)),ISNUMBER(SEARCH("NEXTLINK",C1007))),"Personal - House Bills",IF(AND(ISNUMBER(SEARCH("PAYMENT FROM",C1007)),ISNUMBER(SEARCH("JOE SAUNDERS",C1007))),"Zelle from Joe Saunders",IF(AND(ISNUMBER(SEARCH("PAYMENT TO",C1007)),ISNUMBER(SEARCH("JOE SAUNDERS",C1007))),"Zelle to Joe Saunders",IF(OR(ISNUMBER(SEARCH("NEW ORLEANS",C1007)),ISNUMBER(SEARCH("KENNER",C1007)),ISNUMBER(SEARCH("HENRY HOWARD",C1007)),ISNUMBER(SEARCH("MISS CLAUDIA",C1007))),"Personal Travel - New Orleans",IF(AND(YEAR(B1007)=2025,MONTH(B1007)=4,OR(ISNUMBER(SEARCH("EXCHANGE RATE",C1007)),ISNUMBER(SEARCH("EXCHG RTE",C1007)))),"Personal Travel - Italy",IFERROR(INDEX('Category Rules'!$B$2:$B$358,MATCH(TRUE,ISNUMBER(SEARCH('Category Rules'!$A$2:$A$358,C1007)),0)),""))))))))</f>
        <v>Uber Eats</v>
      </c>
    </row>
    <row r="1008" spans="1:7" x14ac:dyDescent="0.25">
      <c r="A1008" t="s">
        <v>6</v>
      </c>
      <c r="B1008" s="1">
        <v>45881</v>
      </c>
      <c r="C1008" t="s">
        <v>935</v>
      </c>
      <c r="D1008">
        <v>-287.94</v>
      </c>
      <c r="E1008" t="s">
        <v>10</v>
      </c>
      <c r="F1008">
        <v>5468.69</v>
      </c>
      <c r="G1008" t="str" cm="1">
        <f t="array" ref="G1008">IF(AND(ISNUMBER(SEARCH("UBER",C1008)),ISNUMBER(SEARCH("EATS",C1008))),"Uber Eats",IF(LEFT(C1008,6)="CHECK ","Checks Paid",IF(OR(E1008="BILLPAY",ISNUMBER(SEARCH("FRANCHISE TAX",C1008)),ISNUMBER(SEARCH("NEXTLINK",C1008))),"Personal - House Bills",IF(AND(ISNUMBER(SEARCH("PAYMENT FROM",C1008)),ISNUMBER(SEARCH("JOE SAUNDERS",C1008))),"Zelle from Joe Saunders",IF(AND(ISNUMBER(SEARCH("PAYMENT TO",C1008)),ISNUMBER(SEARCH("JOE SAUNDERS",C1008))),"Zelle to Joe Saunders",IF(OR(ISNUMBER(SEARCH("NEW ORLEANS",C1008)),ISNUMBER(SEARCH("KENNER",C1008)),ISNUMBER(SEARCH("HENRY HOWARD",C1008)),ISNUMBER(SEARCH("MISS CLAUDIA",C1008))),"Personal Travel - New Orleans",IF(AND(YEAR(B1008)=2025,MONTH(B1008)=4,OR(ISNUMBER(SEARCH("EXCHANGE RATE",C1008)),ISNUMBER(SEARCH("EXCHG RTE",C1008)))),"Personal Travel - Italy",IFERROR(INDEX('Category Rules'!$B$2:$B$358,MATCH(TRUE,ISNUMBER(SEARCH('Category Rules'!$A$2:$A$358,C1008)),0)),""))))))))</f>
        <v>Personal - Food</v>
      </c>
    </row>
    <row r="1009" spans="1:7" x14ac:dyDescent="0.25">
      <c r="A1009" t="s">
        <v>6</v>
      </c>
      <c r="B1009" s="1">
        <v>45881</v>
      </c>
      <c r="C1009" t="s">
        <v>936</v>
      </c>
      <c r="D1009">
        <v>-500</v>
      </c>
      <c r="E1009" t="s">
        <v>73</v>
      </c>
      <c r="F1009">
        <v>5756.63</v>
      </c>
      <c r="G1009" t="str" cm="1">
        <f t="array" ref="G1009">IF(AND(ISNUMBER(SEARCH("UBER",C1009)),ISNUMBER(SEARCH("EATS",C1009))),"Uber Eats",IF(LEFT(C1009,6)="CHECK ","Checks Paid",IF(OR(E1009="BILLPAY",ISNUMBER(SEARCH("FRANCHISE TAX",C1009)),ISNUMBER(SEARCH("NEXTLINK",C1009))),"Personal - House Bills",IF(AND(ISNUMBER(SEARCH("PAYMENT FROM",C1009)),ISNUMBER(SEARCH("JOE SAUNDERS",C1009))),"Zelle from Joe Saunders",IF(AND(ISNUMBER(SEARCH("PAYMENT TO",C1009)),ISNUMBER(SEARCH("JOE SAUNDERS",C1009))),"Zelle to Joe Saunders",IF(OR(ISNUMBER(SEARCH("NEW ORLEANS",C1009)),ISNUMBER(SEARCH("KENNER",C1009)),ISNUMBER(SEARCH("HENRY HOWARD",C1009)),ISNUMBER(SEARCH("MISS CLAUDIA",C1009))),"Personal Travel - New Orleans",IF(AND(YEAR(B1009)=2025,MONTH(B1009)=4,OR(ISNUMBER(SEARCH("EXCHANGE RATE",C1009)),ISNUMBER(SEARCH("EXCHG RTE",C1009)))),"Personal Travel - Italy",IFERROR(INDEX('Category Rules'!$B$2:$B$358,MATCH(TRUE,ISNUMBER(SEARCH('Category Rules'!$A$2:$A$358,C1009)),0)),""))))))))</f>
        <v>Transfer to Ava</v>
      </c>
    </row>
    <row r="1010" spans="1:7" x14ac:dyDescent="0.25">
      <c r="A1010" t="s">
        <v>6</v>
      </c>
      <c r="B1010" s="1">
        <v>45881</v>
      </c>
      <c r="C1010" t="s">
        <v>937</v>
      </c>
      <c r="D1010">
        <v>-25.67</v>
      </c>
      <c r="E1010" t="s">
        <v>10</v>
      </c>
      <c r="F1010">
        <v>6256.63</v>
      </c>
      <c r="G1010" t="str" cm="1">
        <f t="array" ref="G1010">IF(AND(ISNUMBER(SEARCH("UBER",C1010)),ISNUMBER(SEARCH("EATS",C1010))),"Uber Eats",IF(LEFT(C1010,6)="CHECK ","Checks Paid",IF(OR(E1010="BILLPAY",ISNUMBER(SEARCH("FRANCHISE TAX",C1010)),ISNUMBER(SEARCH("NEXTLINK",C1010))),"Personal - House Bills",IF(AND(ISNUMBER(SEARCH("PAYMENT FROM",C1010)),ISNUMBER(SEARCH("JOE SAUNDERS",C1010))),"Zelle from Joe Saunders",IF(AND(ISNUMBER(SEARCH("PAYMENT TO",C1010)),ISNUMBER(SEARCH("JOE SAUNDERS",C1010))),"Zelle to Joe Saunders",IF(OR(ISNUMBER(SEARCH("NEW ORLEANS",C1010)),ISNUMBER(SEARCH("KENNER",C1010)),ISNUMBER(SEARCH("HENRY HOWARD",C1010)),ISNUMBER(SEARCH("MISS CLAUDIA",C1010))),"Personal Travel - New Orleans",IF(AND(YEAR(B1010)=2025,MONTH(B1010)=4,OR(ISNUMBER(SEARCH("EXCHANGE RATE",C1010)),ISNUMBER(SEARCH("EXCHG RTE",C1010)))),"Personal Travel - Italy",IFERROR(INDEX('Category Rules'!$B$2:$B$358,MATCH(TRUE,ISNUMBER(SEARCH('Category Rules'!$A$2:$A$358,C1010)),0)),""))))))))</f>
        <v>Amazon</v>
      </c>
    </row>
    <row r="1011" spans="1:7" x14ac:dyDescent="0.25">
      <c r="A1011" t="s">
        <v>6</v>
      </c>
      <c r="B1011" s="1">
        <v>45881</v>
      </c>
      <c r="C1011" t="s">
        <v>938</v>
      </c>
      <c r="D1011">
        <v>-237.66</v>
      </c>
      <c r="E1011" t="s">
        <v>10</v>
      </c>
      <c r="F1011">
        <v>6282.3</v>
      </c>
      <c r="G1011" t="str" cm="1">
        <f t="array" ref="G1011">IF(AND(ISNUMBER(SEARCH("UBER",C1011)),ISNUMBER(SEARCH("EATS",C1011))),"Uber Eats",IF(LEFT(C1011,6)="CHECK ","Checks Paid",IF(OR(E1011="BILLPAY",ISNUMBER(SEARCH("FRANCHISE TAX",C1011)),ISNUMBER(SEARCH("NEXTLINK",C1011))),"Personal - House Bills",IF(AND(ISNUMBER(SEARCH("PAYMENT FROM",C1011)),ISNUMBER(SEARCH("JOE SAUNDERS",C1011))),"Zelle from Joe Saunders",IF(AND(ISNUMBER(SEARCH("PAYMENT TO",C1011)),ISNUMBER(SEARCH("JOE SAUNDERS",C1011))),"Zelle to Joe Saunders",IF(OR(ISNUMBER(SEARCH("NEW ORLEANS",C1011)),ISNUMBER(SEARCH("KENNER",C1011)),ISNUMBER(SEARCH("HENRY HOWARD",C1011)),ISNUMBER(SEARCH("MISS CLAUDIA",C1011))),"Personal Travel - New Orleans",IF(AND(YEAR(B1011)=2025,MONTH(B1011)=4,OR(ISNUMBER(SEARCH("EXCHANGE RATE",C1011)),ISNUMBER(SEARCH("EXCHG RTE",C1011)))),"Personal Travel - Italy",IFERROR(INDEX('Category Rules'!$B$2:$B$358,MATCH(TRUE,ISNUMBER(SEARCH('Category Rules'!$A$2:$A$358,C1011)),0)),""))))))))</f>
        <v>Personal - Shopping</v>
      </c>
    </row>
    <row r="1012" spans="1:7" x14ac:dyDescent="0.25">
      <c r="A1012" t="s">
        <v>44</v>
      </c>
      <c r="B1012" s="1">
        <v>45881</v>
      </c>
      <c r="C1012" t="s">
        <v>939</v>
      </c>
      <c r="D1012">
        <v>5000</v>
      </c>
      <c r="E1012" t="s">
        <v>73</v>
      </c>
      <c r="F1012">
        <v>6519.96</v>
      </c>
      <c r="G1012" t="str" cm="1">
        <f t="array" ref="G1012">IF(AND(ISNUMBER(SEARCH("UBER",C1012)),ISNUMBER(SEARCH("EATS",C1012))),"Uber Eats",IF(LEFT(C1012,6)="CHECK ","Checks Paid",IF(OR(E1012="BILLPAY",ISNUMBER(SEARCH("FRANCHISE TAX",C1012)),ISNUMBER(SEARCH("NEXTLINK",C1012))),"Personal - House Bills",IF(AND(ISNUMBER(SEARCH("PAYMENT FROM",C1012)),ISNUMBER(SEARCH("JOE SAUNDERS",C1012))),"Zelle from Joe Saunders",IF(AND(ISNUMBER(SEARCH("PAYMENT TO",C1012)),ISNUMBER(SEARCH("JOE SAUNDERS",C1012))),"Zelle to Joe Saunders",IF(OR(ISNUMBER(SEARCH("NEW ORLEANS",C1012)),ISNUMBER(SEARCH("KENNER",C1012)),ISNUMBER(SEARCH("HENRY HOWARD",C1012)),ISNUMBER(SEARCH("MISS CLAUDIA",C1012))),"Personal Travel - New Orleans",IF(AND(YEAR(B1012)=2025,MONTH(B1012)=4,OR(ISNUMBER(SEARCH("EXCHANGE RATE",C1012)),ISNUMBER(SEARCH("EXCHG RTE",C1012)))),"Personal Travel - Italy",IFERROR(INDEX('Category Rules'!$B$2:$B$358,MATCH(TRUE,ISNUMBER(SEARCH('Category Rules'!$A$2:$A$358,C1012)),0)),""))))))))</f>
        <v>Transfer from DWG Capital Group</v>
      </c>
    </row>
    <row r="1013" spans="1:7" x14ac:dyDescent="0.25">
      <c r="A1013" t="s">
        <v>6</v>
      </c>
      <c r="B1013" s="1">
        <v>45880</v>
      </c>
      <c r="C1013" t="s">
        <v>940</v>
      </c>
      <c r="D1013">
        <v>-70.599999999999994</v>
      </c>
      <c r="E1013" t="s">
        <v>10</v>
      </c>
      <c r="F1013">
        <v>1519.96</v>
      </c>
      <c r="G1013" t="str" cm="1">
        <f t="array" ref="G1013">IF(AND(ISNUMBER(SEARCH("UBER",C1013)),ISNUMBER(SEARCH("EATS",C1013))),"Uber Eats",IF(LEFT(C1013,6)="CHECK ","Checks Paid",IF(OR(E1013="BILLPAY",ISNUMBER(SEARCH("FRANCHISE TAX",C1013)),ISNUMBER(SEARCH("NEXTLINK",C1013))),"Personal - House Bills",IF(AND(ISNUMBER(SEARCH("PAYMENT FROM",C1013)),ISNUMBER(SEARCH("JOE SAUNDERS",C1013))),"Zelle from Joe Saunders",IF(AND(ISNUMBER(SEARCH("PAYMENT TO",C1013)),ISNUMBER(SEARCH("JOE SAUNDERS",C1013))),"Zelle to Joe Saunders",IF(OR(ISNUMBER(SEARCH("NEW ORLEANS",C1013)),ISNUMBER(SEARCH("KENNER",C1013)),ISNUMBER(SEARCH("HENRY HOWARD",C1013)),ISNUMBER(SEARCH("MISS CLAUDIA",C1013))),"Personal Travel - New Orleans",IF(AND(YEAR(B1013)=2025,MONTH(B1013)=4,OR(ISNUMBER(SEARCH("EXCHANGE RATE",C1013)),ISNUMBER(SEARCH("EXCHG RTE",C1013)))),"Personal Travel - Italy",IFERROR(INDEX('Category Rules'!$B$2:$B$358,MATCH(TRUE,ISNUMBER(SEARCH('Category Rules'!$A$2:$A$358,C1013)),0)),""))))))))</f>
        <v>Amazon</v>
      </c>
    </row>
    <row r="1014" spans="1:7" x14ac:dyDescent="0.25">
      <c r="A1014" t="s">
        <v>6</v>
      </c>
      <c r="B1014" s="1">
        <v>45880</v>
      </c>
      <c r="C1014" t="s">
        <v>941</v>
      </c>
      <c r="D1014">
        <v>-634.03</v>
      </c>
      <c r="E1014" t="s">
        <v>10</v>
      </c>
      <c r="F1014">
        <v>1590.56</v>
      </c>
      <c r="G1014" t="str" cm="1">
        <f t="array" ref="G1014">IF(AND(ISNUMBER(SEARCH("UBER",C1014)),ISNUMBER(SEARCH("EATS",C1014))),"Uber Eats",IF(LEFT(C1014,6)="CHECK ","Checks Paid",IF(OR(E1014="BILLPAY",ISNUMBER(SEARCH("FRANCHISE TAX",C1014)),ISNUMBER(SEARCH("NEXTLINK",C1014))),"Personal - House Bills",IF(AND(ISNUMBER(SEARCH("PAYMENT FROM",C1014)),ISNUMBER(SEARCH("JOE SAUNDERS",C1014))),"Zelle from Joe Saunders",IF(AND(ISNUMBER(SEARCH("PAYMENT TO",C1014)),ISNUMBER(SEARCH("JOE SAUNDERS",C1014))),"Zelle to Joe Saunders",IF(OR(ISNUMBER(SEARCH("NEW ORLEANS",C1014)),ISNUMBER(SEARCH("KENNER",C1014)),ISNUMBER(SEARCH("HENRY HOWARD",C1014)),ISNUMBER(SEARCH("MISS CLAUDIA",C1014))),"Personal Travel - New Orleans",IF(AND(YEAR(B1014)=2025,MONTH(B1014)=4,OR(ISNUMBER(SEARCH("EXCHANGE RATE",C1014)),ISNUMBER(SEARCH("EXCHG RTE",C1014)))),"Personal Travel - Italy",IFERROR(INDEX('Category Rules'!$B$2:$B$358,MATCH(TRUE,ISNUMBER(SEARCH('Category Rules'!$A$2:$A$358,C1014)),0)),""))))))))</f>
        <v>Personal - Shopping</v>
      </c>
    </row>
    <row r="1015" spans="1:7" x14ac:dyDescent="0.25">
      <c r="A1015" t="s">
        <v>6</v>
      </c>
      <c r="B1015" s="1">
        <v>45880</v>
      </c>
      <c r="C1015" t="s">
        <v>942</v>
      </c>
      <c r="D1015">
        <v>-44.05</v>
      </c>
      <c r="E1015" t="s">
        <v>10</v>
      </c>
      <c r="F1015">
        <v>2224.59</v>
      </c>
      <c r="G1015" t="str" cm="1">
        <f t="array" ref="G1015">IF(AND(ISNUMBER(SEARCH("UBER",C1015)),ISNUMBER(SEARCH("EATS",C1015))),"Uber Eats",IF(LEFT(C1015,6)="CHECK ","Checks Paid",IF(OR(E1015="BILLPAY",ISNUMBER(SEARCH("FRANCHISE TAX",C1015)),ISNUMBER(SEARCH("NEXTLINK",C1015))),"Personal - House Bills",IF(AND(ISNUMBER(SEARCH("PAYMENT FROM",C1015)),ISNUMBER(SEARCH("JOE SAUNDERS",C1015))),"Zelle from Joe Saunders",IF(AND(ISNUMBER(SEARCH("PAYMENT TO",C1015)),ISNUMBER(SEARCH("JOE SAUNDERS",C1015))),"Zelle to Joe Saunders",IF(OR(ISNUMBER(SEARCH("NEW ORLEANS",C1015)),ISNUMBER(SEARCH("KENNER",C1015)),ISNUMBER(SEARCH("HENRY HOWARD",C1015)),ISNUMBER(SEARCH("MISS CLAUDIA",C1015))),"Personal Travel - New Orleans",IF(AND(YEAR(B1015)=2025,MONTH(B1015)=4,OR(ISNUMBER(SEARCH("EXCHANGE RATE",C1015)),ISNUMBER(SEARCH("EXCHG RTE",C1015)))),"Personal Travel - Italy",IFERROR(INDEX('Category Rules'!$B$2:$B$358,MATCH(TRUE,ISNUMBER(SEARCH('Category Rules'!$A$2:$A$358,C1015)),0)),""))))))))</f>
        <v>Personal - Food</v>
      </c>
    </row>
    <row r="1016" spans="1:7" x14ac:dyDescent="0.25">
      <c r="A1016" t="s">
        <v>6</v>
      </c>
      <c r="B1016" s="1">
        <v>45880</v>
      </c>
      <c r="C1016" t="s">
        <v>943</v>
      </c>
      <c r="D1016">
        <v>-983.99</v>
      </c>
      <c r="E1016" t="s">
        <v>10</v>
      </c>
      <c r="F1016">
        <v>2268.64</v>
      </c>
      <c r="G1016" t="str" cm="1">
        <f t="array" ref="G1016">IF(AND(ISNUMBER(SEARCH("UBER",C1016)),ISNUMBER(SEARCH("EATS",C1016))),"Uber Eats",IF(LEFT(C1016,6)="CHECK ","Checks Paid",IF(OR(E1016="BILLPAY",ISNUMBER(SEARCH("FRANCHISE TAX",C1016)),ISNUMBER(SEARCH("NEXTLINK",C1016))),"Personal - House Bills",IF(AND(ISNUMBER(SEARCH("PAYMENT FROM",C1016)),ISNUMBER(SEARCH("JOE SAUNDERS",C1016))),"Zelle from Joe Saunders",IF(AND(ISNUMBER(SEARCH("PAYMENT TO",C1016)),ISNUMBER(SEARCH("JOE SAUNDERS",C1016))),"Zelle to Joe Saunders",IF(OR(ISNUMBER(SEARCH("NEW ORLEANS",C1016)),ISNUMBER(SEARCH("KENNER",C1016)),ISNUMBER(SEARCH("HENRY HOWARD",C1016)),ISNUMBER(SEARCH("MISS CLAUDIA",C1016))),"Personal Travel - New Orleans",IF(AND(YEAR(B1016)=2025,MONTH(B1016)=4,OR(ISNUMBER(SEARCH("EXCHANGE RATE",C1016)),ISNUMBER(SEARCH("EXCHG RTE",C1016)))),"Personal Travel - Italy",IFERROR(INDEX('Category Rules'!$B$2:$B$358,MATCH(TRUE,ISNUMBER(SEARCH('Category Rules'!$A$2:$A$358,C1016)),0)),""))))))))</f>
        <v>Personal - Food</v>
      </c>
    </row>
    <row r="1017" spans="1:7" x14ac:dyDescent="0.25">
      <c r="A1017" t="s">
        <v>6</v>
      </c>
      <c r="B1017" s="1">
        <v>45880</v>
      </c>
      <c r="C1017" t="s">
        <v>944</v>
      </c>
      <c r="D1017">
        <v>-19.22</v>
      </c>
      <c r="E1017" t="s">
        <v>10</v>
      </c>
      <c r="F1017">
        <v>3252.63</v>
      </c>
      <c r="G1017" t="str" cm="1">
        <f t="array" ref="G1017">IF(AND(ISNUMBER(SEARCH("UBER",C1017)),ISNUMBER(SEARCH("EATS",C1017))),"Uber Eats",IF(LEFT(C1017,6)="CHECK ","Checks Paid",IF(OR(E1017="BILLPAY",ISNUMBER(SEARCH("FRANCHISE TAX",C1017)),ISNUMBER(SEARCH("NEXTLINK",C1017))),"Personal - House Bills",IF(AND(ISNUMBER(SEARCH("PAYMENT FROM",C1017)),ISNUMBER(SEARCH("JOE SAUNDERS",C1017))),"Zelle from Joe Saunders",IF(AND(ISNUMBER(SEARCH("PAYMENT TO",C1017)),ISNUMBER(SEARCH("JOE SAUNDERS",C1017))),"Zelle to Joe Saunders",IF(OR(ISNUMBER(SEARCH("NEW ORLEANS",C1017)),ISNUMBER(SEARCH("KENNER",C1017)),ISNUMBER(SEARCH("HENRY HOWARD",C1017)),ISNUMBER(SEARCH("MISS CLAUDIA",C1017))),"Personal Travel - New Orleans",IF(AND(YEAR(B1017)=2025,MONTH(B1017)=4,OR(ISNUMBER(SEARCH("EXCHANGE RATE",C1017)),ISNUMBER(SEARCH("EXCHG RTE",C1017)))),"Personal Travel - Italy",IFERROR(INDEX('Category Rules'!$B$2:$B$358,MATCH(TRUE,ISNUMBER(SEARCH('Category Rules'!$A$2:$A$358,C1017)),0)),""))))))))</f>
        <v>Amazon</v>
      </c>
    </row>
    <row r="1018" spans="1:7" x14ac:dyDescent="0.25">
      <c r="A1018" t="s">
        <v>6</v>
      </c>
      <c r="B1018" s="1">
        <v>45880</v>
      </c>
      <c r="C1018" t="s">
        <v>945</v>
      </c>
      <c r="D1018">
        <v>-200.97</v>
      </c>
      <c r="E1018" t="s">
        <v>10</v>
      </c>
      <c r="F1018">
        <v>3271.85</v>
      </c>
      <c r="G1018" t="str" cm="1">
        <f t="array" ref="G1018">IF(AND(ISNUMBER(SEARCH("UBER",C1018)),ISNUMBER(SEARCH("EATS",C1018))),"Uber Eats",IF(LEFT(C1018,6)="CHECK ","Checks Paid",IF(OR(E1018="BILLPAY",ISNUMBER(SEARCH("FRANCHISE TAX",C1018)),ISNUMBER(SEARCH("NEXTLINK",C1018))),"Personal - House Bills",IF(AND(ISNUMBER(SEARCH("PAYMENT FROM",C1018)),ISNUMBER(SEARCH("JOE SAUNDERS",C1018))),"Zelle from Joe Saunders",IF(AND(ISNUMBER(SEARCH("PAYMENT TO",C1018)),ISNUMBER(SEARCH("JOE SAUNDERS",C1018))),"Zelle to Joe Saunders",IF(OR(ISNUMBER(SEARCH("NEW ORLEANS",C1018)),ISNUMBER(SEARCH("KENNER",C1018)),ISNUMBER(SEARCH("HENRY HOWARD",C1018)),ISNUMBER(SEARCH("MISS CLAUDIA",C1018))),"Personal Travel - New Orleans",IF(AND(YEAR(B1018)=2025,MONTH(B1018)=4,OR(ISNUMBER(SEARCH("EXCHANGE RATE",C1018)),ISNUMBER(SEARCH("EXCHG RTE",C1018)))),"Personal Travel - Italy",IFERROR(INDEX('Category Rules'!$B$2:$B$358,MATCH(TRUE,ISNUMBER(SEARCH('Category Rules'!$A$2:$A$358,C1018)),0)),""))))))))</f>
        <v>Amazon</v>
      </c>
    </row>
    <row r="1019" spans="1:7" x14ac:dyDescent="0.25">
      <c r="A1019" t="s">
        <v>6</v>
      </c>
      <c r="B1019" s="1">
        <v>45880</v>
      </c>
      <c r="C1019" t="s">
        <v>946</v>
      </c>
      <c r="D1019">
        <v>-12.99</v>
      </c>
      <c r="E1019" t="s">
        <v>10</v>
      </c>
      <c r="F1019">
        <v>3472.82</v>
      </c>
      <c r="G1019" t="str" cm="1">
        <f t="array" ref="G1019">IF(AND(ISNUMBER(SEARCH("UBER",C1019)),ISNUMBER(SEARCH("EATS",C1019))),"Uber Eats",IF(LEFT(C1019,6)="CHECK ","Checks Paid",IF(OR(E1019="BILLPAY",ISNUMBER(SEARCH("FRANCHISE TAX",C1019)),ISNUMBER(SEARCH("NEXTLINK",C1019))),"Personal - House Bills",IF(AND(ISNUMBER(SEARCH("PAYMENT FROM",C1019)),ISNUMBER(SEARCH("JOE SAUNDERS",C1019))),"Zelle from Joe Saunders",IF(AND(ISNUMBER(SEARCH("PAYMENT TO",C1019)),ISNUMBER(SEARCH("JOE SAUNDERS",C1019))),"Zelle to Joe Saunders",IF(OR(ISNUMBER(SEARCH("NEW ORLEANS",C1019)),ISNUMBER(SEARCH("KENNER",C1019)),ISNUMBER(SEARCH("HENRY HOWARD",C1019)),ISNUMBER(SEARCH("MISS CLAUDIA",C1019))),"Personal Travel - New Orleans",IF(AND(YEAR(B1019)=2025,MONTH(B1019)=4,OR(ISNUMBER(SEARCH("EXCHANGE RATE",C1019)),ISNUMBER(SEARCH("EXCHG RTE",C1019)))),"Personal Travel - Italy",IFERROR(INDEX('Category Rules'!$B$2:$B$358,MATCH(TRUE,ISNUMBER(SEARCH('Category Rules'!$A$2:$A$358,C1019)),0)),""))))))))</f>
        <v>Apple</v>
      </c>
    </row>
    <row r="1020" spans="1:7" x14ac:dyDescent="0.25">
      <c r="A1020" t="s">
        <v>6</v>
      </c>
      <c r="B1020" s="1">
        <v>45880</v>
      </c>
      <c r="C1020" t="s">
        <v>947</v>
      </c>
      <c r="D1020">
        <v>-139.97999999999999</v>
      </c>
      <c r="E1020" t="s">
        <v>10</v>
      </c>
      <c r="F1020">
        <v>3485.81</v>
      </c>
      <c r="G1020" t="str" cm="1">
        <f t="array" ref="G1020">IF(AND(ISNUMBER(SEARCH("UBER",C1020)),ISNUMBER(SEARCH("EATS",C1020))),"Uber Eats",IF(LEFT(C1020,6)="CHECK ","Checks Paid",IF(OR(E1020="BILLPAY",ISNUMBER(SEARCH("FRANCHISE TAX",C1020)),ISNUMBER(SEARCH("NEXTLINK",C1020))),"Personal - House Bills",IF(AND(ISNUMBER(SEARCH("PAYMENT FROM",C1020)),ISNUMBER(SEARCH("JOE SAUNDERS",C1020))),"Zelle from Joe Saunders",IF(AND(ISNUMBER(SEARCH("PAYMENT TO",C1020)),ISNUMBER(SEARCH("JOE SAUNDERS",C1020))),"Zelle to Joe Saunders",IF(OR(ISNUMBER(SEARCH("NEW ORLEANS",C1020)),ISNUMBER(SEARCH("KENNER",C1020)),ISNUMBER(SEARCH("HENRY HOWARD",C1020)),ISNUMBER(SEARCH("MISS CLAUDIA",C1020))),"Personal Travel - New Orleans",IF(AND(YEAR(B1020)=2025,MONTH(B1020)=4,OR(ISNUMBER(SEARCH("EXCHANGE RATE",C1020)),ISNUMBER(SEARCH("EXCHG RTE",C1020)))),"Personal Travel - Italy",IFERROR(INDEX('Category Rules'!$B$2:$B$358,MATCH(TRUE,ISNUMBER(SEARCH('Category Rules'!$A$2:$A$358,C1020)),0)),""))))))))</f>
        <v>Personal - Shopping</v>
      </c>
    </row>
    <row r="1021" spans="1:7" x14ac:dyDescent="0.25">
      <c r="A1021" t="s">
        <v>6</v>
      </c>
      <c r="B1021" s="1">
        <v>45880</v>
      </c>
      <c r="C1021" t="s">
        <v>948</v>
      </c>
      <c r="D1021">
        <v>-6.99</v>
      </c>
      <c r="E1021" t="s">
        <v>10</v>
      </c>
      <c r="F1021">
        <v>3625.79</v>
      </c>
      <c r="G1021" t="str" cm="1">
        <f t="array" ref="G1021">IF(AND(ISNUMBER(SEARCH("UBER",C1021)),ISNUMBER(SEARCH("EATS",C1021))),"Uber Eats",IF(LEFT(C1021,6)="CHECK ","Checks Paid",IF(OR(E1021="BILLPAY",ISNUMBER(SEARCH("FRANCHISE TAX",C1021)),ISNUMBER(SEARCH("NEXTLINK",C1021))),"Personal - House Bills",IF(AND(ISNUMBER(SEARCH("PAYMENT FROM",C1021)),ISNUMBER(SEARCH("JOE SAUNDERS",C1021))),"Zelle from Joe Saunders",IF(AND(ISNUMBER(SEARCH("PAYMENT TO",C1021)),ISNUMBER(SEARCH("JOE SAUNDERS",C1021))),"Zelle to Joe Saunders",IF(OR(ISNUMBER(SEARCH("NEW ORLEANS",C1021)),ISNUMBER(SEARCH("KENNER",C1021)),ISNUMBER(SEARCH("HENRY HOWARD",C1021)),ISNUMBER(SEARCH("MISS CLAUDIA",C1021))),"Personal Travel - New Orleans",IF(AND(YEAR(B1021)=2025,MONTH(B1021)=4,OR(ISNUMBER(SEARCH("EXCHANGE RATE",C1021)),ISNUMBER(SEARCH("EXCHG RTE",C1021)))),"Personal Travel - Italy",IFERROR(INDEX('Category Rules'!$B$2:$B$358,MATCH(TRUE,ISNUMBER(SEARCH('Category Rules'!$A$2:$A$358,C1021)),0)),""))))))))</f>
        <v>Apple</v>
      </c>
    </row>
    <row r="1022" spans="1:7" x14ac:dyDescent="0.25">
      <c r="A1022" t="s">
        <v>6</v>
      </c>
      <c r="B1022" s="1">
        <v>45880</v>
      </c>
      <c r="C1022" t="s">
        <v>949</v>
      </c>
      <c r="D1022">
        <v>-50</v>
      </c>
      <c r="E1022" t="s">
        <v>10</v>
      </c>
      <c r="F1022">
        <v>3632.78</v>
      </c>
      <c r="G1022" t="str" cm="1">
        <f t="array" ref="G1022">IF(AND(ISNUMBER(SEARCH("UBER",C1022)),ISNUMBER(SEARCH("EATS",C1022))),"Uber Eats",IF(LEFT(C1022,6)="CHECK ","Checks Paid",IF(OR(E1022="BILLPAY",ISNUMBER(SEARCH("FRANCHISE TAX",C1022)),ISNUMBER(SEARCH("NEXTLINK",C1022))),"Personal - House Bills",IF(AND(ISNUMBER(SEARCH("PAYMENT FROM",C1022)),ISNUMBER(SEARCH("JOE SAUNDERS",C1022))),"Zelle from Joe Saunders",IF(AND(ISNUMBER(SEARCH("PAYMENT TO",C1022)),ISNUMBER(SEARCH("JOE SAUNDERS",C1022))),"Zelle to Joe Saunders",IF(OR(ISNUMBER(SEARCH("NEW ORLEANS",C1022)),ISNUMBER(SEARCH("KENNER",C1022)),ISNUMBER(SEARCH("HENRY HOWARD",C1022)),ISNUMBER(SEARCH("MISS CLAUDIA",C1022))),"Personal Travel - New Orleans",IF(AND(YEAR(B1022)=2025,MONTH(B1022)=4,OR(ISNUMBER(SEARCH("EXCHANGE RATE",C1022)),ISNUMBER(SEARCH("EXCHG RTE",C1022)))),"Personal Travel - Italy",IFERROR(INDEX('Category Rules'!$B$2:$B$358,MATCH(TRUE,ISNUMBER(SEARCH('Category Rules'!$A$2:$A$358,C1022)),0)),""))))))))</f>
        <v>Amazon</v>
      </c>
    </row>
    <row r="1023" spans="1:7" x14ac:dyDescent="0.25">
      <c r="A1023" t="s">
        <v>6</v>
      </c>
      <c r="B1023" s="1">
        <v>45880</v>
      </c>
      <c r="C1023" t="s">
        <v>950</v>
      </c>
      <c r="D1023">
        <v>-26.68</v>
      </c>
      <c r="E1023" t="s">
        <v>10</v>
      </c>
      <c r="F1023">
        <v>3682.78</v>
      </c>
      <c r="G1023" t="str" cm="1">
        <f t="array" ref="G1023">IF(AND(ISNUMBER(SEARCH("UBER",C1023)),ISNUMBER(SEARCH("EATS",C1023))),"Uber Eats",IF(LEFT(C1023,6)="CHECK ","Checks Paid",IF(OR(E1023="BILLPAY",ISNUMBER(SEARCH("FRANCHISE TAX",C1023)),ISNUMBER(SEARCH("NEXTLINK",C1023))),"Personal - House Bills",IF(AND(ISNUMBER(SEARCH("PAYMENT FROM",C1023)),ISNUMBER(SEARCH("JOE SAUNDERS",C1023))),"Zelle from Joe Saunders",IF(AND(ISNUMBER(SEARCH("PAYMENT TO",C1023)),ISNUMBER(SEARCH("JOE SAUNDERS",C1023))),"Zelle to Joe Saunders",IF(OR(ISNUMBER(SEARCH("NEW ORLEANS",C1023)),ISNUMBER(SEARCH("KENNER",C1023)),ISNUMBER(SEARCH("HENRY HOWARD",C1023)),ISNUMBER(SEARCH("MISS CLAUDIA",C1023))),"Personal Travel - New Orleans",IF(AND(YEAR(B1023)=2025,MONTH(B1023)=4,OR(ISNUMBER(SEARCH("EXCHANGE RATE",C1023)),ISNUMBER(SEARCH("EXCHG RTE",C1023)))),"Personal Travel - Italy",IFERROR(INDEX('Category Rules'!$B$2:$B$358,MATCH(TRUE,ISNUMBER(SEARCH('Category Rules'!$A$2:$A$358,C1023)),0)),""))))))))</f>
        <v>Amazon</v>
      </c>
    </row>
    <row r="1024" spans="1:7" x14ac:dyDescent="0.25">
      <c r="A1024" t="s">
        <v>6</v>
      </c>
      <c r="B1024" s="1">
        <v>45880</v>
      </c>
      <c r="C1024" t="s">
        <v>951</v>
      </c>
      <c r="D1024">
        <v>-20.27</v>
      </c>
      <c r="E1024" t="s">
        <v>10</v>
      </c>
      <c r="F1024">
        <v>3709.46</v>
      </c>
      <c r="G1024" t="str" cm="1">
        <f t="array" ref="G1024">IF(AND(ISNUMBER(SEARCH("UBER",C1024)),ISNUMBER(SEARCH("EATS",C1024))),"Uber Eats",IF(LEFT(C1024,6)="CHECK ","Checks Paid",IF(OR(E1024="BILLPAY",ISNUMBER(SEARCH("FRANCHISE TAX",C1024)),ISNUMBER(SEARCH("NEXTLINK",C1024))),"Personal - House Bills",IF(AND(ISNUMBER(SEARCH("PAYMENT FROM",C1024)),ISNUMBER(SEARCH("JOE SAUNDERS",C1024))),"Zelle from Joe Saunders",IF(AND(ISNUMBER(SEARCH("PAYMENT TO",C1024)),ISNUMBER(SEARCH("JOE SAUNDERS",C1024))),"Zelle to Joe Saunders",IF(OR(ISNUMBER(SEARCH("NEW ORLEANS",C1024)),ISNUMBER(SEARCH("KENNER",C1024)),ISNUMBER(SEARCH("HENRY HOWARD",C1024)),ISNUMBER(SEARCH("MISS CLAUDIA",C1024))),"Personal Travel - New Orleans",IF(AND(YEAR(B1024)=2025,MONTH(B1024)=4,OR(ISNUMBER(SEARCH("EXCHANGE RATE",C1024)),ISNUMBER(SEARCH("EXCHG RTE",C1024)))),"Personal Travel - Italy",IFERROR(INDEX('Category Rules'!$B$2:$B$358,MATCH(TRUE,ISNUMBER(SEARCH('Category Rules'!$A$2:$A$358,C1024)),0)),""))))))))</f>
        <v>Amazon</v>
      </c>
    </row>
    <row r="1025" spans="1:7" x14ac:dyDescent="0.25">
      <c r="A1025" t="s">
        <v>6</v>
      </c>
      <c r="B1025" s="1">
        <v>45880</v>
      </c>
      <c r="C1025" t="s">
        <v>952</v>
      </c>
      <c r="D1025">
        <v>-43.6</v>
      </c>
      <c r="E1025" t="s">
        <v>10</v>
      </c>
      <c r="F1025">
        <v>3729.73</v>
      </c>
      <c r="G1025" t="str" cm="1">
        <f t="array" ref="G1025">IF(AND(ISNUMBER(SEARCH("UBER",C1025)),ISNUMBER(SEARCH("EATS",C1025))),"Uber Eats",IF(LEFT(C1025,6)="CHECK ","Checks Paid",IF(OR(E1025="BILLPAY",ISNUMBER(SEARCH("FRANCHISE TAX",C1025)),ISNUMBER(SEARCH("NEXTLINK",C1025))),"Personal - House Bills",IF(AND(ISNUMBER(SEARCH("PAYMENT FROM",C1025)),ISNUMBER(SEARCH("JOE SAUNDERS",C1025))),"Zelle from Joe Saunders",IF(AND(ISNUMBER(SEARCH("PAYMENT TO",C1025)),ISNUMBER(SEARCH("JOE SAUNDERS",C1025))),"Zelle to Joe Saunders",IF(OR(ISNUMBER(SEARCH("NEW ORLEANS",C1025)),ISNUMBER(SEARCH("KENNER",C1025)),ISNUMBER(SEARCH("HENRY HOWARD",C1025)),ISNUMBER(SEARCH("MISS CLAUDIA",C1025))),"Personal Travel - New Orleans",IF(AND(YEAR(B1025)=2025,MONTH(B1025)=4,OR(ISNUMBER(SEARCH("EXCHANGE RATE",C1025)),ISNUMBER(SEARCH("EXCHG RTE",C1025)))),"Personal Travel - Italy",IFERROR(INDEX('Category Rules'!$B$2:$B$358,MATCH(TRUE,ISNUMBER(SEARCH('Category Rules'!$A$2:$A$358,C1025)),0)),""))))))))</f>
        <v>Amazon</v>
      </c>
    </row>
    <row r="1026" spans="1:7" x14ac:dyDescent="0.25">
      <c r="A1026" t="s">
        <v>6</v>
      </c>
      <c r="B1026" s="1">
        <v>45880</v>
      </c>
      <c r="C1026" t="s">
        <v>953</v>
      </c>
      <c r="D1026">
        <v>-18.010000000000002</v>
      </c>
      <c r="E1026" t="s">
        <v>10</v>
      </c>
      <c r="F1026">
        <v>3773.33</v>
      </c>
      <c r="G1026" t="str" cm="1">
        <f t="array" ref="G1026">IF(AND(ISNUMBER(SEARCH("UBER",C1026)),ISNUMBER(SEARCH("EATS",C1026))),"Uber Eats",IF(LEFT(C1026,6)="CHECK ","Checks Paid",IF(OR(E1026="BILLPAY",ISNUMBER(SEARCH("FRANCHISE TAX",C1026)),ISNUMBER(SEARCH("NEXTLINK",C1026))),"Personal - House Bills",IF(AND(ISNUMBER(SEARCH("PAYMENT FROM",C1026)),ISNUMBER(SEARCH("JOE SAUNDERS",C1026))),"Zelle from Joe Saunders",IF(AND(ISNUMBER(SEARCH("PAYMENT TO",C1026)),ISNUMBER(SEARCH("JOE SAUNDERS",C1026))),"Zelle to Joe Saunders",IF(OR(ISNUMBER(SEARCH("NEW ORLEANS",C1026)),ISNUMBER(SEARCH("KENNER",C1026)),ISNUMBER(SEARCH("HENRY HOWARD",C1026)),ISNUMBER(SEARCH("MISS CLAUDIA",C1026))),"Personal Travel - New Orleans",IF(AND(YEAR(B1026)=2025,MONTH(B1026)=4,OR(ISNUMBER(SEARCH("EXCHANGE RATE",C1026)),ISNUMBER(SEARCH("EXCHG RTE",C1026)))),"Personal Travel - Italy",IFERROR(INDEX('Category Rules'!$B$2:$B$358,MATCH(TRUE,ISNUMBER(SEARCH('Category Rules'!$A$2:$A$358,C1026)),0)),""))))))))</f>
        <v>Personal - Entertainment</v>
      </c>
    </row>
    <row r="1027" spans="1:7" x14ac:dyDescent="0.25">
      <c r="A1027" t="s">
        <v>6</v>
      </c>
      <c r="B1027" s="1">
        <v>45877</v>
      </c>
      <c r="C1027" t="s">
        <v>954</v>
      </c>
      <c r="D1027">
        <v>-59.51</v>
      </c>
      <c r="E1027" t="s">
        <v>10</v>
      </c>
      <c r="F1027">
        <v>3791.34</v>
      </c>
      <c r="G1027" t="str" cm="1">
        <f t="array" ref="G1027">IF(AND(ISNUMBER(SEARCH("UBER",C1027)),ISNUMBER(SEARCH("EATS",C1027))),"Uber Eats",IF(LEFT(C1027,6)="CHECK ","Checks Paid",IF(OR(E1027="BILLPAY",ISNUMBER(SEARCH("FRANCHISE TAX",C1027)),ISNUMBER(SEARCH("NEXTLINK",C1027))),"Personal - House Bills",IF(AND(ISNUMBER(SEARCH("PAYMENT FROM",C1027)),ISNUMBER(SEARCH("JOE SAUNDERS",C1027))),"Zelle from Joe Saunders",IF(AND(ISNUMBER(SEARCH("PAYMENT TO",C1027)),ISNUMBER(SEARCH("JOE SAUNDERS",C1027))),"Zelle to Joe Saunders",IF(OR(ISNUMBER(SEARCH("NEW ORLEANS",C1027)),ISNUMBER(SEARCH("KENNER",C1027)),ISNUMBER(SEARCH("HENRY HOWARD",C1027)),ISNUMBER(SEARCH("MISS CLAUDIA",C1027))),"Personal Travel - New Orleans",IF(AND(YEAR(B1027)=2025,MONTH(B1027)=4,OR(ISNUMBER(SEARCH("EXCHANGE RATE",C1027)),ISNUMBER(SEARCH("EXCHG RTE",C1027)))),"Personal Travel - Italy",IFERROR(INDEX('Category Rules'!$B$2:$B$358,MATCH(TRUE,ISNUMBER(SEARCH('Category Rules'!$A$2:$A$358,C1027)),0)),""))))))))</f>
        <v>Personal - Shopping</v>
      </c>
    </row>
    <row r="1028" spans="1:7" x14ac:dyDescent="0.25">
      <c r="A1028" t="s">
        <v>6</v>
      </c>
      <c r="B1028" s="1">
        <v>45877</v>
      </c>
      <c r="C1028" t="s">
        <v>955</v>
      </c>
      <c r="D1028">
        <v>-11.19</v>
      </c>
      <c r="E1028" t="s">
        <v>10</v>
      </c>
      <c r="F1028">
        <v>3850.85</v>
      </c>
      <c r="G1028" t="str" cm="1">
        <f t="array" ref="G1028">IF(AND(ISNUMBER(SEARCH("UBER",C1028)),ISNUMBER(SEARCH("EATS",C1028))),"Uber Eats",IF(LEFT(C1028,6)="CHECK ","Checks Paid",IF(OR(E1028="BILLPAY",ISNUMBER(SEARCH("FRANCHISE TAX",C1028)),ISNUMBER(SEARCH("NEXTLINK",C1028))),"Personal - House Bills",IF(AND(ISNUMBER(SEARCH("PAYMENT FROM",C1028)),ISNUMBER(SEARCH("JOE SAUNDERS",C1028))),"Zelle from Joe Saunders",IF(AND(ISNUMBER(SEARCH("PAYMENT TO",C1028)),ISNUMBER(SEARCH("JOE SAUNDERS",C1028))),"Zelle to Joe Saunders",IF(OR(ISNUMBER(SEARCH("NEW ORLEANS",C1028)),ISNUMBER(SEARCH("KENNER",C1028)),ISNUMBER(SEARCH("HENRY HOWARD",C1028)),ISNUMBER(SEARCH("MISS CLAUDIA",C1028))),"Personal Travel - New Orleans",IF(AND(YEAR(B1028)=2025,MONTH(B1028)=4,OR(ISNUMBER(SEARCH("EXCHANGE RATE",C1028)),ISNUMBER(SEARCH("EXCHG RTE",C1028)))),"Personal Travel - Italy",IFERROR(INDEX('Category Rules'!$B$2:$B$358,MATCH(TRUE,ISNUMBER(SEARCH('Category Rules'!$A$2:$A$358,C1028)),0)),""))))))))</f>
        <v>Personal - Food</v>
      </c>
    </row>
    <row r="1029" spans="1:7" x14ac:dyDescent="0.25">
      <c r="A1029" t="s">
        <v>6</v>
      </c>
      <c r="B1029" s="1">
        <v>45877</v>
      </c>
      <c r="C1029" t="s">
        <v>956</v>
      </c>
      <c r="D1029">
        <v>-13.99</v>
      </c>
      <c r="E1029" t="s">
        <v>10</v>
      </c>
      <c r="F1029">
        <v>3862.04</v>
      </c>
      <c r="G1029" t="str" cm="1">
        <f t="array" ref="G1029">IF(AND(ISNUMBER(SEARCH("UBER",C1029)),ISNUMBER(SEARCH("EATS",C1029))),"Uber Eats",IF(LEFT(C1029,6)="CHECK ","Checks Paid",IF(OR(E1029="BILLPAY",ISNUMBER(SEARCH("FRANCHISE TAX",C1029)),ISNUMBER(SEARCH("NEXTLINK",C1029))),"Personal - House Bills",IF(AND(ISNUMBER(SEARCH("PAYMENT FROM",C1029)),ISNUMBER(SEARCH("JOE SAUNDERS",C1029))),"Zelle from Joe Saunders",IF(AND(ISNUMBER(SEARCH("PAYMENT TO",C1029)),ISNUMBER(SEARCH("JOE SAUNDERS",C1029))),"Zelle to Joe Saunders",IF(OR(ISNUMBER(SEARCH("NEW ORLEANS",C1029)),ISNUMBER(SEARCH("KENNER",C1029)),ISNUMBER(SEARCH("HENRY HOWARD",C1029)),ISNUMBER(SEARCH("MISS CLAUDIA",C1029))),"Personal Travel - New Orleans",IF(AND(YEAR(B1029)=2025,MONTH(B1029)=4,OR(ISNUMBER(SEARCH("EXCHANGE RATE",C1029)),ISNUMBER(SEARCH("EXCHG RTE",C1029)))),"Personal Travel - Italy",IFERROR(INDEX('Category Rules'!$B$2:$B$358,MATCH(TRUE,ISNUMBER(SEARCH('Category Rules'!$A$2:$A$358,C1029)),0)),""))))))))</f>
        <v>Amazon</v>
      </c>
    </row>
    <row r="1030" spans="1:7" x14ac:dyDescent="0.25">
      <c r="A1030" t="s">
        <v>6</v>
      </c>
      <c r="B1030" s="1">
        <v>45877</v>
      </c>
      <c r="C1030" t="s">
        <v>957</v>
      </c>
      <c r="D1030">
        <v>-49.32</v>
      </c>
      <c r="E1030" t="s">
        <v>10</v>
      </c>
      <c r="F1030">
        <v>3876.03</v>
      </c>
      <c r="G1030" t="str" cm="1">
        <f t="array" ref="G1030">IF(AND(ISNUMBER(SEARCH("UBER",C1030)),ISNUMBER(SEARCH("EATS",C1030))),"Uber Eats",IF(LEFT(C1030,6)="CHECK ","Checks Paid",IF(OR(E1030="BILLPAY",ISNUMBER(SEARCH("FRANCHISE TAX",C1030)),ISNUMBER(SEARCH("NEXTLINK",C1030))),"Personal - House Bills",IF(AND(ISNUMBER(SEARCH("PAYMENT FROM",C1030)),ISNUMBER(SEARCH("JOE SAUNDERS",C1030))),"Zelle from Joe Saunders",IF(AND(ISNUMBER(SEARCH("PAYMENT TO",C1030)),ISNUMBER(SEARCH("JOE SAUNDERS",C1030))),"Zelle to Joe Saunders",IF(OR(ISNUMBER(SEARCH("NEW ORLEANS",C1030)),ISNUMBER(SEARCH("KENNER",C1030)),ISNUMBER(SEARCH("HENRY HOWARD",C1030)),ISNUMBER(SEARCH("MISS CLAUDIA",C1030))),"Personal Travel - New Orleans",IF(AND(YEAR(B1030)=2025,MONTH(B1030)=4,OR(ISNUMBER(SEARCH("EXCHANGE RATE",C1030)),ISNUMBER(SEARCH("EXCHG RTE",C1030)))),"Personal Travel - Italy",IFERROR(INDEX('Category Rules'!$B$2:$B$358,MATCH(TRUE,ISNUMBER(SEARCH('Category Rules'!$A$2:$A$358,C1030)),0)),""))))))))</f>
        <v>Personal - Entertainment</v>
      </c>
    </row>
    <row r="1031" spans="1:7" x14ac:dyDescent="0.25">
      <c r="A1031" t="s">
        <v>6</v>
      </c>
      <c r="B1031" s="1">
        <v>45877</v>
      </c>
      <c r="C1031" t="s">
        <v>958</v>
      </c>
      <c r="D1031">
        <v>-88.22</v>
      </c>
      <c r="E1031" t="s">
        <v>10</v>
      </c>
      <c r="F1031">
        <v>3925.35</v>
      </c>
      <c r="G1031" t="str" cm="1">
        <f t="array" ref="G1031">IF(AND(ISNUMBER(SEARCH("UBER",C1031)),ISNUMBER(SEARCH("EATS",C1031))),"Uber Eats",IF(LEFT(C1031,6)="CHECK ","Checks Paid",IF(OR(E1031="BILLPAY",ISNUMBER(SEARCH("FRANCHISE TAX",C1031)),ISNUMBER(SEARCH("NEXTLINK",C1031))),"Personal - House Bills",IF(AND(ISNUMBER(SEARCH("PAYMENT FROM",C1031)),ISNUMBER(SEARCH("JOE SAUNDERS",C1031))),"Zelle from Joe Saunders",IF(AND(ISNUMBER(SEARCH("PAYMENT TO",C1031)),ISNUMBER(SEARCH("JOE SAUNDERS",C1031))),"Zelle to Joe Saunders",IF(OR(ISNUMBER(SEARCH("NEW ORLEANS",C1031)),ISNUMBER(SEARCH("KENNER",C1031)),ISNUMBER(SEARCH("HENRY HOWARD",C1031)),ISNUMBER(SEARCH("MISS CLAUDIA",C1031))),"Personal Travel - New Orleans",IF(AND(YEAR(B1031)=2025,MONTH(B1031)=4,OR(ISNUMBER(SEARCH("EXCHANGE RATE",C1031)),ISNUMBER(SEARCH("EXCHG RTE",C1031)))),"Personal Travel - Italy",IFERROR(INDEX('Category Rules'!$B$2:$B$358,MATCH(TRUE,ISNUMBER(SEARCH('Category Rules'!$A$2:$A$358,C1031)),0)),""))))))))</f>
        <v>Amazon</v>
      </c>
    </row>
    <row r="1032" spans="1:7" x14ac:dyDescent="0.25">
      <c r="A1032" t="s">
        <v>6</v>
      </c>
      <c r="B1032" s="1">
        <v>45877</v>
      </c>
      <c r="C1032" t="s">
        <v>959</v>
      </c>
      <c r="D1032">
        <v>-60.99</v>
      </c>
      <c r="E1032" t="s">
        <v>10</v>
      </c>
      <c r="F1032">
        <v>4013.57</v>
      </c>
      <c r="G1032" t="str" cm="1">
        <f t="array" ref="G1032">IF(AND(ISNUMBER(SEARCH("UBER",C1032)),ISNUMBER(SEARCH("EATS",C1032))),"Uber Eats",IF(LEFT(C1032,6)="CHECK ","Checks Paid",IF(OR(E1032="BILLPAY",ISNUMBER(SEARCH("FRANCHISE TAX",C1032)),ISNUMBER(SEARCH("NEXTLINK",C1032))),"Personal - House Bills",IF(AND(ISNUMBER(SEARCH("PAYMENT FROM",C1032)),ISNUMBER(SEARCH("JOE SAUNDERS",C1032))),"Zelle from Joe Saunders",IF(AND(ISNUMBER(SEARCH("PAYMENT TO",C1032)),ISNUMBER(SEARCH("JOE SAUNDERS",C1032))),"Zelle to Joe Saunders",IF(OR(ISNUMBER(SEARCH("NEW ORLEANS",C1032)),ISNUMBER(SEARCH("KENNER",C1032)),ISNUMBER(SEARCH("HENRY HOWARD",C1032)),ISNUMBER(SEARCH("MISS CLAUDIA",C1032))),"Personal Travel - New Orleans",IF(AND(YEAR(B1032)=2025,MONTH(B1032)=4,OR(ISNUMBER(SEARCH("EXCHANGE RATE",C1032)),ISNUMBER(SEARCH("EXCHG RTE",C1032)))),"Personal Travel - Italy",IFERROR(INDEX('Category Rules'!$B$2:$B$358,MATCH(TRUE,ISNUMBER(SEARCH('Category Rules'!$A$2:$A$358,C1032)),0)),""))))))))</f>
        <v>Amazon</v>
      </c>
    </row>
    <row r="1033" spans="1:7" x14ac:dyDescent="0.25">
      <c r="A1033" t="s">
        <v>6</v>
      </c>
      <c r="B1033" s="1">
        <v>45877</v>
      </c>
      <c r="C1033" t="s">
        <v>960</v>
      </c>
      <c r="D1033">
        <v>-228.36</v>
      </c>
      <c r="E1033" t="s">
        <v>10</v>
      </c>
      <c r="F1033">
        <v>4074.56</v>
      </c>
      <c r="G1033" t="str" cm="1">
        <f t="array" ref="G1033">IF(AND(ISNUMBER(SEARCH("UBER",C1033)),ISNUMBER(SEARCH("EATS",C1033))),"Uber Eats",IF(LEFT(C1033,6)="CHECK ","Checks Paid",IF(OR(E1033="BILLPAY",ISNUMBER(SEARCH("FRANCHISE TAX",C1033)),ISNUMBER(SEARCH("NEXTLINK",C1033))),"Personal - House Bills",IF(AND(ISNUMBER(SEARCH("PAYMENT FROM",C1033)),ISNUMBER(SEARCH("JOE SAUNDERS",C1033))),"Zelle from Joe Saunders",IF(AND(ISNUMBER(SEARCH("PAYMENT TO",C1033)),ISNUMBER(SEARCH("JOE SAUNDERS",C1033))),"Zelle to Joe Saunders",IF(OR(ISNUMBER(SEARCH("NEW ORLEANS",C1033)),ISNUMBER(SEARCH("KENNER",C1033)),ISNUMBER(SEARCH("HENRY HOWARD",C1033)),ISNUMBER(SEARCH("MISS CLAUDIA",C1033))),"Personal Travel - New Orleans",IF(AND(YEAR(B1033)=2025,MONTH(B1033)=4,OR(ISNUMBER(SEARCH("EXCHANGE RATE",C1033)),ISNUMBER(SEARCH("EXCHG RTE",C1033)))),"Personal Travel - Italy",IFERROR(INDEX('Category Rules'!$B$2:$B$358,MATCH(TRUE,ISNUMBER(SEARCH('Category Rules'!$A$2:$A$358,C1033)),0)),""))))))))</f>
        <v>Personal - Shopping</v>
      </c>
    </row>
    <row r="1034" spans="1:7" x14ac:dyDescent="0.25">
      <c r="A1034" t="s">
        <v>6</v>
      </c>
      <c r="B1034" s="1">
        <v>45876</v>
      </c>
      <c r="C1034" t="s">
        <v>961</v>
      </c>
      <c r="D1034">
        <v>-86.58</v>
      </c>
      <c r="E1034" t="s">
        <v>10</v>
      </c>
      <c r="F1034">
        <v>4302.92</v>
      </c>
      <c r="G1034" t="str" cm="1">
        <f t="array" ref="G1034">IF(AND(ISNUMBER(SEARCH("UBER",C1034)),ISNUMBER(SEARCH("EATS",C1034))),"Uber Eats",IF(LEFT(C1034,6)="CHECK ","Checks Paid",IF(OR(E1034="BILLPAY",ISNUMBER(SEARCH("FRANCHISE TAX",C1034)),ISNUMBER(SEARCH("NEXTLINK",C1034))),"Personal - House Bills",IF(AND(ISNUMBER(SEARCH("PAYMENT FROM",C1034)),ISNUMBER(SEARCH("JOE SAUNDERS",C1034))),"Zelle from Joe Saunders",IF(AND(ISNUMBER(SEARCH("PAYMENT TO",C1034)),ISNUMBER(SEARCH("JOE SAUNDERS",C1034))),"Zelle to Joe Saunders",IF(OR(ISNUMBER(SEARCH("NEW ORLEANS",C1034)),ISNUMBER(SEARCH("KENNER",C1034)),ISNUMBER(SEARCH("HENRY HOWARD",C1034)),ISNUMBER(SEARCH("MISS CLAUDIA",C1034))),"Personal Travel - New Orleans",IF(AND(YEAR(B1034)=2025,MONTH(B1034)=4,OR(ISNUMBER(SEARCH("EXCHANGE RATE",C1034)),ISNUMBER(SEARCH("EXCHG RTE",C1034)))),"Personal Travel - Italy",IFERROR(INDEX('Category Rules'!$B$2:$B$358,MATCH(TRUE,ISNUMBER(SEARCH('Category Rules'!$A$2:$A$358,C1034)),0)),""))))))))</f>
        <v>Personal - Shopping</v>
      </c>
    </row>
    <row r="1035" spans="1:7" x14ac:dyDescent="0.25">
      <c r="A1035" t="s">
        <v>6</v>
      </c>
      <c r="B1035" s="1">
        <v>45876</v>
      </c>
      <c r="C1035" t="s">
        <v>962</v>
      </c>
      <c r="D1035">
        <v>-54.95</v>
      </c>
      <c r="E1035" t="s">
        <v>10</v>
      </c>
      <c r="F1035">
        <v>4389.5</v>
      </c>
      <c r="G1035" t="str" cm="1">
        <f t="array" ref="G1035">IF(AND(ISNUMBER(SEARCH("UBER",C1035)),ISNUMBER(SEARCH("EATS",C1035))),"Uber Eats",IF(LEFT(C1035,6)="CHECK ","Checks Paid",IF(OR(E1035="BILLPAY",ISNUMBER(SEARCH("FRANCHISE TAX",C1035)),ISNUMBER(SEARCH("NEXTLINK",C1035))),"Personal - House Bills",IF(AND(ISNUMBER(SEARCH("PAYMENT FROM",C1035)),ISNUMBER(SEARCH("JOE SAUNDERS",C1035))),"Zelle from Joe Saunders",IF(AND(ISNUMBER(SEARCH("PAYMENT TO",C1035)),ISNUMBER(SEARCH("JOE SAUNDERS",C1035))),"Zelle to Joe Saunders",IF(OR(ISNUMBER(SEARCH("NEW ORLEANS",C1035)),ISNUMBER(SEARCH("KENNER",C1035)),ISNUMBER(SEARCH("HENRY HOWARD",C1035)),ISNUMBER(SEARCH("MISS CLAUDIA",C1035))),"Personal Travel - New Orleans",IF(AND(YEAR(B1035)=2025,MONTH(B1035)=4,OR(ISNUMBER(SEARCH("EXCHANGE RATE",C1035)),ISNUMBER(SEARCH("EXCHG RTE",C1035)))),"Personal Travel - Italy",IFERROR(INDEX('Category Rules'!$B$2:$B$358,MATCH(TRUE,ISNUMBER(SEARCH('Category Rules'!$A$2:$A$358,C1035)),0)),""))))))))</f>
        <v>Personal - Subscription</v>
      </c>
    </row>
    <row r="1036" spans="1:7" x14ac:dyDescent="0.25">
      <c r="A1036" t="s">
        <v>6</v>
      </c>
      <c r="B1036" s="1">
        <v>45876</v>
      </c>
      <c r="C1036" t="s">
        <v>963</v>
      </c>
      <c r="D1036">
        <v>-56.89</v>
      </c>
      <c r="E1036" t="s">
        <v>10</v>
      </c>
      <c r="F1036">
        <v>4444.45</v>
      </c>
      <c r="G1036" t="str" cm="1">
        <f t="array" ref="G1036">IF(AND(ISNUMBER(SEARCH("UBER",C1036)),ISNUMBER(SEARCH("EATS",C1036))),"Uber Eats",IF(LEFT(C1036,6)="CHECK ","Checks Paid",IF(OR(E1036="BILLPAY",ISNUMBER(SEARCH("FRANCHISE TAX",C1036)),ISNUMBER(SEARCH("NEXTLINK",C1036))),"Personal - House Bills",IF(AND(ISNUMBER(SEARCH("PAYMENT FROM",C1036)),ISNUMBER(SEARCH("JOE SAUNDERS",C1036))),"Zelle from Joe Saunders",IF(AND(ISNUMBER(SEARCH("PAYMENT TO",C1036)),ISNUMBER(SEARCH("JOE SAUNDERS",C1036))),"Zelle to Joe Saunders",IF(OR(ISNUMBER(SEARCH("NEW ORLEANS",C1036)),ISNUMBER(SEARCH("KENNER",C1036)),ISNUMBER(SEARCH("HENRY HOWARD",C1036)),ISNUMBER(SEARCH("MISS CLAUDIA",C1036))),"Personal Travel - New Orleans",IF(AND(YEAR(B1036)=2025,MONTH(B1036)=4,OR(ISNUMBER(SEARCH("EXCHANGE RATE",C1036)),ISNUMBER(SEARCH("EXCHG RTE",C1036)))),"Personal Travel - Italy",IFERROR(INDEX('Category Rules'!$B$2:$B$358,MATCH(TRUE,ISNUMBER(SEARCH('Category Rules'!$A$2:$A$358,C1036)),0)),""))))))))</f>
        <v>Personal Travel</v>
      </c>
    </row>
    <row r="1037" spans="1:7" x14ac:dyDescent="0.25">
      <c r="A1037" t="s">
        <v>6</v>
      </c>
      <c r="B1037" s="1">
        <v>45876</v>
      </c>
      <c r="C1037" t="s">
        <v>964</v>
      </c>
      <c r="D1037">
        <v>-258.49</v>
      </c>
      <c r="E1037" t="s">
        <v>10</v>
      </c>
      <c r="F1037">
        <v>4501.34</v>
      </c>
      <c r="G1037" t="str" cm="1">
        <f t="array" ref="G1037">IF(AND(ISNUMBER(SEARCH("UBER",C1037)),ISNUMBER(SEARCH("EATS",C1037))),"Uber Eats",IF(LEFT(C1037,6)="CHECK ","Checks Paid",IF(OR(E1037="BILLPAY",ISNUMBER(SEARCH("FRANCHISE TAX",C1037)),ISNUMBER(SEARCH("NEXTLINK",C1037))),"Personal - House Bills",IF(AND(ISNUMBER(SEARCH("PAYMENT FROM",C1037)),ISNUMBER(SEARCH("JOE SAUNDERS",C1037))),"Zelle from Joe Saunders",IF(AND(ISNUMBER(SEARCH("PAYMENT TO",C1037)),ISNUMBER(SEARCH("JOE SAUNDERS",C1037))),"Zelle to Joe Saunders",IF(OR(ISNUMBER(SEARCH("NEW ORLEANS",C1037)),ISNUMBER(SEARCH("KENNER",C1037)),ISNUMBER(SEARCH("HENRY HOWARD",C1037)),ISNUMBER(SEARCH("MISS CLAUDIA",C1037))),"Personal Travel - New Orleans",IF(AND(YEAR(B1037)=2025,MONTH(B1037)=4,OR(ISNUMBER(SEARCH("EXCHANGE RATE",C1037)),ISNUMBER(SEARCH("EXCHG RTE",C1037)))),"Personal Travel - Italy",IFERROR(INDEX('Category Rules'!$B$2:$B$358,MATCH(TRUE,ISNUMBER(SEARCH('Category Rules'!$A$2:$A$358,C1037)),0)),""))))))))</f>
        <v>Personal Travel</v>
      </c>
    </row>
    <row r="1038" spans="1:7" x14ac:dyDescent="0.25">
      <c r="A1038" t="s">
        <v>6</v>
      </c>
      <c r="B1038" s="1">
        <v>45876</v>
      </c>
      <c r="C1038" t="s">
        <v>965</v>
      </c>
      <c r="D1038">
        <v>-9.8699999999999992</v>
      </c>
      <c r="E1038" t="s">
        <v>10</v>
      </c>
      <c r="F1038">
        <v>4759.83</v>
      </c>
      <c r="G1038" t="str" cm="1">
        <f t="array" ref="G1038">IF(AND(ISNUMBER(SEARCH("UBER",C1038)),ISNUMBER(SEARCH("EATS",C1038))),"Uber Eats",IF(LEFT(C1038,6)="CHECK ","Checks Paid",IF(OR(E1038="BILLPAY",ISNUMBER(SEARCH("FRANCHISE TAX",C1038)),ISNUMBER(SEARCH("NEXTLINK",C1038))),"Personal - House Bills",IF(AND(ISNUMBER(SEARCH("PAYMENT FROM",C1038)),ISNUMBER(SEARCH("JOE SAUNDERS",C1038))),"Zelle from Joe Saunders",IF(AND(ISNUMBER(SEARCH("PAYMENT TO",C1038)),ISNUMBER(SEARCH("JOE SAUNDERS",C1038))),"Zelle to Joe Saunders",IF(OR(ISNUMBER(SEARCH("NEW ORLEANS",C1038)),ISNUMBER(SEARCH("KENNER",C1038)),ISNUMBER(SEARCH("HENRY HOWARD",C1038)),ISNUMBER(SEARCH("MISS CLAUDIA",C1038))),"Personal Travel - New Orleans",IF(AND(YEAR(B1038)=2025,MONTH(B1038)=4,OR(ISNUMBER(SEARCH("EXCHANGE RATE",C1038)),ISNUMBER(SEARCH("EXCHG RTE",C1038)))),"Personal Travel - Italy",IFERROR(INDEX('Category Rules'!$B$2:$B$358,MATCH(TRUE,ISNUMBER(SEARCH('Category Rules'!$A$2:$A$358,C1038)),0)),""))))))))</f>
        <v>Amazon</v>
      </c>
    </row>
    <row r="1039" spans="1:7" x14ac:dyDescent="0.25">
      <c r="A1039" t="s">
        <v>6</v>
      </c>
      <c r="B1039" s="1">
        <v>45875</v>
      </c>
      <c r="C1039" t="s">
        <v>966</v>
      </c>
      <c r="D1039">
        <v>-65.849999999999994</v>
      </c>
      <c r="E1039" t="s">
        <v>10</v>
      </c>
      <c r="F1039">
        <v>4769.7</v>
      </c>
      <c r="G1039" t="str" cm="1">
        <f t="array" ref="G1039">IF(AND(ISNUMBER(SEARCH("UBER",C1039)),ISNUMBER(SEARCH("EATS",C1039))),"Uber Eats",IF(LEFT(C1039,6)="CHECK ","Checks Paid",IF(OR(E1039="BILLPAY",ISNUMBER(SEARCH("FRANCHISE TAX",C1039)),ISNUMBER(SEARCH("NEXTLINK",C1039))),"Personal - House Bills",IF(AND(ISNUMBER(SEARCH("PAYMENT FROM",C1039)),ISNUMBER(SEARCH("JOE SAUNDERS",C1039))),"Zelle from Joe Saunders",IF(AND(ISNUMBER(SEARCH("PAYMENT TO",C1039)),ISNUMBER(SEARCH("JOE SAUNDERS",C1039))),"Zelle to Joe Saunders",IF(OR(ISNUMBER(SEARCH("NEW ORLEANS",C1039)),ISNUMBER(SEARCH("KENNER",C1039)),ISNUMBER(SEARCH("HENRY HOWARD",C1039)),ISNUMBER(SEARCH("MISS CLAUDIA",C1039))),"Personal Travel - New Orleans",IF(AND(YEAR(B1039)=2025,MONTH(B1039)=4,OR(ISNUMBER(SEARCH("EXCHANGE RATE",C1039)),ISNUMBER(SEARCH("EXCHG RTE",C1039)))),"Personal Travel - Italy",IFERROR(INDEX('Category Rules'!$B$2:$B$358,MATCH(TRUE,ISNUMBER(SEARCH('Category Rules'!$A$2:$A$358,C1039)),0)),""))))))))</f>
        <v>Personal - Shopping</v>
      </c>
    </row>
    <row r="1040" spans="1:7" x14ac:dyDescent="0.25">
      <c r="A1040" t="s">
        <v>6</v>
      </c>
      <c r="B1040" s="1">
        <v>45875</v>
      </c>
      <c r="C1040" t="s">
        <v>967</v>
      </c>
      <c r="D1040">
        <v>-39.049999999999997</v>
      </c>
      <c r="E1040" t="s">
        <v>10</v>
      </c>
      <c r="F1040">
        <v>4835.55</v>
      </c>
      <c r="G1040" t="str" cm="1">
        <f t="array" ref="G1040">IF(AND(ISNUMBER(SEARCH("UBER",C1040)),ISNUMBER(SEARCH("EATS",C1040))),"Uber Eats",IF(LEFT(C1040,6)="CHECK ","Checks Paid",IF(OR(E1040="BILLPAY",ISNUMBER(SEARCH("FRANCHISE TAX",C1040)),ISNUMBER(SEARCH("NEXTLINK",C1040))),"Personal - House Bills",IF(AND(ISNUMBER(SEARCH("PAYMENT FROM",C1040)),ISNUMBER(SEARCH("JOE SAUNDERS",C1040))),"Zelle from Joe Saunders",IF(AND(ISNUMBER(SEARCH("PAYMENT TO",C1040)),ISNUMBER(SEARCH("JOE SAUNDERS",C1040))),"Zelle to Joe Saunders",IF(OR(ISNUMBER(SEARCH("NEW ORLEANS",C1040)),ISNUMBER(SEARCH("KENNER",C1040)),ISNUMBER(SEARCH("HENRY HOWARD",C1040)),ISNUMBER(SEARCH("MISS CLAUDIA",C1040))),"Personal Travel - New Orleans",IF(AND(YEAR(B1040)=2025,MONTH(B1040)=4,OR(ISNUMBER(SEARCH("EXCHANGE RATE",C1040)),ISNUMBER(SEARCH("EXCHG RTE",C1040)))),"Personal Travel - Italy",IFERROR(INDEX('Category Rules'!$B$2:$B$358,MATCH(TRUE,ISNUMBER(SEARCH('Category Rules'!$A$2:$A$358,C1040)),0)),""))))))))</f>
        <v>Uber Eats</v>
      </c>
    </row>
    <row r="1041" spans="1:7" x14ac:dyDescent="0.25">
      <c r="A1041" t="s">
        <v>6</v>
      </c>
      <c r="B1041" s="1">
        <v>45875</v>
      </c>
      <c r="C1041" t="s">
        <v>968</v>
      </c>
      <c r="D1041">
        <v>-13.99</v>
      </c>
      <c r="E1041" t="s">
        <v>10</v>
      </c>
      <c r="F1041">
        <v>4874.6000000000004</v>
      </c>
      <c r="G1041" t="str" cm="1">
        <f t="array" ref="G1041">IF(AND(ISNUMBER(SEARCH("UBER",C1041)),ISNUMBER(SEARCH("EATS",C1041))),"Uber Eats",IF(LEFT(C1041,6)="CHECK ","Checks Paid",IF(OR(E1041="BILLPAY",ISNUMBER(SEARCH("FRANCHISE TAX",C1041)),ISNUMBER(SEARCH("NEXTLINK",C1041))),"Personal - House Bills",IF(AND(ISNUMBER(SEARCH("PAYMENT FROM",C1041)),ISNUMBER(SEARCH("JOE SAUNDERS",C1041))),"Zelle from Joe Saunders",IF(AND(ISNUMBER(SEARCH("PAYMENT TO",C1041)),ISNUMBER(SEARCH("JOE SAUNDERS",C1041))),"Zelle to Joe Saunders",IF(OR(ISNUMBER(SEARCH("NEW ORLEANS",C1041)),ISNUMBER(SEARCH("KENNER",C1041)),ISNUMBER(SEARCH("HENRY HOWARD",C1041)),ISNUMBER(SEARCH("MISS CLAUDIA",C1041))),"Personal Travel - New Orleans",IF(AND(YEAR(B1041)=2025,MONTH(B1041)=4,OR(ISNUMBER(SEARCH("EXCHANGE RATE",C1041)),ISNUMBER(SEARCH("EXCHG RTE",C1041)))),"Personal Travel - Italy",IFERROR(INDEX('Category Rules'!$B$2:$B$358,MATCH(TRUE,ISNUMBER(SEARCH('Category Rules'!$A$2:$A$358,C1041)),0)),""))))))))</f>
        <v>YouTube Premium</v>
      </c>
    </row>
    <row r="1042" spans="1:7" x14ac:dyDescent="0.25">
      <c r="A1042" t="s">
        <v>6</v>
      </c>
      <c r="B1042" s="1">
        <v>45875</v>
      </c>
      <c r="C1042" t="s">
        <v>969</v>
      </c>
      <c r="D1042">
        <v>-29.95</v>
      </c>
      <c r="E1042" t="s">
        <v>10</v>
      </c>
      <c r="F1042">
        <v>4888.59</v>
      </c>
      <c r="G1042" t="str" cm="1">
        <f t="array" ref="G1042">IF(AND(ISNUMBER(SEARCH("UBER",C1042)),ISNUMBER(SEARCH("EATS",C1042))),"Uber Eats",IF(LEFT(C1042,6)="CHECK ","Checks Paid",IF(OR(E1042="BILLPAY",ISNUMBER(SEARCH("FRANCHISE TAX",C1042)),ISNUMBER(SEARCH("NEXTLINK",C1042))),"Personal - House Bills",IF(AND(ISNUMBER(SEARCH("PAYMENT FROM",C1042)),ISNUMBER(SEARCH("JOE SAUNDERS",C1042))),"Zelle from Joe Saunders",IF(AND(ISNUMBER(SEARCH("PAYMENT TO",C1042)),ISNUMBER(SEARCH("JOE SAUNDERS",C1042))),"Zelle to Joe Saunders",IF(OR(ISNUMBER(SEARCH("NEW ORLEANS",C1042)),ISNUMBER(SEARCH("KENNER",C1042)),ISNUMBER(SEARCH("HENRY HOWARD",C1042)),ISNUMBER(SEARCH("MISS CLAUDIA",C1042))),"Personal Travel - New Orleans",IF(AND(YEAR(B1042)=2025,MONTH(B1042)=4,OR(ISNUMBER(SEARCH("EXCHANGE RATE",C1042)),ISNUMBER(SEARCH("EXCHG RTE",C1042)))),"Personal Travel - Italy",IFERROR(INDEX('Category Rules'!$B$2:$B$358,MATCH(TRUE,ISNUMBER(SEARCH('Category Rules'!$A$2:$A$358,C1042)),0)),""))))))))</f>
        <v>Personal - Subscription</v>
      </c>
    </row>
    <row r="1043" spans="1:7" x14ac:dyDescent="0.25">
      <c r="A1043" t="s">
        <v>6</v>
      </c>
      <c r="B1043" s="1">
        <v>45875</v>
      </c>
      <c r="C1043" t="s">
        <v>970</v>
      </c>
      <c r="D1043">
        <v>-22</v>
      </c>
      <c r="E1043" t="s">
        <v>10</v>
      </c>
      <c r="F1043">
        <v>4918.54</v>
      </c>
      <c r="G1043" t="str" cm="1">
        <f t="array" ref="G1043">IF(AND(ISNUMBER(SEARCH("UBER",C1043)),ISNUMBER(SEARCH("EATS",C1043))),"Uber Eats",IF(LEFT(C1043,6)="CHECK ","Checks Paid",IF(OR(E1043="BILLPAY",ISNUMBER(SEARCH("FRANCHISE TAX",C1043)),ISNUMBER(SEARCH("NEXTLINK",C1043))),"Personal - House Bills",IF(AND(ISNUMBER(SEARCH("PAYMENT FROM",C1043)),ISNUMBER(SEARCH("JOE SAUNDERS",C1043))),"Zelle from Joe Saunders",IF(AND(ISNUMBER(SEARCH("PAYMENT TO",C1043)),ISNUMBER(SEARCH("JOE SAUNDERS",C1043))),"Zelle to Joe Saunders",IF(OR(ISNUMBER(SEARCH("NEW ORLEANS",C1043)),ISNUMBER(SEARCH("KENNER",C1043)),ISNUMBER(SEARCH("HENRY HOWARD",C1043)),ISNUMBER(SEARCH("MISS CLAUDIA",C1043))),"Personal Travel - New Orleans",IF(AND(YEAR(B1043)=2025,MONTH(B1043)=4,OR(ISNUMBER(SEARCH("EXCHANGE RATE",C1043)),ISNUMBER(SEARCH("EXCHG RTE",C1043)))),"Personal Travel - Italy",IFERROR(INDEX('Category Rules'!$B$2:$B$358,MATCH(TRUE,ISNUMBER(SEARCH('Category Rules'!$A$2:$A$358,C1043)),0)),""))))))))</f>
        <v>Personal - Subscription</v>
      </c>
    </row>
    <row r="1044" spans="1:7" x14ac:dyDescent="0.25">
      <c r="A1044" t="s">
        <v>6</v>
      </c>
      <c r="B1044" s="1">
        <v>45875</v>
      </c>
      <c r="C1044" t="s">
        <v>971</v>
      </c>
      <c r="D1044">
        <v>-14.2</v>
      </c>
      <c r="E1044" t="s">
        <v>10</v>
      </c>
      <c r="F1044">
        <v>4940.54</v>
      </c>
      <c r="G1044" t="str" cm="1">
        <f t="array" ref="G1044">IF(AND(ISNUMBER(SEARCH("UBER",C1044)),ISNUMBER(SEARCH("EATS",C1044))),"Uber Eats",IF(LEFT(C1044,6)="CHECK ","Checks Paid",IF(OR(E1044="BILLPAY",ISNUMBER(SEARCH("FRANCHISE TAX",C1044)),ISNUMBER(SEARCH("NEXTLINK",C1044))),"Personal - House Bills",IF(AND(ISNUMBER(SEARCH("PAYMENT FROM",C1044)),ISNUMBER(SEARCH("JOE SAUNDERS",C1044))),"Zelle from Joe Saunders",IF(AND(ISNUMBER(SEARCH("PAYMENT TO",C1044)),ISNUMBER(SEARCH("JOE SAUNDERS",C1044))),"Zelle to Joe Saunders",IF(OR(ISNUMBER(SEARCH("NEW ORLEANS",C1044)),ISNUMBER(SEARCH("KENNER",C1044)),ISNUMBER(SEARCH("HENRY HOWARD",C1044)),ISNUMBER(SEARCH("MISS CLAUDIA",C1044))),"Personal Travel - New Orleans",IF(AND(YEAR(B1044)=2025,MONTH(B1044)=4,OR(ISNUMBER(SEARCH("EXCHANGE RATE",C1044)),ISNUMBER(SEARCH("EXCHG RTE",C1044)))),"Personal Travel - Italy",IFERROR(INDEX('Category Rules'!$B$2:$B$358,MATCH(TRUE,ISNUMBER(SEARCH('Category Rules'!$A$2:$A$358,C1044)),0)),""))))))))</f>
        <v>Amazon</v>
      </c>
    </row>
    <row r="1045" spans="1:7" x14ac:dyDescent="0.25">
      <c r="A1045" t="s">
        <v>6</v>
      </c>
      <c r="B1045" s="1">
        <v>45875</v>
      </c>
      <c r="C1045" t="s">
        <v>972</v>
      </c>
      <c r="D1045">
        <v>-54.84</v>
      </c>
      <c r="E1045" t="s">
        <v>10</v>
      </c>
      <c r="F1045">
        <v>4954.74</v>
      </c>
      <c r="G1045" t="str" cm="1">
        <f t="array" ref="G1045">IF(AND(ISNUMBER(SEARCH("UBER",C1045)),ISNUMBER(SEARCH("EATS",C1045))),"Uber Eats",IF(LEFT(C1045,6)="CHECK ","Checks Paid",IF(OR(E1045="BILLPAY",ISNUMBER(SEARCH("FRANCHISE TAX",C1045)),ISNUMBER(SEARCH("NEXTLINK",C1045))),"Personal - House Bills",IF(AND(ISNUMBER(SEARCH("PAYMENT FROM",C1045)),ISNUMBER(SEARCH("JOE SAUNDERS",C1045))),"Zelle from Joe Saunders",IF(AND(ISNUMBER(SEARCH("PAYMENT TO",C1045)),ISNUMBER(SEARCH("JOE SAUNDERS",C1045))),"Zelle to Joe Saunders",IF(OR(ISNUMBER(SEARCH("NEW ORLEANS",C1045)),ISNUMBER(SEARCH("KENNER",C1045)),ISNUMBER(SEARCH("HENRY HOWARD",C1045)),ISNUMBER(SEARCH("MISS CLAUDIA",C1045))),"Personal Travel - New Orleans",IF(AND(YEAR(B1045)=2025,MONTH(B1045)=4,OR(ISNUMBER(SEARCH("EXCHANGE RATE",C1045)),ISNUMBER(SEARCH("EXCHG RTE",C1045)))),"Personal Travel - Italy",IFERROR(INDEX('Category Rules'!$B$2:$B$358,MATCH(TRUE,ISNUMBER(SEARCH('Category Rules'!$A$2:$A$358,C1045)),0)),""))))))))</f>
        <v>Amazon</v>
      </c>
    </row>
    <row r="1046" spans="1:7" x14ac:dyDescent="0.25">
      <c r="A1046" t="s">
        <v>6</v>
      </c>
      <c r="B1046" s="1">
        <v>45875</v>
      </c>
      <c r="C1046" t="s">
        <v>973</v>
      </c>
      <c r="D1046">
        <v>-116.93</v>
      </c>
      <c r="E1046" t="s">
        <v>10</v>
      </c>
      <c r="F1046">
        <v>5009.58</v>
      </c>
      <c r="G1046" t="str" cm="1">
        <f t="array" ref="G1046">IF(AND(ISNUMBER(SEARCH("UBER",C1046)),ISNUMBER(SEARCH("EATS",C1046))),"Uber Eats",IF(LEFT(C1046,6)="CHECK ","Checks Paid",IF(OR(E1046="BILLPAY",ISNUMBER(SEARCH("FRANCHISE TAX",C1046)),ISNUMBER(SEARCH("NEXTLINK",C1046))),"Personal - House Bills",IF(AND(ISNUMBER(SEARCH("PAYMENT FROM",C1046)),ISNUMBER(SEARCH("JOE SAUNDERS",C1046))),"Zelle from Joe Saunders",IF(AND(ISNUMBER(SEARCH("PAYMENT TO",C1046)),ISNUMBER(SEARCH("JOE SAUNDERS",C1046))),"Zelle to Joe Saunders",IF(OR(ISNUMBER(SEARCH("NEW ORLEANS",C1046)),ISNUMBER(SEARCH("KENNER",C1046)),ISNUMBER(SEARCH("HENRY HOWARD",C1046)),ISNUMBER(SEARCH("MISS CLAUDIA",C1046))),"Personal Travel - New Orleans",IF(AND(YEAR(B1046)=2025,MONTH(B1046)=4,OR(ISNUMBER(SEARCH("EXCHANGE RATE",C1046)),ISNUMBER(SEARCH("EXCHG RTE",C1046)))),"Personal Travel - Italy",IFERROR(INDEX('Category Rules'!$B$2:$B$358,MATCH(TRUE,ISNUMBER(SEARCH('Category Rules'!$A$2:$A$358,C1046)),0)),""))))))))</f>
        <v>Amazon</v>
      </c>
    </row>
    <row r="1047" spans="1:7" x14ac:dyDescent="0.25">
      <c r="A1047" t="s">
        <v>6</v>
      </c>
      <c r="B1047" s="1">
        <v>45874</v>
      </c>
      <c r="C1047" t="s">
        <v>974</v>
      </c>
      <c r="D1047">
        <v>-23.62</v>
      </c>
      <c r="E1047" t="s">
        <v>10</v>
      </c>
      <c r="F1047">
        <v>5126.51</v>
      </c>
      <c r="G1047" t="str" cm="1">
        <f t="array" ref="G1047">IF(AND(ISNUMBER(SEARCH("UBER",C1047)),ISNUMBER(SEARCH("EATS",C1047))),"Uber Eats",IF(LEFT(C1047,6)="CHECK ","Checks Paid",IF(OR(E1047="BILLPAY",ISNUMBER(SEARCH("FRANCHISE TAX",C1047)),ISNUMBER(SEARCH("NEXTLINK",C1047))),"Personal - House Bills",IF(AND(ISNUMBER(SEARCH("PAYMENT FROM",C1047)),ISNUMBER(SEARCH("JOE SAUNDERS",C1047))),"Zelle from Joe Saunders",IF(AND(ISNUMBER(SEARCH("PAYMENT TO",C1047)),ISNUMBER(SEARCH("JOE SAUNDERS",C1047))),"Zelle to Joe Saunders",IF(OR(ISNUMBER(SEARCH("NEW ORLEANS",C1047)),ISNUMBER(SEARCH("KENNER",C1047)),ISNUMBER(SEARCH("HENRY HOWARD",C1047)),ISNUMBER(SEARCH("MISS CLAUDIA",C1047))),"Personal Travel - New Orleans",IF(AND(YEAR(B1047)=2025,MONTH(B1047)=4,OR(ISNUMBER(SEARCH("EXCHANGE RATE",C1047)),ISNUMBER(SEARCH("EXCHG RTE",C1047)))),"Personal Travel - Italy",IFERROR(INDEX('Category Rules'!$B$2:$B$358,MATCH(TRUE,ISNUMBER(SEARCH('Category Rules'!$A$2:$A$358,C1047)),0)),""))))))))</f>
        <v>Personal - Health</v>
      </c>
    </row>
    <row r="1048" spans="1:7" x14ac:dyDescent="0.25">
      <c r="A1048" t="s">
        <v>6</v>
      </c>
      <c r="B1048" s="1">
        <v>45874</v>
      </c>
      <c r="C1048" t="s">
        <v>975</v>
      </c>
      <c r="D1048">
        <v>-30.57</v>
      </c>
      <c r="E1048" t="s">
        <v>10</v>
      </c>
      <c r="F1048">
        <v>5150.13</v>
      </c>
      <c r="G1048" t="str" cm="1">
        <f t="array" ref="G1048">IF(AND(ISNUMBER(SEARCH("UBER",C1048)),ISNUMBER(SEARCH("EATS",C1048))),"Uber Eats",IF(LEFT(C1048,6)="CHECK ","Checks Paid",IF(OR(E1048="BILLPAY",ISNUMBER(SEARCH("FRANCHISE TAX",C1048)),ISNUMBER(SEARCH("NEXTLINK",C1048))),"Personal - House Bills",IF(AND(ISNUMBER(SEARCH("PAYMENT FROM",C1048)),ISNUMBER(SEARCH("JOE SAUNDERS",C1048))),"Zelle from Joe Saunders",IF(AND(ISNUMBER(SEARCH("PAYMENT TO",C1048)),ISNUMBER(SEARCH("JOE SAUNDERS",C1048))),"Zelle to Joe Saunders",IF(OR(ISNUMBER(SEARCH("NEW ORLEANS",C1048)),ISNUMBER(SEARCH("KENNER",C1048)),ISNUMBER(SEARCH("HENRY HOWARD",C1048)),ISNUMBER(SEARCH("MISS CLAUDIA",C1048))),"Personal Travel - New Orleans",IF(AND(YEAR(B1048)=2025,MONTH(B1048)=4,OR(ISNUMBER(SEARCH("EXCHANGE RATE",C1048)),ISNUMBER(SEARCH("EXCHG RTE",C1048)))),"Personal Travel - Italy",IFERROR(INDEX('Category Rules'!$B$2:$B$358,MATCH(TRUE,ISNUMBER(SEARCH('Category Rules'!$A$2:$A$358,C1048)),0)),""))))))))</f>
        <v>Personal - Entertainment</v>
      </c>
    </row>
    <row r="1049" spans="1:7" x14ac:dyDescent="0.25">
      <c r="A1049" t="s">
        <v>6</v>
      </c>
      <c r="B1049" s="1">
        <v>45874</v>
      </c>
      <c r="C1049" t="s">
        <v>976</v>
      </c>
      <c r="D1049">
        <v>-606.72</v>
      </c>
      <c r="E1049" t="s">
        <v>10</v>
      </c>
      <c r="F1049">
        <v>5180.7</v>
      </c>
      <c r="G1049" t="str" cm="1">
        <f t="array" ref="G1049">IF(AND(ISNUMBER(SEARCH("UBER",C1049)),ISNUMBER(SEARCH("EATS",C1049))),"Uber Eats",IF(LEFT(C1049,6)="CHECK ","Checks Paid",IF(OR(E1049="BILLPAY",ISNUMBER(SEARCH("FRANCHISE TAX",C1049)),ISNUMBER(SEARCH("NEXTLINK",C1049))),"Personal - House Bills",IF(AND(ISNUMBER(SEARCH("PAYMENT FROM",C1049)),ISNUMBER(SEARCH("JOE SAUNDERS",C1049))),"Zelle from Joe Saunders",IF(AND(ISNUMBER(SEARCH("PAYMENT TO",C1049)),ISNUMBER(SEARCH("JOE SAUNDERS",C1049))),"Zelle to Joe Saunders",IF(OR(ISNUMBER(SEARCH("NEW ORLEANS",C1049)),ISNUMBER(SEARCH("KENNER",C1049)),ISNUMBER(SEARCH("HENRY HOWARD",C1049)),ISNUMBER(SEARCH("MISS CLAUDIA",C1049))),"Personal Travel - New Orleans",IF(AND(YEAR(B1049)=2025,MONTH(B1049)=4,OR(ISNUMBER(SEARCH("EXCHANGE RATE",C1049)),ISNUMBER(SEARCH("EXCHG RTE",C1049)))),"Personal Travel - Italy",IFERROR(INDEX('Category Rules'!$B$2:$B$358,MATCH(TRUE,ISNUMBER(SEARCH('Category Rules'!$A$2:$A$358,C1049)),0)),""))))))))</f>
        <v>Personal - Shopping</v>
      </c>
    </row>
    <row r="1050" spans="1:7" x14ac:dyDescent="0.25">
      <c r="A1050" t="s">
        <v>6</v>
      </c>
      <c r="B1050" s="1">
        <v>45874</v>
      </c>
      <c r="C1050" t="s">
        <v>977</v>
      </c>
      <c r="D1050">
        <v>-50</v>
      </c>
      <c r="E1050" t="s">
        <v>10</v>
      </c>
      <c r="F1050">
        <v>5787.42</v>
      </c>
      <c r="G1050" t="str" cm="1">
        <f t="array" ref="G1050">IF(AND(ISNUMBER(SEARCH("UBER",C1050)),ISNUMBER(SEARCH("EATS",C1050))),"Uber Eats",IF(LEFT(C1050,6)="CHECK ","Checks Paid",IF(OR(E1050="BILLPAY",ISNUMBER(SEARCH("FRANCHISE TAX",C1050)),ISNUMBER(SEARCH("NEXTLINK",C1050))),"Personal - House Bills",IF(AND(ISNUMBER(SEARCH("PAYMENT FROM",C1050)),ISNUMBER(SEARCH("JOE SAUNDERS",C1050))),"Zelle from Joe Saunders",IF(AND(ISNUMBER(SEARCH("PAYMENT TO",C1050)),ISNUMBER(SEARCH("JOE SAUNDERS",C1050))),"Zelle to Joe Saunders",IF(OR(ISNUMBER(SEARCH("NEW ORLEANS",C1050)),ISNUMBER(SEARCH("KENNER",C1050)),ISNUMBER(SEARCH("HENRY HOWARD",C1050)),ISNUMBER(SEARCH("MISS CLAUDIA",C1050))),"Personal Travel - New Orleans",IF(AND(YEAR(B1050)=2025,MONTH(B1050)=4,OR(ISNUMBER(SEARCH("EXCHANGE RATE",C1050)),ISNUMBER(SEARCH("EXCHG RTE",C1050)))),"Personal Travel - Italy",IFERROR(INDEX('Category Rules'!$B$2:$B$358,MATCH(TRUE,ISNUMBER(SEARCH('Category Rules'!$A$2:$A$358,C1050)),0)),""))))))))</f>
        <v>Amazon</v>
      </c>
    </row>
    <row r="1051" spans="1:7" x14ac:dyDescent="0.25">
      <c r="A1051" t="s">
        <v>6</v>
      </c>
      <c r="B1051" s="1">
        <v>45874</v>
      </c>
      <c r="C1051" t="s">
        <v>978</v>
      </c>
      <c r="D1051">
        <v>-65.989999999999995</v>
      </c>
      <c r="E1051" t="s">
        <v>10</v>
      </c>
      <c r="F1051">
        <v>5837.42</v>
      </c>
      <c r="G1051" t="str" cm="1">
        <f t="array" ref="G1051">IF(AND(ISNUMBER(SEARCH("UBER",C1051)),ISNUMBER(SEARCH("EATS",C1051))),"Uber Eats",IF(LEFT(C1051,6)="CHECK ","Checks Paid",IF(OR(E1051="BILLPAY",ISNUMBER(SEARCH("FRANCHISE TAX",C1051)),ISNUMBER(SEARCH("NEXTLINK",C1051))),"Personal - House Bills",IF(AND(ISNUMBER(SEARCH("PAYMENT FROM",C1051)),ISNUMBER(SEARCH("JOE SAUNDERS",C1051))),"Zelle from Joe Saunders",IF(AND(ISNUMBER(SEARCH("PAYMENT TO",C1051)),ISNUMBER(SEARCH("JOE SAUNDERS",C1051))),"Zelle to Joe Saunders",IF(OR(ISNUMBER(SEARCH("NEW ORLEANS",C1051)),ISNUMBER(SEARCH("KENNER",C1051)),ISNUMBER(SEARCH("HENRY HOWARD",C1051)),ISNUMBER(SEARCH("MISS CLAUDIA",C1051))),"Personal Travel - New Orleans",IF(AND(YEAR(B1051)=2025,MONTH(B1051)=4,OR(ISNUMBER(SEARCH("EXCHANGE RATE",C1051)),ISNUMBER(SEARCH("EXCHG RTE",C1051)))),"Personal Travel - Italy",IFERROR(INDEX('Category Rules'!$B$2:$B$358,MATCH(TRUE,ISNUMBER(SEARCH('Category Rules'!$A$2:$A$358,C1051)),0)),""))))))))</f>
        <v>Amazon</v>
      </c>
    </row>
    <row r="1052" spans="1:7" x14ac:dyDescent="0.25">
      <c r="A1052" t="s">
        <v>6</v>
      </c>
      <c r="B1052" s="1">
        <v>45874</v>
      </c>
      <c r="C1052" t="s">
        <v>979</v>
      </c>
      <c r="D1052">
        <v>-21.32</v>
      </c>
      <c r="E1052" t="s">
        <v>10</v>
      </c>
      <c r="F1052">
        <v>5903.41</v>
      </c>
      <c r="G1052" t="str" cm="1">
        <f t="array" ref="G1052">IF(AND(ISNUMBER(SEARCH("UBER",C1052)),ISNUMBER(SEARCH("EATS",C1052))),"Uber Eats",IF(LEFT(C1052,6)="CHECK ","Checks Paid",IF(OR(E1052="BILLPAY",ISNUMBER(SEARCH("FRANCHISE TAX",C1052)),ISNUMBER(SEARCH("NEXTLINK",C1052))),"Personal - House Bills",IF(AND(ISNUMBER(SEARCH("PAYMENT FROM",C1052)),ISNUMBER(SEARCH("JOE SAUNDERS",C1052))),"Zelle from Joe Saunders",IF(AND(ISNUMBER(SEARCH("PAYMENT TO",C1052)),ISNUMBER(SEARCH("JOE SAUNDERS",C1052))),"Zelle to Joe Saunders",IF(OR(ISNUMBER(SEARCH("NEW ORLEANS",C1052)),ISNUMBER(SEARCH("KENNER",C1052)),ISNUMBER(SEARCH("HENRY HOWARD",C1052)),ISNUMBER(SEARCH("MISS CLAUDIA",C1052))),"Personal Travel - New Orleans",IF(AND(YEAR(B1052)=2025,MONTH(B1052)=4,OR(ISNUMBER(SEARCH("EXCHANGE RATE",C1052)),ISNUMBER(SEARCH("EXCHG RTE",C1052)))),"Personal Travel - Italy",IFERROR(INDEX('Category Rules'!$B$2:$B$358,MATCH(TRUE,ISNUMBER(SEARCH('Category Rules'!$A$2:$A$358,C1052)),0)),""))))))))</f>
        <v>Amazon</v>
      </c>
    </row>
    <row r="1053" spans="1:7" x14ac:dyDescent="0.25">
      <c r="A1053" t="s">
        <v>6</v>
      </c>
      <c r="B1053" s="1">
        <v>45873</v>
      </c>
      <c r="C1053" t="s">
        <v>980</v>
      </c>
      <c r="D1053">
        <v>-300</v>
      </c>
      <c r="E1053" t="s">
        <v>39</v>
      </c>
      <c r="F1053">
        <v>5924.73</v>
      </c>
      <c r="G1053" t="str" cm="1">
        <f t="array" ref="G1053">IF(AND(ISNUMBER(SEARCH("UBER",C1053)),ISNUMBER(SEARCH("EATS",C1053))),"Uber Eats",IF(LEFT(C1053,6)="CHECK ","Checks Paid",IF(OR(E1053="BILLPAY",ISNUMBER(SEARCH("FRANCHISE TAX",C1053)),ISNUMBER(SEARCH("NEXTLINK",C1053))),"Personal - House Bills",IF(AND(ISNUMBER(SEARCH("PAYMENT FROM",C1053)),ISNUMBER(SEARCH("JOE SAUNDERS",C1053))),"Zelle from Joe Saunders",IF(AND(ISNUMBER(SEARCH("PAYMENT TO",C1053)),ISNUMBER(SEARCH("JOE SAUNDERS",C1053))),"Zelle to Joe Saunders",IF(OR(ISNUMBER(SEARCH("NEW ORLEANS",C1053)),ISNUMBER(SEARCH("KENNER",C1053)),ISNUMBER(SEARCH("HENRY HOWARD",C1053)),ISNUMBER(SEARCH("MISS CLAUDIA",C1053))),"Personal Travel - New Orleans",IF(AND(YEAR(B1053)=2025,MONTH(B1053)=4,OR(ISNUMBER(SEARCH("EXCHANGE RATE",C1053)),ISNUMBER(SEARCH("EXCHG RTE",C1053)))),"Personal Travel - Italy",IFERROR(INDEX('Category Rules'!$B$2:$B$358,MATCH(TRUE,ISNUMBER(SEARCH('Category Rules'!$A$2:$A$358,C1053)),0)),""))))))))</f>
        <v>Zelle to Aaron Frankel</v>
      </c>
    </row>
    <row r="1054" spans="1:7" x14ac:dyDescent="0.25">
      <c r="A1054" t="s">
        <v>6</v>
      </c>
      <c r="B1054" s="1">
        <v>45873</v>
      </c>
      <c r="C1054" t="s">
        <v>981</v>
      </c>
      <c r="D1054">
        <v>-200</v>
      </c>
      <c r="E1054" t="s">
        <v>39</v>
      </c>
      <c r="F1054">
        <v>6224.73</v>
      </c>
      <c r="G1054" t="str" cm="1">
        <f t="array" ref="G1054">IF(AND(ISNUMBER(SEARCH("UBER",C1054)),ISNUMBER(SEARCH("EATS",C1054))),"Uber Eats",IF(LEFT(C1054,6)="CHECK ","Checks Paid",IF(OR(E1054="BILLPAY",ISNUMBER(SEARCH("FRANCHISE TAX",C1054)),ISNUMBER(SEARCH("NEXTLINK",C1054))),"Personal - House Bills",IF(AND(ISNUMBER(SEARCH("PAYMENT FROM",C1054)),ISNUMBER(SEARCH("JOE SAUNDERS",C1054))),"Zelle from Joe Saunders",IF(AND(ISNUMBER(SEARCH("PAYMENT TO",C1054)),ISNUMBER(SEARCH("JOE SAUNDERS",C1054))),"Zelle to Joe Saunders",IF(OR(ISNUMBER(SEARCH("NEW ORLEANS",C1054)),ISNUMBER(SEARCH("KENNER",C1054)),ISNUMBER(SEARCH("HENRY HOWARD",C1054)),ISNUMBER(SEARCH("MISS CLAUDIA",C1054))),"Personal Travel - New Orleans",IF(AND(YEAR(B1054)=2025,MONTH(B1054)=4,OR(ISNUMBER(SEARCH("EXCHANGE RATE",C1054)),ISNUMBER(SEARCH("EXCHG RTE",C1054)))),"Personal Travel - Italy",IFERROR(INDEX('Category Rules'!$B$2:$B$358,MATCH(TRUE,ISNUMBER(SEARCH('Category Rules'!$A$2:$A$358,C1054)),0)),""))))))))</f>
        <v>Zelle to Aaron Frankel</v>
      </c>
    </row>
    <row r="1055" spans="1:7" x14ac:dyDescent="0.25">
      <c r="A1055" t="s">
        <v>6</v>
      </c>
      <c r="B1055" s="1">
        <v>45873</v>
      </c>
      <c r="C1055" t="s">
        <v>982</v>
      </c>
      <c r="D1055">
        <v>-100</v>
      </c>
      <c r="E1055" t="s">
        <v>39</v>
      </c>
      <c r="F1055">
        <v>6424.73</v>
      </c>
      <c r="G1055" t="str" cm="1">
        <f t="array" ref="G1055">IF(AND(ISNUMBER(SEARCH("UBER",C1055)),ISNUMBER(SEARCH("EATS",C1055))),"Uber Eats",IF(LEFT(C1055,6)="CHECK ","Checks Paid",IF(OR(E1055="BILLPAY",ISNUMBER(SEARCH("FRANCHISE TAX",C1055)),ISNUMBER(SEARCH("NEXTLINK",C1055))),"Personal - House Bills",IF(AND(ISNUMBER(SEARCH("PAYMENT FROM",C1055)),ISNUMBER(SEARCH("JOE SAUNDERS",C1055))),"Zelle from Joe Saunders",IF(AND(ISNUMBER(SEARCH("PAYMENT TO",C1055)),ISNUMBER(SEARCH("JOE SAUNDERS",C1055))),"Zelle to Joe Saunders",IF(OR(ISNUMBER(SEARCH("NEW ORLEANS",C1055)),ISNUMBER(SEARCH("KENNER",C1055)),ISNUMBER(SEARCH("HENRY HOWARD",C1055)),ISNUMBER(SEARCH("MISS CLAUDIA",C1055))),"Personal Travel - New Orleans",IF(AND(YEAR(B1055)=2025,MONTH(B1055)=4,OR(ISNUMBER(SEARCH("EXCHANGE RATE",C1055)),ISNUMBER(SEARCH("EXCHG RTE",C1055)))),"Personal Travel - Italy",IFERROR(INDEX('Category Rules'!$B$2:$B$358,MATCH(TRUE,ISNUMBER(SEARCH('Category Rules'!$A$2:$A$358,C1055)),0)),""))))))))</f>
        <v>Zelle to Jeff Seider</v>
      </c>
    </row>
    <row r="1056" spans="1:7" x14ac:dyDescent="0.25">
      <c r="A1056" t="s">
        <v>6</v>
      </c>
      <c r="B1056" s="1">
        <v>45873</v>
      </c>
      <c r="C1056" t="s">
        <v>983</v>
      </c>
      <c r="D1056">
        <v>-500</v>
      </c>
      <c r="E1056" t="s">
        <v>39</v>
      </c>
      <c r="F1056">
        <v>6524.73</v>
      </c>
      <c r="G1056" t="str" cm="1">
        <f t="array" ref="G1056">IF(AND(ISNUMBER(SEARCH("UBER",C1056)),ISNUMBER(SEARCH("EATS",C1056))),"Uber Eats",IF(LEFT(C1056,6)="CHECK ","Checks Paid",IF(OR(E1056="BILLPAY",ISNUMBER(SEARCH("FRANCHISE TAX",C1056)),ISNUMBER(SEARCH("NEXTLINK",C1056))),"Personal - House Bills",IF(AND(ISNUMBER(SEARCH("PAYMENT FROM",C1056)),ISNUMBER(SEARCH("JOE SAUNDERS",C1056))),"Zelle from Joe Saunders",IF(AND(ISNUMBER(SEARCH("PAYMENT TO",C1056)),ISNUMBER(SEARCH("JOE SAUNDERS",C1056))),"Zelle to Joe Saunders",IF(OR(ISNUMBER(SEARCH("NEW ORLEANS",C1056)),ISNUMBER(SEARCH("KENNER",C1056)),ISNUMBER(SEARCH("HENRY HOWARD",C1056)),ISNUMBER(SEARCH("MISS CLAUDIA",C1056))),"Personal Travel - New Orleans",IF(AND(YEAR(B1056)=2025,MONTH(B1056)=4,OR(ISNUMBER(SEARCH("EXCHANGE RATE",C1056)),ISNUMBER(SEARCH("EXCHG RTE",C1056)))),"Personal Travel - Italy",IFERROR(INDEX('Category Rules'!$B$2:$B$358,MATCH(TRUE,ISNUMBER(SEARCH('Category Rules'!$A$2:$A$358,C1056)),0)),""))))))))</f>
        <v>Zelle to Denise Quezada</v>
      </c>
    </row>
    <row r="1057" spans="1:7" x14ac:dyDescent="0.25">
      <c r="A1057" t="s">
        <v>6</v>
      </c>
      <c r="B1057" s="1">
        <v>45873</v>
      </c>
      <c r="C1057" t="s">
        <v>984</v>
      </c>
      <c r="D1057">
        <v>-157.94999999999999</v>
      </c>
      <c r="E1057" t="s">
        <v>10</v>
      </c>
      <c r="F1057">
        <v>7024.73</v>
      </c>
      <c r="G1057" t="str" cm="1">
        <f t="array" ref="G1057">IF(AND(ISNUMBER(SEARCH("UBER",C1057)),ISNUMBER(SEARCH("EATS",C1057))),"Uber Eats",IF(LEFT(C1057,6)="CHECK ","Checks Paid",IF(OR(E1057="BILLPAY",ISNUMBER(SEARCH("FRANCHISE TAX",C1057)),ISNUMBER(SEARCH("NEXTLINK",C1057))),"Personal - House Bills",IF(AND(ISNUMBER(SEARCH("PAYMENT FROM",C1057)),ISNUMBER(SEARCH("JOE SAUNDERS",C1057))),"Zelle from Joe Saunders",IF(AND(ISNUMBER(SEARCH("PAYMENT TO",C1057)),ISNUMBER(SEARCH("JOE SAUNDERS",C1057))),"Zelle to Joe Saunders",IF(OR(ISNUMBER(SEARCH("NEW ORLEANS",C1057)),ISNUMBER(SEARCH("KENNER",C1057)),ISNUMBER(SEARCH("HENRY HOWARD",C1057)),ISNUMBER(SEARCH("MISS CLAUDIA",C1057))),"Personal Travel - New Orleans",IF(AND(YEAR(B1057)=2025,MONTH(B1057)=4,OR(ISNUMBER(SEARCH("EXCHANGE RATE",C1057)),ISNUMBER(SEARCH("EXCHG RTE",C1057)))),"Personal Travel - Italy",IFERROR(INDEX('Category Rules'!$B$2:$B$358,MATCH(TRUE,ISNUMBER(SEARCH('Category Rules'!$A$2:$A$358,C1057)),0)),""))))))))</f>
        <v>Personal - Health</v>
      </c>
    </row>
    <row r="1058" spans="1:7" x14ac:dyDescent="0.25">
      <c r="A1058" t="s">
        <v>6</v>
      </c>
      <c r="B1058" s="1">
        <v>45873</v>
      </c>
      <c r="C1058" t="s">
        <v>985</v>
      </c>
      <c r="D1058">
        <v>-143.05000000000001</v>
      </c>
      <c r="E1058" t="s">
        <v>10</v>
      </c>
      <c r="F1058">
        <v>7182.68</v>
      </c>
      <c r="G1058" t="str" cm="1">
        <f t="array" ref="G1058">IF(AND(ISNUMBER(SEARCH("UBER",C1058)),ISNUMBER(SEARCH("EATS",C1058))),"Uber Eats",IF(LEFT(C1058,6)="CHECK ","Checks Paid",IF(OR(E1058="BILLPAY",ISNUMBER(SEARCH("FRANCHISE TAX",C1058)),ISNUMBER(SEARCH("NEXTLINK",C1058))),"Personal - House Bills",IF(AND(ISNUMBER(SEARCH("PAYMENT FROM",C1058)),ISNUMBER(SEARCH("JOE SAUNDERS",C1058))),"Zelle from Joe Saunders",IF(AND(ISNUMBER(SEARCH("PAYMENT TO",C1058)),ISNUMBER(SEARCH("JOE SAUNDERS",C1058))),"Zelle to Joe Saunders",IF(OR(ISNUMBER(SEARCH("NEW ORLEANS",C1058)),ISNUMBER(SEARCH("KENNER",C1058)),ISNUMBER(SEARCH("HENRY HOWARD",C1058)),ISNUMBER(SEARCH("MISS CLAUDIA",C1058))),"Personal Travel - New Orleans",IF(AND(YEAR(B1058)=2025,MONTH(B1058)=4,OR(ISNUMBER(SEARCH("EXCHANGE RATE",C1058)),ISNUMBER(SEARCH("EXCHG RTE",C1058)))),"Personal Travel - Italy",IFERROR(INDEX('Category Rules'!$B$2:$B$358,MATCH(TRUE,ISNUMBER(SEARCH('Category Rules'!$A$2:$A$358,C1058)),0)),""))))))))</f>
        <v>Personal - Shopping</v>
      </c>
    </row>
    <row r="1059" spans="1:7" x14ac:dyDescent="0.25">
      <c r="A1059" t="s">
        <v>6</v>
      </c>
      <c r="B1059" s="1">
        <v>45873</v>
      </c>
      <c r="C1059" t="s">
        <v>986</v>
      </c>
      <c r="D1059">
        <v>-47.85</v>
      </c>
      <c r="E1059" t="s">
        <v>10</v>
      </c>
      <c r="F1059">
        <v>7325.73</v>
      </c>
      <c r="G1059" t="str" cm="1">
        <f t="array" ref="G1059">IF(AND(ISNUMBER(SEARCH("UBER",C1059)),ISNUMBER(SEARCH("EATS",C1059))),"Uber Eats",IF(LEFT(C1059,6)="CHECK ","Checks Paid",IF(OR(E1059="BILLPAY",ISNUMBER(SEARCH("FRANCHISE TAX",C1059)),ISNUMBER(SEARCH("NEXTLINK",C1059))),"Personal - House Bills",IF(AND(ISNUMBER(SEARCH("PAYMENT FROM",C1059)),ISNUMBER(SEARCH("JOE SAUNDERS",C1059))),"Zelle from Joe Saunders",IF(AND(ISNUMBER(SEARCH("PAYMENT TO",C1059)),ISNUMBER(SEARCH("JOE SAUNDERS",C1059))),"Zelle to Joe Saunders",IF(OR(ISNUMBER(SEARCH("NEW ORLEANS",C1059)),ISNUMBER(SEARCH("KENNER",C1059)),ISNUMBER(SEARCH("HENRY HOWARD",C1059)),ISNUMBER(SEARCH("MISS CLAUDIA",C1059))),"Personal Travel - New Orleans",IF(AND(YEAR(B1059)=2025,MONTH(B1059)=4,OR(ISNUMBER(SEARCH("EXCHANGE RATE",C1059)),ISNUMBER(SEARCH("EXCHG RTE",C1059)))),"Personal Travel - Italy",IFERROR(INDEX('Category Rules'!$B$2:$B$358,MATCH(TRUE,ISNUMBER(SEARCH('Category Rules'!$A$2:$A$358,C1059)),0)),""))))))))</f>
        <v>Personal - Car</v>
      </c>
    </row>
    <row r="1060" spans="1:7" x14ac:dyDescent="0.25">
      <c r="A1060" t="s">
        <v>6</v>
      </c>
      <c r="B1060" s="1">
        <v>45873</v>
      </c>
      <c r="C1060" t="s">
        <v>987</v>
      </c>
      <c r="D1060">
        <v>-176.9</v>
      </c>
      <c r="E1060" t="s">
        <v>10</v>
      </c>
      <c r="F1060">
        <v>7373.58</v>
      </c>
      <c r="G1060" t="str" cm="1">
        <f t="array" ref="G1060">IF(AND(ISNUMBER(SEARCH("UBER",C1060)),ISNUMBER(SEARCH("EATS",C1060))),"Uber Eats",IF(LEFT(C1060,6)="CHECK ","Checks Paid",IF(OR(E1060="BILLPAY",ISNUMBER(SEARCH("FRANCHISE TAX",C1060)),ISNUMBER(SEARCH("NEXTLINK",C1060))),"Personal - House Bills",IF(AND(ISNUMBER(SEARCH("PAYMENT FROM",C1060)),ISNUMBER(SEARCH("JOE SAUNDERS",C1060))),"Zelle from Joe Saunders",IF(AND(ISNUMBER(SEARCH("PAYMENT TO",C1060)),ISNUMBER(SEARCH("JOE SAUNDERS",C1060))),"Zelle to Joe Saunders",IF(OR(ISNUMBER(SEARCH("NEW ORLEANS",C1060)),ISNUMBER(SEARCH("KENNER",C1060)),ISNUMBER(SEARCH("HENRY HOWARD",C1060)),ISNUMBER(SEARCH("MISS CLAUDIA",C1060))),"Personal Travel - New Orleans",IF(AND(YEAR(B1060)=2025,MONTH(B1060)=4,OR(ISNUMBER(SEARCH("EXCHANGE RATE",C1060)),ISNUMBER(SEARCH("EXCHG RTE",C1060)))),"Personal Travel - Italy",IFERROR(INDEX('Category Rules'!$B$2:$B$358,MATCH(TRUE,ISNUMBER(SEARCH('Category Rules'!$A$2:$A$358,C1060)),0)),""))))))))</f>
        <v>Personal - Health</v>
      </c>
    </row>
    <row r="1061" spans="1:7" x14ac:dyDescent="0.25">
      <c r="A1061" t="s">
        <v>6</v>
      </c>
      <c r="B1061" s="1">
        <v>45873</v>
      </c>
      <c r="C1061" t="s">
        <v>988</v>
      </c>
      <c r="D1061">
        <v>-35.71</v>
      </c>
      <c r="E1061" t="s">
        <v>10</v>
      </c>
      <c r="F1061">
        <v>7550.48</v>
      </c>
      <c r="G1061" t="str" cm="1">
        <f t="array" ref="G1061">IF(AND(ISNUMBER(SEARCH("UBER",C1061)),ISNUMBER(SEARCH("EATS",C1061))),"Uber Eats",IF(LEFT(C1061,6)="CHECK ","Checks Paid",IF(OR(E1061="BILLPAY",ISNUMBER(SEARCH("FRANCHISE TAX",C1061)),ISNUMBER(SEARCH("NEXTLINK",C1061))),"Personal - House Bills",IF(AND(ISNUMBER(SEARCH("PAYMENT FROM",C1061)),ISNUMBER(SEARCH("JOE SAUNDERS",C1061))),"Zelle from Joe Saunders",IF(AND(ISNUMBER(SEARCH("PAYMENT TO",C1061)),ISNUMBER(SEARCH("JOE SAUNDERS",C1061))),"Zelle to Joe Saunders",IF(OR(ISNUMBER(SEARCH("NEW ORLEANS",C1061)),ISNUMBER(SEARCH("KENNER",C1061)),ISNUMBER(SEARCH("HENRY HOWARD",C1061)),ISNUMBER(SEARCH("MISS CLAUDIA",C1061))),"Personal Travel - New Orleans",IF(AND(YEAR(B1061)=2025,MONTH(B1061)=4,OR(ISNUMBER(SEARCH("EXCHANGE RATE",C1061)),ISNUMBER(SEARCH("EXCHG RTE",C1061)))),"Personal Travel - Italy",IFERROR(INDEX('Category Rules'!$B$2:$B$358,MATCH(TRUE,ISNUMBER(SEARCH('Category Rules'!$A$2:$A$358,C1061)),0)),""))))))))</f>
        <v>Amazon</v>
      </c>
    </row>
    <row r="1062" spans="1:7" x14ac:dyDescent="0.25">
      <c r="A1062" t="s">
        <v>6</v>
      </c>
      <c r="B1062" s="1">
        <v>45873</v>
      </c>
      <c r="C1062" t="s">
        <v>989</v>
      </c>
      <c r="D1062">
        <v>-83.66</v>
      </c>
      <c r="E1062" t="s">
        <v>10</v>
      </c>
      <c r="F1062">
        <v>7586.19</v>
      </c>
      <c r="G1062" t="str" cm="1">
        <f t="array" ref="G1062">IF(AND(ISNUMBER(SEARCH("UBER",C1062)),ISNUMBER(SEARCH("EATS",C1062))),"Uber Eats",IF(LEFT(C1062,6)="CHECK ","Checks Paid",IF(OR(E1062="BILLPAY",ISNUMBER(SEARCH("FRANCHISE TAX",C1062)),ISNUMBER(SEARCH("NEXTLINK",C1062))),"Personal - House Bills",IF(AND(ISNUMBER(SEARCH("PAYMENT FROM",C1062)),ISNUMBER(SEARCH("JOE SAUNDERS",C1062))),"Zelle from Joe Saunders",IF(AND(ISNUMBER(SEARCH("PAYMENT TO",C1062)),ISNUMBER(SEARCH("JOE SAUNDERS",C1062))),"Zelle to Joe Saunders",IF(OR(ISNUMBER(SEARCH("NEW ORLEANS",C1062)),ISNUMBER(SEARCH("KENNER",C1062)),ISNUMBER(SEARCH("HENRY HOWARD",C1062)),ISNUMBER(SEARCH("MISS CLAUDIA",C1062))),"Personal Travel - New Orleans",IF(AND(YEAR(B1062)=2025,MONTH(B1062)=4,OR(ISNUMBER(SEARCH("EXCHANGE RATE",C1062)),ISNUMBER(SEARCH("EXCHG RTE",C1062)))),"Personal Travel - Italy",IFERROR(INDEX('Category Rules'!$B$2:$B$358,MATCH(TRUE,ISNUMBER(SEARCH('Category Rules'!$A$2:$A$358,C1062)),0)),""))))))))</f>
        <v>Amazon</v>
      </c>
    </row>
    <row r="1063" spans="1:7" x14ac:dyDescent="0.25">
      <c r="A1063" t="s">
        <v>6</v>
      </c>
      <c r="B1063" s="1">
        <v>45873</v>
      </c>
      <c r="C1063" t="s">
        <v>990</v>
      </c>
      <c r="D1063">
        <v>-90.85</v>
      </c>
      <c r="E1063" t="s">
        <v>10</v>
      </c>
      <c r="F1063">
        <v>7669.85</v>
      </c>
      <c r="G1063" t="str" cm="1">
        <f t="array" ref="G1063">IF(AND(ISNUMBER(SEARCH("UBER",C1063)),ISNUMBER(SEARCH("EATS",C1063))),"Uber Eats",IF(LEFT(C1063,6)="CHECK ","Checks Paid",IF(OR(E1063="BILLPAY",ISNUMBER(SEARCH("FRANCHISE TAX",C1063)),ISNUMBER(SEARCH("NEXTLINK",C1063))),"Personal - House Bills",IF(AND(ISNUMBER(SEARCH("PAYMENT FROM",C1063)),ISNUMBER(SEARCH("JOE SAUNDERS",C1063))),"Zelle from Joe Saunders",IF(AND(ISNUMBER(SEARCH("PAYMENT TO",C1063)),ISNUMBER(SEARCH("JOE SAUNDERS",C1063))),"Zelle to Joe Saunders",IF(OR(ISNUMBER(SEARCH("NEW ORLEANS",C1063)),ISNUMBER(SEARCH("KENNER",C1063)),ISNUMBER(SEARCH("HENRY HOWARD",C1063)),ISNUMBER(SEARCH("MISS CLAUDIA",C1063))),"Personal Travel - New Orleans",IF(AND(YEAR(B1063)=2025,MONTH(B1063)=4,OR(ISNUMBER(SEARCH("EXCHANGE RATE",C1063)),ISNUMBER(SEARCH("EXCHG RTE",C1063)))),"Personal Travel - Italy",IFERROR(INDEX('Category Rules'!$B$2:$B$358,MATCH(TRUE,ISNUMBER(SEARCH('Category Rules'!$A$2:$A$358,C1063)),0)),""))))))))</f>
        <v>Amazon</v>
      </c>
    </row>
    <row r="1064" spans="1:7" x14ac:dyDescent="0.25">
      <c r="A1064" t="s">
        <v>6</v>
      </c>
      <c r="B1064" s="1">
        <v>45873</v>
      </c>
      <c r="C1064" t="s">
        <v>991</v>
      </c>
      <c r="D1064">
        <v>-10.75</v>
      </c>
      <c r="E1064" t="s">
        <v>10</v>
      </c>
      <c r="F1064">
        <v>7760.7</v>
      </c>
      <c r="G1064" t="str" cm="1">
        <f t="array" ref="G1064">IF(AND(ISNUMBER(SEARCH("UBER",C1064)),ISNUMBER(SEARCH("EATS",C1064))),"Uber Eats",IF(LEFT(C1064,6)="CHECK ","Checks Paid",IF(OR(E1064="BILLPAY",ISNUMBER(SEARCH("FRANCHISE TAX",C1064)),ISNUMBER(SEARCH("NEXTLINK",C1064))),"Personal - House Bills",IF(AND(ISNUMBER(SEARCH("PAYMENT FROM",C1064)),ISNUMBER(SEARCH("JOE SAUNDERS",C1064))),"Zelle from Joe Saunders",IF(AND(ISNUMBER(SEARCH("PAYMENT TO",C1064)),ISNUMBER(SEARCH("JOE SAUNDERS",C1064))),"Zelle to Joe Saunders",IF(OR(ISNUMBER(SEARCH("NEW ORLEANS",C1064)),ISNUMBER(SEARCH("KENNER",C1064)),ISNUMBER(SEARCH("HENRY HOWARD",C1064)),ISNUMBER(SEARCH("MISS CLAUDIA",C1064))),"Personal Travel - New Orleans",IF(AND(YEAR(B1064)=2025,MONTH(B1064)=4,OR(ISNUMBER(SEARCH("EXCHANGE RATE",C1064)),ISNUMBER(SEARCH("EXCHG RTE",C1064)))),"Personal Travel - Italy",IFERROR(INDEX('Category Rules'!$B$2:$B$358,MATCH(TRUE,ISNUMBER(SEARCH('Category Rules'!$A$2:$A$358,C1064)),0)),""))))))))</f>
        <v>Personal - Car</v>
      </c>
    </row>
    <row r="1065" spans="1:7" x14ac:dyDescent="0.25">
      <c r="A1065" t="s">
        <v>6</v>
      </c>
      <c r="B1065" s="1">
        <v>45873</v>
      </c>
      <c r="C1065" t="s">
        <v>991</v>
      </c>
      <c r="D1065">
        <v>-8</v>
      </c>
      <c r="E1065" t="s">
        <v>10</v>
      </c>
      <c r="F1065">
        <v>7771.45</v>
      </c>
      <c r="G1065" t="str" cm="1">
        <f t="array" ref="G1065">IF(AND(ISNUMBER(SEARCH("UBER",C1065)),ISNUMBER(SEARCH("EATS",C1065))),"Uber Eats",IF(LEFT(C1065,6)="CHECK ","Checks Paid",IF(OR(E1065="BILLPAY",ISNUMBER(SEARCH("FRANCHISE TAX",C1065)),ISNUMBER(SEARCH("NEXTLINK",C1065))),"Personal - House Bills",IF(AND(ISNUMBER(SEARCH("PAYMENT FROM",C1065)),ISNUMBER(SEARCH("JOE SAUNDERS",C1065))),"Zelle from Joe Saunders",IF(AND(ISNUMBER(SEARCH("PAYMENT TO",C1065)),ISNUMBER(SEARCH("JOE SAUNDERS",C1065))),"Zelle to Joe Saunders",IF(OR(ISNUMBER(SEARCH("NEW ORLEANS",C1065)),ISNUMBER(SEARCH("KENNER",C1065)),ISNUMBER(SEARCH("HENRY HOWARD",C1065)),ISNUMBER(SEARCH("MISS CLAUDIA",C1065))),"Personal Travel - New Orleans",IF(AND(YEAR(B1065)=2025,MONTH(B1065)=4,OR(ISNUMBER(SEARCH("EXCHANGE RATE",C1065)),ISNUMBER(SEARCH("EXCHG RTE",C1065)))),"Personal Travel - Italy",IFERROR(INDEX('Category Rules'!$B$2:$B$358,MATCH(TRUE,ISNUMBER(SEARCH('Category Rules'!$A$2:$A$358,C1065)),0)),""))))))))</f>
        <v>Personal - Car</v>
      </c>
    </row>
    <row r="1066" spans="1:7" x14ac:dyDescent="0.25">
      <c r="A1066" t="s">
        <v>6</v>
      </c>
      <c r="B1066" s="1">
        <v>45873</v>
      </c>
      <c r="C1066" t="s">
        <v>992</v>
      </c>
      <c r="D1066">
        <v>-69.37</v>
      </c>
      <c r="E1066" t="s">
        <v>10</v>
      </c>
      <c r="F1066">
        <v>7779.45</v>
      </c>
      <c r="G1066" t="str" cm="1">
        <f t="array" ref="G1066">IF(AND(ISNUMBER(SEARCH("UBER",C1066)),ISNUMBER(SEARCH("EATS",C1066))),"Uber Eats",IF(LEFT(C1066,6)="CHECK ","Checks Paid",IF(OR(E1066="BILLPAY",ISNUMBER(SEARCH("FRANCHISE TAX",C1066)),ISNUMBER(SEARCH("NEXTLINK",C1066))),"Personal - House Bills",IF(AND(ISNUMBER(SEARCH("PAYMENT FROM",C1066)),ISNUMBER(SEARCH("JOE SAUNDERS",C1066))),"Zelle from Joe Saunders",IF(AND(ISNUMBER(SEARCH("PAYMENT TO",C1066)),ISNUMBER(SEARCH("JOE SAUNDERS",C1066))),"Zelle to Joe Saunders",IF(OR(ISNUMBER(SEARCH("NEW ORLEANS",C1066)),ISNUMBER(SEARCH("KENNER",C1066)),ISNUMBER(SEARCH("HENRY HOWARD",C1066)),ISNUMBER(SEARCH("MISS CLAUDIA",C1066))),"Personal Travel - New Orleans",IF(AND(YEAR(B1066)=2025,MONTH(B1066)=4,OR(ISNUMBER(SEARCH("EXCHANGE RATE",C1066)),ISNUMBER(SEARCH("EXCHG RTE",C1066)))),"Personal Travel - Italy",IFERROR(INDEX('Category Rules'!$B$2:$B$358,MATCH(TRUE,ISNUMBER(SEARCH('Category Rules'!$A$2:$A$358,C1066)),0)),""))))))))</f>
        <v>Amazon</v>
      </c>
    </row>
    <row r="1067" spans="1:7" x14ac:dyDescent="0.25">
      <c r="A1067" t="s">
        <v>6</v>
      </c>
      <c r="B1067" s="1">
        <v>45873</v>
      </c>
      <c r="C1067" t="s">
        <v>993</v>
      </c>
      <c r="D1067">
        <v>-40.549999999999997</v>
      </c>
      <c r="E1067" t="s">
        <v>10</v>
      </c>
      <c r="F1067">
        <v>7848.82</v>
      </c>
      <c r="G1067" t="str" cm="1">
        <f t="array" ref="G1067">IF(AND(ISNUMBER(SEARCH("UBER",C1067)),ISNUMBER(SEARCH("EATS",C1067))),"Uber Eats",IF(LEFT(C1067,6)="CHECK ","Checks Paid",IF(OR(E1067="BILLPAY",ISNUMBER(SEARCH("FRANCHISE TAX",C1067)),ISNUMBER(SEARCH("NEXTLINK",C1067))),"Personal - House Bills",IF(AND(ISNUMBER(SEARCH("PAYMENT FROM",C1067)),ISNUMBER(SEARCH("JOE SAUNDERS",C1067))),"Zelle from Joe Saunders",IF(AND(ISNUMBER(SEARCH("PAYMENT TO",C1067)),ISNUMBER(SEARCH("JOE SAUNDERS",C1067))),"Zelle to Joe Saunders",IF(OR(ISNUMBER(SEARCH("NEW ORLEANS",C1067)),ISNUMBER(SEARCH("KENNER",C1067)),ISNUMBER(SEARCH("HENRY HOWARD",C1067)),ISNUMBER(SEARCH("MISS CLAUDIA",C1067))),"Personal Travel - New Orleans",IF(AND(YEAR(B1067)=2025,MONTH(B1067)=4,OR(ISNUMBER(SEARCH("EXCHANGE RATE",C1067)),ISNUMBER(SEARCH("EXCHG RTE",C1067)))),"Personal Travel - Italy",IFERROR(INDEX('Category Rules'!$B$2:$B$358,MATCH(TRUE,ISNUMBER(SEARCH('Category Rules'!$A$2:$A$358,C1067)),0)),""))))))))</f>
        <v>Amazon</v>
      </c>
    </row>
    <row r="1068" spans="1:7" x14ac:dyDescent="0.25">
      <c r="A1068" t="s">
        <v>6</v>
      </c>
      <c r="B1068" s="1">
        <v>45873</v>
      </c>
      <c r="C1068" t="s">
        <v>994</v>
      </c>
      <c r="D1068">
        <v>-27.74</v>
      </c>
      <c r="E1068" t="s">
        <v>10</v>
      </c>
      <c r="F1068">
        <v>7889.37</v>
      </c>
      <c r="G1068" t="str" cm="1">
        <f t="array" ref="G1068">IF(AND(ISNUMBER(SEARCH("UBER",C1068)),ISNUMBER(SEARCH("EATS",C1068))),"Uber Eats",IF(LEFT(C1068,6)="CHECK ","Checks Paid",IF(OR(E1068="BILLPAY",ISNUMBER(SEARCH("FRANCHISE TAX",C1068)),ISNUMBER(SEARCH("NEXTLINK",C1068))),"Personal - House Bills",IF(AND(ISNUMBER(SEARCH("PAYMENT FROM",C1068)),ISNUMBER(SEARCH("JOE SAUNDERS",C1068))),"Zelle from Joe Saunders",IF(AND(ISNUMBER(SEARCH("PAYMENT TO",C1068)),ISNUMBER(SEARCH("JOE SAUNDERS",C1068))),"Zelle to Joe Saunders",IF(OR(ISNUMBER(SEARCH("NEW ORLEANS",C1068)),ISNUMBER(SEARCH("KENNER",C1068)),ISNUMBER(SEARCH("HENRY HOWARD",C1068)),ISNUMBER(SEARCH("MISS CLAUDIA",C1068))),"Personal Travel - New Orleans",IF(AND(YEAR(B1068)=2025,MONTH(B1068)=4,OR(ISNUMBER(SEARCH("EXCHANGE RATE",C1068)),ISNUMBER(SEARCH("EXCHG RTE",C1068)))),"Personal Travel - Italy",IFERROR(INDEX('Category Rules'!$B$2:$B$358,MATCH(TRUE,ISNUMBER(SEARCH('Category Rules'!$A$2:$A$358,C1068)),0)),""))))))))</f>
        <v>Amazon</v>
      </c>
    </row>
    <row r="1069" spans="1:7" x14ac:dyDescent="0.25">
      <c r="A1069" t="s">
        <v>6</v>
      </c>
      <c r="B1069" s="1">
        <v>45873</v>
      </c>
      <c r="C1069" t="s">
        <v>995</v>
      </c>
      <c r="D1069">
        <v>-30.57</v>
      </c>
      <c r="E1069" t="s">
        <v>10</v>
      </c>
      <c r="F1069">
        <v>7917.11</v>
      </c>
      <c r="G1069" t="str" cm="1">
        <f t="array" ref="G1069">IF(AND(ISNUMBER(SEARCH("UBER",C1069)),ISNUMBER(SEARCH("EATS",C1069))),"Uber Eats",IF(LEFT(C1069,6)="CHECK ","Checks Paid",IF(OR(E1069="BILLPAY",ISNUMBER(SEARCH("FRANCHISE TAX",C1069)),ISNUMBER(SEARCH("NEXTLINK",C1069))),"Personal - House Bills",IF(AND(ISNUMBER(SEARCH("PAYMENT FROM",C1069)),ISNUMBER(SEARCH("JOE SAUNDERS",C1069))),"Zelle from Joe Saunders",IF(AND(ISNUMBER(SEARCH("PAYMENT TO",C1069)),ISNUMBER(SEARCH("JOE SAUNDERS",C1069))),"Zelle to Joe Saunders",IF(OR(ISNUMBER(SEARCH("NEW ORLEANS",C1069)),ISNUMBER(SEARCH("KENNER",C1069)),ISNUMBER(SEARCH("HENRY HOWARD",C1069)),ISNUMBER(SEARCH("MISS CLAUDIA",C1069))),"Personal Travel - New Orleans",IF(AND(YEAR(B1069)=2025,MONTH(B1069)=4,OR(ISNUMBER(SEARCH("EXCHANGE RATE",C1069)),ISNUMBER(SEARCH("EXCHG RTE",C1069)))),"Personal Travel - Italy",IFERROR(INDEX('Category Rules'!$B$2:$B$358,MATCH(TRUE,ISNUMBER(SEARCH('Category Rules'!$A$2:$A$358,C1069)),0)),""))))))))</f>
        <v>Personal - Entertainment</v>
      </c>
    </row>
    <row r="1070" spans="1:7" x14ac:dyDescent="0.25">
      <c r="A1070" t="s">
        <v>6</v>
      </c>
      <c r="B1070" s="1">
        <v>45873</v>
      </c>
      <c r="C1070" t="s">
        <v>996</v>
      </c>
      <c r="D1070">
        <v>-3.99</v>
      </c>
      <c r="E1070" t="s">
        <v>10</v>
      </c>
      <c r="F1070">
        <v>7947.68</v>
      </c>
      <c r="G1070" t="str" cm="1">
        <f t="array" ref="G1070">IF(AND(ISNUMBER(SEARCH("UBER",C1070)),ISNUMBER(SEARCH("EATS",C1070))),"Uber Eats",IF(LEFT(C1070,6)="CHECK ","Checks Paid",IF(OR(E1070="BILLPAY",ISNUMBER(SEARCH("FRANCHISE TAX",C1070)),ISNUMBER(SEARCH("NEXTLINK",C1070))),"Personal - House Bills",IF(AND(ISNUMBER(SEARCH("PAYMENT FROM",C1070)),ISNUMBER(SEARCH("JOE SAUNDERS",C1070))),"Zelle from Joe Saunders",IF(AND(ISNUMBER(SEARCH("PAYMENT TO",C1070)),ISNUMBER(SEARCH("JOE SAUNDERS",C1070))),"Zelle to Joe Saunders",IF(OR(ISNUMBER(SEARCH("NEW ORLEANS",C1070)),ISNUMBER(SEARCH("KENNER",C1070)),ISNUMBER(SEARCH("HENRY HOWARD",C1070)),ISNUMBER(SEARCH("MISS CLAUDIA",C1070))),"Personal Travel - New Orleans",IF(AND(YEAR(B1070)=2025,MONTH(B1070)=4,OR(ISNUMBER(SEARCH("EXCHANGE RATE",C1070)),ISNUMBER(SEARCH("EXCHG RTE",C1070)))),"Personal Travel - Italy",IFERROR(INDEX('Category Rules'!$B$2:$B$358,MATCH(TRUE,ISNUMBER(SEARCH('Category Rules'!$A$2:$A$358,C1070)),0)),""))))))))</f>
        <v>Apple</v>
      </c>
    </row>
    <row r="1071" spans="1:7" x14ac:dyDescent="0.25">
      <c r="A1071" t="s">
        <v>6</v>
      </c>
      <c r="B1071" s="1">
        <v>45873</v>
      </c>
      <c r="C1071" t="s">
        <v>997</v>
      </c>
      <c r="D1071">
        <v>-52</v>
      </c>
      <c r="E1071" t="s">
        <v>10</v>
      </c>
      <c r="F1071">
        <v>7951.67</v>
      </c>
      <c r="G1071" t="str" cm="1">
        <f t="array" ref="G1071">IF(AND(ISNUMBER(SEARCH("UBER",C1071)),ISNUMBER(SEARCH("EATS",C1071))),"Uber Eats",IF(LEFT(C1071,6)="CHECK ","Checks Paid",IF(OR(E1071="BILLPAY",ISNUMBER(SEARCH("FRANCHISE TAX",C1071)),ISNUMBER(SEARCH("NEXTLINK",C1071))),"Personal - House Bills",IF(AND(ISNUMBER(SEARCH("PAYMENT FROM",C1071)),ISNUMBER(SEARCH("JOE SAUNDERS",C1071))),"Zelle from Joe Saunders",IF(AND(ISNUMBER(SEARCH("PAYMENT TO",C1071)),ISNUMBER(SEARCH("JOE SAUNDERS",C1071))),"Zelle to Joe Saunders",IF(OR(ISNUMBER(SEARCH("NEW ORLEANS",C1071)),ISNUMBER(SEARCH("KENNER",C1071)),ISNUMBER(SEARCH("HENRY HOWARD",C1071)),ISNUMBER(SEARCH("MISS CLAUDIA",C1071))),"Personal Travel - New Orleans",IF(AND(YEAR(B1071)=2025,MONTH(B1071)=4,OR(ISNUMBER(SEARCH("EXCHANGE RATE",C1071)),ISNUMBER(SEARCH("EXCHG RTE",C1071)))),"Personal Travel - Italy",IFERROR(INDEX('Category Rules'!$B$2:$B$358,MATCH(TRUE,ISNUMBER(SEARCH('Category Rules'!$A$2:$A$358,C1071)),0)),""))))))))</f>
        <v>Personal - Subscription</v>
      </c>
    </row>
    <row r="1072" spans="1:7" x14ac:dyDescent="0.25">
      <c r="A1072" t="s">
        <v>6</v>
      </c>
      <c r="B1072" s="1">
        <v>45873</v>
      </c>
      <c r="C1072" t="s">
        <v>998</v>
      </c>
      <c r="D1072">
        <v>-18.010000000000002</v>
      </c>
      <c r="E1072" t="s">
        <v>10</v>
      </c>
      <c r="F1072">
        <v>8003.67</v>
      </c>
      <c r="G1072" t="str" cm="1">
        <f t="array" ref="G1072">IF(AND(ISNUMBER(SEARCH("UBER",C1072)),ISNUMBER(SEARCH("EATS",C1072))),"Uber Eats",IF(LEFT(C1072,6)="CHECK ","Checks Paid",IF(OR(E1072="BILLPAY",ISNUMBER(SEARCH("FRANCHISE TAX",C1072)),ISNUMBER(SEARCH("NEXTLINK",C1072))),"Personal - House Bills",IF(AND(ISNUMBER(SEARCH("PAYMENT FROM",C1072)),ISNUMBER(SEARCH("JOE SAUNDERS",C1072))),"Zelle from Joe Saunders",IF(AND(ISNUMBER(SEARCH("PAYMENT TO",C1072)),ISNUMBER(SEARCH("JOE SAUNDERS",C1072))),"Zelle to Joe Saunders",IF(OR(ISNUMBER(SEARCH("NEW ORLEANS",C1072)),ISNUMBER(SEARCH("KENNER",C1072)),ISNUMBER(SEARCH("HENRY HOWARD",C1072)),ISNUMBER(SEARCH("MISS CLAUDIA",C1072))),"Personal Travel - New Orleans",IF(AND(YEAR(B1072)=2025,MONTH(B1072)=4,OR(ISNUMBER(SEARCH("EXCHANGE RATE",C1072)),ISNUMBER(SEARCH("EXCHG RTE",C1072)))),"Personal Travel - Italy",IFERROR(INDEX('Category Rules'!$B$2:$B$358,MATCH(TRUE,ISNUMBER(SEARCH('Category Rules'!$A$2:$A$358,C1072)),0)),""))))))))</f>
        <v>Personal - Entertainment</v>
      </c>
    </row>
    <row r="1073" spans="1:7" x14ac:dyDescent="0.25">
      <c r="A1073" t="s">
        <v>6</v>
      </c>
      <c r="B1073" s="1">
        <v>45873</v>
      </c>
      <c r="C1073" t="s">
        <v>999</v>
      </c>
      <c r="D1073">
        <v>-6.22</v>
      </c>
      <c r="E1073" t="s">
        <v>10</v>
      </c>
      <c r="F1073">
        <v>8021.68</v>
      </c>
      <c r="G1073" t="str" cm="1">
        <f t="array" ref="G1073">IF(AND(ISNUMBER(SEARCH("UBER",C1073)),ISNUMBER(SEARCH("EATS",C1073))),"Uber Eats",IF(LEFT(C1073,6)="CHECK ","Checks Paid",IF(OR(E1073="BILLPAY",ISNUMBER(SEARCH("FRANCHISE TAX",C1073)),ISNUMBER(SEARCH("NEXTLINK",C1073))),"Personal - House Bills",IF(AND(ISNUMBER(SEARCH("PAYMENT FROM",C1073)),ISNUMBER(SEARCH("JOE SAUNDERS",C1073))),"Zelle from Joe Saunders",IF(AND(ISNUMBER(SEARCH("PAYMENT TO",C1073)),ISNUMBER(SEARCH("JOE SAUNDERS",C1073))),"Zelle to Joe Saunders",IF(OR(ISNUMBER(SEARCH("NEW ORLEANS",C1073)),ISNUMBER(SEARCH("KENNER",C1073)),ISNUMBER(SEARCH("HENRY HOWARD",C1073)),ISNUMBER(SEARCH("MISS CLAUDIA",C1073))),"Personal Travel - New Orleans",IF(AND(YEAR(B1073)=2025,MONTH(B1073)=4,OR(ISNUMBER(SEARCH("EXCHANGE RATE",C1073)),ISNUMBER(SEARCH("EXCHG RTE",C1073)))),"Personal Travel - Italy",IFERROR(INDEX('Category Rules'!$B$2:$B$358,MATCH(TRUE,ISNUMBER(SEARCH('Category Rules'!$A$2:$A$358,C1073)),0)),""))))))))</f>
        <v>Personal - Entertainment</v>
      </c>
    </row>
    <row r="1074" spans="1:7" x14ac:dyDescent="0.25">
      <c r="A1074" t="s">
        <v>6</v>
      </c>
      <c r="B1074" s="1">
        <v>45873</v>
      </c>
      <c r="C1074" t="s">
        <v>1000</v>
      </c>
      <c r="D1074">
        <v>-41.07</v>
      </c>
      <c r="E1074" t="s">
        <v>10</v>
      </c>
      <c r="F1074">
        <v>8027.9</v>
      </c>
      <c r="G1074" t="str" cm="1">
        <f t="array" ref="G1074">IF(AND(ISNUMBER(SEARCH("UBER",C1074)),ISNUMBER(SEARCH("EATS",C1074))),"Uber Eats",IF(LEFT(C1074,6)="CHECK ","Checks Paid",IF(OR(E1074="BILLPAY",ISNUMBER(SEARCH("FRANCHISE TAX",C1074)),ISNUMBER(SEARCH("NEXTLINK",C1074))),"Personal - House Bills",IF(AND(ISNUMBER(SEARCH("PAYMENT FROM",C1074)),ISNUMBER(SEARCH("JOE SAUNDERS",C1074))),"Zelle from Joe Saunders",IF(AND(ISNUMBER(SEARCH("PAYMENT TO",C1074)),ISNUMBER(SEARCH("JOE SAUNDERS",C1074))),"Zelle to Joe Saunders",IF(OR(ISNUMBER(SEARCH("NEW ORLEANS",C1074)),ISNUMBER(SEARCH("KENNER",C1074)),ISNUMBER(SEARCH("HENRY HOWARD",C1074)),ISNUMBER(SEARCH("MISS CLAUDIA",C1074))),"Personal Travel - New Orleans",IF(AND(YEAR(B1074)=2025,MONTH(B1074)=4,OR(ISNUMBER(SEARCH("EXCHANGE RATE",C1074)),ISNUMBER(SEARCH("EXCHG RTE",C1074)))),"Personal Travel - Italy",IFERROR(INDEX('Category Rules'!$B$2:$B$358,MATCH(TRUE,ISNUMBER(SEARCH('Category Rules'!$A$2:$A$358,C1074)),0)),""))))))))</f>
        <v>Personal - Entertainment</v>
      </c>
    </row>
    <row r="1075" spans="1:7" x14ac:dyDescent="0.25">
      <c r="A1075" t="s">
        <v>6</v>
      </c>
      <c r="B1075" s="1">
        <v>45873</v>
      </c>
      <c r="C1075" t="s">
        <v>1001</v>
      </c>
      <c r="D1075">
        <v>-90.46</v>
      </c>
      <c r="E1075" t="s">
        <v>10</v>
      </c>
      <c r="F1075">
        <v>8068.97</v>
      </c>
      <c r="G1075" t="str" cm="1">
        <f t="array" ref="G1075">IF(AND(ISNUMBER(SEARCH("UBER",C1075)),ISNUMBER(SEARCH("EATS",C1075))),"Uber Eats",IF(LEFT(C1075,6)="CHECK ","Checks Paid",IF(OR(E1075="BILLPAY",ISNUMBER(SEARCH("FRANCHISE TAX",C1075)),ISNUMBER(SEARCH("NEXTLINK",C1075))),"Personal - House Bills",IF(AND(ISNUMBER(SEARCH("PAYMENT FROM",C1075)),ISNUMBER(SEARCH("JOE SAUNDERS",C1075))),"Zelle from Joe Saunders",IF(AND(ISNUMBER(SEARCH("PAYMENT TO",C1075)),ISNUMBER(SEARCH("JOE SAUNDERS",C1075))),"Zelle to Joe Saunders",IF(OR(ISNUMBER(SEARCH("NEW ORLEANS",C1075)),ISNUMBER(SEARCH("KENNER",C1075)),ISNUMBER(SEARCH("HENRY HOWARD",C1075)),ISNUMBER(SEARCH("MISS CLAUDIA",C1075))),"Personal Travel - New Orleans",IF(AND(YEAR(B1075)=2025,MONTH(B1075)=4,OR(ISNUMBER(SEARCH("EXCHANGE RATE",C1075)),ISNUMBER(SEARCH("EXCHG RTE",C1075)))),"Personal Travel - Italy",IFERROR(INDEX('Category Rules'!$B$2:$B$358,MATCH(TRUE,ISNUMBER(SEARCH('Category Rules'!$A$2:$A$358,C1075)),0)),""))))))))</f>
        <v>Amazon</v>
      </c>
    </row>
    <row r="1076" spans="1:7" x14ac:dyDescent="0.25">
      <c r="A1076" t="s">
        <v>44</v>
      </c>
      <c r="B1076" s="1">
        <v>45873</v>
      </c>
      <c r="C1076" t="s">
        <v>1002</v>
      </c>
      <c r="D1076">
        <v>150</v>
      </c>
      <c r="E1076" t="s">
        <v>46</v>
      </c>
      <c r="F1076">
        <v>8159.43</v>
      </c>
      <c r="G1076" t="str" cm="1">
        <f t="array" ref="G1076">IF(AND(ISNUMBER(SEARCH("UBER",C1076)),ISNUMBER(SEARCH("EATS",C1076))),"Uber Eats",IF(LEFT(C1076,6)="CHECK ","Checks Paid",IF(OR(E1076="BILLPAY",ISNUMBER(SEARCH("FRANCHISE TAX",C1076)),ISNUMBER(SEARCH("NEXTLINK",C1076))),"Personal - House Bills",IF(AND(ISNUMBER(SEARCH("PAYMENT FROM",C1076)),ISNUMBER(SEARCH("JOE SAUNDERS",C1076))),"Zelle from Joe Saunders",IF(AND(ISNUMBER(SEARCH("PAYMENT TO",C1076)),ISNUMBER(SEARCH("JOE SAUNDERS",C1076))),"Zelle to Joe Saunders",IF(OR(ISNUMBER(SEARCH("NEW ORLEANS",C1076)),ISNUMBER(SEARCH("KENNER",C1076)),ISNUMBER(SEARCH("HENRY HOWARD",C1076)),ISNUMBER(SEARCH("MISS CLAUDIA",C1076))),"Personal Travel - New Orleans",IF(AND(YEAR(B1076)=2025,MONTH(B1076)=4,OR(ISNUMBER(SEARCH("EXCHANGE RATE",C1076)),ISNUMBER(SEARCH("EXCHG RTE",C1076)))),"Personal Travel - Italy",IFERROR(INDEX('Category Rules'!$B$2:$B$358,MATCH(TRUE,ISNUMBER(SEARCH('Category Rules'!$A$2:$A$358,C1076)),0)),""))))))))</f>
        <v>Zelle from Mary Margaret Trahan</v>
      </c>
    </row>
    <row r="1077" spans="1:7" x14ac:dyDescent="0.25">
      <c r="A1077" t="s">
        <v>6</v>
      </c>
      <c r="B1077" s="1">
        <v>45870</v>
      </c>
      <c r="C1077" t="s">
        <v>1003</v>
      </c>
      <c r="D1077">
        <v>-184</v>
      </c>
      <c r="E1077" t="s">
        <v>10</v>
      </c>
      <c r="F1077">
        <v>8009.43</v>
      </c>
      <c r="G1077" t="str" cm="1">
        <f t="array" ref="G1077">IF(AND(ISNUMBER(SEARCH("UBER",C1077)),ISNUMBER(SEARCH("EATS",C1077))),"Uber Eats",IF(LEFT(C1077,6)="CHECK ","Checks Paid",IF(OR(E1077="BILLPAY",ISNUMBER(SEARCH("FRANCHISE TAX",C1077)),ISNUMBER(SEARCH("NEXTLINK",C1077))),"Personal - House Bills",IF(AND(ISNUMBER(SEARCH("PAYMENT FROM",C1077)),ISNUMBER(SEARCH("JOE SAUNDERS",C1077))),"Zelle from Joe Saunders",IF(AND(ISNUMBER(SEARCH("PAYMENT TO",C1077)),ISNUMBER(SEARCH("JOE SAUNDERS",C1077))),"Zelle to Joe Saunders",IF(OR(ISNUMBER(SEARCH("NEW ORLEANS",C1077)),ISNUMBER(SEARCH("KENNER",C1077)),ISNUMBER(SEARCH("HENRY HOWARD",C1077)),ISNUMBER(SEARCH("MISS CLAUDIA",C1077))),"Personal Travel - New Orleans",IF(AND(YEAR(B1077)=2025,MONTH(B1077)=4,OR(ISNUMBER(SEARCH("EXCHANGE RATE",C1077)),ISNUMBER(SEARCH("EXCHG RTE",C1077)))),"Personal Travel - Italy",IFERROR(INDEX('Category Rules'!$B$2:$B$358,MATCH(TRUE,ISNUMBER(SEARCH('Category Rules'!$A$2:$A$358,C1077)),0)),""))))))))</f>
        <v>Personal - Shopping</v>
      </c>
    </row>
    <row r="1078" spans="1:7" x14ac:dyDescent="0.25">
      <c r="A1078" t="s">
        <v>6</v>
      </c>
      <c r="B1078" s="1">
        <v>45870</v>
      </c>
      <c r="C1078" t="s">
        <v>1004</v>
      </c>
      <c r="D1078">
        <v>-50</v>
      </c>
      <c r="E1078" t="s">
        <v>10</v>
      </c>
      <c r="F1078">
        <v>8193.43</v>
      </c>
      <c r="G1078" t="str" cm="1">
        <f t="array" ref="G1078">IF(AND(ISNUMBER(SEARCH("UBER",C1078)),ISNUMBER(SEARCH("EATS",C1078))),"Uber Eats",IF(LEFT(C1078,6)="CHECK ","Checks Paid",IF(OR(E1078="BILLPAY",ISNUMBER(SEARCH("FRANCHISE TAX",C1078)),ISNUMBER(SEARCH("NEXTLINK",C1078))),"Personal - House Bills",IF(AND(ISNUMBER(SEARCH("PAYMENT FROM",C1078)),ISNUMBER(SEARCH("JOE SAUNDERS",C1078))),"Zelle from Joe Saunders",IF(AND(ISNUMBER(SEARCH("PAYMENT TO",C1078)),ISNUMBER(SEARCH("JOE SAUNDERS",C1078))),"Zelle to Joe Saunders",IF(OR(ISNUMBER(SEARCH("NEW ORLEANS",C1078)),ISNUMBER(SEARCH("KENNER",C1078)),ISNUMBER(SEARCH("HENRY HOWARD",C1078)),ISNUMBER(SEARCH("MISS CLAUDIA",C1078))),"Personal Travel - New Orleans",IF(AND(YEAR(B1078)=2025,MONTH(B1078)=4,OR(ISNUMBER(SEARCH("EXCHANGE RATE",C1078)),ISNUMBER(SEARCH("EXCHG RTE",C1078)))),"Personal Travel - Italy",IFERROR(INDEX('Category Rules'!$B$2:$B$358,MATCH(TRUE,ISNUMBER(SEARCH('Category Rules'!$A$2:$A$358,C1078)),0)),""))))))))</f>
        <v>Amazon</v>
      </c>
    </row>
    <row r="1079" spans="1:7" x14ac:dyDescent="0.25">
      <c r="A1079" t="s">
        <v>6</v>
      </c>
      <c r="B1079" s="1">
        <v>45870</v>
      </c>
      <c r="C1079" t="s">
        <v>1005</v>
      </c>
      <c r="D1079">
        <v>-944.63</v>
      </c>
      <c r="E1079" t="s">
        <v>10</v>
      </c>
      <c r="F1079">
        <v>8243.43</v>
      </c>
      <c r="G1079" t="str" cm="1">
        <f t="array" ref="G1079">IF(AND(ISNUMBER(SEARCH("UBER",C1079)),ISNUMBER(SEARCH("EATS",C1079))),"Uber Eats",IF(LEFT(C1079,6)="CHECK ","Checks Paid",IF(OR(E1079="BILLPAY",ISNUMBER(SEARCH("FRANCHISE TAX",C1079)),ISNUMBER(SEARCH("NEXTLINK",C1079))),"Personal - House Bills",IF(AND(ISNUMBER(SEARCH("PAYMENT FROM",C1079)),ISNUMBER(SEARCH("JOE SAUNDERS",C1079))),"Zelle from Joe Saunders",IF(AND(ISNUMBER(SEARCH("PAYMENT TO",C1079)),ISNUMBER(SEARCH("JOE SAUNDERS",C1079))),"Zelle to Joe Saunders",IF(OR(ISNUMBER(SEARCH("NEW ORLEANS",C1079)),ISNUMBER(SEARCH("KENNER",C1079)),ISNUMBER(SEARCH("HENRY HOWARD",C1079)),ISNUMBER(SEARCH("MISS CLAUDIA",C1079))),"Personal Travel - New Orleans",IF(AND(YEAR(B1079)=2025,MONTH(B1079)=4,OR(ISNUMBER(SEARCH("EXCHANGE RATE",C1079)),ISNUMBER(SEARCH("EXCHG RTE",C1079)))),"Personal Travel - Italy",IFERROR(INDEX('Category Rules'!$B$2:$B$358,MATCH(TRUE,ISNUMBER(SEARCH('Category Rules'!$A$2:$A$358,C1079)),0)),""))))))))</f>
        <v>Personal - Health Insurance</v>
      </c>
    </row>
    <row r="1080" spans="1:7" x14ac:dyDescent="0.25">
      <c r="A1080" t="s">
        <v>44</v>
      </c>
      <c r="B1080" s="1">
        <v>45870</v>
      </c>
      <c r="C1080" t="s">
        <v>1006</v>
      </c>
      <c r="D1080">
        <v>530</v>
      </c>
      <c r="E1080" t="s">
        <v>46</v>
      </c>
      <c r="F1080">
        <v>9188.06</v>
      </c>
      <c r="G1080" t="str" cm="1">
        <f t="array" ref="G1080">IF(AND(ISNUMBER(SEARCH("UBER",C1080)),ISNUMBER(SEARCH("EATS",C1080))),"Uber Eats",IF(LEFT(C1080,6)="CHECK ","Checks Paid",IF(OR(E1080="BILLPAY",ISNUMBER(SEARCH("FRANCHISE TAX",C1080)),ISNUMBER(SEARCH("NEXTLINK",C1080))),"Personal - House Bills",IF(AND(ISNUMBER(SEARCH("PAYMENT FROM",C1080)),ISNUMBER(SEARCH("JOE SAUNDERS",C1080))),"Zelle from Joe Saunders",IF(AND(ISNUMBER(SEARCH("PAYMENT TO",C1080)),ISNUMBER(SEARCH("JOE SAUNDERS",C1080))),"Zelle to Joe Saunders",IF(OR(ISNUMBER(SEARCH("NEW ORLEANS",C1080)),ISNUMBER(SEARCH("KENNER",C1080)),ISNUMBER(SEARCH("HENRY HOWARD",C1080)),ISNUMBER(SEARCH("MISS CLAUDIA",C1080))),"Personal Travel - New Orleans",IF(AND(YEAR(B1080)=2025,MONTH(B1080)=4,OR(ISNUMBER(SEARCH("EXCHANGE RATE",C1080)),ISNUMBER(SEARCH("EXCHG RTE",C1080)))),"Personal Travel - Italy",IFERROR(INDEX('Category Rules'!$B$2:$B$358,MATCH(TRUE,ISNUMBER(SEARCH('Category Rules'!$A$2:$A$358,C1080)),0)),""))))))))</f>
        <v>Zelle from Joe Saunders</v>
      </c>
    </row>
    <row r="1081" spans="1:7" x14ac:dyDescent="0.25">
      <c r="A1081" t="s">
        <v>6</v>
      </c>
      <c r="B1081" s="1">
        <v>45869</v>
      </c>
      <c r="C1081" t="s">
        <v>1007</v>
      </c>
      <c r="D1081">
        <v>-101.55</v>
      </c>
      <c r="E1081" t="s">
        <v>10</v>
      </c>
      <c r="F1081">
        <v>8658.06</v>
      </c>
      <c r="G1081" t="str" cm="1">
        <f t="array" ref="G1081">IF(AND(ISNUMBER(SEARCH("UBER",C1081)),ISNUMBER(SEARCH("EATS",C1081))),"Uber Eats",IF(LEFT(C1081,6)="CHECK ","Checks Paid",IF(OR(E1081="BILLPAY",ISNUMBER(SEARCH("FRANCHISE TAX",C1081)),ISNUMBER(SEARCH("NEXTLINK",C1081))),"Personal - House Bills",IF(AND(ISNUMBER(SEARCH("PAYMENT FROM",C1081)),ISNUMBER(SEARCH("JOE SAUNDERS",C1081))),"Zelle from Joe Saunders",IF(AND(ISNUMBER(SEARCH("PAYMENT TO",C1081)),ISNUMBER(SEARCH("JOE SAUNDERS",C1081))),"Zelle to Joe Saunders",IF(OR(ISNUMBER(SEARCH("NEW ORLEANS",C1081)),ISNUMBER(SEARCH("KENNER",C1081)),ISNUMBER(SEARCH("HENRY HOWARD",C1081)),ISNUMBER(SEARCH("MISS CLAUDIA",C1081))),"Personal Travel - New Orleans",IF(AND(YEAR(B1081)=2025,MONTH(B1081)=4,OR(ISNUMBER(SEARCH("EXCHANGE RATE",C1081)),ISNUMBER(SEARCH("EXCHG RTE",C1081)))),"Personal Travel - Italy",IFERROR(INDEX('Category Rules'!$B$2:$B$358,MATCH(TRUE,ISNUMBER(SEARCH('Category Rules'!$A$2:$A$358,C1081)),0)),""))))))))</f>
        <v>Uber Eats</v>
      </c>
    </row>
    <row r="1082" spans="1:7" x14ac:dyDescent="0.25">
      <c r="A1082" t="s">
        <v>6</v>
      </c>
      <c r="B1082" s="1">
        <v>45869</v>
      </c>
      <c r="C1082" t="s">
        <v>1008</v>
      </c>
      <c r="D1082">
        <v>-120</v>
      </c>
      <c r="E1082" t="s">
        <v>33</v>
      </c>
      <c r="F1082">
        <v>8759.61</v>
      </c>
      <c r="G1082" t="str" cm="1">
        <f t="array" ref="G1082">IF(AND(ISNUMBER(SEARCH("UBER",C1082)),ISNUMBER(SEARCH("EATS",C1082))),"Uber Eats",IF(LEFT(C1082,6)="CHECK ","Checks Paid",IF(OR(E1082="BILLPAY",ISNUMBER(SEARCH("FRANCHISE TAX",C1082)),ISNUMBER(SEARCH("NEXTLINK",C1082))),"Personal - House Bills",IF(AND(ISNUMBER(SEARCH("PAYMENT FROM",C1082)),ISNUMBER(SEARCH("JOE SAUNDERS",C1082))),"Zelle from Joe Saunders",IF(AND(ISNUMBER(SEARCH("PAYMENT TO",C1082)),ISNUMBER(SEARCH("JOE SAUNDERS",C1082))),"Zelle to Joe Saunders",IF(OR(ISNUMBER(SEARCH("NEW ORLEANS",C1082)),ISNUMBER(SEARCH("KENNER",C1082)),ISNUMBER(SEARCH("HENRY HOWARD",C1082)),ISNUMBER(SEARCH("MISS CLAUDIA",C1082))),"Personal Travel - New Orleans",IF(AND(YEAR(B1082)=2025,MONTH(B1082)=4,OR(ISNUMBER(SEARCH("EXCHANGE RATE",C1082)),ISNUMBER(SEARCH("EXCHG RTE",C1082)))),"Personal Travel - Italy",IFERROR(INDEX('Category Rules'!$B$2:$B$358,MATCH(TRUE,ISNUMBER(SEARCH('Category Rules'!$A$2:$A$358,C1082)),0)),""))))))))</f>
        <v>Personal - House Bills</v>
      </c>
    </row>
    <row r="1083" spans="1:7" x14ac:dyDescent="0.25">
      <c r="A1083" t="s">
        <v>6</v>
      </c>
      <c r="B1083" s="1">
        <v>45869</v>
      </c>
      <c r="C1083" t="s">
        <v>1009</v>
      </c>
      <c r="D1083">
        <v>-300</v>
      </c>
      <c r="E1083" t="s">
        <v>33</v>
      </c>
      <c r="F1083">
        <v>8879.61</v>
      </c>
      <c r="G1083" t="str" cm="1">
        <f t="array" ref="G1083">IF(AND(ISNUMBER(SEARCH("UBER",C1083)),ISNUMBER(SEARCH("EATS",C1083))),"Uber Eats",IF(LEFT(C1083,6)="CHECK ","Checks Paid",IF(OR(E1083="BILLPAY",ISNUMBER(SEARCH("FRANCHISE TAX",C1083)),ISNUMBER(SEARCH("NEXTLINK",C1083))),"Personal - House Bills",IF(AND(ISNUMBER(SEARCH("PAYMENT FROM",C1083)),ISNUMBER(SEARCH("JOE SAUNDERS",C1083))),"Zelle from Joe Saunders",IF(AND(ISNUMBER(SEARCH("PAYMENT TO",C1083)),ISNUMBER(SEARCH("JOE SAUNDERS",C1083))),"Zelle to Joe Saunders",IF(OR(ISNUMBER(SEARCH("NEW ORLEANS",C1083)),ISNUMBER(SEARCH("KENNER",C1083)),ISNUMBER(SEARCH("HENRY HOWARD",C1083)),ISNUMBER(SEARCH("MISS CLAUDIA",C1083))),"Personal Travel - New Orleans",IF(AND(YEAR(B1083)=2025,MONTH(B1083)=4,OR(ISNUMBER(SEARCH("EXCHANGE RATE",C1083)),ISNUMBER(SEARCH("EXCHG RTE",C1083)))),"Personal Travel - Italy",IFERROR(INDEX('Category Rules'!$B$2:$B$358,MATCH(TRUE,ISNUMBER(SEARCH('Category Rules'!$A$2:$A$358,C1083)),0)),""))))))))</f>
        <v>Personal - House Bills</v>
      </c>
    </row>
    <row r="1084" spans="1:7" x14ac:dyDescent="0.25">
      <c r="A1084" t="s">
        <v>6</v>
      </c>
      <c r="B1084" s="1">
        <v>45869</v>
      </c>
      <c r="C1084" t="s">
        <v>1010</v>
      </c>
      <c r="D1084">
        <v>-320</v>
      </c>
      <c r="E1084" t="s">
        <v>33</v>
      </c>
      <c r="F1084">
        <v>9179.61</v>
      </c>
      <c r="G1084" t="str" cm="1">
        <f t="array" ref="G1084">IF(AND(ISNUMBER(SEARCH("UBER",C1084)),ISNUMBER(SEARCH("EATS",C1084))),"Uber Eats",IF(LEFT(C1084,6)="CHECK ","Checks Paid",IF(OR(E1084="BILLPAY",ISNUMBER(SEARCH("FRANCHISE TAX",C1084)),ISNUMBER(SEARCH("NEXTLINK",C1084))),"Personal - House Bills",IF(AND(ISNUMBER(SEARCH("PAYMENT FROM",C1084)),ISNUMBER(SEARCH("JOE SAUNDERS",C1084))),"Zelle from Joe Saunders",IF(AND(ISNUMBER(SEARCH("PAYMENT TO",C1084)),ISNUMBER(SEARCH("JOE SAUNDERS",C1084))),"Zelle to Joe Saunders",IF(OR(ISNUMBER(SEARCH("NEW ORLEANS",C1084)),ISNUMBER(SEARCH("KENNER",C1084)),ISNUMBER(SEARCH("HENRY HOWARD",C1084)),ISNUMBER(SEARCH("MISS CLAUDIA",C1084))),"Personal Travel - New Orleans",IF(AND(YEAR(B1084)=2025,MONTH(B1084)=4,OR(ISNUMBER(SEARCH("EXCHANGE RATE",C1084)),ISNUMBER(SEARCH("EXCHG RTE",C1084)))),"Personal Travel - Italy",IFERROR(INDEX('Category Rules'!$B$2:$B$358,MATCH(TRUE,ISNUMBER(SEARCH('Category Rules'!$A$2:$A$358,C1084)),0)),""))))))))</f>
        <v>Personal - House Bills</v>
      </c>
    </row>
    <row r="1085" spans="1:7" x14ac:dyDescent="0.25">
      <c r="A1085" t="s">
        <v>6</v>
      </c>
      <c r="B1085" s="1">
        <v>45869</v>
      </c>
      <c r="C1085" t="s">
        <v>1011</v>
      </c>
      <c r="D1085">
        <v>-100</v>
      </c>
      <c r="E1085" t="s">
        <v>33</v>
      </c>
      <c r="F1085">
        <v>9499.61</v>
      </c>
      <c r="G1085" t="str" cm="1">
        <f t="array" ref="G1085">IF(AND(ISNUMBER(SEARCH("UBER",C1085)),ISNUMBER(SEARCH("EATS",C1085))),"Uber Eats",IF(LEFT(C1085,6)="CHECK ","Checks Paid",IF(OR(E1085="BILLPAY",ISNUMBER(SEARCH("FRANCHISE TAX",C1085)),ISNUMBER(SEARCH("NEXTLINK",C1085))),"Personal - House Bills",IF(AND(ISNUMBER(SEARCH("PAYMENT FROM",C1085)),ISNUMBER(SEARCH("JOE SAUNDERS",C1085))),"Zelle from Joe Saunders",IF(AND(ISNUMBER(SEARCH("PAYMENT TO",C1085)),ISNUMBER(SEARCH("JOE SAUNDERS",C1085))),"Zelle to Joe Saunders",IF(OR(ISNUMBER(SEARCH("NEW ORLEANS",C1085)),ISNUMBER(SEARCH("KENNER",C1085)),ISNUMBER(SEARCH("HENRY HOWARD",C1085)),ISNUMBER(SEARCH("MISS CLAUDIA",C1085))),"Personal Travel - New Orleans",IF(AND(YEAR(B1085)=2025,MONTH(B1085)=4,OR(ISNUMBER(SEARCH("EXCHANGE RATE",C1085)),ISNUMBER(SEARCH("EXCHG RTE",C1085)))),"Personal Travel - Italy",IFERROR(INDEX('Category Rules'!$B$2:$B$358,MATCH(TRUE,ISNUMBER(SEARCH('Category Rules'!$A$2:$A$358,C1085)),0)),""))))))))</f>
        <v>Personal - House Bills</v>
      </c>
    </row>
    <row r="1086" spans="1:7" x14ac:dyDescent="0.25">
      <c r="A1086" t="s">
        <v>6</v>
      </c>
      <c r="B1086" s="1">
        <v>45869</v>
      </c>
      <c r="C1086" t="s">
        <v>1012</v>
      </c>
      <c r="D1086">
        <v>-224.95</v>
      </c>
      <c r="E1086" t="s">
        <v>10</v>
      </c>
      <c r="F1086">
        <v>9599.61</v>
      </c>
      <c r="G1086" t="str" cm="1">
        <f t="array" ref="G1086">IF(AND(ISNUMBER(SEARCH("UBER",C1086)),ISNUMBER(SEARCH("EATS",C1086))),"Uber Eats",IF(LEFT(C1086,6)="CHECK ","Checks Paid",IF(OR(E1086="BILLPAY",ISNUMBER(SEARCH("FRANCHISE TAX",C1086)),ISNUMBER(SEARCH("NEXTLINK",C1086))),"Personal - House Bills",IF(AND(ISNUMBER(SEARCH("PAYMENT FROM",C1086)),ISNUMBER(SEARCH("JOE SAUNDERS",C1086))),"Zelle from Joe Saunders",IF(AND(ISNUMBER(SEARCH("PAYMENT TO",C1086)),ISNUMBER(SEARCH("JOE SAUNDERS",C1086))),"Zelle to Joe Saunders",IF(OR(ISNUMBER(SEARCH("NEW ORLEANS",C1086)),ISNUMBER(SEARCH("KENNER",C1086)),ISNUMBER(SEARCH("HENRY HOWARD",C1086)),ISNUMBER(SEARCH("MISS CLAUDIA",C1086))),"Personal Travel - New Orleans",IF(AND(YEAR(B1086)=2025,MONTH(B1086)=4,OR(ISNUMBER(SEARCH("EXCHANGE RATE",C1086)),ISNUMBER(SEARCH("EXCHG RTE",C1086)))),"Personal Travel - Italy",IFERROR(INDEX('Category Rules'!$B$2:$B$358,MATCH(TRUE,ISNUMBER(SEARCH('Category Rules'!$A$2:$A$358,C1086)),0)),""))))))))</f>
        <v>Personal - Shopping</v>
      </c>
    </row>
    <row r="1087" spans="1:7" x14ac:dyDescent="0.25">
      <c r="A1087" t="s">
        <v>6</v>
      </c>
      <c r="B1087" s="1">
        <v>45869</v>
      </c>
      <c r="C1087" t="s">
        <v>1013</v>
      </c>
      <c r="D1087">
        <v>-40</v>
      </c>
      <c r="E1087" t="s">
        <v>10</v>
      </c>
      <c r="F1087">
        <v>9824.56</v>
      </c>
      <c r="G1087" t="str" cm="1">
        <f t="array" ref="G1087">IF(AND(ISNUMBER(SEARCH("UBER",C1087)),ISNUMBER(SEARCH("EATS",C1087))),"Uber Eats",IF(LEFT(C1087,6)="CHECK ","Checks Paid",IF(OR(E1087="BILLPAY",ISNUMBER(SEARCH("FRANCHISE TAX",C1087)),ISNUMBER(SEARCH("NEXTLINK",C1087))),"Personal - House Bills",IF(AND(ISNUMBER(SEARCH("PAYMENT FROM",C1087)),ISNUMBER(SEARCH("JOE SAUNDERS",C1087))),"Zelle from Joe Saunders",IF(AND(ISNUMBER(SEARCH("PAYMENT TO",C1087)),ISNUMBER(SEARCH("JOE SAUNDERS",C1087))),"Zelle to Joe Saunders",IF(OR(ISNUMBER(SEARCH("NEW ORLEANS",C1087)),ISNUMBER(SEARCH("KENNER",C1087)),ISNUMBER(SEARCH("HENRY HOWARD",C1087)),ISNUMBER(SEARCH("MISS CLAUDIA",C1087))),"Personal Travel - New Orleans",IF(AND(YEAR(B1087)=2025,MONTH(B1087)=4,OR(ISNUMBER(SEARCH("EXCHANGE RATE",C1087)),ISNUMBER(SEARCH("EXCHG RTE",C1087)))),"Personal Travel - Italy",IFERROR(INDEX('Category Rules'!$B$2:$B$358,MATCH(TRUE,ISNUMBER(SEARCH('Category Rules'!$A$2:$A$358,C1087)),0)),""))))))))</f>
        <v>Personal - Car</v>
      </c>
    </row>
    <row r="1088" spans="1:7" x14ac:dyDescent="0.25">
      <c r="A1088" t="s">
        <v>6</v>
      </c>
      <c r="B1088" s="1">
        <v>45869</v>
      </c>
      <c r="C1088" t="s">
        <v>1014</v>
      </c>
      <c r="D1088">
        <v>-52.31</v>
      </c>
      <c r="E1088" t="s">
        <v>10</v>
      </c>
      <c r="F1088">
        <v>9864.56</v>
      </c>
      <c r="G1088" t="str" cm="1">
        <f t="array" ref="G1088">IF(AND(ISNUMBER(SEARCH("UBER",C1088)),ISNUMBER(SEARCH("EATS",C1088))),"Uber Eats",IF(LEFT(C1088,6)="CHECK ","Checks Paid",IF(OR(E1088="BILLPAY",ISNUMBER(SEARCH("FRANCHISE TAX",C1088)),ISNUMBER(SEARCH("NEXTLINK",C1088))),"Personal - House Bills",IF(AND(ISNUMBER(SEARCH("PAYMENT FROM",C1088)),ISNUMBER(SEARCH("JOE SAUNDERS",C1088))),"Zelle from Joe Saunders",IF(AND(ISNUMBER(SEARCH("PAYMENT TO",C1088)),ISNUMBER(SEARCH("JOE SAUNDERS",C1088))),"Zelle to Joe Saunders",IF(OR(ISNUMBER(SEARCH("NEW ORLEANS",C1088)),ISNUMBER(SEARCH("KENNER",C1088)),ISNUMBER(SEARCH("HENRY HOWARD",C1088)),ISNUMBER(SEARCH("MISS CLAUDIA",C1088))),"Personal Travel - New Orleans",IF(AND(YEAR(B1088)=2025,MONTH(B1088)=4,OR(ISNUMBER(SEARCH("EXCHANGE RATE",C1088)),ISNUMBER(SEARCH("EXCHG RTE",C1088)))),"Personal Travel - Italy",IFERROR(INDEX('Category Rules'!$B$2:$B$358,MATCH(TRUE,ISNUMBER(SEARCH('Category Rules'!$A$2:$A$358,C1088)),0)),""))))))))</f>
        <v>Amazon</v>
      </c>
    </row>
    <row r="1089" spans="1:7" x14ac:dyDescent="0.25">
      <c r="A1089" t="s">
        <v>6</v>
      </c>
      <c r="B1089" s="1">
        <v>45869</v>
      </c>
      <c r="C1089" t="s">
        <v>1015</v>
      </c>
      <c r="D1089">
        <v>-14.79</v>
      </c>
      <c r="E1089" t="s">
        <v>10</v>
      </c>
      <c r="F1089">
        <v>9916.8700000000008</v>
      </c>
      <c r="G1089" t="str" cm="1">
        <f t="array" ref="G1089">IF(AND(ISNUMBER(SEARCH("UBER",C1089)),ISNUMBER(SEARCH("EATS",C1089))),"Uber Eats",IF(LEFT(C1089,6)="CHECK ","Checks Paid",IF(OR(E1089="BILLPAY",ISNUMBER(SEARCH("FRANCHISE TAX",C1089)),ISNUMBER(SEARCH("NEXTLINK",C1089))),"Personal - House Bills",IF(AND(ISNUMBER(SEARCH("PAYMENT FROM",C1089)),ISNUMBER(SEARCH("JOE SAUNDERS",C1089))),"Zelle from Joe Saunders",IF(AND(ISNUMBER(SEARCH("PAYMENT TO",C1089)),ISNUMBER(SEARCH("JOE SAUNDERS",C1089))),"Zelle to Joe Saunders",IF(OR(ISNUMBER(SEARCH("NEW ORLEANS",C1089)),ISNUMBER(SEARCH("KENNER",C1089)),ISNUMBER(SEARCH("HENRY HOWARD",C1089)),ISNUMBER(SEARCH("MISS CLAUDIA",C1089))),"Personal Travel - New Orleans",IF(AND(YEAR(B1089)=2025,MONTH(B1089)=4,OR(ISNUMBER(SEARCH("EXCHANGE RATE",C1089)),ISNUMBER(SEARCH("EXCHG RTE",C1089)))),"Personal Travel - Italy",IFERROR(INDEX('Category Rules'!$B$2:$B$358,MATCH(TRUE,ISNUMBER(SEARCH('Category Rules'!$A$2:$A$358,C1089)),0)),""))))))))</f>
        <v>Amazon</v>
      </c>
    </row>
    <row r="1090" spans="1:7" x14ac:dyDescent="0.25">
      <c r="A1090" t="s">
        <v>6</v>
      </c>
      <c r="B1090" s="1">
        <v>45869</v>
      </c>
      <c r="C1090" t="s">
        <v>1016</v>
      </c>
      <c r="D1090">
        <v>-34.83</v>
      </c>
      <c r="E1090" t="s">
        <v>10</v>
      </c>
      <c r="F1090">
        <v>9931.66</v>
      </c>
      <c r="G1090" t="str" cm="1">
        <f t="array" ref="G1090">IF(AND(ISNUMBER(SEARCH("UBER",C1090)),ISNUMBER(SEARCH("EATS",C1090))),"Uber Eats",IF(LEFT(C1090,6)="CHECK ","Checks Paid",IF(OR(E1090="BILLPAY",ISNUMBER(SEARCH("FRANCHISE TAX",C1090)),ISNUMBER(SEARCH("NEXTLINK",C1090))),"Personal - House Bills",IF(AND(ISNUMBER(SEARCH("PAYMENT FROM",C1090)),ISNUMBER(SEARCH("JOE SAUNDERS",C1090))),"Zelle from Joe Saunders",IF(AND(ISNUMBER(SEARCH("PAYMENT TO",C1090)),ISNUMBER(SEARCH("JOE SAUNDERS",C1090))),"Zelle to Joe Saunders",IF(OR(ISNUMBER(SEARCH("NEW ORLEANS",C1090)),ISNUMBER(SEARCH("KENNER",C1090)),ISNUMBER(SEARCH("HENRY HOWARD",C1090)),ISNUMBER(SEARCH("MISS CLAUDIA",C1090))),"Personal Travel - New Orleans",IF(AND(YEAR(B1090)=2025,MONTH(B1090)=4,OR(ISNUMBER(SEARCH("EXCHANGE RATE",C1090)),ISNUMBER(SEARCH("EXCHG RTE",C1090)))),"Personal Travel - Italy",IFERROR(INDEX('Category Rules'!$B$2:$B$358,MATCH(TRUE,ISNUMBER(SEARCH('Category Rules'!$A$2:$A$358,C1090)),0)),""))))))))</f>
        <v>Amazon</v>
      </c>
    </row>
    <row r="1091" spans="1:7" x14ac:dyDescent="0.25">
      <c r="A1091" t="s">
        <v>6</v>
      </c>
      <c r="B1091" s="1">
        <v>45869</v>
      </c>
      <c r="C1091" t="s">
        <v>1017</v>
      </c>
      <c r="D1091">
        <v>-261.52</v>
      </c>
      <c r="E1091" t="s">
        <v>10</v>
      </c>
      <c r="F1091">
        <v>9966.49</v>
      </c>
      <c r="G1091" t="str" cm="1">
        <f t="array" ref="G1091">IF(AND(ISNUMBER(SEARCH("UBER",C1091)),ISNUMBER(SEARCH("EATS",C1091))),"Uber Eats",IF(LEFT(C1091,6)="CHECK ","Checks Paid",IF(OR(E1091="BILLPAY",ISNUMBER(SEARCH("FRANCHISE TAX",C1091)),ISNUMBER(SEARCH("NEXTLINK",C1091))),"Personal - House Bills",IF(AND(ISNUMBER(SEARCH("PAYMENT FROM",C1091)),ISNUMBER(SEARCH("JOE SAUNDERS",C1091))),"Zelle from Joe Saunders",IF(AND(ISNUMBER(SEARCH("PAYMENT TO",C1091)),ISNUMBER(SEARCH("JOE SAUNDERS",C1091))),"Zelle to Joe Saunders",IF(OR(ISNUMBER(SEARCH("NEW ORLEANS",C1091)),ISNUMBER(SEARCH("KENNER",C1091)),ISNUMBER(SEARCH("HENRY HOWARD",C1091)),ISNUMBER(SEARCH("MISS CLAUDIA",C1091))),"Personal Travel - New Orleans",IF(AND(YEAR(B1091)=2025,MONTH(B1091)=4,OR(ISNUMBER(SEARCH("EXCHANGE RATE",C1091)),ISNUMBER(SEARCH("EXCHG RTE",C1091)))),"Personal Travel - Italy",IFERROR(INDEX('Category Rules'!$B$2:$B$358,MATCH(TRUE,ISNUMBER(SEARCH('Category Rules'!$A$2:$A$358,C1091)),0)),""))))))))</f>
        <v>Amazon</v>
      </c>
    </row>
    <row r="1092" spans="1:7" x14ac:dyDescent="0.25">
      <c r="A1092" t="s">
        <v>6</v>
      </c>
      <c r="B1092" s="1">
        <v>45869</v>
      </c>
      <c r="C1092" t="s">
        <v>1018</v>
      </c>
      <c r="D1092">
        <v>-53.36</v>
      </c>
      <c r="E1092" t="s">
        <v>10</v>
      </c>
      <c r="F1092">
        <v>10228.01</v>
      </c>
      <c r="G1092" t="str" cm="1">
        <f t="array" ref="G1092">IF(AND(ISNUMBER(SEARCH("UBER",C1092)),ISNUMBER(SEARCH("EATS",C1092))),"Uber Eats",IF(LEFT(C1092,6)="CHECK ","Checks Paid",IF(OR(E1092="BILLPAY",ISNUMBER(SEARCH("FRANCHISE TAX",C1092)),ISNUMBER(SEARCH("NEXTLINK",C1092))),"Personal - House Bills",IF(AND(ISNUMBER(SEARCH("PAYMENT FROM",C1092)),ISNUMBER(SEARCH("JOE SAUNDERS",C1092))),"Zelle from Joe Saunders",IF(AND(ISNUMBER(SEARCH("PAYMENT TO",C1092)),ISNUMBER(SEARCH("JOE SAUNDERS",C1092))),"Zelle to Joe Saunders",IF(OR(ISNUMBER(SEARCH("NEW ORLEANS",C1092)),ISNUMBER(SEARCH("KENNER",C1092)),ISNUMBER(SEARCH("HENRY HOWARD",C1092)),ISNUMBER(SEARCH("MISS CLAUDIA",C1092))),"Personal Travel - New Orleans",IF(AND(YEAR(B1092)=2025,MONTH(B1092)=4,OR(ISNUMBER(SEARCH("EXCHANGE RATE",C1092)),ISNUMBER(SEARCH("EXCHG RTE",C1092)))),"Personal Travel - Italy",IFERROR(INDEX('Category Rules'!$B$2:$B$358,MATCH(TRUE,ISNUMBER(SEARCH('Category Rules'!$A$2:$A$358,C1092)),0)),""))))))))</f>
        <v>Amazon</v>
      </c>
    </row>
    <row r="1093" spans="1:7" x14ac:dyDescent="0.25">
      <c r="A1093" t="s">
        <v>6</v>
      </c>
      <c r="B1093" s="1">
        <v>45869</v>
      </c>
      <c r="C1093" t="s">
        <v>1019</v>
      </c>
      <c r="D1093">
        <v>-229.56</v>
      </c>
      <c r="E1093" t="s">
        <v>10</v>
      </c>
      <c r="F1093">
        <v>10281.370000000001</v>
      </c>
      <c r="G1093" t="str" cm="1">
        <f t="array" ref="G1093">IF(AND(ISNUMBER(SEARCH("UBER",C1093)),ISNUMBER(SEARCH("EATS",C1093))),"Uber Eats",IF(LEFT(C1093,6)="CHECK ","Checks Paid",IF(OR(E1093="BILLPAY",ISNUMBER(SEARCH("FRANCHISE TAX",C1093)),ISNUMBER(SEARCH("NEXTLINK",C1093))),"Personal - House Bills",IF(AND(ISNUMBER(SEARCH("PAYMENT FROM",C1093)),ISNUMBER(SEARCH("JOE SAUNDERS",C1093))),"Zelle from Joe Saunders",IF(AND(ISNUMBER(SEARCH("PAYMENT TO",C1093)),ISNUMBER(SEARCH("JOE SAUNDERS",C1093))),"Zelle to Joe Saunders",IF(OR(ISNUMBER(SEARCH("NEW ORLEANS",C1093)),ISNUMBER(SEARCH("KENNER",C1093)),ISNUMBER(SEARCH("HENRY HOWARD",C1093)),ISNUMBER(SEARCH("MISS CLAUDIA",C1093))),"Personal Travel - New Orleans",IF(AND(YEAR(B1093)=2025,MONTH(B1093)=4,OR(ISNUMBER(SEARCH("EXCHANGE RATE",C1093)),ISNUMBER(SEARCH("EXCHG RTE",C1093)))),"Personal Travel - Italy",IFERROR(INDEX('Category Rules'!$B$2:$B$358,MATCH(TRUE,ISNUMBER(SEARCH('Category Rules'!$A$2:$A$358,C1093)),0)),""))))))))</f>
        <v>Amazon</v>
      </c>
    </row>
    <row r="1094" spans="1:7" x14ac:dyDescent="0.25">
      <c r="A1094" t="s">
        <v>6</v>
      </c>
      <c r="B1094" s="1">
        <v>45869</v>
      </c>
      <c r="C1094" t="s">
        <v>1020</v>
      </c>
      <c r="D1094">
        <v>-15.03</v>
      </c>
      <c r="E1094" t="s">
        <v>10</v>
      </c>
      <c r="F1094">
        <v>10510.93</v>
      </c>
      <c r="G1094" t="str" cm="1">
        <f t="array" ref="G1094">IF(AND(ISNUMBER(SEARCH("UBER",C1094)),ISNUMBER(SEARCH("EATS",C1094))),"Uber Eats",IF(LEFT(C1094,6)="CHECK ","Checks Paid",IF(OR(E1094="BILLPAY",ISNUMBER(SEARCH("FRANCHISE TAX",C1094)),ISNUMBER(SEARCH("NEXTLINK",C1094))),"Personal - House Bills",IF(AND(ISNUMBER(SEARCH("PAYMENT FROM",C1094)),ISNUMBER(SEARCH("JOE SAUNDERS",C1094))),"Zelle from Joe Saunders",IF(AND(ISNUMBER(SEARCH("PAYMENT TO",C1094)),ISNUMBER(SEARCH("JOE SAUNDERS",C1094))),"Zelle to Joe Saunders",IF(OR(ISNUMBER(SEARCH("NEW ORLEANS",C1094)),ISNUMBER(SEARCH("KENNER",C1094)),ISNUMBER(SEARCH("HENRY HOWARD",C1094)),ISNUMBER(SEARCH("MISS CLAUDIA",C1094))),"Personal Travel - New Orleans",IF(AND(YEAR(B1094)=2025,MONTH(B1094)=4,OR(ISNUMBER(SEARCH("EXCHANGE RATE",C1094)),ISNUMBER(SEARCH("EXCHG RTE",C1094)))),"Personal Travel - Italy",IFERROR(INDEX('Category Rules'!$B$2:$B$358,MATCH(TRUE,ISNUMBER(SEARCH('Category Rules'!$A$2:$A$358,C1094)),0)),""))))))))</f>
        <v>Personal Travel</v>
      </c>
    </row>
    <row r="1095" spans="1:7" x14ac:dyDescent="0.25">
      <c r="A1095" t="s">
        <v>6</v>
      </c>
      <c r="B1095" s="1">
        <v>45869</v>
      </c>
      <c r="C1095" t="s">
        <v>1021</v>
      </c>
      <c r="D1095">
        <v>-100</v>
      </c>
      <c r="E1095" t="s">
        <v>10</v>
      </c>
      <c r="F1095">
        <v>10525.96</v>
      </c>
      <c r="G1095" t="str" cm="1">
        <f t="array" ref="G1095">IF(AND(ISNUMBER(SEARCH("UBER",C1095)),ISNUMBER(SEARCH("EATS",C1095))),"Uber Eats",IF(LEFT(C1095,6)="CHECK ","Checks Paid",IF(OR(E1095="BILLPAY",ISNUMBER(SEARCH("FRANCHISE TAX",C1095)),ISNUMBER(SEARCH("NEXTLINK",C1095))),"Personal - House Bills",IF(AND(ISNUMBER(SEARCH("PAYMENT FROM",C1095)),ISNUMBER(SEARCH("JOE SAUNDERS",C1095))),"Zelle from Joe Saunders",IF(AND(ISNUMBER(SEARCH("PAYMENT TO",C1095)),ISNUMBER(SEARCH("JOE SAUNDERS",C1095))),"Zelle to Joe Saunders",IF(OR(ISNUMBER(SEARCH("NEW ORLEANS",C1095)),ISNUMBER(SEARCH("KENNER",C1095)),ISNUMBER(SEARCH("HENRY HOWARD",C1095)),ISNUMBER(SEARCH("MISS CLAUDIA",C1095))),"Personal Travel - New Orleans",IF(AND(YEAR(B1095)=2025,MONTH(B1095)=4,OR(ISNUMBER(SEARCH("EXCHANGE RATE",C1095)),ISNUMBER(SEARCH("EXCHG RTE",C1095)))),"Personal Travel - Italy",IFERROR(INDEX('Category Rules'!$B$2:$B$358,MATCH(TRUE,ISNUMBER(SEARCH('Category Rules'!$A$2:$A$358,C1095)),0)),""))))))))</f>
        <v>Personal Travel</v>
      </c>
    </row>
    <row r="1096" spans="1:7" x14ac:dyDescent="0.25">
      <c r="A1096" t="s">
        <v>553</v>
      </c>
      <c r="B1096" s="1">
        <v>45868</v>
      </c>
      <c r="C1096" t="s">
        <v>1022</v>
      </c>
      <c r="D1096">
        <v>-3000</v>
      </c>
      <c r="E1096" t="s">
        <v>555</v>
      </c>
      <c r="F1096">
        <v>10625.96</v>
      </c>
      <c r="G1096" t="str" cm="1">
        <f t="array" ref="G1096">IF(AND(ISNUMBER(SEARCH("UBER",C1096)),ISNUMBER(SEARCH("EATS",C1096))),"Uber Eats",IF(LEFT(C1096,6)="CHECK ","Checks Paid",IF(OR(E1096="BILLPAY",ISNUMBER(SEARCH("FRANCHISE TAX",C1096)),ISNUMBER(SEARCH("NEXTLINK",C1096))),"Personal - House Bills",IF(AND(ISNUMBER(SEARCH("PAYMENT FROM",C1096)),ISNUMBER(SEARCH("JOE SAUNDERS",C1096))),"Zelle from Joe Saunders",IF(AND(ISNUMBER(SEARCH("PAYMENT TO",C1096)),ISNUMBER(SEARCH("JOE SAUNDERS",C1096))),"Zelle to Joe Saunders",IF(OR(ISNUMBER(SEARCH("NEW ORLEANS",C1096)),ISNUMBER(SEARCH("KENNER",C1096)),ISNUMBER(SEARCH("HENRY HOWARD",C1096)),ISNUMBER(SEARCH("MISS CLAUDIA",C1096))),"Personal Travel - New Orleans",IF(AND(YEAR(B1096)=2025,MONTH(B1096)=4,OR(ISNUMBER(SEARCH("EXCHANGE RATE",C1096)),ISNUMBER(SEARCH("EXCHG RTE",C1096)))),"Personal Travel - Italy",IFERROR(INDEX('Category Rules'!$B$2:$B$358,MATCH(TRUE,ISNUMBER(SEARCH('Category Rules'!$A$2:$A$358,C1096)),0)),""))))))))</f>
        <v>Checks Paid</v>
      </c>
    </row>
    <row r="1097" spans="1:7" x14ac:dyDescent="0.25">
      <c r="A1097" t="s">
        <v>6</v>
      </c>
      <c r="B1097" s="1">
        <v>45868</v>
      </c>
      <c r="C1097" t="s">
        <v>1023</v>
      </c>
      <c r="D1097">
        <v>-81.739999999999995</v>
      </c>
      <c r="E1097" t="s">
        <v>10</v>
      </c>
      <c r="F1097">
        <v>13625.96</v>
      </c>
      <c r="G1097" t="str" cm="1">
        <f t="array" ref="G1097">IF(AND(ISNUMBER(SEARCH("UBER",C1097)),ISNUMBER(SEARCH("EATS",C1097))),"Uber Eats",IF(LEFT(C1097,6)="CHECK ","Checks Paid",IF(OR(E1097="BILLPAY",ISNUMBER(SEARCH("FRANCHISE TAX",C1097)),ISNUMBER(SEARCH("NEXTLINK",C1097))),"Personal - House Bills",IF(AND(ISNUMBER(SEARCH("PAYMENT FROM",C1097)),ISNUMBER(SEARCH("JOE SAUNDERS",C1097))),"Zelle from Joe Saunders",IF(AND(ISNUMBER(SEARCH("PAYMENT TO",C1097)),ISNUMBER(SEARCH("JOE SAUNDERS",C1097))),"Zelle to Joe Saunders",IF(OR(ISNUMBER(SEARCH("NEW ORLEANS",C1097)),ISNUMBER(SEARCH("KENNER",C1097)),ISNUMBER(SEARCH("HENRY HOWARD",C1097)),ISNUMBER(SEARCH("MISS CLAUDIA",C1097))),"Personal Travel - New Orleans",IF(AND(YEAR(B1097)=2025,MONTH(B1097)=4,OR(ISNUMBER(SEARCH("EXCHANGE RATE",C1097)),ISNUMBER(SEARCH("EXCHG RTE",C1097)))),"Personal Travel - Italy",IFERROR(INDEX('Category Rules'!$B$2:$B$358,MATCH(TRUE,ISNUMBER(SEARCH('Category Rules'!$A$2:$A$358,C1097)),0)),""))))))))</f>
        <v>Personal - Shopping</v>
      </c>
    </row>
    <row r="1098" spans="1:7" x14ac:dyDescent="0.25">
      <c r="A1098" t="s">
        <v>6</v>
      </c>
      <c r="B1098" s="1">
        <v>45868</v>
      </c>
      <c r="C1098" t="s">
        <v>1024</v>
      </c>
      <c r="D1098">
        <v>-24.29</v>
      </c>
      <c r="E1098" t="s">
        <v>10</v>
      </c>
      <c r="F1098">
        <v>13707.7</v>
      </c>
      <c r="G1098" t="str" cm="1">
        <f t="array" ref="G1098">IF(AND(ISNUMBER(SEARCH("UBER",C1098)),ISNUMBER(SEARCH("EATS",C1098))),"Uber Eats",IF(LEFT(C1098,6)="CHECK ","Checks Paid",IF(OR(E1098="BILLPAY",ISNUMBER(SEARCH("FRANCHISE TAX",C1098)),ISNUMBER(SEARCH("NEXTLINK",C1098))),"Personal - House Bills",IF(AND(ISNUMBER(SEARCH("PAYMENT FROM",C1098)),ISNUMBER(SEARCH("JOE SAUNDERS",C1098))),"Zelle from Joe Saunders",IF(AND(ISNUMBER(SEARCH("PAYMENT TO",C1098)),ISNUMBER(SEARCH("JOE SAUNDERS",C1098))),"Zelle to Joe Saunders",IF(OR(ISNUMBER(SEARCH("NEW ORLEANS",C1098)),ISNUMBER(SEARCH("KENNER",C1098)),ISNUMBER(SEARCH("HENRY HOWARD",C1098)),ISNUMBER(SEARCH("MISS CLAUDIA",C1098))),"Personal Travel - New Orleans",IF(AND(YEAR(B1098)=2025,MONTH(B1098)=4,OR(ISNUMBER(SEARCH("EXCHANGE RATE",C1098)),ISNUMBER(SEARCH("EXCHG RTE",C1098)))),"Personal Travel - Italy",IFERROR(INDEX('Category Rules'!$B$2:$B$358,MATCH(TRUE,ISNUMBER(SEARCH('Category Rules'!$A$2:$A$358,C1098)),0)),""))))))))</f>
        <v>Personal - Shopping</v>
      </c>
    </row>
    <row r="1099" spans="1:7" x14ac:dyDescent="0.25">
      <c r="A1099" t="s">
        <v>6</v>
      </c>
      <c r="B1099" s="1">
        <v>45868</v>
      </c>
      <c r="C1099" t="s">
        <v>1025</v>
      </c>
      <c r="D1099">
        <v>-17.940000000000001</v>
      </c>
      <c r="E1099" t="s">
        <v>10</v>
      </c>
      <c r="F1099">
        <v>13731.99</v>
      </c>
      <c r="G1099" t="str" cm="1">
        <f t="array" ref="G1099">IF(AND(ISNUMBER(SEARCH("UBER",C1099)),ISNUMBER(SEARCH("EATS",C1099))),"Uber Eats",IF(LEFT(C1099,6)="CHECK ","Checks Paid",IF(OR(E1099="BILLPAY",ISNUMBER(SEARCH("FRANCHISE TAX",C1099)),ISNUMBER(SEARCH("NEXTLINK",C1099))),"Personal - House Bills",IF(AND(ISNUMBER(SEARCH("PAYMENT FROM",C1099)),ISNUMBER(SEARCH("JOE SAUNDERS",C1099))),"Zelle from Joe Saunders",IF(AND(ISNUMBER(SEARCH("PAYMENT TO",C1099)),ISNUMBER(SEARCH("JOE SAUNDERS",C1099))),"Zelle to Joe Saunders",IF(OR(ISNUMBER(SEARCH("NEW ORLEANS",C1099)),ISNUMBER(SEARCH("KENNER",C1099)),ISNUMBER(SEARCH("HENRY HOWARD",C1099)),ISNUMBER(SEARCH("MISS CLAUDIA",C1099))),"Personal Travel - New Orleans",IF(AND(YEAR(B1099)=2025,MONTH(B1099)=4,OR(ISNUMBER(SEARCH("EXCHANGE RATE",C1099)),ISNUMBER(SEARCH("EXCHG RTE",C1099)))),"Personal Travel - Italy",IFERROR(INDEX('Category Rules'!$B$2:$B$358,MATCH(TRUE,ISNUMBER(SEARCH('Category Rules'!$A$2:$A$358,C1099)),0)),""))))))))</f>
        <v>Uber Eats</v>
      </c>
    </row>
    <row r="1100" spans="1:7" x14ac:dyDescent="0.25">
      <c r="A1100" t="s">
        <v>6</v>
      </c>
      <c r="B1100" s="1">
        <v>45868</v>
      </c>
      <c r="C1100" t="s">
        <v>1026</v>
      </c>
      <c r="D1100">
        <v>-22.49</v>
      </c>
      <c r="E1100" t="s">
        <v>10</v>
      </c>
      <c r="F1100">
        <v>13749.93</v>
      </c>
      <c r="G1100" t="str" cm="1">
        <f t="array" ref="G1100">IF(AND(ISNUMBER(SEARCH("UBER",C1100)),ISNUMBER(SEARCH("EATS",C1100))),"Uber Eats",IF(LEFT(C1100,6)="CHECK ","Checks Paid",IF(OR(E1100="BILLPAY",ISNUMBER(SEARCH("FRANCHISE TAX",C1100)),ISNUMBER(SEARCH("NEXTLINK",C1100))),"Personal - House Bills",IF(AND(ISNUMBER(SEARCH("PAYMENT FROM",C1100)),ISNUMBER(SEARCH("JOE SAUNDERS",C1100))),"Zelle from Joe Saunders",IF(AND(ISNUMBER(SEARCH("PAYMENT TO",C1100)),ISNUMBER(SEARCH("JOE SAUNDERS",C1100))),"Zelle to Joe Saunders",IF(OR(ISNUMBER(SEARCH("NEW ORLEANS",C1100)),ISNUMBER(SEARCH("KENNER",C1100)),ISNUMBER(SEARCH("HENRY HOWARD",C1100)),ISNUMBER(SEARCH("MISS CLAUDIA",C1100))),"Personal Travel - New Orleans",IF(AND(YEAR(B1100)=2025,MONTH(B1100)=4,OR(ISNUMBER(SEARCH("EXCHANGE RATE",C1100)),ISNUMBER(SEARCH("EXCHG RTE",C1100)))),"Personal Travel - Italy",IFERROR(INDEX('Category Rules'!$B$2:$B$358,MATCH(TRUE,ISNUMBER(SEARCH('Category Rules'!$A$2:$A$358,C1100)),0)),""))))))))</f>
        <v>Amazon</v>
      </c>
    </row>
    <row r="1101" spans="1:7" x14ac:dyDescent="0.25">
      <c r="A1101" t="s">
        <v>6</v>
      </c>
      <c r="B1101" s="1">
        <v>45868</v>
      </c>
      <c r="C1101" t="s">
        <v>1027</v>
      </c>
      <c r="D1101">
        <v>-192.07</v>
      </c>
      <c r="E1101" t="s">
        <v>10</v>
      </c>
      <c r="F1101">
        <v>13772.42</v>
      </c>
      <c r="G1101" t="str" cm="1">
        <f t="array" ref="G1101">IF(AND(ISNUMBER(SEARCH("UBER",C1101)),ISNUMBER(SEARCH("EATS",C1101))),"Uber Eats",IF(LEFT(C1101,6)="CHECK ","Checks Paid",IF(OR(E1101="BILLPAY",ISNUMBER(SEARCH("FRANCHISE TAX",C1101)),ISNUMBER(SEARCH("NEXTLINK",C1101))),"Personal - House Bills",IF(AND(ISNUMBER(SEARCH("PAYMENT FROM",C1101)),ISNUMBER(SEARCH("JOE SAUNDERS",C1101))),"Zelle from Joe Saunders",IF(AND(ISNUMBER(SEARCH("PAYMENT TO",C1101)),ISNUMBER(SEARCH("JOE SAUNDERS",C1101))),"Zelle to Joe Saunders",IF(OR(ISNUMBER(SEARCH("NEW ORLEANS",C1101)),ISNUMBER(SEARCH("KENNER",C1101)),ISNUMBER(SEARCH("HENRY HOWARD",C1101)),ISNUMBER(SEARCH("MISS CLAUDIA",C1101))),"Personal Travel - New Orleans",IF(AND(YEAR(B1101)=2025,MONTH(B1101)=4,OR(ISNUMBER(SEARCH("EXCHANGE RATE",C1101)),ISNUMBER(SEARCH("EXCHG RTE",C1101)))),"Personal Travel - Italy",IFERROR(INDEX('Category Rules'!$B$2:$B$358,MATCH(TRUE,ISNUMBER(SEARCH('Category Rules'!$A$2:$A$358,C1101)),0)),""))))))))</f>
        <v>Amazon</v>
      </c>
    </row>
    <row r="1102" spans="1:7" x14ac:dyDescent="0.25">
      <c r="A1102" t="s">
        <v>6</v>
      </c>
      <c r="B1102" s="1">
        <v>45868</v>
      </c>
      <c r="C1102" t="s">
        <v>1028</v>
      </c>
      <c r="D1102">
        <v>-522.84</v>
      </c>
      <c r="E1102" t="s">
        <v>10</v>
      </c>
      <c r="F1102">
        <v>13964.49</v>
      </c>
      <c r="G1102" t="str" cm="1">
        <f t="array" ref="G1102">IF(AND(ISNUMBER(SEARCH("UBER",C1102)),ISNUMBER(SEARCH("EATS",C1102))),"Uber Eats",IF(LEFT(C1102,6)="CHECK ","Checks Paid",IF(OR(E1102="BILLPAY",ISNUMBER(SEARCH("FRANCHISE TAX",C1102)),ISNUMBER(SEARCH("NEXTLINK",C1102))),"Personal - House Bills",IF(AND(ISNUMBER(SEARCH("PAYMENT FROM",C1102)),ISNUMBER(SEARCH("JOE SAUNDERS",C1102))),"Zelle from Joe Saunders",IF(AND(ISNUMBER(SEARCH("PAYMENT TO",C1102)),ISNUMBER(SEARCH("JOE SAUNDERS",C1102))),"Zelle to Joe Saunders",IF(OR(ISNUMBER(SEARCH("NEW ORLEANS",C1102)),ISNUMBER(SEARCH("KENNER",C1102)),ISNUMBER(SEARCH("HENRY HOWARD",C1102)),ISNUMBER(SEARCH("MISS CLAUDIA",C1102))),"Personal Travel - New Orleans",IF(AND(YEAR(B1102)=2025,MONTH(B1102)=4,OR(ISNUMBER(SEARCH("EXCHANGE RATE",C1102)),ISNUMBER(SEARCH("EXCHG RTE",C1102)))),"Personal Travel - Italy",IFERROR(INDEX('Category Rules'!$B$2:$B$358,MATCH(TRUE,ISNUMBER(SEARCH('Category Rules'!$A$2:$A$358,C1102)),0)),""))))))))</f>
        <v>Personal - Clothing</v>
      </c>
    </row>
    <row r="1103" spans="1:7" x14ac:dyDescent="0.25">
      <c r="A1103" t="s">
        <v>6</v>
      </c>
      <c r="B1103" s="1">
        <v>45868</v>
      </c>
      <c r="C1103" t="s">
        <v>1029</v>
      </c>
      <c r="D1103">
        <v>-36.51</v>
      </c>
      <c r="E1103" t="s">
        <v>10</v>
      </c>
      <c r="F1103">
        <v>14487.33</v>
      </c>
      <c r="G1103" t="str" cm="1">
        <f t="array" ref="G1103">IF(AND(ISNUMBER(SEARCH("UBER",C1103)),ISNUMBER(SEARCH("EATS",C1103))),"Uber Eats",IF(LEFT(C1103,6)="CHECK ","Checks Paid",IF(OR(E1103="BILLPAY",ISNUMBER(SEARCH("FRANCHISE TAX",C1103)),ISNUMBER(SEARCH("NEXTLINK",C1103))),"Personal - House Bills",IF(AND(ISNUMBER(SEARCH("PAYMENT FROM",C1103)),ISNUMBER(SEARCH("JOE SAUNDERS",C1103))),"Zelle from Joe Saunders",IF(AND(ISNUMBER(SEARCH("PAYMENT TO",C1103)),ISNUMBER(SEARCH("JOE SAUNDERS",C1103))),"Zelle to Joe Saunders",IF(OR(ISNUMBER(SEARCH("NEW ORLEANS",C1103)),ISNUMBER(SEARCH("KENNER",C1103)),ISNUMBER(SEARCH("HENRY HOWARD",C1103)),ISNUMBER(SEARCH("MISS CLAUDIA",C1103))),"Personal Travel - New Orleans",IF(AND(YEAR(B1103)=2025,MONTH(B1103)=4,OR(ISNUMBER(SEARCH("EXCHANGE RATE",C1103)),ISNUMBER(SEARCH("EXCHG RTE",C1103)))),"Personal Travel - Italy",IFERROR(INDEX('Category Rules'!$B$2:$B$358,MATCH(TRUE,ISNUMBER(SEARCH('Category Rules'!$A$2:$A$358,C1103)),0)),""))))))))</f>
        <v>Personal - Food</v>
      </c>
    </row>
    <row r="1104" spans="1:7" x14ac:dyDescent="0.25">
      <c r="A1104" t="s">
        <v>6</v>
      </c>
      <c r="B1104" s="1">
        <v>45868</v>
      </c>
      <c r="C1104" t="s">
        <v>1030</v>
      </c>
      <c r="D1104">
        <v>-2</v>
      </c>
      <c r="E1104" t="s">
        <v>10</v>
      </c>
      <c r="F1104">
        <v>14523.84</v>
      </c>
      <c r="G1104" t="str" cm="1">
        <f t="array" ref="G1104">IF(AND(ISNUMBER(SEARCH("UBER",C1104)),ISNUMBER(SEARCH("EATS",C1104))),"Uber Eats",IF(LEFT(C1104,6)="CHECK ","Checks Paid",IF(OR(E1104="BILLPAY",ISNUMBER(SEARCH("FRANCHISE TAX",C1104)),ISNUMBER(SEARCH("NEXTLINK",C1104))),"Personal - House Bills",IF(AND(ISNUMBER(SEARCH("PAYMENT FROM",C1104)),ISNUMBER(SEARCH("JOE SAUNDERS",C1104))),"Zelle from Joe Saunders",IF(AND(ISNUMBER(SEARCH("PAYMENT TO",C1104)),ISNUMBER(SEARCH("JOE SAUNDERS",C1104))),"Zelle to Joe Saunders",IF(OR(ISNUMBER(SEARCH("NEW ORLEANS",C1104)),ISNUMBER(SEARCH("KENNER",C1104)),ISNUMBER(SEARCH("HENRY HOWARD",C1104)),ISNUMBER(SEARCH("MISS CLAUDIA",C1104))),"Personal Travel - New Orleans",IF(AND(YEAR(B1104)=2025,MONTH(B1104)=4,OR(ISNUMBER(SEARCH("EXCHANGE RATE",C1104)),ISNUMBER(SEARCH("EXCHG RTE",C1104)))),"Personal Travel - Italy",IFERROR(INDEX('Category Rules'!$B$2:$B$358,MATCH(TRUE,ISNUMBER(SEARCH('Category Rules'!$A$2:$A$358,C1104)),0)),""))))))))</f>
        <v>Personal Travel</v>
      </c>
    </row>
    <row r="1105" spans="1:7" x14ac:dyDescent="0.25">
      <c r="A1105" t="s">
        <v>6</v>
      </c>
      <c r="B1105" s="1">
        <v>45868</v>
      </c>
      <c r="C1105" t="s">
        <v>1031</v>
      </c>
      <c r="D1105">
        <v>-136.26</v>
      </c>
      <c r="E1105" t="s">
        <v>10</v>
      </c>
      <c r="F1105">
        <v>14525.84</v>
      </c>
      <c r="G1105" t="str" cm="1">
        <f t="array" ref="G1105">IF(AND(ISNUMBER(SEARCH("UBER",C1105)),ISNUMBER(SEARCH("EATS",C1105))),"Uber Eats",IF(LEFT(C1105,6)="CHECK ","Checks Paid",IF(OR(E1105="BILLPAY",ISNUMBER(SEARCH("FRANCHISE TAX",C1105)),ISNUMBER(SEARCH("NEXTLINK",C1105))),"Personal - House Bills",IF(AND(ISNUMBER(SEARCH("PAYMENT FROM",C1105)),ISNUMBER(SEARCH("JOE SAUNDERS",C1105))),"Zelle from Joe Saunders",IF(AND(ISNUMBER(SEARCH("PAYMENT TO",C1105)),ISNUMBER(SEARCH("JOE SAUNDERS",C1105))),"Zelle to Joe Saunders",IF(OR(ISNUMBER(SEARCH("NEW ORLEANS",C1105)),ISNUMBER(SEARCH("KENNER",C1105)),ISNUMBER(SEARCH("HENRY HOWARD",C1105)),ISNUMBER(SEARCH("MISS CLAUDIA",C1105))),"Personal Travel - New Orleans",IF(AND(YEAR(B1105)=2025,MONTH(B1105)=4,OR(ISNUMBER(SEARCH("EXCHANGE RATE",C1105)),ISNUMBER(SEARCH("EXCHG RTE",C1105)))),"Personal Travel - Italy",IFERROR(INDEX('Category Rules'!$B$2:$B$358,MATCH(TRUE,ISNUMBER(SEARCH('Category Rules'!$A$2:$A$358,C1105)),0)),""))))))))</f>
        <v>Palm Springs</v>
      </c>
    </row>
    <row r="1106" spans="1:7" x14ac:dyDescent="0.25">
      <c r="A1106" t="s">
        <v>6</v>
      </c>
      <c r="B1106" s="1">
        <v>45868</v>
      </c>
      <c r="C1106" t="s">
        <v>1032</v>
      </c>
      <c r="D1106">
        <v>-107.81</v>
      </c>
      <c r="E1106" t="s">
        <v>10</v>
      </c>
      <c r="F1106">
        <v>14662.1</v>
      </c>
      <c r="G1106" t="str" cm="1">
        <f t="array" ref="G1106">IF(AND(ISNUMBER(SEARCH("UBER",C1106)),ISNUMBER(SEARCH("EATS",C1106))),"Uber Eats",IF(LEFT(C1106,6)="CHECK ","Checks Paid",IF(OR(E1106="BILLPAY",ISNUMBER(SEARCH("FRANCHISE TAX",C1106)),ISNUMBER(SEARCH("NEXTLINK",C1106))),"Personal - House Bills",IF(AND(ISNUMBER(SEARCH("PAYMENT FROM",C1106)),ISNUMBER(SEARCH("JOE SAUNDERS",C1106))),"Zelle from Joe Saunders",IF(AND(ISNUMBER(SEARCH("PAYMENT TO",C1106)),ISNUMBER(SEARCH("JOE SAUNDERS",C1106))),"Zelle to Joe Saunders",IF(OR(ISNUMBER(SEARCH("NEW ORLEANS",C1106)),ISNUMBER(SEARCH("KENNER",C1106)),ISNUMBER(SEARCH("HENRY HOWARD",C1106)),ISNUMBER(SEARCH("MISS CLAUDIA",C1106))),"Personal Travel - New Orleans",IF(AND(YEAR(B1106)=2025,MONTH(B1106)=4,OR(ISNUMBER(SEARCH("EXCHANGE RATE",C1106)),ISNUMBER(SEARCH("EXCHG RTE",C1106)))),"Personal Travel - Italy",IFERROR(INDEX('Category Rules'!$B$2:$B$358,MATCH(TRUE,ISNUMBER(SEARCH('Category Rules'!$A$2:$A$358,C1106)),0)),""))))))))</f>
        <v>Amazon</v>
      </c>
    </row>
    <row r="1107" spans="1:7" x14ac:dyDescent="0.25">
      <c r="A1107" t="s">
        <v>44</v>
      </c>
      <c r="B1107" s="1">
        <v>45868</v>
      </c>
      <c r="C1107" t="s">
        <v>1033</v>
      </c>
      <c r="D1107">
        <v>10000</v>
      </c>
      <c r="E1107" t="s">
        <v>73</v>
      </c>
      <c r="F1107">
        <v>14769.91</v>
      </c>
      <c r="G1107" t="str" cm="1">
        <f t="array" ref="G1107">IF(AND(ISNUMBER(SEARCH("UBER",C1107)),ISNUMBER(SEARCH("EATS",C1107))),"Uber Eats",IF(LEFT(C1107,6)="CHECK ","Checks Paid",IF(OR(E1107="BILLPAY",ISNUMBER(SEARCH("FRANCHISE TAX",C1107)),ISNUMBER(SEARCH("NEXTLINK",C1107))),"Personal - House Bills",IF(AND(ISNUMBER(SEARCH("PAYMENT FROM",C1107)),ISNUMBER(SEARCH("JOE SAUNDERS",C1107))),"Zelle from Joe Saunders",IF(AND(ISNUMBER(SEARCH("PAYMENT TO",C1107)),ISNUMBER(SEARCH("JOE SAUNDERS",C1107))),"Zelle to Joe Saunders",IF(OR(ISNUMBER(SEARCH("NEW ORLEANS",C1107)),ISNUMBER(SEARCH("KENNER",C1107)),ISNUMBER(SEARCH("HENRY HOWARD",C1107)),ISNUMBER(SEARCH("MISS CLAUDIA",C1107))),"Personal Travel - New Orleans",IF(AND(YEAR(B1107)=2025,MONTH(B1107)=4,OR(ISNUMBER(SEARCH("EXCHANGE RATE",C1107)),ISNUMBER(SEARCH("EXCHG RTE",C1107)))),"Personal Travel - Italy",IFERROR(INDEX('Category Rules'!$B$2:$B$358,MATCH(TRUE,ISNUMBER(SEARCH('Category Rules'!$A$2:$A$358,C1107)),0)),""))))))))</f>
        <v>Transfer from DWG Capital Group</v>
      </c>
    </row>
    <row r="1108" spans="1:7" x14ac:dyDescent="0.25">
      <c r="A1108" t="s">
        <v>6</v>
      </c>
      <c r="B1108" s="1">
        <v>45867</v>
      </c>
      <c r="C1108" t="s">
        <v>1034</v>
      </c>
      <c r="D1108">
        <v>-30.5</v>
      </c>
      <c r="E1108" t="s">
        <v>10</v>
      </c>
      <c r="F1108">
        <v>4769.91</v>
      </c>
      <c r="G1108" t="str" cm="1">
        <f t="array" ref="G1108">IF(AND(ISNUMBER(SEARCH("UBER",C1108)),ISNUMBER(SEARCH("EATS",C1108))),"Uber Eats",IF(LEFT(C1108,6)="CHECK ","Checks Paid",IF(OR(E1108="BILLPAY",ISNUMBER(SEARCH("FRANCHISE TAX",C1108)),ISNUMBER(SEARCH("NEXTLINK",C1108))),"Personal - House Bills",IF(AND(ISNUMBER(SEARCH("PAYMENT FROM",C1108)),ISNUMBER(SEARCH("JOE SAUNDERS",C1108))),"Zelle from Joe Saunders",IF(AND(ISNUMBER(SEARCH("PAYMENT TO",C1108)),ISNUMBER(SEARCH("JOE SAUNDERS",C1108))),"Zelle to Joe Saunders",IF(OR(ISNUMBER(SEARCH("NEW ORLEANS",C1108)),ISNUMBER(SEARCH("KENNER",C1108)),ISNUMBER(SEARCH("HENRY HOWARD",C1108)),ISNUMBER(SEARCH("MISS CLAUDIA",C1108))),"Personal Travel - New Orleans",IF(AND(YEAR(B1108)=2025,MONTH(B1108)=4,OR(ISNUMBER(SEARCH("EXCHANGE RATE",C1108)),ISNUMBER(SEARCH("EXCHG RTE",C1108)))),"Personal Travel - Italy",IFERROR(INDEX('Category Rules'!$B$2:$B$358,MATCH(TRUE,ISNUMBER(SEARCH('Category Rules'!$A$2:$A$358,C1108)),0)),""))))))))</f>
        <v>Uber Eats</v>
      </c>
    </row>
    <row r="1109" spans="1:7" x14ac:dyDescent="0.25">
      <c r="A1109" t="s">
        <v>6</v>
      </c>
      <c r="B1109" s="1">
        <v>45867</v>
      </c>
      <c r="C1109" t="s">
        <v>1028</v>
      </c>
      <c r="D1109">
        <v>-162.27000000000001</v>
      </c>
      <c r="E1109" t="s">
        <v>10</v>
      </c>
      <c r="F1109">
        <v>4800.41</v>
      </c>
      <c r="G1109" t="str" cm="1">
        <f t="array" ref="G1109">IF(AND(ISNUMBER(SEARCH("UBER",C1109)),ISNUMBER(SEARCH("EATS",C1109))),"Uber Eats",IF(LEFT(C1109,6)="CHECK ","Checks Paid",IF(OR(E1109="BILLPAY",ISNUMBER(SEARCH("FRANCHISE TAX",C1109)),ISNUMBER(SEARCH("NEXTLINK",C1109))),"Personal - House Bills",IF(AND(ISNUMBER(SEARCH("PAYMENT FROM",C1109)),ISNUMBER(SEARCH("JOE SAUNDERS",C1109))),"Zelle from Joe Saunders",IF(AND(ISNUMBER(SEARCH("PAYMENT TO",C1109)),ISNUMBER(SEARCH("JOE SAUNDERS",C1109))),"Zelle to Joe Saunders",IF(OR(ISNUMBER(SEARCH("NEW ORLEANS",C1109)),ISNUMBER(SEARCH("KENNER",C1109)),ISNUMBER(SEARCH("HENRY HOWARD",C1109)),ISNUMBER(SEARCH("MISS CLAUDIA",C1109))),"Personal Travel - New Orleans",IF(AND(YEAR(B1109)=2025,MONTH(B1109)=4,OR(ISNUMBER(SEARCH("EXCHANGE RATE",C1109)),ISNUMBER(SEARCH("EXCHG RTE",C1109)))),"Personal Travel - Italy",IFERROR(INDEX('Category Rules'!$B$2:$B$358,MATCH(TRUE,ISNUMBER(SEARCH('Category Rules'!$A$2:$A$358,C1109)),0)),""))))))))</f>
        <v>Personal - Clothing</v>
      </c>
    </row>
    <row r="1110" spans="1:7" x14ac:dyDescent="0.25">
      <c r="A1110" t="s">
        <v>6</v>
      </c>
      <c r="B1110" s="1">
        <v>45867</v>
      </c>
      <c r="C1110" t="s">
        <v>1035</v>
      </c>
      <c r="D1110">
        <v>-36.1</v>
      </c>
      <c r="E1110" t="s">
        <v>10</v>
      </c>
      <c r="F1110">
        <v>4962.68</v>
      </c>
      <c r="G1110" t="str" cm="1">
        <f t="array" ref="G1110">IF(AND(ISNUMBER(SEARCH("UBER",C1110)),ISNUMBER(SEARCH("EATS",C1110))),"Uber Eats",IF(LEFT(C1110,6)="CHECK ","Checks Paid",IF(OR(E1110="BILLPAY",ISNUMBER(SEARCH("FRANCHISE TAX",C1110)),ISNUMBER(SEARCH("NEXTLINK",C1110))),"Personal - House Bills",IF(AND(ISNUMBER(SEARCH("PAYMENT FROM",C1110)),ISNUMBER(SEARCH("JOE SAUNDERS",C1110))),"Zelle from Joe Saunders",IF(AND(ISNUMBER(SEARCH("PAYMENT TO",C1110)),ISNUMBER(SEARCH("JOE SAUNDERS",C1110))),"Zelle to Joe Saunders",IF(OR(ISNUMBER(SEARCH("NEW ORLEANS",C1110)),ISNUMBER(SEARCH("KENNER",C1110)),ISNUMBER(SEARCH("HENRY HOWARD",C1110)),ISNUMBER(SEARCH("MISS CLAUDIA",C1110))),"Personal Travel - New Orleans",IF(AND(YEAR(B1110)=2025,MONTH(B1110)=4,OR(ISNUMBER(SEARCH("EXCHANGE RATE",C1110)),ISNUMBER(SEARCH("EXCHG RTE",C1110)))),"Personal Travel - Italy",IFERROR(INDEX('Category Rules'!$B$2:$B$358,MATCH(TRUE,ISNUMBER(SEARCH('Category Rules'!$A$2:$A$358,C1110)),0)),""))))))))</f>
        <v>Personal Travel</v>
      </c>
    </row>
    <row r="1111" spans="1:7" x14ac:dyDescent="0.25">
      <c r="A1111" t="s">
        <v>6</v>
      </c>
      <c r="B1111" s="1">
        <v>45867</v>
      </c>
      <c r="C1111" t="s">
        <v>1036</v>
      </c>
      <c r="D1111">
        <v>-21.89</v>
      </c>
      <c r="E1111" t="s">
        <v>10</v>
      </c>
      <c r="F1111">
        <v>4998.78</v>
      </c>
      <c r="G1111" t="str" cm="1">
        <f t="array" ref="G1111">IF(AND(ISNUMBER(SEARCH("UBER",C1111)),ISNUMBER(SEARCH("EATS",C1111))),"Uber Eats",IF(LEFT(C1111,6)="CHECK ","Checks Paid",IF(OR(E1111="BILLPAY",ISNUMBER(SEARCH("FRANCHISE TAX",C1111)),ISNUMBER(SEARCH("NEXTLINK",C1111))),"Personal - House Bills",IF(AND(ISNUMBER(SEARCH("PAYMENT FROM",C1111)),ISNUMBER(SEARCH("JOE SAUNDERS",C1111))),"Zelle from Joe Saunders",IF(AND(ISNUMBER(SEARCH("PAYMENT TO",C1111)),ISNUMBER(SEARCH("JOE SAUNDERS",C1111))),"Zelle to Joe Saunders",IF(OR(ISNUMBER(SEARCH("NEW ORLEANS",C1111)),ISNUMBER(SEARCH("KENNER",C1111)),ISNUMBER(SEARCH("HENRY HOWARD",C1111)),ISNUMBER(SEARCH("MISS CLAUDIA",C1111))),"Personal Travel - New Orleans",IF(AND(YEAR(B1111)=2025,MONTH(B1111)=4,OR(ISNUMBER(SEARCH("EXCHANGE RATE",C1111)),ISNUMBER(SEARCH("EXCHG RTE",C1111)))),"Personal Travel - Italy",IFERROR(INDEX('Category Rules'!$B$2:$B$358,MATCH(TRUE,ISNUMBER(SEARCH('Category Rules'!$A$2:$A$358,C1111)),0)),""))))))))</f>
        <v>Amazon</v>
      </c>
    </row>
    <row r="1112" spans="1:7" x14ac:dyDescent="0.25">
      <c r="A1112" t="s">
        <v>6</v>
      </c>
      <c r="B1112" s="1">
        <v>45867</v>
      </c>
      <c r="C1112" t="s">
        <v>1037</v>
      </c>
      <c r="D1112">
        <v>-5.49</v>
      </c>
      <c r="E1112" t="s">
        <v>10</v>
      </c>
      <c r="F1112">
        <v>5020.67</v>
      </c>
      <c r="G1112" t="str" cm="1">
        <f t="array" ref="G1112">IF(AND(ISNUMBER(SEARCH("UBER",C1112)),ISNUMBER(SEARCH("EATS",C1112))),"Uber Eats",IF(LEFT(C1112,6)="CHECK ","Checks Paid",IF(OR(E1112="BILLPAY",ISNUMBER(SEARCH("FRANCHISE TAX",C1112)),ISNUMBER(SEARCH("NEXTLINK",C1112))),"Personal - House Bills",IF(AND(ISNUMBER(SEARCH("PAYMENT FROM",C1112)),ISNUMBER(SEARCH("JOE SAUNDERS",C1112))),"Zelle from Joe Saunders",IF(AND(ISNUMBER(SEARCH("PAYMENT TO",C1112)),ISNUMBER(SEARCH("JOE SAUNDERS",C1112))),"Zelle to Joe Saunders",IF(OR(ISNUMBER(SEARCH("NEW ORLEANS",C1112)),ISNUMBER(SEARCH("KENNER",C1112)),ISNUMBER(SEARCH("HENRY HOWARD",C1112)),ISNUMBER(SEARCH("MISS CLAUDIA",C1112))),"Personal Travel - New Orleans",IF(AND(YEAR(B1112)=2025,MONTH(B1112)=4,OR(ISNUMBER(SEARCH("EXCHANGE RATE",C1112)),ISNUMBER(SEARCH("EXCHG RTE",C1112)))),"Personal Travel - Italy",IFERROR(INDEX('Category Rules'!$B$2:$B$358,MATCH(TRUE,ISNUMBER(SEARCH('Category Rules'!$A$2:$A$358,C1112)),0)),""))))))))</f>
        <v>Personal - Health</v>
      </c>
    </row>
    <row r="1113" spans="1:7" x14ac:dyDescent="0.25">
      <c r="A1113" t="s">
        <v>6</v>
      </c>
      <c r="B1113" s="1">
        <v>45867</v>
      </c>
      <c r="C1113" t="s">
        <v>1038</v>
      </c>
      <c r="D1113">
        <v>-53.36</v>
      </c>
      <c r="E1113" t="s">
        <v>10</v>
      </c>
      <c r="F1113">
        <v>5026.16</v>
      </c>
      <c r="G1113" t="str" cm="1">
        <f t="array" ref="G1113">IF(AND(ISNUMBER(SEARCH("UBER",C1113)),ISNUMBER(SEARCH("EATS",C1113))),"Uber Eats",IF(LEFT(C1113,6)="CHECK ","Checks Paid",IF(OR(E1113="BILLPAY",ISNUMBER(SEARCH("FRANCHISE TAX",C1113)),ISNUMBER(SEARCH("NEXTLINK",C1113))),"Personal - House Bills",IF(AND(ISNUMBER(SEARCH("PAYMENT FROM",C1113)),ISNUMBER(SEARCH("JOE SAUNDERS",C1113))),"Zelle from Joe Saunders",IF(AND(ISNUMBER(SEARCH("PAYMENT TO",C1113)),ISNUMBER(SEARCH("JOE SAUNDERS",C1113))),"Zelle to Joe Saunders",IF(OR(ISNUMBER(SEARCH("NEW ORLEANS",C1113)),ISNUMBER(SEARCH("KENNER",C1113)),ISNUMBER(SEARCH("HENRY HOWARD",C1113)),ISNUMBER(SEARCH("MISS CLAUDIA",C1113))),"Personal Travel - New Orleans",IF(AND(YEAR(B1113)=2025,MONTH(B1113)=4,OR(ISNUMBER(SEARCH("EXCHANGE RATE",C1113)),ISNUMBER(SEARCH("EXCHG RTE",C1113)))),"Personal Travel - Italy",IFERROR(INDEX('Category Rules'!$B$2:$B$358,MATCH(TRUE,ISNUMBER(SEARCH('Category Rules'!$A$2:$A$358,C1113)),0)),""))))))))</f>
        <v>Amazon</v>
      </c>
    </row>
    <row r="1114" spans="1:7" x14ac:dyDescent="0.25">
      <c r="A1114" t="s">
        <v>6</v>
      </c>
      <c r="B1114" s="1">
        <v>45867</v>
      </c>
      <c r="C1114" t="s">
        <v>1039</v>
      </c>
      <c r="D1114">
        <v>-50.15</v>
      </c>
      <c r="E1114" t="s">
        <v>10</v>
      </c>
      <c r="F1114">
        <v>5079.5200000000004</v>
      </c>
      <c r="G1114" t="str" cm="1">
        <f t="array" ref="G1114">IF(AND(ISNUMBER(SEARCH("UBER",C1114)),ISNUMBER(SEARCH("EATS",C1114))),"Uber Eats",IF(LEFT(C1114,6)="CHECK ","Checks Paid",IF(OR(E1114="BILLPAY",ISNUMBER(SEARCH("FRANCHISE TAX",C1114)),ISNUMBER(SEARCH("NEXTLINK",C1114))),"Personal - House Bills",IF(AND(ISNUMBER(SEARCH("PAYMENT FROM",C1114)),ISNUMBER(SEARCH("JOE SAUNDERS",C1114))),"Zelle from Joe Saunders",IF(AND(ISNUMBER(SEARCH("PAYMENT TO",C1114)),ISNUMBER(SEARCH("JOE SAUNDERS",C1114))),"Zelle to Joe Saunders",IF(OR(ISNUMBER(SEARCH("NEW ORLEANS",C1114)),ISNUMBER(SEARCH("KENNER",C1114)),ISNUMBER(SEARCH("HENRY HOWARD",C1114)),ISNUMBER(SEARCH("MISS CLAUDIA",C1114))),"Personal Travel - New Orleans",IF(AND(YEAR(B1114)=2025,MONTH(B1114)=4,OR(ISNUMBER(SEARCH("EXCHANGE RATE",C1114)),ISNUMBER(SEARCH("EXCHG RTE",C1114)))),"Personal Travel - Italy",IFERROR(INDEX('Category Rules'!$B$2:$B$358,MATCH(TRUE,ISNUMBER(SEARCH('Category Rules'!$A$2:$A$358,C1114)),0)),""))))))))</f>
        <v>Amazon</v>
      </c>
    </row>
    <row r="1115" spans="1:7" x14ac:dyDescent="0.25">
      <c r="A1115" t="s">
        <v>6</v>
      </c>
      <c r="B1115" s="1">
        <v>45866</v>
      </c>
      <c r="C1115" t="s">
        <v>1040</v>
      </c>
      <c r="D1115">
        <v>-134.69</v>
      </c>
      <c r="E1115" t="s">
        <v>10</v>
      </c>
      <c r="F1115">
        <v>5129.67</v>
      </c>
      <c r="G1115" t="str" cm="1">
        <f t="array" ref="G1115">IF(AND(ISNUMBER(SEARCH("UBER",C1115)),ISNUMBER(SEARCH("EATS",C1115))),"Uber Eats",IF(LEFT(C1115,6)="CHECK ","Checks Paid",IF(OR(E1115="BILLPAY",ISNUMBER(SEARCH("FRANCHISE TAX",C1115)),ISNUMBER(SEARCH("NEXTLINK",C1115))),"Personal - House Bills",IF(AND(ISNUMBER(SEARCH("PAYMENT FROM",C1115)),ISNUMBER(SEARCH("JOE SAUNDERS",C1115))),"Zelle from Joe Saunders",IF(AND(ISNUMBER(SEARCH("PAYMENT TO",C1115)),ISNUMBER(SEARCH("JOE SAUNDERS",C1115))),"Zelle to Joe Saunders",IF(OR(ISNUMBER(SEARCH("NEW ORLEANS",C1115)),ISNUMBER(SEARCH("KENNER",C1115)),ISNUMBER(SEARCH("HENRY HOWARD",C1115)),ISNUMBER(SEARCH("MISS CLAUDIA",C1115))),"Personal Travel - New Orleans",IF(AND(YEAR(B1115)=2025,MONTH(B1115)=4,OR(ISNUMBER(SEARCH("EXCHANGE RATE",C1115)),ISNUMBER(SEARCH("EXCHG RTE",C1115)))),"Personal Travel - Italy",IFERROR(INDEX('Category Rules'!$B$2:$B$358,MATCH(TRUE,ISNUMBER(SEARCH('Category Rules'!$A$2:$A$358,C1115)),0)),""))))))))</f>
        <v>Personal - Food</v>
      </c>
    </row>
    <row r="1116" spans="1:7" x14ac:dyDescent="0.25">
      <c r="A1116" t="s">
        <v>6</v>
      </c>
      <c r="B1116" s="1">
        <v>45866</v>
      </c>
      <c r="C1116" t="s">
        <v>1041</v>
      </c>
      <c r="D1116">
        <v>-5.99</v>
      </c>
      <c r="E1116" t="s">
        <v>10</v>
      </c>
      <c r="F1116">
        <v>5264.36</v>
      </c>
      <c r="G1116" t="str" cm="1">
        <f t="array" ref="G1116">IF(AND(ISNUMBER(SEARCH("UBER",C1116)),ISNUMBER(SEARCH("EATS",C1116))),"Uber Eats",IF(LEFT(C1116,6)="CHECK ","Checks Paid",IF(OR(E1116="BILLPAY",ISNUMBER(SEARCH("FRANCHISE TAX",C1116)),ISNUMBER(SEARCH("NEXTLINK",C1116))),"Personal - House Bills",IF(AND(ISNUMBER(SEARCH("PAYMENT FROM",C1116)),ISNUMBER(SEARCH("JOE SAUNDERS",C1116))),"Zelle from Joe Saunders",IF(AND(ISNUMBER(SEARCH("PAYMENT TO",C1116)),ISNUMBER(SEARCH("JOE SAUNDERS",C1116))),"Zelle to Joe Saunders",IF(OR(ISNUMBER(SEARCH("NEW ORLEANS",C1116)),ISNUMBER(SEARCH("KENNER",C1116)),ISNUMBER(SEARCH("HENRY HOWARD",C1116)),ISNUMBER(SEARCH("MISS CLAUDIA",C1116))),"Personal Travel - New Orleans",IF(AND(YEAR(B1116)=2025,MONTH(B1116)=4,OR(ISNUMBER(SEARCH("EXCHANGE RATE",C1116)),ISNUMBER(SEARCH("EXCHG RTE",C1116)))),"Personal Travel - Italy",IFERROR(INDEX('Category Rules'!$B$2:$B$358,MATCH(TRUE,ISNUMBER(SEARCH('Category Rules'!$A$2:$A$358,C1116)),0)),""))))))))</f>
        <v>Apple</v>
      </c>
    </row>
    <row r="1117" spans="1:7" x14ac:dyDescent="0.25">
      <c r="A1117" t="s">
        <v>6</v>
      </c>
      <c r="B1117" s="1">
        <v>45866</v>
      </c>
      <c r="C1117" t="s">
        <v>1042</v>
      </c>
      <c r="D1117">
        <v>-36.69</v>
      </c>
      <c r="E1117" t="s">
        <v>10</v>
      </c>
      <c r="F1117">
        <v>5270.35</v>
      </c>
      <c r="G1117" t="str" cm="1">
        <f t="array" ref="G1117">IF(AND(ISNUMBER(SEARCH("UBER",C1117)),ISNUMBER(SEARCH("EATS",C1117))),"Uber Eats",IF(LEFT(C1117,6)="CHECK ","Checks Paid",IF(OR(E1117="BILLPAY",ISNUMBER(SEARCH("FRANCHISE TAX",C1117)),ISNUMBER(SEARCH("NEXTLINK",C1117))),"Personal - House Bills",IF(AND(ISNUMBER(SEARCH("PAYMENT FROM",C1117)),ISNUMBER(SEARCH("JOE SAUNDERS",C1117))),"Zelle from Joe Saunders",IF(AND(ISNUMBER(SEARCH("PAYMENT TO",C1117)),ISNUMBER(SEARCH("JOE SAUNDERS",C1117))),"Zelle to Joe Saunders",IF(OR(ISNUMBER(SEARCH("NEW ORLEANS",C1117)),ISNUMBER(SEARCH("KENNER",C1117)),ISNUMBER(SEARCH("HENRY HOWARD",C1117)),ISNUMBER(SEARCH("MISS CLAUDIA",C1117))),"Personal Travel - New Orleans",IF(AND(YEAR(B1117)=2025,MONTH(B1117)=4,OR(ISNUMBER(SEARCH("EXCHANGE RATE",C1117)),ISNUMBER(SEARCH("EXCHG RTE",C1117)))),"Personal Travel - Italy",IFERROR(INDEX('Category Rules'!$B$2:$B$358,MATCH(TRUE,ISNUMBER(SEARCH('Category Rules'!$A$2:$A$358,C1117)),0)),""))))))))</f>
        <v>Amazon</v>
      </c>
    </row>
    <row r="1118" spans="1:7" x14ac:dyDescent="0.25">
      <c r="A1118" t="s">
        <v>6</v>
      </c>
      <c r="B1118" s="1">
        <v>45866</v>
      </c>
      <c r="C1118" t="s">
        <v>1043</v>
      </c>
      <c r="D1118">
        <v>-12.05</v>
      </c>
      <c r="E1118" t="s">
        <v>10</v>
      </c>
      <c r="F1118">
        <v>5307.04</v>
      </c>
      <c r="G1118" t="str" cm="1">
        <f t="array" ref="G1118">IF(AND(ISNUMBER(SEARCH("UBER",C1118)),ISNUMBER(SEARCH("EATS",C1118))),"Uber Eats",IF(LEFT(C1118,6)="CHECK ","Checks Paid",IF(OR(E1118="BILLPAY",ISNUMBER(SEARCH("FRANCHISE TAX",C1118)),ISNUMBER(SEARCH("NEXTLINK",C1118))),"Personal - House Bills",IF(AND(ISNUMBER(SEARCH("PAYMENT FROM",C1118)),ISNUMBER(SEARCH("JOE SAUNDERS",C1118))),"Zelle from Joe Saunders",IF(AND(ISNUMBER(SEARCH("PAYMENT TO",C1118)),ISNUMBER(SEARCH("JOE SAUNDERS",C1118))),"Zelle to Joe Saunders",IF(OR(ISNUMBER(SEARCH("NEW ORLEANS",C1118)),ISNUMBER(SEARCH("KENNER",C1118)),ISNUMBER(SEARCH("HENRY HOWARD",C1118)),ISNUMBER(SEARCH("MISS CLAUDIA",C1118))),"Personal Travel - New Orleans",IF(AND(YEAR(B1118)=2025,MONTH(B1118)=4,OR(ISNUMBER(SEARCH("EXCHANGE RATE",C1118)),ISNUMBER(SEARCH("EXCHG RTE",C1118)))),"Personal Travel - Italy",IFERROR(INDEX('Category Rules'!$B$2:$B$358,MATCH(TRUE,ISNUMBER(SEARCH('Category Rules'!$A$2:$A$358,C1118)),0)),""))))))))</f>
        <v>Amazon</v>
      </c>
    </row>
    <row r="1119" spans="1:7" x14ac:dyDescent="0.25">
      <c r="A1119" t="s">
        <v>6</v>
      </c>
      <c r="B1119" s="1">
        <v>45866</v>
      </c>
      <c r="C1119" t="s">
        <v>1044</v>
      </c>
      <c r="D1119">
        <v>-23.53</v>
      </c>
      <c r="E1119" t="s">
        <v>10</v>
      </c>
      <c r="F1119">
        <v>5319.09</v>
      </c>
      <c r="G1119" t="str" cm="1">
        <f t="array" ref="G1119">IF(AND(ISNUMBER(SEARCH("UBER",C1119)),ISNUMBER(SEARCH("EATS",C1119))),"Uber Eats",IF(LEFT(C1119,6)="CHECK ","Checks Paid",IF(OR(E1119="BILLPAY",ISNUMBER(SEARCH("FRANCHISE TAX",C1119)),ISNUMBER(SEARCH("NEXTLINK",C1119))),"Personal - House Bills",IF(AND(ISNUMBER(SEARCH("PAYMENT FROM",C1119)),ISNUMBER(SEARCH("JOE SAUNDERS",C1119))),"Zelle from Joe Saunders",IF(AND(ISNUMBER(SEARCH("PAYMENT TO",C1119)),ISNUMBER(SEARCH("JOE SAUNDERS",C1119))),"Zelle to Joe Saunders",IF(OR(ISNUMBER(SEARCH("NEW ORLEANS",C1119)),ISNUMBER(SEARCH("KENNER",C1119)),ISNUMBER(SEARCH("HENRY HOWARD",C1119)),ISNUMBER(SEARCH("MISS CLAUDIA",C1119))),"Personal Travel - New Orleans",IF(AND(YEAR(B1119)=2025,MONTH(B1119)=4,OR(ISNUMBER(SEARCH("EXCHANGE RATE",C1119)),ISNUMBER(SEARCH("EXCHG RTE",C1119)))),"Personal Travel - Italy",IFERROR(INDEX('Category Rules'!$B$2:$B$358,MATCH(TRUE,ISNUMBER(SEARCH('Category Rules'!$A$2:$A$358,C1119)),0)),""))))))))</f>
        <v>Personal - Entertainment</v>
      </c>
    </row>
    <row r="1120" spans="1:7" x14ac:dyDescent="0.25">
      <c r="A1120" t="s">
        <v>6</v>
      </c>
      <c r="B1120" s="1">
        <v>45866</v>
      </c>
      <c r="C1120" t="s">
        <v>1045</v>
      </c>
      <c r="D1120">
        <v>-0.25</v>
      </c>
      <c r="E1120" t="s">
        <v>10</v>
      </c>
      <c r="F1120">
        <v>5342.62</v>
      </c>
      <c r="G1120" t="str" cm="1">
        <f t="array" ref="G1120">IF(AND(ISNUMBER(SEARCH("UBER",C1120)),ISNUMBER(SEARCH("EATS",C1120))),"Uber Eats",IF(LEFT(C1120,6)="CHECK ","Checks Paid",IF(OR(E1120="BILLPAY",ISNUMBER(SEARCH("FRANCHISE TAX",C1120)),ISNUMBER(SEARCH("NEXTLINK",C1120))),"Personal - House Bills",IF(AND(ISNUMBER(SEARCH("PAYMENT FROM",C1120)),ISNUMBER(SEARCH("JOE SAUNDERS",C1120))),"Zelle from Joe Saunders",IF(AND(ISNUMBER(SEARCH("PAYMENT TO",C1120)),ISNUMBER(SEARCH("JOE SAUNDERS",C1120))),"Zelle to Joe Saunders",IF(OR(ISNUMBER(SEARCH("NEW ORLEANS",C1120)),ISNUMBER(SEARCH("KENNER",C1120)),ISNUMBER(SEARCH("HENRY HOWARD",C1120)),ISNUMBER(SEARCH("MISS CLAUDIA",C1120))),"Personal Travel - New Orleans",IF(AND(YEAR(B1120)=2025,MONTH(B1120)=4,OR(ISNUMBER(SEARCH("EXCHANGE RATE",C1120)),ISNUMBER(SEARCH("EXCHG RTE",C1120)))),"Personal Travel - Italy",IFERROR(INDEX('Category Rules'!$B$2:$B$358,MATCH(TRUE,ISNUMBER(SEARCH('Category Rules'!$A$2:$A$358,C1120)),0)),""))))))))</f>
        <v>Personal - Car</v>
      </c>
    </row>
    <row r="1121" spans="1:7" x14ac:dyDescent="0.25">
      <c r="A1121" t="s">
        <v>6</v>
      </c>
      <c r="B1121" s="1">
        <v>45866</v>
      </c>
      <c r="C1121" t="s">
        <v>1046</v>
      </c>
      <c r="D1121">
        <v>-153.18</v>
      </c>
      <c r="E1121" t="s">
        <v>10</v>
      </c>
      <c r="F1121">
        <v>5342.87</v>
      </c>
      <c r="G1121" t="str" cm="1">
        <f t="array" ref="G1121">IF(AND(ISNUMBER(SEARCH("UBER",C1121)),ISNUMBER(SEARCH("EATS",C1121))),"Uber Eats",IF(LEFT(C1121,6)="CHECK ","Checks Paid",IF(OR(E1121="BILLPAY",ISNUMBER(SEARCH("FRANCHISE TAX",C1121)),ISNUMBER(SEARCH("NEXTLINK",C1121))),"Personal - House Bills",IF(AND(ISNUMBER(SEARCH("PAYMENT FROM",C1121)),ISNUMBER(SEARCH("JOE SAUNDERS",C1121))),"Zelle from Joe Saunders",IF(AND(ISNUMBER(SEARCH("PAYMENT TO",C1121)),ISNUMBER(SEARCH("JOE SAUNDERS",C1121))),"Zelle to Joe Saunders",IF(OR(ISNUMBER(SEARCH("NEW ORLEANS",C1121)),ISNUMBER(SEARCH("KENNER",C1121)),ISNUMBER(SEARCH("HENRY HOWARD",C1121)),ISNUMBER(SEARCH("MISS CLAUDIA",C1121))),"Personal Travel - New Orleans",IF(AND(YEAR(B1121)=2025,MONTH(B1121)=4,OR(ISNUMBER(SEARCH("EXCHANGE RATE",C1121)),ISNUMBER(SEARCH("EXCHG RTE",C1121)))),"Personal Travel - Italy",IFERROR(INDEX('Category Rules'!$B$2:$B$358,MATCH(TRUE,ISNUMBER(SEARCH('Category Rules'!$A$2:$A$358,C1121)),0)),""))))))))</f>
        <v>Personal - Food</v>
      </c>
    </row>
    <row r="1122" spans="1:7" x14ac:dyDescent="0.25">
      <c r="A1122" t="s">
        <v>6</v>
      </c>
      <c r="B1122" s="1">
        <v>45866</v>
      </c>
      <c r="C1122" t="s">
        <v>1047</v>
      </c>
      <c r="D1122">
        <v>-5.99</v>
      </c>
      <c r="E1122" t="s">
        <v>10</v>
      </c>
      <c r="F1122">
        <v>5496.05</v>
      </c>
      <c r="G1122" t="str" cm="1">
        <f t="array" ref="G1122">IF(AND(ISNUMBER(SEARCH("UBER",C1122)),ISNUMBER(SEARCH("EATS",C1122))),"Uber Eats",IF(LEFT(C1122,6)="CHECK ","Checks Paid",IF(OR(E1122="BILLPAY",ISNUMBER(SEARCH("FRANCHISE TAX",C1122)),ISNUMBER(SEARCH("NEXTLINK",C1122))),"Personal - House Bills",IF(AND(ISNUMBER(SEARCH("PAYMENT FROM",C1122)),ISNUMBER(SEARCH("JOE SAUNDERS",C1122))),"Zelle from Joe Saunders",IF(AND(ISNUMBER(SEARCH("PAYMENT TO",C1122)),ISNUMBER(SEARCH("JOE SAUNDERS",C1122))),"Zelle to Joe Saunders",IF(OR(ISNUMBER(SEARCH("NEW ORLEANS",C1122)),ISNUMBER(SEARCH("KENNER",C1122)),ISNUMBER(SEARCH("HENRY HOWARD",C1122)),ISNUMBER(SEARCH("MISS CLAUDIA",C1122))),"Personal Travel - New Orleans",IF(AND(YEAR(B1122)=2025,MONTH(B1122)=4,OR(ISNUMBER(SEARCH("EXCHANGE RATE",C1122)),ISNUMBER(SEARCH("EXCHG RTE",C1122)))),"Personal Travel - Italy",IFERROR(INDEX('Category Rules'!$B$2:$B$358,MATCH(TRUE,ISNUMBER(SEARCH('Category Rules'!$A$2:$A$358,C1122)),0)),""))))))))</f>
        <v>Personal - Subscription</v>
      </c>
    </row>
    <row r="1123" spans="1:7" x14ac:dyDescent="0.25">
      <c r="A1123" t="s">
        <v>6</v>
      </c>
      <c r="B1123" s="1">
        <v>45866</v>
      </c>
      <c r="C1123" t="s">
        <v>1048</v>
      </c>
      <c r="D1123">
        <v>-6.99</v>
      </c>
      <c r="E1123" t="s">
        <v>10</v>
      </c>
      <c r="F1123">
        <v>5502.04</v>
      </c>
      <c r="G1123" t="str" cm="1">
        <f t="array" ref="G1123">IF(AND(ISNUMBER(SEARCH("UBER",C1123)),ISNUMBER(SEARCH("EATS",C1123))),"Uber Eats",IF(LEFT(C1123,6)="CHECK ","Checks Paid",IF(OR(E1123="BILLPAY",ISNUMBER(SEARCH("FRANCHISE TAX",C1123)),ISNUMBER(SEARCH("NEXTLINK",C1123))),"Personal - House Bills",IF(AND(ISNUMBER(SEARCH("PAYMENT FROM",C1123)),ISNUMBER(SEARCH("JOE SAUNDERS",C1123))),"Zelle from Joe Saunders",IF(AND(ISNUMBER(SEARCH("PAYMENT TO",C1123)),ISNUMBER(SEARCH("JOE SAUNDERS",C1123))),"Zelle to Joe Saunders",IF(OR(ISNUMBER(SEARCH("NEW ORLEANS",C1123)),ISNUMBER(SEARCH("KENNER",C1123)),ISNUMBER(SEARCH("HENRY HOWARD",C1123)),ISNUMBER(SEARCH("MISS CLAUDIA",C1123))),"Personal Travel - New Orleans",IF(AND(YEAR(B1123)=2025,MONTH(B1123)=4,OR(ISNUMBER(SEARCH("EXCHANGE RATE",C1123)),ISNUMBER(SEARCH("EXCHG RTE",C1123)))),"Personal Travel - Italy",IFERROR(INDEX('Category Rules'!$B$2:$B$358,MATCH(TRUE,ISNUMBER(SEARCH('Category Rules'!$A$2:$A$358,C1123)),0)),""))))))))</f>
        <v>Amazon</v>
      </c>
    </row>
    <row r="1124" spans="1:7" x14ac:dyDescent="0.25">
      <c r="A1124" t="s">
        <v>6</v>
      </c>
      <c r="B1124" s="1">
        <v>45866</v>
      </c>
      <c r="C1124" t="s">
        <v>1049</v>
      </c>
      <c r="D1124">
        <v>-73.760000000000005</v>
      </c>
      <c r="E1124" t="s">
        <v>10</v>
      </c>
      <c r="F1124">
        <v>5509.03</v>
      </c>
      <c r="G1124" t="str" cm="1">
        <f t="array" ref="G1124">IF(AND(ISNUMBER(SEARCH("UBER",C1124)),ISNUMBER(SEARCH("EATS",C1124))),"Uber Eats",IF(LEFT(C1124,6)="CHECK ","Checks Paid",IF(OR(E1124="BILLPAY",ISNUMBER(SEARCH("FRANCHISE TAX",C1124)),ISNUMBER(SEARCH("NEXTLINK",C1124))),"Personal - House Bills",IF(AND(ISNUMBER(SEARCH("PAYMENT FROM",C1124)),ISNUMBER(SEARCH("JOE SAUNDERS",C1124))),"Zelle from Joe Saunders",IF(AND(ISNUMBER(SEARCH("PAYMENT TO",C1124)),ISNUMBER(SEARCH("JOE SAUNDERS",C1124))),"Zelle to Joe Saunders",IF(OR(ISNUMBER(SEARCH("NEW ORLEANS",C1124)),ISNUMBER(SEARCH("KENNER",C1124)),ISNUMBER(SEARCH("HENRY HOWARD",C1124)),ISNUMBER(SEARCH("MISS CLAUDIA",C1124))),"Personal Travel - New Orleans",IF(AND(YEAR(B1124)=2025,MONTH(B1124)=4,OR(ISNUMBER(SEARCH("EXCHANGE RATE",C1124)),ISNUMBER(SEARCH("EXCHG RTE",C1124)))),"Personal Travel - Italy",IFERROR(INDEX('Category Rules'!$B$2:$B$358,MATCH(TRUE,ISNUMBER(SEARCH('Category Rules'!$A$2:$A$358,C1124)),0)),""))))))))</f>
        <v>Personal - Entertainment</v>
      </c>
    </row>
    <row r="1125" spans="1:7" x14ac:dyDescent="0.25">
      <c r="A1125" t="s">
        <v>6</v>
      </c>
      <c r="B1125" s="1">
        <v>45866</v>
      </c>
      <c r="C1125" t="s">
        <v>1050</v>
      </c>
      <c r="D1125">
        <v>-25.2</v>
      </c>
      <c r="E1125" t="s">
        <v>10</v>
      </c>
      <c r="F1125">
        <v>5582.79</v>
      </c>
      <c r="G1125" t="str" cm="1">
        <f t="array" ref="G1125">IF(AND(ISNUMBER(SEARCH("UBER",C1125)),ISNUMBER(SEARCH("EATS",C1125))),"Uber Eats",IF(LEFT(C1125,6)="CHECK ","Checks Paid",IF(OR(E1125="BILLPAY",ISNUMBER(SEARCH("FRANCHISE TAX",C1125)),ISNUMBER(SEARCH("NEXTLINK",C1125))),"Personal - House Bills",IF(AND(ISNUMBER(SEARCH("PAYMENT FROM",C1125)),ISNUMBER(SEARCH("JOE SAUNDERS",C1125))),"Zelle from Joe Saunders",IF(AND(ISNUMBER(SEARCH("PAYMENT TO",C1125)),ISNUMBER(SEARCH("JOE SAUNDERS",C1125))),"Zelle to Joe Saunders",IF(OR(ISNUMBER(SEARCH("NEW ORLEANS",C1125)),ISNUMBER(SEARCH("KENNER",C1125)),ISNUMBER(SEARCH("HENRY HOWARD",C1125)),ISNUMBER(SEARCH("MISS CLAUDIA",C1125))),"Personal Travel - New Orleans",IF(AND(YEAR(B1125)=2025,MONTH(B1125)=4,OR(ISNUMBER(SEARCH("EXCHANGE RATE",C1125)),ISNUMBER(SEARCH("EXCHG RTE",C1125)))),"Personal Travel - Italy",IFERROR(INDEX('Category Rules'!$B$2:$B$358,MATCH(TRUE,ISNUMBER(SEARCH('Category Rules'!$A$2:$A$358,C1125)),0)),""))))))))</f>
        <v>Amazon</v>
      </c>
    </row>
    <row r="1126" spans="1:7" x14ac:dyDescent="0.25">
      <c r="A1126" t="s">
        <v>6</v>
      </c>
      <c r="B1126" s="1">
        <v>45866</v>
      </c>
      <c r="C1126" t="s">
        <v>1051</v>
      </c>
      <c r="D1126">
        <v>-134.65</v>
      </c>
      <c r="E1126" t="s">
        <v>10</v>
      </c>
      <c r="F1126">
        <v>5607.99</v>
      </c>
      <c r="G1126" t="str" cm="1">
        <f t="array" ref="G1126">IF(AND(ISNUMBER(SEARCH("UBER",C1126)),ISNUMBER(SEARCH("EATS",C1126))),"Uber Eats",IF(LEFT(C1126,6)="CHECK ","Checks Paid",IF(OR(E1126="BILLPAY",ISNUMBER(SEARCH("FRANCHISE TAX",C1126)),ISNUMBER(SEARCH("NEXTLINK",C1126))),"Personal - House Bills",IF(AND(ISNUMBER(SEARCH("PAYMENT FROM",C1126)),ISNUMBER(SEARCH("JOE SAUNDERS",C1126))),"Zelle from Joe Saunders",IF(AND(ISNUMBER(SEARCH("PAYMENT TO",C1126)),ISNUMBER(SEARCH("JOE SAUNDERS",C1126))),"Zelle to Joe Saunders",IF(OR(ISNUMBER(SEARCH("NEW ORLEANS",C1126)),ISNUMBER(SEARCH("KENNER",C1126)),ISNUMBER(SEARCH("HENRY HOWARD",C1126)),ISNUMBER(SEARCH("MISS CLAUDIA",C1126))),"Personal Travel - New Orleans",IF(AND(YEAR(B1126)=2025,MONTH(B1126)=4,OR(ISNUMBER(SEARCH("EXCHANGE RATE",C1126)),ISNUMBER(SEARCH("EXCHG RTE",C1126)))),"Personal Travel - Italy",IFERROR(INDEX('Category Rules'!$B$2:$B$358,MATCH(TRUE,ISNUMBER(SEARCH('Category Rules'!$A$2:$A$358,C1126)),0)),""))))))))</f>
        <v>Amazon</v>
      </c>
    </row>
    <row r="1127" spans="1:7" x14ac:dyDescent="0.25">
      <c r="A1127" t="s">
        <v>6</v>
      </c>
      <c r="B1127" s="1">
        <v>45866</v>
      </c>
      <c r="C1127" t="s">
        <v>1052</v>
      </c>
      <c r="D1127">
        <v>-28.52</v>
      </c>
      <c r="E1127" t="s">
        <v>10</v>
      </c>
      <c r="F1127">
        <v>5742.64</v>
      </c>
      <c r="G1127" t="str" cm="1">
        <f t="array" ref="G1127">IF(AND(ISNUMBER(SEARCH("UBER",C1127)),ISNUMBER(SEARCH("EATS",C1127))),"Uber Eats",IF(LEFT(C1127,6)="CHECK ","Checks Paid",IF(OR(E1127="BILLPAY",ISNUMBER(SEARCH("FRANCHISE TAX",C1127)),ISNUMBER(SEARCH("NEXTLINK",C1127))),"Personal - House Bills",IF(AND(ISNUMBER(SEARCH("PAYMENT FROM",C1127)),ISNUMBER(SEARCH("JOE SAUNDERS",C1127))),"Zelle from Joe Saunders",IF(AND(ISNUMBER(SEARCH("PAYMENT TO",C1127)),ISNUMBER(SEARCH("JOE SAUNDERS",C1127))),"Zelle to Joe Saunders",IF(OR(ISNUMBER(SEARCH("NEW ORLEANS",C1127)),ISNUMBER(SEARCH("KENNER",C1127)),ISNUMBER(SEARCH("HENRY HOWARD",C1127)),ISNUMBER(SEARCH("MISS CLAUDIA",C1127))),"Personal Travel - New Orleans",IF(AND(YEAR(B1127)=2025,MONTH(B1127)=4,OR(ISNUMBER(SEARCH("EXCHANGE RATE",C1127)),ISNUMBER(SEARCH("EXCHG RTE",C1127)))),"Personal Travel - Italy",IFERROR(INDEX('Category Rules'!$B$2:$B$358,MATCH(TRUE,ISNUMBER(SEARCH('Category Rules'!$A$2:$A$358,C1127)),0)),""))))))))</f>
        <v>Amazon</v>
      </c>
    </row>
    <row r="1128" spans="1:7" x14ac:dyDescent="0.25">
      <c r="A1128" t="s">
        <v>6</v>
      </c>
      <c r="B1128" s="1">
        <v>45866</v>
      </c>
      <c r="C1128" t="s">
        <v>1053</v>
      </c>
      <c r="D1128">
        <v>-156.15</v>
      </c>
      <c r="E1128" t="s">
        <v>10</v>
      </c>
      <c r="F1128">
        <v>5771.16</v>
      </c>
      <c r="G1128" t="str" cm="1">
        <f t="array" ref="G1128">IF(AND(ISNUMBER(SEARCH("UBER",C1128)),ISNUMBER(SEARCH("EATS",C1128))),"Uber Eats",IF(LEFT(C1128,6)="CHECK ","Checks Paid",IF(OR(E1128="BILLPAY",ISNUMBER(SEARCH("FRANCHISE TAX",C1128)),ISNUMBER(SEARCH("NEXTLINK",C1128))),"Personal - House Bills",IF(AND(ISNUMBER(SEARCH("PAYMENT FROM",C1128)),ISNUMBER(SEARCH("JOE SAUNDERS",C1128))),"Zelle from Joe Saunders",IF(AND(ISNUMBER(SEARCH("PAYMENT TO",C1128)),ISNUMBER(SEARCH("JOE SAUNDERS",C1128))),"Zelle to Joe Saunders",IF(OR(ISNUMBER(SEARCH("NEW ORLEANS",C1128)),ISNUMBER(SEARCH("KENNER",C1128)),ISNUMBER(SEARCH("HENRY HOWARD",C1128)),ISNUMBER(SEARCH("MISS CLAUDIA",C1128))),"Personal Travel - New Orleans",IF(AND(YEAR(B1128)=2025,MONTH(B1128)=4,OR(ISNUMBER(SEARCH("EXCHANGE RATE",C1128)),ISNUMBER(SEARCH("EXCHG RTE",C1128)))),"Personal Travel - Italy",IFERROR(INDEX('Category Rules'!$B$2:$B$358,MATCH(TRUE,ISNUMBER(SEARCH('Category Rules'!$A$2:$A$358,C1128)),0)),""))))))))</f>
        <v>Personal - Clothing</v>
      </c>
    </row>
    <row r="1129" spans="1:7" x14ac:dyDescent="0.25">
      <c r="A1129" t="s">
        <v>6</v>
      </c>
      <c r="B1129" s="1">
        <v>45866</v>
      </c>
      <c r="C1129" t="s">
        <v>1054</v>
      </c>
      <c r="D1129">
        <v>-71.3</v>
      </c>
      <c r="E1129" t="s">
        <v>10</v>
      </c>
      <c r="F1129">
        <v>5927.31</v>
      </c>
      <c r="G1129" t="str" cm="1">
        <f t="array" ref="G1129">IF(AND(ISNUMBER(SEARCH("UBER",C1129)),ISNUMBER(SEARCH("EATS",C1129))),"Uber Eats",IF(LEFT(C1129,6)="CHECK ","Checks Paid",IF(OR(E1129="BILLPAY",ISNUMBER(SEARCH("FRANCHISE TAX",C1129)),ISNUMBER(SEARCH("NEXTLINK",C1129))),"Personal - House Bills",IF(AND(ISNUMBER(SEARCH("PAYMENT FROM",C1129)),ISNUMBER(SEARCH("JOE SAUNDERS",C1129))),"Zelle from Joe Saunders",IF(AND(ISNUMBER(SEARCH("PAYMENT TO",C1129)),ISNUMBER(SEARCH("JOE SAUNDERS",C1129))),"Zelle to Joe Saunders",IF(OR(ISNUMBER(SEARCH("NEW ORLEANS",C1129)),ISNUMBER(SEARCH("KENNER",C1129)),ISNUMBER(SEARCH("HENRY HOWARD",C1129)),ISNUMBER(SEARCH("MISS CLAUDIA",C1129))),"Personal Travel - New Orleans",IF(AND(YEAR(B1129)=2025,MONTH(B1129)=4,OR(ISNUMBER(SEARCH("EXCHANGE RATE",C1129)),ISNUMBER(SEARCH("EXCHG RTE",C1129)))),"Personal Travel - Italy",IFERROR(INDEX('Category Rules'!$B$2:$B$358,MATCH(TRUE,ISNUMBER(SEARCH('Category Rules'!$A$2:$A$358,C1129)),0)),""))))))))</f>
        <v>Amazon</v>
      </c>
    </row>
    <row r="1130" spans="1:7" x14ac:dyDescent="0.25">
      <c r="A1130" t="s">
        <v>6</v>
      </c>
      <c r="B1130" s="1">
        <v>45866</v>
      </c>
      <c r="C1130" t="s">
        <v>1055</v>
      </c>
      <c r="D1130">
        <v>-207.86</v>
      </c>
      <c r="E1130" t="s">
        <v>10</v>
      </c>
      <c r="F1130">
        <v>5998.61</v>
      </c>
      <c r="G1130" t="str" cm="1">
        <f t="array" ref="G1130">IF(AND(ISNUMBER(SEARCH("UBER",C1130)),ISNUMBER(SEARCH("EATS",C1130))),"Uber Eats",IF(LEFT(C1130,6)="CHECK ","Checks Paid",IF(OR(E1130="BILLPAY",ISNUMBER(SEARCH("FRANCHISE TAX",C1130)),ISNUMBER(SEARCH("NEXTLINK",C1130))),"Personal - House Bills",IF(AND(ISNUMBER(SEARCH("PAYMENT FROM",C1130)),ISNUMBER(SEARCH("JOE SAUNDERS",C1130))),"Zelle from Joe Saunders",IF(AND(ISNUMBER(SEARCH("PAYMENT TO",C1130)),ISNUMBER(SEARCH("JOE SAUNDERS",C1130))),"Zelle to Joe Saunders",IF(OR(ISNUMBER(SEARCH("NEW ORLEANS",C1130)),ISNUMBER(SEARCH("KENNER",C1130)),ISNUMBER(SEARCH("HENRY HOWARD",C1130)),ISNUMBER(SEARCH("MISS CLAUDIA",C1130))),"Personal Travel - New Orleans",IF(AND(YEAR(B1130)=2025,MONTH(B1130)=4,OR(ISNUMBER(SEARCH("EXCHANGE RATE",C1130)),ISNUMBER(SEARCH("EXCHG RTE",C1130)))),"Personal Travel - Italy",IFERROR(INDEX('Category Rules'!$B$2:$B$358,MATCH(TRUE,ISNUMBER(SEARCH('Category Rules'!$A$2:$A$358,C1130)),0)),""))))))))</f>
        <v>Uber Eats</v>
      </c>
    </row>
    <row r="1131" spans="1:7" x14ac:dyDescent="0.25">
      <c r="A1131" t="s">
        <v>6</v>
      </c>
      <c r="B1131" s="1">
        <v>45866</v>
      </c>
      <c r="C1131" t="s">
        <v>1056</v>
      </c>
      <c r="D1131">
        <v>-119.62</v>
      </c>
      <c r="E1131" t="s">
        <v>10</v>
      </c>
      <c r="F1131">
        <v>6206.47</v>
      </c>
      <c r="G1131" t="str" cm="1">
        <f t="array" ref="G1131">IF(AND(ISNUMBER(SEARCH("UBER",C1131)),ISNUMBER(SEARCH("EATS",C1131))),"Uber Eats",IF(LEFT(C1131,6)="CHECK ","Checks Paid",IF(OR(E1131="BILLPAY",ISNUMBER(SEARCH("FRANCHISE TAX",C1131)),ISNUMBER(SEARCH("NEXTLINK",C1131))),"Personal - House Bills",IF(AND(ISNUMBER(SEARCH("PAYMENT FROM",C1131)),ISNUMBER(SEARCH("JOE SAUNDERS",C1131))),"Zelle from Joe Saunders",IF(AND(ISNUMBER(SEARCH("PAYMENT TO",C1131)),ISNUMBER(SEARCH("JOE SAUNDERS",C1131))),"Zelle to Joe Saunders",IF(OR(ISNUMBER(SEARCH("NEW ORLEANS",C1131)),ISNUMBER(SEARCH("KENNER",C1131)),ISNUMBER(SEARCH("HENRY HOWARD",C1131)),ISNUMBER(SEARCH("MISS CLAUDIA",C1131))),"Personal Travel - New Orleans",IF(AND(YEAR(B1131)=2025,MONTH(B1131)=4,OR(ISNUMBER(SEARCH("EXCHANGE RATE",C1131)),ISNUMBER(SEARCH("EXCHG RTE",C1131)))),"Personal Travel - Italy",IFERROR(INDEX('Category Rules'!$B$2:$B$358,MATCH(TRUE,ISNUMBER(SEARCH('Category Rules'!$A$2:$A$358,C1131)),0)),""))))))))</f>
        <v>Amazon</v>
      </c>
    </row>
    <row r="1132" spans="1:7" x14ac:dyDescent="0.25">
      <c r="A1132" t="s">
        <v>6</v>
      </c>
      <c r="B1132" s="1">
        <v>45866</v>
      </c>
      <c r="C1132" t="s">
        <v>1057</v>
      </c>
      <c r="D1132">
        <v>-137.15</v>
      </c>
      <c r="E1132" t="s">
        <v>10</v>
      </c>
      <c r="F1132">
        <v>6326.09</v>
      </c>
      <c r="G1132" t="str" cm="1">
        <f t="array" ref="G1132">IF(AND(ISNUMBER(SEARCH("UBER",C1132)),ISNUMBER(SEARCH("EATS",C1132))),"Uber Eats",IF(LEFT(C1132,6)="CHECK ","Checks Paid",IF(OR(E1132="BILLPAY",ISNUMBER(SEARCH("FRANCHISE TAX",C1132)),ISNUMBER(SEARCH("NEXTLINK",C1132))),"Personal - House Bills",IF(AND(ISNUMBER(SEARCH("PAYMENT FROM",C1132)),ISNUMBER(SEARCH("JOE SAUNDERS",C1132))),"Zelle from Joe Saunders",IF(AND(ISNUMBER(SEARCH("PAYMENT TO",C1132)),ISNUMBER(SEARCH("JOE SAUNDERS",C1132))),"Zelle to Joe Saunders",IF(OR(ISNUMBER(SEARCH("NEW ORLEANS",C1132)),ISNUMBER(SEARCH("KENNER",C1132)),ISNUMBER(SEARCH("HENRY HOWARD",C1132)),ISNUMBER(SEARCH("MISS CLAUDIA",C1132))),"Personal Travel - New Orleans",IF(AND(YEAR(B1132)=2025,MONTH(B1132)=4,OR(ISNUMBER(SEARCH("EXCHANGE RATE",C1132)),ISNUMBER(SEARCH("EXCHG RTE",C1132)))),"Personal Travel - Italy",IFERROR(INDEX('Category Rules'!$B$2:$B$358,MATCH(TRUE,ISNUMBER(SEARCH('Category Rules'!$A$2:$A$358,C1132)),0)),""))))))))</f>
        <v>Amazon</v>
      </c>
    </row>
    <row r="1133" spans="1:7" x14ac:dyDescent="0.25">
      <c r="A1133" t="s">
        <v>44</v>
      </c>
      <c r="B1133" s="1">
        <v>45866</v>
      </c>
      <c r="C1133" t="s">
        <v>1058</v>
      </c>
      <c r="D1133">
        <v>2000</v>
      </c>
      <c r="E1133" t="s">
        <v>73</v>
      </c>
      <c r="F1133">
        <v>6463.24</v>
      </c>
      <c r="G1133" t="str" cm="1">
        <f t="array" ref="G1133">IF(AND(ISNUMBER(SEARCH("UBER",C1133)),ISNUMBER(SEARCH("EATS",C1133))),"Uber Eats",IF(LEFT(C1133,6)="CHECK ","Checks Paid",IF(OR(E1133="BILLPAY",ISNUMBER(SEARCH("FRANCHISE TAX",C1133)),ISNUMBER(SEARCH("NEXTLINK",C1133))),"Personal - House Bills",IF(AND(ISNUMBER(SEARCH("PAYMENT FROM",C1133)),ISNUMBER(SEARCH("JOE SAUNDERS",C1133))),"Zelle from Joe Saunders",IF(AND(ISNUMBER(SEARCH("PAYMENT TO",C1133)),ISNUMBER(SEARCH("JOE SAUNDERS",C1133))),"Zelle to Joe Saunders",IF(OR(ISNUMBER(SEARCH("NEW ORLEANS",C1133)),ISNUMBER(SEARCH("KENNER",C1133)),ISNUMBER(SEARCH("HENRY HOWARD",C1133)),ISNUMBER(SEARCH("MISS CLAUDIA",C1133))),"Personal Travel - New Orleans",IF(AND(YEAR(B1133)=2025,MONTH(B1133)=4,OR(ISNUMBER(SEARCH("EXCHANGE RATE",C1133)),ISNUMBER(SEARCH("EXCHG RTE",C1133)))),"Personal Travel - Italy",IFERROR(INDEX('Category Rules'!$B$2:$B$358,MATCH(TRUE,ISNUMBER(SEARCH('Category Rules'!$A$2:$A$358,C1133)),0)),""))))))))</f>
        <v>Transfer from DWG Capital Group</v>
      </c>
    </row>
    <row r="1134" spans="1:7" x14ac:dyDescent="0.25">
      <c r="A1134" t="s">
        <v>44</v>
      </c>
      <c r="B1134" s="1">
        <v>45866</v>
      </c>
      <c r="C1134" t="s">
        <v>1059</v>
      </c>
      <c r="D1134">
        <v>3000</v>
      </c>
      <c r="E1134" t="s">
        <v>73</v>
      </c>
      <c r="F1134">
        <v>4463.24</v>
      </c>
      <c r="G1134" t="str" cm="1">
        <f t="array" ref="G1134">IF(AND(ISNUMBER(SEARCH("UBER",C1134)),ISNUMBER(SEARCH("EATS",C1134))),"Uber Eats",IF(LEFT(C1134,6)="CHECK ","Checks Paid",IF(OR(E1134="BILLPAY",ISNUMBER(SEARCH("FRANCHISE TAX",C1134)),ISNUMBER(SEARCH("NEXTLINK",C1134))),"Personal - House Bills",IF(AND(ISNUMBER(SEARCH("PAYMENT FROM",C1134)),ISNUMBER(SEARCH("JOE SAUNDERS",C1134))),"Zelle from Joe Saunders",IF(AND(ISNUMBER(SEARCH("PAYMENT TO",C1134)),ISNUMBER(SEARCH("JOE SAUNDERS",C1134))),"Zelle to Joe Saunders",IF(OR(ISNUMBER(SEARCH("NEW ORLEANS",C1134)),ISNUMBER(SEARCH("KENNER",C1134)),ISNUMBER(SEARCH("HENRY HOWARD",C1134)),ISNUMBER(SEARCH("MISS CLAUDIA",C1134))),"Personal Travel - New Orleans",IF(AND(YEAR(B1134)=2025,MONTH(B1134)=4,OR(ISNUMBER(SEARCH("EXCHANGE RATE",C1134)),ISNUMBER(SEARCH("EXCHG RTE",C1134)))),"Personal Travel - Italy",IFERROR(INDEX('Category Rules'!$B$2:$B$358,MATCH(TRUE,ISNUMBER(SEARCH('Category Rules'!$A$2:$A$358,C1134)),0)),""))))))))</f>
        <v>Transfer from DWG Capital Group</v>
      </c>
    </row>
    <row r="1135" spans="1:7" x14ac:dyDescent="0.25">
      <c r="A1135" t="s">
        <v>6</v>
      </c>
      <c r="B1135" s="1">
        <v>45863</v>
      </c>
      <c r="C1135" t="s">
        <v>1060</v>
      </c>
      <c r="D1135">
        <v>-64.709999999999994</v>
      </c>
      <c r="E1135" t="s">
        <v>10</v>
      </c>
      <c r="F1135">
        <v>1463.24</v>
      </c>
      <c r="G1135" t="str" cm="1">
        <f t="array" ref="G1135">IF(AND(ISNUMBER(SEARCH("UBER",C1135)),ISNUMBER(SEARCH("EATS",C1135))),"Uber Eats",IF(LEFT(C1135,6)="CHECK ","Checks Paid",IF(OR(E1135="BILLPAY",ISNUMBER(SEARCH("FRANCHISE TAX",C1135)),ISNUMBER(SEARCH("NEXTLINK",C1135))),"Personal - House Bills",IF(AND(ISNUMBER(SEARCH("PAYMENT FROM",C1135)),ISNUMBER(SEARCH("JOE SAUNDERS",C1135))),"Zelle from Joe Saunders",IF(AND(ISNUMBER(SEARCH("PAYMENT TO",C1135)),ISNUMBER(SEARCH("JOE SAUNDERS",C1135))),"Zelle to Joe Saunders",IF(OR(ISNUMBER(SEARCH("NEW ORLEANS",C1135)),ISNUMBER(SEARCH("KENNER",C1135)),ISNUMBER(SEARCH("HENRY HOWARD",C1135)),ISNUMBER(SEARCH("MISS CLAUDIA",C1135))),"Personal Travel - New Orleans",IF(AND(YEAR(B1135)=2025,MONTH(B1135)=4,OR(ISNUMBER(SEARCH("EXCHANGE RATE",C1135)),ISNUMBER(SEARCH("EXCHG RTE",C1135)))),"Personal Travel - Italy",IFERROR(INDEX('Category Rules'!$B$2:$B$358,MATCH(TRUE,ISNUMBER(SEARCH('Category Rules'!$A$2:$A$358,C1135)),0)),""))))))))</f>
        <v>Personal - Health</v>
      </c>
    </row>
    <row r="1136" spans="1:7" x14ac:dyDescent="0.25">
      <c r="A1136" t="s">
        <v>6</v>
      </c>
      <c r="B1136" s="1">
        <v>45863</v>
      </c>
      <c r="C1136" t="s">
        <v>1061</v>
      </c>
      <c r="D1136">
        <v>-5</v>
      </c>
      <c r="E1136" t="s">
        <v>10</v>
      </c>
      <c r="F1136">
        <v>1527.95</v>
      </c>
      <c r="G1136" t="str" cm="1">
        <f t="array" ref="G1136">IF(AND(ISNUMBER(SEARCH("UBER",C1136)),ISNUMBER(SEARCH("EATS",C1136))),"Uber Eats",IF(LEFT(C1136,6)="CHECK ","Checks Paid",IF(OR(E1136="BILLPAY",ISNUMBER(SEARCH("FRANCHISE TAX",C1136)),ISNUMBER(SEARCH("NEXTLINK",C1136))),"Personal - House Bills",IF(AND(ISNUMBER(SEARCH("PAYMENT FROM",C1136)),ISNUMBER(SEARCH("JOE SAUNDERS",C1136))),"Zelle from Joe Saunders",IF(AND(ISNUMBER(SEARCH("PAYMENT TO",C1136)),ISNUMBER(SEARCH("JOE SAUNDERS",C1136))),"Zelle to Joe Saunders",IF(OR(ISNUMBER(SEARCH("NEW ORLEANS",C1136)),ISNUMBER(SEARCH("KENNER",C1136)),ISNUMBER(SEARCH("HENRY HOWARD",C1136)),ISNUMBER(SEARCH("MISS CLAUDIA",C1136))),"Personal Travel - New Orleans",IF(AND(YEAR(B1136)=2025,MONTH(B1136)=4,OR(ISNUMBER(SEARCH("EXCHANGE RATE",C1136)),ISNUMBER(SEARCH("EXCHG RTE",C1136)))),"Personal Travel - Italy",IFERROR(INDEX('Category Rules'!$B$2:$B$358,MATCH(TRUE,ISNUMBER(SEARCH('Category Rules'!$A$2:$A$358,C1136)),0)),""))))))))</f>
        <v>Personal - Uber</v>
      </c>
    </row>
    <row r="1137" spans="1:7" x14ac:dyDescent="0.25">
      <c r="A1137" t="s">
        <v>6</v>
      </c>
      <c r="B1137" s="1">
        <v>45863</v>
      </c>
      <c r="C1137" t="s">
        <v>1062</v>
      </c>
      <c r="D1137">
        <v>-15</v>
      </c>
      <c r="E1137" t="s">
        <v>10</v>
      </c>
      <c r="F1137">
        <v>1532.95</v>
      </c>
      <c r="G1137" t="str" cm="1">
        <f t="array" ref="G1137">IF(AND(ISNUMBER(SEARCH("UBER",C1137)),ISNUMBER(SEARCH("EATS",C1137))),"Uber Eats",IF(LEFT(C1137,6)="CHECK ","Checks Paid",IF(OR(E1137="BILLPAY",ISNUMBER(SEARCH("FRANCHISE TAX",C1137)),ISNUMBER(SEARCH("NEXTLINK",C1137))),"Personal - House Bills",IF(AND(ISNUMBER(SEARCH("PAYMENT FROM",C1137)),ISNUMBER(SEARCH("JOE SAUNDERS",C1137))),"Zelle from Joe Saunders",IF(AND(ISNUMBER(SEARCH("PAYMENT TO",C1137)),ISNUMBER(SEARCH("JOE SAUNDERS",C1137))),"Zelle to Joe Saunders",IF(OR(ISNUMBER(SEARCH("NEW ORLEANS",C1137)),ISNUMBER(SEARCH("KENNER",C1137)),ISNUMBER(SEARCH("HENRY HOWARD",C1137)),ISNUMBER(SEARCH("MISS CLAUDIA",C1137))),"Personal Travel - New Orleans",IF(AND(YEAR(B1137)=2025,MONTH(B1137)=4,OR(ISNUMBER(SEARCH("EXCHANGE RATE",C1137)),ISNUMBER(SEARCH("EXCHG RTE",C1137)))),"Personal Travel - Italy",IFERROR(INDEX('Category Rules'!$B$2:$B$358,MATCH(TRUE,ISNUMBER(SEARCH('Category Rules'!$A$2:$A$358,C1137)),0)),""))))))))</f>
        <v>Personal - Subscription</v>
      </c>
    </row>
    <row r="1138" spans="1:7" x14ac:dyDescent="0.25">
      <c r="A1138" t="s">
        <v>6</v>
      </c>
      <c r="B1138" s="1">
        <v>45863</v>
      </c>
      <c r="C1138" t="s">
        <v>1063</v>
      </c>
      <c r="D1138">
        <v>-16.45</v>
      </c>
      <c r="E1138" t="s">
        <v>10</v>
      </c>
      <c r="F1138">
        <v>1547.95</v>
      </c>
      <c r="G1138" t="str" cm="1">
        <f t="array" ref="G1138">IF(AND(ISNUMBER(SEARCH("UBER",C1138)),ISNUMBER(SEARCH("EATS",C1138))),"Uber Eats",IF(LEFT(C1138,6)="CHECK ","Checks Paid",IF(OR(E1138="BILLPAY",ISNUMBER(SEARCH("FRANCHISE TAX",C1138)),ISNUMBER(SEARCH("NEXTLINK",C1138))),"Personal - House Bills",IF(AND(ISNUMBER(SEARCH("PAYMENT FROM",C1138)),ISNUMBER(SEARCH("JOE SAUNDERS",C1138))),"Zelle from Joe Saunders",IF(AND(ISNUMBER(SEARCH("PAYMENT TO",C1138)),ISNUMBER(SEARCH("JOE SAUNDERS",C1138))),"Zelle to Joe Saunders",IF(OR(ISNUMBER(SEARCH("NEW ORLEANS",C1138)),ISNUMBER(SEARCH("KENNER",C1138)),ISNUMBER(SEARCH("HENRY HOWARD",C1138)),ISNUMBER(SEARCH("MISS CLAUDIA",C1138))),"Personal Travel - New Orleans",IF(AND(YEAR(B1138)=2025,MONTH(B1138)=4,OR(ISNUMBER(SEARCH("EXCHANGE RATE",C1138)),ISNUMBER(SEARCH("EXCHG RTE",C1138)))),"Personal Travel - Italy",IFERROR(INDEX('Category Rules'!$B$2:$B$358,MATCH(TRUE,ISNUMBER(SEARCH('Category Rules'!$A$2:$A$358,C1138)),0)),""))))))))</f>
        <v>Amazon</v>
      </c>
    </row>
    <row r="1139" spans="1:7" x14ac:dyDescent="0.25">
      <c r="A1139" t="s">
        <v>6</v>
      </c>
      <c r="B1139" s="1">
        <v>45863</v>
      </c>
      <c r="C1139" t="s">
        <v>1064</v>
      </c>
      <c r="D1139">
        <v>-54.86</v>
      </c>
      <c r="E1139" t="s">
        <v>10</v>
      </c>
      <c r="F1139">
        <v>1564.4</v>
      </c>
      <c r="G1139" t="str" cm="1">
        <f t="array" ref="G1139">IF(AND(ISNUMBER(SEARCH("UBER",C1139)),ISNUMBER(SEARCH("EATS",C1139))),"Uber Eats",IF(LEFT(C1139,6)="CHECK ","Checks Paid",IF(OR(E1139="BILLPAY",ISNUMBER(SEARCH("FRANCHISE TAX",C1139)),ISNUMBER(SEARCH("NEXTLINK",C1139))),"Personal - House Bills",IF(AND(ISNUMBER(SEARCH("PAYMENT FROM",C1139)),ISNUMBER(SEARCH("JOE SAUNDERS",C1139))),"Zelle from Joe Saunders",IF(AND(ISNUMBER(SEARCH("PAYMENT TO",C1139)),ISNUMBER(SEARCH("JOE SAUNDERS",C1139))),"Zelle to Joe Saunders",IF(OR(ISNUMBER(SEARCH("NEW ORLEANS",C1139)),ISNUMBER(SEARCH("KENNER",C1139)),ISNUMBER(SEARCH("HENRY HOWARD",C1139)),ISNUMBER(SEARCH("MISS CLAUDIA",C1139))),"Personal Travel - New Orleans",IF(AND(YEAR(B1139)=2025,MONTH(B1139)=4,OR(ISNUMBER(SEARCH("EXCHANGE RATE",C1139)),ISNUMBER(SEARCH("EXCHG RTE",C1139)))),"Personal Travel - Italy",IFERROR(INDEX('Category Rules'!$B$2:$B$358,MATCH(TRUE,ISNUMBER(SEARCH('Category Rules'!$A$2:$A$358,C1139)),0)),""))))))))</f>
        <v>Amazon</v>
      </c>
    </row>
    <row r="1140" spans="1:7" x14ac:dyDescent="0.25">
      <c r="A1140" t="s">
        <v>6</v>
      </c>
      <c r="B1140" s="1">
        <v>45863</v>
      </c>
      <c r="C1140" t="s">
        <v>1065</v>
      </c>
      <c r="D1140">
        <v>-41.9</v>
      </c>
      <c r="E1140" t="s">
        <v>10</v>
      </c>
      <c r="F1140">
        <v>1619.26</v>
      </c>
      <c r="G1140" t="str" cm="1">
        <f t="array" ref="G1140">IF(AND(ISNUMBER(SEARCH("UBER",C1140)),ISNUMBER(SEARCH("EATS",C1140))),"Uber Eats",IF(LEFT(C1140,6)="CHECK ","Checks Paid",IF(OR(E1140="BILLPAY",ISNUMBER(SEARCH("FRANCHISE TAX",C1140)),ISNUMBER(SEARCH("NEXTLINK",C1140))),"Personal - House Bills",IF(AND(ISNUMBER(SEARCH("PAYMENT FROM",C1140)),ISNUMBER(SEARCH("JOE SAUNDERS",C1140))),"Zelle from Joe Saunders",IF(AND(ISNUMBER(SEARCH("PAYMENT TO",C1140)),ISNUMBER(SEARCH("JOE SAUNDERS",C1140))),"Zelle to Joe Saunders",IF(OR(ISNUMBER(SEARCH("NEW ORLEANS",C1140)),ISNUMBER(SEARCH("KENNER",C1140)),ISNUMBER(SEARCH("HENRY HOWARD",C1140)),ISNUMBER(SEARCH("MISS CLAUDIA",C1140))),"Personal Travel - New Orleans",IF(AND(YEAR(B1140)=2025,MONTH(B1140)=4,OR(ISNUMBER(SEARCH("EXCHANGE RATE",C1140)),ISNUMBER(SEARCH("EXCHG RTE",C1140)))),"Personal Travel - Italy",IFERROR(INDEX('Category Rules'!$B$2:$B$358,MATCH(TRUE,ISNUMBER(SEARCH('Category Rules'!$A$2:$A$358,C1140)),0)),""))))))))</f>
        <v>Shipping</v>
      </c>
    </row>
    <row r="1141" spans="1:7" x14ac:dyDescent="0.25">
      <c r="A1141" t="s">
        <v>6</v>
      </c>
      <c r="B1141" s="1">
        <v>45863</v>
      </c>
      <c r="C1141" t="s">
        <v>1066</v>
      </c>
      <c r="D1141">
        <v>-1</v>
      </c>
      <c r="E1141" t="s">
        <v>10</v>
      </c>
      <c r="F1141">
        <v>1661.16</v>
      </c>
      <c r="G1141" t="str" cm="1">
        <f t="array" ref="G1141">IF(AND(ISNUMBER(SEARCH("UBER",C1141)),ISNUMBER(SEARCH("EATS",C1141))),"Uber Eats",IF(LEFT(C1141,6)="CHECK ","Checks Paid",IF(OR(E1141="BILLPAY",ISNUMBER(SEARCH("FRANCHISE TAX",C1141)),ISNUMBER(SEARCH("NEXTLINK",C1141))),"Personal - House Bills",IF(AND(ISNUMBER(SEARCH("PAYMENT FROM",C1141)),ISNUMBER(SEARCH("JOE SAUNDERS",C1141))),"Zelle from Joe Saunders",IF(AND(ISNUMBER(SEARCH("PAYMENT TO",C1141)),ISNUMBER(SEARCH("JOE SAUNDERS",C1141))),"Zelle to Joe Saunders",IF(OR(ISNUMBER(SEARCH("NEW ORLEANS",C1141)),ISNUMBER(SEARCH("KENNER",C1141)),ISNUMBER(SEARCH("HENRY HOWARD",C1141)),ISNUMBER(SEARCH("MISS CLAUDIA",C1141))),"Personal Travel - New Orleans",IF(AND(YEAR(B1141)=2025,MONTH(B1141)=4,OR(ISNUMBER(SEARCH("EXCHANGE RATE",C1141)),ISNUMBER(SEARCH("EXCHG RTE",C1141)))),"Personal Travel - Italy",IFERROR(INDEX('Category Rules'!$B$2:$B$358,MATCH(TRUE,ISNUMBER(SEARCH('Category Rules'!$A$2:$A$358,C1141)),0)),""))))))))</f>
        <v>Personal - Car</v>
      </c>
    </row>
    <row r="1142" spans="1:7" x14ac:dyDescent="0.25">
      <c r="A1142" t="s">
        <v>6</v>
      </c>
      <c r="B1142" s="1">
        <v>45863</v>
      </c>
      <c r="C1142" t="s">
        <v>1067</v>
      </c>
      <c r="D1142">
        <v>-158.32</v>
      </c>
      <c r="E1142" t="s">
        <v>10</v>
      </c>
      <c r="F1142">
        <v>1662.16</v>
      </c>
      <c r="G1142" t="str" cm="1">
        <f t="array" ref="G1142">IF(AND(ISNUMBER(SEARCH("UBER",C1142)),ISNUMBER(SEARCH("EATS",C1142))),"Uber Eats",IF(LEFT(C1142,6)="CHECK ","Checks Paid",IF(OR(E1142="BILLPAY",ISNUMBER(SEARCH("FRANCHISE TAX",C1142)),ISNUMBER(SEARCH("NEXTLINK",C1142))),"Personal - House Bills",IF(AND(ISNUMBER(SEARCH("PAYMENT FROM",C1142)),ISNUMBER(SEARCH("JOE SAUNDERS",C1142))),"Zelle from Joe Saunders",IF(AND(ISNUMBER(SEARCH("PAYMENT TO",C1142)),ISNUMBER(SEARCH("JOE SAUNDERS",C1142))),"Zelle to Joe Saunders",IF(OR(ISNUMBER(SEARCH("NEW ORLEANS",C1142)),ISNUMBER(SEARCH("KENNER",C1142)),ISNUMBER(SEARCH("HENRY HOWARD",C1142)),ISNUMBER(SEARCH("MISS CLAUDIA",C1142))),"Personal Travel - New Orleans",IF(AND(YEAR(B1142)=2025,MONTH(B1142)=4,OR(ISNUMBER(SEARCH("EXCHANGE RATE",C1142)),ISNUMBER(SEARCH("EXCHG RTE",C1142)))),"Personal Travel - Italy",IFERROR(INDEX('Category Rules'!$B$2:$B$358,MATCH(TRUE,ISNUMBER(SEARCH('Category Rules'!$A$2:$A$358,C1142)),0)),""))))))))</f>
        <v>Personal - Clothing</v>
      </c>
    </row>
    <row r="1143" spans="1:7" x14ac:dyDescent="0.25">
      <c r="A1143" t="s">
        <v>6</v>
      </c>
      <c r="B1143" s="1">
        <v>45863</v>
      </c>
      <c r="C1143" t="s">
        <v>1068</v>
      </c>
      <c r="D1143">
        <v>-100</v>
      </c>
      <c r="E1143" t="s">
        <v>10</v>
      </c>
      <c r="F1143">
        <v>1820.48</v>
      </c>
      <c r="G1143" t="str" cm="1">
        <f t="array" ref="G1143">IF(AND(ISNUMBER(SEARCH("UBER",C1143)),ISNUMBER(SEARCH("EATS",C1143))),"Uber Eats",IF(LEFT(C1143,6)="CHECK ","Checks Paid",IF(OR(E1143="BILLPAY",ISNUMBER(SEARCH("FRANCHISE TAX",C1143)),ISNUMBER(SEARCH("NEXTLINK",C1143))),"Personal - House Bills",IF(AND(ISNUMBER(SEARCH("PAYMENT FROM",C1143)),ISNUMBER(SEARCH("JOE SAUNDERS",C1143))),"Zelle from Joe Saunders",IF(AND(ISNUMBER(SEARCH("PAYMENT TO",C1143)),ISNUMBER(SEARCH("JOE SAUNDERS",C1143))),"Zelle to Joe Saunders",IF(OR(ISNUMBER(SEARCH("NEW ORLEANS",C1143)),ISNUMBER(SEARCH("KENNER",C1143)),ISNUMBER(SEARCH("HENRY HOWARD",C1143)),ISNUMBER(SEARCH("MISS CLAUDIA",C1143))),"Personal Travel - New Orleans",IF(AND(YEAR(B1143)=2025,MONTH(B1143)=4,OR(ISNUMBER(SEARCH("EXCHANGE RATE",C1143)),ISNUMBER(SEARCH("EXCHG RTE",C1143)))),"Personal Travel - Italy",IFERROR(INDEX('Category Rules'!$B$2:$B$358,MATCH(TRUE,ISNUMBER(SEARCH('Category Rules'!$A$2:$A$358,C1143)),0)),""))))))))</f>
        <v>Personal - Shopping</v>
      </c>
    </row>
    <row r="1144" spans="1:7" x14ac:dyDescent="0.25">
      <c r="A1144" t="s">
        <v>6</v>
      </c>
      <c r="B1144" s="1">
        <v>45863</v>
      </c>
      <c r="C1144" t="s">
        <v>1069</v>
      </c>
      <c r="D1144">
        <v>-1.25</v>
      </c>
      <c r="E1144" t="s">
        <v>10</v>
      </c>
      <c r="F1144">
        <v>1920.48</v>
      </c>
      <c r="G1144" t="str" cm="1">
        <f t="array" ref="G1144">IF(AND(ISNUMBER(SEARCH("UBER",C1144)),ISNUMBER(SEARCH("EATS",C1144))),"Uber Eats",IF(LEFT(C1144,6)="CHECK ","Checks Paid",IF(OR(E1144="BILLPAY",ISNUMBER(SEARCH("FRANCHISE TAX",C1144)),ISNUMBER(SEARCH("NEXTLINK",C1144))),"Personal - House Bills",IF(AND(ISNUMBER(SEARCH("PAYMENT FROM",C1144)),ISNUMBER(SEARCH("JOE SAUNDERS",C1144))),"Zelle from Joe Saunders",IF(AND(ISNUMBER(SEARCH("PAYMENT TO",C1144)),ISNUMBER(SEARCH("JOE SAUNDERS",C1144))),"Zelle to Joe Saunders",IF(OR(ISNUMBER(SEARCH("NEW ORLEANS",C1144)),ISNUMBER(SEARCH("KENNER",C1144)),ISNUMBER(SEARCH("HENRY HOWARD",C1144)),ISNUMBER(SEARCH("MISS CLAUDIA",C1144))),"Personal Travel - New Orleans",IF(AND(YEAR(B1144)=2025,MONTH(B1144)=4,OR(ISNUMBER(SEARCH("EXCHANGE RATE",C1144)),ISNUMBER(SEARCH("EXCHG RTE",C1144)))),"Personal Travel - Italy",IFERROR(INDEX('Category Rules'!$B$2:$B$358,MATCH(TRUE,ISNUMBER(SEARCH('Category Rules'!$A$2:$A$358,C1144)),0)),""))))))))</f>
        <v>Personal - Car</v>
      </c>
    </row>
    <row r="1145" spans="1:7" x14ac:dyDescent="0.25">
      <c r="A1145" t="s">
        <v>6</v>
      </c>
      <c r="B1145" s="1">
        <v>45863</v>
      </c>
      <c r="C1145" t="s">
        <v>1070</v>
      </c>
      <c r="D1145">
        <v>-579.33000000000004</v>
      </c>
      <c r="E1145" t="s">
        <v>10</v>
      </c>
      <c r="F1145">
        <v>1921.73</v>
      </c>
      <c r="G1145" t="str" cm="1">
        <f t="array" ref="G1145">IF(AND(ISNUMBER(SEARCH("UBER",C1145)),ISNUMBER(SEARCH("EATS",C1145))),"Uber Eats",IF(LEFT(C1145,6)="CHECK ","Checks Paid",IF(OR(E1145="BILLPAY",ISNUMBER(SEARCH("FRANCHISE TAX",C1145)),ISNUMBER(SEARCH("NEXTLINK",C1145))),"Personal - House Bills",IF(AND(ISNUMBER(SEARCH("PAYMENT FROM",C1145)),ISNUMBER(SEARCH("JOE SAUNDERS",C1145))),"Zelle from Joe Saunders",IF(AND(ISNUMBER(SEARCH("PAYMENT TO",C1145)),ISNUMBER(SEARCH("JOE SAUNDERS",C1145))),"Zelle to Joe Saunders",IF(OR(ISNUMBER(SEARCH("NEW ORLEANS",C1145)),ISNUMBER(SEARCH("KENNER",C1145)),ISNUMBER(SEARCH("HENRY HOWARD",C1145)),ISNUMBER(SEARCH("MISS CLAUDIA",C1145))),"Personal Travel - New Orleans",IF(AND(YEAR(B1145)=2025,MONTH(B1145)=4,OR(ISNUMBER(SEARCH("EXCHANGE RATE",C1145)),ISNUMBER(SEARCH("EXCHG RTE",C1145)))),"Personal Travel - Italy",IFERROR(INDEX('Category Rules'!$B$2:$B$358,MATCH(TRUE,ISNUMBER(SEARCH('Category Rules'!$A$2:$A$358,C1145)),0)),""))))))))</f>
        <v>AT&amp;T</v>
      </c>
    </row>
    <row r="1146" spans="1:7" x14ac:dyDescent="0.25">
      <c r="A1146" t="s">
        <v>6</v>
      </c>
      <c r="B1146" s="1">
        <v>45863</v>
      </c>
      <c r="C1146" t="s">
        <v>1071</v>
      </c>
      <c r="D1146">
        <v>-73.400000000000006</v>
      </c>
      <c r="E1146" t="s">
        <v>10</v>
      </c>
      <c r="F1146">
        <v>2501.06</v>
      </c>
      <c r="G1146" t="str" cm="1">
        <f t="array" ref="G1146">IF(AND(ISNUMBER(SEARCH("UBER",C1146)),ISNUMBER(SEARCH("EATS",C1146))),"Uber Eats",IF(LEFT(C1146,6)="CHECK ","Checks Paid",IF(OR(E1146="BILLPAY",ISNUMBER(SEARCH("FRANCHISE TAX",C1146)),ISNUMBER(SEARCH("NEXTLINK",C1146))),"Personal - House Bills",IF(AND(ISNUMBER(SEARCH("PAYMENT FROM",C1146)),ISNUMBER(SEARCH("JOE SAUNDERS",C1146))),"Zelle from Joe Saunders",IF(AND(ISNUMBER(SEARCH("PAYMENT TO",C1146)),ISNUMBER(SEARCH("JOE SAUNDERS",C1146))),"Zelle to Joe Saunders",IF(OR(ISNUMBER(SEARCH("NEW ORLEANS",C1146)),ISNUMBER(SEARCH("KENNER",C1146)),ISNUMBER(SEARCH("HENRY HOWARD",C1146)),ISNUMBER(SEARCH("MISS CLAUDIA",C1146))),"Personal Travel - New Orleans",IF(AND(YEAR(B1146)=2025,MONTH(B1146)=4,OR(ISNUMBER(SEARCH("EXCHANGE RATE",C1146)),ISNUMBER(SEARCH("EXCHG RTE",C1146)))),"Personal Travel - Italy",IFERROR(INDEX('Category Rules'!$B$2:$B$358,MATCH(TRUE,ISNUMBER(SEARCH('Category Rules'!$A$2:$A$358,C1146)),0)),""))))))))</f>
        <v>Amazon</v>
      </c>
    </row>
    <row r="1147" spans="1:7" x14ac:dyDescent="0.25">
      <c r="A1147" t="s">
        <v>6</v>
      </c>
      <c r="B1147" s="1">
        <v>45862</v>
      </c>
      <c r="C1147" t="s">
        <v>1072</v>
      </c>
      <c r="D1147">
        <v>-500</v>
      </c>
      <c r="E1147" t="s">
        <v>26</v>
      </c>
      <c r="F1147">
        <v>2574.46</v>
      </c>
      <c r="G1147" t="str" cm="1">
        <f t="array" ref="G1147">IF(AND(ISNUMBER(SEARCH("UBER",C1147)),ISNUMBER(SEARCH("EATS",C1147))),"Uber Eats",IF(LEFT(C1147,6)="CHECK ","Checks Paid",IF(OR(E1147="BILLPAY",ISNUMBER(SEARCH("FRANCHISE TAX",C1147)),ISNUMBER(SEARCH("NEXTLINK",C1147))),"Personal - House Bills",IF(AND(ISNUMBER(SEARCH("PAYMENT FROM",C1147)),ISNUMBER(SEARCH("JOE SAUNDERS",C1147))),"Zelle from Joe Saunders",IF(AND(ISNUMBER(SEARCH("PAYMENT TO",C1147)),ISNUMBER(SEARCH("JOE SAUNDERS",C1147))),"Zelle to Joe Saunders",IF(OR(ISNUMBER(SEARCH("NEW ORLEANS",C1147)),ISNUMBER(SEARCH("KENNER",C1147)),ISNUMBER(SEARCH("HENRY HOWARD",C1147)),ISNUMBER(SEARCH("MISS CLAUDIA",C1147))),"Personal Travel - New Orleans",IF(AND(YEAR(B1147)=2025,MONTH(B1147)=4,OR(ISNUMBER(SEARCH("EXCHANGE RATE",C1147)),ISNUMBER(SEARCH("EXCHG RTE",C1147)))),"Personal Travel - Italy",IFERROR(INDEX('Category Rules'!$B$2:$B$358,MATCH(TRUE,ISNUMBER(SEARCH('Category Rules'!$A$2:$A$358,C1147)),0)),""))))))))</f>
        <v>Withdrawal</v>
      </c>
    </row>
    <row r="1148" spans="1:7" x14ac:dyDescent="0.25">
      <c r="A1148" t="s">
        <v>6</v>
      </c>
      <c r="B1148" s="1">
        <v>45862</v>
      </c>
      <c r="C1148" t="s">
        <v>1073</v>
      </c>
      <c r="D1148">
        <v>-14.81</v>
      </c>
      <c r="E1148" t="s">
        <v>10</v>
      </c>
      <c r="F1148">
        <v>3074.46</v>
      </c>
      <c r="G1148" t="str" cm="1">
        <f t="array" ref="G1148">IF(AND(ISNUMBER(SEARCH("UBER",C1148)),ISNUMBER(SEARCH("EATS",C1148))),"Uber Eats",IF(LEFT(C1148,6)="CHECK ","Checks Paid",IF(OR(E1148="BILLPAY",ISNUMBER(SEARCH("FRANCHISE TAX",C1148)),ISNUMBER(SEARCH("NEXTLINK",C1148))),"Personal - House Bills",IF(AND(ISNUMBER(SEARCH("PAYMENT FROM",C1148)),ISNUMBER(SEARCH("JOE SAUNDERS",C1148))),"Zelle from Joe Saunders",IF(AND(ISNUMBER(SEARCH("PAYMENT TO",C1148)),ISNUMBER(SEARCH("JOE SAUNDERS",C1148))),"Zelle to Joe Saunders",IF(OR(ISNUMBER(SEARCH("NEW ORLEANS",C1148)),ISNUMBER(SEARCH("KENNER",C1148)),ISNUMBER(SEARCH("HENRY HOWARD",C1148)),ISNUMBER(SEARCH("MISS CLAUDIA",C1148))),"Personal Travel - New Orleans",IF(AND(YEAR(B1148)=2025,MONTH(B1148)=4,OR(ISNUMBER(SEARCH("EXCHANGE RATE",C1148)),ISNUMBER(SEARCH("EXCHG RTE",C1148)))),"Personal Travel - Italy",IFERROR(INDEX('Category Rules'!$B$2:$B$358,MATCH(TRUE,ISNUMBER(SEARCH('Category Rules'!$A$2:$A$358,C1148)),0)),""))))))))</f>
        <v>Personal - Health</v>
      </c>
    </row>
    <row r="1149" spans="1:7" x14ac:dyDescent="0.25">
      <c r="A1149" t="s">
        <v>6</v>
      </c>
      <c r="B1149" s="1">
        <v>45862</v>
      </c>
      <c r="C1149" t="s">
        <v>1074</v>
      </c>
      <c r="D1149">
        <v>-100.9</v>
      </c>
      <c r="E1149" t="s">
        <v>10</v>
      </c>
      <c r="F1149">
        <v>3089.27</v>
      </c>
      <c r="G1149" t="str" cm="1">
        <f t="array" ref="G1149">IF(AND(ISNUMBER(SEARCH("UBER",C1149)),ISNUMBER(SEARCH("EATS",C1149))),"Uber Eats",IF(LEFT(C1149,6)="CHECK ","Checks Paid",IF(OR(E1149="BILLPAY",ISNUMBER(SEARCH("FRANCHISE TAX",C1149)),ISNUMBER(SEARCH("NEXTLINK",C1149))),"Personal - House Bills",IF(AND(ISNUMBER(SEARCH("PAYMENT FROM",C1149)),ISNUMBER(SEARCH("JOE SAUNDERS",C1149))),"Zelle from Joe Saunders",IF(AND(ISNUMBER(SEARCH("PAYMENT TO",C1149)),ISNUMBER(SEARCH("JOE SAUNDERS",C1149))),"Zelle to Joe Saunders",IF(OR(ISNUMBER(SEARCH("NEW ORLEANS",C1149)),ISNUMBER(SEARCH("KENNER",C1149)),ISNUMBER(SEARCH("HENRY HOWARD",C1149)),ISNUMBER(SEARCH("MISS CLAUDIA",C1149))),"Personal Travel - New Orleans",IF(AND(YEAR(B1149)=2025,MONTH(B1149)=4,OR(ISNUMBER(SEARCH("EXCHANGE RATE",C1149)),ISNUMBER(SEARCH("EXCHG RTE",C1149)))),"Personal Travel - Italy",IFERROR(INDEX('Category Rules'!$B$2:$B$358,MATCH(TRUE,ISNUMBER(SEARCH('Category Rules'!$A$2:$A$358,C1149)),0)),""))))))))</f>
        <v>Amazon</v>
      </c>
    </row>
    <row r="1150" spans="1:7" x14ac:dyDescent="0.25">
      <c r="A1150" t="s">
        <v>6</v>
      </c>
      <c r="B1150" s="1">
        <v>45862</v>
      </c>
      <c r="C1150" t="s">
        <v>1075</v>
      </c>
      <c r="D1150">
        <v>-610</v>
      </c>
      <c r="E1150" t="s">
        <v>10</v>
      </c>
      <c r="F1150">
        <v>3190.17</v>
      </c>
      <c r="G1150" t="str" cm="1">
        <f t="array" ref="G1150">IF(AND(ISNUMBER(SEARCH("UBER",C1150)),ISNUMBER(SEARCH("EATS",C1150))),"Uber Eats",IF(LEFT(C1150,6)="CHECK ","Checks Paid",IF(OR(E1150="BILLPAY",ISNUMBER(SEARCH("FRANCHISE TAX",C1150)),ISNUMBER(SEARCH("NEXTLINK",C1150))),"Personal - House Bills",IF(AND(ISNUMBER(SEARCH("PAYMENT FROM",C1150)),ISNUMBER(SEARCH("JOE SAUNDERS",C1150))),"Zelle from Joe Saunders",IF(AND(ISNUMBER(SEARCH("PAYMENT TO",C1150)),ISNUMBER(SEARCH("JOE SAUNDERS",C1150))),"Zelle to Joe Saunders",IF(OR(ISNUMBER(SEARCH("NEW ORLEANS",C1150)),ISNUMBER(SEARCH("KENNER",C1150)),ISNUMBER(SEARCH("HENRY HOWARD",C1150)),ISNUMBER(SEARCH("MISS CLAUDIA",C1150))),"Personal Travel - New Orleans",IF(AND(YEAR(B1150)=2025,MONTH(B1150)=4,OR(ISNUMBER(SEARCH("EXCHANGE RATE",C1150)),ISNUMBER(SEARCH("EXCHG RTE",C1150)))),"Personal Travel - Italy",IFERROR(INDEX('Category Rules'!$B$2:$B$358,MATCH(TRUE,ISNUMBER(SEARCH('Category Rules'!$A$2:$A$358,C1150)),0)),""))))))))</f>
        <v>Personal - Shopping</v>
      </c>
    </row>
    <row r="1151" spans="1:7" x14ac:dyDescent="0.25">
      <c r="A1151" t="s">
        <v>6</v>
      </c>
      <c r="B1151" s="1">
        <v>45862</v>
      </c>
      <c r="C1151" t="s">
        <v>1076</v>
      </c>
      <c r="D1151">
        <v>-10.99</v>
      </c>
      <c r="E1151" t="s">
        <v>10</v>
      </c>
      <c r="F1151">
        <v>3800.17</v>
      </c>
      <c r="G1151" t="str" cm="1">
        <f t="array" ref="G1151">IF(AND(ISNUMBER(SEARCH("UBER",C1151)),ISNUMBER(SEARCH("EATS",C1151))),"Uber Eats",IF(LEFT(C1151,6)="CHECK ","Checks Paid",IF(OR(E1151="BILLPAY",ISNUMBER(SEARCH("FRANCHISE TAX",C1151)),ISNUMBER(SEARCH("NEXTLINK",C1151))),"Personal - House Bills",IF(AND(ISNUMBER(SEARCH("PAYMENT FROM",C1151)),ISNUMBER(SEARCH("JOE SAUNDERS",C1151))),"Zelle from Joe Saunders",IF(AND(ISNUMBER(SEARCH("PAYMENT TO",C1151)),ISNUMBER(SEARCH("JOE SAUNDERS",C1151))),"Zelle to Joe Saunders",IF(OR(ISNUMBER(SEARCH("NEW ORLEANS",C1151)),ISNUMBER(SEARCH("KENNER",C1151)),ISNUMBER(SEARCH("HENRY HOWARD",C1151)),ISNUMBER(SEARCH("MISS CLAUDIA",C1151))),"Personal Travel - New Orleans",IF(AND(YEAR(B1151)=2025,MONTH(B1151)=4,OR(ISNUMBER(SEARCH("EXCHANGE RATE",C1151)),ISNUMBER(SEARCH("EXCHG RTE",C1151)))),"Personal Travel - Italy",IFERROR(INDEX('Category Rules'!$B$2:$B$358,MATCH(TRUE,ISNUMBER(SEARCH('Category Rules'!$A$2:$A$358,C1151)),0)),""))))))))</f>
        <v>Apple</v>
      </c>
    </row>
    <row r="1152" spans="1:7" x14ac:dyDescent="0.25">
      <c r="A1152" t="s">
        <v>6</v>
      </c>
      <c r="B1152" s="1">
        <v>45862</v>
      </c>
      <c r="C1152" t="s">
        <v>1077</v>
      </c>
      <c r="D1152">
        <v>-173.51</v>
      </c>
      <c r="E1152" t="s">
        <v>10</v>
      </c>
      <c r="F1152">
        <v>3811.16</v>
      </c>
      <c r="G1152" t="str" cm="1">
        <f t="array" ref="G1152">IF(AND(ISNUMBER(SEARCH("UBER",C1152)),ISNUMBER(SEARCH("EATS",C1152))),"Uber Eats",IF(LEFT(C1152,6)="CHECK ","Checks Paid",IF(OR(E1152="BILLPAY",ISNUMBER(SEARCH("FRANCHISE TAX",C1152)),ISNUMBER(SEARCH("NEXTLINK",C1152))),"Personal - House Bills",IF(AND(ISNUMBER(SEARCH("PAYMENT FROM",C1152)),ISNUMBER(SEARCH("JOE SAUNDERS",C1152))),"Zelle from Joe Saunders",IF(AND(ISNUMBER(SEARCH("PAYMENT TO",C1152)),ISNUMBER(SEARCH("JOE SAUNDERS",C1152))),"Zelle to Joe Saunders",IF(OR(ISNUMBER(SEARCH("NEW ORLEANS",C1152)),ISNUMBER(SEARCH("KENNER",C1152)),ISNUMBER(SEARCH("HENRY HOWARD",C1152)),ISNUMBER(SEARCH("MISS CLAUDIA",C1152))),"Personal Travel - New Orleans",IF(AND(YEAR(B1152)=2025,MONTH(B1152)=4,OR(ISNUMBER(SEARCH("EXCHANGE RATE",C1152)),ISNUMBER(SEARCH("EXCHG RTE",C1152)))),"Personal Travel - Italy",IFERROR(INDEX('Category Rules'!$B$2:$B$358,MATCH(TRUE,ISNUMBER(SEARCH('Category Rules'!$A$2:$A$358,C1152)),0)),""))))))))</f>
        <v>Personal - Health</v>
      </c>
    </row>
    <row r="1153" spans="1:7" x14ac:dyDescent="0.25">
      <c r="A1153" t="s">
        <v>6</v>
      </c>
      <c r="B1153" s="1">
        <v>45862</v>
      </c>
      <c r="C1153" t="s">
        <v>1078</v>
      </c>
      <c r="D1153">
        <v>-64.77</v>
      </c>
      <c r="E1153" t="s">
        <v>10</v>
      </c>
      <c r="F1153">
        <v>3984.67</v>
      </c>
      <c r="G1153" t="str" cm="1">
        <f t="array" ref="G1153">IF(AND(ISNUMBER(SEARCH("UBER",C1153)),ISNUMBER(SEARCH("EATS",C1153))),"Uber Eats",IF(LEFT(C1153,6)="CHECK ","Checks Paid",IF(OR(E1153="BILLPAY",ISNUMBER(SEARCH("FRANCHISE TAX",C1153)),ISNUMBER(SEARCH("NEXTLINK",C1153))),"Personal - House Bills",IF(AND(ISNUMBER(SEARCH("PAYMENT FROM",C1153)),ISNUMBER(SEARCH("JOE SAUNDERS",C1153))),"Zelle from Joe Saunders",IF(AND(ISNUMBER(SEARCH("PAYMENT TO",C1153)),ISNUMBER(SEARCH("JOE SAUNDERS",C1153))),"Zelle to Joe Saunders",IF(OR(ISNUMBER(SEARCH("NEW ORLEANS",C1153)),ISNUMBER(SEARCH("KENNER",C1153)),ISNUMBER(SEARCH("HENRY HOWARD",C1153)),ISNUMBER(SEARCH("MISS CLAUDIA",C1153))),"Personal Travel - New Orleans",IF(AND(YEAR(B1153)=2025,MONTH(B1153)=4,OR(ISNUMBER(SEARCH("EXCHANGE RATE",C1153)),ISNUMBER(SEARCH("EXCHG RTE",C1153)))),"Personal Travel - Italy",IFERROR(INDEX('Category Rules'!$B$2:$B$358,MATCH(TRUE,ISNUMBER(SEARCH('Category Rules'!$A$2:$A$358,C1153)),0)),""))))))))</f>
        <v>Amazon</v>
      </c>
    </row>
    <row r="1154" spans="1:7" x14ac:dyDescent="0.25">
      <c r="A1154" t="s">
        <v>44</v>
      </c>
      <c r="B1154" s="1">
        <v>45862</v>
      </c>
      <c r="C1154" t="s">
        <v>1079</v>
      </c>
      <c r="D1154">
        <v>2000</v>
      </c>
      <c r="E1154" t="s">
        <v>73</v>
      </c>
      <c r="F1154">
        <v>4049.44</v>
      </c>
      <c r="G1154" t="str" cm="1">
        <f t="array" ref="G1154">IF(AND(ISNUMBER(SEARCH("UBER",C1154)),ISNUMBER(SEARCH("EATS",C1154))),"Uber Eats",IF(LEFT(C1154,6)="CHECK ","Checks Paid",IF(OR(E1154="BILLPAY",ISNUMBER(SEARCH("FRANCHISE TAX",C1154)),ISNUMBER(SEARCH("NEXTLINK",C1154))),"Personal - House Bills",IF(AND(ISNUMBER(SEARCH("PAYMENT FROM",C1154)),ISNUMBER(SEARCH("JOE SAUNDERS",C1154))),"Zelle from Joe Saunders",IF(AND(ISNUMBER(SEARCH("PAYMENT TO",C1154)),ISNUMBER(SEARCH("JOE SAUNDERS",C1154))),"Zelle to Joe Saunders",IF(OR(ISNUMBER(SEARCH("NEW ORLEANS",C1154)),ISNUMBER(SEARCH("KENNER",C1154)),ISNUMBER(SEARCH("HENRY HOWARD",C1154)),ISNUMBER(SEARCH("MISS CLAUDIA",C1154))),"Personal Travel - New Orleans",IF(AND(YEAR(B1154)=2025,MONTH(B1154)=4,OR(ISNUMBER(SEARCH("EXCHANGE RATE",C1154)),ISNUMBER(SEARCH("EXCHG RTE",C1154)))),"Personal Travel - Italy",IFERROR(INDEX('Category Rules'!$B$2:$B$358,MATCH(TRUE,ISNUMBER(SEARCH('Category Rules'!$A$2:$A$358,C1154)),0)),""))))))))</f>
        <v>Transfer from DWG Capital Group</v>
      </c>
    </row>
    <row r="1155" spans="1:7" x14ac:dyDescent="0.25">
      <c r="A1155" t="s">
        <v>6</v>
      </c>
      <c r="B1155" s="1">
        <v>45861</v>
      </c>
      <c r="C1155" t="s">
        <v>1080</v>
      </c>
      <c r="D1155">
        <v>-537</v>
      </c>
      <c r="E1155" t="s">
        <v>10</v>
      </c>
      <c r="F1155">
        <v>2049.44</v>
      </c>
      <c r="G1155" t="str" cm="1">
        <f t="array" ref="G1155">IF(AND(ISNUMBER(SEARCH("UBER",C1155)),ISNUMBER(SEARCH("EATS",C1155))),"Uber Eats",IF(LEFT(C1155,6)="CHECK ","Checks Paid",IF(OR(E1155="BILLPAY",ISNUMBER(SEARCH("FRANCHISE TAX",C1155)),ISNUMBER(SEARCH("NEXTLINK",C1155))),"Personal - House Bills",IF(AND(ISNUMBER(SEARCH("PAYMENT FROM",C1155)),ISNUMBER(SEARCH("JOE SAUNDERS",C1155))),"Zelle from Joe Saunders",IF(AND(ISNUMBER(SEARCH("PAYMENT TO",C1155)),ISNUMBER(SEARCH("JOE SAUNDERS",C1155))),"Zelle to Joe Saunders",IF(OR(ISNUMBER(SEARCH("NEW ORLEANS",C1155)),ISNUMBER(SEARCH("KENNER",C1155)),ISNUMBER(SEARCH("HENRY HOWARD",C1155)),ISNUMBER(SEARCH("MISS CLAUDIA",C1155))),"Personal Travel - New Orleans",IF(AND(YEAR(B1155)=2025,MONTH(B1155)=4,OR(ISNUMBER(SEARCH("EXCHANGE RATE",C1155)),ISNUMBER(SEARCH("EXCHG RTE",C1155)))),"Personal Travel - Italy",IFERROR(INDEX('Category Rules'!$B$2:$B$358,MATCH(TRUE,ISNUMBER(SEARCH('Category Rules'!$A$2:$A$358,C1155)),0)),""))))))))</f>
        <v>Donation</v>
      </c>
    </row>
    <row r="1156" spans="1:7" x14ac:dyDescent="0.25">
      <c r="A1156" t="s">
        <v>6</v>
      </c>
      <c r="B1156" s="1">
        <v>45861</v>
      </c>
      <c r="C1156" t="s">
        <v>1081</v>
      </c>
      <c r="D1156">
        <v>-94.37</v>
      </c>
      <c r="E1156" t="s">
        <v>10</v>
      </c>
      <c r="F1156">
        <v>2586.44</v>
      </c>
      <c r="G1156" t="str" cm="1">
        <f t="array" ref="G1156">IF(AND(ISNUMBER(SEARCH("UBER",C1156)),ISNUMBER(SEARCH("EATS",C1156))),"Uber Eats",IF(LEFT(C1156,6)="CHECK ","Checks Paid",IF(OR(E1156="BILLPAY",ISNUMBER(SEARCH("FRANCHISE TAX",C1156)),ISNUMBER(SEARCH("NEXTLINK",C1156))),"Personal - House Bills",IF(AND(ISNUMBER(SEARCH("PAYMENT FROM",C1156)),ISNUMBER(SEARCH("JOE SAUNDERS",C1156))),"Zelle from Joe Saunders",IF(AND(ISNUMBER(SEARCH("PAYMENT TO",C1156)),ISNUMBER(SEARCH("JOE SAUNDERS",C1156))),"Zelle to Joe Saunders",IF(OR(ISNUMBER(SEARCH("NEW ORLEANS",C1156)),ISNUMBER(SEARCH("KENNER",C1156)),ISNUMBER(SEARCH("HENRY HOWARD",C1156)),ISNUMBER(SEARCH("MISS CLAUDIA",C1156))),"Personal Travel - New Orleans",IF(AND(YEAR(B1156)=2025,MONTH(B1156)=4,OR(ISNUMBER(SEARCH("EXCHANGE RATE",C1156)),ISNUMBER(SEARCH("EXCHG RTE",C1156)))),"Personal Travel - Italy",IFERROR(INDEX('Category Rules'!$B$2:$B$358,MATCH(TRUE,ISNUMBER(SEARCH('Category Rules'!$A$2:$A$358,C1156)),0)),""))))))))</f>
        <v>Amazon</v>
      </c>
    </row>
    <row r="1157" spans="1:7" x14ac:dyDescent="0.25">
      <c r="A1157" t="s">
        <v>6</v>
      </c>
      <c r="B1157" s="1">
        <v>45861</v>
      </c>
      <c r="C1157" t="s">
        <v>1082</v>
      </c>
      <c r="D1157">
        <v>-256.58999999999997</v>
      </c>
      <c r="E1157" t="s">
        <v>10</v>
      </c>
      <c r="F1157">
        <v>2680.81</v>
      </c>
      <c r="G1157" t="str" cm="1">
        <f t="array" ref="G1157">IF(AND(ISNUMBER(SEARCH("UBER",C1157)),ISNUMBER(SEARCH("EATS",C1157))),"Uber Eats",IF(LEFT(C1157,6)="CHECK ","Checks Paid",IF(OR(E1157="BILLPAY",ISNUMBER(SEARCH("FRANCHISE TAX",C1157)),ISNUMBER(SEARCH("NEXTLINK",C1157))),"Personal - House Bills",IF(AND(ISNUMBER(SEARCH("PAYMENT FROM",C1157)),ISNUMBER(SEARCH("JOE SAUNDERS",C1157))),"Zelle from Joe Saunders",IF(AND(ISNUMBER(SEARCH("PAYMENT TO",C1157)),ISNUMBER(SEARCH("JOE SAUNDERS",C1157))),"Zelle to Joe Saunders",IF(OR(ISNUMBER(SEARCH("NEW ORLEANS",C1157)),ISNUMBER(SEARCH("KENNER",C1157)),ISNUMBER(SEARCH("HENRY HOWARD",C1157)),ISNUMBER(SEARCH("MISS CLAUDIA",C1157))),"Personal Travel - New Orleans",IF(AND(YEAR(B1157)=2025,MONTH(B1157)=4,OR(ISNUMBER(SEARCH("EXCHANGE RATE",C1157)),ISNUMBER(SEARCH("EXCHG RTE",C1157)))),"Personal Travel - Italy",IFERROR(INDEX('Category Rules'!$B$2:$B$358,MATCH(TRUE,ISNUMBER(SEARCH('Category Rules'!$A$2:$A$358,C1157)),0)),""))))))))</f>
        <v>Personal - Shopping</v>
      </c>
    </row>
    <row r="1158" spans="1:7" x14ac:dyDescent="0.25">
      <c r="A1158" t="s">
        <v>6</v>
      </c>
      <c r="B1158" s="1">
        <v>45861</v>
      </c>
      <c r="C1158" t="s">
        <v>1083</v>
      </c>
      <c r="D1158">
        <v>-22.7</v>
      </c>
      <c r="E1158" t="s">
        <v>10</v>
      </c>
      <c r="F1158">
        <v>2937.4</v>
      </c>
      <c r="G1158" t="str" cm="1">
        <f t="array" ref="G1158">IF(AND(ISNUMBER(SEARCH("UBER",C1158)),ISNUMBER(SEARCH("EATS",C1158))),"Uber Eats",IF(LEFT(C1158,6)="CHECK ","Checks Paid",IF(OR(E1158="BILLPAY",ISNUMBER(SEARCH("FRANCHISE TAX",C1158)),ISNUMBER(SEARCH("NEXTLINK",C1158))),"Personal - House Bills",IF(AND(ISNUMBER(SEARCH("PAYMENT FROM",C1158)),ISNUMBER(SEARCH("JOE SAUNDERS",C1158))),"Zelle from Joe Saunders",IF(AND(ISNUMBER(SEARCH("PAYMENT TO",C1158)),ISNUMBER(SEARCH("JOE SAUNDERS",C1158))),"Zelle to Joe Saunders",IF(OR(ISNUMBER(SEARCH("NEW ORLEANS",C1158)),ISNUMBER(SEARCH("KENNER",C1158)),ISNUMBER(SEARCH("HENRY HOWARD",C1158)),ISNUMBER(SEARCH("MISS CLAUDIA",C1158))),"Personal Travel - New Orleans",IF(AND(YEAR(B1158)=2025,MONTH(B1158)=4,OR(ISNUMBER(SEARCH("EXCHANGE RATE",C1158)),ISNUMBER(SEARCH("EXCHG RTE",C1158)))),"Personal Travel - Italy",IFERROR(INDEX('Category Rules'!$B$2:$B$358,MATCH(TRUE,ISNUMBER(SEARCH('Category Rules'!$A$2:$A$358,C1158)),0)),""))))))))</f>
        <v>Personal - Food</v>
      </c>
    </row>
    <row r="1159" spans="1:7" x14ac:dyDescent="0.25">
      <c r="A1159" t="s">
        <v>6</v>
      </c>
      <c r="B1159" s="1">
        <v>45861</v>
      </c>
      <c r="C1159" t="s">
        <v>1084</v>
      </c>
      <c r="D1159">
        <v>-174.5</v>
      </c>
      <c r="E1159" t="s">
        <v>10</v>
      </c>
      <c r="F1159">
        <v>2960.1</v>
      </c>
      <c r="G1159" t="str" cm="1">
        <f t="array" ref="G1159">IF(AND(ISNUMBER(SEARCH("UBER",C1159)),ISNUMBER(SEARCH("EATS",C1159))),"Uber Eats",IF(LEFT(C1159,6)="CHECK ","Checks Paid",IF(OR(E1159="BILLPAY",ISNUMBER(SEARCH("FRANCHISE TAX",C1159)),ISNUMBER(SEARCH("NEXTLINK",C1159))),"Personal - House Bills",IF(AND(ISNUMBER(SEARCH("PAYMENT FROM",C1159)),ISNUMBER(SEARCH("JOE SAUNDERS",C1159))),"Zelle from Joe Saunders",IF(AND(ISNUMBER(SEARCH("PAYMENT TO",C1159)),ISNUMBER(SEARCH("JOE SAUNDERS",C1159))),"Zelle to Joe Saunders",IF(OR(ISNUMBER(SEARCH("NEW ORLEANS",C1159)),ISNUMBER(SEARCH("KENNER",C1159)),ISNUMBER(SEARCH("HENRY HOWARD",C1159)),ISNUMBER(SEARCH("MISS CLAUDIA",C1159))),"Personal Travel - New Orleans",IF(AND(YEAR(B1159)=2025,MONTH(B1159)=4,OR(ISNUMBER(SEARCH("EXCHANGE RATE",C1159)),ISNUMBER(SEARCH("EXCHG RTE",C1159)))),"Personal Travel - Italy",IFERROR(INDEX('Category Rules'!$B$2:$B$358,MATCH(TRUE,ISNUMBER(SEARCH('Category Rules'!$A$2:$A$358,C1159)),0)),""))))))))</f>
        <v>Amazon</v>
      </c>
    </row>
    <row r="1160" spans="1:7" x14ac:dyDescent="0.25">
      <c r="A1160" t="s">
        <v>6</v>
      </c>
      <c r="B1160" s="1">
        <v>45860</v>
      </c>
      <c r="C1160" t="s">
        <v>1085</v>
      </c>
      <c r="D1160">
        <v>-766.41</v>
      </c>
      <c r="E1160" t="s">
        <v>10</v>
      </c>
      <c r="F1160">
        <v>3134.6</v>
      </c>
      <c r="G1160" t="str" cm="1">
        <f t="array" ref="G1160">IF(AND(ISNUMBER(SEARCH("UBER",C1160)),ISNUMBER(SEARCH("EATS",C1160))),"Uber Eats",IF(LEFT(C1160,6)="CHECK ","Checks Paid",IF(OR(E1160="BILLPAY",ISNUMBER(SEARCH("FRANCHISE TAX",C1160)),ISNUMBER(SEARCH("NEXTLINK",C1160))),"Personal - House Bills",IF(AND(ISNUMBER(SEARCH("PAYMENT FROM",C1160)),ISNUMBER(SEARCH("JOE SAUNDERS",C1160))),"Zelle from Joe Saunders",IF(AND(ISNUMBER(SEARCH("PAYMENT TO",C1160)),ISNUMBER(SEARCH("JOE SAUNDERS",C1160))),"Zelle to Joe Saunders",IF(OR(ISNUMBER(SEARCH("NEW ORLEANS",C1160)),ISNUMBER(SEARCH("KENNER",C1160)),ISNUMBER(SEARCH("HENRY HOWARD",C1160)),ISNUMBER(SEARCH("MISS CLAUDIA",C1160))),"Personal Travel - New Orleans",IF(AND(YEAR(B1160)=2025,MONTH(B1160)=4,OR(ISNUMBER(SEARCH("EXCHANGE RATE",C1160)),ISNUMBER(SEARCH("EXCHG RTE",C1160)))),"Personal Travel - Italy",IFERROR(INDEX('Category Rules'!$B$2:$B$358,MATCH(TRUE,ISNUMBER(SEARCH('Category Rules'!$A$2:$A$358,C1160)),0)),""))))))))</f>
        <v>Personal - Food</v>
      </c>
    </row>
    <row r="1161" spans="1:7" x14ac:dyDescent="0.25">
      <c r="A1161" t="s">
        <v>6</v>
      </c>
      <c r="B1161" s="1">
        <v>45860</v>
      </c>
      <c r="C1161" t="s">
        <v>1086</v>
      </c>
      <c r="D1161">
        <v>-246</v>
      </c>
      <c r="E1161" t="s">
        <v>10</v>
      </c>
      <c r="F1161">
        <v>3901.01</v>
      </c>
      <c r="G1161" t="str" cm="1">
        <f t="array" ref="G1161">IF(AND(ISNUMBER(SEARCH("UBER",C1161)),ISNUMBER(SEARCH("EATS",C1161))),"Uber Eats",IF(LEFT(C1161,6)="CHECK ","Checks Paid",IF(OR(E1161="BILLPAY",ISNUMBER(SEARCH("FRANCHISE TAX",C1161)),ISNUMBER(SEARCH("NEXTLINK",C1161))),"Personal - House Bills",IF(AND(ISNUMBER(SEARCH("PAYMENT FROM",C1161)),ISNUMBER(SEARCH("JOE SAUNDERS",C1161))),"Zelle from Joe Saunders",IF(AND(ISNUMBER(SEARCH("PAYMENT TO",C1161)),ISNUMBER(SEARCH("JOE SAUNDERS",C1161))),"Zelle to Joe Saunders",IF(OR(ISNUMBER(SEARCH("NEW ORLEANS",C1161)),ISNUMBER(SEARCH("KENNER",C1161)),ISNUMBER(SEARCH("HENRY HOWARD",C1161)),ISNUMBER(SEARCH("MISS CLAUDIA",C1161))),"Personal Travel - New Orleans",IF(AND(YEAR(B1161)=2025,MONTH(B1161)=4,OR(ISNUMBER(SEARCH("EXCHANGE RATE",C1161)),ISNUMBER(SEARCH("EXCHG RTE",C1161)))),"Personal Travel - Italy",IFERROR(INDEX('Category Rules'!$B$2:$B$358,MATCH(TRUE,ISNUMBER(SEARCH('Category Rules'!$A$2:$A$358,C1161)),0)),""))))))))</f>
        <v>Personal - Clothing</v>
      </c>
    </row>
    <row r="1162" spans="1:7" x14ac:dyDescent="0.25">
      <c r="A1162" t="s">
        <v>6</v>
      </c>
      <c r="B1162" s="1">
        <v>45860</v>
      </c>
      <c r="C1162" t="s">
        <v>1087</v>
      </c>
      <c r="D1162">
        <v>-21.92</v>
      </c>
      <c r="E1162" t="s">
        <v>10</v>
      </c>
      <c r="F1162">
        <v>4147.01</v>
      </c>
      <c r="G1162" t="str" cm="1">
        <f t="array" ref="G1162">IF(AND(ISNUMBER(SEARCH("UBER",C1162)),ISNUMBER(SEARCH("EATS",C1162))),"Uber Eats",IF(LEFT(C1162,6)="CHECK ","Checks Paid",IF(OR(E1162="BILLPAY",ISNUMBER(SEARCH("FRANCHISE TAX",C1162)),ISNUMBER(SEARCH("NEXTLINK",C1162))),"Personal - House Bills",IF(AND(ISNUMBER(SEARCH("PAYMENT FROM",C1162)),ISNUMBER(SEARCH("JOE SAUNDERS",C1162))),"Zelle from Joe Saunders",IF(AND(ISNUMBER(SEARCH("PAYMENT TO",C1162)),ISNUMBER(SEARCH("JOE SAUNDERS",C1162))),"Zelle to Joe Saunders",IF(OR(ISNUMBER(SEARCH("NEW ORLEANS",C1162)),ISNUMBER(SEARCH("KENNER",C1162)),ISNUMBER(SEARCH("HENRY HOWARD",C1162)),ISNUMBER(SEARCH("MISS CLAUDIA",C1162))),"Personal Travel - New Orleans",IF(AND(YEAR(B1162)=2025,MONTH(B1162)=4,OR(ISNUMBER(SEARCH("EXCHANGE RATE",C1162)),ISNUMBER(SEARCH("EXCHG RTE",C1162)))),"Personal Travel - Italy",IFERROR(INDEX('Category Rules'!$B$2:$B$358,MATCH(TRUE,ISNUMBER(SEARCH('Category Rules'!$A$2:$A$358,C1162)),0)),""))))))))</f>
        <v>Amazon</v>
      </c>
    </row>
    <row r="1163" spans="1:7" x14ac:dyDescent="0.25">
      <c r="A1163" t="s">
        <v>6</v>
      </c>
      <c r="B1163" s="1">
        <v>45860</v>
      </c>
      <c r="C1163" t="s">
        <v>1088</v>
      </c>
      <c r="D1163">
        <v>-47</v>
      </c>
      <c r="E1163" t="s">
        <v>10</v>
      </c>
      <c r="F1163">
        <v>4168.93</v>
      </c>
      <c r="G1163" t="str" cm="1">
        <f t="array" ref="G1163">IF(AND(ISNUMBER(SEARCH("UBER",C1163)),ISNUMBER(SEARCH("EATS",C1163))),"Uber Eats",IF(LEFT(C1163,6)="CHECK ","Checks Paid",IF(OR(E1163="BILLPAY",ISNUMBER(SEARCH("FRANCHISE TAX",C1163)),ISNUMBER(SEARCH("NEXTLINK",C1163))),"Personal - House Bills",IF(AND(ISNUMBER(SEARCH("PAYMENT FROM",C1163)),ISNUMBER(SEARCH("JOE SAUNDERS",C1163))),"Zelle from Joe Saunders",IF(AND(ISNUMBER(SEARCH("PAYMENT TO",C1163)),ISNUMBER(SEARCH("JOE SAUNDERS",C1163))),"Zelle to Joe Saunders",IF(OR(ISNUMBER(SEARCH("NEW ORLEANS",C1163)),ISNUMBER(SEARCH("KENNER",C1163)),ISNUMBER(SEARCH("HENRY HOWARD",C1163)),ISNUMBER(SEARCH("MISS CLAUDIA",C1163))),"Personal Travel - New Orleans",IF(AND(YEAR(B1163)=2025,MONTH(B1163)=4,OR(ISNUMBER(SEARCH("EXCHANGE RATE",C1163)),ISNUMBER(SEARCH("EXCHG RTE",C1163)))),"Personal Travel - Italy",IFERROR(INDEX('Category Rules'!$B$2:$B$358,MATCH(TRUE,ISNUMBER(SEARCH('Category Rules'!$A$2:$A$358,C1163)),0)),""))))))))</f>
        <v>Personal - Health</v>
      </c>
    </row>
    <row r="1164" spans="1:7" x14ac:dyDescent="0.25">
      <c r="A1164" t="s">
        <v>6</v>
      </c>
      <c r="B1164" s="1">
        <v>45860</v>
      </c>
      <c r="C1164" t="s">
        <v>1089</v>
      </c>
      <c r="D1164">
        <v>-188.71</v>
      </c>
      <c r="E1164" t="s">
        <v>10</v>
      </c>
      <c r="F1164">
        <v>4215.93</v>
      </c>
      <c r="G1164" t="str" cm="1">
        <f t="array" ref="G1164">IF(AND(ISNUMBER(SEARCH("UBER",C1164)),ISNUMBER(SEARCH("EATS",C1164))),"Uber Eats",IF(LEFT(C1164,6)="CHECK ","Checks Paid",IF(OR(E1164="BILLPAY",ISNUMBER(SEARCH("FRANCHISE TAX",C1164)),ISNUMBER(SEARCH("NEXTLINK",C1164))),"Personal - House Bills",IF(AND(ISNUMBER(SEARCH("PAYMENT FROM",C1164)),ISNUMBER(SEARCH("JOE SAUNDERS",C1164))),"Zelle from Joe Saunders",IF(AND(ISNUMBER(SEARCH("PAYMENT TO",C1164)),ISNUMBER(SEARCH("JOE SAUNDERS",C1164))),"Zelle to Joe Saunders",IF(OR(ISNUMBER(SEARCH("NEW ORLEANS",C1164)),ISNUMBER(SEARCH("KENNER",C1164)),ISNUMBER(SEARCH("HENRY HOWARD",C1164)),ISNUMBER(SEARCH("MISS CLAUDIA",C1164))),"Personal Travel - New Orleans",IF(AND(YEAR(B1164)=2025,MONTH(B1164)=4,OR(ISNUMBER(SEARCH("EXCHANGE RATE",C1164)),ISNUMBER(SEARCH("EXCHG RTE",C1164)))),"Personal Travel - Italy",IFERROR(INDEX('Category Rules'!$B$2:$B$358,MATCH(TRUE,ISNUMBER(SEARCH('Category Rules'!$A$2:$A$358,C1164)),0)),""))))))))</f>
        <v>Personal - Food</v>
      </c>
    </row>
    <row r="1165" spans="1:7" x14ac:dyDescent="0.25">
      <c r="A1165" t="s">
        <v>6</v>
      </c>
      <c r="B1165" s="1">
        <v>45860</v>
      </c>
      <c r="C1165" t="s">
        <v>1090</v>
      </c>
      <c r="D1165">
        <v>-165.15</v>
      </c>
      <c r="E1165" t="s">
        <v>10</v>
      </c>
      <c r="F1165">
        <v>4404.6400000000003</v>
      </c>
      <c r="G1165" t="str" cm="1">
        <f t="array" ref="G1165">IF(AND(ISNUMBER(SEARCH("UBER",C1165)),ISNUMBER(SEARCH("EATS",C1165))),"Uber Eats",IF(LEFT(C1165,6)="CHECK ","Checks Paid",IF(OR(E1165="BILLPAY",ISNUMBER(SEARCH("FRANCHISE TAX",C1165)),ISNUMBER(SEARCH("NEXTLINK",C1165))),"Personal - House Bills",IF(AND(ISNUMBER(SEARCH("PAYMENT FROM",C1165)),ISNUMBER(SEARCH("JOE SAUNDERS",C1165))),"Zelle from Joe Saunders",IF(AND(ISNUMBER(SEARCH("PAYMENT TO",C1165)),ISNUMBER(SEARCH("JOE SAUNDERS",C1165))),"Zelle to Joe Saunders",IF(OR(ISNUMBER(SEARCH("NEW ORLEANS",C1165)),ISNUMBER(SEARCH("KENNER",C1165)),ISNUMBER(SEARCH("HENRY HOWARD",C1165)),ISNUMBER(SEARCH("MISS CLAUDIA",C1165))),"Personal Travel - New Orleans",IF(AND(YEAR(B1165)=2025,MONTH(B1165)=4,OR(ISNUMBER(SEARCH("EXCHANGE RATE",C1165)),ISNUMBER(SEARCH("EXCHG RTE",C1165)))),"Personal Travel - Italy",IFERROR(INDEX('Category Rules'!$B$2:$B$358,MATCH(TRUE,ISNUMBER(SEARCH('Category Rules'!$A$2:$A$358,C1165)),0)),""))))))))</f>
        <v>Personal - Shopping</v>
      </c>
    </row>
    <row r="1166" spans="1:7" x14ac:dyDescent="0.25">
      <c r="A1166" t="s">
        <v>6</v>
      </c>
      <c r="B1166" s="1">
        <v>45860</v>
      </c>
      <c r="C1166" t="s">
        <v>1091</v>
      </c>
      <c r="D1166">
        <v>-44.97</v>
      </c>
      <c r="E1166" t="s">
        <v>10</v>
      </c>
      <c r="F1166">
        <v>4569.79</v>
      </c>
      <c r="G1166" t="str" cm="1">
        <f t="array" ref="G1166">IF(AND(ISNUMBER(SEARCH("UBER",C1166)),ISNUMBER(SEARCH("EATS",C1166))),"Uber Eats",IF(LEFT(C1166,6)="CHECK ","Checks Paid",IF(OR(E1166="BILLPAY",ISNUMBER(SEARCH("FRANCHISE TAX",C1166)),ISNUMBER(SEARCH("NEXTLINK",C1166))),"Personal - House Bills",IF(AND(ISNUMBER(SEARCH("PAYMENT FROM",C1166)),ISNUMBER(SEARCH("JOE SAUNDERS",C1166))),"Zelle from Joe Saunders",IF(AND(ISNUMBER(SEARCH("PAYMENT TO",C1166)),ISNUMBER(SEARCH("JOE SAUNDERS",C1166))),"Zelle to Joe Saunders",IF(OR(ISNUMBER(SEARCH("NEW ORLEANS",C1166)),ISNUMBER(SEARCH("KENNER",C1166)),ISNUMBER(SEARCH("HENRY HOWARD",C1166)),ISNUMBER(SEARCH("MISS CLAUDIA",C1166))),"Personal Travel - New Orleans",IF(AND(YEAR(B1166)=2025,MONTH(B1166)=4,OR(ISNUMBER(SEARCH("EXCHANGE RATE",C1166)),ISNUMBER(SEARCH("EXCHG RTE",C1166)))),"Personal Travel - Italy",IFERROR(INDEX('Category Rules'!$B$2:$B$358,MATCH(TRUE,ISNUMBER(SEARCH('Category Rules'!$A$2:$A$358,C1166)),0)),""))))))))</f>
        <v>Amazon</v>
      </c>
    </row>
    <row r="1167" spans="1:7" x14ac:dyDescent="0.25">
      <c r="A1167" t="s">
        <v>6</v>
      </c>
      <c r="B1167" s="1">
        <v>45860</v>
      </c>
      <c r="C1167" t="s">
        <v>1092</v>
      </c>
      <c r="D1167">
        <v>-88.69</v>
      </c>
      <c r="E1167" t="s">
        <v>10</v>
      </c>
      <c r="F1167">
        <v>4614.76</v>
      </c>
      <c r="G1167" t="str" cm="1">
        <f t="array" ref="G1167">IF(AND(ISNUMBER(SEARCH("UBER",C1167)),ISNUMBER(SEARCH("EATS",C1167))),"Uber Eats",IF(LEFT(C1167,6)="CHECK ","Checks Paid",IF(OR(E1167="BILLPAY",ISNUMBER(SEARCH("FRANCHISE TAX",C1167)),ISNUMBER(SEARCH("NEXTLINK",C1167))),"Personal - House Bills",IF(AND(ISNUMBER(SEARCH("PAYMENT FROM",C1167)),ISNUMBER(SEARCH("JOE SAUNDERS",C1167))),"Zelle from Joe Saunders",IF(AND(ISNUMBER(SEARCH("PAYMENT TO",C1167)),ISNUMBER(SEARCH("JOE SAUNDERS",C1167))),"Zelle to Joe Saunders",IF(OR(ISNUMBER(SEARCH("NEW ORLEANS",C1167)),ISNUMBER(SEARCH("KENNER",C1167)),ISNUMBER(SEARCH("HENRY HOWARD",C1167)),ISNUMBER(SEARCH("MISS CLAUDIA",C1167))),"Personal Travel - New Orleans",IF(AND(YEAR(B1167)=2025,MONTH(B1167)=4,OR(ISNUMBER(SEARCH("EXCHANGE RATE",C1167)),ISNUMBER(SEARCH("EXCHG RTE",C1167)))),"Personal Travel - Italy",IFERROR(INDEX('Category Rules'!$B$2:$B$358,MATCH(TRUE,ISNUMBER(SEARCH('Category Rules'!$A$2:$A$358,C1167)),0)),""))))))))</f>
        <v>Amazon</v>
      </c>
    </row>
    <row r="1168" spans="1:7" x14ac:dyDescent="0.25">
      <c r="A1168" t="s">
        <v>44</v>
      </c>
      <c r="B1168" s="1">
        <v>45860</v>
      </c>
      <c r="C1168" t="s">
        <v>1093</v>
      </c>
      <c r="D1168">
        <v>3000</v>
      </c>
      <c r="E1168" t="s">
        <v>73</v>
      </c>
      <c r="F1168">
        <v>4703.45</v>
      </c>
      <c r="G1168" t="str" cm="1">
        <f t="array" ref="G1168">IF(AND(ISNUMBER(SEARCH("UBER",C1168)),ISNUMBER(SEARCH("EATS",C1168))),"Uber Eats",IF(LEFT(C1168,6)="CHECK ","Checks Paid",IF(OR(E1168="BILLPAY",ISNUMBER(SEARCH("FRANCHISE TAX",C1168)),ISNUMBER(SEARCH("NEXTLINK",C1168))),"Personal - House Bills",IF(AND(ISNUMBER(SEARCH("PAYMENT FROM",C1168)),ISNUMBER(SEARCH("JOE SAUNDERS",C1168))),"Zelle from Joe Saunders",IF(AND(ISNUMBER(SEARCH("PAYMENT TO",C1168)),ISNUMBER(SEARCH("JOE SAUNDERS",C1168))),"Zelle to Joe Saunders",IF(OR(ISNUMBER(SEARCH("NEW ORLEANS",C1168)),ISNUMBER(SEARCH("KENNER",C1168)),ISNUMBER(SEARCH("HENRY HOWARD",C1168)),ISNUMBER(SEARCH("MISS CLAUDIA",C1168))),"Personal Travel - New Orleans",IF(AND(YEAR(B1168)=2025,MONTH(B1168)=4,OR(ISNUMBER(SEARCH("EXCHANGE RATE",C1168)),ISNUMBER(SEARCH("EXCHG RTE",C1168)))),"Personal Travel - Italy",IFERROR(INDEX('Category Rules'!$B$2:$B$358,MATCH(TRUE,ISNUMBER(SEARCH('Category Rules'!$A$2:$A$358,C1168)),0)),""))))))))</f>
        <v>Transfer from DWG Capital Group</v>
      </c>
    </row>
    <row r="1169" spans="1:7" x14ac:dyDescent="0.25">
      <c r="A1169" t="s">
        <v>6</v>
      </c>
      <c r="B1169" s="1">
        <v>45859</v>
      </c>
      <c r="C1169" t="s">
        <v>1094</v>
      </c>
      <c r="D1169">
        <v>-228.35</v>
      </c>
      <c r="E1169" t="s">
        <v>10</v>
      </c>
      <c r="F1169">
        <v>1703.45</v>
      </c>
      <c r="G1169" t="str" cm="1">
        <f t="array" ref="G1169">IF(AND(ISNUMBER(SEARCH("UBER",C1169)),ISNUMBER(SEARCH("EATS",C1169))),"Uber Eats",IF(LEFT(C1169,6)="CHECK ","Checks Paid",IF(OR(E1169="BILLPAY",ISNUMBER(SEARCH("FRANCHISE TAX",C1169)),ISNUMBER(SEARCH("NEXTLINK",C1169))),"Personal - House Bills",IF(AND(ISNUMBER(SEARCH("PAYMENT FROM",C1169)),ISNUMBER(SEARCH("JOE SAUNDERS",C1169))),"Zelle from Joe Saunders",IF(AND(ISNUMBER(SEARCH("PAYMENT TO",C1169)),ISNUMBER(SEARCH("JOE SAUNDERS",C1169))),"Zelle to Joe Saunders",IF(OR(ISNUMBER(SEARCH("NEW ORLEANS",C1169)),ISNUMBER(SEARCH("KENNER",C1169)),ISNUMBER(SEARCH("HENRY HOWARD",C1169)),ISNUMBER(SEARCH("MISS CLAUDIA",C1169))),"Personal Travel - New Orleans",IF(AND(YEAR(B1169)=2025,MONTH(B1169)=4,OR(ISNUMBER(SEARCH("EXCHANGE RATE",C1169)),ISNUMBER(SEARCH("EXCHG RTE",C1169)))),"Personal Travel - Italy",IFERROR(INDEX('Category Rules'!$B$2:$B$358,MATCH(TRUE,ISNUMBER(SEARCH('Category Rules'!$A$2:$A$358,C1169)),0)),""))))))))</f>
        <v>Personal - Food</v>
      </c>
    </row>
    <row r="1170" spans="1:7" x14ac:dyDescent="0.25">
      <c r="A1170" t="s">
        <v>6</v>
      </c>
      <c r="B1170" s="1">
        <v>45859</v>
      </c>
      <c r="C1170" t="s">
        <v>1095</v>
      </c>
      <c r="D1170">
        <v>-7.06</v>
      </c>
      <c r="E1170" t="s">
        <v>10</v>
      </c>
      <c r="F1170">
        <v>1931.8</v>
      </c>
      <c r="G1170" t="str" cm="1">
        <f t="array" ref="G1170">IF(AND(ISNUMBER(SEARCH("UBER",C1170)),ISNUMBER(SEARCH("EATS",C1170))),"Uber Eats",IF(LEFT(C1170,6)="CHECK ","Checks Paid",IF(OR(E1170="BILLPAY",ISNUMBER(SEARCH("FRANCHISE TAX",C1170)),ISNUMBER(SEARCH("NEXTLINK",C1170))),"Personal - House Bills",IF(AND(ISNUMBER(SEARCH("PAYMENT FROM",C1170)),ISNUMBER(SEARCH("JOE SAUNDERS",C1170))),"Zelle from Joe Saunders",IF(AND(ISNUMBER(SEARCH("PAYMENT TO",C1170)),ISNUMBER(SEARCH("JOE SAUNDERS",C1170))),"Zelle to Joe Saunders",IF(OR(ISNUMBER(SEARCH("NEW ORLEANS",C1170)),ISNUMBER(SEARCH("KENNER",C1170)),ISNUMBER(SEARCH("HENRY HOWARD",C1170)),ISNUMBER(SEARCH("MISS CLAUDIA",C1170))),"Personal Travel - New Orleans",IF(AND(YEAR(B1170)=2025,MONTH(B1170)=4,OR(ISNUMBER(SEARCH("EXCHANGE RATE",C1170)),ISNUMBER(SEARCH("EXCHG RTE",C1170)))),"Personal Travel - Italy",IFERROR(INDEX('Category Rules'!$B$2:$B$358,MATCH(TRUE,ISNUMBER(SEARCH('Category Rules'!$A$2:$A$358,C1170)),0)),""))))))))</f>
        <v>Uber Eats</v>
      </c>
    </row>
    <row r="1171" spans="1:7" x14ac:dyDescent="0.25">
      <c r="A1171" t="s">
        <v>6</v>
      </c>
      <c r="B1171" s="1">
        <v>45859</v>
      </c>
      <c r="C1171" t="s">
        <v>1096</v>
      </c>
      <c r="D1171">
        <v>-33.299999999999997</v>
      </c>
      <c r="E1171" t="s">
        <v>10</v>
      </c>
      <c r="F1171">
        <v>1938.86</v>
      </c>
      <c r="G1171" t="str" cm="1">
        <f t="array" ref="G1171">IF(AND(ISNUMBER(SEARCH("UBER",C1171)),ISNUMBER(SEARCH("EATS",C1171))),"Uber Eats",IF(LEFT(C1171,6)="CHECK ","Checks Paid",IF(OR(E1171="BILLPAY",ISNUMBER(SEARCH("FRANCHISE TAX",C1171)),ISNUMBER(SEARCH("NEXTLINK",C1171))),"Personal - House Bills",IF(AND(ISNUMBER(SEARCH("PAYMENT FROM",C1171)),ISNUMBER(SEARCH("JOE SAUNDERS",C1171))),"Zelle from Joe Saunders",IF(AND(ISNUMBER(SEARCH("PAYMENT TO",C1171)),ISNUMBER(SEARCH("JOE SAUNDERS",C1171))),"Zelle to Joe Saunders",IF(OR(ISNUMBER(SEARCH("NEW ORLEANS",C1171)),ISNUMBER(SEARCH("KENNER",C1171)),ISNUMBER(SEARCH("HENRY HOWARD",C1171)),ISNUMBER(SEARCH("MISS CLAUDIA",C1171))),"Personal Travel - New Orleans",IF(AND(YEAR(B1171)=2025,MONTH(B1171)=4,OR(ISNUMBER(SEARCH("EXCHANGE RATE",C1171)),ISNUMBER(SEARCH("EXCHG RTE",C1171)))),"Personal Travel - Italy",IFERROR(INDEX('Category Rules'!$B$2:$B$358,MATCH(TRUE,ISNUMBER(SEARCH('Category Rules'!$A$2:$A$358,C1171)),0)),""))))))))</f>
        <v>Uber Eats</v>
      </c>
    </row>
    <row r="1172" spans="1:7" x14ac:dyDescent="0.25">
      <c r="A1172" t="s">
        <v>6</v>
      </c>
      <c r="B1172" s="1">
        <v>45859</v>
      </c>
      <c r="C1172" t="s">
        <v>1097</v>
      </c>
      <c r="D1172">
        <v>-82.05</v>
      </c>
      <c r="E1172" t="s">
        <v>10</v>
      </c>
      <c r="F1172">
        <v>1972.16</v>
      </c>
      <c r="G1172" t="str" cm="1">
        <f t="array" ref="G1172">IF(AND(ISNUMBER(SEARCH("UBER",C1172)),ISNUMBER(SEARCH("EATS",C1172))),"Uber Eats",IF(LEFT(C1172,6)="CHECK ","Checks Paid",IF(OR(E1172="BILLPAY",ISNUMBER(SEARCH("FRANCHISE TAX",C1172)),ISNUMBER(SEARCH("NEXTLINK",C1172))),"Personal - House Bills",IF(AND(ISNUMBER(SEARCH("PAYMENT FROM",C1172)),ISNUMBER(SEARCH("JOE SAUNDERS",C1172))),"Zelle from Joe Saunders",IF(AND(ISNUMBER(SEARCH("PAYMENT TO",C1172)),ISNUMBER(SEARCH("JOE SAUNDERS",C1172))),"Zelle to Joe Saunders",IF(OR(ISNUMBER(SEARCH("NEW ORLEANS",C1172)),ISNUMBER(SEARCH("KENNER",C1172)),ISNUMBER(SEARCH("HENRY HOWARD",C1172)),ISNUMBER(SEARCH("MISS CLAUDIA",C1172))),"Personal Travel - New Orleans",IF(AND(YEAR(B1172)=2025,MONTH(B1172)=4,OR(ISNUMBER(SEARCH("EXCHANGE RATE",C1172)),ISNUMBER(SEARCH("EXCHG RTE",C1172)))),"Personal Travel - Italy",IFERROR(INDEX('Category Rules'!$B$2:$B$358,MATCH(TRUE,ISNUMBER(SEARCH('Category Rules'!$A$2:$A$358,C1172)),0)),""))))))))</f>
        <v>Personal - Food</v>
      </c>
    </row>
    <row r="1173" spans="1:7" x14ac:dyDescent="0.25">
      <c r="A1173" t="s">
        <v>6</v>
      </c>
      <c r="B1173" s="1">
        <v>45859</v>
      </c>
      <c r="C1173" t="s">
        <v>1098</v>
      </c>
      <c r="D1173">
        <v>-28.52</v>
      </c>
      <c r="E1173" t="s">
        <v>10</v>
      </c>
      <c r="F1173">
        <v>2054.21</v>
      </c>
      <c r="G1173" t="str" cm="1">
        <f t="array" ref="G1173">IF(AND(ISNUMBER(SEARCH("UBER",C1173)),ISNUMBER(SEARCH("EATS",C1173))),"Uber Eats",IF(LEFT(C1173,6)="CHECK ","Checks Paid",IF(OR(E1173="BILLPAY",ISNUMBER(SEARCH("FRANCHISE TAX",C1173)),ISNUMBER(SEARCH("NEXTLINK",C1173))),"Personal - House Bills",IF(AND(ISNUMBER(SEARCH("PAYMENT FROM",C1173)),ISNUMBER(SEARCH("JOE SAUNDERS",C1173))),"Zelle from Joe Saunders",IF(AND(ISNUMBER(SEARCH("PAYMENT TO",C1173)),ISNUMBER(SEARCH("JOE SAUNDERS",C1173))),"Zelle to Joe Saunders",IF(OR(ISNUMBER(SEARCH("NEW ORLEANS",C1173)),ISNUMBER(SEARCH("KENNER",C1173)),ISNUMBER(SEARCH("HENRY HOWARD",C1173)),ISNUMBER(SEARCH("MISS CLAUDIA",C1173))),"Personal Travel - New Orleans",IF(AND(YEAR(B1173)=2025,MONTH(B1173)=4,OR(ISNUMBER(SEARCH("EXCHANGE RATE",C1173)),ISNUMBER(SEARCH("EXCHG RTE",C1173)))),"Personal Travel - Italy",IFERROR(INDEX('Category Rules'!$B$2:$B$358,MATCH(TRUE,ISNUMBER(SEARCH('Category Rules'!$A$2:$A$358,C1173)),0)),""))))))))</f>
        <v>Amazon</v>
      </c>
    </row>
    <row r="1174" spans="1:7" x14ac:dyDescent="0.25">
      <c r="A1174" t="s">
        <v>6</v>
      </c>
      <c r="B1174" s="1">
        <v>45859</v>
      </c>
      <c r="C1174" t="s">
        <v>1099</v>
      </c>
      <c r="D1174">
        <v>-149.96</v>
      </c>
      <c r="E1174" t="s">
        <v>10</v>
      </c>
      <c r="F1174">
        <v>2082.73</v>
      </c>
      <c r="G1174" t="str" cm="1">
        <f t="array" ref="G1174">IF(AND(ISNUMBER(SEARCH("UBER",C1174)),ISNUMBER(SEARCH("EATS",C1174))),"Uber Eats",IF(LEFT(C1174,6)="CHECK ","Checks Paid",IF(OR(E1174="BILLPAY",ISNUMBER(SEARCH("FRANCHISE TAX",C1174)),ISNUMBER(SEARCH("NEXTLINK",C1174))),"Personal - House Bills",IF(AND(ISNUMBER(SEARCH("PAYMENT FROM",C1174)),ISNUMBER(SEARCH("JOE SAUNDERS",C1174))),"Zelle from Joe Saunders",IF(AND(ISNUMBER(SEARCH("PAYMENT TO",C1174)),ISNUMBER(SEARCH("JOE SAUNDERS",C1174))),"Zelle to Joe Saunders",IF(OR(ISNUMBER(SEARCH("NEW ORLEANS",C1174)),ISNUMBER(SEARCH("KENNER",C1174)),ISNUMBER(SEARCH("HENRY HOWARD",C1174)),ISNUMBER(SEARCH("MISS CLAUDIA",C1174))),"Personal Travel - New Orleans",IF(AND(YEAR(B1174)=2025,MONTH(B1174)=4,OR(ISNUMBER(SEARCH("EXCHANGE RATE",C1174)),ISNUMBER(SEARCH("EXCHG RTE",C1174)))),"Personal Travel - Italy",IFERROR(INDEX('Category Rules'!$B$2:$B$358,MATCH(TRUE,ISNUMBER(SEARCH('Category Rules'!$A$2:$A$358,C1174)),0)),""))))))))</f>
        <v>Personal - House Bills</v>
      </c>
    </row>
    <row r="1175" spans="1:7" x14ac:dyDescent="0.25">
      <c r="A1175" t="s">
        <v>6</v>
      </c>
      <c r="B1175" s="1">
        <v>45859</v>
      </c>
      <c r="C1175" t="s">
        <v>1100</v>
      </c>
      <c r="D1175">
        <v>-188.22</v>
      </c>
      <c r="E1175" t="s">
        <v>10</v>
      </c>
      <c r="F1175">
        <v>2232.69</v>
      </c>
      <c r="G1175" t="str" cm="1">
        <f t="array" ref="G1175">IF(AND(ISNUMBER(SEARCH("UBER",C1175)),ISNUMBER(SEARCH("EATS",C1175))),"Uber Eats",IF(LEFT(C1175,6)="CHECK ","Checks Paid",IF(OR(E1175="BILLPAY",ISNUMBER(SEARCH("FRANCHISE TAX",C1175)),ISNUMBER(SEARCH("NEXTLINK",C1175))),"Personal - House Bills",IF(AND(ISNUMBER(SEARCH("PAYMENT FROM",C1175)),ISNUMBER(SEARCH("JOE SAUNDERS",C1175))),"Zelle from Joe Saunders",IF(AND(ISNUMBER(SEARCH("PAYMENT TO",C1175)),ISNUMBER(SEARCH("JOE SAUNDERS",C1175))),"Zelle to Joe Saunders",IF(OR(ISNUMBER(SEARCH("NEW ORLEANS",C1175)),ISNUMBER(SEARCH("KENNER",C1175)),ISNUMBER(SEARCH("HENRY HOWARD",C1175)),ISNUMBER(SEARCH("MISS CLAUDIA",C1175))),"Personal Travel - New Orleans",IF(AND(YEAR(B1175)=2025,MONTH(B1175)=4,OR(ISNUMBER(SEARCH("EXCHANGE RATE",C1175)),ISNUMBER(SEARCH("EXCHG RTE",C1175)))),"Personal Travel - Italy",IFERROR(INDEX('Category Rules'!$B$2:$B$358,MATCH(TRUE,ISNUMBER(SEARCH('Category Rules'!$A$2:$A$358,C1175)),0)),""))))))))</f>
        <v>Personal - Health</v>
      </c>
    </row>
    <row r="1176" spans="1:7" x14ac:dyDescent="0.25">
      <c r="A1176" t="s">
        <v>6</v>
      </c>
      <c r="B1176" s="1">
        <v>45859</v>
      </c>
      <c r="C1176" t="s">
        <v>1101</v>
      </c>
      <c r="D1176">
        <v>-18</v>
      </c>
      <c r="E1176" t="s">
        <v>10</v>
      </c>
      <c r="F1176">
        <v>2420.91</v>
      </c>
      <c r="G1176" t="str" cm="1">
        <f t="array" ref="G1176">IF(AND(ISNUMBER(SEARCH("UBER",C1176)),ISNUMBER(SEARCH("EATS",C1176))),"Uber Eats",IF(LEFT(C1176,6)="CHECK ","Checks Paid",IF(OR(E1176="BILLPAY",ISNUMBER(SEARCH("FRANCHISE TAX",C1176)),ISNUMBER(SEARCH("NEXTLINK",C1176))),"Personal - House Bills",IF(AND(ISNUMBER(SEARCH("PAYMENT FROM",C1176)),ISNUMBER(SEARCH("JOE SAUNDERS",C1176))),"Zelle from Joe Saunders",IF(AND(ISNUMBER(SEARCH("PAYMENT TO",C1176)),ISNUMBER(SEARCH("JOE SAUNDERS",C1176))),"Zelle to Joe Saunders",IF(OR(ISNUMBER(SEARCH("NEW ORLEANS",C1176)),ISNUMBER(SEARCH("KENNER",C1176)),ISNUMBER(SEARCH("HENRY HOWARD",C1176)),ISNUMBER(SEARCH("MISS CLAUDIA",C1176))),"Personal Travel - New Orleans",IF(AND(YEAR(B1176)=2025,MONTH(B1176)=4,OR(ISNUMBER(SEARCH("EXCHANGE RATE",C1176)),ISNUMBER(SEARCH("EXCHG RTE",C1176)))),"Personal Travel - Italy",IFERROR(INDEX('Category Rules'!$B$2:$B$358,MATCH(TRUE,ISNUMBER(SEARCH('Category Rules'!$A$2:$A$358,C1176)),0)),""))))))))</f>
        <v>Personal - Subscription</v>
      </c>
    </row>
    <row r="1177" spans="1:7" x14ac:dyDescent="0.25">
      <c r="A1177" t="s">
        <v>6</v>
      </c>
      <c r="B1177" s="1">
        <v>45859</v>
      </c>
      <c r="C1177" t="s">
        <v>1102</v>
      </c>
      <c r="D1177">
        <v>-26.96</v>
      </c>
      <c r="E1177" t="s">
        <v>10</v>
      </c>
      <c r="F1177">
        <v>2438.91</v>
      </c>
      <c r="G1177" t="str" cm="1">
        <f t="array" ref="G1177">IF(AND(ISNUMBER(SEARCH("UBER",C1177)),ISNUMBER(SEARCH("EATS",C1177))),"Uber Eats",IF(LEFT(C1177,6)="CHECK ","Checks Paid",IF(OR(E1177="BILLPAY",ISNUMBER(SEARCH("FRANCHISE TAX",C1177)),ISNUMBER(SEARCH("NEXTLINK",C1177))),"Personal - House Bills",IF(AND(ISNUMBER(SEARCH("PAYMENT FROM",C1177)),ISNUMBER(SEARCH("JOE SAUNDERS",C1177))),"Zelle from Joe Saunders",IF(AND(ISNUMBER(SEARCH("PAYMENT TO",C1177)),ISNUMBER(SEARCH("JOE SAUNDERS",C1177))),"Zelle to Joe Saunders",IF(OR(ISNUMBER(SEARCH("NEW ORLEANS",C1177)),ISNUMBER(SEARCH("KENNER",C1177)),ISNUMBER(SEARCH("HENRY HOWARD",C1177)),ISNUMBER(SEARCH("MISS CLAUDIA",C1177))),"Personal Travel - New Orleans",IF(AND(YEAR(B1177)=2025,MONTH(B1177)=4,OR(ISNUMBER(SEARCH("EXCHANGE RATE",C1177)),ISNUMBER(SEARCH("EXCHG RTE",C1177)))),"Personal Travel - Italy",IFERROR(INDEX('Category Rules'!$B$2:$B$358,MATCH(TRUE,ISNUMBER(SEARCH('Category Rules'!$A$2:$A$358,C1177)),0)),""))))))))</f>
        <v>Uber Eats</v>
      </c>
    </row>
    <row r="1178" spans="1:7" x14ac:dyDescent="0.25">
      <c r="A1178" t="s">
        <v>6</v>
      </c>
      <c r="B1178" s="1">
        <v>45859</v>
      </c>
      <c r="C1178" t="s">
        <v>1103</v>
      </c>
      <c r="D1178">
        <v>-65.36</v>
      </c>
      <c r="E1178" t="s">
        <v>10</v>
      </c>
      <c r="F1178">
        <v>2465.87</v>
      </c>
      <c r="G1178" t="str" cm="1">
        <f t="array" ref="G1178">IF(AND(ISNUMBER(SEARCH("UBER",C1178)),ISNUMBER(SEARCH("EATS",C1178))),"Uber Eats",IF(LEFT(C1178,6)="CHECK ","Checks Paid",IF(OR(E1178="BILLPAY",ISNUMBER(SEARCH("FRANCHISE TAX",C1178)),ISNUMBER(SEARCH("NEXTLINK",C1178))),"Personal - House Bills",IF(AND(ISNUMBER(SEARCH("PAYMENT FROM",C1178)),ISNUMBER(SEARCH("JOE SAUNDERS",C1178))),"Zelle from Joe Saunders",IF(AND(ISNUMBER(SEARCH("PAYMENT TO",C1178)),ISNUMBER(SEARCH("JOE SAUNDERS",C1178))),"Zelle to Joe Saunders",IF(OR(ISNUMBER(SEARCH("NEW ORLEANS",C1178)),ISNUMBER(SEARCH("KENNER",C1178)),ISNUMBER(SEARCH("HENRY HOWARD",C1178)),ISNUMBER(SEARCH("MISS CLAUDIA",C1178))),"Personal Travel - New Orleans",IF(AND(YEAR(B1178)=2025,MONTH(B1178)=4,OR(ISNUMBER(SEARCH("EXCHANGE RATE",C1178)),ISNUMBER(SEARCH("EXCHG RTE",C1178)))),"Personal Travel - Italy",IFERROR(INDEX('Category Rules'!$B$2:$B$358,MATCH(TRUE,ISNUMBER(SEARCH('Category Rules'!$A$2:$A$358,C1178)),0)),""))))))))</f>
        <v>Personal - Entertainment</v>
      </c>
    </row>
    <row r="1179" spans="1:7" x14ac:dyDescent="0.25">
      <c r="A1179" t="s">
        <v>6</v>
      </c>
      <c r="B1179" s="1">
        <v>45859</v>
      </c>
      <c r="C1179" t="s">
        <v>1104</v>
      </c>
      <c r="D1179">
        <v>-91.04</v>
      </c>
      <c r="E1179" t="s">
        <v>10</v>
      </c>
      <c r="F1179">
        <v>2531.23</v>
      </c>
      <c r="G1179" t="str" cm="1">
        <f t="array" ref="G1179">IF(AND(ISNUMBER(SEARCH("UBER",C1179)),ISNUMBER(SEARCH("EATS",C1179))),"Uber Eats",IF(LEFT(C1179,6)="CHECK ","Checks Paid",IF(OR(E1179="BILLPAY",ISNUMBER(SEARCH("FRANCHISE TAX",C1179)),ISNUMBER(SEARCH("NEXTLINK",C1179))),"Personal - House Bills",IF(AND(ISNUMBER(SEARCH("PAYMENT FROM",C1179)),ISNUMBER(SEARCH("JOE SAUNDERS",C1179))),"Zelle from Joe Saunders",IF(AND(ISNUMBER(SEARCH("PAYMENT TO",C1179)),ISNUMBER(SEARCH("JOE SAUNDERS",C1179))),"Zelle to Joe Saunders",IF(OR(ISNUMBER(SEARCH("NEW ORLEANS",C1179)),ISNUMBER(SEARCH("KENNER",C1179)),ISNUMBER(SEARCH("HENRY HOWARD",C1179)),ISNUMBER(SEARCH("MISS CLAUDIA",C1179))),"Personal Travel - New Orleans",IF(AND(YEAR(B1179)=2025,MONTH(B1179)=4,OR(ISNUMBER(SEARCH("EXCHANGE RATE",C1179)),ISNUMBER(SEARCH("EXCHG RTE",C1179)))),"Personal Travel - Italy",IFERROR(INDEX('Category Rules'!$B$2:$B$358,MATCH(TRUE,ISNUMBER(SEARCH('Category Rules'!$A$2:$A$358,C1179)),0)),""))))))))</f>
        <v>Amazon</v>
      </c>
    </row>
    <row r="1180" spans="1:7" x14ac:dyDescent="0.25">
      <c r="A1180" t="s">
        <v>6</v>
      </c>
      <c r="B1180" s="1">
        <v>45859</v>
      </c>
      <c r="C1180" t="s">
        <v>1105</v>
      </c>
      <c r="D1180">
        <v>-140.28</v>
      </c>
      <c r="E1180" t="s">
        <v>10</v>
      </c>
      <c r="F1180">
        <v>2622.27</v>
      </c>
      <c r="G1180" t="str" cm="1">
        <f t="array" ref="G1180">IF(AND(ISNUMBER(SEARCH("UBER",C1180)),ISNUMBER(SEARCH("EATS",C1180))),"Uber Eats",IF(LEFT(C1180,6)="CHECK ","Checks Paid",IF(OR(E1180="BILLPAY",ISNUMBER(SEARCH("FRANCHISE TAX",C1180)),ISNUMBER(SEARCH("NEXTLINK",C1180))),"Personal - House Bills",IF(AND(ISNUMBER(SEARCH("PAYMENT FROM",C1180)),ISNUMBER(SEARCH("JOE SAUNDERS",C1180))),"Zelle from Joe Saunders",IF(AND(ISNUMBER(SEARCH("PAYMENT TO",C1180)),ISNUMBER(SEARCH("JOE SAUNDERS",C1180))),"Zelle to Joe Saunders",IF(OR(ISNUMBER(SEARCH("NEW ORLEANS",C1180)),ISNUMBER(SEARCH("KENNER",C1180)),ISNUMBER(SEARCH("HENRY HOWARD",C1180)),ISNUMBER(SEARCH("MISS CLAUDIA",C1180))),"Personal Travel - New Orleans",IF(AND(YEAR(B1180)=2025,MONTH(B1180)=4,OR(ISNUMBER(SEARCH("EXCHANGE RATE",C1180)),ISNUMBER(SEARCH("EXCHG RTE",C1180)))),"Personal Travel - Italy",IFERROR(INDEX('Category Rules'!$B$2:$B$358,MATCH(TRUE,ISNUMBER(SEARCH('Category Rules'!$A$2:$A$358,C1180)),0)),""))))))))</f>
        <v>Personal - Shopping</v>
      </c>
    </row>
    <row r="1181" spans="1:7" x14ac:dyDescent="0.25">
      <c r="A1181" t="s">
        <v>6</v>
      </c>
      <c r="B1181" s="1">
        <v>45859</v>
      </c>
      <c r="C1181" t="s">
        <v>1106</v>
      </c>
      <c r="D1181">
        <v>-356.82</v>
      </c>
      <c r="E1181" t="s">
        <v>10</v>
      </c>
      <c r="F1181">
        <v>2762.55</v>
      </c>
      <c r="G1181" t="str" cm="1">
        <f t="array" ref="G1181">IF(AND(ISNUMBER(SEARCH("UBER",C1181)),ISNUMBER(SEARCH("EATS",C1181))),"Uber Eats",IF(LEFT(C1181,6)="CHECK ","Checks Paid",IF(OR(E1181="BILLPAY",ISNUMBER(SEARCH("FRANCHISE TAX",C1181)),ISNUMBER(SEARCH("NEXTLINK",C1181))),"Personal - House Bills",IF(AND(ISNUMBER(SEARCH("PAYMENT FROM",C1181)),ISNUMBER(SEARCH("JOE SAUNDERS",C1181))),"Zelle from Joe Saunders",IF(AND(ISNUMBER(SEARCH("PAYMENT TO",C1181)),ISNUMBER(SEARCH("JOE SAUNDERS",C1181))),"Zelle to Joe Saunders",IF(OR(ISNUMBER(SEARCH("NEW ORLEANS",C1181)),ISNUMBER(SEARCH("KENNER",C1181)),ISNUMBER(SEARCH("HENRY HOWARD",C1181)),ISNUMBER(SEARCH("MISS CLAUDIA",C1181))),"Personal Travel - New Orleans",IF(AND(YEAR(B1181)=2025,MONTH(B1181)=4,OR(ISNUMBER(SEARCH("EXCHANGE RATE",C1181)),ISNUMBER(SEARCH("EXCHG RTE",C1181)))),"Personal Travel - Italy",IFERROR(INDEX('Category Rules'!$B$2:$B$358,MATCH(TRUE,ISNUMBER(SEARCH('Category Rules'!$A$2:$A$358,C1181)),0)),""))))))))</f>
        <v>Personal Travel</v>
      </c>
    </row>
    <row r="1182" spans="1:7" x14ac:dyDescent="0.25">
      <c r="A1182" t="s">
        <v>6</v>
      </c>
      <c r="B1182" s="1">
        <v>45859</v>
      </c>
      <c r="C1182" t="s">
        <v>1107</v>
      </c>
      <c r="D1182">
        <v>-25</v>
      </c>
      <c r="E1182" t="s">
        <v>10</v>
      </c>
      <c r="F1182">
        <v>3119.37</v>
      </c>
      <c r="G1182" t="str" cm="1">
        <f t="array" ref="G1182">IF(AND(ISNUMBER(SEARCH("UBER",C1182)),ISNUMBER(SEARCH("EATS",C1182))),"Uber Eats",IF(LEFT(C1182,6)="CHECK ","Checks Paid",IF(OR(E1182="BILLPAY",ISNUMBER(SEARCH("FRANCHISE TAX",C1182)),ISNUMBER(SEARCH("NEXTLINK",C1182))),"Personal - House Bills",IF(AND(ISNUMBER(SEARCH("PAYMENT FROM",C1182)),ISNUMBER(SEARCH("JOE SAUNDERS",C1182))),"Zelle from Joe Saunders",IF(AND(ISNUMBER(SEARCH("PAYMENT TO",C1182)),ISNUMBER(SEARCH("JOE SAUNDERS",C1182))),"Zelle to Joe Saunders",IF(OR(ISNUMBER(SEARCH("NEW ORLEANS",C1182)),ISNUMBER(SEARCH("KENNER",C1182)),ISNUMBER(SEARCH("HENRY HOWARD",C1182)),ISNUMBER(SEARCH("MISS CLAUDIA",C1182))),"Personal Travel - New Orleans",IF(AND(YEAR(B1182)=2025,MONTH(B1182)=4,OR(ISNUMBER(SEARCH("EXCHANGE RATE",C1182)),ISNUMBER(SEARCH("EXCHG RTE",C1182)))),"Personal Travel - Italy",IFERROR(INDEX('Category Rules'!$B$2:$B$358,MATCH(TRUE,ISNUMBER(SEARCH('Category Rules'!$A$2:$A$358,C1182)),0)),""))))))))</f>
        <v>Personal - Entertainment</v>
      </c>
    </row>
    <row r="1183" spans="1:7" x14ac:dyDescent="0.25">
      <c r="A1183" t="s">
        <v>6</v>
      </c>
      <c r="B1183" s="1">
        <v>45859</v>
      </c>
      <c r="C1183" t="s">
        <v>1108</v>
      </c>
      <c r="D1183">
        <v>-70.13</v>
      </c>
      <c r="E1183" t="s">
        <v>10</v>
      </c>
      <c r="F1183">
        <v>3144.37</v>
      </c>
      <c r="G1183" t="str" cm="1">
        <f t="array" ref="G1183">IF(AND(ISNUMBER(SEARCH("UBER",C1183)),ISNUMBER(SEARCH("EATS",C1183))),"Uber Eats",IF(LEFT(C1183,6)="CHECK ","Checks Paid",IF(OR(E1183="BILLPAY",ISNUMBER(SEARCH("FRANCHISE TAX",C1183)),ISNUMBER(SEARCH("NEXTLINK",C1183))),"Personal - House Bills",IF(AND(ISNUMBER(SEARCH("PAYMENT FROM",C1183)),ISNUMBER(SEARCH("JOE SAUNDERS",C1183))),"Zelle from Joe Saunders",IF(AND(ISNUMBER(SEARCH("PAYMENT TO",C1183)),ISNUMBER(SEARCH("JOE SAUNDERS",C1183))),"Zelle to Joe Saunders",IF(OR(ISNUMBER(SEARCH("NEW ORLEANS",C1183)),ISNUMBER(SEARCH("KENNER",C1183)),ISNUMBER(SEARCH("HENRY HOWARD",C1183)),ISNUMBER(SEARCH("MISS CLAUDIA",C1183))),"Personal Travel - New Orleans",IF(AND(YEAR(B1183)=2025,MONTH(B1183)=4,OR(ISNUMBER(SEARCH("EXCHANGE RATE",C1183)),ISNUMBER(SEARCH("EXCHG RTE",C1183)))),"Personal Travel - Italy",IFERROR(INDEX('Category Rules'!$B$2:$B$358,MATCH(TRUE,ISNUMBER(SEARCH('Category Rules'!$A$2:$A$358,C1183)),0)),""))))))))</f>
        <v>Personal - Entertainment</v>
      </c>
    </row>
    <row r="1184" spans="1:7" x14ac:dyDescent="0.25">
      <c r="A1184" t="s">
        <v>6</v>
      </c>
      <c r="B1184" s="1">
        <v>45859</v>
      </c>
      <c r="C1184" t="s">
        <v>1109</v>
      </c>
      <c r="D1184">
        <v>-20</v>
      </c>
      <c r="E1184" t="s">
        <v>10</v>
      </c>
      <c r="F1184">
        <v>3214.5</v>
      </c>
      <c r="G1184" t="str" cm="1">
        <f t="array" ref="G1184">IF(AND(ISNUMBER(SEARCH("UBER",C1184)),ISNUMBER(SEARCH("EATS",C1184))),"Uber Eats",IF(LEFT(C1184,6)="CHECK ","Checks Paid",IF(OR(E1184="BILLPAY",ISNUMBER(SEARCH("FRANCHISE TAX",C1184)),ISNUMBER(SEARCH("NEXTLINK",C1184))),"Personal - House Bills",IF(AND(ISNUMBER(SEARCH("PAYMENT FROM",C1184)),ISNUMBER(SEARCH("JOE SAUNDERS",C1184))),"Zelle from Joe Saunders",IF(AND(ISNUMBER(SEARCH("PAYMENT TO",C1184)),ISNUMBER(SEARCH("JOE SAUNDERS",C1184))),"Zelle to Joe Saunders",IF(OR(ISNUMBER(SEARCH("NEW ORLEANS",C1184)),ISNUMBER(SEARCH("KENNER",C1184)),ISNUMBER(SEARCH("HENRY HOWARD",C1184)),ISNUMBER(SEARCH("MISS CLAUDIA",C1184))),"Personal Travel - New Orleans",IF(AND(YEAR(B1184)=2025,MONTH(B1184)=4,OR(ISNUMBER(SEARCH("EXCHANGE RATE",C1184)),ISNUMBER(SEARCH("EXCHG RTE",C1184)))),"Personal Travel - Italy",IFERROR(INDEX('Category Rules'!$B$2:$B$358,MATCH(TRUE,ISNUMBER(SEARCH('Category Rules'!$A$2:$A$358,C1184)),0)),""))))))))</f>
        <v>Amazon</v>
      </c>
    </row>
    <row r="1185" spans="1:7" x14ac:dyDescent="0.25">
      <c r="A1185" t="s">
        <v>6</v>
      </c>
      <c r="B1185" s="1">
        <v>45859</v>
      </c>
      <c r="C1185" t="s">
        <v>1110</v>
      </c>
      <c r="D1185">
        <v>-33.409999999999997</v>
      </c>
      <c r="E1185" t="s">
        <v>10</v>
      </c>
      <c r="F1185">
        <v>3234.5</v>
      </c>
      <c r="G1185" t="str" cm="1">
        <f t="array" ref="G1185">IF(AND(ISNUMBER(SEARCH("UBER",C1185)),ISNUMBER(SEARCH("EATS",C1185))),"Uber Eats",IF(LEFT(C1185,6)="CHECK ","Checks Paid",IF(OR(E1185="BILLPAY",ISNUMBER(SEARCH("FRANCHISE TAX",C1185)),ISNUMBER(SEARCH("NEXTLINK",C1185))),"Personal - House Bills",IF(AND(ISNUMBER(SEARCH("PAYMENT FROM",C1185)),ISNUMBER(SEARCH("JOE SAUNDERS",C1185))),"Zelle from Joe Saunders",IF(AND(ISNUMBER(SEARCH("PAYMENT TO",C1185)),ISNUMBER(SEARCH("JOE SAUNDERS",C1185))),"Zelle to Joe Saunders",IF(OR(ISNUMBER(SEARCH("NEW ORLEANS",C1185)),ISNUMBER(SEARCH("KENNER",C1185)),ISNUMBER(SEARCH("HENRY HOWARD",C1185)),ISNUMBER(SEARCH("MISS CLAUDIA",C1185))),"Personal Travel - New Orleans",IF(AND(YEAR(B1185)=2025,MONTH(B1185)=4,OR(ISNUMBER(SEARCH("EXCHANGE RATE",C1185)),ISNUMBER(SEARCH("EXCHG RTE",C1185)))),"Personal Travel - Italy",IFERROR(INDEX('Category Rules'!$B$2:$B$358,MATCH(TRUE,ISNUMBER(SEARCH('Category Rules'!$A$2:$A$358,C1185)),0)),""))))))))</f>
        <v>Personal - Entertainment</v>
      </c>
    </row>
    <row r="1186" spans="1:7" x14ac:dyDescent="0.25">
      <c r="A1186" t="s">
        <v>6</v>
      </c>
      <c r="B1186" s="1">
        <v>45859</v>
      </c>
      <c r="C1186" t="s">
        <v>1111</v>
      </c>
      <c r="D1186">
        <v>-1000</v>
      </c>
      <c r="E1186" t="s">
        <v>10</v>
      </c>
      <c r="F1186">
        <v>3267.91</v>
      </c>
      <c r="G1186" t="str" cm="1">
        <f t="array" ref="G1186">IF(AND(ISNUMBER(SEARCH("UBER",C1186)),ISNUMBER(SEARCH("EATS",C1186))),"Uber Eats",IF(LEFT(C1186,6)="CHECK ","Checks Paid",IF(OR(E1186="BILLPAY",ISNUMBER(SEARCH("FRANCHISE TAX",C1186)),ISNUMBER(SEARCH("NEXTLINK",C1186))),"Personal - House Bills",IF(AND(ISNUMBER(SEARCH("PAYMENT FROM",C1186)),ISNUMBER(SEARCH("JOE SAUNDERS",C1186))),"Zelle from Joe Saunders",IF(AND(ISNUMBER(SEARCH("PAYMENT TO",C1186)),ISNUMBER(SEARCH("JOE SAUNDERS",C1186))),"Zelle to Joe Saunders",IF(OR(ISNUMBER(SEARCH("NEW ORLEANS",C1186)),ISNUMBER(SEARCH("KENNER",C1186)),ISNUMBER(SEARCH("HENRY HOWARD",C1186)),ISNUMBER(SEARCH("MISS CLAUDIA",C1186))),"Personal Travel - New Orleans",IF(AND(YEAR(B1186)=2025,MONTH(B1186)=4,OR(ISNUMBER(SEARCH("EXCHANGE RATE",C1186)),ISNUMBER(SEARCH("EXCHG RTE",C1186)))),"Personal Travel - Italy",IFERROR(INDEX('Category Rules'!$B$2:$B$358,MATCH(TRUE,ISNUMBER(SEARCH('Category Rules'!$A$2:$A$358,C1186)),0)),""))))))))</f>
        <v>Personal - Health</v>
      </c>
    </row>
    <row r="1187" spans="1:7" x14ac:dyDescent="0.25">
      <c r="A1187" t="s">
        <v>6</v>
      </c>
      <c r="B1187" s="1">
        <v>45859</v>
      </c>
      <c r="C1187" t="s">
        <v>1112</v>
      </c>
      <c r="D1187">
        <v>-609.41999999999996</v>
      </c>
      <c r="E1187" t="s">
        <v>10</v>
      </c>
      <c r="F1187">
        <v>4267.91</v>
      </c>
      <c r="G1187" t="str" cm="1">
        <f t="array" ref="G1187">IF(AND(ISNUMBER(SEARCH("UBER",C1187)),ISNUMBER(SEARCH("EATS",C1187))),"Uber Eats",IF(LEFT(C1187,6)="CHECK ","Checks Paid",IF(OR(E1187="BILLPAY",ISNUMBER(SEARCH("FRANCHISE TAX",C1187)),ISNUMBER(SEARCH("NEXTLINK",C1187))),"Personal - House Bills",IF(AND(ISNUMBER(SEARCH("PAYMENT FROM",C1187)),ISNUMBER(SEARCH("JOE SAUNDERS",C1187))),"Zelle from Joe Saunders",IF(AND(ISNUMBER(SEARCH("PAYMENT TO",C1187)),ISNUMBER(SEARCH("JOE SAUNDERS",C1187))),"Zelle to Joe Saunders",IF(OR(ISNUMBER(SEARCH("NEW ORLEANS",C1187)),ISNUMBER(SEARCH("KENNER",C1187)),ISNUMBER(SEARCH("HENRY HOWARD",C1187)),ISNUMBER(SEARCH("MISS CLAUDIA",C1187))),"Personal Travel - New Orleans",IF(AND(YEAR(B1187)=2025,MONTH(B1187)=4,OR(ISNUMBER(SEARCH("EXCHANGE RATE",C1187)),ISNUMBER(SEARCH("EXCHG RTE",C1187)))),"Personal Travel - Italy",IFERROR(INDEX('Category Rules'!$B$2:$B$358,MATCH(TRUE,ISNUMBER(SEARCH('Category Rules'!$A$2:$A$358,C1187)),0)),""))))))))</f>
        <v>Personal - Shopping</v>
      </c>
    </row>
    <row r="1188" spans="1:7" x14ac:dyDescent="0.25">
      <c r="A1188" t="s">
        <v>6</v>
      </c>
      <c r="B1188" s="1">
        <v>45859</v>
      </c>
      <c r="C1188" t="s">
        <v>1113</v>
      </c>
      <c r="D1188">
        <v>-380.48</v>
      </c>
      <c r="E1188" t="s">
        <v>10</v>
      </c>
      <c r="F1188">
        <v>4877.33</v>
      </c>
      <c r="G1188" t="str" cm="1">
        <f t="array" ref="G1188">IF(AND(ISNUMBER(SEARCH("UBER",C1188)),ISNUMBER(SEARCH("EATS",C1188))),"Uber Eats",IF(LEFT(C1188,6)="CHECK ","Checks Paid",IF(OR(E1188="BILLPAY",ISNUMBER(SEARCH("FRANCHISE TAX",C1188)),ISNUMBER(SEARCH("NEXTLINK",C1188))),"Personal - House Bills",IF(AND(ISNUMBER(SEARCH("PAYMENT FROM",C1188)),ISNUMBER(SEARCH("JOE SAUNDERS",C1188))),"Zelle from Joe Saunders",IF(AND(ISNUMBER(SEARCH("PAYMENT TO",C1188)),ISNUMBER(SEARCH("JOE SAUNDERS",C1188))),"Zelle to Joe Saunders",IF(OR(ISNUMBER(SEARCH("NEW ORLEANS",C1188)),ISNUMBER(SEARCH("KENNER",C1188)),ISNUMBER(SEARCH("HENRY HOWARD",C1188)),ISNUMBER(SEARCH("MISS CLAUDIA",C1188))),"Personal Travel - New Orleans",IF(AND(YEAR(B1188)=2025,MONTH(B1188)=4,OR(ISNUMBER(SEARCH("EXCHANGE RATE",C1188)),ISNUMBER(SEARCH("EXCHG RTE",C1188)))),"Personal Travel - Italy",IFERROR(INDEX('Category Rules'!$B$2:$B$358,MATCH(TRUE,ISNUMBER(SEARCH('Category Rules'!$A$2:$A$358,C1188)),0)),""))))))))</f>
        <v>Personal Travel</v>
      </c>
    </row>
    <row r="1189" spans="1:7" x14ac:dyDescent="0.25">
      <c r="A1189" t="s">
        <v>44</v>
      </c>
      <c r="B1189" s="1">
        <v>45859</v>
      </c>
      <c r="C1189" t="s">
        <v>1114</v>
      </c>
      <c r="D1189">
        <v>2000</v>
      </c>
      <c r="E1189" t="s">
        <v>73</v>
      </c>
      <c r="F1189">
        <v>5257.81</v>
      </c>
      <c r="G1189" t="str" cm="1">
        <f t="array" ref="G1189">IF(AND(ISNUMBER(SEARCH("UBER",C1189)),ISNUMBER(SEARCH("EATS",C1189))),"Uber Eats",IF(LEFT(C1189,6)="CHECK ","Checks Paid",IF(OR(E1189="BILLPAY",ISNUMBER(SEARCH("FRANCHISE TAX",C1189)),ISNUMBER(SEARCH("NEXTLINK",C1189))),"Personal - House Bills",IF(AND(ISNUMBER(SEARCH("PAYMENT FROM",C1189)),ISNUMBER(SEARCH("JOE SAUNDERS",C1189))),"Zelle from Joe Saunders",IF(AND(ISNUMBER(SEARCH("PAYMENT TO",C1189)),ISNUMBER(SEARCH("JOE SAUNDERS",C1189))),"Zelle to Joe Saunders",IF(OR(ISNUMBER(SEARCH("NEW ORLEANS",C1189)),ISNUMBER(SEARCH("KENNER",C1189)),ISNUMBER(SEARCH("HENRY HOWARD",C1189)),ISNUMBER(SEARCH("MISS CLAUDIA",C1189))),"Personal Travel - New Orleans",IF(AND(YEAR(B1189)=2025,MONTH(B1189)=4,OR(ISNUMBER(SEARCH("EXCHANGE RATE",C1189)),ISNUMBER(SEARCH("EXCHG RTE",C1189)))),"Personal Travel - Italy",IFERROR(INDEX('Category Rules'!$B$2:$B$358,MATCH(TRUE,ISNUMBER(SEARCH('Category Rules'!$A$2:$A$358,C1189)),0)),""))))))))</f>
        <v>Transfer from DWG Capital Group</v>
      </c>
    </row>
    <row r="1190" spans="1:7" x14ac:dyDescent="0.25">
      <c r="A1190" t="s">
        <v>6</v>
      </c>
      <c r="B1190" s="1">
        <v>45856</v>
      </c>
      <c r="C1190" t="s">
        <v>1115</v>
      </c>
      <c r="D1190">
        <v>-21.96</v>
      </c>
      <c r="E1190" t="s">
        <v>10</v>
      </c>
      <c r="F1190">
        <v>3257.81</v>
      </c>
      <c r="G1190" t="str" cm="1">
        <f t="array" ref="G1190">IF(AND(ISNUMBER(SEARCH("UBER",C1190)),ISNUMBER(SEARCH("EATS",C1190))),"Uber Eats",IF(LEFT(C1190,6)="CHECK ","Checks Paid",IF(OR(E1190="BILLPAY",ISNUMBER(SEARCH("FRANCHISE TAX",C1190)),ISNUMBER(SEARCH("NEXTLINK",C1190))),"Personal - House Bills",IF(AND(ISNUMBER(SEARCH("PAYMENT FROM",C1190)),ISNUMBER(SEARCH("JOE SAUNDERS",C1190))),"Zelle from Joe Saunders",IF(AND(ISNUMBER(SEARCH("PAYMENT TO",C1190)),ISNUMBER(SEARCH("JOE SAUNDERS",C1190))),"Zelle to Joe Saunders",IF(OR(ISNUMBER(SEARCH("NEW ORLEANS",C1190)),ISNUMBER(SEARCH("KENNER",C1190)),ISNUMBER(SEARCH("HENRY HOWARD",C1190)),ISNUMBER(SEARCH("MISS CLAUDIA",C1190))),"Personal Travel - New Orleans",IF(AND(YEAR(B1190)=2025,MONTH(B1190)=4,OR(ISNUMBER(SEARCH("EXCHANGE RATE",C1190)),ISNUMBER(SEARCH("EXCHG RTE",C1190)))),"Personal Travel - Italy",IFERROR(INDEX('Category Rules'!$B$2:$B$358,MATCH(TRUE,ISNUMBER(SEARCH('Category Rules'!$A$2:$A$358,C1190)),0)),""))))))))</f>
        <v>Personal - Uber</v>
      </c>
    </row>
    <row r="1191" spans="1:7" x14ac:dyDescent="0.25">
      <c r="A1191" t="s">
        <v>6</v>
      </c>
      <c r="B1191" s="1">
        <v>45856</v>
      </c>
      <c r="C1191" t="s">
        <v>1116</v>
      </c>
      <c r="D1191">
        <v>-2</v>
      </c>
      <c r="E1191" t="s">
        <v>10</v>
      </c>
      <c r="F1191">
        <v>3279.77</v>
      </c>
      <c r="G1191" t="str" cm="1">
        <f t="array" ref="G1191">IF(AND(ISNUMBER(SEARCH("UBER",C1191)),ISNUMBER(SEARCH("EATS",C1191))),"Uber Eats",IF(LEFT(C1191,6)="CHECK ","Checks Paid",IF(OR(E1191="BILLPAY",ISNUMBER(SEARCH("FRANCHISE TAX",C1191)),ISNUMBER(SEARCH("NEXTLINK",C1191))),"Personal - House Bills",IF(AND(ISNUMBER(SEARCH("PAYMENT FROM",C1191)),ISNUMBER(SEARCH("JOE SAUNDERS",C1191))),"Zelle from Joe Saunders",IF(AND(ISNUMBER(SEARCH("PAYMENT TO",C1191)),ISNUMBER(SEARCH("JOE SAUNDERS",C1191))),"Zelle to Joe Saunders",IF(OR(ISNUMBER(SEARCH("NEW ORLEANS",C1191)),ISNUMBER(SEARCH("KENNER",C1191)),ISNUMBER(SEARCH("HENRY HOWARD",C1191)),ISNUMBER(SEARCH("MISS CLAUDIA",C1191))),"Personal Travel - New Orleans",IF(AND(YEAR(B1191)=2025,MONTH(B1191)=4,OR(ISNUMBER(SEARCH("EXCHANGE RATE",C1191)),ISNUMBER(SEARCH("EXCHG RTE",C1191)))),"Personal Travel - Italy",IFERROR(INDEX('Category Rules'!$B$2:$B$358,MATCH(TRUE,ISNUMBER(SEARCH('Category Rules'!$A$2:$A$358,C1191)),0)),""))))))))</f>
        <v>Personal - Uber</v>
      </c>
    </row>
    <row r="1192" spans="1:7" x14ac:dyDescent="0.25">
      <c r="A1192" t="s">
        <v>6</v>
      </c>
      <c r="B1192" s="1">
        <v>45856</v>
      </c>
      <c r="C1192" t="s">
        <v>1117</v>
      </c>
      <c r="D1192">
        <v>-700</v>
      </c>
      <c r="E1192" t="s">
        <v>33</v>
      </c>
      <c r="F1192">
        <v>3281.77</v>
      </c>
      <c r="G1192" t="str" cm="1">
        <f t="array" ref="G1192">IF(AND(ISNUMBER(SEARCH("UBER",C1192)),ISNUMBER(SEARCH("EATS",C1192))),"Uber Eats",IF(LEFT(C1192,6)="CHECK ","Checks Paid",IF(OR(E1192="BILLPAY",ISNUMBER(SEARCH("FRANCHISE TAX",C1192)),ISNUMBER(SEARCH("NEXTLINK",C1192))),"Personal - House Bills",IF(AND(ISNUMBER(SEARCH("PAYMENT FROM",C1192)),ISNUMBER(SEARCH("JOE SAUNDERS",C1192))),"Zelle from Joe Saunders",IF(AND(ISNUMBER(SEARCH("PAYMENT TO",C1192)),ISNUMBER(SEARCH("JOE SAUNDERS",C1192))),"Zelle to Joe Saunders",IF(OR(ISNUMBER(SEARCH("NEW ORLEANS",C1192)),ISNUMBER(SEARCH("KENNER",C1192)),ISNUMBER(SEARCH("HENRY HOWARD",C1192)),ISNUMBER(SEARCH("MISS CLAUDIA",C1192))),"Personal Travel - New Orleans",IF(AND(YEAR(B1192)=2025,MONTH(B1192)=4,OR(ISNUMBER(SEARCH("EXCHANGE RATE",C1192)),ISNUMBER(SEARCH("EXCHG RTE",C1192)))),"Personal Travel - Italy",IFERROR(INDEX('Category Rules'!$B$2:$B$358,MATCH(TRUE,ISNUMBER(SEARCH('Category Rules'!$A$2:$A$358,C1192)),0)),""))))))))</f>
        <v>Personal - House Bills</v>
      </c>
    </row>
    <row r="1193" spans="1:7" x14ac:dyDescent="0.25">
      <c r="A1193" t="s">
        <v>6</v>
      </c>
      <c r="B1193" s="1">
        <v>45856</v>
      </c>
      <c r="C1193" t="s">
        <v>1118</v>
      </c>
      <c r="D1193">
        <v>-42.32</v>
      </c>
      <c r="E1193" t="s">
        <v>10</v>
      </c>
      <c r="F1193">
        <v>3981.77</v>
      </c>
      <c r="G1193" t="str" cm="1">
        <f t="array" ref="G1193">IF(AND(ISNUMBER(SEARCH("UBER",C1193)),ISNUMBER(SEARCH("EATS",C1193))),"Uber Eats",IF(LEFT(C1193,6)="CHECK ","Checks Paid",IF(OR(E1193="BILLPAY",ISNUMBER(SEARCH("FRANCHISE TAX",C1193)),ISNUMBER(SEARCH("NEXTLINK",C1193))),"Personal - House Bills",IF(AND(ISNUMBER(SEARCH("PAYMENT FROM",C1193)),ISNUMBER(SEARCH("JOE SAUNDERS",C1193))),"Zelle from Joe Saunders",IF(AND(ISNUMBER(SEARCH("PAYMENT TO",C1193)),ISNUMBER(SEARCH("JOE SAUNDERS",C1193))),"Zelle to Joe Saunders",IF(OR(ISNUMBER(SEARCH("NEW ORLEANS",C1193)),ISNUMBER(SEARCH("KENNER",C1193)),ISNUMBER(SEARCH("HENRY HOWARD",C1193)),ISNUMBER(SEARCH("MISS CLAUDIA",C1193))),"Personal Travel - New Orleans",IF(AND(YEAR(B1193)=2025,MONTH(B1193)=4,OR(ISNUMBER(SEARCH("EXCHANGE RATE",C1193)),ISNUMBER(SEARCH("EXCHG RTE",C1193)))),"Personal Travel - Italy",IFERROR(INDEX('Category Rules'!$B$2:$B$358,MATCH(TRUE,ISNUMBER(SEARCH('Category Rules'!$A$2:$A$358,C1193)),0)),""))))))))</f>
        <v>Uber Eats</v>
      </c>
    </row>
    <row r="1194" spans="1:7" x14ac:dyDescent="0.25">
      <c r="A1194" t="s">
        <v>6</v>
      </c>
      <c r="B1194" s="1">
        <v>45856</v>
      </c>
      <c r="C1194" t="s">
        <v>1119</v>
      </c>
      <c r="D1194">
        <v>-53.59</v>
      </c>
      <c r="E1194" t="s">
        <v>10</v>
      </c>
      <c r="F1194">
        <v>4024.09</v>
      </c>
      <c r="G1194" t="str" cm="1">
        <f t="array" ref="G1194">IF(AND(ISNUMBER(SEARCH("UBER",C1194)),ISNUMBER(SEARCH("EATS",C1194))),"Uber Eats",IF(LEFT(C1194,6)="CHECK ","Checks Paid",IF(OR(E1194="BILLPAY",ISNUMBER(SEARCH("FRANCHISE TAX",C1194)),ISNUMBER(SEARCH("NEXTLINK",C1194))),"Personal - House Bills",IF(AND(ISNUMBER(SEARCH("PAYMENT FROM",C1194)),ISNUMBER(SEARCH("JOE SAUNDERS",C1194))),"Zelle from Joe Saunders",IF(AND(ISNUMBER(SEARCH("PAYMENT TO",C1194)),ISNUMBER(SEARCH("JOE SAUNDERS",C1194))),"Zelle to Joe Saunders",IF(OR(ISNUMBER(SEARCH("NEW ORLEANS",C1194)),ISNUMBER(SEARCH("KENNER",C1194)),ISNUMBER(SEARCH("HENRY HOWARD",C1194)),ISNUMBER(SEARCH("MISS CLAUDIA",C1194))),"Personal Travel - New Orleans",IF(AND(YEAR(B1194)=2025,MONTH(B1194)=4,OR(ISNUMBER(SEARCH("EXCHANGE RATE",C1194)),ISNUMBER(SEARCH("EXCHG RTE",C1194)))),"Personal Travel - Italy",IFERROR(INDEX('Category Rules'!$B$2:$B$358,MATCH(TRUE,ISNUMBER(SEARCH('Category Rules'!$A$2:$A$358,C1194)),0)),""))))))))</f>
        <v>Personal - Shopping</v>
      </c>
    </row>
    <row r="1195" spans="1:7" x14ac:dyDescent="0.25">
      <c r="A1195" t="s">
        <v>6</v>
      </c>
      <c r="B1195" s="1">
        <v>45856</v>
      </c>
      <c r="C1195" t="s">
        <v>1120</v>
      </c>
      <c r="D1195">
        <v>-62.65</v>
      </c>
      <c r="E1195" t="s">
        <v>10</v>
      </c>
      <c r="F1195">
        <v>4077.68</v>
      </c>
      <c r="G1195" t="str" cm="1">
        <f t="array" ref="G1195">IF(AND(ISNUMBER(SEARCH("UBER",C1195)),ISNUMBER(SEARCH("EATS",C1195))),"Uber Eats",IF(LEFT(C1195,6)="CHECK ","Checks Paid",IF(OR(E1195="BILLPAY",ISNUMBER(SEARCH("FRANCHISE TAX",C1195)),ISNUMBER(SEARCH("NEXTLINK",C1195))),"Personal - House Bills",IF(AND(ISNUMBER(SEARCH("PAYMENT FROM",C1195)),ISNUMBER(SEARCH("JOE SAUNDERS",C1195))),"Zelle from Joe Saunders",IF(AND(ISNUMBER(SEARCH("PAYMENT TO",C1195)),ISNUMBER(SEARCH("JOE SAUNDERS",C1195))),"Zelle to Joe Saunders",IF(OR(ISNUMBER(SEARCH("NEW ORLEANS",C1195)),ISNUMBER(SEARCH("KENNER",C1195)),ISNUMBER(SEARCH("HENRY HOWARD",C1195)),ISNUMBER(SEARCH("MISS CLAUDIA",C1195))),"Personal Travel - New Orleans",IF(AND(YEAR(B1195)=2025,MONTH(B1195)=4,OR(ISNUMBER(SEARCH("EXCHANGE RATE",C1195)),ISNUMBER(SEARCH("EXCHG RTE",C1195)))),"Personal Travel - Italy",IFERROR(INDEX('Category Rules'!$B$2:$B$358,MATCH(TRUE,ISNUMBER(SEARCH('Category Rules'!$A$2:$A$358,C1195)),0)),""))))))))</f>
        <v>Amazon</v>
      </c>
    </row>
    <row r="1196" spans="1:7" x14ac:dyDescent="0.25">
      <c r="A1196" t="s">
        <v>6</v>
      </c>
      <c r="B1196" s="1">
        <v>45856</v>
      </c>
      <c r="C1196" t="s">
        <v>1121</v>
      </c>
      <c r="D1196">
        <v>-27.44</v>
      </c>
      <c r="E1196" t="s">
        <v>10</v>
      </c>
      <c r="F1196">
        <v>4140.33</v>
      </c>
      <c r="G1196" t="str" cm="1">
        <f t="array" ref="G1196">IF(AND(ISNUMBER(SEARCH("UBER",C1196)),ISNUMBER(SEARCH("EATS",C1196))),"Uber Eats",IF(LEFT(C1196,6)="CHECK ","Checks Paid",IF(OR(E1196="BILLPAY",ISNUMBER(SEARCH("FRANCHISE TAX",C1196)),ISNUMBER(SEARCH("NEXTLINK",C1196))),"Personal - House Bills",IF(AND(ISNUMBER(SEARCH("PAYMENT FROM",C1196)),ISNUMBER(SEARCH("JOE SAUNDERS",C1196))),"Zelle from Joe Saunders",IF(AND(ISNUMBER(SEARCH("PAYMENT TO",C1196)),ISNUMBER(SEARCH("JOE SAUNDERS",C1196))),"Zelle to Joe Saunders",IF(OR(ISNUMBER(SEARCH("NEW ORLEANS",C1196)),ISNUMBER(SEARCH("KENNER",C1196)),ISNUMBER(SEARCH("HENRY HOWARD",C1196)),ISNUMBER(SEARCH("MISS CLAUDIA",C1196))),"Personal Travel - New Orleans",IF(AND(YEAR(B1196)=2025,MONTH(B1196)=4,OR(ISNUMBER(SEARCH("EXCHANGE RATE",C1196)),ISNUMBER(SEARCH("EXCHG RTE",C1196)))),"Personal Travel - Italy",IFERROR(INDEX('Category Rules'!$B$2:$B$358,MATCH(TRUE,ISNUMBER(SEARCH('Category Rules'!$A$2:$A$358,C1196)),0)),""))))))))</f>
        <v>Amazon</v>
      </c>
    </row>
    <row r="1197" spans="1:7" x14ac:dyDescent="0.25">
      <c r="A1197" t="s">
        <v>44</v>
      </c>
      <c r="B1197" s="1">
        <v>45856</v>
      </c>
      <c r="C1197" t="s">
        <v>1122</v>
      </c>
      <c r="D1197">
        <v>2000</v>
      </c>
      <c r="E1197" t="s">
        <v>73</v>
      </c>
      <c r="F1197">
        <v>4167.7700000000004</v>
      </c>
      <c r="G1197" t="str" cm="1">
        <f t="array" ref="G1197">IF(AND(ISNUMBER(SEARCH("UBER",C1197)),ISNUMBER(SEARCH("EATS",C1197))),"Uber Eats",IF(LEFT(C1197,6)="CHECK ","Checks Paid",IF(OR(E1197="BILLPAY",ISNUMBER(SEARCH("FRANCHISE TAX",C1197)),ISNUMBER(SEARCH("NEXTLINK",C1197))),"Personal - House Bills",IF(AND(ISNUMBER(SEARCH("PAYMENT FROM",C1197)),ISNUMBER(SEARCH("JOE SAUNDERS",C1197))),"Zelle from Joe Saunders",IF(AND(ISNUMBER(SEARCH("PAYMENT TO",C1197)),ISNUMBER(SEARCH("JOE SAUNDERS",C1197))),"Zelle to Joe Saunders",IF(OR(ISNUMBER(SEARCH("NEW ORLEANS",C1197)),ISNUMBER(SEARCH("KENNER",C1197)),ISNUMBER(SEARCH("HENRY HOWARD",C1197)),ISNUMBER(SEARCH("MISS CLAUDIA",C1197))),"Personal Travel - New Orleans",IF(AND(YEAR(B1197)=2025,MONTH(B1197)=4,OR(ISNUMBER(SEARCH("EXCHANGE RATE",C1197)),ISNUMBER(SEARCH("EXCHG RTE",C1197)))),"Personal Travel - Italy",IFERROR(INDEX('Category Rules'!$B$2:$B$358,MATCH(TRUE,ISNUMBER(SEARCH('Category Rules'!$A$2:$A$358,C1197)),0)),""))))))))</f>
        <v>Transfer from DWG Capital Group</v>
      </c>
    </row>
    <row r="1198" spans="1:7" x14ac:dyDescent="0.25">
      <c r="A1198" t="s">
        <v>6</v>
      </c>
      <c r="B1198" s="1">
        <v>45855</v>
      </c>
      <c r="C1198" t="s">
        <v>1123</v>
      </c>
      <c r="D1198">
        <v>-29.84</v>
      </c>
      <c r="E1198" t="s">
        <v>10</v>
      </c>
      <c r="F1198">
        <v>2167.77</v>
      </c>
      <c r="G1198" t="str" cm="1">
        <f t="array" ref="G1198">IF(AND(ISNUMBER(SEARCH("UBER",C1198)),ISNUMBER(SEARCH("EATS",C1198))),"Uber Eats",IF(LEFT(C1198,6)="CHECK ","Checks Paid",IF(OR(E1198="BILLPAY",ISNUMBER(SEARCH("FRANCHISE TAX",C1198)),ISNUMBER(SEARCH("NEXTLINK",C1198))),"Personal - House Bills",IF(AND(ISNUMBER(SEARCH("PAYMENT FROM",C1198)),ISNUMBER(SEARCH("JOE SAUNDERS",C1198))),"Zelle from Joe Saunders",IF(AND(ISNUMBER(SEARCH("PAYMENT TO",C1198)),ISNUMBER(SEARCH("JOE SAUNDERS",C1198))),"Zelle to Joe Saunders",IF(OR(ISNUMBER(SEARCH("NEW ORLEANS",C1198)),ISNUMBER(SEARCH("KENNER",C1198)),ISNUMBER(SEARCH("HENRY HOWARD",C1198)),ISNUMBER(SEARCH("MISS CLAUDIA",C1198))),"Personal Travel - New Orleans",IF(AND(YEAR(B1198)=2025,MONTH(B1198)=4,OR(ISNUMBER(SEARCH("EXCHANGE RATE",C1198)),ISNUMBER(SEARCH("EXCHG RTE",C1198)))),"Personal Travel - Italy",IFERROR(INDEX('Category Rules'!$B$2:$B$358,MATCH(TRUE,ISNUMBER(SEARCH('Category Rules'!$A$2:$A$358,C1198)),0)),""))))))))</f>
        <v>Uber Eats</v>
      </c>
    </row>
    <row r="1199" spans="1:7" x14ac:dyDescent="0.25">
      <c r="A1199" t="s">
        <v>6</v>
      </c>
      <c r="B1199" s="1">
        <v>45855</v>
      </c>
      <c r="C1199" t="s">
        <v>1124</v>
      </c>
      <c r="D1199">
        <v>-28.63</v>
      </c>
      <c r="E1199" t="s">
        <v>10</v>
      </c>
      <c r="F1199">
        <v>2197.61</v>
      </c>
      <c r="G1199" t="str" cm="1">
        <f t="array" ref="G1199">IF(AND(ISNUMBER(SEARCH("UBER",C1199)),ISNUMBER(SEARCH("EATS",C1199))),"Uber Eats",IF(LEFT(C1199,6)="CHECK ","Checks Paid",IF(OR(E1199="BILLPAY",ISNUMBER(SEARCH("FRANCHISE TAX",C1199)),ISNUMBER(SEARCH("NEXTLINK",C1199))),"Personal - House Bills",IF(AND(ISNUMBER(SEARCH("PAYMENT FROM",C1199)),ISNUMBER(SEARCH("JOE SAUNDERS",C1199))),"Zelle from Joe Saunders",IF(AND(ISNUMBER(SEARCH("PAYMENT TO",C1199)),ISNUMBER(SEARCH("JOE SAUNDERS",C1199))),"Zelle to Joe Saunders",IF(OR(ISNUMBER(SEARCH("NEW ORLEANS",C1199)),ISNUMBER(SEARCH("KENNER",C1199)),ISNUMBER(SEARCH("HENRY HOWARD",C1199)),ISNUMBER(SEARCH("MISS CLAUDIA",C1199))),"Personal Travel - New Orleans",IF(AND(YEAR(B1199)=2025,MONTH(B1199)=4,OR(ISNUMBER(SEARCH("EXCHANGE RATE",C1199)),ISNUMBER(SEARCH("EXCHG RTE",C1199)))),"Personal Travel - Italy",IFERROR(INDEX('Category Rules'!$B$2:$B$358,MATCH(TRUE,ISNUMBER(SEARCH('Category Rules'!$A$2:$A$358,C1199)),0)),""))))))))</f>
        <v>Amazon</v>
      </c>
    </row>
    <row r="1200" spans="1:7" x14ac:dyDescent="0.25">
      <c r="A1200" t="s">
        <v>6</v>
      </c>
      <c r="B1200" s="1">
        <v>45855</v>
      </c>
      <c r="C1200" t="s">
        <v>1125</v>
      </c>
      <c r="D1200">
        <v>-61.29</v>
      </c>
      <c r="E1200" t="s">
        <v>10</v>
      </c>
      <c r="F1200">
        <v>2226.2399999999998</v>
      </c>
      <c r="G1200" t="str" cm="1">
        <f t="array" ref="G1200">IF(AND(ISNUMBER(SEARCH("UBER",C1200)),ISNUMBER(SEARCH("EATS",C1200))),"Uber Eats",IF(LEFT(C1200,6)="CHECK ","Checks Paid",IF(OR(E1200="BILLPAY",ISNUMBER(SEARCH("FRANCHISE TAX",C1200)),ISNUMBER(SEARCH("NEXTLINK",C1200))),"Personal - House Bills",IF(AND(ISNUMBER(SEARCH("PAYMENT FROM",C1200)),ISNUMBER(SEARCH("JOE SAUNDERS",C1200))),"Zelle from Joe Saunders",IF(AND(ISNUMBER(SEARCH("PAYMENT TO",C1200)),ISNUMBER(SEARCH("JOE SAUNDERS",C1200))),"Zelle to Joe Saunders",IF(OR(ISNUMBER(SEARCH("NEW ORLEANS",C1200)),ISNUMBER(SEARCH("KENNER",C1200)),ISNUMBER(SEARCH("HENRY HOWARD",C1200)),ISNUMBER(SEARCH("MISS CLAUDIA",C1200))),"Personal Travel - New Orleans",IF(AND(YEAR(B1200)=2025,MONTH(B1200)=4,OR(ISNUMBER(SEARCH("EXCHANGE RATE",C1200)),ISNUMBER(SEARCH("EXCHG RTE",C1200)))),"Personal Travel - Italy",IFERROR(INDEX('Category Rules'!$B$2:$B$358,MATCH(TRUE,ISNUMBER(SEARCH('Category Rules'!$A$2:$A$358,C1200)),0)),""))))))))</f>
        <v>Amazon</v>
      </c>
    </row>
    <row r="1201" spans="1:7" x14ac:dyDescent="0.25">
      <c r="A1201" t="s">
        <v>6</v>
      </c>
      <c r="B1201" s="1">
        <v>45854</v>
      </c>
      <c r="C1201" t="s">
        <v>1126</v>
      </c>
      <c r="D1201">
        <v>-70.239999999999995</v>
      </c>
      <c r="E1201" t="s">
        <v>10</v>
      </c>
      <c r="F1201">
        <v>2287.5300000000002</v>
      </c>
      <c r="G1201" t="str" cm="1">
        <f t="array" ref="G1201">IF(AND(ISNUMBER(SEARCH("UBER",C1201)),ISNUMBER(SEARCH("EATS",C1201))),"Uber Eats",IF(LEFT(C1201,6)="CHECK ","Checks Paid",IF(OR(E1201="BILLPAY",ISNUMBER(SEARCH("FRANCHISE TAX",C1201)),ISNUMBER(SEARCH("NEXTLINK",C1201))),"Personal - House Bills",IF(AND(ISNUMBER(SEARCH("PAYMENT FROM",C1201)),ISNUMBER(SEARCH("JOE SAUNDERS",C1201))),"Zelle from Joe Saunders",IF(AND(ISNUMBER(SEARCH("PAYMENT TO",C1201)),ISNUMBER(SEARCH("JOE SAUNDERS",C1201))),"Zelle to Joe Saunders",IF(OR(ISNUMBER(SEARCH("NEW ORLEANS",C1201)),ISNUMBER(SEARCH("KENNER",C1201)),ISNUMBER(SEARCH("HENRY HOWARD",C1201)),ISNUMBER(SEARCH("MISS CLAUDIA",C1201))),"Personal Travel - New Orleans",IF(AND(YEAR(B1201)=2025,MONTH(B1201)=4,OR(ISNUMBER(SEARCH("EXCHANGE RATE",C1201)),ISNUMBER(SEARCH("EXCHG RTE",C1201)))),"Personal Travel - Italy",IFERROR(INDEX('Category Rules'!$B$2:$B$358,MATCH(TRUE,ISNUMBER(SEARCH('Category Rules'!$A$2:$A$358,C1201)),0)),""))))))))</f>
        <v>Personal - Entertainment</v>
      </c>
    </row>
    <row r="1202" spans="1:7" x14ac:dyDescent="0.25">
      <c r="A1202" t="s">
        <v>44</v>
      </c>
      <c r="B1202" s="1">
        <v>45854</v>
      </c>
      <c r="C1202" t="s">
        <v>1127</v>
      </c>
      <c r="D1202">
        <v>175</v>
      </c>
      <c r="E1202" t="s">
        <v>46</v>
      </c>
      <c r="F1202">
        <v>2357.77</v>
      </c>
      <c r="G1202" t="str" cm="1">
        <f t="array" ref="G1202">IF(AND(ISNUMBER(SEARCH("UBER",C1202)),ISNUMBER(SEARCH("EATS",C1202))),"Uber Eats",IF(LEFT(C1202,6)="CHECK ","Checks Paid",IF(OR(E1202="BILLPAY",ISNUMBER(SEARCH("FRANCHISE TAX",C1202)),ISNUMBER(SEARCH("NEXTLINK",C1202))),"Personal - House Bills",IF(AND(ISNUMBER(SEARCH("PAYMENT FROM",C1202)),ISNUMBER(SEARCH("JOE SAUNDERS",C1202))),"Zelle from Joe Saunders",IF(AND(ISNUMBER(SEARCH("PAYMENT TO",C1202)),ISNUMBER(SEARCH("JOE SAUNDERS",C1202))),"Zelle to Joe Saunders",IF(OR(ISNUMBER(SEARCH("NEW ORLEANS",C1202)),ISNUMBER(SEARCH("KENNER",C1202)),ISNUMBER(SEARCH("HENRY HOWARD",C1202)),ISNUMBER(SEARCH("MISS CLAUDIA",C1202))),"Personal Travel - New Orleans",IF(AND(YEAR(B1202)=2025,MONTH(B1202)=4,OR(ISNUMBER(SEARCH("EXCHANGE RATE",C1202)),ISNUMBER(SEARCH("EXCHG RTE",C1202)))),"Personal Travel - Italy",IFERROR(INDEX('Category Rules'!$B$2:$B$358,MATCH(TRUE,ISNUMBER(SEARCH('Category Rules'!$A$2:$A$358,C1202)),0)),""))))))))</f>
        <v>Zelle from Eunice G Chang</v>
      </c>
    </row>
    <row r="1203" spans="1:7" x14ac:dyDescent="0.25">
      <c r="A1203" t="s">
        <v>6</v>
      </c>
      <c r="B1203" s="1">
        <v>45853</v>
      </c>
      <c r="C1203" t="s">
        <v>1128</v>
      </c>
      <c r="D1203">
        <v>-133.13</v>
      </c>
      <c r="E1203" t="s">
        <v>10</v>
      </c>
      <c r="F1203">
        <v>2182.77</v>
      </c>
      <c r="G1203" t="str" cm="1">
        <f t="array" ref="G1203">IF(AND(ISNUMBER(SEARCH("UBER",C1203)),ISNUMBER(SEARCH("EATS",C1203))),"Uber Eats",IF(LEFT(C1203,6)="CHECK ","Checks Paid",IF(OR(E1203="BILLPAY",ISNUMBER(SEARCH("FRANCHISE TAX",C1203)),ISNUMBER(SEARCH("NEXTLINK",C1203))),"Personal - House Bills",IF(AND(ISNUMBER(SEARCH("PAYMENT FROM",C1203)),ISNUMBER(SEARCH("JOE SAUNDERS",C1203))),"Zelle from Joe Saunders",IF(AND(ISNUMBER(SEARCH("PAYMENT TO",C1203)),ISNUMBER(SEARCH("JOE SAUNDERS",C1203))),"Zelle to Joe Saunders",IF(OR(ISNUMBER(SEARCH("NEW ORLEANS",C1203)),ISNUMBER(SEARCH("KENNER",C1203)),ISNUMBER(SEARCH("HENRY HOWARD",C1203)),ISNUMBER(SEARCH("MISS CLAUDIA",C1203))),"Personal Travel - New Orleans",IF(AND(YEAR(B1203)=2025,MONTH(B1203)=4,OR(ISNUMBER(SEARCH("EXCHANGE RATE",C1203)),ISNUMBER(SEARCH("EXCHG RTE",C1203)))),"Personal Travel - Italy",IFERROR(INDEX('Category Rules'!$B$2:$B$358,MATCH(TRUE,ISNUMBER(SEARCH('Category Rules'!$A$2:$A$358,C1203)),0)),""))))))))</f>
        <v>Uber Eats</v>
      </c>
    </row>
    <row r="1204" spans="1:7" x14ac:dyDescent="0.25">
      <c r="A1204" t="s">
        <v>6</v>
      </c>
      <c r="B1204" s="1">
        <v>45853</v>
      </c>
      <c r="C1204" t="s">
        <v>1129</v>
      </c>
      <c r="D1204">
        <v>-10</v>
      </c>
      <c r="E1204" t="s">
        <v>10</v>
      </c>
      <c r="F1204">
        <v>2315.9</v>
      </c>
      <c r="G1204" t="str" cm="1">
        <f t="array" ref="G1204">IF(AND(ISNUMBER(SEARCH("UBER",C1204)),ISNUMBER(SEARCH("EATS",C1204))),"Uber Eats",IF(LEFT(C1204,6)="CHECK ","Checks Paid",IF(OR(E1204="BILLPAY",ISNUMBER(SEARCH("FRANCHISE TAX",C1204)),ISNUMBER(SEARCH("NEXTLINK",C1204))),"Personal - House Bills",IF(AND(ISNUMBER(SEARCH("PAYMENT FROM",C1204)),ISNUMBER(SEARCH("JOE SAUNDERS",C1204))),"Zelle from Joe Saunders",IF(AND(ISNUMBER(SEARCH("PAYMENT TO",C1204)),ISNUMBER(SEARCH("JOE SAUNDERS",C1204))),"Zelle to Joe Saunders",IF(OR(ISNUMBER(SEARCH("NEW ORLEANS",C1204)),ISNUMBER(SEARCH("KENNER",C1204)),ISNUMBER(SEARCH("HENRY HOWARD",C1204)),ISNUMBER(SEARCH("MISS CLAUDIA",C1204))),"Personal Travel - New Orleans",IF(AND(YEAR(B1204)=2025,MONTH(B1204)=4,OR(ISNUMBER(SEARCH("EXCHANGE RATE",C1204)),ISNUMBER(SEARCH("EXCHG RTE",C1204)))),"Personal Travel - Italy",IFERROR(INDEX('Category Rules'!$B$2:$B$358,MATCH(TRUE,ISNUMBER(SEARCH('Category Rules'!$A$2:$A$358,C1204)),0)),""))))))))</f>
        <v>Amazon</v>
      </c>
    </row>
    <row r="1205" spans="1:7" x14ac:dyDescent="0.25">
      <c r="A1205" t="s">
        <v>6</v>
      </c>
      <c r="B1205" s="1">
        <v>45853</v>
      </c>
      <c r="C1205" t="s">
        <v>1130</v>
      </c>
      <c r="D1205">
        <v>-16.989999999999998</v>
      </c>
      <c r="E1205" t="s">
        <v>10</v>
      </c>
      <c r="F1205">
        <v>2325.9</v>
      </c>
      <c r="G1205" t="str" cm="1">
        <f t="array" ref="G1205">IF(AND(ISNUMBER(SEARCH("UBER",C1205)),ISNUMBER(SEARCH("EATS",C1205))),"Uber Eats",IF(LEFT(C1205,6)="CHECK ","Checks Paid",IF(OR(E1205="BILLPAY",ISNUMBER(SEARCH("FRANCHISE TAX",C1205)),ISNUMBER(SEARCH("NEXTLINK",C1205))),"Personal - House Bills",IF(AND(ISNUMBER(SEARCH("PAYMENT FROM",C1205)),ISNUMBER(SEARCH("JOE SAUNDERS",C1205))),"Zelle from Joe Saunders",IF(AND(ISNUMBER(SEARCH("PAYMENT TO",C1205)),ISNUMBER(SEARCH("JOE SAUNDERS",C1205))),"Zelle to Joe Saunders",IF(OR(ISNUMBER(SEARCH("NEW ORLEANS",C1205)),ISNUMBER(SEARCH("KENNER",C1205)),ISNUMBER(SEARCH("HENRY HOWARD",C1205)),ISNUMBER(SEARCH("MISS CLAUDIA",C1205))),"Personal Travel - New Orleans",IF(AND(YEAR(B1205)=2025,MONTH(B1205)=4,OR(ISNUMBER(SEARCH("EXCHANGE RATE",C1205)),ISNUMBER(SEARCH("EXCHG RTE",C1205)))),"Personal Travel - Italy",IFERROR(INDEX('Category Rules'!$B$2:$B$358,MATCH(TRUE,ISNUMBER(SEARCH('Category Rules'!$A$2:$A$358,C1205)),0)),""))))))))</f>
        <v>Amazon</v>
      </c>
    </row>
    <row r="1206" spans="1:7" x14ac:dyDescent="0.25">
      <c r="A1206" t="s">
        <v>6</v>
      </c>
      <c r="B1206" s="1">
        <v>45853</v>
      </c>
      <c r="C1206" t="s">
        <v>1131</v>
      </c>
      <c r="D1206">
        <v>-75</v>
      </c>
      <c r="E1206" t="s">
        <v>10</v>
      </c>
      <c r="F1206">
        <v>2342.89</v>
      </c>
      <c r="G1206" t="str" cm="1">
        <f t="array" ref="G1206">IF(AND(ISNUMBER(SEARCH("UBER",C1206)),ISNUMBER(SEARCH("EATS",C1206))),"Uber Eats",IF(LEFT(C1206,6)="CHECK ","Checks Paid",IF(OR(E1206="BILLPAY",ISNUMBER(SEARCH("FRANCHISE TAX",C1206)),ISNUMBER(SEARCH("NEXTLINK",C1206))),"Personal - House Bills",IF(AND(ISNUMBER(SEARCH("PAYMENT FROM",C1206)),ISNUMBER(SEARCH("JOE SAUNDERS",C1206))),"Zelle from Joe Saunders",IF(AND(ISNUMBER(SEARCH("PAYMENT TO",C1206)),ISNUMBER(SEARCH("JOE SAUNDERS",C1206))),"Zelle to Joe Saunders",IF(OR(ISNUMBER(SEARCH("NEW ORLEANS",C1206)),ISNUMBER(SEARCH("KENNER",C1206)),ISNUMBER(SEARCH("HENRY HOWARD",C1206)),ISNUMBER(SEARCH("MISS CLAUDIA",C1206))),"Personal Travel - New Orleans",IF(AND(YEAR(B1206)=2025,MONTH(B1206)=4,OR(ISNUMBER(SEARCH("EXCHANGE RATE",C1206)),ISNUMBER(SEARCH("EXCHG RTE",C1206)))),"Personal Travel - Italy",IFERROR(INDEX('Category Rules'!$B$2:$B$358,MATCH(TRUE,ISNUMBER(SEARCH('Category Rules'!$A$2:$A$358,C1206)),0)),""))))))))</f>
        <v>Personal - Car</v>
      </c>
    </row>
    <row r="1207" spans="1:7" x14ac:dyDescent="0.25">
      <c r="A1207" t="s">
        <v>6</v>
      </c>
      <c r="B1207" s="1">
        <v>45853</v>
      </c>
      <c r="C1207" t="s">
        <v>1132</v>
      </c>
      <c r="D1207">
        <v>-16.45</v>
      </c>
      <c r="E1207" t="s">
        <v>10</v>
      </c>
      <c r="F1207">
        <v>2417.89</v>
      </c>
      <c r="G1207" t="str" cm="1">
        <f t="array" ref="G1207">IF(AND(ISNUMBER(SEARCH("UBER",C1207)),ISNUMBER(SEARCH("EATS",C1207))),"Uber Eats",IF(LEFT(C1207,6)="CHECK ","Checks Paid",IF(OR(E1207="BILLPAY",ISNUMBER(SEARCH("FRANCHISE TAX",C1207)),ISNUMBER(SEARCH("NEXTLINK",C1207))),"Personal - House Bills",IF(AND(ISNUMBER(SEARCH("PAYMENT FROM",C1207)),ISNUMBER(SEARCH("JOE SAUNDERS",C1207))),"Zelle from Joe Saunders",IF(AND(ISNUMBER(SEARCH("PAYMENT TO",C1207)),ISNUMBER(SEARCH("JOE SAUNDERS",C1207))),"Zelle to Joe Saunders",IF(OR(ISNUMBER(SEARCH("NEW ORLEANS",C1207)),ISNUMBER(SEARCH("KENNER",C1207)),ISNUMBER(SEARCH("HENRY HOWARD",C1207)),ISNUMBER(SEARCH("MISS CLAUDIA",C1207))),"Personal Travel - New Orleans",IF(AND(YEAR(B1207)=2025,MONTH(B1207)=4,OR(ISNUMBER(SEARCH("EXCHANGE RATE",C1207)),ISNUMBER(SEARCH("EXCHG RTE",C1207)))),"Personal Travel - Italy",IFERROR(INDEX('Category Rules'!$B$2:$B$358,MATCH(TRUE,ISNUMBER(SEARCH('Category Rules'!$A$2:$A$358,C1207)),0)),""))))))))</f>
        <v>Amazon</v>
      </c>
    </row>
    <row r="1208" spans="1:7" x14ac:dyDescent="0.25">
      <c r="A1208" t="s">
        <v>6</v>
      </c>
      <c r="B1208" s="1">
        <v>45853</v>
      </c>
      <c r="C1208" t="s">
        <v>1133</v>
      </c>
      <c r="D1208">
        <v>-2.8</v>
      </c>
      <c r="E1208" t="s">
        <v>10</v>
      </c>
      <c r="F1208">
        <v>2434.34</v>
      </c>
      <c r="G1208" t="str" cm="1">
        <f t="array" ref="G1208">IF(AND(ISNUMBER(SEARCH("UBER",C1208)),ISNUMBER(SEARCH("EATS",C1208))),"Uber Eats",IF(LEFT(C1208,6)="CHECK ","Checks Paid",IF(OR(E1208="BILLPAY",ISNUMBER(SEARCH("FRANCHISE TAX",C1208)),ISNUMBER(SEARCH("NEXTLINK",C1208))),"Personal - House Bills",IF(AND(ISNUMBER(SEARCH("PAYMENT FROM",C1208)),ISNUMBER(SEARCH("JOE SAUNDERS",C1208))),"Zelle from Joe Saunders",IF(AND(ISNUMBER(SEARCH("PAYMENT TO",C1208)),ISNUMBER(SEARCH("JOE SAUNDERS",C1208))),"Zelle to Joe Saunders",IF(OR(ISNUMBER(SEARCH("NEW ORLEANS",C1208)),ISNUMBER(SEARCH("KENNER",C1208)),ISNUMBER(SEARCH("HENRY HOWARD",C1208)),ISNUMBER(SEARCH("MISS CLAUDIA",C1208))),"Personal Travel - New Orleans",IF(AND(YEAR(B1208)=2025,MONTH(B1208)=4,OR(ISNUMBER(SEARCH("EXCHANGE RATE",C1208)),ISNUMBER(SEARCH("EXCHG RTE",C1208)))),"Personal Travel - Italy",IFERROR(INDEX('Category Rules'!$B$2:$B$358,MATCH(TRUE,ISNUMBER(SEARCH('Category Rules'!$A$2:$A$358,C1208)),0)),""))))))))</f>
        <v>Personal - Car</v>
      </c>
    </row>
    <row r="1209" spans="1:7" x14ac:dyDescent="0.25">
      <c r="A1209" t="s">
        <v>6</v>
      </c>
      <c r="B1209" s="1">
        <v>45853</v>
      </c>
      <c r="C1209" t="s">
        <v>1134</v>
      </c>
      <c r="D1209">
        <v>-17.07</v>
      </c>
      <c r="E1209" t="s">
        <v>10</v>
      </c>
      <c r="F1209">
        <v>2437.14</v>
      </c>
      <c r="G1209" t="str" cm="1">
        <f t="array" ref="G1209">IF(AND(ISNUMBER(SEARCH("UBER",C1209)),ISNUMBER(SEARCH("EATS",C1209))),"Uber Eats",IF(LEFT(C1209,6)="CHECK ","Checks Paid",IF(OR(E1209="BILLPAY",ISNUMBER(SEARCH("FRANCHISE TAX",C1209)),ISNUMBER(SEARCH("NEXTLINK",C1209))),"Personal - House Bills",IF(AND(ISNUMBER(SEARCH("PAYMENT FROM",C1209)),ISNUMBER(SEARCH("JOE SAUNDERS",C1209))),"Zelle from Joe Saunders",IF(AND(ISNUMBER(SEARCH("PAYMENT TO",C1209)),ISNUMBER(SEARCH("JOE SAUNDERS",C1209))),"Zelle to Joe Saunders",IF(OR(ISNUMBER(SEARCH("NEW ORLEANS",C1209)),ISNUMBER(SEARCH("KENNER",C1209)),ISNUMBER(SEARCH("HENRY HOWARD",C1209)),ISNUMBER(SEARCH("MISS CLAUDIA",C1209))),"Personal Travel - New Orleans",IF(AND(YEAR(B1209)=2025,MONTH(B1209)=4,OR(ISNUMBER(SEARCH("EXCHANGE RATE",C1209)),ISNUMBER(SEARCH("EXCHG RTE",C1209)))),"Personal Travel - Italy",IFERROR(INDEX('Category Rules'!$B$2:$B$358,MATCH(TRUE,ISNUMBER(SEARCH('Category Rules'!$A$2:$A$358,C1209)),0)),""))))))))</f>
        <v>Personal - Car</v>
      </c>
    </row>
    <row r="1210" spans="1:7" x14ac:dyDescent="0.25">
      <c r="A1210" t="s">
        <v>6</v>
      </c>
      <c r="B1210" s="1">
        <v>45852</v>
      </c>
      <c r="C1210" t="s">
        <v>1135</v>
      </c>
      <c r="D1210">
        <v>-412.95</v>
      </c>
      <c r="E1210" t="s">
        <v>10</v>
      </c>
      <c r="F1210">
        <v>2454.21</v>
      </c>
      <c r="G1210" t="str" cm="1">
        <f t="array" ref="G1210">IF(AND(ISNUMBER(SEARCH("UBER",C1210)),ISNUMBER(SEARCH("EATS",C1210))),"Uber Eats",IF(LEFT(C1210,6)="CHECK ","Checks Paid",IF(OR(E1210="BILLPAY",ISNUMBER(SEARCH("FRANCHISE TAX",C1210)),ISNUMBER(SEARCH("NEXTLINK",C1210))),"Personal - House Bills",IF(AND(ISNUMBER(SEARCH("PAYMENT FROM",C1210)),ISNUMBER(SEARCH("JOE SAUNDERS",C1210))),"Zelle from Joe Saunders",IF(AND(ISNUMBER(SEARCH("PAYMENT TO",C1210)),ISNUMBER(SEARCH("JOE SAUNDERS",C1210))),"Zelle to Joe Saunders",IF(OR(ISNUMBER(SEARCH("NEW ORLEANS",C1210)),ISNUMBER(SEARCH("KENNER",C1210)),ISNUMBER(SEARCH("HENRY HOWARD",C1210)),ISNUMBER(SEARCH("MISS CLAUDIA",C1210))),"Personal Travel - New Orleans",IF(AND(YEAR(B1210)=2025,MONTH(B1210)=4,OR(ISNUMBER(SEARCH("EXCHANGE RATE",C1210)),ISNUMBER(SEARCH("EXCHG RTE",C1210)))),"Personal Travel - Italy",IFERROR(INDEX('Category Rules'!$B$2:$B$358,MATCH(TRUE,ISNUMBER(SEARCH('Category Rules'!$A$2:$A$358,C1210)),0)),""))))))))</f>
        <v>Personal - Food</v>
      </c>
    </row>
    <row r="1211" spans="1:7" x14ac:dyDescent="0.25">
      <c r="A1211" t="s">
        <v>6</v>
      </c>
      <c r="B1211" s="1">
        <v>45852</v>
      </c>
      <c r="C1211" t="s">
        <v>1136</v>
      </c>
      <c r="D1211">
        <v>-59.99</v>
      </c>
      <c r="E1211" t="s">
        <v>10</v>
      </c>
      <c r="F1211">
        <v>2867.16</v>
      </c>
      <c r="G1211" t="str" cm="1">
        <f t="array" ref="G1211">IF(AND(ISNUMBER(SEARCH("UBER",C1211)),ISNUMBER(SEARCH("EATS",C1211))),"Uber Eats",IF(LEFT(C1211,6)="CHECK ","Checks Paid",IF(OR(E1211="BILLPAY",ISNUMBER(SEARCH("FRANCHISE TAX",C1211)),ISNUMBER(SEARCH("NEXTLINK",C1211))),"Personal - House Bills",IF(AND(ISNUMBER(SEARCH("PAYMENT FROM",C1211)),ISNUMBER(SEARCH("JOE SAUNDERS",C1211))),"Zelle from Joe Saunders",IF(AND(ISNUMBER(SEARCH("PAYMENT TO",C1211)),ISNUMBER(SEARCH("JOE SAUNDERS",C1211))),"Zelle to Joe Saunders",IF(OR(ISNUMBER(SEARCH("NEW ORLEANS",C1211)),ISNUMBER(SEARCH("KENNER",C1211)),ISNUMBER(SEARCH("HENRY HOWARD",C1211)),ISNUMBER(SEARCH("MISS CLAUDIA",C1211))),"Personal Travel - New Orleans",IF(AND(YEAR(B1211)=2025,MONTH(B1211)=4,OR(ISNUMBER(SEARCH("EXCHANGE RATE",C1211)),ISNUMBER(SEARCH("EXCHG RTE",C1211)))),"Personal Travel - Italy",IFERROR(INDEX('Category Rules'!$B$2:$B$358,MATCH(TRUE,ISNUMBER(SEARCH('Category Rules'!$A$2:$A$358,C1211)),0)),""))))))))</f>
        <v>Apple</v>
      </c>
    </row>
    <row r="1212" spans="1:7" x14ac:dyDescent="0.25">
      <c r="A1212" t="s">
        <v>6</v>
      </c>
      <c r="B1212" s="1">
        <v>45852</v>
      </c>
      <c r="C1212" t="s">
        <v>1137</v>
      </c>
      <c r="D1212">
        <v>-500</v>
      </c>
      <c r="E1212" t="s">
        <v>10</v>
      </c>
      <c r="F1212">
        <v>2927.15</v>
      </c>
      <c r="G1212" t="str" cm="1">
        <f t="array" ref="G1212">IF(AND(ISNUMBER(SEARCH("UBER",C1212)),ISNUMBER(SEARCH("EATS",C1212))),"Uber Eats",IF(LEFT(C1212,6)="CHECK ","Checks Paid",IF(OR(E1212="BILLPAY",ISNUMBER(SEARCH("FRANCHISE TAX",C1212)),ISNUMBER(SEARCH("NEXTLINK",C1212))),"Personal - House Bills",IF(AND(ISNUMBER(SEARCH("PAYMENT FROM",C1212)),ISNUMBER(SEARCH("JOE SAUNDERS",C1212))),"Zelle from Joe Saunders",IF(AND(ISNUMBER(SEARCH("PAYMENT TO",C1212)),ISNUMBER(SEARCH("JOE SAUNDERS",C1212))),"Zelle to Joe Saunders",IF(OR(ISNUMBER(SEARCH("NEW ORLEANS",C1212)),ISNUMBER(SEARCH("KENNER",C1212)),ISNUMBER(SEARCH("HENRY HOWARD",C1212)),ISNUMBER(SEARCH("MISS CLAUDIA",C1212))),"Personal Travel - New Orleans",IF(AND(YEAR(B1212)=2025,MONTH(B1212)=4,OR(ISNUMBER(SEARCH("EXCHANGE RATE",C1212)),ISNUMBER(SEARCH("EXCHG RTE",C1212)))),"Personal Travel - Italy",IFERROR(INDEX('Category Rules'!$B$2:$B$358,MATCH(TRUE,ISNUMBER(SEARCH('Category Rules'!$A$2:$A$358,C1212)),0)),""))))))))</f>
        <v>Donation</v>
      </c>
    </row>
    <row r="1213" spans="1:7" x14ac:dyDescent="0.25">
      <c r="A1213" t="s">
        <v>6</v>
      </c>
      <c r="B1213" s="1">
        <v>45852</v>
      </c>
      <c r="C1213" t="s">
        <v>1138</v>
      </c>
      <c r="D1213">
        <v>-124.34</v>
      </c>
      <c r="E1213" t="s">
        <v>10</v>
      </c>
      <c r="F1213">
        <v>3427.15</v>
      </c>
      <c r="G1213" t="str" cm="1">
        <f t="array" ref="G1213">IF(AND(ISNUMBER(SEARCH("UBER",C1213)),ISNUMBER(SEARCH("EATS",C1213))),"Uber Eats",IF(LEFT(C1213,6)="CHECK ","Checks Paid",IF(OR(E1213="BILLPAY",ISNUMBER(SEARCH("FRANCHISE TAX",C1213)),ISNUMBER(SEARCH("NEXTLINK",C1213))),"Personal - House Bills",IF(AND(ISNUMBER(SEARCH("PAYMENT FROM",C1213)),ISNUMBER(SEARCH("JOE SAUNDERS",C1213))),"Zelle from Joe Saunders",IF(AND(ISNUMBER(SEARCH("PAYMENT TO",C1213)),ISNUMBER(SEARCH("JOE SAUNDERS",C1213))),"Zelle to Joe Saunders",IF(OR(ISNUMBER(SEARCH("NEW ORLEANS",C1213)),ISNUMBER(SEARCH("KENNER",C1213)),ISNUMBER(SEARCH("HENRY HOWARD",C1213)),ISNUMBER(SEARCH("MISS CLAUDIA",C1213))),"Personal Travel - New Orleans",IF(AND(YEAR(B1213)=2025,MONTH(B1213)=4,OR(ISNUMBER(SEARCH("EXCHANGE RATE",C1213)),ISNUMBER(SEARCH("EXCHG RTE",C1213)))),"Personal Travel - Italy",IFERROR(INDEX('Category Rules'!$B$2:$B$358,MATCH(TRUE,ISNUMBER(SEARCH('Category Rules'!$A$2:$A$358,C1213)),0)),""))))))))</f>
        <v>Amazon</v>
      </c>
    </row>
    <row r="1214" spans="1:7" x14ac:dyDescent="0.25">
      <c r="A1214" t="s">
        <v>6</v>
      </c>
      <c r="B1214" s="1">
        <v>45852</v>
      </c>
      <c r="C1214" t="s">
        <v>1139</v>
      </c>
      <c r="D1214">
        <v>-64.63</v>
      </c>
      <c r="E1214" t="s">
        <v>10</v>
      </c>
      <c r="F1214">
        <v>3551.49</v>
      </c>
      <c r="G1214" t="str" cm="1">
        <f t="array" ref="G1214">IF(AND(ISNUMBER(SEARCH("UBER",C1214)),ISNUMBER(SEARCH("EATS",C1214))),"Uber Eats",IF(LEFT(C1214,6)="CHECK ","Checks Paid",IF(OR(E1214="BILLPAY",ISNUMBER(SEARCH("FRANCHISE TAX",C1214)),ISNUMBER(SEARCH("NEXTLINK",C1214))),"Personal - House Bills",IF(AND(ISNUMBER(SEARCH("PAYMENT FROM",C1214)),ISNUMBER(SEARCH("JOE SAUNDERS",C1214))),"Zelle from Joe Saunders",IF(AND(ISNUMBER(SEARCH("PAYMENT TO",C1214)),ISNUMBER(SEARCH("JOE SAUNDERS",C1214))),"Zelle to Joe Saunders",IF(OR(ISNUMBER(SEARCH("NEW ORLEANS",C1214)),ISNUMBER(SEARCH("KENNER",C1214)),ISNUMBER(SEARCH("HENRY HOWARD",C1214)),ISNUMBER(SEARCH("MISS CLAUDIA",C1214))),"Personal Travel - New Orleans",IF(AND(YEAR(B1214)=2025,MONTH(B1214)=4,OR(ISNUMBER(SEARCH("EXCHANGE RATE",C1214)),ISNUMBER(SEARCH("EXCHG RTE",C1214)))),"Personal Travel - Italy",IFERROR(INDEX('Category Rules'!$B$2:$B$358,MATCH(TRUE,ISNUMBER(SEARCH('Category Rules'!$A$2:$A$358,C1214)),0)),""))))))))</f>
        <v>Amazon</v>
      </c>
    </row>
    <row r="1215" spans="1:7" x14ac:dyDescent="0.25">
      <c r="A1215" t="s">
        <v>6</v>
      </c>
      <c r="B1215" s="1">
        <v>45852</v>
      </c>
      <c r="C1215" t="s">
        <v>1140</v>
      </c>
      <c r="D1215">
        <v>-16.95</v>
      </c>
      <c r="E1215" t="s">
        <v>10</v>
      </c>
      <c r="F1215">
        <v>3616.12</v>
      </c>
      <c r="G1215" t="str" cm="1">
        <f t="array" ref="G1215">IF(AND(ISNUMBER(SEARCH("UBER",C1215)),ISNUMBER(SEARCH("EATS",C1215))),"Uber Eats",IF(LEFT(C1215,6)="CHECK ","Checks Paid",IF(OR(E1215="BILLPAY",ISNUMBER(SEARCH("FRANCHISE TAX",C1215)),ISNUMBER(SEARCH("NEXTLINK",C1215))),"Personal - House Bills",IF(AND(ISNUMBER(SEARCH("PAYMENT FROM",C1215)),ISNUMBER(SEARCH("JOE SAUNDERS",C1215))),"Zelle from Joe Saunders",IF(AND(ISNUMBER(SEARCH("PAYMENT TO",C1215)),ISNUMBER(SEARCH("JOE SAUNDERS",C1215))),"Zelle to Joe Saunders",IF(OR(ISNUMBER(SEARCH("NEW ORLEANS",C1215)),ISNUMBER(SEARCH("KENNER",C1215)),ISNUMBER(SEARCH("HENRY HOWARD",C1215)),ISNUMBER(SEARCH("MISS CLAUDIA",C1215))),"Personal Travel - New Orleans",IF(AND(YEAR(B1215)=2025,MONTH(B1215)=4,OR(ISNUMBER(SEARCH("EXCHANGE RATE",C1215)),ISNUMBER(SEARCH("EXCHG RTE",C1215)))),"Personal Travel - Italy",IFERROR(INDEX('Category Rules'!$B$2:$B$358,MATCH(TRUE,ISNUMBER(SEARCH('Category Rules'!$A$2:$A$358,C1215)),0)),""))))))))</f>
        <v>Personal - Uber</v>
      </c>
    </row>
    <row r="1216" spans="1:7" x14ac:dyDescent="0.25">
      <c r="A1216" t="s">
        <v>6</v>
      </c>
      <c r="B1216" s="1">
        <v>45852</v>
      </c>
      <c r="C1216" t="s">
        <v>1141</v>
      </c>
      <c r="D1216">
        <v>-38.97</v>
      </c>
      <c r="E1216" t="s">
        <v>10</v>
      </c>
      <c r="F1216">
        <v>3633.07</v>
      </c>
      <c r="G1216" t="str" cm="1">
        <f t="array" ref="G1216">IF(AND(ISNUMBER(SEARCH("UBER",C1216)),ISNUMBER(SEARCH("EATS",C1216))),"Uber Eats",IF(LEFT(C1216,6)="CHECK ","Checks Paid",IF(OR(E1216="BILLPAY",ISNUMBER(SEARCH("FRANCHISE TAX",C1216)),ISNUMBER(SEARCH("NEXTLINK",C1216))),"Personal - House Bills",IF(AND(ISNUMBER(SEARCH("PAYMENT FROM",C1216)),ISNUMBER(SEARCH("JOE SAUNDERS",C1216))),"Zelle from Joe Saunders",IF(AND(ISNUMBER(SEARCH("PAYMENT TO",C1216)),ISNUMBER(SEARCH("JOE SAUNDERS",C1216))),"Zelle to Joe Saunders",IF(OR(ISNUMBER(SEARCH("NEW ORLEANS",C1216)),ISNUMBER(SEARCH("KENNER",C1216)),ISNUMBER(SEARCH("HENRY HOWARD",C1216)),ISNUMBER(SEARCH("MISS CLAUDIA",C1216))),"Personal Travel - New Orleans",IF(AND(YEAR(B1216)=2025,MONTH(B1216)=4,OR(ISNUMBER(SEARCH("EXCHANGE RATE",C1216)),ISNUMBER(SEARCH("EXCHG RTE",C1216)))),"Personal Travel - Italy",IFERROR(INDEX('Category Rules'!$B$2:$B$358,MATCH(TRUE,ISNUMBER(SEARCH('Category Rules'!$A$2:$A$358,C1216)),0)),""))))))))</f>
        <v>Uber Eats</v>
      </c>
    </row>
    <row r="1217" spans="1:7" x14ac:dyDescent="0.25">
      <c r="A1217" t="s">
        <v>6</v>
      </c>
      <c r="B1217" s="1">
        <v>45852</v>
      </c>
      <c r="C1217" t="s">
        <v>1142</v>
      </c>
      <c r="D1217">
        <v>-13.04</v>
      </c>
      <c r="E1217" t="s">
        <v>10</v>
      </c>
      <c r="F1217">
        <v>3672.04</v>
      </c>
      <c r="G1217" t="str" cm="1">
        <f t="array" ref="G1217">IF(AND(ISNUMBER(SEARCH("UBER",C1217)),ISNUMBER(SEARCH("EATS",C1217))),"Uber Eats",IF(LEFT(C1217,6)="CHECK ","Checks Paid",IF(OR(E1217="BILLPAY",ISNUMBER(SEARCH("FRANCHISE TAX",C1217)),ISNUMBER(SEARCH("NEXTLINK",C1217))),"Personal - House Bills",IF(AND(ISNUMBER(SEARCH("PAYMENT FROM",C1217)),ISNUMBER(SEARCH("JOE SAUNDERS",C1217))),"Zelle from Joe Saunders",IF(AND(ISNUMBER(SEARCH("PAYMENT TO",C1217)),ISNUMBER(SEARCH("JOE SAUNDERS",C1217))),"Zelle to Joe Saunders",IF(OR(ISNUMBER(SEARCH("NEW ORLEANS",C1217)),ISNUMBER(SEARCH("KENNER",C1217)),ISNUMBER(SEARCH("HENRY HOWARD",C1217)),ISNUMBER(SEARCH("MISS CLAUDIA",C1217))),"Personal Travel - New Orleans",IF(AND(YEAR(B1217)=2025,MONTH(B1217)=4,OR(ISNUMBER(SEARCH("EXCHANGE RATE",C1217)),ISNUMBER(SEARCH("EXCHG RTE",C1217)))),"Personal Travel - Italy",IFERROR(INDEX('Category Rules'!$B$2:$B$358,MATCH(TRUE,ISNUMBER(SEARCH('Category Rules'!$A$2:$A$358,C1217)),0)),""))))))))</f>
        <v>Personal - Clothing</v>
      </c>
    </row>
    <row r="1218" spans="1:7" x14ac:dyDescent="0.25">
      <c r="A1218" t="s">
        <v>6</v>
      </c>
      <c r="B1218" s="1">
        <v>45852</v>
      </c>
      <c r="C1218" t="s">
        <v>1143</v>
      </c>
      <c r="D1218">
        <v>-10.95</v>
      </c>
      <c r="E1218" t="s">
        <v>10</v>
      </c>
      <c r="F1218">
        <v>3685.08</v>
      </c>
      <c r="G1218" t="str" cm="1">
        <f t="array" ref="G1218">IF(AND(ISNUMBER(SEARCH("UBER",C1218)),ISNUMBER(SEARCH("EATS",C1218))),"Uber Eats",IF(LEFT(C1218,6)="CHECK ","Checks Paid",IF(OR(E1218="BILLPAY",ISNUMBER(SEARCH("FRANCHISE TAX",C1218)),ISNUMBER(SEARCH("NEXTLINK",C1218))),"Personal - House Bills",IF(AND(ISNUMBER(SEARCH("PAYMENT FROM",C1218)),ISNUMBER(SEARCH("JOE SAUNDERS",C1218))),"Zelle from Joe Saunders",IF(AND(ISNUMBER(SEARCH("PAYMENT TO",C1218)),ISNUMBER(SEARCH("JOE SAUNDERS",C1218))),"Zelle to Joe Saunders",IF(OR(ISNUMBER(SEARCH("NEW ORLEANS",C1218)),ISNUMBER(SEARCH("KENNER",C1218)),ISNUMBER(SEARCH("HENRY HOWARD",C1218)),ISNUMBER(SEARCH("MISS CLAUDIA",C1218))),"Personal Travel - New Orleans",IF(AND(YEAR(B1218)=2025,MONTH(B1218)=4,OR(ISNUMBER(SEARCH("EXCHANGE RATE",C1218)),ISNUMBER(SEARCH("EXCHG RTE",C1218)))),"Personal Travel - Italy",IFERROR(INDEX('Category Rules'!$B$2:$B$358,MATCH(TRUE,ISNUMBER(SEARCH('Category Rules'!$A$2:$A$358,C1218)),0)),""))))))))</f>
        <v>Personal - Uber</v>
      </c>
    </row>
    <row r="1219" spans="1:7" x14ac:dyDescent="0.25">
      <c r="A1219" t="s">
        <v>6</v>
      </c>
      <c r="B1219" s="1">
        <v>45852</v>
      </c>
      <c r="C1219" t="s">
        <v>1144</v>
      </c>
      <c r="D1219">
        <v>-19.95</v>
      </c>
      <c r="E1219" t="s">
        <v>10</v>
      </c>
      <c r="F1219">
        <v>3696.03</v>
      </c>
      <c r="G1219" t="str" cm="1">
        <f t="array" ref="G1219">IF(AND(ISNUMBER(SEARCH("UBER",C1219)),ISNUMBER(SEARCH("EATS",C1219))),"Uber Eats",IF(LEFT(C1219,6)="CHECK ","Checks Paid",IF(OR(E1219="BILLPAY",ISNUMBER(SEARCH("FRANCHISE TAX",C1219)),ISNUMBER(SEARCH("NEXTLINK",C1219))),"Personal - House Bills",IF(AND(ISNUMBER(SEARCH("PAYMENT FROM",C1219)),ISNUMBER(SEARCH("JOE SAUNDERS",C1219))),"Zelle from Joe Saunders",IF(AND(ISNUMBER(SEARCH("PAYMENT TO",C1219)),ISNUMBER(SEARCH("JOE SAUNDERS",C1219))),"Zelle to Joe Saunders",IF(OR(ISNUMBER(SEARCH("NEW ORLEANS",C1219)),ISNUMBER(SEARCH("KENNER",C1219)),ISNUMBER(SEARCH("HENRY HOWARD",C1219)),ISNUMBER(SEARCH("MISS CLAUDIA",C1219))),"Personal Travel - New Orleans",IF(AND(YEAR(B1219)=2025,MONTH(B1219)=4,OR(ISNUMBER(SEARCH("EXCHANGE RATE",C1219)),ISNUMBER(SEARCH("EXCHG RTE",C1219)))),"Personal Travel - Italy",IFERROR(INDEX('Category Rules'!$B$2:$B$358,MATCH(TRUE,ISNUMBER(SEARCH('Category Rules'!$A$2:$A$358,C1219)),0)),""))))))))</f>
        <v>Personal - Uber</v>
      </c>
    </row>
    <row r="1220" spans="1:7" x14ac:dyDescent="0.25">
      <c r="A1220" t="s">
        <v>6</v>
      </c>
      <c r="B1220" s="1">
        <v>45852</v>
      </c>
      <c r="C1220" t="s">
        <v>1145</v>
      </c>
      <c r="D1220">
        <v>-19.96</v>
      </c>
      <c r="E1220" t="s">
        <v>10</v>
      </c>
      <c r="F1220">
        <v>3715.98</v>
      </c>
      <c r="G1220" t="str" cm="1">
        <f t="array" ref="G1220">IF(AND(ISNUMBER(SEARCH("UBER",C1220)),ISNUMBER(SEARCH("EATS",C1220))),"Uber Eats",IF(LEFT(C1220,6)="CHECK ","Checks Paid",IF(OR(E1220="BILLPAY",ISNUMBER(SEARCH("FRANCHISE TAX",C1220)),ISNUMBER(SEARCH("NEXTLINK",C1220))),"Personal - House Bills",IF(AND(ISNUMBER(SEARCH("PAYMENT FROM",C1220)),ISNUMBER(SEARCH("JOE SAUNDERS",C1220))),"Zelle from Joe Saunders",IF(AND(ISNUMBER(SEARCH("PAYMENT TO",C1220)),ISNUMBER(SEARCH("JOE SAUNDERS",C1220))),"Zelle to Joe Saunders",IF(OR(ISNUMBER(SEARCH("NEW ORLEANS",C1220)),ISNUMBER(SEARCH("KENNER",C1220)),ISNUMBER(SEARCH("HENRY HOWARD",C1220)),ISNUMBER(SEARCH("MISS CLAUDIA",C1220))),"Personal Travel - New Orleans",IF(AND(YEAR(B1220)=2025,MONTH(B1220)=4,OR(ISNUMBER(SEARCH("EXCHANGE RATE",C1220)),ISNUMBER(SEARCH("EXCHG RTE",C1220)))),"Personal Travel - Italy",IFERROR(INDEX('Category Rules'!$B$2:$B$358,MATCH(TRUE,ISNUMBER(SEARCH('Category Rules'!$A$2:$A$358,C1220)),0)),""))))))))</f>
        <v>Personal - Uber</v>
      </c>
    </row>
    <row r="1221" spans="1:7" x14ac:dyDescent="0.25">
      <c r="A1221" t="s">
        <v>6</v>
      </c>
      <c r="B1221" s="1">
        <v>45852</v>
      </c>
      <c r="C1221" t="s">
        <v>1146</v>
      </c>
      <c r="D1221">
        <v>-2</v>
      </c>
      <c r="E1221" t="s">
        <v>10</v>
      </c>
      <c r="F1221">
        <v>3735.94</v>
      </c>
      <c r="G1221" t="str" cm="1">
        <f t="array" ref="G1221">IF(AND(ISNUMBER(SEARCH("UBER",C1221)),ISNUMBER(SEARCH("EATS",C1221))),"Uber Eats",IF(LEFT(C1221,6)="CHECK ","Checks Paid",IF(OR(E1221="BILLPAY",ISNUMBER(SEARCH("FRANCHISE TAX",C1221)),ISNUMBER(SEARCH("NEXTLINK",C1221))),"Personal - House Bills",IF(AND(ISNUMBER(SEARCH("PAYMENT FROM",C1221)),ISNUMBER(SEARCH("JOE SAUNDERS",C1221))),"Zelle from Joe Saunders",IF(AND(ISNUMBER(SEARCH("PAYMENT TO",C1221)),ISNUMBER(SEARCH("JOE SAUNDERS",C1221))),"Zelle to Joe Saunders",IF(OR(ISNUMBER(SEARCH("NEW ORLEANS",C1221)),ISNUMBER(SEARCH("KENNER",C1221)),ISNUMBER(SEARCH("HENRY HOWARD",C1221)),ISNUMBER(SEARCH("MISS CLAUDIA",C1221))),"Personal Travel - New Orleans",IF(AND(YEAR(B1221)=2025,MONTH(B1221)=4,OR(ISNUMBER(SEARCH("EXCHANGE RATE",C1221)),ISNUMBER(SEARCH("EXCHG RTE",C1221)))),"Personal Travel - Italy",IFERROR(INDEX('Category Rules'!$B$2:$B$358,MATCH(TRUE,ISNUMBER(SEARCH('Category Rules'!$A$2:$A$358,C1221)),0)),""))))))))</f>
        <v>Personal - Uber</v>
      </c>
    </row>
    <row r="1222" spans="1:7" x14ac:dyDescent="0.25">
      <c r="A1222" t="s">
        <v>6</v>
      </c>
      <c r="B1222" s="1">
        <v>45852</v>
      </c>
      <c r="C1222" t="s">
        <v>1147</v>
      </c>
      <c r="D1222">
        <v>-10.01</v>
      </c>
      <c r="E1222" t="s">
        <v>10</v>
      </c>
      <c r="F1222">
        <v>3737.94</v>
      </c>
      <c r="G1222" t="str" cm="1">
        <f t="array" ref="G1222">IF(AND(ISNUMBER(SEARCH("UBER",C1222)),ISNUMBER(SEARCH("EATS",C1222))),"Uber Eats",IF(LEFT(C1222,6)="CHECK ","Checks Paid",IF(OR(E1222="BILLPAY",ISNUMBER(SEARCH("FRANCHISE TAX",C1222)),ISNUMBER(SEARCH("NEXTLINK",C1222))),"Personal - House Bills",IF(AND(ISNUMBER(SEARCH("PAYMENT FROM",C1222)),ISNUMBER(SEARCH("JOE SAUNDERS",C1222))),"Zelle from Joe Saunders",IF(AND(ISNUMBER(SEARCH("PAYMENT TO",C1222)),ISNUMBER(SEARCH("JOE SAUNDERS",C1222))),"Zelle to Joe Saunders",IF(OR(ISNUMBER(SEARCH("NEW ORLEANS",C1222)),ISNUMBER(SEARCH("KENNER",C1222)),ISNUMBER(SEARCH("HENRY HOWARD",C1222)),ISNUMBER(SEARCH("MISS CLAUDIA",C1222))),"Personal Travel - New Orleans",IF(AND(YEAR(B1222)=2025,MONTH(B1222)=4,OR(ISNUMBER(SEARCH("EXCHANGE RATE",C1222)),ISNUMBER(SEARCH("EXCHG RTE",C1222)))),"Personal Travel - Italy",IFERROR(INDEX('Category Rules'!$B$2:$B$358,MATCH(TRUE,ISNUMBER(SEARCH('Category Rules'!$A$2:$A$358,C1222)),0)),""))))))))</f>
        <v>Personal - Uber</v>
      </c>
    </row>
    <row r="1223" spans="1:7" x14ac:dyDescent="0.25">
      <c r="A1223" t="s">
        <v>6</v>
      </c>
      <c r="B1223" s="1">
        <v>45852</v>
      </c>
      <c r="C1223" t="s">
        <v>1134</v>
      </c>
      <c r="D1223">
        <v>-3.35</v>
      </c>
      <c r="E1223" t="s">
        <v>10</v>
      </c>
      <c r="F1223">
        <v>3747.95</v>
      </c>
      <c r="G1223" t="str" cm="1">
        <f t="array" ref="G1223">IF(AND(ISNUMBER(SEARCH("UBER",C1223)),ISNUMBER(SEARCH("EATS",C1223))),"Uber Eats",IF(LEFT(C1223,6)="CHECK ","Checks Paid",IF(OR(E1223="BILLPAY",ISNUMBER(SEARCH("FRANCHISE TAX",C1223)),ISNUMBER(SEARCH("NEXTLINK",C1223))),"Personal - House Bills",IF(AND(ISNUMBER(SEARCH("PAYMENT FROM",C1223)),ISNUMBER(SEARCH("JOE SAUNDERS",C1223))),"Zelle from Joe Saunders",IF(AND(ISNUMBER(SEARCH("PAYMENT TO",C1223)),ISNUMBER(SEARCH("JOE SAUNDERS",C1223))),"Zelle to Joe Saunders",IF(OR(ISNUMBER(SEARCH("NEW ORLEANS",C1223)),ISNUMBER(SEARCH("KENNER",C1223)),ISNUMBER(SEARCH("HENRY HOWARD",C1223)),ISNUMBER(SEARCH("MISS CLAUDIA",C1223))),"Personal Travel - New Orleans",IF(AND(YEAR(B1223)=2025,MONTH(B1223)=4,OR(ISNUMBER(SEARCH("EXCHANGE RATE",C1223)),ISNUMBER(SEARCH("EXCHG RTE",C1223)))),"Personal Travel - Italy",IFERROR(INDEX('Category Rules'!$B$2:$B$358,MATCH(TRUE,ISNUMBER(SEARCH('Category Rules'!$A$2:$A$358,C1223)),0)),""))))))))</f>
        <v>Personal - Car</v>
      </c>
    </row>
    <row r="1224" spans="1:7" x14ac:dyDescent="0.25">
      <c r="A1224" t="s">
        <v>44</v>
      </c>
      <c r="B1224" s="1">
        <v>45852</v>
      </c>
      <c r="C1224" t="s">
        <v>1148</v>
      </c>
      <c r="D1224">
        <v>3000</v>
      </c>
      <c r="E1224" t="s">
        <v>73</v>
      </c>
      <c r="F1224">
        <v>3751.3</v>
      </c>
      <c r="G1224" t="str" cm="1">
        <f t="array" ref="G1224">IF(AND(ISNUMBER(SEARCH("UBER",C1224)),ISNUMBER(SEARCH("EATS",C1224))),"Uber Eats",IF(LEFT(C1224,6)="CHECK ","Checks Paid",IF(OR(E1224="BILLPAY",ISNUMBER(SEARCH("FRANCHISE TAX",C1224)),ISNUMBER(SEARCH("NEXTLINK",C1224))),"Personal - House Bills",IF(AND(ISNUMBER(SEARCH("PAYMENT FROM",C1224)),ISNUMBER(SEARCH("JOE SAUNDERS",C1224))),"Zelle from Joe Saunders",IF(AND(ISNUMBER(SEARCH("PAYMENT TO",C1224)),ISNUMBER(SEARCH("JOE SAUNDERS",C1224))),"Zelle to Joe Saunders",IF(OR(ISNUMBER(SEARCH("NEW ORLEANS",C1224)),ISNUMBER(SEARCH("KENNER",C1224)),ISNUMBER(SEARCH("HENRY HOWARD",C1224)),ISNUMBER(SEARCH("MISS CLAUDIA",C1224))),"Personal Travel - New Orleans",IF(AND(YEAR(B1224)=2025,MONTH(B1224)=4,OR(ISNUMBER(SEARCH("EXCHANGE RATE",C1224)),ISNUMBER(SEARCH("EXCHG RTE",C1224)))),"Personal Travel - Italy",IFERROR(INDEX('Category Rules'!$B$2:$B$358,MATCH(TRUE,ISNUMBER(SEARCH('Category Rules'!$A$2:$A$358,C1224)),0)),""))))))))</f>
        <v>Transfer from DWG Capital Group</v>
      </c>
    </row>
    <row r="1225" spans="1:7" x14ac:dyDescent="0.25">
      <c r="A1225" t="s">
        <v>6</v>
      </c>
      <c r="B1225" s="1">
        <v>45849</v>
      </c>
      <c r="C1225" t="s">
        <v>1149</v>
      </c>
      <c r="D1225">
        <v>-36.4</v>
      </c>
      <c r="E1225" t="s">
        <v>10</v>
      </c>
      <c r="F1225">
        <v>751.3</v>
      </c>
      <c r="G1225" t="str" cm="1">
        <f t="array" ref="G1225">IF(AND(ISNUMBER(SEARCH("UBER",C1225)),ISNUMBER(SEARCH("EATS",C1225))),"Uber Eats",IF(LEFT(C1225,6)="CHECK ","Checks Paid",IF(OR(E1225="BILLPAY",ISNUMBER(SEARCH("FRANCHISE TAX",C1225)),ISNUMBER(SEARCH("NEXTLINK",C1225))),"Personal - House Bills",IF(AND(ISNUMBER(SEARCH("PAYMENT FROM",C1225)),ISNUMBER(SEARCH("JOE SAUNDERS",C1225))),"Zelle from Joe Saunders",IF(AND(ISNUMBER(SEARCH("PAYMENT TO",C1225)),ISNUMBER(SEARCH("JOE SAUNDERS",C1225))),"Zelle to Joe Saunders",IF(OR(ISNUMBER(SEARCH("NEW ORLEANS",C1225)),ISNUMBER(SEARCH("KENNER",C1225)),ISNUMBER(SEARCH("HENRY HOWARD",C1225)),ISNUMBER(SEARCH("MISS CLAUDIA",C1225))),"Personal Travel - New Orleans",IF(AND(YEAR(B1225)=2025,MONTH(B1225)=4,OR(ISNUMBER(SEARCH("EXCHANGE RATE",C1225)),ISNUMBER(SEARCH("EXCHG RTE",C1225)))),"Personal Travel - Italy",IFERROR(INDEX('Category Rules'!$B$2:$B$358,MATCH(TRUE,ISNUMBER(SEARCH('Category Rules'!$A$2:$A$358,C1225)),0)),""))))))))</f>
        <v>Uber Eats</v>
      </c>
    </row>
    <row r="1226" spans="1:7" x14ac:dyDescent="0.25">
      <c r="A1226" t="s">
        <v>6</v>
      </c>
      <c r="B1226" s="1">
        <v>45848</v>
      </c>
      <c r="C1226" t="s">
        <v>21</v>
      </c>
      <c r="D1226">
        <v>-3</v>
      </c>
      <c r="E1226" t="s">
        <v>8</v>
      </c>
      <c r="F1226">
        <v>787.7</v>
      </c>
      <c r="G1226" t="str" cm="1">
        <f t="array" ref="G1226">IF(AND(ISNUMBER(SEARCH("UBER",C1226)),ISNUMBER(SEARCH("EATS",C1226))),"Uber Eats",IF(LEFT(C1226,6)="CHECK ","Checks Paid",IF(OR(E1226="BILLPAY",ISNUMBER(SEARCH("FRANCHISE TAX",C1226)),ISNUMBER(SEARCH("NEXTLINK",C1226))),"Personal - House Bills",IF(AND(ISNUMBER(SEARCH("PAYMENT FROM",C1226)),ISNUMBER(SEARCH("JOE SAUNDERS",C1226))),"Zelle from Joe Saunders",IF(AND(ISNUMBER(SEARCH("PAYMENT TO",C1226)),ISNUMBER(SEARCH("JOE SAUNDERS",C1226))),"Zelle to Joe Saunders",IF(OR(ISNUMBER(SEARCH("NEW ORLEANS",C1226)),ISNUMBER(SEARCH("KENNER",C1226)),ISNUMBER(SEARCH("HENRY HOWARD",C1226)),ISNUMBER(SEARCH("MISS CLAUDIA",C1226))),"Personal Travel - New Orleans",IF(AND(YEAR(B1226)=2025,MONTH(B1226)=4,OR(ISNUMBER(SEARCH("EXCHANGE RATE",C1226)),ISNUMBER(SEARCH("EXCHG RTE",C1226)))),"Personal Travel - Italy",IFERROR(INDEX('Category Rules'!$B$2:$B$358,MATCH(TRUE,ISNUMBER(SEARCH('Category Rules'!$A$2:$A$358,C1226)),0)),""))))))))</f>
        <v>Bank Fees</v>
      </c>
    </row>
    <row r="1227" spans="1:7" x14ac:dyDescent="0.25">
      <c r="A1227" t="s">
        <v>6</v>
      </c>
      <c r="B1227" s="1">
        <v>45848</v>
      </c>
      <c r="C1227" t="s">
        <v>1150</v>
      </c>
      <c r="D1227">
        <v>-42.92</v>
      </c>
      <c r="E1227" t="s">
        <v>10</v>
      </c>
      <c r="F1227">
        <v>790.7</v>
      </c>
      <c r="G1227" t="str" cm="1">
        <f t="array" ref="G1227">IF(AND(ISNUMBER(SEARCH("UBER",C1227)),ISNUMBER(SEARCH("EATS",C1227))),"Uber Eats",IF(LEFT(C1227,6)="CHECK ","Checks Paid",IF(OR(E1227="BILLPAY",ISNUMBER(SEARCH("FRANCHISE TAX",C1227)),ISNUMBER(SEARCH("NEXTLINK",C1227))),"Personal - House Bills",IF(AND(ISNUMBER(SEARCH("PAYMENT FROM",C1227)),ISNUMBER(SEARCH("JOE SAUNDERS",C1227))),"Zelle from Joe Saunders",IF(AND(ISNUMBER(SEARCH("PAYMENT TO",C1227)),ISNUMBER(SEARCH("JOE SAUNDERS",C1227))),"Zelle to Joe Saunders",IF(OR(ISNUMBER(SEARCH("NEW ORLEANS",C1227)),ISNUMBER(SEARCH("KENNER",C1227)),ISNUMBER(SEARCH("HENRY HOWARD",C1227)),ISNUMBER(SEARCH("MISS CLAUDIA",C1227))),"Personal Travel - New Orleans",IF(AND(YEAR(B1227)=2025,MONTH(B1227)=4,OR(ISNUMBER(SEARCH("EXCHANGE RATE",C1227)),ISNUMBER(SEARCH("EXCHG RTE",C1227)))),"Personal Travel - Italy",IFERROR(INDEX('Category Rules'!$B$2:$B$358,MATCH(TRUE,ISNUMBER(SEARCH('Category Rules'!$A$2:$A$358,C1227)),0)),""))))))))</f>
        <v>Personal - Health</v>
      </c>
    </row>
    <row r="1228" spans="1:7" x14ac:dyDescent="0.25">
      <c r="A1228" t="s">
        <v>6</v>
      </c>
      <c r="B1228" s="1">
        <v>45848</v>
      </c>
      <c r="C1228" t="s">
        <v>1151</v>
      </c>
      <c r="D1228">
        <v>-203.95</v>
      </c>
      <c r="E1228" t="s">
        <v>26</v>
      </c>
      <c r="F1228">
        <v>833.62</v>
      </c>
      <c r="G1228" t="str" cm="1">
        <f t="array" ref="G1228">IF(AND(ISNUMBER(SEARCH("UBER",C1228)),ISNUMBER(SEARCH("EATS",C1228))),"Uber Eats",IF(LEFT(C1228,6)="CHECK ","Checks Paid",IF(OR(E1228="BILLPAY",ISNUMBER(SEARCH("FRANCHISE TAX",C1228)),ISNUMBER(SEARCH("NEXTLINK",C1228))),"Personal - House Bills",IF(AND(ISNUMBER(SEARCH("PAYMENT FROM",C1228)),ISNUMBER(SEARCH("JOE SAUNDERS",C1228))),"Zelle from Joe Saunders",IF(AND(ISNUMBER(SEARCH("PAYMENT TO",C1228)),ISNUMBER(SEARCH("JOE SAUNDERS",C1228))),"Zelle to Joe Saunders",IF(OR(ISNUMBER(SEARCH("NEW ORLEANS",C1228)),ISNUMBER(SEARCH("KENNER",C1228)),ISNUMBER(SEARCH("HENRY HOWARD",C1228)),ISNUMBER(SEARCH("MISS CLAUDIA",C1228))),"Personal Travel - New Orleans",IF(AND(YEAR(B1228)=2025,MONTH(B1228)=4,OR(ISNUMBER(SEARCH("EXCHANGE RATE",C1228)),ISNUMBER(SEARCH("EXCHG RTE",C1228)))),"Personal Travel - Italy",IFERROR(INDEX('Category Rules'!$B$2:$B$358,MATCH(TRUE,ISNUMBER(SEARCH('Category Rules'!$A$2:$A$358,C1228)),0)),""))))))))</f>
        <v>Withdrawal</v>
      </c>
    </row>
    <row r="1229" spans="1:7" x14ac:dyDescent="0.25">
      <c r="A1229" t="s">
        <v>6</v>
      </c>
      <c r="B1229" s="1">
        <v>45848</v>
      </c>
      <c r="C1229" t="s">
        <v>1152</v>
      </c>
      <c r="D1229">
        <v>-12.99</v>
      </c>
      <c r="E1229" t="s">
        <v>10</v>
      </c>
      <c r="F1229">
        <v>1037.57</v>
      </c>
      <c r="G1229" t="str" cm="1">
        <f t="array" ref="G1229">IF(AND(ISNUMBER(SEARCH("UBER",C1229)),ISNUMBER(SEARCH("EATS",C1229))),"Uber Eats",IF(LEFT(C1229,6)="CHECK ","Checks Paid",IF(OR(E1229="BILLPAY",ISNUMBER(SEARCH("FRANCHISE TAX",C1229)),ISNUMBER(SEARCH("NEXTLINK",C1229))),"Personal - House Bills",IF(AND(ISNUMBER(SEARCH("PAYMENT FROM",C1229)),ISNUMBER(SEARCH("JOE SAUNDERS",C1229))),"Zelle from Joe Saunders",IF(AND(ISNUMBER(SEARCH("PAYMENT TO",C1229)),ISNUMBER(SEARCH("JOE SAUNDERS",C1229))),"Zelle to Joe Saunders",IF(OR(ISNUMBER(SEARCH("NEW ORLEANS",C1229)),ISNUMBER(SEARCH("KENNER",C1229)),ISNUMBER(SEARCH("HENRY HOWARD",C1229)),ISNUMBER(SEARCH("MISS CLAUDIA",C1229))),"Personal Travel - New Orleans",IF(AND(YEAR(B1229)=2025,MONTH(B1229)=4,OR(ISNUMBER(SEARCH("EXCHANGE RATE",C1229)),ISNUMBER(SEARCH("EXCHG RTE",C1229)))),"Personal Travel - Italy",IFERROR(INDEX('Category Rules'!$B$2:$B$358,MATCH(TRUE,ISNUMBER(SEARCH('Category Rules'!$A$2:$A$358,C1229)),0)),""))))))))</f>
        <v>Apple</v>
      </c>
    </row>
    <row r="1230" spans="1:7" x14ac:dyDescent="0.25">
      <c r="A1230" t="s">
        <v>6</v>
      </c>
      <c r="B1230" s="1">
        <v>45848</v>
      </c>
      <c r="C1230" t="s">
        <v>1153</v>
      </c>
      <c r="D1230">
        <v>-59.99</v>
      </c>
      <c r="E1230" t="s">
        <v>10</v>
      </c>
      <c r="F1230">
        <v>1050.56</v>
      </c>
      <c r="G1230" t="str" cm="1">
        <f t="array" ref="G1230">IF(AND(ISNUMBER(SEARCH("UBER",C1230)),ISNUMBER(SEARCH("EATS",C1230))),"Uber Eats",IF(LEFT(C1230,6)="CHECK ","Checks Paid",IF(OR(E1230="BILLPAY",ISNUMBER(SEARCH("FRANCHISE TAX",C1230)),ISNUMBER(SEARCH("NEXTLINK",C1230))),"Personal - House Bills",IF(AND(ISNUMBER(SEARCH("PAYMENT FROM",C1230)),ISNUMBER(SEARCH("JOE SAUNDERS",C1230))),"Zelle from Joe Saunders",IF(AND(ISNUMBER(SEARCH("PAYMENT TO",C1230)),ISNUMBER(SEARCH("JOE SAUNDERS",C1230))),"Zelle to Joe Saunders",IF(OR(ISNUMBER(SEARCH("NEW ORLEANS",C1230)),ISNUMBER(SEARCH("KENNER",C1230)),ISNUMBER(SEARCH("HENRY HOWARD",C1230)),ISNUMBER(SEARCH("MISS CLAUDIA",C1230))),"Personal Travel - New Orleans",IF(AND(YEAR(B1230)=2025,MONTH(B1230)=4,OR(ISNUMBER(SEARCH("EXCHANGE RATE",C1230)),ISNUMBER(SEARCH("EXCHG RTE",C1230)))),"Personal Travel - Italy",IFERROR(INDEX('Category Rules'!$B$2:$B$358,MATCH(TRUE,ISNUMBER(SEARCH('Category Rules'!$A$2:$A$358,C1230)),0)),""))))))))</f>
        <v>Apple</v>
      </c>
    </row>
    <row r="1231" spans="1:7" x14ac:dyDescent="0.25">
      <c r="A1231" t="s">
        <v>6</v>
      </c>
      <c r="B1231" s="1">
        <v>45847</v>
      </c>
      <c r="C1231" t="s">
        <v>1153</v>
      </c>
      <c r="D1231">
        <v>-6.99</v>
      </c>
      <c r="E1231" t="s">
        <v>10</v>
      </c>
      <c r="F1231">
        <v>1110.55</v>
      </c>
      <c r="G1231" t="str" cm="1">
        <f t="array" ref="G1231">IF(AND(ISNUMBER(SEARCH("UBER",C1231)),ISNUMBER(SEARCH("EATS",C1231))),"Uber Eats",IF(LEFT(C1231,6)="CHECK ","Checks Paid",IF(OR(E1231="BILLPAY",ISNUMBER(SEARCH("FRANCHISE TAX",C1231)),ISNUMBER(SEARCH("NEXTLINK",C1231))),"Personal - House Bills",IF(AND(ISNUMBER(SEARCH("PAYMENT FROM",C1231)),ISNUMBER(SEARCH("JOE SAUNDERS",C1231))),"Zelle from Joe Saunders",IF(AND(ISNUMBER(SEARCH("PAYMENT TO",C1231)),ISNUMBER(SEARCH("JOE SAUNDERS",C1231))),"Zelle to Joe Saunders",IF(OR(ISNUMBER(SEARCH("NEW ORLEANS",C1231)),ISNUMBER(SEARCH("KENNER",C1231)),ISNUMBER(SEARCH("HENRY HOWARD",C1231)),ISNUMBER(SEARCH("MISS CLAUDIA",C1231))),"Personal Travel - New Orleans",IF(AND(YEAR(B1231)=2025,MONTH(B1231)=4,OR(ISNUMBER(SEARCH("EXCHANGE RATE",C1231)),ISNUMBER(SEARCH("EXCHG RTE",C1231)))),"Personal Travel - Italy",IFERROR(INDEX('Category Rules'!$B$2:$B$358,MATCH(TRUE,ISNUMBER(SEARCH('Category Rules'!$A$2:$A$358,C1231)),0)),""))))))))</f>
        <v>Apple</v>
      </c>
    </row>
    <row r="1232" spans="1:7" x14ac:dyDescent="0.25">
      <c r="A1232" t="s">
        <v>6</v>
      </c>
      <c r="B1232" s="1">
        <v>45847</v>
      </c>
      <c r="C1232" t="s">
        <v>1154</v>
      </c>
      <c r="D1232">
        <v>-482.44</v>
      </c>
      <c r="E1232" t="s">
        <v>10</v>
      </c>
      <c r="F1232">
        <v>1117.54</v>
      </c>
      <c r="G1232" t="str" cm="1">
        <f t="array" ref="G1232">IF(AND(ISNUMBER(SEARCH("UBER",C1232)),ISNUMBER(SEARCH("EATS",C1232))),"Uber Eats",IF(LEFT(C1232,6)="CHECK ","Checks Paid",IF(OR(E1232="BILLPAY",ISNUMBER(SEARCH("FRANCHISE TAX",C1232)),ISNUMBER(SEARCH("NEXTLINK",C1232))),"Personal - House Bills",IF(AND(ISNUMBER(SEARCH("PAYMENT FROM",C1232)),ISNUMBER(SEARCH("JOE SAUNDERS",C1232))),"Zelle from Joe Saunders",IF(AND(ISNUMBER(SEARCH("PAYMENT TO",C1232)),ISNUMBER(SEARCH("JOE SAUNDERS",C1232))),"Zelle to Joe Saunders",IF(OR(ISNUMBER(SEARCH("NEW ORLEANS",C1232)),ISNUMBER(SEARCH("KENNER",C1232)),ISNUMBER(SEARCH("HENRY HOWARD",C1232)),ISNUMBER(SEARCH("MISS CLAUDIA",C1232))),"Personal Travel - New Orleans",IF(AND(YEAR(B1232)=2025,MONTH(B1232)=4,OR(ISNUMBER(SEARCH("EXCHANGE RATE",C1232)),ISNUMBER(SEARCH("EXCHG RTE",C1232)))),"Personal Travel - Italy",IFERROR(INDEX('Category Rules'!$B$2:$B$358,MATCH(TRUE,ISNUMBER(SEARCH('Category Rules'!$A$2:$A$358,C1232)),0)),""))))))))</f>
        <v>Personal - Shopping</v>
      </c>
    </row>
    <row r="1233" spans="1:7" x14ac:dyDescent="0.25">
      <c r="A1233" t="s">
        <v>6</v>
      </c>
      <c r="B1233" s="1">
        <v>45846</v>
      </c>
      <c r="C1233" t="s">
        <v>1155</v>
      </c>
      <c r="D1233">
        <v>-55.12</v>
      </c>
      <c r="E1233" t="s">
        <v>10</v>
      </c>
      <c r="F1233">
        <v>1599.98</v>
      </c>
      <c r="G1233" t="str" cm="1">
        <f t="array" ref="G1233">IF(AND(ISNUMBER(SEARCH("UBER",C1233)),ISNUMBER(SEARCH("EATS",C1233))),"Uber Eats",IF(LEFT(C1233,6)="CHECK ","Checks Paid",IF(OR(E1233="BILLPAY",ISNUMBER(SEARCH("FRANCHISE TAX",C1233)),ISNUMBER(SEARCH("NEXTLINK",C1233))),"Personal - House Bills",IF(AND(ISNUMBER(SEARCH("PAYMENT FROM",C1233)),ISNUMBER(SEARCH("JOE SAUNDERS",C1233))),"Zelle from Joe Saunders",IF(AND(ISNUMBER(SEARCH("PAYMENT TO",C1233)),ISNUMBER(SEARCH("JOE SAUNDERS",C1233))),"Zelle to Joe Saunders",IF(OR(ISNUMBER(SEARCH("NEW ORLEANS",C1233)),ISNUMBER(SEARCH("KENNER",C1233)),ISNUMBER(SEARCH("HENRY HOWARD",C1233)),ISNUMBER(SEARCH("MISS CLAUDIA",C1233))),"Personal Travel - New Orleans",IF(AND(YEAR(B1233)=2025,MONTH(B1233)=4,OR(ISNUMBER(SEARCH("EXCHANGE RATE",C1233)),ISNUMBER(SEARCH("EXCHG RTE",C1233)))),"Personal Travel - Italy",IFERROR(INDEX('Category Rules'!$B$2:$B$358,MATCH(TRUE,ISNUMBER(SEARCH('Category Rules'!$A$2:$A$358,C1233)),0)),""))))))))</f>
        <v>Uber Eats</v>
      </c>
    </row>
    <row r="1234" spans="1:7" x14ac:dyDescent="0.25">
      <c r="A1234" t="s">
        <v>6</v>
      </c>
      <c r="B1234" s="1">
        <v>45846</v>
      </c>
      <c r="C1234" t="s">
        <v>1156</v>
      </c>
      <c r="D1234">
        <v>-13.99</v>
      </c>
      <c r="E1234" t="s">
        <v>10</v>
      </c>
      <c r="F1234">
        <v>1655.1</v>
      </c>
      <c r="G1234" t="str" cm="1">
        <f t="array" ref="G1234">IF(AND(ISNUMBER(SEARCH("UBER",C1234)),ISNUMBER(SEARCH("EATS",C1234))),"Uber Eats",IF(LEFT(C1234,6)="CHECK ","Checks Paid",IF(OR(E1234="BILLPAY",ISNUMBER(SEARCH("FRANCHISE TAX",C1234)),ISNUMBER(SEARCH("NEXTLINK",C1234))),"Personal - House Bills",IF(AND(ISNUMBER(SEARCH("PAYMENT FROM",C1234)),ISNUMBER(SEARCH("JOE SAUNDERS",C1234))),"Zelle from Joe Saunders",IF(AND(ISNUMBER(SEARCH("PAYMENT TO",C1234)),ISNUMBER(SEARCH("JOE SAUNDERS",C1234))),"Zelle to Joe Saunders",IF(OR(ISNUMBER(SEARCH("NEW ORLEANS",C1234)),ISNUMBER(SEARCH("KENNER",C1234)),ISNUMBER(SEARCH("HENRY HOWARD",C1234)),ISNUMBER(SEARCH("MISS CLAUDIA",C1234))),"Personal Travel - New Orleans",IF(AND(YEAR(B1234)=2025,MONTH(B1234)=4,OR(ISNUMBER(SEARCH("EXCHANGE RATE",C1234)),ISNUMBER(SEARCH("EXCHG RTE",C1234)))),"Personal Travel - Italy",IFERROR(INDEX('Category Rules'!$B$2:$B$358,MATCH(TRUE,ISNUMBER(SEARCH('Category Rules'!$A$2:$A$358,C1234)),0)),""))))))))</f>
        <v>Amazon</v>
      </c>
    </row>
    <row r="1235" spans="1:7" x14ac:dyDescent="0.25">
      <c r="A1235" t="s">
        <v>6</v>
      </c>
      <c r="B1235" s="1">
        <v>45846</v>
      </c>
      <c r="C1235" t="s">
        <v>1157</v>
      </c>
      <c r="D1235">
        <v>-8.34</v>
      </c>
      <c r="E1235" t="s">
        <v>10</v>
      </c>
      <c r="F1235">
        <v>1669.09</v>
      </c>
      <c r="G1235" t="str" cm="1">
        <f t="array" ref="G1235">IF(AND(ISNUMBER(SEARCH("UBER",C1235)),ISNUMBER(SEARCH("EATS",C1235))),"Uber Eats",IF(LEFT(C1235,6)="CHECK ","Checks Paid",IF(OR(E1235="BILLPAY",ISNUMBER(SEARCH("FRANCHISE TAX",C1235)),ISNUMBER(SEARCH("NEXTLINK",C1235))),"Personal - House Bills",IF(AND(ISNUMBER(SEARCH("PAYMENT FROM",C1235)),ISNUMBER(SEARCH("JOE SAUNDERS",C1235))),"Zelle from Joe Saunders",IF(AND(ISNUMBER(SEARCH("PAYMENT TO",C1235)),ISNUMBER(SEARCH("JOE SAUNDERS",C1235))),"Zelle to Joe Saunders",IF(OR(ISNUMBER(SEARCH("NEW ORLEANS",C1235)),ISNUMBER(SEARCH("KENNER",C1235)),ISNUMBER(SEARCH("HENRY HOWARD",C1235)),ISNUMBER(SEARCH("MISS CLAUDIA",C1235))),"Personal Travel - New Orleans",IF(AND(YEAR(B1235)=2025,MONTH(B1235)=4,OR(ISNUMBER(SEARCH("EXCHANGE RATE",C1235)),ISNUMBER(SEARCH("EXCHG RTE",C1235)))),"Personal Travel - Italy",IFERROR(INDEX('Category Rules'!$B$2:$B$358,MATCH(TRUE,ISNUMBER(SEARCH('Category Rules'!$A$2:$A$358,C1235)),0)),""))))))))</f>
        <v>Amazon</v>
      </c>
    </row>
    <row r="1236" spans="1:7" x14ac:dyDescent="0.25">
      <c r="A1236" t="s">
        <v>6</v>
      </c>
      <c r="B1236" s="1">
        <v>45846</v>
      </c>
      <c r="C1236" t="s">
        <v>1158</v>
      </c>
      <c r="D1236">
        <v>-16.440000000000001</v>
      </c>
      <c r="E1236" t="s">
        <v>10</v>
      </c>
      <c r="F1236">
        <v>1677.43</v>
      </c>
      <c r="G1236" t="str" cm="1">
        <f t="array" ref="G1236">IF(AND(ISNUMBER(SEARCH("UBER",C1236)),ISNUMBER(SEARCH("EATS",C1236))),"Uber Eats",IF(LEFT(C1236,6)="CHECK ","Checks Paid",IF(OR(E1236="BILLPAY",ISNUMBER(SEARCH("FRANCHISE TAX",C1236)),ISNUMBER(SEARCH("NEXTLINK",C1236))),"Personal - House Bills",IF(AND(ISNUMBER(SEARCH("PAYMENT FROM",C1236)),ISNUMBER(SEARCH("JOE SAUNDERS",C1236))),"Zelle from Joe Saunders",IF(AND(ISNUMBER(SEARCH("PAYMENT TO",C1236)),ISNUMBER(SEARCH("JOE SAUNDERS",C1236))),"Zelle to Joe Saunders",IF(OR(ISNUMBER(SEARCH("NEW ORLEANS",C1236)),ISNUMBER(SEARCH("KENNER",C1236)),ISNUMBER(SEARCH("HENRY HOWARD",C1236)),ISNUMBER(SEARCH("MISS CLAUDIA",C1236))),"Personal Travel - New Orleans",IF(AND(YEAR(B1236)=2025,MONTH(B1236)=4,OR(ISNUMBER(SEARCH("EXCHANGE RATE",C1236)),ISNUMBER(SEARCH("EXCHG RTE",C1236)))),"Personal Travel - Italy",IFERROR(INDEX('Category Rules'!$B$2:$B$358,MATCH(TRUE,ISNUMBER(SEARCH('Category Rules'!$A$2:$A$358,C1236)),0)),""))))))))</f>
        <v>Amazon</v>
      </c>
    </row>
    <row r="1237" spans="1:7" x14ac:dyDescent="0.25">
      <c r="A1237" t="s">
        <v>6</v>
      </c>
      <c r="B1237" s="1">
        <v>45846</v>
      </c>
      <c r="C1237" t="s">
        <v>1159</v>
      </c>
      <c r="D1237">
        <v>-58.7</v>
      </c>
      <c r="E1237" t="s">
        <v>10</v>
      </c>
      <c r="F1237">
        <v>1693.87</v>
      </c>
      <c r="G1237" t="str" cm="1">
        <f t="array" ref="G1237">IF(AND(ISNUMBER(SEARCH("UBER",C1237)),ISNUMBER(SEARCH("EATS",C1237))),"Uber Eats",IF(LEFT(C1237,6)="CHECK ","Checks Paid",IF(OR(E1237="BILLPAY",ISNUMBER(SEARCH("FRANCHISE TAX",C1237)),ISNUMBER(SEARCH("NEXTLINK",C1237))),"Personal - House Bills",IF(AND(ISNUMBER(SEARCH("PAYMENT FROM",C1237)),ISNUMBER(SEARCH("JOE SAUNDERS",C1237))),"Zelle from Joe Saunders",IF(AND(ISNUMBER(SEARCH("PAYMENT TO",C1237)),ISNUMBER(SEARCH("JOE SAUNDERS",C1237))),"Zelle to Joe Saunders",IF(OR(ISNUMBER(SEARCH("NEW ORLEANS",C1237)),ISNUMBER(SEARCH("KENNER",C1237)),ISNUMBER(SEARCH("HENRY HOWARD",C1237)),ISNUMBER(SEARCH("MISS CLAUDIA",C1237))),"Personal Travel - New Orleans",IF(AND(YEAR(B1237)=2025,MONTH(B1237)=4,OR(ISNUMBER(SEARCH("EXCHANGE RATE",C1237)),ISNUMBER(SEARCH("EXCHG RTE",C1237)))),"Personal Travel - Italy",IFERROR(INDEX('Category Rules'!$B$2:$B$358,MATCH(TRUE,ISNUMBER(SEARCH('Category Rules'!$A$2:$A$358,C1237)),0)),""))))))))</f>
        <v>Amazon</v>
      </c>
    </row>
    <row r="1238" spans="1:7" x14ac:dyDescent="0.25">
      <c r="A1238" t="s">
        <v>6</v>
      </c>
      <c r="B1238" s="1">
        <v>45845</v>
      </c>
      <c r="C1238" t="s">
        <v>1160</v>
      </c>
      <c r="D1238">
        <v>-36.76</v>
      </c>
      <c r="E1238" t="s">
        <v>10</v>
      </c>
      <c r="F1238">
        <v>1752.57</v>
      </c>
      <c r="G1238" t="str" cm="1">
        <f t="array" ref="G1238">IF(AND(ISNUMBER(SEARCH("UBER",C1238)),ISNUMBER(SEARCH("EATS",C1238))),"Uber Eats",IF(LEFT(C1238,6)="CHECK ","Checks Paid",IF(OR(E1238="BILLPAY",ISNUMBER(SEARCH("FRANCHISE TAX",C1238)),ISNUMBER(SEARCH("NEXTLINK",C1238))),"Personal - House Bills",IF(AND(ISNUMBER(SEARCH("PAYMENT FROM",C1238)),ISNUMBER(SEARCH("JOE SAUNDERS",C1238))),"Zelle from Joe Saunders",IF(AND(ISNUMBER(SEARCH("PAYMENT TO",C1238)),ISNUMBER(SEARCH("JOE SAUNDERS",C1238))),"Zelle to Joe Saunders",IF(OR(ISNUMBER(SEARCH("NEW ORLEANS",C1238)),ISNUMBER(SEARCH("KENNER",C1238)),ISNUMBER(SEARCH("HENRY HOWARD",C1238)),ISNUMBER(SEARCH("MISS CLAUDIA",C1238))),"Personal Travel - New Orleans",IF(AND(YEAR(B1238)=2025,MONTH(B1238)=4,OR(ISNUMBER(SEARCH("EXCHANGE RATE",C1238)),ISNUMBER(SEARCH("EXCHG RTE",C1238)))),"Personal Travel - Italy",IFERROR(INDEX('Category Rules'!$B$2:$B$358,MATCH(TRUE,ISNUMBER(SEARCH('Category Rules'!$A$2:$A$358,C1238)),0)),""))))))))</f>
        <v>Amazon</v>
      </c>
    </row>
    <row r="1239" spans="1:7" x14ac:dyDescent="0.25">
      <c r="A1239" t="s">
        <v>6</v>
      </c>
      <c r="B1239" s="1">
        <v>45845</v>
      </c>
      <c r="C1239" t="s">
        <v>1161</v>
      </c>
      <c r="D1239">
        <v>-43.94</v>
      </c>
      <c r="E1239" t="s">
        <v>10</v>
      </c>
      <c r="F1239">
        <v>1789.33</v>
      </c>
      <c r="G1239" t="str" cm="1">
        <f t="array" ref="G1239">IF(AND(ISNUMBER(SEARCH("UBER",C1239)),ISNUMBER(SEARCH("EATS",C1239))),"Uber Eats",IF(LEFT(C1239,6)="CHECK ","Checks Paid",IF(OR(E1239="BILLPAY",ISNUMBER(SEARCH("FRANCHISE TAX",C1239)),ISNUMBER(SEARCH("NEXTLINK",C1239))),"Personal - House Bills",IF(AND(ISNUMBER(SEARCH("PAYMENT FROM",C1239)),ISNUMBER(SEARCH("JOE SAUNDERS",C1239))),"Zelle from Joe Saunders",IF(AND(ISNUMBER(SEARCH("PAYMENT TO",C1239)),ISNUMBER(SEARCH("JOE SAUNDERS",C1239))),"Zelle to Joe Saunders",IF(OR(ISNUMBER(SEARCH("NEW ORLEANS",C1239)),ISNUMBER(SEARCH("KENNER",C1239)),ISNUMBER(SEARCH("HENRY HOWARD",C1239)),ISNUMBER(SEARCH("MISS CLAUDIA",C1239))),"Personal Travel - New Orleans",IF(AND(YEAR(B1239)=2025,MONTH(B1239)=4,OR(ISNUMBER(SEARCH("EXCHANGE RATE",C1239)),ISNUMBER(SEARCH("EXCHG RTE",C1239)))),"Personal Travel - Italy",IFERROR(INDEX('Category Rules'!$B$2:$B$358,MATCH(TRUE,ISNUMBER(SEARCH('Category Rules'!$A$2:$A$358,C1239)),0)),""))))))))</f>
        <v>Uber Eats</v>
      </c>
    </row>
    <row r="1240" spans="1:7" x14ac:dyDescent="0.25">
      <c r="A1240" t="s">
        <v>6</v>
      </c>
      <c r="B1240" s="1">
        <v>45845</v>
      </c>
      <c r="C1240" t="s">
        <v>1162</v>
      </c>
      <c r="D1240">
        <v>-662.59</v>
      </c>
      <c r="E1240" t="s">
        <v>10</v>
      </c>
      <c r="F1240">
        <v>1833.27</v>
      </c>
      <c r="G1240" t="str" cm="1">
        <f t="array" ref="G1240">IF(AND(ISNUMBER(SEARCH("UBER",C1240)),ISNUMBER(SEARCH("EATS",C1240))),"Uber Eats",IF(LEFT(C1240,6)="CHECK ","Checks Paid",IF(OR(E1240="BILLPAY",ISNUMBER(SEARCH("FRANCHISE TAX",C1240)),ISNUMBER(SEARCH("NEXTLINK",C1240))),"Personal - House Bills",IF(AND(ISNUMBER(SEARCH("PAYMENT FROM",C1240)),ISNUMBER(SEARCH("JOE SAUNDERS",C1240))),"Zelle from Joe Saunders",IF(AND(ISNUMBER(SEARCH("PAYMENT TO",C1240)),ISNUMBER(SEARCH("JOE SAUNDERS",C1240))),"Zelle to Joe Saunders",IF(OR(ISNUMBER(SEARCH("NEW ORLEANS",C1240)),ISNUMBER(SEARCH("KENNER",C1240)),ISNUMBER(SEARCH("HENRY HOWARD",C1240)),ISNUMBER(SEARCH("MISS CLAUDIA",C1240))),"Personal Travel - New Orleans",IF(AND(YEAR(B1240)=2025,MONTH(B1240)=4,OR(ISNUMBER(SEARCH("EXCHANGE RATE",C1240)),ISNUMBER(SEARCH("EXCHG RTE",C1240)))),"Personal Travel - Italy",IFERROR(INDEX('Category Rules'!$B$2:$B$358,MATCH(TRUE,ISNUMBER(SEARCH('Category Rules'!$A$2:$A$358,C1240)),0)),""))))))))</f>
        <v>Personal - Food</v>
      </c>
    </row>
    <row r="1241" spans="1:7" x14ac:dyDescent="0.25">
      <c r="A1241" t="s">
        <v>6</v>
      </c>
      <c r="B1241" s="1">
        <v>45845</v>
      </c>
      <c r="C1241" t="s">
        <v>1163</v>
      </c>
      <c r="D1241">
        <v>-22.99</v>
      </c>
      <c r="E1241" t="s">
        <v>10</v>
      </c>
      <c r="F1241">
        <v>2495.86</v>
      </c>
      <c r="G1241" t="str" cm="1">
        <f t="array" ref="G1241">IF(AND(ISNUMBER(SEARCH("UBER",C1241)),ISNUMBER(SEARCH("EATS",C1241))),"Uber Eats",IF(LEFT(C1241,6)="CHECK ","Checks Paid",IF(OR(E1241="BILLPAY",ISNUMBER(SEARCH("FRANCHISE TAX",C1241)),ISNUMBER(SEARCH("NEXTLINK",C1241))),"Personal - House Bills",IF(AND(ISNUMBER(SEARCH("PAYMENT FROM",C1241)),ISNUMBER(SEARCH("JOE SAUNDERS",C1241))),"Zelle from Joe Saunders",IF(AND(ISNUMBER(SEARCH("PAYMENT TO",C1241)),ISNUMBER(SEARCH("JOE SAUNDERS",C1241))),"Zelle to Joe Saunders",IF(OR(ISNUMBER(SEARCH("NEW ORLEANS",C1241)),ISNUMBER(SEARCH("KENNER",C1241)),ISNUMBER(SEARCH("HENRY HOWARD",C1241)),ISNUMBER(SEARCH("MISS CLAUDIA",C1241))),"Personal Travel - New Orleans",IF(AND(YEAR(B1241)=2025,MONTH(B1241)=4,OR(ISNUMBER(SEARCH("EXCHANGE RATE",C1241)),ISNUMBER(SEARCH("EXCHG RTE",C1241)))),"Personal Travel - Italy",IFERROR(INDEX('Category Rules'!$B$2:$B$358,MATCH(TRUE,ISNUMBER(SEARCH('Category Rules'!$A$2:$A$358,C1241)),0)),""))))))))</f>
        <v>Amazon</v>
      </c>
    </row>
    <row r="1242" spans="1:7" x14ac:dyDescent="0.25">
      <c r="A1242" t="s">
        <v>6</v>
      </c>
      <c r="B1242" s="1">
        <v>45845</v>
      </c>
      <c r="C1242" t="s">
        <v>1164</v>
      </c>
      <c r="D1242">
        <v>-13.99</v>
      </c>
      <c r="E1242" t="s">
        <v>10</v>
      </c>
      <c r="F1242">
        <v>2518.85</v>
      </c>
      <c r="G1242" t="str" cm="1">
        <f t="array" ref="G1242">IF(AND(ISNUMBER(SEARCH("UBER",C1242)),ISNUMBER(SEARCH("EATS",C1242))),"Uber Eats",IF(LEFT(C1242,6)="CHECK ","Checks Paid",IF(OR(E1242="BILLPAY",ISNUMBER(SEARCH("FRANCHISE TAX",C1242)),ISNUMBER(SEARCH("NEXTLINK",C1242))),"Personal - House Bills",IF(AND(ISNUMBER(SEARCH("PAYMENT FROM",C1242)),ISNUMBER(SEARCH("JOE SAUNDERS",C1242))),"Zelle from Joe Saunders",IF(AND(ISNUMBER(SEARCH("PAYMENT TO",C1242)),ISNUMBER(SEARCH("JOE SAUNDERS",C1242))),"Zelle to Joe Saunders",IF(OR(ISNUMBER(SEARCH("NEW ORLEANS",C1242)),ISNUMBER(SEARCH("KENNER",C1242)),ISNUMBER(SEARCH("HENRY HOWARD",C1242)),ISNUMBER(SEARCH("MISS CLAUDIA",C1242))),"Personal Travel - New Orleans",IF(AND(YEAR(B1242)=2025,MONTH(B1242)=4,OR(ISNUMBER(SEARCH("EXCHANGE RATE",C1242)),ISNUMBER(SEARCH("EXCHG RTE",C1242)))),"Personal Travel - Italy",IFERROR(INDEX('Category Rules'!$B$2:$B$358,MATCH(TRUE,ISNUMBER(SEARCH('Category Rules'!$A$2:$A$358,C1242)),0)),""))))))))</f>
        <v>YouTube Premium</v>
      </c>
    </row>
    <row r="1243" spans="1:7" x14ac:dyDescent="0.25">
      <c r="A1243" t="s">
        <v>6</v>
      </c>
      <c r="B1243" s="1">
        <v>45845</v>
      </c>
      <c r="C1243" t="s">
        <v>1165</v>
      </c>
      <c r="D1243">
        <v>-18.989999999999998</v>
      </c>
      <c r="E1243" t="s">
        <v>10</v>
      </c>
      <c r="F1243">
        <v>2532.84</v>
      </c>
      <c r="G1243" t="str" cm="1">
        <f t="array" ref="G1243">IF(AND(ISNUMBER(SEARCH("UBER",C1243)),ISNUMBER(SEARCH("EATS",C1243))),"Uber Eats",IF(LEFT(C1243,6)="CHECK ","Checks Paid",IF(OR(E1243="BILLPAY",ISNUMBER(SEARCH("FRANCHISE TAX",C1243)),ISNUMBER(SEARCH("NEXTLINK",C1243))),"Personal - House Bills",IF(AND(ISNUMBER(SEARCH("PAYMENT FROM",C1243)),ISNUMBER(SEARCH("JOE SAUNDERS",C1243))),"Zelle from Joe Saunders",IF(AND(ISNUMBER(SEARCH("PAYMENT TO",C1243)),ISNUMBER(SEARCH("JOE SAUNDERS",C1243))),"Zelle to Joe Saunders",IF(OR(ISNUMBER(SEARCH("NEW ORLEANS",C1243)),ISNUMBER(SEARCH("KENNER",C1243)),ISNUMBER(SEARCH("HENRY HOWARD",C1243)),ISNUMBER(SEARCH("MISS CLAUDIA",C1243))),"Personal Travel - New Orleans",IF(AND(YEAR(B1243)=2025,MONTH(B1243)=4,OR(ISNUMBER(SEARCH("EXCHANGE RATE",C1243)),ISNUMBER(SEARCH("EXCHG RTE",C1243)))),"Personal Travel - Italy",IFERROR(INDEX('Category Rules'!$B$2:$B$358,MATCH(TRUE,ISNUMBER(SEARCH('Category Rules'!$A$2:$A$358,C1243)),0)),""))))))))</f>
        <v>Personal - Entertainment</v>
      </c>
    </row>
    <row r="1244" spans="1:7" x14ac:dyDescent="0.25">
      <c r="A1244" t="s">
        <v>6</v>
      </c>
      <c r="B1244" s="1">
        <v>45845</v>
      </c>
      <c r="C1244" t="s">
        <v>1166</v>
      </c>
      <c r="D1244">
        <v>-29.95</v>
      </c>
      <c r="E1244" t="s">
        <v>10</v>
      </c>
      <c r="F1244">
        <v>2551.83</v>
      </c>
      <c r="G1244" t="str" cm="1">
        <f t="array" ref="G1244">IF(AND(ISNUMBER(SEARCH("UBER",C1244)),ISNUMBER(SEARCH("EATS",C1244))),"Uber Eats",IF(LEFT(C1244,6)="CHECK ","Checks Paid",IF(OR(E1244="BILLPAY",ISNUMBER(SEARCH("FRANCHISE TAX",C1244)),ISNUMBER(SEARCH("NEXTLINK",C1244))),"Personal - House Bills",IF(AND(ISNUMBER(SEARCH("PAYMENT FROM",C1244)),ISNUMBER(SEARCH("JOE SAUNDERS",C1244))),"Zelle from Joe Saunders",IF(AND(ISNUMBER(SEARCH("PAYMENT TO",C1244)),ISNUMBER(SEARCH("JOE SAUNDERS",C1244))),"Zelle to Joe Saunders",IF(OR(ISNUMBER(SEARCH("NEW ORLEANS",C1244)),ISNUMBER(SEARCH("KENNER",C1244)),ISNUMBER(SEARCH("HENRY HOWARD",C1244)),ISNUMBER(SEARCH("MISS CLAUDIA",C1244))),"Personal Travel - New Orleans",IF(AND(YEAR(B1244)=2025,MONTH(B1244)=4,OR(ISNUMBER(SEARCH("EXCHANGE RATE",C1244)),ISNUMBER(SEARCH("EXCHG RTE",C1244)))),"Personal Travel - Italy",IFERROR(INDEX('Category Rules'!$B$2:$B$358,MATCH(TRUE,ISNUMBER(SEARCH('Category Rules'!$A$2:$A$358,C1244)),0)),""))))))))</f>
        <v>Personal - Subscription</v>
      </c>
    </row>
    <row r="1245" spans="1:7" x14ac:dyDescent="0.25">
      <c r="A1245" t="s">
        <v>6</v>
      </c>
      <c r="B1245" s="1">
        <v>45845</v>
      </c>
      <c r="C1245" t="s">
        <v>1167</v>
      </c>
      <c r="D1245">
        <v>-22</v>
      </c>
      <c r="E1245" t="s">
        <v>10</v>
      </c>
      <c r="F1245">
        <v>2581.7800000000002</v>
      </c>
      <c r="G1245" t="str" cm="1">
        <f t="array" ref="G1245">IF(AND(ISNUMBER(SEARCH("UBER",C1245)),ISNUMBER(SEARCH("EATS",C1245))),"Uber Eats",IF(LEFT(C1245,6)="CHECK ","Checks Paid",IF(OR(E1245="BILLPAY",ISNUMBER(SEARCH("FRANCHISE TAX",C1245)),ISNUMBER(SEARCH("NEXTLINK",C1245))),"Personal - House Bills",IF(AND(ISNUMBER(SEARCH("PAYMENT FROM",C1245)),ISNUMBER(SEARCH("JOE SAUNDERS",C1245))),"Zelle from Joe Saunders",IF(AND(ISNUMBER(SEARCH("PAYMENT TO",C1245)),ISNUMBER(SEARCH("JOE SAUNDERS",C1245))),"Zelle to Joe Saunders",IF(OR(ISNUMBER(SEARCH("NEW ORLEANS",C1245)),ISNUMBER(SEARCH("KENNER",C1245)),ISNUMBER(SEARCH("HENRY HOWARD",C1245)),ISNUMBER(SEARCH("MISS CLAUDIA",C1245))),"Personal Travel - New Orleans",IF(AND(YEAR(B1245)=2025,MONTH(B1245)=4,OR(ISNUMBER(SEARCH("EXCHANGE RATE",C1245)),ISNUMBER(SEARCH("EXCHG RTE",C1245)))),"Personal Travel - Italy",IFERROR(INDEX('Category Rules'!$B$2:$B$358,MATCH(TRUE,ISNUMBER(SEARCH('Category Rules'!$A$2:$A$358,C1245)),0)),""))))))))</f>
        <v>Personal - Subscription</v>
      </c>
    </row>
    <row r="1246" spans="1:7" x14ac:dyDescent="0.25">
      <c r="A1246" t="s">
        <v>6</v>
      </c>
      <c r="B1246" s="1">
        <v>45845</v>
      </c>
      <c r="C1246" t="s">
        <v>1168</v>
      </c>
      <c r="D1246">
        <v>-500</v>
      </c>
      <c r="E1246" t="s">
        <v>39</v>
      </c>
      <c r="F1246">
        <v>2603.7800000000002</v>
      </c>
      <c r="G1246" t="str" cm="1">
        <f t="array" ref="G1246">IF(AND(ISNUMBER(SEARCH("UBER",C1246)),ISNUMBER(SEARCH("EATS",C1246))),"Uber Eats",IF(LEFT(C1246,6)="CHECK ","Checks Paid",IF(OR(E1246="BILLPAY",ISNUMBER(SEARCH("FRANCHISE TAX",C1246)),ISNUMBER(SEARCH("NEXTLINK",C1246))),"Personal - House Bills",IF(AND(ISNUMBER(SEARCH("PAYMENT FROM",C1246)),ISNUMBER(SEARCH("JOE SAUNDERS",C1246))),"Zelle from Joe Saunders",IF(AND(ISNUMBER(SEARCH("PAYMENT TO",C1246)),ISNUMBER(SEARCH("JOE SAUNDERS",C1246))),"Zelle to Joe Saunders",IF(OR(ISNUMBER(SEARCH("NEW ORLEANS",C1246)),ISNUMBER(SEARCH("KENNER",C1246)),ISNUMBER(SEARCH("HENRY HOWARD",C1246)),ISNUMBER(SEARCH("MISS CLAUDIA",C1246))),"Personal Travel - New Orleans",IF(AND(YEAR(B1246)=2025,MONTH(B1246)=4,OR(ISNUMBER(SEARCH("EXCHANGE RATE",C1246)),ISNUMBER(SEARCH("EXCHG RTE",C1246)))),"Personal Travel - Italy",IFERROR(INDEX('Category Rules'!$B$2:$B$358,MATCH(TRUE,ISNUMBER(SEARCH('Category Rules'!$A$2:$A$358,C1246)),0)),""))))))))</f>
        <v>Zelle to Aaron Frankel</v>
      </c>
    </row>
    <row r="1247" spans="1:7" x14ac:dyDescent="0.25">
      <c r="A1247" t="s">
        <v>6</v>
      </c>
      <c r="B1247" s="1">
        <v>45845</v>
      </c>
      <c r="C1247" t="s">
        <v>1169</v>
      </c>
      <c r="D1247">
        <v>-100</v>
      </c>
      <c r="E1247" t="s">
        <v>10</v>
      </c>
      <c r="F1247">
        <v>3103.78</v>
      </c>
      <c r="G1247" t="str" cm="1">
        <f t="array" ref="G1247">IF(AND(ISNUMBER(SEARCH("UBER",C1247)),ISNUMBER(SEARCH("EATS",C1247))),"Uber Eats",IF(LEFT(C1247,6)="CHECK ","Checks Paid",IF(OR(E1247="BILLPAY",ISNUMBER(SEARCH("FRANCHISE TAX",C1247)),ISNUMBER(SEARCH("NEXTLINK",C1247))),"Personal - House Bills",IF(AND(ISNUMBER(SEARCH("PAYMENT FROM",C1247)),ISNUMBER(SEARCH("JOE SAUNDERS",C1247))),"Zelle from Joe Saunders",IF(AND(ISNUMBER(SEARCH("PAYMENT TO",C1247)),ISNUMBER(SEARCH("JOE SAUNDERS",C1247))),"Zelle to Joe Saunders",IF(OR(ISNUMBER(SEARCH("NEW ORLEANS",C1247)),ISNUMBER(SEARCH("KENNER",C1247)),ISNUMBER(SEARCH("HENRY HOWARD",C1247)),ISNUMBER(SEARCH("MISS CLAUDIA",C1247))),"Personal Travel - New Orleans",IF(AND(YEAR(B1247)=2025,MONTH(B1247)=4,OR(ISNUMBER(SEARCH("EXCHANGE RATE",C1247)),ISNUMBER(SEARCH("EXCHG RTE",C1247)))),"Personal Travel - Italy",IFERROR(INDEX('Category Rules'!$B$2:$B$358,MATCH(TRUE,ISNUMBER(SEARCH('Category Rules'!$A$2:$A$358,C1247)),0)),""))))))))</f>
        <v>Personal - House Bills</v>
      </c>
    </row>
    <row r="1248" spans="1:7" x14ac:dyDescent="0.25">
      <c r="A1248" t="s">
        <v>6</v>
      </c>
      <c r="B1248" s="1">
        <v>45845</v>
      </c>
      <c r="C1248" t="s">
        <v>1170</v>
      </c>
      <c r="D1248">
        <v>-20</v>
      </c>
      <c r="E1248" t="s">
        <v>10</v>
      </c>
      <c r="F1248">
        <v>3203.78</v>
      </c>
      <c r="G1248" t="str" cm="1">
        <f t="array" ref="G1248">IF(AND(ISNUMBER(SEARCH("UBER",C1248)),ISNUMBER(SEARCH("EATS",C1248))),"Uber Eats",IF(LEFT(C1248,6)="CHECK ","Checks Paid",IF(OR(E1248="BILLPAY",ISNUMBER(SEARCH("FRANCHISE TAX",C1248)),ISNUMBER(SEARCH("NEXTLINK",C1248))),"Personal - House Bills",IF(AND(ISNUMBER(SEARCH("PAYMENT FROM",C1248)),ISNUMBER(SEARCH("JOE SAUNDERS",C1248))),"Zelle from Joe Saunders",IF(AND(ISNUMBER(SEARCH("PAYMENT TO",C1248)),ISNUMBER(SEARCH("JOE SAUNDERS",C1248))),"Zelle to Joe Saunders",IF(OR(ISNUMBER(SEARCH("NEW ORLEANS",C1248)),ISNUMBER(SEARCH("KENNER",C1248)),ISNUMBER(SEARCH("HENRY HOWARD",C1248)),ISNUMBER(SEARCH("MISS CLAUDIA",C1248))),"Personal Travel - New Orleans",IF(AND(YEAR(B1248)=2025,MONTH(B1248)=4,OR(ISNUMBER(SEARCH("EXCHANGE RATE",C1248)),ISNUMBER(SEARCH("EXCHG RTE",C1248)))),"Personal Travel - Italy",IFERROR(INDEX('Category Rules'!$B$2:$B$358,MATCH(TRUE,ISNUMBER(SEARCH('Category Rules'!$A$2:$A$358,C1248)),0)),""))))))))</f>
        <v>Amazon</v>
      </c>
    </row>
    <row r="1249" spans="1:7" x14ac:dyDescent="0.25">
      <c r="A1249" t="s">
        <v>6</v>
      </c>
      <c r="B1249" s="1">
        <v>45845</v>
      </c>
      <c r="C1249" t="s">
        <v>1171</v>
      </c>
      <c r="D1249">
        <v>-200.71</v>
      </c>
      <c r="E1249" t="s">
        <v>10</v>
      </c>
      <c r="F1249">
        <v>3223.78</v>
      </c>
      <c r="G1249" t="str" cm="1">
        <f t="array" ref="G1249">IF(AND(ISNUMBER(SEARCH("UBER",C1249)),ISNUMBER(SEARCH("EATS",C1249))),"Uber Eats",IF(LEFT(C1249,6)="CHECK ","Checks Paid",IF(OR(E1249="BILLPAY",ISNUMBER(SEARCH("FRANCHISE TAX",C1249)),ISNUMBER(SEARCH("NEXTLINK",C1249))),"Personal - House Bills",IF(AND(ISNUMBER(SEARCH("PAYMENT FROM",C1249)),ISNUMBER(SEARCH("JOE SAUNDERS",C1249))),"Zelle from Joe Saunders",IF(AND(ISNUMBER(SEARCH("PAYMENT TO",C1249)),ISNUMBER(SEARCH("JOE SAUNDERS",C1249))),"Zelle to Joe Saunders",IF(OR(ISNUMBER(SEARCH("NEW ORLEANS",C1249)),ISNUMBER(SEARCH("KENNER",C1249)),ISNUMBER(SEARCH("HENRY HOWARD",C1249)),ISNUMBER(SEARCH("MISS CLAUDIA",C1249))),"Personal Travel - New Orleans",IF(AND(YEAR(B1249)=2025,MONTH(B1249)=4,OR(ISNUMBER(SEARCH("EXCHANGE RATE",C1249)),ISNUMBER(SEARCH("EXCHG RTE",C1249)))),"Personal Travel - Italy",IFERROR(INDEX('Category Rules'!$B$2:$B$358,MATCH(TRUE,ISNUMBER(SEARCH('Category Rules'!$A$2:$A$358,C1249)),0)),""))))))))</f>
        <v>Amazon</v>
      </c>
    </row>
    <row r="1250" spans="1:7" x14ac:dyDescent="0.25">
      <c r="A1250" t="s">
        <v>6</v>
      </c>
      <c r="B1250" s="1">
        <v>45845</v>
      </c>
      <c r="C1250" t="s">
        <v>1172</v>
      </c>
      <c r="D1250">
        <v>-14.99</v>
      </c>
      <c r="E1250" t="s">
        <v>10</v>
      </c>
      <c r="F1250">
        <v>3424.49</v>
      </c>
      <c r="G1250" t="str" cm="1">
        <f t="array" ref="G1250">IF(AND(ISNUMBER(SEARCH("UBER",C1250)),ISNUMBER(SEARCH("EATS",C1250))),"Uber Eats",IF(LEFT(C1250,6)="CHECK ","Checks Paid",IF(OR(E1250="BILLPAY",ISNUMBER(SEARCH("FRANCHISE TAX",C1250)),ISNUMBER(SEARCH("NEXTLINK",C1250))),"Personal - House Bills",IF(AND(ISNUMBER(SEARCH("PAYMENT FROM",C1250)),ISNUMBER(SEARCH("JOE SAUNDERS",C1250))),"Zelle from Joe Saunders",IF(AND(ISNUMBER(SEARCH("PAYMENT TO",C1250)),ISNUMBER(SEARCH("JOE SAUNDERS",C1250))),"Zelle to Joe Saunders",IF(OR(ISNUMBER(SEARCH("NEW ORLEANS",C1250)),ISNUMBER(SEARCH("KENNER",C1250)),ISNUMBER(SEARCH("HENRY HOWARD",C1250)),ISNUMBER(SEARCH("MISS CLAUDIA",C1250))),"Personal Travel - New Orleans",IF(AND(YEAR(B1250)=2025,MONTH(B1250)=4,OR(ISNUMBER(SEARCH("EXCHANGE RATE",C1250)),ISNUMBER(SEARCH("EXCHG RTE",C1250)))),"Personal Travel - Italy",IFERROR(INDEX('Category Rules'!$B$2:$B$358,MATCH(TRUE,ISNUMBER(SEARCH('Category Rules'!$A$2:$A$358,C1250)),0)),""))))))))</f>
        <v>Amazon</v>
      </c>
    </row>
    <row r="1251" spans="1:7" x14ac:dyDescent="0.25">
      <c r="A1251" t="s">
        <v>6</v>
      </c>
      <c r="B1251" s="1">
        <v>45845</v>
      </c>
      <c r="C1251" t="s">
        <v>1173</v>
      </c>
      <c r="D1251">
        <v>-166.37</v>
      </c>
      <c r="E1251" t="s">
        <v>10</v>
      </c>
      <c r="F1251">
        <v>3439.48</v>
      </c>
      <c r="G1251" t="str" cm="1">
        <f t="array" ref="G1251">IF(AND(ISNUMBER(SEARCH("UBER",C1251)),ISNUMBER(SEARCH("EATS",C1251))),"Uber Eats",IF(LEFT(C1251,6)="CHECK ","Checks Paid",IF(OR(E1251="BILLPAY",ISNUMBER(SEARCH("FRANCHISE TAX",C1251)),ISNUMBER(SEARCH("NEXTLINK",C1251))),"Personal - House Bills",IF(AND(ISNUMBER(SEARCH("PAYMENT FROM",C1251)),ISNUMBER(SEARCH("JOE SAUNDERS",C1251))),"Zelle from Joe Saunders",IF(AND(ISNUMBER(SEARCH("PAYMENT TO",C1251)),ISNUMBER(SEARCH("JOE SAUNDERS",C1251))),"Zelle to Joe Saunders",IF(OR(ISNUMBER(SEARCH("NEW ORLEANS",C1251)),ISNUMBER(SEARCH("KENNER",C1251)),ISNUMBER(SEARCH("HENRY HOWARD",C1251)),ISNUMBER(SEARCH("MISS CLAUDIA",C1251))),"Personal Travel - New Orleans",IF(AND(YEAR(B1251)=2025,MONTH(B1251)=4,OR(ISNUMBER(SEARCH("EXCHANGE RATE",C1251)),ISNUMBER(SEARCH("EXCHG RTE",C1251)))),"Personal Travel - Italy",IFERROR(INDEX('Category Rules'!$B$2:$B$358,MATCH(TRUE,ISNUMBER(SEARCH('Category Rules'!$A$2:$A$358,C1251)),0)),""))))))))</f>
        <v>Personal - Food</v>
      </c>
    </row>
    <row r="1252" spans="1:7" x14ac:dyDescent="0.25">
      <c r="A1252" t="s">
        <v>6</v>
      </c>
      <c r="B1252" s="1">
        <v>45845</v>
      </c>
      <c r="C1252" t="s">
        <v>1174</v>
      </c>
      <c r="D1252">
        <v>-79.81</v>
      </c>
      <c r="E1252" t="s">
        <v>10</v>
      </c>
      <c r="F1252">
        <v>3605.85</v>
      </c>
      <c r="G1252" t="str" cm="1">
        <f t="array" ref="G1252">IF(AND(ISNUMBER(SEARCH("UBER",C1252)),ISNUMBER(SEARCH("EATS",C1252))),"Uber Eats",IF(LEFT(C1252,6)="CHECK ","Checks Paid",IF(OR(E1252="BILLPAY",ISNUMBER(SEARCH("FRANCHISE TAX",C1252)),ISNUMBER(SEARCH("NEXTLINK",C1252))),"Personal - House Bills",IF(AND(ISNUMBER(SEARCH("PAYMENT FROM",C1252)),ISNUMBER(SEARCH("JOE SAUNDERS",C1252))),"Zelle from Joe Saunders",IF(AND(ISNUMBER(SEARCH("PAYMENT TO",C1252)),ISNUMBER(SEARCH("JOE SAUNDERS",C1252))),"Zelle to Joe Saunders",IF(OR(ISNUMBER(SEARCH("NEW ORLEANS",C1252)),ISNUMBER(SEARCH("KENNER",C1252)),ISNUMBER(SEARCH("HENRY HOWARD",C1252)),ISNUMBER(SEARCH("MISS CLAUDIA",C1252))),"Personal Travel - New Orleans",IF(AND(YEAR(B1252)=2025,MONTH(B1252)=4,OR(ISNUMBER(SEARCH("EXCHANGE RATE",C1252)),ISNUMBER(SEARCH("EXCHG RTE",C1252)))),"Personal Travel - Italy",IFERROR(INDEX('Category Rules'!$B$2:$B$358,MATCH(TRUE,ISNUMBER(SEARCH('Category Rules'!$A$2:$A$358,C1252)),0)),""))))))))</f>
        <v>Amazon</v>
      </c>
    </row>
    <row r="1253" spans="1:7" x14ac:dyDescent="0.25">
      <c r="A1253" t="s">
        <v>6</v>
      </c>
      <c r="B1253" s="1">
        <v>45845</v>
      </c>
      <c r="C1253" t="s">
        <v>1175</v>
      </c>
      <c r="D1253">
        <v>-64.78</v>
      </c>
      <c r="E1253" t="s">
        <v>10</v>
      </c>
      <c r="F1253">
        <v>3685.66</v>
      </c>
      <c r="G1253" t="str" cm="1">
        <f t="array" ref="G1253">IF(AND(ISNUMBER(SEARCH("UBER",C1253)),ISNUMBER(SEARCH("EATS",C1253))),"Uber Eats",IF(LEFT(C1253,6)="CHECK ","Checks Paid",IF(OR(E1253="BILLPAY",ISNUMBER(SEARCH("FRANCHISE TAX",C1253)),ISNUMBER(SEARCH("NEXTLINK",C1253))),"Personal - House Bills",IF(AND(ISNUMBER(SEARCH("PAYMENT FROM",C1253)),ISNUMBER(SEARCH("JOE SAUNDERS",C1253))),"Zelle from Joe Saunders",IF(AND(ISNUMBER(SEARCH("PAYMENT TO",C1253)),ISNUMBER(SEARCH("JOE SAUNDERS",C1253))),"Zelle to Joe Saunders",IF(OR(ISNUMBER(SEARCH("NEW ORLEANS",C1253)),ISNUMBER(SEARCH("KENNER",C1253)),ISNUMBER(SEARCH("HENRY HOWARD",C1253)),ISNUMBER(SEARCH("MISS CLAUDIA",C1253))),"Personal Travel - New Orleans",IF(AND(YEAR(B1253)=2025,MONTH(B1253)=4,OR(ISNUMBER(SEARCH("EXCHANGE RATE",C1253)),ISNUMBER(SEARCH("EXCHG RTE",C1253)))),"Personal Travel - Italy",IFERROR(INDEX('Category Rules'!$B$2:$B$358,MATCH(TRUE,ISNUMBER(SEARCH('Category Rules'!$A$2:$A$358,C1253)),0)),""))))))))</f>
        <v>Amazon</v>
      </c>
    </row>
    <row r="1254" spans="1:7" x14ac:dyDescent="0.25">
      <c r="A1254" t="s">
        <v>6</v>
      </c>
      <c r="B1254" s="1">
        <v>45845</v>
      </c>
      <c r="C1254" t="s">
        <v>1176</v>
      </c>
      <c r="D1254">
        <v>-32.36</v>
      </c>
      <c r="E1254" t="s">
        <v>10</v>
      </c>
      <c r="F1254">
        <v>3750.44</v>
      </c>
      <c r="G1254" t="str" cm="1">
        <f t="array" ref="G1254">IF(AND(ISNUMBER(SEARCH("UBER",C1254)),ISNUMBER(SEARCH("EATS",C1254))),"Uber Eats",IF(LEFT(C1254,6)="CHECK ","Checks Paid",IF(OR(E1254="BILLPAY",ISNUMBER(SEARCH("FRANCHISE TAX",C1254)),ISNUMBER(SEARCH("NEXTLINK",C1254))),"Personal - House Bills",IF(AND(ISNUMBER(SEARCH("PAYMENT FROM",C1254)),ISNUMBER(SEARCH("JOE SAUNDERS",C1254))),"Zelle from Joe Saunders",IF(AND(ISNUMBER(SEARCH("PAYMENT TO",C1254)),ISNUMBER(SEARCH("JOE SAUNDERS",C1254))),"Zelle to Joe Saunders",IF(OR(ISNUMBER(SEARCH("NEW ORLEANS",C1254)),ISNUMBER(SEARCH("KENNER",C1254)),ISNUMBER(SEARCH("HENRY HOWARD",C1254)),ISNUMBER(SEARCH("MISS CLAUDIA",C1254))),"Personal Travel - New Orleans",IF(AND(YEAR(B1254)=2025,MONTH(B1254)=4,OR(ISNUMBER(SEARCH("EXCHANGE RATE",C1254)),ISNUMBER(SEARCH("EXCHG RTE",C1254)))),"Personal Travel - Italy",IFERROR(INDEX('Category Rules'!$B$2:$B$358,MATCH(TRUE,ISNUMBER(SEARCH('Category Rules'!$A$2:$A$358,C1254)),0)),""))))))))</f>
        <v>Amazon</v>
      </c>
    </row>
    <row r="1255" spans="1:7" x14ac:dyDescent="0.25">
      <c r="A1255" t="s">
        <v>6</v>
      </c>
      <c r="B1255" s="1">
        <v>45845</v>
      </c>
      <c r="C1255" t="s">
        <v>1177</v>
      </c>
      <c r="D1255">
        <v>-19.559999999999999</v>
      </c>
      <c r="E1255" t="s">
        <v>10</v>
      </c>
      <c r="F1255">
        <v>3782.8</v>
      </c>
      <c r="G1255" t="str" cm="1">
        <f t="array" ref="G1255">IF(AND(ISNUMBER(SEARCH("UBER",C1255)),ISNUMBER(SEARCH("EATS",C1255))),"Uber Eats",IF(LEFT(C1255,6)="CHECK ","Checks Paid",IF(OR(E1255="BILLPAY",ISNUMBER(SEARCH("FRANCHISE TAX",C1255)),ISNUMBER(SEARCH("NEXTLINK",C1255))),"Personal - House Bills",IF(AND(ISNUMBER(SEARCH("PAYMENT FROM",C1255)),ISNUMBER(SEARCH("JOE SAUNDERS",C1255))),"Zelle from Joe Saunders",IF(AND(ISNUMBER(SEARCH("PAYMENT TO",C1255)),ISNUMBER(SEARCH("JOE SAUNDERS",C1255))),"Zelle to Joe Saunders",IF(OR(ISNUMBER(SEARCH("NEW ORLEANS",C1255)),ISNUMBER(SEARCH("KENNER",C1255)),ISNUMBER(SEARCH("HENRY HOWARD",C1255)),ISNUMBER(SEARCH("MISS CLAUDIA",C1255))),"Personal Travel - New Orleans",IF(AND(YEAR(B1255)=2025,MONTH(B1255)=4,OR(ISNUMBER(SEARCH("EXCHANGE RATE",C1255)),ISNUMBER(SEARCH("EXCHG RTE",C1255)))),"Personal Travel - Italy",IFERROR(INDEX('Category Rules'!$B$2:$B$358,MATCH(TRUE,ISNUMBER(SEARCH('Category Rules'!$A$2:$A$358,C1255)),0)),""))))))))</f>
        <v>Personal Travel</v>
      </c>
    </row>
    <row r="1256" spans="1:7" x14ac:dyDescent="0.25">
      <c r="A1256" t="s">
        <v>6</v>
      </c>
      <c r="B1256" s="1">
        <v>45845</v>
      </c>
      <c r="C1256" t="s">
        <v>1178</v>
      </c>
      <c r="D1256">
        <v>-82.1</v>
      </c>
      <c r="E1256" t="s">
        <v>10</v>
      </c>
      <c r="F1256">
        <v>3802.36</v>
      </c>
      <c r="G1256" t="str" cm="1">
        <f t="array" ref="G1256">IF(AND(ISNUMBER(SEARCH("UBER",C1256)),ISNUMBER(SEARCH("EATS",C1256))),"Uber Eats",IF(LEFT(C1256,6)="CHECK ","Checks Paid",IF(OR(E1256="BILLPAY",ISNUMBER(SEARCH("FRANCHISE TAX",C1256)),ISNUMBER(SEARCH("NEXTLINK",C1256))),"Personal - House Bills",IF(AND(ISNUMBER(SEARCH("PAYMENT FROM",C1256)),ISNUMBER(SEARCH("JOE SAUNDERS",C1256))),"Zelle from Joe Saunders",IF(AND(ISNUMBER(SEARCH("PAYMENT TO",C1256)),ISNUMBER(SEARCH("JOE SAUNDERS",C1256))),"Zelle to Joe Saunders",IF(OR(ISNUMBER(SEARCH("NEW ORLEANS",C1256)),ISNUMBER(SEARCH("KENNER",C1256)),ISNUMBER(SEARCH("HENRY HOWARD",C1256)),ISNUMBER(SEARCH("MISS CLAUDIA",C1256))),"Personal Travel - New Orleans",IF(AND(YEAR(B1256)=2025,MONTH(B1256)=4,OR(ISNUMBER(SEARCH("EXCHANGE RATE",C1256)),ISNUMBER(SEARCH("EXCHG RTE",C1256)))),"Personal Travel - Italy",IFERROR(INDEX('Category Rules'!$B$2:$B$358,MATCH(TRUE,ISNUMBER(SEARCH('Category Rules'!$A$2:$A$358,C1256)),0)),""))))))))</f>
        <v>Amazon</v>
      </c>
    </row>
    <row r="1257" spans="1:7" x14ac:dyDescent="0.25">
      <c r="A1257" t="s">
        <v>6</v>
      </c>
      <c r="B1257" s="1">
        <v>45845</v>
      </c>
      <c r="C1257" t="s">
        <v>1179</v>
      </c>
      <c r="D1257">
        <v>-8.77</v>
      </c>
      <c r="E1257" t="s">
        <v>10</v>
      </c>
      <c r="F1257">
        <v>3884.46</v>
      </c>
      <c r="G1257" t="str" cm="1">
        <f t="array" ref="G1257">IF(AND(ISNUMBER(SEARCH("UBER",C1257)),ISNUMBER(SEARCH("EATS",C1257))),"Uber Eats",IF(LEFT(C1257,6)="CHECK ","Checks Paid",IF(OR(E1257="BILLPAY",ISNUMBER(SEARCH("FRANCHISE TAX",C1257)),ISNUMBER(SEARCH("NEXTLINK",C1257))),"Personal - House Bills",IF(AND(ISNUMBER(SEARCH("PAYMENT FROM",C1257)),ISNUMBER(SEARCH("JOE SAUNDERS",C1257))),"Zelle from Joe Saunders",IF(AND(ISNUMBER(SEARCH("PAYMENT TO",C1257)),ISNUMBER(SEARCH("JOE SAUNDERS",C1257))),"Zelle to Joe Saunders",IF(OR(ISNUMBER(SEARCH("NEW ORLEANS",C1257)),ISNUMBER(SEARCH("KENNER",C1257)),ISNUMBER(SEARCH("HENRY HOWARD",C1257)),ISNUMBER(SEARCH("MISS CLAUDIA",C1257))),"Personal Travel - New Orleans",IF(AND(YEAR(B1257)=2025,MONTH(B1257)=4,OR(ISNUMBER(SEARCH("EXCHANGE RATE",C1257)),ISNUMBER(SEARCH("EXCHG RTE",C1257)))),"Personal Travel - Italy",IFERROR(INDEX('Category Rules'!$B$2:$B$358,MATCH(TRUE,ISNUMBER(SEARCH('Category Rules'!$A$2:$A$358,C1257)),0)),""))))))))</f>
        <v>Amazon</v>
      </c>
    </row>
    <row r="1258" spans="1:7" x14ac:dyDescent="0.25">
      <c r="A1258" t="s">
        <v>6</v>
      </c>
      <c r="B1258" s="1">
        <v>45845</v>
      </c>
      <c r="C1258" t="s">
        <v>1180</v>
      </c>
      <c r="D1258">
        <v>-32.909999999999997</v>
      </c>
      <c r="E1258" t="s">
        <v>10</v>
      </c>
      <c r="F1258">
        <v>3893.23</v>
      </c>
      <c r="G1258" t="str" cm="1">
        <f t="array" ref="G1258">IF(AND(ISNUMBER(SEARCH("UBER",C1258)),ISNUMBER(SEARCH("EATS",C1258))),"Uber Eats",IF(LEFT(C1258,6)="CHECK ","Checks Paid",IF(OR(E1258="BILLPAY",ISNUMBER(SEARCH("FRANCHISE TAX",C1258)),ISNUMBER(SEARCH("NEXTLINK",C1258))),"Personal - House Bills",IF(AND(ISNUMBER(SEARCH("PAYMENT FROM",C1258)),ISNUMBER(SEARCH("JOE SAUNDERS",C1258))),"Zelle from Joe Saunders",IF(AND(ISNUMBER(SEARCH("PAYMENT TO",C1258)),ISNUMBER(SEARCH("JOE SAUNDERS",C1258))),"Zelle to Joe Saunders",IF(OR(ISNUMBER(SEARCH("NEW ORLEANS",C1258)),ISNUMBER(SEARCH("KENNER",C1258)),ISNUMBER(SEARCH("HENRY HOWARD",C1258)),ISNUMBER(SEARCH("MISS CLAUDIA",C1258))),"Personal Travel - New Orleans",IF(AND(YEAR(B1258)=2025,MONTH(B1258)=4,OR(ISNUMBER(SEARCH("EXCHANGE RATE",C1258)),ISNUMBER(SEARCH("EXCHG RTE",C1258)))),"Personal Travel - Italy",IFERROR(INDEX('Category Rules'!$B$2:$B$358,MATCH(TRUE,ISNUMBER(SEARCH('Category Rules'!$A$2:$A$358,C1258)),0)),""))))))))</f>
        <v>Amazon</v>
      </c>
    </row>
    <row r="1259" spans="1:7" x14ac:dyDescent="0.25">
      <c r="A1259" t="s">
        <v>6</v>
      </c>
      <c r="B1259" s="1">
        <v>45845</v>
      </c>
      <c r="C1259" t="s">
        <v>1181</v>
      </c>
      <c r="D1259">
        <v>-3.99</v>
      </c>
      <c r="E1259" t="s">
        <v>10</v>
      </c>
      <c r="F1259">
        <v>3926.14</v>
      </c>
      <c r="G1259" t="str" cm="1">
        <f t="array" ref="G1259">IF(AND(ISNUMBER(SEARCH("UBER",C1259)),ISNUMBER(SEARCH("EATS",C1259))),"Uber Eats",IF(LEFT(C1259,6)="CHECK ","Checks Paid",IF(OR(E1259="BILLPAY",ISNUMBER(SEARCH("FRANCHISE TAX",C1259)),ISNUMBER(SEARCH("NEXTLINK",C1259))),"Personal - House Bills",IF(AND(ISNUMBER(SEARCH("PAYMENT FROM",C1259)),ISNUMBER(SEARCH("JOE SAUNDERS",C1259))),"Zelle from Joe Saunders",IF(AND(ISNUMBER(SEARCH("PAYMENT TO",C1259)),ISNUMBER(SEARCH("JOE SAUNDERS",C1259))),"Zelle to Joe Saunders",IF(OR(ISNUMBER(SEARCH("NEW ORLEANS",C1259)),ISNUMBER(SEARCH("KENNER",C1259)),ISNUMBER(SEARCH("HENRY HOWARD",C1259)),ISNUMBER(SEARCH("MISS CLAUDIA",C1259))),"Personal Travel - New Orleans",IF(AND(YEAR(B1259)=2025,MONTH(B1259)=4,OR(ISNUMBER(SEARCH("EXCHANGE RATE",C1259)),ISNUMBER(SEARCH("EXCHG RTE",C1259)))),"Personal Travel - Italy",IFERROR(INDEX('Category Rules'!$B$2:$B$358,MATCH(TRUE,ISNUMBER(SEARCH('Category Rules'!$A$2:$A$358,C1259)),0)),""))))))))</f>
        <v>Apple</v>
      </c>
    </row>
    <row r="1260" spans="1:7" x14ac:dyDescent="0.25">
      <c r="A1260" t="s">
        <v>6</v>
      </c>
      <c r="B1260" s="1">
        <v>45845</v>
      </c>
      <c r="C1260" t="s">
        <v>1182</v>
      </c>
      <c r="D1260">
        <v>-32.909999999999997</v>
      </c>
      <c r="E1260" t="s">
        <v>10</v>
      </c>
      <c r="F1260">
        <v>3930.13</v>
      </c>
      <c r="G1260" t="str" cm="1">
        <f t="array" ref="G1260">IF(AND(ISNUMBER(SEARCH("UBER",C1260)),ISNUMBER(SEARCH("EATS",C1260))),"Uber Eats",IF(LEFT(C1260,6)="CHECK ","Checks Paid",IF(OR(E1260="BILLPAY",ISNUMBER(SEARCH("FRANCHISE TAX",C1260)),ISNUMBER(SEARCH("NEXTLINK",C1260))),"Personal - House Bills",IF(AND(ISNUMBER(SEARCH("PAYMENT FROM",C1260)),ISNUMBER(SEARCH("JOE SAUNDERS",C1260))),"Zelle from Joe Saunders",IF(AND(ISNUMBER(SEARCH("PAYMENT TO",C1260)),ISNUMBER(SEARCH("JOE SAUNDERS",C1260))),"Zelle to Joe Saunders",IF(OR(ISNUMBER(SEARCH("NEW ORLEANS",C1260)),ISNUMBER(SEARCH("KENNER",C1260)),ISNUMBER(SEARCH("HENRY HOWARD",C1260)),ISNUMBER(SEARCH("MISS CLAUDIA",C1260))),"Personal Travel - New Orleans",IF(AND(YEAR(B1260)=2025,MONTH(B1260)=4,OR(ISNUMBER(SEARCH("EXCHANGE RATE",C1260)),ISNUMBER(SEARCH("EXCHG RTE",C1260)))),"Personal Travel - Italy",IFERROR(INDEX('Category Rules'!$B$2:$B$358,MATCH(TRUE,ISNUMBER(SEARCH('Category Rules'!$A$2:$A$358,C1260)),0)),""))))))))</f>
        <v>Amazon</v>
      </c>
    </row>
    <row r="1261" spans="1:7" x14ac:dyDescent="0.25">
      <c r="A1261" t="s">
        <v>44</v>
      </c>
      <c r="B1261" s="1">
        <v>45845</v>
      </c>
      <c r="C1261" t="s">
        <v>1183</v>
      </c>
      <c r="D1261">
        <v>150</v>
      </c>
      <c r="E1261" t="s">
        <v>46</v>
      </c>
      <c r="F1261">
        <v>3963.04</v>
      </c>
      <c r="G1261" t="str" cm="1">
        <f t="array" ref="G1261">IF(AND(ISNUMBER(SEARCH("UBER",C1261)),ISNUMBER(SEARCH("EATS",C1261))),"Uber Eats",IF(LEFT(C1261,6)="CHECK ","Checks Paid",IF(OR(E1261="BILLPAY",ISNUMBER(SEARCH("FRANCHISE TAX",C1261)),ISNUMBER(SEARCH("NEXTLINK",C1261))),"Personal - House Bills",IF(AND(ISNUMBER(SEARCH("PAYMENT FROM",C1261)),ISNUMBER(SEARCH("JOE SAUNDERS",C1261))),"Zelle from Joe Saunders",IF(AND(ISNUMBER(SEARCH("PAYMENT TO",C1261)),ISNUMBER(SEARCH("JOE SAUNDERS",C1261))),"Zelle to Joe Saunders",IF(OR(ISNUMBER(SEARCH("NEW ORLEANS",C1261)),ISNUMBER(SEARCH("KENNER",C1261)),ISNUMBER(SEARCH("HENRY HOWARD",C1261)),ISNUMBER(SEARCH("MISS CLAUDIA",C1261))),"Personal Travel - New Orleans",IF(AND(YEAR(B1261)=2025,MONTH(B1261)=4,OR(ISNUMBER(SEARCH("EXCHANGE RATE",C1261)),ISNUMBER(SEARCH("EXCHG RTE",C1261)))),"Personal Travel - Italy",IFERROR(INDEX('Category Rules'!$B$2:$B$358,MATCH(TRUE,ISNUMBER(SEARCH('Category Rules'!$A$2:$A$358,C1261)),0)),""))))))))</f>
        <v>Zelle from Rose Li</v>
      </c>
    </row>
    <row r="1262" spans="1:7" x14ac:dyDescent="0.25">
      <c r="A1262" t="s">
        <v>44</v>
      </c>
      <c r="B1262" s="1">
        <v>45845</v>
      </c>
      <c r="C1262" t="s">
        <v>1184</v>
      </c>
      <c r="D1262">
        <v>2000</v>
      </c>
      <c r="E1262" t="s">
        <v>73</v>
      </c>
      <c r="F1262">
        <v>3813.04</v>
      </c>
      <c r="G1262" t="str" cm="1">
        <f t="array" ref="G1262">IF(AND(ISNUMBER(SEARCH("UBER",C1262)),ISNUMBER(SEARCH("EATS",C1262))),"Uber Eats",IF(LEFT(C1262,6)="CHECK ","Checks Paid",IF(OR(E1262="BILLPAY",ISNUMBER(SEARCH("FRANCHISE TAX",C1262)),ISNUMBER(SEARCH("NEXTLINK",C1262))),"Personal - House Bills",IF(AND(ISNUMBER(SEARCH("PAYMENT FROM",C1262)),ISNUMBER(SEARCH("JOE SAUNDERS",C1262))),"Zelle from Joe Saunders",IF(AND(ISNUMBER(SEARCH("PAYMENT TO",C1262)),ISNUMBER(SEARCH("JOE SAUNDERS",C1262))),"Zelle to Joe Saunders",IF(OR(ISNUMBER(SEARCH("NEW ORLEANS",C1262)),ISNUMBER(SEARCH("KENNER",C1262)),ISNUMBER(SEARCH("HENRY HOWARD",C1262)),ISNUMBER(SEARCH("MISS CLAUDIA",C1262))),"Personal Travel - New Orleans",IF(AND(YEAR(B1262)=2025,MONTH(B1262)=4,OR(ISNUMBER(SEARCH("EXCHANGE RATE",C1262)),ISNUMBER(SEARCH("EXCHG RTE",C1262)))),"Personal Travel - Italy",IFERROR(INDEX('Category Rules'!$B$2:$B$358,MATCH(TRUE,ISNUMBER(SEARCH('Category Rules'!$A$2:$A$358,C1262)),0)),""))))))))</f>
        <v>Transfer from DWG Capital Group</v>
      </c>
    </row>
    <row r="1263" spans="1:7" x14ac:dyDescent="0.25">
      <c r="A1263" t="s">
        <v>6</v>
      </c>
      <c r="B1263" s="1">
        <v>45845</v>
      </c>
      <c r="C1263" t="s">
        <v>1185</v>
      </c>
      <c r="D1263">
        <v>19.559999999999999</v>
      </c>
      <c r="E1263" t="s">
        <v>10</v>
      </c>
      <c r="F1263">
        <v>1813.04</v>
      </c>
      <c r="G1263" t="str" cm="1">
        <f t="array" ref="G1263">IF(AND(ISNUMBER(SEARCH("UBER",C1263)),ISNUMBER(SEARCH("EATS",C1263))),"Uber Eats",IF(LEFT(C1263,6)="CHECK ","Checks Paid",IF(OR(E1263="BILLPAY",ISNUMBER(SEARCH("FRANCHISE TAX",C1263)),ISNUMBER(SEARCH("NEXTLINK",C1263))),"Personal - House Bills",IF(AND(ISNUMBER(SEARCH("PAYMENT FROM",C1263)),ISNUMBER(SEARCH("JOE SAUNDERS",C1263))),"Zelle from Joe Saunders",IF(AND(ISNUMBER(SEARCH("PAYMENT TO",C1263)),ISNUMBER(SEARCH("JOE SAUNDERS",C1263))),"Zelle to Joe Saunders",IF(OR(ISNUMBER(SEARCH("NEW ORLEANS",C1263)),ISNUMBER(SEARCH("KENNER",C1263)),ISNUMBER(SEARCH("HENRY HOWARD",C1263)),ISNUMBER(SEARCH("MISS CLAUDIA",C1263))),"Personal Travel - New Orleans",IF(AND(YEAR(B1263)=2025,MONTH(B1263)=4,OR(ISNUMBER(SEARCH("EXCHANGE RATE",C1263)),ISNUMBER(SEARCH("EXCHG RTE",C1263)))),"Personal Travel - Italy",IFERROR(INDEX('Category Rules'!$B$2:$B$358,MATCH(TRUE,ISNUMBER(SEARCH('Category Rules'!$A$2:$A$358,C1263)),0)),""))))))))</f>
        <v>Personal Travel</v>
      </c>
    </row>
    <row r="1264" spans="1:7" x14ac:dyDescent="0.25">
      <c r="A1264" t="s">
        <v>6</v>
      </c>
      <c r="B1264" s="1">
        <v>45841</v>
      </c>
      <c r="C1264" t="s">
        <v>1186</v>
      </c>
      <c r="D1264">
        <v>-65.83</v>
      </c>
      <c r="E1264" t="s">
        <v>10</v>
      </c>
      <c r="F1264">
        <v>1793.48</v>
      </c>
      <c r="G1264" t="str" cm="1">
        <f t="array" ref="G1264">IF(AND(ISNUMBER(SEARCH("UBER",C1264)),ISNUMBER(SEARCH("EATS",C1264))),"Uber Eats",IF(LEFT(C1264,6)="CHECK ","Checks Paid",IF(OR(E1264="BILLPAY",ISNUMBER(SEARCH("FRANCHISE TAX",C1264)),ISNUMBER(SEARCH("NEXTLINK",C1264))),"Personal - House Bills",IF(AND(ISNUMBER(SEARCH("PAYMENT FROM",C1264)),ISNUMBER(SEARCH("JOE SAUNDERS",C1264))),"Zelle from Joe Saunders",IF(AND(ISNUMBER(SEARCH("PAYMENT TO",C1264)),ISNUMBER(SEARCH("JOE SAUNDERS",C1264))),"Zelle to Joe Saunders",IF(OR(ISNUMBER(SEARCH("NEW ORLEANS",C1264)),ISNUMBER(SEARCH("KENNER",C1264)),ISNUMBER(SEARCH("HENRY HOWARD",C1264)),ISNUMBER(SEARCH("MISS CLAUDIA",C1264))),"Personal Travel - New Orleans",IF(AND(YEAR(B1264)=2025,MONTH(B1264)=4,OR(ISNUMBER(SEARCH("EXCHANGE RATE",C1264)),ISNUMBER(SEARCH("EXCHG RTE",C1264)))),"Personal Travel - Italy",IFERROR(INDEX('Category Rules'!$B$2:$B$358,MATCH(TRUE,ISNUMBER(SEARCH('Category Rules'!$A$2:$A$358,C1264)),0)),""))))))))</f>
        <v>Personal - Health</v>
      </c>
    </row>
    <row r="1265" spans="1:7" x14ac:dyDescent="0.25">
      <c r="A1265" t="s">
        <v>6</v>
      </c>
      <c r="B1265" s="1">
        <v>45841</v>
      </c>
      <c r="C1265" t="s">
        <v>1187</v>
      </c>
      <c r="D1265">
        <v>-500</v>
      </c>
      <c r="E1265" t="s">
        <v>26</v>
      </c>
      <c r="F1265">
        <v>1859.31</v>
      </c>
      <c r="G1265" t="str" cm="1">
        <f t="array" ref="G1265">IF(AND(ISNUMBER(SEARCH("UBER",C1265)),ISNUMBER(SEARCH("EATS",C1265))),"Uber Eats",IF(LEFT(C1265,6)="CHECK ","Checks Paid",IF(OR(E1265="BILLPAY",ISNUMBER(SEARCH("FRANCHISE TAX",C1265)),ISNUMBER(SEARCH("NEXTLINK",C1265))),"Personal - House Bills",IF(AND(ISNUMBER(SEARCH("PAYMENT FROM",C1265)),ISNUMBER(SEARCH("JOE SAUNDERS",C1265))),"Zelle from Joe Saunders",IF(AND(ISNUMBER(SEARCH("PAYMENT TO",C1265)),ISNUMBER(SEARCH("JOE SAUNDERS",C1265))),"Zelle to Joe Saunders",IF(OR(ISNUMBER(SEARCH("NEW ORLEANS",C1265)),ISNUMBER(SEARCH("KENNER",C1265)),ISNUMBER(SEARCH("HENRY HOWARD",C1265)),ISNUMBER(SEARCH("MISS CLAUDIA",C1265))),"Personal Travel - New Orleans",IF(AND(YEAR(B1265)=2025,MONTH(B1265)=4,OR(ISNUMBER(SEARCH("EXCHANGE RATE",C1265)),ISNUMBER(SEARCH("EXCHG RTE",C1265)))),"Personal Travel - Italy",IFERROR(INDEX('Category Rules'!$B$2:$B$358,MATCH(TRUE,ISNUMBER(SEARCH('Category Rules'!$A$2:$A$358,C1265)),0)),""))))))))</f>
        <v>Withdrawal</v>
      </c>
    </row>
    <row r="1266" spans="1:7" x14ac:dyDescent="0.25">
      <c r="A1266" t="s">
        <v>6</v>
      </c>
      <c r="B1266" s="1">
        <v>45841</v>
      </c>
      <c r="C1266" t="s">
        <v>1188</v>
      </c>
      <c r="D1266">
        <v>-350.96</v>
      </c>
      <c r="E1266" t="s">
        <v>10</v>
      </c>
      <c r="F1266">
        <v>2359.31</v>
      </c>
      <c r="G1266" t="str" cm="1">
        <f t="array" ref="G1266">IF(AND(ISNUMBER(SEARCH("UBER",C1266)),ISNUMBER(SEARCH("EATS",C1266))),"Uber Eats",IF(LEFT(C1266,6)="CHECK ","Checks Paid",IF(OR(E1266="BILLPAY",ISNUMBER(SEARCH("FRANCHISE TAX",C1266)),ISNUMBER(SEARCH("NEXTLINK",C1266))),"Personal - House Bills",IF(AND(ISNUMBER(SEARCH("PAYMENT FROM",C1266)),ISNUMBER(SEARCH("JOE SAUNDERS",C1266))),"Zelle from Joe Saunders",IF(AND(ISNUMBER(SEARCH("PAYMENT TO",C1266)),ISNUMBER(SEARCH("JOE SAUNDERS",C1266))),"Zelle to Joe Saunders",IF(OR(ISNUMBER(SEARCH("NEW ORLEANS",C1266)),ISNUMBER(SEARCH("KENNER",C1266)),ISNUMBER(SEARCH("HENRY HOWARD",C1266)),ISNUMBER(SEARCH("MISS CLAUDIA",C1266))),"Personal Travel - New Orleans",IF(AND(YEAR(B1266)=2025,MONTH(B1266)=4,OR(ISNUMBER(SEARCH("EXCHANGE RATE",C1266)),ISNUMBER(SEARCH("EXCHG RTE",C1266)))),"Personal Travel - Italy",IFERROR(INDEX('Category Rules'!$B$2:$B$358,MATCH(TRUE,ISNUMBER(SEARCH('Category Rules'!$A$2:$A$358,C1266)),0)),""))))))))</f>
        <v>Personal - Shopping</v>
      </c>
    </row>
    <row r="1267" spans="1:7" x14ac:dyDescent="0.25">
      <c r="A1267" t="s">
        <v>6</v>
      </c>
      <c r="B1267" s="1">
        <v>45841</v>
      </c>
      <c r="C1267" t="s">
        <v>1189</v>
      </c>
      <c r="D1267">
        <v>-58.86</v>
      </c>
      <c r="E1267" t="s">
        <v>10</v>
      </c>
      <c r="F1267">
        <v>2710.27</v>
      </c>
      <c r="G1267" t="str" cm="1">
        <f t="array" ref="G1267">IF(AND(ISNUMBER(SEARCH("UBER",C1267)),ISNUMBER(SEARCH("EATS",C1267))),"Uber Eats",IF(LEFT(C1267,6)="CHECK ","Checks Paid",IF(OR(E1267="BILLPAY",ISNUMBER(SEARCH("FRANCHISE TAX",C1267)),ISNUMBER(SEARCH("NEXTLINK",C1267))),"Personal - House Bills",IF(AND(ISNUMBER(SEARCH("PAYMENT FROM",C1267)),ISNUMBER(SEARCH("JOE SAUNDERS",C1267))),"Zelle from Joe Saunders",IF(AND(ISNUMBER(SEARCH("PAYMENT TO",C1267)),ISNUMBER(SEARCH("JOE SAUNDERS",C1267))),"Zelle to Joe Saunders",IF(OR(ISNUMBER(SEARCH("NEW ORLEANS",C1267)),ISNUMBER(SEARCH("KENNER",C1267)),ISNUMBER(SEARCH("HENRY HOWARD",C1267)),ISNUMBER(SEARCH("MISS CLAUDIA",C1267))),"Personal Travel - New Orleans",IF(AND(YEAR(B1267)=2025,MONTH(B1267)=4,OR(ISNUMBER(SEARCH("EXCHANGE RATE",C1267)),ISNUMBER(SEARCH("EXCHG RTE",C1267)))),"Personal Travel - Italy",IFERROR(INDEX('Category Rules'!$B$2:$B$358,MATCH(TRUE,ISNUMBER(SEARCH('Category Rules'!$A$2:$A$358,C1267)),0)),""))))))))</f>
        <v>Personal - Entertainment</v>
      </c>
    </row>
    <row r="1268" spans="1:7" x14ac:dyDescent="0.25">
      <c r="A1268" t="s">
        <v>6</v>
      </c>
      <c r="B1268" s="1">
        <v>45841</v>
      </c>
      <c r="C1268" t="s">
        <v>1190</v>
      </c>
      <c r="D1268">
        <v>-133.78</v>
      </c>
      <c r="E1268" t="s">
        <v>10</v>
      </c>
      <c r="F1268">
        <v>2769.13</v>
      </c>
      <c r="G1268" t="str" cm="1">
        <f t="array" ref="G1268">IF(AND(ISNUMBER(SEARCH("UBER",C1268)),ISNUMBER(SEARCH("EATS",C1268))),"Uber Eats",IF(LEFT(C1268,6)="CHECK ","Checks Paid",IF(OR(E1268="BILLPAY",ISNUMBER(SEARCH("FRANCHISE TAX",C1268)),ISNUMBER(SEARCH("NEXTLINK",C1268))),"Personal - House Bills",IF(AND(ISNUMBER(SEARCH("PAYMENT FROM",C1268)),ISNUMBER(SEARCH("JOE SAUNDERS",C1268))),"Zelle from Joe Saunders",IF(AND(ISNUMBER(SEARCH("PAYMENT TO",C1268)),ISNUMBER(SEARCH("JOE SAUNDERS",C1268))),"Zelle to Joe Saunders",IF(OR(ISNUMBER(SEARCH("NEW ORLEANS",C1268)),ISNUMBER(SEARCH("KENNER",C1268)),ISNUMBER(SEARCH("HENRY HOWARD",C1268)),ISNUMBER(SEARCH("MISS CLAUDIA",C1268))),"Personal Travel - New Orleans",IF(AND(YEAR(B1268)=2025,MONTH(B1268)=4,OR(ISNUMBER(SEARCH("EXCHANGE RATE",C1268)),ISNUMBER(SEARCH("EXCHG RTE",C1268)))),"Personal Travel - Italy",IFERROR(INDEX('Category Rules'!$B$2:$B$358,MATCH(TRUE,ISNUMBER(SEARCH('Category Rules'!$A$2:$A$358,C1268)),0)),""))))))))</f>
        <v>Amazon</v>
      </c>
    </row>
    <row r="1269" spans="1:7" x14ac:dyDescent="0.25">
      <c r="A1269" t="s">
        <v>6</v>
      </c>
      <c r="B1269" s="1">
        <v>45841</v>
      </c>
      <c r="C1269" t="s">
        <v>1191</v>
      </c>
      <c r="D1269">
        <v>-10.96</v>
      </c>
      <c r="E1269" t="s">
        <v>10</v>
      </c>
      <c r="F1269">
        <v>2902.91</v>
      </c>
      <c r="G1269" t="str" cm="1">
        <f t="array" ref="G1269">IF(AND(ISNUMBER(SEARCH("UBER",C1269)),ISNUMBER(SEARCH("EATS",C1269))),"Uber Eats",IF(LEFT(C1269,6)="CHECK ","Checks Paid",IF(OR(E1269="BILLPAY",ISNUMBER(SEARCH("FRANCHISE TAX",C1269)),ISNUMBER(SEARCH("NEXTLINK",C1269))),"Personal - House Bills",IF(AND(ISNUMBER(SEARCH("PAYMENT FROM",C1269)),ISNUMBER(SEARCH("JOE SAUNDERS",C1269))),"Zelle from Joe Saunders",IF(AND(ISNUMBER(SEARCH("PAYMENT TO",C1269)),ISNUMBER(SEARCH("JOE SAUNDERS",C1269))),"Zelle to Joe Saunders",IF(OR(ISNUMBER(SEARCH("NEW ORLEANS",C1269)),ISNUMBER(SEARCH("KENNER",C1269)),ISNUMBER(SEARCH("HENRY HOWARD",C1269)),ISNUMBER(SEARCH("MISS CLAUDIA",C1269))),"Personal Travel - New Orleans",IF(AND(YEAR(B1269)=2025,MONTH(B1269)=4,OR(ISNUMBER(SEARCH("EXCHANGE RATE",C1269)),ISNUMBER(SEARCH("EXCHG RTE",C1269)))),"Personal Travel - Italy",IFERROR(INDEX('Category Rules'!$B$2:$B$358,MATCH(TRUE,ISNUMBER(SEARCH('Category Rules'!$A$2:$A$358,C1269)),0)),""))))))))</f>
        <v>Amazon</v>
      </c>
    </row>
    <row r="1270" spans="1:7" x14ac:dyDescent="0.25">
      <c r="A1270" t="s">
        <v>44</v>
      </c>
      <c r="B1270" s="1">
        <v>45841</v>
      </c>
      <c r="C1270" t="s">
        <v>1192</v>
      </c>
      <c r="D1270">
        <v>1050</v>
      </c>
      <c r="E1270" t="s">
        <v>339</v>
      </c>
      <c r="F1270">
        <v>2913.87</v>
      </c>
      <c r="G1270" t="str" cm="1">
        <f t="array" ref="G1270">IF(AND(ISNUMBER(SEARCH("UBER",C1270)),ISNUMBER(SEARCH("EATS",C1270))),"Uber Eats",IF(LEFT(C1270,6)="CHECK ","Checks Paid",IF(OR(E1270="BILLPAY",ISNUMBER(SEARCH("FRANCHISE TAX",C1270)),ISNUMBER(SEARCH("NEXTLINK",C1270))),"Personal - House Bills",IF(AND(ISNUMBER(SEARCH("PAYMENT FROM",C1270)),ISNUMBER(SEARCH("JOE SAUNDERS",C1270))),"Zelle from Joe Saunders",IF(AND(ISNUMBER(SEARCH("PAYMENT TO",C1270)),ISNUMBER(SEARCH("JOE SAUNDERS",C1270))),"Zelle to Joe Saunders",IF(OR(ISNUMBER(SEARCH("NEW ORLEANS",C1270)),ISNUMBER(SEARCH("KENNER",C1270)),ISNUMBER(SEARCH("HENRY HOWARD",C1270)),ISNUMBER(SEARCH("MISS CLAUDIA",C1270))),"Personal Travel - New Orleans",IF(AND(YEAR(B1270)=2025,MONTH(B1270)=4,OR(ISNUMBER(SEARCH("EXCHANGE RATE",C1270)),ISNUMBER(SEARCH("EXCHG RTE",C1270)))),"Personal Travel - Italy",IFERROR(INDEX('Category Rules'!$B$2:$B$358,MATCH(TRUE,ISNUMBER(SEARCH('Category Rules'!$A$2:$A$358,C1270)),0)),""))))))))</f>
        <v>Deposit</v>
      </c>
    </row>
    <row r="1271" spans="1:7" x14ac:dyDescent="0.25">
      <c r="A1271" t="s">
        <v>6</v>
      </c>
      <c r="B1271" s="1">
        <v>45840</v>
      </c>
      <c r="C1271" t="s">
        <v>1193</v>
      </c>
      <c r="D1271">
        <v>-120</v>
      </c>
      <c r="E1271" t="s">
        <v>33</v>
      </c>
      <c r="F1271">
        <v>1863.87</v>
      </c>
      <c r="G1271" t="str" cm="1">
        <f t="array" ref="G1271">IF(AND(ISNUMBER(SEARCH("UBER",C1271)),ISNUMBER(SEARCH("EATS",C1271))),"Uber Eats",IF(LEFT(C1271,6)="CHECK ","Checks Paid",IF(OR(E1271="BILLPAY",ISNUMBER(SEARCH("FRANCHISE TAX",C1271)),ISNUMBER(SEARCH("NEXTLINK",C1271))),"Personal - House Bills",IF(AND(ISNUMBER(SEARCH("PAYMENT FROM",C1271)),ISNUMBER(SEARCH("JOE SAUNDERS",C1271))),"Zelle from Joe Saunders",IF(AND(ISNUMBER(SEARCH("PAYMENT TO",C1271)),ISNUMBER(SEARCH("JOE SAUNDERS",C1271))),"Zelle to Joe Saunders",IF(OR(ISNUMBER(SEARCH("NEW ORLEANS",C1271)),ISNUMBER(SEARCH("KENNER",C1271)),ISNUMBER(SEARCH("HENRY HOWARD",C1271)),ISNUMBER(SEARCH("MISS CLAUDIA",C1271))),"Personal Travel - New Orleans",IF(AND(YEAR(B1271)=2025,MONTH(B1271)=4,OR(ISNUMBER(SEARCH("EXCHANGE RATE",C1271)),ISNUMBER(SEARCH("EXCHG RTE",C1271)))),"Personal Travel - Italy",IFERROR(INDEX('Category Rules'!$B$2:$B$358,MATCH(TRUE,ISNUMBER(SEARCH('Category Rules'!$A$2:$A$358,C1271)),0)),""))))))))</f>
        <v>Personal - House Bills</v>
      </c>
    </row>
    <row r="1272" spans="1:7" x14ac:dyDescent="0.25">
      <c r="A1272" t="s">
        <v>6</v>
      </c>
      <c r="B1272" s="1">
        <v>45840</v>
      </c>
      <c r="C1272" t="s">
        <v>1194</v>
      </c>
      <c r="D1272">
        <v>-412</v>
      </c>
      <c r="E1272" t="s">
        <v>33</v>
      </c>
      <c r="F1272">
        <v>1983.87</v>
      </c>
      <c r="G1272" t="str" cm="1">
        <f t="array" ref="G1272">IF(AND(ISNUMBER(SEARCH("UBER",C1272)),ISNUMBER(SEARCH("EATS",C1272))),"Uber Eats",IF(LEFT(C1272,6)="CHECK ","Checks Paid",IF(OR(E1272="BILLPAY",ISNUMBER(SEARCH("FRANCHISE TAX",C1272)),ISNUMBER(SEARCH("NEXTLINK",C1272))),"Personal - House Bills",IF(AND(ISNUMBER(SEARCH("PAYMENT FROM",C1272)),ISNUMBER(SEARCH("JOE SAUNDERS",C1272))),"Zelle from Joe Saunders",IF(AND(ISNUMBER(SEARCH("PAYMENT TO",C1272)),ISNUMBER(SEARCH("JOE SAUNDERS",C1272))),"Zelle to Joe Saunders",IF(OR(ISNUMBER(SEARCH("NEW ORLEANS",C1272)),ISNUMBER(SEARCH("KENNER",C1272)),ISNUMBER(SEARCH("HENRY HOWARD",C1272)),ISNUMBER(SEARCH("MISS CLAUDIA",C1272))),"Personal Travel - New Orleans",IF(AND(YEAR(B1272)=2025,MONTH(B1272)=4,OR(ISNUMBER(SEARCH("EXCHANGE RATE",C1272)),ISNUMBER(SEARCH("EXCHG RTE",C1272)))),"Personal Travel - Italy",IFERROR(INDEX('Category Rules'!$B$2:$B$358,MATCH(TRUE,ISNUMBER(SEARCH('Category Rules'!$A$2:$A$358,C1272)),0)),""))))))))</f>
        <v>Personal - House Bills</v>
      </c>
    </row>
    <row r="1273" spans="1:7" x14ac:dyDescent="0.25">
      <c r="A1273" t="s">
        <v>6</v>
      </c>
      <c r="B1273" s="1">
        <v>45840</v>
      </c>
      <c r="C1273" t="s">
        <v>1195</v>
      </c>
      <c r="D1273">
        <v>-320</v>
      </c>
      <c r="E1273" t="s">
        <v>33</v>
      </c>
      <c r="F1273">
        <v>2395.87</v>
      </c>
      <c r="G1273" t="str" cm="1">
        <f t="array" ref="G1273">IF(AND(ISNUMBER(SEARCH("UBER",C1273)),ISNUMBER(SEARCH("EATS",C1273))),"Uber Eats",IF(LEFT(C1273,6)="CHECK ","Checks Paid",IF(OR(E1273="BILLPAY",ISNUMBER(SEARCH("FRANCHISE TAX",C1273)),ISNUMBER(SEARCH("NEXTLINK",C1273))),"Personal - House Bills",IF(AND(ISNUMBER(SEARCH("PAYMENT FROM",C1273)),ISNUMBER(SEARCH("JOE SAUNDERS",C1273))),"Zelle from Joe Saunders",IF(AND(ISNUMBER(SEARCH("PAYMENT TO",C1273)),ISNUMBER(SEARCH("JOE SAUNDERS",C1273))),"Zelle to Joe Saunders",IF(OR(ISNUMBER(SEARCH("NEW ORLEANS",C1273)),ISNUMBER(SEARCH("KENNER",C1273)),ISNUMBER(SEARCH("HENRY HOWARD",C1273)),ISNUMBER(SEARCH("MISS CLAUDIA",C1273))),"Personal Travel - New Orleans",IF(AND(YEAR(B1273)=2025,MONTH(B1273)=4,OR(ISNUMBER(SEARCH("EXCHANGE RATE",C1273)),ISNUMBER(SEARCH("EXCHG RTE",C1273)))),"Personal Travel - Italy",IFERROR(INDEX('Category Rules'!$B$2:$B$358,MATCH(TRUE,ISNUMBER(SEARCH('Category Rules'!$A$2:$A$358,C1273)),0)),""))))))))</f>
        <v>Personal - House Bills</v>
      </c>
    </row>
    <row r="1274" spans="1:7" x14ac:dyDescent="0.25">
      <c r="A1274" t="s">
        <v>6</v>
      </c>
      <c r="B1274" s="1">
        <v>45840</v>
      </c>
      <c r="C1274" t="s">
        <v>1196</v>
      </c>
      <c r="D1274">
        <v>-700</v>
      </c>
      <c r="E1274" t="s">
        <v>33</v>
      </c>
      <c r="F1274">
        <v>2715.87</v>
      </c>
      <c r="G1274" t="str" cm="1">
        <f t="array" ref="G1274">IF(AND(ISNUMBER(SEARCH("UBER",C1274)),ISNUMBER(SEARCH("EATS",C1274))),"Uber Eats",IF(LEFT(C1274,6)="CHECK ","Checks Paid",IF(OR(E1274="BILLPAY",ISNUMBER(SEARCH("FRANCHISE TAX",C1274)),ISNUMBER(SEARCH("NEXTLINK",C1274))),"Personal - House Bills",IF(AND(ISNUMBER(SEARCH("PAYMENT FROM",C1274)),ISNUMBER(SEARCH("JOE SAUNDERS",C1274))),"Zelle from Joe Saunders",IF(AND(ISNUMBER(SEARCH("PAYMENT TO",C1274)),ISNUMBER(SEARCH("JOE SAUNDERS",C1274))),"Zelle to Joe Saunders",IF(OR(ISNUMBER(SEARCH("NEW ORLEANS",C1274)),ISNUMBER(SEARCH("KENNER",C1274)),ISNUMBER(SEARCH("HENRY HOWARD",C1274)),ISNUMBER(SEARCH("MISS CLAUDIA",C1274))),"Personal Travel - New Orleans",IF(AND(YEAR(B1274)=2025,MONTH(B1274)=4,OR(ISNUMBER(SEARCH("EXCHANGE RATE",C1274)),ISNUMBER(SEARCH("EXCHG RTE",C1274)))),"Personal Travel - Italy",IFERROR(INDEX('Category Rules'!$B$2:$B$358,MATCH(TRUE,ISNUMBER(SEARCH('Category Rules'!$A$2:$A$358,C1274)),0)),""))))))))</f>
        <v>Personal - House Bills</v>
      </c>
    </row>
    <row r="1275" spans="1:7" x14ac:dyDescent="0.25">
      <c r="A1275" t="s">
        <v>6</v>
      </c>
      <c r="B1275" s="1">
        <v>45840</v>
      </c>
      <c r="C1275" t="s">
        <v>1197</v>
      </c>
      <c r="D1275">
        <v>-130</v>
      </c>
      <c r="E1275" t="s">
        <v>33</v>
      </c>
      <c r="F1275">
        <v>3415.87</v>
      </c>
      <c r="G1275" t="str" cm="1">
        <f t="array" ref="G1275">IF(AND(ISNUMBER(SEARCH("UBER",C1275)),ISNUMBER(SEARCH("EATS",C1275))),"Uber Eats",IF(LEFT(C1275,6)="CHECK ","Checks Paid",IF(OR(E1275="BILLPAY",ISNUMBER(SEARCH("FRANCHISE TAX",C1275)),ISNUMBER(SEARCH("NEXTLINK",C1275))),"Personal - House Bills",IF(AND(ISNUMBER(SEARCH("PAYMENT FROM",C1275)),ISNUMBER(SEARCH("JOE SAUNDERS",C1275))),"Zelle from Joe Saunders",IF(AND(ISNUMBER(SEARCH("PAYMENT TO",C1275)),ISNUMBER(SEARCH("JOE SAUNDERS",C1275))),"Zelle to Joe Saunders",IF(OR(ISNUMBER(SEARCH("NEW ORLEANS",C1275)),ISNUMBER(SEARCH("KENNER",C1275)),ISNUMBER(SEARCH("HENRY HOWARD",C1275)),ISNUMBER(SEARCH("MISS CLAUDIA",C1275))),"Personal Travel - New Orleans",IF(AND(YEAR(B1275)=2025,MONTH(B1275)=4,OR(ISNUMBER(SEARCH("EXCHANGE RATE",C1275)),ISNUMBER(SEARCH("EXCHG RTE",C1275)))),"Personal Travel - Italy",IFERROR(INDEX('Category Rules'!$B$2:$B$358,MATCH(TRUE,ISNUMBER(SEARCH('Category Rules'!$A$2:$A$358,C1275)),0)),""))))))))</f>
        <v>Personal - House Bills</v>
      </c>
    </row>
    <row r="1276" spans="1:7" x14ac:dyDescent="0.25">
      <c r="A1276" t="s">
        <v>6</v>
      </c>
      <c r="B1276" s="1">
        <v>45840</v>
      </c>
      <c r="C1276" t="s">
        <v>1198</v>
      </c>
      <c r="D1276">
        <v>-65</v>
      </c>
      <c r="E1276" t="s">
        <v>10</v>
      </c>
      <c r="F1276">
        <v>3545.87</v>
      </c>
      <c r="G1276" t="str" cm="1">
        <f t="array" ref="G1276">IF(AND(ISNUMBER(SEARCH("UBER",C1276)),ISNUMBER(SEARCH("EATS",C1276))),"Uber Eats",IF(LEFT(C1276,6)="CHECK ","Checks Paid",IF(OR(E1276="BILLPAY",ISNUMBER(SEARCH("FRANCHISE TAX",C1276)),ISNUMBER(SEARCH("NEXTLINK",C1276))),"Personal - House Bills",IF(AND(ISNUMBER(SEARCH("PAYMENT FROM",C1276)),ISNUMBER(SEARCH("JOE SAUNDERS",C1276))),"Zelle from Joe Saunders",IF(AND(ISNUMBER(SEARCH("PAYMENT TO",C1276)),ISNUMBER(SEARCH("JOE SAUNDERS",C1276))),"Zelle to Joe Saunders",IF(OR(ISNUMBER(SEARCH("NEW ORLEANS",C1276)),ISNUMBER(SEARCH("KENNER",C1276)),ISNUMBER(SEARCH("HENRY HOWARD",C1276)),ISNUMBER(SEARCH("MISS CLAUDIA",C1276))),"Personal Travel - New Orleans",IF(AND(YEAR(B1276)=2025,MONTH(B1276)=4,OR(ISNUMBER(SEARCH("EXCHANGE RATE",C1276)),ISNUMBER(SEARCH("EXCHG RTE",C1276)))),"Personal Travel - Italy",IFERROR(INDEX('Category Rules'!$B$2:$B$358,MATCH(TRUE,ISNUMBER(SEARCH('Category Rules'!$A$2:$A$358,C1276)),0)),""))))))))</f>
        <v>Personal - Food</v>
      </c>
    </row>
    <row r="1277" spans="1:7" x14ac:dyDescent="0.25">
      <c r="A1277" t="s">
        <v>6</v>
      </c>
      <c r="B1277" s="1">
        <v>45839</v>
      </c>
      <c r="C1277" t="s">
        <v>1199</v>
      </c>
      <c r="D1277">
        <v>-300</v>
      </c>
      <c r="E1277" t="s">
        <v>73</v>
      </c>
      <c r="F1277">
        <v>3610.87</v>
      </c>
      <c r="G1277" t="str" cm="1">
        <f t="array" ref="G1277">IF(AND(ISNUMBER(SEARCH("UBER",C1277)),ISNUMBER(SEARCH("EATS",C1277))),"Uber Eats",IF(LEFT(C1277,6)="CHECK ","Checks Paid",IF(OR(E1277="BILLPAY",ISNUMBER(SEARCH("FRANCHISE TAX",C1277)),ISNUMBER(SEARCH("NEXTLINK",C1277))),"Personal - House Bills",IF(AND(ISNUMBER(SEARCH("PAYMENT FROM",C1277)),ISNUMBER(SEARCH("JOE SAUNDERS",C1277))),"Zelle from Joe Saunders",IF(AND(ISNUMBER(SEARCH("PAYMENT TO",C1277)),ISNUMBER(SEARCH("JOE SAUNDERS",C1277))),"Zelle to Joe Saunders",IF(OR(ISNUMBER(SEARCH("NEW ORLEANS",C1277)),ISNUMBER(SEARCH("KENNER",C1277)),ISNUMBER(SEARCH("HENRY HOWARD",C1277)),ISNUMBER(SEARCH("MISS CLAUDIA",C1277))),"Personal Travel - New Orleans",IF(AND(YEAR(B1277)=2025,MONTH(B1277)=4,OR(ISNUMBER(SEARCH("EXCHANGE RATE",C1277)),ISNUMBER(SEARCH("EXCHG RTE",C1277)))),"Personal Travel - Italy",IFERROR(INDEX('Category Rules'!$B$2:$B$358,MATCH(TRUE,ISNUMBER(SEARCH('Category Rules'!$A$2:$A$358,C1277)),0)),""))))))))</f>
        <v>Transfer to DWG Capital Group_Savings</v>
      </c>
    </row>
    <row r="1278" spans="1:7" x14ac:dyDescent="0.25">
      <c r="A1278" t="s">
        <v>6</v>
      </c>
      <c r="B1278" s="1">
        <v>45838</v>
      </c>
      <c r="C1278" t="s">
        <v>1200</v>
      </c>
      <c r="D1278">
        <v>-266.95999999999998</v>
      </c>
      <c r="E1278" t="s">
        <v>10</v>
      </c>
      <c r="F1278">
        <v>3910.87</v>
      </c>
      <c r="G1278" t="str" cm="1">
        <f t="array" ref="G1278">IF(AND(ISNUMBER(SEARCH("UBER",C1278)),ISNUMBER(SEARCH("EATS",C1278))),"Uber Eats",IF(LEFT(C1278,6)="CHECK ","Checks Paid",IF(OR(E1278="BILLPAY",ISNUMBER(SEARCH("FRANCHISE TAX",C1278)),ISNUMBER(SEARCH("NEXTLINK",C1278))),"Personal - House Bills",IF(AND(ISNUMBER(SEARCH("PAYMENT FROM",C1278)),ISNUMBER(SEARCH("JOE SAUNDERS",C1278))),"Zelle from Joe Saunders",IF(AND(ISNUMBER(SEARCH("PAYMENT TO",C1278)),ISNUMBER(SEARCH("JOE SAUNDERS",C1278))),"Zelle to Joe Saunders",IF(OR(ISNUMBER(SEARCH("NEW ORLEANS",C1278)),ISNUMBER(SEARCH("KENNER",C1278)),ISNUMBER(SEARCH("HENRY HOWARD",C1278)),ISNUMBER(SEARCH("MISS CLAUDIA",C1278))),"Personal Travel - New Orleans",IF(AND(YEAR(B1278)=2025,MONTH(B1278)=4,OR(ISNUMBER(SEARCH("EXCHANGE RATE",C1278)),ISNUMBER(SEARCH("EXCHG RTE",C1278)))),"Personal Travel - Italy",IFERROR(INDEX('Category Rules'!$B$2:$B$358,MATCH(TRUE,ISNUMBER(SEARCH('Category Rules'!$A$2:$A$358,C1278)),0)),""))))))))</f>
        <v>Personal - Food</v>
      </c>
    </row>
    <row r="1279" spans="1:7" x14ac:dyDescent="0.25">
      <c r="A1279" t="s">
        <v>6</v>
      </c>
      <c r="B1279" s="1">
        <v>45838</v>
      </c>
      <c r="C1279" t="s">
        <v>1201</v>
      </c>
      <c r="D1279">
        <v>-944.63</v>
      </c>
      <c r="E1279" t="s">
        <v>10</v>
      </c>
      <c r="F1279">
        <v>4177.83</v>
      </c>
      <c r="G1279" t="str" cm="1">
        <f t="array" ref="G1279">IF(AND(ISNUMBER(SEARCH("UBER",C1279)),ISNUMBER(SEARCH("EATS",C1279))),"Uber Eats",IF(LEFT(C1279,6)="CHECK ","Checks Paid",IF(OR(E1279="BILLPAY",ISNUMBER(SEARCH("FRANCHISE TAX",C1279)),ISNUMBER(SEARCH("NEXTLINK",C1279))),"Personal - House Bills",IF(AND(ISNUMBER(SEARCH("PAYMENT FROM",C1279)),ISNUMBER(SEARCH("JOE SAUNDERS",C1279))),"Zelle from Joe Saunders",IF(AND(ISNUMBER(SEARCH("PAYMENT TO",C1279)),ISNUMBER(SEARCH("JOE SAUNDERS",C1279))),"Zelle to Joe Saunders",IF(OR(ISNUMBER(SEARCH("NEW ORLEANS",C1279)),ISNUMBER(SEARCH("KENNER",C1279)),ISNUMBER(SEARCH("HENRY HOWARD",C1279)),ISNUMBER(SEARCH("MISS CLAUDIA",C1279))),"Personal Travel - New Orleans",IF(AND(YEAR(B1279)=2025,MONTH(B1279)=4,OR(ISNUMBER(SEARCH("EXCHANGE RATE",C1279)),ISNUMBER(SEARCH("EXCHG RTE",C1279)))),"Personal Travel - Italy",IFERROR(INDEX('Category Rules'!$B$2:$B$358,MATCH(TRUE,ISNUMBER(SEARCH('Category Rules'!$A$2:$A$358,C1279)),0)),""))))))))</f>
        <v>Personal - Health Insurance</v>
      </c>
    </row>
    <row r="1280" spans="1:7" x14ac:dyDescent="0.25">
      <c r="A1280" t="s">
        <v>6</v>
      </c>
      <c r="B1280" s="1">
        <v>45838</v>
      </c>
      <c r="C1280" t="s">
        <v>1202</v>
      </c>
      <c r="D1280">
        <v>-147.69</v>
      </c>
      <c r="E1280" t="s">
        <v>10</v>
      </c>
      <c r="F1280">
        <v>5122.46</v>
      </c>
      <c r="G1280" t="str" cm="1">
        <f t="array" ref="G1280">IF(AND(ISNUMBER(SEARCH("UBER",C1280)),ISNUMBER(SEARCH("EATS",C1280))),"Uber Eats",IF(LEFT(C1280,6)="CHECK ","Checks Paid",IF(OR(E1280="BILLPAY",ISNUMBER(SEARCH("FRANCHISE TAX",C1280)),ISNUMBER(SEARCH("NEXTLINK",C1280))),"Personal - House Bills",IF(AND(ISNUMBER(SEARCH("PAYMENT FROM",C1280)),ISNUMBER(SEARCH("JOE SAUNDERS",C1280))),"Zelle from Joe Saunders",IF(AND(ISNUMBER(SEARCH("PAYMENT TO",C1280)),ISNUMBER(SEARCH("JOE SAUNDERS",C1280))),"Zelle to Joe Saunders",IF(OR(ISNUMBER(SEARCH("NEW ORLEANS",C1280)),ISNUMBER(SEARCH("KENNER",C1280)),ISNUMBER(SEARCH("HENRY HOWARD",C1280)),ISNUMBER(SEARCH("MISS CLAUDIA",C1280))),"Personal Travel - New Orleans",IF(AND(YEAR(B1280)=2025,MONTH(B1280)=4,OR(ISNUMBER(SEARCH("EXCHANGE RATE",C1280)),ISNUMBER(SEARCH("EXCHG RTE",C1280)))),"Personal Travel - Italy",IFERROR(INDEX('Category Rules'!$B$2:$B$358,MATCH(TRUE,ISNUMBER(SEARCH('Category Rules'!$A$2:$A$358,C1280)),0)),""))))))))</f>
        <v>Personal - Food</v>
      </c>
    </row>
    <row r="1281" spans="1:7" x14ac:dyDescent="0.25">
      <c r="A1281" t="s">
        <v>6</v>
      </c>
      <c r="B1281" s="1">
        <v>45838</v>
      </c>
      <c r="C1281" t="s">
        <v>1203</v>
      </c>
      <c r="D1281">
        <v>-400</v>
      </c>
      <c r="E1281" t="s">
        <v>73</v>
      </c>
      <c r="F1281">
        <v>5270.15</v>
      </c>
      <c r="G1281" t="str" cm="1">
        <f t="array" ref="G1281">IF(AND(ISNUMBER(SEARCH("UBER",C1281)),ISNUMBER(SEARCH("EATS",C1281))),"Uber Eats",IF(LEFT(C1281,6)="CHECK ","Checks Paid",IF(OR(E1281="BILLPAY",ISNUMBER(SEARCH("FRANCHISE TAX",C1281)),ISNUMBER(SEARCH("NEXTLINK",C1281))),"Personal - House Bills",IF(AND(ISNUMBER(SEARCH("PAYMENT FROM",C1281)),ISNUMBER(SEARCH("JOE SAUNDERS",C1281))),"Zelle from Joe Saunders",IF(AND(ISNUMBER(SEARCH("PAYMENT TO",C1281)),ISNUMBER(SEARCH("JOE SAUNDERS",C1281))),"Zelle to Joe Saunders",IF(OR(ISNUMBER(SEARCH("NEW ORLEANS",C1281)),ISNUMBER(SEARCH("KENNER",C1281)),ISNUMBER(SEARCH("HENRY HOWARD",C1281)),ISNUMBER(SEARCH("MISS CLAUDIA",C1281))),"Personal Travel - New Orleans",IF(AND(YEAR(B1281)=2025,MONTH(B1281)=4,OR(ISNUMBER(SEARCH("EXCHANGE RATE",C1281)),ISNUMBER(SEARCH("EXCHG RTE",C1281)))),"Personal Travel - Italy",IFERROR(INDEX('Category Rules'!$B$2:$B$358,MATCH(TRUE,ISNUMBER(SEARCH('Category Rules'!$A$2:$A$358,C1281)),0)),""))))))))</f>
        <v>Transfer to Ava</v>
      </c>
    </row>
    <row r="1282" spans="1:7" x14ac:dyDescent="0.25">
      <c r="A1282" t="s">
        <v>6</v>
      </c>
      <c r="B1282" s="1">
        <v>45838</v>
      </c>
      <c r="C1282" t="s">
        <v>1204</v>
      </c>
      <c r="D1282">
        <v>-12.16</v>
      </c>
      <c r="E1282" t="s">
        <v>10</v>
      </c>
      <c r="F1282">
        <v>5670.15</v>
      </c>
      <c r="G1282" t="str" cm="1">
        <f t="array" ref="G1282">IF(AND(ISNUMBER(SEARCH("UBER",C1282)),ISNUMBER(SEARCH("EATS",C1282))),"Uber Eats",IF(LEFT(C1282,6)="CHECK ","Checks Paid",IF(OR(E1282="BILLPAY",ISNUMBER(SEARCH("FRANCHISE TAX",C1282)),ISNUMBER(SEARCH("NEXTLINK",C1282))),"Personal - House Bills",IF(AND(ISNUMBER(SEARCH("PAYMENT FROM",C1282)),ISNUMBER(SEARCH("JOE SAUNDERS",C1282))),"Zelle from Joe Saunders",IF(AND(ISNUMBER(SEARCH("PAYMENT TO",C1282)),ISNUMBER(SEARCH("JOE SAUNDERS",C1282))),"Zelle to Joe Saunders",IF(OR(ISNUMBER(SEARCH("NEW ORLEANS",C1282)),ISNUMBER(SEARCH("KENNER",C1282)),ISNUMBER(SEARCH("HENRY HOWARD",C1282)),ISNUMBER(SEARCH("MISS CLAUDIA",C1282))),"Personal Travel - New Orleans",IF(AND(YEAR(B1282)=2025,MONTH(B1282)=4,OR(ISNUMBER(SEARCH("EXCHANGE RATE",C1282)),ISNUMBER(SEARCH("EXCHG RTE",C1282)))),"Personal Travel - Italy",IFERROR(INDEX('Category Rules'!$B$2:$B$358,MATCH(TRUE,ISNUMBER(SEARCH('Category Rules'!$A$2:$A$358,C1282)),0)),""))))))))</f>
        <v>Personal - Health</v>
      </c>
    </row>
    <row r="1283" spans="1:7" x14ac:dyDescent="0.25">
      <c r="A1283" t="s">
        <v>6</v>
      </c>
      <c r="B1283" s="1">
        <v>45838</v>
      </c>
      <c r="C1283" t="s">
        <v>1205</v>
      </c>
      <c r="D1283">
        <v>-47.14</v>
      </c>
      <c r="E1283" t="s">
        <v>10</v>
      </c>
      <c r="F1283">
        <v>5682.31</v>
      </c>
      <c r="G1283" t="str" cm="1">
        <f t="array" ref="G1283">IF(AND(ISNUMBER(SEARCH("UBER",C1283)),ISNUMBER(SEARCH("EATS",C1283))),"Uber Eats",IF(LEFT(C1283,6)="CHECK ","Checks Paid",IF(OR(E1283="BILLPAY",ISNUMBER(SEARCH("FRANCHISE TAX",C1283)),ISNUMBER(SEARCH("NEXTLINK",C1283))),"Personal - House Bills",IF(AND(ISNUMBER(SEARCH("PAYMENT FROM",C1283)),ISNUMBER(SEARCH("JOE SAUNDERS",C1283))),"Zelle from Joe Saunders",IF(AND(ISNUMBER(SEARCH("PAYMENT TO",C1283)),ISNUMBER(SEARCH("JOE SAUNDERS",C1283))),"Zelle to Joe Saunders",IF(OR(ISNUMBER(SEARCH("NEW ORLEANS",C1283)),ISNUMBER(SEARCH("KENNER",C1283)),ISNUMBER(SEARCH("HENRY HOWARD",C1283)),ISNUMBER(SEARCH("MISS CLAUDIA",C1283))),"Personal Travel - New Orleans",IF(AND(YEAR(B1283)=2025,MONTH(B1283)=4,OR(ISNUMBER(SEARCH("EXCHANGE RATE",C1283)),ISNUMBER(SEARCH("EXCHG RTE",C1283)))),"Personal Travel - Italy",IFERROR(INDEX('Category Rules'!$B$2:$B$358,MATCH(TRUE,ISNUMBER(SEARCH('Category Rules'!$A$2:$A$358,C1283)),0)),""))))))))</f>
        <v>Personal - Uber</v>
      </c>
    </row>
    <row r="1284" spans="1:7" x14ac:dyDescent="0.25">
      <c r="A1284" t="s">
        <v>6</v>
      </c>
      <c r="B1284" s="1">
        <v>45838</v>
      </c>
      <c r="C1284" t="s">
        <v>1206</v>
      </c>
      <c r="D1284">
        <v>-40.159999999999997</v>
      </c>
      <c r="E1284" t="s">
        <v>10</v>
      </c>
      <c r="F1284">
        <v>5729.45</v>
      </c>
      <c r="G1284" t="str" cm="1">
        <f t="array" ref="G1284">IF(AND(ISNUMBER(SEARCH("UBER",C1284)),ISNUMBER(SEARCH("EATS",C1284))),"Uber Eats",IF(LEFT(C1284,6)="CHECK ","Checks Paid",IF(OR(E1284="BILLPAY",ISNUMBER(SEARCH("FRANCHISE TAX",C1284)),ISNUMBER(SEARCH("NEXTLINK",C1284))),"Personal - House Bills",IF(AND(ISNUMBER(SEARCH("PAYMENT FROM",C1284)),ISNUMBER(SEARCH("JOE SAUNDERS",C1284))),"Zelle from Joe Saunders",IF(AND(ISNUMBER(SEARCH("PAYMENT TO",C1284)),ISNUMBER(SEARCH("JOE SAUNDERS",C1284))),"Zelle to Joe Saunders",IF(OR(ISNUMBER(SEARCH("NEW ORLEANS",C1284)),ISNUMBER(SEARCH("KENNER",C1284)),ISNUMBER(SEARCH("HENRY HOWARD",C1284)),ISNUMBER(SEARCH("MISS CLAUDIA",C1284))),"Personal Travel - New Orleans",IF(AND(YEAR(B1284)=2025,MONTH(B1284)=4,OR(ISNUMBER(SEARCH("EXCHANGE RATE",C1284)),ISNUMBER(SEARCH("EXCHG RTE",C1284)))),"Personal Travel - Italy",IFERROR(INDEX('Category Rules'!$B$2:$B$358,MATCH(TRUE,ISNUMBER(SEARCH('Category Rules'!$A$2:$A$358,C1284)),0)),""))))))))</f>
        <v>Uber Eats</v>
      </c>
    </row>
    <row r="1285" spans="1:7" x14ac:dyDescent="0.25">
      <c r="A1285" t="s">
        <v>6</v>
      </c>
      <c r="B1285" s="1">
        <v>45838</v>
      </c>
      <c r="C1285" t="s">
        <v>1207</v>
      </c>
      <c r="D1285">
        <v>-866.67</v>
      </c>
      <c r="E1285" t="s">
        <v>10</v>
      </c>
      <c r="F1285">
        <v>5769.61</v>
      </c>
      <c r="G1285" t="str" cm="1">
        <f t="array" ref="G1285">IF(AND(ISNUMBER(SEARCH("UBER",C1285)),ISNUMBER(SEARCH("EATS",C1285))),"Uber Eats",IF(LEFT(C1285,6)="CHECK ","Checks Paid",IF(OR(E1285="BILLPAY",ISNUMBER(SEARCH("FRANCHISE TAX",C1285)),ISNUMBER(SEARCH("NEXTLINK",C1285))),"Personal - House Bills",IF(AND(ISNUMBER(SEARCH("PAYMENT FROM",C1285)),ISNUMBER(SEARCH("JOE SAUNDERS",C1285))),"Zelle from Joe Saunders",IF(AND(ISNUMBER(SEARCH("PAYMENT TO",C1285)),ISNUMBER(SEARCH("JOE SAUNDERS",C1285))),"Zelle to Joe Saunders",IF(OR(ISNUMBER(SEARCH("NEW ORLEANS",C1285)),ISNUMBER(SEARCH("KENNER",C1285)),ISNUMBER(SEARCH("HENRY HOWARD",C1285)),ISNUMBER(SEARCH("MISS CLAUDIA",C1285))),"Personal Travel - New Orleans",IF(AND(YEAR(B1285)=2025,MONTH(B1285)=4,OR(ISNUMBER(SEARCH("EXCHANGE RATE",C1285)),ISNUMBER(SEARCH("EXCHG RTE",C1285)))),"Personal Travel - Italy",IFERROR(INDEX('Category Rules'!$B$2:$B$358,MATCH(TRUE,ISNUMBER(SEARCH('Category Rules'!$A$2:$A$358,C1285)),0)),""))))))))</f>
        <v>Personal Travel</v>
      </c>
    </row>
    <row r="1286" spans="1:7" x14ac:dyDescent="0.25">
      <c r="A1286" t="s">
        <v>6</v>
      </c>
      <c r="B1286" s="1">
        <v>45838</v>
      </c>
      <c r="C1286" t="s">
        <v>1208</v>
      </c>
      <c r="D1286">
        <v>-151.34</v>
      </c>
      <c r="E1286" t="s">
        <v>10</v>
      </c>
      <c r="F1286">
        <v>6636.28</v>
      </c>
      <c r="G1286" t="str" cm="1">
        <f t="array" ref="G1286">IF(AND(ISNUMBER(SEARCH("UBER",C1286)),ISNUMBER(SEARCH("EATS",C1286))),"Uber Eats",IF(LEFT(C1286,6)="CHECK ","Checks Paid",IF(OR(E1286="BILLPAY",ISNUMBER(SEARCH("FRANCHISE TAX",C1286)),ISNUMBER(SEARCH("NEXTLINK",C1286))),"Personal - House Bills",IF(AND(ISNUMBER(SEARCH("PAYMENT FROM",C1286)),ISNUMBER(SEARCH("JOE SAUNDERS",C1286))),"Zelle from Joe Saunders",IF(AND(ISNUMBER(SEARCH("PAYMENT TO",C1286)),ISNUMBER(SEARCH("JOE SAUNDERS",C1286))),"Zelle to Joe Saunders",IF(OR(ISNUMBER(SEARCH("NEW ORLEANS",C1286)),ISNUMBER(SEARCH("KENNER",C1286)),ISNUMBER(SEARCH("HENRY HOWARD",C1286)),ISNUMBER(SEARCH("MISS CLAUDIA",C1286))),"Personal Travel - New Orleans",IF(AND(YEAR(B1286)=2025,MONTH(B1286)=4,OR(ISNUMBER(SEARCH("EXCHANGE RATE",C1286)),ISNUMBER(SEARCH("EXCHG RTE",C1286)))),"Personal Travel - Italy",IFERROR(INDEX('Category Rules'!$B$2:$B$358,MATCH(TRUE,ISNUMBER(SEARCH('Category Rules'!$A$2:$A$358,C1286)),0)),""))))))))</f>
        <v>Amazon</v>
      </c>
    </row>
    <row r="1287" spans="1:7" x14ac:dyDescent="0.25">
      <c r="A1287" t="s">
        <v>6</v>
      </c>
      <c r="B1287" s="1">
        <v>45838</v>
      </c>
      <c r="C1287" t="s">
        <v>1209</v>
      </c>
      <c r="D1287">
        <v>-5.99</v>
      </c>
      <c r="E1287" t="s">
        <v>10</v>
      </c>
      <c r="F1287">
        <v>6787.62</v>
      </c>
      <c r="G1287" t="str" cm="1">
        <f t="array" ref="G1287">IF(AND(ISNUMBER(SEARCH("UBER",C1287)),ISNUMBER(SEARCH("EATS",C1287))),"Uber Eats",IF(LEFT(C1287,6)="CHECK ","Checks Paid",IF(OR(E1287="BILLPAY",ISNUMBER(SEARCH("FRANCHISE TAX",C1287)),ISNUMBER(SEARCH("NEXTLINK",C1287))),"Personal - House Bills",IF(AND(ISNUMBER(SEARCH("PAYMENT FROM",C1287)),ISNUMBER(SEARCH("JOE SAUNDERS",C1287))),"Zelle from Joe Saunders",IF(AND(ISNUMBER(SEARCH("PAYMENT TO",C1287)),ISNUMBER(SEARCH("JOE SAUNDERS",C1287))),"Zelle to Joe Saunders",IF(OR(ISNUMBER(SEARCH("NEW ORLEANS",C1287)),ISNUMBER(SEARCH("KENNER",C1287)),ISNUMBER(SEARCH("HENRY HOWARD",C1287)),ISNUMBER(SEARCH("MISS CLAUDIA",C1287))),"Personal Travel - New Orleans",IF(AND(YEAR(B1287)=2025,MONTH(B1287)=4,OR(ISNUMBER(SEARCH("EXCHANGE RATE",C1287)),ISNUMBER(SEARCH("EXCHG RTE",C1287)))),"Personal Travel - Italy",IFERROR(INDEX('Category Rules'!$B$2:$B$358,MATCH(TRUE,ISNUMBER(SEARCH('Category Rules'!$A$2:$A$358,C1287)),0)),""))))))))</f>
        <v>Apple</v>
      </c>
    </row>
    <row r="1288" spans="1:7" x14ac:dyDescent="0.25">
      <c r="A1288" t="s">
        <v>6</v>
      </c>
      <c r="B1288" s="1">
        <v>45838</v>
      </c>
      <c r="C1288" t="s">
        <v>1210</v>
      </c>
      <c r="D1288">
        <v>-5.49</v>
      </c>
      <c r="E1288" t="s">
        <v>10</v>
      </c>
      <c r="F1288">
        <v>6793.61</v>
      </c>
      <c r="G1288" t="str" cm="1">
        <f t="array" ref="G1288">IF(AND(ISNUMBER(SEARCH("UBER",C1288)),ISNUMBER(SEARCH("EATS",C1288))),"Uber Eats",IF(LEFT(C1288,6)="CHECK ","Checks Paid",IF(OR(E1288="BILLPAY",ISNUMBER(SEARCH("FRANCHISE TAX",C1288)),ISNUMBER(SEARCH("NEXTLINK",C1288))),"Personal - House Bills",IF(AND(ISNUMBER(SEARCH("PAYMENT FROM",C1288)),ISNUMBER(SEARCH("JOE SAUNDERS",C1288))),"Zelle from Joe Saunders",IF(AND(ISNUMBER(SEARCH("PAYMENT TO",C1288)),ISNUMBER(SEARCH("JOE SAUNDERS",C1288))),"Zelle to Joe Saunders",IF(OR(ISNUMBER(SEARCH("NEW ORLEANS",C1288)),ISNUMBER(SEARCH("KENNER",C1288)),ISNUMBER(SEARCH("HENRY HOWARD",C1288)),ISNUMBER(SEARCH("MISS CLAUDIA",C1288))),"Personal Travel - New Orleans",IF(AND(YEAR(B1288)=2025,MONTH(B1288)=4,OR(ISNUMBER(SEARCH("EXCHANGE RATE",C1288)),ISNUMBER(SEARCH("EXCHG RTE",C1288)))),"Personal Travel - Italy",IFERROR(INDEX('Category Rules'!$B$2:$B$358,MATCH(TRUE,ISNUMBER(SEARCH('Category Rules'!$A$2:$A$358,C1288)),0)),""))))))))</f>
        <v>Personal - Health</v>
      </c>
    </row>
    <row r="1289" spans="1:7" x14ac:dyDescent="0.25">
      <c r="A1289" t="s">
        <v>6</v>
      </c>
      <c r="B1289" s="1">
        <v>45838</v>
      </c>
      <c r="C1289" t="s">
        <v>1211</v>
      </c>
      <c r="D1289">
        <v>-50.31</v>
      </c>
      <c r="E1289" t="s">
        <v>10</v>
      </c>
      <c r="F1289">
        <v>6799.1</v>
      </c>
      <c r="G1289" t="str" cm="1">
        <f t="array" ref="G1289">IF(AND(ISNUMBER(SEARCH("UBER",C1289)),ISNUMBER(SEARCH("EATS",C1289))),"Uber Eats",IF(LEFT(C1289,6)="CHECK ","Checks Paid",IF(OR(E1289="BILLPAY",ISNUMBER(SEARCH("FRANCHISE TAX",C1289)),ISNUMBER(SEARCH("NEXTLINK",C1289))),"Personal - House Bills",IF(AND(ISNUMBER(SEARCH("PAYMENT FROM",C1289)),ISNUMBER(SEARCH("JOE SAUNDERS",C1289))),"Zelle from Joe Saunders",IF(AND(ISNUMBER(SEARCH("PAYMENT TO",C1289)),ISNUMBER(SEARCH("JOE SAUNDERS",C1289))),"Zelle to Joe Saunders",IF(OR(ISNUMBER(SEARCH("NEW ORLEANS",C1289)),ISNUMBER(SEARCH("KENNER",C1289)),ISNUMBER(SEARCH("HENRY HOWARD",C1289)),ISNUMBER(SEARCH("MISS CLAUDIA",C1289))),"Personal Travel - New Orleans",IF(AND(YEAR(B1289)=2025,MONTH(B1289)=4,OR(ISNUMBER(SEARCH("EXCHANGE RATE",C1289)),ISNUMBER(SEARCH("EXCHG RTE",C1289)))),"Personal Travel - Italy",IFERROR(INDEX('Category Rules'!$B$2:$B$358,MATCH(TRUE,ISNUMBER(SEARCH('Category Rules'!$A$2:$A$358,C1289)),0)),""))))))))</f>
        <v>Amazon</v>
      </c>
    </row>
    <row r="1290" spans="1:7" x14ac:dyDescent="0.25">
      <c r="A1290" t="s">
        <v>6</v>
      </c>
      <c r="B1290" s="1">
        <v>45838</v>
      </c>
      <c r="C1290" t="s">
        <v>1212</v>
      </c>
      <c r="D1290">
        <v>-92.3</v>
      </c>
      <c r="E1290" t="s">
        <v>10</v>
      </c>
      <c r="F1290">
        <v>6849.41</v>
      </c>
      <c r="G1290" t="str" cm="1">
        <f t="array" ref="G1290">IF(AND(ISNUMBER(SEARCH("UBER",C1290)),ISNUMBER(SEARCH("EATS",C1290))),"Uber Eats",IF(LEFT(C1290,6)="CHECK ","Checks Paid",IF(OR(E1290="BILLPAY",ISNUMBER(SEARCH("FRANCHISE TAX",C1290)),ISNUMBER(SEARCH("NEXTLINK",C1290))),"Personal - House Bills",IF(AND(ISNUMBER(SEARCH("PAYMENT FROM",C1290)),ISNUMBER(SEARCH("JOE SAUNDERS",C1290))),"Zelle from Joe Saunders",IF(AND(ISNUMBER(SEARCH("PAYMENT TO",C1290)),ISNUMBER(SEARCH("JOE SAUNDERS",C1290))),"Zelle to Joe Saunders",IF(OR(ISNUMBER(SEARCH("NEW ORLEANS",C1290)),ISNUMBER(SEARCH("KENNER",C1290)),ISNUMBER(SEARCH("HENRY HOWARD",C1290)),ISNUMBER(SEARCH("MISS CLAUDIA",C1290))),"Personal Travel - New Orleans",IF(AND(YEAR(B1290)=2025,MONTH(B1290)=4,OR(ISNUMBER(SEARCH("EXCHANGE RATE",C1290)),ISNUMBER(SEARCH("EXCHG RTE",C1290)))),"Personal Travel - Italy",IFERROR(INDEX('Category Rules'!$B$2:$B$358,MATCH(TRUE,ISNUMBER(SEARCH('Category Rules'!$A$2:$A$358,C1290)),0)),""))))))))</f>
        <v>Uber Eats</v>
      </c>
    </row>
    <row r="1291" spans="1:7" x14ac:dyDescent="0.25">
      <c r="A1291" t="s">
        <v>6</v>
      </c>
      <c r="B1291" s="1">
        <v>45838</v>
      </c>
      <c r="C1291" t="s">
        <v>1213</v>
      </c>
      <c r="D1291">
        <v>-42.74</v>
      </c>
      <c r="E1291" t="s">
        <v>10</v>
      </c>
      <c r="F1291">
        <v>6941.71</v>
      </c>
      <c r="G1291" t="str" cm="1">
        <f t="array" ref="G1291">IF(AND(ISNUMBER(SEARCH("UBER",C1291)),ISNUMBER(SEARCH("EATS",C1291))),"Uber Eats",IF(LEFT(C1291,6)="CHECK ","Checks Paid",IF(OR(E1291="BILLPAY",ISNUMBER(SEARCH("FRANCHISE TAX",C1291)),ISNUMBER(SEARCH("NEXTLINK",C1291))),"Personal - House Bills",IF(AND(ISNUMBER(SEARCH("PAYMENT FROM",C1291)),ISNUMBER(SEARCH("JOE SAUNDERS",C1291))),"Zelle from Joe Saunders",IF(AND(ISNUMBER(SEARCH("PAYMENT TO",C1291)),ISNUMBER(SEARCH("JOE SAUNDERS",C1291))),"Zelle to Joe Saunders",IF(OR(ISNUMBER(SEARCH("NEW ORLEANS",C1291)),ISNUMBER(SEARCH("KENNER",C1291)),ISNUMBER(SEARCH("HENRY HOWARD",C1291)),ISNUMBER(SEARCH("MISS CLAUDIA",C1291))),"Personal Travel - New Orleans",IF(AND(YEAR(B1291)=2025,MONTH(B1291)=4,OR(ISNUMBER(SEARCH("EXCHANGE RATE",C1291)),ISNUMBER(SEARCH("EXCHG RTE",C1291)))),"Personal Travel - Italy",IFERROR(INDEX('Category Rules'!$B$2:$B$358,MATCH(TRUE,ISNUMBER(SEARCH('Category Rules'!$A$2:$A$358,C1291)),0)),""))))))))</f>
        <v>Amazon</v>
      </c>
    </row>
    <row r="1292" spans="1:7" x14ac:dyDescent="0.25">
      <c r="A1292" t="s">
        <v>6</v>
      </c>
      <c r="B1292" s="1">
        <v>45838</v>
      </c>
      <c r="C1292" t="s">
        <v>1214</v>
      </c>
      <c r="D1292">
        <v>-472.94</v>
      </c>
      <c r="E1292" t="s">
        <v>10</v>
      </c>
      <c r="F1292">
        <v>6984.45</v>
      </c>
      <c r="G1292" t="str" cm="1">
        <f t="array" ref="G1292">IF(AND(ISNUMBER(SEARCH("UBER",C1292)),ISNUMBER(SEARCH("EATS",C1292))),"Uber Eats",IF(LEFT(C1292,6)="CHECK ","Checks Paid",IF(OR(E1292="BILLPAY",ISNUMBER(SEARCH("FRANCHISE TAX",C1292)),ISNUMBER(SEARCH("NEXTLINK",C1292))),"Personal - House Bills",IF(AND(ISNUMBER(SEARCH("PAYMENT FROM",C1292)),ISNUMBER(SEARCH("JOE SAUNDERS",C1292))),"Zelle from Joe Saunders",IF(AND(ISNUMBER(SEARCH("PAYMENT TO",C1292)),ISNUMBER(SEARCH("JOE SAUNDERS",C1292))),"Zelle to Joe Saunders",IF(OR(ISNUMBER(SEARCH("NEW ORLEANS",C1292)),ISNUMBER(SEARCH("KENNER",C1292)),ISNUMBER(SEARCH("HENRY HOWARD",C1292)),ISNUMBER(SEARCH("MISS CLAUDIA",C1292))),"Personal Travel - New Orleans",IF(AND(YEAR(B1292)=2025,MONTH(B1292)=4,OR(ISNUMBER(SEARCH("EXCHANGE RATE",C1292)),ISNUMBER(SEARCH("EXCHG RTE",C1292)))),"Personal Travel - Italy",IFERROR(INDEX('Category Rules'!$B$2:$B$358,MATCH(TRUE,ISNUMBER(SEARCH('Category Rules'!$A$2:$A$358,C1292)),0)),""))))))))</f>
        <v>Personal - Shopping</v>
      </c>
    </row>
    <row r="1293" spans="1:7" x14ac:dyDescent="0.25">
      <c r="A1293" t="s">
        <v>6</v>
      </c>
      <c r="B1293" s="1">
        <v>45838</v>
      </c>
      <c r="C1293" t="s">
        <v>1215</v>
      </c>
      <c r="D1293">
        <v>-94.04</v>
      </c>
      <c r="E1293" t="s">
        <v>10</v>
      </c>
      <c r="F1293">
        <v>7457.39</v>
      </c>
      <c r="G1293" t="str" cm="1">
        <f t="array" ref="G1293">IF(AND(ISNUMBER(SEARCH("UBER",C1293)),ISNUMBER(SEARCH("EATS",C1293))),"Uber Eats",IF(LEFT(C1293,6)="CHECK ","Checks Paid",IF(OR(E1293="BILLPAY",ISNUMBER(SEARCH("FRANCHISE TAX",C1293)),ISNUMBER(SEARCH("NEXTLINK",C1293))),"Personal - House Bills",IF(AND(ISNUMBER(SEARCH("PAYMENT FROM",C1293)),ISNUMBER(SEARCH("JOE SAUNDERS",C1293))),"Zelle from Joe Saunders",IF(AND(ISNUMBER(SEARCH("PAYMENT TO",C1293)),ISNUMBER(SEARCH("JOE SAUNDERS",C1293))),"Zelle to Joe Saunders",IF(OR(ISNUMBER(SEARCH("NEW ORLEANS",C1293)),ISNUMBER(SEARCH("KENNER",C1293)),ISNUMBER(SEARCH("HENRY HOWARD",C1293)),ISNUMBER(SEARCH("MISS CLAUDIA",C1293))),"Personal Travel - New Orleans",IF(AND(YEAR(B1293)=2025,MONTH(B1293)=4,OR(ISNUMBER(SEARCH("EXCHANGE RATE",C1293)),ISNUMBER(SEARCH("EXCHG RTE",C1293)))),"Personal Travel - Italy",IFERROR(INDEX('Category Rules'!$B$2:$B$358,MATCH(TRUE,ISNUMBER(SEARCH('Category Rules'!$A$2:$A$358,C1293)),0)),""))))))))</f>
        <v>Amazon</v>
      </c>
    </row>
    <row r="1294" spans="1:7" x14ac:dyDescent="0.25">
      <c r="A1294" t="s">
        <v>44</v>
      </c>
      <c r="B1294" s="1">
        <v>45838</v>
      </c>
      <c r="C1294" t="s">
        <v>1216</v>
      </c>
      <c r="D1294">
        <v>215</v>
      </c>
      <c r="E1294" t="s">
        <v>464</v>
      </c>
      <c r="F1294">
        <v>7551.43</v>
      </c>
      <c r="G1294" t="str" cm="1">
        <f t="array" ref="G1294">IF(AND(ISNUMBER(SEARCH("UBER",C1294)),ISNUMBER(SEARCH("EATS",C1294))),"Uber Eats",IF(LEFT(C1294,6)="CHECK ","Checks Paid",IF(OR(E1294="BILLPAY",ISNUMBER(SEARCH("FRANCHISE TAX",C1294)),ISNUMBER(SEARCH("NEXTLINK",C1294))),"Personal - House Bills",IF(AND(ISNUMBER(SEARCH("PAYMENT FROM",C1294)),ISNUMBER(SEARCH("JOE SAUNDERS",C1294))),"Zelle from Joe Saunders",IF(AND(ISNUMBER(SEARCH("PAYMENT TO",C1294)),ISNUMBER(SEARCH("JOE SAUNDERS",C1294))),"Zelle to Joe Saunders",IF(OR(ISNUMBER(SEARCH("NEW ORLEANS",C1294)),ISNUMBER(SEARCH("KENNER",C1294)),ISNUMBER(SEARCH("HENRY HOWARD",C1294)),ISNUMBER(SEARCH("MISS CLAUDIA",C1294))),"Personal Travel - New Orleans",IF(AND(YEAR(B1294)=2025,MONTH(B1294)=4,OR(ISNUMBER(SEARCH("EXCHANGE RATE",C1294)),ISNUMBER(SEARCH("EXCHG RTE",C1294)))),"Personal Travel - Italy",IFERROR(INDEX('Category Rules'!$B$2:$B$358,MATCH(TRUE,ISNUMBER(SEARCH('Category Rules'!$A$2:$A$358,C1294)),0)),""))))))))</f>
        <v>Zelle from Mary Milite Treiger</v>
      </c>
    </row>
    <row r="1295" spans="1:7" x14ac:dyDescent="0.25">
      <c r="A1295" t="s">
        <v>44</v>
      </c>
      <c r="B1295" s="1">
        <v>45838</v>
      </c>
      <c r="C1295" t="s">
        <v>1217</v>
      </c>
      <c r="D1295">
        <v>300</v>
      </c>
      <c r="E1295" t="s">
        <v>464</v>
      </c>
      <c r="F1295">
        <v>7336.43</v>
      </c>
      <c r="G1295" t="str" cm="1">
        <f t="array" ref="G1295">IF(AND(ISNUMBER(SEARCH("UBER",C1295)),ISNUMBER(SEARCH("EATS",C1295))),"Uber Eats",IF(LEFT(C1295,6)="CHECK ","Checks Paid",IF(OR(E1295="BILLPAY",ISNUMBER(SEARCH("FRANCHISE TAX",C1295)),ISNUMBER(SEARCH("NEXTLINK",C1295))),"Personal - House Bills",IF(AND(ISNUMBER(SEARCH("PAYMENT FROM",C1295)),ISNUMBER(SEARCH("JOE SAUNDERS",C1295))),"Zelle from Joe Saunders",IF(AND(ISNUMBER(SEARCH("PAYMENT TO",C1295)),ISNUMBER(SEARCH("JOE SAUNDERS",C1295))),"Zelle to Joe Saunders",IF(OR(ISNUMBER(SEARCH("NEW ORLEANS",C1295)),ISNUMBER(SEARCH("KENNER",C1295)),ISNUMBER(SEARCH("HENRY HOWARD",C1295)),ISNUMBER(SEARCH("MISS CLAUDIA",C1295))),"Personal Travel - New Orleans",IF(AND(YEAR(B1295)=2025,MONTH(B1295)=4,OR(ISNUMBER(SEARCH("EXCHANGE RATE",C1295)),ISNUMBER(SEARCH("EXCHG RTE",C1295)))),"Personal Travel - Italy",IFERROR(INDEX('Category Rules'!$B$2:$B$358,MATCH(TRUE,ISNUMBER(SEARCH('Category Rules'!$A$2:$A$358,C1295)),0)),""))))))))</f>
        <v>Zelle from Mary Milite Treiger</v>
      </c>
    </row>
    <row r="1296" spans="1:7" x14ac:dyDescent="0.25">
      <c r="A1296" t="s">
        <v>44</v>
      </c>
      <c r="B1296" s="1">
        <v>45838</v>
      </c>
      <c r="C1296" t="s">
        <v>1218</v>
      </c>
      <c r="D1296">
        <v>500</v>
      </c>
      <c r="E1296" t="s">
        <v>464</v>
      </c>
      <c r="F1296">
        <v>7036.43</v>
      </c>
      <c r="G1296" t="str" cm="1">
        <f t="array" ref="G1296">IF(AND(ISNUMBER(SEARCH("UBER",C1296)),ISNUMBER(SEARCH("EATS",C1296))),"Uber Eats",IF(LEFT(C1296,6)="CHECK ","Checks Paid",IF(OR(E1296="BILLPAY",ISNUMBER(SEARCH("FRANCHISE TAX",C1296)),ISNUMBER(SEARCH("NEXTLINK",C1296))),"Personal - House Bills",IF(AND(ISNUMBER(SEARCH("PAYMENT FROM",C1296)),ISNUMBER(SEARCH("JOE SAUNDERS",C1296))),"Zelle from Joe Saunders",IF(AND(ISNUMBER(SEARCH("PAYMENT TO",C1296)),ISNUMBER(SEARCH("JOE SAUNDERS",C1296))),"Zelle to Joe Saunders",IF(OR(ISNUMBER(SEARCH("NEW ORLEANS",C1296)),ISNUMBER(SEARCH("KENNER",C1296)),ISNUMBER(SEARCH("HENRY HOWARD",C1296)),ISNUMBER(SEARCH("MISS CLAUDIA",C1296))),"Personal Travel - New Orleans",IF(AND(YEAR(B1296)=2025,MONTH(B1296)=4,OR(ISNUMBER(SEARCH("EXCHANGE RATE",C1296)),ISNUMBER(SEARCH("EXCHG RTE",C1296)))),"Personal Travel - Italy",IFERROR(INDEX('Category Rules'!$B$2:$B$358,MATCH(TRUE,ISNUMBER(SEARCH('Category Rules'!$A$2:$A$358,C1296)),0)),""))))))))</f>
        <v>Zelle from Mary Milite Treiger</v>
      </c>
    </row>
    <row r="1297" spans="1:7" x14ac:dyDescent="0.25">
      <c r="A1297" t="s">
        <v>6</v>
      </c>
      <c r="B1297" s="1">
        <v>45835</v>
      </c>
      <c r="C1297" t="s">
        <v>1219</v>
      </c>
      <c r="D1297">
        <v>-25.67</v>
      </c>
      <c r="E1297" t="s">
        <v>10</v>
      </c>
      <c r="F1297">
        <v>6536.43</v>
      </c>
      <c r="G1297" t="str" cm="1">
        <f t="array" ref="G1297">IF(AND(ISNUMBER(SEARCH("UBER",C1297)),ISNUMBER(SEARCH("EATS",C1297))),"Uber Eats",IF(LEFT(C1297,6)="CHECK ","Checks Paid",IF(OR(E1297="BILLPAY",ISNUMBER(SEARCH("FRANCHISE TAX",C1297)),ISNUMBER(SEARCH("NEXTLINK",C1297))),"Personal - House Bills",IF(AND(ISNUMBER(SEARCH("PAYMENT FROM",C1297)),ISNUMBER(SEARCH("JOE SAUNDERS",C1297))),"Zelle from Joe Saunders",IF(AND(ISNUMBER(SEARCH("PAYMENT TO",C1297)),ISNUMBER(SEARCH("JOE SAUNDERS",C1297))),"Zelle to Joe Saunders",IF(OR(ISNUMBER(SEARCH("NEW ORLEANS",C1297)),ISNUMBER(SEARCH("KENNER",C1297)),ISNUMBER(SEARCH("HENRY HOWARD",C1297)),ISNUMBER(SEARCH("MISS CLAUDIA",C1297))),"Personal Travel - New Orleans",IF(AND(YEAR(B1297)=2025,MONTH(B1297)=4,OR(ISNUMBER(SEARCH("EXCHANGE RATE",C1297)),ISNUMBER(SEARCH("EXCHG RTE",C1297)))),"Personal Travel - Italy",IFERROR(INDEX('Category Rules'!$B$2:$B$358,MATCH(TRUE,ISNUMBER(SEARCH('Category Rules'!$A$2:$A$358,C1297)),0)),""))))))))</f>
        <v>Amazon</v>
      </c>
    </row>
    <row r="1298" spans="1:7" x14ac:dyDescent="0.25">
      <c r="A1298" t="s">
        <v>6</v>
      </c>
      <c r="B1298" s="1">
        <v>45835</v>
      </c>
      <c r="C1298" t="s">
        <v>1220</v>
      </c>
      <c r="D1298">
        <v>-5.99</v>
      </c>
      <c r="E1298" t="s">
        <v>10</v>
      </c>
      <c r="F1298">
        <v>6562.1</v>
      </c>
      <c r="G1298" t="str" cm="1">
        <f t="array" ref="G1298">IF(AND(ISNUMBER(SEARCH("UBER",C1298)),ISNUMBER(SEARCH("EATS",C1298))),"Uber Eats",IF(LEFT(C1298,6)="CHECK ","Checks Paid",IF(OR(E1298="BILLPAY",ISNUMBER(SEARCH("FRANCHISE TAX",C1298)),ISNUMBER(SEARCH("NEXTLINK",C1298))),"Personal - House Bills",IF(AND(ISNUMBER(SEARCH("PAYMENT FROM",C1298)),ISNUMBER(SEARCH("JOE SAUNDERS",C1298))),"Zelle from Joe Saunders",IF(AND(ISNUMBER(SEARCH("PAYMENT TO",C1298)),ISNUMBER(SEARCH("JOE SAUNDERS",C1298))),"Zelle to Joe Saunders",IF(OR(ISNUMBER(SEARCH("NEW ORLEANS",C1298)),ISNUMBER(SEARCH("KENNER",C1298)),ISNUMBER(SEARCH("HENRY HOWARD",C1298)),ISNUMBER(SEARCH("MISS CLAUDIA",C1298))),"Personal Travel - New Orleans",IF(AND(YEAR(B1298)=2025,MONTH(B1298)=4,OR(ISNUMBER(SEARCH("EXCHANGE RATE",C1298)),ISNUMBER(SEARCH("EXCHG RTE",C1298)))),"Personal Travel - Italy",IFERROR(INDEX('Category Rules'!$B$2:$B$358,MATCH(TRUE,ISNUMBER(SEARCH('Category Rules'!$A$2:$A$358,C1298)),0)),""))))))))</f>
        <v>Personal - Subscription</v>
      </c>
    </row>
    <row r="1299" spans="1:7" x14ac:dyDescent="0.25">
      <c r="A1299" t="s">
        <v>6</v>
      </c>
      <c r="B1299" s="1">
        <v>45835</v>
      </c>
      <c r="C1299" t="s">
        <v>1221</v>
      </c>
      <c r="D1299">
        <v>-16.25</v>
      </c>
      <c r="E1299" t="s">
        <v>10</v>
      </c>
      <c r="F1299">
        <v>6568.09</v>
      </c>
      <c r="G1299" t="str" cm="1">
        <f t="array" ref="G1299">IF(AND(ISNUMBER(SEARCH("UBER",C1299)),ISNUMBER(SEARCH("EATS",C1299))),"Uber Eats",IF(LEFT(C1299,6)="CHECK ","Checks Paid",IF(OR(E1299="BILLPAY",ISNUMBER(SEARCH("FRANCHISE TAX",C1299)),ISNUMBER(SEARCH("NEXTLINK",C1299))),"Personal - House Bills",IF(AND(ISNUMBER(SEARCH("PAYMENT FROM",C1299)),ISNUMBER(SEARCH("JOE SAUNDERS",C1299))),"Zelle from Joe Saunders",IF(AND(ISNUMBER(SEARCH("PAYMENT TO",C1299)),ISNUMBER(SEARCH("JOE SAUNDERS",C1299))),"Zelle to Joe Saunders",IF(OR(ISNUMBER(SEARCH("NEW ORLEANS",C1299)),ISNUMBER(SEARCH("KENNER",C1299)),ISNUMBER(SEARCH("HENRY HOWARD",C1299)),ISNUMBER(SEARCH("MISS CLAUDIA",C1299))),"Personal Travel - New Orleans",IF(AND(YEAR(B1299)=2025,MONTH(B1299)=4,OR(ISNUMBER(SEARCH("EXCHANGE RATE",C1299)),ISNUMBER(SEARCH("EXCHG RTE",C1299)))),"Personal Travel - Italy",IFERROR(INDEX('Category Rules'!$B$2:$B$358,MATCH(TRUE,ISNUMBER(SEARCH('Category Rules'!$A$2:$A$358,C1299)),0)),""))))))))</f>
        <v>Personal - Food</v>
      </c>
    </row>
    <row r="1300" spans="1:7" x14ac:dyDescent="0.25">
      <c r="A1300" t="s">
        <v>6</v>
      </c>
      <c r="B1300" s="1">
        <v>45835</v>
      </c>
      <c r="C1300" t="s">
        <v>1222</v>
      </c>
      <c r="D1300">
        <v>-68.44</v>
      </c>
      <c r="E1300" t="s">
        <v>10</v>
      </c>
      <c r="F1300">
        <v>6584.34</v>
      </c>
      <c r="G1300" t="str" cm="1">
        <f t="array" ref="G1300">IF(AND(ISNUMBER(SEARCH("UBER",C1300)),ISNUMBER(SEARCH("EATS",C1300))),"Uber Eats",IF(LEFT(C1300,6)="CHECK ","Checks Paid",IF(OR(E1300="BILLPAY",ISNUMBER(SEARCH("FRANCHISE TAX",C1300)),ISNUMBER(SEARCH("NEXTLINK",C1300))),"Personal - House Bills",IF(AND(ISNUMBER(SEARCH("PAYMENT FROM",C1300)),ISNUMBER(SEARCH("JOE SAUNDERS",C1300))),"Zelle from Joe Saunders",IF(AND(ISNUMBER(SEARCH("PAYMENT TO",C1300)),ISNUMBER(SEARCH("JOE SAUNDERS",C1300))),"Zelle to Joe Saunders",IF(OR(ISNUMBER(SEARCH("NEW ORLEANS",C1300)),ISNUMBER(SEARCH("KENNER",C1300)),ISNUMBER(SEARCH("HENRY HOWARD",C1300)),ISNUMBER(SEARCH("MISS CLAUDIA",C1300))),"Personal Travel - New Orleans",IF(AND(YEAR(B1300)=2025,MONTH(B1300)=4,OR(ISNUMBER(SEARCH("EXCHANGE RATE",C1300)),ISNUMBER(SEARCH("EXCHG RTE",C1300)))),"Personal Travel - Italy",IFERROR(INDEX('Category Rules'!$B$2:$B$358,MATCH(TRUE,ISNUMBER(SEARCH('Category Rules'!$A$2:$A$358,C1300)),0)),""))))))))</f>
        <v>Personal - Shopping</v>
      </c>
    </row>
    <row r="1301" spans="1:7" x14ac:dyDescent="0.25">
      <c r="A1301" t="s">
        <v>6</v>
      </c>
      <c r="B1301" s="1">
        <v>45835</v>
      </c>
      <c r="C1301" t="s">
        <v>1223</v>
      </c>
      <c r="D1301">
        <v>-6.99</v>
      </c>
      <c r="E1301" t="s">
        <v>10</v>
      </c>
      <c r="F1301">
        <v>6652.78</v>
      </c>
      <c r="G1301" t="str" cm="1">
        <f t="array" ref="G1301">IF(AND(ISNUMBER(SEARCH("UBER",C1301)),ISNUMBER(SEARCH("EATS",C1301))),"Uber Eats",IF(LEFT(C1301,6)="CHECK ","Checks Paid",IF(OR(E1301="BILLPAY",ISNUMBER(SEARCH("FRANCHISE TAX",C1301)),ISNUMBER(SEARCH("NEXTLINK",C1301))),"Personal - House Bills",IF(AND(ISNUMBER(SEARCH("PAYMENT FROM",C1301)),ISNUMBER(SEARCH("JOE SAUNDERS",C1301))),"Zelle from Joe Saunders",IF(AND(ISNUMBER(SEARCH("PAYMENT TO",C1301)),ISNUMBER(SEARCH("JOE SAUNDERS",C1301))),"Zelle to Joe Saunders",IF(OR(ISNUMBER(SEARCH("NEW ORLEANS",C1301)),ISNUMBER(SEARCH("KENNER",C1301)),ISNUMBER(SEARCH("HENRY HOWARD",C1301)),ISNUMBER(SEARCH("MISS CLAUDIA",C1301))),"Personal Travel - New Orleans",IF(AND(YEAR(B1301)=2025,MONTH(B1301)=4,OR(ISNUMBER(SEARCH("EXCHANGE RATE",C1301)),ISNUMBER(SEARCH("EXCHG RTE",C1301)))),"Personal Travel - Italy",IFERROR(INDEX('Category Rules'!$B$2:$B$358,MATCH(TRUE,ISNUMBER(SEARCH('Category Rules'!$A$2:$A$358,C1301)),0)),""))))))))</f>
        <v>Amazon</v>
      </c>
    </row>
    <row r="1302" spans="1:7" x14ac:dyDescent="0.25">
      <c r="A1302" t="s">
        <v>6</v>
      </c>
      <c r="B1302" s="1">
        <v>45835</v>
      </c>
      <c r="C1302" t="s">
        <v>1224</v>
      </c>
      <c r="D1302">
        <v>-21.94</v>
      </c>
      <c r="E1302" t="s">
        <v>10</v>
      </c>
      <c r="F1302">
        <v>6659.77</v>
      </c>
      <c r="G1302" t="str" cm="1">
        <f t="array" ref="G1302">IF(AND(ISNUMBER(SEARCH("UBER",C1302)),ISNUMBER(SEARCH("EATS",C1302))),"Uber Eats",IF(LEFT(C1302,6)="CHECK ","Checks Paid",IF(OR(E1302="BILLPAY",ISNUMBER(SEARCH("FRANCHISE TAX",C1302)),ISNUMBER(SEARCH("NEXTLINK",C1302))),"Personal - House Bills",IF(AND(ISNUMBER(SEARCH("PAYMENT FROM",C1302)),ISNUMBER(SEARCH("JOE SAUNDERS",C1302))),"Zelle from Joe Saunders",IF(AND(ISNUMBER(SEARCH("PAYMENT TO",C1302)),ISNUMBER(SEARCH("JOE SAUNDERS",C1302))),"Zelle to Joe Saunders",IF(OR(ISNUMBER(SEARCH("NEW ORLEANS",C1302)),ISNUMBER(SEARCH("KENNER",C1302)),ISNUMBER(SEARCH("HENRY HOWARD",C1302)),ISNUMBER(SEARCH("MISS CLAUDIA",C1302))),"Personal Travel - New Orleans",IF(AND(YEAR(B1302)=2025,MONTH(B1302)=4,OR(ISNUMBER(SEARCH("EXCHANGE RATE",C1302)),ISNUMBER(SEARCH("EXCHG RTE",C1302)))),"Personal Travel - Italy",IFERROR(INDEX('Category Rules'!$B$2:$B$358,MATCH(TRUE,ISNUMBER(SEARCH('Category Rules'!$A$2:$A$358,C1302)),0)),""))))))))</f>
        <v>Amazon</v>
      </c>
    </row>
    <row r="1303" spans="1:7" x14ac:dyDescent="0.25">
      <c r="A1303" t="s">
        <v>6</v>
      </c>
      <c r="B1303" s="1">
        <v>45835</v>
      </c>
      <c r="C1303" t="s">
        <v>1225</v>
      </c>
      <c r="D1303">
        <v>-41.71</v>
      </c>
      <c r="E1303" t="s">
        <v>10</v>
      </c>
      <c r="F1303">
        <v>6681.71</v>
      </c>
      <c r="G1303" t="str" cm="1">
        <f t="array" ref="G1303">IF(AND(ISNUMBER(SEARCH("UBER",C1303)),ISNUMBER(SEARCH("EATS",C1303))),"Uber Eats",IF(LEFT(C1303,6)="CHECK ","Checks Paid",IF(OR(E1303="BILLPAY",ISNUMBER(SEARCH("FRANCHISE TAX",C1303)),ISNUMBER(SEARCH("NEXTLINK",C1303))),"Personal - House Bills",IF(AND(ISNUMBER(SEARCH("PAYMENT FROM",C1303)),ISNUMBER(SEARCH("JOE SAUNDERS",C1303))),"Zelle from Joe Saunders",IF(AND(ISNUMBER(SEARCH("PAYMENT TO",C1303)),ISNUMBER(SEARCH("JOE SAUNDERS",C1303))),"Zelle to Joe Saunders",IF(OR(ISNUMBER(SEARCH("NEW ORLEANS",C1303)),ISNUMBER(SEARCH("KENNER",C1303)),ISNUMBER(SEARCH("HENRY HOWARD",C1303)),ISNUMBER(SEARCH("MISS CLAUDIA",C1303))),"Personal Travel - New Orleans",IF(AND(YEAR(B1303)=2025,MONTH(B1303)=4,OR(ISNUMBER(SEARCH("EXCHANGE RATE",C1303)),ISNUMBER(SEARCH("EXCHG RTE",C1303)))),"Personal Travel - Italy",IFERROR(INDEX('Category Rules'!$B$2:$B$358,MATCH(TRUE,ISNUMBER(SEARCH('Category Rules'!$A$2:$A$358,C1303)),0)),""))))))))</f>
        <v>Amazon</v>
      </c>
    </row>
    <row r="1304" spans="1:7" x14ac:dyDescent="0.25">
      <c r="A1304" t="s">
        <v>6</v>
      </c>
      <c r="B1304" s="1">
        <v>45835</v>
      </c>
      <c r="C1304" t="s">
        <v>1226</v>
      </c>
      <c r="D1304">
        <v>-54.86</v>
      </c>
      <c r="E1304" t="s">
        <v>10</v>
      </c>
      <c r="F1304">
        <v>6723.42</v>
      </c>
      <c r="G1304" t="str" cm="1">
        <f t="array" ref="G1304">IF(AND(ISNUMBER(SEARCH("UBER",C1304)),ISNUMBER(SEARCH("EATS",C1304))),"Uber Eats",IF(LEFT(C1304,6)="CHECK ","Checks Paid",IF(OR(E1304="BILLPAY",ISNUMBER(SEARCH("FRANCHISE TAX",C1304)),ISNUMBER(SEARCH("NEXTLINK",C1304))),"Personal - House Bills",IF(AND(ISNUMBER(SEARCH("PAYMENT FROM",C1304)),ISNUMBER(SEARCH("JOE SAUNDERS",C1304))),"Zelle from Joe Saunders",IF(AND(ISNUMBER(SEARCH("PAYMENT TO",C1304)),ISNUMBER(SEARCH("JOE SAUNDERS",C1304))),"Zelle to Joe Saunders",IF(OR(ISNUMBER(SEARCH("NEW ORLEANS",C1304)),ISNUMBER(SEARCH("KENNER",C1304)),ISNUMBER(SEARCH("HENRY HOWARD",C1304)),ISNUMBER(SEARCH("MISS CLAUDIA",C1304))),"Personal Travel - New Orleans",IF(AND(YEAR(B1304)=2025,MONTH(B1304)=4,OR(ISNUMBER(SEARCH("EXCHANGE RATE",C1304)),ISNUMBER(SEARCH("EXCHG RTE",C1304)))),"Personal Travel - Italy",IFERROR(INDEX('Category Rules'!$B$2:$B$358,MATCH(TRUE,ISNUMBER(SEARCH('Category Rules'!$A$2:$A$358,C1304)),0)),""))))))))</f>
        <v>Amazon</v>
      </c>
    </row>
    <row r="1305" spans="1:7" x14ac:dyDescent="0.25">
      <c r="A1305" t="s">
        <v>6</v>
      </c>
      <c r="B1305" s="1">
        <v>45835</v>
      </c>
      <c r="C1305" t="s">
        <v>1227</v>
      </c>
      <c r="D1305">
        <v>-155.69999999999999</v>
      </c>
      <c r="E1305" t="s">
        <v>10</v>
      </c>
      <c r="F1305">
        <v>6778.28</v>
      </c>
      <c r="G1305" t="str" cm="1">
        <f t="array" ref="G1305">IF(AND(ISNUMBER(SEARCH("UBER",C1305)),ISNUMBER(SEARCH("EATS",C1305))),"Uber Eats",IF(LEFT(C1305,6)="CHECK ","Checks Paid",IF(OR(E1305="BILLPAY",ISNUMBER(SEARCH("FRANCHISE TAX",C1305)),ISNUMBER(SEARCH("NEXTLINK",C1305))),"Personal - House Bills",IF(AND(ISNUMBER(SEARCH("PAYMENT FROM",C1305)),ISNUMBER(SEARCH("JOE SAUNDERS",C1305))),"Zelle from Joe Saunders",IF(AND(ISNUMBER(SEARCH("PAYMENT TO",C1305)),ISNUMBER(SEARCH("JOE SAUNDERS",C1305))),"Zelle to Joe Saunders",IF(OR(ISNUMBER(SEARCH("NEW ORLEANS",C1305)),ISNUMBER(SEARCH("KENNER",C1305)),ISNUMBER(SEARCH("HENRY HOWARD",C1305)),ISNUMBER(SEARCH("MISS CLAUDIA",C1305))),"Personal Travel - New Orleans",IF(AND(YEAR(B1305)=2025,MONTH(B1305)=4,OR(ISNUMBER(SEARCH("EXCHANGE RATE",C1305)),ISNUMBER(SEARCH("EXCHG RTE",C1305)))),"Personal Travel - Italy",IFERROR(INDEX('Category Rules'!$B$2:$B$358,MATCH(TRUE,ISNUMBER(SEARCH('Category Rules'!$A$2:$A$358,C1305)),0)),""))))))))</f>
        <v>Amazon</v>
      </c>
    </row>
    <row r="1306" spans="1:7" x14ac:dyDescent="0.25">
      <c r="A1306" t="s">
        <v>44</v>
      </c>
      <c r="B1306" s="1">
        <v>45835</v>
      </c>
      <c r="C1306" t="s">
        <v>1228</v>
      </c>
      <c r="D1306">
        <v>530</v>
      </c>
      <c r="E1306" t="s">
        <v>46</v>
      </c>
      <c r="F1306">
        <v>6933.98</v>
      </c>
      <c r="G1306" t="str" cm="1">
        <f t="array" ref="G1306">IF(AND(ISNUMBER(SEARCH("UBER",C1306)),ISNUMBER(SEARCH("EATS",C1306))),"Uber Eats",IF(LEFT(C1306,6)="CHECK ","Checks Paid",IF(OR(E1306="BILLPAY",ISNUMBER(SEARCH("FRANCHISE TAX",C1306)),ISNUMBER(SEARCH("NEXTLINK",C1306))),"Personal - House Bills",IF(AND(ISNUMBER(SEARCH("PAYMENT FROM",C1306)),ISNUMBER(SEARCH("JOE SAUNDERS",C1306))),"Zelle from Joe Saunders",IF(AND(ISNUMBER(SEARCH("PAYMENT TO",C1306)),ISNUMBER(SEARCH("JOE SAUNDERS",C1306))),"Zelle to Joe Saunders",IF(OR(ISNUMBER(SEARCH("NEW ORLEANS",C1306)),ISNUMBER(SEARCH("KENNER",C1306)),ISNUMBER(SEARCH("HENRY HOWARD",C1306)),ISNUMBER(SEARCH("MISS CLAUDIA",C1306))),"Personal Travel - New Orleans",IF(AND(YEAR(B1306)=2025,MONTH(B1306)=4,OR(ISNUMBER(SEARCH("EXCHANGE RATE",C1306)),ISNUMBER(SEARCH("EXCHG RTE",C1306)))),"Personal Travel - Italy",IFERROR(INDEX('Category Rules'!$B$2:$B$358,MATCH(TRUE,ISNUMBER(SEARCH('Category Rules'!$A$2:$A$358,C1306)),0)),""))))))))</f>
        <v>Zelle from Joe Saunders</v>
      </c>
    </row>
    <row r="1307" spans="1:7" x14ac:dyDescent="0.25">
      <c r="A1307" t="s">
        <v>6</v>
      </c>
      <c r="B1307" s="1">
        <v>45835</v>
      </c>
      <c r="C1307" t="s">
        <v>1222</v>
      </c>
      <c r="D1307">
        <v>11.04</v>
      </c>
      <c r="E1307" t="s">
        <v>10</v>
      </c>
      <c r="F1307">
        <v>6403.98</v>
      </c>
      <c r="G1307" t="str" cm="1">
        <f t="array" ref="G1307">IF(AND(ISNUMBER(SEARCH("UBER",C1307)),ISNUMBER(SEARCH("EATS",C1307))),"Uber Eats",IF(LEFT(C1307,6)="CHECK ","Checks Paid",IF(OR(E1307="BILLPAY",ISNUMBER(SEARCH("FRANCHISE TAX",C1307)),ISNUMBER(SEARCH("NEXTLINK",C1307))),"Personal - House Bills",IF(AND(ISNUMBER(SEARCH("PAYMENT FROM",C1307)),ISNUMBER(SEARCH("JOE SAUNDERS",C1307))),"Zelle from Joe Saunders",IF(AND(ISNUMBER(SEARCH("PAYMENT TO",C1307)),ISNUMBER(SEARCH("JOE SAUNDERS",C1307))),"Zelle to Joe Saunders",IF(OR(ISNUMBER(SEARCH("NEW ORLEANS",C1307)),ISNUMBER(SEARCH("KENNER",C1307)),ISNUMBER(SEARCH("HENRY HOWARD",C1307)),ISNUMBER(SEARCH("MISS CLAUDIA",C1307))),"Personal Travel - New Orleans",IF(AND(YEAR(B1307)=2025,MONTH(B1307)=4,OR(ISNUMBER(SEARCH("EXCHANGE RATE",C1307)),ISNUMBER(SEARCH("EXCHG RTE",C1307)))),"Personal Travel - Italy",IFERROR(INDEX('Category Rules'!$B$2:$B$358,MATCH(TRUE,ISNUMBER(SEARCH('Category Rules'!$A$2:$A$358,C1307)),0)),""))))))))</f>
        <v>Personal - Shopping</v>
      </c>
    </row>
    <row r="1308" spans="1:7" x14ac:dyDescent="0.25">
      <c r="A1308" t="s">
        <v>6</v>
      </c>
      <c r="B1308" s="1">
        <v>45835</v>
      </c>
      <c r="C1308" t="s">
        <v>1222</v>
      </c>
      <c r="D1308">
        <v>16.559999999999999</v>
      </c>
      <c r="E1308" t="s">
        <v>10</v>
      </c>
      <c r="F1308">
        <v>6392.94</v>
      </c>
      <c r="G1308" t="str" cm="1">
        <f t="array" ref="G1308">IF(AND(ISNUMBER(SEARCH("UBER",C1308)),ISNUMBER(SEARCH("EATS",C1308))),"Uber Eats",IF(LEFT(C1308,6)="CHECK ","Checks Paid",IF(OR(E1308="BILLPAY",ISNUMBER(SEARCH("FRANCHISE TAX",C1308)),ISNUMBER(SEARCH("NEXTLINK",C1308))),"Personal - House Bills",IF(AND(ISNUMBER(SEARCH("PAYMENT FROM",C1308)),ISNUMBER(SEARCH("JOE SAUNDERS",C1308))),"Zelle from Joe Saunders",IF(AND(ISNUMBER(SEARCH("PAYMENT TO",C1308)),ISNUMBER(SEARCH("JOE SAUNDERS",C1308))),"Zelle to Joe Saunders",IF(OR(ISNUMBER(SEARCH("NEW ORLEANS",C1308)),ISNUMBER(SEARCH("KENNER",C1308)),ISNUMBER(SEARCH("HENRY HOWARD",C1308)),ISNUMBER(SEARCH("MISS CLAUDIA",C1308))),"Personal Travel - New Orleans",IF(AND(YEAR(B1308)=2025,MONTH(B1308)=4,OR(ISNUMBER(SEARCH("EXCHANGE RATE",C1308)),ISNUMBER(SEARCH("EXCHG RTE",C1308)))),"Personal Travel - Italy",IFERROR(INDEX('Category Rules'!$B$2:$B$358,MATCH(TRUE,ISNUMBER(SEARCH('Category Rules'!$A$2:$A$358,C1308)),0)),""))))))))</f>
        <v>Personal - Shopping</v>
      </c>
    </row>
    <row r="1309" spans="1:7" x14ac:dyDescent="0.25">
      <c r="A1309" t="s">
        <v>6</v>
      </c>
      <c r="B1309" s="1">
        <v>45834</v>
      </c>
      <c r="C1309" t="s">
        <v>1229</v>
      </c>
      <c r="D1309">
        <v>-609.9</v>
      </c>
      <c r="E1309" t="s">
        <v>10</v>
      </c>
      <c r="F1309">
        <v>6376.38</v>
      </c>
      <c r="G1309" t="str" cm="1">
        <f t="array" ref="G1309">IF(AND(ISNUMBER(SEARCH("UBER",C1309)),ISNUMBER(SEARCH("EATS",C1309))),"Uber Eats",IF(LEFT(C1309,6)="CHECK ","Checks Paid",IF(OR(E1309="BILLPAY",ISNUMBER(SEARCH("FRANCHISE TAX",C1309)),ISNUMBER(SEARCH("NEXTLINK",C1309))),"Personal - House Bills",IF(AND(ISNUMBER(SEARCH("PAYMENT FROM",C1309)),ISNUMBER(SEARCH("JOE SAUNDERS",C1309))),"Zelle from Joe Saunders",IF(AND(ISNUMBER(SEARCH("PAYMENT TO",C1309)),ISNUMBER(SEARCH("JOE SAUNDERS",C1309))),"Zelle to Joe Saunders",IF(OR(ISNUMBER(SEARCH("NEW ORLEANS",C1309)),ISNUMBER(SEARCH("KENNER",C1309)),ISNUMBER(SEARCH("HENRY HOWARD",C1309)),ISNUMBER(SEARCH("MISS CLAUDIA",C1309))),"Personal Travel - New Orleans",IF(AND(YEAR(B1309)=2025,MONTH(B1309)=4,OR(ISNUMBER(SEARCH("EXCHANGE RATE",C1309)),ISNUMBER(SEARCH("EXCHG RTE",C1309)))),"Personal Travel - Italy",IFERROR(INDEX('Category Rules'!$B$2:$B$358,MATCH(TRUE,ISNUMBER(SEARCH('Category Rules'!$A$2:$A$358,C1309)),0)),""))))))))</f>
        <v>AT&amp;T</v>
      </c>
    </row>
    <row r="1310" spans="1:7" x14ac:dyDescent="0.25">
      <c r="A1310" t="s">
        <v>44</v>
      </c>
      <c r="B1310" s="1">
        <v>45834</v>
      </c>
      <c r="C1310" t="s">
        <v>1230</v>
      </c>
      <c r="D1310">
        <v>5000</v>
      </c>
      <c r="E1310" t="s">
        <v>73</v>
      </c>
      <c r="F1310">
        <v>6986.28</v>
      </c>
      <c r="G1310" t="str" cm="1">
        <f t="array" ref="G1310">IF(AND(ISNUMBER(SEARCH("UBER",C1310)),ISNUMBER(SEARCH("EATS",C1310))),"Uber Eats",IF(LEFT(C1310,6)="CHECK ","Checks Paid",IF(OR(E1310="BILLPAY",ISNUMBER(SEARCH("FRANCHISE TAX",C1310)),ISNUMBER(SEARCH("NEXTLINK",C1310))),"Personal - House Bills",IF(AND(ISNUMBER(SEARCH("PAYMENT FROM",C1310)),ISNUMBER(SEARCH("JOE SAUNDERS",C1310))),"Zelle from Joe Saunders",IF(AND(ISNUMBER(SEARCH("PAYMENT TO",C1310)),ISNUMBER(SEARCH("JOE SAUNDERS",C1310))),"Zelle to Joe Saunders",IF(OR(ISNUMBER(SEARCH("NEW ORLEANS",C1310)),ISNUMBER(SEARCH("KENNER",C1310)),ISNUMBER(SEARCH("HENRY HOWARD",C1310)),ISNUMBER(SEARCH("MISS CLAUDIA",C1310))),"Personal Travel - New Orleans",IF(AND(YEAR(B1310)=2025,MONTH(B1310)=4,OR(ISNUMBER(SEARCH("EXCHANGE RATE",C1310)),ISNUMBER(SEARCH("EXCHG RTE",C1310)))),"Personal Travel - Italy",IFERROR(INDEX('Category Rules'!$B$2:$B$358,MATCH(TRUE,ISNUMBER(SEARCH('Category Rules'!$A$2:$A$358,C1310)),0)),""))))))))</f>
        <v>Transfer from DWG Capital Group</v>
      </c>
    </row>
    <row r="1311" spans="1:7" x14ac:dyDescent="0.25">
      <c r="A1311" t="s">
        <v>6</v>
      </c>
      <c r="B1311" s="1">
        <v>45833</v>
      </c>
      <c r="C1311" t="s">
        <v>1231</v>
      </c>
      <c r="D1311">
        <v>-55.71</v>
      </c>
      <c r="E1311" t="s">
        <v>10</v>
      </c>
      <c r="F1311">
        <v>1986.28</v>
      </c>
      <c r="G1311" t="str" cm="1">
        <f t="array" ref="G1311">IF(AND(ISNUMBER(SEARCH("UBER",C1311)),ISNUMBER(SEARCH("EATS",C1311))),"Uber Eats",IF(LEFT(C1311,6)="CHECK ","Checks Paid",IF(OR(E1311="BILLPAY",ISNUMBER(SEARCH("FRANCHISE TAX",C1311)),ISNUMBER(SEARCH("NEXTLINK",C1311))),"Personal - House Bills",IF(AND(ISNUMBER(SEARCH("PAYMENT FROM",C1311)),ISNUMBER(SEARCH("JOE SAUNDERS",C1311))),"Zelle from Joe Saunders",IF(AND(ISNUMBER(SEARCH("PAYMENT TO",C1311)),ISNUMBER(SEARCH("JOE SAUNDERS",C1311))),"Zelle to Joe Saunders",IF(OR(ISNUMBER(SEARCH("NEW ORLEANS",C1311)),ISNUMBER(SEARCH("KENNER",C1311)),ISNUMBER(SEARCH("HENRY HOWARD",C1311)),ISNUMBER(SEARCH("MISS CLAUDIA",C1311))),"Personal Travel - New Orleans",IF(AND(YEAR(B1311)=2025,MONTH(B1311)=4,OR(ISNUMBER(SEARCH("EXCHANGE RATE",C1311)),ISNUMBER(SEARCH("EXCHG RTE",C1311)))),"Personal Travel - Italy",IFERROR(INDEX('Category Rules'!$B$2:$B$358,MATCH(TRUE,ISNUMBER(SEARCH('Category Rules'!$A$2:$A$358,C1311)),0)),""))))))))</f>
        <v>Personal - Shopping</v>
      </c>
    </row>
    <row r="1312" spans="1:7" x14ac:dyDescent="0.25">
      <c r="A1312" t="s">
        <v>6</v>
      </c>
      <c r="B1312" s="1">
        <v>45833</v>
      </c>
      <c r="C1312" t="s">
        <v>1232</v>
      </c>
      <c r="D1312">
        <v>-15</v>
      </c>
      <c r="E1312" t="s">
        <v>10</v>
      </c>
      <c r="F1312">
        <v>2041.99</v>
      </c>
      <c r="G1312" t="str" cm="1">
        <f t="array" ref="G1312">IF(AND(ISNUMBER(SEARCH("UBER",C1312)),ISNUMBER(SEARCH("EATS",C1312))),"Uber Eats",IF(LEFT(C1312,6)="CHECK ","Checks Paid",IF(OR(E1312="BILLPAY",ISNUMBER(SEARCH("FRANCHISE TAX",C1312)),ISNUMBER(SEARCH("NEXTLINK",C1312))),"Personal - House Bills",IF(AND(ISNUMBER(SEARCH("PAYMENT FROM",C1312)),ISNUMBER(SEARCH("JOE SAUNDERS",C1312))),"Zelle from Joe Saunders",IF(AND(ISNUMBER(SEARCH("PAYMENT TO",C1312)),ISNUMBER(SEARCH("JOE SAUNDERS",C1312))),"Zelle to Joe Saunders",IF(OR(ISNUMBER(SEARCH("NEW ORLEANS",C1312)),ISNUMBER(SEARCH("KENNER",C1312)),ISNUMBER(SEARCH("HENRY HOWARD",C1312)),ISNUMBER(SEARCH("MISS CLAUDIA",C1312))),"Personal Travel - New Orleans",IF(AND(YEAR(B1312)=2025,MONTH(B1312)=4,OR(ISNUMBER(SEARCH("EXCHANGE RATE",C1312)),ISNUMBER(SEARCH("EXCHG RTE",C1312)))),"Personal Travel - Italy",IFERROR(INDEX('Category Rules'!$B$2:$B$358,MATCH(TRUE,ISNUMBER(SEARCH('Category Rules'!$A$2:$A$358,C1312)),0)),""))))))))</f>
        <v>Personal - Subscription</v>
      </c>
    </row>
    <row r="1313" spans="1:7" x14ac:dyDescent="0.25">
      <c r="A1313" t="s">
        <v>6</v>
      </c>
      <c r="B1313" s="1">
        <v>45833</v>
      </c>
      <c r="C1313" t="s">
        <v>1233</v>
      </c>
      <c r="D1313">
        <v>-16.45</v>
      </c>
      <c r="E1313" t="s">
        <v>10</v>
      </c>
      <c r="F1313">
        <v>2056.9899999999998</v>
      </c>
      <c r="G1313" t="str" cm="1">
        <f t="array" ref="G1313">IF(AND(ISNUMBER(SEARCH("UBER",C1313)),ISNUMBER(SEARCH("EATS",C1313))),"Uber Eats",IF(LEFT(C1313,6)="CHECK ","Checks Paid",IF(OR(E1313="BILLPAY",ISNUMBER(SEARCH("FRANCHISE TAX",C1313)),ISNUMBER(SEARCH("NEXTLINK",C1313))),"Personal - House Bills",IF(AND(ISNUMBER(SEARCH("PAYMENT FROM",C1313)),ISNUMBER(SEARCH("JOE SAUNDERS",C1313))),"Zelle from Joe Saunders",IF(AND(ISNUMBER(SEARCH("PAYMENT TO",C1313)),ISNUMBER(SEARCH("JOE SAUNDERS",C1313))),"Zelle to Joe Saunders",IF(OR(ISNUMBER(SEARCH("NEW ORLEANS",C1313)),ISNUMBER(SEARCH("KENNER",C1313)),ISNUMBER(SEARCH("HENRY HOWARD",C1313)),ISNUMBER(SEARCH("MISS CLAUDIA",C1313))),"Personal Travel - New Orleans",IF(AND(YEAR(B1313)=2025,MONTH(B1313)=4,OR(ISNUMBER(SEARCH("EXCHANGE RATE",C1313)),ISNUMBER(SEARCH("EXCHG RTE",C1313)))),"Personal Travel - Italy",IFERROR(INDEX('Category Rules'!$B$2:$B$358,MATCH(TRUE,ISNUMBER(SEARCH('Category Rules'!$A$2:$A$358,C1313)),0)),""))))))))</f>
        <v>Amazon</v>
      </c>
    </row>
    <row r="1314" spans="1:7" x14ac:dyDescent="0.25">
      <c r="A1314" t="s">
        <v>6</v>
      </c>
      <c r="B1314" s="1">
        <v>45832</v>
      </c>
      <c r="C1314" t="s">
        <v>1234</v>
      </c>
      <c r="D1314">
        <v>-50.44</v>
      </c>
      <c r="E1314" t="s">
        <v>10</v>
      </c>
      <c r="F1314">
        <v>2073.44</v>
      </c>
      <c r="G1314" t="str" cm="1">
        <f t="array" ref="G1314">IF(AND(ISNUMBER(SEARCH("UBER",C1314)),ISNUMBER(SEARCH("EATS",C1314))),"Uber Eats",IF(LEFT(C1314,6)="CHECK ","Checks Paid",IF(OR(E1314="BILLPAY",ISNUMBER(SEARCH("FRANCHISE TAX",C1314)),ISNUMBER(SEARCH("NEXTLINK",C1314))),"Personal - House Bills",IF(AND(ISNUMBER(SEARCH("PAYMENT FROM",C1314)),ISNUMBER(SEARCH("JOE SAUNDERS",C1314))),"Zelle from Joe Saunders",IF(AND(ISNUMBER(SEARCH("PAYMENT TO",C1314)),ISNUMBER(SEARCH("JOE SAUNDERS",C1314))),"Zelle to Joe Saunders",IF(OR(ISNUMBER(SEARCH("NEW ORLEANS",C1314)),ISNUMBER(SEARCH("KENNER",C1314)),ISNUMBER(SEARCH("HENRY HOWARD",C1314)),ISNUMBER(SEARCH("MISS CLAUDIA",C1314))),"Personal Travel - New Orleans",IF(AND(YEAR(B1314)=2025,MONTH(B1314)=4,OR(ISNUMBER(SEARCH("EXCHANGE RATE",C1314)),ISNUMBER(SEARCH("EXCHG RTE",C1314)))),"Personal Travel - Italy",IFERROR(INDEX('Category Rules'!$B$2:$B$358,MATCH(TRUE,ISNUMBER(SEARCH('Category Rules'!$A$2:$A$358,C1314)),0)),""))))))))</f>
        <v>Amazon</v>
      </c>
    </row>
    <row r="1315" spans="1:7" x14ac:dyDescent="0.25">
      <c r="A1315" t="s">
        <v>6</v>
      </c>
      <c r="B1315" s="1">
        <v>45832</v>
      </c>
      <c r="C1315" t="s">
        <v>1235</v>
      </c>
      <c r="D1315">
        <v>-300</v>
      </c>
      <c r="E1315" t="s">
        <v>10</v>
      </c>
      <c r="F1315">
        <v>2123.88</v>
      </c>
      <c r="G1315" t="str" cm="1">
        <f t="array" ref="G1315">IF(AND(ISNUMBER(SEARCH("UBER",C1315)),ISNUMBER(SEARCH("EATS",C1315))),"Uber Eats",IF(LEFT(C1315,6)="CHECK ","Checks Paid",IF(OR(E1315="BILLPAY",ISNUMBER(SEARCH("FRANCHISE TAX",C1315)),ISNUMBER(SEARCH("NEXTLINK",C1315))),"Personal - House Bills",IF(AND(ISNUMBER(SEARCH("PAYMENT FROM",C1315)),ISNUMBER(SEARCH("JOE SAUNDERS",C1315))),"Zelle from Joe Saunders",IF(AND(ISNUMBER(SEARCH("PAYMENT TO",C1315)),ISNUMBER(SEARCH("JOE SAUNDERS",C1315))),"Zelle to Joe Saunders",IF(OR(ISNUMBER(SEARCH("NEW ORLEANS",C1315)),ISNUMBER(SEARCH("KENNER",C1315)),ISNUMBER(SEARCH("HENRY HOWARD",C1315)),ISNUMBER(SEARCH("MISS CLAUDIA",C1315))),"Personal Travel - New Orleans",IF(AND(YEAR(B1315)=2025,MONTH(B1315)=4,OR(ISNUMBER(SEARCH("EXCHANGE RATE",C1315)),ISNUMBER(SEARCH("EXCHG RTE",C1315)))),"Personal Travel - Italy",IFERROR(INDEX('Category Rules'!$B$2:$B$358,MATCH(TRUE,ISNUMBER(SEARCH('Category Rules'!$A$2:$A$358,C1315)),0)),""))))))))</f>
        <v>Personal - Clothing</v>
      </c>
    </row>
    <row r="1316" spans="1:7" x14ac:dyDescent="0.25">
      <c r="A1316" t="s">
        <v>6</v>
      </c>
      <c r="B1316" s="1">
        <v>45832</v>
      </c>
      <c r="C1316" t="s">
        <v>1236</v>
      </c>
      <c r="D1316">
        <v>-10.99</v>
      </c>
      <c r="E1316" t="s">
        <v>10</v>
      </c>
      <c r="F1316">
        <v>2423.88</v>
      </c>
      <c r="G1316" t="str" cm="1">
        <f t="array" ref="G1316">IF(AND(ISNUMBER(SEARCH("UBER",C1316)),ISNUMBER(SEARCH("EATS",C1316))),"Uber Eats",IF(LEFT(C1316,6)="CHECK ","Checks Paid",IF(OR(E1316="BILLPAY",ISNUMBER(SEARCH("FRANCHISE TAX",C1316)),ISNUMBER(SEARCH("NEXTLINK",C1316))),"Personal - House Bills",IF(AND(ISNUMBER(SEARCH("PAYMENT FROM",C1316)),ISNUMBER(SEARCH("JOE SAUNDERS",C1316))),"Zelle from Joe Saunders",IF(AND(ISNUMBER(SEARCH("PAYMENT TO",C1316)),ISNUMBER(SEARCH("JOE SAUNDERS",C1316))),"Zelle to Joe Saunders",IF(OR(ISNUMBER(SEARCH("NEW ORLEANS",C1316)),ISNUMBER(SEARCH("KENNER",C1316)),ISNUMBER(SEARCH("HENRY HOWARD",C1316)),ISNUMBER(SEARCH("MISS CLAUDIA",C1316))),"Personal Travel - New Orleans",IF(AND(YEAR(B1316)=2025,MONTH(B1316)=4,OR(ISNUMBER(SEARCH("EXCHANGE RATE",C1316)),ISNUMBER(SEARCH("EXCHG RTE",C1316)))),"Personal Travel - Italy",IFERROR(INDEX('Category Rules'!$B$2:$B$358,MATCH(TRUE,ISNUMBER(SEARCH('Category Rules'!$A$2:$A$358,C1316)),0)),""))))))))</f>
        <v>Apple</v>
      </c>
    </row>
    <row r="1317" spans="1:7" x14ac:dyDescent="0.25">
      <c r="A1317" t="s">
        <v>6</v>
      </c>
      <c r="B1317" s="1">
        <v>45832</v>
      </c>
      <c r="C1317" t="s">
        <v>1237</v>
      </c>
      <c r="D1317">
        <v>-55.08</v>
      </c>
      <c r="E1317" t="s">
        <v>10</v>
      </c>
      <c r="F1317">
        <v>2434.87</v>
      </c>
      <c r="G1317" t="str" cm="1">
        <f t="array" ref="G1317">IF(AND(ISNUMBER(SEARCH("UBER",C1317)),ISNUMBER(SEARCH("EATS",C1317))),"Uber Eats",IF(LEFT(C1317,6)="CHECK ","Checks Paid",IF(OR(E1317="BILLPAY",ISNUMBER(SEARCH("FRANCHISE TAX",C1317)),ISNUMBER(SEARCH("NEXTLINK",C1317))),"Personal - House Bills",IF(AND(ISNUMBER(SEARCH("PAYMENT FROM",C1317)),ISNUMBER(SEARCH("JOE SAUNDERS",C1317))),"Zelle from Joe Saunders",IF(AND(ISNUMBER(SEARCH("PAYMENT TO",C1317)),ISNUMBER(SEARCH("JOE SAUNDERS",C1317))),"Zelle to Joe Saunders",IF(OR(ISNUMBER(SEARCH("NEW ORLEANS",C1317)),ISNUMBER(SEARCH("KENNER",C1317)),ISNUMBER(SEARCH("HENRY HOWARD",C1317)),ISNUMBER(SEARCH("MISS CLAUDIA",C1317))),"Personal Travel - New Orleans",IF(AND(YEAR(B1317)=2025,MONTH(B1317)=4,OR(ISNUMBER(SEARCH("EXCHANGE RATE",C1317)),ISNUMBER(SEARCH("EXCHG RTE",C1317)))),"Personal Travel - Italy",IFERROR(INDEX('Category Rules'!$B$2:$B$358,MATCH(TRUE,ISNUMBER(SEARCH('Category Rules'!$A$2:$A$358,C1317)),0)),""))))))))</f>
        <v>Personal Travel</v>
      </c>
    </row>
    <row r="1318" spans="1:7" x14ac:dyDescent="0.25">
      <c r="A1318" t="s">
        <v>6</v>
      </c>
      <c r="B1318" s="1">
        <v>45832</v>
      </c>
      <c r="C1318" t="s">
        <v>1238</v>
      </c>
      <c r="D1318">
        <v>-206.65</v>
      </c>
      <c r="E1318" t="s">
        <v>10</v>
      </c>
      <c r="F1318">
        <v>2489.9499999999998</v>
      </c>
      <c r="G1318" t="str" cm="1">
        <f t="array" ref="G1318">IF(AND(ISNUMBER(SEARCH("UBER",C1318)),ISNUMBER(SEARCH("EATS",C1318))),"Uber Eats",IF(LEFT(C1318,6)="CHECK ","Checks Paid",IF(OR(E1318="BILLPAY",ISNUMBER(SEARCH("FRANCHISE TAX",C1318)),ISNUMBER(SEARCH("NEXTLINK",C1318))),"Personal - House Bills",IF(AND(ISNUMBER(SEARCH("PAYMENT FROM",C1318)),ISNUMBER(SEARCH("JOE SAUNDERS",C1318))),"Zelle from Joe Saunders",IF(AND(ISNUMBER(SEARCH("PAYMENT TO",C1318)),ISNUMBER(SEARCH("JOE SAUNDERS",C1318))),"Zelle to Joe Saunders",IF(OR(ISNUMBER(SEARCH("NEW ORLEANS",C1318)),ISNUMBER(SEARCH("KENNER",C1318)),ISNUMBER(SEARCH("HENRY HOWARD",C1318)),ISNUMBER(SEARCH("MISS CLAUDIA",C1318))),"Personal Travel - New Orleans",IF(AND(YEAR(B1318)=2025,MONTH(B1318)=4,OR(ISNUMBER(SEARCH("EXCHANGE RATE",C1318)),ISNUMBER(SEARCH("EXCHG RTE",C1318)))),"Personal Travel - Italy",IFERROR(INDEX('Category Rules'!$B$2:$B$358,MATCH(TRUE,ISNUMBER(SEARCH('Category Rules'!$A$2:$A$358,C1318)),0)),""))))))))</f>
        <v>Personal Travel</v>
      </c>
    </row>
    <row r="1319" spans="1:7" x14ac:dyDescent="0.25">
      <c r="A1319" t="s">
        <v>6</v>
      </c>
      <c r="B1319" s="1">
        <v>45831</v>
      </c>
      <c r="C1319" t="s">
        <v>1239</v>
      </c>
      <c r="D1319">
        <v>-172.61</v>
      </c>
      <c r="E1319" t="s">
        <v>10</v>
      </c>
      <c r="F1319">
        <v>2696.6</v>
      </c>
      <c r="G1319" t="str" cm="1">
        <f t="array" ref="G1319">IF(AND(ISNUMBER(SEARCH("UBER",C1319)),ISNUMBER(SEARCH("EATS",C1319))),"Uber Eats",IF(LEFT(C1319,6)="CHECK ","Checks Paid",IF(OR(E1319="BILLPAY",ISNUMBER(SEARCH("FRANCHISE TAX",C1319)),ISNUMBER(SEARCH("NEXTLINK",C1319))),"Personal - House Bills",IF(AND(ISNUMBER(SEARCH("PAYMENT FROM",C1319)),ISNUMBER(SEARCH("JOE SAUNDERS",C1319))),"Zelle from Joe Saunders",IF(AND(ISNUMBER(SEARCH("PAYMENT TO",C1319)),ISNUMBER(SEARCH("JOE SAUNDERS",C1319))),"Zelle to Joe Saunders",IF(OR(ISNUMBER(SEARCH("NEW ORLEANS",C1319)),ISNUMBER(SEARCH("KENNER",C1319)),ISNUMBER(SEARCH("HENRY HOWARD",C1319)),ISNUMBER(SEARCH("MISS CLAUDIA",C1319))),"Personal Travel - New Orleans",IF(AND(YEAR(B1319)=2025,MONTH(B1319)=4,OR(ISNUMBER(SEARCH("EXCHANGE RATE",C1319)),ISNUMBER(SEARCH("EXCHG RTE",C1319)))),"Personal Travel - Italy",IFERROR(INDEX('Category Rules'!$B$2:$B$358,MATCH(TRUE,ISNUMBER(SEARCH('Category Rules'!$A$2:$A$358,C1319)),0)),""))))))))</f>
        <v>Personal - Food</v>
      </c>
    </row>
    <row r="1320" spans="1:7" x14ac:dyDescent="0.25">
      <c r="A1320" t="s">
        <v>6</v>
      </c>
      <c r="B1320" s="1">
        <v>45831</v>
      </c>
      <c r="C1320" t="s">
        <v>1240</v>
      </c>
      <c r="D1320">
        <v>-622.47</v>
      </c>
      <c r="E1320" t="s">
        <v>10</v>
      </c>
      <c r="F1320">
        <v>2869.21</v>
      </c>
      <c r="G1320" t="str" cm="1">
        <f t="array" ref="G1320">IF(AND(ISNUMBER(SEARCH("UBER",C1320)),ISNUMBER(SEARCH("EATS",C1320))),"Uber Eats",IF(LEFT(C1320,6)="CHECK ","Checks Paid",IF(OR(E1320="BILLPAY",ISNUMBER(SEARCH("FRANCHISE TAX",C1320)),ISNUMBER(SEARCH("NEXTLINK",C1320))),"Personal - House Bills",IF(AND(ISNUMBER(SEARCH("PAYMENT FROM",C1320)),ISNUMBER(SEARCH("JOE SAUNDERS",C1320))),"Zelle from Joe Saunders",IF(AND(ISNUMBER(SEARCH("PAYMENT TO",C1320)),ISNUMBER(SEARCH("JOE SAUNDERS",C1320))),"Zelle to Joe Saunders",IF(OR(ISNUMBER(SEARCH("NEW ORLEANS",C1320)),ISNUMBER(SEARCH("KENNER",C1320)),ISNUMBER(SEARCH("HENRY HOWARD",C1320)),ISNUMBER(SEARCH("MISS CLAUDIA",C1320))),"Personal Travel - New Orleans",IF(AND(YEAR(B1320)=2025,MONTH(B1320)=4,OR(ISNUMBER(SEARCH("EXCHANGE RATE",C1320)),ISNUMBER(SEARCH("EXCHG RTE",C1320)))),"Personal Travel - Italy",IFERROR(INDEX('Category Rules'!$B$2:$B$358,MATCH(TRUE,ISNUMBER(SEARCH('Category Rules'!$A$2:$A$358,C1320)),0)),""))))))))</f>
        <v>Personal - Food</v>
      </c>
    </row>
    <row r="1321" spans="1:7" x14ac:dyDescent="0.25">
      <c r="A1321" t="s">
        <v>6</v>
      </c>
      <c r="B1321" s="1">
        <v>45831</v>
      </c>
      <c r="C1321" t="s">
        <v>1241</v>
      </c>
      <c r="D1321">
        <v>-101.26</v>
      </c>
      <c r="E1321" t="s">
        <v>10</v>
      </c>
      <c r="F1321">
        <v>3491.68</v>
      </c>
      <c r="G1321" t="str" cm="1">
        <f t="array" ref="G1321">IF(AND(ISNUMBER(SEARCH("UBER",C1321)),ISNUMBER(SEARCH("EATS",C1321))),"Uber Eats",IF(LEFT(C1321,6)="CHECK ","Checks Paid",IF(OR(E1321="BILLPAY",ISNUMBER(SEARCH("FRANCHISE TAX",C1321)),ISNUMBER(SEARCH("NEXTLINK",C1321))),"Personal - House Bills",IF(AND(ISNUMBER(SEARCH("PAYMENT FROM",C1321)),ISNUMBER(SEARCH("JOE SAUNDERS",C1321))),"Zelle from Joe Saunders",IF(AND(ISNUMBER(SEARCH("PAYMENT TO",C1321)),ISNUMBER(SEARCH("JOE SAUNDERS",C1321))),"Zelle to Joe Saunders",IF(OR(ISNUMBER(SEARCH("NEW ORLEANS",C1321)),ISNUMBER(SEARCH("KENNER",C1321)),ISNUMBER(SEARCH("HENRY HOWARD",C1321)),ISNUMBER(SEARCH("MISS CLAUDIA",C1321))),"Personal Travel - New Orleans",IF(AND(YEAR(B1321)=2025,MONTH(B1321)=4,OR(ISNUMBER(SEARCH("EXCHANGE RATE",C1321)),ISNUMBER(SEARCH("EXCHG RTE",C1321)))),"Personal Travel - Italy",IFERROR(INDEX('Category Rules'!$B$2:$B$358,MATCH(TRUE,ISNUMBER(SEARCH('Category Rules'!$A$2:$A$358,C1321)),0)),""))))))))</f>
        <v>Personal - Food</v>
      </c>
    </row>
    <row r="1322" spans="1:7" x14ac:dyDescent="0.25">
      <c r="A1322" t="s">
        <v>6</v>
      </c>
      <c r="B1322" s="1">
        <v>45831</v>
      </c>
      <c r="C1322" t="s">
        <v>1242</v>
      </c>
      <c r="D1322">
        <v>-101.13</v>
      </c>
      <c r="E1322" t="s">
        <v>10</v>
      </c>
      <c r="F1322">
        <v>3592.94</v>
      </c>
      <c r="G1322" t="str" cm="1">
        <f t="array" ref="G1322">IF(AND(ISNUMBER(SEARCH("UBER",C1322)),ISNUMBER(SEARCH("EATS",C1322))),"Uber Eats",IF(LEFT(C1322,6)="CHECK ","Checks Paid",IF(OR(E1322="BILLPAY",ISNUMBER(SEARCH("FRANCHISE TAX",C1322)),ISNUMBER(SEARCH("NEXTLINK",C1322))),"Personal - House Bills",IF(AND(ISNUMBER(SEARCH("PAYMENT FROM",C1322)),ISNUMBER(SEARCH("JOE SAUNDERS",C1322))),"Zelle from Joe Saunders",IF(AND(ISNUMBER(SEARCH("PAYMENT TO",C1322)),ISNUMBER(SEARCH("JOE SAUNDERS",C1322))),"Zelle to Joe Saunders",IF(OR(ISNUMBER(SEARCH("NEW ORLEANS",C1322)),ISNUMBER(SEARCH("KENNER",C1322)),ISNUMBER(SEARCH("HENRY HOWARD",C1322)),ISNUMBER(SEARCH("MISS CLAUDIA",C1322))),"Personal Travel - New Orleans",IF(AND(YEAR(B1322)=2025,MONTH(B1322)=4,OR(ISNUMBER(SEARCH("EXCHANGE RATE",C1322)),ISNUMBER(SEARCH("EXCHG RTE",C1322)))),"Personal Travel - Italy",IFERROR(INDEX('Category Rules'!$B$2:$B$358,MATCH(TRUE,ISNUMBER(SEARCH('Category Rules'!$A$2:$A$358,C1322)),0)),""))))))))</f>
        <v>Personal Travel</v>
      </c>
    </row>
    <row r="1323" spans="1:7" x14ac:dyDescent="0.25">
      <c r="A1323" t="s">
        <v>6</v>
      </c>
      <c r="B1323" s="1">
        <v>45831</v>
      </c>
      <c r="C1323" t="s">
        <v>1243</v>
      </c>
      <c r="D1323">
        <v>-139.47999999999999</v>
      </c>
      <c r="E1323" t="s">
        <v>10</v>
      </c>
      <c r="F1323">
        <v>3694.07</v>
      </c>
      <c r="G1323" t="str" cm="1">
        <f t="array" ref="G1323">IF(AND(ISNUMBER(SEARCH("UBER",C1323)),ISNUMBER(SEARCH("EATS",C1323))),"Uber Eats",IF(LEFT(C1323,6)="CHECK ","Checks Paid",IF(OR(E1323="BILLPAY",ISNUMBER(SEARCH("FRANCHISE TAX",C1323)),ISNUMBER(SEARCH("NEXTLINK",C1323))),"Personal - House Bills",IF(AND(ISNUMBER(SEARCH("PAYMENT FROM",C1323)),ISNUMBER(SEARCH("JOE SAUNDERS",C1323))),"Zelle from Joe Saunders",IF(AND(ISNUMBER(SEARCH("PAYMENT TO",C1323)),ISNUMBER(SEARCH("JOE SAUNDERS",C1323))),"Zelle to Joe Saunders",IF(OR(ISNUMBER(SEARCH("NEW ORLEANS",C1323)),ISNUMBER(SEARCH("KENNER",C1323)),ISNUMBER(SEARCH("HENRY HOWARD",C1323)),ISNUMBER(SEARCH("MISS CLAUDIA",C1323))),"Personal Travel - New Orleans",IF(AND(YEAR(B1323)=2025,MONTH(B1323)=4,OR(ISNUMBER(SEARCH("EXCHANGE RATE",C1323)),ISNUMBER(SEARCH("EXCHG RTE",C1323)))),"Personal Travel - Italy",IFERROR(INDEX('Category Rules'!$B$2:$B$358,MATCH(TRUE,ISNUMBER(SEARCH('Category Rules'!$A$2:$A$358,C1323)),0)),""))))))))</f>
        <v>Personal Travel</v>
      </c>
    </row>
    <row r="1324" spans="1:7" x14ac:dyDescent="0.25">
      <c r="A1324" t="s">
        <v>6</v>
      </c>
      <c r="B1324" s="1">
        <v>45831</v>
      </c>
      <c r="C1324" t="s">
        <v>1244</v>
      </c>
      <c r="D1324">
        <v>-4.4000000000000004</v>
      </c>
      <c r="E1324" t="s">
        <v>10</v>
      </c>
      <c r="F1324">
        <v>3833.55</v>
      </c>
      <c r="G1324" t="str" cm="1">
        <f t="array" ref="G1324">IF(AND(ISNUMBER(SEARCH("UBER",C1324)),ISNUMBER(SEARCH("EATS",C1324))),"Uber Eats",IF(LEFT(C1324,6)="CHECK ","Checks Paid",IF(OR(E1324="BILLPAY",ISNUMBER(SEARCH("FRANCHISE TAX",C1324)),ISNUMBER(SEARCH("NEXTLINK",C1324))),"Personal - House Bills",IF(AND(ISNUMBER(SEARCH("PAYMENT FROM",C1324)),ISNUMBER(SEARCH("JOE SAUNDERS",C1324))),"Zelle from Joe Saunders",IF(AND(ISNUMBER(SEARCH("PAYMENT TO",C1324)),ISNUMBER(SEARCH("JOE SAUNDERS",C1324))),"Zelle to Joe Saunders",IF(OR(ISNUMBER(SEARCH("NEW ORLEANS",C1324)),ISNUMBER(SEARCH("KENNER",C1324)),ISNUMBER(SEARCH("HENRY HOWARD",C1324)),ISNUMBER(SEARCH("MISS CLAUDIA",C1324))),"Personal Travel - New Orleans",IF(AND(YEAR(B1324)=2025,MONTH(B1324)=4,OR(ISNUMBER(SEARCH("EXCHANGE RATE",C1324)),ISNUMBER(SEARCH("EXCHG RTE",C1324)))),"Personal Travel - Italy",IFERROR(INDEX('Category Rules'!$B$2:$B$358,MATCH(TRUE,ISNUMBER(SEARCH('Category Rules'!$A$2:$A$358,C1324)),0)),""))))))))</f>
        <v>Personal Travel</v>
      </c>
    </row>
    <row r="1325" spans="1:7" x14ac:dyDescent="0.25">
      <c r="A1325" t="s">
        <v>6</v>
      </c>
      <c r="B1325" s="1">
        <v>45831</v>
      </c>
      <c r="C1325" t="s">
        <v>1245</v>
      </c>
      <c r="D1325">
        <v>-90.7</v>
      </c>
      <c r="E1325" t="s">
        <v>10</v>
      </c>
      <c r="F1325">
        <v>3837.95</v>
      </c>
      <c r="G1325" t="str" cm="1">
        <f t="array" ref="G1325">IF(AND(ISNUMBER(SEARCH("UBER",C1325)),ISNUMBER(SEARCH("EATS",C1325))),"Uber Eats",IF(LEFT(C1325,6)="CHECK ","Checks Paid",IF(OR(E1325="BILLPAY",ISNUMBER(SEARCH("FRANCHISE TAX",C1325)),ISNUMBER(SEARCH("NEXTLINK",C1325))),"Personal - House Bills",IF(AND(ISNUMBER(SEARCH("PAYMENT FROM",C1325)),ISNUMBER(SEARCH("JOE SAUNDERS",C1325))),"Zelle from Joe Saunders",IF(AND(ISNUMBER(SEARCH("PAYMENT TO",C1325)),ISNUMBER(SEARCH("JOE SAUNDERS",C1325))),"Zelle to Joe Saunders",IF(OR(ISNUMBER(SEARCH("NEW ORLEANS",C1325)),ISNUMBER(SEARCH("KENNER",C1325)),ISNUMBER(SEARCH("HENRY HOWARD",C1325)),ISNUMBER(SEARCH("MISS CLAUDIA",C1325))),"Personal Travel - New Orleans",IF(AND(YEAR(B1325)=2025,MONTH(B1325)=4,OR(ISNUMBER(SEARCH("EXCHANGE RATE",C1325)),ISNUMBER(SEARCH("EXCHG RTE",C1325)))),"Personal Travel - Italy",IFERROR(INDEX('Category Rules'!$B$2:$B$358,MATCH(TRUE,ISNUMBER(SEARCH('Category Rules'!$A$2:$A$358,C1325)),0)),""))))))))</f>
        <v>Uber Eats</v>
      </c>
    </row>
    <row r="1326" spans="1:7" x14ac:dyDescent="0.25">
      <c r="A1326" t="s">
        <v>6</v>
      </c>
      <c r="B1326" s="1">
        <v>45831</v>
      </c>
      <c r="C1326" t="s">
        <v>1246</v>
      </c>
      <c r="D1326">
        <v>-277.52</v>
      </c>
      <c r="E1326" t="s">
        <v>10</v>
      </c>
      <c r="F1326">
        <v>3928.65</v>
      </c>
      <c r="G1326" t="str" cm="1">
        <f t="array" ref="G1326">IF(AND(ISNUMBER(SEARCH("UBER",C1326)),ISNUMBER(SEARCH("EATS",C1326))),"Uber Eats",IF(LEFT(C1326,6)="CHECK ","Checks Paid",IF(OR(E1326="BILLPAY",ISNUMBER(SEARCH("FRANCHISE TAX",C1326)),ISNUMBER(SEARCH("NEXTLINK",C1326))),"Personal - House Bills",IF(AND(ISNUMBER(SEARCH("PAYMENT FROM",C1326)),ISNUMBER(SEARCH("JOE SAUNDERS",C1326))),"Zelle from Joe Saunders",IF(AND(ISNUMBER(SEARCH("PAYMENT TO",C1326)),ISNUMBER(SEARCH("JOE SAUNDERS",C1326))),"Zelle to Joe Saunders",IF(OR(ISNUMBER(SEARCH("NEW ORLEANS",C1326)),ISNUMBER(SEARCH("KENNER",C1326)),ISNUMBER(SEARCH("HENRY HOWARD",C1326)),ISNUMBER(SEARCH("MISS CLAUDIA",C1326))),"Personal Travel - New Orleans",IF(AND(YEAR(B1326)=2025,MONTH(B1326)=4,OR(ISNUMBER(SEARCH("EXCHANGE RATE",C1326)),ISNUMBER(SEARCH("EXCHG RTE",C1326)))),"Personal Travel - Italy",IFERROR(INDEX('Category Rules'!$B$2:$B$358,MATCH(TRUE,ISNUMBER(SEARCH('Category Rules'!$A$2:$A$358,C1326)),0)),""))))))))</f>
        <v>Amazon</v>
      </c>
    </row>
    <row r="1327" spans="1:7" x14ac:dyDescent="0.25">
      <c r="A1327" t="s">
        <v>6</v>
      </c>
      <c r="B1327" s="1">
        <v>45831</v>
      </c>
      <c r="C1327" t="s">
        <v>1247</v>
      </c>
      <c r="D1327">
        <v>-70.72</v>
      </c>
      <c r="E1327" t="s">
        <v>10</v>
      </c>
      <c r="F1327">
        <v>4206.17</v>
      </c>
      <c r="G1327" t="str" cm="1">
        <f t="array" ref="G1327">IF(AND(ISNUMBER(SEARCH("UBER",C1327)),ISNUMBER(SEARCH("EATS",C1327))),"Uber Eats",IF(LEFT(C1327,6)="CHECK ","Checks Paid",IF(OR(E1327="BILLPAY",ISNUMBER(SEARCH("FRANCHISE TAX",C1327)),ISNUMBER(SEARCH("NEXTLINK",C1327))),"Personal - House Bills",IF(AND(ISNUMBER(SEARCH("PAYMENT FROM",C1327)),ISNUMBER(SEARCH("JOE SAUNDERS",C1327))),"Zelle from Joe Saunders",IF(AND(ISNUMBER(SEARCH("PAYMENT TO",C1327)),ISNUMBER(SEARCH("JOE SAUNDERS",C1327))),"Zelle to Joe Saunders",IF(OR(ISNUMBER(SEARCH("NEW ORLEANS",C1327)),ISNUMBER(SEARCH("KENNER",C1327)),ISNUMBER(SEARCH("HENRY HOWARD",C1327)),ISNUMBER(SEARCH("MISS CLAUDIA",C1327))),"Personal Travel - New Orleans",IF(AND(YEAR(B1327)=2025,MONTH(B1327)=4,OR(ISNUMBER(SEARCH("EXCHANGE RATE",C1327)),ISNUMBER(SEARCH("EXCHG RTE",C1327)))),"Personal Travel - Italy",IFERROR(INDEX('Category Rules'!$B$2:$B$358,MATCH(TRUE,ISNUMBER(SEARCH('Category Rules'!$A$2:$A$358,C1327)),0)),""))))))))</f>
        <v>Personal - Entertainment</v>
      </c>
    </row>
    <row r="1328" spans="1:7" x14ac:dyDescent="0.25">
      <c r="A1328" t="s">
        <v>6</v>
      </c>
      <c r="B1328" s="1">
        <v>45831</v>
      </c>
      <c r="C1328" t="s">
        <v>1248</v>
      </c>
      <c r="D1328">
        <v>-86.68</v>
      </c>
      <c r="E1328" t="s">
        <v>10</v>
      </c>
      <c r="F1328">
        <v>4276.8900000000003</v>
      </c>
      <c r="G1328" t="str" cm="1">
        <f t="array" ref="G1328">IF(AND(ISNUMBER(SEARCH("UBER",C1328)),ISNUMBER(SEARCH("EATS",C1328))),"Uber Eats",IF(LEFT(C1328,6)="CHECK ","Checks Paid",IF(OR(E1328="BILLPAY",ISNUMBER(SEARCH("FRANCHISE TAX",C1328)),ISNUMBER(SEARCH("NEXTLINK",C1328))),"Personal - House Bills",IF(AND(ISNUMBER(SEARCH("PAYMENT FROM",C1328)),ISNUMBER(SEARCH("JOE SAUNDERS",C1328))),"Zelle from Joe Saunders",IF(AND(ISNUMBER(SEARCH("PAYMENT TO",C1328)),ISNUMBER(SEARCH("JOE SAUNDERS",C1328))),"Zelle to Joe Saunders",IF(OR(ISNUMBER(SEARCH("NEW ORLEANS",C1328)),ISNUMBER(SEARCH("KENNER",C1328)),ISNUMBER(SEARCH("HENRY HOWARD",C1328)),ISNUMBER(SEARCH("MISS CLAUDIA",C1328))),"Personal Travel - New Orleans",IF(AND(YEAR(B1328)=2025,MONTH(B1328)=4,OR(ISNUMBER(SEARCH("EXCHANGE RATE",C1328)),ISNUMBER(SEARCH("EXCHG RTE",C1328)))),"Personal Travel - Italy",IFERROR(INDEX('Category Rules'!$B$2:$B$358,MATCH(TRUE,ISNUMBER(SEARCH('Category Rules'!$A$2:$A$358,C1328)),0)),""))))))))</f>
        <v>Amazon</v>
      </c>
    </row>
    <row r="1329" spans="1:7" x14ac:dyDescent="0.25">
      <c r="A1329" t="s">
        <v>6</v>
      </c>
      <c r="B1329" s="1">
        <v>45831</v>
      </c>
      <c r="C1329" t="s">
        <v>1249</v>
      </c>
      <c r="D1329">
        <v>-37.299999999999997</v>
      </c>
      <c r="E1329" t="s">
        <v>10</v>
      </c>
      <c r="F1329">
        <v>4363.57</v>
      </c>
      <c r="G1329" t="str" cm="1">
        <f t="array" ref="G1329">IF(AND(ISNUMBER(SEARCH("UBER",C1329)),ISNUMBER(SEARCH("EATS",C1329))),"Uber Eats",IF(LEFT(C1329,6)="CHECK ","Checks Paid",IF(OR(E1329="BILLPAY",ISNUMBER(SEARCH("FRANCHISE TAX",C1329)),ISNUMBER(SEARCH("NEXTLINK",C1329))),"Personal - House Bills",IF(AND(ISNUMBER(SEARCH("PAYMENT FROM",C1329)),ISNUMBER(SEARCH("JOE SAUNDERS",C1329))),"Zelle from Joe Saunders",IF(AND(ISNUMBER(SEARCH("PAYMENT TO",C1329)),ISNUMBER(SEARCH("JOE SAUNDERS",C1329))),"Zelle to Joe Saunders",IF(OR(ISNUMBER(SEARCH("NEW ORLEANS",C1329)),ISNUMBER(SEARCH("KENNER",C1329)),ISNUMBER(SEARCH("HENRY HOWARD",C1329)),ISNUMBER(SEARCH("MISS CLAUDIA",C1329))),"Personal Travel - New Orleans",IF(AND(YEAR(B1329)=2025,MONTH(B1329)=4,OR(ISNUMBER(SEARCH("EXCHANGE RATE",C1329)),ISNUMBER(SEARCH("EXCHG RTE",C1329)))),"Personal Travel - Italy",IFERROR(INDEX('Category Rules'!$B$2:$B$358,MATCH(TRUE,ISNUMBER(SEARCH('Category Rules'!$A$2:$A$358,C1329)),0)),""))))))))</f>
        <v>Amazon</v>
      </c>
    </row>
    <row r="1330" spans="1:7" x14ac:dyDescent="0.25">
      <c r="A1330" t="s">
        <v>6</v>
      </c>
      <c r="B1330" s="1">
        <v>45831</v>
      </c>
      <c r="C1330" t="s">
        <v>1250</v>
      </c>
      <c r="D1330">
        <v>-294.95999999999998</v>
      </c>
      <c r="E1330" t="s">
        <v>10</v>
      </c>
      <c r="F1330">
        <v>4400.87</v>
      </c>
      <c r="G1330" t="str" cm="1">
        <f t="array" ref="G1330">IF(AND(ISNUMBER(SEARCH("UBER",C1330)),ISNUMBER(SEARCH("EATS",C1330))),"Uber Eats",IF(LEFT(C1330,6)="CHECK ","Checks Paid",IF(OR(E1330="BILLPAY",ISNUMBER(SEARCH("FRANCHISE TAX",C1330)),ISNUMBER(SEARCH("NEXTLINK",C1330))),"Personal - House Bills",IF(AND(ISNUMBER(SEARCH("PAYMENT FROM",C1330)),ISNUMBER(SEARCH("JOE SAUNDERS",C1330))),"Zelle from Joe Saunders",IF(AND(ISNUMBER(SEARCH("PAYMENT TO",C1330)),ISNUMBER(SEARCH("JOE SAUNDERS",C1330))),"Zelle to Joe Saunders",IF(OR(ISNUMBER(SEARCH("NEW ORLEANS",C1330)),ISNUMBER(SEARCH("KENNER",C1330)),ISNUMBER(SEARCH("HENRY HOWARD",C1330)),ISNUMBER(SEARCH("MISS CLAUDIA",C1330))),"Personal Travel - New Orleans",IF(AND(YEAR(B1330)=2025,MONTH(B1330)=4,OR(ISNUMBER(SEARCH("EXCHANGE RATE",C1330)),ISNUMBER(SEARCH("EXCHG RTE",C1330)))),"Personal Travel - Italy",IFERROR(INDEX('Category Rules'!$B$2:$B$358,MATCH(TRUE,ISNUMBER(SEARCH('Category Rules'!$A$2:$A$358,C1330)),0)),""))))))))</f>
        <v>Personal - Shopping</v>
      </c>
    </row>
    <row r="1331" spans="1:7" x14ac:dyDescent="0.25">
      <c r="A1331" t="s">
        <v>6</v>
      </c>
      <c r="B1331" s="1">
        <v>45831</v>
      </c>
      <c r="C1331" t="s">
        <v>1251</v>
      </c>
      <c r="D1331">
        <v>-147.02000000000001</v>
      </c>
      <c r="E1331" t="s">
        <v>10</v>
      </c>
      <c r="F1331">
        <v>4695.83</v>
      </c>
      <c r="G1331" t="str" cm="1">
        <f t="array" ref="G1331">IF(AND(ISNUMBER(SEARCH("UBER",C1331)),ISNUMBER(SEARCH("EATS",C1331))),"Uber Eats",IF(LEFT(C1331,6)="CHECK ","Checks Paid",IF(OR(E1331="BILLPAY",ISNUMBER(SEARCH("FRANCHISE TAX",C1331)),ISNUMBER(SEARCH("NEXTLINK",C1331))),"Personal - House Bills",IF(AND(ISNUMBER(SEARCH("PAYMENT FROM",C1331)),ISNUMBER(SEARCH("JOE SAUNDERS",C1331))),"Zelle from Joe Saunders",IF(AND(ISNUMBER(SEARCH("PAYMENT TO",C1331)),ISNUMBER(SEARCH("JOE SAUNDERS",C1331))),"Zelle to Joe Saunders",IF(OR(ISNUMBER(SEARCH("NEW ORLEANS",C1331)),ISNUMBER(SEARCH("KENNER",C1331)),ISNUMBER(SEARCH("HENRY HOWARD",C1331)),ISNUMBER(SEARCH("MISS CLAUDIA",C1331))),"Personal Travel - New Orleans",IF(AND(YEAR(B1331)=2025,MONTH(B1331)=4,OR(ISNUMBER(SEARCH("EXCHANGE RATE",C1331)),ISNUMBER(SEARCH("EXCHG RTE",C1331)))),"Personal Travel - Italy",IFERROR(INDEX('Category Rules'!$B$2:$B$358,MATCH(TRUE,ISNUMBER(SEARCH('Category Rules'!$A$2:$A$358,C1331)),0)),""))))))))</f>
        <v>Personal - Shopping</v>
      </c>
    </row>
    <row r="1332" spans="1:7" x14ac:dyDescent="0.25">
      <c r="A1332" t="s">
        <v>6</v>
      </c>
      <c r="B1332" s="1">
        <v>45831</v>
      </c>
      <c r="C1332" t="s">
        <v>1252</v>
      </c>
      <c r="D1332">
        <v>-81.92</v>
      </c>
      <c r="E1332" t="s">
        <v>10</v>
      </c>
      <c r="F1332">
        <v>4842.8500000000004</v>
      </c>
      <c r="G1332" t="str" cm="1">
        <f t="array" ref="G1332">IF(AND(ISNUMBER(SEARCH("UBER",C1332)),ISNUMBER(SEARCH("EATS",C1332))),"Uber Eats",IF(LEFT(C1332,6)="CHECK ","Checks Paid",IF(OR(E1332="BILLPAY",ISNUMBER(SEARCH("FRANCHISE TAX",C1332)),ISNUMBER(SEARCH("NEXTLINK",C1332))),"Personal - House Bills",IF(AND(ISNUMBER(SEARCH("PAYMENT FROM",C1332)),ISNUMBER(SEARCH("JOE SAUNDERS",C1332))),"Zelle from Joe Saunders",IF(AND(ISNUMBER(SEARCH("PAYMENT TO",C1332)),ISNUMBER(SEARCH("JOE SAUNDERS",C1332))),"Zelle to Joe Saunders",IF(OR(ISNUMBER(SEARCH("NEW ORLEANS",C1332)),ISNUMBER(SEARCH("KENNER",C1332)),ISNUMBER(SEARCH("HENRY HOWARD",C1332)),ISNUMBER(SEARCH("MISS CLAUDIA",C1332))),"Personal Travel - New Orleans",IF(AND(YEAR(B1332)=2025,MONTH(B1332)=4,OR(ISNUMBER(SEARCH("EXCHANGE RATE",C1332)),ISNUMBER(SEARCH("EXCHG RTE",C1332)))),"Personal Travel - Italy",IFERROR(INDEX('Category Rules'!$B$2:$B$358,MATCH(TRUE,ISNUMBER(SEARCH('Category Rules'!$A$2:$A$358,C1332)),0)),""))))))))</f>
        <v>Uber Eats</v>
      </c>
    </row>
    <row r="1333" spans="1:7" x14ac:dyDescent="0.25">
      <c r="A1333" t="s">
        <v>6</v>
      </c>
      <c r="B1333" s="1">
        <v>45831</v>
      </c>
      <c r="C1333" t="s">
        <v>1253</v>
      </c>
      <c r="D1333">
        <v>-265.20999999999998</v>
      </c>
      <c r="E1333" t="s">
        <v>10</v>
      </c>
      <c r="F1333">
        <v>4924.7700000000004</v>
      </c>
      <c r="G1333" t="str" cm="1">
        <f t="array" ref="G1333">IF(AND(ISNUMBER(SEARCH("UBER",C1333)),ISNUMBER(SEARCH("EATS",C1333))),"Uber Eats",IF(LEFT(C1333,6)="CHECK ","Checks Paid",IF(OR(E1333="BILLPAY",ISNUMBER(SEARCH("FRANCHISE TAX",C1333)),ISNUMBER(SEARCH("NEXTLINK",C1333))),"Personal - House Bills",IF(AND(ISNUMBER(SEARCH("PAYMENT FROM",C1333)),ISNUMBER(SEARCH("JOE SAUNDERS",C1333))),"Zelle from Joe Saunders",IF(AND(ISNUMBER(SEARCH("PAYMENT TO",C1333)),ISNUMBER(SEARCH("JOE SAUNDERS",C1333))),"Zelle to Joe Saunders",IF(OR(ISNUMBER(SEARCH("NEW ORLEANS",C1333)),ISNUMBER(SEARCH("KENNER",C1333)),ISNUMBER(SEARCH("HENRY HOWARD",C1333)),ISNUMBER(SEARCH("MISS CLAUDIA",C1333))),"Personal Travel - New Orleans",IF(AND(YEAR(B1333)=2025,MONTH(B1333)=4,OR(ISNUMBER(SEARCH("EXCHANGE RATE",C1333)),ISNUMBER(SEARCH("EXCHG RTE",C1333)))),"Personal Travel - Italy",IFERROR(INDEX('Category Rules'!$B$2:$B$358,MATCH(TRUE,ISNUMBER(SEARCH('Category Rules'!$A$2:$A$358,C1333)),0)),""))))))))</f>
        <v>Personal - House Bills</v>
      </c>
    </row>
    <row r="1334" spans="1:7" x14ac:dyDescent="0.25">
      <c r="A1334" t="s">
        <v>6</v>
      </c>
      <c r="B1334" s="1">
        <v>45831</v>
      </c>
      <c r="C1334" t="s">
        <v>1254</v>
      </c>
      <c r="D1334">
        <v>-32.76</v>
      </c>
      <c r="E1334" t="s">
        <v>10</v>
      </c>
      <c r="F1334">
        <v>5189.9799999999996</v>
      </c>
      <c r="G1334" t="str" cm="1">
        <f t="array" ref="G1334">IF(AND(ISNUMBER(SEARCH("UBER",C1334)),ISNUMBER(SEARCH("EATS",C1334))),"Uber Eats",IF(LEFT(C1334,6)="CHECK ","Checks Paid",IF(OR(E1334="BILLPAY",ISNUMBER(SEARCH("FRANCHISE TAX",C1334)),ISNUMBER(SEARCH("NEXTLINK",C1334))),"Personal - House Bills",IF(AND(ISNUMBER(SEARCH("PAYMENT FROM",C1334)),ISNUMBER(SEARCH("JOE SAUNDERS",C1334))),"Zelle from Joe Saunders",IF(AND(ISNUMBER(SEARCH("PAYMENT TO",C1334)),ISNUMBER(SEARCH("JOE SAUNDERS",C1334))),"Zelle to Joe Saunders",IF(OR(ISNUMBER(SEARCH("NEW ORLEANS",C1334)),ISNUMBER(SEARCH("KENNER",C1334)),ISNUMBER(SEARCH("HENRY HOWARD",C1334)),ISNUMBER(SEARCH("MISS CLAUDIA",C1334))),"Personal Travel - New Orleans",IF(AND(YEAR(B1334)=2025,MONTH(B1334)=4,OR(ISNUMBER(SEARCH("EXCHANGE RATE",C1334)),ISNUMBER(SEARCH("EXCHG RTE",C1334)))),"Personal Travel - Italy",IFERROR(INDEX('Category Rules'!$B$2:$B$358,MATCH(TRUE,ISNUMBER(SEARCH('Category Rules'!$A$2:$A$358,C1334)),0)),""))))))))</f>
        <v>Amazon</v>
      </c>
    </row>
    <row r="1335" spans="1:7" x14ac:dyDescent="0.25">
      <c r="A1335" t="s">
        <v>6</v>
      </c>
      <c r="B1335" s="1">
        <v>45831</v>
      </c>
      <c r="C1335" t="s">
        <v>1255</v>
      </c>
      <c r="D1335">
        <v>-112.92</v>
      </c>
      <c r="E1335" t="s">
        <v>10</v>
      </c>
      <c r="F1335">
        <v>5222.74</v>
      </c>
      <c r="G1335" t="str" cm="1">
        <f t="array" ref="G1335">IF(AND(ISNUMBER(SEARCH("UBER",C1335)),ISNUMBER(SEARCH("EATS",C1335))),"Uber Eats",IF(LEFT(C1335,6)="CHECK ","Checks Paid",IF(OR(E1335="BILLPAY",ISNUMBER(SEARCH("FRANCHISE TAX",C1335)),ISNUMBER(SEARCH("NEXTLINK",C1335))),"Personal - House Bills",IF(AND(ISNUMBER(SEARCH("PAYMENT FROM",C1335)),ISNUMBER(SEARCH("JOE SAUNDERS",C1335))),"Zelle from Joe Saunders",IF(AND(ISNUMBER(SEARCH("PAYMENT TO",C1335)),ISNUMBER(SEARCH("JOE SAUNDERS",C1335))),"Zelle to Joe Saunders",IF(OR(ISNUMBER(SEARCH("NEW ORLEANS",C1335)),ISNUMBER(SEARCH("KENNER",C1335)),ISNUMBER(SEARCH("HENRY HOWARD",C1335)),ISNUMBER(SEARCH("MISS CLAUDIA",C1335))),"Personal Travel - New Orleans",IF(AND(YEAR(B1335)=2025,MONTH(B1335)=4,OR(ISNUMBER(SEARCH("EXCHANGE RATE",C1335)),ISNUMBER(SEARCH("EXCHG RTE",C1335)))),"Personal Travel - Italy",IFERROR(INDEX('Category Rules'!$B$2:$B$358,MATCH(TRUE,ISNUMBER(SEARCH('Category Rules'!$A$2:$A$358,C1335)),0)),""))))))))</f>
        <v>Personal - Health</v>
      </c>
    </row>
    <row r="1336" spans="1:7" x14ac:dyDescent="0.25">
      <c r="A1336" t="s">
        <v>6</v>
      </c>
      <c r="B1336" s="1">
        <v>45831</v>
      </c>
      <c r="C1336" t="s">
        <v>1256</v>
      </c>
      <c r="D1336">
        <v>-109.7</v>
      </c>
      <c r="E1336" t="s">
        <v>10</v>
      </c>
      <c r="F1336">
        <v>5335.66</v>
      </c>
      <c r="G1336" t="str" cm="1">
        <f t="array" ref="G1336">IF(AND(ISNUMBER(SEARCH("UBER",C1336)),ISNUMBER(SEARCH("EATS",C1336))),"Uber Eats",IF(LEFT(C1336,6)="CHECK ","Checks Paid",IF(OR(E1336="BILLPAY",ISNUMBER(SEARCH("FRANCHISE TAX",C1336)),ISNUMBER(SEARCH("NEXTLINK",C1336))),"Personal - House Bills",IF(AND(ISNUMBER(SEARCH("PAYMENT FROM",C1336)),ISNUMBER(SEARCH("JOE SAUNDERS",C1336))),"Zelle from Joe Saunders",IF(AND(ISNUMBER(SEARCH("PAYMENT TO",C1336)),ISNUMBER(SEARCH("JOE SAUNDERS",C1336))),"Zelle to Joe Saunders",IF(OR(ISNUMBER(SEARCH("NEW ORLEANS",C1336)),ISNUMBER(SEARCH("KENNER",C1336)),ISNUMBER(SEARCH("HENRY HOWARD",C1336)),ISNUMBER(SEARCH("MISS CLAUDIA",C1336))),"Personal Travel - New Orleans",IF(AND(YEAR(B1336)=2025,MONTH(B1336)=4,OR(ISNUMBER(SEARCH("EXCHANGE RATE",C1336)),ISNUMBER(SEARCH("EXCHG RTE",C1336)))),"Personal Travel - Italy",IFERROR(INDEX('Category Rules'!$B$2:$B$358,MATCH(TRUE,ISNUMBER(SEARCH('Category Rules'!$A$2:$A$358,C1336)),0)),""))))))))</f>
        <v>Amazon</v>
      </c>
    </row>
    <row r="1337" spans="1:7" x14ac:dyDescent="0.25">
      <c r="A1337" t="s">
        <v>6</v>
      </c>
      <c r="B1337" s="1">
        <v>45831</v>
      </c>
      <c r="C1337" t="s">
        <v>1257</v>
      </c>
      <c r="D1337">
        <v>-149.96</v>
      </c>
      <c r="E1337" t="s">
        <v>10</v>
      </c>
      <c r="F1337">
        <v>5445.36</v>
      </c>
      <c r="G1337" t="str" cm="1">
        <f t="array" ref="G1337">IF(AND(ISNUMBER(SEARCH("UBER",C1337)),ISNUMBER(SEARCH("EATS",C1337))),"Uber Eats",IF(LEFT(C1337,6)="CHECK ","Checks Paid",IF(OR(E1337="BILLPAY",ISNUMBER(SEARCH("FRANCHISE TAX",C1337)),ISNUMBER(SEARCH("NEXTLINK",C1337))),"Personal - House Bills",IF(AND(ISNUMBER(SEARCH("PAYMENT FROM",C1337)),ISNUMBER(SEARCH("JOE SAUNDERS",C1337))),"Zelle from Joe Saunders",IF(AND(ISNUMBER(SEARCH("PAYMENT TO",C1337)),ISNUMBER(SEARCH("JOE SAUNDERS",C1337))),"Zelle to Joe Saunders",IF(OR(ISNUMBER(SEARCH("NEW ORLEANS",C1337)),ISNUMBER(SEARCH("KENNER",C1337)),ISNUMBER(SEARCH("HENRY HOWARD",C1337)),ISNUMBER(SEARCH("MISS CLAUDIA",C1337))),"Personal Travel - New Orleans",IF(AND(YEAR(B1337)=2025,MONTH(B1337)=4,OR(ISNUMBER(SEARCH("EXCHANGE RATE",C1337)),ISNUMBER(SEARCH("EXCHG RTE",C1337)))),"Personal Travel - Italy",IFERROR(INDEX('Category Rules'!$B$2:$B$358,MATCH(TRUE,ISNUMBER(SEARCH('Category Rules'!$A$2:$A$358,C1337)),0)),""))))))))</f>
        <v>Personal - House Bills</v>
      </c>
    </row>
    <row r="1338" spans="1:7" x14ac:dyDescent="0.25">
      <c r="A1338" t="s">
        <v>44</v>
      </c>
      <c r="B1338" s="1">
        <v>45831</v>
      </c>
      <c r="C1338" t="s">
        <v>1258</v>
      </c>
      <c r="D1338">
        <v>100</v>
      </c>
      <c r="E1338" t="s">
        <v>464</v>
      </c>
      <c r="F1338">
        <v>5595.32</v>
      </c>
      <c r="G1338" t="str" cm="1">
        <f t="array" ref="G1338">IF(AND(ISNUMBER(SEARCH("UBER",C1338)),ISNUMBER(SEARCH("EATS",C1338))),"Uber Eats",IF(LEFT(C1338,6)="CHECK ","Checks Paid",IF(OR(E1338="BILLPAY",ISNUMBER(SEARCH("FRANCHISE TAX",C1338)),ISNUMBER(SEARCH("NEXTLINK",C1338))),"Personal - House Bills",IF(AND(ISNUMBER(SEARCH("PAYMENT FROM",C1338)),ISNUMBER(SEARCH("JOE SAUNDERS",C1338))),"Zelle from Joe Saunders",IF(AND(ISNUMBER(SEARCH("PAYMENT TO",C1338)),ISNUMBER(SEARCH("JOE SAUNDERS",C1338))),"Zelle to Joe Saunders",IF(OR(ISNUMBER(SEARCH("NEW ORLEANS",C1338)),ISNUMBER(SEARCH("KENNER",C1338)),ISNUMBER(SEARCH("HENRY HOWARD",C1338)),ISNUMBER(SEARCH("MISS CLAUDIA",C1338))),"Personal Travel - New Orleans",IF(AND(YEAR(B1338)=2025,MONTH(B1338)=4,OR(ISNUMBER(SEARCH("EXCHANGE RATE",C1338)),ISNUMBER(SEARCH("EXCHG RTE",C1338)))),"Personal Travel - Italy",IFERROR(INDEX('Category Rules'!$B$2:$B$358,MATCH(TRUE,ISNUMBER(SEARCH('Category Rules'!$A$2:$A$358,C1338)),0)),""))))))))</f>
        <v>Zelle from Tanya Miller</v>
      </c>
    </row>
    <row r="1339" spans="1:7" x14ac:dyDescent="0.25">
      <c r="A1339" t="s">
        <v>44</v>
      </c>
      <c r="B1339" s="1">
        <v>45831</v>
      </c>
      <c r="C1339" t="s">
        <v>1259</v>
      </c>
      <c r="D1339">
        <v>3000</v>
      </c>
      <c r="E1339" t="s">
        <v>73</v>
      </c>
      <c r="F1339">
        <v>5495.32</v>
      </c>
      <c r="G1339" t="str" cm="1">
        <f t="array" ref="G1339">IF(AND(ISNUMBER(SEARCH("UBER",C1339)),ISNUMBER(SEARCH("EATS",C1339))),"Uber Eats",IF(LEFT(C1339,6)="CHECK ","Checks Paid",IF(OR(E1339="BILLPAY",ISNUMBER(SEARCH("FRANCHISE TAX",C1339)),ISNUMBER(SEARCH("NEXTLINK",C1339))),"Personal - House Bills",IF(AND(ISNUMBER(SEARCH("PAYMENT FROM",C1339)),ISNUMBER(SEARCH("JOE SAUNDERS",C1339))),"Zelle from Joe Saunders",IF(AND(ISNUMBER(SEARCH("PAYMENT TO",C1339)),ISNUMBER(SEARCH("JOE SAUNDERS",C1339))),"Zelle to Joe Saunders",IF(OR(ISNUMBER(SEARCH("NEW ORLEANS",C1339)),ISNUMBER(SEARCH("KENNER",C1339)),ISNUMBER(SEARCH("HENRY HOWARD",C1339)),ISNUMBER(SEARCH("MISS CLAUDIA",C1339))),"Personal Travel - New Orleans",IF(AND(YEAR(B1339)=2025,MONTH(B1339)=4,OR(ISNUMBER(SEARCH("EXCHANGE RATE",C1339)),ISNUMBER(SEARCH("EXCHG RTE",C1339)))),"Personal Travel - Italy",IFERROR(INDEX('Category Rules'!$B$2:$B$358,MATCH(TRUE,ISNUMBER(SEARCH('Category Rules'!$A$2:$A$358,C1339)),0)),""))))))))</f>
        <v>Transfer from DWG Capital Group</v>
      </c>
    </row>
    <row r="1340" spans="1:7" x14ac:dyDescent="0.25">
      <c r="A1340" t="s">
        <v>6</v>
      </c>
      <c r="B1340" s="1">
        <v>45828</v>
      </c>
      <c r="C1340" t="s">
        <v>1260</v>
      </c>
      <c r="D1340">
        <v>-1000</v>
      </c>
      <c r="E1340" t="s">
        <v>93</v>
      </c>
      <c r="F1340">
        <v>2495.3200000000002</v>
      </c>
      <c r="G1340" t="str" cm="1">
        <f t="array" ref="G1340">IF(AND(ISNUMBER(SEARCH("UBER",C1340)),ISNUMBER(SEARCH("EATS",C1340))),"Uber Eats",IF(LEFT(C1340,6)="CHECK ","Checks Paid",IF(OR(E1340="BILLPAY",ISNUMBER(SEARCH("FRANCHISE TAX",C1340)),ISNUMBER(SEARCH("NEXTLINK",C1340))),"Personal - House Bills",IF(AND(ISNUMBER(SEARCH("PAYMENT FROM",C1340)),ISNUMBER(SEARCH("JOE SAUNDERS",C1340))),"Zelle from Joe Saunders",IF(AND(ISNUMBER(SEARCH("PAYMENT TO",C1340)),ISNUMBER(SEARCH("JOE SAUNDERS",C1340))),"Zelle to Joe Saunders",IF(OR(ISNUMBER(SEARCH("NEW ORLEANS",C1340)),ISNUMBER(SEARCH("KENNER",C1340)),ISNUMBER(SEARCH("HENRY HOWARD",C1340)),ISNUMBER(SEARCH("MISS CLAUDIA",C1340))),"Personal Travel - New Orleans",IF(AND(YEAR(B1340)=2025,MONTH(B1340)=4,OR(ISNUMBER(SEARCH("EXCHANGE RATE",C1340)),ISNUMBER(SEARCH("EXCHG RTE",C1340)))),"Personal Travel - Italy",IFERROR(INDEX('Category Rules'!$B$2:$B$358,MATCH(TRUE,ISNUMBER(SEARCH('Category Rules'!$A$2:$A$358,C1340)),0)),""))))))))</f>
        <v>Withdrawal</v>
      </c>
    </row>
    <row r="1341" spans="1:7" x14ac:dyDescent="0.25">
      <c r="A1341" t="s">
        <v>6</v>
      </c>
      <c r="B1341" s="1">
        <v>45828</v>
      </c>
      <c r="C1341" t="s">
        <v>1261</v>
      </c>
      <c r="D1341">
        <v>-500</v>
      </c>
      <c r="E1341" t="s">
        <v>39</v>
      </c>
      <c r="F1341">
        <v>3495.32</v>
      </c>
      <c r="G1341" t="str" cm="1">
        <f t="array" ref="G1341">IF(AND(ISNUMBER(SEARCH("UBER",C1341)),ISNUMBER(SEARCH("EATS",C1341))),"Uber Eats",IF(LEFT(C1341,6)="CHECK ","Checks Paid",IF(OR(E1341="BILLPAY",ISNUMBER(SEARCH("FRANCHISE TAX",C1341)),ISNUMBER(SEARCH("NEXTLINK",C1341))),"Personal - House Bills",IF(AND(ISNUMBER(SEARCH("PAYMENT FROM",C1341)),ISNUMBER(SEARCH("JOE SAUNDERS",C1341))),"Zelle from Joe Saunders",IF(AND(ISNUMBER(SEARCH("PAYMENT TO",C1341)),ISNUMBER(SEARCH("JOE SAUNDERS",C1341))),"Zelle to Joe Saunders",IF(OR(ISNUMBER(SEARCH("NEW ORLEANS",C1341)),ISNUMBER(SEARCH("KENNER",C1341)),ISNUMBER(SEARCH("HENRY HOWARD",C1341)),ISNUMBER(SEARCH("MISS CLAUDIA",C1341))),"Personal Travel - New Orleans",IF(AND(YEAR(B1341)=2025,MONTH(B1341)=4,OR(ISNUMBER(SEARCH("EXCHANGE RATE",C1341)),ISNUMBER(SEARCH("EXCHG RTE",C1341)))),"Personal Travel - Italy",IFERROR(INDEX('Category Rules'!$B$2:$B$358,MATCH(TRUE,ISNUMBER(SEARCH('Category Rules'!$A$2:$A$358,C1341)),0)),""))))))))</f>
        <v>Zelle to Angela Dunning</v>
      </c>
    </row>
    <row r="1342" spans="1:7" x14ac:dyDescent="0.25">
      <c r="A1342" t="s">
        <v>6</v>
      </c>
      <c r="B1342" s="1">
        <v>45828</v>
      </c>
      <c r="C1342" t="s">
        <v>1262</v>
      </c>
      <c r="D1342">
        <v>-71.2</v>
      </c>
      <c r="E1342" t="s">
        <v>10</v>
      </c>
      <c r="F1342">
        <v>3995.32</v>
      </c>
      <c r="G1342" t="str" cm="1">
        <f t="array" ref="G1342">IF(AND(ISNUMBER(SEARCH("UBER",C1342)),ISNUMBER(SEARCH("EATS",C1342))),"Uber Eats",IF(LEFT(C1342,6)="CHECK ","Checks Paid",IF(OR(E1342="BILLPAY",ISNUMBER(SEARCH("FRANCHISE TAX",C1342)),ISNUMBER(SEARCH("NEXTLINK",C1342))),"Personal - House Bills",IF(AND(ISNUMBER(SEARCH("PAYMENT FROM",C1342)),ISNUMBER(SEARCH("JOE SAUNDERS",C1342))),"Zelle from Joe Saunders",IF(AND(ISNUMBER(SEARCH("PAYMENT TO",C1342)),ISNUMBER(SEARCH("JOE SAUNDERS",C1342))),"Zelle to Joe Saunders",IF(OR(ISNUMBER(SEARCH("NEW ORLEANS",C1342)),ISNUMBER(SEARCH("KENNER",C1342)),ISNUMBER(SEARCH("HENRY HOWARD",C1342)),ISNUMBER(SEARCH("MISS CLAUDIA",C1342))),"Personal Travel - New Orleans",IF(AND(YEAR(B1342)=2025,MONTH(B1342)=4,OR(ISNUMBER(SEARCH("EXCHANGE RATE",C1342)),ISNUMBER(SEARCH("EXCHG RTE",C1342)))),"Personal Travel - Italy",IFERROR(INDEX('Category Rules'!$B$2:$B$358,MATCH(TRUE,ISNUMBER(SEARCH('Category Rules'!$A$2:$A$358,C1342)),0)),""))))))))</f>
        <v>Uber Eats</v>
      </c>
    </row>
    <row r="1343" spans="1:7" x14ac:dyDescent="0.25">
      <c r="A1343" t="s">
        <v>6</v>
      </c>
      <c r="B1343" s="1">
        <v>45828</v>
      </c>
      <c r="C1343" t="s">
        <v>1263</v>
      </c>
      <c r="D1343">
        <v>-23.59</v>
      </c>
      <c r="E1343" t="s">
        <v>10</v>
      </c>
      <c r="F1343">
        <v>4066.52</v>
      </c>
      <c r="G1343" t="str" cm="1">
        <f t="array" ref="G1343">IF(AND(ISNUMBER(SEARCH("UBER",C1343)),ISNUMBER(SEARCH("EATS",C1343))),"Uber Eats",IF(LEFT(C1343,6)="CHECK ","Checks Paid",IF(OR(E1343="BILLPAY",ISNUMBER(SEARCH("FRANCHISE TAX",C1343)),ISNUMBER(SEARCH("NEXTLINK",C1343))),"Personal - House Bills",IF(AND(ISNUMBER(SEARCH("PAYMENT FROM",C1343)),ISNUMBER(SEARCH("JOE SAUNDERS",C1343))),"Zelle from Joe Saunders",IF(AND(ISNUMBER(SEARCH("PAYMENT TO",C1343)),ISNUMBER(SEARCH("JOE SAUNDERS",C1343))),"Zelle to Joe Saunders",IF(OR(ISNUMBER(SEARCH("NEW ORLEANS",C1343)),ISNUMBER(SEARCH("KENNER",C1343)),ISNUMBER(SEARCH("HENRY HOWARD",C1343)),ISNUMBER(SEARCH("MISS CLAUDIA",C1343))),"Personal Travel - New Orleans",IF(AND(YEAR(B1343)=2025,MONTH(B1343)=4,OR(ISNUMBER(SEARCH("EXCHANGE RATE",C1343)),ISNUMBER(SEARCH("EXCHG RTE",C1343)))),"Personal Travel - Italy",IFERROR(INDEX('Category Rules'!$B$2:$B$358,MATCH(TRUE,ISNUMBER(SEARCH('Category Rules'!$A$2:$A$358,C1343)),0)),""))))))))</f>
        <v>Amazon</v>
      </c>
    </row>
    <row r="1344" spans="1:7" x14ac:dyDescent="0.25">
      <c r="A1344" t="s">
        <v>6</v>
      </c>
      <c r="B1344" s="1">
        <v>45828</v>
      </c>
      <c r="C1344" t="s">
        <v>1264</v>
      </c>
      <c r="D1344">
        <v>-312</v>
      </c>
      <c r="E1344" t="s">
        <v>10</v>
      </c>
      <c r="F1344">
        <v>4090.11</v>
      </c>
      <c r="G1344" t="str" cm="1">
        <f t="array" ref="G1344">IF(AND(ISNUMBER(SEARCH("UBER",C1344)),ISNUMBER(SEARCH("EATS",C1344))),"Uber Eats",IF(LEFT(C1344,6)="CHECK ","Checks Paid",IF(OR(E1344="BILLPAY",ISNUMBER(SEARCH("FRANCHISE TAX",C1344)),ISNUMBER(SEARCH("NEXTLINK",C1344))),"Personal - House Bills",IF(AND(ISNUMBER(SEARCH("PAYMENT FROM",C1344)),ISNUMBER(SEARCH("JOE SAUNDERS",C1344))),"Zelle from Joe Saunders",IF(AND(ISNUMBER(SEARCH("PAYMENT TO",C1344)),ISNUMBER(SEARCH("JOE SAUNDERS",C1344))),"Zelle to Joe Saunders",IF(OR(ISNUMBER(SEARCH("NEW ORLEANS",C1344)),ISNUMBER(SEARCH("KENNER",C1344)),ISNUMBER(SEARCH("HENRY HOWARD",C1344)),ISNUMBER(SEARCH("MISS CLAUDIA",C1344))),"Personal Travel - New Orleans",IF(AND(YEAR(B1344)=2025,MONTH(B1344)=4,OR(ISNUMBER(SEARCH("EXCHANGE RATE",C1344)),ISNUMBER(SEARCH("EXCHG RTE",C1344)))),"Personal Travel - Italy",IFERROR(INDEX('Category Rules'!$B$2:$B$358,MATCH(TRUE,ISNUMBER(SEARCH('Category Rules'!$A$2:$A$358,C1344)),0)),""))))))))</f>
        <v>Personal - Entertainment</v>
      </c>
    </row>
    <row r="1345" spans="1:7" x14ac:dyDescent="0.25">
      <c r="A1345" t="s">
        <v>6</v>
      </c>
      <c r="B1345" s="1">
        <v>45828</v>
      </c>
      <c r="C1345" t="s">
        <v>1265</v>
      </c>
      <c r="D1345">
        <v>-696</v>
      </c>
      <c r="E1345" t="s">
        <v>10</v>
      </c>
      <c r="F1345">
        <v>4402.1099999999997</v>
      </c>
      <c r="G1345" t="str" cm="1">
        <f t="array" ref="G1345">IF(AND(ISNUMBER(SEARCH("UBER",C1345)),ISNUMBER(SEARCH("EATS",C1345))),"Uber Eats",IF(LEFT(C1345,6)="CHECK ","Checks Paid",IF(OR(E1345="BILLPAY",ISNUMBER(SEARCH("FRANCHISE TAX",C1345)),ISNUMBER(SEARCH("NEXTLINK",C1345))),"Personal - House Bills",IF(AND(ISNUMBER(SEARCH("PAYMENT FROM",C1345)),ISNUMBER(SEARCH("JOE SAUNDERS",C1345))),"Zelle from Joe Saunders",IF(AND(ISNUMBER(SEARCH("PAYMENT TO",C1345)),ISNUMBER(SEARCH("JOE SAUNDERS",C1345))),"Zelle to Joe Saunders",IF(OR(ISNUMBER(SEARCH("NEW ORLEANS",C1345)),ISNUMBER(SEARCH("KENNER",C1345)),ISNUMBER(SEARCH("HENRY HOWARD",C1345)),ISNUMBER(SEARCH("MISS CLAUDIA",C1345))),"Personal Travel - New Orleans",IF(AND(YEAR(B1345)=2025,MONTH(B1345)=4,OR(ISNUMBER(SEARCH("EXCHANGE RATE",C1345)),ISNUMBER(SEARCH("EXCHG RTE",C1345)))),"Personal Travel - Italy",IFERROR(INDEX('Category Rules'!$B$2:$B$358,MATCH(TRUE,ISNUMBER(SEARCH('Category Rules'!$A$2:$A$358,C1345)),0)),""))))))))</f>
        <v>Personal - Entertainment</v>
      </c>
    </row>
    <row r="1346" spans="1:7" x14ac:dyDescent="0.25">
      <c r="A1346" t="s">
        <v>6</v>
      </c>
      <c r="B1346" s="1">
        <v>45828</v>
      </c>
      <c r="C1346" t="s">
        <v>1265</v>
      </c>
      <c r="D1346">
        <v>-604</v>
      </c>
      <c r="E1346" t="s">
        <v>10</v>
      </c>
      <c r="F1346">
        <v>5098.1099999999997</v>
      </c>
      <c r="G1346" t="str" cm="1">
        <f t="array" ref="G1346">IF(AND(ISNUMBER(SEARCH("UBER",C1346)),ISNUMBER(SEARCH("EATS",C1346))),"Uber Eats",IF(LEFT(C1346,6)="CHECK ","Checks Paid",IF(OR(E1346="BILLPAY",ISNUMBER(SEARCH("FRANCHISE TAX",C1346)),ISNUMBER(SEARCH("NEXTLINK",C1346))),"Personal - House Bills",IF(AND(ISNUMBER(SEARCH("PAYMENT FROM",C1346)),ISNUMBER(SEARCH("JOE SAUNDERS",C1346))),"Zelle from Joe Saunders",IF(AND(ISNUMBER(SEARCH("PAYMENT TO",C1346)),ISNUMBER(SEARCH("JOE SAUNDERS",C1346))),"Zelle to Joe Saunders",IF(OR(ISNUMBER(SEARCH("NEW ORLEANS",C1346)),ISNUMBER(SEARCH("KENNER",C1346)),ISNUMBER(SEARCH("HENRY HOWARD",C1346)),ISNUMBER(SEARCH("MISS CLAUDIA",C1346))),"Personal Travel - New Orleans",IF(AND(YEAR(B1346)=2025,MONTH(B1346)=4,OR(ISNUMBER(SEARCH("EXCHANGE RATE",C1346)),ISNUMBER(SEARCH("EXCHG RTE",C1346)))),"Personal Travel - Italy",IFERROR(INDEX('Category Rules'!$B$2:$B$358,MATCH(TRUE,ISNUMBER(SEARCH('Category Rules'!$A$2:$A$358,C1346)),0)),""))))))))</f>
        <v>Personal - Entertainment</v>
      </c>
    </row>
    <row r="1347" spans="1:7" x14ac:dyDescent="0.25">
      <c r="A1347" t="s">
        <v>6</v>
      </c>
      <c r="B1347" s="1">
        <v>45828</v>
      </c>
      <c r="C1347" t="s">
        <v>1266</v>
      </c>
      <c r="D1347">
        <v>-35.44</v>
      </c>
      <c r="E1347" t="s">
        <v>10</v>
      </c>
      <c r="F1347">
        <v>5702.11</v>
      </c>
      <c r="G1347" t="str" cm="1">
        <f t="array" ref="G1347">IF(AND(ISNUMBER(SEARCH("UBER",C1347)),ISNUMBER(SEARCH("EATS",C1347))),"Uber Eats",IF(LEFT(C1347,6)="CHECK ","Checks Paid",IF(OR(E1347="BILLPAY",ISNUMBER(SEARCH("FRANCHISE TAX",C1347)),ISNUMBER(SEARCH("NEXTLINK",C1347))),"Personal - House Bills",IF(AND(ISNUMBER(SEARCH("PAYMENT FROM",C1347)),ISNUMBER(SEARCH("JOE SAUNDERS",C1347))),"Zelle from Joe Saunders",IF(AND(ISNUMBER(SEARCH("PAYMENT TO",C1347)),ISNUMBER(SEARCH("JOE SAUNDERS",C1347))),"Zelle to Joe Saunders",IF(OR(ISNUMBER(SEARCH("NEW ORLEANS",C1347)),ISNUMBER(SEARCH("KENNER",C1347)),ISNUMBER(SEARCH("HENRY HOWARD",C1347)),ISNUMBER(SEARCH("MISS CLAUDIA",C1347))),"Personal Travel - New Orleans",IF(AND(YEAR(B1347)=2025,MONTH(B1347)=4,OR(ISNUMBER(SEARCH("EXCHANGE RATE",C1347)),ISNUMBER(SEARCH("EXCHG RTE",C1347)))),"Personal Travel - Italy",IFERROR(INDEX('Category Rules'!$B$2:$B$358,MATCH(TRUE,ISNUMBER(SEARCH('Category Rules'!$A$2:$A$358,C1347)),0)),""))))))))</f>
        <v>Personal - Health</v>
      </c>
    </row>
    <row r="1348" spans="1:7" x14ac:dyDescent="0.25">
      <c r="A1348" t="s">
        <v>6</v>
      </c>
      <c r="B1348" s="1">
        <v>45828</v>
      </c>
      <c r="C1348" t="s">
        <v>1267</v>
      </c>
      <c r="D1348">
        <v>-7</v>
      </c>
      <c r="E1348" t="s">
        <v>10</v>
      </c>
      <c r="F1348">
        <v>5737.55</v>
      </c>
      <c r="G1348" t="str" cm="1">
        <f t="array" ref="G1348">IF(AND(ISNUMBER(SEARCH("UBER",C1348)),ISNUMBER(SEARCH("EATS",C1348))),"Uber Eats",IF(LEFT(C1348,6)="CHECK ","Checks Paid",IF(OR(E1348="BILLPAY",ISNUMBER(SEARCH("FRANCHISE TAX",C1348)),ISNUMBER(SEARCH("NEXTLINK",C1348))),"Personal - House Bills",IF(AND(ISNUMBER(SEARCH("PAYMENT FROM",C1348)),ISNUMBER(SEARCH("JOE SAUNDERS",C1348))),"Zelle from Joe Saunders",IF(AND(ISNUMBER(SEARCH("PAYMENT TO",C1348)),ISNUMBER(SEARCH("JOE SAUNDERS",C1348))),"Zelle to Joe Saunders",IF(OR(ISNUMBER(SEARCH("NEW ORLEANS",C1348)),ISNUMBER(SEARCH("KENNER",C1348)),ISNUMBER(SEARCH("HENRY HOWARD",C1348)),ISNUMBER(SEARCH("MISS CLAUDIA",C1348))),"Personal Travel - New Orleans",IF(AND(YEAR(B1348)=2025,MONTH(B1348)=4,OR(ISNUMBER(SEARCH("EXCHANGE RATE",C1348)),ISNUMBER(SEARCH("EXCHG RTE",C1348)))),"Personal Travel - Italy",IFERROR(INDEX('Category Rules'!$B$2:$B$358,MATCH(TRUE,ISNUMBER(SEARCH('Category Rules'!$A$2:$A$358,C1348)),0)),""))))))))</f>
        <v>Amazon</v>
      </c>
    </row>
    <row r="1349" spans="1:7" x14ac:dyDescent="0.25">
      <c r="A1349" t="s">
        <v>44</v>
      </c>
      <c r="B1349" s="1">
        <v>45828</v>
      </c>
      <c r="C1349" t="s">
        <v>1268</v>
      </c>
      <c r="D1349">
        <v>3000</v>
      </c>
      <c r="E1349" t="s">
        <v>73</v>
      </c>
      <c r="F1349">
        <v>5744.55</v>
      </c>
      <c r="G1349" t="str" cm="1">
        <f t="array" ref="G1349">IF(AND(ISNUMBER(SEARCH("UBER",C1349)),ISNUMBER(SEARCH("EATS",C1349))),"Uber Eats",IF(LEFT(C1349,6)="CHECK ","Checks Paid",IF(OR(E1349="BILLPAY",ISNUMBER(SEARCH("FRANCHISE TAX",C1349)),ISNUMBER(SEARCH("NEXTLINK",C1349))),"Personal - House Bills",IF(AND(ISNUMBER(SEARCH("PAYMENT FROM",C1349)),ISNUMBER(SEARCH("JOE SAUNDERS",C1349))),"Zelle from Joe Saunders",IF(AND(ISNUMBER(SEARCH("PAYMENT TO",C1349)),ISNUMBER(SEARCH("JOE SAUNDERS",C1349))),"Zelle to Joe Saunders",IF(OR(ISNUMBER(SEARCH("NEW ORLEANS",C1349)),ISNUMBER(SEARCH("KENNER",C1349)),ISNUMBER(SEARCH("HENRY HOWARD",C1349)),ISNUMBER(SEARCH("MISS CLAUDIA",C1349))),"Personal Travel - New Orleans",IF(AND(YEAR(B1349)=2025,MONTH(B1349)=4,OR(ISNUMBER(SEARCH("EXCHANGE RATE",C1349)),ISNUMBER(SEARCH("EXCHG RTE",C1349)))),"Personal Travel - Italy",IFERROR(INDEX('Category Rules'!$B$2:$B$358,MATCH(TRUE,ISNUMBER(SEARCH('Category Rules'!$A$2:$A$358,C1349)),0)),""))))))))</f>
        <v>Transfer from DWG Capital Group</v>
      </c>
    </row>
    <row r="1350" spans="1:7" x14ac:dyDescent="0.25">
      <c r="A1350" t="s">
        <v>126</v>
      </c>
      <c r="B1350" s="1">
        <v>45828</v>
      </c>
      <c r="C1350" t="s">
        <v>1269</v>
      </c>
      <c r="D1350">
        <v>208.45</v>
      </c>
      <c r="E1350" t="s">
        <v>128</v>
      </c>
      <c r="F1350">
        <v>2744.55</v>
      </c>
      <c r="G1350" t="str" cm="1">
        <f t="array" ref="G1350">IF(AND(ISNUMBER(SEARCH("UBER",C1350)),ISNUMBER(SEARCH("EATS",C1350))),"Uber Eats",IF(LEFT(C1350,6)="CHECK ","Checks Paid",IF(OR(E1350="BILLPAY",ISNUMBER(SEARCH("FRANCHISE TAX",C1350)),ISNUMBER(SEARCH("NEXTLINK",C1350))),"Personal - House Bills",IF(AND(ISNUMBER(SEARCH("PAYMENT FROM",C1350)),ISNUMBER(SEARCH("JOE SAUNDERS",C1350))),"Zelle from Joe Saunders",IF(AND(ISNUMBER(SEARCH("PAYMENT TO",C1350)),ISNUMBER(SEARCH("JOE SAUNDERS",C1350))),"Zelle to Joe Saunders",IF(OR(ISNUMBER(SEARCH("NEW ORLEANS",C1350)),ISNUMBER(SEARCH("KENNER",C1350)),ISNUMBER(SEARCH("HENRY HOWARD",C1350)),ISNUMBER(SEARCH("MISS CLAUDIA",C1350))),"Personal Travel - New Orleans",IF(AND(YEAR(B1350)=2025,MONTH(B1350)=4,OR(ISNUMBER(SEARCH("EXCHANGE RATE",C1350)),ISNUMBER(SEARCH("EXCHG RTE",C1350)))),"Personal Travel - Italy",IFERROR(INDEX('Category Rules'!$B$2:$B$358,MATCH(TRUE,ISNUMBER(SEARCH('Category Rules'!$A$2:$A$358,C1350)),0)),""))))))))</f>
        <v>Deposit</v>
      </c>
    </row>
    <row r="1351" spans="1:7" x14ac:dyDescent="0.25">
      <c r="A1351" t="s">
        <v>6</v>
      </c>
      <c r="B1351" s="1">
        <v>45826</v>
      </c>
      <c r="C1351" t="s">
        <v>1270</v>
      </c>
      <c r="D1351">
        <v>-27.1</v>
      </c>
      <c r="E1351" t="s">
        <v>10</v>
      </c>
      <c r="F1351">
        <v>2536.1</v>
      </c>
      <c r="G1351" t="str" cm="1">
        <f t="array" ref="G1351">IF(AND(ISNUMBER(SEARCH("UBER",C1351)),ISNUMBER(SEARCH("EATS",C1351))),"Uber Eats",IF(LEFT(C1351,6)="CHECK ","Checks Paid",IF(OR(E1351="BILLPAY",ISNUMBER(SEARCH("FRANCHISE TAX",C1351)),ISNUMBER(SEARCH("NEXTLINK",C1351))),"Personal - House Bills",IF(AND(ISNUMBER(SEARCH("PAYMENT FROM",C1351)),ISNUMBER(SEARCH("JOE SAUNDERS",C1351))),"Zelle from Joe Saunders",IF(AND(ISNUMBER(SEARCH("PAYMENT TO",C1351)),ISNUMBER(SEARCH("JOE SAUNDERS",C1351))),"Zelle to Joe Saunders",IF(OR(ISNUMBER(SEARCH("NEW ORLEANS",C1351)),ISNUMBER(SEARCH("KENNER",C1351)),ISNUMBER(SEARCH("HENRY HOWARD",C1351)),ISNUMBER(SEARCH("MISS CLAUDIA",C1351))),"Personal Travel - New Orleans",IF(AND(YEAR(B1351)=2025,MONTH(B1351)=4,OR(ISNUMBER(SEARCH("EXCHANGE RATE",C1351)),ISNUMBER(SEARCH("EXCHG RTE",C1351)))),"Personal Travel - Italy",IFERROR(INDEX('Category Rules'!$B$2:$B$358,MATCH(TRUE,ISNUMBER(SEARCH('Category Rules'!$A$2:$A$358,C1351)),0)),""))))))))</f>
        <v>Amazon</v>
      </c>
    </row>
    <row r="1352" spans="1:7" x14ac:dyDescent="0.25">
      <c r="A1352" t="s">
        <v>6</v>
      </c>
      <c r="B1352" s="1">
        <v>45826</v>
      </c>
      <c r="C1352" t="s">
        <v>1271</v>
      </c>
      <c r="D1352">
        <v>-90.93</v>
      </c>
      <c r="E1352" t="s">
        <v>10</v>
      </c>
      <c r="F1352">
        <v>2563.1999999999998</v>
      </c>
      <c r="G1352" t="str" cm="1">
        <f t="array" ref="G1352">IF(AND(ISNUMBER(SEARCH("UBER",C1352)),ISNUMBER(SEARCH("EATS",C1352))),"Uber Eats",IF(LEFT(C1352,6)="CHECK ","Checks Paid",IF(OR(E1352="BILLPAY",ISNUMBER(SEARCH("FRANCHISE TAX",C1352)),ISNUMBER(SEARCH("NEXTLINK",C1352))),"Personal - House Bills",IF(AND(ISNUMBER(SEARCH("PAYMENT FROM",C1352)),ISNUMBER(SEARCH("JOE SAUNDERS",C1352))),"Zelle from Joe Saunders",IF(AND(ISNUMBER(SEARCH("PAYMENT TO",C1352)),ISNUMBER(SEARCH("JOE SAUNDERS",C1352))),"Zelle to Joe Saunders",IF(OR(ISNUMBER(SEARCH("NEW ORLEANS",C1352)),ISNUMBER(SEARCH("KENNER",C1352)),ISNUMBER(SEARCH("HENRY HOWARD",C1352)),ISNUMBER(SEARCH("MISS CLAUDIA",C1352))),"Personal Travel - New Orleans",IF(AND(YEAR(B1352)=2025,MONTH(B1352)=4,OR(ISNUMBER(SEARCH("EXCHANGE RATE",C1352)),ISNUMBER(SEARCH("EXCHG RTE",C1352)))),"Personal Travel - Italy",IFERROR(INDEX('Category Rules'!$B$2:$B$358,MATCH(TRUE,ISNUMBER(SEARCH('Category Rules'!$A$2:$A$358,C1352)),0)),""))))))))</f>
        <v>Amazon</v>
      </c>
    </row>
    <row r="1353" spans="1:7" x14ac:dyDescent="0.25">
      <c r="A1353" t="s">
        <v>6</v>
      </c>
      <c r="B1353" s="1">
        <v>45826</v>
      </c>
      <c r="C1353" t="s">
        <v>1272</v>
      </c>
      <c r="D1353">
        <v>-435.82</v>
      </c>
      <c r="E1353" t="s">
        <v>10</v>
      </c>
      <c r="F1353">
        <v>2654.13</v>
      </c>
      <c r="G1353" t="str" cm="1">
        <f t="array" ref="G1353">IF(AND(ISNUMBER(SEARCH("UBER",C1353)),ISNUMBER(SEARCH("EATS",C1353))),"Uber Eats",IF(LEFT(C1353,6)="CHECK ","Checks Paid",IF(OR(E1353="BILLPAY",ISNUMBER(SEARCH("FRANCHISE TAX",C1353)),ISNUMBER(SEARCH("NEXTLINK",C1353))),"Personal - House Bills",IF(AND(ISNUMBER(SEARCH("PAYMENT FROM",C1353)),ISNUMBER(SEARCH("JOE SAUNDERS",C1353))),"Zelle from Joe Saunders",IF(AND(ISNUMBER(SEARCH("PAYMENT TO",C1353)),ISNUMBER(SEARCH("JOE SAUNDERS",C1353))),"Zelle to Joe Saunders",IF(OR(ISNUMBER(SEARCH("NEW ORLEANS",C1353)),ISNUMBER(SEARCH("KENNER",C1353)),ISNUMBER(SEARCH("HENRY HOWARD",C1353)),ISNUMBER(SEARCH("MISS CLAUDIA",C1353))),"Personal Travel - New Orleans",IF(AND(YEAR(B1353)=2025,MONTH(B1353)=4,OR(ISNUMBER(SEARCH("EXCHANGE RATE",C1353)),ISNUMBER(SEARCH("EXCHG RTE",C1353)))),"Personal Travel - Italy",IFERROR(INDEX('Category Rules'!$B$2:$B$358,MATCH(TRUE,ISNUMBER(SEARCH('Category Rules'!$A$2:$A$358,C1353)),0)),""))))))))</f>
        <v>Personal - Food</v>
      </c>
    </row>
    <row r="1354" spans="1:7" x14ac:dyDescent="0.25">
      <c r="A1354" t="s">
        <v>6</v>
      </c>
      <c r="B1354" s="1">
        <v>45826</v>
      </c>
      <c r="C1354" t="s">
        <v>1273</v>
      </c>
      <c r="D1354">
        <v>-7.4</v>
      </c>
      <c r="E1354" t="s">
        <v>10</v>
      </c>
      <c r="F1354">
        <v>3089.95</v>
      </c>
      <c r="G1354" t="str" cm="1">
        <f t="array" ref="G1354">IF(AND(ISNUMBER(SEARCH("UBER",C1354)),ISNUMBER(SEARCH("EATS",C1354))),"Uber Eats",IF(LEFT(C1354,6)="CHECK ","Checks Paid",IF(OR(E1354="BILLPAY",ISNUMBER(SEARCH("FRANCHISE TAX",C1354)),ISNUMBER(SEARCH("NEXTLINK",C1354))),"Personal - House Bills",IF(AND(ISNUMBER(SEARCH("PAYMENT FROM",C1354)),ISNUMBER(SEARCH("JOE SAUNDERS",C1354))),"Zelle from Joe Saunders",IF(AND(ISNUMBER(SEARCH("PAYMENT TO",C1354)),ISNUMBER(SEARCH("JOE SAUNDERS",C1354))),"Zelle to Joe Saunders",IF(OR(ISNUMBER(SEARCH("NEW ORLEANS",C1354)),ISNUMBER(SEARCH("KENNER",C1354)),ISNUMBER(SEARCH("HENRY HOWARD",C1354)),ISNUMBER(SEARCH("MISS CLAUDIA",C1354))),"Personal Travel - New Orleans",IF(AND(YEAR(B1354)=2025,MONTH(B1354)=4,OR(ISNUMBER(SEARCH("EXCHANGE RATE",C1354)),ISNUMBER(SEARCH("EXCHG RTE",C1354)))),"Personal Travel - Italy",IFERROR(INDEX('Category Rules'!$B$2:$B$358,MATCH(TRUE,ISNUMBER(SEARCH('Category Rules'!$A$2:$A$358,C1354)),0)),""))))))))</f>
        <v>Personal - Food</v>
      </c>
    </row>
    <row r="1355" spans="1:7" x14ac:dyDescent="0.25">
      <c r="A1355" t="s">
        <v>6</v>
      </c>
      <c r="B1355" s="1">
        <v>45826</v>
      </c>
      <c r="C1355" t="s">
        <v>1274</v>
      </c>
      <c r="D1355">
        <v>-56.31</v>
      </c>
      <c r="E1355" t="s">
        <v>10</v>
      </c>
      <c r="F1355">
        <v>3097.35</v>
      </c>
      <c r="G1355" t="str" cm="1">
        <f t="array" ref="G1355">IF(AND(ISNUMBER(SEARCH("UBER",C1355)),ISNUMBER(SEARCH("EATS",C1355))),"Uber Eats",IF(LEFT(C1355,6)="CHECK ","Checks Paid",IF(OR(E1355="BILLPAY",ISNUMBER(SEARCH("FRANCHISE TAX",C1355)),ISNUMBER(SEARCH("NEXTLINK",C1355))),"Personal - House Bills",IF(AND(ISNUMBER(SEARCH("PAYMENT FROM",C1355)),ISNUMBER(SEARCH("JOE SAUNDERS",C1355))),"Zelle from Joe Saunders",IF(AND(ISNUMBER(SEARCH("PAYMENT TO",C1355)),ISNUMBER(SEARCH("JOE SAUNDERS",C1355))),"Zelle to Joe Saunders",IF(OR(ISNUMBER(SEARCH("NEW ORLEANS",C1355)),ISNUMBER(SEARCH("KENNER",C1355)),ISNUMBER(SEARCH("HENRY HOWARD",C1355)),ISNUMBER(SEARCH("MISS CLAUDIA",C1355))),"Personal Travel - New Orleans",IF(AND(YEAR(B1355)=2025,MONTH(B1355)=4,OR(ISNUMBER(SEARCH("EXCHANGE RATE",C1355)),ISNUMBER(SEARCH("EXCHG RTE",C1355)))),"Personal Travel - Italy",IFERROR(INDEX('Category Rules'!$B$2:$B$358,MATCH(TRUE,ISNUMBER(SEARCH('Category Rules'!$A$2:$A$358,C1355)),0)),""))))))))</f>
        <v>Personal - Shopping</v>
      </c>
    </row>
    <row r="1356" spans="1:7" x14ac:dyDescent="0.25">
      <c r="A1356" t="s">
        <v>6</v>
      </c>
      <c r="B1356" s="1">
        <v>45826</v>
      </c>
      <c r="C1356" t="s">
        <v>1275</v>
      </c>
      <c r="D1356">
        <v>-26.99</v>
      </c>
      <c r="E1356" t="s">
        <v>10</v>
      </c>
      <c r="F1356">
        <v>3153.66</v>
      </c>
      <c r="G1356" t="str" cm="1">
        <f t="array" ref="G1356">IF(AND(ISNUMBER(SEARCH("UBER",C1356)),ISNUMBER(SEARCH("EATS",C1356))),"Uber Eats",IF(LEFT(C1356,6)="CHECK ","Checks Paid",IF(OR(E1356="BILLPAY",ISNUMBER(SEARCH("FRANCHISE TAX",C1356)),ISNUMBER(SEARCH("NEXTLINK",C1356))),"Personal - House Bills",IF(AND(ISNUMBER(SEARCH("PAYMENT FROM",C1356)),ISNUMBER(SEARCH("JOE SAUNDERS",C1356))),"Zelle from Joe Saunders",IF(AND(ISNUMBER(SEARCH("PAYMENT TO",C1356)),ISNUMBER(SEARCH("JOE SAUNDERS",C1356))),"Zelle to Joe Saunders",IF(OR(ISNUMBER(SEARCH("NEW ORLEANS",C1356)),ISNUMBER(SEARCH("KENNER",C1356)),ISNUMBER(SEARCH("HENRY HOWARD",C1356)),ISNUMBER(SEARCH("MISS CLAUDIA",C1356))),"Personal Travel - New Orleans",IF(AND(YEAR(B1356)=2025,MONTH(B1356)=4,OR(ISNUMBER(SEARCH("EXCHANGE RATE",C1356)),ISNUMBER(SEARCH("EXCHG RTE",C1356)))),"Personal Travel - Italy",IFERROR(INDEX('Category Rules'!$B$2:$B$358,MATCH(TRUE,ISNUMBER(SEARCH('Category Rules'!$A$2:$A$358,C1356)),0)),""))))))))</f>
        <v>Personal - Car</v>
      </c>
    </row>
    <row r="1357" spans="1:7" x14ac:dyDescent="0.25">
      <c r="A1357" t="s">
        <v>6</v>
      </c>
      <c r="B1357" s="1">
        <v>45826</v>
      </c>
      <c r="C1357" t="s">
        <v>1276</v>
      </c>
      <c r="D1357">
        <v>-60</v>
      </c>
      <c r="E1357" t="s">
        <v>10</v>
      </c>
      <c r="F1357">
        <v>3180.65</v>
      </c>
      <c r="G1357" t="str" cm="1">
        <f t="array" ref="G1357">IF(AND(ISNUMBER(SEARCH("UBER",C1357)),ISNUMBER(SEARCH("EATS",C1357))),"Uber Eats",IF(LEFT(C1357,6)="CHECK ","Checks Paid",IF(OR(E1357="BILLPAY",ISNUMBER(SEARCH("FRANCHISE TAX",C1357)),ISNUMBER(SEARCH("NEXTLINK",C1357))),"Personal - House Bills",IF(AND(ISNUMBER(SEARCH("PAYMENT FROM",C1357)),ISNUMBER(SEARCH("JOE SAUNDERS",C1357))),"Zelle from Joe Saunders",IF(AND(ISNUMBER(SEARCH("PAYMENT TO",C1357)),ISNUMBER(SEARCH("JOE SAUNDERS",C1357))),"Zelle to Joe Saunders",IF(OR(ISNUMBER(SEARCH("NEW ORLEANS",C1357)),ISNUMBER(SEARCH("KENNER",C1357)),ISNUMBER(SEARCH("HENRY HOWARD",C1357)),ISNUMBER(SEARCH("MISS CLAUDIA",C1357))),"Personal Travel - New Orleans",IF(AND(YEAR(B1357)=2025,MONTH(B1357)=4,OR(ISNUMBER(SEARCH("EXCHANGE RATE",C1357)),ISNUMBER(SEARCH("EXCHG RTE",C1357)))),"Personal Travel - Italy",IFERROR(INDEX('Category Rules'!$B$2:$B$358,MATCH(TRUE,ISNUMBER(SEARCH('Category Rules'!$A$2:$A$358,C1357)),0)),""))))))))</f>
        <v>Personal - Subscription</v>
      </c>
    </row>
    <row r="1358" spans="1:7" x14ac:dyDescent="0.25">
      <c r="A1358" t="s">
        <v>6</v>
      </c>
      <c r="B1358" s="1">
        <v>45825</v>
      </c>
      <c r="C1358" t="s">
        <v>1277</v>
      </c>
      <c r="D1358">
        <v>-69.180000000000007</v>
      </c>
      <c r="E1358" t="s">
        <v>10</v>
      </c>
      <c r="F1358">
        <v>3240.65</v>
      </c>
      <c r="G1358" t="str" cm="1">
        <f t="array" ref="G1358">IF(AND(ISNUMBER(SEARCH("UBER",C1358)),ISNUMBER(SEARCH("EATS",C1358))),"Uber Eats",IF(LEFT(C1358,6)="CHECK ","Checks Paid",IF(OR(E1358="BILLPAY",ISNUMBER(SEARCH("FRANCHISE TAX",C1358)),ISNUMBER(SEARCH("NEXTLINK",C1358))),"Personal - House Bills",IF(AND(ISNUMBER(SEARCH("PAYMENT FROM",C1358)),ISNUMBER(SEARCH("JOE SAUNDERS",C1358))),"Zelle from Joe Saunders",IF(AND(ISNUMBER(SEARCH("PAYMENT TO",C1358)),ISNUMBER(SEARCH("JOE SAUNDERS",C1358))),"Zelle to Joe Saunders",IF(OR(ISNUMBER(SEARCH("NEW ORLEANS",C1358)),ISNUMBER(SEARCH("KENNER",C1358)),ISNUMBER(SEARCH("HENRY HOWARD",C1358)),ISNUMBER(SEARCH("MISS CLAUDIA",C1358))),"Personal Travel - New Orleans",IF(AND(YEAR(B1358)=2025,MONTH(B1358)=4,OR(ISNUMBER(SEARCH("EXCHANGE RATE",C1358)),ISNUMBER(SEARCH("EXCHG RTE",C1358)))),"Personal Travel - Italy",IFERROR(INDEX('Category Rules'!$B$2:$B$358,MATCH(TRUE,ISNUMBER(SEARCH('Category Rules'!$A$2:$A$358,C1358)),0)),""))))))))</f>
        <v>Uber Eats</v>
      </c>
    </row>
    <row r="1359" spans="1:7" x14ac:dyDescent="0.25">
      <c r="A1359" t="s">
        <v>6</v>
      </c>
      <c r="B1359" s="1">
        <v>45825</v>
      </c>
      <c r="C1359" t="s">
        <v>1278</v>
      </c>
      <c r="D1359">
        <v>-37.299999999999997</v>
      </c>
      <c r="E1359" t="s">
        <v>10</v>
      </c>
      <c r="F1359">
        <v>3309.83</v>
      </c>
      <c r="G1359" t="str" cm="1">
        <f t="array" ref="G1359">IF(AND(ISNUMBER(SEARCH("UBER",C1359)),ISNUMBER(SEARCH("EATS",C1359))),"Uber Eats",IF(LEFT(C1359,6)="CHECK ","Checks Paid",IF(OR(E1359="BILLPAY",ISNUMBER(SEARCH("FRANCHISE TAX",C1359)),ISNUMBER(SEARCH("NEXTLINK",C1359))),"Personal - House Bills",IF(AND(ISNUMBER(SEARCH("PAYMENT FROM",C1359)),ISNUMBER(SEARCH("JOE SAUNDERS",C1359))),"Zelle from Joe Saunders",IF(AND(ISNUMBER(SEARCH("PAYMENT TO",C1359)),ISNUMBER(SEARCH("JOE SAUNDERS",C1359))),"Zelle to Joe Saunders",IF(OR(ISNUMBER(SEARCH("NEW ORLEANS",C1359)),ISNUMBER(SEARCH("KENNER",C1359)),ISNUMBER(SEARCH("HENRY HOWARD",C1359)),ISNUMBER(SEARCH("MISS CLAUDIA",C1359))),"Personal Travel - New Orleans",IF(AND(YEAR(B1359)=2025,MONTH(B1359)=4,OR(ISNUMBER(SEARCH("EXCHANGE RATE",C1359)),ISNUMBER(SEARCH("EXCHG RTE",C1359)))),"Personal Travel - Italy",IFERROR(INDEX('Category Rules'!$B$2:$B$358,MATCH(TRUE,ISNUMBER(SEARCH('Category Rules'!$A$2:$A$358,C1359)),0)),""))))))))</f>
        <v>Amazon</v>
      </c>
    </row>
    <row r="1360" spans="1:7" x14ac:dyDescent="0.25">
      <c r="A1360" t="s">
        <v>6</v>
      </c>
      <c r="B1360" s="1">
        <v>45824</v>
      </c>
      <c r="C1360" t="s">
        <v>1279</v>
      </c>
      <c r="D1360">
        <v>-33.840000000000003</v>
      </c>
      <c r="E1360" t="s">
        <v>10</v>
      </c>
      <c r="F1360">
        <v>3347.13</v>
      </c>
      <c r="G1360" t="str" cm="1">
        <f t="array" ref="G1360">IF(AND(ISNUMBER(SEARCH("UBER",C1360)),ISNUMBER(SEARCH("EATS",C1360))),"Uber Eats",IF(LEFT(C1360,6)="CHECK ","Checks Paid",IF(OR(E1360="BILLPAY",ISNUMBER(SEARCH("FRANCHISE TAX",C1360)),ISNUMBER(SEARCH("NEXTLINK",C1360))),"Personal - House Bills",IF(AND(ISNUMBER(SEARCH("PAYMENT FROM",C1360)),ISNUMBER(SEARCH("JOE SAUNDERS",C1360))),"Zelle from Joe Saunders",IF(AND(ISNUMBER(SEARCH("PAYMENT TO",C1360)),ISNUMBER(SEARCH("JOE SAUNDERS",C1360))),"Zelle to Joe Saunders",IF(OR(ISNUMBER(SEARCH("NEW ORLEANS",C1360)),ISNUMBER(SEARCH("KENNER",C1360)),ISNUMBER(SEARCH("HENRY HOWARD",C1360)),ISNUMBER(SEARCH("MISS CLAUDIA",C1360))),"Personal Travel - New Orleans",IF(AND(YEAR(B1360)=2025,MONTH(B1360)=4,OR(ISNUMBER(SEARCH("EXCHANGE RATE",C1360)),ISNUMBER(SEARCH("EXCHG RTE",C1360)))),"Personal Travel - Italy",IFERROR(INDEX('Category Rules'!$B$2:$B$358,MATCH(TRUE,ISNUMBER(SEARCH('Category Rules'!$A$2:$A$358,C1360)),0)),""))))))))</f>
        <v>Amazon</v>
      </c>
    </row>
    <row r="1361" spans="1:7" x14ac:dyDescent="0.25">
      <c r="A1361" t="s">
        <v>6</v>
      </c>
      <c r="B1361" s="1">
        <v>45824</v>
      </c>
      <c r="C1361" t="s">
        <v>1280</v>
      </c>
      <c r="D1361">
        <v>-126.16</v>
      </c>
      <c r="E1361" t="s">
        <v>10</v>
      </c>
      <c r="F1361">
        <v>3380.97</v>
      </c>
      <c r="G1361" t="str" cm="1">
        <f t="array" ref="G1361">IF(AND(ISNUMBER(SEARCH("UBER",C1361)),ISNUMBER(SEARCH("EATS",C1361))),"Uber Eats",IF(LEFT(C1361,6)="CHECK ","Checks Paid",IF(OR(E1361="BILLPAY",ISNUMBER(SEARCH("FRANCHISE TAX",C1361)),ISNUMBER(SEARCH("NEXTLINK",C1361))),"Personal - House Bills",IF(AND(ISNUMBER(SEARCH("PAYMENT FROM",C1361)),ISNUMBER(SEARCH("JOE SAUNDERS",C1361))),"Zelle from Joe Saunders",IF(AND(ISNUMBER(SEARCH("PAYMENT TO",C1361)),ISNUMBER(SEARCH("JOE SAUNDERS",C1361))),"Zelle to Joe Saunders",IF(OR(ISNUMBER(SEARCH("NEW ORLEANS",C1361)),ISNUMBER(SEARCH("KENNER",C1361)),ISNUMBER(SEARCH("HENRY HOWARD",C1361)),ISNUMBER(SEARCH("MISS CLAUDIA",C1361))),"Personal Travel - New Orleans",IF(AND(YEAR(B1361)=2025,MONTH(B1361)=4,OR(ISNUMBER(SEARCH("EXCHANGE RATE",C1361)),ISNUMBER(SEARCH("EXCHG RTE",C1361)))),"Personal Travel - Italy",IFERROR(INDEX('Category Rules'!$B$2:$B$358,MATCH(TRUE,ISNUMBER(SEARCH('Category Rules'!$A$2:$A$358,C1361)),0)),""))))))))</f>
        <v>Amazon</v>
      </c>
    </row>
    <row r="1362" spans="1:7" x14ac:dyDescent="0.25">
      <c r="A1362" t="s">
        <v>6</v>
      </c>
      <c r="B1362" s="1">
        <v>45824</v>
      </c>
      <c r="C1362" t="s">
        <v>1281</v>
      </c>
      <c r="D1362">
        <v>-21.9</v>
      </c>
      <c r="E1362" t="s">
        <v>10</v>
      </c>
      <c r="F1362">
        <v>3507.13</v>
      </c>
      <c r="G1362" t="str" cm="1">
        <f t="array" ref="G1362">IF(AND(ISNUMBER(SEARCH("UBER",C1362)),ISNUMBER(SEARCH("EATS",C1362))),"Uber Eats",IF(LEFT(C1362,6)="CHECK ","Checks Paid",IF(OR(E1362="BILLPAY",ISNUMBER(SEARCH("FRANCHISE TAX",C1362)),ISNUMBER(SEARCH("NEXTLINK",C1362))),"Personal - House Bills",IF(AND(ISNUMBER(SEARCH("PAYMENT FROM",C1362)),ISNUMBER(SEARCH("JOE SAUNDERS",C1362))),"Zelle from Joe Saunders",IF(AND(ISNUMBER(SEARCH("PAYMENT TO",C1362)),ISNUMBER(SEARCH("JOE SAUNDERS",C1362))),"Zelle to Joe Saunders",IF(OR(ISNUMBER(SEARCH("NEW ORLEANS",C1362)),ISNUMBER(SEARCH("KENNER",C1362)),ISNUMBER(SEARCH("HENRY HOWARD",C1362)),ISNUMBER(SEARCH("MISS CLAUDIA",C1362))),"Personal Travel - New Orleans",IF(AND(YEAR(B1362)=2025,MONTH(B1362)=4,OR(ISNUMBER(SEARCH("EXCHANGE RATE",C1362)),ISNUMBER(SEARCH("EXCHG RTE",C1362)))),"Personal Travel - Italy",IFERROR(INDEX('Category Rules'!$B$2:$B$358,MATCH(TRUE,ISNUMBER(SEARCH('Category Rules'!$A$2:$A$358,C1362)),0)),""))))))))</f>
        <v>Amazon</v>
      </c>
    </row>
    <row r="1363" spans="1:7" x14ac:dyDescent="0.25">
      <c r="A1363" t="s">
        <v>6</v>
      </c>
      <c r="B1363" s="1">
        <v>45824</v>
      </c>
      <c r="C1363" t="s">
        <v>1282</v>
      </c>
      <c r="D1363">
        <v>-10.99</v>
      </c>
      <c r="E1363" t="s">
        <v>10</v>
      </c>
      <c r="F1363">
        <v>3529.03</v>
      </c>
      <c r="G1363" t="str" cm="1">
        <f t="array" ref="G1363">IF(AND(ISNUMBER(SEARCH("UBER",C1363)),ISNUMBER(SEARCH("EATS",C1363))),"Uber Eats",IF(LEFT(C1363,6)="CHECK ","Checks Paid",IF(OR(E1363="BILLPAY",ISNUMBER(SEARCH("FRANCHISE TAX",C1363)),ISNUMBER(SEARCH("NEXTLINK",C1363))),"Personal - House Bills",IF(AND(ISNUMBER(SEARCH("PAYMENT FROM",C1363)),ISNUMBER(SEARCH("JOE SAUNDERS",C1363))),"Zelle from Joe Saunders",IF(AND(ISNUMBER(SEARCH("PAYMENT TO",C1363)),ISNUMBER(SEARCH("JOE SAUNDERS",C1363))),"Zelle to Joe Saunders",IF(OR(ISNUMBER(SEARCH("NEW ORLEANS",C1363)),ISNUMBER(SEARCH("KENNER",C1363)),ISNUMBER(SEARCH("HENRY HOWARD",C1363)),ISNUMBER(SEARCH("MISS CLAUDIA",C1363))),"Personal Travel - New Orleans",IF(AND(YEAR(B1363)=2025,MONTH(B1363)=4,OR(ISNUMBER(SEARCH("EXCHANGE RATE",C1363)),ISNUMBER(SEARCH("EXCHG RTE",C1363)))),"Personal Travel - Italy",IFERROR(INDEX('Category Rules'!$B$2:$B$358,MATCH(TRUE,ISNUMBER(SEARCH('Category Rules'!$A$2:$A$358,C1363)),0)),""))))))))</f>
        <v>Amazon</v>
      </c>
    </row>
    <row r="1364" spans="1:7" x14ac:dyDescent="0.25">
      <c r="A1364" t="s">
        <v>6</v>
      </c>
      <c r="B1364" s="1">
        <v>45824</v>
      </c>
      <c r="C1364" t="s">
        <v>1283</v>
      </c>
      <c r="D1364">
        <v>-16.45</v>
      </c>
      <c r="E1364" t="s">
        <v>10</v>
      </c>
      <c r="F1364">
        <v>3540.02</v>
      </c>
      <c r="G1364" t="str" cm="1">
        <f t="array" ref="G1364">IF(AND(ISNUMBER(SEARCH("UBER",C1364)),ISNUMBER(SEARCH("EATS",C1364))),"Uber Eats",IF(LEFT(C1364,6)="CHECK ","Checks Paid",IF(OR(E1364="BILLPAY",ISNUMBER(SEARCH("FRANCHISE TAX",C1364)),ISNUMBER(SEARCH("NEXTLINK",C1364))),"Personal - House Bills",IF(AND(ISNUMBER(SEARCH("PAYMENT FROM",C1364)),ISNUMBER(SEARCH("JOE SAUNDERS",C1364))),"Zelle from Joe Saunders",IF(AND(ISNUMBER(SEARCH("PAYMENT TO",C1364)),ISNUMBER(SEARCH("JOE SAUNDERS",C1364))),"Zelle to Joe Saunders",IF(OR(ISNUMBER(SEARCH("NEW ORLEANS",C1364)),ISNUMBER(SEARCH("KENNER",C1364)),ISNUMBER(SEARCH("HENRY HOWARD",C1364)),ISNUMBER(SEARCH("MISS CLAUDIA",C1364))),"Personal Travel - New Orleans",IF(AND(YEAR(B1364)=2025,MONTH(B1364)=4,OR(ISNUMBER(SEARCH("EXCHANGE RATE",C1364)),ISNUMBER(SEARCH("EXCHG RTE",C1364)))),"Personal Travel - Italy",IFERROR(INDEX('Category Rules'!$B$2:$B$358,MATCH(TRUE,ISNUMBER(SEARCH('Category Rules'!$A$2:$A$358,C1364)),0)),""))))))))</f>
        <v>Amazon</v>
      </c>
    </row>
    <row r="1365" spans="1:7" x14ac:dyDescent="0.25">
      <c r="A1365" t="s">
        <v>6</v>
      </c>
      <c r="B1365" s="1">
        <v>45824</v>
      </c>
      <c r="C1365" t="s">
        <v>1284</v>
      </c>
      <c r="D1365">
        <v>-59.99</v>
      </c>
      <c r="E1365" t="s">
        <v>10</v>
      </c>
      <c r="F1365">
        <v>3556.47</v>
      </c>
      <c r="G1365" t="str" cm="1">
        <f t="array" ref="G1365">IF(AND(ISNUMBER(SEARCH("UBER",C1365)),ISNUMBER(SEARCH("EATS",C1365))),"Uber Eats",IF(LEFT(C1365,6)="CHECK ","Checks Paid",IF(OR(E1365="BILLPAY",ISNUMBER(SEARCH("FRANCHISE TAX",C1365)),ISNUMBER(SEARCH("NEXTLINK",C1365))),"Personal - House Bills",IF(AND(ISNUMBER(SEARCH("PAYMENT FROM",C1365)),ISNUMBER(SEARCH("JOE SAUNDERS",C1365))),"Zelle from Joe Saunders",IF(AND(ISNUMBER(SEARCH("PAYMENT TO",C1365)),ISNUMBER(SEARCH("JOE SAUNDERS",C1365))),"Zelle to Joe Saunders",IF(OR(ISNUMBER(SEARCH("NEW ORLEANS",C1365)),ISNUMBER(SEARCH("KENNER",C1365)),ISNUMBER(SEARCH("HENRY HOWARD",C1365)),ISNUMBER(SEARCH("MISS CLAUDIA",C1365))),"Personal Travel - New Orleans",IF(AND(YEAR(B1365)=2025,MONTH(B1365)=4,OR(ISNUMBER(SEARCH("EXCHANGE RATE",C1365)),ISNUMBER(SEARCH("EXCHG RTE",C1365)))),"Personal Travel - Italy",IFERROR(INDEX('Category Rules'!$B$2:$B$358,MATCH(TRUE,ISNUMBER(SEARCH('Category Rules'!$A$2:$A$358,C1365)),0)),""))))))))</f>
        <v>Apple</v>
      </c>
    </row>
    <row r="1366" spans="1:7" x14ac:dyDescent="0.25">
      <c r="A1366" t="s">
        <v>6</v>
      </c>
      <c r="B1366" s="1">
        <v>45824</v>
      </c>
      <c r="C1366" t="s">
        <v>1285</v>
      </c>
      <c r="D1366">
        <v>-39.520000000000003</v>
      </c>
      <c r="E1366" t="s">
        <v>10</v>
      </c>
      <c r="F1366">
        <v>3616.46</v>
      </c>
      <c r="G1366" t="str" cm="1">
        <f t="array" ref="G1366">IF(AND(ISNUMBER(SEARCH("UBER",C1366)),ISNUMBER(SEARCH("EATS",C1366))),"Uber Eats",IF(LEFT(C1366,6)="CHECK ","Checks Paid",IF(OR(E1366="BILLPAY",ISNUMBER(SEARCH("FRANCHISE TAX",C1366)),ISNUMBER(SEARCH("NEXTLINK",C1366))),"Personal - House Bills",IF(AND(ISNUMBER(SEARCH("PAYMENT FROM",C1366)),ISNUMBER(SEARCH("JOE SAUNDERS",C1366))),"Zelle from Joe Saunders",IF(AND(ISNUMBER(SEARCH("PAYMENT TO",C1366)),ISNUMBER(SEARCH("JOE SAUNDERS",C1366))),"Zelle to Joe Saunders",IF(OR(ISNUMBER(SEARCH("NEW ORLEANS",C1366)),ISNUMBER(SEARCH("KENNER",C1366)),ISNUMBER(SEARCH("HENRY HOWARD",C1366)),ISNUMBER(SEARCH("MISS CLAUDIA",C1366))),"Personal Travel - New Orleans",IF(AND(YEAR(B1366)=2025,MONTH(B1366)=4,OR(ISNUMBER(SEARCH("EXCHANGE RATE",C1366)),ISNUMBER(SEARCH("EXCHG RTE",C1366)))),"Personal Travel - Italy",IFERROR(INDEX('Category Rules'!$B$2:$B$358,MATCH(TRUE,ISNUMBER(SEARCH('Category Rules'!$A$2:$A$358,C1366)),0)),""))))))))</f>
        <v>Amazon</v>
      </c>
    </row>
    <row r="1367" spans="1:7" x14ac:dyDescent="0.25">
      <c r="A1367" t="s">
        <v>6</v>
      </c>
      <c r="B1367" s="1">
        <v>45824</v>
      </c>
      <c r="C1367" t="s">
        <v>1286</v>
      </c>
      <c r="D1367">
        <v>-39.479999999999997</v>
      </c>
      <c r="E1367" t="s">
        <v>10</v>
      </c>
      <c r="F1367">
        <v>3655.98</v>
      </c>
      <c r="G1367" t="str" cm="1">
        <f t="array" ref="G1367">IF(AND(ISNUMBER(SEARCH("UBER",C1367)),ISNUMBER(SEARCH("EATS",C1367))),"Uber Eats",IF(LEFT(C1367,6)="CHECK ","Checks Paid",IF(OR(E1367="BILLPAY",ISNUMBER(SEARCH("FRANCHISE TAX",C1367)),ISNUMBER(SEARCH("NEXTLINK",C1367))),"Personal - House Bills",IF(AND(ISNUMBER(SEARCH("PAYMENT FROM",C1367)),ISNUMBER(SEARCH("JOE SAUNDERS",C1367))),"Zelle from Joe Saunders",IF(AND(ISNUMBER(SEARCH("PAYMENT TO",C1367)),ISNUMBER(SEARCH("JOE SAUNDERS",C1367))),"Zelle to Joe Saunders",IF(OR(ISNUMBER(SEARCH("NEW ORLEANS",C1367)),ISNUMBER(SEARCH("KENNER",C1367)),ISNUMBER(SEARCH("HENRY HOWARD",C1367)),ISNUMBER(SEARCH("MISS CLAUDIA",C1367))),"Personal Travel - New Orleans",IF(AND(YEAR(B1367)=2025,MONTH(B1367)=4,OR(ISNUMBER(SEARCH("EXCHANGE RATE",C1367)),ISNUMBER(SEARCH("EXCHG RTE",C1367)))),"Personal Travel - Italy",IFERROR(INDEX('Category Rules'!$B$2:$B$358,MATCH(TRUE,ISNUMBER(SEARCH('Category Rules'!$A$2:$A$358,C1367)),0)),""))))))))</f>
        <v>Amazon</v>
      </c>
    </row>
    <row r="1368" spans="1:7" x14ac:dyDescent="0.25">
      <c r="A1368" t="s">
        <v>6</v>
      </c>
      <c r="B1368" s="1">
        <v>45824</v>
      </c>
      <c r="C1368" t="s">
        <v>1287</v>
      </c>
      <c r="D1368">
        <v>-39.5</v>
      </c>
      <c r="E1368" t="s">
        <v>10</v>
      </c>
      <c r="F1368">
        <v>3695.46</v>
      </c>
      <c r="G1368" t="str" cm="1">
        <f t="array" ref="G1368">IF(AND(ISNUMBER(SEARCH("UBER",C1368)),ISNUMBER(SEARCH("EATS",C1368))),"Uber Eats",IF(LEFT(C1368,6)="CHECK ","Checks Paid",IF(OR(E1368="BILLPAY",ISNUMBER(SEARCH("FRANCHISE TAX",C1368)),ISNUMBER(SEARCH("NEXTLINK",C1368))),"Personal - House Bills",IF(AND(ISNUMBER(SEARCH("PAYMENT FROM",C1368)),ISNUMBER(SEARCH("JOE SAUNDERS",C1368))),"Zelle from Joe Saunders",IF(AND(ISNUMBER(SEARCH("PAYMENT TO",C1368)),ISNUMBER(SEARCH("JOE SAUNDERS",C1368))),"Zelle to Joe Saunders",IF(OR(ISNUMBER(SEARCH("NEW ORLEANS",C1368)),ISNUMBER(SEARCH("KENNER",C1368)),ISNUMBER(SEARCH("HENRY HOWARD",C1368)),ISNUMBER(SEARCH("MISS CLAUDIA",C1368))),"Personal Travel - New Orleans",IF(AND(YEAR(B1368)=2025,MONTH(B1368)=4,OR(ISNUMBER(SEARCH("EXCHANGE RATE",C1368)),ISNUMBER(SEARCH("EXCHG RTE",C1368)))),"Personal Travel - Italy",IFERROR(INDEX('Category Rules'!$B$2:$B$358,MATCH(TRUE,ISNUMBER(SEARCH('Category Rules'!$A$2:$A$358,C1368)),0)),""))))))))</f>
        <v>Amazon</v>
      </c>
    </row>
    <row r="1369" spans="1:7" x14ac:dyDescent="0.25">
      <c r="A1369" t="s">
        <v>6</v>
      </c>
      <c r="B1369" s="1">
        <v>45824</v>
      </c>
      <c r="C1369" t="s">
        <v>1288</v>
      </c>
      <c r="D1369">
        <v>-61.33</v>
      </c>
      <c r="E1369" t="s">
        <v>10</v>
      </c>
      <c r="F1369">
        <v>3734.96</v>
      </c>
      <c r="G1369" t="str" cm="1">
        <f t="array" ref="G1369">IF(AND(ISNUMBER(SEARCH("UBER",C1369)),ISNUMBER(SEARCH("EATS",C1369))),"Uber Eats",IF(LEFT(C1369,6)="CHECK ","Checks Paid",IF(OR(E1369="BILLPAY",ISNUMBER(SEARCH("FRANCHISE TAX",C1369)),ISNUMBER(SEARCH("NEXTLINK",C1369))),"Personal - House Bills",IF(AND(ISNUMBER(SEARCH("PAYMENT FROM",C1369)),ISNUMBER(SEARCH("JOE SAUNDERS",C1369))),"Zelle from Joe Saunders",IF(AND(ISNUMBER(SEARCH("PAYMENT TO",C1369)),ISNUMBER(SEARCH("JOE SAUNDERS",C1369))),"Zelle to Joe Saunders",IF(OR(ISNUMBER(SEARCH("NEW ORLEANS",C1369)),ISNUMBER(SEARCH("KENNER",C1369)),ISNUMBER(SEARCH("HENRY HOWARD",C1369)),ISNUMBER(SEARCH("MISS CLAUDIA",C1369))),"Personal Travel - New Orleans",IF(AND(YEAR(B1369)=2025,MONTH(B1369)=4,OR(ISNUMBER(SEARCH("EXCHANGE RATE",C1369)),ISNUMBER(SEARCH("EXCHG RTE",C1369)))),"Personal Travel - Italy",IFERROR(INDEX('Category Rules'!$B$2:$B$358,MATCH(TRUE,ISNUMBER(SEARCH('Category Rules'!$A$2:$A$358,C1369)),0)),""))))))))</f>
        <v>Amazon</v>
      </c>
    </row>
    <row r="1370" spans="1:7" x14ac:dyDescent="0.25">
      <c r="A1370" t="s">
        <v>6</v>
      </c>
      <c r="B1370" s="1">
        <v>45824</v>
      </c>
      <c r="C1370" t="s">
        <v>1289</v>
      </c>
      <c r="D1370">
        <v>-28.95</v>
      </c>
      <c r="E1370" t="s">
        <v>10</v>
      </c>
      <c r="F1370">
        <v>3796.29</v>
      </c>
      <c r="G1370" t="str" cm="1">
        <f t="array" ref="G1370">IF(AND(ISNUMBER(SEARCH("UBER",C1370)),ISNUMBER(SEARCH("EATS",C1370))),"Uber Eats",IF(LEFT(C1370,6)="CHECK ","Checks Paid",IF(OR(E1370="BILLPAY",ISNUMBER(SEARCH("FRANCHISE TAX",C1370)),ISNUMBER(SEARCH("NEXTLINK",C1370))),"Personal - House Bills",IF(AND(ISNUMBER(SEARCH("PAYMENT FROM",C1370)),ISNUMBER(SEARCH("JOE SAUNDERS",C1370))),"Zelle from Joe Saunders",IF(AND(ISNUMBER(SEARCH("PAYMENT TO",C1370)),ISNUMBER(SEARCH("JOE SAUNDERS",C1370))),"Zelle to Joe Saunders",IF(OR(ISNUMBER(SEARCH("NEW ORLEANS",C1370)),ISNUMBER(SEARCH("KENNER",C1370)),ISNUMBER(SEARCH("HENRY HOWARD",C1370)),ISNUMBER(SEARCH("MISS CLAUDIA",C1370))),"Personal Travel - New Orleans",IF(AND(YEAR(B1370)=2025,MONTH(B1370)=4,OR(ISNUMBER(SEARCH("EXCHANGE RATE",C1370)),ISNUMBER(SEARCH("EXCHG RTE",C1370)))),"Personal Travel - Italy",IFERROR(INDEX('Category Rules'!$B$2:$B$358,MATCH(TRUE,ISNUMBER(SEARCH('Category Rules'!$A$2:$A$358,C1370)),0)),""))))))))</f>
        <v>Amazon</v>
      </c>
    </row>
    <row r="1371" spans="1:7" x14ac:dyDescent="0.25">
      <c r="A1371" t="s">
        <v>6</v>
      </c>
      <c r="B1371" s="1">
        <v>45824</v>
      </c>
      <c r="C1371" t="s">
        <v>1290</v>
      </c>
      <c r="D1371">
        <v>-90.01</v>
      </c>
      <c r="E1371" t="s">
        <v>10</v>
      </c>
      <c r="F1371">
        <v>3825.24</v>
      </c>
      <c r="G1371" t="str" cm="1">
        <f t="array" ref="G1371">IF(AND(ISNUMBER(SEARCH("UBER",C1371)),ISNUMBER(SEARCH("EATS",C1371))),"Uber Eats",IF(LEFT(C1371,6)="CHECK ","Checks Paid",IF(OR(E1371="BILLPAY",ISNUMBER(SEARCH("FRANCHISE TAX",C1371)),ISNUMBER(SEARCH("NEXTLINK",C1371))),"Personal - House Bills",IF(AND(ISNUMBER(SEARCH("PAYMENT FROM",C1371)),ISNUMBER(SEARCH("JOE SAUNDERS",C1371))),"Zelle from Joe Saunders",IF(AND(ISNUMBER(SEARCH("PAYMENT TO",C1371)),ISNUMBER(SEARCH("JOE SAUNDERS",C1371))),"Zelle to Joe Saunders",IF(OR(ISNUMBER(SEARCH("NEW ORLEANS",C1371)),ISNUMBER(SEARCH("KENNER",C1371)),ISNUMBER(SEARCH("HENRY HOWARD",C1371)),ISNUMBER(SEARCH("MISS CLAUDIA",C1371))),"Personal Travel - New Orleans",IF(AND(YEAR(B1371)=2025,MONTH(B1371)=4,OR(ISNUMBER(SEARCH("EXCHANGE RATE",C1371)),ISNUMBER(SEARCH("EXCHG RTE",C1371)))),"Personal Travel - Italy",IFERROR(INDEX('Category Rules'!$B$2:$B$358,MATCH(TRUE,ISNUMBER(SEARCH('Category Rules'!$A$2:$A$358,C1371)),0)),""))))))))</f>
        <v>Amazon</v>
      </c>
    </row>
    <row r="1372" spans="1:7" x14ac:dyDescent="0.25">
      <c r="A1372" t="s">
        <v>6</v>
      </c>
      <c r="B1372" s="1">
        <v>45821</v>
      </c>
      <c r="C1372" t="s">
        <v>1291</v>
      </c>
      <c r="D1372">
        <v>-500</v>
      </c>
      <c r="E1372" t="s">
        <v>39</v>
      </c>
      <c r="F1372">
        <v>3915.25</v>
      </c>
      <c r="G1372" t="str" cm="1">
        <f t="array" ref="G1372">IF(AND(ISNUMBER(SEARCH("UBER",C1372)),ISNUMBER(SEARCH("EATS",C1372))),"Uber Eats",IF(LEFT(C1372,6)="CHECK ","Checks Paid",IF(OR(E1372="BILLPAY",ISNUMBER(SEARCH("FRANCHISE TAX",C1372)),ISNUMBER(SEARCH("NEXTLINK",C1372))),"Personal - House Bills",IF(AND(ISNUMBER(SEARCH("PAYMENT FROM",C1372)),ISNUMBER(SEARCH("JOE SAUNDERS",C1372))),"Zelle from Joe Saunders",IF(AND(ISNUMBER(SEARCH("PAYMENT TO",C1372)),ISNUMBER(SEARCH("JOE SAUNDERS",C1372))),"Zelle to Joe Saunders",IF(OR(ISNUMBER(SEARCH("NEW ORLEANS",C1372)),ISNUMBER(SEARCH("KENNER",C1372)),ISNUMBER(SEARCH("HENRY HOWARD",C1372)),ISNUMBER(SEARCH("MISS CLAUDIA",C1372))),"Personal Travel - New Orleans",IF(AND(YEAR(B1372)=2025,MONTH(B1372)=4,OR(ISNUMBER(SEARCH("EXCHANGE RATE",C1372)),ISNUMBER(SEARCH("EXCHG RTE",C1372)))),"Personal Travel - Italy",IFERROR(INDEX('Category Rules'!$B$2:$B$358,MATCH(TRUE,ISNUMBER(SEARCH('Category Rules'!$A$2:$A$358,C1372)),0)),""))))))))</f>
        <v>Zelle to Britt Magadini</v>
      </c>
    </row>
    <row r="1373" spans="1:7" x14ac:dyDescent="0.25">
      <c r="A1373" t="s">
        <v>6</v>
      </c>
      <c r="B1373" s="1">
        <v>45821</v>
      </c>
      <c r="C1373" t="s">
        <v>1292</v>
      </c>
      <c r="D1373">
        <v>-677.01</v>
      </c>
      <c r="E1373" t="s">
        <v>10</v>
      </c>
      <c r="F1373">
        <v>4415.25</v>
      </c>
      <c r="G1373" t="str" cm="1">
        <f t="array" ref="G1373">IF(AND(ISNUMBER(SEARCH("UBER",C1373)),ISNUMBER(SEARCH("EATS",C1373))),"Uber Eats",IF(LEFT(C1373,6)="CHECK ","Checks Paid",IF(OR(E1373="BILLPAY",ISNUMBER(SEARCH("FRANCHISE TAX",C1373)),ISNUMBER(SEARCH("NEXTLINK",C1373))),"Personal - House Bills",IF(AND(ISNUMBER(SEARCH("PAYMENT FROM",C1373)),ISNUMBER(SEARCH("JOE SAUNDERS",C1373))),"Zelle from Joe Saunders",IF(AND(ISNUMBER(SEARCH("PAYMENT TO",C1373)),ISNUMBER(SEARCH("JOE SAUNDERS",C1373))),"Zelle to Joe Saunders",IF(OR(ISNUMBER(SEARCH("NEW ORLEANS",C1373)),ISNUMBER(SEARCH("KENNER",C1373)),ISNUMBER(SEARCH("HENRY HOWARD",C1373)),ISNUMBER(SEARCH("MISS CLAUDIA",C1373))),"Personal Travel - New Orleans",IF(AND(YEAR(B1373)=2025,MONTH(B1373)=4,OR(ISNUMBER(SEARCH("EXCHANGE RATE",C1373)),ISNUMBER(SEARCH("EXCHG RTE",C1373)))),"Personal Travel - Italy",IFERROR(INDEX('Category Rules'!$B$2:$B$358,MATCH(TRUE,ISNUMBER(SEARCH('Category Rules'!$A$2:$A$358,C1373)),0)),""))))))))</f>
        <v>Personal - Health</v>
      </c>
    </row>
    <row r="1374" spans="1:7" x14ac:dyDescent="0.25">
      <c r="A1374" t="s">
        <v>6</v>
      </c>
      <c r="B1374" s="1">
        <v>45821</v>
      </c>
      <c r="C1374" t="s">
        <v>1293</v>
      </c>
      <c r="D1374">
        <v>-1.25</v>
      </c>
      <c r="E1374" t="s">
        <v>10</v>
      </c>
      <c r="F1374">
        <v>5092.26</v>
      </c>
      <c r="G1374" t="str" cm="1">
        <f t="array" ref="G1374">IF(AND(ISNUMBER(SEARCH("UBER",C1374)),ISNUMBER(SEARCH("EATS",C1374))),"Uber Eats",IF(LEFT(C1374,6)="CHECK ","Checks Paid",IF(OR(E1374="BILLPAY",ISNUMBER(SEARCH("FRANCHISE TAX",C1374)),ISNUMBER(SEARCH("NEXTLINK",C1374))),"Personal - House Bills",IF(AND(ISNUMBER(SEARCH("PAYMENT FROM",C1374)),ISNUMBER(SEARCH("JOE SAUNDERS",C1374))),"Zelle from Joe Saunders",IF(AND(ISNUMBER(SEARCH("PAYMENT TO",C1374)),ISNUMBER(SEARCH("JOE SAUNDERS",C1374))),"Zelle to Joe Saunders",IF(OR(ISNUMBER(SEARCH("NEW ORLEANS",C1374)),ISNUMBER(SEARCH("KENNER",C1374)),ISNUMBER(SEARCH("HENRY HOWARD",C1374)),ISNUMBER(SEARCH("MISS CLAUDIA",C1374))),"Personal Travel - New Orleans",IF(AND(YEAR(B1374)=2025,MONTH(B1374)=4,OR(ISNUMBER(SEARCH("EXCHANGE RATE",C1374)),ISNUMBER(SEARCH("EXCHG RTE",C1374)))),"Personal Travel - Italy",IFERROR(INDEX('Category Rules'!$B$2:$B$358,MATCH(TRUE,ISNUMBER(SEARCH('Category Rules'!$A$2:$A$358,C1374)),0)),""))))))))</f>
        <v>Personal - Car</v>
      </c>
    </row>
    <row r="1375" spans="1:7" x14ac:dyDescent="0.25">
      <c r="A1375" t="s">
        <v>6</v>
      </c>
      <c r="B1375" s="1">
        <v>45821</v>
      </c>
      <c r="C1375" t="s">
        <v>1294</v>
      </c>
      <c r="D1375">
        <v>-10.210000000000001</v>
      </c>
      <c r="E1375" t="s">
        <v>10</v>
      </c>
      <c r="F1375">
        <v>5093.51</v>
      </c>
      <c r="G1375" t="str" cm="1">
        <f t="array" ref="G1375">IF(AND(ISNUMBER(SEARCH("UBER",C1375)),ISNUMBER(SEARCH("EATS",C1375))),"Uber Eats",IF(LEFT(C1375,6)="CHECK ","Checks Paid",IF(OR(E1375="BILLPAY",ISNUMBER(SEARCH("FRANCHISE TAX",C1375)),ISNUMBER(SEARCH("NEXTLINK",C1375))),"Personal - House Bills",IF(AND(ISNUMBER(SEARCH("PAYMENT FROM",C1375)),ISNUMBER(SEARCH("JOE SAUNDERS",C1375))),"Zelle from Joe Saunders",IF(AND(ISNUMBER(SEARCH("PAYMENT TO",C1375)),ISNUMBER(SEARCH("JOE SAUNDERS",C1375))),"Zelle to Joe Saunders",IF(OR(ISNUMBER(SEARCH("NEW ORLEANS",C1375)),ISNUMBER(SEARCH("KENNER",C1375)),ISNUMBER(SEARCH("HENRY HOWARD",C1375)),ISNUMBER(SEARCH("MISS CLAUDIA",C1375))),"Personal Travel - New Orleans",IF(AND(YEAR(B1375)=2025,MONTH(B1375)=4,OR(ISNUMBER(SEARCH("EXCHANGE RATE",C1375)),ISNUMBER(SEARCH("EXCHG RTE",C1375)))),"Personal Travel - Italy",IFERROR(INDEX('Category Rules'!$B$2:$B$358,MATCH(TRUE,ISNUMBER(SEARCH('Category Rules'!$A$2:$A$358,C1375)),0)),""))))))))</f>
        <v>Amazon</v>
      </c>
    </row>
    <row r="1376" spans="1:7" x14ac:dyDescent="0.25">
      <c r="A1376" t="s">
        <v>6</v>
      </c>
      <c r="B1376" s="1">
        <v>45820</v>
      </c>
      <c r="C1376" t="s">
        <v>1295</v>
      </c>
      <c r="D1376">
        <v>-26.98</v>
      </c>
      <c r="E1376" t="s">
        <v>10</v>
      </c>
      <c r="F1376">
        <v>5103.72</v>
      </c>
      <c r="G1376" t="str" cm="1">
        <f t="array" ref="G1376">IF(AND(ISNUMBER(SEARCH("UBER",C1376)),ISNUMBER(SEARCH("EATS",C1376))),"Uber Eats",IF(LEFT(C1376,6)="CHECK ","Checks Paid",IF(OR(E1376="BILLPAY",ISNUMBER(SEARCH("FRANCHISE TAX",C1376)),ISNUMBER(SEARCH("NEXTLINK",C1376))),"Personal - House Bills",IF(AND(ISNUMBER(SEARCH("PAYMENT FROM",C1376)),ISNUMBER(SEARCH("JOE SAUNDERS",C1376))),"Zelle from Joe Saunders",IF(AND(ISNUMBER(SEARCH("PAYMENT TO",C1376)),ISNUMBER(SEARCH("JOE SAUNDERS",C1376))),"Zelle to Joe Saunders",IF(OR(ISNUMBER(SEARCH("NEW ORLEANS",C1376)),ISNUMBER(SEARCH("KENNER",C1376)),ISNUMBER(SEARCH("HENRY HOWARD",C1376)),ISNUMBER(SEARCH("MISS CLAUDIA",C1376))),"Personal Travel - New Orleans",IF(AND(YEAR(B1376)=2025,MONTH(B1376)=4,OR(ISNUMBER(SEARCH("EXCHANGE RATE",C1376)),ISNUMBER(SEARCH("EXCHG RTE",C1376)))),"Personal Travel - Italy",IFERROR(INDEX('Category Rules'!$B$2:$B$358,MATCH(TRUE,ISNUMBER(SEARCH('Category Rules'!$A$2:$A$358,C1376)),0)),""))))))))</f>
        <v>Amazon</v>
      </c>
    </row>
    <row r="1377" spans="1:7" x14ac:dyDescent="0.25">
      <c r="A1377" t="s">
        <v>6</v>
      </c>
      <c r="B1377" s="1">
        <v>45820</v>
      </c>
      <c r="C1377" t="s">
        <v>1296</v>
      </c>
      <c r="D1377">
        <v>-7</v>
      </c>
      <c r="E1377" t="s">
        <v>10</v>
      </c>
      <c r="F1377">
        <v>5130.7</v>
      </c>
      <c r="G1377" t="str" cm="1">
        <f t="array" ref="G1377">IF(AND(ISNUMBER(SEARCH("UBER",C1377)),ISNUMBER(SEARCH("EATS",C1377))),"Uber Eats",IF(LEFT(C1377,6)="CHECK ","Checks Paid",IF(OR(E1377="BILLPAY",ISNUMBER(SEARCH("FRANCHISE TAX",C1377)),ISNUMBER(SEARCH("NEXTLINK",C1377))),"Personal - House Bills",IF(AND(ISNUMBER(SEARCH("PAYMENT FROM",C1377)),ISNUMBER(SEARCH("JOE SAUNDERS",C1377))),"Zelle from Joe Saunders",IF(AND(ISNUMBER(SEARCH("PAYMENT TO",C1377)),ISNUMBER(SEARCH("JOE SAUNDERS",C1377))),"Zelle to Joe Saunders",IF(OR(ISNUMBER(SEARCH("NEW ORLEANS",C1377)),ISNUMBER(SEARCH("KENNER",C1377)),ISNUMBER(SEARCH("HENRY HOWARD",C1377)),ISNUMBER(SEARCH("MISS CLAUDIA",C1377))),"Personal Travel - New Orleans",IF(AND(YEAR(B1377)=2025,MONTH(B1377)=4,OR(ISNUMBER(SEARCH("EXCHANGE RATE",C1377)),ISNUMBER(SEARCH("EXCHG RTE",C1377)))),"Personal Travel - Italy",IFERROR(INDEX('Category Rules'!$B$2:$B$358,MATCH(TRUE,ISNUMBER(SEARCH('Category Rules'!$A$2:$A$358,C1377)),0)),""))))))))</f>
        <v>Amazon</v>
      </c>
    </row>
    <row r="1378" spans="1:7" x14ac:dyDescent="0.25">
      <c r="A1378" t="s">
        <v>6</v>
      </c>
      <c r="B1378" s="1">
        <v>45820</v>
      </c>
      <c r="C1378" t="s">
        <v>1297</v>
      </c>
      <c r="D1378">
        <v>-517.42999999999995</v>
      </c>
      <c r="E1378" t="s">
        <v>10</v>
      </c>
      <c r="F1378">
        <v>5137.7</v>
      </c>
      <c r="G1378" t="str" cm="1">
        <f t="array" ref="G1378">IF(AND(ISNUMBER(SEARCH("UBER",C1378)),ISNUMBER(SEARCH("EATS",C1378))),"Uber Eats",IF(LEFT(C1378,6)="CHECK ","Checks Paid",IF(OR(E1378="BILLPAY",ISNUMBER(SEARCH("FRANCHISE TAX",C1378)),ISNUMBER(SEARCH("NEXTLINK",C1378))),"Personal - House Bills",IF(AND(ISNUMBER(SEARCH("PAYMENT FROM",C1378)),ISNUMBER(SEARCH("JOE SAUNDERS",C1378))),"Zelle from Joe Saunders",IF(AND(ISNUMBER(SEARCH("PAYMENT TO",C1378)),ISNUMBER(SEARCH("JOE SAUNDERS",C1378))),"Zelle to Joe Saunders",IF(OR(ISNUMBER(SEARCH("NEW ORLEANS",C1378)),ISNUMBER(SEARCH("KENNER",C1378)),ISNUMBER(SEARCH("HENRY HOWARD",C1378)),ISNUMBER(SEARCH("MISS CLAUDIA",C1378))),"Personal Travel - New Orleans",IF(AND(YEAR(B1378)=2025,MONTH(B1378)=4,OR(ISNUMBER(SEARCH("EXCHANGE RATE",C1378)),ISNUMBER(SEARCH("EXCHG RTE",C1378)))),"Personal Travel - Italy",IFERROR(INDEX('Category Rules'!$B$2:$B$358,MATCH(TRUE,ISNUMBER(SEARCH('Category Rules'!$A$2:$A$358,C1378)),0)),""))))))))</f>
        <v>Personal - Food</v>
      </c>
    </row>
    <row r="1379" spans="1:7" x14ac:dyDescent="0.25">
      <c r="A1379" t="s">
        <v>6</v>
      </c>
      <c r="B1379" s="1">
        <v>45820</v>
      </c>
      <c r="C1379" t="s">
        <v>1298</v>
      </c>
      <c r="D1379">
        <v>-386.66</v>
      </c>
      <c r="E1379" t="s">
        <v>10</v>
      </c>
      <c r="F1379">
        <v>5655.13</v>
      </c>
      <c r="G1379" t="str" cm="1">
        <f t="array" ref="G1379">IF(AND(ISNUMBER(SEARCH("UBER",C1379)),ISNUMBER(SEARCH("EATS",C1379))),"Uber Eats",IF(LEFT(C1379,6)="CHECK ","Checks Paid",IF(OR(E1379="BILLPAY",ISNUMBER(SEARCH("FRANCHISE TAX",C1379)),ISNUMBER(SEARCH("NEXTLINK",C1379))),"Personal - House Bills",IF(AND(ISNUMBER(SEARCH("PAYMENT FROM",C1379)),ISNUMBER(SEARCH("JOE SAUNDERS",C1379))),"Zelle from Joe Saunders",IF(AND(ISNUMBER(SEARCH("PAYMENT TO",C1379)),ISNUMBER(SEARCH("JOE SAUNDERS",C1379))),"Zelle to Joe Saunders",IF(OR(ISNUMBER(SEARCH("NEW ORLEANS",C1379)),ISNUMBER(SEARCH("KENNER",C1379)),ISNUMBER(SEARCH("HENRY HOWARD",C1379)),ISNUMBER(SEARCH("MISS CLAUDIA",C1379))),"Personal Travel - New Orleans",IF(AND(YEAR(B1379)=2025,MONTH(B1379)=4,OR(ISNUMBER(SEARCH("EXCHANGE RATE",C1379)),ISNUMBER(SEARCH("EXCHG RTE",C1379)))),"Personal Travel - Italy",IFERROR(INDEX('Category Rules'!$B$2:$B$358,MATCH(TRUE,ISNUMBER(SEARCH('Category Rules'!$A$2:$A$358,C1379)),0)),""))))))))</f>
        <v>Personal - House Bills</v>
      </c>
    </row>
    <row r="1380" spans="1:7" x14ac:dyDescent="0.25">
      <c r="A1380" t="s">
        <v>6</v>
      </c>
      <c r="B1380" s="1">
        <v>45820</v>
      </c>
      <c r="C1380" t="s">
        <v>1299</v>
      </c>
      <c r="D1380">
        <v>-8.58</v>
      </c>
      <c r="E1380" t="s">
        <v>10</v>
      </c>
      <c r="F1380">
        <v>6041.79</v>
      </c>
      <c r="G1380" t="str" cm="1">
        <f t="array" ref="G1380">IF(AND(ISNUMBER(SEARCH("UBER",C1380)),ISNUMBER(SEARCH("EATS",C1380))),"Uber Eats",IF(LEFT(C1380,6)="CHECK ","Checks Paid",IF(OR(E1380="BILLPAY",ISNUMBER(SEARCH("FRANCHISE TAX",C1380)),ISNUMBER(SEARCH("NEXTLINK",C1380))),"Personal - House Bills",IF(AND(ISNUMBER(SEARCH("PAYMENT FROM",C1380)),ISNUMBER(SEARCH("JOE SAUNDERS",C1380))),"Zelle from Joe Saunders",IF(AND(ISNUMBER(SEARCH("PAYMENT TO",C1380)),ISNUMBER(SEARCH("JOE SAUNDERS",C1380))),"Zelle to Joe Saunders",IF(OR(ISNUMBER(SEARCH("NEW ORLEANS",C1380)),ISNUMBER(SEARCH("KENNER",C1380)),ISNUMBER(SEARCH("HENRY HOWARD",C1380)),ISNUMBER(SEARCH("MISS CLAUDIA",C1380))),"Personal Travel - New Orleans",IF(AND(YEAR(B1380)=2025,MONTH(B1380)=4,OR(ISNUMBER(SEARCH("EXCHANGE RATE",C1380)),ISNUMBER(SEARCH("EXCHG RTE",C1380)))),"Personal Travel - Italy",IFERROR(INDEX('Category Rules'!$B$2:$B$358,MATCH(TRUE,ISNUMBER(SEARCH('Category Rules'!$A$2:$A$358,C1380)),0)),""))))))))</f>
        <v>Personal - House Bills</v>
      </c>
    </row>
    <row r="1381" spans="1:7" x14ac:dyDescent="0.25">
      <c r="A1381" t="s">
        <v>6</v>
      </c>
      <c r="B1381" s="1">
        <v>45820</v>
      </c>
      <c r="C1381" t="s">
        <v>1300</v>
      </c>
      <c r="D1381">
        <v>-47</v>
      </c>
      <c r="E1381" t="s">
        <v>10</v>
      </c>
      <c r="F1381">
        <v>6050.37</v>
      </c>
      <c r="G1381" t="str" cm="1">
        <f t="array" ref="G1381">IF(AND(ISNUMBER(SEARCH("UBER",C1381)),ISNUMBER(SEARCH("EATS",C1381))),"Uber Eats",IF(LEFT(C1381,6)="CHECK ","Checks Paid",IF(OR(E1381="BILLPAY",ISNUMBER(SEARCH("FRANCHISE TAX",C1381)),ISNUMBER(SEARCH("NEXTLINK",C1381))),"Personal - House Bills",IF(AND(ISNUMBER(SEARCH("PAYMENT FROM",C1381)),ISNUMBER(SEARCH("JOE SAUNDERS",C1381))),"Zelle from Joe Saunders",IF(AND(ISNUMBER(SEARCH("PAYMENT TO",C1381)),ISNUMBER(SEARCH("JOE SAUNDERS",C1381))),"Zelle to Joe Saunders",IF(OR(ISNUMBER(SEARCH("NEW ORLEANS",C1381)),ISNUMBER(SEARCH("KENNER",C1381)),ISNUMBER(SEARCH("HENRY HOWARD",C1381)),ISNUMBER(SEARCH("MISS CLAUDIA",C1381))),"Personal Travel - New Orleans",IF(AND(YEAR(B1381)=2025,MONTH(B1381)=4,OR(ISNUMBER(SEARCH("EXCHANGE RATE",C1381)),ISNUMBER(SEARCH("EXCHG RTE",C1381)))),"Personal Travel - Italy",IFERROR(INDEX('Category Rules'!$B$2:$B$358,MATCH(TRUE,ISNUMBER(SEARCH('Category Rules'!$A$2:$A$358,C1381)),0)),""))))))))</f>
        <v>Personal - Car</v>
      </c>
    </row>
    <row r="1382" spans="1:7" x14ac:dyDescent="0.25">
      <c r="A1382" t="s">
        <v>6</v>
      </c>
      <c r="B1382" s="1">
        <v>45820</v>
      </c>
      <c r="C1382" t="s">
        <v>1301</v>
      </c>
      <c r="D1382">
        <v>-8</v>
      </c>
      <c r="E1382" t="s">
        <v>10</v>
      </c>
      <c r="F1382">
        <v>6097.37</v>
      </c>
      <c r="G1382" t="str" cm="1">
        <f t="array" ref="G1382">IF(AND(ISNUMBER(SEARCH("UBER",C1382)),ISNUMBER(SEARCH("EATS",C1382))),"Uber Eats",IF(LEFT(C1382,6)="CHECK ","Checks Paid",IF(OR(E1382="BILLPAY",ISNUMBER(SEARCH("FRANCHISE TAX",C1382)),ISNUMBER(SEARCH("NEXTLINK",C1382))),"Personal - House Bills",IF(AND(ISNUMBER(SEARCH("PAYMENT FROM",C1382)),ISNUMBER(SEARCH("JOE SAUNDERS",C1382))),"Zelle from Joe Saunders",IF(AND(ISNUMBER(SEARCH("PAYMENT TO",C1382)),ISNUMBER(SEARCH("JOE SAUNDERS",C1382))),"Zelle to Joe Saunders",IF(OR(ISNUMBER(SEARCH("NEW ORLEANS",C1382)),ISNUMBER(SEARCH("KENNER",C1382)),ISNUMBER(SEARCH("HENRY HOWARD",C1382)),ISNUMBER(SEARCH("MISS CLAUDIA",C1382))),"Personal Travel - New Orleans",IF(AND(YEAR(B1382)=2025,MONTH(B1382)=4,OR(ISNUMBER(SEARCH("EXCHANGE RATE",C1382)),ISNUMBER(SEARCH("EXCHG RTE",C1382)))),"Personal Travel - Italy",IFERROR(INDEX('Category Rules'!$B$2:$B$358,MATCH(TRUE,ISNUMBER(SEARCH('Category Rules'!$A$2:$A$358,C1382)),0)),""))))))))</f>
        <v>Personal Travel</v>
      </c>
    </row>
    <row r="1383" spans="1:7" x14ac:dyDescent="0.25">
      <c r="A1383" t="s">
        <v>6</v>
      </c>
      <c r="B1383" s="1">
        <v>45820</v>
      </c>
      <c r="C1383" t="s">
        <v>1302</v>
      </c>
      <c r="D1383">
        <v>-100</v>
      </c>
      <c r="E1383" t="s">
        <v>10</v>
      </c>
      <c r="F1383">
        <v>6105.37</v>
      </c>
      <c r="G1383" t="str" cm="1">
        <f t="array" ref="G1383">IF(AND(ISNUMBER(SEARCH("UBER",C1383)),ISNUMBER(SEARCH("EATS",C1383))),"Uber Eats",IF(LEFT(C1383,6)="CHECK ","Checks Paid",IF(OR(E1383="BILLPAY",ISNUMBER(SEARCH("FRANCHISE TAX",C1383)),ISNUMBER(SEARCH("NEXTLINK",C1383))),"Personal - House Bills",IF(AND(ISNUMBER(SEARCH("PAYMENT FROM",C1383)),ISNUMBER(SEARCH("JOE SAUNDERS",C1383))),"Zelle from Joe Saunders",IF(AND(ISNUMBER(SEARCH("PAYMENT TO",C1383)),ISNUMBER(SEARCH("JOE SAUNDERS",C1383))),"Zelle to Joe Saunders",IF(OR(ISNUMBER(SEARCH("NEW ORLEANS",C1383)),ISNUMBER(SEARCH("KENNER",C1383)),ISNUMBER(SEARCH("HENRY HOWARD",C1383)),ISNUMBER(SEARCH("MISS CLAUDIA",C1383))),"Personal Travel - New Orleans",IF(AND(YEAR(B1383)=2025,MONTH(B1383)=4,OR(ISNUMBER(SEARCH("EXCHANGE RATE",C1383)),ISNUMBER(SEARCH("EXCHG RTE",C1383)))),"Personal Travel - Italy",IFERROR(INDEX('Category Rules'!$B$2:$B$358,MATCH(TRUE,ISNUMBER(SEARCH('Category Rules'!$A$2:$A$358,C1383)),0)),""))))))))</f>
        <v>Personal Travel</v>
      </c>
    </row>
    <row r="1384" spans="1:7" x14ac:dyDescent="0.25">
      <c r="A1384" t="s">
        <v>6</v>
      </c>
      <c r="B1384" s="1">
        <v>45820</v>
      </c>
      <c r="C1384" t="s">
        <v>1303</v>
      </c>
      <c r="D1384">
        <v>-345.06</v>
      </c>
      <c r="E1384" t="s">
        <v>10</v>
      </c>
      <c r="F1384">
        <v>6205.37</v>
      </c>
      <c r="G1384" t="str" cm="1">
        <f t="array" ref="G1384">IF(AND(ISNUMBER(SEARCH("UBER",C1384)),ISNUMBER(SEARCH("EATS",C1384))),"Uber Eats",IF(LEFT(C1384,6)="CHECK ","Checks Paid",IF(OR(E1384="BILLPAY",ISNUMBER(SEARCH("FRANCHISE TAX",C1384)),ISNUMBER(SEARCH("NEXTLINK",C1384))),"Personal - House Bills",IF(AND(ISNUMBER(SEARCH("PAYMENT FROM",C1384)),ISNUMBER(SEARCH("JOE SAUNDERS",C1384))),"Zelle from Joe Saunders",IF(AND(ISNUMBER(SEARCH("PAYMENT TO",C1384)),ISNUMBER(SEARCH("JOE SAUNDERS",C1384))),"Zelle to Joe Saunders",IF(OR(ISNUMBER(SEARCH("NEW ORLEANS",C1384)),ISNUMBER(SEARCH("KENNER",C1384)),ISNUMBER(SEARCH("HENRY HOWARD",C1384)),ISNUMBER(SEARCH("MISS CLAUDIA",C1384))),"Personal Travel - New Orleans",IF(AND(YEAR(B1384)=2025,MONTH(B1384)=4,OR(ISNUMBER(SEARCH("EXCHANGE RATE",C1384)),ISNUMBER(SEARCH("EXCHG RTE",C1384)))),"Personal Travel - Italy",IFERROR(INDEX('Category Rules'!$B$2:$B$358,MATCH(TRUE,ISNUMBER(SEARCH('Category Rules'!$A$2:$A$358,C1384)),0)),""))))))))</f>
        <v>Amazon</v>
      </c>
    </row>
    <row r="1385" spans="1:7" x14ac:dyDescent="0.25">
      <c r="A1385" t="s">
        <v>6</v>
      </c>
      <c r="B1385" s="1">
        <v>45819</v>
      </c>
      <c r="C1385" t="s">
        <v>1304</v>
      </c>
      <c r="D1385">
        <v>-238.03</v>
      </c>
      <c r="E1385" t="s">
        <v>33</v>
      </c>
      <c r="F1385">
        <v>6550.43</v>
      </c>
      <c r="G1385" t="str" cm="1">
        <f t="array" ref="G1385">IF(AND(ISNUMBER(SEARCH("UBER",C1385)),ISNUMBER(SEARCH("EATS",C1385))),"Uber Eats",IF(LEFT(C1385,6)="CHECK ","Checks Paid",IF(OR(E1385="BILLPAY",ISNUMBER(SEARCH("FRANCHISE TAX",C1385)),ISNUMBER(SEARCH("NEXTLINK",C1385))),"Personal - House Bills",IF(AND(ISNUMBER(SEARCH("PAYMENT FROM",C1385)),ISNUMBER(SEARCH("JOE SAUNDERS",C1385))),"Zelle from Joe Saunders",IF(AND(ISNUMBER(SEARCH("PAYMENT TO",C1385)),ISNUMBER(SEARCH("JOE SAUNDERS",C1385))),"Zelle to Joe Saunders",IF(OR(ISNUMBER(SEARCH("NEW ORLEANS",C1385)),ISNUMBER(SEARCH("KENNER",C1385)),ISNUMBER(SEARCH("HENRY HOWARD",C1385)),ISNUMBER(SEARCH("MISS CLAUDIA",C1385))),"Personal Travel - New Orleans",IF(AND(YEAR(B1385)=2025,MONTH(B1385)=4,OR(ISNUMBER(SEARCH("EXCHANGE RATE",C1385)),ISNUMBER(SEARCH("EXCHG RTE",C1385)))),"Personal Travel - Italy",IFERROR(INDEX('Category Rules'!$B$2:$B$358,MATCH(TRUE,ISNUMBER(SEARCH('Category Rules'!$A$2:$A$358,C1385)),0)),""))))))))</f>
        <v>Personal - House Bills</v>
      </c>
    </row>
    <row r="1386" spans="1:7" x14ac:dyDescent="0.25">
      <c r="A1386" t="s">
        <v>6</v>
      </c>
      <c r="B1386" s="1">
        <v>45819</v>
      </c>
      <c r="C1386" t="s">
        <v>1305</v>
      </c>
      <c r="D1386">
        <v>-59.11</v>
      </c>
      <c r="E1386" t="s">
        <v>33</v>
      </c>
      <c r="F1386">
        <v>6788.46</v>
      </c>
      <c r="G1386" t="str" cm="1">
        <f t="array" ref="G1386">IF(AND(ISNUMBER(SEARCH("UBER",C1386)),ISNUMBER(SEARCH("EATS",C1386))),"Uber Eats",IF(LEFT(C1386,6)="CHECK ","Checks Paid",IF(OR(E1386="BILLPAY",ISNUMBER(SEARCH("FRANCHISE TAX",C1386)),ISNUMBER(SEARCH("NEXTLINK",C1386))),"Personal - House Bills",IF(AND(ISNUMBER(SEARCH("PAYMENT FROM",C1386)),ISNUMBER(SEARCH("JOE SAUNDERS",C1386))),"Zelle from Joe Saunders",IF(AND(ISNUMBER(SEARCH("PAYMENT TO",C1386)),ISNUMBER(SEARCH("JOE SAUNDERS",C1386))),"Zelle to Joe Saunders",IF(OR(ISNUMBER(SEARCH("NEW ORLEANS",C1386)),ISNUMBER(SEARCH("KENNER",C1386)),ISNUMBER(SEARCH("HENRY HOWARD",C1386)),ISNUMBER(SEARCH("MISS CLAUDIA",C1386))),"Personal Travel - New Orleans",IF(AND(YEAR(B1386)=2025,MONTH(B1386)=4,OR(ISNUMBER(SEARCH("EXCHANGE RATE",C1386)),ISNUMBER(SEARCH("EXCHG RTE",C1386)))),"Personal Travel - Italy",IFERROR(INDEX('Category Rules'!$B$2:$B$358,MATCH(TRUE,ISNUMBER(SEARCH('Category Rules'!$A$2:$A$358,C1386)),0)),""))))))))</f>
        <v>Personal - House Bills</v>
      </c>
    </row>
    <row r="1387" spans="1:7" x14ac:dyDescent="0.25">
      <c r="A1387" t="s">
        <v>6</v>
      </c>
      <c r="B1387" s="1">
        <v>45819</v>
      </c>
      <c r="C1387" t="s">
        <v>1306</v>
      </c>
      <c r="D1387">
        <v>-114.16</v>
      </c>
      <c r="E1387" t="s">
        <v>10</v>
      </c>
      <c r="F1387">
        <v>6847.57</v>
      </c>
      <c r="G1387" t="str" cm="1">
        <f t="array" ref="G1387">IF(AND(ISNUMBER(SEARCH("UBER",C1387)),ISNUMBER(SEARCH("EATS",C1387))),"Uber Eats",IF(LEFT(C1387,6)="CHECK ","Checks Paid",IF(OR(E1387="BILLPAY",ISNUMBER(SEARCH("FRANCHISE TAX",C1387)),ISNUMBER(SEARCH("NEXTLINK",C1387))),"Personal - House Bills",IF(AND(ISNUMBER(SEARCH("PAYMENT FROM",C1387)),ISNUMBER(SEARCH("JOE SAUNDERS",C1387))),"Zelle from Joe Saunders",IF(AND(ISNUMBER(SEARCH("PAYMENT TO",C1387)),ISNUMBER(SEARCH("JOE SAUNDERS",C1387))),"Zelle to Joe Saunders",IF(OR(ISNUMBER(SEARCH("NEW ORLEANS",C1387)),ISNUMBER(SEARCH("KENNER",C1387)),ISNUMBER(SEARCH("HENRY HOWARD",C1387)),ISNUMBER(SEARCH("MISS CLAUDIA",C1387))),"Personal Travel - New Orleans",IF(AND(YEAR(B1387)=2025,MONTH(B1387)=4,OR(ISNUMBER(SEARCH("EXCHANGE RATE",C1387)),ISNUMBER(SEARCH("EXCHG RTE",C1387)))),"Personal Travel - Italy",IFERROR(INDEX('Category Rules'!$B$2:$B$358,MATCH(TRUE,ISNUMBER(SEARCH('Category Rules'!$A$2:$A$358,C1387)),0)),""))))))))</f>
        <v>Personal - Food</v>
      </c>
    </row>
    <row r="1388" spans="1:7" x14ac:dyDescent="0.25">
      <c r="A1388" t="s">
        <v>6</v>
      </c>
      <c r="B1388" s="1">
        <v>45819</v>
      </c>
      <c r="C1388" t="s">
        <v>1307</v>
      </c>
      <c r="D1388">
        <v>-89.94</v>
      </c>
      <c r="E1388" t="s">
        <v>10</v>
      </c>
      <c r="F1388">
        <v>6961.73</v>
      </c>
      <c r="G1388" t="str" cm="1">
        <f t="array" ref="G1388">IF(AND(ISNUMBER(SEARCH("UBER",C1388)),ISNUMBER(SEARCH("EATS",C1388))),"Uber Eats",IF(LEFT(C1388,6)="CHECK ","Checks Paid",IF(OR(E1388="BILLPAY",ISNUMBER(SEARCH("FRANCHISE TAX",C1388)),ISNUMBER(SEARCH("NEXTLINK",C1388))),"Personal - House Bills",IF(AND(ISNUMBER(SEARCH("PAYMENT FROM",C1388)),ISNUMBER(SEARCH("JOE SAUNDERS",C1388))),"Zelle from Joe Saunders",IF(AND(ISNUMBER(SEARCH("PAYMENT TO",C1388)),ISNUMBER(SEARCH("JOE SAUNDERS",C1388))),"Zelle to Joe Saunders",IF(OR(ISNUMBER(SEARCH("NEW ORLEANS",C1388)),ISNUMBER(SEARCH("KENNER",C1388)),ISNUMBER(SEARCH("HENRY HOWARD",C1388)),ISNUMBER(SEARCH("MISS CLAUDIA",C1388))),"Personal Travel - New Orleans",IF(AND(YEAR(B1388)=2025,MONTH(B1388)=4,OR(ISNUMBER(SEARCH("EXCHANGE RATE",C1388)),ISNUMBER(SEARCH("EXCHG RTE",C1388)))),"Personal Travel - Italy",IFERROR(INDEX('Category Rules'!$B$2:$B$358,MATCH(TRUE,ISNUMBER(SEARCH('Category Rules'!$A$2:$A$358,C1388)),0)),""))))))))</f>
        <v>Amazon</v>
      </c>
    </row>
    <row r="1389" spans="1:7" x14ac:dyDescent="0.25">
      <c r="A1389" t="s">
        <v>6</v>
      </c>
      <c r="B1389" s="1">
        <v>45819</v>
      </c>
      <c r="C1389" t="s">
        <v>1308</v>
      </c>
      <c r="D1389">
        <v>-498.89</v>
      </c>
      <c r="E1389" t="s">
        <v>10</v>
      </c>
      <c r="F1389">
        <v>7051.67</v>
      </c>
      <c r="G1389" t="str" cm="1">
        <f t="array" ref="G1389">IF(AND(ISNUMBER(SEARCH("UBER",C1389)),ISNUMBER(SEARCH("EATS",C1389))),"Uber Eats",IF(LEFT(C1389,6)="CHECK ","Checks Paid",IF(OR(E1389="BILLPAY",ISNUMBER(SEARCH("FRANCHISE TAX",C1389)),ISNUMBER(SEARCH("NEXTLINK",C1389))),"Personal - House Bills",IF(AND(ISNUMBER(SEARCH("PAYMENT FROM",C1389)),ISNUMBER(SEARCH("JOE SAUNDERS",C1389))),"Zelle from Joe Saunders",IF(AND(ISNUMBER(SEARCH("PAYMENT TO",C1389)),ISNUMBER(SEARCH("JOE SAUNDERS",C1389))),"Zelle to Joe Saunders",IF(OR(ISNUMBER(SEARCH("NEW ORLEANS",C1389)),ISNUMBER(SEARCH("KENNER",C1389)),ISNUMBER(SEARCH("HENRY HOWARD",C1389)),ISNUMBER(SEARCH("MISS CLAUDIA",C1389))),"Personal Travel - New Orleans",IF(AND(YEAR(B1389)=2025,MONTH(B1389)=4,OR(ISNUMBER(SEARCH("EXCHANGE RATE",C1389)),ISNUMBER(SEARCH("EXCHG RTE",C1389)))),"Personal Travel - Italy",IFERROR(INDEX('Category Rules'!$B$2:$B$358,MATCH(TRUE,ISNUMBER(SEARCH('Category Rules'!$A$2:$A$358,C1389)),0)),""))))))))</f>
        <v>Personal - Shopping</v>
      </c>
    </row>
    <row r="1390" spans="1:7" x14ac:dyDescent="0.25">
      <c r="A1390" t="s">
        <v>6</v>
      </c>
      <c r="B1390" s="1">
        <v>45819</v>
      </c>
      <c r="C1390" t="s">
        <v>1309</v>
      </c>
      <c r="D1390">
        <v>-665.88</v>
      </c>
      <c r="E1390" t="s">
        <v>10</v>
      </c>
      <c r="F1390">
        <v>7550.56</v>
      </c>
      <c r="G1390" t="str" cm="1">
        <f t="array" ref="G1390">IF(AND(ISNUMBER(SEARCH("UBER",C1390)),ISNUMBER(SEARCH("EATS",C1390))),"Uber Eats",IF(LEFT(C1390,6)="CHECK ","Checks Paid",IF(OR(E1390="BILLPAY",ISNUMBER(SEARCH("FRANCHISE TAX",C1390)),ISNUMBER(SEARCH("NEXTLINK",C1390))),"Personal - House Bills",IF(AND(ISNUMBER(SEARCH("PAYMENT FROM",C1390)),ISNUMBER(SEARCH("JOE SAUNDERS",C1390))),"Zelle from Joe Saunders",IF(AND(ISNUMBER(SEARCH("PAYMENT TO",C1390)),ISNUMBER(SEARCH("JOE SAUNDERS",C1390))),"Zelle to Joe Saunders",IF(OR(ISNUMBER(SEARCH("NEW ORLEANS",C1390)),ISNUMBER(SEARCH("KENNER",C1390)),ISNUMBER(SEARCH("HENRY HOWARD",C1390)),ISNUMBER(SEARCH("MISS CLAUDIA",C1390))),"Personal Travel - New Orleans",IF(AND(YEAR(B1390)=2025,MONTH(B1390)=4,OR(ISNUMBER(SEARCH("EXCHANGE RATE",C1390)),ISNUMBER(SEARCH("EXCHG RTE",C1390)))),"Personal Travel - Italy",IFERROR(INDEX('Category Rules'!$B$2:$B$358,MATCH(TRUE,ISNUMBER(SEARCH('Category Rules'!$A$2:$A$358,C1390)),0)),""))))))))</f>
        <v>Amazon</v>
      </c>
    </row>
    <row r="1391" spans="1:7" x14ac:dyDescent="0.25">
      <c r="A1391" t="s">
        <v>44</v>
      </c>
      <c r="B1391" s="1">
        <v>45819</v>
      </c>
      <c r="C1391" t="s">
        <v>1310</v>
      </c>
      <c r="D1391">
        <v>5000</v>
      </c>
      <c r="E1391" t="s">
        <v>73</v>
      </c>
      <c r="F1391">
        <v>8216.44</v>
      </c>
      <c r="G1391" t="str" cm="1">
        <f t="array" ref="G1391">IF(AND(ISNUMBER(SEARCH("UBER",C1391)),ISNUMBER(SEARCH("EATS",C1391))),"Uber Eats",IF(LEFT(C1391,6)="CHECK ","Checks Paid",IF(OR(E1391="BILLPAY",ISNUMBER(SEARCH("FRANCHISE TAX",C1391)),ISNUMBER(SEARCH("NEXTLINK",C1391))),"Personal - House Bills",IF(AND(ISNUMBER(SEARCH("PAYMENT FROM",C1391)),ISNUMBER(SEARCH("JOE SAUNDERS",C1391))),"Zelle from Joe Saunders",IF(AND(ISNUMBER(SEARCH("PAYMENT TO",C1391)),ISNUMBER(SEARCH("JOE SAUNDERS",C1391))),"Zelle to Joe Saunders",IF(OR(ISNUMBER(SEARCH("NEW ORLEANS",C1391)),ISNUMBER(SEARCH("KENNER",C1391)),ISNUMBER(SEARCH("HENRY HOWARD",C1391)),ISNUMBER(SEARCH("MISS CLAUDIA",C1391))),"Personal Travel - New Orleans",IF(AND(YEAR(B1391)=2025,MONTH(B1391)=4,OR(ISNUMBER(SEARCH("EXCHANGE RATE",C1391)),ISNUMBER(SEARCH("EXCHG RTE",C1391)))),"Personal Travel - Italy",IFERROR(INDEX('Category Rules'!$B$2:$B$358,MATCH(TRUE,ISNUMBER(SEARCH('Category Rules'!$A$2:$A$358,C1391)),0)),""))))))))</f>
        <v>Transfer from DWG Capital Group</v>
      </c>
    </row>
    <row r="1392" spans="1:7" x14ac:dyDescent="0.25">
      <c r="A1392" t="s">
        <v>6</v>
      </c>
      <c r="B1392" s="1">
        <v>45818</v>
      </c>
      <c r="C1392" t="s">
        <v>1311</v>
      </c>
      <c r="D1392">
        <v>-517.49</v>
      </c>
      <c r="E1392" t="s">
        <v>10</v>
      </c>
      <c r="F1392">
        <v>3216.44</v>
      </c>
      <c r="G1392" t="str" cm="1">
        <f t="array" ref="G1392">IF(AND(ISNUMBER(SEARCH("UBER",C1392)),ISNUMBER(SEARCH("EATS",C1392))),"Uber Eats",IF(LEFT(C1392,6)="CHECK ","Checks Paid",IF(OR(E1392="BILLPAY",ISNUMBER(SEARCH("FRANCHISE TAX",C1392)),ISNUMBER(SEARCH("NEXTLINK",C1392))),"Personal - House Bills",IF(AND(ISNUMBER(SEARCH("PAYMENT FROM",C1392)),ISNUMBER(SEARCH("JOE SAUNDERS",C1392))),"Zelle from Joe Saunders",IF(AND(ISNUMBER(SEARCH("PAYMENT TO",C1392)),ISNUMBER(SEARCH("JOE SAUNDERS",C1392))),"Zelle to Joe Saunders",IF(OR(ISNUMBER(SEARCH("NEW ORLEANS",C1392)),ISNUMBER(SEARCH("KENNER",C1392)),ISNUMBER(SEARCH("HENRY HOWARD",C1392)),ISNUMBER(SEARCH("MISS CLAUDIA",C1392))),"Personal Travel - New Orleans",IF(AND(YEAR(B1392)=2025,MONTH(B1392)=4,OR(ISNUMBER(SEARCH("EXCHANGE RATE",C1392)),ISNUMBER(SEARCH("EXCHG RTE",C1392)))),"Personal Travel - Italy",IFERROR(INDEX('Category Rules'!$B$2:$B$358,MATCH(TRUE,ISNUMBER(SEARCH('Category Rules'!$A$2:$A$358,C1392)),0)),""))))))))</f>
        <v>Personal - Shopping</v>
      </c>
    </row>
    <row r="1393" spans="1:7" x14ac:dyDescent="0.25">
      <c r="A1393" t="s">
        <v>6</v>
      </c>
      <c r="B1393" s="1">
        <v>45818</v>
      </c>
      <c r="C1393" t="s">
        <v>1312</v>
      </c>
      <c r="D1393">
        <v>-12.99</v>
      </c>
      <c r="E1393" t="s">
        <v>10</v>
      </c>
      <c r="F1393">
        <v>3733.93</v>
      </c>
      <c r="G1393" t="str" cm="1">
        <f t="array" ref="G1393">IF(AND(ISNUMBER(SEARCH("UBER",C1393)),ISNUMBER(SEARCH("EATS",C1393))),"Uber Eats",IF(LEFT(C1393,6)="CHECK ","Checks Paid",IF(OR(E1393="BILLPAY",ISNUMBER(SEARCH("FRANCHISE TAX",C1393)),ISNUMBER(SEARCH("NEXTLINK",C1393))),"Personal - House Bills",IF(AND(ISNUMBER(SEARCH("PAYMENT FROM",C1393)),ISNUMBER(SEARCH("JOE SAUNDERS",C1393))),"Zelle from Joe Saunders",IF(AND(ISNUMBER(SEARCH("PAYMENT TO",C1393)),ISNUMBER(SEARCH("JOE SAUNDERS",C1393))),"Zelle to Joe Saunders",IF(OR(ISNUMBER(SEARCH("NEW ORLEANS",C1393)),ISNUMBER(SEARCH("KENNER",C1393)),ISNUMBER(SEARCH("HENRY HOWARD",C1393)),ISNUMBER(SEARCH("MISS CLAUDIA",C1393))),"Personal Travel - New Orleans",IF(AND(YEAR(B1393)=2025,MONTH(B1393)=4,OR(ISNUMBER(SEARCH("EXCHANGE RATE",C1393)),ISNUMBER(SEARCH("EXCHG RTE",C1393)))),"Personal Travel - Italy",IFERROR(INDEX('Category Rules'!$B$2:$B$358,MATCH(TRUE,ISNUMBER(SEARCH('Category Rules'!$A$2:$A$358,C1393)),0)),""))))))))</f>
        <v>Apple</v>
      </c>
    </row>
    <row r="1394" spans="1:7" x14ac:dyDescent="0.25">
      <c r="A1394" t="s">
        <v>6</v>
      </c>
      <c r="B1394" s="1">
        <v>45818</v>
      </c>
      <c r="C1394" t="s">
        <v>1313</v>
      </c>
      <c r="D1394">
        <v>-35</v>
      </c>
      <c r="E1394" t="s">
        <v>10</v>
      </c>
      <c r="F1394">
        <v>3746.92</v>
      </c>
      <c r="G1394" t="str" cm="1">
        <f t="array" ref="G1394">IF(AND(ISNUMBER(SEARCH("UBER",C1394)),ISNUMBER(SEARCH("EATS",C1394))),"Uber Eats",IF(LEFT(C1394,6)="CHECK ","Checks Paid",IF(OR(E1394="BILLPAY",ISNUMBER(SEARCH("FRANCHISE TAX",C1394)),ISNUMBER(SEARCH("NEXTLINK",C1394))),"Personal - House Bills",IF(AND(ISNUMBER(SEARCH("PAYMENT FROM",C1394)),ISNUMBER(SEARCH("JOE SAUNDERS",C1394))),"Zelle from Joe Saunders",IF(AND(ISNUMBER(SEARCH("PAYMENT TO",C1394)),ISNUMBER(SEARCH("JOE SAUNDERS",C1394))),"Zelle to Joe Saunders",IF(OR(ISNUMBER(SEARCH("NEW ORLEANS",C1394)),ISNUMBER(SEARCH("KENNER",C1394)),ISNUMBER(SEARCH("HENRY HOWARD",C1394)),ISNUMBER(SEARCH("MISS CLAUDIA",C1394))),"Personal Travel - New Orleans",IF(AND(YEAR(B1394)=2025,MONTH(B1394)=4,OR(ISNUMBER(SEARCH("EXCHANGE RATE",C1394)),ISNUMBER(SEARCH("EXCHG RTE",C1394)))),"Personal Travel - Italy",IFERROR(INDEX('Category Rules'!$B$2:$B$358,MATCH(TRUE,ISNUMBER(SEARCH('Category Rules'!$A$2:$A$358,C1394)),0)),""))))))))</f>
        <v>Personal Travel</v>
      </c>
    </row>
    <row r="1395" spans="1:7" x14ac:dyDescent="0.25">
      <c r="A1395" t="s">
        <v>6</v>
      </c>
      <c r="B1395" s="1">
        <v>45818</v>
      </c>
      <c r="C1395" t="s">
        <v>1313</v>
      </c>
      <c r="D1395">
        <v>-45</v>
      </c>
      <c r="E1395" t="s">
        <v>10</v>
      </c>
      <c r="F1395">
        <v>3781.92</v>
      </c>
      <c r="G1395" t="str" cm="1">
        <f t="array" ref="G1395">IF(AND(ISNUMBER(SEARCH("UBER",C1395)),ISNUMBER(SEARCH("EATS",C1395))),"Uber Eats",IF(LEFT(C1395,6)="CHECK ","Checks Paid",IF(OR(E1395="BILLPAY",ISNUMBER(SEARCH("FRANCHISE TAX",C1395)),ISNUMBER(SEARCH("NEXTLINK",C1395))),"Personal - House Bills",IF(AND(ISNUMBER(SEARCH("PAYMENT FROM",C1395)),ISNUMBER(SEARCH("JOE SAUNDERS",C1395))),"Zelle from Joe Saunders",IF(AND(ISNUMBER(SEARCH("PAYMENT TO",C1395)),ISNUMBER(SEARCH("JOE SAUNDERS",C1395))),"Zelle to Joe Saunders",IF(OR(ISNUMBER(SEARCH("NEW ORLEANS",C1395)),ISNUMBER(SEARCH("KENNER",C1395)),ISNUMBER(SEARCH("HENRY HOWARD",C1395)),ISNUMBER(SEARCH("MISS CLAUDIA",C1395))),"Personal Travel - New Orleans",IF(AND(YEAR(B1395)=2025,MONTH(B1395)=4,OR(ISNUMBER(SEARCH("EXCHANGE RATE",C1395)),ISNUMBER(SEARCH("EXCHG RTE",C1395)))),"Personal Travel - Italy",IFERROR(INDEX('Category Rules'!$B$2:$B$358,MATCH(TRUE,ISNUMBER(SEARCH('Category Rules'!$A$2:$A$358,C1395)),0)),""))))))))</f>
        <v>Personal Travel</v>
      </c>
    </row>
    <row r="1396" spans="1:7" x14ac:dyDescent="0.25">
      <c r="A1396" t="s">
        <v>6</v>
      </c>
      <c r="B1396" s="1">
        <v>45818</v>
      </c>
      <c r="C1396" t="s">
        <v>1314</v>
      </c>
      <c r="D1396">
        <v>-3.99</v>
      </c>
      <c r="E1396" t="s">
        <v>10</v>
      </c>
      <c r="F1396">
        <v>3826.92</v>
      </c>
      <c r="G1396" t="str" cm="1">
        <f t="array" ref="G1396">IF(AND(ISNUMBER(SEARCH("UBER",C1396)),ISNUMBER(SEARCH("EATS",C1396))),"Uber Eats",IF(LEFT(C1396,6)="CHECK ","Checks Paid",IF(OR(E1396="BILLPAY",ISNUMBER(SEARCH("FRANCHISE TAX",C1396)),ISNUMBER(SEARCH("NEXTLINK",C1396))),"Personal - House Bills",IF(AND(ISNUMBER(SEARCH("PAYMENT FROM",C1396)),ISNUMBER(SEARCH("JOE SAUNDERS",C1396))),"Zelle from Joe Saunders",IF(AND(ISNUMBER(SEARCH("PAYMENT TO",C1396)),ISNUMBER(SEARCH("JOE SAUNDERS",C1396))),"Zelle to Joe Saunders",IF(OR(ISNUMBER(SEARCH("NEW ORLEANS",C1396)),ISNUMBER(SEARCH("KENNER",C1396)),ISNUMBER(SEARCH("HENRY HOWARD",C1396)),ISNUMBER(SEARCH("MISS CLAUDIA",C1396))),"Personal Travel - New Orleans",IF(AND(YEAR(B1396)=2025,MONTH(B1396)=4,OR(ISNUMBER(SEARCH("EXCHANGE RATE",C1396)),ISNUMBER(SEARCH("EXCHG RTE",C1396)))),"Personal Travel - Italy",IFERROR(INDEX('Category Rules'!$B$2:$B$358,MATCH(TRUE,ISNUMBER(SEARCH('Category Rules'!$A$2:$A$358,C1396)),0)),""))))))))</f>
        <v>Apple</v>
      </c>
    </row>
    <row r="1397" spans="1:7" x14ac:dyDescent="0.25">
      <c r="A1397" t="s">
        <v>6</v>
      </c>
      <c r="B1397" s="1">
        <v>45818</v>
      </c>
      <c r="C1397" t="s">
        <v>1315</v>
      </c>
      <c r="D1397">
        <v>-21.9</v>
      </c>
      <c r="E1397" t="s">
        <v>10</v>
      </c>
      <c r="F1397">
        <v>3830.91</v>
      </c>
      <c r="G1397" t="str" cm="1">
        <f t="array" ref="G1397">IF(AND(ISNUMBER(SEARCH("UBER",C1397)),ISNUMBER(SEARCH("EATS",C1397))),"Uber Eats",IF(LEFT(C1397,6)="CHECK ","Checks Paid",IF(OR(E1397="BILLPAY",ISNUMBER(SEARCH("FRANCHISE TAX",C1397)),ISNUMBER(SEARCH("NEXTLINK",C1397))),"Personal - House Bills",IF(AND(ISNUMBER(SEARCH("PAYMENT FROM",C1397)),ISNUMBER(SEARCH("JOE SAUNDERS",C1397))),"Zelle from Joe Saunders",IF(AND(ISNUMBER(SEARCH("PAYMENT TO",C1397)),ISNUMBER(SEARCH("JOE SAUNDERS",C1397))),"Zelle to Joe Saunders",IF(OR(ISNUMBER(SEARCH("NEW ORLEANS",C1397)),ISNUMBER(SEARCH("KENNER",C1397)),ISNUMBER(SEARCH("HENRY HOWARD",C1397)),ISNUMBER(SEARCH("MISS CLAUDIA",C1397))),"Personal Travel - New Orleans",IF(AND(YEAR(B1397)=2025,MONTH(B1397)=4,OR(ISNUMBER(SEARCH("EXCHANGE RATE",C1397)),ISNUMBER(SEARCH("EXCHG RTE",C1397)))),"Personal Travel - Italy",IFERROR(INDEX('Category Rules'!$B$2:$B$358,MATCH(TRUE,ISNUMBER(SEARCH('Category Rules'!$A$2:$A$358,C1397)),0)),""))))))))</f>
        <v>Amazon</v>
      </c>
    </row>
    <row r="1398" spans="1:7" x14ac:dyDescent="0.25">
      <c r="A1398" t="s">
        <v>6</v>
      </c>
      <c r="B1398" s="1">
        <v>45818</v>
      </c>
      <c r="C1398" t="s">
        <v>1316</v>
      </c>
      <c r="D1398">
        <v>-29.61</v>
      </c>
      <c r="E1398" t="s">
        <v>10</v>
      </c>
      <c r="F1398">
        <v>3852.81</v>
      </c>
      <c r="G1398" t="str" cm="1">
        <f t="array" ref="G1398">IF(AND(ISNUMBER(SEARCH("UBER",C1398)),ISNUMBER(SEARCH("EATS",C1398))),"Uber Eats",IF(LEFT(C1398,6)="CHECK ","Checks Paid",IF(OR(E1398="BILLPAY",ISNUMBER(SEARCH("FRANCHISE TAX",C1398)),ISNUMBER(SEARCH("NEXTLINK",C1398))),"Personal - House Bills",IF(AND(ISNUMBER(SEARCH("PAYMENT FROM",C1398)),ISNUMBER(SEARCH("JOE SAUNDERS",C1398))),"Zelle from Joe Saunders",IF(AND(ISNUMBER(SEARCH("PAYMENT TO",C1398)),ISNUMBER(SEARCH("JOE SAUNDERS",C1398))),"Zelle to Joe Saunders",IF(OR(ISNUMBER(SEARCH("NEW ORLEANS",C1398)),ISNUMBER(SEARCH("KENNER",C1398)),ISNUMBER(SEARCH("HENRY HOWARD",C1398)),ISNUMBER(SEARCH("MISS CLAUDIA",C1398))),"Personal Travel - New Orleans",IF(AND(YEAR(B1398)=2025,MONTH(B1398)=4,OR(ISNUMBER(SEARCH("EXCHANGE RATE",C1398)),ISNUMBER(SEARCH("EXCHG RTE",C1398)))),"Personal Travel - Italy",IFERROR(INDEX('Category Rules'!$B$2:$B$358,MATCH(TRUE,ISNUMBER(SEARCH('Category Rules'!$A$2:$A$358,C1398)),0)),""))))))))</f>
        <v>Amazon</v>
      </c>
    </row>
    <row r="1399" spans="1:7" x14ac:dyDescent="0.25">
      <c r="A1399" t="s">
        <v>44</v>
      </c>
      <c r="B1399" s="1">
        <v>45818</v>
      </c>
      <c r="C1399" t="s">
        <v>1317</v>
      </c>
      <c r="D1399">
        <v>1000</v>
      </c>
      <c r="E1399" t="s">
        <v>73</v>
      </c>
      <c r="F1399">
        <v>3882.42</v>
      </c>
      <c r="G1399" t="str" cm="1">
        <f t="array" ref="G1399">IF(AND(ISNUMBER(SEARCH("UBER",C1399)),ISNUMBER(SEARCH("EATS",C1399))),"Uber Eats",IF(LEFT(C1399,6)="CHECK ","Checks Paid",IF(OR(E1399="BILLPAY",ISNUMBER(SEARCH("FRANCHISE TAX",C1399)),ISNUMBER(SEARCH("NEXTLINK",C1399))),"Personal - House Bills",IF(AND(ISNUMBER(SEARCH("PAYMENT FROM",C1399)),ISNUMBER(SEARCH("JOE SAUNDERS",C1399))),"Zelle from Joe Saunders",IF(AND(ISNUMBER(SEARCH("PAYMENT TO",C1399)),ISNUMBER(SEARCH("JOE SAUNDERS",C1399))),"Zelle to Joe Saunders",IF(OR(ISNUMBER(SEARCH("NEW ORLEANS",C1399)),ISNUMBER(SEARCH("KENNER",C1399)),ISNUMBER(SEARCH("HENRY HOWARD",C1399)),ISNUMBER(SEARCH("MISS CLAUDIA",C1399))),"Personal Travel - New Orleans",IF(AND(YEAR(B1399)=2025,MONTH(B1399)=4,OR(ISNUMBER(SEARCH("EXCHANGE RATE",C1399)),ISNUMBER(SEARCH("EXCHG RTE",C1399)))),"Personal Travel - Italy",IFERROR(INDEX('Category Rules'!$B$2:$B$358,MATCH(TRUE,ISNUMBER(SEARCH('Category Rules'!$A$2:$A$358,C1399)),0)),""))))))))</f>
        <v>Transfer from DWG Capital Group</v>
      </c>
    </row>
    <row r="1400" spans="1:7" x14ac:dyDescent="0.25">
      <c r="A1400" t="s">
        <v>6</v>
      </c>
      <c r="B1400" s="1">
        <v>45818</v>
      </c>
      <c r="C1400" t="s">
        <v>1318</v>
      </c>
      <c r="D1400">
        <v>14.26</v>
      </c>
      <c r="E1400" t="s">
        <v>10</v>
      </c>
      <c r="F1400">
        <v>2882.42</v>
      </c>
      <c r="G1400" t="str" cm="1">
        <f t="array" ref="G1400">IF(AND(ISNUMBER(SEARCH("UBER",C1400)),ISNUMBER(SEARCH("EATS",C1400))),"Uber Eats",IF(LEFT(C1400,6)="CHECK ","Checks Paid",IF(OR(E1400="BILLPAY",ISNUMBER(SEARCH("FRANCHISE TAX",C1400)),ISNUMBER(SEARCH("NEXTLINK",C1400))),"Personal - House Bills",IF(AND(ISNUMBER(SEARCH("PAYMENT FROM",C1400)),ISNUMBER(SEARCH("JOE SAUNDERS",C1400))),"Zelle from Joe Saunders",IF(AND(ISNUMBER(SEARCH("PAYMENT TO",C1400)),ISNUMBER(SEARCH("JOE SAUNDERS",C1400))),"Zelle to Joe Saunders",IF(OR(ISNUMBER(SEARCH("NEW ORLEANS",C1400)),ISNUMBER(SEARCH("KENNER",C1400)),ISNUMBER(SEARCH("HENRY HOWARD",C1400)),ISNUMBER(SEARCH("MISS CLAUDIA",C1400))),"Personal Travel - New Orleans",IF(AND(YEAR(B1400)=2025,MONTH(B1400)=4,OR(ISNUMBER(SEARCH("EXCHANGE RATE",C1400)),ISNUMBER(SEARCH("EXCHG RTE",C1400)))),"Personal Travel - Italy",IFERROR(INDEX('Category Rules'!$B$2:$B$358,MATCH(TRUE,ISNUMBER(SEARCH('Category Rules'!$A$2:$A$358,C1400)),0)),""))))))))</f>
        <v>Amazon</v>
      </c>
    </row>
    <row r="1401" spans="1:7" x14ac:dyDescent="0.25">
      <c r="A1401" t="s">
        <v>6</v>
      </c>
      <c r="B1401" s="1">
        <v>45817</v>
      </c>
      <c r="C1401" t="s">
        <v>1319</v>
      </c>
      <c r="D1401">
        <v>-43.29</v>
      </c>
      <c r="E1401" t="s">
        <v>10</v>
      </c>
      <c r="F1401">
        <v>2868.16</v>
      </c>
      <c r="G1401" t="str" cm="1">
        <f t="array" ref="G1401">IF(AND(ISNUMBER(SEARCH("UBER",C1401)),ISNUMBER(SEARCH("EATS",C1401))),"Uber Eats",IF(LEFT(C1401,6)="CHECK ","Checks Paid",IF(OR(E1401="BILLPAY",ISNUMBER(SEARCH("FRANCHISE TAX",C1401)),ISNUMBER(SEARCH("NEXTLINK",C1401))),"Personal - House Bills",IF(AND(ISNUMBER(SEARCH("PAYMENT FROM",C1401)),ISNUMBER(SEARCH("JOE SAUNDERS",C1401))),"Zelle from Joe Saunders",IF(AND(ISNUMBER(SEARCH("PAYMENT TO",C1401)),ISNUMBER(SEARCH("JOE SAUNDERS",C1401))),"Zelle to Joe Saunders",IF(OR(ISNUMBER(SEARCH("NEW ORLEANS",C1401)),ISNUMBER(SEARCH("KENNER",C1401)),ISNUMBER(SEARCH("HENRY HOWARD",C1401)),ISNUMBER(SEARCH("MISS CLAUDIA",C1401))),"Personal Travel - New Orleans",IF(AND(YEAR(B1401)=2025,MONTH(B1401)=4,OR(ISNUMBER(SEARCH("EXCHANGE RATE",C1401)),ISNUMBER(SEARCH("EXCHG RTE",C1401)))),"Personal Travel - Italy",IFERROR(INDEX('Category Rules'!$B$2:$B$358,MATCH(TRUE,ISNUMBER(SEARCH('Category Rules'!$A$2:$A$358,C1401)),0)),""))))))))</f>
        <v>Personal - Shopping</v>
      </c>
    </row>
    <row r="1402" spans="1:7" x14ac:dyDescent="0.25">
      <c r="A1402" t="s">
        <v>6</v>
      </c>
      <c r="B1402" s="1">
        <v>45817</v>
      </c>
      <c r="C1402" t="s">
        <v>1320</v>
      </c>
      <c r="D1402">
        <v>-158.01</v>
      </c>
      <c r="E1402" t="s">
        <v>10</v>
      </c>
      <c r="F1402">
        <v>2911.45</v>
      </c>
      <c r="G1402" t="str" cm="1">
        <f t="array" ref="G1402">IF(AND(ISNUMBER(SEARCH("UBER",C1402)),ISNUMBER(SEARCH("EATS",C1402))),"Uber Eats",IF(LEFT(C1402,6)="CHECK ","Checks Paid",IF(OR(E1402="BILLPAY",ISNUMBER(SEARCH("FRANCHISE TAX",C1402)),ISNUMBER(SEARCH("NEXTLINK",C1402))),"Personal - House Bills",IF(AND(ISNUMBER(SEARCH("PAYMENT FROM",C1402)),ISNUMBER(SEARCH("JOE SAUNDERS",C1402))),"Zelle from Joe Saunders",IF(AND(ISNUMBER(SEARCH("PAYMENT TO",C1402)),ISNUMBER(SEARCH("JOE SAUNDERS",C1402))),"Zelle to Joe Saunders",IF(OR(ISNUMBER(SEARCH("NEW ORLEANS",C1402)),ISNUMBER(SEARCH("KENNER",C1402)),ISNUMBER(SEARCH("HENRY HOWARD",C1402)),ISNUMBER(SEARCH("MISS CLAUDIA",C1402))),"Personal Travel - New Orleans",IF(AND(YEAR(B1402)=2025,MONTH(B1402)=4,OR(ISNUMBER(SEARCH("EXCHANGE RATE",C1402)),ISNUMBER(SEARCH("EXCHG RTE",C1402)))),"Personal Travel - Italy",IFERROR(INDEX('Category Rules'!$B$2:$B$358,MATCH(TRUE,ISNUMBER(SEARCH('Category Rules'!$A$2:$A$358,C1402)),0)),""))))))))</f>
        <v>Personal - Shopping</v>
      </c>
    </row>
    <row r="1403" spans="1:7" x14ac:dyDescent="0.25">
      <c r="A1403" t="s">
        <v>6</v>
      </c>
      <c r="B1403" s="1">
        <v>45817</v>
      </c>
      <c r="C1403" t="s">
        <v>1321</v>
      </c>
      <c r="D1403">
        <v>-28.49</v>
      </c>
      <c r="E1403" t="s">
        <v>10</v>
      </c>
      <c r="F1403">
        <v>3069.46</v>
      </c>
      <c r="G1403" t="str" cm="1">
        <f t="array" ref="G1403">IF(AND(ISNUMBER(SEARCH("UBER",C1403)),ISNUMBER(SEARCH("EATS",C1403))),"Uber Eats",IF(LEFT(C1403,6)="CHECK ","Checks Paid",IF(OR(E1403="BILLPAY",ISNUMBER(SEARCH("FRANCHISE TAX",C1403)),ISNUMBER(SEARCH("NEXTLINK",C1403))),"Personal - House Bills",IF(AND(ISNUMBER(SEARCH("PAYMENT FROM",C1403)),ISNUMBER(SEARCH("JOE SAUNDERS",C1403))),"Zelle from Joe Saunders",IF(AND(ISNUMBER(SEARCH("PAYMENT TO",C1403)),ISNUMBER(SEARCH("JOE SAUNDERS",C1403))),"Zelle to Joe Saunders",IF(OR(ISNUMBER(SEARCH("NEW ORLEANS",C1403)),ISNUMBER(SEARCH("KENNER",C1403)),ISNUMBER(SEARCH("HENRY HOWARD",C1403)),ISNUMBER(SEARCH("MISS CLAUDIA",C1403))),"Personal Travel - New Orleans",IF(AND(YEAR(B1403)=2025,MONTH(B1403)=4,OR(ISNUMBER(SEARCH("EXCHANGE RATE",C1403)),ISNUMBER(SEARCH("EXCHG RTE",C1403)))),"Personal Travel - Italy",IFERROR(INDEX('Category Rules'!$B$2:$B$358,MATCH(TRUE,ISNUMBER(SEARCH('Category Rules'!$A$2:$A$358,C1403)),0)),""))))))))</f>
        <v>Personal - Car</v>
      </c>
    </row>
    <row r="1404" spans="1:7" x14ac:dyDescent="0.25">
      <c r="A1404" t="s">
        <v>6</v>
      </c>
      <c r="B1404" s="1">
        <v>45817</v>
      </c>
      <c r="C1404" t="s">
        <v>1322</v>
      </c>
      <c r="D1404">
        <v>-66.62</v>
      </c>
      <c r="E1404" t="s">
        <v>10</v>
      </c>
      <c r="F1404">
        <v>3097.95</v>
      </c>
      <c r="G1404" t="str" cm="1">
        <f t="array" ref="G1404">IF(AND(ISNUMBER(SEARCH("UBER",C1404)),ISNUMBER(SEARCH("EATS",C1404))),"Uber Eats",IF(LEFT(C1404,6)="CHECK ","Checks Paid",IF(OR(E1404="BILLPAY",ISNUMBER(SEARCH("FRANCHISE TAX",C1404)),ISNUMBER(SEARCH("NEXTLINK",C1404))),"Personal - House Bills",IF(AND(ISNUMBER(SEARCH("PAYMENT FROM",C1404)),ISNUMBER(SEARCH("JOE SAUNDERS",C1404))),"Zelle from Joe Saunders",IF(AND(ISNUMBER(SEARCH("PAYMENT TO",C1404)),ISNUMBER(SEARCH("JOE SAUNDERS",C1404))),"Zelle to Joe Saunders",IF(OR(ISNUMBER(SEARCH("NEW ORLEANS",C1404)),ISNUMBER(SEARCH("KENNER",C1404)),ISNUMBER(SEARCH("HENRY HOWARD",C1404)),ISNUMBER(SEARCH("MISS CLAUDIA",C1404))),"Personal Travel - New Orleans",IF(AND(YEAR(B1404)=2025,MONTH(B1404)=4,OR(ISNUMBER(SEARCH("EXCHANGE RATE",C1404)),ISNUMBER(SEARCH("EXCHG RTE",C1404)))),"Personal Travel - Italy",IFERROR(INDEX('Category Rules'!$B$2:$B$358,MATCH(TRUE,ISNUMBER(SEARCH('Category Rules'!$A$2:$A$358,C1404)),0)),""))))))))</f>
        <v>Uber Eats</v>
      </c>
    </row>
    <row r="1405" spans="1:7" x14ac:dyDescent="0.25">
      <c r="A1405" t="s">
        <v>6</v>
      </c>
      <c r="B1405" s="1">
        <v>45817</v>
      </c>
      <c r="C1405" t="s">
        <v>1323</v>
      </c>
      <c r="D1405">
        <v>-159.02000000000001</v>
      </c>
      <c r="E1405" t="s">
        <v>10</v>
      </c>
      <c r="F1405">
        <v>3164.57</v>
      </c>
      <c r="G1405" t="str" cm="1">
        <f t="array" ref="G1405">IF(AND(ISNUMBER(SEARCH("UBER",C1405)),ISNUMBER(SEARCH("EATS",C1405))),"Uber Eats",IF(LEFT(C1405,6)="CHECK ","Checks Paid",IF(OR(E1405="BILLPAY",ISNUMBER(SEARCH("FRANCHISE TAX",C1405)),ISNUMBER(SEARCH("NEXTLINK",C1405))),"Personal - House Bills",IF(AND(ISNUMBER(SEARCH("PAYMENT FROM",C1405)),ISNUMBER(SEARCH("JOE SAUNDERS",C1405))),"Zelle from Joe Saunders",IF(AND(ISNUMBER(SEARCH("PAYMENT TO",C1405)),ISNUMBER(SEARCH("JOE SAUNDERS",C1405))),"Zelle to Joe Saunders",IF(OR(ISNUMBER(SEARCH("NEW ORLEANS",C1405)),ISNUMBER(SEARCH("KENNER",C1405)),ISNUMBER(SEARCH("HENRY HOWARD",C1405)),ISNUMBER(SEARCH("MISS CLAUDIA",C1405))),"Personal Travel - New Orleans",IF(AND(YEAR(B1405)=2025,MONTH(B1405)=4,OR(ISNUMBER(SEARCH("EXCHANGE RATE",C1405)),ISNUMBER(SEARCH("EXCHG RTE",C1405)))),"Personal Travel - Italy",IFERROR(INDEX('Category Rules'!$B$2:$B$358,MATCH(TRUE,ISNUMBER(SEARCH('Category Rules'!$A$2:$A$358,C1405)),0)),""))))))))</f>
        <v>Personal - Shopping</v>
      </c>
    </row>
    <row r="1406" spans="1:7" x14ac:dyDescent="0.25">
      <c r="A1406" t="s">
        <v>6</v>
      </c>
      <c r="B1406" s="1">
        <v>45817</v>
      </c>
      <c r="C1406" t="s">
        <v>1324</v>
      </c>
      <c r="D1406">
        <v>-13.99</v>
      </c>
      <c r="E1406" t="s">
        <v>10</v>
      </c>
      <c r="F1406">
        <v>3323.59</v>
      </c>
      <c r="G1406" t="str" cm="1">
        <f t="array" ref="G1406">IF(AND(ISNUMBER(SEARCH("UBER",C1406)),ISNUMBER(SEARCH("EATS",C1406))),"Uber Eats",IF(LEFT(C1406,6)="CHECK ","Checks Paid",IF(OR(E1406="BILLPAY",ISNUMBER(SEARCH("FRANCHISE TAX",C1406)),ISNUMBER(SEARCH("NEXTLINK",C1406))),"Personal - House Bills",IF(AND(ISNUMBER(SEARCH("PAYMENT FROM",C1406)),ISNUMBER(SEARCH("JOE SAUNDERS",C1406))),"Zelle from Joe Saunders",IF(AND(ISNUMBER(SEARCH("PAYMENT TO",C1406)),ISNUMBER(SEARCH("JOE SAUNDERS",C1406))),"Zelle to Joe Saunders",IF(OR(ISNUMBER(SEARCH("NEW ORLEANS",C1406)),ISNUMBER(SEARCH("KENNER",C1406)),ISNUMBER(SEARCH("HENRY HOWARD",C1406)),ISNUMBER(SEARCH("MISS CLAUDIA",C1406))),"Personal Travel - New Orleans",IF(AND(YEAR(B1406)=2025,MONTH(B1406)=4,OR(ISNUMBER(SEARCH("EXCHANGE RATE",C1406)),ISNUMBER(SEARCH("EXCHG RTE",C1406)))),"Personal Travel - Italy",IFERROR(INDEX('Category Rules'!$B$2:$B$358,MATCH(TRUE,ISNUMBER(SEARCH('Category Rules'!$A$2:$A$358,C1406)),0)),""))))))))</f>
        <v>Amazon</v>
      </c>
    </row>
    <row r="1407" spans="1:7" x14ac:dyDescent="0.25">
      <c r="A1407" t="s">
        <v>6</v>
      </c>
      <c r="B1407" s="1">
        <v>45817</v>
      </c>
      <c r="C1407" t="s">
        <v>1325</v>
      </c>
      <c r="D1407">
        <v>-34</v>
      </c>
      <c r="E1407" t="s">
        <v>10</v>
      </c>
      <c r="F1407">
        <v>3337.58</v>
      </c>
      <c r="G1407" t="str" cm="1">
        <f t="array" ref="G1407">IF(AND(ISNUMBER(SEARCH("UBER",C1407)),ISNUMBER(SEARCH("EATS",C1407))),"Uber Eats",IF(LEFT(C1407,6)="CHECK ","Checks Paid",IF(OR(E1407="BILLPAY",ISNUMBER(SEARCH("FRANCHISE TAX",C1407)),ISNUMBER(SEARCH("NEXTLINK",C1407))),"Personal - House Bills",IF(AND(ISNUMBER(SEARCH("PAYMENT FROM",C1407)),ISNUMBER(SEARCH("JOE SAUNDERS",C1407))),"Zelle from Joe Saunders",IF(AND(ISNUMBER(SEARCH("PAYMENT TO",C1407)),ISNUMBER(SEARCH("JOE SAUNDERS",C1407))),"Zelle to Joe Saunders",IF(OR(ISNUMBER(SEARCH("NEW ORLEANS",C1407)),ISNUMBER(SEARCH("KENNER",C1407)),ISNUMBER(SEARCH("HENRY HOWARD",C1407)),ISNUMBER(SEARCH("MISS CLAUDIA",C1407))),"Personal Travel - New Orleans",IF(AND(YEAR(B1407)=2025,MONTH(B1407)=4,OR(ISNUMBER(SEARCH("EXCHANGE RATE",C1407)),ISNUMBER(SEARCH("EXCHG RTE",C1407)))),"Personal Travel - Italy",IFERROR(INDEX('Category Rules'!$B$2:$B$358,MATCH(TRUE,ISNUMBER(SEARCH('Category Rules'!$A$2:$A$358,C1407)),0)),""))))))))</f>
        <v>Personal - Entertainment</v>
      </c>
    </row>
    <row r="1408" spans="1:7" x14ac:dyDescent="0.25">
      <c r="A1408" t="s">
        <v>6</v>
      </c>
      <c r="B1408" s="1">
        <v>45817</v>
      </c>
      <c r="C1408" t="s">
        <v>1325</v>
      </c>
      <c r="D1408">
        <v>-33.590000000000003</v>
      </c>
      <c r="E1408" t="s">
        <v>10</v>
      </c>
      <c r="F1408">
        <v>3371.58</v>
      </c>
      <c r="G1408" t="str" cm="1">
        <f t="array" ref="G1408">IF(AND(ISNUMBER(SEARCH("UBER",C1408)),ISNUMBER(SEARCH("EATS",C1408))),"Uber Eats",IF(LEFT(C1408,6)="CHECK ","Checks Paid",IF(OR(E1408="BILLPAY",ISNUMBER(SEARCH("FRANCHISE TAX",C1408)),ISNUMBER(SEARCH("NEXTLINK",C1408))),"Personal - House Bills",IF(AND(ISNUMBER(SEARCH("PAYMENT FROM",C1408)),ISNUMBER(SEARCH("JOE SAUNDERS",C1408))),"Zelle from Joe Saunders",IF(AND(ISNUMBER(SEARCH("PAYMENT TO",C1408)),ISNUMBER(SEARCH("JOE SAUNDERS",C1408))),"Zelle to Joe Saunders",IF(OR(ISNUMBER(SEARCH("NEW ORLEANS",C1408)),ISNUMBER(SEARCH("KENNER",C1408)),ISNUMBER(SEARCH("HENRY HOWARD",C1408)),ISNUMBER(SEARCH("MISS CLAUDIA",C1408))),"Personal Travel - New Orleans",IF(AND(YEAR(B1408)=2025,MONTH(B1408)=4,OR(ISNUMBER(SEARCH("EXCHANGE RATE",C1408)),ISNUMBER(SEARCH("EXCHG RTE",C1408)))),"Personal Travel - Italy",IFERROR(INDEX('Category Rules'!$B$2:$B$358,MATCH(TRUE,ISNUMBER(SEARCH('Category Rules'!$A$2:$A$358,C1408)),0)),""))))))))</f>
        <v>Personal - Entertainment</v>
      </c>
    </row>
    <row r="1409" spans="1:7" x14ac:dyDescent="0.25">
      <c r="A1409" t="s">
        <v>6</v>
      </c>
      <c r="B1409" s="1">
        <v>45817</v>
      </c>
      <c r="C1409" t="s">
        <v>1326</v>
      </c>
      <c r="D1409">
        <v>-26.68</v>
      </c>
      <c r="E1409" t="s">
        <v>10</v>
      </c>
      <c r="F1409">
        <v>3405.17</v>
      </c>
      <c r="G1409" t="str" cm="1">
        <f t="array" ref="G1409">IF(AND(ISNUMBER(SEARCH("UBER",C1409)),ISNUMBER(SEARCH("EATS",C1409))),"Uber Eats",IF(LEFT(C1409,6)="CHECK ","Checks Paid",IF(OR(E1409="BILLPAY",ISNUMBER(SEARCH("FRANCHISE TAX",C1409)),ISNUMBER(SEARCH("NEXTLINK",C1409))),"Personal - House Bills",IF(AND(ISNUMBER(SEARCH("PAYMENT FROM",C1409)),ISNUMBER(SEARCH("JOE SAUNDERS",C1409))),"Zelle from Joe Saunders",IF(AND(ISNUMBER(SEARCH("PAYMENT TO",C1409)),ISNUMBER(SEARCH("JOE SAUNDERS",C1409))),"Zelle to Joe Saunders",IF(OR(ISNUMBER(SEARCH("NEW ORLEANS",C1409)),ISNUMBER(SEARCH("KENNER",C1409)),ISNUMBER(SEARCH("HENRY HOWARD",C1409)),ISNUMBER(SEARCH("MISS CLAUDIA",C1409))),"Personal Travel - New Orleans",IF(AND(YEAR(B1409)=2025,MONTH(B1409)=4,OR(ISNUMBER(SEARCH("EXCHANGE RATE",C1409)),ISNUMBER(SEARCH("EXCHG RTE",C1409)))),"Personal Travel - Italy",IFERROR(INDEX('Category Rules'!$B$2:$B$358,MATCH(TRUE,ISNUMBER(SEARCH('Category Rules'!$A$2:$A$358,C1409)),0)),""))))))))</f>
        <v>Amazon</v>
      </c>
    </row>
    <row r="1410" spans="1:7" x14ac:dyDescent="0.25">
      <c r="A1410" t="s">
        <v>6</v>
      </c>
      <c r="B1410" s="1">
        <v>45817</v>
      </c>
      <c r="C1410" t="s">
        <v>1327</v>
      </c>
      <c r="D1410">
        <v>-399.37</v>
      </c>
      <c r="E1410" t="s">
        <v>10</v>
      </c>
      <c r="F1410">
        <v>3431.85</v>
      </c>
      <c r="G1410" t="str" cm="1">
        <f t="array" ref="G1410">IF(AND(ISNUMBER(SEARCH("UBER",C1410)),ISNUMBER(SEARCH("EATS",C1410))),"Uber Eats",IF(LEFT(C1410,6)="CHECK ","Checks Paid",IF(OR(E1410="BILLPAY",ISNUMBER(SEARCH("FRANCHISE TAX",C1410)),ISNUMBER(SEARCH("NEXTLINK",C1410))),"Personal - House Bills",IF(AND(ISNUMBER(SEARCH("PAYMENT FROM",C1410)),ISNUMBER(SEARCH("JOE SAUNDERS",C1410))),"Zelle from Joe Saunders",IF(AND(ISNUMBER(SEARCH("PAYMENT TO",C1410)),ISNUMBER(SEARCH("JOE SAUNDERS",C1410))),"Zelle to Joe Saunders",IF(OR(ISNUMBER(SEARCH("NEW ORLEANS",C1410)),ISNUMBER(SEARCH("KENNER",C1410)),ISNUMBER(SEARCH("HENRY HOWARD",C1410)),ISNUMBER(SEARCH("MISS CLAUDIA",C1410))),"Personal Travel - New Orleans",IF(AND(YEAR(B1410)=2025,MONTH(B1410)=4,OR(ISNUMBER(SEARCH("EXCHANGE RATE",C1410)),ISNUMBER(SEARCH("EXCHG RTE",C1410)))),"Personal Travel - Italy",IFERROR(INDEX('Category Rules'!$B$2:$B$358,MATCH(TRUE,ISNUMBER(SEARCH('Category Rules'!$A$2:$A$358,C1410)),0)),""))))))))</f>
        <v>Personal - Shopping</v>
      </c>
    </row>
    <row r="1411" spans="1:7" x14ac:dyDescent="0.25">
      <c r="A1411" t="s">
        <v>6</v>
      </c>
      <c r="B1411" s="1">
        <v>45817</v>
      </c>
      <c r="C1411" t="s">
        <v>1328</v>
      </c>
      <c r="D1411">
        <v>-89.98</v>
      </c>
      <c r="E1411" t="s">
        <v>10</v>
      </c>
      <c r="F1411">
        <v>3831.22</v>
      </c>
      <c r="G1411" t="str" cm="1">
        <f t="array" ref="G1411">IF(AND(ISNUMBER(SEARCH("UBER",C1411)),ISNUMBER(SEARCH("EATS",C1411))),"Uber Eats",IF(LEFT(C1411,6)="CHECK ","Checks Paid",IF(OR(E1411="BILLPAY",ISNUMBER(SEARCH("FRANCHISE TAX",C1411)),ISNUMBER(SEARCH("NEXTLINK",C1411))),"Personal - House Bills",IF(AND(ISNUMBER(SEARCH("PAYMENT FROM",C1411)),ISNUMBER(SEARCH("JOE SAUNDERS",C1411))),"Zelle from Joe Saunders",IF(AND(ISNUMBER(SEARCH("PAYMENT TO",C1411)),ISNUMBER(SEARCH("JOE SAUNDERS",C1411))),"Zelle to Joe Saunders",IF(OR(ISNUMBER(SEARCH("NEW ORLEANS",C1411)),ISNUMBER(SEARCH("KENNER",C1411)),ISNUMBER(SEARCH("HENRY HOWARD",C1411)),ISNUMBER(SEARCH("MISS CLAUDIA",C1411))),"Personal Travel - New Orleans",IF(AND(YEAR(B1411)=2025,MONTH(B1411)=4,OR(ISNUMBER(SEARCH("EXCHANGE RATE",C1411)),ISNUMBER(SEARCH("EXCHG RTE",C1411)))),"Personal Travel - Italy",IFERROR(INDEX('Category Rules'!$B$2:$B$358,MATCH(TRUE,ISNUMBER(SEARCH('Category Rules'!$A$2:$A$358,C1411)),0)),""))))))))</f>
        <v>Amazon</v>
      </c>
    </row>
    <row r="1412" spans="1:7" x14ac:dyDescent="0.25">
      <c r="A1412" t="s">
        <v>6</v>
      </c>
      <c r="B1412" s="1">
        <v>45817</v>
      </c>
      <c r="C1412" t="s">
        <v>1329</v>
      </c>
      <c r="D1412">
        <v>-25.22</v>
      </c>
      <c r="E1412" t="s">
        <v>10</v>
      </c>
      <c r="F1412">
        <v>3921.2</v>
      </c>
      <c r="G1412" t="str" cm="1">
        <f t="array" ref="G1412">IF(AND(ISNUMBER(SEARCH("UBER",C1412)),ISNUMBER(SEARCH("EATS",C1412))),"Uber Eats",IF(LEFT(C1412,6)="CHECK ","Checks Paid",IF(OR(E1412="BILLPAY",ISNUMBER(SEARCH("FRANCHISE TAX",C1412)),ISNUMBER(SEARCH("NEXTLINK",C1412))),"Personal - House Bills",IF(AND(ISNUMBER(SEARCH("PAYMENT FROM",C1412)),ISNUMBER(SEARCH("JOE SAUNDERS",C1412))),"Zelle from Joe Saunders",IF(AND(ISNUMBER(SEARCH("PAYMENT TO",C1412)),ISNUMBER(SEARCH("JOE SAUNDERS",C1412))),"Zelle to Joe Saunders",IF(OR(ISNUMBER(SEARCH("NEW ORLEANS",C1412)),ISNUMBER(SEARCH("KENNER",C1412)),ISNUMBER(SEARCH("HENRY HOWARD",C1412)),ISNUMBER(SEARCH("MISS CLAUDIA",C1412))),"Personal Travel - New Orleans",IF(AND(YEAR(B1412)=2025,MONTH(B1412)=4,OR(ISNUMBER(SEARCH("EXCHANGE RATE",C1412)),ISNUMBER(SEARCH("EXCHG RTE",C1412)))),"Personal Travel - Italy",IFERROR(INDEX('Category Rules'!$B$2:$B$358,MATCH(TRUE,ISNUMBER(SEARCH('Category Rules'!$A$2:$A$358,C1412)),0)),""))))))))</f>
        <v>Amazon</v>
      </c>
    </row>
    <row r="1413" spans="1:7" x14ac:dyDescent="0.25">
      <c r="A1413" t="s">
        <v>6</v>
      </c>
      <c r="B1413" s="1">
        <v>45817</v>
      </c>
      <c r="C1413" t="s">
        <v>1330</v>
      </c>
      <c r="D1413">
        <v>-38.56</v>
      </c>
      <c r="E1413" t="s">
        <v>10</v>
      </c>
      <c r="F1413">
        <v>3946.42</v>
      </c>
      <c r="G1413" t="str" cm="1">
        <f t="array" ref="G1413">IF(AND(ISNUMBER(SEARCH("UBER",C1413)),ISNUMBER(SEARCH("EATS",C1413))),"Uber Eats",IF(LEFT(C1413,6)="CHECK ","Checks Paid",IF(OR(E1413="BILLPAY",ISNUMBER(SEARCH("FRANCHISE TAX",C1413)),ISNUMBER(SEARCH("NEXTLINK",C1413))),"Personal - House Bills",IF(AND(ISNUMBER(SEARCH("PAYMENT FROM",C1413)),ISNUMBER(SEARCH("JOE SAUNDERS",C1413))),"Zelle from Joe Saunders",IF(AND(ISNUMBER(SEARCH("PAYMENT TO",C1413)),ISNUMBER(SEARCH("JOE SAUNDERS",C1413))),"Zelle to Joe Saunders",IF(OR(ISNUMBER(SEARCH("NEW ORLEANS",C1413)),ISNUMBER(SEARCH("KENNER",C1413)),ISNUMBER(SEARCH("HENRY HOWARD",C1413)),ISNUMBER(SEARCH("MISS CLAUDIA",C1413))),"Personal Travel - New Orleans",IF(AND(YEAR(B1413)=2025,MONTH(B1413)=4,OR(ISNUMBER(SEARCH("EXCHANGE RATE",C1413)),ISNUMBER(SEARCH("EXCHG RTE",C1413)))),"Personal Travel - Italy",IFERROR(INDEX('Category Rules'!$B$2:$B$358,MATCH(TRUE,ISNUMBER(SEARCH('Category Rules'!$A$2:$A$358,C1413)),0)),""))))))))</f>
        <v>Amazon</v>
      </c>
    </row>
    <row r="1414" spans="1:7" x14ac:dyDescent="0.25">
      <c r="A1414" t="s">
        <v>6</v>
      </c>
      <c r="B1414" s="1">
        <v>45817</v>
      </c>
      <c r="C1414" t="s">
        <v>1331</v>
      </c>
      <c r="D1414">
        <v>-38.39</v>
      </c>
      <c r="E1414" t="s">
        <v>10</v>
      </c>
      <c r="F1414">
        <v>3984.98</v>
      </c>
      <c r="G1414" t="str" cm="1">
        <f t="array" ref="G1414">IF(AND(ISNUMBER(SEARCH("UBER",C1414)),ISNUMBER(SEARCH("EATS",C1414))),"Uber Eats",IF(LEFT(C1414,6)="CHECK ","Checks Paid",IF(OR(E1414="BILLPAY",ISNUMBER(SEARCH("FRANCHISE TAX",C1414)),ISNUMBER(SEARCH("NEXTLINK",C1414))),"Personal - House Bills",IF(AND(ISNUMBER(SEARCH("PAYMENT FROM",C1414)),ISNUMBER(SEARCH("JOE SAUNDERS",C1414))),"Zelle from Joe Saunders",IF(AND(ISNUMBER(SEARCH("PAYMENT TO",C1414)),ISNUMBER(SEARCH("JOE SAUNDERS",C1414))),"Zelle to Joe Saunders",IF(OR(ISNUMBER(SEARCH("NEW ORLEANS",C1414)),ISNUMBER(SEARCH("KENNER",C1414)),ISNUMBER(SEARCH("HENRY HOWARD",C1414)),ISNUMBER(SEARCH("MISS CLAUDIA",C1414))),"Personal Travel - New Orleans",IF(AND(YEAR(B1414)=2025,MONTH(B1414)=4,OR(ISNUMBER(SEARCH("EXCHANGE RATE",C1414)),ISNUMBER(SEARCH("EXCHG RTE",C1414)))),"Personal Travel - Italy",IFERROR(INDEX('Category Rules'!$B$2:$B$358,MATCH(TRUE,ISNUMBER(SEARCH('Category Rules'!$A$2:$A$358,C1414)),0)),""))))))))</f>
        <v>Amazon</v>
      </c>
    </row>
    <row r="1415" spans="1:7" x14ac:dyDescent="0.25">
      <c r="A1415" t="s">
        <v>44</v>
      </c>
      <c r="B1415" s="1">
        <v>45817</v>
      </c>
      <c r="C1415" t="s">
        <v>1332</v>
      </c>
      <c r="D1415">
        <v>1000</v>
      </c>
      <c r="E1415" t="s">
        <v>73</v>
      </c>
      <c r="F1415">
        <v>4023.37</v>
      </c>
      <c r="G1415" t="str" cm="1">
        <f t="array" ref="G1415">IF(AND(ISNUMBER(SEARCH("UBER",C1415)),ISNUMBER(SEARCH("EATS",C1415))),"Uber Eats",IF(LEFT(C1415,6)="CHECK ","Checks Paid",IF(OR(E1415="BILLPAY",ISNUMBER(SEARCH("FRANCHISE TAX",C1415)),ISNUMBER(SEARCH("NEXTLINK",C1415))),"Personal - House Bills",IF(AND(ISNUMBER(SEARCH("PAYMENT FROM",C1415)),ISNUMBER(SEARCH("JOE SAUNDERS",C1415))),"Zelle from Joe Saunders",IF(AND(ISNUMBER(SEARCH("PAYMENT TO",C1415)),ISNUMBER(SEARCH("JOE SAUNDERS",C1415))),"Zelle to Joe Saunders",IF(OR(ISNUMBER(SEARCH("NEW ORLEANS",C1415)),ISNUMBER(SEARCH("KENNER",C1415)),ISNUMBER(SEARCH("HENRY HOWARD",C1415)),ISNUMBER(SEARCH("MISS CLAUDIA",C1415))),"Personal Travel - New Orleans",IF(AND(YEAR(B1415)=2025,MONTH(B1415)=4,OR(ISNUMBER(SEARCH("EXCHANGE RATE",C1415)),ISNUMBER(SEARCH("EXCHG RTE",C1415)))),"Personal Travel - Italy",IFERROR(INDEX('Category Rules'!$B$2:$B$358,MATCH(TRUE,ISNUMBER(SEARCH('Category Rules'!$A$2:$A$358,C1415)),0)),""))))))))</f>
        <v>Transfer from DWG Capital Group</v>
      </c>
    </row>
    <row r="1416" spans="1:7" x14ac:dyDescent="0.25">
      <c r="A1416" t="s">
        <v>6</v>
      </c>
      <c r="B1416" s="1">
        <v>45814</v>
      </c>
      <c r="C1416" t="s">
        <v>1333</v>
      </c>
      <c r="D1416">
        <v>-53.17</v>
      </c>
      <c r="E1416" t="s">
        <v>10</v>
      </c>
      <c r="F1416">
        <v>3023.37</v>
      </c>
      <c r="G1416" t="str" cm="1">
        <f t="array" ref="G1416">IF(AND(ISNUMBER(SEARCH("UBER",C1416)),ISNUMBER(SEARCH("EATS",C1416))),"Uber Eats",IF(LEFT(C1416,6)="CHECK ","Checks Paid",IF(OR(E1416="BILLPAY",ISNUMBER(SEARCH("FRANCHISE TAX",C1416)),ISNUMBER(SEARCH("NEXTLINK",C1416))),"Personal - House Bills",IF(AND(ISNUMBER(SEARCH("PAYMENT FROM",C1416)),ISNUMBER(SEARCH("JOE SAUNDERS",C1416))),"Zelle from Joe Saunders",IF(AND(ISNUMBER(SEARCH("PAYMENT TO",C1416)),ISNUMBER(SEARCH("JOE SAUNDERS",C1416))),"Zelle to Joe Saunders",IF(OR(ISNUMBER(SEARCH("NEW ORLEANS",C1416)),ISNUMBER(SEARCH("KENNER",C1416)),ISNUMBER(SEARCH("HENRY HOWARD",C1416)),ISNUMBER(SEARCH("MISS CLAUDIA",C1416))),"Personal Travel - New Orleans",IF(AND(YEAR(B1416)=2025,MONTH(B1416)=4,OR(ISNUMBER(SEARCH("EXCHANGE RATE",C1416)),ISNUMBER(SEARCH("EXCHG RTE",C1416)))),"Personal Travel - Italy",IFERROR(INDEX('Category Rules'!$B$2:$B$358,MATCH(TRUE,ISNUMBER(SEARCH('Category Rules'!$A$2:$A$358,C1416)),0)),""))))))))</f>
        <v>Personal - Shopping</v>
      </c>
    </row>
    <row r="1417" spans="1:7" x14ac:dyDescent="0.25">
      <c r="A1417" t="s">
        <v>6</v>
      </c>
      <c r="B1417" s="1">
        <v>45814</v>
      </c>
      <c r="C1417" t="s">
        <v>1334</v>
      </c>
      <c r="D1417">
        <v>-13.99</v>
      </c>
      <c r="E1417" t="s">
        <v>10</v>
      </c>
      <c r="F1417">
        <v>3076.54</v>
      </c>
      <c r="G1417" t="str" cm="1">
        <f t="array" ref="G1417">IF(AND(ISNUMBER(SEARCH("UBER",C1417)),ISNUMBER(SEARCH("EATS",C1417))),"Uber Eats",IF(LEFT(C1417,6)="CHECK ","Checks Paid",IF(OR(E1417="BILLPAY",ISNUMBER(SEARCH("FRANCHISE TAX",C1417)),ISNUMBER(SEARCH("NEXTLINK",C1417))),"Personal - House Bills",IF(AND(ISNUMBER(SEARCH("PAYMENT FROM",C1417)),ISNUMBER(SEARCH("JOE SAUNDERS",C1417))),"Zelle from Joe Saunders",IF(AND(ISNUMBER(SEARCH("PAYMENT TO",C1417)),ISNUMBER(SEARCH("JOE SAUNDERS",C1417))),"Zelle to Joe Saunders",IF(OR(ISNUMBER(SEARCH("NEW ORLEANS",C1417)),ISNUMBER(SEARCH("KENNER",C1417)),ISNUMBER(SEARCH("HENRY HOWARD",C1417)),ISNUMBER(SEARCH("MISS CLAUDIA",C1417))),"Personal Travel - New Orleans",IF(AND(YEAR(B1417)=2025,MONTH(B1417)=4,OR(ISNUMBER(SEARCH("EXCHANGE RATE",C1417)),ISNUMBER(SEARCH("EXCHG RTE",C1417)))),"Personal Travel - Italy",IFERROR(INDEX('Category Rules'!$B$2:$B$358,MATCH(TRUE,ISNUMBER(SEARCH('Category Rules'!$A$2:$A$358,C1417)),0)),""))))))))</f>
        <v>YouTube Premium</v>
      </c>
    </row>
    <row r="1418" spans="1:7" x14ac:dyDescent="0.25">
      <c r="A1418" t="s">
        <v>6</v>
      </c>
      <c r="B1418" s="1">
        <v>45814</v>
      </c>
      <c r="C1418" t="s">
        <v>1335</v>
      </c>
      <c r="D1418">
        <v>-68.05</v>
      </c>
      <c r="E1418" t="s">
        <v>10</v>
      </c>
      <c r="F1418">
        <v>3090.53</v>
      </c>
      <c r="G1418" t="str" cm="1">
        <f t="array" ref="G1418">IF(AND(ISNUMBER(SEARCH("UBER",C1418)),ISNUMBER(SEARCH("EATS",C1418))),"Uber Eats",IF(LEFT(C1418,6)="CHECK ","Checks Paid",IF(OR(E1418="BILLPAY",ISNUMBER(SEARCH("FRANCHISE TAX",C1418)),ISNUMBER(SEARCH("NEXTLINK",C1418))),"Personal - House Bills",IF(AND(ISNUMBER(SEARCH("PAYMENT FROM",C1418)),ISNUMBER(SEARCH("JOE SAUNDERS",C1418))),"Zelle from Joe Saunders",IF(AND(ISNUMBER(SEARCH("PAYMENT TO",C1418)),ISNUMBER(SEARCH("JOE SAUNDERS",C1418))),"Zelle to Joe Saunders",IF(OR(ISNUMBER(SEARCH("NEW ORLEANS",C1418)),ISNUMBER(SEARCH("KENNER",C1418)),ISNUMBER(SEARCH("HENRY HOWARD",C1418)),ISNUMBER(SEARCH("MISS CLAUDIA",C1418))),"Personal Travel - New Orleans",IF(AND(YEAR(B1418)=2025,MONTH(B1418)=4,OR(ISNUMBER(SEARCH("EXCHANGE RATE",C1418)),ISNUMBER(SEARCH("EXCHG RTE",C1418)))),"Personal Travel - Italy",IFERROR(INDEX('Category Rules'!$B$2:$B$358,MATCH(TRUE,ISNUMBER(SEARCH('Category Rules'!$A$2:$A$358,C1418)),0)),""))))))))</f>
        <v>Personal - Shopping</v>
      </c>
    </row>
    <row r="1419" spans="1:7" x14ac:dyDescent="0.25">
      <c r="A1419" t="s">
        <v>6</v>
      </c>
      <c r="B1419" s="1">
        <v>45814</v>
      </c>
      <c r="C1419" t="s">
        <v>1336</v>
      </c>
      <c r="D1419">
        <v>-261.27</v>
      </c>
      <c r="E1419" t="s">
        <v>10</v>
      </c>
      <c r="F1419">
        <v>3158.58</v>
      </c>
      <c r="G1419" t="str" cm="1">
        <f t="array" ref="G1419">IF(AND(ISNUMBER(SEARCH("UBER",C1419)),ISNUMBER(SEARCH("EATS",C1419))),"Uber Eats",IF(LEFT(C1419,6)="CHECK ","Checks Paid",IF(OR(E1419="BILLPAY",ISNUMBER(SEARCH("FRANCHISE TAX",C1419)),ISNUMBER(SEARCH("NEXTLINK",C1419))),"Personal - House Bills",IF(AND(ISNUMBER(SEARCH("PAYMENT FROM",C1419)),ISNUMBER(SEARCH("JOE SAUNDERS",C1419))),"Zelle from Joe Saunders",IF(AND(ISNUMBER(SEARCH("PAYMENT TO",C1419)),ISNUMBER(SEARCH("JOE SAUNDERS",C1419))),"Zelle to Joe Saunders",IF(OR(ISNUMBER(SEARCH("NEW ORLEANS",C1419)),ISNUMBER(SEARCH("KENNER",C1419)),ISNUMBER(SEARCH("HENRY HOWARD",C1419)),ISNUMBER(SEARCH("MISS CLAUDIA",C1419))),"Personal Travel - New Orleans",IF(AND(YEAR(B1419)=2025,MONTH(B1419)=4,OR(ISNUMBER(SEARCH("EXCHANGE RATE",C1419)),ISNUMBER(SEARCH("EXCHG RTE",C1419)))),"Personal Travel - Italy",IFERROR(INDEX('Category Rules'!$B$2:$B$358,MATCH(TRUE,ISNUMBER(SEARCH('Category Rules'!$A$2:$A$358,C1419)),0)),""))))))))</f>
        <v>Personal - Entertainment</v>
      </c>
    </row>
    <row r="1420" spans="1:7" x14ac:dyDescent="0.25">
      <c r="A1420" t="s">
        <v>6</v>
      </c>
      <c r="B1420" s="1">
        <v>45814</v>
      </c>
      <c r="C1420" t="s">
        <v>1336</v>
      </c>
      <c r="D1420">
        <v>-348.36</v>
      </c>
      <c r="E1420" t="s">
        <v>10</v>
      </c>
      <c r="F1420">
        <v>3419.85</v>
      </c>
      <c r="G1420" t="str" cm="1">
        <f t="array" ref="G1420">IF(AND(ISNUMBER(SEARCH("UBER",C1420)),ISNUMBER(SEARCH("EATS",C1420))),"Uber Eats",IF(LEFT(C1420,6)="CHECK ","Checks Paid",IF(OR(E1420="BILLPAY",ISNUMBER(SEARCH("FRANCHISE TAX",C1420)),ISNUMBER(SEARCH("NEXTLINK",C1420))),"Personal - House Bills",IF(AND(ISNUMBER(SEARCH("PAYMENT FROM",C1420)),ISNUMBER(SEARCH("JOE SAUNDERS",C1420))),"Zelle from Joe Saunders",IF(AND(ISNUMBER(SEARCH("PAYMENT TO",C1420)),ISNUMBER(SEARCH("JOE SAUNDERS",C1420))),"Zelle to Joe Saunders",IF(OR(ISNUMBER(SEARCH("NEW ORLEANS",C1420)),ISNUMBER(SEARCH("KENNER",C1420)),ISNUMBER(SEARCH("HENRY HOWARD",C1420)),ISNUMBER(SEARCH("MISS CLAUDIA",C1420))),"Personal Travel - New Orleans",IF(AND(YEAR(B1420)=2025,MONTH(B1420)=4,OR(ISNUMBER(SEARCH("EXCHANGE RATE",C1420)),ISNUMBER(SEARCH("EXCHG RTE",C1420)))),"Personal Travel - Italy",IFERROR(INDEX('Category Rules'!$B$2:$B$358,MATCH(TRUE,ISNUMBER(SEARCH('Category Rules'!$A$2:$A$358,C1420)),0)),""))))))))</f>
        <v>Personal - Entertainment</v>
      </c>
    </row>
    <row r="1421" spans="1:7" x14ac:dyDescent="0.25">
      <c r="A1421" t="s">
        <v>6</v>
      </c>
      <c r="B1421" s="1">
        <v>45814</v>
      </c>
      <c r="C1421" t="s">
        <v>1337</v>
      </c>
      <c r="D1421">
        <v>-32.880000000000003</v>
      </c>
      <c r="E1421" t="s">
        <v>10</v>
      </c>
      <c r="F1421">
        <v>3768.21</v>
      </c>
      <c r="G1421" t="str" cm="1">
        <f t="array" ref="G1421">IF(AND(ISNUMBER(SEARCH("UBER",C1421)),ISNUMBER(SEARCH("EATS",C1421))),"Uber Eats",IF(LEFT(C1421,6)="CHECK ","Checks Paid",IF(OR(E1421="BILLPAY",ISNUMBER(SEARCH("FRANCHISE TAX",C1421)),ISNUMBER(SEARCH("NEXTLINK",C1421))),"Personal - House Bills",IF(AND(ISNUMBER(SEARCH("PAYMENT FROM",C1421)),ISNUMBER(SEARCH("JOE SAUNDERS",C1421))),"Zelle from Joe Saunders",IF(AND(ISNUMBER(SEARCH("PAYMENT TO",C1421)),ISNUMBER(SEARCH("JOE SAUNDERS",C1421))),"Zelle to Joe Saunders",IF(OR(ISNUMBER(SEARCH("NEW ORLEANS",C1421)),ISNUMBER(SEARCH("KENNER",C1421)),ISNUMBER(SEARCH("HENRY HOWARD",C1421)),ISNUMBER(SEARCH("MISS CLAUDIA",C1421))),"Personal Travel - New Orleans",IF(AND(YEAR(B1421)=2025,MONTH(B1421)=4,OR(ISNUMBER(SEARCH("EXCHANGE RATE",C1421)),ISNUMBER(SEARCH("EXCHG RTE",C1421)))),"Personal Travel - Italy",IFERROR(INDEX('Category Rules'!$B$2:$B$358,MATCH(TRUE,ISNUMBER(SEARCH('Category Rules'!$A$2:$A$358,C1421)),0)),""))))))))</f>
        <v>Amazon</v>
      </c>
    </row>
    <row r="1422" spans="1:7" x14ac:dyDescent="0.25">
      <c r="A1422" t="s">
        <v>6</v>
      </c>
      <c r="B1422" s="1">
        <v>45814</v>
      </c>
      <c r="C1422" t="s">
        <v>1338</v>
      </c>
      <c r="D1422">
        <v>-29.95</v>
      </c>
      <c r="E1422" t="s">
        <v>10</v>
      </c>
      <c r="F1422">
        <v>3801.09</v>
      </c>
      <c r="G1422" t="str" cm="1">
        <f t="array" ref="G1422">IF(AND(ISNUMBER(SEARCH("UBER",C1422)),ISNUMBER(SEARCH("EATS",C1422))),"Uber Eats",IF(LEFT(C1422,6)="CHECK ","Checks Paid",IF(OR(E1422="BILLPAY",ISNUMBER(SEARCH("FRANCHISE TAX",C1422)),ISNUMBER(SEARCH("NEXTLINK",C1422))),"Personal - House Bills",IF(AND(ISNUMBER(SEARCH("PAYMENT FROM",C1422)),ISNUMBER(SEARCH("JOE SAUNDERS",C1422))),"Zelle from Joe Saunders",IF(AND(ISNUMBER(SEARCH("PAYMENT TO",C1422)),ISNUMBER(SEARCH("JOE SAUNDERS",C1422))),"Zelle to Joe Saunders",IF(OR(ISNUMBER(SEARCH("NEW ORLEANS",C1422)),ISNUMBER(SEARCH("KENNER",C1422)),ISNUMBER(SEARCH("HENRY HOWARD",C1422)),ISNUMBER(SEARCH("MISS CLAUDIA",C1422))),"Personal Travel - New Orleans",IF(AND(YEAR(B1422)=2025,MONTH(B1422)=4,OR(ISNUMBER(SEARCH("EXCHANGE RATE",C1422)),ISNUMBER(SEARCH("EXCHG RTE",C1422)))),"Personal Travel - Italy",IFERROR(INDEX('Category Rules'!$B$2:$B$358,MATCH(TRUE,ISNUMBER(SEARCH('Category Rules'!$A$2:$A$358,C1422)),0)),""))))))))</f>
        <v>Personal - Subscription</v>
      </c>
    </row>
    <row r="1423" spans="1:7" x14ac:dyDescent="0.25">
      <c r="A1423" t="s">
        <v>6</v>
      </c>
      <c r="B1423" s="1">
        <v>45814</v>
      </c>
      <c r="C1423" t="s">
        <v>1339</v>
      </c>
      <c r="D1423">
        <v>-22</v>
      </c>
      <c r="E1423" t="s">
        <v>10</v>
      </c>
      <c r="F1423">
        <v>3831.04</v>
      </c>
      <c r="G1423" t="str" cm="1">
        <f t="array" ref="G1423">IF(AND(ISNUMBER(SEARCH("UBER",C1423)),ISNUMBER(SEARCH("EATS",C1423))),"Uber Eats",IF(LEFT(C1423,6)="CHECK ","Checks Paid",IF(OR(E1423="BILLPAY",ISNUMBER(SEARCH("FRANCHISE TAX",C1423)),ISNUMBER(SEARCH("NEXTLINK",C1423))),"Personal - House Bills",IF(AND(ISNUMBER(SEARCH("PAYMENT FROM",C1423)),ISNUMBER(SEARCH("JOE SAUNDERS",C1423))),"Zelle from Joe Saunders",IF(AND(ISNUMBER(SEARCH("PAYMENT TO",C1423)),ISNUMBER(SEARCH("JOE SAUNDERS",C1423))),"Zelle to Joe Saunders",IF(OR(ISNUMBER(SEARCH("NEW ORLEANS",C1423)),ISNUMBER(SEARCH("KENNER",C1423)),ISNUMBER(SEARCH("HENRY HOWARD",C1423)),ISNUMBER(SEARCH("MISS CLAUDIA",C1423))),"Personal Travel - New Orleans",IF(AND(YEAR(B1423)=2025,MONTH(B1423)=4,OR(ISNUMBER(SEARCH("EXCHANGE RATE",C1423)),ISNUMBER(SEARCH("EXCHG RTE",C1423)))),"Personal Travel - Italy",IFERROR(INDEX('Category Rules'!$B$2:$B$358,MATCH(TRUE,ISNUMBER(SEARCH('Category Rules'!$A$2:$A$358,C1423)),0)),""))))))))</f>
        <v>Personal - Subscription</v>
      </c>
    </row>
    <row r="1424" spans="1:7" x14ac:dyDescent="0.25">
      <c r="A1424" t="s">
        <v>6</v>
      </c>
      <c r="B1424" s="1">
        <v>45814</v>
      </c>
      <c r="C1424" t="s">
        <v>1340</v>
      </c>
      <c r="D1424">
        <v>-105.68</v>
      </c>
      <c r="E1424" t="s">
        <v>10</v>
      </c>
      <c r="F1424">
        <v>3853.04</v>
      </c>
      <c r="G1424" t="str" cm="1">
        <f t="array" ref="G1424">IF(AND(ISNUMBER(SEARCH("UBER",C1424)),ISNUMBER(SEARCH("EATS",C1424))),"Uber Eats",IF(LEFT(C1424,6)="CHECK ","Checks Paid",IF(OR(E1424="BILLPAY",ISNUMBER(SEARCH("FRANCHISE TAX",C1424)),ISNUMBER(SEARCH("NEXTLINK",C1424))),"Personal - House Bills",IF(AND(ISNUMBER(SEARCH("PAYMENT FROM",C1424)),ISNUMBER(SEARCH("JOE SAUNDERS",C1424))),"Zelle from Joe Saunders",IF(AND(ISNUMBER(SEARCH("PAYMENT TO",C1424)),ISNUMBER(SEARCH("JOE SAUNDERS",C1424))),"Zelle to Joe Saunders",IF(OR(ISNUMBER(SEARCH("NEW ORLEANS",C1424)),ISNUMBER(SEARCH("KENNER",C1424)),ISNUMBER(SEARCH("HENRY HOWARD",C1424)),ISNUMBER(SEARCH("MISS CLAUDIA",C1424))),"Personal Travel - New Orleans",IF(AND(YEAR(B1424)=2025,MONTH(B1424)=4,OR(ISNUMBER(SEARCH("EXCHANGE RATE",C1424)),ISNUMBER(SEARCH("EXCHG RTE",C1424)))),"Personal Travel - Italy",IFERROR(INDEX('Category Rules'!$B$2:$B$358,MATCH(TRUE,ISNUMBER(SEARCH('Category Rules'!$A$2:$A$358,C1424)),0)),""))))))))</f>
        <v>Amazon</v>
      </c>
    </row>
    <row r="1425" spans="1:7" x14ac:dyDescent="0.25">
      <c r="A1425" t="s">
        <v>6</v>
      </c>
      <c r="B1425" s="1">
        <v>45814</v>
      </c>
      <c r="C1425" t="s">
        <v>1341</v>
      </c>
      <c r="D1425">
        <v>-191.6</v>
      </c>
      <c r="E1425" t="s">
        <v>10</v>
      </c>
      <c r="F1425">
        <v>3958.72</v>
      </c>
      <c r="G1425" t="str" cm="1">
        <f t="array" ref="G1425">IF(AND(ISNUMBER(SEARCH("UBER",C1425)),ISNUMBER(SEARCH("EATS",C1425))),"Uber Eats",IF(LEFT(C1425,6)="CHECK ","Checks Paid",IF(OR(E1425="BILLPAY",ISNUMBER(SEARCH("FRANCHISE TAX",C1425)),ISNUMBER(SEARCH("NEXTLINK",C1425))),"Personal - House Bills",IF(AND(ISNUMBER(SEARCH("PAYMENT FROM",C1425)),ISNUMBER(SEARCH("JOE SAUNDERS",C1425))),"Zelle from Joe Saunders",IF(AND(ISNUMBER(SEARCH("PAYMENT TO",C1425)),ISNUMBER(SEARCH("JOE SAUNDERS",C1425))),"Zelle to Joe Saunders",IF(OR(ISNUMBER(SEARCH("NEW ORLEANS",C1425)),ISNUMBER(SEARCH("KENNER",C1425)),ISNUMBER(SEARCH("HENRY HOWARD",C1425)),ISNUMBER(SEARCH("MISS CLAUDIA",C1425))),"Personal Travel - New Orleans",IF(AND(YEAR(B1425)=2025,MONTH(B1425)=4,OR(ISNUMBER(SEARCH("EXCHANGE RATE",C1425)),ISNUMBER(SEARCH("EXCHG RTE",C1425)))),"Personal Travel - Italy",IFERROR(INDEX('Category Rules'!$B$2:$B$358,MATCH(TRUE,ISNUMBER(SEARCH('Category Rules'!$A$2:$A$358,C1425)),0)),""))))))))</f>
        <v>Amazon</v>
      </c>
    </row>
    <row r="1426" spans="1:7" x14ac:dyDescent="0.25">
      <c r="A1426" t="s">
        <v>6</v>
      </c>
      <c r="B1426" s="1">
        <v>45814</v>
      </c>
      <c r="C1426" t="s">
        <v>1342</v>
      </c>
      <c r="D1426">
        <v>-43.47</v>
      </c>
      <c r="E1426" t="s">
        <v>10</v>
      </c>
      <c r="F1426">
        <v>4150.32</v>
      </c>
      <c r="G1426" t="str" cm="1">
        <f t="array" ref="G1426">IF(AND(ISNUMBER(SEARCH("UBER",C1426)),ISNUMBER(SEARCH("EATS",C1426))),"Uber Eats",IF(LEFT(C1426,6)="CHECK ","Checks Paid",IF(OR(E1426="BILLPAY",ISNUMBER(SEARCH("FRANCHISE TAX",C1426)),ISNUMBER(SEARCH("NEXTLINK",C1426))),"Personal - House Bills",IF(AND(ISNUMBER(SEARCH("PAYMENT FROM",C1426)),ISNUMBER(SEARCH("JOE SAUNDERS",C1426))),"Zelle from Joe Saunders",IF(AND(ISNUMBER(SEARCH("PAYMENT TO",C1426)),ISNUMBER(SEARCH("JOE SAUNDERS",C1426))),"Zelle to Joe Saunders",IF(OR(ISNUMBER(SEARCH("NEW ORLEANS",C1426)),ISNUMBER(SEARCH("KENNER",C1426)),ISNUMBER(SEARCH("HENRY HOWARD",C1426)),ISNUMBER(SEARCH("MISS CLAUDIA",C1426))),"Personal Travel - New Orleans",IF(AND(YEAR(B1426)=2025,MONTH(B1426)=4,OR(ISNUMBER(SEARCH("EXCHANGE RATE",C1426)),ISNUMBER(SEARCH("EXCHG RTE",C1426)))),"Personal Travel - Italy",IFERROR(INDEX('Category Rules'!$B$2:$B$358,MATCH(TRUE,ISNUMBER(SEARCH('Category Rules'!$A$2:$A$358,C1426)),0)),""))))))))</f>
        <v>Amazon</v>
      </c>
    </row>
    <row r="1427" spans="1:7" x14ac:dyDescent="0.25">
      <c r="A1427" t="s">
        <v>44</v>
      </c>
      <c r="B1427" s="1">
        <v>45814</v>
      </c>
      <c r="C1427" t="s">
        <v>1343</v>
      </c>
      <c r="D1427">
        <v>2000</v>
      </c>
      <c r="E1427" t="s">
        <v>73</v>
      </c>
      <c r="F1427">
        <v>4193.79</v>
      </c>
      <c r="G1427" t="str" cm="1">
        <f t="array" ref="G1427">IF(AND(ISNUMBER(SEARCH("UBER",C1427)),ISNUMBER(SEARCH("EATS",C1427))),"Uber Eats",IF(LEFT(C1427,6)="CHECK ","Checks Paid",IF(OR(E1427="BILLPAY",ISNUMBER(SEARCH("FRANCHISE TAX",C1427)),ISNUMBER(SEARCH("NEXTLINK",C1427))),"Personal - House Bills",IF(AND(ISNUMBER(SEARCH("PAYMENT FROM",C1427)),ISNUMBER(SEARCH("JOE SAUNDERS",C1427))),"Zelle from Joe Saunders",IF(AND(ISNUMBER(SEARCH("PAYMENT TO",C1427)),ISNUMBER(SEARCH("JOE SAUNDERS",C1427))),"Zelle to Joe Saunders",IF(OR(ISNUMBER(SEARCH("NEW ORLEANS",C1427)),ISNUMBER(SEARCH("KENNER",C1427)),ISNUMBER(SEARCH("HENRY HOWARD",C1427)),ISNUMBER(SEARCH("MISS CLAUDIA",C1427))),"Personal Travel - New Orleans",IF(AND(YEAR(B1427)=2025,MONTH(B1427)=4,OR(ISNUMBER(SEARCH("EXCHANGE RATE",C1427)),ISNUMBER(SEARCH("EXCHG RTE",C1427)))),"Personal Travel - Italy",IFERROR(INDEX('Category Rules'!$B$2:$B$358,MATCH(TRUE,ISNUMBER(SEARCH('Category Rules'!$A$2:$A$358,C1427)),0)),""))))))))</f>
        <v>Transfer from DWG Capital Group</v>
      </c>
    </row>
    <row r="1428" spans="1:7" x14ac:dyDescent="0.25">
      <c r="A1428" t="s">
        <v>6</v>
      </c>
      <c r="B1428" s="1">
        <v>45813</v>
      </c>
      <c r="C1428" t="s">
        <v>1344</v>
      </c>
      <c r="D1428">
        <v>-59.78</v>
      </c>
      <c r="E1428" t="s">
        <v>10</v>
      </c>
      <c r="F1428">
        <v>2193.79</v>
      </c>
      <c r="G1428" t="str" cm="1">
        <f t="array" ref="G1428">IF(AND(ISNUMBER(SEARCH("UBER",C1428)),ISNUMBER(SEARCH("EATS",C1428))),"Uber Eats",IF(LEFT(C1428,6)="CHECK ","Checks Paid",IF(OR(E1428="BILLPAY",ISNUMBER(SEARCH("FRANCHISE TAX",C1428)),ISNUMBER(SEARCH("NEXTLINK",C1428))),"Personal - House Bills",IF(AND(ISNUMBER(SEARCH("PAYMENT FROM",C1428)),ISNUMBER(SEARCH("JOE SAUNDERS",C1428))),"Zelle from Joe Saunders",IF(AND(ISNUMBER(SEARCH("PAYMENT TO",C1428)),ISNUMBER(SEARCH("JOE SAUNDERS",C1428))),"Zelle to Joe Saunders",IF(OR(ISNUMBER(SEARCH("NEW ORLEANS",C1428)),ISNUMBER(SEARCH("KENNER",C1428)),ISNUMBER(SEARCH("HENRY HOWARD",C1428)),ISNUMBER(SEARCH("MISS CLAUDIA",C1428))),"Personal Travel - New Orleans",IF(AND(YEAR(B1428)=2025,MONTH(B1428)=4,OR(ISNUMBER(SEARCH("EXCHANGE RATE",C1428)),ISNUMBER(SEARCH("EXCHG RTE",C1428)))),"Personal Travel - Italy",IFERROR(INDEX('Category Rules'!$B$2:$B$358,MATCH(TRUE,ISNUMBER(SEARCH('Category Rules'!$A$2:$A$358,C1428)),0)),""))))))))</f>
        <v>Personal - Shopping</v>
      </c>
    </row>
    <row r="1429" spans="1:7" x14ac:dyDescent="0.25">
      <c r="A1429" t="s">
        <v>6</v>
      </c>
      <c r="B1429" s="1">
        <v>45813</v>
      </c>
      <c r="C1429" t="s">
        <v>1345</v>
      </c>
      <c r="D1429">
        <v>-498.76</v>
      </c>
      <c r="E1429" t="s">
        <v>10</v>
      </c>
      <c r="F1429">
        <v>2253.5700000000002</v>
      </c>
      <c r="G1429" t="str" cm="1">
        <f t="array" ref="G1429">IF(AND(ISNUMBER(SEARCH("UBER",C1429)),ISNUMBER(SEARCH("EATS",C1429))),"Uber Eats",IF(LEFT(C1429,6)="CHECK ","Checks Paid",IF(OR(E1429="BILLPAY",ISNUMBER(SEARCH("FRANCHISE TAX",C1429)),ISNUMBER(SEARCH("NEXTLINK",C1429))),"Personal - House Bills",IF(AND(ISNUMBER(SEARCH("PAYMENT FROM",C1429)),ISNUMBER(SEARCH("JOE SAUNDERS",C1429))),"Zelle from Joe Saunders",IF(AND(ISNUMBER(SEARCH("PAYMENT TO",C1429)),ISNUMBER(SEARCH("JOE SAUNDERS",C1429))),"Zelle to Joe Saunders",IF(OR(ISNUMBER(SEARCH("NEW ORLEANS",C1429)),ISNUMBER(SEARCH("KENNER",C1429)),ISNUMBER(SEARCH("HENRY HOWARD",C1429)),ISNUMBER(SEARCH("MISS CLAUDIA",C1429))),"Personal Travel - New Orleans",IF(AND(YEAR(B1429)=2025,MONTH(B1429)=4,OR(ISNUMBER(SEARCH("EXCHANGE RATE",C1429)),ISNUMBER(SEARCH("EXCHG RTE",C1429)))),"Personal Travel - Italy",IFERROR(INDEX('Category Rules'!$B$2:$B$358,MATCH(TRUE,ISNUMBER(SEARCH('Category Rules'!$A$2:$A$358,C1429)),0)),""))))))))</f>
        <v>Personal - Food</v>
      </c>
    </row>
    <row r="1430" spans="1:7" x14ac:dyDescent="0.25">
      <c r="A1430" t="s">
        <v>6</v>
      </c>
      <c r="B1430" s="1">
        <v>45813</v>
      </c>
      <c r="C1430" t="s">
        <v>1346</v>
      </c>
      <c r="D1430">
        <v>-6.99</v>
      </c>
      <c r="E1430" t="s">
        <v>10</v>
      </c>
      <c r="F1430">
        <v>2752.33</v>
      </c>
      <c r="G1430" t="str" cm="1">
        <f t="array" ref="G1430">IF(AND(ISNUMBER(SEARCH("UBER",C1430)),ISNUMBER(SEARCH("EATS",C1430))),"Uber Eats",IF(LEFT(C1430,6)="CHECK ","Checks Paid",IF(OR(E1430="BILLPAY",ISNUMBER(SEARCH("FRANCHISE TAX",C1430)),ISNUMBER(SEARCH("NEXTLINK",C1430))),"Personal - House Bills",IF(AND(ISNUMBER(SEARCH("PAYMENT FROM",C1430)),ISNUMBER(SEARCH("JOE SAUNDERS",C1430))),"Zelle from Joe Saunders",IF(AND(ISNUMBER(SEARCH("PAYMENT TO",C1430)),ISNUMBER(SEARCH("JOE SAUNDERS",C1430))),"Zelle to Joe Saunders",IF(OR(ISNUMBER(SEARCH("NEW ORLEANS",C1430)),ISNUMBER(SEARCH("KENNER",C1430)),ISNUMBER(SEARCH("HENRY HOWARD",C1430)),ISNUMBER(SEARCH("MISS CLAUDIA",C1430))),"Personal Travel - New Orleans",IF(AND(YEAR(B1430)=2025,MONTH(B1430)=4,OR(ISNUMBER(SEARCH("EXCHANGE RATE",C1430)),ISNUMBER(SEARCH("EXCHG RTE",C1430)))),"Personal Travel - Italy",IFERROR(INDEX('Category Rules'!$B$2:$B$358,MATCH(TRUE,ISNUMBER(SEARCH('Category Rules'!$A$2:$A$358,C1430)),0)),""))))))))</f>
        <v>Apple</v>
      </c>
    </row>
    <row r="1431" spans="1:7" x14ac:dyDescent="0.25">
      <c r="A1431" t="s">
        <v>44</v>
      </c>
      <c r="B1431" s="1">
        <v>45813</v>
      </c>
      <c r="C1431" t="s">
        <v>1347</v>
      </c>
      <c r="D1431">
        <v>2000</v>
      </c>
      <c r="E1431" t="s">
        <v>73</v>
      </c>
      <c r="F1431">
        <v>2759.32</v>
      </c>
      <c r="G1431" t="str" cm="1">
        <f t="array" ref="G1431">IF(AND(ISNUMBER(SEARCH("UBER",C1431)),ISNUMBER(SEARCH("EATS",C1431))),"Uber Eats",IF(LEFT(C1431,6)="CHECK ","Checks Paid",IF(OR(E1431="BILLPAY",ISNUMBER(SEARCH("FRANCHISE TAX",C1431)),ISNUMBER(SEARCH("NEXTLINK",C1431))),"Personal - House Bills",IF(AND(ISNUMBER(SEARCH("PAYMENT FROM",C1431)),ISNUMBER(SEARCH("JOE SAUNDERS",C1431))),"Zelle from Joe Saunders",IF(AND(ISNUMBER(SEARCH("PAYMENT TO",C1431)),ISNUMBER(SEARCH("JOE SAUNDERS",C1431))),"Zelle to Joe Saunders",IF(OR(ISNUMBER(SEARCH("NEW ORLEANS",C1431)),ISNUMBER(SEARCH("KENNER",C1431)),ISNUMBER(SEARCH("HENRY HOWARD",C1431)),ISNUMBER(SEARCH("MISS CLAUDIA",C1431))),"Personal Travel - New Orleans",IF(AND(YEAR(B1431)=2025,MONTH(B1431)=4,OR(ISNUMBER(SEARCH("EXCHANGE RATE",C1431)),ISNUMBER(SEARCH("EXCHG RTE",C1431)))),"Personal Travel - Italy",IFERROR(INDEX('Category Rules'!$B$2:$B$358,MATCH(TRUE,ISNUMBER(SEARCH('Category Rules'!$A$2:$A$358,C1431)),0)),""))))))))</f>
        <v>Transfer from DWG Capital Group</v>
      </c>
    </row>
    <row r="1432" spans="1:7" x14ac:dyDescent="0.25">
      <c r="A1432" t="s">
        <v>6</v>
      </c>
      <c r="B1432" s="1">
        <v>45812</v>
      </c>
      <c r="C1432" t="s">
        <v>1348</v>
      </c>
      <c r="D1432">
        <v>-40</v>
      </c>
      <c r="E1432" t="s">
        <v>10</v>
      </c>
      <c r="F1432">
        <v>759.32</v>
      </c>
      <c r="G1432" t="str" cm="1">
        <f t="array" ref="G1432">IF(AND(ISNUMBER(SEARCH("UBER",C1432)),ISNUMBER(SEARCH("EATS",C1432))),"Uber Eats",IF(LEFT(C1432,6)="CHECK ","Checks Paid",IF(OR(E1432="BILLPAY",ISNUMBER(SEARCH("FRANCHISE TAX",C1432)),ISNUMBER(SEARCH("NEXTLINK",C1432))),"Personal - House Bills",IF(AND(ISNUMBER(SEARCH("PAYMENT FROM",C1432)),ISNUMBER(SEARCH("JOE SAUNDERS",C1432))),"Zelle from Joe Saunders",IF(AND(ISNUMBER(SEARCH("PAYMENT TO",C1432)),ISNUMBER(SEARCH("JOE SAUNDERS",C1432))),"Zelle to Joe Saunders",IF(OR(ISNUMBER(SEARCH("NEW ORLEANS",C1432)),ISNUMBER(SEARCH("KENNER",C1432)),ISNUMBER(SEARCH("HENRY HOWARD",C1432)),ISNUMBER(SEARCH("MISS CLAUDIA",C1432))),"Personal Travel - New Orleans",IF(AND(YEAR(B1432)=2025,MONTH(B1432)=4,OR(ISNUMBER(SEARCH("EXCHANGE RATE",C1432)),ISNUMBER(SEARCH("EXCHG RTE",C1432)))),"Personal Travel - Italy",IFERROR(INDEX('Category Rules'!$B$2:$B$358,MATCH(TRUE,ISNUMBER(SEARCH('Category Rules'!$A$2:$A$358,C1432)),0)),""))))))))</f>
        <v>Personal - Car</v>
      </c>
    </row>
    <row r="1433" spans="1:7" x14ac:dyDescent="0.25">
      <c r="A1433" t="s">
        <v>6</v>
      </c>
      <c r="B1433" s="1">
        <v>45811</v>
      </c>
      <c r="C1433" t="s">
        <v>1349</v>
      </c>
      <c r="D1433">
        <v>-361.38</v>
      </c>
      <c r="E1433" t="s">
        <v>10</v>
      </c>
      <c r="F1433">
        <v>799.32</v>
      </c>
      <c r="G1433" t="str" cm="1">
        <f t="array" ref="G1433">IF(AND(ISNUMBER(SEARCH("UBER",C1433)),ISNUMBER(SEARCH("EATS",C1433))),"Uber Eats",IF(LEFT(C1433,6)="CHECK ","Checks Paid",IF(OR(E1433="BILLPAY",ISNUMBER(SEARCH("FRANCHISE TAX",C1433)),ISNUMBER(SEARCH("NEXTLINK",C1433))),"Personal - House Bills",IF(AND(ISNUMBER(SEARCH("PAYMENT FROM",C1433)),ISNUMBER(SEARCH("JOE SAUNDERS",C1433))),"Zelle from Joe Saunders",IF(AND(ISNUMBER(SEARCH("PAYMENT TO",C1433)),ISNUMBER(SEARCH("JOE SAUNDERS",C1433))),"Zelle to Joe Saunders",IF(OR(ISNUMBER(SEARCH("NEW ORLEANS",C1433)),ISNUMBER(SEARCH("KENNER",C1433)),ISNUMBER(SEARCH("HENRY HOWARD",C1433)),ISNUMBER(SEARCH("MISS CLAUDIA",C1433))),"Personal Travel - New Orleans",IF(AND(YEAR(B1433)=2025,MONTH(B1433)=4,OR(ISNUMBER(SEARCH("EXCHANGE RATE",C1433)),ISNUMBER(SEARCH("EXCHG RTE",C1433)))),"Personal Travel - Italy",IFERROR(INDEX('Category Rules'!$B$2:$B$358,MATCH(TRUE,ISNUMBER(SEARCH('Category Rules'!$A$2:$A$358,C1433)),0)),""))))))))</f>
        <v>Personal - Shopping</v>
      </c>
    </row>
    <row r="1434" spans="1:7" x14ac:dyDescent="0.25">
      <c r="A1434" t="s">
        <v>6</v>
      </c>
      <c r="B1434" s="1">
        <v>45811</v>
      </c>
      <c r="C1434" t="s">
        <v>1350</v>
      </c>
      <c r="D1434">
        <v>-500</v>
      </c>
      <c r="E1434" t="s">
        <v>26</v>
      </c>
      <c r="F1434">
        <v>1160.7</v>
      </c>
      <c r="G1434" t="str" cm="1">
        <f t="array" ref="G1434">IF(AND(ISNUMBER(SEARCH("UBER",C1434)),ISNUMBER(SEARCH("EATS",C1434))),"Uber Eats",IF(LEFT(C1434,6)="CHECK ","Checks Paid",IF(OR(E1434="BILLPAY",ISNUMBER(SEARCH("FRANCHISE TAX",C1434)),ISNUMBER(SEARCH("NEXTLINK",C1434))),"Personal - House Bills",IF(AND(ISNUMBER(SEARCH("PAYMENT FROM",C1434)),ISNUMBER(SEARCH("JOE SAUNDERS",C1434))),"Zelle from Joe Saunders",IF(AND(ISNUMBER(SEARCH("PAYMENT TO",C1434)),ISNUMBER(SEARCH("JOE SAUNDERS",C1434))),"Zelle to Joe Saunders",IF(OR(ISNUMBER(SEARCH("NEW ORLEANS",C1434)),ISNUMBER(SEARCH("KENNER",C1434)),ISNUMBER(SEARCH("HENRY HOWARD",C1434)),ISNUMBER(SEARCH("MISS CLAUDIA",C1434))),"Personal Travel - New Orleans",IF(AND(YEAR(B1434)=2025,MONTH(B1434)=4,OR(ISNUMBER(SEARCH("EXCHANGE RATE",C1434)),ISNUMBER(SEARCH("EXCHG RTE",C1434)))),"Personal Travel - Italy",IFERROR(INDEX('Category Rules'!$B$2:$B$358,MATCH(TRUE,ISNUMBER(SEARCH('Category Rules'!$A$2:$A$358,C1434)),0)),""))))))))</f>
        <v>Withdrawal</v>
      </c>
    </row>
    <row r="1435" spans="1:7" x14ac:dyDescent="0.25">
      <c r="A1435" t="s">
        <v>6</v>
      </c>
      <c r="B1435" s="1">
        <v>45811</v>
      </c>
      <c r="C1435" t="s">
        <v>1351</v>
      </c>
      <c r="D1435">
        <v>-21.34</v>
      </c>
      <c r="E1435" t="s">
        <v>10</v>
      </c>
      <c r="F1435">
        <v>1660.7</v>
      </c>
      <c r="G1435" t="str" cm="1">
        <f t="array" ref="G1435">IF(AND(ISNUMBER(SEARCH("UBER",C1435)),ISNUMBER(SEARCH("EATS",C1435))),"Uber Eats",IF(LEFT(C1435,6)="CHECK ","Checks Paid",IF(OR(E1435="BILLPAY",ISNUMBER(SEARCH("FRANCHISE TAX",C1435)),ISNUMBER(SEARCH("NEXTLINK",C1435))),"Personal - House Bills",IF(AND(ISNUMBER(SEARCH("PAYMENT FROM",C1435)),ISNUMBER(SEARCH("JOE SAUNDERS",C1435))),"Zelle from Joe Saunders",IF(AND(ISNUMBER(SEARCH("PAYMENT TO",C1435)),ISNUMBER(SEARCH("JOE SAUNDERS",C1435))),"Zelle to Joe Saunders",IF(OR(ISNUMBER(SEARCH("NEW ORLEANS",C1435)),ISNUMBER(SEARCH("KENNER",C1435)),ISNUMBER(SEARCH("HENRY HOWARD",C1435)),ISNUMBER(SEARCH("MISS CLAUDIA",C1435))),"Personal Travel - New Orleans",IF(AND(YEAR(B1435)=2025,MONTH(B1435)=4,OR(ISNUMBER(SEARCH("EXCHANGE RATE",C1435)),ISNUMBER(SEARCH("EXCHG RTE",C1435)))),"Personal Travel - Italy",IFERROR(INDEX('Category Rules'!$B$2:$B$358,MATCH(TRUE,ISNUMBER(SEARCH('Category Rules'!$A$2:$A$358,C1435)),0)),""))))))))</f>
        <v>Amazon</v>
      </c>
    </row>
    <row r="1436" spans="1:7" x14ac:dyDescent="0.25">
      <c r="A1436" t="s">
        <v>6</v>
      </c>
      <c r="B1436" s="1">
        <v>45811</v>
      </c>
      <c r="C1436" t="s">
        <v>1352</v>
      </c>
      <c r="D1436">
        <v>-16.79</v>
      </c>
      <c r="E1436" t="s">
        <v>10</v>
      </c>
      <c r="F1436">
        <v>1682.04</v>
      </c>
      <c r="G1436" t="str" cm="1">
        <f t="array" ref="G1436">IF(AND(ISNUMBER(SEARCH("UBER",C1436)),ISNUMBER(SEARCH("EATS",C1436))),"Uber Eats",IF(LEFT(C1436,6)="CHECK ","Checks Paid",IF(OR(E1436="BILLPAY",ISNUMBER(SEARCH("FRANCHISE TAX",C1436)),ISNUMBER(SEARCH("NEXTLINK",C1436))),"Personal - House Bills",IF(AND(ISNUMBER(SEARCH("PAYMENT FROM",C1436)),ISNUMBER(SEARCH("JOE SAUNDERS",C1436))),"Zelle from Joe Saunders",IF(AND(ISNUMBER(SEARCH("PAYMENT TO",C1436)),ISNUMBER(SEARCH("JOE SAUNDERS",C1436))),"Zelle to Joe Saunders",IF(OR(ISNUMBER(SEARCH("NEW ORLEANS",C1436)),ISNUMBER(SEARCH("KENNER",C1436)),ISNUMBER(SEARCH("HENRY HOWARD",C1436)),ISNUMBER(SEARCH("MISS CLAUDIA",C1436))),"Personal Travel - New Orleans",IF(AND(YEAR(B1436)=2025,MONTH(B1436)=4,OR(ISNUMBER(SEARCH("EXCHANGE RATE",C1436)),ISNUMBER(SEARCH("EXCHG RTE",C1436)))),"Personal Travel - Italy",IFERROR(INDEX('Category Rules'!$B$2:$B$358,MATCH(TRUE,ISNUMBER(SEARCH('Category Rules'!$A$2:$A$358,C1436)),0)),""))))))))</f>
        <v>Personal - Entertainment</v>
      </c>
    </row>
    <row r="1437" spans="1:7" x14ac:dyDescent="0.25">
      <c r="A1437" t="s">
        <v>6</v>
      </c>
      <c r="B1437" s="1">
        <v>45811</v>
      </c>
      <c r="C1437" t="s">
        <v>1353</v>
      </c>
      <c r="D1437">
        <v>-190.81</v>
      </c>
      <c r="E1437" t="s">
        <v>10</v>
      </c>
      <c r="F1437">
        <v>1698.83</v>
      </c>
      <c r="G1437" t="str" cm="1">
        <f t="array" ref="G1437">IF(AND(ISNUMBER(SEARCH("UBER",C1437)),ISNUMBER(SEARCH("EATS",C1437))),"Uber Eats",IF(LEFT(C1437,6)="CHECK ","Checks Paid",IF(OR(E1437="BILLPAY",ISNUMBER(SEARCH("FRANCHISE TAX",C1437)),ISNUMBER(SEARCH("NEXTLINK",C1437))),"Personal - House Bills",IF(AND(ISNUMBER(SEARCH("PAYMENT FROM",C1437)),ISNUMBER(SEARCH("JOE SAUNDERS",C1437))),"Zelle from Joe Saunders",IF(AND(ISNUMBER(SEARCH("PAYMENT TO",C1437)),ISNUMBER(SEARCH("JOE SAUNDERS",C1437))),"Zelle to Joe Saunders",IF(OR(ISNUMBER(SEARCH("NEW ORLEANS",C1437)),ISNUMBER(SEARCH("KENNER",C1437)),ISNUMBER(SEARCH("HENRY HOWARD",C1437)),ISNUMBER(SEARCH("MISS CLAUDIA",C1437))),"Personal Travel - New Orleans",IF(AND(YEAR(B1437)=2025,MONTH(B1437)=4,OR(ISNUMBER(SEARCH("EXCHANGE RATE",C1437)),ISNUMBER(SEARCH("EXCHG RTE",C1437)))),"Personal Travel - Italy",IFERROR(INDEX('Category Rules'!$B$2:$B$358,MATCH(TRUE,ISNUMBER(SEARCH('Category Rules'!$A$2:$A$358,C1437)),0)),""))))))))</f>
        <v>Amazon</v>
      </c>
    </row>
    <row r="1438" spans="1:7" x14ac:dyDescent="0.25">
      <c r="A1438" t="s">
        <v>6</v>
      </c>
      <c r="B1438" s="1">
        <v>45811</v>
      </c>
      <c r="C1438" t="s">
        <v>1354</v>
      </c>
      <c r="D1438">
        <v>26.58</v>
      </c>
      <c r="E1438" t="s">
        <v>10</v>
      </c>
      <c r="F1438">
        <v>1889.64</v>
      </c>
      <c r="G1438" t="str" cm="1">
        <f t="array" ref="G1438">IF(AND(ISNUMBER(SEARCH("UBER",C1438)),ISNUMBER(SEARCH("EATS",C1438))),"Uber Eats",IF(LEFT(C1438,6)="CHECK ","Checks Paid",IF(OR(E1438="BILLPAY",ISNUMBER(SEARCH("FRANCHISE TAX",C1438)),ISNUMBER(SEARCH("NEXTLINK",C1438))),"Personal - House Bills",IF(AND(ISNUMBER(SEARCH("PAYMENT FROM",C1438)),ISNUMBER(SEARCH("JOE SAUNDERS",C1438))),"Zelle from Joe Saunders",IF(AND(ISNUMBER(SEARCH("PAYMENT TO",C1438)),ISNUMBER(SEARCH("JOE SAUNDERS",C1438))),"Zelle to Joe Saunders",IF(OR(ISNUMBER(SEARCH("NEW ORLEANS",C1438)),ISNUMBER(SEARCH("KENNER",C1438)),ISNUMBER(SEARCH("HENRY HOWARD",C1438)),ISNUMBER(SEARCH("MISS CLAUDIA",C1438))),"Personal Travel - New Orleans",IF(AND(YEAR(B1438)=2025,MONTH(B1438)=4,OR(ISNUMBER(SEARCH("EXCHANGE RATE",C1438)),ISNUMBER(SEARCH("EXCHG RTE",C1438)))),"Personal Travel - Italy",IFERROR(INDEX('Category Rules'!$B$2:$B$358,MATCH(TRUE,ISNUMBER(SEARCH('Category Rules'!$A$2:$A$358,C1438)),0)),""))))))))</f>
        <v>Personal - Shopping</v>
      </c>
    </row>
    <row r="1439" spans="1:7" x14ac:dyDescent="0.25">
      <c r="A1439" t="s">
        <v>6</v>
      </c>
      <c r="B1439" s="1">
        <v>45810</v>
      </c>
      <c r="C1439" t="s">
        <v>1355</v>
      </c>
      <c r="D1439">
        <v>-352.08</v>
      </c>
      <c r="E1439" t="s">
        <v>1356</v>
      </c>
      <c r="F1439">
        <v>1863.06</v>
      </c>
      <c r="G1439" t="str" cm="1">
        <f t="array" ref="G1439">IF(AND(ISNUMBER(SEARCH("UBER",C1439)),ISNUMBER(SEARCH("EATS",C1439))),"Uber Eats",IF(LEFT(C1439,6)="CHECK ","Checks Paid",IF(OR(E1439="BILLPAY",ISNUMBER(SEARCH("FRANCHISE TAX",C1439)),ISNUMBER(SEARCH("NEXTLINK",C1439))),"Personal - House Bills",IF(AND(ISNUMBER(SEARCH("PAYMENT FROM",C1439)),ISNUMBER(SEARCH("JOE SAUNDERS",C1439))),"Zelle from Joe Saunders",IF(AND(ISNUMBER(SEARCH("PAYMENT TO",C1439)),ISNUMBER(SEARCH("JOE SAUNDERS",C1439))),"Zelle to Joe Saunders",IF(OR(ISNUMBER(SEARCH("NEW ORLEANS",C1439)),ISNUMBER(SEARCH("KENNER",C1439)),ISNUMBER(SEARCH("HENRY HOWARD",C1439)),ISNUMBER(SEARCH("MISS CLAUDIA",C1439))),"Personal Travel - New Orleans",IF(AND(YEAR(B1439)=2025,MONTH(B1439)=4,OR(ISNUMBER(SEARCH("EXCHANGE RATE",C1439)),ISNUMBER(SEARCH("EXCHG RTE",C1439)))),"Personal Travel - Italy",IFERROR(INDEX('Category Rules'!$B$2:$B$358,MATCH(TRUE,ISNUMBER(SEARCH('Category Rules'!$A$2:$A$358,C1439)),0)),""))))))))</f>
        <v>PayPal ACH - John Dunning</v>
      </c>
    </row>
    <row r="1440" spans="1:7" x14ac:dyDescent="0.25">
      <c r="A1440" t="s">
        <v>6</v>
      </c>
      <c r="B1440" s="1">
        <v>45810</v>
      </c>
      <c r="C1440" t="s">
        <v>1357</v>
      </c>
      <c r="D1440">
        <v>-11.99</v>
      </c>
      <c r="E1440" t="s">
        <v>1356</v>
      </c>
      <c r="F1440">
        <v>2215.14</v>
      </c>
      <c r="G1440" t="str" cm="1">
        <f t="array" ref="G1440">IF(AND(ISNUMBER(SEARCH("UBER",C1440)),ISNUMBER(SEARCH("EATS",C1440))),"Uber Eats",IF(LEFT(C1440,6)="CHECK ","Checks Paid",IF(OR(E1440="BILLPAY",ISNUMBER(SEARCH("FRANCHISE TAX",C1440)),ISNUMBER(SEARCH("NEXTLINK",C1440))),"Personal - House Bills",IF(AND(ISNUMBER(SEARCH("PAYMENT FROM",C1440)),ISNUMBER(SEARCH("JOE SAUNDERS",C1440))),"Zelle from Joe Saunders",IF(AND(ISNUMBER(SEARCH("PAYMENT TO",C1440)),ISNUMBER(SEARCH("JOE SAUNDERS",C1440))),"Zelle to Joe Saunders",IF(OR(ISNUMBER(SEARCH("NEW ORLEANS",C1440)),ISNUMBER(SEARCH("KENNER",C1440)),ISNUMBER(SEARCH("HENRY HOWARD",C1440)),ISNUMBER(SEARCH("MISS CLAUDIA",C1440))),"Personal Travel - New Orleans",IF(AND(YEAR(B1440)=2025,MONTH(B1440)=4,OR(ISNUMBER(SEARCH("EXCHANGE RATE",C1440)),ISNUMBER(SEARCH("EXCHG RTE",C1440)))),"Personal Travel - Italy",IFERROR(INDEX('Category Rules'!$B$2:$B$358,MATCH(TRUE,ISNUMBER(SEARCH('Category Rules'!$A$2:$A$358,C1440)),0)),""))))))))</f>
        <v>PayPal ACH - John Dunning</v>
      </c>
    </row>
    <row r="1441" spans="1:7" x14ac:dyDescent="0.25">
      <c r="A1441" t="s">
        <v>6</v>
      </c>
      <c r="B1441" s="1">
        <v>45810</v>
      </c>
      <c r="C1441" t="s">
        <v>1358</v>
      </c>
      <c r="D1441">
        <v>-217.08</v>
      </c>
      <c r="E1441" t="s">
        <v>10</v>
      </c>
      <c r="F1441">
        <v>2227.13</v>
      </c>
      <c r="G1441" t="str" cm="1">
        <f t="array" ref="G1441">IF(AND(ISNUMBER(SEARCH("UBER",C1441)),ISNUMBER(SEARCH("EATS",C1441))),"Uber Eats",IF(LEFT(C1441,6)="CHECK ","Checks Paid",IF(OR(E1441="BILLPAY",ISNUMBER(SEARCH("FRANCHISE TAX",C1441)),ISNUMBER(SEARCH("NEXTLINK",C1441))),"Personal - House Bills",IF(AND(ISNUMBER(SEARCH("PAYMENT FROM",C1441)),ISNUMBER(SEARCH("JOE SAUNDERS",C1441))),"Zelle from Joe Saunders",IF(AND(ISNUMBER(SEARCH("PAYMENT TO",C1441)),ISNUMBER(SEARCH("JOE SAUNDERS",C1441))),"Zelle to Joe Saunders",IF(OR(ISNUMBER(SEARCH("NEW ORLEANS",C1441)),ISNUMBER(SEARCH("KENNER",C1441)),ISNUMBER(SEARCH("HENRY HOWARD",C1441)),ISNUMBER(SEARCH("MISS CLAUDIA",C1441))),"Personal Travel - New Orleans",IF(AND(YEAR(B1441)=2025,MONTH(B1441)=4,OR(ISNUMBER(SEARCH("EXCHANGE RATE",C1441)),ISNUMBER(SEARCH("EXCHG RTE",C1441)))),"Personal Travel - Italy",IFERROR(INDEX('Category Rules'!$B$2:$B$358,MATCH(TRUE,ISNUMBER(SEARCH('Category Rules'!$A$2:$A$358,C1441)),0)),""))))))))</f>
        <v>Personal - Food</v>
      </c>
    </row>
    <row r="1442" spans="1:7" x14ac:dyDescent="0.25">
      <c r="A1442" t="s">
        <v>6</v>
      </c>
      <c r="B1442" s="1">
        <v>45810</v>
      </c>
      <c r="C1442" t="s">
        <v>1359</v>
      </c>
      <c r="D1442">
        <v>-49</v>
      </c>
      <c r="E1442" t="s">
        <v>10</v>
      </c>
      <c r="F1442">
        <v>2444.21</v>
      </c>
      <c r="G1442" t="str" cm="1">
        <f t="array" ref="G1442">IF(AND(ISNUMBER(SEARCH("UBER",C1442)),ISNUMBER(SEARCH("EATS",C1442))),"Uber Eats",IF(LEFT(C1442,6)="CHECK ","Checks Paid",IF(OR(E1442="BILLPAY",ISNUMBER(SEARCH("FRANCHISE TAX",C1442)),ISNUMBER(SEARCH("NEXTLINK",C1442))),"Personal - House Bills",IF(AND(ISNUMBER(SEARCH("PAYMENT FROM",C1442)),ISNUMBER(SEARCH("JOE SAUNDERS",C1442))),"Zelle from Joe Saunders",IF(AND(ISNUMBER(SEARCH("PAYMENT TO",C1442)),ISNUMBER(SEARCH("JOE SAUNDERS",C1442))),"Zelle to Joe Saunders",IF(OR(ISNUMBER(SEARCH("NEW ORLEANS",C1442)),ISNUMBER(SEARCH("KENNER",C1442)),ISNUMBER(SEARCH("HENRY HOWARD",C1442)),ISNUMBER(SEARCH("MISS CLAUDIA",C1442))),"Personal Travel - New Orleans",IF(AND(YEAR(B1442)=2025,MONTH(B1442)=4,OR(ISNUMBER(SEARCH("EXCHANGE RATE",C1442)),ISNUMBER(SEARCH("EXCHG RTE",C1442)))),"Personal Travel - Italy",IFERROR(INDEX('Category Rules'!$B$2:$B$358,MATCH(TRUE,ISNUMBER(SEARCH('Category Rules'!$A$2:$A$358,C1442)),0)),""))))))))</f>
        <v>Personal - Subscription</v>
      </c>
    </row>
    <row r="1443" spans="1:7" x14ac:dyDescent="0.25">
      <c r="A1443" t="s">
        <v>6</v>
      </c>
      <c r="B1443" s="1">
        <v>45810</v>
      </c>
      <c r="C1443" t="s">
        <v>1359</v>
      </c>
      <c r="D1443">
        <v>-50</v>
      </c>
      <c r="E1443" t="s">
        <v>10</v>
      </c>
      <c r="F1443">
        <v>2493.21</v>
      </c>
      <c r="G1443" t="str" cm="1">
        <f t="array" ref="G1443">IF(AND(ISNUMBER(SEARCH("UBER",C1443)),ISNUMBER(SEARCH("EATS",C1443))),"Uber Eats",IF(LEFT(C1443,6)="CHECK ","Checks Paid",IF(OR(E1443="BILLPAY",ISNUMBER(SEARCH("FRANCHISE TAX",C1443)),ISNUMBER(SEARCH("NEXTLINK",C1443))),"Personal - House Bills",IF(AND(ISNUMBER(SEARCH("PAYMENT FROM",C1443)),ISNUMBER(SEARCH("JOE SAUNDERS",C1443))),"Zelle from Joe Saunders",IF(AND(ISNUMBER(SEARCH("PAYMENT TO",C1443)),ISNUMBER(SEARCH("JOE SAUNDERS",C1443))),"Zelle to Joe Saunders",IF(OR(ISNUMBER(SEARCH("NEW ORLEANS",C1443)),ISNUMBER(SEARCH("KENNER",C1443)),ISNUMBER(SEARCH("HENRY HOWARD",C1443)),ISNUMBER(SEARCH("MISS CLAUDIA",C1443))),"Personal Travel - New Orleans",IF(AND(YEAR(B1443)=2025,MONTH(B1443)=4,OR(ISNUMBER(SEARCH("EXCHANGE RATE",C1443)),ISNUMBER(SEARCH("EXCHG RTE",C1443)))),"Personal Travel - Italy",IFERROR(INDEX('Category Rules'!$B$2:$B$358,MATCH(TRUE,ISNUMBER(SEARCH('Category Rules'!$A$2:$A$358,C1443)),0)),""))))))))</f>
        <v>Personal - Subscription</v>
      </c>
    </row>
    <row r="1444" spans="1:7" x14ac:dyDescent="0.25">
      <c r="A1444" t="s">
        <v>6</v>
      </c>
      <c r="B1444" s="1">
        <v>45810</v>
      </c>
      <c r="C1444" t="s">
        <v>1360</v>
      </c>
      <c r="D1444">
        <v>-100</v>
      </c>
      <c r="E1444" t="s">
        <v>10</v>
      </c>
      <c r="F1444">
        <v>2543.21</v>
      </c>
      <c r="G1444" t="str" cm="1">
        <f t="array" ref="G1444">IF(AND(ISNUMBER(SEARCH("UBER",C1444)),ISNUMBER(SEARCH("EATS",C1444))),"Uber Eats",IF(LEFT(C1444,6)="CHECK ","Checks Paid",IF(OR(E1444="BILLPAY",ISNUMBER(SEARCH("FRANCHISE TAX",C1444)),ISNUMBER(SEARCH("NEXTLINK",C1444))),"Personal - House Bills",IF(AND(ISNUMBER(SEARCH("PAYMENT FROM",C1444)),ISNUMBER(SEARCH("JOE SAUNDERS",C1444))),"Zelle from Joe Saunders",IF(AND(ISNUMBER(SEARCH("PAYMENT TO",C1444)),ISNUMBER(SEARCH("JOE SAUNDERS",C1444))),"Zelle to Joe Saunders",IF(OR(ISNUMBER(SEARCH("NEW ORLEANS",C1444)),ISNUMBER(SEARCH("KENNER",C1444)),ISNUMBER(SEARCH("HENRY HOWARD",C1444)),ISNUMBER(SEARCH("MISS CLAUDIA",C1444))),"Personal Travel - New Orleans",IF(AND(YEAR(B1444)=2025,MONTH(B1444)=4,OR(ISNUMBER(SEARCH("EXCHANGE RATE",C1444)),ISNUMBER(SEARCH("EXCHG RTE",C1444)))),"Personal Travel - Italy",IFERROR(INDEX('Category Rules'!$B$2:$B$358,MATCH(TRUE,ISNUMBER(SEARCH('Category Rules'!$A$2:$A$358,C1444)),0)),""))))))))</f>
        <v>Personal - Subscription</v>
      </c>
    </row>
    <row r="1445" spans="1:7" x14ac:dyDescent="0.25">
      <c r="A1445" t="s">
        <v>6</v>
      </c>
      <c r="B1445" s="1">
        <v>45810</v>
      </c>
      <c r="C1445" t="s">
        <v>1361</v>
      </c>
      <c r="D1445">
        <v>-51.98</v>
      </c>
      <c r="E1445" t="s">
        <v>10</v>
      </c>
      <c r="F1445">
        <v>2643.21</v>
      </c>
      <c r="G1445" t="str" cm="1">
        <f t="array" ref="G1445">IF(AND(ISNUMBER(SEARCH("UBER",C1445)),ISNUMBER(SEARCH("EATS",C1445))),"Uber Eats",IF(LEFT(C1445,6)="CHECK ","Checks Paid",IF(OR(E1445="BILLPAY",ISNUMBER(SEARCH("FRANCHISE TAX",C1445)),ISNUMBER(SEARCH("NEXTLINK",C1445))),"Personal - House Bills",IF(AND(ISNUMBER(SEARCH("PAYMENT FROM",C1445)),ISNUMBER(SEARCH("JOE SAUNDERS",C1445))),"Zelle from Joe Saunders",IF(AND(ISNUMBER(SEARCH("PAYMENT TO",C1445)),ISNUMBER(SEARCH("JOE SAUNDERS",C1445))),"Zelle to Joe Saunders",IF(OR(ISNUMBER(SEARCH("NEW ORLEANS",C1445)),ISNUMBER(SEARCH("KENNER",C1445)),ISNUMBER(SEARCH("HENRY HOWARD",C1445)),ISNUMBER(SEARCH("MISS CLAUDIA",C1445))),"Personal Travel - New Orleans",IF(AND(YEAR(B1445)=2025,MONTH(B1445)=4,OR(ISNUMBER(SEARCH("EXCHANGE RATE",C1445)),ISNUMBER(SEARCH("EXCHG RTE",C1445)))),"Personal Travel - Italy",IFERROR(INDEX('Category Rules'!$B$2:$B$358,MATCH(TRUE,ISNUMBER(SEARCH('Category Rules'!$A$2:$A$358,C1445)),0)),""))))))))</f>
        <v>Amazon</v>
      </c>
    </row>
    <row r="1446" spans="1:7" x14ac:dyDescent="0.25">
      <c r="A1446" t="s">
        <v>6</v>
      </c>
      <c r="B1446" s="1">
        <v>45810</v>
      </c>
      <c r="C1446" t="s">
        <v>1362</v>
      </c>
      <c r="D1446">
        <v>-53.36</v>
      </c>
      <c r="E1446" t="s">
        <v>10</v>
      </c>
      <c r="F1446">
        <v>2695.19</v>
      </c>
      <c r="G1446" t="str" cm="1">
        <f t="array" ref="G1446">IF(AND(ISNUMBER(SEARCH("UBER",C1446)),ISNUMBER(SEARCH("EATS",C1446))),"Uber Eats",IF(LEFT(C1446,6)="CHECK ","Checks Paid",IF(OR(E1446="BILLPAY",ISNUMBER(SEARCH("FRANCHISE TAX",C1446)),ISNUMBER(SEARCH("NEXTLINK",C1446))),"Personal - House Bills",IF(AND(ISNUMBER(SEARCH("PAYMENT FROM",C1446)),ISNUMBER(SEARCH("JOE SAUNDERS",C1446))),"Zelle from Joe Saunders",IF(AND(ISNUMBER(SEARCH("PAYMENT TO",C1446)),ISNUMBER(SEARCH("JOE SAUNDERS",C1446))),"Zelle to Joe Saunders",IF(OR(ISNUMBER(SEARCH("NEW ORLEANS",C1446)),ISNUMBER(SEARCH("KENNER",C1446)),ISNUMBER(SEARCH("HENRY HOWARD",C1446)),ISNUMBER(SEARCH("MISS CLAUDIA",C1446))),"Personal Travel - New Orleans",IF(AND(YEAR(B1446)=2025,MONTH(B1446)=4,OR(ISNUMBER(SEARCH("EXCHANGE RATE",C1446)),ISNUMBER(SEARCH("EXCHG RTE",C1446)))),"Personal Travel - Italy",IFERROR(INDEX('Category Rules'!$B$2:$B$358,MATCH(TRUE,ISNUMBER(SEARCH('Category Rules'!$A$2:$A$358,C1446)),0)),""))))))))</f>
        <v>Amazon</v>
      </c>
    </row>
    <row r="1447" spans="1:7" x14ac:dyDescent="0.25">
      <c r="A1447" t="s">
        <v>6</v>
      </c>
      <c r="B1447" s="1">
        <v>45810</v>
      </c>
      <c r="C1447" t="s">
        <v>1363</v>
      </c>
      <c r="D1447">
        <v>-150</v>
      </c>
      <c r="E1447" t="s">
        <v>10</v>
      </c>
      <c r="F1447">
        <v>2748.55</v>
      </c>
      <c r="G1447" t="str" cm="1">
        <f t="array" ref="G1447">IF(AND(ISNUMBER(SEARCH("UBER",C1447)),ISNUMBER(SEARCH("EATS",C1447))),"Uber Eats",IF(LEFT(C1447,6)="CHECK ","Checks Paid",IF(OR(E1447="BILLPAY",ISNUMBER(SEARCH("FRANCHISE TAX",C1447)),ISNUMBER(SEARCH("NEXTLINK",C1447))),"Personal - House Bills",IF(AND(ISNUMBER(SEARCH("PAYMENT FROM",C1447)),ISNUMBER(SEARCH("JOE SAUNDERS",C1447))),"Zelle from Joe Saunders",IF(AND(ISNUMBER(SEARCH("PAYMENT TO",C1447)),ISNUMBER(SEARCH("JOE SAUNDERS",C1447))),"Zelle to Joe Saunders",IF(OR(ISNUMBER(SEARCH("NEW ORLEANS",C1447)),ISNUMBER(SEARCH("KENNER",C1447)),ISNUMBER(SEARCH("HENRY HOWARD",C1447)),ISNUMBER(SEARCH("MISS CLAUDIA",C1447))),"Personal Travel - New Orleans",IF(AND(YEAR(B1447)=2025,MONTH(B1447)=4,OR(ISNUMBER(SEARCH("EXCHANGE RATE",C1447)),ISNUMBER(SEARCH("EXCHG RTE",C1447)))),"Personal Travel - Italy",IFERROR(INDEX('Category Rules'!$B$2:$B$358,MATCH(TRUE,ISNUMBER(SEARCH('Category Rules'!$A$2:$A$358,C1447)),0)),""))))))))</f>
        <v>Donation</v>
      </c>
    </row>
    <row r="1448" spans="1:7" x14ac:dyDescent="0.25">
      <c r="A1448" t="s">
        <v>6</v>
      </c>
      <c r="B1448" s="1">
        <v>45810</v>
      </c>
      <c r="C1448" t="s">
        <v>1364</v>
      </c>
      <c r="D1448">
        <v>-18.38</v>
      </c>
      <c r="E1448" t="s">
        <v>10</v>
      </c>
      <c r="F1448">
        <v>2898.55</v>
      </c>
      <c r="G1448" t="str" cm="1">
        <f t="array" ref="G1448">IF(AND(ISNUMBER(SEARCH("UBER",C1448)),ISNUMBER(SEARCH("EATS",C1448))),"Uber Eats",IF(LEFT(C1448,6)="CHECK ","Checks Paid",IF(OR(E1448="BILLPAY",ISNUMBER(SEARCH("FRANCHISE TAX",C1448)),ISNUMBER(SEARCH("NEXTLINK",C1448))),"Personal - House Bills",IF(AND(ISNUMBER(SEARCH("PAYMENT FROM",C1448)),ISNUMBER(SEARCH("JOE SAUNDERS",C1448))),"Zelle from Joe Saunders",IF(AND(ISNUMBER(SEARCH("PAYMENT TO",C1448)),ISNUMBER(SEARCH("JOE SAUNDERS",C1448))),"Zelle to Joe Saunders",IF(OR(ISNUMBER(SEARCH("NEW ORLEANS",C1448)),ISNUMBER(SEARCH("KENNER",C1448)),ISNUMBER(SEARCH("HENRY HOWARD",C1448)),ISNUMBER(SEARCH("MISS CLAUDIA",C1448))),"Personal Travel - New Orleans",IF(AND(YEAR(B1448)=2025,MONTH(B1448)=4,OR(ISNUMBER(SEARCH("EXCHANGE RATE",C1448)),ISNUMBER(SEARCH("EXCHG RTE",C1448)))),"Personal Travel - Italy",IFERROR(INDEX('Category Rules'!$B$2:$B$358,MATCH(TRUE,ISNUMBER(SEARCH('Category Rules'!$A$2:$A$358,C1448)),0)),""))))))))</f>
        <v>Amazon</v>
      </c>
    </row>
    <row r="1449" spans="1:7" x14ac:dyDescent="0.25">
      <c r="A1449" t="s">
        <v>6</v>
      </c>
      <c r="B1449" s="1">
        <v>45810</v>
      </c>
      <c r="C1449" t="s">
        <v>1365</v>
      </c>
      <c r="D1449">
        <v>-33</v>
      </c>
      <c r="E1449" t="s">
        <v>10</v>
      </c>
      <c r="F1449">
        <v>2916.93</v>
      </c>
      <c r="G1449" t="str" cm="1">
        <f t="array" ref="G1449">IF(AND(ISNUMBER(SEARCH("UBER",C1449)),ISNUMBER(SEARCH("EATS",C1449))),"Uber Eats",IF(LEFT(C1449,6)="CHECK ","Checks Paid",IF(OR(E1449="BILLPAY",ISNUMBER(SEARCH("FRANCHISE TAX",C1449)),ISNUMBER(SEARCH("NEXTLINK",C1449))),"Personal - House Bills",IF(AND(ISNUMBER(SEARCH("PAYMENT FROM",C1449)),ISNUMBER(SEARCH("JOE SAUNDERS",C1449))),"Zelle from Joe Saunders",IF(AND(ISNUMBER(SEARCH("PAYMENT TO",C1449)),ISNUMBER(SEARCH("JOE SAUNDERS",C1449))),"Zelle to Joe Saunders",IF(OR(ISNUMBER(SEARCH("NEW ORLEANS",C1449)),ISNUMBER(SEARCH("KENNER",C1449)),ISNUMBER(SEARCH("HENRY HOWARD",C1449)),ISNUMBER(SEARCH("MISS CLAUDIA",C1449))),"Personal Travel - New Orleans",IF(AND(YEAR(B1449)=2025,MONTH(B1449)=4,OR(ISNUMBER(SEARCH("EXCHANGE RATE",C1449)),ISNUMBER(SEARCH("EXCHG RTE",C1449)))),"Personal Travel - Italy",IFERROR(INDEX('Category Rules'!$B$2:$B$358,MATCH(TRUE,ISNUMBER(SEARCH('Category Rules'!$A$2:$A$358,C1449)),0)),""))))))))</f>
        <v>Personal - Subscription</v>
      </c>
    </row>
    <row r="1450" spans="1:7" x14ac:dyDescent="0.25">
      <c r="A1450" t="s">
        <v>6</v>
      </c>
      <c r="B1450" s="1">
        <v>45810</v>
      </c>
      <c r="C1450" t="s">
        <v>1366</v>
      </c>
      <c r="D1450">
        <v>-30.33</v>
      </c>
      <c r="E1450" t="s">
        <v>10</v>
      </c>
      <c r="F1450">
        <v>2949.93</v>
      </c>
      <c r="G1450" t="str" cm="1">
        <f t="array" ref="G1450">IF(AND(ISNUMBER(SEARCH("UBER",C1450)),ISNUMBER(SEARCH("EATS",C1450))),"Uber Eats",IF(LEFT(C1450,6)="CHECK ","Checks Paid",IF(OR(E1450="BILLPAY",ISNUMBER(SEARCH("FRANCHISE TAX",C1450)),ISNUMBER(SEARCH("NEXTLINK",C1450))),"Personal - House Bills",IF(AND(ISNUMBER(SEARCH("PAYMENT FROM",C1450)),ISNUMBER(SEARCH("JOE SAUNDERS",C1450))),"Zelle from Joe Saunders",IF(AND(ISNUMBER(SEARCH("PAYMENT TO",C1450)),ISNUMBER(SEARCH("JOE SAUNDERS",C1450))),"Zelle to Joe Saunders",IF(OR(ISNUMBER(SEARCH("NEW ORLEANS",C1450)),ISNUMBER(SEARCH("KENNER",C1450)),ISNUMBER(SEARCH("HENRY HOWARD",C1450)),ISNUMBER(SEARCH("MISS CLAUDIA",C1450))),"Personal Travel - New Orleans",IF(AND(YEAR(B1450)=2025,MONTH(B1450)=4,OR(ISNUMBER(SEARCH("EXCHANGE RATE",C1450)),ISNUMBER(SEARCH("EXCHG RTE",C1450)))),"Personal Travel - Italy",IFERROR(INDEX('Category Rules'!$B$2:$B$358,MATCH(TRUE,ISNUMBER(SEARCH('Category Rules'!$A$2:$A$358,C1450)),0)),""))))))))</f>
        <v>Personal - Car</v>
      </c>
    </row>
    <row r="1451" spans="1:7" x14ac:dyDescent="0.25">
      <c r="A1451" t="s">
        <v>6</v>
      </c>
      <c r="B1451" s="1">
        <v>45810</v>
      </c>
      <c r="C1451" t="s">
        <v>1367</v>
      </c>
      <c r="D1451">
        <v>-69.03</v>
      </c>
      <c r="E1451" t="s">
        <v>10</v>
      </c>
      <c r="F1451">
        <v>2980.26</v>
      </c>
      <c r="G1451" t="str" cm="1">
        <f t="array" ref="G1451">IF(AND(ISNUMBER(SEARCH("UBER",C1451)),ISNUMBER(SEARCH("EATS",C1451))),"Uber Eats",IF(LEFT(C1451,6)="CHECK ","Checks Paid",IF(OR(E1451="BILLPAY",ISNUMBER(SEARCH("FRANCHISE TAX",C1451)),ISNUMBER(SEARCH("NEXTLINK",C1451))),"Personal - House Bills",IF(AND(ISNUMBER(SEARCH("PAYMENT FROM",C1451)),ISNUMBER(SEARCH("JOE SAUNDERS",C1451))),"Zelle from Joe Saunders",IF(AND(ISNUMBER(SEARCH("PAYMENT TO",C1451)),ISNUMBER(SEARCH("JOE SAUNDERS",C1451))),"Zelle to Joe Saunders",IF(OR(ISNUMBER(SEARCH("NEW ORLEANS",C1451)),ISNUMBER(SEARCH("KENNER",C1451)),ISNUMBER(SEARCH("HENRY HOWARD",C1451)),ISNUMBER(SEARCH("MISS CLAUDIA",C1451))),"Personal Travel - New Orleans",IF(AND(YEAR(B1451)=2025,MONTH(B1451)=4,OR(ISNUMBER(SEARCH("EXCHANGE RATE",C1451)),ISNUMBER(SEARCH("EXCHG RTE",C1451)))),"Personal Travel - Italy",IFERROR(INDEX('Category Rules'!$B$2:$B$358,MATCH(TRUE,ISNUMBER(SEARCH('Category Rules'!$A$2:$A$358,C1451)),0)),""))))))))</f>
        <v>Personal - Health</v>
      </c>
    </row>
    <row r="1452" spans="1:7" x14ac:dyDescent="0.25">
      <c r="A1452" t="s">
        <v>6</v>
      </c>
      <c r="B1452" s="1">
        <v>45810</v>
      </c>
      <c r="C1452" t="s">
        <v>1368</v>
      </c>
      <c r="D1452">
        <v>-45.98</v>
      </c>
      <c r="E1452" t="s">
        <v>10</v>
      </c>
      <c r="F1452">
        <v>3049.29</v>
      </c>
      <c r="G1452" t="str" cm="1">
        <f t="array" ref="G1452">IF(AND(ISNUMBER(SEARCH("UBER",C1452)),ISNUMBER(SEARCH("EATS",C1452))),"Uber Eats",IF(LEFT(C1452,6)="CHECK ","Checks Paid",IF(OR(E1452="BILLPAY",ISNUMBER(SEARCH("FRANCHISE TAX",C1452)),ISNUMBER(SEARCH("NEXTLINK",C1452))),"Personal - House Bills",IF(AND(ISNUMBER(SEARCH("PAYMENT FROM",C1452)),ISNUMBER(SEARCH("JOE SAUNDERS",C1452))),"Zelle from Joe Saunders",IF(AND(ISNUMBER(SEARCH("PAYMENT TO",C1452)),ISNUMBER(SEARCH("JOE SAUNDERS",C1452))),"Zelle to Joe Saunders",IF(OR(ISNUMBER(SEARCH("NEW ORLEANS",C1452)),ISNUMBER(SEARCH("KENNER",C1452)),ISNUMBER(SEARCH("HENRY HOWARD",C1452)),ISNUMBER(SEARCH("MISS CLAUDIA",C1452))),"Personal Travel - New Orleans",IF(AND(YEAR(B1452)=2025,MONTH(B1452)=4,OR(ISNUMBER(SEARCH("EXCHANGE RATE",C1452)),ISNUMBER(SEARCH("EXCHG RTE",C1452)))),"Personal Travel - Italy",IFERROR(INDEX('Category Rules'!$B$2:$B$358,MATCH(TRUE,ISNUMBER(SEARCH('Category Rules'!$A$2:$A$358,C1452)),0)),""))))))))</f>
        <v>Amazon</v>
      </c>
    </row>
    <row r="1453" spans="1:7" x14ac:dyDescent="0.25">
      <c r="A1453" t="s">
        <v>6</v>
      </c>
      <c r="B1453" s="1">
        <v>45810</v>
      </c>
      <c r="C1453" t="s">
        <v>1369</v>
      </c>
      <c r="D1453">
        <v>-400</v>
      </c>
      <c r="E1453" t="s">
        <v>26</v>
      </c>
      <c r="F1453">
        <v>3095.27</v>
      </c>
      <c r="G1453" t="str" cm="1">
        <f t="array" ref="G1453">IF(AND(ISNUMBER(SEARCH("UBER",C1453)),ISNUMBER(SEARCH("EATS",C1453))),"Uber Eats",IF(LEFT(C1453,6)="CHECK ","Checks Paid",IF(OR(E1453="BILLPAY",ISNUMBER(SEARCH("FRANCHISE TAX",C1453)),ISNUMBER(SEARCH("NEXTLINK",C1453))),"Personal - House Bills",IF(AND(ISNUMBER(SEARCH("PAYMENT FROM",C1453)),ISNUMBER(SEARCH("JOE SAUNDERS",C1453))),"Zelle from Joe Saunders",IF(AND(ISNUMBER(SEARCH("PAYMENT TO",C1453)),ISNUMBER(SEARCH("JOE SAUNDERS",C1453))),"Zelle to Joe Saunders",IF(OR(ISNUMBER(SEARCH("NEW ORLEANS",C1453)),ISNUMBER(SEARCH("KENNER",C1453)),ISNUMBER(SEARCH("HENRY HOWARD",C1453)),ISNUMBER(SEARCH("MISS CLAUDIA",C1453))),"Personal Travel - New Orleans",IF(AND(YEAR(B1453)=2025,MONTH(B1453)=4,OR(ISNUMBER(SEARCH("EXCHANGE RATE",C1453)),ISNUMBER(SEARCH("EXCHG RTE",C1453)))),"Personal Travel - Italy",IFERROR(INDEX('Category Rules'!$B$2:$B$358,MATCH(TRUE,ISNUMBER(SEARCH('Category Rules'!$A$2:$A$358,C1453)),0)),""))))))))</f>
        <v>Withdrawal</v>
      </c>
    </row>
    <row r="1454" spans="1:7" x14ac:dyDescent="0.25">
      <c r="A1454" t="s">
        <v>6</v>
      </c>
      <c r="B1454" s="1">
        <v>45810</v>
      </c>
      <c r="C1454" t="s">
        <v>1370</v>
      </c>
      <c r="D1454">
        <v>-944.63</v>
      </c>
      <c r="E1454" t="s">
        <v>10</v>
      </c>
      <c r="F1454">
        <v>3495.27</v>
      </c>
      <c r="G1454" t="str" cm="1">
        <f t="array" ref="G1454">IF(AND(ISNUMBER(SEARCH("UBER",C1454)),ISNUMBER(SEARCH("EATS",C1454))),"Uber Eats",IF(LEFT(C1454,6)="CHECK ","Checks Paid",IF(OR(E1454="BILLPAY",ISNUMBER(SEARCH("FRANCHISE TAX",C1454)),ISNUMBER(SEARCH("NEXTLINK",C1454))),"Personal - House Bills",IF(AND(ISNUMBER(SEARCH("PAYMENT FROM",C1454)),ISNUMBER(SEARCH("JOE SAUNDERS",C1454))),"Zelle from Joe Saunders",IF(AND(ISNUMBER(SEARCH("PAYMENT TO",C1454)),ISNUMBER(SEARCH("JOE SAUNDERS",C1454))),"Zelle to Joe Saunders",IF(OR(ISNUMBER(SEARCH("NEW ORLEANS",C1454)),ISNUMBER(SEARCH("KENNER",C1454)),ISNUMBER(SEARCH("HENRY HOWARD",C1454)),ISNUMBER(SEARCH("MISS CLAUDIA",C1454))),"Personal Travel - New Orleans",IF(AND(YEAR(B1454)=2025,MONTH(B1454)=4,OR(ISNUMBER(SEARCH("EXCHANGE RATE",C1454)),ISNUMBER(SEARCH("EXCHG RTE",C1454)))),"Personal Travel - Italy",IFERROR(INDEX('Category Rules'!$B$2:$B$358,MATCH(TRUE,ISNUMBER(SEARCH('Category Rules'!$A$2:$A$358,C1454)),0)),""))))))))</f>
        <v>Personal - Health Insurance</v>
      </c>
    </row>
    <row r="1455" spans="1:7" x14ac:dyDescent="0.25">
      <c r="A1455" t="s">
        <v>6</v>
      </c>
      <c r="B1455" s="1">
        <v>45810</v>
      </c>
      <c r="C1455" t="s">
        <v>1371</v>
      </c>
      <c r="D1455">
        <v>-182</v>
      </c>
      <c r="E1455" t="s">
        <v>10</v>
      </c>
      <c r="F1455">
        <v>4439.8999999999996</v>
      </c>
      <c r="G1455" t="str" cm="1">
        <f t="array" ref="G1455">IF(AND(ISNUMBER(SEARCH("UBER",C1455)),ISNUMBER(SEARCH("EATS",C1455))),"Uber Eats",IF(LEFT(C1455,6)="CHECK ","Checks Paid",IF(OR(E1455="BILLPAY",ISNUMBER(SEARCH("FRANCHISE TAX",C1455)),ISNUMBER(SEARCH("NEXTLINK",C1455))),"Personal - House Bills",IF(AND(ISNUMBER(SEARCH("PAYMENT FROM",C1455)),ISNUMBER(SEARCH("JOE SAUNDERS",C1455))),"Zelle from Joe Saunders",IF(AND(ISNUMBER(SEARCH("PAYMENT TO",C1455)),ISNUMBER(SEARCH("JOE SAUNDERS",C1455))),"Zelle to Joe Saunders",IF(OR(ISNUMBER(SEARCH("NEW ORLEANS",C1455)),ISNUMBER(SEARCH("KENNER",C1455)),ISNUMBER(SEARCH("HENRY HOWARD",C1455)),ISNUMBER(SEARCH("MISS CLAUDIA",C1455))),"Personal Travel - New Orleans",IF(AND(YEAR(B1455)=2025,MONTH(B1455)=4,OR(ISNUMBER(SEARCH("EXCHANGE RATE",C1455)),ISNUMBER(SEARCH("EXCHG RTE",C1455)))),"Personal Travel - Italy",IFERROR(INDEX('Category Rules'!$B$2:$B$358,MATCH(TRUE,ISNUMBER(SEARCH('Category Rules'!$A$2:$A$358,C1455)),0)),""))))))))</f>
        <v>Personal - House Bills</v>
      </c>
    </row>
    <row r="1456" spans="1:7" x14ac:dyDescent="0.25">
      <c r="A1456" t="s">
        <v>6</v>
      </c>
      <c r="B1456" s="1">
        <v>45810</v>
      </c>
      <c r="C1456" t="s">
        <v>1372</v>
      </c>
      <c r="D1456">
        <v>-59.9</v>
      </c>
      <c r="E1456" t="s">
        <v>10</v>
      </c>
      <c r="F1456">
        <v>4621.8999999999996</v>
      </c>
      <c r="G1456" t="str" cm="1">
        <f t="array" ref="G1456">IF(AND(ISNUMBER(SEARCH("UBER",C1456)),ISNUMBER(SEARCH("EATS",C1456))),"Uber Eats",IF(LEFT(C1456,6)="CHECK ","Checks Paid",IF(OR(E1456="BILLPAY",ISNUMBER(SEARCH("FRANCHISE TAX",C1456)),ISNUMBER(SEARCH("NEXTLINK",C1456))),"Personal - House Bills",IF(AND(ISNUMBER(SEARCH("PAYMENT FROM",C1456)),ISNUMBER(SEARCH("JOE SAUNDERS",C1456))),"Zelle from Joe Saunders",IF(AND(ISNUMBER(SEARCH("PAYMENT TO",C1456)),ISNUMBER(SEARCH("JOE SAUNDERS",C1456))),"Zelle to Joe Saunders",IF(OR(ISNUMBER(SEARCH("NEW ORLEANS",C1456)),ISNUMBER(SEARCH("KENNER",C1456)),ISNUMBER(SEARCH("HENRY HOWARD",C1456)),ISNUMBER(SEARCH("MISS CLAUDIA",C1456))),"Personal Travel - New Orleans",IF(AND(YEAR(B1456)=2025,MONTH(B1456)=4,OR(ISNUMBER(SEARCH("EXCHANGE RATE",C1456)),ISNUMBER(SEARCH("EXCHG RTE",C1456)))),"Personal Travel - Italy",IFERROR(INDEX('Category Rules'!$B$2:$B$358,MATCH(TRUE,ISNUMBER(SEARCH('Category Rules'!$A$2:$A$358,C1456)),0)),""))))))))</f>
        <v>Amazon</v>
      </c>
    </row>
    <row r="1457" spans="1:7" x14ac:dyDescent="0.25">
      <c r="A1457" t="s">
        <v>6</v>
      </c>
      <c r="B1457" s="1">
        <v>45810</v>
      </c>
      <c r="C1457" t="s">
        <v>1373</v>
      </c>
      <c r="D1457">
        <v>-63.15</v>
      </c>
      <c r="E1457" t="s">
        <v>10</v>
      </c>
      <c r="F1457">
        <v>4681.8</v>
      </c>
      <c r="G1457" t="str" cm="1">
        <f t="array" ref="G1457">IF(AND(ISNUMBER(SEARCH("UBER",C1457)),ISNUMBER(SEARCH("EATS",C1457))),"Uber Eats",IF(LEFT(C1457,6)="CHECK ","Checks Paid",IF(OR(E1457="BILLPAY",ISNUMBER(SEARCH("FRANCHISE TAX",C1457)),ISNUMBER(SEARCH("NEXTLINK",C1457))),"Personal - House Bills",IF(AND(ISNUMBER(SEARCH("PAYMENT FROM",C1457)),ISNUMBER(SEARCH("JOE SAUNDERS",C1457))),"Zelle from Joe Saunders",IF(AND(ISNUMBER(SEARCH("PAYMENT TO",C1457)),ISNUMBER(SEARCH("JOE SAUNDERS",C1457))),"Zelle to Joe Saunders",IF(OR(ISNUMBER(SEARCH("NEW ORLEANS",C1457)),ISNUMBER(SEARCH("KENNER",C1457)),ISNUMBER(SEARCH("HENRY HOWARD",C1457)),ISNUMBER(SEARCH("MISS CLAUDIA",C1457))),"Personal Travel - New Orleans",IF(AND(YEAR(B1457)=2025,MONTH(B1457)=4,OR(ISNUMBER(SEARCH("EXCHANGE RATE",C1457)),ISNUMBER(SEARCH("EXCHG RTE",C1457)))),"Personal Travel - Italy",IFERROR(INDEX('Category Rules'!$B$2:$B$358,MATCH(TRUE,ISNUMBER(SEARCH('Category Rules'!$A$2:$A$358,C1457)),0)),""))))))))</f>
        <v>Amazon</v>
      </c>
    </row>
    <row r="1458" spans="1:7" x14ac:dyDescent="0.25">
      <c r="A1458" t="s">
        <v>6</v>
      </c>
      <c r="B1458" s="1">
        <v>45810</v>
      </c>
      <c r="C1458" t="s">
        <v>1374</v>
      </c>
      <c r="D1458">
        <v>-40.15</v>
      </c>
      <c r="E1458" t="s">
        <v>10</v>
      </c>
      <c r="F1458">
        <v>4744.95</v>
      </c>
      <c r="G1458" t="str" cm="1">
        <f t="array" ref="G1458">IF(AND(ISNUMBER(SEARCH("UBER",C1458)),ISNUMBER(SEARCH("EATS",C1458))),"Uber Eats",IF(LEFT(C1458,6)="CHECK ","Checks Paid",IF(OR(E1458="BILLPAY",ISNUMBER(SEARCH("FRANCHISE TAX",C1458)),ISNUMBER(SEARCH("NEXTLINK",C1458))),"Personal - House Bills",IF(AND(ISNUMBER(SEARCH("PAYMENT FROM",C1458)),ISNUMBER(SEARCH("JOE SAUNDERS",C1458))),"Zelle from Joe Saunders",IF(AND(ISNUMBER(SEARCH("PAYMENT TO",C1458)),ISNUMBER(SEARCH("JOE SAUNDERS",C1458))),"Zelle to Joe Saunders",IF(OR(ISNUMBER(SEARCH("NEW ORLEANS",C1458)),ISNUMBER(SEARCH("KENNER",C1458)),ISNUMBER(SEARCH("HENRY HOWARD",C1458)),ISNUMBER(SEARCH("MISS CLAUDIA",C1458))),"Personal Travel - New Orleans",IF(AND(YEAR(B1458)=2025,MONTH(B1458)=4,OR(ISNUMBER(SEARCH("EXCHANGE RATE",C1458)),ISNUMBER(SEARCH("EXCHG RTE",C1458)))),"Personal Travel - Italy",IFERROR(INDEX('Category Rules'!$B$2:$B$358,MATCH(TRUE,ISNUMBER(SEARCH('Category Rules'!$A$2:$A$358,C1458)),0)),""))))))))</f>
        <v>Amazon</v>
      </c>
    </row>
    <row r="1459" spans="1:7" x14ac:dyDescent="0.25">
      <c r="A1459" t="s">
        <v>6</v>
      </c>
      <c r="B1459" s="1">
        <v>45810</v>
      </c>
      <c r="C1459" t="s">
        <v>1375</v>
      </c>
      <c r="D1459">
        <v>-397.48</v>
      </c>
      <c r="E1459" t="s">
        <v>10</v>
      </c>
      <c r="F1459">
        <v>4785.1000000000004</v>
      </c>
      <c r="G1459" t="str" cm="1">
        <f t="array" ref="G1459">IF(AND(ISNUMBER(SEARCH("UBER",C1459)),ISNUMBER(SEARCH("EATS",C1459))),"Uber Eats",IF(LEFT(C1459,6)="CHECK ","Checks Paid",IF(OR(E1459="BILLPAY",ISNUMBER(SEARCH("FRANCHISE TAX",C1459)),ISNUMBER(SEARCH("NEXTLINK",C1459))),"Personal - House Bills",IF(AND(ISNUMBER(SEARCH("PAYMENT FROM",C1459)),ISNUMBER(SEARCH("JOE SAUNDERS",C1459))),"Zelle from Joe Saunders",IF(AND(ISNUMBER(SEARCH("PAYMENT TO",C1459)),ISNUMBER(SEARCH("JOE SAUNDERS",C1459))),"Zelle to Joe Saunders",IF(OR(ISNUMBER(SEARCH("NEW ORLEANS",C1459)),ISNUMBER(SEARCH("KENNER",C1459)),ISNUMBER(SEARCH("HENRY HOWARD",C1459)),ISNUMBER(SEARCH("MISS CLAUDIA",C1459))),"Personal Travel - New Orleans",IF(AND(YEAR(B1459)=2025,MONTH(B1459)=4,OR(ISNUMBER(SEARCH("EXCHANGE RATE",C1459)),ISNUMBER(SEARCH("EXCHG RTE",C1459)))),"Personal Travel - Italy",IFERROR(INDEX('Category Rules'!$B$2:$B$358,MATCH(TRUE,ISNUMBER(SEARCH('Category Rules'!$A$2:$A$358,C1459)),0)),""))))))))</f>
        <v>Amazon</v>
      </c>
    </row>
    <row r="1460" spans="1:7" x14ac:dyDescent="0.25">
      <c r="A1460" t="s">
        <v>6</v>
      </c>
      <c r="B1460" s="1">
        <v>45810</v>
      </c>
      <c r="C1460" t="s">
        <v>1376</v>
      </c>
      <c r="D1460">
        <v>-292.29000000000002</v>
      </c>
      <c r="E1460" t="s">
        <v>10</v>
      </c>
      <c r="F1460">
        <v>5182.58</v>
      </c>
      <c r="G1460" t="str" cm="1">
        <f t="array" ref="G1460">IF(AND(ISNUMBER(SEARCH("UBER",C1460)),ISNUMBER(SEARCH("EATS",C1460))),"Uber Eats",IF(LEFT(C1460,6)="CHECK ","Checks Paid",IF(OR(E1460="BILLPAY",ISNUMBER(SEARCH("FRANCHISE TAX",C1460)),ISNUMBER(SEARCH("NEXTLINK",C1460))),"Personal - House Bills",IF(AND(ISNUMBER(SEARCH("PAYMENT FROM",C1460)),ISNUMBER(SEARCH("JOE SAUNDERS",C1460))),"Zelle from Joe Saunders",IF(AND(ISNUMBER(SEARCH("PAYMENT TO",C1460)),ISNUMBER(SEARCH("JOE SAUNDERS",C1460))),"Zelle to Joe Saunders",IF(OR(ISNUMBER(SEARCH("NEW ORLEANS",C1460)),ISNUMBER(SEARCH("KENNER",C1460)),ISNUMBER(SEARCH("HENRY HOWARD",C1460)),ISNUMBER(SEARCH("MISS CLAUDIA",C1460))),"Personal Travel - New Orleans",IF(AND(YEAR(B1460)=2025,MONTH(B1460)=4,OR(ISNUMBER(SEARCH("EXCHANGE RATE",C1460)),ISNUMBER(SEARCH("EXCHG RTE",C1460)))),"Personal Travel - Italy",IFERROR(INDEX('Category Rules'!$B$2:$B$358,MATCH(TRUE,ISNUMBER(SEARCH('Category Rules'!$A$2:$A$358,C1460)),0)),""))))))))</f>
        <v>Personal - Shopping</v>
      </c>
    </row>
    <row r="1461" spans="1:7" x14ac:dyDescent="0.25">
      <c r="A1461" t="s">
        <v>44</v>
      </c>
      <c r="B1461" s="1">
        <v>45810</v>
      </c>
      <c r="C1461" t="s">
        <v>1377</v>
      </c>
      <c r="D1461">
        <v>3000</v>
      </c>
      <c r="E1461" t="s">
        <v>73</v>
      </c>
      <c r="F1461">
        <v>5474.87</v>
      </c>
      <c r="G1461" t="str" cm="1">
        <f t="array" ref="G1461">IF(AND(ISNUMBER(SEARCH("UBER",C1461)),ISNUMBER(SEARCH("EATS",C1461))),"Uber Eats",IF(LEFT(C1461,6)="CHECK ","Checks Paid",IF(OR(E1461="BILLPAY",ISNUMBER(SEARCH("FRANCHISE TAX",C1461)),ISNUMBER(SEARCH("NEXTLINK",C1461))),"Personal - House Bills",IF(AND(ISNUMBER(SEARCH("PAYMENT FROM",C1461)),ISNUMBER(SEARCH("JOE SAUNDERS",C1461))),"Zelle from Joe Saunders",IF(AND(ISNUMBER(SEARCH("PAYMENT TO",C1461)),ISNUMBER(SEARCH("JOE SAUNDERS",C1461))),"Zelle to Joe Saunders",IF(OR(ISNUMBER(SEARCH("NEW ORLEANS",C1461)),ISNUMBER(SEARCH("KENNER",C1461)),ISNUMBER(SEARCH("HENRY HOWARD",C1461)),ISNUMBER(SEARCH("MISS CLAUDIA",C1461))),"Personal Travel - New Orleans",IF(AND(YEAR(B1461)=2025,MONTH(B1461)=4,OR(ISNUMBER(SEARCH("EXCHANGE RATE",C1461)),ISNUMBER(SEARCH("EXCHG RTE",C1461)))),"Personal Travel - Italy",IFERROR(INDEX('Category Rules'!$B$2:$B$358,MATCH(TRUE,ISNUMBER(SEARCH('Category Rules'!$A$2:$A$358,C1461)),0)),""))))))))</f>
        <v>Transfer from DWG Capital Group</v>
      </c>
    </row>
    <row r="1462" spans="1:7" x14ac:dyDescent="0.25">
      <c r="A1462" t="s">
        <v>6</v>
      </c>
      <c r="B1462" s="1">
        <v>45807</v>
      </c>
      <c r="C1462" t="s">
        <v>1378</v>
      </c>
      <c r="D1462">
        <v>-137.08000000000001</v>
      </c>
      <c r="E1462" t="s">
        <v>10</v>
      </c>
      <c r="F1462">
        <v>2474.87</v>
      </c>
      <c r="G1462" t="str" cm="1">
        <f t="array" ref="G1462">IF(AND(ISNUMBER(SEARCH("UBER",C1462)),ISNUMBER(SEARCH("EATS",C1462))),"Uber Eats",IF(LEFT(C1462,6)="CHECK ","Checks Paid",IF(OR(E1462="BILLPAY",ISNUMBER(SEARCH("FRANCHISE TAX",C1462)),ISNUMBER(SEARCH("NEXTLINK",C1462))),"Personal - House Bills",IF(AND(ISNUMBER(SEARCH("PAYMENT FROM",C1462)),ISNUMBER(SEARCH("JOE SAUNDERS",C1462))),"Zelle from Joe Saunders",IF(AND(ISNUMBER(SEARCH("PAYMENT TO",C1462)),ISNUMBER(SEARCH("JOE SAUNDERS",C1462))),"Zelle to Joe Saunders",IF(OR(ISNUMBER(SEARCH("NEW ORLEANS",C1462)),ISNUMBER(SEARCH("KENNER",C1462)),ISNUMBER(SEARCH("HENRY HOWARD",C1462)),ISNUMBER(SEARCH("MISS CLAUDIA",C1462))),"Personal Travel - New Orleans",IF(AND(YEAR(B1462)=2025,MONTH(B1462)=4,OR(ISNUMBER(SEARCH("EXCHANGE RATE",C1462)),ISNUMBER(SEARCH("EXCHG RTE",C1462)))),"Personal Travel - Italy",IFERROR(INDEX('Category Rules'!$B$2:$B$358,MATCH(TRUE,ISNUMBER(SEARCH('Category Rules'!$A$2:$A$358,C1462)),0)),""))))))))</f>
        <v>Personal - Shopping</v>
      </c>
    </row>
    <row r="1463" spans="1:7" x14ac:dyDescent="0.25">
      <c r="A1463" t="s">
        <v>6</v>
      </c>
      <c r="B1463" s="1">
        <v>45807</v>
      </c>
      <c r="C1463" t="s">
        <v>1379</v>
      </c>
      <c r="D1463">
        <v>-86.62</v>
      </c>
      <c r="E1463" t="s">
        <v>10</v>
      </c>
      <c r="F1463">
        <v>2611.9499999999998</v>
      </c>
      <c r="G1463" t="str" cm="1">
        <f t="array" ref="G1463">IF(AND(ISNUMBER(SEARCH("UBER",C1463)),ISNUMBER(SEARCH("EATS",C1463))),"Uber Eats",IF(LEFT(C1463,6)="CHECK ","Checks Paid",IF(OR(E1463="BILLPAY",ISNUMBER(SEARCH("FRANCHISE TAX",C1463)),ISNUMBER(SEARCH("NEXTLINK",C1463))),"Personal - House Bills",IF(AND(ISNUMBER(SEARCH("PAYMENT FROM",C1463)),ISNUMBER(SEARCH("JOE SAUNDERS",C1463))),"Zelle from Joe Saunders",IF(AND(ISNUMBER(SEARCH("PAYMENT TO",C1463)),ISNUMBER(SEARCH("JOE SAUNDERS",C1463))),"Zelle to Joe Saunders",IF(OR(ISNUMBER(SEARCH("NEW ORLEANS",C1463)),ISNUMBER(SEARCH("KENNER",C1463)),ISNUMBER(SEARCH("HENRY HOWARD",C1463)),ISNUMBER(SEARCH("MISS CLAUDIA",C1463))),"Personal Travel - New Orleans",IF(AND(YEAR(B1463)=2025,MONTH(B1463)=4,OR(ISNUMBER(SEARCH("EXCHANGE RATE",C1463)),ISNUMBER(SEARCH("EXCHG RTE",C1463)))),"Personal Travel - Italy",IFERROR(INDEX('Category Rules'!$B$2:$B$358,MATCH(TRUE,ISNUMBER(SEARCH('Category Rules'!$A$2:$A$358,C1463)),0)),""))))))))</f>
        <v>Uber Eats</v>
      </c>
    </row>
    <row r="1464" spans="1:7" x14ac:dyDescent="0.25">
      <c r="A1464" t="s">
        <v>6</v>
      </c>
      <c r="B1464" s="1">
        <v>45807</v>
      </c>
      <c r="C1464" t="s">
        <v>1380</v>
      </c>
      <c r="D1464">
        <v>-58.55</v>
      </c>
      <c r="E1464" t="s">
        <v>10</v>
      </c>
      <c r="F1464">
        <v>2698.57</v>
      </c>
      <c r="G1464" t="str" cm="1">
        <f t="array" ref="G1464">IF(AND(ISNUMBER(SEARCH("UBER",C1464)),ISNUMBER(SEARCH("EATS",C1464))),"Uber Eats",IF(LEFT(C1464,6)="CHECK ","Checks Paid",IF(OR(E1464="BILLPAY",ISNUMBER(SEARCH("FRANCHISE TAX",C1464)),ISNUMBER(SEARCH("NEXTLINK",C1464))),"Personal - House Bills",IF(AND(ISNUMBER(SEARCH("PAYMENT FROM",C1464)),ISNUMBER(SEARCH("JOE SAUNDERS",C1464))),"Zelle from Joe Saunders",IF(AND(ISNUMBER(SEARCH("PAYMENT TO",C1464)),ISNUMBER(SEARCH("JOE SAUNDERS",C1464))),"Zelle to Joe Saunders",IF(OR(ISNUMBER(SEARCH("NEW ORLEANS",C1464)),ISNUMBER(SEARCH("KENNER",C1464)),ISNUMBER(SEARCH("HENRY HOWARD",C1464)),ISNUMBER(SEARCH("MISS CLAUDIA",C1464))),"Personal Travel - New Orleans",IF(AND(YEAR(B1464)=2025,MONTH(B1464)=4,OR(ISNUMBER(SEARCH("EXCHANGE RATE",C1464)),ISNUMBER(SEARCH("EXCHG RTE",C1464)))),"Personal Travel - Italy",IFERROR(INDEX('Category Rules'!$B$2:$B$358,MATCH(TRUE,ISNUMBER(SEARCH('Category Rules'!$A$2:$A$358,C1464)),0)),""))))))))</f>
        <v>Personal - Shopping</v>
      </c>
    </row>
    <row r="1465" spans="1:7" x14ac:dyDescent="0.25">
      <c r="A1465" t="s">
        <v>6</v>
      </c>
      <c r="B1465" s="1">
        <v>45807</v>
      </c>
      <c r="C1465" t="s">
        <v>1381</v>
      </c>
      <c r="D1465">
        <v>-33.64</v>
      </c>
      <c r="E1465" t="s">
        <v>10</v>
      </c>
      <c r="F1465">
        <v>2757.12</v>
      </c>
      <c r="G1465" t="str" cm="1">
        <f t="array" ref="G1465">IF(AND(ISNUMBER(SEARCH("UBER",C1465)),ISNUMBER(SEARCH("EATS",C1465))),"Uber Eats",IF(LEFT(C1465,6)="CHECK ","Checks Paid",IF(OR(E1465="BILLPAY",ISNUMBER(SEARCH("FRANCHISE TAX",C1465)),ISNUMBER(SEARCH("NEXTLINK",C1465))),"Personal - House Bills",IF(AND(ISNUMBER(SEARCH("PAYMENT FROM",C1465)),ISNUMBER(SEARCH("JOE SAUNDERS",C1465))),"Zelle from Joe Saunders",IF(AND(ISNUMBER(SEARCH("PAYMENT TO",C1465)),ISNUMBER(SEARCH("JOE SAUNDERS",C1465))),"Zelle to Joe Saunders",IF(OR(ISNUMBER(SEARCH("NEW ORLEANS",C1465)),ISNUMBER(SEARCH("KENNER",C1465)),ISNUMBER(SEARCH("HENRY HOWARD",C1465)),ISNUMBER(SEARCH("MISS CLAUDIA",C1465))),"Personal Travel - New Orleans",IF(AND(YEAR(B1465)=2025,MONTH(B1465)=4,OR(ISNUMBER(SEARCH("EXCHANGE RATE",C1465)),ISNUMBER(SEARCH("EXCHG RTE",C1465)))),"Personal Travel - Italy",IFERROR(INDEX('Category Rules'!$B$2:$B$358,MATCH(TRUE,ISNUMBER(SEARCH('Category Rules'!$A$2:$A$358,C1465)),0)),""))))))))</f>
        <v>Amazon</v>
      </c>
    </row>
    <row r="1466" spans="1:7" x14ac:dyDescent="0.25">
      <c r="A1466" t="s">
        <v>6</v>
      </c>
      <c r="B1466" s="1">
        <v>45807</v>
      </c>
      <c r="C1466" t="s">
        <v>1382</v>
      </c>
      <c r="D1466">
        <v>-101.51</v>
      </c>
      <c r="E1466" t="s">
        <v>10</v>
      </c>
      <c r="F1466">
        <v>2790.76</v>
      </c>
      <c r="G1466" t="str" cm="1">
        <f t="array" ref="G1466">IF(AND(ISNUMBER(SEARCH("UBER",C1466)),ISNUMBER(SEARCH("EATS",C1466))),"Uber Eats",IF(LEFT(C1466,6)="CHECK ","Checks Paid",IF(OR(E1466="BILLPAY",ISNUMBER(SEARCH("FRANCHISE TAX",C1466)),ISNUMBER(SEARCH("NEXTLINK",C1466))),"Personal - House Bills",IF(AND(ISNUMBER(SEARCH("PAYMENT FROM",C1466)),ISNUMBER(SEARCH("JOE SAUNDERS",C1466))),"Zelle from Joe Saunders",IF(AND(ISNUMBER(SEARCH("PAYMENT TO",C1466)),ISNUMBER(SEARCH("JOE SAUNDERS",C1466))),"Zelle to Joe Saunders",IF(OR(ISNUMBER(SEARCH("NEW ORLEANS",C1466)),ISNUMBER(SEARCH("KENNER",C1466)),ISNUMBER(SEARCH("HENRY HOWARD",C1466)),ISNUMBER(SEARCH("MISS CLAUDIA",C1466))),"Personal Travel - New Orleans",IF(AND(YEAR(B1466)=2025,MONTH(B1466)=4,OR(ISNUMBER(SEARCH("EXCHANGE RATE",C1466)),ISNUMBER(SEARCH("EXCHG RTE",C1466)))),"Personal Travel - Italy",IFERROR(INDEX('Category Rules'!$B$2:$B$358,MATCH(TRUE,ISNUMBER(SEARCH('Category Rules'!$A$2:$A$358,C1466)),0)),""))))))))</f>
        <v>Amazon</v>
      </c>
    </row>
    <row r="1467" spans="1:7" x14ac:dyDescent="0.25">
      <c r="A1467" t="s">
        <v>6</v>
      </c>
      <c r="B1467" s="1">
        <v>45807</v>
      </c>
      <c r="C1467" t="s">
        <v>1383</v>
      </c>
      <c r="D1467">
        <v>-70</v>
      </c>
      <c r="E1467" t="s">
        <v>10</v>
      </c>
      <c r="F1467">
        <v>2892.27</v>
      </c>
      <c r="G1467" t="str" cm="1">
        <f t="array" ref="G1467">IF(AND(ISNUMBER(SEARCH("UBER",C1467)),ISNUMBER(SEARCH("EATS",C1467))),"Uber Eats",IF(LEFT(C1467,6)="CHECK ","Checks Paid",IF(OR(E1467="BILLPAY",ISNUMBER(SEARCH("FRANCHISE TAX",C1467)),ISNUMBER(SEARCH("NEXTLINK",C1467))),"Personal - House Bills",IF(AND(ISNUMBER(SEARCH("PAYMENT FROM",C1467)),ISNUMBER(SEARCH("JOE SAUNDERS",C1467))),"Zelle from Joe Saunders",IF(AND(ISNUMBER(SEARCH("PAYMENT TO",C1467)),ISNUMBER(SEARCH("JOE SAUNDERS",C1467))),"Zelle to Joe Saunders",IF(OR(ISNUMBER(SEARCH("NEW ORLEANS",C1467)),ISNUMBER(SEARCH("KENNER",C1467)),ISNUMBER(SEARCH("HENRY HOWARD",C1467)),ISNUMBER(SEARCH("MISS CLAUDIA",C1467))),"Personal Travel - New Orleans",IF(AND(YEAR(B1467)=2025,MONTH(B1467)=4,OR(ISNUMBER(SEARCH("EXCHANGE RATE",C1467)),ISNUMBER(SEARCH("EXCHG RTE",C1467)))),"Personal Travel - Italy",IFERROR(INDEX('Category Rules'!$B$2:$B$358,MATCH(TRUE,ISNUMBER(SEARCH('Category Rules'!$A$2:$A$358,C1467)),0)),""))))))))</f>
        <v>Personal - Subscription</v>
      </c>
    </row>
    <row r="1468" spans="1:7" x14ac:dyDescent="0.25">
      <c r="A1468" t="s">
        <v>6</v>
      </c>
      <c r="B1468" s="1">
        <v>45807</v>
      </c>
      <c r="C1468" t="s">
        <v>1384</v>
      </c>
      <c r="D1468">
        <v>-88.55</v>
      </c>
      <c r="E1468" t="s">
        <v>10</v>
      </c>
      <c r="F1468">
        <v>2962.27</v>
      </c>
      <c r="G1468" t="str" cm="1">
        <f t="array" ref="G1468">IF(AND(ISNUMBER(SEARCH("UBER",C1468)),ISNUMBER(SEARCH("EATS",C1468))),"Uber Eats",IF(LEFT(C1468,6)="CHECK ","Checks Paid",IF(OR(E1468="BILLPAY",ISNUMBER(SEARCH("FRANCHISE TAX",C1468)),ISNUMBER(SEARCH("NEXTLINK",C1468))),"Personal - House Bills",IF(AND(ISNUMBER(SEARCH("PAYMENT FROM",C1468)),ISNUMBER(SEARCH("JOE SAUNDERS",C1468))),"Zelle from Joe Saunders",IF(AND(ISNUMBER(SEARCH("PAYMENT TO",C1468)),ISNUMBER(SEARCH("JOE SAUNDERS",C1468))),"Zelle to Joe Saunders",IF(OR(ISNUMBER(SEARCH("NEW ORLEANS",C1468)),ISNUMBER(SEARCH("KENNER",C1468)),ISNUMBER(SEARCH("HENRY HOWARD",C1468)),ISNUMBER(SEARCH("MISS CLAUDIA",C1468))),"Personal Travel - New Orleans",IF(AND(YEAR(B1468)=2025,MONTH(B1468)=4,OR(ISNUMBER(SEARCH("EXCHANGE RATE",C1468)),ISNUMBER(SEARCH("EXCHG RTE",C1468)))),"Personal Travel - Italy",IFERROR(INDEX('Category Rules'!$B$2:$B$358,MATCH(TRUE,ISNUMBER(SEARCH('Category Rules'!$A$2:$A$358,C1468)),0)),""))))))))</f>
        <v>Personal - Clothing</v>
      </c>
    </row>
    <row r="1469" spans="1:7" x14ac:dyDescent="0.25">
      <c r="A1469" t="s">
        <v>6</v>
      </c>
      <c r="B1469" s="1">
        <v>45806</v>
      </c>
      <c r="C1469" t="s">
        <v>1385</v>
      </c>
      <c r="D1469">
        <v>-480.38</v>
      </c>
      <c r="E1469" t="s">
        <v>1356</v>
      </c>
      <c r="F1469">
        <v>3050.82</v>
      </c>
      <c r="G1469" t="str" cm="1">
        <f t="array" ref="G1469">IF(AND(ISNUMBER(SEARCH("UBER",C1469)),ISNUMBER(SEARCH("EATS",C1469))),"Uber Eats",IF(LEFT(C1469,6)="CHECK ","Checks Paid",IF(OR(E1469="BILLPAY",ISNUMBER(SEARCH("FRANCHISE TAX",C1469)),ISNUMBER(SEARCH("NEXTLINK",C1469))),"Personal - House Bills",IF(AND(ISNUMBER(SEARCH("PAYMENT FROM",C1469)),ISNUMBER(SEARCH("JOE SAUNDERS",C1469))),"Zelle from Joe Saunders",IF(AND(ISNUMBER(SEARCH("PAYMENT TO",C1469)),ISNUMBER(SEARCH("JOE SAUNDERS",C1469))),"Zelle to Joe Saunders",IF(OR(ISNUMBER(SEARCH("NEW ORLEANS",C1469)),ISNUMBER(SEARCH("KENNER",C1469)),ISNUMBER(SEARCH("HENRY HOWARD",C1469)),ISNUMBER(SEARCH("MISS CLAUDIA",C1469))),"Personal Travel - New Orleans",IF(AND(YEAR(B1469)=2025,MONTH(B1469)=4,OR(ISNUMBER(SEARCH("EXCHANGE RATE",C1469)),ISNUMBER(SEARCH("EXCHG RTE",C1469)))),"Personal Travel - Italy",IFERROR(INDEX('Category Rules'!$B$2:$B$358,MATCH(TRUE,ISNUMBER(SEARCH('Category Rules'!$A$2:$A$358,C1469)),0)),""))))))))</f>
        <v>PayPal ACH - John Dunning</v>
      </c>
    </row>
    <row r="1470" spans="1:7" x14ac:dyDescent="0.25">
      <c r="A1470" t="s">
        <v>6</v>
      </c>
      <c r="B1470" s="1">
        <v>45806</v>
      </c>
      <c r="C1470" t="s">
        <v>1386</v>
      </c>
      <c r="D1470">
        <v>-5.49</v>
      </c>
      <c r="E1470" t="s">
        <v>10</v>
      </c>
      <c r="F1470">
        <v>3531.2</v>
      </c>
      <c r="G1470" t="str" cm="1">
        <f t="array" ref="G1470">IF(AND(ISNUMBER(SEARCH("UBER",C1470)),ISNUMBER(SEARCH("EATS",C1470))),"Uber Eats",IF(LEFT(C1470,6)="CHECK ","Checks Paid",IF(OR(E1470="BILLPAY",ISNUMBER(SEARCH("FRANCHISE TAX",C1470)),ISNUMBER(SEARCH("NEXTLINK",C1470))),"Personal - House Bills",IF(AND(ISNUMBER(SEARCH("PAYMENT FROM",C1470)),ISNUMBER(SEARCH("JOE SAUNDERS",C1470))),"Zelle from Joe Saunders",IF(AND(ISNUMBER(SEARCH("PAYMENT TO",C1470)),ISNUMBER(SEARCH("JOE SAUNDERS",C1470))),"Zelle to Joe Saunders",IF(OR(ISNUMBER(SEARCH("NEW ORLEANS",C1470)),ISNUMBER(SEARCH("KENNER",C1470)),ISNUMBER(SEARCH("HENRY HOWARD",C1470)),ISNUMBER(SEARCH("MISS CLAUDIA",C1470))),"Personal Travel - New Orleans",IF(AND(YEAR(B1470)=2025,MONTH(B1470)=4,OR(ISNUMBER(SEARCH("EXCHANGE RATE",C1470)),ISNUMBER(SEARCH("EXCHG RTE",C1470)))),"Personal Travel - Italy",IFERROR(INDEX('Category Rules'!$B$2:$B$358,MATCH(TRUE,ISNUMBER(SEARCH('Category Rules'!$A$2:$A$358,C1470)),0)),""))))))))</f>
        <v>Personal - Health</v>
      </c>
    </row>
    <row r="1471" spans="1:7" x14ac:dyDescent="0.25">
      <c r="A1471" t="s">
        <v>6</v>
      </c>
      <c r="B1471" s="1">
        <v>45806</v>
      </c>
      <c r="C1471" t="s">
        <v>1387</v>
      </c>
      <c r="D1471">
        <v>-17.38</v>
      </c>
      <c r="E1471" t="s">
        <v>10</v>
      </c>
      <c r="F1471">
        <v>3536.69</v>
      </c>
      <c r="G1471" t="str" cm="1">
        <f t="array" ref="G1471">IF(AND(ISNUMBER(SEARCH("UBER",C1471)),ISNUMBER(SEARCH("EATS",C1471))),"Uber Eats",IF(LEFT(C1471,6)="CHECK ","Checks Paid",IF(OR(E1471="BILLPAY",ISNUMBER(SEARCH("FRANCHISE TAX",C1471)),ISNUMBER(SEARCH("NEXTLINK",C1471))),"Personal - House Bills",IF(AND(ISNUMBER(SEARCH("PAYMENT FROM",C1471)),ISNUMBER(SEARCH("JOE SAUNDERS",C1471))),"Zelle from Joe Saunders",IF(AND(ISNUMBER(SEARCH("PAYMENT TO",C1471)),ISNUMBER(SEARCH("JOE SAUNDERS",C1471))),"Zelle to Joe Saunders",IF(OR(ISNUMBER(SEARCH("NEW ORLEANS",C1471)),ISNUMBER(SEARCH("KENNER",C1471)),ISNUMBER(SEARCH("HENRY HOWARD",C1471)),ISNUMBER(SEARCH("MISS CLAUDIA",C1471))),"Personal Travel - New Orleans",IF(AND(YEAR(B1471)=2025,MONTH(B1471)=4,OR(ISNUMBER(SEARCH("EXCHANGE RATE",C1471)),ISNUMBER(SEARCH("EXCHG RTE",C1471)))),"Personal Travel - Italy",IFERROR(INDEX('Category Rules'!$B$2:$B$358,MATCH(TRUE,ISNUMBER(SEARCH('Category Rules'!$A$2:$A$358,C1471)),0)),""))))))))</f>
        <v>Amazon</v>
      </c>
    </row>
    <row r="1472" spans="1:7" x14ac:dyDescent="0.25">
      <c r="A1472" t="s">
        <v>6</v>
      </c>
      <c r="B1472" s="1">
        <v>45806</v>
      </c>
      <c r="C1472" t="s">
        <v>1388</v>
      </c>
      <c r="D1472">
        <v>-35</v>
      </c>
      <c r="E1472" t="s">
        <v>10</v>
      </c>
      <c r="F1472">
        <v>3554.07</v>
      </c>
      <c r="G1472" t="str" cm="1">
        <f t="array" ref="G1472">IF(AND(ISNUMBER(SEARCH("UBER",C1472)),ISNUMBER(SEARCH("EATS",C1472))),"Uber Eats",IF(LEFT(C1472,6)="CHECK ","Checks Paid",IF(OR(E1472="BILLPAY",ISNUMBER(SEARCH("FRANCHISE TAX",C1472)),ISNUMBER(SEARCH("NEXTLINK",C1472))),"Personal - House Bills",IF(AND(ISNUMBER(SEARCH("PAYMENT FROM",C1472)),ISNUMBER(SEARCH("JOE SAUNDERS",C1472))),"Zelle from Joe Saunders",IF(AND(ISNUMBER(SEARCH("PAYMENT TO",C1472)),ISNUMBER(SEARCH("JOE SAUNDERS",C1472))),"Zelle to Joe Saunders",IF(OR(ISNUMBER(SEARCH("NEW ORLEANS",C1472)),ISNUMBER(SEARCH("KENNER",C1472)),ISNUMBER(SEARCH("HENRY HOWARD",C1472)),ISNUMBER(SEARCH("MISS CLAUDIA",C1472))),"Personal Travel - New Orleans",IF(AND(YEAR(B1472)=2025,MONTH(B1472)=4,OR(ISNUMBER(SEARCH("EXCHANGE RATE",C1472)),ISNUMBER(SEARCH("EXCHG RTE",C1472)))),"Personal Travel - Italy",IFERROR(INDEX('Category Rules'!$B$2:$B$358,MATCH(TRUE,ISNUMBER(SEARCH('Category Rules'!$A$2:$A$358,C1472)),0)),""))))))))</f>
        <v>Personal Travel</v>
      </c>
    </row>
    <row r="1473" spans="1:7" x14ac:dyDescent="0.25">
      <c r="A1473" t="s">
        <v>6</v>
      </c>
      <c r="B1473" s="1">
        <v>45806</v>
      </c>
      <c r="C1473" t="s">
        <v>1389</v>
      </c>
      <c r="D1473">
        <v>-482.93</v>
      </c>
      <c r="E1473" t="s">
        <v>10</v>
      </c>
      <c r="F1473">
        <v>3589.07</v>
      </c>
      <c r="G1473" t="str" cm="1">
        <f t="array" ref="G1473">IF(AND(ISNUMBER(SEARCH("UBER",C1473)),ISNUMBER(SEARCH("EATS",C1473))),"Uber Eats",IF(LEFT(C1473,6)="CHECK ","Checks Paid",IF(OR(E1473="BILLPAY",ISNUMBER(SEARCH("FRANCHISE TAX",C1473)),ISNUMBER(SEARCH("NEXTLINK",C1473))),"Personal - House Bills",IF(AND(ISNUMBER(SEARCH("PAYMENT FROM",C1473)),ISNUMBER(SEARCH("JOE SAUNDERS",C1473))),"Zelle from Joe Saunders",IF(AND(ISNUMBER(SEARCH("PAYMENT TO",C1473)),ISNUMBER(SEARCH("JOE SAUNDERS",C1473))),"Zelle to Joe Saunders",IF(OR(ISNUMBER(SEARCH("NEW ORLEANS",C1473)),ISNUMBER(SEARCH("KENNER",C1473)),ISNUMBER(SEARCH("HENRY HOWARD",C1473)),ISNUMBER(SEARCH("MISS CLAUDIA",C1473))),"Personal Travel - New Orleans",IF(AND(YEAR(B1473)=2025,MONTH(B1473)=4,OR(ISNUMBER(SEARCH("EXCHANGE RATE",C1473)),ISNUMBER(SEARCH("EXCHG RTE",C1473)))),"Personal Travel - Italy",IFERROR(INDEX('Category Rules'!$B$2:$B$358,MATCH(TRUE,ISNUMBER(SEARCH('Category Rules'!$A$2:$A$358,C1473)),0)),""))))))))</f>
        <v>Personal Travel</v>
      </c>
    </row>
    <row r="1474" spans="1:7" x14ac:dyDescent="0.25">
      <c r="A1474" t="s">
        <v>6</v>
      </c>
      <c r="B1474" s="1">
        <v>45806</v>
      </c>
      <c r="C1474" t="s">
        <v>1390</v>
      </c>
      <c r="D1474">
        <v>-266.48</v>
      </c>
      <c r="E1474" t="s">
        <v>10</v>
      </c>
      <c r="F1474">
        <v>4072</v>
      </c>
      <c r="G1474" t="str" cm="1">
        <f t="array" ref="G1474">IF(AND(ISNUMBER(SEARCH("UBER",C1474)),ISNUMBER(SEARCH("EATS",C1474))),"Uber Eats",IF(LEFT(C1474,6)="CHECK ","Checks Paid",IF(OR(E1474="BILLPAY",ISNUMBER(SEARCH("FRANCHISE TAX",C1474)),ISNUMBER(SEARCH("NEXTLINK",C1474))),"Personal - House Bills",IF(AND(ISNUMBER(SEARCH("PAYMENT FROM",C1474)),ISNUMBER(SEARCH("JOE SAUNDERS",C1474))),"Zelle from Joe Saunders",IF(AND(ISNUMBER(SEARCH("PAYMENT TO",C1474)),ISNUMBER(SEARCH("JOE SAUNDERS",C1474))),"Zelle to Joe Saunders",IF(OR(ISNUMBER(SEARCH("NEW ORLEANS",C1474)),ISNUMBER(SEARCH("KENNER",C1474)),ISNUMBER(SEARCH("HENRY HOWARD",C1474)),ISNUMBER(SEARCH("MISS CLAUDIA",C1474))),"Personal Travel - New Orleans",IF(AND(YEAR(B1474)=2025,MONTH(B1474)=4,OR(ISNUMBER(SEARCH("EXCHANGE RATE",C1474)),ISNUMBER(SEARCH("EXCHG RTE",C1474)))),"Personal Travel - Italy",IFERROR(INDEX('Category Rules'!$B$2:$B$358,MATCH(TRUE,ISNUMBER(SEARCH('Category Rules'!$A$2:$A$358,C1474)),0)),""))))))))</f>
        <v>Personal Travel</v>
      </c>
    </row>
    <row r="1475" spans="1:7" x14ac:dyDescent="0.25">
      <c r="A1475" t="s">
        <v>6</v>
      </c>
      <c r="B1475" s="1">
        <v>45805</v>
      </c>
      <c r="C1475" t="s">
        <v>1391</v>
      </c>
      <c r="D1475">
        <v>-486.7</v>
      </c>
      <c r="E1475" t="s">
        <v>10</v>
      </c>
      <c r="F1475">
        <v>4338.4799999999996</v>
      </c>
      <c r="G1475" t="str" cm="1">
        <f t="array" ref="G1475">IF(AND(ISNUMBER(SEARCH("UBER",C1475)),ISNUMBER(SEARCH("EATS",C1475))),"Uber Eats",IF(LEFT(C1475,6)="CHECK ","Checks Paid",IF(OR(E1475="BILLPAY",ISNUMBER(SEARCH("FRANCHISE TAX",C1475)),ISNUMBER(SEARCH("NEXTLINK",C1475))),"Personal - House Bills",IF(AND(ISNUMBER(SEARCH("PAYMENT FROM",C1475)),ISNUMBER(SEARCH("JOE SAUNDERS",C1475))),"Zelle from Joe Saunders",IF(AND(ISNUMBER(SEARCH("PAYMENT TO",C1475)),ISNUMBER(SEARCH("JOE SAUNDERS",C1475))),"Zelle to Joe Saunders",IF(OR(ISNUMBER(SEARCH("NEW ORLEANS",C1475)),ISNUMBER(SEARCH("KENNER",C1475)),ISNUMBER(SEARCH("HENRY HOWARD",C1475)),ISNUMBER(SEARCH("MISS CLAUDIA",C1475))),"Personal Travel - New Orleans",IF(AND(YEAR(B1475)=2025,MONTH(B1475)=4,OR(ISNUMBER(SEARCH("EXCHANGE RATE",C1475)),ISNUMBER(SEARCH("EXCHG RTE",C1475)))),"Personal Travel - Italy",IFERROR(INDEX('Category Rules'!$B$2:$B$358,MATCH(TRUE,ISNUMBER(SEARCH('Category Rules'!$A$2:$A$358,C1475)),0)),""))))))))</f>
        <v>Personal - Shopping</v>
      </c>
    </row>
    <row r="1476" spans="1:7" x14ac:dyDescent="0.25">
      <c r="A1476" t="s">
        <v>6</v>
      </c>
      <c r="B1476" s="1">
        <v>45805</v>
      </c>
      <c r="C1476" t="s">
        <v>1392</v>
      </c>
      <c r="D1476">
        <v>-62.07</v>
      </c>
      <c r="E1476" t="s">
        <v>10</v>
      </c>
      <c r="F1476">
        <v>4825.18</v>
      </c>
      <c r="G1476" t="str" cm="1">
        <f t="array" ref="G1476">IF(AND(ISNUMBER(SEARCH("UBER",C1476)),ISNUMBER(SEARCH("EATS",C1476))),"Uber Eats",IF(LEFT(C1476,6)="CHECK ","Checks Paid",IF(OR(E1476="BILLPAY",ISNUMBER(SEARCH("FRANCHISE TAX",C1476)),ISNUMBER(SEARCH("NEXTLINK",C1476))),"Personal - House Bills",IF(AND(ISNUMBER(SEARCH("PAYMENT FROM",C1476)),ISNUMBER(SEARCH("JOE SAUNDERS",C1476))),"Zelle from Joe Saunders",IF(AND(ISNUMBER(SEARCH("PAYMENT TO",C1476)),ISNUMBER(SEARCH("JOE SAUNDERS",C1476))),"Zelle to Joe Saunders",IF(OR(ISNUMBER(SEARCH("NEW ORLEANS",C1476)),ISNUMBER(SEARCH("KENNER",C1476)),ISNUMBER(SEARCH("HENRY HOWARD",C1476)),ISNUMBER(SEARCH("MISS CLAUDIA",C1476))),"Personal Travel - New Orleans",IF(AND(YEAR(B1476)=2025,MONTH(B1476)=4,OR(ISNUMBER(SEARCH("EXCHANGE RATE",C1476)),ISNUMBER(SEARCH("EXCHG RTE",C1476)))),"Personal Travel - Italy",IFERROR(INDEX('Category Rules'!$B$2:$B$358,MATCH(TRUE,ISNUMBER(SEARCH('Category Rules'!$A$2:$A$358,C1476)),0)),""))))))))</f>
        <v>Uber Eats</v>
      </c>
    </row>
    <row r="1477" spans="1:7" x14ac:dyDescent="0.25">
      <c r="A1477" t="s">
        <v>6</v>
      </c>
      <c r="B1477" s="1">
        <v>45805</v>
      </c>
      <c r="C1477" t="s">
        <v>1393</v>
      </c>
      <c r="D1477">
        <v>-5.99</v>
      </c>
      <c r="E1477" t="s">
        <v>10</v>
      </c>
      <c r="F1477">
        <v>4887.25</v>
      </c>
      <c r="G1477" t="str" cm="1">
        <f t="array" ref="G1477">IF(AND(ISNUMBER(SEARCH("UBER",C1477)),ISNUMBER(SEARCH("EATS",C1477))),"Uber Eats",IF(LEFT(C1477,6)="CHECK ","Checks Paid",IF(OR(E1477="BILLPAY",ISNUMBER(SEARCH("FRANCHISE TAX",C1477)),ISNUMBER(SEARCH("NEXTLINK",C1477))),"Personal - House Bills",IF(AND(ISNUMBER(SEARCH("PAYMENT FROM",C1477)),ISNUMBER(SEARCH("JOE SAUNDERS",C1477))),"Zelle from Joe Saunders",IF(AND(ISNUMBER(SEARCH("PAYMENT TO",C1477)),ISNUMBER(SEARCH("JOE SAUNDERS",C1477))),"Zelle to Joe Saunders",IF(OR(ISNUMBER(SEARCH("NEW ORLEANS",C1477)),ISNUMBER(SEARCH("KENNER",C1477)),ISNUMBER(SEARCH("HENRY HOWARD",C1477)),ISNUMBER(SEARCH("MISS CLAUDIA",C1477))),"Personal Travel - New Orleans",IF(AND(YEAR(B1477)=2025,MONTH(B1477)=4,OR(ISNUMBER(SEARCH("EXCHANGE RATE",C1477)),ISNUMBER(SEARCH("EXCHG RTE",C1477)))),"Personal Travel - Italy",IFERROR(INDEX('Category Rules'!$B$2:$B$358,MATCH(TRUE,ISNUMBER(SEARCH('Category Rules'!$A$2:$A$358,C1477)),0)),""))))))))</f>
        <v>Apple</v>
      </c>
    </row>
    <row r="1478" spans="1:7" x14ac:dyDescent="0.25">
      <c r="A1478" t="s">
        <v>6</v>
      </c>
      <c r="B1478" s="1">
        <v>45805</v>
      </c>
      <c r="C1478" t="s">
        <v>1394</v>
      </c>
      <c r="D1478">
        <v>-7.5</v>
      </c>
      <c r="E1478" t="s">
        <v>10</v>
      </c>
      <c r="F1478">
        <v>4893.24</v>
      </c>
      <c r="G1478" t="str" cm="1">
        <f t="array" ref="G1478">IF(AND(ISNUMBER(SEARCH("UBER",C1478)),ISNUMBER(SEARCH("EATS",C1478))),"Uber Eats",IF(LEFT(C1478,6)="CHECK ","Checks Paid",IF(OR(E1478="BILLPAY",ISNUMBER(SEARCH("FRANCHISE TAX",C1478)),ISNUMBER(SEARCH("NEXTLINK",C1478))),"Personal - House Bills",IF(AND(ISNUMBER(SEARCH("PAYMENT FROM",C1478)),ISNUMBER(SEARCH("JOE SAUNDERS",C1478))),"Zelle from Joe Saunders",IF(AND(ISNUMBER(SEARCH("PAYMENT TO",C1478)),ISNUMBER(SEARCH("JOE SAUNDERS",C1478))),"Zelle to Joe Saunders",IF(OR(ISNUMBER(SEARCH("NEW ORLEANS",C1478)),ISNUMBER(SEARCH("KENNER",C1478)),ISNUMBER(SEARCH("HENRY HOWARD",C1478)),ISNUMBER(SEARCH("MISS CLAUDIA",C1478))),"Personal Travel - New Orleans",IF(AND(YEAR(B1478)=2025,MONTH(B1478)=4,OR(ISNUMBER(SEARCH("EXCHANGE RATE",C1478)),ISNUMBER(SEARCH("EXCHG RTE",C1478)))),"Personal Travel - Italy",IFERROR(INDEX('Category Rules'!$B$2:$B$358,MATCH(TRUE,ISNUMBER(SEARCH('Category Rules'!$A$2:$A$358,C1478)),0)),""))))))))</f>
        <v>Personal - Subscription</v>
      </c>
    </row>
    <row r="1479" spans="1:7" x14ac:dyDescent="0.25">
      <c r="A1479" t="s">
        <v>6</v>
      </c>
      <c r="B1479" s="1">
        <v>45805</v>
      </c>
      <c r="C1479" t="s">
        <v>1395</v>
      </c>
      <c r="D1479">
        <v>-43.76</v>
      </c>
      <c r="E1479" t="s">
        <v>10</v>
      </c>
      <c r="F1479">
        <v>4900.74</v>
      </c>
      <c r="G1479" t="str" cm="1">
        <f t="array" ref="G1479">IF(AND(ISNUMBER(SEARCH("UBER",C1479)),ISNUMBER(SEARCH("EATS",C1479))),"Uber Eats",IF(LEFT(C1479,6)="CHECK ","Checks Paid",IF(OR(E1479="BILLPAY",ISNUMBER(SEARCH("FRANCHISE TAX",C1479)),ISNUMBER(SEARCH("NEXTLINK",C1479))),"Personal - House Bills",IF(AND(ISNUMBER(SEARCH("PAYMENT FROM",C1479)),ISNUMBER(SEARCH("JOE SAUNDERS",C1479))),"Zelle from Joe Saunders",IF(AND(ISNUMBER(SEARCH("PAYMENT TO",C1479)),ISNUMBER(SEARCH("JOE SAUNDERS",C1479))),"Zelle to Joe Saunders",IF(OR(ISNUMBER(SEARCH("NEW ORLEANS",C1479)),ISNUMBER(SEARCH("KENNER",C1479)),ISNUMBER(SEARCH("HENRY HOWARD",C1479)),ISNUMBER(SEARCH("MISS CLAUDIA",C1479))),"Personal Travel - New Orleans",IF(AND(YEAR(B1479)=2025,MONTH(B1479)=4,OR(ISNUMBER(SEARCH("EXCHANGE RATE",C1479)),ISNUMBER(SEARCH("EXCHG RTE",C1479)))),"Personal Travel - Italy",IFERROR(INDEX('Category Rules'!$B$2:$B$358,MATCH(TRUE,ISNUMBER(SEARCH('Category Rules'!$A$2:$A$358,C1479)),0)),""))))))))</f>
        <v>Amazon</v>
      </c>
    </row>
    <row r="1480" spans="1:7" x14ac:dyDescent="0.25">
      <c r="A1480" t="s">
        <v>6</v>
      </c>
      <c r="B1480" s="1">
        <v>45805</v>
      </c>
      <c r="C1480" t="s">
        <v>1396</v>
      </c>
      <c r="D1480">
        <v>-10.66</v>
      </c>
      <c r="E1480" t="s">
        <v>10</v>
      </c>
      <c r="F1480">
        <v>4944.5</v>
      </c>
      <c r="G1480" t="str" cm="1">
        <f t="array" ref="G1480">IF(AND(ISNUMBER(SEARCH("UBER",C1480)),ISNUMBER(SEARCH("EATS",C1480))),"Uber Eats",IF(LEFT(C1480,6)="CHECK ","Checks Paid",IF(OR(E1480="BILLPAY",ISNUMBER(SEARCH("FRANCHISE TAX",C1480)),ISNUMBER(SEARCH("NEXTLINK",C1480))),"Personal - House Bills",IF(AND(ISNUMBER(SEARCH("PAYMENT FROM",C1480)),ISNUMBER(SEARCH("JOE SAUNDERS",C1480))),"Zelle from Joe Saunders",IF(AND(ISNUMBER(SEARCH("PAYMENT TO",C1480)),ISNUMBER(SEARCH("JOE SAUNDERS",C1480))),"Zelle to Joe Saunders",IF(OR(ISNUMBER(SEARCH("NEW ORLEANS",C1480)),ISNUMBER(SEARCH("KENNER",C1480)),ISNUMBER(SEARCH("HENRY HOWARD",C1480)),ISNUMBER(SEARCH("MISS CLAUDIA",C1480))),"Personal Travel - New Orleans",IF(AND(YEAR(B1480)=2025,MONTH(B1480)=4,OR(ISNUMBER(SEARCH("EXCHANGE RATE",C1480)),ISNUMBER(SEARCH("EXCHG RTE",C1480)))),"Personal Travel - Italy",IFERROR(INDEX('Category Rules'!$B$2:$B$358,MATCH(TRUE,ISNUMBER(SEARCH('Category Rules'!$A$2:$A$358,C1480)),0)),""))))))))</f>
        <v>Amazon</v>
      </c>
    </row>
    <row r="1481" spans="1:7" x14ac:dyDescent="0.25">
      <c r="A1481" t="s">
        <v>6</v>
      </c>
      <c r="B1481" s="1">
        <v>45805</v>
      </c>
      <c r="C1481" t="s">
        <v>1397</v>
      </c>
      <c r="D1481">
        <v>-48.04</v>
      </c>
      <c r="E1481" t="s">
        <v>10</v>
      </c>
      <c r="F1481">
        <v>4955.16</v>
      </c>
      <c r="G1481" t="str" cm="1">
        <f t="array" ref="G1481">IF(AND(ISNUMBER(SEARCH("UBER",C1481)),ISNUMBER(SEARCH("EATS",C1481))),"Uber Eats",IF(LEFT(C1481,6)="CHECK ","Checks Paid",IF(OR(E1481="BILLPAY",ISNUMBER(SEARCH("FRANCHISE TAX",C1481)),ISNUMBER(SEARCH("NEXTLINK",C1481))),"Personal - House Bills",IF(AND(ISNUMBER(SEARCH("PAYMENT FROM",C1481)),ISNUMBER(SEARCH("JOE SAUNDERS",C1481))),"Zelle from Joe Saunders",IF(AND(ISNUMBER(SEARCH("PAYMENT TO",C1481)),ISNUMBER(SEARCH("JOE SAUNDERS",C1481))),"Zelle to Joe Saunders",IF(OR(ISNUMBER(SEARCH("NEW ORLEANS",C1481)),ISNUMBER(SEARCH("KENNER",C1481)),ISNUMBER(SEARCH("HENRY HOWARD",C1481)),ISNUMBER(SEARCH("MISS CLAUDIA",C1481))),"Personal Travel - New Orleans",IF(AND(YEAR(B1481)=2025,MONTH(B1481)=4,OR(ISNUMBER(SEARCH("EXCHANGE RATE",C1481)),ISNUMBER(SEARCH("EXCHG RTE",C1481)))),"Personal Travel - Italy",IFERROR(INDEX('Category Rules'!$B$2:$B$358,MATCH(TRUE,ISNUMBER(SEARCH('Category Rules'!$A$2:$A$358,C1481)),0)),""))))))))</f>
        <v>Amazon</v>
      </c>
    </row>
    <row r="1482" spans="1:7" x14ac:dyDescent="0.25">
      <c r="A1482" t="s">
        <v>6</v>
      </c>
      <c r="B1482" s="1">
        <v>45805</v>
      </c>
      <c r="C1482" t="s">
        <v>1398</v>
      </c>
      <c r="D1482">
        <v>-819.85</v>
      </c>
      <c r="E1482" t="s">
        <v>10</v>
      </c>
      <c r="F1482">
        <v>5003.2</v>
      </c>
      <c r="G1482" t="str" cm="1">
        <f t="array" ref="G1482">IF(AND(ISNUMBER(SEARCH("UBER",C1482)),ISNUMBER(SEARCH("EATS",C1482))),"Uber Eats",IF(LEFT(C1482,6)="CHECK ","Checks Paid",IF(OR(E1482="BILLPAY",ISNUMBER(SEARCH("FRANCHISE TAX",C1482)),ISNUMBER(SEARCH("NEXTLINK",C1482))),"Personal - House Bills",IF(AND(ISNUMBER(SEARCH("PAYMENT FROM",C1482)),ISNUMBER(SEARCH("JOE SAUNDERS",C1482))),"Zelle from Joe Saunders",IF(AND(ISNUMBER(SEARCH("PAYMENT TO",C1482)),ISNUMBER(SEARCH("JOE SAUNDERS",C1482))),"Zelle to Joe Saunders",IF(OR(ISNUMBER(SEARCH("NEW ORLEANS",C1482)),ISNUMBER(SEARCH("KENNER",C1482)),ISNUMBER(SEARCH("HENRY HOWARD",C1482)),ISNUMBER(SEARCH("MISS CLAUDIA",C1482))),"Personal Travel - New Orleans",IF(AND(YEAR(B1482)=2025,MONTH(B1482)=4,OR(ISNUMBER(SEARCH("EXCHANGE RATE",C1482)),ISNUMBER(SEARCH("EXCHG RTE",C1482)))),"Personal Travel - Italy",IFERROR(INDEX('Category Rules'!$B$2:$B$358,MATCH(TRUE,ISNUMBER(SEARCH('Category Rules'!$A$2:$A$358,C1482)),0)),""))))))))</f>
        <v>Personal - Clothing</v>
      </c>
    </row>
    <row r="1483" spans="1:7" x14ac:dyDescent="0.25">
      <c r="A1483" t="s">
        <v>6</v>
      </c>
      <c r="B1483" s="1">
        <v>45805</v>
      </c>
      <c r="C1483" t="s">
        <v>1399</v>
      </c>
      <c r="D1483">
        <v>-123.78</v>
      </c>
      <c r="E1483" t="s">
        <v>10</v>
      </c>
      <c r="F1483">
        <v>5823.05</v>
      </c>
      <c r="G1483" t="str" cm="1">
        <f t="array" ref="G1483">IF(AND(ISNUMBER(SEARCH("UBER",C1483)),ISNUMBER(SEARCH("EATS",C1483))),"Uber Eats",IF(LEFT(C1483,6)="CHECK ","Checks Paid",IF(OR(E1483="BILLPAY",ISNUMBER(SEARCH("FRANCHISE TAX",C1483)),ISNUMBER(SEARCH("NEXTLINK",C1483))),"Personal - House Bills",IF(AND(ISNUMBER(SEARCH("PAYMENT FROM",C1483)),ISNUMBER(SEARCH("JOE SAUNDERS",C1483))),"Zelle from Joe Saunders",IF(AND(ISNUMBER(SEARCH("PAYMENT TO",C1483)),ISNUMBER(SEARCH("JOE SAUNDERS",C1483))),"Zelle to Joe Saunders",IF(OR(ISNUMBER(SEARCH("NEW ORLEANS",C1483)),ISNUMBER(SEARCH("KENNER",C1483)),ISNUMBER(SEARCH("HENRY HOWARD",C1483)),ISNUMBER(SEARCH("MISS CLAUDIA",C1483))),"Personal Travel - New Orleans",IF(AND(YEAR(B1483)=2025,MONTH(B1483)=4,OR(ISNUMBER(SEARCH("EXCHANGE RATE",C1483)),ISNUMBER(SEARCH("EXCHG RTE",C1483)))),"Personal Travel - Italy",IFERROR(INDEX('Category Rules'!$B$2:$B$358,MATCH(TRUE,ISNUMBER(SEARCH('Category Rules'!$A$2:$A$358,C1483)),0)),""))))))))</f>
        <v>Personal - Shopping</v>
      </c>
    </row>
    <row r="1484" spans="1:7" x14ac:dyDescent="0.25">
      <c r="A1484" t="s">
        <v>44</v>
      </c>
      <c r="B1484" s="1">
        <v>45805</v>
      </c>
      <c r="C1484" t="s">
        <v>1400</v>
      </c>
      <c r="D1484">
        <v>400</v>
      </c>
      <c r="E1484" t="s">
        <v>46</v>
      </c>
      <c r="F1484">
        <v>5946.83</v>
      </c>
      <c r="G1484" t="str" cm="1">
        <f t="array" ref="G1484">IF(AND(ISNUMBER(SEARCH("UBER",C1484)),ISNUMBER(SEARCH("EATS",C1484))),"Uber Eats",IF(LEFT(C1484,6)="CHECK ","Checks Paid",IF(OR(E1484="BILLPAY",ISNUMBER(SEARCH("FRANCHISE TAX",C1484)),ISNUMBER(SEARCH("NEXTLINK",C1484))),"Personal - House Bills",IF(AND(ISNUMBER(SEARCH("PAYMENT FROM",C1484)),ISNUMBER(SEARCH("JOE SAUNDERS",C1484))),"Zelle from Joe Saunders",IF(AND(ISNUMBER(SEARCH("PAYMENT TO",C1484)),ISNUMBER(SEARCH("JOE SAUNDERS",C1484))),"Zelle to Joe Saunders",IF(OR(ISNUMBER(SEARCH("NEW ORLEANS",C1484)),ISNUMBER(SEARCH("KENNER",C1484)),ISNUMBER(SEARCH("HENRY HOWARD",C1484)),ISNUMBER(SEARCH("MISS CLAUDIA",C1484))),"Personal Travel - New Orleans",IF(AND(YEAR(B1484)=2025,MONTH(B1484)=4,OR(ISNUMBER(SEARCH("EXCHANGE RATE",C1484)),ISNUMBER(SEARCH("EXCHG RTE",C1484)))),"Personal Travel - Italy",IFERROR(INDEX('Category Rules'!$B$2:$B$358,MATCH(TRUE,ISNUMBER(SEARCH('Category Rules'!$A$2:$A$358,C1484)),0)),""))))))))</f>
        <v>Zelle from Joe Saunders</v>
      </c>
    </row>
    <row r="1485" spans="1:7" x14ac:dyDescent="0.25">
      <c r="A1485" t="s">
        <v>6</v>
      </c>
      <c r="B1485" s="1">
        <v>45804</v>
      </c>
      <c r="C1485" t="s">
        <v>1401</v>
      </c>
      <c r="D1485">
        <v>-200</v>
      </c>
      <c r="E1485" t="s">
        <v>33</v>
      </c>
      <c r="F1485">
        <v>5546.83</v>
      </c>
      <c r="G1485" t="str" cm="1">
        <f t="array" ref="G1485">IF(AND(ISNUMBER(SEARCH("UBER",C1485)),ISNUMBER(SEARCH("EATS",C1485))),"Uber Eats",IF(LEFT(C1485,6)="CHECK ","Checks Paid",IF(OR(E1485="BILLPAY",ISNUMBER(SEARCH("FRANCHISE TAX",C1485)),ISNUMBER(SEARCH("NEXTLINK",C1485))),"Personal - House Bills",IF(AND(ISNUMBER(SEARCH("PAYMENT FROM",C1485)),ISNUMBER(SEARCH("JOE SAUNDERS",C1485))),"Zelle from Joe Saunders",IF(AND(ISNUMBER(SEARCH("PAYMENT TO",C1485)),ISNUMBER(SEARCH("JOE SAUNDERS",C1485))),"Zelle to Joe Saunders",IF(OR(ISNUMBER(SEARCH("NEW ORLEANS",C1485)),ISNUMBER(SEARCH("KENNER",C1485)),ISNUMBER(SEARCH("HENRY HOWARD",C1485)),ISNUMBER(SEARCH("MISS CLAUDIA",C1485))),"Personal Travel - New Orleans",IF(AND(YEAR(B1485)=2025,MONTH(B1485)=4,OR(ISNUMBER(SEARCH("EXCHANGE RATE",C1485)),ISNUMBER(SEARCH("EXCHG RTE",C1485)))),"Personal Travel - Italy",IFERROR(INDEX('Category Rules'!$B$2:$B$358,MATCH(TRUE,ISNUMBER(SEARCH('Category Rules'!$A$2:$A$358,C1485)),0)),""))))))))</f>
        <v>Personal - House Bills</v>
      </c>
    </row>
    <row r="1486" spans="1:7" x14ac:dyDescent="0.25">
      <c r="A1486" t="s">
        <v>6</v>
      </c>
      <c r="B1486" s="1">
        <v>45804</v>
      </c>
      <c r="C1486" t="s">
        <v>1402</v>
      </c>
      <c r="D1486">
        <v>-120</v>
      </c>
      <c r="E1486" t="s">
        <v>33</v>
      </c>
      <c r="F1486">
        <v>5746.83</v>
      </c>
      <c r="G1486" t="str" cm="1">
        <f t="array" ref="G1486">IF(AND(ISNUMBER(SEARCH("UBER",C1486)),ISNUMBER(SEARCH("EATS",C1486))),"Uber Eats",IF(LEFT(C1486,6)="CHECK ","Checks Paid",IF(OR(E1486="BILLPAY",ISNUMBER(SEARCH("FRANCHISE TAX",C1486)),ISNUMBER(SEARCH("NEXTLINK",C1486))),"Personal - House Bills",IF(AND(ISNUMBER(SEARCH("PAYMENT FROM",C1486)),ISNUMBER(SEARCH("JOE SAUNDERS",C1486))),"Zelle from Joe Saunders",IF(AND(ISNUMBER(SEARCH("PAYMENT TO",C1486)),ISNUMBER(SEARCH("JOE SAUNDERS",C1486))),"Zelle to Joe Saunders",IF(OR(ISNUMBER(SEARCH("NEW ORLEANS",C1486)),ISNUMBER(SEARCH("KENNER",C1486)),ISNUMBER(SEARCH("HENRY HOWARD",C1486)),ISNUMBER(SEARCH("MISS CLAUDIA",C1486))),"Personal Travel - New Orleans",IF(AND(YEAR(B1486)=2025,MONTH(B1486)=4,OR(ISNUMBER(SEARCH("EXCHANGE RATE",C1486)),ISNUMBER(SEARCH("EXCHG RTE",C1486)))),"Personal Travel - Italy",IFERROR(INDEX('Category Rules'!$B$2:$B$358,MATCH(TRUE,ISNUMBER(SEARCH('Category Rules'!$A$2:$A$358,C1486)),0)),""))))))))</f>
        <v>Personal - House Bills</v>
      </c>
    </row>
    <row r="1487" spans="1:7" x14ac:dyDescent="0.25">
      <c r="A1487" t="s">
        <v>6</v>
      </c>
      <c r="B1487" s="1">
        <v>45804</v>
      </c>
      <c r="C1487" t="s">
        <v>1403</v>
      </c>
      <c r="D1487">
        <v>-320</v>
      </c>
      <c r="E1487" t="s">
        <v>33</v>
      </c>
      <c r="F1487">
        <v>5866.83</v>
      </c>
      <c r="G1487" t="str" cm="1">
        <f t="array" ref="G1487">IF(AND(ISNUMBER(SEARCH("UBER",C1487)),ISNUMBER(SEARCH("EATS",C1487))),"Uber Eats",IF(LEFT(C1487,6)="CHECK ","Checks Paid",IF(OR(E1487="BILLPAY",ISNUMBER(SEARCH("FRANCHISE TAX",C1487)),ISNUMBER(SEARCH("NEXTLINK",C1487))),"Personal - House Bills",IF(AND(ISNUMBER(SEARCH("PAYMENT FROM",C1487)),ISNUMBER(SEARCH("JOE SAUNDERS",C1487))),"Zelle from Joe Saunders",IF(AND(ISNUMBER(SEARCH("PAYMENT TO",C1487)),ISNUMBER(SEARCH("JOE SAUNDERS",C1487))),"Zelle to Joe Saunders",IF(OR(ISNUMBER(SEARCH("NEW ORLEANS",C1487)),ISNUMBER(SEARCH("KENNER",C1487)),ISNUMBER(SEARCH("HENRY HOWARD",C1487)),ISNUMBER(SEARCH("MISS CLAUDIA",C1487))),"Personal Travel - New Orleans",IF(AND(YEAR(B1487)=2025,MONTH(B1487)=4,OR(ISNUMBER(SEARCH("EXCHANGE RATE",C1487)),ISNUMBER(SEARCH("EXCHG RTE",C1487)))),"Personal Travel - Italy",IFERROR(INDEX('Category Rules'!$B$2:$B$358,MATCH(TRUE,ISNUMBER(SEARCH('Category Rules'!$A$2:$A$358,C1487)),0)),""))))))))</f>
        <v>Personal - House Bills</v>
      </c>
    </row>
    <row r="1488" spans="1:7" x14ac:dyDescent="0.25">
      <c r="A1488" t="s">
        <v>6</v>
      </c>
      <c r="B1488" s="1">
        <v>45804</v>
      </c>
      <c r="C1488" t="s">
        <v>1404</v>
      </c>
      <c r="D1488">
        <v>-320</v>
      </c>
      <c r="E1488" t="s">
        <v>33</v>
      </c>
      <c r="F1488">
        <v>6186.83</v>
      </c>
      <c r="G1488" t="str" cm="1">
        <f t="array" ref="G1488">IF(AND(ISNUMBER(SEARCH("UBER",C1488)),ISNUMBER(SEARCH("EATS",C1488))),"Uber Eats",IF(LEFT(C1488,6)="CHECK ","Checks Paid",IF(OR(E1488="BILLPAY",ISNUMBER(SEARCH("FRANCHISE TAX",C1488)),ISNUMBER(SEARCH("NEXTLINK",C1488))),"Personal - House Bills",IF(AND(ISNUMBER(SEARCH("PAYMENT FROM",C1488)),ISNUMBER(SEARCH("JOE SAUNDERS",C1488))),"Zelle from Joe Saunders",IF(AND(ISNUMBER(SEARCH("PAYMENT TO",C1488)),ISNUMBER(SEARCH("JOE SAUNDERS",C1488))),"Zelle to Joe Saunders",IF(OR(ISNUMBER(SEARCH("NEW ORLEANS",C1488)),ISNUMBER(SEARCH("KENNER",C1488)),ISNUMBER(SEARCH("HENRY HOWARD",C1488)),ISNUMBER(SEARCH("MISS CLAUDIA",C1488))),"Personal Travel - New Orleans",IF(AND(YEAR(B1488)=2025,MONTH(B1488)=4,OR(ISNUMBER(SEARCH("EXCHANGE RATE",C1488)),ISNUMBER(SEARCH("EXCHG RTE",C1488)))),"Personal Travel - Italy",IFERROR(INDEX('Category Rules'!$B$2:$B$358,MATCH(TRUE,ISNUMBER(SEARCH('Category Rules'!$A$2:$A$358,C1488)),0)),""))))))))</f>
        <v>Personal - House Bills</v>
      </c>
    </row>
    <row r="1489" spans="1:7" x14ac:dyDescent="0.25">
      <c r="A1489" t="s">
        <v>6</v>
      </c>
      <c r="B1489" s="1">
        <v>45804</v>
      </c>
      <c r="C1489" t="s">
        <v>1405</v>
      </c>
      <c r="D1489">
        <v>-700</v>
      </c>
      <c r="E1489" t="s">
        <v>33</v>
      </c>
      <c r="F1489">
        <v>6506.83</v>
      </c>
      <c r="G1489" t="str" cm="1">
        <f t="array" ref="G1489">IF(AND(ISNUMBER(SEARCH("UBER",C1489)),ISNUMBER(SEARCH("EATS",C1489))),"Uber Eats",IF(LEFT(C1489,6)="CHECK ","Checks Paid",IF(OR(E1489="BILLPAY",ISNUMBER(SEARCH("FRANCHISE TAX",C1489)),ISNUMBER(SEARCH("NEXTLINK",C1489))),"Personal - House Bills",IF(AND(ISNUMBER(SEARCH("PAYMENT FROM",C1489)),ISNUMBER(SEARCH("JOE SAUNDERS",C1489))),"Zelle from Joe Saunders",IF(AND(ISNUMBER(SEARCH("PAYMENT TO",C1489)),ISNUMBER(SEARCH("JOE SAUNDERS",C1489))),"Zelle to Joe Saunders",IF(OR(ISNUMBER(SEARCH("NEW ORLEANS",C1489)),ISNUMBER(SEARCH("KENNER",C1489)),ISNUMBER(SEARCH("HENRY HOWARD",C1489)),ISNUMBER(SEARCH("MISS CLAUDIA",C1489))),"Personal Travel - New Orleans",IF(AND(YEAR(B1489)=2025,MONTH(B1489)=4,OR(ISNUMBER(SEARCH("EXCHANGE RATE",C1489)),ISNUMBER(SEARCH("EXCHG RTE",C1489)))),"Personal Travel - Italy",IFERROR(INDEX('Category Rules'!$B$2:$B$358,MATCH(TRUE,ISNUMBER(SEARCH('Category Rules'!$A$2:$A$358,C1489)),0)),""))))))))</f>
        <v>Personal - House Bills</v>
      </c>
    </row>
    <row r="1490" spans="1:7" x14ac:dyDescent="0.25">
      <c r="A1490" t="s">
        <v>6</v>
      </c>
      <c r="B1490" s="1">
        <v>45804</v>
      </c>
      <c r="C1490" t="s">
        <v>1406</v>
      </c>
      <c r="D1490">
        <v>-57.62</v>
      </c>
      <c r="E1490" t="s">
        <v>10</v>
      </c>
      <c r="F1490">
        <v>7206.83</v>
      </c>
      <c r="G1490" t="str" cm="1">
        <f t="array" ref="G1490">IF(AND(ISNUMBER(SEARCH("UBER",C1490)),ISNUMBER(SEARCH("EATS",C1490))),"Uber Eats",IF(LEFT(C1490,6)="CHECK ","Checks Paid",IF(OR(E1490="BILLPAY",ISNUMBER(SEARCH("FRANCHISE TAX",C1490)),ISNUMBER(SEARCH("NEXTLINK",C1490))),"Personal - House Bills",IF(AND(ISNUMBER(SEARCH("PAYMENT FROM",C1490)),ISNUMBER(SEARCH("JOE SAUNDERS",C1490))),"Zelle from Joe Saunders",IF(AND(ISNUMBER(SEARCH("PAYMENT TO",C1490)),ISNUMBER(SEARCH("JOE SAUNDERS",C1490))),"Zelle to Joe Saunders",IF(OR(ISNUMBER(SEARCH("NEW ORLEANS",C1490)),ISNUMBER(SEARCH("KENNER",C1490)),ISNUMBER(SEARCH("HENRY HOWARD",C1490)),ISNUMBER(SEARCH("MISS CLAUDIA",C1490))),"Personal Travel - New Orleans",IF(AND(YEAR(B1490)=2025,MONTH(B1490)=4,OR(ISNUMBER(SEARCH("EXCHANGE RATE",C1490)),ISNUMBER(SEARCH("EXCHG RTE",C1490)))),"Personal Travel - Italy",IFERROR(INDEX('Category Rules'!$B$2:$B$358,MATCH(TRUE,ISNUMBER(SEARCH('Category Rules'!$A$2:$A$358,C1490)),0)),""))))))))</f>
        <v>Personal - Health</v>
      </c>
    </row>
    <row r="1491" spans="1:7" x14ac:dyDescent="0.25">
      <c r="A1491" t="s">
        <v>6</v>
      </c>
      <c r="B1491" s="1">
        <v>45804</v>
      </c>
      <c r="C1491" t="s">
        <v>1407</v>
      </c>
      <c r="D1491">
        <v>-5.99</v>
      </c>
      <c r="E1491" t="s">
        <v>10</v>
      </c>
      <c r="F1491">
        <v>7264.45</v>
      </c>
      <c r="G1491" t="str" cm="1">
        <f t="array" ref="G1491">IF(AND(ISNUMBER(SEARCH("UBER",C1491)),ISNUMBER(SEARCH("EATS",C1491))),"Uber Eats",IF(LEFT(C1491,6)="CHECK ","Checks Paid",IF(OR(E1491="BILLPAY",ISNUMBER(SEARCH("FRANCHISE TAX",C1491)),ISNUMBER(SEARCH("NEXTLINK",C1491))),"Personal - House Bills",IF(AND(ISNUMBER(SEARCH("PAYMENT FROM",C1491)),ISNUMBER(SEARCH("JOE SAUNDERS",C1491))),"Zelle from Joe Saunders",IF(AND(ISNUMBER(SEARCH("PAYMENT TO",C1491)),ISNUMBER(SEARCH("JOE SAUNDERS",C1491))),"Zelle to Joe Saunders",IF(OR(ISNUMBER(SEARCH("NEW ORLEANS",C1491)),ISNUMBER(SEARCH("KENNER",C1491)),ISNUMBER(SEARCH("HENRY HOWARD",C1491)),ISNUMBER(SEARCH("MISS CLAUDIA",C1491))),"Personal Travel - New Orleans",IF(AND(YEAR(B1491)=2025,MONTH(B1491)=4,OR(ISNUMBER(SEARCH("EXCHANGE RATE",C1491)),ISNUMBER(SEARCH("EXCHG RTE",C1491)))),"Personal Travel - Italy",IFERROR(INDEX('Category Rules'!$B$2:$B$358,MATCH(TRUE,ISNUMBER(SEARCH('Category Rules'!$A$2:$A$358,C1491)),0)),""))))))))</f>
        <v>Personal - Subscription</v>
      </c>
    </row>
    <row r="1492" spans="1:7" x14ac:dyDescent="0.25">
      <c r="A1492" t="s">
        <v>6</v>
      </c>
      <c r="B1492" s="1">
        <v>45804</v>
      </c>
      <c r="C1492" t="s">
        <v>1408</v>
      </c>
      <c r="D1492">
        <v>-400.45</v>
      </c>
      <c r="E1492" t="s">
        <v>10</v>
      </c>
      <c r="F1492">
        <v>7270.44</v>
      </c>
      <c r="G1492" t="str" cm="1">
        <f t="array" ref="G1492">IF(AND(ISNUMBER(SEARCH("UBER",C1492)),ISNUMBER(SEARCH("EATS",C1492))),"Uber Eats",IF(LEFT(C1492,6)="CHECK ","Checks Paid",IF(OR(E1492="BILLPAY",ISNUMBER(SEARCH("FRANCHISE TAX",C1492)),ISNUMBER(SEARCH("NEXTLINK",C1492))),"Personal - House Bills",IF(AND(ISNUMBER(SEARCH("PAYMENT FROM",C1492)),ISNUMBER(SEARCH("JOE SAUNDERS",C1492))),"Zelle from Joe Saunders",IF(AND(ISNUMBER(SEARCH("PAYMENT TO",C1492)),ISNUMBER(SEARCH("JOE SAUNDERS",C1492))),"Zelle to Joe Saunders",IF(OR(ISNUMBER(SEARCH("NEW ORLEANS",C1492)),ISNUMBER(SEARCH("KENNER",C1492)),ISNUMBER(SEARCH("HENRY HOWARD",C1492)),ISNUMBER(SEARCH("MISS CLAUDIA",C1492))),"Personal Travel - New Orleans",IF(AND(YEAR(B1492)=2025,MONTH(B1492)=4,OR(ISNUMBER(SEARCH("EXCHANGE RATE",C1492)),ISNUMBER(SEARCH("EXCHG RTE",C1492)))),"Personal Travel - Italy",IFERROR(INDEX('Category Rules'!$B$2:$B$358,MATCH(TRUE,ISNUMBER(SEARCH('Category Rules'!$A$2:$A$358,C1492)),0)),""))))))))</f>
        <v>Personal - Food</v>
      </c>
    </row>
    <row r="1493" spans="1:7" x14ac:dyDescent="0.25">
      <c r="A1493" t="s">
        <v>6</v>
      </c>
      <c r="B1493" s="1">
        <v>45804</v>
      </c>
      <c r="C1493" t="s">
        <v>1409</v>
      </c>
      <c r="D1493">
        <v>-6.99</v>
      </c>
      <c r="E1493" t="s">
        <v>10</v>
      </c>
      <c r="F1493">
        <v>7670.89</v>
      </c>
      <c r="G1493" t="str" cm="1">
        <f t="array" ref="G1493">IF(AND(ISNUMBER(SEARCH("UBER",C1493)),ISNUMBER(SEARCH("EATS",C1493))),"Uber Eats",IF(LEFT(C1493,6)="CHECK ","Checks Paid",IF(OR(E1493="BILLPAY",ISNUMBER(SEARCH("FRANCHISE TAX",C1493)),ISNUMBER(SEARCH("NEXTLINK",C1493))),"Personal - House Bills",IF(AND(ISNUMBER(SEARCH("PAYMENT FROM",C1493)),ISNUMBER(SEARCH("JOE SAUNDERS",C1493))),"Zelle from Joe Saunders",IF(AND(ISNUMBER(SEARCH("PAYMENT TO",C1493)),ISNUMBER(SEARCH("JOE SAUNDERS",C1493))),"Zelle to Joe Saunders",IF(OR(ISNUMBER(SEARCH("NEW ORLEANS",C1493)),ISNUMBER(SEARCH("KENNER",C1493)),ISNUMBER(SEARCH("HENRY HOWARD",C1493)),ISNUMBER(SEARCH("MISS CLAUDIA",C1493))),"Personal Travel - New Orleans",IF(AND(YEAR(B1493)=2025,MONTH(B1493)=4,OR(ISNUMBER(SEARCH("EXCHANGE RATE",C1493)),ISNUMBER(SEARCH("EXCHG RTE",C1493)))),"Personal Travel - Italy",IFERROR(INDEX('Category Rules'!$B$2:$B$358,MATCH(TRUE,ISNUMBER(SEARCH('Category Rules'!$A$2:$A$358,C1493)),0)),""))))))))</f>
        <v>Amazon</v>
      </c>
    </row>
    <row r="1494" spans="1:7" x14ac:dyDescent="0.25">
      <c r="A1494" t="s">
        <v>6</v>
      </c>
      <c r="B1494" s="1">
        <v>45804</v>
      </c>
      <c r="C1494" t="s">
        <v>1410</v>
      </c>
      <c r="D1494">
        <v>-35</v>
      </c>
      <c r="E1494" t="s">
        <v>10</v>
      </c>
      <c r="F1494">
        <v>7677.88</v>
      </c>
      <c r="G1494" t="str" cm="1">
        <f t="array" ref="G1494">IF(AND(ISNUMBER(SEARCH("UBER",C1494)),ISNUMBER(SEARCH("EATS",C1494))),"Uber Eats",IF(LEFT(C1494,6)="CHECK ","Checks Paid",IF(OR(E1494="BILLPAY",ISNUMBER(SEARCH("FRANCHISE TAX",C1494)),ISNUMBER(SEARCH("NEXTLINK",C1494))),"Personal - House Bills",IF(AND(ISNUMBER(SEARCH("PAYMENT FROM",C1494)),ISNUMBER(SEARCH("JOE SAUNDERS",C1494))),"Zelle from Joe Saunders",IF(AND(ISNUMBER(SEARCH("PAYMENT TO",C1494)),ISNUMBER(SEARCH("JOE SAUNDERS",C1494))),"Zelle to Joe Saunders",IF(OR(ISNUMBER(SEARCH("NEW ORLEANS",C1494)),ISNUMBER(SEARCH("KENNER",C1494)),ISNUMBER(SEARCH("HENRY HOWARD",C1494)),ISNUMBER(SEARCH("MISS CLAUDIA",C1494))),"Personal Travel - New Orleans",IF(AND(YEAR(B1494)=2025,MONTH(B1494)=4,OR(ISNUMBER(SEARCH("EXCHANGE RATE",C1494)),ISNUMBER(SEARCH("EXCHG RTE",C1494)))),"Personal Travel - Italy",IFERROR(INDEX('Category Rules'!$B$2:$B$358,MATCH(TRUE,ISNUMBER(SEARCH('Category Rules'!$A$2:$A$358,C1494)),0)),""))))))))</f>
        <v>Personal Travel</v>
      </c>
    </row>
    <row r="1495" spans="1:7" x14ac:dyDescent="0.25">
      <c r="A1495" t="s">
        <v>6</v>
      </c>
      <c r="B1495" s="1">
        <v>45804</v>
      </c>
      <c r="C1495" t="s">
        <v>1410</v>
      </c>
      <c r="D1495">
        <v>-35</v>
      </c>
      <c r="E1495" t="s">
        <v>10</v>
      </c>
      <c r="F1495">
        <v>7712.88</v>
      </c>
      <c r="G1495" t="str" cm="1">
        <f t="array" ref="G1495">IF(AND(ISNUMBER(SEARCH("UBER",C1495)),ISNUMBER(SEARCH("EATS",C1495))),"Uber Eats",IF(LEFT(C1495,6)="CHECK ","Checks Paid",IF(OR(E1495="BILLPAY",ISNUMBER(SEARCH("FRANCHISE TAX",C1495)),ISNUMBER(SEARCH("NEXTLINK",C1495))),"Personal - House Bills",IF(AND(ISNUMBER(SEARCH("PAYMENT FROM",C1495)),ISNUMBER(SEARCH("JOE SAUNDERS",C1495))),"Zelle from Joe Saunders",IF(AND(ISNUMBER(SEARCH("PAYMENT TO",C1495)),ISNUMBER(SEARCH("JOE SAUNDERS",C1495))),"Zelle to Joe Saunders",IF(OR(ISNUMBER(SEARCH("NEW ORLEANS",C1495)),ISNUMBER(SEARCH("KENNER",C1495)),ISNUMBER(SEARCH("HENRY HOWARD",C1495)),ISNUMBER(SEARCH("MISS CLAUDIA",C1495))),"Personal Travel - New Orleans",IF(AND(YEAR(B1495)=2025,MONTH(B1495)=4,OR(ISNUMBER(SEARCH("EXCHANGE RATE",C1495)),ISNUMBER(SEARCH("EXCHG RTE",C1495)))),"Personal Travel - Italy",IFERROR(INDEX('Category Rules'!$B$2:$B$358,MATCH(TRUE,ISNUMBER(SEARCH('Category Rules'!$A$2:$A$358,C1495)),0)),""))))))))</f>
        <v>Personal Travel</v>
      </c>
    </row>
    <row r="1496" spans="1:7" x14ac:dyDescent="0.25">
      <c r="A1496" t="s">
        <v>6</v>
      </c>
      <c r="B1496" s="1">
        <v>45804</v>
      </c>
      <c r="C1496" t="s">
        <v>1411</v>
      </c>
      <c r="D1496">
        <v>-35</v>
      </c>
      <c r="E1496" t="s">
        <v>10</v>
      </c>
      <c r="F1496">
        <v>7747.88</v>
      </c>
      <c r="G1496" t="str" cm="1">
        <f t="array" ref="G1496">IF(AND(ISNUMBER(SEARCH("UBER",C1496)),ISNUMBER(SEARCH("EATS",C1496))),"Uber Eats",IF(LEFT(C1496,6)="CHECK ","Checks Paid",IF(OR(E1496="BILLPAY",ISNUMBER(SEARCH("FRANCHISE TAX",C1496)),ISNUMBER(SEARCH("NEXTLINK",C1496))),"Personal - House Bills",IF(AND(ISNUMBER(SEARCH("PAYMENT FROM",C1496)),ISNUMBER(SEARCH("JOE SAUNDERS",C1496))),"Zelle from Joe Saunders",IF(AND(ISNUMBER(SEARCH("PAYMENT TO",C1496)),ISNUMBER(SEARCH("JOE SAUNDERS",C1496))),"Zelle to Joe Saunders",IF(OR(ISNUMBER(SEARCH("NEW ORLEANS",C1496)),ISNUMBER(SEARCH("KENNER",C1496)),ISNUMBER(SEARCH("HENRY HOWARD",C1496)),ISNUMBER(SEARCH("MISS CLAUDIA",C1496))),"Personal Travel - New Orleans",IF(AND(YEAR(B1496)=2025,MONTH(B1496)=4,OR(ISNUMBER(SEARCH("EXCHANGE RATE",C1496)),ISNUMBER(SEARCH("EXCHG RTE",C1496)))),"Personal Travel - Italy",IFERROR(INDEX('Category Rules'!$B$2:$B$358,MATCH(TRUE,ISNUMBER(SEARCH('Category Rules'!$A$2:$A$358,C1496)),0)),""))))))))</f>
        <v>Personal Travel</v>
      </c>
    </row>
    <row r="1497" spans="1:7" x14ac:dyDescent="0.25">
      <c r="A1497" t="s">
        <v>6</v>
      </c>
      <c r="B1497" s="1">
        <v>45804</v>
      </c>
      <c r="C1497" t="s">
        <v>1411</v>
      </c>
      <c r="D1497">
        <v>-35</v>
      </c>
      <c r="E1497" t="s">
        <v>10</v>
      </c>
      <c r="F1497">
        <v>7782.88</v>
      </c>
      <c r="G1497" t="str" cm="1">
        <f t="array" ref="G1497">IF(AND(ISNUMBER(SEARCH("UBER",C1497)),ISNUMBER(SEARCH("EATS",C1497))),"Uber Eats",IF(LEFT(C1497,6)="CHECK ","Checks Paid",IF(OR(E1497="BILLPAY",ISNUMBER(SEARCH("FRANCHISE TAX",C1497)),ISNUMBER(SEARCH("NEXTLINK",C1497))),"Personal - House Bills",IF(AND(ISNUMBER(SEARCH("PAYMENT FROM",C1497)),ISNUMBER(SEARCH("JOE SAUNDERS",C1497))),"Zelle from Joe Saunders",IF(AND(ISNUMBER(SEARCH("PAYMENT TO",C1497)),ISNUMBER(SEARCH("JOE SAUNDERS",C1497))),"Zelle to Joe Saunders",IF(OR(ISNUMBER(SEARCH("NEW ORLEANS",C1497)),ISNUMBER(SEARCH("KENNER",C1497)),ISNUMBER(SEARCH("HENRY HOWARD",C1497)),ISNUMBER(SEARCH("MISS CLAUDIA",C1497))),"Personal Travel - New Orleans",IF(AND(YEAR(B1497)=2025,MONTH(B1497)=4,OR(ISNUMBER(SEARCH("EXCHANGE RATE",C1497)),ISNUMBER(SEARCH("EXCHG RTE",C1497)))),"Personal Travel - Italy",IFERROR(INDEX('Category Rules'!$B$2:$B$358,MATCH(TRUE,ISNUMBER(SEARCH('Category Rules'!$A$2:$A$358,C1497)),0)),""))))))))</f>
        <v>Personal Travel</v>
      </c>
    </row>
    <row r="1498" spans="1:7" x14ac:dyDescent="0.25">
      <c r="A1498" t="s">
        <v>6</v>
      </c>
      <c r="B1498" s="1">
        <v>45804</v>
      </c>
      <c r="C1498" t="s">
        <v>1412</v>
      </c>
      <c r="D1498">
        <v>-29.93</v>
      </c>
      <c r="E1498" t="s">
        <v>10</v>
      </c>
      <c r="F1498">
        <v>7817.88</v>
      </c>
      <c r="G1498" t="str" cm="1">
        <f t="array" ref="G1498">IF(AND(ISNUMBER(SEARCH("UBER",C1498)),ISNUMBER(SEARCH("EATS",C1498))),"Uber Eats",IF(LEFT(C1498,6)="CHECK ","Checks Paid",IF(OR(E1498="BILLPAY",ISNUMBER(SEARCH("FRANCHISE TAX",C1498)),ISNUMBER(SEARCH("NEXTLINK",C1498))),"Personal - House Bills",IF(AND(ISNUMBER(SEARCH("PAYMENT FROM",C1498)),ISNUMBER(SEARCH("JOE SAUNDERS",C1498))),"Zelle from Joe Saunders",IF(AND(ISNUMBER(SEARCH("PAYMENT TO",C1498)),ISNUMBER(SEARCH("JOE SAUNDERS",C1498))),"Zelle to Joe Saunders",IF(OR(ISNUMBER(SEARCH("NEW ORLEANS",C1498)),ISNUMBER(SEARCH("KENNER",C1498)),ISNUMBER(SEARCH("HENRY HOWARD",C1498)),ISNUMBER(SEARCH("MISS CLAUDIA",C1498))),"Personal Travel - New Orleans",IF(AND(YEAR(B1498)=2025,MONTH(B1498)=4,OR(ISNUMBER(SEARCH("EXCHANGE RATE",C1498)),ISNUMBER(SEARCH("EXCHG RTE",C1498)))),"Personal Travel - Italy",IFERROR(INDEX('Category Rules'!$B$2:$B$358,MATCH(TRUE,ISNUMBER(SEARCH('Category Rules'!$A$2:$A$358,C1498)),0)),""))))))))</f>
        <v>Personal Travel</v>
      </c>
    </row>
    <row r="1499" spans="1:7" x14ac:dyDescent="0.25">
      <c r="A1499" t="s">
        <v>6</v>
      </c>
      <c r="B1499" s="1">
        <v>45804</v>
      </c>
      <c r="C1499" t="s">
        <v>1412</v>
      </c>
      <c r="D1499">
        <v>-29.93</v>
      </c>
      <c r="E1499" t="s">
        <v>10</v>
      </c>
      <c r="F1499">
        <v>7847.81</v>
      </c>
      <c r="G1499" t="str" cm="1">
        <f t="array" ref="G1499">IF(AND(ISNUMBER(SEARCH("UBER",C1499)),ISNUMBER(SEARCH("EATS",C1499))),"Uber Eats",IF(LEFT(C1499,6)="CHECK ","Checks Paid",IF(OR(E1499="BILLPAY",ISNUMBER(SEARCH("FRANCHISE TAX",C1499)),ISNUMBER(SEARCH("NEXTLINK",C1499))),"Personal - House Bills",IF(AND(ISNUMBER(SEARCH("PAYMENT FROM",C1499)),ISNUMBER(SEARCH("JOE SAUNDERS",C1499))),"Zelle from Joe Saunders",IF(AND(ISNUMBER(SEARCH("PAYMENT TO",C1499)),ISNUMBER(SEARCH("JOE SAUNDERS",C1499))),"Zelle to Joe Saunders",IF(OR(ISNUMBER(SEARCH("NEW ORLEANS",C1499)),ISNUMBER(SEARCH("KENNER",C1499)),ISNUMBER(SEARCH("HENRY HOWARD",C1499)),ISNUMBER(SEARCH("MISS CLAUDIA",C1499))),"Personal Travel - New Orleans",IF(AND(YEAR(B1499)=2025,MONTH(B1499)=4,OR(ISNUMBER(SEARCH("EXCHANGE RATE",C1499)),ISNUMBER(SEARCH("EXCHG RTE",C1499)))),"Personal Travel - Italy",IFERROR(INDEX('Category Rules'!$B$2:$B$358,MATCH(TRUE,ISNUMBER(SEARCH('Category Rules'!$A$2:$A$358,C1499)),0)),""))))))))</f>
        <v>Personal Travel</v>
      </c>
    </row>
    <row r="1500" spans="1:7" x14ac:dyDescent="0.25">
      <c r="A1500" t="s">
        <v>6</v>
      </c>
      <c r="B1500" s="1">
        <v>45804</v>
      </c>
      <c r="C1500" t="s">
        <v>1412</v>
      </c>
      <c r="D1500">
        <v>-29.93</v>
      </c>
      <c r="E1500" t="s">
        <v>10</v>
      </c>
      <c r="F1500">
        <v>7877.74</v>
      </c>
      <c r="G1500" t="str" cm="1">
        <f t="array" ref="G1500">IF(AND(ISNUMBER(SEARCH("UBER",C1500)),ISNUMBER(SEARCH("EATS",C1500))),"Uber Eats",IF(LEFT(C1500,6)="CHECK ","Checks Paid",IF(OR(E1500="BILLPAY",ISNUMBER(SEARCH("FRANCHISE TAX",C1500)),ISNUMBER(SEARCH("NEXTLINK",C1500))),"Personal - House Bills",IF(AND(ISNUMBER(SEARCH("PAYMENT FROM",C1500)),ISNUMBER(SEARCH("JOE SAUNDERS",C1500))),"Zelle from Joe Saunders",IF(AND(ISNUMBER(SEARCH("PAYMENT TO",C1500)),ISNUMBER(SEARCH("JOE SAUNDERS",C1500))),"Zelle to Joe Saunders",IF(OR(ISNUMBER(SEARCH("NEW ORLEANS",C1500)),ISNUMBER(SEARCH("KENNER",C1500)),ISNUMBER(SEARCH("HENRY HOWARD",C1500)),ISNUMBER(SEARCH("MISS CLAUDIA",C1500))),"Personal Travel - New Orleans",IF(AND(YEAR(B1500)=2025,MONTH(B1500)=4,OR(ISNUMBER(SEARCH("EXCHANGE RATE",C1500)),ISNUMBER(SEARCH("EXCHG RTE",C1500)))),"Personal Travel - Italy",IFERROR(INDEX('Category Rules'!$B$2:$B$358,MATCH(TRUE,ISNUMBER(SEARCH('Category Rules'!$A$2:$A$358,C1500)),0)),""))))))))</f>
        <v>Personal Travel</v>
      </c>
    </row>
    <row r="1501" spans="1:7" x14ac:dyDescent="0.25">
      <c r="A1501" t="s">
        <v>6</v>
      </c>
      <c r="B1501" s="1">
        <v>45804</v>
      </c>
      <c r="C1501" t="s">
        <v>1412</v>
      </c>
      <c r="D1501">
        <v>-29.93</v>
      </c>
      <c r="E1501" t="s">
        <v>10</v>
      </c>
      <c r="F1501">
        <v>7907.67</v>
      </c>
      <c r="G1501" t="str" cm="1">
        <f t="array" ref="G1501">IF(AND(ISNUMBER(SEARCH("UBER",C1501)),ISNUMBER(SEARCH("EATS",C1501))),"Uber Eats",IF(LEFT(C1501,6)="CHECK ","Checks Paid",IF(OR(E1501="BILLPAY",ISNUMBER(SEARCH("FRANCHISE TAX",C1501)),ISNUMBER(SEARCH("NEXTLINK",C1501))),"Personal - House Bills",IF(AND(ISNUMBER(SEARCH("PAYMENT FROM",C1501)),ISNUMBER(SEARCH("JOE SAUNDERS",C1501))),"Zelle from Joe Saunders",IF(AND(ISNUMBER(SEARCH("PAYMENT TO",C1501)),ISNUMBER(SEARCH("JOE SAUNDERS",C1501))),"Zelle to Joe Saunders",IF(OR(ISNUMBER(SEARCH("NEW ORLEANS",C1501)),ISNUMBER(SEARCH("KENNER",C1501)),ISNUMBER(SEARCH("HENRY HOWARD",C1501)),ISNUMBER(SEARCH("MISS CLAUDIA",C1501))),"Personal Travel - New Orleans",IF(AND(YEAR(B1501)=2025,MONTH(B1501)=4,OR(ISNUMBER(SEARCH("EXCHANGE RATE",C1501)),ISNUMBER(SEARCH("EXCHG RTE",C1501)))),"Personal Travel - Italy",IFERROR(INDEX('Category Rules'!$B$2:$B$358,MATCH(TRUE,ISNUMBER(SEARCH('Category Rules'!$A$2:$A$358,C1501)),0)),""))))))))</f>
        <v>Personal Travel</v>
      </c>
    </row>
    <row r="1502" spans="1:7" x14ac:dyDescent="0.25">
      <c r="A1502" t="s">
        <v>6</v>
      </c>
      <c r="B1502" s="1">
        <v>45804</v>
      </c>
      <c r="C1502" t="s">
        <v>1412</v>
      </c>
      <c r="D1502">
        <v>-29.93</v>
      </c>
      <c r="E1502" t="s">
        <v>10</v>
      </c>
      <c r="F1502">
        <v>7937.6</v>
      </c>
      <c r="G1502" t="str" cm="1">
        <f t="array" ref="G1502">IF(AND(ISNUMBER(SEARCH("UBER",C1502)),ISNUMBER(SEARCH("EATS",C1502))),"Uber Eats",IF(LEFT(C1502,6)="CHECK ","Checks Paid",IF(OR(E1502="BILLPAY",ISNUMBER(SEARCH("FRANCHISE TAX",C1502)),ISNUMBER(SEARCH("NEXTLINK",C1502))),"Personal - House Bills",IF(AND(ISNUMBER(SEARCH("PAYMENT FROM",C1502)),ISNUMBER(SEARCH("JOE SAUNDERS",C1502))),"Zelle from Joe Saunders",IF(AND(ISNUMBER(SEARCH("PAYMENT TO",C1502)),ISNUMBER(SEARCH("JOE SAUNDERS",C1502))),"Zelle to Joe Saunders",IF(OR(ISNUMBER(SEARCH("NEW ORLEANS",C1502)),ISNUMBER(SEARCH("KENNER",C1502)),ISNUMBER(SEARCH("HENRY HOWARD",C1502)),ISNUMBER(SEARCH("MISS CLAUDIA",C1502))),"Personal Travel - New Orleans",IF(AND(YEAR(B1502)=2025,MONTH(B1502)=4,OR(ISNUMBER(SEARCH("EXCHANGE RATE",C1502)),ISNUMBER(SEARCH("EXCHG RTE",C1502)))),"Personal Travel - Italy",IFERROR(INDEX('Category Rules'!$B$2:$B$358,MATCH(TRUE,ISNUMBER(SEARCH('Category Rules'!$A$2:$A$358,C1502)),0)),""))))))))</f>
        <v>Personal Travel</v>
      </c>
    </row>
    <row r="1503" spans="1:7" x14ac:dyDescent="0.25">
      <c r="A1503" t="s">
        <v>6</v>
      </c>
      <c r="B1503" s="1">
        <v>45804</v>
      </c>
      <c r="C1503" t="s">
        <v>1413</v>
      </c>
      <c r="D1503">
        <v>-15</v>
      </c>
      <c r="E1503" t="s">
        <v>10</v>
      </c>
      <c r="F1503">
        <v>7967.53</v>
      </c>
      <c r="G1503" t="str" cm="1">
        <f t="array" ref="G1503">IF(AND(ISNUMBER(SEARCH("UBER",C1503)),ISNUMBER(SEARCH("EATS",C1503))),"Uber Eats",IF(LEFT(C1503,6)="CHECK ","Checks Paid",IF(OR(E1503="BILLPAY",ISNUMBER(SEARCH("FRANCHISE TAX",C1503)),ISNUMBER(SEARCH("NEXTLINK",C1503))),"Personal - House Bills",IF(AND(ISNUMBER(SEARCH("PAYMENT FROM",C1503)),ISNUMBER(SEARCH("JOE SAUNDERS",C1503))),"Zelle from Joe Saunders",IF(AND(ISNUMBER(SEARCH("PAYMENT TO",C1503)),ISNUMBER(SEARCH("JOE SAUNDERS",C1503))),"Zelle to Joe Saunders",IF(OR(ISNUMBER(SEARCH("NEW ORLEANS",C1503)),ISNUMBER(SEARCH("KENNER",C1503)),ISNUMBER(SEARCH("HENRY HOWARD",C1503)),ISNUMBER(SEARCH("MISS CLAUDIA",C1503))),"Personal Travel - New Orleans",IF(AND(YEAR(B1503)=2025,MONTH(B1503)=4,OR(ISNUMBER(SEARCH("EXCHANGE RATE",C1503)),ISNUMBER(SEARCH("EXCHG RTE",C1503)))),"Personal Travel - Italy",IFERROR(INDEX('Category Rules'!$B$2:$B$358,MATCH(TRUE,ISNUMBER(SEARCH('Category Rules'!$A$2:$A$358,C1503)),0)),""))))))))</f>
        <v>Personal - Subscription</v>
      </c>
    </row>
    <row r="1504" spans="1:7" x14ac:dyDescent="0.25">
      <c r="A1504" t="s">
        <v>6</v>
      </c>
      <c r="B1504" s="1">
        <v>45804</v>
      </c>
      <c r="C1504" t="s">
        <v>1414</v>
      </c>
      <c r="D1504">
        <v>-16.45</v>
      </c>
      <c r="E1504" t="s">
        <v>10</v>
      </c>
      <c r="F1504">
        <v>7982.53</v>
      </c>
      <c r="G1504" t="str" cm="1">
        <f t="array" ref="G1504">IF(AND(ISNUMBER(SEARCH("UBER",C1504)),ISNUMBER(SEARCH("EATS",C1504))),"Uber Eats",IF(LEFT(C1504,6)="CHECK ","Checks Paid",IF(OR(E1504="BILLPAY",ISNUMBER(SEARCH("FRANCHISE TAX",C1504)),ISNUMBER(SEARCH("NEXTLINK",C1504))),"Personal - House Bills",IF(AND(ISNUMBER(SEARCH("PAYMENT FROM",C1504)),ISNUMBER(SEARCH("JOE SAUNDERS",C1504))),"Zelle from Joe Saunders",IF(AND(ISNUMBER(SEARCH("PAYMENT TO",C1504)),ISNUMBER(SEARCH("JOE SAUNDERS",C1504))),"Zelle to Joe Saunders",IF(OR(ISNUMBER(SEARCH("NEW ORLEANS",C1504)),ISNUMBER(SEARCH("KENNER",C1504)),ISNUMBER(SEARCH("HENRY HOWARD",C1504)),ISNUMBER(SEARCH("MISS CLAUDIA",C1504))),"Personal Travel - New Orleans",IF(AND(YEAR(B1504)=2025,MONTH(B1504)=4,OR(ISNUMBER(SEARCH("EXCHANGE RATE",C1504)),ISNUMBER(SEARCH("EXCHG RTE",C1504)))),"Personal Travel - Italy",IFERROR(INDEX('Category Rules'!$B$2:$B$358,MATCH(TRUE,ISNUMBER(SEARCH('Category Rules'!$A$2:$A$358,C1504)),0)),""))))))))</f>
        <v>Amazon</v>
      </c>
    </row>
    <row r="1505" spans="1:7" x14ac:dyDescent="0.25">
      <c r="A1505" t="s">
        <v>6</v>
      </c>
      <c r="B1505" s="1">
        <v>45804</v>
      </c>
      <c r="C1505" t="s">
        <v>1415</v>
      </c>
      <c r="D1505">
        <v>-724.49</v>
      </c>
      <c r="E1505" t="s">
        <v>10</v>
      </c>
      <c r="F1505">
        <v>7998.98</v>
      </c>
      <c r="G1505" t="str" cm="1">
        <f t="array" ref="G1505">IF(AND(ISNUMBER(SEARCH("UBER",C1505)),ISNUMBER(SEARCH("EATS",C1505))),"Uber Eats",IF(LEFT(C1505,6)="CHECK ","Checks Paid",IF(OR(E1505="BILLPAY",ISNUMBER(SEARCH("FRANCHISE TAX",C1505)),ISNUMBER(SEARCH("NEXTLINK",C1505))),"Personal - House Bills",IF(AND(ISNUMBER(SEARCH("PAYMENT FROM",C1505)),ISNUMBER(SEARCH("JOE SAUNDERS",C1505))),"Zelle from Joe Saunders",IF(AND(ISNUMBER(SEARCH("PAYMENT TO",C1505)),ISNUMBER(SEARCH("JOE SAUNDERS",C1505))),"Zelle to Joe Saunders",IF(OR(ISNUMBER(SEARCH("NEW ORLEANS",C1505)),ISNUMBER(SEARCH("KENNER",C1505)),ISNUMBER(SEARCH("HENRY HOWARD",C1505)),ISNUMBER(SEARCH("MISS CLAUDIA",C1505))),"Personal Travel - New Orleans",IF(AND(YEAR(B1505)=2025,MONTH(B1505)=4,OR(ISNUMBER(SEARCH("EXCHANGE RATE",C1505)),ISNUMBER(SEARCH("EXCHG RTE",C1505)))),"Personal Travel - Italy",IFERROR(INDEX('Category Rules'!$B$2:$B$358,MATCH(TRUE,ISNUMBER(SEARCH('Category Rules'!$A$2:$A$358,C1505)),0)),""))))))))</f>
        <v>AT&amp;T</v>
      </c>
    </row>
    <row r="1506" spans="1:7" x14ac:dyDescent="0.25">
      <c r="A1506" t="s">
        <v>6</v>
      </c>
      <c r="B1506" s="1">
        <v>45804</v>
      </c>
      <c r="C1506" t="s">
        <v>1654</v>
      </c>
      <c r="D1506">
        <v>-14.99</v>
      </c>
      <c r="E1506" t="s">
        <v>10</v>
      </c>
      <c r="F1506">
        <v>8723.4699999999993</v>
      </c>
      <c r="G1506" t="str" cm="1">
        <f t="array" ref="G1506">IF(AND(ISNUMBER(SEARCH("UBER",C1506)),ISNUMBER(SEARCH("EATS",C1506))),"Uber Eats",IF(LEFT(C1506,6)="CHECK ","Checks Paid",IF(OR(E1506="BILLPAY",ISNUMBER(SEARCH("FRANCHISE TAX",C1506)),ISNUMBER(SEARCH("NEXTLINK",C1506))),"Personal - House Bills",IF(AND(ISNUMBER(SEARCH("PAYMENT FROM",C1506)),ISNUMBER(SEARCH("JOE SAUNDERS",C1506))),"Zelle from Joe Saunders",IF(AND(ISNUMBER(SEARCH("PAYMENT TO",C1506)),ISNUMBER(SEARCH("JOE SAUNDERS",C1506))),"Zelle to Joe Saunders",IF(OR(ISNUMBER(SEARCH("NEW ORLEANS",C1506)),ISNUMBER(SEARCH("KENNER",C1506)),ISNUMBER(SEARCH("HENRY HOWARD",C1506)),ISNUMBER(SEARCH("MISS CLAUDIA",C1506))),"Personal Travel - New Orleans",IF(AND(YEAR(B1506)=2025,MONTH(B1506)=4,OR(ISNUMBER(SEARCH("EXCHANGE RATE",C1506)),ISNUMBER(SEARCH("EXCHG RTE",C1506)))),"Personal Travel - Italy",IFERROR(INDEX('Category Rules'!$B$2:$B$358,MATCH(TRUE,ISNUMBER(SEARCH('Category Rules'!$A$2:$A$358,C1506)),0)),""))))))))</f>
        <v>Personal - Uber</v>
      </c>
    </row>
    <row r="1507" spans="1:7" x14ac:dyDescent="0.25">
      <c r="A1507" t="s">
        <v>6</v>
      </c>
      <c r="B1507" s="1">
        <v>45804</v>
      </c>
      <c r="C1507" t="s">
        <v>1655</v>
      </c>
      <c r="D1507">
        <v>-3</v>
      </c>
      <c r="E1507" t="s">
        <v>10</v>
      </c>
      <c r="F1507">
        <v>8738.4599999999991</v>
      </c>
      <c r="G1507" t="str" cm="1">
        <f t="array" ref="G1507">IF(AND(ISNUMBER(SEARCH("UBER",C1507)),ISNUMBER(SEARCH("EATS",C1507))),"Uber Eats",IF(LEFT(C1507,6)="CHECK ","Checks Paid",IF(OR(E1507="BILLPAY",ISNUMBER(SEARCH("FRANCHISE TAX",C1507)),ISNUMBER(SEARCH("NEXTLINK",C1507))),"Personal - House Bills",IF(AND(ISNUMBER(SEARCH("PAYMENT FROM",C1507)),ISNUMBER(SEARCH("JOE SAUNDERS",C1507))),"Zelle from Joe Saunders",IF(AND(ISNUMBER(SEARCH("PAYMENT TO",C1507)),ISNUMBER(SEARCH("JOE SAUNDERS",C1507))),"Zelle to Joe Saunders",IF(OR(ISNUMBER(SEARCH("NEW ORLEANS",C1507)),ISNUMBER(SEARCH("KENNER",C1507)),ISNUMBER(SEARCH("HENRY HOWARD",C1507)),ISNUMBER(SEARCH("MISS CLAUDIA",C1507))),"Personal Travel - New Orleans",IF(AND(YEAR(B1507)=2025,MONTH(B1507)=4,OR(ISNUMBER(SEARCH("EXCHANGE RATE",C1507)),ISNUMBER(SEARCH("EXCHG RTE",C1507)))),"Personal Travel - Italy",IFERROR(INDEX('Category Rules'!$B$2:$B$358,MATCH(TRUE,ISNUMBER(SEARCH('Category Rules'!$A$2:$A$358,C1507)),0)),""))))))))</f>
        <v>Personal - Uber</v>
      </c>
    </row>
    <row r="1508" spans="1:7" x14ac:dyDescent="0.25">
      <c r="A1508" t="s">
        <v>6</v>
      </c>
      <c r="B1508" s="1">
        <v>45804</v>
      </c>
      <c r="C1508" t="s">
        <v>1656</v>
      </c>
      <c r="D1508">
        <v>-52.08</v>
      </c>
      <c r="E1508" t="s">
        <v>10</v>
      </c>
      <c r="F1508">
        <v>8741.4599999999991</v>
      </c>
      <c r="G1508" t="str" cm="1">
        <f t="array" ref="G1508">IF(AND(ISNUMBER(SEARCH("UBER",C1508)),ISNUMBER(SEARCH("EATS",C1508))),"Uber Eats",IF(LEFT(C1508,6)="CHECK ","Checks Paid",IF(OR(E1508="BILLPAY",ISNUMBER(SEARCH("FRANCHISE TAX",C1508)),ISNUMBER(SEARCH("NEXTLINK",C1508))),"Personal - House Bills",IF(AND(ISNUMBER(SEARCH("PAYMENT FROM",C1508)),ISNUMBER(SEARCH("JOE SAUNDERS",C1508))),"Zelle from Joe Saunders",IF(AND(ISNUMBER(SEARCH("PAYMENT TO",C1508)),ISNUMBER(SEARCH("JOE SAUNDERS",C1508))),"Zelle to Joe Saunders",IF(OR(ISNUMBER(SEARCH("NEW ORLEANS",C1508)),ISNUMBER(SEARCH("KENNER",C1508)),ISNUMBER(SEARCH("HENRY HOWARD",C1508)),ISNUMBER(SEARCH("MISS CLAUDIA",C1508))),"Personal Travel - New Orleans",IF(AND(YEAR(B1508)=2025,MONTH(B1508)=4,OR(ISNUMBER(SEARCH("EXCHANGE RATE",C1508)),ISNUMBER(SEARCH("EXCHG RTE",C1508)))),"Personal Travel - Italy",IFERROR(INDEX('Category Rules'!$B$2:$B$358,MATCH(TRUE,ISNUMBER(SEARCH('Category Rules'!$A$2:$A$358,C1508)),0)),""))))))))</f>
        <v>Personal Travel - New Orleans</v>
      </c>
    </row>
    <row r="1509" spans="1:7" x14ac:dyDescent="0.25">
      <c r="A1509" t="s">
        <v>6</v>
      </c>
      <c r="B1509" s="1">
        <v>45804</v>
      </c>
      <c r="C1509" t="s">
        <v>1657</v>
      </c>
      <c r="D1509">
        <v>-140</v>
      </c>
      <c r="E1509" t="s">
        <v>10</v>
      </c>
      <c r="F1509">
        <v>8793.5400000000009</v>
      </c>
      <c r="G1509" t="str" cm="1">
        <f t="array" ref="G1509">IF(AND(ISNUMBER(SEARCH("UBER",C1509)),ISNUMBER(SEARCH("EATS",C1509))),"Uber Eats",IF(LEFT(C1509,6)="CHECK ","Checks Paid",IF(OR(E1509="BILLPAY",ISNUMBER(SEARCH("FRANCHISE TAX",C1509)),ISNUMBER(SEARCH("NEXTLINK",C1509))),"Personal - House Bills",IF(AND(ISNUMBER(SEARCH("PAYMENT FROM",C1509)),ISNUMBER(SEARCH("JOE SAUNDERS",C1509))),"Zelle from Joe Saunders",IF(AND(ISNUMBER(SEARCH("PAYMENT TO",C1509)),ISNUMBER(SEARCH("JOE SAUNDERS",C1509))),"Zelle to Joe Saunders",IF(OR(ISNUMBER(SEARCH("NEW ORLEANS",C1509)),ISNUMBER(SEARCH("KENNER",C1509)),ISNUMBER(SEARCH("HENRY HOWARD",C1509)),ISNUMBER(SEARCH("MISS CLAUDIA",C1509))),"Personal Travel - New Orleans",IF(AND(YEAR(B1509)=2025,MONTH(B1509)=4,OR(ISNUMBER(SEARCH("EXCHANGE RATE",C1509)),ISNUMBER(SEARCH("EXCHG RTE",C1509)))),"Personal Travel - Italy",IFERROR(INDEX('Category Rules'!$B$2:$B$358,MATCH(TRUE,ISNUMBER(SEARCH('Category Rules'!$A$2:$A$358,C1509)),0)),""))))))))</f>
        <v>Personal Travel - New Orleans</v>
      </c>
    </row>
    <row r="1510" spans="1:7" x14ac:dyDescent="0.25">
      <c r="A1510" t="s">
        <v>6</v>
      </c>
      <c r="B1510" s="1">
        <v>45804</v>
      </c>
      <c r="C1510" t="s">
        <v>1658</v>
      </c>
      <c r="D1510">
        <v>-158.4</v>
      </c>
      <c r="E1510" t="s">
        <v>10</v>
      </c>
      <c r="F1510">
        <v>8933.5400000000009</v>
      </c>
      <c r="G1510" t="str" cm="1">
        <f t="array" ref="G1510">IF(AND(ISNUMBER(SEARCH("UBER",C1510)),ISNUMBER(SEARCH("EATS",C1510))),"Uber Eats",IF(LEFT(C1510,6)="CHECK ","Checks Paid",IF(OR(E1510="BILLPAY",ISNUMBER(SEARCH("FRANCHISE TAX",C1510)),ISNUMBER(SEARCH("NEXTLINK",C1510))),"Personal - House Bills",IF(AND(ISNUMBER(SEARCH("PAYMENT FROM",C1510)),ISNUMBER(SEARCH("JOE SAUNDERS",C1510))),"Zelle from Joe Saunders",IF(AND(ISNUMBER(SEARCH("PAYMENT TO",C1510)),ISNUMBER(SEARCH("JOE SAUNDERS",C1510))),"Zelle to Joe Saunders",IF(OR(ISNUMBER(SEARCH("NEW ORLEANS",C1510)),ISNUMBER(SEARCH("KENNER",C1510)),ISNUMBER(SEARCH("HENRY HOWARD",C1510)),ISNUMBER(SEARCH("MISS CLAUDIA",C1510))),"Personal Travel - New Orleans",IF(AND(YEAR(B1510)=2025,MONTH(B1510)=4,OR(ISNUMBER(SEARCH("EXCHANGE RATE",C1510)),ISNUMBER(SEARCH("EXCHG RTE",C1510)))),"Personal Travel - Italy",IFERROR(INDEX('Category Rules'!$B$2:$B$358,MATCH(TRUE,ISNUMBER(SEARCH('Category Rules'!$A$2:$A$358,C1510)),0)),""))))))))</f>
        <v>Personal Travel - New Orleans</v>
      </c>
    </row>
    <row r="1511" spans="1:7" x14ac:dyDescent="0.25">
      <c r="A1511" t="s">
        <v>6</v>
      </c>
      <c r="B1511" s="1">
        <v>45804</v>
      </c>
      <c r="C1511" t="s">
        <v>1659</v>
      </c>
      <c r="D1511">
        <v>-15</v>
      </c>
      <c r="E1511" t="s">
        <v>10</v>
      </c>
      <c r="F1511">
        <v>9091.94</v>
      </c>
      <c r="G1511" t="str" cm="1">
        <f t="array" ref="G1511">IF(AND(ISNUMBER(SEARCH("UBER",C1511)),ISNUMBER(SEARCH("EATS",C1511))),"Uber Eats",IF(LEFT(C1511,6)="CHECK ","Checks Paid",IF(OR(E1511="BILLPAY",ISNUMBER(SEARCH("FRANCHISE TAX",C1511)),ISNUMBER(SEARCH("NEXTLINK",C1511))),"Personal - House Bills",IF(AND(ISNUMBER(SEARCH("PAYMENT FROM",C1511)),ISNUMBER(SEARCH("JOE SAUNDERS",C1511))),"Zelle from Joe Saunders",IF(AND(ISNUMBER(SEARCH("PAYMENT TO",C1511)),ISNUMBER(SEARCH("JOE SAUNDERS",C1511))),"Zelle to Joe Saunders",IF(OR(ISNUMBER(SEARCH("NEW ORLEANS",C1511)),ISNUMBER(SEARCH("KENNER",C1511)),ISNUMBER(SEARCH("HENRY HOWARD",C1511)),ISNUMBER(SEARCH("MISS CLAUDIA",C1511))),"Personal Travel - New Orleans",IF(AND(YEAR(B1511)=2025,MONTH(B1511)=4,OR(ISNUMBER(SEARCH("EXCHANGE RATE",C1511)),ISNUMBER(SEARCH("EXCHG RTE",C1511)))),"Personal Travel - Italy",IFERROR(INDEX('Category Rules'!$B$2:$B$358,MATCH(TRUE,ISNUMBER(SEARCH('Category Rules'!$A$2:$A$358,C1511)),0)),""))))))))</f>
        <v>Personal Travel - New Orleans</v>
      </c>
    </row>
    <row r="1512" spans="1:7" x14ac:dyDescent="0.25">
      <c r="A1512" t="s">
        <v>6</v>
      </c>
      <c r="B1512" s="1">
        <v>45804</v>
      </c>
      <c r="C1512" t="s">
        <v>1660</v>
      </c>
      <c r="D1512">
        <v>-5</v>
      </c>
      <c r="E1512" t="s">
        <v>10</v>
      </c>
      <c r="F1512">
        <v>9106.94</v>
      </c>
      <c r="G1512" t="str" cm="1">
        <f t="array" ref="G1512">IF(AND(ISNUMBER(SEARCH("UBER",C1512)),ISNUMBER(SEARCH("EATS",C1512))),"Uber Eats",IF(LEFT(C1512,6)="CHECK ","Checks Paid",IF(OR(E1512="BILLPAY",ISNUMBER(SEARCH("FRANCHISE TAX",C1512)),ISNUMBER(SEARCH("NEXTLINK",C1512))),"Personal - House Bills",IF(AND(ISNUMBER(SEARCH("PAYMENT FROM",C1512)),ISNUMBER(SEARCH("JOE SAUNDERS",C1512))),"Zelle from Joe Saunders",IF(AND(ISNUMBER(SEARCH("PAYMENT TO",C1512)),ISNUMBER(SEARCH("JOE SAUNDERS",C1512))),"Zelle to Joe Saunders",IF(OR(ISNUMBER(SEARCH("NEW ORLEANS",C1512)),ISNUMBER(SEARCH("KENNER",C1512)),ISNUMBER(SEARCH("HENRY HOWARD",C1512)),ISNUMBER(SEARCH("MISS CLAUDIA",C1512))),"Personal Travel - New Orleans",IF(AND(YEAR(B1512)=2025,MONTH(B1512)=4,OR(ISNUMBER(SEARCH("EXCHANGE RATE",C1512)),ISNUMBER(SEARCH("EXCHG RTE",C1512)))),"Personal Travel - Italy",IFERROR(INDEX('Category Rules'!$B$2:$B$358,MATCH(TRUE,ISNUMBER(SEARCH('Category Rules'!$A$2:$A$358,C1512)),0)),""))))))))</f>
        <v>Personal Travel - New Orleans</v>
      </c>
    </row>
    <row r="1513" spans="1:7" x14ac:dyDescent="0.25">
      <c r="A1513" t="s">
        <v>6</v>
      </c>
      <c r="B1513" s="1">
        <v>45804</v>
      </c>
      <c r="C1513" t="s">
        <v>1660</v>
      </c>
      <c r="D1513">
        <v>-1</v>
      </c>
      <c r="E1513" t="s">
        <v>10</v>
      </c>
      <c r="F1513">
        <v>9111.94</v>
      </c>
      <c r="G1513" t="str" cm="1">
        <f t="array" ref="G1513">IF(AND(ISNUMBER(SEARCH("UBER",C1513)),ISNUMBER(SEARCH("EATS",C1513))),"Uber Eats",IF(LEFT(C1513,6)="CHECK ","Checks Paid",IF(OR(E1513="BILLPAY",ISNUMBER(SEARCH("FRANCHISE TAX",C1513)),ISNUMBER(SEARCH("NEXTLINK",C1513))),"Personal - House Bills",IF(AND(ISNUMBER(SEARCH("PAYMENT FROM",C1513)),ISNUMBER(SEARCH("JOE SAUNDERS",C1513))),"Zelle from Joe Saunders",IF(AND(ISNUMBER(SEARCH("PAYMENT TO",C1513)),ISNUMBER(SEARCH("JOE SAUNDERS",C1513))),"Zelle to Joe Saunders",IF(OR(ISNUMBER(SEARCH("NEW ORLEANS",C1513)),ISNUMBER(SEARCH("KENNER",C1513)),ISNUMBER(SEARCH("HENRY HOWARD",C1513)),ISNUMBER(SEARCH("MISS CLAUDIA",C1513))),"Personal Travel - New Orleans",IF(AND(YEAR(B1513)=2025,MONTH(B1513)=4,OR(ISNUMBER(SEARCH("EXCHANGE RATE",C1513)),ISNUMBER(SEARCH("EXCHG RTE",C1513)))),"Personal Travel - Italy",IFERROR(INDEX('Category Rules'!$B$2:$B$358,MATCH(TRUE,ISNUMBER(SEARCH('Category Rules'!$A$2:$A$358,C1513)),0)),""))))))))</f>
        <v>Personal Travel - New Orleans</v>
      </c>
    </row>
    <row r="1514" spans="1:7" x14ac:dyDescent="0.25">
      <c r="A1514" t="s">
        <v>44</v>
      </c>
      <c r="B1514" s="1">
        <v>45804</v>
      </c>
      <c r="C1514" t="s">
        <v>1661</v>
      </c>
      <c r="D1514">
        <v>150</v>
      </c>
      <c r="E1514" t="s">
        <v>46</v>
      </c>
      <c r="F1514">
        <v>9112.94</v>
      </c>
      <c r="G1514" t="str" cm="1">
        <f t="array" ref="G1514">IF(AND(ISNUMBER(SEARCH("UBER",C1514)),ISNUMBER(SEARCH("EATS",C1514))),"Uber Eats",IF(LEFT(C1514,6)="CHECK ","Checks Paid",IF(OR(E1514="BILLPAY",ISNUMBER(SEARCH("FRANCHISE TAX",C1514)),ISNUMBER(SEARCH("NEXTLINK",C1514))),"Personal - House Bills",IF(AND(ISNUMBER(SEARCH("PAYMENT FROM",C1514)),ISNUMBER(SEARCH("JOE SAUNDERS",C1514))),"Zelle from Joe Saunders",IF(AND(ISNUMBER(SEARCH("PAYMENT TO",C1514)),ISNUMBER(SEARCH("JOE SAUNDERS",C1514))),"Zelle to Joe Saunders",IF(OR(ISNUMBER(SEARCH("NEW ORLEANS",C1514)),ISNUMBER(SEARCH("KENNER",C1514)),ISNUMBER(SEARCH("HENRY HOWARD",C1514)),ISNUMBER(SEARCH("MISS CLAUDIA",C1514))),"Personal Travel - New Orleans",IF(AND(YEAR(B1514)=2025,MONTH(B1514)=4,OR(ISNUMBER(SEARCH("EXCHANGE RATE",C1514)),ISNUMBER(SEARCH("EXCHG RTE",C1514)))),"Personal Travel - Italy",IFERROR(INDEX('Category Rules'!$B$2:$B$358,MATCH(TRUE,ISNUMBER(SEARCH('Category Rules'!$A$2:$A$358,C1514)),0)),""))))))))</f>
        <v>Zelle from Joe Saunders</v>
      </c>
    </row>
    <row r="1515" spans="1:7" x14ac:dyDescent="0.25">
      <c r="A1515" t="s">
        <v>44</v>
      </c>
      <c r="B1515" s="1">
        <v>45804</v>
      </c>
      <c r="C1515" t="s">
        <v>1662</v>
      </c>
      <c r="D1515">
        <v>1000</v>
      </c>
      <c r="E1515" t="s">
        <v>73</v>
      </c>
      <c r="F1515">
        <v>8962.94</v>
      </c>
      <c r="G1515" t="str" cm="1">
        <f t="array" ref="G1515">IF(AND(ISNUMBER(SEARCH("UBER",C1515)),ISNUMBER(SEARCH("EATS",C1515))),"Uber Eats",IF(LEFT(C1515,6)="CHECK ","Checks Paid",IF(OR(E1515="BILLPAY",ISNUMBER(SEARCH("FRANCHISE TAX",C1515)),ISNUMBER(SEARCH("NEXTLINK",C1515))),"Personal - House Bills",IF(AND(ISNUMBER(SEARCH("PAYMENT FROM",C1515)),ISNUMBER(SEARCH("JOE SAUNDERS",C1515))),"Zelle from Joe Saunders",IF(AND(ISNUMBER(SEARCH("PAYMENT TO",C1515)),ISNUMBER(SEARCH("JOE SAUNDERS",C1515))),"Zelle to Joe Saunders",IF(OR(ISNUMBER(SEARCH("NEW ORLEANS",C1515)),ISNUMBER(SEARCH("KENNER",C1515)),ISNUMBER(SEARCH("HENRY HOWARD",C1515)),ISNUMBER(SEARCH("MISS CLAUDIA",C1515))),"Personal Travel - New Orleans",IF(AND(YEAR(B1515)=2025,MONTH(B1515)=4,OR(ISNUMBER(SEARCH("EXCHANGE RATE",C1515)),ISNUMBER(SEARCH("EXCHG RTE",C1515)))),"Personal Travel - Italy",IFERROR(INDEX('Category Rules'!$B$2:$B$358,MATCH(TRUE,ISNUMBER(SEARCH('Category Rules'!$A$2:$A$358,C1515)),0)),""))))))))</f>
        <v>Transfer from Poseidon Asset Group</v>
      </c>
    </row>
    <row r="1516" spans="1:7" x14ac:dyDescent="0.25">
      <c r="A1516" t="s">
        <v>44</v>
      </c>
      <c r="B1516" s="1">
        <v>45804</v>
      </c>
      <c r="C1516" t="s">
        <v>1663</v>
      </c>
      <c r="D1516">
        <v>2000</v>
      </c>
      <c r="E1516" t="s">
        <v>73</v>
      </c>
      <c r="F1516">
        <v>7962.94</v>
      </c>
      <c r="G1516" t="str" cm="1">
        <f t="array" ref="G1516">IF(AND(ISNUMBER(SEARCH("UBER",C1516)),ISNUMBER(SEARCH("EATS",C1516))),"Uber Eats",IF(LEFT(C1516,6)="CHECK ","Checks Paid",IF(OR(E1516="BILLPAY",ISNUMBER(SEARCH("FRANCHISE TAX",C1516)),ISNUMBER(SEARCH("NEXTLINK",C1516))),"Personal - House Bills",IF(AND(ISNUMBER(SEARCH("PAYMENT FROM",C1516)),ISNUMBER(SEARCH("JOE SAUNDERS",C1516))),"Zelle from Joe Saunders",IF(AND(ISNUMBER(SEARCH("PAYMENT TO",C1516)),ISNUMBER(SEARCH("JOE SAUNDERS",C1516))),"Zelle to Joe Saunders",IF(OR(ISNUMBER(SEARCH("NEW ORLEANS",C1516)),ISNUMBER(SEARCH("KENNER",C1516)),ISNUMBER(SEARCH("HENRY HOWARD",C1516)),ISNUMBER(SEARCH("MISS CLAUDIA",C1516))),"Personal Travel - New Orleans",IF(AND(YEAR(B1516)=2025,MONTH(B1516)=4,OR(ISNUMBER(SEARCH("EXCHANGE RATE",C1516)),ISNUMBER(SEARCH("EXCHG RTE",C1516)))),"Personal Travel - Italy",IFERROR(INDEX('Category Rules'!$B$2:$B$358,MATCH(TRUE,ISNUMBER(SEARCH('Category Rules'!$A$2:$A$358,C1516)),0)),""))))))))</f>
        <v>Transfer from DWG Capital Group</v>
      </c>
    </row>
    <row r="1517" spans="1:7" x14ac:dyDescent="0.25">
      <c r="A1517" t="s">
        <v>44</v>
      </c>
      <c r="B1517" s="1">
        <v>45804</v>
      </c>
      <c r="C1517" t="s">
        <v>1664</v>
      </c>
      <c r="D1517">
        <v>5000</v>
      </c>
      <c r="E1517" t="s">
        <v>73</v>
      </c>
      <c r="F1517">
        <v>5962.94</v>
      </c>
      <c r="G1517" t="str" cm="1">
        <f t="array" ref="G1517">IF(AND(ISNUMBER(SEARCH("UBER",C1517)),ISNUMBER(SEARCH("EATS",C1517))),"Uber Eats",IF(LEFT(C1517,6)="CHECK ","Checks Paid",IF(OR(E1517="BILLPAY",ISNUMBER(SEARCH("FRANCHISE TAX",C1517)),ISNUMBER(SEARCH("NEXTLINK",C1517))),"Personal - House Bills",IF(AND(ISNUMBER(SEARCH("PAYMENT FROM",C1517)),ISNUMBER(SEARCH("JOE SAUNDERS",C1517))),"Zelle from Joe Saunders",IF(AND(ISNUMBER(SEARCH("PAYMENT TO",C1517)),ISNUMBER(SEARCH("JOE SAUNDERS",C1517))),"Zelle to Joe Saunders",IF(OR(ISNUMBER(SEARCH("NEW ORLEANS",C1517)),ISNUMBER(SEARCH("KENNER",C1517)),ISNUMBER(SEARCH("HENRY HOWARD",C1517)),ISNUMBER(SEARCH("MISS CLAUDIA",C1517))),"Personal Travel - New Orleans",IF(AND(YEAR(B1517)=2025,MONTH(B1517)=4,OR(ISNUMBER(SEARCH("EXCHANGE RATE",C1517)),ISNUMBER(SEARCH("EXCHG RTE",C1517)))),"Personal Travel - Italy",IFERROR(INDEX('Category Rules'!$B$2:$B$358,MATCH(TRUE,ISNUMBER(SEARCH('Category Rules'!$A$2:$A$358,C1517)),0)),""))))))))</f>
        <v>Transfer from DWG Capital Group</v>
      </c>
    </row>
    <row r="1518" spans="1:7" x14ac:dyDescent="0.25">
      <c r="A1518" t="s">
        <v>6</v>
      </c>
      <c r="B1518" s="1">
        <v>45800</v>
      </c>
      <c r="C1518" t="s">
        <v>1665</v>
      </c>
      <c r="D1518">
        <v>-32</v>
      </c>
      <c r="E1518" t="s">
        <v>10</v>
      </c>
      <c r="F1518">
        <v>962.94</v>
      </c>
      <c r="G1518" t="str" cm="1">
        <f t="array" ref="G1518">IF(AND(ISNUMBER(SEARCH("UBER",C1518)),ISNUMBER(SEARCH("EATS",C1518))),"Uber Eats",IF(LEFT(C1518,6)="CHECK ","Checks Paid",IF(OR(E1518="BILLPAY",ISNUMBER(SEARCH("FRANCHISE TAX",C1518)),ISNUMBER(SEARCH("NEXTLINK",C1518))),"Personal - House Bills",IF(AND(ISNUMBER(SEARCH("PAYMENT FROM",C1518)),ISNUMBER(SEARCH("JOE SAUNDERS",C1518))),"Zelle from Joe Saunders",IF(AND(ISNUMBER(SEARCH("PAYMENT TO",C1518)),ISNUMBER(SEARCH("JOE SAUNDERS",C1518))),"Zelle to Joe Saunders",IF(OR(ISNUMBER(SEARCH("NEW ORLEANS",C1518)),ISNUMBER(SEARCH("KENNER",C1518)),ISNUMBER(SEARCH("HENRY HOWARD",C1518)),ISNUMBER(SEARCH("MISS CLAUDIA",C1518))),"Personal Travel - New Orleans",IF(AND(YEAR(B1518)=2025,MONTH(B1518)=4,OR(ISNUMBER(SEARCH("EXCHANGE RATE",C1518)),ISNUMBER(SEARCH("EXCHG RTE",C1518)))),"Personal Travel - Italy",IFERROR(INDEX('Category Rules'!$B$2:$B$358,MATCH(TRUE,ISNUMBER(SEARCH('Category Rules'!$A$2:$A$358,C1518)),0)),""))))))))</f>
        <v>Personal Travel - New Orleans</v>
      </c>
    </row>
    <row r="1519" spans="1:7" x14ac:dyDescent="0.25">
      <c r="A1519" t="s">
        <v>6</v>
      </c>
      <c r="B1519" s="1">
        <v>45800</v>
      </c>
      <c r="C1519" t="s">
        <v>1666</v>
      </c>
      <c r="D1519">
        <v>-10.99</v>
      </c>
      <c r="E1519" t="s">
        <v>10</v>
      </c>
      <c r="F1519">
        <v>994.94</v>
      </c>
      <c r="G1519" t="str" cm="1">
        <f t="array" ref="G1519">IF(AND(ISNUMBER(SEARCH("UBER",C1519)),ISNUMBER(SEARCH("EATS",C1519))),"Uber Eats",IF(LEFT(C1519,6)="CHECK ","Checks Paid",IF(OR(E1519="BILLPAY",ISNUMBER(SEARCH("FRANCHISE TAX",C1519)),ISNUMBER(SEARCH("NEXTLINK",C1519))),"Personal - House Bills",IF(AND(ISNUMBER(SEARCH("PAYMENT FROM",C1519)),ISNUMBER(SEARCH("JOE SAUNDERS",C1519))),"Zelle from Joe Saunders",IF(AND(ISNUMBER(SEARCH("PAYMENT TO",C1519)),ISNUMBER(SEARCH("JOE SAUNDERS",C1519))),"Zelle to Joe Saunders",IF(OR(ISNUMBER(SEARCH("NEW ORLEANS",C1519)),ISNUMBER(SEARCH("KENNER",C1519)),ISNUMBER(SEARCH("HENRY HOWARD",C1519)),ISNUMBER(SEARCH("MISS CLAUDIA",C1519))),"Personal Travel - New Orleans",IF(AND(YEAR(B1519)=2025,MONTH(B1519)=4,OR(ISNUMBER(SEARCH("EXCHANGE RATE",C1519)),ISNUMBER(SEARCH("EXCHG RTE",C1519)))),"Personal Travel - Italy",IFERROR(INDEX('Category Rules'!$B$2:$B$358,MATCH(TRUE,ISNUMBER(SEARCH('Category Rules'!$A$2:$A$358,C1519)),0)),""))))))))</f>
        <v>Apple</v>
      </c>
    </row>
    <row r="1520" spans="1:7" x14ac:dyDescent="0.25">
      <c r="A1520" t="s">
        <v>6</v>
      </c>
      <c r="B1520" s="1">
        <v>45800</v>
      </c>
      <c r="C1520" t="s">
        <v>1667</v>
      </c>
      <c r="D1520">
        <v>-156.33000000000001</v>
      </c>
      <c r="E1520" t="s">
        <v>10</v>
      </c>
      <c r="F1520">
        <v>1005.93</v>
      </c>
      <c r="G1520" t="str" cm="1">
        <f t="array" ref="G1520">IF(AND(ISNUMBER(SEARCH("UBER",C1520)),ISNUMBER(SEARCH("EATS",C1520))),"Uber Eats",IF(LEFT(C1520,6)="CHECK ","Checks Paid",IF(OR(E1520="BILLPAY",ISNUMBER(SEARCH("FRANCHISE TAX",C1520)),ISNUMBER(SEARCH("NEXTLINK",C1520))),"Personal - House Bills",IF(AND(ISNUMBER(SEARCH("PAYMENT FROM",C1520)),ISNUMBER(SEARCH("JOE SAUNDERS",C1520))),"Zelle from Joe Saunders",IF(AND(ISNUMBER(SEARCH("PAYMENT TO",C1520)),ISNUMBER(SEARCH("JOE SAUNDERS",C1520))),"Zelle to Joe Saunders",IF(OR(ISNUMBER(SEARCH("NEW ORLEANS",C1520)),ISNUMBER(SEARCH("KENNER",C1520)),ISNUMBER(SEARCH("HENRY HOWARD",C1520)),ISNUMBER(SEARCH("MISS CLAUDIA",C1520))),"Personal Travel - New Orleans",IF(AND(YEAR(B1520)=2025,MONTH(B1520)=4,OR(ISNUMBER(SEARCH("EXCHANGE RATE",C1520)),ISNUMBER(SEARCH("EXCHG RTE",C1520)))),"Personal Travel - Italy",IFERROR(INDEX('Category Rules'!$B$2:$B$358,MATCH(TRUE,ISNUMBER(SEARCH('Category Rules'!$A$2:$A$358,C1520)),0)),""))))))))</f>
        <v>Personal Travel - New Orleans</v>
      </c>
    </row>
    <row r="1521" spans="1:7" x14ac:dyDescent="0.25">
      <c r="A1521" t="s">
        <v>6</v>
      </c>
      <c r="B1521" s="1">
        <v>45800</v>
      </c>
      <c r="C1521" t="s">
        <v>1668</v>
      </c>
      <c r="D1521">
        <v>-59.26</v>
      </c>
      <c r="E1521" t="s">
        <v>10</v>
      </c>
      <c r="F1521">
        <v>1162.26</v>
      </c>
      <c r="G1521" t="str" cm="1">
        <f t="array" ref="G1521">IF(AND(ISNUMBER(SEARCH("UBER",C1521)),ISNUMBER(SEARCH("EATS",C1521))),"Uber Eats",IF(LEFT(C1521,6)="CHECK ","Checks Paid",IF(OR(E1521="BILLPAY",ISNUMBER(SEARCH("FRANCHISE TAX",C1521)),ISNUMBER(SEARCH("NEXTLINK",C1521))),"Personal - House Bills",IF(AND(ISNUMBER(SEARCH("PAYMENT FROM",C1521)),ISNUMBER(SEARCH("JOE SAUNDERS",C1521))),"Zelle from Joe Saunders",IF(AND(ISNUMBER(SEARCH("PAYMENT TO",C1521)),ISNUMBER(SEARCH("JOE SAUNDERS",C1521))),"Zelle to Joe Saunders",IF(OR(ISNUMBER(SEARCH("NEW ORLEANS",C1521)),ISNUMBER(SEARCH("KENNER",C1521)),ISNUMBER(SEARCH("HENRY HOWARD",C1521)),ISNUMBER(SEARCH("MISS CLAUDIA",C1521))),"Personal Travel - New Orleans",IF(AND(YEAR(B1521)=2025,MONTH(B1521)=4,OR(ISNUMBER(SEARCH("EXCHANGE RATE",C1521)),ISNUMBER(SEARCH("EXCHG RTE",C1521)))),"Personal Travel - Italy",IFERROR(INDEX('Category Rules'!$B$2:$B$358,MATCH(TRUE,ISNUMBER(SEARCH('Category Rules'!$A$2:$A$358,C1521)),0)),""))))))))</f>
        <v>Personal Travel - New Orleans</v>
      </c>
    </row>
    <row r="1522" spans="1:7" x14ac:dyDescent="0.25">
      <c r="A1522" t="s">
        <v>6</v>
      </c>
      <c r="B1522" s="1">
        <v>45799</v>
      </c>
      <c r="C1522" t="s">
        <v>1669</v>
      </c>
      <c r="D1522">
        <v>-30.41</v>
      </c>
      <c r="E1522" t="s">
        <v>10</v>
      </c>
      <c r="F1522">
        <v>1221.52</v>
      </c>
      <c r="G1522" t="str" cm="1">
        <f t="array" ref="G1522">IF(AND(ISNUMBER(SEARCH("UBER",C1522)),ISNUMBER(SEARCH("EATS",C1522))),"Uber Eats",IF(LEFT(C1522,6)="CHECK ","Checks Paid",IF(OR(E1522="BILLPAY",ISNUMBER(SEARCH("FRANCHISE TAX",C1522)),ISNUMBER(SEARCH("NEXTLINK",C1522))),"Personal - House Bills",IF(AND(ISNUMBER(SEARCH("PAYMENT FROM",C1522)),ISNUMBER(SEARCH("JOE SAUNDERS",C1522))),"Zelle from Joe Saunders",IF(AND(ISNUMBER(SEARCH("PAYMENT TO",C1522)),ISNUMBER(SEARCH("JOE SAUNDERS",C1522))),"Zelle to Joe Saunders",IF(OR(ISNUMBER(SEARCH("NEW ORLEANS",C1522)),ISNUMBER(SEARCH("KENNER",C1522)),ISNUMBER(SEARCH("HENRY HOWARD",C1522)),ISNUMBER(SEARCH("MISS CLAUDIA",C1522))),"Personal Travel - New Orleans",IF(AND(YEAR(B1522)=2025,MONTH(B1522)=4,OR(ISNUMBER(SEARCH("EXCHANGE RATE",C1522)),ISNUMBER(SEARCH("EXCHG RTE",C1522)))),"Personal Travel - Italy",IFERROR(INDEX('Category Rules'!$B$2:$B$358,MATCH(TRUE,ISNUMBER(SEARCH('Category Rules'!$A$2:$A$358,C1522)),0)),""))))))))</f>
        <v>Personal Travel - New Orleans</v>
      </c>
    </row>
    <row r="1523" spans="1:7" x14ac:dyDescent="0.25">
      <c r="A1523" t="s">
        <v>6</v>
      </c>
      <c r="B1523" s="1">
        <v>45799</v>
      </c>
      <c r="C1523" t="s">
        <v>1670</v>
      </c>
      <c r="D1523">
        <v>-65.010000000000005</v>
      </c>
      <c r="E1523" t="s">
        <v>10</v>
      </c>
      <c r="F1523">
        <v>1251.93</v>
      </c>
      <c r="G1523" t="str" cm="1">
        <f t="array" ref="G1523">IF(AND(ISNUMBER(SEARCH("UBER",C1523)),ISNUMBER(SEARCH("EATS",C1523))),"Uber Eats",IF(LEFT(C1523,6)="CHECK ","Checks Paid",IF(OR(E1523="BILLPAY",ISNUMBER(SEARCH("FRANCHISE TAX",C1523)),ISNUMBER(SEARCH("NEXTLINK",C1523))),"Personal - House Bills",IF(AND(ISNUMBER(SEARCH("PAYMENT FROM",C1523)),ISNUMBER(SEARCH("JOE SAUNDERS",C1523))),"Zelle from Joe Saunders",IF(AND(ISNUMBER(SEARCH("PAYMENT TO",C1523)),ISNUMBER(SEARCH("JOE SAUNDERS",C1523))),"Zelle to Joe Saunders",IF(OR(ISNUMBER(SEARCH("NEW ORLEANS",C1523)),ISNUMBER(SEARCH("KENNER",C1523)),ISNUMBER(SEARCH("HENRY HOWARD",C1523)),ISNUMBER(SEARCH("MISS CLAUDIA",C1523))),"Personal Travel - New Orleans",IF(AND(YEAR(B1523)=2025,MONTH(B1523)=4,OR(ISNUMBER(SEARCH("EXCHANGE RATE",C1523)),ISNUMBER(SEARCH("EXCHG RTE",C1523)))),"Personal Travel - Italy",IFERROR(INDEX('Category Rules'!$B$2:$B$358,MATCH(TRUE,ISNUMBER(SEARCH('Category Rules'!$A$2:$A$358,C1523)),0)),""))))))))</f>
        <v>Uber Eats</v>
      </c>
    </row>
    <row r="1524" spans="1:7" x14ac:dyDescent="0.25">
      <c r="A1524" t="s">
        <v>6</v>
      </c>
      <c r="B1524" s="1">
        <v>45798</v>
      </c>
      <c r="C1524" t="s">
        <v>1671</v>
      </c>
      <c r="D1524">
        <v>-95.26</v>
      </c>
      <c r="E1524" t="s">
        <v>10</v>
      </c>
      <c r="F1524">
        <v>1316.94</v>
      </c>
      <c r="G1524" t="str" cm="1">
        <f t="array" ref="G1524">IF(AND(ISNUMBER(SEARCH("UBER",C1524)),ISNUMBER(SEARCH("EATS",C1524))),"Uber Eats",IF(LEFT(C1524,6)="CHECK ","Checks Paid",IF(OR(E1524="BILLPAY",ISNUMBER(SEARCH("FRANCHISE TAX",C1524)),ISNUMBER(SEARCH("NEXTLINK",C1524))),"Personal - House Bills",IF(AND(ISNUMBER(SEARCH("PAYMENT FROM",C1524)),ISNUMBER(SEARCH("JOE SAUNDERS",C1524))),"Zelle from Joe Saunders",IF(AND(ISNUMBER(SEARCH("PAYMENT TO",C1524)),ISNUMBER(SEARCH("JOE SAUNDERS",C1524))),"Zelle to Joe Saunders",IF(OR(ISNUMBER(SEARCH("NEW ORLEANS",C1524)),ISNUMBER(SEARCH("KENNER",C1524)),ISNUMBER(SEARCH("HENRY HOWARD",C1524)),ISNUMBER(SEARCH("MISS CLAUDIA",C1524))),"Personal Travel - New Orleans",IF(AND(YEAR(B1524)=2025,MONTH(B1524)=4,OR(ISNUMBER(SEARCH("EXCHANGE RATE",C1524)),ISNUMBER(SEARCH("EXCHG RTE",C1524)))),"Personal Travel - Italy",IFERROR(INDEX('Category Rules'!$B$2:$B$358,MATCH(TRUE,ISNUMBER(SEARCH('Category Rules'!$A$2:$A$358,C1524)),0)),""))))))))</f>
        <v>Personal - Shopping</v>
      </c>
    </row>
    <row r="1525" spans="1:7" x14ac:dyDescent="0.25">
      <c r="A1525" t="s">
        <v>6</v>
      </c>
      <c r="B1525" s="1">
        <v>45798</v>
      </c>
      <c r="C1525" t="s">
        <v>1672</v>
      </c>
      <c r="D1525">
        <v>-500</v>
      </c>
      <c r="E1525" t="s">
        <v>93</v>
      </c>
      <c r="F1525">
        <v>1412.2</v>
      </c>
      <c r="G1525" t="str" cm="1">
        <f t="array" ref="G1525">IF(AND(ISNUMBER(SEARCH("UBER",C1525)),ISNUMBER(SEARCH("EATS",C1525))),"Uber Eats",IF(LEFT(C1525,6)="CHECK ","Checks Paid",IF(OR(E1525="BILLPAY",ISNUMBER(SEARCH("FRANCHISE TAX",C1525)),ISNUMBER(SEARCH("NEXTLINK",C1525))),"Personal - House Bills",IF(AND(ISNUMBER(SEARCH("PAYMENT FROM",C1525)),ISNUMBER(SEARCH("JOE SAUNDERS",C1525))),"Zelle from Joe Saunders",IF(AND(ISNUMBER(SEARCH("PAYMENT TO",C1525)),ISNUMBER(SEARCH("JOE SAUNDERS",C1525))),"Zelle to Joe Saunders",IF(OR(ISNUMBER(SEARCH("NEW ORLEANS",C1525)),ISNUMBER(SEARCH("KENNER",C1525)),ISNUMBER(SEARCH("HENRY HOWARD",C1525)),ISNUMBER(SEARCH("MISS CLAUDIA",C1525))),"Personal Travel - New Orleans",IF(AND(YEAR(B1525)=2025,MONTH(B1525)=4,OR(ISNUMBER(SEARCH("EXCHANGE RATE",C1525)),ISNUMBER(SEARCH("EXCHG RTE",C1525)))),"Personal Travel - Italy",IFERROR(INDEX('Category Rules'!$B$2:$B$358,MATCH(TRUE,ISNUMBER(SEARCH('Category Rules'!$A$2:$A$358,C1525)),0)),""))))))))</f>
        <v>Withdrawal</v>
      </c>
    </row>
    <row r="1526" spans="1:7" x14ac:dyDescent="0.25">
      <c r="A1526" t="s">
        <v>6</v>
      </c>
      <c r="B1526" s="1">
        <v>45798</v>
      </c>
      <c r="C1526" t="s">
        <v>1672</v>
      </c>
      <c r="D1526">
        <v>-500</v>
      </c>
      <c r="E1526" t="s">
        <v>93</v>
      </c>
      <c r="F1526">
        <v>1912.2</v>
      </c>
      <c r="G1526" t="str" cm="1">
        <f t="array" ref="G1526">IF(AND(ISNUMBER(SEARCH("UBER",C1526)),ISNUMBER(SEARCH("EATS",C1526))),"Uber Eats",IF(LEFT(C1526,6)="CHECK ","Checks Paid",IF(OR(E1526="BILLPAY",ISNUMBER(SEARCH("FRANCHISE TAX",C1526)),ISNUMBER(SEARCH("NEXTLINK",C1526))),"Personal - House Bills",IF(AND(ISNUMBER(SEARCH("PAYMENT FROM",C1526)),ISNUMBER(SEARCH("JOE SAUNDERS",C1526))),"Zelle from Joe Saunders",IF(AND(ISNUMBER(SEARCH("PAYMENT TO",C1526)),ISNUMBER(SEARCH("JOE SAUNDERS",C1526))),"Zelle to Joe Saunders",IF(OR(ISNUMBER(SEARCH("NEW ORLEANS",C1526)),ISNUMBER(SEARCH("KENNER",C1526)),ISNUMBER(SEARCH("HENRY HOWARD",C1526)),ISNUMBER(SEARCH("MISS CLAUDIA",C1526))),"Personal Travel - New Orleans",IF(AND(YEAR(B1526)=2025,MONTH(B1526)=4,OR(ISNUMBER(SEARCH("EXCHANGE RATE",C1526)),ISNUMBER(SEARCH("EXCHG RTE",C1526)))),"Personal Travel - Italy",IFERROR(INDEX('Category Rules'!$B$2:$B$358,MATCH(TRUE,ISNUMBER(SEARCH('Category Rules'!$A$2:$A$358,C1526)),0)),""))))))))</f>
        <v>Withdrawal</v>
      </c>
    </row>
    <row r="1527" spans="1:7" x14ac:dyDescent="0.25">
      <c r="A1527" t="s">
        <v>6</v>
      </c>
      <c r="B1527" s="1">
        <v>45798</v>
      </c>
      <c r="C1527" t="s">
        <v>1673</v>
      </c>
      <c r="D1527">
        <v>-149.96</v>
      </c>
      <c r="E1527" t="s">
        <v>10</v>
      </c>
      <c r="F1527">
        <v>2412.1999999999998</v>
      </c>
      <c r="G1527" t="str" cm="1">
        <f t="array" ref="G1527">IF(AND(ISNUMBER(SEARCH("UBER",C1527)),ISNUMBER(SEARCH("EATS",C1527))),"Uber Eats",IF(LEFT(C1527,6)="CHECK ","Checks Paid",IF(OR(E1527="BILLPAY",ISNUMBER(SEARCH("FRANCHISE TAX",C1527)),ISNUMBER(SEARCH("NEXTLINK",C1527))),"Personal - House Bills",IF(AND(ISNUMBER(SEARCH("PAYMENT FROM",C1527)),ISNUMBER(SEARCH("JOE SAUNDERS",C1527))),"Zelle from Joe Saunders",IF(AND(ISNUMBER(SEARCH("PAYMENT TO",C1527)),ISNUMBER(SEARCH("JOE SAUNDERS",C1527))),"Zelle to Joe Saunders",IF(OR(ISNUMBER(SEARCH("NEW ORLEANS",C1527)),ISNUMBER(SEARCH("KENNER",C1527)),ISNUMBER(SEARCH("HENRY HOWARD",C1527)),ISNUMBER(SEARCH("MISS CLAUDIA",C1527))),"Personal Travel - New Orleans",IF(AND(YEAR(B1527)=2025,MONTH(B1527)=4,OR(ISNUMBER(SEARCH("EXCHANGE RATE",C1527)),ISNUMBER(SEARCH("EXCHG RTE",C1527)))),"Personal Travel - Italy",IFERROR(INDEX('Category Rules'!$B$2:$B$358,MATCH(TRUE,ISNUMBER(SEARCH('Category Rules'!$A$2:$A$358,C1527)),0)),""))))))))</f>
        <v>Personal - House Bills</v>
      </c>
    </row>
    <row r="1528" spans="1:7" x14ac:dyDescent="0.25">
      <c r="A1528" t="s">
        <v>6</v>
      </c>
      <c r="B1528" s="1">
        <v>45798</v>
      </c>
      <c r="C1528" t="s">
        <v>1674</v>
      </c>
      <c r="D1528">
        <v>-10.66</v>
      </c>
      <c r="E1528" t="s">
        <v>10</v>
      </c>
      <c r="F1528">
        <v>2562.16</v>
      </c>
      <c r="G1528" t="str" cm="1">
        <f t="array" ref="G1528">IF(AND(ISNUMBER(SEARCH("UBER",C1528)),ISNUMBER(SEARCH("EATS",C1528))),"Uber Eats",IF(LEFT(C1528,6)="CHECK ","Checks Paid",IF(OR(E1528="BILLPAY",ISNUMBER(SEARCH("FRANCHISE TAX",C1528)),ISNUMBER(SEARCH("NEXTLINK",C1528))),"Personal - House Bills",IF(AND(ISNUMBER(SEARCH("PAYMENT FROM",C1528)),ISNUMBER(SEARCH("JOE SAUNDERS",C1528))),"Zelle from Joe Saunders",IF(AND(ISNUMBER(SEARCH("PAYMENT TO",C1528)),ISNUMBER(SEARCH("JOE SAUNDERS",C1528))),"Zelle to Joe Saunders",IF(OR(ISNUMBER(SEARCH("NEW ORLEANS",C1528)),ISNUMBER(SEARCH("KENNER",C1528)),ISNUMBER(SEARCH("HENRY HOWARD",C1528)),ISNUMBER(SEARCH("MISS CLAUDIA",C1528))),"Personal Travel - New Orleans",IF(AND(YEAR(B1528)=2025,MONTH(B1528)=4,OR(ISNUMBER(SEARCH("EXCHANGE RATE",C1528)),ISNUMBER(SEARCH("EXCHG RTE",C1528)))),"Personal Travel - Italy",IFERROR(INDEX('Category Rules'!$B$2:$B$358,MATCH(TRUE,ISNUMBER(SEARCH('Category Rules'!$A$2:$A$358,C1528)),0)),""))))))))</f>
        <v>Amazon</v>
      </c>
    </row>
    <row r="1529" spans="1:7" x14ac:dyDescent="0.25">
      <c r="A1529" t="s">
        <v>6</v>
      </c>
      <c r="B1529" s="1">
        <v>45798</v>
      </c>
      <c r="C1529" t="s">
        <v>1675</v>
      </c>
      <c r="D1529">
        <v>-22.94</v>
      </c>
      <c r="E1529" t="s">
        <v>10</v>
      </c>
      <c r="F1529">
        <v>2572.8200000000002</v>
      </c>
      <c r="G1529" t="str" cm="1">
        <f t="array" ref="G1529">IF(AND(ISNUMBER(SEARCH("UBER",C1529)),ISNUMBER(SEARCH("EATS",C1529))),"Uber Eats",IF(LEFT(C1529,6)="CHECK ","Checks Paid",IF(OR(E1529="BILLPAY",ISNUMBER(SEARCH("FRANCHISE TAX",C1529)),ISNUMBER(SEARCH("NEXTLINK",C1529))),"Personal - House Bills",IF(AND(ISNUMBER(SEARCH("PAYMENT FROM",C1529)),ISNUMBER(SEARCH("JOE SAUNDERS",C1529))),"Zelle from Joe Saunders",IF(AND(ISNUMBER(SEARCH("PAYMENT TO",C1529)),ISNUMBER(SEARCH("JOE SAUNDERS",C1529))),"Zelle to Joe Saunders",IF(OR(ISNUMBER(SEARCH("NEW ORLEANS",C1529)),ISNUMBER(SEARCH("KENNER",C1529)),ISNUMBER(SEARCH("HENRY HOWARD",C1529)),ISNUMBER(SEARCH("MISS CLAUDIA",C1529))),"Personal Travel - New Orleans",IF(AND(YEAR(B1529)=2025,MONTH(B1529)=4,OR(ISNUMBER(SEARCH("EXCHANGE RATE",C1529)),ISNUMBER(SEARCH("EXCHG RTE",C1529)))),"Personal Travel - Italy",IFERROR(INDEX('Category Rules'!$B$2:$B$358,MATCH(TRUE,ISNUMBER(SEARCH('Category Rules'!$A$2:$A$358,C1529)),0)),""))))))))</f>
        <v>Amazon</v>
      </c>
    </row>
    <row r="1530" spans="1:7" x14ac:dyDescent="0.25">
      <c r="A1530" t="s">
        <v>6</v>
      </c>
      <c r="B1530" s="1">
        <v>45798</v>
      </c>
      <c r="C1530" t="s">
        <v>1676</v>
      </c>
      <c r="D1530">
        <v>-236.48</v>
      </c>
      <c r="E1530" t="s">
        <v>10</v>
      </c>
      <c r="F1530">
        <v>2595.7600000000002</v>
      </c>
      <c r="G1530" t="str" cm="1">
        <f t="array" ref="G1530">IF(AND(ISNUMBER(SEARCH("UBER",C1530)),ISNUMBER(SEARCH("EATS",C1530))),"Uber Eats",IF(LEFT(C1530,6)="CHECK ","Checks Paid",IF(OR(E1530="BILLPAY",ISNUMBER(SEARCH("FRANCHISE TAX",C1530)),ISNUMBER(SEARCH("NEXTLINK",C1530))),"Personal - House Bills",IF(AND(ISNUMBER(SEARCH("PAYMENT FROM",C1530)),ISNUMBER(SEARCH("JOE SAUNDERS",C1530))),"Zelle from Joe Saunders",IF(AND(ISNUMBER(SEARCH("PAYMENT TO",C1530)),ISNUMBER(SEARCH("JOE SAUNDERS",C1530))),"Zelle to Joe Saunders",IF(OR(ISNUMBER(SEARCH("NEW ORLEANS",C1530)),ISNUMBER(SEARCH("KENNER",C1530)),ISNUMBER(SEARCH("HENRY HOWARD",C1530)),ISNUMBER(SEARCH("MISS CLAUDIA",C1530))),"Personal Travel - New Orleans",IF(AND(YEAR(B1530)=2025,MONTH(B1530)=4,OR(ISNUMBER(SEARCH("EXCHANGE RATE",C1530)),ISNUMBER(SEARCH("EXCHG RTE",C1530)))),"Personal Travel - Italy",IFERROR(INDEX('Category Rules'!$B$2:$B$358,MATCH(TRUE,ISNUMBER(SEARCH('Category Rules'!$A$2:$A$358,C1530)),0)),""))))))))</f>
        <v>Personal Travel</v>
      </c>
    </row>
    <row r="1531" spans="1:7" x14ac:dyDescent="0.25">
      <c r="A1531" t="s">
        <v>6</v>
      </c>
      <c r="B1531" s="1">
        <v>45797</v>
      </c>
      <c r="C1531" t="s">
        <v>1677</v>
      </c>
      <c r="D1531">
        <v>-63.75</v>
      </c>
      <c r="E1531" t="s">
        <v>10</v>
      </c>
      <c r="F1531">
        <v>2832.24</v>
      </c>
      <c r="G1531" t="str" cm="1">
        <f t="array" ref="G1531">IF(AND(ISNUMBER(SEARCH("UBER",C1531)),ISNUMBER(SEARCH("EATS",C1531))),"Uber Eats",IF(LEFT(C1531,6)="CHECK ","Checks Paid",IF(OR(E1531="BILLPAY",ISNUMBER(SEARCH("FRANCHISE TAX",C1531)),ISNUMBER(SEARCH("NEXTLINK",C1531))),"Personal - House Bills",IF(AND(ISNUMBER(SEARCH("PAYMENT FROM",C1531)),ISNUMBER(SEARCH("JOE SAUNDERS",C1531))),"Zelle from Joe Saunders",IF(AND(ISNUMBER(SEARCH("PAYMENT TO",C1531)),ISNUMBER(SEARCH("JOE SAUNDERS",C1531))),"Zelle to Joe Saunders",IF(OR(ISNUMBER(SEARCH("NEW ORLEANS",C1531)),ISNUMBER(SEARCH("KENNER",C1531)),ISNUMBER(SEARCH("HENRY HOWARD",C1531)),ISNUMBER(SEARCH("MISS CLAUDIA",C1531))),"Personal Travel - New Orleans",IF(AND(YEAR(B1531)=2025,MONTH(B1531)=4,OR(ISNUMBER(SEARCH("EXCHANGE RATE",C1531)),ISNUMBER(SEARCH("EXCHG RTE",C1531)))),"Personal Travel - Italy",IFERROR(INDEX('Category Rules'!$B$2:$B$358,MATCH(TRUE,ISNUMBER(SEARCH('Category Rules'!$A$2:$A$358,C1531)),0)),""))))))))</f>
        <v>Personal - Health</v>
      </c>
    </row>
    <row r="1532" spans="1:7" x14ac:dyDescent="0.25">
      <c r="A1532" t="s">
        <v>6</v>
      </c>
      <c r="B1532" s="1">
        <v>45797</v>
      </c>
      <c r="C1532" t="s">
        <v>1678</v>
      </c>
      <c r="D1532">
        <v>-18.12</v>
      </c>
      <c r="E1532" t="s">
        <v>10</v>
      </c>
      <c r="F1532">
        <v>2895.99</v>
      </c>
      <c r="G1532" t="str" cm="1">
        <f t="array" ref="G1532">IF(AND(ISNUMBER(SEARCH("UBER",C1532)),ISNUMBER(SEARCH("EATS",C1532))),"Uber Eats",IF(LEFT(C1532,6)="CHECK ","Checks Paid",IF(OR(E1532="BILLPAY",ISNUMBER(SEARCH("FRANCHISE TAX",C1532)),ISNUMBER(SEARCH("NEXTLINK",C1532))),"Personal - House Bills",IF(AND(ISNUMBER(SEARCH("PAYMENT FROM",C1532)),ISNUMBER(SEARCH("JOE SAUNDERS",C1532))),"Zelle from Joe Saunders",IF(AND(ISNUMBER(SEARCH("PAYMENT TO",C1532)),ISNUMBER(SEARCH("JOE SAUNDERS",C1532))),"Zelle to Joe Saunders",IF(OR(ISNUMBER(SEARCH("NEW ORLEANS",C1532)),ISNUMBER(SEARCH("KENNER",C1532)),ISNUMBER(SEARCH("HENRY HOWARD",C1532)),ISNUMBER(SEARCH("MISS CLAUDIA",C1532))),"Personal Travel - New Orleans",IF(AND(YEAR(B1532)=2025,MONTH(B1532)=4,OR(ISNUMBER(SEARCH("EXCHANGE RATE",C1532)),ISNUMBER(SEARCH("EXCHG RTE",C1532)))),"Personal Travel - Italy",IFERROR(INDEX('Category Rules'!$B$2:$B$358,MATCH(TRUE,ISNUMBER(SEARCH('Category Rules'!$A$2:$A$358,C1532)),0)),""))))))))</f>
        <v>Amazon</v>
      </c>
    </row>
    <row r="1533" spans="1:7" x14ac:dyDescent="0.25">
      <c r="A1533" t="s">
        <v>6</v>
      </c>
      <c r="B1533" s="1">
        <v>45797</v>
      </c>
      <c r="C1533" t="s">
        <v>1679</v>
      </c>
      <c r="D1533">
        <v>-23.46</v>
      </c>
      <c r="E1533" t="s">
        <v>10</v>
      </c>
      <c r="F1533">
        <v>2914.11</v>
      </c>
      <c r="G1533" t="str" cm="1">
        <f t="array" ref="G1533">IF(AND(ISNUMBER(SEARCH("UBER",C1533)),ISNUMBER(SEARCH("EATS",C1533))),"Uber Eats",IF(LEFT(C1533,6)="CHECK ","Checks Paid",IF(OR(E1533="BILLPAY",ISNUMBER(SEARCH("FRANCHISE TAX",C1533)),ISNUMBER(SEARCH("NEXTLINK",C1533))),"Personal - House Bills",IF(AND(ISNUMBER(SEARCH("PAYMENT FROM",C1533)),ISNUMBER(SEARCH("JOE SAUNDERS",C1533))),"Zelle from Joe Saunders",IF(AND(ISNUMBER(SEARCH("PAYMENT TO",C1533)),ISNUMBER(SEARCH("JOE SAUNDERS",C1533))),"Zelle to Joe Saunders",IF(OR(ISNUMBER(SEARCH("NEW ORLEANS",C1533)),ISNUMBER(SEARCH("KENNER",C1533)),ISNUMBER(SEARCH("HENRY HOWARD",C1533)),ISNUMBER(SEARCH("MISS CLAUDIA",C1533))),"Personal Travel - New Orleans",IF(AND(YEAR(B1533)=2025,MONTH(B1533)=4,OR(ISNUMBER(SEARCH("EXCHANGE RATE",C1533)),ISNUMBER(SEARCH("EXCHG RTE",C1533)))),"Personal Travel - Italy",IFERROR(INDEX('Category Rules'!$B$2:$B$358,MATCH(TRUE,ISNUMBER(SEARCH('Category Rules'!$A$2:$A$358,C1533)),0)),""))))))))</f>
        <v>Amazon</v>
      </c>
    </row>
    <row r="1534" spans="1:7" x14ac:dyDescent="0.25">
      <c r="A1534" t="s">
        <v>6</v>
      </c>
      <c r="B1534" s="1">
        <v>45797</v>
      </c>
      <c r="C1534" t="s">
        <v>1680</v>
      </c>
      <c r="D1534">
        <v>-20.27</v>
      </c>
      <c r="E1534" t="s">
        <v>10</v>
      </c>
      <c r="F1534">
        <v>2937.57</v>
      </c>
      <c r="G1534" t="str" cm="1">
        <f t="array" ref="G1534">IF(AND(ISNUMBER(SEARCH("UBER",C1534)),ISNUMBER(SEARCH("EATS",C1534))),"Uber Eats",IF(LEFT(C1534,6)="CHECK ","Checks Paid",IF(OR(E1534="BILLPAY",ISNUMBER(SEARCH("FRANCHISE TAX",C1534)),ISNUMBER(SEARCH("NEXTLINK",C1534))),"Personal - House Bills",IF(AND(ISNUMBER(SEARCH("PAYMENT FROM",C1534)),ISNUMBER(SEARCH("JOE SAUNDERS",C1534))),"Zelle from Joe Saunders",IF(AND(ISNUMBER(SEARCH("PAYMENT TO",C1534)),ISNUMBER(SEARCH("JOE SAUNDERS",C1534))),"Zelle to Joe Saunders",IF(OR(ISNUMBER(SEARCH("NEW ORLEANS",C1534)),ISNUMBER(SEARCH("KENNER",C1534)),ISNUMBER(SEARCH("HENRY HOWARD",C1534)),ISNUMBER(SEARCH("MISS CLAUDIA",C1534))),"Personal Travel - New Orleans",IF(AND(YEAR(B1534)=2025,MONTH(B1534)=4,OR(ISNUMBER(SEARCH("EXCHANGE RATE",C1534)),ISNUMBER(SEARCH("EXCHG RTE",C1534)))),"Personal Travel - Italy",IFERROR(INDEX('Category Rules'!$B$2:$B$358,MATCH(TRUE,ISNUMBER(SEARCH('Category Rules'!$A$2:$A$358,C1534)),0)),""))))))))</f>
        <v>Amazon</v>
      </c>
    </row>
    <row r="1535" spans="1:7" x14ac:dyDescent="0.25">
      <c r="A1535" t="s">
        <v>6</v>
      </c>
      <c r="B1535" s="1">
        <v>45797</v>
      </c>
      <c r="C1535" t="s">
        <v>1681</v>
      </c>
      <c r="D1535">
        <v>-40</v>
      </c>
      <c r="E1535" t="s">
        <v>10</v>
      </c>
      <c r="F1535">
        <v>2957.84</v>
      </c>
      <c r="G1535" t="str" cm="1">
        <f t="array" ref="G1535">IF(AND(ISNUMBER(SEARCH("UBER",C1535)),ISNUMBER(SEARCH("EATS",C1535))),"Uber Eats",IF(LEFT(C1535,6)="CHECK ","Checks Paid",IF(OR(E1535="BILLPAY",ISNUMBER(SEARCH("FRANCHISE TAX",C1535)),ISNUMBER(SEARCH("NEXTLINK",C1535))),"Personal - House Bills",IF(AND(ISNUMBER(SEARCH("PAYMENT FROM",C1535)),ISNUMBER(SEARCH("JOE SAUNDERS",C1535))),"Zelle from Joe Saunders",IF(AND(ISNUMBER(SEARCH("PAYMENT TO",C1535)),ISNUMBER(SEARCH("JOE SAUNDERS",C1535))),"Zelle to Joe Saunders",IF(OR(ISNUMBER(SEARCH("NEW ORLEANS",C1535)),ISNUMBER(SEARCH("KENNER",C1535)),ISNUMBER(SEARCH("HENRY HOWARD",C1535)),ISNUMBER(SEARCH("MISS CLAUDIA",C1535))),"Personal Travel - New Orleans",IF(AND(YEAR(B1535)=2025,MONTH(B1535)=4,OR(ISNUMBER(SEARCH("EXCHANGE RATE",C1535)),ISNUMBER(SEARCH("EXCHG RTE",C1535)))),"Personal Travel - Italy",IFERROR(INDEX('Category Rules'!$B$2:$B$358,MATCH(TRUE,ISNUMBER(SEARCH('Category Rules'!$A$2:$A$358,C1535)),0)),""))))))))</f>
        <v>Personal - Car</v>
      </c>
    </row>
    <row r="1536" spans="1:7" x14ac:dyDescent="0.25">
      <c r="A1536" t="s">
        <v>6</v>
      </c>
      <c r="B1536" s="1">
        <v>45797</v>
      </c>
      <c r="C1536" t="s">
        <v>1682</v>
      </c>
      <c r="D1536">
        <v>-30.62</v>
      </c>
      <c r="E1536" t="s">
        <v>10</v>
      </c>
      <c r="F1536">
        <v>2997.84</v>
      </c>
      <c r="G1536" t="str" cm="1">
        <f t="array" ref="G1536">IF(AND(ISNUMBER(SEARCH("UBER",C1536)),ISNUMBER(SEARCH("EATS",C1536))),"Uber Eats",IF(LEFT(C1536,6)="CHECK ","Checks Paid",IF(OR(E1536="BILLPAY",ISNUMBER(SEARCH("FRANCHISE TAX",C1536)),ISNUMBER(SEARCH("NEXTLINK",C1536))),"Personal - House Bills",IF(AND(ISNUMBER(SEARCH("PAYMENT FROM",C1536)),ISNUMBER(SEARCH("JOE SAUNDERS",C1536))),"Zelle from Joe Saunders",IF(AND(ISNUMBER(SEARCH("PAYMENT TO",C1536)),ISNUMBER(SEARCH("JOE SAUNDERS",C1536))),"Zelle to Joe Saunders",IF(OR(ISNUMBER(SEARCH("NEW ORLEANS",C1536)),ISNUMBER(SEARCH("KENNER",C1536)),ISNUMBER(SEARCH("HENRY HOWARD",C1536)),ISNUMBER(SEARCH("MISS CLAUDIA",C1536))),"Personal Travel - New Orleans",IF(AND(YEAR(B1536)=2025,MONTH(B1536)=4,OR(ISNUMBER(SEARCH("EXCHANGE RATE",C1536)),ISNUMBER(SEARCH("EXCHG RTE",C1536)))),"Personal Travel - Italy",IFERROR(INDEX('Category Rules'!$B$2:$B$358,MATCH(TRUE,ISNUMBER(SEARCH('Category Rules'!$A$2:$A$358,C1536)),0)),""))))))))</f>
        <v>Amazon</v>
      </c>
    </row>
    <row r="1537" spans="1:7" x14ac:dyDescent="0.25">
      <c r="A1537" t="s">
        <v>44</v>
      </c>
      <c r="B1537" s="1">
        <v>45797</v>
      </c>
      <c r="C1537" t="s">
        <v>1683</v>
      </c>
      <c r="D1537">
        <v>3000</v>
      </c>
      <c r="E1537" t="s">
        <v>73</v>
      </c>
      <c r="F1537">
        <v>3028.46</v>
      </c>
      <c r="G1537" t="str" cm="1">
        <f t="array" ref="G1537">IF(AND(ISNUMBER(SEARCH("UBER",C1537)),ISNUMBER(SEARCH("EATS",C1537))),"Uber Eats",IF(LEFT(C1537,6)="CHECK ","Checks Paid",IF(OR(E1537="BILLPAY",ISNUMBER(SEARCH("FRANCHISE TAX",C1537)),ISNUMBER(SEARCH("NEXTLINK",C1537))),"Personal - House Bills",IF(AND(ISNUMBER(SEARCH("PAYMENT FROM",C1537)),ISNUMBER(SEARCH("JOE SAUNDERS",C1537))),"Zelle from Joe Saunders",IF(AND(ISNUMBER(SEARCH("PAYMENT TO",C1537)),ISNUMBER(SEARCH("JOE SAUNDERS",C1537))),"Zelle to Joe Saunders",IF(OR(ISNUMBER(SEARCH("NEW ORLEANS",C1537)),ISNUMBER(SEARCH("KENNER",C1537)),ISNUMBER(SEARCH("HENRY HOWARD",C1537)),ISNUMBER(SEARCH("MISS CLAUDIA",C1537))),"Personal Travel - New Orleans",IF(AND(YEAR(B1537)=2025,MONTH(B1537)=4,OR(ISNUMBER(SEARCH("EXCHANGE RATE",C1537)),ISNUMBER(SEARCH("EXCHG RTE",C1537)))),"Personal Travel - Italy",IFERROR(INDEX('Category Rules'!$B$2:$B$358,MATCH(TRUE,ISNUMBER(SEARCH('Category Rules'!$A$2:$A$358,C1537)),0)),""))))))))</f>
        <v>Transfer from DWG Capital Group</v>
      </c>
    </row>
    <row r="1538" spans="1:7" x14ac:dyDescent="0.25">
      <c r="A1538" t="s">
        <v>6</v>
      </c>
      <c r="B1538" s="1">
        <v>45796</v>
      </c>
      <c r="C1538" t="s">
        <v>1684</v>
      </c>
      <c r="D1538">
        <v>-55.82</v>
      </c>
      <c r="E1538" t="s">
        <v>10</v>
      </c>
      <c r="F1538">
        <v>28.46</v>
      </c>
      <c r="G1538" t="str" cm="1">
        <f t="array" ref="G1538">IF(AND(ISNUMBER(SEARCH("UBER",C1538)),ISNUMBER(SEARCH("EATS",C1538))),"Uber Eats",IF(LEFT(C1538,6)="CHECK ","Checks Paid",IF(OR(E1538="BILLPAY",ISNUMBER(SEARCH("FRANCHISE TAX",C1538)),ISNUMBER(SEARCH("NEXTLINK",C1538))),"Personal - House Bills",IF(AND(ISNUMBER(SEARCH("PAYMENT FROM",C1538)),ISNUMBER(SEARCH("JOE SAUNDERS",C1538))),"Zelle from Joe Saunders",IF(AND(ISNUMBER(SEARCH("PAYMENT TO",C1538)),ISNUMBER(SEARCH("JOE SAUNDERS",C1538))),"Zelle to Joe Saunders",IF(OR(ISNUMBER(SEARCH("NEW ORLEANS",C1538)),ISNUMBER(SEARCH("KENNER",C1538)),ISNUMBER(SEARCH("HENRY HOWARD",C1538)),ISNUMBER(SEARCH("MISS CLAUDIA",C1538))),"Personal Travel - New Orleans",IF(AND(YEAR(B1538)=2025,MONTH(B1538)=4,OR(ISNUMBER(SEARCH("EXCHANGE RATE",C1538)),ISNUMBER(SEARCH("EXCHG RTE",C1538)))),"Personal Travel - Italy",IFERROR(INDEX('Category Rules'!$B$2:$B$358,MATCH(TRUE,ISNUMBER(SEARCH('Category Rules'!$A$2:$A$358,C1538)),0)),""))))))))</f>
        <v>Uber Eats</v>
      </c>
    </row>
    <row r="1539" spans="1:7" x14ac:dyDescent="0.25">
      <c r="A1539" t="s">
        <v>6</v>
      </c>
      <c r="B1539" s="1">
        <v>45796</v>
      </c>
      <c r="C1539" t="s">
        <v>1685</v>
      </c>
      <c r="D1539">
        <v>-223.05</v>
      </c>
      <c r="E1539" t="s">
        <v>10</v>
      </c>
      <c r="F1539">
        <v>84.28</v>
      </c>
      <c r="G1539" t="str" cm="1">
        <f t="array" ref="G1539">IF(AND(ISNUMBER(SEARCH("UBER",C1539)),ISNUMBER(SEARCH("EATS",C1539))),"Uber Eats",IF(LEFT(C1539,6)="CHECK ","Checks Paid",IF(OR(E1539="BILLPAY",ISNUMBER(SEARCH("FRANCHISE TAX",C1539)),ISNUMBER(SEARCH("NEXTLINK",C1539))),"Personal - House Bills",IF(AND(ISNUMBER(SEARCH("PAYMENT FROM",C1539)),ISNUMBER(SEARCH("JOE SAUNDERS",C1539))),"Zelle from Joe Saunders",IF(AND(ISNUMBER(SEARCH("PAYMENT TO",C1539)),ISNUMBER(SEARCH("JOE SAUNDERS",C1539))),"Zelle to Joe Saunders",IF(OR(ISNUMBER(SEARCH("NEW ORLEANS",C1539)),ISNUMBER(SEARCH("KENNER",C1539)),ISNUMBER(SEARCH("HENRY HOWARD",C1539)),ISNUMBER(SEARCH("MISS CLAUDIA",C1539))),"Personal Travel - New Orleans",IF(AND(YEAR(B1539)=2025,MONTH(B1539)=4,OR(ISNUMBER(SEARCH("EXCHANGE RATE",C1539)),ISNUMBER(SEARCH("EXCHG RTE",C1539)))),"Personal Travel - Italy",IFERROR(INDEX('Category Rules'!$B$2:$B$358,MATCH(TRUE,ISNUMBER(SEARCH('Category Rules'!$A$2:$A$358,C1539)),0)),""))))))))</f>
        <v>Personal - Shopping</v>
      </c>
    </row>
    <row r="1540" spans="1:7" x14ac:dyDescent="0.25">
      <c r="A1540" t="s">
        <v>6</v>
      </c>
      <c r="B1540" s="1">
        <v>45796</v>
      </c>
      <c r="C1540" t="s">
        <v>1686</v>
      </c>
      <c r="D1540">
        <v>-150.66</v>
      </c>
      <c r="E1540" t="s">
        <v>10</v>
      </c>
      <c r="F1540">
        <v>307.33</v>
      </c>
      <c r="G1540" t="str" cm="1">
        <f t="array" ref="G1540">IF(AND(ISNUMBER(SEARCH("UBER",C1540)),ISNUMBER(SEARCH("EATS",C1540))),"Uber Eats",IF(LEFT(C1540,6)="CHECK ","Checks Paid",IF(OR(E1540="BILLPAY",ISNUMBER(SEARCH("FRANCHISE TAX",C1540)),ISNUMBER(SEARCH("NEXTLINK",C1540))),"Personal - House Bills",IF(AND(ISNUMBER(SEARCH("PAYMENT FROM",C1540)),ISNUMBER(SEARCH("JOE SAUNDERS",C1540))),"Zelle from Joe Saunders",IF(AND(ISNUMBER(SEARCH("PAYMENT TO",C1540)),ISNUMBER(SEARCH("JOE SAUNDERS",C1540))),"Zelle to Joe Saunders",IF(OR(ISNUMBER(SEARCH("NEW ORLEANS",C1540)),ISNUMBER(SEARCH("KENNER",C1540)),ISNUMBER(SEARCH("HENRY HOWARD",C1540)),ISNUMBER(SEARCH("MISS CLAUDIA",C1540))),"Personal Travel - New Orleans",IF(AND(YEAR(B1540)=2025,MONTH(B1540)=4,OR(ISNUMBER(SEARCH("EXCHANGE RATE",C1540)),ISNUMBER(SEARCH("EXCHG RTE",C1540)))),"Personal Travel - Italy",IFERROR(INDEX('Category Rules'!$B$2:$B$358,MATCH(TRUE,ISNUMBER(SEARCH('Category Rules'!$A$2:$A$358,C1540)),0)),""))))))))</f>
        <v>Personal - Shopping</v>
      </c>
    </row>
    <row r="1541" spans="1:7" x14ac:dyDescent="0.25">
      <c r="A1541" t="s">
        <v>6</v>
      </c>
      <c r="B1541" s="1">
        <v>45796</v>
      </c>
      <c r="C1541" t="s">
        <v>1687</v>
      </c>
      <c r="D1541">
        <v>-57.33</v>
      </c>
      <c r="E1541" t="s">
        <v>10</v>
      </c>
      <c r="F1541">
        <v>457.99</v>
      </c>
      <c r="G1541" t="str" cm="1">
        <f t="array" ref="G1541">IF(AND(ISNUMBER(SEARCH("UBER",C1541)),ISNUMBER(SEARCH("EATS",C1541))),"Uber Eats",IF(LEFT(C1541,6)="CHECK ","Checks Paid",IF(OR(E1541="BILLPAY",ISNUMBER(SEARCH("FRANCHISE TAX",C1541)),ISNUMBER(SEARCH("NEXTLINK",C1541))),"Personal - House Bills",IF(AND(ISNUMBER(SEARCH("PAYMENT FROM",C1541)),ISNUMBER(SEARCH("JOE SAUNDERS",C1541))),"Zelle from Joe Saunders",IF(AND(ISNUMBER(SEARCH("PAYMENT TO",C1541)),ISNUMBER(SEARCH("JOE SAUNDERS",C1541))),"Zelle to Joe Saunders",IF(OR(ISNUMBER(SEARCH("NEW ORLEANS",C1541)),ISNUMBER(SEARCH("KENNER",C1541)),ISNUMBER(SEARCH("HENRY HOWARD",C1541)),ISNUMBER(SEARCH("MISS CLAUDIA",C1541))),"Personal Travel - New Orleans",IF(AND(YEAR(B1541)=2025,MONTH(B1541)=4,OR(ISNUMBER(SEARCH("EXCHANGE RATE",C1541)),ISNUMBER(SEARCH("EXCHG RTE",C1541)))),"Personal Travel - Italy",IFERROR(INDEX('Category Rules'!$B$2:$B$358,MATCH(TRUE,ISNUMBER(SEARCH('Category Rules'!$A$2:$A$358,C1541)),0)),""))))))))</f>
        <v>Personal - Entertainment</v>
      </c>
    </row>
    <row r="1542" spans="1:7" x14ac:dyDescent="0.25">
      <c r="A1542" t="s">
        <v>6</v>
      </c>
      <c r="B1542" s="1">
        <v>45796</v>
      </c>
      <c r="C1542" t="s">
        <v>1688</v>
      </c>
      <c r="D1542">
        <v>-25.6</v>
      </c>
      <c r="E1542" t="s">
        <v>10</v>
      </c>
      <c r="F1542">
        <v>515.32000000000005</v>
      </c>
      <c r="G1542" t="str" cm="1">
        <f t="array" ref="G1542">IF(AND(ISNUMBER(SEARCH("UBER",C1542)),ISNUMBER(SEARCH("EATS",C1542))),"Uber Eats",IF(LEFT(C1542,6)="CHECK ","Checks Paid",IF(OR(E1542="BILLPAY",ISNUMBER(SEARCH("FRANCHISE TAX",C1542)),ISNUMBER(SEARCH("NEXTLINK",C1542))),"Personal - House Bills",IF(AND(ISNUMBER(SEARCH("PAYMENT FROM",C1542)),ISNUMBER(SEARCH("JOE SAUNDERS",C1542))),"Zelle from Joe Saunders",IF(AND(ISNUMBER(SEARCH("PAYMENT TO",C1542)),ISNUMBER(SEARCH("JOE SAUNDERS",C1542))),"Zelle to Joe Saunders",IF(OR(ISNUMBER(SEARCH("NEW ORLEANS",C1542)),ISNUMBER(SEARCH("KENNER",C1542)),ISNUMBER(SEARCH("HENRY HOWARD",C1542)),ISNUMBER(SEARCH("MISS CLAUDIA",C1542))),"Personal Travel - New Orleans",IF(AND(YEAR(B1542)=2025,MONTH(B1542)=4,OR(ISNUMBER(SEARCH("EXCHANGE RATE",C1542)),ISNUMBER(SEARCH("EXCHG RTE",C1542)))),"Personal Travel - Italy",IFERROR(INDEX('Category Rules'!$B$2:$B$358,MATCH(TRUE,ISNUMBER(SEARCH('Category Rules'!$A$2:$A$358,C1542)),0)),""))))))))</f>
        <v>Amazon</v>
      </c>
    </row>
    <row r="1543" spans="1:7" x14ac:dyDescent="0.25">
      <c r="A1543" t="s">
        <v>6</v>
      </c>
      <c r="B1543" s="1">
        <v>45796</v>
      </c>
      <c r="C1543" t="s">
        <v>1689</v>
      </c>
      <c r="D1543">
        <v>-2.8</v>
      </c>
      <c r="E1543" t="s">
        <v>10</v>
      </c>
      <c r="F1543">
        <v>540.91999999999996</v>
      </c>
      <c r="G1543" t="str" cm="1">
        <f t="array" ref="G1543">IF(AND(ISNUMBER(SEARCH("UBER",C1543)),ISNUMBER(SEARCH("EATS",C1543))),"Uber Eats",IF(LEFT(C1543,6)="CHECK ","Checks Paid",IF(OR(E1543="BILLPAY",ISNUMBER(SEARCH("FRANCHISE TAX",C1543)),ISNUMBER(SEARCH("NEXTLINK",C1543))),"Personal - House Bills",IF(AND(ISNUMBER(SEARCH("PAYMENT FROM",C1543)),ISNUMBER(SEARCH("JOE SAUNDERS",C1543))),"Zelle from Joe Saunders",IF(AND(ISNUMBER(SEARCH("PAYMENT TO",C1543)),ISNUMBER(SEARCH("JOE SAUNDERS",C1543))),"Zelle to Joe Saunders",IF(OR(ISNUMBER(SEARCH("NEW ORLEANS",C1543)),ISNUMBER(SEARCH("KENNER",C1543)),ISNUMBER(SEARCH("HENRY HOWARD",C1543)),ISNUMBER(SEARCH("MISS CLAUDIA",C1543))),"Personal Travel - New Orleans",IF(AND(YEAR(B1543)=2025,MONTH(B1543)=4,OR(ISNUMBER(SEARCH("EXCHANGE RATE",C1543)),ISNUMBER(SEARCH("EXCHG RTE",C1543)))),"Personal Travel - Italy",IFERROR(INDEX('Category Rules'!$B$2:$B$358,MATCH(TRUE,ISNUMBER(SEARCH('Category Rules'!$A$2:$A$358,C1543)),0)),""))))))))</f>
        <v>Personal - Shopping</v>
      </c>
    </row>
    <row r="1544" spans="1:7" x14ac:dyDescent="0.25">
      <c r="A1544" t="s">
        <v>6</v>
      </c>
      <c r="B1544" s="1">
        <v>45796</v>
      </c>
      <c r="C1544" t="s">
        <v>1690</v>
      </c>
      <c r="D1544">
        <v>-40.14</v>
      </c>
      <c r="E1544" t="s">
        <v>10</v>
      </c>
      <c r="F1544">
        <v>543.72</v>
      </c>
      <c r="G1544" t="str" cm="1">
        <f t="array" ref="G1544">IF(AND(ISNUMBER(SEARCH("UBER",C1544)),ISNUMBER(SEARCH("EATS",C1544))),"Uber Eats",IF(LEFT(C1544,6)="CHECK ","Checks Paid",IF(OR(E1544="BILLPAY",ISNUMBER(SEARCH("FRANCHISE TAX",C1544)),ISNUMBER(SEARCH("NEXTLINK",C1544))),"Personal - House Bills",IF(AND(ISNUMBER(SEARCH("PAYMENT FROM",C1544)),ISNUMBER(SEARCH("JOE SAUNDERS",C1544))),"Zelle from Joe Saunders",IF(AND(ISNUMBER(SEARCH("PAYMENT TO",C1544)),ISNUMBER(SEARCH("JOE SAUNDERS",C1544))),"Zelle to Joe Saunders",IF(OR(ISNUMBER(SEARCH("NEW ORLEANS",C1544)),ISNUMBER(SEARCH("KENNER",C1544)),ISNUMBER(SEARCH("HENRY HOWARD",C1544)),ISNUMBER(SEARCH("MISS CLAUDIA",C1544))),"Personal Travel - New Orleans",IF(AND(YEAR(B1544)=2025,MONTH(B1544)=4,OR(ISNUMBER(SEARCH("EXCHANGE RATE",C1544)),ISNUMBER(SEARCH("EXCHG RTE",C1544)))),"Personal Travel - Italy",IFERROR(INDEX('Category Rules'!$B$2:$B$358,MATCH(TRUE,ISNUMBER(SEARCH('Category Rules'!$A$2:$A$358,C1544)),0)),""))))))))</f>
        <v>Personal - Clothing</v>
      </c>
    </row>
    <row r="1545" spans="1:7" x14ac:dyDescent="0.25">
      <c r="A1545" t="s">
        <v>6</v>
      </c>
      <c r="B1545" s="1">
        <v>45796</v>
      </c>
      <c r="C1545" t="s">
        <v>1691</v>
      </c>
      <c r="D1545">
        <v>-34.21</v>
      </c>
      <c r="E1545" t="s">
        <v>10</v>
      </c>
      <c r="F1545">
        <v>583.86</v>
      </c>
      <c r="G1545" t="str" cm="1">
        <f t="array" ref="G1545">IF(AND(ISNUMBER(SEARCH("UBER",C1545)),ISNUMBER(SEARCH("EATS",C1545))),"Uber Eats",IF(LEFT(C1545,6)="CHECK ","Checks Paid",IF(OR(E1545="BILLPAY",ISNUMBER(SEARCH("FRANCHISE TAX",C1545)),ISNUMBER(SEARCH("NEXTLINK",C1545))),"Personal - House Bills",IF(AND(ISNUMBER(SEARCH("PAYMENT FROM",C1545)),ISNUMBER(SEARCH("JOE SAUNDERS",C1545))),"Zelle from Joe Saunders",IF(AND(ISNUMBER(SEARCH("PAYMENT TO",C1545)),ISNUMBER(SEARCH("JOE SAUNDERS",C1545))),"Zelle to Joe Saunders",IF(OR(ISNUMBER(SEARCH("NEW ORLEANS",C1545)),ISNUMBER(SEARCH("KENNER",C1545)),ISNUMBER(SEARCH("HENRY HOWARD",C1545)),ISNUMBER(SEARCH("MISS CLAUDIA",C1545))),"Personal Travel - New Orleans",IF(AND(YEAR(B1545)=2025,MONTH(B1545)=4,OR(ISNUMBER(SEARCH("EXCHANGE RATE",C1545)),ISNUMBER(SEARCH("EXCHG RTE",C1545)))),"Personal Travel - Italy",IFERROR(INDEX('Category Rules'!$B$2:$B$358,MATCH(TRUE,ISNUMBER(SEARCH('Category Rules'!$A$2:$A$358,C1545)),0)),""))))))))</f>
        <v>Amazon</v>
      </c>
    </row>
    <row r="1546" spans="1:7" x14ac:dyDescent="0.25">
      <c r="A1546" t="s">
        <v>6</v>
      </c>
      <c r="B1546" s="1">
        <v>45793</v>
      </c>
      <c r="C1546" t="s">
        <v>1692</v>
      </c>
      <c r="D1546">
        <v>-393.87</v>
      </c>
      <c r="E1546" t="s">
        <v>10</v>
      </c>
      <c r="F1546">
        <v>618.07000000000005</v>
      </c>
      <c r="G1546" t="str" cm="1">
        <f t="array" ref="G1546">IF(AND(ISNUMBER(SEARCH("UBER",C1546)),ISNUMBER(SEARCH("EATS",C1546))),"Uber Eats",IF(LEFT(C1546,6)="CHECK ","Checks Paid",IF(OR(E1546="BILLPAY",ISNUMBER(SEARCH("FRANCHISE TAX",C1546)),ISNUMBER(SEARCH("NEXTLINK",C1546))),"Personal - House Bills",IF(AND(ISNUMBER(SEARCH("PAYMENT FROM",C1546)),ISNUMBER(SEARCH("JOE SAUNDERS",C1546))),"Zelle from Joe Saunders",IF(AND(ISNUMBER(SEARCH("PAYMENT TO",C1546)),ISNUMBER(SEARCH("JOE SAUNDERS",C1546))),"Zelle to Joe Saunders",IF(OR(ISNUMBER(SEARCH("NEW ORLEANS",C1546)),ISNUMBER(SEARCH("KENNER",C1546)),ISNUMBER(SEARCH("HENRY HOWARD",C1546)),ISNUMBER(SEARCH("MISS CLAUDIA",C1546))),"Personal Travel - New Orleans",IF(AND(YEAR(B1546)=2025,MONTH(B1546)=4,OR(ISNUMBER(SEARCH("EXCHANGE RATE",C1546)),ISNUMBER(SEARCH("EXCHG RTE",C1546)))),"Personal Travel - Italy",IFERROR(INDEX('Category Rules'!$B$2:$B$358,MATCH(TRUE,ISNUMBER(SEARCH('Category Rules'!$A$2:$A$358,C1546)),0)),""))))))))</f>
        <v>Personal - Shopping</v>
      </c>
    </row>
    <row r="1547" spans="1:7" x14ac:dyDescent="0.25">
      <c r="A1547" t="s">
        <v>6</v>
      </c>
      <c r="B1547" s="1">
        <v>45793</v>
      </c>
      <c r="C1547" t="s">
        <v>1693</v>
      </c>
      <c r="D1547">
        <v>-217.58</v>
      </c>
      <c r="E1547" t="s">
        <v>10</v>
      </c>
      <c r="F1547">
        <v>1011.94</v>
      </c>
      <c r="G1547" t="str" cm="1">
        <f t="array" ref="G1547">IF(AND(ISNUMBER(SEARCH("UBER",C1547)),ISNUMBER(SEARCH("EATS",C1547))),"Uber Eats",IF(LEFT(C1547,6)="CHECK ","Checks Paid",IF(OR(E1547="BILLPAY",ISNUMBER(SEARCH("FRANCHISE TAX",C1547)),ISNUMBER(SEARCH("NEXTLINK",C1547))),"Personal - House Bills",IF(AND(ISNUMBER(SEARCH("PAYMENT FROM",C1547)),ISNUMBER(SEARCH("JOE SAUNDERS",C1547))),"Zelle from Joe Saunders",IF(AND(ISNUMBER(SEARCH("PAYMENT TO",C1547)),ISNUMBER(SEARCH("JOE SAUNDERS",C1547))),"Zelle to Joe Saunders",IF(OR(ISNUMBER(SEARCH("NEW ORLEANS",C1547)),ISNUMBER(SEARCH("KENNER",C1547)),ISNUMBER(SEARCH("HENRY HOWARD",C1547)),ISNUMBER(SEARCH("MISS CLAUDIA",C1547))),"Personal Travel - New Orleans",IF(AND(YEAR(B1547)=2025,MONTH(B1547)=4,OR(ISNUMBER(SEARCH("EXCHANGE RATE",C1547)),ISNUMBER(SEARCH("EXCHG RTE",C1547)))),"Personal Travel - Italy",IFERROR(INDEX('Category Rules'!$B$2:$B$358,MATCH(TRUE,ISNUMBER(SEARCH('Category Rules'!$A$2:$A$358,C1547)),0)),""))))))))</f>
        <v>Personal - Shopping</v>
      </c>
    </row>
    <row r="1548" spans="1:7" x14ac:dyDescent="0.25">
      <c r="A1548" t="s">
        <v>6</v>
      </c>
      <c r="B1548" s="1">
        <v>45793</v>
      </c>
      <c r="C1548" t="s">
        <v>1694</v>
      </c>
      <c r="D1548">
        <v>-145.06</v>
      </c>
      <c r="E1548" t="s">
        <v>10</v>
      </c>
      <c r="F1548">
        <v>1229.52</v>
      </c>
      <c r="G1548" t="str" cm="1">
        <f t="array" ref="G1548">IF(AND(ISNUMBER(SEARCH("UBER",C1548)),ISNUMBER(SEARCH("EATS",C1548))),"Uber Eats",IF(LEFT(C1548,6)="CHECK ","Checks Paid",IF(OR(E1548="BILLPAY",ISNUMBER(SEARCH("FRANCHISE TAX",C1548)),ISNUMBER(SEARCH("NEXTLINK",C1548))),"Personal - House Bills",IF(AND(ISNUMBER(SEARCH("PAYMENT FROM",C1548)),ISNUMBER(SEARCH("JOE SAUNDERS",C1548))),"Zelle from Joe Saunders",IF(AND(ISNUMBER(SEARCH("PAYMENT TO",C1548)),ISNUMBER(SEARCH("JOE SAUNDERS",C1548))),"Zelle to Joe Saunders",IF(OR(ISNUMBER(SEARCH("NEW ORLEANS",C1548)),ISNUMBER(SEARCH("KENNER",C1548)),ISNUMBER(SEARCH("HENRY HOWARD",C1548)),ISNUMBER(SEARCH("MISS CLAUDIA",C1548))),"Personal Travel - New Orleans",IF(AND(YEAR(B1548)=2025,MONTH(B1548)=4,OR(ISNUMBER(SEARCH("EXCHANGE RATE",C1548)),ISNUMBER(SEARCH("EXCHG RTE",C1548)))),"Personal Travel - Italy",IFERROR(INDEX('Category Rules'!$B$2:$B$358,MATCH(TRUE,ISNUMBER(SEARCH('Category Rules'!$A$2:$A$358,C1548)),0)),""))))))))</f>
        <v>Amazon</v>
      </c>
    </row>
    <row r="1549" spans="1:7" x14ac:dyDescent="0.25">
      <c r="A1549" t="s">
        <v>6</v>
      </c>
      <c r="B1549" s="1">
        <v>45792</v>
      </c>
      <c r="C1549" t="s">
        <v>1695</v>
      </c>
      <c r="D1549">
        <v>-32</v>
      </c>
      <c r="E1549" t="s">
        <v>10</v>
      </c>
      <c r="F1549">
        <v>1374.58</v>
      </c>
      <c r="G1549" t="str" cm="1">
        <f t="array" ref="G1549">IF(AND(ISNUMBER(SEARCH("UBER",C1549)),ISNUMBER(SEARCH("EATS",C1549))),"Uber Eats",IF(LEFT(C1549,6)="CHECK ","Checks Paid",IF(OR(E1549="BILLPAY",ISNUMBER(SEARCH("FRANCHISE TAX",C1549)),ISNUMBER(SEARCH("NEXTLINK",C1549))),"Personal - House Bills",IF(AND(ISNUMBER(SEARCH("PAYMENT FROM",C1549)),ISNUMBER(SEARCH("JOE SAUNDERS",C1549))),"Zelle from Joe Saunders",IF(AND(ISNUMBER(SEARCH("PAYMENT TO",C1549)),ISNUMBER(SEARCH("JOE SAUNDERS",C1549))),"Zelle to Joe Saunders",IF(OR(ISNUMBER(SEARCH("NEW ORLEANS",C1549)),ISNUMBER(SEARCH("KENNER",C1549)),ISNUMBER(SEARCH("HENRY HOWARD",C1549)),ISNUMBER(SEARCH("MISS CLAUDIA",C1549))),"Personal Travel - New Orleans",IF(AND(YEAR(B1549)=2025,MONTH(B1549)=4,OR(ISNUMBER(SEARCH("EXCHANGE RATE",C1549)),ISNUMBER(SEARCH("EXCHG RTE",C1549)))),"Personal Travel - Italy",IFERROR(INDEX('Category Rules'!$B$2:$B$358,MATCH(TRUE,ISNUMBER(SEARCH('Category Rules'!$A$2:$A$358,C1549)),0)),""))))))))</f>
        <v>Amazon</v>
      </c>
    </row>
    <row r="1550" spans="1:7" x14ac:dyDescent="0.25">
      <c r="A1550" t="s">
        <v>6</v>
      </c>
      <c r="B1550" s="1">
        <v>45792</v>
      </c>
      <c r="C1550" t="s">
        <v>1696</v>
      </c>
      <c r="D1550">
        <v>-110.8</v>
      </c>
      <c r="E1550" t="s">
        <v>10</v>
      </c>
      <c r="F1550">
        <v>1406.58</v>
      </c>
      <c r="G1550" t="str" cm="1">
        <f t="array" ref="G1550">IF(AND(ISNUMBER(SEARCH("UBER",C1550)),ISNUMBER(SEARCH("EATS",C1550))),"Uber Eats",IF(LEFT(C1550,6)="CHECK ","Checks Paid",IF(OR(E1550="BILLPAY",ISNUMBER(SEARCH("FRANCHISE TAX",C1550)),ISNUMBER(SEARCH("NEXTLINK",C1550))),"Personal - House Bills",IF(AND(ISNUMBER(SEARCH("PAYMENT FROM",C1550)),ISNUMBER(SEARCH("JOE SAUNDERS",C1550))),"Zelle from Joe Saunders",IF(AND(ISNUMBER(SEARCH("PAYMENT TO",C1550)),ISNUMBER(SEARCH("JOE SAUNDERS",C1550))),"Zelle to Joe Saunders",IF(OR(ISNUMBER(SEARCH("NEW ORLEANS",C1550)),ISNUMBER(SEARCH("KENNER",C1550)),ISNUMBER(SEARCH("HENRY HOWARD",C1550)),ISNUMBER(SEARCH("MISS CLAUDIA",C1550))),"Personal Travel - New Orleans",IF(AND(YEAR(B1550)=2025,MONTH(B1550)=4,OR(ISNUMBER(SEARCH("EXCHANGE RATE",C1550)),ISNUMBER(SEARCH("EXCHG RTE",C1550)))),"Personal Travel - Italy",IFERROR(INDEX('Category Rules'!$B$2:$B$358,MATCH(TRUE,ISNUMBER(SEARCH('Category Rules'!$A$2:$A$358,C1550)),0)),""))))))))</f>
        <v>Amazon</v>
      </c>
    </row>
    <row r="1551" spans="1:7" x14ac:dyDescent="0.25">
      <c r="A1551" t="s">
        <v>6</v>
      </c>
      <c r="B1551" s="1">
        <v>45792</v>
      </c>
      <c r="C1551" t="s">
        <v>1697</v>
      </c>
      <c r="D1551">
        <v>-32.01</v>
      </c>
      <c r="E1551" t="s">
        <v>10</v>
      </c>
      <c r="F1551">
        <v>1517.38</v>
      </c>
      <c r="G1551" t="str" cm="1">
        <f t="array" ref="G1551">IF(AND(ISNUMBER(SEARCH("UBER",C1551)),ISNUMBER(SEARCH("EATS",C1551))),"Uber Eats",IF(LEFT(C1551,6)="CHECK ","Checks Paid",IF(OR(E1551="BILLPAY",ISNUMBER(SEARCH("FRANCHISE TAX",C1551)),ISNUMBER(SEARCH("NEXTLINK",C1551))),"Personal - House Bills",IF(AND(ISNUMBER(SEARCH("PAYMENT FROM",C1551)),ISNUMBER(SEARCH("JOE SAUNDERS",C1551))),"Zelle from Joe Saunders",IF(AND(ISNUMBER(SEARCH("PAYMENT TO",C1551)),ISNUMBER(SEARCH("JOE SAUNDERS",C1551))),"Zelle to Joe Saunders",IF(OR(ISNUMBER(SEARCH("NEW ORLEANS",C1551)),ISNUMBER(SEARCH("KENNER",C1551)),ISNUMBER(SEARCH("HENRY HOWARD",C1551)),ISNUMBER(SEARCH("MISS CLAUDIA",C1551))),"Personal Travel - New Orleans",IF(AND(YEAR(B1551)=2025,MONTH(B1551)=4,OR(ISNUMBER(SEARCH("EXCHANGE RATE",C1551)),ISNUMBER(SEARCH("EXCHG RTE",C1551)))),"Personal Travel - Italy",IFERROR(INDEX('Category Rules'!$B$2:$B$358,MATCH(TRUE,ISNUMBER(SEARCH('Category Rules'!$A$2:$A$358,C1551)),0)),""))))))))</f>
        <v>Amazon</v>
      </c>
    </row>
    <row r="1552" spans="1:7" x14ac:dyDescent="0.25">
      <c r="A1552" t="s">
        <v>6</v>
      </c>
      <c r="B1552" s="1">
        <v>45792</v>
      </c>
      <c r="C1552" t="s">
        <v>1698</v>
      </c>
      <c r="D1552">
        <v>-28.76</v>
      </c>
      <c r="E1552" t="s">
        <v>10</v>
      </c>
      <c r="F1552">
        <v>1549.39</v>
      </c>
      <c r="G1552" t="str" cm="1">
        <f t="array" ref="G1552">IF(AND(ISNUMBER(SEARCH("UBER",C1552)),ISNUMBER(SEARCH("EATS",C1552))),"Uber Eats",IF(LEFT(C1552,6)="CHECK ","Checks Paid",IF(OR(E1552="BILLPAY",ISNUMBER(SEARCH("FRANCHISE TAX",C1552)),ISNUMBER(SEARCH("NEXTLINK",C1552))),"Personal - House Bills",IF(AND(ISNUMBER(SEARCH("PAYMENT FROM",C1552)),ISNUMBER(SEARCH("JOE SAUNDERS",C1552))),"Zelle from Joe Saunders",IF(AND(ISNUMBER(SEARCH("PAYMENT TO",C1552)),ISNUMBER(SEARCH("JOE SAUNDERS",C1552))),"Zelle to Joe Saunders",IF(OR(ISNUMBER(SEARCH("NEW ORLEANS",C1552)),ISNUMBER(SEARCH("KENNER",C1552)),ISNUMBER(SEARCH("HENRY HOWARD",C1552)),ISNUMBER(SEARCH("MISS CLAUDIA",C1552))),"Personal Travel - New Orleans",IF(AND(YEAR(B1552)=2025,MONTH(B1552)=4,OR(ISNUMBER(SEARCH("EXCHANGE RATE",C1552)),ISNUMBER(SEARCH("EXCHG RTE",C1552)))),"Personal Travel - Italy",IFERROR(INDEX('Category Rules'!$B$2:$B$358,MATCH(TRUE,ISNUMBER(SEARCH('Category Rules'!$A$2:$A$358,C1552)),0)),""))))))))</f>
        <v>Amazon</v>
      </c>
    </row>
    <row r="1553" spans="1:7" x14ac:dyDescent="0.25">
      <c r="A1553" t="s">
        <v>6</v>
      </c>
      <c r="B1553" s="1">
        <v>45792</v>
      </c>
      <c r="C1553" t="s">
        <v>1699</v>
      </c>
      <c r="D1553">
        <v>-141.54</v>
      </c>
      <c r="E1553" t="s">
        <v>10</v>
      </c>
      <c r="F1553">
        <v>1578.15</v>
      </c>
      <c r="G1553" t="str" cm="1">
        <f t="array" ref="G1553">IF(AND(ISNUMBER(SEARCH("UBER",C1553)),ISNUMBER(SEARCH("EATS",C1553))),"Uber Eats",IF(LEFT(C1553,6)="CHECK ","Checks Paid",IF(OR(E1553="BILLPAY",ISNUMBER(SEARCH("FRANCHISE TAX",C1553)),ISNUMBER(SEARCH("NEXTLINK",C1553))),"Personal - House Bills",IF(AND(ISNUMBER(SEARCH("PAYMENT FROM",C1553)),ISNUMBER(SEARCH("JOE SAUNDERS",C1553))),"Zelle from Joe Saunders",IF(AND(ISNUMBER(SEARCH("PAYMENT TO",C1553)),ISNUMBER(SEARCH("JOE SAUNDERS",C1553))),"Zelle to Joe Saunders",IF(OR(ISNUMBER(SEARCH("NEW ORLEANS",C1553)),ISNUMBER(SEARCH("KENNER",C1553)),ISNUMBER(SEARCH("HENRY HOWARD",C1553)),ISNUMBER(SEARCH("MISS CLAUDIA",C1553))),"Personal Travel - New Orleans",IF(AND(YEAR(B1553)=2025,MONTH(B1553)=4,OR(ISNUMBER(SEARCH("EXCHANGE RATE",C1553)),ISNUMBER(SEARCH("EXCHG RTE",C1553)))),"Personal Travel - Italy",IFERROR(INDEX('Category Rules'!$B$2:$B$358,MATCH(TRUE,ISNUMBER(SEARCH('Category Rules'!$A$2:$A$358,C1553)),0)),""))))))))</f>
        <v>Personal - Entertainment</v>
      </c>
    </row>
    <row r="1554" spans="1:7" x14ac:dyDescent="0.25">
      <c r="A1554" t="s">
        <v>6</v>
      </c>
      <c r="B1554" s="1">
        <v>45792</v>
      </c>
      <c r="C1554" t="s">
        <v>1699</v>
      </c>
      <c r="D1554">
        <v>-66</v>
      </c>
      <c r="E1554" t="s">
        <v>10</v>
      </c>
      <c r="F1554">
        <v>1719.69</v>
      </c>
      <c r="G1554" t="str" cm="1">
        <f t="array" ref="G1554">IF(AND(ISNUMBER(SEARCH("UBER",C1554)),ISNUMBER(SEARCH("EATS",C1554))),"Uber Eats",IF(LEFT(C1554,6)="CHECK ","Checks Paid",IF(OR(E1554="BILLPAY",ISNUMBER(SEARCH("FRANCHISE TAX",C1554)),ISNUMBER(SEARCH("NEXTLINK",C1554))),"Personal - House Bills",IF(AND(ISNUMBER(SEARCH("PAYMENT FROM",C1554)),ISNUMBER(SEARCH("JOE SAUNDERS",C1554))),"Zelle from Joe Saunders",IF(AND(ISNUMBER(SEARCH("PAYMENT TO",C1554)),ISNUMBER(SEARCH("JOE SAUNDERS",C1554))),"Zelle to Joe Saunders",IF(OR(ISNUMBER(SEARCH("NEW ORLEANS",C1554)),ISNUMBER(SEARCH("KENNER",C1554)),ISNUMBER(SEARCH("HENRY HOWARD",C1554)),ISNUMBER(SEARCH("MISS CLAUDIA",C1554))),"Personal Travel - New Orleans",IF(AND(YEAR(B1554)=2025,MONTH(B1554)=4,OR(ISNUMBER(SEARCH("EXCHANGE RATE",C1554)),ISNUMBER(SEARCH("EXCHG RTE",C1554)))),"Personal Travel - Italy",IFERROR(INDEX('Category Rules'!$B$2:$B$358,MATCH(TRUE,ISNUMBER(SEARCH('Category Rules'!$A$2:$A$358,C1554)),0)),""))))))))</f>
        <v>Personal - Entertainment</v>
      </c>
    </row>
    <row r="1555" spans="1:7" x14ac:dyDescent="0.25">
      <c r="A1555" t="s">
        <v>6</v>
      </c>
      <c r="B1555" s="1">
        <v>45792</v>
      </c>
      <c r="C1555" t="s">
        <v>1700</v>
      </c>
      <c r="D1555">
        <v>-16.45</v>
      </c>
      <c r="E1555" t="s">
        <v>10</v>
      </c>
      <c r="F1555">
        <v>1785.69</v>
      </c>
      <c r="G1555" t="str" cm="1">
        <f t="array" ref="G1555">IF(AND(ISNUMBER(SEARCH("UBER",C1555)),ISNUMBER(SEARCH("EATS",C1555))),"Uber Eats",IF(LEFT(C1555,6)="CHECK ","Checks Paid",IF(OR(E1555="BILLPAY",ISNUMBER(SEARCH("FRANCHISE TAX",C1555)),ISNUMBER(SEARCH("NEXTLINK",C1555))),"Personal - House Bills",IF(AND(ISNUMBER(SEARCH("PAYMENT FROM",C1555)),ISNUMBER(SEARCH("JOE SAUNDERS",C1555))),"Zelle from Joe Saunders",IF(AND(ISNUMBER(SEARCH("PAYMENT TO",C1555)),ISNUMBER(SEARCH("JOE SAUNDERS",C1555))),"Zelle to Joe Saunders",IF(OR(ISNUMBER(SEARCH("NEW ORLEANS",C1555)),ISNUMBER(SEARCH("KENNER",C1555)),ISNUMBER(SEARCH("HENRY HOWARD",C1555)),ISNUMBER(SEARCH("MISS CLAUDIA",C1555))),"Personal Travel - New Orleans",IF(AND(YEAR(B1555)=2025,MONTH(B1555)=4,OR(ISNUMBER(SEARCH("EXCHANGE RATE",C1555)),ISNUMBER(SEARCH("EXCHG RTE",C1555)))),"Personal Travel - Italy",IFERROR(INDEX('Category Rules'!$B$2:$B$358,MATCH(TRUE,ISNUMBER(SEARCH('Category Rules'!$A$2:$A$358,C1555)),0)),""))))))))</f>
        <v>Amazon</v>
      </c>
    </row>
    <row r="1556" spans="1:7" x14ac:dyDescent="0.25">
      <c r="A1556" t="s">
        <v>6</v>
      </c>
      <c r="B1556" s="1">
        <v>45791</v>
      </c>
      <c r="C1556" t="s">
        <v>1701</v>
      </c>
      <c r="D1556">
        <v>-162.36000000000001</v>
      </c>
      <c r="E1556" t="s">
        <v>10</v>
      </c>
      <c r="F1556">
        <v>1802.14</v>
      </c>
      <c r="G1556" t="str" cm="1">
        <f t="array" ref="G1556">IF(AND(ISNUMBER(SEARCH("UBER",C1556)),ISNUMBER(SEARCH("EATS",C1556))),"Uber Eats",IF(LEFT(C1556,6)="CHECK ","Checks Paid",IF(OR(E1556="BILLPAY",ISNUMBER(SEARCH("FRANCHISE TAX",C1556)),ISNUMBER(SEARCH("NEXTLINK",C1556))),"Personal - House Bills",IF(AND(ISNUMBER(SEARCH("PAYMENT FROM",C1556)),ISNUMBER(SEARCH("JOE SAUNDERS",C1556))),"Zelle from Joe Saunders",IF(AND(ISNUMBER(SEARCH("PAYMENT TO",C1556)),ISNUMBER(SEARCH("JOE SAUNDERS",C1556))),"Zelle to Joe Saunders",IF(OR(ISNUMBER(SEARCH("NEW ORLEANS",C1556)),ISNUMBER(SEARCH("KENNER",C1556)),ISNUMBER(SEARCH("HENRY HOWARD",C1556)),ISNUMBER(SEARCH("MISS CLAUDIA",C1556))),"Personal Travel - New Orleans",IF(AND(YEAR(B1556)=2025,MONTH(B1556)=4,OR(ISNUMBER(SEARCH("EXCHANGE RATE",C1556)),ISNUMBER(SEARCH("EXCHG RTE",C1556)))),"Personal Travel - Italy",IFERROR(INDEX('Category Rules'!$B$2:$B$358,MATCH(TRUE,ISNUMBER(SEARCH('Category Rules'!$A$2:$A$358,C1556)),0)),""))))))))</f>
        <v>Personal - Food</v>
      </c>
    </row>
    <row r="1557" spans="1:7" x14ac:dyDescent="0.25">
      <c r="A1557" t="s">
        <v>6</v>
      </c>
      <c r="B1557" s="1">
        <v>45791</v>
      </c>
      <c r="C1557" t="s">
        <v>1702</v>
      </c>
      <c r="D1557">
        <v>-500</v>
      </c>
      <c r="E1557" t="s">
        <v>1703</v>
      </c>
      <c r="F1557">
        <v>1964.5</v>
      </c>
      <c r="G1557" t="str" cm="1">
        <f t="array" ref="G1557">IF(AND(ISNUMBER(SEARCH("UBER",C1557)),ISNUMBER(SEARCH("EATS",C1557))),"Uber Eats",IF(LEFT(C1557,6)="CHECK ","Checks Paid",IF(OR(E1557="BILLPAY",ISNUMBER(SEARCH("FRANCHISE TAX",C1557)),ISNUMBER(SEARCH("NEXTLINK",C1557))),"Personal - House Bills",IF(AND(ISNUMBER(SEARCH("PAYMENT FROM",C1557)),ISNUMBER(SEARCH("JOE SAUNDERS",C1557))),"Zelle from Joe Saunders",IF(AND(ISNUMBER(SEARCH("PAYMENT TO",C1557)),ISNUMBER(SEARCH("JOE SAUNDERS",C1557))),"Zelle to Joe Saunders",IF(OR(ISNUMBER(SEARCH("NEW ORLEANS",C1557)),ISNUMBER(SEARCH("KENNER",C1557)),ISNUMBER(SEARCH("HENRY HOWARD",C1557)),ISNUMBER(SEARCH("MISS CLAUDIA",C1557))),"Personal Travel - New Orleans",IF(AND(YEAR(B1557)=2025,MONTH(B1557)=4,OR(ISNUMBER(SEARCH("EXCHANGE RATE",C1557)),ISNUMBER(SEARCH("EXCHG RTE",C1557)))),"Personal Travel - Italy",IFERROR(INDEX('Category Rules'!$B$2:$B$358,MATCH(TRUE,ISNUMBER(SEARCH('Category Rules'!$A$2:$A$358,C1557)),0)),""))))))))</f>
        <v>Zelle to Joe Saunders</v>
      </c>
    </row>
    <row r="1558" spans="1:7" x14ac:dyDescent="0.25">
      <c r="A1558" t="s">
        <v>6</v>
      </c>
      <c r="B1558" s="1">
        <v>45791</v>
      </c>
      <c r="C1558" t="s">
        <v>1704</v>
      </c>
      <c r="D1558">
        <v>-59.99</v>
      </c>
      <c r="E1558" t="s">
        <v>10</v>
      </c>
      <c r="F1558">
        <v>2464.5</v>
      </c>
      <c r="G1558" t="str" cm="1">
        <f t="array" ref="G1558">IF(AND(ISNUMBER(SEARCH("UBER",C1558)),ISNUMBER(SEARCH("EATS",C1558))),"Uber Eats",IF(LEFT(C1558,6)="CHECK ","Checks Paid",IF(OR(E1558="BILLPAY",ISNUMBER(SEARCH("FRANCHISE TAX",C1558)),ISNUMBER(SEARCH("NEXTLINK",C1558))),"Personal - House Bills",IF(AND(ISNUMBER(SEARCH("PAYMENT FROM",C1558)),ISNUMBER(SEARCH("JOE SAUNDERS",C1558))),"Zelle from Joe Saunders",IF(AND(ISNUMBER(SEARCH("PAYMENT TO",C1558)),ISNUMBER(SEARCH("JOE SAUNDERS",C1558))),"Zelle to Joe Saunders",IF(OR(ISNUMBER(SEARCH("NEW ORLEANS",C1558)),ISNUMBER(SEARCH("KENNER",C1558)),ISNUMBER(SEARCH("HENRY HOWARD",C1558)),ISNUMBER(SEARCH("MISS CLAUDIA",C1558))),"Personal Travel - New Orleans",IF(AND(YEAR(B1558)=2025,MONTH(B1558)=4,OR(ISNUMBER(SEARCH("EXCHANGE RATE",C1558)),ISNUMBER(SEARCH("EXCHG RTE",C1558)))),"Personal Travel - Italy",IFERROR(INDEX('Category Rules'!$B$2:$B$358,MATCH(TRUE,ISNUMBER(SEARCH('Category Rules'!$A$2:$A$358,C1558)),0)),""))))))))</f>
        <v>Apple</v>
      </c>
    </row>
    <row r="1559" spans="1:7" x14ac:dyDescent="0.25">
      <c r="A1559" t="s">
        <v>6</v>
      </c>
      <c r="B1559" s="1">
        <v>45791</v>
      </c>
      <c r="C1559" t="s">
        <v>1705</v>
      </c>
      <c r="D1559">
        <v>-16.989999999999998</v>
      </c>
      <c r="E1559" t="s">
        <v>10</v>
      </c>
      <c r="F1559">
        <v>2524.4899999999998</v>
      </c>
      <c r="G1559" t="str" cm="1">
        <f t="array" ref="G1559">IF(AND(ISNUMBER(SEARCH("UBER",C1559)),ISNUMBER(SEARCH("EATS",C1559))),"Uber Eats",IF(LEFT(C1559,6)="CHECK ","Checks Paid",IF(OR(E1559="BILLPAY",ISNUMBER(SEARCH("FRANCHISE TAX",C1559)),ISNUMBER(SEARCH("NEXTLINK",C1559))),"Personal - House Bills",IF(AND(ISNUMBER(SEARCH("PAYMENT FROM",C1559)),ISNUMBER(SEARCH("JOE SAUNDERS",C1559))),"Zelle from Joe Saunders",IF(AND(ISNUMBER(SEARCH("PAYMENT TO",C1559)),ISNUMBER(SEARCH("JOE SAUNDERS",C1559))),"Zelle to Joe Saunders",IF(OR(ISNUMBER(SEARCH("NEW ORLEANS",C1559)),ISNUMBER(SEARCH("KENNER",C1559)),ISNUMBER(SEARCH("HENRY HOWARD",C1559)),ISNUMBER(SEARCH("MISS CLAUDIA",C1559))),"Personal Travel - New Orleans",IF(AND(YEAR(B1559)=2025,MONTH(B1559)=4,OR(ISNUMBER(SEARCH("EXCHANGE RATE",C1559)),ISNUMBER(SEARCH("EXCHG RTE",C1559)))),"Personal Travel - Italy",IFERROR(INDEX('Category Rules'!$B$2:$B$358,MATCH(TRUE,ISNUMBER(SEARCH('Category Rules'!$A$2:$A$358,C1559)),0)),""))))))))</f>
        <v>Amazon</v>
      </c>
    </row>
    <row r="1560" spans="1:7" x14ac:dyDescent="0.25">
      <c r="A1560" t="s">
        <v>6</v>
      </c>
      <c r="B1560" s="1">
        <v>45791</v>
      </c>
      <c r="C1560" t="s">
        <v>1706</v>
      </c>
      <c r="D1560">
        <v>-40.53</v>
      </c>
      <c r="E1560" t="s">
        <v>10</v>
      </c>
      <c r="F1560">
        <v>2541.48</v>
      </c>
      <c r="G1560" t="str" cm="1">
        <f t="array" ref="G1560">IF(AND(ISNUMBER(SEARCH("UBER",C1560)),ISNUMBER(SEARCH("EATS",C1560))),"Uber Eats",IF(LEFT(C1560,6)="CHECK ","Checks Paid",IF(OR(E1560="BILLPAY",ISNUMBER(SEARCH("FRANCHISE TAX",C1560)),ISNUMBER(SEARCH("NEXTLINK",C1560))),"Personal - House Bills",IF(AND(ISNUMBER(SEARCH("PAYMENT FROM",C1560)),ISNUMBER(SEARCH("JOE SAUNDERS",C1560))),"Zelle from Joe Saunders",IF(AND(ISNUMBER(SEARCH("PAYMENT TO",C1560)),ISNUMBER(SEARCH("JOE SAUNDERS",C1560))),"Zelle to Joe Saunders",IF(OR(ISNUMBER(SEARCH("NEW ORLEANS",C1560)),ISNUMBER(SEARCH("KENNER",C1560)),ISNUMBER(SEARCH("HENRY HOWARD",C1560)),ISNUMBER(SEARCH("MISS CLAUDIA",C1560))),"Personal Travel - New Orleans",IF(AND(YEAR(B1560)=2025,MONTH(B1560)=4,OR(ISNUMBER(SEARCH("EXCHANGE RATE",C1560)),ISNUMBER(SEARCH("EXCHG RTE",C1560)))),"Personal Travel - Italy",IFERROR(INDEX('Category Rules'!$B$2:$B$358,MATCH(TRUE,ISNUMBER(SEARCH('Category Rules'!$A$2:$A$358,C1560)),0)),""))))))))</f>
        <v>Amazon</v>
      </c>
    </row>
    <row r="1561" spans="1:7" x14ac:dyDescent="0.25">
      <c r="A1561" t="s">
        <v>6</v>
      </c>
      <c r="B1561" s="1">
        <v>45791</v>
      </c>
      <c r="C1561" t="s">
        <v>1707</v>
      </c>
      <c r="D1561">
        <v>-329.16</v>
      </c>
      <c r="E1561" t="s">
        <v>10</v>
      </c>
      <c r="F1561">
        <v>2582.0100000000002</v>
      </c>
      <c r="G1561" t="str" cm="1">
        <f t="array" ref="G1561">IF(AND(ISNUMBER(SEARCH("UBER",C1561)),ISNUMBER(SEARCH("EATS",C1561))),"Uber Eats",IF(LEFT(C1561,6)="CHECK ","Checks Paid",IF(OR(E1561="BILLPAY",ISNUMBER(SEARCH("FRANCHISE TAX",C1561)),ISNUMBER(SEARCH("NEXTLINK",C1561))),"Personal - House Bills",IF(AND(ISNUMBER(SEARCH("PAYMENT FROM",C1561)),ISNUMBER(SEARCH("JOE SAUNDERS",C1561))),"Zelle from Joe Saunders",IF(AND(ISNUMBER(SEARCH("PAYMENT TO",C1561)),ISNUMBER(SEARCH("JOE SAUNDERS",C1561))),"Zelle to Joe Saunders",IF(OR(ISNUMBER(SEARCH("NEW ORLEANS",C1561)),ISNUMBER(SEARCH("KENNER",C1561)),ISNUMBER(SEARCH("HENRY HOWARD",C1561)),ISNUMBER(SEARCH("MISS CLAUDIA",C1561))),"Personal Travel - New Orleans",IF(AND(YEAR(B1561)=2025,MONTH(B1561)=4,OR(ISNUMBER(SEARCH("EXCHANGE RATE",C1561)),ISNUMBER(SEARCH("EXCHG RTE",C1561)))),"Personal Travel - Italy",IFERROR(INDEX('Category Rules'!$B$2:$B$358,MATCH(TRUE,ISNUMBER(SEARCH('Category Rules'!$A$2:$A$358,C1561)),0)),""))))))))</f>
        <v>Personal - Food</v>
      </c>
    </row>
    <row r="1562" spans="1:7" x14ac:dyDescent="0.25">
      <c r="A1562" t="s">
        <v>6</v>
      </c>
      <c r="B1562" s="1">
        <v>45791</v>
      </c>
      <c r="C1562" t="s">
        <v>1708</v>
      </c>
      <c r="D1562">
        <v>-161.71</v>
      </c>
      <c r="E1562" t="s">
        <v>10</v>
      </c>
      <c r="F1562">
        <v>2911.17</v>
      </c>
      <c r="G1562" t="str" cm="1">
        <f t="array" ref="G1562">IF(AND(ISNUMBER(SEARCH("UBER",C1562)),ISNUMBER(SEARCH("EATS",C1562))),"Uber Eats",IF(LEFT(C1562,6)="CHECK ","Checks Paid",IF(OR(E1562="BILLPAY",ISNUMBER(SEARCH("FRANCHISE TAX",C1562)),ISNUMBER(SEARCH("NEXTLINK",C1562))),"Personal - House Bills",IF(AND(ISNUMBER(SEARCH("PAYMENT FROM",C1562)),ISNUMBER(SEARCH("JOE SAUNDERS",C1562))),"Zelle from Joe Saunders",IF(AND(ISNUMBER(SEARCH("PAYMENT TO",C1562)),ISNUMBER(SEARCH("JOE SAUNDERS",C1562))),"Zelle to Joe Saunders",IF(OR(ISNUMBER(SEARCH("NEW ORLEANS",C1562)),ISNUMBER(SEARCH("KENNER",C1562)),ISNUMBER(SEARCH("HENRY HOWARD",C1562)),ISNUMBER(SEARCH("MISS CLAUDIA",C1562))),"Personal Travel - New Orleans",IF(AND(YEAR(B1562)=2025,MONTH(B1562)=4,OR(ISNUMBER(SEARCH("EXCHANGE RATE",C1562)),ISNUMBER(SEARCH("EXCHG RTE",C1562)))),"Personal Travel - Italy",IFERROR(INDEX('Category Rules'!$B$2:$B$358,MATCH(TRUE,ISNUMBER(SEARCH('Category Rules'!$A$2:$A$358,C1562)),0)),""))))))))</f>
        <v>Personal - Food</v>
      </c>
    </row>
    <row r="1563" spans="1:7" x14ac:dyDescent="0.25">
      <c r="A1563" t="s">
        <v>6</v>
      </c>
      <c r="B1563" s="1">
        <v>45790</v>
      </c>
      <c r="C1563" t="s">
        <v>1709</v>
      </c>
      <c r="D1563">
        <v>-109.96</v>
      </c>
      <c r="E1563" t="s">
        <v>10</v>
      </c>
      <c r="F1563">
        <v>3072.88</v>
      </c>
      <c r="G1563" t="str" cm="1">
        <f t="array" ref="G1563">IF(AND(ISNUMBER(SEARCH("UBER",C1563)),ISNUMBER(SEARCH("EATS",C1563))),"Uber Eats",IF(LEFT(C1563,6)="CHECK ","Checks Paid",IF(OR(E1563="BILLPAY",ISNUMBER(SEARCH("FRANCHISE TAX",C1563)),ISNUMBER(SEARCH("NEXTLINK",C1563))),"Personal - House Bills",IF(AND(ISNUMBER(SEARCH("PAYMENT FROM",C1563)),ISNUMBER(SEARCH("JOE SAUNDERS",C1563))),"Zelle from Joe Saunders",IF(AND(ISNUMBER(SEARCH("PAYMENT TO",C1563)),ISNUMBER(SEARCH("JOE SAUNDERS",C1563))),"Zelle to Joe Saunders",IF(OR(ISNUMBER(SEARCH("NEW ORLEANS",C1563)),ISNUMBER(SEARCH("KENNER",C1563)),ISNUMBER(SEARCH("HENRY HOWARD",C1563)),ISNUMBER(SEARCH("MISS CLAUDIA",C1563))),"Personal Travel - New Orleans",IF(AND(YEAR(B1563)=2025,MONTH(B1563)=4,OR(ISNUMBER(SEARCH("EXCHANGE RATE",C1563)),ISNUMBER(SEARCH("EXCHG RTE",C1563)))),"Personal Travel - Italy",IFERROR(INDEX('Category Rules'!$B$2:$B$358,MATCH(TRUE,ISNUMBER(SEARCH('Category Rules'!$A$2:$A$358,C1563)),0)),""))))))))</f>
        <v>Personal - Shopping</v>
      </c>
    </row>
    <row r="1564" spans="1:7" x14ac:dyDescent="0.25">
      <c r="A1564" t="s">
        <v>6</v>
      </c>
      <c r="B1564" s="1">
        <v>45790</v>
      </c>
      <c r="C1564" t="s">
        <v>1710</v>
      </c>
      <c r="D1564">
        <v>-54.53</v>
      </c>
      <c r="E1564" t="s">
        <v>10</v>
      </c>
      <c r="F1564">
        <v>3182.84</v>
      </c>
      <c r="G1564" t="str" cm="1">
        <f t="array" ref="G1564">IF(AND(ISNUMBER(SEARCH("UBER",C1564)),ISNUMBER(SEARCH("EATS",C1564))),"Uber Eats",IF(LEFT(C1564,6)="CHECK ","Checks Paid",IF(OR(E1564="BILLPAY",ISNUMBER(SEARCH("FRANCHISE TAX",C1564)),ISNUMBER(SEARCH("NEXTLINK",C1564))),"Personal - House Bills",IF(AND(ISNUMBER(SEARCH("PAYMENT FROM",C1564)),ISNUMBER(SEARCH("JOE SAUNDERS",C1564))),"Zelle from Joe Saunders",IF(AND(ISNUMBER(SEARCH("PAYMENT TO",C1564)),ISNUMBER(SEARCH("JOE SAUNDERS",C1564))),"Zelle to Joe Saunders",IF(OR(ISNUMBER(SEARCH("NEW ORLEANS",C1564)),ISNUMBER(SEARCH("KENNER",C1564)),ISNUMBER(SEARCH("HENRY HOWARD",C1564)),ISNUMBER(SEARCH("MISS CLAUDIA",C1564))),"Personal Travel - New Orleans",IF(AND(YEAR(B1564)=2025,MONTH(B1564)=4,OR(ISNUMBER(SEARCH("EXCHANGE RATE",C1564)),ISNUMBER(SEARCH("EXCHG RTE",C1564)))),"Personal Travel - Italy",IFERROR(INDEX('Category Rules'!$B$2:$B$358,MATCH(TRUE,ISNUMBER(SEARCH('Category Rules'!$A$2:$A$358,C1564)),0)),""))))))))</f>
        <v>Personal - Car</v>
      </c>
    </row>
    <row r="1565" spans="1:7" x14ac:dyDescent="0.25">
      <c r="A1565" t="s">
        <v>6</v>
      </c>
      <c r="B1565" s="1">
        <v>45790</v>
      </c>
      <c r="C1565" t="s">
        <v>1711</v>
      </c>
      <c r="D1565">
        <v>-903.14</v>
      </c>
      <c r="E1565" t="s">
        <v>10</v>
      </c>
      <c r="F1565">
        <v>3237.37</v>
      </c>
      <c r="G1565" t="str" cm="1">
        <f t="array" ref="G1565">IF(AND(ISNUMBER(SEARCH("UBER",C1565)),ISNUMBER(SEARCH("EATS",C1565))),"Uber Eats",IF(LEFT(C1565,6)="CHECK ","Checks Paid",IF(OR(E1565="BILLPAY",ISNUMBER(SEARCH("FRANCHISE TAX",C1565)),ISNUMBER(SEARCH("NEXTLINK",C1565))),"Personal - House Bills",IF(AND(ISNUMBER(SEARCH("PAYMENT FROM",C1565)),ISNUMBER(SEARCH("JOE SAUNDERS",C1565))),"Zelle from Joe Saunders",IF(AND(ISNUMBER(SEARCH("PAYMENT TO",C1565)),ISNUMBER(SEARCH("JOE SAUNDERS",C1565))),"Zelle to Joe Saunders",IF(OR(ISNUMBER(SEARCH("NEW ORLEANS",C1565)),ISNUMBER(SEARCH("KENNER",C1565)),ISNUMBER(SEARCH("HENRY HOWARD",C1565)),ISNUMBER(SEARCH("MISS CLAUDIA",C1565))),"Personal Travel - New Orleans",IF(AND(YEAR(B1565)=2025,MONTH(B1565)=4,OR(ISNUMBER(SEARCH("EXCHANGE RATE",C1565)),ISNUMBER(SEARCH("EXCHG RTE",C1565)))),"Personal Travel - Italy",IFERROR(INDEX('Category Rules'!$B$2:$B$358,MATCH(TRUE,ISNUMBER(SEARCH('Category Rules'!$A$2:$A$358,C1565)),0)),""))))))))</f>
        <v>Personal - Food</v>
      </c>
    </row>
    <row r="1566" spans="1:7" x14ac:dyDescent="0.25">
      <c r="A1566" t="s">
        <v>6</v>
      </c>
      <c r="B1566" s="1">
        <v>45790</v>
      </c>
      <c r="C1566" t="s">
        <v>1712</v>
      </c>
      <c r="D1566">
        <v>-67.75</v>
      </c>
      <c r="E1566" t="s">
        <v>10</v>
      </c>
      <c r="F1566">
        <v>4140.51</v>
      </c>
      <c r="G1566" t="str" cm="1">
        <f t="array" ref="G1566">IF(AND(ISNUMBER(SEARCH("UBER",C1566)),ISNUMBER(SEARCH("EATS",C1566))),"Uber Eats",IF(LEFT(C1566,6)="CHECK ","Checks Paid",IF(OR(E1566="BILLPAY",ISNUMBER(SEARCH("FRANCHISE TAX",C1566)),ISNUMBER(SEARCH("NEXTLINK",C1566))),"Personal - House Bills",IF(AND(ISNUMBER(SEARCH("PAYMENT FROM",C1566)),ISNUMBER(SEARCH("JOE SAUNDERS",C1566))),"Zelle from Joe Saunders",IF(AND(ISNUMBER(SEARCH("PAYMENT TO",C1566)),ISNUMBER(SEARCH("JOE SAUNDERS",C1566))),"Zelle to Joe Saunders",IF(OR(ISNUMBER(SEARCH("NEW ORLEANS",C1566)),ISNUMBER(SEARCH("KENNER",C1566)),ISNUMBER(SEARCH("HENRY HOWARD",C1566)),ISNUMBER(SEARCH("MISS CLAUDIA",C1566))),"Personal Travel - New Orleans",IF(AND(YEAR(B1566)=2025,MONTH(B1566)=4,OR(ISNUMBER(SEARCH("EXCHANGE RATE",C1566)),ISNUMBER(SEARCH("EXCHG RTE",C1566)))),"Personal Travel - Italy",IFERROR(INDEX('Category Rules'!$B$2:$B$358,MATCH(TRUE,ISNUMBER(SEARCH('Category Rules'!$A$2:$A$358,C1566)),0)),""))))))))</f>
        <v>Personal - Food</v>
      </c>
    </row>
    <row r="1567" spans="1:7" x14ac:dyDescent="0.25">
      <c r="A1567" t="s">
        <v>6</v>
      </c>
      <c r="B1567" s="1">
        <v>45790</v>
      </c>
      <c r="C1567" t="s">
        <v>1713</v>
      </c>
      <c r="D1567">
        <v>-250.49</v>
      </c>
      <c r="E1567" t="s">
        <v>10</v>
      </c>
      <c r="F1567">
        <v>4208.26</v>
      </c>
      <c r="G1567" t="str" cm="1">
        <f t="array" ref="G1567">IF(AND(ISNUMBER(SEARCH("UBER",C1567)),ISNUMBER(SEARCH("EATS",C1567))),"Uber Eats",IF(LEFT(C1567,6)="CHECK ","Checks Paid",IF(OR(E1567="BILLPAY",ISNUMBER(SEARCH("FRANCHISE TAX",C1567)),ISNUMBER(SEARCH("NEXTLINK",C1567))),"Personal - House Bills",IF(AND(ISNUMBER(SEARCH("PAYMENT FROM",C1567)),ISNUMBER(SEARCH("JOE SAUNDERS",C1567))),"Zelle from Joe Saunders",IF(AND(ISNUMBER(SEARCH("PAYMENT TO",C1567)),ISNUMBER(SEARCH("JOE SAUNDERS",C1567))),"Zelle to Joe Saunders",IF(OR(ISNUMBER(SEARCH("NEW ORLEANS",C1567)),ISNUMBER(SEARCH("KENNER",C1567)),ISNUMBER(SEARCH("HENRY HOWARD",C1567)),ISNUMBER(SEARCH("MISS CLAUDIA",C1567))),"Personal Travel - New Orleans",IF(AND(YEAR(B1567)=2025,MONTH(B1567)=4,OR(ISNUMBER(SEARCH("EXCHANGE RATE",C1567)),ISNUMBER(SEARCH("EXCHG RTE",C1567)))),"Personal Travel - Italy",IFERROR(INDEX('Category Rules'!$B$2:$B$358,MATCH(TRUE,ISNUMBER(SEARCH('Category Rules'!$A$2:$A$358,C1567)),0)),""))))))))</f>
        <v>Personal - Shopping</v>
      </c>
    </row>
    <row r="1568" spans="1:7" x14ac:dyDescent="0.25">
      <c r="A1568" t="s">
        <v>6</v>
      </c>
      <c r="B1568" s="1">
        <v>45790</v>
      </c>
      <c r="C1568" t="s">
        <v>1714</v>
      </c>
      <c r="D1568">
        <v>-288.76</v>
      </c>
      <c r="E1568" t="s">
        <v>10</v>
      </c>
      <c r="F1568">
        <v>4458.75</v>
      </c>
      <c r="G1568" t="str" cm="1">
        <f t="array" ref="G1568">IF(AND(ISNUMBER(SEARCH("UBER",C1568)),ISNUMBER(SEARCH("EATS",C1568))),"Uber Eats",IF(LEFT(C1568,6)="CHECK ","Checks Paid",IF(OR(E1568="BILLPAY",ISNUMBER(SEARCH("FRANCHISE TAX",C1568)),ISNUMBER(SEARCH("NEXTLINK",C1568))),"Personal - House Bills",IF(AND(ISNUMBER(SEARCH("PAYMENT FROM",C1568)),ISNUMBER(SEARCH("JOE SAUNDERS",C1568))),"Zelle from Joe Saunders",IF(AND(ISNUMBER(SEARCH("PAYMENT TO",C1568)),ISNUMBER(SEARCH("JOE SAUNDERS",C1568))),"Zelle to Joe Saunders",IF(OR(ISNUMBER(SEARCH("NEW ORLEANS",C1568)),ISNUMBER(SEARCH("KENNER",C1568)),ISNUMBER(SEARCH("HENRY HOWARD",C1568)),ISNUMBER(SEARCH("MISS CLAUDIA",C1568))),"Personal Travel - New Orleans",IF(AND(YEAR(B1568)=2025,MONTH(B1568)=4,OR(ISNUMBER(SEARCH("EXCHANGE RATE",C1568)),ISNUMBER(SEARCH("EXCHG RTE",C1568)))),"Personal Travel - Italy",IFERROR(INDEX('Category Rules'!$B$2:$B$358,MATCH(TRUE,ISNUMBER(SEARCH('Category Rules'!$A$2:$A$358,C1568)),0)),""))))))))</f>
        <v>Personal - Shopping</v>
      </c>
    </row>
    <row r="1569" spans="1:7" x14ac:dyDescent="0.25">
      <c r="A1569" t="s">
        <v>6</v>
      </c>
      <c r="B1569" s="1">
        <v>45790</v>
      </c>
      <c r="C1569" t="s">
        <v>1715</v>
      </c>
      <c r="D1569">
        <v>-77.92</v>
      </c>
      <c r="E1569" t="s">
        <v>10</v>
      </c>
      <c r="F1569">
        <v>4747.51</v>
      </c>
      <c r="G1569" t="str" cm="1">
        <f t="array" ref="G1569">IF(AND(ISNUMBER(SEARCH("UBER",C1569)),ISNUMBER(SEARCH("EATS",C1569))),"Uber Eats",IF(LEFT(C1569,6)="CHECK ","Checks Paid",IF(OR(E1569="BILLPAY",ISNUMBER(SEARCH("FRANCHISE TAX",C1569)),ISNUMBER(SEARCH("NEXTLINK",C1569))),"Personal - House Bills",IF(AND(ISNUMBER(SEARCH("PAYMENT FROM",C1569)),ISNUMBER(SEARCH("JOE SAUNDERS",C1569))),"Zelle from Joe Saunders",IF(AND(ISNUMBER(SEARCH("PAYMENT TO",C1569)),ISNUMBER(SEARCH("JOE SAUNDERS",C1569))),"Zelle to Joe Saunders",IF(OR(ISNUMBER(SEARCH("NEW ORLEANS",C1569)),ISNUMBER(SEARCH("KENNER",C1569)),ISNUMBER(SEARCH("HENRY HOWARD",C1569)),ISNUMBER(SEARCH("MISS CLAUDIA",C1569))),"Personal Travel - New Orleans",IF(AND(YEAR(B1569)=2025,MONTH(B1569)=4,OR(ISNUMBER(SEARCH("EXCHANGE RATE",C1569)),ISNUMBER(SEARCH("EXCHG RTE",C1569)))),"Personal Travel - Italy",IFERROR(INDEX('Category Rules'!$B$2:$B$358,MATCH(TRUE,ISNUMBER(SEARCH('Category Rules'!$A$2:$A$358,C1569)),0)),""))))))))</f>
        <v>Amazon</v>
      </c>
    </row>
    <row r="1570" spans="1:7" x14ac:dyDescent="0.25">
      <c r="A1570" t="s">
        <v>6</v>
      </c>
      <c r="B1570" s="1">
        <v>45789</v>
      </c>
      <c r="C1570" t="s">
        <v>1716</v>
      </c>
      <c r="D1570">
        <v>-120.87</v>
      </c>
      <c r="E1570" t="s">
        <v>10</v>
      </c>
      <c r="F1570">
        <v>4825.43</v>
      </c>
      <c r="G1570" t="str" cm="1">
        <f t="array" ref="G1570">IF(AND(ISNUMBER(SEARCH("UBER",C1570)),ISNUMBER(SEARCH("EATS",C1570))),"Uber Eats",IF(LEFT(C1570,6)="CHECK ","Checks Paid",IF(OR(E1570="BILLPAY",ISNUMBER(SEARCH("FRANCHISE TAX",C1570)),ISNUMBER(SEARCH("NEXTLINK",C1570))),"Personal - House Bills",IF(AND(ISNUMBER(SEARCH("PAYMENT FROM",C1570)),ISNUMBER(SEARCH("JOE SAUNDERS",C1570))),"Zelle from Joe Saunders",IF(AND(ISNUMBER(SEARCH("PAYMENT TO",C1570)),ISNUMBER(SEARCH("JOE SAUNDERS",C1570))),"Zelle to Joe Saunders",IF(OR(ISNUMBER(SEARCH("NEW ORLEANS",C1570)),ISNUMBER(SEARCH("KENNER",C1570)),ISNUMBER(SEARCH("HENRY HOWARD",C1570)),ISNUMBER(SEARCH("MISS CLAUDIA",C1570))),"Personal Travel - New Orleans",IF(AND(YEAR(B1570)=2025,MONTH(B1570)=4,OR(ISNUMBER(SEARCH("EXCHANGE RATE",C1570)),ISNUMBER(SEARCH("EXCHG RTE",C1570)))),"Personal Travel - Italy",IFERROR(INDEX('Category Rules'!$B$2:$B$358,MATCH(TRUE,ISNUMBER(SEARCH('Category Rules'!$A$2:$A$358,C1570)),0)),""))))))))</f>
        <v>Uber Eats</v>
      </c>
    </row>
    <row r="1571" spans="1:7" x14ac:dyDescent="0.25">
      <c r="A1571" t="s">
        <v>6</v>
      </c>
      <c r="B1571" s="1">
        <v>45789</v>
      </c>
      <c r="C1571" t="s">
        <v>1717</v>
      </c>
      <c r="D1571">
        <v>-104.26</v>
      </c>
      <c r="E1571" t="s">
        <v>10</v>
      </c>
      <c r="F1571">
        <v>4946.3</v>
      </c>
      <c r="G1571" t="str" cm="1">
        <f t="array" ref="G1571">IF(AND(ISNUMBER(SEARCH("UBER",C1571)),ISNUMBER(SEARCH("EATS",C1571))),"Uber Eats",IF(LEFT(C1571,6)="CHECK ","Checks Paid",IF(OR(E1571="BILLPAY",ISNUMBER(SEARCH("FRANCHISE TAX",C1571)),ISNUMBER(SEARCH("NEXTLINK",C1571))),"Personal - House Bills",IF(AND(ISNUMBER(SEARCH("PAYMENT FROM",C1571)),ISNUMBER(SEARCH("JOE SAUNDERS",C1571))),"Zelle from Joe Saunders",IF(AND(ISNUMBER(SEARCH("PAYMENT TO",C1571)),ISNUMBER(SEARCH("JOE SAUNDERS",C1571))),"Zelle to Joe Saunders",IF(OR(ISNUMBER(SEARCH("NEW ORLEANS",C1571)),ISNUMBER(SEARCH("KENNER",C1571)),ISNUMBER(SEARCH("HENRY HOWARD",C1571)),ISNUMBER(SEARCH("MISS CLAUDIA",C1571))),"Personal Travel - New Orleans",IF(AND(YEAR(B1571)=2025,MONTH(B1571)=4,OR(ISNUMBER(SEARCH("EXCHANGE RATE",C1571)),ISNUMBER(SEARCH("EXCHG RTE",C1571)))),"Personal Travel - Italy",IFERROR(INDEX('Category Rules'!$B$2:$B$358,MATCH(TRUE,ISNUMBER(SEARCH('Category Rules'!$A$2:$A$358,C1571)),0)),""))))))))</f>
        <v>Uber Eats</v>
      </c>
    </row>
    <row r="1572" spans="1:7" x14ac:dyDescent="0.25">
      <c r="A1572" t="s">
        <v>6</v>
      </c>
      <c r="B1572" s="1">
        <v>45789</v>
      </c>
      <c r="C1572" t="s">
        <v>1718</v>
      </c>
      <c r="D1572">
        <v>-28.95</v>
      </c>
      <c r="E1572" t="s">
        <v>10</v>
      </c>
      <c r="F1572">
        <v>5050.5600000000004</v>
      </c>
      <c r="G1572" t="str" cm="1">
        <f t="array" ref="G1572">IF(AND(ISNUMBER(SEARCH("UBER",C1572)),ISNUMBER(SEARCH("EATS",C1572))),"Uber Eats",IF(LEFT(C1572,6)="CHECK ","Checks Paid",IF(OR(E1572="BILLPAY",ISNUMBER(SEARCH("FRANCHISE TAX",C1572)),ISNUMBER(SEARCH("NEXTLINK",C1572))),"Personal - House Bills",IF(AND(ISNUMBER(SEARCH("PAYMENT FROM",C1572)),ISNUMBER(SEARCH("JOE SAUNDERS",C1572))),"Zelle from Joe Saunders",IF(AND(ISNUMBER(SEARCH("PAYMENT TO",C1572)),ISNUMBER(SEARCH("JOE SAUNDERS",C1572))),"Zelle to Joe Saunders",IF(OR(ISNUMBER(SEARCH("NEW ORLEANS",C1572)),ISNUMBER(SEARCH("KENNER",C1572)),ISNUMBER(SEARCH("HENRY HOWARD",C1572)),ISNUMBER(SEARCH("MISS CLAUDIA",C1572))),"Personal Travel - New Orleans",IF(AND(YEAR(B1572)=2025,MONTH(B1572)=4,OR(ISNUMBER(SEARCH("EXCHANGE RATE",C1572)),ISNUMBER(SEARCH("EXCHG RTE",C1572)))),"Personal Travel - Italy",IFERROR(INDEX('Category Rules'!$B$2:$B$358,MATCH(TRUE,ISNUMBER(SEARCH('Category Rules'!$A$2:$A$358,C1572)),0)),""))))))))</f>
        <v>Personal - Health</v>
      </c>
    </row>
    <row r="1573" spans="1:7" x14ac:dyDescent="0.25">
      <c r="A1573" t="s">
        <v>6</v>
      </c>
      <c r="B1573" s="1">
        <v>45789</v>
      </c>
      <c r="C1573" t="s">
        <v>1719</v>
      </c>
      <c r="D1573">
        <v>-99</v>
      </c>
      <c r="E1573" t="s">
        <v>10</v>
      </c>
      <c r="F1573">
        <v>5079.51</v>
      </c>
      <c r="G1573" t="str" cm="1">
        <f t="array" ref="G1573">IF(AND(ISNUMBER(SEARCH("UBER",C1573)),ISNUMBER(SEARCH("EATS",C1573))),"Uber Eats",IF(LEFT(C1573,6)="CHECK ","Checks Paid",IF(OR(E1573="BILLPAY",ISNUMBER(SEARCH("FRANCHISE TAX",C1573)),ISNUMBER(SEARCH("NEXTLINK",C1573))),"Personal - House Bills",IF(AND(ISNUMBER(SEARCH("PAYMENT FROM",C1573)),ISNUMBER(SEARCH("JOE SAUNDERS",C1573))),"Zelle from Joe Saunders",IF(AND(ISNUMBER(SEARCH("PAYMENT TO",C1573)),ISNUMBER(SEARCH("JOE SAUNDERS",C1573))),"Zelle to Joe Saunders",IF(OR(ISNUMBER(SEARCH("NEW ORLEANS",C1573)),ISNUMBER(SEARCH("KENNER",C1573)),ISNUMBER(SEARCH("HENRY HOWARD",C1573)),ISNUMBER(SEARCH("MISS CLAUDIA",C1573))),"Personal Travel - New Orleans",IF(AND(YEAR(B1573)=2025,MONTH(B1573)=4,OR(ISNUMBER(SEARCH("EXCHANGE RATE",C1573)),ISNUMBER(SEARCH("EXCHG RTE",C1573)))),"Personal Travel - Italy",IFERROR(INDEX('Category Rules'!$B$2:$B$358,MATCH(TRUE,ISNUMBER(SEARCH('Category Rules'!$A$2:$A$358,C1573)),0)),""))))))))</f>
        <v>Personal - Subscription</v>
      </c>
    </row>
    <row r="1574" spans="1:7" x14ac:dyDescent="0.25">
      <c r="A1574" t="s">
        <v>6</v>
      </c>
      <c r="B1574" s="1">
        <v>45789</v>
      </c>
      <c r="C1574" t="s">
        <v>1720</v>
      </c>
      <c r="D1574">
        <v>-21.92</v>
      </c>
      <c r="E1574" t="s">
        <v>10</v>
      </c>
      <c r="F1574">
        <v>5178.51</v>
      </c>
      <c r="G1574" t="str" cm="1">
        <f t="array" ref="G1574">IF(AND(ISNUMBER(SEARCH("UBER",C1574)),ISNUMBER(SEARCH("EATS",C1574))),"Uber Eats",IF(LEFT(C1574,6)="CHECK ","Checks Paid",IF(OR(E1574="BILLPAY",ISNUMBER(SEARCH("FRANCHISE TAX",C1574)),ISNUMBER(SEARCH("NEXTLINK",C1574))),"Personal - House Bills",IF(AND(ISNUMBER(SEARCH("PAYMENT FROM",C1574)),ISNUMBER(SEARCH("JOE SAUNDERS",C1574))),"Zelle from Joe Saunders",IF(AND(ISNUMBER(SEARCH("PAYMENT TO",C1574)),ISNUMBER(SEARCH("JOE SAUNDERS",C1574))),"Zelle to Joe Saunders",IF(OR(ISNUMBER(SEARCH("NEW ORLEANS",C1574)),ISNUMBER(SEARCH("KENNER",C1574)),ISNUMBER(SEARCH("HENRY HOWARD",C1574)),ISNUMBER(SEARCH("MISS CLAUDIA",C1574))),"Personal Travel - New Orleans",IF(AND(YEAR(B1574)=2025,MONTH(B1574)=4,OR(ISNUMBER(SEARCH("EXCHANGE RATE",C1574)),ISNUMBER(SEARCH("EXCHG RTE",C1574)))),"Personal Travel - Italy",IFERROR(INDEX('Category Rules'!$B$2:$B$358,MATCH(TRUE,ISNUMBER(SEARCH('Category Rules'!$A$2:$A$358,C1574)),0)),""))))))))</f>
        <v>Personal - Uber</v>
      </c>
    </row>
    <row r="1575" spans="1:7" x14ac:dyDescent="0.25">
      <c r="A1575" t="s">
        <v>6</v>
      </c>
      <c r="B1575" s="1">
        <v>45789</v>
      </c>
      <c r="C1575" t="s">
        <v>1721</v>
      </c>
      <c r="D1575">
        <v>-127.97</v>
      </c>
      <c r="E1575" t="s">
        <v>10</v>
      </c>
      <c r="F1575">
        <v>5200.43</v>
      </c>
      <c r="G1575" t="str" cm="1">
        <f t="array" ref="G1575">IF(AND(ISNUMBER(SEARCH("UBER",C1575)),ISNUMBER(SEARCH("EATS",C1575))),"Uber Eats",IF(LEFT(C1575,6)="CHECK ","Checks Paid",IF(OR(E1575="BILLPAY",ISNUMBER(SEARCH("FRANCHISE TAX",C1575)),ISNUMBER(SEARCH("NEXTLINK",C1575))),"Personal - House Bills",IF(AND(ISNUMBER(SEARCH("PAYMENT FROM",C1575)),ISNUMBER(SEARCH("JOE SAUNDERS",C1575))),"Zelle from Joe Saunders",IF(AND(ISNUMBER(SEARCH("PAYMENT TO",C1575)),ISNUMBER(SEARCH("JOE SAUNDERS",C1575))),"Zelle to Joe Saunders",IF(OR(ISNUMBER(SEARCH("NEW ORLEANS",C1575)),ISNUMBER(SEARCH("KENNER",C1575)),ISNUMBER(SEARCH("HENRY HOWARD",C1575)),ISNUMBER(SEARCH("MISS CLAUDIA",C1575))),"Personal Travel - New Orleans",IF(AND(YEAR(B1575)=2025,MONTH(B1575)=4,OR(ISNUMBER(SEARCH("EXCHANGE RATE",C1575)),ISNUMBER(SEARCH("EXCHG RTE",C1575)))),"Personal Travel - Italy",IFERROR(INDEX('Category Rules'!$B$2:$B$358,MATCH(TRUE,ISNUMBER(SEARCH('Category Rules'!$A$2:$A$358,C1575)),0)),""))))))))</f>
        <v>Uber Eats</v>
      </c>
    </row>
    <row r="1576" spans="1:7" x14ac:dyDescent="0.25">
      <c r="A1576" t="s">
        <v>6</v>
      </c>
      <c r="B1576" s="1">
        <v>45789</v>
      </c>
      <c r="C1576" t="s">
        <v>1722</v>
      </c>
      <c r="D1576">
        <v>-20.91</v>
      </c>
      <c r="E1576" t="s">
        <v>10</v>
      </c>
      <c r="F1576">
        <v>5328.4</v>
      </c>
      <c r="G1576" t="str" cm="1">
        <f t="array" ref="G1576">IF(AND(ISNUMBER(SEARCH("UBER",C1576)),ISNUMBER(SEARCH("EATS",C1576))),"Uber Eats",IF(LEFT(C1576,6)="CHECK ","Checks Paid",IF(OR(E1576="BILLPAY",ISNUMBER(SEARCH("FRANCHISE TAX",C1576)),ISNUMBER(SEARCH("NEXTLINK",C1576))),"Personal - House Bills",IF(AND(ISNUMBER(SEARCH("PAYMENT FROM",C1576)),ISNUMBER(SEARCH("JOE SAUNDERS",C1576))),"Zelle from Joe Saunders",IF(AND(ISNUMBER(SEARCH("PAYMENT TO",C1576)),ISNUMBER(SEARCH("JOE SAUNDERS",C1576))),"Zelle to Joe Saunders",IF(OR(ISNUMBER(SEARCH("NEW ORLEANS",C1576)),ISNUMBER(SEARCH("KENNER",C1576)),ISNUMBER(SEARCH("HENRY HOWARD",C1576)),ISNUMBER(SEARCH("MISS CLAUDIA",C1576))),"Personal Travel - New Orleans",IF(AND(YEAR(B1576)=2025,MONTH(B1576)=4,OR(ISNUMBER(SEARCH("EXCHANGE RATE",C1576)),ISNUMBER(SEARCH("EXCHG RTE",C1576)))),"Personal Travel - Italy",IFERROR(INDEX('Category Rules'!$B$2:$B$358,MATCH(TRUE,ISNUMBER(SEARCH('Category Rules'!$A$2:$A$358,C1576)),0)),""))))))))</f>
        <v>Personal - Uber</v>
      </c>
    </row>
    <row r="1577" spans="1:7" x14ac:dyDescent="0.25">
      <c r="A1577" t="s">
        <v>6</v>
      </c>
      <c r="B1577" s="1">
        <v>45789</v>
      </c>
      <c r="C1577" t="s">
        <v>1723</v>
      </c>
      <c r="D1577">
        <v>-49</v>
      </c>
      <c r="E1577" t="s">
        <v>10</v>
      </c>
      <c r="F1577">
        <v>5349.31</v>
      </c>
      <c r="G1577" t="str" cm="1">
        <f t="array" ref="G1577">IF(AND(ISNUMBER(SEARCH("UBER",C1577)),ISNUMBER(SEARCH("EATS",C1577))),"Uber Eats",IF(LEFT(C1577,6)="CHECK ","Checks Paid",IF(OR(E1577="BILLPAY",ISNUMBER(SEARCH("FRANCHISE TAX",C1577)),ISNUMBER(SEARCH("NEXTLINK",C1577))),"Personal - House Bills",IF(AND(ISNUMBER(SEARCH("PAYMENT FROM",C1577)),ISNUMBER(SEARCH("JOE SAUNDERS",C1577))),"Zelle from Joe Saunders",IF(AND(ISNUMBER(SEARCH("PAYMENT TO",C1577)),ISNUMBER(SEARCH("JOE SAUNDERS",C1577))),"Zelle to Joe Saunders",IF(OR(ISNUMBER(SEARCH("NEW ORLEANS",C1577)),ISNUMBER(SEARCH("KENNER",C1577)),ISNUMBER(SEARCH("HENRY HOWARD",C1577)),ISNUMBER(SEARCH("MISS CLAUDIA",C1577))),"Personal Travel - New Orleans",IF(AND(YEAR(B1577)=2025,MONTH(B1577)=4,OR(ISNUMBER(SEARCH("EXCHANGE RATE",C1577)),ISNUMBER(SEARCH("EXCHG RTE",C1577)))),"Personal Travel - Italy",IFERROR(INDEX('Category Rules'!$B$2:$B$358,MATCH(TRUE,ISNUMBER(SEARCH('Category Rules'!$A$2:$A$358,C1577)),0)),""))))))))</f>
        <v>Personal - Subscription</v>
      </c>
    </row>
    <row r="1578" spans="1:7" x14ac:dyDescent="0.25">
      <c r="A1578" t="s">
        <v>6</v>
      </c>
      <c r="B1578" s="1">
        <v>45789</v>
      </c>
      <c r="C1578" t="s">
        <v>1724</v>
      </c>
      <c r="D1578">
        <v>-17.59</v>
      </c>
      <c r="E1578" t="s">
        <v>10</v>
      </c>
      <c r="F1578">
        <v>5398.31</v>
      </c>
      <c r="G1578" t="str" cm="1">
        <f t="array" ref="G1578">IF(AND(ISNUMBER(SEARCH("UBER",C1578)),ISNUMBER(SEARCH("EATS",C1578))),"Uber Eats",IF(LEFT(C1578,6)="CHECK ","Checks Paid",IF(OR(E1578="BILLPAY",ISNUMBER(SEARCH("FRANCHISE TAX",C1578)),ISNUMBER(SEARCH("NEXTLINK",C1578))),"Personal - House Bills",IF(AND(ISNUMBER(SEARCH("PAYMENT FROM",C1578)),ISNUMBER(SEARCH("JOE SAUNDERS",C1578))),"Zelle from Joe Saunders",IF(AND(ISNUMBER(SEARCH("PAYMENT TO",C1578)),ISNUMBER(SEARCH("JOE SAUNDERS",C1578))),"Zelle to Joe Saunders",IF(OR(ISNUMBER(SEARCH("NEW ORLEANS",C1578)),ISNUMBER(SEARCH("KENNER",C1578)),ISNUMBER(SEARCH("HENRY HOWARD",C1578)),ISNUMBER(SEARCH("MISS CLAUDIA",C1578))),"Personal Travel - New Orleans",IF(AND(YEAR(B1578)=2025,MONTH(B1578)=4,OR(ISNUMBER(SEARCH("EXCHANGE RATE",C1578)),ISNUMBER(SEARCH("EXCHG RTE",C1578)))),"Personal Travel - Italy",IFERROR(INDEX('Category Rules'!$B$2:$B$358,MATCH(TRUE,ISNUMBER(SEARCH('Category Rules'!$A$2:$A$358,C1578)),0)),""))))))))</f>
        <v>Personal - Clothing</v>
      </c>
    </row>
    <row r="1579" spans="1:7" x14ac:dyDescent="0.25">
      <c r="A1579" t="s">
        <v>6</v>
      </c>
      <c r="B1579" s="1">
        <v>45789</v>
      </c>
      <c r="C1579" t="s">
        <v>1725</v>
      </c>
      <c r="D1579">
        <v>-76.459999999999994</v>
      </c>
      <c r="E1579" t="s">
        <v>10</v>
      </c>
      <c r="F1579">
        <v>5415.9</v>
      </c>
      <c r="G1579" t="str" cm="1">
        <f t="array" ref="G1579">IF(AND(ISNUMBER(SEARCH("UBER",C1579)),ISNUMBER(SEARCH("EATS",C1579))),"Uber Eats",IF(LEFT(C1579,6)="CHECK ","Checks Paid",IF(OR(E1579="BILLPAY",ISNUMBER(SEARCH("FRANCHISE TAX",C1579)),ISNUMBER(SEARCH("NEXTLINK",C1579))),"Personal - House Bills",IF(AND(ISNUMBER(SEARCH("PAYMENT FROM",C1579)),ISNUMBER(SEARCH("JOE SAUNDERS",C1579))),"Zelle from Joe Saunders",IF(AND(ISNUMBER(SEARCH("PAYMENT TO",C1579)),ISNUMBER(SEARCH("JOE SAUNDERS",C1579))),"Zelle to Joe Saunders",IF(OR(ISNUMBER(SEARCH("NEW ORLEANS",C1579)),ISNUMBER(SEARCH("KENNER",C1579)),ISNUMBER(SEARCH("HENRY HOWARD",C1579)),ISNUMBER(SEARCH("MISS CLAUDIA",C1579))),"Personal Travel - New Orleans",IF(AND(YEAR(B1579)=2025,MONTH(B1579)=4,OR(ISNUMBER(SEARCH("EXCHANGE RATE",C1579)),ISNUMBER(SEARCH("EXCHG RTE",C1579)))),"Personal Travel - Italy",IFERROR(INDEX('Category Rules'!$B$2:$B$358,MATCH(TRUE,ISNUMBER(SEARCH('Category Rules'!$A$2:$A$358,C1579)),0)),""))))))))</f>
        <v>Personal - Food</v>
      </c>
    </row>
    <row r="1580" spans="1:7" x14ac:dyDescent="0.25">
      <c r="A1580" t="s">
        <v>6</v>
      </c>
      <c r="B1580" s="1">
        <v>45789</v>
      </c>
      <c r="C1580" t="s">
        <v>1726</v>
      </c>
      <c r="D1580">
        <v>-22.24</v>
      </c>
      <c r="E1580" t="s">
        <v>10</v>
      </c>
      <c r="F1580">
        <v>5492.36</v>
      </c>
      <c r="G1580" t="str" cm="1">
        <f t="array" ref="G1580">IF(AND(ISNUMBER(SEARCH("UBER",C1580)),ISNUMBER(SEARCH("EATS",C1580))),"Uber Eats",IF(LEFT(C1580,6)="CHECK ","Checks Paid",IF(OR(E1580="BILLPAY",ISNUMBER(SEARCH("FRANCHISE TAX",C1580)),ISNUMBER(SEARCH("NEXTLINK",C1580))),"Personal - House Bills",IF(AND(ISNUMBER(SEARCH("PAYMENT FROM",C1580)),ISNUMBER(SEARCH("JOE SAUNDERS",C1580))),"Zelle from Joe Saunders",IF(AND(ISNUMBER(SEARCH("PAYMENT TO",C1580)),ISNUMBER(SEARCH("JOE SAUNDERS",C1580))),"Zelle to Joe Saunders",IF(OR(ISNUMBER(SEARCH("NEW ORLEANS",C1580)),ISNUMBER(SEARCH("KENNER",C1580)),ISNUMBER(SEARCH("HENRY HOWARD",C1580)),ISNUMBER(SEARCH("MISS CLAUDIA",C1580))),"Personal Travel - New Orleans",IF(AND(YEAR(B1580)=2025,MONTH(B1580)=4,OR(ISNUMBER(SEARCH("EXCHANGE RATE",C1580)),ISNUMBER(SEARCH("EXCHG RTE",C1580)))),"Personal Travel - Italy",IFERROR(INDEX('Category Rules'!$B$2:$B$358,MATCH(TRUE,ISNUMBER(SEARCH('Category Rules'!$A$2:$A$358,C1580)),0)),""))))))))</f>
        <v>Amazon</v>
      </c>
    </row>
    <row r="1581" spans="1:7" x14ac:dyDescent="0.25">
      <c r="A1581" t="s">
        <v>6</v>
      </c>
      <c r="B1581" s="1">
        <v>45789</v>
      </c>
      <c r="C1581" t="s">
        <v>1727</v>
      </c>
      <c r="D1581">
        <v>-35.229999999999997</v>
      </c>
      <c r="E1581" t="s">
        <v>10</v>
      </c>
      <c r="F1581">
        <v>5514.6</v>
      </c>
      <c r="G1581" t="str" cm="1">
        <f t="array" ref="G1581">IF(AND(ISNUMBER(SEARCH("UBER",C1581)),ISNUMBER(SEARCH("EATS",C1581))),"Uber Eats",IF(LEFT(C1581,6)="CHECK ","Checks Paid",IF(OR(E1581="BILLPAY",ISNUMBER(SEARCH("FRANCHISE TAX",C1581)),ISNUMBER(SEARCH("NEXTLINK",C1581))),"Personal - House Bills",IF(AND(ISNUMBER(SEARCH("PAYMENT FROM",C1581)),ISNUMBER(SEARCH("JOE SAUNDERS",C1581))),"Zelle from Joe Saunders",IF(AND(ISNUMBER(SEARCH("PAYMENT TO",C1581)),ISNUMBER(SEARCH("JOE SAUNDERS",C1581))),"Zelle to Joe Saunders",IF(OR(ISNUMBER(SEARCH("NEW ORLEANS",C1581)),ISNUMBER(SEARCH("KENNER",C1581)),ISNUMBER(SEARCH("HENRY HOWARD",C1581)),ISNUMBER(SEARCH("MISS CLAUDIA",C1581))),"Personal Travel - New Orleans",IF(AND(YEAR(B1581)=2025,MONTH(B1581)=4,OR(ISNUMBER(SEARCH("EXCHANGE RATE",C1581)),ISNUMBER(SEARCH("EXCHG RTE",C1581)))),"Personal Travel - Italy",IFERROR(INDEX('Category Rules'!$B$2:$B$358,MATCH(TRUE,ISNUMBER(SEARCH('Category Rules'!$A$2:$A$358,C1581)),0)),""))))))))</f>
        <v>Amazon</v>
      </c>
    </row>
    <row r="1582" spans="1:7" x14ac:dyDescent="0.25">
      <c r="A1582" t="s">
        <v>44</v>
      </c>
      <c r="B1582" s="1">
        <v>45789</v>
      </c>
      <c r="C1582" t="s">
        <v>1728</v>
      </c>
      <c r="D1582">
        <v>3548</v>
      </c>
      <c r="E1582" t="s">
        <v>339</v>
      </c>
      <c r="F1582">
        <v>5549.83</v>
      </c>
      <c r="G1582" t="str" cm="1">
        <f t="array" ref="G1582">IF(AND(ISNUMBER(SEARCH("UBER",C1582)),ISNUMBER(SEARCH("EATS",C1582))),"Uber Eats",IF(LEFT(C1582,6)="CHECK ","Checks Paid",IF(OR(E1582="BILLPAY",ISNUMBER(SEARCH("FRANCHISE TAX",C1582)),ISNUMBER(SEARCH("NEXTLINK",C1582))),"Personal - House Bills",IF(AND(ISNUMBER(SEARCH("PAYMENT FROM",C1582)),ISNUMBER(SEARCH("JOE SAUNDERS",C1582))),"Zelle from Joe Saunders",IF(AND(ISNUMBER(SEARCH("PAYMENT TO",C1582)),ISNUMBER(SEARCH("JOE SAUNDERS",C1582))),"Zelle to Joe Saunders",IF(OR(ISNUMBER(SEARCH("NEW ORLEANS",C1582)),ISNUMBER(SEARCH("KENNER",C1582)),ISNUMBER(SEARCH("HENRY HOWARD",C1582)),ISNUMBER(SEARCH("MISS CLAUDIA",C1582))),"Personal Travel - New Orleans",IF(AND(YEAR(B1582)=2025,MONTH(B1582)=4,OR(ISNUMBER(SEARCH("EXCHANGE RATE",C1582)),ISNUMBER(SEARCH("EXCHG RTE",C1582)))),"Personal Travel - Italy",IFERROR(INDEX('Category Rules'!$B$2:$B$358,MATCH(TRUE,ISNUMBER(SEARCH('Category Rules'!$A$2:$A$358,C1582)),0)),""))))))))</f>
        <v>Deposit</v>
      </c>
    </row>
    <row r="1583" spans="1:7" x14ac:dyDescent="0.25">
      <c r="A1583" t="s">
        <v>6</v>
      </c>
      <c r="B1583" s="1">
        <v>45786</v>
      </c>
      <c r="C1583" t="s">
        <v>1729</v>
      </c>
      <c r="D1583">
        <v>-30.96</v>
      </c>
      <c r="E1583" t="s">
        <v>10</v>
      </c>
      <c r="F1583">
        <v>2001.83</v>
      </c>
      <c r="G1583" t="str" cm="1">
        <f t="array" ref="G1583">IF(AND(ISNUMBER(SEARCH("UBER",C1583)),ISNUMBER(SEARCH("EATS",C1583))),"Uber Eats",IF(LEFT(C1583,6)="CHECK ","Checks Paid",IF(OR(E1583="BILLPAY",ISNUMBER(SEARCH("FRANCHISE TAX",C1583)),ISNUMBER(SEARCH("NEXTLINK",C1583))),"Personal - House Bills",IF(AND(ISNUMBER(SEARCH("PAYMENT FROM",C1583)),ISNUMBER(SEARCH("JOE SAUNDERS",C1583))),"Zelle from Joe Saunders",IF(AND(ISNUMBER(SEARCH("PAYMENT TO",C1583)),ISNUMBER(SEARCH("JOE SAUNDERS",C1583))),"Zelle to Joe Saunders",IF(OR(ISNUMBER(SEARCH("NEW ORLEANS",C1583)),ISNUMBER(SEARCH("KENNER",C1583)),ISNUMBER(SEARCH("HENRY HOWARD",C1583)),ISNUMBER(SEARCH("MISS CLAUDIA",C1583))),"Personal Travel - New Orleans",IF(AND(YEAR(B1583)=2025,MONTH(B1583)=4,OR(ISNUMBER(SEARCH("EXCHANGE RATE",C1583)),ISNUMBER(SEARCH("EXCHG RTE",C1583)))),"Personal Travel - Italy",IFERROR(INDEX('Category Rules'!$B$2:$B$358,MATCH(TRUE,ISNUMBER(SEARCH('Category Rules'!$A$2:$A$358,C1583)),0)),""))))))))</f>
        <v>Personal - Uber</v>
      </c>
    </row>
    <row r="1584" spans="1:7" x14ac:dyDescent="0.25">
      <c r="A1584" t="s">
        <v>6</v>
      </c>
      <c r="B1584" s="1">
        <v>45786</v>
      </c>
      <c r="C1584" t="s">
        <v>1730</v>
      </c>
      <c r="D1584">
        <v>-12.99</v>
      </c>
      <c r="E1584" t="s">
        <v>10</v>
      </c>
      <c r="F1584">
        <v>2032.79</v>
      </c>
      <c r="G1584" t="str" cm="1">
        <f t="array" ref="G1584">IF(AND(ISNUMBER(SEARCH("UBER",C1584)),ISNUMBER(SEARCH("EATS",C1584))),"Uber Eats",IF(LEFT(C1584,6)="CHECK ","Checks Paid",IF(OR(E1584="BILLPAY",ISNUMBER(SEARCH("FRANCHISE TAX",C1584)),ISNUMBER(SEARCH("NEXTLINK",C1584))),"Personal - House Bills",IF(AND(ISNUMBER(SEARCH("PAYMENT FROM",C1584)),ISNUMBER(SEARCH("JOE SAUNDERS",C1584))),"Zelle from Joe Saunders",IF(AND(ISNUMBER(SEARCH("PAYMENT TO",C1584)),ISNUMBER(SEARCH("JOE SAUNDERS",C1584))),"Zelle to Joe Saunders",IF(OR(ISNUMBER(SEARCH("NEW ORLEANS",C1584)),ISNUMBER(SEARCH("KENNER",C1584)),ISNUMBER(SEARCH("HENRY HOWARD",C1584)),ISNUMBER(SEARCH("MISS CLAUDIA",C1584))),"Personal Travel - New Orleans",IF(AND(YEAR(B1584)=2025,MONTH(B1584)=4,OR(ISNUMBER(SEARCH("EXCHANGE RATE",C1584)),ISNUMBER(SEARCH("EXCHG RTE",C1584)))),"Personal Travel - Italy",IFERROR(INDEX('Category Rules'!$B$2:$B$358,MATCH(TRUE,ISNUMBER(SEARCH('Category Rules'!$A$2:$A$358,C1584)),0)),""))))))))</f>
        <v>Apple</v>
      </c>
    </row>
    <row r="1585" spans="1:7" x14ac:dyDescent="0.25">
      <c r="A1585" t="s">
        <v>6</v>
      </c>
      <c r="B1585" s="1">
        <v>45786</v>
      </c>
      <c r="C1585" t="s">
        <v>1731</v>
      </c>
      <c r="D1585">
        <v>-22.95</v>
      </c>
      <c r="E1585" t="s">
        <v>10</v>
      </c>
      <c r="F1585">
        <v>2045.78</v>
      </c>
      <c r="G1585" t="str" cm="1">
        <f t="array" ref="G1585">IF(AND(ISNUMBER(SEARCH("UBER",C1585)),ISNUMBER(SEARCH("EATS",C1585))),"Uber Eats",IF(LEFT(C1585,6)="CHECK ","Checks Paid",IF(OR(E1585="BILLPAY",ISNUMBER(SEARCH("FRANCHISE TAX",C1585)),ISNUMBER(SEARCH("NEXTLINK",C1585))),"Personal - House Bills",IF(AND(ISNUMBER(SEARCH("PAYMENT FROM",C1585)),ISNUMBER(SEARCH("JOE SAUNDERS",C1585))),"Zelle from Joe Saunders",IF(AND(ISNUMBER(SEARCH("PAYMENT TO",C1585)),ISNUMBER(SEARCH("JOE SAUNDERS",C1585))),"Zelle to Joe Saunders",IF(OR(ISNUMBER(SEARCH("NEW ORLEANS",C1585)),ISNUMBER(SEARCH("KENNER",C1585)),ISNUMBER(SEARCH("HENRY HOWARD",C1585)),ISNUMBER(SEARCH("MISS CLAUDIA",C1585))),"Personal Travel - New Orleans",IF(AND(YEAR(B1585)=2025,MONTH(B1585)=4,OR(ISNUMBER(SEARCH("EXCHANGE RATE",C1585)),ISNUMBER(SEARCH("EXCHG RTE",C1585)))),"Personal Travel - Italy",IFERROR(INDEX('Category Rules'!$B$2:$B$358,MATCH(TRUE,ISNUMBER(SEARCH('Category Rules'!$A$2:$A$358,C1585)),0)),""))))))))</f>
        <v>Personal - Uber</v>
      </c>
    </row>
    <row r="1586" spans="1:7" x14ac:dyDescent="0.25">
      <c r="A1586" t="s">
        <v>6</v>
      </c>
      <c r="B1586" s="1">
        <v>45786</v>
      </c>
      <c r="C1586" t="s">
        <v>1732</v>
      </c>
      <c r="D1586">
        <v>-80.22</v>
      </c>
      <c r="E1586" t="s">
        <v>10</v>
      </c>
      <c r="F1586">
        <v>2068.73</v>
      </c>
      <c r="G1586" t="str" cm="1">
        <f t="array" ref="G1586">IF(AND(ISNUMBER(SEARCH("UBER",C1586)),ISNUMBER(SEARCH("EATS",C1586))),"Uber Eats",IF(LEFT(C1586,6)="CHECK ","Checks Paid",IF(OR(E1586="BILLPAY",ISNUMBER(SEARCH("FRANCHISE TAX",C1586)),ISNUMBER(SEARCH("NEXTLINK",C1586))),"Personal - House Bills",IF(AND(ISNUMBER(SEARCH("PAYMENT FROM",C1586)),ISNUMBER(SEARCH("JOE SAUNDERS",C1586))),"Zelle from Joe Saunders",IF(AND(ISNUMBER(SEARCH("PAYMENT TO",C1586)),ISNUMBER(SEARCH("JOE SAUNDERS",C1586))),"Zelle to Joe Saunders",IF(OR(ISNUMBER(SEARCH("NEW ORLEANS",C1586)),ISNUMBER(SEARCH("KENNER",C1586)),ISNUMBER(SEARCH("HENRY HOWARD",C1586)),ISNUMBER(SEARCH("MISS CLAUDIA",C1586))),"Personal Travel - New Orleans",IF(AND(YEAR(B1586)=2025,MONTH(B1586)=4,OR(ISNUMBER(SEARCH("EXCHANGE RATE",C1586)),ISNUMBER(SEARCH("EXCHG RTE",C1586)))),"Personal Travel - Italy",IFERROR(INDEX('Category Rules'!$B$2:$B$358,MATCH(TRUE,ISNUMBER(SEARCH('Category Rules'!$A$2:$A$358,C1586)),0)),""))))))))</f>
        <v>Uber Eats</v>
      </c>
    </row>
    <row r="1587" spans="1:7" x14ac:dyDescent="0.25">
      <c r="A1587" t="s">
        <v>6</v>
      </c>
      <c r="B1587" s="1">
        <v>45786</v>
      </c>
      <c r="C1587" t="s">
        <v>1733</v>
      </c>
      <c r="D1587">
        <v>-6.99</v>
      </c>
      <c r="E1587" t="s">
        <v>10</v>
      </c>
      <c r="F1587">
        <v>2148.9499999999998</v>
      </c>
      <c r="G1587" t="str" cm="1">
        <f t="array" ref="G1587">IF(AND(ISNUMBER(SEARCH("UBER",C1587)),ISNUMBER(SEARCH("EATS",C1587))),"Uber Eats",IF(LEFT(C1587,6)="CHECK ","Checks Paid",IF(OR(E1587="BILLPAY",ISNUMBER(SEARCH("FRANCHISE TAX",C1587)),ISNUMBER(SEARCH("NEXTLINK",C1587))),"Personal - House Bills",IF(AND(ISNUMBER(SEARCH("PAYMENT FROM",C1587)),ISNUMBER(SEARCH("JOE SAUNDERS",C1587))),"Zelle from Joe Saunders",IF(AND(ISNUMBER(SEARCH("PAYMENT TO",C1587)),ISNUMBER(SEARCH("JOE SAUNDERS",C1587))),"Zelle to Joe Saunders",IF(OR(ISNUMBER(SEARCH("NEW ORLEANS",C1587)),ISNUMBER(SEARCH("KENNER",C1587)),ISNUMBER(SEARCH("HENRY HOWARD",C1587)),ISNUMBER(SEARCH("MISS CLAUDIA",C1587))),"Personal Travel - New Orleans",IF(AND(YEAR(B1587)=2025,MONTH(B1587)=4,OR(ISNUMBER(SEARCH("EXCHANGE RATE",C1587)),ISNUMBER(SEARCH("EXCHG RTE",C1587)))),"Personal Travel - Italy",IFERROR(INDEX('Category Rules'!$B$2:$B$358,MATCH(TRUE,ISNUMBER(SEARCH('Category Rules'!$A$2:$A$358,C1587)),0)),""))))))))</f>
        <v>Apple</v>
      </c>
    </row>
    <row r="1588" spans="1:7" x14ac:dyDescent="0.25">
      <c r="A1588" t="s">
        <v>6</v>
      </c>
      <c r="B1588" s="1">
        <v>45786</v>
      </c>
      <c r="C1588" t="s">
        <v>1734</v>
      </c>
      <c r="D1588">
        <v>-10.95</v>
      </c>
      <c r="E1588" t="s">
        <v>10</v>
      </c>
      <c r="F1588">
        <v>2155.94</v>
      </c>
      <c r="G1588" t="str" cm="1">
        <f t="array" ref="G1588">IF(AND(ISNUMBER(SEARCH("UBER",C1588)),ISNUMBER(SEARCH("EATS",C1588))),"Uber Eats",IF(LEFT(C1588,6)="CHECK ","Checks Paid",IF(OR(E1588="BILLPAY",ISNUMBER(SEARCH("FRANCHISE TAX",C1588)),ISNUMBER(SEARCH("NEXTLINK",C1588))),"Personal - House Bills",IF(AND(ISNUMBER(SEARCH("PAYMENT FROM",C1588)),ISNUMBER(SEARCH("JOE SAUNDERS",C1588))),"Zelle from Joe Saunders",IF(AND(ISNUMBER(SEARCH("PAYMENT TO",C1588)),ISNUMBER(SEARCH("JOE SAUNDERS",C1588))),"Zelle to Joe Saunders",IF(OR(ISNUMBER(SEARCH("NEW ORLEANS",C1588)),ISNUMBER(SEARCH("KENNER",C1588)),ISNUMBER(SEARCH("HENRY HOWARD",C1588)),ISNUMBER(SEARCH("MISS CLAUDIA",C1588))),"Personal Travel - New Orleans",IF(AND(YEAR(B1588)=2025,MONTH(B1588)=4,OR(ISNUMBER(SEARCH("EXCHANGE RATE",C1588)),ISNUMBER(SEARCH("EXCHG RTE",C1588)))),"Personal Travel - Italy",IFERROR(INDEX('Category Rules'!$B$2:$B$358,MATCH(TRUE,ISNUMBER(SEARCH('Category Rules'!$A$2:$A$358,C1588)),0)),""))))))))</f>
        <v>Amazon</v>
      </c>
    </row>
    <row r="1589" spans="1:7" x14ac:dyDescent="0.25">
      <c r="A1589" t="s">
        <v>6</v>
      </c>
      <c r="B1589" s="1">
        <v>45786</v>
      </c>
      <c r="C1589" t="s">
        <v>1735</v>
      </c>
      <c r="D1589">
        <v>-219</v>
      </c>
      <c r="E1589" t="s">
        <v>10</v>
      </c>
      <c r="F1589">
        <v>2166.89</v>
      </c>
      <c r="G1589" t="str" cm="1">
        <f t="array" ref="G1589">IF(AND(ISNUMBER(SEARCH("UBER",C1589)),ISNUMBER(SEARCH("EATS",C1589))),"Uber Eats",IF(LEFT(C1589,6)="CHECK ","Checks Paid",IF(OR(E1589="BILLPAY",ISNUMBER(SEARCH("FRANCHISE TAX",C1589)),ISNUMBER(SEARCH("NEXTLINK",C1589))),"Personal - House Bills",IF(AND(ISNUMBER(SEARCH("PAYMENT FROM",C1589)),ISNUMBER(SEARCH("JOE SAUNDERS",C1589))),"Zelle from Joe Saunders",IF(AND(ISNUMBER(SEARCH("PAYMENT TO",C1589)),ISNUMBER(SEARCH("JOE SAUNDERS",C1589))),"Zelle to Joe Saunders",IF(OR(ISNUMBER(SEARCH("NEW ORLEANS",C1589)),ISNUMBER(SEARCH("KENNER",C1589)),ISNUMBER(SEARCH("HENRY HOWARD",C1589)),ISNUMBER(SEARCH("MISS CLAUDIA",C1589))),"Personal Travel - New Orleans",IF(AND(YEAR(B1589)=2025,MONTH(B1589)=4,OR(ISNUMBER(SEARCH("EXCHANGE RATE",C1589)),ISNUMBER(SEARCH("EXCHG RTE",C1589)))),"Personal Travel - Italy",IFERROR(INDEX('Category Rules'!$B$2:$B$358,MATCH(TRUE,ISNUMBER(SEARCH('Category Rules'!$A$2:$A$358,C1589)),0)),""))))))))</f>
        <v>Personal - Shopping</v>
      </c>
    </row>
    <row r="1590" spans="1:7" x14ac:dyDescent="0.25">
      <c r="A1590" t="s">
        <v>6</v>
      </c>
      <c r="B1590" s="1">
        <v>45785</v>
      </c>
      <c r="C1590" t="s">
        <v>1736</v>
      </c>
      <c r="D1590">
        <v>-160.09</v>
      </c>
      <c r="E1590" t="s">
        <v>10</v>
      </c>
      <c r="F1590">
        <v>2385.89</v>
      </c>
      <c r="G1590" t="str" cm="1">
        <f t="array" ref="G1590">IF(AND(ISNUMBER(SEARCH("UBER",C1590)),ISNUMBER(SEARCH("EATS",C1590))),"Uber Eats",IF(LEFT(C1590,6)="CHECK ","Checks Paid",IF(OR(E1590="BILLPAY",ISNUMBER(SEARCH("FRANCHISE TAX",C1590)),ISNUMBER(SEARCH("NEXTLINK",C1590))),"Personal - House Bills",IF(AND(ISNUMBER(SEARCH("PAYMENT FROM",C1590)),ISNUMBER(SEARCH("JOE SAUNDERS",C1590))),"Zelle from Joe Saunders",IF(AND(ISNUMBER(SEARCH("PAYMENT TO",C1590)),ISNUMBER(SEARCH("JOE SAUNDERS",C1590))),"Zelle to Joe Saunders",IF(OR(ISNUMBER(SEARCH("NEW ORLEANS",C1590)),ISNUMBER(SEARCH("KENNER",C1590)),ISNUMBER(SEARCH("HENRY HOWARD",C1590)),ISNUMBER(SEARCH("MISS CLAUDIA",C1590))),"Personal Travel - New Orleans",IF(AND(YEAR(B1590)=2025,MONTH(B1590)=4,OR(ISNUMBER(SEARCH("EXCHANGE RATE",C1590)),ISNUMBER(SEARCH("EXCHG RTE",C1590)))),"Personal Travel - Italy",IFERROR(INDEX('Category Rules'!$B$2:$B$358,MATCH(TRUE,ISNUMBER(SEARCH('Category Rules'!$A$2:$A$358,C1590)),0)),""))))))))</f>
        <v>Personal - Misc</v>
      </c>
    </row>
    <row r="1591" spans="1:7" x14ac:dyDescent="0.25">
      <c r="A1591" t="s">
        <v>6</v>
      </c>
      <c r="B1591" s="1">
        <v>45785</v>
      </c>
      <c r="C1591" t="s">
        <v>1737</v>
      </c>
      <c r="D1591">
        <v>-108.39</v>
      </c>
      <c r="E1591" t="s">
        <v>10</v>
      </c>
      <c r="F1591">
        <v>2545.98</v>
      </c>
      <c r="G1591" t="str" cm="1">
        <f t="array" ref="G1591">IF(AND(ISNUMBER(SEARCH("UBER",C1591)),ISNUMBER(SEARCH("EATS",C1591))),"Uber Eats",IF(LEFT(C1591,6)="CHECK ","Checks Paid",IF(OR(E1591="BILLPAY",ISNUMBER(SEARCH("FRANCHISE TAX",C1591)),ISNUMBER(SEARCH("NEXTLINK",C1591))),"Personal - House Bills",IF(AND(ISNUMBER(SEARCH("PAYMENT FROM",C1591)),ISNUMBER(SEARCH("JOE SAUNDERS",C1591))),"Zelle from Joe Saunders",IF(AND(ISNUMBER(SEARCH("PAYMENT TO",C1591)),ISNUMBER(SEARCH("JOE SAUNDERS",C1591))),"Zelle to Joe Saunders",IF(OR(ISNUMBER(SEARCH("NEW ORLEANS",C1591)),ISNUMBER(SEARCH("KENNER",C1591)),ISNUMBER(SEARCH("HENRY HOWARD",C1591)),ISNUMBER(SEARCH("MISS CLAUDIA",C1591))),"Personal Travel - New Orleans",IF(AND(YEAR(B1591)=2025,MONTH(B1591)=4,OR(ISNUMBER(SEARCH("EXCHANGE RATE",C1591)),ISNUMBER(SEARCH("EXCHG RTE",C1591)))),"Personal Travel - Italy",IFERROR(INDEX('Category Rules'!$B$2:$B$358,MATCH(TRUE,ISNUMBER(SEARCH('Category Rules'!$A$2:$A$358,C1591)),0)),""))))))))</f>
        <v>Personal - Food</v>
      </c>
    </row>
    <row r="1592" spans="1:7" x14ac:dyDescent="0.25">
      <c r="A1592" t="s">
        <v>6</v>
      </c>
      <c r="B1592" s="1">
        <v>45785</v>
      </c>
      <c r="C1592" t="s">
        <v>1738</v>
      </c>
      <c r="D1592">
        <v>-30.92</v>
      </c>
      <c r="E1592" t="s">
        <v>10</v>
      </c>
      <c r="F1592">
        <v>2654.37</v>
      </c>
      <c r="G1592" t="str" cm="1">
        <f t="array" ref="G1592">IF(AND(ISNUMBER(SEARCH("UBER",C1592)),ISNUMBER(SEARCH("EATS",C1592))),"Uber Eats",IF(LEFT(C1592,6)="CHECK ","Checks Paid",IF(OR(E1592="BILLPAY",ISNUMBER(SEARCH("FRANCHISE TAX",C1592)),ISNUMBER(SEARCH("NEXTLINK",C1592))),"Personal - House Bills",IF(AND(ISNUMBER(SEARCH("PAYMENT FROM",C1592)),ISNUMBER(SEARCH("JOE SAUNDERS",C1592))),"Zelle from Joe Saunders",IF(AND(ISNUMBER(SEARCH("PAYMENT TO",C1592)),ISNUMBER(SEARCH("JOE SAUNDERS",C1592))),"Zelle to Joe Saunders",IF(OR(ISNUMBER(SEARCH("NEW ORLEANS",C1592)),ISNUMBER(SEARCH("KENNER",C1592)),ISNUMBER(SEARCH("HENRY HOWARD",C1592)),ISNUMBER(SEARCH("MISS CLAUDIA",C1592))),"Personal Travel - New Orleans",IF(AND(YEAR(B1592)=2025,MONTH(B1592)=4,OR(ISNUMBER(SEARCH("EXCHANGE RATE",C1592)),ISNUMBER(SEARCH("EXCHG RTE",C1592)))),"Personal Travel - Italy",IFERROR(INDEX('Category Rules'!$B$2:$B$358,MATCH(TRUE,ISNUMBER(SEARCH('Category Rules'!$A$2:$A$358,C1592)),0)),""))))))))</f>
        <v>Uber Eats</v>
      </c>
    </row>
    <row r="1593" spans="1:7" x14ac:dyDescent="0.25">
      <c r="A1593" t="s">
        <v>6</v>
      </c>
      <c r="B1593" s="1">
        <v>45785</v>
      </c>
      <c r="C1593" t="s">
        <v>1739</v>
      </c>
      <c r="D1593">
        <v>-26.91</v>
      </c>
      <c r="E1593" t="s">
        <v>10</v>
      </c>
      <c r="F1593">
        <v>2685.29</v>
      </c>
      <c r="G1593" t="str" cm="1">
        <f t="array" ref="G1593">IF(AND(ISNUMBER(SEARCH("UBER",C1593)),ISNUMBER(SEARCH("EATS",C1593))),"Uber Eats",IF(LEFT(C1593,6)="CHECK ","Checks Paid",IF(OR(E1593="BILLPAY",ISNUMBER(SEARCH("FRANCHISE TAX",C1593)),ISNUMBER(SEARCH("NEXTLINK",C1593))),"Personal - House Bills",IF(AND(ISNUMBER(SEARCH("PAYMENT FROM",C1593)),ISNUMBER(SEARCH("JOE SAUNDERS",C1593))),"Zelle from Joe Saunders",IF(AND(ISNUMBER(SEARCH("PAYMENT TO",C1593)),ISNUMBER(SEARCH("JOE SAUNDERS",C1593))),"Zelle to Joe Saunders",IF(OR(ISNUMBER(SEARCH("NEW ORLEANS",C1593)),ISNUMBER(SEARCH("KENNER",C1593)),ISNUMBER(SEARCH("HENRY HOWARD",C1593)),ISNUMBER(SEARCH("MISS CLAUDIA",C1593))),"Personal Travel - New Orleans",IF(AND(YEAR(B1593)=2025,MONTH(B1593)=4,OR(ISNUMBER(SEARCH("EXCHANGE RATE",C1593)),ISNUMBER(SEARCH("EXCHG RTE",C1593)))),"Personal Travel - Italy",IFERROR(INDEX('Category Rules'!$B$2:$B$358,MATCH(TRUE,ISNUMBER(SEARCH('Category Rules'!$A$2:$A$358,C1593)),0)),""))))))))</f>
        <v>Personal - Uber</v>
      </c>
    </row>
    <row r="1594" spans="1:7" x14ac:dyDescent="0.25">
      <c r="A1594" t="s">
        <v>6</v>
      </c>
      <c r="B1594" s="1">
        <v>45785</v>
      </c>
      <c r="C1594" t="s">
        <v>1740</v>
      </c>
      <c r="D1594">
        <v>-46.06</v>
      </c>
      <c r="E1594" t="s">
        <v>10</v>
      </c>
      <c r="F1594">
        <v>2712.2</v>
      </c>
      <c r="G1594" t="str" cm="1">
        <f t="array" ref="G1594">IF(AND(ISNUMBER(SEARCH("UBER",C1594)),ISNUMBER(SEARCH("EATS",C1594))),"Uber Eats",IF(LEFT(C1594,6)="CHECK ","Checks Paid",IF(OR(E1594="BILLPAY",ISNUMBER(SEARCH("FRANCHISE TAX",C1594)),ISNUMBER(SEARCH("NEXTLINK",C1594))),"Personal - House Bills",IF(AND(ISNUMBER(SEARCH("PAYMENT FROM",C1594)),ISNUMBER(SEARCH("JOE SAUNDERS",C1594))),"Zelle from Joe Saunders",IF(AND(ISNUMBER(SEARCH("PAYMENT TO",C1594)),ISNUMBER(SEARCH("JOE SAUNDERS",C1594))),"Zelle to Joe Saunders",IF(OR(ISNUMBER(SEARCH("NEW ORLEANS",C1594)),ISNUMBER(SEARCH("KENNER",C1594)),ISNUMBER(SEARCH("HENRY HOWARD",C1594)),ISNUMBER(SEARCH("MISS CLAUDIA",C1594))),"Personal Travel - New Orleans",IF(AND(YEAR(B1594)=2025,MONTH(B1594)=4,OR(ISNUMBER(SEARCH("EXCHANGE RATE",C1594)),ISNUMBER(SEARCH("EXCHG RTE",C1594)))),"Personal Travel - Italy",IFERROR(INDEX('Category Rules'!$B$2:$B$358,MATCH(TRUE,ISNUMBER(SEARCH('Category Rules'!$A$2:$A$358,C1594)),0)),""))))))))</f>
        <v>Personal - Food</v>
      </c>
    </row>
    <row r="1595" spans="1:7" x14ac:dyDescent="0.25">
      <c r="A1595" t="s">
        <v>6</v>
      </c>
      <c r="B1595" s="1">
        <v>45785</v>
      </c>
      <c r="C1595" t="s">
        <v>1741</v>
      </c>
      <c r="D1595">
        <v>-13.99</v>
      </c>
      <c r="E1595" t="s">
        <v>10</v>
      </c>
      <c r="F1595">
        <v>2758.26</v>
      </c>
      <c r="G1595" t="str" cm="1">
        <f t="array" ref="G1595">IF(AND(ISNUMBER(SEARCH("UBER",C1595)),ISNUMBER(SEARCH("EATS",C1595))),"Uber Eats",IF(LEFT(C1595,6)="CHECK ","Checks Paid",IF(OR(E1595="BILLPAY",ISNUMBER(SEARCH("FRANCHISE TAX",C1595)),ISNUMBER(SEARCH("NEXTLINK",C1595))),"Personal - House Bills",IF(AND(ISNUMBER(SEARCH("PAYMENT FROM",C1595)),ISNUMBER(SEARCH("JOE SAUNDERS",C1595))),"Zelle from Joe Saunders",IF(AND(ISNUMBER(SEARCH("PAYMENT TO",C1595)),ISNUMBER(SEARCH("JOE SAUNDERS",C1595))),"Zelle to Joe Saunders",IF(OR(ISNUMBER(SEARCH("NEW ORLEANS",C1595)),ISNUMBER(SEARCH("KENNER",C1595)),ISNUMBER(SEARCH("HENRY HOWARD",C1595)),ISNUMBER(SEARCH("MISS CLAUDIA",C1595))),"Personal Travel - New Orleans",IF(AND(YEAR(B1595)=2025,MONTH(B1595)=4,OR(ISNUMBER(SEARCH("EXCHANGE RATE",C1595)),ISNUMBER(SEARCH("EXCHG RTE",C1595)))),"Personal Travel - Italy",IFERROR(INDEX('Category Rules'!$B$2:$B$358,MATCH(TRUE,ISNUMBER(SEARCH('Category Rules'!$A$2:$A$358,C1595)),0)),""))))))))</f>
        <v>Amazon</v>
      </c>
    </row>
    <row r="1596" spans="1:7" x14ac:dyDescent="0.25">
      <c r="A1596" t="s">
        <v>6</v>
      </c>
      <c r="B1596" s="1">
        <v>45785</v>
      </c>
      <c r="C1596" t="s">
        <v>1742</v>
      </c>
      <c r="D1596">
        <v>-8.77</v>
      </c>
      <c r="E1596" t="s">
        <v>10</v>
      </c>
      <c r="F1596">
        <v>2772.25</v>
      </c>
      <c r="G1596" t="str" cm="1">
        <f t="array" ref="G1596">IF(AND(ISNUMBER(SEARCH("UBER",C1596)),ISNUMBER(SEARCH("EATS",C1596))),"Uber Eats",IF(LEFT(C1596,6)="CHECK ","Checks Paid",IF(OR(E1596="BILLPAY",ISNUMBER(SEARCH("FRANCHISE TAX",C1596)),ISNUMBER(SEARCH("NEXTLINK",C1596))),"Personal - House Bills",IF(AND(ISNUMBER(SEARCH("PAYMENT FROM",C1596)),ISNUMBER(SEARCH("JOE SAUNDERS",C1596))),"Zelle from Joe Saunders",IF(AND(ISNUMBER(SEARCH("PAYMENT TO",C1596)),ISNUMBER(SEARCH("JOE SAUNDERS",C1596))),"Zelle to Joe Saunders",IF(OR(ISNUMBER(SEARCH("NEW ORLEANS",C1596)),ISNUMBER(SEARCH("KENNER",C1596)),ISNUMBER(SEARCH("HENRY HOWARD",C1596)),ISNUMBER(SEARCH("MISS CLAUDIA",C1596))),"Personal Travel - New Orleans",IF(AND(YEAR(B1596)=2025,MONTH(B1596)=4,OR(ISNUMBER(SEARCH("EXCHANGE RATE",C1596)),ISNUMBER(SEARCH("EXCHG RTE",C1596)))),"Personal Travel - Italy",IFERROR(INDEX('Category Rules'!$B$2:$B$358,MATCH(TRUE,ISNUMBER(SEARCH('Category Rules'!$A$2:$A$358,C1596)),0)),""))))))))</f>
        <v>Amazon</v>
      </c>
    </row>
    <row r="1597" spans="1:7" x14ac:dyDescent="0.25">
      <c r="A1597" t="s">
        <v>6</v>
      </c>
      <c r="B1597" s="1">
        <v>45785</v>
      </c>
      <c r="C1597" t="s">
        <v>1743</v>
      </c>
      <c r="D1597">
        <v>-9.1</v>
      </c>
      <c r="E1597" t="s">
        <v>10</v>
      </c>
      <c r="F1597">
        <v>2781.02</v>
      </c>
      <c r="G1597" t="str" cm="1">
        <f t="array" ref="G1597">IF(AND(ISNUMBER(SEARCH("UBER",C1597)),ISNUMBER(SEARCH("EATS",C1597))),"Uber Eats",IF(LEFT(C1597,6)="CHECK ","Checks Paid",IF(OR(E1597="BILLPAY",ISNUMBER(SEARCH("FRANCHISE TAX",C1597)),ISNUMBER(SEARCH("NEXTLINK",C1597))),"Personal - House Bills",IF(AND(ISNUMBER(SEARCH("PAYMENT FROM",C1597)),ISNUMBER(SEARCH("JOE SAUNDERS",C1597))),"Zelle from Joe Saunders",IF(AND(ISNUMBER(SEARCH("PAYMENT TO",C1597)),ISNUMBER(SEARCH("JOE SAUNDERS",C1597))),"Zelle to Joe Saunders",IF(OR(ISNUMBER(SEARCH("NEW ORLEANS",C1597)),ISNUMBER(SEARCH("KENNER",C1597)),ISNUMBER(SEARCH("HENRY HOWARD",C1597)),ISNUMBER(SEARCH("MISS CLAUDIA",C1597))),"Personal Travel - New Orleans",IF(AND(YEAR(B1597)=2025,MONTH(B1597)=4,OR(ISNUMBER(SEARCH("EXCHANGE RATE",C1597)),ISNUMBER(SEARCH("EXCHG RTE",C1597)))),"Personal Travel - Italy",IFERROR(INDEX('Category Rules'!$B$2:$B$358,MATCH(TRUE,ISNUMBER(SEARCH('Category Rules'!$A$2:$A$358,C1597)),0)),""))))))))</f>
        <v>Amazon</v>
      </c>
    </row>
    <row r="1598" spans="1:7" x14ac:dyDescent="0.25">
      <c r="A1598" t="s">
        <v>6</v>
      </c>
      <c r="B1598" s="1">
        <v>45785</v>
      </c>
      <c r="C1598" t="s">
        <v>1744</v>
      </c>
      <c r="D1598">
        <v>-49.23</v>
      </c>
      <c r="E1598" t="s">
        <v>10</v>
      </c>
      <c r="F1598">
        <v>2790.12</v>
      </c>
      <c r="G1598" t="str" cm="1">
        <f t="array" ref="G1598">IF(AND(ISNUMBER(SEARCH("UBER",C1598)),ISNUMBER(SEARCH("EATS",C1598))),"Uber Eats",IF(LEFT(C1598,6)="CHECK ","Checks Paid",IF(OR(E1598="BILLPAY",ISNUMBER(SEARCH("FRANCHISE TAX",C1598)),ISNUMBER(SEARCH("NEXTLINK",C1598))),"Personal - House Bills",IF(AND(ISNUMBER(SEARCH("PAYMENT FROM",C1598)),ISNUMBER(SEARCH("JOE SAUNDERS",C1598))),"Zelle from Joe Saunders",IF(AND(ISNUMBER(SEARCH("PAYMENT TO",C1598)),ISNUMBER(SEARCH("JOE SAUNDERS",C1598))),"Zelle to Joe Saunders",IF(OR(ISNUMBER(SEARCH("NEW ORLEANS",C1598)),ISNUMBER(SEARCH("KENNER",C1598)),ISNUMBER(SEARCH("HENRY HOWARD",C1598)),ISNUMBER(SEARCH("MISS CLAUDIA",C1598))),"Personal Travel - New Orleans",IF(AND(YEAR(B1598)=2025,MONTH(B1598)=4,OR(ISNUMBER(SEARCH("EXCHANGE RATE",C1598)),ISNUMBER(SEARCH("EXCHG RTE",C1598)))),"Personal Travel - Italy",IFERROR(INDEX('Category Rules'!$B$2:$B$358,MATCH(TRUE,ISNUMBER(SEARCH('Category Rules'!$A$2:$A$358,C1598)),0)),""))))))))</f>
        <v>Amazon</v>
      </c>
    </row>
    <row r="1599" spans="1:7" x14ac:dyDescent="0.25">
      <c r="A1599" t="s">
        <v>6</v>
      </c>
      <c r="B1599" s="1">
        <v>45785</v>
      </c>
      <c r="C1599" t="s">
        <v>1745</v>
      </c>
      <c r="D1599">
        <v>-19.12</v>
      </c>
      <c r="E1599" t="s">
        <v>10</v>
      </c>
      <c r="F1599">
        <v>2839.35</v>
      </c>
      <c r="G1599" t="str" cm="1">
        <f t="array" ref="G1599">IF(AND(ISNUMBER(SEARCH("UBER",C1599)),ISNUMBER(SEARCH("EATS",C1599))),"Uber Eats",IF(LEFT(C1599,6)="CHECK ","Checks Paid",IF(OR(E1599="BILLPAY",ISNUMBER(SEARCH("FRANCHISE TAX",C1599)),ISNUMBER(SEARCH("NEXTLINK",C1599))),"Personal - House Bills",IF(AND(ISNUMBER(SEARCH("PAYMENT FROM",C1599)),ISNUMBER(SEARCH("JOE SAUNDERS",C1599))),"Zelle from Joe Saunders",IF(AND(ISNUMBER(SEARCH("PAYMENT TO",C1599)),ISNUMBER(SEARCH("JOE SAUNDERS",C1599))),"Zelle to Joe Saunders",IF(OR(ISNUMBER(SEARCH("NEW ORLEANS",C1599)),ISNUMBER(SEARCH("KENNER",C1599)),ISNUMBER(SEARCH("HENRY HOWARD",C1599)),ISNUMBER(SEARCH("MISS CLAUDIA",C1599))),"Personal Travel - New Orleans",IF(AND(YEAR(B1599)=2025,MONTH(B1599)=4,OR(ISNUMBER(SEARCH("EXCHANGE RATE",C1599)),ISNUMBER(SEARCH("EXCHG RTE",C1599)))),"Personal Travel - Italy",IFERROR(INDEX('Category Rules'!$B$2:$B$358,MATCH(TRUE,ISNUMBER(SEARCH('Category Rules'!$A$2:$A$358,C1599)),0)),""))))))))</f>
        <v>Amazon</v>
      </c>
    </row>
    <row r="1600" spans="1:7" x14ac:dyDescent="0.25">
      <c r="A1600" t="s">
        <v>6</v>
      </c>
      <c r="B1600" s="1">
        <v>45785</v>
      </c>
      <c r="C1600" t="s">
        <v>1746</v>
      </c>
      <c r="D1600">
        <v>-194.29</v>
      </c>
      <c r="E1600" t="s">
        <v>10</v>
      </c>
      <c r="F1600">
        <v>2858.47</v>
      </c>
      <c r="G1600" t="str" cm="1">
        <f t="array" ref="G1600">IF(AND(ISNUMBER(SEARCH("UBER",C1600)),ISNUMBER(SEARCH("EATS",C1600))),"Uber Eats",IF(LEFT(C1600,6)="CHECK ","Checks Paid",IF(OR(E1600="BILLPAY",ISNUMBER(SEARCH("FRANCHISE TAX",C1600)),ISNUMBER(SEARCH("NEXTLINK",C1600))),"Personal - House Bills",IF(AND(ISNUMBER(SEARCH("PAYMENT FROM",C1600)),ISNUMBER(SEARCH("JOE SAUNDERS",C1600))),"Zelle from Joe Saunders",IF(AND(ISNUMBER(SEARCH("PAYMENT TO",C1600)),ISNUMBER(SEARCH("JOE SAUNDERS",C1600))),"Zelle to Joe Saunders",IF(OR(ISNUMBER(SEARCH("NEW ORLEANS",C1600)),ISNUMBER(SEARCH("KENNER",C1600)),ISNUMBER(SEARCH("HENRY HOWARD",C1600)),ISNUMBER(SEARCH("MISS CLAUDIA",C1600))),"Personal Travel - New Orleans",IF(AND(YEAR(B1600)=2025,MONTH(B1600)=4,OR(ISNUMBER(SEARCH("EXCHANGE RATE",C1600)),ISNUMBER(SEARCH("EXCHG RTE",C1600)))),"Personal Travel - Italy",IFERROR(INDEX('Category Rules'!$B$2:$B$358,MATCH(TRUE,ISNUMBER(SEARCH('Category Rules'!$A$2:$A$358,C1600)),0)),""))))))))</f>
        <v>Amazon</v>
      </c>
    </row>
    <row r="1601" spans="1:7" x14ac:dyDescent="0.25">
      <c r="A1601" t="s">
        <v>6</v>
      </c>
      <c r="B1601" s="1">
        <v>45785</v>
      </c>
      <c r="C1601" t="s">
        <v>1747</v>
      </c>
      <c r="D1601">
        <v>-96.44</v>
      </c>
      <c r="E1601" t="s">
        <v>10</v>
      </c>
      <c r="F1601">
        <v>3052.76</v>
      </c>
      <c r="G1601" t="str" cm="1">
        <f t="array" ref="G1601">IF(AND(ISNUMBER(SEARCH("UBER",C1601)),ISNUMBER(SEARCH("EATS",C1601))),"Uber Eats",IF(LEFT(C1601,6)="CHECK ","Checks Paid",IF(OR(E1601="BILLPAY",ISNUMBER(SEARCH("FRANCHISE TAX",C1601)),ISNUMBER(SEARCH("NEXTLINK",C1601))),"Personal - House Bills",IF(AND(ISNUMBER(SEARCH("PAYMENT FROM",C1601)),ISNUMBER(SEARCH("JOE SAUNDERS",C1601))),"Zelle from Joe Saunders",IF(AND(ISNUMBER(SEARCH("PAYMENT TO",C1601)),ISNUMBER(SEARCH("JOE SAUNDERS",C1601))),"Zelle to Joe Saunders",IF(OR(ISNUMBER(SEARCH("NEW ORLEANS",C1601)),ISNUMBER(SEARCH("KENNER",C1601)),ISNUMBER(SEARCH("HENRY HOWARD",C1601)),ISNUMBER(SEARCH("MISS CLAUDIA",C1601))),"Personal Travel - New Orleans",IF(AND(YEAR(B1601)=2025,MONTH(B1601)=4,OR(ISNUMBER(SEARCH("EXCHANGE RATE",C1601)),ISNUMBER(SEARCH("EXCHG RTE",C1601)))),"Personal Travel - Italy",IFERROR(INDEX('Category Rules'!$B$2:$B$358,MATCH(TRUE,ISNUMBER(SEARCH('Category Rules'!$A$2:$A$358,C1601)),0)),""))))))))</f>
        <v>Amazon</v>
      </c>
    </row>
    <row r="1602" spans="1:7" x14ac:dyDescent="0.25">
      <c r="A1602" t="s">
        <v>6</v>
      </c>
      <c r="B1602" s="1">
        <v>45785</v>
      </c>
      <c r="C1602" t="s">
        <v>1748</v>
      </c>
      <c r="D1602">
        <v>-62.97</v>
      </c>
      <c r="E1602" t="s">
        <v>10</v>
      </c>
      <c r="F1602">
        <v>3149.2</v>
      </c>
      <c r="G1602" t="str" cm="1">
        <f t="array" ref="G1602">IF(AND(ISNUMBER(SEARCH("UBER",C1602)),ISNUMBER(SEARCH("EATS",C1602))),"Uber Eats",IF(LEFT(C1602,6)="CHECK ","Checks Paid",IF(OR(E1602="BILLPAY",ISNUMBER(SEARCH("FRANCHISE TAX",C1602)),ISNUMBER(SEARCH("NEXTLINK",C1602))),"Personal - House Bills",IF(AND(ISNUMBER(SEARCH("PAYMENT FROM",C1602)),ISNUMBER(SEARCH("JOE SAUNDERS",C1602))),"Zelle from Joe Saunders",IF(AND(ISNUMBER(SEARCH("PAYMENT TO",C1602)),ISNUMBER(SEARCH("JOE SAUNDERS",C1602))),"Zelle to Joe Saunders",IF(OR(ISNUMBER(SEARCH("NEW ORLEANS",C1602)),ISNUMBER(SEARCH("KENNER",C1602)),ISNUMBER(SEARCH("HENRY HOWARD",C1602)),ISNUMBER(SEARCH("MISS CLAUDIA",C1602))),"Personal Travel - New Orleans",IF(AND(YEAR(B1602)=2025,MONTH(B1602)=4,OR(ISNUMBER(SEARCH("EXCHANGE RATE",C1602)),ISNUMBER(SEARCH("EXCHG RTE",C1602)))),"Personal Travel - Italy",IFERROR(INDEX('Category Rules'!$B$2:$B$358,MATCH(TRUE,ISNUMBER(SEARCH('Category Rules'!$A$2:$A$358,C1602)),0)),""))))))))</f>
        <v>Amazon</v>
      </c>
    </row>
    <row r="1603" spans="1:7" x14ac:dyDescent="0.25">
      <c r="A1603" t="s">
        <v>6</v>
      </c>
      <c r="B1603" s="1">
        <v>45785</v>
      </c>
      <c r="C1603" t="s">
        <v>1749</v>
      </c>
      <c r="D1603">
        <v>-715.9</v>
      </c>
      <c r="E1603" t="s">
        <v>10</v>
      </c>
      <c r="F1603">
        <v>3212.17</v>
      </c>
      <c r="G1603" t="str" cm="1">
        <f t="array" ref="G1603">IF(AND(ISNUMBER(SEARCH("UBER",C1603)),ISNUMBER(SEARCH("EATS",C1603))),"Uber Eats",IF(LEFT(C1603,6)="CHECK ","Checks Paid",IF(OR(E1603="BILLPAY",ISNUMBER(SEARCH("FRANCHISE TAX",C1603)),ISNUMBER(SEARCH("NEXTLINK",C1603))),"Personal - House Bills",IF(AND(ISNUMBER(SEARCH("PAYMENT FROM",C1603)),ISNUMBER(SEARCH("JOE SAUNDERS",C1603))),"Zelle from Joe Saunders",IF(AND(ISNUMBER(SEARCH("PAYMENT TO",C1603)),ISNUMBER(SEARCH("JOE SAUNDERS",C1603))),"Zelle to Joe Saunders",IF(OR(ISNUMBER(SEARCH("NEW ORLEANS",C1603)),ISNUMBER(SEARCH("KENNER",C1603)),ISNUMBER(SEARCH("HENRY HOWARD",C1603)),ISNUMBER(SEARCH("MISS CLAUDIA",C1603))),"Personal Travel - New Orleans",IF(AND(YEAR(B1603)=2025,MONTH(B1603)=4,OR(ISNUMBER(SEARCH("EXCHANGE RATE",C1603)),ISNUMBER(SEARCH("EXCHG RTE",C1603)))),"Personal Travel - Italy",IFERROR(INDEX('Category Rules'!$B$2:$B$358,MATCH(TRUE,ISNUMBER(SEARCH('Category Rules'!$A$2:$A$358,C1603)),0)),""))))))))</f>
        <v>Personal - Shopping</v>
      </c>
    </row>
    <row r="1604" spans="1:7" x14ac:dyDescent="0.25">
      <c r="A1604" t="s">
        <v>6</v>
      </c>
      <c r="B1604" s="1">
        <v>45784</v>
      </c>
      <c r="C1604" t="s">
        <v>1750</v>
      </c>
      <c r="D1604">
        <v>-26.74</v>
      </c>
      <c r="E1604" t="s">
        <v>10</v>
      </c>
      <c r="F1604">
        <v>3928.07</v>
      </c>
      <c r="G1604" t="str" cm="1">
        <f t="array" ref="G1604">IF(AND(ISNUMBER(SEARCH("UBER",C1604)),ISNUMBER(SEARCH("EATS",C1604))),"Uber Eats",IF(LEFT(C1604,6)="CHECK ","Checks Paid",IF(OR(E1604="BILLPAY",ISNUMBER(SEARCH("FRANCHISE TAX",C1604)),ISNUMBER(SEARCH("NEXTLINK",C1604))),"Personal - House Bills",IF(AND(ISNUMBER(SEARCH("PAYMENT FROM",C1604)),ISNUMBER(SEARCH("JOE SAUNDERS",C1604))),"Zelle from Joe Saunders",IF(AND(ISNUMBER(SEARCH("PAYMENT TO",C1604)),ISNUMBER(SEARCH("JOE SAUNDERS",C1604))),"Zelle to Joe Saunders",IF(OR(ISNUMBER(SEARCH("NEW ORLEANS",C1604)),ISNUMBER(SEARCH("KENNER",C1604)),ISNUMBER(SEARCH("HENRY HOWARD",C1604)),ISNUMBER(SEARCH("MISS CLAUDIA",C1604))),"Personal Travel - New Orleans",IF(AND(YEAR(B1604)=2025,MONTH(B1604)=4,OR(ISNUMBER(SEARCH("EXCHANGE RATE",C1604)),ISNUMBER(SEARCH("EXCHG RTE",C1604)))),"Personal Travel - Italy",IFERROR(INDEX('Category Rules'!$B$2:$B$358,MATCH(TRUE,ISNUMBER(SEARCH('Category Rules'!$A$2:$A$358,C1604)),0)),""))))))))</f>
        <v>Personal - Uber</v>
      </c>
    </row>
    <row r="1605" spans="1:7" x14ac:dyDescent="0.25">
      <c r="A1605" t="s">
        <v>6</v>
      </c>
      <c r="B1605" s="1">
        <v>45784</v>
      </c>
      <c r="C1605" t="s">
        <v>1751</v>
      </c>
      <c r="D1605">
        <v>-5</v>
      </c>
      <c r="E1605" t="s">
        <v>10</v>
      </c>
      <c r="F1605">
        <v>3954.81</v>
      </c>
      <c r="G1605" t="str" cm="1">
        <f t="array" ref="G1605">IF(AND(ISNUMBER(SEARCH("UBER",C1605)),ISNUMBER(SEARCH("EATS",C1605))),"Uber Eats",IF(LEFT(C1605,6)="CHECK ","Checks Paid",IF(OR(E1605="BILLPAY",ISNUMBER(SEARCH("FRANCHISE TAX",C1605)),ISNUMBER(SEARCH("NEXTLINK",C1605))),"Personal - House Bills",IF(AND(ISNUMBER(SEARCH("PAYMENT FROM",C1605)),ISNUMBER(SEARCH("JOE SAUNDERS",C1605))),"Zelle from Joe Saunders",IF(AND(ISNUMBER(SEARCH("PAYMENT TO",C1605)),ISNUMBER(SEARCH("JOE SAUNDERS",C1605))),"Zelle to Joe Saunders",IF(OR(ISNUMBER(SEARCH("NEW ORLEANS",C1605)),ISNUMBER(SEARCH("KENNER",C1605)),ISNUMBER(SEARCH("HENRY HOWARD",C1605)),ISNUMBER(SEARCH("MISS CLAUDIA",C1605))),"Personal Travel - New Orleans",IF(AND(YEAR(B1605)=2025,MONTH(B1605)=4,OR(ISNUMBER(SEARCH("EXCHANGE RATE",C1605)),ISNUMBER(SEARCH("EXCHG RTE",C1605)))),"Personal Travel - Italy",IFERROR(INDEX('Category Rules'!$B$2:$B$358,MATCH(TRUE,ISNUMBER(SEARCH('Category Rules'!$A$2:$A$358,C1605)),0)),""))))))))</f>
        <v>Personal - Uber</v>
      </c>
    </row>
    <row r="1606" spans="1:7" x14ac:dyDescent="0.25">
      <c r="A1606" t="s">
        <v>6</v>
      </c>
      <c r="B1606" s="1">
        <v>45784</v>
      </c>
      <c r="C1606" t="s">
        <v>1752</v>
      </c>
      <c r="D1606">
        <v>-37.950000000000003</v>
      </c>
      <c r="E1606" t="s">
        <v>10</v>
      </c>
      <c r="F1606">
        <v>3959.81</v>
      </c>
      <c r="G1606" t="str" cm="1">
        <f t="array" ref="G1606">IF(AND(ISNUMBER(SEARCH("UBER",C1606)),ISNUMBER(SEARCH("EATS",C1606))),"Uber Eats",IF(LEFT(C1606,6)="CHECK ","Checks Paid",IF(OR(E1606="BILLPAY",ISNUMBER(SEARCH("FRANCHISE TAX",C1606)),ISNUMBER(SEARCH("NEXTLINK",C1606))),"Personal - House Bills",IF(AND(ISNUMBER(SEARCH("PAYMENT FROM",C1606)),ISNUMBER(SEARCH("JOE SAUNDERS",C1606))),"Zelle from Joe Saunders",IF(AND(ISNUMBER(SEARCH("PAYMENT TO",C1606)),ISNUMBER(SEARCH("JOE SAUNDERS",C1606))),"Zelle to Joe Saunders",IF(OR(ISNUMBER(SEARCH("NEW ORLEANS",C1606)),ISNUMBER(SEARCH("KENNER",C1606)),ISNUMBER(SEARCH("HENRY HOWARD",C1606)),ISNUMBER(SEARCH("MISS CLAUDIA",C1606))),"Personal Travel - New Orleans",IF(AND(YEAR(B1606)=2025,MONTH(B1606)=4,OR(ISNUMBER(SEARCH("EXCHANGE RATE",C1606)),ISNUMBER(SEARCH("EXCHG RTE",C1606)))),"Personal Travel - Italy",IFERROR(INDEX('Category Rules'!$B$2:$B$358,MATCH(TRUE,ISNUMBER(SEARCH('Category Rules'!$A$2:$A$358,C1606)),0)),""))))))))</f>
        <v>Personal - Uber</v>
      </c>
    </row>
    <row r="1607" spans="1:7" x14ac:dyDescent="0.25">
      <c r="A1607" t="s">
        <v>6</v>
      </c>
      <c r="B1607" s="1">
        <v>45784</v>
      </c>
      <c r="C1607" t="s">
        <v>1753</v>
      </c>
      <c r="D1607">
        <v>-56.94</v>
      </c>
      <c r="E1607" t="s">
        <v>10</v>
      </c>
      <c r="F1607">
        <v>3997.76</v>
      </c>
      <c r="G1607" t="str" cm="1">
        <f t="array" ref="G1607">IF(AND(ISNUMBER(SEARCH("UBER",C1607)),ISNUMBER(SEARCH("EATS",C1607))),"Uber Eats",IF(LEFT(C1607,6)="CHECK ","Checks Paid",IF(OR(E1607="BILLPAY",ISNUMBER(SEARCH("FRANCHISE TAX",C1607)),ISNUMBER(SEARCH("NEXTLINK",C1607))),"Personal - House Bills",IF(AND(ISNUMBER(SEARCH("PAYMENT FROM",C1607)),ISNUMBER(SEARCH("JOE SAUNDERS",C1607))),"Zelle from Joe Saunders",IF(AND(ISNUMBER(SEARCH("PAYMENT TO",C1607)),ISNUMBER(SEARCH("JOE SAUNDERS",C1607))),"Zelle to Joe Saunders",IF(OR(ISNUMBER(SEARCH("NEW ORLEANS",C1607)),ISNUMBER(SEARCH("KENNER",C1607)),ISNUMBER(SEARCH("HENRY HOWARD",C1607)),ISNUMBER(SEARCH("MISS CLAUDIA",C1607))),"Personal Travel - New Orleans",IF(AND(YEAR(B1607)=2025,MONTH(B1607)=4,OR(ISNUMBER(SEARCH("EXCHANGE RATE",C1607)),ISNUMBER(SEARCH("EXCHG RTE",C1607)))),"Personal Travel - Italy",IFERROR(INDEX('Category Rules'!$B$2:$B$358,MATCH(TRUE,ISNUMBER(SEARCH('Category Rules'!$A$2:$A$358,C1607)),0)),""))))))))</f>
        <v>Personal - Uber</v>
      </c>
    </row>
    <row r="1608" spans="1:7" x14ac:dyDescent="0.25">
      <c r="A1608" t="s">
        <v>6</v>
      </c>
      <c r="B1608" s="1">
        <v>45784</v>
      </c>
      <c r="C1608" t="s">
        <v>1754</v>
      </c>
      <c r="D1608">
        <v>-30.72</v>
      </c>
      <c r="E1608" t="s">
        <v>10</v>
      </c>
      <c r="F1608">
        <v>4054.7</v>
      </c>
      <c r="G1608" t="str" cm="1">
        <f t="array" ref="G1608">IF(AND(ISNUMBER(SEARCH("UBER",C1608)),ISNUMBER(SEARCH("EATS",C1608))),"Uber Eats",IF(LEFT(C1608,6)="CHECK ","Checks Paid",IF(OR(E1608="BILLPAY",ISNUMBER(SEARCH("FRANCHISE TAX",C1608)),ISNUMBER(SEARCH("NEXTLINK",C1608))),"Personal - House Bills",IF(AND(ISNUMBER(SEARCH("PAYMENT FROM",C1608)),ISNUMBER(SEARCH("JOE SAUNDERS",C1608))),"Zelle from Joe Saunders",IF(AND(ISNUMBER(SEARCH("PAYMENT TO",C1608)),ISNUMBER(SEARCH("JOE SAUNDERS",C1608))),"Zelle to Joe Saunders",IF(OR(ISNUMBER(SEARCH("NEW ORLEANS",C1608)),ISNUMBER(SEARCH("KENNER",C1608)),ISNUMBER(SEARCH("HENRY HOWARD",C1608)),ISNUMBER(SEARCH("MISS CLAUDIA",C1608))),"Personal Travel - New Orleans",IF(AND(YEAR(B1608)=2025,MONTH(B1608)=4,OR(ISNUMBER(SEARCH("EXCHANGE RATE",C1608)),ISNUMBER(SEARCH("EXCHG RTE",C1608)))),"Personal Travel - Italy",IFERROR(INDEX('Category Rules'!$B$2:$B$358,MATCH(TRUE,ISNUMBER(SEARCH('Category Rules'!$A$2:$A$358,C1608)),0)),""))))))))</f>
        <v>Amazon</v>
      </c>
    </row>
    <row r="1609" spans="1:7" x14ac:dyDescent="0.25">
      <c r="A1609" t="s">
        <v>6</v>
      </c>
      <c r="B1609" s="1">
        <v>45784</v>
      </c>
      <c r="C1609" t="s">
        <v>1755</v>
      </c>
      <c r="D1609">
        <v>-16.45</v>
      </c>
      <c r="E1609" t="s">
        <v>10</v>
      </c>
      <c r="F1609">
        <v>4085.42</v>
      </c>
      <c r="G1609" t="str" cm="1">
        <f t="array" ref="G1609">IF(AND(ISNUMBER(SEARCH("UBER",C1609)),ISNUMBER(SEARCH("EATS",C1609))),"Uber Eats",IF(LEFT(C1609,6)="CHECK ","Checks Paid",IF(OR(E1609="BILLPAY",ISNUMBER(SEARCH("FRANCHISE TAX",C1609)),ISNUMBER(SEARCH("NEXTLINK",C1609))),"Personal - House Bills",IF(AND(ISNUMBER(SEARCH("PAYMENT FROM",C1609)),ISNUMBER(SEARCH("JOE SAUNDERS",C1609))),"Zelle from Joe Saunders",IF(AND(ISNUMBER(SEARCH("PAYMENT TO",C1609)),ISNUMBER(SEARCH("JOE SAUNDERS",C1609))),"Zelle to Joe Saunders",IF(OR(ISNUMBER(SEARCH("NEW ORLEANS",C1609)),ISNUMBER(SEARCH("KENNER",C1609)),ISNUMBER(SEARCH("HENRY HOWARD",C1609)),ISNUMBER(SEARCH("MISS CLAUDIA",C1609))),"Personal Travel - New Orleans",IF(AND(YEAR(B1609)=2025,MONTH(B1609)=4,OR(ISNUMBER(SEARCH("EXCHANGE RATE",C1609)),ISNUMBER(SEARCH("EXCHG RTE",C1609)))),"Personal Travel - Italy",IFERROR(INDEX('Category Rules'!$B$2:$B$358,MATCH(TRUE,ISNUMBER(SEARCH('Category Rules'!$A$2:$A$358,C1609)),0)),""))))))))</f>
        <v>Amazon</v>
      </c>
    </row>
    <row r="1610" spans="1:7" x14ac:dyDescent="0.25">
      <c r="A1610" t="s">
        <v>6</v>
      </c>
      <c r="B1610" s="1">
        <v>45784</v>
      </c>
      <c r="C1610" t="s">
        <v>1756</v>
      </c>
      <c r="D1610">
        <v>-300</v>
      </c>
      <c r="E1610" t="s">
        <v>10</v>
      </c>
      <c r="F1610">
        <v>4101.87</v>
      </c>
      <c r="G1610" t="str" cm="1">
        <f t="array" ref="G1610">IF(AND(ISNUMBER(SEARCH("UBER",C1610)),ISNUMBER(SEARCH("EATS",C1610))),"Uber Eats",IF(LEFT(C1610,6)="CHECK ","Checks Paid",IF(OR(E1610="BILLPAY",ISNUMBER(SEARCH("FRANCHISE TAX",C1610)),ISNUMBER(SEARCH("NEXTLINK",C1610))),"Personal - House Bills",IF(AND(ISNUMBER(SEARCH("PAYMENT FROM",C1610)),ISNUMBER(SEARCH("JOE SAUNDERS",C1610))),"Zelle from Joe Saunders",IF(AND(ISNUMBER(SEARCH("PAYMENT TO",C1610)),ISNUMBER(SEARCH("JOE SAUNDERS",C1610))),"Zelle to Joe Saunders",IF(OR(ISNUMBER(SEARCH("NEW ORLEANS",C1610)),ISNUMBER(SEARCH("KENNER",C1610)),ISNUMBER(SEARCH("HENRY HOWARD",C1610)),ISNUMBER(SEARCH("MISS CLAUDIA",C1610))),"Personal Travel - New Orleans",IF(AND(YEAR(B1610)=2025,MONTH(B1610)=4,OR(ISNUMBER(SEARCH("EXCHANGE RATE",C1610)),ISNUMBER(SEARCH("EXCHG RTE",C1610)))),"Personal Travel - Italy",IFERROR(INDEX('Category Rules'!$B$2:$B$358,MATCH(TRUE,ISNUMBER(SEARCH('Category Rules'!$A$2:$A$358,C1610)),0)),""))))))))</f>
        <v>Personal - Clothing</v>
      </c>
    </row>
    <row r="1611" spans="1:7" x14ac:dyDescent="0.25">
      <c r="A1611" t="s">
        <v>6</v>
      </c>
      <c r="B1611" s="1">
        <v>45784</v>
      </c>
      <c r="C1611" t="s">
        <v>1757</v>
      </c>
      <c r="D1611">
        <v>-9.8000000000000007</v>
      </c>
      <c r="E1611" t="s">
        <v>10</v>
      </c>
      <c r="F1611">
        <v>4401.87</v>
      </c>
      <c r="G1611" t="str" cm="1">
        <f t="array" ref="G1611">IF(AND(ISNUMBER(SEARCH("UBER",C1611)),ISNUMBER(SEARCH("EATS",C1611))),"Uber Eats",IF(LEFT(C1611,6)="CHECK ","Checks Paid",IF(OR(E1611="BILLPAY",ISNUMBER(SEARCH("FRANCHISE TAX",C1611)),ISNUMBER(SEARCH("NEXTLINK",C1611))),"Personal - House Bills",IF(AND(ISNUMBER(SEARCH("PAYMENT FROM",C1611)),ISNUMBER(SEARCH("JOE SAUNDERS",C1611))),"Zelle from Joe Saunders",IF(AND(ISNUMBER(SEARCH("PAYMENT TO",C1611)),ISNUMBER(SEARCH("JOE SAUNDERS",C1611))),"Zelle to Joe Saunders",IF(OR(ISNUMBER(SEARCH("NEW ORLEANS",C1611)),ISNUMBER(SEARCH("KENNER",C1611)),ISNUMBER(SEARCH("HENRY HOWARD",C1611)),ISNUMBER(SEARCH("MISS CLAUDIA",C1611))),"Personal Travel - New Orleans",IF(AND(YEAR(B1611)=2025,MONTH(B1611)=4,OR(ISNUMBER(SEARCH("EXCHANGE RATE",C1611)),ISNUMBER(SEARCH("EXCHG RTE",C1611)))),"Personal Travel - Italy",IFERROR(INDEX('Category Rules'!$B$2:$B$358,MATCH(TRUE,ISNUMBER(SEARCH('Category Rules'!$A$2:$A$358,C1611)),0)),""))))))))</f>
        <v>Personal - Food</v>
      </c>
    </row>
    <row r="1612" spans="1:7" x14ac:dyDescent="0.25">
      <c r="A1612" t="s">
        <v>6</v>
      </c>
      <c r="B1612" s="1">
        <v>45784</v>
      </c>
      <c r="C1612" t="s">
        <v>1758</v>
      </c>
      <c r="D1612">
        <v>-347.3</v>
      </c>
      <c r="E1612" t="s">
        <v>10</v>
      </c>
      <c r="F1612">
        <v>4411.67</v>
      </c>
      <c r="G1612" t="str" cm="1">
        <f t="array" ref="G1612">IF(AND(ISNUMBER(SEARCH("UBER",C1612)),ISNUMBER(SEARCH("EATS",C1612))),"Uber Eats",IF(LEFT(C1612,6)="CHECK ","Checks Paid",IF(OR(E1612="BILLPAY",ISNUMBER(SEARCH("FRANCHISE TAX",C1612)),ISNUMBER(SEARCH("NEXTLINK",C1612))),"Personal - House Bills",IF(AND(ISNUMBER(SEARCH("PAYMENT FROM",C1612)),ISNUMBER(SEARCH("JOE SAUNDERS",C1612))),"Zelle from Joe Saunders",IF(AND(ISNUMBER(SEARCH("PAYMENT TO",C1612)),ISNUMBER(SEARCH("JOE SAUNDERS",C1612))),"Zelle to Joe Saunders",IF(OR(ISNUMBER(SEARCH("NEW ORLEANS",C1612)),ISNUMBER(SEARCH("KENNER",C1612)),ISNUMBER(SEARCH("HENRY HOWARD",C1612)),ISNUMBER(SEARCH("MISS CLAUDIA",C1612))),"Personal Travel - New Orleans",IF(AND(YEAR(B1612)=2025,MONTH(B1612)=4,OR(ISNUMBER(SEARCH("EXCHANGE RATE",C1612)),ISNUMBER(SEARCH("EXCHG RTE",C1612)))),"Personal Travel - Italy",IFERROR(INDEX('Category Rules'!$B$2:$B$358,MATCH(TRUE,ISNUMBER(SEARCH('Category Rules'!$A$2:$A$358,C1612)),0)),""))))))))</f>
        <v>Personal - Food</v>
      </c>
    </row>
    <row r="1613" spans="1:7" x14ac:dyDescent="0.25">
      <c r="A1613" t="s">
        <v>6</v>
      </c>
      <c r="B1613" s="1">
        <v>45784</v>
      </c>
      <c r="C1613" t="s">
        <v>1759</v>
      </c>
      <c r="D1613">
        <v>-1.25</v>
      </c>
      <c r="E1613" t="s">
        <v>10</v>
      </c>
      <c r="F1613">
        <v>4758.97</v>
      </c>
      <c r="G1613" t="str" cm="1">
        <f t="array" ref="G1613">IF(AND(ISNUMBER(SEARCH("UBER",C1613)),ISNUMBER(SEARCH("EATS",C1613))),"Uber Eats",IF(LEFT(C1613,6)="CHECK ","Checks Paid",IF(OR(E1613="BILLPAY",ISNUMBER(SEARCH("FRANCHISE TAX",C1613)),ISNUMBER(SEARCH("NEXTLINK",C1613))),"Personal - House Bills",IF(AND(ISNUMBER(SEARCH("PAYMENT FROM",C1613)),ISNUMBER(SEARCH("JOE SAUNDERS",C1613))),"Zelle from Joe Saunders",IF(AND(ISNUMBER(SEARCH("PAYMENT TO",C1613)),ISNUMBER(SEARCH("JOE SAUNDERS",C1613))),"Zelle to Joe Saunders",IF(OR(ISNUMBER(SEARCH("NEW ORLEANS",C1613)),ISNUMBER(SEARCH("KENNER",C1613)),ISNUMBER(SEARCH("HENRY HOWARD",C1613)),ISNUMBER(SEARCH("MISS CLAUDIA",C1613))),"Personal Travel - New Orleans",IF(AND(YEAR(B1613)=2025,MONTH(B1613)=4,OR(ISNUMBER(SEARCH("EXCHANGE RATE",C1613)),ISNUMBER(SEARCH("EXCHG RTE",C1613)))),"Personal Travel - Italy",IFERROR(INDEX('Category Rules'!$B$2:$B$358,MATCH(TRUE,ISNUMBER(SEARCH('Category Rules'!$A$2:$A$358,C1613)),0)),""))))))))</f>
        <v>Personal - Car</v>
      </c>
    </row>
    <row r="1614" spans="1:7" x14ac:dyDescent="0.25">
      <c r="A1614" t="s">
        <v>6</v>
      </c>
      <c r="B1614" s="1">
        <v>45784</v>
      </c>
      <c r="C1614" t="s">
        <v>1760</v>
      </c>
      <c r="D1614">
        <v>-6.9</v>
      </c>
      <c r="E1614" t="s">
        <v>10</v>
      </c>
      <c r="F1614">
        <v>4760.22</v>
      </c>
      <c r="G1614" t="str" cm="1">
        <f t="array" ref="G1614">IF(AND(ISNUMBER(SEARCH("UBER",C1614)),ISNUMBER(SEARCH("EATS",C1614))),"Uber Eats",IF(LEFT(C1614,6)="CHECK ","Checks Paid",IF(OR(E1614="BILLPAY",ISNUMBER(SEARCH("FRANCHISE TAX",C1614)),ISNUMBER(SEARCH("NEXTLINK",C1614))),"Personal - House Bills",IF(AND(ISNUMBER(SEARCH("PAYMENT FROM",C1614)),ISNUMBER(SEARCH("JOE SAUNDERS",C1614))),"Zelle from Joe Saunders",IF(AND(ISNUMBER(SEARCH("PAYMENT TO",C1614)),ISNUMBER(SEARCH("JOE SAUNDERS",C1614))),"Zelle to Joe Saunders",IF(OR(ISNUMBER(SEARCH("NEW ORLEANS",C1614)),ISNUMBER(SEARCH("KENNER",C1614)),ISNUMBER(SEARCH("HENRY HOWARD",C1614)),ISNUMBER(SEARCH("MISS CLAUDIA",C1614))),"Personal Travel - New Orleans",IF(AND(YEAR(B1614)=2025,MONTH(B1614)=4,OR(ISNUMBER(SEARCH("EXCHANGE RATE",C1614)),ISNUMBER(SEARCH("EXCHG RTE",C1614)))),"Personal Travel - Italy",IFERROR(INDEX('Category Rules'!$B$2:$B$358,MATCH(TRUE,ISNUMBER(SEARCH('Category Rules'!$A$2:$A$358,C1614)),0)),""))))))))</f>
        <v>Amazon</v>
      </c>
    </row>
    <row r="1615" spans="1:7" x14ac:dyDescent="0.25">
      <c r="A1615" t="s">
        <v>6</v>
      </c>
      <c r="B1615" s="1">
        <v>45784</v>
      </c>
      <c r="C1615" t="s">
        <v>1761</v>
      </c>
      <c r="D1615">
        <v>-17.100000000000001</v>
      </c>
      <c r="E1615" t="s">
        <v>10</v>
      </c>
      <c r="F1615">
        <v>4767.12</v>
      </c>
      <c r="G1615" t="str" cm="1">
        <f t="array" ref="G1615">IF(AND(ISNUMBER(SEARCH("UBER",C1615)),ISNUMBER(SEARCH("EATS",C1615))),"Uber Eats",IF(LEFT(C1615,6)="CHECK ","Checks Paid",IF(OR(E1615="BILLPAY",ISNUMBER(SEARCH("FRANCHISE TAX",C1615)),ISNUMBER(SEARCH("NEXTLINK",C1615))),"Personal - House Bills",IF(AND(ISNUMBER(SEARCH("PAYMENT FROM",C1615)),ISNUMBER(SEARCH("JOE SAUNDERS",C1615))),"Zelle from Joe Saunders",IF(AND(ISNUMBER(SEARCH("PAYMENT TO",C1615)),ISNUMBER(SEARCH("JOE SAUNDERS",C1615))),"Zelle to Joe Saunders",IF(OR(ISNUMBER(SEARCH("NEW ORLEANS",C1615)),ISNUMBER(SEARCH("KENNER",C1615)),ISNUMBER(SEARCH("HENRY HOWARD",C1615)),ISNUMBER(SEARCH("MISS CLAUDIA",C1615))),"Personal Travel - New Orleans",IF(AND(YEAR(B1615)=2025,MONTH(B1615)=4,OR(ISNUMBER(SEARCH("EXCHANGE RATE",C1615)),ISNUMBER(SEARCH("EXCHG RTE",C1615)))),"Personal Travel - Italy",IFERROR(INDEX('Category Rules'!$B$2:$B$358,MATCH(TRUE,ISNUMBER(SEARCH('Category Rules'!$A$2:$A$358,C1615)),0)),""))))))))</f>
        <v>Personal - Entertainment</v>
      </c>
    </row>
    <row r="1616" spans="1:7" x14ac:dyDescent="0.25">
      <c r="A1616" t="s">
        <v>44</v>
      </c>
      <c r="B1616" s="1">
        <v>45784</v>
      </c>
      <c r="C1616" t="s">
        <v>1762</v>
      </c>
      <c r="D1616">
        <v>175</v>
      </c>
      <c r="E1616" t="s">
        <v>46</v>
      </c>
      <c r="F1616">
        <v>4784.22</v>
      </c>
      <c r="G1616" t="str" cm="1">
        <f t="array" ref="G1616">IF(AND(ISNUMBER(SEARCH("UBER",C1616)),ISNUMBER(SEARCH("EATS",C1616))),"Uber Eats",IF(LEFT(C1616,6)="CHECK ","Checks Paid",IF(OR(E1616="BILLPAY",ISNUMBER(SEARCH("FRANCHISE TAX",C1616)),ISNUMBER(SEARCH("NEXTLINK",C1616))),"Personal - House Bills",IF(AND(ISNUMBER(SEARCH("PAYMENT FROM",C1616)),ISNUMBER(SEARCH("JOE SAUNDERS",C1616))),"Zelle from Joe Saunders",IF(AND(ISNUMBER(SEARCH("PAYMENT TO",C1616)),ISNUMBER(SEARCH("JOE SAUNDERS",C1616))),"Zelle to Joe Saunders",IF(OR(ISNUMBER(SEARCH("NEW ORLEANS",C1616)),ISNUMBER(SEARCH("KENNER",C1616)),ISNUMBER(SEARCH("HENRY HOWARD",C1616)),ISNUMBER(SEARCH("MISS CLAUDIA",C1616))),"Personal Travel - New Orleans",IF(AND(YEAR(B1616)=2025,MONTH(B1616)=4,OR(ISNUMBER(SEARCH("EXCHANGE RATE",C1616)),ISNUMBER(SEARCH("EXCHG RTE",C1616)))),"Personal Travel - Italy",IFERROR(INDEX('Category Rules'!$B$2:$B$358,MATCH(TRUE,ISNUMBER(SEARCH('Category Rules'!$A$2:$A$358,C1616)),0)),""))))))))</f>
        <v>Zelle from G-Eunice LLC</v>
      </c>
    </row>
    <row r="1617" spans="1:7" x14ac:dyDescent="0.25">
      <c r="A1617" t="s">
        <v>44</v>
      </c>
      <c r="B1617" s="1">
        <v>45784</v>
      </c>
      <c r="C1617" t="s">
        <v>1763</v>
      </c>
      <c r="D1617">
        <v>2000</v>
      </c>
      <c r="E1617" t="s">
        <v>73</v>
      </c>
      <c r="F1617">
        <v>4609.22</v>
      </c>
      <c r="G1617" t="str" cm="1">
        <f t="array" ref="G1617">IF(AND(ISNUMBER(SEARCH("UBER",C1617)),ISNUMBER(SEARCH("EATS",C1617))),"Uber Eats",IF(LEFT(C1617,6)="CHECK ","Checks Paid",IF(OR(E1617="BILLPAY",ISNUMBER(SEARCH("FRANCHISE TAX",C1617)),ISNUMBER(SEARCH("NEXTLINK",C1617))),"Personal - House Bills",IF(AND(ISNUMBER(SEARCH("PAYMENT FROM",C1617)),ISNUMBER(SEARCH("JOE SAUNDERS",C1617))),"Zelle from Joe Saunders",IF(AND(ISNUMBER(SEARCH("PAYMENT TO",C1617)),ISNUMBER(SEARCH("JOE SAUNDERS",C1617))),"Zelle to Joe Saunders",IF(OR(ISNUMBER(SEARCH("NEW ORLEANS",C1617)),ISNUMBER(SEARCH("KENNER",C1617)),ISNUMBER(SEARCH("HENRY HOWARD",C1617)),ISNUMBER(SEARCH("MISS CLAUDIA",C1617))),"Personal Travel - New Orleans",IF(AND(YEAR(B1617)=2025,MONTH(B1617)=4,OR(ISNUMBER(SEARCH("EXCHANGE RATE",C1617)),ISNUMBER(SEARCH("EXCHG RTE",C1617)))),"Personal Travel - Italy",IFERROR(INDEX('Category Rules'!$B$2:$B$358,MATCH(TRUE,ISNUMBER(SEARCH('Category Rules'!$A$2:$A$358,C1617)),0)),""))))))))</f>
        <v>Transfer from DWG Capital Group</v>
      </c>
    </row>
    <row r="1618" spans="1:7" x14ac:dyDescent="0.25">
      <c r="A1618" t="s">
        <v>6</v>
      </c>
      <c r="B1618" s="1">
        <v>45783</v>
      </c>
      <c r="C1618" t="s">
        <v>1764</v>
      </c>
      <c r="D1618">
        <v>-204.29</v>
      </c>
      <c r="E1618" t="s">
        <v>10</v>
      </c>
      <c r="F1618">
        <v>2609.2199999999998</v>
      </c>
      <c r="G1618" t="str" cm="1">
        <f t="array" ref="G1618">IF(AND(ISNUMBER(SEARCH("UBER",C1618)),ISNUMBER(SEARCH("EATS",C1618))),"Uber Eats",IF(LEFT(C1618,6)="CHECK ","Checks Paid",IF(OR(E1618="BILLPAY",ISNUMBER(SEARCH("FRANCHISE TAX",C1618)),ISNUMBER(SEARCH("NEXTLINK",C1618))),"Personal - House Bills",IF(AND(ISNUMBER(SEARCH("PAYMENT FROM",C1618)),ISNUMBER(SEARCH("JOE SAUNDERS",C1618))),"Zelle from Joe Saunders",IF(AND(ISNUMBER(SEARCH("PAYMENT TO",C1618)),ISNUMBER(SEARCH("JOE SAUNDERS",C1618))),"Zelle to Joe Saunders",IF(OR(ISNUMBER(SEARCH("NEW ORLEANS",C1618)),ISNUMBER(SEARCH("KENNER",C1618)),ISNUMBER(SEARCH("HENRY HOWARD",C1618)),ISNUMBER(SEARCH("MISS CLAUDIA",C1618))),"Personal Travel - New Orleans",IF(AND(YEAR(B1618)=2025,MONTH(B1618)=4,OR(ISNUMBER(SEARCH("EXCHANGE RATE",C1618)),ISNUMBER(SEARCH("EXCHG RTE",C1618)))),"Personal Travel - Italy",IFERROR(INDEX('Category Rules'!$B$2:$B$358,MATCH(TRUE,ISNUMBER(SEARCH('Category Rules'!$A$2:$A$358,C1618)),0)),""))))))))</f>
        <v>Personal - Health</v>
      </c>
    </row>
    <row r="1619" spans="1:7" x14ac:dyDescent="0.25">
      <c r="A1619" t="s">
        <v>6</v>
      </c>
      <c r="B1619" s="1">
        <v>45783</v>
      </c>
      <c r="C1619" t="s">
        <v>1765</v>
      </c>
      <c r="D1619">
        <v>-13.99</v>
      </c>
      <c r="E1619" t="s">
        <v>10</v>
      </c>
      <c r="F1619">
        <v>2813.51</v>
      </c>
      <c r="G1619" t="str" cm="1">
        <f t="array" ref="G1619">IF(AND(ISNUMBER(SEARCH("UBER",C1619)),ISNUMBER(SEARCH("EATS",C1619))),"Uber Eats",IF(LEFT(C1619,6)="CHECK ","Checks Paid",IF(OR(E1619="BILLPAY",ISNUMBER(SEARCH("FRANCHISE TAX",C1619)),ISNUMBER(SEARCH("NEXTLINK",C1619))),"Personal - House Bills",IF(AND(ISNUMBER(SEARCH("PAYMENT FROM",C1619)),ISNUMBER(SEARCH("JOE SAUNDERS",C1619))),"Zelle from Joe Saunders",IF(AND(ISNUMBER(SEARCH("PAYMENT TO",C1619)),ISNUMBER(SEARCH("JOE SAUNDERS",C1619))),"Zelle to Joe Saunders",IF(OR(ISNUMBER(SEARCH("NEW ORLEANS",C1619)),ISNUMBER(SEARCH("KENNER",C1619)),ISNUMBER(SEARCH("HENRY HOWARD",C1619)),ISNUMBER(SEARCH("MISS CLAUDIA",C1619))),"Personal Travel - New Orleans",IF(AND(YEAR(B1619)=2025,MONTH(B1619)=4,OR(ISNUMBER(SEARCH("EXCHANGE RATE",C1619)),ISNUMBER(SEARCH("EXCHG RTE",C1619)))),"Personal Travel - Italy",IFERROR(INDEX('Category Rules'!$B$2:$B$358,MATCH(TRUE,ISNUMBER(SEARCH('Category Rules'!$A$2:$A$358,C1619)),0)),""))))))))</f>
        <v>YouTube Premium</v>
      </c>
    </row>
    <row r="1620" spans="1:7" x14ac:dyDescent="0.25">
      <c r="A1620" t="s">
        <v>6</v>
      </c>
      <c r="B1620" s="1">
        <v>45783</v>
      </c>
      <c r="C1620" t="s">
        <v>1766</v>
      </c>
      <c r="D1620">
        <v>-3</v>
      </c>
      <c r="E1620" t="s">
        <v>10</v>
      </c>
      <c r="F1620">
        <v>2827.5</v>
      </c>
      <c r="G1620" t="str" cm="1">
        <f t="array" ref="G1620">IF(AND(ISNUMBER(SEARCH("UBER",C1620)),ISNUMBER(SEARCH("EATS",C1620))),"Uber Eats",IF(LEFT(C1620,6)="CHECK ","Checks Paid",IF(OR(E1620="BILLPAY",ISNUMBER(SEARCH("FRANCHISE TAX",C1620)),ISNUMBER(SEARCH("NEXTLINK",C1620))),"Personal - House Bills",IF(AND(ISNUMBER(SEARCH("PAYMENT FROM",C1620)),ISNUMBER(SEARCH("JOE SAUNDERS",C1620))),"Zelle from Joe Saunders",IF(AND(ISNUMBER(SEARCH("PAYMENT TO",C1620)),ISNUMBER(SEARCH("JOE SAUNDERS",C1620))),"Zelle to Joe Saunders",IF(OR(ISNUMBER(SEARCH("NEW ORLEANS",C1620)),ISNUMBER(SEARCH("KENNER",C1620)),ISNUMBER(SEARCH("HENRY HOWARD",C1620)),ISNUMBER(SEARCH("MISS CLAUDIA",C1620))),"Personal Travel - New Orleans",IF(AND(YEAR(B1620)=2025,MONTH(B1620)=4,OR(ISNUMBER(SEARCH("EXCHANGE RATE",C1620)),ISNUMBER(SEARCH("EXCHG RTE",C1620)))),"Personal Travel - Italy",IFERROR(INDEX('Category Rules'!$B$2:$B$358,MATCH(TRUE,ISNUMBER(SEARCH('Category Rules'!$A$2:$A$358,C1620)),0)),""))))))))</f>
        <v>Personal - Uber</v>
      </c>
    </row>
    <row r="1621" spans="1:7" x14ac:dyDescent="0.25">
      <c r="A1621" t="s">
        <v>6</v>
      </c>
      <c r="B1621" s="1">
        <v>45783</v>
      </c>
      <c r="C1621" t="s">
        <v>1767</v>
      </c>
      <c r="D1621">
        <v>-29.95</v>
      </c>
      <c r="E1621" t="s">
        <v>10</v>
      </c>
      <c r="F1621">
        <v>2830.5</v>
      </c>
      <c r="G1621" t="str" cm="1">
        <f t="array" ref="G1621">IF(AND(ISNUMBER(SEARCH("UBER",C1621)),ISNUMBER(SEARCH("EATS",C1621))),"Uber Eats",IF(LEFT(C1621,6)="CHECK ","Checks Paid",IF(OR(E1621="BILLPAY",ISNUMBER(SEARCH("FRANCHISE TAX",C1621)),ISNUMBER(SEARCH("NEXTLINK",C1621))),"Personal - House Bills",IF(AND(ISNUMBER(SEARCH("PAYMENT FROM",C1621)),ISNUMBER(SEARCH("JOE SAUNDERS",C1621))),"Zelle from Joe Saunders",IF(AND(ISNUMBER(SEARCH("PAYMENT TO",C1621)),ISNUMBER(SEARCH("JOE SAUNDERS",C1621))),"Zelle to Joe Saunders",IF(OR(ISNUMBER(SEARCH("NEW ORLEANS",C1621)),ISNUMBER(SEARCH("KENNER",C1621)),ISNUMBER(SEARCH("HENRY HOWARD",C1621)),ISNUMBER(SEARCH("MISS CLAUDIA",C1621))),"Personal Travel - New Orleans",IF(AND(YEAR(B1621)=2025,MONTH(B1621)=4,OR(ISNUMBER(SEARCH("EXCHANGE RATE",C1621)),ISNUMBER(SEARCH("EXCHG RTE",C1621)))),"Personal Travel - Italy",IFERROR(INDEX('Category Rules'!$B$2:$B$358,MATCH(TRUE,ISNUMBER(SEARCH('Category Rules'!$A$2:$A$358,C1621)),0)),""))))))))</f>
        <v>Personal - Subscription</v>
      </c>
    </row>
    <row r="1622" spans="1:7" x14ac:dyDescent="0.25">
      <c r="A1622" t="s">
        <v>6</v>
      </c>
      <c r="B1622" s="1">
        <v>45783</v>
      </c>
      <c r="C1622" t="s">
        <v>1768</v>
      </c>
      <c r="D1622">
        <v>-22</v>
      </c>
      <c r="E1622" t="s">
        <v>10</v>
      </c>
      <c r="F1622">
        <v>2860.45</v>
      </c>
      <c r="G1622" t="str" cm="1">
        <f t="array" ref="G1622">IF(AND(ISNUMBER(SEARCH("UBER",C1622)),ISNUMBER(SEARCH("EATS",C1622))),"Uber Eats",IF(LEFT(C1622,6)="CHECK ","Checks Paid",IF(OR(E1622="BILLPAY",ISNUMBER(SEARCH("FRANCHISE TAX",C1622)),ISNUMBER(SEARCH("NEXTLINK",C1622))),"Personal - House Bills",IF(AND(ISNUMBER(SEARCH("PAYMENT FROM",C1622)),ISNUMBER(SEARCH("JOE SAUNDERS",C1622))),"Zelle from Joe Saunders",IF(AND(ISNUMBER(SEARCH("PAYMENT TO",C1622)),ISNUMBER(SEARCH("JOE SAUNDERS",C1622))),"Zelle to Joe Saunders",IF(OR(ISNUMBER(SEARCH("NEW ORLEANS",C1622)),ISNUMBER(SEARCH("KENNER",C1622)),ISNUMBER(SEARCH("HENRY HOWARD",C1622)),ISNUMBER(SEARCH("MISS CLAUDIA",C1622))),"Personal Travel - New Orleans",IF(AND(YEAR(B1622)=2025,MONTH(B1622)=4,OR(ISNUMBER(SEARCH("EXCHANGE RATE",C1622)),ISNUMBER(SEARCH("EXCHG RTE",C1622)))),"Personal Travel - Italy",IFERROR(INDEX('Category Rules'!$B$2:$B$358,MATCH(TRUE,ISNUMBER(SEARCH('Category Rules'!$A$2:$A$358,C1622)),0)),""))))))))</f>
        <v>Personal - Subscription</v>
      </c>
    </row>
    <row r="1623" spans="1:7" x14ac:dyDescent="0.25">
      <c r="A1623" t="s">
        <v>6</v>
      </c>
      <c r="B1623" s="1">
        <v>45782</v>
      </c>
      <c r="C1623" t="s">
        <v>1769</v>
      </c>
      <c r="D1623">
        <v>-102.23</v>
      </c>
      <c r="E1623" t="s">
        <v>10</v>
      </c>
      <c r="F1623">
        <v>2882.45</v>
      </c>
      <c r="G1623" t="str" cm="1">
        <f t="array" ref="G1623">IF(AND(ISNUMBER(SEARCH("UBER",C1623)),ISNUMBER(SEARCH("EATS",C1623))),"Uber Eats",IF(LEFT(C1623,6)="CHECK ","Checks Paid",IF(OR(E1623="BILLPAY",ISNUMBER(SEARCH("FRANCHISE TAX",C1623)),ISNUMBER(SEARCH("NEXTLINK",C1623))),"Personal - House Bills",IF(AND(ISNUMBER(SEARCH("PAYMENT FROM",C1623)),ISNUMBER(SEARCH("JOE SAUNDERS",C1623))),"Zelle from Joe Saunders",IF(AND(ISNUMBER(SEARCH("PAYMENT TO",C1623)),ISNUMBER(SEARCH("JOE SAUNDERS",C1623))),"Zelle to Joe Saunders",IF(OR(ISNUMBER(SEARCH("NEW ORLEANS",C1623)),ISNUMBER(SEARCH("KENNER",C1623)),ISNUMBER(SEARCH("HENRY HOWARD",C1623)),ISNUMBER(SEARCH("MISS CLAUDIA",C1623))),"Personal Travel - New Orleans",IF(AND(YEAR(B1623)=2025,MONTH(B1623)=4,OR(ISNUMBER(SEARCH("EXCHANGE RATE",C1623)),ISNUMBER(SEARCH("EXCHG RTE",C1623)))),"Personal Travel - Italy",IFERROR(INDEX('Category Rules'!$B$2:$B$358,MATCH(TRUE,ISNUMBER(SEARCH('Category Rules'!$A$2:$A$358,C1623)),0)),""))))))))</f>
        <v>Personal - Food</v>
      </c>
    </row>
    <row r="1624" spans="1:7" x14ac:dyDescent="0.25">
      <c r="A1624" t="s">
        <v>6</v>
      </c>
      <c r="B1624" s="1">
        <v>45782</v>
      </c>
      <c r="C1624" t="s">
        <v>1770</v>
      </c>
      <c r="D1624">
        <v>-136.94</v>
      </c>
      <c r="E1624" t="s">
        <v>10</v>
      </c>
      <c r="F1624">
        <v>2984.68</v>
      </c>
      <c r="G1624" t="str" cm="1">
        <f t="array" ref="G1624">IF(AND(ISNUMBER(SEARCH("UBER",C1624)),ISNUMBER(SEARCH("EATS",C1624))),"Uber Eats",IF(LEFT(C1624,6)="CHECK ","Checks Paid",IF(OR(E1624="BILLPAY",ISNUMBER(SEARCH("FRANCHISE TAX",C1624)),ISNUMBER(SEARCH("NEXTLINK",C1624))),"Personal - House Bills",IF(AND(ISNUMBER(SEARCH("PAYMENT FROM",C1624)),ISNUMBER(SEARCH("JOE SAUNDERS",C1624))),"Zelle from Joe Saunders",IF(AND(ISNUMBER(SEARCH("PAYMENT TO",C1624)),ISNUMBER(SEARCH("JOE SAUNDERS",C1624))),"Zelle to Joe Saunders",IF(OR(ISNUMBER(SEARCH("NEW ORLEANS",C1624)),ISNUMBER(SEARCH("KENNER",C1624)),ISNUMBER(SEARCH("HENRY HOWARD",C1624)),ISNUMBER(SEARCH("MISS CLAUDIA",C1624))),"Personal Travel - New Orleans",IF(AND(YEAR(B1624)=2025,MONTH(B1624)=4,OR(ISNUMBER(SEARCH("EXCHANGE RATE",C1624)),ISNUMBER(SEARCH("EXCHG RTE",C1624)))),"Personal Travel - Italy",IFERROR(INDEX('Category Rules'!$B$2:$B$358,MATCH(TRUE,ISNUMBER(SEARCH('Category Rules'!$A$2:$A$358,C1624)),0)),""))))))))</f>
        <v>Personal - Shopping</v>
      </c>
    </row>
    <row r="1625" spans="1:7" x14ac:dyDescent="0.25">
      <c r="A1625" t="s">
        <v>6</v>
      </c>
      <c r="B1625" s="1">
        <v>45782</v>
      </c>
      <c r="C1625" t="s">
        <v>1771</v>
      </c>
      <c r="D1625">
        <v>-83.04</v>
      </c>
      <c r="E1625" t="s">
        <v>10</v>
      </c>
      <c r="F1625">
        <v>3121.62</v>
      </c>
      <c r="G1625" t="str" cm="1">
        <f t="array" ref="G1625">IF(AND(ISNUMBER(SEARCH("UBER",C1625)),ISNUMBER(SEARCH("EATS",C1625))),"Uber Eats",IF(LEFT(C1625,6)="CHECK ","Checks Paid",IF(OR(E1625="BILLPAY",ISNUMBER(SEARCH("FRANCHISE TAX",C1625)),ISNUMBER(SEARCH("NEXTLINK",C1625))),"Personal - House Bills",IF(AND(ISNUMBER(SEARCH("PAYMENT FROM",C1625)),ISNUMBER(SEARCH("JOE SAUNDERS",C1625))),"Zelle from Joe Saunders",IF(AND(ISNUMBER(SEARCH("PAYMENT TO",C1625)),ISNUMBER(SEARCH("JOE SAUNDERS",C1625))),"Zelle to Joe Saunders",IF(OR(ISNUMBER(SEARCH("NEW ORLEANS",C1625)),ISNUMBER(SEARCH("KENNER",C1625)),ISNUMBER(SEARCH("HENRY HOWARD",C1625)),ISNUMBER(SEARCH("MISS CLAUDIA",C1625))),"Personal Travel - New Orleans",IF(AND(YEAR(B1625)=2025,MONTH(B1625)=4,OR(ISNUMBER(SEARCH("EXCHANGE RATE",C1625)),ISNUMBER(SEARCH("EXCHG RTE",C1625)))),"Personal Travel - Italy",IFERROR(INDEX('Category Rules'!$B$2:$B$358,MATCH(TRUE,ISNUMBER(SEARCH('Category Rules'!$A$2:$A$358,C1625)),0)),""))))))))</f>
        <v>Personal - Entertainment</v>
      </c>
    </row>
    <row r="1626" spans="1:7" x14ac:dyDescent="0.25">
      <c r="A1626" t="s">
        <v>6</v>
      </c>
      <c r="B1626" s="1">
        <v>45782</v>
      </c>
      <c r="C1626" t="s">
        <v>1772</v>
      </c>
      <c r="D1626">
        <v>-32.909999999999997</v>
      </c>
      <c r="E1626" t="s">
        <v>10</v>
      </c>
      <c r="F1626">
        <v>3204.66</v>
      </c>
      <c r="G1626" t="str" cm="1">
        <f t="array" ref="G1626">IF(AND(ISNUMBER(SEARCH("UBER",C1626)),ISNUMBER(SEARCH("EATS",C1626))),"Uber Eats",IF(LEFT(C1626,6)="CHECK ","Checks Paid",IF(OR(E1626="BILLPAY",ISNUMBER(SEARCH("FRANCHISE TAX",C1626)),ISNUMBER(SEARCH("NEXTLINK",C1626))),"Personal - House Bills",IF(AND(ISNUMBER(SEARCH("PAYMENT FROM",C1626)),ISNUMBER(SEARCH("JOE SAUNDERS",C1626))),"Zelle from Joe Saunders",IF(AND(ISNUMBER(SEARCH("PAYMENT TO",C1626)),ISNUMBER(SEARCH("JOE SAUNDERS",C1626))),"Zelle to Joe Saunders",IF(OR(ISNUMBER(SEARCH("NEW ORLEANS",C1626)),ISNUMBER(SEARCH("KENNER",C1626)),ISNUMBER(SEARCH("HENRY HOWARD",C1626)),ISNUMBER(SEARCH("MISS CLAUDIA",C1626))),"Personal Travel - New Orleans",IF(AND(YEAR(B1626)=2025,MONTH(B1626)=4,OR(ISNUMBER(SEARCH("EXCHANGE RATE",C1626)),ISNUMBER(SEARCH("EXCHG RTE",C1626)))),"Personal Travel - Italy",IFERROR(INDEX('Category Rules'!$B$2:$B$358,MATCH(TRUE,ISNUMBER(SEARCH('Category Rules'!$A$2:$A$358,C1626)),0)),""))))))))</f>
        <v>Uber Eats</v>
      </c>
    </row>
    <row r="1627" spans="1:7" x14ac:dyDescent="0.25">
      <c r="A1627" t="s">
        <v>6</v>
      </c>
      <c r="B1627" s="1">
        <v>45782</v>
      </c>
      <c r="C1627" t="s">
        <v>1773</v>
      </c>
      <c r="D1627">
        <v>-20.72</v>
      </c>
      <c r="E1627" t="s">
        <v>10</v>
      </c>
      <c r="F1627">
        <v>3237.57</v>
      </c>
      <c r="G1627" t="str" cm="1">
        <f t="array" ref="G1627">IF(AND(ISNUMBER(SEARCH("UBER",C1627)),ISNUMBER(SEARCH("EATS",C1627))),"Uber Eats",IF(LEFT(C1627,6)="CHECK ","Checks Paid",IF(OR(E1627="BILLPAY",ISNUMBER(SEARCH("FRANCHISE TAX",C1627)),ISNUMBER(SEARCH("NEXTLINK",C1627))),"Personal - House Bills",IF(AND(ISNUMBER(SEARCH("PAYMENT FROM",C1627)),ISNUMBER(SEARCH("JOE SAUNDERS",C1627))),"Zelle from Joe Saunders",IF(AND(ISNUMBER(SEARCH("PAYMENT TO",C1627)),ISNUMBER(SEARCH("JOE SAUNDERS",C1627))),"Zelle to Joe Saunders",IF(OR(ISNUMBER(SEARCH("NEW ORLEANS",C1627)),ISNUMBER(SEARCH("KENNER",C1627)),ISNUMBER(SEARCH("HENRY HOWARD",C1627)),ISNUMBER(SEARCH("MISS CLAUDIA",C1627))),"Personal Travel - New Orleans",IF(AND(YEAR(B1627)=2025,MONTH(B1627)=4,OR(ISNUMBER(SEARCH("EXCHANGE RATE",C1627)),ISNUMBER(SEARCH("EXCHG RTE",C1627)))),"Personal Travel - Italy",IFERROR(INDEX('Category Rules'!$B$2:$B$358,MATCH(TRUE,ISNUMBER(SEARCH('Category Rules'!$A$2:$A$358,C1627)),0)),""))))))))</f>
        <v>Personal - Uber</v>
      </c>
    </row>
    <row r="1628" spans="1:7" x14ac:dyDescent="0.25">
      <c r="A1628" t="s">
        <v>6</v>
      </c>
      <c r="B1628" s="1">
        <v>45782</v>
      </c>
      <c r="C1628" t="s">
        <v>1774</v>
      </c>
      <c r="D1628">
        <v>-60.8</v>
      </c>
      <c r="E1628" t="s">
        <v>10</v>
      </c>
      <c r="F1628">
        <v>3258.29</v>
      </c>
      <c r="G1628" t="str" cm="1">
        <f t="array" ref="G1628">IF(AND(ISNUMBER(SEARCH("UBER",C1628)),ISNUMBER(SEARCH("EATS",C1628))),"Uber Eats",IF(LEFT(C1628,6)="CHECK ","Checks Paid",IF(OR(E1628="BILLPAY",ISNUMBER(SEARCH("FRANCHISE TAX",C1628)),ISNUMBER(SEARCH("NEXTLINK",C1628))),"Personal - House Bills",IF(AND(ISNUMBER(SEARCH("PAYMENT FROM",C1628)),ISNUMBER(SEARCH("JOE SAUNDERS",C1628))),"Zelle from Joe Saunders",IF(AND(ISNUMBER(SEARCH("PAYMENT TO",C1628)),ISNUMBER(SEARCH("JOE SAUNDERS",C1628))),"Zelle to Joe Saunders",IF(OR(ISNUMBER(SEARCH("NEW ORLEANS",C1628)),ISNUMBER(SEARCH("KENNER",C1628)),ISNUMBER(SEARCH("HENRY HOWARD",C1628)),ISNUMBER(SEARCH("MISS CLAUDIA",C1628))),"Personal Travel - New Orleans",IF(AND(YEAR(B1628)=2025,MONTH(B1628)=4,OR(ISNUMBER(SEARCH("EXCHANGE RATE",C1628)),ISNUMBER(SEARCH("EXCHG RTE",C1628)))),"Personal Travel - Italy",IFERROR(INDEX('Category Rules'!$B$2:$B$358,MATCH(TRUE,ISNUMBER(SEARCH('Category Rules'!$A$2:$A$358,C1628)),0)),""))))))))</f>
        <v>Amazon</v>
      </c>
    </row>
    <row r="1629" spans="1:7" x14ac:dyDescent="0.25">
      <c r="A1629" t="s">
        <v>6</v>
      </c>
      <c r="B1629" s="1">
        <v>45782</v>
      </c>
      <c r="C1629" t="s">
        <v>1775</v>
      </c>
      <c r="D1629">
        <v>-41.58</v>
      </c>
      <c r="E1629" t="s">
        <v>10</v>
      </c>
      <c r="F1629">
        <v>3319.09</v>
      </c>
      <c r="G1629" t="str" cm="1">
        <f t="array" ref="G1629">IF(AND(ISNUMBER(SEARCH("UBER",C1629)),ISNUMBER(SEARCH("EATS",C1629))),"Uber Eats",IF(LEFT(C1629,6)="CHECK ","Checks Paid",IF(OR(E1629="BILLPAY",ISNUMBER(SEARCH("FRANCHISE TAX",C1629)),ISNUMBER(SEARCH("NEXTLINK",C1629))),"Personal - House Bills",IF(AND(ISNUMBER(SEARCH("PAYMENT FROM",C1629)),ISNUMBER(SEARCH("JOE SAUNDERS",C1629))),"Zelle from Joe Saunders",IF(AND(ISNUMBER(SEARCH("PAYMENT TO",C1629)),ISNUMBER(SEARCH("JOE SAUNDERS",C1629))),"Zelle to Joe Saunders",IF(OR(ISNUMBER(SEARCH("NEW ORLEANS",C1629)),ISNUMBER(SEARCH("KENNER",C1629)),ISNUMBER(SEARCH("HENRY HOWARD",C1629)),ISNUMBER(SEARCH("MISS CLAUDIA",C1629))),"Personal Travel - New Orleans",IF(AND(YEAR(B1629)=2025,MONTH(B1629)=4,OR(ISNUMBER(SEARCH("EXCHANGE RATE",C1629)),ISNUMBER(SEARCH("EXCHG RTE",C1629)))),"Personal Travel - Italy",IFERROR(INDEX('Category Rules'!$B$2:$B$358,MATCH(TRUE,ISNUMBER(SEARCH('Category Rules'!$A$2:$A$358,C1629)),0)),""))))))))</f>
        <v>Amazon</v>
      </c>
    </row>
    <row r="1630" spans="1:7" x14ac:dyDescent="0.25">
      <c r="A1630" t="s">
        <v>6</v>
      </c>
      <c r="B1630" s="1">
        <v>45782</v>
      </c>
      <c r="C1630" t="s">
        <v>1776</v>
      </c>
      <c r="D1630">
        <v>-32.630000000000003</v>
      </c>
      <c r="E1630" t="s">
        <v>10</v>
      </c>
      <c r="F1630">
        <v>3360.67</v>
      </c>
      <c r="G1630" t="str" cm="1">
        <f t="array" ref="G1630">IF(AND(ISNUMBER(SEARCH("UBER",C1630)),ISNUMBER(SEARCH("EATS",C1630))),"Uber Eats",IF(LEFT(C1630,6)="CHECK ","Checks Paid",IF(OR(E1630="BILLPAY",ISNUMBER(SEARCH("FRANCHISE TAX",C1630)),ISNUMBER(SEARCH("NEXTLINK",C1630))),"Personal - House Bills",IF(AND(ISNUMBER(SEARCH("PAYMENT FROM",C1630)),ISNUMBER(SEARCH("JOE SAUNDERS",C1630))),"Zelle from Joe Saunders",IF(AND(ISNUMBER(SEARCH("PAYMENT TO",C1630)),ISNUMBER(SEARCH("JOE SAUNDERS",C1630))),"Zelle to Joe Saunders",IF(OR(ISNUMBER(SEARCH("NEW ORLEANS",C1630)),ISNUMBER(SEARCH("KENNER",C1630)),ISNUMBER(SEARCH("HENRY HOWARD",C1630)),ISNUMBER(SEARCH("MISS CLAUDIA",C1630))),"Personal Travel - New Orleans",IF(AND(YEAR(B1630)=2025,MONTH(B1630)=4,OR(ISNUMBER(SEARCH("EXCHANGE RATE",C1630)),ISNUMBER(SEARCH("EXCHG RTE",C1630)))),"Personal Travel - Italy",IFERROR(INDEX('Category Rules'!$B$2:$B$358,MATCH(TRUE,ISNUMBER(SEARCH('Category Rules'!$A$2:$A$358,C1630)),0)),""))))))))</f>
        <v>Personal - Shopping</v>
      </c>
    </row>
    <row r="1631" spans="1:7" x14ac:dyDescent="0.25">
      <c r="A1631" t="s">
        <v>6</v>
      </c>
      <c r="B1631" s="1">
        <v>45782</v>
      </c>
      <c r="C1631" t="s">
        <v>1777</v>
      </c>
      <c r="D1631">
        <v>-195.87</v>
      </c>
      <c r="E1631" t="s">
        <v>10</v>
      </c>
      <c r="F1631">
        <v>3393.3</v>
      </c>
      <c r="G1631" t="str" cm="1">
        <f t="array" ref="G1631">IF(AND(ISNUMBER(SEARCH("UBER",C1631)),ISNUMBER(SEARCH("EATS",C1631))),"Uber Eats",IF(LEFT(C1631,6)="CHECK ","Checks Paid",IF(OR(E1631="BILLPAY",ISNUMBER(SEARCH("FRANCHISE TAX",C1631)),ISNUMBER(SEARCH("NEXTLINK",C1631))),"Personal - House Bills",IF(AND(ISNUMBER(SEARCH("PAYMENT FROM",C1631)),ISNUMBER(SEARCH("JOE SAUNDERS",C1631))),"Zelle from Joe Saunders",IF(AND(ISNUMBER(SEARCH("PAYMENT TO",C1631)),ISNUMBER(SEARCH("JOE SAUNDERS",C1631))),"Zelle to Joe Saunders",IF(OR(ISNUMBER(SEARCH("NEW ORLEANS",C1631)),ISNUMBER(SEARCH("KENNER",C1631)),ISNUMBER(SEARCH("HENRY HOWARD",C1631)),ISNUMBER(SEARCH("MISS CLAUDIA",C1631))),"Personal Travel - New Orleans",IF(AND(YEAR(B1631)=2025,MONTH(B1631)=4,OR(ISNUMBER(SEARCH("EXCHANGE RATE",C1631)),ISNUMBER(SEARCH("EXCHG RTE",C1631)))),"Personal Travel - Italy",IFERROR(INDEX('Category Rules'!$B$2:$B$358,MATCH(TRUE,ISNUMBER(SEARCH('Category Rules'!$A$2:$A$358,C1631)),0)),""))))))))</f>
        <v>Personal - Food</v>
      </c>
    </row>
    <row r="1632" spans="1:7" x14ac:dyDescent="0.25">
      <c r="A1632" t="s">
        <v>6</v>
      </c>
      <c r="B1632" s="1">
        <v>45782</v>
      </c>
      <c r="C1632" t="s">
        <v>1778</v>
      </c>
      <c r="D1632">
        <v>-29.79</v>
      </c>
      <c r="E1632" t="s">
        <v>10</v>
      </c>
      <c r="F1632">
        <v>3589.17</v>
      </c>
      <c r="G1632" t="str" cm="1">
        <f t="array" ref="G1632">IF(AND(ISNUMBER(SEARCH("UBER",C1632)),ISNUMBER(SEARCH("EATS",C1632))),"Uber Eats",IF(LEFT(C1632,6)="CHECK ","Checks Paid",IF(OR(E1632="BILLPAY",ISNUMBER(SEARCH("FRANCHISE TAX",C1632)),ISNUMBER(SEARCH("NEXTLINK",C1632))),"Personal - House Bills",IF(AND(ISNUMBER(SEARCH("PAYMENT FROM",C1632)),ISNUMBER(SEARCH("JOE SAUNDERS",C1632))),"Zelle from Joe Saunders",IF(AND(ISNUMBER(SEARCH("PAYMENT TO",C1632)),ISNUMBER(SEARCH("JOE SAUNDERS",C1632))),"Zelle to Joe Saunders",IF(OR(ISNUMBER(SEARCH("NEW ORLEANS",C1632)),ISNUMBER(SEARCH("KENNER",C1632)),ISNUMBER(SEARCH("HENRY HOWARD",C1632)),ISNUMBER(SEARCH("MISS CLAUDIA",C1632))),"Personal Travel - New Orleans",IF(AND(YEAR(B1632)=2025,MONTH(B1632)=4,OR(ISNUMBER(SEARCH("EXCHANGE RATE",C1632)),ISNUMBER(SEARCH("EXCHG RTE",C1632)))),"Personal Travel - Italy",IFERROR(INDEX('Category Rules'!$B$2:$B$358,MATCH(TRUE,ISNUMBER(SEARCH('Category Rules'!$A$2:$A$358,C1632)),0)),""))))))))</f>
        <v>Personal - Uber</v>
      </c>
    </row>
    <row r="1633" spans="1:7" x14ac:dyDescent="0.25">
      <c r="A1633" t="s">
        <v>6</v>
      </c>
      <c r="B1633" s="1">
        <v>45782</v>
      </c>
      <c r="C1633" t="s">
        <v>1779</v>
      </c>
      <c r="D1633">
        <v>-3.99</v>
      </c>
      <c r="E1633" t="s">
        <v>10</v>
      </c>
      <c r="F1633">
        <v>3618.96</v>
      </c>
      <c r="G1633" t="str" cm="1">
        <f t="array" ref="G1633">IF(AND(ISNUMBER(SEARCH("UBER",C1633)),ISNUMBER(SEARCH("EATS",C1633))),"Uber Eats",IF(LEFT(C1633,6)="CHECK ","Checks Paid",IF(OR(E1633="BILLPAY",ISNUMBER(SEARCH("FRANCHISE TAX",C1633)),ISNUMBER(SEARCH("NEXTLINK",C1633))),"Personal - House Bills",IF(AND(ISNUMBER(SEARCH("PAYMENT FROM",C1633)),ISNUMBER(SEARCH("JOE SAUNDERS",C1633))),"Zelle from Joe Saunders",IF(AND(ISNUMBER(SEARCH("PAYMENT TO",C1633)),ISNUMBER(SEARCH("JOE SAUNDERS",C1633))),"Zelle to Joe Saunders",IF(OR(ISNUMBER(SEARCH("NEW ORLEANS",C1633)),ISNUMBER(SEARCH("KENNER",C1633)),ISNUMBER(SEARCH("HENRY HOWARD",C1633)),ISNUMBER(SEARCH("MISS CLAUDIA",C1633))),"Personal Travel - New Orleans",IF(AND(YEAR(B1633)=2025,MONTH(B1633)=4,OR(ISNUMBER(SEARCH("EXCHANGE RATE",C1633)),ISNUMBER(SEARCH("EXCHG RTE",C1633)))),"Personal Travel - Italy",IFERROR(INDEX('Category Rules'!$B$2:$B$358,MATCH(TRUE,ISNUMBER(SEARCH('Category Rules'!$A$2:$A$358,C1633)),0)),""))))))))</f>
        <v>Apple</v>
      </c>
    </row>
    <row r="1634" spans="1:7" x14ac:dyDescent="0.25">
      <c r="A1634" t="s">
        <v>6</v>
      </c>
      <c r="B1634" s="1">
        <v>45782</v>
      </c>
      <c r="C1634" t="s">
        <v>1780</v>
      </c>
      <c r="D1634">
        <v>-6.57</v>
      </c>
      <c r="E1634" t="s">
        <v>10</v>
      </c>
      <c r="F1634">
        <v>3622.95</v>
      </c>
      <c r="G1634" t="str" cm="1">
        <f t="array" ref="G1634">IF(AND(ISNUMBER(SEARCH("UBER",C1634)),ISNUMBER(SEARCH("EATS",C1634))),"Uber Eats",IF(LEFT(C1634,6)="CHECK ","Checks Paid",IF(OR(E1634="BILLPAY",ISNUMBER(SEARCH("FRANCHISE TAX",C1634)),ISNUMBER(SEARCH("NEXTLINK",C1634))),"Personal - House Bills",IF(AND(ISNUMBER(SEARCH("PAYMENT FROM",C1634)),ISNUMBER(SEARCH("JOE SAUNDERS",C1634))),"Zelle from Joe Saunders",IF(AND(ISNUMBER(SEARCH("PAYMENT TO",C1634)),ISNUMBER(SEARCH("JOE SAUNDERS",C1634))),"Zelle to Joe Saunders",IF(OR(ISNUMBER(SEARCH("NEW ORLEANS",C1634)),ISNUMBER(SEARCH("KENNER",C1634)),ISNUMBER(SEARCH("HENRY HOWARD",C1634)),ISNUMBER(SEARCH("MISS CLAUDIA",C1634))),"Personal Travel - New Orleans",IF(AND(YEAR(B1634)=2025,MONTH(B1634)=4,OR(ISNUMBER(SEARCH("EXCHANGE RATE",C1634)),ISNUMBER(SEARCH("EXCHG RTE",C1634)))),"Personal Travel - Italy",IFERROR(INDEX('Category Rules'!$B$2:$B$358,MATCH(TRUE,ISNUMBER(SEARCH('Category Rules'!$A$2:$A$358,C1634)),0)),""))))))))</f>
        <v>Amazon</v>
      </c>
    </row>
    <row r="1635" spans="1:7" x14ac:dyDescent="0.25">
      <c r="A1635" t="s">
        <v>6</v>
      </c>
      <c r="B1635" s="1">
        <v>45782</v>
      </c>
      <c r="C1635" t="s">
        <v>1781</v>
      </c>
      <c r="D1635">
        <v>-106.58</v>
      </c>
      <c r="E1635" t="s">
        <v>10</v>
      </c>
      <c r="F1635">
        <v>3629.52</v>
      </c>
      <c r="G1635" t="str" cm="1">
        <f t="array" ref="G1635">IF(AND(ISNUMBER(SEARCH("UBER",C1635)),ISNUMBER(SEARCH("EATS",C1635))),"Uber Eats",IF(LEFT(C1635,6)="CHECK ","Checks Paid",IF(OR(E1635="BILLPAY",ISNUMBER(SEARCH("FRANCHISE TAX",C1635)),ISNUMBER(SEARCH("NEXTLINK",C1635))),"Personal - House Bills",IF(AND(ISNUMBER(SEARCH("PAYMENT FROM",C1635)),ISNUMBER(SEARCH("JOE SAUNDERS",C1635))),"Zelle from Joe Saunders",IF(AND(ISNUMBER(SEARCH("PAYMENT TO",C1635)),ISNUMBER(SEARCH("JOE SAUNDERS",C1635))),"Zelle to Joe Saunders",IF(OR(ISNUMBER(SEARCH("NEW ORLEANS",C1635)),ISNUMBER(SEARCH("KENNER",C1635)),ISNUMBER(SEARCH("HENRY HOWARD",C1635)),ISNUMBER(SEARCH("MISS CLAUDIA",C1635))),"Personal Travel - New Orleans",IF(AND(YEAR(B1635)=2025,MONTH(B1635)=4,OR(ISNUMBER(SEARCH("EXCHANGE RATE",C1635)),ISNUMBER(SEARCH("EXCHG RTE",C1635)))),"Personal Travel - Italy",IFERROR(INDEX('Category Rules'!$B$2:$B$358,MATCH(TRUE,ISNUMBER(SEARCH('Category Rules'!$A$2:$A$358,C1635)),0)),""))))))))</f>
        <v>Amazon</v>
      </c>
    </row>
    <row r="1636" spans="1:7" x14ac:dyDescent="0.25">
      <c r="A1636" t="s">
        <v>6</v>
      </c>
      <c r="B1636" s="1">
        <v>45779</v>
      </c>
      <c r="C1636" t="s">
        <v>1782</v>
      </c>
      <c r="D1636">
        <v>-333.68</v>
      </c>
      <c r="E1636" t="s">
        <v>10</v>
      </c>
      <c r="F1636">
        <v>3736.1</v>
      </c>
      <c r="G1636" t="str" cm="1">
        <f t="array" ref="G1636">IF(AND(ISNUMBER(SEARCH("UBER",C1636)),ISNUMBER(SEARCH("EATS",C1636))),"Uber Eats",IF(LEFT(C1636,6)="CHECK ","Checks Paid",IF(OR(E1636="BILLPAY",ISNUMBER(SEARCH("FRANCHISE TAX",C1636)),ISNUMBER(SEARCH("NEXTLINK",C1636))),"Personal - House Bills",IF(AND(ISNUMBER(SEARCH("PAYMENT FROM",C1636)),ISNUMBER(SEARCH("JOE SAUNDERS",C1636))),"Zelle from Joe Saunders",IF(AND(ISNUMBER(SEARCH("PAYMENT TO",C1636)),ISNUMBER(SEARCH("JOE SAUNDERS",C1636))),"Zelle to Joe Saunders",IF(OR(ISNUMBER(SEARCH("NEW ORLEANS",C1636)),ISNUMBER(SEARCH("KENNER",C1636)),ISNUMBER(SEARCH("HENRY HOWARD",C1636)),ISNUMBER(SEARCH("MISS CLAUDIA",C1636))),"Personal Travel - New Orleans",IF(AND(YEAR(B1636)=2025,MONTH(B1636)=4,OR(ISNUMBER(SEARCH("EXCHANGE RATE",C1636)),ISNUMBER(SEARCH("EXCHG RTE",C1636)))),"Personal Travel - Italy",IFERROR(INDEX('Category Rules'!$B$2:$B$358,MATCH(TRUE,ISNUMBER(SEARCH('Category Rules'!$A$2:$A$358,C1636)),0)),""))))))))</f>
        <v>Personal - Food</v>
      </c>
    </row>
    <row r="1637" spans="1:7" x14ac:dyDescent="0.25">
      <c r="A1637" t="s">
        <v>6</v>
      </c>
      <c r="B1637" s="1">
        <v>45779</v>
      </c>
      <c r="C1637" t="s">
        <v>1783</v>
      </c>
      <c r="D1637">
        <v>-100</v>
      </c>
      <c r="E1637" t="s">
        <v>10</v>
      </c>
      <c r="F1637">
        <v>4069.78</v>
      </c>
      <c r="G1637" t="str" cm="1">
        <f t="array" ref="G1637">IF(AND(ISNUMBER(SEARCH("UBER",C1637)),ISNUMBER(SEARCH("EATS",C1637))),"Uber Eats",IF(LEFT(C1637,6)="CHECK ","Checks Paid",IF(OR(E1637="BILLPAY",ISNUMBER(SEARCH("FRANCHISE TAX",C1637)),ISNUMBER(SEARCH("NEXTLINK",C1637))),"Personal - House Bills",IF(AND(ISNUMBER(SEARCH("PAYMENT FROM",C1637)),ISNUMBER(SEARCH("JOE SAUNDERS",C1637))),"Zelle from Joe Saunders",IF(AND(ISNUMBER(SEARCH("PAYMENT TO",C1637)),ISNUMBER(SEARCH("JOE SAUNDERS",C1637))),"Zelle to Joe Saunders",IF(OR(ISNUMBER(SEARCH("NEW ORLEANS",C1637)),ISNUMBER(SEARCH("KENNER",C1637)),ISNUMBER(SEARCH("HENRY HOWARD",C1637)),ISNUMBER(SEARCH("MISS CLAUDIA",C1637))),"Personal Travel - New Orleans",IF(AND(YEAR(B1637)=2025,MONTH(B1637)=4,OR(ISNUMBER(SEARCH("EXCHANGE RATE",C1637)),ISNUMBER(SEARCH("EXCHG RTE",C1637)))),"Personal Travel - Italy",IFERROR(INDEX('Category Rules'!$B$2:$B$358,MATCH(TRUE,ISNUMBER(SEARCH('Category Rules'!$A$2:$A$358,C1637)),0)),""))))))))</f>
        <v>Personal - Subscription</v>
      </c>
    </row>
    <row r="1638" spans="1:7" x14ac:dyDescent="0.25">
      <c r="A1638" t="s">
        <v>6</v>
      </c>
      <c r="B1638" s="1">
        <v>45778</v>
      </c>
      <c r="C1638" t="s">
        <v>1784</v>
      </c>
      <c r="D1638">
        <v>-67.95</v>
      </c>
      <c r="E1638" t="s">
        <v>10</v>
      </c>
      <c r="F1638">
        <v>4169.78</v>
      </c>
      <c r="G1638" t="str" cm="1">
        <f t="array" ref="G1638">IF(AND(ISNUMBER(SEARCH("UBER",C1638)),ISNUMBER(SEARCH("EATS",C1638))),"Uber Eats",IF(LEFT(C1638,6)="CHECK ","Checks Paid",IF(OR(E1638="BILLPAY",ISNUMBER(SEARCH("FRANCHISE TAX",C1638)),ISNUMBER(SEARCH("NEXTLINK",C1638))),"Personal - House Bills",IF(AND(ISNUMBER(SEARCH("PAYMENT FROM",C1638)),ISNUMBER(SEARCH("JOE SAUNDERS",C1638))),"Zelle from Joe Saunders",IF(AND(ISNUMBER(SEARCH("PAYMENT TO",C1638)),ISNUMBER(SEARCH("JOE SAUNDERS",C1638))),"Zelle to Joe Saunders",IF(OR(ISNUMBER(SEARCH("NEW ORLEANS",C1638)),ISNUMBER(SEARCH("KENNER",C1638)),ISNUMBER(SEARCH("HENRY HOWARD",C1638)),ISNUMBER(SEARCH("MISS CLAUDIA",C1638))),"Personal Travel - New Orleans",IF(AND(YEAR(B1638)=2025,MONTH(B1638)=4,OR(ISNUMBER(SEARCH("EXCHANGE RATE",C1638)),ISNUMBER(SEARCH("EXCHG RTE",C1638)))),"Personal Travel - Italy",IFERROR(INDEX('Category Rules'!$B$2:$B$358,MATCH(TRUE,ISNUMBER(SEARCH('Category Rules'!$A$2:$A$358,C1638)),0)),""))))))))</f>
        <v>Personal - Health</v>
      </c>
    </row>
    <row r="1639" spans="1:7" x14ac:dyDescent="0.25">
      <c r="A1639" t="s">
        <v>6</v>
      </c>
      <c r="B1639" s="1">
        <v>45778</v>
      </c>
      <c r="C1639" t="s">
        <v>1785</v>
      </c>
      <c r="D1639">
        <v>-500</v>
      </c>
      <c r="E1639" t="s">
        <v>26</v>
      </c>
      <c r="F1639">
        <v>4237.7299999999996</v>
      </c>
      <c r="G1639" t="str" cm="1">
        <f t="array" ref="G1639">IF(AND(ISNUMBER(SEARCH("UBER",C1639)),ISNUMBER(SEARCH("EATS",C1639))),"Uber Eats",IF(LEFT(C1639,6)="CHECK ","Checks Paid",IF(OR(E1639="BILLPAY",ISNUMBER(SEARCH("FRANCHISE TAX",C1639)),ISNUMBER(SEARCH("NEXTLINK",C1639))),"Personal - House Bills",IF(AND(ISNUMBER(SEARCH("PAYMENT FROM",C1639)),ISNUMBER(SEARCH("JOE SAUNDERS",C1639))),"Zelle from Joe Saunders",IF(AND(ISNUMBER(SEARCH("PAYMENT TO",C1639)),ISNUMBER(SEARCH("JOE SAUNDERS",C1639))),"Zelle to Joe Saunders",IF(OR(ISNUMBER(SEARCH("NEW ORLEANS",C1639)),ISNUMBER(SEARCH("KENNER",C1639)),ISNUMBER(SEARCH("HENRY HOWARD",C1639)),ISNUMBER(SEARCH("MISS CLAUDIA",C1639))),"Personal Travel - New Orleans",IF(AND(YEAR(B1639)=2025,MONTH(B1639)=4,OR(ISNUMBER(SEARCH("EXCHANGE RATE",C1639)),ISNUMBER(SEARCH("EXCHG RTE",C1639)))),"Personal Travel - Italy",IFERROR(INDEX('Category Rules'!$B$2:$B$358,MATCH(TRUE,ISNUMBER(SEARCH('Category Rules'!$A$2:$A$358,C1639)),0)),""))))))))</f>
        <v>Withdrawal</v>
      </c>
    </row>
    <row r="1640" spans="1:7" x14ac:dyDescent="0.25">
      <c r="A1640" t="s">
        <v>6</v>
      </c>
      <c r="B1640" s="1">
        <v>45778</v>
      </c>
      <c r="C1640" t="s">
        <v>1786</v>
      </c>
      <c r="D1640">
        <v>-81.17</v>
      </c>
      <c r="E1640" t="s">
        <v>10</v>
      </c>
      <c r="F1640">
        <v>4737.7299999999996</v>
      </c>
      <c r="G1640" t="str" cm="1">
        <f t="array" ref="G1640">IF(AND(ISNUMBER(SEARCH("UBER",C1640)),ISNUMBER(SEARCH("EATS",C1640))),"Uber Eats",IF(LEFT(C1640,6)="CHECK ","Checks Paid",IF(OR(E1640="BILLPAY",ISNUMBER(SEARCH("FRANCHISE TAX",C1640)),ISNUMBER(SEARCH("NEXTLINK",C1640))),"Personal - House Bills",IF(AND(ISNUMBER(SEARCH("PAYMENT FROM",C1640)),ISNUMBER(SEARCH("JOE SAUNDERS",C1640))),"Zelle from Joe Saunders",IF(AND(ISNUMBER(SEARCH("PAYMENT TO",C1640)),ISNUMBER(SEARCH("JOE SAUNDERS",C1640))),"Zelle to Joe Saunders",IF(OR(ISNUMBER(SEARCH("NEW ORLEANS",C1640)),ISNUMBER(SEARCH("KENNER",C1640)),ISNUMBER(SEARCH("HENRY HOWARD",C1640)),ISNUMBER(SEARCH("MISS CLAUDIA",C1640))),"Personal Travel - New Orleans",IF(AND(YEAR(B1640)=2025,MONTH(B1640)=4,OR(ISNUMBER(SEARCH("EXCHANGE RATE",C1640)),ISNUMBER(SEARCH("EXCHG RTE",C1640)))),"Personal Travel - Italy",IFERROR(INDEX('Category Rules'!$B$2:$B$358,MATCH(TRUE,ISNUMBER(SEARCH('Category Rules'!$A$2:$A$358,C1640)),0)),""))))))))</f>
        <v>Uber Eats</v>
      </c>
    </row>
    <row r="1641" spans="1:7" x14ac:dyDescent="0.25">
      <c r="A1641" t="s">
        <v>6</v>
      </c>
      <c r="B1641" s="1">
        <v>45778</v>
      </c>
      <c r="C1641" t="s">
        <v>1787</v>
      </c>
      <c r="D1641">
        <v>-525</v>
      </c>
      <c r="E1641" t="s">
        <v>10</v>
      </c>
      <c r="F1641">
        <v>4818.8999999999996</v>
      </c>
      <c r="G1641" t="str" cm="1">
        <f t="array" ref="G1641">IF(AND(ISNUMBER(SEARCH("UBER",C1641)),ISNUMBER(SEARCH("EATS",C1641))),"Uber Eats",IF(LEFT(C1641,6)="CHECK ","Checks Paid",IF(OR(E1641="BILLPAY",ISNUMBER(SEARCH("FRANCHISE TAX",C1641)),ISNUMBER(SEARCH("NEXTLINK",C1641))),"Personal - House Bills",IF(AND(ISNUMBER(SEARCH("PAYMENT FROM",C1641)),ISNUMBER(SEARCH("JOE SAUNDERS",C1641))),"Zelle from Joe Saunders",IF(AND(ISNUMBER(SEARCH("PAYMENT TO",C1641)),ISNUMBER(SEARCH("JOE SAUNDERS",C1641))),"Zelle to Joe Saunders",IF(OR(ISNUMBER(SEARCH("NEW ORLEANS",C1641)),ISNUMBER(SEARCH("KENNER",C1641)),ISNUMBER(SEARCH("HENRY HOWARD",C1641)),ISNUMBER(SEARCH("MISS CLAUDIA",C1641))),"Personal Travel - New Orleans",IF(AND(YEAR(B1641)=2025,MONTH(B1641)=4,OR(ISNUMBER(SEARCH("EXCHANGE RATE",C1641)),ISNUMBER(SEARCH("EXCHG RTE",C1641)))),"Personal Travel - Italy",IFERROR(INDEX('Category Rules'!$B$2:$B$358,MATCH(TRUE,ISNUMBER(SEARCH('Category Rules'!$A$2:$A$358,C1641)),0)),""))))))))</f>
        <v>Personal - Health</v>
      </c>
    </row>
    <row r="1642" spans="1:7" x14ac:dyDescent="0.25">
      <c r="A1642" t="s">
        <v>6</v>
      </c>
      <c r="B1642" s="1">
        <v>45778</v>
      </c>
      <c r="C1642" t="s">
        <v>1788</v>
      </c>
      <c r="D1642">
        <v>-944.63</v>
      </c>
      <c r="E1642" t="s">
        <v>10</v>
      </c>
      <c r="F1642">
        <v>5343.9</v>
      </c>
      <c r="G1642" t="str" cm="1">
        <f t="array" ref="G1642">IF(AND(ISNUMBER(SEARCH("UBER",C1642)),ISNUMBER(SEARCH("EATS",C1642))),"Uber Eats",IF(LEFT(C1642,6)="CHECK ","Checks Paid",IF(OR(E1642="BILLPAY",ISNUMBER(SEARCH("FRANCHISE TAX",C1642)),ISNUMBER(SEARCH("NEXTLINK",C1642))),"Personal - House Bills",IF(AND(ISNUMBER(SEARCH("PAYMENT FROM",C1642)),ISNUMBER(SEARCH("JOE SAUNDERS",C1642))),"Zelle from Joe Saunders",IF(AND(ISNUMBER(SEARCH("PAYMENT TO",C1642)),ISNUMBER(SEARCH("JOE SAUNDERS",C1642))),"Zelle to Joe Saunders",IF(OR(ISNUMBER(SEARCH("NEW ORLEANS",C1642)),ISNUMBER(SEARCH("KENNER",C1642)),ISNUMBER(SEARCH("HENRY HOWARD",C1642)),ISNUMBER(SEARCH("MISS CLAUDIA",C1642))),"Personal Travel - New Orleans",IF(AND(YEAR(B1642)=2025,MONTH(B1642)=4,OR(ISNUMBER(SEARCH("EXCHANGE RATE",C1642)),ISNUMBER(SEARCH("EXCHG RTE",C1642)))),"Personal Travel - Italy",IFERROR(INDEX('Category Rules'!$B$2:$B$358,MATCH(TRUE,ISNUMBER(SEARCH('Category Rules'!$A$2:$A$358,C1642)),0)),""))))))))</f>
        <v>Personal - Health Insurance</v>
      </c>
    </row>
    <row r="1643" spans="1:7" x14ac:dyDescent="0.25">
      <c r="A1643" t="s">
        <v>44</v>
      </c>
      <c r="B1643" s="1">
        <v>45778</v>
      </c>
      <c r="C1643" t="s">
        <v>1789</v>
      </c>
      <c r="D1643">
        <v>150</v>
      </c>
      <c r="E1643" t="s">
        <v>46</v>
      </c>
      <c r="F1643">
        <v>6288.53</v>
      </c>
      <c r="G1643" t="str" cm="1">
        <f t="array" ref="G1643">IF(AND(ISNUMBER(SEARCH("UBER",C1643)),ISNUMBER(SEARCH("EATS",C1643))),"Uber Eats",IF(LEFT(C1643,6)="CHECK ","Checks Paid",IF(OR(E1643="BILLPAY",ISNUMBER(SEARCH("FRANCHISE TAX",C1643)),ISNUMBER(SEARCH("NEXTLINK",C1643))),"Personal - House Bills",IF(AND(ISNUMBER(SEARCH("PAYMENT FROM",C1643)),ISNUMBER(SEARCH("JOE SAUNDERS",C1643))),"Zelle from Joe Saunders",IF(AND(ISNUMBER(SEARCH("PAYMENT TO",C1643)),ISNUMBER(SEARCH("JOE SAUNDERS",C1643))),"Zelle to Joe Saunders",IF(OR(ISNUMBER(SEARCH("NEW ORLEANS",C1643)),ISNUMBER(SEARCH("KENNER",C1643)),ISNUMBER(SEARCH("HENRY HOWARD",C1643)),ISNUMBER(SEARCH("MISS CLAUDIA",C1643))),"Personal Travel - New Orleans",IF(AND(YEAR(B1643)=2025,MONTH(B1643)=4,OR(ISNUMBER(SEARCH("EXCHANGE RATE",C1643)),ISNUMBER(SEARCH("EXCHG RTE",C1643)))),"Personal Travel - Italy",IFERROR(INDEX('Category Rules'!$B$2:$B$358,MATCH(TRUE,ISNUMBER(SEARCH('Category Rules'!$A$2:$A$358,C1643)),0)),""))))))))</f>
        <v>Zelle from Joe Saunders</v>
      </c>
    </row>
    <row r="1644" spans="1:7" x14ac:dyDescent="0.25">
      <c r="A1644" t="s">
        <v>44</v>
      </c>
      <c r="B1644" s="1">
        <v>45778</v>
      </c>
      <c r="C1644" t="s">
        <v>1790</v>
      </c>
      <c r="D1644">
        <v>430</v>
      </c>
      <c r="E1644" t="s">
        <v>46</v>
      </c>
      <c r="F1644">
        <v>6138.53</v>
      </c>
      <c r="G1644" t="str" cm="1">
        <f t="array" ref="G1644">IF(AND(ISNUMBER(SEARCH("UBER",C1644)),ISNUMBER(SEARCH("EATS",C1644))),"Uber Eats",IF(LEFT(C1644,6)="CHECK ","Checks Paid",IF(OR(E1644="BILLPAY",ISNUMBER(SEARCH("FRANCHISE TAX",C1644)),ISNUMBER(SEARCH("NEXTLINK",C1644))),"Personal - House Bills",IF(AND(ISNUMBER(SEARCH("PAYMENT FROM",C1644)),ISNUMBER(SEARCH("JOE SAUNDERS",C1644))),"Zelle from Joe Saunders",IF(AND(ISNUMBER(SEARCH("PAYMENT TO",C1644)),ISNUMBER(SEARCH("JOE SAUNDERS",C1644))),"Zelle to Joe Saunders",IF(OR(ISNUMBER(SEARCH("NEW ORLEANS",C1644)),ISNUMBER(SEARCH("KENNER",C1644)),ISNUMBER(SEARCH("HENRY HOWARD",C1644)),ISNUMBER(SEARCH("MISS CLAUDIA",C1644))),"Personal Travel - New Orleans",IF(AND(YEAR(B1644)=2025,MONTH(B1644)=4,OR(ISNUMBER(SEARCH("EXCHANGE RATE",C1644)),ISNUMBER(SEARCH("EXCHG RTE",C1644)))),"Personal Travel - Italy",IFERROR(INDEX('Category Rules'!$B$2:$B$358,MATCH(TRUE,ISNUMBER(SEARCH('Category Rules'!$A$2:$A$358,C1644)),0)),""))))))))</f>
        <v>Zelle from Joe Saunders</v>
      </c>
    </row>
    <row r="1645" spans="1:7" x14ac:dyDescent="0.25">
      <c r="A1645" t="s">
        <v>6</v>
      </c>
      <c r="B1645" s="1">
        <v>45777</v>
      </c>
      <c r="C1645" t="s">
        <v>1791</v>
      </c>
      <c r="D1645">
        <v>-200</v>
      </c>
      <c r="E1645" t="s">
        <v>33</v>
      </c>
      <c r="F1645">
        <v>5708.53</v>
      </c>
      <c r="G1645" t="str" cm="1">
        <f t="array" ref="G1645">IF(AND(ISNUMBER(SEARCH("UBER",C1645)),ISNUMBER(SEARCH("EATS",C1645))),"Uber Eats",IF(LEFT(C1645,6)="CHECK ","Checks Paid",IF(OR(E1645="BILLPAY",ISNUMBER(SEARCH("FRANCHISE TAX",C1645)),ISNUMBER(SEARCH("NEXTLINK",C1645))),"Personal - House Bills",IF(AND(ISNUMBER(SEARCH("PAYMENT FROM",C1645)),ISNUMBER(SEARCH("JOE SAUNDERS",C1645))),"Zelle from Joe Saunders",IF(AND(ISNUMBER(SEARCH("PAYMENT TO",C1645)),ISNUMBER(SEARCH("JOE SAUNDERS",C1645))),"Zelle to Joe Saunders",IF(OR(ISNUMBER(SEARCH("NEW ORLEANS",C1645)),ISNUMBER(SEARCH("KENNER",C1645)),ISNUMBER(SEARCH("HENRY HOWARD",C1645)),ISNUMBER(SEARCH("MISS CLAUDIA",C1645))),"Personal Travel - New Orleans",IF(AND(YEAR(B1645)=2025,MONTH(B1645)=4,OR(ISNUMBER(SEARCH("EXCHANGE RATE",C1645)),ISNUMBER(SEARCH("EXCHG RTE",C1645)))),"Personal Travel - Italy",IFERROR(INDEX('Category Rules'!$B$2:$B$358,MATCH(TRUE,ISNUMBER(SEARCH('Category Rules'!$A$2:$A$358,C1645)),0)),""))))))))</f>
        <v>Personal - House Bills</v>
      </c>
    </row>
    <row r="1646" spans="1:7" x14ac:dyDescent="0.25">
      <c r="A1646" t="s">
        <v>6</v>
      </c>
      <c r="B1646" s="1">
        <v>45777</v>
      </c>
      <c r="C1646" t="s">
        <v>1792</v>
      </c>
      <c r="D1646">
        <v>-120</v>
      </c>
      <c r="E1646" t="s">
        <v>33</v>
      </c>
      <c r="F1646">
        <v>5908.53</v>
      </c>
      <c r="G1646" t="str" cm="1">
        <f t="array" ref="G1646">IF(AND(ISNUMBER(SEARCH("UBER",C1646)),ISNUMBER(SEARCH("EATS",C1646))),"Uber Eats",IF(LEFT(C1646,6)="CHECK ","Checks Paid",IF(OR(E1646="BILLPAY",ISNUMBER(SEARCH("FRANCHISE TAX",C1646)),ISNUMBER(SEARCH("NEXTLINK",C1646))),"Personal - House Bills",IF(AND(ISNUMBER(SEARCH("PAYMENT FROM",C1646)),ISNUMBER(SEARCH("JOE SAUNDERS",C1646))),"Zelle from Joe Saunders",IF(AND(ISNUMBER(SEARCH("PAYMENT TO",C1646)),ISNUMBER(SEARCH("JOE SAUNDERS",C1646))),"Zelle to Joe Saunders",IF(OR(ISNUMBER(SEARCH("NEW ORLEANS",C1646)),ISNUMBER(SEARCH("KENNER",C1646)),ISNUMBER(SEARCH("HENRY HOWARD",C1646)),ISNUMBER(SEARCH("MISS CLAUDIA",C1646))),"Personal Travel - New Orleans",IF(AND(YEAR(B1646)=2025,MONTH(B1646)=4,OR(ISNUMBER(SEARCH("EXCHANGE RATE",C1646)),ISNUMBER(SEARCH("EXCHG RTE",C1646)))),"Personal Travel - Italy",IFERROR(INDEX('Category Rules'!$B$2:$B$358,MATCH(TRUE,ISNUMBER(SEARCH('Category Rules'!$A$2:$A$358,C1646)),0)),""))))))))</f>
        <v>Personal - House Bills</v>
      </c>
    </row>
    <row r="1647" spans="1:7" x14ac:dyDescent="0.25">
      <c r="A1647" t="s">
        <v>6</v>
      </c>
      <c r="B1647" s="1">
        <v>45777</v>
      </c>
      <c r="C1647" t="s">
        <v>1793</v>
      </c>
      <c r="D1647">
        <v>-300</v>
      </c>
      <c r="E1647" t="s">
        <v>33</v>
      </c>
      <c r="F1647">
        <v>6028.53</v>
      </c>
      <c r="G1647" t="str" cm="1">
        <f t="array" ref="G1647">IF(AND(ISNUMBER(SEARCH("UBER",C1647)),ISNUMBER(SEARCH("EATS",C1647))),"Uber Eats",IF(LEFT(C1647,6)="CHECK ","Checks Paid",IF(OR(E1647="BILLPAY",ISNUMBER(SEARCH("FRANCHISE TAX",C1647)),ISNUMBER(SEARCH("NEXTLINK",C1647))),"Personal - House Bills",IF(AND(ISNUMBER(SEARCH("PAYMENT FROM",C1647)),ISNUMBER(SEARCH("JOE SAUNDERS",C1647))),"Zelle from Joe Saunders",IF(AND(ISNUMBER(SEARCH("PAYMENT TO",C1647)),ISNUMBER(SEARCH("JOE SAUNDERS",C1647))),"Zelle to Joe Saunders",IF(OR(ISNUMBER(SEARCH("NEW ORLEANS",C1647)),ISNUMBER(SEARCH("KENNER",C1647)),ISNUMBER(SEARCH("HENRY HOWARD",C1647)),ISNUMBER(SEARCH("MISS CLAUDIA",C1647))),"Personal Travel - New Orleans",IF(AND(YEAR(B1647)=2025,MONTH(B1647)=4,OR(ISNUMBER(SEARCH("EXCHANGE RATE",C1647)),ISNUMBER(SEARCH("EXCHG RTE",C1647)))),"Personal Travel - Italy",IFERROR(INDEX('Category Rules'!$B$2:$B$358,MATCH(TRUE,ISNUMBER(SEARCH('Category Rules'!$A$2:$A$358,C1647)),0)),""))))))))</f>
        <v>Personal - House Bills</v>
      </c>
    </row>
    <row r="1648" spans="1:7" x14ac:dyDescent="0.25">
      <c r="A1648" t="s">
        <v>6</v>
      </c>
      <c r="B1648" s="1">
        <v>45777</v>
      </c>
      <c r="C1648" t="s">
        <v>1794</v>
      </c>
      <c r="D1648">
        <v>-320</v>
      </c>
      <c r="E1648" t="s">
        <v>33</v>
      </c>
      <c r="F1648">
        <v>6328.53</v>
      </c>
      <c r="G1648" t="str" cm="1">
        <f t="array" ref="G1648">IF(AND(ISNUMBER(SEARCH("UBER",C1648)),ISNUMBER(SEARCH("EATS",C1648))),"Uber Eats",IF(LEFT(C1648,6)="CHECK ","Checks Paid",IF(OR(E1648="BILLPAY",ISNUMBER(SEARCH("FRANCHISE TAX",C1648)),ISNUMBER(SEARCH("NEXTLINK",C1648))),"Personal - House Bills",IF(AND(ISNUMBER(SEARCH("PAYMENT FROM",C1648)),ISNUMBER(SEARCH("JOE SAUNDERS",C1648))),"Zelle from Joe Saunders",IF(AND(ISNUMBER(SEARCH("PAYMENT TO",C1648)),ISNUMBER(SEARCH("JOE SAUNDERS",C1648))),"Zelle to Joe Saunders",IF(OR(ISNUMBER(SEARCH("NEW ORLEANS",C1648)),ISNUMBER(SEARCH("KENNER",C1648)),ISNUMBER(SEARCH("HENRY HOWARD",C1648)),ISNUMBER(SEARCH("MISS CLAUDIA",C1648))),"Personal Travel - New Orleans",IF(AND(YEAR(B1648)=2025,MONTH(B1648)=4,OR(ISNUMBER(SEARCH("EXCHANGE RATE",C1648)),ISNUMBER(SEARCH("EXCHG RTE",C1648)))),"Personal Travel - Italy",IFERROR(INDEX('Category Rules'!$B$2:$B$358,MATCH(TRUE,ISNUMBER(SEARCH('Category Rules'!$A$2:$A$358,C1648)),0)),""))))))))</f>
        <v>Personal - House Bills</v>
      </c>
    </row>
    <row r="1649" spans="1:7" x14ac:dyDescent="0.25">
      <c r="A1649" t="s">
        <v>6</v>
      </c>
      <c r="B1649" s="1">
        <v>45777</v>
      </c>
      <c r="C1649" t="s">
        <v>1795</v>
      </c>
      <c r="D1649">
        <v>-700</v>
      </c>
      <c r="E1649" t="s">
        <v>33</v>
      </c>
      <c r="F1649">
        <v>6648.53</v>
      </c>
      <c r="G1649" t="str" cm="1">
        <f t="array" ref="G1649">IF(AND(ISNUMBER(SEARCH("UBER",C1649)),ISNUMBER(SEARCH("EATS",C1649))),"Uber Eats",IF(LEFT(C1649,6)="CHECK ","Checks Paid",IF(OR(E1649="BILLPAY",ISNUMBER(SEARCH("FRANCHISE TAX",C1649)),ISNUMBER(SEARCH("NEXTLINK",C1649))),"Personal - House Bills",IF(AND(ISNUMBER(SEARCH("PAYMENT FROM",C1649)),ISNUMBER(SEARCH("JOE SAUNDERS",C1649))),"Zelle from Joe Saunders",IF(AND(ISNUMBER(SEARCH("PAYMENT TO",C1649)),ISNUMBER(SEARCH("JOE SAUNDERS",C1649))),"Zelle to Joe Saunders",IF(OR(ISNUMBER(SEARCH("NEW ORLEANS",C1649)),ISNUMBER(SEARCH("KENNER",C1649)),ISNUMBER(SEARCH("HENRY HOWARD",C1649)),ISNUMBER(SEARCH("MISS CLAUDIA",C1649))),"Personal Travel - New Orleans",IF(AND(YEAR(B1649)=2025,MONTH(B1649)=4,OR(ISNUMBER(SEARCH("EXCHANGE RATE",C1649)),ISNUMBER(SEARCH("EXCHG RTE",C1649)))),"Personal Travel - Italy",IFERROR(INDEX('Category Rules'!$B$2:$B$358,MATCH(TRUE,ISNUMBER(SEARCH('Category Rules'!$A$2:$A$358,C1649)),0)),""))))))))</f>
        <v>Personal - House Bills</v>
      </c>
    </row>
    <row r="1650" spans="1:7" x14ac:dyDescent="0.25">
      <c r="A1650" t="s">
        <v>6</v>
      </c>
      <c r="B1650" s="1">
        <v>45777</v>
      </c>
      <c r="C1650" t="s">
        <v>1796</v>
      </c>
      <c r="D1650">
        <v>-9.44</v>
      </c>
      <c r="E1650" t="s">
        <v>10</v>
      </c>
      <c r="F1650">
        <v>7348.53</v>
      </c>
      <c r="G1650" t="str" cm="1">
        <f t="array" ref="G1650">IF(AND(ISNUMBER(SEARCH("UBER",C1650)),ISNUMBER(SEARCH("EATS",C1650))),"Uber Eats",IF(LEFT(C1650,6)="CHECK ","Checks Paid",IF(OR(E1650="BILLPAY",ISNUMBER(SEARCH("FRANCHISE TAX",C1650)),ISNUMBER(SEARCH("NEXTLINK",C1650))),"Personal - House Bills",IF(AND(ISNUMBER(SEARCH("PAYMENT FROM",C1650)),ISNUMBER(SEARCH("JOE SAUNDERS",C1650))),"Zelle from Joe Saunders",IF(AND(ISNUMBER(SEARCH("PAYMENT TO",C1650)),ISNUMBER(SEARCH("JOE SAUNDERS",C1650))),"Zelle to Joe Saunders",IF(OR(ISNUMBER(SEARCH("NEW ORLEANS",C1650)),ISNUMBER(SEARCH("KENNER",C1650)),ISNUMBER(SEARCH("HENRY HOWARD",C1650)),ISNUMBER(SEARCH("MISS CLAUDIA",C1650))),"Personal Travel - New Orleans",IF(AND(YEAR(B1650)=2025,MONTH(B1650)=4,OR(ISNUMBER(SEARCH("EXCHANGE RATE",C1650)),ISNUMBER(SEARCH("EXCHG RTE",C1650)))),"Personal Travel - Italy",IFERROR(INDEX('Category Rules'!$B$2:$B$358,MATCH(TRUE,ISNUMBER(SEARCH('Category Rules'!$A$2:$A$358,C1650)),0)),""))))))))</f>
        <v>Amazon</v>
      </c>
    </row>
    <row r="1651" spans="1:7" x14ac:dyDescent="0.25">
      <c r="A1651" t="s">
        <v>6</v>
      </c>
      <c r="B1651" s="1">
        <v>45777</v>
      </c>
      <c r="C1651" t="s">
        <v>1797</v>
      </c>
      <c r="D1651">
        <v>-32.9</v>
      </c>
      <c r="E1651" t="s">
        <v>10</v>
      </c>
      <c r="F1651">
        <v>7357.97</v>
      </c>
      <c r="G1651" t="str" cm="1">
        <f t="array" ref="G1651">IF(AND(ISNUMBER(SEARCH("UBER",C1651)),ISNUMBER(SEARCH("EATS",C1651))),"Uber Eats",IF(LEFT(C1651,6)="CHECK ","Checks Paid",IF(OR(E1651="BILLPAY",ISNUMBER(SEARCH("FRANCHISE TAX",C1651)),ISNUMBER(SEARCH("NEXTLINK",C1651))),"Personal - House Bills",IF(AND(ISNUMBER(SEARCH("PAYMENT FROM",C1651)),ISNUMBER(SEARCH("JOE SAUNDERS",C1651))),"Zelle from Joe Saunders",IF(AND(ISNUMBER(SEARCH("PAYMENT TO",C1651)),ISNUMBER(SEARCH("JOE SAUNDERS",C1651))),"Zelle to Joe Saunders",IF(OR(ISNUMBER(SEARCH("NEW ORLEANS",C1651)),ISNUMBER(SEARCH("KENNER",C1651)),ISNUMBER(SEARCH("HENRY HOWARD",C1651)),ISNUMBER(SEARCH("MISS CLAUDIA",C1651))),"Personal Travel - New Orleans",IF(AND(YEAR(B1651)=2025,MONTH(B1651)=4,OR(ISNUMBER(SEARCH("EXCHANGE RATE",C1651)),ISNUMBER(SEARCH("EXCHG RTE",C1651)))),"Personal Travel - Italy",IFERROR(INDEX('Category Rules'!$B$2:$B$358,MATCH(TRUE,ISNUMBER(SEARCH('Category Rules'!$A$2:$A$358,C1651)),0)),""))))))))</f>
        <v>Amazon</v>
      </c>
    </row>
    <row r="1652" spans="1:7" x14ac:dyDescent="0.25">
      <c r="A1652" t="s">
        <v>6</v>
      </c>
      <c r="B1652" s="1">
        <v>45777</v>
      </c>
      <c r="C1652" t="s">
        <v>1798</v>
      </c>
      <c r="D1652">
        <v>-299.58999999999997</v>
      </c>
      <c r="E1652" t="s">
        <v>10</v>
      </c>
      <c r="F1652">
        <v>7390.87</v>
      </c>
      <c r="G1652" t="str" cm="1">
        <f t="array" ref="G1652">IF(AND(ISNUMBER(SEARCH("UBER",C1652)),ISNUMBER(SEARCH("EATS",C1652))),"Uber Eats",IF(LEFT(C1652,6)="CHECK ","Checks Paid",IF(OR(E1652="BILLPAY",ISNUMBER(SEARCH("FRANCHISE TAX",C1652)),ISNUMBER(SEARCH("NEXTLINK",C1652))),"Personal - House Bills",IF(AND(ISNUMBER(SEARCH("PAYMENT FROM",C1652)),ISNUMBER(SEARCH("JOE SAUNDERS",C1652))),"Zelle from Joe Saunders",IF(AND(ISNUMBER(SEARCH("PAYMENT TO",C1652)),ISNUMBER(SEARCH("JOE SAUNDERS",C1652))),"Zelle to Joe Saunders",IF(OR(ISNUMBER(SEARCH("NEW ORLEANS",C1652)),ISNUMBER(SEARCH("KENNER",C1652)),ISNUMBER(SEARCH("HENRY HOWARD",C1652)),ISNUMBER(SEARCH("MISS CLAUDIA",C1652))),"Personal Travel - New Orleans",IF(AND(YEAR(B1652)=2025,MONTH(B1652)=4,OR(ISNUMBER(SEARCH("EXCHANGE RATE",C1652)),ISNUMBER(SEARCH("EXCHG RTE",C1652)))),"Personal Travel - Italy",IFERROR(INDEX('Category Rules'!$B$2:$B$358,MATCH(TRUE,ISNUMBER(SEARCH('Category Rules'!$A$2:$A$358,C1652)),0)),""))))))))</f>
        <v>Personal - Shopping</v>
      </c>
    </row>
    <row r="1653" spans="1:7" x14ac:dyDescent="0.25">
      <c r="A1653" t="s">
        <v>6</v>
      </c>
      <c r="B1653" s="1">
        <v>45776</v>
      </c>
      <c r="C1653" t="s">
        <v>1799</v>
      </c>
      <c r="D1653">
        <v>-175.48</v>
      </c>
      <c r="E1653" t="s">
        <v>10</v>
      </c>
      <c r="F1653">
        <v>7690.46</v>
      </c>
      <c r="G1653" t="str" cm="1">
        <f t="array" ref="G1653">IF(AND(ISNUMBER(SEARCH("UBER",C1653)),ISNUMBER(SEARCH("EATS",C1653))),"Uber Eats",IF(LEFT(C1653,6)="CHECK ","Checks Paid",IF(OR(E1653="BILLPAY",ISNUMBER(SEARCH("FRANCHISE TAX",C1653)),ISNUMBER(SEARCH("NEXTLINK",C1653))),"Personal - House Bills",IF(AND(ISNUMBER(SEARCH("PAYMENT FROM",C1653)),ISNUMBER(SEARCH("JOE SAUNDERS",C1653))),"Zelle from Joe Saunders",IF(AND(ISNUMBER(SEARCH("PAYMENT TO",C1653)),ISNUMBER(SEARCH("JOE SAUNDERS",C1653))),"Zelle to Joe Saunders",IF(OR(ISNUMBER(SEARCH("NEW ORLEANS",C1653)),ISNUMBER(SEARCH("KENNER",C1653)),ISNUMBER(SEARCH("HENRY HOWARD",C1653)),ISNUMBER(SEARCH("MISS CLAUDIA",C1653))),"Personal Travel - New Orleans",IF(AND(YEAR(B1653)=2025,MONTH(B1653)=4,OR(ISNUMBER(SEARCH("EXCHANGE RATE",C1653)),ISNUMBER(SEARCH("EXCHG RTE",C1653)))),"Personal Travel - Italy",IFERROR(INDEX('Category Rules'!$B$2:$B$358,MATCH(TRUE,ISNUMBER(SEARCH('Category Rules'!$A$2:$A$358,C1653)),0)),""))))))))</f>
        <v>Personal - Shopping</v>
      </c>
    </row>
    <row r="1654" spans="1:7" x14ac:dyDescent="0.25">
      <c r="A1654" t="s">
        <v>6</v>
      </c>
      <c r="B1654" s="1">
        <v>45776</v>
      </c>
      <c r="C1654" t="s">
        <v>1800</v>
      </c>
      <c r="D1654">
        <v>-84.87</v>
      </c>
      <c r="E1654" t="s">
        <v>10</v>
      </c>
      <c r="F1654">
        <v>7865.94</v>
      </c>
      <c r="G1654" t="str" cm="1">
        <f t="array" ref="G1654">IF(AND(ISNUMBER(SEARCH("UBER",C1654)),ISNUMBER(SEARCH("EATS",C1654))),"Uber Eats",IF(LEFT(C1654,6)="CHECK ","Checks Paid",IF(OR(E1654="BILLPAY",ISNUMBER(SEARCH("FRANCHISE TAX",C1654)),ISNUMBER(SEARCH("NEXTLINK",C1654))),"Personal - House Bills",IF(AND(ISNUMBER(SEARCH("PAYMENT FROM",C1654)),ISNUMBER(SEARCH("JOE SAUNDERS",C1654))),"Zelle from Joe Saunders",IF(AND(ISNUMBER(SEARCH("PAYMENT TO",C1654)),ISNUMBER(SEARCH("JOE SAUNDERS",C1654))),"Zelle to Joe Saunders",IF(OR(ISNUMBER(SEARCH("NEW ORLEANS",C1654)),ISNUMBER(SEARCH("KENNER",C1654)),ISNUMBER(SEARCH("HENRY HOWARD",C1654)),ISNUMBER(SEARCH("MISS CLAUDIA",C1654))),"Personal Travel - New Orleans",IF(AND(YEAR(B1654)=2025,MONTH(B1654)=4,OR(ISNUMBER(SEARCH("EXCHANGE RATE",C1654)),ISNUMBER(SEARCH("EXCHG RTE",C1654)))),"Personal Travel - Italy",IFERROR(INDEX('Category Rules'!$B$2:$B$358,MATCH(TRUE,ISNUMBER(SEARCH('Category Rules'!$A$2:$A$358,C1654)),0)),""))))))))</f>
        <v>Amazon</v>
      </c>
    </row>
    <row r="1655" spans="1:7" x14ac:dyDescent="0.25">
      <c r="A1655" t="s">
        <v>6</v>
      </c>
      <c r="B1655" s="1">
        <v>45776</v>
      </c>
      <c r="C1655" t="s">
        <v>1801</v>
      </c>
      <c r="D1655">
        <v>-56.01</v>
      </c>
      <c r="E1655" t="s">
        <v>10</v>
      </c>
      <c r="F1655">
        <v>7950.81</v>
      </c>
      <c r="G1655" t="str" cm="1">
        <f t="array" ref="G1655">IF(AND(ISNUMBER(SEARCH("UBER",C1655)),ISNUMBER(SEARCH("EATS",C1655))),"Uber Eats",IF(LEFT(C1655,6)="CHECK ","Checks Paid",IF(OR(E1655="BILLPAY",ISNUMBER(SEARCH("FRANCHISE TAX",C1655)),ISNUMBER(SEARCH("NEXTLINK",C1655))),"Personal - House Bills",IF(AND(ISNUMBER(SEARCH("PAYMENT FROM",C1655)),ISNUMBER(SEARCH("JOE SAUNDERS",C1655))),"Zelle from Joe Saunders",IF(AND(ISNUMBER(SEARCH("PAYMENT TO",C1655)),ISNUMBER(SEARCH("JOE SAUNDERS",C1655))),"Zelle to Joe Saunders",IF(OR(ISNUMBER(SEARCH("NEW ORLEANS",C1655)),ISNUMBER(SEARCH("KENNER",C1655)),ISNUMBER(SEARCH("HENRY HOWARD",C1655)),ISNUMBER(SEARCH("MISS CLAUDIA",C1655))),"Personal Travel - New Orleans",IF(AND(YEAR(B1655)=2025,MONTH(B1655)=4,OR(ISNUMBER(SEARCH("EXCHANGE RATE",C1655)),ISNUMBER(SEARCH("EXCHG RTE",C1655)))),"Personal Travel - Italy",IFERROR(INDEX('Category Rules'!$B$2:$B$358,MATCH(TRUE,ISNUMBER(SEARCH('Category Rules'!$A$2:$A$358,C1655)),0)),""))))))))</f>
        <v>Uber Eats</v>
      </c>
    </row>
    <row r="1656" spans="1:7" x14ac:dyDescent="0.25">
      <c r="A1656" t="s">
        <v>6</v>
      </c>
      <c r="B1656" s="1">
        <v>45776</v>
      </c>
      <c r="C1656" t="s">
        <v>1802</v>
      </c>
      <c r="D1656">
        <v>-7.5</v>
      </c>
      <c r="E1656" t="s">
        <v>10</v>
      </c>
      <c r="F1656">
        <v>8006.82</v>
      </c>
      <c r="G1656" t="str" cm="1">
        <f t="array" ref="G1656">IF(AND(ISNUMBER(SEARCH("UBER",C1656)),ISNUMBER(SEARCH("EATS",C1656))),"Uber Eats",IF(LEFT(C1656,6)="CHECK ","Checks Paid",IF(OR(E1656="BILLPAY",ISNUMBER(SEARCH("FRANCHISE TAX",C1656)),ISNUMBER(SEARCH("NEXTLINK",C1656))),"Personal - House Bills",IF(AND(ISNUMBER(SEARCH("PAYMENT FROM",C1656)),ISNUMBER(SEARCH("JOE SAUNDERS",C1656))),"Zelle from Joe Saunders",IF(AND(ISNUMBER(SEARCH("PAYMENT TO",C1656)),ISNUMBER(SEARCH("JOE SAUNDERS",C1656))),"Zelle to Joe Saunders",IF(OR(ISNUMBER(SEARCH("NEW ORLEANS",C1656)),ISNUMBER(SEARCH("KENNER",C1656)),ISNUMBER(SEARCH("HENRY HOWARD",C1656)),ISNUMBER(SEARCH("MISS CLAUDIA",C1656))),"Personal Travel - New Orleans",IF(AND(YEAR(B1656)=2025,MONTH(B1656)=4,OR(ISNUMBER(SEARCH("EXCHANGE RATE",C1656)),ISNUMBER(SEARCH("EXCHG RTE",C1656)))),"Personal Travel - Italy",IFERROR(INDEX('Category Rules'!$B$2:$B$358,MATCH(TRUE,ISNUMBER(SEARCH('Category Rules'!$A$2:$A$358,C1656)),0)),""))))))))</f>
        <v>Personal - Subscription</v>
      </c>
    </row>
    <row r="1657" spans="1:7" x14ac:dyDescent="0.25">
      <c r="A1657" t="s">
        <v>6</v>
      </c>
      <c r="B1657" s="1">
        <v>45776</v>
      </c>
      <c r="C1657" t="s">
        <v>1803</v>
      </c>
      <c r="D1657">
        <v>-338.28</v>
      </c>
      <c r="E1657" t="s">
        <v>10</v>
      </c>
      <c r="F1657">
        <v>8014.32</v>
      </c>
      <c r="G1657" t="str" cm="1">
        <f t="array" ref="G1657">IF(AND(ISNUMBER(SEARCH("UBER",C1657)),ISNUMBER(SEARCH("EATS",C1657))),"Uber Eats",IF(LEFT(C1657,6)="CHECK ","Checks Paid",IF(OR(E1657="BILLPAY",ISNUMBER(SEARCH("FRANCHISE TAX",C1657)),ISNUMBER(SEARCH("NEXTLINK",C1657))),"Personal - House Bills",IF(AND(ISNUMBER(SEARCH("PAYMENT FROM",C1657)),ISNUMBER(SEARCH("JOE SAUNDERS",C1657))),"Zelle from Joe Saunders",IF(AND(ISNUMBER(SEARCH("PAYMENT TO",C1657)),ISNUMBER(SEARCH("JOE SAUNDERS",C1657))),"Zelle to Joe Saunders",IF(OR(ISNUMBER(SEARCH("NEW ORLEANS",C1657)),ISNUMBER(SEARCH("KENNER",C1657)),ISNUMBER(SEARCH("HENRY HOWARD",C1657)),ISNUMBER(SEARCH("MISS CLAUDIA",C1657))),"Personal Travel - New Orleans",IF(AND(YEAR(B1657)=2025,MONTH(B1657)=4,OR(ISNUMBER(SEARCH("EXCHANGE RATE",C1657)),ISNUMBER(SEARCH("EXCHG RTE",C1657)))),"Personal Travel - Italy",IFERROR(INDEX('Category Rules'!$B$2:$B$358,MATCH(TRUE,ISNUMBER(SEARCH('Category Rules'!$A$2:$A$358,C1657)),0)),""))))))))</f>
        <v>Personal - House Bills</v>
      </c>
    </row>
    <row r="1658" spans="1:7" x14ac:dyDescent="0.25">
      <c r="A1658" t="s">
        <v>6</v>
      </c>
      <c r="B1658" s="1">
        <v>45776</v>
      </c>
      <c r="C1658" t="s">
        <v>1804</v>
      </c>
      <c r="D1658">
        <v>-1</v>
      </c>
      <c r="E1658" t="s">
        <v>10</v>
      </c>
      <c r="F1658">
        <v>8352.6</v>
      </c>
      <c r="G1658" t="str" cm="1">
        <f t="array" ref="G1658">IF(AND(ISNUMBER(SEARCH("UBER",C1658)),ISNUMBER(SEARCH("EATS",C1658))),"Uber Eats",IF(LEFT(C1658,6)="CHECK ","Checks Paid",IF(OR(E1658="BILLPAY",ISNUMBER(SEARCH("FRANCHISE TAX",C1658)),ISNUMBER(SEARCH("NEXTLINK",C1658))),"Personal - House Bills",IF(AND(ISNUMBER(SEARCH("PAYMENT FROM",C1658)),ISNUMBER(SEARCH("JOE SAUNDERS",C1658))),"Zelle from Joe Saunders",IF(AND(ISNUMBER(SEARCH("PAYMENT TO",C1658)),ISNUMBER(SEARCH("JOE SAUNDERS",C1658))),"Zelle to Joe Saunders",IF(OR(ISNUMBER(SEARCH("NEW ORLEANS",C1658)),ISNUMBER(SEARCH("KENNER",C1658)),ISNUMBER(SEARCH("HENRY HOWARD",C1658)),ISNUMBER(SEARCH("MISS CLAUDIA",C1658))),"Personal Travel - New Orleans",IF(AND(YEAR(B1658)=2025,MONTH(B1658)=4,OR(ISNUMBER(SEARCH("EXCHANGE RATE",C1658)),ISNUMBER(SEARCH("EXCHG RTE",C1658)))),"Personal Travel - Italy",IFERROR(INDEX('Category Rules'!$B$2:$B$358,MATCH(TRUE,ISNUMBER(SEARCH('Category Rules'!$A$2:$A$358,C1658)),0)),""))))))))</f>
        <v>Personal - Car</v>
      </c>
    </row>
    <row r="1659" spans="1:7" x14ac:dyDescent="0.25">
      <c r="A1659" t="s">
        <v>6</v>
      </c>
      <c r="B1659" s="1">
        <v>45776</v>
      </c>
      <c r="C1659" t="s">
        <v>1805</v>
      </c>
      <c r="D1659">
        <v>-604.91999999999996</v>
      </c>
      <c r="E1659" t="s">
        <v>10</v>
      </c>
      <c r="F1659">
        <v>8353.6</v>
      </c>
      <c r="G1659" t="str" cm="1">
        <f t="array" ref="G1659">IF(AND(ISNUMBER(SEARCH("UBER",C1659)),ISNUMBER(SEARCH("EATS",C1659))),"Uber Eats",IF(LEFT(C1659,6)="CHECK ","Checks Paid",IF(OR(E1659="BILLPAY",ISNUMBER(SEARCH("FRANCHISE TAX",C1659)),ISNUMBER(SEARCH("NEXTLINK",C1659))),"Personal - House Bills",IF(AND(ISNUMBER(SEARCH("PAYMENT FROM",C1659)),ISNUMBER(SEARCH("JOE SAUNDERS",C1659))),"Zelle from Joe Saunders",IF(AND(ISNUMBER(SEARCH("PAYMENT TO",C1659)),ISNUMBER(SEARCH("JOE SAUNDERS",C1659))),"Zelle to Joe Saunders",IF(OR(ISNUMBER(SEARCH("NEW ORLEANS",C1659)),ISNUMBER(SEARCH("KENNER",C1659)),ISNUMBER(SEARCH("HENRY HOWARD",C1659)),ISNUMBER(SEARCH("MISS CLAUDIA",C1659))),"Personal Travel - New Orleans",IF(AND(YEAR(B1659)=2025,MONTH(B1659)=4,OR(ISNUMBER(SEARCH("EXCHANGE RATE",C1659)),ISNUMBER(SEARCH("EXCHG RTE",C1659)))),"Personal Travel - Italy",IFERROR(INDEX('Category Rules'!$B$2:$B$358,MATCH(TRUE,ISNUMBER(SEARCH('Category Rules'!$A$2:$A$358,C1659)),0)),""))))))))</f>
        <v>Personal - Food</v>
      </c>
    </row>
    <row r="1660" spans="1:7" x14ac:dyDescent="0.25">
      <c r="A1660" t="s">
        <v>6</v>
      </c>
      <c r="B1660" s="1">
        <v>45776</v>
      </c>
      <c r="C1660" t="s">
        <v>1806</v>
      </c>
      <c r="D1660">
        <v>-421.3</v>
      </c>
      <c r="E1660" t="s">
        <v>10</v>
      </c>
      <c r="F1660">
        <v>8958.52</v>
      </c>
      <c r="G1660" t="str" cm="1">
        <f t="array" ref="G1660">IF(AND(ISNUMBER(SEARCH("UBER",C1660)),ISNUMBER(SEARCH("EATS",C1660))),"Uber Eats",IF(LEFT(C1660,6)="CHECK ","Checks Paid",IF(OR(E1660="BILLPAY",ISNUMBER(SEARCH("FRANCHISE TAX",C1660)),ISNUMBER(SEARCH("NEXTLINK",C1660))),"Personal - House Bills",IF(AND(ISNUMBER(SEARCH("PAYMENT FROM",C1660)),ISNUMBER(SEARCH("JOE SAUNDERS",C1660))),"Zelle from Joe Saunders",IF(AND(ISNUMBER(SEARCH("PAYMENT TO",C1660)),ISNUMBER(SEARCH("JOE SAUNDERS",C1660))),"Zelle to Joe Saunders",IF(OR(ISNUMBER(SEARCH("NEW ORLEANS",C1660)),ISNUMBER(SEARCH("KENNER",C1660)),ISNUMBER(SEARCH("HENRY HOWARD",C1660)),ISNUMBER(SEARCH("MISS CLAUDIA",C1660))),"Personal Travel - New Orleans",IF(AND(YEAR(B1660)=2025,MONTH(B1660)=4,OR(ISNUMBER(SEARCH("EXCHANGE RATE",C1660)),ISNUMBER(SEARCH("EXCHG RTE",C1660)))),"Personal Travel - Italy",IFERROR(INDEX('Category Rules'!$B$2:$B$358,MATCH(TRUE,ISNUMBER(SEARCH('Category Rules'!$A$2:$A$358,C1660)),0)),""))))))))</f>
        <v>Personal - Food</v>
      </c>
    </row>
    <row r="1661" spans="1:7" x14ac:dyDescent="0.25">
      <c r="A1661" t="s">
        <v>6</v>
      </c>
      <c r="B1661" s="1">
        <v>45776</v>
      </c>
      <c r="C1661" t="s">
        <v>1807</v>
      </c>
      <c r="D1661">
        <v>-5.49</v>
      </c>
      <c r="E1661" t="s">
        <v>10</v>
      </c>
      <c r="F1661">
        <v>9379.82</v>
      </c>
      <c r="G1661" t="str" cm="1">
        <f t="array" ref="G1661">IF(AND(ISNUMBER(SEARCH("UBER",C1661)),ISNUMBER(SEARCH("EATS",C1661))),"Uber Eats",IF(LEFT(C1661,6)="CHECK ","Checks Paid",IF(OR(E1661="BILLPAY",ISNUMBER(SEARCH("FRANCHISE TAX",C1661)),ISNUMBER(SEARCH("NEXTLINK",C1661))),"Personal - House Bills",IF(AND(ISNUMBER(SEARCH("PAYMENT FROM",C1661)),ISNUMBER(SEARCH("JOE SAUNDERS",C1661))),"Zelle from Joe Saunders",IF(AND(ISNUMBER(SEARCH("PAYMENT TO",C1661)),ISNUMBER(SEARCH("JOE SAUNDERS",C1661))),"Zelle to Joe Saunders",IF(OR(ISNUMBER(SEARCH("NEW ORLEANS",C1661)),ISNUMBER(SEARCH("KENNER",C1661)),ISNUMBER(SEARCH("HENRY HOWARD",C1661)),ISNUMBER(SEARCH("MISS CLAUDIA",C1661))),"Personal Travel - New Orleans",IF(AND(YEAR(B1661)=2025,MONTH(B1661)=4,OR(ISNUMBER(SEARCH("EXCHANGE RATE",C1661)),ISNUMBER(SEARCH("EXCHG RTE",C1661)))),"Personal Travel - Italy",IFERROR(INDEX('Category Rules'!$B$2:$B$358,MATCH(TRUE,ISNUMBER(SEARCH('Category Rules'!$A$2:$A$358,C1661)),0)),""))))))))</f>
        <v>Personal - Health</v>
      </c>
    </row>
    <row r="1662" spans="1:7" x14ac:dyDescent="0.25">
      <c r="A1662" t="s">
        <v>6</v>
      </c>
      <c r="B1662" s="1">
        <v>45776</v>
      </c>
      <c r="C1662" t="s">
        <v>1808</v>
      </c>
      <c r="D1662">
        <v>-281.33999999999997</v>
      </c>
      <c r="E1662" t="s">
        <v>10</v>
      </c>
      <c r="F1662">
        <v>9385.31</v>
      </c>
      <c r="G1662" t="str" cm="1">
        <f t="array" ref="G1662">IF(AND(ISNUMBER(SEARCH("UBER",C1662)),ISNUMBER(SEARCH("EATS",C1662))),"Uber Eats",IF(LEFT(C1662,6)="CHECK ","Checks Paid",IF(OR(E1662="BILLPAY",ISNUMBER(SEARCH("FRANCHISE TAX",C1662)),ISNUMBER(SEARCH("NEXTLINK",C1662))),"Personal - House Bills",IF(AND(ISNUMBER(SEARCH("PAYMENT FROM",C1662)),ISNUMBER(SEARCH("JOE SAUNDERS",C1662))),"Zelle from Joe Saunders",IF(AND(ISNUMBER(SEARCH("PAYMENT TO",C1662)),ISNUMBER(SEARCH("JOE SAUNDERS",C1662))),"Zelle to Joe Saunders",IF(OR(ISNUMBER(SEARCH("NEW ORLEANS",C1662)),ISNUMBER(SEARCH("KENNER",C1662)),ISNUMBER(SEARCH("HENRY HOWARD",C1662)),ISNUMBER(SEARCH("MISS CLAUDIA",C1662))),"Personal Travel - New Orleans",IF(AND(YEAR(B1662)=2025,MONTH(B1662)=4,OR(ISNUMBER(SEARCH("EXCHANGE RATE",C1662)),ISNUMBER(SEARCH("EXCHG RTE",C1662)))),"Personal Travel - Italy",IFERROR(INDEX('Category Rules'!$B$2:$B$358,MATCH(TRUE,ISNUMBER(SEARCH('Category Rules'!$A$2:$A$358,C1662)),0)),""))))))))</f>
        <v>Personal - Shopping</v>
      </c>
    </row>
    <row r="1663" spans="1:7" x14ac:dyDescent="0.25">
      <c r="A1663" t="s">
        <v>6</v>
      </c>
      <c r="B1663" s="1">
        <v>45776</v>
      </c>
      <c r="C1663" t="s">
        <v>1809</v>
      </c>
      <c r="D1663">
        <v>-536.30999999999995</v>
      </c>
      <c r="E1663" t="s">
        <v>10</v>
      </c>
      <c r="F1663">
        <v>9666.65</v>
      </c>
      <c r="G1663" t="str" cm="1">
        <f t="array" ref="G1663">IF(AND(ISNUMBER(SEARCH("UBER",C1663)),ISNUMBER(SEARCH("EATS",C1663))),"Uber Eats",IF(LEFT(C1663,6)="CHECK ","Checks Paid",IF(OR(E1663="BILLPAY",ISNUMBER(SEARCH("FRANCHISE TAX",C1663)),ISNUMBER(SEARCH("NEXTLINK",C1663))),"Personal - House Bills",IF(AND(ISNUMBER(SEARCH("PAYMENT FROM",C1663)),ISNUMBER(SEARCH("JOE SAUNDERS",C1663))),"Zelle from Joe Saunders",IF(AND(ISNUMBER(SEARCH("PAYMENT TO",C1663)),ISNUMBER(SEARCH("JOE SAUNDERS",C1663))),"Zelle to Joe Saunders",IF(OR(ISNUMBER(SEARCH("NEW ORLEANS",C1663)),ISNUMBER(SEARCH("KENNER",C1663)),ISNUMBER(SEARCH("HENRY HOWARD",C1663)),ISNUMBER(SEARCH("MISS CLAUDIA",C1663))),"Personal Travel - New Orleans",IF(AND(YEAR(B1663)=2025,MONTH(B1663)=4,OR(ISNUMBER(SEARCH("EXCHANGE RATE",C1663)),ISNUMBER(SEARCH("EXCHG RTE",C1663)))),"Personal Travel - Italy",IFERROR(INDEX('Category Rules'!$B$2:$B$358,MATCH(TRUE,ISNUMBER(SEARCH('Category Rules'!$A$2:$A$358,C1663)),0)),""))))))))</f>
        <v>Personal - Shopping</v>
      </c>
    </row>
    <row r="1664" spans="1:7" x14ac:dyDescent="0.25">
      <c r="A1664" t="s">
        <v>44</v>
      </c>
      <c r="B1664" s="1">
        <v>45776</v>
      </c>
      <c r="C1664" t="s">
        <v>1810</v>
      </c>
      <c r="D1664">
        <v>2000</v>
      </c>
      <c r="E1664" t="s">
        <v>73</v>
      </c>
      <c r="F1664">
        <v>10202.959999999999</v>
      </c>
      <c r="G1664" t="str" cm="1">
        <f t="array" ref="G1664">IF(AND(ISNUMBER(SEARCH("UBER",C1664)),ISNUMBER(SEARCH("EATS",C1664))),"Uber Eats",IF(LEFT(C1664,6)="CHECK ","Checks Paid",IF(OR(E1664="BILLPAY",ISNUMBER(SEARCH("FRANCHISE TAX",C1664)),ISNUMBER(SEARCH("NEXTLINK",C1664))),"Personal - House Bills",IF(AND(ISNUMBER(SEARCH("PAYMENT FROM",C1664)),ISNUMBER(SEARCH("JOE SAUNDERS",C1664))),"Zelle from Joe Saunders",IF(AND(ISNUMBER(SEARCH("PAYMENT TO",C1664)),ISNUMBER(SEARCH("JOE SAUNDERS",C1664))),"Zelle to Joe Saunders",IF(OR(ISNUMBER(SEARCH("NEW ORLEANS",C1664)),ISNUMBER(SEARCH("KENNER",C1664)),ISNUMBER(SEARCH("HENRY HOWARD",C1664)),ISNUMBER(SEARCH("MISS CLAUDIA",C1664))),"Personal Travel - New Orleans",IF(AND(YEAR(B1664)=2025,MONTH(B1664)=4,OR(ISNUMBER(SEARCH("EXCHANGE RATE",C1664)),ISNUMBER(SEARCH("EXCHG RTE",C1664)))),"Personal Travel - Italy",IFERROR(INDEX('Category Rules'!$B$2:$B$358,MATCH(TRUE,ISNUMBER(SEARCH('Category Rules'!$A$2:$A$358,C1664)),0)),""))))))))</f>
        <v>Transfer from DWG Capital Group</v>
      </c>
    </row>
    <row r="1665" spans="1:7" x14ac:dyDescent="0.25">
      <c r="A1665" t="s">
        <v>44</v>
      </c>
      <c r="B1665" s="1">
        <v>45776</v>
      </c>
      <c r="C1665" t="s">
        <v>1811</v>
      </c>
      <c r="D1665">
        <v>5000</v>
      </c>
      <c r="E1665" t="s">
        <v>73</v>
      </c>
      <c r="F1665">
        <v>8202.9599999999991</v>
      </c>
      <c r="G1665" t="str" cm="1">
        <f t="array" ref="G1665">IF(AND(ISNUMBER(SEARCH("UBER",C1665)),ISNUMBER(SEARCH("EATS",C1665))),"Uber Eats",IF(LEFT(C1665,6)="CHECK ","Checks Paid",IF(OR(E1665="BILLPAY",ISNUMBER(SEARCH("FRANCHISE TAX",C1665)),ISNUMBER(SEARCH("NEXTLINK",C1665))),"Personal - House Bills",IF(AND(ISNUMBER(SEARCH("PAYMENT FROM",C1665)),ISNUMBER(SEARCH("JOE SAUNDERS",C1665))),"Zelle from Joe Saunders",IF(AND(ISNUMBER(SEARCH("PAYMENT TO",C1665)),ISNUMBER(SEARCH("JOE SAUNDERS",C1665))),"Zelle to Joe Saunders",IF(OR(ISNUMBER(SEARCH("NEW ORLEANS",C1665)),ISNUMBER(SEARCH("KENNER",C1665)),ISNUMBER(SEARCH("HENRY HOWARD",C1665)),ISNUMBER(SEARCH("MISS CLAUDIA",C1665))),"Personal Travel - New Orleans",IF(AND(YEAR(B1665)=2025,MONTH(B1665)=4,OR(ISNUMBER(SEARCH("EXCHANGE RATE",C1665)),ISNUMBER(SEARCH("EXCHG RTE",C1665)))),"Personal Travel - Italy",IFERROR(INDEX('Category Rules'!$B$2:$B$358,MATCH(TRUE,ISNUMBER(SEARCH('Category Rules'!$A$2:$A$358,C1665)),0)),""))))))))</f>
        <v>Transfer from DWG Capital Group</v>
      </c>
    </row>
    <row r="1666" spans="1:7" x14ac:dyDescent="0.25">
      <c r="A1666" t="s">
        <v>6</v>
      </c>
      <c r="B1666" s="1">
        <v>45775</v>
      </c>
      <c r="C1666" t="s">
        <v>1812</v>
      </c>
      <c r="D1666">
        <v>-167.73</v>
      </c>
      <c r="E1666" t="s">
        <v>10</v>
      </c>
      <c r="F1666">
        <v>3202.96</v>
      </c>
      <c r="G1666" t="str" cm="1">
        <f t="array" ref="G1666">IF(AND(ISNUMBER(SEARCH("UBER",C1666)),ISNUMBER(SEARCH("EATS",C1666))),"Uber Eats",IF(LEFT(C1666,6)="CHECK ","Checks Paid",IF(OR(E1666="BILLPAY",ISNUMBER(SEARCH("FRANCHISE TAX",C1666)),ISNUMBER(SEARCH("NEXTLINK",C1666))),"Personal - House Bills",IF(AND(ISNUMBER(SEARCH("PAYMENT FROM",C1666)),ISNUMBER(SEARCH("JOE SAUNDERS",C1666))),"Zelle from Joe Saunders",IF(AND(ISNUMBER(SEARCH("PAYMENT TO",C1666)),ISNUMBER(SEARCH("JOE SAUNDERS",C1666))),"Zelle to Joe Saunders",IF(OR(ISNUMBER(SEARCH("NEW ORLEANS",C1666)),ISNUMBER(SEARCH("KENNER",C1666)),ISNUMBER(SEARCH("HENRY HOWARD",C1666)),ISNUMBER(SEARCH("MISS CLAUDIA",C1666))),"Personal Travel - New Orleans",IF(AND(YEAR(B1666)=2025,MONTH(B1666)=4,OR(ISNUMBER(SEARCH("EXCHANGE RATE",C1666)),ISNUMBER(SEARCH("EXCHG RTE",C1666)))),"Personal Travel - Italy",IFERROR(INDEX('Category Rules'!$B$2:$B$358,MATCH(TRUE,ISNUMBER(SEARCH('Category Rules'!$A$2:$A$358,C1666)),0)),""))))))))</f>
        <v>Personal - Misc</v>
      </c>
    </row>
    <row r="1667" spans="1:7" x14ac:dyDescent="0.25">
      <c r="A1667" t="s">
        <v>6</v>
      </c>
      <c r="B1667" s="1">
        <v>45775</v>
      </c>
      <c r="C1667" t="s">
        <v>1813</v>
      </c>
      <c r="D1667">
        <v>-5.99</v>
      </c>
      <c r="E1667" t="s">
        <v>10</v>
      </c>
      <c r="F1667">
        <v>3370.69</v>
      </c>
      <c r="G1667" t="str" cm="1">
        <f t="array" ref="G1667">IF(AND(ISNUMBER(SEARCH("UBER",C1667)),ISNUMBER(SEARCH("EATS",C1667))),"Uber Eats",IF(LEFT(C1667,6)="CHECK ","Checks Paid",IF(OR(E1667="BILLPAY",ISNUMBER(SEARCH("FRANCHISE TAX",C1667)),ISNUMBER(SEARCH("NEXTLINK",C1667))),"Personal - House Bills",IF(AND(ISNUMBER(SEARCH("PAYMENT FROM",C1667)),ISNUMBER(SEARCH("JOE SAUNDERS",C1667))),"Zelle from Joe Saunders",IF(AND(ISNUMBER(SEARCH("PAYMENT TO",C1667)),ISNUMBER(SEARCH("JOE SAUNDERS",C1667))),"Zelle to Joe Saunders",IF(OR(ISNUMBER(SEARCH("NEW ORLEANS",C1667)),ISNUMBER(SEARCH("KENNER",C1667)),ISNUMBER(SEARCH("HENRY HOWARD",C1667)),ISNUMBER(SEARCH("MISS CLAUDIA",C1667))),"Personal Travel - New Orleans",IF(AND(YEAR(B1667)=2025,MONTH(B1667)=4,OR(ISNUMBER(SEARCH("EXCHANGE RATE",C1667)),ISNUMBER(SEARCH("EXCHG RTE",C1667)))),"Personal Travel - Italy",IFERROR(INDEX('Category Rules'!$B$2:$B$358,MATCH(TRUE,ISNUMBER(SEARCH('Category Rules'!$A$2:$A$358,C1667)),0)),""))))))))</f>
        <v>Apple</v>
      </c>
    </row>
    <row r="1668" spans="1:7" x14ac:dyDescent="0.25">
      <c r="A1668" t="s">
        <v>6</v>
      </c>
      <c r="B1668" s="1">
        <v>45775</v>
      </c>
      <c r="C1668" t="s">
        <v>1814</v>
      </c>
      <c r="D1668">
        <v>-56.55</v>
      </c>
      <c r="E1668" t="s">
        <v>10</v>
      </c>
      <c r="F1668">
        <v>3376.68</v>
      </c>
      <c r="G1668" t="str" cm="1">
        <f t="array" ref="G1668">IF(AND(ISNUMBER(SEARCH("UBER",C1668)),ISNUMBER(SEARCH("EATS",C1668))),"Uber Eats",IF(LEFT(C1668,6)="CHECK ","Checks Paid",IF(OR(E1668="BILLPAY",ISNUMBER(SEARCH("FRANCHISE TAX",C1668)),ISNUMBER(SEARCH("NEXTLINK",C1668))),"Personal - House Bills",IF(AND(ISNUMBER(SEARCH("PAYMENT FROM",C1668)),ISNUMBER(SEARCH("JOE SAUNDERS",C1668))),"Zelle from Joe Saunders",IF(AND(ISNUMBER(SEARCH("PAYMENT TO",C1668)),ISNUMBER(SEARCH("JOE SAUNDERS",C1668))),"Zelle to Joe Saunders",IF(OR(ISNUMBER(SEARCH("NEW ORLEANS",C1668)),ISNUMBER(SEARCH("KENNER",C1668)),ISNUMBER(SEARCH("HENRY HOWARD",C1668)),ISNUMBER(SEARCH("MISS CLAUDIA",C1668))),"Personal Travel - New Orleans",IF(AND(YEAR(B1668)=2025,MONTH(B1668)=4,OR(ISNUMBER(SEARCH("EXCHANGE RATE",C1668)),ISNUMBER(SEARCH("EXCHG RTE",C1668)))),"Personal Travel - Italy",IFERROR(INDEX('Category Rules'!$B$2:$B$358,MATCH(TRUE,ISNUMBER(SEARCH('Category Rules'!$A$2:$A$358,C1668)),0)),""))))))))</f>
        <v>Personal - Shopping</v>
      </c>
    </row>
    <row r="1669" spans="1:7" x14ac:dyDescent="0.25">
      <c r="A1669" t="s">
        <v>6</v>
      </c>
      <c r="B1669" s="1">
        <v>45775</v>
      </c>
      <c r="C1669" t="s">
        <v>1815</v>
      </c>
      <c r="D1669">
        <v>-20</v>
      </c>
      <c r="E1669" t="s">
        <v>10</v>
      </c>
      <c r="F1669">
        <v>3433.23</v>
      </c>
      <c r="G1669" t="str" cm="1">
        <f t="array" ref="G1669">IF(AND(ISNUMBER(SEARCH("UBER",C1669)),ISNUMBER(SEARCH("EATS",C1669))),"Uber Eats",IF(LEFT(C1669,6)="CHECK ","Checks Paid",IF(OR(E1669="BILLPAY",ISNUMBER(SEARCH("FRANCHISE TAX",C1669)),ISNUMBER(SEARCH("NEXTLINK",C1669))),"Personal - House Bills",IF(AND(ISNUMBER(SEARCH("PAYMENT FROM",C1669)),ISNUMBER(SEARCH("JOE SAUNDERS",C1669))),"Zelle from Joe Saunders",IF(AND(ISNUMBER(SEARCH("PAYMENT TO",C1669)),ISNUMBER(SEARCH("JOE SAUNDERS",C1669))),"Zelle to Joe Saunders",IF(OR(ISNUMBER(SEARCH("NEW ORLEANS",C1669)),ISNUMBER(SEARCH("KENNER",C1669)),ISNUMBER(SEARCH("HENRY HOWARD",C1669)),ISNUMBER(SEARCH("MISS CLAUDIA",C1669))),"Personal Travel - New Orleans",IF(AND(YEAR(B1669)=2025,MONTH(B1669)=4,OR(ISNUMBER(SEARCH("EXCHANGE RATE",C1669)),ISNUMBER(SEARCH("EXCHG RTE",C1669)))),"Personal Travel - Italy",IFERROR(INDEX('Category Rules'!$B$2:$B$358,MATCH(TRUE,ISNUMBER(SEARCH('Category Rules'!$A$2:$A$358,C1669)),0)),""))))))))</f>
        <v>Personal - Shopping</v>
      </c>
    </row>
    <row r="1670" spans="1:7" x14ac:dyDescent="0.25">
      <c r="A1670" t="s">
        <v>6</v>
      </c>
      <c r="B1670" s="1">
        <v>45775</v>
      </c>
      <c r="C1670" t="s">
        <v>1816</v>
      </c>
      <c r="D1670">
        <v>-16.64</v>
      </c>
      <c r="E1670" t="s">
        <v>10</v>
      </c>
      <c r="F1670">
        <v>3453.23</v>
      </c>
      <c r="G1670" t="str" cm="1">
        <f t="array" ref="G1670">IF(AND(ISNUMBER(SEARCH("UBER",C1670)),ISNUMBER(SEARCH("EATS",C1670))),"Uber Eats",IF(LEFT(C1670,6)="CHECK ","Checks Paid",IF(OR(E1670="BILLPAY",ISNUMBER(SEARCH("FRANCHISE TAX",C1670)),ISNUMBER(SEARCH("NEXTLINK",C1670))),"Personal - House Bills",IF(AND(ISNUMBER(SEARCH("PAYMENT FROM",C1670)),ISNUMBER(SEARCH("JOE SAUNDERS",C1670))),"Zelle from Joe Saunders",IF(AND(ISNUMBER(SEARCH("PAYMENT TO",C1670)),ISNUMBER(SEARCH("JOE SAUNDERS",C1670))),"Zelle to Joe Saunders",IF(OR(ISNUMBER(SEARCH("NEW ORLEANS",C1670)),ISNUMBER(SEARCH("KENNER",C1670)),ISNUMBER(SEARCH("HENRY HOWARD",C1670)),ISNUMBER(SEARCH("MISS CLAUDIA",C1670))),"Personal Travel - New Orleans",IF(AND(YEAR(B1670)=2025,MONTH(B1670)=4,OR(ISNUMBER(SEARCH("EXCHANGE RATE",C1670)),ISNUMBER(SEARCH("EXCHG RTE",C1670)))),"Personal Travel - Italy",IFERROR(INDEX('Category Rules'!$B$2:$B$358,MATCH(TRUE,ISNUMBER(SEARCH('Category Rules'!$A$2:$A$358,C1670)),0)),""))))))))</f>
        <v>Amazon</v>
      </c>
    </row>
    <row r="1671" spans="1:7" x14ac:dyDescent="0.25">
      <c r="A1671" t="s">
        <v>6</v>
      </c>
      <c r="B1671" s="1">
        <v>45775</v>
      </c>
      <c r="C1671" t="s">
        <v>1817</v>
      </c>
      <c r="D1671">
        <v>-32.07</v>
      </c>
      <c r="E1671" t="s">
        <v>10</v>
      </c>
      <c r="F1671">
        <v>3469.87</v>
      </c>
      <c r="G1671" t="str" cm="1">
        <f t="array" ref="G1671">IF(AND(ISNUMBER(SEARCH("UBER",C1671)),ISNUMBER(SEARCH("EATS",C1671))),"Uber Eats",IF(LEFT(C1671,6)="CHECK ","Checks Paid",IF(OR(E1671="BILLPAY",ISNUMBER(SEARCH("FRANCHISE TAX",C1671)),ISNUMBER(SEARCH("NEXTLINK",C1671))),"Personal - House Bills",IF(AND(ISNUMBER(SEARCH("PAYMENT FROM",C1671)),ISNUMBER(SEARCH("JOE SAUNDERS",C1671))),"Zelle from Joe Saunders",IF(AND(ISNUMBER(SEARCH("PAYMENT TO",C1671)),ISNUMBER(SEARCH("JOE SAUNDERS",C1671))),"Zelle to Joe Saunders",IF(OR(ISNUMBER(SEARCH("NEW ORLEANS",C1671)),ISNUMBER(SEARCH("KENNER",C1671)),ISNUMBER(SEARCH("HENRY HOWARD",C1671)),ISNUMBER(SEARCH("MISS CLAUDIA",C1671))),"Personal Travel - New Orleans",IF(AND(YEAR(B1671)=2025,MONTH(B1671)=4,OR(ISNUMBER(SEARCH("EXCHANGE RATE",C1671)),ISNUMBER(SEARCH("EXCHG RTE",C1671)))),"Personal Travel - Italy",IFERROR(INDEX('Category Rules'!$B$2:$B$358,MATCH(TRUE,ISNUMBER(SEARCH('Category Rules'!$A$2:$A$358,C1671)),0)),""))))))))</f>
        <v>Amazon</v>
      </c>
    </row>
    <row r="1672" spans="1:7" x14ac:dyDescent="0.25">
      <c r="A1672" t="s">
        <v>6</v>
      </c>
      <c r="B1672" s="1">
        <v>45775</v>
      </c>
      <c r="C1672" t="s">
        <v>1818</v>
      </c>
      <c r="D1672">
        <v>-144.16</v>
      </c>
      <c r="E1672" t="s">
        <v>10</v>
      </c>
      <c r="F1672">
        <v>3501.94</v>
      </c>
      <c r="G1672" t="str" cm="1">
        <f t="array" ref="G1672">IF(AND(ISNUMBER(SEARCH("UBER",C1672)),ISNUMBER(SEARCH("EATS",C1672))),"Uber Eats",IF(LEFT(C1672,6)="CHECK ","Checks Paid",IF(OR(E1672="BILLPAY",ISNUMBER(SEARCH("FRANCHISE TAX",C1672)),ISNUMBER(SEARCH("NEXTLINK",C1672))),"Personal - House Bills",IF(AND(ISNUMBER(SEARCH("PAYMENT FROM",C1672)),ISNUMBER(SEARCH("JOE SAUNDERS",C1672))),"Zelle from Joe Saunders",IF(AND(ISNUMBER(SEARCH("PAYMENT TO",C1672)),ISNUMBER(SEARCH("JOE SAUNDERS",C1672))),"Zelle to Joe Saunders",IF(OR(ISNUMBER(SEARCH("NEW ORLEANS",C1672)),ISNUMBER(SEARCH("KENNER",C1672)),ISNUMBER(SEARCH("HENRY HOWARD",C1672)),ISNUMBER(SEARCH("MISS CLAUDIA",C1672))),"Personal Travel - New Orleans",IF(AND(YEAR(B1672)=2025,MONTH(B1672)=4,OR(ISNUMBER(SEARCH("EXCHANGE RATE",C1672)),ISNUMBER(SEARCH("EXCHG RTE",C1672)))),"Personal Travel - Italy",IFERROR(INDEX('Category Rules'!$B$2:$B$358,MATCH(TRUE,ISNUMBER(SEARCH('Category Rules'!$A$2:$A$358,C1672)),0)),""))))))))</f>
        <v>Personal - Shopping</v>
      </c>
    </row>
    <row r="1673" spans="1:7" x14ac:dyDescent="0.25">
      <c r="A1673" t="s">
        <v>6</v>
      </c>
      <c r="B1673" s="1">
        <v>45775</v>
      </c>
      <c r="C1673" t="s">
        <v>1819</v>
      </c>
      <c r="D1673">
        <v>-47.09</v>
      </c>
      <c r="E1673" t="s">
        <v>10</v>
      </c>
      <c r="F1673">
        <v>3646.1</v>
      </c>
      <c r="G1673" t="str" cm="1">
        <f t="array" ref="G1673">IF(AND(ISNUMBER(SEARCH("UBER",C1673)),ISNUMBER(SEARCH("EATS",C1673))),"Uber Eats",IF(LEFT(C1673,6)="CHECK ","Checks Paid",IF(OR(E1673="BILLPAY",ISNUMBER(SEARCH("FRANCHISE TAX",C1673)),ISNUMBER(SEARCH("NEXTLINK",C1673))),"Personal - House Bills",IF(AND(ISNUMBER(SEARCH("PAYMENT FROM",C1673)),ISNUMBER(SEARCH("JOE SAUNDERS",C1673))),"Zelle from Joe Saunders",IF(AND(ISNUMBER(SEARCH("PAYMENT TO",C1673)),ISNUMBER(SEARCH("JOE SAUNDERS",C1673))),"Zelle to Joe Saunders",IF(OR(ISNUMBER(SEARCH("NEW ORLEANS",C1673)),ISNUMBER(SEARCH("KENNER",C1673)),ISNUMBER(SEARCH("HENRY HOWARD",C1673)),ISNUMBER(SEARCH("MISS CLAUDIA",C1673))),"Personal Travel - New Orleans",IF(AND(YEAR(B1673)=2025,MONTH(B1673)=4,OR(ISNUMBER(SEARCH("EXCHANGE RATE",C1673)),ISNUMBER(SEARCH("EXCHG RTE",C1673)))),"Personal Travel - Italy",IFERROR(INDEX('Category Rules'!$B$2:$B$358,MATCH(TRUE,ISNUMBER(SEARCH('Category Rules'!$A$2:$A$358,C1673)),0)),""))))))))</f>
        <v>Personal - Shopping</v>
      </c>
    </row>
    <row r="1674" spans="1:7" x14ac:dyDescent="0.25">
      <c r="A1674" t="s">
        <v>6</v>
      </c>
      <c r="B1674" s="1">
        <v>45775</v>
      </c>
      <c r="C1674" t="s">
        <v>1820</v>
      </c>
      <c r="D1674">
        <v>-25.75</v>
      </c>
      <c r="E1674" t="s">
        <v>10</v>
      </c>
      <c r="F1674">
        <v>3693.19</v>
      </c>
      <c r="G1674" t="str" cm="1">
        <f t="array" ref="G1674">IF(AND(ISNUMBER(SEARCH("UBER",C1674)),ISNUMBER(SEARCH("EATS",C1674))),"Uber Eats",IF(LEFT(C1674,6)="CHECK ","Checks Paid",IF(OR(E1674="BILLPAY",ISNUMBER(SEARCH("FRANCHISE TAX",C1674)),ISNUMBER(SEARCH("NEXTLINK",C1674))),"Personal - House Bills",IF(AND(ISNUMBER(SEARCH("PAYMENT FROM",C1674)),ISNUMBER(SEARCH("JOE SAUNDERS",C1674))),"Zelle from Joe Saunders",IF(AND(ISNUMBER(SEARCH("PAYMENT TO",C1674)),ISNUMBER(SEARCH("JOE SAUNDERS",C1674))),"Zelle to Joe Saunders",IF(OR(ISNUMBER(SEARCH("NEW ORLEANS",C1674)),ISNUMBER(SEARCH("KENNER",C1674)),ISNUMBER(SEARCH("HENRY HOWARD",C1674)),ISNUMBER(SEARCH("MISS CLAUDIA",C1674))),"Personal Travel - New Orleans",IF(AND(YEAR(B1674)=2025,MONTH(B1674)=4,OR(ISNUMBER(SEARCH("EXCHANGE RATE",C1674)),ISNUMBER(SEARCH("EXCHG RTE",C1674)))),"Personal Travel - Italy",IFERROR(INDEX('Category Rules'!$B$2:$B$358,MATCH(TRUE,ISNUMBER(SEARCH('Category Rules'!$A$2:$A$358,C1674)),0)),""))))))))</f>
        <v>Amazon</v>
      </c>
    </row>
    <row r="1675" spans="1:7" x14ac:dyDescent="0.25">
      <c r="A1675" t="s">
        <v>6</v>
      </c>
      <c r="B1675" s="1">
        <v>45775</v>
      </c>
      <c r="C1675" t="s">
        <v>1821</v>
      </c>
      <c r="D1675">
        <v>-5.99</v>
      </c>
      <c r="E1675" t="s">
        <v>10</v>
      </c>
      <c r="F1675">
        <v>3718.94</v>
      </c>
      <c r="G1675" t="str" cm="1">
        <f t="array" ref="G1675">IF(AND(ISNUMBER(SEARCH("UBER",C1675)),ISNUMBER(SEARCH("EATS",C1675))),"Uber Eats",IF(LEFT(C1675,6)="CHECK ","Checks Paid",IF(OR(E1675="BILLPAY",ISNUMBER(SEARCH("FRANCHISE TAX",C1675)),ISNUMBER(SEARCH("NEXTLINK",C1675))),"Personal - House Bills",IF(AND(ISNUMBER(SEARCH("PAYMENT FROM",C1675)),ISNUMBER(SEARCH("JOE SAUNDERS",C1675))),"Zelle from Joe Saunders",IF(AND(ISNUMBER(SEARCH("PAYMENT TO",C1675)),ISNUMBER(SEARCH("JOE SAUNDERS",C1675))),"Zelle to Joe Saunders",IF(OR(ISNUMBER(SEARCH("NEW ORLEANS",C1675)),ISNUMBER(SEARCH("KENNER",C1675)),ISNUMBER(SEARCH("HENRY HOWARD",C1675)),ISNUMBER(SEARCH("MISS CLAUDIA",C1675))),"Personal Travel - New Orleans",IF(AND(YEAR(B1675)=2025,MONTH(B1675)=4,OR(ISNUMBER(SEARCH("EXCHANGE RATE",C1675)),ISNUMBER(SEARCH("EXCHG RTE",C1675)))),"Personal Travel - Italy",IFERROR(INDEX('Category Rules'!$B$2:$B$358,MATCH(TRUE,ISNUMBER(SEARCH('Category Rules'!$A$2:$A$358,C1675)),0)),""))))))))</f>
        <v>Personal - Subscription</v>
      </c>
    </row>
    <row r="1676" spans="1:7" x14ac:dyDescent="0.25">
      <c r="A1676" t="s">
        <v>6</v>
      </c>
      <c r="B1676" s="1">
        <v>45775</v>
      </c>
      <c r="C1676" t="s">
        <v>1822</v>
      </c>
      <c r="D1676">
        <v>-596.02</v>
      </c>
      <c r="E1676" t="s">
        <v>10</v>
      </c>
      <c r="F1676">
        <v>3724.93</v>
      </c>
      <c r="G1676" t="str" cm="1">
        <f t="array" ref="G1676">IF(AND(ISNUMBER(SEARCH("UBER",C1676)),ISNUMBER(SEARCH("EATS",C1676))),"Uber Eats",IF(LEFT(C1676,6)="CHECK ","Checks Paid",IF(OR(E1676="BILLPAY",ISNUMBER(SEARCH("FRANCHISE TAX",C1676)),ISNUMBER(SEARCH("NEXTLINK",C1676))),"Personal - House Bills",IF(AND(ISNUMBER(SEARCH("PAYMENT FROM",C1676)),ISNUMBER(SEARCH("JOE SAUNDERS",C1676))),"Zelle from Joe Saunders",IF(AND(ISNUMBER(SEARCH("PAYMENT TO",C1676)),ISNUMBER(SEARCH("JOE SAUNDERS",C1676))),"Zelle to Joe Saunders",IF(OR(ISNUMBER(SEARCH("NEW ORLEANS",C1676)),ISNUMBER(SEARCH("KENNER",C1676)),ISNUMBER(SEARCH("HENRY HOWARD",C1676)),ISNUMBER(SEARCH("MISS CLAUDIA",C1676))),"Personal Travel - New Orleans",IF(AND(YEAR(B1676)=2025,MONTH(B1676)=4,OR(ISNUMBER(SEARCH("EXCHANGE RATE",C1676)),ISNUMBER(SEARCH("EXCHG RTE",C1676)))),"Personal Travel - Italy",IFERROR(INDEX('Category Rules'!$B$2:$B$358,MATCH(TRUE,ISNUMBER(SEARCH('Category Rules'!$A$2:$A$358,C1676)),0)),""))))))))</f>
        <v>Personal - Clothing</v>
      </c>
    </row>
    <row r="1677" spans="1:7" x14ac:dyDescent="0.25">
      <c r="A1677" t="s">
        <v>6</v>
      </c>
      <c r="B1677" s="1">
        <v>45775</v>
      </c>
      <c r="C1677" t="s">
        <v>1823</v>
      </c>
      <c r="D1677">
        <v>-6.99</v>
      </c>
      <c r="E1677" t="s">
        <v>10</v>
      </c>
      <c r="F1677">
        <v>4320.95</v>
      </c>
      <c r="G1677" t="str" cm="1">
        <f t="array" ref="G1677">IF(AND(ISNUMBER(SEARCH("UBER",C1677)),ISNUMBER(SEARCH("EATS",C1677))),"Uber Eats",IF(LEFT(C1677,6)="CHECK ","Checks Paid",IF(OR(E1677="BILLPAY",ISNUMBER(SEARCH("FRANCHISE TAX",C1677)),ISNUMBER(SEARCH("NEXTLINK",C1677))),"Personal - House Bills",IF(AND(ISNUMBER(SEARCH("PAYMENT FROM",C1677)),ISNUMBER(SEARCH("JOE SAUNDERS",C1677))),"Zelle from Joe Saunders",IF(AND(ISNUMBER(SEARCH("PAYMENT TO",C1677)),ISNUMBER(SEARCH("JOE SAUNDERS",C1677))),"Zelle to Joe Saunders",IF(OR(ISNUMBER(SEARCH("NEW ORLEANS",C1677)),ISNUMBER(SEARCH("KENNER",C1677)),ISNUMBER(SEARCH("HENRY HOWARD",C1677)),ISNUMBER(SEARCH("MISS CLAUDIA",C1677))),"Personal Travel - New Orleans",IF(AND(YEAR(B1677)=2025,MONTH(B1677)=4,OR(ISNUMBER(SEARCH("EXCHANGE RATE",C1677)),ISNUMBER(SEARCH("EXCHG RTE",C1677)))),"Personal Travel - Italy",IFERROR(INDEX('Category Rules'!$B$2:$B$358,MATCH(TRUE,ISNUMBER(SEARCH('Category Rules'!$A$2:$A$358,C1677)),0)),""))))))))</f>
        <v>Amazon</v>
      </c>
    </row>
    <row r="1678" spans="1:7" x14ac:dyDescent="0.25">
      <c r="A1678" t="s">
        <v>6</v>
      </c>
      <c r="B1678" s="1">
        <v>45775</v>
      </c>
      <c r="C1678" t="s">
        <v>1824</v>
      </c>
      <c r="D1678">
        <v>-87.78</v>
      </c>
      <c r="E1678" t="s">
        <v>10</v>
      </c>
      <c r="F1678">
        <v>4327.9399999999996</v>
      </c>
      <c r="G1678" t="str" cm="1">
        <f t="array" ref="G1678">IF(AND(ISNUMBER(SEARCH("UBER",C1678)),ISNUMBER(SEARCH("EATS",C1678))),"Uber Eats",IF(LEFT(C1678,6)="CHECK ","Checks Paid",IF(OR(E1678="BILLPAY",ISNUMBER(SEARCH("FRANCHISE TAX",C1678)),ISNUMBER(SEARCH("NEXTLINK",C1678))),"Personal - House Bills",IF(AND(ISNUMBER(SEARCH("PAYMENT FROM",C1678)),ISNUMBER(SEARCH("JOE SAUNDERS",C1678))),"Zelle from Joe Saunders",IF(AND(ISNUMBER(SEARCH("PAYMENT TO",C1678)),ISNUMBER(SEARCH("JOE SAUNDERS",C1678))),"Zelle to Joe Saunders",IF(OR(ISNUMBER(SEARCH("NEW ORLEANS",C1678)),ISNUMBER(SEARCH("KENNER",C1678)),ISNUMBER(SEARCH("HENRY HOWARD",C1678)),ISNUMBER(SEARCH("MISS CLAUDIA",C1678))),"Personal Travel - New Orleans",IF(AND(YEAR(B1678)=2025,MONTH(B1678)=4,OR(ISNUMBER(SEARCH("EXCHANGE RATE",C1678)),ISNUMBER(SEARCH("EXCHG RTE",C1678)))),"Personal Travel - Italy",IFERROR(INDEX('Category Rules'!$B$2:$B$358,MATCH(TRUE,ISNUMBER(SEARCH('Category Rules'!$A$2:$A$358,C1678)),0)),""))))))))</f>
        <v>Amazon</v>
      </c>
    </row>
    <row r="1679" spans="1:7" x14ac:dyDescent="0.25">
      <c r="A1679" t="s">
        <v>6</v>
      </c>
      <c r="B1679" s="1">
        <v>45775</v>
      </c>
      <c r="C1679" t="s">
        <v>1825</v>
      </c>
      <c r="D1679">
        <v>-300</v>
      </c>
      <c r="E1679" t="s">
        <v>39</v>
      </c>
      <c r="F1679">
        <v>4415.72</v>
      </c>
      <c r="G1679" t="str" cm="1">
        <f t="array" ref="G1679">IF(AND(ISNUMBER(SEARCH("UBER",C1679)),ISNUMBER(SEARCH("EATS",C1679))),"Uber Eats",IF(LEFT(C1679,6)="CHECK ","Checks Paid",IF(OR(E1679="BILLPAY",ISNUMBER(SEARCH("FRANCHISE TAX",C1679)),ISNUMBER(SEARCH("NEXTLINK",C1679))),"Personal - House Bills",IF(AND(ISNUMBER(SEARCH("PAYMENT FROM",C1679)),ISNUMBER(SEARCH("JOE SAUNDERS",C1679))),"Zelle from Joe Saunders",IF(AND(ISNUMBER(SEARCH("PAYMENT TO",C1679)),ISNUMBER(SEARCH("JOE SAUNDERS",C1679))),"Zelle to Joe Saunders",IF(OR(ISNUMBER(SEARCH("NEW ORLEANS",C1679)),ISNUMBER(SEARCH("KENNER",C1679)),ISNUMBER(SEARCH("HENRY HOWARD",C1679)),ISNUMBER(SEARCH("MISS CLAUDIA",C1679))),"Personal Travel - New Orleans",IF(AND(YEAR(B1679)=2025,MONTH(B1679)=4,OR(ISNUMBER(SEARCH("EXCHANGE RATE",C1679)),ISNUMBER(SEARCH("EXCHG RTE",C1679)))),"Personal Travel - Italy",IFERROR(INDEX('Category Rules'!$B$2:$B$358,MATCH(TRUE,ISNUMBER(SEARCH('Category Rules'!$A$2:$A$358,C1679)),0)),""))))))))</f>
        <v>Zelle to Britt Magadini</v>
      </c>
    </row>
    <row r="1680" spans="1:7" x14ac:dyDescent="0.25">
      <c r="A1680" t="s">
        <v>6</v>
      </c>
      <c r="B1680" s="1">
        <v>45775</v>
      </c>
      <c r="C1680" t="s">
        <v>1826</v>
      </c>
      <c r="D1680">
        <v>-31.34</v>
      </c>
      <c r="E1680" t="s">
        <v>10</v>
      </c>
      <c r="F1680">
        <v>4715.72</v>
      </c>
      <c r="G1680" t="str" cm="1">
        <f t="array" ref="G1680">IF(AND(ISNUMBER(SEARCH("UBER",C1680)),ISNUMBER(SEARCH("EATS",C1680))),"Uber Eats",IF(LEFT(C1680,6)="CHECK ","Checks Paid",IF(OR(E1680="BILLPAY",ISNUMBER(SEARCH("FRANCHISE TAX",C1680)),ISNUMBER(SEARCH("NEXTLINK",C1680))),"Personal - House Bills",IF(AND(ISNUMBER(SEARCH("PAYMENT FROM",C1680)),ISNUMBER(SEARCH("JOE SAUNDERS",C1680))),"Zelle from Joe Saunders",IF(AND(ISNUMBER(SEARCH("PAYMENT TO",C1680)),ISNUMBER(SEARCH("JOE SAUNDERS",C1680))),"Zelle to Joe Saunders",IF(OR(ISNUMBER(SEARCH("NEW ORLEANS",C1680)),ISNUMBER(SEARCH("KENNER",C1680)),ISNUMBER(SEARCH("HENRY HOWARD",C1680)),ISNUMBER(SEARCH("MISS CLAUDIA",C1680))),"Personal Travel - New Orleans",IF(AND(YEAR(B1680)=2025,MONTH(B1680)=4,OR(ISNUMBER(SEARCH("EXCHANGE RATE",C1680)),ISNUMBER(SEARCH("EXCHG RTE",C1680)))),"Personal Travel - Italy",IFERROR(INDEX('Category Rules'!$B$2:$B$358,MATCH(TRUE,ISNUMBER(SEARCH('Category Rules'!$A$2:$A$358,C1680)),0)),""))))))))</f>
        <v>Personal - Car</v>
      </c>
    </row>
    <row r="1681" spans="1:7" x14ac:dyDescent="0.25">
      <c r="A1681" t="s">
        <v>6</v>
      </c>
      <c r="B1681" s="1">
        <v>45775</v>
      </c>
      <c r="C1681" t="s">
        <v>1827</v>
      </c>
      <c r="D1681">
        <v>-163.51</v>
      </c>
      <c r="E1681" t="s">
        <v>10</v>
      </c>
      <c r="F1681">
        <v>4747.0600000000004</v>
      </c>
      <c r="G1681" t="str" cm="1">
        <f t="array" ref="G1681">IF(AND(ISNUMBER(SEARCH("UBER",C1681)),ISNUMBER(SEARCH("EATS",C1681))),"Uber Eats",IF(LEFT(C1681,6)="CHECK ","Checks Paid",IF(OR(E1681="BILLPAY",ISNUMBER(SEARCH("FRANCHISE TAX",C1681)),ISNUMBER(SEARCH("NEXTLINK",C1681))),"Personal - House Bills",IF(AND(ISNUMBER(SEARCH("PAYMENT FROM",C1681)),ISNUMBER(SEARCH("JOE SAUNDERS",C1681))),"Zelle from Joe Saunders",IF(AND(ISNUMBER(SEARCH("PAYMENT TO",C1681)),ISNUMBER(SEARCH("JOE SAUNDERS",C1681))),"Zelle to Joe Saunders",IF(OR(ISNUMBER(SEARCH("NEW ORLEANS",C1681)),ISNUMBER(SEARCH("KENNER",C1681)),ISNUMBER(SEARCH("HENRY HOWARD",C1681)),ISNUMBER(SEARCH("MISS CLAUDIA",C1681))),"Personal Travel - New Orleans",IF(AND(YEAR(B1681)=2025,MONTH(B1681)=4,OR(ISNUMBER(SEARCH("EXCHANGE RATE",C1681)),ISNUMBER(SEARCH("EXCHG RTE",C1681)))),"Personal Travel - Italy",IFERROR(INDEX('Category Rules'!$B$2:$B$358,MATCH(TRUE,ISNUMBER(SEARCH('Category Rules'!$A$2:$A$358,C1681)),0)),""))))))))</f>
        <v>Amazon</v>
      </c>
    </row>
    <row r="1682" spans="1:7" x14ac:dyDescent="0.25">
      <c r="A1682" t="s">
        <v>6</v>
      </c>
      <c r="B1682" s="1">
        <v>45772</v>
      </c>
      <c r="C1682" t="s">
        <v>1828</v>
      </c>
      <c r="D1682">
        <v>-15</v>
      </c>
      <c r="E1682" t="s">
        <v>10</v>
      </c>
      <c r="F1682">
        <v>4910.57</v>
      </c>
      <c r="G1682" t="str" cm="1">
        <f t="array" ref="G1682">IF(AND(ISNUMBER(SEARCH("UBER",C1682)),ISNUMBER(SEARCH("EATS",C1682))),"Uber Eats",IF(LEFT(C1682,6)="CHECK ","Checks Paid",IF(OR(E1682="BILLPAY",ISNUMBER(SEARCH("FRANCHISE TAX",C1682)),ISNUMBER(SEARCH("NEXTLINK",C1682))),"Personal - House Bills",IF(AND(ISNUMBER(SEARCH("PAYMENT FROM",C1682)),ISNUMBER(SEARCH("JOE SAUNDERS",C1682))),"Zelle from Joe Saunders",IF(AND(ISNUMBER(SEARCH("PAYMENT TO",C1682)),ISNUMBER(SEARCH("JOE SAUNDERS",C1682))),"Zelle to Joe Saunders",IF(OR(ISNUMBER(SEARCH("NEW ORLEANS",C1682)),ISNUMBER(SEARCH("KENNER",C1682)),ISNUMBER(SEARCH("HENRY HOWARD",C1682)),ISNUMBER(SEARCH("MISS CLAUDIA",C1682))),"Personal Travel - New Orleans",IF(AND(YEAR(B1682)=2025,MONTH(B1682)=4,OR(ISNUMBER(SEARCH("EXCHANGE RATE",C1682)),ISNUMBER(SEARCH("EXCHG RTE",C1682)))),"Personal Travel - Italy",IFERROR(INDEX('Category Rules'!$B$2:$B$358,MATCH(TRUE,ISNUMBER(SEARCH('Category Rules'!$A$2:$A$358,C1682)),0)),""))))))))</f>
        <v>Personal - Subscription</v>
      </c>
    </row>
    <row r="1683" spans="1:7" x14ac:dyDescent="0.25">
      <c r="A1683" t="s">
        <v>6</v>
      </c>
      <c r="B1683" s="1">
        <v>45772</v>
      </c>
      <c r="C1683" t="s">
        <v>1829</v>
      </c>
      <c r="D1683">
        <v>-16.45</v>
      </c>
      <c r="E1683" t="s">
        <v>10</v>
      </c>
      <c r="F1683">
        <v>4925.57</v>
      </c>
      <c r="G1683" t="str" cm="1">
        <f t="array" ref="G1683">IF(AND(ISNUMBER(SEARCH("UBER",C1683)),ISNUMBER(SEARCH("EATS",C1683))),"Uber Eats",IF(LEFT(C1683,6)="CHECK ","Checks Paid",IF(OR(E1683="BILLPAY",ISNUMBER(SEARCH("FRANCHISE TAX",C1683)),ISNUMBER(SEARCH("NEXTLINK",C1683))),"Personal - House Bills",IF(AND(ISNUMBER(SEARCH("PAYMENT FROM",C1683)),ISNUMBER(SEARCH("JOE SAUNDERS",C1683))),"Zelle from Joe Saunders",IF(AND(ISNUMBER(SEARCH("PAYMENT TO",C1683)),ISNUMBER(SEARCH("JOE SAUNDERS",C1683))),"Zelle to Joe Saunders",IF(OR(ISNUMBER(SEARCH("NEW ORLEANS",C1683)),ISNUMBER(SEARCH("KENNER",C1683)),ISNUMBER(SEARCH("HENRY HOWARD",C1683)),ISNUMBER(SEARCH("MISS CLAUDIA",C1683))),"Personal Travel - New Orleans",IF(AND(YEAR(B1683)=2025,MONTH(B1683)=4,OR(ISNUMBER(SEARCH("EXCHANGE RATE",C1683)),ISNUMBER(SEARCH("EXCHG RTE",C1683)))),"Personal Travel - Italy",IFERROR(INDEX('Category Rules'!$B$2:$B$358,MATCH(TRUE,ISNUMBER(SEARCH('Category Rules'!$A$2:$A$358,C1683)),0)),""))))))))</f>
        <v>Amazon</v>
      </c>
    </row>
    <row r="1684" spans="1:7" x14ac:dyDescent="0.25">
      <c r="A1684" t="s">
        <v>6</v>
      </c>
      <c r="B1684" s="1">
        <v>45772</v>
      </c>
      <c r="C1684" t="s">
        <v>1830</v>
      </c>
      <c r="D1684">
        <v>-112.84</v>
      </c>
      <c r="E1684" t="s">
        <v>10</v>
      </c>
      <c r="F1684">
        <v>4942.0200000000004</v>
      </c>
      <c r="G1684" t="str" cm="1">
        <f t="array" ref="G1684">IF(AND(ISNUMBER(SEARCH("UBER",C1684)),ISNUMBER(SEARCH("EATS",C1684))),"Uber Eats",IF(LEFT(C1684,6)="CHECK ","Checks Paid",IF(OR(E1684="BILLPAY",ISNUMBER(SEARCH("FRANCHISE TAX",C1684)),ISNUMBER(SEARCH("NEXTLINK",C1684))),"Personal - House Bills",IF(AND(ISNUMBER(SEARCH("PAYMENT FROM",C1684)),ISNUMBER(SEARCH("JOE SAUNDERS",C1684))),"Zelle from Joe Saunders",IF(AND(ISNUMBER(SEARCH("PAYMENT TO",C1684)),ISNUMBER(SEARCH("JOE SAUNDERS",C1684))),"Zelle to Joe Saunders",IF(OR(ISNUMBER(SEARCH("NEW ORLEANS",C1684)),ISNUMBER(SEARCH("KENNER",C1684)),ISNUMBER(SEARCH("HENRY HOWARD",C1684)),ISNUMBER(SEARCH("MISS CLAUDIA",C1684))),"Personal Travel - New Orleans",IF(AND(YEAR(B1684)=2025,MONTH(B1684)=4,OR(ISNUMBER(SEARCH("EXCHANGE RATE",C1684)),ISNUMBER(SEARCH("EXCHG RTE",C1684)))),"Personal Travel - Italy",IFERROR(INDEX('Category Rules'!$B$2:$B$358,MATCH(TRUE,ISNUMBER(SEARCH('Category Rules'!$A$2:$A$358,C1684)),0)),""))))))))</f>
        <v>Amazon</v>
      </c>
    </row>
    <row r="1685" spans="1:7" x14ac:dyDescent="0.25">
      <c r="A1685" t="s">
        <v>6</v>
      </c>
      <c r="B1685" s="1">
        <v>45772</v>
      </c>
      <c r="C1685" t="s">
        <v>1831</v>
      </c>
      <c r="D1685">
        <v>-597.12</v>
      </c>
      <c r="E1685" t="s">
        <v>10</v>
      </c>
      <c r="F1685">
        <v>5054.8599999999997</v>
      </c>
      <c r="G1685" t="str" cm="1">
        <f t="array" ref="G1685">IF(AND(ISNUMBER(SEARCH("UBER",C1685)),ISNUMBER(SEARCH("EATS",C1685))),"Uber Eats",IF(LEFT(C1685,6)="CHECK ","Checks Paid",IF(OR(E1685="BILLPAY",ISNUMBER(SEARCH("FRANCHISE TAX",C1685)),ISNUMBER(SEARCH("NEXTLINK",C1685))),"Personal - House Bills",IF(AND(ISNUMBER(SEARCH("PAYMENT FROM",C1685)),ISNUMBER(SEARCH("JOE SAUNDERS",C1685))),"Zelle from Joe Saunders",IF(AND(ISNUMBER(SEARCH("PAYMENT TO",C1685)),ISNUMBER(SEARCH("JOE SAUNDERS",C1685))),"Zelle to Joe Saunders",IF(OR(ISNUMBER(SEARCH("NEW ORLEANS",C1685)),ISNUMBER(SEARCH("KENNER",C1685)),ISNUMBER(SEARCH("HENRY HOWARD",C1685)),ISNUMBER(SEARCH("MISS CLAUDIA",C1685))),"Personal Travel - New Orleans",IF(AND(YEAR(B1685)=2025,MONTH(B1685)=4,OR(ISNUMBER(SEARCH("EXCHANGE RATE",C1685)),ISNUMBER(SEARCH("EXCHG RTE",C1685)))),"Personal Travel - Italy",IFERROR(INDEX('Category Rules'!$B$2:$B$358,MATCH(TRUE,ISNUMBER(SEARCH('Category Rules'!$A$2:$A$358,C1685)),0)),""))))))))</f>
        <v>AT&amp;T</v>
      </c>
    </row>
    <row r="1686" spans="1:7" x14ac:dyDescent="0.25">
      <c r="A1686" t="s">
        <v>6</v>
      </c>
      <c r="B1686" s="1">
        <v>45771</v>
      </c>
      <c r="C1686" t="s">
        <v>1832</v>
      </c>
      <c r="D1686">
        <v>-30.55</v>
      </c>
      <c r="E1686" t="s">
        <v>10</v>
      </c>
      <c r="F1686">
        <v>5651.98</v>
      </c>
      <c r="G1686" t="str" cm="1">
        <f t="array" ref="G1686">IF(AND(ISNUMBER(SEARCH("UBER",C1686)),ISNUMBER(SEARCH("EATS",C1686))),"Uber Eats",IF(LEFT(C1686,6)="CHECK ","Checks Paid",IF(OR(E1686="BILLPAY",ISNUMBER(SEARCH("FRANCHISE TAX",C1686)),ISNUMBER(SEARCH("NEXTLINK",C1686))),"Personal - House Bills",IF(AND(ISNUMBER(SEARCH("PAYMENT FROM",C1686)),ISNUMBER(SEARCH("JOE SAUNDERS",C1686))),"Zelle from Joe Saunders",IF(AND(ISNUMBER(SEARCH("PAYMENT TO",C1686)),ISNUMBER(SEARCH("JOE SAUNDERS",C1686))),"Zelle to Joe Saunders",IF(OR(ISNUMBER(SEARCH("NEW ORLEANS",C1686)),ISNUMBER(SEARCH("KENNER",C1686)),ISNUMBER(SEARCH("HENRY HOWARD",C1686)),ISNUMBER(SEARCH("MISS CLAUDIA",C1686))),"Personal Travel - New Orleans",IF(AND(YEAR(B1686)=2025,MONTH(B1686)=4,OR(ISNUMBER(SEARCH("EXCHANGE RATE",C1686)),ISNUMBER(SEARCH("EXCHG RTE",C1686)))),"Personal Travel - Italy",IFERROR(INDEX('Category Rules'!$B$2:$B$358,MATCH(TRUE,ISNUMBER(SEARCH('Category Rules'!$A$2:$A$358,C1686)),0)),""))))))))</f>
        <v>Amazon</v>
      </c>
    </row>
    <row r="1687" spans="1:7" x14ac:dyDescent="0.25">
      <c r="A1687" t="s">
        <v>6</v>
      </c>
      <c r="B1687" s="1">
        <v>45771</v>
      </c>
      <c r="C1687" t="s">
        <v>1833</v>
      </c>
      <c r="D1687">
        <v>-13.66</v>
      </c>
      <c r="E1687" t="s">
        <v>10</v>
      </c>
      <c r="F1687">
        <v>5682.53</v>
      </c>
      <c r="G1687" t="str" cm="1">
        <f t="array" ref="G1687">IF(AND(ISNUMBER(SEARCH("UBER",C1687)),ISNUMBER(SEARCH("EATS",C1687))),"Uber Eats",IF(LEFT(C1687,6)="CHECK ","Checks Paid",IF(OR(E1687="BILLPAY",ISNUMBER(SEARCH("FRANCHISE TAX",C1687)),ISNUMBER(SEARCH("NEXTLINK",C1687))),"Personal - House Bills",IF(AND(ISNUMBER(SEARCH("PAYMENT FROM",C1687)),ISNUMBER(SEARCH("JOE SAUNDERS",C1687))),"Zelle from Joe Saunders",IF(AND(ISNUMBER(SEARCH("PAYMENT TO",C1687)),ISNUMBER(SEARCH("JOE SAUNDERS",C1687))),"Zelle to Joe Saunders",IF(OR(ISNUMBER(SEARCH("NEW ORLEANS",C1687)),ISNUMBER(SEARCH("KENNER",C1687)),ISNUMBER(SEARCH("HENRY HOWARD",C1687)),ISNUMBER(SEARCH("MISS CLAUDIA",C1687))),"Personal Travel - New Orleans",IF(AND(YEAR(B1687)=2025,MONTH(B1687)=4,OR(ISNUMBER(SEARCH("EXCHANGE RATE",C1687)),ISNUMBER(SEARCH("EXCHG RTE",C1687)))),"Personal Travel - Italy",IFERROR(INDEX('Category Rules'!$B$2:$B$358,MATCH(TRUE,ISNUMBER(SEARCH('Category Rules'!$A$2:$A$358,C1687)),0)),""))))))))</f>
        <v>Amazon</v>
      </c>
    </row>
    <row r="1688" spans="1:7" x14ac:dyDescent="0.25">
      <c r="A1688" t="s">
        <v>6</v>
      </c>
      <c r="B1688" s="1">
        <v>45771</v>
      </c>
      <c r="C1688" t="s">
        <v>1834</v>
      </c>
      <c r="D1688">
        <v>-37.97</v>
      </c>
      <c r="E1688" t="s">
        <v>10</v>
      </c>
      <c r="F1688">
        <v>5696.19</v>
      </c>
      <c r="G1688" t="str" cm="1">
        <f t="array" ref="G1688">IF(AND(ISNUMBER(SEARCH("UBER",C1688)),ISNUMBER(SEARCH("EATS",C1688))),"Uber Eats",IF(LEFT(C1688,6)="CHECK ","Checks Paid",IF(OR(E1688="BILLPAY",ISNUMBER(SEARCH("FRANCHISE TAX",C1688)),ISNUMBER(SEARCH("NEXTLINK",C1688))),"Personal - House Bills",IF(AND(ISNUMBER(SEARCH("PAYMENT FROM",C1688)),ISNUMBER(SEARCH("JOE SAUNDERS",C1688))),"Zelle from Joe Saunders",IF(AND(ISNUMBER(SEARCH("PAYMENT TO",C1688)),ISNUMBER(SEARCH("JOE SAUNDERS",C1688))),"Zelle to Joe Saunders",IF(OR(ISNUMBER(SEARCH("NEW ORLEANS",C1688)),ISNUMBER(SEARCH("KENNER",C1688)),ISNUMBER(SEARCH("HENRY HOWARD",C1688)),ISNUMBER(SEARCH("MISS CLAUDIA",C1688))),"Personal Travel - New Orleans",IF(AND(YEAR(B1688)=2025,MONTH(B1688)=4,OR(ISNUMBER(SEARCH("EXCHANGE RATE",C1688)),ISNUMBER(SEARCH("EXCHG RTE",C1688)))),"Personal Travel - Italy",IFERROR(INDEX('Category Rules'!$B$2:$B$358,MATCH(TRUE,ISNUMBER(SEARCH('Category Rules'!$A$2:$A$358,C1688)),0)),""))))))))</f>
        <v>Shipping</v>
      </c>
    </row>
    <row r="1689" spans="1:7" x14ac:dyDescent="0.25">
      <c r="A1689" t="s">
        <v>6</v>
      </c>
      <c r="B1689" s="1">
        <v>45771</v>
      </c>
      <c r="C1689" t="s">
        <v>1835</v>
      </c>
      <c r="D1689">
        <v>-1</v>
      </c>
      <c r="E1689" t="s">
        <v>10</v>
      </c>
      <c r="F1689">
        <v>5734.16</v>
      </c>
      <c r="G1689" t="str" cm="1">
        <f t="array" ref="G1689">IF(AND(ISNUMBER(SEARCH("UBER",C1689)),ISNUMBER(SEARCH("EATS",C1689))),"Uber Eats",IF(LEFT(C1689,6)="CHECK ","Checks Paid",IF(OR(E1689="BILLPAY",ISNUMBER(SEARCH("FRANCHISE TAX",C1689)),ISNUMBER(SEARCH("NEXTLINK",C1689))),"Personal - House Bills",IF(AND(ISNUMBER(SEARCH("PAYMENT FROM",C1689)),ISNUMBER(SEARCH("JOE SAUNDERS",C1689))),"Zelle from Joe Saunders",IF(AND(ISNUMBER(SEARCH("PAYMENT TO",C1689)),ISNUMBER(SEARCH("JOE SAUNDERS",C1689))),"Zelle to Joe Saunders",IF(OR(ISNUMBER(SEARCH("NEW ORLEANS",C1689)),ISNUMBER(SEARCH("KENNER",C1689)),ISNUMBER(SEARCH("HENRY HOWARD",C1689)),ISNUMBER(SEARCH("MISS CLAUDIA",C1689))),"Personal Travel - New Orleans",IF(AND(YEAR(B1689)=2025,MONTH(B1689)=4,OR(ISNUMBER(SEARCH("EXCHANGE RATE",C1689)),ISNUMBER(SEARCH("EXCHG RTE",C1689)))),"Personal Travel - Italy",IFERROR(INDEX('Category Rules'!$B$2:$B$358,MATCH(TRUE,ISNUMBER(SEARCH('Category Rules'!$A$2:$A$358,C1689)),0)),""))))))))</f>
        <v>Personal - Car</v>
      </c>
    </row>
    <row r="1690" spans="1:7" x14ac:dyDescent="0.25">
      <c r="A1690" t="s">
        <v>6</v>
      </c>
      <c r="B1690" s="1">
        <v>45771</v>
      </c>
      <c r="C1690" t="s">
        <v>1836</v>
      </c>
      <c r="D1690">
        <v>-36.43</v>
      </c>
      <c r="E1690" t="s">
        <v>10</v>
      </c>
      <c r="F1690">
        <v>5735.16</v>
      </c>
      <c r="G1690" t="str" cm="1">
        <f t="array" ref="G1690">IF(AND(ISNUMBER(SEARCH("UBER",C1690)),ISNUMBER(SEARCH("EATS",C1690))),"Uber Eats",IF(LEFT(C1690,6)="CHECK ","Checks Paid",IF(OR(E1690="BILLPAY",ISNUMBER(SEARCH("FRANCHISE TAX",C1690)),ISNUMBER(SEARCH("NEXTLINK",C1690))),"Personal - House Bills",IF(AND(ISNUMBER(SEARCH("PAYMENT FROM",C1690)),ISNUMBER(SEARCH("JOE SAUNDERS",C1690))),"Zelle from Joe Saunders",IF(AND(ISNUMBER(SEARCH("PAYMENT TO",C1690)),ISNUMBER(SEARCH("JOE SAUNDERS",C1690))),"Zelle to Joe Saunders",IF(OR(ISNUMBER(SEARCH("NEW ORLEANS",C1690)),ISNUMBER(SEARCH("KENNER",C1690)),ISNUMBER(SEARCH("HENRY HOWARD",C1690)),ISNUMBER(SEARCH("MISS CLAUDIA",C1690))),"Personal Travel - New Orleans",IF(AND(YEAR(B1690)=2025,MONTH(B1690)=4,OR(ISNUMBER(SEARCH("EXCHANGE RATE",C1690)),ISNUMBER(SEARCH("EXCHG RTE",C1690)))),"Personal Travel - Italy",IFERROR(INDEX('Category Rules'!$B$2:$B$358,MATCH(TRUE,ISNUMBER(SEARCH('Category Rules'!$A$2:$A$358,C1690)),0)),""))))))))</f>
        <v>Personal - Shopping</v>
      </c>
    </row>
    <row r="1691" spans="1:7" x14ac:dyDescent="0.25">
      <c r="A1691" t="s">
        <v>6</v>
      </c>
      <c r="B1691" s="1">
        <v>45770</v>
      </c>
      <c r="C1691" t="s">
        <v>1837</v>
      </c>
      <c r="D1691">
        <v>-87.76</v>
      </c>
      <c r="E1691" t="s">
        <v>10</v>
      </c>
      <c r="F1691">
        <v>5771.59</v>
      </c>
      <c r="G1691" t="str" cm="1">
        <f t="array" ref="G1691">IF(AND(ISNUMBER(SEARCH("UBER",C1691)),ISNUMBER(SEARCH("EATS",C1691))),"Uber Eats",IF(LEFT(C1691,6)="CHECK ","Checks Paid",IF(OR(E1691="BILLPAY",ISNUMBER(SEARCH("FRANCHISE TAX",C1691)),ISNUMBER(SEARCH("NEXTLINK",C1691))),"Personal - House Bills",IF(AND(ISNUMBER(SEARCH("PAYMENT FROM",C1691)),ISNUMBER(SEARCH("JOE SAUNDERS",C1691))),"Zelle from Joe Saunders",IF(AND(ISNUMBER(SEARCH("PAYMENT TO",C1691)),ISNUMBER(SEARCH("JOE SAUNDERS",C1691))),"Zelle to Joe Saunders",IF(OR(ISNUMBER(SEARCH("NEW ORLEANS",C1691)),ISNUMBER(SEARCH("KENNER",C1691)),ISNUMBER(SEARCH("HENRY HOWARD",C1691)),ISNUMBER(SEARCH("MISS CLAUDIA",C1691))),"Personal Travel - New Orleans",IF(AND(YEAR(B1691)=2025,MONTH(B1691)=4,OR(ISNUMBER(SEARCH("EXCHANGE RATE",C1691)),ISNUMBER(SEARCH("EXCHG RTE",C1691)))),"Personal Travel - Italy",IFERROR(INDEX('Category Rules'!$B$2:$B$358,MATCH(TRUE,ISNUMBER(SEARCH('Category Rules'!$A$2:$A$358,C1691)),0)),""))))))))</f>
        <v>Personal - Health</v>
      </c>
    </row>
    <row r="1692" spans="1:7" x14ac:dyDescent="0.25">
      <c r="A1692" t="s">
        <v>6</v>
      </c>
      <c r="B1692" s="1">
        <v>45770</v>
      </c>
      <c r="C1692" t="s">
        <v>1838</v>
      </c>
      <c r="D1692">
        <v>-61.92</v>
      </c>
      <c r="E1692" t="s">
        <v>10</v>
      </c>
      <c r="F1692">
        <v>5859.35</v>
      </c>
      <c r="G1692" t="str" cm="1">
        <f t="array" ref="G1692">IF(AND(ISNUMBER(SEARCH("UBER",C1692)),ISNUMBER(SEARCH("EATS",C1692))),"Uber Eats",IF(LEFT(C1692,6)="CHECK ","Checks Paid",IF(OR(E1692="BILLPAY",ISNUMBER(SEARCH("FRANCHISE TAX",C1692)),ISNUMBER(SEARCH("NEXTLINK",C1692))),"Personal - House Bills",IF(AND(ISNUMBER(SEARCH("PAYMENT FROM",C1692)),ISNUMBER(SEARCH("JOE SAUNDERS",C1692))),"Zelle from Joe Saunders",IF(AND(ISNUMBER(SEARCH("PAYMENT TO",C1692)),ISNUMBER(SEARCH("JOE SAUNDERS",C1692))),"Zelle to Joe Saunders",IF(OR(ISNUMBER(SEARCH("NEW ORLEANS",C1692)),ISNUMBER(SEARCH("KENNER",C1692)),ISNUMBER(SEARCH("HENRY HOWARD",C1692)),ISNUMBER(SEARCH("MISS CLAUDIA",C1692))),"Personal Travel - New Orleans",IF(AND(YEAR(B1692)=2025,MONTH(B1692)=4,OR(ISNUMBER(SEARCH("EXCHANGE RATE",C1692)),ISNUMBER(SEARCH("EXCHG RTE",C1692)))),"Personal Travel - Italy",IFERROR(INDEX('Category Rules'!$B$2:$B$358,MATCH(TRUE,ISNUMBER(SEARCH('Category Rules'!$A$2:$A$358,C1692)),0)),""))))))))</f>
        <v>Personal - Health</v>
      </c>
    </row>
    <row r="1693" spans="1:7" x14ac:dyDescent="0.25">
      <c r="A1693" t="s">
        <v>6</v>
      </c>
      <c r="B1693" s="1">
        <v>45770</v>
      </c>
      <c r="C1693" t="s">
        <v>1839</v>
      </c>
      <c r="D1693">
        <v>-6</v>
      </c>
      <c r="E1693" t="s">
        <v>10</v>
      </c>
      <c r="F1693">
        <v>5921.27</v>
      </c>
      <c r="G1693" t="str" cm="1">
        <f t="array" ref="G1693">IF(AND(ISNUMBER(SEARCH("UBER",C1693)),ISNUMBER(SEARCH("EATS",C1693))),"Uber Eats",IF(LEFT(C1693,6)="CHECK ","Checks Paid",IF(OR(E1693="BILLPAY",ISNUMBER(SEARCH("FRANCHISE TAX",C1693)),ISNUMBER(SEARCH("NEXTLINK",C1693))),"Personal - House Bills",IF(AND(ISNUMBER(SEARCH("PAYMENT FROM",C1693)),ISNUMBER(SEARCH("JOE SAUNDERS",C1693))),"Zelle from Joe Saunders",IF(AND(ISNUMBER(SEARCH("PAYMENT TO",C1693)),ISNUMBER(SEARCH("JOE SAUNDERS",C1693))),"Zelle to Joe Saunders",IF(OR(ISNUMBER(SEARCH("NEW ORLEANS",C1693)),ISNUMBER(SEARCH("KENNER",C1693)),ISNUMBER(SEARCH("HENRY HOWARD",C1693)),ISNUMBER(SEARCH("MISS CLAUDIA",C1693))),"Personal Travel - New Orleans",IF(AND(YEAR(B1693)=2025,MONTH(B1693)=4,OR(ISNUMBER(SEARCH("EXCHANGE RATE",C1693)),ISNUMBER(SEARCH("EXCHG RTE",C1693)))),"Personal Travel - Italy",IFERROR(INDEX('Category Rules'!$B$2:$B$358,MATCH(TRUE,ISNUMBER(SEARCH('Category Rules'!$A$2:$A$358,C1693)),0)),""))))))))</f>
        <v>Personal - Uber</v>
      </c>
    </row>
    <row r="1694" spans="1:7" x14ac:dyDescent="0.25">
      <c r="A1694" t="s">
        <v>6</v>
      </c>
      <c r="B1694" s="1">
        <v>45770</v>
      </c>
      <c r="C1694" t="s">
        <v>1840</v>
      </c>
      <c r="D1694">
        <v>-10.99</v>
      </c>
      <c r="E1694" t="s">
        <v>10</v>
      </c>
      <c r="F1694">
        <v>5927.27</v>
      </c>
      <c r="G1694" t="str" cm="1">
        <f t="array" ref="G1694">IF(AND(ISNUMBER(SEARCH("UBER",C1694)),ISNUMBER(SEARCH("EATS",C1694))),"Uber Eats",IF(LEFT(C1694,6)="CHECK ","Checks Paid",IF(OR(E1694="BILLPAY",ISNUMBER(SEARCH("FRANCHISE TAX",C1694)),ISNUMBER(SEARCH("NEXTLINK",C1694))),"Personal - House Bills",IF(AND(ISNUMBER(SEARCH("PAYMENT FROM",C1694)),ISNUMBER(SEARCH("JOE SAUNDERS",C1694))),"Zelle from Joe Saunders",IF(AND(ISNUMBER(SEARCH("PAYMENT TO",C1694)),ISNUMBER(SEARCH("JOE SAUNDERS",C1694))),"Zelle to Joe Saunders",IF(OR(ISNUMBER(SEARCH("NEW ORLEANS",C1694)),ISNUMBER(SEARCH("KENNER",C1694)),ISNUMBER(SEARCH("HENRY HOWARD",C1694)),ISNUMBER(SEARCH("MISS CLAUDIA",C1694))),"Personal Travel - New Orleans",IF(AND(YEAR(B1694)=2025,MONTH(B1694)=4,OR(ISNUMBER(SEARCH("EXCHANGE RATE",C1694)),ISNUMBER(SEARCH("EXCHG RTE",C1694)))),"Personal Travel - Italy",IFERROR(INDEX('Category Rules'!$B$2:$B$358,MATCH(TRUE,ISNUMBER(SEARCH('Category Rules'!$A$2:$A$358,C1694)),0)),""))))))))</f>
        <v>Apple</v>
      </c>
    </row>
    <row r="1695" spans="1:7" x14ac:dyDescent="0.25">
      <c r="A1695" t="s">
        <v>6</v>
      </c>
      <c r="B1695" s="1">
        <v>45770</v>
      </c>
      <c r="C1695" t="s">
        <v>1841</v>
      </c>
      <c r="D1695">
        <v>-42.76</v>
      </c>
      <c r="E1695" t="s">
        <v>10</v>
      </c>
      <c r="F1695">
        <v>5938.26</v>
      </c>
      <c r="G1695" t="str" cm="1">
        <f t="array" ref="G1695">IF(AND(ISNUMBER(SEARCH("UBER",C1695)),ISNUMBER(SEARCH("EATS",C1695))),"Uber Eats",IF(LEFT(C1695,6)="CHECK ","Checks Paid",IF(OR(E1695="BILLPAY",ISNUMBER(SEARCH("FRANCHISE TAX",C1695)),ISNUMBER(SEARCH("NEXTLINK",C1695))),"Personal - House Bills",IF(AND(ISNUMBER(SEARCH("PAYMENT FROM",C1695)),ISNUMBER(SEARCH("JOE SAUNDERS",C1695))),"Zelle from Joe Saunders",IF(AND(ISNUMBER(SEARCH("PAYMENT TO",C1695)),ISNUMBER(SEARCH("JOE SAUNDERS",C1695))),"Zelle to Joe Saunders",IF(OR(ISNUMBER(SEARCH("NEW ORLEANS",C1695)),ISNUMBER(SEARCH("KENNER",C1695)),ISNUMBER(SEARCH("HENRY HOWARD",C1695)),ISNUMBER(SEARCH("MISS CLAUDIA",C1695))),"Personal Travel - New Orleans",IF(AND(YEAR(B1695)=2025,MONTH(B1695)=4,OR(ISNUMBER(SEARCH("EXCHANGE RATE",C1695)),ISNUMBER(SEARCH("EXCHG RTE",C1695)))),"Personal Travel - Italy",IFERROR(INDEX('Category Rules'!$B$2:$B$358,MATCH(TRUE,ISNUMBER(SEARCH('Category Rules'!$A$2:$A$358,C1695)),0)),""))))))))</f>
        <v>Amazon</v>
      </c>
    </row>
    <row r="1696" spans="1:7" x14ac:dyDescent="0.25">
      <c r="A1696" t="s">
        <v>6</v>
      </c>
      <c r="B1696" s="1">
        <v>45770</v>
      </c>
      <c r="C1696" t="s">
        <v>1842</v>
      </c>
      <c r="D1696">
        <v>-120.71</v>
      </c>
      <c r="E1696" t="s">
        <v>10</v>
      </c>
      <c r="F1696">
        <v>5981.02</v>
      </c>
      <c r="G1696" t="str" cm="1">
        <f t="array" ref="G1696">IF(AND(ISNUMBER(SEARCH("UBER",C1696)),ISNUMBER(SEARCH("EATS",C1696))),"Uber Eats",IF(LEFT(C1696,6)="CHECK ","Checks Paid",IF(OR(E1696="BILLPAY",ISNUMBER(SEARCH("FRANCHISE TAX",C1696)),ISNUMBER(SEARCH("NEXTLINK",C1696))),"Personal - House Bills",IF(AND(ISNUMBER(SEARCH("PAYMENT FROM",C1696)),ISNUMBER(SEARCH("JOE SAUNDERS",C1696))),"Zelle from Joe Saunders",IF(AND(ISNUMBER(SEARCH("PAYMENT TO",C1696)),ISNUMBER(SEARCH("JOE SAUNDERS",C1696))),"Zelle to Joe Saunders",IF(OR(ISNUMBER(SEARCH("NEW ORLEANS",C1696)),ISNUMBER(SEARCH("KENNER",C1696)),ISNUMBER(SEARCH("HENRY HOWARD",C1696)),ISNUMBER(SEARCH("MISS CLAUDIA",C1696))),"Personal Travel - New Orleans",IF(AND(YEAR(B1696)=2025,MONTH(B1696)=4,OR(ISNUMBER(SEARCH("EXCHANGE RATE",C1696)),ISNUMBER(SEARCH("EXCHG RTE",C1696)))),"Personal Travel - Italy",IFERROR(INDEX('Category Rules'!$B$2:$B$358,MATCH(TRUE,ISNUMBER(SEARCH('Category Rules'!$A$2:$A$358,C1696)),0)),""))))))))</f>
        <v>Amazon</v>
      </c>
    </row>
    <row r="1697" spans="1:7" x14ac:dyDescent="0.25">
      <c r="A1697" t="s">
        <v>6</v>
      </c>
      <c r="B1697" s="1">
        <v>45770</v>
      </c>
      <c r="C1697" t="s">
        <v>1843</v>
      </c>
      <c r="D1697">
        <v>-231.5</v>
      </c>
      <c r="E1697" t="s">
        <v>10</v>
      </c>
      <c r="F1697">
        <v>6101.73</v>
      </c>
      <c r="G1697" t="str" cm="1">
        <f t="array" ref="G1697">IF(AND(ISNUMBER(SEARCH("UBER",C1697)),ISNUMBER(SEARCH("EATS",C1697))),"Uber Eats",IF(LEFT(C1697,6)="CHECK ","Checks Paid",IF(OR(E1697="BILLPAY",ISNUMBER(SEARCH("FRANCHISE TAX",C1697)),ISNUMBER(SEARCH("NEXTLINK",C1697))),"Personal - House Bills",IF(AND(ISNUMBER(SEARCH("PAYMENT FROM",C1697)),ISNUMBER(SEARCH("JOE SAUNDERS",C1697))),"Zelle from Joe Saunders",IF(AND(ISNUMBER(SEARCH("PAYMENT TO",C1697)),ISNUMBER(SEARCH("JOE SAUNDERS",C1697))),"Zelle to Joe Saunders",IF(OR(ISNUMBER(SEARCH("NEW ORLEANS",C1697)),ISNUMBER(SEARCH("KENNER",C1697)),ISNUMBER(SEARCH("HENRY HOWARD",C1697)),ISNUMBER(SEARCH("MISS CLAUDIA",C1697))),"Personal Travel - New Orleans",IF(AND(YEAR(B1697)=2025,MONTH(B1697)=4,OR(ISNUMBER(SEARCH("EXCHANGE RATE",C1697)),ISNUMBER(SEARCH("EXCHG RTE",C1697)))),"Personal Travel - Italy",IFERROR(INDEX('Category Rules'!$B$2:$B$358,MATCH(TRUE,ISNUMBER(SEARCH('Category Rules'!$A$2:$A$358,C1697)),0)),""))))))))</f>
        <v>Palm Springs</v>
      </c>
    </row>
    <row r="1698" spans="1:7" x14ac:dyDescent="0.25">
      <c r="A1698" t="s">
        <v>6</v>
      </c>
      <c r="B1698" s="1">
        <v>45770</v>
      </c>
      <c r="C1698" t="s">
        <v>1844</v>
      </c>
      <c r="D1698">
        <v>-15.21</v>
      </c>
      <c r="E1698" t="s">
        <v>10</v>
      </c>
      <c r="F1698">
        <v>6333.23</v>
      </c>
      <c r="G1698" t="str" cm="1">
        <f t="array" ref="G1698">IF(AND(ISNUMBER(SEARCH("UBER",C1698)),ISNUMBER(SEARCH("EATS",C1698))),"Uber Eats",IF(LEFT(C1698,6)="CHECK ","Checks Paid",IF(OR(E1698="BILLPAY",ISNUMBER(SEARCH("FRANCHISE TAX",C1698)),ISNUMBER(SEARCH("NEXTLINK",C1698))),"Personal - House Bills",IF(AND(ISNUMBER(SEARCH("PAYMENT FROM",C1698)),ISNUMBER(SEARCH("JOE SAUNDERS",C1698))),"Zelle from Joe Saunders",IF(AND(ISNUMBER(SEARCH("PAYMENT TO",C1698)),ISNUMBER(SEARCH("JOE SAUNDERS",C1698))),"Zelle to Joe Saunders",IF(OR(ISNUMBER(SEARCH("NEW ORLEANS",C1698)),ISNUMBER(SEARCH("KENNER",C1698)),ISNUMBER(SEARCH("HENRY HOWARD",C1698)),ISNUMBER(SEARCH("MISS CLAUDIA",C1698))),"Personal Travel - New Orleans",IF(AND(YEAR(B1698)=2025,MONTH(B1698)=4,OR(ISNUMBER(SEARCH("EXCHANGE RATE",C1698)),ISNUMBER(SEARCH("EXCHG RTE",C1698)))),"Personal Travel - Italy",IFERROR(INDEX('Category Rules'!$B$2:$B$358,MATCH(TRUE,ISNUMBER(SEARCH('Category Rules'!$A$2:$A$358,C1698)),0)),""))))))))</f>
        <v>Personal - Car</v>
      </c>
    </row>
    <row r="1699" spans="1:7" x14ac:dyDescent="0.25">
      <c r="A1699" t="s">
        <v>44</v>
      </c>
      <c r="B1699" s="1">
        <v>45770</v>
      </c>
      <c r="C1699" t="s">
        <v>1845</v>
      </c>
      <c r="D1699">
        <v>5000</v>
      </c>
      <c r="E1699" t="s">
        <v>73</v>
      </c>
      <c r="F1699">
        <v>6348.44</v>
      </c>
      <c r="G1699" t="str" cm="1">
        <f t="array" ref="G1699">IF(AND(ISNUMBER(SEARCH("UBER",C1699)),ISNUMBER(SEARCH("EATS",C1699))),"Uber Eats",IF(LEFT(C1699,6)="CHECK ","Checks Paid",IF(OR(E1699="BILLPAY",ISNUMBER(SEARCH("FRANCHISE TAX",C1699)),ISNUMBER(SEARCH("NEXTLINK",C1699))),"Personal - House Bills",IF(AND(ISNUMBER(SEARCH("PAYMENT FROM",C1699)),ISNUMBER(SEARCH("JOE SAUNDERS",C1699))),"Zelle from Joe Saunders",IF(AND(ISNUMBER(SEARCH("PAYMENT TO",C1699)),ISNUMBER(SEARCH("JOE SAUNDERS",C1699))),"Zelle to Joe Saunders",IF(OR(ISNUMBER(SEARCH("NEW ORLEANS",C1699)),ISNUMBER(SEARCH("KENNER",C1699)),ISNUMBER(SEARCH("HENRY HOWARD",C1699)),ISNUMBER(SEARCH("MISS CLAUDIA",C1699))),"Personal Travel - New Orleans",IF(AND(YEAR(B1699)=2025,MONTH(B1699)=4,OR(ISNUMBER(SEARCH("EXCHANGE RATE",C1699)),ISNUMBER(SEARCH("EXCHG RTE",C1699)))),"Personal Travel - Italy",IFERROR(INDEX('Category Rules'!$B$2:$B$358,MATCH(TRUE,ISNUMBER(SEARCH('Category Rules'!$A$2:$A$358,C1699)),0)),""))))))))</f>
        <v>Transfer from DWG Capital Group</v>
      </c>
    </row>
    <row r="1700" spans="1:7" x14ac:dyDescent="0.25">
      <c r="A1700" t="s">
        <v>6</v>
      </c>
      <c r="B1700" s="1">
        <v>45769</v>
      </c>
      <c r="C1700" t="s">
        <v>1846</v>
      </c>
      <c r="D1700">
        <v>-94.69</v>
      </c>
      <c r="E1700" t="s">
        <v>10</v>
      </c>
      <c r="F1700">
        <v>1348.44</v>
      </c>
      <c r="G1700" t="str" cm="1">
        <f t="array" ref="G1700">IF(AND(ISNUMBER(SEARCH("UBER",C1700)),ISNUMBER(SEARCH("EATS",C1700))),"Uber Eats",IF(LEFT(C1700,6)="CHECK ","Checks Paid",IF(OR(E1700="BILLPAY",ISNUMBER(SEARCH("FRANCHISE TAX",C1700)),ISNUMBER(SEARCH("NEXTLINK",C1700))),"Personal - House Bills",IF(AND(ISNUMBER(SEARCH("PAYMENT FROM",C1700)),ISNUMBER(SEARCH("JOE SAUNDERS",C1700))),"Zelle from Joe Saunders",IF(AND(ISNUMBER(SEARCH("PAYMENT TO",C1700)),ISNUMBER(SEARCH("JOE SAUNDERS",C1700))),"Zelle to Joe Saunders",IF(OR(ISNUMBER(SEARCH("NEW ORLEANS",C1700)),ISNUMBER(SEARCH("KENNER",C1700)),ISNUMBER(SEARCH("HENRY HOWARD",C1700)),ISNUMBER(SEARCH("MISS CLAUDIA",C1700))),"Personal Travel - New Orleans",IF(AND(YEAR(B1700)=2025,MONTH(B1700)=4,OR(ISNUMBER(SEARCH("EXCHANGE RATE",C1700)),ISNUMBER(SEARCH("EXCHG RTE",C1700)))),"Personal Travel - Italy",IFERROR(INDEX('Category Rules'!$B$2:$B$358,MATCH(TRUE,ISNUMBER(SEARCH('Category Rules'!$A$2:$A$358,C1700)),0)),""))))))))</f>
        <v>Personal - Health</v>
      </c>
    </row>
    <row r="1701" spans="1:7" x14ac:dyDescent="0.25">
      <c r="A1701" t="s">
        <v>6</v>
      </c>
      <c r="B1701" s="1">
        <v>45769</v>
      </c>
      <c r="C1701" t="s">
        <v>1847</v>
      </c>
      <c r="D1701">
        <v>-259.64</v>
      </c>
      <c r="E1701" t="s">
        <v>10</v>
      </c>
      <c r="F1701">
        <v>1443.13</v>
      </c>
      <c r="G1701" t="str" cm="1">
        <f t="array" ref="G1701">IF(AND(ISNUMBER(SEARCH("UBER",C1701)),ISNUMBER(SEARCH("EATS",C1701))),"Uber Eats",IF(LEFT(C1701,6)="CHECK ","Checks Paid",IF(OR(E1701="BILLPAY",ISNUMBER(SEARCH("FRANCHISE TAX",C1701)),ISNUMBER(SEARCH("NEXTLINK",C1701))),"Personal - House Bills",IF(AND(ISNUMBER(SEARCH("PAYMENT FROM",C1701)),ISNUMBER(SEARCH("JOE SAUNDERS",C1701))),"Zelle from Joe Saunders",IF(AND(ISNUMBER(SEARCH("PAYMENT TO",C1701)),ISNUMBER(SEARCH("JOE SAUNDERS",C1701))),"Zelle to Joe Saunders",IF(OR(ISNUMBER(SEARCH("NEW ORLEANS",C1701)),ISNUMBER(SEARCH("KENNER",C1701)),ISNUMBER(SEARCH("HENRY HOWARD",C1701)),ISNUMBER(SEARCH("MISS CLAUDIA",C1701))),"Personal Travel - New Orleans",IF(AND(YEAR(B1701)=2025,MONTH(B1701)=4,OR(ISNUMBER(SEARCH("EXCHANGE RATE",C1701)),ISNUMBER(SEARCH("EXCHG RTE",C1701)))),"Personal Travel - Italy",IFERROR(INDEX('Category Rules'!$B$2:$B$358,MATCH(TRUE,ISNUMBER(SEARCH('Category Rules'!$A$2:$A$358,C1701)),0)),""))))))))</f>
        <v>Personal - Entertainment</v>
      </c>
    </row>
    <row r="1702" spans="1:7" x14ac:dyDescent="0.25">
      <c r="A1702" t="s">
        <v>6</v>
      </c>
      <c r="B1702" s="1">
        <v>45769</v>
      </c>
      <c r="C1702" t="s">
        <v>1848</v>
      </c>
      <c r="D1702">
        <v>-403</v>
      </c>
      <c r="E1702" t="s">
        <v>10</v>
      </c>
      <c r="F1702">
        <v>1702.77</v>
      </c>
      <c r="G1702" t="str" cm="1">
        <f t="array" ref="G1702">IF(AND(ISNUMBER(SEARCH("UBER",C1702)),ISNUMBER(SEARCH("EATS",C1702))),"Uber Eats",IF(LEFT(C1702,6)="CHECK ","Checks Paid",IF(OR(E1702="BILLPAY",ISNUMBER(SEARCH("FRANCHISE TAX",C1702)),ISNUMBER(SEARCH("NEXTLINK",C1702))),"Personal - House Bills",IF(AND(ISNUMBER(SEARCH("PAYMENT FROM",C1702)),ISNUMBER(SEARCH("JOE SAUNDERS",C1702))),"Zelle from Joe Saunders",IF(AND(ISNUMBER(SEARCH("PAYMENT TO",C1702)),ISNUMBER(SEARCH("JOE SAUNDERS",C1702))),"Zelle to Joe Saunders",IF(OR(ISNUMBER(SEARCH("NEW ORLEANS",C1702)),ISNUMBER(SEARCH("KENNER",C1702)),ISNUMBER(SEARCH("HENRY HOWARD",C1702)),ISNUMBER(SEARCH("MISS CLAUDIA",C1702))),"Personal Travel - New Orleans",IF(AND(YEAR(B1702)=2025,MONTH(B1702)=4,OR(ISNUMBER(SEARCH("EXCHANGE RATE",C1702)),ISNUMBER(SEARCH("EXCHG RTE",C1702)))),"Personal Travel - Italy",IFERROR(INDEX('Category Rules'!$B$2:$B$358,MATCH(TRUE,ISNUMBER(SEARCH('Category Rules'!$A$2:$A$358,C1702)),0)),""))))))))</f>
        <v>Personal - Entertainment</v>
      </c>
    </row>
    <row r="1703" spans="1:7" x14ac:dyDescent="0.25">
      <c r="A1703" t="s">
        <v>6</v>
      </c>
      <c r="B1703" s="1">
        <v>45769</v>
      </c>
      <c r="C1703" t="s">
        <v>1847</v>
      </c>
      <c r="D1703">
        <v>-389.46</v>
      </c>
      <c r="E1703" t="s">
        <v>10</v>
      </c>
      <c r="F1703">
        <v>2105.77</v>
      </c>
      <c r="G1703" t="str" cm="1">
        <f t="array" ref="G1703">IF(AND(ISNUMBER(SEARCH("UBER",C1703)),ISNUMBER(SEARCH("EATS",C1703))),"Uber Eats",IF(LEFT(C1703,6)="CHECK ","Checks Paid",IF(OR(E1703="BILLPAY",ISNUMBER(SEARCH("FRANCHISE TAX",C1703)),ISNUMBER(SEARCH("NEXTLINK",C1703))),"Personal - House Bills",IF(AND(ISNUMBER(SEARCH("PAYMENT FROM",C1703)),ISNUMBER(SEARCH("JOE SAUNDERS",C1703))),"Zelle from Joe Saunders",IF(AND(ISNUMBER(SEARCH("PAYMENT TO",C1703)),ISNUMBER(SEARCH("JOE SAUNDERS",C1703))),"Zelle to Joe Saunders",IF(OR(ISNUMBER(SEARCH("NEW ORLEANS",C1703)),ISNUMBER(SEARCH("KENNER",C1703)),ISNUMBER(SEARCH("HENRY HOWARD",C1703)),ISNUMBER(SEARCH("MISS CLAUDIA",C1703))),"Personal Travel - New Orleans",IF(AND(YEAR(B1703)=2025,MONTH(B1703)=4,OR(ISNUMBER(SEARCH("EXCHANGE RATE",C1703)),ISNUMBER(SEARCH("EXCHG RTE",C1703)))),"Personal Travel - Italy",IFERROR(INDEX('Category Rules'!$B$2:$B$358,MATCH(TRUE,ISNUMBER(SEARCH('Category Rules'!$A$2:$A$358,C1703)),0)),""))))))))</f>
        <v>Personal - Entertainment</v>
      </c>
    </row>
    <row r="1704" spans="1:7" x14ac:dyDescent="0.25">
      <c r="A1704" t="s">
        <v>6</v>
      </c>
      <c r="B1704" s="1">
        <v>45769</v>
      </c>
      <c r="C1704" t="s">
        <v>1847</v>
      </c>
      <c r="D1704">
        <v>-286.64999999999998</v>
      </c>
      <c r="E1704" t="s">
        <v>10</v>
      </c>
      <c r="F1704">
        <v>2495.23</v>
      </c>
      <c r="G1704" t="str" cm="1">
        <f t="array" ref="G1704">IF(AND(ISNUMBER(SEARCH("UBER",C1704)),ISNUMBER(SEARCH("EATS",C1704))),"Uber Eats",IF(LEFT(C1704,6)="CHECK ","Checks Paid",IF(OR(E1704="BILLPAY",ISNUMBER(SEARCH("FRANCHISE TAX",C1704)),ISNUMBER(SEARCH("NEXTLINK",C1704))),"Personal - House Bills",IF(AND(ISNUMBER(SEARCH("PAYMENT FROM",C1704)),ISNUMBER(SEARCH("JOE SAUNDERS",C1704))),"Zelle from Joe Saunders",IF(AND(ISNUMBER(SEARCH("PAYMENT TO",C1704)),ISNUMBER(SEARCH("JOE SAUNDERS",C1704))),"Zelle to Joe Saunders",IF(OR(ISNUMBER(SEARCH("NEW ORLEANS",C1704)),ISNUMBER(SEARCH("KENNER",C1704)),ISNUMBER(SEARCH("HENRY HOWARD",C1704)),ISNUMBER(SEARCH("MISS CLAUDIA",C1704))),"Personal Travel - New Orleans",IF(AND(YEAR(B1704)=2025,MONTH(B1704)=4,OR(ISNUMBER(SEARCH("EXCHANGE RATE",C1704)),ISNUMBER(SEARCH("EXCHG RTE",C1704)))),"Personal Travel - Italy",IFERROR(INDEX('Category Rules'!$B$2:$B$358,MATCH(TRUE,ISNUMBER(SEARCH('Category Rules'!$A$2:$A$358,C1704)),0)),""))))))))</f>
        <v>Personal - Entertainment</v>
      </c>
    </row>
    <row r="1705" spans="1:7" x14ac:dyDescent="0.25">
      <c r="A1705" t="s">
        <v>6</v>
      </c>
      <c r="B1705" s="1">
        <v>45769</v>
      </c>
      <c r="C1705" t="s">
        <v>1849</v>
      </c>
      <c r="D1705">
        <v>-396.9</v>
      </c>
      <c r="E1705" t="s">
        <v>10</v>
      </c>
      <c r="F1705">
        <v>2781.88</v>
      </c>
      <c r="G1705" t="str" cm="1">
        <f t="array" ref="G1705">IF(AND(ISNUMBER(SEARCH("UBER",C1705)),ISNUMBER(SEARCH("EATS",C1705))),"Uber Eats",IF(LEFT(C1705,6)="CHECK ","Checks Paid",IF(OR(E1705="BILLPAY",ISNUMBER(SEARCH("FRANCHISE TAX",C1705)),ISNUMBER(SEARCH("NEXTLINK",C1705))),"Personal - House Bills",IF(AND(ISNUMBER(SEARCH("PAYMENT FROM",C1705)),ISNUMBER(SEARCH("JOE SAUNDERS",C1705))),"Zelle from Joe Saunders",IF(AND(ISNUMBER(SEARCH("PAYMENT TO",C1705)),ISNUMBER(SEARCH("JOE SAUNDERS",C1705))),"Zelle to Joe Saunders",IF(OR(ISNUMBER(SEARCH("NEW ORLEANS",C1705)),ISNUMBER(SEARCH("KENNER",C1705)),ISNUMBER(SEARCH("HENRY HOWARD",C1705)),ISNUMBER(SEARCH("MISS CLAUDIA",C1705))),"Personal Travel - New Orleans",IF(AND(YEAR(B1705)=2025,MONTH(B1705)=4,OR(ISNUMBER(SEARCH("EXCHANGE RATE",C1705)),ISNUMBER(SEARCH("EXCHG RTE",C1705)))),"Personal Travel - Italy",IFERROR(INDEX('Category Rules'!$B$2:$B$358,MATCH(TRUE,ISNUMBER(SEARCH('Category Rules'!$A$2:$A$358,C1705)),0)),""))))))))</f>
        <v>Personal - Food</v>
      </c>
    </row>
    <row r="1706" spans="1:7" x14ac:dyDescent="0.25">
      <c r="A1706" t="s">
        <v>6</v>
      </c>
      <c r="B1706" s="1">
        <v>45769</v>
      </c>
      <c r="C1706" t="s">
        <v>1850</v>
      </c>
      <c r="D1706">
        <v>-683.29</v>
      </c>
      <c r="E1706" t="s">
        <v>10</v>
      </c>
      <c r="F1706">
        <v>3178.78</v>
      </c>
      <c r="G1706" t="str" cm="1">
        <f t="array" ref="G1706">IF(AND(ISNUMBER(SEARCH("UBER",C1706)),ISNUMBER(SEARCH("EATS",C1706))),"Uber Eats",IF(LEFT(C1706,6)="CHECK ","Checks Paid",IF(OR(E1706="BILLPAY",ISNUMBER(SEARCH("FRANCHISE TAX",C1706)),ISNUMBER(SEARCH("NEXTLINK",C1706))),"Personal - House Bills",IF(AND(ISNUMBER(SEARCH("PAYMENT FROM",C1706)),ISNUMBER(SEARCH("JOE SAUNDERS",C1706))),"Zelle from Joe Saunders",IF(AND(ISNUMBER(SEARCH("PAYMENT TO",C1706)),ISNUMBER(SEARCH("JOE SAUNDERS",C1706))),"Zelle to Joe Saunders",IF(OR(ISNUMBER(SEARCH("NEW ORLEANS",C1706)),ISNUMBER(SEARCH("KENNER",C1706)),ISNUMBER(SEARCH("HENRY HOWARD",C1706)),ISNUMBER(SEARCH("MISS CLAUDIA",C1706))),"Personal Travel - New Orleans",IF(AND(YEAR(B1706)=2025,MONTH(B1706)=4,OR(ISNUMBER(SEARCH("EXCHANGE RATE",C1706)),ISNUMBER(SEARCH("EXCHG RTE",C1706)))),"Personal Travel - Italy",IFERROR(INDEX('Category Rules'!$B$2:$B$358,MATCH(TRUE,ISNUMBER(SEARCH('Category Rules'!$A$2:$A$358,C1706)),0)),""))))))))</f>
        <v>Personal - Shopping</v>
      </c>
    </row>
    <row r="1707" spans="1:7" x14ac:dyDescent="0.25">
      <c r="A1707" t="s">
        <v>6</v>
      </c>
      <c r="B1707" s="1">
        <v>45768</v>
      </c>
      <c r="C1707" t="s">
        <v>1851</v>
      </c>
      <c r="D1707">
        <v>-0.53</v>
      </c>
      <c r="E1707" t="s">
        <v>8</v>
      </c>
      <c r="F1707">
        <v>3862.07</v>
      </c>
      <c r="G1707" t="str" cm="1">
        <f t="array" ref="G1707">IF(AND(ISNUMBER(SEARCH("UBER",C1707)),ISNUMBER(SEARCH("EATS",C1707))),"Uber Eats",IF(LEFT(C1707,6)="CHECK ","Checks Paid",IF(OR(E1707="BILLPAY",ISNUMBER(SEARCH("FRANCHISE TAX",C1707)),ISNUMBER(SEARCH("NEXTLINK",C1707))),"Personal - House Bills",IF(AND(ISNUMBER(SEARCH("PAYMENT FROM",C1707)),ISNUMBER(SEARCH("JOE SAUNDERS",C1707))),"Zelle from Joe Saunders",IF(AND(ISNUMBER(SEARCH("PAYMENT TO",C1707)),ISNUMBER(SEARCH("JOE SAUNDERS",C1707))),"Zelle to Joe Saunders",IF(OR(ISNUMBER(SEARCH("NEW ORLEANS",C1707)),ISNUMBER(SEARCH("KENNER",C1707)),ISNUMBER(SEARCH("HENRY HOWARD",C1707)),ISNUMBER(SEARCH("MISS CLAUDIA",C1707))),"Personal Travel - New Orleans",IF(AND(YEAR(B1707)=2025,MONTH(B1707)=4,OR(ISNUMBER(SEARCH("EXCHANGE RATE",C1707)),ISNUMBER(SEARCH("EXCHG RTE",C1707)))),"Personal Travel - Italy",IFERROR(INDEX('Category Rules'!$B$2:$B$358,MATCH(TRUE,ISNUMBER(SEARCH('Category Rules'!$A$2:$A$358,C1707)),0)),""))))))))</f>
        <v>Personal Travel - Italy</v>
      </c>
    </row>
    <row r="1708" spans="1:7" x14ac:dyDescent="0.25">
      <c r="A1708" t="s">
        <v>6</v>
      </c>
      <c r="B1708" s="1">
        <v>45768</v>
      </c>
      <c r="C1708" t="s">
        <v>1852</v>
      </c>
      <c r="D1708">
        <v>-2.4900000000000002</v>
      </c>
      <c r="E1708" t="s">
        <v>8</v>
      </c>
      <c r="F1708">
        <v>3862.6</v>
      </c>
      <c r="G1708" t="str" cm="1">
        <f t="array" ref="G1708">IF(AND(ISNUMBER(SEARCH("UBER",C1708)),ISNUMBER(SEARCH("EATS",C1708))),"Uber Eats",IF(LEFT(C1708,6)="CHECK ","Checks Paid",IF(OR(E1708="BILLPAY",ISNUMBER(SEARCH("FRANCHISE TAX",C1708)),ISNUMBER(SEARCH("NEXTLINK",C1708))),"Personal - House Bills",IF(AND(ISNUMBER(SEARCH("PAYMENT FROM",C1708)),ISNUMBER(SEARCH("JOE SAUNDERS",C1708))),"Zelle from Joe Saunders",IF(AND(ISNUMBER(SEARCH("PAYMENT TO",C1708)),ISNUMBER(SEARCH("JOE SAUNDERS",C1708))),"Zelle to Joe Saunders",IF(OR(ISNUMBER(SEARCH("NEW ORLEANS",C1708)),ISNUMBER(SEARCH("KENNER",C1708)),ISNUMBER(SEARCH("HENRY HOWARD",C1708)),ISNUMBER(SEARCH("MISS CLAUDIA",C1708))),"Personal Travel - New Orleans",IF(AND(YEAR(B1708)=2025,MONTH(B1708)=4,OR(ISNUMBER(SEARCH("EXCHANGE RATE",C1708)),ISNUMBER(SEARCH("EXCHG RTE",C1708)))),"Personal Travel - Italy",IFERROR(INDEX('Category Rules'!$B$2:$B$358,MATCH(TRUE,ISNUMBER(SEARCH('Category Rules'!$A$2:$A$358,C1708)),0)),""))))))))</f>
        <v>Personal Travel - Italy</v>
      </c>
    </row>
    <row r="1709" spans="1:7" x14ac:dyDescent="0.25">
      <c r="A1709" t="s">
        <v>6</v>
      </c>
      <c r="B1709" s="1">
        <v>45768</v>
      </c>
      <c r="C1709" t="s">
        <v>1853</v>
      </c>
      <c r="D1709">
        <v>-2000</v>
      </c>
      <c r="E1709" t="s">
        <v>93</v>
      </c>
      <c r="F1709">
        <v>3865.09</v>
      </c>
      <c r="G1709" t="str" cm="1">
        <f t="array" ref="G1709">IF(AND(ISNUMBER(SEARCH("UBER",C1709)),ISNUMBER(SEARCH("EATS",C1709))),"Uber Eats",IF(LEFT(C1709,6)="CHECK ","Checks Paid",IF(OR(E1709="BILLPAY",ISNUMBER(SEARCH("FRANCHISE TAX",C1709)),ISNUMBER(SEARCH("NEXTLINK",C1709))),"Personal - House Bills",IF(AND(ISNUMBER(SEARCH("PAYMENT FROM",C1709)),ISNUMBER(SEARCH("JOE SAUNDERS",C1709))),"Zelle from Joe Saunders",IF(AND(ISNUMBER(SEARCH("PAYMENT TO",C1709)),ISNUMBER(SEARCH("JOE SAUNDERS",C1709))),"Zelle to Joe Saunders",IF(OR(ISNUMBER(SEARCH("NEW ORLEANS",C1709)),ISNUMBER(SEARCH("KENNER",C1709)),ISNUMBER(SEARCH("HENRY HOWARD",C1709)),ISNUMBER(SEARCH("MISS CLAUDIA",C1709))),"Personal Travel - New Orleans",IF(AND(YEAR(B1709)=2025,MONTH(B1709)=4,OR(ISNUMBER(SEARCH("EXCHANGE RATE",C1709)),ISNUMBER(SEARCH("EXCHG RTE",C1709)))),"Personal Travel - Italy",IFERROR(INDEX('Category Rules'!$B$2:$B$358,MATCH(TRUE,ISNUMBER(SEARCH('Category Rules'!$A$2:$A$358,C1709)),0)),""))))))))</f>
        <v>Withdrawal</v>
      </c>
    </row>
    <row r="1710" spans="1:7" x14ac:dyDescent="0.25">
      <c r="A1710" t="s">
        <v>6</v>
      </c>
      <c r="B1710" s="1">
        <v>45768</v>
      </c>
      <c r="C1710" t="s">
        <v>1854</v>
      </c>
      <c r="D1710">
        <v>-89.04</v>
      </c>
      <c r="E1710" t="s">
        <v>10</v>
      </c>
      <c r="F1710">
        <v>5865.09</v>
      </c>
      <c r="G1710" t="str" cm="1">
        <f t="array" ref="G1710">IF(AND(ISNUMBER(SEARCH("UBER",C1710)),ISNUMBER(SEARCH("EATS",C1710))),"Uber Eats",IF(LEFT(C1710,6)="CHECK ","Checks Paid",IF(OR(E1710="BILLPAY",ISNUMBER(SEARCH("FRANCHISE TAX",C1710)),ISNUMBER(SEARCH("NEXTLINK",C1710))),"Personal - House Bills",IF(AND(ISNUMBER(SEARCH("PAYMENT FROM",C1710)),ISNUMBER(SEARCH("JOE SAUNDERS",C1710))),"Zelle from Joe Saunders",IF(AND(ISNUMBER(SEARCH("PAYMENT TO",C1710)),ISNUMBER(SEARCH("JOE SAUNDERS",C1710))),"Zelle to Joe Saunders",IF(OR(ISNUMBER(SEARCH("NEW ORLEANS",C1710)),ISNUMBER(SEARCH("KENNER",C1710)),ISNUMBER(SEARCH("HENRY HOWARD",C1710)),ISNUMBER(SEARCH("MISS CLAUDIA",C1710))),"Personal Travel - New Orleans",IF(AND(YEAR(B1710)=2025,MONTH(B1710)=4,OR(ISNUMBER(SEARCH("EXCHANGE RATE",C1710)),ISNUMBER(SEARCH("EXCHG RTE",C1710)))),"Personal Travel - Italy",IFERROR(INDEX('Category Rules'!$B$2:$B$358,MATCH(TRUE,ISNUMBER(SEARCH('Category Rules'!$A$2:$A$358,C1710)),0)),""))))))))</f>
        <v>Uber Eats</v>
      </c>
    </row>
    <row r="1711" spans="1:7" x14ac:dyDescent="0.25">
      <c r="A1711" t="s">
        <v>6</v>
      </c>
      <c r="B1711" s="1">
        <v>45768</v>
      </c>
      <c r="C1711" t="s">
        <v>1855</v>
      </c>
      <c r="D1711">
        <v>-1000</v>
      </c>
      <c r="E1711" t="s">
        <v>73</v>
      </c>
      <c r="F1711">
        <v>5954.13</v>
      </c>
      <c r="G1711" t="str" cm="1">
        <f t="array" ref="G1711">IF(AND(ISNUMBER(SEARCH("UBER",C1711)),ISNUMBER(SEARCH("EATS",C1711))),"Uber Eats",IF(LEFT(C1711,6)="CHECK ","Checks Paid",IF(OR(E1711="BILLPAY",ISNUMBER(SEARCH("FRANCHISE TAX",C1711)),ISNUMBER(SEARCH("NEXTLINK",C1711))),"Personal - House Bills",IF(AND(ISNUMBER(SEARCH("PAYMENT FROM",C1711)),ISNUMBER(SEARCH("JOE SAUNDERS",C1711))),"Zelle from Joe Saunders",IF(AND(ISNUMBER(SEARCH("PAYMENT TO",C1711)),ISNUMBER(SEARCH("JOE SAUNDERS",C1711))),"Zelle to Joe Saunders",IF(OR(ISNUMBER(SEARCH("NEW ORLEANS",C1711)),ISNUMBER(SEARCH("KENNER",C1711)),ISNUMBER(SEARCH("HENRY HOWARD",C1711)),ISNUMBER(SEARCH("MISS CLAUDIA",C1711))),"Personal Travel - New Orleans",IF(AND(YEAR(B1711)=2025,MONTH(B1711)=4,OR(ISNUMBER(SEARCH("EXCHANGE RATE",C1711)),ISNUMBER(SEARCH("EXCHG RTE",C1711)))),"Personal Travel - Italy",IFERROR(INDEX('Category Rules'!$B$2:$B$358,MATCH(TRUE,ISNUMBER(SEARCH('Category Rules'!$A$2:$A$358,C1711)),0)),""))))))))</f>
        <v>Transfer to Ava</v>
      </c>
    </row>
    <row r="1712" spans="1:7" x14ac:dyDescent="0.25">
      <c r="A1712" t="s">
        <v>6</v>
      </c>
      <c r="B1712" s="1">
        <v>45768</v>
      </c>
      <c r="C1712" t="s">
        <v>1856</v>
      </c>
      <c r="D1712">
        <v>-780</v>
      </c>
      <c r="E1712" t="s">
        <v>10</v>
      </c>
      <c r="F1712">
        <v>6954.13</v>
      </c>
      <c r="G1712" t="str" cm="1">
        <f t="array" ref="G1712">IF(AND(ISNUMBER(SEARCH("UBER",C1712)),ISNUMBER(SEARCH("EATS",C1712))),"Uber Eats",IF(LEFT(C1712,6)="CHECK ","Checks Paid",IF(OR(E1712="BILLPAY",ISNUMBER(SEARCH("FRANCHISE TAX",C1712)),ISNUMBER(SEARCH("NEXTLINK",C1712))),"Personal - House Bills",IF(AND(ISNUMBER(SEARCH("PAYMENT FROM",C1712)),ISNUMBER(SEARCH("JOE SAUNDERS",C1712))),"Zelle from Joe Saunders",IF(AND(ISNUMBER(SEARCH("PAYMENT TO",C1712)),ISNUMBER(SEARCH("JOE SAUNDERS",C1712))),"Zelle to Joe Saunders",IF(OR(ISNUMBER(SEARCH("NEW ORLEANS",C1712)),ISNUMBER(SEARCH("KENNER",C1712)),ISNUMBER(SEARCH("HENRY HOWARD",C1712)),ISNUMBER(SEARCH("MISS CLAUDIA",C1712))),"Personal Travel - New Orleans",IF(AND(YEAR(B1712)=2025,MONTH(B1712)=4,OR(ISNUMBER(SEARCH("EXCHANGE RATE",C1712)),ISNUMBER(SEARCH("EXCHG RTE",C1712)))),"Personal Travel - Italy",IFERROR(INDEX('Category Rules'!$B$2:$B$358,MATCH(TRUE,ISNUMBER(SEARCH('Category Rules'!$A$2:$A$358,C1712)),0)),""))))))))</f>
        <v>Personal - Car</v>
      </c>
    </row>
    <row r="1713" spans="1:7" x14ac:dyDescent="0.25">
      <c r="A1713" t="s">
        <v>6</v>
      </c>
      <c r="B1713" s="1">
        <v>45768</v>
      </c>
      <c r="C1713" t="s">
        <v>1857</v>
      </c>
      <c r="D1713">
        <v>-20.91</v>
      </c>
      <c r="E1713" t="s">
        <v>10</v>
      </c>
      <c r="F1713">
        <v>7734.13</v>
      </c>
      <c r="G1713" t="str" cm="1">
        <f t="array" ref="G1713">IF(AND(ISNUMBER(SEARCH("UBER",C1713)),ISNUMBER(SEARCH("EATS",C1713))),"Uber Eats",IF(LEFT(C1713,6)="CHECK ","Checks Paid",IF(OR(E1713="BILLPAY",ISNUMBER(SEARCH("FRANCHISE TAX",C1713)),ISNUMBER(SEARCH("NEXTLINK",C1713))),"Personal - House Bills",IF(AND(ISNUMBER(SEARCH("PAYMENT FROM",C1713)),ISNUMBER(SEARCH("JOE SAUNDERS",C1713))),"Zelle from Joe Saunders",IF(AND(ISNUMBER(SEARCH("PAYMENT TO",C1713)),ISNUMBER(SEARCH("JOE SAUNDERS",C1713))),"Zelle to Joe Saunders",IF(OR(ISNUMBER(SEARCH("NEW ORLEANS",C1713)),ISNUMBER(SEARCH("KENNER",C1713)),ISNUMBER(SEARCH("HENRY HOWARD",C1713)),ISNUMBER(SEARCH("MISS CLAUDIA",C1713))),"Personal Travel - New Orleans",IF(AND(YEAR(B1713)=2025,MONTH(B1713)=4,OR(ISNUMBER(SEARCH("EXCHANGE RATE",C1713)),ISNUMBER(SEARCH("EXCHG RTE",C1713)))),"Personal Travel - Italy",IFERROR(INDEX('Category Rules'!$B$2:$B$358,MATCH(TRUE,ISNUMBER(SEARCH('Category Rules'!$A$2:$A$358,C1713)),0)),""))))))))</f>
        <v>Personal - Uber</v>
      </c>
    </row>
    <row r="1714" spans="1:7" x14ac:dyDescent="0.25">
      <c r="A1714" t="s">
        <v>6</v>
      </c>
      <c r="B1714" s="1">
        <v>45768</v>
      </c>
      <c r="C1714" t="s">
        <v>1858</v>
      </c>
      <c r="D1714">
        <v>-149.96</v>
      </c>
      <c r="E1714" t="s">
        <v>10</v>
      </c>
      <c r="F1714">
        <v>7755.04</v>
      </c>
      <c r="G1714" t="str" cm="1">
        <f t="array" ref="G1714">IF(AND(ISNUMBER(SEARCH("UBER",C1714)),ISNUMBER(SEARCH("EATS",C1714))),"Uber Eats",IF(LEFT(C1714,6)="CHECK ","Checks Paid",IF(OR(E1714="BILLPAY",ISNUMBER(SEARCH("FRANCHISE TAX",C1714)),ISNUMBER(SEARCH("NEXTLINK",C1714))),"Personal - House Bills",IF(AND(ISNUMBER(SEARCH("PAYMENT FROM",C1714)),ISNUMBER(SEARCH("JOE SAUNDERS",C1714))),"Zelle from Joe Saunders",IF(AND(ISNUMBER(SEARCH("PAYMENT TO",C1714)),ISNUMBER(SEARCH("JOE SAUNDERS",C1714))),"Zelle to Joe Saunders",IF(OR(ISNUMBER(SEARCH("NEW ORLEANS",C1714)),ISNUMBER(SEARCH("KENNER",C1714)),ISNUMBER(SEARCH("HENRY HOWARD",C1714)),ISNUMBER(SEARCH("MISS CLAUDIA",C1714))),"Personal Travel - New Orleans",IF(AND(YEAR(B1714)=2025,MONTH(B1714)=4,OR(ISNUMBER(SEARCH("EXCHANGE RATE",C1714)),ISNUMBER(SEARCH("EXCHG RTE",C1714)))),"Personal Travel - Italy",IFERROR(INDEX('Category Rules'!$B$2:$B$358,MATCH(TRUE,ISNUMBER(SEARCH('Category Rules'!$A$2:$A$358,C1714)),0)),""))))))))</f>
        <v>Personal - House Bills</v>
      </c>
    </row>
    <row r="1715" spans="1:7" x14ac:dyDescent="0.25">
      <c r="A1715" t="s">
        <v>6</v>
      </c>
      <c r="B1715" s="1">
        <v>45768</v>
      </c>
      <c r="C1715" t="s">
        <v>1859</v>
      </c>
      <c r="D1715">
        <v>-218.36</v>
      </c>
      <c r="E1715" t="s">
        <v>10</v>
      </c>
      <c r="F1715">
        <v>7905</v>
      </c>
      <c r="G1715" t="str" cm="1">
        <f t="array" ref="G1715">IF(AND(ISNUMBER(SEARCH("UBER",C1715)),ISNUMBER(SEARCH("EATS",C1715))),"Uber Eats",IF(LEFT(C1715,6)="CHECK ","Checks Paid",IF(OR(E1715="BILLPAY",ISNUMBER(SEARCH("FRANCHISE TAX",C1715)),ISNUMBER(SEARCH("NEXTLINK",C1715))),"Personal - House Bills",IF(AND(ISNUMBER(SEARCH("PAYMENT FROM",C1715)),ISNUMBER(SEARCH("JOE SAUNDERS",C1715))),"Zelle from Joe Saunders",IF(AND(ISNUMBER(SEARCH("PAYMENT TO",C1715)),ISNUMBER(SEARCH("JOE SAUNDERS",C1715))),"Zelle to Joe Saunders",IF(OR(ISNUMBER(SEARCH("NEW ORLEANS",C1715)),ISNUMBER(SEARCH("KENNER",C1715)),ISNUMBER(SEARCH("HENRY HOWARD",C1715)),ISNUMBER(SEARCH("MISS CLAUDIA",C1715))),"Personal Travel - New Orleans",IF(AND(YEAR(B1715)=2025,MONTH(B1715)=4,OR(ISNUMBER(SEARCH("EXCHANGE RATE",C1715)),ISNUMBER(SEARCH("EXCHG RTE",C1715)))),"Personal Travel - Italy",IFERROR(INDEX('Category Rules'!$B$2:$B$358,MATCH(TRUE,ISNUMBER(SEARCH('Category Rules'!$A$2:$A$358,C1715)),0)),""))))))))</f>
        <v>Personal - Food</v>
      </c>
    </row>
    <row r="1716" spans="1:7" x14ac:dyDescent="0.25">
      <c r="A1716" t="s">
        <v>6</v>
      </c>
      <c r="B1716" s="1">
        <v>45768</v>
      </c>
      <c r="C1716" t="s">
        <v>1860</v>
      </c>
      <c r="D1716">
        <v>-190.13</v>
      </c>
      <c r="E1716" t="s">
        <v>10</v>
      </c>
      <c r="F1716">
        <v>8123.36</v>
      </c>
      <c r="G1716" t="str" cm="1">
        <f t="array" ref="G1716">IF(AND(ISNUMBER(SEARCH("UBER",C1716)),ISNUMBER(SEARCH("EATS",C1716))),"Uber Eats",IF(LEFT(C1716,6)="CHECK ","Checks Paid",IF(OR(E1716="BILLPAY",ISNUMBER(SEARCH("FRANCHISE TAX",C1716)),ISNUMBER(SEARCH("NEXTLINK",C1716))),"Personal - House Bills",IF(AND(ISNUMBER(SEARCH("PAYMENT FROM",C1716)),ISNUMBER(SEARCH("JOE SAUNDERS",C1716))),"Zelle from Joe Saunders",IF(AND(ISNUMBER(SEARCH("PAYMENT TO",C1716)),ISNUMBER(SEARCH("JOE SAUNDERS",C1716))),"Zelle to Joe Saunders",IF(OR(ISNUMBER(SEARCH("NEW ORLEANS",C1716)),ISNUMBER(SEARCH("KENNER",C1716)),ISNUMBER(SEARCH("HENRY HOWARD",C1716)),ISNUMBER(SEARCH("MISS CLAUDIA",C1716))),"Personal Travel - New Orleans",IF(AND(YEAR(B1716)=2025,MONTH(B1716)=4,OR(ISNUMBER(SEARCH("EXCHANGE RATE",C1716)),ISNUMBER(SEARCH("EXCHG RTE",C1716)))),"Personal Travel - Italy",IFERROR(INDEX('Category Rules'!$B$2:$B$358,MATCH(TRUE,ISNUMBER(SEARCH('Category Rules'!$A$2:$A$358,C1716)),0)),""))))))))</f>
        <v>Personal - Food</v>
      </c>
    </row>
    <row r="1717" spans="1:7" x14ac:dyDescent="0.25">
      <c r="A1717" t="s">
        <v>6</v>
      </c>
      <c r="B1717" s="1">
        <v>45768</v>
      </c>
      <c r="C1717" t="s">
        <v>1861</v>
      </c>
      <c r="D1717">
        <v>-3</v>
      </c>
      <c r="E1717" t="s">
        <v>10</v>
      </c>
      <c r="F1717">
        <v>8313.49</v>
      </c>
      <c r="G1717" t="str" cm="1">
        <f t="array" ref="G1717">IF(AND(ISNUMBER(SEARCH("UBER",C1717)),ISNUMBER(SEARCH("EATS",C1717))),"Uber Eats",IF(LEFT(C1717,6)="CHECK ","Checks Paid",IF(OR(E1717="BILLPAY",ISNUMBER(SEARCH("FRANCHISE TAX",C1717)),ISNUMBER(SEARCH("NEXTLINK",C1717))),"Personal - House Bills",IF(AND(ISNUMBER(SEARCH("PAYMENT FROM",C1717)),ISNUMBER(SEARCH("JOE SAUNDERS",C1717))),"Zelle from Joe Saunders",IF(AND(ISNUMBER(SEARCH("PAYMENT TO",C1717)),ISNUMBER(SEARCH("JOE SAUNDERS",C1717))),"Zelle to Joe Saunders",IF(OR(ISNUMBER(SEARCH("NEW ORLEANS",C1717)),ISNUMBER(SEARCH("KENNER",C1717)),ISNUMBER(SEARCH("HENRY HOWARD",C1717)),ISNUMBER(SEARCH("MISS CLAUDIA",C1717))),"Personal Travel - New Orleans",IF(AND(YEAR(B1717)=2025,MONTH(B1717)=4,OR(ISNUMBER(SEARCH("EXCHANGE RATE",C1717)),ISNUMBER(SEARCH("EXCHG RTE",C1717)))),"Personal Travel - Italy",IFERROR(INDEX('Category Rules'!$B$2:$B$358,MATCH(TRUE,ISNUMBER(SEARCH('Category Rules'!$A$2:$A$358,C1717)),0)),""))))))))</f>
        <v>Personal - Uber</v>
      </c>
    </row>
    <row r="1718" spans="1:7" x14ac:dyDescent="0.25">
      <c r="A1718" t="s">
        <v>6</v>
      </c>
      <c r="B1718" s="1">
        <v>45768</v>
      </c>
      <c r="C1718" t="s">
        <v>1862</v>
      </c>
      <c r="D1718">
        <v>-22.96</v>
      </c>
      <c r="E1718" t="s">
        <v>10</v>
      </c>
      <c r="F1718">
        <v>8316.49</v>
      </c>
      <c r="G1718" t="str" cm="1">
        <f t="array" ref="G1718">IF(AND(ISNUMBER(SEARCH("UBER",C1718)),ISNUMBER(SEARCH("EATS",C1718))),"Uber Eats",IF(LEFT(C1718,6)="CHECK ","Checks Paid",IF(OR(E1718="BILLPAY",ISNUMBER(SEARCH("FRANCHISE TAX",C1718)),ISNUMBER(SEARCH("NEXTLINK",C1718))),"Personal - House Bills",IF(AND(ISNUMBER(SEARCH("PAYMENT FROM",C1718)),ISNUMBER(SEARCH("JOE SAUNDERS",C1718))),"Zelle from Joe Saunders",IF(AND(ISNUMBER(SEARCH("PAYMENT TO",C1718)),ISNUMBER(SEARCH("JOE SAUNDERS",C1718))),"Zelle to Joe Saunders",IF(OR(ISNUMBER(SEARCH("NEW ORLEANS",C1718)),ISNUMBER(SEARCH("KENNER",C1718)),ISNUMBER(SEARCH("HENRY HOWARD",C1718)),ISNUMBER(SEARCH("MISS CLAUDIA",C1718))),"Personal Travel - New Orleans",IF(AND(YEAR(B1718)=2025,MONTH(B1718)=4,OR(ISNUMBER(SEARCH("EXCHANGE RATE",C1718)),ISNUMBER(SEARCH("EXCHG RTE",C1718)))),"Personal Travel - Italy",IFERROR(INDEX('Category Rules'!$B$2:$B$358,MATCH(TRUE,ISNUMBER(SEARCH('Category Rules'!$A$2:$A$358,C1718)),0)),""))))))))</f>
        <v>Personal - Uber</v>
      </c>
    </row>
    <row r="1719" spans="1:7" x14ac:dyDescent="0.25">
      <c r="A1719" t="s">
        <v>6</v>
      </c>
      <c r="B1719" s="1">
        <v>45768</v>
      </c>
      <c r="C1719" t="s">
        <v>2036</v>
      </c>
      <c r="D1719">
        <v>-30.25</v>
      </c>
      <c r="E1719" t="s">
        <v>10</v>
      </c>
      <c r="F1719">
        <v>8339.4500000000007</v>
      </c>
      <c r="G1719" t="str" cm="1">
        <f t="array" ref="G1719">IF(AND(ISNUMBER(SEARCH("UBER",C1719)),ISNUMBER(SEARCH("EATS",C1719))),"Uber Eats",IF(LEFT(C1719,6)="CHECK ","Checks Paid",IF(OR(E1719="BILLPAY",ISNUMBER(SEARCH("FRANCHISE TAX",C1719)),ISNUMBER(SEARCH("NEXTLINK",C1719))),"Personal - House Bills",IF(AND(ISNUMBER(SEARCH("PAYMENT FROM",C1719)),ISNUMBER(SEARCH("JOE SAUNDERS",C1719))),"Zelle from Joe Saunders",IF(AND(ISNUMBER(SEARCH("PAYMENT TO",C1719)),ISNUMBER(SEARCH("JOE SAUNDERS",C1719))),"Zelle to Joe Saunders",IF(OR(ISNUMBER(SEARCH("NEW ORLEANS",C1719)),ISNUMBER(SEARCH("KENNER",C1719)),ISNUMBER(SEARCH("HENRY HOWARD",C1719)),ISNUMBER(SEARCH("MISS CLAUDIA",C1719))),"Personal Travel - New Orleans",IF(AND(YEAR(B1719)=2025,MONTH(B1719)=4,OR(ISNUMBER(SEARCH("EXCHANGE RATE",C1719)),ISNUMBER(SEARCH("EXCHG RTE",C1719)))),"Personal Travel - Italy",IFERROR(INDEX('Category Rules'!$B$2:$B$358,MATCH(TRUE,ISNUMBER(SEARCH('Category Rules'!$A$2:$A$358,C1719)),0)),""))))))))</f>
        <v>Personal - Uber</v>
      </c>
    </row>
    <row r="1720" spans="1:7" x14ac:dyDescent="0.25">
      <c r="A1720" t="s">
        <v>6</v>
      </c>
      <c r="B1720" s="1">
        <v>45768</v>
      </c>
      <c r="C1720" t="s">
        <v>1863</v>
      </c>
      <c r="D1720">
        <v>-7.67</v>
      </c>
      <c r="E1720" t="s">
        <v>10</v>
      </c>
      <c r="F1720">
        <v>8369.7000000000007</v>
      </c>
      <c r="G1720" t="str" cm="1">
        <f t="array" ref="G1720">IF(AND(ISNUMBER(SEARCH("UBER",C1720)),ISNUMBER(SEARCH("EATS",C1720))),"Uber Eats",IF(LEFT(C1720,6)="CHECK ","Checks Paid",IF(OR(E1720="BILLPAY",ISNUMBER(SEARCH("FRANCHISE TAX",C1720)),ISNUMBER(SEARCH("NEXTLINK",C1720))),"Personal - House Bills",IF(AND(ISNUMBER(SEARCH("PAYMENT FROM",C1720)),ISNUMBER(SEARCH("JOE SAUNDERS",C1720))),"Zelle from Joe Saunders",IF(AND(ISNUMBER(SEARCH("PAYMENT TO",C1720)),ISNUMBER(SEARCH("JOE SAUNDERS",C1720))),"Zelle to Joe Saunders",IF(OR(ISNUMBER(SEARCH("NEW ORLEANS",C1720)),ISNUMBER(SEARCH("KENNER",C1720)),ISNUMBER(SEARCH("HENRY HOWARD",C1720)),ISNUMBER(SEARCH("MISS CLAUDIA",C1720))),"Personal Travel - New Orleans",IF(AND(YEAR(B1720)=2025,MONTH(B1720)=4,OR(ISNUMBER(SEARCH("EXCHANGE RATE",C1720)),ISNUMBER(SEARCH("EXCHG RTE",C1720)))),"Personal Travel - Italy",IFERROR(INDEX('Category Rules'!$B$2:$B$358,MATCH(TRUE,ISNUMBER(SEARCH('Category Rules'!$A$2:$A$358,C1720)),0)),""))))))))</f>
        <v>Amazon</v>
      </c>
    </row>
    <row r="1721" spans="1:7" x14ac:dyDescent="0.25">
      <c r="A1721" t="s">
        <v>6</v>
      </c>
      <c r="B1721" s="1">
        <v>45768</v>
      </c>
      <c r="C1721" t="s">
        <v>1864</v>
      </c>
      <c r="D1721">
        <v>-83.3</v>
      </c>
      <c r="E1721" t="s">
        <v>10</v>
      </c>
      <c r="F1721">
        <v>8377.3700000000008</v>
      </c>
      <c r="G1721" t="str" cm="1">
        <f t="array" ref="G1721">IF(AND(ISNUMBER(SEARCH("UBER",C1721)),ISNUMBER(SEARCH("EATS",C1721))),"Uber Eats",IF(LEFT(C1721,6)="CHECK ","Checks Paid",IF(OR(E1721="BILLPAY",ISNUMBER(SEARCH("FRANCHISE TAX",C1721)),ISNUMBER(SEARCH("NEXTLINK",C1721))),"Personal - House Bills",IF(AND(ISNUMBER(SEARCH("PAYMENT FROM",C1721)),ISNUMBER(SEARCH("JOE SAUNDERS",C1721))),"Zelle from Joe Saunders",IF(AND(ISNUMBER(SEARCH("PAYMENT TO",C1721)),ISNUMBER(SEARCH("JOE SAUNDERS",C1721))),"Zelle to Joe Saunders",IF(OR(ISNUMBER(SEARCH("NEW ORLEANS",C1721)),ISNUMBER(SEARCH("KENNER",C1721)),ISNUMBER(SEARCH("HENRY HOWARD",C1721)),ISNUMBER(SEARCH("MISS CLAUDIA",C1721))),"Personal Travel - New Orleans",IF(AND(YEAR(B1721)=2025,MONTH(B1721)=4,OR(ISNUMBER(SEARCH("EXCHANGE RATE",C1721)),ISNUMBER(SEARCH("EXCHG RTE",C1721)))),"Personal Travel - Italy",IFERROR(INDEX('Category Rules'!$B$2:$B$358,MATCH(TRUE,ISNUMBER(SEARCH('Category Rules'!$A$2:$A$358,C1721)),0)),""))))))))</f>
        <v>Personal Travel - Italy</v>
      </c>
    </row>
    <row r="1722" spans="1:7" x14ac:dyDescent="0.25">
      <c r="A1722" t="s">
        <v>6</v>
      </c>
      <c r="B1722" s="1">
        <v>45768</v>
      </c>
      <c r="C1722" t="s">
        <v>1865</v>
      </c>
      <c r="D1722">
        <v>-17.690000000000001</v>
      </c>
      <c r="E1722" t="s">
        <v>10</v>
      </c>
      <c r="F1722">
        <v>8460.67</v>
      </c>
      <c r="G1722" t="str" cm="1">
        <f t="array" ref="G1722">IF(AND(ISNUMBER(SEARCH("UBER",C1722)),ISNUMBER(SEARCH("EATS",C1722))),"Uber Eats",IF(LEFT(C1722,6)="CHECK ","Checks Paid",IF(OR(E1722="BILLPAY",ISNUMBER(SEARCH("FRANCHISE TAX",C1722)),ISNUMBER(SEARCH("NEXTLINK",C1722))),"Personal - House Bills",IF(AND(ISNUMBER(SEARCH("PAYMENT FROM",C1722)),ISNUMBER(SEARCH("JOE SAUNDERS",C1722))),"Zelle from Joe Saunders",IF(AND(ISNUMBER(SEARCH("PAYMENT TO",C1722)),ISNUMBER(SEARCH("JOE SAUNDERS",C1722))),"Zelle to Joe Saunders",IF(OR(ISNUMBER(SEARCH("NEW ORLEANS",C1722)),ISNUMBER(SEARCH("KENNER",C1722)),ISNUMBER(SEARCH("HENRY HOWARD",C1722)),ISNUMBER(SEARCH("MISS CLAUDIA",C1722))),"Personal Travel - New Orleans",IF(AND(YEAR(B1722)=2025,MONTH(B1722)=4,OR(ISNUMBER(SEARCH("EXCHANGE RATE",C1722)),ISNUMBER(SEARCH("EXCHG RTE",C1722)))),"Personal Travel - Italy",IFERROR(INDEX('Category Rules'!$B$2:$B$358,MATCH(TRUE,ISNUMBER(SEARCH('Category Rules'!$A$2:$A$358,C1722)),0)),""))))))))</f>
        <v>Personal Travel - Italy</v>
      </c>
    </row>
    <row r="1723" spans="1:7" x14ac:dyDescent="0.25">
      <c r="A1723" t="s">
        <v>44</v>
      </c>
      <c r="B1723" s="1">
        <v>45768</v>
      </c>
      <c r="C1723" t="s">
        <v>1866</v>
      </c>
      <c r="D1723">
        <v>2000</v>
      </c>
      <c r="E1723" t="s">
        <v>73</v>
      </c>
      <c r="F1723">
        <v>8478.36</v>
      </c>
      <c r="G1723" t="str" cm="1">
        <f t="array" ref="G1723">IF(AND(ISNUMBER(SEARCH("UBER",C1723)),ISNUMBER(SEARCH("EATS",C1723))),"Uber Eats",IF(LEFT(C1723,6)="CHECK ","Checks Paid",IF(OR(E1723="BILLPAY",ISNUMBER(SEARCH("FRANCHISE TAX",C1723)),ISNUMBER(SEARCH("NEXTLINK",C1723))),"Personal - House Bills",IF(AND(ISNUMBER(SEARCH("PAYMENT FROM",C1723)),ISNUMBER(SEARCH("JOE SAUNDERS",C1723))),"Zelle from Joe Saunders",IF(AND(ISNUMBER(SEARCH("PAYMENT TO",C1723)),ISNUMBER(SEARCH("JOE SAUNDERS",C1723))),"Zelle to Joe Saunders",IF(OR(ISNUMBER(SEARCH("NEW ORLEANS",C1723)),ISNUMBER(SEARCH("KENNER",C1723)),ISNUMBER(SEARCH("HENRY HOWARD",C1723)),ISNUMBER(SEARCH("MISS CLAUDIA",C1723))),"Personal Travel - New Orleans",IF(AND(YEAR(B1723)=2025,MONTH(B1723)=4,OR(ISNUMBER(SEARCH("EXCHANGE RATE",C1723)),ISNUMBER(SEARCH("EXCHG RTE",C1723)))),"Personal Travel - Italy",IFERROR(INDEX('Category Rules'!$B$2:$B$358,MATCH(TRUE,ISNUMBER(SEARCH('Category Rules'!$A$2:$A$358,C1723)),0)),""))))))))</f>
        <v>Transfer from DWG Capital Group</v>
      </c>
    </row>
    <row r="1724" spans="1:7" x14ac:dyDescent="0.25">
      <c r="A1724" t="s">
        <v>6</v>
      </c>
      <c r="B1724" s="1">
        <v>45765</v>
      </c>
      <c r="C1724" t="s">
        <v>21</v>
      </c>
      <c r="D1724">
        <v>-5</v>
      </c>
      <c r="E1724" t="s">
        <v>8</v>
      </c>
      <c r="F1724">
        <v>6478.36</v>
      </c>
      <c r="G1724" t="str" cm="1">
        <f t="array" ref="G1724">IF(AND(ISNUMBER(SEARCH("UBER",C1724)),ISNUMBER(SEARCH("EATS",C1724))),"Uber Eats",IF(LEFT(C1724,6)="CHECK ","Checks Paid",IF(OR(E1724="BILLPAY",ISNUMBER(SEARCH("FRANCHISE TAX",C1724)),ISNUMBER(SEARCH("NEXTLINK",C1724))),"Personal - House Bills",IF(AND(ISNUMBER(SEARCH("PAYMENT FROM",C1724)),ISNUMBER(SEARCH("JOE SAUNDERS",C1724))),"Zelle from Joe Saunders",IF(AND(ISNUMBER(SEARCH("PAYMENT TO",C1724)),ISNUMBER(SEARCH("JOE SAUNDERS",C1724))),"Zelle to Joe Saunders",IF(OR(ISNUMBER(SEARCH("NEW ORLEANS",C1724)),ISNUMBER(SEARCH("KENNER",C1724)),ISNUMBER(SEARCH("HENRY HOWARD",C1724)),ISNUMBER(SEARCH("MISS CLAUDIA",C1724))),"Personal Travel - New Orleans",IF(AND(YEAR(B1724)=2025,MONTH(B1724)=4,OR(ISNUMBER(SEARCH("EXCHANGE RATE",C1724)),ISNUMBER(SEARCH("EXCHG RTE",C1724)))),"Personal Travel - Italy",IFERROR(INDEX('Category Rules'!$B$2:$B$358,MATCH(TRUE,ISNUMBER(SEARCH('Category Rules'!$A$2:$A$358,C1724)),0)),""))))))))</f>
        <v>Bank Fees</v>
      </c>
    </row>
    <row r="1725" spans="1:7" x14ac:dyDescent="0.25">
      <c r="A1725" t="s">
        <v>6</v>
      </c>
      <c r="B1725" s="1">
        <v>45765</v>
      </c>
      <c r="C1725" t="s">
        <v>1867</v>
      </c>
      <c r="D1725">
        <v>-10.27</v>
      </c>
      <c r="E1725" t="s">
        <v>8</v>
      </c>
      <c r="F1725">
        <v>6483.36</v>
      </c>
      <c r="G1725" t="str" cm="1">
        <f t="array" ref="G1725">IF(AND(ISNUMBER(SEARCH("UBER",C1725)),ISNUMBER(SEARCH("EATS",C1725))),"Uber Eats",IF(LEFT(C1725,6)="CHECK ","Checks Paid",IF(OR(E1725="BILLPAY",ISNUMBER(SEARCH("FRANCHISE TAX",C1725)),ISNUMBER(SEARCH("NEXTLINK",C1725))),"Personal - House Bills",IF(AND(ISNUMBER(SEARCH("PAYMENT FROM",C1725)),ISNUMBER(SEARCH("JOE SAUNDERS",C1725))),"Zelle from Joe Saunders",IF(AND(ISNUMBER(SEARCH("PAYMENT TO",C1725)),ISNUMBER(SEARCH("JOE SAUNDERS",C1725))),"Zelle to Joe Saunders",IF(OR(ISNUMBER(SEARCH("NEW ORLEANS",C1725)),ISNUMBER(SEARCH("KENNER",C1725)),ISNUMBER(SEARCH("HENRY HOWARD",C1725)),ISNUMBER(SEARCH("MISS CLAUDIA",C1725))),"Personal Travel - New Orleans",IF(AND(YEAR(B1725)=2025,MONTH(B1725)=4,OR(ISNUMBER(SEARCH("EXCHANGE RATE",C1725)),ISNUMBER(SEARCH("EXCHG RTE",C1725)))),"Personal Travel - Italy",IFERROR(INDEX('Category Rules'!$B$2:$B$358,MATCH(TRUE,ISNUMBER(SEARCH('Category Rules'!$A$2:$A$358,C1725)),0)),""))))))))</f>
        <v>Personal Travel - Italy</v>
      </c>
    </row>
    <row r="1726" spans="1:7" x14ac:dyDescent="0.25">
      <c r="A1726" t="s">
        <v>6</v>
      </c>
      <c r="B1726" s="1">
        <v>45765</v>
      </c>
      <c r="C1726" t="s">
        <v>1868</v>
      </c>
      <c r="D1726">
        <v>-48.95</v>
      </c>
      <c r="E1726" t="s">
        <v>10</v>
      </c>
      <c r="F1726">
        <v>6493.63</v>
      </c>
      <c r="G1726" t="str" cm="1">
        <f t="array" ref="G1726">IF(AND(ISNUMBER(SEARCH("UBER",C1726)),ISNUMBER(SEARCH("EATS",C1726))),"Uber Eats",IF(LEFT(C1726,6)="CHECK ","Checks Paid",IF(OR(E1726="BILLPAY",ISNUMBER(SEARCH("FRANCHISE TAX",C1726)),ISNUMBER(SEARCH("NEXTLINK",C1726))),"Personal - House Bills",IF(AND(ISNUMBER(SEARCH("PAYMENT FROM",C1726)),ISNUMBER(SEARCH("JOE SAUNDERS",C1726))),"Zelle from Joe Saunders",IF(AND(ISNUMBER(SEARCH("PAYMENT TO",C1726)),ISNUMBER(SEARCH("JOE SAUNDERS",C1726))),"Zelle to Joe Saunders",IF(OR(ISNUMBER(SEARCH("NEW ORLEANS",C1726)),ISNUMBER(SEARCH("KENNER",C1726)),ISNUMBER(SEARCH("HENRY HOWARD",C1726)),ISNUMBER(SEARCH("MISS CLAUDIA",C1726))),"Personal Travel - New Orleans",IF(AND(YEAR(B1726)=2025,MONTH(B1726)=4,OR(ISNUMBER(SEARCH("EXCHANGE RATE",C1726)),ISNUMBER(SEARCH("EXCHG RTE",C1726)))),"Personal Travel - Italy",IFERROR(INDEX('Category Rules'!$B$2:$B$358,MATCH(TRUE,ISNUMBER(SEARCH('Category Rules'!$A$2:$A$358,C1726)),0)),""))))))))</f>
        <v>Personal - Uber</v>
      </c>
    </row>
    <row r="1727" spans="1:7" x14ac:dyDescent="0.25">
      <c r="A1727" t="s">
        <v>6</v>
      </c>
      <c r="B1727" s="1">
        <v>45765</v>
      </c>
      <c r="C1727" t="s">
        <v>1869</v>
      </c>
      <c r="D1727">
        <v>-342.33</v>
      </c>
      <c r="E1727" t="s">
        <v>26</v>
      </c>
      <c r="F1727">
        <v>6542.58</v>
      </c>
      <c r="G1727" t="str" cm="1">
        <f t="array" ref="G1727">IF(AND(ISNUMBER(SEARCH("UBER",C1727)),ISNUMBER(SEARCH("EATS",C1727))),"Uber Eats",IF(LEFT(C1727,6)="CHECK ","Checks Paid",IF(OR(E1727="BILLPAY",ISNUMBER(SEARCH("FRANCHISE TAX",C1727)),ISNUMBER(SEARCH("NEXTLINK",C1727))),"Personal - House Bills",IF(AND(ISNUMBER(SEARCH("PAYMENT FROM",C1727)),ISNUMBER(SEARCH("JOE SAUNDERS",C1727))),"Zelle from Joe Saunders",IF(AND(ISNUMBER(SEARCH("PAYMENT TO",C1727)),ISNUMBER(SEARCH("JOE SAUNDERS",C1727))),"Zelle to Joe Saunders",IF(OR(ISNUMBER(SEARCH("NEW ORLEANS",C1727)),ISNUMBER(SEARCH("KENNER",C1727)),ISNUMBER(SEARCH("HENRY HOWARD",C1727)),ISNUMBER(SEARCH("MISS CLAUDIA",C1727))),"Personal Travel - New Orleans",IF(AND(YEAR(B1727)=2025,MONTH(B1727)=4,OR(ISNUMBER(SEARCH("EXCHANGE RATE",C1727)),ISNUMBER(SEARCH("EXCHG RTE",C1727)))),"Personal Travel - Italy",IFERROR(INDEX('Category Rules'!$B$2:$B$358,MATCH(TRUE,ISNUMBER(SEARCH('Category Rules'!$A$2:$A$358,C1727)),0)),""))))))))</f>
        <v>Personal Travel - Italy</v>
      </c>
    </row>
    <row r="1728" spans="1:7" x14ac:dyDescent="0.25">
      <c r="A1728" t="s">
        <v>6</v>
      </c>
      <c r="B1728" s="1">
        <v>45764</v>
      </c>
      <c r="C1728" t="s">
        <v>1870</v>
      </c>
      <c r="D1728">
        <v>-1.19</v>
      </c>
      <c r="E1728" t="s">
        <v>8</v>
      </c>
      <c r="F1728">
        <v>6884.91</v>
      </c>
      <c r="G1728" t="str" cm="1">
        <f t="array" ref="G1728">IF(AND(ISNUMBER(SEARCH("UBER",C1728)),ISNUMBER(SEARCH("EATS",C1728))),"Uber Eats",IF(LEFT(C1728,6)="CHECK ","Checks Paid",IF(OR(E1728="BILLPAY",ISNUMBER(SEARCH("FRANCHISE TAX",C1728)),ISNUMBER(SEARCH("NEXTLINK",C1728))),"Personal - House Bills",IF(AND(ISNUMBER(SEARCH("PAYMENT FROM",C1728)),ISNUMBER(SEARCH("JOE SAUNDERS",C1728))),"Zelle from Joe Saunders",IF(AND(ISNUMBER(SEARCH("PAYMENT TO",C1728)),ISNUMBER(SEARCH("JOE SAUNDERS",C1728))),"Zelle to Joe Saunders",IF(OR(ISNUMBER(SEARCH("NEW ORLEANS",C1728)),ISNUMBER(SEARCH("KENNER",C1728)),ISNUMBER(SEARCH("HENRY HOWARD",C1728)),ISNUMBER(SEARCH("MISS CLAUDIA",C1728))),"Personal Travel - New Orleans",IF(AND(YEAR(B1728)=2025,MONTH(B1728)=4,OR(ISNUMBER(SEARCH("EXCHANGE RATE",C1728)),ISNUMBER(SEARCH("EXCHG RTE",C1728)))),"Personal Travel - Italy",IFERROR(INDEX('Category Rules'!$B$2:$B$358,MATCH(TRUE,ISNUMBER(SEARCH('Category Rules'!$A$2:$A$358,C1728)),0)),""))))))))</f>
        <v>Personal Travel - Italy</v>
      </c>
    </row>
    <row r="1729" spans="1:7" x14ac:dyDescent="0.25">
      <c r="A1729" t="s">
        <v>6</v>
      </c>
      <c r="B1729" s="1">
        <v>45764</v>
      </c>
      <c r="C1729" t="s">
        <v>21</v>
      </c>
      <c r="D1729">
        <v>-5</v>
      </c>
      <c r="E1729" t="s">
        <v>8</v>
      </c>
      <c r="F1729">
        <v>6886.1</v>
      </c>
      <c r="G1729" t="str" cm="1">
        <f t="array" ref="G1729">IF(AND(ISNUMBER(SEARCH("UBER",C1729)),ISNUMBER(SEARCH("EATS",C1729))),"Uber Eats",IF(LEFT(C1729,6)="CHECK ","Checks Paid",IF(OR(E1729="BILLPAY",ISNUMBER(SEARCH("FRANCHISE TAX",C1729)),ISNUMBER(SEARCH("NEXTLINK",C1729))),"Personal - House Bills",IF(AND(ISNUMBER(SEARCH("PAYMENT FROM",C1729)),ISNUMBER(SEARCH("JOE SAUNDERS",C1729))),"Zelle from Joe Saunders",IF(AND(ISNUMBER(SEARCH("PAYMENT TO",C1729)),ISNUMBER(SEARCH("JOE SAUNDERS",C1729))),"Zelle to Joe Saunders",IF(OR(ISNUMBER(SEARCH("NEW ORLEANS",C1729)),ISNUMBER(SEARCH("KENNER",C1729)),ISNUMBER(SEARCH("HENRY HOWARD",C1729)),ISNUMBER(SEARCH("MISS CLAUDIA",C1729))),"Personal Travel - New Orleans",IF(AND(YEAR(B1729)=2025,MONTH(B1729)=4,OR(ISNUMBER(SEARCH("EXCHANGE RATE",C1729)),ISNUMBER(SEARCH("EXCHG RTE",C1729)))),"Personal Travel - Italy",IFERROR(INDEX('Category Rules'!$B$2:$B$358,MATCH(TRUE,ISNUMBER(SEARCH('Category Rules'!$A$2:$A$358,C1729)),0)),""))))))))</f>
        <v>Bank Fees</v>
      </c>
    </row>
    <row r="1730" spans="1:7" x14ac:dyDescent="0.25">
      <c r="A1730" t="s">
        <v>6</v>
      </c>
      <c r="B1730" s="1">
        <v>45764</v>
      </c>
      <c r="C1730" t="s">
        <v>1871</v>
      </c>
      <c r="D1730">
        <v>-403.62</v>
      </c>
      <c r="E1730" t="s">
        <v>26</v>
      </c>
      <c r="F1730">
        <v>6891.1</v>
      </c>
      <c r="G1730" t="str" cm="1">
        <f t="array" ref="G1730">IF(AND(ISNUMBER(SEARCH("UBER",C1730)),ISNUMBER(SEARCH("EATS",C1730))),"Uber Eats",IF(LEFT(C1730,6)="CHECK ","Checks Paid",IF(OR(E1730="BILLPAY",ISNUMBER(SEARCH("FRANCHISE TAX",C1730)),ISNUMBER(SEARCH("NEXTLINK",C1730))),"Personal - House Bills",IF(AND(ISNUMBER(SEARCH("PAYMENT FROM",C1730)),ISNUMBER(SEARCH("JOE SAUNDERS",C1730))),"Zelle from Joe Saunders",IF(AND(ISNUMBER(SEARCH("PAYMENT TO",C1730)),ISNUMBER(SEARCH("JOE SAUNDERS",C1730))),"Zelle to Joe Saunders",IF(OR(ISNUMBER(SEARCH("NEW ORLEANS",C1730)),ISNUMBER(SEARCH("KENNER",C1730)),ISNUMBER(SEARCH("HENRY HOWARD",C1730)),ISNUMBER(SEARCH("MISS CLAUDIA",C1730))),"Personal Travel - New Orleans",IF(AND(YEAR(B1730)=2025,MONTH(B1730)=4,OR(ISNUMBER(SEARCH("EXCHANGE RATE",C1730)),ISNUMBER(SEARCH("EXCHG RTE",C1730)))),"Personal Travel - Italy",IFERROR(INDEX('Category Rules'!$B$2:$B$358,MATCH(TRUE,ISNUMBER(SEARCH('Category Rules'!$A$2:$A$358,C1730)),0)),""))))))))</f>
        <v>Withdrawal</v>
      </c>
    </row>
    <row r="1731" spans="1:7" x14ac:dyDescent="0.25">
      <c r="A1731" t="s">
        <v>6</v>
      </c>
      <c r="B1731" s="1">
        <v>45764</v>
      </c>
      <c r="C1731" t="s">
        <v>1872</v>
      </c>
      <c r="D1731">
        <v>-39.99</v>
      </c>
      <c r="E1731" t="s">
        <v>10</v>
      </c>
      <c r="F1731">
        <v>7294.72</v>
      </c>
      <c r="G1731" t="str" cm="1">
        <f t="array" ref="G1731">IF(AND(ISNUMBER(SEARCH("UBER",C1731)),ISNUMBER(SEARCH("EATS",C1731))),"Uber Eats",IF(LEFT(C1731,6)="CHECK ","Checks Paid",IF(OR(E1731="BILLPAY",ISNUMBER(SEARCH("FRANCHISE TAX",C1731)),ISNUMBER(SEARCH("NEXTLINK",C1731))),"Personal - House Bills",IF(AND(ISNUMBER(SEARCH("PAYMENT FROM",C1731)),ISNUMBER(SEARCH("JOE SAUNDERS",C1731))),"Zelle from Joe Saunders",IF(AND(ISNUMBER(SEARCH("PAYMENT TO",C1731)),ISNUMBER(SEARCH("JOE SAUNDERS",C1731))),"Zelle to Joe Saunders",IF(OR(ISNUMBER(SEARCH("NEW ORLEANS",C1731)),ISNUMBER(SEARCH("KENNER",C1731)),ISNUMBER(SEARCH("HENRY HOWARD",C1731)),ISNUMBER(SEARCH("MISS CLAUDIA",C1731))),"Personal Travel - New Orleans",IF(AND(YEAR(B1731)=2025,MONTH(B1731)=4,OR(ISNUMBER(SEARCH("EXCHANGE RATE",C1731)),ISNUMBER(SEARCH("EXCHG RTE",C1731)))),"Personal Travel - Italy",IFERROR(INDEX('Category Rules'!$B$2:$B$358,MATCH(TRUE,ISNUMBER(SEARCH('Category Rules'!$A$2:$A$358,C1731)),0)),""))))))))</f>
        <v>Personal Travel - Italy</v>
      </c>
    </row>
    <row r="1732" spans="1:7" x14ac:dyDescent="0.25">
      <c r="A1732" t="s">
        <v>6</v>
      </c>
      <c r="B1732" s="1">
        <v>45763</v>
      </c>
      <c r="C1732" t="s">
        <v>21</v>
      </c>
      <c r="D1732">
        <v>-5</v>
      </c>
      <c r="E1732" t="s">
        <v>8</v>
      </c>
      <c r="F1732">
        <v>7334.71</v>
      </c>
      <c r="G1732" t="str" cm="1">
        <f t="array" ref="G1732">IF(AND(ISNUMBER(SEARCH("UBER",C1732)),ISNUMBER(SEARCH("EATS",C1732))),"Uber Eats",IF(LEFT(C1732,6)="CHECK ","Checks Paid",IF(OR(E1732="BILLPAY",ISNUMBER(SEARCH("FRANCHISE TAX",C1732)),ISNUMBER(SEARCH("NEXTLINK",C1732))),"Personal - House Bills",IF(AND(ISNUMBER(SEARCH("PAYMENT FROM",C1732)),ISNUMBER(SEARCH("JOE SAUNDERS",C1732))),"Zelle from Joe Saunders",IF(AND(ISNUMBER(SEARCH("PAYMENT TO",C1732)),ISNUMBER(SEARCH("JOE SAUNDERS",C1732))),"Zelle to Joe Saunders",IF(OR(ISNUMBER(SEARCH("NEW ORLEANS",C1732)),ISNUMBER(SEARCH("KENNER",C1732)),ISNUMBER(SEARCH("HENRY HOWARD",C1732)),ISNUMBER(SEARCH("MISS CLAUDIA",C1732))),"Personal Travel - New Orleans",IF(AND(YEAR(B1732)=2025,MONTH(B1732)=4,OR(ISNUMBER(SEARCH("EXCHANGE RATE",C1732)),ISNUMBER(SEARCH("EXCHG RTE",C1732)))),"Personal Travel - Italy",IFERROR(INDEX('Category Rules'!$B$2:$B$358,MATCH(TRUE,ISNUMBER(SEARCH('Category Rules'!$A$2:$A$358,C1732)),0)),""))))))))</f>
        <v>Bank Fees</v>
      </c>
    </row>
    <row r="1733" spans="1:7" x14ac:dyDescent="0.25">
      <c r="A1733" t="s">
        <v>6</v>
      </c>
      <c r="B1733" s="1">
        <v>45763</v>
      </c>
      <c r="C1733" t="s">
        <v>1873</v>
      </c>
      <c r="D1733">
        <v>-398.92</v>
      </c>
      <c r="E1733" t="s">
        <v>26</v>
      </c>
      <c r="F1733">
        <v>7339.71</v>
      </c>
      <c r="G1733" t="str" cm="1">
        <f t="array" ref="G1733">IF(AND(ISNUMBER(SEARCH("UBER",C1733)),ISNUMBER(SEARCH("EATS",C1733))),"Uber Eats",IF(LEFT(C1733,6)="CHECK ","Checks Paid",IF(OR(E1733="BILLPAY",ISNUMBER(SEARCH("FRANCHISE TAX",C1733)),ISNUMBER(SEARCH("NEXTLINK",C1733))),"Personal - House Bills",IF(AND(ISNUMBER(SEARCH("PAYMENT FROM",C1733)),ISNUMBER(SEARCH("JOE SAUNDERS",C1733))),"Zelle from Joe Saunders",IF(AND(ISNUMBER(SEARCH("PAYMENT TO",C1733)),ISNUMBER(SEARCH("JOE SAUNDERS",C1733))),"Zelle to Joe Saunders",IF(OR(ISNUMBER(SEARCH("NEW ORLEANS",C1733)),ISNUMBER(SEARCH("KENNER",C1733)),ISNUMBER(SEARCH("HENRY HOWARD",C1733)),ISNUMBER(SEARCH("MISS CLAUDIA",C1733))),"Personal Travel - New Orleans",IF(AND(YEAR(B1733)=2025,MONTH(B1733)=4,OR(ISNUMBER(SEARCH("EXCHANGE RATE",C1733)),ISNUMBER(SEARCH("EXCHG RTE",C1733)))),"Personal Travel - Italy",IFERROR(INDEX('Category Rules'!$B$2:$B$358,MATCH(TRUE,ISNUMBER(SEARCH('Category Rules'!$A$2:$A$358,C1733)),0)),""))))))))</f>
        <v>Withdrawal</v>
      </c>
    </row>
    <row r="1734" spans="1:7" x14ac:dyDescent="0.25">
      <c r="A1734" t="s">
        <v>6</v>
      </c>
      <c r="B1734" s="1">
        <v>45762</v>
      </c>
      <c r="C1734" t="s">
        <v>1874</v>
      </c>
      <c r="D1734">
        <v>-3.09</v>
      </c>
      <c r="E1734" t="s">
        <v>8</v>
      </c>
      <c r="F1734">
        <v>7738.63</v>
      </c>
      <c r="G1734" t="str" cm="1">
        <f t="array" ref="G1734">IF(AND(ISNUMBER(SEARCH("UBER",C1734)),ISNUMBER(SEARCH("EATS",C1734))),"Uber Eats",IF(LEFT(C1734,6)="CHECK ","Checks Paid",IF(OR(E1734="BILLPAY",ISNUMBER(SEARCH("FRANCHISE TAX",C1734)),ISNUMBER(SEARCH("NEXTLINK",C1734))),"Personal - House Bills",IF(AND(ISNUMBER(SEARCH("PAYMENT FROM",C1734)),ISNUMBER(SEARCH("JOE SAUNDERS",C1734))),"Zelle from Joe Saunders",IF(AND(ISNUMBER(SEARCH("PAYMENT TO",C1734)),ISNUMBER(SEARCH("JOE SAUNDERS",C1734))),"Zelle to Joe Saunders",IF(OR(ISNUMBER(SEARCH("NEW ORLEANS",C1734)),ISNUMBER(SEARCH("KENNER",C1734)),ISNUMBER(SEARCH("HENRY HOWARD",C1734)),ISNUMBER(SEARCH("MISS CLAUDIA",C1734))),"Personal Travel - New Orleans",IF(AND(YEAR(B1734)=2025,MONTH(B1734)=4,OR(ISNUMBER(SEARCH("EXCHANGE RATE",C1734)),ISNUMBER(SEARCH("EXCHG RTE",C1734)))),"Personal Travel - Italy",IFERROR(INDEX('Category Rules'!$B$2:$B$358,MATCH(TRUE,ISNUMBER(SEARCH('Category Rules'!$A$2:$A$358,C1734)),0)),""))))))))</f>
        <v>Personal Travel - Italy</v>
      </c>
    </row>
    <row r="1735" spans="1:7" x14ac:dyDescent="0.25">
      <c r="A1735" t="s">
        <v>6</v>
      </c>
      <c r="B1735" s="1">
        <v>45762</v>
      </c>
      <c r="C1735" t="s">
        <v>1875</v>
      </c>
      <c r="D1735">
        <v>-5.83</v>
      </c>
      <c r="E1735" t="s">
        <v>8</v>
      </c>
      <c r="F1735">
        <v>7741.72</v>
      </c>
      <c r="G1735" t="str" cm="1">
        <f t="array" ref="G1735">IF(AND(ISNUMBER(SEARCH("UBER",C1735)),ISNUMBER(SEARCH("EATS",C1735))),"Uber Eats",IF(LEFT(C1735,6)="CHECK ","Checks Paid",IF(OR(E1735="BILLPAY",ISNUMBER(SEARCH("FRANCHISE TAX",C1735)),ISNUMBER(SEARCH("NEXTLINK",C1735))),"Personal - House Bills",IF(AND(ISNUMBER(SEARCH("PAYMENT FROM",C1735)),ISNUMBER(SEARCH("JOE SAUNDERS",C1735))),"Zelle from Joe Saunders",IF(AND(ISNUMBER(SEARCH("PAYMENT TO",C1735)),ISNUMBER(SEARCH("JOE SAUNDERS",C1735))),"Zelle to Joe Saunders",IF(OR(ISNUMBER(SEARCH("NEW ORLEANS",C1735)),ISNUMBER(SEARCH("KENNER",C1735)),ISNUMBER(SEARCH("HENRY HOWARD",C1735)),ISNUMBER(SEARCH("MISS CLAUDIA",C1735))),"Personal Travel - New Orleans",IF(AND(YEAR(B1735)=2025,MONTH(B1735)=4,OR(ISNUMBER(SEARCH("EXCHANGE RATE",C1735)),ISNUMBER(SEARCH("EXCHG RTE",C1735)))),"Personal Travel - Italy",IFERROR(INDEX('Category Rules'!$B$2:$B$358,MATCH(TRUE,ISNUMBER(SEARCH('Category Rules'!$A$2:$A$358,C1735)),0)),""))))))))</f>
        <v>Personal Travel - Italy</v>
      </c>
    </row>
    <row r="1736" spans="1:7" x14ac:dyDescent="0.25">
      <c r="A1736" t="s">
        <v>6</v>
      </c>
      <c r="B1736" s="1">
        <v>45762</v>
      </c>
      <c r="C1736" t="s">
        <v>1876</v>
      </c>
      <c r="D1736">
        <v>-16.989999999999998</v>
      </c>
      <c r="E1736" t="s">
        <v>10</v>
      </c>
      <c r="F1736">
        <v>7747.55</v>
      </c>
      <c r="G1736" t="str" cm="1">
        <f t="array" ref="G1736">IF(AND(ISNUMBER(SEARCH("UBER",C1736)),ISNUMBER(SEARCH("EATS",C1736))),"Uber Eats",IF(LEFT(C1736,6)="CHECK ","Checks Paid",IF(OR(E1736="BILLPAY",ISNUMBER(SEARCH("FRANCHISE TAX",C1736)),ISNUMBER(SEARCH("NEXTLINK",C1736))),"Personal - House Bills",IF(AND(ISNUMBER(SEARCH("PAYMENT FROM",C1736)),ISNUMBER(SEARCH("JOE SAUNDERS",C1736))),"Zelle from Joe Saunders",IF(AND(ISNUMBER(SEARCH("PAYMENT TO",C1736)),ISNUMBER(SEARCH("JOE SAUNDERS",C1736))),"Zelle to Joe Saunders",IF(OR(ISNUMBER(SEARCH("NEW ORLEANS",C1736)),ISNUMBER(SEARCH("KENNER",C1736)),ISNUMBER(SEARCH("HENRY HOWARD",C1736)),ISNUMBER(SEARCH("MISS CLAUDIA",C1736))),"Personal Travel - New Orleans",IF(AND(YEAR(B1736)=2025,MONTH(B1736)=4,OR(ISNUMBER(SEARCH("EXCHANGE RATE",C1736)),ISNUMBER(SEARCH("EXCHG RTE",C1736)))),"Personal Travel - Italy",IFERROR(INDEX('Category Rules'!$B$2:$B$358,MATCH(TRUE,ISNUMBER(SEARCH('Category Rules'!$A$2:$A$358,C1736)),0)),""))))))))</f>
        <v>Amazon</v>
      </c>
    </row>
    <row r="1737" spans="1:7" x14ac:dyDescent="0.25">
      <c r="A1737" t="s">
        <v>6</v>
      </c>
      <c r="B1737" s="1">
        <v>45762</v>
      </c>
      <c r="C1737" t="s">
        <v>1877</v>
      </c>
      <c r="D1737">
        <v>-194.44</v>
      </c>
      <c r="E1737" t="s">
        <v>10</v>
      </c>
      <c r="F1737">
        <v>7764.54</v>
      </c>
      <c r="G1737" t="str" cm="1">
        <f t="array" ref="G1737">IF(AND(ISNUMBER(SEARCH("UBER",C1737)),ISNUMBER(SEARCH("EATS",C1737))),"Uber Eats",IF(LEFT(C1737,6)="CHECK ","Checks Paid",IF(OR(E1737="BILLPAY",ISNUMBER(SEARCH("FRANCHISE TAX",C1737)),ISNUMBER(SEARCH("NEXTLINK",C1737))),"Personal - House Bills",IF(AND(ISNUMBER(SEARCH("PAYMENT FROM",C1737)),ISNUMBER(SEARCH("JOE SAUNDERS",C1737))),"Zelle from Joe Saunders",IF(AND(ISNUMBER(SEARCH("PAYMENT TO",C1737)),ISNUMBER(SEARCH("JOE SAUNDERS",C1737))),"Zelle to Joe Saunders",IF(OR(ISNUMBER(SEARCH("NEW ORLEANS",C1737)),ISNUMBER(SEARCH("KENNER",C1737)),ISNUMBER(SEARCH("HENRY HOWARD",C1737)),ISNUMBER(SEARCH("MISS CLAUDIA",C1737))),"Personal Travel - New Orleans",IF(AND(YEAR(B1737)=2025,MONTH(B1737)=4,OR(ISNUMBER(SEARCH("EXCHANGE RATE",C1737)),ISNUMBER(SEARCH("EXCHG RTE",C1737)))),"Personal Travel - Italy",IFERROR(INDEX('Category Rules'!$B$2:$B$358,MATCH(TRUE,ISNUMBER(SEARCH('Category Rules'!$A$2:$A$358,C1737)),0)),""))))))))</f>
        <v>Personal Travel - Italy</v>
      </c>
    </row>
    <row r="1738" spans="1:7" x14ac:dyDescent="0.25">
      <c r="A1738" t="s">
        <v>6</v>
      </c>
      <c r="B1738" s="1">
        <v>45762</v>
      </c>
      <c r="C1738" t="s">
        <v>1878</v>
      </c>
      <c r="D1738">
        <v>-16.45</v>
      </c>
      <c r="E1738" t="s">
        <v>10</v>
      </c>
      <c r="F1738">
        <v>7958.98</v>
      </c>
      <c r="G1738" t="str" cm="1">
        <f t="array" ref="G1738">IF(AND(ISNUMBER(SEARCH("UBER",C1738)),ISNUMBER(SEARCH("EATS",C1738))),"Uber Eats",IF(LEFT(C1738,6)="CHECK ","Checks Paid",IF(OR(E1738="BILLPAY",ISNUMBER(SEARCH("FRANCHISE TAX",C1738)),ISNUMBER(SEARCH("NEXTLINK",C1738))),"Personal - House Bills",IF(AND(ISNUMBER(SEARCH("PAYMENT FROM",C1738)),ISNUMBER(SEARCH("JOE SAUNDERS",C1738))),"Zelle from Joe Saunders",IF(AND(ISNUMBER(SEARCH("PAYMENT TO",C1738)),ISNUMBER(SEARCH("JOE SAUNDERS",C1738))),"Zelle to Joe Saunders",IF(OR(ISNUMBER(SEARCH("NEW ORLEANS",C1738)),ISNUMBER(SEARCH("KENNER",C1738)),ISNUMBER(SEARCH("HENRY HOWARD",C1738)),ISNUMBER(SEARCH("MISS CLAUDIA",C1738))),"Personal Travel - New Orleans",IF(AND(YEAR(B1738)=2025,MONTH(B1738)=4,OR(ISNUMBER(SEARCH("EXCHANGE RATE",C1738)),ISNUMBER(SEARCH("EXCHG RTE",C1738)))),"Personal Travel - Italy",IFERROR(INDEX('Category Rules'!$B$2:$B$358,MATCH(TRUE,ISNUMBER(SEARCH('Category Rules'!$A$2:$A$358,C1738)),0)),""))))))))</f>
        <v>Amazon</v>
      </c>
    </row>
    <row r="1739" spans="1:7" x14ac:dyDescent="0.25">
      <c r="A1739" t="s">
        <v>6</v>
      </c>
      <c r="B1739" s="1">
        <v>45762</v>
      </c>
      <c r="C1739" t="s">
        <v>1879</v>
      </c>
      <c r="D1739">
        <v>-103.18</v>
      </c>
      <c r="E1739" t="s">
        <v>10</v>
      </c>
      <c r="F1739">
        <v>7975.43</v>
      </c>
      <c r="G1739" t="str" cm="1">
        <f t="array" ref="G1739">IF(AND(ISNUMBER(SEARCH("UBER",C1739)),ISNUMBER(SEARCH("EATS",C1739))),"Uber Eats",IF(LEFT(C1739,6)="CHECK ","Checks Paid",IF(OR(E1739="BILLPAY",ISNUMBER(SEARCH("FRANCHISE TAX",C1739)),ISNUMBER(SEARCH("NEXTLINK",C1739))),"Personal - House Bills",IF(AND(ISNUMBER(SEARCH("PAYMENT FROM",C1739)),ISNUMBER(SEARCH("JOE SAUNDERS",C1739))),"Zelle from Joe Saunders",IF(AND(ISNUMBER(SEARCH("PAYMENT TO",C1739)),ISNUMBER(SEARCH("JOE SAUNDERS",C1739))),"Zelle to Joe Saunders",IF(OR(ISNUMBER(SEARCH("NEW ORLEANS",C1739)),ISNUMBER(SEARCH("KENNER",C1739)),ISNUMBER(SEARCH("HENRY HOWARD",C1739)),ISNUMBER(SEARCH("MISS CLAUDIA",C1739))),"Personal Travel - New Orleans",IF(AND(YEAR(B1739)=2025,MONTH(B1739)=4,OR(ISNUMBER(SEARCH("EXCHANGE RATE",C1739)),ISNUMBER(SEARCH("EXCHG RTE",C1739)))),"Personal Travel - Italy",IFERROR(INDEX('Category Rules'!$B$2:$B$358,MATCH(TRUE,ISNUMBER(SEARCH('Category Rules'!$A$2:$A$358,C1739)),0)),""))))))))</f>
        <v>Personal Travel - Italy</v>
      </c>
    </row>
    <row r="1740" spans="1:7" x14ac:dyDescent="0.25">
      <c r="A1740" t="s">
        <v>6</v>
      </c>
      <c r="B1740" s="1">
        <v>45762</v>
      </c>
      <c r="C1740" t="s">
        <v>1880</v>
      </c>
      <c r="D1740">
        <v>-59.99</v>
      </c>
      <c r="E1740" t="s">
        <v>10</v>
      </c>
      <c r="F1740">
        <v>8078.61</v>
      </c>
      <c r="G1740" t="str" cm="1">
        <f t="array" ref="G1740">IF(AND(ISNUMBER(SEARCH("UBER",C1740)),ISNUMBER(SEARCH("EATS",C1740))),"Uber Eats",IF(LEFT(C1740,6)="CHECK ","Checks Paid",IF(OR(E1740="BILLPAY",ISNUMBER(SEARCH("FRANCHISE TAX",C1740)),ISNUMBER(SEARCH("NEXTLINK",C1740))),"Personal - House Bills",IF(AND(ISNUMBER(SEARCH("PAYMENT FROM",C1740)),ISNUMBER(SEARCH("JOE SAUNDERS",C1740))),"Zelle from Joe Saunders",IF(AND(ISNUMBER(SEARCH("PAYMENT TO",C1740)),ISNUMBER(SEARCH("JOE SAUNDERS",C1740))),"Zelle to Joe Saunders",IF(OR(ISNUMBER(SEARCH("NEW ORLEANS",C1740)),ISNUMBER(SEARCH("KENNER",C1740)),ISNUMBER(SEARCH("HENRY HOWARD",C1740)),ISNUMBER(SEARCH("MISS CLAUDIA",C1740))),"Personal Travel - New Orleans",IF(AND(YEAR(B1740)=2025,MONTH(B1740)=4,OR(ISNUMBER(SEARCH("EXCHANGE RATE",C1740)),ISNUMBER(SEARCH("EXCHG RTE",C1740)))),"Personal Travel - Italy",IFERROR(INDEX('Category Rules'!$B$2:$B$358,MATCH(TRUE,ISNUMBER(SEARCH('Category Rules'!$A$2:$A$358,C1740)),0)),""))))))))</f>
        <v>Apple</v>
      </c>
    </row>
    <row r="1741" spans="1:7" x14ac:dyDescent="0.25">
      <c r="A1741" t="s">
        <v>6</v>
      </c>
      <c r="B1741" s="1">
        <v>45761</v>
      </c>
      <c r="C1741" t="s">
        <v>1881</v>
      </c>
      <c r="D1741">
        <v>-1.48</v>
      </c>
      <c r="E1741" t="s">
        <v>8</v>
      </c>
      <c r="F1741">
        <v>8138.6</v>
      </c>
      <c r="G1741" t="str" cm="1">
        <f t="array" ref="G1741">IF(AND(ISNUMBER(SEARCH("UBER",C1741)),ISNUMBER(SEARCH("EATS",C1741))),"Uber Eats",IF(LEFT(C1741,6)="CHECK ","Checks Paid",IF(OR(E1741="BILLPAY",ISNUMBER(SEARCH("FRANCHISE TAX",C1741)),ISNUMBER(SEARCH("NEXTLINK",C1741))),"Personal - House Bills",IF(AND(ISNUMBER(SEARCH("PAYMENT FROM",C1741)),ISNUMBER(SEARCH("JOE SAUNDERS",C1741))),"Zelle from Joe Saunders",IF(AND(ISNUMBER(SEARCH("PAYMENT TO",C1741)),ISNUMBER(SEARCH("JOE SAUNDERS",C1741))),"Zelle to Joe Saunders",IF(OR(ISNUMBER(SEARCH("NEW ORLEANS",C1741)),ISNUMBER(SEARCH("KENNER",C1741)),ISNUMBER(SEARCH("HENRY HOWARD",C1741)),ISNUMBER(SEARCH("MISS CLAUDIA",C1741))),"Personal Travel - New Orleans",IF(AND(YEAR(B1741)=2025,MONTH(B1741)=4,OR(ISNUMBER(SEARCH("EXCHANGE RATE",C1741)),ISNUMBER(SEARCH("EXCHG RTE",C1741)))),"Personal Travel - Italy",IFERROR(INDEX('Category Rules'!$B$2:$B$358,MATCH(TRUE,ISNUMBER(SEARCH('Category Rules'!$A$2:$A$358,C1741)),0)),""))))))))</f>
        <v>Personal Travel - Italy</v>
      </c>
    </row>
    <row r="1742" spans="1:7" x14ac:dyDescent="0.25">
      <c r="A1742" t="s">
        <v>6</v>
      </c>
      <c r="B1742" s="1">
        <v>45761</v>
      </c>
      <c r="C1742" t="s">
        <v>1882</v>
      </c>
      <c r="D1742">
        <v>-3.23</v>
      </c>
      <c r="E1742" t="s">
        <v>8</v>
      </c>
      <c r="F1742">
        <v>8140.08</v>
      </c>
      <c r="G1742" t="str" cm="1">
        <f t="array" ref="G1742">IF(AND(ISNUMBER(SEARCH("UBER",C1742)),ISNUMBER(SEARCH("EATS",C1742))),"Uber Eats",IF(LEFT(C1742,6)="CHECK ","Checks Paid",IF(OR(E1742="BILLPAY",ISNUMBER(SEARCH("FRANCHISE TAX",C1742)),ISNUMBER(SEARCH("NEXTLINK",C1742))),"Personal - House Bills",IF(AND(ISNUMBER(SEARCH("PAYMENT FROM",C1742)),ISNUMBER(SEARCH("JOE SAUNDERS",C1742))),"Zelle from Joe Saunders",IF(AND(ISNUMBER(SEARCH("PAYMENT TO",C1742)),ISNUMBER(SEARCH("JOE SAUNDERS",C1742))),"Zelle to Joe Saunders",IF(OR(ISNUMBER(SEARCH("NEW ORLEANS",C1742)),ISNUMBER(SEARCH("KENNER",C1742)),ISNUMBER(SEARCH("HENRY HOWARD",C1742)),ISNUMBER(SEARCH("MISS CLAUDIA",C1742))),"Personal Travel - New Orleans",IF(AND(YEAR(B1742)=2025,MONTH(B1742)=4,OR(ISNUMBER(SEARCH("EXCHANGE RATE",C1742)),ISNUMBER(SEARCH("EXCHG RTE",C1742)))),"Personal Travel - Italy",IFERROR(INDEX('Category Rules'!$B$2:$B$358,MATCH(TRUE,ISNUMBER(SEARCH('Category Rules'!$A$2:$A$358,C1742)),0)),""))))))))</f>
        <v>Personal Travel - Italy</v>
      </c>
    </row>
    <row r="1743" spans="1:7" x14ac:dyDescent="0.25">
      <c r="A1743" t="s">
        <v>6</v>
      </c>
      <c r="B1743" s="1">
        <v>45761</v>
      </c>
      <c r="C1743" t="s">
        <v>21</v>
      </c>
      <c r="D1743">
        <v>-5</v>
      </c>
      <c r="E1743" t="s">
        <v>8</v>
      </c>
      <c r="F1743">
        <v>8143.31</v>
      </c>
      <c r="G1743" t="str" cm="1">
        <f t="array" ref="G1743">IF(AND(ISNUMBER(SEARCH("UBER",C1743)),ISNUMBER(SEARCH("EATS",C1743))),"Uber Eats",IF(LEFT(C1743,6)="CHECK ","Checks Paid",IF(OR(E1743="BILLPAY",ISNUMBER(SEARCH("FRANCHISE TAX",C1743)),ISNUMBER(SEARCH("NEXTLINK",C1743))),"Personal - House Bills",IF(AND(ISNUMBER(SEARCH("PAYMENT FROM",C1743)),ISNUMBER(SEARCH("JOE SAUNDERS",C1743))),"Zelle from Joe Saunders",IF(AND(ISNUMBER(SEARCH("PAYMENT TO",C1743)),ISNUMBER(SEARCH("JOE SAUNDERS",C1743))),"Zelle to Joe Saunders",IF(OR(ISNUMBER(SEARCH("NEW ORLEANS",C1743)),ISNUMBER(SEARCH("KENNER",C1743)),ISNUMBER(SEARCH("HENRY HOWARD",C1743)),ISNUMBER(SEARCH("MISS CLAUDIA",C1743))),"Personal Travel - New Orleans",IF(AND(YEAR(B1743)=2025,MONTH(B1743)=4,OR(ISNUMBER(SEARCH("EXCHANGE RATE",C1743)),ISNUMBER(SEARCH("EXCHG RTE",C1743)))),"Personal Travel - Italy",IFERROR(INDEX('Category Rules'!$B$2:$B$358,MATCH(TRUE,ISNUMBER(SEARCH('Category Rules'!$A$2:$A$358,C1743)),0)),""))))))))</f>
        <v>Bank Fees</v>
      </c>
    </row>
    <row r="1744" spans="1:7" x14ac:dyDescent="0.25">
      <c r="A1744" t="s">
        <v>6</v>
      </c>
      <c r="B1744" s="1">
        <v>45761</v>
      </c>
      <c r="C1744" t="s">
        <v>1883</v>
      </c>
      <c r="D1744">
        <v>-8.6</v>
      </c>
      <c r="E1744" t="s">
        <v>8</v>
      </c>
      <c r="F1744">
        <v>8148.31</v>
      </c>
      <c r="G1744" t="str" cm="1">
        <f t="array" ref="G1744">IF(AND(ISNUMBER(SEARCH("UBER",C1744)),ISNUMBER(SEARCH("EATS",C1744))),"Uber Eats",IF(LEFT(C1744,6)="CHECK ","Checks Paid",IF(OR(E1744="BILLPAY",ISNUMBER(SEARCH("FRANCHISE TAX",C1744)),ISNUMBER(SEARCH("NEXTLINK",C1744))),"Personal - House Bills",IF(AND(ISNUMBER(SEARCH("PAYMENT FROM",C1744)),ISNUMBER(SEARCH("JOE SAUNDERS",C1744))),"Zelle from Joe Saunders",IF(AND(ISNUMBER(SEARCH("PAYMENT TO",C1744)),ISNUMBER(SEARCH("JOE SAUNDERS",C1744))),"Zelle to Joe Saunders",IF(OR(ISNUMBER(SEARCH("NEW ORLEANS",C1744)),ISNUMBER(SEARCH("KENNER",C1744)),ISNUMBER(SEARCH("HENRY HOWARD",C1744)),ISNUMBER(SEARCH("MISS CLAUDIA",C1744))),"Personal Travel - New Orleans",IF(AND(YEAR(B1744)=2025,MONTH(B1744)=4,OR(ISNUMBER(SEARCH("EXCHANGE RATE",C1744)),ISNUMBER(SEARCH("EXCHG RTE",C1744)))),"Personal Travel - Italy",IFERROR(INDEX('Category Rules'!$B$2:$B$358,MATCH(TRUE,ISNUMBER(SEARCH('Category Rules'!$A$2:$A$358,C1744)),0)),""))))))))</f>
        <v>Personal Travel - Italy</v>
      </c>
    </row>
    <row r="1745" spans="1:7" x14ac:dyDescent="0.25">
      <c r="A1745" t="s">
        <v>6</v>
      </c>
      <c r="B1745" s="1">
        <v>45761</v>
      </c>
      <c r="C1745" t="s">
        <v>1884</v>
      </c>
      <c r="D1745">
        <v>-401.17</v>
      </c>
      <c r="E1745" t="s">
        <v>26</v>
      </c>
      <c r="F1745">
        <v>8156.91</v>
      </c>
      <c r="G1745" t="str" cm="1">
        <f t="array" ref="G1745">IF(AND(ISNUMBER(SEARCH("UBER",C1745)),ISNUMBER(SEARCH("EATS",C1745))),"Uber Eats",IF(LEFT(C1745,6)="CHECK ","Checks Paid",IF(OR(E1745="BILLPAY",ISNUMBER(SEARCH("FRANCHISE TAX",C1745)),ISNUMBER(SEARCH("NEXTLINK",C1745))),"Personal - House Bills",IF(AND(ISNUMBER(SEARCH("PAYMENT FROM",C1745)),ISNUMBER(SEARCH("JOE SAUNDERS",C1745))),"Zelle from Joe Saunders",IF(AND(ISNUMBER(SEARCH("PAYMENT TO",C1745)),ISNUMBER(SEARCH("JOE SAUNDERS",C1745))),"Zelle to Joe Saunders",IF(OR(ISNUMBER(SEARCH("NEW ORLEANS",C1745)),ISNUMBER(SEARCH("KENNER",C1745)),ISNUMBER(SEARCH("HENRY HOWARD",C1745)),ISNUMBER(SEARCH("MISS CLAUDIA",C1745))),"Personal Travel - New Orleans",IF(AND(YEAR(B1745)=2025,MONTH(B1745)=4,OR(ISNUMBER(SEARCH("EXCHANGE RATE",C1745)),ISNUMBER(SEARCH("EXCHG RTE",C1745)))),"Personal Travel - Italy",IFERROR(INDEX('Category Rules'!$B$2:$B$358,MATCH(TRUE,ISNUMBER(SEARCH('Category Rules'!$A$2:$A$358,C1745)),0)),""))))))))</f>
        <v>Withdrawal</v>
      </c>
    </row>
    <row r="1746" spans="1:7" x14ac:dyDescent="0.25">
      <c r="A1746" t="s">
        <v>6</v>
      </c>
      <c r="B1746" s="1">
        <v>45761</v>
      </c>
      <c r="C1746" t="s">
        <v>1885</v>
      </c>
      <c r="D1746">
        <v>-286.77999999999997</v>
      </c>
      <c r="E1746" t="s">
        <v>10</v>
      </c>
      <c r="F1746">
        <v>8558.08</v>
      </c>
      <c r="G1746" t="str" cm="1">
        <f t="array" ref="G1746">IF(AND(ISNUMBER(SEARCH("UBER",C1746)),ISNUMBER(SEARCH("EATS",C1746))),"Uber Eats",IF(LEFT(C1746,6)="CHECK ","Checks Paid",IF(OR(E1746="BILLPAY",ISNUMBER(SEARCH("FRANCHISE TAX",C1746)),ISNUMBER(SEARCH("NEXTLINK",C1746))),"Personal - House Bills",IF(AND(ISNUMBER(SEARCH("PAYMENT FROM",C1746)),ISNUMBER(SEARCH("JOE SAUNDERS",C1746))),"Zelle from Joe Saunders",IF(AND(ISNUMBER(SEARCH("PAYMENT TO",C1746)),ISNUMBER(SEARCH("JOE SAUNDERS",C1746))),"Zelle to Joe Saunders",IF(OR(ISNUMBER(SEARCH("NEW ORLEANS",C1746)),ISNUMBER(SEARCH("KENNER",C1746)),ISNUMBER(SEARCH("HENRY HOWARD",C1746)),ISNUMBER(SEARCH("MISS CLAUDIA",C1746))),"Personal Travel - New Orleans",IF(AND(YEAR(B1746)=2025,MONTH(B1746)=4,OR(ISNUMBER(SEARCH("EXCHANGE RATE",C1746)),ISNUMBER(SEARCH("EXCHG RTE",C1746)))),"Personal Travel - Italy",IFERROR(INDEX('Category Rules'!$B$2:$B$358,MATCH(TRUE,ISNUMBER(SEARCH('Category Rules'!$A$2:$A$358,C1746)),0)),""))))))))</f>
        <v>Personal Travel - Italy</v>
      </c>
    </row>
    <row r="1747" spans="1:7" x14ac:dyDescent="0.25">
      <c r="A1747" t="s">
        <v>6</v>
      </c>
      <c r="B1747" s="1">
        <v>45761</v>
      </c>
      <c r="C1747" t="s">
        <v>1886</v>
      </c>
      <c r="D1747">
        <v>-107.79</v>
      </c>
      <c r="E1747" t="s">
        <v>10</v>
      </c>
      <c r="F1747">
        <v>8844.86</v>
      </c>
      <c r="G1747" t="str" cm="1">
        <f t="array" ref="G1747">IF(AND(ISNUMBER(SEARCH("UBER",C1747)),ISNUMBER(SEARCH("EATS",C1747))),"Uber Eats",IF(LEFT(C1747,6)="CHECK ","Checks Paid",IF(OR(E1747="BILLPAY",ISNUMBER(SEARCH("FRANCHISE TAX",C1747)),ISNUMBER(SEARCH("NEXTLINK",C1747))),"Personal - House Bills",IF(AND(ISNUMBER(SEARCH("PAYMENT FROM",C1747)),ISNUMBER(SEARCH("JOE SAUNDERS",C1747))),"Zelle from Joe Saunders",IF(AND(ISNUMBER(SEARCH("PAYMENT TO",C1747)),ISNUMBER(SEARCH("JOE SAUNDERS",C1747))),"Zelle to Joe Saunders",IF(OR(ISNUMBER(SEARCH("NEW ORLEANS",C1747)),ISNUMBER(SEARCH("KENNER",C1747)),ISNUMBER(SEARCH("HENRY HOWARD",C1747)),ISNUMBER(SEARCH("MISS CLAUDIA",C1747))),"Personal Travel - New Orleans",IF(AND(YEAR(B1747)=2025,MONTH(B1747)=4,OR(ISNUMBER(SEARCH("EXCHANGE RATE",C1747)),ISNUMBER(SEARCH("EXCHG RTE",C1747)))),"Personal Travel - Italy",IFERROR(INDEX('Category Rules'!$B$2:$B$358,MATCH(TRUE,ISNUMBER(SEARCH('Category Rules'!$A$2:$A$358,C1747)),0)),""))))))))</f>
        <v>Personal Travel - Italy</v>
      </c>
    </row>
    <row r="1748" spans="1:7" x14ac:dyDescent="0.25">
      <c r="A1748" t="s">
        <v>6</v>
      </c>
      <c r="B1748" s="1">
        <v>45761</v>
      </c>
      <c r="C1748" t="s">
        <v>1887</v>
      </c>
      <c r="D1748">
        <v>-49.4</v>
      </c>
      <c r="E1748" t="s">
        <v>10</v>
      </c>
      <c r="F1748">
        <v>8952.65</v>
      </c>
      <c r="G1748" t="str" cm="1">
        <f t="array" ref="G1748">IF(AND(ISNUMBER(SEARCH("UBER",C1748)),ISNUMBER(SEARCH("EATS",C1748))),"Uber Eats",IF(LEFT(C1748,6)="CHECK ","Checks Paid",IF(OR(E1748="BILLPAY",ISNUMBER(SEARCH("FRANCHISE TAX",C1748)),ISNUMBER(SEARCH("NEXTLINK",C1748))),"Personal - House Bills",IF(AND(ISNUMBER(SEARCH("PAYMENT FROM",C1748)),ISNUMBER(SEARCH("JOE SAUNDERS",C1748))),"Zelle from Joe Saunders",IF(AND(ISNUMBER(SEARCH("PAYMENT TO",C1748)),ISNUMBER(SEARCH("JOE SAUNDERS",C1748))),"Zelle to Joe Saunders",IF(OR(ISNUMBER(SEARCH("NEW ORLEANS",C1748)),ISNUMBER(SEARCH("KENNER",C1748)),ISNUMBER(SEARCH("HENRY HOWARD",C1748)),ISNUMBER(SEARCH("MISS CLAUDIA",C1748))),"Personal Travel - New Orleans",IF(AND(YEAR(B1748)=2025,MONTH(B1748)=4,OR(ISNUMBER(SEARCH("EXCHANGE RATE",C1748)),ISNUMBER(SEARCH("EXCHG RTE",C1748)))),"Personal Travel - Italy",IFERROR(INDEX('Category Rules'!$B$2:$B$358,MATCH(TRUE,ISNUMBER(SEARCH('Category Rules'!$A$2:$A$358,C1748)),0)),""))))))))</f>
        <v>Personal Travel - Italy</v>
      </c>
    </row>
    <row r="1749" spans="1:7" x14ac:dyDescent="0.25">
      <c r="A1749" t="s">
        <v>44</v>
      </c>
      <c r="B1749" s="1">
        <v>45761</v>
      </c>
      <c r="C1749" t="s">
        <v>1888</v>
      </c>
      <c r="D1749">
        <v>450</v>
      </c>
      <c r="E1749" t="s">
        <v>46</v>
      </c>
      <c r="F1749">
        <v>9002.0499999999993</v>
      </c>
      <c r="G1749" t="str" cm="1">
        <f t="array" ref="G1749">IF(AND(ISNUMBER(SEARCH("UBER",C1749)),ISNUMBER(SEARCH("EATS",C1749))),"Uber Eats",IF(LEFT(C1749,6)="CHECK ","Checks Paid",IF(OR(E1749="BILLPAY",ISNUMBER(SEARCH("FRANCHISE TAX",C1749)),ISNUMBER(SEARCH("NEXTLINK",C1749))),"Personal - House Bills",IF(AND(ISNUMBER(SEARCH("PAYMENT FROM",C1749)),ISNUMBER(SEARCH("JOE SAUNDERS",C1749))),"Zelle from Joe Saunders",IF(AND(ISNUMBER(SEARCH("PAYMENT TO",C1749)),ISNUMBER(SEARCH("JOE SAUNDERS",C1749))),"Zelle to Joe Saunders",IF(OR(ISNUMBER(SEARCH("NEW ORLEANS",C1749)),ISNUMBER(SEARCH("KENNER",C1749)),ISNUMBER(SEARCH("HENRY HOWARD",C1749)),ISNUMBER(SEARCH("MISS CLAUDIA",C1749))),"Personal Travel - New Orleans",IF(AND(YEAR(B1749)=2025,MONTH(B1749)=4,OR(ISNUMBER(SEARCH("EXCHANGE RATE",C1749)),ISNUMBER(SEARCH("EXCHG RTE",C1749)))),"Personal Travel - Italy",IFERROR(INDEX('Category Rules'!$B$2:$B$358,MATCH(TRUE,ISNUMBER(SEARCH('Category Rules'!$A$2:$A$358,C1749)),0)),""))))))))</f>
        <v>Zelle from Rose Li</v>
      </c>
    </row>
    <row r="1750" spans="1:7" x14ac:dyDescent="0.25">
      <c r="A1750" t="s">
        <v>6</v>
      </c>
      <c r="B1750" s="1">
        <v>45757</v>
      </c>
      <c r="C1750" t="s">
        <v>1889</v>
      </c>
      <c r="D1750">
        <v>-0.98</v>
      </c>
      <c r="E1750" t="s">
        <v>8</v>
      </c>
      <c r="F1750">
        <v>8552.0499999999993</v>
      </c>
      <c r="G1750" t="str" cm="1">
        <f t="array" ref="G1750">IF(AND(ISNUMBER(SEARCH("UBER",C1750)),ISNUMBER(SEARCH("EATS",C1750))),"Uber Eats",IF(LEFT(C1750,6)="CHECK ","Checks Paid",IF(OR(E1750="BILLPAY",ISNUMBER(SEARCH("FRANCHISE TAX",C1750)),ISNUMBER(SEARCH("NEXTLINK",C1750))),"Personal - House Bills",IF(AND(ISNUMBER(SEARCH("PAYMENT FROM",C1750)),ISNUMBER(SEARCH("JOE SAUNDERS",C1750))),"Zelle from Joe Saunders",IF(AND(ISNUMBER(SEARCH("PAYMENT TO",C1750)),ISNUMBER(SEARCH("JOE SAUNDERS",C1750))),"Zelle to Joe Saunders",IF(OR(ISNUMBER(SEARCH("NEW ORLEANS",C1750)),ISNUMBER(SEARCH("KENNER",C1750)),ISNUMBER(SEARCH("HENRY HOWARD",C1750)),ISNUMBER(SEARCH("MISS CLAUDIA",C1750))),"Personal Travel - New Orleans",IF(AND(YEAR(B1750)=2025,MONTH(B1750)=4,OR(ISNUMBER(SEARCH("EXCHANGE RATE",C1750)),ISNUMBER(SEARCH("EXCHG RTE",C1750)))),"Personal Travel - Italy",IFERROR(INDEX('Category Rules'!$B$2:$B$358,MATCH(TRUE,ISNUMBER(SEARCH('Category Rules'!$A$2:$A$358,C1750)),0)),""))))))))</f>
        <v>Personal Travel - Italy</v>
      </c>
    </row>
    <row r="1751" spans="1:7" x14ac:dyDescent="0.25">
      <c r="A1751" t="s">
        <v>6</v>
      </c>
      <c r="B1751" s="1">
        <v>45757</v>
      </c>
      <c r="C1751" t="s">
        <v>1890</v>
      </c>
      <c r="D1751">
        <v>-1.97</v>
      </c>
      <c r="E1751" t="s">
        <v>8</v>
      </c>
      <c r="F1751">
        <v>8553.0300000000007</v>
      </c>
      <c r="G1751" t="str" cm="1">
        <f t="array" ref="G1751">IF(AND(ISNUMBER(SEARCH("UBER",C1751)),ISNUMBER(SEARCH("EATS",C1751))),"Uber Eats",IF(LEFT(C1751,6)="CHECK ","Checks Paid",IF(OR(E1751="BILLPAY",ISNUMBER(SEARCH("FRANCHISE TAX",C1751)),ISNUMBER(SEARCH("NEXTLINK",C1751))),"Personal - House Bills",IF(AND(ISNUMBER(SEARCH("PAYMENT FROM",C1751)),ISNUMBER(SEARCH("JOE SAUNDERS",C1751))),"Zelle from Joe Saunders",IF(AND(ISNUMBER(SEARCH("PAYMENT TO",C1751)),ISNUMBER(SEARCH("JOE SAUNDERS",C1751))),"Zelle to Joe Saunders",IF(OR(ISNUMBER(SEARCH("NEW ORLEANS",C1751)),ISNUMBER(SEARCH("KENNER",C1751)),ISNUMBER(SEARCH("HENRY HOWARD",C1751)),ISNUMBER(SEARCH("MISS CLAUDIA",C1751))),"Personal Travel - New Orleans",IF(AND(YEAR(B1751)=2025,MONTH(B1751)=4,OR(ISNUMBER(SEARCH("EXCHANGE RATE",C1751)),ISNUMBER(SEARCH("EXCHG RTE",C1751)))),"Personal Travel - Italy",IFERROR(INDEX('Category Rules'!$B$2:$B$358,MATCH(TRUE,ISNUMBER(SEARCH('Category Rules'!$A$2:$A$358,C1751)),0)),""))))))))</f>
        <v>Personal Travel - Italy</v>
      </c>
    </row>
    <row r="1752" spans="1:7" x14ac:dyDescent="0.25">
      <c r="A1752" t="s">
        <v>6</v>
      </c>
      <c r="B1752" s="1">
        <v>45757</v>
      </c>
      <c r="C1752" t="s">
        <v>1891</v>
      </c>
      <c r="D1752">
        <v>-2.23</v>
      </c>
      <c r="E1752" t="s">
        <v>8</v>
      </c>
      <c r="F1752">
        <v>8555</v>
      </c>
      <c r="G1752" t="str" cm="1">
        <f t="array" ref="G1752">IF(AND(ISNUMBER(SEARCH("UBER",C1752)),ISNUMBER(SEARCH("EATS",C1752))),"Uber Eats",IF(LEFT(C1752,6)="CHECK ","Checks Paid",IF(OR(E1752="BILLPAY",ISNUMBER(SEARCH("FRANCHISE TAX",C1752)),ISNUMBER(SEARCH("NEXTLINK",C1752))),"Personal - House Bills",IF(AND(ISNUMBER(SEARCH("PAYMENT FROM",C1752)),ISNUMBER(SEARCH("JOE SAUNDERS",C1752))),"Zelle from Joe Saunders",IF(AND(ISNUMBER(SEARCH("PAYMENT TO",C1752)),ISNUMBER(SEARCH("JOE SAUNDERS",C1752))),"Zelle to Joe Saunders",IF(OR(ISNUMBER(SEARCH("NEW ORLEANS",C1752)),ISNUMBER(SEARCH("KENNER",C1752)),ISNUMBER(SEARCH("HENRY HOWARD",C1752)),ISNUMBER(SEARCH("MISS CLAUDIA",C1752))),"Personal Travel - New Orleans",IF(AND(YEAR(B1752)=2025,MONTH(B1752)=4,OR(ISNUMBER(SEARCH("EXCHANGE RATE",C1752)),ISNUMBER(SEARCH("EXCHG RTE",C1752)))),"Personal Travel - Italy",IFERROR(INDEX('Category Rules'!$B$2:$B$358,MATCH(TRUE,ISNUMBER(SEARCH('Category Rules'!$A$2:$A$358,C1752)),0)),""))))))))</f>
        <v>Personal Travel - Italy</v>
      </c>
    </row>
    <row r="1753" spans="1:7" x14ac:dyDescent="0.25">
      <c r="A1753" t="s">
        <v>6</v>
      </c>
      <c r="B1753" s="1">
        <v>45757</v>
      </c>
      <c r="C1753" t="s">
        <v>1892</v>
      </c>
      <c r="D1753">
        <v>-12.99</v>
      </c>
      <c r="E1753" t="s">
        <v>10</v>
      </c>
      <c r="F1753">
        <v>8557.23</v>
      </c>
      <c r="G1753" t="str" cm="1">
        <f t="array" ref="G1753">IF(AND(ISNUMBER(SEARCH("UBER",C1753)),ISNUMBER(SEARCH("EATS",C1753))),"Uber Eats",IF(LEFT(C1753,6)="CHECK ","Checks Paid",IF(OR(E1753="BILLPAY",ISNUMBER(SEARCH("FRANCHISE TAX",C1753)),ISNUMBER(SEARCH("NEXTLINK",C1753))),"Personal - House Bills",IF(AND(ISNUMBER(SEARCH("PAYMENT FROM",C1753)),ISNUMBER(SEARCH("JOE SAUNDERS",C1753))),"Zelle from Joe Saunders",IF(AND(ISNUMBER(SEARCH("PAYMENT TO",C1753)),ISNUMBER(SEARCH("JOE SAUNDERS",C1753))),"Zelle to Joe Saunders",IF(OR(ISNUMBER(SEARCH("NEW ORLEANS",C1753)),ISNUMBER(SEARCH("KENNER",C1753)),ISNUMBER(SEARCH("HENRY HOWARD",C1753)),ISNUMBER(SEARCH("MISS CLAUDIA",C1753))),"Personal Travel - New Orleans",IF(AND(YEAR(B1753)=2025,MONTH(B1753)=4,OR(ISNUMBER(SEARCH("EXCHANGE RATE",C1753)),ISNUMBER(SEARCH("EXCHG RTE",C1753)))),"Personal Travel - Italy",IFERROR(INDEX('Category Rules'!$B$2:$B$358,MATCH(TRUE,ISNUMBER(SEARCH('Category Rules'!$A$2:$A$358,C1753)),0)),""))))))))</f>
        <v>Apple</v>
      </c>
    </row>
    <row r="1754" spans="1:7" x14ac:dyDescent="0.25">
      <c r="A1754" t="s">
        <v>6</v>
      </c>
      <c r="B1754" s="1">
        <v>45757</v>
      </c>
      <c r="C1754" t="s">
        <v>1893</v>
      </c>
      <c r="D1754">
        <v>-74.430000000000007</v>
      </c>
      <c r="E1754" t="s">
        <v>10</v>
      </c>
      <c r="F1754">
        <v>8570.2199999999993</v>
      </c>
      <c r="G1754" t="str" cm="1">
        <f t="array" ref="G1754">IF(AND(ISNUMBER(SEARCH("UBER",C1754)),ISNUMBER(SEARCH("EATS",C1754))),"Uber Eats",IF(LEFT(C1754,6)="CHECK ","Checks Paid",IF(OR(E1754="BILLPAY",ISNUMBER(SEARCH("FRANCHISE TAX",C1754)),ISNUMBER(SEARCH("NEXTLINK",C1754))),"Personal - House Bills",IF(AND(ISNUMBER(SEARCH("PAYMENT FROM",C1754)),ISNUMBER(SEARCH("JOE SAUNDERS",C1754))),"Zelle from Joe Saunders",IF(AND(ISNUMBER(SEARCH("PAYMENT TO",C1754)),ISNUMBER(SEARCH("JOE SAUNDERS",C1754))),"Zelle to Joe Saunders",IF(OR(ISNUMBER(SEARCH("NEW ORLEANS",C1754)),ISNUMBER(SEARCH("KENNER",C1754)),ISNUMBER(SEARCH("HENRY HOWARD",C1754)),ISNUMBER(SEARCH("MISS CLAUDIA",C1754))),"Personal Travel - New Orleans",IF(AND(YEAR(B1754)=2025,MONTH(B1754)=4,OR(ISNUMBER(SEARCH("EXCHANGE RATE",C1754)),ISNUMBER(SEARCH("EXCHG RTE",C1754)))),"Personal Travel - Italy",IFERROR(INDEX('Category Rules'!$B$2:$B$358,MATCH(TRUE,ISNUMBER(SEARCH('Category Rules'!$A$2:$A$358,C1754)),0)),""))))))))</f>
        <v>Personal Travel - Italy</v>
      </c>
    </row>
    <row r="1755" spans="1:7" x14ac:dyDescent="0.25">
      <c r="A1755" t="s">
        <v>6</v>
      </c>
      <c r="B1755" s="1">
        <v>45757</v>
      </c>
      <c r="C1755" t="s">
        <v>1894</v>
      </c>
      <c r="D1755">
        <v>-32.979999999999997</v>
      </c>
      <c r="E1755" t="s">
        <v>10</v>
      </c>
      <c r="F1755">
        <v>8644.65</v>
      </c>
      <c r="G1755" t="str" cm="1">
        <f t="array" ref="G1755">IF(AND(ISNUMBER(SEARCH("UBER",C1755)),ISNUMBER(SEARCH("EATS",C1755))),"Uber Eats",IF(LEFT(C1755,6)="CHECK ","Checks Paid",IF(OR(E1755="BILLPAY",ISNUMBER(SEARCH("FRANCHISE TAX",C1755)),ISNUMBER(SEARCH("NEXTLINK",C1755))),"Personal - House Bills",IF(AND(ISNUMBER(SEARCH("PAYMENT FROM",C1755)),ISNUMBER(SEARCH("JOE SAUNDERS",C1755))),"Zelle from Joe Saunders",IF(AND(ISNUMBER(SEARCH("PAYMENT TO",C1755)),ISNUMBER(SEARCH("JOE SAUNDERS",C1755))),"Zelle to Joe Saunders",IF(OR(ISNUMBER(SEARCH("NEW ORLEANS",C1755)),ISNUMBER(SEARCH("KENNER",C1755)),ISNUMBER(SEARCH("HENRY HOWARD",C1755)),ISNUMBER(SEARCH("MISS CLAUDIA",C1755))),"Personal Travel - New Orleans",IF(AND(YEAR(B1755)=2025,MONTH(B1755)=4,OR(ISNUMBER(SEARCH("EXCHANGE RATE",C1755)),ISNUMBER(SEARCH("EXCHG RTE",C1755)))),"Personal Travel - Italy",IFERROR(INDEX('Category Rules'!$B$2:$B$358,MATCH(TRUE,ISNUMBER(SEARCH('Category Rules'!$A$2:$A$358,C1755)),0)),""))))))))</f>
        <v>Personal Travel - Italy</v>
      </c>
    </row>
    <row r="1756" spans="1:7" x14ac:dyDescent="0.25">
      <c r="A1756" t="s">
        <v>6</v>
      </c>
      <c r="B1756" s="1">
        <v>45757</v>
      </c>
      <c r="C1756" t="s">
        <v>1895</v>
      </c>
      <c r="D1756">
        <v>-65.959999999999994</v>
      </c>
      <c r="E1756" t="s">
        <v>10</v>
      </c>
      <c r="F1756">
        <v>8677.6299999999992</v>
      </c>
      <c r="G1756" t="str" cm="1">
        <f t="array" ref="G1756">IF(AND(ISNUMBER(SEARCH("UBER",C1756)),ISNUMBER(SEARCH("EATS",C1756))),"Uber Eats",IF(LEFT(C1756,6)="CHECK ","Checks Paid",IF(OR(E1756="BILLPAY",ISNUMBER(SEARCH("FRANCHISE TAX",C1756)),ISNUMBER(SEARCH("NEXTLINK",C1756))),"Personal - House Bills",IF(AND(ISNUMBER(SEARCH("PAYMENT FROM",C1756)),ISNUMBER(SEARCH("JOE SAUNDERS",C1756))),"Zelle from Joe Saunders",IF(AND(ISNUMBER(SEARCH("PAYMENT TO",C1756)),ISNUMBER(SEARCH("JOE SAUNDERS",C1756))),"Zelle to Joe Saunders",IF(OR(ISNUMBER(SEARCH("NEW ORLEANS",C1756)),ISNUMBER(SEARCH("KENNER",C1756)),ISNUMBER(SEARCH("HENRY HOWARD",C1756)),ISNUMBER(SEARCH("MISS CLAUDIA",C1756))),"Personal Travel - New Orleans",IF(AND(YEAR(B1756)=2025,MONTH(B1756)=4,OR(ISNUMBER(SEARCH("EXCHANGE RATE",C1756)),ISNUMBER(SEARCH("EXCHG RTE",C1756)))),"Personal Travel - Italy",IFERROR(INDEX('Category Rules'!$B$2:$B$358,MATCH(TRUE,ISNUMBER(SEARCH('Category Rules'!$A$2:$A$358,C1756)),0)),""))))))))</f>
        <v>Personal Travel - Italy</v>
      </c>
    </row>
    <row r="1757" spans="1:7" x14ac:dyDescent="0.25">
      <c r="A1757" t="s">
        <v>6</v>
      </c>
      <c r="B1757" s="1">
        <v>45756</v>
      </c>
      <c r="C1757" t="s">
        <v>21</v>
      </c>
      <c r="D1757">
        <v>-5</v>
      </c>
      <c r="E1757" t="s">
        <v>8</v>
      </c>
      <c r="F1757">
        <v>8743.59</v>
      </c>
      <c r="G1757" t="str" cm="1">
        <f t="array" ref="G1757">IF(AND(ISNUMBER(SEARCH("UBER",C1757)),ISNUMBER(SEARCH("EATS",C1757))),"Uber Eats",IF(LEFT(C1757,6)="CHECK ","Checks Paid",IF(OR(E1757="BILLPAY",ISNUMBER(SEARCH("FRANCHISE TAX",C1757)),ISNUMBER(SEARCH("NEXTLINK",C1757))),"Personal - House Bills",IF(AND(ISNUMBER(SEARCH("PAYMENT FROM",C1757)),ISNUMBER(SEARCH("JOE SAUNDERS",C1757))),"Zelle from Joe Saunders",IF(AND(ISNUMBER(SEARCH("PAYMENT TO",C1757)),ISNUMBER(SEARCH("JOE SAUNDERS",C1757))),"Zelle to Joe Saunders",IF(OR(ISNUMBER(SEARCH("NEW ORLEANS",C1757)),ISNUMBER(SEARCH("KENNER",C1757)),ISNUMBER(SEARCH("HENRY HOWARD",C1757)),ISNUMBER(SEARCH("MISS CLAUDIA",C1757))),"Personal Travel - New Orleans",IF(AND(YEAR(B1757)=2025,MONTH(B1757)=4,OR(ISNUMBER(SEARCH("EXCHANGE RATE",C1757)),ISNUMBER(SEARCH("EXCHG RTE",C1757)))),"Personal Travel - Italy",IFERROR(INDEX('Category Rules'!$B$2:$B$358,MATCH(TRUE,ISNUMBER(SEARCH('Category Rules'!$A$2:$A$358,C1757)),0)),""))))))))</f>
        <v>Bank Fees</v>
      </c>
    </row>
    <row r="1758" spans="1:7" x14ac:dyDescent="0.25">
      <c r="A1758" t="s">
        <v>6</v>
      </c>
      <c r="B1758" s="1">
        <v>45756</v>
      </c>
      <c r="C1758" t="s">
        <v>1896</v>
      </c>
      <c r="D1758">
        <v>-385.39</v>
      </c>
      <c r="E1758" t="s">
        <v>26</v>
      </c>
      <c r="F1758">
        <v>8748.59</v>
      </c>
      <c r="G1758" t="str" cm="1">
        <f t="array" ref="G1758">IF(AND(ISNUMBER(SEARCH("UBER",C1758)),ISNUMBER(SEARCH("EATS",C1758))),"Uber Eats",IF(LEFT(C1758,6)="CHECK ","Checks Paid",IF(OR(E1758="BILLPAY",ISNUMBER(SEARCH("FRANCHISE TAX",C1758)),ISNUMBER(SEARCH("NEXTLINK",C1758))),"Personal - House Bills",IF(AND(ISNUMBER(SEARCH("PAYMENT FROM",C1758)),ISNUMBER(SEARCH("JOE SAUNDERS",C1758))),"Zelle from Joe Saunders",IF(AND(ISNUMBER(SEARCH("PAYMENT TO",C1758)),ISNUMBER(SEARCH("JOE SAUNDERS",C1758))),"Zelle to Joe Saunders",IF(OR(ISNUMBER(SEARCH("NEW ORLEANS",C1758)),ISNUMBER(SEARCH("KENNER",C1758)),ISNUMBER(SEARCH("HENRY HOWARD",C1758)),ISNUMBER(SEARCH("MISS CLAUDIA",C1758))),"Personal Travel - New Orleans",IF(AND(YEAR(B1758)=2025,MONTH(B1758)=4,OR(ISNUMBER(SEARCH("EXCHANGE RATE",C1758)),ISNUMBER(SEARCH("EXCHG RTE",C1758)))),"Personal Travel - Italy",IFERROR(INDEX('Category Rules'!$B$2:$B$358,MATCH(TRUE,ISNUMBER(SEARCH('Category Rules'!$A$2:$A$358,C1758)),0)),""))))))))</f>
        <v>Withdrawal</v>
      </c>
    </row>
    <row r="1759" spans="1:7" x14ac:dyDescent="0.25">
      <c r="A1759" t="s">
        <v>6</v>
      </c>
      <c r="B1759" s="1">
        <v>45756</v>
      </c>
      <c r="C1759" t="s">
        <v>1897</v>
      </c>
      <c r="D1759">
        <v>-1000</v>
      </c>
      <c r="E1759" t="s">
        <v>73</v>
      </c>
      <c r="F1759">
        <v>9133.98</v>
      </c>
      <c r="G1759" t="str" cm="1">
        <f t="array" ref="G1759">IF(AND(ISNUMBER(SEARCH("UBER",C1759)),ISNUMBER(SEARCH("EATS",C1759))),"Uber Eats",IF(LEFT(C1759,6)="CHECK ","Checks Paid",IF(OR(E1759="BILLPAY",ISNUMBER(SEARCH("FRANCHISE TAX",C1759)),ISNUMBER(SEARCH("NEXTLINK",C1759))),"Personal - House Bills",IF(AND(ISNUMBER(SEARCH("PAYMENT FROM",C1759)),ISNUMBER(SEARCH("JOE SAUNDERS",C1759))),"Zelle from Joe Saunders",IF(AND(ISNUMBER(SEARCH("PAYMENT TO",C1759)),ISNUMBER(SEARCH("JOE SAUNDERS",C1759))),"Zelle to Joe Saunders",IF(OR(ISNUMBER(SEARCH("NEW ORLEANS",C1759)),ISNUMBER(SEARCH("KENNER",C1759)),ISNUMBER(SEARCH("HENRY HOWARD",C1759)),ISNUMBER(SEARCH("MISS CLAUDIA",C1759))),"Personal Travel - New Orleans",IF(AND(YEAR(B1759)=2025,MONTH(B1759)=4,OR(ISNUMBER(SEARCH("EXCHANGE RATE",C1759)),ISNUMBER(SEARCH("EXCHG RTE",C1759)))),"Personal Travel - Italy",IFERROR(INDEX('Category Rules'!$B$2:$B$358,MATCH(TRUE,ISNUMBER(SEARCH('Category Rules'!$A$2:$A$358,C1759)),0)),""))))))))</f>
        <v>Transfer to Ava</v>
      </c>
    </row>
    <row r="1760" spans="1:7" x14ac:dyDescent="0.25">
      <c r="A1760" t="s">
        <v>6</v>
      </c>
      <c r="B1760" s="1">
        <v>45756</v>
      </c>
      <c r="C1760" t="s">
        <v>1898</v>
      </c>
      <c r="D1760">
        <v>-17.55</v>
      </c>
      <c r="E1760" t="s">
        <v>10</v>
      </c>
      <c r="F1760">
        <v>10133.98</v>
      </c>
      <c r="G1760" t="str" cm="1">
        <f t="array" ref="G1760">IF(AND(ISNUMBER(SEARCH("UBER",C1760)),ISNUMBER(SEARCH("EATS",C1760))),"Uber Eats",IF(LEFT(C1760,6)="CHECK ","Checks Paid",IF(OR(E1760="BILLPAY",ISNUMBER(SEARCH("FRANCHISE TAX",C1760)),ISNUMBER(SEARCH("NEXTLINK",C1760))),"Personal - House Bills",IF(AND(ISNUMBER(SEARCH("PAYMENT FROM",C1760)),ISNUMBER(SEARCH("JOE SAUNDERS",C1760))),"Zelle from Joe Saunders",IF(AND(ISNUMBER(SEARCH("PAYMENT TO",C1760)),ISNUMBER(SEARCH("JOE SAUNDERS",C1760))),"Zelle to Joe Saunders",IF(OR(ISNUMBER(SEARCH("NEW ORLEANS",C1760)),ISNUMBER(SEARCH("KENNER",C1760)),ISNUMBER(SEARCH("HENRY HOWARD",C1760)),ISNUMBER(SEARCH("MISS CLAUDIA",C1760))),"Personal Travel - New Orleans",IF(AND(YEAR(B1760)=2025,MONTH(B1760)=4,OR(ISNUMBER(SEARCH("EXCHANGE RATE",C1760)),ISNUMBER(SEARCH("EXCHG RTE",C1760)))),"Personal Travel - Italy",IFERROR(INDEX('Category Rules'!$B$2:$B$358,MATCH(TRUE,ISNUMBER(SEARCH('Category Rules'!$A$2:$A$358,C1760)),0)),""))))))))</f>
        <v>Amazon</v>
      </c>
    </row>
    <row r="1761" spans="1:7" x14ac:dyDescent="0.25">
      <c r="A1761" t="s">
        <v>6</v>
      </c>
      <c r="B1761" s="1">
        <v>45756</v>
      </c>
      <c r="C1761" t="s">
        <v>1899</v>
      </c>
      <c r="D1761">
        <v>-6.99</v>
      </c>
      <c r="E1761" t="s">
        <v>10</v>
      </c>
      <c r="F1761">
        <v>10151.530000000001</v>
      </c>
      <c r="G1761" t="str" cm="1">
        <f t="array" ref="G1761">IF(AND(ISNUMBER(SEARCH("UBER",C1761)),ISNUMBER(SEARCH("EATS",C1761))),"Uber Eats",IF(LEFT(C1761,6)="CHECK ","Checks Paid",IF(OR(E1761="BILLPAY",ISNUMBER(SEARCH("FRANCHISE TAX",C1761)),ISNUMBER(SEARCH("NEXTLINK",C1761))),"Personal - House Bills",IF(AND(ISNUMBER(SEARCH("PAYMENT FROM",C1761)),ISNUMBER(SEARCH("JOE SAUNDERS",C1761))),"Zelle from Joe Saunders",IF(AND(ISNUMBER(SEARCH("PAYMENT TO",C1761)),ISNUMBER(SEARCH("JOE SAUNDERS",C1761))),"Zelle to Joe Saunders",IF(OR(ISNUMBER(SEARCH("NEW ORLEANS",C1761)),ISNUMBER(SEARCH("KENNER",C1761)),ISNUMBER(SEARCH("HENRY HOWARD",C1761)),ISNUMBER(SEARCH("MISS CLAUDIA",C1761))),"Personal Travel - New Orleans",IF(AND(YEAR(B1761)=2025,MONTH(B1761)=4,OR(ISNUMBER(SEARCH("EXCHANGE RATE",C1761)),ISNUMBER(SEARCH("EXCHG RTE",C1761)))),"Personal Travel - Italy",IFERROR(INDEX('Category Rules'!$B$2:$B$358,MATCH(TRUE,ISNUMBER(SEARCH('Category Rules'!$A$2:$A$358,C1761)),0)),""))))))))</f>
        <v>Apple</v>
      </c>
    </row>
    <row r="1762" spans="1:7" x14ac:dyDescent="0.25">
      <c r="A1762" t="s">
        <v>6</v>
      </c>
      <c r="B1762" s="1">
        <v>45756</v>
      </c>
      <c r="C1762" t="s">
        <v>1900</v>
      </c>
      <c r="D1762">
        <v>49.74</v>
      </c>
      <c r="E1762" t="s">
        <v>10</v>
      </c>
      <c r="F1762">
        <v>10158.52</v>
      </c>
      <c r="G1762" t="str" cm="1">
        <f t="array" ref="G1762">IF(AND(ISNUMBER(SEARCH("UBER",C1762)),ISNUMBER(SEARCH("EATS",C1762))),"Uber Eats",IF(LEFT(C1762,6)="CHECK ","Checks Paid",IF(OR(E1762="BILLPAY",ISNUMBER(SEARCH("FRANCHISE TAX",C1762)),ISNUMBER(SEARCH("NEXTLINK",C1762))),"Personal - House Bills",IF(AND(ISNUMBER(SEARCH("PAYMENT FROM",C1762)),ISNUMBER(SEARCH("JOE SAUNDERS",C1762))),"Zelle from Joe Saunders",IF(AND(ISNUMBER(SEARCH("PAYMENT TO",C1762)),ISNUMBER(SEARCH("JOE SAUNDERS",C1762))),"Zelle to Joe Saunders",IF(OR(ISNUMBER(SEARCH("NEW ORLEANS",C1762)),ISNUMBER(SEARCH("KENNER",C1762)),ISNUMBER(SEARCH("HENRY HOWARD",C1762)),ISNUMBER(SEARCH("MISS CLAUDIA",C1762))),"Personal Travel - New Orleans",IF(AND(YEAR(B1762)=2025,MONTH(B1762)=4,OR(ISNUMBER(SEARCH("EXCHANGE RATE",C1762)),ISNUMBER(SEARCH("EXCHG RTE",C1762)))),"Personal Travel - Italy",IFERROR(INDEX('Category Rules'!$B$2:$B$358,MATCH(TRUE,ISNUMBER(SEARCH('Category Rules'!$A$2:$A$358,C1762)),0)),""))))))))</f>
        <v>Amazon</v>
      </c>
    </row>
    <row r="1763" spans="1:7" x14ac:dyDescent="0.25">
      <c r="A1763" t="s">
        <v>6</v>
      </c>
      <c r="B1763" s="1">
        <v>45755</v>
      </c>
      <c r="C1763" t="s">
        <v>1901</v>
      </c>
      <c r="D1763">
        <v>-0.26</v>
      </c>
      <c r="E1763" t="s">
        <v>8</v>
      </c>
      <c r="F1763">
        <v>10108.780000000001</v>
      </c>
      <c r="G1763" t="str" cm="1">
        <f t="array" ref="G1763">IF(AND(ISNUMBER(SEARCH("UBER",C1763)),ISNUMBER(SEARCH("EATS",C1763))),"Uber Eats",IF(LEFT(C1763,6)="CHECK ","Checks Paid",IF(OR(E1763="BILLPAY",ISNUMBER(SEARCH("FRANCHISE TAX",C1763)),ISNUMBER(SEARCH("NEXTLINK",C1763))),"Personal - House Bills",IF(AND(ISNUMBER(SEARCH("PAYMENT FROM",C1763)),ISNUMBER(SEARCH("JOE SAUNDERS",C1763))),"Zelle from Joe Saunders",IF(AND(ISNUMBER(SEARCH("PAYMENT TO",C1763)),ISNUMBER(SEARCH("JOE SAUNDERS",C1763))),"Zelle to Joe Saunders",IF(OR(ISNUMBER(SEARCH("NEW ORLEANS",C1763)),ISNUMBER(SEARCH("KENNER",C1763)),ISNUMBER(SEARCH("HENRY HOWARD",C1763)),ISNUMBER(SEARCH("MISS CLAUDIA",C1763))),"Personal Travel - New Orleans",IF(AND(YEAR(B1763)=2025,MONTH(B1763)=4,OR(ISNUMBER(SEARCH("EXCHANGE RATE",C1763)),ISNUMBER(SEARCH("EXCHG RTE",C1763)))),"Personal Travel - Italy",IFERROR(INDEX('Category Rules'!$B$2:$B$358,MATCH(TRUE,ISNUMBER(SEARCH('Category Rules'!$A$2:$A$358,C1763)),0)),""))))))))</f>
        <v>Personal Travel - Italy</v>
      </c>
    </row>
    <row r="1764" spans="1:7" x14ac:dyDescent="0.25">
      <c r="A1764" t="s">
        <v>6</v>
      </c>
      <c r="B1764" s="1">
        <v>45755</v>
      </c>
      <c r="C1764" t="s">
        <v>1902</v>
      </c>
      <c r="D1764">
        <v>-2.16</v>
      </c>
      <c r="E1764" t="s">
        <v>8</v>
      </c>
      <c r="F1764">
        <v>10109.040000000001</v>
      </c>
      <c r="G1764" t="str" cm="1">
        <f t="array" ref="G1764">IF(AND(ISNUMBER(SEARCH("UBER",C1764)),ISNUMBER(SEARCH("EATS",C1764))),"Uber Eats",IF(LEFT(C1764,6)="CHECK ","Checks Paid",IF(OR(E1764="BILLPAY",ISNUMBER(SEARCH("FRANCHISE TAX",C1764)),ISNUMBER(SEARCH("NEXTLINK",C1764))),"Personal - House Bills",IF(AND(ISNUMBER(SEARCH("PAYMENT FROM",C1764)),ISNUMBER(SEARCH("JOE SAUNDERS",C1764))),"Zelle from Joe Saunders",IF(AND(ISNUMBER(SEARCH("PAYMENT TO",C1764)),ISNUMBER(SEARCH("JOE SAUNDERS",C1764))),"Zelle to Joe Saunders",IF(OR(ISNUMBER(SEARCH("NEW ORLEANS",C1764)),ISNUMBER(SEARCH("KENNER",C1764)),ISNUMBER(SEARCH("HENRY HOWARD",C1764)),ISNUMBER(SEARCH("MISS CLAUDIA",C1764))),"Personal Travel - New Orleans",IF(AND(YEAR(B1764)=2025,MONTH(B1764)=4,OR(ISNUMBER(SEARCH("EXCHANGE RATE",C1764)),ISNUMBER(SEARCH("EXCHG RTE",C1764)))),"Personal Travel - Italy",IFERROR(INDEX('Category Rules'!$B$2:$B$358,MATCH(TRUE,ISNUMBER(SEARCH('Category Rules'!$A$2:$A$358,C1764)),0)),""))))))))</f>
        <v>Personal Travel - Italy</v>
      </c>
    </row>
    <row r="1765" spans="1:7" x14ac:dyDescent="0.25">
      <c r="A1765" t="s">
        <v>6</v>
      </c>
      <c r="B1765" s="1">
        <v>45755</v>
      </c>
      <c r="C1765" t="s">
        <v>1903</v>
      </c>
      <c r="D1765">
        <v>-3.73</v>
      </c>
      <c r="E1765" t="s">
        <v>8</v>
      </c>
      <c r="F1765">
        <v>10111.200000000001</v>
      </c>
      <c r="G1765" t="str" cm="1">
        <f t="array" ref="G1765">IF(AND(ISNUMBER(SEARCH("UBER",C1765)),ISNUMBER(SEARCH("EATS",C1765))),"Uber Eats",IF(LEFT(C1765,6)="CHECK ","Checks Paid",IF(OR(E1765="BILLPAY",ISNUMBER(SEARCH("FRANCHISE TAX",C1765)),ISNUMBER(SEARCH("NEXTLINK",C1765))),"Personal - House Bills",IF(AND(ISNUMBER(SEARCH("PAYMENT FROM",C1765)),ISNUMBER(SEARCH("JOE SAUNDERS",C1765))),"Zelle from Joe Saunders",IF(AND(ISNUMBER(SEARCH("PAYMENT TO",C1765)),ISNUMBER(SEARCH("JOE SAUNDERS",C1765))),"Zelle to Joe Saunders",IF(OR(ISNUMBER(SEARCH("NEW ORLEANS",C1765)),ISNUMBER(SEARCH("KENNER",C1765)),ISNUMBER(SEARCH("HENRY HOWARD",C1765)),ISNUMBER(SEARCH("MISS CLAUDIA",C1765))),"Personal Travel - New Orleans",IF(AND(YEAR(B1765)=2025,MONTH(B1765)=4,OR(ISNUMBER(SEARCH("EXCHANGE RATE",C1765)),ISNUMBER(SEARCH("EXCHG RTE",C1765)))),"Personal Travel - Italy",IFERROR(INDEX('Category Rules'!$B$2:$B$358,MATCH(TRUE,ISNUMBER(SEARCH('Category Rules'!$A$2:$A$358,C1765)),0)),""))))))))</f>
        <v>Personal Travel - Italy</v>
      </c>
    </row>
    <row r="1766" spans="1:7" x14ac:dyDescent="0.25">
      <c r="A1766" t="s">
        <v>6</v>
      </c>
      <c r="B1766" s="1">
        <v>45755</v>
      </c>
      <c r="C1766" t="s">
        <v>21</v>
      </c>
      <c r="D1766">
        <v>-5</v>
      </c>
      <c r="E1766" t="s">
        <v>8</v>
      </c>
      <c r="F1766">
        <v>10114.93</v>
      </c>
      <c r="G1766" t="str" cm="1">
        <f t="array" ref="G1766">IF(AND(ISNUMBER(SEARCH("UBER",C1766)),ISNUMBER(SEARCH("EATS",C1766))),"Uber Eats",IF(LEFT(C1766,6)="CHECK ","Checks Paid",IF(OR(E1766="BILLPAY",ISNUMBER(SEARCH("FRANCHISE TAX",C1766)),ISNUMBER(SEARCH("NEXTLINK",C1766))),"Personal - House Bills",IF(AND(ISNUMBER(SEARCH("PAYMENT FROM",C1766)),ISNUMBER(SEARCH("JOE SAUNDERS",C1766))),"Zelle from Joe Saunders",IF(AND(ISNUMBER(SEARCH("PAYMENT TO",C1766)),ISNUMBER(SEARCH("JOE SAUNDERS",C1766))),"Zelle to Joe Saunders",IF(OR(ISNUMBER(SEARCH("NEW ORLEANS",C1766)),ISNUMBER(SEARCH("KENNER",C1766)),ISNUMBER(SEARCH("HENRY HOWARD",C1766)),ISNUMBER(SEARCH("MISS CLAUDIA",C1766))),"Personal Travel - New Orleans",IF(AND(YEAR(B1766)=2025,MONTH(B1766)=4,OR(ISNUMBER(SEARCH("EXCHANGE RATE",C1766)),ISNUMBER(SEARCH("EXCHG RTE",C1766)))),"Personal Travel - Italy",IFERROR(INDEX('Category Rules'!$B$2:$B$358,MATCH(TRUE,ISNUMBER(SEARCH('Category Rules'!$A$2:$A$358,C1766)),0)),""))))))))</f>
        <v>Bank Fees</v>
      </c>
    </row>
    <row r="1767" spans="1:7" x14ac:dyDescent="0.25">
      <c r="A1767" t="s">
        <v>6</v>
      </c>
      <c r="B1767" s="1">
        <v>45755</v>
      </c>
      <c r="C1767" t="s">
        <v>1904</v>
      </c>
      <c r="D1767">
        <v>-9.9499999999999993</v>
      </c>
      <c r="E1767" t="s">
        <v>8</v>
      </c>
      <c r="F1767">
        <v>10119.93</v>
      </c>
      <c r="G1767" t="str" cm="1">
        <f t="array" ref="G1767">IF(AND(ISNUMBER(SEARCH("UBER",C1767)),ISNUMBER(SEARCH("EATS",C1767))),"Uber Eats",IF(LEFT(C1767,6)="CHECK ","Checks Paid",IF(OR(E1767="BILLPAY",ISNUMBER(SEARCH("FRANCHISE TAX",C1767)),ISNUMBER(SEARCH("NEXTLINK",C1767))),"Personal - House Bills",IF(AND(ISNUMBER(SEARCH("PAYMENT FROM",C1767)),ISNUMBER(SEARCH("JOE SAUNDERS",C1767))),"Zelle from Joe Saunders",IF(AND(ISNUMBER(SEARCH("PAYMENT TO",C1767)),ISNUMBER(SEARCH("JOE SAUNDERS",C1767))),"Zelle to Joe Saunders",IF(OR(ISNUMBER(SEARCH("NEW ORLEANS",C1767)),ISNUMBER(SEARCH("KENNER",C1767)),ISNUMBER(SEARCH("HENRY HOWARD",C1767)),ISNUMBER(SEARCH("MISS CLAUDIA",C1767))),"Personal Travel - New Orleans",IF(AND(YEAR(B1767)=2025,MONTH(B1767)=4,OR(ISNUMBER(SEARCH("EXCHANGE RATE",C1767)),ISNUMBER(SEARCH("EXCHG RTE",C1767)))),"Personal Travel - Italy",IFERROR(INDEX('Category Rules'!$B$2:$B$358,MATCH(TRUE,ISNUMBER(SEARCH('Category Rules'!$A$2:$A$358,C1767)),0)),""))))))))</f>
        <v>Personal Travel - Italy</v>
      </c>
    </row>
    <row r="1768" spans="1:7" x14ac:dyDescent="0.25">
      <c r="A1768" t="s">
        <v>6</v>
      </c>
      <c r="B1768" s="1">
        <v>45755</v>
      </c>
      <c r="C1768" t="s">
        <v>1905</v>
      </c>
      <c r="D1768">
        <v>-73.97</v>
      </c>
      <c r="E1768" t="s">
        <v>10</v>
      </c>
      <c r="F1768">
        <v>10129.879999999999</v>
      </c>
      <c r="G1768" t="str" cm="1">
        <f t="array" ref="G1768">IF(AND(ISNUMBER(SEARCH("UBER",C1768)),ISNUMBER(SEARCH("EATS",C1768))),"Uber Eats",IF(LEFT(C1768,6)="CHECK ","Checks Paid",IF(OR(E1768="BILLPAY",ISNUMBER(SEARCH("FRANCHISE TAX",C1768)),ISNUMBER(SEARCH("NEXTLINK",C1768))),"Personal - House Bills",IF(AND(ISNUMBER(SEARCH("PAYMENT FROM",C1768)),ISNUMBER(SEARCH("JOE SAUNDERS",C1768))),"Zelle from Joe Saunders",IF(AND(ISNUMBER(SEARCH("PAYMENT TO",C1768)),ISNUMBER(SEARCH("JOE SAUNDERS",C1768))),"Zelle to Joe Saunders",IF(OR(ISNUMBER(SEARCH("NEW ORLEANS",C1768)),ISNUMBER(SEARCH("KENNER",C1768)),ISNUMBER(SEARCH("HENRY HOWARD",C1768)),ISNUMBER(SEARCH("MISS CLAUDIA",C1768))),"Personal Travel - New Orleans",IF(AND(YEAR(B1768)=2025,MONTH(B1768)=4,OR(ISNUMBER(SEARCH("EXCHANGE RATE",C1768)),ISNUMBER(SEARCH("EXCHG RTE",C1768)))),"Personal Travel - Italy",IFERROR(INDEX('Category Rules'!$B$2:$B$358,MATCH(TRUE,ISNUMBER(SEARCH('Category Rules'!$A$2:$A$358,C1768)),0)),""))))))))</f>
        <v>Personal - Uber</v>
      </c>
    </row>
    <row r="1769" spans="1:7" x14ac:dyDescent="0.25">
      <c r="A1769" t="s">
        <v>6</v>
      </c>
      <c r="B1769" s="1">
        <v>45755</v>
      </c>
      <c r="C1769" t="s">
        <v>1906</v>
      </c>
      <c r="D1769">
        <v>-66.95</v>
      </c>
      <c r="E1769" t="s">
        <v>10</v>
      </c>
      <c r="F1769">
        <v>10203.85</v>
      </c>
      <c r="G1769" t="str" cm="1">
        <f t="array" ref="G1769">IF(AND(ISNUMBER(SEARCH("UBER",C1769)),ISNUMBER(SEARCH("EATS",C1769))),"Uber Eats",IF(LEFT(C1769,6)="CHECK ","Checks Paid",IF(OR(E1769="BILLPAY",ISNUMBER(SEARCH("FRANCHISE TAX",C1769)),ISNUMBER(SEARCH("NEXTLINK",C1769))),"Personal - House Bills",IF(AND(ISNUMBER(SEARCH("PAYMENT FROM",C1769)),ISNUMBER(SEARCH("JOE SAUNDERS",C1769))),"Zelle from Joe Saunders",IF(AND(ISNUMBER(SEARCH("PAYMENT TO",C1769)),ISNUMBER(SEARCH("JOE SAUNDERS",C1769))),"Zelle to Joe Saunders",IF(OR(ISNUMBER(SEARCH("NEW ORLEANS",C1769)),ISNUMBER(SEARCH("KENNER",C1769)),ISNUMBER(SEARCH("HENRY HOWARD",C1769)),ISNUMBER(SEARCH("MISS CLAUDIA",C1769))),"Personal Travel - New Orleans",IF(AND(YEAR(B1769)=2025,MONTH(B1769)=4,OR(ISNUMBER(SEARCH("EXCHANGE RATE",C1769)),ISNUMBER(SEARCH("EXCHG RTE",C1769)))),"Personal Travel - Italy",IFERROR(INDEX('Category Rules'!$B$2:$B$358,MATCH(TRUE,ISNUMBER(SEARCH('Category Rules'!$A$2:$A$358,C1769)),0)),""))))))))</f>
        <v>Personal - Uber</v>
      </c>
    </row>
    <row r="1770" spans="1:7" x14ac:dyDescent="0.25">
      <c r="A1770" t="s">
        <v>6</v>
      </c>
      <c r="B1770" s="1">
        <v>45755</v>
      </c>
      <c r="C1770" t="s">
        <v>1907</v>
      </c>
      <c r="D1770">
        <v>-331.56</v>
      </c>
      <c r="E1770" t="s">
        <v>26</v>
      </c>
      <c r="F1770">
        <v>10270.799999999999</v>
      </c>
      <c r="G1770" t="str" cm="1">
        <f t="array" ref="G1770">IF(AND(ISNUMBER(SEARCH("UBER",C1770)),ISNUMBER(SEARCH("EATS",C1770))),"Uber Eats",IF(LEFT(C1770,6)="CHECK ","Checks Paid",IF(OR(E1770="BILLPAY",ISNUMBER(SEARCH("FRANCHISE TAX",C1770)),ISNUMBER(SEARCH("NEXTLINK",C1770))),"Personal - House Bills",IF(AND(ISNUMBER(SEARCH("PAYMENT FROM",C1770)),ISNUMBER(SEARCH("JOE SAUNDERS",C1770))),"Zelle from Joe Saunders",IF(AND(ISNUMBER(SEARCH("PAYMENT TO",C1770)),ISNUMBER(SEARCH("JOE SAUNDERS",C1770))),"Zelle to Joe Saunders",IF(OR(ISNUMBER(SEARCH("NEW ORLEANS",C1770)),ISNUMBER(SEARCH("KENNER",C1770)),ISNUMBER(SEARCH("HENRY HOWARD",C1770)),ISNUMBER(SEARCH("MISS CLAUDIA",C1770))),"Personal Travel - New Orleans",IF(AND(YEAR(B1770)=2025,MONTH(B1770)=4,OR(ISNUMBER(SEARCH("EXCHANGE RATE",C1770)),ISNUMBER(SEARCH("EXCHG RTE",C1770)))),"Personal Travel - Italy",IFERROR(INDEX('Category Rules'!$B$2:$B$358,MATCH(TRUE,ISNUMBER(SEARCH('Category Rules'!$A$2:$A$358,C1770)),0)),""))))))))</f>
        <v>Personal Travel - Italy</v>
      </c>
    </row>
    <row r="1771" spans="1:7" x14ac:dyDescent="0.25">
      <c r="A1771" t="s">
        <v>6</v>
      </c>
      <c r="B1771" s="1">
        <v>45755</v>
      </c>
      <c r="C1771" t="s">
        <v>1908</v>
      </c>
      <c r="D1771">
        <v>-11.74</v>
      </c>
      <c r="E1771" t="s">
        <v>10</v>
      </c>
      <c r="F1771">
        <v>10602.36</v>
      </c>
      <c r="G1771" t="str" cm="1">
        <f t="array" ref="G1771">IF(AND(ISNUMBER(SEARCH("UBER",C1771)),ISNUMBER(SEARCH("EATS",C1771))),"Uber Eats",IF(LEFT(C1771,6)="CHECK ","Checks Paid",IF(OR(E1771="BILLPAY",ISNUMBER(SEARCH("FRANCHISE TAX",C1771)),ISNUMBER(SEARCH("NEXTLINK",C1771))),"Personal - House Bills",IF(AND(ISNUMBER(SEARCH("PAYMENT FROM",C1771)),ISNUMBER(SEARCH("JOE SAUNDERS",C1771))),"Zelle from Joe Saunders",IF(AND(ISNUMBER(SEARCH("PAYMENT TO",C1771)),ISNUMBER(SEARCH("JOE SAUNDERS",C1771))),"Zelle to Joe Saunders",IF(OR(ISNUMBER(SEARCH("NEW ORLEANS",C1771)),ISNUMBER(SEARCH("KENNER",C1771)),ISNUMBER(SEARCH("HENRY HOWARD",C1771)),ISNUMBER(SEARCH("MISS CLAUDIA",C1771))),"Personal Travel - New Orleans",IF(AND(YEAR(B1771)=2025,MONTH(B1771)=4,OR(ISNUMBER(SEARCH("EXCHANGE RATE",C1771)),ISNUMBER(SEARCH("EXCHG RTE",C1771)))),"Personal Travel - Italy",IFERROR(INDEX('Category Rules'!$B$2:$B$358,MATCH(TRUE,ISNUMBER(SEARCH('Category Rules'!$A$2:$A$358,C1771)),0)),""))))))))</f>
        <v>Amazon</v>
      </c>
    </row>
    <row r="1772" spans="1:7" x14ac:dyDescent="0.25">
      <c r="A1772" t="s">
        <v>6</v>
      </c>
      <c r="B1772" s="1">
        <v>45755</v>
      </c>
      <c r="C1772" t="s">
        <v>1909</v>
      </c>
      <c r="D1772">
        <v>-124.43</v>
      </c>
      <c r="E1772" t="s">
        <v>10</v>
      </c>
      <c r="F1772">
        <v>10614.1</v>
      </c>
      <c r="G1772" t="str" cm="1">
        <f t="array" ref="G1772">IF(AND(ISNUMBER(SEARCH("UBER",C1772)),ISNUMBER(SEARCH("EATS",C1772))),"Uber Eats",IF(LEFT(C1772,6)="CHECK ","Checks Paid",IF(OR(E1772="BILLPAY",ISNUMBER(SEARCH("FRANCHISE TAX",C1772)),ISNUMBER(SEARCH("NEXTLINK",C1772))),"Personal - House Bills",IF(AND(ISNUMBER(SEARCH("PAYMENT FROM",C1772)),ISNUMBER(SEARCH("JOE SAUNDERS",C1772))),"Zelle from Joe Saunders",IF(AND(ISNUMBER(SEARCH("PAYMENT TO",C1772)),ISNUMBER(SEARCH("JOE SAUNDERS",C1772))),"Zelle to Joe Saunders",IF(OR(ISNUMBER(SEARCH("NEW ORLEANS",C1772)),ISNUMBER(SEARCH("KENNER",C1772)),ISNUMBER(SEARCH("HENRY HOWARD",C1772)),ISNUMBER(SEARCH("MISS CLAUDIA",C1772))),"Personal Travel - New Orleans",IF(AND(YEAR(B1772)=2025,MONTH(B1772)=4,OR(ISNUMBER(SEARCH("EXCHANGE RATE",C1772)),ISNUMBER(SEARCH("EXCHG RTE",C1772)))),"Personal Travel - Italy",IFERROR(INDEX('Category Rules'!$B$2:$B$358,MATCH(TRUE,ISNUMBER(SEARCH('Category Rules'!$A$2:$A$358,C1772)),0)),""))))))))</f>
        <v>Personal Travel - Italy</v>
      </c>
    </row>
    <row r="1773" spans="1:7" x14ac:dyDescent="0.25">
      <c r="A1773" t="s">
        <v>6</v>
      </c>
      <c r="B1773" s="1">
        <v>45755</v>
      </c>
      <c r="C1773" t="s">
        <v>1910</v>
      </c>
      <c r="D1773">
        <v>-8.7799999999999994</v>
      </c>
      <c r="E1773" t="s">
        <v>10</v>
      </c>
      <c r="F1773">
        <v>10738.53</v>
      </c>
      <c r="G1773" t="str" cm="1">
        <f t="array" ref="G1773">IF(AND(ISNUMBER(SEARCH("UBER",C1773)),ISNUMBER(SEARCH("EATS",C1773))),"Uber Eats",IF(LEFT(C1773,6)="CHECK ","Checks Paid",IF(OR(E1773="BILLPAY",ISNUMBER(SEARCH("FRANCHISE TAX",C1773)),ISNUMBER(SEARCH("NEXTLINK",C1773))),"Personal - House Bills",IF(AND(ISNUMBER(SEARCH("PAYMENT FROM",C1773)),ISNUMBER(SEARCH("JOE SAUNDERS",C1773))),"Zelle from Joe Saunders",IF(AND(ISNUMBER(SEARCH("PAYMENT TO",C1773)),ISNUMBER(SEARCH("JOE SAUNDERS",C1773))),"Zelle to Joe Saunders",IF(OR(ISNUMBER(SEARCH("NEW ORLEANS",C1773)),ISNUMBER(SEARCH("KENNER",C1773)),ISNUMBER(SEARCH("HENRY HOWARD",C1773)),ISNUMBER(SEARCH("MISS CLAUDIA",C1773))),"Personal Travel - New Orleans",IF(AND(YEAR(B1773)=2025,MONTH(B1773)=4,OR(ISNUMBER(SEARCH("EXCHANGE RATE",C1773)),ISNUMBER(SEARCH("EXCHG RTE",C1773)))),"Personal Travel - Italy",IFERROR(INDEX('Category Rules'!$B$2:$B$358,MATCH(TRUE,ISNUMBER(SEARCH('Category Rules'!$A$2:$A$358,C1773)),0)),""))))))))</f>
        <v>Personal Travel - Italy</v>
      </c>
    </row>
    <row r="1774" spans="1:7" x14ac:dyDescent="0.25">
      <c r="A1774" t="s">
        <v>6</v>
      </c>
      <c r="B1774" s="1">
        <v>45755</v>
      </c>
      <c r="C1774" t="s">
        <v>1911</v>
      </c>
      <c r="D1774">
        <v>-72.22</v>
      </c>
      <c r="E1774" t="s">
        <v>10</v>
      </c>
      <c r="F1774">
        <v>10747.31</v>
      </c>
      <c r="G1774" t="str" cm="1">
        <f t="array" ref="G1774">IF(AND(ISNUMBER(SEARCH("UBER",C1774)),ISNUMBER(SEARCH("EATS",C1774))),"Uber Eats",IF(LEFT(C1774,6)="CHECK ","Checks Paid",IF(OR(E1774="BILLPAY",ISNUMBER(SEARCH("FRANCHISE TAX",C1774)),ISNUMBER(SEARCH("NEXTLINK",C1774))),"Personal - House Bills",IF(AND(ISNUMBER(SEARCH("PAYMENT FROM",C1774)),ISNUMBER(SEARCH("JOE SAUNDERS",C1774))),"Zelle from Joe Saunders",IF(AND(ISNUMBER(SEARCH("PAYMENT TO",C1774)),ISNUMBER(SEARCH("JOE SAUNDERS",C1774))),"Zelle to Joe Saunders",IF(OR(ISNUMBER(SEARCH("NEW ORLEANS",C1774)),ISNUMBER(SEARCH("KENNER",C1774)),ISNUMBER(SEARCH("HENRY HOWARD",C1774)),ISNUMBER(SEARCH("MISS CLAUDIA",C1774))),"Personal Travel - New Orleans",IF(AND(YEAR(B1774)=2025,MONTH(B1774)=4,OR(ISNUMBER(SEARCH("EXCHANGE RATE",C1774)),ISNUMBER(SEARCH("EXCHG RTE",C1774)))),"Personal Travel - Italy",IFERROR(INDEX('Category Rules'!$B$2:$B$358,MATCH(TRUE,ISNUMBER(SEARCH('Category Rules'!$A$2:$A$358,C1774)),0)),""))))))))</f>
        <v>Personal Travel - Italy</v>
      </c>
    </row>
    <row r="1775" spans="1:7" x14ac:dyDescent="0.25">
      <c r="A1775" t="s">
        <v>6</v>
      </c>
      <c r="B1775" s="1">
        <v>45754</v>
      </c>
      <c r="C1775" t="s">
        <v>1912</v>
      </c>
      <c r="D1775">
        <v>-0.33</v>
      </c>
      <c r="E1775" t="s">
        <v>8</v>
      </c>
      <c r="F1775">
        <v>10819.53</v>
      </c>
      <c r="G1775" t="str" cm="1">
        <f t="array" ref="G1775">IF(AND(ISNUMBER(SEARCH("UBER",C1775)),ISNUMBER(SEARCH("EATS",C1775))),"Uber Eats",IF(LEFT(C1775,6)="CHECK ","Checks Paid",IF(OR(E1775="BILLPAY",ISNUMBER(SEARCH("FRANCHISE TAX",C1775)),ISNUMBER(SEARCH("NEXTLINK",C1775))),"Personal - House Bills",IF(AND(ISNUMBER(SEARCH("PAYMENT FROM",C1775)),ISNUMBER(SEARCH("JOE SAUNDERS",C1775))),"Zelle from Joe Saunders",IF(AND(ISNUMBER(SEARCH("PAYMENT TO",C1775)),ISNUMBER(SEARCH("JOE SAUNDERS",C1775))),"Zelle to Joe Saunders",IF(OR(ISNUMBER(SEARCH("NEW ORLEANS",C1775)),ISNUMBER(SEARCH("KENNER",C1775)),ISNUMBER(SEARCH("HENRY HOWARD",C1775)),ISNUMBER(SEARCH("MISS CLAUDIA",C1775))),"Personal Travel - New Orleans",IF(AND(YEAR(B1775)=2025,MONTH(B1775)=4,OR(ISNUMBER(SEARCH("EXCHANGE RATE",C1775)),ISNUMBER(SEARCH("EXCHG RTE",C1775)))),"Personal Travel - Italy",IFERROR(INDEX('Category Rules'!$B$2:$B$358,MATCH(TRUE,ISNUMBER(SEARCH('Category Rules'!$A$2:$A$358,C1775)),0)),""))))))))</f>
        <v>Personal Travel - Italy</v>
      </c>
    </row>
    <row r="1776" spans="1:7" x14ac:dyDescent="0.25">
      <c r="A1776" t="s">
        <v>6</v>
      </c>
      <c r="B1776" s="1">
        <v>45754</v>
      </c>
      <c r="C1776" t="s">
        <v>1913</v>
      </c>
      <c r="D1776">
        <v>-0.43</v>
      </c>
      <c r="E1776" t="s">
        <v>8</v>
      </c>
      <c r="F1776">
        <v>10819.86</v>
      </c>
      <c r="G1776" t="str" cm="1">
        <f t="array" ref="G1776">IF(AND(ISNUMBER(SEARCH("UBER",C1776)),ISNUMBER(SEARCH("EATS",C1776))),"Uber Eats",IF(LEFT(C1776,6)="CHECK ","Checks Paid",IF(OR(E1776="BILLPAY",ISNUMBER(SEARCH("FRANCHISE TAX",C1776)),ISNUMBER(SEARCH("NEXTLINK",C1776))),"Personal - House Bills",IF(AND(ISNUMBER(SEARCH("PAYMENT FROM",C1776)),ISNUMBER(SEARCH("JOE SAUNDERS",C1776))),"Zelle from Joe Saunders",IF(AND(ISNUMBER(SEARCH("PAYMENT TO",C1776)),ISNUMBER(SEARCH("JOE SAUNDERS",C1776))),"Zelle to Joe Saunders",IF(OR(ISNUMBER(SEARCH("NEW ORLEANS",C1776)),ISNUMBER(SEARCH("KENNER",C1776)),ISNUMBER(SEARCH("HENRY HOWARD",C1776)),ISNUMBER(SEARCH("MISS CLAUDIA",C1776))),"Personal Travel - New Orleans",IF(AND(YEAR(B1776)=2025,MONTH(B1776)=4,OR(ISNUMBER(SEARCH("EXCHANGE RATE",C1776)),ISNUMBER(SEARCH("EXCHG RTE",C1776)))),"Personal Travel - Italy",IFERROR(INDEX('Category Rules'!$B$2:$B$358,MATCH(TRUE,ISNUMBER(SEARCH('Category Rules'!$A$2:$A$358,C1776)),0)),""))))))))</f>
        <v>Personal Travel - Italy</v>
      </c>
    </row>
    <row r="1777" spans="1:7" x14ac:dyDescent="0.25">
      <c r="A1777" t="s">
        <v>6</v>
      </c>
      <c r="B1777" s="1">
        <v>45754</v>
      </c>
      <c r="C1777" t="s">
        <v>1914</v>
      </c>
      <c r="D1777">
        <v>-0.96</v>
      </c>
      <c r="E1777" t="s">
        <v>8</v>
      </c>
      <c r="F1777">
        <v>10820.29</v>
      </c>
      <c r="G1777" t="str" cm="1">
        <f t="array" ref="G1777">IF(AND(ISNUMBER(SEARCH("UBER",C1777)),ISNUMBER(SEARCH("EATS",C1777))),"Uber Eats",IF(LEFT(C1777,6)="CHECK ","Checks Paid",IF(OR(E1777="BILLPAY",ISNUMBER(SEARCH("FRANCHISE TAX",C1777)),ISNUMBER(SEARCH("NEXTLINK",C1777))),"Personal - House Bills",IF(AND(ISNUMBER(SEARCH("PAYMENT FROM",C1777)),ISNUMBER(SEARCH("JOE SAUNDERS",C1777))),"Zelle from Joe Saunders",IF(AND(ISNUMBER(SEARCH("PAYMENT TO",C1777)),ISNUMBER(SEARCH("JOE SAUNDERS",C1777))),"Zelle to Joe Saunders",IF(OR(ISNUMBER(SEARCH("NEW ORLEANS",C1777)),ISNUMBER(SEARCH("KENNER",C1777)),ISNUMBER(SEARCH("HENRY HOWARD",C1777)),ISNUMBER(SEARCH("MISS CLAUDIA",C1777))),"Personal Travel - New Orleans",IF(AND(YEAR(B1777)=2025,MONTH(B1777)=4,OR(ISNUMBER(SEARCH("EXCHANGE RATE",C1777)),ISNUMBER(SEARCH("EXCHG RTE",C1777)))),"Personal Travel - Italy",IFERROR(INDEX('Category Rules'!$B$2:$B$358,MATCH(TRUE,ISNUMBER(SEARCH('Category Rules'!$A$2:$A$358,C1777)),0)),""))))))))</f>
        <v>Personal Travel - Italy</v>
      </c>
    </row>
    <row r="1778" spans="1:7" x14ac:dyDescent="0.25">
      <c r="A1778" t="s">
        <v>6</v>
      </c>
      <c r="B1778" s="1">
        <v>45754</v>
      </c>
      <c r="C1778" t="s">
        <v>1915</v>
      </c>
      <c r="D1778">
        <v>-1.73</v>
      </c>
      <c r="E1778" t="s">
        <v>8</v>
      </c>
      <c r="F1778">
        <v>10821.25</v>
      </c>
      <c r="G1778" t="str" cm="1">
        <f t="array" ref="G1778">IF(AND(ISNUMBER(SEARCH("UBER",C1778)),ISNUMBER(SEARCH("EATS",C1778))),"Uber Eats",IF(LEFT(C1778,6)="CHECK ","Checks Paid",IF(OR(E1778="BILLPAY",ISNUMBER(SEARCH("FRANCHISE TAX",C1778)),ISNUMBER(SEARCH("NEXTLINK",C1778))),"Personal - House Bills",IF(AND(ISNUMBER(SEARCH("PAYMENT FROM",C1778)),ISNUMBER(SEARCH("JOE SAUNDERS",C1778))),"Zelle from Joe Saunders",IF(AND(ISNUMBER(SEARCH("PAYMENT TO",C1778)),ISNUMBER(SEARCH("JOE SAUNDERS",C1778))),"Zelle to Joe Saunders",IF(OR(ISNUMBER(SEARCH("NEW ORLEANS",C1778)),ISNUMBER(SEARCH("KENNER",C1778)),ISNUMBER(SEARCH("HENRY HOWARD",C1778)),ISNUMBER(SEARCH("MISS CLAUDIA",C1778))),"Personal Travel - New Orleans",IF(AND(YEAR(B1778)=2025,MONTH(B1778)=4,OR(ISNUMBER(SEARCH("EXCHANGE RATE",C1778)),ISNUMBER(SEARCH("EXCHG RTE",C1778)))),"Personal Travel - Italy",IFERROR(INDEX('Category Rules'!$B$2:$B$358,MATCH(TRUE,ISNUMBER(SEARCH('Category Rules'!$A$2:$A$358,C1778)),0)),""))))))))</f>
        <v>Personal Travel - Italy</v>
      </c>
    </row>
    <row r="1779" spans="1:7" x14ac:dyDescent="0.25">
      <c r="A1779" t="s">
        <v>6</v>
      </c>
      <c r="B1779" s="1">
        <v>45754</v>
      </c>
      <c r="C1779" t="s">
        <v>1916</v>
      </c>
      <c r="D1779">
        <v>-3.83</v>
      </c>
      <c r="E1779" t="s">
        <v>8</v>
      </c>
      <c r="F1779">
        <v>10822.98</v>
      </c>
      <c r="G1779" t="str" cm="1">
        <f t="array" ref="G1779">IF(AND(ISNUMBER(SEARCH("UBER",C1779)),ISNUMBER(SEARCH("EATS",C1779))),"Uber Eats",IF(LEFT(C1779,6)="CHECK ","Checks Paid",IF(OR(E1779="BILLPAY",ISNUMBER(SEARCH("FRANCHISE TAX",C1779)),ISNUMBER(SEARCH("NEXTLINK",C1779))),"Personal - House Bills",IF(AND(ISNUMBER(SEARCH("PAYMENT FROM",C1779)),ISNUMBER(SEARCH("JOE SAUNDERS",C1779))),"Zelle from Joe Saunders",IF(AND(ISNUMBER(SEARCH("PAYMENT TO",C1779)),ISNUMBER(SEARCH("JOE SAUNDERS",C1779))),"Zelle to Joe Saunders",IF(OR(ISNUMBER(SEARCH("NEW ORLEANS",C1779)),ISNUMBER(SEARCH("KENNER",C1779)),ISNUMBER(SEARCH("HENRY HOWARD",C1779)),ISNUMBER(SEARCH("MISS CLAUDIA",C1779))),"Personal Travel - New Orleans",IF(AND(YEAR(B1779)=2025,MONTH(B1779)=4,OR(ISNUMBER(SEARCH("EXCHANGE RATE",C1779)),ISNUMBER(SEARCH("EXCHG RTE",C1779)))),"Personal Travel - Italy",IFERROR(INDEX('Category Rules'!$B$2:$B$358,MATCH(TRUE,ISNUMBER(SEARCH('Category Rules'!$A$2:$A$358,C1779)),0)),""))))))))</f>
        <v>Personal Travel - Italy</v>
      </c>
    </row>
    <row r="1780" spans="1:7" x14ac:dyDescent="0.25">
      <c r="A1780" t="s">
        <v>6</v>
      </c>
      <c r="B1780" s="1">
        <v>45754</v>
      </c>
      <c r="C1780" t="s">
        <v>21</v>
      </c>
      <c r="D1780">
        <v>-5</v>
      </c>
      <c r="E1780" t="s">
        <v>8</v>
      </c>
      <c r="F1780">
        <v>10826.81</v>
      </c>
      <c r="G1780" t="str" cm="1">
        <f t="array" ref="G1780">IF(AND(ISNUMBER(SEARCH("UBER",C1780)),ISNUMBER(SEARCH("EATS",C1780))),"Uber Eats",IF(LEFT(C1780,6)="CHECK ","Checks Paid",IF(OR(E1780="BILLPAY",ISNUMBER(SEARCH("FRANCHISE TAX",C1780)),ISNUMBER(SEARCH("NEXTLINK",C1780))),"Personal - House Bills",IF(AND(ISNUMBER(SEARCH("PAYMENT FROM",C1780)),ISNUMBER(SEARCH("JOE SAUNDERS",C1780))),"Zelle from Joe Saunders",IF(AND(ISNUMBER(SEARCH("PAYMENT TO",C1780)),ISNUMBER(SEARCH("JOE SAUNDERS",C1780))),"Zelle to Joe Saunders",IF(OR(ISNUMBER(SEARCH("NEW ORLEANS",C1780)),ISNUMBER(SEARCH("KENNER",C1780)),ISNUMBER(SEARCH("HENRY HOWARD",C1780)),ISNUMBER(SEARCH("MISS CLAUDIA",C1780))),"Personal Travel - New Orleans",IF(AND(YEAR(B1780)=2025,MONTH(B1780)=4,OR(ISNUMBER(SEARCH("EXCHANGE RATE",C1780)),ISNUMBER(SEARCH("EXCHG RTE",C1780)))),"Personal Travel - Italy",IFERROR(INDEX('Category Rules'!$B$2:$B$358,MATCH(TRUE,ISNUMBER(SEARCH('Category Rules'!$A$2:$A$358,C1780)),0)),""))))))))</f>
        <v>Bank Fees</v>
      </c>
    </row>
    <row r="1781" spans="1:7" x14ac:dyDescent="0.25">
      <c r="A1781" t="s">
        <v>6</v>
      </c>
      <c r="B1781" s="1">
        <v>45754</v>
      </c>
      <c r="C1781" t="s">
        <v>1917</v>
      </c>
      <c r="D1781">
        <v>-5</v>
      </c>
      <c r="E1781" t="s">
        <v>10</v>
      </c>
      <c r="F1781">
        <v>10831.81</v>
      </c>
      <c r="G1781" t="str" cm="1">
        <f t="array" ref="G1781">IF(AND(ISNUMBER(SEARCH("UBER",C1781)),ISNUMBER(SEARCH("EATS",C1781))),"Uber Eats",IF(LEFT(C1781,6)="CHECK ","Checks Paid",IF(OR(E1781="BILLPAY",ISNUMBER(SEARCH("FRANCHISE TAX",C1781)),ISNUMBER(SEARCH("NEXTLINK",C1781))),"Personal - House Bills",IF(AND(ISNUMBER(SEARCH("PAYMENT FROM",C1781)),ISNUMBER(SEARCH("JOE SAUNDERS",C1781))),"Zelle from Joe Saunders",IF(AND(ISNUMBER(SEARCH("PAYMENT TO",C1781)),ISNUMBER(SEARCH("JOE SAUNDERS",C1781))),"Zelle to Joe Saunders",IF(OR(ISNUMBER(SEARCH("NEW ORLEANS",C1781)),ISNUMBER(SEARCH("KENNER",C1781)),ISNUMBER(SEARCH("HENRY HOWARD",C1781)),ISNUMBER(SEARCH("MISS CLAUDIA",C1781))),"Personal Travel - New Orleans",IF(AND(YEAR(B1781)=2025,MONTH(B1781)=4,OR(ISNUMBER(SEARCH("EXCHANGE RATE",C1781)),ISNUMBER(SEARCH("EXCHG RTE",C1781)))),"Personal Travel - Italy",IFERROR(INDEX('Category Rules'!$B$2:$B$358,MATCH(TRUE,ISNUMBER(SEARCH('Category Rules'!$A$2:$A$358,C1781)),0)),""))))))))</f>
        <v>Personal - Uber</v>
      </c>
    </row>
    <row r="1782" spans="1:7" x14ac:dyDescent="0.25">
      <c r="A1782" t="s">
        <v>6</v>
      </c>
      <c r="B1782" s="1">
        <v>45754</v>
      </c>
      <c r="C1782" t="s">
        <v>1918</v>
      </c>
      <c r="D1782">
        <v>-389.45</v>
      </c>
      <c r="E1782" t="s">
        <v>26</v>
      </c>
      <c r="F1782">
        <v>10836.81</v>
      </c>
      <c r="G1782" t="str" cm="1">
        <f t="array" ref="G1782">IF(AND(ISNUMBER(SEARCH("UBER",C1782)),ISNUMBER(SEARCH("EATS",C1782))),"Uber Eats",IF(LEFT(C1782,6)="CHECK ","Checks Paid",IF(OR(E1782="BILLPAY",ISNUMBER(SEARCH("FRANCHISE TAX",C1782)),ISNUMBER(SEARCH("NEXTLINK",C1782))),"Personal - House Bills",IF(AND(ISNUMBER(SEARCH("PAYMENT FROM",C1782)),ISNUMBER(SEARCH("JOE SAUNDERS",C1782))),"Zelle from Joe Saunders",IF(AND(ISNUMBER(SEARCH("PAYMENT TO",C1782)),ISNUMBER(SEARCH("JOE SAUNDERS",C1782))),"Zelle to Joe Saunders",IF(OR(ISNUMBER(SEARCH("NEW ORLEANS",C1782)),ISNUMBER(SEARCH("KENNER",C1782)),ISNUMBER(SEARCH("HENRY HOWARD",C1782)),ISNUMBER(SEARCH("MISS CLAUDIA",C1782))),"Personal Travel - New Orleans",IF(AND(YEAR(B1782)=2025,MONTH(B1782)=4,OR(ISNUMBER(SEARCH("EXCHANGE RATE",C1782)),ISNUMBER(SEARCH("EXCHG RTE",C1782)))),"Personal Travel - Italy",IFERROR(INDEX('Category Rules'!$B$2:$B$358,MATCH(TRUE,ISNUMBER(SEARCH('Category Rules'!$A$2:$A$358,C1782)),0)),""))))))))</f>
        <v>Withdrawal</v>
      </c>
    </row>
    <row r="1783" spans="1:7" x14ac:dyDescent="0.25">
      <c r="A1783" t="s">
        <v>6</v>
      </c>
      <c r="B1783" s="1">
        <v>45754</v>
      </c>
      <c r="C1783" t="s">
        <v>1919</v>
      </c>
      <c r="D1783">
        <v>-13.99</v>
      </c>
      <c r="E1783" t="s">
        <v>10</v>
      </c>
      <c r="F1783">
        <v>11226.26</v>
      </c>
      <c r="G1783" t="str" cm="1">
        <f t="array" ref="G1783">IF(AND(ISNUMBER(SEARCH("UBER",C1783)),ISNUMBER(SEARCH("EATS",C1783))),"Uber Eats",IF(LEFT(C1783,6)="CHECK ","Checks Paid",IF(OR(E1783="BILLPAY",ISNUMBER(SEARCH("FRANCHISE TAX",C1783)),ISNUMBER(SEARCH("NEXTLINK",C1783))),"Personal - House Bills",IF(AND(ISNUMBER(SEARCH("PAYMENT FROM",C1783)),ISNUMBER(SEARCH("JOE SAUNDERS",C1783))),"Zelle from Joe Saunders",IF(AND(ISNUMBER(SEARCH("PAYMENT TO",C1783)),ISNUMBER(SEARCH("JOE SAUNDERS",C1783))),"Zelle to Joe Saunders",IF(OR(ISNUMBER(SEARCH("NEW ORLEANS",C1783)),ISNUMBER(SEARCH("KENNER",C1783)),ISNUMBER(SEARCH("HENRY HOWARD",C1783)),ISNUMBER(SEARCH("MISS CLAUDIA",C1783))),"Personal Travel - New Orleans",IF(AND(YEAR(B1783)=2025,MONTH(B1783)=4,OR(ISNUMBER(SEARCH("EXCHANGE RATE",C1783)),ISNUMBER(SEARCH("EXCHG RTE",C1783)))),"Personal Travel - Italy",IFERROR(INDEX('Category Rules'!$B$2:$B$358,MATCH(TRUE,ISNUMBER(SEARCH('Category Rules'!$A$2:$A$358,C1783)),0)),""))))))))</f>
        <v>YouTube Premium</v>
      </c>
    </row>
    <row r="1784" spans="1:7" x14ac:dyDescent="0.25">
      <c r="A1784" t="s">
        <v>6</v>
      </c>
      <c r="B1784" s="1">
        <v>45754</v>
      </c>
      <c r="C1784" t="s">
        <v>1920</v>
      </c>
      <c r="D1784">
        <v>-56.81</v>
      </c>
      <c r="E1784" t="s">
        <v>10</v>
      </c>
      <c r="F1784">
        <v>11240.25</v>
      </c>
      <c r="G1784" t="str" cm="1">
        <f t="array" ref="G1784">IF(AND(ISNUMBER(SEARCH("UBER",C1784)),ISNUMBER(SEARCH("EATS",C1784))),"Uber Eats",IF(LEFT(C1784,6)="CHECK ","Checks Paid",IF(OR(E1784="BILLPAY",ISNUMBER(SEARCH("FRANCHISE TAX",C1784)),ISNUMBER(SEARCH("NEXTLINK",C1784))),"Personal - House Bills",IF(AND(ISNUMBER(SEARCH("PAYMENT FROM",C1784)),ISNUMBER(SEARCH("JOE SAUNDERS",C1784))),"Zelle from Joe Saunders",IF(AND(ISNUMBER(SEARCH("PAYMENT TO",C1784)),ISNUMBER(SEARCH("JOE SAUNDERS",C1784))),"Zelle to Joe Saunders",IF(OR(ISNUMBER(SEARCH("NEW ORLEANS",C1784)),ISNUMBER(SEARCH("KENNER",C1784)),ISNUMBER(SEARCH("HENRY HOWARD",C1784)),ISNUMBER(SEARCH("MISS CLAUDIA",C1784))),"Personal Travel - New Orleans",IF(AND(YEAR(B1784)=2025,MONTH(B1784)=4,OR(ISNUMBER(SEARCH("EXCHANGE RATE",C1784)),ISNUMBER(SEARCH("EXCHG RTE",C1784)))),"Personal Travel - Italy",IFERROR(INDEX('Category Rules'!$B$2:$B$358,MATCH(TRUE,ISNUMBER(SEARCH('Category Rules'!$A$2:$A$358,C1784)),0)),""))))))))</f>
        <v>Uber Eats</v>
      </c>
    </row>
    <row r="1785" spans="1:7" x14ac:dyDescent="0.25">
      <c r="A1785" t="s">
        <v>6</v>
      </c>
      <c r="B1785" s="1">
        <v>45754</v>
      </c>
      <c r="C1785" t="s">
        <v>1921</v>
      </c>
      <c r="D1785">
        <v>-29.95</v>
      </c>
      <c r="E1785" t="s">
        <v>10</v>
      </c>
      <c r="F1785">
        <v>11297.06</v>
      </c>
      <c r="G1785" t="str" cm="1">
        <f t="array" ref="G1785">IF(AND(ISNUMBER(SEARCH("UBER",C1785)),ISNUMBER(SEARCH("EATS",C1785))),"Uber Eats",IF(LEFT(C1785,6)="CHECK ","Checks Paid",IF(OR(E1785="BILLPAY",ISNUMBER(SEARCH("FRANCHISE TAX",C1785)),ISNUMBER(SEARCH("NEXTLINK",C1785))),"Personal - House Bills",IF(AND(ISNUMBER(SEARCH("PAYMENT FROM",C1785)),ISNUMBER(SEARCH("JOE SAUNDERS",C1785))),"Zelle from Joe Saunders",IF(AND(ISNUMBER(SEARCH("PAYMENT TO",C1785)),ISNUMBER(SEARCH("JOE SAUNDERS",C1785))),"Zelle to Joe Saunders",IF(OR(ISNUMBER(SEARCH("NEW ORLEANS",C1785)),ISNUMBER(SEARCH("KENNER",C1785)),ISNUMBER(SEARCH("HENRY HOWARD",C1785)),ISNUMBER(SEARCH("MISS CLAUDIA",C1785))),"Personal Travel - New Orleans",IF(AND(YEAR(B1785)=2025,MONTH(B1785)=4,OR(ISNUMBER(SEARCH("EXCHANGE RATE",C1785)),ISNUMBER(SEARCH("EXCHG RTE",C1785)))),"Personal Travel - Italy",IFERROR(INDEX('Category Rules'!$B$2:$B$358,MATCH(TRUE,ISNUMBER(SEARCH('Category Rules'!$A$2:$A$358,C1785)),0)),""))))))))</f>
        <v>Personal - Subscription</v>
      </c>
    </row>
    <row r="1786" spans="1:7" x14ac:dyDescent="0.25">
      <c r="A1786" t="s">
        <v>6</v>
      </c>
      <c r="B1786" s="1">
        <v>45754</v>
      </c>
      <c r="C1786" t="s">
        <v>1922</v>
      </c>
      <c r="D1786">
        <v>-22</v>
      </c>
      <c r="E1786" t="s">
        <v>10</v>
      </c>
      <c r="F1786">
        <v>11327.01</v>
      </c>
      <c r="G1786" t="str" cm="1">
        <f t="array" ref="G1786">IF(AND(ISNUMBER(SEARCH("UBER",C1786)),ISNUMBER(SEARCH("EATS",C1786))),"Uber Eats",IF(LEFT(C1786,6)="CHECK ","Checks Paid",IF(OR(E1786="BILLPAY",ISNUMBER(SEARCH("FRANCHISE TAX",C1786)),ISNUMBER(SEARCH("NEXTLINK",C1786))),"Personal - House Bills",IF(AND(ISNUMBER(SEARCH("PAYMENT FROM",C1786)),ISNUMBER(SEARCH("JOE SAUNDERS",C1786))),"Zelle from Joe Saunders",IF(AND(ISNUMBER(SEARCH("PAYMENT TO",C1786)),ISNUMBER(SEARCH("JOE SAUNDERS",C1786))),"Zelle to Joe Saunders",IF(OR(ISNUMBER(SEARCH("NEW ORLEANS",C1786)),ISNUMBER(SEARCH("KENNER",C1786)),ISNUMBER(SEARCH("HENRY HOWARD",C1786)),ISNUMBER(SEARCH("MISS CLAUDIA",C1786))),"Personal Travel - New Orleans",IF(AND(YEAR(B1786)=2025,MONTH(B1786)=4,OR(ISNUMBER(SEARCH("EXCHANGE RATE",C1786)),ISNUMBER(SEARCH("EXCHG RTE",C1786)))),"Personal Travel - Italy",IFERROR(INDEX('Category Rules'!$B$2:$B$358,MATCH(TRUE,ISNUMBER(SEARCH('Category Rules'!$A$2:$A$358,C1786)),0)),""))))))))</f>
        <v>Personal - Subscription</v>
      </c>
    </row>
    <row r="1787" spans="1:7" x14ac:dyDescent="0.25">
      <c r="A1787" t="s">
        <v>6</v>
      </c>
      <c r="B1787" s="1">
        <v>45754</v>
      </c>
      <c r="C1787" t="s">
        <v>1923</v>
      </c>
      <c r="D1787">
        <v>-317</v>
      </c>
      <c r="E1787" t="s">
        <v>10</v>
      </c>
      <c r="F1787">
        <v>11349.01</v>
      </c>
      <c r="G1787" t="str" cm="1">
        <f t="array" ref="G1787">IF(AND(ISNUMBER(SEARCH("UBER",C1787)),ISNUMBER(SEARCH("EATS",C1787))),"Uber Eats",IF(LEFT(C1787,6)="CHECK ","Checks Paid",IF(OR(E1787="BILLPAY",ISNUMBER(SEARCH("FRANCHISE TAX",C1787)),ISNUMBER(SEARCH("NEXTLINK",C1787))),"Personal - House Bills",IF(AND(ISNUMBER(SEARCH("PAYMENT FROM",C1787)),ISNUMBER(SEARCH("JOE SAUNDERS",C1787))),"Zelle from Joe Saunders",IF(AND(ISNUMBER(SEARCH("PAYMENT TO",C1787)),ISNUMBER(SEARCH("JOE SAUNDERS",C1787))),"Zelle to Joe Saunders",IF(OR(ISNUMBER(SEARCH("NEW ORLEANS",C1787)),ISNUMBER(SEARCH("KENNER",C1787)),ISNUMBER(SEARCH("HENRY HOWARD",C1787)),ISNUMBER(SEARCH("MISS CLAUDIA",C1787))),"Personal Travel - New Orleans",IF(AND(YEAR(B1787)=2025,MONTH(B1787)=4,OR(ISNUMBER(SEARCH("EXCHANGE RATE",C1787)),ISNUMBER(SEARCH("EXCHG RTE",C1787)))),"Personal Travel - Italy",IFERROR(INDEX('Category Rules'!$B$2:$B$358,MATCH(TRUE,ISNUMBER(SEARCH('Category Rules'!$A$2:$A$358,C1787)),0)),""))))))))</f>
        <v>Personal Travel</v>
      </c>
    </row>
    <row r="1788" spans="1:7" x14ac:dyDescent="0.25">
      <c r="A1788" t="s">
        <v>6</v>
      </c>
      <c r="B1788" s="1">
        <v>45754</v>
      </c>
      <c r="C1788" t="s">
        <v>1924</v>
      </c>
      <c r="D1788">
        <v>-11.11</v>
      </c>
      <c r="E1788" t="s">
        <v>10</v>
      </c>
      <c r="F1788">
        <v>11666.01</v>
      </c>
      <c r="G1788" t="str" cm="1">
        <f t="array" ref="G1788">IF(AND(ISNUMBER(SEARCH("UBER",C1788)),ISNUMBER(SEARCH("EATS",C1788))),"Uber Eats",IF(LEFT(C1788,6)="CHECK ","Checks Paid",IF(OR(E1788="BILLPAY",ISNUMBER(SEARCH("FRANCHISE TAX",C1788)),ISNUMBER(SEARCH("NEXTLINK",C1788))),"Personal - House Bills",IF(AND(ISNUMBER(SEARCH("PAYMENT FROM",C1788)),ISNUMBER(SEARCH("JOE SAUNDERS",C1788))),"Zelle from Joe Saunders",IF(AND(ISNUMBER(SEARCH("PAYMENT TO",C1788)),ISNUMBER(SEARCH("JOE SAUNDERS",C1788))),"Zelle to Joe Saunders",IF(OR(ISNUMBER(SEARCH("NEW ORLEANS",C1788)),ISNUMBER(SEARCH("KENNER",C1788)),ISNUMBER(SEARCH("HENRY HOWARD",C1788)),ISNUMBER(SEARCH("MISS CLAUDIA",C1788))),"Personal Travel - New Orleans",IF(AND(YEAR(B1788)=2025,MONTH(B1788)=4,OR(ISNUMBER(SEARCH("EXCHANGE RATE",C1788)),ISNUMBER(SEARCH("EXCHG RTE",C1788)))),"Personal Travel - Italy",IFERROR(INDEX('Category Rules'!$B$2:$B$358,MATCH(TRUE,ISNUMBER(SEARCH('Category Rules'!$A$2:$A$358,C1788)),0)),""))))))))</f>
        <v>Personal Travel - Italy</v>
      </c>
    </row>
    <row r="1789" spans="1:7" x14ac:dyDescent="0.25">
      <c r="A1789" t="s">
        <v>6</v>
      </c>
      <c r="B1789" s="1">
        <v>45754</v>
      </c>
      <c r="C1789" t="s">
        <v>1925</v>
      </c>
      <c r="D1789">
        <v>-17</v>
      </c>
      <c r="E1789" t="s">
        <v>10</v>
      </c>
      <c r="F1789">
        <v>11677.12</v>
      </c>
      <c r="G1789" t="str" cm="1">
        <f t="array" ref="G1789">IF(AND(ISNUMBER(SEARCH("UBER",C1789)),ISNUMBER(SEARCH("EATS",C1789))),"Uber Eats",IF(LEFT(C1789,6)="CHECK ","Checks Paid",IF(OR(E1789="BILLPAY",ISNUMBER(SEARCH("FRANCHISE TAX",C1789)),ISNUMBER(SEARCH("NEXTLINK",C1789))),"Personal - House Bills",IF(AND(ISNUMBER(SEARCH("PAYMENT FROM",C1789)),ISNUMBER(SEARCH("JOE SAUNDERS",C1789))),"Zelle from Joe Saunders",IF(AND(ISNUMBER(SEARCH("PAYMENT TO",C1789)),ISNUMBER(SEARCH("JOE SAUNDERS",C1789))),"Zelle to Joe Saunders",IF(OR(ISNUMBER(SEARCH("NEW ORLEANS",C1789)),ISNUMBER(SEARCH("KENNER",C1789)),ISNUMBER(SEARCH("HENRY HOWARD",C1789)),ISNUMBER(SEARCH("MISS CLAUDIA",C1789))),"Personal Travel - New Orleans",IF(AND(YEAR(B1789)=2025,MONTH(B1789)=4,OR(ISNUMBER(SEARCH("EXCHANGE RATE",C1789)),ISNUMBER(SEARCH("EXCHG RTE",C1789)))),"Personal Travel - Italy",IFERROR(INDEX('Category Rules'!$B$2:$B$358,MATCH(TRUE,ISNUMBER(SEARCH('Category Rules'!$A$2:$A$358,C1789)),0)),""))))))))</f>
        <v>Personal - Uber</v>
      </c>
    </row>
    <row r="1790" spans="1:7" x14ac:dyDescent="0.25">
      <c r="A1790" t="s">
        <v>6</v>
      </c>
      <c r="B1790" s="1">
        <v>45754</v>
      </c>
      <c r="C1790" t="s">
        <v>1926</v>
      </c>
      <c r="D1790">
        <v>-127.77</v>
      </c>
      <c r="E1790" t="s">
        <v>10</v>
      </c>
      <c r="F1790">
        <v>11694.12</v>
      </c>
      <c r="G1790" t="str" cm="1">
        <f t="array" ref="G1790">IF(AND(ISNUMBER(SEARCH("UBER",C1790)),ISNUMBER(SEARCH("EATS",C1790))),"Uber Eats",IF(LEFT(C1790,6)="CHECK ","Checks Paid",IF(OR(E1790="BILLPAY",ISNUMBER(SEARCH("FRANCHISE TAX",C1790)),ISNUMBER(SEARCH("NEXTLINK",C1790))),"Personal - House Bills",IF(AND(ISNUMBER(SEARCH("PAYMENT FROM",C1790)),ISNUMBER(SEARCH("JOE SAUNDERS",C1790))),"Zelle from Joe Saunders",IF(AND(ISNUMBER(SEARCH("PAYMENT TO",C1790)),ISNUMBER(SEARCH("JOE SAUNDERS",C1790))),"Zelle to Joe Saunders",IF(OR(ISNUMBER(SEARCH("NEW ORLEANS",C1790)),ISNUMBER(SEARCH("KENNER",C1790)),ISNUMBER(SEARCH("HENRY HOWARD",C1790)),ISNUMBER(SEARCH("MISS CLAUDIA",C1790))),"Personal Travel - New Orleans",IF(AND(YEAR(B1790)=2025,MONTH(B1790)=4,OR(ISNUMBER(SEARCH("EXCHANGE RATE",C1790)),ISNUMBER(SEARCH("EXCHG RTE",C1790)))),"Personal Travel - Italy",IFERROR(INDEX('Category Rules'!$B$2:$B$358,MATCH(TRUE,ISNUMBER(SEARCH('Category Rules'!$A$2:$A$358,C1790)),0)),""))))))))</f>
        <v>Personal Travel - Italy</v>
      </c>
    </row>
    <row r="1791" spans="1:7" x14ac:dyDescent="0.25">
      <c r="A1791" t="s">
        <v>6</v>
      </c>
      <c r="B1791" s="1">
        <v>45754</v>
      </c>
      <c r="C1791" t="s">
        <v>1927</v>
      </c>
      <c r="D1791">
        <v>-14.44</v>
      </c>
      <c r="E1791" t="s">
        <v>10</v>
      </c>
      <c r="F1791">
        <v>11821.89</v>
      </c>
      <c r="G1791" t="str" cm="1">
        <f t="array" ref="G1791">IF(AND(ISNUMBER(SEARCH("UBER",C1791)),ISNUMBER(SEARCH("EATS",C1791))),"Uber Eats",IF(LEFT(C1791,6)="CHECK ","Checks Paid",IF(OR(E1791="BILLPAY",ISNUMBER(SEARCH("FRANCHISE TAX",C1791)),ISNUMBER(SEARCH("NEXTLINK",C1791))),"Personal - House Bills",IF(AND(ISNUMBER(SEARCH("PAYMENT FROM",C1791)),ISNUMBER(SEARCH("JOE SAUNDERS",C1791))),"Zelle from Joe Saunders",IF(AND(ISNUMBER(SEARCH("PAYMENT TO",C1791)),ISNUMBER(SEARCH("JOE SAUNDERS",C1791))),"Zelle to Joe Saunders",IF(OR(ISNUMBER(SEARCH("NEW ORLEANS",C1791)),ISNUMBER(SEARCH("KENNER",C1791)),ISNUMBER(SEARCH("HENRY HOWARD",C1791)),ISNUMBER(SEARCH("MISS CLAUDIA",C1791))),"Personal Travel - New Orleans",IF(AND(YEAR(B1791)=2025,MONTH(B1791)=4,OR(ISNUMBER(SEARCH("EXCHANGE RATE",C1791)),ISNUMBER(SEARCH("EXCHG RTE",C1791)))),"Personal Travel - Italy",IFERROR(INDEX('Category Rules'!$B$2:$B$358,MATCH(TRUE,ISNUMBER(SEARCH('Category Rules'!$A$2:$A$358,C1791)),0)),""))))))))</f>
        <v>Personal Travel - Italy</v>
      </c>
    </row>
    <row r="1792" spans="1:7" x14ac:dyDescent="0.25">
      <c r="A1792" t="s">
        <v>6</v>
      </c>
      <c r="B1792" s="1">
        <v>45754</v>
      </c>
      <c r="C1792" t="s">
        <v>1928</v>
      </c>
      <c r="D1792">
        <v>-57.89</v>
      </c>
      <c r="E1792" t="s">
        <v>10</v>
      </c>
      <c r="F1792">
        <v>11836.33</v>
      </c>
      <c r="G1792" t="str" cm="1">
        <f t="array" ref="G1792">IF(AND(ISNUMBER(SEARCH("UBER",C1792)),ISNUMBER(SEARCH("EATS",C1792))),"Uber Eats",IF(LEFT(C1792,6)="CHECK ","Checks Paid",IF(OR(E1792="BILLPAY",ISNUMBER(SEARCH("FRANCHISE TAX",C1792)),ISNUMBER(SEARCH("NEXTLINK",C1792))),"Personal - House Bills",IF(AND(ISNUMBER(SEARCH("PAYMENT FROM",C1792)),ISNUMBER(SEARCH("JOE SAUNDERS",C1792))),"Zelle from Joe Saunders",IF(AND(ISNUMBER(SEARCH("PAYMENT TO",C1792)),ISNUMBER(SEARCH("JOE SAUNDERS",C1792))),"Zelle to Joe Saunders",IF(OR(ISNUMBER(SEARCH("NEW ORLEANS",C1792)),ISNUMBER(SEARCH("KENNER",C1792)),ISNUMBER(SEARCH("HENRY HOWARD",C1792)),ISNUMBER(SEARCH("MISS CLAUDIA",C1792))),"Personal Travel - New Orleans",IF(AND(YEAR(B1792)=2025,MONTH(B1792)=4,OR(ISNUMBER(SEARCH("EXCHANGE RATE",C1792)),ISNUMBER(SEARCH("EXCHG RTE",C1792)))),"Personal Travel - Italy",IFERROR(INDEX('Category Rules'!$B$2:$B$358,MATCH(TRUE,ISNUMBER(SEARCH('Category Rules'!$A$2:$A$358,C1792)),0)),""))))))))</f>
        <v>Personal Travel - Italy</v>
      </c>
    </row>
    <row r="1793" spans="1:7" x14ac:dyDescent="0.25">
      <c r="A1793" t="s">
        <v>6</v>
      </c>
      <c r="B1793" s="1">
        <v>45754</v>
      </c>
      <c r="C1793" t="s">
        <v>1929</v>
      </c>
      <c r="D1793">
        <v>-32.22</v>
      </c>
      <c r="E1793" t="s">
        <v>10</v>
      </c>
      <c r="F1793">
        <v>11894.22</v>
      </c>
      <c r="G1793" t="str" cm="1">
        <f t="array" ref="G1793">IF(AND(ISNUMBER(SEARCH("UBER",C1793)),ISNUMBER(SEARCH("EATS",C1793))),"Uber Eats",IF(LEFT(C1793,6)="CHECK ","Checks Paid",IF(OR(E1793="BILLPAY",ISNUMBER(SEARCH("FRANCHISE TAX",C1793)),ISNUMBER(SEARCH("NEXTLINK",C1793))),"Personal - House Bills",IF(AND(ISNUMBER(SEARCH("PAYMENT FROM",C1793)),ISNUMBER(SEARCH("JOE SAUNDERS",C1793))),"Zelle from Joe Saunders",IF(AND(ISNUMBER(SEARCH("PAYMENT TO",C1793)),ISNUMBER(SEARCH("JOE SAUNDERS",C1793))),"Zelle to Joe Saunders",IF(OR(ISNUMBER(SEARCH("NEW ORLEANS",C1793)),ISNUMBER(SEARCH("KENNER",C1793)),ISNUMBER(SEARCH("HENRY HOWARD",C1793)),ISNUMBER(SEARCH("MISS CLAUDIA",C1793))),"Personal Travel - New Orleans",IF(AND(YEAR(B1793)=2025,MONTH(B1793)=4,OR(ISNUMBER(SEARCH("EXCHANGE RATE",C1793)),ISNUMBER(SEARCH("EXCHG RTE",C1793)))),"Personal Travel - Italy",IFERROR(INDEX('Category Rules'!$B$2:$B$358,MATCH(TRUE,ISNUMBER(SEARCH('Category Rules'!$A$2:$A$358,C1793)),0)),""))))))))</f>
        <v>Personal Travel - Italy</v>
      </c>
    </row>
    <row r="1794" spans="1:7" x14ac:dyDescent="0.25">
      <c r="A1794" t="s">
        <v>6</v>
      </c>
      <c r="B1794" s="1">
        <v>45750</v>
      </c>
      <c r="C1794" t="s">
        <v>1930</v>
      </c>
      <c r="D1794">
        <v>-3.99</v>
      </c>
      <c r="E1794" t="s">
        <v>10</v>
      </c>
      <c r="F1794">
        <v>11926.44</v>
      </c>
      <c r="G1794" t="str" cm="1">
        <f t="array" ref="G1794">IF(AND(ISNUMBER(SEARCH("UBER",C1794)),ISNUMBER(SEARCH("EATS",C1794))),"Uber Eats",IF(LEFT(C1794,6)="CHECK ","Checks Paid",IF(OR(E1794="BILLPAY",ISNUMBER(SEARCH("FRANCHISE TAX",C1794)),ISNUMBER(SEARCH("NEXTLINK",C1794))),"Personal - House Bills",IF(AND(ISNUMBER(SEARCH("PAYMENT FROM",C1794)),ISNUMBER(SEARCH("JOE SAUNDERS",C1794))),"Zelle from Joe Saunders",IF(AND(ISNUMBER(SEARCH("PAYMENT TO",C1794)),ISNUMBER(SEARCH("JOE SAUNDERS",C1794))),"Zelle to Joe Saunders",IF(OR(ISNUMBER(SEARCH("NEW ORLEANS",C1794)),ISNUMBER(SEARCH("KENNER",C1794)),ISNUMBER(SEARCH("HENRY HOWARD",C1794)),ISNUMBER(SEARCH("MISS CLAUDIA",C1794))),"Personal Travel - New Orleans",IF(AND(YEAR(B1794)=2025,MONTH(B1794)=4,OR(ISNUMBER(SEARCH("EXCHANGE RATE",C1794)),ISNUMBER(SEARCH("EXCHG RTE",C1794)))),"Personal Travel - Italy",IFERROR(INDEX('Category Rules'!$B$2:$B$358,MATCH(TRUE,ISNUMBER(SEARCH('Category Rules'!$A$2:$A$358,C1794)),0)),""))))))))</f>
        <v>Apple</v>
      </c>
    </row>
    <row r="1795" spans="1:7" x14ac:dyDescent="0.25">
      <c r="A1795" t="s">
        <v>6</v>
      </c>
      <c r="B1795" s="1">
        <v>45749</v>
      </c>
      <c r="C1795" t="s">
        <v>1931</v>
      </c>
      <c r="D1795">
        <v>-5</v>
      </c>
      <c r="E1795" t="s">
        <v>10</v>
      </c>
      <c r="F1795">
        <v>11930.43</v>
      </c>
      <c r="G1795" t="str" cm="1">
        <f t="array" ref="G1795">IF(AND(ISNUMBER(SEARCH("UBER",C1795)),ISNUMBER(SEARCH("EATS",C1795))),"Uber Eats",IF(LEFT(C1795,6)="CHECK ","Checks Paid",IF(OR(E1795="BILLPAY",ISNUMBER(SEARCH("FRANCHISE TAX",C1795)),ISNUMBER(SEARCH("NEXTLINK",C1795))),"Personal - House Bills",IF(AND(ISNUMBER(SEARCH("PAYMENT FROM",C1795)),ISNUMBER(SEARCH("JOE SAUNDERS",C1795))),"Zelle from Joe Saunders",IF(AND(ISNUMBER(SEARCH("PAYMENT TO",C1795)),ISNUMBER(SEARCH("JOE SAUNDERS",C1795))),"Zelle to Joe Saunders",IF(OR(ISNUMBER(SEARCH("NEW ORLEANS",C1795)),ISNUMBER(SEARCH("KENNER",C1795)),ISNUMBER(SEARCH("HENRY HOWARD",C1795)),ISNUMBER(SEARCH("MISS CLAUDIA",C1795))),"Personal Travel - New Orleans",IF(AND(YEAR(B1795)=2025,MONTH(B1795)=4,OR(ISNUMBER(SEARCH("EXCHANGE RATE",C1795)),ISNUMBER(SEARCH("EXCHG RTE",C1795)))),"Personal Travel - Italy",IFERROR(INDEX('Category Rules'!$B$2:$B$358,MATCH(TRUE,ISNUMBER(SEARCH('Category Rules'!$A$2:$A$358,C1795)),0)),""))))))))</f>
        <v>Personal - Uber</v>
      </c>
    </row>
    <row r="1796" spans="1:7" x14ac:dyDescent="0.25">
      <c r="A1796" t="s">
        <v>6</v>
      </c>
      <c r="B1796" s="1">
        <v>45749</v>
      </c>
      <c r="C1796" t="s">
        <v>1932</v>
      </c>
      <c r="D1796">
        <v>-18.98</v>
      </c>
      <c r="E1796" t="s">
        <v>10</v>
      </c>
      <c r="F1796">
        <v>11935.43</v>
      </c>
      <c r="G1796" t="str" cm="1">
        <f t="array" ref="G1796">IF(AND(ISNUMBER(SEARCH("UBER",C1796)),ISNUMBER(SEARCH("EATS",C1796))),"Uber Eats",IF(LEFT(C1796,6)="CHECK ","Checks Paid",IF(OR(E1796="BILLPAY",ISNUMBER(SEARCH("FRANCHISE TAX",C1796)),ISNUMBER(SEARCH("NEXTLINK",C1796))),"Personal - House Bills",IF(AND(ISNUMBER(SEARCH("PAYMENT FROM",C1796)),ISNUMBER(SEARCH("JOE SAUNDERS",C1796))),"Zelle from Joe Saunders",IF(AND(ISNUMBER(SEARCH("PAYMENT TO",C1796)),ISNUMBER(SEARCH("JOE SAUNDERS",C1796))),"Zelle to Joe Saunders",IF(OR(ISNUMBER(SEARCH("NEW ORLEANS",C1796)),ISNUMBER(SEARCH("KENNER",C1796)),ISNUMBER(SEARCH("HENRY HOWARD",C1796)),ISNUMBER(SEARCH("MISS CLAUDIA",C1796))),"Personal Travel - New Orleans",IF(AND(YEAR(B1796)=2025,MONTH(B1796)=4,OR(ISNUMBER(SEARCH("EXCHANGE RATE",C1796)),ISNUMBER(SEARCH("EXCHG RTE",C1796)))),"Personal Travel - Italy",IFERROR(INDEX('Category Rules'!$B$2:$B$358,MATCH(TRUE,ISNUMBER(SEARCH('Category Rules'!$A$2:$A$358,C1796)),0)),""))))))))</f>
        <v>Personal - Uber</v>
      </c>
    </row>
    <row r="1797" spans="1:7" x14ac:dyDescent="0.25">
      <c r="A1797" t="s">
        <v>6</v>
      </c>
      <c r="B1797" s="1">
        <v>45749</v>
      </c>
      <c r="C1797" t="s">
        <v>1933</v>
      </c>
      <c r="D1797">
        <v>-57.61</v>
      </c>
      <c r="E1797" t="s">
        <v>10</v>
      </c>
      <c r="F1797">
        <v>11954.41</v>
      </c>
      <c r="G1797" t="str" cm="1">
        <f t="array" ref="G1797">IF(AND(ISNUMBER(SEARCH("UBER",C1797)),ISNUMBER(SEARCH("EATS",C1797))),"Uber Eats",IF(LEFT(C1797,6)="CHECK ","Checks Paid",IF(OR(E1797="BILLPAY",ISNUMBER(SEARCH("FRANCHISE TAX",C1797)),ISNUMBER(SEARCH("NEXTLINK",C1797))),"Personal - House Bills",IF(AND(ISNUMBER(SEARCH("PAYMENT FROM",C1797)),ISNUMBER(SEARCH("JOE SAUNDERS",C1797))),"Zelle from Joe Saunders",IF(AND(ISNUMBER(SEARCH("PAYMENT TO",C1797)),ISNUMBER(SEARCH("JOE SAUNDERS",C1797))),"Zelle to Joe Saunders",IF(OR(ISNUMBER(SEARCH("NEW ORLEANS",C1797)),ISNUMBER(SEARCH("KENNER",C1797)),ISNUMBER(SEARCH("HENRY HOWARD",C1797)),ISNUMBER(SEARCH("MISS CLAUDIA",C1797))),"Personal Travel - New Orleans",IF(AND(YEAR(B1797)=2025,MONTH(B1797)=4,OR(ISNUMBER(SEARCH("EXCHANGE RATE",C1797)),ISNUMBER(SEARCH("EXCHG RTE",C1797)))),"Personal Travel - Italy",IFERROR(INDEX('Category Rules'!$B$2:$B$358,MATCH(TRUE,ISNUMBER(SEARCH('Category Rules'!$A$2:$A$358,C1797)),0)),""))))))))</f>
        <v>Amazon</v>
      </c>
    </row>
    <row r="1798" spans="1:7" x14ac:dyDescent="0.25">
      <c r="A1798" t="s">
        <v>6</v>
      </c>
      <c r="B1798" s="1">
        <v>45749</v>
      </c>
      <c r="C1798" t="s">
        <v>1934</v>
      </c>
      <c r="D1798">
        <v>-79.42</v>
      </c>
      <c r="E1798" t="s">
        <v>10</v>
      </c>
      <c r="F1798">
        <v>12012.02</v>
      </c>
      <c r="G1798" t="str" cm="1">
        <f t="array" ref="G1798">IF(AND(ISNUMBER(SEARCH("UBER",C1798)),ISNUMBER(SEARCH("EATS",C1798))),"Uber Eats",IF(LEFT(C1798,6)="CHECK ","Checks Paid",IF(OR(E1798="BILLPAY",ISNUMBER(SEARCH("FRANCHISE TAX",C1798)),ISNUMBER(SEARCH("NEXTLINK",C1798))),"Personal - House Bills",IF(AND(ISNUMBER(SEARCH("PAYMENT FROM",C1798)),ISNUMBER(SEARCH("JOE SAUNDERS",C1798))),"Zelle from Joe Saunders",IF(AND(ISNUMBER(SEARCH("PAYMENT TO",C1798)),ISNUMBER(SEARCH("JOE SAUNDERS",C1798))),"Zelle to Joe Saunders",IF(OR(ISNUMBER(SEARCH("NEW ORLEANS",C1798)),ISNUMBER(SEARCH("KENNER",C1798)),ISNUMBER(SEARCH("HENRY HOWARD",C1798)),ISNUMBER(SEARCH("MISS CLAUDIA",C1798))),"Personal Travel - New Orleans",IF(AND(YEAR(B1798)=2025,MONTH(B1798)=4,OR(ISNUMBER(SEARCH("EXCHANGE RATE",C1798)),ISNUMBER(SEARCH("EXCHG RTE",C1798)))),"Personal Travel - Italy",IFERROR(INDEX('Category Rules'!$B$2:$B$358,MATCH(TRUE,ISNUMBER(SEARCH('Category Rules'!$A$2:$A$358,C1798)),0)),""))))))))</f>
        <v>Personal Travel</v>
      </c>
    </row>
    <row r="1799" spans="1:7" x14ac:dyDescent="0.25">
      <c r="A1799" t="s">
        <v>6</v>
      </c>
      <c r="B1799" s="1">
        <v>45748</v>
      </c>
      <c r="C1799" t="s">
        <v>1935</v>
      </c>
      <c r="D1799">
        <v>-102.8</v>
      </c>
      <c r="E1799" t="s">
        <v>10</v>
      </c>
      <c r="F1799">
        <v>12091.44</v>
      </c>
      <c r="G1799" t="str" cm="1">
        <f t="array" ref="G1799">IF(AND(ISNUMBER(SEARCH("UBER",C1799)),ISNUMBER(SEARCH("EATS",C1799))),"Uber Eats",IF(LEFT(C1799,6)="CHECK ","Checks Paid",IF(OR(E1799="BILLPAY",ISNUMBER(SEARCH("FRANCHISE TAX",C1799)),ISNUMBER(SEARCH("NEXTLINK",C1799))),"Personal - House Bills",IF(AND(ISNUMBER(SEARCH("PAYMENT FROM",C1799)),ISNUMBER(SEARCH("JOE SAUNDERS",C1799))),"Zelle from Joe Saunders",IF(AND(ISNUMBER(SEARCH("PAYMENT TO",C1799)),ISNUMBER(SEARCH("JOE SAUNDERS",C1799))),"Zelle to Joe Saunders",IF(OR(ISNUMBER(SEARCH("NEW ORLEANS",C1799)),ISNUMBER(SEARCH("KENNER",C1799)),ISNUMBER(SEARCH("HENRY HOWARD",C1799)),ISNUMBER(SEARCH("MISS CLAUDIA",C1799))),"Personal Travel - New Orleans",IF(AND(YEAR(B1799)=2025,MONTH(B1799)=4,OR(ISNUMBER(SEARCH("EXCHANGE RATE",C1799)),ISNUMBER(SEARCH("EXCHG RTE",C1799)))),"Personal Travel - Italy",IFERROR(INDEX('Category Rules'!$B$2:$B$358,MATCH(TRUE,ISNUMBER(SEARCH('Category Rules'!$A$2:$A$358,C1799)),0)),""))))))))</f>
        <v>Amazon</v>
      </c>
    </row>
    <row r="1800" spans="1:7" x14ac:dyDescent="0.25">
      <c r="A1800" t="s">
        <v>6</v>
      </c>
      <c r="B1800" s="1">
        <v>45748</v>
      </c>
      <c r="C1800" t="s">
        <v>1936</v>
      </c>
      <c r="D1800">
        <v>-31.69</v>
      </c>
      <c r="E1800" t="s">
        <v>10</v>
      </c>
      <c r="F1800">
        <v>12194.24</v>
      </c>
      <c r="G1800" t="str" cm="1">
        <f t="array" ref="G1800">IF(AND(ISNUMBER(SEARCH("UBER",C1800)),ISNUMBER(SEARCH("EATS",C1800))),"Uber Eats",IF(LEFT(C1800,6)="CHECK ","Checks Paid",IF(OR(E1800="BILLPAY",ISNUMBER(SEARCH("FRANCHISE TAX",C1800)),ISNUMBER(SEARCH("NEXTLINK",C1800))),"Personal - House Bills",IF(AND(ISNUMBER(SEARCH("PAYMENT FROM",C1800)),ISNUMBER(SEARCH("JOE SAUNDERS",C1800))),"Zelle from Joe Saunders",IF(AND(ISNUMBER(SEARCH("PAYMENT TO",C1800)),ISNUMBER(SEARCH("JOE SAUNDERS",C1800))),"Zelle to Joe Saunders",IF(OR(ISNUMBER(SEARCH("NEW ORLEANS",C1800)),ISNUMBER(SEARCH("KENNER",C1800)),ISNUMBER(SEARCH("HENRY HOWARD",C1800)),ISNUMBER(SEARCH("MISS CLAUDIA",C1800))),"Personal Travel - New Orleans",IF(AND(YEAR(B1800)=2025,MONTH(B1800)=4,OR(ISNUMBER(SEARCH("EXCHANGE RATE",C1800)),ISNUMBER(SEARCH("EXCHG RTE",C1800)))),"Personal Travel - Italy",IFERROR(INDEX('Category Rules'!$B$2:$B$358,MATCH(TRUE,ISNUMBER(SEARCH('Category Rules'!$A$2:$A$358,C1800)),0)),""))))))))</f>
        <v>Amazon</v>
      </c>
    </row>
    <row r="1801" spans="1:7" x14ac:dyDescent="0.25">
      <c r="A1801" t="s">
        <v>6</v>
      </c>
      <c r="B1801" s="1">
        <v>45748</v>
      </c>
      <c r="C1801" t="s">
        <v>1937</v>
      </c>
      <c r="D1801">
        <v>-54.74</v>
      </c>
      <c r="E1801" t="s">
        <v>10</v>
      </c>
      <c r="F1801">
        <v>12225.93</v>
      </c>
      <c r="G1801" t="str" cm="1">
        <f t="array" ref="G1801">IF(AND(ISNUMBER(SEARCH("UBER",C1801)),ISNUMBER(SEARCH("EATS",C1801))),"Uber Eats",IF(LEFT(C1801,6)="CHECK ","Checks Paid",IF(OR(E1801="BILLPAY",ISNUMBER(SEARCH("FRANCHISE TAX",C1801)),ISNUMBER(SEARCH("NEXTLINK",C1801))),"Personal - House Bills",IF(AND(ISNUMBER(SEARCH("PAYMENT FROM",C1801)),ISNUMBER(SEARCH("JOE SAUNDERS",C1801))),"Zelle from Joe Saunders",IF(AND(ISNUMBER(SEARCH("PAYMENT TO",C1801)),ISNUMBER(SEARCH("JOE SAUNDERS",C1801))),"Zelle to Joe Saunders",IF(OR(ISNUMBER(SEARCH("NEW ORLEANS",C1801)),ISNUMBER(SEARCH("KENNER",C1801)),ISNUMBER(SEARCH("HENRY HOWARD",C1801)),ISNUMBER(SEARCH("MISS CLAUDIA",C1801))),"Personal Travel - New Orleans",IF(AND(YEAR(B1801)=2025,MONTH(B1801)=4,OR(ISNUMBER(SEARCH("EXCHANGE RATE",C1801)),ISNUMBER(SEARCH("EXCHG RTE",C1801)))),"Personal Travel - Italy",IFERROR(INDEX('Category Rules'!$B$2:$B$358,MATCH(TRUE,ISNUMBER(SEARCH('Category Rules'!$A$2:$A$358,C1801)),0)),""))))))))</f>
        <v>Personal Travel</v>
      </c>
    </row>
    <row r="1802" spans="1:7" x14ac:dyDescent="0.25">
      <c r="A1802" t="s">
        <v>6</v>
      </c>
      <c r="B1802" s="1">
        <v>45748</v>
      </c>
      <c r="C1802" t="s">
        <v>1937</v>
      </c>
      <c r="D1802">
        <v>-15.18</v>
      </c>
      <c r="E1802" t="s">
        <v>10</v>
      </c>
      <c r="F1802">
        <v>12280.67</v>
      </c>
      <c r="G1802" t="str" cm="1">
        <f t="array" ref="G1802">IF(AND(ISNUMBER(SEARCH("UBER",C1802)),ISNUMBER(SEARCH("EATS",C1802))),"Uber Eats",IF(LEFT(C1802,6)="CHECK ","Checks Paid",IF(OR(E1802="BILLPAY",ISNUMBER(SEARCH("FRANCHISE TAX",C1802)),ISNUMBER(SEARCH("NEXTLINK",C1802))),"Personal - House Bills",IF(AND(ISNUMBER(SEARCH("PAYMENT FROM",C1802)),ISNUMBER(SEARCH("JOE SAUNDERS",C1802))),"Zelle from Joe Saunders",IF(AND(ISNUMBER(SEARCH("PAYMENT TO",C1802)),ISNUMBER(SEARCH("JOE SAUNDERS",C1802))),"Zelle to Joe Saunders",IF(OR(ISNUMBER(SEARCH("NEW ORLEANS",C1802)),ISNUMBER(SEARCH("KENNER",C1802)),ISNUMBER(SEARCH("HENRY HOWARD",C1802)),ISNUMBER(SEARCH("MISS CLAUDIA",C1802))),"Personal Travel - New Orleans",IF(AND(YEAR(B1802)=2025,MONTH(B1802)=4,OR(ISNUMBER(SEARCH("EXCHANGE RATE",C1802)),ISNUMBER(SEARCH("EXCHG RTE",C1802)))),"Personal Travel - Italy",IFERROR(INDEX('Category Rules'!$B$2:$B$358,MATCH(TRUE,ISNUMBER(SEARCH('Category Rules'!$A$2:$A$358,C1802)),0)),""))))))))</f>
        <v>Personal Travel</v>
      </c>
    </row>
    <row r="1803" spans="1:7" x14ac:dyDescent="0.25">
      <c r="A1803" t="s">
        <v>6</v>
      </c>
      <c r="B1803" s="1">
        <v>45748</v>
      </c>
      <c r="C1803" t="s">
        <v>1938</v>
      </c>
      <c r="D1803">
        <v>-55</v>
      </c>
      <c r="E1803" t="s">
        <v>10</v>
      </c>
      <c r="F1803">
        <v>12295.85</v>
      </c>
      <c r="G1803" t="str" cm="1">
        <f t="array" ref="G1803">IF(AND(ISNUMBER(SEARCH("UBER",C1803)),ISNUMBER(SEARCH("EATS",C1803))),"Uber Eats",IF(LEFT(C1803,6)="CHECK ","Checks Paid",IF(OR(E1803="BILLPAY",ISNUMBER(SEARCH("FRANCHISE TAX",C1803)),ISNUMBER(SEARCH("NEXTLINK",C1803))),"Personal - House Bills",IF(AND(ISNUMBER(SEARCH("PAYMENT FROM",C1803)),ISNUMBER(SEARCH("JOE SAUNDERS",C1803))),"Zelle from Joe Saunders",IF(AND(ISNUMBER(SEARCH("PAYMENT TO",C1803)),ISNUMBER(SEARCH("JOE SAUNDERS",C1803))),"Zelle to Joe Saunders",IF(OR(ISNUMBER(SEARCH("NEW ORLEANS",C1803)),ISNUMBER(SEARCH("KENNER",C1803)),ISNUMBER(SEARCH("HENRY HOWARD",C1803)),ISNUMBER(SEARCH("MISS CLAUDIA",C1803))),"Personal Travel - New Orleans",IF(AND(YEAR(B1803)=2025,MONTH(B1803)=4,OR(ISNUMBER(SEARCH("EXCHANGE RATE",C1803)),ISNUMBER(SEARCH("EXCHG RTE",C1803)))),"Personal Travel - Italy",IFERROR(INDEX('Category Rules'!$B$2:$B$358,MATCH(TRUE,ISNUMBER(SEARCH('Category Rules'!$A$2:$A$358,C1803)),0)),""))))))))</f>
        <v>Personal - Subscription</v>
      </c>
    </row>
    <row r="1804" spans="1:7" x14ac:dyDescent="0.25">
      <c r="A1804" t="s">
        <v>6</v>
      </c>
      <c r="B1804" s="1">
        <v>45747</v>
      </c>
      <c r="C1804" t="s">
        <v>1939</v>
      </c>
      <c r="D1804">
        <v>-944.63</v>
      </c>
      <c r="E1804" t="s">
        <v>10</v>
      </c>
      <c r="F1804">
        <v>12350.85</v>
      </c>
      <c r="G1804" t="str" cm="1">
        <f t="array" ref="G1804">IF(AND(ISNUMBER(SEARCH("UBER",C1804)),ISNUMBER(SEARCH("EATS",C1804))),"Uber Eats",IF(LEFT(C1804,6)="CHECK ","Checks Paid",IF(OR(E1804="BILLPAY",ISNUMBER(SEARCH("FRANCHISE TAX",C1804)),ISNUMBER(SEARCH("NEXTLINK",C1804))),"Personal - House Bills",IF(AND(ISNUMBER(SEARCH("PAYMENT FROM",C1804)),ISNUMBER(SEARCH("JOE SAUNDERS",C1804))),"Zelle from Joe Saunders",IF(AND(ISNUMBER(SEARCH("PAYMENT TO",C1804)),ISNUMBER(SEARCH("JOE SAUNDERS",C1804))),"Zelle to Joe Saunders",IF(OR(ISNUMBER(SEARCH("NEW ORLEANS",C1804)),ISNUMBER(SEARCH("KENNER",C1804)),ISNUMBER(SEARCH("HENRY HOWARD",C1804)),ISNUMBER(SEARCH("MISS CLAUDIA",C1804))),"Personal Travel - New Orleans",IF(AND(YEAR(B1804)=2025,MONTH(B1804)=4,OR(ISNUMBER(SEARCH("EXCHANGE RATE",C1804)),ISNUMBER(SEARCH("EXCHG RTE",C1804)))),"Personal Travel - Italy",IFERROR(INDEX('Category Rules'!$B$2:$B$358,MATCH(TRUE,ISNUMBER(SEARCH('Category Rules'!$A$2:$A$358,C1804)),0)),""))))))))</f>
        <v>Personal - Health Insurance</v>
      </c>
    </row>
    <row r="1805" spans="1:7" x14ac:dyDescent="0.25">
      <c r="A1805" t="s">
        <v>6</v>
      </c>
      <c r="B1805" s="1">
        <v>45747</v>
      </c>
      <c r="C1805" t="s">
        <v>1940</v>
      </c>
      <c r="D1805">
        <v>-1000</v>
      </c>
      <c r="E1805" t="s">
        <v>73</v>
      </c>
      <c r="F1805">
        <v>13295.48</v>
      </c>
      <c r="G1805" t="str" cm="1">
        <f t="array" ref="G1805">IF(AND(ISNUMBER(SEARCH("UBER",C1805)),ISNUMBER(SEARCH("EATS",C1805))),"Uber Eats",IF(LEFT(C1805,6)="CHECK ","Checks Paid",IF(OR(E1805="BILLPAY",ISNUMBER(SEARCH("FRANCHISE TAX",C1805)),ISNUMBER(SEARCH("NEXTLINK",C1805))),"Personal - House Bills",IF(AND(ISNUMBER(SEARCH("PAYMENT FROM",C1805)),ISNUMBER(SEARCH("JOE SAUNDERS",C1805))),"Zelle from Joe Saunders",IF(AND(ISNUMBER(SEARCH("PAYMENT TO",C1805)),ISNUMBER(SEARCH("JOE SAUNDERS",C1805))),"Zelle to Joe Saunders",IF(OR(ISNUMBER(SEARCH("NEW ORLEANS",C1805)),ISNUMBER(SEARCH("KENNER",C1805)),ISNUMBER(SEARCH("HENRY HOWARD",C1805)),ISNUMBER(SEARCH("MISS CLAUDIA",C1805))),"Personal Travel - New Orleans",IF(AND(YEAR(B1805)=2025,MONTH(B1805)=4,OR(ISNUMBER(SEARCH("EXCHANGE RATE",C1805)),ISNUMBER(SEARCH("EXCHG RTE",C1805)))),"Personal Travel - Italy",IFERROR(INDEX('Category Rules'!$B$2:$B$358,MATCH(TRUE,ISNUMBER(SEARCH('Category Rules'!$A$2:$A$358,C1805)),0)),""))))))))</f>
        <v>Transfer to Ava</v>
      </c>
    </row>
    <row r="1806" spans="1:7" x14ac:dyDescent="0.25">
      <c r="A1806" t="s">
        <v>6</v>
      </c>
      <c r="B1806" s="1">
        <v>45747</v>
      </c>
      <c r="C1806" t="s">
        <v>1941</v>
      </c>
      <c r="D1806">
        <v>-183.46</v>
      </c>
      <c r="E1806" t="s">
        <v>10</v>
      </c>
      <c r="F1806">
        <v>14295.48</v>
      </c>
      <c r="G1806" t="str" cm="1">
        <f t="array" ref="G1806">IF(AND(ISNUMBER(SEARCH("UBER",C1806)),ISNUMBER(SEARCH("EATS",C1806))),"Uber Eats",IF(LEFT(C1806,6)="CHECK ","Checks Paid",IF(OR(E1806="BILLPAY",ISNUMBER(SEARCH("FRANCHISE TAX",C1806)),ISNUMBER(SEARCH("NEXTLINK",C1806))),"Personal - House Bills",IF(AND(ISNUMBER(SEARCH("PAYMENT FROM",C1806)),ISNUMBER(SEARCH("JOE SAUNDERS",C1806))),"Zelle from Joe Saunders",IF(AND(ISNUMBER(SEARCH("PAYMENT TO",C1806)),ISNUMBER(SEARCH("JOE SAUNDERS",C1806))),"Zelle to Joe Saunders",IF(OR(ISNUMBER(SEARCH("NEW ORLEANS",C1806)),ISNUMBER(SEARCH("KENNER",C1806)),ISNUMBER(SEARCH("HENRY HOWARD",C1806)),ISNUMBER(SEARCH("MISS CLAUDIA",C1806))),"Personal Travel - New Orleans",IF(AND(YEAR(B1806)=2025,MONTH(B1806)=4,OR(ISNUMBER(SEARCH("EXCHANGE RATE",C1806)),ISNUMBER(SEARCH("EXCHG RTE",C1806)))),"Personal Travel - Italy",IFERROR(INDEX('Category Rules'!$B$2:$B$358,MATCH(TRUE,ISNUMBER(SEARCH('Category Rules'!$A$2:$A$358,C1806)),0)),""))))))))</f>
        <v>Personal - Food</v>
      </c>
    </row>
    <row r="1807" spans="1:7" x14ac:dyDescent="0.25">
      <c r="A1807" t="s">
        <v>6</v>
      </c>
      <c r="B1807" s="1">
        <v>45747</v>
      </c>
      <c r="C1807" t="s">
        <v>1942</v>
      </c>
      <c r="D1807">
        <v>-364.19</v>
      </c>
      <c r="E1807" t="s">
        <v>10</v>
      </c>
      <c r="F1807">
        <v>14478.94</v>
      </c>
      <c r="G1807" t="str" cm="1">
        <f t="array" ref="G1807">IF(AND(ISNUMBER(SEARCH("UBER",C1807)),ISNUMBER(SEARCH("EATS",C1807))),"Uber Eats",IF(LEFT(C1807,6)="CHECK ","Checks Paid",IF(OR(E1807="BILLPAY",ISNUMBER(SEARCH("FRANCHISE TAX",C1807)),ISNUMBER(SEARCH("NEXTLINK",C1807))),"Personal - House Bills",IF(AND(ISNUMBER(SEARCH("PAYMENT FROM",C1807)),ISNUMBER(SEARCH("JOE SAUNDERS",C1807))),"Zelle from Joe Saunders",IF(AND(ISNUMBER(SEARCH("PAYMENT TO",C1807)),ISNUMBER(SEARCH("JOE SAUNDERS",C1807))),"Zelle to Joe Saunders",IF(OR(ISNUMBER(SEARCH("NEW ORLEANS",C1807)),ISNUMBER(SEARCH("KENNER",C1807)),ISNUMBER(SEARCH("HENRY HOWARD",C1807)),ISNUMBER(SEARCH("MISS CLAUDIA",C1807))),"Personal Travel - New Orleans",IF(AND(YEAR(B1807)=2025,MONTH(B1807)=4,OR(ISNUMBER(SEARCH("EXCHANGE RATE",C1807)),ISNUMBER(SEARCH("EXCHG RTE",C1807)))),"Personal Travel - Italy",IFERROR(INDEX('Category Rules'!$B$2:$B$358,MATCH(TRUE,ISNUMBER(SEARCH('Category Rules'!$A$2:$A$358,C1807)),0)),""))))))))</f>
        <v>Personal - Health</v>
      </c>
    </row>
    <row r="1808" spans="1:7" x14ac:dyDescent="0.25">
      <c r="A1808" t="s">
        <v>6</v>
      </c>
      <c r="B1808" s="1">
        <v>45747</v>
      </c>
      <c r="C1808" t="s">
        <v>1943</v>
      </c>
      <c r="D1808">
        <v>-40.159999999999997</v>
      </c>
      <c r="E1808" t="s">
        <v>10</v>
      </c>
      <c r="F1808">
        <v>14843.13</v>
      </c>
      <c r="G1808" t="str" cm="1">
        <f t="array" ref="G1808">IF(AND(ISNUMBER(SEARCH("UBER",C1808)),ISNUMBER(SEARCH("EATS",C1808))),"Uber Eats",IF(LEFT(C1808,6)="CHECK ","Checks Paid",IF(OR(E1808="BILLPAY",ISNUMBER(SEARCH("FRANCHISE TAX",C1808)),ISNUMBER(SEARCH("NEXTLINK",C1808))),"Personal - House Bills",IF(AND(ISNUMBER(SEARCH("PAYMENT FROM",C1808)),ISNUMBER(SEARCH("JOE SAUNDERS",C1808))),"Zelle from Joe Saunders",IF(AND(ISNUMBER(SEARCH("PAYMENT TO",C1808)),ISNUMBER(SEARCH("JOE SAUNDERS",C1808))),"Zelle to Joe Saunders",IF(OR(ISNUMBER(SEARCH("NEW ORLEANS",C1808)),ISNUMBER(SEARCH("KENNER",C1808)),ISNUMBER(SEARCH("HENRY HOWARD",C1808)),ISNUMBER(SEARCH("MISS CLAUDIA",C1808))),"Personal Travel - New Orleans",IF(AND(YEAR(B1808)=2025,MONTH(B1808)=4,OR(ISNUMBER(SEARCH("EXCHANGE RATE",C1808)),ISNUMBER(SEARCH("EXCHG RTE",C1808)))),"Personal Travel - Italy",IFERROR(INDEX('Category Rules'!$B$2:$B$358,MATCH(TRUE,ISNUMBER(SEARCH('Category Rules'!$A$2:$A$358,C1808)),0)),""))))))))</f>
        <v>Uber Eats</v>
      </c>
    </row>
    <row r="1809" spans="1:7" x14ac:dyDescent="0.25">
      <c r="A1809" t="s">
        <v>6</v>
      </c>
      <c r="B1809" s="1">
        <v>45747</v>
      </c>
      <c r="C1809" t="s">
        <v>1944</v>
      </c>
      <c r="D1809">
        <v>-318.13</v>
      </c>
      <c r="E1809" t="s">
        <v>10</v>
      </c>
      <c r="F1809">
        <v>14883.29</v>
      </c>
      <c r="G1809" t="str" cm="1">
        <f t="array" ref="G1809">IF(AND(ISNUMBER(SEARCH("UBER",C1809)),ISNUMBER(SEARCH("EATS",C1809))),"Uber Eats",IF(LEFT(C1809,6)="CHECK ","Checks Paid",IF(OR(E1809="BILLPAY",ISNUMBER(SEARCH("FRANCHISE TAX",C1809)),ISNUMBER(SEARCH("NEXTLINK",C1809))),"Personal - House Bills",IF(AND(ISNUMBER(SEARCH("PAYMENT FROM",C1809)),ISNUMBER(SEARCH("JOE SAUNDERS",C1809))),"Zelle from Joe Saunders",IF(AND(ISNUMBER(SEARCH("PAYMENT TO",C1809)),ISNUMBER(SEARCH("JOE SAUNDERS",C1809))),"Zelle to Joe Saunders",IF(OR(ISNUMBER(SEARCH("NEW ORLEANS",C1809)),ISNUMBER(SEARCH("KENNER",C1809)),ISNUMBER(SEARCH("HENRY HOWARD",C1809)),ISNUMBER(SEARCH("MISS CLAUDIA",C1809))),"Personal Travel - New Orleans",IF(AND(YEAR(B1809)=2025,MONTH(B1809)=4,OR(ISNUMBER(SEARCH("EXCHANGE RATE",C1809)),ISNUMBER(SEARCH("EXCHG RTE",C1809)))),"Personal Travel - Italy",IFERROR(INDEX('Category Rules'!$B$2:$B$358,MATCH(TRUE,ISNUMBER(SEARCH('Category Rules'!$A$2:$A$358,C1809)),0)),""))))))))</f>
        <v>Personal - Shopping</v>
      </c>
    </row>
    <row r="1810" spans="1:7" x14ac:dyDescent="0.25">
      <c r="A1810" t="s">
        <v>6</v>
      </c>
      <c r="B1810" s="1">
        <v>45747</v>
      </c>
      <c r="C1810" t="s">
        <v>1945</v>
      </c>
      <c r="D1810">
        <v>-28.91</v>
      </c>
      <c r="E1810" t="s">
        <v>10</v>
      </c>
      <c r="F1810">
        <v>15201.42</v>
      </c>
      <c r="G1810" t="str" cm="1">
        <f t="array" ref="G1810">IF(AND(ISNUMBER(SEARCH("UBER",C1810)),ISNUMBER(SEARCH("EATS",C1810))),"Uber Eats",IF(LEFT(C1810,6)="CHECK ","Checks Paid",IF(OR(E1810="BILLPAY",ISNUMBER(SEARCH("FRANCHISE TAX",C1810)),ISNUMBER(SEARCH("NEXTLINK",C1810))),"Personal - House Bills",IF(AND(ISNUMBER(SEARCH("PAYMENT FROM",C1810)),ISNUMBER(SEARCH("JOE SAUNDERS",C1810))),"Zelle from Joe Saunders",IF(AND(ISNUMBER(SEARCH("PAYMENT TO",C1810)),ISNUMBER(SEARCH("JOE SAUNDERS",C1810))),"Zelle to Joe Saunders",IF(OR(ISNUMBER(SEARCH("NEW ORLEANS",C1810)),ISNUMBER(SEARCH("KENNER",C1810)),ISNUMBER(SEARCH("HENRY HOWARD",C1810)),ISNUMBER(SEARCH("MISS CLAUDIA",C1810))),"Personal Travel - New Orleans",IF(AND(YEAR(B1810)=2025,MONTH(B1810)=4,OR(ISNUMBER(SEARCH("EXCHANGE RATE",C1810)),ISNUMBER(SEARCH("EXCHG RTE",C1810)))),"Personal Travel - Italy",IFERROR(INDEX('Category Rules'!$B$2:$B$358,MATCH(TRUE,ISNUMBER(SEARCH('Category Rules'!$A$2:$A$358,C1810)),0)),""))))))))</f>
        <v>Personal - Uber</v>
      </c>
    </row>
    <row r="1811" spans="1:7" x14ac:dyDescent="0.25">
      <c r="A1811" t="s">
        <v>6</v>
      </c>
      <c r="B1811" s="1">
        <v>45747</v>
      </c>
      <c r="C1811" t="s">
        <v>1946</v>
      </c>
      <c r="D1811">
        <v>-35.020000000000003</v>
      </c>
      <c r="E1811" t="s">
        <v>10</v>
      </c>
      <c r="F1811">
        <v>15230.33</v>
      </c>
      <c r="G1811" t="str" cm="1">
        <f t="array" ref="G1811">IF(AND(ISNUMBER(SEARCH("UBER",C1811)),ISNUMBER(SEARCH("EATS",C1811))),"Uber Eats",IF(LEFT(C1811,6)="CHECK ","Checks Paid",IF(OR(E1811="BILLPAY",ISNUMBER(SEARCH("FRANCHISE TAX",C1811)),ISNUMBER(SEARCH("NEXTLINK",C1811))),"Personal - House Bills",IF(AND(ISNUMBER(SEARCH("PAYMENT FROM",C1811)),ISNUMBER(SEARCH("JOE SAUNDERS",C1811))),"Zelle from Joe Saunders",IF(AND(ISNUMBER(SEARCH("PAYMENT TO",C1811)),ISNUMBER(SEARCH("JOE SAUNDERS",C1811))),"Zelle to Joe Saunders",IF(OR(ISNUMBER(SEARCH("NEW ORLEANS",C1811)),ISNUMBER(SEARCH("KENNER",C1811)),ISNUMBER(SEARCH("HENRY HOWARD",C1811)),ISNUMBER(SEARCH("MISS CLAUDIA",C1811))),"Personal Travel - New Orleans",IF(AND(YEAR(B1811)=2025,MONTH(B1811)=4,OR(ISNUMBER(SEARCH("EXCHANGE RATE",C1811)),ISNUMBER(SEARCH("EXCHG RTE",C1811)))),"Personal Travel - Italy",IFERROR(INDEX('Category Rules'!$B$2:$B$358,MATCH(TRUE,ISNUMBER(SEARCH('Category Rules'!$A$2:$A$358,C1811)),0)),""))))))))</f>
        <v>Amazon</v>
      </c>
    </row>
    <row r="1812" spans="1:7" x14ac:dyDescent="0.25">
      <c r="A1812" t="s">
        <v>6</v>
      </c>
      <c r="B1812" s="1">
        <v>45747</v>
      </c>
      <c r="C1812" t="s">
        <v>1947</v>
      </c>
      <c r="D1812">
        <v>-19.940000000000001</v>
      </c>
      <c r="E1812" t="s">
        <v>10</v>
      </c>
      <c r="F1812">
        <v>15265.35</v>
      </c>
      <c r="G1812" t="str" cm="1">
        <f t="array" ref="G1812">IF(AND(ISNUMBER(SEARCH("UBER",C1812)),ISNUMBER(SEARCH("EATS",C1812))),"Uber Eats",IF(LEFT(C1812,6)="CHECK ","Checks Paid",IF(OR(E1812="BILLPAY",ISNUMBER(SEARCH("FRANCHISE TAX",C1812)),ISNUMBER(SEARCH("NEXTLINK",C1812))),"Personal - House Bills",IF(AND(ISNUMBER(SEARCH("PAYMENT FROM",C1812)),ISNUMBER(SEARCH("JOE SAUNDERS",C1812))),"Zelle from Joe Saunders",IF(AND(ISNUMBER(SEARCH("PAYMENT TO",C1812)),ISNUMBER(SEARCH("JOE SAUNDERS",C1812))),"Zelle to Joe Saunders",IF(OR(ISNUMBER(SEARCH("NEW ORLEANS",C1812)),ISNUMBER(SEARCH("KENNER",C1812)),ISNUMBER(SEARCH("HENRY HOWARD",C1812)),ISNUMBER(SEARCH("MISS CLAUDIA",C1812))),"Personal Travel - New Orleans",IF(AND(YEAR(B1812)=2025,MONTH(B1812)=4,OR(ISNUMBER(SEARCH("EXCHANGE RATE",C1812)),ISNUMBER(SEARCH("EXCHG RTE",C1812)))),"Personal Travel - Italy",IFERROR(INDEX('Category Rules'!$B$2:$B$358,MATCH(TRUE,ISNUMBER(SEARCH('Category Rules'!$A$2:$A$358,C1812)),0)),""))))))))</f>
        <v>Personal - Uber</v>
      </c>
    </row>
    <row r="1813" spans="1:7" x14ac:dyDescent="0.25">
      <c r="A1813" t="s">
        <v>6</v>
      </c>
      <c r="B1813" s="1">
        <v>45747</v>
      </c>
      <c r="C1813" t="s">
        <v>1948</v>
      </c>
      <c r="D1813">
        <v>-153.28</v>
      </c>
      <c r="E1813" t="s">
        <v>10</v>
      </c>
      <c r="F1813">
        <v>15285.29</v>
      </c>
      <c r="G1813" t="str" cm="1">
        <f t="array" ref="G1813">IF(AND(ISNUMBER(SEARCH("UBER",C1813)),ISNUMBER(SEARCH("EATS",C1813))),"Uber Eats",IF(LEFT(C1813,6)="CHECK ","Checks Paid",IF(OR(E1813="BILLPAY",ISNUMBER(SEARCH("FRANCHISE TAX",C1813)),ISNUMBER(SEARCH("NEXTLINK",C1813))),"Personal - House Bills",IF(AND(ISNUMBER(SEARCH("PAYMENT FROM",C1813)),ISNUMBER(SEARCH("JOE SAUNDERS",C1813))),"Zelle from Joe Saunders",IF(AND(ISNUMBER(SEARCH("PAYMENT TO",C1813)),ISNUMBER(SEARCH("JOE SAUNDERS",C1813))),"Zelle to Joe Saunders",IF(OR(ISNUMBER(SEARCH("NEW ORLEANS",C1813)),ISNUMBER(SEARCH("KENNER",C1813)),ISNUMBER(SEARCH("HENRY HOWARD",C1813)),ISNUMBER(SEARCH("MISS CLAUDIA",C1813))),"Personal Travel - New Orleans",IF(AND(YEAR(B1813)=2025,MONTH(B1813)=4,OR(ISNUMBER(SEARCH("EXCHANGE RATE",C1813)),ISNUMBER(SEARCH("EXCHG RTE",C1813)))),"Personal Travel - Italy",IFERROR(INDEX('Category Rules'!$B$2:$B$358,MATCH(TRUE,ISNUMBER(SEARCH('Category Rules'!$A$2:$A$358,C1813)),0)),""))))))))</f>
        <v>Amazon</v>
      </c>
    </row>
    <row r="1814" spans="1:7" x14ac:dyDescent="0.25">
      <c r="A1814" t="s">
        <v>6</v>
      </c>
      <c r="B1814" s="1">
        <v>45747</v>
      </c>
      <c r="C1814" t="s">
        <v>1949</v>
      </c>
      <c r="D1814">
        <v>-20.010000000000002</v>
      </c>
      <c r="E1814" t="s">
        <v>10</v>
      </c>
      <c r="F1814">
        <v>15438.57</v>
      </c>
      <c r="G1814" t="str" cm="1">
        <f t="array" ref="G1814">IF(AND(ISNUMBER(SEARCH("UBER",C1814)),ISNUMBER(SEARCH("EATS",C1814))),"Uber Eats",IF(LEFT(C1814,6)="CHECK ","Checks Paid",IF(OR(E1814="BILLPAY",ISNUMBER(SEARCH("FRANCHISE TAX",C1814)),ISNUMBER(SEARCH("NEXTLINK",C1814))),"Personal - House Bills",IF(AND(ISNUMBER(SEARCH("PAYMENT FROM",C1814)),ISNUMBER(SEARCH("JOE SAUNDERS",C1814))),"Zelle from Joe Saunders",IF(AND(ISNUMBER(SEARCH("PAYMENT TO",C1814)),ISNUMBER(SEARCH("JOE SAUNDERS",C1814))),"Zelle to Joe Saunders",IF(OR(ISNUMBER(SEARCH("NEW ORLEANS",C1814)),ISNUMBER(SEARCH("KENNER",C1814)),ISNUMBER(SEARCH("HENRY HOWARD",C1814)),ISNUMBER(SEARCH("MISS CLAUDIA",C1814))),"Personal Travel - New Orleans",IF(AND(YEAR(B1814)=2025,MONTH(B1814)=4,OR(ISNUMBER(SEARCH("EXCHANGE RATE",C1814)),ISNUMBER(SEARCH("EXCHG RTE",C1814)))),"Personal Travel - Italy",IFERROR(INDEX('Category Rules'!$B$2:$B$358,MATCH(TRUE,ISNUMBER(SEARCH('Category Rules'!$A$2:$A$358,C1814)),0)),""))))))))</f>
        <v>Amazon</v>
      </c>
    </row>
    <row r="1815" spans="1:7" x14ac:dyDescent="0.25">
      <c r="A1815" t="s">
        <v>6</v>
      </c>
      <c r="B1815" s="1">
        <v>45747</v>
      </c>
      <c r="C1815" t="s">
        <v>1950</v>
      </c>
      <c r="D1815">
        <v>-35.020000000000003</v>
      </c>
      <c r="E1815" t="s">
        <v>10</v>
      </c>
      <c r="F1815">
        <v>15458.58</v>
      </c>
      <c r="G1815" t="str" cm="1">
        <f t="array" ref="G1815">IF(AND(ISNUMBER(SEARCH("UBER",C1815)),ISNUMBER(SEARCH("EATS",C1815))),"Uber Eats",IF(LEFT(C1815,6)="CHECK ","Checks Paid",IF(OR(E1815="BILLPAY",ISNUMBER(SEARCH("FRANCHISE TAX",C1815)),ISNUMBER(SEARCH("NEXTLINK",C1815))),"Personal - House Bills",IF(AND(ISNUMBER(SEARCH("PAYMENT FROM",C1815)),ISNUMBER(SEARCH("JOE SAUNDERS",C1815))),"Zelle from Joe Saunders",IF(AND(ISNUMBER(SEARCH("PAYMENT TO",C1815)),ISNUMBER(SEARCH("JOE SAUNDERS",C1815))),"Zelle to Joe Saunders",IF(OR(ISNUMBER(SEARCH("NEW ORLEANS",C1815)),ISNUMBER(SEARCH("KENNER",C1815)),ISNUMBER(SEARCH("HENRY HOWARD",C1815)),ISNUMBER(SEARCH("MISS CLAUDIA",C1815))),"Personal Travel - New Orleans",IF(AND(YEAR(B1815)=2025,MONTH(B1815)=4,OR(ISNUMBER(SEARCH("EXCHANGE RATE",C1815)),ISNUMBER(SEARCH("EXCHG RTE",C1815)))),"Personal Travel - Italy",IFERROR(INDEX('Category Rules'!$B$2:$B$358,MATCH(TRUE,ISNUMBER(SEARCH('Category Rules'!$A$2:$A$358,C1815)),0)),""))))))))</f>
        <v>Amazon</v>
      </c>
    </row>
    <row r="1816" spans="1:7" x14ac:dyDescent="0.25">
      <c r="A1816" t="s">
        <v>6</v>
      </c>
      <c r="B1816" s="1">
        <v>45747</v>
      </c>
      <c r="C1816" t="s">
        <v>1951</v>
      </c>
      <c r="D1816">
        <v>-39.99</v>
      </c>
      <c r="E1816" t="s">
        <v>10</v>
      </c>
      <c r="F1816">
        <v>15493.6</v>
      </c>
      <c r="G1816" t="str" cm="1">
        <f t="array" ref="G1816">IF(AND(ISNUMBER(SEARCH("UBER",C1816)),ISNUMBER(SEARCH("EATS",C1816))),"Uber Eats",IF(LEFT(C1816,6)="CHECK ","Checks Paid",IF(OR(E1816="BILLPAY",ISNUMBER(SEARCH("FRANCHISE TAX",C1816)),ISNUMBER(SEARCH("NEXTLINK",C1816))),"Personal - House Bills",IF(AND(ISNUMBER(SEARCH("PAYMENT FROM",C1816)),ISNUMBER(SEARCH("JOE SAUNDERS",C1816))),"Zelle from Joe Saunders",IF(AND(ISNUMBER(SEARCH("PAYMENT TO",C1816)),ISNUMBER(SEARCH("JOE SAUNDERS",C1816))),"Zelle to Joe Saunders",IF(OR(ISNUMBER(SEARCH("NEW ORLEANS",C1816)),ISNUMBER(SEARCH("KENNER",C1816)),ISNUMBER(SEARCH("HENRY HOWARD",C1816)),ISNUMBER(SEARCH("MISS CLAUDIA",C1816))),"Personal Travel - New Orleans",IF(AND(YEAR(B1816)=2025,MONTH(B1816)=4,OR(ISNUMBER(SEARCH("EXCHANGE RATE",C1816)),ISNUMBER(SEARCH("EXCHG RTE",C1816)))),"Personal Travel - Italy",IFERROR(INDEX('Category Rules'!$B$2:$B$358,MATCH(TRUE,ISNUMBER(SEARCH('Category Rules'!$A$2:$A$358,C1816)),0)),""))))))))</f>
        <v>Personal - Subscription</v>
      </c>
    </row>
    <row r="1817" spans="1:7" x14ac:dyDescent="0.25">
      <c r="A1817" t="s">
        <v>6</v>
      </c>
      <c r="B1817" s="1">
        <v>45747</v>
      </c>
      <c r="C1817" t="s">
        <v>1952</v>
      </c>
      <c r="D1817">
        <v>-120</v>
      </c>
      <c r="E1817" t="s">
        <v>33</v>
      </c>
      <c r="F1817">
        <v>15533.59</v>
      </c>
      <c r="G1817" t="str" cm="1">
        <f t="array" ref="G1817">IF(AND(ISNUMBER(SEARCH("UBER",C1817)),ISNUMBER(SEARCH("EATS",C1817))),"Uber Eats",IF(LEFT(C1817,6)="CHECK ","Checks Paid",IF(OR(E1817="BILLPAY",ISNUMBER(SEARCH("FRANCHISE TAX",C1817)),ISNUMBER(SEARCH("NEXTLINK",C1817))),"Personal - House Bills",IF(AND(ISNUMBER(SEARCH("PAYMENT FROM",C1817)),ISNUMBER(SEARCH("JOE SAUNDERS",C1817))),"Zelle from Joe Saunders",IF(AND(ISNUMBER(SEARCH("PAYMENT TO",C1817)),ISNUMBER(SEARCH("JOE SAUNDERS",C1817))),"Zelle to Joe Saunders",IF(OR(ISNUMBER(SEARCH("NEW ORLEANS",C1817)),ISNUMBER(SEARCH("KENNER",C1817)),ISNUMBER(SEARCH("HENRY HOWARD",C1817)),ISNUMBER(SEARCH("MISS CLAUDIA",C1817))),"Personal Travel - New Orleans",IF(AND(YEAR(B1817)=2025,MONTH(B1817)=4,OR(ISNUMBER(SEARCH("EXCHANGE RATE",C1817)),ISNUMBER(SEARCH("EXCHG RTE",C1817)))),"Personal Travel - Italy",IFERROR(INDEX('Category Rules'!$B$2:$B$358,MATCH(TRUE,ISNUMBER(SEARCH('Category Rules'!$A$2:$A$358,C1817)),0)),""))))))))</f>
        <v>Personal - House Bills</v>
      </c>
    </row>
    <row r="1818" spans="1:7" x14ac:dyDescent="0.25">
      <c r="A1818" t="s">
        <v>6</v>
      </c>
      <c r="B1818" s="1">
        <v>45747</v>
      </c>
      <c r="C1818" t="s">
        <v>1953</v>
      </c>
      <c r="D1818">
        <v>-320</v>
      </c>
      <c r="E1818" t="s">
        <v>33</v>
      </c>
      <c r="F1818">
        <v>15653.59</v>
      </c>
      <c r="G1818" t="str" cm="1">
        <f t="array" ref="G1818">IF(AND(ISNUMBER(SEARCH("UBER",C1818)),ISNUMBER(SEARCH("EATS",C1818))),"Uber Eats",IF(LEFT(C1818,6)="CHECK ","Checks Paid",IF(OR(E1818="BILLPAY",ISNUMBER(SEARCH("FRANCHISE TAX",C1818)),ISNUMBER(SEARCH("NEXTLINK",C1818))),"Personal - House Bills",IF(AND(ISNUMBER(SEARCH("PAYMENT FROM",C1818)),ISNUMBER(SEARCH("JOE SAUNDERS",C1818))),"Zelle from Joe Saunders",IF(AND(ISNUMBER(SEARCH("PAYMENT TO",C1818)),ISNUMBER(SEARCH("JOE SAUNDERS",C1818))),"Zelle to Joe Saunders",IF(OR(ISNUMBER(SEARCH("NEW ORLEANS",C1818)),ISNUMBER(SEARCH("KENNER",C1818)),ISNUMBER(SEARCH("HENRY HOWARD",C1818)),ISNUMBER(SEARCH("MISS CLAUDIA",C1818))),"Personal Travel - New Orleans",IF(AND(YEAR(B1818)=2025,MONTH(B1818)=4,OR(ISNUMBER(SEARCH("EXCHANGE RATE",C1818)),ISNUMBER(SEARCH("EXCHG RTE",C1818)))),"Personal Travel - Italy",IFERROR(INDEX('Category Rules'!$B$2:$B$358,MATCH(TRUE,ISNUMBER(SEARCH('Category Rules'!$A$2:$A$358,C1818)),0)),""))))))))</f>
        <v>Personal - House Bills</v>
      </c>
    </row>
    <row r="1819" spans="1:7" x14ac:dyDescent="0.25">
      <c r="A1819" t="s">
        <v>6</v>
      </c>
      <c r="B1819" s="1">
        <v>45747</v>
      </c>
      <c r="C1819" t="s">
        <v>1954</v>
      </c>
      <c r="D1819">
        <v>-700</v>
      </c>
      <c r="E1819" t="s">
        <v>33</v>
      </c>
      <c r="F1819">
        <v>15973.59</v>
      </c>
      <c r="G1819" t="str" cm="1">
        <f t="array" ref="G1819">IF(AND(ISNUMBER(SEARCH("UBER",C1819)),ISNUMBER(SEARCH("EATS",C1819))),"Uber Eats",IF(LEFT(C1819,6)="CHECK ","Checks Paid",IF(OR(E1819="BILLPAY",ISNUMBER(SEARCH("FRANCHISE TAX",C1819)),ISNUMBER(SEARCH("NEXTLINK",C1819))),"Personal - House Bills",IF(AND(ISNUMBER(SEARCH("PAYMENT FROM",C1819)),ISNUMBER(SEARCH("JOE SAUNDERS",C1819))),"Zelle from Joe Saunders",IF(AND(ISNUMBER(SEARCH("PAYMENT TO",C1819)),ISNUMBER(SEARCH("JOE SAUNDERS",C1819))),"Zelle to Joe Saunders",IF(OR(ISNUMBER(SEARCH("NEW ORLEANS",C1819)),ISNUMBER(SEARCH("KENNER",C1819)),ISNUMBER(SEARCH("HENRY HOWARD",C1819)),ISNUMBER(SEARCH("MISS CLAUDIA",C1819))),"Personal Travel - New Orleans",IF(AND(YEAR(B1819)=2025,MONTH(B1819)=4,OR(ISNUMBER(SEARCH("EXCHANGE RATE",C1819)),ISNUMBER(SEARCH("EXCHG RTE",C1819)))),"Personal Travel - Italy",IFERROR(INDEX('Category Rules'!$B$2:$B$358,MATCH(TRUE,ISNUMBER(SEARCH('Category Rules'!$A$2:$A$358,C1819)),0)),""))))))))</f>
        <v>Personal - House Bills</v>
      </c>
    </row>
    <row r="1820" spans="1:7" x14ac:dyDescent="0.25">
      <c r="A1820" t="s">
        <v>6</v>
      </c>
      <c r="B1820" s="1">
        <v>45747</v>
      </c>
      <c r="C1820" t="s">
        <v>1955</v>
      </c>
      <c r="D1820">
        <v>-300</v>
      </c>
      <c r="E1820" t="s">
        <v>33</v>
      </c>
      <c r="F1820">
        <v>16673.59</v>
      </c>
      <c r="G1820" t="str" cm="1">
        <f t="array" ref="G1820">IF(AND(ISNUMBER(SEARCH("UBER",C1820)),ISNUMBER(SEARCH("EATS",C1820))),"Uber Eats",IF(LEFT(C1820,6)="CHECK ","Checks Paid",IF(OR(E1820="BILLPAY",ISNUMBER(SEARCH("FRANCHISE TAX",C1820)),ISNUMBER(SEARCH("NEXTLINK",C1820))),"Personal - House Bills",IF(AND(ISNUMBER(SEARCH("PAYMENT FROM",C1820)),ISNUMBER(SEARCH("JOE SAUNDERS",C1820))),"Zelle from Joe Saunders",IF(AND(ISNUMBER(SEARCH("PAYMENT TO",C1820)),ISNUMBER(SEARCH("JOE SAUNDERS",C1820))),"Zelle to Joe Saunders",IF(OR(ISNUMBER(SEARCH("NEW ORLEANS",C1820)),ISNUMBER(SEARCH("KENNER",C1820)),ISNUMBER(SEARCH("HENRY HOWARD",C1820)),ISNUMBER(SEARCH("MISS CLAUDIA",C1820))),"Personal Travel - New Orleans",IF(AND(YEAR(B1820)=2025,MONTH(B1820)=4,OR(ISNUMBER(SEARCH("EXCHANGE RATE",C1820)),ISNUMBER(SEARCH("EXCHG RTE",C1820)))),"Personal Travel - Italy",IFERROR(INDEX('Category Rules'!$B$2:$B$358,MATCH(TRUE,ISNUMBER(SEARCH('Category Rules'!$A$2:$A$358,C1820)),0)),""))))))))</f>
        <v>Personal - House Bills</v>
      </c>
    </row>
    <row r="1821" spans="1:7" x14ac:dyDescent="0.25">
      <c r="A1821" t="s">
        <v>6</v>
      </c>
      <c r="B1821" s="1">
        <v>45747</v>
      </c>
      <c r="C1821" t="s">
        <v>1956</v>
      </c>
      <c r="D1821">
        <v>-300</v>
      </c>
      <c r="E1821" t="s">
        <v>33</v>
      </c>
      <c r="F1821">
        <v>16973.59</v>
      </c>
      <c r="G1821" t="str" cm="1">
        <f t="array" ref="G1821">IF(AND(ISNUMBER(SEARCH("UBER",C1821)),ISNUMBER(SEARCH("EATS",C1821))),"Uber Eats",IF(LEFT(C1821,6)="CHECK ","Checks Paid",IF(OR(E1821="BILLPAY",ISNUMBER(SEARCH("FRANCHISE TAX",C1821)),ISNUMBER(SEARCH("NEXTLINK",C1821))),"Personal - House Bills",IF(AND(ISNUMBER(SEARCH("PAYMENT FROM",C1821)),ISNUMBER(SEARCH("JOE SAUNDERS",C1821))),"Zelle from Joe Saunders",IF(AND(ISNUMBER(SEARCH("PAYMENT TO",C1821)),ISNUMBER(SEARCH("JOE SAUNDERS",C1821))),"Zelle to Joe Saunders",IF(OR(ISNUMBER(SEARCH("NEW ORLEANS",C1821)),ISNUMBER(SEARCH("KENNER",C1821)),ISNUMBER(SEARCH("HENRY HOWARD",C1821)),ISNUMBER(SEARCH("MISS CLAUDIA",C1821))),"Personal Travel - New Orleans",IF(AND(YEAR(B1821)=2025,MONTH(B1821)=4,OR(ISNUMBER(SEARCH("EXCHANGE RATE",C1821)),ISNUMBER(SEARCH("EXCHG RTE",C1821)))),"Personal Travel - Italy",IFERROR(INDEX('Category Rules'!$B$2:$B$358,MATCH(TRUE,ISNUMBER(SEARCH('Category Rules'!$A$2:$A$358,C1821)),0)),""))))))))</f>
        <v>Personal - House Bills</v>
      </c>
    </row>
    <row r="1822" spans="1:7" x14ac:dyDescent="0.25">
      <c r="A1822" t="s">
        <v>6</v>
      </c>
      <c r="B1822" s="1">
        <v>45747</v>
      </c>
      <c r="C1822" t="s">
        <v>1957</v>
      </c>
      <c r="D1822">
        <v>-52.45</v>
      </c>
      <c r="E1822" t="s">
        <v>10</v>
      </c>
      <c r="F1822">
        <v>17273.59</v>
      </c>
      <c r="G1822" t="str" cm="1">
        <f t="array" ref="G1822">IF(AND(ISNUMBER(SEARCH("UBER",C1822)),ISNUMBER(SEARCH("EATS",C1822))),"Uber Eats",IF(LEFT(C1822,6)="CHECK ","Checks Paid",IF(OR(E1822="BILLPAY",ISNUMBER(SEARCH("FRANCHISE TAX",C1822)),ISNUMBER(SEARCH("NEXTLINK",C1822))),"Personal - House Bills",IF(AND(ISNUMBER(SEARCH("PAYMENT FROM",C1822)),ISNUMBER(SEARCH("JOE SAUNDERS",C1822))),"Zelle from Joe Saunders",IF(AND(ISNUMBER(SEARCH("PAYMENT TO",C1822)),ISNUMBER(SEARCH("JOE SAUNDERS",C1822))),"Zelle to Joe Saunders",IF(OR(ISNUMBER(SEARCH("NEW ORLEANS",C1822)),ISNUMBER(SEARCH("KENNER",C1822)),ISNUMBER(SEARCH("HENRY HOWARD",C1822)),ISNUMBER(SEARCH("MISS CLAUDIA",C1822))),"Personal Travel - New Orleans",IF(AND(YEAR(B1822)=2025,MONTH(B1822)=4,OR(ISNUMBER(SEARCH("EXCHANGE RATE",C1822)),ISNUMBER(SEARCH("EXCHG RTE",C1822)))),"Personal Travel - Italy",IFERROR(INDEX('Category Rules'!$B$2:$B$358,MATCH(TRUE,ISNUMBER(SEARCH('Category Rules'!$A$2:$A$358,C1822)),0)),""))))))))</f>
        <v>Amazon</v>
      </c>
    </row>
    <row r="1823" spans="1:7" x14ac:dyDescent="0.25">
      <c r="A1823" t="s">
        <v>6</v>
      </c>
      <c r="B1823" s="1">
        <v>45747</v>
      </c>
      <c r="C1823" t="s">
        <v>1958</v>
      </c>
      <c r="D1823">
        <v>-62.05</v>
      </c>
      <c r="E1823" t="s">
        <v>10</v>
      </c>
      <c r="F1823">
        <v>17326.04</v>
      </c>
      <c r="G1823" t="str" cm="1">
        <f t="array" ref="G1823">IF(AND(ISNUMBER(SEARCH("UBER",C1823)),ISNUMBER(SEARCH("EATS",C1823))),"Uber Eats",IF(LEFT(C1823,6)="CHECK ","Checks Paid",IF(OR(E1823="BILLPAY",ISNUMBER(SEARCH("FRANCHISE TAX",C1823)),ISNUMBER(SEARCH("NEXTLINK",C1823))),"Personal - House Bills",IF(AND(ISNUMBER(SEARCH("PAYMENT FROM",C1823)),ISNUMBER(SEARCH("JOE SAUNDERS",C1823))),"Zelle from Joe Saunders",IF(AND(ISNUMBER(SEARCH("PAYMENT TO",C1823)),ISNUMBER(SEARCH("JOE SAUNDERS",C1823))),"Zelle to Joe Saunders",IF(OR(ISNUMBER(SEARCH("NEW ORLEANS",C1823)),ISNUMBER(SEARCH("KENNER",C1823)),ISNUMBER(SEARCH("HENRY HOWARD",C1823)),ISNUMBER(SEARCH("MISS CLAUDIA",C1823))),"Personal Travel - New Orleans",IF(AND(YEAR(B1823)=2025,MONTH(B1823)=4,OR(ISNUMBER(SEARCH("EXCHANGE RATE",C1823)),ISNUMBER(SEARCH("EXCHG RTE",C1823)))),"Personal Travel - Italy",IFERROR(INDEX('Category Rules'!$B$2:$B$358,MATCH(TRUE,ISNUMBER(SEARCH('Category Rules'!$A$2:$A$358,C1823)),0)),""))))))))</f>
        <v>Personal - Car</v>
      </c>
    </row>
    <row r="1824" spans="1:7" x14ac:dyDescent="0.25">
      <c r="A1824" t="s">
        <v>6</v>
      </c>
      <c r="B1824" s="1">
        <v>45747</v>
      </c>
      <c r="C1824" t="s">
        <v>1959</v>
      </c>
      <c r="D1824">
        <v>-290</v>
      </c>
      <c r="E1824" t="s">
        <v>10</v>
      </c>
      <c r="F1824">
        <v>17388.09</v>
      </c>
      <c r="G1824" t="str" cm="1">
        <f t="array" ref="G1824">IF(AND(ISNUMBER(SEARCH("UBER",C1824)),ISNUMBER(SEARCH("EATS",C1824))),"Uber Eats",IF(LEFT(C1824,6)="CHECK ","Checks Paid",IF(OR(E1824="BILLPAY",ISNUMBER(SEARCH("FRANCHISE TAX",C1824)),ISNUMBER(SEARCH("NEXTLINK",C1824))),"Personal - House Bills",IF(AND(ISNUMBER(SEARCH("PAYMENT FROM",C1824)),ISNUMBER(SEARCH("JOE SAUNDERS",C1824))),"Zelle from Joe Saunders",IF(AND(ISNUMBER(SEARCH("PAYMENT TO",C1824)),ISNUMBER(SEARCH("JOE SAUNDERS",C1824))),"Zelle to Joe Saunders",IF(OR(ISNUMBER(SEARCH("NEW ORLEANS",C1824)),ISNUMBER(SEARCH("KENNER",C1824)),ISNUMBER(SEARCH("HENRY HOWARD",C1824)),ISNUMBER(SEARCH("MISS CLAUDIA",C1824))),"Personal Travel - New Orleans",IF(AND(YEAR(B1824)=2025,MONTH(B1824)=4,OR(ISNUMBER(SEARCH("EXCHANGE RATE",C1824)),ISNUMBER(SEARCH("EXCHG RTE",C1824)))),"Personal Travel - Italy",IFERROR(INDEX('Category Rules'!$B$2:$B$358,MATCH(TRUE,ISNUMBER(SEARCH('Category Rules'!$A$2:$A$358,C1824)),0)),""))))))))</f>
        <v>Personal - Clothing</v>
      </c>
    </row>
    <row r="1825" spans="1:7" x14ac:dyDescent="0.25">
      <c r="A1825" t="s">
        <v>6</v>
      </c>
      <c r="B1825" s="1">
        <v>45747</v>
      </c>
      <c r="C1825" t="s">
        <v>1960</v>
      </c>
      <c r="D1825">
        <v>-59.97</v>
      </c>
      <c r="E1825" t="s">
        <v>10</v>
      </c>
      <c r="F1825">
        <v>17678.09</v>
      </c>
      <c r="G1825" t="str" cm="1">
        <f t="array" ref="G1825">IF(AND(ISNUMBER(SEARCH("UBER",C1825)),ISNUMBER(SEARCH("EATS",C1825))),"Uber Eats",IF(LEFT(C1825,6)="CHECK ","Checks Paid",IF(OR(E1825="BILLPAY",ISNUMBER(SEARCH("FRANCHISE TAX",C1825)),ISNUMBER(SEARCH("NEXTLINK",C1825))),"Personal - House Bills",IF(AND(ISNUMBER(SEARCH("PAYMENT FROM",C1825)),ISNUMBER(SEARCH("JOE SAUNDERS",C1825))),"Zelle from Joe Saunders",IF(AND(ISNUMBER(SEARCH("PAYMENT TO",C1825)),ISNUMBER(SEARCH("JOE SAUNDERS",C1825))),"Zelle to Joe Saunders",IF(OR(ISNUMBER(SEARCH("NEW ORLEANS",C1825)),ISNUMBER(SEARCH("KENNER",C1825)),ISNUMBER(SEARCH("HENRY HOWARD",C1825)),ISNUMBER(SEARCH("MISS CLAUDIA",C1825))),"Personal Travel - New Orleans",IF(AND(YEAR(B1825)=2025,MONTH(B1825)=4,OR(ISNUMBER(SEARCH("EXCHANGE RATE",C1825)),ISNUMBER(SEARCH("EXCHG RTE",C1825)))),"Personal Travel - Italy",IFERROR(INDEX('Category Rules'!$B$2:$B$358,MATCH(TRUE,ISNUMBER(SEARCH('Category Rules'!$A$2:$A$358,C1825)),0)),""))))))))</f>
        <v>Shipping</v>
      </c>
    </row>
    <row r="1826" spans="1:7" x14ac:dyDescent="0.25">
      <c r="A1826" t="s">
        <v>6</v>
      </c>
      <c r="B1826" s="1">
        <v>45747</v>
      </c>
      <c r="C1826" t="s">
        <v>1961</v>
      </c>
      <c r="D1826">
        <v>-5.48</v>
      </c>
      <c r="E1826" t="s">
        <v>10</v>
      </c>
      <c r="F1826">
        <v>17738.060000000001</v>
      </c>
      <c r="G1826" t="str" cm="1">
        <f t="array" ref="G1826">IF(AND(ISNUMBER(SEARCH("UBER",C1826)),ISNUMBER(SEARCH("EATS",C1826))),"Uber Eats",IF(LEFT(C1826,6)="CHECK ","Checks Paid",IF(OR(E1826="BILLPAY",ISNUMBER(SEARCH("FRANCHISE TAX",C1826)),ISNUMBER(SEARCH("NEXTLINK",C1826))),"Personal - House Bills",IF(AND(ISNUMBER(SEARCH("PAYMENT FROM",C1826)),ISNUMBER(SEARCH("JOE SAUNDERS",C1826))),"Zelle from Joe Saunders",IF(AND(ISNUMBER(SEARCH("PAYMENT TO",C1826)),ISNUMBER(SEARCH("JOE SAUNDERS",C1826))),"Zelle to Joe Saunders",IF(OR(ISNUMBER(SEARCH("NEW ORLEANS",C1826)),ISNUMBER(SEARCH("KENNER",C1826)),ISNUMBER(SEARCH("HENRY HOWARD",C1826)),ISNUMBER(SEARCH("MISS CLAUDIA",C1826))),"Personal Travel - New Orleans",IF(AND(YEAR(B1826)=2025,MONTH(B1826)=4,OR(ISNUMBER(SEARCH("EXCHANGE RATE",C1826)),ISNUMBER(SEARCH("EXCHG RTE",C1826)))),"Personal Travel - Italy",IFERROR(INDEX('Category Rules'!$B$2:$B$358,MATCH(TRUE,ISNUMBER(SEARCH('Category Rules'!$A$2:$A$358,C1826)),0)),""))))))))</f>
        <v>Personal - Health</v>
      </c>
    </row>
    <row r="1827" spans="1:7" x14ac:dyDescent="0.25">
      <c r="A1827" t="s">
        <v>6</v>
      </c>
      <c r="B1827" s="1">
        <v>45747</v>
      </c>
      <c r="C1827" t="s">
        <v>1962</v>
      </c>
      <c r="D1827">
        <v>-87.34</v>
      </c>
      <c r="E1827" t="s">
        <v>10</v>
      </c>
      <c r="F1827">
        <v>17743.54</v>
      </c>
      <c r="G1827" t="str" cm="1">
        <f t="array" ref="G1827">IF(AND(ISNUMBER(SEARCH("UBER",C1827)),ISNUMBER(SEARCH("EATS",C1827))),"Uber Eats",IF(LEFT(C1827,6)="CHECK ","Checks Paid",IF(OR(E1827="BILLPAY",ISNUMBER(SEARCH("FRANCHISE TAX",C1827)),ISNUMBER(SEARCH("NEXTLINK",C1827))),"Personal - House Bills",IF(AND(ISNUMBER(SEARCH("PAYMENT FROM",C1827)),ISNUMBER(SEARCH("JOE SAUNDERS",C1827))),"Zelle from Joe Saunders",IF(AND(ISNUMBER(SEARCH("PAYMENT TO",C1827)),ISNUMBER(SEARCH("JOE SAUNDERS",C1827))),"Zelle to Joe Saunders",IF(OR(ISNUMBER(SEARCH("NEW ORLEANS",C1827)),ISNUMBER(SEARCH("KENNER",C1827)),ISNUMBER(SEARCH("HENRY HOWARD",C1827)),ISNUMBER(SEARCH("MISS CLAUDIA",C1827))),"Personal Travel - New Orleans",IF(AND(YEAR(B1827)=2025,MONTH(B1827)=4,OR(ISNUMBER(SEARCH("EXCHANGE RATE",C1827)),ISNUMBER(SEARCH("EXCHG RTE",C1827)))),"Personal Travel - Italy",IFERROR(INDEX('Category Rules'!$B$2:$B$358,MATCH(TRUE,ISNUMBER(SEARCH('Category Rules'!$A$2:$A$358,C1827)),0)),""))))))))</f>
        <v>Amazon</v>
      </c>
    </row>
    <row r="1828" spans="1:7" x14ac:dyDescent="0.25">
      <c r="A1828" t="s">
        <v>6</v>
      </c>
      <c r="B1828" s="1">
        <v>45747</v>
      </c>
      <c r="C1828" t="s">
        <v>1963</v>
      </c>
      <c r="D1828">
        <v>-26.56</v>
      </c>
      <c r="E1828" t="s">
        <v>10</v>
      </c>
      <c r="F1828">
        <v>17830.88</v>
      </c>
      <c r="G1828" t="str" cm="1">
        <f t="array" ref="G1828">IF(AND(ISNUMBER(SEARCH("UBER",C1828)),ISNUMBER(SEARCH("EATS",C1828))),"Uber Eats",IF(LEFT(C1828,6)="CHECK ","Checks Paid",IF(OR(E1828="BILLPAY",ISNUMBER(SEARCH("FRANCHISE TAX",C1828)),ISNUMBER(SEARCH("NEXTLINK",C1828))),"Personal - House Bills",IF(AND(ISNUMBER(SEARCH("PAYMENT FROM",C1828)),ISNUMBER(SEARCH("JOE SAUNDERS",C1828))),"Zelle from Joe Saunders",IF(AND(ISNUMBER(SEARCH("PAYMENT TO",C1828)),ISNUMBER(SEARCH("JOE SAUNDERS",C1828))),"Zelle to Joe Saunders",IF(OR(ISNUMBER(SEARCH("NEW ORLEANS",C1828)),ISNUMBER(SEARCH("KENNER",C1828)),ISNUMBER(SEARCH("HENRY HOWARD",C1828)),ISNUMBER(SEARCH("MISS CLAUDIA",C1828))),"Personal Travel - New Orleans",IF(AND(YEAR(B1828)=2025,MONTH(B1828)=4,OR(ISNUMBER(SEARCH("EXCHANGE RATE",C1828)),ISNUMBER(SEARCH("EXCHG RTE",C1828)))),"Personal Travel - Italy",IFERROR(INDEX('Category Rules'!$B$2:$B$358,MATCH(TRUE,ISNUMBER(SEARCH('Category Rules'!$A$2:$A$358,C1828)),0)),""))))))))</f>
        <v>Amazon</v>
      </c>
    </row>
    <row r="1829" spans="1:7" x14ac:dyDescent="0.25">
      <c r="A1829" t="s">
        <v>6</v>
      </c>
      <c r="B1829" s="1">
        <v>45747</v>
      </c>
      <c r="C1829" t="s">
        <v>1964</v>
      </c>
      <c r="D1829">
        <v>-136.01</v>
      </c>
      <c r="E1829" t="s">
        <v>10</v>
      </c>
      <c r="F1829">
        <v>17857.439999999999</v>
      </c>
      <c r="G1829" t="str" cm="1">
        <f t="array" ref="G1829">IF(AND(ISNUMBER(SEARCH("UBER",C1829)),ISNUMBER(SEARCH("EATS",C1829))),"Uber Eats",IF(LEFT(C1829,6)="CHECK ","Checks Paid",IF(OR(E1829="BILLPAY",ISNUMBER(SEARCH("FRANCHISE TAX",C1829)),ISNUMBER(SEARCH("NEXTLINK",C1829))),"Personal - House Bills",IF(AND(ISNUMBER(SEARCH("PAYMENT FROM",C1829)),ISNUMBER(SEARCH("JOE SAUNDERS",C1829))),"Zelle from Joe Saunders",IF(AND(ISNUMBER(SEARCH("PAYMENT TO",C1829)),ISNUMBER(SEARCH("JOE SAUNDERS",C1829))),"Zelle to Joe Saunders",IF(OR(ISNUMBER(SEARCH("NEW ORLEANS",C1829)),ISNUMBER(SEARCH("KENNER",C1829)),ISNUMBER(SEARCH("HENRY HOWARD",C1829)),ISNUMBER(SEARCH("MISS CLAUDIA",C1829))),"Personal Travel - New Orleans",IF(AND(YEAR(B1829)=2025,MONTH(B1829)=4,OR(ISNUMBER(SEARCH("EXCHANGE RATE",C1829)),ISNUMBER(SEARCH("EXCHG RTE",C1829)))),"Personal Travel - Italy",IFERROR(INDEX('Category Rules'!$B$2:$B$358,MATCH(TRUE,ISNUMBER(SEARCH('Category Rules'!$A$2:$A$358,C1829)),0)),""))))))))</f>
        <v>Uber Eats</v>
      </c>
    </row>
    <row r="1830" spans="1:7" x14ac:dyDescent="0.25">
      <c r="A1830" t="s">
        <v>44</v>
      </c>
      <c r="B1830" s="1">
        <v>45747</v>
      </c>
      <c r="C1830" t="s">
        <v>1965</v>
      </c>
      <c r="D1830">
        <v>10000</v>
      </c>
      <c r="E1830" t="s">
        <v>73</v>
      </c>
      <c r="F1830">
        <v>17993.45</v>
      </c>
      <c r="G1830" t="str" cm="1">
        <f t="array" ref="G1830">IF(AND(ISNUMBER(SEARCH("UBER",C1830)),ISNUMBER(SEARCH("EATS",C1830))),"Uber Eats",IF(LEFT(C1830,6)="CHECK ","Checks Paid",IF(OR(E1830="BILLPAY",ISNUMBER(SEARCH("FRANCHISE TAX",C1830)),ISNUMBER(SEARCH("NEXTLINK",C1830))),"Personal - House Bills",IF(AND(ISNUMBER(SEARCH("PAYMENT FROM",C1830)),ISNUMBER(SEARCH("JOE SAUNDERS",C1830))),"Zelle from Joe Saunders",IF(AND(ISNUMBER(SEARCH("PAYMENT TO",C1830)),ISNUMBER(SEARCH("JOE SAUNDERS",C1830))),"Zelle to Joe Saunders",IF(OR(ISNUMBER(SEARCH("NEW ORLEANS",C1830)),ISNUMBER(SEARCH("KENNER",C1830)),ISNUMBER(SEARCH("HENRY HOWARD",C1830)),ISNUMBER(SEARCH("MISS CLAUDIA",C1830))),"Personal Travel - New Orleans",IF(AND(YEAR(B1830)=2025,MONTH(B1830)=4,OR(ISNUMBER(SEARCH("EXCHANGE RATE",C1830)),ISNUMBER(SEARCH("EXCHG RTE",C1830)))),"Personal Travel - Italy",IFERROR(INDEX('Category Rules'!$B$2:$B$358,MATCH(TRUE,ISNUMBER(SEARCH('Category Rules'!$A$2:$A$358,C1830)),0)),""))))))))</f>
        <v>Transfer from DWG Capital Group</v>
      </c>
    </row>
    <row r="1831" spans="1:7" x14ac:dyDescent="0.25">
      <c r="A1831" t="s">
        <v>6</v>
      </c>
      <c r="B1831" s="1">
        <v>45744</v>
      </c>
      <c r="C1831" t="s">
        <v>1966</v>
      </c>
      <c r="D1831">
        <v>-23.92</v>
      </c>
      <c r="E1831" t="s">
        <v>10</v>
      </c>
      <c r="F1831">
        <v>7993.45</v>
      </c>
      <c r="G1831" t="str" cm="1">
        <f t="array" ref="G1831">IF(AND(ISNUMBER(SEARCH("UBER",C1831)),ISNUMBER(SEARCH("EATS",C1831))),"Uber Eats",IF(LEFT(C1831,6)="CHECK ","Checks Paid",IF(OR(E1831="BILLPAY",ISNUMBER(SEARCH("FRANCHISE TAX",C1831)),ISNUMBER(SEARCH("NEXTLINK",C1831))),"Personal - House Bills",IF(AND(ISNUMBER(SEARCH("PAYMENT FROM",C1831)),ISNUMBER(SEARCH("JOE SAUNDERS",C1831))),"Zelle from Joe Saunders",IF(AND(ISNUMBER(SEARCH("PAYMENT TO",C1831)),ISNUMBER(SEARCH("JOE SAUNDERS",C1831))),"Zelle to Joe Saunders",IF(OR(ISNUMBER(SEARCH("NEW ORLEANS",C1831)),ISNUMBER(SEARCH("KENNER",C1831)),ISNUMBER(SEARCH("HENRY HOWARD",C1831)),ISNUMBER(SEARCH("MISS CLAUDIA",C1831))),"Personal Travel - New Orleans",IF(AND(YEAR(B1831)=2025,MONTH(B1831)=4,OR(ISNUMBER(SEARCH("EXCHANGE RATE",C1831)),ISNUMBER(SEARCH("EXCHG RTE",C1831)))),"Personal Travel - Italy",IFERROR(INDEX('Category Rules'!$B$2:$B$358,MATCH(TRUE,ISNUMBER(SEARCH('Category Rules'!$A$2:$A$358,C1831)),0)),""))))))))</f>
        <v>Personal - Uber</v>
      </c>
    </row>
    <row r="1832" spans="1:7" x14ac:dyDescent="0.25">
      <c r="A1832" t="s">
        <v>6</v>
      </c>
      <c r="B1832" s="1">
        <v>45744</v>
      </c>
      <c r="C1832" t="s">
        <v>1967</v>
      </c>
      <c r="D1832">
        <v>-148.55000000000001</v>
      </c>
      <c r="E1832" t="s">
        <v>10</v>
      </c>
      <c r="F1832">
        <v>8017.37</v>
      </c>
      <c r="G1832" t="str" cm="1">
        <f t="array" ref="G1832">IF(AND(ISNUMBER(SEARCH("UBER",C1832)),ISNUMBER(SEARCH("EATS",C1832))),"Uber Eats",IF(LEFT(C1832,6)="CHECK ","Checks Paid",IF(OR(E1832="BILLPAY",ISNUMBER(SEARCH("FRANCHISE TAX",C1832)),ISNUMBER(SEARCH("NEXTLINK",C1832))),"Personal - House Bills",IF(AND(ISNUMBER(SEARCH("PAYMENT FROM",C1832)),ISNUMBER(SEARCH("JOE SAUNDERS",C1832))),"Zelle from Joe Saunders",IF(AND(ISNUMBER(SEARCH("PAYMENT TO",C1832)),ISNUMBER(SEARCH("JOE SAUNDERS",C1832))),"Zelle to Joe Saunders",IF(OR(ISNUMBER(SEARCH("NEW ORLEANS",C1832)),ISNUMBER(SEARCH("KENNER",C1832)),ISNUMBER(SEARCH("HENRY HOWARD",C1832)),ISNUMBER(SEARCH("MISS CLAUDIA",C1832))),"Personal Travel - New Orleans",IF(AND(YEAR(B1832)=2025,MONTH(B1832)=4,OR(ISNUMBER(SEARCH("EXCHANGE RATE",C1832)),ISNUMBER(SEARCH("EXCHG RTE",C1832)))),"Personal Travel - Italy",IFERROR(INDEX('Category Rules'!$B$2:$B$358,MATCH(TRUE,ISNUMBER(SEARCH('Category Rules'!$A$2:$A$358,C1832)),0)),""))))))))</f>
        <v>Personal - Health</v>
      </c>
    </row>
    <row r="1833" spans="1:7" x14ac:dyDescent="0.25">
      <c r="A1833" t="s">
        <v>6</v>
      </c>
      <c r="B1833" s="1">
        <v>45744</v>
      </c>
      <c r="C1833" t="s">
        <v>1968</v>
      </c>
      <c r="D1833">
        <v>-5.99</v>
      </c>
      <c r="E1833" t="s">
        <v>10</v>
      </c>
      <c r="F1833">
        <v>8165.92</v>
      </c>
      <c r="G1833" t="str" cm="1">
        <f t="array" ref="G1833">IF(AND(ISNUMBER(SEARCH("UBER",C1833)),ISNUMBER(SEARCH("EATS",C1833))),"Uber Eats",IF(LEFT(C1833,6)="CHECK ","Checks Paid",IF(OR(E1833="BILLPAY",ISNUMBER(SEARCH("FRANCHISE TAX",C1833)),ISNUMBER(SEARCH("NEXTLINK",C1833))),"Personal - House Bills",IF(AND(ISNUMBER(SEARCH("PAYMENT FROM",C1833)),ISNUMBER(SEARCH("JOE SAUNDERS",C1833))),"Zelle from Joe Saunders",IF(AND(ISNUMBER(SEARCH("PAYMENT TO",C1833)),ISNUMBER(SEARCH("JOE SAUNDERS",C1833))),"Zelle to Joe Saunders",IF(OR(ISNUMBER(SEARCH("NEW ORLEANS",C1833)),ISNUMBER(SEARCH("KENNER",C1833)),ISNUMBER(SEARCH("HENRY HOWARD",C1833)),ISNUMBER(SEARCH("MISS CLAUDIA",C1833))),"Personal Travel - New Orleans",IF(AND(YEAR(B1833)=2025,MONTH(B1833)=4,OR(ISNUMBER(SEARCH("EXCHANGE RATE",C1833)),ISNUMBER(SEARCH("EXCHG RTE",C1833)))),"Personal Travel - Italy",IFERROR(INDEX('Category Rules'!$B$2:$B$358,MATCH(TRUE,ISNUMBER(SEARCH('Category Rules'!$A$2:$A$358,C1833)),0)),""))))))))</f>
        <v>Apple</v>
      </c>
    </row>
    <row r="1834" spans="1:7" x14ac:dyDescent="0.25">
      <c r="A1834" t="s">
        <v>6</v>
      </c>
      <c r="B1834" s="1">
        <v>45744</v>
      </c>
      <c r="C1834" t="s">
        <v>1969</v>
      </c>
      <c r="D1834">
        <v>-10</v>
      </c>
      <c r="E1834" t="s">
        <v>10</v>
      </c>
      <c r="F1834">
        <v>8171.91</v>
      </c>
      <c r="G1834" t="str" cm="1">
        <f t="array" ref="G1834">IF(AND(ISNUMBER(SEARCH("UBER",C1834)),ISNUMBER(SEARCH("EATS",C1834))),"Uber Eats",IF(LEFT(C1834,6)="CHECK ","Checks Paid",IF(OR(E1834="BILLPAY",ISNUMBER(SEARCH("FRANCHISE TAX",C1834)),ISNUMBER(SEARCH("NEXTLINK",C1834))),"Personal - House Bills",IF(AND(ISNUMBER(SEARCH("PAYMENT FROM",C1834)),ISNUMBER(SEARCH("JOE SAUNDERS",C1834))),"Zelle from Joe Saunders",IF(AND(ISNUMBER(SEARCH("PAYMENT TO",C1834)),ISNUMBER(SEARCH("JOE SAUNDERS",C1834))),"Zelle to Joe Saunders",IF(OR(ISNUMBER(SEARCH("NEW ORLEANS",C1834)),ISNUMBER(SEARCH("KENNER",C1834)),ISNUMBER(SEARCH("HENRY HOWARD",C1834)),ISNUMBER(SEARCH("MISS CLAUDIA",C1834))),"Personal Travel - New Orleans",IF(AND(YEAR(B1834)=2025,MONTH(B1834)=4,OR(ISNUMBER(SEARCH("EXCHANGE RATE",C1834)),ISNUMBER(SEARCH("EXCHG RTE",C1834)))),"Personal Travel - Italy",IFERROR(INDEX('Category Rules'!$B$2:$B$358,MATCH(TRUE,ISNUMBER(SEARCH('Category Rules'!$A$2:$A$358,C1834)),0)),""))))))))</f>
        <v>Personal - Shopping</v>
      </c>
    </row>
    <row r="1835" spans="1:7" x14ac:dyDescent="0.25">
      <c r="A1835" t="s">
        <v>6</v>
      </c>
      <c r="B1835" s="1">
        <v>45744</v>
      </c>
      <c r="C1835" t="s">
        <v>1969</v>
      </c>
      <c r="D1835">
        <v>-91.89</v>
      </c>
      <c r="E1835" t="s">
        <v>10</v>
      </c>
      <c r="F1835">
        <v>8181.91</v>
      </c>
      <c r="G1835" t="str" cm="1">
        <f t="array" ref="G1835">IF(AND(ISNUMBER(SEARCH("UBER",C1835)),ISNUMBER(SEARCH("EATS",C1835))),"Uber Eats",IF(LEFT(C1835,6)="CHECK ","Checks Paid",IF(OR(E1835="BILLPAY",ISNUMBER(SEARCH("FRANCHISE TAX",C1835)),ISNUMBER(SEARCH("NEXTLINK",C1835))),"Personal - House Bills",IF(AND(ISNUMBER(SEARCH("PAYMENT FROM",C1835)),ISNUMBER(SEARCH("JOE SAUNDERS",C1835))),"Zelle from Joe Saunders",IF(AND(ISNUMBER(SEARCH("PAYMENT TO",C1835)),ISNUMBER(SEARCH("JOE SAUNDERS",C1835))),"Zelle to Joe Saunders",IF(OR(ISNUMBER(SEARCH("NEW ORLEANS",C1835)),ISNUMBER(SEARCH("KENNER",C1835)),ISNUMBER(SEARCH("HENRY HOWARD",C1835)),ISNUMBER(SEARCH("MISS CLAUDIA",C1835))),"Personal Travel - New Orleans",IF(AND(YEAR(B1835)=2025,MONTH(B1835)=4,OR(ISNUMBER(SEARCH("EXCHANGE RATE",C1835)),ISNUMBER(SEARCH("EXCHG RTE",C1835)))),"Personal Travel - Italy",IFERROR(INDEX('Category Rules'!$B$2:$B$358,MATCH(TRUE,ISNUMBER(SEARCH('Category Rules'!$A$2:$A$358,C1835)),0)),""))))))))</f>
        <v>Personal - Shopping</v>
      </c>
    </row>
    <row r="1836" spans="1:7" x14ac:dyDescent="0.25">
      <c r="A1836" t="s">
        <v>6</v>
      </c>
      <c r="B1836" s="1">
        <v>45744</v>
      </c>
      <c r="C1836" t="s">
        <v>1970</v>
      </c>
      <c r="D1836">
        <v>-22.18</v>
      </c>
      <c r="E1836" t="s">
        <v>10</v>
      </c>
      <c r="F1836">
        <v>8273.7999999999993</v>
      </c>
      <c r="G1836" t="str" cm="1">
        <f t="array" ref="G1836">IF(AND(ISNUMBER(SEARCH("UBER",C1836)),ISNUMBER(SEARCH("EATS",C1836))),"Uber Eats",IF(LEFT(C1836,6)="CHECK ","Checks Paid",IF(OR(E1836="BILLPAY",ISNUMBER(SEARCH("FRANCHISE TAX",C1836)),ISNUMBER(SEARCH("NEXTLINK",C1836))),"Personal - House Bills",IF(AND(ISNUMBER(SEARCH("PAYMENT FROM",C1836)),ISNUMBER(SEARCH("JOE SAUNDERS",C1836))),"Zelle from Joe Saunders",IF(AND(ISNUMBER(SEARCH("PAYMENT TO",C1836)),ISNUMBER(SEARCH("JOE SAUNDERS",C1836))),"Zelle to Joe Saunders",IF(OR(ISNUMBER(SEARCH("NEW ORLEANS",C1836)),ISNUMBER(SEARCH("KENNER",C1836)),ISNUMBER(SEARCH("HENRY HOWARD",C1836)),ISNUMBER(SEARCH("MISS CLAUDIA",C1836))),"Personal Travel - New Orleans",IF(AND(YEAR(B1836)=2025,MONTH(B1836)=4,OR(ISNUMBER(SEARCH("EXCHANGE RATE",C1836)),ISNUMBER(SEARCH("EXCHG RTE",C1836)))),"Personal Travel - Italy",IFERROR(INDEX('Category Rules'!$B$2:$B$358,MATCH(TRUE,ISNUMBER(SEARCH('Category Rules'!$A$2:$A$358,C1836)),0)),""))))))))</f>
        <v>Personal - Shopping</v>
      </c>
    </row>
    <row r="1837" spans="1:7" x14ac:dyDescent="0.25">
      <c r="A1837" t="s">
        <v>6</v>
      </c>
      <c r="B1837" s="1">
        <v>45744</v>
      </c>
      <c r="C1837" t="s">
        <v>1971</v>
      </c>
      <c r="D1837">
        <v>-7.5</v>
      </c>
      <c r="E1837" t="s">
        <v>10</v>
      </c>
      <c r="F1837">
        <v>8295.98</v>
      </c>
      <c r="G1837" t="str" cm="1">
        <f t="array" ref="G1837">IF(AND(ISNUMBER(SEARCH("UBER",C1837)),ISNUMBER(SEARCH("EATS",C1837))),"Uber Eats",IF(LEFT(C1837,6)="CHECK ","Checks Paid",IF(OR(E1837="BILLPAY",ISNUMBER(SEARCH("FRANCHISE TAX",C1837)),ISNUMBER(SEARCH("NEXTLINK",C1837))),"Personal - House Bills",IF(AND(ISNUMBER(SEARCH("PAYMENT FROM",C1837)),ISNUMBER(SEARCH("JOE SAUNDERS",C1837))),"Zelle from Joe Saunders",IF(AND(ISNUMBER(SEARCH("PAYMENT TO",C1837)),ISNUMBER(SEARCH("JOE SAUNDERS",C1837))),"Zelle to Joe Saunders",IF(OR(ISNUMBER(SEARCH("NEW ORLEANS",C1837)),ISNUMBER(SEARCH("KENNER",C1837)),ISNUMBER(SEARCH("HENRY HOWARD",C1837)),ISNUMBER(SEARCH("MISS CLAUDIA",C1837))),"Personal Travel - New Orleans",IF(AND(YEAR(B1837)=2025,MONTH(B1837)=4,OR(ISNUMBER(SEARCH("EXCHANGE RATE",C1837)),ISNUMBER(SEARCH("EXCHG RTE",C1837)))),"Personal Travel - Italy",IFERROR(INDEX('Category Rules'!$B$2:$B$358,MATCH(TRUE,ISNUMBER(SEARCH('Category Rules'!$A$2:$A$358,C1837)),0)),""))))))))</f>
        <v>Personal - Subscription</v>
      </c>
    </row>
    <row r="1838" spans="1:7" x14ac:dyDescent="0.25">
      <c r="A1838" t="s">
        <v>6</v>
      </c>
      <c r="B1838" s="1">
        <v>45744</v>
      </c>
      <c r="C1838" t="s">
        <v>1972</v>
      </c>
      <c r="D1838">
        <v>-332.25</v>
      </c>
      <c r="E1838" t="s">
        <v>10</v>
      </c>
      <c r="F1838">
        <v>8303.48</v>
      </c>
      <c r="G1838" t="str" cm="1">
        <f t="array" ref="G1838">IF(AND(ISNUMBER(SEARCH("UBER",C1838)),ISNUMBER(SEARCH("EATS",C1838))),"Uber Eats",IF(LEFT(C1838,6)="CHECK ","Checks Paid",IF(OR(E1838="BILLPAY",ISNUMBER(SEARCH("FRANCHISE TAX",C1838)),ISNUMBER(SEARCH("NEXTLINK",C1838))),"Personal - House Bills",IF(AND(ISNUMBER(SEARCH("PAYMENT FROM",C1838)),ISNUMBER(SEARCH("JOE SAUNDERS",C1838))),"Zelle from Joe Saunders",IF(AND(ISNUMBER(SEARCH("PAYMENT TO",C1838)),ISNUMBER(SEARCH("JOE SAUNDERS",C1838))),"Zelle to Joe Saunders",IF(OR(ISNUMBER(SEARCH("NEW ORLEANS",C1838)),ISNUMBER(SEARCH("KENNER",C1838)),ISNUMBER(SEARCH("HENRY HOWARD",C1838)),ISNUMBER(SEARCH("MISS CLAUDIA",C1838))),"Personal Travel - New Orleans",IF(AND(YEAR(B1838)=2025,MONTH(B1838)=4,OR(ISNUMBER(SEARCH("EXCHANGE RATE",C1838)),ISNUMBER(SEARCH("EXCHG RTE",C1838)))),"Personal Travel - Italy",IFERROR(INDEX('Category Rules'!$B$2:$B$358,MATCH(TRUE,ISNUMBER(SEARCH('Category Rules'!$A$2:$A$358,C1838)),0)),""))))))))</f>
        <v>Amazon</v>
      </c>
    </row>
    <row r="1839" spans="1:7" x14ac:dyDescent="0.25">
      <c r="A1839" t="s">
        <v>44</v>
      </c>
      <c r="B1839" s="1">
        <v>45744</v>
      </c>
      <c r="C1839" t="s">
        <v>1973</v>
      </c>
      <c r="D1839">
        <v>3000</v>
      </c>
      <c r="E1839" t="s">
        <v>73</v>
      </c>
      <c r="F1839">
        <v>8635.73</v>
      </c>
      <c r="G1839" t="str" cm="1">
        <f t="array" ref="G1839">IF(AND(ISNUMBER(SEARCH("UBER",C1839)),ISNUMBER(SEARCH("EATS",C1839))),"Uber Eats",IF(LEFT(C1839,6)="CHECK ","Checks Paid",IF(OR(E1839="BILLPAY",ISNUMBER(SEARCH("FRANCHISE TAX",C1839)),ISNUMBER(SEARCH("NEXTLINK",C1839))),"Personal - House Bills",IF(AND(ISNUMBER(SEARCH("PAYMENT FROM",C1839)),ISNUMBER(SEARCH("JOE SAUNDERS",C1839))),"Zelle from Joe Saunders",IF(AND(ISNUMBER(SEARCH("PAYMENT TO",C1839)),ISNUMBER(SEARCH("JOE SAUNDERS",C1839))),"Zelle to Joe Saunders",IF(OR(ISNUMBER(SEARCH("NEW ORLEANS",C1839)),ISNUMBER(SEARCH("KENNER",C1839)),ISNUMBER(SEARCH("HENRY HOWARD",C1839)),ISNUMBER(SEARCH("MISS CLAUDIA",C1839))),"Personal Travel - New Orleans",IF(AND(YEAR(B1839)=2025,MONTH(B1839)=4,OR(ISNUMBER(SEARCH("EXCHANGE RATE",C1839)),ISNUMBER(SEARCH("EXCHG RTE",C1839)))),"Personal Travel - Italy",IFERROR(INDEX('Category Rules'!$B$2:$B$358,MATCH(TRUE,ISNUMBER(SEARCH('Category Rules'!$A$2:$A$358,C1839)),0)),""))))))))</f>
        <v>Transfer from DWG Capital Group</v>
      </c>
    </row>
    <row r="1840" spans="1:7" x14ac:dyDescent="0.25">
      <c r="A1840" t="s">
        <v>44</v>
      </c>
      <c r="B1840" s="1">
        <v>45744</v>
      </c>
      <c r="C1840" t="s">
        <v>1974</v>
      </c>
      <c r="D1840">
        <v>5000</v>
      </c>
      <c r="E1840" t="s">
        <v>73</v>
      </c>
      <c r="F1840">
        <v>5635.73</v>
      </c>
      <c r="G1840" t="str" cm="1">
        <f t="array" ref="G1840">IF(AND(ISNUMBER(SEARCH("UBER",C1840)),ISNUMBER(SEARCH("EATS",C1840))),"Uber Eats",IF(LEFT(C1840,6)="CHECK ","Checks Paid",IF(OR(E1840="BILLPAY",ISNUMBER(SEARCH("FRANCHISE TAX",C1840)),ISNUMBER(SEARCH("NEXTLINK",C1840))),"Personal - House Bills",IF(AND(ISNUMBER(SEARCH("PAYMENT FROM",C1840)),ISNUMBER(SEARCH("JOE SAUNDERS",C1840))),"Zelle from Joe Saunders",IF(AND(ISNUMBER(SEARCH("PAYMENT TO",C1840)),ISNUMBER(SEARCH("JOE SAUNDERS",C1840))),"Zelle to Joe Saunders",IF(OR(ISNUMBER(SEARCH("NEW ORLEANS",C1840)),ISNUMBER(SEARCH("KENNER",C1840)),ISNUMBER(SEARCH("HENRY HOWARD",C1840)),ISNUMBER(SEARCH("MISS CLAUDIA",C1840))),"Personal Travel - New Orleans",IF(AND(YEAR(B1840)=2025,MONTH(B1840)=4,OR(ISNUMBER(SEARCH("EXCHANGE RATE",C1840)),ISNUMBER(SEARCH("EXCHG RTE",C1840)))),"Personal Travel - Italy",IFERROR(INDEX('Category Rules'!$B$2:$B$358,MATCH(TRUE,ISNUMBER(SEARCH('Category Rules'!$A$2:$A$358,C1840)),0)),""))))))))</f>
        <v>Transfer from DWG Capital Group</v>
      </c>
    </row>
    <row r="1841" spans="1:7" x14ac:dyDescent="0.25">
      <c r="A1841" t="s">
        <v>6</v>
      </c>
      <c r="B1841" s="1">
        <v>45743</v>
      </c>
      <c r="C1841" t="s">
        <v>1975</v>
      </c>
      <c r="D1841">
        <v>-451.35</v>
      </c>
      <c r="E1841" t="s">
        <v>10</v>
      </c>
      <c r="F1841">
        <v>635.73</v>
      </c>
      <c r="G1841" t="str" cm="1">
        <f t="array" ref="G1841">IF(AND(ISNUMBER(SEARCH("UBER",C1841)),ISNUMBER(SEARCH("EATS",C1841))),"Uber Eats",IF(LEFT(C1841,6)="CHECK ","Checks Paid",IF(OR(E1841="BILLPAY",ISNUMBER(SEARCH("FRANCHISE TAX",C1841)),ISNUMBER(SEARCH("NEXTLINK",C1841))),"Personal - House Bills",IF(AND(ISNUMBER(SEARCH("PAYMENT FROM",C1841)),ISNUMBER(SEARCH("JOE SAUNDERS",C1841))),"Zelle from Joe Saunders",IF(AND(ISNUMBER(SEARCH("PAYMENT TO",C1841)),ISNUMBER(SEARCH("JOE SAUNDERS",C1841))),"Zelle to Joe Saunders",IF(OR(ISNUMBER(SEARCH("NEW ORLEANS",C1841)),ISNUMBER(SEARCH("KENNER",C1841)),ISNUMBER(SEARCH("HENRY HOWARD",C1841)),ISNUMBER(SEARCH("MISS CLAUDIA",C1841))),"Personal Travel - New Orleans",IF(AND(YEAR(B1841)=2025,MONTH(B1841)=4,OR(ISNUMBER(SEARCH("EXCHANGE RATE",C1841)),ISNUMBER(SEARCH("EXCHG RTE",C1841)))),"Personal Travel - Italy",IFERROR(INDEX('Category Rules'!$B$2:$B$358,MATCH(TRUE,ISNUMBER(SEARCH('Category Rules'!$A$2:$A$358,C1841)),0)),""))))))))</f>
        <v>Personal - Shopping</v>
      </c>
    </row>
    <row r="1842" spans="1:7" x14ac:dyDescent="0.25">
      <c r="A1842" t="s">
        <v>6</v>
      </c>
      <c r="B1842" s="1">
        <v>45743</v>
      </c>
      <c r="C1842" t="s">
        <v>1976</v>
      </c>
      <c r="D1842">
        <v>-20</v>
      </c>
      <c r="E1842" t="s">
        <v>10</v>
      </c>
      <c r="F1842">
        <v>1087.08</v>
      </c>
      <c r="G1842" t="str" cm="1">
        <f t="array" ref="G1842">IF(AND(ISNUMBER(SEARCH("UBER",C1842)),ISNUMBER(SEARCH("EATS",C1842))),"Uber Eats",IF(LEFT(C1842,6)="CHECK ","Checks Paid",IF(OR(E1842="BILLPAY",ISNUMBER(SEARCH("FRANCHISE TAX",C1842)),ISNUMBER(SEARCH("NEXTLINK",C1842))),"Personal - House Bills",IF(AND(ISNUMBER(SEARCH("PAYMENT FROM",C1842)),ISNUMBER(SEARCH("JOE SAUNDERS",C1842))),"Zelle from Joe Saunders",IF(AND(ISNUMBER(SEARCH("PAYMENT TO",C1842)),ISNUMBER(SEARCH("JOE SAUNDERS",C1842))),"Zelle to Joe Saunders",IF(OR(ISNUMBER(SEARCH("NEW ORLEANS",C1842)),ISNUMBER(SEARCH("KENNER",C1842)),ISNUMBER(SEARCH("HENRY HOWARD",C1842)),ISNUMBER(SEARCH("MISS CLAUDIA",C1842))),"Personal Travel - New Orleans",IF(AND(YEAR(B1842)=2025,MONTH(B1842)=4,OR(ISNUMBER(SEARCH("EXCHANGE RATE",C1842)),ISNUMBER(SEARCH("EXCHG RTE",C1842)))),"Personal Travel - Italy",IFERROR(INDEX('Category Rules'!$B$2:$B$358,MATCH(TRUE,ISNUMBER(SEARCH('Category Rules'!$A$2:$A$358,C1842)),0)),""))))))))</f>
        <v>Personal - Shopping</v>
      </c>
    </row>
    <row r="1843" spans="1:7" x14ac:dyDescent="0.25">
      <c r="A1843" t="s">
        <v>6</v>
      </c>
      <c r="B1843" s="1">
        <v>45743</v>
      </c>
      <c r="C1843" t="s">
        <v>1977</v>
      </c>
      <c r="D1843">
        <v>-10</v>
      </c>
      <c r="E1843" t="s">
        <v>10</v>
      </c>
      <c r="F1843">
        <v>1107.08</v>
      </c>
      <c r="G1843" t="str" cm="1">
        <f t="array" ref="G1843">IF(AND(ISNUMBER(SEARCH("UBER",C1843)),ISNUMBER(SEARCH("EATS",C1843))),"Uber Eats",IF(LEFT(C1843,6)="CHECK ","Checks Paid",IF(OR(E1843="BILLPAY",ISNUMBER(SEARCH("FRANCHISE TAX",C1843)),ISNUMBER(SEARCH("NEXTLINK",C1843))),"Personal - House Bills",IF(AND(ISNUMBER(SEARCH("PAYMENT FROM",C1843)),ISNUMBER(SEARCH("JOE SAUNDERS",C1843))),"Zelle from Joe Saunders",IF(AND(ISNUMBER(SEARCH("PAYMENT TO",C1843)),ISNUMBER(SEARCH("JOE SAUNDERS",C1843))),"Zelle to Joe Saunders",IF(OR(ISNUMBER(SEARCH("NEW ORLEANS",C1843)),ISNUMBER(SEARCH("KENNER",C1843)),ISNUMBER(SEARCH("HENRY HOWARD",C1843)),ISNUMBER(SEARCH("MISS CLAUDIA",C1843))),"Personal Travel - New Orleans",IF(AND(YEAR(B1843)=2025,MONTH(B1843)=4,OR(ISNUMBER(SEARCH("EXCHANGE RATE",C1843)),ISNUMBER(SEARCH("EXCHG RTE",C1843)))),"Personal Travel - Italy",IFERROR(INDEX('Category Rules'!$B$2:$B$358,MATCH(TRUE,ISNUMBER(SEARCH('Category Rules'!$A$2:$A$358,C1843)),0)),""))))))))</f>
        <v>Personal - Shopping</v>
      </c>
    </row>
    <row r="1844" spans="1:7" x14ac:dyDescent="0.25">
      <c r="A1844" t="s">
        <v>6</v>
      </c>
      <c r="B1844" s="1">
        <v>45743</v>
      </c>
      <c r="C1844" t="s">
        <v>1978</v>
      </c>
      <c r="D1844">
        <v>-5.99</v>
      </c>
      <c r="E1844" t="s">
        <v>10</v>
      </c>
      <c r="F1844">
        <v>1117.08</v>
      </c>
      <c r="G1844" t="str" cm="1">
        <f t="array" ref="G1844">IF(AND(ISNUMBER(SEARCH("UBER",C1844)),ISNUMBER(SEARCH("EATS",C1844))),"Uber Eats",IF(LEFT(C1844,6)="CHECK ","Checks Paid",IF(OR(E1844="BILLPAY",ISNUMBER(SEARCH("FRANCHISE TAX",C1844)),ISNUMBER(SEARCH("NEXTLINK",C1844))),"Personal - House Bills",IF(AND(ISNUMBER(SEARCH("PAYMENT FROM",C1844)),ISNUMBER(SEARCH("JOE SAUNDERS",C1844))),"Zelle from Joe Saunders",IF(AND(ISNUMBER(SEARCH("PAYMENT TO",C1844)),ISNUMBER(SEARCH("JOE SAUNDERS",C1844))),"Zelle to Joe Saunders",IF(OR(ISNUMBER(SEARCH("NEW ORLEANS",C1844)),ISNUMBER(SEARCH("KENNER",C1844)),ISNUMBER(SEARCH("HENRY HOWARD",C1844)),ISNUMBER(SEARCH("MISS CLAUDIA",C1844))),"Personal Travel - New Orleans",IF(AND(YEAR(B1844)=2025,MONTH(B1844)=4,OR(ISNUMBER(SEARCH("EXCHANGE RATE",C1844)),ISNUMBER(SEARCH("EXCHG RTE",C1844)))),"Personal Travel - Italy",IFERROR(INDEX('Category Rules'!$B$2:$B$358,MATCH(TRUE,ISNUMBER(SEARCH('Category Rules'!$A$2:$A$358,C1844)),0)),""))))))))</f>
        <v>Personal - Subscription</v>
      </c>
    </row>
    <row r="1845" spans="1:7" x14ac:dyDescent="0.25">
      <c r="A1845" t="s">
        <v>6</v>
      </c>
      <c r="B1845" s="1">
        <v>45743</v>
      </c>
      <c r="C1845" t="s">
        <v>1979</v>
      </c>
      <c r="D1845">
        <v>-6.99</v>
      </c>
      <c r="E1845" t="s">
        <v>10</v>
      </c>
      <c r="F1845">
        <v>1123.07</v>
      </c>
      <c r="G1845" t="str" cm="1">
        <f t="array" ref="G1845">IF(AND(ISNUMBER(SEARCH("UBER",C1845)),ISNUMBER(SEARCH("EATS",C1845))),"Uber Eats",IF(LEFT(C1845,6)="CHECK ","Checks Paid",IF(OR(E1845="BILLPAY",ISNUMBER(SEARCH("FRANCHISE TAX",C1845)),ISNUMBER(SEARCH("NEXTLINK",C1845))),"Personal - House Bills",IF(AND(ISNUMBER(SEARCH("PAYMENT FROM",C1845)),ISNUMBER(SEARCH("JOE SAUNDERS",C1845))),"Zelle from Joe Saunders",IF(AND(ISNUMBER(SEARCH("PAYMENT TO",C1845)),ISNUMBER(SEARCH("JOE SAUNDERS",C1845))),"Zelle to Joe Saunders",IF(OR(ISNUMBER(SEARCH("NEW ORLEANS",C1845)),ISNUMBER(SEARCH("KENNER",C1845)),ISNUMBER(SEARCH("HENRY HOWARD",C1845)),ISNUMBER(SEARCH("MISS CLAUDIA",C1845))),"Personal Travel - New Orleans",IF(AND(YEAR(B1845)=2025,MONTH(B1845)=4,OR(ISNUMBER(SEARCH("EXCHANGE RATE",C1845)),ISNUMBER(SEARCH("EXCHG RTE",C1845)))),"Personal Travel - Italy",IFERROR(INDEX('Category Rules'!$B$2:$B$358,MATCH(TRUE,ISNUMBER(SEARCH('Category Rules'!$A$2:$A$358,C1845)),0)),""))))))))</f>
        <v>Amazon</v>
      </c>
    </row>
    <row r="1846" spans="1:7" x14ac:dyDescent="0.25">
      <c r="A1846" t="s">
        <v>6</v>
      </c>
      <c r="B1846" s="1">
        <v>45743</v>
      </c>
      <c r="C1846" t="s">
        <v>1980</v>
      </c>
      <c r="D1846">
        <v>-238.75</v>
      </c>
      <c r="E1846" t="s">
        <v>10</v>
      </c>
      <c r="F1846">
        <v>1130.06</v>
      </c>
      <c r="G1846" t="str" cm="1">
        <f t="array" ref="G1846">IF(AND(ISNUMBER(SEARCH("UBER",C1846)),ISNUMBER(SEARCH("EATS",C1846))),"Uber Eats",IF(LEFT(C1846,6)="CHECK ","Checks Paid",IF(OR(E1846="BILLPAY",ISNUMBER(SEARCH("FRANCHISE TAX",C1846)),ISNUMBER(SEARCH("NEXTLINK",C1846))),"Personal - House Bills",IF(AND(ISNUMBER(SEARCH("PAYMENT FROM",C1846)),ISNUMBER(SEARCH("JOE SAUNDERS",C1846))),"Zelle from Joe Saunders",IF(AND(ISNUMBER(SEARCH("PAYMENT TO",C1846)),ISNUMBER(SEARCH("JOE SAUNDERS",C1846))),"Zelle to Joe Saunders",IF(OR(ISNUMBER(SEARCH("NEW ORLEANS",C1846)),ISNUMBER(SEARCH("KENNER",C1846)),ISNUMBER(SEARCH("HENRY HOWARD",C1846)),ISNUMBER(SEARCH("MISS CLAUDIA",C1846))),"Personal Travel - New Orleans",IF(AND(YEAR(B1846)=2025,MONTH(B1846)=4,OR(ISNUMBER(SEARCH("EXCHANGE RATE",C1846)),ISNUMBER(SEARCH("EXCHG RTE",C1846)))),"Personal Travel - Italy",IFERROR(INDEX('Category Rules'!$B$2:$B$358,MATCH(TRUE,ISNUMBER(SEARCH('Category Rules'!$A$2:$A$358,C1846)),0)),""))))))))</f>
        <v>Personal - Health</v>
      </c>
    </row>
    <row r="1847" spans="1:7" x14ac:dyDescent="0.25">
      <c r="A1847" t="s">
        <v>6</v>
      </c>
      <c r="B1847" s="1">
        <v>45742</v>
      </c>
      <c r="C1847" t="s">
        <v>1981</v>
      </c>
      <c r="D1847">
        <v>-44.12</v>
      </c>
      <c r="E1847" t="s">
        <v>10</v>
      </c>
      <c r="F1847">
        <v>1368.81</v>
      </c>
      <c r="G1847" t="str" cm="1">
        <f t="array" ref="G1847">IF(AND(ISNUMBER(SEARCH("UBER",C1847)),ISNUMBER(SEARCH("EATS",C1847))),"Uber Eats",IF(LEFT(C1847,6)="CHECK ","Checks Paid",IF(OR(E1847="BILLPAY",ISNUMBER(SEARCH("FRANCHISE TAX",C1847)),ISNUMBER(SEARCH("NEXTLINK",C1847))),"Personal - House Bills",IF(AND(ISNUMBER(SEARCH("PAYMENT FROM",C1847)),ISNUMBER(SEARCH("JOE SAUNDERS",C1847))),"Zelle from Joe Saunders",IF(AND(ISNUMBER(SEARCH("PAYMENT TO",C1847)),ISNUMBER(SEARCH("JOE SAUNDERS",C1847))),"Zelle to Joe Saunders",IF(OR(ISNUMBER(SEARCH("NEW ORLEANS",C1847)),ISNUMBER(SEARCH("KENNER",C1847)),ISNUMBER(SEARCH("HENRY HOWARD",C1847)),ISNUMBER(SEARCH("MISS CLAUDIA",C1847))),"Personal Travel - New Orleans",IF(AND(YEAR(B1847)=2025,MONTH(B1847)=4,OR(ISNUMBER(SEARCH("EXCHANGE RATE",C1847)),ISNUMBER(SEARCH("EXCHG RTE",C1847)))),"Personal Travel - Italy",IFERROR(INDEX('Category Rules'!$B$2:$B$358,MATCH(TRUE,ISNUMBER(SEARCH('Category Rules'!$A$2:$A$358,C1847)),0)),""))))))))</f>
        <v>Uber Eats</v>
      </c>
    </row>
    <row r="1848" spans="1:7" x14ac:dyDescent="0.25">
      <c r="A1848" t="s">
        <v>6</v>
      </c>
      <c r="B1848" s="1">
        <v>45742</v>
      </c>
      <c r="C1848" t="s">
        <v>1982</v>
      </c>
      <c r="D1848">
        <v>-5</v>
      </c>
      <c r="E1848" t="s">
        <v>10</v>
      </c>
      <c r="F1848">
        <v>1412.93</v>
      </c>
      <c r="G1848" t="str" cm="1">
        <f t="array" ref="G1848">IF(AND(ISNUMBER(SEARCH("UBER",C1848)),ISNUMBER(SEARCH("EATS",C1848))),"Uber Eats",IF(LEFT(C1848,6)="CHECK ","Checks Paid",IF(OR(E1848="BILLPAY",ISNUMBER(SEARCH("FRANCHISE TAX",C1848)),ISNUMBER(SEARCH("NEXTLINK",C1848))),"Personal - House Bills",IF(AND(ISNUMBER(SEARCH("PAYMENT FROM",C1848)),ISNUMBER(SEARCH("JOE SAUNDERS",C1848))),"Zelle from Joe Saunders",IF(AND(ISNUMBER(SEARCH("PAYMENT TO",C1848)),ISNUMBER(SEARCH("JOE SAUNDERS",C1848))),"Zelle to Joe Saunders",IF(OR(ISNUMBER(SEARCH("NEW ORLEANS",C1848)),ISNUMBER(SEARCH("KENNER",C1848)),ISNUMBER(SEARCH("HENRY HOWARD",C1848)),ISNUMBER(SEARCH("MISS CLAUDIA",C1848))),"Personal Travel - New Orleans",IF(AND(YEAR(B1848)=2025,MONTH(B1848)=4,OR(ISNUMBER(SEARCH("EXCHANGE RATE",C1848)),ISNUMBER(SEARCH("EXCHG RTE",C1848)))),"Personal Travel - Italy",IFERROR(INDEX('Category Rules'!$B$2:$B$358,MATCH(TRUE,ISNUMBER(SEARCH('Category Rules'!$A$2:$A$358,C1848)),0)),""))))))))</f>
        <v>Personal - Uber</v>
      </c>
    </row>
    <row r="1849" spans="1:7" x14ac:dyDescent="0.25">
      <c r="A1849" t="s">
        <v>6</v>
      </c>
      <c r="B1849" s="1">
        <v>45742</v>
      </c>
      <c r="C1849" t="s">
        <v>1977</v>
      </c>
      <c r="D1849">
        <v>-80.95</v>
      </c>
      <c r="E1849" t="s">
        <v>10</v>
      </c>
      <c r="F1849">
        <v>1417.93</v>
      </c>
      <c r="G1849" t="str" cm="1">
        <f t="array" ref="G1849">IF(AND(ISNUMBER(SEARCH("UBER",C1849)),ISNUMBER(SEARCH("EATS",C1849))),"Uber Eats",IF(LEFT(C1849,6)="CHECK ","Checks Paid",IF(OR(E1849="BILLPAY",ISNUMBER(SEARCH("FRANCHISE TAX",C1849)),ISNUMBER(SEARCH("NEXTLINK",C1849))),"Personal - House Bills",IF(AND(ISNUMBER(SEARCH("PAYMENT FROM",C1849)),ISNUMBER(SEARCH("JOE SAUNDERS",C1849))),"Zelle from Joe Saunders",IF(AND(ISNUMBER(SEARCH("PAYMENT TO",C1849)),ISNUMBER(SEARCH("JOE SAUNDERS",C1849))),"Zelle to Joe Saunders",IF(OR(ISNUMBER(SEARCH("NEW ORLEANS",C1849)),ISNUMBER(SEARCH("KENNER",C1849)),ISNUMBER(SEARCH("HENRY HOWARD",C1849)),ISNUMBER(SEARCH("MISS CLAUDIA",C1849))),"Personal Travel - New Orleans",IF(AND(YEAR(B1849)=2025,MONTH(B1849)=4,OR(ISNUMBER(SEARCH("EXCHANGE RATE",C1849)),ISNUMBER(SEARCH("EXCHG RTE",C1849)))),"Personal Travel - Italy",IFERROR(INDEX('Category Rules'!$B$2:$B$358,MATCH(TRUE,ISNUMBER(SEARCH('Category Rules'!$A$2:$A$358,C1849)),0)),""))))))))</f>
        <v>Personal - Shopping</v>
      </c>
    </row>
    <row r="1850" spans="1:7" x14ac:dyDescent="0.25">
      <c r="A1850" t="s">
        <v>553</v>
      </c>
      <c r="B1850" s="1">
        <v>45742</v>
      </c>
      <c r="C1850" t="s">
        <v>1983</v>
      </c>
      <c r="D1850">
        <v>-1180</v>
      </c>
      <c r="E1850" t="s">
        <v>555</v>
      </c>
      <c r="F1850">
        <v>1498.88</v>
      </c>
      <c r="G1850" t="str" cm="1">
        <f t="array" ref="G1850">IF(AND(ISNUMBER(SEARCH("UBER",C1850)),ISNUMBER(SEARCH("EATS",C1850))),"Uber Eats",IF(LEFT(C1850,6)="CHECK ","Checks Paid",IF(OR(E1850="BILLPAY",ISNUMBER(SEARCH("FRANCHISE TAX",C1850)),ISNUMBER(SEARCH("NEXTLINK",C1850))),"Personal - House Bills",IF(AND(ISNUMBER(SEARCH("PAYMENT FROM",C1850)),ISNUMBER(SEARCH("JOE SAUNDERS",C1850))),"Zelle from Joe Saunders",IF(AND(ISNUMBER(SEARCH("PAYMENT TO",C1850)),ISNUMBER(SEARCH("JOE SAUNDERS",C1850))),"Zelle to Joe Saunders",IF(OR(ISNUMBER(SEARCH("NEW ORLEANS",C1850)),ISNUMBER(SEARCH("KENNER",C1850)),ISNUMBER(SEARCH("HENRY HOWARD",C1850)),ISNUMBER(SEARCH("MISS CLAUDIA",C1850))),"Personal Travel - New Orleans",IF(AND(YEAR(B1850)=2025,MONTH(B1850)=4,OR(ISNUMBER(SEARCH("EXCHANGE RATE",C1850)),ISNUMBER(SEARCH("EXCHG RTE",C1850)))),"Personal Travel - Italy",IFERROR(INDEX('Category Rules'!$B$2:$B$358,MATCH(TRUE,ISNUMBER(SEARCH('Category Rules'!$A$2:$A$358,C1850)),0)),""))))))))</f>
        <v>Checks Paid</v>
      </c>
    </row>
    <row r="1851" spans="1:7" x14ac:dyDescent="0.25">
      <c r="A1851" t="s">
        <v>6</v>
      </c>
      <c r="B1851" s="1">
        <v>45742</v>
      </c>
      <c r="C1851" t="s">
        <v>1984</v>
      </c>
      <c r="D1851">
        <v>-19.989999999999998</v>
      </c>
      <c r="E1851" t="s">
        <v>10</v>
      </c>
      <c r="F1851">
        <v>2678.88</v>
      </c>
      <c r="G1851" t="str" cm="1">
        <f t="array" ref="G1851">IF(AND(ISNUMBER(SEARCH("UBER",C1851)),ISNUMBER(SEARCH("EATS",C1851))),"Uber Eats",IF(LEFT(C1851,6)="CHECK ","Checks Paid",IF(OR(E1851="BILLPAY",ISNUMBER(SEARCH("FRANCHISE TAX",C1851)),ISNUMBER(SEARCH("NEXTLINK",C1851))),"Personal - House Bills",IF(AND(ISNUMBER(SEARCH("PAYMENT FROM",C1851)),ISNUMBER(SEARCH("JOE SAUNDERS",C1851))),"Zelle from Joe Saunders",IF(AND(ISNUMBER(SEARCH("PAYMENT TO",C1851)),ISNUMBER(SEARCH("JOE SAUNDERS",C1851))),"Zelle to Joe Saunders",IF(OR(ISNUMBER(SEARCH("NEW ORLEANS",C1851)),ISNUMBER(SEARCH("KENNER",C1851)),ISNUMBER(SEARCH("HENRY HOWARD",C1851)),ISNUMBER(SEARCH("MISS CLAUDIA",C1851))),"Personal Travel - New Orleans",IF(AND(YEAR(B1851)=2025,MONTH(B1851)=4,OR(ISNUMBER(SEARCH("EXCHANGE RATE",C1851)),ISNUMBER(SEARCH("EXCHG RTE",C1851)))),"Personal Travel - Italy",IFERROR(INDEX('Category Rules'!$B$2:$B$358,MATCH(TRUE,ISNUMBER(SEARCH('Category Rules'!$A$2:$A$358,C1851)),0)),""))))))))</f>
        <v>Personal - Uber</v>
      </c>
    </row>
    <row r="1852" spans="1:7" x14ac:dyDescent="0.25">
      <c r="A1852" t="s">
        <v>6</v>
      </c>
      <c r="B1852" s="1">
        <v>45742</v>
      </c>
      <c r="C1852" t="s">
        <v>1985</v>
      </c>
      <c r="D1852">
        <v>-49.79</v>
      </c>
      <c r="E1852" t="s">
        <v>10</v>
      </c>
      <c r="F1852">
        <v>2698.87</v>
      </c>
      <c r="G1852" t="str" cm="1">
        <f t="array" ref="G1852">IF(AND(ISNUMBER(SEARCH("UBER",C1852)),ISNUMBER(SEARCH("EATS",C1852))),"Uber Eats",IF(LEFT(C1852,6)="CHECK ","Checks Paid",IF(OR(E1852="BILLPAY",ISNUMBER(SEARCH("FRANCHISE TAX",C1852)),ISNUMBER(SEARCH("NEXTLINK",C1852))),"Personal - House Bills",IF(AND(ISNUMBER(SEARCH("PAYMENT FROM",C1852)),ISNUMBER(SEARCH("JOE SAUNDERS",C1852))),"Zelle from Joe Saunders",IF(AND(ISNUMBER(SEARCH("PAYMENT TO",C1852)),ISNUMBER(SEARCH("JOE SAUNDERS",C1852))),"Zelle to Joe Saunders",IF(OR(ISNUMBER(SEARCH("NEW ORLEANS",C1852)),ISNUMBER(SEARCH("KENNER",C1852)),ISNUMBER(SEARCH("HENRY HOWARD",C1852)),ISNUMBER(SEARCH("MISS CLAUDIA",C1852))),"Personal Travel - New Orleans",IF(AND(YEAR(B1852)=2025,MONTH(B1852)=4,OR(ISNUMBER(SEARCH("EXCHANGE RATE",C1852)),ISNUMBER(SEARCH("EXCHG RTE",C1852)))),"Personal Travel - Italy",IFERROR(INDEX('Category Rules'!$B$2:$B$358,MATCH(TRUE,ISNUMBER(SEARCH('Category Rules'!$A$2:$A$358,C1852)),0)),""))))))))</f>
        <v>Shipping</v>
      </c>
    </row>
    <row r="1853" spans="1:7" x14ac:dyDescent="0.25">
      <c r="A1853" t="s">
        <v>6</v>
      </c>
      <c r="B1853" s="1">
        <v>45742</v>
      </c>
      <c r="C1853" t="s">
        <v>1986</v>
      </c>
      <c r="D1853">
        <v>-65.36</v>
      </c>
      <c r="E1853" t="s">
        <v>10</v>
      </c>
      <c r="F1853">
        <v>2748.66</v>
      </c>
      <c r="G1853" t="str" cm="1">
        <f t="array" ref="G1853">IF(AND(ISNUMBER(SEARCH("UBER",C1853)),ISNUMBER(SEARCH("EATS",C1853))),"Uber Eats",IF(LEFT(C1853,6)="CHECK ","Checks Paid",IF(OR(E1853="BILLPAY",ISNUMBER(SEARCH("FRANCHISE TAX",C1853)),ISNUMBER(SEARCH("NEXTLINK",C1853))),"Personal - House Bills",IF(AND(ISNUMBER(SEARCH("PAYMENT FROM",C1853)),ISNUMBER(SEARCH("JOE SAUNDERS",C1853))),"Zelle from Joe Saunders",IF(AND(ISNUMBER(SEARCH("PAYMENT TO",C1853)),ISNUMBER(SEARCH("JOE SAUNDERS",C1853))),"Zelle to Joe Saunders",IF(OR(ISNUMBER(SEARCH("NEW ORLEANS",C1853)),ISNUMBER(SEARCH("KENNER",C1853)),ISNUMBER(SEARCH("HENRY HOWARD",C1853)),ISNUMBER(SEARCH("MISS CLAUDIA",C1853))),"Personal Travel - New Orleans",IF(AND(YEAR(B1853)=2025,MONTH(B1853)=4,OR(ISNUMBER(SEARCH("EXCHANGE RATE",C1853)),ISNUMBER(SEARCH("EXCHG RTE",C1853)))),"Personal Travel - Italy",IFERROR(INDEX('Category Rules'!$B$2:$B$358,MATCH(TRUE,ISNUMBER(SEARCH('Category Rules'!$A$2:$A$358,C1853)),0)),""))))))))</f>
        <v>Personal - Food</v>
      </c>
    </row>
    <row r="1854" spans="1:7" x14ac:dyDescent="0.25">
      <c r="A1854" t="s">
        <v>6</v>
      </c>
      <c r="B1854" s="1">
        <v>45742</v>
      </c>
      <c r="C1854" t="s">
        <v>1987</v>
      </c>
      <c r="D1854">
        <v>-229.21</v>
      </c>
      <c r="E1854" t="s">
        <v>10</v>
      </c>
      <c r="F1854">
        <v>2814.02</v>
      </c>
      <c r="G1854" t="str" cm="1">
        <f t="array" ref="G1854">IF(AND(ISNUMBER(SEARCH("UBER",C1854)),ISNUMBER(SEARCH("EATS",C1854))),"Uber Eats",IF(LEFT(C1854,6)="CHECK ","Checks Paid",IF(OR(E1854="BILLPAY",ISNUMBER(SEARCH("FRANCHISE TAX",C1854)),ISNUMBER(SEARCH("NEXTLINK",C1854))),"Personal - House Bills",IF(AND(ISNUMBER(SEARCH("PAYMENT FROM",C1854)),ISNUMBER(SEARCH("JOE SAUNDERS",C1854))),"Zelle from Joe Saunders",IF(AND(ISNUMBER(SEARCH("PAYMENT TO",C1854)),ISNUMBER(SEARCH("JOE SAUNDERS",C1854))),"Zelle to Joe Saunders",IF(OR(ISNUMBER(SEARCH("NEW ORLEANS",C1854)),ISNUMBER(SEARCH("KENNER",C1854)),ISNUMBER(SEARCH("HENRY HOWARD",C1854)),ISNUMBER(SEARCH("MISS CLAUDIA",C1854))),"Personal Travel - New Orleans",IF(AND(YEAR(B1854)=2025,MONTH(B1854)=4,OR(ISNUMBER(SEARCH("EXCHANGE RATE",C1854)),ISNUMBER(SEARCH("EXCHG RTE",C1854)))),"Personal Travel - Italy",IFERROR(INDEX('Category Rules'!$B$2:$B$358,MATCH(TRUE,ISNUMBER(SEARCH('Category Rules'!$A$2:$A$358,C1854)),0)),""))))))))</f>
        <v>Personal - Clothing</v>
      </c>
    </row>
    <row r="1855" spans="1:7" x14ac:dyDescent="0.25">
      <c r="A1855" t="s">
        <v>6</v>
      </c>
      <c r="B1855" s="1">
        <v>45742</v>
      </c>
      <c r="C1855" t="s">
        <v>1988</v>
      </c>
      <c r="D1855">
        <v>-15.3</v>
      </c>
      <c r="E1855" t="s">
        <v>10</v>
      </c>
      <c r="F1855">
        <v>3043.23</v>
      </c>
      <c r="G1855" t="str" cm="1">
        <f t="array" ref="G1855">IF(AND(ISNUMBER(SEARCH("UBER",C1855)),ISNUMBER(SEARCH("EATS",C1855))),"Uber Eats",IF(LEFT(C1855,6)="CHECK ","Checks Paid",IF(OR(E1855="BILLPAY",ISNUMBER(SEARCH("FRANCHISE TAX",C1855)),ISNUMBER(SEARCH("NEXTLINK",C1855))),"Personal - House Bills",IF(AND(ISNUMBER(SEARCH("PAYMENT FROM",C1855)),ISNUMBER(SEARCH("JOE SAUNDERS",C1855))),"Zelle from Joe Saunders",IF(AND(ISNUMBER(SEARCH("PAYMENT TO",C1855)),ISNUMBER(SEARCH("JOE SAUNDERS",C1855))),"Zelle to Joe Saunders",IF(OR(ISNUMBER(SEARCH("NEW ORLEANS",C1855)),ISNUMBER(SEARCH("KENNER",C1855)),ISNUMBER(SEARCH("HENRY HOWARD",C1855)),ISNUMBER(SEARCH("MISS CLAUDIA",C1855))),"Personal Travel - New Orleans",IF(AND(YEAR(B1855)=2025,MONTH(B1855)=4,OR(ISNUMBER(SEARCH("EXCHANGE RATE",C1855)),ISNUMBER(SEARCH("EXCHG RTE",C1855)))),"Personal Travel - Italy",IFERROR(INDEX('Category Rules'!$B$2:$B$358,MATCH(TRUE,ISNUMBER(SEARCH('Category Rules'!$A$2:$A$358,C1855)),0)),""))))))))</f>
        <v>Amazon</v>
      </c>
    </row>
    <row r="1856" spans="1:7" x14ac:dyDescent="0.25">
      <c r="A1856" t="s">
        <v>6</v>
      </c>
      <c r="B1856" s="1">
        <v>45742</v>
      </c>
      <c r="C1856" t="s">
        <v>1989</v>
      </c>
      <c r="D1856">
        <v>-561.89</v>
      </c>
      <c r="E1856" t="s">
        <v>10</v>
      </c>
      <c r="F1856">
        <v>3058.53</v>
      </c>
      <c r="G1856" t="str" cm="1">
        <f t="array" ref="G1856">IF(AND(ISNUMBER(SEARCH("UBER",C1856)),ISNUMBER(SEARCH("EATS",C1856))),"Uber Eats",IF(LEFT(C1856,6)="CHECK ","Checks Paid",IF(OR(E1856="BILLPAY",ISNUMBER(SEARCH("FRANCHISE TAX",C1856)),ISNUMBER(SEARCH("NEXTLINK",C1856))),"Personal - House Bills",IF(AND(ISNUMBER(SEARCH("PAYMENT FROM",C1856)),ISNUMBER(SEARCH("JOE SAUNDERS",C1856))),"Zelle from Joe Saunders",IF(AND(ISNUMBER(SEARCH("PAYMENT TO",C1856)),ISNUMBER(SEARCH("JOE SAUNDERS",C1856))),"Zelle to Joe Saunders",IF(OR(ISNUMBER(SEARCH("NEW ORLEANS",C1856)),ISNUMBER(SEARCH("KENNER",C1856)),ISNUMBER(SEARCH("HENRY HOWARD",C1856)),ISNUMBER(SEARCH("MISS CLAUDIA",C1856))),"Personal Travel - New Orleans",IF(AND(YEAR(B1856)=2025,MONTH(B1856)=4,OR(ISNUMBER(SEARCH("EXCHANGE RATE",C1856)),ISNUMBER(SEARCH("EXCHG RTE",C1856)))),"Personal Travel - Italy",IFERROR(INDEX('Category Rules'!$B$2:$B$358,MATCH(TRUE,ISNUMBER(SEARCH('Category Rules'!$A$2:$A$358,C1856)),0)),""))))))))</f>
        <v>Personal - Shopping</v>
      </c>
    </row>
    <row r="1857" spans="1:7" x14ac:dyDescent="0.25">
      <c r="A1857" t="s">
        <v>6</v>
      </c>
      <c r="B1857" s="1">
        <v>45741</v>
      </c>
      <c r="C1857" t="s">
        <v>1990</v>
      </c>
      <c r="D1857">
        <v>-5</v>
      </c>
      <c r="E1857" t="s">
        <v>10</v>
      </c>
      <c r="F1857">
        <v>3620.42</v>
      </c>
      <c r="G1857" t="str" cm="1">
        <f t="array" ref="G1857">IF(AND(ISNUMBER(SEARCH("UBER",C1857)),ISNUMBER(SEARCH("EATS",C1857))),"Uber Eats",IF(LEFT(C1857,6)="CHECK ","Checks Paid",IF(OR(E1857="BILLPAY",ISNUMBER(SEARCH("FRANCHISE TAX",C1857)),ISNUMBER(SEARCH("NEXTLINK",C1857))),"Personal - House Bills",IF(AND(ISNUMBER(SEARCH("PAYMENT FROM",C1857)),ISNUMBER(SEARCH("JOE SAUNDERS",C1857))),"Zelle from Joe Saunders",IF(AND(ISNUMBER(SEARCH("PAYMENT TO",C1857)),ISNUMBER(SEARCH("JOE SAUNDERS",C1857))),"Zelle to Joe Saunders",IF(OR(ISNUMBER(SEARCH("NEW ORLEANS",C1857)),ISNUMBER(SEARCH("KENNER",C1857)),ISNUMBER(SEARCH("HENRY HOWARD",C1857)),ISNUMBER(SEARCH("MISS CLAUDIA",C1857))),"Personal Travel - New Orleans",IF(AND(YEAR(B1857)=2025,MONTH(B1857)=4,OR(ISNUMBER(SEARCH("EXCHANGE RATE",C1857)),ISNUMBER(SEARCH("EXCHG RTE",C1857)))),"Personal Travel - Italy",IFERROR(INDEX('Category Rules'!$B$2:$B$358,MATCH(TRUE,ISNUMBER(SEARCH('Category Rules'!$A$2:$A$358,C1857)),0)),""))))))))</f>
        <v>Personal - Uber</v>
      </c>
    </row>
    <row r="1858" spans="1:7" x14ac:dyDescent="0.25">
      <c r="A1858" t="s">
        <v>6</v>
      </c>
      <c r="B1858" s="1">
        <v>45741</v>
      </c>
      <c r="C1858" t="s">
        <v>1991</v>
      </c>
      <c r="D1858">
        <v>-15</v>
      </c>
      <c r="E1858" t="s">
        <v>10</v>
      </c>
      <c r="F1858">
        <v>3625.42</v>
      </c>
      <c r="G1858" t="str" cm="1">
        <f t="array" ref="G1858">IF(AND(ISNUMBER(SEARCH("UBER",C1858)),ISNUMBER(SEARCH("EATS",C1858))),"Uber Eats",IF(LEFT(C1858,6)="CHECK ","Checks Paid",IF(OR(E1858="BILLPAY",ISNUMBER(SEARCH("FRANCHISE TAX",C1858)),ISNUMBER(SEARCH("NEXTLINK",C1858))),"Personal - House Bills",IF(AND(ISNUMBER(SEARCH("PAYMENT FROM",C1858)),ISNUMBER(SEARCH("JOE SAUNDERS",C1858))),"Zelle from Joe Saunders",IF(AND(ISNUMBER(SEARCH("PAYMENT TO",C1858)),ISNUMBER(SEARCH("JOE SAUNDERS",C1858))),"Zelle to Joe Saunders",IF(OR(ISNUMBER(SEARCH("NEW ORLEANS",C1858)),ISNUMBER(SEARCH("KENNER",C1858)),ISNUMBER(SEARCH("HENRY HOWARD",C1858)),ISNUMBER(SEARCH("MISS CLAUDIA",C1858))),"Personal Travel - New Orleans",IF(AND(YEAR(B1858)=2025,MONTH(B1858)=4,OR(ISNUMBER(SEARCH("EXCHANGE RATE",C1858)),ISNUMBER(SEARCH("EXCHG RTE",C1858)))),"Personal Travel - Italy",IFERROR(INDEX('Category Rules'!$B$2:$B$358,MATCH(TRUE,ISNUMBER(SEARCH('Category Rules'!$A$2:$A$358,C1858)),0)),""))))))))</f>
        <v>Personal - Subscription</v>
      </c>
    </row>
    <row r="1859" spans="1:7" x14ac:dyDescent="0.25">
      <c r="A1859" t="s">
        <v>6</v>
      </c>
      <c r="B1859" s="1">
        <v>45741</v>
      </c>
      <c r="C1859" t="s">
        <v>1992</v>
      </c>
      <c r="D1859">
        <v>-16.41</v>
      </c>
      <c r="E1859" t="s">
        <v>10</v>
      </c>
      <c r="F1859">
        <v>3640.42</v>
      </c>
      <c r="G1859" t="str" cm="1">
        <f t="array" ref="G1859">IF(AND(ISNUMBER(SEARCH("UBER",C1859)),ISNUMBER(SEARCH("EATS",C1859))),"Uber Eats",IF(LEFT(C1859,6)="CHECK ","Checks Paid",IF(OR(E1859="BILLPAY",ISNUMBER(SEARCH("FRANCHISE TAX",C1859)),ISNUMBER(SEARCH("NEXTLINK",C1859))),"Personal - House Bills",IF(AND(ISNUMBER(SEARCH("PAYMENT FROM",C1859)),ISNUMBER(SEARCH("JOE SAUNDERS",C1859))),"Zelle from Joe Saunders",IF(AND(ISNUMBER(SEARCH("PAYMENT TO",C1859)),ISNUMBER(SEARCH("JOE SAUNDERS",C1859))),"Zelle to Joe Saunders",IF(OR(ISNUMBER(SEARCH("NEW ORLEANS",C1859)),ISNUMBER(SEARCH("KENNER",C1859)),ISNUMBER(SEARCH("HENRY HOWARD",C1859)),ISNUMBER(SEARCH("MISS CLAUDIA",C1859))),"Personal Travel - New Orleans",IF(AND(YEAR(B1859)=2025,MONTH(B1859)=4,OR(ISNUMBER(SEARCH("EXCHANGE RATE",C1859)),ISNUMBER(SEARCH("EXCHG RTE",C1859)))),"Personal Travel - Italy",IFERROR(INDEX('Category Rules'!$B$2:$B$358,MATCH(TRUE,ISNUMBER(SEARCH('Category Rules'!$A$2:$A$358,C1859)),0)),""))))))))</f>
        <v>Amazon</v>
      </c>
    </row>
    <row r="1860" spans="1:7" x14ac:dyDescent="0.25">
      <c r="A1860" t="s">
        <v>6</v>
      </c>
      <c r="B1860" s="1">
        <v>45741</v>
      </c>
      <c r="C1860" t="s">
        <v>1993</v>
      </c>
      <c r="D1860">
        <v>-235.39</v>
      </c>
      <c r="E1860" t="s">
        <v>10</v>
      </c>
      <c r="F1860">
        <v>3656.83</v>
      </c>
      <c r="G1860" t="str" cm="1">
        <f t="array" ref="G1860">IF(AND(ISNUMBER(SEARCH("UBER",C1860)),ISNUMBER(SEARCH("EATS",C1860))),"Uber Eats",IF(LEFT(C1860,6)="CHECK ","Checks Paid",IF(OR(E1860="BILLPAY",ISNUMBER(SEARCH("FRANCHISE TAX",C1860)),ISNUMBER(SEARCH("NEXTLINK",C1860))),"Personal - House Bills",IF(AND(ISNUMBER(SEARCH("PAYMENT FROM",C1860)),ISNUMBER(SEARCH("JOE SAUNDERS",C1860))),"Zelle from Joe Saunders",IF(AND(ISNUMBER(SEARCH("PAYMENT TO",C1860)),ISNUMBER(SEARCH("JOE SAUNDERS",C1860))),"Zelle to Joe Saunders",IF(OR(ISNUMBER(SEARCH("NEW ORLEANS",C1860)),ISNUMBER(SEARCH("KENNER",C1860)),ISNUMBER(SEARCH("HENRY HOWARD",C1860)),ISNUMBER(SEARCH("MISS CLAUDIA",C1860))),"Personal Travel - New Orleans",IF(AND(YEAR(B1860)=2025,MONTH(B1860)=4,OR(ISNUMBER(SEARCH("EXCHANGE RATE",C1860)),ISNUMBER(SEARCH("EXCHG RTE",C1860)))),"Personal Travel - Italy",IFERROR(INDEX('Category Rules'!$B$2:$B$358,MATCH(TRUE,ISNUMBER(SEARCH('Category Rules'!$A$2:$A$358,C1860)),0)),""))))))))</f>
        <v>Personal - Shopping</v>
      </c>
    </row>
    <row r="1861" spans="1:7" x14ac:dyDescent="0.25">
      <c r="A1861" t="s">
        <v>6</v>
      </c>
      <c r="B1861" s="1">
        <v>45741</v>
      </c>
      <c r="C1861" t="s">
        <v>1994</v>
      </c>
      <c r="D1861">
        <v>-553.94000000000005</v>
      </c>
      <c r="E1861" t="s">
        <v>10</v>
      </c>
      <c r="F1861">
        <v>3892.22</v>
      </c>
      <c r="G1861" t="str" cm="1">
        <f t="array" ref="G1861">IF(AND(ISNUMBER(SEARCH("UBER",C1861)),ISNUMBER(SEARCH("EATS",C1861))),"Uber Eats",IF(LEFT(C1861,6)="CHECK ","Checks Paid",IF(OR(E1861="BILLPAY",ISNUMBER(SEARCH("FRANCHISE TAX",C1861)),ISNUMBER(SEARCH("NEXTLINK",C1861))),"Personal - House Bills",IF(AND(ISNUMBER(SEARCH("PAYMENT FROM",C1861)),ISNUMBER(SEARCH("JOE SAUNDERS",C1861))),"Zelle from Joe Saunders",IF(AND(ISNUMBER(SEARCH("PAYMENT TO",C1861)),ISNUMBER(SEARCH("JOE SAUNDERS",C1861))),"Zelle to Joe Saunders",IF(OR(ISNUMBER(SEARCH("NEW ORLEANS",C1861)),ISNUMBER(SEARCH("KENNER",C1861)),ISNUMBER(SEARCH("HENRY HOWARD",C1861)),ISNUMBER(SEARCH("MISS CLAUDIA",C1861))),"Personal Travel - New Orleans",IF(AND(YEAR(B1861)=2025,MONTH(B1861)=4,OR(ISNUMBER(SEARCH("EXCHANGE RATE",C1861)),ISNUMBER(SEARCH("EXCHG RTE",C1861)))),"Personal Travel - Italy",IFERROR(INDEX('Category Rules'!$B$2:$B$358,MATCH(TRUE,ISNUMBER(SEARCH('Category Rules'!$A$2:$A$358,C1861)),0)),""))))))))</f>
        <v>AT&amp;T</v>
      </c>
    </row>
    <row r="1862" spans="1:7" x14ac:dyDescent="0.25">
      <c r="A1862" t="s">
        <v>6</v>
      </c>
      <c r="B1862" s="1">
        <v>45741</v>
      </c>
      <c r="C1862" t="s">
        <v>1995</v>
      </c>
      <c r="D1862">
        <v>-22.83</v>
      </c>
      <c r="E1862" t="s">
        <v>10</v>
      </c>
      <c r="F1862">
        <v>4446.16</v>
      </c>
      <c r="G1862" t="str" cm="1">
        <f t="array" ref="G1862">IF(AND(ISNUMBER(SEARCH("UBER",C1862)),ISNUMBER(SEARCH("EATS",C1862))),"Uber Eats",IF(LEFT(C1862,6)="CHECK ","Checks Paid",IF(OR(E1862="BILLPAY",ISNUMBER(SEARCH("FRANCHISE TAX",C1862)),ISNUMBER(SEARCH("NEXTLINK",C1862))),"Personal - House Bills",IF(AND(ISNUMBER(SEARCH("PAYMENT FROM",C1862)),ISNUMBER(SEARCH("JOE SAUNDERS",C1862))),"Zelle from Joe Saunders",IF(AND(ISNUMBER(SEARCH("PAYMENT TO",C1862)),ISNUMBER(SEARCH("JOE SAUNDERS",C1862))),"Zelle to Joe Saunders",IF(OR(ISNUMBER(SEARCH("NEW ORLEANS",C1862)),ISNUMBER(SEARCH("KENNER",C1862)),ISNUMBER(SEARCH("HENRY HOWARD",C1862)),ISNUMBER(SEARCH("MISS CLAUDIA",C1862))),"Personal Travel - New Orleans",IF(AND(YEAR(B1862)=2025,MONTH(B1862)=4,OR(ISNUMBER(SEARCH("EXCHANGE RATE",C1862)),ISNUMBER(SEARCH("EXCHG RTE",C1862)))),"Personal Travel - Italy",IFERROR(INDEX('Category Rules'!$B$2:$B$358,MATCH(TRUE,ISNUMBER(SEARCH('Category Rules'!$A$2:$A$358,C1862)),0)),""))))))))</f>
        <v>Amazon</v>
      </c>
    </row>
    <row r="1863" spans="1:7" x14ac:dyDescent="0.25">
      <c r="A1863" t="s">
        <v>6</v>
      </c>
      <c r="B1863" s="1">
        <v>45741</v>
      </c>
      <c r="C1863" t="s">
        <v>1996</v>
      </c>
      <c r="D1863">
        <v>-12.03</v>
      </c>
      <c r="E1863" t="s">
        <v>10</v>
      </c>
      <c r="F1863">
        <v>4468.99</v>
      </c>
      <c r="G1863" t="str" cm="1">
        <f t="array" ref="G1863">IF(AND(ISNUMBER(SEARCH("UBER",C1863)),ISNUMBER(SEARCH("EATS",C1863))),"Uber Eats",IF(LEFT(C1863,6)="CHECK ","Checks Paid",IF(OR(E1863="BILLPAY",ISNUMBER(SEARCH("FRANCHISE TAX",C1863)),ISNUMBER(SEARCH("NEXTLINK",C1863))),"Personal - House Bills",IF(AND(ISNUMBER(SEARCH("PAYMENT FROM",C1863)),ISNUMBER(SEARCH("JOE SAUNDERS",C1863))),"Zelle from Joe Saunders",IF(AND(ISNUMBER(SEARCH("PAYMENT TO",C1863)),ISNUMBER(SEARCH("JOE SAUNDERS",C1863))),"Zelle to Joe Saunders",IF(OR(ISNUMBER(SEARCH("NEW ORLEANS",C1863)),ISNUMBER(SEARCH("KENNER",C1863)),ISNUMBER(SEARCH("HENRY HOWARD",C1863)),ISNUMBER(SEARCH("MISS CLAUDIA",C1863))),"Personal Travel - New Orleans",IF(AND(YEAR(B1863)=2025,MONTH(B1863)=4,OR(ISNUMBER(SEARCH("EXCHANGE RATE",C1863)),ISNUMBER(SEARCH("EXCHG RTE",C1863)))),"Personal Travel - Italy",IFERROR(INDEX('Category Rules'!$B$2:$B$358,MATCH(TRUE,ISNUMBER(SEARCH('Category Rules'!$A$2:$A$358,C1863)),0)),""))))))))</f>
        <v>Amazon</v>
      </c>
    </row>
    <row r="1864" spans="1:7" x14ac:dyDescent="0.25">
      <c r="A1864" t="s">
        <v>44</v>
      </c>
      <c r="B1864" s="1">
        <v>45741</v>
      </c>
      <c r="C1864" t="s">
        <v>1997</v>
      </c>
      <c r="D1864">
        <v>130</v>
      </c>
      <c r="E1864" t="s">
        <v>46</v>
      </c>
      <c r="F1864">
        <v>4481.0200000000004</v>
      </c>
      <c r="G1864" t="str" cm="1">
        <f t="array" ref="G1864">IF(AND(ISNUMBER(SEARCH("UBER",C1864)),ISNUMBER(SEARCH("EATS",C1864))),"Uber Eats",IF(LEFT(C1864,6)="CHECK ","Checks Paid",IF(OR(E1864="BILLPAY",ISNUMBER(SEARCH("FRANCHISE TAX",C1864)),ISNUMBER(SEARCH("NEXTLINK",C1864))),"Personal - House Bills",IF(AND(ISNUMBER(SEARCH("PAYMENT FROM",C1864)),ISNUMBER(SEARCH("JOE SAUNDERS",C1864))),"Zelle from Joe Saunders",IF(AND(ISNUMBER(SEARCH("PAYMENT TO",C1864)),ISNUMBER(SEARCH("JOE SAUNDERS",C1864))),"Zelle to Joe Saunders",IF(OR(ISNUMBER(SEARCH("NEW ORLEANS",C1864)),ISNUMBER(SEARCH("KENNER",C1864)),ISNUMBER(SEARCH("HENRY HOWARD",C1864)),ISNUMBER(SEARCH("MISS CLAUDIA",C1864))),"Personal Travel - New Orleans",IF(AND(YEAR(B1864)=2025,MONTH(B1864)=4,OR(ISNUMBER(SEARCH("EXCHANGE RATE",C1864)),ISNUMBER(SEARCH("EXCHG RTE",C1864)))),"Personal Travel - Italy",IFERROR(INDEX('Category Rules'!$B$2:$B$358,MATCH(TRUE,ISNUMBER(SEARCH('Category Rules'!$A$2:$A$358,C1864)),0)),""))))))))</f>
        <v>Zelle from Joe Saunders</v>
      </c>
    </row>
    <row r="1865" spans="1:7" x14ac:dyDescent="0.25">
      <c r="A1865" t="s">
        <v>6</v>
      </c>
      <c r="B1865" s="1">
        <v>45740</v>
      </c>
      <c r="C1865" t="s">
        <v>1998</v>
      </c>
      <c r="D1865">
        <v>-30.53</v>
      </c>
      <c r="E1865" t="s">
        <v>10</v>
      </c>
      <c r="F1865">
        <v>4351.0200000000004</v>
      </c>
      <c r="G1865" t="str" cm="1">
        <f t="array" ref="G1865">IF(AND(ISNUMBER(SEARCH("UBER",C1865)),ISNUMBER(SEARCH("EATS",C1865))),"Uber Eats",IF(LEFT(C1865,6)="CHECK ","Checks Paid",IF(OR(E1865="BILLPAY",ISNUMBER(SEARCH("FRANCHISE TAX",C1865)),ISNUMBER(SEARCH("NEXTLINK",C1865))),"Personal - House Bills",IF(AND(ISNUMBER(SEARCH("PAYMENT FROM",C1865)),ISNUMBER(SEARCH("JOE SAUNDERS",C1865))),"Zelle from Joe Saunders",IF(AND(ISNUMBER(SEARCH("PAYMENT TO",C1865)),ISNUMBER(SEARCH("JOE SAUNDERS",C1865))),"Zelle to Joe Saunders",IF(OR(ISNUMBER(SEARCH("NEW ORLEANS",C1865)),ISNUMBER(SEARCH("KENNER",C1865)),ISNUMBER(SEARCH("HENRY HOWARD",C1865)),ISNUMBER(SEARCH("MISS CLAUDIA",C1865))),"Personal Travel - New Orleans",IF(AND(YEAR(B1865)=2025,MONTH(B1865)=4,OR(ISNUMBER(SEARCH("EXCHANGE RATE",C1865)),ISNUMBER(SEARCH("EXCHG RTE",C1865)))),"Personal Travel - Italy",IFERROR(INDEX('Category Rules'!$B$2:$B$358,MATCH(TRUE,ISNUMBER(SEARCH('Category Rules'!$A$2:$A$358,C1865)),0)),""))))))))</f>
        <v>Uber Eats</v>
      </c>
    </row>
    <row r="1866" spans="1:7" x14ac:dyDescent="0.25">
      <c r="A1866" t="s">
        <v>6</v>
      </c>
      <c r="B1866" s="1">
        <v>45740</v>
      </c>
      <c r="C1866" t="s">
        <v>1999</v>
      </c>
      <c r="D1866">
        <v>-16.98</v>
      </c>
      <c r="E1866" t="s">
        <v>10</v>
      </c>
      <c r="F1866">
        <v>4381.55</v>
      </c>
      <c r="G1866" t="str" cm="1">
        <f t="array" ref="G1866">IF(AND(ISNUMBER(SEARCH("UBER",C1866)),ISNUMBER(SEARCH("EATS",C1866))),"Uber Eats",IF(LEFT(C1866,6)="CHECK ","Checks Paid",IF(OR(E1866="BILLPAY",ISNUMBER(SEARCH("FRANCHISE TAX",C1866)),ISNUMBER(SEARCH("NEXTLINK",C1866))),"Personal - House Bills",IF(AND(ISNUMBER(SEARCH("PAYMENT FROM",C1866)),ISNUMBER(SEARCH("JOE SAUNDERS",C1866))),"Zelle from Joe Saunders",IF(AND(ISNUMBER(SEARCH("PAYMENT TO",C1866)),ISNUMBER(SEARCH("JOE SAUNDERS",C1866))),"Zelle to Joe Saunders",IF(OR(ISNUMBER(SEARCH("NEW ORLEANS",C1866)),ISNUMBER(SEARCH("KENNER",C1866)),ISNUMBER(SEARCH("HENRY HOWARD",C1866)),ISNUMBER(SEARCH("MISS CLAUDIA",C1866))),"Personal Travel - New Orleans",IF(AND(YEAR(B1866)=2025,MONTH(B1866)=4,OR(ISNUMBER(SEARCH("EXCHANGE RATE",C1866)),ISNUMBER(SEARCH("EXCHG RTE",C1866)))),"Personal Travel - Italy",IFERROR(INDEX('Category Rules'!$B$2:$B$358,MATCH(TRUE,ISNUMBER(SEARCH('Category Rules'!$A$2:$A$358,C1866)),0)),""))))))))</f>
        <v>Personal - Uber</v>
      </c>
    </row>
    <row r="1867" spans="1:7" x14ac:dyDescent="0.25">
      <c r="A1867" t="s">
        <v>6</v>
      </c>
      <c r="B1867" s="1">
        <v>45740</v>
      </c>
      <c r="C1867" t="s">
        <v>2000</v>
      </c>
      <c r="D1867">
        <v>-29.23</v>
      </c>
      <c r="E1867" t="s">
        <v>10</v>
      </c>
      <c r="F1867">
        <v>4398.53</v>
      </c>
      <c r="G1867" t="str" cm="1">
        <f t="array" ref="G1867">IF(AND(ISNUMBER(SEARCH("UBER",C1867)),ISNUMBER(SEARCH("EATS",C1867))),"Uber Eats",IF(LEFT(C1867,6)="CHECK ","Checks Paid",IF(OR(E1867="BILLPAY",ISNUMBER(SEARCH("FRANCHISE TAX",C1867)),ISNUMBER(SEARCH("NEXTLINK",C1867))),"Personal - House Bills",IF(AND(ISNUMBER(SEARCH("PAYMENT FROM",C1867)),ISNUMBER(SEARCH("JOE SAUNDERS",C1867))),"Zelle from Joe Saunders",IF(AND(ISNUMBER(SEARCH("PAYMENT TO",C1867)),ISNUMBER(SEARCH("JOE SAUNDERS",C1867))),"Zelle to Joe Saunders",IF(OR(ISNUMBER(SEARCH("NEW ORLEANS",C1867)),ISNUMBER(SEARCH("KENNER",C1867)),ISNUMBER(SEARCH("HENRY HOWARD",C1867)),ISNUMBER(SEARCH("MISS CLAUDIA",C1867))),"Personal Travel - New Orleans",IF(AND(YEAR(B1867)=2025,MONTH(B1867)=4,OR(ISNUMBER(SEARCH("EXCHANGE RATE",C1867)),ISNUMBER(SEARCH("EXCHG RTE",C1867)))),"Personal Travel - Italy",IFERROR(INDEX('Category Rules'!$B$2:$B$358,MATCH(TRUE,ISNUMBER(SEARCH('Category Rules'!$A$2:$A$358,C1867)),0)),""))))))))</f>
        <v>Personal - Uber</v>
      </c>
    </row>
    <row r="1868" spans="1:7" x14ac:dyDescent="0.25">
      <c r="A1868" t="s">
        <v>6</v>
      </c>
      <c r="B1868" s="1">
        <v>45740</v>
      </c>
      <c r="C1868" t="s">
        <v>2001</v>
      </c>
      <c r="D1868">
        <v>-108.53</v>
      </c>
      <c r="E1868" t="s">
        <v>10</v>
      </c>
      <c r="F1868">
        <v>4427.76</v>
      </c>
      <c r="G1868" t="str" cm="1">
        <f t="array" ref="G1868">IF(AND(ISNUMBER(SEARCH("UBER",C1868)),ISNUMBER(SEARCH("EATS",C1868))),"Uber Eats",IF(LEFT(C1868,6)="CHECK ","Checks Paid",IF(OR(E1868="BILLPAY",ISNUMBER(SEARCH("FRANCHISE TAX",C1868)),ISNUMBER(SEARCH("NEXTLINK",C1868))),"Personal - House Bills",IF(AND(ISNUMBER(SEARCH("PAYMENT FROM",C1868)),ISNUMBER(SEARCH("JOE SAUNDERS",C1868))),"Zelle from Joe Saunders",IF(AND(ISNUMBER(SEARCH("PAYMENT TO",C1868)),ISNUMBER(SEARCH("JOE SAUNDERS",C1868))),"Zelle to Joe Saunders",IF(OR(ISNUMBER(SEARCH("NEW ORLEANS",C1868)),ISNUMBER(SEARCH("KENNER",C1868)),ISNUMBER(SEARCH("HENRY HOWARD",C1868)),ISNUMBER(SEARCH("MISS CLAUDIA",C1868))),"Personal Travel - New Orleans",IF(AND(YEAR(B1868)=2025,MONTH(B1868)=4,OR(ISNUMBER(SEARCH("EXCHANGE RATE",C1868)),ISNUMBER(SEARCH("EXCHG RTE",C1868)))),"Personal Travel - Italy",IFERROR(INDEX('Category Rules'!$B$2:$B$358,MATCH(TRUE,ISNUMBER(SEARCH('Category Rules'!$A$2:$A$358,C1868)),0)),""))))))))</f>
        <v>Uber Eats</v>
      </c>
    </row>
    <row r="1869" spans="1:7" x14ac:dyDescent="0.25">
      <c r="A1869" t="s">
        <v>6</v>
      </c>
      <c r="B1869" s="1">
        <v>45740</v>
      </c>
      <c r="C1869" t="s">
        <v>2002</v>
      </c>
      <c r="D1869">
        <v>-10.99</v>
      </c>
      <c r="E1869" t="s">
        <v>10</v>
      </c>
      <c r="F1869">
        <v>4536.29</v>
      </c>
      <c r="G1869" t="str" cm="1">
        <f t="array" ref="G1869">IF(AND(ISNUMBER(SEARCH("UBER",C1869)),ISNUMBER(SEARCH("EATS",C1869))),"Uber Eats",IF(LEFT(C1869,6)="CHECK ","Checks Paid",IF(OR(E1869="BILLPAY",ISNUMBER(SEARCH("FRANCHISE TAX",C1869)),ISNUMBER(SEARCH("NEXTLINK",C1869))),"Personal - House Bills",IF(AND(ISNUMBER(SEARCH("PAYMENT FROM",C1869)),ISNUMBER(SEARCH("JOE SAUNDERS",C1869))),"Zelle from Joe Saunders",IF(AND(ISNUMBER(SEARCH("PAYMENT TO",C1869)),ISNUMBER(SEARCH("JOE SAUNDERS",C1869))),"Zelle to Joe Saunders",IF(OR(ISNUMBER(SEARCH("NEW ORLEANS",C1869)),ISNUMBER(SEARCH("KENNER",C1869)),ISNUMBER(SEARCH("HENRY HOWARD",C1869)),ISNUMBER(SEARCH("MISS CLAUDIA",C1869))),"Personal Travel - New Orleans",IF(AND(YEAR(B1869)=2025,MONTH(B1869)=4,OR(ISNUMBER(SEARCH("EXCHANGE RATE",C1869)),ISNUMBER(SEARCH("EXCHG RTE",C1869)))),"Personal Travel - Italy",IFERROR(INDEX('Category Rules'!$B$2:$B$358,MATCH(TRUE,ISNUMBER(SEARCH('Category Rules'!$A$2:$A$358,C1869)),0)),""))))))))</f>
        <v>Apple</v>
      </c>
    </row>
    <row r="1870" spans="1:7" x14ac:dyDescent="0.25">
      <c r="A1870" t="s">
        <v>6</v>
      </c>
      <c r="B1870" s="1">
        <v>45740</v>
      </c>
      <c r="C1870" t="s">
        <v>2003</v>
      </c>
      <c r="D1870">
        <v>-188.43</v>
      </c>
      <c r="E1870" t="s">
        <v>10</v>
      </c>
      <c r="F1870">
        <v>4547.28</v>
      </c>
      <c r="G1870" t="str" cm="1">
        <f t="array" ref="G1870">IF(AND(ISNUMBER(SEARCH("UBER",C1870)),ISNUMBER(SEARCH("EATS",C1870))),"Uber Eats",IF(LEFT(C1870,6)="CHECK ","Checks Paid",IF(OR(E1870="BILLPAY",ISNUMBER(SEARCH("FRANCHISE TAX",C1870)),ISNUMBER(SEARCH("NEXTLINK",C1870))),"Personal - House Bills",IF(AND(ISNUMBER(SEARCH("PAYMENT FROM",C1870)),ISNUMBER(SEARCH("JOE SAUNDERS",C1870))),"Zelle from Joe Saunders",IF(AND(ISNUMBER(SEARCH("PAYMENT TO",C1870)),ISNUMBER(SEARCH("JOE SAUNDERS",C1870))),"Zelle to Joe Saunders",IF(OR(ISNUMBER(SEARCH("NEW ORLEANS",C1870)),ISNUMBER(SEARCH("KENNER",C1870)),ISNUMBER(SEARCH("HENRY HOWARD",C1870)),ISNUMBER(SEARCH("MISS CLAUDIA",C1870))),"Personal Travel - New Orleans",IF(AND(YEAR(B1870)=2025,MONTH(B1870)=4,OR(ISNUMBER(SEARCH("EXCHANGE RATE",C1870)),ISNUMBER(SEARCH("EXCHG RTE",C1870)))),"Personal Travel - Italy",IFERROR(INDEX('Category Rules'!$B$2:$B$358,MATCH(TRUE,ISNUMBER(SEARCH('Category Rules'!$A$2:$A$358,C1870)),0)),""))))))))</f>
        <v>Personal - Health</v>
      </c>
    </row>
    <row r="1871" spans="1:7" x14ac:dyDescent="0.25">
      <c r="A1871" t="s">
        <v>6</v>
      </c>
      <c r="B1871" s="1">
        <v>45740</v>
      </c>
      <c r="C1871" t="s">
        <v>2004</v>
      </c>
      <c r="D1871">
        <v>-417.14</v>
      </c>
      <c r="E1871" t="s">
        <v>10</v>
      </c>
      <c r="F1871">
        <v>4735.71</v>
      </c>
      <c r="G1871" t="str" cm="1">
        <f t="array" ref="G1871">IF(AND(ISNUMBER(SEARCH("UBER",C1871)),ISNUMBER(SEARCH("EATS",C1871))),"Uber Eats",IF(LEFT(C1871,6)="CHECK ","Checks Paid",IF(OR(E1871="BILLPAY",ISNUMBER(SEARCH("FRANCHISE TAX",C1871)),ISNUMBER(SEARCH("NEXTLINK",C1871))),"Personal - House Bills",IF(AND(ISNUMBER(SEARCH("PAYMENT FROM",C1871)),ISNUMBER(SEARCH("JOE SAUNDERS",C1871))),"Zelle from Joe Saunders",IF(AND(ISNUMBER(SEARCH("PAYMENT TO",C1871)),ISNUMBER(SEARCH("JOE SAUNDERS",C1871))),"Zelle to Joe Saunders",IF(OR(ISNUMBER(SEARCH("NEW ORLEANS",C1871)),ISNUMBER(SEARCH("KENNER",C1871)),ISNUMBER(SEARCH("HENRY HOWARD",C1871)),ISNUMBER(SEARCH("MISS CLAUDIA",C1871))),"Personal Travel - New Orleans",IF(AND(YEAR(B1871)=2025,MONTH(B1871)=4,OR(ISNUMBER(SEARCH("EXCHANGE RATE",C1871)),ISNUMBER(SEARCH("EXCHG RTE",C1871)))),"Personal Travel - Italy",IFERROR(INDEX('Category Rules'!$B$2:$B$358,MATCH(TRUE,ISNUMBER(SEARCH('Category Rules'!$A$2:$A$358,C1871)),0)),""))))))))</f>
        <v>Personal - Food</v>
      </c>
    </row>
    <row r="1872" spans="1:7" x14ac:dyDescent="0.25">
      <c r="A1872" t="s">
        <v>6</v>
      </c>
      <c r="B1872" s="1">
        <v>45740</v>
      </c>
      <c r="C1872" t="s">
        <v>2005</v>
      </c>
      <c r="D1872">
        <v>-12.98</v>
      </c>
      <c r="E1872" t="s">
        <v>10</v>
      </c>
      <c r="F1872">
        <v>5152.8500000000004</v>
      </c>
      <c r="G1872" t="str" cm="1">
        <f t="array" ref="G1872">IF(AND(ISNUMBER(SEARCH("UBER",C1872)),ISNUMBER(SEARCH("EATS",C1872))),"Uber Eats",IF(LEFT(C1872,6)="CHECK ","Checks Paid",IF(OR(E1872="BILLPAY",ISNUMBER(SEARCH("FRANCHISE TAX",C1872)),ISNUMBER(SEARCH("NEXTLINK",C1872))),"Personal - House Bills",IF(AND(ISNUMBER(SEARCH("PAYMENT FROM",C1872)),ISNUMBER(SEARCH("JOE SAUNDERS",C1872))),"Zelle from Joe Saunders",IF(AND(ISNUMBER(SEARCH("PAYMENT TO",C1872)),ISNUMBER(SEARCH("JOE SAUNDERS",C1872))),"Zelle to Joe Saunders",IF(OR(ISNUMBER(SEARCH("NEW ORLEANS",C1872)),ISNUMBER(SEARCH("KENNER",C1872)),ISNUMBER(SEARCH("HENRY HOWARD",C1872)),ISNUMBER(SEARCH("MISS CLAUDIA",C1872))),"Personal Travel - New Orleans",IF(AND(YEAR(B1872)=2025,MONTH(B1872)=4,OR(ISNUMBER(SEARCH("EXCHANGE RATE",C1872)),ISNUMBER(SEARCH("EXCHG RTE",C1872)))),"Personal Travel - Italy",IFERROR(INDEX('Category Rules'!$B$2:$B$358,MATCH(TRUE,ISNUMBER(SEARCH('Category Rules'!$A$2:$A$358,C1872)),0)),""))))))))</f>
        <v>Personal - Entertainment</v>
      </c>
    </row>
    <row r="1873" spans="1:7" x14ac:dyDescent="0.25">
      <c r="A1873" t="s">
        <v>6</v>
      </c>
      <c r="B1873" s="1">
        <v>45740</v>
      </c>
      <c r="C1873" t="s">
        <v>2006</v>
      </c>
      <c r="D1873">
        <v>-181.31</v>
      </c>
      <c r="E1873" t="s">
        <v>10</v>
      </c>
      <c r="F1873">
        <v>5165.83</v>
      </c>
      <c r="G1873" t="str" cm="1">
        <f t="array" ref="G1873">IF(AND(ISNUMBER(SEARCH("UBER",C1873)),ISNUMBER(SEARCH("EATS",C1873))),"Uber Eats",IF(LEFT(C1873,6)="CHECK ","Checks Paid",IF(OR(E1873="BILLPAY",ISNUMBER(SEARCH("FRANCHISE TAX",C1873)),ISNUMBER(SEARCH("NEXTLINK",C1873))),"Personal - House Bills",IF(AND(ISNUMBER(SEARCH("PAYMENT FROM",C1873)),ISNUMBER(SEARCH("JOE SAUNDERS",C1873))),"Zelle from Joe Saunders",IF(AND(ISNUMBER(SEARCH("PAYMENT TO",C1873)),ISNUMBER(SEARCH("JOE SAUNDERS",C1873))),"Zelle to Joe Saunders",IF(OR(ISNUMBER(SEARCH("NEW ORLEANS",C1873)),ISNUMBER(SEARCH("KENNER",C1873)),ISNUMBER(SEARCH("HENRY HOWARD",C1873)),ISNUMBER(SEARCH("MISS CLAUDIA",C1873))),"Personal Travel - New Orleans",IF(AND(YEAR(B1873)=2025,MONTH(B1873)=4,OR(ISNUMBER(SEARCH("EXCHANGE RATE",C1873)),ISNUMBER(SEARCH("EXCHG RTE",C1873)))),"Personal Travel - Italy",IFERROR(INDEX('Category Rules'!$B$2:$B$358,MATCH(TRUE,ISNUMBER(SEARCH('Category Rules'!$A$2:$A$358,C1873)),0)),""))))))))</f>
        <v>Personal - Health</v>
      </c>
    </row>
    <row r="1874" spans="1:7" x14ac:dyDescent="0.25">
      <c r="A1874" t="s">
        <v>6</v>
      </c>
      <c r="B1874" s="1">
        <v>45740</v>
      </c>
      <c r="C1874" t="s">
        <v>2007</v>
      </c>
      <c r="D1874">
        <v>-125.27</v>
      </c>
      <c r="E1874" t="s">
        <v>10</v>
      </c>
      <c r="F1874">
        <v>5347.14</v>
      </c>
      <c r="G1874" t="str" cm="1">
        <f t="array" ref="G1874">IF(AND(ISNUMBER(SEARCH("UBER",C1874)),ISNUMBER(SEARCH("EATS",C1874))),"Uber Eats",IF(LEFT(C1874,6)="CHECK ","Checks Paid",IF(OR(E1874="BILLPAY",ISNUMBER(SEARCH("FRANCHISE TAX",C1874)),ISNUMBER(SEARCH("NEXTLINK",C1874))),"Personal - House Bills",IF(AND(ISNUMBER(SEARCH("PAYMENT FROM",C1874)),ISNUMBER(SEARCH("JOE SAUNDERS",C1874))),"Zelle from Joe Saunders",IF(AND(ISNUMBER(SEARCH("PAYMENT TO",C1874)),ISNUMBER(SEARCH("JOE SAUNDERS",C1874))),"Zelle to Joe Saunders",IF(OR(ISNUMBER(SEARCH("NEW ORLEANS",C1874)),ISNUMBER(SEARCH("KENNER",C1874)),ISNUMBER(SEARCH("HENRY HOWARD",C1874)),ISNUMBER(SEARCH("MISS CLAUDIA",C1874))),"Personal Travel - New Orleans",IF(AND(YEAR(B1874)=2025,MONTH(B1874)=4,OR(ISNUMBER(SEARCH("EXCHANGE RATE",C1874)),ISNUMBER(SEARCH("EXCHG RTE",C1874)))),"Personal Travel - Italy",IFERROR(INDEX('Category Rules'!$B$2:$B$358,MATCH(TRUE,ISNUMBER(SEARCH('Category Rules'!$A$2:$A$358,C1874)),0)),""))))))))</f>
        <v>Personal - Food</v>
      </c>
    </row>
    <row r="1875" spans="1:7" x14ac:dyDescent="0.25">
      <c r="A1875" t="s">
        <v>6</v>
      </c>
      <c r="B1875" s="1">
        <v>45740</v>
      </c>
      <c r="C1875" t="s">
        <v>2008</v>
      </c>
      <c r="D1875">
        <v>-144.44999999999999</v>
      </c>
      <c r="E1875" t="s">
        <v>10</v>
      </c>
      <c r="F1875">
        <v>5472.41</v>
      </c>
      <c r="G1875" t="str" cm="1">
        <f t="array" ref="G1875">IF(AND(ISNUMBER(SEARCH("UBER",C1875)),ISNUMBER(SEARCH("EATS",C1875))),"Uber Eats",IF(LEFT(C1875,6)="CHECK ","Checks Paid",IF(OR(E1875="BILLPAY",ISNUMBER(SEARCH("FRANCHISE TAX",C1875)),ISNUMBER(SEARCH("NEXTLINK",C1875))),"Personal - House Bills",IF(AND(ISNUMBER(SEARCH("PAYMENT FROM",C1875)),ISNUMBER(SEARCH("JOE SAUNDERS",C1875))),"Zelle from Joe Saunders",IF(AND(ISNUMBER(SEARCH("PAYMENT TO",C1875)),ISNUMBER(SEARCH("JOE SAUNDERS",C1875))),"Zelle to Joe Saunders",IF(OR(ISNUMBER(SEARCH("NEW ORLEANS",C1875)),ISNUMBER(SEARCH("KENNER",C1875)),ISNUMBER(SEARCH("HENRY HOWARD",C1875)),ISNUMBER(SEARCH("MISS CLAUDIA",C1875))),"Personal Travel - New Orleans",IF(AND(YEAR(B1875)=2025,MONTH(B1875)=4,OR(ISNUMBER(SEARCH("EXCHANGE RATE",C1875)),ISNUMBER(SEARCH("EXCHG RTE",C1875)))),"Personal Travel - Italy",IFERROR(INDEX('Category Rules'!$B$2:$B$358,MATCH(TRUE,ISNUMBER(SEARCH('Category Rules'!$A$2:$A$358,C1875)),0)),""))))))))</f>
        <v>Personal - Health</v>
      </c>
    </row>
    <row r="1876" spans="1:7" x14ac:dyDescent="0.25">
      <c r="A1876" t="s">
        <v>6</v>
      </c>
      <c r="B1876" s="1">
        <v>45740</v>
      </c>
      <c r="C1876" t="s">
        <v>2009</v>
      </c>
      <c r="D1876">
        <v>-60.16</v>
      </c>
      <c r="E1876" t="s">
        <v>10</v>
      </c>
      <c r="F1876">
        <v>5616.86</v>
      </c>
      <c r="G1876" t="str" cm="1">
        <f t="array" ref="G1876">IF(AND(ISNUMBER(SEARCH("UBER",C1876)),ISNUMBER(SEARCH("EATS",C1876))),"Uber Eats",IF(LEFT(C1876,6)="CHECK ","Checks Paid",IF(OR(E1876="BILLPAY",ISNUMBER(SEARCH("FRANCHISE TAX",C1876)),ISNUMBER(SEARCH("NEXTLINK",C1876))),"Personal - House Bills",IF(AND(ISNUMBER(SEARCH("PAYMENT FROM",C1876)),ISNUMBER(SEARCH("JOE SAUNDERS",C1876))),"Zelle from Joe Saunders",IF(AND(ISNUMBER(SEARCH("PAYMENT TO",C1876)),ISNUMBER(SEARCH("JOE SAUNDERS",C1876))),"Zelle to Joe Saunders",IF(OR(ISNUMBER(SEARCH("NEW ORLEANS",C1876)),ISNUMBER(SEARCH("KENNER",C1876)),ISNUMBER(SEARCH("HENRY HOWARD",C1876)),ISNUMBER(SEARCH("MISS CLAUDIA",C1876))),"Personal Travel - New Orleans",IF(AND(YEAR(B1876)=2025,MONTH(B1876)=4,OR(ISNUMBER(SEARCH("EXCHANGE RATE",C1876)),ISNUMBER(SEARCH("EXCHG RTE",C1876)))),"Personal Travel - Italy",IFERROR(INDEX('Category Rules'!$B$2:$B$358,MATCH(TRUE,ISNUMBER(SEARCH('Category Rules'!$A$2:$A$358,C1876)),0)),""))))))))</f>
        <v>Amazon</v>
      </c>
    </row>
    <row r="1877" spans="1:7" x14ac:dyDescent="0.25">
      <c r="A1877" t="s">
        <v>6</v>
      </c>
      <c r="B1877" s="1">
        <v>45740</v>
      </c>
      <c r="C1877" t="s">
        <v>2010</v>
      </c>
      <c r="D1877">
        <v>-29.52</v>
      </c>
      <c r="E1877" t="s">
        <v>10</v>
      </c>
      <c r="F1877">
        <v>5677.02</v>
      </c>
      <c r="G1877" t="str" cm="1">
        <f t="array" ref="G1877">IF(AND(ISNUMBER(SEARCH("UBER",C1877)),ISNUMBER(SEARCH("EATS",C1877))),"Uber Eats",IF(LEFT(C1877,6)="CHECK ","Checks Paid",IF(OR(E1877="BILLPAY",ISNUMBER(SEARCH("FRANCHISE TAX",C1877)),ISNUMBER(SEARCH("NEXTLINK",C1877))),"Personal - House Bills",IF(AND(ISNUMBER(SEARCH("PAYMENT FROM",C1877)),ISNUMBER(SEARCH("JOE SAUNDERS",C1877))),"Zelle from Joe Saunders",IF(AND(ISNUMBER(SEARCH("PAYMENT TO",C1877)),ISNUMBER(SEARCH("JOE SAUNDERS",C1877))),"Zelle to Joe Saunders",IF(OR(ISNUMBER(SEARCH("NEW ORLEANS",C1877)),ISNUMBER(SEARCH("KENNER",C1877)),ISNUMBER(SEARCH("HENRY HOWARD",C1877)),ISNUMBER(SEARCH("MISS CLAUDIA",C1877))),"Personal Travel - New Orleans",IF(AND(YEAR(B1877)=2025,MONTH(B1877)=4,OR(ISNUMBER(SEARCH("EXCHANGE RATE",C1877)),ISNUMBER(SEARCH("EXCHG RTE",C1877)))),"Personal Travel - Italy",IFERROR(INDEX('Category Rules'!$B$2:$B$358,MATCH(TRUE,ISNUMBER(SEARCH('Category Rules'!$A$2:$A$358,C1877)),0)),""))))))))</f>
        <v>Amazon</v>
      </c>
    </row>
    <row r="1878" spans="1:7" x14ac:dyDescent="0.25">
      <c r="A1878" t="s">
        <v>6</v>
      </c>
      <c r="B1878" s="1">
        <v>45740</v>
      </c>
      <c r="C1878" t="s">
        <v>2011</v>
      </c>
      <c r="D1878">
        <v>-71.150000000000006</v>
      </c>
      <c r="E1878" t="s">
        <v>10</v>
      </c>
      <c r="F1878">
        <v>5706.54</v>
      </c>
      <c r="G1878" t="str" cm="1">
        <f t="array" ref="G1878">IF(AND(ISNUMBER(SEARCH("UBER",C1878)),ISNUMBER(SEARCH("EATS",C1878))),"Uber Eats",IF(LEFT(C1878,6)="CHECK ","Checks Paid",IF(OR(E1878="BILLPAY",ISNUMBER(SEARCH("FRANCHISE TAX",C1878)),ISNUMBER(SEARCH("NEXTLINK",C1878))),"Personal - House Bills",IF(AND(ISNUMBER(SEARCH("PAYMENT FROM",C1878)),ISNUMBER(SEARCH("JOE SAUNDERS",C1878))),"Zelle from Joe Saunders",IF(AND(ISNUMBER(SEARCH("PAYMENT TO",C1878)),ISNUMBER(SEARCH("JOE SAUNDERS",C1878))),"Zelle to Joe Saunders",IF(OR(ISNUMBER(SEARCH("NEW ORLEANS",C1878)),ISNUMBER(SEARCH("KENNER",C1878)),ISNUMBER(SEARCH("HENRY HOWARD",C1878)),ISNUMBER(SEARCH("MISS CLAUDIA",C1878))),"Personal Travel - New Orleans",IF(AND(YEAR(B1878)=2025,MONTH(B1878)=4,OR(ISNUMBER(SEARCH("EXCHANGE RATE",C1878)),ISNUMBER(SEARCH("EXCHG RTE",C1878)))),"Personal Travel - Italy",IFERROR(INDEX('Category Rules'!$B$2:$B$358,MATCH(TRUE,ISNUMBER(SEARCH('Category Rules'!$A$2:$A$358,C1878)),0)),""))))))))</f>
        <v>Amazon</v>
      </c>
    </row>
    <row r="1879" spans="1:7" x14ac:dyDescent="0.25">
      <c r="A1879" t="s">
        <v>6</v>
      </c>
      <c r="B1879" s="1">
        <v>45740</v>
      </c>
      <c r="C1879" t="s">
        <v>2012</v>
      </c>
      <c r="D1879">
        <v>-77.040000000000006</v>
      </c>
      <c r="E1879" t="s">
        <v>10</v>
      </c>
      <c r="F1879">
        <v>5777.69</v>
      </c>
      <c r="G1879" t="str" cm="1">
        <f t="array" ref="G1879">IF(AND(ISNUMBER(SEARCH("UBER",C1879)),ISNUMBER(SEARCH("EATS",C1879))),"Uber Eats",IF(LEFT(C1879,6)="CHECK ","Checks Paid",IF(OR(E1879="BILLPAY",ISNUMBER(SEARCH("FRANCHISE TAX",C1879)),ISNUMBER(SEARCH("NEXTLINK",C1879))),"Personal - House Bills",IF(AND(ISNUMBER(SEARCH("PAYMENT FROM",C1879)),ISNUMBER(SEARCH("JOE SAUNDERS",C1879))),"Zelle from Joe Saunders",IF(AND(ISNUMBER(SEARCH("PAYMENT TO",C1879)),ISNUMBER(SEARCH("JOE SAUNDERS",C1879))),"Zelle to Joe Saunders",IF(OR(ISNUMBER(SEARCH("NEW ORLEANS",C1879)),ISNUMBER(SEARCH("KENNER",C1879)),ISNUMBER(SEARCH("HENRY HOWARD",C1879)),ISNUMBER(SEARCH("MISS CLAUDIA",C1879))),"Personal Travel - New Orleans",IF(AND(YEAR(B1879)=2025,MONTH(B1879)=4,OR(ISNUMBER(SEARCH("EXCHANGE RATE",C1879)),ISNUMBER(SEARCH("EXCHG RTE",C1879)))),"Personal Travel - Italy",IFERROR(INDEX('Category Rules'!$B$2:$B$358,MATCH(TRUE,ISNUMBER(SEARCH('Category Rules'!$A$2:$A$358,C1879)),0)),""))))))))</f>
        <v>Personal - Entertainment</v>
      </c>
    </row>
    <row r="1880" spans="1:7" x14ac:dyDescent="0.25">
      <c r="A1880" t="s">
        <v>6</v>
      </c>
      <c r="B1880" s="1">
        <v>45740</v>
      </c>
      <c r="C1880" t="s">
        <v>2013</v>
      </c>
      <c r="D1880">
        <v>-25.57</v>
      </c>
      <c r="E1880" t="s">
        <v>10</v>
      </c>
      <c r="F1880">
        <v>5854.73</v>
      </c>
      <c r="G1880" t="str" cm="1">
        <f t="array" ref="G1880">IF(AND(ISNUMBER(SEARCH("UBER",C1880)),ISNUMBER(SEARCH("EATS",C1880))),"Uber Eats",IF(LEFT(C1880,6)="CHECK ","Checks Paid",IF(OR(E1880="BILLPAY",ISNUMBER(SEARCH("FRANCHISE TAX",C1880)),ISNUMBER(SEARCH("NEXTLINK",C1880))),"Personal - House Bills",IF(AND(ISNUMBER(SEARCH("PAYMENT FROM",C1880)),ISNUMBER(SEARCH("JOE SAUNDERS",C1880))),"Zelle from Joe Saunders",IF(AND(ISNUMBER(SEARCH("PAYMENT TO",C1880)),ISNUMBER(SEARCH("JOE SAUNDERS",C1880))),"Zelle to Joe Saunders",IF(OR(ISNUMBER(SEARCH("NEW ORLEANS",C1880)),ISNUMBER(SEARCH("KENNER",C1880)),ISNUMBER(SEARCH("HENRY HOWARD",C1880)),ISNUMBER(SEARCH("MISS CLAUDIA",C1880))),"Personal Travel - New Orleans",IF(AND(YEAR(B1880)=2025,MONTH(B1880)=4,OR(ISNUMBER(SEARCH("EXCHANGE RATE",C1880)),ISNUMBER(SEARCH("EXCHG RTE",C1880)))),"Personal Travel - Italy",IFERROR(INDEX('Category Rules'!$B$2:$B$358,MATCH(TRUE,ISNUMBER(SEARCH('Category Rules'!$A$2:$A$358,C1880)),0)),""))))))))</f>
        <v>Amazon</v>
      </c>
    </row>
    <row r="1881" spans="1:7" x14ac:dyDescent="0.25">
      <c r="A1881" t="s">
        <v>6</v>
      </c>
      <c r="B1881" s="1">
        <v>45740</v>
      </c>
      <c r="C1881" t="s">
        <v>2014</v>
      </c>
      <c r="D1881">
        <v>-93.06</v>
      </c>
      <c r="E1881" t="s">
        <v>10</v>
      </c>
      <c r="F1881">
        <v>5880.3</v>
      </c>
      <c r="G1881" t="str" cm="1">
        <f t="array" ref="G1881">IF(AND(ISNUMBER(SEARCH("UBER",C1881)),ISNUMBER(SEARCH("EATS",C1881))),"Uber Eats",IF(LEFT(C1881,6)="CHECK ","Checks Paid",IF(OR(E1881="BILLPAY",ISNUMBER(SEARCH("FRANCHISE TAX",C1881)),ISNUMBER(SEARCH("NEXTLINK",C1881))),"Personal - House Bills",IF(AND(ISNUMBER(SEARCH("PAYMENT FROM",C1881)),ISNUMBER(SEARCH("JOE SAUNDERS",C1881))),"Zelle from Joe Saunders",IF(AND(ISNUMBER(SEARCH("PAYMENT TO",C1881)),ISNUMBER(SEARCH("JOE SAUNDERS",C1881))),"Zelle to Joe Saunders",IF(OR(ISNUMBER(SEARCH("NEW ORLEANS",C1881)),ISNUMBER(SEARCH("KENNER",C1881)),ISNUMBER(SEARCH("HENRY HOWARD",C1881)),ISNUMBER(SEARCH("MISS CLAUDIA",C1881))),"Personal Travel - New Orleans",IF(AND(YEAR(B1881)=2025,MONTH(B1881)=4,OR(ISNUMBER(SEARCH("EXCHANGE RATE",C1881)),ISNUMBER(SEARCH("EXCHG RTE",C1881)))),"Personal Travel - Italy",IFERROR(INDEX('Category Rules'!$B$2:$B$358,MATCH(TRUE,ISNUMBER(SEARCH('Category Rules'!$A$2:$A$358,C1881)),0)),""))))))))</f>
        <v>Amazon</v>
      </c>
    </row>
    <row r="1882" spans="1:7" x14ac:dyDescent="0.25">
      <c r="A1882" t="s">
        <v>6</v>
      </c>
      <c r="B1882" s="1">
        <v>45740</v>
      </c>
      <c r="C1882" t="s">
        <v>2015</v>
      </c>
      <c r="D1882">
        <v>-61.86</v>
      </c>
      <c r="E1882" t="s">
        <v>10</v>
      </c>
      <c r="F1882">
        <v>5973.36</v>
      </c>
      <c r="G1882" t="str" cm="1">
        <f t="array" ref="G1882">IF(AND(ISNUMBER(SEARCH("UBER",C1882)),ISNUMBER(SEARCH("EATS",C1882))),"Uber Eats",IF(LEFT(C1882,6)="CHECK ","Checks Paid",IF(OR(E1882="BILLPAY",ISNUMBER(SEARCH("FRANCHISE TAX",C1882)),ISNUMBER(SEARCH("NEXTLINK",C1882))),"Personal - House Bills",IF(AND(ISNUMBER(SEARCH("PAYMENT FROM",C1882)),ISNUMBER(SEARCH("JOE SAUNDERS",C1882))),"Zelle from Joe Saunders",IF(AND(ISNUMBER(SEARCH("PAYMENT TO",C1882)),ISNUMBER(SEARCH("JOE SAUNDERS",C1882))),"Zelle to Joe Saunders",IF(OR(ISNUMBER(SEARCH("NEW ORLEANS",C1882)),ISNUMBER(SEARCH("KENNER",C1882)),ISNUMBER(SEARCH("HENRY HOWARD",C1882)),ISNUMBER(SEARCH("MISS CLAUDIA",C1882))),"Personal Travel - New Orleans",IF(AND(YEAR(B1882)=2025,MONTH(B1882)=4,OR(ISNUMBER(SEARCH("EXCHANGE RATE",C1882)),ISNUMBER(SEARCH("EXCHG RTE",C1882)))),"Personal Travel - Italy",IFERROR(INDEX('Category Rules'!$B$2:$B$358,MATCH(TRUE,ISNUMBER(SEARCH('Category Rules'!$A$2:$A$358,C1882)),0)),""))))))))</f>
        <v>Personal - Food</v>
      </c>
    </row>
    <row r="1883" spans="1:7" x14ac:dyDescent="0.25">
      <c r="A1883" t="s">
        <v>6</v>
      </c>
      <c r="B1883" s="1">
        <v>45740</v>
      </c>
      <c r="C1883" t="s">
        <v>2016</v>
      </c>
      <c r="D1883">
        <v>-1530</v>
      </c>
      <c r="E1883" t="s">
        <v>10</v>
      </c>
      <c r="F1883">
        <v>6035.22</v>
      </c>
      <c r="G1883" t="str" cm="1">
        <f t="array" ref="G1883">IF(AND(ISNUMBER(SEARCH("UBER",C1883)),ISNUMBER(SEARCH("EATS",C1883))),"Uber Eats",IF(LEFT(C1883,6)="CHECK ","Checks Paid",IF(OR(E1883="BILLPAY",ISNUMBER(SEARCH("FRANCHISE TAX",C1883)),ISNUMBER(SEARCH("NEXTLINK",C1883))),"Personal - House Bills",IF(AND(ISNUMBER(SEARCH("PAYMENT FROM",C1883)),ISNUMBER(SEARCH("JOE SAUNDERS",C1883))),"Zelle from Joe Saunders",IF(AND(ISNUMBER(SEARCH("PAYMENT TO",C1883)),ISNUMBER(SEARCH("JOE SAUNDERS",C1883))),"Zelle to Joe Saunders",IF(OR(ISNUMBER(SEARCH("NEW ORLEANS",C1883)),ISNUMBER(SEARCH("KENNER",C1883)),ISNUMBER(SEARCH("HENRY HOWARD",C1883)),ISNUMBER(SEARCH("MISS CLAUDIA",C1883))),"Personal Travel - New Orleans",IF(AND(YEAR(B1883)=2025,MONTH(B1883)=4,OR(ISNUMBER(SEARCH("EXCHANGE RATE",C1883)),ISNUMBER(SEARCH("EXCHG RTE",C1883)))),"Personal Travel - Italy",IFERROR(INDEX('Category Rules'!$B$2:$B$358,MATCH(TRUE,ISNUMBER(SEARCH('Category Rules'!$A$2:$A$358,C1883)),0)),""))))))))</f>
        <v>Personal - Health</v>
      </c>
    </row>
    <row r="1884" spans="1:7" x14ac:dyDescent="0.25">
      <c r="A1884" t="s">
        <v>6</v>
      </c>
      <c r="B1884" s="1">
        <v>45740</v>
      </c>
      <c r="C1884" t="s">
        <v>2016</v>
      </c>
      <c r="D1884">
        <v>-1260</v>
      </c>
      <c r="E1884" t="s">
        <v>10</v>
      </c>
      <c r="F1884">
        <v>7565.22</v>
      </c>
      <c r="G1884" t="str" cm="1">
        <f t="array" ref="G1884">IF(AND(ISNUMBER(SEARCH("UBER",C1884)),ISNUMBER(SEARCH("EATS",C1884))),"Uber Eats",IF(LEFT(C1884,6)="CHECK ","Checks Paid",IF(OR(E1884="BILLPAY",ISNUMBER(SEARCH("FRANCHISE TAX",C1884)),ISNUMBER(SEARCH("NEXTLINK",C1884))),"Personal - House Bills",IF(AND(ISNUMBER(SEARCH("PAYMENT FROM",C1884)),ISNUMBER(SEARCH("JOE SAUNDERS",C1884))),"Zelle from Joe Saunders",IF(AND(ISNUMBER(SEARCH("PAYMENT TO",C1884)),ISNUMBER(SEARCH("JOE SAUNDERS",C1884))),"Zelle to Joe Saunders",IF(OR(ISNUMBER(SEARCH("NEW ORLEANS",C1884)),ISNUMBER(SEARCH("KENNER",C1884)),ISNUMBER(SEARCH("HENRY HOWARD",C1884)),ISNUMBER(SEARCH("MISS CLAUDIA",C1884))),"Personal Travel - New Orleans",IF(AND(YEAR(B1884)=2025,MONTH(B1884)=4,OR(ISNUMBER(SEARCH("EXCHANGE RATE",C1884)),ISNUMBER(SEARCH("EXCHG RTE",C1884)))),"Personal Travel - Italy",IFERROR(INDEX('Category Rules'!$B$2:$B$358,MATCH(TRUE,ISNUMBER(SEARCH('Category Rules'!$A$2:$A$358,C1884)),0)),""))))))))</f>
        <v>Personal - Health</v>
      </c>
    </row>
    <row r="1885" spans="1:7" x14ac:dyDescent="0.25">
      <c r="A1885" t="s">
        <v>6</v>
      </c>
      <c r="B1885" s="1">
        <v>45740</v>
      </c>
      <c r="C1885" t="s">
        <v>2017</v>
      </c>
      <c r="D1885">
        <v>-395</v>
      </c>
      <c r="E1885" t="s">
        <v>10</v>
      </c>
      <c r="F1885">
        <v>8825.2199999999993</v>
      </c>
      <c r="G1885" t="str" cm="1">
        <f t="array" ref="G1885">IF(AND(ISNUMBER(SEARCH("UBER",C1885)),ISNUMBER(SEARCH("EATS",C1885))),"Uber Eats",IF(LEFT(C1885,6)="CHECK ","Checks Paid",IF(OR(E1885="BILLPAY",ISNUMBER(SEARCH("FRANCHISE TAX",C1885)),ISNUMBER(SEARCH("NEXTLINK",C1885))),"Personal - House Bills",IF(AND(ISNUMBER(SEARCH("PAYMENT FROM",C1885)),ISNUMBER(SEARCH("JOE SAUNDERS",C1885))),"Zelle from Joe Saunders",IF(AND(ISNUMBER(SEARCH("PAYMENT TO",C1885)),ISNUMBER(SEARCH("JOE SAUNDERS",C1885))),"Zelle to Joe Saunders",IF(OR(ISNUMBER(SEARCH("NEW ORLEANS",C1885)),ISNUMBER(SEARCH("KENNER",C1885)),ISNUMBER(SEARCH("HENRY HOWARD",C1885)),ISNUMBER(SEARCH("MISS CLAUDIA",C1885))),"Personal Travel - New Orleans",IF(AND(YEAR(B1885)=2025,MONTH(B1885)=4,OR(ISNUMBER(SEARCH("EXCHANGE RATE",C1885)),ISNUMBER(SEARCH("EXCHG RTE",C1885)))),"Personal Travel - Italy",IFERROR(INDEX('Category Rules'!$B$2:$B$358,MATCH(TRUE,ISNUMBER(SEARCH('Category Rules'!$A$2:$A$358,C1885)),0)),""))))))))</f>
        <v>Personal - Health</v>
      </c>
    </row>
    <row r="1886" spans="1:7" x14ac:dyDescent="0.25">
      <c r="A1886" t="s">
        <v>6</v>
      </c>
      <c r="B1886" s="1">
        <v>45740</v>
      </c>
      <c r="C1886" t="s">
        <v>2018</v>
      </c>
      <c r="D1886">
        <v>-29.55</v>
      </c>
      <c r="E1886" t="s">
        <v>10</v>
      </c>
      <c r="F1886">
        <v>9220.2199999999993</v>
      </c>
      <c r="G1886" t="str" cm="1">
        <f t="array" ref="G1886">IF(AND(ISNUMBER(SEARCH("UBER",C1886)),ISNUMBER(SEARCH("EATS",C1886))),"Uber Eats",IF(LEFT(C1886,6)="CHECK ","Checks Paid",IF(OR(E1886="BILLPAY",ISNUMBER(SEARCH("FRANCHISE TAX",C1886)),ISNUMBER(SEARCH("NEXTLINK",C1886))),"Personal - House Bills",IF(AND(ISNUMBER(SEARCH("PAYMENT FROM",C1886)),ISNUMBER(SEARCH("JOE SAUNDERS",C1886))),"Zelle from Joe Saunders",IF(AND(ISNUMBER(SEARCH("PAYMENT TO",C1886)),ISNUMBER(SEARCH("JOE SAUNDERS",C1886))),"Zelle to Joe Saunders",IF(OR(ISNUMBER(SEARCH("NEW ORLEANS",C1886)),ISNUMBER(SEARCH("KENNER",C1886)),ISNUMBER(SEARCH("HENRY HOWARD",C1886)),ISNUMBER(SEARCH("MISS CLAUDIA",C1886))),"Personal Travel - New Orleans",IF(AND(YEAR(B1886)=2025,MONTH(B1886)=4,OR(ISNUMBER(SEARCH("EXCHANGE RATE",C1886)),ISNUMBER(SEARCH("EXCHG RTE",C1886)))),"Personal Travel - Italy",IFERROR(INDEX('Category Rules'!$B$2:$B$358,MATCH(TRUE,ISNUMBER(SEARCH('Category Rules'!$A$2:$A$358,C1886)),0)),""))))))))</f>
        <v>Amazon</v>
      </c>
    </row>
    <row r="1887" spans="1:7" x14ac:dyDescent="0.25">
      <c r="A1887" t="s">
        <v>6</v>
      </c>
      <c r="B1887" s="1">
        <v>45740</v>
      </c>
      <c r="C1887" t="s">
        <v>2019</v>
      </c>
      <c r="D1887">
        <v>-26.91</v>
      </c>
      <c r="E1887" t="s">
        <v>10</v>
      </c>
      <c r="F1887">
        <v>9249.77</v>
      </c>
      <c r="G1887" t="str" cm="1">
        <f t="array" ref="G1887">IF(AND(ISNUMBER(SEARCH("UBER",C1887)),ISNUMBER(SEARCH("EATS",C1887))),"Uber Eats",IF(LEFT(C1887,6)="CHECK ","Checks Paid",IF(OR(E1887="BILLPAY",ISNUMBER(SEARCH("FRANCHISE TAX",C1887)),ISNUMBER(SEARCH("NEXTLINK",C1887))),"Personal - House Bills",IF(AND(ISNUMBER(SEARCH("PAYMENT FROM",C1887)),ISNUMBER(SEARCH("JOE SAUNDERS",C1887))),"Zelle from Joe Saunders",IF(AND(ISNUMBER(SEARCH("PAYMENT TO",C1887)),ISNUMBER(SEARCH("JOE SAUNDERS",C1887))),"Zelle to Joe Saunders",IF(OR(ISNUMBER(SEARCH("NEW ORLEANS",C1887)),ISNUMBER(SEARCH("KENNER",C1887)),ISNUMBER(SEARCH("HENRY HOWARD",C1887)),ISNUMBER(SEARCH("MISS CLAUDIA",C1887))),"Personal Travel - New Orleans",IF(AND(YEAR(B1887)=2025,MONTH(B1887)=4,OR(ISNUMBER(SEARCH("EXCHANGE RATE",C1887)),ISNUMBER(SEARCH("EXCHG RTE",C1887)))),"Personal Travel - Italy",IFERROR(INDEX('Category Rules'!$B$2:$B$358,MATCH(TRUE,ISNUMBER(SEARCH('Category Rules'!$A$2:$A$358,C1887)),0)),""))))))))</f>
        <v>Amazon</v>
      </c>
    </row>
    <row r="1888" spans="1:7" x14ac:dyDescent="0.25">
      <c r="A1888" t="s">
        <v>6</v>
      </c>
      <c r="B1888" s="1">
        <v>45740</v>
      </c>
      <c r="C1888" t="s">
        <v>2020</v>
      </c>
      <c r="D1888">
        <v>-42.98</v>
      </c>
      <c r="E1888" t="s">
        <v>10</v>
      </c>
      <c r="F1888">
        <v>9276.68</v>
      </c>
      <c r="G1888" t="str" cm="1">
        <f t="array" ref="G1888">IF(AND(ISNUMBER(SEARCH("UBER",C1888)),ISNUMBER(SEARCH("EATS",C1888))),"Uber Eats",IF(LEFT(C1888,6)="CHECK ","Checks Paid",IF(OR(E1888="BILLPAY",ISNUMBER(SEARCH("FRANCHISE TAX",C1888)),ISNUMBER(SEARCH("NEXTLINK",C1888))),"Personal - House Bills",IF(AND(ISNUMBER(SEARCH("PAYMENT FROM",C1888)),ISNUMBER(SEARCH("JOE SAUNDERS",C1888))),"Zelle from Joe Saunders",IF(AND(ISNUMBER(SEARCH("PAYMENT TO",C1888)),ISNUMBER(SEARCH("JOE SAUNDERS",C1888))),"Zelle to Joe Saunders",IF(OR(ISNUMBER(SEARCH("NEW ORLEANS",C1888)),ISNUMBER(SEARCH("KENNER",C1888)),ISNUMBER(SEARCH("HENRY HOWARD",C1888)),ISNUMBER(SEARCH("MISS CLAUDIA",C1888))),"Personal Travel - New Orleans",IF(AND(YEAR(B1888)=2025,MONTH(B1888)=4,OR(ISNUMBER(SEARCH("EXCHANGE RATE",C1888)),ISNUMBER(SEARCH("EXCHG RTE",C1888)))),"Personal Travel - Italy",IFERROR(INDEX('Category Rules'!$B$2:$B$358,MATCH(TRUE,ISNUMBER(SEARCH('Category Rules'!$A$2:$A$358,C1888)),0)),""))))))))</f>
        <v>Personal - Shopping</v>
      </c>
    </row>
    <row r="1889" spans="1:7" x14ac:dyDescent="0.25">
      <c r="A1889" t="s">
        <v>6</v>
      </c>
      <c r="B1889" s="1">
        <v>45740</v>
      </c>
      <c r="C1889" t="s">
        <v>2021</v>
      </c>
      <c r="D1889">
        <v>-33.93</v>
      </c>
      <c r="E1889" t="s">
        <v>10</v>
      </c>
      <c r="F1889">
        <v>9319.66</v>
      </c>
      <c r="G1889" t="str" cm="1">
        <f t="array" ref="G1889">IF(AND(ISNUMBER(SEARCH("UBER",C1889)),ISNUMBER(SEARCH("EATS",C1889))),"Uber Eats",IF(LEFT(C1889,6)="CHECK ","Checks Paid",IF(OR(E1889="BILLPAY",ISNUMBER(SEARCH("FRANCHISE TAX",C1889)),ISNUMBER(SEARCH("NEXTLINK",C1889))),"Personal - House Bills",IF(AND(ISNUMBER(SEARCH("PAYMENT FROM",C1889)),ISNUMBER(SEARCH("JOE SAUNDERS",C1889))),"Zelle from Joe Saunders",IF(AND(ISNUMBER(SEARCH("PAYMENT TO",C1889)),ISNUMBER(SEARCH("JOE SAUNDERS",C1889))),"Zelle to Joe Saunders",IF(OR(ISNUMBER(SEARCH("NEW ORLEANS",C1889)),ISNUMBER(SEARCH("KENNER",C1889)),ISNUMBER(SEARCH("HENRY HOWARD",C1889)),ISNUMBER(SEARCH("MISS CLAUDIA",C1889))),"Personal Travel - New Orleans",IF(AND(YEAR(B1889)=2025,MONTH(B1889)=4,OR(ISNUMBER(SEARCH("EXCHANGE RATE",C1889)),ISNUMBER(SEARCH("EXCHG RTE",C1889)))),"Personal Travel - Italy",IFERROR(INDEX('Category Rules'!$B$2:$B$358,MATCH(TRUE,ISNUMBER(SEARCH('Category Rules'!$A$2:$A$358,C1889)),0)),""))))))))</f>
        <v>Amazon</v>
      </c>
    </row>
    <row r="1890" spans="1:7" x14ac:dyDescent="0.25">
      <c r="A1890" t="s">
        <v>6</v>
      </c>
      <c r="B1890" s="1">
        <v>45740</v>
      </c>
      <c r="C1890" t="s">
        <v>2022</v>
      </c>
      <c r="D1890">
        <v>-83.2</v>
      </c>
      <c r="E1890" t="s">
        <v>10</v>
      </c>
      <c r="F1890">
        <v>9353.59</v>
      </c>
      <c r="G1890" t="str" cm="1">
        <f t="array" ref="G1890">IF(AND(ISNUMBER(SEARCH("UBER",C1890)),ISNUMBER(SEARCH("EATS",C1890))),"Uber Eats",IF(LEFT(C1890,6)="CHECK ","Checks Paid",IF(OR(E1890="BILLPAY",ISNUMBER(SEARCH("FRANCHISE TAX",C1890)),ISNUMBER(SEARCH("NEXTLINK",C1890))),"Personal - House Bills",IF(AND(ISNUMBER(SEARCH("PAYMENT FROM",C1890)),ISNUMBER(SEARCH("JOE SAUNDERS",C1890))),"Zelle from Joe Saunders",IF(AND(ISNUMBER(SEARCH("PAYMENT TO",C1890)),ISNUMBER(SEARCH("JOE SAUNDERS",C1890))),"Zelle to Joe Saunders",IF(OR(ISNUMBER(SEARCH("NEW ORLEANS",C1890)),ISNUMBER(SEARCH("KENNER",C1890)),ISNUMBER(SEARCH("HENRY HOWARD",C1890)),ISNUMBER(SEARCH("MISS CLAUDIA",C1890))),"Personal Travel - New Orleans",IF(AND(YEAR(B1890)=2025,MONTH(B1890)=4,OR(ISNUMBER(SEARCH("EXCHANGE RATE",C1890)),ISNUMBER(SEARCH("EXCHG RTE",C1890)))),"Personal Travel - Italy",IFERROR(INDEX('Category Rules'!$B$2:$B$358,MATCH(TRUE,ISNUMBER(SEARCH('Category Rules'!$A$2:$A$358,C1890)),0)),""))))))))</f>
        <v>Amazon</v>
      </c>
    </row>
    <row r="1891" spans="1:7" x14ac:dyDescent="0.25">
      <c r="A1891" t="s">
        <v>6</v>
      </c>
      <c r="B1891" s="1">
        <v>45740</v>
      </c>
      <c r="C1891" t="s">
        <v>2023</v>
      </c>
      <c r="D1891">
        <v>-49.28</v>
      </c>
      <c r="E1891" t="s">
        <v>10</v>
      </c>
      <c r="F1891">
        <v>9436.7900000000009</v>
      </c>
      <c r="G1891" t="str" cm="1">
        <f t="array" ref="G1891">IF(AND(ISNUMBER(SEARCH("UBER",C1891)),ISNUMBER(SEARCH("EATS",C1891))),"Uber Eats",IF(LEFT(C1891,6)="CHECK ","Checks Paid",IF(OR(E1891="BILLPAY",ISNUMBER(SEARCH("FRANCHISE TAX",C1891)),ISNUMBER(SEARCH("NEXTLINK",C1891))),"Personal - House Bills",IF(AND(ISNUMBER(SEARCH("PAYMENT FROM",C1891)),ISNUMBER(SEARCH("JOE SAUNDERS",C1891))),"Zelle from Joe Saunders",IF(AND(ISNUMBER(SEARCH("PAYMENT TO",C1891)),ISNUMBER(SEARCH("JOE SAUNDERS",C1891))),"Zelle to Joe Saunders",IF(OR(ISNUMBER(SEARCH("NEW ORLEANS",C1891)),ISNUMBER(SEARCH("KENNER",C1891)),ISNUMBER(SEARCH("HENRY HOWARD",C1891)),ISNUMBER(SEARCH("MISS CLAUDIA",C1891))),"Personal Travel - New Orleans",IF(AND(YEAR(B1891)=2025,MONTH(B1891)=4,OR(ISNUMBER(SEARCH("EXCHANGE RATE",C1891)),ISNUMBER(SEARCH("EXCHG RTE",C1891)))),"Personal Travel - Italy",IFERROR(INDEX('Category Rules'!$B$2:$B$358,MATCH(TRUE,ISNUMBER(SEARCH('Category Rules'!$A$2:$A$358,C1891)),0)),""))))))))</f>
        <v>Amazon</v>
      </c>
    </row>
    <row r="1892" spans="1:7" x14ac:dyDescent="0.25">
      <c r="A1892" t="s">
        <v>44</v>
      </c>
      <c r="B1892" s="1">
        <v>45740</v>
      </c>
      <c r="C1892" t="s">
        <v>2024</v>
      </c>
      <c r="D1892">
        <v>2000</v>
      </c>
      <c r="E1892" t="s">
        <v>73</v>
      </c>
      <c r="F1892">
        <v>9486.07</v>
      </c>
      <c r="G1892" t="str" cm="1">
        <f t="array" ref="G1892">IF(AND(ISNUMBER(SEARCH("UBER",C1892)),ISNUMBER(SEARCH("EATS",C1892))),"Uber Eats",IF(LEFT(C1892,6)="CHECK ","Checks Paid",IF(OR(E1892="BILLPAY",ISNUMBER(SEARCH("FRANCHISE TAX",C1892)),ISNUMBER(SEARCH("NEXTLINK",C1892))),"Personal - House Bills",IF(AND(ISNUMBER(SEARCH("PAYMENT FROM",C1892)),ISNUMBER(SEARCH("JOE SAUNDERS",C1892))),"Zelle from Joe Saunders",IF(AND(ISNUMBER(SEARCH("PAYMENT TO",C1892)),ISNUMBER(SEARCH("JOE SAUNDERS",C1892))),"Zelle to Joe Saunders",IF(OR(ISNUMBER(SEARCH("NEW ORLEANS",C1892)),ISNUMBER(SEARCH("KENNER",C1892)),ISNUMBER(SEARCH("HENRY HOWARD",C1892)),ISNUMBER(SEARCH("MISS CLAUDIA",C1892))),"Personal Travel - New Orleans",IF(AND(YEAR(B1892)=2025,MONTH(B1892)=4,OR(ISNUMBER(SEARCH("EXCHANGE RATE",C1892)),ISNUMBER(SEARCH("EXCHG RTE",C1892)))),"Personal Travel - Italy",IFERROR(INDEX('Category Rules'!$B$2:$B$358,MATCH(TRUE,ISNUMBER(SEARCH('Category Rules'!$A$2:$A$358,C1892)),0)),""))))))))</f>
        <v>Transfer from DWG Capital Group</v>
      </c>
    </row>
    <row r="1893" spans="1:7" x14ac:dyDescent="0.25">
      <c r="A1893" t="s">
        <v>44</v>
      </c>
      <c r="B1893" s="1">
        <v>45740</v>
      </c>
      <c r="C1893" t="s">
        <v>2025</v>
      </c>
      <c r="D1893">
        <v>2000</v>
      </c>
      <c r="E1893" t="s">
        <v>73</v>
      </c>
      <c r="F1893">
        <v>7486.07</v>
      </c>
      <c r="G1893" t="str" cm="1">
        <f t="array" ref="G1893">IF(AND(ISNUMBER(SEARCH("UBER",C1893)),ISNUMBER(SEARCH("EATS",C1893))),"Uber Eats",IF(LEFT(C1893,6)="CHECK ","Checks Paid",IF(OR(E1893="BILLPAY",ISNUMBER(SEARCH("FRANCHISE TAX",C1893)),ISNUMBER(SEARCH("NEXTLINK",C1893))),"Personal - House Bills",IF(AND(ISNUMBER(SEARCH("PAYMENT FROM",C1893)),ISNUMBER(SEARCH("JOE SAUNDERS",C1893))),"Zelle from Joe Saunders",IF(AND(ISNUMBER(SEARCH("PAYMENT TO",C1893)),ISNUMBER(SEARCH("JOE SAUNDERS",C1893))),"Zelle to Joe Saunders",IF(OR(ISNUMBER(SEARCH("NEW ORLEANS",C1893)),ISNUMBER(SEARCH("KENNER",C1893)),ISNUMBER(SEARCH("HENRY HOWARD",C1893)),ISNUMBER(SEARCH("MISS CLAUDIA",C1893))),"Personal Travel - New Orleans",IF(AND(YEAR(B1893)=2025,MONTH(B1893)=4,OR(ISNUMBER(SEARCH("EXCHANGE RATE",C1893)),ISNUMBER(SEARCH("EXCHG RTE",C1893)))),"Personal Travel - Italy",IFERROR(INDEX('Category Rules'!$B$2:$B$358,MATCH(TRUE,ISNUMBER(SEARCH('Category Rules'!$A$2:$A$358,C1893)),0)),""))))))))</f>
        <v>Transfer from DWG Capital Group</v>
      </c>
    </row>
    <row r="1894" spans="1:7" x14ac:dyDescent="0.25">
      <c r="A1894" t="s">
        <v>6</v>
      </c>
      <c r="B1894" s="1">
        <v>45737</v>
      </c>
      <c r="C1894" t="s">
        <v>2026</v>
      </c>
      <c r="D1894">
        <v>-0.91</v>
      </c>
      <c r="E1894" t="s">
        <v>8</v>
      </c>
      <c r="F1894">
        <v>5486.07</v>
      </c>
      <c r="G1894" t="str" cm="1">
        <f t="array" ref="G1894">IF(AND(ISNUMBER(SEARCH("UBER",C1894)),ISNUMBER(SEARCH("EATS",C1894))),"Uber Eats",IF(LEFT(C1894,6)="CHECK ","Checks Paid",IF(OR(E1894="BILLPAY",ISNUMBER(SEARCH("FRANCHISE TAX",C1894)),ISNUMBER(SEARCH("NEXTLINK",C1894))),"Personal - House Bills",IF(AND(ISNUMBER(SEARCH("PAYMENT FROM",C1894)),ISNUMBER(SEARCH("JOE SAUNDERS",C1894))),"Zelle from Joe Saunders",IF(AND(ISNUMBER(SEARCH("PAYMENT TO",C1894)),ISNUMBER(SEARCH("JOE SAUNDERS",C1894))),"Zelle to Joe Saunders",IF(OR(ISNUMBER(SEARCH("NEW ORLEANS",C1894)),ISNUMBER(SEARCH("KENNER",C1894)),ISNUMBER(SEARCH("HENRY HOWARD",C1894)),ISNUMBER(SEARCH("MISS CLAUDIA",C1894))),"Personal Travel - New Orleans",IF(AND(YEAR(B1894)=2025,MONTH(B1894)=4,OR(ISNUMBER(SEARCH("EXCHANGE RATE",C1894)),ISNUMBER(SEARCH("EXCHG RTE",C1894)))),"Personal Travel - Italy",IFERROR(INDEX('Category Rules'!$B$2:$B$358,MATCH(TRUE,ISNUMBER(SEARCH('Category Rules'!$A$2:$A$358,C1894)),0)),""))))))))</f>
        <v>Personal Travel - Canada</v>
      </c>
    </row>
    <row r="1895" spans="1:7" x14ac:dyDescent="0.25">
      <c r="A1895" t="s">
        <v>6</v>
      </c>
      <c r="B1895" s="1">
        <v>45737</v>
      </c>
      <c r="C1895" t="s">
        <v>2027</v>
      </c>
      <c r="D1895">
        <v>-41.83</v>
      </c>
      <c r="E1895" t="s">
        <v>10</v>
      </c>
      <c r="F1895">
        <v>5486.98</v>
      </c>
      <c r="G1895" t="str" cm="1">
        <f t="array" ref="G1895">IF(AND(ISNUMBER(SEARCH("UBER",C1895)),ISNUMBER(SEARCH("EATS",C1895))),"Uber Eats",IF(LEFT(C1895,6)="CHECK ","Checks Paid",IF(OR(E1895="BILLPAY",ISNUMBER(SEARCH("FRANCHISE TAX",C1895)),ISNUMBER(SEARCH("NEXTLINK",C1895))),"Personal - House Bills",IF(AND(ISNUMBER(SEARCH("PAYMENT FROM",C1895)),ISNUMBER(SEARCH("JOE SAUNDERS",C1895))),"Zelle from Joe Saunders",IF(AND(ISNUMBER(SEARCH("PAYMENT TO",C1895)),ISNUMBER(SEARCH("JOE SAUNDERS",C1895))),"Zelle to Joe Saunders",IF(OR(ISNUMBER(SEARCH("NEW ORLEANS",C1895)),ISNUMBER(SEARCH("KENNER",C1895)),ISNUMBER(SEARCH("HENRY HOWARD",C1895)),ISNUMBER(SEARCH("MISS CLAUDIA",C1895))),"Personal Travel - New Orleans",IF(AND(YEAR(B1895)=2025,MONTH(B1895)=4,OR(ISNUMBER(SEARCH("EXCHANGE RATE",C1895)),ISNUMBER(SEARCH("EXCHG RTE",C1895)))),"Personal Travel - Italy",IFERROR(INDEX('Category Rules'!$B$2:$B$358,MATCH(TRUE,ISNUMBER(SEARCH('Category Rules'!$A$2:$A$358,C1895)),0)),""))))))))</f>
        <v>Personal - Health</v>
      </c>
    </row>
    <row r="1896" spans="1:7" x14ac:dyDescent="0.25">
      <c r="A1896" t="s">
        <v>6</v>
      </c>
      <c r="B1896" s="1">
        <v>45737</v>
      </c>
      <c r="C1896" t="s">
        <v>2028</v>
      </c>
      <c r="D1896">
        <v>-2332.1999999999998</v>
      </c>
      <c r="E1896" t="s">
        <v>93</v>
      </c>
      <c r="F1896">
        <v>5528.81</v>
      </c>
      <c r="G1896" t="str" cm="1">
        <f t="array" ref="G1896">IF(AND(ISNUMBER(SEARCH("UBER",C1896)),ISNUMBER(SEARCH("EATS",C1896))),"Uber Eats",IF(LEFT(C1896,6)="CHECK ","Checks Paid",IF(OR(E1896="BILLPAY",ISNUMBER(SEARCH("FRANCHISE TAX",C1896)),ISNUMBER(SEARCH("NEXTLINK",C1896))),"Personal - House Bills",IF(AND(ISNUMBER(SEARCH("PAYMENT FROM",C1896)),ISNUMBER(SEARCH("JOE SAUNDERS",C1896))),"Zelle from Joe Saunders",IF(AND(ISNUMBER(SEARCH("PAYMENT TO",C1896)),ISNUMBER(SEARCH("JOE SAUNDERS",C1896))),"Zelle to Joe Saunders",IF(OR(ISNUMBER(SEARCH("NEW ORLEANS",C1896)),ISNUMBER(SEARCH("KENNER",C1896)),ISNUMBER(SEARCH("HENRY HOWARD",C1896)),ISNUMBER(SEARCH("MISS CLAUDIA",C1896))),"Personal Travel - New Orleans",IF(AND(YEAR(B1896)=2025,MONTH(B1896)=4,OR(ISNUMBER(SEARCH("EXCHANGE RATE",C1896)),ISNUMBER(SEARCH("EXCHG RTE",C1896)))),"Personal Travel - Italy",IFERROR(INDEX('Category Rules'!$B$2:$B$358,MATCH(TRUE,ISNUMBER(SEARCH('Category Rules'!$A$2:$A$358,C1896)),0)),""))))))))</f>
        <v>Withdrawal</v>
      </c>
    </row>
    <row r="1897" spans="1:7" x14ac:dyDescent="0.25">
      <c r="A1897" t="s">
        <v>6</v>
      </c>
      <c r="B1897" s="1">
        <v>45737</v>
      </c>
      <c r="C1897" t="s">
        <v>2029</v>
      </c>
      <c r="D1897">
        <v>-30.57</v>
      </c>
      <c r="E1897" t="s">
        <v>10</v>
      </c>
      <c r="F1897">
        <v>7861.01</v>
      </c>
      <c r="G1897" t="str" cm="1">
        <f t="array" ref="G1897">IF(AND(ISNUMBER(SEARCH("UBER",C1897)),ISNUMBER(SEARCH("EATS",C1897))),"Uber Eats",IF(LEFT(C1897,6)="CHECK ","Checks Paid",IF(OR(E1897="BILLPAY",ISNUMBER(SEARCH("FRANCHISE TAX",C1897)),ISNUMBER(SEARCH("NEXTLINK",C1897))),"Personal - House Bills",IF(AND(ISNUMBER(SEARCH("PAYMENT FROM",C1897)),ISNUMBER(SEARCH("JOE SAUNDERS",C1897))),"Zelle from Joe Saunders",IF(AND(ISNUMBER(SEARCH("PAYMENT TO",C1897)),ISNUMBER(SEARCH("JOE SAUNDERS",C1897))),"Zelle to Joe Saunders",IF(OR(ISNUMBER(SEARCH("NEW ORLEANS",C1897)),ISNUMBER(SEARCH("KENNER",C1897)),ISNUMBER(SEARCH("HENRY HOWARD",C1897)),ISNUMBER(SEARCH("MISS CLAUDIA",C1897))),"Personal Travel - New Orleans",IF(AND(YEAR(B1897)=2025,MONTH(B1897)=4,OR(ISNUMBER(SEARCH("EXCHANGE RATE",C1897)),ISNUMBER(SEARCH("EXCHG RTE",C1897)))),"Personal Travel - Italy",IFERROR(INDEX('Category Rules'!$B$2:$B$358,MATCH(TRUE,ISNUMBER(SEARCH('Category Rules'!$A$2:$A$358,C1897)),0)),""))))))))</f>
        <v>Personal Travel - Canada</v>
      </c>
    </row>
    <row r="1898" spans="1:7" x14ac:dyDescent="0.25">
      <c r="A1898" t="s">
        <v>6</v>
      </c>
      <c r="B1898" s="1">
        <v>45737</v>
      </c>
      <c r="C1898" t="s">
        <v>2030</v>
      </c>
      <c r="D1898">
        <v>-126.93</v>
      </c>
      <c r="E1898" t="s">
        <v>10</v>
      </c>
      <c r="F1898">
        <v>7891.58</v>
      </c>
      <c r="G1898" t="str" cm="1">
        <f t="array" ref="G1898">IF(AND(ISNUMBER(SEARCH("UBER",C1898)),ISNUMBER(SEARCH("EATS",C1898))),"Uber Eats",IF(LEFT(C1898,6)="CHECK ","Checks Paid",IF(OR(E1898="BILLPAY",ISNUMBER(SEARCH("FRANCHISE TAX",C1898)),ISNUMBER(SEARCH("NEXTLINK",C1898))),"Personal - House Bills",IF(AND(ISNUMBER(SEARCH("PAYMENT FROM",C1898)),ISNUMBER(SEARCH("JOE SAUNDERS",C1898))),"Zelle from Joe Saunders",IF(AND(ISNUMBER(SEARCH("PAYMENT TO",C1898)),ISNUMBER(SEARCH("JOE SAUNDERS",C1898))),"Zelle to Joe Saunders",IF(OR(ISNUMBER(SEARCH("NEW ORLEANS",C1898)),ISNUMBER(SEARCH("KENNER",C1898)),ISNUMBER(SEARCH("HENRY HOWARD",C1898)),ISNUMBER(SEARCH("MISS CLAUDIA",C1898))),"Personal Travel - New Orleans",IF(AND(YEAR(B1898)=2025,MONTH(B1898)=4,OR(ISNUMBER(SEARCH("EXCHANGE RATE",C1898)),ISNUMBER(SEARCH("EXCHG RTE",C1898)))),"Personal Travel - Italy",IFERROR(INDEX('Category Rules'!$B$2:$B$358,MATCH(TRUE,ISNUMBER(SEARCH('Category Rules'!$A$2:$A$358,C1898)),0)),""))))))))</f>
        <v>Amazon</v>
      </c>
    </row>
    <row r="1899" spans="1:7" x14ac:dyDescent="0.25">
      <c r="A1899" t="s">
        <v>6</v>
      </c>
      <c r="B1899" s="1">
        <v>45737</v>
      </c>
      <c r="C1899" t="s">
        <v>2031</v>
      </c>
      <c r="D1899">
        <v>-38.299999999999997</v>
      </c>
      <c r="E1899" t="s">
        <v>10</v>
      </c>
      <c r="F1899">
        <v>8018.51</v>
      </c>
      <c r="G1899" t="str" cm="1">
        <f t="array" ref="G1899">IF(AND(ISNUMBER(SEARCH("UBER",C1899)),ISNUMBER(SEARCH("EATS",C1899))),"Uber Eats",IF(LEFT(C1899,6)="CHECK ","Checks Paid",IF(OR(E1899="BILLPAY",ISNUMBER(SEARCH("FRANCHISE TAX",C1899)),ISNUMBER(SEARCH("NEXTLINK",C1899))),"Personal - House Bills",IF(AND(ISNUMBER(SEARCH("PAYMENT FROM",C1899)),ISNUMBER(SEARCH("JOE SAUNDERS",C1899))),"Zelle from Joe Saunders",IF(AND(ISNUMBER(SEARCH("PAYMENT TO",C1899)),ISNUMBER(SEARCH("JOE SAUNDERS",C1899))),"Zelle to Joe Saunders",IF(OR(ISNUMBER(SEARCH("NEW ORLEANS",C1899)),ISNUMBER(SEARCH("KENNER",C1899)),ISNUMBER(SEARCH("HENRY HOWARD",C1899)),ISNUMBER(SEARCH("MISS CLAUDIA",C1899))),"Personal Travel - New Orleans",IF(AND(YEAR(B1899)=2025,MONTH(B1899)=4,OR(ISNUMBER(SEARCH("EXCHANGE RATE",C1899)),ISNUMBER(SEARCH("EXCHG RTE",C1899)))),"Personal Travel - Italy",IFERROR(INDEX('Category Rules'!$B$2:$B$358,MATCH(TRUE,ISNUMBER(SEARCH('Category Rules'!$A$2:$A$358,C1899)),0)),""))))))))</f>
        <v>Amazon</v>
      </c>
    </row>
    <row r="1900" spans="1:7" x14ac:dyDescent="0.25">
      <c r="A1900" t="s">
        <v>6</v>
      </c>
      <c r="B1900" s="1">
        <v>45737</v>
      </c>
      <c r="C1900" t="s">
        <v>2032</v>
      </c>
      <c r="D1900">
        <v>-195.29</v>
      </c>
      <c r="E1900" t="s">
        <v>10</v>
      </c>
      <c r="F1900">
        <v>8056.81</v>
      </c>
      <c r="G1900" t="str" cm="1">
        <f t="array" ref="G1900">IF(AND(ISNUMBER(SEARCH("UBER",C1900)),ISNUMBER(SEARCH("EATS",C1900))),"Uber Eats",IF(LEFT(C1900,6)="CHECK ","Checks Paid",IF(OR(E1900="BILLPAY",ISNUMBER(SEARCH("FRANCHISE TAX",C1900)),ISNUMBER(SEARCH("NEXTLINK",C1900))),"Personal - House Bills",IF(AND(ISNUMBER(SEARCH("PAYMENT FROM",C1900)),ISNUMBER(SEARCH("JOE SAUNDERS",C1900))),"Zelle from Joe Saunders",IF(AND(ISNUMBER(SEARCH("PAYMENT TO",C1900)),ISNUMBER(SEARCH("JOE SAUNDERS",C1900))),"Zelle to Joe Saunders",IF(OR(ISNUMBER(SEARCH("NEW ORLEANS",C1900)),ISNUMBER(SEARCH("KENNER",C1900)),ISNUMBER(SEARCH("HENRY HOWARD",C1900)),ISNUMBER(SEARCH("MISS CLAUDIA",C1900))),"Personal Travel - New Orleans",IF(AND(YEAR(B1900)=2025,MONTH(B1900)=4,OR(ISNUMBER(SEARCH("EXCHANGE RATE",C1900)),ISNUMBER(SEARCH("EXCHG RTE",C1900)))),"Personal Travel - Italy",IFERROR(INDEX('Category Rules'!$B$2:$B$358,MATCH(TRUE,ISNUMBER(SEARCH('Category Rules'!$A$2:$A$358,C1900)),0)),""))))))))</f>
        <v>Amazon</v>
      </c>
    </row>
    <row r="1901" spans="1:7" x14ac:dyDescent="0.25">
      <c r="A1901" t="s">
        <v>6</v>
      </c>
      <c r="B1901" s="1">
        <v>45737</v>
      </c>
      <c r="C1901" t="s">
        <v>2033</v>
      </c>
      <c r="D1901">
        <v>-44.44</v>
      </c>
      <c r="E1901" t="s">
        <v>10</v>
      </c>
      <c r="F1901">
        <v>8252.1</v>
      </c>
      <c r="G1901" t="str" cm="1">
        <f t="array" ref="G1901">IF(AND(ISNUMBER(SEARCH("UBER",C1901)),ISNUMBER(SEARCH("EATS",C1901))),"Uber Eats",IF(LEFT(C1901,6)="CHECK ","Checks Paid",IF(OR(E1901="BILLPAY",ISNUMBER(SEARCH("FRANCHISE TAX",C1901)),ISNUMBER(SEARCH("NEXTLINK",C1901))),"Personal - House Bills",IF(AND(ISNUMBER(SEARCH("PAYMENT FROM",C1901)),ISNUMBER(SEARCH("JOE SAUNDERS",C1901))),"Zelle from Joe Saunders",IF(AND(ISNUMBER(SEARCH("PAYMENT TO",C1901)),ISNUMBER(SEARCH("JOE SAUNDERS",C1901))),"Zelle to Joe Saunders",IF(OR(ISNUMBER(SEARCH("NEW ORLEANS",C1901)),ISNUMBER(SEARCH("KENNER",C1901)),ISNUMBER(SEARCH("HENRY HOWARD",C1901)),ISNUMBER(SEARCH("MISS CLAUDIA",C1901))),"Personal Travel - New Orleans",IF(AND(YEAR(B1901)=2025,MONTH(B1901)=4,OR(ISNUMBER(SEARCH("EXCHANGE RATE",C1901)),ISNUMBER(SEARCH("EXCHG RTE",C1901)))),"Personal Travel - Italy",IFERROR(INDEX('Category Rules'!$B$2:$B$358,MATCH(TRUE,ISNUMBER(SEARCH('Category Rules'!$A$2:$A$358,C1901)),0)),""))))))))</f>
        <v>Amazon</v>
      </c>
    </row>
    <row r="1902" spans="1:7" x14ac:dyDescent="0.25">
      <c r="A1902" t="s">
        <v>6</v>
      </c>
      <c r="B1902" s="1">
        <v>45737</v>
      </c>
      <c r="C1902" t="s">
        <v>2034</v>
      </c>
      <c r="D1902">
        <v>-149.96</v>
      </c>
      <c r="E1902" t="s">
        <v>10</v>
      </c>
      <c r="F1902">
        <v>8296.5400000000009</v>
      </c>
      <c r="G1902" t="str" cm="1">
        <f t="array" ref="G1902">IF(AND(ISNUMBER(SEARCH("UBER",C1902)),ISNUMBER(SEARCH("EATS",C1902))),"Uber Eats",IF(LEFT(C1902,6)="CHECK ","Checks Paid",IF(OR(E1902="BILLPAY",ISNUMBER(SEARCH("FRANCHISE TAX",C1902)),ISNUMBER(SEARCH("NEXTLINK",C1902))),"Personal - House Bills",IF(AND(ISNUMBER(SEARCH("PAYMENT FROM",C1902)),ISNUMBER(SEARCH("JOE SAUNDERS",C1902))),"Zelle from Joe Saunders",IF(AND(ISNUMBER(SEARCH("PAYMENT TO",C1902)),ISNUMBER(SEARCH("JOE SAUNDERS",C1902))),"Zelle to Joe Saunders",IF(OR(ISNUMBER(SEARCH("NEW ORLEANS",C1902)),ISNUMBER(SEARCH("KENNER",C1902)),ISNUMBER(SEARCH("HENRY HOWARD",C1902)),ISNUMBER(SEARCH("MISS CLAUDIA",C1902))),"Personal Travel - New Orleans",IF(AND(YEAR(B1902)=2025,MONTH(B1902)=4,OR(ISNUMBER(SEARCH("EXCHANGE RATE",C1902)),ISNUMBER(SEARCH("EXCHG RTE",C1902)))),"Personal Travel - Italy",IFERROR(INDEX('Category Rules'!$B$2:$B$358,MATCH(TRUE,ISNUMBER(SEARCH('Category Rules'!$A$2:$A$358,C1902)),0)),""))))))))</f>
        <v>Personal - House Bills</v>
      </c>
    </row>
    <row r="1903" spans="1:7" x14ac:dyDescent="0.25">
      <c r="A1903" t="s">
        <v>44</v>
      </c>
      <c r="B1903" s="1">
        <v>45737</v>
      </c>
      <c r="C1903" t="s">
        <v>2035</v>
      </c>
      <c r="D1903">
        <v>3000</v>
      </c>
      <c r="E1903" t="s">
        <v>73</v>
      </c>
      <c r="F1903">
        <v>8446.5</v>
      </c>
      <c r="G1903" t="str" cm="1">
        <f t="array" ref="G1903">IF(AND(ISNUMBER(SEARCH("UBER",C1903)),ISNUMBER(SEARCH("EATS",C1903))),"Uber Eats",IF(LEFT(C1903,6)="CHECK ","Checks Paid",IF(OR(E1903="BILLPAY",ISNUMBER(SEARCH("FRANCHISE TAX",C1903)),ISNUMBER(SEARCH("NEXTLINK",C1903))),"Personal - House Bills",IF(AND(ISNUMBER(SEARCH("PAYMENT FROM",C1903)),ISNUMBER(SEARCH("JOE SAUNDERS",C1903))),"Zelle from Joe Saunders",IF(AND(ISNUMBER(SEARCH("PAYMENT TO",C1903)),ISNUMBER(SEARCH("JOE SAUNDERS",C1903))),"Zelle to Joe Saunders",IF(OR(ISNUMBER(SEARCH("NEW ORLEANS",C1903)),ISNUMBER(SEARCH("KENNER",C1903)),ISNUMBER(SEARCH("HENRY HOWARD",C1903)),ISNUMBER(SEARCH("MISS CLAUDIA",C1903))),"Personal Travel - New Orleans",IF(AND(YEAR(B1903)=2025,MONTH(B1903)=4,OR(ISNUMBER(SEARCH("EXCHANGE RATE",C1903)),ISNUMBER(SEARCH("EXCHG RTE",C1903)))),"Personal Travel - Italy",IFERROR(INDEX('Category Rules'!$B$2:$B$358,MATCH(TRUE,ISNUMBER(SEARCH('Category Rules'!$A$2:$A$358,C1903)),0)),""))))))))</f>
        <v>Transfer from DWG Capital Group</v>
      </c>
    </row>
    <row r="1904" spans="1:7" x14ac:dyDescent="0.25">
      <c r="A1904" t="s">
        <v>126</v>
      </c>
      <c r="B1904" s="1">
        <v>45737</v>
      </c>
      <c r="C1904" t="s">
        <v>2037</v>
      </c>
      <c r="D1904">
        <v>175</v>
      </c>
      <c r="E1904" t="s">
        <v>128</v>
      </c>
      <c r="F1904">
        <v>5446.5</v>
      </c>
      <c r="G1904" t="str" cm="1">
        <f t="array" ref="G1904">IF(AND(ISNUMBER(SEARCH("UBER",C1904)),ISNUMBER(SEARCH("EATS",C1904))),"Uber Eats",IF(LEFT(C1904,6)="CHECK ","Checks Paid",IF(OR(E1904="BILLPAY",ISNUMBER(SEARCH("FRANCHISE TAX",C1904)),ISNUMBER(SEARCH("NEXTLINK",C1904))),"Personal - House Bills",IF(AND(ISNUMBER(SEARCH("PAYMENT FROM",C1904)),ISNUMBER(SEARCH("JOE SAUNDERS",C1904))),"Zelle from Joe Saunders",IF(AND(ISNUMBER(SEARCH("PAYMENT TO",C1904)),ISNUMBER(SEARCH("JOE SAUNDERS",C1904))),"Zelle to Joe Saunders",IF(OR(ISNUMBER(SEARCH("NEW ORLEANS",C1904)),ISNUMBER(SEARCH("KENNER",C1904)),ISNUMBER(SEARCH("HENRY HOWARD",C1904)),ISNUMBER(SEARCH("MISS CLAUDIA",C1904))),"Personal Travel - New Orleans",IF(AND(YEAR(B1904)=2025,MONTH(B1904)=4,OR(ISNUMBER(SEARCH("EXCHANGE RATE",C1904)),ISNUMBER(SEARCH("EXCHG RTE",C1904)))),"Personal Travel - Italy",IFERROR(INDEX('Category Rules'!$B$2:$B$358,MATCH(TRUE,ISNUMBER(SEARCH('Category Rules'!$A$2:$A$358,C1904)),0)),""))))))))</f>
        <v>Deposit</v>
      </c>
    </row>
    <row r="1905" spans="1:7" x14ac:dyDescent="0.25">
      <c r="A1905" t="s">
        <v>6</v>
      </c>
      <c r="B1905" s="1">
        <v>45736</v>
      </c>
      <c r="C1905" t="s">
        <v>2038</v>
      </c>
      <c r="D1905">
        <v>-78.02</v>
      </c>
      <c r="E1905" t="s">
        <v>10</v>
      </c>
      <c r="F1905">
        <v>5271.5</v>
      </c>
      <c r="G1905" t="str" cm="1">
        <f t="array" ref="G1905">IF(AND(ISNUMBER(SEARCH("UBER",C1905)),ISNUMBER(SEARCH("EATS",C1905))),"Uber Eats",IF(LEFT(C1905,6)="CHECK ","Checks Paid",IF(OR(E1905="BILLPAY",ISNUMBER(SEARCH("FRANCHISE TAX",C1905)),ISNUMBER(SEARCH("NEXTLINK",C1905))),"Personal - House Bills",IF(AND(ISNUMBER(SEARCH("PAYMENT FROM",C1905)),ISNUMBER(SEARCH("JOE SAUNDERS",C1905))),"Zelle from Joe Saunders",IF(AND(ISNUMBER(SEARCH("PAYMENT TO",C1905)),ISNUMBER(SEARCH("JOE SAUNDERS",C1905))),"Zelle to Joe Saunders",IF(OR(ISNUMBER(SEARCH("NEW ORLEANS",C1905)),ISNUMBER(SEARCH("KENNER",C1905)),ISNUMBER(SEARCH("HENRY HOWARD",C1905)),ISNUMBER(SEARCH("MISS CLAUDIA",C1905))),"Personal Travel - New Orleans",IF(AND(YEAR(B1905)=2025,MONTH(B1905)=4,OR(ISNUMBER(SEARCH("EXCHANGE RATE",C1905)),ISNUMBER(SEARCH("EXCHG RTE",C1905)))),"Personal Travel - Italy",IFERROR(INDEX('Category Rules'!$B$2:$B$358,MATCH(TRUE,ISNUMBER(SEARCH('Category Rules'!$A$2:$A$358,C1905)),0)),""))))))))</f>
        <v>Personal - Food</v>
      </c>
    </row>
    <row r="1906" spans="1:7" x14ac:dyDescent="0.25">
      <c r="A1906" t="s">
        <v>6</v>
      </c>
      <c r="B1906" s="1">
        <v>45736</v>
      </c>
      <c r="C1906" t="s">
        <v>2039</v>
      </c>
      <c r="D1906">
        <v>-487.55</v>
      </c>
      <c r="E1906" t="s">
        <v>10</v>
      </c>
      <c r="F1906">
        <v>5349.52</v>
      </c>
      <c r="G1906" t="str" cm="1">
        <f t="array" ref="G1906">IF(AND(ISNUMBER(SEARCH("UBER",C1906)),ISNUMBER(SEARCH("EATS",C1906))),"Uber Eats",IF(LEFT(C1906,6)="CHECK ","Checks Paid",IF(OR(E1906="BILLPAY",ISNUMBER(SEARCH("FRANCHISE TAX",C1906)),ISNUMBER(SEARCH("NEXTLINK",C1906))),"Personal - House Bills",IF(AND(ISNUMBER(SEARCH("PAYMENT FROM",C1906)),ISNUMBER(SEARCH("JOE SAUNDERS",C1906))),"Zelle from Joe Saunders",IF(AND(ISNUMBER(SEARCH("PAYMENT TO",C1906)),ISNUMBER(SEARCH("JOE SAUNDERS",C1906))),"Zelle to Joe Saunders",IF(OR(ISNUMBER(SEARCH("NEW ORLEANS",C1906)),ISNUMBER(SEARCH("KENNER",C1906)),ISNUMBER(SEARCH("HENRY HOWARD",C1906)),ISNUMBER(SEARCH("MISS CLAUDIA",C1906))),"Personal Travel - New Orleans",IF(AND(YEAR(B1906)=2025,MONTH(B1906)=4,OR(ISNUMBER(SEARCH("EXCHANGE RATE",C1906)),ISNUMBER(SEARCH("EXCHG RTE",C1906)))),"Personal Travel - Italy",IFERROR(INDEX('Category Rules'!$B$2:$B$358,MATCH(TRUE,ISNUMBER(SEARCH('Category Rules'!$A$2:$A$358,C1906)),0)),""))))))))</f>
        <v>Personal - Food</v>
      </c>
    </row>
    <row r="1907" spans="1:7" x14ac:dyDescent="0.25">
      <c r="A1907" t="s">
        <v>6</v>
      </c>
      <c r="B1907" s="1">
        <v>45736</v>
      </c>
      <c r="C1907" t="s">
        <v>2040</v>
      </c>
      <c r="D1907">
        <v>-372.11</v>
      </c>
      <c r="E1907" t="s">
        <v>10</v>
      </c>
      <c r="F1907">
        <v>5837.07</v>
      </c>
      <c r="G1907" t="str" cm="1">
        <f t="array" ref="G1907">IF(AND(ISNUMBER(SEARCH("UBER",C1907)),ISNUMBER(SEARCH("EATS",C1907))),"Uber Eats",IF(LEFT(C1907,6)="CHECK ","Checks Paid",IF(OR(E1907="BILLPAY",ISNUMBER(SEARCH("FRANCHISE TAX",C1907)),ISNUMBER(SEARCH("NEXTLINK",C1907))),"Personal - House Bills",IF(AND(ISNUMBER(SEARCH("PAYMENT FROM",C1907)),ISNUMBER(SEARCH("JOE SAUNDERS",C1907))),"Zelle from Joe Saunders",IF(AND(ISNUMBER(SEARCH("PAYMENT TO",C1907)),ISNUMBER(SEARCH("JOE SAUNDERS",C1907))),"Zelle to Joe Saunders",IF(OR(ISNUMBER(SEARCH("NEW ORLEANS",C1907)),ISNUMBER(SEARCH("KENNER",C1907)),ISNUMBER(SEARCH("HENRY HOWARD",C1907)),ISNUMBER(SEARCH("MISS CLAUDIA",C1907))),"Personal Travel - New Orleans",IF(AND(YEAR(B1907)=2025,MONTH(B1907)=4,OR(ISNUMBER(SEARCH("EXCHANGE RATE",C1907)),ISNUMBER(SEARCH("EXCHG RTE",C1907)))),"Personal Travel - Italy",IFERROR(INDEX('Category Rules'!$B$2:$B$358,MATCH(TRUE,ISNUMBER(SEARCH('Category Rules'!$A$2:$A$358,C1907)),0)),""))))))))</f>
        <v>Personal - House Bills</v>
      </c>
    </row>
    <row r="1908" spans="1:7" x14ac:dyDescent="0.25">
      <c r="A1908" t="s">
        <v>6</v>
      </c>
      <c r="B1908" s="1">
        <v>45736</v>
      </c>
      <c r="C1908" t="s">
        <v>2041</v>
      </c>
      <c r="D1908">
        <v>-15.32</v>
      </c>
      <c r="E1908" t="s">
        <v>10</v>
      </c>
      <c r="F1908">
        <v>6209.18</v>
      </c>
      <c r="G1908" t="str" cm="1">
        <f t="array" ref="G1908">IF(AND(ISNUMBER(SEARCH("UBER",C1908)),ISNUMBER(SEARCH("EATS",C1908))),"Uber Eats",IF(LEFT(C1908,6)="CHECK ","Checks Paid",IF(OR(E1908="BILLPAY",ISNUMBER(SEARCH("FRANCHISE TAX",C1908)),ISNUMBER(SEARCH("NEXTLINK",C1908))),"Personal - House Bills",IF(AND(ISNUMBER(SEARCH("PAYMENT FROM",C1908)),ISNUMBER(SEARCH("JOE SAUNDERS",C1908))),"Zelle from Joe Saunders",IF(AND(ISNUMBER(SEARCH("PAYMENT TO",C1908)),ISNUMBER(SEARCH("JOE SAUNDERS",C1908))),"Zelle to Joe Saunders",IF(OR(ISNUMBER(SEARCH("NEW ORLEANS",C1908)),ISNUMBER(SEARCH("KENNER",C1908)),ISNUMBER(SEARCH("HENRY HOWARD",C1908)),ISNUMBER(SEARCH("MISS CLAUDIA",C1908))),"Personal Travel - New Orleans",IF(AND(YEAR(B1908)=2025,MONTH(B1908)=4,OR(ISNUMBER(SEARCH("EXCHANGE RATE",C1908)),ISNUMBER(SEARCH("EXCHG RTE",C1908)))),"Personal Travel - Italy",IFERROR(INDEX('Category Rules'!$B$2:$B$358,MATCH(TRUE,ISNUMBER(SEARCH('Category Rules'!$A$2:$A$358,C1908)),0)),""))))))))</f>
        <v>Amazon</v>
      </c>
    </row>
    <row r="1909" spans="1:7" x14ac:dyDescent="0.25">
      <c r="A1909" t="s">
        <v>6</v>
      </c>
      <c r="B1909" s="1">
        <v>45736</v>
      </c>
      <c r="C1909" t="s">
        <v>2042</v>
      </c>
      <c r="D1909">
        <v>-15.28</v>
      </c>
      <c r="E1909" t="s">
        <v>10</v>
      </c>
      <c r="F1909">
        <v>6224.5</v>
      </c>
      <c r="G1909" t="str" cm="1">
        <f t="array" ref="G1909">IF(AND(ISNUMBER(SEARCH("UBER",C1909)),ISNUMBER(SEARCH("EATS",C1909))),"Uber Eats",IF(LEFT(C1909,6)="CHECK ","Checks Paid",IF(OR(E1909="BILLPAY",ISNUMBER(SEARCH("FRANCHISE TAX",C1909)),ISNUMBER(SEARCH("NEXTLINK",C1909))),"Personal - House Bills",IF(AND(ISNUMBER(SEARCH("PAYMENT FROM",C1909)),ISNUMBER(SEARCH("JOE SAUNDERS",C1909))),"Zelle from Joe Saunders",IF(AND(ISNUMBER(SEARCH("PAYMENT TO",C1909)),ISNUMBER(SEARCH("JOE SAUNDERS",C1909))),"Zelle to Joe Saunders",IF(OR(ISNUMBER(SEARCH("NEW ORLEANS",C1909)),ISNUMBER(SEARCH("KENNER",C1909)),ISNUMBER(SEARCH("HENRY HOWARD",C1909)),ISNUMBER(SEARCH("MISS CLAUDIA",C1909))),"Personal Travel - New Orleans",IF(AND(YEAR(B1909)=2025,MONTH(B1909)=4,OR(ISNUMBER(SEARCH("EXCHANGE RATE",C1909)),ISNUMBER(SEARCH("EXCHG RTE",C1909)))),"Personal Travel - Italy",IFERROR(INDEX('Category Rules'!$B$2:$B$358,MATCH(TRUE,ISNUMBER(SEARCH('Category Rules'!$A$2:$A$358,C1909)),0)),""))))))))</f>
        <v>Amazon</v>
      </c>
    </row>
    <row r="1910" spans="1:7" x14ac:dyDescent="0.25">
      <c r="A1910" t="s">
        <v>6</v>
      </c>
      <c r="B1910" s="1">
        <v>45736</v>
      </c>
      <c r="C1910" t="s">
        <v>2043</v>
      </c>
      <c r="D1910">
        <v>-100.64</v>
      </c>
      <c r="E1910" t="s">
        <v>10</v>
      </c>
      <c r="F1910">
        <v>6239.78</v>
      </c>
      <c r="G1910" t="str" cm="1">
        <f t="array" ref="G1910">IF(AND(ISNUMBER(SEARCH("UBER",C1910)),ISNUMBER(SEARCH("EATS",C1910))),"Uber Eats",IF(LEFT(C1910,6)="CHECK ","Checks Paid",IF(OR(E1910="BILLPAY",ISNUMBER(SEARCH("FRANCHISE TAX",C1910)),ISNUMBER(SEARCH("NEXTLINK",C1910))),"Personal - House Bills",IF(AND(ISNUMBER(SEARCH("PAYMENT FROM",C1910)),ISNUMBER(SEARCH("JOE SAUNDERS",C1910))),"Zelle from Joe Saunders",IF(AND(ISNUMBER(SEARCH("PAYMENT TO",C1910)),ISNUMBER(SEARCH("JOE SAUNDERS",C1910))),"Zelle to Joe Saunders",IF(OR(ISNUMBER(SEARCH("NEW ORLEANS",C1910)),ISNUMBER(SEARCH("KENNER",C1910)),ISNUMBER(SEARCH("HENRY HOWARD",C1910)),ISNUMBER(SEARCH("MISS CLAUDIA",C1910))),"Personal Travel - New Orleans",IF(AND(YEAR(B1910)=2025,MONTH(B1910)=4,OR(ISNUMBER(SEARCH("EXCHANGE RATE",C1910)),ISNUMBER(SEARCH("EXCHG RTE",C1910)))),"Personal Travel - Italy",IFERROR(INDEX('Category Rules'!$B$2:$B$358,MATCH(TRUE,ISNUMBER(SEARCH('Category Rules'!$A$2:$A$358,C1910)),0)),""))))))))</f>
        <v>Uber Eats</v>
      </c>
    </row>
    <row r="1911" spans="1:7" x14ac:dyDescent="0.25">
      <c r="A1911" t="s">
        <v>6</v>
      </c>
      <c r="B1911" s="1">
        <v>45736</v>
      </c>
      <c r="C1911" t="s">
        <v>2044</v>
      </c>
      <c r="D1911">
        <v>-74.98</v>
      </c>
      <c r="E1911" t="s">
        <v>10</v>
      </c>
      <c r="F1911">
        <v>6340.42</v>
      </c>
      <c r="G1911" t="str" cm="1">
        <f t="array" ref="G1911">IF(AND(ISNUMBER(SEARCH("UBER",C1911)),ISNUMBER(SEARCH("EATS",C1911))),"Uber Eats",IF(LEFT(C1911,6)="CHECK ","Checks Paid",IF(OR(E1911="BILLPAY",ISNUMBER(SEARCH("FRANCHISE TAX",C1911)),ISNUMBER(SEARCH("NEXTLINK",C1911))),"Personal - House Bills",IF(AND(ISNUMBER(SEARCH("PAYMENT FROM",C1911)),ISNUMBER(SEARCH("JOE SAUNDERS",C1911))),"Zelle from Joe Saunders",IF(AND(ISNUMBER(SEARCH("PAYMENT TO",C1911)),ISNUMBER(SEARCH("JOE SAUNDERS",C1911))),"Zelle to Joe Saunders",IF(OR(ISNUMBER(SEARCH("NEW ORLEANS",C1911)),ISNUMBER(SEARCH("KENNER",C1911)),ISNUMBER(SEARCH("HENRY HOWARD",C1911)),ISNUMBER(SEARCH("MISS CLAUDIA",C1911))),"Personal Travel - New Orleans",IF(AND(YEAR(B1911)=2025,MONTH(B1911)=4,OR(ISNUMBER(SEARCH("EXCHANGE RATE",C1911)),ISNUMBER(SEARCH("EXCHG RTE",C1911)))),"Personal Travel - Italy",IFERROR(INDEX('Category Rules'!$B$2:$B$358,MATCH(TRUE,ISNUMBER(SEARCH('Category Rules'!$A$2:$A$358,C1911)),0)),""))))))))</f>
        <v>Personal - Health</v>
      </c>
    </row>
    <row r="1912" spans="1:7" x14ac:dyDescent="0.25">
      <c r="A1912" t="s">
        <v>44</v>
      </c>
      <c r="B1912" s="1">
        <v>45736</v>
      </c>
      <c r="C1912" t="s">
        <v>2045</v>
      </c>
      <c r="D1912">
        <v>100</v>
      </c>
      <c r="E1912" t="s">
        <v>464</v>
      </c>
      <c r="F1912">
        <v>6415.4</v>
      </c>
      <c r="G1912" t="str" cm="1">
        <f t="array" ref="G1912">IF(AND(ISNUMBER(SEARCH("UBER",C1912)),ISNUMBER(SEARCH("EATS",C1912))),"Uber Eats",IF(LEFT(C1912,6)="CHECK ","Checks Paid",IF(OR(E1912="BILLPAY",ISNUMBER(SEARCH("FRANCHISE TAX",C1912)),ISNUMBER(SEARCH("NEXTLINK",C1912))),"Personal - House Bills",IF(AND(ISNUMBER(SEARCH("PAYMENT FROM",C1912)),ISNUMBER(SEARCH("JOE SAUNDERS",C1912))),"Zelle from Joe Saunders",IF(AND(ISNUMBER(SEARCH("PAYMENT TO",C1912)),ISNUMBER(SEARCH("JOE SAUNDERS",C1912))),"Zelle to Joe Saunders",IF(OR(ISNUMBER(SEARCH("NEW ORLEANS",C1912)),ISNUMBER(SEARCH("KENNER",C1912)),ISNUMBER(SEARCH("HENRY HOWARD",C1912)),ISNUMBER(SEARCH("MISS CLAUDIA",C1912))),"Personal Travel - New Orleans",IF(AND(YEAR(B1912)=2025,MONTH(B1912)=4,OR(ISNUMBER(SEARCH("EXCHANGE RATE",C1912)),ISNUMBER(SEARCH("EXCHG RTE",C1912)))),"Personal Travel - Italy",IFERROR(INDEX('Category Rules'!$B$2:$B$358,MATCH(TRUE,ISNUMBER(SEARCH('Category Rules'!$A$2:$A$358,C1912)),0)),""))))))))</f>
        <v>Zelle from Tanya Miller</v>
      </c>
    </row>
    <row r="1913" spans="1:7" x14ac:dyDescent="0.25">
      <c r="A1913" t="s">
        <v>44</v>
      </c>
      <c r="B1913" s="1">
        <v>45736</v>
      </c>
      <c r="C1913" t="s">
        <v>2046</v>
      </c>
      <c r="D1913">
        <v>5000</v>
      </c>
      <c r="E1913" t="s">
        <v>73</v>
      </c>
      <c r="F1913">
        <v>6315.4</v>
      </c>
      <c r="G1913" t="str" cm="1">
        <f t="array" ref="G1913">IF(AND(ISNUMBER(SEARCH("UBER",C1913)),ISNUMBER(SEARCH("EATS",C1913))),"Uber Eats",IF(LEFT(C1913,6)="CHECK ","Checks Paid",IF(OR(E1913="BILLPAY",ISNUMBER(SEARCH("FRANCHISE TAX",C1913)),ISNUMBER(SEARCH("NEXTLINK",C1913))),"Personal - House Bills",IF(AND(ISNUMBER(SEARCH("PAYMENT FROM",C1913)),ISNUMBER(SEARCH("JOE SAUNDERS",C1913))),"Zelle from Joe Saunders",IF(AND(ISNUMBER(SEARCH("PAYMENT TO",C1913)),ISNUMBER(SEARCH("JOE SAUNDERS",C1913))),"Zelle to Joe Saunders",IF(OR(ISNUMBER(SEARCH("NEW ORLEANS",C1913)),ISNUMBER(SEARCH("KENNER",C1913)),ISNUMBER(SEARCH("HENRY HOWARD",C1913)),ISNUMBER(SEARCH("MISS CLAUDIA",C1913))),"Personal Travel - New Orleans",IF(AND(YEAR(B1913)=2025,MONTH(B1913)=4,OR(ISNUMBER(SEARCH("EXCHANGE RATE",C1913)),ISNUMBER(SEARCH("EXCHG RTE",C1913)))),"Personal Travel - Italy",IFERROR(INDEX('Category Rules'!$B$2:$B$358,MATCH(TRUE,ISNUMBER(SEARCH('Category Rules'!$A$2:$A$358,C1913)),0)),""))))))))</f>
        <v>Transfer from DWG Capital Group</v>
      </c>
    </row>
    <row r="1914" spans="1:7" x14ac:dyDescent="0.25">
      <c r="A1914" t="s">
        <v>6</v>
      </c>
      <c r="B1914" s="1">
        <v>45735</v>
      </c>
      <c r="C1914" t="s">
        <v>2047</v>
      </c>
      <c r="D1914">
        <v>-67.86</v>
      </c>
      <c r="E1914" t="s">
        <v>10</v>
      </c>
      <c r="F1914">
        <v>1315.4</v>
      </c>
      <c r="G1914" t="str" cm="1">
        <f t="array" ref="G1914">IF(AND(ISNUMBER(SEARCH("UBER",C1914)),ISNUMBER(SEARCH("EATS",C1914))),"Uber Eats",IF(LEFT(C1914,6)="CHECK ","Checks Paid",IF(OR(E1914="BILLPAY",ISNUMBER(SEARCH("FRANCHISE TAX",C1914)),ISNUMBER(SEARCH("NEXTLINK",C1914))),"Personal - House Bills",IF(AND(ISNUMBER(SEARCH("PAYMENT FROM",C1914)),ISNUMBER(SEARCH("JOE SAUNDERS",C1914))),"Zelle from Joe Saunders",IF(AND(ISNUMBER(SEARCH("PAYMENT TO",C1914)),ISNUMBER(SEARCH("JOE SAUNDERS",C1914))),"Zelle to Joe Saunders",IF(OR(ISNUMBER(SEARCH("NEW ORLEANS",C1914)),ISNUMBER(SEARCH("KENNER",C1914)),ISNUMBER(SEARCH("HENRY HOWARD",C1914)),ISNUMBER(SEARCH("MISS CLAUDIA",C1914))),"Personal Travel - New Orleans",IF(AND(YEAR(B1914)=2025,MONTH(B1914)=4,OR(ISNUMBER(SEARCH("EXCHANGE RATE",C1914)),ISNUMBER(SEARCH("EXCHG RTE",C1914)))),"Personal Travel - Italy",IFERROR(INDEX('Category Rules'!$B$2:$B$358,MATCH(TRUE,ISNUMBER(SEARCH('Category Rules'!$A$2:$A$358,C1914)),0)),""))))))))</f>
        <v>Amazon</v>
      </c>
    </row>
    <row r="1915" spans="1:7" x14ac:dyDescent="0.25">
      <c r="A1915" t="s">
        <v>6</v>
      </c>
      <c r="B1915" s="1">
        <v>45734</v>
      </c>
      <c r="C1915" t="s">
        <v>2048</v>
      </c>
      <c r="D1915">
        <v>-51.26</v>
      </c>
      <c r="E1915" t="s">
        <v>33</v>
      </c>
      <c r="F1915">
        <v>1383.26</v>
      </c>
      <c r="G1915" t="str" cm="1">
        <f t="array" ref="G1915">IF(AND(ISNUMBER(SEARCH("UBER",C1915)),ISNUMBER(SEARCH("EATS",C1915))),"Uber Eats",IF(LEFT(C1915,6)="CHECK ","Checks Paid",IF(OR(E1915="BILLPAY",ISNUMBER(SEARCH("FRANCHISE TAX",C1915)),ISNUMBER(SEARCH("NEXTLINK",C1915))),"Personal - House Bills",IF(AND(ISNUMBER(SEARCH("PAYMENT FROM",C1915)),ISNUMBER(SEARCH("JOE SAUNDERS",C1915))),"Zelle from Joe Saunders",IF(AND(ISNUMBER(SEARCH("PAYMENT TO",C1915)),ISNUMBER(SEARCH("JOE SAUNDERS",C1915))),"Zelle to Joe Saunders",IF(OR(ISNUMBER(SEARCH("NEW ORLEANS",C1915)),ISNUMBER(SEARCH("KENNER",C1915)),ISNUMBER(SEARCH("HENRY HOWARD",C1915)),ISNUMBER(SEARCH("MISS CLAUDIA",C1915))),"Personal Travel - New Orleans",IF(AND(YEAR(B1915)=2025,MONTH(B1915)=4,OR(ISNUMBER(SEARCH("EXCHANGE RATE",C1915)),ISNUMBER(SEARCH("EXCHG RTE",C1915)))),"Personal Travel - Italy",IFERROR(INDEX('Category Rules'!$B$2:$B$358,MATCH(TRUE,ISNUMBER(SEARCH('Category Rules'!$A$2:$A$358,C1915)),0)),""))))))))</f>
        <v>Personal - House Bills</v>
      </c>
    </row>
    <row r="1916" spans="1:7" x14ac:dyDescent="0.25">
      <c r="A1916" t="s">
        <v>6</v>
      </c>
      <c r="B1916" s="1">
        <v>45734</v>
      </c>
      <c r="C1916" t="s">
        <v>2049</v>
      </c>
      <c r="D1916">
        <v>-27.11</v>
      </c>
      <c r="E1916" t="s">
        <v>10</v>
      </c>
      <c r="F1916">
        <v>1434.52</v>
      </c>
      <c r="G1916" t="str" cm="1">
        <f t="array" ref="G1916">IF(AND(ISNUMBER(SEARCH("UBER",C1916)),ISNUMBER(SEARCH("EATS",C1916))),"Uber Eats",IF(LEFT(C1916,6)="CHECK ","Checks Paid",IF(OR(E1916="BILLPAY",ISNUMBER(SEARCH("FRANCHISE TAX",C1916)),ISNUMBER(SEARCH("NEXTLINK",C1916))),"Personal - House Bills",IF(AND(ISNUMBER(SEARCH("PAYMENT FROM",C1916)),ISNUMBER(SEARCH("JOE SAUNDERS",C1916))),"Zelle from Joe Saunders",IF(AND(ISNUMBER(SEARCH("PAYMENT TO",C1916)),ISNUMBER(SEARCH("JOE SAUNDERS",C1916))),"Zelle to Joe Saunders",IF(OR(ISNUMBER(SEARCH("NEW ORLEANS",C1916)),ISNUMBER(SEARCH("KENNER",C1916)),ISNUMBER(SEARCH("HENRY HOWARD",C1916)),ISNUMBER(SEARCH("MISS CLAUDIA",C1916))),"Personal Travel - New Orleans",IF(AND(YEAR(B1916)=2025,MONTH(B1916)=4,OR(ISNUMBER(SEARCH("EXCHANGE RATE",C1916)),ISNUMBER(SEARCH("EXCHG RTE",C1916)))),"Personal Travel - Italy",IFERROR(INDEX('Category Rules'!$B$2:$B$358,MATCH(TRUE,ISNUMBER(SEARCH('Category Rules'!$A$2:$A$358,C1916)),0)),""))))))))</f>
        <v>Uber Eats</v>
      </c>
    </row>
    <row r="1917" spans="1:7" x14ac:dyDescent="0.25">
      <c r="A1917" t="s">
        <v>6</v>
      </c>
      <c r="B1917" s="1">
        <v>45734</v>
      </c>
      <c r="C1917" t="s">
        <v>2050</v>
      </c>
      <c r="D1917">
        <v>-28.5</v>
      </c>
      <c r="E1917" t="s">
        <v>10</v>
      </c>
      <c r="F1917">
        <v>1461.63</v>
      </c>
      <c r="G1917" t="str" cm="1">
        <f t="array" ref="G1917">IF(AND(ISNUMBER(SEARCH("UBER",C1917)),ISNUMBER(SEARCH("EATS",C1917))),"Uber Eats",IF(LEFT(C1917,6)="CHECK ","Checks Paid",IF(OR(E1917="BILLPAY",ISNUMBER(SEARCH("FRANCHISE TAX",C1917)),ISNUMBER(SEARCH("NEXTLINK",C1917))),"Personal - House Bills",IF(AND(ISNUMBER(SEARCH("PAYMENT FROM",C1917)),ISNUMBER(SEARCH("JOE SAUNDERS",C1917))),"Zelle from Joe Saunders",IF(AND(ISNUMBER(SEARCH("PAYMENT TO",C1917)),ISNUMBER(SEARCH("JOE SAUNDERS",C1917))),"Zelle to Joe Saunders",IF(OR(ISNUMBER(SEARCH("NEW ORLEANS",C1917)),ISNUMBER(SEARCH("KENNER",C1917)),ISNUMBER(SEARCH("HENRY HOWARD",C1917)),ISNUMBER(SEARCH("MISS CLAUDIA",C1917))),"Personal Travel - New Orleans",IF(AND(YEAR(B1917)=2025,MONTH(B1917)=4,OR(ISNUMBER(SEARCH("EXCHANGE RATE",C1917)),ISNUMBER(SEARCH("EXCHG RTE",C1917)))),"Personal Travel - Italy",IFERROR(INDEX('Category Rules'!$B$2:$B$358,MATCH(TRUE,ISNUMBER(SEARCH('Category Rules'!$A$2:$A$358,C1917)),0)),""))))))))</f>
        <v>Personal - Car</v>
      </c>
    </row>
    <row r="1918" spans="1:7" x14ac:dyDescent="0.25">
      <c r="A1918" t="s">
        <v>6</v>
      </c>
      <c r="B1918" s="1">
        <v>45734</v>
      </c>
      <c r="C1918" t="s">
        <v>2051</v>
      </c>
      <c r="D1918">
        <v>-50</v>
      </c>
      <c r="E1918" t="s">
        <v>10</v>
      </c>
      <c r="F1918">
        <v>1490.13</v>
      </c>
      <c r="G1918" t="str" cm="1">
        <f t="array" ref="G1918">IF(AND(ISNUMBER(SEARCH("UBER",C1918)),ISNUMBER(SEARCH("EATS",C1918))),"Uber Eats",IF(LEFT(C1918,6)="CHECK ","Checks Paid",IF(OR(E1918="BILLPAY",ISNUMBER(SEARCH("FRANCHISE TAX",C1918)),ISNUMBER(SEARCH("NEXTLINK",C1918))),"Personal - House Bills",IF(AND(ISNUMBER(SEARCH("PAYMENT FROM",C1918)),ISNUMBER(SEARCH("JOE SAUNDERS",C1918))),"Zelle from Joe Saunders",IF(AND(ISNUMBER(SEARCH("PAYMENT TO",C1918)),ISNUMBER(SEARCH("JOE SAUNDERS",C1918))),"Zelle to Joe Saunders",IF(OR(ISNUMBER(SEARCH("NEW ORLEANS",C1918)),ISNUMBER(SEARCH("KENNER",C1918)),ISNUMBER(SEARCH("HENRY HOWARD",C1918)),ISNUMBER(SEARCH("MISS CLAUDIA",C1918))),"Personal Travel - New Orleans",IF(AND(YEAR(B1918)=2025,MONTH(B1918)=4,OR(ISNUMBER(SEARCH("EXCHANGE RATE",C1918)),ISNUMBER(SEARCH("EXCHG RTE",C1918)))),"Personal Travel - Italy",IFERROR(INDEX('Category Rules'!$B$2:$B$358,MATCH(TRUE,ISNUMBER(SEARCH('Category Rules'!$A$2:$A$358,C1918)),0)),""))))))))</f>
        <v>Personal Travel</v>
      </c>
    </row>
    <row r="1919" spans="1:7" x14ac:dyDescent="0.25">
      <c r="A1919" t="s">
        <v>6</v>
      </c>
      <c r="B1919" s="1">
        <v>45734</v>
      </c>
      <c r="C1919" t="s">
        <v>2051</v>
      </c>
      <c r="D1919">
        <v>-60</v>
      </c>
      <c r="E1919" t="s">
        <v>10</v>
      </c>
      <c r="F1919">
        <v>1540.13</v>
      </c>
      <c r="G1919" t="str" cm="1">
        <f t="array" ref="G1919">IF(AND(ISNUMBER(SEARCH("UBER",C1919)),ISNUMBER(SEARCH("EATS",C1919))),"Uber Eats",IF(LEFT(C1919,6)="CHECK ","Checks Paid",IF(OR(E1919="BILLPAY",ISNUMBER(SEARCH("FRANCHISE TAX",C1919)),ISNUMBER(SEARCH("NEXTLINK",C1919))),"Personal - House Bills",IF(AND(ISNUMBER(SEARCH("PAYMENT FROM",C1919)),ISNUMBER(SEARCH("JOE SAUNDERS",C1919))),"Zelle from Joe Saunders",IF(AND(ISNUMBER(SEARCH("PAYMENT TO",C1919)),ISNUMBER(SEARCH("JOE SAUNDERS",C1919))),"Zelle to Joe Saunders",IF(OR(ISNUMBER(SEARCH("NEW ORLEANS",C1919)),ISNUMBER(SEARCH("KENNER",C1919)),ISNUMBER(SEARCH("HENRY HOWARD",C1919)),ISNUMBER(SEARCH("MISS CLAUDIA",C1919))),"Personal Travel - New Orleans",IF(AND(YEAR(B1919)=2025,MONTH(B1919)=4,OR(ISNUMBER(SEARCH("EXCHANGE RATE",C1919)),ISNUMBER(SEARCH("EXCHG RTE",C1919)))),"Personal Travel - Italy",IFERROR(INDEX('Category Rules'!$B$2:$B$358,MATCH(TRUE,ISNUMBER(SEARCH('Category Rules'!$A$2:$A$358,C1919)),0)),""))))))))</f>
        <v>Personal Travel</v>
      </c>
    </row>
    <row r="1920" spans="1:7" x14ac:dyDescent="0.25">
      <c r="A1920" t="s">
        <v>6</v>
      </c>
      <c r="B1920" s="1">
        <v>45734</v>
      </c>
      <c r="C1920" t="s">
        <v>2052</v>
      </c>
      <c r="D1920">
        <v>-230.43</v>
      </c>
      <c r="E1920" t="s">
        <v>10</v>
      </c>
      <c r="F1920">
        <v>1600.13</v>
      </c>
      <c r="G1920" t="str" cm="1">
        <f t="array" ref="G1920">IF(AND(ISNUMBER(SEARCH("UBER",C1920)),ISNUMBER(SEARCH("EATS",C1920))),"Uber Eats",IF(LEFT(C1920,6)="CHECK ","Checks Paid",IF(OR(E1920="BILLPAY",ISNUMBER(SEARCH("FRANCHISE TAX",C1920)),ISNUMBER(SEARCH("NEXTLINK",C1920))),"Personal - House Bills",IF(AND(ISNUMBER(SEARCH("PAYMENT FROM",C1920)),ISNUMBER(SEARCH("JOE SAUNDERS",C1920))),"Zelle from Joe Saunders",IF(AND(ISNUMBER(SEARCH("PAYMENT TO",C1920)),ISNUMBER(SEARCH("JOE SAUNDERS",C1920))),"Zelle to Joe Saunders",IF(OR(ISNUMBER(SEARCH("NEW ORLEANS",C1920)),ISNUMBER(SEARCH("KENNER",C1920)),ISNUMBER(SEARCH("HENRY HOWARD",C1920)),ISNUMBER(SEARCH("MISS CLAUDIA",C1920))),"Personal Travel - New Orleans",IF(AND(YEAR(B1920)=2025,MONTH(B1920)=4,OR(ISNUMBER(SEARCH("EXCHANGE RATE",C1920)),ISNUMBER(SEARCH("EXCHG RTE",C1920)))),"Personal Travel - Italy",IFERROR(INDEX('Category Rules'!$B$2:$B$358,MATCH(TRUE,ISNUMBER(SEARCH('Category Rules'!$A$2:$A$358,C1920)),0)),""))))))))</f>
        <v>Personal Travel</v>
      </c>
    </row>
    <row r="1921" spans="1:7" x14ac:dyDescent="0.25">
      <c r="A1921" t="s">
        <v>6</v>
      </c>
      <c r="B1921" s="1">
        <v>45734</v>
      </c>
      <c r="C1921" t="s">
        <v>2053</v>
      </c>
      <c r="D1921">
        <v>-4.99</v>
      </c>
      <c r="E1921" t="s">
        <v>10</v>
      </c>
      <c r="F1921">
        <v>1830.56</v>
      </c>
      <c r="G1921" t="str" cm="1">
        <f t="array" ref="G1921">IF(AND(ISNUMBER(SEARCH("UBER",C1921)),ISNUMBER(SEARCH("EATS",C1921))),"Uber Eats",IF(LEFT(C1921,6)="CHECK ","Checks Paid",IF(OR(E1921="BILLPAY",ISNUMBER(SEARCH("FRANCHISE TAX",C1921)),ISNUMBER(SEARCH("NEXTLINK",C1921))),"Personal - House Bills",IF(AND(ISNUMBER(SEARCH("PAYMENT FROM",C1921)),ISNUMBER(SEARCH("JOE SAUNDERS",C1921))),"Zelle from Joe Saunders",IF(AND(ISNUMBER(SEARCH("PAYMENT TO",C1921)),ISNUMBER(SEARCH("JOE SAUNDERS",C1921))),"Zelle to Joe Saunders",IF(OR(ISNUMBER(SEARCH("NEW ORLEANS",C1921)),ISNUMBER(SEARCH("KENNER",C1921)),ISNUMBER(SEARCH("HENRY HOWARD",C1921)),ISNUMBER(SEARCH("MISS CLAUDIA",C1921))),"Personal Travel - New Orleans",IF(AND(YEAR(B1921)=2025,MONTH(B1921)=4,OR(ISNUMBER(SEARCH("EXCHANGE RATE",C1921)),ISNUMBER(SEARCH("EXCHG RTE",C1921)))),"Personal Travel - Italy",IFERROR(INDEX('Category Rules'!$B$2:$B$358,MATCH(TRUE,ISNUMBER(SEARCH('Category Rules'!$A$2:$A$358,C1921)),0)),""))))))))</f>
        <v>Amazon</v>
      </c>
    </row>
    <row r="1922" spans="1:7" x14ac:dyDescent="0.25">
      <c r="A1922" t="s">
        <v>6</v>
      </c>
      <c r="B1922" s="1">
        <v>45733</v>
      </c>
      <c r="C1922" t="s">
        <v>2054</v>
      </c>
      <c r="D1922">
        <v>-13.93</v>
      </c>
      <c r="E1922" t="s">
        <v>10</v>
      </c>
      <c r="F1922">
        <v>1835.55</v>
      </c>
      <c r="G1922" t="str" cm="1">
        <f t="array" ref="G1922">IF(AND(ISNUMBER(SEARCH("UBER",C1922)),ISNUMBER(SEARCH("EATS",C1922))),"Uber Eats",IF(LEFT(C1922,6)="CHECK ","Checks Paid",IF(OR(E1922="BILLPAY",ISNUMBER(SEARCH("FRANCHISE TAX",C1922)),ISNUMBER(SEARCH("NEXTLINK",C1922))),"Personal - House Bills",IF(AND(ISNUMBER(SEARCH("PAYMENT FROM",C1922)),ISNUMBER(SEARCH("JOE SAUNDERS",C1922))),"Zelle from Joe Saunders",IF(AND(ISNUMBER(SEARCH("PAYMENT TO",C1922)),ISNUMBER(SEARCH("JOE SAUNDERS",C1922))),"Zelle to Joe Saunders",IF(OR(ISNUMBER(SEARCH("NEW ORLEANS",C1922)),ISNUMBER(SEARCH("KENNER",C1922)),ISNUMBER(SEARCH("HENRY HOWARD",C1922)),ISNUMBER(SEARCH("MISS CLAUDIA",C1922))),"Personal Travel - New Orleans",IF(AND(YEAR(B1922)=2025,MONTH(B1922)=4,OR(ISNUMBER(SEARCH("EXCHANGE RATE",C1922)),ISNUMBER(SEARCH("EXCHG RTE",C1922)))),"Personal Travel - Italy",IFERROR(INDEX('Category Rules'!$B$2:$B$358,MATCH(TRUE,ISNUMBER(SEARCH('Category Rules'!$A$2:$A$358,C1922)),0)),""))))))))</f>
        <v>Personal - Car</v>
      </c>
    </row>
    <row r="1923" spans="1:7" x14ac:dyDescent="0.25">
      <c r="A1923" t="s">
        <v>6</v>
      </c>
      <c r="B1923" s="1">
        <v>45733</v>
      </c>
      <c r="C1923" t="s">
        <v>2055</v>
      </c>
      <c r="D1923">
        <v>-68.78</v>
      </c>
      <c r="E1923" t="s">
        <v>10</v>
      </c>
      <c r="F1923">
        <v>1849.48</v>
      </c>
      <c r="G1923" t="str" cm="1">
        <f t="array" ref="G1923">IF(AND(ISNUMBER(SEARCH("UBER",C1923)),ISNUMBER(SEARCH("EATS",C1923))),"Uber Eats",IF(LEFT(C1923,6)="CHECK ","Checks Paid",IF(OR(E1923="BILLPAY",ISNUMBER(SEARCH("FRANCHISE TAX",C1923)),ISNUMBER(SEARCH("NEXTLINK",C1923))),"Personal - House Bills",IF(AND(ISNUMBER(SEARCH("PAYMENT FROM",C1923)),ISNUMBER(SEARCH("JOE SAUNDERS",C1923))),"Zelle from Joe Saunders",IF(AND(ISNUMBER(SEARCH("PAYMENT TO",C1923)),ISNUMBER(SEARCH("JOE SAUNDERS",C1923))),"Zelle to Joe Saunders",IF(OR(ISNUMBER(SEARCH("NEW ORLEANS",C1923)),ISNUMBER(SEARCH("KENNER",C1923)),ISNUMBER(SEARCH("HENRY HOWARD",C1923)),ISNUMBER(SEARCH("MISS CLAUDIA",C1923))),"Personal Travel - New Orleans",IF(AND(YEAR(B1923)=2025,MONTH(B1923)=4,OR(ISNUMBER(SEARCH("EXCHANGE RATE",C1923)),ISNUMBER(SEARCH("EXCHG RTE",C1923)))),"Personal Travel - Italy",IFERROR(INDEX('Category Rules'!$B$2:$B$358,MATCH(TRUE,ISNUMBER(SEARCH('Category Rules'!$A$2:$A$358,C1923)),0)),""))))))))</f>
        <v>Uber Eats</v>
      </c>
    </row>
    <row r="1924" spans="1:7" x14ac:dyDescent="0.25">
      <c r="A1924" t="s">
        <v>6</v>
      </c>
      <c r="B1924" s="1">
        <v>45733</v>
      </c>
      <c r="C1924" t="s">
        <v>2056</v>
      </c>
      <c r="D1924">
        <v>-130.28</v>
      </c>
      <c r="E1924" t="s">
        <v>10</v>
      </c>
      <c r="F1924">
        <v>1918.26</v>
      </c>
      <c r="G1924" t="str" cm="1">
        <f t="array" ref="G1924">IF(AND(ISNUMBER(SEARCH("UBER",C1924)),ISNUMBER(SEARCH("EATS",C1924))),"Uber Eats",IF(LEFT(C1924,6)="CHECK ","Checks Paid",IF(OR(E1924="BILLPAY",ISNUMBER(SEARCH("FRANCHISE TAX",C1924)),ISNUMBER(SEARCH("NEXTLINK",C1924))),"Personal - House Bills",IF(AND(ISNUMBER(SEARCH("PAYMENT FROM",C1924)),ISNUMBER(SEARCH("JOE SAUNDERS",C1924))),"Zelle from Joe Saunders",IF(AND(ISNUMBER(SEARCH("PAYMENT TO",C1924)),ISNUMBER(SEARCH("JOE SAUNDERS",C1924))),"Zelle to Joe Saunders",IF(OR(ISNUMBER(SEARCH("NEW ORLEANS",C1924)),ISNUMBER(SEARCH("KENNER",C1924)),ISNUMBER(SEARCH("HENRY HOWARD",C1924)),ISNUMBER(SEARCH("MISS CLAUDIA",C1924))),"Personal Travel - New Orleans",IF(AND(YEAR(B1924)=2025,MONTH(B1924)=4,OR(ISNUMBER(SEARCH("EXCHANGE RATE",C1924)),ISNUMBER(SEARCH("EXCHG RTE",C1924)))),"Personal Travel - Italy",IFERROR(INDEX('Category Rules'!$B$2:$B$358,MATCH(TRUE,ISNUMBER(SEARCH('Category Rules'!$A$2:$A$358,C1924)),0)),""))))))))</f>
        <v>Personal - Health</v>
      </c>
    </row>
    <row r="1925" spans="1:7" x14ac:dyDescent="0.25">
      <c r="A1925" t="s">
        <v>6</v>
      </c>
      <c r="B1925" s="1">
        <v>45733</v>
      </c>
      <c r="C1925" t="s">
        <v>2057</v>
      </c>
      <c r="D1925">
        <v>-100</v>
      </c>
      <c r="E1925" t="s">
        <v>39</v>
      </c>
      <c r="F1925">
        <v>2048.54</v>
      </c>
      <c r="G1925" t="str" cm="1">
        <f t="array" ref="G1925">IF(AND(ISNUMBER(SEARCH("UBER",C1925)),ISNUMBER(SEARCH("EATS",C1925))),"Uber Eats",IF(LEFT(C1925,6)="CHECK ","Checks Paid",IF(OR(E1925="BILLPAY",ISNUMBER(SEARCH("FRANCHISE TAX",C1925)),ISNUMBER(SEARCH("NEXTLINK",C1925))),"Personal - House Bills",IF(AND(ISNUMBER(SEARCH("PAYMENT FROM",C1925)),ISNUMBER(SEARCH("JOE SAUNDERS",C1925))),"Zelle from Joe Saunders",IF(AND(ISNUMBER(SEARCH("PAYMENT TO",C1925)),ISNUMBER(SEARCH("JOE SAUNDERS",C1925))),"Zelle to Joe Saunders",IF(OR(ISNUMBER(SEARCH("NEW ORLEANS",C1925)),ISNUMBER(SEARCH("KENNER",C1925)),ISNUMBER(SEARCH("HENRY HOWARD",C1925)),ISNUMBER(SEARCH("MISS CLAUDIA",C1925))),"Personal Travel - New Orleans",IF(AND(YEAR(B1925)=2025,MONTH(B1925)=4,OR(ISNUMBER(SEARCH("EXCHANGE RATE",C1925)),ISNUMBER(SEARCH("EXCHG RTE",C1925)))),"Personal Travel - Italy",IFERROR(INDEX('Category Rules'!$B$2:$B$358,MATCH(TRUE,ISNUMBER(SEARCH('Category Rules'!$A$2:$A$358,C1925)),0)),""))))))))</f>
        <v>Zelle to Jeff Seider</v>
      </c>
    </row>
    <row r="1926" spans="1:7" x14ac:dyDescent="0.25">
      <c r="A1926" t="s">
        <v>6</v>
      </c>
      <c r="B1926" s="1">
        <v>45733</v>
      </c>
      <c r="C1926" t="s">
        <v>2058</v>
      </c>
      <c r="D1926">
        <v>-94.99</v>
      </c>
      <c r="E1926" t="s">
        <v>10</v>
      </c>
      <c r="F1926">
        <v>2148.54</v>
      </c>
      <c r="G1926" t="str" cm="1">
        <f t="array" ref="G1926">IF(AND(ISNUMBER(SEARCH("UBER",C1926)),ISNUMBER(SEARCH("EATS",C1926))),"Uber Eats",IF(LEFT(C1926,6)="CHECK ","Checks Paid",IF(OR(E1926="BILLPAY",ISNUMBER(SEARCH("FRANCHISE TAX",C1926)),ISNUMBER(SEARCH("NEXTLINK",C1926))),"Personal - House Bills",IF(AND(ISNUMBER(SEARCH("PAYMENT FROM",C1926)),ISNUMBER(SEARCH("JOE SAUNDERS",C1926))),"Zelle from Joe Saunders",IF(AND(ISNUMBER(SEARCH("PAYMENT TO",C1926)),ISNUMBER(SEARCH("JOE SAUNDERS",C1926))),"Zelle to Joe Saunders",IF(OR(ISNUMBER(SEARCH("NEW ORLEANS",C1926)),ISNUMBER(SEARCH("KENNER",C1926)),ISNUMBER(SEARCH("HENRY HOWARD",C1926)),ISNUMBER(SEARCH("MISS CLAUDIA",C1926))),"Personal Travel - New Orleans",IF(AND(YEAR(B1926)=2025,MONTH(B1926)=4,OR(ISNUMBER(SEARCH("EXCHANGE RATE",C1926)),ISNUMBER(SEARCH("EXCHG RTE",C1926)))),"Personal Travel - Italy",IFERROR(INDEX('Category Rules'!$B$2:$B$358,MATCH(TRUE,ISNUMBER(SEARCH('Category Rules'!$A$2:$A$358,C1926)),0)),""))))))))</f>
        <v>Apple</v>
      </c>
    </row>
    <row r="1927" spans="1:7" x14ac:dyDescent="0.25">
      <c r="A1927" t="s">
        <v>6</v>
      </c>
      <c r="B1927" s="1">
        <v>45733</v>
      </c>
      <c r="C1927" t="s">
        <v>2059</v>
      </c>
      <c r="D1927">
        <v>-48.77</v>
      </c>
      <c r="E1927" t="s">
        <v>10</v>
      </c>
      <c r="F1927">
        <v>2243.5300000000002</v>
      </c>
      <c r="G1927" t="str" cm="1">
        <f t="array" ref="G1927">IF(AND(ISNUMBER(SEARCH("UBER",C1927)),ISNUMBER(SEARCH("EATS",C1927))),"Uber Eats",IF(LEFT(C1927,6)="CHECK ","Checks Paid",IF(OR(E1927="BILLPAY",ISNUMBER(SEARCH("FRANCHISE TAX",C1927)),ISNUMBER(SEARCH("NEXTLINK",C1927))),"Personal - House Bills",IF(AND(ISNUMBER(SEARCH("PAYMENT FROM",C1927)),ISNUMBER(SEARCH("JOE SAUNDERS",C1927))),"Zelle from Joe Saunders",IF(AND(ISNUMBER(SEARCH("PAYMENT TO",C1927)),ISNUMBER(SEARCH("JOE SAUNDERS",C1927))),"Zelle to Joe Saunders",IF(OR(ISNUMBER(SEARCH("NEW ORLEANS",C1927)),ISNUMBER(SEARCH("KENNER",C1927)),ISNUMBER(SEARCH("HENRY HOWARD",C1927)),ISNUMBER(SEARCH("MISS CLAUDIA",C1927))),"Personal Travel - New Orleans",IF(AND(YEAR(B1927)=2025,MONTH(B1927)=4,OR(ISNUMBER(SEARCH("EXCHANGE RATE",C1927)),ISNUMBER(SEARCH("EXCHG RTE",C1927)))),"Personal Travel - Italy",IFERROR(INDEX('Category Rules'!$B$2:$B$358,MATCH(TRUE,ISNUMBER(SEARCH('Category Rules'!$A$2:$A$358,C1927)),0)),""))))))))</f>
        <v>Personal - Uber</v>
      </c>
    </row>
    <row r="1928" spans="1:7" x14ac:dyDescent="0.25">
      <c r="A1928" t="s">
        <v>6</v>
      </c>
      <c r="B1928" s="1">
        <v>45733</v>
      </c>
      <c r="C1928" t="s">
        <v>2060</v>
      </c>
      <c r="D1928">
        <v>-1503.13</v>
      </c>
      <c r="E1928" t="s">
        <v>10</v>
      </c>
      <c r="F1928">
        <v>2292.3000000000002</v>
      </c>
      <c r="G1928" t="str" cm="1">
        <f t="array" ref="G1928">IF(AND(ISNUMBER(SEARCH("UBER",C1928)),ISNUMBER(SEARCH("EATS",C1928))),"Uber Eats",IF(LEFT(C1928,6)="CHECK ","Checks Paid",IF(OR(E1928="BILLPAY",ISNUMBER(SEARCH("FRANCHISE TAX",C1928)),ISNUMBER(SEARCH("NEXTLINK",C1928))),"Personal - House Bills",IF(AND(ISNUMBER(SEARCH("PAYMENT FROM",C1928)),ISNUMBER(SEARCH("JOE SAUNDERS",C1928))),"Zelle from Joe Saunders",IF(AND(ISNUMBER(SEARCH("PAYMENT TO",C1928)),ISNUMBER(SEARCH("JOE SAUNDERS",C1928))),"Zelle to Joe Saunders",IF(OR(ISNUMBER(SEARCH("NEW ORLEANS",C1928)),ISNUMBER(SEARCH("KENNER",C1928)),ISNUMBER(SEARCH("HENRY HOWARD",C1928)),ISNUMBER(SEARCH("MISS CLAUDIA",C1928))),"Personal Travel - New Orleans",IF(AND(YEAR(B1928)=2025,MONTH(B1928)=4,OR(ISNUMBER(SEARCH("EXCHANGE RATE",C1928)),ISNUMBER(SEARCH("EXCHG RTE",C1928)))),"Personal Travel - Italy",IFERROR(INDEX('Category Rules'!$B$2:$B$358,MATCH(TRUE,ISNUMBER(SEARCH('Category Rules'!$A$2:$A$358,C1928)),0)),""))))))))</f>
        <v>Personal - Food</v>
      </c>
    </row>
    <row r="1929" spans="1:7" x14ac:dyDescent="0.25">
      <c r="A1929" t="s">
        <v>6</v>
      </c>
      <c r="B1929" s="1">
        <v>45733</v>
      </c>
      <c r="C1929" t="s">
        <v>2061</v>
      </c>
      <c r="D1929">
        <v>-221.3</v>
      </c>
      <c r="E1929" t="s">
        <v>10</v>
      </c>
      <c r="F1929">
        <v>3795.43</v>
      </c>
      <c r="G1929" t="str" cm="1">
        <f t="array" ref="G1929">IF(AND(ISNUMBER(SEARCH("UBER",C1929)),ISNUMBER(SEARCH("EATS",C1929))),"Uber Eats",IF(LEFT(C1929,6)="CHECK ","Checks Paid",IF(OR(E1929="BILLPAY",ISNUMBER(SEARCH("FRANCHISE TAX",C1929)),ISNUMBER(SEARCH("NEXTLINK",C1929))),"Personal - House Bills",IF(AND(ISNUMBER(SEARCH("PAYMENT FROM",C1929)),ISNUMBER(SEARCH("JOE SAUNDERS",C1929))),"Zelle from Joe Saunders",IF(AND(ISNUMBER(SEARCH("PAYMENT TO",C1929)),ISNUMBER(SEARCH("JOE SAUNDERS",C1929))),"Zelle to Joe Saunders",IF(OR(ISNUMBER(SEARCH("NEW ORLEANS",C1929)),ISNUMBER(SEARCH("KENNER",C1929)),ISNUMBER(SEARCH("HENRY HOWARD",C1929)),ISNUMBER(SEARCH("MISS CLAUDIA",C1929))),"Personal Travel - New Orleans",IF(AND(YEAR(B1929)=2025,MONTH(B1929)=4,OR(ISNUMBER(SEARCH("EXCHANGE RATE",C1929)),ISNUMBER(SEARCH("EXCHG RTE",C1929)))),"Personal Travel - Italy",IFERROR(INDEX('Category Rules'!$B$2:$B$358,MATCH(TRUE,ISNUMBER(SEARCH('Category Rules'!$A$2:$A$358,C1929)),0)),""))))))))</f>
        <v>Uber Eats</v>
      </c>
    </row>
    <row r="1930" spans="1:7" x14ac:dyDescent="0.25">
      <c r="A1930" t="s">
        <v>6</v>
      </c>
      <c r="B1930" s="1">
        <v>45733</v>
      </c>
      <c r="C1930" t="s">
        <v>2062</v>
      </c>
      <c r="D1930">
        <v>-16.989999999999998</v>
      </c>
      <c r="E1930" t="s">
        <v>10</v>
      </c>
      <c r="F1930">
        <v>4016.73</v>
      </c>
      <c r="G1930" t="str" cm="1">
        <f t="array" ref="G1930">IF(AND(ISNUMBER(SEARCH("UBER",C1930)),ISNUMBER(SEARCH("EATS",C1930))),"Uber Eats",IF(LEFT(C1930,6)="CHECK ","Checks Paid",IF(OR(E1930="BILLPAY",ISNUMBER(SEARCH("FRANCHISE TAX",C1930)),ISNUMBER(SEARCH("NEXTLINK",C1930))),"Personal - House Bills",IF(AND(ISNUMBER(SEARCH("PAYMENT FROM",C1930)),ISNUMBER(SEARCH("JOE SAUNDERS",C1930))),"Zelle from Joe Saunders",IF(AND(ISNUMBER(SEARCH("PAYMENT TO",C1930)),ISNUMBER(SEARCH("JOE SAUNDERS",C1930))),"Zelle to Joe Saunders",IF(OR(ISNUMBER(SEARCH("NEW ORLEANS",C1930)),ISNUMBER(SEARCH("KENNER",C1930)),ISNUMBER(SEARCH("HENRY HOWARD",C1930)),ISNUMBER(SEARCH("MISS CLAUDIA",C1930))),"Personal Travel - New Orleans",IF(AND(YEAR(B1930)=2025,MONTH(B1930)=4,OR(ISNUMBER(SEARCH("EXCHANGE RATE",C1930)),ISNUMBER(SEARCH("EXCHG RTE",C1930)))),"Personal Travel - Italy",IFERROR(INDEX('Category Rules'!$B$2:$B$358,MATCH(TRUE,ISNUMBER(SEARCH('Category Rules'!$A$2:$A$358,C1930)),0)),""))))))))</f>
        <v>Amazon</v>
      </c>
    </row>
    <row r="1931" spans="1:7" x14ac:dyDescent="0.25">
      <c r="A1931" t="s">
        <v>6</v>
      </c>
      <c r="B1931" s="1">
        <v>45733</v>
      </c>
      <c r="C1931" t="s">
        <v>2063</v>
      </c>
      <c r="D1931">
        <v>-16.41</v>
      </c>
      <c r="E1931" t="s">
        <v>10</v>
      </c>
      <c r="F1931">
        <v>4033.72</v>
      </c>
      <c r="G1931" t="str" cm="1">
        <f t="array" ref="G1931">IF(AND(ISNUMBER(SEARCH("UBER",C1931)),ISNUMBER(SEARCH("EATS",C1931))),"Uber Eats",IF(LEFT(C1931,6)="CHECK ","Checks Paid",IF(OR(E1931="BILLPAY",ISNUMBER(SEARCH("FRANCHISE TAX",C1931)),ISNUMBER(SEARCH("NEXTLINK",C1931))),"Personal - House Bills",IF(AND(ISNUMBER(SEARCH("PAYMENT FROM",C1931)),ISNUMBER(SEARCH("JOE SAUNDERS",C1931))),"Zelle from Joe Saunders",IF(AND(ISNUMBER(SEARCH("PAYMENT TO",C1931)),ISNUMBER(SEARCH("JOE SAUNDERS",C1931))),"Zelle to Joe Saunders",IF(OR(ISNUMBER(SEARCH("NEW ORLEANS",C1931)),ISNUMBER(SEARCH("KENNER",C1931)),ISNUMBER(SEARCH("HENRY HOWARD",C1931)),ISNUMBER(SEARCH("MISS CLAUDIA",C1931))),"Personal Travel - New Orleans",IF(AND(YEAR(B1931)=2025,MONTH(B1931)=4,OR(ISNUMBER(SEARCH("EXCHANGE RATE",C1931)),ISNUMBER(SEARCH("EXCHG RTE",C1931)))),"Personal Travel - Italy",IFERROR(INDEX('Category Rules'!$B$2:$B$358,MATCH(TRUE,ISNUMBER(SEARCH('Category Rules'!$A$2:$A$358,C1931)),0)),""))))))))</f>
        <v>Amazon</v>
      </c>
    </row>
    <row r="1932" spans="1:7" x14ac:dyDescent="0.25">
      <c r="A1932" t="s">
        <v>6</v>
      </c>
      <c r="B1932" s="1">
        <v>45733</v>
      </c>
      <c r="C1932" t="s">
        <v>2064</v>
      </c>
      <c r="D1932">
        <v>-59.99</v>
      </c>
      <c r="E1932" t="s">
        <v>10</v>
      </c>
      <c r="F1932">
        <v>4050.13</v>
      </c>
      <c r="G1932" t="str" cm="1">
        <f t="array" ref="G1932">IF(AND(ISNUMBER(SEARCH("UBER",C1932)),ISNUMBER(SEARCH("EATS",C1932))),"Uber Eats",IF(LEFT(C1932,6)="CHECK ","Checks Paid",IF(OR(E1932="BILLPAY",ISNUMBER(SEARCH("FRANCHISE TAX",C1932)),ISNUMBER(SEARCH("NEXTLINK",C1932))),"Personal - House Bills",IF(AND(ISNUMBER(SEARCH("PAYMENT FROM",C1932)),ISNUMBER(SEARCH("JOE SAUNDERS",C1932))),"Zelle from Joe Saunders",IF(AND(ISNUMBER(SEARCH("PAYMENT TO",C1932)),ISNUMBER(SEARCH("JOE SAUNDERS",C1932))),"Zelle to Joe Saunders",IF(OR(ISNUMBER(SEARCH("NEW ORLEANS",C1932)),ISNUMBER(SEARCH("KENNER",C1932)),ISNUMBER(SEARCH("HENRY HOWARD",C1932)),ISNUMBER(SEARCH("MISS CLAUDIA",C1932))),"Personal Travel - New Orleans",IF(AND(YEAR(B1932)=2025,MONTH(B1932)=4,OR(ISNUMBER(SEARCH("EXCHANGE RATE",C1932)),ISNUMBER(SEARCH("EXCHG RTE",C1932)))),"Personal Travel - Italy",IFERROR(INDEX('Category Rules'!$B$2:$B$358,MATCH(TRUE,ISNUMBER(SEARCH('Category Rules'!$A$2:$A$358,C1932)),0)),""))))))))</f>
        <v>Apple</v>
      </c>
    </row>
    <row r="1933" spans="1:7" x14ac:dyDescent="0.25">
      <c r="A1933" t="s">
        <v>6</v>
      </c>
      <c r="B1933" s="1">
        <v>45733</v>
      </c>
      <c r="C1933" t="s">
        <v>2065</v>
      </c>
      <c r="D1933">
        <v>-80</v>
      </c>
      <c r="E1933" t="s">
        <v>10</v>
      </c>
      <c r="F1933">
        <v>4110.12</v>
      </c>
      <c r="G1933" t="str" cm="1">
        <f t="array" ref="G1933">IF(AND(ISNUMBER(SEARCH("UBER",C1933)),ISNUMBER(SEARCH("EATS",C1933))),"Uber Eats",IF(LEFT(C1933,6)="CHECK ","Checks Paid",IF(OR(E1933="BILLPAY",ISNUMBER(SEARCH("FRANCHISE TAX",C1933)),ISNUMBER(SEARCH("NEXTLINK",C1933))),"Personal - House Bills",IF(AND(ISNUMBER(SEARCH("PAYMENT FROM",C1933)),ISNUMBER(SEARCH("JOE SAUNDERS",C1933))),"Zelle from Joe Saunders",IF(AND(ISNUMBER(SEARCH("PAYMENT TO",C1933)),ISNUMBER(SEARCH("JOE SAUNDERS",C1933))),"Zelle to Joe Saunders",IF(OR(ISNUMBER(SEARCH("NEW ORLEANS",C1933)),ISNUMBER(SEARCH("KENNER",C1933)),ISNUMBER(SEARCH("HENRY HOWARD",C1933)),ISNUMBER(SEARCH("MISS CLAUDIA",C1933))),"Personal Travel - New Orleans",IF(AND(YEAR(B1933)=2025,MONTH(B1933)=4,OR(ISNUMBER(SEARCH("EXCHANGE RATE",C1933)),ISNUMBER(SEARCH("EXCHG RTE",C1933)))),"Personal Travel - Italy",IFERROR(INDEX('Category Rules'!$B$2:$B$358,MATCH(TRUE,ISNUMBER(SEARCH('Category Rules'!$A$2:$A$358,C1933)),0)),""))))))))</f>
        <v>Personal Travel</v>
      </c>
    </row>
    <row r="1934" spans="1:7" x14ac:dyDescent="0.25">
      <c r="A1934" t="s">
        <v>44</v>
      </c>
      <c r="B1934" s="1">
        <v>45733</v>
      </c>
      <c r="C1934" t="s">
        <v>2066</v>
      </c>
      <c r="D1934">
        <v>2000</v>
      </c>
      <c r="E1934" t="s">
        <v>73</v>
      </c>
      <c r="F1934">
        <v>4190.12</v>
      </c>
      <c r="G1934" t="str" cm="1">
        <f t="array" ref="G1934">IF(AND(ISNUMBER(SEARCH("UBER",C1934)),ISNUMBER(SEARCH("EATS",C1934))),"Uber Eats",IF(LEFT(C1934,6)="CHECK ","Checks Paid",IF(OR(E1934="BILLPAY",ISNUMBER(SEARCH("FRANCHISE TAX",C1934)),ISNUMBER(SEARCH("NEXTLINK",C1934))),"Personal - House Bills",IF(AND(ISNUMBER(SEARCH("PAYMENT FROM",C1934)),ISNUMBER(SEARCH("JOE SAUNDERS",C1934))),"Zelle from Joe Saunders",IF(AND(ISNUMBER(SEARCH("PAYMENT TO",C1934)),ISNUMBER(SEARCH("JOE SAUNDERS",C1934))),"Zelle to Joe Saunders",IF(OR(ISNUMBER(SEARCH("NEW ORLEANS",C1934)),ISNUMBER(SEARCH("KENNER",C1934)),ISNUMBER(SEARCH("HENRY HOWARD",C1934)),ISNUMBER(SEARCH("MISS CLAUDIA",C1934))),"Personal Travel - New Orleans",IF(AND(YEAR(B1934)=2025,MONTH(B1934)=4,OR(ISNUMBER(SEARCH("EXCHANGE RATE",C1934)),ISNUMBER(SEARCH("EXCHG RTE",C1934)))),"Personal Travel - Italy",IFERROR(INDEX('Category Rules'!$B$2:$B$358,MATCH(TRUE,ISNUMBER(SEARCH('Category Rules'!$A$2:$A$358,C1934)),0)),""))))))))</f>
        <v>Transfer from DWG Capital Group</v>
      </c>
    </row>
    <row r="1935" spans="1:7" x14ac:dyDescent="0.25">
      <c r="A1935" t="s">
        <v>6</v>
      </c>
      <c r="B1935" s="1">
        <v>45730</v>
      </c>
      <c r="C1935" t="s">
        <v>2067</v>
      </c>
      <c r="D1935">
        <v>-39.4</v>
      </c>
      <c r="E1935" t="s">
        <v>10</v>
      </c>
      <c r="F1935">
        <v>2190.12</v>
      </c>
      <c r="G1935" t="str" cm="1">
        <f t="array" ref="G1935">IF(AND(ISNUMBER(SEARCH("UBER",C1935)),ISNUMBER(SEARCH("EATS",C1935))),"Uber Eats",IF(LEFT(C1935,6)="CHECK ","Checks Paid",IF(OR(E1935="BILLPAY",ISNUMBER(SEARCH("FRANCHISE TAX",C1935)),ISNUMBER(SEARCH("NEXTLINK",C1935))),"Personal - House Bills",IF(AND(ISNUMBER(SEARCH("PAYMENT FROM",C1935)),ISNUMBER(SEARCH("JOE SAUNDERS",C1935))),"Zelle from Joe Saunders",IF(AND(ISNUMBER(SEARCH("PAYMENT TO",C1935)),ISNUMBER(SEARCH("JOE SAUNDERS",C1935))),"Zelle to Joe Saunders",IF(OR(ISNUMBER(SEARCH("NEW ORLEANS",C1935)),ISNUMBER(SEARCH("KENNER",C1935)),ISNUMBER(SEARCH("HENRY HOWARD",C1935)),ISNUMBER(SEARCH("MISS CLAUDIA",C1935))),"Personal Travel - New Orleans",IF(AND(YEAR(B1935)=2025,MONTH(B1935)=4,OR(ISNUMBER(SEARCH("EXCHANGE RATE",C1935)),ISNUMBER(SEARCH("EXCHG RTE",C1935)))),"Personal Travel - Italy",IFERROR(INDEX('Category Rules'!$B$2:$B$358,MATCH(TRUE,ISNUMBER(SEARCH('Category Rules'!$A$2:$A$358,C1935)),0)),""))))))))</f>
        <v>Amazon</v>
      </c>
    </row>
    <row r="1936" spans="1:7" x14ac:dyDescent="0.25">
      <c r="A1936" t="s">
        <v>6</v>
      </c>
      <c r="B1936" s="1">
        <v>45730</v>
      </c>
      <c r="C1936" t="s">
        <v>2068</v>
      </c>
      <c r="D1936">
        <v>-31.12</v>
      </c>
      <c r="E1936" t="s">
        <v>10</v>
      </c>
      <c r="F1936">
        <v>2229.52</v>
      </c>
      <c r="G1936" t="str" cm="1">
        <f t="array" ref="G1936">IF(AND(ISNUMBER(SEARCH("UBER",C1936)),ISNUMBER(SEARCH("EATS",C1936))),"Uber Eats",IF(LEFT(C1936,6)="CHECK ","Checks Paid",IF(OR(E1936="BILLPAY",ISNUMBER(SEARCH("FRANCHISE TAX",C1936)),ISNUMBER(SEARCH("NEXTLINK",C1936))),"Personal - House Bills",IF(AND(ISNUMBER(SEARCH("PAYMENT FROM",C1936)),ISNUMBER(SEARCH("JOE SAUNDERS",C1936))),"Zelle from Joe Saunders",IF(AND(ISNUMBER(SEARCH("PAYMENT TO",C1936)),ISNUMBER(SEARCH("JOE SAUNDERS",C1936))),"Zelle to Joe Saunders",IF(OR(ISNUMBER(SEARCH("NEW ORLEANS",C1936)),ISNUMBER(SEARCH("KENNER",C1936)),ISNUMBER(SEARCH("HENRY HOWARD",C1936)),ISNUMBER(SEARCH("MISS CLAUDIA",C1936))),"Personal Travel - New Orleans",IF(AND(YEAR(B1936)=2025,MONTH(B1936)=4,OR(ISNUMBER(SEARCH("EXCHANGE RATE",C1936)),ISNUMBER(SEARCH("EXCHG RTE",C1936)))),"Personal Travel - Italy",IFERROR(INDEX('Category Rules'!$B$2:$B$358,MATCH(TRUE,ISNUMBER(SEARCH('Category Rules'!$A$2:$A$358,C1936)),0)),""))))))))</f>
        <v>Amazon</v>
      </c>
    </row>
    <row r="1937" spans="1:7" x14ac:dyDescent="0.25">
      <c r="A1937" t="s">
        <v>6</v>
      </c>
      <c r="B1937" s="1">
        <v>45730</v>
      </c>
      <c r="C1937" t="s">
        <v>2069</v>
      </c>
      <c r="D1937">
        <v>-70</v>
      </c>
      <c r="E1937" t="s">
        <v>10</v>
      </c>
      <c r="F1937">
        <v>2260.64</v>
      </c>
      <c r="G1937" t="str" cm="1">
        <f t="array" ref="G1937">IF(AND(ISNUMBER(SEARCH("UBER",C1937)),ISNUMBER(SEARCH("EATS",C1937))),"Uber Eats",IF(LEFT(C1937,6)="CHECK ","Checks Paid",IF(OR(E1937="BILLPAY",ISNUMBER(SEARCH("FRANCHISE TAX",C1937)),ISNUMBER(SEARCH("NEXTLINK",C1937))),"Personal - House Bills",IF(AND(ISNUMBER(SEARCH("PAYMENT FROM",C1937)),ISNUMBER(SEARCH("JOE SAUNDERS",C1937))),"Zelle from Joe Saunders",IF(AND(ISNUMBER(SEARCH("PAYMENT TO",C1937)),ISNUMBER(SEARCH("JOE SAUNDERS",C1937))),"Zelle to Joe Saunders",IF(OR(ISNUMBER(SEARCH("NEW ORLEANS",C1937)),ISNUMBER(SEARCH("KENNER",C1937)),ISNUMBER(SEARCH("HENRY HOWARD",C1937)),ISNUMBER(SEARCH("MISS CLAUDIA",C1937))),"Personal Travel - New Orleans",IF(AND(YEAR(B1937)=2025,MONTH(B1937)=4,OR(ISNUMBER(SEARCH("EXCHANGE RATE",C1937)),ISNUMBER(SEARCH("EXCHG RTE",C1937)))),"Personal Travel - Italy",IFERROR(INDEX('Category Rules'!$B$2:$B$358,MATCH(TRUE,ISNUMBER(SEARCH('Category Rules'!$A$2:$A$358,C1937)),0)),""))))))))</f>
        <v>Personal - Clothing</v>
      </c>
    </row>
    <row r="1938" spans="1:7" x14ac:dyDescent="0.25">
      <c r="A1938" t="s">
        <v>6</v>
      </c>
      <c r="B1938" s="1">
        <v>45730</v>
      </c>
      <c r="C1938" t="s">
        <v>2070</v>
      </c>
      <c r="D1938">
        <v>-109.58</v>
      </c>
      <c r="E1938" t="s">
        <v>10</v>
      </c>
      <c r="F1938">
        <v>2330.64</v>
      </c>
      <c r="G1938" t="str" cm="1">
        <f t="array" ref="G1938">IF(AND(ISNUMBER(SEARCH("UBER",C1938)),ISNUMBER(SEARCH("EATS",C1938))),"Uber Eats",IF(LEFT(C1938,6)="CHECK ","Checks Paid",IF(OR(E1938="BILLPAY",ISNUMBER(SEARCH("FRANCHISE TAX",C1938)),ISNUMBER(SEARCH("NEXTLINK",C1938))),"Personal - House Bills",IF(AND(ISNUMBER(SEARCH("PAYMENT FROM",C1938)),ISNUMBER(SEARCH("JOE SAUNDERS",C1938))),"Zelle from Joe Saunders",IF(AND(ISNUMBER(SEARCH("PAYMENT TO",C1938)),ISNUMBER(SEARCH("JOE SAUNDERS",C1938))),"Zelle to Joe Saunders",IF(OR(ISNUMBER(SEARCH("NEW ORLEANS",C1938)),ISNUMBER(SEARCH("KENNER",C1938)),ISNUMBER(SEARCH("HENRY HOWARD",C1938)),ISNUMBER(SEARCH("MISS CLAUDIA",C1938))),"Personal Travel - New Orleans",IF(AND(YEAR(B1938)=2025,MONTH(B1938)=4,OR(ISNUMBER(SEARCH("EXCHANGE RATE",C1938)),ISNUMBER(SEARCH("EXCHG RTE",C1938)))),"Personal Travel - Italy",IFERROR(INDEX('Category Rules'!$B$2:$B$358,MATCH(TRUE,ISNUMBER(SEARCH('Category Rules'!$A$2:$A$358,C1938)),0)),""))))))))</f>
        <v>Personal - Entertainment</v>
      </c>
    </row>
    <row r="1939" spans="1:7" x14ac:dyDescent="0.25">
      <c r="A1939" t="s">
        <v>6</v>
      </c>
      <c r="B1939" s="1">
        <v>45730</v>
      </c>
      <c r="C1939" t="s">
        <v>2071</v>
      </c>
      <c r="D1939">
        <v>-60.2</v>
      </c>
      <c r="E1939" t="s">
        <v>10</v>
      </c>
      <c r="F1939">
        <v>2440.2199999999998</v>
      </c>
      <c r="G1939" t="str" cm="1">
        <f t="array" ref="G1939">IF(AND(ISNUMBER(SEARCH("UBER",C1939)),ISNUMBER(SEARCH("EATS",C1939))),"Uber Eats",IF(LEFT(C1939,6)="CHECK ","Checks Paid",IF(OR(E1939="BILLPAY",ISNUMBER(SEARCH("FRANCHISE TAX",C1939)),ISNUMBER(SEARCH("NEXTLINK",C1939))),"Personal - House Bills",IF(AND(ISNUMBER(SEARCH("PAYMENT FROM",C1939)),ISNUMBER(SEARCH("JOE SAUNDERS",C1939))),"Zelle from Joe Saunders",IF(AND(ISNUMBER(SEARCH("PAYMENT TO",C1939)),ISNUMBER(SEARCH("JOE SAUNDERS",C1939))),"Zelle to Joe Saunders",IF(OR(ISNUMBER(SEARCH("NEW ORLEANS",C1939)),ISNUMBER(SEARCH("KENNER",C1939)),ISNUMBER(SEARCH("HENRY HOWARD",C1939)),ISNUMBER(SEARCH("MISS CLAUDIA",C1939))),"Personal Travel - New Orleans",IF(AND(YEAR(B1939)=2025,MONTH(B1939)=4,OR(ISNUMBER(SEARCH("EXCHANGE RATE",C1939)),ISNUMBER(SEARCH("EXCHG RTE",C1939)))),"Personal Travel - Italy",IFERROR(INDEX('Category Rules'!$B$2:$B$358,MATCH(TRUE,ISNUMBER(SEARCH('Category Rules'!$A$2:$A$358,C1939)),0)),""))))))))</f>
        <v>Amazon</v>
      </c>
    </row>
    <row r="1940" spans="1:7" x14ac:dyDescent="0.25">
      <c r="A1940" t="s">
        <v>6</v>
      </c>
      <c r="B1940" s="1">
        <v>45730</v>
      </c>
      <c r="C1940" t="s">
        <v>2072</v>
      </c>
      <c r="D1940">
        <v>-375</v>
      </c>
      <c r="E1940" t="s">
        <v>10</v>
      </c>
      <c r="F1940">
        <v>2500.42</v>
      </c>
      <c r="G1940" t="str" cm="1">
        <f t="array" ref="G1940">IF(AND(ISNUMBER(SEARCH("UBER",C1940)),ISNUMBER(SEARCH("EATS",C1940))),"Uber Eats",IF(LEFT(C1940,6)="CHECK ","Checks Paid",IF(OR(E1940="BILLPAY",ISNUMBER(SEARCH("FRANCHISE TAX",C1940)),ISNUMBER(SEARCH("NEXTLINK",C1940))),"Personal - House Bills",IF(AND(ISNUMBER(SEARCH("PAYMENT FROM",C1940)),ISNUMBER(SEARCH("JOE SAUNDERS",C1940))),"Zelle from Joe Saunders",IF(AND(ISNUMBER(SEARCH("PAYMENT TO",C1940)),ISNUMBER(SEARCH("JOE SAUNDERS",C1940))),"Zelle to Joe Saunders",IF(OR(ISNUMBER(SEARCH("NEW ORLEANS",C1940)),ISNUMBER(SEARCH("KENNER",C1940)),ISNUMBER(SEARCH("HENRY HOWARD",C1940)),ISNUMBER(SEARCH("MISS CLAUDIA",C1940))),"Personal Travel - New Orleans",IF(AND(YEAR(B1940)=2025,MONTH(B1940)=4,OR(ISNUMBER(SEARCH("EXCHANGE RATE",C1940)),ISNUMBER(SEARCH("EXCHG RTE",C1940)))),"Personal Travel - Italy",IFERROR(INDEX('Category Rules'!$B$2:$B$358,MATCH(TRUE,ISNUMBER(SEARCH('Category Rules'!$A$2:$A$358,C1940)),0)),""))))))))</f>
        <v>Donation</v>
      </c>
    </row>
    <row r="1941" spans="1:7" x14ac:dyDescent="0.25">
      <c r="A1941" t="s">
        <v>44</v>
      </c>
      <c r="B1941" s="1">
        <v>45730</v>
      </c>
      <c r="C1941" t="s">
        <v>2073</v>
      </c>
      <c r="D1941">
        <v>2000</v>
      </c>
      <c r="E1941" t="s">
        <v>73</v>
      </c>
      <c r="F1941">
        <v>2875.42</v>
      </c>
      <c r="G1941" t="str" cm="1">
        <f t="array" ref="G1941">IF(AND(ISNUMBER(SEARCH("UBER",C1941)),ISNUMBER(SEARCH("EATS",C1941))),"Uber Eats",IF(LEFT(C1941,6)="CHECK ","Checks Paid",IF(OR(E1941="BILLPAY",ISNUMBER(SEARCH("FRANCHISE TAX",C1941)),ISNUMBER(SEARCH("NEXTLINK",C1941))),"Personal - House Bills",IF(AND(ISNUMBER(SEARCH("PAYMENT FROM",C1941)),ISNUMBER(SEARCH("JOE SAUNDERS",C1941))),"Zelle from Joe Saunders",IF(AND(ISNUMBER(SEARCH("PAYMENT TO",C1941)),ISNUMBER(SEARCH("JOE SAUNDERS",C1941))),"Zelle to Joe Saunders",IF(OR(ISNUMBER(SEARCH("NEW ORLEANS",C1941)),ISNUMBER(SEARCH("KENNER",C1941)),ISNUMBER(SEARCH("HENRY HOWARD",C1941)),ISNUMBER(SEARCH("MISS CLAUDIA",C1941))),"Personal Travel - New Orleans",IF(AND(YEAR(B1941)=2025,MONTH(B1941)=4,OR(ISNUMBER(SEARCH("EXCHANGE RATE",C1941)),ISNUMBER(SEARCH("EXCHG RTE",C1941)))),"Personal Travel - Italy",IFERROR(INDEX('Category Rules'!$B$2:$B$358,MATCH(TRUE,ISNUMBER(SEARCH('Category Rules'!$A$2:$A$358,C1941)),0)),""))))))))</f>
        <v>Transfer from DWG Capital Group</v>
      </c>
    </row>
    <row r="1942" spans="1:7" x14ac:dyDescent="0.25">
      <c r="A1942" t="s">
        <v>6</v>
      </c>
      <c r="B1942" s="1">
        <v>45729</v>
      </c>
      <c r="C1942" t="s">
        <v>2074</v>
      </c>
      <c r="D1942">
        <v>-81.709999999999994</v>
      </c>
      <c r="E1942" t="s">
        <v>10</v>
      </c>
      <c r="F1942">
        <v>875.42</v>
      </c>
      <c r="G1942" t="str" cm="1">
        <f t="array" ref="G1942">IF(AND(ISNUMBER(SEARCH("UBER",C1942)),ISNUMBER(SEARCH("EATS",C1942))),"Uber Eats",IF(LEFT(C1942,6)="CHECK ","Checks Paid",IF(OR(E1942="BILLPAY",ISNUMBER(SEARCH("FRANCHISE TAX",C1942)),ISNUMBER(SEARCH("NEXTLINK",C1942))),"Personal - House Bills",IF(AND(ISNUMBER(SEARCH("PAYMENT FROM",C1942)),ISNUMBER(SEARCH("JOE SAUNDERS",C1942))),"Zelle from Joe Saunders",IF(AND(ISNUMBER(SEARCH("PAYMENT TO",C1942)),ISNUMBER(SEARCH("JOE SAUNDERS",C1942))),"Zelle to Joe Saunders",IF(OR(ISNUMBER(SEARCH("NEW ORLEANS",C1942)),ISNUMBER(SEARCH("KENNER",C1942)),ISNUMBER(SEARCH("HENRY HOWARD",C1942)),ISNUMBER(SEARCH("MISS CLAUDIA",C1942))),"Personal Travel - New Orleans",IF(AND(YEAR(B1942)=2025,MONTH(B1942)=4,OR(ISNUMBER(SEARCH("EXCHANGE RATE",C1942)),ISNUMBER(SEARCH("EXCHG RTE",C1942)))),"Personal Travel - Italy",IFERROR(INDEX('Category Rules'!$B$2:$B$358,MATCH(TRUE,ISNUMBER(SEARCH('Category Rules'!$A$2:$A$358,C1942)),0)),""))))))))</f>
        <v>Uber Eats</v>
      </c>
    </row>
    <row r="1943" spans="1:7" x14ac:dyDescent="0.25">
      <c r="A1943" t="s">
        <v>6</v>
      </c>
      <c r="B1943" s="1">
        <v>45729</v>
      </c>
      <c r="C1943" t="s">
        <v>2075</v>
      </c>
      <c r="D1943">
        <v>-382.79</v>
      </c>
      <c r="E1943" t="s">
        <v>10</v>
      </c>
      <c r="F1943">
        <v>957.13</v>
      </c>
      <c r="G1943" t="str" cm="1">
        <f t="array" ref="G1943">IF(AND(ISNUMBER(SEARCH("UBER",C1943)),ISNUMBER(SEARCH("EATS",C1943))),"Uber Eats",IF(LEFT(C1943,6)="CHECK ","Checks Paid",IF(OR(E1943="BILLPAY",ISNUMBER(SEARCH("FRANCHISE TAX",C1943)),ISNUMBER(SEARCH("NEXTLINK",C1943))),"Personal - House Bills",IF(AND(ISNUMBER(SEARCH("PAYMENT FROM",C1943)),ISNUMBER(SEARCH("JOE SAUNDERS",C1943))),"Zelle from Joe Saunders",IF(AND(ISNUMBER(SEARCH("PAYMENT TO",C1943)),ISNUMBER(SEARCH("JOE SAUNDERS",C1943))),"Zelle to Joe Saunders",IF(OR(ISNUMBER(SEARCH("NEW ORLEANS",C1943)),ISNUMBER(SEARCH("KENNER",C1943)),ISNUMBER(SEARCH("HENRY HOWARD",C1943)),ISNUMBER(SEARCH("MISS CLAUDIA",C1943))),"Personal Travel - New Orleans",IF(AND(YEAR(B1943)=2025,MONTH(B1943)=4,OR(ISNUMBER(SEARCH("EXCHANGE RATE",C1943)),ISNUMBER(SEARCH("EXCHG RTE",C1943)))),"Personal Travel - Italy",IFERROR(INDEX('Category Rules'!$B$2:$B$358,MATCH(TRUE,ISNUMBER(SEARCH('Category Rules'!$A$2:$A$358,C1943)),0)),""))))))))</f>
        <v>Personal - Misc</v>
      </c>
    </row>
    <row r="1944" spans="1:7" x14ac:dyDescent="0.25">
      <c r="A1944" t="s">
        <v>6</v>
      </c>
      <c r="B1944" s="1">
        <v>45729</v>
      </c>
      <c r="C1944" t="s">
        <v>2076</v>
      </c>
      <c r="D1944">
        <v>-83.04</v>
      </c>
      <c r="E1944" t="s">
        <v>10</v>
      </c>
      <c r="F1944">
        <v>1339.92</v>
      </c>
      <c r="G1944" t="str" cm="1">
        <f t="array" ref="G1944">IF(AND(ISNUMBER(SEARCH("UBER",C1944)),ISNUMBER(SEARCH("EATS",C1944))),"Uber Eats",IF(LEFT(C1944,6)="CHECK ","Checks Paid",IF(OR(E1944="BILLPAY",ISNUMBER(SEARCH("FRANCHISE TAX",C1944)),ISNUMBER(SEARCH("NEXTLINK",C1944))),"Personal - House Bills",IF(AND(ISNUMBER(SEARCH("PAYMENT FROM",C1944)),ISNUMBER(SEARCH("JOE SAUNDERS",C1944))),"Zelle from Joe Saunders",IF(AND(ISNUMBER(SEARCH("PAYMENT TO",C1944)),ISNUMBER(SEARCH("JOE SAUNDERS",C1944))),"Zelle to Joe Saunders",IF(OR(ISNUMBER(SEARCH("NEW ORLEANS",C1944)),ISNUMBER(SEARCH("KENNER",C1944)),ISNUMBER(SEARCH("HENRY HOWARD",C1944)),ISNUMBER(SEARCH("MISS CLAUDIA",C1944))),"Personal Travel - New Orleans",IF(AND(YEAR(B1944)=2025,MONTH(B1944)=4,OR(ISNUMBER(SEARCH("EXCHANGE RATE",C1944)),ISNUMBER(SEARCH("EXCHG RTE",C1944)))),"Personal Travel - Italy",IFERROR(INDEX('Category Rules'!$B$2:$B$358,MATCH(TRUE,ISNUMBER(SEARCH('Category Rules'!$A$2:$A$358,C1944)),0)),""))))))))</f>
        <v>Personal - Health</v>
      </c>
    </row>
    <row r="1945" spans="1:7" x14ac:dyDescent="0.25">
      <c r="A1945" t="s">
        <v>6</v>
      </c>
      <c r="B1945" s="1">
        <v>45729</v>
      </c>
      <c r="C1945" t="s">
        <v>2077</v>
      </c>
      <c r="D1945">
        <v>-30.64</v>
      </c>
      <c r="E1945" t="s">
        <v>10</v>
      </c>
      <c r="F1945">
        <v>1422.96</v>
      </c>
      <c r="G1945" t="str" cm="1">
        <f t="array" ref="G1945">IF(AND(ISNUMBER(SEARCH("UBER",C1945)),ISNUMBER(SEARCH("EATS",C1945))),"Uber Eats",IF(LEFT(C1945,6)="CHECK ","Checks Paid",IF(OR(E1945="BILLPAY",ISNUMBER(SEARCH("FRANCHISE TAX",C1945)),ISNUMBER(SEARCH("NEXTLINK",C1945))),"Personal - House Bills",IF(AND(ISNUMBER(SEARCH("PAYMENT FROM",C1945)),ISNUMBER(SEARCH("JOE SAUNDERS",C1945))),"Zelle from Joe Saunders",IF(AND(ISNUMBER(SEARCH("PAYMENT TO",C1945)),ISNUMBER(SEARCH("JOE SAUNDERS",C1945))),"Zelle to Joe Saunders",IF(OR(ISNUMBER(SEARCH("NEW ORLEANS",C1945)),ISNUMBER(SEARCH("KENNER",C1945)),ISNUMBER(SEARCH("HENRY HOWARD",C1945)),ISNUMBER(SEARCH("MISS CLAUDIA",C1945))),"Personal Travel - New Orleans",IF(AND(YEAR(B1945)=2025,MONTH(B1945)=4,OR(ISNUMBER(SEARCH("EXCHANGE RATE",C1945)),ISNUMBER(SEARCH("EXCHG RTE",C1945)))),"Personal Travel - Italy",IFERROR(INDEX('Category Rules'!$B$2:$B$358,MATCH(TRUE,ISNUMBER(SEARCH('Category Rules'!$A$2:$A$358,C1945)),0)),""))))))))</f>
        <v>Amazon</v>
      </c>
    </row>
    <row r="1946" spans="1:7" x14ac:dyDescent="0.25">
      <c r="A1946" t="s">
        <v>6</v>
      </c>
      <c r="B1946" s="1">
        <v>45728</v>
      </c>
      <c r="C1946" t="s">
        <v>2078</v>
      </c>
      <c r="D1946">
        <v>-35</v>
      </c>
      <c r="E1946" t="s">
        <v>10</v>
      </c>
      <c r="F1946">
        <v>1453.6</v>
      </c>
      <c r="G1946" t="str" cm="1">
        <f t="array" ref="G1946">IF(AND(ISNUMBER(SEARCH("UBER",C1946)),ISNUMBER(SEARCH("EATS",C1946))),"Uber Eats",IF(LEFT(C1946,6)="CHECK ","Checks Paid",IF(OR(E1946="BILLPAY",ISNUMBER(SEARCH("FRANCHISE TAX",C1946)),ISNUMBER(SEARCH("NEXTLINK",C1946))),"Personal - House Bills",IF(AND(ISNUMBER(SEARCH("PAYMENT FROM",C1946)),ISNUMBER(SEARCH("JOE SAUNDERS",C1946))),"Zelle from Joe Saunders",IF(AND(ISNUMBER(SEARCH("PAYMENT TO",C1946)),ISNUMBER(SEARCH("JOE SAUNDERS",C1946))),"Zelle to Joe Saunders",IF(OR(ISNUMBER(SEARCH("NEW ORLEANS",C1946)),ISNUMBER(SEARCH("KENNER",C1946)),ISNUMBER(SEARCH("HENRY HOWARD",C1946)),ISNUMBER(SEARCH("MISS CLAUDIA",C1946))),"Personal Travel - New Orleans",IF(AND(YEAR(B1946)=2025,MONTH(B1946)=4,OR(ISNUMBER(SEARCH("EXCHANGE RATE",C1946)),ISNUMBER(SEARCH("EXCHG RTE",C1946)))),"Personal Travel - Italy",IFERROR(INDEX('Category Rules'!$B$2:$B$358,MATCH(TRUE,ISNUMBER(SEARCH('Category Rules'!$A$2:$A$358,C1946)),0)),""))))))))</f>
        <v>Personal Travel</v>
      </c>
    </row>
    <row r="1947" spans="1:7" x14ac:dyDescent="0.25">
      <c r="A1947" t="s">
        <v>6</v>
      </c>
      <c r="B1947" s="1">
        <v>45728</v>
      </c>
      <c r="C1947" t="s">
        <v>2079</v>
      </c>
      <c r="D1947">
        <v>-87.02</v>
      </c>
      <c r="E1947" t="s">
        <v>10</v>
      </c>
      <c r="F1947">
        <v>1488.6</v>
      </c>
      <c r="G1947" t="str" cm="1">
        <f t="array" ref="G1947">IF(AND(ISNUMBER(SEARCH("UBER",C1947)),ISNUMBER(SEARCH("EATS",C1947))),"Uber Eats",IF(LEFT(C1947,6)="CHECK ","Checks Paid",IF(OR(E1947="BILLPAY",ISNUMBER(SEARCH("FRANCHISE TAX",C1947)),ISNUMBER(SEARCH("NEXTLINK",C1947))),"Personal - House Bills",IF(AND(ISNUMBER(SEARCH("PAYMENT FROM",C1947)),ISNUMBER(SEARCH("JOE SAUNDERS",C1947))),"Zelle from Joe Saunders",IF(AND(ISNUMBER(SEARCH("PAYMENT TO",C1947)),ISNUMBER(SEARCH("JOE SAUNDERS",C1947))),"Zelle to Joe Saunders",IF(OR(ISNUMBER(SEARCH("NEW ORLEANS",C1947)),ISNUMBER(SEARCH("KENNER",C1947)),ISNUMBER(SEARCH("HENRY HOWARD",C1947)),ISNUMBER(SEARCH("MISS CLAUDIA",C1947))),"Personal Travel - New Orleans",IF(AND(YEAR(B1947)=2025,MONTH(B1947)=4,OR(ISNUMBER(SEARCH("EXCHANGE RATE",C1947)),ISNUMBER(SEARCH("EXCHG RTE",C1947)))),"Personal Travel - Italy",IFERROR(INDEX('Category Rules'!$B$2:$B$358,MATCH(TRUE,ISNUMBER(SEARCH('Category Rules'!$A$2:$A$358,C1947)),0)),""))))))))</f>
        <v>Amazon</v>
      </c>
    </row>
    <row r="1948" spans="1:7" x14ac:dyDescent="0.25">
      <c r="A1948" t="s">
        <v>6</v>
      </c>
      <c r="B1948" s="1">
        <v>45728</v>
      </c>
      <c r="C1948" t="s">
        <v>2080</v>
      </c>
      <c r="D1948">
        <v>-37.17</v>
      </c>
      <c r="E1948" t="s">
        <v>10</v>
      </c>
      <c r="F1948">
        <v>1575.62</v>
      </c>
      <c r="G1948" t="str" cm="1">
        <f t="array" ref="G1948">IF(AND(ISNUMBER(SEARCH("UBER",C1948)),ISNUMBER(SEARCH("EATS",C1948))),"Uber Eats",IF(LEFT(C1948,6)="CHECK ","Checks Paid",IF(OR(E1948="BILLPAY",ISNUMBER(SEARCH("FRANCHISE TAX",C1948)),ISNUMBER(SEARCH("NEXTLINK",C1948))),"Personal - House Bills",IF(AND(ISNUMBER(SEARCH("PAYMENT FROM",C1948)),ISNUMBER(SEARCH("JOE SAUNDERS",C1948))),"Zelle from Joe Saunders",IF(AND(ISNUMBER(SEARCH("PAYMENT TO",C1948)),ISNUMBER(SEARCH("JOE SAUNDERS",C1948))),"Zelle to Joe Saunders",IF(OR(ISNUMBER(SEARCH("NEW ORLEANS",C1948)),ISNUMBER(SEARCH("KENNER",C1948)),ISNUMBER(SEARCH("HENRY HOWARD",C1948)),ISNUMBER(SEARCH("MISS CLAUDIA",C1948))),"Personal Travel - New Orleans",IF(AND(YEAR(B1948)=2025,MONTH(B1948)=4,OR(ISNUMBER(SEARCH("EXCHANGE RATE",C1948)),ISNUMBER(SEARCH("EXCHG RTE",C1948)))),"Personal Travel - Italy",IFERROR(INDEX('Category Rules'!$B$2:$B$358,MATCH(TRUE,ISNUMBER(SEARCH('Category Rules'!$A$2:$A$358,C1948)),0)),""))))))))</f>
        <v>Amazon</v>
      </c>
    </row>
    <row r="1949" spans="1:7" x14ac:dyDescent="0.25">
      <c r="A1949" t="s">
        <v>6</v>
      </c>
      <c r="B1949" s="1">
        <v>45728</v>
      </c>
      <c r="C1949" t="s">
        <v>2081</v>
      </c>
      <c r="D1949">
        <v>-114.9</v>
      </c>
      <c r="E1949" t="s">
        <v>10</v>
      </c>
      <c r="F1949">
        <v>1612.79</v>
      </c>
      <c r="G1949" t="str" cm="1">
        <f t="array" ref="G1949">IF(AND(ISNUMBER(SEARCH("UBER",C1949)),ISNUMBER(SEARCH("EATS",C1949))),"Uber Eats",IF(LEFT(C1949,6)="CHECK ","Checks Paid",IF(OR(E1949="BILLPAY",ISNUMBER(SEARCH("FRANCHISE TAX",C1949)),ISNUMBER(SEARCH("NEXTLINK",C1949))),"Personal - House Bills",IF(AND(ISNUMBER(SEARCH("PAYMENT FROM",C1949)),ISNUMBER(SEARCH("JOE SAUNDERS",C1949))),"Zelle from Joe Saunders",IF(AND(ISNUMBER(SEARCH("PAYMENT TO",C1949)),ISNUMBER(SEARCH("JOE SAUNDERS",C1949))),"Zelle to Joe Saunders",IF(OR(ISNUMBER(SEARCH("NEW ORLEANS",C1949)),ISNUMBER(SEARCH("KENNER",C1949)),ISNUMBER(SEARCH("HENRY HOWARD",C1949)),ISNUMBER(SEARCH("MISS CLAUDIA",C1949))),"Personal Travel - New Orleans",IF(AND(YEAR(B1949)=2025,MONTH(B1949)=4,OR(ISNUMBER(SEARCH("EXCHANGE RATE",C1949)),ISNUMBER(SEARCH("EXCHG RTE",C1949)))),"Personal Travel - Italy",IFERROR(INDEX('Category Rules'!$B$2:$B$358,MATCH(TRUE,ISNUMBER(SEARCH('Category Rules'!$A$2:$A$358,C1949)),0)),""))))))))</f>
        <v>Amazon</v>
      </c>
    </row>
    <row r="1950" spans="1:7" x14ac:dyDescent="0.25">
      <c r="A1950" t="s">
        <v>6</v>
      </c>
      <c r="B1950" s="1">
        <v>45728</v>
      </c>
      <c r="C1950" t="s">
        <v>2082</v>
      </c>
      <c r="D1950">
        <v>-137.88</v>
      </c>
      <c r="E1950" t="s">
        <v>10</v>
      </c>
      <c r="F1950">
        <v>1727.69</v>
      </c>
      <c r="G1950" t="str" cm="1">
        <f t="array" ref="G1950">IF(AND(ISNUMBER(SEARCH("UBER",C1950)),ISNUMBER(SEARCH("EATS",C1950))),"Uber Eats",IF(LEFT(C1950,6)="CHECK ","Checks Paid",IF(OR(E1950="BILLPAY",ISNUMBER(SEARCH("FRANCHISE TAX",C1950)),ISNUMBER(SEARCH("NEXTLINK",C1950))),"Personal - House Bills",IF(AND(ISNUMBER(SEARCH("PAYMENT FROM",C1950)),ISNUMBER(SEARCH("JOE SAUNDERS",C1950))),"Zelle from Joe Saunders",IF(AND(ISNUMBER(SEARCH("PAYMENT TO",C1950)),ISNUMBER(SEARCH("JOE SAUNDERS",C1950))),"Zelle to Joe Saunders",IF(OR(ISNUMBER(SEARCH("NEW ORLEANS",C1950)),ISNUMBER(SEARCH("KENNER",C1950)),ISNUMBER(SEARCH("HENRY HOWARD",C1950)),ISNUMBER(SEARCH("MISS CLAUDIA",C1950))),"Personal Travel - New Orleans",IF(AND(YEAR(B1950)=2025,MONTH(B1950)=4,OR(ISNUMBER(SEARCH("EXCHANGE RATE",C1950)),ISNUMBER(SEARCH("EXCHG RTE",C1950)))),"Personal Travel - Italy",IFERROR(INDEX('Category Rules'!$B$2:$B$358,MATCH(TRUE,ISNUMBER(SEARCH('Category Rules'!$A$2:$A$358,C1950)),0)),""))))))))</f>
        <v>Amazon</v>
      </c>
    </row>
    <row r="1951" spans="1:7" x14ac:dyDescent="0.25">
      <c r="A1951" t="s">
        <v>6</v>
      </c>
      <c r="B1951" s="1">
        <v>45728</v>
      </c>
      <c r="C1951" t="s">
        <v>2083</v>
      </c>
      <c r="D1951">
        <v>-17.510000000000002</v>
      </c>
      <c r="E1951" t="s">
        <v>10</v>
      </c>
      <c r="F1951">
        <v>1865.57</v>
      </c>
      <c r="G1951" t="str" cm="1">
        <f t="array" ref="G1951">IF(AND(ISNUMBER(SEARCH("UBER",C1951)),ISNUMBER(SEARCH("EATS",C1951))),"Uber Eats",IF(LEFT(C1951,6)="CHECK ","Checks Paid",IF(OR(E1951="BILLPAY",ISNUMBER(SEARCH("FRANCHISE TAX",C1951)),ISNUMBER(SEARCH("NEXTLINK",C1951))),"Personal - House Bills",IF(AND(ISNUMBER(SEARCH("PAYMENT FROM",C1951)),ISNUMBER(SEARCH("JOE SAUNDERS",C1951))),"Zelle from Joe Saunders",IF(AND(ISNUMBER(SEARCH("PAYMENT TO",C1951)),ISNUMBER(SEARCH("JOE SAUNDERS",C1951))),"Zelle to Joe Saunders",IF(OR(ISNUMBER(SEARCH("NEW ORLEANS",C1951)),ISNUMBER(SEARCH("KENNER",C1951)),ISNUMBER(SEARCH("HENRY HOWARD",C1951)),ISNUMBER(SEARCH("MISS CLAUDIA",C1951))),"Personal Travel - New Orleans",IF(AND(YEAR(B1951)=2025,MONTH(B1951)=4,OR(ISNUMBER(SEARCH("EXCHANGE RATE",C1951)),ISNUMBER(SEARCH("EXCHG RTE",C1951)))),"Personal Travel - Italy",IFERROR(INDEX('Category Rules'!$B$2:$B$358,MATCH(TRUE,ISNUMBER(SEARCH('Category Rules'!$A$2:$A$358,C1951)),0)),""))))))))</f>
        <v>Amazon</v>
      </c>
    </row>
    <row r="1952" spans="1:7" x14ac:dyDescent="0.25">
      <c r="A1952" t="s">
        <v>6</v>
      </c>
      <c r="B1952" s="1">
        <v>45728</v>
      </c>
      <c r="C1952" t="s">
        <v>2084</v>
      </c>
      <c r="D1952">
        <v>-30.64</v>
      </c>
      <c r="E1952" t="s">
        <v>10</v>
      </c>
      <c r="F1952">
        <v>1883.08</v>
      </c>
      <c r="G1952" t="str" cm="1">
        <f t="array" ref="G1952">IF(AND(ISNUMBER(SEARCH("UBER",C1952)),ISNUMBER(SEARCH("EATS",C1952))),"Uber Eats",IF(LEFT(C1952,6)="CHECK ","Checks Paid",IF(OR(E1952="BILLPAY",ISNUMBER(SEARCH("FRANCHISE TAX",C1952)),ISNUMBER(SEARCH("NEXTLINK",C1952))),"Personal - House Bills",IF(AND(ISNUMBER(SEARCH("PAYMENT FROM",C1952)),ISNUMBER(SEARCH("JOE SAUNDERS",C1952))),"Zelle from Joe Saunders",IF(AND(ISNUMBER(SEARCH("PAYMENT TO",C1952)),ISNUMBER(SEARCH("JOE SAUNDERS",C1952))),"Zelle to Joe Saunders",IF(OR(ISNUMBER(SEARCH("NEW ORLEANS",C1952)),ISNUMBER(SEARCH("KENNER",C1952)),ISNUMBER(SEARCH("HENRY HOWARD",C1952)),ISNUMBER(SEARCH("MISS CLAUDIA",C1952))),"Personal Travel - New Orleans",IF(AND(YEAR(B1952)=2025,MONTH(B1952)=4,OR(ISNUMBER(SEARCH("EXCHANGE RATE",C1952)),ISNUMBER(SEARCH("EXCHG RTE",C1952)))),"Personal Travel - Italy",IFERROR(INDEX('Category Rules'!$B$2:$B$358,MATCH(TRUE,ISNUMBER(SEARCH('Category Rules'!$A$2:$A$358,C1952)),0)),""))))))))</f>
        <v>Amazon</v>
      </c>
    </row>
    <row r="1953" spans="1:7" x14ac:dyDescent="0.25">
      <c r="A1953" t="s">
        <v>6</v>
      </c>
      <c r="B1953" s="1">
        <v>45728</v>
      </c>
      <c r="C1953" t="s">
        <v>2085</v>
      </c>
      <c r="D1953">
        <v>-75</v>
      </c>
      <c r="E1953" t="s">
        <v>10</v>
      </c>
      <c r="F1953">
        <v>1913.72</v>
      </c>
      <c r="G1953" t="str" cm="1">
        <f t="array" ref="G1953">IF(AND(ISNUMBER(SEARCH("UBER",C1953)),ISNUMBER(SEARCH("EATS",C1953))),"Uber Eats",IF(LEFT(C1953,6)="CHECK ","Checks Paid",IF(OR(E1953="BILLPAY",ISNUMBER(SEARCH("FRANCHISE TAX",C1953)),ISNUMBER(SEARCH("NEXTLINK",C1953))),"Personal - House Bills",IF(AND(ISNUMBER(SEARCH("PAYMENT FROM",C1953)),ISNUMBER(SEARCH("JOE SAUNDERS",C1953))),"Zelle from Joe Saunders",IF(AND(ISNUMBER(SEARCH("PAYMENT TO",C1953)),ISNUMBER(SEARCH("JOE SAUNDERS",C1953))),"Zelle to Joe Saunders",IF(OR(ISNUMBER(SEARCH("NEW ORLEANS",C1953)),ISNUMBER(SEARCH("KENNER",C1953)),ISNUMBER(SEARCH("HENRY HOWARD",C1953)),ISNUMBER(SEARCH("MISS CLAUDIA",C1953))),"Personal Travel - New Orleans",IF(AND(YEAR(B1953)=2025,MONTH(B1953)=4,OR(ISNUMBER(SEARCH("EXCHANGE RATE",C1953)),ISNUMBER(SEARCH("EXCHG RTE",C1953)))),"Personal Travel - Italy",IFERROR(INDEX('Category Rules'!$B$2:$B$358,MATCH(TRUE,ISNUMBER(SEARCH('Category Rules'!$A$2:$A$358,C1953)),0)),""))))))))</f>
        <v>Personal - Car</v>
      </c>
    </row>
    <row r="1954" spans="1:7" x14ac:dyDescent="0.25">
      <c r="A1954" t="s">
        <v>6</v>
      </c>
      <c r="B1954" s="1">
        <v>45728</v>
      </c>
      <c r="C1954" t="s">
        <v>2085</v>
      </c>
      <c r="D1954">
        <v>-75</v>
      </c>
      <c r="E1954" t="s">
        <v>10</v>
      </c>
      <c r="F1954">
        <v>1988.72</v>
      </c>
      <c r="G1954" t="str" cm="1">
        <f t="array" ref="G1954">IF(AND(ISNUMBER(SEARCH("UBER",C1954)),ISNUMBER(SEARCH("EATS",C1954))),"Uber Eats",IF(LEFT(C1954,6)="CHECK ","Checks Paid",IF(OR(E1954="BILLPAY",ISNUMBER(SEARCH("FRANCHISE TAX",C1954)),ISNUMBER(SEARCH("NEXTLINK",C1954))),"Personal - House Bills",IF(AND(ISNUMBER(SEARCH("PAYMENT FROM",C1954)),ISNUMBER(SEARCH("JOE SAUNDERS",C1954))),"Zelle from Joe Saunders",IF(AND(ISNUMBER(SEARCH("PAYMENT TO",C1954)),ISNUMBER(SEARCH("JOE SAUNDERS",C1954))),"Zelle to Joe Saunders",IF(OR(ISNUMBER(SEARCH("NEW ORLEANS",C1954)),ISNUMBER(SEARCH("KENNER",C1954)),ISNUMBER(SEARCH("HENRY HOWARD",C1954)),ISNUMBER(SEARCH("MISS CLAUDIA",C1954))),"Personal Travel - New Orleans",IF(AND(YEAR(B1954)=2025,MONTH(B1954)=4,OR(ISNUMBER(SEARCH("EXCHANGE RATE",C1954)),ISNUMBER(SEARCH("EXCHG RTE",C1954)))),"Personal Travel - Italy",IFERROR(INDEX('Category Rules'!$B$2:$B$358,MATCH(TRUE,ISNUMBER(SEARCH('Category Rules'!$A$2:$A$358,C1954)),0)),""))))))))</f>
        <v>Personal - Car</v>
      </c>
    </row>
    <row r="1955" spans="1:7" x14ac:dyDescent="0.25">
      <c r="A1955" t="s">
        <v>6</v>
      </c>
      <c r="B1955" s="1">
        <v>45728</v>
      </c>
      <c r="C1955" t="s">
        <v>2086</v>
      </c>
      <c r="D1955">
        <v>-10.94</v>
      </c>
      <c r="E1955" t="s">
        <v>10</v>
      </c>
      <c r="F1955">
        <v>2063.7199999999998</v>
      </c>
      <c r="G1955" t="str" cm="1">
        <f t="array" ref="G1955">IF(AND(ISNUMBER(SEARCH("UBER",C1955)),ISNUMBER(SEARCH("EATS",C1955))),"Uber Eats",IF(LEFT(C1955,6)="CHECK ","Checks Paid",IF(OR(E1955="BILLPAY",ISNUMBER(SEARCH("FRANCHISE TAX",C1955)),ISNUMBER(SEARCH("NEXTLINK",C1955))),"Personal - House Bills",IF(AND(ISNUMBER(SEARCH("PAYMENT FROM",C1955)),ISNUMBER(SEARCH("JOE SAUNDERS",C1955))),"Zelle from Joe Saunders",IF(AND(ISNUMBER(SEARCH("PAYMENT TO",C1955)),ISNUMBER(SEARCH("JOE SAUNDERS",C1955))),"Zelle to Joe Saunders",IF(OR(ISNUMBER(SEARCH("NEW ORLEANS",C1955)),ISNUMBER(SEARCH("KENNER",C1955)),ISNUMBER(SEARCH("HENRY HOWARD",C1955)),ISNUMBER(SEARCH("MISS CLAUDIA",C1955))),"Personal Travel - New Orleans",IF(AND(YEAR(B1955)=2025,MONTH(B1955)=4,OR(ISNUMBER(SEARCH("EXCHANGE RATE",C1955)),ISNUMBER(SEARCH("EXCHG RTE",C1955)))),"Personal Travel - Italy",IFERROR(INDEX('Category Rules'!$B$2:$B$358,MATCH(TRUE,ISNUMBER(SEARCH('Category Rules'!$A$2:$A$358,C1955)),0)),""))))))))</f>
        <v>Amazon</v>
      </c>
    </row>
    <row r="1956" spans="1:7" x14ac:dyDescent="0.25">
      <c r="A1956" t="s">
        <v>6</v>
      </c>
      <c r="B1956" s="1">
        <v>45728</v>
      </c>
      <c r="C1956" t="s">
        <v>2087</v>
      </c>
      <c r="D1956">
        <v>-738.91</v>
      </c>
      <c r="E1956" t="s">
        <v>10</v>
      </c>
      <c r="F1956">
        <v>2074.66</v>
      </c>
      <c r="G1956" t="str" cm="1">
        <f t="array" ref="G1956">IF(AND(ISNUMBER(SEARCH("UBER",C1956)),ISNUMBER(SEARCH("EATS",C1956))),"Uber Eats",IF(LEFT(C1956,6)="CHECK ","Checks Paid",IF(OR(E1956="BILLPAY",ISNUMBER(SEARCH("FRANCHISE TAX",C1956)),ISNUMBER(SEARCH("NEXTLINK",C1956))),"Personal - House Bills",IF(AND(ISNUMBER(SEARCH("PAYMENT FROM",C1956)),ISNUMBER(SEARCH("JOE SAUNDERS",C1956))),"Zelle from Joe Saunders",IF(AND(ISNUMBER(SEARCH("PAYMENT TO",C1956)),ISNUMBER(SEARCH("JOE SAUNDERS",C1956))),"Zelle to Joe Saunders",IF(OR(ISNUMBER(SEARCH("NEW ORLEANS",C1956)),ISNUMBER(SEARCH("KENNER",C1956)),ISNUMBER(SEARCH("HENRY HOWARD",C1956)),ISNUMBER(SEARCH("MISS CLAUDIA",C1956))),"Personal Travel - New Orleans",IF(AND(YEAR(B1956)=2025,MONTH(B1956)=4,OR(ISNUMBER(SEARCH("EXCHANGE RATE",C1956)),ISNUMBER(SEARCH("EXCHG RTE",C1956)))),"Personal Travel - Italy",IFERROR(INDEX('Category Rules'!$B$2:$B$358,MATCH(TRUE,ISNUMBER(SEARCH('Category Rules'!$A$2:$A$358,C1956)),0)),""))))))))</f>
        <v>Personal - Shopping</v>
      </c>
    </row>
    <row r="1957" spans="1:7" x14ac:dyDescent="0.25">
      <c r="A1957" t="s">
        <v>6</v>
      </c>
      <c r="B1957" s="1">
        <v>45727</v>
      </c>
      <c r="C1957" t="s">
        <v>2088</v>
      </c>
      <c r="D1957">
        <v>-230.26</v>
      </c>
      <c r="E1957" t="s">
        <v>10</v>
      </c>
      <c r="F1957">
        <v>2813.57</v>
      </c>
      <c r="G1957" t="str" cm="1">
        <f t="array" ref="G1957">IF(AND(ISNUMBER(SEARCH("UBER",C1957)),ISNUMBER(SEARCH("EATS",C1957))),"Uber Eats",IF(LEFT(C1957,6)="CHECK ","Checks Paid",IF(OR(E1957="BILLPAY",ISNUMBER(SEARCH("FRANCHISE TAX",C1957)),ISNUMBER(SEARCH("NEXTLINK",C1957))),"Personal - House Bills",IF(AND(ISNUMBER(SEARCH("PAYMENT FROM",C1957)),ISNUMBER(SEARCH("JOE SAUNDERS",C1957))),"Zelle from Joe Saunders",IF(AND(ISNUMBER(SEARCH("PAYMENT TO",C1957)),ISNUMBER(SEARCH("JOE SAUNDERS",C1957))),"Zelle to Joe Saunders",IF(OR(ISNUMBER(SEARCH("NEW ORLEANS",C1957)),ISNUMBER(SEARCH("KENNER",C1957)),ISNUMBER(SEARCH("HENRY HOWARD",C1957)),ISNUMBER(SEARCH("MISS CLAUDIA",C1957))),"Personal Travel - New Orleans",IF(AND(YEAR(B1957)=2025,MONTH(B1957)=4,OR(ISNUMBER(SEARCH("EXCHANGE RATE",C1957)),ISNUMBER(SEARCH("EXCHG RTE",C1957)))),"Personal Travel - Italy",IFERROR(INDEX('Category Rules'!$B$2:$B$358,MATCH(TRUE,ISNUMBER(SEARCH('Category Rules'!$A$2:$A$358,C1957)),0)),""))))))))</f>
        <v>Personal - Food</v>
      </c>
    </row>
    <row r="1958" spans="1:7" x14ac:dyDescent="0.25">
      <c r="A1958" t="s">
        <v>6</v>
      </c>
      <c r="B1958" s="1">
        <v>45727</v>
      </c>
      <c r="C1958" t="s">
        <v>2089</v>
      </c>
      <c r="D1958">
        <v>-3000</v>
      </c>
      <c r="E1958" t="s">
        <v>93</v>
      </c>
      <c r="F1958">
        <v>3043.83</v>
      </c>
      <c r="G1958" t="str" cm="1">
        <f t="array" ref="G1958">IF(AND(ISNUMBER(SEARCH("UBER",C1958)),ISNUMBER(SEARCH("EATS",C1958))),"Uber Eats",IF(LEFT(C1958,6)="CHECK ","Checks Paid",IF(OR(E1958="BILLPAY",ISNUMBER(SEARCH("FRANCHISE TAX",C1958)),ISNUMBER(SEARCH("NEXTLINK",C1958))),"Personal - House Bills",IF(AND(ISNUMBER(SEARCH("PAYMENT FROM",C1958)),ISNUMBER(SEARCH("JOE SAUNDERS",C1958))),"Zelle from Joe Saunders",IF(AND(ISNUMBER(SEARCH("PAYMENT TO",C1958)),ISNUMBER(SEARCH("JOE SAUNDERS",C1958))),"Zelle to Joe Saunders",IF(OR(ISNUMBER(SEARCH("NEW ORLEANS",C1958)),ISNUMBER(SEARCH("KENNER",C1958)),ISNUMBER(SEARCH("HENRY HOWARD",C1958)),ISNUMBER(SEARCH("MISS CLAUDIA",C1958))),"Personal Travel - New Orleans",IF(AND(YEAR(B1958)=2025,MONTH(B1958)=4,OR(ISNUMBER(SEARCH("EXCHANGE RATE",C1958)),ISNUMBER(SEARCH("EXCHG RTE",C1958)))),"Personal Travel - Italy",IFERROR(INDEX('Category Rules'!$B$2:$B$358,MATCH(TRUE,ISNUMBER(SEARCH('Category Rules'!$A$2:$A$358,C1958)),0)),""))))))))</f>
        <v>Withdrawal</v>
      </c>
    </row>
    <row r="1959" spans="1:7" x14ac:dyDescent="0.25">
      <c r="A1959" t="s">
        <v>6</v>
      </c>
      <c r="B1959" s="1">
        <v>45727</v>
      </c>
      <c r="C1959" t="s">
        <v>2090</v>
      </c>
      <c r="D1959">
        <v>-69.900000000000006</v>
      </c>
      <c r="E1959" t="s">
        <v>10</v>
      </c>
      <c r="F1959">
        <v>6043.83</v>
      </c>
      <c r="G1959" t="str" cm="1">
        <f t="array" ref="G1959">IF(AND(ISNUMBER(SEARCH("UBER",C1959)),ISNUMBER(SEARCH("EATS",C1959))),"Uber Eats",IF(LEFT(C1959,6)="CHECK ","Checks Paid",IF(OR(E1959="BILLPAY",ISNUMBER(SEARCH("FRANCHISE TAX",C1959)),ISNUMBER(SEARCH("NEXTLINK",C1959))),"Personal - House Bills",IF(AND(ISNUMBER(SEARCH("PAYMENT FROM",C1959)),ISNUMBER(SEARCH("JOE SAUNDERS",C1959))),"Zelle from Joe Saunders",IF(AND(ISNUMBER(SEARCH("PAYMENT TO",C1959)),ISNUMBER(SEARCH("JOE SAUNDERS",C1959))),"Zelle to Joe Saunders",IF(OR(ISNUMBER(SEARCH("NEW ORLEANS",C1959)),ISNUMBER(SEARCH("KENNER",C1959)),ISNUMBER(SEARCH("HENRY HOWARD",C1959)),ISNUMBER(SEARCH("MISS CLAUDIA",C1959))),"Personal Travel - New Orleans",IF(AND(YEAR(B1959)=2025,MONTH(B1959)=4,OR(ISNUMBER(SEARCH("EXCHANGE RATE",C1959)),ISNUMBER(SEARCH("EXCHG RTE",C1959)))),"Personal Travel - Italy",IFERROR(INDEX('Category Rules'!$B$2:$B$358,MATCH(TRUE,ISNUMBER(SEARCH('Category Rules'!$A$2:$A$358,C1959)),0)),""))))))))</f>
        <v>Personal - Health</v>
      </c>
    </row>
    <row r="1960" spans="1:7" x14ac:dyDescent="0.25">
      <c r="A1960" t="s">
        <v>6</v>
      </c>
      <c r="B1960" s="1">
        <v>45727</v>
      </c>
      <c r="C1960" t="s">
        <v>2091</v>
      </c>
      <c r="D1960">
        <v>-6.6</v>
      </c>
      <c r="E1960" t="s">
        <v>10</v>
      </c>
      <c r="F1960">
        <v>6113.73</v>
      </c>
      <c r="G1960" t="str" cm="1">
        <f t="array" ref="G1960">IF(AND(ISNUMBER(SEARCH("UBER",C1960)),ISNUMBER(SEARCH("EATS",C1960))),"Uber Eats",IF(LEFT(C1960,6)="CHECK ","Checks Paid",IF(OR(E1960="BILLPAY",ISNUMBER(SEARCH("FRANCHISE TAX",C1960)),ISNUMBER(SEARCH("NEXTLINK",C1960))),"Personal - House Bills",IF(AND(ISNUMBER(SEARCH("PAYMENT FROM",C1960)),ISNUMBER(SEARCH("JOE SAUNDERS",C1960))),"Zelle from Joe Saunders",IF(AND(ISNUMBER(SEARCH("PAYMENT TO",C1960)),ISNUMBER(SEARCH("JOE SAUNDERS",C1960))),"Zelle to Joe Saunders",IF(OR(ISNUMBER(SEARCH("NEW ORLEANS",C1960)),ISNUMBER(SEARCH("KENNER",C1960)),ISNUMBER(SEARCH("HENRY HOWARD",C1960)),ISNUMBER(SEARCH("MISS CLAUDIA",C1960))),"Personal Travel - New Orleans",IF(AND(YEAR(B1960)=2025,MONTH(B1960)=4,OR(ISNUMBER(SEARCH("EXCHANGE RATE",C1960)),ISNUMBER(SEARCH("EXCHG RTE",C1960)))),"Personal Travel - Italy",IFERROR(INDEX('Category Rules'!$B$2:$B$358,MATCH(TRUE,ISNUMBER(SEARCH('Category Rules'!$A$2:$A$358,C1960)),0)),""))))))))</f>
        <v>Personal - Shopping</v>
      </c>
    </row>
    <row r="1961" spans="1:7" x14ac:dyDescent="0.25">
      <c r="A1961" t="s">
        <v>6</v>
      </c>
      <c r="B1961" s="1">
        <v>45727</v>
      </c>
      <c r="C1961" t="s">
        <v>2092</v>
      </c>
      <c r="D1961">
        <v>-132.44</v>
      </c>
      <c r="E1961" t="s">
        <v>10</v>
      </c>
      <c r="F1961">
        <v>6120.33</v>
      </c>
      <c r="G1961" t="str" cm="1">
        <f t="array" ref="G1961">IF(AND(ISNUMBER(SEARCH("UBER",C1961)),ISNUMBER(SEARCH("EATS",C1961))),"Uber Eats",IF(LEFT(C1961,6)="CHECK ","Checks Paid",IF(OR(E1961="BILLPAY",ISNUMBER(SEARCH("FRANCHISE TAX",C1961)),ISNUMBER(SEARCH("NEXTLINK",C1961))),"Personal - House Bills",IF(AND(ISNUMBER(SEARCH("PAYMENT FROM",C1961)),ISNUMBER(SEARCH("JOE SAUNDERS",C1961))),"Zelle from Joe Saunders",IF(AND(ISNUMBER(SEARCH("PAYMENT TO",C1961)),ISNUMBER(SEARCH("JOE SAUNDERS",C1961))),"Zelle to Joe Saunders",IF(OR(ISNUMBER(SEARCH("NEW ORLEANS",C1961)),ISNUMBER(SEARCH("KENNER",C1961)),ISNUMBER(SEARCH("HENRY HOWARD",C1961)),ISNUMBER(SEARCH("MISS CLAUDIA",C1961))),"Personal Travel - New Orleans",IF(AND(YEAR(B1961)=2025,MONTH(B1961)=4,OR(ISNUMBER(SEARCH("EXCHANGE RATE",C1961)),ISNUMBER(SEARCH("EXCHG RTE",C1961)))),"Personal Travel - Italy",IFERROR(INDEX('Category Rules'!$B$2:$B$358,MATCH(TRUE,ISNUMBER(SEARCH('Category Rules'!$A$2:$A$358,C1961)),0)),""))))))))</f>
        <v>Amazon</v>
      </c>
    </row>
    <row r="1962" spans="1:7" x14ac:dyDescent="0.25">
      <c r="A1962" t="s">
        <v>44</v>
      </c>
      <c r="B1962" s="1">
        <v>45727</v>
      </c>
      <c r="C1962" t="s">
        <v>2093</v>
      </c>
      <c r="D1962">
        <v>2000</v>
      </c>
      <c r="E1962" t="s">
        <v>73</v>
      </c>
      <c r="F1962">
        <v>6252.77</v>
      </c>
      <c r="G1962" t="str" cm="1">
        <f t="array" ref="G1962">IF(AND(ISNUMBER(SEARCH("UBER",C1962)),ISNUMBER(SEARCH("EATS",C1962))),"Uber Eats",IF(LEFT(C1962,6)="CHECK ","Checks Paid",IF(OR(E1962="BILLPAY",ISNUMBER(SEARCH("FRANCHISE TAX",C1962)),ISNUMBER(SEARCH("NEXTLINK",C1962))),"Personal - House Bills",IF(AND(ISNUMBER(SEARCH("PAYMENT FROM",C1962)),ISNUMBER(SEARCH("JOE SAUNDERS",C1962))),"Zelle from Joe Saunders",IF(AND(ISNUMBER(SEARCH("PAYMENT TO",C1962)),ISNUMBER(SEARCH("JOE SAUNDERS",C1962))),"Zelle to Joe Saunders",IF(OR(ISNUMBER(SEARCH("NEW ORLEANS",C1962)),ISNUMBER(SEARCH("KENNER",C1962)),ISNUMBER(SEARCH("HENRY HOWARD",C1962)),ISNUMBER(SEARCH("MISS CLAUDIA",C1962))),"Personal Travel - New Orleans",IF(AND(YEAR(B1962)=2025,MONTH(B1962)=4,OR(ISNUMBER(SEARCH("EXCHANGE RATE",C1962)),ISNUMBER(SEARCH("EXCHG RTE",C1962)))),"Personal Travel - Italy",IFERROR(INDEX('Category Rules'!$B$2:$B$358,MATCH(TRUE,ISNUMBER(SEARCH('Category Rules'!$A$2:$A$358,C1962)),0)),""))))))))</f>
        <v>Transfer from DWG Capital Group</v>
      </c>
    </row>
    <row r="1963" spans="1:7" x14ac:dyDescent="0.25">
      <c r="A1963" t="s">
        <v>126</v>
      </c>
      <c r="B1963" s="1">
        <v>45727</v>
      </c>
      <c r="C1963" t="s">
        <v>2094</v>
      </c>
      <c r="D1963">
        <v>175</v>
      </c>
      <c r="E1963" t="s">
        <v>128</v>
      </c>
      <c r="F1963">
        <v>4252.7700000000004</v>
      </c>
      <c r="G1963" t="str" cm="1">
        <f t="array" ref="G1963">IF(AND(ISNUMBER(SEARCH("UBER",C1963)),ISNUMBER(SEARCH("EATS",C1963))),"Uber Eats",IF(LEFT(C1963,6)="CHECK ","Checks Paid",IF(OR(E1963="BILLPAY",ISNUMBER(SEARCH("FRANCHISE TAX",C1963)),ISNUMBER(SEARCH("NEXTLINK",C1963))),"Personal - House Bills",IF(AND(ISNUMBER(SEARCH("PAYMENT FROM",C1963)),ISNUMBER(SEARCH("JOE SAUNDERS",C1963))),"Zelle from Joe Saunders",IF(AND(ISNUMBER(SEARCH("PAYMENT TO",C1963)),ISNUMBER(SEARCH("JOE SAUNDERS",C1963))),"Zelle to Joe Saunders",IF(OR(ISNUMBER(SEARCH("NEW ORLEANS",C1963)),ISNUMBER(SEARCH("KENNER",C1963)),ISNUMBER(SEARCH("HENRY HOWARD",C1963)),ISNUMBER(SEARCH("MISS CLAUDIA",C1963))),"Personal Travel - New Orleans",IF(AND(YEAR(B1963)=2025,MONTH(B1963)=4,OR(ISNUMBER(SEARCH("EXCHANGE RATE",C1963)),ISNUMBER(SEARCH("EXCHG RTE",C1963)))),"Personal Travel - Italy",IFERROR(INDEX('Category Rules'!$B$2:$B$358,MATCH(TRUE,ISNUMBER(SEARCH('Category Rules'!$A$2:$A$358,C1963)),0)),""))))))))</f>
        <v>Deposit</v>
      </c>
    </row>
    <row r="1964" spans="1:7" x14ac:dyDescent="0.25">
      <c r="A1964" t="s">
        <v>6</v>
      </c>
      <c r="B1964" s="1">
        <v>45726</v>
      </c>
      <c r="C1964" t="s">
        <v>2095</v>
      </c>
      <c r="D1964">
        <v>-16.739999999999998</v>
      </c>
      <c r="E1964" t="s">
        <v>10</v>
      </c>
      <c r="F1964">
        <v>4077.77</v>
      </c>
      <c r="G1964" t="str" cm="1">
        <f t="array" ref="G1964">IF(AND(ISNUMBER(SEARCH("UBER",C1964)),ISNUMBER(SEARCH("EATS",C1964))),"Uber Eats",IF(LEFT(C1964,6)="CHECK ","Checks Paid",IF(OR(E1964="BILLPAY",ISNUMBER(SEARCH("FRANCHISE TAX",C1964)),ISNUMBER(SEARCH("NEXTLINK",C1964))),"Personal - House Bills",IF(AND(ISNUMBER(SEARCH("PAYMENT FROM",C1964)),ISNUMBER(SEARCH("JOE SAUNDERS",C1964))),"Zelle from Joe Saunders",IF(AND(ISNUMBER(SEARCH("PAYMENT TO",C1964)),ISNUMBER(SEARCH("JOE SAUNDERS",C1964))),"Zelle to Joe Saunders",IF(OR(ISNUMBER(SEARCH("NEW ORLEANS",C1964)),ISNUMBER(SEARCH("KENNER",C1964)),ISNUMBER(SEARCH("HENRY HOWARD",C1964)),ISNUMBER(SEARCH("MISS CLAUDIA",C1964))),"Personal Travel - New Orleans",IF(AND(YEAR(B1964)=2025,MONTH(B1964)=4,OR(ISNUMBER(SEARCH("EXCHANGE RATE",C1964)),ISNUMBER(SEARCH("EXCHG RTE",C1964)))),"Personal Travel - Italy",IFERROR(INDEX('Category Rules'!$B$2:$B$358,MATCH(TRUE,ISNUMBER(SEARCH('Category Rules'!$A$2:$A$358,C1964)),0)),""))))))))</f>
        <v>Amazon</v>
      </c>
    </row>
    <row r="1965" spans="1:7" x14ac:dyDescent="0.25">
      <c r="A1965" t="s">
        <v>6</v>
      </c>
      <c r="B1965" s="1">
        <v>45726</v>
      </c>
      <c r="C1965" t="s">
        <v>2096</v>
      </c>
      <c r="D1965">
        <v>-12.99</v>
      </c>
      <c r="E1965" t="s">
        <v>10</v>
      </c>
      <c r="F1965">
        <v>4094.51</v>
      </c>
      <c r="G1965" t="str" cm="1">
        <f t="array" ref="G1965">IF(AND(ISNUMBER(SEARCH("UBER",C1965)),ISNUMBER(SEARCH("EATS",C1965))),"Uber Eats",IF(LEFT(C1965,6)="CHECK ","Checks Paid",IF(OR(E1965="BILLPAY",ISNUMBER(SEARCH("FRANCHISE TAX",C1965)),ISNUMBER(SEARCH("NEXTLINK",C1965))),"Personal - House Bills",IF(AND(ISNUMBER(SEARCH("PAYMENT FROM",C1965)),ISNUMBER(SEARCH("JOE SAUNDERS",C1965))),"Zelle from Joe Saunders",IF(AND(ISNUMBER(SEARCH("PAYMENT TO",C1965)),ISNUMBER(SEARCH("JOE SAUNDERS",C1965))),"Zelle to Joe Saunders",IF(OR(ISNUMBER(SEARCH("NEW ORLEANS",C1965)),ISNUMBER(SEARCH("KENNER",C1965)),ISNUMBER(SEARCH("HENRY HOWARD",C1965)),ISNUMBER(SEARCH("MISS CLAUDIA",C1965))),"Personal Travel - New Orleans",IF(AND(YEAR(B1965)=2025,MONTH(B1965)=4,OR(ISNUMBER(SEARCH("EXCHANGE RATE",C1965)),ISNUMBER(SEARCH("EXCHG RTE",C1965)))),"Personal Travel - Italy",IFERROR(INDEX('Category Rules'!$B$2:$B$358,MATCH(TRUE,ISNUMBER(SEARCH('Category Rules'!$A$2:$A$358,C1965)),0)),""))))))))</f>
        <v>Apple</v>
      </c>
    </row>
    <row r="1966" spans="1:7" x14ac:dyDescent="0.25">
      <c r="A1966" t="s">
        <v>6</v>
      </c>
      <c r="B1966" s="1">
        <v>45726</v>
      </c>
      <c r="C1966" t="s">
        <v>2097</v>
      </c>
      <c r="D1966">
        <v>-500</v>
      </c>
      <c r="E1966" t="s">
        <v>39</v>
      </c>
      <c r="F1966">
        <v>4107.5</v>
      </c>
      <c r="G1966" t="str" cm="1">
        <f t="array" ref="G1966">IF(AND(ISNUMBER(SEARCH("UBER",C1966)),ISNUMBER(SEARCH("EATS",C1966))),"Uber Eats",IF(LEFT(C1966,6)="CHECK ","Checks Paid",IF(OR(E1966="BILLPAY",ISNUMBER(SEARCH("FRANCHISE TAX",C1966)),ISNUMBER(SEARCH("NEXTLINK",C1966))),"Personal - House Bills",IF(AND(ISNUMBER(SEARCH("PAYMENT FROM",C1966)),ISNUMBER(SEARCH("JOE SAUNDERS",C1966))),"Zelle from Joe Saunders",IF(AND(ISNUMBER(SEARCH("PAYMENT TO",C1966)),ISNUMBER(SEARCH("JOE SAUNDERS",C1966))),"Zelle to Joe Saunders",IF(OR(ISNUMBER(SEARCH("NEW ORLEANS",C1966)),ISNUMBER(SEARCH("KENNER",C1966)),ISNUMBER(SEARCH("HENRY HOWARD",C1966)),ISNUMBER(SEARCH("MISS CLAUDIA",C1966))),"Personal Travel - New Orleans",IF(AND(YEAR(B1966)=2025,MONTH(B1966)=4,OR(ISNUMBER(SEARCH("EXCHANGE RATE",C1966)),ISNUMBER(SEARCH("EXCHG RTE",C1966)))),"Personal Travel - Italy",IFERROR(INDEX('Category Rules'!$B$2:$B$358,MATCH(TRUE,ISNUMBER(SEARCH('Category Rules'!$A$2:$A$358,C1966)),0)),""))))))))</f>
        <v>Zelle to Aaron Frankel</v>
      </c>
    </row>
    <row r="1967" spans="1:7" x14ac:dyDescent="0.25">
      <c r="A1967" t="s">
        <v>6</v>
      </c>
      <c r="B1967" s="1">
        <v>45726</v>
      </c>
      <c r="C1967" t="s">
        <v>2098</v>
      </c>
      <c r="D1967">
        <v>-70.08</v>
      </c>
      <c r="E1967" t="s">
        <v>10</v>
      </c>
      <c r="F1967">
        <v>4607.5</v>
      </c>
      <c r="G1967" t="str" cm="1">
        <f t="array" ref="G1967">IF(AND(ISNUMBER(SEARCH("UBER",C1967)),ISNUMBER(SEARCH("EATS",C1967))),"Uber Eats",IF(LEFT(C1967,6)="CHECK ","Checks Paid",IF(OR(E1967="BILLPAY",ISNUMBER(SEARCH("FRANCHISE TAX",C1967)),ISNUMBER(SEARCH("NEXTLINK",C1967))),"Personal - House Bills",IF(AND(ISNUMBER(SEARCH("PAYMENT FROM",C1967)),ISNUMBER(SEARCH("JOE SAUNDERS",C1967))),"Zelle from Joe Saunders",IF(AND(ISNUMBER(SEARCH("PAYMENT TO",C1967)),ISNUMBER(SEARCH("JOE SAUNDERS",C1967))),"Zelle to Joe Saunders",IF(OR(ISNUMBER(SEARCH("NEW ORLEANS",C1967)),ISNUMBER(SEARCH("KENNER",C1967)),ISNUMBER(SEARCH("HENRY HOWARD",C1967)),ISNUMBER(SEARCH("MISS CLAUDIA",C1967))),"Personal Travel - New Orleans",IF(AND(YEAR(B1967)=2025,MONTH(B1967)=4,OR(ISNUMBER(SEARCH("EXCHANGE RATE",C1967)),ISNUMBER(SEARCH("EXCHG RTE",C1967)))),"Personal Travel - Italy",IFERROR(INDEX('Category Rules'!$B$2:$B$358,MATCH(TRUE,ISNUMBER(SEARCH('Category Rules'!$A$2:$A$358,C1967)),0)),""))))))))</f>
        <v>Amazon</v>
      </c>
    </row>
    <row r="1968" spans="1:7" x14ac:dyDescent="0.25">
      <c r="A1968" t="s">
        <v>6</v>
      </c>
      <c r="B1968" s="1">
        <v>45726</v>
      </c>
      <c r="C1968" t="s">
        <v>2099</v>
      </c>
      <c r="D1968">
        <v>-6.99</v>
      </c>
      <c r="E1968" t="s">
        <v>10</v>
      </c>
      <c r="F1968">
        <v>4677.58</v>
      </c>
      <c r="G1968" t="str" cm="1">
        <f t="array" ref="G1968">IF(AND(ISNUMBER(SEARCH("UBER",C1968)),ISNUMBER(SEARCH("EATS",C1968))),"Uber Eats",IF(LEFT(C1968,6)="CHECK ","Checks Paid",IF(OR(E1968="BILLPAY",ISNUMBER(SEARCH("FRANCHISE TAX",C1968)),ISNUMBER(SEARCH("NEXTLINK",C1968))),"Personal - House Bills",IF(AND(ISNUMBER(SEARCH("PAYMENT FROM",C1968)),ISNUMBER(SEARCH("JOE SAUNDERS",C1968))),"Zelle from Joe Saunders",IF(AND(ISNUMBER(SEARCH("PAYMENT TO",C1968)),ISNUMBER(SEARCH("JOE SAUNDERS",C1968))),"Zelle to Joe Saunders",IF(OR(ISNUMBER(SEARCH("NEW ORLEANS",C1968)),ISNUMBER(SEARCH("KENNER",C1968)),ISNUMBER(SEARCH("HENRY HOWARD",C1968)),ISNUMBER(SEARCH("MISS CLAUDIA",C1968))),"Personal Travel - New Orleans",IF(AND(YEAR(B1968)=2025,MONTH(B1968)=4,OR(ISNUMBER(SEARCH("EXCHANGE RATE",C1968)),ISNUMBER(SEARCH("EXCHG RTE",C1968)))),"Personal Travel - Italy",IFERROR(INDEX('Category Rules'!$B$2:$B$358,MATCH(TRUE,ISNUMBER(SEARCH('Category Rules'!$A$2:$A$358,C1968)),0)),""))))))))</f>
        <v>Apple</v>
      </c>
    </row>
    <row r="1969" spans="1:7" x14ac:dyDescent="0.25">
      <c r="A1969" t="s">
        <v>6</v>
      </c>
      <c r="B1969" s="1">
        <v>45726</v>
      </c>
      <c r="C1969" t="s">
        <v>2100</v>
      </c>
      <c r="D1969">
        <v>-83.16</v>
      </c>
      <c r="E1969" t="s">
        <v>10</v>
      </c>
      <c r="F1969">
        <v>4684.57</v>
      </c>
      <c r="G1969" t="str" cm="1">
        <f t="array" ref="G1969">IF(AND(ISNUMBER(SEARCH("UBER",C1969)),ISNUMBER(SEARCH("EATS",C1969))),"Uber Eats",IF(LEFT(C1969,6)="CHECK ","Checks Paid",IF(OR(E1969="BILLPAY",ISNUMBER(SEARCH("FRANCHISE TAX",C1969)),ISNUMBER(SEARCH("NEXTLINK",C1969))),"Personal - House Bills",IF(AND(ISNUMBER(SEARCH("PAYMENT FROM",C1969)),ISNUMBER(SEARCH("JOE SAUNDERS",C1969))),"Zelle from Joe Saunders",IF(AND(ISNUMBER(SEARCH("PAYMENT TO",C1969)),ISNUMBER(SEARCH("JOE SAUNDERS",C1969))),"Zelle to Joe Saunders",IF(OR(ISNUMBER(SEARCH("NEW ORLEANS",C1969)),ISNUMBER(SEARCH("KENNER",C1969)),ISNUMBER(SEARCH("HENRY HOWARD",C1969)),ISNUMBER(SEARCH("MISS CLAUDIA",C1969))),"Personal Travel - New Orleans",IF(AND(YEAR(B1969)=2025,MONTH(B1969)=4,OR(ISNUMBER(SEARCH("EXCHANGE RATE",C1969)),ISNUMBER(SEARCH("EXCHG RTE",C1969)))),"Personal Travel - Italy",IFERROR(INDEX('Category Rules'!$B$2:$B$358,MATCH(TRUE,ISNUMBER(SEARCH('Category Rules'!$A$2:$A$358,C1969)),0)),""))))))))</f>
        <v>Amazon</v>
      </c>
    </row>
    <row r="1970" spans="1:7" x14ac:dyDescent="0.25">
      <c r="A1970" t="s">
        <v>6</v>
      </c>
      <c r="B1970" s="1">
        <v>45726</v>
      </c>
      <c r="C1970" t="s">
        <v>2101</v>
      </c>
      <c r="D1970">
        <v>-229.32</v>
      </c>
      <c r="E1970" t="s">
        <v>10</v>
      </c>
      <c r="F1970">
        <v>4767.7299999999996</v>
      </c>
      <c r="G1970" t="str" cm="1">
        <f t="array" ref="G1970">IF(AND(ISNUMBER(SEARCH("UBER",C1970)),ISNUMBER(SEARCH("EATS",C1970))),"Uber Eats",IF(LEFT(C1970,6)="CHECK ","Checks Paid",IF(OR(E1970="BILLPAY",ISNUMBER(SEARCH("FRANCHISE TAX",C1970)),ISNUMBER(SEARCH("NEXTLINK",C1970))),"Personal - House Bills",IF(AND(ISNUMBER(SEARCH("PAYMENT FROM",C1970)),ISNUMBER(SEARCH("JOE SAUNDERS",C1970))),"Zelle from Joe Saunders",IF(AND(ISNUMBER(SEARCH("PAYMENT TO",C1970)),ISNUMBER(SEARCH("JOE SAUNDERS",C1970))),"Zelle to Joe Saunders",IF(OR(ISNUMBER(SEARCH("NEW ORLEANS",C1970)),ISNUMBER(SEARCH("KENNER",C1970)),ISNUMBER(SEARCH("HENRY HOWARD",C1970)),ISNUMBER(SEARCH("MISS CLAUDIA",C1970))),"Personal Travel - New Orleans",IF(AND(YEAR(B1970)=2025,MONTH(B1970)=4,OR(ISNUMBER(SEARCH("EXCHANGE RATE",C1970)),ISNUMBER(SEARCH("EXCHG RTE",C1970)))),"Personal Travel - Italy",IFERROR(INDEX('Category Rules'!$B$2:$B$358,MATCH(TRUE,ISNUMBER(SEARCH('Category Rules'!$A$2:$A$358,C1970)),0)),""))))))))</f>
        <v>Personal - Shopping</v>
      </c>
    </row>
    <row r="1971" spans="1:7" x14ac:dyDescent="0.25">
      <c r="A1971" t="s">
        <v>6</v>
      </c>
      <c r="B1971" s="1">
        <v>45726</v>
      </c>
      <c r="C1971" t="s">
        <v>2102</v>
      </c>
      <c r="D1971">
        <v>-34.24</v>
      </c>
      <c r="E1971" t="s">
        <v>10</v>
      </c>
      <c r="F1971">
        <v>4997.05</v>
      </c>
      <c r="G1971" t="str" cm="1">
        <f t="array" ref="G1971">IF(AND(ISNUMBER(SEARCH("UBER",C1971)),ISNUMBER(SEARCH("EATS",C1971))),"Uber Eats",IF(LEFT(C1971,6)="CHECK ","Checks Paid",IF(OR(E1971="BILLPAY",ISNUMBER(SEARCH("FRANCHISE TAX",C1971)),ISNUMBER(SEARCH("NEXTLINK",C1971))),"Personal - House Bills",IF(AND(ISNUMBER(SEARCH("PAYMENT FROM",C1971)),ISNUMBER(SEARCH("JOE SAUNDERS",C1971))),"Zelle from Joe Saunders",IF(AND(ISNUMBER(SEARCH("PAYMENT TO",C1971)),ISNUMBER(SEARCH("JOE SAUNDERS",C1971))),"Zelle to Joe Saunders",IF(OR(ISNUMBER(SEARCH("NEW ORLEANS",C1971)),ISNUMBER(SEARCH("KENNER",C1971)),ISNUMBER(SEARCH("HENRY HOWARD",C1971)),ISNUMBER(SEARCH("MISS CLAUDIA",C1971))),"Personal Travel - New Orleans",IF(AND(YEAR(B1971)=2025,MONTH(B1971)=4,OR(ISNUMBER(SEARCH("EXCHANGE RATE",C1971)),ISNUMBER(SEARCH("EXCHG RTE",C1971)))),"Personal Travel - Italy",IFERROR(INDEX('Category Rules'!$B$2:$B$358,MATCH(TRUE,ISNUMBER(SEARCH('Category Rules'!$A$2:$A$358,C1971)),0)),""))))))))</f>
        <v>Amazon</v>
      </c>
    </row>
    <row r="1972" spans="1:7" x14ac:dyDescent="0.25">
      <c r="A1972" t="s">
        <v>6</v>
      </c>
      <c r="B1972" s="1">
        <v>45726</v>
      </c>
      <c r="C1972" t="s">
        <v>2103</v>
      </c>
      <c r="D1972">
        <v>-39.33</v>
      </c>
      <c r="E1972" t="s">
        <v>10</v>
      </c>
      <c r="F1972">
        <v>5031.29</v>
      </c>
      <c r="G1972" t="str" cm="1">
        <f t="array" ref="G1972">IF(AND(ISNUMBER(SEARCH("UBER",C1972)),ISNUMBER(SEARCH("EATS",C1972))),"Uber Eats",IF(LEFT(C1972,6)="CHECK ","Checks Paid",IF(OR(E1972="BILLPAY",ISNUMBER(SEARCH("FRANCHISE TAX",C1972)),ISNUMBER(SEARCH("NEXTLINK",C1972))),"Personal - House Bills",IF(AND(ISNUMBER(SEARCH("PAYMENT FROM",C1972)),ISNUMBER(SEARCH("JOE SAUNDERS",C1972))),"Zelle from Joe Saunders",IF(AND(ISNUMBER(SEARCH("PAYMENT TO",C1972)),ISNUMBER(SEARCH("JOE SAUNDERS",C1972))),"Zelle to Joe Saunders",IF(OR(ISNUMBER(SEARCH("NEW ORLEANS",C1972)),ISNUMBER(SEARCH("KENNER",C1972)),ISNUMBER(SEARCH("HENRY HOWARD",C1972)),ISNUMBER(SEARCH("MISS CLAUDIA",C1972))),"Personal Travel - New Orleans",IF(AND(YEAR(B1972)=2025,MONTH(B1972)=4,OR(ISNUMBER(SEARCH("EXCHANGE RATE",C1972)),ISNUMBER(SEARCH("EXCHG RTE",C1972)))),"Personal Travel - Italy",IFERROR(INDEX('Category Rules'!$B$2:$B$358,MATCH(TRUE,ISNUMBER(SEARCH('Category Rules'!$A$2:$A$358,C1972)),0)),""))))))))</f>
        <v>Personal - Shopping</v>
      </c>
    </row>
    <row r="1973" spans="1:7" x14ac:dyDescent="0.25">
      <c r="A1973" t="s">
        <v>6</v>
      </c>
      <c r="B1973" s="1">
        <v>45726</v>
      </c>
      <c r="C1973" t="s">
        <v>2104</v>
      </c>
      <c r="D1973">
        <v>-36.119999999999997</v>
      </c>
      <c r="E1973" t="s">
        <v>10</v>
      </c>
      <c r="F1973">
        <v>5070.62</v>
      </c>
      <c r="G1973" t="str" cm="1">
        <f t="array" ref="G1973">IF(AND(ISNUMBER(SEARCH("UBER",C1973)),ISNUMBER(SEARCH("EATS",C1973))),"Uber Eats",IF(LEFT(C1973,6)="CHECK ","Checks Paid",IF(OR(E1973="BILLPAY",ISNUMBER(SEARCH("FRANCHISE TAX",C1973)),ISNUMBER(SEARCH("NEXTLINK",C1973))),"Personal - House Bills",IF(AND(ISNUMBER(SEARCH("PAYMENT FROM",C1973)),ISNUMBER(SEARCH("JOE SAUNDERS",C1973))),"Zelle from Joe Saunders",IF(AND(ISNUMBER(SEARCH("PAYMENT TO",C1973)),ISNUMBER(SEARCH("JOE SAUNDERS",C1973))),"Zelle to Joe Saunders",IF(OR(ISNUMBER(SEARCH("NEW ORLEANS",C1973)),ISNUMBER(SEARCH("KENNER",C1973)),ISNUMBER(SEARCH("HENRY HOWARD",C1973)),ISNUMBER(SEARCH("MISS CLAUDIA",C1973))),"Personal Travel - New Orleans",IF(AND(YEAR(B1973)=2025,MONTH(B1973)=4,OR(ISNUMBER(SEARCH("EXCHANGE RATE",C1973)),ISNUMBER(SEARCH("EXCHG RTE",C1973)))),"Personal Travel - Italy",IFERROR(INDEX('Category Rules'!$B$2:$B$358,MATCH(TRUE,ISNUMBER(SEARCH('Category Rules'!$A$2:$A$358,C1973)),0)),""))))))))</f>
        <v>Amazon</v>
      </c>
    </row>
    <row r="1974" spans="1:7" x14ac:dyDescent="0.25">
      <c r="A1974" t="s">
        <v>6</v>
      </c>
      <c r="B1974" s="1">
        <v>45726</v>
      </c>
      <c r="C1974" t="s">
        <v>2105</v>
      </c>
      <c r="D1974">
        <v>-30.07</v>
      </c>
      <c r="E1974" t="s">
        <v>10</v>
      </c>
      <c r="F1974">
        <v>5106.74</v>
      </c>
      <c r="G1974" t="str" cm="1">
        <f t="array" ref="G1974">IF(AND(ISNUMBER(SEARCH("UBER",C1974)),ISNUMBER(SEARCH("EATS",C1974))),"Uber Eats",IF(LEFT(C1974,6)="CHECK ","Checks Paid",IF(OR(E1974="BILLPAY",ISNUMBER(SEARCH("FRANCHISE TAX",C1974)),ISNUMBER(SEARCH("NEXTLINK",C1974))),"Personal - House Bills",IF(AND(ISNUMBER(SEARCH("PAYMENT FROM",C1974)),ISNUMBER(SEARCH("JOE SAUNDERS",C1974))),"Zelle from Joe Saunders",IF(AND(ISNUMBER(SEARCH("PAYMENT TO",C1974)),ISNUMBER(SEARCH("JOE SAUNDERS",C1974))),"Zelle to Joe Saunders",IF(OR(ISNUMBER(SEARCH("NEW ORLEANS",C1974)),ISNUMBER(SEARCH("KENNER",C1974)),ISNUMBER(SEARCH("HENRY HOWARD",C1974)),ISNUMBER(SEARCH("MISS CLAUDIA",C1974))),"Personal Travel - New Orleans",IF(AND(YEAR(B1974)=2025,MONTH(B1974)=4,OR(ISNUMBER(SEARCH("EXCHANGE RATE",C1974)),ISNUMBER(SEARCH("EXCHG RTE",C1974)))),"Personal Travel - Italy",IFERROR(INDEX('Category Rules'!$B$2:$B$358,MATCH(TRUE,ISNUMBER(SEARCH('Category Rules'!$A$2:$A$358,C1974)),0)),""))))))))</f>
        <v>Personal - Shopping</v>
      </c>
    </row>
    <row r="1975" spans="1:7" x14ac:dyDescent="0.25">
      <c r="A1975" t="s">
        <v>6</v>
      </c>
      <c r="B1975" s="1">
        <v>45726</v>
      </c>
      <c r="C1975" t="s">
        <v>2106</v>
      </c>
      <c r="D1975">
        <v>-100</v>
      </c>
      <c r="E1975" t="s">
        <v>10</v>
      </c>
      <c r="F1975">
        <v>5136.8100000000004</v>
      </c>
      <c r="G1975" t="str" cm="1">
        <f t="array" ref="G1975">IF(AND(ISNUMBER(SEARCH("UBER",C1975)),ISNUMBER(SEARCH("EATS",C1975))),"Uber Eats",IF(LEFT(C1975,6)="CHECK ","Checks Paid",IF(OR(E1975="BILLPAY",ISNUMBER(SEARCH("FRANCHISE TAX",C1975)),ISNUMBER(SEARCH("NEXTLINK",C1975))),"Personal - House Bills",IF(AND(ISNUMBER(SEARCH("PAYMENT FROM",C1975)),ISNUMBER(SEARCH("JOE SAUNDERS",C1975))),"Zelle from Joe Saunders",IF(AND(ISNUMBER(SEARCH("PAYMENT TO",C1975)),ISNUMBER(SEARCH("JOE SAUNDERS",C1975))),"Zelle to Joe Saunders",IF(OR(ISNUMBER(SEARCH("NEW ORLEANS",C1975)),ISNUMBER(SEARCH("KENNER",C1975)),ISNUMBER(SEARCH("HENRY HOWARD",C1975)),ISNUMBER(SEARCH("MISS CLAUDIA",C1975))),"Personal Travel - New Orleans",IF(AND(YEAR(B1975)=2025,MONTH(B1975)=4,OR(ISNUMBER(SEARCH("EXCHANGE RATE",C1975)),ISNUMBER(SEARCH("EXCHG RTE",C1975)))),"Personal Travel - Italy",IFERROR(INDEX('Category Rules'!$B$2:$B$358,MATCH(TRUE,ISNUMBER(SEARCH('Category Rules'!$A$2:$A$358,C1975)),0)),""))))))))</f>
        <v>Personal - Subscription</v>
      </c>
    </row>
    <row r="1976" spans="1:7" x14ac:dyDescent="0.25">
      <c r="A1976" t="s">
        <v>6</v>
      </c>
      <c r="B1976" s="1">
        <v>45726</v>
      </c>
      <c r="C1976" t="s">
        <v>2107</v>
      </c>
      <c r="D1976">
        <v>-28.45</v>
      </c>
      <c r="E1976" t="s">
        <v>10</v>
      </c>
      <c r="F1976">
        <v>5236.8100000000004</v>
      </c>
      <c r="G1976" t="str" cm="1">
        <f t="array" ref="G1976">IF(AND(ISNUMBER(SEARCH("UBER",C1976)),ISNUMBER(SEARCH("EATS",C1976))),"Uber Eats",IF(LEFT(C1976,6)="CHECK ","Checks Paid",IF(OR(E1976="BILLPAY",ISNUMBER(SEARCH("FRANCHISE TAX",C1976)),ISNUMBER(SEARCH("NEXTLINK",C1976))),"Personal - House Bills",IF(AND(ISNUMBER(SEARCH("PAYMENT FROM",C1976)),ISNUMBER(SEARCH("JOE SAUNDERS",C1976))),"Zelle from Joe Saunders",IF(AND(ISNUMBER(SEARCH("PAYMENT TO",C1976)),ISNUMBER(SEARCH("JOE SAUNDERS",C1976))),"Zelle to Joe Saunders",IF(OR(ISNUMBER(SEARCH("NEW ORLEANS",C1976)),ISNUMBER(SEARCH("KENNER",C1976)),ISNUMBER(SEARCH("HENRY HOWARD",C1976)),ISNUMBER(SEARCH("MISS CLAUDIA",C1976))),"Personal Travel - New Orleans",IF(AND(YEAR(B1976)=2025,MONTH(B1976)=4,OR(ISNUMBER(SEARCH("EXCHANGE RATE",C1976)),ISNUMBER(SEARCH("EXCHG RTE",C1976)))),"Personal Travel - Italy",IFERROR(INDEX('Category Rules'!$B$2:$B$358,MATCH(TRUE,ISNUMBER(SEARCH('Category Rules'!$A$2:$A$358,C1976)),0)),""))))))))</f>
        <v>Amazon</v>
      </c>
    </row>
    <row r="1977" spans="1:7" x14ac:dyDescent="0.25">
      <c r="A1977" t="s">
        <v>6</v>
      </c>
      <c r="B1977" s="1">
        <v>45726</v>
      </c>
      <c r="C1977" t="s">
        <v>2108</v>
      </c>
      <c r="D1977">
        <v>-297.45</v>
      </c>
      <c r="E1977" t="s">
        <v>10</v>
      </c>
      <c r="F1977">
        <v>5265.26</v>
      </c>
      <c r="G1977" t="str" cm="1">
        <f t="array" ref="G1977">IF(AND(ISNUMBER(SEARCH("UBER",C1977)),ISNUMBER(SEARCH("EATS",C1977))),"Uber Eats",IF(LEFT(C1977,6)="CHECK ","Checks Paid",IF(OR(E1977="BILLPAY",ISNUMBER(SEARCH("FRANCHISE TAX",C1977)),ISNUMBER(SEARCH("NEXTLINK",C1977))),"Personal - House Bills",IF(AND(ISNUMBER(SEARCH("PAYMENT FROM",C1977)),ISNUMBER(SEARCH("JOE SAUNDERS",C1977))),"Zelle from Joe Saunders",IF(AND(ISNUMBER(SEARCH("PAYMENT TO",C1977)),ISNUMBER(SEARCH("JOE SAUNDERS",C1977))),"Zelle to Joe Saunders",IF(OR(ISNUMBER(SEARCH("NEW ORLEANS",C1977)),ISNUMBER(SEARCH("KENNER",C1977)),ISNUMBER(SEARCH("HENRY HOWARD",C1977)),ISNUMBER(SEARCH("MISS CLAUDIA",C1977))),"Personal Travel - New Orleans",IF(AND(YEAR(B1977)=2025,MONTH(B1977)=4,OR(ISNUMBER(SEARCH("EXCHANGE RATE",C1977)),ISNUMBER(SEARCH("EXCHG RTE",C1977)))),"Personal Travel - Italy",IFERROR(INDEX('Category Rules'!$B$2:$B$358,MATCH(TRUE,ISNUMBER(SEARCH('Category Rules'!$A$2:$A$358,C1977)),0)),""))))))))</f>
        <v>Personal - Food</v>
      </c>
    </row>
    <row r="1978" spans="1:7" x14ac:dyDescent="0.25">
      <c r="A1978" t="s">
        <v>6</v>
      </c>
      <c r="B1978" s="1">
        <v>45726</v>
      </c>
      <c r="C1978" t="s">
        <v>2109</v>
      </c>
      <c r="D1978">
        <v>-246</v>
      </c>
      <c r="E1978" t="s">
        <v>10</v>
      </c>
      <c r="F1978">
        <v>5562.71</v>
      </c>
      <c r="G1978" t="str" cm="1">
        <f t="array" ref="G1978">IF(AND(ISNUMBER(SEARCH("UBER",C1978)),ISNUMBER(SEARCH("EATS",C1978))),"Uber Eats",IF(LEFT(C1978,6)="CHECK ","Checks Paid",IF(OR(E1978="BILLPAY",ISNUMBER(SEARCH("FRANCHISE TAX",C1978)),ISNUMBER(SEARCH("NEXTLINK",C1978))),"Personal - House Bills",IF(AND(ISNUMBER(SEARCH("PAYMENT FROM",C1978)),ISNUMBER(SEARCH("JOE SAUNDERS",C1978))),"Zelle from Joe Saunders",IF(AND(ISNUMBER(SEARCH("PAYMENT TO",C1978)),ISNUMBER(SEARCH("JOE SAUNDERS",C1978))),"Zelle to Joe Saunders",IF(OR(ISNUMBER(SEARCH("NEW ORLEANS",C1978)),ISNUMBER(SEARCH("KENNER",C1978)),ISNUMBER(SEARCH("HENRY HOWARD",C1978)),ISNUMBER(SEARCH("MISS CLAUDIA",C1978))),"Personal Travel - New Orleans",IF(AND(YEAR(B1978)=2025,MONTH(B1978)=4,OR(ISNUMBER(SEARCH("EXCHANGE RATE",C1978)),ISNUMBER(SEARCH("EXCHG RTE",C1978)))),"Personal Travel - Italy",IFERROR(INDEX('Category Rules'!$B$2:$B$358,MATCH(TRUE,ISNUMBER(SEARCH('Category Rules'!$A$2:$A$358,C1978)),0)),""))))))))</f>
        <v>Personal - Entertainment</v>
      </c>
    </row>
    <row r="1979" spans="1:7" x14ac:dyDescent="0.25">
      <c r="A1979" t="s">
        <v>6</v>
      </c>
      <c r="B1979" s="1">
        <v>45726</v>
      </c>
      <c r="C1979" t="s">
        <v>2110</v>
      </c>
      <c r="D1979">
        <v>-13.99</v>
      </c>
      <c r="E1979" t="s">
        <v>10</v>
      </c>
      <c r="F1979">
        <v>5808.71</v>
      </c>
      <c r="G1979" t="str" cm="1">
        <f t="array" ref="G1979">IF(AND(ISNUMBER(SEARCH("UBER",C1979)),ISNUMBER(SEARCH("EATS",C1979))),"Uber Eats",IF(LEFT(C1979,6)="CHECK ","Checks Paid",IF(OR(E1979="BILLPAY",ISNUMBER(SEARCH("FRANCHISE TAX",C1979)),ISNUMBER(SEARCH("NEXTLINK",C1979))),"Personal - House Bills",IF(AND(ISNUMBER(SEARCH("PAYMENT FROM",C1979)),ISNUMBER(SEARCH("JOE SAUNDERS",C1979))),"Zelle from Joe Saunders",IF(AND(ISNUMBER(SEARCH("PAYMENT TO",C1979)),ISNUMBER(SEARCH("JOE SAUNDERS",C1979))),"Zelle to Joe Saunders",IF(OR(ISNUMBER(SEARCH("NEW ORLEANS",C1979)),ISNUMBER(SEARCH("KENNER",C1979)),ISNUMBER(SEARCH("HENRY HOWARD",C1979)),ISNUMBER(SEARCH("MISS CLAUDIA",C1979))),"Personal Travel - New Orleans",IF(AND(YEAR(B1979)=2025,MONTH(B1979)=4,OR(ISNUMBER(SEARCH("EXCHANGE RATE",C1979)),ISNUMBER(SEARCH("EXCHG RTE",C1979)))),"Personal Travel - Italy",IFERROR(INDEX('Category Rules'!$B$2:$B$358,MATCH(TRUE,ISNUMBER(SEARCH('Category Rules'!$A$2:$A$358,C1979)),0)),""))))))))</f>
        <v>Amazon</v>
      </c>
    </row>
    <row r="1980" spans="1:7" x14ac:dyDescent="0.25">
      <c r="A1980" t="s">
        <v>6</v>
      </c>
      <c r="B1980" s="1">
        <v>45726</v>
      </c>
      <c r="C1980" t="s">
        <v>2111</v>
      </c>
      <c r="D1980">
        <v>-49.74</v>
      </c>
      <c r="E1980" t="s">
        <v>10</v>
      </c>
      <c r="F1980">
        <v>5822.7</v>
      </c>
      <c r="G1980" t="str" cm="1">
        <f t="array" ref="G1980">IF(AND(ISNUMBER(SEARCH("UBER",C1980)),ISNUMBER(SEARCH("EATS",C1980))),"Uber Eats",IF(LEFT(C1980,6)="CHECK ","Checks Paid",IF(OR(E1980="BILLPAY",ISNUMBER(SEARCH("FRANCHISE TAX",C1980)),ISNUMBER(SEARCH("NEXTLINK",C1980))),"Personal - House Bills",IF(AND(ISNUMBER(SEARCH("PAYMENT FROM",C1980)),ISNUMBER(SEARCH("JOE SAUNDERS",C1980))),"Zelle from Joe Saunders",IF(AND(ISNUMBER(SEARCH("PAYMENT TO",C1980)),ISNUMBER(SEARCH("JOE SAUNDERS",C1980))),"Zelle to Joe Saunders",IF(OR(ISNUMBER(SEARCH("NEW ORLEANS",C1980)),ISNUMBER(SEARCH("KENNER",C1980)),ISNUMBER(SEARCH("HENRY HOWARD",C1980)),ISNUMBER(SEARCH("MISS CLAUDIA",C1980))),"Personal Travel - New Orleans",IF(AND(YEAR(B1980)=2025,MONTH(B1980)=4,OR(ISNUMBER(SEARCH("EXCHANGE RATE",C1980)),ISNUMBER(SEARCH("EXCHG RTE",C1980)))),"Personal Travel - Italy",IFERROR(INDEX('Category Rules'!$B$2:$B$358,MATCH(TRUE,ISNUMBER(SEARCH('Category Rules'!$A$2:$A$358,C1980)),0)),""))))))))</f>
        <v>Amazon</v>
      </c>
    </row>
    <row r="1981" spans="1:7" x14ac:dyDescent="0.25">
      <c r="A1981" t="s">
        <v>6</v>
      </c>
      <c r="B1981" s="1">
        <v>45726</v>
      </c>
      <c r="C1981" t="s">
        <v>2112</v>
      </c>
      <c r="D1981">
        <v>-285.95999999999998</v>
      </c>
      <c r="E1981" t="s">
        <v>10</v>
      </c>
      <c r="F1981">
        <v>5872.44</v>
      </c>
      <c r="G1981" t="str" cm="1">
        <f t="array" ref="G1981">IF(AND(ISNUMBER(SEARCH("UBER",C1981)),ISNUMBER(SEARCH("EATS",C1981))),"Uber Eats",IF(LEFT(C1981,6)="CHECK ","Checks Paid",IF(OR(E1981="BILLPAY",ISNUMBER(SEARCH("FRANCHISE TAX",C1981)),ISNUMBER(SEARCH("NEXTLINK",C1981))),"Personal - House Bills",IF(AND(ISNUMBER(SEARCH("PAYMENT FROM",C1981)),ISNUMBER(SEARCH("JOE SAUNDERS",C1981))),"Zelle from Joe Saunders",IF(AND(ISNUMBER(SEARCH("PAYMENT TO",C1981)),ISNUMBER(SEARCH("JOE SAUNDERS",C1981))),"Zelle to Joe Saunders",IF(OR(ISNUMBER(SEARCH("NEW ORLEANS",C1981)),ISNUMBER(SEARCH("KENNER",C1981)),ISNUMBER(SEARCH("HENRY HOWARD",C1981)),ISNUMBER(SEARCH("MISS CLAUDIA",C1981))),"Personal Travel - New Orleans",IF(AND(YEAR(B1981)=2025,MONTH(B1981)=4,OR(ISNUMBER(SEARCH("EXCHANGE RATE",C1981)),ISNUMBER(SEARCH("EXCHG RTE",C1981)))),"Personal Travel - Italy",IFERROR(INDEX('Category Rules'!$B$2:$B$358,MATCH(TRUE,ISNUMBER(SEARCH('Category Rules'!$A$2:$A$358,C1981)),0)),""))))))))</f>
        <v>Personal - Food</v>
      </c>
    </row>
    <row r="1982" spans="1:7" x14ac:dyDescent="0.25">
      <c r="A1982" t="s">
        <v>44</v>
      </c>
      <c r="B1982" s="1">
        <v>45726</v>
      </c>
      <c r="C1982" t="s">
        <v>2113</v>
      </c>
      <c r="D1982">
        <v>2000</v>
      </c>
      <c r="E1982" t="s">
        <v>73</v>
      </c>
      <c r="F1982">
        <v>6158.4</v>
      </c>
      <c r="G1982" t="str" cm="1">
        <f t="array" ref="G1982">IF(AND(ISNUMBER(SEARCH("UBER",C1982)),ISNUMBER(SEARCH("EATS",C1982))),"Uber Eats",IF(LEFT(C1982,6)="CHECK ","Checks Paid",IF(OR(E1982="BILLPAY",ISNUMBER(SEARCH("FRANCHISE TAX",C1982)),ISNUMBER(SEARCH("NEXTLINK",C1982))),"Personal - House Bills",IF(AND(ISNUMBER(SEARCH("PAYMENT FROM",C1982)),ISNUMBER(SEARCH("JOE SAUNDERS",C1982))),"Zelle from Joe Saunders",IF(AND(ISNUMBER(SEARCH("PAYMENT TO",C1982)),ISNUMBER(SEARCH("JOE SAUNDERS",C1982))),"Zelle to Joe Saunders",IF(OR(ISNUMBER(SEARCH("NEW ORLEANS",C1982)),ISNUMBER(SEARCH("KENNER",C1982)),ISNUMBER(SEARCH("HENRY HOWARD",C1982)),ISNUMBER(SEARCH("MISS CLAUDIA",C1982))),"Personal Travel - New Orleans",IF(AND(YEAR(B1982)=2025,MONTH(B1982)=4,OR(ISNUMBER(SEARCH("EXCHANGE RATE",C1982)),ISNUMBER(SEARCH("EXCHG RTE",C1982)))),"Personal Travel - Italy",IFERROR(INDEX('Category Rules'!$B$2:$B$358,MATCH(TRUE,ISNUMBER(SEARCH('Category Rules'!$A$2:$A$358,C1982)),0)),""))))))))</f>
        <v>Transfer from DWG Capital Group</v>
      </c>
    </row>
    <row r="1983" spans="1:7" x14ac:dyDescent="0.25">
      <c r="A1983" t="s">
        <v>6</v>
      </c>
      <c r="B1983" s="1">
        <v>45723</v>
      </c>
      <c r="C1983" t="s">
        <v>2114</v>
      </c>
      <c r="D1983">
        <v>-83.14</v>
      </c>
      <c r="E1983" t="s">
        <v>10</v>
      </c>
      <c r="F1983">
        <v>4158.3999999999996</v>
      </c>
      <c r="G1983" t="str" cm="1">
        <f t="array" ref="G1983">IF(AND(ISNUMBER(SEARCH("UBER",C1983)),ISNUMBER(SEARCH("EATS",C1983))),"Uber Eats",IF(LEFT(C1983,6)="CHECK ","Checks Paid",IF(OR(E1983="BILLPAY",ISNUMBER(SEARCH("FRANCHISE TAX",C1983)),ISNUMBER(SEARCH("NEXTLINK",C1983))),"Personal - House Bills",IF(AND(ISNUMBER(SEARCH("PAYMENT FROM",C1983)),ISNUMBER(SEARCH("JOE SAUNDERS",C1983))),"Zelle from Joe Saunders",IF(AND(ISNUMBER(SEARCH("PAYMENT TO",C1983)),ISNUMBER(SEARCH("JOE SAUNDERS",C1983))),"Zelle to Joe Saunders",IF(OR(ISNUMBER(SEARCH("NEW ORLEANS",C1983)),ISNUMBER(SEARCH("KENNER",C1983)),ISNUMBER(SEARCH("HENRY HOWARD",C1983)),ISNUMBER(SEARCH("MISS CLAUDIA",C1983))),"Personal Travel - New Orleans",IF(AND(YEAR(B1983)=2025,MONTH(B1983)=4,OR(ISNUMBER(SEARCH("EXCHANGE RATE",C1983)),ISNUMBER(SEARCH("EXCHG RTE",C1983)))),"Personal Travel - Italy",IFERROR(INDEX('Category Rules'!$B$2:$B$358,MATCH(TRUE,ISNUMBER(SEARCH('Category Rules'!$A$2:$A$358,C1983)),0)),""))))))))</f>
        <v>Personal - Food</v>
      </c>
    </row>
    <row r="1984" spans="1:7" x14ac:dyDescent="0.25">
      <c r="A1984" t="s">
        <v>6</v>
      </c>
      <c r="B1984" s="1">
        <v>45723</v>
      </c>
      <c r="C1984" t="s">
        <v>2115</v>
      </c>
      <c r="D1984">
        <v>-34.590000000000003</v>
      </c>
      <c r="E1984" t="s">
        <v>10</v>
      </c>
      <c r="F1984">
        <v>4241.54</v>
      </c>
      <c r="G1984" t="str" cm="1">
        <f t="array" ref="G1984">IF(AND(ISNUMBER(SEARCH("UBER",C1984)),ISNUMBER(SEARCH("EATS",C1984))),"Uber Eats",IF(LEFT(C1984,6)="CHECK ","Checks Paid",IF(OR(E1984="BILLPAY",ISNUMBER(SEARCH("FRANCHISE TAX",C1984)),ISNUMBER(SEARCH("NEXTLINK",C1984))),"Personal - House Bills",IF(AND(ISNUMBER(SEARCH("PAYMENT FROM",C1984)),ISNUMBER(SEARCH("JOE SAUNDERS",C1984))),"Zelle from Joe Saunders",IF(AND(ISNUMBER(SEARCH("PAYMENT TO",C1984)),ISNUMBER(SEARCH("JOE SAUNDERS",C1984))),"Zelle to Joe Saunders",IF(OR(ISNUMBER(SEARCH("NEW ORLEANS",C1984)),ISNUMBER(SEARCH("KENNER",C1984)),ISNUMBER(SEARCH("HENRY HOWARD",C1984)),ISNUMBER(SEARCH("MISS CLAUDIA",C1984))),"Personal Travel - New Orleans",IF(AND(YEAR(B1984)=2025,MONTH(B1984)=4,OR(ISNUMBER(SEARCH("EXCHANGE RATE",C1984)),ISNUMBER(SEARCH("EXCHG RTE",C1984)))),"Personal Travel - Italy",IFERROR(INDEX('Category Rules'!$B$2:$B$358,MATCH(TRUE,ISNUMBER(SEARCH('Category Rules'!$A$2:$A$358,C1984)),0)),""))))))))</f>
        <v>Amazon</v>
      </c>
    </row>
    <row r="1985" spans="1:7" x14ac:dyDescent="0.25">
      <c r="A1985" t="s">
        <v>6</v>
      </c>
      <c r="B1985" s="1">
        <v>45723</v>
      </c>
      <c r="C1985" t="s">
        <v>2116</v>
      </c>
      <c r="D1985">
        <v>-32.9</v>
      </c>
      <c r="E1985" t="s">
        <v>10</v>
      </c>
      <c r="F1985">
        <v>4276.13</v>
      </c>
      <c r="G1985" t="str" cm="1">
        <f t="array" ref="G1985">IF(AND(ISNUMBER(SEARCH("UBER",C1985)),ISNUMBER(SEARCH("EATS",C1985))),"Uber Eats",IF(LEFT(C1985,6)="CHECK ","Checks Paid",IF(OR(E1985="BILLPAY",ISNUMBER(SEARCH("FRANCHISE TAX",C1985)),ISNUMBER(SEARCH("NEXTLINK",C1985))),"Personal - House Bills",IF(AND(ISNUMBER(SEARCH("PAYMENT FROM",C1985)),ISNUMBER(SEARCH("JOE SAUNDERS",C1985))),"Zelle from Joe Saunders",IF(AND(ISNUMBER(SEARCH("PAYMENT TO",C1985)),ISNUMBER(SEARCH("JOE SAUNDERS",C1985))),"Zelle to Joe Saunders",IF(OR(ISNUMBER(SEARCH("NEW ORLEANS",C1985)),ISNUMBER(SEARCH("KENNER",C1985)),ISNUMBER(SEARCH("HENRY HOWARD",C1985)),ISNUMBER(SEARCH("MISS CLAUDIA",C1985))),"Personal Travel - New Orleans",IF(AND(YEAR(B1985)=2025,MONTH(B1985)=4,OR(ISNUMBER(SEARCH("EXCHANGE RATE",C1985)),ISNUMBER(SEARCH("EXCHG RTE",C1985)))),"Personal Travel - Italy",IFERROR(INDEX('Category Rules'!$B$2:$B$358,MATCH(TRUE,ISNUMBER(SEARCH('Category Rules'!$A$2:$A$358,C1985)),0)),""))))))))</f>
        <v>Personal - Entertainment</v>
      </c>
    </row>
    <row r="1986" spans="1:7" x14ac:dyDescent="0.25">
      <c r="A1986" t="s">
        <v>6</v>
      </c>
      <c r="B1986" s="1">
        <v>45723</v>
      </c>
      <c r="C1986" t="s">
        <v>2116</v>
      </c>
      <c r="D1986">
        <v>-214.22</v>
      </c>
      <c r="E1986" t="s">
        <v>10</v>
      </c>
      <c r="F1986">
        <v>4309.03</v>
      </c>
      <c r="G1986" t="str" cm="1">
        <f t="array" ref="G1986">IF(AND(ISNUMBER(SEARCH("UBER",C1986)),ISNUMBER(SEARCH("EATS",C1986))),"Uber Eats",IF(LEFT(C1986,6)="CHECK ","Checks Paid",IF(OR(E1986="BILLPAY",ISNUMBER(SEARCH("FRANCHISE TAX",C1986)),ISNUMBER(SEARCH("NEXTLINK",C1986))),"Personal - House Bills",IF(AND(ISNUMBER(SEARCH("PAYMENT FROM",C1986)),ISNUMBER(SEARCH("JOE SAUNDERS",C1986))),"Zelle from Joe Saunders",IF(AND(ISNUMBER(SEARCH("PAYMENT TO",C1986)),ISNUMBER(SEARCH("JOE SAUNDERS",C1986))),"Zelle to Joe Saunders",IF(OR(ISNUMBER(SEARCH("NEW ORLEANS",C1986)),ISNUMBER(SEARCH("KENNER",C1986)),ISNUMBER(SEARCH("HENRY HOWARD",C1986)),ISNUMBER(SEARCH("MISS CLAUDIA",C1986))),"Personal Travel - New Orleans",IF(AND(YEAR(B1986)=2025,MONTH(B1986)=4,OR(ISNUMBER(SEARCH("EXCHANGE RATE",C1986)),ISNUMBER(SEARCH("EXCHG RTE",C1986)))),"Personal Travel - Italy",IFERROR(INDEX('Category Rules'!$B$2:$B$358,MATCH(TRUE,ISNUMBER(SEARCH('Category Rules'!$A$2:$A$358,C1986)),0)),""))))))))</f>
        <v>Personal - Entertainment</v>
      </c>
    </row>
    <row r="1987" spans="1:7" x14ac:dyDescent="0.25">
      <c r="A1987" t="s">
        <v>6</v>
      </c>
      <c r="B1987" s="1">
        <v>45723</v>
      </c>
      <c r="C1987" t="s">
        <v>2117</v>
      </c>
      <c r="D1987">
        <v>-68.72</v>
      </c>
      <c r="E1987" t="s">
        <v>10</v>
      </c>
      <c r="F1987">
        <v>4523.25</v>
      </c>
      <c r="G1987" t="str" cm="1">
        <f t="array" ref="G1987">IF(AND(ISNUMBER(SEARCH("UBER",C1987)),ISNUMBER(SEARCH("EATS",C1987))),"Uber Eats",IF(LEFT(C1987,6)="CHECK ","Checks Paid",IF(OR(E1987="BILLPAY",ISNUMBER(SEARCH("FRANCHISE TAX",C1987)),ISNUMBER(SEARCH("NEXTLINK",C1987))),"Personal - House Bills",IF(AND(ISNUMBER(SEARCH("PAYMENT FROM",C1987)),ISNUMBER(SEARCH("JOE SAUNDERS",C1987))),"Zelle from Joe Saunders",IF(AND(ISNUMBER(SEARCH("PAYMENT TO",C1987)),ISNUMBER(SEARCH("JOE SAUNDERS",C1987))),"Zelle to Joe Saunders",IF(OR(ISNUMBER(SEARCH("NEW ORLEANS",C1987)),ISNUMBER(SEARCH("KENNER",C1987)),ISNUMBER(SEARCH("HENRY HOWARD",C1987)),ISNUMBER(SEARCH("MISS CLAUDIA",C1987))),"Personal Travel - New Orleans",IF(AND(YEAR(B1987)=2025,MONTH(B1987)=4,OR(ISNUMBER(SEARCH("EXCHANGE RATE",C1987)),ISNUMBER(SEARCH("EXCHG RTE",C1987)))),"Personal Travel - Italy",IFERROR(INDEX('Category Rules'!$B$2:$B$358,MATCH(TRUE,ISNUMBER(SEARCH('Category Rules'!$A$2:$A$358,C1987)),0)),""))))))))</f>
        <v>Personal - Entertainment</v>
      </c>
    </row>
    <row r="1988" spans="1:7" x14ac:dyDescent="0.25">
      <c r="A1988" t="s">
        <v>6</v>
      </c>
      <c r="B1988" s="1">
        <v>45723</v>
      </c>
      <c r="C1988" t="s">
        <v>2118</v>
      </c>
      <c r="D1988">
        <v>-146.02000000000001</v>
      </c>
      <c r="E1988" t="s">
        <v>10</v>
      </c>
      <c r="F1988">
        <v>4591.97</v>
      </c>
      <c r="G1988" t="str" cm="1">
        <f t="array" ref="G1988">IF(AND(ISNUMBER(SEARCH("UBER",C1988)),ISNUMBER(SEARCH("EATS",C1988))),"Uber Eats",IF(LEFT(C1988,6)="CHECK ","Checks Paid",IF(OR(E1988="BILLPAY",ISNUMBER(SEARCH("FRANCHISE TAX",C1988)),ISNUMBER(SEARCH("NEXTLINK",C1988))),"Personal - House Bills",IF(AND(ISNUMBER(SEARCH("PAYMENT FROM",C1988)),ISNUMBER(SEARCH("JOE SAUNDERS",C1988))),"Zelle from Joe Saunders",IF(AND(ISNUMBER(SEARCH("PAYMENT TO",C1988)),ISNUMBER(SEARCH("JOE SAUNDERS",C1988))),"Zelle to Joe Saunders",IF(OR(ISNUMBER(SEARCH("NEW ORLEANS",C1988)),ISNUMBER(SEARCH("KENNER",C1988)),ISNUMBER(SEARCH("HENRY HOWARD",C1988)),ISNUMBER(SEARCH("MISS CLAUDIA",C1988))),"Personal Travel - New Orleans",IF(AND(YEAR(B1988)=2025,MONTH(B1988)=4,OR(ISNUMBER(SEARCH("EXCHANGE RATE",C1988)),ISNUMBER(SEARCH("EXCHG RTE",C1988)))),"Personal Travel - Italy",IFERROR(INDEX('Category Rules'!$B$2:$B$358,MATCH(TRUE,ISNUMBER(SEARCH('Category Rules'!$A$2:$A$358,C1988)),0)),""))))))))</f>
        <v>Amazon</v>
      </c>
    </row>
    <row r="1989" spans="1:7" x14ac:dyDescent="0.25">
      <c r="A1989" t="s">
        <v>6</v>
      </c>
      <c r="B1989" s="1">
        <v>45723</v>
      </c>
      <c r="C1989" t="s">
        <v>2119</v>
      </c>
      <c r="D1989">
        <v>-20.79</v>
      </c>
      <c r="E1989" t="s">
        <v>10</v>
      </c>
      <c r="F1989">
        <v>4737.99</v>
      </c>
      <c r="G1989" t="str" cm="1">
        <f t="array" ref="G1989">IF(AND(ISNUMBER(SEARCH("UBER",C1989)),ISNUMBER(SEARCH("EATS",C1989))),"Uber Eats",IF(LEFT(C1989,6)="CHECK ","Checks Paid",IF(OR(E1989="BILLPAY",ISNUMBER(SEARCH("FRANCHISE TAX",C1989)),ISNUMBER(SEARCH("NEXTLINK",C1989))),"Personal - House Bills",IF(AND(ISNUMBER(SEARCH("PAYMENT FROM",C1989)),ISNUMBER(SEARCH("JOE SAUNDERS",C1989))),"Zelle from Joe Saunders",IF(AND(ISNUMBER(SEARCH("PAYMENT TO",C1989)),ISNUMBER(SEARCH("JOE SAUNDERS",C1989))),"Zelle to Joe Saunders",IF(OR(ISNUMBER(SEARCH("NEW ORLEANS",C1989)),ISNUMBER(SEARCH("KENNER",C1989)),ISNUMBER(SEARCH("HENRY HOWARD",C1989)),ISNUMBER(SEARCH("MISS CLAUDIA",C1989))),"Personal Travel - New Orleans",IF(AND(YEAR(B1989)=2025,MONTH(B1989)=4,OR(ISNUMBER(SEARCH("EXCHANGE RATE",C1989)),ISNUMBER(SEARCH("EXCHG RTE",C1989)))),"Personal Travel - Italy",IFERROR(INDEX('Category Rules'!$B$2:$B$358,MATCH(TRUE,ISNUMBER(SEARCH('Category Rules'!$A$2:$A$358,C1989)),0)),""))))))))</f>
        <v>Amazon</v>
      </c>
    </row>
    <row r="1990" spans="1:7" x14ac:dyDescent="0.25">
      <c r="A1990" t="s">
        <v>6</v>
      </c>
      <c r="B1990" s="1">
        <v>45722</v>
      </c>
      <c r="C1990" t="s">
        <v>2120</v>
      </c>
      <c r="D1990">
        <v>-139.68</v>
      </c>
      <c r="E1990" t="s">
        <v>10</v>
      </c>
      <c r="F1990">
        <v>4758.78</v>
      </c>
      <c r="G1990" t="str" cm="1">
        <f t="array" ref="G1990">IF(AND(ISNUMBER(SEARCH("UBER",C1990)),ISNUMBER(SEARCH("EATS",C1990))),"Uber Eats",IF(LEFT(C1990,6)="CHECK ","Checks Paid",IF(OR(E1990="BILLPAY",ISNUMBER(SEARCH("FRANCHISE TAX",C1990)),ISNUMBER(SEARCH("NEXTLINK",C1990))),"Personal - House Bills",IF(AND(ISNUMBER(SEARCH("PAYMENT FROM",C1990)),ISNUMBER(SEARCH("JOE SAUNDERS",C1990))),"Zelle from Joe Saunders",IF(AND(ISNUMBER(SEARCH("PAYMENT TO",C1990)),ISNUMBER(SEARCH("JOE SAUNDERS",C1990))),"Zelle to Joe Saunders",IF(OR(ISNUMBER(SEARCH("NEW ORLEANS",C1990)),ISNUMBER(SEARCH("KENNER",C1990)),ISNUMBER(SEARCH("HENRY HOWARD",C1990)),ISNUMBER(SEARCH("MISS CLAUDIA",C1990))),"Personal Travel - New Orleans",IF(AND(YEAR(B1990)=2025,MONTH(B1990)=4,OR(ISNUMBER(SEARCH("EXCHANGE RATE",C1990)),ISNUMBER(SEARCH("EXCHG RTE",C1990)))),"Personal Travel - Italy",IFERROR(INDEX('Category Rules'!$B$2:$B$358,MATCH(TRUE,ISNUMBER(SEARCH('Category Rules'!$A$2:$A$358,C1990)),0)),""))))))))</f>
        <v>Personal - Food</v>
      </c>
    </row>
    <row r="1991" spans="1:7" x14ac:dyDescent="0.25">
      <c r="A1991" t="s">
        <v>6</v>
      </c>
      <c r="B1991" s="1">
        <v>45722</v>
      </c>
      <c r="C1991" t="s">
        <v>2121</v>
      </c>
      <c r="D1991">
        <v>-13.99</v>
      </c>
      <c r="E1991" t="s">
        <v>10</v>
      </c>
      <c r="F1991">
        <v>4898.46</v>
      </c>
      <c r="G1991" t="str" cm="1">
        <f t="array" ref="G1991">IF(AND(ISNUMBER(SEARCH("UBER",C1991)),ISNUMBER(SEARCH("EATS",C1991))),"Uber Eats",IF(LEFT(C1991,6)="CHECK ","Checks Paid",IF(OR(E1991="BILLPAY",ISNUMBER(SEARCH("FRANCHISE TAX",C1991)),ISNUMBER(SEARCH("NEXTLINK",C1991))),"Personal - House Bills",IF(AND(ISNUMBER(SEARCH("PAYMENT FROM",C1991)),ISNUMBER(SEARCH("JOE SAUNDERS",C1991))),"Zelle from Joe Saunders",IF(AND(ISNUMBER(SEARCH("PAYMENT TO",C1991)),ISNUMBER(SEARCH("JOE SAUNDERS",C1991))),"Zelle to Joe Saunders",IF(OR(ISNUMBER(SEARCH("NEW ORLEANS",C1991)),ISNUMBER(SEARCH("KENNER",C1991)),ISNUMBER(SEARCH("HENRY HOWARD",C1991)),ISNUMBER(SEARCH("MISS CLAUDIA",C1991))),"Personal Travel - New Orleans",IF(AND(YEAR(B1991)=2025,MONTH(B1991)=4,OR(ISNUMBER(SEARCH("EXCHANGE RATE",C1991)),ISNUMBER(SEARCH("EXCHG RTE",C1991)))),"Personal Travel - Italy",IFERROR(INDEX('Category Rules'!$B$2:$B$358,MATCH(TRUE,ISNUMBER(SEARCH('Category Rules'!$A$2:$A$358,C1991)),0)),""))))))))</f>
        <v>YouTube Premium</v>
      </c>
    </row>
    <row r="1992" spans="1:7" x14ac:dyDescent="0.25">
      <c r="A1992" t="s">
        <v>6</v>
      </c>
      <c r="B1992" s="1">
        <v>45722</v>
      </c>
      <c r="C1992" t="s">
        <v>2122</v>
      </c>
      <c r="D1992">
        <v>-362.48</v>
      </c>
      <c r="E1992" t="s">
        <v>10</v>
      </c>
      <c r="F1992">
        <v>4912.45</v>
      </c>
      <c r="G1992" t="str" cm="1">
        <f t="array" ref="G1992">IF(AND(ISNUMBER(SEARCH("UBER",C1992)),ISNUMBER(SEARCH("EATS",C1992))),"Uber Eats",IF(LEFT(C1992,6)="CHECK ","Checks Paid",IF(OR(E1992="BILLPAY",ISNUMBER(SEARCH("FRANCHISE TAX",C1992)),ISNUMBER(SEARCH("NEXTLINK",C1992))),"Personal - House Bills",IF(AND(ISNUMBER(SEARCH("PAYMENT FROM",C1992)),ISNUMBER(SEARCH("JOE SAUNDERS",C1992))),"Zelle from Joe Saunders",IF(AND(ISNUMBER(SEARCH("PAYMENT TO",C1992)),ISNUMBER(SEARCH("JOE SAUNDERS",C1992))),"Zelle to Joe Saunders",IF(OR(ISNUMBER(SEARCH("NEW ORLEANS",C1992)),ISNUMBER(SEARCH("KENNER",C1992)),ISNUMBER(SEARCH("HENRY HOWARD",C1992)),ISNUMBER(SEARCH("MISS CLAUDIA",C1992))),"Personal Travel - New Orleans",IF(AND(YEAR(B1992)=2025,MONTH(B1992)=4,OR(ISNUMBER(SEARCH("EXCHANGE RATE",C1992)),ISNUMBER(SEARCH("EXCHG RTE",C1992)))),"Personal Travel - Italy",IFERROR(INDEX('Category Rules'!$B$2:$B$358,MATCH(TRUE,ISNUMBER(SEARCH('Category Rules'!$A$2:$A$358,C1992)),0)),""))))))))</f>
        <v>Personal - Food</v>
      </c>
    </row>
    <row r="1993" spans="1:7" x14ac:dyDescent="0.25">
      <c r="A1993" t="s">
        <v>6</v>
      </c>
      <c r="B1993" s="1">
        <v>45722</v>
      </c>
      <c r="C1993" t="s">
        <v>2123</v>
      </c>
      <c r="D1993">
        <v>-29.95</v>
      </c>
      <c r="E1993" t="s">
        <v>10</v>
      </c>
      <c r="F1993">
        <v>5274.93</v>
      </c>
      <c r="G1993" t="str" cm="1">
        <f t="array" ref="G1993">IF(AND(ISNUMBER(SEARCH("UBER",C1993)),ISNUMBER(SEARCH("EATS",C1993))),"Uber Eats",IF(LEFT(C1993,6)="CHECK ","Checks Paid",IF(OR(E1993="BILLPAY",ISNUMBER(SEARCH("FRANCHISE TAX",C1993)),ISNUMBER(SEARCH("NEXTLINK",C1993))),"Personal - House Bills",IF(AND(ISNUMBER(SEARCH("PAYMENT FROM",C1993)),ISNUMBER(SEARCH("JOE SAUNDERS",C1993))),"Zelle from Joe Saunders",IF(AND(ISNUMBER(SEARCH("PAYMENT TO",C1993)),ISNUMBER(SEARCH("JOE SAUNDERS",C1993))),"Zelle to Joe Saunders",IF(OR(ISNUMBER(SEARCH("NEW ORLEANS",C1993)),ISNUMBER(SEARCH("KENNER",C1993)),ISNUMBER(SEARCH("HENRY HOWARD",C1993)),ISNUMBER(SEARCH("MISS CLAUDIA",C1993))),"Personal Travel - New Orleans",IF(AND(YEAR(B1993)=2025,MONTH(B1993)=4,OR(ISNUMBER(SEARCH("EXCHANGE RATE",C1993)),ISNUMBER(SEARCH("EXCHG RTE",C1993)))),"Personal Travel - Italy",IFERROR(INDEX('Category Rules'!$B$2:$B$358,MATCH(TRUE,ISNUMBER(SEARCH('Category Rules'!$A$2:$A$358,C1993)),0)),""))))))))</f>
        <v>Personal - Subscription</v>
      </c>
    </row>
    <row r="1994" spans="1:7" x14ac:dyDescent="0.25">
      <c r="A1994" t="s">
        <v>6</v>
      </c>
      <c r="B1994" s="1">
        <v>45722</v>
      </c>
      <c r="C1994" t="s">
        <v>2124</v>
      </c>
      <c r="D1994">
        <v>-11</v>
      </c>
      <c r="E1994" t="s">
        <v>10</v>
      </c>
      <c r="F1994">
        <v>5304.88</v>
      </c>
      <c r="G1994" t="str" cm="1">
        <f t="array" ref="G1994">IF(AND(ISNUMBER(SEARCH("UBER",C1994)),ISNUMBER(SEARCH("EATS",C1994))),"Uber Eats",IF(LEFT(C1994,6)="CHECK ","Checks Paid",IF(OR(E1994="BILLPAY",ISNUMBER(SEARCH("FRANCHISE TAX",C1994)),ISNUMBER(SEARCH("NEXTLINK",C1994))),"Personal - House Bills",IF(AND(ISNUMBER(SEARCH("PAYMENT FROM",C1994)),ISNUMBER(SEARCH("JOE SAUNDERS",C1994))),"Zelle from Joe Saunders",IF(AND(ISNUMBER(SEARCH("PAYMENT TO",C1994)),ISNUMBER(SEARCH("JOE SAUNDERS",C1994))),"Zelle to Joe Saunders",IF(OR(ISNUMBER(SEARCH("NEW ORLEANS",C1994)),ISNUMBER(SEARCH("KENNER",C1994)),ISNUMBER(SEARCH("HENRY HOWARD",C1994)),ISNUMBER(SEARCH("MISS CLAUDIA",C1994))),"Personal Travel - New Orleans",IF(AND(YEAR(B1994)=2025,MONTH(B1994)=4,OR(ISNUMBER(SEARCH("EXCHANGE RATE",C1994)),ISNUMBER(SEARCH("EXCHG RTE",C1994)))),"Personal Travel - Italy",IFERROR(INDEX('Category Rules'!$B$2:$B$358,MATCH(TRUE,ISNUMBER(SEARCH('Category Rules'!$A$2:$A$358,C1994)),0)),""))))))))</f>
        <v>Personal - Subscription</v>
      </c>
    </row>
    <row r="1995" spans="1:7" x14ac:dyDescent="0.25">
      <c r="A1995" t="s">
        <v>6</v>
      </c>
      <c r="B1995" s="1">
        <v>45722</v>
      </c>
      <c r="C1995" t="s">
        <v>2125</v>
      </c>
      <c r="D1995">
        <v>-13.13</v>
      </c>
      <c r="E1995" t="s">
        <v>10</v>
      </c>
      <c r="F1995">
        <v>5315.88</v>
      </c>
      <c r="G1995" t="str" cm="1">
        <f t="array" ref="G1995">IF(AND(ISNUMBER(SEARCH("UBER",C1995)),ISNUMBER(SEARCH("EATS",C1995))),"Uber Eats",IF(LEFT(C1995,6)="CHECK ","Checks Paid",IF(OR(E1995="BILLPAY",ISNUMBER(SEARCH("FRANCHISE TAX",C1995)),ISNUMBER(SEARCH("NEXTLINK",C1995))),"Personal - House Bills",IF(AND(ISNUMBER(SEARCH("PAYMENT FROM",C1995)),ISNUMBER(SEARCH("JOE SAUNDERS",C1995))),"Zelle from Joe Saunders",IF(AND(ISNUMBER(SEARCH("PAYMENT TO",C1995)),ISNUMBER(SEARCH("JOE SAUNDERS",C1995))),"Zelle to Joe Saunders",IF(OR(ISNUMBER(SEARCH("NEW ORLEANS",C1995)),ISNUMBER(SEARCH("KENNER",C1995)),ISNUMBER(SEARCH("HENRY HOWARD",C1995)),ISNUMBER(SEARCH("MISS CLAUDIA",C1995))),"Personal Travel - New Orleans",IF(AND(YEAR(B1995)=2025,MONTH(B1995)=4,OR(ISNUMBER(SEARCH("EXCHANGE RATE",C1995)),ISNUMBER(SEARCH("EXCHG RTE",C1995)))),"Personal Travel - Italy",IFERROR(INDEX('Category Rules'!$B$2:$B$358,MATCH(TRUE,ISNUMBER(SEARCH('Category Rules'!$A$2:$A$358,C1995)),0)),""))))))))</f>
        <v>Amazon</v>
      </c>
    </row>
    <row r="1996" spans="1:7" x14ac:dyDescent="0.25">
      <c r="A1996" t="s">
        <v>44</v>
      </c>
      <c r="B1996" s="1">
        <v>45722</v>
      </c>
      <c r="C1996" t="s">
        <v>2126</v>
      </c>
      <c r="D1996">
        <v>5000</v>
      </c>
      <c r="E1996" t="s">
        <v>73</v>
      </c>
      <c r="F1996">
        <v>5329.01</v>
      </c>
      <c r="G1996" t="str" cm="1">
        <f t="array" ref="G1996">IF(AND(ISNUMBER(SEARCH("UBER",C1996)),ISNUMBER(SEARCH("EATS",C1996))),"Uber Eats",IF(LEFT(C1996,6)="CHECK ","Checks Paid",IF(OR(E1996="BILLPAY",ISNUMBER(SEARCH("FRANCHISE TAX",C1996)),ISNUMBER(SEARCH("NEXTLINK",C1996))),"Personal - House Bills",IF(AND(ISNUMBER(SEARCH("PAYMENT FROM",C1996)),ISNUMBER(SEARCH("JOE SAUNDERS",C1996))),"Zelle from Joe Saunders",IF(AND(ISNUMBER(SEARCH("PAYMENT TO",C1996)),ISNUMBER(SEARCH("JOE SAUNDERS",C1996))),"Zelle to Joe Saunders",IF(OR(ISNUMBER(SEARCH("NEW ORLEANS",C1996)),ISNUMBER(SEARCH("KENNER",C1996)),ISNUMBER(SEARCH("HENRY HOWARD",C1996)),ISNUMBER(SEARCH("MISS CLAUDIA",C1996))),"Personal Travel - New Orleans",IF(AND(YEAR(B1996)=2025,MONTH(B1996)=4,OR(ISNUMBER(SEARCH("EXCHANGE RATE",C1996)),ISNUMBER(SEARCH("EXCHG RTE",C1996)))),"Personal Travel - Italy",IFERROR(INDEX('Category Rules'!$B$2:$B$358,MATCH(TRUE,ISNUMBER(SEARCH('Category Rules'!$A$2:$A$358,C1996)),0)),""))))))))</f>
        <v>Transfer from DWG Capital Group</v>
      </c>
    </row>
    <row r="1997" spans="1:7" x14ac:dyDescent="0.25">
      <c r="A1997" t="s">
        <v>6</v>
      </c>
      <c r="B1997" s="1">
        <v>45721</v>
      </c>
      <c r="C1997" t="s">
        <v>2127</v>
      </c>
      <c r="D1997">
        <v>-52.88</v>
      </c>
      <c r="E1997" t="s">
        <v>10</v>
      </c>
      <c r="F1997">
        <v>329.01</v>
      </c>
      <c r="G1997" t="str" cm="1">
        <f t="array" ref="G1997">IF(AND(ISNUMBER(SEARCH("UBER",C1997)),ISNUMBER(SEARCH("EATS",C1997))),"Uber Eats",IF(LEFT(C1997,6)="CHECK ","Checks Paid",IF(OR(E1997="BILLPAY",ISNUMBER(SEARCH("FRANCHISE TAX",C1997)),ISNUMBER(SEARCH("NEXTLINK",C1997))),"Personal - House Bills",IF(AND(ISNUMBER(SEARCH("PAYMENT FROM",C1997)),ISNUMBER(SEARCH("JOE SAUNDERS",C1997))),"Zelle from Joe Saunders",IF(AND(ISNUMBER(SEARCH("PAYMENT TO",C1997)),ISNUMBER(SEARCH("JOE SAUNDERS",C1997))),"Zelle to Joe Saunders",IF(OR(ISNUMBER(SEARCH("NEW ORLEANS",C1997)),ISNUMBER(SEARCH("KENNER",C1997)),ISNUMBER(SEARCH("HENRY HOWARD",C1997)),ISNUMBER(SEARCH("MISS CLAUDIA",C1997))),"Personal Travel - New Orleans",IF(AND(YEAR(B1997)=2025,MONTH(B1997)=4,OR(ISNUMBER(SEARCH("EXCHANGE RATE",C1997)),ISNUMBER(SEARCH("EXCHG RTE",C1997)))),"Personal Travel - Italy",IFERROR(INDEX('Category Rules'!$B$2:$B$358,MATCH(TRUE,ISNUMBER(SEARCH('Category Rules'!$A$2:$A$358,C1997)),0)),""))))))))</f>
        <v>Personal - Shopping</v>
      </c>
    </row>
    <row r="1998" spans="1:7" x14ac:dyDescent="0.25">
      <c r="A1998" t="s">
        <v>6</v>
      </c>
      <c r="B1998" s="1">
        <v>45721</v>
      </c>
      <c r="C1998" t="s">
        <v>2128</v>
      </c>
      <c r="D1998">
        <v>-35.32</v>
      </c>
      <c r="E1998" t="s">
        <v>10</v>
      </c>
      <c r="F1998">
        <v>381.89</v>
      </c>
      <c r="G1998" t="str" cm="1">
        <f t="array" ref="G1998">IF(AND(ISNUMBER(SEARCH("UBER",C1998)),ISNUMBER(SEARCH("EATS",C1998))),"Uber Eats",IF(LEFT(C1998,6)="CHECK ","Checks Paid",IF(OR(E1998="BILLPAY",ISNUMBER(SEARCH("FRANCHISE TAX",C1998)),ISNUMBER(SEARCH("NEXTLINK",C1998))),"Personal - House Bills",IF(AND(ISNUMBER(SEARCH("PAYMENT FROM",C1998)),ISNUMBER(SEARCH("JOE SAUNDERS",C1998))),"Zelle from Joe Saunders",IF(AND(ISNUMBER(SEARCH("PAYMENT TO",C1998)),ISNUMBER(SEARCH("JOE SAUNDERS",C1998))),"Zelle to Joe Saunders",IF(OR(ISNUMBER(SEARCH("NEW ORLEANS",C1998)),ISNUMBER(SEARCH("KENNER",C1998)),ISNUMBER(SEARCH("HENRY HOWARD",C1998)),ISNUMBER(SEARCH("MISS CLAUDIA",C1998))),"Personal Travel - New Orleans",IF(AND(YEAR(B1998)=2025,MONTH(B1998)=4,OR(ISNUMBER(SEARCH("EXCHANGE RATE",C1998)),ISNUMBER(SEARCH("EXCHG RTE",C1998)))),"Personal Travel - Italy",IFERROR(INDEX('Category Rules'!$B$2:$B$358,MATCH(TRUE,ISNUMBER(SEARCH('Category Rules'!$A$2:$A$358,C1998)),0)),""))))))))</f>
        <v>Uber Eats</v>
      </c>
    </row>
    <row r="1999" spans="1:7" x14ac:dyDescent="0.25">
      <c r="A1999" t="s">
        <v>6</v>
      </c>
      <c r="B1999" s="1">
        <v>45721</v>
      </c>
      <c r="C1999" t="s">
        <v>2129</v>
      </c>
      <c r="D1999">
        <v>-28.89</v>
      </c>
      <c r="E1999" t="s">
        <v>10</v>
      </c>
      <c r="F1999">
        <v>417.21</v>
      </c>
      <c r="G1999" t="str" cm="1">
        <f t="array" ref="G1999">IF(AND(ISNUMBER(SEARCH("UBER",C1999)),ISNUMBER(SEARCH("EATS",C1999))),"Uber Eats",IF(LEFT(C1999,6)="CHECK ","Checks Paid",IF(OR(E1999="BILLPAY",ISNUMBER(SEARCH("FRANCHISE TAX",C1999)),ISNUMBER(SEARCH("NEXTLINK",C1999))),"Personal - House Bills",IF(AND(ISNUMBER(SEARCH("PAYMENT FROM",C1999)),ISNUMBER(SEARCH("JOE SAUNDERS",C1999))),"Zelle from Joe Saunders",IF(AND(ISNUMBER(SEARCH("PAYMENT TO",C1999)),ISNUMBER(SEARCH("JOE SAUNDERS",C1999))),"Zelle to Joe Saunders",IF(OR(ISNUMBER(SEARCH("NEW ORLEANS",C1999)),ISNUMBER(SEARCH("KENNER",C1999)),ISNUMBER(SEARCH("HENRY HOWARD",C1999)),ISNUMBER(SEARCH("MISS CLAUDIA",C1999))),"Personal Travel - New Orleans",IF(AND(YEAR(B1999)=2025,MONTH(B1999)=4,OR(ISNUMBER(SEARCH("EXCHANGE RATE",C1999)),ISNUMBER(SEARCH("EXCHG RTE",C1999)))),"Personal Travel - Italy",IFERROR(INDEX('Category Rules'!$B$2:$B$358,MATCH(TRUE,ISNUMBER(SEARCH('Category Rules'!$A$2:$A$358,C1999)),0)),""))))))))</f>
        <v>Amazon</v>
      </c>
    </row>
    <row r="2000" spans="1:7" x14ac:dyDescent="0.25">
      <c r="A2000" t="s">
        <v>6</v>
      </c>
      <c r="B2000" s="1">
        <v>45721</v>
      </c>
      <c r="C2000" t="s">
        <v>2130</v>
      </c>
      <c r="D2000">
        <v>-10.94</v>
      </c>
      <c r="E2000" t="s">
        <v>10</v>
      </c>
      <c r="F2000">
        <v>446.1</v>
      </c>
      <c r="G2000" t="str" cm="1">
        <f t="array" ref="G2000">IF(AND(ISNUMBER(SEARCH("UBER",C2000)),ISNUMBER(SEARCH("EATS",C2000))),"Uber Eats",IF(LEFT(C2000,6)="CHECK ","Checks Paid",IF(OR(E2000="BILLPAY",ISNUMBER(SEARCH("FRANCHISE TAX",C2000)),ISNUMBER(SEARCH("NEXTLINK",C2000))),"Personal - House Bills",IF(AND(ISNUMBER(SEARCH("PAYMENT FROM",C2000)),ISNUMBER(SEARCH("JOE SAUNDERS",C2000))),"Zelle from Joe Saunders",IF(AND(ISNUMBER(SEARCH("PAYMENT TO",C2000)),ISNUMBER(SEARCH("JOE SAUNDERS",C2000))),"Zelle to Joe Saunders",IF(OR(ISNUMBER(SEARCH("NEW ORLEANS",C2000)),ISNUMBER(SEARCH("KENNER",C2000)),ISNUMBER(SEARCH("HENRY HOWARD",C2000)),ISNUMBER(SEARCH("MISS CLAUDIA",C2000))),"Personal Travel - New Orleans",IF(AND(YEAR(B2000)=2025,MONTH(B2000)=4,OR(ISNUMBER(SEARCH("EXCHANGE RATE",C2000)),ISNUMBER(SEARCH("EXCHG RTE",C2000)))),"Personal Travel - Italy",IFERROR(INDEX('Category Rules'!$B$2:$B$358,MATCH(TRUE,ISNUMBER(SEARCH('Category Rules'!$A$2:$A$358,C2000)),0)),""))))))))</f>
        <v>Amazon</v>
      </c>
    </row>
    <row r="2001" spans="1:7" x14ac:dyDescent="0.25">
      <c r="A2001" t="s">
        <v>6</v>
      </c>
      <c r="B2001" s="1">
        <v>45721</v>
      </c>
      <c r="C2001" t="s">
        <v>2131</v>
      </c>
      <c r="D2001">
        <v>-27.84</v>
      </c>
      <c r="E2001" t="s">
        <v>10</v>
      </c>
      <c r="F2001">
        <v>457.04</v>
      </c>
      <c r="G2001" t="str" cm="1">
        <f t="array" ref="G2001">IF(AND(ISNUMBER(SEARCH("UBER",C2001)),ISNUMBER(SEARCH("EATS",C2001))),"Uber Eats",IF(LEFT(C2001,6)="CHECK ","Checks Paid",IF(OR(E2001="BILLPAY",ISNUMBER(SEARCH("FRANCHISE TAX",C2001)),ISNUMBER(SEARCH("NEXTLINK",C2001))),"Personal - House Bills",IF(AND(ISNUMBER(SEARCH("PAYMENT FROM",C2001)),ISNUMBER(SEARCH("JOE SAUNDERS",C2001))),"Zelle from Joe Saunders",IF(AND(ISNUMBER(SEARCH("PAYMENT TO",C2001)),ISNUMBER(SEARCH("JOE SAUNDERS",C2001))),"Zelle to Joe Saunders",IF(OR(ISNUMBER(SEARCH("NEW ORLEANS",C2001)),ISNUMBER(SEARCH("KENNER",C2001)),ISNUMBER(SEARCH("HENRY HOWARD",C2001)),ISNUMBER(SEARCH("MISS CLAUDIA",C2001))),"Personal Travel - New Orleans",IF(AND(YEAR(B2001)=2025,MONTH(B2001)=4,OR(ISNUMBER(SEARCH("EXCHANGE RATE",C2001)),ISNUMBER(SEARCH("EXCHG RTE",C2001)))),"Personal Travel - Italy",IFERROR(INDEX('Category Rules'!$B$2:$B$358,MATCH(TRUE,ISNUMBER(SEARCH('Category Rules'!$A$2:$A$358,C2001)),0)),""))))))))</f>
        <v>Personal - Food</v>
      </c>
    </row>
    <row r="2002" spans="1:7" x14ac:dyDescent="0.25">
      <c r="A2002" t="s">
        <v>6</v>
      </c>
      <c r="B2002" s="1">
        <v>45721</v>
      </c>
      <c r="C2002" t="s">
        <v>2132</v>
      </c>
      <c r="D2002">
        <v>-0.42</v>
      </c>
      <c r="E2002" t="s">
        <v>10</v>
      </c>
      <c r="F2002">
        <v>484.88</v>
      </c>
      <c r="G2002" t="str" cm="1">
        <f t="array" ref="G2002">IF(AND(ISNUMBER(SEARCH("UBER",C2002)),ISNUMBER(SEARCH("EATS",C2002))),"Uber Eats",IF(LEFT(C2002,6)="CHECK ","Checks Paid",IF(OR(E2002="BILLPAY",ISNUMBER(SEARCH("FRANCHISE TAX",C2002)),ISNUMBER(SEARCH("NEXTLINK",C2002))),"Personal - House Bills",IF(AND(ISNUMBER(SEARCH("PAYMENT FROM",C2002)),ISNUMBER(SEARCH("JOE SAUNDERS",C2002))),"Zelle from Joe Saunders",IF(AND(ISNUMBER(SEARCH("PAYMENT TO",C2002)),ISNUMBER(SEARCH("JOE SAUNDERS",C2002))),"Zelle to Joe Saunders",IF(OR(ISNUMBER(SEARCH("NEW ORLEANS",C2002)),ISNUMBER(SEARCH("KENNER",C2002)),ISNUMBER(SEARCH("HENRY HOWARD",C2002)),ISNUMBER(SEARCH("MISS CLAUDIA",C2002))),"Personal Travel - New Orleans",IF(AND(YEAR(B2002)=2025,MONTH(B2002)=4,OR(ISNUMBER(SEARCH("EXCHANGE RATE",C2002)),ISNUMBER(SEARCH("EXCHG RTE",C2002)))),"Personal Travel - Italy",IFERROR(INDEX('Category Rules'!$B$2:$B$358,MATCH(TRUE,ISNUMBER(SEARCH('Category Rules'!$A$2:$A$358,C2002)),0)),""))))))))</f>
        <v>Personal - Car</v>
      </c>
    </row>
    <row r="2003" spans="1:7" x14ac:dyDescent="0.25">
      <c r="A2003" t="s">
        <v>6</v>
      </c>
      <c r="B2003" s="1">
        <v>45720</v>
      </c>
      <c r="C2003" t="s">
        <v>2133</v>
      </c>
      <c r="D2003">
        <v>-0.54</v>
      </c>
      <c r="E2003" t="s">
        <v>8</v>
      </c>
      <c r="F2003">
        <v>485.3</v>
      </c>
      <c r="G2003" t="str" cm="1">
        <f t="array" ref="G2003">IF(AND(ISNUMBER(SEARCH("UBER",C2003)),ISNUMBER(SEARCH("EATS",C2003))),"Uber Eats",IF(LEFT(C2003,6)="CHECK ","Checks Paid",IF(OR(E2003="BILLPAY",ISNUMBER(SEARCH("FRANCHISE TAX",C2003)),ISNUMBER(SEARCH("NEXTLINK",C2003))),"Personal - House Bills",IF(AND(ISNUMBER(SEARCH("PAYMENT FROM",C2003)),ISNUMBER(SEARCH("JOE SAUNDERS",C2003))),"Zelle from Joe Saunders",IF(AND(ISNUMBER(SEARCH("PAYMENT TO",C2003)),ISNUMBER(SEARCH("JOE SAUNDERS",C2003))),"Zelle to Joe Saunders",IF(OR(ISNUMBER(SEARCH("NEW ORLEANS",C2003)),ISNUMBER(SEARCH("KENNER",C2003)),ISNUMBER(SEARCH("HENRY HOWARD",C2003)),ISNUMBER(SEARCH("MISS CLAUDIA",C2003))),"Personal Travel - New Orleans",IF(AND(YEAR(B2003)=2025,MONTH(B2003)=4,OR(ISNUMBER(SEARCH("EXCHANGE RATE",C2003)),ISNUMBER(SEARCH("EXCHG RTE",C2003)))),"Personal Travel - Italy",IFERROR(INDEX('Category Rules'!$B$2:$B$358,MATCH(TRUE,ISNUMBER(SEARCH('Category Rules'!$A$2:$A$358,C2003)),0)),""))))))))</f>
        <v>Personal Travel - Canada</v>
      </c>
    </row>
    <row r="2004" spans="1:7" x14ac:dyDescent="0.25">
      <c r="A2004" t="s">
        <v>6</v>
      </c>
      <c r="B2004" s="1">
        <v>45720</v>
      </c>
      <c r="C2004" t="s">
        <v>2134</v>
      </c>
      <c r="D2004">
        <v>-407.43</v>
      </c>
      <c r="E2004" t="s">
        <v>10</v>
      </c>
      <c r="F2004">
        <v>485.84</v>
      </c>
      <c r="G2004" t="str" cm="1">
        <f t="array" ref="G2004">IF(AND(ISNUMBER(SEARCH("UBER",C2004)),ISNUMBER(SEARCH("EATS",C2004))),"Uber Eats",IF(LEFT(C2004,6)="CHECK ","Checks Paid",IF(OR(E2004="BILLPAY",ISNUMBER(SEARCH("FRANCHISE TAX",C2004)),ISNUMBER(SEARCH("NEXTLINK",C2004))),"Personal - House Bills",IF(AND(ISNUMBER(SEARCH("PAYMENT FROM",C2004)),ISNUMBER(SEARCH("JOE SAUNDERS",C2004))),"Zelle from Joe Saunders",IF(AND(ISNUMBER(SEARCH("PAYMENT TO",C2004)),ISNUMBER(SEARCH("JOE SAUNDERS",C2004))),"Zelle to Joe Saunders",IF(OR(ISNUMBER(SEARCH("NEW ORLEANS",C2004)),ISNUMBER(SEARCH("KENNER",C2004)),ISNUMBER(SEARCH("HENRY HOWARD",C2004)),ISNUMBER(SEARCH("MISS CLAUDIA",C2004))),"Personal Travel - New Orleans",IF(AND(YEAR(B2004)=2025,MONTH(B2004)=4,OR(ISNUMBER(SEARCH("EXCHANGE RATE",C2004)),ISNUMBER(SEARCH("EXCHG RTE",C2004)))),"Personal Travel - Italy",IFERROR(INDEX('Category Rules'!$B$2:$B$358,MATCH(TRUE,ISNUMBER(SEARCH('Category Rules'!$A$2:$A$358,C2004)),0)),""))))))))</f>
        <v>Personal - Entertainment</v>
      </c>
    </row>
    <row r="2005" spans="1:7" x14ac:dyDescent="0.25">
      <c r="A2005" t="s">
        <v>6</v>
      </c>
      <c r="B2005" s="1">
        <v>45720</v>
      </c>
      <c r="C2005" t="s">
        <v>2135</v>
      </c>
      <c r="D2005">
        <v>-383.12</v>
      </c>
      <c r="E2005" t="s">
        <v>10</v>
      </c>
      <c r="F2005">
        <v>893.27</v>
      </c>
      <c r="G2005" t="str" cm="1">
        <f t="array" ref="G2005">IF(AND(ISNUMBER(SEARCH("UBER",C2005)),ISNUMBER(SEARCH("EATS",C2005))),"Uber Eats",IF(LEFT(C2005,6)="CHECK ","Checks Paid",IF(OR(E2005="BILLPAY",ISNUMBER(SEARCH("FRANCHISE TAX",C2005)),ISNUMBER(SEARCH("NEXTLINK",C2005))),"Personal - House Bills",IF(AND(ISNUMBER(SEARCH("PAYMENT FROM",C2005)),ISNUMBER(SEARCH("JOE SAUNDERS",C2005))),"Zelle from Joe Saunders",IF(AND(ISNUMBER(SEARCH("PAYMENT TO",C2005)),ISNUMBER(SEARCH("JOE SAUNDERS",C2005))),"Zelle to Joe Saunders",IF(OR(ISNUMBER(SEARCH("NEW ORLEANS",C2005)),ISNUMBER(SEARCH("KENNER",C2005)),ISNUMBER(SEARCH("HENRY HOWARD",C2005)),ISNUMBER(SEARCH("MISS CLAUDIA",C2005))),"Personal Travel - New Orleans",IF(AND(YEAR(B2005)=2025,MONTH(B2005)=4,OR(ISNUMBER(SEARCH("EXCHANGE RATE",C2005)),ISNUMBER(SEARCH("EXCHG RTE",C2005)))),"Personal Travel - Italy",IFERROR(INDEX('Category Rules'!$B$2:$B$358,MATCH(TRUE,ISNUMBER(SEARCH('Category Rules'!$A$2:$A$358,C2005)),0)),""))))))))</f>
        <v>Personal - Shopping</v>
      </c>
    </row>
    <row r="2006" spans="1:7" x14ac:dyDescent="0.25">
      <c r="A2006" t="s">
        <v>6</v>
      </c>
      <c r="B2006" s="1">
        <v>45720</v>
      </c>
      <c r="C2006" t="s">
        <v>2136</v>
      </c>
      <c r="D2006">
        <v>-84.32</v>
      </c>
      <c r="E2006" t="s">
        <v>10</v>
      </c>
      <c r="F2006">
        <v>1276.3900000000001</v>
      </c>
      <c r="G2006" t="str" cm="1">
        <f t="array" ref="G2006">IF(AND(ISNUMBER(SEARCH("UBER",C2006)),ISNUMBER(SEARCH("EATS",C2006))),"Uber Eats",IF(LEFT(C2006,6)="CHECK ","Checks Paid",IF(OR(E2006="BILLPAY",ISNUMBER(SEARCH("FRANCHISE TAX",C2006)),ISNUMBER(SEARCH("NEXTLINK",C2006))),"Personal - House Bills",IF(AND(ISNUMBER(SEARCH("PAYMENT FROM",C2006)),ISNUMBER(SEARCH("JOE SAUNDERS",C2006))),"Zelle from Joe Saunders",IF(AND(ISNUMBER(SEARCH("PAYMENT TO",C2006)),ISNUMBER(SEARCH("JOE SAUNDERS",C2006))),"Zelle to Joe Saunders",IF(OR(ISNUMBER(SEARCH("NEW ORLEANS",C2006)),ISNUMBER(SEARCH("KENNER",C2006)),ISNUMBER(SEARCH("HENRY HOWARD",C2006)),ISNUMBER(SEARCH("MISS CLAUDIA",C2006))),"Personal Travel - New Orleans",IF(AND(YEAR(B2006)=2025,MONTH(B2006)=4,OR(ISNUMBER(SEARCH("EXCHANGE RATE",C2006)),ISNUMBER(SEARCH("EXCHG RTE",C2006)))),"Personal Travel - Italy",IFERROR(INDEX('Category Rules'!$B$2:$B$358,MATCH(TRUE,ISNUMBER(SEARCH('Category Rules'!$A$2:$A$358,C2006)),0)),""))))))))</f>
        <v>Amazon</v>
      </c>
    </row>
    <row r="2007" spans="1:7" x14ac:dyDescent="0.25">
      <c r="A2007" t="s">
        <v>6</v>
      </c>
      <c r="B2007" s="1">
        <v>45720</v>
      </c>
      <c r="C2007" t="s">
        <v>2137</v>
      </c>
      <c r="D2007">
        <v>-18.12</v>
      </c>
      <c r="E2007" t="s">
        <v>10</v>
      </c>
      <c r="F2007">
        <v>1360.71</v>
      </c>
      <c r="G2007" t="str" cm="1">
        <f t="array" ref="G2007">IF(AND(ISNUMBER(SEARCH("UBER",C2007)),ISNUMBER(SEARCH("EATS",C2007))),"Uber Eats",IF(LEFT(C2007,6)="CHECK ","Checks Paid",IF(OR(E2007="BILLPAY",ISNUMBER(SEARCH("FRANCHISE TAX",C2007)),ISNUMBER(SEARCH("NEXTLINK",C2007))),"Personal - House Bills",IF(AND(ISNUMBER(SEARCH("PAYMENT FROM",C2007)),ISNUMBER(SEARCH("JOE SAUNDERS",C2007))),"Zelle from Joe Saunders",IF(AND(ISNUMBER(SEARCH("PAYMENT TO",C2007)),ISNUMBER(SEARCH("JOE SAUNDERS",C2007))),"Zelle to Joe Saunders",IF(OR(ISNUMBER(SEARCH("NEW ORLEANS",C2007)),ISNUMBER(SEARCH("KENNER",C2007)),ISNUMBER(SEARCH("HENRY HOWARD",C2007)),ISNUMBER(SEARCH("MISS CLAUDIA",C2007))),"Personal Travel - New Orleans",IF(AND(YEAR(B2007)=2025,MONTH(B2007)=4,OR(ISNUMBER(SEARCH("EXCHANGE RATE",C2007)),ISNUMBER(SEARCH("EXCHG RTE",C2007)))),"Personal Travel - Italy",IFERROR(INDEX('Category Rules'!$B$2:$B$358,MATCH(TRUE,ISNUMBER(SEARCH('Category Rules'!$A$2:$A$358,C2007)),0)),""))))))))</f>
        <v>Personal Travel - Canada</v>
      </c>
    </row>
    <row r="2008" spans="1:7" x14ac:dyDescent="0.25">
      <c r="A2008" t="s">
        <v>6</v>
      </c>
      <c r="B2008" s="1">
        <v>45720</v>
      </c>
      <c r="C2008" t="s">
        <v>2138</v>
      </c>
      <c r="D2008">
        <v>-69.989999999999995</v>
      </c>
      <c r="E2008" t="s">
        <v>10</v>
      </c>
      <c r="F2008">
        <v>1378.83</v>
      </c>
      <c r="G2008" t="str" cm="1">
        <f t="array" ref="G2008">IF(AND(ISNUMBER(SEARCH("UBER",C2008)),ISNUMBER(SEARCH("EATS",C2008))),"Uber Eats",IF(LEFT(C2008,6)="CHECK ","Checks Paid",IF(OR(E2008="BILLPAY",ISNUMBER(SEARCH("FRANCHISE TAX",C2008)),ISNUMBER(SEARCH("NEXTLINK",C2008))),"Personal - House Bills",IF(AND(ISNUMBER(SEARCH("PAYMENT FROM",C2008)),ISNUMBER(SEARCH("JOE SAUNDERS",C2008))),"Zelle from Joe Saunders",IF(AND(ISNUMBER(SEARCH("PAYMENT TO",C2008)),ISNUMBER(SEARCH("JOE SAUNDERS",C2008))),"Zelle to Joe Saunders",IF(OR(ISNUMBER(SEARCH("NEW ORLEANS",C2008)),ISNUMBER(SEARCH("KENNER",C2008)),ISNUMBER(SEARCH("HENRY HOWARD",C2008)),ISNUMBER(SEARCH("MISS CLAUDIA",C2008))),"Personal Travel - New Orleans",IF(AND(YEAR(B2008)=2025,MONTH(B2008)=4,OR(ISNUMBER(SEARCH("EXCHANGE RATE",C2008)),ISNUMBER(SEARCH("EXCHG RTE",C2008)))),"Personal Travel - Italy",IFERROR(INDEX('Category Rules'!$B$2:$B$358,MATCH(TRUE,ISNUMBER(SEARCH('Category Rules'!$A$2:$A$358,C2008)),0)),""))))))))</f>
        <v>Apple</v>
      </c>
    </row>
    <row r="2009" spans="1:7" x14ac:dyDescent="0.25">
      <c r="A2009" t="s">
        <v>6</v>
      </c>
      <c r="B2009" s="1">
        <v>45720</v>
      </c>
      <c r="C2009" t="s">
        <v>2138</v>
      </c>
      <c r="D2009">
        <v>-3.99</v>
      </c>
      <c r="E2009" t="s">
        <v>10</v>
      </c>
      <c r="F2009">
        <v>1448.82</v>
      </c>
      <c r="G2009" t="str" cm="1">
        <f t="array" ref="G2009">IF(AND(ISNUMBER(SEARCH("UBER",C2009)),ISNUMBER(SEARCH("EATS",C2009))),"Uber Eats",IF(LEFT(C2009,6)="CHECK ","Checks Paid",IF(OR(E2009="BILLPAY",ISNUMBER(SEARCH("FRANCHISE TAX",C2009)),ISNUMBER(SEARCH("NEXTLINK",C2009))),"Personal - House Bills",IF(AND(ISNUMBER(SEARCH("PAYMENT FROM",C2009)),ISNUMBER(SEARCH("JOE SAUNDERS",C2009))),"Zelle from Joe Saunders",IF(AND(ISNUMBER(SEARCH("PAYMENT TO",C2009)),ISNUMBER(SEARCH("JOE SAUNDERS",C2009))),"Zelle to Joe Saunders",IF(OR(ISNUMBER(SEARCH("NEW ORLEANS",C2009)),ISNUMBER(SEARCH("KENNER",C2009)),ISNUMBER(SEARCH("HENRY HOWARD",C2009)),ISNUMBER(SEARCH("MISS CLAUDIA",C2009))),"Personal Travel - New Orleans",IF(AND(YEAR(B2009)=2025,MONTH(B2009)=4,OR(ISNUMBER(SEARCH("EXCHANGE RATE",C2009)),ISNUMBER(SEARCH("EXCHG RTE",C2009)))),"Personal Travel - Italy",IFERROR(INDEX('Category Rules'!$B$2:$B$358,MATCH(TRUE,ISNUMBER(SEARCH('Category Rules'!$A$2:$A$358,C2009)),0)),""))))))))</f>
        <v>Apple</v>
      </c>
    </row>
    <row r="2010" spans="1:7" x14ac:dyDescent="0.25">
      <c r="A2010" t="s">
        <v>6</v>
      </c>
      <c r="B2010" s="1">
        <v>45719</v>
      </c>
      <c r="C2010" t="s">
        <v>2139</v>
      </c>
      <c r="D2010">
        <v>-409.48</v>
      </c>
      <c r="E2010" t="s">
        <v>10</v>
      </c>
      <c r="F2010">
        <v>1452.81</v>
      </c>
      <c r="G2010" t="str" cm="1">
        <f t="array" ref="G2010">IF(AND(ISNUMBER(SEARCH("UBER",C2010)),ISNUMBER(SEARCH("EATS",C2010))),"Uber Eats",IF(LEFT(C2010,6)="CHECK ","Checks Paid",IF(OR(E2010="BILLPAY",ISNUMBER(SEARCH("FRANCHISE TAX",C2010)),ISNUMBER(SEARCH("NEXTLINK",C2010))),"Personal - House Bills",IF(AND(ISNUMBER(SEARCH("PAYMENT FROM",C2010)),ISNUMBER(SEARCH("JOE SAUNDERS",C2010))),"Zelle from Joe Saunders",IF(AND(ISNUMBER(SEARCH("PAYMENT TO",C2010)),ISNUMBER(SEARCH("JOE SAUNDERS",C2010))),"Zelle to Joe Saunders",IF(OR(ISNUMBER(SEARCH("NEW ORLEANS",C2010)),ISNUMBER(SEARCH("KENNER",C2010)),ISNUMBER(SEARCH("HENRY HOWARD",C2010)),ISNUMBER(SEARCH("MISS CLAUDIA",C2010))),"Personal Travel - New Orleans",IF(AND(YEAR(B2010)=2025,MONTH(B2010)=4,OR(ISNUMBER(SEARCH("EXCHANGE RATE",C2010)),ISNUMBER(SEARCH("EXCHG RTE",C2010)))),"Personal Travel - Italy",IFERROR(INDEX('Category Rules'!$B$2:$B$358,MATCH(TRUE,ISNUMBER(SEARCH('Category Rules'!$A$2:$A$358,C2010)),0)),""))))))))</f>
        <v>Personal - Shopping</v>
      </c>
    </row>
    <row r="2011" spans="1:7" x14ac:dyDescent="0.25">
      <c r="A2011" t="s">
        <v>6</v>
      </c>
      <c r="B2011" s="1">
        <v>45719</v>
      </c>
      <c r="C2011" t="s">
        <v>2140</v>
      </c>
      <c r="D2011">
        <v>-69.59</v>
      </c>
      <c r="E2011" t="s">
        <v>10</v>
      </c>
      <c r="F2011">
        <v>1862.29</v>
      </c>
      <c r="G2011" t="str" cm="1">
        <f t="array" ref="G2011">IF(AND(ISNUMBER(SEARCH("UBER",C2011)),ISNUMBER(SEARCH("EATS",C2011))),"Uber Eats",IF(LEFT(C2011,6)="CHECK ","Checks Paid",IF(OR(E2011="BILLPAY",ISNUMBER(SEARCH("FRANCHISE TAX",C2011)),ISNUMBER(SEARCH("NEXTLINK",C2011))),"Personal - House Bills",IF(AND(ISNUMBER(SEARCH("PAYMENT FROM",C2011)),ISNUMBER(SEARCH("JOE SAUNDERS",C2011))),"Zelle from Joe Saunders",IF(AND(ISNUMBER(SEARCH("PAYMENT TO",C2011)),ISNUMBER(SEARCH("JOE SAUNDERS",C2011))),"Zelle to Joe Saunders",IF(OR(ISNUMBER(SEARCH("NEW ORLEANS",C2011)),ISNUMBER(SEARCH("KENNER",C2011)),ISNUMBER(SEARCH("HENRY HOWARD",C2011)),ISNUMBER(SEARCH("MISS CLAUDIA",C2011))),"Personal Travel - New Orleans",IF(AND(YEAR(B2011)=2025,MONTH(B2011)=4,OR(ISNUMBER(SEARCH("EXCHANGE RATE",C2011)),ISNUMBER(SEARCH("EXCHG RTE",C2011)))),"Personal Travel - Italy",IFERROR(INDEX('Category Rules'!$B$2:$B$358,MATCH(TRUE,ISNUMBER(SEARCH('Category Rules'!$A$2:$A$358,C2011)),0)),""))))))))</f>
        <v>Uber Eats</v>
      </c>
    </row>
    <row r="2012" spans="1:7" x14ac:dyDescent="0.25">
      <c r="A2012" t="s">
        <v>6</v>
      </c>
      <c r="B2012" s="1">
        <v>45719</v>
      </c>
      <c r="C2012" t="s">
        <v>2141</v>
      </c>
      <c r="D2012">
        <v>-2</v>
      </c>
      <c r="E2012" t="s">
        <v>10</v>
      </c>
      <c r="F2012">
        <v>1931.88</v>
      </c>
      <c r="G2012" t="str" cm="1">
        <f t="array" ref="G2012">IF(AND(ISNUMBER(SEARCH("UBER",C2012)),ISNUMBER(SEARCH("EATS",C2012))),"Uber Eats",IF(LEFT(C2012,6)="CHECK ","Checks Paid",IF(OR(E2012="BILLPAY",ISNUMBER(SEARCH("FRANCHISE TAX",C2012)),ISNUMBER(SEARCH("NEXTLINK",C2012))),"Personal - House Bills",IF(AND(ISNUMBER(SEARCH("PAYMENT FROM",C2012)),ISNUMBER(SEARCH("JOE SAUNDERS",C2012))),"Zelle from Joe Saunders",IF(AND(ISNUMBER(SEARCH("PAYMENT TO",C2012)),ISNUMBER(SEARCH("JOE SAUNDERS",C2012))),"Zelle to Joe Saunders",IF(OR(ISNUMBER(SEARCH("NEW ORLEANS",C2012)),ISNUMBER(SEARCH("KENNER",C2012)),ISNUMBER(SEARCH("HENRY HOWARD",C2012)),ISNUMBER(SEARCH("MISS CLAUDIA",C2012))),"Personal Travel - New Orleans",IF(AND(YEAR(B2012)=2025,MONTH(B2012)=4,OR(ISNUMBER(SEARCH("EXCHANGE RATE",C2012)),ISNUMBER(SEARCH("EXCHG RTE",C2012)))),"Personal Travel - Italy",IFERROR(INDEX('Category Rules'!$B$2:$B$358,MATCH(TRUE,ISNUMBER(SEARCH('Category Rules'!$A$2:$A$358,C2012)),0)),""))))))))</f>
        <v>Personal - Car</v>
      </c>
    </row>
    <row r="2013" spans="1:7" x14ac:dyDescent="0.25">
      <c r="A2013" t="s">
        <v>6</v>
      </c>
      <c r="B2013" s="1">
        <v>45719</v>
      </c>
      <c r="C2013" t="s">
        <v>2142</v>
      </c>
      <c r="D2013">
        <v>-25.16</v>
      </c>
      <c r="E2013" t="s">
        <v>10</v>
      </c>
      <c r="F2013">
        <v>1933.88</v>
      </c>
      <c r="G2013" t="str" cm="1">
        <f t="array" ref="G2013">IF(AND(ISNUMBER(SEARCH("UBER",C2013)),ISNUMBER(SEARCH("EATS",C2013))),"Uber Eats",IF(LEFT(C2013,6)="CHECK ","Checks Paid",IF(OR(E2013="BILLPAY",ISNUMBER(SEARCH("FRANCHISE TAX",C2013)),ISNUMBER(SEARCH("NEXTLINK",C2013))),"Personal - House Bills",IF(AND(ISNUMBER(SEARCH("PAYMENT FROM",C2013)),ISNUMBER(SEARCH("JOE SAUNDERS",C2013))),"Zelle from Joe Saunders",IF(AND(ISNUMBER(SEARCH("PAYMENT TO",C2013)),ISNUMBER(SEARCH("JOE SAUNDERS",C2013))),"Zelle to Joe Saunders",IF(OR(ISNUMBER(SEARCH("NEW ORLEANS",C2013)),ISNUMBER(SEARCH("KENNER",C2013)),ISNUMBER(SEARCH("HENRY HOWARD",C2013)),ISNUMBER(SEARCH("MISS CLAUDIA",C2013))),"Personal Travel - New Orleans",IF(AND(YEAR(B2013)=2025,MONTH(B2013)=4,OR(ISNUMBER(SEARCH("EXCHANGE RATE",C2013)),ISNUMBER(SEARCH("EXCHG RTE",C2013)))),"Personal Travel - Italy",IFERROR(INDEX('Category Rules'!$B$2:$B$358,MATCH(TRUE,ISNUMBER(SEARCH('Category Rules'!$A$2:$A$358,C2013)),0)),""))))))))</f>
        <v>Amazon</v>
      </c>
    </row>
    <row r="2014" spans="1:7" x14ac:dyDescent="0.25">
      <c r="A2014" t="s">
        <v>6</v>
      </c>
      <c r="B2014" s="1">
        <v>45719</v>
      </c>
      <c r="C2014" t="s">
        <v>2143</v>
      </c>
      <c r="D2014">
        <v>-461.4</v>
      </c>
      <c r="E2014" t="s">
        <v>10</v>
      </c>
      <c r="F2014">
        <v>1959.04</v>
      </c>
      <c r="G2014" t="str" cm="1">
        <f t="array" ref="G2014">IF(AND(ISNUMBER(SEARCH("UBER",C2014)),ISNUMBER(SEARCH("EATS",C2014))),"Uber Eats",IF(LEFT(C2014,6)="CHECK ","Checks Paid",IF(OR(E2014="BILLPAY",ISNUMBER(SEARCH("FRANCHISE TAX",C2014)),ISNUMBER(SEARCH("NEXTLINK",C2014))),"Personal - House Bills",IF(AND(ISNUMBER(SEARCH("PAYMENT FROM",C2014)),ISNUMBER(SEARCH("JOE SAUNDERS",C2014))),"Zelle from Joe Saunders",IF(AND(ISNUMBER(SEARCH("PAYMENT TO",C2014)),ISNUMBER(SEARCH("JOE SAUNDERS",C2014))),"Zelle to Joe Saunders",IF(OR(ISNUMBER(SEARCH("NEW ORLEANS",C2014)),ISNUMBER(SEARCH("KENNER",C2014)),ISNUMBER(SEARCH("HENRY HOWARD",C2014)),ISNUMBER(SEARCH("MISS CLAUDIA",C2014))),"Personal Travel - New Orleans",IF(AND(YEAR(B2014)=2025,MONTH(B2014)=4,OR(ISNUMBER(SEARCH("EXCHANGE RATE",C2014)),ISNUMBER(SEARCH("EXCHG RTE",C2014)))),"Personal Travel - Italy",IFERROR(INDEX('Category Rules'!$B$2:$B$358,MATCH(TRUE,ISNUMBER(SEARCH('Category Rules'!$A$2:$A$358,C2014)),0)),""))))))))</f>
        <v>Personal - Food</v>
      </c>
    </row>
    <row r="2015" spans="1:7" x14ac:dyDescent="0.25">
      <c r="A2015" t="s">
        <v>6</v>
      </c>
      <c r="B2015" s="1">
        <v>45719</v>
      </c>
      <c r="C2015" t="s">
        <v>2144</v>
      </c>
      <c r="D2015">
        <v>-5.48</v>
      </c>
      <c r="E2015" t="s">
        <v>10</v>
      </c>
      <c r="F2015">
        <v>2420.44</v>
      </c>
      <c r="G2015" t="str" cm="1">
        <f t="array" ref="G2015">IF(AND(ISNUMBER(SEARCH("UBER",C2015)),ISNUMBER(SEARCH("EATS",C2015))),"Uber Eats",IF(LEFT(C2015,6)="CHECK ","Checks Paid",IF(OR(E2015="BILLPAY",ISNUMBER(SEARCH("FRANCHISE TAX",C2015)),ISNUMBER(SEARCH("NEXTLINK",C2015))),"Personal - House Bills",IF(AND(ISNUMBER(SEARCH("PAYMENT FROM",C2015)),ISNUMBER(SEARCH("JOE SAUNDERS",C2015))),"Zelle from Joe Saunders",IF(AND(ISNUMBER(SEARCH("PAYMENT TO",C2015)),ISNUMBER(SEARCH("JOE SAUNDERS",C2015))),"Zelle to Joe Saunders",IF(OR(ISNUMBER(SEARCH("NEW ORLEANS",C2015)),ISNUMBER(SEARCH("KENNER",C2015)),ISNUMBER(SEARCH("HENRY HOWARD",C2015)),ISNUMBER(SEARCH("MISS CLAUDIA",C2015))),"Personal Travel - New Orleans",IF(AND(YEAR(B2015)=2025,MONTH(B2015)=4,OR(ISNUMBER(SEARCH("EXCHANGE RATE",C2015)),ISNUMBER(SEARCH("EXCHG RTE",C2015)))),"Personal Travel - Italy",IFERROR(INDEX('Category Rules'!$B$2:$B$358,MATCH(TRUE,ISNUMBER(SEARCH('Category Rules'!$A$2:$A$358,C2015)),0)),""))))))))</f>
        <v>Personal - Health</v>
      </c>
    </row>
    <row r="2016" spans="1:7" x14ac:dyDescent="0.25">
      <c r="A2016" t="s">
        <v>6</v>
      </c>
      <c r="B2016" s="1">
        <v>45716</v>
      </c>
      <c r="C2016" t="s">
        <v>2145</v>
      </c>
      <c r="D2016">
        <v>-646.29999999999995</v>
      </c>
      <c r="E2016" t="s">
        <v>33</v>
      </c>
      <c r="F2016">
        <v>2425.92</v>
      </c>
      <c r="G2016" t="str" cm="1">
        <f t="array" ref="G2016">IF(AND(ISNUMBER(SEARCH("UBER",C2016)),ISNUMBER(SEARCH("EATS",C2016))),"Uber Eats",IF(LEFT(C2016,6)="CHECK ","Checks Paid",IF(OR(E2016="BILLPAY",ISNUMBER(SEARCH("FRANCHISE TAX",C2016)),ISNUMBER(SEARCH("NEXTLINK",C2016))),"Personal - House Bills",IF(AND(ISNUMBER(SEARCH("PAYMENT FROM",C2016)),ISNUMBER(SEARCH("JOE SAUNDERS",C2016))),"Zelle from Joe Saunders",IF(AND(ISNUMBER(SEARCH("PAYMENT TO",C2016)),ISNUMBER(SEARCH("JOE SAUNDERS",C2016))),"Zelle to Joe Saunders",IF(OR(ISNUMBER(SEARCH("NEW ORLEANS",C2016)),ISNUMBER(SEARCH("KENNER",C2016)),ISNUMBER(SEARCH("HENRY HOWARD",C2016)),ISNUMBER(SEARCH("MISS CLAUDIA",C2016))),"Personal Travel - New Orleans",IF(AND(YEAR(B2016)=2025,MONTH(B2016)=4,OR(ISNUMBER(SEARCH("EXCHANGE RATE",C2016)),ISNUMBER(SEARCH("EXCHG RTE",C2016)))),"Personal Travel - Italy",IFERROR(INDEX('Category Rules'!$B$2:$B$358,MATCH(TRUE,ISNUMBER(SEARCH('Category Rules'!$A$2:$A$358,C2016)),0)),""))))))))</f>
        <v>Personal - House Bills</v>
      </c>
    </row>
    <row r="2017" spans="1:7" x14ac:dyDescent="0.25">
      <c r="A2017" t="s">
        <v>6</v>
      </c>
      <c r="B2017" s="1">
        <v>45716</v>
      </c>
      <c r="C2017" t="s">
        <v>2146</v>
      </c>
      <c r="D2017">
        <v>-944.63</v>
      </c>
      <c r="E2017" t="s">
        <v>10</v>
      </c>
      <c r="F2017">
        <v>3072.22</v>
      </c>
      <c r="G2017" t="str" cm="1">
        <f t="array" ref="G2017">IF(AND(ISNUMBER(SEARCH("UBER",C2017)),ISNUMBER(SEARCH("EATS",C2017))),"Uber Eats",IF(LEFT(C2017,6)="CHECK ","Checks Paid",IF(OR(E2017="BILLPAY",ISNUMBER(SEARCH("FRANCHISE TAX",C2017)),ISNUMBER(SEARCH("NEXTLINK",C2017))),"Personal - House Bills",IF(AND(ISNUMBER(SEARCH("PAYMENT FROM",C2017)),ISNUMBER(SEARCH("JOE SAUNDERS",C2017))),"Zelle from Joe Saunders",IF(AND(ISNUMBER(SEARCH("PAYMENT TO",C2017)),ISNUMBER(SEARCH("JOE SAUNDERS",C2017))),"Zelle to Joe Saunders",IF(OR(ISNUMBER(SEARCH("NEW ORLEANS",C2017)),ISNUMBER(SEARCH("KENNER",C2017)),ISNUMBER(SEARCH("HENRY HOWARD",C2017)),ISNUMBER(SEARCH("MISS CLAUDIA",C2017))),"Personal Travel - New Orleans",IF(AND(YEAR(B2017)=2025,MONTH(B2017)=4,OR(ISNUMBER(SEARCH("EXCHANGE RATE",C2017)),ISNUMBER(SEARCH("EXCHG RTE",C2017)))),"Personal Travel - Italy",IFERROR(INDEX('Category Rules'!$B$2:$B$358,MATCH(TRUE,ISNUMBER(SEARCH('Category Rules'!$A$2:$A$358,C2017)),0)),""))))))))</f>
        <v>Personal - Health Insurance</v>
      </c>
    </row>
    <row r="2018" spans="1:7" x14ac:dyDescent="0.25">
      <c r="A2018" t="s">
        <v>6</v>
      </c>
      <c r="B2018" s="1">
        <v>45716</v>
      </c>
      <c r="C2018" t="s">
        <v>2147</v>
      </c>
      <c r="D2018">
        <v>-5.99</v>
      </c>
      <c r="E2018" t="s">
        <v>10</v>
      </c>
      <c r="F2018">
        <v>4016.85</v>
      </c>
      <c r="G2018" t="str" cm="1">
        <f t="array" ref="G2018">IF(AND(ISNUMBER(SEARCH("UBER",C2018)),ISNUMBER(SEARCH("EATS",C2018))),"Uber Eats",IF(LEFT(C2018,6)="CHECK ","Checks Paid",IF(OR(E2018="BILLPAY",ISNUMBER(SEARCH("FRANCHISE TAX",C2018)),ISNUMBER(SEARCH("NEXTLINK",C2018))),"Personal - House Bills",IF(AND(ISNUMBER(SEARCH("PAYMENT FROM",C2018)),ISNUMBER(SEARCH("JOE SAUNDERS",C2018))),"Zelle from Joe Saunders",IF(AND(ISNUMBER(SEARCH("PAYMENT TO",C2018)),ISNUMBER(SEARCH("JOE SAUNDERS",C2018))),"Zelle to Joe Saunders",IF(OR(ISNUMBER(SEARCH("NEW ORLEANS",C2018)),ISNUMBER(SEARCH("KENNER",C2018)),ISNUMBER(SEARCH("HENRY HOWARD",C2018)),ISNUMBER(SEARCH("MISS CLAUDIA",C2018))),"Personal Travel - New Orleans",IF(AND(YEAR(B2018)=2025,MONTH(B2018)=4,OR(ISNUMBER(SEARCH("EXCHANGE RATE",C2018)),ISNUMBER(SEARCH("EXCHG RTE",C2018)))),"Personal Travel - Italy",IFERROR(INDEX('Category Rules'!$B$2:$B$358,MATCH(TRUE,ISNUMBER(SEARCH('Category Rules'!$A$2:$A$358,C2018)),0)),""))))))))</f>
        <v>Apple</v>
      </c>
    </row>
    <row r="2019" spans="1:7" x14ac:dyDescent="0.25">
      <c r="A2019" t="s">
        <v>6</v>
      </c>
      <c r="B2019" s="1">
        <v>45716</v>
      </c>
      <c r="C2019" t="s">
        <v>2148</v>
      </c>
      <c r="D2019">
        <v>-386.54</v>
      </c>
      <c r="E2019" t="s">
        <v>10</v>
      </c>
      <c r="F2019">
        <v>4022.84</v>
      </c>
      <c r="G2019" t="str" cm="1">
        <f t="array" ref="G2019">IF(AND(ISNUMBER(SEARCH("UBER",C2019)),ISNUMBER(SEARCH("EATS",C2019))),"Uber Eats",IF(LEFT(C2019,6)="CHECK ","Checks Paid",IF(OR(E2019="BILLPAY",ISNUMBER(SEARCH("FRANCHISE TAX",C2019)),ISNUMBER(SEARCH("NEXTLINK",C2019))),"Personal - House Bills",IF(AND(ISNUMBER(SEARCH("PAYMENT FROM",C2019)),ISNUMBER(SEARCH("JOE SAUNDERS",C2019))),"Zelle from Joe Saunders",IF(AND(ISNUMBER(SEARCH("PAYMENT TO",C2019)),ISNUMBER(SEARCH("JOE SAUNDERS",C2019))),"Zelle to Joe Saunders",IF(OR(ISNUMBER(SEARCH("NEW ORLEANS",C2019)),ISNUMBER(SEARCH("KENNER",C2019)),ISNUMBER(SEARCH("HENRY HOWARD",C2019)),ISNUMBER(SEARCH("MISS CLAUDIA",C2019))),"Personal Travel - New Orleans",IF(AND(YEAR(B2019)=2025,MONTH(B2019)=4,OR(ISNUMBER(SEARCH("EXCHANGE RATE",C2019)),ISNUMBER(SEARCH("EXCHG RTE",C2019)))),"Personal Travel - Italy",IFERROR(INDEX('Category Rules'!$B$2:$B$358,MATCH(TRUE,ISNUMBER(SEARCH('Category Rules'!$A$2:$A$358,C2019)),0)),""))))))))</f>
        <v>Personal - Health</v>
      </c>
    </row>
    <row r="2020" spans="1:7" x14ac:dyDescent="0.25">
      <c r="A2020" t="s">
        <v>6</v>
      </c>
      <c r="B2020" s="1">
        <v>45716</v>
      </c>
      <c r="C2020" t="s">
        <v>2149</v>
      </c>
      <c r="D2020">
        <v>-7.5</v>
      </c>
      <c r="E2020" t="s">
        <v>10</v>
      </c>
      <c r="F2020">
        <v>4409.38</v>
      </c>
      <c r="G2020" t="str" cm="1">
        <f t="array" ref="G2020">IF(AND(ISNUMBER(SEARCH("UBER",C2020)),ISNUMBER(SEARCH("EATS",C2020))),"Uber Eats",IF(LEFT(C2020,6)="CHECK ","Checks Paid",IF(OR(E2020="BILLPAY",ISNUMBER(SEARCH("FRANCHISE TAX",C2020)),ISNUMBER(SEARCH("NEXTLINK",C2020))),"Personal - House Bills",IF(AND(ISNUMBER(SEARCH("PAYMENT FROM",C2020)),ISNUMBER(SEARCH("JOE SAUNDERS",C2020))),"Zelle from Joe Saunders",IF(AND(ISNUMBER(SEARCH("PAYMENT TO",C2020)),ISNUMBER(SEARCH("JOE SAUNDERS",C2020))),"Zelle to Joe Saunders",IF(OR(ISNUMBER(SEARCH("NEW ORLEANS",C2020)),ISNUMBER(SEARCH("KENNER",C2020)),ISNUMBER(SEARCH("HENRY HOWARD",C2020)),ISNUMBER(SEARCH("MISS CLAUDIA",C2020))),"Personal Travel - New Orleans",IF(AND(YEAR(B2020)=2025,MONTH(B2020)=4,OR(ISNUMBER(SEARCH("EXCHANGE RATE",C2020)),ISNUMBER(SEARCH("EXCHG RTE",C2020)))),"Personal Travel - Italy",IFERROR(INDEX('Category Rules'!$B$2:$B$358,MATCH(TRUE,ISNUMBER(SEARCH('Category Rules'!$A$2:$A$358,C2020)),0)),""))))))))</f>
        <v>Personal - Subscription</v>
      </c>
    </row>
    <row r="2021" spans="1:7" x14ac:dyDescent="0.25">
      <c r="A2021" t="s">
        <v>6</v>
      </c>
      <c r="B2021" s="1">
        <v>45716</v>
      </c>
      <c r="C2021" t="s">
        <v>2150</v>
      </c>
      <c r="D2021">
        <v>-162.91999999999999</v>
      </c>
      <c r="E2021" t="s">
        <v>10</v>
      </c>
      <c r="F2021">
        <v>4416.88</v>
      </c>
      <c r="G2021" t="str" cm="1">
        <f t="array" ref="G2021">IF(AND(ISNUMBER(SEARCH("UBER",C2021)),ISNUMBER(SEARCH("EATS",C2021))),"Uber Eats",IF(LEFT(C2021,6)="CHECK ","Checks Paid",IF(OR(E2021="BILLPAY",ISNUMBER(SEARCH("FRANCHISE TAX",C2021)),ISNUMBER(SEARCH("NEXTLINK",C2021))),"Personal - House Bills",IF(AND(ISNUMBER(SEARCH("PAYMENT FROM",C2021)),ISNUMBER(SEARCH("JOE SAUNDERS",C2021))),"Zelle from Joe Saunders",IF(AND(ISNUMBER(SEARCH("PAYMENT TO",C2021)),ISNUMBER(SEARCH("JOE SAUNDERS",C2021))),"Zelle to Joe Saunders",IF(OR(ISNUMBER(SEARCH("NEW ORLEANS",C2021)),ISNUMBER(SEARCH("KENNER",C2021)),ISNUMBER(SEARCH("HENRY HOWARD",C2021)),ISNUMBER(SEARCH("MISS CLAUDIA",C2021))),"Personal Travel - New Orleans",IF(AND(YEAR(B2021)=2025,MONTH(B2021)=4,OR(ISNUMBER(SEARCH("EXCHANGE RATE",C2021)),ISNUMBER(SEARCH("EXCHG RTE",C2021)))),"Personal Travel - Italy",IFERROR(INDEX('Category Rules'!$B$2:$B$358,MATCH(TRUE,ISNUMBER(SEARCH('Category Rules'!$A$2:$A$358,C2021)),0)),""))))))))</f>
        <v>Amazon</v>
      </c>
    </row>
    <row r="2022" spans="1:7" x14ac:dyDescent="0.25">
      <c r="A2022" t="s">
        <v>6</v>
      </c>
      <c r="B2022" s="1">
        <v>45715</v>
      </c>
      <c r="C2022" t="s">
        <v>2151</v>
      </c>
      <c r="D2022">
        <v>-300</v>
      </c>
      <c r="E2022" t="s">
        <v>33</v>
      </c>
      <c r="F2022">
        <v>4579.8</v>
      </c>
      <c r="G2022" t="str" cm="1">
        <f t="array" ref="G2022">IF(AND(ISNUMBER(SEARCH("UBER",C2022)),ISNUMBER(SEARCH("EATS",C2022))),"Uber Eats",IF(LEFT(C2022,6)="CHECK ","Checks Paid",IF(OR(E2022="BILLPAY",ISNUMBER(SEARCH("FRANCHISE TAX",C2022)),ISNUMBER(SEARCH("NEXTLINK",C2022))),"Personal - House Bills",IF(AND(ISNUMBER(SEARCH("PAYMENT FROM",C2022)),ISNUMBER(SEARCH("JOE SAUNDERS",C2022))),"Zelle from Joe Saunders",IF(AND(ISNUMBER(SEARCH("PAYMENT TO",C2022)),ISNUMBER(SEARCH("JOE SAUNDERS",C2022))),"Zelle to Joe Saunders",IF(OR(ISNUMBER(SEARCH("NEW ORLEANS",C2022)),ISNUMBER(SEARCH("KENNER",C2022)),ISNUMBER(SEARCH("HENRY HOWARD",C2022)),ISNUMBER(SEARCH("MISS CLAUDIA",C2022))),"Personal Travel - New Orleans",IF(AND(YEAR(B2022)=2025,MONTH(B2022)=4,OR(ISNUMBER(SEARCH("EXCHANGE RATE",C2022)),ISNUMBER(SEARCH("EXCHG RTE",C2022)))),"Personal Travel - Italy",IFERROR(INDEX('Category Rules'!$B$2:$B$358,MATCH(TRUE,ISNUMBER(SEARCH('Category Rules'!$A$2:$A$358,C2022)),0)),""))))))))</f>
        <v>Personal - House Bills</v>
      </c>
    </row>
    <row r="2023" spans="1:7" x14ac:dyDescent="0.25">
      <c r="A2023" t="s">
        <v>6</v>
      </c>
      <c r="B2023" s="1">
        <v>45715</v>
      </c>
      <c r="C2023" t="s">
        <v>2152</v>
      </c>
      <c r="D2023">
        <v>-120</v>
      </c>
      <c r="E2023" t="s">
        <v>33</v>
      </c>
      <c r="F2023">
        <v>4879.8</v>
      </c>
      <c r="G2023" t="str" cm="1">
        <f t="array" ref="G2023">IF(AND(ISNUMBER(SEARCH("UBER",C2023)),ISNUMBER(SEARCH("EATS",C2023))),"Uber Eats",IF(LEFT(C2023,6)="CHECK ","Checks Paid",IF(OR(E2023="BILLPAY",ISNUMBER(SEARCH("FRANCHISE TAX",C2023)),ISNUMBER(SEARCH("NEXTLINK",C2023))),"Personal - House Bills",IF(AND(ISNUMBER(SEARCH("PAYMENT FROM",C2023)),ISNUMBER(SEARCH("JOE SAUNDERS",C2023))),"Zelle from Joe Saunders",IF(AND(ISNUMBER(SEARCH("PAYMENT TO",C2023)),ISNUMBER(SEARCH("JOE SAUNDERS",C2023))),"Zelle to Joe Saunders",IF(OR(ISNUMBER(SEARCH("NEW ORLEANS",C2023)),ISNUMBER(SEARCH("KENNER",C2023)),ISNUMBER(SEARCH("HENRY HOWARD",C2023)),ISNUMBER(SEARCH("MISS CLAUDIA",C2023))),"Personal Travel - New Orleans",IF(AND(YEAR(B2023)=2025,MONTH(B2023)=4,OR(ISNUMBER(SEARCH("EXCHANGE RATE",C2023)),ISNUMBER(SEARCH("EXCHG RTE",C2023)))),"Personal Travel - Italy",IFERROR(INDEX('Category Rules'!$B$2:$B$358,MATCH(TRUE,ISNUMBER(SEARCH('Category Rules'!$A$2:$A$358,C2023)),0)),""))))))))</f>
        <v>Personal - House Bills</v>
      </c>
    </row>
    <row r="2024" spans="1:7" x14ac:dyDescent="0.25">
      <c r="A2024" t="s">
        <v>6</v>
      </c>
      <c r="B2024" s="1">
        <v>45715</v>
      </c>
      <c r="C2024" t="s">
        <v>2153</v>
      </c>
      <c r="D2024">
        <v>-330</v>
      </c>
      <c r="E2024" t="s">
        <v>33</v>
      </c>
      <c r="F2024">
        <v>4999.8</v>
      </c>
      <c r="G2024" t="str" cm="1">
        <f t="array" ref="G2024">IF(AND(ISNUMBER(SEARCH("UBER",C2024)),ISNUMBER(SEARCH("EATS",C2024))),"Uber Eats",IF(LEFT(C2024,6)="CHECK ","Checks Paid",IF(OR(E2024="BILLPAY",ISNUMBER(SEARCH("FRANCHISE TAX",C2024)),ISNUMBER(SEARCH("NEXTLINK",C2024))),"Personal - House Bills",IF(AND(ISNUMBER(SEARCH("PAYMENT FROM",C2024)),ISNUMBER(SEARCH("JOE SAUNDERS",C2024))),"Zelle from Joe Saunders",IF(AND(ISNUMBER(SEARCH("PAYMENT TO",C2024)),ISNUMBER(SEARCH("JOE SAUNDERS",C2024))),"Zelle to Joe Saunders",IF(OR(ISNUMBER(SEARCH("NEW ORLEANS",C2024)),ISNUMBER(SEARCH("KENNER",C2024)),ISNUMBER(SEARCH("HENRY HOWARD",C2024)),ISNUMBER(SEARCH("MISS CLAUDIA",C2024))),"Personal Travel - New Orleans",IF(AND(YEAR(B2024)=2025,MONTH(B2024)=4,OR(ISNUMBER(SEARCH("EXCHANGE RATE",C2024)),ISNUMBER(SEARCH("EXCHG RTE",C2024)))),"Personal Travel - Italy",IFERROR(INDEX('Category Rules'!$B$2:$B$358,MATCH(TRUE,ISNUMBER(SEARCH('Category Rules'!$A$2:$A$358,C2024)),0)),""))))))))</f>
        <v>Personal - House Bills</v>
      </c>
    </row>
    <row r="2025" spans="1:7" x14ac:dyDescent="0.25">
      <c r="A2025" t="s">
        <v>6</v>
      </c>
      <c r="B2025" s="1">
        <v>45715</v>
      </c>
      <c r="C2025" t="s">
        <v>2154</v>
      </c>
      <c r="D2025">
        <v>-320</v>
      </c>
      <c r="E2025" t="s">
        <v>33</v>
      </c>
      <c r="F2025">
        <v>5329.8</v>
      </c>
      <c r="G2025" t="str" cm="1">
        <f t="array" ref="G2025">IF(AND(ISNUMBER(SEARCH("UBER",C2025)),ISNUMBER(SEARCH("EATS",C2025))),"Uber Eats",IF(LEFT(C2025,6)="CHECK ","Checks Paid",IF(OR(E2025="BILLPAY",ISNUMBER(SEARCH("FRANCHISE TAX",C2025)),ISNUMBER(SEARCH("NEXTLINK",C2025))),"Personal - House Bills",IF(AND(ISNUMBER(SEARCH("PAYMENT FROM",C2025)),ISNUMBER(SEARCH("JOE SAUNDERS",C2025))),"Zelle from Joe Saunders",IF(AND(ISNUMBER(SEARCH("PAYMENT TO",C2025)),ISNUMBER(SEARCH("JOE SAUNDERS",C2025))),"Zelle to Joe Saunders",IF(OR(ISNUMBER(SEARCH("NEW ORLEANS",C2025)),ISNUMBER(SEARCH("KENNER",C2025)),ISNUMBER(SEARCH("HENRY HOWARD",C2025)),ISNUMBER(SEARCH("MISS CLAUDIA",C2025))),"Personal Travel - New Orleans",IF(AND(YEAR(B2025)=2025,MONTH(B2025)=4,OR(ISNUMBER(SEARCH("EXCHANGE RATE",C2025)),ISNUMBER(SEARCH("EXCHG RTE",C2025)))),"Personal Travel - Italy",IFERROR(INDEX('Category Rules'!$B$2:$B$358,MATCH(TRUE,ISNUMBER(SEARCH('Category Rules'!$A$2:$A$358,C2025)),0)),""))))))))</f>
        <v>Personal - House Bills</v>
      </c>
    </row>
    <row r="2026" spans="1:7" x14ac:dyDescent="0.25">
      <c r="A2026" t="s">
        <v>6</v>
      </c>
      <c r="B2026" s="1">
        <v>45715</v>
      </c>
      <c r="C2026" t="s">
        <v>2155</v>
      </c>
      <c r="D2026">
        <v>-700</v>
      </c>
      <c r="E2026" t="s">
        <v>33</v>
      </c>
      <c r="F2026">
        <v>5649.8</v>
      </c>
      <c r="G2026" t="str" cm="1">
        <f t="array" ref="G2026">IF(AND(ISNUMBER(SEARCH("UBER",C2026)),ISNUMBER(SEARCH("EATS",C2026))),"Uber Eats",IF(LEFT(C2026,6)="CHECK ","Checks Paid",IF(OR(E2026="BILLPAY",ISNUMBER(SEARCH("FRANCHISE TAX",C2026)),ISNUMBER(SEARCH("NEXTLINK",C2026))),"Personal - House Bills",IF(AND(ISNUMBER(SEARCH("PAYMENT FROM",C2026)),ISNUMBER(SEARCH("JOE SAUNDERS",C2026))),"Zelle from Joe Saunders",IF(AND(ISNUMBER(SEARCH("PAYMENT TO",C2026)),ISNUMBER(SEARCH("JOE SAUNDERS",C2026))),"Zelle to Joe Saunders",IF(OR(ISNUMBER(SEARCH("NEW ORLEANS",C2026)),ISNUMBER(SEARCH("KENNER",C2026)),ISNUMBER(SEARCH("HENRY HOWARD",C2026)),ISNUMBER(SEARCH("MISS CLAUDIA",C2026))),"Personal Travel - New Orleans",IF(AND(YEAR(B2026)=2025,MONTH(B2026)=4,OR(ISNUMBER(SEARCH("EXCHANGE RATE",C2026)),ISNUMBER(SEARCH("EXCHG RTE",C2026)))),"Personal Travel - Italy",IFERROR(INDEX('Category Rules'!$B$2:$B$358,MATCH(TRUE,ISNUMBER(SEARCH('Category Rules'!$A$2:$A$358,C2026)),0)),""))))))))</f>
        <v>Personal - House Bills</v>
      </c>
    </row>
    <row r="2027" spans="1:7" x14ac:dyDescent="0.25">
      <c r="A2027" t="s">
        <v>6</v>
      </c>
      <c r="B2027" s="1">
        <v>45715</v>
      </c>
      <c r="C2027" t="s">
        <v>2156</v>
      </c>
      <c r="D2027">
        <v>-5.99</v>
      </c>
      <c r="E2027" t="s">
        <v>10</v>
      </c>
      <c r="F2027">
        <v>6349.8</v>
      </c>
      <c r="G2027" t="str" cm="1">
        <f t="array" ref="G2027">IF(AND(ISNUMBER(SEARCH("UBER",C2027)),ISNUMBER(SEARCH("EATS",C2027))),"Uber Eats",IF(LEFT(C2027,6)="CHECK ","Checks Paid",IF(OR(E2027="BILLPAY",ISNUMBER(SEARCH("FRANCHISE TAX",C2027)),ISNUMBER(SEARCH("NEXTLINK",C2027))),"Personal - House Bills",IF(AND(ISNUMBER(SEARCH("PAYMENT FROM",C2027)),ISNUMBER(SEARCH("JOE SAUNDERS",C2027))),"Zelle from Joe Saunders",IF(AND(ISNUMBER(SEARCH("PAYMENT TO",C2027)),ISNUMBER(SEARCH("JOE SAUNDERS",C2027))),"Zelle to Joe Saunders",IF(OR(ISNUMBER(SEARCH("NEW ORLEANS",C2027)),ISNUMBER(SEARCH("KENNER",C2027)),ISNUMBER(SEARCH("HENRY HOWARD",C2027)),ISNUMBER(SEARCH("MISS CLAUDIA",C2027))),"Personal Travel - New Orleans",IF(AND(YEAR(B2027)=2025,MONTH(B2027)=4,OR(ISNUMBER(SEARCH("EXCHANGE RATE",C2027)),ISNUMBER(SEARCH("EXCHG RTE",C2027)))),"Personal Travel - Italy",IFERROR(INDEX('Category Rules'!$B$2:$B$358,MATCH(TRUE,ISNUMBER(SEARCH('Category Rules'!$A$2:$A$358,C2027)),0)),""))))))))</f>
        <v>Personal - Subscription</v>
      </c>
    </row>
    <row r="2028" spans="1:7" x14ac:dyDescent="0.25">
      <c r="A2028" t="s">
        <v>6</v>
      </c>
      <c r="B2028" s="1">
        <v>45715</v>
      </c>
      <c r="C2028" t="s">
        <v>2157</v>
      </c>
      <c r="D2028">
        <v>-6.99</v>
      </c>
      <c r="E2028" t="s">
        <v>10</v>
      </c>
      <c r="F2028">
        <v>6355.79</v>
      </c>
      <c r="G2028" t="str" cm="1">
        <f t="array" ref="G2028">IF(AND(ISNUMBER(SEARCH("UBER",C2028)),ISNUMBER(SEARCH("EATS",C2028))),"Uber Eats",IF(LEFT(C2028,6)="CHECK ","Checks Paid",IF(OR(E2028="BILLPAY",ISNUMBER(SEARCH("FRANCHISE TAX",C2028)),ISNUMBER(SEARCH("NEXTLINK",C2028))),"Personal - House Bills",IF(AND(ISNUMBER(SEARCH("PAYMENT FROM",C2028)),ISNUMBER(SEARCH("JOE SAUNDERS",C2028))),"Zelle from Joe Saunders",IF(AND(ISNUMBER(SEARCH("PAYMENT TO",C2028)),ISNUMBER(SEARCH("JOE SAUNDERS",C2028))),"Zelle to Joe Saunders",IF(OR(ISNUMBER(SEARCH("NEW ORLEANS",C2028)),ISNUMBER(SEARCH("KENNER",C2028)),ISNUMBER(SEARCH("HENRY HOWARD",C2028)),ISNUMBER(SEARCH("MISS CLAUDIA",C2028))),"Personal Travel - New Orleans",IF(AND(YEAR(B2028)=2025,MONTH(B2028)=4,OR(ISNUMBER(SEARCH("EXCHANGE RATE",C2028)),ISNUMBER(SEARCH("EXCHG RTE",C2028)))),"Personal Travel - Italy",IFERROR(INDEX('Category Rules'!$B$2:$B$358,MATCH(TRUE,ISNUMBER(SEARCH('Category Rules'!$A$2:$A$358,C2028)),0)),""))))))))</f>
        <v>Amazon</v>
      </c>
    </row>
    <row r="2029" spans="1:7" x14ac:dyDescent="0.25">
      <c r="A2029" t="s">
        <v>6</v>
      </c>
      <c r="B2029" s="1">
        <v>45715</v>
      </c>
      <c r="C2029" t="s">
        <v>2158</v>
      </c>
      <c r="D2029">
        <v>-25.16</v>
      </c>
      <c r="E2029" t="s">
        <v>10</v>
      </c>
      <c r="F2029">
        <v>6362.78</v>
      </c>
      <c r="G2029" t="str" cm="1">
        <f t="array" ref="G2029">IF(AND(ISNUMBER(SEARCH("UBER",C2029)),ISNUMBER(SEARCH("EATS",C2029))),"Uber Eats",IF(LEFT(C2029,6)="CHECK ","Checks Paid",IF(OR(E2029="BILLPAY",ISNUMBER(SEARCH("FRANCHISE TAX",C2029)),ISNUMBER(SEARCH("NEXTLINK",C2029))),"Personal - House Bills",IF(AND(ISNUMBER(SEARCH("PAYMENT FROM",C2029)),ISNUMBER(SEARCH("JOE SAUNDERS",C2029))),"Zelle from Joe Saunders",IF(AND(ISNUMBER(SEARCH("PAYMENT TO",C2029)),ISNUMBER(SEARCH("JOE SAUNDERS",C2029))),"Zelle to Joe Saunders",IF(OR(ISNUMBER(SEARCH("NEW ORLEANS",C2029)),ISNUMBER(SEARCH("KENNER",C2029)),ISNUMBER(SEARCH("HENRY HOWARD",C2029)),ISNUMBER(SEARCH("MISS CLAUDIA",C2029))),"Personal Travel - New Orleans",IF(AND(YEAR(B2029)=2025,MONTH(B2029)=4,OR(ISNUMBER(SEARCH("EXCHANGE RATE",C2029)),ISNUMBER(SEARCH("EXCHG RTE",C2029)))),"Personal Travel - Italy",IFERROR(INDEX('Category Rules'!$B$2:$B$358,MATCH(TRUE,ISNUMBER(SEARCH('Category Rules'!$A$2:$A$358,C2029)),0)),""))))))))</f>
        <v>Amazon</v>
      </c>
    </row>
    <row r="2030" spans="1:7" x14ac:dyDescent="0.25">
      <c r="A2030" t="s">
        <v>6</v>
      </c>
      <c r="B2030" s="1">
        <v>45715</v>
      </c>
      <c r="C2030" t="s">
        <v>2159</v>
      </c>
      <c r="D2030">
        <v>-135.5</v>
      </c>
      <c r="E2030" t="s">
        <v>10</v>
      </c>
      <c r="F2030">
        <v>6387.94</v>
      </c>
      <c r="G2030" t="str" cm="1">
        <f t="array" ref="G2030">IF(AND(ISNUMBER(SEARCH("UBER",C2030)),ISNUMBER(SEARCH("EATS",C2030))),"Uber Eats",IF(LEFT(C2030,6)="CHECK ","Checks Paid",IF(OR(E2030="BILLPAY",ISNUMBER(SEARCH("FRANCHISE TAX",C2030)),ISNUMBER(SEARCH("NEXTLINK",C2030))),"Personal - House Bills",IF(AND(ISNUMBER(SEARCH("PAYMENT FROM",C2030)),ISNUMBER(SEARCH("JOE SAUNDERS",C2030))),"Zelle from Joe Saunders",IF(AND(ISNUMBER(SEARCH("PAYMENT TO",C2030)),ISNUMBER(SEARCH("JOE SAUNDERS",C2030))),"Zelle to Joe Saunders",IF(OR(ISNUMBER(SEARCH("NEW ORLEANS",C2030)),ISNUMBER(SEARCH("KENNER",C2030)),ISNUMBER(SEARCH("HENRY HOWARD",C2030)),ISNUMBER(SEARCH("MISS CLAUDIA",C2030))),"Personal Travel - New Orleans",IF(AND(YEAR(B2030)=2025,MONTH(B2030)=4,OR(ISNUMBER(SEARCH("EXCHANGE RATE",C2030)),ISNUMBER(SEARCH("EXCHG RTE",C2030)))),"Personal Travel - Italy",IFERROR(INDEX('Category Rules'!$B$2:$B$358,MATCH(TRUE,ISNUMBER(SEARCH('Category Rules'!$A$2:$A$358,C2030)),0)),""))))))))</f>
        <v>Personal - Food</v>
      </c>
    </row>
    <row r="2031" spans="1:7" x14ac:dyDescent="0.25">
      <c r="A2031" t="s">
        <v>6</v>
      </c>
      <c r="B2031" s="1">
        <v>45715</v>
      </c>
      <c r="C2031" t="s">
        <v>2160</v>
      </c>
      <c r="D2031">
        <v>-459.6</v>
      </c>
      <c r="E2031" t="s">
        <v>10</v>
      </c>
      <c r="F2031">
        <v>6523.44</v>
      </c>
      <c r="G2031" t="str" cm="1">
        <f t="array" ref="G2031">IF(AND(ISNUMBER(SEARCH("UBER",C2031)),ISNUMBER(SEARCH("EATS",C2031))),"Uber Eats",IF(LEFT(C2031,6)="CHECK ","Checks Paid",IF(OR(E2031="BILLPAY",ISNUMBER(SEARCH("FRANCHISE TAX",C2031)),ISNUMBER(SEARCH("NEXTLINK",C2031))),"Personal - House Bills",IF(AND(ISNUMBER(SEARCH("PAYMENT FROM",C2031)),ISNUMBER(SEARCH("JOE SAUNDERS",C2031))),"Zelle from Joe Saunders",IF(AND(ISNUMBER(SEARCH("PAYMENT TO",C2031)),ISNUMBER(SEARCH("JOE SAUNDERS",C2031))),"Zelle to Joe Saunders",IF(OR(ISNUMBER(SEARCH("NEW ORLEANS",C2031)),ISNUMBER(SEARCH("KENNER",C2031)),ISNUMBER(SEARCH("HENRY HOWARD",C2031)),ISNUMBER(SEARCH("MISS CLAUDIA",C2031))),"Personal Travel - New Orleans",IF(AND(YEAR(B2031)=2025,MONTH(B2031)=4,OR(ISNUMBER(SEARCH("EXCHANGE RATE",C2031)),ISNUMBER(SEARCH("EXCHG RTE",C2031)))),"Personal Travel - Italy",IFERROR(INDEX('Category Rules'!$B$2:$B$358,MATCH(TRUE,ISNUMBER(SEARCH('Category Rules'!$A$2:$A$358,C2031)),0)),""))))))))</f>
        <v>Amazon</v>
      </c>
    </row>
    <row r="2032" spans="1:7" x14ac:dyDescent="0.25">
      <c r="A2032" t="s">
        <v>44</v>
      </c>
      <c r="B2032" s="1">
        <v>45715</v>
      </c>
      <c r="C2032" t="s">
        <v>2161</v>
      </c>
      <c r="D2032">
        <v>5000</v>
      </c>
      <c r="E2032" t="s">
        <v>73</v>
      </c>
      <c r="F2032">
        <v>6983.04</v>
      </c>
      <c r="G2032" t="str" cm="1">
        <f t="array" ref="G2032">IF(AND(ISNUMBER(SEARCH("UBER",C2032)),ISNUMBER(SEARCH("EATS",C2032))),"Uber Eats",IF(LEFT(C2032,6)="CHECK ","Checks Paid",IF(OR(E2032="BILLPAY",ISNUMBER(SEARCH("FRANCHISE TAX",C2032)),ISNUMBER(SEARCH("NEXTLINK",C2032))),"Personal - House Bills",IF(AND(ISNUMBER(SEARCH("PAYMENT FROM",C2032)),ISNUMBER(SEARCH("JOE SAUNDERS",C2032))),"Zelle from Joe Saunders",IF(AND(ISNUMBER(SEARCH("PAYMENT TO",C2032)),ISNUMBER(SEARCH("JOE SAUNDERS",C2032))),"Zelle to Joe Saunders",IF(OR(ISNUMBER(SEARCH("NEW ORLEANS",C2032)),ISNUMBER(SEARCH("KENNER",C2032)),ISNUMBER(SEARCH("HENRY HOWARD",C2032)),ISNUMBER(SEARCH("MISS CLAUDIA",C2032))),"Personal Travel - New Orleans",IF(AND(YEAR(B2032)=2025,MONTH(B2032)=4,OR(ISNUMBER(SEARCH("EXCHANGE RATE",C2032)),ISNUMBER(SEARCH("EXCHG RTE",C2032)))),"Personal Travel - Italy",IFERROR(INDEX('Category Rules'!$B$2:$B$358,MATCH(TRUE,ISNUMBER(SEARCH('Category Rules'!$A$2:$A$358,C2032)),0)),""))))))))</f>
        <v>Transfer from DWG Capital Group</v>
      </c>
    </row>
    <row r="2033" spans="1:7" x14ac:dyDescent="0.25">
      <c r="A2033" t="s">
        <v>6</v>
      </c>
      <c r="B2033" s="1">
        <v>45714</v>
      </c>
      <c r="C2033" t="s">
        <v>2162</v>
      </c>
      <c r="D2033">
        <v>-21.88</v>
      </c>
      <c r="E2033" t="s">
        <v>10</v>
      </c>
      <c r="F2033">
        <v>1983.04</v>
      </c>
      <c r="G2033" t="str" cm="1">
        <f t="array" ref="G2033">IF(AND(ISNUMBER(SEARCH("UBER",C2033)),ISNUMBER(SEARCH("EATS",C2033))),"Uber Eats",IF(LEFT(C2033,6)="CHECK ","Checks Paid",IF(OR(E2033="BILLPAY",ISNUMBER(SEARCH("FRANCHISE TAX",C2033)),ISNUMBER(SEARCH("NEXTLINK",C2033))),"Personal - House Bills",IF(AND(ISNUMBER(SEARCH("PAYMENT FROM",C2033)),ISNUMBER(SEARCH("JOE SAUNDERS",C2033))),"Zelle from Joe Saunders",IF(AND(ISNUMBER(SEARCH("PAYMENT TO",C2033)),ISNUMBER(SEARCH("JOE SAUNDERS",C2033))),"Zelle to Joe Saunders",IF(OR(ISNUMBER(SEARCH("NEW ORLEANS",C2033)),ISNUMBER(SEARCH("KENNER",C2033)),ISNUMBER(SEARCH("HENRY HOWARD",C2033)),ISNUMBER(SEARCH("MISS CLAUDIA",C2033))),"Personal Travel - New Orleans",IF(AND(YEAR(B2033)=2025,MONTH(B2033)=4,OR(ISNUMBER(SEARCH("EXCHANGE RATE",C2033)),ISNUMBER(SEARCH("EXCHG RTE",C2033)))),"Personal Travel - Italy",IFERROR(INDEX('Category Rules'!$B$2:$B$358,MATCH(TRUE,ISNUMBER(SEARCH('Category Rules'!$A$2:$A$358,C2033)),0)),""))))))))</f>
        <v>Amazon</v>
      </c>
    </row>
    <row r="2034" spans="1:7" x14ac:dyDescent="0.25">
      <c r="A2034" t="s">
        <v>6</v>
      </c>
      <c r="B2034" s="1">
        <v>45714</v>
      </c>
      <c r="C2034" t="s">
        <v>2163</v>
      </c>
      <c r="D2034">
        <v>-9.84</v>
      </c>
      <c r="E2034" t="s">
        <v>10</v>
      </c>
      <c r="F2034">
        <v>2004.92</v>
      </c>
      <c r="G2034" t="str" cm="1">
        <f t="array" ref="G2034">IF(AND(ISNUMBER(SEARCH("UBER",C2034)),ISNUMBER(SEARCH("EATS",C2034))),"Uber Eats",IF(LEFT(C2034,6)="CHECK ","Checks Paid",IF(OR(E2034="BILLPAY",ISNUMBER(SEARCH("FRANCHISE TAX",C2034)),ISNUMBER(SEARCH("NEXTLINK",C2034))),"Personal - House Bills",IF(AND(ISNUMBER(SEARCH("PAYMENT FROM",C2034)),ISNUMBER(SEARCH("JOE SAUNDERS",C2034))),"Zelle from Joe Saunders",IF(AND(ISNUMBER(SEARCH("PAYMENT TO",C2034)),ISNUMBER(SEARCH("JOE SAUNDERS",C2034))),"Zelle to Joe Saunders",IF(OR(ISNUMBER(SEARCH("NEW ORLEANS",C2034)),ISNUMBER(SEARCH("KENNER",C2034)),ISNUMBER(SEARCH("HENRY HOWARD",C2034)),ISNUMBER(SEARCH("MISS CLAUDIA",C2034))),"Personal Travel - New Orleans",IF(AND(YEAR(B2034)=2025,MONTH(B2034)=4,OR(ISNUMBER(SEARCH("EXCHANGE RATE",C2034)),ISNUMBER(SEARCH("EXCHG RTE",C2034)))),"Personal Travel - Italy",IFERROR(INDEX('Category Rules'!$B$2:$B$358,MATCH(TRUE,ISNUMBER(SEARCH('Category Rules'!$A$2:$A$358,C2034)),0)),""))))))))</f>
        <v>Amazon</v>
      </c>
    </row>
    <row r="2035" spans="1:7" x14ac:dyDescent="0.25">
      <c r="A2035" t="s">
        <v>6</v>
      </c>
      <c r="B2035" s="1">
        <v>45713</v>
      </c>
      <c r="C2035" t="s">
        <v>2164</v>
      </c>
      <c r="D2035">
        <v>-104.67</v>
      </c>
      <c r="E2035" t="s">
        <v>10</v>
      </c>
      <c r="F2035">
        <v>2014.76</v>
      </c>
      <c r="G2035" t="str" cm="1">
        <f t="array" ref="G2035">IF(AND(ISNUMBER(SEARCH("UBER",C2035)),ISNUMBER(SEARCH("EATS",C2035))),"Uber Eats",IF(LEFT(C2035,6)="CHECK ","Checks Paid",IF(OR(E2035="BILLPAY",ISNUMBER(SEARCH("FRANCHISE TAX",C2035)),ISNUMBER(SEARCH("NEXTLINK",C2035))),"Personal - House Bills",IF(AND(ISNUMBER(SEARCH("PAYMENT FROM",C2035)),ISNUMBER(SEARCH("JOE SAUNDERS",C2035))),"Zelle from Joe Saunders",IF(AND(ISNUMBER(SEARCH("PAYMENT TO",C2035)),ISNUMBER(SEARCH("JOE SAUNDERS",C2035))),"Zelle to Joe Saunders",IF(OR(ISNUMBER(SEARCH("NEW ORLEANS",C2035)),ISNUMBER(SEARCH("KENNER",C2035)),ISNUMBER(SEARCH("HENRY HOWARD",C2035)),ISNUMBER(SEARCH("MISS CLAUDIA",C2035))),"Personal Travel - New Orleans",IF(AND(YEAR(B2035)=2025,MONTH(B2035)=4,OR(ISNUMBER(SEARCH("EXCHANGE RATE",C2035)),ISNUMBER(SEARCH("EXCHG RTE",C2035)))),"Personal Travel - Italy",IFERROR(INDEX('Category Rules'!$B$2:$B$358,MATCH(TRUE,ISNUMBER(SEARCH('Category Rules'!$A$2:$A$358,C2035)),0)),""))))))))</f>
        <v>Uber Eats</v>
      </c>
    </row>
    <row r="2036" spans="1:7" x14ac:dyDescent="0.25">
      <c r="A2036" t="s">
        <v>6</v>
      </c>
      <c r="B2036" s="1">
        <v>45713</v>
      </c>
      <c r="C2036" t="s">
        <v>2165</v>
      </c>
      <c r="D2036">
        <v>-1000</v>
      </c>
      <c r="E2036" t="s">
        <v>93</v>
      </c>
      <c r="F2036">
        <v>2119.4299999999998</v>
      </c>
      <c r="G2036" t="str" cm="1">
        <f t="array" ref="G2036">IF(AND(ISNUMBER(SEARCH("UBER",C2036)),ISNUMBER(SEARCH("EATS",C2036))),"Uber Eats",IF(LEFT(C2036,6)="CHECK ","Checks Paid",IF(OR(E2036="BILLPAY",ISNUMBER(SEARCH("FRANCHISE TAX",C2036)),ISNUMBER(SEARCH("NEXTLINK",C2036))),"Personal - House Bills",IF(AND(ISNUMBER(SEARCH("PAYMENT FROM",C2036)),ISNUMBER(SEARCH("JOE SAUNDERS",C2036))),"Zelle from Joe Saunders",IF(AND(ISNUMBER(SEARCH("PAYMENT TO",C2036)),ISNUMBER(SEARCH("JOE SAUNDERS",C2036))),"Zelle to Joe Saunders",IF(OR(ISNUMBER(SEARCH("NEW ORLEANS",C2036)),ISNUMBER(SEARCH("KENNER",C2036)),ISNUMBER(SEARCH("HENRY HOWARD",C2036)),ISNUMBER(SEARCH("MISS CLAUDIA",C2036))),"Personal Travel - New Orleans",IF(AND(YEAR(B2036)=2025,MONTH(B2036)=4,OR(ISNUMBER(SEARCH("EXCHANGE RATE",C2036)),ISNUMBER(SEARCH("EXCHG RTE",C2036)))),"Personal Travel - Italy",IFERROR(INDEX('Category Rules'!$B$2:$B$358,MATCH(TRUE,ISNUMBER(SEARCH('Category Rules'!$A$2:$A$358,C2036)),0)),""))))))))</f>
        <v>Withdrawal</v>
      </c>
    </row>
    <row r="2037" spans="1:7" x14ac:dyDescent="0.25">
      <c r="A2037" t="s">
        <v>6</v>
      </c>
      <c r="B2037" s="1">
        <v>45713</v>
      </c>
      <c r="C2037" t="s">
        <v>2166</v>
      </c>
      <c r="D2037">
        <v>-30.64</v>
      </c>
      <c r="E2037" t="s">
        <v>10</v>
      </c>
      <c r="F2037">
        <v>3119.43</v>
      </c>
      <c r="G2037" t="str" cm="1">
        <f t="array" ref="G2037">IF(AND(ISNUMBER(SEARCH("UBER",C2037)),ISNUMBER(SEARCH("EATS",C2037))),"Uber Eats",IF(LEFT(C2037,6)="CHECK ","Checks Paid",IF(OR(E2037="BILLPAY",ISNUMBER(SEARCH("FRANCHISE TAX",C2037)),ISNUMBER(SEARCH("NEXTLINK",C2037))),"Personal - House Bills",IF(AND(ISNUMBER(SEARCH("PAYMENT FROM",C2037)),ISNUMBER(SEARCH("JOE SAUNDERS",C2037))),"Zelle from Joe Saunders",IF(AND(ISNUMBER(SEARCH("PAYMENT TO",C2037)),ISNUMBER(SEARCH("JOE SAUNDERS",C2037))),"Zelle to Joe Saunders",IF(OR(ISNUMBER(SEARCH("NEW ORLEANS",C2037)),ISNUMBER(SEARCH("KENNER",C2037)),ISNUMBER(SEARCH("HENRY HOWARD",C2037)),ISNUMBER(SEARCH("MISS CLAUDIA",C2037))),"Personal Travel - New Orleans",IF(AND(YEAR(B2037)=2025,MONTH(B2037)=4,OR(ISNUMBER(SEARCH("EXCHANGE RATE",C2037)),ISNUMBER(SEARCH("EXCHG RTE",C2037)))),"Personal Travel - Italy",IFERROR(INDEX('Category Rules'!$B$2:$B$358,MATCH(TRUE,ISNUMBER(SEARCH('Category Rules'!$A$2:$A$358,C2037)),0)),""))))))))</f>
        <v>Amazon</v>
      </c>
    </row>
    <row r="2038" spans="1:7" x14ac:dyDescent="0.25">
      <c r="A2038" t="s">
        <v>6</v>
      </c>
      <c r="B2038" s="1">
        <v>45713</v>
      </c>
      <c r="C2038" t="s">
        <v>2167</v>
      </c>
      <c r="D2038">
        <v>-15</v>
      </c>
      <c r="E2038" t="s">
        <v>10</v>
      </c>
      <c r="F2038">
        <v>3150.07</v>
      </c>
      <c r="G2038" t="str" cm="1">
        <f t="array" ref="G2038">IF(AND(ISNUMBER(SEARCH("UBER",C2038)),ISNUMBER(SEARCH("EATS",C2038))),"Uber Eats",IF(LEFT(C2038,6)="CHECK ","Checks Paid",IF(OR(E2038="BILLPAY",ISNUMBER(SEARCH("FRANCHISE TAX",C2038)),ISNUMBER(SEARCH("NEXTLINK",C2038))),"Personal - House Bills",IF(AND(ISNUMBER(SEARCH("PAYMENT FROM",C2038)),ISNUMBER(SEARCH("JOE SAUNDERS",C2038))),"Zelle from Joe Saunders",IF(AND(ISNUMBER(SEARCH("PAYMENT TO",C2038)),ISNUMBER(SEARCH("JOE SAUNDERS",C2038))),"Zelle to Joe Saunders",IF(OR(ISNUMBER(SEARCH("NEW ORLEANS",C2038)),ISNUMBER(SEARCH("KENNER",C2038)),ISNUMBER(SEARCH("HENRY HOWARD",C2038)),ISNUMBER(SEARCH("MISS CLAUDIA",C2038))),"Personal Travel - New Orleans",IF(AND(YEAR(B2038)=2025,MONTH(B2038)=4,OR(ISNUMBER(SEARCH("EXCHANGE RATE",C2038)),ISNUMBER(SEARCH("EXCHG RTE",C2038)))),"Personal Travel - Italy",IFERROR(INDEX('Category Rules'!$B$2:$B$358,MATCH(TRUE,ISNUMBER(SEARCH('Category Rules'!$A$2:$A$358,C2038)),0)),""))))))))</f>
        <v>Personal - Subscription</v>
      </c>
    </row>
    <row r="2039" spans="1:7" x14ac:dyDescent="0.25">
      <c r="A2039" t="s">
        <v>6</v>
      </c>
      <c r="B2039" s="1">
        <v>45713</v>
      </c>
      <c r="C2039" t="s">
        <v>2168</v>
      </c>
      <c r="D2039">
        <v>-16.41</v>
      </c>
      <c r="E2039" t="s">
        <v>10</v>
      </c>
      <c r="F2039">
        <v>3165.07</v>
      </c>
      <c r="G2039" t="str" cm="1">
        <f t="array" ref="G2039">IF(AND(ISNUMBER(SEARCH("UBER",C2039)),ISNUMBER(SEARCH("EATS",C2039))),"Uber Eats",IF(LEFT(C2039,6)="CHECK ","Checks Paid",IF(OR(E2039="BILLPAY",ISNUMBER(SEARCH("FRANCHISE TAX",C2039)),ISNUMBER(SEARCH("NEXTLINK",C2039))),"Personal - House Bills",IF(AND(ISNUMBER(SEARCH("PAYMENT FROM",C2039)),ISNUMBER(SEARCH("JOE SAUNDERS",C2039))),"Zelle from Joe Saunders",IF(AND(ISNUMBER(SEARCH("PAYMENT TO",C2039)),ISNUMBER(SEARCH("JOE SAUNDERS",C2039))),"Zelle to Joe Saunders",IF(OR(ISNUMBER(SEARCH("NEW ORLEANS",C2039)),ISNUMBER(SEARCH("KENNER",C2039)),ISNUMBER(SEARCH("HENRY HOWARD",C2039)),ISNUMBER(SEARCH("MISS CLAUDIA",C2039))),"Personal Travel - New Orleans",IF(AND(YEAR(B2039)=2025,MONTH(B2039)=4,OR(ISNUMBER(SEARCH("EXCHANGE RATE",C2039)),ISNUMBER(SEARCH("EXCHG RTE",C2039)))),"Personal Travel - Italy",IFERROR(INDEX('Category Rules'!$B$2:$B$358,MATCH(TRUE,ISNUMBER(SEARCH('Category Rules'!$A$2:$A$358,C2039)),0)),""))))))))</f>
        <v>Amazon</v>
      </c>
    </row>
    <row r="2040" spans="1:7" x14ac:dyDescent="0.25">
      <c r="A2040" t="s">
        <v>6</v>
      </c>
      <c r="B2040" s="1">
        <v>45713</v>
      </c>
      <c r="C2040" t="s">
        <v>2169</v>
      </c>
      <c r="D2040">
        <v>-63.46</v>
      </c>
      <c r="E2040" t="s">
        <v>10</v>
      </c>
      <c r="F2040">
        <v>3181.48</v>
      </c>
      <c r="G2040" t="str" cm="1">
        <f t="array" ref="G2040">IF(AND(ISNUMBER(SEARCH("UBER",C2040)),ISNUMBER(SEARCH("EATS",C2040))),"Uber Eats",IF(LEFT(C2040,6)="CHECK ","Checks Paid",IF(OR(E2040="BILLPAY",ISNUMBER(SEARCH("FRANCHISE TAX",C2040)),ISNUMBER(SEARCH("NEXTLINK",C2040))),"Personal - House Bills",IF(AND(ISNUMBER(SEARCH("PAYMENT FROM",C2040)),ISNUMBER(SEARCH("JOE SAUNDERS",C2040))),"Zelle from Joe Saunders",IF(AND(ISNUMBER(SEARCH("PAYMENT TO",C2040)),ISNUMBER(SEARCH("JOE SAUNDERS",C2040))),"Zelle to Joe Saunders",IF(OR(ISNUMBER(SEARCH("NEW ORLEANS",C2040)),ISNUMBER(SEARCH("KENNER",C2040)),ISNUMBER(SEARCH("HENRY HOWARD",C2040)),ISNUMBER(SEARCH("MISS CLAUDIA",C2040))),"Personal Travel - New Orleans",IF(AND(YEAR(B2040)=2025,MONTH(B2040)=4,OR(ISNUMBER(SEARCH("EXCHANGE RATE",C2040)),ISNUMBER(SEARCH("EXCHG RTE",C2040)))),"Personal Travel - Italy",IFERROR(INDEX('Category Rules'!$B$2:$B$358,MATCH(TRUE,ISNUMBER(SEARCH('Category Rules'!$A$2:$A$358,C2040)),0)),""))))))))</f>
        <v>Personal - Car</v>
      </c>
    </row>
    <row r="2041" spans="1:7" x14ac:dyDescent="0.25">
      <c r="A2041" t="s">
        <v>6</v>
      </c>
      <c r="B2041" s="1">
        <v>45713</v>
      </c>
      <c r="C2041" t="s">
        <v>2170</v>
      </c>
      <c r="D2041">
        <v>-40</v>
      </c>
      <c r="E2041" t="s">
        <v>10</v>
      </c>
      <c r="F2041">
        <v>3244.94</v>
      </c>
      <c r="G2041" t="str" cm="1">
        <f t="array" ref="G2041">IF(AND(ISNUMBER(SEARCH("UBER",C2041)),ISNUMBER(SEARCH("EATS",C2041))),"Uber Eats",IF(LEFT(C2041,6)="CHECK ","Checks Paid",IF(OR(E2041="BILLPAY",ISNUMBER(SEARCH("FRANCHISE TAX",C2041)),ISNUMBER(SEARCH("NEXTLINK",C2041))),"Personal - House Bills",IF(AND(ISNUMBER(SEARCH("PAYMENT FROM",C2041)),ISNUMBER(SEARCH("JOE SAUNDERS",C2041))),"Zelle from Joe Saunders",IF(AND(ISNUMBER(SEARCH("PAYMENT TO",C2041)),ISNUMBER(SEARCH("JOE SAUNDERS",C2041))),"Zelle to Joe Saunders",IF(OR(ISNUMBER(SEARCH("NEW ORLEANS",C2041)),ISNUMBER(SEARCH("KENNER",C2041)),ISNUMBER(SEARCH("HENRY HOWARD",C2041)),ISNUMBER(SEARCH("MISS CLAUDIA",C2041))),"Personal Travel - New Orleans",IF(AND(YEAR(B2041)=2025,MONTH(B2041)=4,OR(ISNUMBER(SEARCH("EXCHANGE RATE",C2041)),ISNUMBER(SEARCH("EXCHG RTE",C2041)))),"Personal Travel - Italy",IFERROR(INDEX('Category Rules'!$B$2:$B$358,MATCH(TRUE,ISNUMBER(SEARCH('Category Rules'!$A$2:$A$358,C2041)),0)),""))))))))</f>
        <v>Personal - Car</v>
      </c>
    </row>
    <row r="2042" spans="1:7" x14ac:dyDescent="0.25">
      <c r="A2042" t="s">
        <v>6</v>
      </c>
      <c r="B2042" s="1">
        <v>45713</v>
      </c>
      <c r="C2042" t="s">
        <v>2171</v>
      </c>
      <c r="D2042">
        <v>-55.52</v>
      </c>
      <c r="E2042" t="s">
        <v>10</v>
      </c>
      <c r="F2042">
        <v>3284.94</v>
      </c>
      <c r="G2042" t="str" cm="1">
        <f t="array" ref="G2042">IF(AND(ISNUMBER(SEARCH("UBER",C2042)),ISNUMBER(SEARCH("EATS",C2042))),"Uber Eats",IF(LEFT(C2042,6)="CHECK ","Checks Paid",IF(OR(E2042="BILLPAY",ISNUMBER(SEARCH("FRANCHISE TAX",C2042)),ISNUMBER(SEARCH("NEXTLINK",C2042))),"Personal - House Bills",IF(AND(ISNUMBER(SEARCH("PAYMENT FROM",C2042)),ISNUMBER(SEARCH("JOE SAUNDERS",C2042))),"Zelle from Joe Saunders",IF(AND(ISNUMBER(SEARCH("PAYMENT TO",C2042)),ISNUMBER(SEARCH("JOE SAUNDERS",C2042))),"Zelle to Joe Saunders",IF(OR(ISNUMBER(SEARCH("NEW ORLEANS",C2042)),ISNUMBER(SEARCH("KENNER",C2042)),ISNUMBER(SEARCH("HENRY HOWARD",C2042)),ISNUMBER(SEARCH("MISS CLAUDIA",C2042))),"Personal Travel - New Orleans",IF(AND(YEAR(B2042)=2025,MONTH(B2042)=4,OR(ISNUMBER(SEARCH("EXCHANGE RATE",C2042)),ISNUMBER(SEARCH("EXCHG RTE",C2042)))),"Personal Travel - Italy",IFERROR(INDEX('Category Rules'!$B$2:$B$358,MATCH(TRUE,ISNUMBER(SEARCH('Category Rules'!$A$2:$A$358,C2042)),0)),""))))))))</f>
        <v>Personal - Food</v>
      </c>
    </row>
    <row r="2043" spans="1:7" x14ac:dyDescent="0.25">
      <c r="A2043" t="s">
        <v>6</v>
      </c>
      <c r="B2043" s="1">
        <v>45713</v>
      </c>
      <c r="C2043" t="s">
        <v>2172</v>
      </c>
      <c r="D2043">
        <v>-100</v>
      </c>
      <c r="E2043" t="s">
        <v>10</v>
      </c>
      <c r="F2043">
        <v>3340.46</v>
      </c>
      <c r="G2043" t="str" cm="1">
        <f t="array" ref="G2043">IF(AND(ISNUMBER(SEARCH("UBER",C2043)),ISNUMBER(SEARCH("EATS",C2043))),"Uber Eats",IF(LEFT(C2043,6)="CHECK ","Checks Paid",IF(OR(E2043="BILLPAY",ISNUMBER(SEARCH("FRANCHISE TAX",C2043)),ISNUMBER(SEARCH("NEXTLINK",C2043))),"Personal - House Bills",IF(AND(ISNUMBER(SEARCH("PAYMENT FROM",C2043)),ISNUMBER(SEARCH("JOE SAUNDERS",C2043))),"Zelle from Joe Saunders",IF(AND(ISNUMBER(SEARCH("PAYMENT TO",C2043)),ISNUMBER(SEARCH("JOE SAUNDERS",C2043))),"Zelle to Joe Saunders",IF(OR(ISNUMBER(SEARCH("NEW ORLEANS",C2043)),ISNUMBER(SEARCH("KENNER",C2043)),ISNUMBER(SEARCH("HENRY HOWARD",C2043)),ISNUMBER(SEARCH("MISS CLAUDIA",C2043))),"Personal Travel - New Orleans",IF(AND(YEAR(B2043)=2025,MONTH(B2043)=4,OR(ISNUMBER(SEARCH("EXCHANGE RATE",C2043)),ISNUMBER(SEARCH("EXCHG RTE",C2043)))),"Personal Travel - Italy",IFERROR(INDEX('Category Rules'!$B$2:$B$358,MATCH(TRUE,ISNUMBER(SEARCH('Category Rules'!$A$2:$A$358,C2043)),0)),""))))))))</f>
        <v>Personal - Subscription</v>
      </c>
    </row>
    <row r="2044" spans="1:7" x14ac:dyDescent="0.25">
      <c r="A2044" t="s">
        <v>6</v>
      </c>
      <c r="B2044" s="1">
        <v>45713</v>
      </c>
      <c r="C2044" t="s">
        <v>2172</v>
      </c>
      <c r="D2044">
        <v>-100</v>
      </c>
      <c r="E2044" t="s">
        <v>10</v>
      </c>
      <c r="F2044">
        <v>3440.46</v>
      </c>
      <c r="G2044" t="str" cm="1">
        <f t="array" ref="G2044">IF(AND(ISNUMBER(SEARCH("UBER",C2044)),ISNUMBER(SEARCH("EATS",C2044))),"Uber Eats",IF(LEFT(C2044,6)="CHECK ","Checks Paid",IF(OR(E2044="BILLPAY",ISNUMBER(SEARCH("FRANCHISE TAX",C2044)),ISNUMBER(SEARCH("NEXTLINK",C2044))),"Personal - House Bills",IF(AND(ISNUMBER(SEARCH("PAYMENT FROM",C2044)),ISNUMBER(SEARCH("JOE SAUNDERS",C2044))),"Zelle from Joe Saunders",IF(AND(ISNUMBER(SEARCH("PAYMENT TO",C2044)),ISNUMBER(SEARCH("JOE SAUNDERS",C2044))),"Zelle to Joe Saunders",IF(OR(ISNUMBER(SEARCH("NEW ORLEANS",C2044)),ISNUMBER(SEARCH("KENNER",C2044)),ISNUMBER(SEARCH("HENRY HOWARD",C2044)),ISNUMBER(SEARCH("MISS CLAUDIA",C2044))),"Personal Travel - New Orleans",IF(AND(YEAR(B2044)=2025,MONTH(B2044)=4,OR(ISNUMBER(SEARCH("EXCHANGE RATE",C2044)),ISNUMBER(SEARCH("EXCHG RTE",C2044)))),"Personal Travel - Italy",IFERROR(INDEX('Category Rules'!$B$2:$B$358,MATCH(TRUE,ISNUMBER(SEARCH('Category Rules'!$A$2:$A$358,C2044)),0)),""))))))))</f>
        <v>Personal - Subscription</v>
      </c>
    </row>
    <row r="2045" spans="1:7" x14ac:dyDescent="0.25">
      <c r="A2045" t="s">
        <v>6</v>
      </c>
      <c r="B2045" s="1">
        <v>45713</v>
      </c>
      <c r="C2045" t="s">
        <v>2173</v>
      </c>
      <c r="D2045">
        <v>-535.89</v>
      </c>
      <c r="E2045" t="s">
        <v>10</v>
      </c>
      <c r="F2045">
        <v>3540.46</v>
      </c>
      <c r="G2045" t="str" cm="1">
        <f t="array" ref="G2045">IF(AND(ISNUMBER(SEARCH("UBER",C2045)),ISNUMBER(SEARCH("EATS",C2045))),"Uber Eats",IF(LEFT(C2045,6)="CHECK ","Checks Paid",IF(OR(E2045="BILLPAY",ISNUMBER(SEARCH("FRANCHISE TAX",C2045)),ISNUMBER(SEARCH("NEXTLINK",C2045))),"Personal - House Bills",IF(AND(ISNUMBER(SEARCH("PAYMENT FROM",C2045)),ISNUMBER(SEARCH("JOE SAUNDERS",C2045))),"Zelle from Joe Saunders",IF(AND(ISNUMBER(SEARCH("PAYMENT TO",C2045)),ISNUMBER(SEARCH("JOE SAUNDERS",C2045))),"Zelle to Joe Saunders",IF(OR(ISNUMBER(SEARCH("NEW ORLEANS",C2045)),ISNUMBER(SEARCH("KENNER",C2045)),ISNUMBER(SEARCH("HENRY HOWARD",C2045)),ISNUMBER(SEARCH("MISS CLAUDIA",C2045))),"Personal Travel - New Orleans",IF(AND(YEAR(B2045)=2025,MONTH(B2045)=4,OR(ISNUMBER(SEARCH("EXCHANGE RATE",C2045)),ISNUMBER(SEARCH("EXCHG RTE",C2045)))),"Personal Travel - Italy",IFERROR(INDEX('Category Rules'!$B$2:$B$358,MATCH(TRUE,ISNUMBER(SEARCH('Category Rules'!$A$2:$A$358,C2045)),0)),""))))))))</f>
        <v>AT&amp;T</v>
      </c>
    </row>
    <row r="2046" spans="1:7" x14ac:dyDescent="0.25">
      <c r="A2046" t="s">
        <v>6</v>
      </c>
      <c r="B2046" s="1">
        <v>45713</v>
      </c>
      <c r="C2046" t="s">
        <v>2174</v>
      </c>
      <c r="D2046">
        <v>-141.47</v>
      </c>
      <c r="E2046" t="s">
        <v>10</v>
      </c>
      <c r="F2046">
        <v>4076.35</v>
      </c>
      <c r="G2046" t="str" cm="1">
        <f t="array" ref="G2046">IF(AND(ISNUMBER(SEARCH("UBER",C2046)),ISNUMBER(SEARCH("EATS",C2046))),"Uber Eats",IF(LEFT(C2046,6)="CHECK ","Checks Paid",IF(OR(E2046="BILLPAY",ISNUMBER(SEARCH("FRANCHISE TAX",C2046)),ISNUMBER(SEARCH("NEXTLINK",C2046))),"Personal - House Bills",IF(AND(ISNUMBER(SEARCH("PAYMENT FROM",C2046)),ISNUMBER(SEARCH("JOE SAUNDERS",C2046))),"Zelle from Joe Saunders",IF(AND(ISNUMBER(SEARCH("PAYMENT TO",C2046)),ISNUMBER(SEARCH("JOE SAUNDERS",C2046))),"Zelle to Joe Saunders",IF(OR(ISNUMBER(SEARCH("NEW ORLEANS",C2046)),ISNUMBER(SEARCH("KENNER",C2046)),ISNUMBER(SEARCH("HENRY HOWARD",C2046)),ISNUMBER(SEARCH("MISS CLAUDIA",C2046))),"Personal Travel - New Orleans",IF(AND(YEAR(B2046)=2025,MONTH(B2046)=4,OR(ISNUMBER(SEARCH("EXCHANGE RATE",C2046)),ISNUMBER(SEARCH("EXCHG RTE",C2046)))),"Personal Travel - Italy",IFERROR(INDEX('Category Rules'!$B$2:$B$358,MATCH(TRUE,ISNUMBER(SEARCH('Category Rules'!$A$2:$A$358,C2046)),0)),""))))))))</f>
        <v>Personal - Clothing</v>
      </c>
    </row>
    <row r="2047" spans="1:7" x14ac:dyDescent="0.25">
      <c r="A2047" t="s">
        <v>6</v>
      </c>
      <c r="B2047" s="1">
        <v>45713</v>
      </c>
      <c r="C2047" t="s">
        <v>2175</v>
      </c>
      <c r="D2047">
        <v>-415.8</v>
      </c>
      <c r="E2047" t="s">
        <v>10</v>
      </c>
      <c r="F2047">
        <v>4217.82</v>
      </c>
      <c r="G2047" t="str" cm="1">
        <f t="array" ref="G2047">IF(AND(ISNUMBER(SEARCH("UBER",C2047)),ISNUMBER(SEARCH("EATS",C2047))),"Uber Eats",IF(LEFT(C2047,6)="CHECK ","Checks Paid",IF(OR(E2047="BILLPAY",ISNUMBER(SEARCH("FRANCHISE TAX",C2047)),ISNUMBER(SEARCH("NEXTLINK",C2047))),"Personal - House Bills",IF(AND(ISNUMBER(SEARCH("PAYMENT FROM",C2047)),ISNUMBER(SEARCH("JOE SAUNDERS",C2047))),"Zelle from Joe Saunders",IF(AND(ISNUMBER(SEARCH("PAYMENT TO",C2047)),ISNUMBER(SEARCH("JOE SAUNDERS",C2047))),"Zelle to Joe Saunders",IF(OR(ISNUMBER(SEARCH("NEW ORLEANS",C2047)),ISNUMBER(SEARCH("KENNER",C2047)),ISNUMBER(SEARCH("HENRY HOWARD",C2047)),ISNUMBER(SEARCH("MISS CLAUDIA",C2047))),"Personal Travel - New Orleans",IF(AND(YEAR(B2047)=2025,MONTH(B2047)=4,OR(ISNUMBER(SEARCH("EXCHANGE RATE",C2047)),ISNUMBER(SEARCH("EXCHG RTE",C2047)))),"Personal Travel - Italy",IFERROR(INDEX('Category Rules'!$B$2:$B$358,MATCH(TRUE,ISNUMBER(SEARCH('Category Rules'!$A$2:$A$358,C2047)),0)),""))))))))</f>
        <v>Amazon</v>
      </c>
    </row>
    <row r="2048" spans="1:7" x14ac:dyDescent="0.25">
      <c r="A2048" t="s">
        <v>44</v>
      </c>
      <c r="B2048" s="1">
        <v>45713</v>
      </c>
      <c r="C2048" t="s">
        <v>2176</v>
      </c>
      <c r="D2048">
        <v>4000</v>
      </c>
      <c r="E2048" t="s">
        <v>73</v>
      </c>
      <c r="F2048">
        <v>4633.62</v>
      </c>
      <c r="G2048" t="str" cm="1">
        <f t="array" ref="G2048">IF(AND(ISNUMBER(SEARCH("UBER",C2048)),ISNUMBER(SEARCH("EATS",C2048))),"Uber Eats",IF(LEFT(C2048,6)="CHECK ","Checks Paid",IF(OR(E2048="BILLPAY",ISNUMBER(SEARCH("FRANCHISE TAX",C2048)),ISNUMBER(SEARCH("NEXTLINK",C2048))),"Personal - House Bills",IF(AND(ISNUMBER(SEARCH("PAYMENT FROM",C2048)),ISNUMBER(SEARCH("JOE SAUNDERS",C2048))),"Zelle from Joe Saunders",IF(AND(ISNUMBER(SEARCH("PAYMENT TO",C2048)),ISNUMBER(SEARCH("JOE SAUNDERS",C2048))),"Zelle to Joe Saunders",IF(OR(ISNUMBER(SEARCH("NEW ORLEANS",C2048)),ISNUMBER(SEARCH("KENNER",C2048)),ISNUMBER(SEARCH("HENRY HOWARD",C2048)),ISNUMBER(SEARCH("MISS CLAUDIA",C2048))),"Personal Travel - New Orleans",IF(AND(YEAR(B2048)=2025,MONTH(B2048)=4,OR(ISNUMBER(SEARCH("EXCHANGE RATE",C2048)),ISNUMBER(SEARCH("EXCHG RTE",C2048)))),"Personal Travel - Italy",IFERROR(INDEX('Category Rules'!$B$2:$B$358,MATCH(TRUE,ISNUMBER(SEARCH('Category Rules'!$A$2:$A$358,C2048)),0)),""))))))))</f>
        <v>Transfer from DWG Capital Group</v>
      </c>
    </row>
    <row r="2049" spans="1:7" x14ac:dyDescent="0.25">
      <c r="A2049" t="s">
        <v>6</v>
      </c>
      <c r="B2049" s="1">
        <v>45712</v>
      </c>
      <c r="C2049" t="s">
        <v>2177</v>
      </c>
      <c r="D2049">
        <v>-261.82</v>
      </c>
      <c r="E2049" t="s">
        <v>10</v>
      </c>
      <c r="F2049">
        <v>633.62</v>
      </c>
      <c r="G2049" t="str" cm="1">
        <f t="array" ref="G2049">IF(AND(ISNUMBER(SEARCH("UBER",C2049)),ISNUMBER(SEARCH("EATS",C2049))),"Uber Eats",IF(LEFT(C2049,6)="CHECK ","Checks Paid",IF(OR(E2049="BILLPAY",ISNUMBER(SEARCH("FRANCHISE TAX",C2049)),ISNUMBER(SEARCH("NEXTLINK",C2049))),"Personal - House Bills",IF(AND(ISNUMBER(SEARCH("PAYMENT FROM",C2049)),ISNUMBER(SEARCH("JOE SAUNDERS",C2049))),"Zelle from Joe Saunders",IF(AND(ISNUMBER(SEARCH("PAYMENT TO",C2049)),ISNUMBER(SEARCH("JOE SAUNDERS",C2049))),"Zelle to Joe Saunders",IF(OR(ISNUMBER(SEARCH("NEW ORLEANS",C2049)),ISNUMBER(SEARCH("KENNER",C2049)),ISNUMBER(SEARCH("HENRY HOWARD",C2049)),ISNUMBER(SEARCH("MISS CLAUDIA",C2049))),"Personal Travel - New Orleans",IF(AND(YEAR(B2049)=2025,MONTH(B2049)=4,OR(ISNUMBER(SEARCH("EXCHANGE RATE",C2049)),ISNUMBER(SEARCH("EXCHG RTE",C2049)))),"Personal Travel - Italy",IFERROR(INDEX('Category Rules'!$B$2:$B$358,MATCH(TRUE,ISNUMBER(SEARCH('Category Rules'!$A$2:$A$358,C2049)),0)),""))))))))</f>
        <v>Personal - Food</v>
      </c>
    </row>
    <row r="2050" spans="1:7" x14ac:dyDescent="0.25">
      <c r="A2050" t="s">
        <v>6</v>
      </c>
      <c r="B2050" s="1">
        <v>45712</v>
      </c>
      <c r="C2050" t="s">
        <v>2178</v>
      </c>
      <c r="D2050">
        <v>-191.08</v>
      </c>
      <c r="E2050" t="s">
        <v>10</v>
      </c>
      <c r="F2050">
        <v>895.44</v>
      </c>
      <c r="G2050" t="str" cm="1">
        <f t="array" ref="G2050">IF(AND(ISNUMBER(SEARCH("UBER",C2050)),ISNUMBER(SEARCH("EATS",C2050))),"Uber Eats",IF(LEFT(C2050,6)="CHECK ","Checks Paid",IF(OR(E2050="BILLPAY",ISNUMBER(SEARCH("FRANCHISE TAX",C2050)),ISNUMBER(SEARCH("NEXTLINK",C2050))),"Personal - House Bills",IF(AND(ISNUMBER(SEARCH("PAYMENT FROM",C2050)),ISNUMBER(SEARCH("JOE SAUNDERS",C2050))),"Zelle from Joe Saunders",IF(AND(ISNUMBER(SEARCH("PAYMENT TO",C2050)),ISNUMBER(SEARCH("JOE SAUNDERS",C2050))),"Zelle to Joe Saunders",IF(OR(ISNUMBER(SEARCH("NEW ORLEANS",C2050)),ISNUMBER(SEARCH("KENNER",C2050)),ISNUMBER(SEARCH("HENRY HOWARD",C2050)),ISNUMBER(SEARCH("MISS CLAUDIA",C2050))),"Personal Travel - New Orleans",IF(AND(YEAR(B2050)=2025,MONTH(B2050)=4,OR(ISNUMBER(SEARCH("EXCHANGE RATE",C2050)),ISNUMBER(SEARCH("EXCHG RTE",C2050)))),"Personal Travel - Italy",IFERROR(INDEX('Category Rules'!$B$2:$B$358,MATCH(TRUE,ISNUMBER(SEARCH('Category Rules'!$A$2:$A$358,C2050)),0)),""))))))))</f>
        <v>Personal - Food</v>
      </c>
    </row>
    <row r="2051" spans="1:7" x14ac:dyDescent="0.25">
      <c r="A2051" t="s">
        <v>6</v>
      </c>
      <c r="B2051" s="1">
        <v>45712</v>
      </c>
      <c r="C2051" t="s">
        <v>2179</v>
      </c>
      <c r="D2051">
        <v>-568.04</v>
      </c>
      <c r="E2051" t="s">
        <v>10</v>
      </c>
      <c r="F2051">
        <v>1086.52</v>
      </c>
      <c r="G2051" t="str" cm="1">
        <f t="array" ref="G2051">IF(AND(ISNUMBER(SEARCH("UBER",C2051)),ISNUMBER(SEARCH("EATS",C2051))),"Uber Eats",IF(LEFT(C2051,6)="CHECK ","Checks Paid",IF(OR(E2051="BILLPAY",ISNUMBER(SEARCH("FRANCHISE TAX",C2051)),ISNUMBER(SEARCH("NEXTLINK",C2051))),"Personal - House Bills",IF(AND(ISNUMBER(SEARCH("PAYMENT FROM",C2051)),ISNUMBER(SEARCH("JOE SAUNDERS",C2051))),"Zelle from Joe Saunders",IF(AND(ISNUMBER(SEARCH("PAYMENT TO",C2051)),ISNUMBER(SEARCH("JOE SAUNDERS",C2051))),"Zelle to Joe Saunders",IF(OR(ISNUMBER(SEARCH("NEW ORLEANS",C2051)),ISNUMBER(SEARCH("KENNER",C2051)),ISNUMBER(SEARCH("HENRY HOWARD",C2051)),ISNUMBER(SEARCH("MISS CLAUDIA",C2051))),"Personal Travel - New Orleans",IF(AND(YEAR(B2051)=2025,MONTH(B2051)=4,OR(ISNUMBER(SEARCH("EXCHANGE RATE",C2051)),ISNUMBER(SEARCH("EXCHG RTE",C2051)))),"Personal Travel - Italy",IFERROR(INDEX('Category Rules'!$B$2:$B$358,MATCH(TRUE,ISNUMBER(SEARCH('Category Rules'!$A$2:$A$358,C2051)),0)),""))))))))</f>
        <v>Personal - Food</v>
      </c>
    </row>
    <row r="2052" spans="1:7" x14ac:dyDescent="0.25">
      <c r="A2052" t="s">
        <v>6</v>
      </c>
      <c r="B2052" s="1">
        <v>45712</v>
      </c>
      <c r="C2052" t="s">
        <v>2180</v>
      </c>
      <c r="D2052">
        <v>-84.32</v>
      </c>
      <c r="E2052" t="s">
        <v>10</v>
      </c>
      <c r="F2052">
        <v>1654.56</v>
      </c>
      <c r="G2052" t="str" cm="1">
        <f t="array" ref="G2052">IF(AND(ISNUMBER(SEARCH("UBER",C2052)),ISNUMBER(SEARCH("EATS",C2052))),"Uber Eats",IF(LEFT(C2052,6)="CHECK ","Checks Paid",IF(OR(E2052="BILLPAY",ISNUMBER(SEARCH("FRANCHISE TAX",C2052)),ISNUMBER(SEARCH("NEXTLINK",C2052))),"Personal - House Bills",IF(AND(ISNUMBER(SEARCH("PAYMENT FROM",C2052)),ISNUMBER(SEARCH("JOE SAUNDERS",C2052))),"Zelle from Joe Saunders",IF(AND(ISNUMBER(SEARCH("PAYMENT TO",C2052)),ISNUMBER(SEARCH("JOE SAUNDERS",C2052))),"Zelle to Joe Saunders",IF(OR(ISNUMBER(SEARCH("NEW ORLEANS",C2052)),ISNUMBER(SEARCH("KENNER",C2052)),ISNUMBER(SEARCH("HENRY HOWARD",C2052)),ISNUMBER(SEARCH("MISS CLAUDIA",C2052))),"Personal Travel - New Orleans",IF(AND(YEAR(B2052)=2025,MONTH(B2052)=4,OR(ISNUMBER(SEARCH("EXCHANGE RATE",C2052)),ISNUMBER(SEARCH("EXCHG RTE",C2052)))),"Personal Travel - Italy",IFERROR(INDEX('Category Rules'!$B$2:$B$358,MATCH(TRUE,ISNUMBER(SEARCH('Category Rules'!$A$2:$A$358,C2052)),0)),""))))))))</f>
        <v>Amazon</v>
      </c>
    </row>
    <row r="2053" spans="1:7" x14ac:dyDescent="0.25">
      <c r="A2053" t="s">
        <v>6</v>
      </c>
      <c r="B2053" s="1">
        <v>45712</v>
      </c>
      <c r="C2053" t="s">
        <v>2181</v>
      </c>
      <c r="D2053">
        <v>-182.81</v>
      </c>
      <c r="E2053" t="s">
        <v>10</v>
      </c>
      <c r="F2053">
        <v>1738.88</v>
      </c>
      <c r="G2053" t="str" cm="1">
        <f t="array" ref="G2053">IF(AND(ISNUMBER(SEARCH("UBER",C2053)),ISNUMBER(SEARCH("EATS",C2053))),"Uber Eats",IF(LEFT(C2053,6)="CHECK ","Checks Paid",IF(OR(E2053="BILLPAY",ISNUMBER(SEARCH("FRANCHISE TAX",C2053)),ISNUMBER(SEARCH("NEXTLINK",C2053))),"Personal - House Bills",IF(AND(ISNUMBER(SEARCH("PAYMENT FROM",C2053)),ISNUMBER(SEARCH("JOE SAUNDERS",C2053))),"Zelle from Joe Saunders",IF(AND(ISNUMBER(SEARCH("PAYMENT TO",C2053)),ISNUMBER(SEARCH("JOE SAUNDERS",C2053))),"Zelle to Joe Saunders",IF(OR(ISNUMBER(SEARCH("NEW ORLEANS",C2053)),ISNUMBER(SEARCH("KENNER",C2053)),ISNUMBER(SEARCH("HENRY HOWARD",C2053)),ISNUMBER(SEARCH("MISS CLAUDIA",C2053))),"Personal Travel - New Orleans",IF(AND(YEAR(B2053)=2025,MONTH(B2053)=4,OR(ISNUMBER(SEARCH("EXCHANGE RATE",C2053)),ISNUMBER(SEARCH("EXCHG RTE",C2053)))),"Personal Travel - Italy",IFERROR(INDEX('Category Rules'!$B$2:$B$358,MATCH(TRUE,ISNUMBER(SEARCH('Category Rules'!$A$2:$A$358,C2053)),0)),""))))))))</f>
        <v>Personal - House Bills</v>
      </c>
    </row>
    <row r="2054" spans="1:7" x14ac:dyDescent="0.25">
      <c r="A2054" t="s">
        <v>6</v>
      </c>
      <c r="B2054" s="1">
        <v>45712</v>
      </c>
      <c r="C2054" t="s">
        <v>2182</v>
      </c>
      <c r="D2054">
        <v>-10.99</v>
      </c>
      <c r="E2054" t="s">
        <v>10</v>
      </c>
      <c r="F2054">
        <v>1921.69</v>
      </c>
      <c r="G2054" t="str" cm="1">
        <f t="array" ref="G2054">IF(AND(ISNUMBER(SEARCH("UBER",C2054)),ISNUMBER(SEARCH("EATS",C2054))),"Uber Eats",IF(LEFT(C2054,6)="CHECK ","Checks Paid",IF(OR(E2054="BILLPAY",ISNUMBER(SEARCH("FRANCHISE TAX",C2054)),ISNUMBER(SEARCH("NEXTLINK",C2054))),"Personal - House Bills",IF(AND(ISNUMBER(SEARCH("PAYMENT FROM",C2054)),ISNUMBER(SEARCH("JOE SAUNDERS",C2054))),"Zelle from Joe Saunders",IF(AND(ISNUMBER(SEARCH("PAYMENT TO",C2054)),ISNUMBER(SEARCH("JOE SAUNDERS",C2054))),"Zelle to Joe Saunders",IF(OR(ISNUMBER(SEARCH("NEW ORLEANS",C2054)),ISNUMBER(SEARCH("KENNER",C2054)),ISNUMBER(SEARCH("HENRY HOWARD",C2054)),ISNUMBER(SEARCH("MISS CLAUDIA",C2054))),"Personal Travel - New Orleans",IF(AND(YEAR(B2054)=2025,MONTH(B2054)=4,OR(ISNUMBER(SEARCH("EXCHANGE RATE",C2054)),ISNUMBER(SEARCH("EXCHG RTE",C2054)))),"Personal Travel - Italy",IFERROR(INDEX('Category Rules'!$B$2:$B$358,MATCH(TRUE,ISNUMBER(SEARCH('Category Rules'!$A$2:$A$358,C2054)),0)),""))))))))</f>
        <v>Apple</v>
      </c>
    </row>
    <row r="2055" spans="1:7" x14ac:dyDescent="0.25">
      <c r="A2055" t="s">
        <v>6</v>
      </c>
      <c r="B2055" s="1">
        <v>45712</v>
      </c>
      <c r="C2055" t="s">
        <v>2183</v>
      </c>
      <c r="D2055">
        <v>-279.99</v>
      </c>
      <c r="E2055" t="s">
        <v>10</v>
      </c>
      <c r="F2055">
        <v>1932.68</v>
      </c>
      <c r="G2055" t="str" cm="1">
        <f t="array" ref="G2055">IF(AND(ISNUMBER(SEARCH("UBER",C2055)),ISNUMBER(SEARCH("EATS",C2055))),"Uber Eats",IF(LEFT(C2055,6)="CHECK ","Checks Paid",IF(OR(E2055="BILLPAY",ISNUMBER(SEARCH("FRANCHISE TAX",C2055)),ISNUMBER(SEARCH("NEXTLINK",C2055))),"Personal - House Bills",IF(AND(ISNUMBER(SEARCH("PAYMENT FROM",C2055)),ISNUMBER(SEARCH("JOE SAUNDERS",C2055))),"Zelle from Joe Saunders",IF(AND(ISNUMBER(SEARCH("PAYMENT TO",C2055)),ISNUMBER(SEARCH("JOE SAUNDERS",C2055))),"Zelle to Joe Saunders",IF(OR(ISNUMBER(SEARCH("NEW ORLEANS",C2055)),ISNUMBER(SEARCH("KENNER",C2055)),ISNUMBER(SEARCH("HENRY HOWARD",C2055)),ISNUMBER(SEARCH("MISS CLAUDIA",C2055))),"Personal Travel - New Orleans",IF(AND(YEAR(B2055)=2025,MONTH(B2055)=4,OR(ISNUMBER(SEARCH("EXCHANGE RATE",C2055)),ISNUMBER(SEARCH("EXCHG RTE",C2055)))),"Personal Travel - Italy",IFERROR(INDEX('Category Rules'!$B$2:$B$358,MATCH(TRUE,ISNUMBER(SEARCH('Category Rules'!$A$2:$A$358,C2055)),0)),""))))))))</f>
        <v>Personal - Subscription</v>
      </c>
    </row>
    <row r="2056" spans="1:7" x14ac:dyDescent="0.25">
      <c r="A2056" t="s">
        <v>6</v>
      </c>
      <c r="B2056" s="1">
        <v>45712</v>
      </c>
      <c r="C2056" t="s">
        <v>2184</v>
      </c>
      <c r="D2056">
        <v>-212.67</v>
      </c>
      <c r="E2056" t="s">
        <v>10</v>
      </c>
      <c r="F2056">
        <v>2212.67</v>
      </c>
      <c r="G2056" t="str" cm="1">
        <f t="array" ref="G2056">IF(AND(ISNUMBER(SEARCH("UBER",C2056)),ISNUMBER(SEARCH("EATS",C2056))),"Uber Eats",IF(LEFT(C2056,6)="CHECK ","Checks Paid",IF(OR(E2056="BILLPAY",ISNUMBER(SEARCH("FRANCHISE TAX",C2056)),ISNUMBER(SEARCH("NEXTLINK",C2056))),"Personal - House Bills",IF(AND(ISNUMBER(SEARCH("PAYMENT FROM",C2056)),ISNUMBER(SEARCH("JOE SAUNDERS",C2056))),"Zelle from Joe Saunders",IF(AND(ISNUMBER(SEARCH("PAYMENT TO",C2056)),ISNUMBER(SEARCH("JOE SAUNDERS",C2056))),"Zelle to Joe Saunders",IF(OR(ISNUMBER(SEARCH("NEW ORLEANS",C2056)),ISNUMBER(SEARCH("KENNER",C2056)),ISNUMBER(SEARCH("HENRY HOWARD",C2056)),ISNUMBER(SEARCH("MISS CLAUDIA",C2056))),"Personal Travel - New Orleans",IF(AND(YEAR(B2056)=2025,MONTH(B2056)=4,OR(ISNUMBER(SEARCH("EXCHANGE RATE",C2056)),ISNUMBER(SEARCH("EXCHG RTE",C2056)))),"Personal Travel - Italy",IFERROR(INDEX('Category Rules'!$B$2:$B$358,MATCH(TRUE,ISNUMBER(SEARCH('Category Rules'!$A$2:$A$358,C2056)),0)),""))))))))</f>
        <v>Uber Eats</v>
      </c>
    </row>
    <row r="2057" spans="1:7" x14ac:dyDescent="0.25">
      <c r="A2057" t="s">
        <v>44</v>
      </c>
      <c r="B2057" s="1">
        <v>45712</v>
      </c>
      <c r="C2057" t="s">
        <v>2185</v>
      </c>
      <c r="D2057">
        <v>130</v>
      </c>
      <c r="E2057" t="s">
        <v>46</v>
      </c>
      <c r="F2057">
        <v>2425.34</v>
      </c>
      <c r="G2057" t="str" cm="1">
        <f t="array" ref="G2057">IF(AND(ISNUMBER(SEARCH("UBER",C2057)),ISNUMBER(SEARCH("EATS",C2057))),"Uber Eats",IF(LEFT(C2057,6)="CHECK ","Checks Paid",IF(OR(E2057="BILLPAY",ISNUMBER(SEARCH("FRANCHISE TAX",C2057)),ISNUMBER(SEARCH("NEXTLINK",C2057))),"Personal - House Bills",IF(AND(ISNUMBER(SEARCH("PAYMENT FROM",C2057)),ISNUMBER(SEARCH("JOE SAUNDERS",C2057))),"Zelle from Joe Saunders",IF(AND(ISNUMBER(SEARCH("PAYMENT TO",C2057)),ISNUMBER(SEARCH("JOE SAUNDERS",C2057))),"Zelle to Joe Saunders",IF(OR(ISNUMBER(SEARCH("NEW ORLEANS",C2057)),ISNUMBER(SEARCH("KENNER",C2057)),ISNUMBER(SEARCH("HENRY HOWARD",C2057)),ISNUMBER(SEARCH("MISS CLAUDIA",C2057))),"Personal Travel - New Orleans",IF(AND(YEAR(B2057)=2025,MONTH(B2057)=4,OR(ISNUMBER(SEARCH("EXCHANGE RATE",C2057)),ISNUMBER(SEARCH("EXCHG RTE",C2057)))),"Personal Travel - Italy",IFERROR(INDEX('Category Rules'!$B$2:$B$358,MATCH(TRUE,ISNUMBER(SEARCH('Category Rules'!$A$2:$A$358,C2057)),0)),""))))))))</f>
        <v>Zelle from Joe Saunders</v>
      </c>
    </row>
    <row r="2058" spans="1:7" x14ac:dyDescent="0.25">
      <c r="A2058" t="s">
        <v>44</v>
      </c>
      <c r="B2058" s="1">
        <v>45712</v>
      </c>
      <c r="C2058" t="s">
        <v>2186</v>
      </c>
      <c r="D2058">
        <v>2000</v>
      </c>
      <c r="E2058" t="s">
        <v>73</v>
      </c>
      <c r="F2058">
        <v>2295.34</v>
      </c>
      <c r="G2058" t="str" cm="1">
        <f t="array" ref="G2058">IF(AND(ISNUMBER(SEARCH("UBER",C2058)),ISNUMBER(SEARCH("EATS",C2058))),"Uber Eats",IF(LEFT(C2058,6)="CHECK ","Checks Paid",IF(OR(E2058="BILLPAY",ISNUMBER(SEARCH("FRANCHISE TAX",C2058)),ISNUMBER(SEARCH("NEXTLINK",C2058))),"Personal - House Bills",IF(AND(ISNUMBER(SEARCH("PAYMENT FROM",C2058)),ISNUMBER(SEARCH("JOE SAUNDERS",C2058))),"Zelle from Joe Saunders",IF(AND(ISNUMBER(SEARCH("PAYMENT TO",C2058)),ISNUMBER(SEARCH("JOE SAUNDERS",C2058))),"Zelle to Joe Saunders",IF(OR(ISNUMBER(SEARCH("NEW ORLEANS",C2058)),ISNUMBER(SEARCH("KENNER",C2058)),ISNUMBER(SEARCH("HENRY HOWARD",C2058)),ISNUMBER(SEARCH("MISS CLAUDIA",C2058))),"Personal Travel - New Orleans",IF(AND(YEAR(B2058)=2025,MONTH(B2058)=4,OR(ISNUMBER(SEARCH("EXCHANGE RATE",C2058)),ISNUMBER(SEARCH("EXCHG RTE",C2058)))),"Personal Travel - Italy",IFERROR(INDEX('Category Rules'!$B$2:$B$358,MATCH(TRUE,ISNUMBER(SEARCH('Category Rules'!$A$2:$A$358,C2058)),0)),""))))))))</f>
        <v>Transfer from DWG Capital Group</v>
      </c>
    </row>
    <row r="2059" spans="1:7" x14ac:dyDescent="0.25">
      <c r="A2059" t="s">
        <v>6</v>
      </c>
      <c r="B2059" s="1">
        <v>45709</v>
      </c>
      <c r="C2059" t="s">
        <v>2187</v>
      </c>
      <c r="D2059">
        <v>-87.61</v>
      </c>
      <c r="E2059" t="s">
        <v>10</v>
      </c>
      <c r="F2059">
        <v>295.33999999999997</v>
      </c>
      <c r="G2059" t="str" cm="1">
        <f t="array" ref="G2059">IF(AND(ISNUMBER(SEARCH("UBER",C2059)),ISNUMBER(SEARCH("EATS",C2059))),"Uber Eats",IF(LEFT(C2059,6)="CHECK ","Checks Paid",IF(OR(E2059="BILLPAY",ISNUMBER(SEARCH("FRANCHISE TAX",C2059)),ISNUMBER(SEARCH("NEXTLINK",C2059))),"Personal - House Bills",IF(AND(ISNUMBER(SEARCH("PAYMENT FROM",C2059)),ISNUMBER(SEARCH("JOE SAUNDERS",C2059))),"Zelle from Joe Saunders",IF(AND(ISNUMBER(SEARCH("PAYMENT TO",C2059)),ISNUMBER(SEARCH("JOE SAUNDERS",C2059))),"Zelle to Joe Saunders",IF(OR(ISNUMBER(SEARCH("NEW ORLEANS",C2059)),ISNUMBER(SEARCH("KENNER",C2059)),ISNUMBER(SEARCH("HENRY HOWARD",C2059)),ISNUMBER(SEARCH("MISS CLAUDIA",C2059))),"Personal Travel - New Orleans",IF(AND(YEAR(B2059)=2025,MONTH(B2059)=4,OR(ISNUMBER(SEARCH("EXCHANGE RATE",C2059)),ISNUMBER(SEARCH("EXCHG RTE",C2059)))),"Personal Travel - Italy",IFERROR(INDEX('Category Rules'!$B$2:$B$358,MATCH(TRUE,ISNUMBER(SEARCH('Category Rules'!$A$2:$A$358,C2059)),0)),""))))))))</f>
        <v>Personal - Food</v>
      </c>
    </row>
    <row r="2060" spans="1:7" x14ac:dyDescent="0.25">
      <c r="A2060" t="s">
        <v>6</v>
      </c>
      <c r="B2060" s="1">
        <v>45709</v>
      </c>
      <c r="C2060" t="s">
        <v>2188</v>
      </c>
      <c r="D2060">
        <v>-149.96</v>
      </c>
      <c r="E2060" t="s">
        <v>10</v>
      </c>
      <c r="F2060">
        <v>382.95</v>
      </c>
      <c r="G2060" t="str" cm="1">
        <f t="array" ref="G2060">IF(AND(ISNUMBER(SEARCH("UBER",C2060)),ISNUMBER(SEARCH("EATS",C2060))),"Uber Eats",IF(LEFT(C2060,6)="CHECK ","Checks Paid",IF(OR(E2060="BILLPAY",ISNUMBER(SEARCH("FRANCHISE TAX",C2060)),ISNUMBER(SEARCH("NEXTLINK",C2060))),"Personal - House Bills",IF(AND(ISNUMBER(SEARCH("PAYMENT FROM",C2060)),ISNUMBER(SEARCH("JOE SAUNDERS",C2060))),"Zelle from Joe Saunders",IF(AND(ISNUMBER(SEARCH("PAYMENT TO",C2060)),ISNUMBER(SEARCH("JOE SAUNDERS",C2060))),"Zelle to Joe Saunders",IF(OR(ISNUMBER(SEARCH("NEW ORLEANS",C2060)),ISNUMBER(SEARCH("KENNER",C2060)),ISNUMBER(SEARCH("HENRY HOWARD",C2060)),ISNUMBER(SEARCH("MISS CLAUDIA",C2060))),"Personal Travel - New Orleans",IF(AND(YEAR(B2060)=2025,MONTH(B2060)=4,OR(ISNUMBER(SEARCH("EXCHANGE RATE",C2060)),ISNUMBER(SEARCH("EXCHG RTE",C2060)))),"Personal Travel - Italy",IFERROR(INDEX('Category Rules'!$B$2:$B$358,MATCH(TRUE,ISNUMBER(SEARCH('Category Rules'!$A$2:$A$358,C2060)),0)),""))))))))</f>
        <v>Personal - House Bills</v>
      </c>
    </row>
    <row r="2061" spans="1:7" x14ac:dyDescent="0.25">
      <c r="A2061" t="s">
        <v>44</v>
      </c>
      <c r="B2061" s="1">
        <v>45709</v>
      </c>
      <c r="C2061" t="s">
        <v>2189</v>
      </c>
      <c r="D2061">
        <v>450</v>
      </c>
      <c r="E2061" t="s">
        <v>46</v>
      </c>
      <c r="F2061">
        <v>532.91</v>
      </c>
      <c r="G2061" t="str" cm="1">
        <f t="array" ref="G2061">IF(AND(ISNUMBER(SEARCH("UBER",C2061)),ISNUMBER(SEARCH("EATS",C2061))),"Uber Eats",IF(LEFT(C2061,6)="CHECK ","Checks Paid",IF(OR(E2061="BILLPAY",ISNUMBER(SEARCH("FRANCHISE TAX",C2061)),ISNUMBER(SEARCH("NEXTLINK",C2061))),"Personal - House Bills",IF(AND(ISNUMBER(SEARCH("PAYMENT FROM",C2061)),ISNUMBER(SEARCH("JOE SAUNDERS",C2061))),"Zelle from Joe Saunders",IF(AND(ISNUMBER(SEARCH("PAYMENT TO",C2061)),ISNUMBER(SEARCH("JOE SAUNDERS",C2061))),"Zelle to Joe Saunders",IF(OR(ISNUMBER(SEARCH("NEW ORLEANS",C2061)),ISNUMBER(SEARCH("KENNER",C2061)),ISNUMBER(SEARCH("HENRY HOWARD",C2061)),ISNUMBER(SEARCH("MISS CLAUDIA",C2061))),"Personal Travel - New Orleans",IF(AND(YEAR(B2061)=2025,MONTH(B2061)=4,OR(ISNUMBER(SEARCH("EXCHANGE RATE",C2061)),ISNUMBER(SEARCH("EXCHG RTE",C2061)))),"Personal Travel - Italy",IFERROR(INDEX('Category Rules'!$B$2:$B$358,MATCH(TRUE,ISNUMBER(SEARCH('Category Rules'!$A$2:$A$358,C2061)),0)),""))))))))</f>
        <v>Zelle from Rose Li</v>
      </c>
    </row>
    <row r="2062" spans="1:7" x14ac:dyDescent="0.25">
      <c r="A2062" t="s">
        <v>6</v>
      </c>
      <c r="B2062" s="1">
        <v>45708</v>
      </c>
      <c r="C2062" t="s">
        <v>2190</v>
      </c>
      <c r="D2062">
        <v>-111.44</v>
      </c>
      <c r="E2062" t="s">
        <v>10</v>
      </c>
      <c r="F2062">
        <v>82.91</v>
      </c>
      <c r="G2062" t="str" cm="1">
        <f t="array" ref="G2062">IF(AND(ISNUMBER(SEARCH("UBER",C2062)),ISNUMBER(SEARCH("EATS",C2062))),"Uber Eats",IF(LEFT(C2062,6)="CHECK ","Checks Paid",IF(OR(E2062="BILLPAY",ISNUMBER(SEARCH("FRANCHISE TAX",C2062)),ISNUMBER(SEARCH("NEXTLINK",C2062))),"Personal - House Bills",IF(AND(ISNUMBER(SEARCH("PAYMENT FROM",C2062)),ISNUMBER(SEARCH("JOE SAUNDERS",C2062))),"Zelle from Joe Saunders",IF(AND(ISNUMBER(SEARCH("PAYMENT TO",C2062)),ISNUMBER(SEARCH("JOE SAUNDERS",C2062))),"Zelle to Joe Saunders",IF(OR(ISNUMBER(SEARCH("NEW ORLEANS",C2062)),ISNUMBER(SEARCH("KENNER",C2062)),ISNUMBER(SEARCH("HENRY HOWARD",C2062)),ISNUMBER(SEARCH("MISS CLAUDIA",C2062))),"Personal Travel - New Orleans",IF(AND(YEAR(B2062)=2025,MONTH(B2062)=4,OR(ISNUMBER(SEARCH("EXCHANGE RATE",C2062)),ISNUMBER(SEARCH("EXCHG RTE",C2062)))),"Personal Travel - Italy",IFERROR(INDEX('Category Rules'!$B$2:$B$358,MATCH(TRUE,ISNUMBER(SEARCH('Category Rules'!$A$2:$A$358,C2062)),0)),""))))))))</f>
        <v>Personal - Shopping</v>
      </c>
    </row>
    <row r="2063" spans="1:7" x14ac:dyDescent="0.25">
      <c r="A2063" t="s">
        <v>6</v>
      </c>
      <c r="B2063" s="1">
        <v>45708</v>
      </c>
      <c r="C2063" t="s">
        <v>2191</v>
      </c>
      <c r="D2063">
        <v>-250.54</v>
      </c>
      <c r="E2063" t="s">
        <v>10</v>
      </c>
      <c r="F2063">
        <v>194.35</v>
      </c>
      <c r="G2063" t="str" cm="1">
        <f t="array" ref="G2063">IF(AND(ISNUMBER(SEARCH("UBER",C2063)),ISNUMBER(SEARCH("EATS",C2063))),"Uber Eats",IF(LEFT(C2063,6)="CHECK ","Checks Paid",IF(OR(E2063="BILLPAY",ISNUMBER(SEARCH("FRANCHISE TAX",C2063)),ISNUMBER(SEARCH("NEXTLINK",C2063))),"Personal - House Bills",IF(AND(ISNUMBER(SEARCH("PAYMENT FROM",C2063)),ISNUMBER(SEARCH("JOE SAUNDERS",C2063))),"Zelle from Joe Saunders",IF(AND(ISNUMBER(SEARCH("PAYMENT TO",C2063)),ISNUMBER(SEARCH("JOE SAUNDERS",C2063))),"Zelle to Joe Saunders",IF(OR(ISNUMBER(SEARCH("NEW ORLEANS",C2063)),ISNUMBER(SEARCH("KENNER",C2063)),ISNUMBER(SEARCH("HENRY HOWARD",C2063)),ISNUMBER(SEARCH("MISS CLAUDIA",C2063))),"Personal Travel - New Orleans",IF(AND(YEAR(B2063)=2025,MONTH(B2063)=4,OR(ISNUMBER(SEARCH("EXCHANGE RATE",C2063)),ISNUMBER(SEARCH("EXCHG RTE",C2063)))),"Personal Travel - Italy",IFERROR(INDEX('Category Rules'!$B$2:$B$358,MATCH(TRUE,ISNUMBER(SEARCH('Category Rules'!$A$2:$A$358,C2063)),0)),""))))))))</f>
        <v>Personal - Shopping</v>
      </c>
    </row>
    <row r="2064" spans="1:7" x14ac:dyDescent="0.25">
      <c r="A2064" t="s">
        <v>6</v>
      </c>
      <c r="B2064" s="1">
        <v>45708</v>
      </c>
      <c r="C2064" t="s">
        <v>2192</v>
      </c>
      <c r="D2064">
        <v>-245.96</v>
      </c>
      <c r="E2064" t="s">
        <v>10</v>
      </c>
      <c r="F2064">
        <v>444.89</v>
      </c>
      <c r="G2064" t="str" cm="1">
        <f t="array" ref="G2064">IF(AND(ISNUMBER(SEARCH("UBER",C2064)),ISNUMBER(SEARCH("EATS",C2064))),"Uber Eats",IF(LEFT(C2064,6)="CHECK ","Checks Paid",IF(OR(E2064="BILLPAY",ISNUMBER(SEARCH("FRANCHISE TAX",C2064)),ISNUMBER(SEARCH("NEXTLINK",C2064))),"Personal - House Bills",IF(AND(ISNUMBER(SEARCH("PAYMENT FROM",C2064)),ISNUMBER(SEARCH("JOE SAUNDERS",C2064))),"Zelle from Joe Saunders",IF(AND(ISNUMBER(SEARCH("PAYMENT TO",C2064)),ISNUMBER(SEARCH("JOE SAUNDERS",C2064))),"Zelle to Joe Saunders",IF(OR(ISNUMBER(SEARCH("NEW ORLEANS",C2064)),ISNUMBER(SEARCH("KENNER",C2064)),ISNUMBER(SEARCH("HENRY HOWARD",C2064)),ISNUMBER(SEARCH("MISS CLAUDIA",C2064))),"Personal Travel - New Orleans",IF(AND(YEAR(B2064)=2025,MONTH(B2064)=4,OR(ISNUMBER(SEARCH("EXCHANGE RATE",C2064)),ISNUMBER(SEARCH("EXCHG RTE",C2064)))),"Personal Travel - Italy",IFERROR(INDEX('Category Rules'!$B$2:$B$358,MATCH(TRUE,ISNUMBER(SEARCH('Category Rules'!$A$2:$A$358,C2064)),0)),""))))))))</f>
        <v>Uber Eats</v>
      </c>
    </row>
    <row r="2065" spans="1:7" x14ac:dyDescent="0.25">
      <c r="A2065" t="s">
        <v>6</v>
      </c>
      <c r="B2065" s="1">
        <v>45708</v>
      </c>
      <c r="C2065" t="s">
        <v>2193</v>
      </c>
      <c r="D2065">
        <v>-200</v>
      </c>
      <c r="E2065" t="s">
        <v>26</v>
      </c>
      <c r="F2065">
        <v>690.85</v>
      </c>
      <c r="G2065" t="str" cm="1">
        <f t="array" ref="G2065">IF(AND(ISNUMBER(SEARCH("UBER",C2065)),ISNUMBER(SEARCH("EATS",C2065))),"Uber Eats",IF(LEFT(C2065,6)="CHECK ","Checks Paid",IF(OR(E2065="BILLPAY",ISNUMBER(SEARCH("FRANCHISE TAX",C2065)),ISNUMBER(SEARCH("NEXTLINK",C2065))),"Personal - House Bills",IF(AND(ISNUMBER(SEARCH("PAYMENT FROM",C2065)),ISNUMBER(SEARCH("JOE SAUNDERS",C2065))),"Zelle from Joe Saunders",IF(AND(ISNUMBER(SEARCH("PAYMENT TO",C2065)),ISNUMBER(SEARCH("JOE SAUNDERS",C2065))),"Zelle to Joe Saunders",IF(OR(ISNUMBER(SEARCH("NEW ORLEANS",C2065)),ISNUMBER(SEARCH("KENNER",C2065)),ISNUMBER(SEARCH("HENRY HOWARD",C2065)),ISNUMBER(SEARCH("MISS CLAUDIA",C2065))),"Personal Travel - New Orleans",IF(AND(YEAR(B2065)=2025,MONTH(B2065)=4,OR(ISNUMBER(SEARCH("EXCHANGE RATE",C2065)),ISNUMBER(SEARCH("EXCHG RTE",C2065)))),"Personal Travel - Italy",IFERROR(INDEX('Category Rules'!$B$2:$B$358,MATCH(TRUE,ISNUMBER(SEARCH('Category Rules'!$A$2:$A$358,C2065)),0)),""))))))))</f>
        <v>Withdrawal</v>
      </c>
    </row>
    <row r="2066" spans="1:7" x14ac:dyDescent="0.25">
      <c r="A2066" t="s">
        <v>6</v>
      </c>
      <c r="B2066" s="1">
        <v>45708</v>
      </c>
      <c r="C2066" t="s">
        <v>2194</v>
      </c>
      <c r="D2066">
        <v>-96</v>
      </c>
      <c r="E2066" t="s">
        <v>10</v>
      </c>
      <c r="F2066">
        <v>890.85</v>
      </c>
      <c r="G2066" t="str" cm="1">
        <f t="array" ref="G2066">IF(AND(ISNUMBER(SEARCH("UBER",C2066)),ISNUMBER(SEARCH("EATS",C2066))),"Uber Eats",IF(LEFT(C2066,6)="CHECK ","Checks Paid",IF(OR(E2066="BILLPAY",ISNUMBER(SEARCH("FRANCHISE TAX",C2066)),ISNUMBER(SEARCH("NEXTLINK",C2066))),"Personal - House Bills",IF(AND(ISNUMBER(SEARCH("PAYMENT FROM",C2066)),ISNUMBER(SEARCH("JOE SAUNDERS",C2066))),"Zelle from Joe Saunders",IF(AND(ISNUMBER(SEARCH("PAYMENT TO",C2066)),ISNUMBER(SEARCH("JOE SAUNDERS",C2066))),"Zelle to Joe Saunders",IF(OR(ISNUMBER(SEARCH("NEW ORLEANS",C2066)),ISNUMBER(SEARCH("KENNER",C2066)),ISNUMBER(SEARCH("HENRY HOWARD",C2066)),ISNUMBER(SEARCH("MISS CLAUDIA",C2066))),"Personal Travel - New Orleans",IF(AND(YEAR(B2066)=2025,MONTH(B2066)=4,OR(ISNUMBER(SEARCH("EXCHANGE RATE",C2066)),ISNUMBER(SEARCH("EXCHG RTE",C2066)))),"Personal Travel - Italy",IFERROR(INDEX('Category Rules'!$B$2:$B$358,MATCH(TRUE,ISNUMBER(SEARCH('Category Rules'!$A$2:$A$358,C2066)),0)),""))))))))</f>
        <v>Personal - Subscription</v>
      </c>
    </row>
    <row r="2067" spans="1:7" x14ac:dyDescent="0.25">
      <c r="A2067" t="s">
        <v>6</v>
      </c>
      <c r="B2067" s="1">
        <v>45708</v>
      </c>
      <c r="C2067" t="s">
        <v>2195</v>
      </c>
      <c r="D2067">
        <v>-75</v>
      </c>
      <c r="E2067" t="s">
        <v>10</v>
      </c>
      <c r="F2067">
        <v>986.85</v>
      </c>
      <c r="G2067" t="str" cm="1">
        <f t="array" ref="G2067">IF(AND(ISNUMBER(SEARCH("UBER",C2067)),ISNUMBER(SEARCH("EATS",C2067))),"Uber Eats",IF(LEFT(C2067,6)="CHECK ","Checks Paid",IF(OR(E2067="BILLPAY",ISNUMBER(SEARCH("FRANCHISE TAX",C2067)),ISNUMBER(SEARCH("NEXTLINK",C2067))),"Personal - House Bills",IF(AND(ISNUMBER(SEARCH("PAYMENT FROM",C2067)),ISNUMBER(SEARCH("JOE SAUNDERS",C2067))),"Zelle from Joe Saunders",IF(AND(ISNUMBER(SEARCH("PAYMENT TO",C2067)),ISNUMBER(SEARCH("JOE SAUNDERS",C2067))),"Zelle to Joe Saunders",IF(OR(ISNUMBER(SEARCH("NEW ORLEANS",C2067)),ISNUMBER(SEARCH("KENNER",C2067)),ISNUMBER(SEARCH("HENRY HOWARD",C2067)),ISNUMBER(SEARCH("MISS CLAUDIA",C2067))),"Personal Travel - New Orleans",IF(AND(YEAR(B2067)=2025,MONTH(B2067)=4,OR(ISNUMBER(SEARCH("EXCHANGE RATE",C2067)),ISNUMBER(SEARCH("EXCHG RTE",C2067)))),"Personal Travel - Italy",IFERROR(INDEX('Category Rules'!$B$2:$B$358,MATCH(TRUE,ISNUMBER(SEARCH('Category Rules'!$A$2:$A$358,C2067)),0)),""))))))))</f>
        <v>Personal - Health</v>
      </c>
    </row>
    <row r="2068" spans="1:7" x14ac:dyDescent="0.25">
      <c r="A2068" t="s">
        <v>44</v>
      </c>
      <c r="B2068" s="1">
        <v>45708</v>
      </c>
      <c r="C2068" t="s">
        <v>2196</v>
      </c>
      <c r="D2068">
        <v>175</v>
      </c>
      <c r="E2068" t="s">
        <v>339</v>
      </c>
      <c r="F2068">
        <v>1061.8499999999999</v>
      </c>
      <c r="G2068" t="str" cm="1">
        <f t="array" ref="G2068">IF(AND(ISNUMBER(SEARCH("UBER",C2068)),ISNUMBER(SEARCH("EATS",C2068))),"Uber Eats",IF(LEFT(C2068,6)="CHECK ","Checks Paid",IF(OR(E2068="BILLPAY",ISNUMBER(SEARCH("FRANCHISE TAX",C2068)),ISNUMBER(SEARCH("NEXTLINK",C2068))),"Personal - House Bills",IF(AND(ISNUMBER(SEARCH("PAYMENT FROM",C2068)),ISNUMBER(SEARCH("JOE SAUNDERS",C2068))),"Zelle from Joe Saunders",IF(AND(ISNUMBER(SEARCH("PAYMENT TO",C2068)),ISNUMBER(SEARCH("JOE SAUNDERS",C2068))),"Zelle to Joe Saunders",IF(OR(ISNUMBER(SEARCH("NEW ORLEANS",C2068)),ISNUMBER(SEARCH("KENNER",C2068)),ISNUMBER(SEARCH("HENRY HOWARD",C2068)),ISNUMBER(SEARCH("MISS CLAUDIA",C2068))),"Personal Travel - New Orleans",IF(AND(YEAR(B2068)=2025,MONTH(B2068)=4,OR(ISNUMBER(SEARCH("EXCHANGE RATE",C2068)),ISNUMBER(SEARCH("EXCHG RTE",C2068)))),"Personal Travel - Italy",IFERROR(INDEX('Category Rules'!$B$2:$B$358,MATCH(TRUE,ISNUMBER(SEARCH('Category Rules'!$A$2:$A$358,C2068)),0)),""))))))))</f>
        <v>Deposit</v>
      </c>
    </row>
    <row r="2069" spans="1:7" x14ac:dyDescent="0.25">
      <c r="A2069" t="s">
        <v>6</v>
      </c>
      <c r="B2069" s="1">
        <v>45707</v>
      </c>
      <c r="C2069" t="s">
        <v>2197</v>
      </c>
      <c r="D2069">
        <v>-51.53</v>
      </c>
      <c r="E2069" t="s">
        <v>10</v>
      </c>
      <c r="F2069">
        <v>886.85</v>
      </c>
      <c r="G2069" t="str" cm="1">
        <f t="array" ref="G2069">IF(AND(ISNUMBER(SEARCH("UBER",C2069)),ISNUMBER(SEARCH("EATS",C2069))),"Uber Eats",IF(LEFT(C2069,6)="CHECK ","Checks Paid",IF(OR(E2069="BILLPAY",ISNUMBER(SEARCH("FRANCHISE TAX",C2069)),ISNUMBER(SEARCH("NEXTLINK",C2069))),"Personal - House Bills",IF(AND(ISNUMBER(SEARCH("PAYMENT FROM",C2069)),ISNUMBER(SEARCH("JOE SAUNDERS",C2069))),"Zelle from Joe Saunders",IF(AND(ISNUMBER(SEARCH("PAYMENT TO",C2069)),ISNUMBER(SEARCH("JOE SAUNDERS",C2069))),"Zelle to Joe Saunders",IF(OR(ISNUMBER(SEARCH("NEW ORLEANS",C2069)),ISNUMBER(SEARCH("KENNER",C2069)),ISNUMBER(SEARCH("HENRY HOWARD",C2069)),ISNUMBER(SEARCH("MISS CLAUDIA",C2069))),"Personal Travel - New Orleans",IF(AND(YEAR(B2069)=2025,MONTH(B2069)=4,OR(ISNUMBER(SEARCH("EXCHANGE RATE",C2069)),ISNUMBER(SEARCH("EXCHG RTE",C2069)))),"Personal Travel - Italy",IFERROR(INDEX('Category Rules'!$B$2:$B$358,MATCH(TRUE,ISNUMBER(SEARCH('Category Rules'!$A$2:$A$358,C2069)),0)),""))))))))</f>
        <v>Uber Eats</v>
      </c>
    </row>
    <row r="2070" spans="1:7" x14ac:dyDescent="0.25">
      <c r="A2070" t="s">
        <v>6</v>
      </c>
      <c r="B2070" s="1">
        <v>45707</v>
      </c>
      <c r="C2070" t="s">
        <v>2198</v>
      </c>
      <c r="D2070">
        <v>-18.600000000000001</v>
      </c>
      <c r="E2070" t="s">
        <v>10</v>
      </c>
      <c r="F2070">
        <v>938.38</v>
      </c>
      <c r="G2070" t="str" cm="1">
        <f t="array" ref="G2070">IF(AND(ISNUMBER(SEARCH("UBER",C2070)),ISNUMBER(SEARCH("EATS",C2070))),"Uber Eats",IF(LEFT(C2070,6)="CHECK ","Checks Paid",IF(OR(E2070="BILLPAY",ISNUMBER(SEARCH("FRANCHISE TAX",C2070)),ISNUMBER(SEARCH("NEXTLINK",C2070))),"Personal - House Bills",IF(AND(ISNUMBER(SEARCH("PAYMENT FROM",C2070)),ISNUMBER(SEARCH("JOE SAUNDERS",C2070))),"Zelle from Joe Saunders",IF(AND(ISNUMBER(SEARCH("PAYMENT TO",C2070)),ISNUMBER(SEARCH("JOE SAUNDERS",C2070))),"Zelle to Joe Saunders",IF(OR(ISNUMBER(SEARCH("NEW ORLEANS",C2070)),ISNUMBER(SEARCH("KENNER",C2070)),ISNUMBER(SEARCH("HENRY HOWARD",C2070)),ISNUMBER(SEARCH("MISS CLAUDIA",C2070))),"Personal Travel - New Orleans",IF(AND(YEAR(B2070)=2025,MONTH(B2070)=4,OR(ISNUMBER(SEARCH("EXCHANGE RATE",C2070)),ISNUMBER(SEARCH("EXCHG RTE",C2070)))),"Personal Travel - Italy",IFERROR(INDEX('Category Rules'!$B$2:$B$358,MATCH(TRUE,ISNUMBER(SEARCH('Category Rules'!$A$2:$A$358,C2070)),0)),""))))))))</f>
        <v>Amazon</v>
      </c>
    </row>
    <row r="2071" spans="1:7" x14ac:dyDescent="0.25">
      <c r="A2071" t="s">
        <v>6</v>
      </c>
      <c r="B2071" s="1">
        <v>45706</v>
      </c>
      <c r="C2071" t="s">
        <v>2199</v>
      </c>
      <c r="D2071">
        <v>-77.489999999999995</v>
      </c>
      <c r="E2071" t="s">
        <v>10</v>
      </c>
      <c r="F2071">
        <v>956.98</v>
      </c>
      <c r="G2071" t="str" cm="1">
        <f t="array" ref="G2071">IF(AND(ISNUMBER(SEARCH("UBER",C2071)),ISNUMBER(SEARCH("EATS",C2071))),"Uber Eats",IF(LEFT(C2071,6)="CHECK ","Checks Paid",IF(OR(E2071="BILLPAY",ISNUMBER(SEARCH("FRANCHISE TAX",C2071)),ISNUMBER(SEARCH("NEXTLINK",C2071))),"Personal - House Bills",IF(AND(ISNUMBER(SEARCH("PAYMENT FROM",C2071)),ISNUMBER(SEARCH("JOE SAUNDERS",C2071))),"Zelle from Joe Saunders",IF(AND(ISNUMBER(SEARCH("PAYMENT TO",C2071)),ISNUMBER(SEARCH("JOE SAUNDERS",C2071))),"Zelle to Joe Saunders",IF(OR(ISNUMBER(SEARCH("NEW ORLEANS",C2071)),ISNUMBER(SEARCH("KENNER",C2071)),ISNUMBER(SEARCH("HENRY HOWARD",C2071)),ISNUMBER(SEARCH("MISS CLAUDIA",C2071))),"Personal Travel - New Orleans",IF(AND(YEAR(B2071)=2025,MONTH(B2071)=4,OR(ISNUMBER(SEARCH("EXCHANGE RATE",C2071)),ISNUMBER(SEARCH("EXCHG RTE",C2071)))),"Personal Travel - Italy",IFERROR(INDEX('Category Rules'!$B$2:$B$358,MATCH(TRUE,ISNUMBER(SEARCH('Category Rules'!$A$2:$A$358,C2071)),0)),""))))))))</f>
        <v>Uber Eats</v>
      </c>
    </row>
    <row r="2072" spans="1:7" x14ac:dyDescent="0.25">
      <c r="A2072" t="s">
        <v>6</v>
      </c>
      <c r="B2072" s="1">
        <v>45706</v>
      </c>
      <c r="C2072" t="s">
        <v>2200</v>
      </c>
      <c r="D2072">
        <v>-76.88</v>
      </c>
      <c r="E2072" t="s">
        <v>10</v>
      </c>
      <c r="F2072">
        <v>1034.47</v>
      </c>
      <c r="G2072" t="str" cm="1">
        <f t="array" ref="G2072">IF(AND(ISNUMBER(SEARCH("UBER",C2072)),ISNUMBER(SEARCH("EATS",C2072))),"Uber Eats",IF(LEFT(C2072,6)="CHECK ","Checks Paid",IF(OR(E2072="BILLPAY",ISNUMBER(SEARCH("FRANCHISE TAX",C2072)),ISNUMBER(SEARCH("NEXTLINK",C2072))),"Personal - House Bills",IF(AND(ISNUMBER(SEARCH("PAYMENT FROM",C2072)),ISNUMBER(SEARCH("JOE SAUNDERS",C2072))),"Zelle from Joe Saunders",IF(AND(ISNUMBER(SEARCH("PAYMENT TO",C2072)),ISNUMBER(SEARCH("JOE SAUNDERS",C2072))),"Zelle to Joe Saunders",IF(OR(ISNUMBER(SEARCH("NEW ORLEANS",C2072)),ISNUMBER(SEARCH("KENNER",C2072)),ISNUMBER(SEARCH("HENRY HOWARD",C2072)),ISNUMBER(SEARCH("MISS CLAUDIA",C2072))),"Personal Travel - New Orleans",IF(AND(YEAR(B2072)=2025,MONTH(B2072)=4,OR(ISNUMBER(SEARCH("EXCHANGE RATE",C2072)),ISNUMBER(SEARCH("EXCHG RTE",C2072)))),"Personal Travel - Italy",IFERROR(INDEX('Category Rules'!$B$2:$B$358,MATCH(TRUE,ISNUMBER(SEARCH('Category Rules'!$A$2:$A$358,C2072)),0)),""))))))))</f>
        <v>Personal - Health</v>
      </c>
    </row>
    <row r="2073" spans="1:7" x14ac:dyDescent="0.25">
      <c r="A2073" t="s">
        <v>6</v>
      </c>
      <c r="B2073" s="1">
        <v>45706</v>
      </c>
      <c r="C2073" t="s">
        <v>2201</v>
      </c>
      <c r="D2073">
        <v>-17.07</v>
      </c>
      <c r="E2073" t="s">
        <v>10</v>
      </c>
      <c r="F2073">
        <v>1111.3499999999999</v>
      </c>
      <c r="G2073" t="str" cm="1">
        <f t="array" ref="G2073">IF(AND(ISNUMBER(SEARCH("UBER",C2073)),ISNUMBER(SEARCH("EATS",C2073))),"Uber Eats",IF(LEFT(C2073,6)="CHECK ","Checks Paid",IF(OR(E2073="BILLPAY",ISNUMBER(SEARCH("FRANCHISE TAX",C2073)),ISNUMBER(SEARCH("NEXTLINK",C2073))),"Personal - House Bills",IF(AND(ISNUMBER(SEARCH("PAYMENT FROM",C2073)),ISNUMBER(SEARCH("JOE SAUNDERS",C2073))),"Zelle from Joe Saunders",IF(AND(ISNUMBER(SEARCH("PAYMENT TO",C2073)),ISNUMBER(SEARCH("JOE SAUNDERS",C2073))),"Zelle to Joe Saunders",IF(OR(ISNUMBER(SEARCH("NEW ORLEANS",C2073)),ISNUMBER(SEARCH("KENNER",C2073)),ISNUMBER(SEARCH("HENRY HOWARD",C2073)),ISNUMBER(SEARCH("MISS CLAUDIA",C2073))),"Personal Travel - New Orleans",IF(AND(YEAR(B2073)=2025,MONTH(B2073)=4,OR(ISNUMBER(SEARCH("EXCHANGE RATE",C2073)),ISNUMBER(SEARCH("EXCHG RTE",C2073)))),"Personal Travel - Italy",IFERROR(INDEX('Category Rules'!$B$2:$B$358,MATCH(TRUE,ISNUMBER(SEARCH('Category Rules'!$A$2:$A$358,C2073)),0)),""))))))))</f>
        <v>Amazon</v>
      </c>
    </row>
    <row r="2074" spans="1:7" x14ac:dyDescent="0.25">
      <c r="A2074" t="s">
        <v>6</v>
      </c>
      <c r="B2074" s="1">
        <v>45706</v>
      </c>
      <c r="C2074" t="s">
        <v>2202</v>
      </c>
      <c r="D2074">
        <v>-32</v>
      </c>
      <c r="E2074" t="s">
        <v>10</v>
      </c>
      <c r="F2074">
        <v>1128.42</v>
      </c>
      <c r="G2074" t="str" cm="1">
        <f t="array" ref="G2074">IF(AND(ISNUMBER(SEARCH("UBER",C2074)),ISNUMBER(SEARCH("EATS",C2074))),"Uber Eats",IF(LEFT(C2074,6)="CHECK ","Checks Paid",IF(OR(E2074="BILLPAY",ISNUMBER(SEARCH("FRANCHISE TAX",C2074)),ISNUMBER(SEARCH("NEXTLINK",C2074))),"Personal - House Bills",IF(AND(ISNUMBER(SEARCH("PAYMENT FROM",C2074)),ISNUMBER(SEARCH("JOE SAUNDERS",C2074))),"Zelle from Joe Saunders",IF(AND(ISNUMBER(SEARCH("PAYMENT TO",C2074)),ISNUMBER(SEARCH("JOE SAUNDERS",C2074))),"Zelle to Joe Saunders",IF(OR(ISNUMBER(SEARCH("NEW ORLEANS",C2074)),ISNUMBER(SEARCH("KENNER",C2074)),ISNUMBER(SEARCH("HENRY HOWARD",C2074)),ISNUMBER(SEARCH("MISS CLAUDIA",C2074))),"Personal Travel - New Orleans",IF(AND(YEAR(B2074)=2025,MONTH(B2074)=4,OR(ISNUMBER(SEARCH("EXCHANGE RATE",C2074)),ISNUMBER(SEARCH("EXCHG RTE",C2074)))),"Personal Travel - Italy",IFERROR(INDEX('Category Rules'!$B$2:$B$358,MATCH(TRUE,ISNUMBER(SEARCH('Category Rules'!$A$2:$A$358,C2074)),0)),""))))))))</f>
        <v>Amazon</v>
      </c>
    </row>
    <row r="2075" spans="1:7" x14ac:dyDescent="0.25">
      <c r="A2075" t="s">
        <v>6</v>
      </c>
      <c r="B2075" s="1">
        <v>45706</v>
      </c>
      <c r="C2075" t="s">
        <v>2203</v>
      </c>
      <c r="D2075">
        <v>-17.84</v>
      </c>
      <c r="E2075" t="s">
        <v>10</v>
      </c>
      <c r="F2075">
        <v>1160.42</v>
      </c>
      <c r="G2075" t="str" cm="1">
        <f t="array" ref="G2075">IF(AND(ISNUMBER(SEARCH("UBER",C2075)),ISNUMBER(SEARCH("EATS",C2075))),"Uber Eats",IF(LEFT(C2075,6)="CHECK ","Checks Paid",IF(OR(E2075="BILLPAY",ISNUMBER(SEARCH("FRANCHISE TAX",C2075)),ISNUMBER(SEARCH("NEXTLINK",C2075))),"Personal - House Bills",IF(AND(ISNUMBER(SEARCH("PAYMENT FROM",C2075)),ISNUMBER(SEARCH("JOE SAUNDERS",C2075))),"Zelle from Joe Saunders",IF(AND(ISNUMBER(SEARCH("PAYMENT TO",C2075)),ISNUMBER(SEARCH("JOE SAUNDERS",C2075))),"Zelle to Joe Saunders",IF(OR(ISNUMBER(SEARCH("NEW ORLEANS",C2075)),ISNUMBER(SEARCH("KENNER",C2075)),ISNUMBER(SEARCH("HENRY HOWARD",C2075)),ISNUMBER(SEARCH("MISS CLAUDIA",C2075))),"Personal Travel - New Orleans",IF(AND(YEAR(B2075)=2025,MONTH(B2075)=4,OR(ISNUMBER(SEARCH("EXCHANGE RATE",C2075)),ISNUMBER(SEARCH("EXCHG RTE",C2075)))),"Personal Travel - Italy",IFERROR(INDEX('Category Rules'!$B$2:$B$358,MATCH(TRUE,ISNUMBER(SEARCH('Category Rules'!$A$2:$A$358,C2075)),0)),""))))))))</f>
        <v>Amazon</v>
      </c>
    </row>
    <row r="2076" spans="1:7" x14ac:dyDescent="0.25">
      <c r="A2076" t="s">
        <v>6</v>
      </c>
      <c r="B2076" s="1">
        <v>45706</v>
      </c>
      <c r="C2076" t="s">
        <v>2204</v>
      </c>
      <c r="D2076">
        <v>-115.32</v>
      </c>
      <c r="E2076" t="s">
        <v>10</v>
      </c>
      <c r="F2076">
        <v>1178.26</v>
      </c>
      <c r="G2076" t="str" cm="1">
        <f t="array" ref="G2076">IF(AND(ISNUMBER(SEARCH("UBER",C2076)),ISNUMBER(SEARCH("EATS",C2076))),"Uber Eats",IF(LEFT(C2076,6)="CHECK ","Checks Paid",IF(OR(E2076="BILLPAY",ISNUMBER(SEARCH("FRANCHISE TAX",C2076)),ISNUMBER(SEARCH("NEXTLINK",C2076))),"Personal - House Bills",IF(AND(ISNUMBER(SEARCH("PAYMENT FROM",C2076)),ISNUMBER(SEARCH("JOE SAUNDERS",C2076))),"Zelle from Joe Saunders",IF(AND(ISNUMBER(SEARCH("PAYMENT TO",C2076)),ISNUMBER(SEARCH("JOE SAUNDERS",C2076))),"Zelle to Joe Saunders",IF(OR(ISNUMBER(SEARCH("NEW ORLEANS",C2076)),ISNUMBER(SEARCH("KENNER",C2076)),ISNUMBER(SEARCH("HENRY HOWARD",C2076)),ISNUMBER(SEARCH("MISS CLAUDIA",C2076))),"Personal Travel - New Orleans",IF(AND(YEAR(B2076)=2025,MONTH(B2076)=4,OR(ISNUMBER(SEARCH("EXCHANGE RATE",C2076)),ISNUMBER(SEARCH("EXCHG RTE",C2076)))),"Personal Travel - Italy",IFERROR(INDEX('Category Rules'!$B$2:$B$358,MATCH(TRUE,ISNUMBER(SEARCH('Category Rules'!$A$2:$A$358,C2076)),0)),""))))))))</f>
        <v>Uber Eats</v>
      </c>
    </row>
    <row r="2077" spans="1:7" x14ac:dyDescent="0.25">
      <c r="A2077" t="s">
        <v>6</v>
      </c>
      <c r="B2077" s="1">
        <v>45706</v>
      </c>
      <c r="C2077" t="s">
        <v>2205</v>
      </c>
      <c r="D2077">
        <v>-16.989999999999998</v>
      </c>
      <c r="E2077" t="s">
        <v>10</v>
      </c>
      <c r="F2077">
        <v>1293.58</v>
      </c>
      <c r="G2077" t="str" cm="1">
        <f t="array" ref="G2077">IF(AND(ISNUMBER(SEARCH("UBER",C2077)),ISNUMBER(SEARCH("EATS",C2077))),"Uber Eats",IF(LEFT(C2077,6)="CHECK ","Checks Paid",IF(OR(E2077="BILLPAY",ISNUMBER(SEARCH("FRANCHISE TAX",C2077)),ISNUMBER(SEARCH("NEXTLINK",C2077))),"Personal - House Bills",IF(AND(ISNUMBER(SEARCH("PAYMENT FROM",C2077)),ISNUMBER(SEARCH("JOE SAUNDERS",C2077))),"Zelle from Joe Saunders",IF(AND(ISNUMBER(SEARCH("PAYMENT TO",C2077)),ISNUMBER(SEARCH("JOE SAUNDERS",C2077))),"Zelle to Joe Saunders",IF(OR(ISNUMBER(SEARCH("NEW ORLEANS",C2077)),ISNUMBER(SEARCH("KENNER",C2077)),ISNUMBER(SEARCH("HENRY HOWARD",C2077)),ISNUMBER(SEARCH("MISS CLAUDIA",C2077))),"Personal Travel - New Orleans",IF(AND(YEAR(B2077)=2025,MONTH(B2077)=4,OR(ISNUMBER(SEARCH("EXCHANGE RATE",C2077)),ISNUMBER(SEARCH("EXCHG RTE",C2077)))),"Personal Travel - Italy",IFERROR(INDEX('Category Rules'!$B$2:$B$358,MATCH(TRUE,ISNUMBER(SEARCH('Category Rules'!$A$2:$A$358,C2077)),0)),""))))))))</f>
        <v>Amazon</v>
      </c>
    </row>
    <row r="2078" spans="1:7" x14ac:dyDescent="0.25">
      <c r="A2078" t="s">
        <v>6</v>
      </c>
      <c r="B2078" s="1">
        <v>45706</v>
      </c>
      <c r="C2078" t="s">
        <v>2206</v>
      </c>
      <c r="D2078">
        <v>-133.94999999999999</v>
      </c>
      <c r="E2078" t="s">
        <v>10</v>
      </c>
      <c r="F2078">
        <v>1310.57</v>
      </c>
      <c r="G2078" t="str" cm="1">
        <f t="array" ref="G2078">IF(AND(ISNUMBER(SEARCH("UBER",C2078)),ISNUMBER(SEARCH("EATS",C2078))),"Uber Eats",IF(LEFT(C2078,6)="CHECK ","Checks Paid",IF(OR(E2078="BILLPAY",ISNUMBER(SEARCH("FRANCHISE TAX",C2078)),ISNUMBER(SEARCH("NEXTLINK",C2078))),"Personal - House Bills",IF(AND(ISNUMBER(SEARCH("PAYMENT FROM",C2078)),ISNUMBER(SEARCH("JOE SAUNDERS",C2078))),"Zelle from Joe Saunders",IF(AND(ISNUMBER(SEARCH("PAYMENT TO",C2078)),ISNUMBER(SEARCH("JOE SAUNDERS",C2078))),"Zelle to Joe Saunders",IF(OR(ISNUMBER(SEARCH("NEW ORLEANS",C2078)),ISNUMBER(SEARCH("KENNER",C2078)),ISNUMBER(SEARCH("HENRY HOWARD",C2078)),ISNUMBER(SEARCH("MISS CLAUDIA",C2078))),"Personal Travel - New Orleans",IF(AND(YEAR(B2078)=2025,MONTH(B2078)=4,OR(ISNUMBER(SEARCH("EXCHANGE RATE",C2078)),ISNUMBER(SEARCH("EXCHG RTE",C2078)))),"Personal Travel - Italy",IFERROR(INDEX('Category Rules'!$B$2:$B$358,MATCH(TRUE,ISNUMBER(SEARCH('Category Rules'!$A$2:$A$358,C2078)),0)),""))))))))</f>
        <v>Uber Eats</v>
      </c>
    </row>
    <row r="2079" spans="1:7" x14ac:dyDescent="0.25">
      <c r="A2079" t="s">
        <v>6</v>
      </c>
      <c r="B2079" s="1">
        <v>45706</v>
      </c>
      <c r="C2079" t="s">
        <v>2207</v>
      </c>
      <c r="D2079">
        <v>-155.54</v>
      </c>
      <c r="E2079" t="s">
        <v>10</v>
      </c>
      <c r="F2079">
        <v>1444.52</v>
      </c>
      <c r="G2079" t="str" cm="1">
        <f t="array" ref="G2079">IF(AND(ISNUMBER(SEARCH("UBER",C2079)),ISNUMBER(SEARCH("EATS",C2079))),"Uber Eats",IF(LEFT(C2079,6)="CHECK ","Checks Paid",IF(OR(E2079="BILLPAY",ISNUMBER(SEARCH("FRANCHISE TAX",C2079)),ISNUMBER(SEARCH("NEXTLINK",C2079))),"Personal - House Bills",IF(AND(ISNUMBER(SEARCH("PAYMENT FROM",C2079)),ISNUMBER(SEARCH("JOE SAUNDERS",C2079))),"Zelle from Joe Saunders",IF(AND(ISNUMBER(SEARCH("PAYMENT TO",C2079)),ISNUMBER(SEARCH("JOE SAUNDERS",C2079))),"Zelle to Joe Saunders",IF(OR(ISNUMBER(SEARCH("NEW ORLEANS",C2079)),ISNUMBER(SEARCH("KENNER",C2079)),ISNUMBER(SEARCH("HENRY HOWARD",C2079)),ISNUMBER(SEARCH("MISS CLAUDIA",C2079))),"Personal Travel - New Orleans",IF(AND(YEAR(B2079)=2025,MONTH(B2079)=4,OR(ISNUMBER(SEARCH("EXCHANGE RATE",C2079)),ISNUMBER(SEARCH("EXCHG RTE",C2079)))),"Personal Travel - Italy",IFERROR(INDEX('Category Rules'!$B$2:$B$358,MATCH(TRUE,ISNUMBER(SEARCH('Category Rules'!$A$2:$A$358,C2079)),0)),""))))))))</f>
        <v>Uber Eats</v>
      </c>
    </row>
    <row r="2080" spans="1:7" x14ac:dyDescent="0.25">
      <c r="A2080" t="s">
        <v>6</v>
      </c>
      <c r="B2080" s="1">
        <v>45706</v>
      </c>
      <c r="C2080" t="s">
        <v>2208</v>
      </c>
      <c r="D2080">
        <v>-47.32</v>
      </c>
      <c r="E2080" t="s">
        <v>10</v>
      </c>
      <c r="F2080">
        <v>1600.06</v>
      </c>
      <c r="G2080" t="str" cm="1">
        <f t="array" ref="G2080">IF(AND(ISNUMBER(SEARCH("UBER",C2080)),ISNUMBER(SEARCH("EATS",C2080))),"Uber Eats",IF(LEFT(C2080,6)="CHECK ","Checks Paid",IF(OR(E2080="BILLPAY",ISNUMBER(SEARCH("FRANCHISE TAX",C2080)),ISNUMBER(SEARCH("NEXTLINK",C2080))),"Personal - House Bills",IF(AND(ISNUMBER(SEARCH("PAYMENT FROM",C2080)),ISNUMBER(SEARCH("JOE SAUNDERS",C2080))),"Zelle from Joe Saunders",IF(AND(ISNUMBER(SEARCH("PAYMENT TO",C2080)),ISNUMBER(SEARCH("JOE SAUNDERS",C2080))),"Zelle to Joe Saunders",IF(OR(ISNUMBER(SEARCH("NEW ORLEANS",C2080)),ISNUMBER(SEARCH("KENNER",C2080)),ISNUMBER(SEARCH("HENRY HOWARD",C2080)),ISNUMBER(SEARCH("MISS CLAUDIA",C2080))),"Personal Travel - New Orleans",IF(AND(YEAR(B2080)=2025,MONTH(B2080)=4,OR(ISNUMBER(SEARCH("EXCHANGE RATE",C2080)),ISNUMBER(SEARCH("EXCHG RTE",C2080)))),"Personal Travel - Italy",IFERROR(INDEX('Category Rules'!$B$2:$B$358,MATCH(TRUE,ISNUMBER(SEARCH('Category Rules'!$A$2:$A$358,C2080)),0)),""))))))))</f>
        <v>Personal - Health</v>
      </c>
    </row>
    <row r="2081" spans="1:7" x14ac:dyDescent="0.25">
      <c r="A2081" t="s">
        <v>6</v>
      </c>
      <c r="B2081" s="1">
        <v>45706</v>
      </c>
      <c r="C2081" t="s">
        <v>2209</v>
      </c>
      <c r="D2081">
        <v>-272.82</v>
      </c>
      <c r="E2081" t="s">
        <v>10</v>
      </c>
      <c r="F2081">
        <v>1647.38</v>
      </c>
      <c r="G2081" t="str" cm="1">
        <f t="array" ref="G2081">IF(AND(ISNUMBER(SEARCH("UBER",C2081)),ISNUMBER(SEARCH("EATS",C2081))),"Uber Eats",IF(LEFT(C2081,6)="CHECK ","Checks Paid",IF(OR(E2081="BILLPAY",ISNUMBER(SEARCH("FRANCHISE TAX",C2081)),ISNUMBER(SEARCH("NEXTLINK",C2081))),"Personal - House Bills",IF(AND(ISNUMBER(SEARCH("PAYMENT FROM",C2081)),ISNUMBER(SEARCH("JOE SAUNDERS",C2081))),"Zelle from Joe Saunders",IF(AND(ISNUMBER(SEARCH("PAYMENT TO",C2081)),ISNUMBER(SEARCH("JOE SAUNDERS",C2081))),"Zelle to Joe Saunders",IF(OR(ISNUMBER(SEARCH("NEW ORLEANS",C2081)),ISNUMBER(SEARCH("KENNER",C2081)),ISNUMBER(SEARCH("HENRY HOWARD",C2081)),ISNUMBER(SEARCH("MISS CLAUDIA",C2081))),"Personal Travel - New Orleans",IF(AND(YEAR(B2081)=2025,MONTH(B2081)=4,OR(ISNUMBER(SEARCH("EXCHANGE RATE",C2081)),ISNUMBER(SEARCH("EXCHG RTE",C2081)))),"Personal Travel - Italy",IFERROR(INDEX('Category Rules'!$B$2:$B$358,MATCH(TRUE,ISNUMBER(SEARCH('Category Rules'!$A$2:$A$358,C2081)),0)),""))))))))</f>
        <v>Personal - Shopping</v>
      </c>
    </row>
    <row r="2082" spans="1:7" x14ac:dyDescent="0.25">
      <c r="A2082" t="s">
        <v>6</v>
      </c>
      <c r="B2082" s="1">
        <v>45702</v>
      </c>
      <c r="C2082" t="s">
        <v>2210</v>
      </c>
      <c r="D2082">
        <v>-16.41</v>
      </c>
      <c r="E2082" t="s">
        <v>10</v>
      </c>
      <c r="F2082">
        <v>1920.2</v>
      </c>
      <c r="G2082" t="str" cm="1">
        <f t="array" ref="G2082">IF(AND(ISNUMBER(SEARCH("UBER",C2082)),ISNUMBER(SEARCH("EATS",C2082))),"Uber Eats",IF(LEFT(C2082,6)="CHECK ","Checks Paid",IF(OR(E2082="BILLPAY",ISNUMBER(SEARCH("FRANCHISE TAX",C2082)),ISNUMBER(SEARCH("NEXTLINK",C2082))),"Personal - House Bills",IF(AND(ISNUMBER(SEARCH("PAYMENT FROM",C2082)),ISNUMBER(SEARCH("JOE SAUNDERS",C2082))),"Zelle from Joe Saunders",IF(AND(ISNUMBER(SEARCH("PAYMENT TO",C2082)),ISNUMBER(SEARCH("JOE SAUNDERS",C2082))),"Zelle to Joe Saunders",IF(OR(ISNUMBER(SEARCH("NEW ORLEANS",C2082)),ISNUMBER(SEARCH("KENNER",C2082)),ISNUMBER(SEARCH("HENRY HOWARD",C2082)),ISNUMBER(SEARCH("MISS CLAUDIA",C2082))),"Personal Travel - New Orleans",IF(AND(YEAR(B2082)=2025,MONTH(B2082)=4,OR(ISNUMBER(SEARCH("EXCHANGE RATE",C2082)),ISNUMBER(SEARCH("EXCHG RTE",C2082)))),"Personal Travel - Italy",IFERROR(INDEX('Category Rules'!$B$2:$B$358,MATCH(TRUE,ISNUMBER(SEARCH('Category Rules'!$A$2:$A$358,C2082)),0)),""))))))))</f>
        <v>Amazon</v>
      </c>
    </row>
    <row r="2083" spans="1:7" x14ac:dyDescent="0.25">
      <c r="A2083" t="s">
        <v>6</v>
      </c>
      <c r="B2083" s="1">
        <v>45702</v>
      </c>
      <c r="C2083" t="s">
        <v>2211</v>
      </c>
      <c r="D2083">
        <v>-59.99</v>
      </c>
      <c r="E2083" t="s">
        <v>10</v>
      </c>
      <c r="F2083">
        <v>1936.61</v>
      </c>
      <c r="G2083" t="str" cm="1">
        <f t="array" ref="G2083">IF(AND(ISNUMBER(SEARCH("UBER",C2083)),ISNUMBER(SEARCH("EATS",C2083))),"Uber Eats",IF(LEFT(C2083,6)="CHECK ","Checks Paid",IF(OR(E2083="BILLPAY",ISNUMBER(SEARCH("FRANCHISE TAX",C2083)),ISNUMBER(SEARCH("NEXTLINK",C2083))),"Personal - House Bills",IF(AND(ISNUMBER(SEARCH("PAYMENT FROM",C2083)),ISNUMBER(SEARCH("JOE SAUNDERS",C2083))),"Zelle from Joe Saunders",IF(AND(ISNUMBER(SEARCH("PAYMENT TO",C2083)),ISNUMBER(SEARCH("JOE SAUNDERS",C2083))),"Zelle to Joe Saunders",IF(OR(ISNUMBER(SEARCH("NEW ORLEANS",C2083)),ISNUMBER(SEARCH("KENNER",C2083)),ISNUMBER(SEARCH("HENRY HOWARD",C2083)),ISNUMBER(SEARCH("MISS CLAUDIA",C2083))),"Personal Travel - New Orleans",IF(AND(YEAR(B2083)=2025,MONTH(B2083)=4,OR(ISNUMBER(SEARCH("EXCHANGE RATE",C2083)),ISNUMBER(SEARCH("EXCHG RTE",C2083)))),"Personal Travel - Italy",IFERROR(INDEX('Category Rules'!$B$2:$B$358,MATCH(TRUE,ISNUMBER(SEARCH('Category Rules'!$A$2:$A$358,C2083)),0)),""))))))))</f>
        <v>Apple</v>
      </c>
    </row>
    <row r="2084" spans="1:7" x14ac:dyDescent="0.25">
      <c r="A2084" t="s">
        <v>6</v>
      </c>
      <c r="B2084" s="1">
        <v>45702</v>
      </c>
      <c r="C2084" t="s">
        <v>2212</v>
      </c>
      <c r="D2084">
        <v>-79.98</v>
      </c>
      <c r="E2084" t="s">
        <v>10</v>
      </c>
      <c r="F2084">
        <v>1996.6</v>
      </c>
      <c r="G2084" t="str" cm="1">
        <f t="array" ref="G2084">IF(AND(ISNUMBER(SEARCH("UBER",C2084)),ISNUMBER(SEARCH("EATS",C2084))),"Uber Eats",IF(LEFT(C2084,6)="CHECK ","Checks Paid",IF(OR(E2084="BILLPAY",ISNUMBER(SEARCH("FRANCHISE TAX",C2084)),ISNUMBER(SEARCH("NEXTLINK",C2084))),"Personal - House Bills",IF(AND(ISNUMBER(SEARCH("PAYMENT FROM",C2084)),ISNUMBER(SEARCH("JOE SAUNDERS",C2084))),"Zelle from Joe Saunders",IF(AND(ISNUMBER(SEARCH("PAYMENT TO",C2084)),ISNUMBER(SEARCH("JOE SAUNDERS",C2084))),"Zelle to Joe Saunders",IF(OR(ISNUMBER(SEARCH("NEW ORLEANS",C2084)),ISNUMBER(SEARCH("KENNER",C2084)),ISNUMBER(SEARCH("HENRY HOWARD",C2084)),ISNUMBER(SEARCH("MISS CLAUDIA",C2084))),"Personal Travel - New Orleans",IF(AND(YEAR(B2084)=2025,MONTH(B2084)=4,OR(ISNUMBER(SEARCH("EXCHANGE RATE",C2084)),ISNUMBER(SEARCH("EXCHG RTE",C2084)))),"Personal Travel - Italy",IFERROR(INDEX('Category Rules'!$B$2:$B$358,MATCH(TRUE,ISNUMBER(SEARCH('Category Rules'!$A$2:$A$358,C2084)),0)),""))))))))</f>
        <v>Amazon</v>
      </c>
    </row>
    <row r="2085" spans="1:7" x14ac:dyDescent="0.25">
      <c r="A2085" t="s">
        <v>6</v>
      </c>
      <c r="B2085" s="1">
        <v>45702</v>
      </c>
      <c r="C2085" t="s">
        <v>2213</v>
      </c>
      <c r="D2085">
        <v>-76.849999999999994</v>
      </c>
      <c r="E2085" t="s">
        <v>10</v>
      </c>
      <c r="F2085">
        <v>2076.58</v>
      </c>
      <c r="G2085" t="str" cm="1">
        <f t="array" ref="G2085">IF(AND(ISNUMBER(SEARCH("UBER",C2085)),ISNUMBER(SEARCH("EATS",C2085))),"Uber Eats",IF(LEFT(C2085,6)="CHECK ","Checks Paid",IF(OR(E2085="BILLPAY",ISNUMBER(SEARCH("FRANCHISE TAX",C2085)),ISNUMBER(SEARCH("NEXTLINK",C2085))),"Personal - House Bills",IF(AND(ISNUMBER(SEARCH("PAYMENT FROM",C2085)),ISNUMBER(SEARCH("JOE SAUNDERS",C2085))),"Zelle from Joe Saunders",IF(AND(ISNUMBER(SEARCH("PAYMENT TO",C2085)),ISNUMBER(SEARCH("JOE SAUNDERS",C2085))),"Zelle to Joe Saunders",IF(OR(ISNUMBER(SEARCH("NEW ORLEANS",C2085)),ISNUMBER(SEARCH("KENNER",C2085)),ISNUMBER(SEARCH("HENRY HOWARD",C2085)),ISNUMBER(SEARCH("MISS CLAUDIA",C2085))),"Personal Travel - New Orleans",IF(AND(YEAR(B2085)=2025,MONTH(B2085)=4,OR(ISNUMBER(SEARCH("EXCHANGE RATE",C2085)),ISNUMBER(SEARCH("EXCHG RTE",C2085)))),"Personal Travel - Italy",IFERROR(INDEX('Category Rules'!$B$2:$B$358,MATCH(TRUE,ISNUMBER(SEARCH('Category Rules'!$A$2:$A$358,C2085)),0)),""))))))))</f>
        <v>Amazon</v>
      </c>
    </row>
    <row r="2086" spans="1:7" x14ac:dyDescent="0.25">
      <c r="A2086" t="s">
        <v>6</v>
      </c>
      <c r="B2086" s="1">
        <v>45702</v>
      </c>
      <c r="C2086" t="s">
        <v>2214</v>
      </c>
      <c r="D2086">
        <v>-46.95</v>
      </c>
      <c r="E2086" t="s">
        <v>10</v>
      </c>
      <c r="F2086">
        <v>2153.4299999999998</v>
      </c>
      <c r="G2086" t="str" cm="1">
        <f t="array" ref="G2086">IF(AND(ISNUMBER(SEARCH("UBER",C2086)),ISNUMBER(SEARCH("EATS",C2086))),"Uber Eats",IF(LEFT(C2086,6)="CHECK ","Checks Paid",IF(OR(E2086="BILLPAY",ISNUMBER(SEARCH("FRANCHISE TAX",C2086)),ISNUMBER(SEARCH("NEXTLINK",C2086))),"Personal - House Bills",IF(AND(ISNUMBER(SEARCH("PAYMENT FROM",C2086)),ISNUMBER(SEARCH("JOE SAUNDERS",C2086))),"Zelle from Joe Saunders",IF(AND(ISNUMBER(SEARCH("PAYMENT TO",C2086)),ISNUMBER(SEARCH("JOE SAUNDERS",C2086))),"Zelle to Joe Saunders",IF(OR(ISNUMBER(SEARCH("NEW ORLEANS",C2086)),ISNUMBER(SEARCH("KENNER",C2086)),ISNUMBER(SEARCH("HENRY HOWARD",C2086)),ISNUMBER(SEARCH("MISS CLAUDIA",C2086))),"Personal Travel - New Orleans",IF(AND(YEAR(B2086)=2025,MONTH(B2086)=4,OR(ISNUMBER(SEARCH("EXCHANGE RATE",C2086)),ISNUMBER(SEARCH("EXCHG RTE",C2086)))),"Personal Travel - Italy",IFERROR(INDEX('Category Rules'!$B$2:$B$358,MATCH(TRUE,ISNUMBER(SEARCH('Category Rules'!$A$2:$A$358,C2086)),0)),""))))))))</f>
        <v>Amazon</v>
      </c>
    </row>
    <row r="2087" spans="1:7" x14ac:dyDescent="0.25">
      <c r="A2087" t="s">
        <v>6</v>
      </c>
      <c r="B2087" s="1">
        <v>45701</v>
      </c>
      <c r="C2087" t="s">
        <v>2215</v>
      </c>
      <c r="D2087">
        <v>-600</v>
      </c>
      <c r="E2087" t="s">
        <v>73</v>
      </c>
      <c r="F2087">
        <v>2200.38</v>
      </c>
      <c r="G2087" t="str" cm="1">
        <f t="array" ref="G2087">IF(AND(ISNUMBER(SEARCH("UBER",C2087)),ISNUMBER(SEARCH("EATS",C2087))),"Uber Eats",IF(LEFT(C2087,6)="CHECK ","Checks Paid",IF(OR(E2087="BILLPAY",ISNUMBER(SEARCH("FRANCHISE TAX",C2087)),ISNUMBER(SEARCH("NEXTLINK",C2087))),"Personal - House Bills",IF(AND(ISNUMBER(SEARCH("PAYMENT FROM",C2087)),ISNUMBER(SEARCH("JOE SAUNDERS",C2087))),"Zelle from Joe Saunders",IF(AND(ISNUMBER(SEARCH("PAYMENT TO",C2087)),ISNUMBER(SEARCH("JOE SAUNDERS",C2087))),"Zelle to Joe Saunders",IF(OR(ISNUMBER(SEARCH("NEW ORLEANS",C2087)),ISNUMBER(SEARCH("KENNER",C2087)),ISNUMBER(SEARCH("HENRY HOWARD",C2087)),ISNUMBER(SEARCH("MISS CLAUDIA",C2087))),"Personal Travel - New Orleans",IF(AND(YEAR(B2087)=2025,MONTH(B2087)=4,OR(ISNUMBER(SEARCH("EXCHANGE RATE",C2087)),ISNUMBER(SEARCH("EXCHG RTE",C2087)))),"Personal Travel - Italy",IFERROR(INDEX('Category Rules'!$B$2:$B$358,MATCH(TRUE,ISNUMBER(SEARCH('Category Rules'!$A$2:$A$358,C2087)),0)),""))))))))</f>
        <v>Transfer to Ava</v>
      </c>
    </row>
    <row r="2088" spans="1:7" x14ac:dyDescent="0.25">
      <c r="A2088" t="s">
        <v>6</v>
      </c>
      <c r="B2088" s="1">
        <v>45701</v>
      </c>
      <c r="C2088" t="s">
        <v>2216</v>
      </c>
      <c r="D2088">
        <v>-103.68</v>
      </c>
      <c r="E2088" t="s">
        <v>10</v>
      </c>
      <c r="F2088">
        <v>2800.38</v>
      </c>
      <c r="G2088" t="str" cm="1">
        <f t="array" ref="G2088">IF(AND(ISNUMBER(SEARCH("UBER",C2088)),ISNUMBER(SEARCH("EATS",C2088))),"Uber Eats",IF(LEFT(C2088,6)="CHECK ","Checks Paid",IF(OR(E2088="BILLPAY",ISNUMBER(SEARCH("FRANCHISE TAX",C2088)),ISNUMBER(SEARCH("NEXTLINK",C2088))),"Personal - House Bills",IF(AND(ISNUMBER(SEARCH("PAYMENT FROM",C2088)),ISNUMBER(SEARCH("JOE SAUNDERS",C2088))),"Zelle from Joe Saunders",IF(AND(ISNUMBER(SEARCH("PAYMENT TO",C2088)),ISNUMBER(SEARCH("JOE SAUNDERS",C2088))),"Zelle to Joe Saunders",IF(OR(ISNUMBER(SEARCH("NEW ORLEANS",C2088)),ISNUMBER(SEARCH("KENNER",C2088)),ISNUMBER(SEARCH("HENRY HOWARD",C2088)),ISNUMBER(SEARCH("MISS CLAUDIA",C2088))),"Personal Travel - New Orleans",IF(AND(YEAR(B2088)=2025,MONTH(B2088)=4,OR(ISNUMBER(SEARCH("EXCHANGE RATE",C2088)),ISNUMBER(SEARCH("EXCHG RTE",C2088)))),"Personal Travel - Italy",IFERROR(INDEX('Category Rules'!$B$2:$B$358,MATCH(TRUE,ISNUMBER(SEARCH('Category Rules'!$A$2:$A$358,C2088)),0)),""))))))))</f>
        <v>Uber Eats</v>
      </c>
    </row>
    <row r="2089" spans="1:7" x14ac:dyDescent="0.25">
      <c r="A2089" t="s">
        <v>6</v>
      </c>
      <c r="B2089" s="1">
        <v>45700</v>
      </c>
      <c r="C2089" t="s">
        <v>2217</v>
      </c>
      <c r="D2089">
        <v>-32.14</v>
      </c>
      <c r="E2089" t="s">
        <v>10</v>
      </c>
      <c r="F2089">
        <v>2904.06</v>
      </c>
      <c r="G2089" t="str" cm="1">
        <f t="array" ref="G2089">IF(AND(ISNUMBER(SEARCH("UBER",C2089)),ISNUMBER(SEARCH("EATS",C2089))),"Uber Eats",IF(LEFT(C2089,6)="CHECK ","Checks Paid",IF(OR(E2089="BILLPAY",ISNUMBER(SEARCH("FRANCHISE TAX",C2089)),ISNUMBER(SEARCH("NEXTLINK",C2089))),"Personal - House Bills",IF(AND(ISNUMBER(SEARCH("PAYMENT FROM",C2089)),ISNUMBER(SEARCH("JOE SAUNDERS",C2089))),"Zelle from Joe Saunders",IF(AND(ISNUMBER(SEARCH("PAYMENT TO",C2089)),ISNUMBER(SEARCH("JOE SAUNDERS",C2089))),"Zelle to Joe Saunders",IF(OR(ISNUMBER(SEARCH("NEW ORLEANS",C2089)),ISNUMBER(SEARCH("KENNER",C2089)),ISNUMBER(SEARCH("HENRY HOWARD",C2089)),ISNUMBER(SEARCH("MISS CLAUDIA",C2089))),"Personal Travel - New Orleans",IF(AND(YEAR(B2089)=2025,MONTH(B2089)=4,OR(ISNUMBER(SEARCH("EXCHANGE RATE",C2089)),ISNUMBER(SEARCH("EXCHG RTE",C2089)))),"Personal Travel - Italy",IFERROR(INDEX('Category Rules'!$B$2:$B$358,MATCH(TRUE,ISNUMBER(SEARCH('Category Rules'!$A$2:$A$358,C2089)),0)),""))))))))</f>
        <v>Personal - Food</v>
      </c>
    </row>
    <row r="2090" spans="1:7" x14ac:dyDescent="0.25">
      <c r="A2090" t="s">
        <v>6</v>
      </c>
      <c r="B2090" s="1">
        <v>45700</v>
      </c>
      <c r="C2090" t="s">
        <v>2217</v>
      </c>
      <c r="D2090">
        <v>-16.61</v>
      </c>
      <c r="E2090" t="s">
        <v>10</v>
      </c>
      <c r="F2090">
        <v>2936.2</v>
      </c>
      <c r="G2090" t="str" cm="1">
        <f t="array" ref="G2090">IF(AND(ISNUMBER(SEARCH("UBER",C2090)),ISNUMBER(SEARCH("EATS",C2090))),"Uber Eats",IF(LEFT(C2090,6)="CHECK ","Checks Paid",IF(OR(E2090="BILLPAY",ISNUMBER(SEARCH("FRANCHISE TAX",C2090)),ISNUMBER(SEARCH("NEXTLINK",C2090))),"Personal - House Bills",IF(AND(ISNUMBER(SEARCH("PAYMENT FROM",C2090)),ISNUMBER(SEARCH("JOE SAUNDERS",C2090))),"Zelle from Joe Saunders",IF(AND(ISNUMBER(SEARCH("PAYMENT TO",C2090)),ISNUMBER(SEARCH("JOE SAUNDERS",C2090))),"Zelle to Joe Saunders",IF(OR(ISNUMBER(SEARCH("NEW ORLEANS",C2090)),ISNUMBER(SEARCH("KENNER",C2090)),ISNUMBER(SEARCH("HENRY HOWARD",C2090)),ISNUMBER(SEARCH("MISS CLAUDIA",C2090))),"Personal Travel - New Orleans",IF(AND(YEAR(B2090)=2025,MONTH(B2090)=4,OR(ISNUMBER(SEARCH("EXCHANGE RATE",C2090)),ISNUMBER(SEARCH("EXCHG RTE",C2090)))),"Personal Travel - Italy",IFERROR(INDEX('Category Rules'!$B$2:$B$358,MATCH(TRUE,ISNUMBER(SEARCH('Category Rules'!$A$2:$A$358,C2090)),0)),""))))))))</f>
        <v>Personal - Food</v>
      </c>
    </row>
    <row r="2091" spans="1:7" x14ac:dyDescent="0.25">
      <c r="A2091" t="s">
        <v>6</v>
      </c>
      <c r="B2091" s="1">
        <v>45700</v>
      </c>
      <c r="C2091" t="s">
        <v>2218</v>
      </c>
      <c r="D2091">
        <v>-117.98</v>
      </c>
      <c r="E2091" t="s">
        <v>10</v>
      </c>
      <c r="F2091">
        <v>2952.81</v>
      </c>
      <c r="G2091" t="str" cm="1">
        <f t="array" ref="G2091">IF(AND(ISNUMBER(SEARCH("UBER",C2091)),ISNUMBER(SEARCH("EATS",C2091))),"Uber Eats",IF(LEFT(C2091,6)="CHECK ","Checks Paid",IF(OR(E2091="BILLPAY",ISNUMBER(SEARCH("FRANCHISE TAX",C2091)),ISNUMBER(SEARCH("NEXTLINK",C2091))),"Personal - House Bills",IF(AND(ISNUMBER(SEARCH("PAYMENT FROM",C2091)),ISNUMBER(SEARCH("JOE SAUNDERS",C2091))),"Zelle from Joe Saunders",IF(AND(ISNUMBER(SEARCH("PAYMENT TO",C2091)),ISNUMBER(SEARCH("JOE SAUNDERS",C2091))),"Zelle to Joe Saunders",IF(OR(ISNUMBER(SEARCH("NEW ORLEANS",C2091)),ISNUMBER(SEARCH("KENNER",C2091)),ISNUMBER(SEARCH("HENRY HOWARD",C2091)),ISNUMBER(SEARCH("MISS CLAUDIA",C2091))),"Personal Travel - New Orleans",IF(AND(YEAR(B2091)=2025,MONTH(B2091)=4,OR(ISNUMBER(SEARCH("EXCHANGE RATE",C2091)),ISNUMBER(SEARCH("EXCHG RTE",C2091)))),"Personal Travel - Italy",IFERROR(INDEX('Category Rules'!$B$2:$B$358,MATCH(TRUE,ISNUMBER(SEARCH('Category Rules'!$A$2:$A$358,C2091)),0)),""))))))))</f>
        <v>Amazon</v>
      </c>
    </row>
    <row r="2092" spans="1:7" x14ac:dyDescent="0.25">
      <c r="A2092" t="s">
        <v>6</v>
      </c>
      <c r="B2092" s="1">
        <v>45700</v>
      </c>
      <c r="C2092" t="s">
        <v>2219</v>
      </c>
      <c r="D2092">
        <v>-147.4</v>
      </c>
      <c r="E2092" t="s">
        <v>10</v>
      </c>
      <c r="F2092">
        <v>3070.79</v>
      </c>
      <c r="G2092" t="str" cm="1">
        <f t="array" ref="G2092">IF(AND(ISNUMBER(SEARCH("UBER",C2092)),ISNUMBER(SEARCH("EATS",C2092))),"Uber Eats",IF(LEFT(C2092,6)="CHECK ","Checks Paid",IF(OR(E2092="BILLPAY",ISNUMBER(SEARCH("FRANCHISE TAX",C2092)),ISNUMBER(SEARCH("NEXTLINK",C2092))),"Personal - House Bills",IF(AND(ISNUMBER(SEARCH("PAYMENT FROM",C2092)),ISNUMBER(SEARCH("JOE SAUNDERS",C2092))),"Zelle from Joe Saunders",IF(AND(ISNUMBER(SEARCH("PAYMENT TO",C2092)),ISNUMBER(SEARCH("JOE SAUNDERS",C2092))),"Zelle to Joe Saunders",IF(OR(ISNUMBER(SEARCH("NEW ORLEANS",C2092)),ISNUMBER(SEARCH("KENNER",C2092)),ISNUMBER(SEARCH("HENRY HOWARD",C2092)),ISNUMBER(SEARCH("MISS CLAUDIA",C2092))),"Personal Travel - New Orleans",IF(AND(YEAR(B2092)=2025,MONTH(B2092)=4,OR(ISNUMBER(SEARCH("EXCHANGE RATE",C2092)),ISNUMBER(SEARCH("EXCHG RTE",C2092)))),"Personal Travel - Italy",IFERROR(INDEX('Category Rules'!$B$2:$B$358,MATCH(TRUE,ISNUMBER(SEARCH('Category Rules'!$A$2:$A$358,C2092)),0)),""))))))))</f>
        <v>Amazon</v>
      </c>
    </row>
    <row r="2093" spans="1:7" x14ac:dyDescent="0.25">
      <c r="A2093" t="s">
        <v>6</v>
      </c>
      <c r="B2093" s="1">
        <v>45700</v>
      </c>
      <c r="C2093" t="s">
        <v>2220</v>
      </c>
      <c r="D2093">
        <v>-30.47</v>
      </c>
      <c r="E2093" t="s">
        <v>10</v>
      </c>
      <c r="F2093">
        <v>3218.19</v>
      </c>
      <c r="G2093" t="str" cm="1">
        <f t="array" ref="G2093">IF(AND(ISNUMBER(SEARCH("UBER",C2093)),ISNUMBER(SEARCH("EATS",C2093))),"Uber Eats",IF(LEFT(C2093,6)="CHECK ","Checks Paid",IF(OR(E2093="BILLPAY",ISNUMBER(SEARCH("FRANCHISE TAX",C2093)),ISNUMBER(SEARCH("NEXTLINK",C2093))),"Personal - House Bills",IF(AND(ISNUMBER(SEARCH("PAYMENT FROM",C2093)),ISNUMBER(SEARCH("JOE SAUNDERS",C2093))),"Zelle from Joe Saunders",IF(AND(ISNUMBER(SEARCH("PAYMENT TO",C2093)),ISNUMBER(SEARCH("JOE SAUNDERS",C2093))),"Zelle to Joe Saunders",IF(OR(ISNUMBER(SEARCH("NEW ORLEANS",C2093)),ISNUMBER(SEARCH("KENNER",C2093)),ISNUMBER(SEARCH("HENRY HOWARD",C2093)),ISNUMBER(SEARCH("MISS CLAUDIA",C2093))),"Personal Travel - New Orleans",IF(AND(YEAR(B2093)=2025,MONTH(B2093)=4,OR(ISNUMBER(SEARCH("EXCHANGE RATE",C2093)),ISNUMBER(SEARCH("EXCHG RTE",C2093)))),"Personal Travel - Italy",IFERROR(INDEX('Category Rules'!$B$2:$B$358,MATCH(TRUE,ISNUMBER(SEARCH('Category Rules'!$A$2:$A$358,C2093)),0)),""))))))))</f>
        <v>Amazon</v>
      </c>
    </row>
    <row r="2094" spans="1:7" x14ac:dyDescent="0.25">
      <c r="A2094" t="s">
        <v>6</v>
      </c>
      <c r="B2094" s="1">
        <v>45700</v>
      </c>
      <c r="C2094" t="s">
        <v>2221</v>
      </c>
      <c r="D2094">
        <v>-35.47</v>
      </c>
      <c r="E2094" t="s">
        <v>10</v>
      </c>
      <c r="F2094">
        <v>3248.66</v>
      </c>
      <c r="G2094" t="str" cm="1">
        <f t="array" ref="G2094">IF(AND(ISNUMBER(SEARCH("UBER",C2094)),ISNUMBER(SEARCH("EATS",C2094))),"Uber Eats",IF(LEFT(C2094,6)="CHECK ","Checks Paid",IF(OR(E2094="BILLPAY",ISNUMBER(SEARCH("FRANCHISE TAX",C2094)),ISNUMBER(SEARCH("NEXTLINK",C2094))),"Personal - House Bills",IF(AND(ISNUMBER(SEARCH("PAYMENT FROM",C2094)),ISNUMBER(SEARCH("JOE SAUNDERS",C2094))),"Zelle from Joe Saunders",IF(AND(ISNUMBER(SEARCH("PAYMENT TO",C2094)),ISNUMBER(SEARCH("JOE SAUNDERS",C2094))),"Zelle to Joe Saunders",IF(OR(ISNUMBER(SEARCH("NEW ORLEANS",C2094)),ISNUMBER(SEARCH("KENNER",C2094)),ISNUMBER(SEARCH("HENRY HOWARD",C2094)),ISNUMBER(SEARCH("MISS CLAUDIA",C2094))),"Personal Travel - New Orleans",IF(AND(YEAR(B2094)=2025,MONTH(B2094)=4,OR(ISNUMBER(SEARCH("EXCHANGE RATE",C2094)),ISNUMBER(SEARCH("EXCHG RTE",C2094)))),"Personal Travel - Italy",IFERROR(INDEX('Category Rules'!$B$2:$B$358,MATCH(TRUE,ISNUMBER(SEARCH('Category Rules'!$A$2:$A$358,C2094)),0)),""))))))))</f>
        <v>Uber Eats</v>
      </c>
    </row>
    <row r="2095" spans="1:7" x14ac:dyDescent="0.25">
      <c r="A2095" t="s">
        <v>44</v>
      </c>
      <c r="B2095" s="1">
        <v>45700</v>
      </c>
      <c r="C2095" t="s">
        <v>2222</v>
      </c>
      <c r="D2095">
        <v>2000</v>
      </c>
      <c r="E2095" t="s">
        <v>73</v>
      </c>
      <c r="F2095">
        <v>3284.13</v>
      </c>
      <c r="G2095" t="str" cm="1">
        <f t="array" ref="G2095">IF(AND(ISNUMBER(SEARCH("UBER",C2095)),ISNUMBER(SEARCH("EATS",C2095))),"Uber Eats",IF(LEFT(C2095,6)="CHECK ","Checks Paid",IF(OR(E2095="BILLPAY",ISNUMBER(SEARCH("FRANCHISE TAX",C2095)),ISNUMBER(SEARCH("NEXTLINK",C2095))),"Personal - House Bills",IF(AND(ISNUMBER(SEARCH("PAYMENT FROM",C2095)),ISNUMBER(SEARCH("JOE SAUNDERS",C2095))),"Zelle from Joe Saunders",IF(AND(ISNUMBER(SEARCH("PAYMENT TO",C2095)),ISNUMBER(SEARCH("JOE SAUNDERS",C2095))),"Zelle to Joe Saunders",IF(OR(ISNUMBER(SEARCH("NEW ORLEANS",C2095)),ISNUMBER(SEARCH("KENNER",C2095)),ISNUMBER(SEARCH("HENRY HOWARD",C2095)),ISNUMBER(SEARCH("MISS CLAUDIA",C2095))),"Personal Travel - New Orleans",IF(AND(YEAR(B2095)=2025,MONTH(B2095)=4,OR(ISNUMBER(SEARCH("EXCHANGE RATE",C2095)),ISNUMBER(SEARCH("EXCHG RTE",C2095)))),"Personal Travel - Italy",IFERROR(INDEX('Category Rules'!$B$2:$B$358,MATCH(TRUE,ISNUMBER(SEARCH('Category Rules'!$A$2:$A$358,C2095)),0)),""))))))))</f>
        <v>Transfer from DWG Capital Group</v>
      </c>
    </row>
    <row r="2096" spans="1:7" x14ac:dyDescent="0.25">
      <c r="A2096" t="s">
        <v>6</v>
      </c>
      <c r="B2096" s="1">
        <v>45699</v>
      </c>
      <c r="C2096" t="s">
        <v>2223</v>
      </c>
      <c r="D2096">
        <v>-59</v>
      </c>
      <c r="E2096" t="s">
        <v>10</v>
      </c>
      <c r="F2096">
        <v>1284.1300000000001</v>
      </c>
      <c r="G2096" t="str" cm="1">
        <f t="array" ref="G2096">IF(AND(ISNUMBER(SEARCH("UBER",C2096)),ISNUMBER(SEARCH("EATS",C2096))),"Uber Eats",IF(LEFT(C2096,6)="CHECK ","Checks Paid",IF(OR(E2096="BILLPAY",ISNUMBER(SEARCH("FRANCHISE TAX",C2096)),ISNUMBER(SEARCH("NEXTLINK",C2096))),"Personal - House Bills",IF(AND(ISNUMBER(SEARCH("PAYMENT FROM",C2096)),ISNUMBER(SEARCH("JOE SAUNDERS",C2096))),"Zelle from Joe Saunders",IF(AND(ISNUMBER(SEARCH("PAYMENT TO",C2096)),ISNUMBER(SEARCH("JOE SAUNDERS",C2096))),"Zelle to Joe Saunders",IF(OR(ISNUMBER(SEARCH("NEW ORLEANS",C2096)),ISNUMBER(SEARCH("KENNER",C2096)),ISNUMBER(SEARCH("HENRY HOWARD",C2096)),ISNUMBER(SEARCH("MISS CLAUDIA",C2096))),"Personal Travel - New Orleans",IF(AND(YEAR(B2096)=2025,MONTH(B2096)=4,OR(ISNUMBER(SEARCH("EXCHANGE RATE",C2096)),ISNUMBER(SEARCH("EXCHG RTE",C2096)))),"Personal Travel - Italy",IFERROR(INDEX('Category Rules'!$B$2:$B$358,MATCH(TRUE,ISNUMBER(SEARCH('Category Rules'!$A$2:$A$358,C2096)),0)),""))))))))</f>
        <v>Personal - Subscription</v>
      </c>
    </row>
    <row r="2097" spans="1:7" x14ac:dyDescent="0.25">
      <c r="A2097" t="s">
        <v>6</v>
      </c>
      <c r="B2097" s="1">
        <v>45699</v>
      </c>
      <c r="C2097" t="s">
        <v>2224</v>
      </c>
      <c r="D2097">
        <v>-69.38</v>
      </c>
      <c r="E2097" t="s">
        <v>10</v>
      </c>
      <c r="F2097">
        <v>1343.13</v>
      </c>
      <c r="G2097" t="str" cm="1">
        <f t="array" ref="G2097">IF(AND(ISNUMBER(SEARCH("UBER",C2097)),ISNUMBER(SEARCH("EATS",C2097))),"Uber Eats",IF(LEFT(C2097,6)="CHECK ","Checks Paid",IF(OR(E2097="BILLPAY",ISNUMBER(SEARCH("FRANCHISE TAX",C2097)),ISNUMBER(SEARCH("NEXTLINK",C2097))),"Personal - House Bills",IF(AND(ISNUMBER(SEARCH("PAYMENT FROM",C2097)),ISNUMBER(SEARCH("JOE SAUNDERS",C2097))),"Zelle from Joe Saunders",IF(AND(ISNUMBER(SEARCH("PAYMENT TO",C2097)),ISNUMBER(SEARCH("JOE SAUNDERS",C2097))),"Zelle to Joe Saunders",IF(OR(ISNUMBER(SEARCH("NEW ORLEANS",C2097)),ISNUMBER(SEARCH("KENNER",C2097)),ISNUMBER(SEARCH("HENRY HOWARD",C2097)),ISNUMBER(SEARCH("MISS CLAUDIA",C2097))),"Personal Travel - New Orleans",IF(AND(YEAR(B2097)=2025,MONTH(B2097)=4,OR(ISNUMBER(SEARCH("EXCHANGE RATE",C2097)),ISNUMBER(SEARCH("EXCHG RTE",C2097)))),"Personal Travel - Italy",IFERROR(INDEX('Category Rules'!$B$2:$B$358,MATCH(TRUE,ISNUMBER(SEARCH('Category Rules'!$A$2:$A$358,C2097)),0)),""))))))))</f>
        <v>Amazon</v>
      </c>
    </row>
    <row r="2098" spans="1:7" x14ac:dyDescent="0.25">
      <c r="A2098" t="s">
        <v>6</v>
      </c>
      <c r="B2098" s="1">
        <v>45698</v>
      </c>
      <c r="C2098" t="s">
        <v>2225</v>
      </c>
      <c r="D2098">
        <v>-24.99</v>
      </c>
      <c r="E2098" t="s">
        <v>10</v>
      </c>
      <c r="F2098">
        <v>1412.51</v>
      </c>
      <c r="G2098" t="str" cm="1">
        <f t="array" ref="G2098">IF(AND(ISNUMBER(SEARCH("UBER",C2098)),ISNUMBER(SEARCH("EATS",C2098))),"Uber Eats",IF(LEFT(C2098,6)="CHECK ","Checks Paid",IF(OR(E2098="BILLPAY",ISNUMBER(SEARCH("FRANCHISE TAX",C2098)),ISNUMBER(SEARCH("NEXTLINK",C2098))),"Personal - House Bills",IF(AND(ISNUMBER(SEARCH("PAYMENT FROM",C2098)),ISNUMBER(SEARCH("JOE SAUNDERS",C2098))),"Zelle from Joe Saunders",IF(AND(ISNUMBER(SEARCH("PAYMENT TO",C2098)),ISNUMBER(SEARCH("JOE SAUNDERS",C2098))),"Zelle to Joe Saunders",IF(OR(ISNUMBER(SEARCH("NEW ORLEANS",C2098)),ISNUMBER(SEARCH("KENNER",C2098)),ISNUMBER(SEARCH("HENRY HOWARD",C2098)),ISNUMBER(SEARCH("MISS CLAUDIA",C2098))),"Personal Travel - New Orleans",IF(AND(YEAR(B2098)=2025,MONTH(B2098)=4,OR(ISNUMBER(SEARCH("EXCHANGE RATE",C2098)),ISNUMBER(SEARCH("EXCHG RTE",C2098)))),"Personal Travel - Italy",IFERROR(INDEX('Category Rules'!$B$2:$B$358,MATCH(TRUE,ISNUMBER(SEARCH('Category Rules'!$A$2:$A$358,C2098)),0)),""))))))))</f>
        <v>Personal - Subscription</v>
      </c>
    </row>
    <row r="2099" spans="1:7" x14ac:dyDescent="0.25">
      <c r="A2099" t="s">
        <v>6</v>
      </c>
      <c r="B2099" s="1">
        <v>45698</v>
      </c>
      <c r="C2099" t="s">
        <v>2226</v>
      </c>
      <c r="D2099">
        <v>-36.92</v>
      </c>
      <c r="E2099" t="s">
        <v>10</v>
      </c>
      <c r="F2099">
        <v>1437.5</v>
      </c>
      <c r="G2099" t="str" cm="1">
        <f t="array" ref="G2099">IF(AND(ISNUMBER(SEARCH("UBER",C2099)),ISNUMBER(SEARCH("EATS",C2099))),"Uber Eats",IF(LEFT(C2099,6)="CHECK ","Checks Paid",IF(OR(E2099="BILLPAY",ISNUMBER(SEARCH("FRANCHISE TAX",C2099)),ISNUMBER(SEARCH("NEXTLINK",C2099))),"Personal - House Bills",IF(AND(ISNUMBER(SEARCH("PAYMENT FROM",C2099)),ISNUMBER(SEARCH("JOE SAUNDERS",C2099))),"Zelle from Joe Saunders",IF(AND(ISNUMBER(SEARCH("PAYMENT TO",C2099)),ISNUMBER(SEARCH("JOE SAUNDERS",C2099))),"Zelle to Joe Saunders",IF(OR(ISNUMBER(SEARCH("NEW ORLEANS",C2099)),ISNUMBER(SEARCH("KENNER",C2099)),ISNUMBER(SEARCH("HENRY HOWARD",C2099)),ISNUMBER(SEARCH("MISS CLAUDIA",C2099))),"Personal Travel - New Orleans",IF(AND(YEAR(B2099)=2025,MONTH(B2099)=4,OR(ISNUMBER(SEARCH("EXCHANGE RATE",C2099)),ISNUMBER(SEARCH("EXCHG RTE",C2099)))),"Personal Travel - Italy",IFERROR(INDEX('Category Rules'!$B$2:$B$358,MATCH(TRUE,ISNUMBER(SEARCH('Category Rules'!$A$2:$A$358,C2099)),0)),""))))))))</f>
        <v>Amazon</v>
      </c>
    </row>
    <row r="2100" spans="1:7" x14ac:dyDescent="0.25">
      <c r="A2100" t="s">
        <v>6</v>
      </c>
      <c r="B2100" s="1">
        <v>45698</v>
      </c>
      <c r="C2100" t="s">
        <v>2227</v>
      </c>
      <c r="D2100">
        <v>-12.99</v>
      </c>
      <c r="E2100" t="s">
        <v>10</v>
      </c>
      <c r="F2100">
        <v>1474.42</v>
      </c>
      <c r="G2100" t="str" cm="1">
        <f t="array" ref="G2100">IF(AND(ISNUMBER(SEARCH("UBER",C2100)),ISNUMBER(SEARCH("EATS",C2100))),"Uber Eats",IF(LEFT(C2100,6)="CHECK ","Checks Paid",IF(OR(E2100="BILLPAY",ISNUMBER(SEARCH("FRANCHISE TAX",C2100)),ISNUMBER(SEARCH("NEXTLINK",C2100))),"Personal - House Bills",IF(AND(ISNUMBER(SEARCH("PAYMENT FROM",C2100)),ISNUMBER(SEARCH("JOE SAUNDERS",C2100))),"Zelle from Joe Saunders",IF(AND(ISNUMBER(SEARCH("PAYMENT TO",C2100)),ISNUMBER(SEARCH("JOE SAUNDERS",C2100))),"Zelle to Joe Saunders",IF(OR(ISNUMBER(SEARCH("NEW ORLEANS",C2100)),ISNUMBER(SEARCH("KENNER",C2100)),ISNUMBER(SEARCH("HENRY HOWARD",C2100)),ISNUMBER(SEARCH("MISS CLAUDIA",C2100))),"Personal Travel - New Orleans",IF(AND(YEAR(B2100)=2025,MONTH(B2100)=4,OR(ISNUMBER(SEARCH("EXCHANGE RATE",C2100)),ISNUMBER(SEARCH("EXCHG RTE",C2100)))),"Personal Travel - Italy",IFERROR(INDEX('Category Rules'!$B$2:$B$358,MATCH(TRUE,ISNUMBER(SEARCH('Category Rules'!$A$2:$A$358,C2100)),0)),""))))))))</f>
        <v>Apple</v>
      </c>
    </row>
    <row r="2101" spans="1:7" x14ac:dyDescent="0.25">
      <c r="A2101" t="s">
        <v>6</v>
      </c>
      <c r="B2101" s="1">
        <v>45698</v>
      </c>
      <c r="C2101" t="s">
        <v>2228</v>
      </c>
      <c r="D2101">
        <v>-153.58000000000001</v>
      </c>
      <c r="E2101" t="s">
        <v>10</v>
      </c>
      <c r="F2101">
        <v>1487.41</v>
      </c>
      <c r="G2101" t="str" cm="1">
        <f t="array" ref="G2101">IF(AND(ISNUMBER(SEARCH("UBER",C2101)),ISNUMBER(SEARCH("EATS",C2101))),"Uber Eats",IF(LEFT(C2101,6)="CHECK ","Checks Paid",IF(OR(E2101="BILLPAY",ISNUMBER(SEARCH("FRANCHISE TAX",C2101)),ISNUMBER(SEARCH("NEXTLINK",C2101))),"Personal - House Bills",IF(AND(ISNUMBER(SEARCH("PAYMENT FROM",C2101)),ISNUMBER(SEARCH("JOE SAUNDERS",C2101))),"Zelle from Joe Saunders",IF(AND(ISNUMBER(SEARCH("PAYMENT TO",C2101)),ISNUMBER(SEARCH("JOE SAUNDERS",C2101))),"Zelle to Joe Saunders",IF(OR(ISNUMBER(SEARCH("NEW ORLEANS",C2101)),ISNUMBER(SEARCH("KENNER",C2101)),ISNUMBER(SEARCH("HENRY HOWARD",C2101)),ISNUMBER(SEARCH("MISS CLAUDIA",C2101))),"Personal Travel - New Orleans",IF(AND(YEAR(B2101)=2025,MONTH(B2101)=4,OR(ISNUMBER(SEARCH("EXCHANGE RATE",C2101)),ISNUMBER(SEARCH("EXCHG RTE",C2101)))),"Personal Travel - Italy",IFERROR(INDEX('Category Rules'!$B$2:$B$358,MATCH(TRUE,ISNUMBER(SEARCH('Category Rules'!$A$2:$A$358,C2101)),0)),""))))))))</f>
        <v>Personal - Food</v>
      </c>
    </row>
    <row r="2102" spans="1:7" x14ac:dyDescent="0.25">
      <c r="A2102" t="s">
        <v>6</v>
      </c>
      <c r="B2102" s="1">
        <v>45698</v>
      </c>
      <c r="C2102" t="s">
        <v>2229</v>
      </c>
      <c r="D2102">
        <v>-304.44</v>
      </c>
      <c r="E2102" t="s">
        <v>10</v>
      </c>
      <c r="F2102">
        <v>1640.99</v>
      </c>
      <c r="G2102" t="str" cm="1">
        <f t="array" ref="G2102">IF(AND(ISNUMBER(SEARCH("UBER",C2102)),ISNUMBER(SEARCH("EATS",C2102))),"Uber Eats",IF(LEFT(C2102,6)="CHECK ","Checks Paid",IF(OR(E2102="BILLPAY",ISNUMBER(SEARCH("FRANCHISE TAX",C2102)),ISNUMBER(SEARCH("NEXTLINK",C2102))),"Personal - House Bills",IF(AND(ISNUMBER(SEARCH("PAYMENT FROM",C2102)),ISNUMBER(SEARCH("JOE SAUNDERS",C2102))),"Zelle from Joe Saunders",IF(AND(ISNUMBER(SEARCH("PAYMENT TO",C2102)),ISNUMBER(SEARCH("JOE SAUNDERS",C2102))),"Zelle to Joe Saunders",IF(OR(ISNUMBER(SEARCH("NEW ORLEANS",C2102)),ISNUMBER(SEARCH("KENNER",C2102)),ISNUMBER(SEARCH("HENRY HOWARD",C2102)),ISNUMBER(SEARCH("MISS CLAUDIA",C2102))),"Personal Travel - New Orleans",IF(AND(YEAR(B2102)=2025,MONTH(B2102)=4,OR(ISNUMBER(SEARCH("EXCHANGE RATE",C2102)),ISNUMBER(SEARCH("EXCHG RTE",C2102)))),"Personal Travel - Italy",IFERROR(INDEX('Category Rules'!$B$2:$B$358,MATCH(TRUE,ISNUMBER(SEARCH('Category Rules'!$A$2:$A$358,C2102)),0)),""))))))))</f>
        <v>Personal - Food</v>
      </c>
    </row>
    <row r="2103" spans="1:7" x14ac:dyDescent="0.25">
      <c r="A2103" t="s">
        <v>6</v>
      </c>
      <c r="B2103" s="1">
        <v>45698</v>
      </c>
      <c r="C2103" t="s">
        <v>2230</v>
      </c>
      <c r="D2103">
        <v>-531.71</v>
      </c>
      <c r="E2103" t="s">
        <v>10</v>
      </c>
      <c r="F2103">
        <v>1945.43</v>
      </c>
      <c r="G2103" t="str" cm="1">
        <f t="array" ref="G2103">IF(AND(ISNUMBER(SEARCH("UBER",C2103)),ISNUMBER(SEARCH("EATS",C2103))),"Uber Eats",IF(LEFT(C2103,6)="CHECK ","Checks Paid",IF(OR(E2103="BILLPAY",ISNUMBER(SEARCH("FRANCHISE TAX",C2103)),ISNUMBER(SEARCH("NEXTLINK",C2103))),"Personal - House Bills",IF(AND(ISNUMBER(SEARCH("PAYMENT FROM",C2103)),ISNUMBER(SEARCH("JOE SAUNDERS",C2103))),"Zelle from Joe Saunders",IF(AND(ISNUMBER(SEARCH("PAYMENT TO",C2103)),ISNUMBER(SEARCH("JOE SAUNDERS",C2103))),"Zelle to Joe Saunders",IF(OR(ISNUMBER(SEARCH("NEW ORLEANS",C2103)),ISNUMBER(SEARCH("KENNER",C2103)),ISNUMBER(SEARCH("HENRY HOWARD",C2103)),ISNUMBER(SEARCH("MISS CLAUDIA",C2103))),"Personal Travel - New Orleans",IF(AND(YEAR(B2103)=2025,MONTH(B2103)=4,OR(ISNUMBER(SEARCH("EXCHANGE RATE",C2103)),ISNUMBER(SEARCH("EXCHG RTE",C2103)))),"Personal Travel - Italy",IFERROR(INDEX('Category Rules'!$B$2:$B$358,MATCH(TRUE,ISNUMBER(SEARCH('Category Rules'!$A$2:$A$358,C2103)),0)),""))))))))</f>
        <v>Personal - Shopping</v>
      </c>
    </row>
    <row r="2104" spans="1:7" x14ac:dyDescent="0.25">
      <c r="A2104" t="s">
        <v>6</v>
      </c>
      <c r="B2104" s="1">
        <v>45698</v>
      </c>
      <c r="C2104" t="s">
        <v>2231</v>
      </c>
      <c r="D2104">
        <v>-129.63999999999999</v>
      </c>
      <c r="E2104" t="s">
        <v>10</v>
      </c>
      <c r="F2104">
        <v>2477.14</v>
      </c>
      <c r="G2104" t="str" cm="1">
        <f t="array" ref="G2104">IF(AND(ISNUMBER(SEARCH("UBER",C2104)),ISNUMBER(SEARCH("EATS",C2104))),"Uber Eats",IF(LEFT(C2104,6)="CHECK ","Checks Paid",IF(OR(E2104="BILLPAY",ISNUMBER(SEARCH("FRANCHISE TAX",C2104)),ISNUMBER(SEARCH("NEXTLINK",C2104))),"Personal - House Bills",IF(AND(ISNUMBER(SEARCH("PAYMENT FROM",C2104)),ISNUMBER(SEARCH("JOE SAUNDERS",C2104))),"Zelle from Joe Saunders",IF(AND(ISNUMBER(SEARCH("PAYMENT TO",C2104)),ISNUMBER(SEARCH("JOE SAUNDERS",C2104))),"Zelle to Joe Saunders",IF(OR(ISNUMBER(SEARCH("NEW ORLEANS",C2104)),ISNUMBER(SEARCH("KENNER",C2104)),ISNUMBER(SEARCH("HENRY HOWARD",C2104)),ISNUMBER(SEARCH("MISS CLAUDIA",C2104))),"Personal Travel - New Orleans",IF(AND(YEAR(B2104)=2025,MONTH(B2104)=4,OR(ISNUMBER(SEARCH("EXCHANGE RATE",C2104)),ISNUMBER(SEARCH("EXCHG RTE",C2104)))),"Personal Travel - Italy",IFERROR(INDEX('Category Rules'!$B$2:$B$358,MATCH(TRUE,ISNUMBER(SEARCH('Category Rules'!$A$2:$A$358,C2104)),0)),""))))))))</f>
        <v>Amazon</v>
      </c>
    </row>
    <row r="2105" spans="1:7" x14ac:dyDescent="0.25">
      <c r="A2105" t="s">
        <v>6</v>
      </c>
      <c r="B2105" s="1">
        <v>45698</v>
      </c>
      <c r="C2105" t="s">
        <v>2232</v>
      </c>
      <c r="D2105">
        <v>-84.94</v>
      </c>
      <c r="E2105" t="s">
        <v>10</v>
      </c>
      <c r="F2105">
        <v>2606.7800000000002</v>
      </c>
      <c r="G2105" t="str" cm="1">
        <f t="array" ref="G2105">IF(AND(ISNUMBER(SEARCH("UBER",C2105)),ISNUMBER(SEARCH("EATS",C2105))),"Uber Eats",IF(LEFT(C2105,6)="CHECK ","Checks Paid",IF(OR(E2105="BILLPAY",ISNUMBER(SEARCH("FRANCHISE TAX",C2105)),ISNUMBER(SEARCH("NEXTLINK",C2105))),"Personal - House Bills",IF(AND(ISNUMBER(SEARCH("PAYMENT FROM",C2105)),ISNUMBER(SEARCH("JOE SAUNDERS",C2105))),"Zelle from Joe Saunders",IF(AND(ISNUMBER(SEARCH("PAYMENT TO",C2105)),ISNUMBER(SEARCH("JOE SAUNDERS",C2105))),"Zelle to Joe Saunders",IF(OR(ISNUMBER(SEARCH("NEW ORLEANS",C2105)),ISNUMBER(SEARCH("KENNER",C2105)),ISNUMBER(SEARCH("HENRY HOWARD",C2105)),ISNUMBER(SEARCH("MISS CLAUDIA",C2105))),"Personal Travel - New Orleans",IF(AND(YEAR(B2105)=2025,MONTH(B2105)=4,OR(ISNUMBER(SEARCH("EXCHANGE RATE",C2105)),ISNUMBER(SEARCH("EXCHG RTE",C2105)))),"Personal Travel - Italy",IFERROR(INDEX('Category Rules'!$B$2:$B$358,MATCH(TRUE,ISNUMBER(SEARCH('Category Rules'!$A$2:$A$358,C2105)),0)),""))))))))</f>
        <v>Uber Eats</v>
      </c>
    </row>
    <row r="2106" spans="1:7" x14ac:dyDescent="0.25">
      <c r="A2106" t="s">
        <v>6</v>
      </c>
      <c r="B2106" s="1">
        <v>45698</v>
      </c>
      <c r="C2106" t="s">
        <v>2233</v>
      </c>
      <c r="D2106">
        <v>-37.26</v>
      </c>
      <c r="E2106" t="s">
        <v>10</v>
      </c>
      <c r="F2106">
        <v>2691.72</v>
      </c>
      <c r="G2106" t="str" cm="1">
        <f t="array" ref="G2106">IF(AND(ISNUMBER(SEARCH("UBER",C2106)),ISNUMBER(SEARCH("EATS",C2106))),"Uber Eats",IF(LEFT(C2106,6)="CHECK ","Checks Paid",IF(OR(E2106="BILLPAY",ISNUMBER(SEARCH("FRANCHISE TAX",C2106)),ISNUMBER(SEARCH("NEXTLINK",C2106))),"Personal - House Bills",IF(AND(ISNUMBER(SEARCH("PAYMENT FROM",C2106)),ISNUMBER(SEARCH("JOE SAUNDERS",C2106))),"Zelle from Joe Saunders",IF(AND(ISNUMBER(SEARCH("PAYMENT TO",C2106)),ISNUMBER(SEARCH("JOE SAUNDERS",C2106))),"Zelle to Joe Saunders",IF(OR(ISNUMBER(SEARCH("NEW ORLEANS",C2106)),ISNUMBER(SEARCH("KENNER",C2106)),ISNUMBER(SEARCH("HENRY HOWARD",C2106)),ISNUMBER(SEARCH("MISS CLAUDIA",C2106))),"Personal Travel - New Orleans",IF(AND(YEAR(B2106)=2025,MONTH(B2106)=4,OR(ISNUMBER(SEARCH("EXCHANGE RATE",C2106)),ISNUMBER(SEARCH("EXCHG RTE",C2106)))),"Personal Travel - Italy",IFERROR(INDEX('Category Rules'!$B$2:$B$358,MATCH(TRUE,ISNUMBER(SEARCH('Category Rules'!$A$2:$A$358,C2106)),0)),""))))))))</f>
        <v>Personal - Car</v>
      </c>
    </row>
    <row r="2107" spans="1:7" x14ac:dyDescent="0.25">
      <c r="A2107" t="s">
        <v>6</v>
      </c>
      <c r="B2107" s="1">
        <v>45698</v>
      </c>
      <c r="C2107" t="s">
        <v>2234</v>
      </c>
      <c r="D2107">
        <v>-245.74</v>
      </c>
      <c r="E2107" t="s">
        <v>10</v>
      </c>
      <c r="F2107">
        <v>2728.98</v>
      </c>
      <c r="G2107" t="str" cm="1">
        <f t="array" ref="G2107">IF(AND(ISNUMBER(SEARCH("UBER",C2107)),ISNUMBER(SEARCH("EATS",C2107))),"Uber Eats",IF(LEFT(C2107,6)="CHECK ","Checks Paid",IF(OR(E2107="BILLPAY",ISNUMBER(SEARCH("FRANCHISE TAX",C2107)),ISNUMBER(SEARCH("NEXTLINK",C2107))),"Personal - House Bills",IF(AND(ISNUMBER(SEARCH("PAYMENT FROM",C2107)),ISNUMBER(SEARCH("JOE SAUNDERS",C2107))),"Zelle from Joe Saunders",IF(AND(ISNUMBER(SEARCH("PAYMENT TO",C2107)),ISNUMBER(SEARCH("JOE SAUNDERS",C2107))),"Zelle to Joe Saunders",IF(OR(ISNUMBER(SEARCH("NEW ORLEANS",C2107)),ISNUMBER(SEARCH("KENNER",C2107)),ISNUMBER(SEARCH("HENRY HOWARD",C2107)),ISNUMBER(SEARCH("MISS CLAUDIA",C2107))),"Personal Travel - New Orleans",IF(AND(YEAR(B2107)=2025,MONTH(B2107)=4,OR(ISNUMBER(SEARCH("EXCHANGE RATE",C2107)),ISNUMBER(SEARCH("EXCHG RTE",C2107)))),"Personal Travel - Italy",IFERROR(INDEX('Category Rules'!$B$2:$B$358,MATCH(TRUE,ISNUMBER(SEARCH('Category Rules'!$A$2:$A$358,C2107)),0)),""))))))))</f>
        <v>Personal - Shopping</v>
      </c>
    </row>
    <row r="2108" spans="1:7" x14ac:dyDescent="0.25">
      <c r="A2108" t="s">
        <v>6</v>
      </c>
      <c r="B2108" s="1">
        <v>45698</v>
      </c>
      <c r="C2108" t="s">
        <v>2235</v>
      </c>
      <c r="D2108">
        <v>-102.53</v>
      </c>
      <c r="E2108" t="s">
        <v>10</v>
      </c>
      <c r="F2108">
        <v>2974.72</v>
      </c>
      <c r="G2108" t="str" cm="1">
        <f t="array" ref="G2108">IF(AND(ISNUMBER(SEARCH("UBER",C2108)),ISNUMBER(SEARCH("EATS",C2108))),"Uber Eats",IF(LEFT(C2108,6)="CHECK ","Checks Paid",IF(OR(E2108="BILLPAY",ISNUMBER(SEARCH("FRANCHISE TAX",C2108)),ISNUMBER(SEARCH("NEXTLINK",C2108))),"Personal - House Bills",IF(AND(ISNUMBER(SEARCH("PAYMENT FROM",C2108)),ISNUMBER(SEARCH("JOE SAUNDERS",C2108))),"Zelle from Joe Saunders",IF(AND(ISNUMBER(SEARCH("PAYMENT TO",C2108)),ISNUMBER(SEARCH("JOE SAUNDERS",C2108))),"Zelle to Joe Saunders",IF(OR(ISNUMBER(SEARCH("NEW ORLEANS",C2108)),ISNUMBER(SEARCH("KENNER",C2108)),ISNUMBER(SEARCH("HENRY HOWARD",C2108)),ISNUMBER(SEARCH("MISS CLAUDIA",C2108))),"Personal Travel - New Orleans",IF(AND(YEAR(B2108)=2025,MONTH(B2108)=4,OR(ISNUMBER(SEARCH("EXCHANGE RATE",C2108)),ISNUMBER(SEARCH("EXCHG RTE",C2108)))),"Personal Travel - Italy",IFERROR(INDEX('Category Rules'!$B$2:$B$358,MATCH(TRUE,ISNUMBER(SEARCH('Category Rules'!$A$2:$A$358,C2108)),0)),""))))))))</f>
        <v>Personal - Food</v>
      </c>
    </row>
    <row r="2109" spans="1:7" x14ac:dyDescent="0.25">
      <c r="A2109" t="s">
        <v>6</v>
      </c>
      <c r="B2109" s="1">
        <v>45698</v>
      </c>
      <c r="C2109" t="s">
        <v>2236</v>
      </c>
      <c r="D2109">
        <v>-78.98</v>
      </c>
      <c r="E2109" t="s">
        <v>10</v>
      </c>
      <c r="F2109">
        <v>3077.25</v>
      </c>
      <c r="G2109" t="str" cm="1">
        <f t="array" ref="G2109">IF(AND(ISNUMBER(SEARCH("UBER",C2109)),ISNUMBER(SEARCH("EATS",C2109))),"Uber Eats",IF(LEFT(C2109,6)="CHECK ","Checks Paid",IF(OR(E2109="BILLPAY",ISNUMBER(SEARCH("FRANCHISE TAX",C2109)),ISNUMBER(SEARCH("NEXTLINK",C2109))),"Personal - House Bills",IF(AND(ISNUMBER(SEARCH("PAYMENT FROM",C2109)),ISNUMBER(SEARCH("JOE SAUNDERS",C2109))),"Zelle from Joe Saunders",IF(AND(ISNUMBER(SEARCH("PAYMENT TO",C2109)),ISNUMBER(SEARCH("JOE SAUNDERS",C2109))),"Zelle to Joe Saunders",IF(OR(ISNUMBER(SEARCH("NEW ORLEANS",C2109)),ISNUMBER(SEARCH("KENNER",C2109)),ISNUMBER(SEARCH("HENRY HOWARD",C2109)),ISNUMBER(SEARCH("MISS CLAUDIA",C2109))),"Personal Travel - New Orleans",IF(AND(YEAR(B2109)=2025,MONTH(B2109)=4,OR(ISNUMBER(SEARCH("EXCHANGE RATE",C2109)),ISNUMBER(SEARCH("EXCHG RTE",C2109)))),"Personal Travel - Italy",IFERROR(INDEX('Category Rules'!$B$2:$B$358,MATCH(TRUE,ISNUMBER(SEARCH('Category Rules'!$A$2:$A$358,C2109)),0)),""))))))))</f>
        <v>Amazon</v>
      </c>
    </row>
    <row r="2110" spans="1:7" x14ac:dyDescent="0.25">
      <c r="A2110" t="s">
        <v>6</v>
      </c>
      <c r="B2110" s="1">
        <v>45698</v>
      </c>
      <c r="C2110" t="s">
        <v>2237</v>
      </c>
      <c r="D2110">
        <v>-20.95</v>
      </c>
      <c r="E2110" t="s">
        <v>10</v>
      </c>
      <c r="F2110">
        <v>3156.23</v>
      </c>
      <c r="G2110" t="str" cm="1">
        <f t="array" ref="G2110">IF(AND(ISNUMBER(SEARCH("UBER",C2110)),ISNUMBER(SEARCH("EATS",C2110))),"Uber Eats",IF(LEFT(C2110,6)="CHECK ","Checks Paid",IF(OR(E2110="BILLPAY",ISNUMBER(SEARCH("FRANCHISE TAX",C2110)),ISNUMBER(SEARCH("NEXTLINK",C2110))),"Personal - House Bills",IF(AND(ISNUMBER(SEARCH("PAYMENT FROM",C2110)),ISNUMBER(SEARCH("JOE SAUNDERS",C2110))),"Zelle from Joe Saunders",IF(AND(ISNUMBER(SEARCH("PAYMENT TO",C2110)),ISNUMBER(SEARCH("JOE SAUNDERS",C2110))),"Zelle to Joe Saunders",IF(OR(ISNUMBER(SEARCH("NEW ORLEANS",C2110)),ISNUMBER(SEARCH("KENNER",C2110)),ISNUMBER(SEARCH("HENRY HOWARD",C2110)),ISNUMBER(SEARCH("MISS CLAUDIA",C2110))),"Personal Travel - New Orleans",IF(AND(YEAR(B2110)=2025,MONTH(B2110)=4,OR(ISNUMBER(SEARCH("EXCHANGE RATE",C2110)),ISNUMBER(SEARCH("EXCHG RTE",C2110)))),"Personal Travel - Italy",IFERROR(INDEX('Category Rules'!$B$2:$B$358,MATCH(TRUE,ISNUMBER(SEARCH('Category Rules'!$A$2:$A$358,C2110)),0)),""))))))))</f>
        <v>Personal - Food</v>
      </c>
    </row>
    <row r="2111" spans="1:7" x14ac:dyDescent="0.25">
      <c r="A2111" t="s">
        <v>6</v>
      </c>
      <c r="B2111" s="1">
        <v>45698</v>
      </c>
      <c r="C2111" t="s">
        <v>2238</v>
      </c>
      <c r="D2111">
        <v>-12.49</v>
      </c>
      <c r="E2111" t="s">
        <v>10</v>
      </c>
      <c r="F2111">
        <v>3177.18</v>
      </c>
      <c r="G2111" t="str" cm="1">
        <f t="array" ref="G2111">IF(AND(ISNUMBER(SEARCH("UBER",C2111)),ISNUMBER(SEARCH("EATS",C2111))),"Uber Eats",IF(LEFT(C2111,6)="CHECK ","Checks Paid",IF(OR(E2111="BILLPAY",ISNUMBER(SEARCH("FRANCHISE TAX",C2111)),ISNUMBER(SEARCH("NEXTLINK",C2111))),"Personal - House Bills",IF(AND(ISNUMBER(SEARCH("PAYMENT FROM",C2111)),ISNUMBER(SEARCH("JOE SAUNDERS",C2111))),"Zelle from Joe Saunders",IF(AND(ISNUMBER(SEARCH("PAYMENT TO",C2111)),ISNUMBER(SEARCH("JOE SAUNDERS",C2111))),"Zelle to Joe Saunders",IF(OR(ISNUMBER(SEARCH("NEW ORLEANS",C2111)),ISNUMBER(SEARCH("KENNER",C2111)),ISNUMBER(SEARCH("HENRY HOWARD",C2111)),ISNUMBER(SEARCH("MISS CLAUDIA",C2111))),"Personal Travel - New Orleans",IF(AND(YEAR(B2111)=2025,MONTH(B2111)=4,OR(ISNUMBER(SEARCH("EXCHANGE RATE",C2111)),ISNUMBER(SEARCH("EXCHG RTE",C2111)))),"Personal Travel - Italy",IFERROR(INDEX('Category Rules'!$B$2:$B$358,MATCH(TRUE,ISNUMBER(SEARCH('Category Rules'!$A$2:$A$358,C2111)),0)),""))))))))</f>
        <v>Amazon</v>
      </c>
    </row>
    <row r="2112" spans="1:7" x14ac:dyDescent="0.25">
      <c r="A2112" t="s">
        <v>6</v>
      </c>
      <c r="B2112" s="1">
        <v>45698</v>
      </c>
      <c r="C2112" t="s">
        <v>2239</v>
      </c>
      <c r="D2112">
        <v>-17.39</v>
      </c>
      <c r="E2112" t="s">
        <v>10</v>
      </c>
      <c r="F2112">
        <v>3189.67</v>
      </c>
      <c r="G2112" t="str" cm="1">
        <f t="array" ref="G2112">IF(AND(ISNUMBER(SEARCH("UBER",C2112)),ISNUMBER(SEARCH("EATS",C2112))),"Uber Eats",IF(LEFT(C2112,6)="CHECK ","Checks Paid",IF(OR(E2112="BILLPAY",ISNUMBER(SEARCH("FRANCHISE TAX",C2112)),ISNUMBER(SEARCH("NEXTLINK",C2112))),"Personal - House Bills",IF(AND(ISNUMBER(SEARCH("PAYMENT FROM",C2112)),ISNUMBER(SEARCH("JOE SAUNDERS",C2112))),"Zelle from Joe Saunders",IF(AND(ISNUMBER(SEARCH("PAYMENT TO",C2112)),ISNUMBER(SEARCH("JOE SAUNDERS",C2112))),"Zelle to Joe Saunders",IF(OR(ISNUMBER(SEARCH("NEW ORLEANS",C2112)),ISNUMBER(SEARCH("KENNER",C2112)),ISNUMBER(SEARCH("HENRY HOWARD",C2112)),ISNUMBER(SEARCH("MISS CLAUDIA",C2112))),"Personal Travel - New Orleans",IF(AND(YEAR(B2112)=2025,MONTH(B2112)=4,OR(ISNUMBER(SEARCH("EXCHANGE RATE",C2112)),ISNUMBER(SEARCH("EXCHG RTE",C2112)))),"Personal Travel - Italy",IFERROR(INDEX('Category Rules'!$B$2:$B$358,MATCH(TRUE,ISNUMBER(SEARCH('Category Rules'!$A$2:$A$358,C2112)),0)),""))))))))</f>
        <v>Personal - Entertainment</v>
      </c>
    </row>
    <row r="2113" spans="1:7" x14ac:dyDescent="0.25">
      <c r="A2113" t="s">
        <v>44</v>
      </c>
      <c r="B2113" s="1">
        <v>45698</v>
      </c>
      <c r="C2113" t="s">
        <v>2240</v>
      </c>
      <c r="D2113">
        <v>2000</v>
      </c>
      <c r="E2113" t="s">
        <v>73</v>
      </c>
      <c r="F2113">
        <v>3207.06</v>
      </c>
      <c r="G2113" t="str" cm="1">
        <f t="array" ref="G2113">IF(AND(ISNUMBER(SEARCH("UBER",C2113)),ISNUMBER(SEARCH("EATS",C2113))),"Uber Eats",IF(LEFT(C2113,6)="CHECK ","Checks Paid",IF(OR(E2113="BILLPAY",ISNUMBER(SEARCH("FRANCHISE TAX",C2113)),ISNUMBER(SEARCH("NEXTLINK",C2113))),"Personal - House Bills",IF(AND(ISNUMBER(SEARCH("PAYMENT FROM",C2113)),ISNUMBER(SEARCH("JOE SAUNDERS",C2113))),"Zelle from Joe Saunders",IF(AND(ISNUMBER(SEARCH("PAYMENT TO",C2113)),ISNUMBER(SEARCH("JOE SAUNDERS",C2113))),"Zelle to Joe Saunders",IF(OR(ISNUMBER(SEARCH("NEW ORLEANS",C2113)),ISNUMBER(SEARCH("KENNER",C2113)),ISNUMBER(SEARCH("HENRY HOWARD",C2113)),ISNUMBER(SEARCH("MISS CLAUDIA",C2113))),"Personal Travel - New Orleans",IF(AND(YEAR(B2113)=2025,MONTH(B2113)=4,OR(ISNUMBER(SEARCH("EXCHANGE RATE",C2113)),ISNUMBER(SEARCH("EXCHG RTE",C2113)))),"Personal Travel - Italy",IFERROR(INDEX('Category Rules'!$B$2:$B$358,MATCH(TRUE,ISNUMBER(SEARCH('Category Rules'!$A$2:$A$358,C2113)),0)),""))))))))</f>
        <v>Transfer from DWG Capital Group</v>
      </c>
    </row>
    <row r="2114" spans="1:7" x14ac:dyDescent="0.25">
      <c r="A2114" t="s">
        <v>6</v>
      </c>
      <c r="B2114" s="1">
        <v>45695</v>
      </c>
      <c r="C2114" t="s">
        <v>2241</v>
      </c>
      <c r="D2114">
        <v>-302.24</v>
      </c>
      <c r="E2114" t="s">
        <v>10</v>
      </c>
      <c r="F2114">
        <v>1207.06</v>
      </c>
      <c r="G2114" t="str" cm="1">
        <f t="array" ref="G2114">IF(AND(ISNUMBER(SEARCH("UBER",C2114)),ISNUMBER(SEARCH("EATS",C2114))),"Uber Eats",IF(LEFT(C2114,6)="CHECK ","Checks Paid",IF(OR(E2114="BILLPAY",ISNUMBER(SEARCH("FRANCHISE TAX",C2114)),ISNUMBER(SEARCH("NEXTLINK",C2114))),"Personal - House Bills",IF(AND(ISNUMBER(SEARCH("PAYMENT FROM",C2114)),ISNUMBER(SEARCH("JOE SAUNDERS",C2114))),"Zelle from Joe Saunders",IF(AND(ISNUMBER(SEARCH("PAYMENT TO",C2114)),ISNUMBER(SEARCH("JOE SAUNDERS",C2114))),"Zelle to Joe Saunders",IF(OR(ISNUMBER(SEARCH("NEW ORLEANS",C2114)),ISNUMBER(SEARCH("KENNER",C2114)),ISNUMBER(SEARCH("HENRY HOWARD",C2114)),ISNUMBER(SEARCH("MISS CLAUDIA",C2114))),"Personal Travel - New Orleans",IF(AND(YEAR(B2114)=2025,MONTH(B2114)=4,OR(ISNUMBER(SEARCH("EXCHANGE RATE",C2114)),ISNUMBER(SEARCH("EXCHG RTE",C2114)))),"Personal Travel - Italy",IFERROR(INDEX('Category Rules'!$B$2:$B$358,MATCH(TRUE,ISNUMBER(SEARCH('Category Rules'!$A$2:$A$358,C2114)),0)),""))))))))</f>
        <v>Personal - Shopping</v>
      </c>
    </row>
    <row r="2115" spans="1:7" x14ac:dyDescent="0.25">
      <c r="A2115" t="s">
        <v>6</v>
      </c>
      <c r="B2115" s="1">
        <v>45695</v>
      </c>
      <c r="C2115" t="s">
        <v>2242</v>
      </c>
      <c r="D2115">
        <v>-264.5</v>
      </c>
      <c r="E2115" t="s">
        <v>10</v>
      </c>
      <c r="F2115">
        <v>1509.3</v>
      </c>
      <c r="G2115" t="str" cm="1">
        <f t="array" ref="G2115">IF(AND(ISNUMBER(SEARCH("UBER",C2115)),ISNUMBER(SEARCH("EATS",C2115))),"Uber Eats",IF(LEFT(C2115,6)="CHECK ","Checks Paid",IF(OR(E2115="BILLPAY",ISNUMBER(SEARCH("FRANCHISE TAX",C2115)),ISNUMBER(SEARCH("NEXTLINK",C2115))),"Personal - House Bills",IF(AND(ISNUMBER(SEARCH("PAYMENT FROM",C2115)),ISNUMBER(SEARCH("JOE SAUNDERS",C2115))),"Zelle from Joe Saunders",IF(AND(ISNUMBER(SEARCH("PAYMENT TO",C2115)),ISNUMBER(SEARCH("JOE SAUNDERS",C2115))),"Zelle to Joe Saunders",IF(OR(ISNUMBER(SEARCH("NEW ORLEANS",C2115)),ISNUMBER(SEARCH("KENNER",C2115)),ISNUMBER(SEARCH("HENRY HOWARD",C2115)),ISNUMBER(SEARCH("MISS CLAUDIA",C2115))),"Personal Travel - New Orleans",IF(AND(YEAR(B2115)=2025,MONTH(B2115)=4,OR(ISNUMBER(SEARCH("EXCHANGE RATE",C2115)),ISNUMBER(SEARCH("EXCHG RTE",C2115)))),"Personal Travel - Italy",IFERROR(INDEX('Category Rules'!$B$2:$B$358,MATCH(TRUE,ISNUMBER(SEARCH('Category Rules'!$A$2:$A$358,C2115)),0)),""))))))))</f>
        <v>Personal - Entertainment</v>
      </c>
    </row>
    <row r="2116" spans="1:7" x14ac:dyDescent="0.25">
      <c r="A2116" t="s">
        <v>6</v>
      </c>
      <c r="B2116" s="1">
        <v>45695</v>
      </c>
      <c r="C2116" t="s">
        <v>2243</v>
      </c>
      <c r="D2116">
        <v>-299.36</v>
      </c>
      <c r="E2116" t="s">
        <v>10</v>
      </c>
      <c r="F2116">
        <v>1773.8</v>
      </c>
      <c r="G2116" t="str" cm="1">
        <f t="array" ref="G2116">IF(AND(ISNUMBER(SEARCH("UBER",C2116)),ISNUMBER(SEARCH("EATS",C2116))),"Uber Eats",IF(LEFT(C2116,6)="CHECK ","Checks Paid",IF(OR(E2116="BILLPAY",ISNUMBER(SEARCH("FRANCHISE TAX",C2116)),ISNUMBER(SEARCH("NEXTLINK",C2116))),"Personal - House Bills",IF(AND(ISNUMBER(SEARCH("PAYMENT FROM",C2116)),ISNUMBER(SEARCH("JOE SAUNDERS",C2116))),"Zelle from Joe Saunders",IF(AND(ISNUMBER(SEARCH("PAYMENT TO",C2116)),ISNUMBER(SEARCH("JOE SAUNDERS",C2116))),"Zelle to Joe Saunders",IF(OR(ISNUMBER(SEARCH("NEW ORLEANS",C2116)),ISNUMBER(SEARCH("KENNER",C2116)),ISNUMBER(SEARCH("HENRY HOWARD",C2116)),ISNUMBER(SEARCH("MISS CLAUDIA",C2116))),"Personal Travel - New Orleans",IF(AND(YEAR(B2116)=2025,MONTH(B2116)=4,OR(ISNUMBER(SEARCH("EXCHANGE RATE",C2116)),ISNUMBER(SEARCH("EXCHG RTE",C2116)))),"Personal Travel - Italy",IFERROR(INDEX('Category Rules'!$B$2:$B$358,MATCH(TRUE,ISNUMBER(SEARCH('Category Rules'!$A$2:$A$358,C2116)),0)),""))))))))</f>
        <v>Personal - Food</v>
      </c>
    </row>
    <row r="2117" spans="1:7" x14ac:dyDescent="0.25">
      <c r="A2117" t="s">
        <v>44</v>
      </c>
      <c r="B2117" s="1">
        <v>45695</v>
      </c>
      <c r="C2117" t="s">
        <v>2244</v>
      </c>
      <c r="D2117">
        <v>2000</v>
      </c>
      <c r="E2117" t="s">
        <v>73</v>
      </c>
      <c r="F2117">
        <v>2073.16</v>
      </c>
      <c r="G2117" t="str" cm="1">
        <f t="array" ref="G2117">IF(AND(ISNUMBER(SEARCH("UBER",C2117)),ISNUMBER(SEARCH("EATS",C2117))),"Uber Eats",IF(LEFT(C2117,6)="CHECK ","Checks Paid",IF(OR(E2117="BILLPAY",ISNUMBER(SEARCH("FRANCHISE TAX",C2117)),ISNUMBER(SEARCH("NEXTLINK",C2117))),"Personal - House Bills",IF(AND(ISNUMBER(SEARCH("PAYMENT FROM",C2117)),ISNUMBER(SEARCH("JOE SAUNDERS",C2117))),"Zelle from Joe Saunders",IF(AND(ISNUMBER(SEARCH("PAYMENT TO",C2117)),ISNUMBER(SEARCH("JOE SAUNDERS",C2117))),"Zelle to Joe Saunders",IF(OR(ISNUMBER(SEARCH("NEW ORLEANS",C2117)),ISNUMBER(SEARCH("KENNER",C2117)),ISNUMBER(SEARCH("HENRY HOWARD",C2117)),ISNUMBER(SEARCH("MISS CLAUDIA",C2117))),"Personal Travel - New Orleans",IF(AND(YEAR(B2117)=2025,MONTH(B2117)=4,OR(ISNUMBER(SEARCH("EXCHANGE RATE",C2117)),ISNUMBER(SEARCH("EXCHG RTE",C2117)))),"Personal Travel - Italy",IFERROR(INDEX('Category Rules'!$B$2:$B$358,MATCH(TRUE,ISNUMBER(SEARCH('Category Rules'!$A$2:$A$358,C2117)),0)),""))))))))</f>
        <v>Transfer from DWG Capital Group</v>
      </c>
    </row>
    <row r="2118" spans="1:7" x14ac:dyDescent="0.25">
      <c r="A2118" t="s">
        <v>6</v>
      </c>
      <c r="B2118" s="1">
        <v>45694</v>
      </c>
      <c r="C2118" t="s">
        <v>21</v>
      </c>
      <c r="D2118">
        <v>-3</v>
      </c>
      <c r="E2118" t="s">
        <v>8</v>
      </c>
      <c r="F2118">
        <v>73.16</v>
      </c>
      <c r="G2118" t="str" cm="1">
        <f t="array" ref="G2118">IF(AND(ISNUMBER(SEARCH("UBER",C2118)),ISNUMBER(SEARCH("EATS",C2118))),"Uber Eats",IF(LEFT(C2118,6)="CHECK ","Checks Paid",IF(OR(E2118="BILLPAY",ISNUMBER(SEARCH("FRANCHISE TAX",C2118)),ISNUMBER(SEARCH("NEXTLINK",C2118))),"Personal - House Bills",IF(AND(ISNUMBER(SEARCH("PAYMENT FROM",C2118)),ISNUMBER(SEARCH("JOE SAUNDERS",C2118))),"Zelle from Joe Saunders",IF(AND(ISNUMBER(SEARCH("PAYMENT TO",C2118)),ISNUMBER(SEARCH("JOE SAUNDERS",C2118))),"Zelle to Joe Saunders",IF(OR(ISNUMBER(SEARCH("NEW ORLEANS",C2118)),ISNUMBER(SEARCH("KENNER",C2118)),ISNUMBER(SEARCH("HENRY HOWARD",C2118)),ISNUMBER(SEARCH("MISS CLAUDIA",C2118))),"Personal Travel - New Orleans",IF(AND(YEAR(B2118)=2025,MONTH(B2118)=4,OR(ISNUMBER(SEARCH("EXCHANGE RATE",C2118)),ISNUMBER(SEARCH("EXCHG RTE",C2118)))),"Personal Travel - Italy",IFERROR(INDEX('Category Rules'!$B$2:$B$358,MATCH(TRUE,ISNUMBER(SEARCH('Category Rules'!$A$2:$A$358,C2118)),0)),""))))))))</f>
        <v>Bank Fees</v>
      </c>
    </row>
    <row r="2119" spans="1:7" x14ac:dyDescent="0.25">
      <c r="A2119" t="s">
        <v>6</v>
      </c>
      <c r="B2119" s="1">
        <v>45694</v>
      </c>
      <c r="C2119" t="s">
        <v>2245</v>
      </c>
      <c r="D2119">
        <v>-145.85</v>
      </c>
      <c r="E2119" t="s">
        <v>10</v>
      </c>
      <c r="F2119">
        <v>76.16</v>
      </c>
      <c r="G2119" t="str" cm="1">
        <f t="array" ref="G2119">IF(AND(ISNUMBER(SEARCH("UBER",C2119)),ISNUMBER(SEARCH("EATS",C2119))),"Uber Eats",IF(LEFT(C2119,6)="CHECK ","Checks Paid",IF(OR(E2119="BILLPAY",ISNUMBER(SEARCH("FRANCHISE TAX",C2119)),ISNUMBER(SEARCH("NEXTLINK",C2119))),"Personal - House Bills",IF(AND(ISNUMBER(SEARCH("PAYMENT FROM",C2119)),ISNUMBER(SEARCH("JOE SAUNDERS",C2119))),"Zelle from Joe Saunders",IF(AND(ISNUMBER(SEARCH("PAYMENT TO",C2119)),ISNUMBER(SEARCH("JOE SAUNDERS",C2119))),"Zelle to Joe Saunders",IF(OR(ISNUMBER(SEARCH("NEW ORLEANS",C2119)),ISNUMBER(SEARCH("KENNER",C2119)),ISNUMBER(SEARCH("HENRY HOWARD",C2119)),ISNUMBER(SEARCH("MISS CLAUDIA",C2119))),"Personal Travel - New Orleans",IF(AND(YEAR(B2119)=2025,MONTH(B2119)=4,OR(ISNUMBER(SEARCH("EXCHANGE RATE",C2119)),ISNUMBER(SEARCH("EXCHG RTE",C2119)))),"Personal Travel - Italy",IFERROR(INDEX('Category Rules'!$B$2:$B$358,MATCH(TRUE,ISNUMBER(SEARCH('Category Rules'!$A$2:$A$358,C2119)),0)),""))))))))</f>
        <v>Personal - Shopping</v>
      </c>
    </row>
    <row r="2120" spans="1:7" x14ac:dyDescent="0.25">
      <c r="A2120" t="s">
        <v>6</v>
      </c>
      <c r="B2120" s="1">
        <v>45694</v>
      </c>
      <c r="C2120" t="s">
        <v>2246</v>
      </c>
      <c r="D2120">
        <v>-203</v>
      </c>
      <c r="E2120" t="s">
        <v>26</v>
      </c>
      <c r="F2120">
        <v>222.01</v>
      </c>
      <c r="G2120" t="str" cm="1">
        <f t="array" ref="G2120">IF(AND(ISNUMBER(SEARCH("UBER",C2120)),ISNUMBER(SEARCH("EATS",C2120))),"Uber Eats",IF(LEFT(C2120,6)="CHECK ","Checks Paid",IF(OR(E2120="BILLPAY",ISNUMBER(SEARCH("FRANCHISE TAX",C2120)),ISNUMBER(SEARCH("NEXTLINK",C2120))),"Personal - House Bills",IF(AND(ISNUMBER(SEARCH("PAYMENT FROM",C2120)),ISNUMBER(SEARCH("JOE SAUNDERS",C2120))),"Zelle from Joe Saunders",IF(AND(ISNUMBER(SEARCH("PAYMENT TO",C2120)),ISNUMBER(SEARCH("JOE SAUNDERS",C2120))),"Zelle to Joe Saunders",IF(OR(ISNUMBER(SEARCH("NEW ORLEANS",C2120)),ISNUMBER(SEARCH("KENNER",C2120)),ISNUMBER(SEARCH("HENRY HOWARD",C2120)),ISNUMBER(SEARCH("MISS CLAUDIA",C2120))),"Personal Travel - New Orleans",IF(AND(YEAR(B2120)=2025,MONTH(B2120)=4,OR(ISNUMBER(SEARCH("EXCHANGE RATE",C2120)),ISNUMBER(SEARCH("EXCHG RTE",C2120)))),"Personal Travel - Italy",IFERROR(INDEX('Category Rules'!$B$2:$B$358,MATCH(TRUE,ISNUMBER(SEARCH('Category Rules'!$A$2:$A$358,C2120)),0)),""))))))))</f>
        <v>Withdrawal</v>
      </c>
    </row>
    <row r="2121" spans="1:7" x14ac:dyDescent="0.25">
      <c r="A2121" t="s">
        <v>6</v>
      </c>
      <c r="B2121" s="1">
        <v>45694</v>
      </c>
      <c r="C2121" t="s">
        <v>2247</v>
      </c>
      <c r="D2121">
        <v>-13.99</v>
      </c>
      <c r="E2121" t="s">
        <v>10</v>
      </c>
      <c r="F2121">
        <v>425.01</v>
      </c>
      <c r="G2121" t="str" cm="1">
        <f t="array" ref="G2121">IF(AND(ISNUMBER(SEARCH("UBER",C2121)),ISNUMBER(SEARCH("EATS",C2121))),"Uber Eats",IF(LEFT(C2121,6)="CHECK ","Checks Paid",IF(OR(E2121="BILLPAY",ISNUMBER(SEARCH("FRANCHISE TAX",C2121)),ISNUMBER(SEARCH("NEXTLINK",C2121))),"Personal - House Bills",IF(AND(ISNUMBER(SEARCH("PAYMENT FROM",C2121)),ISNUMBER(SEARCH("JOE SAUNDERS",C2121))),"Zelle from Joe Saunders",IF(AND(ISNUMBER(SEARCH("PAYMENT TO",C2121)),ISNUMBER(SEARCH("JOE SAUNDERS",C2121))),"Zelle to Joe Saunders",IF(OR(ISNUMBER(SEARCH("NEW ORLEANS",C2121)),ISNUMBER(SEARCH("KENNER",C2121)),ISNUMBER(SEARCH("HENRY HOWARD",C2121)),ISNUMBER(SEARCH("MISS CLAUDIA",C2121))),"Personal Travel - New Orleans",IF(AND(YEAR(B2121)=2025,MONTH(B2121)=4,OR(ISNUMBER(SEARCH("EXCHANGE RATE",C2121)),ISNUMBER(SEARCH("EXCHG RTE",C2121)))),"Personal Travel - Italy",IFERROR(INDEX('Category Rules'!$B$2:$B$358,MATCH(TRUE,ISNUMBER(SEARCH('Category Rules'!$A$2:$A$358,C2121)),0)),""))))))))</f>
        <v>YouTube Premium</v>
      </c>
    </row>
    <row r="2122" spans="1:7" x14ac:dyDescent="0.25">
      <c r="A2122" t="s">
        <v>6</v>
      </c>
      <c r="B2122" s="1">
        <v>45694</v>
      </c>
      <c r="C2122" t="s">
        <v>2248</v>
      </c>
      <c r="D2122">
        <v>-29.95</v>
      </c>
      <c r="E2122" t="s">
        <v>10</v>
      </c>
      <c r="F2122">
        <v>439</v>
      </c>
      <c r="G2122" t="str" cm="1">
        <f t="array" ref="G2122">IF(AND(ISNUMBER(SEARCH("UBER",C2122)),ISNUMBER(SEARCH("EATS",C2122))),"Uber Eats",IF(LEFT(C2122,6)="CHECK ","Checks Paid",IF(OR(E2122="BILLPAY",ISNUMBER(SEARCH("FRANCHISE TAX",C2122)),ISNUMBER(SEARCH("NEXTLINK",C2122))),"Personal - House Bills",IF(AND(ISNUMBER(SEARCH("PAYMENT FROM",C2122)),ISNUMBER(SEARCH("JOE SAUNDERS",C2122))),"Zelle from Joe Saunders",IF(AND(ISNUMBER(SEARCH("PAYMENT TO",C2122)),ISNUMBER(SEARCH("JOE SAUNDERS",C2122))),"Zelle to Joe Saunders",IF(OR(ISNUMBER(SEARCH("NEW ORLEANS",C2122)),ISNUMBER(SEARCH("KENNER",C2122)),ISNUMBER(SEARCH("HENRY HOWARD",C2122)),ISNUMBER(SEARCH("MISS CLAUDIA",C2122))),"Personal Travel - New Orleans",IF(AND(YEAR(B2122)=2025,MONTH(B2122)=4,OR(ISNUMBER(SEARCH("EXCHANGE RATE",C2122)),ISNUMBER(SEARCH("EXCHG RTE",C2122)))),"Personal Travel - Italy",IFERROR(INDEX('Category Rules'!$B$2:$B$358,MATCH(TRUE,ISNUMBER(SEARCH('Category Rules'!$A$2:$A$358,C2122)),0)),""))))))))</f>
        <v>Personal - Subscription</v>
      </c>
    </row>
    <row r="2123" spans="1:7" x14ac:dyDescent="0.25">
      <c r="A2123" t="s">
        <v>6</v>
      </c>
      <c r="B2123" s="1">
        <v>45694</v>
      </c>
      <c r="C2123" t="s">
        <v>2249</v>
      </c>
      <c r="D2123">
        <v>-48.17</v>
      </c>
      <c r="E2123" t="s">
        <v>10</v>
      </c>
      <c r="F2123">
        <v>468.95</v>
      </c>
      <c r="G2123" t="str" cm="1">
        <f t="array" ref="G2123">IF(AND(ISNUMBER(SEARCH("UBER",C2123)),ISNUMBER(SEARCH("EATS",C2123))),"Uber Eats",IF(LEFT(C2123,6)="CHECK ","Checks Paid",IF(OR(E2123="BILLPAY",ISNUMBER(SEARCH("FRANCHISE TAX",C2123)),ISNUMBER(SEARCH("NEXTLINK",C2123))),"Personal - House Bills",IF(AND(ISNUMBER(SEARCH("PAYMENT FROM",C2123)),ISNUMBER(SEARCH("JOE SAUNDERS",C2123))),"Zelle from Joe Saunders",IF(AND(ISNUMBER(SEARCH("PAYMENT TO",C2123)),ISNUMBER(SEARCH("JOE SAUNDERS",C2123))),"Zelle to Joe Saunders",IF(OR(ISNUMBER(SEARCH("NEW ORLEANS",C2123)),ISNUMBER(SEARCH("KENNER",C2123)),ISNUMBER(SEARCH("HENRY HOWARD",C2123)),ISNUMBER(SEARCH("MISS CLAUDIA",C2123))),"Personal Travel - New Orleans",IF(AND(YEAR(B2123)=2025,MONTH(B2123)=4,OR(ISNUMBER(SEARCH("EXCHANGE RATE",C2123)),ISNUMBER(SEARCH("EXCHG RTE",C2123)))),"Personal Travel - Italy",IFERROR(INDEX('Category Rules'!$B$2:$B$358,MATCH(TRUE,ISNUMBER(SEARCH('Category Rules'!$A$2:$A$358,C2123)),0)),""))))))))</f>
        <v>Personal - Shopping</v>
      </c>
    </row>
    <row r="2124" spans="1:7" x14ac:dyDescent="0.25">
      <c r="A2124" t="s">
        <v>6</v>
      </c>
      <c r="B2124" s="1">
        <v>45694</v>
      </c>
      <c r="C2124" t="s">
        <v>2250</v>
      </c>
      <c r="D2124">
        <v>-43.92</v>
      </c>
      <c r="E2124" t="s">
        <v>10</v>
      </c>
      <c r="F2124">
        <v>517.12</v>
      </c>
      <c r="G2124" t="str" cm="1">
        <f t="array" ref="G2124">IF(AND(ISNUMBER(SEARCH("UBER",C2124)),ISNUMBER(SEARCH("EATS",C2124))),"Uber Eats",IF(LEFT(C2124,6)="CHECK ","Checks Paid",IF(OR(E2124="BILLPAY",ISNUMBER(SEARCH("FRANCHISE TAX",C2124)),ISNUMBER(SEARCH("NEXTLINK",C2124))),"Personal - House Bills",IF(AND(ISNUMBER(SEARCH("PAYMENT FROM",C2124)),ISNUMBER(SEARCH("JOE SAUNDERS",C2124))),"Zelle from Joe Saunders",IF(AND(ISNUMBER(SEARCH("PAYMENT TO",C2124)),ISNUMBER(SEARCH("JOE SAUNDERS",C2124))),"Zelle to Joe Saunders",IF(OR(ISNUMBER(SEARCH("NEW ORLEANS",C2124)),ISNUMBER(SEARCH("KENNER",C2124)),ISNUMBER(SEARCH("HENRY HOWARD",C2124)),ISNUMBER(SEARCH("MISS CLAUDIA",C2124))),"Personal Travel - New Orleans",IF(AND(YEAR(B2124)=2025,MONTH(B2124)=4,OR(ISNUMBER(SEARCH("EXCHANGE RATE",C2124)),ISNUMBER(SEARCH("EXCHG RTE",C2124)))),"Personal Travel - Italy",IFERROR(INDEX('Category Rules'!$B$2:$B$358,MATCH(TRUE,ISNUMBER(SEARCH('Category Rules'!$A$2:$A$358,C2124)),0)),""))))))))</f>
        <v>Amazon</v>
      </c>
    </row>
    <row r="2125" spans="1:7" x14ac:dyDescent="0.25">
      <c r="A2125" t="s">
        <v>6</v>
      </c>
      <c r="B2125" s="1">
        <v>45693</v>
      </c>
      <c r="C2125" t="s">
        <v>2251</v>
      </c>
      <c r="D2125">
        <v>-18.86</v>
      </c>
      <c r="E2125" t="s">
        <v>10</v>
      </c>
      <c r="F2125">
        <v>561.04</v>
      </c>
      <c r="G2125" t="str" cm="1">
        <f t="array" ref="G2125">IF(AND(ISNUMBER(SEARCH("UBER",C2125)),ISNUMBER(SEARCH("EATS",C2125))),"Uber Eats",IF(LEFT(C2125,6)="CHECK ","Checks Paid",IF(OR(E2125="BILLPAY",ISNUMBER(SEARCH("FRANCHISE TAX",C2125)),ISNUMBER(SEARCH("NEXTLINK",C2125))),"Personal - House Bills",IF(AND(ISNUMBER(SEARCH("PAYMENT FROM",C2125)),ISNUMBER(SEARCH("JOE SAUNDERS",C2125))),"Zelle from Joe Saunders",IF(AND(ISNUMBER(SEARCH("PAYMENT TO",C2125)),ISNUMBER(SEARCH("JOE SAUNDERS",C2125))),"Zelle to Joe Saunders",IF(OR(ISNUMBER(SEARCH("NEW ORLEANS",C2125)),ISNUMBER(SEARCH("KENNER",C2125)),ISNUMBER(SEARCH("HENRY HOWARD",C2125)),ISNUMBER(SEARCH("MISS CLAUDIA",C2125))),"Personal Travel - New Orleans",IF(AND(YEAR(B2125)=2025,MONTH(B2125)=4,OR(ISNUMBER(SEARCH("EXCHANGE RATE",C2125)),ISNUMBER(SEARCH("EXCHG RTE",C2125)))),"Personal Travel - Italy",IFERROR(INDEX('Category Rules'!$B$2:$B$358,MATCH(TRUE,ISNUMBER(SEARCH('Category Rules'!$A$2:$A$358,C2125)),0)),""))))))))</f>
        <v>Personal - Shopping</v>
      </c>
    </row>
    <row r="2126" spans="1:7" x14ac:dyDescent="0.25">
      <c r="A2126" t="s">
        <v>6</v>
      </c>
      <c r="B2126" s="1">
        <v>45693</v>
      </c>
      <c r="C2126" t="s">
        <v>2252</v>
      </c>
      <c r="D2126">
        <v>-217.71</v>
      </c>
      <c r="E2126" t="s">
        <v>10</v>
      </c>
      <c r="F2126">
        <v>579.9</v>
      </c>
      <c r="G2126" t="str" cm="1">
        <f t="array" ref="G2126">IF(AND(ISNUMBER(SEARCH("UBER",C2126)),ISNUMBER(SEARCH("EATS",C2126))),"Uber Eats",IF(LEFT(C2126,6)="CHECK ","Checks Paid",IF(OR(E2126="BILLPAY",ISNUMBER(SEARCH("FRANCHISE TAX",C2126)),ISNUMBER(SEARCH("NEXTLINK",C2126))),"Personal - House Bills",IF(AND(ISNUMBER(SEARCH("PAYMENT FROM",C2126)),ISNUMBER(SEARCH("JOE SAUNDERS",C2126))),"Zelle from Joe Saunders",IF(AND(ISNUMBER(SEARCH("PAYMENT TO",C2126)),ISNUMBER(SEARCH("JOE SAUNDERS",C2126))),"Zelle to Joe Saunders",IF(OR(ISNUMBER(SEARCH("NEW ORLEANS",C2126)),ISNUMBER(SEARCH("KENNER",C2126)),ISNUMBER(SEARCH("HENRY HOWARD",C2126)),ISNUMBER(SEARCH("MISS CLAUDIA",C2126))),"Personal Travel - New Orleans",IF(AND(YEAR(B2126)=2025,MONTH(B2126)=4,OR(ISNUMBER(SEARCH("EXCHANGE RATE",C2126)),ISNUMBER(SEARCH("EXCHG RTE",C2126)))),"Personal Travel - Italy",IFERROR(INDEX('Category Rules'!$B$2:$B$358,MATCH(TRUE,ISNUMBER(SEARCH('Category Rules'!$A$2:$A$358,C2126)),0)),""))))))))</f>
        <v>Personal - Shopping</v>
      </c>
    </row>
    <row r="2127" spans="1:7" x14ac:dyDescent="0.25">
      <c r="A2127" t="s">
        <v>6</v>
      </c>
      <c r="B2127" s="1">
        <v>45693</v>
      </c>
      <c r="C2127" t="s">
        <v>2253</v>
      </c>
      <c r="D2127">
        <v>-48.39</v>
      </c>
      <c r="E2127" t="s">
        <v>10</v>
      </c>
      <c r="F2127">
        <v>797.61</v>
      </c>
      <c r="G2127" t="str" cm="1">
        <f t="array" ref="G2127">IF(AND(ISNUMBER(SEARCH("UBER",C2127)),ISNUMBER(SEARCH("EATS",C2127))),"Uber Eats",IF(LEFT(C2127,6)="CHECK ","Checks Paid",IF(OR(E2127="BILLPAY",ISNUMBER(SEARCH("FRANCHISE TAX",C2127)),ISNUMBER(SEARCH("NEXTLINK",C2127))),"Personal - House Bills",IF(AND(ISNUMBER(SEARCH("PAYMENT FROM",C2127)),ISNUMBER(SEARCH("JOE SAUNDERS",C2127))),"Zelle from Joe Saunders",IF(AND(ISNUMBER(SEARCH("PAYMENT TO",C2127)),ISNUMBER(SEARCH("JOE SAUNDERS",C2127))),"Zelle to Joe Saunders",IF(OR(ISNUMBER(SEARCH("NEW ORLEANS",C2127)),ISNUMBER(SEARCH("KENNER",C2127)),ISNUMBER(SEARCH("HENRY HOWARD",C2127)),ISNUMBER(SEARCH("MISS CLAUDIA",C2127))),"Personal Travel - New Orleans",IF(AND(YEAR(B2127)=2025,MONTH(B2127)=4,OR(ISNUMBER(SEARCH("EXCHANGE RATE",C2127)),ISNUMBER(SEARCH("EXCHG RTE",C2127)))),"Personal Travel - Italy",IFERROR(INDEX('Category Rules'!$B$2:$B$358,MATCH(TRUE,ISNUMBER(SEARCH('Category Rules'!$A$2:$A$358,C2127)),0)),""))))))))</f>
        <v>Personal - Shopping</v>
      </c>
    </row>
    <row r="2128" spans="1:7" x14ac:dyDescent="0.25">
      <c r="A2128" t="s">
        <v>6</v>
      </c>
      <c r="B2128" s="1">
        <v>45693</v>
      </c>
      <c r="C2128" t="s">
        <v>2254</v>
      </c>
      <c r="D2128">
        <v>-40</v>
      </c>
      <c r="E2128" t="s">
        <v>10</v>
      </c>
      <c r="F2128">
        <v>846</v>
      </c>
      <c r="G2128" t="str" cm="1">
        <f t="array" ref="G2128">IF(AND(ISNUMBER(SEARCH("UBER",C2128)),ISNUMBER(SEARCH("EATS",C2128))),"Uber Eats",IF(LEFT(C2128,6)="CHECK ","Checks Paid",IF(OR(E2128="BILLPAY",ISNUMBER(SEARCH("FRANCHISE TAX",C2128)),ISNUMBER(SEARCH("NEXTLINK",C2128))),"Personal - House Bills",IF(AND(ISNUMBER(SEARCH("PAYMENT FROM",C2128)),ISNUMBER(SEARCH("JOE SAUNDERS",C2128))),"Zelle from Joe Saunders",IF(AND(ISNUMBER(SEARCH("PAYMENT TO",C2128)),ISNUMBER(SEARCH("JOE SAUNDERS",C2128))),"Zelle to Joe Saunders",IF(OR(ISNUMBER(SEARCH("NEW ORLEANS",C2128)),ISNUMBER(SEARCH("KENNER",C2128)),ISNUMBER(SEARCH("HENRY HOWARD",C2128)),ISNUMBER(SEARCH("MISS CLAUDIA",C2128))),"Personal Travel - New Orleans",IF(AND(YEAR(B2128)=2025,MONTH(B2128)=4,OR(ISNUMBER(SEARCH("EXCHANGE RATE",C2128)),ISNUMBER(SEARCH("EXCHG RTE",C2128)))),"Personal Travel - Italy",IFERROR(INDEX('Category Rules'!$B$2:$B$358,MATCH(TRUE,ISNUMBER(SEARCH('Category Rules'!$A$2:$A$358,C2128)),0)),""))))))))</f>
        <v>Personal - Car</v>
      </c>
    </row>
    <row r="2129" spans="1:7" x14ac:dyDescent="0.25">
      <c r="A2129" t="s">
        <v>6</v>
      </c>
      <c r="B2129" s="1">
        <v>45693</v>
      </c>
      <c r="C2129" t="s">
        <v>2255</v>
      </c>
      <c r="D2129">
        <v>-545.38</v>
      </c>
      <c r="E2129" t="s">
        <v>10</v>
      </c>
      <c r="F2129">
        <v>886</v>
      </c>
      <c r="G2129" t="str" cm="1">
        <f t="array" ref="G2129">IF(AND(ISNUMBER(SEARCH("UBER",C2129)),ISNUMBER(SEARCH("EATS",C2129))),"Uber Eats",IF(LEFT(C2129,6)="CHECK ","Checks Paid",IF(OR(E2129="BILLPAY",ISNUMBER(SEARCH("FRANCHISE TAX",C2129)),ISNUMBER(SEARCH("NEXTLINK",C2129))),"Personal - House Bills",IF(AND(ISNUMBER(SEARCH("PAYMENT FROM",C2129)),ISNUMBER(SEARCH("JOE SAUNDERS",C2129))),"Zelle from Joe Saunders",IF(AND(ISNUMBER(SEARCH("PAYMENT TO",C2129)),ISNUMBER(SEARCH("JOE SAUNDERS",C2129))),"Zelle to Joe Saunders",IF(OR(ISNUMBER(SEARCH("NEW ORLEANS",C2129)),ISNUMBER(SEARCH("KENNER",C2129)),ISNUMBER(SEARCH("HENRY HOWARD",C2129)),ISNUMBER(SEARCH("MISS CLAUDIA",C2129))),"Personal Travel - New Orleans",IF(AND(YEAR(B2129)=2025,MONTH(B2129)=4,OR(ISNUMBER(SEARCH("EXCHANGE RATE",C2129)),ISNUMBER(SEARCH("EXCHG RTE",C2129)))),"Personal Travel - Italy",IFERROR(INDEX('Category Rules'!$B$2:$B$358,MATCH(TRUE,ISNUMBER(SEARCH('Category Rules'!$A$2:$A$358,C2129)),0)),""))))))))</f>
        <v>Personal - Shopping</v>
      </c>
    </row>
    <row r="2130" spans="1:7" x14ac:dyDescent="0.25">
      <c r="A2130" t="s">
        <v>6</v>
      </c>
      <c r="B2130" s="1">
        <v>45692</v>
      </c>
      <c r="C2130" t="s">
        <v>2256</v>
      </c>
      <c r="D2130">
        <v>-293.35000000000002</v>
      </c>
      <c r="E2130" t="s">
        <v>10</v>
      </c>
      <c r="F2130">
        <v>1431.38</v>
      </c>
      <c r="G2130" t="str" cm="1">
        <f t="array" ref="G2130">IF(AND(ISNUMBER(SEARCH("UBER",C2130)),ISNUMBER(SEARCH("EATS",C2130))),"Uber Eats",IF(LEFT(C2130,6)="CHECK ","Checks Paid",IF(OR(E2130="BILLPAY",ISNUMBER(SEARCH("FRANCHISE TAX",C2130)),ISNUMBER(SEARCH("NEXTLINK",C2130))),"Personal - House Bills",IF(AND(ISNUMBER(SEARCH("PAYMENT FROM",C2130)),ISNUMBER(SEARCH("JOE SAUNDERS",C2130))),"Zelle from Joe Saunders",IF(AND(ISNUMBER(SEARCH("PAYMENT TO",C2130)),ISNUMBER(SEARCH("JOE SAUNDERS",C2130))),"Zelle to Joe Saunders",IF(OR(ISNUMBER(SEARCH("NEW ORLEANS",C2130)),ISNUMBER(SEARCH("KENNER",C2130)),ISNUMBER(SEARCH("HENRY HOWARD",C2130)),ISNUMBER(SEARCH("MISS CLAUDIA",C2130))),"Personal Travel - New Orleans",IF(AND(YEAR(B2130)=2025,MONTH(B2130)=4,OR(ISNUMBER(SEARCH("EXCHANGE RATE",C2130)),ISNUMBER(SEARCH("EXCHG RTE",C2130)))),"Personal Travel - Italy",IFERROR(INDEX('Category Rules'!$B$2:$B$358,MATCH(TRUE,ISNUMBER(SEARCH('Category Rules'!$A$2:$A$358,C2130)),0)),""))))))))</f>
        <v>Personal - Shopping</v>
      </c>
    </row>
    <row r="2131" spans="1:7" x14ac:dyDescent="0.25">
      <c r="A2131" t="s">
        <v>6</v>
      </c>
      <c r="B2131" s="1">
        <v>45692</v>
      </c>
      <c r="C2131" t="s">
        <v>2257</v>
      </c>
      <c r="D2131">
        <v>-187.21</v>
      </c>
      <c r="E2131" t="s">
        <v>10</v>
      </c>
      <c r="F2131">
        <v>1724.73</v>
      </c>
      <c r="G2131" t="str" cm="1">
        <f t="array" ref="G2131">IF(AND(ISNUMBER(SEARCH("UBER",C2131)),ISNUMBER(SEARCH("EATS",C2131))),"Uber Eats",IF(LEFT(C2131,6)="CHECK ","Checks Paid",IF(OR(E2131="BILLPAY",ISNUMBER(SEARCH("FRANCHISE TAX",C2131)),ISNUMBER(SEARCH("NEXTLINK",C2131))),"Personal - House Bills",IF(AND(ISNUMBER(SEARCH("PAYMENT FROM",C2131)),ISNUMBER(SEARCH("JOE SAUNDERS",C2131))),"Zelle from Joe Saunders",IF(AND(ISNUMBER(SEARCH("PAYMENT TO",C2131)),ISNUMBER(SEARCH("JOE SAUNDERS",C2131))),"Zelle to Joe Saunders",IF(OR(ISNUMBER(SEARCH("NEW ORLEANS",C2131)),ISNUMBER(SEARCH("KENNER",C2131)),ISNUMBER(SEARCH("HENRY HOWARD",C2131)),ISNUMBER(SEARCH("MISS CLAUDIA",C2131))),"Personal Travel - New Orleans",IF(AND(YEAR(B2131)=2025,MONTH(B2131)=4,OR(ISNUMBER(SEARCH("EXCHANGE RATE",C2131)),ISNUMBER(SEARCH("EXCHG RTE",C2131)))),"Personal Travel - Italy",IFERROR(INDEX('Category Rules'!$B$2:$B$358,MATCH(TRUE,ISNUMBER(SEARCH('Category Rules'!$A$2:$A$358,C2131)),0)),""))))))))</f>
        <v>Personal - Shopping</v>
      </c>
    </row>
    <row r="2132" spans="1:7" x14ac:dyDescent="0.25">
      <c r="A2132" t="s">
        <v>6</v>
      </c>
      <c r="B2132" s="1">
        <v>45691</v>
      </c>
      <c r="C2132" t="s">
        <v>2258</v>
      </c>
      <c r="D2132">
        <v>-176.95</v>
      </c>
      <c r="E2132" t="s">
        <v>10</v>
      </c>
      <c r="F2132">
        <v>1911.94</v>
      </c>
      <c r="G2132" t="str" cm="1">
        <f t="array" ref="G2132">IF(AND(ISNUMBER(SEARCH("UBER",C2132)),ISNUMBER(SEARCH("EATS",C2132))),"Uber Eats",IF(LEFT(C2132,6)="CHECK ","Checks Paid",IF(OR(E2132="BILLPAY",ISNUMBER(SEARCH("FRANCHISE TAX",C2132)),ISNUMBER(SEARCH("NEXTLINK",C2132))),"Personal - House Bills",IF(AND(ISNUMBER(SEARCH("PAYMENT FROM",C2132)),ISNUMBER(SEARCH("JOE SAUNDERS",C2132))),"Zelle from Joe Saunders",IF(AND(ISNUMBER(SEARCH("PAYMENT TO",C2132)),ISNUMBER(SEARCH("JOE SAUNDERS",C2132))),"Zelle to Joe Saunders",IF(OR(ISNUMBER(SEARCH("NEW ORLEANS",C2132)),ISNUMBER(SEARCH("KENNER",C2132)),ISNUMBER(SEARCH("HENRY HOWARD",C2132)),ISNUMBER(SEARCH("MISS CLAUDIA",C2132))),"Personal Travel - New Orleans",IF(AND(YEAR(B2132)=2025,MONTH(B2132)=4,OR(ISNUMBER(SEARCH("EXCHANGE RATE",C2132)),ISNUMBER(SEARCH("EXCHG RTE",C2132)))),"Personal Travel - Italy",IFERROR(INDEX('Category Rules'!$B$2:$B$358,MATCH(TRUE,ISNUMBER(SEARCH('Category Rules'!$A$2:$A$358,C2132)),0)),""))))))))</f>
        <v>Personal - Food</v>
      </c>
    </row>
    <row r="2133" spans="1:7" x14ac:dyDescent="0.25">
      <c r="A2133" t="s">
        <v>6</v>
      </c>
      <c r="B2133" s="1">
        <v>45691</v>
      </c>
      <c r="C2133" t="s">
        <v>2259</v>
      </c>
      <c r="D2133">
        <v>-103.91</v>
      </c>
      <c r="E2133" t="s">
        <v>10</v>
      </c>
      <c r="F2133">
        <v>2088.89</v>
      </c>
      <c r="G2133" t="str" cm="1">
        <f t="array" ref="G2133">IF(AND(ISNUMBER(SEARCH("UBER",C2133)),ISNUMBER(SEARCH("EATS",C2133))),"Uber Eats",IF(LEFT(C2133,6)="CHECK ","Checks Paid",IF(OR(E2133="BILLPAY",ISNUMBER(SEARCH("FRANCHISE TAX",C2133)),ISNUMBER(SEARCH("NEXTLINK",C2133))),"Personal - House Bills",IF(AND(ISNUMBER(SEARCH("PAYMENT FROM",C2133)),ISNUMBER(SEARCH("JOE SAUNDERS",C2133))),"Zelle from Joe Saunders",IF(AND(ISNUMBER(SEARCH("PAYMENT TO",C2133)),ISNUMBER(SEARCH("JOE SAUNDERS",C2133))),"Zelle to Joe Saunders",IF(OR(ISNUMBER(SEARCH("NEW ORLEANS",C2133)),ISNUMBER(SEARCH("KENNER",C2133)),ISNUMBER(SEARCH("HENRY HOWARD",C2133)),ISNUMBER(SEARCH("MISS CLAUDIA",C2133))),"Personal Travel - New Orleans",IF(AND(YEAR(B2133)=2025,MONTH(B2133)=4,OR(ISNUMBER(SEARCH("EXCHANGE RATE",C2133)),ISNUMBER(SEARCH("EXCHG RTE",C2133)))),"Personal Travel - Italy",IFERROR(INDEX('Category Rules'!$B$2:$B$358,MATCH(TRUE,ISNUMBER(SEARCH('Category Rules'!$A$2:$A$358,C2133)),0)),""))))))))</f>
        <v>Personal - Shopping</v>
      </c>
    </row>
    <row r="2134" spans="1:7" x14ac:dyDescent="0.25">
      <c r="A2134" t="s">
        <v>6</v>
      </c>
      <c r="B2134" s="1">
        <v>45691</v>
      </c>
      <c r="C2134" t="s">
        <v>2260</v>
      </c>
      <c r="D2134">
        <v>-411.69</v>
      </c>
      <c r="E2134" t="s">
        <v>10</v>
      </c>
      <c r="F2134">
        <v>2192.8000000000002</v>
      </c>
      <c r="G2134" t="str" cm="1">
        <f t="array" ref="G2134">IF(AND(ISNUMBER(SEARCH("UBER",C2134)),ISNUMBER(SEARCH("EATS",C2134))),"Uber Eats",IF(LEFT(C2134,6)="CHECK ","Checks Paid",IF(OR(E2134="BILLPAY",ISNUMBER(SEARCH("FRANCHISE TAX",C2134)),ISNUMBER(SEARCH("NEXTLINK",C2134))),"Personal - House Bills",IF(AND(ISNUMBER(SEARCH("PAYMENT FROM",C2134)),ISNUMBER(SEARCH("JOE SAUNDERS",C2134))),"Zelle from Joe Saunders",IF(AND(ISNUMBER(SEARCH("PAYMENT TO",C2134)),ISNUMBER(SEARCH("JOE SAUNDERS",C2134))),"Zelle to Joe Saunders",IF(OR(ISNUMBER(SEARCH("NEW ORLEANS",C2134)),ISNUMBER(SEARCH("KENNER",C2134)),ISNUMBER(SEARCH("HENRY HOWARD",C2134)),ISNUMBER(SEARCH("MISS CLAUDIA",C2134))),"Personal Travel - New Orleans",IF(AND(YEAR(B2134)=2025,MONTH(B2134)=4,OR(ISNUMBER(SEARCH("EXCHANGE RATE",C2134)),ISNUMBER(SEARCH("EXCHG RTE",C2134)))),"Personal Travel - Italy",IFERROR(INDEX('Category Rules'!$B$2:$B$358,MATCH(TRUE,ISNUMBER(SEARCH('Category Rules'!$A$2:$A$358,C2134)),0)),""))))))))</f>
        <v>Personal - Shopping</v>
      </c>
    </row>
    <row r="2135" spans="1:7" x14ac:dyDescent="0.25">
      <c r="A2135" t="s">
        <v>6</v>
      </c>
      <c r="B2135" s="1">
        <v>45691</v>
      </c>
      <c r="C2135" t="s">
        <v>2261</v>
      </c>
      <c r="D2135">
        <v>-3.99</v>
      </c>
      <c r="E2135" t="s">
        <v>10</v>
      </c>
      <c r="F2135">
        <v>2604.4899999999998</v>
      </c>
      <c r="G2135" t="str" cm="1">
        <f t="array" ref="G2135">IF(AND(ISNUMBER(SEARCH("UBER",C2135)),ISNUMBER(SEARCH("EATS",C2135))),"Uber Eats",IF(LEFT(C2135,6)="CHECK ","Checks Paid",IF(OR(E2135="BILLPAY",ISNUMBER(SEARCH("FRANCHISE TAX",C2135)),ISNUMBER(SEARCH("NEXTLINK",C2135))),"Personal - House Bills",IF(AND(ISNUMBER(SEARCH("PAYMENT FROM",C2135)),ISNUMBER(SEARCH("JOE SAUNDERS",C2135))),"Zelle from Joe Saunders",IF(AND(ISNUMBER(SEARCH("PAYMENT TO",C2135)),ISNUMBER(SEARCH("JOE SAUNDERS",C2135))),"Zelle to Joe Saunders",IF(OR(ISNUMBER(SEARCH("NEW ORLEANS",C2135)),ISNUMBER(SEARCH("KENNER",C2135)),ISNUMBER(SEARCH("HENRY HOWARD",C2135)),ISNUMBER(SEARCH("MISS CLAUDIA",C2135))),"Personal Travel - New Orleans",IF(AND(YEAR(B2135)=2025,MONTH(B2135)=4,OR(ISNUMBER(SEARCH("EXCHANGE RATE",C2135)),ISNUMBER(SEARCH("EXCHG RTE",C2135)))),"Personal Travel - Italy",IFERROR(INDEX('Category Rules'!$B$2:$B$358,MATCH(TRUE,ISNUMBER(SEARCH('Category Rules'!$A$2:$A$358,C2135)),0)),""))))))))</f>
        <v>Apple</v>
      </c>
    </row>
    <row r="2136" spans="1:7" x14ac:dyDescent="0.25">
      <c r="A2136" t="s">
        <v>6</v>
      </c>
      <c r="B2136" s="1">
        <v>45691</v>
      </c>
      <c r="C2136" t="s">
        <v>2262</v>
      </c>
      <c r="D2136">
        <v>-338.03</v>
      </c>
      <c r="E2136" t="s">
        <v>10</v>
      </c>
      <c r="F2136">
        <v>2608.48</v>
      </c>
      <c r="G2136" t="str" cm="1">
        <f t="array" ref="G2136">IF(AND(ISNUMBER(SEARCH("UBER",C2136)),ISNUMBER(SEARCH("EATS",C2136))),"Uber Eats",IF(LEFT(C2136,6)="CHECK ","Checks Paid",IF(OR(E2136="BILLPAY",ISNUMBER(SEARCH("FRANCHISE TAX",C2136)),ISNUMBER(SEARCH("NEXTLINK",C2136))),"Personal - House Bills",IF(AND(ISNUMBER(SEARCH("PAYMENT FROM",C2136)),ISNUMBER(SEARCH("JOE SAUNDERS",C2136))),"Zelle from Joe Saunders",IF(AND(ISNUMBER(SEARCH("PAYMENT TO",C2136)),ISNUMBER(SEARCH("JOE SAUNDERS",C2136))),"Zelle to Joe Saunders",IF(OR(ISNUMBER(SEARCH("NEW ORLEANS",C2136)),ISNUMBER(SEARCH("KENNER",C2136)),ISNUMBER(SEARCH("HENRY HOWARD",C2136)),ISNUMBER(SEARCH("MISS CLAUDIA",C2136))),"Personal Travel - New Orleans",IF(AND(YEAR(B2136)=2025,MONTH(B2136)=4,OR(ISNUMBER(SEARCH("EXCHANGE RATE",C2136)),ISNUMBER(SEARCH("EXCHG RTE",C2136)))),"Personal Travel - Italy",IFERROR(INDEX('Category Rules'!$B$2:$B$358,MATCH(TRUE,ISNUMBER(SEARCH('Category Rules'!$A$2:$A$358,C2136)),0)),""))))))))</f>
        <v>Personal - Shopping</v>
      </c>
    </row>
    <row r="2137" spans="1:7" x14ac:dyDescent="0.25">
      <c r="A2137" t="s">
        <v>6</v>
      </c>
      <c r="B2137" s="1">
        <v>45691</v>
      </c>
      <c r="C2137" t="s">
        <v>2263</v>
      </c>
      <c r="D2137">
        <v>-50.8</v>
      </c>
      <c r="E2137" t="s">
        <v>10</v>
      </c>
      <c r="F2137">
        <v>2946.51</v>
      </c>
      <c r="G2137" t="str" cm="1">
        <f t="array" ref="G2137">IF(AND(ISNUMBER(SEARCH("UBER",C2137)),ISNUMBER(SEARCH("EATS",C2137))),"Uber Eats",IF(LEFT(C2137,6)="CHECK ","Checks Paid",IF(OR(E2137="BILLPAY",ISNUMBER(SEARCH("FRANCHISE TAX",C2137)),ISNUMBER(SEARCH("NEXTLINK",C2137))),"Personal - House Bills",IF(AND(ISNUMBER(SEARCH("PAYMENT FROM",C2137)),ISNUMBER(SEARCH("JOE SAUNDERS",C2137))),"Zelle from Joe Saunders",IF(AND(ISNUMBER(SEARCH("PAYMENT TO",C2137)),ISNUMBER(SEARCH("JOE SAUNDERS",C2137))),"Zelle to Joe Saunders",IF(OR(ISNUMBER(SEARCH("NEW ORLEANS",C2137)),ISNUMBER(SEARCH("KENNER",C2137)),ISNUMBER(SEARCH("HENRY HOWARD",C2137)),ISNUMBER(SEARCH("MISS CLAUDIA",C2137))),"Personal Travel - New Orleans",IF(AND(YEAR(B2137)=2025,MONTH(B2137)=4,OR(ISNUMBER(SEARCH("EXCHANGE RATE",C2137)),ISNUMBER(SEARCH("EXCHG RTE",C2137)))),"Personal Travel - Italy",IFERROR(INDEX('Category Rules'!$B$2:$B$358,MATCH(TRUE,ISNUMBER(SEARCH('Category Rules'!$A$2:$A$358,C2137)),0)),""))))))))</f>
        <v>Personal - Entertainment</v>
      </c>
    </row>
    <row r="2138" spans="1:7" x14ac:dyDescent="0.25">
      <c r="A2138" t="s">
        <v>6</v>
      </c>
      <c r="B2138" s="1">
        <v>45691</v>
      </c>
      <c r="C2138" t="s">
        <v>2264</v>
      </c>
      <c r="D2138">
        <v>-513.37</v>
      </c>
      <c r="E2138" t="s">
        <v>10</v>
      </c>
      <c r="F2138">
        <v>2997.31</v>
      </c>
      <c r="G2138" t="str" cm="1">
        <f t="array" ref="G2138">IF(AND(ISNUMBER(SEARCH("UBER",C2138)),ISNUMBER(SEARCH("EATS",C2138))),"Uber Eats",IF(LEFT(C2138,6)="CHECK ","Checks Paid",IF(OR(E2138="BILLPAY",ISNUMBER(SEARCH("FRANCHISE TAX",C2138)),ISNUMBER(SEARCH("NEXTLINK",C2138))),"Personal - House Bills",IF(AND(ISNUMBER(SEARCH("PAYMENT FROM",C2138)),ISNUMBER(SEARCH("JOE SAUNDERS",C2138))),"Zelle from Joe Saunders",IF(AND(ISNUMBER(SEARCH("PAYMENT TO",C2138)),ISNUMBER(SEARCH("JOE SAUNDERS",C2138))),"Zelle to Joe Saunders",IF(OR(ISNUMBER(SEARCH("NEW ORLEANS",C2138)),ISNUMBER(SEARCH("KENNER",C2138)),ISNUMBER(SEARCH("HENRY HOWARD",C2138)),ISNUMBER(SEARCH("MISS CLAUDIA",C2138))),"Personal Travel - New Orleans",IF(AND(YEAR(B2138)=2025,MONTH(B2138)=4,OR(ISNUMBER(SEARCH("EXCHANGE RATE",C2138)),ISNUMBER(SEARCH("EXCHG RTE",C2138)))),"Personal Travel - Italy",IFERROR(INDEX('Category Rules'!$B$2:$B$358,MATCH(TRUE,ISNUMBER(SEARCH('Category Rules'!$A$2:$A$358,C2138)),0)),""))))))))</f>
        <v>Personal - Food</v>
      </c>
    </row>
    <row r="2139" spans="1:7" x14ac:dyDescent="0.25">
      <c r="A2139" t="s">
        <v>6</v>
      </c>
      <c r="B2139" s="1">
        <v>45691</v>
      </c>
      <c r="C2139" t="s">
        <v>2265</v>
      </c>
      <c r="D2139">
        <v>-400.65</v>
      </c>
      <c r="E2139" t="s">
        <v>10</v>
      </c>
      <c r="F2139">
        <v>3510.68</v>
      </c>
      <c r="G2139" t="str" cm="1">
        <f t="array" ref="G2139">IF(AND(ISNUMBER(SEARCH("UBER",C2139)),ISNUMBER(SEARCH("EATS",C2139))),"Uber Eats",IF(LEFT(C2139,6)="CHECK ","Checks Paid",IF(OR(E2139="BILLPAY",ISNUMBER(SEARCH("FRANCHISE TAX",C2139)),ISNUMBER(SEARCH("NEXTLINK",C2139))),"Personal - House Bills",IF(AND(ISNUMBER(SEARCH("PAYMENT FROM",C2139)),ISNUMBER(SEARCH("JOE SAUNDERS",C2139))),"Zelle from Joe Saunders",IF(AND(ISNUMBER(SEARCH("PAYMENT TO",C2139)),ISNUMBER(SEARCH("JOE SAUNDERS",C2139))),"Zelle to Joe Saunders",IF(OR(ISNUMBER(SEARCH("NEW ORLEANS",C2139)),ISNUMBER(SEARCH("KENNER",C2139)),ISNUMBER(SEARCH("HENRY HOWARD",C2139)),ISNUMBER(SEARCH("MISS CLAUDIA",C2139))),"Personal Travel - New Orleans",IF(AND(YEAR(B2139)=2025,MONTH(B2139)=4,OR(ISNUMBER(SEARCH("EXCHANGE RATE",C2139)),ISNUMBER(SEARCH("EXCHG RTE",C2139)))),"Personal Travel - Italy",IFERROR(INDEX('Category Rules'!$B$2:$B$358,MATCH(TRUE,ISNUMBER(SEARCH('Category Rules'!$A$2:$A$358,C2139)),0)),""))))))))</f>
        <v>Personal - Food</v>
      </c>
    </row>
    <row r="2140" spans="1:7" x14ac:dyDescent="0.25">
      <c r="A2140" t="s">
        <v>6</v>
      </c>
      <c r="B2140" s="1">
        <v>45691</v>
      </c>
      <c r="C2140" t="s">
        <v>2266</v>
      </c>
      <c r="D2140">
        <v>-28.89</v>
      </c>
      <c r="E2140" t="s">
        <v>10</v>
      </c>
      <c r="F2140">
        <v>3911.33</v>
      </c>
      <c r="G2140" t="str" cm="1">
        <f t="array" ref="G2140">IF(AND(ISNUMBER(SEARCH("UBER",C2140)),ISNUMBER(SEARCH("EATS",C2140))),"Uber Eats",IF(LEFT(C2140,6)="CHECK ","Checks Paid",IF(OR(E2140="BILLPAY",ISNUMBER(SEARCH("FRANCHISE TAX",C2140)),ISNUMBER(SEARCH("NEXTLINK",C2140))),"Personal - House Bills",IF(AND(ISNUMBER(SEARCH("PAYMENT FROM",C2140)),ISNUMBER(SEARCH("JOE SAUNDERS",C2140))),"Zelle from Joe Saunders",IF(AND(ISNUMBER(SEARCH("PAYMENT TO",C2140)),ISNUMBER(SEARCH("JOE SAUNDERS",C2140))),"Zelle to Joe Saunders",IF(OR(ISNUMBER(SEARCH("NEW ORLEANS",C2140)),ISNUMBER(SEARCH("KENNER",C2140)),ISNUMBER(SEARCH("HENRY HOWARD",C2140)),ISNUMBER(SEARCH("MISS CLAUDIA",C2140))),"Personal Travel - New Orleans",IF(AND(YEAR(B2140)=2025,MONTH(B2140)=4,OR(ISNUMBER(SEARCH("EXCHANGE RATE",C2140)),ISNUMBER(SEARCH("EXCHG RTE",C2140)))),"Personal Travel - Italy",IFERROR(INDEX('Category Rules'!$B$2:$B$358,MATCH(TRUE,ISNUMBER(SEARCH('Category Rules'!$A$2:$A$358,C2140)),0)),""))))))))</f>
        <v>Personal - Entertainment</v>
      </c>
    </row>
    <row r="2141" spans="1:7" x14ac:dyDescent="0.25">
      <c r="A2141" t="s">
        <v>6</v>
      </c>
      <c r="B2141" s="1">
        <v>45691</v>
      </c>
      <c r="C2141" t="s">
        <v>2267</v>
      </c>
      <c r="D2141">
        <v>-220</v>
      </c>
      <c r="E2141" t="s">
        <v>10</v>
      </c>
      <c r="F2141">
        <v>3940.22</v>
      </c>
      <c r="G2141" t="str" cm="1">
        <f t="array" ref="G2141">IF(AND(ISNUMBER(SEARCH("UBER",C2141)),ISNUMBER(SEARCH("EATS",C2141))),"Uber Eats",IF(LEFT(C2141,6)="CHECK ","Checks Paid",IF(OR(E2141="BILLPAY",ISNUMBER(SEARCH("FRANCHISE TAX",C2141)),ISNUMBER(SEARCH("NEXTLINK",C2141))),"Personal - House Bills",IF(AND(ISNUMBER(SEARCH("PAYMENT FROM",C2141)),ISNUMBER(SEARCH("JOE SAUNDERS",C2141))),"Zelle from Joe Saunders",IF(AND(ISNUMBER(SEARCH("PAYMENT TO",C2141)),ISNUMBER(SEARCH("JOE SAUNDERS",C2141))),"Zelle to Joe Saunders",IF(OR(ISNUMBER(SEARCH("NEW ORLEANS",C2141)),ISNUMBER(SEARCH("KENNER",C2141)),ISNUMBER(SEARCH("HENRY HOWARD",C2141)),ISNUMBER(SEARCH("MISS CLAUDIA",C2141))),"Personal Travel - New Orleans",IF(AND(YEAR(B2141)=2025,MONTH(B2141)=4,OR(ISNUMBER(SEARCH("EXCHANGE RATE",C2141)),ISNUMBER(SEARCH("EXCHG RTE",C2141)))),"Personal Travel - Italy",IFERROR(INDEX('Category Rules'!$B$2:$B$358,MATCH(TRUE,ISNUMBER(SEARCH('Category Rules'!$A$2:$A$358,C2141)),0)),""))))))))</f>
        <v>Personal - Work</v>
      </c>
    </row>
    <row r="2142" spans="1:7" x14ac:dyDescent="0.25">
      <c r="A2142" t="s">
        <v>6</v>
      </c>
      <c r="B2142" s="1">
        <v>45691</v>
      </c>
      <c r="C2142" t="s">
        <v>2268</v>
      </c>
      <c r="D2142">
        <v>-170.89</v>
      </c>
      <c r="E2142" t="s">
        <v>10</v>
      </c>
      <c r="F2142">
        <v>4160.22</v>
      </c>
      <c r="G2142" t="str" cm="1">
        <f t="array" ref="G2142">IF(AND(ISNUMBER(SEARCH("UBER",C2142)),ISNUMBER(SEARCH("EATS",C2142))),"Uber Eats",IF(LEFT(C2142,6)="CHECK ","Checks Paid",IF(OR(E2142="BILLPAY",ISNUMBER(SEARCH("FRANCHISE TAX",C2142)),ISNUMBER(SEARCH("NEXTLINK",C2142))),"Personal - House Bills",IF(AND(ISNUMBER(SEARCH("PAYMENT FROM",C2142)),ISNUMBER(SEARCH("JOE SAUNDERS",C2142))),"Zelle from Joe Saunders",IF(AND(ISNUMBER(SEARCH("PAYMENT TO",C2142)),ISNUMBER(SEARCH("JOE SAUNDERS",C2142))),"Zelle to Joe Saunders",IF(OR(ISNUMBER(SEARCH("NEW ORLEANS",C2142)),ISNUMBER(SEARCH("KENNER",C2142)),ISNUMBER(SEARCH("HENRY HOWARD",C2142)),ISNUMBER(SEARCH("MISS CLAUDIA",C2142))),"Personal Travel - New Orleans",IF(AND(YEAR(B2142)=2025,MONTH(B2142)=4,OR(ISNUMBER(SEARCH("EXCHANGE RATE",C2142)),ISNUMBER(SEARCH("EXCHG RTE",C2142)))),"Personal Travel - Italy",IFERROR(INDEX('Category Rules'!$B$2:$B$358,MATCH(TRUE,ISNUMBER(SEARCH('Category Rules'!$A$2:$A$358,C2142)),0)),""))))))))</f>
        <v>Personal - Food</v>
      </c>
    </row>
    <row r="2143" spans="1:7" x14ac:dyDescent="0.25">
      <c r="A2143" t="s">
        <v>6</v>
      </c>
      <c r="B2143" s="1">
        <v>45691</v>
      </c>
      <c r="C2143" t="s">
        <v>2269</v>
      </c>
      <c r="D2143">
        <v>-37.590000000000003</v>
      </c>
      <c r="E2143" t="s">
        <v>10</v>
      </c>
      <c r="F2143">
        <v>4331.1099999999997</v>
      </c>
      <c r="G2143" t="str" cm="1">
        <f t="array" ref="G2143">IF(AND(ISNUMBER(SEARCH("UBER",C2143)),ISNUMBER(SEARCH("EATS",C2143))),"Uber Eats",IF(LEFT(C2143,6)="CHECK ","Checks Paid",IF(OR(E2143="BILLPAY",ISNUMBER(SEARCH("FRANCHISE TAX",C2143)),ISNUMBER(SEARCH("NEXTLINK",C2143))),"Personal - House Bills",IF(AND(ISNUMBER(SEARCH("PAYMENT FROM",C2143)),ISNUMBER(SEARCH("JOE SAUNDERS",C2143))),"Zelle from Joe Saunders",IF(AND(ISNUMBER(SEARCH("PAYMENT TO",C2143)),ISNUMBER(SEARCH("JOE SAUNDERS",C2143))),"Zelle to Joe Saunders",IF(OR(ISNUMBER(SEARCH("NEW ORLEANS",C2143)),ISNUMBER(SEARCH("KENNER",C2143)),ISNUMBER(SEARCH("HENRY HOWARD",C2143)),ISNUMBER(SEARCH("MISS CLAUDIA",C2143))),"Personal Travel - New Orleans",IF(AND(YEAR(B2143)=2025,MONTH(B2143)=4,OR(ISNUMBER(SEARCH("EXCHANGE RATE",C2143)),ISNUMBER(SEARCH("EXCHG RTE",C2143)))),"Personal Travel - Italy",IFERROR(INDEX('Category Rules'!$B$2:$B$358,MATCH(TRUE,ISNUMBER(SEARCH('Category Rules'!$A$2:$A$358,C2143)),0)),""))))))))</f>
        <v>Personal Travel</v>
      </c>
    </row>
    <row r="2144" spans="1:7" x14ac:dyDescent="0.25">
      <c r="A2144" t="s">
        <v>44</v>
      </c>
      <c r="B2144" s="1">
        <v>45691</v>
      </c>
      <c r="C2144" t="s">
        <v>2270</v>
      </c>
      <c r="D2144">
        <v>1000</v>
      </c>
      <c r="E2144" t="s">
        <v>73</v>
      </c>
      <c r="F2144">
        <v>4368.7</v>
      </c>
      <c r="G2144" t="str" cm="1">
        <f t="array" ref="G2144">IF(AND(ISNUMBER(SEARCH("UBER",C2144)),ISNUMBER(SEARCH("EATS",C2144))),"Uber Eats",IF(LEFT(C2144,6)="CHECK ","Checks Paid",IF(OR(E2144="BILLPAY",ISNUMBER(SEARCH("FRANCHISE TAX",C2144)),ISNUMBER(SEARCH("NEXTLINK",C2144))),"Personal - House Bills",IF(AND(ISNUMBER(SEARCH("PAYMENT FROM",C2144)),ISNUMBER(SEARCH("JOE SAUNDERS",C2144))),"Zelle from Joe Saunders",IF(AND(ISNUMBER(SEARCH("PAYMENT TO",C2144)),ISNUMBER(SEARCH("JOE SAUNDERS",C2144))),"Zelle to Joe Saunders",IF(OR(ISNUMBER(SEARCH("NEW ORLEANS",C2144)),ISNUMBER(SEARCH("KENNER",C2144)),ISNUMBER(SEARCH("HENRY HOWARD",C2144)),ISNUMBER(SEARCH("MISS CLAUDIA",C2144))),"Personal Travel - New Orleans",IF(AND(YEAR(B2144)=2025,MONTH(B2144)=4,OR(ISNUMBER(SEARCH("EXCHANGE RATE",C2144)),ISNUMBER(SEARCH("EXCHG RTE",C2144)))),"Personal Travel - Italy",IFERROR(INDEX('Category Rules'!$B$2:$B$358,MATCH(TRUE,ISNUMBER(SEARCH('Category Rules'!$A$2:$A$358,C2144)),0)),""))))))))</f>
        <v>Transfer from DWG Capital Group</v>
      </c>
    </row>
    <row r="2145" spans="1:7" x14ac:dyDescent="0.25">
      <c r="A2145" t="s">
        <v>44</v>
      </c>
      <c r="B2145" s="1">
        <v>45691</v>
      </c>
      <c r="C2145" t="s">
        <v>2271</v>
      </c>
      <c r="D2145">
        <v>2000</v>
      </c>
      <c r="E2145" t="s">
        <v>73</v>
      </c>
      <c r="F2145">
        <v>3368.7</v>
      </c>
      <c r="G2145" t="str" cm="1">
        <f t="array" ref="G2145">IF(AND(ISNUMBER(SEARCH("UBER",C2145)),ISNUMBER(SEARCH("EATS",C2145))),"Uber Eats",IF(LEFT(C2145,6)="CHECK ","Checks Paid",IF(OR(E2145="BILLPAY",ISNUMBER(SEARCH("FRANCHISE TAX",C2145)),ISNUMBER(SEARCH("NEXTLINK",C2145))),"Personal - House Bills",IF(AND(ISNUMBER(SEARCH("PAYMENT FROM",C2145)),ISNUMBER(SEARCH("JOE SAUNDERS",C2145))),"Zelle from Joe Saunders",IF(AND(ISNUMBER(SEARCH("PAYMENT TO",C2145)),ISNUMBER(SEARCH("JOE SAUNDERS",C2145))),"Zelle to Joe Saunders",IF(OR(ISNUMBER(SEARCH("NEW ORLEANS",C2145)),ISNUMBER(SEARCH("KENNER",C2145)),ISNUMBER(SEARCH("HENRY HOWARD",C2145)),ISNUMBER(SEARCH("MISS CLAUDIA",C2145))),"Personal Travel - New Orleans",IF(AND(YEAR(B2145)=2025,MONTH(B2145)=4,OR(ISNUMBER(SEARCH("EXCHANGE RATE",C2145)),ISNUMBER(SEARCH("EXCHG RTE",C2145)))),"Personal Travel - Italy",IFERROR(INDEX('Category Rules'!$B$2:$B$358,MATCH(TRUE,ISNUMBER(SEARCH('Category Rules'!$A$2:$A$358,C2145)),0)),""))))))))</f>
        <v>Transfer from DWG Capital Group</v>
      </c>
    </row>
    <row r="2146" spans="1:7" x14ac:dyDescent="0.25">
      <c r="A2146" t="s">
        <v>6</v>
      </c>
      <c r="B2146" s="1">
        <v>45688</v>
      </c>
      <c r="C2146" t="s">
        <v>2272</v>
      </c>
      <c r="D2146">
        <v>-944.63</v>
      </c>
      <c r="E2146" t="s">
        <v>10</v>
      </c>
      <c r="F2146">
        <v>1368.7</v>
      </c>
      <c r="G2146" t="str" cm="1">
        <f t="array" ref="G2146">IF(AND(ISNUMBER(SEARCH("UBER",C2146)),ISNUMBER(SEARCH("EATS",C2146))),"Uber Eats",IF(LEFT(C2146,6)="CHECK ","Checks Paid",IF(OR(E2146="BILLPAY",ISNUMBER(SEARCH("FRANCHISE TAX",C2146)),ISNUMBER(SEARCH("NEXTLINK",C2146))),"Personal - House Bills",IF(AND(ISNUMBER(SEARCH("PAYMENT FROM",C2146)),ISNUMBER(SEARCH("JOE SAUNDERS",C2146))),"Zelle from Joe Saunders",IF(AND(ISNUMBER(SEARCH("PAYMENT TO",C2146)),ISNUMBER(SEARCH("JOE SAUNDERS",C2146))),"Zelle to Joe Saunders",IF(OR(ISNUMBER(SEARCH("NEW ORLEANS",C2146)),ISNUMBER(SEARCH("KENNER",C2146)),ISNUMBER(SEARCH("HENRY HOWARD",C2146)),ISNUMBER(SEARCH("MISS CLAUDIA",C2146))),"Personal Travel - New Orleans",IF(AND(YEAR(B2146)=2025,MONTH(B2146)=4,OR(ISNUMBER(SEARCH("EXCHANGE RATE",C2146)),ISNUMBER(SEARCH("EXCHG RTE",C2146)))),"Personal Travel - Italy",IFERROR(INDEX('Category Rules'!$B$2:$B$358,MATCH(TRUE,ISNUMBER(SEARCH('Category Rules'!$A$2:$A$358,C2146)),0)),""))))))))</f>
        <v>Personal - Health Insurance</v>
      </c>
    </row>
    <row r="2147" spans="1:7" x14ac:dyDescent="0.25">
      <c r="A2147" t="s">
        <v>6</v>
      </c>
      <c r="B2147" s="1">
        <v>45688</v>
      </c>
      <c r="C2147" t="s">
        <v>2273</v>
      </c>
      <c r="D2147">
        <v>-191.49</v>
      </c>
      <c r="E2147" t="s">
        <v>10</v>
      </c>
      <c r="F2147">
        <v>2313.33</v>
      </c>
      <c r="G2147" t="str" cm="1">
        <f t="array" ref="G2147">IF(AND(ISNUMBER(SEARCH("UBER",C2147)),ISNUMBER(SEARCH("EATS",C2147))),"Uber Eats",IF(LEFT(C2147,6)="CHECK ","Checks Paid",IF(OR(E2147="BILLPAY",ISNUMBER(SEARCH("FRANCHISE TAX",C2147)),ISNUMBER(SEARCH("NEXTLINK",C2147))),"Personal - House Bills",IF(AND(ISNUMBER(SEARCH("PAYMENT FROM",C2147)),ISNUMBER(SEARCH("JOE SAUNDERS",C2147))),"Zelle from Joe Saunders",IF(AND(ISNUMBER(SEARCH("PAYMENT TO",C2147)),ISNUMBER(SEARCH("JOE SAUNDERS",C2147))),"Zelle to Joe Saunders",IF(OR(ISNUMBER(SEARCH("NEW ORLEANS",C2147)),ISNUMBER(SEARCH("KENNER",C2147)),ISNUMBER(SEARCH("HENRY HOWARD",C2147)),ISNUMBER(SEARCH("MISS CLAUDIA",C2147))),"Personal Travel - New Orleans",IF(AND(YEAR(B2147)=2025,MONTH(B2147)=4,OR(ISNUMBER(SEARCH("EXCHANGE RATE",C2147)),ISNUMBER(SEARCH("EXCHG RTE",C2147)))),"Personal Travel - Italy",IFERROR(INDEX('Category Rules'!$B$2:$B$358,MATCH(TRUE,ISNUMBER(SEARCH('Category Rules'!$A$2:$A$358,C2147)),0)),""))))))))</f>
        <v>Personal - Food</v>
      </c>
    </row>
    <row r="2148" spans="1:7" x14ac:dyDescent="0.25">
      <c r="A2148" t="s">
        <v>6</v>
      </c>
      <c r="B2148" s="1">
        <v>45687</v>
      </c>
      <c r="C2148" t="s">
        <v>2274</v>
      </c>
      <c r="D2148">
        <v>-40</v>
      </c>
      <c r="E2148" t="s">
        <v>10</v>
      </c>
      <c r="F2148">
        <v>2504.8200000000002</v>
      </c>
      <c r="G2148" t="str" cm="1">
        <f t="array" ref="G2148">IF(AND(ISNUMBER(SEARCH("UBER",C2148)),ISNUMBER(SEARCH("EATS",C2148))),"Uber Eats",IF(LEFT(C2148,6)="CHECK ","Checks Paid",IF(OR(E2148="BILLPAY",ISNUMBER(SEARCH("FRANCHISE TAX",C2148)),ISNUMBER(SEARCH("NEXTLINK",C2148))),"Personal - House Bills",IF(AND(ISNUMBER(SEARCH("PAYMENT FROM",C2148)),ISNUMBER(SEARCH("JOE SAUNDERS",C2148))),"Zelle from Joe Saunders",IF(AND(ISNUMBER(SEARCH("PAYMENT TO",C2148)),ISNUMBER(SEARCH("JOE SAUNDERS",C2148))),"Zelle to Joe Saunders",IF(OR(ISNUMBER(SEARCH("NEW ORLEANS",C2148)),ISNUMBER(SEARCH("KENNER",C2148)),ISNUMBER(SEARCH("HENRY HOWARD",C2148)),ISNUMBER(SEARCH("MISS CLAUDIA",C2148))),"Personal Travel - New Orleans",IF(AND(YEAR(B2148)=2025,MONTH(B2148)=4,OR(ISNUMBER(SEARCH("EXCHANGE RATE",C2148)),ISNUMBER(SEARCH("EXCHG RTE",C2148)))),"Personal Travel - Italy",IFERROR(INDEX('Category Rules'!$B$2:$B$358,MATCH(TRUE,ISNUMBER(SEARCH('Category Rules'!$A$2:$A$358,C2148)),0)),""))))))))</f>
        <v>Personal - Car</v>
      </c>
    </row>
    <row r="2149" spans="1:7" x14ac:dyDescent="0.25">
      <c r="A2149" t="s">
        <v>6</v>
      </c>
      <c r="B2149" s="1">
        <v>45687</v>
      </c>
      <c r="C2149" t="s">
        <v>2275</v>
      </c>
      <c r="D2149">
        <v>-255</v>
      </c>
      <c r="E2149" t="s">
        <v>10</v>
      </c>
      <c r="F2149">
        <v>2544.8200000000002</v>
      </c>
      <c r="G2149" t="str" cm="1">
        <f t="array" ref="G2149">IF(AND(ISNUMBER(SEARCH("UBER",C2149)),ISNUMBER(SEARCH("EATS",C2149))),"Uber Eats",IF(LEFT(C2149,6)="CHECK ","Checks Paid",IF(OR(E2149="BILLPAY",ISNUMBER(SEARCH("FRANCHISE TAX",C2149)),ISNUMBER(SEARCH("NEXTLINK",C2149))),"Personal - House Bills",IF(AND(ISNUMBER(SEARCH("PAYMENT FROM",C2149)),ISNUMBER(SEARCH("JOE SAUNDERS",C2149))),"Zelle from Joe Saunders",IF(AND(ISNUMBER(SEARCH("PAYMENT TO",C2149)),ISNUMBER(SEARCH("JOE SAUNDERS",C2149))),"Zelle to Joe Saunders",IF(OR(ISNUMBER(SEARCH("NEW ORLEANS",C2149)),ISNUMBER(SEARCH("KENNER",C2149)),ISNUMBER(SEARCH("HENRY HOWARD",C2149)),ISNUMBER(SEARCH("MISS CLAUDIA",C2149))),"Personal Travel - New Orleans",IF(AND(YEAR(B2149)=2025,MONTH(B2149)=4,OR(ISNUMBER(SEARCH("EXCHANGE RATE",C2149)),ISNUMBER(SEARCH("EXCHG RTE",C2149)))),"Personal Travel - Italy",IFERROR(INDEX('Category Rules'!$B$2:$B$358,MATCH(TRUE,ISNUMBER(SEARCH('Category Rules'!$A$2:$A$358,C2149)),0)),""))))))))</f>
        <v>Personal - Entertainment</v>
      </c>
    </row>
    <row r="2150" spans="1:7" x14ac:dyDescent="0.25">
      <c r="A2150" t="s">
        <v>6</v>
      </c>
      <c r="B2150" s="1">
        <v>45687</v>
      </c>
      <c r="C2150" t="s">
        <v>2276</v>
      </c>
      <c r="D2150">
        <v>-325.2</v>
      </c>
      <c r="E2150" t="s">
        <v>10</v>
      </c>
      <c r="F2150">
        <v>2799.82</v>
      </c>
      <c r="G2150" t="str" cm="1">
        <f t="array" ref="G2150">IF(AND(ISNUMBER(SEARCH("UBER",C2150)),ISNUMBER(SEARCH("EATS",C2150))),"Uber Eats",IF(LEFT(C2150,6)="CHECK ","Checks Paid",IF(OR(E2150="BILLPAY",ISNUMBER(SEARCH("FRANCHISE TAX",C2150)),ISNUMBER(SEARCH("NEXTLINK",C2150))),"Personal - House Bills",IF(AND(ISNUMBER(SEARCH("PAYMENT FROM",C2150)),ISNUMBER(SEARCH("JOE SAUNDERS",C2150))),"Zelle from Joe Saunders",IF(AND(ISNUMBER(SEARCH("PAYMENT TO",C2150)),ISNUMBER(SEARCH("JOE SAUNDERS",C2150))),"Zelle to Joe Saunders",IF(OR(ISNUMBER(SEARCH("NEW ORLEANS",C2150)),ISNUMBER(SEARCH("KENNER",C2150)),ISNUMBER(SEARCH("HENRY HOWARD",C2150)),ISNUMBER(SEARCH("MISS CLAUDIA",C2150))),"Personal Travel - New Orleans",IF(AND(YEAR(B2150)=2025,MONTH(B2150)=4,OR(ISNUMBER(SEARCH("EXCHANGE RATE",C2150)),ISNUMBER(SEARCH("EXCHG RTE",C2150)))),"Personal Travel - Italy",IFERROR(INDEX('Category Rules'!$B$2:$B$358,MATCH(TRUE,ISNUMBER(SEARCH('Category Rules'!$A$2:$A$358,C2150)),0)),""))))))))</f>
        <v>Personal - Shopping</v>
      </c>
    </row>
    <row r="2151" spans="1:7" x14ac:dyDescent="0.25">
      <c r="A2151" t="s">
        <v>6</v>
      </c>
      <c r="B2151" s="1">
        <v>45687</v>
      </c>
      <c r="C2151" t="s">
        <v>2277</v>
      </c>
      <c r="D2151">
        <v>-231.5</v>
      </c>
      <c r="E2151" t="s">
        <v>10</v>
      </c>
      <c r="F2151">
        <v>3125.02</v>
      </c>
      <c r="G2151" t="str" cm="1">
        <f t="array" ref="G2151">IF(AND(ISNUMBER(SEARCH("UBER",C2151)),ISNUMBER(SEARCH("EATS",C2151))),"Uber Eats",IF(LEFT(C2151,6)="CHECK ","Checks Paid",IF(OR(E2151="BILLPAY",ISNUMBER(SEARCH("FRANCHISE TAX",C2151)),ISNUMBER(SEARCH("NEXTLINK",C2151))),"Personal - House Bills",IF(AND(ISNUMBER(SEARCH("PAYMENT FROM",C2151)),ISNUMBER(SEARCH("JOE SAUNDERS",C2151))),"Zelle from Joe Saunders",IF(AND(ISNUMBER(SEARCH("PAYMENT TO",C2151)),ISNUMBER(SEARCH("JOE SAUNDERS",C2151))),"Zelle to Joe Saunders",IF(OR(ISNUMBER(SEARCH("NEW ORLEANS",C2151)),ISNUMBER(SEARCH("KENNER",C2151)),ISNUMBER(SEARCH("HENRY HOWARD",C2151)),ISNUMBER(SEARCH("MISS CLAUDIA",C2151))),"Personal Travel - New Orleans",IF(AND(YEAR(B2151)=2025,MONTH(B2151)=4,OR(ISNUMBER(SEARCH("EXCHANGE RATE",C2151)),ISNUMBER(SEARCH("EXCHG RTE",C2151)))),"Personal Travel - Italy",IFERROR(INDEX('Category Rules'!$B$2:$B$358,MATCH(TRUE,ISNUMBER(SEARCH('Category Rules'!$A$2:$A$358,C2151)),0)),""))))))))</f>
        <v>Palm Springs</v>
      </c>
    </row>
    <row r="2152" spans="1:7" x14ac:dyDescent="0.25">
      <c r="A2152" t="s">
        <v>44</v>
      </c>
      <c r="B2152" s="1">
        <v>45687</v>
      </c>
      <c r="C2152" t="s">
        <v>2278</v>
      </c>
      <c r="D2152">
        <v>2000</v>
      </c>
      <c r="E2152" t="s">
        <v>73</v>
      </c>
      <c r="F2152">
        <v>3356.52</v>
      </c>
      <c r="G2152" t="str" cm="1">
        <f t="array" ref="G2152">IF(AND(ISNUMBER(SEARCH("UBER",C2152)),ISNUMBER(SEARCH("EATS",C2152))),"Uber Eats",IF(LEFT(C2152,6)="CHECK ","Checks Paid",IF(OR(E2152="BILLPAY",ISNUMBER(SEARCH("FRANCHISE TAX",C2152)),ISNUMBER(SEARCH("NEXTLINK",C2152))),"Personal - House Bills",IF(AND(ISNUMBER(SEARCH("PAYMENT FROM",C2152)),ISNUMBER(SEARCH("JOE SAUNDERS",C2152))),"Zelle from Joe Saunders",IF(AND(ISNUMBER(SEARCH("PAYMENT TO",C2152)),ISNUMBER(SEARCH("JOE SAUNDERS",C2152))),"Zelle to Joe Saunders",IF(OR(ISNUMBER(SEARCH("NEW ORLEANS",C2152)),ISNUMBER(SEARCH("KENNER",C2152)),ISNUMBER(SEARCH("HENRY HOWARD",C2152)),ISNUMBER(SEARCH("MISS CLAUDIA",C2152))),"Personal Travel - New Orleans",IF(AND(YEAR(B2152)=2025,MONTH(B2152)=4,OR(ISNUMBER(SEARCH("EXCHANGE RATE",C2152)),ISNUMBER(SEARCH("EXCHG RTE",C2152)))),"Personal Travel - Italy",IFERROR(INDEX('Category Rules'!$B$2:$B$358,MATCH(TRUE,ISNUMBER(SEARCH('Category Rules'!$A$2:$A$358,C2152)),0)),""))))))))</f>
        <v>Transfer from DWG Capital Group</v>
      </c>
    </row>
    <row r="2153" spans="1:7" x14ac:dyDescent="0.25">
      <c r="A2153" t="s">
        <v>6</v>
      </c>
      <c r="B2153" s="1">
        <v>45686</v>
      </c>
      <c r="C2153" t="s">
        <v>2279</v>
      </c>
      <c r="D2153">
        <v>-7.5</v>
      </c>
      <c r="E2153" t="s">
        <v>10</v>
      </c>
      <c r="F2153">
        <v>1356.52</v>
      </c>
      <c r="G2153" t="str" cm="1">
        <f t="array" ref="G2153">IF(AND(ISNUMBER(SEARCH("UBER",C2153)),ISNUMBER(SEARCH("EATS",C2153))),"Uber Eats",IF(LEFT(C2153,6)="CHECK ","Checks Paid",IF(OR(E2153="BILLPAY",ISNUMBER(SEARCH("FRANCHISE TAX",C2153)),ISNUMBER(SEARCH("NEXTLINK",C2153))),"Personal - House Bills",IF(AND(ISNUMBER(SEARCH("PAYMENT FROM",C2153)),ISNUMBER(SEARCH("JOE SAUNDERS",C2153))),"Zelle from Joe Saunders",IF(AND(ISNUMBER(SEARCH("PAYMENT TO",C2153)),ISNUMBER(SEARCH("JOE SAUNDERS",C2153))),"Zelle to Joe Saunders",IF(OR(ISNUMBER(SEARCH("NEW ORLEANS",C2153)),ISNUMBER(SEARCH("KENNER",C2153)),ISNUMBER(SEARCH("HENRY HOWARD",C2153)),ISNUMBER(SEARCH("MISS CLAUDIA",C2153))),"Personal Travel - New Orleans",IF(AND(YEAR(B2153)=2025,MONTH(B2153)=4,OR(ISNUMBER(SEARCH("EXCHANGE RATE",C2153)),ISNUMBER(SEARCH("EXCHG RTE",C2153)))),"Personal Travel - Italy",IFERROR(INDEX('Category Rules'!$B$2:$B$358,MATCH(TRUE,ISNUMBER(SEARCH('Category Rules'!$A$2:$A$358,C2153)),0)),""))))))))</f>
        <v>Personal - Subscription</v>
      </c>
    </row>
    <row r="2154" spans="1:7" x14ac:dyDescent="0.25">
      <c r="A2154" t="s">
        <v>6</v>
      </c>
      <c r="B2154" s="1">
        <v>45686</v>
      </c>
      <c r="C2154" t="s">
        <v>2280</v>
      </c>
      <c r="D2154">
        <v>-5.48</v>
      </c>
      <c r="E2154" t="s">
        <v>10</v>
      </c>
      <c r="F2154">
        <v>1364.02</v>
      </c>
      <c r="G2154" t="str" cm="1">
        <f t="array" ref="G2154">IF(AND(ISNUMBER(SEARCH("UBER",C2154)),ISNUMBER(SEARCH("EATS",C2154))),"Uber Eats",IF(LEFT(C2154,6)="CHECK ","Checks Paid",IF(OR(E2154="BILLPAY",ISNUMBER(SEARCH("FRANCHISE TAX",C2154)),ISNUMBER(SEARCH("NEXTLINK",C2154))),"Personal - House Bills",IF(AND(ISNUMBER(SEARCH("PAYMENT FROM",C2154)),ISNUMBER(SEARCH("JOE SAUNDERS",C2154))),"Zelle from Joe Saunders",IF(AND(ISNUMBER(SEARCH("PAYMENT TO",C2154)),ISNUMBER(SEARCH("JOE SAUNDERS",C2154))),"Zelle to Joe Saunders",IF(OR(ISNUMBER(SEARCH("NEW ORLEANS",C2154)),ISNUMBER(SEARCH("KENNER",C2154)),ISNUMBER(SEARCH("HENRY HOWARD",C2154)),ISNUMBER(SEARCH("MISS CLAUDIA",C2154))),"Personal Travel - New Orleans",IF(AND(YEAR(B2154)=2025,MONTH(B2154)=4,OR(ISNUMBER(SEARCH("EXCHANGE RATE",C2154)),ISNUMBER(SEARCH("EXCHG RTE",C2154)))),"Personal Travel - Italy",IFERROR(INDEX('Category Rules'!$B$2:$B$358,MATCH(TRUE,ISNUMBER(SEARCH('Category Rules'!$A$2:$A$358,C2154)),0)),""))))))))</f>
        <v>Personal - Health</v>
      </c>
    </row>
    <row r="2155" spans="1:7" x14ac:dyDescent="0.25">
      <c r="A2155" t="s">
        <v>6</v>
      </c>
      <c r="B2155" s="1">
        <v>45684</v>
      </c>
      <c r="C2155" t="s">
        <v>2281</v>
      </c>
      <c r="D2155">
        <v>-120</v>
      </c>
      <c r="E2155" t="s">
        <v>33</v>
      </c>
      <c r="F2155">
        <v>1369.5</v>
      </c>
      <c r="G2155" t="str" cm="1">
        <f t="array" ref="G2155">IF(AND(ISNUMBER(SEARCH("UBER",C2155)),ISNUMBER(SEARCH("EATS",C2155))),"Uber Eats",IF(LEFT(C2155,6)="CHECK ","Checks Paid",IF(OR(E2155="BILLPAY",ISNUMBER(SEARCH("FRANCHISE TAX",C2155)),ISNUMBER(SEARCH("NEXTLINK",C2155))),"Personal - House Bills",IF(AND(ISNUMBER(SEARCH("PAYMENT FROM",C2155)),ISNUMBER(SEARCH("JOE SAUNDERS",C2155))),"Zelle from Joe Saunders",IF(AND(ISNUMBER(SEARCH("PAYMENT TO",C2155)),ISNUMBER(SEARCH("JOE SAUNDERS",C2155))),"Zelle to Joe Saunders",IF(OR(ISNUMBER(SEARCH("NEW ORLEANS",C2155)),ISNUMBER(SEARCH("KENNER",C2155)),ISNUMBER(SEARCH("HENRY HOWARD",C2155)),ISNUMBER(SEARCH("MISS CLAUDIA",C2155))),"Personal Travel - New Orleans",IF(AND(YEAR(B2155)=2025,MONTH(B2155)=4,OR(ISNUMBER(SEARCH("EXCHANGE RATE",C2155)),ISNUMBER(SEARCH("EXCHG RTE",C2155)))),"Personal Travel - Italy",IFERROR(INDEX('Category Rules'!$B$2:$B$358,MATCH(TRUE,ISNUMBER(SEARCH('Category Rules'!$A$2:$A$358,C2155)),0)),""))))))))</f>
        <v>Personal - House Bills</v>
      </c>
    </row>
    <row r="2156" spans="1:7" x14ac:dyDescent="0.25">
      <c r="A2156" t="s">
        <v>6</v>
      </c>
      <c r="B2156" s="1">
        <v>45684</v>
      </c>
      <c r="C2156" t="s">
        <v>2282</v>
      </c>
      <c r="D2156">
        <v>-320</v>
      </c>
      <c r="E2156" t="s">
        <v>33</v>
      </c>
      <c r="F2156">
        <v>1489.5</v>
      </c>
      <c r="G2156" t="str" cm="1">
        <f t="array" ref="G2156">IF(AND(ISNUMBER(SEARCH("UBER",C2156)),ISNUMBER(SEARCH("EATS",C2156))),"Uber Eats",IF(LEFT(C2156,6)="CHECK ","Checks Paid",IF(OR(E2156="BILLPAY",ISNUMBER(SEARCH("FRANCHISE TAX",C2156)),ISNUMBER(SEARCH("NEXTLINK",C2156))),"Personal - House Bills",IF(AND(ISNUMBER(SEARCH("PAYMENT FROM",C2156)),ISNUMBER(SEARCH("JOE SAUNDERS",C2156))),"Zelle from Joe Saunders",IF(AND(ISNUMBER(SEARCH("PAYMENT TO",C2156)),ISNUMBER(SEARCH("JOE SAUNDERS",C2156))),"Zelle to Joe Saunders",IF(OR(ISNUMBER(SEARCH("NEW ORLEANS",C2156)),ISNUMBER(SEARCH("KENNER",C2156)),ISNUMBER(SEARCH("HENRY HOWARD",C2156)),ISNUMBER(SEARCH("MISS CLAUDIA",C2156))),"Personal Travel - New Orleans",IF(AND(YEAR(B2156)=2025,MONTH(B2156)=4,OR(ISNUMBER(SEARCH("EXCHANGE RATE",C2156)),ISNUMBER(SEARCH("EXCHG RTE",C2156)))),"Personal Travel - Italy",IFERROR(INDEX('Category Rules'!$B$2:$B$358,MATCH(TRUE,ISNUMBER(SEARCH('Category Rules'!$A$2:$A$358,C2156)),0)),""))))))))</f>
        <v>Personal - House Bills</v>
      </c>
    </row>
    <row r="2157" spans="1:7" x14ac:dyDescent="0.25">
      <c r="A2157" t="s">
        <v>6</v>
      </c>
      <c r="B2157" s="1">
        <v>45684</v>
      </c>
      <c r="C2157" t="s">
        <v>2283</v>
      </c>
      <c r="D2157">
        <v>-700</v>
      </c>
      <c r="E2157" t="s">
        <v>33</v>
      </c>
      <c r="F2157">
        <v>1809.5</v>
      </c>
      <c r="G2157" t="str" cm="1">
        <f t="array" ref="G2157">IF(AND(ISNUMBER(SEARCH("UBER",C2157)),ISNUMBER(SEARCH("EATS",C2157))),"Uber Eats",IF(LEFT(C2157,6)="CHECK ","Checks Paid",IF(OR(E2157="BILLPAY",ISNUMBER(SEARCH("FRANCHISE TAX",C2157)),ISNUMBER(SEARCH("NEXTLINK",C2157))),"Personal - House Bills",IF(AND(ISNUMBER(SEARCH("PAYMENT FROM",C2157)),ISNUMBER(SEARCH("JOE SAUNDERS",C2157))),"Zelle from Joe Saunders",IF(AND(ISNUMBER(SEARCH("PAYMENT TO",C2157)),ISNUMBER(SEARCH("JOE SAUNDERS",C2157))),"Zelle to Joe Saunders",IF(OR(ISNUMBER(SEARCH("NEW ORLEANS",C2157)),ISNUMBER(SEARCH("KENNER",C2157)),ISNUMBER(SEARCH("HENRY HOWARD",C2157)),ISNUMBER(SEARCH("MISS CLAUDIA",C2157))),"Personal Travel - New Orleans",IF(AND(YEAR(B2157)=2025,MONTH(B2157)=4,OR(ISNUMBER(SEARCH("EXCHANGE RATE",C2157)),ISNUMBER(SEARCH("EXCHG RTE",C2157)))),"Personal Travel - Italy",IFERROR(INDEX('Category Rules'!$B$2:$B$358,MATCH(TRUE,ISNUMBER(SEARCH('Category Rules'!$A$2:$A$358,C2157)),0)),""))))))))</f>
        <v>Personal - House Bills</v>
      </c>
    </row>
    <row r="2158" spans="1:7" x14ac:dyDescent="0.25">
      <c r="A2158" t="s">
        <v>6</v>
      </c>
      <c r="B2158" s="1">
        <v>45684</v>
      </c>
      <c r="C2158" t="s">
        <v>2284</v>
      </c>
      <c r="D2158">
        <v>-300</v>
      </c>
      <c r="E2158" t="s">
        <v>33</v>
      </c>
      <c r="F2158">
        <v>2509.5</v>
      </c>
      <c r="G2158" t="str" cm="1">
        <f t="array" ref="G2158">IF(AND(ISNUMBER(SEARCH("UBER",C2158)),ISNUMBER(SEARCH("EATS",C2158))),"Uber Eats",IF(LEFT(C2158,6)="CHECK ","Checks Paid",IF(OR(E2158="BILLPAY",ISNUMBER(SEARCH("FRANCHISE TAX",C2158)),ISNUMBER(SEARCH("NEXTLINK",C2158))),"Personal - House Bills",IF(AND(ISNUMBER(SEARCH("PAYMENT FROM",C2158)),ISNUMBER(SEARCH("JOE SAUNDERS",C2158))),"Zelle from Joe Saunders",IF(AND(ISNUMBER(SEARCH("PAYMENT TO",C2158)),ISNUMBER(SEARCH("JOE SAUNDERS",C2158))),"Zelle to Joe Saunders",IF(OR(ISNUMBER(SEARCH("NEW ORLEANS",C2158)),ISNUMBER(SEARCH("KENNER",C2158)),ISNUMBER(SEARCH("HENRY HOWARD",C2158)),ISNUMBER(SEARCH("MISS CLAUDIA",C2158))),"Personal Travel - New Orleans",IF(AND(YEAR(B2158)=2025,MONTH(B2158)=4,OR(ISNUMBER(SEARCH("EXCHANGE RATE",C2158)),ISNUMBER(SEARCH("EXCHG RTE",C2158)))),"Personal Travel - Italy",IFERROR(INDEX('Category Rules'!$B$2:$B$358,MATCH(TRUE,ISNUMBER(SEARCH('Category Rules'!$A$2:$A$358,C2158)),0)),""))))))))</f>
        <v>Personal - House Bills</v>
      </c>
    </row>
    <row r="2159" spans="1:7" x14ac:dyDescent="0.25">
      <c r="A2159" t="s">
        <v>6</v>
      </c>
      <c r="B2159" s="1">
        <v>45684</v>
      </c>
      <c r="C2159" t="s">
        <v>2285</v>
      </c>
      <c r="D2159">
        <v>-138.43</v>
      </c>
      <c r="E2159" t="s">
        <v>10</v>
      </c>
      <c r="F2159">
        <v>2809.5</v>
      </c>
      <c r="G2159" t="str" cm="1">
        <f t="array" ref="G2159">IF(AND(ISNUMBER(SEARCH("UBER",C2159)),ISNUMBER(SEARCH("EATS",C2159))),"Uber Eats",IF(LEFT(C2159,6)="CHECK ","Checks Paid",IF(OR(E2159="BILLPAY",ISNUMBER(SEARCH("FRANCHISE TAX",C2159)),ISNUMBER(SEARCH("NEXTLINK",C2159))),"Personal - House Bills",IF(AND(ISNUMBER(SEARCH("PAYMENT FROM",C2159)),ISNUMBER(SEARCH("JOE SAUNDERS",C2159))),"Zelle from Joe Saunders",IF(AND(ISNUMBER(SEARCH("PAYMENT TO",C2159)),ISNUMBER(SEARCH("JOE SAUNDERS",C2159))),"Zelle to Joe Saunders",IF(OR(ISNUMBER(SEARCH("NEW ORLEANS",C2159)),ISNUMBER(SEARCH("KENNER",C2159)),ISNUMBER(SEARCH("HENRY HOWARD",C2159)),ISNUMBER(SEARCH("MISS CLAUDIA",C2159))),"Personal Travel - New Orleans",IF(AND(YEAR(B2159)=2025,MONTH(B2159)=4,OR(ISNUMBER(SEARCH("EXCHANGE RATE",C2159)),ISNUMBER(SEARCH("EXCHG RTE",C2159)))),"Personal Travel - Italy",IFERROR(INDEX('Category Rules'!$B$2:$B$358,MATCH(TRUE,ISNUMBER(SEARCH('Category Rules'!$A$2:$A$358,C2159)),0)),""))))))))</f>
        <v>Personal - Food</v>
      </c>
    </row>
    <row r="2160" spans="1:7" x14ac:dyDescent="0.25">
      <c r="A2160" t="s">
        <v>6</v>
      </c>
      <c r="B2160" s="1">
        <v>45684</v>
      </c>
      <c r="C2160" t="s">
        <v>2286</v>
      </c>
      <c r="D2160">
        <v>-304.61</v>
      </c>
      <c r="E2160" t="s">
        <v>10</v>
      </c>
      <c r="F2160">
        <v>2947.93</v>
      </c>
      <c r="G2160" t="str" cm="1">
        <f t="array" ref="G2160">IF(AND(ISNUMBER(SEARCH("UBER",C2160)),ISNUMBER(SEARCH("EATS",C2160))),"Uber Eats",IF(LEFT(C2160,6)="CHECK ","Checks Paid",IF(OR(E2160="BILLPAY",ISNUMBER(SEARCH("FRANCHISE TAX",C2160)),ISNUMBER(SEARCH("NEXTLINK",C2160))),"Personal - House Bills",IF(AND(ISNUMBER(SEARCH("PAYMENT FROM",C2160)),ISNUMBER(SEARCH("JOE SAUNDERS",C2160))),"Zelle from Joe Saunders",IF(AND(ISNUMBER(SEARCH("PAYMENT TO",C2160)),ISNUMBER(SEARCH("JOE SAUNDERS",C2160))),"Zelle to Joe Saunders",IF(OR(ISNUMBER(SEARCH("NEW ORLEANS",C2160)),ISNUMBER(SEARCH("KENNER",C2160)),ISNUMBER(SEARCH("HENRY HOWARD",C2160)),ISNUMBER(SEARCH("MISS CLAUDIA",C2160))),"Personal Travel - New Orleans",IF(AND(YEAR(B2160)=2025,MONTH(B2160)=4,OR(ISNUMBER(SEARCH("EXCHANGE RATE",C2160)),ISNUMBER(SEARCH("EXCHG RTE",C2160)))),"Personal Travel - Italy",IFERROR(INDEX('Category Rules'!$B$2:$B$358,MATCH(TRUE,ISNUMBER(SEARCH('Category Rules'!$A$2:$A$358,C2160)),0)),""))))))))</f>
        <v>Personal - Food</v>
      </c>
    </row>
    <row r="2161" spans="1:7" x14ac:dyDescent="0.25">
      <c r="A2161" t="s">
        <v>6</v>
      </c>
      <c r="B2161" s="1">
        <v>45684</v>
      </c>
      <c r="C2161" t="s">
        <v>2287</v>
      </c>
      <c r="D2161">
        <v>-100</v>
      </c>
      <c r="E2161" t="s">
        <v>10</v>
      </c>
      <c r="F2161">
        <v>3252.54</v>
      </c>
      <c r="G2161" t="str" cm="1">
        <f t="array" ref="G2161">IF(AND(ISNUMBER(SEARCH("UBER",C2161)),ISNUMBER(SEARCH("EATS",C2161))),"Uber Eats",IF(LEFT(C2161,6)="CHECK ","Checks Paid",IF(OR(E2161="BILLPAY",ISNUMBER(SEARCH("FRANCHISE TAX",C2161)),ISNUMBER(SEARCH("NEXTLINK",C2161))),"Personal - House Bills",IF(AND(ISNUMBER(SEARCH("PAYMENT FROM",C2161)),ISNUMBER(SEARCH("JOE SAUNDERS",C2161))),"Zelle from Joe Saunders",IF(AND(ISNUMBER(SEARCH("PAYMENT TO",C2161)),ISNUMBER(SEARCH("JOE SAUNDERS",C2161))),"Zelle to Joe Saunders",IF(OR(ISNUMBER(SEARCH("NEW ORLEANS",C2161)),ISNUMBER(SEARCH("KENNER",C2161)),ISNUMBER(SEARCH("HENRY HOWARD",C2161)),ISNUMBER(SEARCH("MISS CLAUDIA",C2161))),"Personal Travel - New Orleans",IF(AND(YEAR(B2161)=2025,MONTH(B2161)=4,OR(ISNUMBER(SEARCH("EXCHANGE RATE",C2161)),ISNUMBER(SEARCH("EXCHG RTE",C2161)))),"Personal Travel - Italy",IFERROR(INDEX('Category Rules'!$B$2:$B$358,MATCH(TRUE,ISNUMBER(SEARCH('Category Rules'!$A$2:$A$358,C2161)),0)),""))))))))</f>
        <v>Personal - Entertainment</v>
      </c>
    </row>
    <row r="2162" spans="1:7" x14ac:dyDescent="0.25">
      <c r="A2162" t="s">
        <v>6</v>
      </c>
      <c r="B2162" s="1">
        <v>45684</v>
      </c>
      <c r="C2162" t="s">
        <v>2288</v>
      </c>
      <c r="D2162">
        <v>-5.99</v>
      </c>
      <c r="E2162" t="s">
        <v>10</v>
      </c>
      <c r="F2162">
        <v>3352.54</v>
      </c>
      <c r="G2162" t="str" cm="1">
        <f t="array" ref="G2162">IF(AND(ISNUMBER(SEARCH("UBER",C2162)),ISNUMBER(SEARCH("EATS",C2162))),"Uber Eats",IF(LEFT(C2162,6)="CHECK ","Checks Paid",IF(OR(E2162="BILLPAY",ISNUMBER(SEARCH("FRANCHISE TAX",C2162)),ISNUMBER(SEARCH("NEXTLINK",C2162))),"Personal - House Bills",IF(AND(ISNUMBER(SEARCH("PAYMENT FROM",C2162)),ISNUMBER(SEARCH("JOE SAUNDERS",C2162))),"Zelle from Joe Saunders",IF(AND(ISNUMBER(SEARCH("PAYMENT TO",C2162)),ISNUMBER(SEARCH("JOE SAUNDERS",C2162))),"Zelle to Joe Saunders",IF(OR(ISNUMBER(SEARCH("NEW ORLEANS",C2162)),ISNUMBER(SEARCH("KENNER",C2162)),ISNUMBER(SEARCH("HENRY HOWARD",C2162)),ISNUMBER(SEARCH("MISS CLAUDIA",C2162))),"Personal Travel - New Orleans",IF(AND(YEAR(B2162)=2025,MONTH(B2162)=4,OR(ISNUMBER(SEARCH("EXCHANGE RATE",C2162)),ISNUMBER(SEARCH("EXCHG RTE",C2162)))),"Personal Travel - Italy",IFERROR(INDEX('Category Rules'!$B$2:$B$358,MATCH(TRUE,ISNUMBER(SEARCH('Category Rules'!$A$2:$A$358,C2162)),0)),""))))))))</f>
        <v>Personal - Subscription</v>
      </c>
    </row>
    <row r="2163" spans="1:7" x14ac:dyDescent="0.25">
      <c r="A2163" t="s">
        <v>6</v>
      </c>
      <c r="B2163" s="1">
        <v>45684</v>
      </c>
      <c r="C2163" t="s">
        <v>2289</v>
      </c>
      <c r="D2163">
        <v>-6.99</v>
      </c>
      <c r="E2163" t="s">
        <v>10</v>
      </c>
      <c r="F2163">
        <v>3358.53</v>
      </c>
      <c r="G2163" t="str" cm="1">
        <f t="array" ref="G2163">IF(AND(ISNUMBER(SEARCH("UBER",C2163)),ISNUMBER(SEARCH("EATS",C2163))),"Uber Eats",IF(LEFT(C2163,6)="CHECK ","Checks Paid",IF(OR(E2163="BILLPAY",ISNUMBER(SEARCH("FRANCHISE TAX",C2163)),ISNUMBER(SEARCH("NEXTLINK",C2163))),"Personal - House Bills",IF(AND(ISNUMBER(SEARCH("PAYMENT FROM",C2163)),ISNUMBER(SEARCH("JOE SAUNDERS",C2163))),"Zelle from Joe Saunders",IF(AND(ISNUMBER(SEARCH("PAYMENT TO",C2163)),ISNUMBER(SEARCH("JOE SAUNDERS",C2163))),"Zelle to Joe Saunders",IF(OR(ISNUMBER(SEARCH("NEW ORLEANS",C2163)),ISNUMBER(SEARCH("KENNER",C2163)),ISNUMBER(SEARCH("HENRY HOWARD",C2163)),ISNUMBER(SEARCH("MISS CLAUDIA",C2163))),"Personal Travel - New Orleans",IF(AND(YEAR(B2163)=2025,MONTH(B2163)=4,OR(ISNUMBER(SEARCH("EXCHANGE RATE",C2163)),ISNUMBER(SEARCH("EXCHG RTE",C2163)))),"Personal Travel - Italy",IFERROR(INDEX('Category Rules'!$B$2:$B$358,MATCH(TRUE,ISNUMBER(SEARCH('Category Rules'!$A$2:$A$358,C2163)),0)),""))))))))</f>
        <v>Amazon</v>
      </c>
    </row>
    <row r="2164" spans="1:7" x14ac:dyDescent="0.25">
      <c r="A2164" t="s">
        <v>6</v>
      </c>
      <c r="B2164" s="1">
        <v>45684</v>
      </c>
      <c r="C2164" t="s">
        <v>2290</v>
      </c>
      <c r="D2164">
        <v>-151.21</v>
      </c>
      <c r="E2164" t="s">
        <v>10</v>
      </c>
      <c r="F2164">
        <v>3365.52</v>
      </c>
      <c r="G2164" t="str" cm="1">
        <f t="array" ref="G2164">IF(AND(ISNUMBER(SEARCH("UBER",C2164)),ISNUMBER(SEARCH("EATS",C2164))),"Uber Eats",IF(LEFT(C2164,6)="CHECK ","Checks Paid",IF(OR(E2164="BILLPAY",ISNUMBER(SEARCH("FRANCHISE TAX",C2164)),ISNUMBER(SEARCH("NEXTLINK",C2164))),"Personal - House Bills",IF(AND(ISNUMBER(SEARCH("PAYMENT FROM",C2164)),ISNUMBER(SEARCH("JOE SAUNDERS",C2164))),"Zelle from Joe Saunders",IF(AND(ISNUMBER(SEARCH("PAYMENT TO",C2164)),ISNUMBER(SEARCH("JOE SAUNDERS",C2164))),"Zelle to Joe Saunders",IF(OR(ISNUMBER(SEARCH("NEW ORLEANS",C2164)),ISNUMBER(SEARCH("KENNER",C2164)),ISNUMBER(SEARCH("HENRY HOWARD",C2164)),ISNUMBER(SEARCH("MISS CLAUDIA",C2164))),"Personal Travel - New Orleans",IF(AND(YEAR(B2164)=2025,MONTH(B2164)=4,OR(ISNUMBER(SEARCH("EXCHANGE RATE",C2164)),ISNUMBER(SEARCH("EXCHG RTE",C2164)))),"Personal Travel - Italy",IFERROR(INDEX('Category Rules'!$B$2:$B$358,MATCH(TRUE,ISNUMBER(SEARCH('Category Rules'!$A$2:$A$358,C2164)),0)),""))))))))</f>
        <v>Personal - Food</v>
      </c>
    </row>
    <row r="2165" spans="1:7" x14ac:dyDescent="0.25">
      <c r="A2165" t="s">
        <v>6</v>
      </c>
      <c r="B2165" s="1">
        <v>45684</v>
      </c>
      <c r="C2165" t="s">
        <v>2291</v>
      </c>
      <c r="D2165">
        <v>-35.869999999999997</v>
      </c>
      <c r="E2165" t="s">
        <v>10</v>
      </c>
      <c r="F2165">
        <v>3516.73</v>
      </c>
      <c r="G2165" t="str" cm="1">
        <f t="array" ref="G2165">IF(AND(ISNUMBER(SEARCH("UBER",C2165)),ISNUMBER(SEARCH("EATS",C2165))),"Uber Eats",IF(LEFT(C2165,6)="CHECK ","Checks Paid",IF(OR(E2165="BILLPAY",ISNUMBER(SEARCH("FRANCHISE TAX",C2165)),ISNUMBER(SEARCH("NEXTLINK",C2165))),"Personal - House Bills",IF(AND(ISNUMBER(SEARCH("PAYMENT FROM",C2165)),ISNUMBER(SEARCH("JOE SAUNDERS",C2165))),"Zelle from Joe Saunders",IF(AND(ISNUMBER(SEARCH("PAYMENT TO",C2165)),ISNUMBER(SEARCH("JOE SAUNDERS",C2165))),"Zelle to Joe Saunders",IF(OR(ISNUMBER(SEARCH("NEW ORLEANS",C2165)),ISNUMBER(SEARCH("KENNER",C2165)),ISNUMBER(SEARCH("HENRY HOWARD",C2165)),ISNUMBER(SEARCH("MISS CLAUDIA",C2165))),"Personal Travel - New Orleans",IF(AND(YEAR(B2165)=2025,MONTH(B2165)=4,OR(ISNUMBER(SEARCH("EXCHANGE RATE",C2165)),ISNUMBER(SEARCH("EXCHG RTE",C2165)))),"Personal Travel - Italy",IFERROR(INDEX('Category Rules'!$B$2:$B$358,MATCH(TRUE,ISNUMBER(SEARCH('Category Rules'!$A$2:$A$358,C2165)),0)),""))))))))</f>
        <v>Amazon</v>
      </c>
    </row>
    <row r="2166" spans="1:7" x14ac:dyDescent="0.25">
      <c r="A2166" t="s">
        <v>6</v>
      </c>
      <c r="B2166" s="1">
        <v>45684</v>
      </c>
      <c r="C2166" t="s">
        <v>2292</v>
      </c>
      <c r="D2166">
        <v>-28.25</v>
      </c>
      <c r="E2166" t="s">
        <v>10</v>
      </c>
      <c r="F2166">
        <v>3552.6</v>
      </c>
      <c r="G2166" t="str" cm="1">
        <f t="array" ref="G2166">IF(AND(ISNUMBER(SEARCH("UBER",C2166)),ISNUMBER(SEARCH("EATS",C2166))),"Uber Eats",IF(LEFT(C2166,6)="CHECK ","Checks Paid",IF(OR(E2166="BILLPAY",ISNUMBER(SEARCH("FRANCHISE TAX",C2166)),ISNUMBER(SEARCH("NEXTLINK",C2166))),"Personal - House Bills",IF(AND(ISNUMBER(SEARCH("PAYMENT FROM",C2166)),ISNUMBER(SEARCH("JOE SAUNDERS",C2166))),"Zelle from Joe Saunders",IF(AND(ISNUMBER(SEARCH("PAYMENT TO",C2166)),ISNUMBER(SEARCH("JOE SAUNDERS",C2166))),"Zelle to Joe Saunders",IF(OR(ISNUMBER(SEARCH("NEW ORLEANS",C2166)),ISNUMBER(SEARCH("KENNER",C2166)),ISNUMBER(SEARCH("HENRY HOWARD",C2166)),ISNUMBER(SEARCH("MISS CLAUDIA",C2166))),"Personal Travel - New Orleans",IF(AND(YEAR(B2166)=2025,MONTH(B2166)=4,OR(ISNUMBER(SEARCH("EXCHANGE RATE",C2166)),ISNUMBER(SEARCH("EXCHG RTE",C2166)))),"Personal Travel - Italy",IFERROR(INDEX('Category Rules'!$B$2:$B$358,MATCH(TRUE,ISNUMBER(SEARCH('Category Rules'!$A$2:$A$358,C2166)),0)),""))))))))</f>
        <v>Amazon</v>
      </c>
    </row>
    <row r="2167" spans="1:7" x14ac:dyDescent="0.25">
      <c r="A2167" t="s">
        <v>6</v>
      </c>
      <c r="B2167" s="1">
        <v>45684</v>
      </c>
      <c r="C2167" t="s">
        <v>2293</v>
      </c>
      <c r="D2167">
        <v>-15</v>
      </c>
      <c r="E2167" t="s">
        <v>10</v>
      </c>
      <c r="F2167">
        <v>3580.85</v>
      </c>
      <c r="G2167" t="str" cm="1">
        <f t="array" ref="G2167">IF(AND(ISNUMBER(SEARCH("UBER",C2167)),ISNUMBER(SEARCH("EATS",C2167))),"Uber Eats",IF(LEFT(C2167,6)="CHECK ","Checks Paid",IF(OR(E2167="BILLPAY",ISNUMBER(SEARCH("FRANCHISE TAX",C2167)),ISNUMBER(SEARCH("NEXTLINK",C2167))),"Personal - House Bills",IF(AND(ISNUMBER(SEARCH("PAYMENT FROM",C2167)),ISNUMBER(SEARCH("JOE SAUNDERS",C2167))),"Zelle from Joe Saunders",IF(AND(ISNUMBER(SEARCH("PAYMENT TO",C2167)),ISNUMBER(SEARCH("JOE SAUNDERS",C2167))),"Zelle to Joe Saunders",IF(OR(ISNUMBER(SEARCH("NEW ORLEANS",C2167)),ISNUMBER(SEARCH("KENNER",C2167)),ISNUMBER(SEARCH("HENRY HOWARD",C2167)),ISNUMBER(SEARCH("MISS CLAUDIA",C2167))),"Personal Travel - New Orleans",IF(AND(YEAR(B2167)=2025,MONTH(B2167)=4,OR(ISNUMBER(SEARCH("EXCHANGE RATE",C2167)),ISNUMBER(SEARCH("EXCHG RTE",C2167)))),"Personal Travel - Italy",IFERROR(INDEX('Category Rules'!$B$2:$B$358,MATCH(TRUE,ISNUMBER(SEARCH('Category Rules'!$A$2:$A$358,C2167)),0)),""))))))))</f>
        <v>Personal - Subscription</v>
      </c>
    </row>
    <row r="2168" spans="1:7" x14ac:dyDescent="0.25">
      <c r="A2168" t="s">
        <v>6</v>
      </c>
      <c r="B2168" s="1">
        <v>45684</v>
      </c>
      <c r="C2168" t="s">
        <v>2294</v>
      </c>
      <c r="D2168">
        <v>-16.41</v>
      </c>
      <c r="E2168" t="s">
        <v>10</v>
      </c>
      <c r="F2168">
        <v>3595.85</v>
      </c>
      <c r="G2168" t="str" cm="1">
        <f t="array" ref="G2168">IF(AND(ISNUMBER(SEARCH("UBER",C2168)),ISNUMBER(SEARCH("EATS",C2168))),"Uber Eats",IF(LEFT(C2168,6)="CHECK ","Checks Paid",IF(OR(E2168="BILLPAY",ISNUMBER(SEARCH("FRANCHISE TAX",C2168)),ISNUMBER(SEARCH("NEXTLINK",C2168))),"Personal - House Bills",IF(AND(ISNUMBER(SEARCH("PAYMENT FROM",C2168)),ISNUMBER(SEARCH("JOE SAUNDERS",C2168))),"Zelle from Joe Saunders",IF(AND(ISNUMBER(SEARCH("PAYMENT TO",C2168)),ISNUMBER(SEARCH("JOE SAUNDERS",C2168))),"Zelle to Joe Saunders",IF(OR(ISNUMBER(SEARCH("NEW ORLEANS",C2168)),ISNUMBER(SEARCH("KENNER",C2168)),ISNUMBER(SEARCH("HENRY HOWARD",C2168)),ISNUMBER(SEARCH("MISS CLAUDIA",C2168))),"Personal Travel - New Orleans",IF(AND(YEAR(B2168)=2025,MONTH(B2168)=4,OR(ISNUMBER(SEARCH("EXCHANGE RATE",C2168)),ISNUMBER(SEARCH("EXCHG RTE",C2168)))),"Personal Travel - Italy",IFERROR(INDEX('Category Rules'!$B$2:$B$358,MATCH(TRUE,ISNUMBER(SEARCH('Category Rules'!$A$2:$A$358,C2168)),0)),""))))))))</f>
        <v>Amazon</v>
      </c>
    </row>
    <row r="2169" spans="1:7" x14ac:dyDescent="0.25">
      <c r="A2169" t="s">
        <v>6</v>
      </c>
      <c r="B2169" s="1">
        <v>45684</v>
      </c>
      <c r="C2169" t="s">
        <v>2295</v>
      </c>
      <c r="D2169">
        <v>-65</v>
      </c>
      <c r="E2169" t="s">
        <v>10</v>
      </c>
      <c r="F2169">
        <v>3612.26</v>
      </c>
      <c r="G2169" t="str" cm="1">
        <f t="array" ref="G2169">IF(AND(ISNUMBER(SEARCH("UBER",C2169)),ISNUMBER(SEARCH("EATS",C2169))),"Uber Eats",IF(LEFT(C2169,6)="CHECK ","Checks Paid",IF(OR(E2169="BILLPAY",ISNUMBER(SEARCH("FRANCHISE TAX",C2169)),ISNUMBER(SEARCH("NEXTLINK",C2169))),"Personal - House Bills",IF(AND(ISNUMBER(SEARCH("PAYMENT FROM",C2169)),ISNUMBER(SEARCH("JOE SAUNDERS",C2169))),"Zelle from Joe Saunders",IF(AND(ISNUMBER(SEARCH("PAYMENT TO",C2169)),ISNUMBER(SEARCH("JOE SAUNDERS",C2169))),"Zelle to Joe Saunders",IF(OR(ISNUMBER(SEARCH("NEW ORLEANS",C2169)),ISNUMBER(SEARCH("KENNER",C2169)),ISNUMBER(SEARCH("HENRY HOWARD",C2169)),ISNUMBER(SEARCH("MISS CLAUDIA",C2169))),"Personal Travel - New Orleans",IF(AND(YEAR(B2169)=2025,MONTH(B2169)=4,OR(ISNUMBER(SEARCH("EXCHANGE RATE",C2169)),ISNUMBER(SEARCH("EXCHG RTE",C2169)))),"Personal Travel - Italy",IFERROR(INDEX('Category Rules'!$B$2:$B$358,MATCH(TRUE,ISNUMBER(SEARCH('Category Rules'!$A$2:$A$358,C2169)),0)),""))))))))</f>
        <v>Personal - Clothing</v>
      </c>
    </row>
    <row r="2170" spans="1:7" x14ac:dyDescent="0.25">
      <c r="A2170" t="s">
        <v>6</v>
      </c>
      <c r="B2170" s="1">
        <v>45684</v>
      </c>
      <c r="C2170" t="s">
        <v>2296</v>
      </c>
      <c r="D2170">
        <v>-29.99</v>
      </c>
      <c r="E2170" t="s">
        <v>10</v>
      </c>
      <c r="F2170">
        <v>3677.26</v>
      </c>
      <c r="G2170" t="str" cm="1">
        <f t="array" ref="G2170">IF(AND(ISNUMBER(SEARCH("UBER",C2170)),ISNUMBER(SEARCH("EATS",C2170))),"Uber Eats",IF(LEFT(C2170,6)="CHECK ","Checks Paid",IF(OR(E2170="BILLPAY",ISNUMBER(SEARCH("FRANCHISE TAX",C2170)),ISNUMBER(SEARCH("NEXTLINK",C2170))),"Personal - House Bills",IF(AND(ISNUMBER(SEARCH("PAYMENT FROM",C2170)),ISNUMBER(SEARCH("JOE SAUNDERS",C2170))),"Zelle from Joe Saunders",IF(AND(ISNUMBER(SEARCH("PAYMENT TO",C2170)),ISNUMBER(SEARCH("JOE SAUNDERS",C2170))),"Zelle to Joe Saunders",IF(OR(ISNUMBER(SEARCH("NEW ORLEANS",C2170)),ISNUMBER(SEARCH("KENNER",C2170)),ISNUMBER(SEARCH("HENRY HOWARD",C2170)),ISNUMBER(SEARCH("MISS CLAUDIA",C2170))),"Personal Travel - New Orleans",IF(AND(YEAR(B2170)=2025,MONTH(B2170)=4,OR(ISNUMBER(SEARCH("EXCHANGE RATE",C2170)),ISNUMBER(SEARCH("EXCHG RTE",C2170)))),"Personal Travel - Italy",IFERROR(INDEX('Category Rules'!$B$2:$B$358,MATCH(TRUE,ISNUMBER(SEARCH('Category Rules'!$A$2:$A$358,C2170)),0)),""))))))))</f>
        <v>YouTube Premium</v>
      </c>
    </row>
    <row r="2171" spans="1:7" x14ac:dyDescent="0.25">
      <c r="A2171" t="s">
        <v>6</v>
      </c>
      <c r="B2171" s="1">
        <v>45684</v>
      </c>
      <c r="C2171" t="s">
        <v>2297</v>
      </c>
      <c r="D2171">
        <v>-535.89</v>
      </c>
      <c r="E2171" t="s">
        <v>10</v>
      </c>
      <c r="F2171">
        <v>3707.25</v>
      </c>
      <c r="G2171" t="str" cm="1">
        <f t="array" ref="G2171">IF(AND(ISNUMBER(SEARCH("UBER",C2171)),ISNUMBER(SEARCH("EATS",C2171))),"Uber Eats",IF(LEFT(C2171,6)="CHECK ","Checks Paid",IF(OR(E2171="BILLPAY",ISNUMBER(SEARCH("FRANCHISE TAX",C2171)),ISNUMBER(SEARCH("NEXTLINK",C2171))),"Personal - House Bills",IF(AND(ISNUMBER(SEARCH("PAYMENT FROM",C2171)),ISNUMBER(SEARCH("JOE SAUNDERS",C2171))),"Zelle from Joe Saunders",IF(AND(ISNUMBER(SEARCH("PAYMENT TO",C2171)),ISNUMBER(SEARCH("JOE SAUNDERS",C2171))),"Zelle to Joe Saunders",IF(OR(ISNUMBER(SEARCH("NEW ORLEANS",C2171)),ISNUMBER(SEARCH("KENNER",C2171)),ISNUMBER(SEARCH("HENRY HOWARD",C2171)),ISNUMBER(SEARCH("MISS CLAUDIA",C2171))),"Personal Travel - New Orleans",IF(AND(YEAR(B2171)=2025,MONTH(B2171)=4,OR(ISNUMBER(SEARCH("EXCHANGE RATE",C2171)),ISNUMBER(SEARCH("EXCHG RTE",C2171)))),"Personal Travel - Italy",IFERROR(INDEX('Category Rules'!$B$2:$B$358,MATCH(TRUE,ISNUMBER(SEARCH('Category Rules'!$A$2:$A$358,C2171)),0)),""))))))))</f>
        <v>AT&amp;T</v>
      </c>
    </row>
    <row r="2172" spans="1:7" x14ac:dyDescent="0.25">
      <c r="A2172" t="s">
        <v>6</v>
      </c>
      <c r="B2172" s="1">
        <v>45684</v>
      </c>
      <c r="C2172" t="s">
        <v>2298</v>
      </c>
      <c r="D2172">
        <v>-5.99</v>
      </c>
      <c r="E2172" t="s">
        <v>10</v>
      </c>
      <c r="F2172">
        <v>4243.1400000000003</v>
      </c>
      <c r="G2172" t="str" cm="1">
        <f t="array" ref="G2172">IF(AND(ISNUMBER(SEARCH("UBER",C2172)),ISNUMBER(SEARCH("EATS",C2172))),"Uber Eats",IF(LEFT(C2172,6)="CHECK ","Checks Paid",IF(OR(E2172="BILLPAY",ISNUMBER(SEARCH("FRANCHISE TAX",C2172)),ISNUMBER(SEARCH("NEXTLINK",C2172))),"Personal - House Bills",IF(AND(ISNUMBER(SEARCH("PAYMENT FROM",C2172)),ISNUMBER(SEARCH("JOE SAUNDERS",C2172))),"Zelle from Joe Saunders",IF(AND(ISNUMBER(SEARCH("PAYMENT TO",C2172)),ISNUMBER(SEARCH("JOE SAUNDERS",C2172))),"Zelle to Joe Saunders",IF(OR(ISNUMBER(SEARCH("NEW ORLEANS",C2172)),ISNUMBER(SEARCH("KENNER",C2172)),ISNUMBER(SEARCH("HENRY HOWARD",C2172)),ISNUMBER(SEARCH("MISS CLAUDIA",C2172))),"Personal Travel - New Orleans",IF(AND(YEAR(B2172)=2025,MONTH(B2172)=4,OR(ISNUMBER(SEARCH("EXCHANGE RATE",C2172)),ISNUMBER(SEARCH("EXCHG RTE",C2172)))),"Personal Travel - Italy",IFERROR(INDEX('Category Rules'!$B$2:$B$358,MATCH(TRUE,ISNUMBER(SEARCH('Category Rules'!$A$2:$A$358,C2172)),0)),""))))))))</f>
        <v>Apple</v>
      </c>
    </row>
    <row r="2173" spans="1:7" x14ac:dyDescent="0.25">
      <c r="A2173" t="s">
        <v>44</v>
      </c>
      <c r="B2173" s="1">
        <v>45684</v>
      </c>
      <c r="C2173" t="s">
        <v>2299</v>
      </c>
      <c r="D2173">
        <v>1000</v>
      </c>
      <c r="E2173" t="s">
        <v>73</v>
      </c>
      <c r="F2173">
        <v>4249.13</v>
      </c>
      <c r="G2173" t="str" cm="1">
        <f t="array" ref="G2173">IF(AND(ISNUMBER(SEARCH("UBER",C2173)),ISNUMBER(SEARCH("EATS",C2173))),"Uber Eats",IF(LEFT(C2173,6)="CHECK ","Checks Paid",IF(OR(E2173="BILLPAY",ISNUMBER(SEARCH("FRANCHISE TAX",C2173)),ISNUMBER(SEARCH("NEXTLINK",C2173))),"Personal - House Bills",IF(AND(ISNUMBER(SEARCH("PAYMENT FROM",C2173)),ISNUMBER(SEARCH("JOE SAUNDERS",C2173))),"Zelle from Joe Saunders",IF(AND(ISNUMBER(SEARCH("PAYMENT TO",C2173)),ISNUMBER(SEARCH("JOE SAUNDERS",C2173))),"Zelle to Joe Saunders",IF(OR(ISNUMBER(SEARCH("NEW ORLEANS",C2173)),ISNUMBER(SEARCH("KENNER",C2173)),ISNUMBER(SEARCH("HENRY HOWARD",C2173)),ISNUMBER(SEARCH("MISS CLAUDIA",C2173))),"Personal Travel - New Orleans",IF(AND(YEAR(B2173)=2025,MONTH(B2173)=4,OR(ISNUMBER(SEARCH("EXCHANGE RATE",C2173)),ISNUMBER(SEARCH("EXCHG RTE",C2173)))),"Personal Travel - Italy",IFERROR(INDEX('Category Rules'!$B$2:$B$358,MATCH(TRUE,ISNUMBER(SEARCH('Category Rules'!$A$2:$A$358,C2173)),0)),""))))))))</f>
        <v>Transfer from DWG Capital Group</v>
      </c>
    </row>
    <row r="2174" spans="1:7" x14ac:dyDescent="0.25">
      <c r="A2174" t="s">
        <v>44</v>
      </c>
      <c r="B2174" s="1">
        <v>45684</v>
      </c>
      <c r="C2174" t="s">
        <v>2300</v>
      </c>
      <c r="D2174">
        <v>1000</v>
      </c>
      <c r="E2174" t="s">
        <v>73</v>
      </c>
      <c r="F2174">
        <v>3249.13</v>
      </c>
      <c r="G2174" t="str" cm="1">
        <f t="array" ref="G2174">IF(AND(ISNUMBER(SEARCH("UBER",C2174)),ISNUMBER(SEARCH("EATS",C2174))),"Uber Eats",IF(LEFT(C2174,6)="CHECK ","Checks Paid",IF(OR(E2174="BILLPAY",ISNUMBER(SEARCH("FRANCHISE TAX",C2174)),ISNUMBER(SEARCH("NEXTLINK",C2174))),"Personal - House Bills",IF(AND(ISNUMBER(SEARCH("PAYMENT FROM",C2174)),ISNUMBER(SEARCH("JOE SAUNDERS",C2174))),"Zelle from Joe Saunders",IF(AND(ISNUMBER(SEARCH("PAYMENT TO",C2174)),ISNUMBER(SEARCH("JOE SAUNDERS",C2174))),"Zelle to Joe Saunders",IF(OR(ISNUMBER(SEARCH("NEW ORLEANS",C2174)),ISNUMBER(SEARCH("KENNER",C2174)),ISNUMBER(SEARCH("HENRY HOWARD",C2174)),ISNUMBER(SEARCH("MISS CLAUDIA",C2174))),"Personal Travel - New Orleans",IF(AND(YEAR(B2174)=2025,MONTH(B2174)=4,OR(ISNUMBER(SEARCH("EXCHANGE RATE",C2174)),ISNUMBER(SEARCH("EXCHG RTE",C2174)))),"Personal Travel - Italy",IFERROR(INDEX('Category Rules'!$B$2:$B$358,MATCH(TRUE,ISNUMBER(SEARCH('Category Rules'!$A$2:$A$358,C2174)),0)),""))))))))</f>
        <v>Transfer from DWG Capital Group</v>
      </c>
    </row>
    <row r="2175" spans="1:7" x14ac:dyDescent="0.25">
      <c r="A2175" t="s">
        <v>6</v>
      </c>
      <c r="B2175" s="1">
        <v>45681</v>
      </c>
      <c r="C2175" t="s">
        <v>2301</v>
      </c>
      <c r="D2175">
        <v>-57.21</v>
      </c>
      <c r="E2175" t="s">
        <v>10</v>
      </c>
      <c r="F2175">
        <v>2249.13</v>
      </c>
      <c r="G2175" t="str" cm="1">
        <f t="array" ref="G2175">IF(AND(ISNUMBER(SEARCH("UBER",C2175)),ISNUMBER(SEARCH("EATS",C2175))),"Uber Eats",IF(LEFT(C2175,6)="CHECK ","Checks Paid",IF(OR(E2175="BILLPAY",ISNUMBER(SEARCH("FRANCHISE TAX",C2175)),ISNUMBER(SEARCH("NEXTLINK",C2175))),"Personal - House Bills",IF(AND(ISNUMBER(SEARCH("PAYMENT FROM",C2175)),ISNUMBER(SEARCH("JOE SAUNDERS",C2175))),"Zelle from Joe Saunders",IF(AND(ISNUMBER(SEARCH("PAYMENT TO",C2175)),ISNUMBER(SEARCH("JOE SAUNDERS",C2175))),"Zelle to Joe Saunders",IF(OR(ISNUMBER(SEARCH("NEW ORLEANS",C2175)),ISNUMBER(SEARCH("KENNER",C2175)),ISNUMBER(SEARCH("HENRY HOWARD",C2175)),ISNUMBER(SEARCH("MISS CLAUDIA",C2175))),"Personal Travel - New Orleans",IF(AND(YEAR(B2175)=2025,MONTH(B2175)=4,OR(ISNUMBER(SEARCH("EXCHANGE RATE",C2175)),ISNUMBER(SEARCH("EXCHG RTE",C2175)))),"Personal Travel - Italy",IFERROR(INDEX('Category Rules'!$B$2:$B$358,MATCH(TRUE,ISNUMBER(SEARCH('Category Rules'!$A$2:$A$358,C2175)),0)),""))))))))</f>
        <v>Personal - Health</v>
      </c>
    </row>
    <row r="2176" spans="1:7" x14ac:dyDescent="0.25">
      <c r="A2176" t="s">
        <v>6</v>
      </c>
      <c r="B2176" s="1">
        <v>45681</v>
      </c>
      <c r="C2176" t="s">
        <v>2302</v>
      </c>
      <c r="D2176">
        <v>-44.34</v>
      </c>
      <c r="E2176" t="s">
        <v>10</v>
      </c>
      <c r="F2176">
        <v>2306.34</v>
      </c>
      <c r="G2176" t="str" cm="1">
        <f t="array" ref="G2176">IF(AND(ISNUMBER(SEARCH("UBER",C2176)),ISNUMBER(SEARCH("EATS",C2176))),"Uber Eats",IF(LEFT(C2176,6)="CHECK ","Checks Paid",IF(OR(E2176="BILLPAY",ISNUMBER(SEARCH("FRANCHISE TAX",C2176)),ISNUMBER(SEARCH("NEXTLINK",C2176))),"Personal - House Bills",IF(AND(ISNUMBER(SEARCH("PAYMENT FROM",C2176)),ISNUMBER(SEARCH("JOE SAUNDERS",C2176))),"Zelle from Joe Saunders",IF(AND(ISNUMBER(SEARCH("PAYMENT TO",C2176)),ISNUMBER(SEARCH("JOE SAUNDERS",C2176))),"Zelle to Joe Saunders",IF(OR(ISNUMBER(SEARCH("NEW ORLEANS",C2176)),ISNUMBER(SEARCH("KENNER",C2176)),ISNUMBER(SEARCH("HENRY HOWARD",C2176)),ISNUMBER(SEARCH("MISS CLAUDIA",C2176))),"Personal Travel - New Orleans",IF(AND(YEAR(B2176)=2025,MONTH(B2176)=4,OR(ISNUMBER(SEARCH("EXCHANGE RATE",C2176)),ISNUMBER(SEARCH("EXCHG RTE",C2176)))),"Personal Travel - Italy",IFERROR(INDEX('Category Rules'!$B$2:$B$358,MATCH(TRUE,ISNUMBER(SEARCH('Category Rules'!$A$2:$A$358,C2176)),0)),""))))))))</f>
        <v>Personal - Health</v>
      </c>
    </row>
    <row r="2177" spans="1:7" x14ac:dyDescent="0.25">
      <c r="A2177" t="s">
        <v>6</v>
      </c>
      <c r="B2177" s="1">
        <v>45681</v>
      </c>
      <c r="C2177" t="s">
        <v>2303</v>
      </c>
      <c r="D2177">
        <v>-134.76</v>
      </c>
      <c r="E2177" t="s">
        <v>10</v>
      </c>
      <c r="F2177">
        <v>2350.6799999999998</v>
      </c>
      <c r="G2177" t="str" cm="1">
        <f t="array" ref="G2177">IF(AND(ISNUMBER(SEARCH("UBER",C2177)),ISNUMBER(SEARCH("EATS",C2177))),"Uber Eats",IF(LEFT(C2177,6)="CHECK ","Checks Paid",IF(OR(E2177="BILLPAY",ISNUMBER(SEARCH("FRANCHISE TAX",C2177)),ISNUMBER(SEARCH("NEXTLINK",C2177))),"Personal - House Bills",IF(AND(ISNUMBER(SEARCH("PAYMENT FROM",C2177)),ISNUMBER(SEARCH("JOE SAUNDERS",C2177))),"Zelle from Joe Saunders",IF(AND(ISNUMBER(SEARCH("PAYMENT TO",C2177)),ISNUMBER(SEARCH("JOE SAUNDERS",C2177))),"Zelle to Joe Saunders",IF(OR(ISNUMBER(SEARCH("NEW ORLEANS",C2177)),ISNUMBER(SEARCH("KENNER",C2177)),ISNUMBER(SEARCH("HENRY HOWARD",C2177)),ISNUMBER(SEARCH("MISS CLAUDIA",C2177))),"Personal Travel - New Orleans",IF(AND(YEAR(B2177)=2025,MONTH(B2177)=4,OR(ISNUMBER(SEARCH("EXCHANGE RATE",C2177)),ISNUMBER(SEARCH("EXCHG RTE",C2177)))),"Personal Travel - Italy",IFERROR(INDEX('Category Rules'!$B$2:$B$358,MATCH(TRUE,ISNUMBER(SEARCH('Category Rules'!$A$2:$A$358,C2177)),0)),""))))))))</f>
        <v>Personal - Food</v>
      </c>
    </row>
    <row r="2178" spans="1:7" x14ac:dyDescent="0.25">
      <c r="A2178" t="s">
        <v>6</v>
      </c>
      <c r="B2178" s="1">
        <v>45681</v>
      </c>
      <c r="C2178" t="s">
        <v>2298</v>
      </c>
      <c r="D2178">
        <v>-10.99</v>
      </c>
      <c r="E2178" t="s">
        <v>10</v>
      </c>
      <c r="F2178">
        <v>2485.44</v>
      </c>
      <c r="G2178" t="str" cm="1">
        <f t="array" ref="G2178">IF(AND(ISNUMBER(SEARCH("UBER",C2178)),ISNUMBER(SEARCH("EATS",C2178))),"Uber Eats",IF(LEFT(C2178,6)="CHECK ","Checks Paid",IF(OR(E2178="BILLPAY",ISNUMBER(SEARCH("FRANCHISE TAX",C2178)),ISNUMBER(SEARCH("NEXTLINK",C2178))),"Personal - House Bills",IF(AND(ISNUMBER(SEARCH("PAYMENT FROM",C2178)),ISNUMBER(SEARCH("JOE SAUNDERS",C2178))),"Zelle from Joe Saunders",IF(AND(ISNUMBER(SEARCH("PAYMENT TO",C2178)),ISNUMBER(SEARCH("JOE SAUNDERS",C2178))),"Zelle to Joe Saunders",IF(OR(ISNUMBER(SEARCH("NEW ORLEANS",C2178)),ISNUMBER(SEARCH("KENNER",C2178)),ISNUMBER(SEARCH("HENRY HOWARD",C2178)),ISNUMBER(SEARCH("MISS CLAUDIA",C2178))),"Personal Travel - New Orleans",IF(AND(YEAR(B2178)=2025,MONTH(B2178)=4,OR(ISNUMBER(SEARCH("EXCHANGE RATE",C2178)),ISNUMBER(SEARCH("EXCHG RTE",C2178)))),"Personal Travel - Italy",IFERROR(INDEX('Category Rules'!$B$2:$B$358,MATCH(TRUE,ISNUMBER(SEARCH('Category Rules'!$A$2:$A$358,C2178)),0)),""))))))))</f>
        <v>Apple</v>
      </c>
    </row>
    <row r="2179" spans="1:7" x14ac:dyDescent="0.25">
      <c r="A2179" t="s">
        <v>44</v>
      </c>
      <c r="B2179" s="1">
        <v>45681</v>
      </c>
      <c r="C2179" t="s">
        <v>2304</v>
      </c>
      <c r="D2179">
        <v>1400</v>
      </c>
      <c r="E2179" t="s">
        <v>339</v>
      </c>
      <c r="F2179">
        <v>2496.4299999999998</v>
      </c>
      <c r="G2179" t="str" cm="1">
        <f t="array" ref="G2179">IF(AND(ISNUMBER(SEARCH("UBER",C2179)),ISNUMBER(SEARCH("EATS",C2179))),"Uber Eats",IF(LEFT(C2179,6)="CHECK ","Checks Paid",IF(OR(E2179="BILLPAY",ISNUMBER(SEARCH("FRANCHISE TAX",C2179)),ISNUMBER(SEARCH("NEXTLINK",C2179))),"Personal - House Bills",IF(AND(ISNUMBER(SEARCH("PAYMENT FROM",C2179)),ISNUMBER(SEARCH("JOE SAUNDERS",C2179))),"Zelle from Joe Saunders",IF(AND(ISNUMBER(SEARCH("PAYMENT TO",C2179)),ISNUMBER(SEARCH("JOE SAUNDERS",C2179))),"Zelle to Joe Saunders",IF(OR(ISNUMBER(SEARCH("NEW ORLEANS",C2179)),ISNUMBER(SEARCH("KENNER",C2179)),ISNUMBER(SEARCH("HENRY HOWARD",C2179)),ISNUMBER(SEARCH("MISS CLAUDIA",C2179))),"Personal Travel - New Orleans",IF(AND(YEAR(B2179)=2025,MONTH(B2179)=4,OR(ISNUMBER(SEARCH("EXCHANGE RATE",C2179)),ISNUMBER(SEARCH("EXCHG RTE",C2179)))),"Personal Travel - Italy",IFERROR(INDEX('Category Rules'!$B$2:$B$358,MATCH(TRUE,ISNUMBER(SEARCH('Category Rules'!$A$2:$A$358,C2179)),0)),""))))))))</f>
        <v>Deposit</v>
      </c>
    </row>
    <row r="2180" spans="1:7" x14ac:dyDescent="0.25">
      <c r="A2180" t="s">
        <v>6</v>
      </c>
      <c r="B2180" s="1">
        <v>45680</v>
      </c>
      <c r="C2180" t="s">
        <v>2305</v>
      </c>
      <c r="D2180">
        <v>-165</v>
      </c>
      <c r="E2180" t="s">
        <v>10</v>
      </c>
      <c r="F2180">
        <v>1096.43</v>
      </c>
      <c r="G2180" t="str" cm="1">
        <f t="array" ref="G2180">IF(AND(ISNUMBER(SEARCH("UBER",C2180)),ISNUMBER(SEARCH("EATS",C2180))),"Uber Eats",IF(LEFT(C2180,6)="CHECK ","Checks Paid",IF(OR(E2180="BILLPAY",ISNUMBER(SEARCH("FRANCHISE TAX",C2180)),ISNUMBER(SEARCH("NEXTLINK",C2180))),"Personal - House Bills",IF(AND(ISNUMBER(SEARCH("PAYMENT FROM",C2180)),ISNUMBER(SEARCH("JOE SAUNDERS",C2180))),"Zelle from Joe Saunders",IF(AND(ISNUMBER(SEARCH("PAYMENT TO",C2180)),ISNUMBER(SEARCH("JOE SAUNDERS",C2180))),"Zelle to Joe Saunders",IF(OR(ISNUMBER(SEARCH("NEW ORLEANS",C2180)),ISNUMBER(SEARCH("KENNER",C2180)),ISNUMBER(SEARCH("HENRY HOWARD",C2180)),ISNUMBER(SEARCH("MISS CLAUDIA",C2180))),"Personal Travel - New Orleans",IF(AND(YEAR(B2180)=2025,MONTH(B2180)=4,OR(ISNUMBER(SEARCH("EXCHANGE RATE",C2180)),ISNUMBER(SEARCH("EXCHG RTE",C2180)))),"Personal Travel - Italy",IFERROR(INDEX('Category Rules'!$B$2:$B$358,MATCH(TRUE,ISNUMBER(SEARCH('Category Rules'!$A$2:$A$358,C2180)),0)),""))))))))</f>
        <v>Personal - Health</v>
      </c>
    </row>
    <row r="2181" spans="1:7" x14ac:dyDescent="0.25">
      <c r="A2181" t="s">
        <v>6</v>
      </c>
      <c r="B2181" s="1">
        <v>45680</v>
      </c>
      <c r="C2181" t="s">
        <v>2306</v>
      </c>
      <c r="D2181">
        <v>-123.72</v>
      </c>
      <c r="E2181" t="s">
        <v>10</v>
      </c>
      <c r="F2181">
        <v>1261.43</v>
      </c>
      <c r="G2181" t="str" cm="1">
        <f t="array" ref="G2181">IF(AND(ISNUMBER(SEARCH("UBER",C2181)),ISNUMBER(SEARCH("EATS",C2181))),"Uber Eats",IF(LEFT(C2181,6)="CHECK ","Checks Paid",IF(OR(E2181="BILLPAY",ISNUMBER(SEARCH("FRANCHISE TAX",C2181)),ISNUMBER(SEARCH("NEXTLINK",C2181))),"Personal - House Bills",IF(AND(ISNUMBER(SEARCH("PAYMENT FROM",C2181)),ISNUMBER(SEARCH("JOE SAUNDERS",C2181))),"Zelle from Joe Saunders",IF(AND(ISNUMBER(SEARCH("PAYMENT TO",C2181)),ISNUMBER(SEARCH("JOE SAUNDERS",C2181))),"Zelle to Joe Saunders",IF(OR(ISNUMBER(SEARCH("NEW ORLEANS",C2181)),ISNUMBER(SEARCH("KENNER",C2181)),ISNUMBER(SEARCH("HENRY HOWARD",C2181)),ISNUMBER(SEARCH("MISS CLAUDIA",C2181))),"Personal Travel - New Orleans",IF(AND(YEAR(B2181)=2025,MONTH(B2181)=4,OR(ISNUMBER(SEARCH("EXCHANGE RATE",C2181)),ISNUMBER(SEARCH("EXCHG RTE",C2181)))),"Personal Travel - Italy",IFERROR(INDEX('Category Rules'!$B$2:$B$358,MATCH(TRUE,ISNUMBER(SEARCH('Category Rules'!$A$2:$A$358,C2181)),0)),""))))))))</f>
        <v>Personal - Food</v>
      </c>
    </row>
    <row r="2182" spans="1:7" x14ac:dyDescent="0.25">
      <c r="A2182" t="s">
        <v>6</v>
      </c>
      <c r="B2182" s="1">
        <v>45680</v>
      </c>
      <c r="C2182" t="s">
        <v>2307</v>
      </c>
      <c r="D2182">
        <v>-122</v>
      </c>
      <c r="E2182" t="s">
        <v>10</v>
      </c>
      <c r="F2182">
        <v>1385.15</v>
      </c>
      <c r="G2182" t="str" cm="1">
        <f t="array" ref="G2182">IF(AND(ISNUMBER(SEARCH("UBER",C2182)),ISNUMBER(SEARCH("EATS",C2182))),"Uber Eats",IF(LEFT(C2182,6)="CHECK ","Checks Paid",IF(OR(E2182="BILLPAY",ISNUMBER(SEARCH("FRANCHISE TAX",C2182)),ISNUMBER(SEARCH("NEXTLINK",C2182))),"Personal - House Bills",IF(AND(ISNUMBER(SEARCH("PAYMENT FROM",C2182)),ISNUMBER(SEARCH("JOE SAUNDERS",C2182))),"Zelle from Joe Saunders",IF(AND(ISNUMBER(SEARCH("PAYMENT TO",C2182)),ISNUMBER(SEARCH("JOE SAUNDERS",C2182))),"Zelle to Joe Saunders",IF(OR(ISNUMBER(SEARCH("NEW ORLEANS",C2182)),ISNUMBER(SEARCH("KENNER",C2182)),ISNUMBER(SEARCH("HENRY HOWARD",C2182)),ISNUMBER(SEARCH("MISS CLAUDIA",C2182))),"Personal Travel - New Orleans",IF(AND(YEAR(B2182)=2025,MONTH(B2182)=4,OR(ISNUMBER(SEARCH("EXCHANGE RATE",C2182)),ISNUMBER(SEARCH("EXCHG RTE",C2182)))),"Personal Travel - Italy",IFERROR(INDEX('Category Rules'!$B$2:$B$358,MATCH(TRUE,ISNUMBER(SEARCH('Category Rules'!$A$2:$A$358,C2182)),0)),""))))))))</f>
        <v>Personal - Entertainment</v>
      </c>
    </row>
    <row r="2183" spans="1:7" x14ac:dyDescent="0.25">
      <c r="A2183" t="s">
        <v>6</v>
      </c>
      <c r="B2183" s="1">
        <v>45680</v>
      </c>
      <c r="C2183" t="s">
        <v>2308</v>
      </c>
      <c r="D2183">
        <v>-325.02</v>
      </c>
      <c r="E2183" t="s">
        <v>10</v>
      </c>
      <c r="F2183">
        <v>1507.15</v>
      </c>
      <c r="G2183" t="str" cm="1">
        <f t="array" ref="G2183">IF(AND(ISNUMBER(SEARCH("UBER",C2183)),ISNUMBER(SEARCH("EATS",C2183))),"Uber Eats",IF(LEFT(C2183,6)="CHECK ","Checks Paid",IF(OR(E2183="BILLPAY",ISNUMBER(SEARCH("FRANCHISE TAX",C2183)),ISNUMBER(SEARCH("NEXTLINK",C2183))),"Personal - House Bills",IF(AND(ISNUMBER(SEARCH("PAYMENT FROM",C2183)),ISNUMBER(SEARCH("JOE SAUNDERS",C2183))),"Zelle from Joe Saunders",IF(AND(ISNUMBER(SEARCH("PAYMENT TO",C2183)),ISNUMBER(SEARCH("JOE SAUNDERS",C2183))),"Zelle to Joe Saunders",IF(OR(ISNUMBER(SEARCH("NEW ORLEANS",C2183)),ISNUMBER(SEARCH("KENNER",C2183)),ISNUMBER(SEARCH("HENRY HOWARD",C2183)),ISNUMBER(SEARCH("MISS CLAUDIA",C2183))),"Personal Travel - New Orleans",IF(AND(YEAR(B2183)=2025,MONTH(B2183)=4,OR(ISNUMBER(SEARCH("EXCHANGE RATE",C2183)),ISNUMBER(SEARCH("EXCHG RTE",C2183)))),"Personal Travel - Italy",IFERROR(INDEX('Category Rules'!$B$2:$B$358,MATCH(TRUE,ISNUMBER(SEARCH('Category Rules'!$A$2:$A$358,C2183)),0)),""))))))))</f>
        <v>Personal - Shopping</v>
      </c>
    </row>
    <row r="2184" spans="1:7" x14ac:dyDescent="0.25">
      <c r="A2184" t="s">
        <v>6</v>
      </c>
      <c r="B2184" s="1">
        <v>45679</v>
      </c>
      <c r="C2184" t="s">
        <v>2309</v>
      </c>
      <c r="D2184">
        <v>-20.09</v>
      </c>
      <c r="E2184" t="s">
        <v>10</v>
      </c>
      <c r="F2184">
        <v>1832.17</v>
      </c>
      <c r="G2184" t="str" cm="1">
        <f t="array" ref="G2184">IF(AND(ISNUMBER(SEARCH("UBER",C2184)),ISNUMBER(SEARCH("EATS",C2184))),"Uber Eats",IF(LEFT(C2184,6)="CHECK ","Checks Paid",IF(OR(E2184="BILLPAY",ISNUMBER(SEARCH("FRANCHISE TAX",C2184)),ISNUMBER(SEARCH("NEXTLINK",C2184))),"Personal - House Bills",IF(AND(ISNUMBER(SEARCH("PAYMENT FROM",C2184)),ISNUMBER(SEARCH("JOE SAUNDERS",C2184))),"Zelle from Joe Saunders",IF(AND(ISNUMBER(SEARCH("PAYMENT TO",C2184)),ISNUMBER(SEARCH("JOE SAUNDERS",C2184))),"Zelle to Joe Saunders",IF(OR(ISNUMBER(SEARCH("NEW ORLEANS",C2184)),ISNUMBER(SEARCH("KENNER",C2184)),ISNUMBER(SEARCH("HENRY HOWARD",C2184)),ISNUMBER(SEARCH("MISS CLAUDIA",C2184))),"Personal Travel - New Orleans",IF(AND(YEAR(B2184)=2025,MONTH(B2184)=4,OR(ISNUMBER(SEARCH("EXCHANGE RATE",C2184)),ISNUMBER(SEARCH("EXCHG RTE",C2184)))),"Personal Travel - Italy",IFERROR(INDEX('Category Rules'!$B$2:$B$358,MATCH(TRUE,ISNUMBER(SEARCH('Category Rules'!$A$2:$A$358,C2184)),0)),""))))))))</f>
        <v>Personal - Health</v>
      </c>
    </row>
    <row r="2185" spans="1:7" x14ac:dyDescent="0.25">
      <c r="A2185" t="s">
        <v>6</v>
      </c>
      <c r="B2185" s="1">
        <v>45679</v>
      </c>
      <c r="C2185" t="s">
        <v>2310</v>
      </c>
      <c r="D2185">
        <v>-200</v>
      </c>
      <c r="E2185" t="s">
        <v>39</v>
      </c>
      <c r="F2185">
        <v>1852.26</v>
      </c>
      <c r="G2185" t="str" cm="1">
        <f t="array" ref="G2185">IF(AND(ISNUMBER(SEARCH("UBER",C2185)),ISNUMBER(SEARCH("EATS",C2185))),"Uber Eats",IF(LEFT(C2185,6)="CHECK ","Checks Paid",IF(OR(E2185="BILLPAY",ISNUMBER(SEARCH("FRANCHISE TAX",C2185)),ISNUMBER(SEARCH("NEXTLINK",C2185))),"Personal - House Bills",IF(AND(ISNUMBER(SEARCH("PAYMENT FROM",C2185)),ISNUMBER(SEARCH("JOE SAUNDERS",C2185))),"Zelle from Joe Saunders",IF(AND(ISNUMBER(SEARCH("PAYMENT TO",C2185)),ISNUMBER(SEARCH("JOE SAUNDERS",C2185))),"Zelle to Joe Saunders",IF(OR(ISNUMBER(SEARCH("NEW ORLEANS",C2185)),ISNUMBER(SEARCH("KENNER",C2185)),ISNUMBER(SEARCH("HENRY HOWARD",C2185)),ISNUMBER(SEARCH("MISS CLAUDIA",C2185))),"Personal Travel - New Orleans",IF(AND(YEAR(B2185)=2025,MONTH(B2185)=4,OR(ISNUMBER(SEARCH("EXCHANGE RATE",C2185)),ISNUMBER(SEARCH("EXCHG RTE",C2185)))),"Personal Travel - Italy",IFERROR(INDEX('Category Rules'!$B$2:$B$358,MATCH(TRUE,ISNUMBER(SEARCH('Category Rules'!$A$2:$A$358,C2185)),0)),""))))))))</f>
        <v>Zelle to Aaron Frankel</v>
      </c>
    </row>
    <row r="2186" spans="1:7" x14ac:dyDescent="0.25">
      <c r="A2186" t="s">
        <v>6</v>
      </c>
      <c r="B2186" s="1">
        <v>45679</v>
      </c>
      <c r="C2186" t="s">
        <v>2311</v>
      </c>
      <c r="D2186">
        <v>-21.89</v>
      </c>
      <c r="E2186" t="s">
        <v>10</v>
      </c>
      <c r="F2186">
        <v>2052.2600000000002</v>
      </c>
      <c r="G2186" t="str" cm="1">
        <f t="array" ref="G2186">IF(AND(ISNUMBER(SEARCH("UBER",C2186)),ISNUMBER(SEARCH("EATS",C2186))),"Uber Eats",IF(LEFT(C2186,6)="CHECK ","Checks Paid",IF(OR(E2186="BILLPAY",ISNUMBER(SEARCH("FRANCHISE TAX",C2186)),ISNUMBER(SEARCH("NEXTLINK",C2186))),"Personal - House Bills",IF(AND(ISNUMBER(SEARCH("PAYMENT FROM",C2186)),ISNUMBER(SEARCH("JOE SAUNDERS",C2186))),"Zelle from Joe Saunders",IF(AND(ISNUMBER(SEARCH("PAYMENT TO",C2186)),ISNUMBER(SEARCH("JOE SAUNDERS",C2186))),"Zelle to Joe Saunders",IF(OR(ISNUMBER(SEARCH("NEW ORLEANS",C2186)),ISNUMBER(SEARCH("KENNER",C2186)),ISNUMBER(SEARCH("HENRY HOWARD",C2186)),ISNUMBER(SEARCH("MISS CLAUDIA",C2186))),"Personal Travel - New Orleans",IF(AND(YEAR(B2186)=2025,MONTH(B2186)=4,OR(ISNUMBER(SEARCH("EXCHANGE RATE",C2186)),ISNUMBER(SEARCH("EXCHG RTE",C2186)))),"Personal Travel - Italy",IFERROR(INDEX('Category Rules'!$B$2:$B$358,MATCH(TRUE,ISNUMBER(SEARCH('Category Rules'!$A$2:$A$358,C2186)),0)),""))))))))</f>
        <v>Personal - Health</v>
      </c>
    </row>
    <row r="2187" spans="1:7" x14ac:dyDescent="0.25">
      <c r="A2187" t="s">
        <v>6</v>
      </c>
      <c r="B2187" s="1">
        <v>45679</v>
      </c>
      <c r="C2187" t="s">
        <v>2312</v>
      </c>
      <c r="D2187">
        <v>-121.48</v>
      </c>
      <c r="E2187" t="s">
        <v>10</v>
      </c>
      <c r="F2187">
        <v>2074.15</v>
      </c>
      <c r="G2187" t="str" cm="1">
        <f t="array" ref="G2187">IF(AND(ISNUMBER(SEARCH("UBER",C2187)),ISNUMBER(SEARCH("EATS",C2187))),"Uber Eats",IF(LEFT(C2187,6)="CHECK ","Checks Paid",IF(OR(E2187="BILLPAY",ISNUMBER(SEARCH("FRANCHISE TAX",C2187)),ISNUMBER(SEARCH("NEXTLINK",C2187))),"Personal - House Bills",IF(AND(ISNUMBER(SEARCH("PAYMENT FROM",C2187)),ISNUMBER(SEARCH("JOE SAUNDERS",C2187))),"Zelle from Joe Saunders",IF(AND(ISNUMBER(SEARCH("PAYMENT TO",C2187)),ISNUMBER(SEARCH("JOE SAUNDERS",C2187))),"Zelle to Joe Saunders",IF(OR(ISNUMBER(SEARCH("NEW ORLEANS",C2187)),ISNUMBER(SEARCH("KENNER",C2187)),ISNUMBER(SEARCH("HENRY HOWARD",C2187)),ISNUMBER(SEARCH("MISS CLAUDIA",C2187))),"Personal Travel - New Orleans",IF(AND(YEAR(B2187)=2025,MONTH(B2187)=4,OR(ISNUMBER(SEARCH("EXCHANGE RATE",C2187)),ISNUMBER(SEARCH("EXCHG RTE",C2187)))),"Personal Travel - Italy",IFERROR(INDEX('Category Rules'!$B$2:$B$358,MATCH(TRUE,ISNUMBER(SEARCH('Category Rules'!$A$2:$A$358,C2187)),0)),""))))))))</f>
        <v>Amazon</v>
      </c>
    </row>
    <row r="2188" spans="1:7" x14ac:dyDescent="0.25">
      <c r="A2188" t="s">
        <v>6</v>
      </c>
      <c r="B2188" s="1">
        <v>45678</v>
      </c>
      <c r="C2188" t="s">
        <v>2313</v>
      </c>
      <c r="D2188">
        <v>-189.75</v>
      </c>
      <c r="E2188" t="s">
        <v>10</v>
      </c>
      <c r="F2188">
        <v>2195.63</v>
      </c>
      <c r="G2188" t="str" cm="1">
        <f t="array" ref="G2188">IF(AND(ISNUMBER(SEARCH("UBER",C2188)),ISNUMBER(SEARCH("EATS",C2188))),"Uber Eats",IF(LEFT(C2188,6)="CHECK ","Checks Paid",IF(OR(E2188="BILLPAY",ISNUMBER(SEARCH("FRANCHISE TAX",C2188)),ISNUMBER(SEARCH("NEXTLINK",C2188))),"Personal - House Bills",IF(AND(ISNUMBER(SEARCH("PAYMENT FROM",C2188)),ISNUMBER(SEARCH("JOE SAUNDERS",C2188))),"Zelle from Joe Saunders",IF(AND(ISNUMBER(SEARCH("PAYMENT TO",C2188)),ISNUMBER(SEARCH("JOE SAUNDERS",C2188))),"Zelle to Joe Saunders",IF(OR(ISNUMBER(SEARCH("NEW ORLEANS",C2188)),ISNUMBER(SEARCH("KENNER",C2188)),ISNUMBER(SEARCH("HENRY HOWARD",C2188)),ISNUMBER(SEARCH("MISS CLAUDIA",C2188))),"Personal Travel - New Orleans",IF(AND(YEAR(B2188)=2025,MONTH(B2188)=4,OR(ISNUMBER(SEARCH("EXCHANGE RATE",C2188)),ISNUMBER(SEARCH("EXCHG RTE",C2188)))),"Personal Travel - Italy",IFERROR(INDEX('Category Rules'!$B$2:$B$358,MATCH(TRUE,ISNUMBER(SEARCH('Category Rules'!$A$2:$A$358,C2188)),0)),""))))))))</f>
        <v>Personal - Food</v>
      </c>
    </row>
    <row r="2189" spans="1:7" x14ac:dyDescent="0.25">
      <c r="A2189" t="s">
        <v>6</v>
      </c>
      <c r="B2189" s="1">
        <v>45678</v>
      </c>
      <c r="C2189" t="s">
        <v>2314</v>
      </c>
      <c r="D2189">
        <v>-55.79</v>
      </c>
      <c r="E2189" t="s">
        <v>10</v>
      </c>
      <c r="F2189">
        <v>2385.38</v>
      </c>
      <c r="G2189" t="str" cm="1">
        <f t="array" ref="G2189">IF(AND(ISNUMBER(SEARCH("UBER",C2189)),ISNUMBER(SEARCH("EATS",C2189))),"Uber Eats",IF(LEFT(C2189,6)="CHECK ","Checks Paid",IF(OR(E2189="BILLPAY",ISNUMBER(SEARCH("FRANCHISE TAX",C2189)),ISNUMBER(SEARCH("NEXTLINK",C2189))),"Personal - House Bills",IF(AND(ISNUMBER(SEARCH("PAYMENT FROM",C2189)),ISNUMBER(SEARCH("JOE SAUNDERS",C2189))),"Zelle from Joe Saunders",IF(AND(ISNUMBER(SEARCH("PAYMENT TO",C2189)),ISNUMBER(SEARCH("JOE SAUNDERS",C2189))),"Zelle to Joe Saunders",IF(OR(ISNUMBER(SEARCH("NEW ORLEANS",C2189)),ISNUMBER(SEARCH("KENNER",C2189)),ISNUMBER(SEARCH("HENRY HOWARD",C2189)),ISNUMBER(SEARCH("MISS CLAUDIA",C2189))),"Personal Travel - New Orleans",IF(AND(YEAR(B2189)=2025,MONTH(B2189)=4,OR(ISNUMBER(SEARCH("EXCHANGE RATE",C2189)),ISNUMBER(SEARCH("EXCHG RTE",C2189)))),"Personal Travel - Italy",IFERROR(INDEX('Category Rules'!$B$2:$B$358,MATCH(TRUE,ISNUMBER(SEARCH('Category Rules'!$A$2:$A$358,C2189)),0)),""))))))))</f>
        <v>Amazon</v>
      </c>
    </row>
    <row r="2190" spans="1:7" x14ac:dyDescent="0.25">
      <c r="A2190" t="s">
        <v>6</v>
      </c>
      <c r="B2190" s="1">
        <v>45678</v>
      </c>
      <c r="C2190" t="s">
        <v>2315</v>
      </c>
      <c r="D2190">
        <v>-90</v>
      </c>
      <c r="E2190" t="s">
        <v>10</v>
      </c>
      <c r="F2190">
        <v>2441.17</v>
      </c>
      <c r="G2190" t="str" cm="1">
        <f t="array" ref="G2190">IF(AND(ISNUMBER(SEARCH("UBER",C2190)),ISNUMBER(SEARCH("EATS",C2190))),"Uber Eats",IF(LEFT(C2190,6)="CHECK ","Checks Paid",IF(OR(E2190="BILLPAY",ISNUMBER(SEARCH("FRANCHISE TAX",C2190)),ISNUMBER(SEARCH("NEXTLINK",C2190))),"Personal - House Bills",IF(AND(ISNUMBER(SEARCH("PAYMENT FROM",C2190)),ISNUMBER(SEARCH("JOE SAUNDERS",C2190))),"Zelle from Joe Saunders",IF(AND(ISNUMBER(SEARCH("PAYMENT TO",C2190)),ISNUMBER(SEARCH("JOE SAUNDERS",C2190))),"Zelle to Joe Saunders",IF(OR(ISNUMBER(SEARCH("NEW ORLEANS",C2190)),ISNUMBER(SEARCH("KENNER",C2190)),ISNUMBER(SEARCH("HENRY HOWARD",C2190)),ISNUMBER(SEARCH("MISS CLAUDIA",C2190))),"Personal Travel - New Orleans",IF(AND(YEAR(B2190)=2025,MONTH(B2190)=4,OR(ISNUMBER(SEARCH("EXCHANGE RATE",C2190)),ISNUMBER(SEARCH("EXCHG RTE",C2190)))),"Personal Travel - Italy",IFERROR(INDEX('Category Rules'!$B$2:$B$358,MATCH(TRUE,ISNUMBER(SEARCH('Category Rules'!$A$2:$A$358,C2190)),0)),""))))))))</f>
        <v>Personal - Clothing</v>
      </c>
    </row>
    <row r="2191" spans="1:7" x14ac:dyDescent="0.25">
      <c r="A2191" t="s">
        <v>6</v>
      </c>
      <c r="B2191" s="1">
        <v>45678</v>
      </c>
      <c r="C2191" t="s">
        <v>2316</v>
      </c>
      <c r="D2191">
        <v>-28.96</v>
      </c>
      <c r="E2191" t="s">
        <v>10</v>
      </c>
      <c r="F2191">
        <v>2531.17</v>
      </c>
      <c r="G2191" t="str" cm="1">
        <f t="array" ref="G2191">IF(AND(ISNUMBER(SEARCH("UBER",C2191)),ISNUMBER(SEARCH("EATS",C2191))),"Uber Eats",IF(LEFT(C2191,6)="CHECK ","Checks Paid",IF(OR(E2191="BILLPAY",ISNUMBER(SEARCH("FRANCHISE TAX",C2191)),ISNUMBER(SEARCH("NEXTLINK",C2191))),"Personal - House Bills",IF(AND(ISNUMBER(SEARCH("PAYMENT FROM",C2191)),ISNUMBER(SEARCH("JOE SAUNDERS",C2191))),"Zelle from Joe Saunders",IF(AND(ISNUMBER(SEARCH("PAYMENT TO",C2191)),ISNUMBER(SEARCH("JOE SAUNDERS",C2191))),"Zelle to Joe Saunders",IF(OR(ISNUMBER(SEARCH("NEW ORLEANS",C2191)),ISNUMBER(SEARCH("KENNER",C2191)),ISNUMBER(SEARCH("HENRY HOWARD",C2191)),ISNUMBER(SEARCH("MISS CLAUDIA",C2191))),"Personal Travel - New Orleans",IF(AND(YEAR(B2191)=2025,MONTH(B2191)=4,OR(ISNUMBER(SEARCH("EXCHANGE RATE",C2191)),ISNUMBER(SEARCH("EXCHG RTE",C2191)))),"Personal Travel - Italy",IFERROR(INDEX('Category Rules'!$B$2:$B$358,MATCH(TRUE,ISNUMBER(SEARCH('Category Rules'!$A$2:$A$358,C2191)),0)),""))))))))</f>
        <v>Personal - Food</v>
      </c>
    </row>
    <row r="2192" spans="1:7" x14ac:dyDescent="0.25">
      <c r="A2192" t="s">
        <v>6</v>
      </c>
      <c r="B2192" s="1">
        <v>45678</v>
      </c>
      <c r="C2192" t="s">
        <v>2317</v>
      </c>
      <c r="D2192">
        <v>-497.66</v>
      </c>
      <c r="E2192" t="s">
        <v>10</v>
      </c>
      <c r="F2192">
        <v>2560.13</v>
      </c>
      <c r="G2192" t="str" cm="1">
        <f t="array" ref="G2192">IF(AND(ISNUMBER(SEARCH("UBER",C2192)),ISNUMBER(SEARCH("EATS",C2192))),"Uber Eats",IF(LEFT(C2192,6)="CHECK ","Checks Paid",IF(OR(E2192="BILLPAY",ISNUMBER(SEARCH("FRANCHISE TAX",C2192)),ISNUMBER(SEARCH("NEXTLINK",C2192))),"Personal - House Bills",IF(AND(ISNUMBER(SEARCH("PAYMENT FROM",C2192)),ISNUMBER(SEARCH("JOE SAUNDERS",C2192))),"Zelle from Joe Saunders",IF(AND(ISNUMBER(SEARCH("PAYMENT TO",C2192)),ISNUMBER(SEARCH("JOE SAUNDERS",C2192))),"Zelle to Joe Saunders",IF(OR(ISNUMBER(SEARCH("NEW ORLEANS",C2192)),ISNUMBER(SEARCH("KENNER",C2192)),ISNUMBER(SEARCH("HENRY HOWARD",C2192)),ISNUMBER(SEARCH("MISS CLAUDIA",C2192))),"Personal Travel - New Orleans",IF(AND(YEAR(B2192)=2025,MONTH(B2192)=4,OR(ISNUMBER(SEARCH("EXCHANGE RATE",C2192)),ISNUMBER(SEARCH("EXCHG RTE",C2192)))),"Personal Travel - Italy",IFERROR(INDEX('Category Rules'!$B$2:$B$358,MATCH(TRUE,ISNUMBER(SEARCH('Category Rules'!$A$2:$A$358,C2192)),0)),""))))))))</f>
        <v>Personal - Food</v>
      </c>
    </row>
    <row r="2193" spans="1:7" x14ac:dyDescent="0.25">
      <c r="A2193" t="s">
        <v>6</v>
      </c>
      <c r="B2193" s="1">
        <v>45678</v>
      </c>
      <c r="C2193" t="s">
        <v>2318</v>
      </c>
      <c r="D2193">
        <v>-149.96</v>
      </c>
      <c r="E2193" t="s">
        <v>10</v>
      </c>
      <c r="F2193">
        <v>3057.79</v>
      </c>
      <c r="G2193" t="str" cm="1">
        <f t="array" ref="G2193">IF(AND(ISNUMBER(SEARCH("UBER",C2193)),ISNUMBER(SEARCH("EATS",C2193))),"Uber Eats",IF(LEFT(C2193,6)="CHECK ","Checks Paid",IF(OR(E2193="BILLPAY",ISNUMBER(SEARCH("FRANCHISE TAX",C2193)),ISNUMBER(SEARCH("NEXTLINK",C2193))),"Personal - House Bills",IF(AND(ISNUMBER(SEARCH("PAYMENT FROM",C2193)),ISNUMBER(SEARCH("JOE SAUNDERS",C2193))),"Zelle from Joe Saunders",IF(AND(ISNUMBER(SEARCH("PAYMENT TO",C2193)),ISNUMBER(SEARCH("JOE SAUNDERS",C2193))),"Zelle to Joe Saunders",IF(OR(ISNUMBER(SEARCH("NEW ORLEANS",C2193)),ISNUMBER(SEARCH("KENNER",C2193)),ISNUMBER(SEARCH("HENRY HOWARD",C2193)),ISNUMBER(SEARCH("MISS CLAUDIA",C2193))),"Personal Travel - New Orleans",IF(AND(YEAR(B2193)=2025,MONTH(B2193)=4,OR(ISNUMBER(SEARCH("EXCHANGE RATE",C2193)),ISNUMBER(SEARCH("EXCHG RTE",C2193)))),"Personal Travel - Italy",IFERROR(INDEX('Category Rules'!$B$2:$B$358,MATCH(TRUE,ISNUMBER(SEARCH('Category Rules'!$A$2:$A$358,C2193)),0)),""))))))))</f>
        <v>Personal - House Bills</v>
      </c>
    </row>
    <row r="2194" spans="1:7" x14ac:dyDescent="0.25">
      <c r="A2194" t="s">
        <v>6</v>
      </c>
      <c r="B2194" s="1">
        <v>45678</v>
      </c>
      <c r="C2194" t="s">
        <v>2319</v>
      </c>
      <c r="D2194">
        <v>-345.94</v>
      </c>
      <c r="E2194" t="s">
        <v>10</v>
      </c>
      <c r="F2194">
        <v>3207.75</v>
      </c>
      <c r="G2194" t="str" cm="1">
        <f t="array" ref="G2194">IF(AND(ISNUMBER(SEARCH("UBER",C2194)),ISNUMBER(SEARCH("EATS",C2194))),"Uber Eats",IF(LEFT(C2194,6)="CHECK ","Checks Paid",IF(OR(E2194="BILLPAY",ISNUMBER(SEARCH("FRANCHISE TAX",C2194)),ISNUMBER(SEARCH("NEXTLINK",C2194))),"Personal - House Bills",IF(AND(ISNUMBER(SEARCH("PAYMENT FROM",C2194)),ISNUMBER(SEARCH("JOE SAUNDERS",C2194))),"Zelle from Joe Saunders",IF(AND(ISNUMBER(SEARCH("PAYMENT TO",C2194)),ISNUMBER(SEARCH("JOE SAUNDERS",C2194))),"Zelle to Joe Saunders",IF(OR(ISNUMBER(SEARCH("NEW ORLEANS",C2194)),ISNUMBER(SEARCH("KENNER",C2194)),ISNUMBER(SEARCH("HENRY HOWARD",C2194)),ISNUMBER(SEARCH("MISS CLAUDIA",C2194))),"Personal Travel - New Orleans",IF(AND(YEAR(B2194)=2025,MONTH(B2194)=4,OR(ISNUMBER(SEARCH("EXCHANGE RATE",C2194)),ISNUMBER(SEARCH("EXCHG RTE",C2194)))),"Personal Travel - Italy",IFERROR(INDEX('Category Rules'!$B$2:$B$358,MATCH(TRUE,ISNUMBER(SEARCH('Category Rules'!$A$2:$A$358,C2194)),0)),""))))))))</f>
        <v>Amazon</v>
      </c>
    </row>
    <row r="2195" spans="1:7" x14ac:dyDescent="0.25">
      <c r="A2195" t="s">
        <v>6</v>
      </c>
      <c r="B2195" s="1">
        <v>45678</v>
      </c>
      <c r="C2195" t="s">
        <v>2320</v>
      </c>
      <c r="D2195">
        <v>-610</v>
      </c>
      <c r="E2195" t="s">
        <v>10</v>
      </c>
      <c r="F2195">
        <v>3553.69</v>
      </c>
      <c r="G2195" t="str" cm="1">
        <f t="array" ref="G2195">IF(AND(ISNUMBER(SEARCH("UBER",C2195)),ISNUMBER(SEARCH("EATS",C2195))),"Uber Eats",IF(LEFT(C2195,6)="CHECK ","Checks Paid",IF(OR(E2195="BILLPAY",ISNUMBER(SEARCH("FRANCHISE TAX",C2195)),ISNUMBER(SEARCH("NEXTLINK",C2195))),"Personal - House Bills",IF(AND(ISNUMBER(SEARCH("PAYMENT FROM",C2195)),ISNUMBER(SEARCH("JOE SAUNDERS",C2195))),"Zelle from Joe Saunders",IF(AND(ISNUMBER(SEARCH("PAYMENT TO",C2195)),ISNUMBER(SEARCH("JOE SAUNDERS",C2195))),"Zelle to Joe Saunders",IF(OR(ISNUMBER(SEARCH("NEW ORLEANS",C2195)),ISNUMBER(SEARCH("KENNER",C2195)),ISNUMBER(SEARCH("HENRY HOWARD",C2195)),ISNUMBER(SEARCH("MISS CLAUDIA",C2195))),"Personal Travel - New Orleans",IF(AND(YEAR(B2195)=2025,MONTH(B2195)=4,OR(ISNUMBER(SEARCH("EXCHANGE RATE",C2195)),ISNUMBER(SEARCH("EXCHG RTE",C2195)))),"Personal Travel - Italy",IFERROR(INDEX('Category Rules'!$B$2:$B$358,MATCH(TRUE,ISNUMBER(SEARCH('Category Rules'!$A$2:$A$358,C2195)),0)),""))))))))</f>
        <v>Personal - Entertainment</v>
      </c>
    </row>
    <row r="2196" spans="1:7" x14ac:dyDescent="0.25">
      <c r="A2196" t="s">
        <v>6</v>
      </c>
      <c r="B2196" s="1">
        <v>45678</v>
      </c>
      <c r="C2196" t="s">
        <v>2321</v>
      </c>
      <c r="D2196">
        <v>-19.78</v>
      </c>
      <c r="E2196" t="s">
        <v>10</v>
      </c>
      <c r="F2196">
        <v>4163.6899999999996</v>
      </c>
      <c r="G2196" t="str" cm="1">
        <f t="array" ref="G2196">IF(AND(ISNUMBER(SEARCH("UBER",C2196)),ISNUMBER(SEARCH("EATS",C2196))),"Uber Eats",IF(LEFT(C2196,6)="CHECK ","Checks Paid",IF(OR(E2196="BILLPAY",ISNUMBER(SEARCH("FRANCHISE TAX",C2196)),ISNUMBER(SEARCH("NEXTLINK",C2196))),"Personal - House Bills",IF(AND(ISNUMBER(SEARCH("PAYMENT FROM",C2196)),ISNUMBER(SEARCH("JOE SAUNDERS",C2196))),"Zelle from Joe Saunders",IF(AND(ISNUMBER(SEARCH("PAYMENT TO",C2196)),ISNUMBER(SEARCH("JOE SAUNDERS",C2196))),"Zelle to Joe Saunders",IF(OR(ISNUMBER(SEARCH("NEW ORLEANS",C2196)),ISNUMBER(SEARCH("KENNER",C2196)),ISNUMBER(SEARCH("HENRY HOWARD",C2196)),ISNUMBER(SEARCH("MISS CLAUDIA",C2196))),"Personal Travel - New Orleans",IF(AND(YEAR(B2196)=2025,MONTH(B2196)=4,OR(ISNUMBER(SEARCH("EXCHANGE RATE",C2196)),ISNUMBER(SEARCH("EXCHG RTE",C2196)))),"Personal Travel - Italy",IFERROR(INDEX('Category Rules'!$B$2:$B$358,MATCH(TRUE,ISNUMBER(SEARCH('Category Rules'!$A$2:$A$358,C2196)),0)),""))))))))</f>
        <v>Personal - Entertainment</v>
      </c>
    </row>
    <row r="2197" spans="1:7" x14ac:dyDescent="0.25">
      <c r="A2197" t="s">
        <v>6</v>
      </c>
      <c r="B2197" s="1">
        <v>45678</v>
      </c>
      <c r="C2197" t="s">
        <v>2322</v>
      </c>
      <c r="D2197">
        <v>-392.5</v>
      </c>
      <c r="E2197" t="s">
        <v>10</v>
      </c>
      <c r="F2197">
        <v>4183.47</v>
      </c>
      <c r="G2197" t="str" cm="1">
        <f t="array" ref="G2197">IF(AND(ISNUMBER(SEARCH("UBER",C2197)),ISNUMBER(SEARCH("EATS",C2197))),"Uber Eats",IF(LEFT(C2197,6)="CHECK ","Checks Paid",IF(OR(E2197="BILLPAY",ISNUMBER(SEARCH("FRANCHISE TAX",C2197)),ISNUMBER(SEARCH("NEXTLINK",C2197))),"Personal - House Bills",IF(AND(ISNUMBER(SEARCH("PAYMENT FROM",C2197)),ISNUMBER(SEARCH("JOE SAUNDERS",C2197))),"Zelle from Joe Saunders",IF(AND(ISNUMBER(SEARCH("PAYMENT TO",C2197)),ISNUMBER(SEARCH("JOE SAUNDERS",C2197))),"Zelle to Joe Saunders",IF(OR(ISNUMBER(SEARCH("NEW ORLEANS",C2197)),ISNUMBER(SEARCH("KENNER",C2197)),ISNUMBER(SEARCH("HENRY HOWARD",C2197)),ISNUMBER(SEARCH("MISS CLAUDIA",C2197))),"Personal Travel - New Orleans",IF(AND(YEAR(B2197)=2025,MONTH(B2197)=4,OR(ISNUMBER(SEARCH("EXCHANGE RATE",C2197)),ISNUMBER(SEARCH("EXCHG RTE",C2197)))),"Personal Travel - Italy",IFERROR(INDEX('Category Rules'!$B$2:$B$358,MATCH(TRUE,ISNUMBER(SEARCH('Category Rules'!$A$2:$A$358,C2197)),0)),""))))))))</f>
        <v>Personal - Entertainment</v>
      </c>
    </row>
    <row r="2198" spans="1:7" x14ac:dyDescent="0.25">
      <c r="A2198" t="s">
        <v>6</v>
      </c>
      <c r="B2198" s="1">
        <v>45678</v>
      </c>
      <c r="C2198" t="s">
        <v>2321</v>
      </c>
      <c r="D2198">
        <v>-39.56</v>
      </c>
      <c r="E2198" t="s">
        <v>10</v>
      </c>
      <c r="F2198">
        <v>4575.97</v>
      </c>
      <c r="G2198" t="str" cm="1">
        <f t="array" ref="G2198">IF(AND(ISNUMBER(SEARCH("UBER",C2198)),ISNUMBER(SEARCH("EATS",C2198))),"Uber Eats",IF(LEFT(C2198,6)="CHECK ","Checks Paid",IF(OR(E2198="BILLPAY",ISNUMBER(SEARCH("FRANCHISE TAX",C2198)),ISNUMBER(SEARCH("NEXTLINK",C2198))),"Personal - House Bills",IF(AND(ISNUMBER(SEARCH("PAYMENT FROM",C2198)),ISNUMBER(SEARCH("JOE SAUNDERS",C2198))),"Zelle from Joe Saunders",IF(AND(ISNUMBER(SEARCH("PAYMENT TO",C2198)),ISNUMBER(SEARCH("JOE SAUNDERS",C2198))),"Zelle to Joe Saunders",IF(OR(ISNUMBER(SEARCH("NEW ORLEANS",C2198)),ISNUMBER(SEARCH("KENNER",C2198)),ISNUMBER(SEARCH("HENRY HOWARD",C2198)),ISNUMBER(SEARCH("MISS CLAUDIA",C2198))),"Personal Travel - New Orleans",IF(AND(YEAR(B2198)=2025,MONTH(B2198)=4,OR(ISNUMBER(SEARCH("EXCHANGE RATE",C2198)),ISNUMBER(SEARCH("EXCHG RTE",C2198)))),"Personal Travel - Italy",IFERROR(INDEX('Category Rules'!$B$2:$B$358,MATCH(TRUE,ISNUMBER(SEARCH('Category Rules'!$A$2:$A$358,C2198)),0)),""))))))))</f>
        <v>Personal - Entertainment</v>
      </c>
    </row>
    <row r="2199" spans="1:7" x14ac:dyDescent="0.25">
      <c r="A2199" t="s">
        <v>6</v>
      </c>
      <c r="B2199" s="1">
        <v>45678</v>
      </c>
      <c r="C2199" t="s">
        <v>2323</v>
      </c>
      <c r="D2199">
        <v>-667.53</v>
      </c>
      <c r="E2199" t="s">
        <v>10</v>
      </c>
      <c r="F2199">
        <v>4615.53</v>
      </c>
      <c r="G2199" t="str" cm="1">
        <f t="array" ref="G2199">IF(AND(ISNUMBER(SEARCH("UBER",C2199)),ISNUMBER(SEARCH("EATS",C2199))),"Uber Eats",IF(LEFT(C2199,6)="CHECK ","Checks Paid",IF(OR(E2199="BILLPAY",ISNUMBER(SEARCH("FRANCHISE TAX",C2199)),ISNUMBER(SEARCH("NEXTLINK",C2199))),"Personal - House Bills",IF(AND(ISNUMBER(SEARCH("PAYMENT FROM",C2199)),ISNUMBER(SEARCH("JOE SAUNDERS",C2199))),"Zelle from Joe Saunders",IF(AND(ISNUMBER(SEARCH("PAYMENT TO",C2199)),ISNUMBER(SEARCH("JOE SAUNDERS",C2199))),"Zelle to Joe Saunders",IF(OR(ISNUMBER(SEARCH("NEW ORLEANS",C2199)),ISNUMBER(SEARCH("KENNER",C2199)),ISNUMBER(SEARCH("HENRY HOWARD",C2199)),ISNUMBER(SEARCH("MISS CLAUDIA",C2199))),"Personal Travel - New Orleans",IF(AND(YEAR(B2199)=2025,MONTH(B2199)=4,OR(ISNUMBER(SEARCH("EXCHANGE RATE",C2199)),ISNUMBER(SEARCH("EXCHG RTE",C2199)))),"Personal Travel - Italy",IFERROR(INDEX('Category Rules'!$B$2:$B$358,MATCH(TRUE,ISNUMBER(SEARCH('Category Rules'!$A$2:$A$358,C2199)),0)),""))))))))</f>
        <v>Personal - Food</v>
      </c>
    </row>
    <row r="2200" spans="1:7" x14ac:dyDescent="0.25">
      <c r="A2200" t="s">
        <v>6</v>
      </c>
      <c r="B2200" s="1">
        <v>45678</v>
      </c>
      <c r="C2200" t="s">
        <v>2324</v>
      </c>
      <c r="D2200">
        <v>-120.34</v>
      </c>
      <c r="E2200" t="s">
        <v>10</v>
      </c>
      <c r="F2200">
        <v>5283.06</v>
      </c>
      <c r="G2200" t="str" cm="1">
        <f t="array" ref="G2200">IF(AND(ISNUMBER(SEARCH("UBER",C2200)),ISNUMBER(SEARCH("EATS",C2200))),"Uber Eats",IF(LEFT(C2200,6)="CHECK ","Checks Paid",IF(OR(E2200="BILLPAY",ISNUMBER(SEARCH("FRANCHISE TAX",C2200)),ISNUMBER(SEARCH("NEXTLINK",C2200))),"Personal - House Bills",IF(AND(ISNUMBER(SEARCH("PAYMENT FROM",C2200)),ISNUMBER(SEARCH("JOE SAUNDERS",C2200))),"Zelle from Joe Saunders",IF(AND(ISNUMBER(SEARCH("PAYMENT TO",C2200)),ISNUMBER(SEARCH("JOE SAUNDERS",C2200))),"Zelle to Joe Saunders",IF(OR(ISNUMBER(SEARCH("NEW ORLEANS",C2200)),ISNUMBER(SEARCH("KENNER",C2200)),ISNUMBER(SEARCH("HENRY HOWARD",C2200)),ISNUMBER(SEARCH("MISS CLAUDIA",C2200))),"Personal Travel - New Orleans",IF(AND(YEAR(B2200)=2025,MONTH(B2200)=4,OR(ISNUMBER(SEARCH("EXCHANGE RATE",C2200)),ISNUMBER(SEARCH("EXCHG RTE",C2200)))),"Personal Travel - Italy",IFERROR(INDEX('Category Rules'!$B$2:$B$358,MATCH(TRUE,ISNUMBER(SEARCH('Category Rules'!$A$2:$A$358,C2200)),0)),""))))))))</f>
        <v>Amazon</v>
      </c>
    </row>
    <row r="2201" spans="1:7" x14ac:dyDescent="0.25">
      <c r="A2201" t="s">
        <v>6</v>
      </c>
      <c r="B2201" s="1">
        <v>45678</v>
      </c>
      <c r="C2201" t="s">
        <v>2325</v>
      </c>
      <c r="D2201">
        <v>-27.34</v>
      </c>
      <c r="E2201" t="s">
        <v>10</v>
      </c>
      <c r="F2201">
        <v>5403.4</v>
      </c>
      <c r="G2201" t="str" cm="1">
        <f t="array" ref="G2201">IF(AND(ISNUMBER(SEARCH("UBER",C2201)),ISNUMBER(SEARCH("EATS",C2201))),"Uber Eats",IF(LEFT(C2201,6)="CHECK ","Checks Paid",IF(OR(E2201="BILLPAY",ISNUMBER(SEARCH("FRANCHISE TAX",C2201)),ISNUMBER(SEARCH("NEXTLINK",C2201))),"Personal - House Bills",IF(AND(ISNUMBER(SEARCH("PAYMENT FROM",C2201)),ISNUMBER(SEARCH("JOE SAUNDERS",C2201))),"Zelle from Joe Saunders",IF(AND(ISNUMBER(SEARCH("PAYMENT TO",C2201)),ISNUMBER(SEARCH("JOE SAUNDERS",C2201))),"Zelle to Joe Saunders",IF(OR(ISNUMBER(SEARCH("NEW ORLEANS",C2201)),ISNUMBER(SEARCH("KENNER",C2201)),ISNUMBER(SEARCH("HENRY HOWARD",C2201)),ISNUMBER(SEARCH("MISS CLAUDIA",C2201))),"Personal Travel - New Orleans",IF(AND(YEAR(B2201)=2025,MONTH(B2201)=4,OR(ISNUMBER(SEARCH("EXCHANGE RATE",C2201)),ISNUMBER(SEARCH("EXCHG RTE",C2201)))),"Personal Travel - Italy",IFERROR(INDEX('Category Rules'!$B$2:$B$358,MATCH(TRUE,ISNUMBER(SEARCH('Category Rules'!$A$2:$A$358,C2201)),0)),""))))))))</f>
        <v>Personal - Shopping</v>
      </c>
    </row>
    <row r="2202" spans="1:7" x14ac:dyDescent="0.25">
      <c r="A2202" t="s">
        <v>6</v>
      </c>
      <c r="B2202" s="1">
        <v>45678</v>
      </c>
      <c r="C2202" t="s">
        <v>2326</v>
      </c>
      <c r="D2202">
        <v>-199.15</v>
      </c>
      <c r="E2202" t="s">
        <v>10</v>
      </c>
      <c r="F2202">
        <v>5430.74</v>
      </c>
      <c r="G2202" t="str" cm="1">
        <f t="array" ref="G2202">IF(AND(ISNUMBER(SEARCH("UBER",C2202)),ISNUMBER(SEARCH("EATS",C2202))),"Uber Eats",IF(LEFT(C2202,6)="CHECK ","Checks Paid",IF(OR(E2202="BILLPAY",ISNUMBER(SEARCH("FRANCHISE TAX",C2202)),ISNUMBER(SEARCH("NEXTLINK",C2202))),"Personal - House Bills",IF(AND(ISNUMBER(SEARCH("PAYMENT FROM",C2202)),ISNUMBER(SEARCH("JOE SAUNDERS",C2202))),"Zelle from Joe Saunders",IF(AND(ISNUMBER(SEARCH("PAYMENT TO",C2202)),ISNUMBER(SEARCH("JOE SAUNDERS",C2202))),"Zelle to Joe Saunders",IF(OR(ISNUMBER(SEARCH("NEW ORLEANS",C2202)),ISNUMBER(SEARCH("KENNER",C2202)),ISNUMBER(SEARCH("HENRY HOWARD",C2202)),ISNUMBER(SEARCH("MISS CLAUDIA",C2202))),"Personal Travel - New Orleans",IF(AND(YEAR(B2202)=2025,MONTH(B2202)=4,OR(ISNUMBER(SEARCH("EXCHANGE RATE",C2202)),ISNUMBER(SEARCH("EXCHG RTE",C2202)))),"Personal Travel - Italy",IFERROR(INDEX('Category Rules'!$B$2:$B$358,MATCH(TRUE,ISNUMBER(SEARCH('Category Rules'!$A$2:$A$358,C2202)),0)),""))))))))</f>
        <v>Personal - Shopping</v>
      </c>
    </row>
    <row r="2203" spans="1:7" x14ac:dyDescent="0.25">
      <c r="A2203" t="s">
        <v>6</v>
      </c>
      <c r="B2203" s="1">
        <v>45678</v>
      </c>
      <c r="C2203" t="s">
        <v>2327</v>
      </c>
      <c r="D2203">
        <v>-175.41</v>
      </c>
      <c r="E2203" t="s">
        <v>10</v>
      </c>
      <c r="F2203">
        <v>5629.89</v>
      </c>
      <c r="G2203" t="str" cm="1">
        <f t="array" ref="G2203">IF(AND(ISNUMBER(SEARCH("UBER",C2203)),ISNUMBER(SEARCH("EATS",C2203))),"Uber Eats",IF(LEFT(C2203,6)="CHECK ","Checks Paid",IF(OR(E2203="BILLPAY",ISNUMBER(SEARCH("FRANCHISE TAX",C2203)),ISNUMBER(SEARCH("NEXTLINK",C2203))),"Personal - House Bills",IF(AND(ISNUMBER(SEARCH("PAYMENT FROM",C2203)),ISNUMBER(SEARCH("JOE SAUNDERS",C2203))),"Zelle from Joe Saunders",IF(AND(ISNUMBER(SEARCH("PAYMENT TO",C2203)),ISNUMBER(SEARCH("JOE SAUNDERS",C2203))),"Zelle to Joe Saunders",IF(OR(ISNUMBER(SEARCH("NEW ORLEANS",C2203)),ISNUMBER(SEARCH("KENNER",C2203)),ISNUMBER(SEARCH("HENRY HOWARD",C2203)),ISNUMBER(SEARCH("MISS CLAUDIA",C2203))),"Personal Travel - New Orleans",IF(AND(YEAR(B2203)=2025,MONTH(B2203)=4,OR(ISNUMBER(SEARCH("EXCHANGE RATE",C2203)),ISNUMBER(SEARCH("EXCHG RTE",C2203)))),"Personal Travel - Italy",IFERROR(INDEX('Category Rules'!$B$2:$B$358,MATCH(TRUE,ISNUMBER(SEARCH('Category Rules'!$A$2:$A$358,C2203)),0)),""))))))))</f>
        <v>Amazon</v>
      </c>
    </row>
    <row r="2204" spans="1:7" x14ac:dyDescent="0.25">
      <c r="A2204" t="s">
        <v>6</v>
      </c>
      <c r="B2204" s="1">
        <v>45678</v>
      </c>
      <c r="C2204" t="s">
        <v>2328</v>
      </c>
      <c r="D2204">
        <v>-137.93</v>
      </c>
      <c r="E2204" t="s">
        <v>10</v>
      </c>
      <c r="F2204">
        <v>5805.3</v>
      </c>
      <c r="G2204" t="str" cm="1">
        <f t="array" ref="G2204">IF(AND(ISNUMBER(SEARCH("UBER",C2204)),ISNUMBER(SEARCH("EATS",C2204))),"Uber Eats",IF(LEFT(C2204,6)="CHECK ","Checks Paid",IF(OR(E2204="BILLPAY",ISNUMBER(SEARCH("FRANCHISE TAX",C2204)),ISNUMBER(SEARCH("NEXTLINK",C2204))),"Personal - House Bills",IF(AND(ISNUMBER(SEARCH("PAYMENT FROM",C2204)),ISNUMBER(SEARCH("JOE SAUNDERS",C2204))),"Zelle from Joe Saunders",IF(AND(ISNUMBER(SEARCH("PAYMENT TO",C2204)),ISNUMBER(SEARCH("JOE SAUNDERS",C2204))),"Zelle to Joe Saunders",IF(OR(ISNUMBER(SEARCH("NEW ORLEANS",C2204)),ISNUMBER(SEARCH("KENNER",C2204)),ISNUMBER(SEARCH("HENRY HOWARD",C2204)),ISNUMBER(SEARCH("MISS CLAUDIA",C2204))),"Personal Travel - New Orleans",IF(AND(YEAR(B2204)=2025,MONTH(B2204)=4,OR(ISNUMBER(SEARCH("EXCHANGE RATE",C2204)),ISNUMBER(SEARCH("EXCHG RTE",C2204)))),"Personal Travel - Italy",IFERROR(INDEX('Category Rules'!$B$2:$B$358,MATCH(TRUE,ISNUMBER(SEARCH('Category Rules'!$A$2:$A$358,C2204)),0)),""))))))))</f>
        <v>Amazon</v>
      </c>
    </row>
    <row r="2205" spans="1:7" x14ac:dyDescent="0.25">
      <c r="A2205" t="s">
        <v>6</v>
      </c>
      <c r="B2205" s="1">
        <v>45678</v>
      </c>
      <c r="C2205" t="s">
        <v>2329</v>
      </c>
      <c r="D2205">
        <v>-84.27</v>
      </c>
      <c r="E2205" t="s">
        <v>10</v>
      </c>
      <c r="F2205">
        <v>5943.23</v>
      </c>
      <c r="G2205" t="str" cm="1">
        <f t="array" ref="G2205">IF(AND(ISNUMBER(SEARCH("UBER",C2205)),ISNUMBER(SEARCH("EATS",C2205))),"Uber Eats",IF(LEFT(C2205,6)="CHECK ","Checks Paid",IF(OR(E2205="BILLPAY",ISNUMBER(SEARCH("FRANCHISE TAX",C2205)),ISNUMBER(SEARCH("NEXTLINK",C2205))),"Personal - House Bills",IF(AND(ISNUMBER(SEARCH("PAYMENT FROM",C2205)),ISNUMBER(SEARCH("JOE SAUNDERS",C2205))),"Zelle from Joe Saunders",IF(AND(ISNUMBER(SEARCH("PAYMENT TO",C2205)),ISNUMBER(SEARCH("JOE SAUNDERS",C2205))),"Zelle to Joe Saunders",IF(OR(ISNUMBER(SEARCH("NEW ORLEANS",C2205)),ISNUMBER(SEARCH("KENNER",C2205)),ISNUMBER(SEARCH("HENRY HOWARD",C2205)),ISNUMBER(SEARCH("MISS CLAUDIA",C2205))),"Personal Travel - New Orleans",IF(AND(YEAR(B2205)=2025,MONTH(B2205)=4,OR(ISNUMBER(SEARCH("EXCHANGE RATE",C2205)),ISNUMBER(SEARCH("EXCHG RTE",C2205)))),"Personal Travel - Italy",IFERROR(INDEX('Category Rules'!$B$2:$B$358,MATCH(TRUE,ISNUMBER(SEARCH('Category Rules'!$A$2:$A$358,C2205)),0)),""))))))))</f>
        <v>Amazon</v>
      </c>
    </row>
    <row r="2206" spans="1:7" x14ac:dyDescent="0.25">
      <c r="A2206" t="s">
        <v>44</v>
      </c>
      <c r="B2206" s="1">
        <v>45678</v>
      </c>
      <c r="C2206" t="s">
        <v>2330</v>
      </c>
      <c r="D2206">
        <v>175</v>
      </c>
      <c r="E2206" t="s">
        <v>464</v>
      </c>
      <c r="F2206">
        <v>6027.5</v>
      </c>
      <c r="G2206" t="str" cm="1">
        <f t="array" ref="G2206">IF(AND(ISNUMBER(SEARCH("UBER",C2206)),ISNUMBER(SEARCH("EATS",C2206))),"Uber Eats",IF(LEFT(C2206,6)="CHECK ","Checks Paid",IF(OR(E2206="BILLPAY",ISNUMBER(SEARCH("FRANCHISE TAX",C2206)),ISNUMBER(SEARCH("NEXTLINK",C2206))),"Personal - House Bills",IF(AND(ISNUMBER(SEARCH("PAYMENT FROM",C2206)),ISNUMBER(SEARCH("JOE SAUNDERS",C2206))),"Zelle from Joe Saunders",IF(AND(ISNUMBER(SEARCH("PAYMENT TO",C2206)),ISNUMBER(SEARCH("JOE SAUNDERS",C2206))),"Zelle to Joe Saunders",IF(OR(ISNUMBER(SEARCH("NEW ORLEANS",C2206)),ISNUMBER(SEARCH("KENNER",C2206)),ISNUMBER(SEARCH("HENRY HOWARD",C2206)),ISNUMBER(SEARCH("MISS CLAUDIA",C2206))),"Personal Travel - New Orleans",IF(AND(YEAR(B2206)=2025,MONTH(B2206)=4,OR(ISNUMBER(SEARCH("EXCHANGE RATE",C2206)),ISNUMBER(SEARCH("EXCHG RTE",C2206)))),"Personal Travel - Italy",IFERROR(INDEX('Category Rules'!$B$2:$B$358,MATCH(TRUE,ISNUMBER(SEARCH('Category Rules'!$A$2:$A$358,C2206)),0)),""))))))))</f>
        <v>Zelle from Aileen Smollins</v>
      </c>
    </row>
    <row r="2207" spans="1:7" x14ac:dyDescent="0.25">
      <c r="A2207" t="s">
        <v>44</v>
      </c>
      <c r="B2207" s="1">
        <v>45678</v>
      </c>
      <c r="C2207" t="s">
        <v>2331</v>
      </c>
      <c r="D2207">
        <v>2000</v>
      </c>
      <c r="E2207" t="s">
        <v>73</v>
      </c>
      <c r="F2207">
        <v>5852.5</v>
      </c>
      <c r="G2207" t="str" cm="1">
        <f t="array" ref="G2207">IF(AND(ISNUMBER(SEARCH("UBER",C2207)),ISNUMBER(SEARCH("EATS",C2207))),"Uber Eats",IF(LEFT(C2207,6)="CHECK ","Checks Paid",IF(OR(E2207="BILLPAY",ISNUMBER(SEARCH("FRANCHISE TAX",C2207)),ISNUMBER(SEARCH("NEXTLINK",C2207))),"Personal - House Bills",IF(AND(ISNUMBER(SEARCH("PAYMENT FROM",C2207)),ISNUMBER(SEARCH("JOE SAUNDERS",C2207))),"Zelle from Joe Saunders",IF(AND(ISNUMBER(SEARCH("PAYMENT TO",C2207)),ISNUMBER(SEARCH("JOE SAUNDERS",C2207))),"Zelle to Joe Saunders",IF(OR(ISNUMBER(SEARCH("NEW ORLEANS",C2207)),ISNUMBER(SEARCH("KENNER",C2207)),ISNUMBER(SEARCH("HENRY HOWARD",C2207)),ISNUMBER(SEARCH("MISS CLAUDIA",C2207))),"Personal Travel - New Orleans",IF(AND(YEAR(B2207)=2025,MONTH(B2207)=4,OR(ISNUMBER(SEARCH("EXCHANGE RATE",C2207)),ISNUMBER(SEARCH("EXCHG RTE",C2207)))),"Personal Travel - Italy",IFERROR(INDEX('Category Rules'!$B$2:$B$358,MATCH(TRUE,ISNUMBER(SEARCH('Category Rules'!$A$2:$A$358,C2207)),0)),""))))))))</f>
        <v>Transfer from DWG Capital Group</v>
      </c>
    </row>
    <row r="2208" spans="1:7" x14ac:dyDescent="0.25">
      <c r="A2208" t="s">
        <v>44</v>
      </c>
      <c r="B2208" s="1">
        <v>45678</v>
      </c>
      <c r="C2208" t="s">
        <v>2332</v>
      </c>
      <c r="D2208">
        <v>2000</v>
      </c>
      <c r="E2208" t="s">
        <v>73</v>
      </c>
      <c r="F2208">
        <v>3852.5</v>
      </c>
      <c r="G2208" t="str" cm="1">
        <f t="array" ref="G2208">IF(AND(ISNUMBER(SEARCH("UBER",C2208)),ISNUMBER(SEARCH("EATS",C2208))),"Uber Eats",IF(LEFT(C2208,6)="CHECK ","Checks Paid",IF(OR(E2208="BILLPAY",ISNUMBER(SEARCH("FRANCHISE TAX",C2208)),ISNUMBER(SEARCH("NEXTLINK",C2208))),"Personal - House Bills",IF(AND(ISNUMBER(SEARCH("PAYMENT FROM",C2208)),ISNUMBER(SEARCH("JOE SAUNDERS",C2208))),"Zelle from Joe Saunders",IF(AND(ISNUMBER(SEARCH("PAYMENT TO",C2208)),ISNUMBER(SEARCH("JOE SAUNDERS",C2208))),"Zelle to Joe Saunders",IF(OR(ISNUMBER(SEARCH("NEW ORLEANS",C2208)),ISNUMBER(SEARCH("KENNER",C2208)),ISNUMBER(SEARCH("HENRY HOWARD",C2208)),ISNUMBER(SEARCH("MISS CLAUDIA",C2208))),"Personal Travel - New Orleans",IF(AND(YEAR(B2208)=2025,MONTH(B2208)=4,OR(ISNUMBER(SEARCH("EXCHANGE RATE",C2208)),ISNUMBER(SEARCH("EXCHG RTE",C2208)))),"Personal Travel - Italy",IFERROR(INDEX('Category Rules'!$B$2:$B$358,MATCH(TRUE,ISNUMBER(SEARCH('Category Rules'!$A$2:$A$358,C2208)),0)),""))))))))</f>
        <v>Transfer from DWG Capital Group</v>
      </c>
    </row>
    <row r="2209" spans="1:7" x14ac:dyDescent="0.25">
      <c r="A2209" t="s">
        <v>44</v>
      </c>
      <c r="B2209" s="1">
        <v>45678</v>
      </c>
      <c r="C2209" t="s">
        <v>2333</v>
      </c>
      <c r="D2209">
        <v>175</v>
      </c>
      <c r="E2209" t="s">
        <v>339</v>
      </c>
      <c r="F2209">
        <v>1852.5</v>
      </c>
      <c r="G2209" t="str" cm="1">
        <f t="array" ref="G2209">IF(AND(ISNUMBER(SEARCH("UBER",C2209)),ISNUMBER(SEARCH("EATS",C2209))),"Uber Eats",IF(LEFT(C2209,6)="CHECK ","Checks Paid",IF(OR(E2209="BILLPAY",ISNUMBER(SEARCH("FRANCHISE TAX",C2209)),ISNUMBER(SEARCH("NEXTLINK",C2209))),"Personal - House Bills",IF(AND(ISNUMBER(SEARCH("PAYMENT FROM",C2209)),ISNUMBER(SEARCH("JOE SAUNDERS",C2209))),"Zelle from Joe Saunders",IF(AND(ISNUMBER(SEARCH("PAYMENT TO",C2209)),ISNUMBER(SEARCH("JOE SAUNDERS",C2209))),"Zelle to Joe Saunders",IF(OR(ISNUMBER(SEARCH("NEW ORLEANS",C2209)),ISNUMBER(SEARCH("KENNER",C2209)),ISNUMBER(SEARCH("HENRY HOWARD",C2209)),ISNUMBER(SEARCH("MISS CLAUDIA",C2209))),"Personal Travel - New Orleans",IF(AND(YEAR(B2209)=2025,MONTH(B2209)=4,OR(ISNUMBER(SEARCH("EXCHANGE RATE",C2209)),ISNUMBER(SEARCH("EXCHG RTE",C2209)))),"Personal Travel - Italy",IFERROR(INDEX('Category Rules'!$B$2:$B$358,MATCH(TRUE,ISNUMBER(SEARCH('Category Rules'!$A$2:$A$358,C2209)),0)),""))))))))</f>
        <v>Deposit</v>
      </c>
    </row>
    <row r="2210" spans="1:7" x14ac:dyDescent="0.25">
      <c r="A2210" t="s">
        <v>6</v>
      </c>
      <c r="B2210" s="1">
        <v>45674</v>
      </c>
      <c r="C2210" t="s">
        <v>2334</v>
      </c>
      <c r="D2210">
        <v>-101.51</v>
      </c>
      <c r="E2210" t="s">
        <v>10</v>
      </c>
      <c r="F2210">
        <v>1677.5</v>
      </c>
      <c r="G2210" t="str" cm="1">
        <f t="array" ref="G2210">IF(AND(ISNUMBER(SEARCH("UBER",C2210)),ISNUMBER(SEARCH("EATS",C2210))),"Uber Eats",IF(LEFT(C2210,6)="CHECK ","Checks Paid",IF(OR(E2210="BILLPAY",ISNUMBER(SEARCH("FRANCHISE TAX",C2210)),ISNUMBER(SEARCH("NEXTLINK",C2210))),"Personal - House Bills",IF(AND(ISNUMBER(SEARCH("PAYMENT FROM",C2210)),ISNUMBER(SEARCH("JOE SAUNDERS",C2210))),"Zelle from Joe Saunders",IF(AND(ISNUMBER(SEARCH("PAYMENT TO",C2210)),ISNUMBER(SEARCH("JOE SAUNDERS",C2210))),"Zelle to Joe Saunders",IF(OR(ISNUMBER(SEARCH("NEW ORLEANS",C2210)),ISNUMBER(SEARCH("KENNER",C2210)),ISNUMBER(SEARCH("HENRY HOWARD",C2210)),ISNUMBER(SEARCH("MISS CLAUDIA",C2210))),"Personal Travel - New Orleans",IF(AND(YEAR(B2210)=2025,MONTH(B2210)=4,OR(ISNUMBER(SEARCH("EXCHANGE RATE",C2210)),ISNUMBER(SEARCH("EXCHG RTE",C2210)))),"Personal Travel - Italy",IFERROR(INDEX('Category Rules'!$B$2:$B$358,MATCH(TRUE,ISNUMBER(SEARCH('Category Rules'!$A$2:$A$358,C2210)),0)),""))))))))</f>
        <v>Personal - Health</v>
      </c>
    </row>
    <row r="2211" spans="1:7" x14ac:dyDescent="0.25">
      <c r="A2211" t="s">
        <v>6</v>
      </c>
      <c r="B2211" s="1">
        <v>45674</v>
      </c>
      <c r="C2211" t="s">
        <v>2335</v>
      </c>
      <c r="D2211">
        <v>-2</v>
      </c>
      <c r="E2211" t="s">
        <v>10</v>
      </c>
      <c r="F2211">
        <v>1779.01</v>
      </c>
      <c r="G2211" t="str" cm="1">
        <f t="array" ref="G2211">IF(AND(ISNUMBER(SEARCH("UBER",C2211)),ISNUMBER(SEARCH("EATS",C2211))),"Uber Eats",IF(LEFT(C2211,6)="CHECK ","Checks Paid",IF(OR(E2211="BILLPAY",ISNUMBER(SEARCH("FRANCHISE TAX",C2211)),ISNUMBER(SEARCH("NEXTLINK",C2211))),"Personal - House Bills",IF(AND(ISNUMBER(SEARCH("PAYMENT FROM",C2211)),ISNUMBER(SEARCH("JOE SAUNDERS",C2211))),"Zelle from Joe Saunders",IF(AND(ISNUMBER(SEARCH("PAYMENT TO",C2211)),ISNUMBER(SEARCH("JOE SAUNDERS",C2211))),"Zelle to Joe Saunders",IF(OR(ISNUMBER(SEARCH("NEW ORLEANS",C2211)),ISNUMBER(SEARCH("KENNER",C2211)),ISNUMBER(SEARCH("HENRY HOWARD",C2211)),ISNUMBER(SEARCH("MISS CLAUDIA",C2211))),"Personal Travel - New Orleans",IF(AND(YEAR(B2211)=2025,MONTH(B2211)=4,OR(ISNUMBER(SEARCH("EXCHANGE RATE",C2211)),ISNUMBER(SEARCH("EXCHG RTE",C2211)))),"Personal Travel - Italy",IFERROR(INDEX('Category Rules'!$B$2:$B$358,MATCH(TRUE,ISNUMBER(SEARCH('Category Rules'!$A$2:$A$358,C2211)),0)),""))))))))</f>
        <v>Personal - Car</v>
      </c>
    </row>
    <row r="2212" spans="1:7" x14ac:dyDescent="0.25">
      <c r="A2212" t="s">
        <v>6</v>
      </c>
      <c r="B2212" s="1">
        <v>45674</v>
      </c>
      <c r="C2212" t="s">
        <v>2336</v>
      </c>
      <c r="D2212">
        <v>-200</v>
      </c>
      <c r="E2212" t="s">
        <v>10</v>
      </c>
      <c r="F2212">
        <v>1781.01</v>
      </c>
      <c r="G2212" t="str" cm="1">
        <f t="array" ref="G2212">IF(AND(ISNUMBER(SEARCH("UBER",C2212)),ISNUMBER(SEARCH("EATS",C2212))),"Uber Eats",IF(LEFT(C2212,6)="CHECK ","Checks Paid",IF(OR(E2212="BILLPAY",ISNUMBER(SEARCH("FRANCHISE TAX",C2212)),ISNUMBER(SEARCH("NEXTLINK",C2212))),"Personal - House Bills",IF(AND(ISNUMBER(SEARCH("PAYMENT FROM",C2212)),ISNUMBER(SEARCH("JOE SAUNDERS",C2212))),"Zelle from Joe Saunders",IF(AND(ISNUMBER(SEARCH("PAYMENT TO",C2212)),ISNUMBER(SEARCH("JOE SAUNDERS",C2212))),"Zelle to Joe Saunders",IF(OR(ISNUMBER(SEARCH("NEW ORLEANS",C2212)),ISNUMBER(SEARCH("KENNER",C2212)),ISNUMBER(SEARCH("HENRY HOWARD",C2212)),ISNUMBER(SEARCH("MISS CLAUDIA",C2212))),"Personal Travel - New Orleans",IF(AND(YEAR(B2212)=2025,MONTH(B2212)=4,OR(ISNUMBER(SEARCH("EXCHANGE RATE",C2212)),ISNUMBER(SEARCH("EXCHG RTE",C2212)))),"Personal Travel - Italy",IFERROR(INDEX('Category Rules'!$B$2:$B$358,MATCH(TRUE,ISNUMBER(SEARCH('Category Rules'!$A$2:$A$358,C2212)),0)),""))))))))</f>
        <v>Personal - Health</v>
      </c>
    </row>
    <row r="2213" spans="1:7" x14ac:dyDescent="0.25">
      <c r="A2213" t="s">
        <v>6</v>
      </c>
      <c r="B2213" s="1">
        <v>45674</v>
      </c>
      <c r="C2213" t="s">
        <v>2337</v>
      </c>
      <c r="D2213">
        <v>-40</v>
      </c>
      <c r="E2213" t="s">
        <v>10</v>
      </c>
      <c r="F2213">
        <v>1981.01</v>
      </c>
      <c r="G2213" t="str" cm="1">
        <f t="array" ref="G2213">IF(AND(ISNUMBER(SEARCH("UBER",C2213)),ISNUMBER(SEARCH("EATS",C2213))),"Uber Eats",IF(LEFT(C2213,6)="CHECK ","Checks Paid",IF(OR(E2213="BILLPAY",ISNUMBER(SEARCH("FRANCHISE TAX",C2213)),ISNUMBER(SEARCH("NEXTLINK",C2213))),"Personal - House Bills",IF(AND(ISNUMBER(SEARCH("PAYMENT FROM",C2213)),ISNUMBER(SEARCH("JOE SAUNDERS",C2213))),"Zelle from Joe Saunders",IF(AND(ISNUMBER(SEARCH("PAYMENT TO",C2213)),ISNUMBER(SEARCH("JOE SAUNDERS",C2213))),"Zelle to Joe Saunders",IF(OR(ISNUMBER(SEARCH("NEW ORLEANS",C2213)),ISNUMBER(SEARCH("KENNER",C2213)),ISNUMBER(SEARCH("HENRY HOWARD",C2213)),ISNUMBER(SEARCH("MISS CLAUDIA",C2213))),"Personal Travel - New Orleans",IF(AND(YEAR(B2213)=2025,MONTH(B2213)=4,OR(ISNUMBER(SEARCH("EXCHANGE RATE",C2213)),ISNUMBER(SEARCH("EXCHG RTE",C2213)))),"Personal Travel - Italy",IFERROR(INDEX('Category Rules'!$B$2:$B$358,MATCH(TRUE,ISNUMBER(SEARCH('Category Rules'!$A$2:$A$358,C2213)),0)),""))))))))</f>
        <v>Personal - Health</v>
      </c>
    </row>
    <row r="2214" spans="1:7" x14ac:dyDescent="0.25">
      <c r="A2214" t="s">
        <v>6</v>
      </c>
      <c r="B2214" s="1">
        <v>45673</v>
      </c>
      <c r="C2214" t="s">
        <v>2338</v>
      </c>
      <c r="D2214">
        <v>-56.81</v>
      </c>
      <c r="E2214" t="s">
        <v>10</v>
      </c>
      <c r="F2214">
        <v>2021.01</v>
      </c>
      <c r="G2214" t="str" cm="1">
        <f t="array" ref="G2214">IF(AND(ISNUMBER(SEARCH("UBER",C2214)),ISNUMBER(SEARCH("EATS",C2214))),"Uber Eats",IF(LEFT(C2214,6)="CHECK ","Checks Paid",IF(OR(E2214="BILLPAY",ISNUMBER(SEARCH("FRANCHISE TAX",C2214)),ISNUMBER(SEARCH("NEXTLINK",C2214))),"Personal - House Bills",IF(AND(ISNUMBER(SEARCH("PAYMENT FROM",C2214)),ISNUMBER(SEARCH("JOE SAUNDERS",C2214))),"Zelle from Joe Saunders",IF(AND(ISNUMBER(SEARCH("PAYMENT TO",C2214)),ISNUMBER(SEARCH("JOE SAUNDERS",C2214))),"Zelle to Joe Saunders",IF(OR(ISNUMBER(SEARCH("NEW ORLEANS",C2214)),ISNUMBER(SEARCH("KENNER",C2214)),ISNUMBER(SEARCH("HENRY HOWARD",C2214)),ISNUMBER(SEARCH("MISS CLAUDIA",C2214))),"Personal Travel - New Orleans",IF(AND(YEAR(B2214)=2025,MONTH(B2214)=4,OR(ISNUMBER(SEARCH("EXCHANGE RATE",C2214)),ISNUMBER(SEARCH("EXCHG RTE",C2214)))),"Personal Travel - Italy",IFERROR(INDEX('Category Rules'!$B$2:$B$358,MATCH(TRUE,ISNUMBER(SEARCH('Category Rules'!$A$2:$A$358,C2214)),0)),""))))))))</f>
        <v>Personal - Car</v>
      </c>
    </row>
    <row r="2215" spans="1:7" x14ac:dyDescent="0.25">
      <c r="A2215" t="s">
        <v>6</v>
      </c>
      <c r="B2215" s="1">
        <v>45673</v>
      </c>
      <c r="C2215" t="s">
        <v>2339</v>
      </c>
      <c r="D2215">
        <v>-79</v>
      </c>
      <c r="E2215" t="s">
        <v>10</v>
      </c>
      <c r="F2215">
        <v>2077.8200000000002</v>
      </c>
      <c r="G2215" t="str" cm="1">
        <f t="array" ref="G2215">IF(AND(ISNUMBER(SEARCH("UBER",C2215)),ISNUMBER(SEARCH("EATS",C2215))),"Uber Eats",IF(LEFT(C2215,6)="CHECK ","Checks Paid",IF(OR(E2215="BILLPAY",ISNUMBER(SEARCH("FRANCHISE TAX",C2215)),ISNUMBER(SEARCH("NEXTLINK",C2215))),"Personal - House Bills",IF(AND(ISNUMBER(SEARCH("PAYMENT FROM",C2215)),ISNUMBER(SEARCH("JOE SAUNDERS",C2215))),"Zelle from Joe Saunders",IF(AND(ISNUMBER(SEARCH("PAYMENT TO",C2215)),ISNUMBER(SEARCH("JOE SAUNDERS",C2215))),"Zelle to Joe Saunders",IF(OR(ISNUMBER(SEARCH("NEW ORLEANS",C2215)),ISNUMBER(SEARCH("KENNER",C2215)),ISNUMBER(SEARCH("HENRY HOWARD",C2215)),ISNUMBER(SEARCH("MISS CLAUDIA",C2215))),"Personal Travel - New Orleans",IF(AND(YEAR(B2215)=2025,MONTH(B2215)=4,OR(ISNUMBER(SEARCH("EXCHANGE RATE",C2215)),ISNUMBER(SEARCH("EXCHG RTE",C2215)))),"Personal Travel - Italy",IFERROR(INDEX('Category Rules'!$B$2:$B$358,MATCH(TRUE,ISNUMBER(SEARCH('Category Rules'!$A$2:$A$358,C2215)),0)),""))))))))</f>
        <v>Personal - Car</v>
      </c>
    </row>
    <row r="2216" spans="1:7" x14ac:dyDescent="0.25">
      <c r="A2216" t="s">
        <v>6</v>
      </c>
      <c r="B2216" s="1">
        <v>45673</v>
      </c>
      <c r="C2216" t="s">
        <v>2340</v>
      </c>
      <c r="D2216">
        <v>-136.22999999999999</v>
      </c>
      <c r="E2216" t="s">
        <v>10</v>
      </c>
      <c r="F2216">
        <v>2156.8200000000002</v>
      </c>
      <c r="G2216" t="str" cm="1">
        <f t="array" ref="G2216">IF(AND(ISNUMBER(SEARCH("UBER",C2216)),ISNUMBER(SEARCH("EATS",C2216))),"Uber Eats",IF(LEFT(C2216,6)="CHECK ","Checks Paid",IF(OR(E2216="BILLPAY",ISNUMBER(SEARCH("FRANCHISE TAX",C2216)),ISNUMBER(SEARCH("NEXTLINK",C2216))),"Personal - House Bills",IF(AND(ISNUMBER(SEARCH("PAYMENT FROM",C2216)),ISNUMBER(SEARCH("JOE SAUNDERS",C2216))),"Zelle from Joe Saunders",IF(AND(ISNUMBER(SEARCH("PAYMENT TO",C2216)),ISNUMBER(SEARCH("JOE SAUNDERS",C2216))),"Zelle to Joe Saunders",IF(OR(ISNUMBER(SEARCH("NEW ORLEANS",C2216)),ISNUMBER(SEARCH("KENNER",C2216)),ISNUMBER(SEARCH("HENRY HOWARD",C2216)),ISNUMBER(SEARCH("MISS CLAUDIA",C2216))),"Personal Travel - New Orleans",IF(AND(YEAR(B2216)=2025,MONTH(B2216)=4,OR(ISNUMBER(SEARCH("EXCHANGE RATE",C2216)),ISNUMBER(SEARCH("EXCHG RTE",C2216)))),"Personal Travel - Italy",IFERROR(INDEX('Category Rules'!$B$2:$B$358,MATCH(TRUE,ISNUMBER(SEARCH('Category Rules'!$A$2:$A$358,C2216)),0)),""))))))))</f>
        <v>Personal - Food</v>
      </c>
    </row>
    <row r="2217" spans="1:7" x14ac:dyDescent="0.25">
      <c r="A2217" t="s">
        <v>6</v>
      </c>
      <c r="B2217" s="1">
        <v>45673</v>
      </c>
      <c r="C2217" t="s">
        <v>2341</v>
      </c>
      <c r="D2217">
        <v>-417.17</v>
      </c>
      <c r="E2217" t="s">
        <v>10</v>
      </c>
      <c r="F2217">
        <v>2293.0500000000002</v>
      </c>
      <c r="G2217" t="str" cm="1">
        <f t="array" ref="G2217">IF(AND(ISNUMBER(SEARCH("UBER",C2217)),ISNUMBER(SEARCH("EATS",C2217))),"Uber Eats",IF(LEFT(C2217,6)="CHECK ","Checks Paid",IF(OR(E2217="BILLPAY",ISNUMBER(SEARCH("FRANCHISE TAX",C2217)),ISNUMBER(SEARCH("NEXTLINK",C2217))),"Personal - House Bills",IF(AND(ISNUMBER(SEARCH("PAYMENT FROM",C2217)),ISNUMBER(SEARCH("JOE SAUNDERS",C2217))),"Zelle from Joe Saunders",IF(AND(ISNUMBER(SEARCH("PAYMENT TO",C2217)),ISNUMBER(SEARCH("JOE SAUNDERS",C2217))),"Zelle to Joe Saunders",IF(OR(ISNUMBER(SEARCH("NEW ORLEANS",C2217)),ISNUMBER(SEARCH("KENNER",C2217)),ISNUMBER(SEARCH("HENRY HOWARD",C2217)),ISNUMBER(SEARCH("MISS CLAUDIA",C2217))),"Personal Travel - New Orleans",IF(AND(YEAR(B2217)=2025,MONTH(B2217)=4,OR(ISNUMBER(SEARCH("EXCHANGE RATE",C2217)),ISNUMBER(SEARCH("EXCHG RTE",C2217)))),"Personal Travel - Italy",IFERROR(INDEX('Category Rules'!$B$2:$B$358,MATCH(TRUE,ISNUMBER(SEARCH('Category Rules'!$A$2:$A$358,C2217)),0)),""))))))))</f>
        <v>Personal - Shopping</v>
      </c>
    </row>
    <row r="2218" spans="1:7" x14ac:dyDescent="0.25">
      <c r="A2218" t="s">
        <v>6</v>
      </c>
      <c r="B2218" s="1">
        <v>45672</v>
      </c>
      <c r="C2218" t="s">
        <v>2342</v>
      </c>
      <c r="D2218">
        <v>-16.989999999999998</v>
      </c>
      <c r="E2218" t="s">
        <v>10</v>
      </c>
      <c r="F2218">
        <v>2710.22</v>
      </c>
      <c r="G2218" t="str" cm="1">
        <f t="array" ref="G2218">IF(AND(ISNUMBER(SEARCH("UBER",C2218)),ISNUMBER(SEARCH("EATS",C2218))),"Uber Eats",IF(LEFT(C2218,6)="CHECK ","Checks Paid",IF(OR(E2218="BILLPAY",ISNUMBER(SEARCH("FRANCHISE TAX",C2218)),ISNUMBER(SEARCH("NEXTLINK",C2218))),"Personal - House Bills",IF(AND(ISNUMBER(SEARCH("PAYMENT FROM",C2218)),ISNUMBER(SEARCH("JOE SAUNDERS",C2218))),"Zelle from Joe Saunders",IF(AND(ISNUMBER(SEARCH("PAYMENT TO",C2218)),ISNUMBER(SEARCH("JOE SAUNDERS",C2218))),"Zelle to Joe Saunders",IF(OR(ISNUMBER(SEARCH("NEW ORLEANS",C2218)),ISNUMBER(SEARCH("KENNER",C2218)),ISNUMBER(SEARCH("HENRY HOWARD",C2218)),ISNUMBER(SEARCH("MISS CLAUDIA",C2218))),"Personal Travel - New Orleans",IF(AND(YEAR(B2218)=2025,MONTH(B2218)=4,OR(ISNUMBER(SEARCH("EXCHANGE RATE",C2218)),ISNUMBER(SEARCH("EXCHG RTE",C2218)))),"Personal Travel - Italy",IFERROR(INDEX('Category Rules'!$B$2:$B$358,MATCH(TRUE,ISNUMBER(SEARCH('Category Rules'!$A$2:$A$358,C2218)),0)),""))))))))</f>
        <v>Amazon</v>
      </c>
    </row>
    <row r="2219" spans="1:7" x14ac:dyDescent="0.25">
      <c r="A2219" t="s">
        <v>6</v>
      </c>
      <c r="B2219" s="1">
        <v>45672</v>
      </c>
      <c r="C2219" t="s">
        <v>2343</v>
      </c>
      <c r="D2219">
        <v>-59.99</v>
      </c>
      <c r="E2219" t="s">
        <v>10</v>
      </c>
      <c r="F2219">
        <v>2727.21</v>
      </c>
      <c r="G2219" t="str" cm="1">
        <f t="array" ref="G2219">IF(AND(ISNUMBER(SEARCH("UBER",C2219)),ISNUMBER(SEARCH("EATS",C2219))),"Uber Eats",IF(LEFT(C2219,6)="CHECK ","Checks Paid",IF(OR(E2219="BILLPAY",ISNUMBER(SEARCH("FRANCHISE TAX",C2219)),ISNUMBER(SEARCH("NEXTLINK",C2219))),"Personal - House Bills",IF(AND(ISNUMBER(SEARCH("PAYMENT FROM",C2219)),ISNUMBER(SEARCH("JOE SAUNDERS",C2219))),"Zelle from Joe Saunders",IF(AND(ISNUMBER(SEARCH("PAYMENT TO",C2219)),ISNUMBER(SEARCH("JOE SAUNDERS",C2219))),"Zelle to Joe Saunders",IF(OR(ISNUMBER(SEARCH("NEW ORLEANS",C2219)),ISNUMBER(SEARCH("KENNER",C2219)),ISNUMBER(SEARCH("HENRY HOWARD",C2219)),ISNUMBER(SEARCH("MISS CLAUDIA",C2219))),"Personal Travel - New Orleans",IF(AND(YEAR(B2219)=2025,MONTH(B2219)=4,OR(ISNUMBER(SEARCH("EXCHANGE RATE",C2219)),ISNUMBER(SEARCH("EXCHG RTE",C2219)))),"Personal Travel - Italy",IFERROR(INDEX('Category Rules'!$B$2:$B$358,MATCH(TRUE,ISNUMBER(SEARCH('Category Rules'!$A$2:$A$358,C2219)),0)),""))))))))</f>
        <v>Apple</v>
      </c>
    </row>
    <row r="2220" spans="1:7" x14ac:dyDescent="0.25">
      <c r="A2220" t="s">
        <v>44</v>
      </c>
      <c r="B2220" s="1">
        <v>45672</v>
      </c>
      <c r="C2220" t="s">
        <v>2344</v>
      </c>
      <c r="D2220">
        <v>3000</v>
      </c>
      <c r="E2220" t="s">
        <v>73</v>
      </c>
      <c r="F2220">
        <v>2787.2</v>
      </c>
      <c r="G2220" t="str" cm="1">
        <f t="array" ref="G2220">IF(AND(ISNUMBER(SEARCH("UBER",C2220)),ISNUMBER(SEARCH("EATS",C2220))),"Uber Eats",IF(LEFT(C2220,6)="CHECK ","Checks Paid",IF(OR(E2220="BILLPAY",ISNUMBER(SEARCH("FRANCHISE TAX",C2220)),ISNUMBER(SEARCH("NEXTLINK",C2220))),"Personal - House Bills",IF(AND(ISNUMBER(SEARCH("PAYMENT FROM",C2220)),ISNUMBER(SEARCH("JOE SAUNDERS",C2220))),"Zelle from Joe Saunders",IF(AND(ISNUMBER(SEARCH("PAYMENT TO",C2220)),ISNUMBER(SEARCH("JOE SAUNDERS",C2220))),"Zelle to Joe Saunders",IF(OR(ISNUMBER(SEARCH("NEW ORLEANS",C2220)),ISNUMBER(SEARCH("KENNER",C2220)),ISNUMBER(SEARCH("HENRY HOWARD",C2220)),ISNUMBER(SEARCH("MISS CLAUDIA",C2220))),"Personal Travel - New Orleans",IF(AND(YEAR(B2220)=2025,MONTH(B2220)=4,OR(ISNUMBER(SEARCH("EXCHANGE RATE",C2220)),ISNUMBER(SEARCH("EXCHG RTE",C2220)))),"Personal Travel - Italy",IFERROR(INDEX('Category Rules'!$B$2:$B$358,MATCH(TRUE,ISNUMBER(SEARCH('Category Rules'!$A$2:$A$358,C2220)),0)),""))))))))</f>
        <v>Transfer from DWG Capital Group</v>
      </c>
    </row>
    <row r="2221" spans="1:7" x14ac:dyDescent="0.25">
      <c r="A2221" t="s">
        <v>6</v>
      </c>
      <c r="B2221" s="1">
        <v>45671</v>
      </c>
      <c r="C2221" t="s">
        <v>2345</v>
      </c>
      <c r="D2221">
        <v>-34</v>
      </c>
      <c r="E2221" t="s">
        <v>8</v>
      </c>
      <c r="F2221">
        <v>-212.8</v>
      </c>
      <c r="G2221" t="str" cm="1">
        <f t="array" ref="G2221">IF(AND(ISNUMBER(SEARCH("UBER",C2221)),ISNUMBER(SEARCH("EATS",C2221))),"Uber Eats",IF(LEFT(C2221,6)="CHECK ","Checks Paid",IF(OR(E2221="BILLPAY",ISNUMBER(SEARCH("FRANCHISE TAX",C2221)),ISNUMBER(SEARCH("NEXTLINK",C2221))),"Personal - House Bills",IF(AND(ISNUMBER(SEARCH("PAYMENT FROM",C2221)),ISNUMBER(SEARCH("JOE SAUNDERS",C2221))),"Zelle from Joe Saunders",IF(AND(ISNUMBER(SEARCH("PAYMENT TO",C2221)),ISNUMBER(SEARCH("JOE SAUNDERS",C2221))),"Zelle to Joe Saunders",IF(OR(ISNUMBER(SEARCH("NEW ORLEANS",C2221)),ISNUMBER(SEARCH("KENNER",C2221)),ISNUMBER(SEARCH("HENRY HOWARD",C2221)),ISNUMBER(SEARCH("MISS CLAUDIA",C2221))),"Personal Travel - New Orleans",IF(AND(YEAR(B2221)=2025,MONTH(B2221)=4,OR(ISNUMBER(SEARCH("EXCHANGE RATE",C2221)),ISNUMBER(SEARCH("EXCHG RTE",C2221)))),"Personal Travel - Italy",IFERROR(INDEX('Category Rules'!$B$2:$B$358,MATCH(TRUE,ISNUMBER(SEARCH('Category Rules'!$A$2:$A$358,C2221)),0)),""))))))))</f>
        <v>Personal - Food</v>
      </c>
    </row>
    <row r="2222" spans="1:7" x14ac:dyDescent="0.25">
      <c r="A2222" t="s">
        <v>6</v>
      </c>
      <c r="B2222" s="1">
        <v>45671</v>
      </c>
      <c r="C2222" t="s">
        <v>2346</v>
      </c>
      <c r="D2222">
        <v>-16.41</v>
      </c>
      <c r="E2222" t="s">
        <v>10</v>
      </c>
      <c r="F2222">
        <v>-178.8</v>
      </c>
      <c r="G2222" t="str" cm="1">
        <f t="array" ref="G2222">IF(AND(ISNUMBER(SEARCH("UBER",C2222)),ISNUMBER(SEARCH("EATS",C2222))),"Uber Eats",IF(LEFT(C2222,6)="CHECK ","Checks Paid",IF(OR(E2222="BILLPAY",ISNUMBER(SEARCH("FRANCHISE TAX",C2222)),ISNUMBER(SEARCH("NEXTLINK",C2222))),"Personal - House Bills",IF(AND(ISNUMBER(SEARCH("PAYMENT FROM",C2222)),ISNUMBER(SEARCH("JOE SAUNDERS",C2222))),"Zelle from Joe Saunders",IF(AND(ISNUMBER(SEARCH("PAYMENT TO",C2222)),ISNUMBER(SEARCH("JOE SAUNDERS",C2222))),"Zelle to Joe Saunders",IF(OR(ISNUMBER(SEARCH("NEW ORLEANS",C2222)),ISNUMBER(SEARCH("KENNER",C2222)),ISNUMBER(SEARCH("HENRY HOWARD",C2222)),ISNUMBER(SEARCH("MISS CLAUDIA",C2222))),"Personal Travel - New Orleans",IF(AND(YEAR(B2222)=2025,MONTH(B2222)=4,OR(ISNUMBER(SEARCH("EXCHANGE RATE",C2222)),ISNUMBER(SEARCH("EXCHG RTE",C2222)))),"Personal Travel - Italy",IFERROR(INDEX('Category Rules'!$B$2:$B$358,MATCH(TRUE,ISNUMBER(SEARCH('Category Rules'!$A$2:$A$358,C2222)),0)),""))))))))</f>
        <v>Amazon</v>
      </c>
    </row>
    <row r="2223" spans="1:7" x14ac:dyDescent="0.25">
      <c r="A2223" t="s">
        <v>6</v>
      </c>
      <c r="B2223" s="1">
        <v>45671</v>
      </c>
      <c r="C2223" t="s">
        <v>2347</v>
      </c>
      <c r="D2223">
        <v>-2</v>
      </c>
      <c r="E2223" t="s">
        <v>10</v>
      </c>
      <c r="F2223">
        <v>-162.38999999999999</v>
      </c>
      <c r="G2223" t="str" cm="1">
        <f t="array" ref="G2223">IF(AND(ISNUMBER(SEARCH("UBER",C2223)),ISNUMBER(SEARCH("EATS",C2223))),"Uber Eats",IF(LEFT(C2223,6)="CHECK ","Checks Paid",IF(OR(E2223="BILLPAY",ISNUMBER(SEARCH("FRANCHISE TAX",C2223)),ISNUMBER(SEARCH("NEXTLINK",C2223))),"Personal - House Bills",IF(AND(ISNUMBER(SEARCH("PAYMENT FROM",C2223)),ISNUMBER(SEARCH("JOE SAUNDERS",C2223))),"Zelle from Joe Saunders",IF(AND(ISNUMBER(SEARCH("PAYMENT TO",C2223)),ISNUMBER(SEARCH("JOE SAUNDERS",C2223))),"Zelle to Joe Saunders",IF(OR(ISNUMBER(SEARCH("NEW ORLEANS",C2223)),ISNUMBER(SEARCH("KENNER",C2223)),ISNUMBER(SEARCH("HENRY HOWARD",C2223)),ISNUMBER(SEARCH("MISS CLAUDIA",C2223))),"Personal Travel - New Orleans",IF(AND(YEAR(B2223)=2025,MONTH(B2223)=4,OR(ISNUMBER(SEARCH("EXCHANGE RATE",C2223)),ISNUMBER(SEARCH("EXCHG RTE",C2223)))),"Personal Travel - Italy",IFERROR(INDEX('Category Rules'!$B$2:$B$358,MATCH(TRUE,ISNUMBER(SEARCH('Category Rules'!$A$2:$A$358,C2223)),0)),""))))))))</f>
        <v>Personal - Car</v>
      </c>
    </row>
    <row r="2224" spans="1:7" x14ac:dyDescent="0.25">
      <c r="A2224" t="s">
        <v>6</v>
      </c>
      <c r="B2224" s="1">
        <v>45670</v>
      </c>
      <c r="C2224" t="s">
        <v>2348</v>
      </c>
      <c r="D2224">
        <v>-385.77</v>
      </c>
      <c r="E2224" t="s">
        <v>10</v>
      </c>
      <c r="F2224">
        <v>-160.38999999999999</v>
      </c>
      <c r="G2224" t="str" cm="1">
        <f t="array" ref="G2224">IF(AND(ISNUMBER(SEARCH("UBER",C2224)),ISNUMBER(SEARCH("EATS",C2224))),"Uber Eats",IF(LEFT(C2224,6)="CHECK ","Checks Paid",IF(OR(E2224="BILLPAY",ISNUMBER(SEARCH("FRANCHISE TAX",C2224)),ISNUMBER(SEARCH("NEXTLINK",C2224))),"Personal - House Bills",IF(AND(ISNUMBER(SEARCH("PAYMENT FROM",C2224)),ISNUMBER(SEARCH("JOE SAUNDERS",C2224))),"Zelle from Joe Saunders",IF(AND(ISNUMBER(SEARCH("PAYMENT TO",C2224)),ISNUMBER(SEARCH("JOE SAUNDERS",C2224))),"Zelle to Joe Saunders",IF(OR(ISNUMBER(SEARCH("NEW ORLEANS",C2224)),ISNUMBER(SEARCH("KENNER",C2224)),ISNUMBER(SEARCH("HENRY HOWARD",C2224)),ISNUMBER(SEARCH("MISS CLAUDIA",C2224))),"Personal Travel - New Orleans",IF(AND(YEAR(B2224)=2025,MONTH(B2224)=4,OR(ISNUMBER(SEARCH("EXCHANGE RATE",C2224)),ISNUMBER(SEARCH("EXCHG RTE",C2224)))),"Personal Travel - Italy",IFERROR(INDEX('Category Rules'!$B$2:$B$358,MATCH(TRUE,ISNUMBER(SEARCH('Category Rules'!$A$2:$A$358,C2224)),0)),""))))))))</f>
        <v>Personal - Food</v>
      </c>
    </row>
    <row r="2225" spans="1:7" x14ac:dyDescent="0.25">
      <c r="A2225" t="s">
        <v>6</v>
      </c>
      <c r="B2225" s="1">
        <v>45670</v>
      </c>
      <c r="C2225" t="s">
        <v>2349</v>
      </c>
      <c r="D2225">
        <v>-290.7</v>
      </c>
      <c r="E2225" t="s">
        <v>10</v>
      </c>
      <c r="F2225">
        <v>225.38</v>
      </c>
      <c r="G2225" t="str" cm="1">
        <f t="array" ref="G2225">IF(AND(ISNUMBER(SEARCH("UBER",C2225)),ISNUMBER(SEARCH("EATS",C2225))),"Uber Eats",IF(LEFT(C2225,6)="CHECK ","Checks Paid",IF(OR(E2225="BILLPAY",ISNUMBER(SEARCH("FRANCHISE TAX",C2225)),ISNUMBER(SEARCH("NEXTLINK",C2225))),"Personal - House Bills",IF(AND(ISNUMBER(SEARCH("PAYMENT FROM",C2225)),ISNUMBER(SEARCH("JOE SAUNDERS",C2225))),"Zelle from Joe Saunders",IF(AND(ISNUMBER(SEARCH("PAYMENT TO",C2225)),ISNUMBER(SEARCH("JOE SAUNDERS",C2225))),"Zelle to Joe Saunders",IF(OR(ISNUMBER(SEARCH("NEW ORLEANS",C2225)),ISNUMBER(SEARCH("KENNER",C2225)),ISNUMBER(SEARCH("HENRY HOWARD",C2225)),ISNUMBER(SEARCH("MISS CLAUDIA",C2225))),"Personal Travel - New Orleans",IF(AND(YEAR(B2225)=2025,MONTH(B2225)=4,OR(ISNUMBER(SEARCH("EXCHANGE RATE",C2225)),ISNUMBER(SEARCH("EXCHG RTE",C2225)))),"Personal Travel - Italy",IFERROR(INDEX('Category Rules'!$B$2:$B$358,MATCH(TRUE,ISNUMBER(SEARCH('Category Rules'!$A$2:$A$358,C2225)),0)),""))))))))</f>
        <v>Personal - Food</v>
      </c>
    </row>
    <row r="2226" spans="1:7" x14ac:dyDescent="0.25">
      <c r="A2226" t="s">
        <v>6</v>
      </c>
      <c r="B2226" s="1">
        <v>45670</v>
      </c>
      <c r="C2226" t="s">
        <v>2350</v>
      </c>
      <c r="D2226">
        <v>-47.36</v>
      </c>
      <c r="E2226" t="s">
        <v>10</v>
      </c>
      <c r="F2226">
        <v>516.08000000000004</v>
      </c>
      <c r="G2226" t="str" cm="1">
        <f t="array" ref="G2226">IF(AND(ISNUMBER(SEARCH("UBER",C2226)),ISNUMBER(SEARCH("EATS",C2226))),"Uber Eats",IF(LEFT(C2226,6)="CHECK ","Checks Paid",IF(OR(E2226="BILLPAY",ISNUMBER(SEARCH("FRANCHISE TAX",C2226)),ISNUMBER(SEARCH("NEXTLINK",C2226))),"Personal - House Bills",IF(AND(ISNUMBER(SEARCH("PAYMENT FROM",C2226)),ISNUMBER(SEARCH("JOE SAUNDERS",C2226))),"Zelle from Joe Saunders",IF(AND(ISNUMBER(SEARCH("PAYMENT TO",C2226)),ISNUMBER(SEARCH("JOE SAUNDERS",C2226))),"Zelle to Joe Saunders",IF(OR(ISNUMBER(SEARCH("NEW ORLEANS",C2226)),ISNUMBER(SEARCH("KENNER",C2226)),ISNUMBER(SEARCH("HENRY HOWARD",C2226)),ISNUMBER(SEARCH("MISS CLAUDIA",C2226))),"Personal Travel - New Orleans",IF(AND(YEAR(B2226)=2025,MONTH(B2226)=4,OR(ISNUMBER(SEARCH("EXCHANGE RATE",C2226)),ISNUMBER(SEARCH("EXCHG RTE",C2226)))),"Personal Travel - Italy",IFERROR(INDEX('Category Rules'!$B$2:$B$358,MATCH(TRUE,ISNUMBER(SEARCH('Category Rules'!$A$2:$A$358,C2226)),0)),""))))))))</f>
        <v>Personal - Entertainment</v>
      </c>
    </row>
    <row r="2227" spans="1:7" x14ac:dyDescent="0.25">
      <c r="A2227" t="s">
        <v>6</v>
      </c>
      <c r="B2227" s="1">
        <v>45670</v>
      </c>
      <c r="C2227" t="s">
        <v>2351</v>
      </c>
      <c r="D2227">
        <v>-141.27000000000001</v>
      </c>
      <c r="E2227" t="s">
        <v>10</v>
      </c>
      <c r="F2227">
        <v>563.44000000000005</v>
      </c>
      <c r="G2227" t="str" cm="1">
        <f t="array" ref="G2227">IF(AND(ISNUMBER(SEARCH("UBER",C2227)),ISNUMBER(SEARCH("EATS",C2227))),"Uber Eats",IF(LEFT(C2227,6)="CHECK ","Checks Paid",IF(OR(E2227="BILLPAY",ISNUMBER(SEARCH("FRANCHISE TAX",C2227)),ISNUMBER(SEARCH("NEXTLINK",C2227))),"Personal - House Bills",IF(AND(ISNUMBER(SEARCH("PAYMENT FROM",C2227)),ISNUMBER(SEARCH("JOE SAUNDERS",C2227))),"Zelle from Joe Saunders",IF(AND(ISNUMBER(SEARCH("PAYMENT TO",C2227)),ISNUMBER(SEARCH("JOE SAUNDERS",C2227))),"Zelle to Joe Saunders",IF(OR(ISNUMBER(SEARCH("NEW ORLEANS",C2227)),ISNUMBER(SEARCH("KENNER",C2227)),ISNUMBER(SEARCH("HENRY HOWARD",C2227)),ISNUMBER(SEARCH("MISS CLAUDIA",C2227))),"Personal Travel - New Orleans",IF(AND(YEAR(B2227)=2025,MONTH(B2227)=4,OR(ISNUMBER(SEARCH("EXCHANGE RATE",C2227)),ISNUMBER(SEARCH("EXCHG RTE",C2227)))),"Personal Travel - Italy",IFERROR(INDEX('Category Rules'!$B$2:$B$358,MATCH(TRUE,ISNUMBER(SEARCH('Category Rules'!$A$2:$A$358,C2227)),0)),""))))))))</f>
        <v>Personal - Shopping</v>
      </c>
    </row>
    <row r="2228" spans="1:7" x14ac:dyDescent="0.25">
      <c r="A2228" t="s">
        <v>6</v>
      </c>
      <c r="B2228" s="1">
        <v>45670</v>
      </c>
      <c r="C2228" t="s">
        <v>2352</v>
      </c>
      <c r="D2228">
        <v>-22.99</v>
      </c>
      <c r="E2228" t="s">
        <v>10</v>
      </c>
      <c r="F2228">
        <v>704.71</v>
      </c>
      <c r="G2228" t="str" cm="1">
        <f t="array" ref="G2228">IF(AND(ISNUMBER(SEARCH("UBER",C2228)),ISNUMBER(SEARCH("EATS",C2228))),"Uber Eats",IF(LEFT(C2228,6)="CHECK ","Checks Paid",IF(OR(E2228="BILLPAY",ISNUMBER(SEARCH("FRANCHISE TAX",C2228)),ISNUMBER(SEARCH("NEXTLINK",C2228))),"Personal - House Bills",IF(AND(ISNUMBER(SEARCH("PAYMENT FROM",C2228)),ISNUMBER(SEARCH("JOE SAUNDERS",C2228))),"Zelle from Joe Saunders",IF(AND(ISNUMBER(SEARCH("PAYMENT TO",C2228)),ISNUMBER(SEARCH("JOE SAUNDERS",C2228))),"Zelle to Joe Saunders",IF(OR(ISNUMBER(SEARCH("NEW ORLEANS",C2228)),ISNUMBER(SEARCH("KENNER",C2228)),ISNUMBER(SEARCH("HENRY HOWARD",C2228)),ISNUMBER(SEARCH("MISS CLAUDIA",C2228))),"Personal Travel - New Orleans",IF(AND(YEAR(B2228)=2025,MONTH(B2228)=4,OR(ISNUMBER(SEARCH("EXCHANGE RATE",C2228)),ISNUMBER(SEARCH("EXCHG RTE",C2228)))),"Personal Travel - Italy",IFERROR(INDEX('Category Rules'!$B$2:$B$358,MATCH(TRUE,ISNUMBER(SEARCH('Category Rules'!$A$2:$A$358,C2228)),0)),""))))))))</f>
        <v>Personal Travel</v>
      </c>
    </row>
    <row r="2229" spans="1:7" x14ac:dyDescent="0.25">
      <c r="A2229" t="s">
        <v>6</v>
      </c>
      <c r="B2229" s="1">
        <v>45670</v>
      </c>
      <c r="C2229" t="s">
        <v>2352</v>
      </c>
      <c r="D2229">
        <v>-22.99</v>
      </c>
      <c r="E2229" t="s">
        <v>10</v>
      </c>
      <c r="F2229">
        <v>727.7</v>
      </c>
      <c r="G2229" t="str" cm="1">
        <f t="array" ref="G2229">IF(AND(ISNUMBER(SEARCH("UBER",C2229)),ISNUMBER(SEARCH("EATS",C2229))),"Uber Eats",IF(LEFT(C2229,6)="CHECK ","Checks Paid",IF(OR(E2229="BILLPAY",ISNUMBER(SEARCH("FRANCHISE TAX",C2229)),ISNUMBER(SEARCH("NEXTLINK",C2229))),"Personal - House Bills",IF(AND(ISNUMBER(SEARCH("PAYMENT FROM",C2229)),ISNUMBER(SEARCH("JOE SAUNDERS",C2229))),"Zelle from Joe Saunders",IF(AND(ISNUMBER(SEARCH("PAYMENT TO",C2229)),ISNUMBER(SEARCH("JOE SAUNDERS",C2229))),"Zelle to Joe Saunders",IF(OR(ISNUMBER(SEARCH("NEW ORLEANS",C2229)),ISNUMBER(SEARCH("KENNER",C2229)),ISNUMBER(SEARCH("HENRY HOWARD",C2229)),ISNUMBER(SEARCH("MISS CLAUDIA",C2229))),"Personal Travel - New Orleans",IF(AND(YEAR(B2229)=2025,MONTH(B2229)=4,OR(ISNUMBER(SEARCH("EXCHANGE RATE",C2229)),ISNUMBER(SEARCH("EXCHG RTE",C2229)))),"Personal Travel - Italy",IFERROR(INDEX('Category Rules'!$B$2:$B$358,MATCH(TRUE,ISNUMBER(SEARCH('Category Rules'!$A$2:$A$358,C2229)),0)),""))))))))</f>
        <v>Personal Travel</v>
      </c>
    </row>
    <row r="2230" spans="1:7" x14ac:dyDescent="0.25">
      <c r="A2230" t="s">
        <v>6</v>
      </c>
      <c r="B2230" s="1">
        <v>45670</v>
      </c>
      <c r="C2230" t="s">
        <v>2353</v>
      </c>
      <c r="D2230">
        <v>-306.95999999999998</v>
      </c>
      <c r="E2230" t="s">
        <v>10</v>
      </c>
      <c r="F2230">
        <v>750.69</v>
      </c>
      <c r="G2230" t="str" cm="1">
        <f t="array" ref="G2230">IF(AND(ISNUMBER(SEARCH("UBER",C2230)),ISNUMBER(SEARCH("EATS",C2230))),"Uber Eats",IF(LEFT(C2230,6)="CHECK ","Checks Paid",IF(OR(E2230="BILLPAY",ISNUMBER(SEARCH("FRANCHISE TAX",C2230)),ISNUMBER(SEARCH("NEXTLINK",C2230))),"Personal - House Bills",IF(AND(ISNUMBER(SEARCH("PAYMENT FROM",C2230)),ISNUMBER(SEARCH("JOE SAUNDERS",C2230))),"Zelle from Joe Saunders",IF(AND(ISNUMBER(SEARCH("PAYMENT TO",C2230)),ISNUMBER(SEARCH("JOE SAUNDERS",C2230))),"Zelle to Joe Saunders",IF(OR(ISNUMBER(SEARCH("NEW ORLEANS",C2230)),ISNUMBER(SEARCH("KENNER",C2230)),ISNUMBER(SEARCH("HENRY HOWARD",C2230)),ISNUMBER(SEARCH("MISS CLAUDIA",C2230))),"Personal Travel - New Orleans",IF(AND(YEAR(B2230)=2025,MONTH(B2230)=4,OR(ISNUMBER(SEARCH("EXCHANGE RATE",C2230)),ISNUMBER(SEARCH("EXCHG RTE",C2230)))),"Personal Travel - Italy",IFERROR(INDEX('Category Rules'!$B$2:$B$358,MATCH(TRUE,ISNUMBER(SEARCH('Category Rules'!$A$2:$A$358,C2230)),0)),""))))))))</f>
        <v>Personal Travel</v>
      </c>
    </row>
    <row r="2231" spans="1:7" x14ac:dyDescent="0.25">
      <c r="A2231" t="s">
        <v>6</v>
      </c>
      <c r="B2231" s="1">
        <v>45670</v>
      </c>
      <c r="C2231" t="s">
        <v>2354</v>
      </c>
      <c r="D2231">
        <v>-94.96</v>
      </c>
      <c r="E2231" t="s">
        <v>10</v>
      </c>
      <c r="F2231">
        <v>1057.6500000000001</v>
      </c>
      <c r="G2231" t="str" cm="1">
        <f t="array" ref="G2231">IF(AND(ISNUMBER(SEARCH("UBER",C2231)),ISNUMBER(SEARCH("EATS",C2231))),"Uber Eats",IF(LEFT(C2231,6)="CHECK ","Checks Paid",IF(OR(E2231="BILLPAY",ISNUMBER(SEARCH("FRANCHISE TAX",C2231)),ISNUMBER(SEARCH("NEXTLINK",C2231))),"Personal - House Bills",IF(AND(ISNUMBER(SEARCH("PAYMENT FROM",C2231)),ISNUMBER(SEARCH("JOE SAUNDERS",C2231))),"Zelle from Joe Saunders",IF(AND(ISNUMBER(SEARCH("PAYMENT TO",C2231)),ISNUMBER(SEARCH("JOE SAUNDERS",C2231))),"Zelle to Joe Saunders",IF(OR(ISNUMBER(SEARCH("NEW ORLEANS",C2231)),ISNUMBER(SEARCH("KENNER",C2231)),ISNUMBER(SEARCH("HENRY HOWARD",C2231)),ISNUMBER(SEARCH("MISS CLAUDIA",C2231))),"Personal Travel - New Orleans",IF(AND(YEAR(B2231)=2025,MONTH(B2231)=4,OR(ISNUMBER(SEARCH("EXCHANGE RATE",C2231)),ISNUMBER(SEARCH("EXCHG RTE",C2231)))),"Personal Travel - Italy",IFERROR(INDEX('Category Rules'!$B$2:$B$358,MATCH(TRUE,ISNUMBER(SEARCH('Category Rules'!$A$2:$A$358,C2231)),0)),""))))))))</f>
        <v>Uber Eats</v>
      </c>
    </row>
    <row r="2232" spans="1:7" x14ac:dyDescent="0.25">
      <c r="A2232" t="s">
        <v>6</v>
      </c>
      <c r="B2232" s="1">
        <v>45670</v>
      </c>
      <c r="C2232" t="s">
        <v>2355</v>
      </c>
      <c r="D2232">
        <v>-200</v>
      </c>
      <c r="E2232" t="s">
        <v>39</v>
      </c>
      <c r="F2232">
        <v>1152.6099999999999</v>
      </c>
      <c r="G2232" t="str" cm="1">
        <f t="array" ref="G2232">IF(AND(ISNUMBER(SEARCH("UBER",C2232)),ISNUMBER(SEARCH("EATS",C2232))),"Uber Eats",IF(LEFT(C2232,6)="CHECK ","Checks Paid",IF(OR(E2232="BILLPAY",ISNUMBER(SEARCH("FRANCHISE TAX",C2232)),ISNUMBER(SEARCH("NEXTLINK",C2232))),"Personal - House Bills",IF(AND(ISNUMBER(SEARCH("PAYMENT FROM",C2232)),ISNUMBER(SEARCH("JOE SAUNDERS",C2232))),"Zelle from Joe Saunders",IF(AND(ISNUMBER(SEARCH("PAYMENT TO",C2232)),ISNUMBER(SEARCH("JOE SAUNDERS",C2232))),"Zelle to Joe Saunders",IF(OR(ISNUMBER(SEARCH("NEW ORLEANS",C2232)),ISNUMBER(SEARCH("KENNER",C2232)),ISNUMBER(SEARCH("HENRY HOWARD",C2232)),ISNUMBER(SEARCH("MISS CLAUDIA",C2232))),"Personal Travel - New Orleans",IF(AND(YEAR(B2232)=2025,MONTH(B2232)=4,OR(ISNUMBER(SEARCH("EXCHANGE RATE",C2232)),ISNUMBER(SEARCH("EXCHG RTE",C2232)))),"Personal Travel - Italy",IFERROR(INDEX('Category Rules'!$B$2:$B$358,MATCH(TRUE,ISNUMBER(SEARCH('Category Rules'!$A$2:$A$358,C2232)),0)),""))))))))</f>
        <v>Zelle to Aaron Frankel</v>
      </c>
    </row>
    <row r="2233" spans="1:7" x14ac:dyDescent="0.25">
      <c r="A2233" t="s">
        <v>6</v>
      </c>
      <c r="B2233" s="1">
        <v>45670</v>
      </c>
      <c r="C2233" t="s">
        <v>2356</v>
      </c>
      <c r="D2233">
        <v>-145</v>
      </c>
      <c r="E2233" t="s">
        <v>10</v>
      </c>
      <c r="F2233">
        <v>1352.61</v>
      </c>
      <c r="G2233" t="str" cm="1">
        <f t="array" ref="G2233">IF(AND(ISNUMBER(SEARCH("UBER",C2233)),ISNUMBER(SEARCH("EATS",C2233))),"Uber Eats",IF(LEFT(C2233,6)="CHECK ","Checks Paid",IF(OR(E2233="BILLPAY",ISNUMBER(SEARCH("FRANCHISE TAX",C2233)),ISNUMBER(SEARCH("NEXTLINK",C2233))),"Personal - House Bills",IF(AND(ISNUMBER(SEARCH("PAYMENT FROM",C2233)),ISNUMBER(SEARCH("JOE SAUNDERS",C2233))),"Zelle from Joe Saunders",IF(AND(ISNUMBER(SEARCH("PAYMENT TO",C2233)),ISNUMBER(SEARCH("JOE SAUNDERS",C2233))),"Zelle to Joe Saunders",IF(OR(ISNUMBER(SEARCH("NEW ORLEANS",C2233)),ISNUMBER(SEARCH("KENNER",C2233)),ISNUMBER(SEARCH("HENRY HOWARD",C2233)),ISNUMBER(SEARCH("MISS CLAUDIA",C2233))),"Personal Travel - New Orleans",IF(AND(YEAR(B2233)=2025,MONTH(B2233)=4,OR(ISNUMBER(SEARCH("EXCHANGE RATE",C2233)),ISNUMBER(SEARCH("EXCHG RTE",C2233)))),"Personal Travel - Italy",IFERROR(INDEX('Category Rules'!$B$2:$B$358,MATCH(TRUE,ISNUMBER(SEARCH('Category Rules'!$A$2:$A$358,C2233)),0)),""))))))))</f>
        <v>Personal - Clothing</v>
      </c>
    </row>
    <row r="2234" spans="1:7" x14ac:dyDescent="0.25">
      <c r="A2234" t="s">
        <v>6</v>
      </c>
      <c r="B2234" s="1">
        <v>45670</v>
      </c>
      <c r="C2234" t="s">
        <v>2357</v>
      </c>
      <c r="D2234">
        <v>-546.12</v>
      </c>
      <c r="E2234" t="s">
        <v>10</v>
      </c>
      <c r="F2234">
        <v>1497.61</v>
      </c>
      <c r="G2234" t="str" cm="1">
        <f t="array" ref="G2234">IF(AND(ISNUMBER(SEARCH("UBER",C2234)),ISNUMBER(SEARCH("EATS",C2234))),"Uber Eats",IF(LEFT(C2234,6)="CHECK ","Checks Paid",IF(OR(E2234="BILLPAY",ISNUMBER(SEARCH("FRANCHISE TAX",C2234)),ISNUMBER(SEARCH("NEXTLINK",C2234))),"Personal - House Bills",IF(AND(ISNUMBER(SEARCH("PAYMENT FROM",C2234)),ISNUMBER(SEARCH("JOE SAUNDERS",C2234))),"Zelle from Joe Saunders",IF(AND(ISNUMBER(SEARCH("PAYMENT TO",C2234)),ISNUMBER(SEARCH("JOE SAUNDERS",C2234))),"Zelle to Joe Saunders",IF(OR(ISNUMBER(SEARCH("NEW ORLEANS",C2234)),ISNUMBER(SEARCH("KENNER",C2234)),ISNUMBER(SEARCH("HENRY HOWARD",C2234)),ISNUMBER(SEARCH("MISS CLAUDIA",C2234))),"Personal Travel - New Orleans",IF(AND(YEAR(B2234)=2025,MONTH(B2234)=4,OR(ISNUMBER(SEARCH("EXCHANGE RATE",C2234)),ISNUMBER(SEARCH("EXCHG RTE",C2234)))),"Personal Travel - Italy",IFERROR(INDEX('Category Rules'!$B$2:$B$358,MATCH(TRUE,ISNUMBER(SEARCH('Category Rules'!$A$2:$A$358,C2234)),0)),""))))))))</f>
        <v>Personal - Food</v>
      </c>
    </row>
    <row r="2235" spans="1:7" x14ac:dyDescent="0.25">
      <c r="A2235" t="s">
        <v>6</v>
      </c>
      <c r="B2235" s="1">
        <v>45670</v>
      </c>
      <c r="C2235" t="s">
        <v>2358</v>
      </c>
      <c r="D2235">
        <v>-34.36</v>
      </c>
      <c r="E2235" t="s">
        <v>10</v>
      </c>
      <c r="F2235">
        <v>2043.73</v>
      </c>
      <c r="G2235" t="str" cm="1">
        <f t="array" ref="G2235">IF(AND(ISNUMBER(SEARCH("UBER",C2235)),ISNUMBER(SEARCH("EATS",C2235))),"Uber Eats",IF(LEFT(C2235,6)="CHECK ","Checks Paid",IF(OR(E2235="BILLPAY",ISNUMBER(SEARCH("FRANCHISE TAX",C2235)),ISNUMBER(SEARCH("NEXTLINK",C2235))),"Personal - House Bills",IF(AND(ISNUMBER(SEARCH("PAYMENT FROM",C2235)),ISNUMBER(SEARCH("JOE SAUNDERS",C2235))),"Zelle from Joe Saunders",IF(AND(ISNUMBER(SEARCH("PAYMENT TO",C2235)),ISNUMBER(SEARCH("JOE SAUNDERS",C2235))),"Zelle to Joe Saunders",IF(OR(ISNUMBER(SEARCH("NEW ORLEANS",C2235)),ISNUMBER(SEARCH("KENNER",C2235)),ISNUMBER(SEARCH("HENRY HOWARD",C2235)),ISNUMBER(SEARCH("MISS CLAUDIA",C2235))),"Personal Travel - New Orleans",IF(AND(YEAR(B2235)=2025,MONTH(B2235)=4,OR(ISNUMBER(SEARCH("EXCHANGE RATE",C2235)),ISNUMBER(SEARCH("EXCHG RTE",C2235)))),"Personal Travel - Italy",IFERROR(INDEX('Category Rules'!$B$2:$B$358,MATCH(TRUE,ISNUMBER(SEARCH('Category Rules'!$A$2:$A$358,C2235)),0)),""))))))))</f>
        <v>Personal - Entertainment</v>
      </c>
    </row>
    <row r="2236" spans="1:7" x14ac:dyDescent="0.25">
      <c r="A2236" t="s">
        <v>6</v>
      </c>
      <c r="B2236" s="1">
        <v>45670</v>
      </c>
      <c r="C2236" t="s">
        <v>2359</v>
      </c>
      <c r="D2236">
        <v>-468.56</v>
      </c>
      <c r="E2236" t="s">
        <v>10</v>
      </c>
      <c r="F2236">
        <v>2078.09</v>
      </c>
      <c r="G2236" t="str" cm="1">
        <f t="array" ref="G2236">IF(AND(ISNUMBER(SEARCH("UBER",C2236)),ISNUMBER(SEARCH("EATS",C2236))),"Uber Eats",IF(LEFT(C2236,6)="CHECK ","Checks Paid",IF(OR(E2236="BILLPAY",ISNUMBER(SEARCH("FRANCHISE TAX",C2236)),ISNUMBER(SEARCH("NEXTLINK",C2236))),"Personal - House Bills",IF(AND(ISNUMBER(SEARCH("PAYMENT FROM",C2236)),ISNUMBER(SEARCH("JOE SAUNDERS",C2236))),"Zelle from Joe Saunders",IF(AND(ISNUMBER(SEARCH("PAYMENT TO",C2236)),ISNUMBER(SEARCH("JOE SAUNDERS",C2236))),"Zelle to Joe Saunders",IF(OR(ISNUMBER(SEARCH("NEW ORLEANS",C2236)),ISNUMBER(SEARCH("KENNER",C2236)),ISNUMBER(SEARCH("HENRY HOWARD",C2236)),ISNUMBER(SEARCH("MISS CLAUDIA",C2236))),"Personal Travel - New Orleans",IF(AND(YEAR(B2236)=2025,MONTH(B2236)=4,OR(ISNUMBER(SEARCH("EXCHANGE RATE",C2236)),ISNUMBER(SEARCH("EXCHG RTE",C2236)))),"Personal Travel - Italy",IFERROR(INDEX('Category Rules'!$B$2:$B$358,MATCH(TRUE,ISNUMBER(SEARCH('Category Rules'!$A$2:$A$358,C2236)),0)),""))))))))</f>
        <v>Personal - Shopping</v>
      </c>
    </row>
    <row r="2237" spans="1:7" x14ac:dyDescent="0.25">
      <c r="A2237" t="s">
        <v>6</v>
      </c>
      <c r="B2237" s="1">
        <v>45667</v>
      </c>
      <c r="C2237" t="s">
        <v>2360</v>
      </c>
      <c r="D2237">
        <v>-123.43</v>
      </c>
      <c r="E2237" t="s">
        <v>10</v>
      </c>
      <c r="F2237">
        <v>2546.65</v>
      </c>
      <c r="G2237" t="str" cm="1">
        <f t="array" ref="G2237">IF(AND(ISNUMBER(SEARCH("UBER",C2237)),ISNUMBER(SEARCH("EATS",C2237))),"Uber Eats",IF(LEFT(C2237,6)="CHECK ","Checks Paid",IF(OR(E2237="BILLPAY",ISNUMBER(SEARCH("FRANCHISE TAX",C2237)),ISNUMBER(SEARCH("NEXTLINK",C2237))),"Personal - House Bills",IF(AND(ISNUMBER(SEARCH("PAYMENT FROM",C2237)),ISNUMBER(SEARCH("JOE SAUNDERS",C2237))),"Zelle from Joe Saunders",IF(AND(ISNUMBER(SEARCH("PAYMENT TO",C2237)),ISNUMBER(SEARCH("JOE SAUNDERS",C2237))),"Zelle to Joe Saunders",IF(OR(ISNUMBER(SEARCH("NEW ORLEANS",C2237)),ISNUMBER(SEARCH("KENNER",C2237)),ISNUMBER(SEARCH("HENRY HOWARD",C2237)),ISNUMBER(SEARCH("MISS CLAUDIA",C2237))),"Personal Travel - New Orleans",IF(AND(YEAR(B2237)=2025,MONTH(B2237)=4,OR(ISNUMBER(SEARCH("EXCHANGE RATE",C2237)),ISNUMBER(SEARCH("EXCHG RTE",C2237)))),"Personal Travel - Italy",IFERROR(INDEX('Category Rules'!$B$2:$B$358,MATCH(TRUE,ISNUMBER(SEARCH('Category Rules'!$A$2:$A$358,C2237)),0)),""))))))))</f>
        <v>Uber Eats</v>
      </c>
    </row>
    <row r="2238" spans="1:7" x14ac:dyDescent="0.25">
      <c r="A2238" t="s">
        <v>6</v>
      </c>
      <c r="B2238" s="1">
        <v>45667</v>
      </c>
      <c r="C2238" t="s">
        <v>2361</v>
      </c>
      <c r="D2238">
        <v>-12.99</v>
      </c>
      <c r="E2238" t="s">
        <v>10</v>
      </c>
      <c r="F2238">
        <v>2670.08</v>
      </c>
      <c r="G2238" t="str" cm="1">
        <f t="array" ref="G2238">IF(AND(ISNUMBER(SEARCH("UBER",C2238)),ISNUMBER(SEARCH("EATS",C2238))),"Uber Eats",IF(LEFT(C2238,6)="CHECK ","Checks Paid",IF(OR(E2238="BILLPAY",ISNUMBER(SEARCH("FRANCHISE TAX",C2238)),ISNUMBER(SEARCH("NEXTLINK",C2238))),"Personal - House Bills",IF(AND(ISNUMBER(SEARCH("PAYMENT FROM",C2238)),ISNUMBER(SEARCH("JOE SAUNDERS",C2238))),"Zelle from Joe Saunders",IF(AND(ISNUMBER(SEARCH("PAYMENT TO",C2238)),ISNUMBER(SEARCH("JOE SAUNDERS",C2238))),"Zelle to Joe Saunders",IF(OR(ISNUMBER(SEARCH("NEW ORLEANS",C2238)),ISNUMBER(SEARCH("KENNER",C2238)),ISNUMBER(SEARCH("HENRY HOWARD",C2238)),ISNUMBER(SEARCH("MISS CLAUDIA",C2238))),"Personal Travel - New Orleans",IF(AND(YEAR(B2238)=2025,MONTH(B2238)=4,OR(ISNUMBER(SEARCH("EXCHANGE RATE",C2238)),ISNUMBER(SEARCH("EXCHG RTE",C2238)))),"Personal Travel - Italy",IFERROR(INDEX('Category Rules'!$B$2:$B$358,MATCH(TRUE,ISNUMBER(SEARCH('Category Rules'!$A$2:$A$358,C2238)),0)),""))))))))</f>
        <v>Apple</v>
      </c>
    </row>
    <row r="2239" spans="1:7" x14ac:dyDescent="0.25">
      <c r="A2239" t="s">
        <v>6</v>
      </c>
      <c r="B2239" s="1">
        <v>45667</v>
      </c>
      <c r="C2239" t="s">
        <v>2362</v>
      </c>
      <c r="D2239">
        <v>-74.98</v>
      </c>
      <c r="E2239" t="s">
        <v>10</v>
      </c>
      <c r="F2239">
        <v>2683.07</v>
      </c>
      <c r="G2239" t="str" cm="1">
        <f t="array" ref="G2239">IF(AND(ISNUMBER(SEARCH("UBER",C2239)),ISNUMBER(SEARCH("EATS",C2239))),"Uber Eats",IF(LEFT(C2239,6)="CHECK ","Checks Paid",IF(OR(E2239="BILLPAY",ISNUMBER(SEARCH("FRANCHISE TAX",C2239)),ISNUMBER(SEARCH("NEXTLINK",C2239))),"Personal - House Bills",IF(AND(ISNUMBER(SEARCH("PAYMENT FROM",C2239)),ISNUMBER(SEARCH("JOE SAUNDERS",C2239))),"Zelle from Joe Saunders",IF(AND(ISNUMBER(SEARCH("PAYMENT TO",C2239)),ISNUMBER(SEARCH("JOE SAUNDERS",C2239))),"Zelle to Joe Saunders",IF(OR(ISNUMBER(SEARCH("NEW ORLEANS",C2239)),ISNUMBER(SEARCH("KENNER",C2239)),ISNUMBER(SEARCH("HENRY HOWARD",C2239)),ISNUMBER(SEARCH("MISS CLAUDIA",C2239))),"Personal Travel - New Orleans",IF(AND(YEAR(B2239)=2025,MONTH(B2239)=4,OR(ISNUMBER(SEARCH("EXCHANGE RATE",C2239)),ISNUMBER(SEARCH("EXCHG RTE",C2239)))),"Personal Travel - Italy",IFERROR(INDEX('Category Rules'!$B$2:$B$358,MATCH(TRUE,ISNUMBER(SEARCH('Category Rules'!$A$2:$A$358,C2239)),0)),""))))))))</f>
        <v>Personal - Subscription</v>
      </c>
    </row>
    <row r="2240" spans="1:7" x14ac:dyDescent="0.25">
      <c r="A2240" t="s">
        <v>44</v>
      </c>
      <c r="B2240" s="1">
        <v>45667</v>
      </c>
      <c r="C2240" t="s">
        <v>2363</v>
      </c>
      <c r="D2240">
        <v>2000</v>
      </c>
      <c r="E2240" t="s">
        <v>73</v>
      </c>
      <c r="F2240">
        <v>2758.05</v>
      </c>
      <c r="G2240" t="str" cm="1">
        <f t="array" ref="G2240">IF(AND(ISNUMBER(SEARCH("UBER",C2240)),ISNUMBER(SEARCH("EATS",C2240))),"Uber Eats",IF(LEFT(C2240,6)="CHECK ","Checks Paid",IF(OR(E2240="BILLPAY",ISNUMBER(SEARCH("FRANCHISE TAX",C2240)),ISNUMBER(SEARCH("NEXTLINK",C2240))),"Personal - House Bills",IF(AND(ISNUMBER(SEARCH("PAYMENT FROM",C2240)),ISNUMBER(SEARCH("JOE SAUNDERS",C2240))),"Zelle from Joe Saunders",IF(AND(ISNUMBER(SEARCH("PAYMENT TO",C2240)),ISNUMBER(SEARCH("JOE SAUNDERS",C2240))),"Zelle to Joe Saunders",IF(OR(ISNUMBER(SEARCH("NEW ORLEANS",C2240)),ISNUMBER(SEARCH("KENNER",C2240)),ISNUMBER(SEARCH("HENRY HOWARD",C2240)),ISNUMBER(SEARCH("MISS CLAUDIA",C2240))),"Personal Travel - New Orleans",IF(AND(YEAR(B2240)=2025,MONTH(B2240)=4,OR(ISNUMBER(SEARCH("EXCHANGE RATE",C2240)),ISNUMBER(SEARCH("EXCHG RTE",C2240)))),"Personal Travel - Italy",IFERROR(INDEX('Category Rules'!$B$2:$B$358,MATCH(TRUE,ISNUMBER(SEARCH('Category Rules'!$A$2:$A$358,C2240)),0)),""))))))))</f>
        <v>Transfer from DWG Capital Group</v>
      </c>
    </row>
    <row r="2241" spans="1:7" x14ac:dyDescent="0.25">
      <c r="A2241" t="s">
        <v>6</v>
      </c>
      <c r="B2241" s="1">
        <v>45666</v>
      </c>
      <c r="C2241" t="s">
        <v>2364</v>
      </c>
      <c r="D2241">
        <v>-237.68</v>
      </c>
      <c r="E2241" t="s">
        <v>10</v>
      </c>
      <c r="F2241">
        <v>758.05</v>
      </c>
      <c r="G2241" t="str" cm="1">
        <f t="array" ref="G2241">IF(AND(ISNUMBER(SEARCH("UBER",C2241)),ISNUMBER(SEARCH("EATS",C2241))),"Uber Eats",IF(LEFT(C2241,6)="CHECK ","Checks Paid",IF(OR(E2241="BILLPAY",ISNUMBER(SEARCH("FRANCHISE TAX",C2241)),ISNUMBER(SEARCH("NEXTLINK",C2241))),"Personal - House Bills",IF(AND(ISNUMBER(SEARCH("PAYMENT FROM",C2241)),ISNUMBER(SEARCH("JOE SAUNDERS",C2241))),"Zelle from Joe Saunders",IF(AND(ISNUMBER(SEARCH("PAYMENT TO",C2241)),ISNUMBER(SEARCH("JOE SAUNDERS",C2241))),"Zelle to Joe Saunders",IF(OR(ISNUMBER(SEARCH("NEW ORLEANS",C2241)),ISNUMBER(SEARCH("KENNER",C2241)),ISNUMBER(SEARCH("HENRY HOWARD",C2241)),ISNUMBER(SEARCH("MISS CLAUDIA",C2241))),"Personal Travel - New Orleans",IF(AND(YEAR(B2241)=2025,MONTH(B2241)=4,OR(ISNUMBER(SEARCH("EXCHANGE RATE",C2241)),ISNUMBER(SEARCH("EXCHG RTE",C2241)))),"Personal Travel - Italy",IFERROR(INDEX('Category Rules'!$B$2:$B$358,MATCH(TRUE,ISNUMBER(SEARCH('Category Rules'!$A$2:$A$358,C2241)),0)),""))))))))</f>
        <v>Personal - Shopping</v>
      </c>
    </row>
    <row r="2242" spans="1:7" x14ac:dyDescent="0.25">
      <c r="A2242" t="s">
        <v>6</v>
      </c>
      <c r="B2242" s="1">
        <v>45666</v>
      </c>
      <c r="C2242" t="s">
        <v>2365</v>
      </c>
      <c r="D2242">
        <v>-319.14999999999998</v>
      </c>
      <c r="E2242" t="s">
        <v>10</v>
      </c>
      <c r="F2242">
        <v>995.73</v>
      </c>
      <c r="G2242" t="str" cm="1">
        <f t="array" ref="G2242">IF(AND(ISNUMBER(SEARCH("UBER",C2242)),ISNUMBER(SEARCH("EATS",C2242))),"Uber Eats",IF(LEFT(C2242,6)="CHECK ","Checks Paid",IF(OR(E2242="BILLPAY",ISNUMBER(SEARCH("FRANCHISE TAX",C2242)),ISNUMBER(SEARCH("NEXTLINK",C2242))),"Personal - House Bills",IF(AND(ISNUMBER(SEARCH("PAYMENT FROM",C2242)),ISNUMBER(SEARCH("JOE SAUNDERS",C2242))),"Zelle from Joe Saunders",IF(AND(ISNUMBER(SEARCH("PAYMENT TO",C2242)),ISNUMBER(SEARCH("JOE SAUNDERS",C2242))),"Zelle to Joe Saunders",IF(OR(ISNUMBER(SEARCH("NEW ORLEANS",C2242)),ISNUMBER(SEARCH("KENNER",C2242)),ISNUMBER(SEARCH("HENRY HOWARD",C2242)),ISNUMBER(SEARCH("MISS CLAUDIA",C2242))),"Personal Travel - New Orleans",IF(AND(YEAR(B2242)=2025,MONTH(B2242)=4,OR(ISNUMBER(SEARCH("EXCHANGE RATE",C2242)),ISNUMBER(SEARCH("EXCHG RTE",C2242)))),"Personal Travel - Italy",IFERROR(INDEX('Category Rules'!$B$2:$B$358,MATCH(TRUE,ISNUMBER(SEARCH('Category Rules'!$A$2:$A$358,C2242)),0)),""))))))))</f>
        <v>Personal - Food</v>
      </c>
    </row>
    <row r="2243" spans="1:7" x14ac:dyDescent="0.25">
      <c r="A2243" t="s">
        <v>6</v>
      </c>
      <c r="B2243" s="1">
        <v>45666</v>
      </c>
      <c r="C2243" t="s">
        <v>2366</v>
      </c>
      <c r="D2243">
        <v>-67.2</v>
      </c>
      <c r="E2243" t="s">
        <v>10</v>
      </c>
      <c r="F2243">
        <v>1314.88</v>
      </c>
      <c r="G2243" t="str" cm="1">
        <f t="array" ref="G2243">IF(AND(ISNUMBER(SEARCH("UBER",C2243)),ISNUMBER(SEARCH("EATS",C2243))),"Uber Eats",IF(LEFT(C2243,6)="CHECK ","Checks Paid",IF(OR(E2243="BILLPAY",ISNUMBER(SEARCH("FRANCHISE TAX",C2243)),ISNUMBER(SEARCH("NEXTLINK",C2243))),"Personal - House Bills",IF(AND(ISNUMBER(SEARCH("PAYMENT FROM",C2243)),ISNUMBER(SEARCH("JOE SAUNDERS",C2243))),"Zelle from Joe Saunders",IF(AND(ISNUMBER(SEARCH("PAYMENT TO",C2243)),ISNUMBER(SEARCH("JOE SAUNDERS",C2243))),"Zelle to Joe Saunders",IF(OR(ISNUMBER(SEARCH("NEW ORLEANS",C2243)),ISNUMBER(SEARCH("KENNER",C2243)),ISNUMBER(SEARCH("HENRY HOWARD",C2243)),ISNUMBER(SEARCH("MISS CLAUDIA",C2243))),"Personal Travel - New Orleans",IF(AND(YEAR(B2243)=2025,MONTH(B2243)=4,OR(ISNUMBER(SEARCH("EXCHANGE RATE",C2243)),ISNUMBER(SEARCH("EXCHG RTE",C2243)))),"Personal Travel - Italy",IFERROR(INDEX('Category Rules'!$B$2:$B$358,MATCH(TRUE,ISNUMBER(SEARCH('Category Rules'!$A$2:$A$358,C2243)),0)),""))))))))</f>
        <v>Personal - Food</v>
      </c>
    </row>
    <row r="2244" spans="1:7" x14ac:dyDescent="0.25">
      <c r="A2244" t="s">
        <v>6</v>
      </c>
      <c r="B2244" s="1">
        <v>45666</v>
      </c>
      <c r="C2244" t="s">
        <v>2367</v>
      </c>
      <c r="D2244">
        <v>-48.16</v>
      </c>
      <c r="E2244" t="s">
        <v>10</v>
      </c>
      <c r="F2244">
        <v>1382.08</v>
      </c>
      <c r="G2244" t="str" cm="1">
        <f t="array" ref="G2244">IF(AND(ISNUMBER(SEARCH("UBER",C2244)),ISNUMBER(SEARCH("EATS",C2244))),"Uber Eats",IF(LEFT(C2244,6)="CHECK ","Checks Paid",IF(OR(E2244="BILLPAY",ISNUMBER(SEARCH("FRANCHISE TAX",C2244)),ISNUMBER(SEARCH("NEXTLINK",C2244))),"Personal - House Bills",IF(AND(ISNUMBER(SEARCH("PAYMENT FROM",C2244)),ISNUMBER(SEARCH("JOE SAUNDERS",C2244))),"Zelle from Joe Saunders",IF(AND(ISNUMBER(SEARCH("PAYMENT TO",C2244)),ISNUMBER(SEARCH("JOE SAUNDERS",C2244))),"Zelle to Joe Saunders",IF(OR(ISNUMBER(SEARCH("NEW ORLEANS",C2244)),ISNUMBER(SEARCH("KENNER",C2244)),ISNUMBER(SEARCH("HENRY HOWARD",C2244)),ISNUMBER(SEARCH("MISS CLAUDIA",C2244))),"Personal Travel - New Orleans",IF(AND(YEAR(B2244)=2025,MONTH(B2244)=4,OR(ISNUMBER(SEARCH("EXCHANGE RATE",C2244)),ISNUMBER(SEARCH("EXCHG RTE",C2244)))),"Personal Travel - Italy",IFERROR(INDEX('Category Rules'!$B$2:$B$358,MATCH(TRUE,ISNUMBER(SEARCH('Category Rules'!$A$2:$A$358,C2244)),0)),""))))))))</f>
        <v>Uber Eats</v>
      </c>
    </row>
    <row r="2245" spans="1:7" x14ac:dyDescent="0.25">
      <c r="A2245" t="s">
        <v>6</v>
      </c>
      <c r="B2245" s="1">
        <v>45666</v>
      </c>
      <c r="C2245" t="s">
        <v>2368</v>
      </c>
      <c r="D2245">
        <v>-55.77</v>
      </c>
      <c r="E2245" t="s">
        <v>10</v>
      </c>
      <c r="F2245">
        <v>1430.24</v>
      </c>
      <c r="G2245" t="str" cm="1">
        <f t="array" ref="G2245">IF(AND(ISNUMBER(SEARCH("UBER",C2245)),ISNUMBER(SEARCH("EATS",C2245))),"Uber Eats",IF(LEFT(C2245,6)="CHECK ","Checks Paid",IF(OR(E2245="BILLPAY",ISNUMBER(SEARCH("FRANCHISE TAX",C2245)),ISNUMBER(SEARCH("NEXTLINK",C2245))),"Personal - House Bills",IF(AND(ISNUMBER(SEARCH("PAYMENT FROM",C2245)),ISNUMBER(SEARCH("JOE SAUNDERS",C2245))),"Zelle from Joe Saunders",IF(AND(ISNUMBER(SEARCH("PAYMENT TO",C2245)),ISNUMBER(SEARCH("JOE SAUNDERS",C2245))),"Zelle to Joe Saunders",IF(OR(ISNUMBER(SEARCH("NEW ORLEANS",C2245)),ISNUMBER(SEARCH("KENNER",C2245)),ISNUMBER(SEARCH("HENRY HOWARD",C2245)),ISNUMBER(SEARCH("MISS CLAUDIA",C2245))),"Personal Travel - New Orleans",IF(AND(YEAR(B2245)=2025,MONTH(B2245)=4,OR(ISNUMBER(SEARCH("EXCHANGE RATE",C2245)),ISNUMBER(SEARCH("EXCHG RTE",C2245)))),"Personal Travel - Italy",IFERROR(INDEX('Category Rules'!$B$2:$B$358,MATCH(TRUE,ISNUMBER(SEARCH('Category Rules'!$A$2:$A$358,C2245)),0)),""))))))))</f>
        <v>Personal - Uber</v>
      </c>
    </row>
    <row r="2246" spans="1:7" x14ac:dyDescent="0.25">
      <c r="A2246" t="s">
        <v>6</v>
      </c>
      <c r="B2246" s="1">
        <v>45666</v>
      </c>
      <c r="C2246" t="s">
        <v>2369</v>
      </c>
      <c r="D2246">
        <v>-769</v>
      </c>
      <c r="E2246" t="s">
        <v>10</v>
      </c>
      <c r="F2246">
        <v>1486.01</v>
      </c>
      <c r="G2246" t="str" cm="1">
        <f t="array" ref="G2246">IF(AND(ISNUMBER(SEARCH("UBER",C2246)),ISNUMBER(SEARCH("EATS",C2246))),"Uber Eats",IF(LEFT(C2246,6)="CHECK ","Checks Paid",IF(OR(E2246="BILLPAY",ISNUMBER(SEARCH("FRANCHISE TAX",C2246)),ISNUMBER(SEARCH("NEXTLINK",C2246))),"Personal - House Bills",IF(AND(ISNUMBER(SEARCH("PAYMENT FROM",C2246)),ISNUMBER(SEARCH("JOE SAUNDERS",C2246))),"Zelle from Joe Saunders",IF(AND(ISNUMBER(SEARCH("PAYMENT TO",C2246)),ISNUMBER(SEARCH("JOE SAUNDERS",C2246))),"Zelle to Joe Saunders",IF(OR(ISNUMBER(SEARCH("NEW ORLEANS",C2246)),ISNUMBER(SEARCH("KENNER",C2246)),ISNUMBER(SEARCH("HENRY HOWARD",C2246)),ISNUMBER(SEARCH("MISS CLAUDIA",C2246))),"Personal Travel - New Orleans",IF(AND(YEAR(B2246)=2025,MONTH(B2246)=4,OR(ISNUMBER(SEARCH("EXCHANGE RATE",C2246)),ISNUMBER(SEARCH("EXCHG RTE",C2246)))),"Personal Travel - Italy",IFERROR(INDEX('Category Rules'!$B$2:$B$358,MATCH(TRUE,ISNUMBER(SEARCH('Category Rules'!$A$2:$A$358,C2246)),0)),""))))))))</f>
        <v>Personal - Work</v>
      </c>
    </row>
    <row r="2247" spans="1:7" x14ac:dyDescent="0.25">
      <c r="A2247" t="s">
        <v>6</v>
      </c>
      <c r="B2247" s="1">
        <v>45666</v>
      </c>
      <c r="C2247" t="s">
        <v>2370</v>
      </c>
      <c r="D2247">
        <v>-156.69999999999999</v>
      </c>
      <c r="E2247" t="s">
        <v>10</v>
      </c>
      <c r="F2247">
        <v>2255.0100000000002</v>
      </c>
      <c r="G2247" t="str" cm="1">
        <f t="array" ref="G2247">IF(AND(ISNUMBER(SEARCH("UBER",C2247)),ISNUMBER(SEARCH("EATS",C2247))),"Uber Eats",IF(LEFT(C2247,6)="CHECK ","Checks Paid",IF(OR(E2247="BILLPAY",ISNUMBER(SEARCH("FRANCHISE TAX",C2247)),ISNUMBER(SEARCH("NEXTLINK",C2247))),"Personal - House Bills",IF(AND(ISNUMBER(SEARCH("PAYMENT FROM",C2247)),ISNUMBER(SEARCH("JOE SAUNDERS",C2247))),"Zelle from Joe Saunders",IF(AND(ISNUMBER(SEARCH("PAYMENT TO",C2247)),ISNUMBER(SEARCH("JOE SAUNDERS",C2247))),"Zelle to Joe Saunders",IF(OR(ISNUMBER(SEARCH("NEW ORLEANS",C2247)),ISNUMBER(SEARCH("KENNER",C2247)),ISNUMBER(SEARCH("HENRY HOWARD",C2247)),ISNUMBER(SEARCH("MISS CLAUDIA",C2247))),"Personal Travel - New Orleans",IF(AND(YEAR(B2247)=2025,MONTH(B2247)=4,OR(ISNUMBER(SEARCH("EXCHANGE RATE",C2247)),ISNUMBER(SEARCH("EXCHG RTE",C2247)))),"Personal Travel - Italy",IFERROR(INDEX('Category Rules'!$B$2:$B$358,MATCH(TRUE,ISNUMBER(SEARCH('Category Rules'!$A$2:$A$358,C2247)),0)),""))))))))</f>
        <v>Uber Eats</v>
      </c>
    </row>
    <row r="2248" spans="1:7" x14ac:dyDescent="0.25">
      <c r="A2248" t="s">
        <v>44</v>
      </c>
      <c r="B2248" s="1">
        <v>45666</v>
      </c>
      <c r="C2248" t="s">
        <v>2371</v>
      </c>
      <c r="D2248">
        <v>175</v>
      </c>
      <c r="E2248" t="s">
        <v>46</v>
      </c>
      <c r="F2248">
        <v>2411.71</v>
      </c>
      <c r="G2248" t="str" cm="1">
        <f t="array" ref="G2248">IF(AND(ISNUMBER(SEARCH("UBER",C2248)),ISNUMBER(SEARCH("EATS",C2248))),"Uber Eats",IF(LEFT(C2248,6)="CHECK ","Checks Paid",IF(OR(E2248="BILLPAY",ISNUMBER(SEARCH("FRANCHISE TAX",C2248)),ISNUMBER(SEARCH("NEXTLINK",C2248))),"Personal - House Bills",IF(AND(ISNUMBER(SEARCH("PAYMENT FROM",C2248)),ISNUMBER(SEARCH("JOE SAUNDERS",C2248))),"Zelle from Joe Saunders",IF(AND(ISNUMBER(SEARCH("PAYMENT TO",C2248)),ISNUMBER(SEARCH("JOE SAUNDERS",C2248))),"Zelle to Joe Saunders",IF(OR(ISNUMBER(SEARCH("NEW ORLEANS",C2248)),ISNUMBER(SEARCH("KENNER",C2248)),ISNUMBER(SEARCH("HENRY HOWARD",C2248)),ISNUMBER(SEARCH("MISS CLAUDIA",C2248))),"Personal Travel - New Orleans",IF(AND(YEAR(B2248)=2025,MONTH(B2248)=4,OR(ISNUMBER(SEARCH("EXCHANGE RATE",C2248)),ISNUMBER(SEARCH("EXCHG RTE",C2248)))),"Personal Travel - Italy",IFERROR(INDEX('Category Rules'!$B$2:$B$358,MATCH(TRUE,ISNUMBER(SEARCH('Category Rules'!$A$2:$A$358,C2248)),0)),""))))))))</f>
        <v>Zelle from Eunice G Chang</v>
      </c>
    </row>
    <row r="2249" spans="1:7" x14ac:dyDescent="0.25">
      <c r="A2249" t="s">
        <v>6</v>
      </c>
      <c r="B2249" s="1">
        <v>45665</v>
      </c>
      <c r="C2249" t="s">
        <v>2372</v>
      </c>
      <c r="D2249">
        <v>-329.98</v>
      </c>
      <c r="E2249" t="s">
        <v>10</v>
      </c>
      <c r="F2249">
        <v>2236.71</v>
      </c>
      <c r="G2249" t="str" cm="1">
        <f t="array" ref="G2249">IF(AND(ISNUMBER(SEARCH("UBER",C2249)),ISNUMBER(SEARCH("EATS",C2249))),"Uber Eats",IF(LEFT(C2249,6)="CHECK ","Checks Paid",IF(OR(E2249="BILLPAY",ISNUMBER(SEARCH("FRANCHISE TAX",C2249)),ISNUMBER(SEARCH("NEXTLINK",C2249))),"Personal - House Bills",IF(AND(ISNUMBER(SEARCH("PAYMENT FROM",C2249)),ISNUMBER(SEARCH("JOE SAUNDERS",C2249))),"Zelle from Joe Saunders",IF(AND(ISNUMBER(SEARCH("PAYMENT TO",C2249)),ISNUMBER(SEARCH("JOE SAUNDERS",C2249))),"Zelle to Joe Saunders",IF(OR(ISNUMBER(SEARCH("NEW ORLEANS",C2249)),ISNUMBER(SEARCH("KENNER",C2249)),ISNUMBER(SEARCH("HENRY HOWARD",C2249)),ISNUMBER(SEARCH("MISS CLAUDIA",C2249))),"Personal Travel - New Orleans",IF(AND(YEAR(B2249)=2025,MONTH(B2249)=4,OR(ISNUMBER(SEARCH("EXCHANGE RATE",C2249)),ISNUMBER(SEARCH("EXCHG RTE",C2249)))),"Personal Travel - Italy",IFERROR(INDEX('Category Rules'!$B$2:$B$358,MATCH(TRUE,ISNUMBER(SEARCH('Category Rules'!$A$2:$A$358,C2249)),0)),""))))))))</f>
        <v>Personal - Health</v>
      </c>
    </row>
    <row r="2250" spans="1:7" x14ac:dyDescent="0.25">
      <c r="A2250" t="s">
        <v>6</v>
      </c>
      <c r="B2250" s="1">
        <v>45665</v>
      </c>
      <c r="C2250" t="s">
        <v>2373</v>
      </c>
      <c r="D2250">
        <v>-50</v>
      </c>
      <c r="E2250" t="s">
        <v>10</v>
      </c>
      <c r="F2250">
        <v>2566.69</v>
      </c>
      <c r="G2250" t="str" cm="1">
        <f t="array" ref="G2250">IF(AND(ISNUMBER(SEARCH("UBER",C2250)),ISNUMBER(SEARCH("EATS",C2250))),"Uber Eats",IF(LEFT(C2250,6)="CHECK ","Checks Paid",IF(OR(E2250="BILLPAY",ISNUMBER(SEARCH("FRANCHISE TAX",C2250)),ISNUMBER(SEARCH("NEXTLINK",C2250))),"Personal - House Bills",IF(AND(ISNUMBER(SEARCH("PAYMENT FROM",C2250)),ISNUMBER(SEARCH("JOE SAUNDERS",C2250))),"Zelle from Joe Saunders",IF(AND(ISNUMBER(SEARCH("PAYMENT TO",C2250)),ISNUMBER(SEARCH("JOE SAUNDERS",C2250))),"Zelle to Joe Saunders",IF(OR(ISNUMBER(SEARCH("NEW ORLEANS",C2250)),ISNUMBER(SEARCH("KENNER",C2250)),ISNUMBER(SEARCH("HENRY HOWARD",C2250)),ISNUMBER(SEARCH("MISS CLAUDIA",C2250))),"Personal Travel - New Orleans",IF(AND(YEAR(B2250)=2025,MONTH(B2250)=4,OR(ISNUMBER(SEARCH("EXCHANGE RATE",C2250)),ISNUMBER(SEARCH("EXCHG RTE",C2250)))),"Personal Travel - Italy",IFERROR(INDEX('Category Rules'!$B$2:$B$358,MATCH(TRUE,ISNUMBER(SEARCH('Category Rules'!$A$2:$A$358,C2250)),0)),""))))))))</f>
        <v>Personal - Clothing</v>
      </c>
    </row>
    <row r="2251" spans="1:7" x14ac:dyDescent="0.25">
      <c r="A2251" t="s">
        <v>6</v>
      </c>
      <c r="B2251" s="1">
        <v>45665</v>
      </c>
      <c r="C2251" t="s">
        <v>2374</v>
      </c>
      <c r="D2251">
        <v>-470.82</v>
      </c>
      <c r="E2251" t="s">
        <v>10</v>
      </c>
      <c r="F2251">
        <v>2616.69</v>
      </c>
      <c r="G2251" t="str" cm="1">
        <f t="array" ref="G2251">IF(AND(ISNUMBER(SEARCH("UBER",C2251)),ISNUMBER(SEARCH("EATS",C2251))),"Uber Eats",IF(LEFT(C2251,6)="CHECK ","Checks Paid",IF(OR(E2251="BILLPAY",ISNUMBER(SEARCH("FRANCHISE TAX",C2251)),ISNUMBER(SEARCH("NEXTLINK",C2251))),"Personal - House Bills",IF(AND(ISNUMBER(SEARCH("PAYMENT FROM",C2251)),ISNUMBER(SEARCH("JOE SAUNDERS",C2251))),"Zelle from Joe Saunders",IF(AND(ISNUMBER(SEARCH("PAYMENT TO",C2251)),ISNUMBER(SEARCH("JOE SAUNDERS",C2251))),"Zelle to Joe Saunders",IF(OR(ISNUMBER(SEARCH("NEW ORLEANS",C2251)),ISNUMBER(SEARCH("KENNER",C2251)),ISNUMBER(SEARCH("HENRY HOWARD",C2251)),ISNUMBER(SEARCH("MISS CLAUDIA",C2251))),"Personal Travel - New Orleans",IF(AND(YEAR(B2251)=2025,MONTH(B2251)=4,OR(ISNUMBER(SEARCH("EXCHANGE RATE",C2251)),ISNUMBER(SEARCH("EXCHG RTE",C2251)))),"Personal Travel - Italy",IFERROR(INDEX('Category Rules'!$B$2:$B$358,MATCH(TRUE,ISNUMBER(SEARCH('Category Rules'!$A$2:$A$358,C2251)),0)),""))))))))</f>
        <v>Personal - Food</v>
      </c>
    </row>
    <row r="2252" spans="1:7" x14ac:dyDescent="0.25">
      <c r="A2252" t="s">
        <v>6</v>
      </c>
      <c r="B2252" s="1">
        <v>45665</v>
      </c>
      <c r="C2252" t="s">
        <v>2375</v>
      </c>
      <c r="D2252">
        <v>-13.99</v>
      </c>
      <c r="E2252" t="s">
        <v>10</v>
      </c>
      <c r="F2252">
        <v>3087.51</v>
      </c>
      <c r="G2252" t="str" cm="1">
        <f t="array" ref="G2252">IF(AND(ISNUMBER(SEARCH("UBER",C2252)),ISNUMBER(SEARCH("EATS",C2252))),"Uber Eats",IF(LEFT(C2252,6)="CHECK ","Checks Paid",IF(OR(E2252="BILLPAY",ISNUMBER(SEARCH("FRANCHISE TAX",C2252)),ISNUMBER(SEARCH("NEXTLINK",C2252))),"Personal - House Bills",IF(AND(ISNUMBER(SEARCH("PAYMENT FROM",C2252)),ISNUMBER(SEARCH("JOE SAUNDERS",C2252))),"Zelle from Joe Saunders",IF(AND(ISNUMBER(SEARCH("PAYMENT TO",C2252)),ISNUMBER(SEARCH("JOE SAUNDERS",C2252))),"Zelle to Joe Saunders",IF(OR(ISNUMBER(SEARCH("NEW ORLEANS",C2252)),ISNUMBER(SEARCH("KENNER",C2252)),ISNUMBER(SEARCH("HENRY HOWARD",C2252)),ISNUMBER(SEARCH("MISS CLAUDIA",C2252))),"Personal Travel - New Orleans",IF(AND(YEAR(B2252)=2025,MONTH(B2252)=4,OR(ISNUMBER(SEARCH("EXCHANGE RATE",C2252)),ISNUMBER(SEARCH("EXCHG RTE",C2252)))),"Personal Travel - Italy",IFERROR(INDEX('Category Rules'!$B$2:$B$358,MATCH(TRUE,ISNUMBER(SEARCH('Category Rules'!$A$2:$A$358,C2252)),0)),""))))))))</f>
        <v>Amazon</v>
      </c>
    </row>
    <row r="2253" spans="1:7" x14ac:dyDescent="0.25">
      <c r="A2253" t="s">
        <v>6</v>
      </c>
      <c r="B2253" s="1">
        <v>45665</v>
      </c>
      <c r="C2253" t="s">
        <v>2376</v>
      </c>
      <c r="D2253">
        <v>-234.75</v>
      </c>
      <c r="E2253" t="s">
        <v>10</v>
      </c>
      <c r="F2253">
        <v>3101.5</v>
      </c>
      <c r="G2253" t="str" cm="1">
        <f t="array" ref="G2253">IF(AND(ISNUMBER(SEARCH("UBER",C2253)),ISNUMBER(SEARCH("EATS",C2253))),"Uber Eats",IF(LEFT(C2253,6)="CHECK ","Checks Paid",IF(OR(E2253="BILLPAY",ISNUMBER(SEARCH("FRANCHISE TAX",C2253)),ISNUMBER(SEARCH("NEXTLINK",C2253))),"Personal - House Bills",IF(AND(ISNUMBER(SEARCH("PAYMENT FROM",C2253)),ISNUMBER(SEARCH("JOE SAUNDERS",C2253))),"Zelle from Joe Saunders",IF(AND(ISNUMBER(SEARCH("PAYMENT TO",C2253)),ISNUMBER(SEARCH("JOE SAUNDERS",C2253))),"Zelle to Joe Saunders",IF(OR(ISNUMBER(SEARCH("NEW ORLEANS",C2253)),ISNUMBER(SEARCH("KENNER",C2253)),ISNUMBER(SEARCH("HENRY HOWARD",C2253)),ISNUMBER(SEARCH("MISS CLAUDIA",C2253))),"Personal Travel - New Orleans",IF(AND(YEAR(B2253)=2025,MONTH(B2253)=4,OR(ISNUMBER(SEARCH("EXCHANGE RATE",C2253)),ISNUMBER(SEARCH("EXCHG RTE",C2253)))),"Personal Travel - Italy",IFERROR(INDEX('Category Rules'!$B$2:$B$358,MATCH(TRUE,ISNUMBER(SEARCH('Category Rules'!$A$2:$A$358,C2253)),0)),""))))))))</f>
        <v>Personal - Clothing</v>
      </c>
    </row>
    <row r="2254" spans="1:7" x14ac:dyDescent="0.25">
      <c r="A2254" t="s">
        <v>6</v>
      </c>
      <c r="B2254" s="1">
        <v>45664</v>
      </c>
      <c r="C2254" t="s">
        <v>2377</v>
      </c>
      <c r="D2254">
        <v>-136.36000000000001</v>
      </c>
      <c r="E2254" t="s">
        <v>10</v>
      </c>
      <c r="F2254">
        <v>3336.25</v>
      </c>
      <c r="G2254" t="str" cm="1">
        <f t="array" ref="G2254">IF(AND(ISNUMBER(SEARCH("UBER",C2254)),ISNUMBER(SEARCH("EATS",C2254))),"Uber Eats",IF(LEFT(C2254,6)="CHECK ","Checks Paid",IF(OR(E2254="BILLPAY",ISNUMBER(SEARCH("FRANCHISE TAX",C2254)),ISNUMBER(SEARCH("NEXTLINK",C2254))),"Personal - House Bills",IF(AND(ISNUMBER(SEARCH("PAYMENT FROM",C2254)),ISNUMBER(SEARCH("JOE SAUNDERS",C2254))),"Zelle from Joe Saunders",IF(AND(ISNUMBER(SEARCH("PAYMENT TO",C2254)),ISNUMBER(SEARCH("JOE SAUNDERS",C2254))),"Zelle to Joe Saunders",IF(OR(ISNUMBER(SEARCH("NEW ORLEANS",C2254)),ISNUMBER(SEARCH("KENNER",C2254)),ISNUMBER(SEARCH("HENRY HOWARD",C2254)),ISNUMBER(SEARCH("MISS CLAUDIA",C2254))),"Personal Travel - New Orleans",IF(AND(YEAR(B2254)=2025,MONTH(B2254)=4,OR(ISNUMBER(SEARCH("EXCHANGE RATE",C2254)),ISNUMBER(SEARCH("EXCHG RTE",C2254)))),"Personal Travel - Italy",IFERROR(INDEX('Category Rules'!$B$2:$B$358,MATCH(TRUE,ISNUMBER(SEARCH('Category Rules'!$A$2:$A$358,C2254)),0)),""))))))))</f>
        <v>Personal - Food</v>
      </c>
    </row>
    <row r="2255" spans="1:7" x14ac:dyDescent="0.25">
      <c r="A2255" t="s">
        <v>6</v>
      </c>
      <c r="B2255" s="1">
        <v>45664</v>
      </c>
      <c r="C2255" t="s">
        <v>2378</v>
      </c>
      <c r="D2255">
        <v>-115.02</v>
      </c>
      <c r="E2255" t="s">
        <v>10</v>
      </c>
      <c r="F2255">
        <v>3472.61</v>
      </c>
      <c r="G2255" t="str" cm="1">
        <f t="array" ref="G2255">IF(AND(ISNUMBER(SEARCH("UBER",C2255)),ISNUMBER(SEARCH("EATS",C2255))),"Uber Eats",IF(LEFT(C2255,6)="CHECK ","Checks Paid",IF(OR(E2255="BILLPAY",ISNUMBER(SEARCH("FRANCHISE TAX",C2255)),ISNUMBER(SEARCH("NEXTLINK",C2255))),"Personal - House Bills",IF(AND(ISNUMBER(SEARCH("PAYMENT FROM",C2255)),ISNUMBER(SEARCH("JOE SAUNDERS",C2255))),"Zelle from Joe Saunders",IF(AND(ISNUMBER(SEARCH("PAYMENT TO",C2255)),ISNUMBER(SEARCH("JOE SAUNDERS",C2255))),"Zelle to Joe Saunders",IF(OR(ISNUMBER(SEARCH("NEW ORLEANS",C2255)),ISNUMBER(SEARCH("KENNER",C2255)),ISNUMBER(SEARCH("HENRY HOWARD",C2255)),ISNUMBER(SEARCH("MISS CLAUDIA",C2255))),"Personal Travel - New Orleans",IF(AND(YEAR(B2255)=2025,MONTH(B2255)=4,OR(ISNUMBER(SEARCH("EXCHANGE RATE",C2255)),ISNUMBER(SEARCH("EXCHG RTE",C2255)))),"Personal Travel - Italy",IFERROR(INDEX('Category Rules'!$B$2:$B$358,MATCH(TRUE,ISNUMBER(SEARCH('Category Rules'!$A$2:$A$358,C2255)),0)),""))))))))</f>
        <v>Personal - Health</v>
      </c>
    </row>
    <row r="2256" spans="1:7" x14ac:dyDescent="0.25">
      <c r="A2256" t="s">
        <v>6</v>
      </c>
      <c r="B2256" s="1">
        <v>45664</v>
      </c>
      <c r="C2256" t="s">
        <v>2379</v>
      </c>
      <c r="D2256">
        <v>-118.97</v>
      </c>
      <c r="E2256" t="s">
        <v>10</v>
      </c>
      <c r="F2256">
        <v>3587.63</v>
      </c>
      <c r="G2256" t="str" cm="1">
        <f t="array" ref="G2256">IF(AND(ISNUMBER(SEARCH("UBER",C2256)),ISNUMBER(SEARCH("EATS",C2256))),"Uber Eats",IF(LEFT(C2256,6)="CHECK ","Checks Paid",IF(OR(E2256="BILLPAY",ISNUMBER(SEARCH("FRANCHISE TAX",C2256)),ISNUMBER(SEARCH("NEXTLINK",C2256))),"Personal - House Bills",IF(AND(ISNUMBER(SEARCH("PAYMENT FROM",C2256)),ISNUMBER(SEARCH("JOE SAUNDERS",C2256))),"Zelle from Joe Saunders",IF(AND(ISNUMBER(SEARCH("PAYMENT TO",C2256)),ISNUMBER(SEARCH("JOE SAUNDERS",C2256))),"Zelle to Joe Saunders",IF(OR(ISNUMBER(SEARCH("NEW ORLEANS",C2256)),ISNUMBER(SEARCH("KENNER",C2256)),ISNUMBER(SEARCH("HENRY HOWARD",C2256)),ISNUMBER(SEARCH("MISS CLAUDIA",C2256))),"Personal Travel - New Orleans",IF(AND(YEAR(B2256)=2025,MONTH(B2256)=4,OR(ISNUMBER(SEARCH("EXCHANGE RATE",C2256)),ISNUMBER(SEARCH("EXCHG RTE",C2256)))),"Personal Travel - Italy",IFERROR(INDEX('Category Rules'!$B$2:$B$358,MATCH(TRUE,ISNUMBER(SEARCH('Category Rules'!$A$2:$A$358,C2256)),0)),""))))))))</f>
        <v>Personal - Food</v>
      </c>
    </row>
    <row r="2257" spans="1:7" x14ac:dyDescent="0.25">
      <c r="A2257" t="s">
        <v>6</v>
      </c>
      <c r="B2257" s="1">
        <v>45664</v>
      </c>
      <c r="C2257" t="s">
        <v>2380</v>
      </c>
      <c r="D2257">
        <v>-66.94</v>
      </c>
      <c r="E2257" t="s">
        <v>10</v>
      </c>
      <c r="F2257">
        <v>3706.6</v>
      </c>
      <c r="G2257" t="str" cm="1">
        <f t="array" ref="G2257">IF(AND(ISNUMBER(SEARCH("UBER",C2257)),ISNUMBER(SEARCH("EATS",C2257))),"Uber Eats",IF(LEFT(C2257,6)="CHECK ","Checks Paid",IF(OR(E2257="BILLPAY",ISNUMBER(SEARCH("FRANCHISE TAX",C2257)),ISNUMBER(SEARCH("NEXTLINK",C2257))),"Personal - House Bills",IF(AND(ISNUMBER(SEARCH("PAYMENT FROM",C2257)),ISNUMBER(SEARCH("JOE SAUNDERS",C2257))),"Zelle from Joe Saunders",IF(AND(ISNUMBER(SEARCH("PAYMENT TO",C2257)),ISNUMBER(SEARCH("JOE SAUNDERS",C2257))),"Zelle to Joe Saunders",IF(OR(ISNUMBER(SEARCH("NEW ORLEANS",C2257)),ISNUMBER(SEARCH("KENNER",C2257)),ISNUMBER(SEARCH("HENRY HOWARD",C2257)),ISNUMBER(SEARCH("MISS CLAUDIA",C2257))),"Personal Travel - New Orleans",IF(AND(YEAR(B2257)=2025,MONTH(B2257)=4,OR(ISNUMBER(SEARCH("EXCHANGE RATE",C2257)),ISNUMBER(SEARCH("EXCHG RTE",C2257)))),"Personal Travel - Italy",IFERROR(INDEX('Category Rules'!$B$2:$B$358,MATCH(TRUE,ISNUMBER(SEARCH('Category Rules'!$A$2:$A$358,C2257)),0)),""))))))))</f>
        <v>Uber Eats</v>
      </c>
    </row>
    <row r="2258" spans="1:7" x14ac:dyDescent="0.25">
      <c r="A2258" t="s">
        <v>6</v>
      </c>
      <c r="B2258" s="1">
        <v>45663</v>
      </c>
      <c r="C2258" t="s">
        <v>2381</v>
      </c>
      <c r="D2258">
        <v>-13.99</v>
      </c>
      <c r="E2258" t="s">
        <v>10</v>
      </c>
      <c r="F2258">
        <v>3773.54</v>
      </c>
      <c r="G2258" t="str" cm="1">
        <f t="array" ref="G2258">IF(AND(ISNUMBER(SEARCH("UBER",C2258)),ISNUMBER(SEARCH("EATS",C2258))),"Uber Eats",IF(LEFT(C2258,6)="CHECK ","Checks Paid",IF(OR(E2258="BILLPAY",ISNUMBER(SEARCH("FRANCHISE TAX",C2258)),ISNUMBER(SEARCH("NEXTLINK",C2258))),"Personal - House Bills",IF(AND(ISNUMBER(SEARCH("PAYMENT FROM",C2258)),ISNUMBER(SEARCH("JOE SAUNDERS",C2258))),"Zelle from Joe Saunders",IF(AND(ISNUMBER(SEARCH("PAYMENT TO",C2258)),ISNUMBER(SEARCH("JOE SAUNDERS",C2258))),"Zelle to Joe Saunders",IF(OR(ISNUMBER(SEARCH("NEW ORLEANS",C2258)),ISNUMBER(SEARCH("KENNER",C2258)),ISNUMBER(SEARCH("HENRY HOWARD",C2258)),ISNUMBER(SEARCH("MISS CLAUDIA",C2258))),"Personal Travel - New Orleans",IF(AND(YEAR(B2258)=2025,MONTH(B2258)=4,OR(ISNUMBER(SEARCH("EXCHANGE RATE",C2258)),ISNUMBER(SEARCH("EXCHG RTE",C2258)))),"Personal Travel - Italy",IFERROR(INDEX('Category Rules'!$B$2:$B$358,MATCH(TRUE,ISNUMBER(SEARCH('Category Rules'!$A$2:$A$358,C2258)),0)),""))))))))</f>
        <v>YouTube Premium</v>
      </c>
    </row>
    <row r="2259" spans="1:7" x14ac:dyDescent="0.25">
      <c r="A2259" t="s">
        <v>6</v>
      </c>
      <c r="B2259" s="1">
        <v>45663</v>
      </c>
      <c r="C2259" t="s">
        <v>2382</v>
      </c>
      <c r="D2259">
        <v>-29.95</v>
      </c>
      <c r="E2259" t="s">
        <v>10</v>
      </c>
      <c r="F2259">
        <v>3787.53</v>
      </c>
      <c r="G2259" t="str" cm="1">
        <f t="array" ref="G2259">IF(AND(ISNUMBER(SEARCH("UBER",C2259)),ISNUMBER(SEARCH("EATS",C2259))),"Uber Eats",IF(LEFT(C2259,6)="CHECK ","Checks Paid",IF(OR(E2259="BILLPAY",ISNUMBER(SEARCH("FRANCHISE TAX",C2259)),ISNUMBER(SEARCH("NEXTLINK",C2259))),"Personal - House Bills",IF(AND(ISNUMBER(SEARCH("PAYMENT FROM",C2259)),ISNUMBER(SEARCH("JOE SAUNDERS",C2259))),"Zelle from Joe Saunders",IF(AND(ISNUMBER(SEARCH("PAYMENT TO",C2259)),ISNUMBER(SEARCH("JOE SAUNDERS",C2259))),"Zelle to Joe Saunders",IF(OR(ISNUMBER(SEARCH("NEW ORLEANS",C2259)),ISNUMBER(SEARCH("KENNER",C2259)),ISNUMBER(SEARCH("HENRY HOWARD",C2259)),ISNUMBER(SEARCH("MISS CLAUDIA",C2259))),"Personal Travel - New Orleans",IF(AND(YEAR(B2259)=2025,MONTH(B2259)=4,OR(ISNUMBER(SEARCH("EXCHANGE RATE",C2259)),ISNUMBER(SEARCH("EXCHG RTE",C2259)))),"Personal Travel - Italy",IFERROR(INDEX('Category Rules'!$B$2:$B$358,MATCH(TRUE,ISNUMBER(SEARCH('Category Rules'!$A$2:$A$358,C2259)),0)),""))))))))</f>
        <v>Personal - Subscription</v>
      </c>
    </row>
    <row r="2260" spans="1:7" x14ac:dyDescent="0.25">
      <c r="A2260" t="s">
        <v>6</v>
      </c>
      <c r="B2260" s="1">
        <v>45663</v>
      </c>
      <c r="C2260" t="s">
        <v>2383</v>
      </c>
      <c r="D2260">
        <v>-344.19</v>
      </c>
      <c r="E2260" t="s">
        <v>33</v>
      </c>
      <c r="F2260">
        <v>3817.48</v>
      </c>
      <c r="G2260" t="str" cm="1">
        <f t="array" ref="G2260">IF(AND(ISNUMBER(SEARCH("UBER",C2260)),ISNUMBER(SEARCH("EATS",C2260))),"Uber Eats",IF(LEFT(C2260,6)="CHECK ","Checks Paid",IF(OR(E2260="BILLPAY",ISNUMBER(SEARCH("FRANCHISE TAX",C2260)),ISNUMBER(SEARCH("NEXTLINK",C2260))),"Personal - House Bills",IF(AND(ISNUMBER(SEARCH("PAYMENT FROM",C2260)),ISNUMBER(SEARCH("JOE SAUNDERS",C2260))),"Zelle from Joe Saunders",IF(AND(ISNUMBER(SEARCH("PAYMENT TO",C2260)),ISNUMBER(SEARCH("JOE SAUNDERS",C2260))),"Zelle to Joe Saunders",IF(OR(ISNUMBER(SEARCH("NEW ORLEANS",C2260)),ISNUMBER(SEARCH("KENNER",C2260)),ISNUMBER(SEARCH("HENRY HOWARD",C2260)),ISNUMBER(SEARCH("MISS CLAUDIA",C2260))),"Personal Travel - New Orleans",IF(AND(YEAR(B2260)=2025,MONTH(B2260)=4,OR(ISNUMBER(SEARCH("EXCHANGE RATE",C2260)),ISNUMBER(SEARCH("EXCHG RTE",C2260)))),"Personal Travel - Italy",IFERROR(INDEX('Category Rules'!$B$2:$B$358,MATCH(TRUE,ISNUMBER(SEARCH('Category Rules'!$A$2:$A$358,C2260)),0)),""))))))))</f>
        <v>Personal - House Bills</v>
      </c>
    </row>
    <row r="2261" spans="1:7" x14ac:dyDescent="0.25">
      <c r="A2261" t="s">
        <v>6</v>
      </c>
      <c r="B2261" s="1">
        <v>45663</v>
      </c>
      <c r="C2261" t="s">
        <v>2384</v>
      </c>
      <c r="D2261">
        <v>-60</v>
      </c>
      <c r="E2261" t="s">
        <v>33</v>
      </c>
      <c r="F2261">
        <v>4161.67</v>
      </c>
      <c r="G2261" t="str" cm="1">
        <f t="array" ref="G2261">IF(AND(ISNUMBER(SEARCH("UBER",C2261)),ISNUMBER(SEARCH("EATS",C2261))),"Uber Eats",IF(LEFT(C2261,6)="CHECK ","Checks Paid",IF(OR(E2261="BILLPAY",ISNUMBER(SEARCH("FRANCHISE TAX",C2261)),ISNUMBER(SEARCH("NEXTLINK",C2261))),"Personal - House Bills",IF(AND(ISNUMBER(SEARCH("PAYMENT FROM",C2261)),ISNUMBER(SEARCH("JOE SAUNDERS",C2261))),"Zelle from Joe Saunders",IF(AND(ISNUMBER(SEARCH("PAYMENT TO",C2261)),ISNUMBER(SEARCH("JOE SAUNDERS",C2261))),"Zelle to Joe Saunders",IF(OR(ISNUMBER(SEARCH("NEW ORLEANS",C2261)),ISNUMBER(SEARCH("KENNER",C2261)),ISNUMBER(SEARCH("HENRY HOWARD",C2261)),ISNUMBER(SEARCH("MISS CLAUDIA",C2261))),"Personal Travel - New Orleans",IF(AND(YEAR(B2261)=2025,MONTH(B2261)=4,OR(ISNUMBER(SEARCH("EXCHANGE RATE",C2261)),ISNUMBER(SEARCH("EXCHG RTE",C2261)))),"Personal Travel - Italy",IFERROR(INDEX('Category Rules'!$B$2:$B$358,MATCH(TRUE,ISNUMBER(SEARCH('Category Rules'!$A$2:$A$358,C2261)),0)),""))))))))</f>
        <v>Personal - House Bills</v>
      </c>
    </row>
    <row r="2262" spans="1:7" x14ac:dyDescent="0.25">
      <c r="A2262" t="s">
        <v>6</v>
      </c>
      <c r="B2262" s="1">
        <v>45663</v>
      </c>
      <c r="C2262" t="s">
        <v>2385</v>
      </c>
      <c r="D2262">
        <v>-200</v>
      </c>
      <c r="E2262" t="s">
        <v>39</v>
      </c>
      <c r="F2262">
        <v>4221.67</v>
      </c>
      <c r="G2262" t="str" cm="1">
        <f t="array" ref="G2262">IF(AND(ISNUMBER(SEARCH("UBER",C2262)),ISNUMBER(SEARCH("EATS",C2262))),"Uber Eats",IF(LEFT(C2262,6)="CHECK ","Checks Paid",IF(OR(E2262="BILLPAY",ISNUMBER(SEARCH("FRANCHISE TAX",C2262)),ISNUMBER(SEARCH("NEXTLINK",C2262))),"Personal - House Bills",IF(AND(ISNUMBER(SEARCH("PAYMENT FROM",C2262)),ISNUMBER(SEARCH("JOE SAUNDERS",C2262))),"Zelle from Joe Saunders",IF(AND(ISNUMBER(SEARCH("PAYMENT TO",C2262)),ISNUMBER(SEARCH("JOE SAUNDERS",C2262))),"Zelle to Joe Saunders",IF(OR(ISNUMBER(SEARCH("NEW ORLEANS",C2262)),ISNUMBER(SEARCH("KENNER",C2262)),ISNUMBER(SEARCH("HENRY HOWARD",C2262)),ISNUMBER(SEARCH("MISS CLAUDIA",C2262))),"Personal Travel - New Orleans",IF(AND(YEAR(B2262)=2025,MONTH(B2262)=4,OR(ISNUMBER(SEARCH("EXCHANGE RATE",C2262)),ISNUMBER(SEARCH("EXCHG RTE",C2262)))),"Personal Travel - Italy",IFERROR(INDEX('Category Rules'!$B$2:$B$358,MATCH(TRUE,ISNUMBER(SEARCH('Category Rules'!$A$2:$A$358,C2262)),0)),""))))))))</f>
        <v>Zelle to Aaron Frankel</v>
      </c>
    </row>
    <row r="2263" spans="1:7" x14ac:dyDescent="0.25">
      <c r="A2263" t="s">
        <v>6</v>
      </c>
      <c r="B2263" s="1">
        <v>45663</v>
      </c>
      <c r="C2263" t="s">
        <v>2386</v>
      </c>
      <c r="D2263">
        <v>-282.04000000000002</v>
      </c>
      <c r="E2263" t="s">
        <v>10</v>
      </c>
      <c r="F2263">
        <v>4421.67</v>
      </c>
      <c r="G2263" t="str" cm="1">
        <f t="array" ref="G2263">IF(AND(ISNUMBER(SEARCH("UBER",C2263)),ISNUMBER(SEARCH("EATS",C2263))),"Uber Eats",IF(LEFT(C2263,6)="CHECK ","Checks Paid",IF(OR(E2263="BILLPAY",ISNUMBER(SEARCH("FRANCHISE TAX",C2263)),ISNUMBER(SEARCH("NEXTLINK",C2263))),"Personal - House Bills",IF(AND(ISNUMBER(SEARCH("PAYMENT FROM",C2263)),ISNUMBER(SEARCH("JOE SAUNDERS",C2263))),"Zelle from Joe Saunders",IF(AND(ISNUMBER(SEARCH("PAYMENT TO",C2263)),ISNUMBER(SEARCH("JOE SAUNDERS",C2263))),"Zelle to Joe Saunders",IF(OR(ISNUMBER(SEARCH("NEW ORLEANS",C2263)),ISNUMBER(SEARCH("KENNER",C2263)),ISNUMBER(SEARCH("HENRY HOWARD",C2263)),ISNUMBER(SEARCH("MISS CLAUDIA",C2263))),"Personal Travel - New Orleans",IF(AND(YEAR(B2263)=2025,MONTH(B2263)=4,OR(ISNUMBER(SEARCH("EXCHANGE RATE",C2263)),ISNUMBER(SEARCH("EXCHG RTE",C2263)))),"Personal Travel - Italy",IFERROR(INDEX('Category Rules'!$B$2:$B$358,MATCH(TRUE,ISNUMBER(SEARCH('Category Rules'!$A$2:$A$358,C2263)),0)),""))))))))</f>
        <v>Personal - Misc</v>
      </c>
    </row>
    <row r="2264" spans="1:7" x14ac:dyDescent="0.25">
      <c r="A2264" t="s">
        <v>6</v>
      </c>
      <c r="B2264" s="1">
        <v>45663</v>
      </c>
      <c r="C2264" t="s">
        <v>2387</v>
      </c>
      <c r="D2264">
        <v>-51.36</v>
      </c>
      <c r="E2264" t="s">
        <v>10</v>
      </c>
      <c r="F2264">
        <v>4703.71</v>
      </c>
      <c r="G2264" t="str" cm="1">
        <f t="array" ref="G2264">IF(AND(ISNUMBER(SEARCH("UBER",C2264)),ISNUMBER(SEARCH("EATS",C2264))),"Uber Eats",IF(LEFT(C2264,6)="CHECK ","Checks Paid",IF(OR(E2264="BILLPAY",ISNUMBER(SEARCH("FRANCHISE TAX",C2264)),ISNUMBER(SEARCH("NEXTLINK",C2264))),"Personal - House Bills",IF(AND(ISNUMBER(SEARCH("PAYMENT FROM",C2264)),ISNUMBER(SEARCH("JOE SAUNDERS",C2264))),"Zelle from Joe Saunders",IF(AND(ISNUMBER(SEARCH("PAYMENT TO",C2264)),ISNUMBER(SEARCH("JOE SAUNDERS",C2264))),"Zelle to Joe Saunders",IF(OR(ISNUMBER(SEARCH("NEW ORLEANS",C2264)),ISNUMBER(SEARCH("KENNER",C2264)),ISNUMBER(SEARCH("HENRY HOWARD",C2264)),ISNUMBER(SEARCH("MISS CLAUDIA",C2264))),"Personal Travel - New Orleans",IF(AND(YEAR(B2264)=2025,MONTH(B2264)=4,OR(ISNUMBER(SEARCH("EXCHANGE RATE",C2264)),ISNUMBER(SEARCH("EXCHG RTE",C2264)))),"Personal Travel - Italy",IFERROR(INDEX('Category Rules'!$B$2:$B$358,MATCH(TRUE,ISNUMBER(SEARCH('Category Rules'!$A$2:$A$358,C2264)),0)),""))))))))</f>
        <v>Personal - Entertainment</v>
      </c>
    </row>
    <row r="2265" spans="1:7" x14ac:dyDescent="0.25">
      <c r="A2265" t="s">
        <v>6</v>
      </c>
      <c r="B2265" s="1">
        <v>45663</v>
      </c>
      <c r="C2265" t="s">
        <v>2388</v>
      </c>
      <c r="D2265">
        <v>-68.209999999999994</v>
      </c>
      <c r="E2265" t="s">
        <v>10</v>
      </c>
      <c r="F2265">
        <v>4755.07</v>
      </c>
      <c r="G2265" t="str" cm="1">
        <f t="array" ref="G2265">IF(AND(ISNUMBER(SEARCH("UBER",C2265)),ISNUMBER(SEARCH("EATS",C2265))),"Uber Eats",IF(LEFT(C2265,6)="CHECK ","Checks Paid",IF(OR(E2265="BILLPAY",ISNUMBER(SEARCH("FRANCHISE TAX",C2265)),ISNUMBER(SEARCH("NEXTLINK",C2265))),"Personal - House Bills",IF(AND(ISNUMBER(SEARCH("PAYMENT FROM",C2265)),ISNUMBER(SEARCH("JOE SAUNDERS",C2265))),"Zelle from Joe Saunders",IF(AND(ISNUMBER(SEARCH("PAYMENT TO",C2265)),ISNUMBER(SEARCH("JOE SAUNDERS",C2265))),"Zelle to Joe Saunders",IF(OR(ISNUMBER(SEARCH("NEW ORLEANS",C2265)),ISNUMBER(SEARCH("KENNER",C2265)),ISNUMBER(SEARCH("HENRY HOWARD",C2265)),ISNUMBER(SEARCH("MISS CLAUDIA",C2265))),"Personal Travel - New Orleans",IF(AND(YEAR(B2265)=2025,MONTH(B2265)=4,OR(ISNUMBER(SEARCH("EXCHANGE RATE",C2265)),ISNUMBER(SEARCH("EXCHG RTE",C2265)))),"Personal Travel - Italy",IFERROR(INDEX('Category Rules'!$B$2:$B$358,MATCH(TRUE,ISNUMBER(SEARCH('Category Rules'!$A$2:$A$358,C2265)),0)),""))))))))</f>
        <v>Personal - Car</v>
      </c>
    </row>
    <row r="2266" spans="1:7" x14ac:dyDescent="0.25">
      <c r="A2266" t="s">
        <v>6</v>
      </c>
      <c r="B2266" s="1">
        <v>45663</v>
      </c>
      <c r="C2266" t="s">
        <v>2389</v>
      </c>
      <c r="D2266">
        <v>-26.99</v>
      </c>
      <c r="E2266" t="s">
        <v>10</v>
      </c>
      <c r="F2266">
        <v>4823.28</v>
      </c>
      <c r="G2266" t="str" cm="1">
        <f t="array" ref="G2266">IF(AND(ISNUMBER(SEARCH("UBER",C2266)),ISNUMBER(SEARCH("EATS",C2266))),"Uber Eats",IF(LEFT(C2266,6)="CHECK ","Checks Paid",IF(OR(E2266="BILLPAY",ISNUMBER(SEARCH("FRANCHISE TAX",C2266)),ISNUMBER(SEARCH("NEXTLINK",C2266))),"Personal - House Bills",IF(AND(ISNUMBER(SEARCH("PAYMENT FROM",C2266)),ISNUMBER(SEARCH("JOE SAUNDERS",C2266))),"Zelle from Joe Saunders",IF(AND(ISNUMBER(SEARCH("PAYMENT TO",C2266)),ISNUMBER(SEARCH("JOE SAUNDERS",C2266))),"Zelle to Joe Saunders",IF(OR(ISNUMBER(SEARCH("NEW ORLEANS",C2266)),ISNUMBER(SEARCH("KENNER",C2266)),ISNUMBER(SEARCH("HENRY HOWARD",C2266)),ISNUMBER(SEARCH("MISS CLAUDIA",C2266))),"Personal Travel - New Orleans",IF(AND(YEAR(B2266)=2025,MONTH(B2266)=4,OR(ISNUMBER(SEARCH("EXCHANGE RATE",C2266)),ISNUMBER(SEARCH("EXCHG RTE",C2266)))),"Personal Travel - Italy",IFERROR(INDEX('Category Rules'!$B$2:$B$358,MATCH(TRUE,ISNUMBER(SEARCH('Category Rules'!$A$2:$A$358,C2266)),0)),""))))))))</f>
        <v>Personal - Car</v>
      </c>
    </row>
    <row r="2267" spans="1:7" x14ac:dyDescent="0.25">
      <c r="A2267" t="s">
        <v>6</v>
      </c>
      <c r="B2267" s="1">
        <v>45663</v>
      </c>
      <c r="C2267" t="s">
        <v>2390</v>
      </c>
      <c r="D2267">
        <v>-105</v>
      </c>
      <c r="E2267" t="s">
        <v>10</v>
      </c>
      <c r="F2267">
        <v>4850.2700000000004</v>
      </c>
      <c r="G2267" t="str" cm="1">
        <f t="array" ref="G2267">IF(AND(ISNUMBER(SEARCH("UBER",C2267)),ISNUMBER(SEARCH("EATS",C2267))),"Uber Eats",IF(LEFT(C2267,6)="CHECK ","Checks Paid",IF(OR(E2267="BILLPAY",ISNUMBER(SEARCH("FRANCHISE TAX",C2267)),ISNUMBER(SEARCH("NEXTLINK",C2267))),"Personal - House Bills",IF(AND(ISNUMBER(SEARCH("PAYMENT FROM",C2267)),ISNUMBER(SEARCH("JOE SAUNDERS",C2267))),"Zelle from Joe Saunders",IF(AND(ISNUMBER(SEARCH("PAYMENT TO",C2267)),ISNUMBER(SEARCH("JOE SAUNDERS",C2267))),"Zelle to Joe Saunders",IF(OR(ISNUMBER(SEARCH("NEW ORLEANS",C2267)),ISNUMBER(SEARCH("KENNER",C2267)),ISNUMBER(SEARCH("HENRY HOWARD",C2267)),ISNUMBER(SEARCH("MISS CLAUDIA",C2267))),"Personal Travel - New Orleans",IF(AND(YEAR(B2267)=2025,MONTH(B2267)=4,OR(ISNUMBER(SEARCH("EXCHANGE RATE",C2267)),ISNUMBER(SEARCH("EXCHG RTE",C2267)))),"Personal Travel - Italy",IFERROR(INDEX('Category Rules'!$B$2:$B$358,MATCH(TRUE,ISNUMBER(SEARCH('Category Rules'!$A$2:$A$358,C2267)),0)),""))))))))</f>
        <v>Personal - Shopping</v>
      </c>
    </row>
    <row r="2268" spans="1:7" x14ac:dyDescent="0.25">
      <c r="A2268" t="s">
        <v>6</v>
      </c>
      <c r="B2268" s="1">
        <v>45663</v>
      </c>
      <c r="C2268" t="s">
        <v>2391</v>
      </c>
      <c r="D2268">
        <v>33.5</v>
      </c>
      <c r="E2268" t="s">
        <v>10</v>
      </c>
      <c r="F2268">
        <v>4955.2700000000004</v>
      </c>
      <c r="G2268" t="str" cm="1">
        <f t="array" ref="G2268">IF(AND(ISNUMBER(SEARCH("UBER",C2268)),ISNUMBER(SEARCH("EATS",C2268))),"Uber Eats",IF(LEFT(C2268,6)="CHECK ","Checks Paid",IF(OR(E2268="BILLPAY",ISNUMBER(SEARCH("FRANCHISE TAX",C2268)),ISNUMBER(SEARCH("NEXTLINK",C2268))),"Personal - House Bills",IF(AND(ISNUMBER(SEARCH("PAYMENT FROM",C2268)),ISNUMBER(SEARCH("JOE SAUNDERS",C2268))),"Zelle from Joe Saunders",IF(AND(ISNUMBER(SEARCH("PAYMENT TO",C2268)),ISNUMBER(SEARCH("JOE SAUNDERS",C2268))),"Zelle to Joe Saunders",IF(OR(ISNUMBER(SEARCH("NEW ORLEANS",C2268)),ISNUMBER(SEARCH("KENNER",C2268)),ISNUMBER(SEARCH("HENRY HOWARD",C2268)),ISNUMBER(SEARCH("MISS CLAUDIA",C2268))),"Personal Travel - New Orleans",IF(AND(YEAR(B2268)=2025,MONTH(B2268)=4,OR(ISNUMBER(SEARCH("EXCHANGE RATE",C2268)),ISNUMBER(SEARCH("EXCHG RTE",C2268)))),"Personal Travel - Italy",IFERROR(INDEX('Category Rules'!$B$2:$B$358,MATCH(TRUE,ISNUMBER(SEARCH('Category Rules'!$A$2:$A$358,C2268)),0)),""))))))))</f>
        <v>Personal Travel - Canada</v>
      </c>
    </row>
    <row r="2269" spans="1:7" x14ac:dyDescent="0.25">
      <c r="A2269" t="s">
        <v>6</v>
      </c>
      <c r="B2269" s="1">
        <v>45663</v>
      </c>
      <c r="C2269" t="s">
        <v>2392</v>
      </c>
      <c r="D2269">
        <v>58.59</v>
      </c>
      <c r="E2269" t="s">
        <v>10</v>
      </c>
      <c r="F2269">
        <v>4921.7700000000004</v>
      </c>
      <c r="G2269" t="str" cm="1">
        <f t="array" ref="G2269">IF(AND(ISNUMBER(SEARCH("UBER",C2269)),ISNUMBER(SEARCH("EATS",C2269))),"Uber Eats",IF(LEFT(C2269,6)="CHECK ","Checks Paid",IF(OR(E2269="BILLPAY",ISNUMBER(SEARCH("FRANCHISE TAX",C2269)),ISNUMBER(SEARCH("NEXTLINK",C2269))),"Personal - House Bills",IF(AND(ISNUMBER(SEARCH("PAYMENT FROM",C2269)),ISNUMBER(SEARCH("JOE SAUNDERS",C2269))),"Zelle from Joe Saunders",IF(AND(ISNUMBER(SEARCH("PAYMENT TO",C2269)),ISNUMBER(SEARCH("JOE SAUNDERS",C2269))),"Zelle to Joe Saunders",IF(OR(ISNUMBER(SEARCH("NEW ORLEANS",C2269)),ISNUMBER(SEARCH("KENNER",C2269)),ISNUMBER(SEARCH("HENRY HOWARD",C2269)),ISNUMBER(SEARCH("MISS CLAUDIA",C2269))),"Personal Travel - New Orleans",IF(AND(YEAR(B2269)=2025,MONTH(B2269)=4,OR(ISNUMBER(SEARCH("EXCHANGE RATE",C2269)),ISNUMBER(SEARCH("EXCHG RTE",C2269)))),"Personal Travel - Italy",IFERROR(INDEX('Category Rules'!$B$2:$B$358,MATCH(TRUE,ISNUMBER(SEARCH('Category Rules'!$A$2:$A$358,C2269)),0)),""))))))))</f>
        <v>Personal Travel - Canada</v>
      </c>
    </row>
    <row r="2270" spans="1:7" x14ac:dyDescent="0.25">
      <c r="A2270" t="s">
        <v>6</v>
      </c>
      <c r="B2270" s="1">
        <v>45660</v>
      </c>
      <c r="C2270" t="s">
        <v>21</v>
      </c>
      <c r="D2270">
        <v>-3</v>
      </c>
      <c r="E2270" t="s">
        <v>8</v>
      </c>
      <c r="F2270">
        <v>4863.18</v>
      </c>
      <c r="G2270" t="str" cm="1">
        <f t="array" ref="G2270">IF(AND(ISNUMBER(SEARCH("UBER",C2270)),ISNUMBER(SEARCH("EATS",C2270))),"Uber Eats",IF(LEFT(C2270,6)="CHECK ","Checks Paid",IF(OR(E2270="BILLPAY",ISNUMBER(SEARCH("FRANCHISE TAX",C2270)),ISNUMBER(SEARCH("NEXTLINK",C2270))),"Personal - House Bills",IF(AND(ISNUMBER(SEARCH("PAYMENT FROM",C2270)),ISNUMBER(SEARCH("JOE SAUNDERS",C2270))),"Zelle from Joe Saunders",IF(AND(ISNUMBER(SEARCH("PAYMENT TO",C2270)),ISNUMBER(SEARCH("JOE SAUNDERS",C2270))),"Zelle to Joe Saunders",IF(OR(ISNUMBER(SEARCH("NEW ORLEANS",C2270)),ISNUMBER(SEARCH("KENNER",C2270)),ISNUMBER(SEARCH("HENRY HOWARD",C2270)),ISNUMBER(SEARCH("MISS CLAUDIA",C2270))),"Personal Travel - New Orleans",IF(AND(YEAR(B2270)=2025,MONTH(B2270)=4,OR(ISNUMBER(SEARCH("EXCHANGE RATE",C2270)),ISNUMBER(SEARCH("EXCHG RTE",C2270)))),"Personal Travel - Italy",IFERROR(INDEX('Category Rules'!$B$2:$B$358,MATCH(TRUE,ISNUMBER(SEARCH('Category Rules'!$A$2:$A$358,C2270)),0)),""))))))))</f>
        <v>Bank Fees</v>
      </c>
    </row>
    <row r="2271" spans="1:7" x14ac:dyDescent="0.25">
      <c r="A2271" t="s">
        <v>6</v>
      </c>
      <c r="B2271" s="1">
        <v>45660</v>
      </c>
      <c r="C2271" t="s">
        <v>2393</v>
      </c>
      <c r="D2271">
        <v>-133.30000000000001</v>
      </c>
      <c r="E2271" t="s">
        <v>10</v>
      </c>
      <c r="F2271">
        <v>4866.18</v>
      </c>
      <c r="G2271" t="str" cm="1">
        <f t="array" ref="G2271">IF(AND(ISNUMBER(SEARCH("UBER",C2271)),ISNUMBER(SEARCH("EATS",C2271))),"Uber Eats",IF(LEFT(C2271,6)="CHECK ","Checks Paid",IF(OR(E2271="BILLPAY",ISNUMBER(SEARCH("FRANCHISE TAX",C2271)),ISNUMBER(SEARCH("NEXTLINK",C2271))),"Personal - House Bills",IF(AND(ISNUMBER(SEARCH("PAYMENT FROM",C2271)),ISNUMBER(SEARCH("JOE SAUNDERS",C2271))),"Zelle from Joe Saunders",IF(AND(ISNUMBER(SEARCH("PAYMENT TO",C2271)),ISNUMBER(SEARCH("JOE SAUNDERS",C2271))),"Zelle to Joe Saunders",IF(OR(ISNUMBER(SEARCH("NEW ORLEANS",C2271)),ISNUMBER(SEARCH("KENNER",C2271)),ISNUMBER(SEARCH("HENRY HOWARD",C2271)),ISNUMBER(SEARCH("MISS CLAUDIA",C2271))),"Personal Travel - New Orleans",IF(AND(YEAR(B2271)=2025,MONTH(B2271)=4,OR(ISNUMBER(SEARCH("EXCHANGE RATE",C2271)),ISNUMBER(SEARCH("EXCHG RTE",C2271)))),"Personal Travel - Italy",IFERROR(INDEX('Category Rules'!$B$2:$B$358,MATCH(TRUE,ISNUMBER(SEARCH('Category Rules'!$A$2:$A$358,C2271)),0)),""))))))))</f>
        <v>Personal - Food</v>
      </c>
    </row>
    <row r="2272" spans="1:7" x14ac:dyDescent="0.25">
      <c r="A2272" t="s">
        <v>6</v>
      </c>
      <c r="B2272" s="1">
        <v>45660</v>
      </c>
      <c r="C2272" t="s">
        <v>2394</v>
      </c>
      <c r="D2272">
        <v>-103</v>
      </c>
      <c r="E2272" t="s">
        <v>26</v>
      </c>
      <c r="F2272">
        <v>4999.4799999999996</v>
      </c>
      <c r="G2272" t="str" cm="1">
        <f t="array" ref="G2272">IF(AND(ISNUMBER(SEARCH("UBER",C2272)),ISNUMBER(SEARCH("EATS",C2272))),"Uber Eats",IF(LEFT(C2272,6)="CHECK ","Checks Paid",IF(OR(E2272="BILLPAY",ISNUMBER(SEARCH("FRANCHISE TAX",C2272)),ISNUMBER(SEARCH("NEXTLINK",C2272))),"Personal - House Bills",IF(AND(ISNUMBER(SEARCH("PAYMENT FROM",C2272)),ISNUMBER(SEARCH("JOE SAUNDERS",C2272))),"Zelle from Joe Saunders",IF(AND(ISNUMBER(SEARCH("PAYMENT TO",C2272)),ISNUMBER(SEARCH("JOE SAUNDERS",C2272))),"Zelle to Joe Saunders",IF(OR(ISNUMBER(SEARCH("NEW ORLEANS",C2272)),ISNUMBER(SEARCH("KENNER",C2272)),ISNUMBER(SEARCH("HENRY HOWARD",C2272)),ISNUMBER(SEARCH("MISS CLAUDIA",C2272))),"Personal Travel - New Orleans",IF(AND(YEAR(B2272)=2025,MONTH(B2272)=4,OR(ISNUMBER(SEARCH("EXCHANGE RATE",C2272)),ISNUMBER(SEARCH("EXCHG RTE",C2272)))),"Personal Travel - Italy",IFERROR(INDEX('Category Rules'!$B$2:$B$358,MATCH(TRUE,ISNUMBER(SEARCH('Category Rules'!$A$2:$A$358,C2272)),0)),""))))))))</f>
        <v>Withdrawal</v>
      </c>
    </row>
    <row r="2273" spans="1:7" x14ac:dyDescent="0.25">
      <c r="A2273" t="s">
        <v>6</v>
      </c>
      <c r="B2273" s="1">
        <v>45660</v>
      </c>
      <c r="C2273" t="s">
        <v>2395</v>
      </c>
      <c r="D2273">
        <v>-120</v>
      </c>
      <c r="E2273" t="s">
        <v>33</v>
      </c>
      <c r="F2273">
        <v>5102.4799999999996</v>
      </c>
      <c r="G2273" t="str" cm="1">
        <f t="array" ref="G2273">IF(AND(ISNUMBER(SEARCH("UBER",C2273)),ISNUMBER(SEARCH("EATS",C2273))),"Uber Eats",IF(LEFT(C2273,6)="CHECK ","Checks Paid",IF(OR(E2273="BILLPAY",ISNUMBER(SEARCH("FRANCHISE TAX",C2273)),ISNUMBER(SEARCH("NEXTLINK",C2273))),"Personal - House Bills",IF(AND(ISNUMBER(SEARCH("PAYMENT FROM",C2273)),ISNUMBER(SEARCH("JOE SAUNDERS",C2273))),"Zelle from Joe Saunders",IF(AND(ISNUMBER(SEARCH("PAYMENT TO",C2273)),ISNUMBER(SEARCH("JOE SAUNDERS",C2273))),"Zelle to Joe Saunders",IF(OR(ISNUMBER(SEARCH("NEW ORLEANS",C2273)),ISNUMBER(SEARCH("KENNER",C2273)),ISNUMBER(SEARCH("HENRY HOWARD",C2273)),ISNUMBER(SEARCH("MISS CLAUDIA",C2273))),"Personal Travel - New Orleans",IF(AND(YEAR(B2273)=2025,MONTH(B2273)=4,OR(ISNUMBER(SEARCH("EXCHANGE RATE",C2273)),ISNUMBER(SEARCH("EXCHG RTE",C2273)))),"Personal Travel - Italy",IFERROR(INDEX('Category Rules'!$B$2:$B$358,MATCH(TRUE,ISNUMBER(SEARCH('Category Rules'!$A$2:$A$358,C2273)),0)),""))))))))</f>
        <v>Personal - House Bills</v>
      </c>
    </row>
    <row r="2274" spans="1:7" x14ac:dyDescent="0.25">
      <c r="A2274" t="s">
        <v>6</v>
      </c>
      <c r="B2274" s="1">
        <v>45660</v>
      </c>
      <c r="C2274" t="s">
        <v>2396</v>
      </c>
      <c r="D2274">
        <v>-300</v>
      </c>
      <c r="E2274" t="s">
        <v>33</v>
      </c>
      <c r="F2274">
        <v>5222.4799999999996</v>
      </c>
      <c r="G2274" t="str" cm="1">
        <f t="array" ref="G2274">IF(AND(ISNUMBER(SEARCH("UBER",C2274)),ISNUMBER(SEARCH("EATS",C2274))),"Uber Eats",IF(LEFT(C2274,6)="CHECK ","Checks Paid",IF(OR(E2274="BILLPAY",ISNUMBER(SEARCH("FRANCHISE TAX",C2274)),ISNUMBER(SEARCH("NEXTLINK",C2274))),"Personal - House Bills",IF(AND(ISNUMBER(SEARCH("PAYMENT FROM",C2274)),ISNUMBER(SEARCH("JOE SAUNDERS",C2274))),"Zelle from Joe Saunders",IF(AND(ISNUMBER(SEARCH("PAYMENT TO",C2274)),ISNUMBER(SEARCH("JOE SAUNDERS",C2274))),"Zelle to Joe Saunders",IF(OR(ISNUMBER(SEARCH("NEW ORLEANS",C2274)),ISNUMBER(SEARCH("KENNER",C2274)),ISNUMBER(SEARCH("HENRY HOWARD",C2274)),ISNUMBER(SEARCH("MISS CLAUDIA",C2274))),"Personal Travel - New Orleans",IF(AND(YEAR(B2274)=2025,MONTH(B2274)=4,OR(ISNUMBER(SEARCH("EXCHANGE RATE",C2274)),ISNUMBER(SEARCH("EXCHG RTE",C2274)))),"Personal Travel - Italy",IFERROR(INDEX('Category Rules'!$B$2:$B$358,MATCH(TRUE,ISNUMBER(SEARCH('Category Rules'!$A$2:$A$358,C2274)),0)),""))))))))</f>
        <v>Personal - House Bills</v>
      </c>
    </row>
    <row r="2275" spans="1:7" x14ac:dyDescent="0.25">
      <c r="A2275" t="s">
        <v>6</v>
      </c>
      <c r="B2275" s="1">
        <v>45660</v>
      </c>
      <c r="C2275" t="s">
        <v>2397</v>
      </c>
      <c r="D2275">
        <v>-320</v>
      </c>
      <c r="E2275" t="s">
        <v>33</v>
      </c>
      <c r="F2275">
        <v>5522.48</v>
      </c>
      <c r="G2275" t="str" cm="1">
        <f t="array" ref="G2275">IF(AND(ISNUMBER(SEARCH("UBER",C2275)),ISNUMBER(SEARCH("EATS",C2275))),"Uber Eats",IF(LEFT(C2275,6)="CHECK ","Checks Paid",IF(OR(E2275="BILLPAY",ISNUMBER(SEARCH("FRANCHISE TAX",C2275)),ISNUMBER(SEARCH("NEXTLINK",C2275))),"Personal - House Bills",IF(AND(ISNUMBER(SEARCH("PAYMENT FROM",C2275)),ISNUMBER(SEARCH("JOE SAUNDERS",C2275))),"Zelle from Joe Saunders",IF(AND(ISNUMBER(SEARCH("PAYMENT TO",C2275)),ISNUMBER(SEARCH("JOE SAUNDERS",C2275))),"Zelle to Joe Saunders",IF(OR(ISNUMBER(SEARCH("NEW ORLEANS",C2275)),ISNUMBER(SEARCH("KENNER",C2275)),ISNUMBER(SEARCH("HENRY HOWARD",C2275)),ISNUMBER(SEARCH("MISS CLAUDIA",C2275))),"Personal Travel - New Orleans",IF(AND(YEAR(B2275)=2025,MONTH(B2275)=4,OR(ISNUMBER(SEARCH("EXCHANGE RATE",C2275)),ISNUMBER(SEARCH("EXCHG RTE",C2275)))),"Personal Travel - Italy",IFERROR(INDEX('Category Rules'!$B$2:$B$358,MATCH(TRUE,ISNUMBER(SEARCH('Category Rules'!$A$2:$A$358,C2275)),0)),""))))))))</f>
        <v>Personal - House Bills</v>
      </c>
    </row>
    <row r="2276" spans="1:7" x14ac:dyDescent="0.25">
      <c r="A2276" t="s">
        <v>6</v>
      </c>
      <c r="B2276" s="1">
        <v>45660</v>
      </c>
      <c r="C2276" t="s">
        <v>2398</v>
      </c>
      <c r="D2276">
        <v>-700</v>
      </c>
      <c r="E2276" t="s">
        <v>33</v>
      </c>
      <c r="F2276">
        <v>5842.48</v>
      </c>
      <c r="G2276" t="str" cm="1">
        <f t="array" ref="G2276">IF(AND(ISNUMBER(SEARCH("UBER",C2276)),ISNUMBER(SEARCH("EATS",C2276))),"Uber Eats",IF(LEFT(C2276,6)="CHECK ","Checks Paid",IF(OR(E2276="BILLPAY",ISNUMBER(SEARCH("FRANCHISE TAX",C2276)),ISNUMBER(SEARCH("NEXTLINK",C2276))),"Personal - House Bills",IF(AND(ISNUMBER(SEARCH("PAYMENT FROM",C2276)),ISNUMBER(SEARCH("JOE SAUNDERS",C2276))),"Zelle from Joe Saunders",IF(AND(ISNUMBER(SEARCH("PAYMENT TO",C2276)),ISNUMBER(SEARCH("JOE SAUNDERS",C2276))),"Zelle to Joe Saunders",IF(OR(ISNUMBER(SEARCH("NEW ORLEANS",C2276)),ISNUMBER(SEARCH("KENNER",C2276)),ISNUMBER(SEARCH("HENRY HOWARD",C2276)),ISNUMBER(SEARCH("MISS CLAUDIA",C2276))),"Personal Travel - New Orleans",IF(AND(YEAR(B2276)=2025,MONTH(B2276)=4,OR(ISNUMBER(SEARCH("EXCHANGE RATE",C2276)),ISNUMBER(SEARCH("EXCHG RTE",C2276)))),"Personal Travel - Italy",IFERROR(INDEX('Category Rules'!$B$2:$B$358,MATCH(TRUE,ISNUMBER(SEARCH('Category Rules'!$A$2:$A$358,C2276)),0)),""))))))))</f>
        <v>Personal - House Bills</v>
      </c>
    </row>
    <row r="2277" spans="1:7" x14ac:dyDescent="0.25">
      <c r="A2277" t="s">
        <v>6</v>
      </c>
      <c r="B2277" s="1">
        <v>45660</v>
      </c>
      <c r="C2277" t="s">
        <v>2399</v>
      </c>
      <c r="D2277">
        <v>-213.75</v>
      </c>
      <c r="E2277" t="s">
        <v>10</v>
      </c>
      <c r="F2277">
        <v>6542.48</v>
      </c>
      <c r="G2277" t="str" cm="1">
        <f t="array" ref="G2277">IF(AND(ISNUMBER(SEARCH("UBER",C2277)),ISNUMBER(SEARCH("EATS",C2277))),"Uber Eats",IF(LEFT(C2277,6)="CHECK ","Checks Paid",IF(OR(E2277="BILLPAY",ISNUMBER(SEARCH("FRANCHISE TAX",C2277)),ISNUMBER(SEARCH("NEXTLINK",C2277))),"Personal - House Bills",IF(AND(ISNUMBER(SEARCH("PAYMENT FROM",C2277)),ISNUMBER(SEARCH("JOE SAUNDERS",C2277))),"Zelle from Joe Saunders",IF(AND(ISNUMBER(SEARCH("PAYMENT TO",C2277)),ISNUMBER(SEARCH("JOE SAUNDERS",C2277))),"Zelle to Joe Saunders",IF(OR(ISNUMBER(SEARCH("NEW ORLEANS",C2277)),ISNUMBER(SEARCH("KENNER",C2277)),ISNUMBER(SEARCH("HENRY HOWARD",C2277)),ISNUMBER(SEARCH("MISS CLAUDIA",C2277))),"Personal Travel - New Orleans",IF(AND(YEAR(B2277)=2025,MONTH(B2277)=4,OR(ISNUMBER(SEARCH("EXCHANGE RATE",C2277)),ISNUMBER(SEARCH("EXCHG RTE",C2277)))),"Personal Travel - Italy",IFERROR(INDEX('Category Rules'!$B$2:$B$358,MATCH(TRUE,ISNUMBER(SEARCH('Category Rules'!$A$2:$A$358,C2277)),0)),""))))))))</f>
        <v>Personal - Food</v>
      </c>
    </row>
    <row r="2278" spans="1:7" x14ac:dyDescent="0.25">
      <c r="A2278" t="s">
        <v>6</v>
      </c>
      <c r="B2278" s="1">
        <v>45660</v>
      </c>
      <c r="C2278" t="s">
        <v>2400</v>
      </c>
      <c r="D2278">
        <v>-40</v>
      </c>
      <c r="E2278" t="s">
        <v>10</v>
      </c>
      <c r="F2278">
        <v>6756.23</v>
      </c>
      <c r="G2278" t="str" cm="1">
        <f t="array" ref="G2278">IF(AND(ISNUMBER(SEARCH("UBER",C2278)),ISNUMBER(SEARCH("EATS",C2278))),"Uber Eats",IF(LEFT(C2278,6)="CHECK ","Checks Paid",IF(OR(E2278="BILLPAY",ISNUMBER(SEARCH("FRANCHISE TAX",C2278)),ISNUMBER(SEARCH("NEXTLINK",C2278))),"Personal - House Bills",IF(AND(ISNUMBER(SEARCH("PAYMENT FROM",C2278)),ISNUMBER(SEARCH("JOE SAUNDERS",C2278))),"Zelle from Joe Saunders",IF(AND(ISNUMBER(SEARCH("PAYMENT TO",C2278)),ISNUMBER(SEARCH("JOE SAUNDERS",C2278))),"Zelle to Joe Saunders",IF(OR(ISNUMBER(SEARCH("NEW ORLEANS",C2278)),ISNUMBER(SEARCH("KENNER",C2278)),ISNUMBER(SEARCH("HENRY HOWARD",C2278)),ISNUMBER(SEARCH("MISS CLAUDIA",C2278))),"Personal Travel - New Orleans",IF(AND(YEAR(B2278)=2025,MONTH(B2278)=4,OR(ISNUMBER(SEARCH("EXCHANGE RATE",C2278)),ISNUMBER(SEARCH("EXCHG RTE",C2278)))),"Personal Travel - Italy",IFERROR(INDEX('Category Rules'!$B$2:$B$358,MATCH(TRUE,ISNUMBER(SEARCH('Category Rules'!$A$2:$A$358,C2278)),0)),""))))))))</f>
        <v>Personal - Car</v>
      </c>
    </row>
    <row r="2279" spans="1:7" x14ac:dyDescent="0.25">
      <c r="A2279" t="s">
        <v>6</v>
      </c>
      <c r="B2279" s="1">
        <v>45660</v>
      </c>
      <c r="C2279" t="s">
        <v>2401</v>
      </c>
      <c r="D2279">
        <v>-3.99</v>
      </c>
      <c r="E2279" t="s">
        <v>10</v>
      </c>
      <c r="F2279">
        <v>6796.23</v>
      </c>
      <c r="G2279" t="str" cm="1">
        <f t="array" ref="G2279">IF(AND(ISNUMBER(SEARCH("UBER",C2279)),ISNUMBER(SEARCH("EATS",C2279))),"Uber Eats",IF(LEFT(C2279,6)="CHECK ","Checks Paid",IF(OR(E2279="BILLPAY",ISNUMBER(SEARCH("FRANCHISE TAX",C2279)),ISNUMBER(SEARCH("NEXTLINK",C2279))),"Personal - House Bills",IF(AND(ISNUMBER(SEARCH("PAYMENT FROM",C2279)),ISNUMBER(SEARCH("JOE SAUNDERS",C2279))),"Zelle from Joe Saunders",IF(AND(ISNUMBER(SEARCH("PAYMENT TO",C2279)),ISNUMBER(SEARCH("JOE SAUNDERS",C2279))),"Zelle to Joe Saunders",IF(OR(ISNUMBER(SEARCH("NEW ORLEANS",C2279)),ISNUMBER(SEARCH("KENNER",C2279)),ISNUMBER(SEARCH("HENRY HOWARD",C2279)),ISNUMBER(SEARCH("MISS CLAUDIA",C2279))),"Personal Travel - New Orleans",IF(AND(YEAR(B2279)=2025,MONTH(B2279)=4,OR(ISNUMBER(SEARCH("EXCHANGE RATE",C2279)),ISNUMBER(SEARCH("EXCHG RTE",C2279)))),"Personal Travel - Italy",IFERROR(INDEX('Category Rules'!$B$2:$B$358,MATCH(TRUE,ISNUMBER(SEARCH('Category Rules'!$A$2:$A$358,C2279)),0)),""))))))))</f>
        <v>Apple</v>
      </c>
    </row>
    <row r="2280" spans="1:7" x14ac:dyDescent="0.25">
      <c r="A2280" t="s">
        <v>6</v>
      </c>
      <c r="B2280" s="1">
        <v>45660</v>
      </c>
      <c r="C2280" t="s">
        <v>2402</v>
      </c>
      <c r="D2280">
        <v>-58.59</v>
      </c>
      <c r="E2280" t="s">
        <v>10</v>
      </c>
      <c r="F2280">
        <v>6800.22</v>
      </c>
      <c r="G2280" t="str" cm="1">
        <f t="array" ref="G2280">IF(AND(ISNUMBER(SEARCH("UBER",C2280)),ISNUMBER(SEARCH("EATS",C2280))),"Uber Eats",IF(LEFT(C2280,6)="CHECK ","Checks Paid",IF(OR(E2280="BILLPAY",ISNUMBER(SEARCH("FRANCHISE TAX",C2280)),ISNUMBER(SEARCH("NEXTLINK",C2280))),"Personal - House Bills",IF(AND(ISNUMBER(SEARCH("PAYMENT FROM",C2280)),ISNUMBER(SEARCH("JOE SAUNDERS",C2280))),"Zelle from Joe Saunders",IF(AND(ISNUMBER(SEARCH("PAYMENT TO",C2280)),ISNUMBER(SEARCH("JOE SAUNDERS",C2280))),"Zelle to Joe Saunders",IF(OR(ISNUMBER(SEARCH("NEW ORLEANS",C2280)),ISNUMBER(SEARCH("KENNER",C2280)),ISNUMBER(SEARCH("HENRY HOWARD",C2280)),ISNUMBER(SEARCH("MISS CLAUDIA",C2280))),"Personal Travel - New Orleans",IF(AND(YEAR(B2280)=2025,MONTH(B2280)=4,OR(ISNUMBER(SEARCH("EXCHANGE RATE",C2280)),ISNUMBER(SEARCH("EXCHG RTE",C2280)))),"Personal Travel - Italy",IFERROR(INDEX('Category Rules'!$B$2:$B$358,MATCH(TRUE,ISNUMBER(SEARCH('Category Rules'!$A$2:$A$358,C2280)),0)),""))))))))</f>
        <v>Personal Travel - Canada</v>
      </c>
    </row>
    <row r="2281" spans="1:7" x14ac:dyDescent="0.25">
      <c r="A2281" t="s">
        <v>6</v>
      </c>
      <c r="B2281" s="1">
        <v>45660</v>
      </c>
      <c r="C2281" t="s">
        <v>2403</v>
      </c>
      <c r="D2281">
        <v>-545.30999999999995</v>
      </c>
      <c r="E2281" t="s">
        <v>10</v>
      </c>
      <c r="F2281">
        <v>6858.81</v>
      </c>
      <c r="G2281" t="str" cm="1">
        <f t="array" ref="G2281">IF(AND(ISNUMBER(SEARCH("UBER",C2281)),ISNUMBER(SEARCH("EATS",C2281))),"Uber Eats",IF(LEFT(C2281,6)="CHECK ","Checks Paid",IF(OR(E2281="BILLPAY",ISNUMBER(SEARCH("FRANCHISE TAX",C2281)),ISNUMBER(SEARCH("NEXTLINK",C2281))),"Personal - House Bills",IF(AND(ISNUMBER(SEARCH("PAYMENT FROM",C2281)),ISNUMBER(SEARCH("JOE SAUNDERS",C2281))),"Zelle from Joe Saunders",IF(AND(ISNUMBER(SEARCH("PAYMENT TO",C2281)),ISNUMBER(SEARCH("JOE SAUNDERS",C2281))),"Zelle to Joe Saunders",IF(OR(ISNUMBER(SEARCH("NEW ORLEANS",C2281)),ISNUMBER(SEARCH("KENNER",C2281)),ISNUMBER(SEARCH("HENRY HOWARD",C2281)),ISNUMBER(SEARCH("MISS CLAUDIA",C2281))),"Personal Travel - New Orleans",IF(AND(YEAR(B2281)=2025,MONTH(B2281)=4,OR(ISNUMBER(SEARCH("EXCHANGE RATE",C2281)),ISNUMBER(SEARCH("EXCHG RTE",C2281)))),"Personal Travel - Italy",IFERROR(INDEX('Category Rules'!$B$2:$B$358,MATCH(TRUE,ISNUMBER(SEARCH('Category Rules'!$A$2:$A$358,C2281)),0)),""))))))))</f>
        <v>Personal - Clothing</v>
      </c>
    </row>
    <row r="2282" spans="1:7" x14ac:dyDescent="0.25">
      <c r="A2282" t="s">
        <v>44</v>
      </c>
      <c r="B2282" s="1">
        <v>45660</v>
      </c>
      <c r="C2282" t="s">
        <v>2404</v>
      </c>
      <c r="D2282">
        <v>5000</v>
      </c>
      <c r="E2282" t="s">
        <v>73</v>
      </c>
      <c r="F2282">
        <v>7404.12</v>
      </c>
      <c r="G2282" t="str" cm="1">
        <f t="array" ref="G2282">IF(AND(ISNUMBER(SEARCH("UBER",C2282)),ISNUMBER(SEARCH("EATS",C2282))),"Uber Eats",IF(LEFT(C2282,6)="CHECK ","Checks Paid",IF(OR(E2282="BILLPAY",ISNUMBER(SEARCH("FRANCHISE TAX",C2282)),ISNUMBER(SEARCH("NEXTLINK",C2282))),"Personal - House Bills",IF(AND(ISNUMBER(SEARCH("PAYMENT FROM",C2282)),ISNUMBER(SEARCH("JOE SAUNDERS",C2282))),"Zelle from Joe Saunders",IF(AND(ISNUMBER(SEARCH("PAYMENT TO",C2282)),ISNUMBER(SEARCH("JOE SAUNDERS",C2282))),"Zelle to Joe Saunders",IF(OR(ISNUMBER(SEARCH("NEW ORLEANS",C2282)),ISNUMBER(SEARCH("KENNER",C2282)),ISNUMBER(SEARCH("HENRY HOWARD",C2282)),ISNUMBER(SEARCH("MISS CLAUDIA",C2282))),"Personal Travel - New Orleans",IF(AND(YEAR(B2282)=2025,MONTH(B2282)=4,OR(ISNUMBER(SEARCH("EXCHANGE RATE",C2282)),ISNUMBER(SEARCH("EXCHG RTE",C2282)))),"Personal Travel - Italy",IFERROR(INDEX('Category Rules'!$B$2:$B$358,MATCH(TRUE,ISNUMBER(SEARCH('Category Rules'!$A$2:$A$358,C2282)),0)),""))))))))</f>
        <v>Transfer from DWG Capital Group</v>
      </c>
    </row>
    <row r="2283" spans="1:7" x14ac:dyDescent="0.25">
      <c r="A2283" t="s">
        <v>6</v>
      </c>
      <c r="B2283" s="1">
        <v>45659</v>
      </c>
      <c r="C2283" t="s">
        <v>2405</v>
      </c>
      <c r="D2283">
        <v>-0.59</v>
      </c>
      <c r="E2283" t="s">
        <v>8</v>
      </c>
      <c r="F2283">
        <v>2404.12</v>
      </c>
      <c r="G2283" t="str" cm="1">
        <f t="array" ref="G2283">IF(AND(ISNUMBER(SEARCH("UBER",C2283)),ISNUMBER(SEARCH("EATS",C2283))),"Uber Eats",IF(LEFT(C2283,6)="CHECK ","Checks Paid",IF(OR(E2283="BILLPAY",ISNUMBER(SEARCH("FRANCHISE TAX",C2283)),ISNUMBER(SEARCH("NEXTLINK",C2283))),"Personal - House Bills",IF(AND(ISNUMBER(SEARCH("PAYMENT FROM",C2283)),ISNUMBER(SEARCH("JOE SAUNDERS",C2283))),"Zelle from Joe Saunders",IF(AND(ISNUMBER(SEARCH("PAYMENT TO",C2283)),ISNUMBER(SEARCH("JOE SAUNDERS",C2283))),"Zelle to Joe Saunders",IF(OR(ISNUMBER(SEARCH("NEW ORLEANS",C2283)),ISNUMBER(SEARCH("KENNER",C2283)),ISNUMBER(SEARCH("HENRY HOWARD",C2283)),ISNUMBER(SEARCH("MISS CLAUDIA",C2283))),"Personal Travel - New Orleans",IF(AND(YEAR(B2283)=2025,MONTH(B2283)=4,OR(ISNUMBER(SEARCH("EXCHANGE RATE",C2283)),ISNUMBER(SEARCH("EXCHG RTE",C2283)))),"Personal Travel - Italy",IFERROR(INDEX('Category Rules'!$B$2:$B$358,MATCH(TRUE,ISNUMBER(SEARCH('Category Rules'!$A$2:$A$358,C2283)),0)),""))))))))</f>
        <v>Personal Travel - Canada</v>
      </c>
    </row>
    <row r="2284" spans="1:7" x14ac:dyDescent="0.25">
      <c r="A2284" t="s">
        <v>6</v>
      </c>
      <c r="B2284" s="1">
        <v>45659</v>
      </c>
      <c r="C2284" t="s">
        <v>2406</v>
      </c>
      <c r="D2284">
        <v>-0.83</v>
      </c>
      <c r="E2284" t="s">
        <v>8</v>
      </c>
      <c r="F2284">
        <v>2404.71</v>
      </c>
      <c r="G2284" t="str" cm="1">
        <f t="array" ref="G2284">IF(AND(ISNUMBER(SEARCH("UBER",C2284)),ISNUMBER(SEARCH("EATS",C2284))),"Uber Eats",IF(LEFT(C2284,6)="CHECK ","Checks Paid",IF(OR(E2284="BILLPAY",ISNUMBER(SEARCH("FRANCHISE TAX",C2284)),ISNUMBER(SEARCH("NEXTLINK",C2284))),"Personal - House Bills",IF(AND(ISNUMBER(SEARCH("PAYMENT FROM",C2284)),ISNUMBER(SEARCH("JOE SAUNDERS",C2284))),"Zelle from Joe Saunders",IF(AND(ISNUMBER(SEARCH("PAYMENT TO",C2284)),ISNUMBER(SEARCH("JOE SAUNDERS",C2284))),"Zelle to Joe Saunders",IF(OR(ISNUMBER(SEARCH("NEW ORLEANS",C2284)),ISNUMBER(SEARCH("KENNER",C2284)),ISNUMBER(SEARCH("HENRY HOWARD",C2284)),ISNUMBER(SEARCH("MISS CLAUDIA",C2284))),"Personal Travel - New Orleans",IF(AND(YEAR(B2284)=2025,MONTH(B2284)=4,OR(ISNUMBER(SEARCH("EXCHANGE RATE",C2284)),ISNUMBER(SEARCH("EXCHG RTE",C2284)))),"Personal Travel - Italy",IFERROR(INDEX('Category Rules'!$B$2:$B$358,MATCH(TRUE,ISNUMBER(SEARCH('Category Rules'!$A$2:$A$358,C2284)),0)),""))))))))</f>
        <v>Personal Travel - Canada</v>
      </c>
    </row>
    <row r="2285" spans="1:7" x14ac:dyDescent="0.25">
      <c r="A2285" t="s">
        <v>6</v>
      </c>
      <c r="B2285" s="1">
        <v>45659</v>
      </c>
      <c r="C2285" t="s">
        <v>2406</v>
      </c>
      <c r="D2285">
        <v>-0.83</v>
      </c>
      <c r="E2285" t="s">
        <v>8</v>
      </c>
      <c r="F2285">
        <v>2405.54</v>
      </c>
      <c r="G2285" t="str" cm="1">
        <f t="array" ref="G2285">IF(AND(ISNUMBER(SEARCH("UBER",C2285)),ISNUMBER(SEARCH("EATS",C2285))),"Uber Eats",IF(LEFT(C2285,6)="CHECK ","Checks Paid",IF(OR(E2285="BILLPAY",ISNUMBER(SEARCH("FRANCHISE TAX",C2285)),ISNUMBER(SEARCH("NEXTLINK",C2285))),"Personal - House Bills",IF(AND(ISNUMBER(SEARCH("PAYMENT FROM",C2285)),ISNUMBER(SEARCH("JOE SAUNDERS",C2285))),"Zelle from Joe Saunders",IF(AND(ISNUMBER(SEARCH("PAYMENT TO",C2285)),ISNUMBER(SEARCH("JOE SAUNDERS",C2285))),"Zelle to Joe Saunders",IF(OR(ISNUMBER(SEARCH("NEW ORLEANS",C2285)),ISNUMBER(SEARCH("KENNER",C2285)),ISNUMBER(SEARCH("HENRY HOWARD",C2285)),ISNUMBER(SEARCH("MISS CLAUDIA",C2285))),"Personal Travel - New Orleans",IF(AND(YEAR(B2285)=2025,MONTH(B2285)=4,OR(ISNUMBER(SEARCH("EXCHANGE RATE",C2285)),ISNUMBER(SEARCH("EXCHG RTE",C2285)))),"Personal Travel - Italy",IFERROR(INDEX('Category Rules'!$B$2:$B$358,MATCH(TRUE,ISNUMBER(SEARCH('Category Rules'!$A$2:$A$358,C2285)),0)),""))))))))</f>
        <v>Personal Travel - Canada</v>
      </c>
    </row>
    <row r="2286" spans="1:7" x14ac:dyDescent="0.25">
      <c r="A2286" t="s">
        <v>6</v>
      </c>
      <c r="B2286" s="1">
        <v>45659</v>
      </c>
      <c r="C2286" t="s">
        <v>2406</v>
      </c>
      <c r="D2286">
        <v>-1.04</v>
      </c>
      <c r="E2286" t="s">
        <v>8</v>
      </c>
      <c r="F2286">
        <v>2406.37</v>
      </c>
      <c r="G2286" t="str" cm="1">
        <f t="array" ref="G2286">IF(AND(ISNUMBER(SEARCH("UBER",C2286)),ISNUMBER(SEARCH("EATS",C2286))),"Uber Eats",IF(LEFT(C2286,6)="CHECK ","Checks Paid",IF(OR(E2286="BILLPAY",ISNUMBER(SEARCH("FRANCHISE TAX",C2286)),ISNUMBER(SEARCH("NEXTLINK",C2286))),"Personal - House Bills",IF(AND(ISNUMBER(SEARCH("PAYMENT FROM",C2286)),ISNUMBER(SEARCH("JOE SAUNDERS",C2286))),"Zelle from Joe Saunders",IF(AND(ISNUMBER(SEARCH("PAYMENT TO",C2286)),ISNUMBER(SEARCH("JOE SAUNDERS",C2286))),"Zelle to Joe Saunders",IF(OR(ISNUMBER(SEARCH("NEW ORLEANS",C2286)),ISNUMBER(SEARCH("KENNER",C2286)),ISNUMBER(SEARCH("HENRY HOWARD",C2286)),ISNUMBER(SEARCH("MISS CLAUDIA",C2286))),"Personal Travel - New Orleans",IF(AND(YEAR(B2286)=2025,MONTH(B2286)=4,OR(ISNUMBER(SEARCH("EXCHANGE RATE",C2286)),ISNUMBER(SEARCH("EXCHG RTE",C2286)))),"Personal Travel - Italy",IFERROR(INDEX('Category Rules'!$B$2:$B$358,MATCH(TRUE,ISNUMBER(SEARCH('Category Rules'!$A$2:$A$358,C2286)),0)),""))))))))</f>
        <v>Personal Travel - Canada</v>
      </c>
    </row>
    <row r="2287" spans="1:7" x14ac:dyDescent="0.25">
      <c r="A2287" t="s">
        <v>6</v>
      </c>
      <c r="B2287" s="1">
        <v>45659</v>
      </c>
      <c r="C2287" t="s">
        <v>2406</v>
      </c>
      <c r="D2287">
        <v>-1.04</v>
      </c>
      <c r="E2287" t="s">
        <v>8</v>
      </c>
      <c r="F2287">
        <v>2407.41</v>
      </c>
      <c r="G2287" t="str" cm="1">
        <f t="array" ref="G2287">IF(AND(ISNUMBER(SEARCH("UBER",C2287)),ISNUMBER(SEARCH("EATS",C2287))),"Uber Eats",IF(LEFT(C2287,6)="CHECK ","Checks Paid",IF(OR(E2287="BILLPAY",ISNUMBER(SEARCH("FRANCHISE TAX",C2287)),ISNUMBER(SEARCH("NEXTLINK",C2287))),"Personal - House Bills",IF(AND(ISNUMBER(SEARCH("PAYMENT FROM",C2287)),ISNUMBER(SEARCH("JOE SAUNDERS",C2287))),"Zelle from Joe Saunders",IF(AND(ISNUMBER(SEARCH("PAYMENT TO",C2287)),ISNUMBER(SEARCH("JOE SAUNDERS",C2287))),"Zelle to Joe Saunders",IF(OR(ISNUMBER(SEARCH("NEW ORLEANS",C2287)),ISNUMBER(SEARCH("KENNER",C2287)),ISNUMBER(SEARCH("HENRY HOWARD",C2287)),ISNUMBER(SEARCH("MISS CLAUDIA",C2287))),"Personal Travel - New Orleans",IF(AND(YEAR(B2287)=2025,MONTH(B2287)=4,OR(ISNUMBER(SEARCH("EXCHANGE RATE",C2287)),ISNUMBER(SEARCH("EXCHG RTE",C2287)))),"Personal Travel - Italy",IFERROR(INDEX('Category Rules'!$B$2:$B$358,MATCH(TRUE,ISNUMBER(SEARCH('Category Rules'!$A$2:$A$358,C2287)),0)),""))))))))</f>
        <v>Personal Travel - Canada</v>
      </c>
    </row>
    <row r="2288" spans="1:7" x14ac:dyDescent="0.25">
      <c r="A2288" t="s">
        <v>6</v>
      </c>
      <c r="B2288" s="1">
        <v>45659</v>
      </c>
      <c r="C2288" t="s">
        <v>2406</v>
      </c>
      <c r="D2288">
        <v>-1.1399999999999999</v>
      </c>
      <c r="E2288" t="s">
        <v>8</v>
      </c>
      <c r="F2288">
        <v>2408.4499999999998</v>
      </c>
      <c r="G2288" t="str" cm="1">
        <f t="array" ref="G2288">IF(AND(ISNUMBER(SEARCH("UBER",C2288)),ISNUMBER(SEARCH("EATS",C2288))),"Uber Eats",IF(LEFT(C2288,6)="CHECK ","Checks Paid",IF(OR(E2288="BILLPAY",ISNUMBER(SEARCH("FRANCHISE TAX",C2288)),ISNUMBER(SEARCH("NEXTLINK",C2288))),"Personal - House Bills",IF(AND(ISNUMBER(SEARCH("PAYMENT FROM",C2288)),ISNUMBER(SEARCH("JOE SAUNDERS",C2288))),"Zelle from Joe Saunders",IF(AND(ISNUMBER(SEARCH("PAYMENT TO",C2288)),ISNUMBER(SEARCH("JOE SAUNDERS",C2288))),"Zelle to Joe Saunders",IF(OR(ISNUMBER(SEARCH("NEW ORLEANS",C2288)),ISNUMBER(SEARCH("KENNER",C2288)),ISNUMBER(SEARCH("HENRY HOWARD",C2288)),ISNUMBER(SEARCH("MISS CLAUDIA",C2288))),"Personal Travel - New Orleans",IF(AND(YEAR(B2288)=2025,MONTH(B2288)=4,OR(ISNUMBER(SEARCH("EXCHANGE RATE",C2288)),ISNUMBER(SEARCH("EXCHG RTE",C2288)))),"Personal Travel - Italy",IFERROR(INDEX('Category Rules'!$B$2:$B$358,MATCH(TRUE,ISNUMBER(SEARCH('Category Rules'!$A$2:$A$358,C2288)),0)),""))))))))</f>
        <v>Personal Travel - Canada</v>
      </c>
    </row>
    <row r="2289" spans="1:7" x14ac:dyDescent="0.25">
      <c r="A2289" t="s">
        <v>6</v>
      </c>
      <c r="B2289" s="1">
        <v>45659</v>
      </c>
      <c r="C2289" t="s">
        <v>2406</v>
      </c>
      <c r="D2289">
        <v>-1.1399999999999999</v>
      </c>
      <c r="E2289" t="s">
        <v>8</v>
      </c>
      <c r="F2289">
        <v>2409.59</v>
      </c>
      <c r="G2289" t="str" cm="1">
        <f t="array" ref="G2289">IF(AND(ISNUMBER(SEARCH("UBER",C2289)),ISNUMBER(SEARCH("EATS",C2289))),"Uber Eats",IF(LEFT(C2289,6)="CHECK ","Checks Paid",IF(OR(E2289="BILLPAY",ISNUMBER(SEARCH("FRANCHISE TAX",C2289)),ISNUMBER(SEARCH("NEXTLINK",C2289))),"Personal - House Bills",IF(AND(ISNUMBER(SEARCH("PAYMENT FROM",C2289)),ISNUMBER(SEARCH("JOE SAUNDERS",C2289))),"Zelle from Joe Saunders",IF(AND(ISNUMBER(SEARCH("PAYMENT TO",C2289)),ISNUMBER(SEARCH("JOE SAUNDERS",C2289))),"Zelle to Joe Saunders",IF(OR(ISNUMBER(SEARCH("NEW ORLEANS",C2289)),ISNUMBER(SEARCH("KENNER",C2289)),ISNUMBER(SEARCH("HENRY HOWARD",C2289)),ISNUMBER(SEARCH("MISS CLAUDIA",C2289))),"Personal Travel - New Orleans",IF(AND(YEAR(B2289)=2025,MONTH(B2289)=4,OR(ISNUMBER(SEARCH("EXCHANGE RATE",C2289)),ISNUMBER(SEARCH("EXCHG RTE",C2289)))),"Personal Travel - Italy",IFERROR(INDEX('Category Rules'!$B$2:$B$358,MATCH(TRUE,ISNUMBER(SEARCH('Category Rules'!$A$2:$A$358,C2289)),0)),""))))))))</f>
        <v>Personal Travel - Canada</v>
      </c>
    </row>
    <row r="2290" spans="1:7" x14ac:dyDescent="0.25">
      <c r="A2290" t="s">
        <v>6</v>
      </c>
      <c r="B2290" s="1">
        <v>45659</v>
      </c>
      <c r="C2290" t="s">
        <v>2407</v>
      </c>
      <c r="D2290">
        <v>-1.47</v>
      </c>
      <c r="E2290" t="s">
        <v>8</v>
      </c>
      <c r="F2290">
        <v>2410.73</v>
      </c>
      <c r="G2290" t="str" cm="1">
        <f t="array" ref="G2290">IF(AND(ISNUMBER(SEARCH("UBER",C2290)),ISNUMBER(SEARCH("EATS",C2290))),"Uber Eats",IF(LEFT(C2290,6)="CHECK ","Checks Paid",IF(OR(E2290="BILLPAY",ISNUMBER(SEARCH("FRANCHISE TAX",C2290)),ISNUMBER(SEARCH("NEXTLINK",C2290))),"Personal - House Bills",IF(AND(ISNUMBER(SEARCH("PAYMENT FROM",C2290)),ISNUMBER(SEARCH("JOE SAUNDERS",C2290))),"Zelle from Joe Saunders",IF(AND(ISNUMBER(SEARCH("PAYMENT TO",C2290)),ISNUMBER(SEARCH("JOE SAUNDERS",C2290))),"Zelle to Joe Saunders",IF(OR(ISNUMBER(SEARCH("NEW ORLEANS",C2290)),ISNUMBER(SEARCH("KENNER",C2290)),ISNUMBER(SEARCH("HENRY HOWARD",C2290)),ISNUMBER(SEARCH("MISS CLAUDIA",C2290))),"Personal Travel - New Orleans",IF(AND(YEAR(B2290)=2025,MONTH(B2290)=4,OR(ISNUMBER(SEARCH("EXCHANGE RATE",C2290)),ISNUMBER(SEARCH("EXCHG RTE",C2290)))),"Personal Travel - Italy",IFERROR(INDEX('Category Rules'!$B$2:$B$358,MATCH(TRUE,ISNUMBER(SEARCH('Category Rules'!$A$2:$A$358,C2290)),0)),""))))))))</f>
        <v>Personal Travel - Canada</v>
      </c>
    </row>
    <row r="2291" spans="1:7" x14ac:dyDescent="0.25">
      <c r="A2291" t="s">
        <v>6</v>
      </c>
      <c r="B2291" s="1">
        <v>45659</v>
      </c>
      <c r="C2291" t="s">
        <v>2406</v>
      </c>
      <c r="D2291">
        <v>-3.13</v>
      </c>
      <c r="E2291" t="s">
        <v>8</v>
      </c>
      <c r="F2291">
        <v>2412.1999999999998</v>
      </c>
      <c r="G2291" t="str" cm="1">
        <f t="array" ref="G2291">IF(AND(ISNUMBER(SEARCH("UBER",C2291)),ISNUMBER(SEARCH("EATS",C2291))),"Uber Eats",IF(LEFT(C2291,6)="CHECK ","Checks Paid",IF(OR(E2291="BILLPAY",ISNUMBER(SEARCH("FRANCHISE TAX",C2291)),ISNUMBER(SEARCH("NEXTLINK",C2291))),"Personal - House Bills",IF(AND(ISNUMBER(SEARCH("PAYMENT FROM",C2291)),ISNUMBER(SEARCH("JOE SAUNDERS",C2291))),"Zelle from Joe Saunders",IF(AND(ISNUMBER(SEARCH("PAYMENT TO",C2291)),ISNUMBER(SEARCH("JOE SAUNDERS",C2291))),"Zelle to Joe Saunders",IF(OR(ISNUMBER(SEARCH("NEW ORLEANS",C2291)),ISNUMBER(SEARCH("KENNER",C2291)),ISNUMBER(SEARCH("HENRY HOWARD",C2291)),ISNUMBER(SEARCH("MISS CLAUDIA",C2291))),"Personal Travel - New Orleans",IF(AND(YEAR(B2291)=2025,MONTH(B2291)=4,OR(ISNUMBER(SEARCH("EXCHANGE RATE",C2291)),ISNUMBER(SEARCH("EXCHG RTE",C2291)))),"Personal Travel - Italy",IFERROR(INDEX('Category Rules'!$B$2:$B$358,MATCH(TRUE,ISNUMBER(SEARCH('Category Rules'!$A$2:$A$358,C2291)),0)),""))))))))</f>
        <v>Personal Travel - Canada</v>
      </c>
    </row>
    <row r="2292" spans="1:7" x14ac:dyDescent="0.25">
      <c r="A2292" t="s">
        <v>6</v>
      </c>
      <c r="B2292" s="1">
        <v>45659</v>
      </c>
      <c r="C2292" t="s">
        <v>2408</v>
      </c>
      <c r="D2292">
        <v>-19.760000000000002</v>
      </c>
      <c r="E2292" t="s">
        <v>10</v>
      </c>
      <c r="F2292">
        <v>2415.33</v>
      </c>
      <c r="G2292" t="str" cm="1">
        <f t="array" ref="G2292">IF(AND(ISNUMBER(SEARCH("UBER",C2292)),ISNUMBER(SEARCH("EATS",C2292))),"Uber Eats",IF(LEFT(C2292,6)="CHECK ","Checks Paid",IF(OR(E2292="BILLPAY",ISNUMBER(SEARCH("FRANCHISE TAX",C2292)),ISNUMBER(SEARCH("NEXTLINK",C2292))),"Personal - House Bills",IF(AND(ISNUMBER(SEARCH("PAYMENT FROM",C2292)),ISNUMBER(SEARCH("JOE SAUNDERS",C2292))),"Zelle from Joe Saunders",IF(AND(ISNUMBER(SEARCH("PAYMENT TO",C2292)),ISNUMBER(SEARCH("JOE SAUNDERS",C2292))),"Zelle to Joe Saunders",IF(OR(ISNUMBER(SEARCH("NEW ORLEANS",C2292)),ISNUMBER(SEARCH("KENNER",C2292)),ISNUMBER(SEARCH("HENRY HOWARD",C2292)),ISNUMBER(SEARCH("MISS CLAUDIA",C2292))),"Personal Travel - New Orleans",IF(AND(YEAR(B2292)=2025,MONTH(B2292)=4,OR(ISNUMBER(SEARCH("EXCHANGE RATE",C2292)),ISNUMBER(SEARCH("EXCHG RTE",C2292)))),"Personal Travel - Italy",IFERROR(INDEX('Category Rules'!$B$2:$B$358,MATCH(TRUE,ISNUMBER(SEARCH('Category Rules'!$A$2:$A$358,C2292)),0)),""))))))))</f>
        <v>Personal Travel - Canada</v>
      </c>
    </row>
    <row r="2293" spans="1:7" x14ac:dyDescent="0.25">
      <c r="A2293" t="s">
        <v>6</v>
      </c>
      <c r="B2293" s="1">
        <v>45659</v>
      </c>
      <c r="C2293" t="s">
        <v>2409</v>
      </c>
      <c r="D2293">
        <v>-49.18</v>
      </c>
      <c r="E2293" t="s">
        <v>10</v>
      </c>
      <c r="F2293">
        <v>2435.09</v>
      </c>
      <c r="G2293" t="str" cm="1">
        <f t="array" ref="G2293">IF(AND(ISNUMBER(SEARCH("UBER",C2293)),ISNUMBER(SEARCH("EATS",C2293))),"Uber Eats",IF(LEFT(C2293,6)="CHECK ","Checks Paid",IF(OR(E2293="BILLPAY",ISNUMBER(SEARCH("FRANCHISE TAX",C2293)),ISNUMBER(SEARCH("NEXTLINK",C2293))),"Personal - House Bills",IF(AND(ISNUMBER(SEARCH("PAYMENT FROM",C2293)),ISNUMBER(SEARCH("JOE SAUNDERS",C2293))),"Zelle from Joe Saunders",IF(AND(ISNUMBER(SEARCH("PAYMENT TO",C2293)),ISNUMBER(SEARCH("JOE SAUNDERS",C2293))),"Zelle to Joe Saunders",IF(OR(ISNUMBER(SEARCH("NEW ORLEANS",C2293)),ISNUMBER(SEARCH("KENNER",C2293)),ISNUMBER(SEARCH("HENRY HOWARD",C2293)),ISNUMBER(SEARCH("MISS CLAUDIA",C2293))),"Personal Travel - New Orleans",IF(AND(YEAR(B2293)=2025,MONTH(B2293)=4,OR(ISNUMBER(SEARCH("EXCHANGE RATE",C2293)),ISNUMBER(SEARCH("EXCHG RTE",C2293)))),"Personal Travel - Italy",IFERROR(INDEX('Category Rules'!$B$2:$B$358,MATCH(TRUE,ISNUMBER(SEARCH('Category Rules'!$A$2:$A$358,C2293)),0)),""))))))))</f>
        <v>Personal Travel - Canada</v>
      </c>
    </row>
    <row r="2294" spans="1:7" x14ac:dyDescent="0.25">
      <c r="A2294" t="s">
        <v>6</v>
      </c>
      <c r="B2294" s="1">
        <v>45659</v>
      </c>
      <c r="C2294" t="s">
        <v>2410</v>
      </c>
      <c r="D2294">
        <v>-27.9</v>
      </c>
      <c r="E2294" t="s">
        <v>10</v>
      </c>
      <c r="F2294">
        <v>2484.27</v>
      </c>
      <c r="G2294" t="str" cm="1">
        <f t="array" ref="G2294">IF(AND(ISNUMBER(SEARCH("UBER",C2294)),ISNUMBER(SEARCH("EATS",C2294))),"Uber Eats",IF(LEFT(C2294,6)="CHECK ","Checks Paid",IF(OR(E2294="BILLPAY",ISNUMBER(SEARCH("FRANCHISE TAX",C2294)),ISNUMBER(SEARCH("NEXTLINK",C2294))),"Personal - House Bills",IF(AND(ISNUMBER(SEARCH("PAYMENT FROM",C2294)),ISNUMBER(SEARCH("JOE SAUNDERS",C2294))),"Zelle from Joe Saunders",IF(AND(ISNUMBER(SEARCH("PAYMENT TO",C2294)),ISNUMBER(SEARCH("JOE SAUNDERS",C2294))),"Zelle to Joe Saunders",IF(OR(ISNUMBER(SEARCH("NEW ORLEANS",C2294)),ISNUMBER(SEARCH("KENNER",C2294)),ISNUMBER(SEARCH("HENRY HOWARD",C2294)),ISNUMBER(SEARCH("MISS CLAUDIA",C2294))),"Personal Travel - New Orleans",IF(AND(YEAR(B2294)=2025,MONTH(B2294)=4,OR(ISNUMBER(SEARCH("EXCHANGE RATE",C2294)),ISNUMBER(SEARCH("EXCHG RTE",C2294)))),"Personal Travel - Italy",IFERROR(INDEX('Category Rules'!$B$2:$B$358,MATCH(TRUE,ISNUMBER(SEARCH('Category Rules'!$A$2:$A$358,C2294)),0)),""))))))))</f>
        <v>Personal Travel - Canada</v>
      </c>
    </row>
    <row r="2295" spans="1:7" x14ac:dyDescent="0.25">
      <c r="A2295" t="s">
        <v>6</v>
      </c>
      <c r="B2295" s="1">
        <v>45659</v>
      </c>
      <c r="C2295" t="s">
        <v>2410</v>
      </c>
      <c r="D2295">
        <v>-27.9</v>
      </c>
      <c r="E2295" t="s">
        <v>10</v>
      </c>
      <c r="F2295">
        <v>2512.17</v>
      </c>
      <c r="G2295" t="str" cm="1">
        <f t="array" ref="G2295">IF(AND(ISNUMBER(SEARCH("UBER",C2295)),ISNUMBER(SEARCH("EATS",C2295))),"Uber Eats",IF(LEFT(C2295,6)="CHECK ","Checks Paid",IF(OR(E2295="BILLPAY",ISNUMBER(SEARCH("FRANCHISE TAX",C2295)),ISNUMBER(SEARCH("NEXTLINK",C2295))),"Personal - House Bills",IF(AND(ISNUMBER(SEARCH("PAYMENT FROM",C2295)),ISNUMBER(SEARCH("JOE SAUNDERS",C2295))),"Zelle from Joe Saunders",IF(AND(ISNUMBER(SEARCH("PAYMENT TO",C2295)),ISNUMBER(SEARCH("JOE SAUNDERS",C2295))),"Zelle to Joe Saunders",IF(OR(ISNUMBER(SEARCH("NEW ORLEANS",C2295)),ISNUMBER(SEARCH("KENNER",C2295)),ISNUMBER(SEARCH("HENRY HOWARD",C2295)),ISNUMBER(SEARCH("MISS CLAUDIA",C2295))),"Personal Travel - New Orleans",IF(AND(YEAR(B2295)=2025,MONTH(B2295)=4,OR(ISNUMBER(SEARCH("EXCHANGE RATE",C2295)),ISNUMBER(SEARCH("EXCHG RTE",C2295)))),"Personal Travel - Italy",IFERROR(INDEX('Category Rules'!$B$2:$B$358,MATCH(TRUE,ISNUMBER(SEARCH('Category Rules'!$A$2:$A$358,C2295)),0)),""))))))))</f>
        <v>Personal Travel - Canada</v>
      </c>
    </row>
    <row r="2296" spans="1:7" x14ac:dyDescent="0.25">
      <c r="A2296" t="s">
        <v>6</v>
      </c>
      <c r="B2296" s="1">
        <v>45659</v>
      </c>
      <c r="C2296" t="s">
        <v>2411</v>
      </c>
      <c r="D2296">
        <v>-34.880000000000003</v>
      </c>
      <c r="E2296" t="s">
        <v>10</v>
      </c>
      <c r="F2296">
        <v>2540.0700000000002</v>
      </c>
      <c r="G2296" t="str" cm="1">
        <f t="array" ref="G2296">IF(AND(ISNUMBER(SEARCH("UBER",C2296)),ISNUMBER(SEARCH("EATS",C2296))),"Uber Eats",IF(LEFT(C2296,6)="CHECK ","Checks Paid",IF(OR(E2296="BILLPAY",ISNUMBER(SEARCH("FRANCHISE TAX",C2296)),ISNUMBER(SEARCH("NEXTLINK",C2296))),"Personal - House Bills",IF(AND(ISNUMBER(SEARCH("PAYMENT FROM",C2296)),ISNUMBER(SEARCH("JOE SAUNDERS",C2296))),"Zelle from Joe Saunders",IF(AND(ISNUMBER(SEARCH("PAYMENT TO",C2296)),ISNUMBER(SEARCH("JOE SAUNDERS",C2296))),"Zelle to Joe Saunders",IF(OR(ISNUMBER(SEARCH("NEW ORLEANS",C2296)),ISNUMBER(SEARCH("KENNER",C2296)),ISNUMBER(SEARCH("HENRY HOWARD",C2296)),ISNUMBER(SEARCH("MISS CLAUDIA",C2296))),"Personal Travel - New Orleans",IF(AND(YEAR(B2296)=2025,MONTH(B2296)=4,OR(ISNUMBER(SEARCH("EXCHANGE RATE",C2296)),ISNUMBER(SEARCH("EXCHG RTE",C2296)))),"Personal Travel - Italy",IFERROR(INDEX('Category Rules'!$B$2:$B$358,MATCH(TRUE,ISNUMBER(SEARCH('Category Rules'!$A$2:$A$358,C2296)),0)),""))))))))</f>
        <v>Personal Travel - Canada</v>
      </c>
    </row>
    <row r="2297" spans="1:7" x14ac:dyDescent="0.25">
      <c r="A2297" t="s">
        <v>6</v>
      </c>
      <c r="B2297" s="1">
        <v>45659</v>
      </c>
      <c r="C2297" t="s">
        <v>2411</v>
      </c>
      <c r="D2297">
        <v>-34.880000000000003</v>
      </c>
      <c r="E2297" t="s">
        <v>10</v>
      </c>
      <c r="F2297">
        <v>2574.9499999999998</v>
      </c>
      <c r="G2297" t="str" cm="1">
        <f t="array" ref="G2297">IF(AND(ISNUMBER(SEARCH("UBER",C2297)),ISNUMBER(SEARCH("EATS",C2297))),"Uber Eats",IF(LEFT(C2297,6)="CHECK ","Checks Paid",IF(OR(E2297="BILLPAY",ISNUMBER(SEARCH("FRANCHISE TAX",C2297)),ISNUMBER(SEARCH("NEXTLINK",C2297))),"Personal - House Bills",IF(AND(ISNUMBER(SEARCH("PAYMENT FROM",C2297)),ISNUMBER(SEARCH("JOE SAUNDERS",C2297))),"Zelle from Joe Saunders",IF(AND(ISNUMBER(SEARCH("PAYMENT TO",C2297)),ISNUMBER(SEARCH("JOE SAUNDERS",C2297))),"Zelle to Joe Saunders",IF(OR(ISNUMBER(SEARCH("NEW ORLEANS",C2297)),ISNUMBER(SEARCH("KENNER",C2297)),ISNUMBER(SEARCH("HENRY HOWARD",C2297)),ISNUMBER(SEARCH("MISS CLAUDIA",C2297))),"Personal Travel - New Orleans",IF(AND(YEAR(B2297)=2025,MONTH(B2297)=4,OR(ISNUMBER(SEARCH("EXCHANGE RATE",C2297)),ISNUMBER(SEARCH("EXCHG RTE",C2297)))),"Personal Travel - Italy",IFERROR(INDEX('Category Rules'!$B$2:$B$358,MATCH(TRUE,ISNUMBER(SEARCH('Category Rules'!$A$2:$A$358,C2297)),0)),""))))))))</f>
        <v>Personal Travel - Canada</v>
      </c>
    </row>
    <row r="2298" spans="1:7" x14ac:dyDescent="0.25">
      <c r="A2298" t="s">
        <v>6</v>
      </c>
      <c r="B2298" s="1">
        <v>45659</v>
      </c>
      <c r="C2298" t="s">
        <v>2412</v>
      </c>
      <c r="D2298">
        <v>-38.229999999999997</v>
      </c>
      <c r="E2298" t="s">
        <v>10</v>
      </c>
      <c r="F2298">
        <v>2609.83</v>
      </c>
      <c r="G2298" t="str" cm="1">
        <f t="array" ref="G2298">IF(AND(ISNUMBER(SEARCH("UBER",C2298)),ISNUMBER(SEARCH("EATS",C2298))),"Uber Eats",IF(LEFT(C2298,6)="CHECK ","Checks Paid",IF(OR(E2298="BILLPAY",ISNUMBER(SEARCH("FRANCHISE TAX",C2298)),ISNUMBER(SEARCH("NEXTLINK",C2298))),"Personal - House Bills",IF(AND(ISNUMBER(SEARCH("PAYMENT FROM",C2298)),ISNUMBER(SEARCH("JOE SAUNDERS",C2298))),"Zelle from Joe Saunders",IF(AND(ISNUMBER(SEARCH("PAYMENT TO",C2298)),ISNUMBER(SEARCH("JOE SAUNDERS",C2298))),"Zelle to Joe Saunders",IF(OR(ISNUMBER(SEARCH("NEW ORLEANS",C2298)),ISNUMBER(SEARCH("KENNER",C2298)),ISNUMBER(SEARCH("HENRY HOWARD",C2298)),ISNUMBER(SEARCH("MISS CLAUDIA",C2298))),"Personal Travel - New Orleans",IF(AND(YEAR(B2298)=2025,MONTH(B2298)=4,OR(ISNUMBER(SEARCH("EXCHANGE RATE",C2298)),ISNUMBER(SEARCH("EXCHG RTE",C2298)))),"Personal Travel - Italy",IFERROR(INDEX('Category Rules'!$B$2:$B$358,MATCH(TRUE,ISNUMBER(SEARCH('Category Rules'!$A$2:$A$358,C2298)),0)),""))))))))</f>
        <v>Personal Travel - Canada</v>
      </c>
    </row>
    <row r="2299" spans="1:7" x14ac:dyDescent="0.25">
      <c r="A2299" t="s">
        <v>6</v>
      </c>
      <c r="B2299" s="1">
        <v>45659</v>
      </c>
      <c r="C2299" t="s">
        <v>2412</v>
      </c>
      <c r="D2299">
        <v>-38.229999999999997</v>
      </c>
      <c r="E2299" t="s">
        <v>10</v>
      </c>
      <c r="F2299">
        <v>2648.06</v>
      </c>
      <c r="G2299" t="str" cm="1">
        <f t="array" ref="G2299">IF(AND(ISNUMBER(SEARCH("UBER",C2299)),ISNUMBER(SEARCH("EATS",C2299))),"Uber Eats",IF(LEFT(C2299,6)="CHECK ","Checks Paid",IF(OR(E2299="BILLPAY",ISNUMBER(SEARCH("FRANCHISE TAX",C2299)),ISNUMBER(SEARCH("NEXTLINK",C2299))),"Personal - House Bills",IF(AND(ISNUMBER(SEARCH("PAYMENT FROM",C2299)),ISNUMBER(SEARCH("JOE SAUNDERS",C2299))),"Zelle from Joe Saunders",IF(AND(ISNUMBER(SEARCH("PAYMENT TO",C2299)),ISNUMBER(SEARCH("JOE SAUNDERS",C2299))),"Zelle to Joe Saunders",IF(OR(ISNUMBER(SEARCH("NEW ORLEANS",C2299)),ISNUMBER(SEARCH("KENNER",C2299)),ISNUMBER(SEARCH("HENRY HOWARD",C2299)),ISNUMBER(SEARCH("MISS CLAUDIA",C2299))),"Personal Travel - New Orleans",IF(AND(YEAR(B2299)=2025,MONTH(B2299)=4,OR(ISNUMBER(SEARCH("EXCHANGE RATE",C2299)),ISNUMBER(SEARCH("EXCHG RTE",C2299)))),"Personal Travel - Italy",IFERROR(INDEX('Category Rules'!$B$2:$B$358,MATCH(TRUE,ISNUMBER(SEARCH('Category Rules'!$A$2:$A$358,C2299)),0)),""))))))))</f>
        <v>Personal Travel - Canada</v>
      </c>
    </row>
    <row r="2300" spans="1:7" x14ac:dyDescent="0.25">
      <c r="A2300" t="s">
        <v>6</v>
      </c>
      <c r="B2300" s="1">
        <v>45659</v>
      </c>
      <c r="C2300" t="s">
        <v>2413</v>
      </c>
      <c r="D2300">
        <v>-104.63</v>
      </c>
      <c r="E2300" t="s">
        <v>10</v>
      </c>
      <c r="F2300">
        <v>2686.29</v>
      </c>
      <c r="G2300" t="str" cm="1">
        <f t="array" ref="G2300">IF(AND(ISNUMBER(SEARCH("UBER",C2300)),ISNUMBER(SEARCH("EATS",C2300))),"Uber Eats",IF(LEFT(C2300,6)="CHECK ","Checks Paid",IF(OR(E2300="BILLPAY",ISNUMBER(SEARCH("FRANCHISE TAX",C2300)),ISNUMBER(SEARCH("NEXTLINK",C2300))),"Personal - House Bills",IF(AND(ISNUMBER(SEARCH("PAYMENT FROM",C2300)),ISNUMBER(SEARCH("JOE SAUNDERS",C2300))),"Zelle from Joe Saunders",IF(AND(ISNUMBER(SEARCH("PAYMENT TO",C2300)),ISNUMBER(SEARCH("JOE SAUNDERS",C2300))),"Zelle to Joe Saunders",IF(OR(ISNUMBER(SEARCH("NEW ORLEANS",C2300)),ISNUMBER(SEARCH("KENNER",C2300)),ISNUMBER(SEARCH("HENRY HOWARD",C2300)),ISNUMBER(SEARCH("MISS CLAUDIA",C2300))),"Personal Travel - New Orleans",IF(AND(YEAR(B2300)=2025,MONTH(B2300)=4,OR(ISNUMBER(SEARCH("EXCHANGE RATE",C2300)),ISNUMBER(SEARCH("EXCHG RTE",C2300)))),"Personal Travel - Italy",IFERROR(INDEX('Category Rules'!$B$2:$B$358,MATCH(TRUE,ISNUMBER(SEARCH('Category Rules'!$A$2:$A$358,C2300)),0)),""))))))))</f>
        <v>Personal Travel - Canada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 Summary</vt:lpstr>
      <vt:lpstr>Transfers</vt:lpstr>
      <vt:lpstr>Transaction Details</vt:lpstr>
      <vt:lpstr>Monthly Breakdown</vt:lpstr>
      <vt:lpstr>Category Rules</vt:lpstr>
      <vt:lpstr>Angela_2025_Chase1117_Activity_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Dunning</dc:creator>
  <cp:lastModifiedBy>Mike Paytonjian</cp:lastModifiedBy>
  <dcterms:created xsi:type="dcterms:W3CDTF">2026-07-09T05:17:10Z</dcterms:created>
  <dcterms:modified xsi:type="dcterms:W3CDTF">2026-07-09T05:17:10Z</dcterms:modified>
</cp:coreProperties>
</file>